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Setup" sheetId="2" r:id="rId6"/>
    <sheet state="visible" name="School Calendar" sheetId="3" r:id="rId7"/>
    <sheet state="visible" name="Family Map" sheetId="4" r:id="rId8"/>
    <sheet state="visible" name="Strand Placement" sheetId="5" r:id="rId9"/>
    <sheet state="visible" name="Student Work" sheetId="6" r:id="rId10"/>
    <sheet state="visible" name="Resource Planner" sheetId="7" r:id="rId11"/>
    <sheet state="visible" name="Term Grid" sheetId="8" r:id="rId12"/>
    <sheet state="visible" name="Daily Rhythm" sheetId="9" r:id="rId13"/>
    <sheet state="visible" name="Assignment View" sheetId="10" r:id="rId14"/>
    <sheet state="visible" name="Whats Next" sheetId="11" r:id="rId15"/>
    <sheet state="visible" name="Generated Plan" sheetId="12" r:id="rId16"/>
    <sheet state="visible" name="Custom Views" sheetId="13" r:id="rId17"/>
    <sheet state="visible" name="Engine Helper" sheetId="14" r:id="rId18"/>
    <sheet state="visible" name="Helper Data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Set TRUE to use this weekday as a default school day.</t>
      </text>
    </comment>
    <comment authorId="0" ref="A15">
      <text>
        <t xml:space="preserve">Double-click a Start Date cell below to choose a date from the calendar.</t>
      </text>
    </comment>
    <comment authorId="0" ref="B15">
      <text>
        <t xml:space="preserve">Double-click an End Date cell below to choose a date from the calendar.</t>
      </text>
    </comment>
    <comment authorId="0" ref="C15">
      <text>
        <t xml:space="preserve">Approved options are listed in column N.</t>
      </text>
    </comment>
    <comment authorId="0" ref="B12">
      <text>
        <t xml:space="preserve">Automatic summary from Advanced Attendance Settings. Do not edit this cell.</t>
      </text>
    </comment>
    <comment authorId="0" ref="E15">
      <text>
        <t xml:space="preserve">Approved options are listed in column O.</t>
      </text>
    </comment>
    <comment authorId="0" ref="B11">
      <text>
        <t xml:space="preserve">Optional. Use only if you need to force a different display or planning boundary later.</t>
      </text>
    </comment>
    <comment authorId="0" ref="F15">
      <text>
        <t xml:space="preserve">Approved options are listed in column P.</t>
      </text>
    </comment>
    <comment authorId="0" ref="B10">
      <text>
        <t xml:space="preserve">Automatically calculated from planned school-year length, selected attendance weekdays, and calendar exceptions.</t>
      </text>
    </comment>
    <comment authorId="0" ref="B7">
      <text>
        <t xml:space="preserve">Automatically returns the school day whose number equals Weeks in Year × selected default school days.</t>
      </text>
    </comment>
    <comment authorId="0" ref="B6">
      <text>
        <t xml:space="preserve">Optional. Leave blank unless you want a later view to use a manual display boundary.</t>
      </text>
    </comment>
    <comment authorId="0" ref="B5">
      <text>
        <t xml:space="preserve">User-entered school year start date.</t>
      </text>
    </comment>
    <comment authorId="0" ref="E6">
      <text>
        <t xml:space="preserve">Set TRUE to use this weekday as a default school day.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">
      <text>
        <t xml:space="preserve">Mom-facing pacing choice. The hidden Days Between column preserves the current Generated Plan date engine.</t>
      </text>
    </comment>
    <comment authorId="0" ref="O9">
      <text>
        <t xml:space="preserve">Optional. Use the same name for resources that should run one after another.</t>
      </text>
    </comment>
    <comment authorId="0" ref="P9">
      <text>
        <t xml:space="preserve">Optional numeric order within the Sequence Group, such as 1, 2, 3.</t>
      </text>
    </comment>
    <comment authorId="0" ref="Q9">
      <text>
        <t xml:space="preserve">Use Manual Start or After Previous in Sequence. Blank is treated as Manual Start.</t>
      </text>
    </comment>
    <comment authorId="0" ref="R9">
      <text>
        <t xml:space="preserve">Calculated date used by the scheduling engine.</t>
      </text>
    </comment>
    <comment authorId="0" ref="S9">
      <text>
        <t xml:space="preserve">Calculated from units, pace, and valid School Calendar days.</t>
      </text>
    </comment>
    <comment authorId="0" ref="U9">
      <text>
        <t xml:space="preserve">Friendly warnings for active resource rows. Blank means the row looks okay.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Enter an active What’s Next View Name from the list shown in D4.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Check when this generated assignment is complete.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Suggested values: 6, 12, 18, or 36. Typed numbers also work.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">
      <text>
        <t xml:space="preserve">Helper list for Assignment View B4 dropdown. Includes only active View Builder names.</t>
      </text>
    </comment>
  </commentList>
</comments>
</file>

<file path=xl/sharedStrings.xml><?xml version="1.0" encoding="utf-8"?>
<sst xmlns="http://schemas.openxmlformats.org/spreadsheetml/2006/main" count="5770" uniqueCount="941">
  <si>
    <t>CM Family Rhythm Planner v9</t>
  </si>
  <si>
    <t>School Calendar</t>
  </si>
  <si>
    <t>Family Map</t>
  </si>
  <si>
    <t>Setup</t>
  </si>
  <si>
    <t>Step 2 • Set the school year and add breaks, holidays, recurring co-op days, appointments, or other exceptions below. A full week with no counted school days does not use a term week; exam week moves to the next counted school week. Next: Family Map.</t>
  </si>
  <si>
    <t>Step 3 • Review the feast and customize strands only when needed. Finalize strand names before placing strands or adding resources. Done when the active strands reflect this year’s plan. Next: Strand Placement.</t>
  </si>
  <si>
    <t>Workflow</t>
  </si>
  <si>
    <t>1. School Year Setup</t>
  </si>
  <si>
    <t>Step 1 • Add active students, choose each child’s Form, and create only the groups your family will use. Done when every active child has a Form and your real groups are checked. Next: School Calendar.</t>
  </si>
  <si>
    <t>3. Advanced Attendance Settings</t>
  </si>
  <si>
    <t>Add active students, their Forms, and the groups your family actually uses.</t>
  </si>
  <si>
    <t>Day Type Options</t>
  </si>
  <si>
    <t>Form / Stage</t>
  </si>
  <si>
    <t>School Day Options</t>
  </si>
  <si>
    <t>Bible</t>
  </si>
  <si>
    <t>Rhythm Options</t>
  </si>
  <si>
    <t>Language Arts</t>
  </si>
  <si>
    <t>Literature</t>
  </si>
  <si>
    <t>History</t>
  </si>
  <si>
    <t>Geography</t>
  </si>
  <si>
    <t>Citizenship</t>
  </si>
  <si>
    <t>Science / Nature</t>
  </si>
  <si>
    <t>Set the school-year dates, terms, breaks, exceptions, and exam weeks.</t>
  </si>
  <si>
    <t>School Year Start Date</t>
  </si>
  <si>
    <t>Math</t>
  </si>
  <si>
    <t>Beauty + Hands</t>
  </si>
  <si>
    <t>Foreign Language</t>
  </si>
  <si>
    <t>Most families can leave this Monday-Friday for attendance purposes.</t>
  </si>
  <si>
    <t>Review the Charlotte Mason feast. Turn strands on or off, rename them, or add a custom strand only when needed.</t>
  </si>
  <si>
    <t>All Together</t>
  </si>
  <si>
    <t>Break</t>
  </si>
  <si>
    <t>Yes</t>
  </si>
  <si>
    <t>Skip</t>
  </si>
  <si>
    <t>Build family and group loops, then place shared or genuinely rotating strands.</t>
  </si>
  <si>
    <t>Planned School Year Length</t>
  </si>
  <si>
    <t>Students</t>
  </si>
  <si>
    <t>Day</t>
  </si>
  <si>
    <t>Use?</t>
  </si>
  <si>
    <t>Place fixed individual work under Table Work with Mom or Independent Work.</t>
  </si>
  <si>
    <t>Use Calendar Exceptions to mark co-op days, park days, short days, breaks, holidays, or travel.</t>
  </si>
  <si>
    <t>Holiday</t>
  </si>
  <si>
    <t>No</t>
  </si>
  <si>
    <t>Normal rhythm</t>
  </si>
  <si>
    <t>Number of Terms</t>
  </si>
  <si>
    <t>Add books, courses, and other resources. Use Focus Strand to see what is already entered and what comes next.</t>
  </si>
  <si>
    <t>Monday</t>
  </si>
  <si>
    <t>Dropdown Lists</t>
  </si>
  <si>
    <t>Daily Rhythm controls what actually happens at home.</t>
  </si>
  <si>
    <t>Co-op Day</t>
  </si>
  <si>
    <t>Partial</t>
  </si>
  <si>
    <t>Short rhythm</t>
  </si>
  <si>
    <t>Weeks per Term</t>
  </si>
  <si>
    <t>Review the term for gaps, overload, pacing, and resource sequencing.</t>
  </si>
  <si>
    <t>Active People + Groups Helper</t>
  </si>
  <si>
    <t>Tuesday</t>
  </si>
  <si>
    <t>Park Day</t>
  </si>
  <si>
    <t>Outside / co-op only</t>
  </si>
  <si>
    <t>Use Exam Weeks?</t>
  </si>
  <si>
    <t>Shape the normal day around loops, table work, independent work, outside commitments, and Mom’s attention.</t>
  </si>
  <si>
    <t>Wednesday</t>
  </si>
  <si>
    <t>Automatic weekday summary</t>
  </si>
  <si>
    <t>Student</t>
  </si>
  <si>
    <t>Color</t>
  </si>
  <si>
    <t>Form</t>
  </si>
  <si>
    <t>Grade/Age</t>
  </si>
  <si>
    <t>Nature Day</t>
  </si>
  <si>
    <t>Notes</t>
  </si>
  <si>
    <t>Nature / park day</t>
  </si>
  <si>
    <t>Mon</t>
  </si>
  <si>
    <t>Tue</t>
  </si>
  <si>
    <t>Calculated Last School Day</t>
  </si>
  <si>
    <t>Wed</t>
  </si>
  <si>
    <t>Thu</t>
  </si>
  <si>
    <t>Fri</t>
  </si>
  <si>
    <t>Check</t>
  </si>
  <si>
    <t>Colors</t>
  </si>
  <si>
    <t>Modes</t>
  </si>
  <si>
    <t>Mom Roles</t>
  </si>
  <si>
    <t>Unit Types</t>
  </si>
  <si>
    <t>Dropdown Value</t>
  </si>
  <si>
    <t>Filter, review, and print generated assignments by person, subject, strand, resource, date, or status.</t>
  </si>
  <si>
    <t>Source</t>
  </si>
  <si>
    <t>Note</t>
  </si>
  <si>
    <t>Thursday</t>
  </si>
  <si>
    <t>Use the daily dashboard to see the next incomplete work after the plan is built.</t>
  </si>
  <si>
    <t>Lucy</t>
  </si>
  <si>
    <t>Appointment / Short Day</t>
  </si>
  <si>
    <t>Gather + daily skills only</t>
  </si>
  <si>
    <t>Manual Last Day Override, optional</t>
  </si>
  <si>
    <t>Plot line</t>
  </si>
  <si>
    <t>See the feast. Place the strands. Plan the resources. View the term. Shape the day. Live the plan.</t>
  </si>
  <si>
    <t>Friday</t>
  </si>
  <si>
    <t>Pink</t>
  </si>
  <si>
    <t>Form III</t>
  </si>
  <si>
    <t>7th</t>
  </si>
  <si>
    <t>Travel Day</t>
  </si>
  <si>
    <t>Custom</t>
  </si>
  <si>
    <t>Generated Plan and the helper sheets are workbook machinery. Most parents will not need to open or edit them.</t>
  </si>
  <si>
    <t>☑</t>
  </si>
  <si>
    <t>Group</t>
  </si>
  <si>
    <t>Mom-led</t>
  </si>
  <si>
    <t>Chapter</t>
  </si>
  <si>
    <t xml:space="preserve"> </t>
  </si>
  <si>
    <t>Saturday</t>
  </si>
  <si>
    <t>Kayla</t>
  </si>
  <si>
    <t>Purple</t>
  </si>
  <si>
    <t>Add breaks, holidays, recurring co-op days, park days, short days, travel, or other exceptions here. Tip: Double-click a Start Date or End Date cell to open the calendar.</t>
  </si>
  <si>
    <t>Form II</t>
  </si>
  <si>
    <t>3rd</t>
  </si>
  <si>
    <t>☐</t>
  </si>
  <si>
    <t>Sunday</t>
  </si>
  <si>
    <t>Individual</t>
  </si>
  <si>
    <t>Start together</t>
  </si>
  <si>
    <t>Lesson</t>
  </si>
  <si>
    <t>Other</t>
  </si>
  <si>
    <t>2. Calendar Exceptions</t>
  </si>
  <si>
    <t>Charis</t>
  </si>
  <si>
    <t>Aqua</t>
  </si>
  <si>
    <t>Form I</t>
  </si>
  <si>
    <t>1st</t>
  </si>
  <si>
    <t>Start Date</t>
  </si>
  <si>
    <t>End Date</t>
  </si>
  <si>
    <t>Applies On</t>
  </si>
  <si>
    <t>Outside / Co-op</t>
  </si>
  <si>
    <t>Day Type</t>
  </si>
  <si>
    <t>Check-in</t>
  </si>
  <si>
    <t>Page</t>
  </si>
  <si>
    <t>Name / Details, optional</t>
  </si>
  <si>
    <t>Counts as School Day?</t>
  </si>
  <si>
    <t>Rhythm Adjustment</t>
  </si>
  <si>
    <t>Jeremiah</t>
  </si>
  <si>
    <t>Gold</t>
  </si>
  <si>
    <t>Form IV</t>
  </si>
  <si>
    <t>10th</t>
  </si>
  <si>
    <t>Independent</t>
  </si>
  <si>
    <t>Week</t>
  </si>
  <si>
    <t>Child 5</t>
  </si>
  <si>
    <t>Blue</t>
  </si>
  <si>
    <t>Form V-VI</t>
  </si>
  <si>
    <t>Outside teacher</t>
  </si>
  <si>
    <t>Story</t>
  </si>
  <si>
    <t>Child 6</t>
  </si>
  <si>
    <t>Green</t>
  </si>
  <si>
    <t>Unit</t>
  </si>
  <si>
    <t>Child 7</t>
  </si>
  <si>
    <t>Coral</t>
  </si>
  <si>
    <t>Reading</t>
  </si>
  <si>
    <t>Child 8</t>
  </si>
  <si>
    <t>Gray</t>
  </si>
  <si>
    <t>Built-in</t>
  </si>
  <si>
    <t>Use when strand happens separately for each active student</t>
  </si>
  <si>
    <t>Student Groups</t>
  </si>
  <si>
    <t>Enter breaks, holidays, recurring weekday exceptions, appointments, travel days, or other calendar changes here.</t>
  </si>
  <si>
    <t>4. Generated Calendar, formula output</t>
  </si>
  <si>
    <t>Use for outside/co-op or optional blocks</t>
  </si>
  <si>
    <t>This table powers future scheduling. Most users do not need to edit it.</t>
  </si>
  <si>
    <t>Group Name</t>
  </si>
  <si>
    <t>Date</t>
  </si>
  <si>
    <t>Day of Week</t>
  </si>
  <si>
    <t>Default School Day?</t>
  </si>
  <si>
    <t>Name / Details</t>
  </si>
  <si>
    <t>School Day?</t>
  </si>
  <si>
    <t>School Day Number</t>
  </si>
  <si>
    <t>School Week</t>
  </si>
  <si>
    <t>Term</t>
  </si>
  <si>
    <t>Term Week</t>
  </si>
  <si>
    <t>Exam Week?</t>
  </si>
  <si>
    <t>Week Start Helper</t>
  </si>
  <si>
    <t>Counted School Week?</t>
  </si>
  <si>
    <t>Exception Row Helper</t>
  </si>
  <si>
    <t>Everyone</t>
  </si>
  <si>
    <t>family subjects</t>
  </si>
  <si>
    <t>Little Girls</t>
  </si>
  <si>
    <t>All the Girls</t>
  </si>
  <si>
    <t>Older Students</t>
  </si>
  <si>
    <t>Custom Group 1</t>
  </si>
  <si>
    <t>Custom Group 2</t>
  </si>
  <si>
    <t>Custom Group 3</t>
  </si>
  <si>
    <t>Custom Group 4</t>
  </si>
  <si>
    <t>Custom Group 5</t>
  </si>
  <si>
    <t>Custom Group 6</t>
  </si>
  <si>
    <t>School Year Settings</t>
  </si>
  <si>
    <t>Edit on School Calendar</t>
  </si>
  <si>
    <t>Default School Days</t>
  </si>
  <si>
    <t>Active Forms, automatic from student form choices.</t>
  </si>
  <si>
    <t>Status</t>
  </si>
  <si>
    <t>How this is determined</t>
  </si>
  <si>
    <t>Always active for family subjects</t>
  </si>
  <si>
    <t>Active when an active student uses this form</t>
  </si>
  <si>
    <t>Family Choice</t>
  </si>
  <si>
    <t>Always active for family-created strands</t>
  </si>
  <si>
    <t>Customize Strands, optional</t>
  </si>
  <si>
    <t>Most families can leave these unchanged. Turn off strands you will not use, rename a strand, or add a separate strand when two students in the same Form need different courses. Leave Combine Into blank to keep this strand separate. To combine it, choose the strand that should remain.</t>
  </si>
  <si>
    <t>Subject Area (Choose or Type)</t>
  </si>
  <si>
    <t>Strand Name</t>
  </si>
  <si>
    <t>Combine Into</t>
  </si>
  <si>
    <t>Final Strand</t>
  </si>
  <si>
    <t>Who / Group</t>
  </si>
  <si>
    <t>Audience Routing Preview</t>
  </si>
  <si>
    <t>New Testament</t>
  </si>
  <si>
    <t>Strand Placement</t>
  </si>
  <si>
    <t>Step 4 • Build family and group loops, then place shared or rotating strands. Use Student Work for fixed individual work. Done when every planned loop strand has a home and its Check cell is blank. Next: Student Work.</t>
  </si>
  <si>
    <t>Type</t>
  </si>
  <si>
    <t>Final Strands / Covered Note</t>
  </si>
  <si>
    <t>Loops + Blocks</t>
  </si>
  <si>
    <t>Old Testament</t>
  </si>
  <si>
    <t>Loop / Block Name</t>
  </si>
  <si>
    <t>Who usually?</t>
  </si>
  <si>
    <t>Mode</t>
  </si>
  <si>
    <t>Mom Role</t>
  </si>
  <si>
    <t>Loop Rhythm (Guide)</t>
  </si>
  <si>
    <t>Usually Do</t>
  </si>
  <si>
    <t>Faith</t>
  </si>
  <si>
    <t>Daily-ish</t>
  </si>
  <si>
    <t>Next 1</t>
  </si>
  <si>
    <t>Reading Loop</t>
  </si>
  <si>
    <t>2–3x/week</t>
  </si>
  <si>
    <t>Thinking Loop</t>
  </si>
  <si>
    <t>Hands + Beauty Loop</t>
  </si>
  <si>
    <t>Psalms / Proverbs</t>
  </si>
  <si>
    <t>4x/week</t>
  </si>
  <si>
    <t>Daily Skills</t>
  </si>
  <si>
    <t>Daily</t>
  </si>
  <si>
    <t>All</t>
  </si>
  <si>
    <t>Individual Work</t>
  </si>
  <si>
    <t>As assigned</t>
  </si>
  <si>
    <t>Weekly anchor</t>
  </si>
  <si>
    <t>Custom Group</t>
  </si>
  <si>
    <t>Optional / Later</t>
  </si>
  <si>
    <t>Optional</t>
  </si>
  <si>
    <t>Scripture Memory</t>
  </si>
  <si>
    <t>Place Strands into Loops / Blocks</t>
  </si>
  <si>
    <t>Place each strand in a loop or block, then choose its Touch Rhythm. Loop Rhythm is a planning guide; each strand’s Touch Rhythm controls the assignments that are actually generated.</t>
  </si>
  <si>
    <t>Slot</t>
  </si>
  <si>
    <t>Choose Strand</t>
  </si>
  <si>
    <t>Family Read-Aloud</t>
  </si>
  <si>
    <t>Group / Student override (optional)</t>
  </si>
  <si>
    <t>Mom role override (optional)</t>
  </si>
  <si>
    <t>Touch Rhythm</t>
  </si>
  <si>
    <t>Engine Pace</t>
  </si>
  <si>
    <t>Engine Sequence Key</t>
  </si>
  <si>
    <t>All Together / Bible — Old Testament</t>
  </si>
  <si>
    <t>1x/week</t>
  </si>
  <si>
    <t>Nature Walk</t>
  </si>
  <si>
    <t>All Together / Bible — Scripture Memory</t>
  </si>
  <si>
    <t>All Together / Bible — New Testament</t>
  </si>
  <si>
    <t>All Together / Bible — Psalms / Proverbs</t>
  </si>
  <si>
    <t>Special Studies</t>
  </si>
  <si>
    <t>All Together / Literature — Family Read-Aloud</t>
  </si>
  <si>
    <t>3x/week</t>
  </si>
  <si>
    <t>Family Math</t>
  </si>
  <si>
    <t>All Together / Science / Nature — Special Studies</t>
  </si>
  <si>
    <t>2x/week</t>
  </si>
  <si>
    <t>Form I / Literature — Tales / Fairy Tales / Myths</t>
  </si>
  <si>
    <t>Hymn</t>
  </si>
  <si>
    <t>Form III / Citizenship — Plutarch</t>
  </si>
  <si>
    <t>Every other week</t>
  </si>
  <si>
    <t>Folk Song</t>
  </si>
  <si>
    <t>All Together / Math — Family Math</t>
  </si>
  <si>
    <t>All Together / Foreign Language — Family Language Song</t>
  </si>
  <si>
    <t>Poetry</t>
  </si>
  <si>
    <t>Picture Study</t>
  </si>
  <si>
    <t>All Together / Science / Nature — Nature Walk</t>
  </si>
  <si>
    <t>All Together / Beauty + Hands — Hymn</t>
  </si>
  <si>
    <t>Composer Study</t>
  </si>
  <si>
    <t>Family Language Song</t>
  </si>
  <si>
    <t>Form II / Geography — Map Work</t>
  </si>
  <si>
    <t>Reading Practice / Phonics</t>
  </si>
  <si>
    <t>Form III / Geography — Geography / Map Drill</t>
  </si>
  <si>
    <t>Copywork</t>
  </si>
  <si>
    <t>Student Work</t>
  </si>
  <si>
    <t>Oral Narration</t>
  </si>
  <si>
    <t>Step 5 • Place each child’s fixed individual work below. Shared family or group subjects and work that truly rotates 
in a loop belong on Strand Placement. Use Table Work with Mom for guided lessons and Independent Work for work 
the child handles alone. The summary above shows each child’s plan at a glance. 
Next: Resource Planner.</t>
  </si>
  <si>
    <t>Student Work at a Glance</t>
  </si>
  <si>
    <t>Table Work with Mom</t>
  </si>
  <si>
    <t>Independent Work</t>
  </si>
  <si>
    <t>Tales / Fairy Tales / Myths</t>
  </si>
  <si>
    <t>Form IV / Science / Nature — Science</t>
  </si>
  <si>
    <t>Reader / Phonics</t>
  </si>
  <si>
    <t>Place Individual Student Work</t>
  </si>
  <si>
    <t>Work Setting</t>
  </si>
  <si>
    <t>Strand</t>
  </si>
  <si>
    <t>Form III / Language Arts — Composition</t>
  </si>
  <si>
    <t>Picture Books</t>
  </si>
  <si>
    <t>Early History Stories</t>
  </si>
  <si>
    <t>Form IV / Citizenship — Current Events</t>
  </si>
  <si>
    <t>Form IV / Math — Upper Math</t>
  </si>
  <si>
    <t>Form IV / History — World / American History</t>
  </si>
  <si>
    <t>Form IV / Literature — Literature</t>
  </si>
  <si>
    <t>Covered Sources</t>
  </si>
  <si>
    <t>Display preview</t>
  </si>
  <si>
    <t>Map / Place Stories</t>
  </si>
  <si>
    <t>Object Lessons / Natural History</t>
  </si>
  <si>
    <t>Still Unplaced</t>
  </si>
  <si>
    <t>Form / Subject — Strand</t>
  </si>
  <si>
    <t>Subject</t>
  </si>
  <si>
    <t>Drawing / Brush Drawing</t>
  </si>
  <si>
    <t>Handicraft / Work</t>
  </si>
  <si>
    <t>Dictation</t>
  </si>
  <si>
    <t>Grammar</t>
  </si>
  <si>
    <t>Written Narration [IIA]</t>
  </si>
  <si>
    <t>Shakespeare option</t>
  </si>
  <si>
    <t>History Spine</t>
  </si>
  <si>
    <t>Biography</t>
  </si>
  <si>
    <t>Ancient History [IIA]</t>
  </si>
  <si>
    <t>Geography Reader</t>
  </si>
  <si>
    <t>Map Work</t>
  </si>
  <si>
    <t>Citizenship / Plutarch [IIA]</t>
  </si>
  <si>
    <t>Natural History</t>
  </si>
  <si>
    <t>Science</t>
  </si>
  <si>
    <t>Arithmetic</t>
  </si>
  <si>
    <t>Practical Geometry</t>
  </si>
  <si>
    <t>Modern Language</t>
  </si>
  <si>
    <t>Latin [IIA]</t>
  </si>
  <si>
    <t>Resource Planner</t>
  </si>
  <si>
    <t>Add each resource to its strand. Number resources 1, 2, 3 when they are used one after another. Restart at 1 for each different strand. Usually only resource 1 needs a Start Date.</t>
  </si>
  <si>
    <t>Step 6 • Add each book, course, or resource to its strand. Use the focus controls to see what is already entered and add what comes next. Usually only the first resource in a sequence needs a Start Date. Next: Term Grid.</t>
  </si>
  <si>
    <t>Focus while adding: choose a strand to see what is already entered. Blank rows remain available for the next resource.</t>
  </si>
  <si>
    <t>Resource Entries</t>
  </si>
  <si>
    <t>Subject Area</t>
  </si>
  <si>
    <t>Focus Strand</t>
  </si>
  <si>
    <t>Show</t>
  </si>
  <si>
    <t>Grammar / Analysis</t>
  </si>
  <si>
    <t>Who Choices</t>
  </si>
  <si>
    <t>Subject Choices</t>
  </si>
  <si>
    <t>Strand Choices</t>
  </si>
  <si>
    <t>Show Choices</t>
  </si>
  <si>
    <t>Choose a strand and enter the resource. It will be included automatically. For resources used one after another, enter 1, 2, 3 in Sequence Order. Usually only the first resource needs a Start Date.</t>
  </si>
  <si>
    <t>Resources Entered</t>
  </si>
  <si>
    <t>Next Order</t>
  </si>
  <si>
    <t>Planned Through</t>
  </si>
  <si>
    <t>Set filters to All to reset.</t>
  </si>
  <si>
    <t>Composition</t>
  </si>
  <si>
    <t>All Together / Beauty + Hands — Composer Study</t>
  </si>
  <si>
    <t>Needs Attention</t>
  </si>
  <si>
    <t>Rows are only hidden, never moved. With a Focus Strand selected, typing a Resource in a blank row fills that strand automatically.</t>
  </si>
  <si>
    <t>Inherited placement details</t>
  </si>
  <si>
    <t>Advanced overrides (optional)</t>
  </si>
  <si>
    <t>All Together / Beauty + Hands — Folk Song</t>
  </si>
  <si>
    <t>Active?</t>
  </si>
  <si>
    <t>Block / Loop (From Strand Placement)</t>
  </si>
  <si>
    <t>Who / Group (From Strand Placement)</t>
  </si>
  <si>
    <t>Resource</t>
  </si>
  <si>
    <t>Unit Type</t>
  </si>
  <si>
    <t>Start Unit</t>
  </si>
  <si>
    <t>End Unit</t>
  </si>
  <si>
    <t>Units per Sitting</t>
  </si>
  <si>
    <t>Start Date (First Only)</t>
  </si>
  <si>
    <t>Pace / Touch Rhythm (Effective)</t>
  </si>
  <si>
    <t>Days Between</t>
  </si>
  <si>
    <t>Generated Lessons</t>
  </si>
  <si>
    <t>Resource Stream (Effective)</t>
  </si>
  <si>
    <t>Order in This Strand</t>
  </si>
  <si>
    <t>Start Rule</t>
  </si>
  <si>
    <t>Scheduled Start</t>
  </si>
  <si>
    <t>Estimated Finish</t>
  </si>
  <si>
    <t>Resource Stream Notes</t>
  </si>
  <si>
    <t>Mode (From Strand Placement)</t>
  </si>
  <si>
    <t>Mom Role (Effective)</t>
  </si>
  <si>
    <t>Block Override</t>
  </si>
  <si>
    <t>Who / Group Override</t>
  </si>
  <si>
    <t>Pace Override</t>
  </si>
  <si>
    <t>Resource Stream Override</t>
  </si>
  <si>
    <t>Mom Role Override</t>
  </si>
  <si>
    <t>Default Pace (From Strand Placement)</t>
  </si>
  <si>
    <t>Default Resource Stream (From Strand Placement)</t>
  </si>
  <si>
    <t>All Together / Beauty + Hands — Picture Study</t>
  </si>
  <si>
    <t>Pay Attention, Carter Jones</t>
  </si>
  <si>
    <t>sample</t>
  </si>
  <si>
    <t>World / American History</t>
  </si>
  <si>
    <t>Book of Centuries</t>
  </si>
  <si>
    <t>Term Grid</t>
  </si>
  <si>
    <t>Geography / Map Drill</t>
  </si>
  <si>
    <t>Step 7 • Review the term by person, group, block, strand, or resource. Look for gaps, overload, pacing problems, and unexpected dates. Next: Daily Rhythm.</t>
  </si>
  <si>
    <t>All Together / Beauty + Hands — Poetry</t>
  </si>
  <si>
    <t>Blank or All ignores a filter. Assignments are grouped by Resource / Strand.</t>
  </si>
  <si>
    <t>Block / Loop</t>
  </si>
  <si>
    <t>Plutarch</t>
  </si>
  <si>
    <t>Nature Reader</t>
  </si>
  <si>
    <t>Term 1</t>
  </si>
  <si>
    <t>Not Done</t>
  </si>
  <si>
    <t>Current Events</t>
  </si>
  <si>
    <t>Resource / Strand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</si>
  <si>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</si>
  <si>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</si>
  <si>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</si>
  <si>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</si>
  <si>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</si>
  <si>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</si>
  <si>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</si>
  <si>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</si>
  <si>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</si>
  <si>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</si>
  <si>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</si>
  <si>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Algebra / Geometry</t>
  </si>
  <si>
    <t>Biology Course</t>
  </si>
  <si>
    <t>Latin</t>
  </si>
  <si>
    <t>Composition / Essays</t>
  </si>
  <si>
    <t>Goobers</t>
  </si>
  <si>
    <t>AGF</t>
  </si>
  <si>
    <t>Ancient History</t>
  </si>
  <si>
    <t>Government</t>
  </si>
  <si>
    <t>Form III / Literature — Literature</t>
  </si>
  <si>
    <t>Peter Pan</t>
  </si>
  <si>
    <t>Charlotte’s Web</t>
  </si>
  <si>
    <t>sequencing sample</t>
  </si>
  <si>
    <t>Upper Math</t>
  </si>
  <si>
    <t>First resource in sample sequence.</t>
  </si>
  <si>
    <t>Modern Language / Latin</t>
  </si>
  <si>
    <t>Composition / Rhetoric</t>
  </si>
  <si>
    <t>Pinocchio</t>
  </si>
  <si>
    <t>Starts on the next valid school day after Charlotte’s Web finishes.</t>
  </si>
  <si>
    <t>All Together / Literature — Tales / Fairy Tales / Myths</t>
  </si>
  <si>
    <t>Ancient / Government</t>
  </si>
  <si>
    <t>How Great Thou Art</t>
  </si>
  <si>
    <t>Geography / Economics</t>
  </si>
  <si>
    <t>Come Thou Fount</t>
  </si>
  <si>
    <t>Advanced Math</t>
  </si>
  <si>
    <t>Genesis</t>
  </si>
  <si>
    <t>Form I / Beauty + Hands — Drawing / Brush Drawing</t>
  </si>
  <si>
    <t>Exodus</t>
  </si>
  <si>
    <t>Form I / Beauty + Hands — Handicraft / Work</t>
  </si>
  <si>
    <t>Matthew</t>
  </si>
  <si>
    <t>Form I / Geography — Map / Place Stories</t>
  </si>
  <si>
    <t>Form I / History — Early History Stories</t>
  </si>
  <si>
    <t>Form I / History — Picture Books</t>
  </si>
  <si>
    <t>Form I / Language Arts — Copywork</t>
  </si>
  <si>
    <t>Form I / Language Arts — Oral Narration</t>
  </si>
  <si>
    <t>Form I / Language Arts — Reading Practice / Phonics</t>
  </si>
  <si>
    <t>END CUSTOMIZE STRANDS</t>
  </si>
  <si>
    <t>Form I / Literature — Reader / Phonics</t>
  </si>
  <si>
    <t>Form I / Math — Math</t>
  </si>
  <si>
    <t>Form II / Citizenship — Citizenship / Plutarch [IIA]</t>
  </si>
  <si>
    <t>Daily Rhythm</t>
  </si>
  <si>
    <t>Step 8 • Shape the normal day around loops, Table Work with Mom, Independent Work, outside commitments, and parallel work. Next: Assignment View.</t>
  </si>
  <si>
    <t>Order</t>
  </si>
  <si>
    <t>Rhythm Block</t>
  </si>
  <si>
    <t>Mom Focus</t>
  </si>
  <si>
    <t>Lane 1 Who</t>
  </si>
  <si>
    <t>Lane 1 Activity</t>
  </si>
  <si>
    <t>Lane 2 Who</t>
  </si>
  <si>
    <t>Lane 2 Activity</t>
  </si>
  <si>
    <t>Lane 3 Who</t>
  </si>
  <si>
    <t>Lane 3 Activity</t>
  </si>
  <si>
    <t>Lane 4 Who</t>
  </si>
  <si>
    <t>Lane 4 Activity</t>
  </si>
  <si>
    <t>Gather / Morning Time</t>
  </si>
  <si>
    <t>Faith Loop</t>
  </si>
  <si>
    <t>Reading / phonics + copywork</t>
  </si>
  <si>
    <t>Mom Rotation</t>
  </si>
  <si>
    <t>Play / handwriting</t>
  </si>
  <si>
    <t>Math help / grammar</t>
  </si>
  <si>
    <t>Independent work</t>
  </si>
  <si>
    <t>Form II / Foreign Language — Latin [IIA]</t>
  </si>
  <si>
    <t>Loop Block</t>
  </si>
  <si>
    <t>Rotates</t>
  </si>
  <si>
    <t>Outside / Afternoon</t>
  </si>
  <si>
    <t>Flexible</t>
  </si>
  <si>
    <t>Nature / occupations</t>
  </si>
  <si>
    <t>Flex / Catch-up</t>
  </si>
  <si>
    <t>As needed</t>
  </si>
  <si>
    <t>Use when appointments or interruptions shift the day.</t>
  </si>
  <si>
    <t>Weekly Anchors / Exceptions</t>
  </si>
  <si>
    <t>Day / Anchor</t>
  </si>
  <si>
    <t>What changes?</t>
  </si>
  <si>
    <t>Short-day version?</t>
  </si>
  <si>
    <t>Co-op / outside classes</t>
  </si>
  <si>
    <t>Skip afternoon loop</t>
  </si>
  <si>
    <t>Appointments / short day</t>
  </si>
  <si>
    <t>Flex / catch-up</t>
  </si>
  <si>
    <t>Use next loop item</t>
  </si>
  <si>
    <t>Form II / Foreign Language — Modern Language</t>
  </si>
  <si>
    <t>Assignment View</t>
  </si>
  <si>
    <t>Step 9 • Filter the generated assignments for planning, printing, or progress review. Use the main filters first; advanced filters are optional. Reset filters to show everything.</t>
  </si>
  <si>
    <t>Tip: Use only one or two filters at a time. More filters narrow the list.</t>
  </si>
  <si>
    <t>From Date</t>
  </si>
  <si>
    <t>To Date</t>
  </si>
  <si>
    <t>Reset filters to show everything.</t>
  </si>
  <si>
    <t>Set text filters to All and clear both dates.</t>
  </si>
  <si>
    <t>Form II / Geography — Geography Reader</t>
  </si>
  <si>
    <t>Advanced Filters, optional</t>
  </si>
  <si>
    <t>Block</t>
  </si>
  <si>
    <t>Assignment</t>
  </si>
  <si>
    <t>Done?</t>
  </si>
  <si>
    <t>Form II / History — Ancient History [IIA]</t>
  </si>
  <si>
    <t>Form II / History — Biography</t>
  </si>
  <si>
    <t>Form II / History — History Spine</t>
  </si>
  <si>
    <t>Form II / Language Arts — Dictation</t>
  </si>
  <si>
    <t>Form II / Language Arts — Grammar</t>
  </si>
  <si>
    <t>Form II / Language Arts — Written Narration [IIA]</t>
  </si>
  <si>
    <t>Form II / Literature — Literature</t>
  </si>
  <si>
    <t>Form II / Literature — Shakespeare option</t>
  </si>
  <si>
    <t>What's Next</t>
  </si>
  <si>
    <t>Step 10 • Use this after planning is complete to see the next unfinished work for each student or group.</t>
  </si>
  <si>
    <t>Choose View</t>
  </si>
  <si>
    <t>Form II / Math — Arithmetic</t>
  </si>
  <si>
    <t>Morning Next Steps</t>
  </si>
  <si>
    <t>Active Views</t>
  </si>
  <si>
    <t>Group / Student</t>
  </si>
  <si>
    <t>Next Date</t>
  </si>
  <si>
    <t>Next Assignment</t>
  </si>
  <si>
    <t>Block / Strand</t>
  </si>
  <si>
    <t>Form II / Math — Practical Geometry</t>
  </si>
  <si>
    <t>Form II / Science / Nature — Natural History</t>
  </si>
  <si>
    <t>Form II / Science / Nature — Science</t>
  </si>
  <si>
    <t>Form III / Citizenship — Current Events</t>
  </si>
  <si>
    <t>Form III / Foreign Language — Latin</t>
  </si>
  <si>
    <t>Form III / Foreign Language — Modern Language</t>
  </si>
  <si>
    <t>Generated Plan</t>
  </si>
  <si>
    <t>Workbook output • Do not type or paste here. This sheet expands Resource Planner entries into dated assignments and is mainly for troubleshooting.</t>
  </si>
  <si>
    <t>Form III / History — Book of Centuries</t>
  </si>
  <si>
    <t>Form III / History — World / American History</t>
  </si>
  <si>
    <t>Form III / Language Arts — Dictation</t>
  </si>
  <si>
    <t>Custom Views</t>
  </si>
  <si>
    <t>Optional: create saved filter combinations here. Most users can use Assignment View filters directly.</t>
  </si>
  <si>
    <t>Helper choices — do not edit unless customizing dropdowns.</t>
  </si>
  <si>
    <t>View Name</t>
  </si>
  <si>
    <t>Who choices</t>
  </si>
  <si>
    <t>Block choices</t>
  </si>
  <si>
    <t>Subject choices</t>
  </si>
  <si>
    <t>Strand choices</t>
  </si>
  <si>
    <t>All View Names</t>
  </si>
  <si>
    <t>Resource choices</t>
  </si>
  <si>
    <t>Status choices</t>
  </si>
  <si>
    <t>Everyone — Faith</t>
  </si>
  <si>
    <t>Faith block assignments for Everyone</t>
  </si>
  <si>
    <t>Bible — Everyone</t>
  </si>
  <si>
    <t>Bible assignments for Everyone</t>
  </si>
  <si>
    <t>Done</t>
  </si>
  <si>
    <t>Lucy Literature</t>
  </si>
  <si>
    <t>Direct Literature assignments for Lucy</t>
  </si>
  <si>
    <t>Nature — Little Girls</t>
  </si>
  <si>
    <t>Nature assignments for Little Girls</t>
  </si>
  <si>
    <t>Form III / Language Arts — Grammar / Analysis</t>
  </si>
  <si>
    <t>Form III / Math — Algebra / Geometry</t>
  </si>
  <si>
    <t>Engine Helper</t>
  </si>
  <si>
    <t>Consolidated Availability Scheduling Compatibility Prototype</t>
  </si>
  <si>
    <t>Form III / Science / Nature — Natural History</t>
  </si>
  <si>
    <t>Workbook machinery • Do not edit. These formulas calculate scheduling and assignment dates.</t>
  </si>
  <si>
    <t>Scenario</t>
  </si>
  <si>
    <t>Block / Mode</t>
  </si>
  <si>
    <t>Start No Earlier</t>
  </si>
  <si>
    <t>Pace</t>
  </si>
  <si>
    <t>Sitting #</t>
  </si>
  <si>
    <t>Scheduled Date</t>
  </si>
  <si>
    <t>Expected</t>
  </si>
  <si>
    <t>Result</t>
  </si>
  <si>
    <t>First School Week Dates</t>
  </si>
  <si>
    <t>Cadence Warning</t>
  </si>
  <si>
    <t>Compatibility</t>
  </si>
  <si>
    <t>Case</t>
  </si>
  <si>
    <t>Work Type</t>
  </si>
  <si>
    <t>Test Date / Pace</t>
  </si>
  <si>
    <t>Global School Day / Dates</t>
  </si>
  <si>
    <t>Regular Available / Count</t>
  </si>
  <si>
    <t>Eligible / Result</t>
  </si>
  <si>
    <t>Expected / Warning</t>
  </si>
  <si>
    <t>Jeremiah Monday ordinary</t>
  </si>
  <si>
    <t>Ordinary</t>
  </si>
  <si>
    <t>Helper Data</t>
  </si>
  <si>
    <t>Workbook machinery • Do not edit. This sheet supplies dropdown lists, active strands, filters, and lookup values.</t>
  </si>
  <si>
    <t>Slot ID</t>
  </si>
  <si>
    <t>Display Strand</t>
  </si>
  <si>
    <t>Active Strand</t>
  </si>
  <si>
    <t>Placed Count</t>
  </si>
  <si>
    <t>Placed?</t>
  </si>
  <si>
    <t>Source Cell</t>
  </si>
  <si>
    <t>Form Active?</t>
  </si>
  <si>
    <t>Pace / Touch Rhythm choices</t>
  </si>
  <si>
    <t>Active Subjects</t>
  </si>
  <si>
    <t>Target Keeper Slot ID</t>
  </si>
  <si>
    <t>Resolved Final Slot ID</t>
  </si>
  <si>
    <t>Resolved Final Label</t>
  </si>
  <si>
    <t>Emit Downstream?</t>
  </si>
  <si>
    <t>Friendly Combine Choice</t>
  </si>
  <si>
    <t>Friendly Choice Slot ID</t>
  </si>
  <si>
    <t>Raw Who / Group</t>
  </si>
  <si>
    <t>Resolved Who / Group</t>
  </si>
  <si>
    <t>Audience Check</t>
  </si>
  <si>
    <t>Covered Source Display Note</t>
  </si>
  <si>
    <t>Inherited Who / Group</t>
  </si>
  <si>
    <t>Strand Placement Row / Current Who</t>
  </si>
  <si>
    <t>Student Work Row / Current Student</t>
  </si>
  <si>
    <t>Resource Planner Rows</t>
  </si>
  <si>
    <t>Mismatch Status</t>
  </si>
  <si>
    <t>Form III / Science / Nature — Science</t>
  </si>
  <si>
    <t>B5</t>
  </si>
  <si>
    <t>Use block rhythm</t>
  </si>
  <si>
    <t>Jeremiah Monday</t>
  </si>
  <si>
    <t>Jeremiah Tuesday blocked</t>
  </si>
  <si>
    <t>Jeremiah Tuesday</t>
  </si>
  <si>
    <t>Jeremiah Wednesday ordinary</t>
  </si>
  <si>
    <t>B6</t>
  </si>
  <si>
    <t>Every time this block appears</t>
  </si>
  <si>
    <t>Jeremiah Wednesday</t>
  </si>
  <si>
    <t>Jeremiah Thursday blocked</t>
  </si>
  <si>
    <t>Form IV / Citizenship — Government</t>
  </si>
  <si>
    <t>B7</t>
  </si>
  <si>
    <t>Jeremiah Thursday</t>
  </si>
  <si>
    <t>Jeremiah Friday ordinary</t>
  </si>
  <si>
    <t>B8</t>
  </si>
  <si>
    <t>Form IV / Foreign Language — Modern Language / Latin</t>
  </si>
  <si>
    <t>Jeremiah Friday</t>
  </si>
  <si>
    <t>Lucy Tuesday ordinary</t>
  </si>
  <si>
    <t>B9</t>
  </si>
  <si>
    <t>Lucy Tuesday</t>
  </si>
  <si>
    <t>C5</t>
  </si>
  <si>
    <t>Lucy Thursday blocked</t>
  </si>
  <si>
    <t>Form IV / Geography — Geography</t>
  </si>
  <si>
    <t>C6</t>
  </si>
  <si>
    <t>Lucy Thursday</t>
  </si>
  <si>
    <t>Little Girls Monday</t>
  </si>
  <si>
    <t>C7</t>
  </si>
  <si>
    <t>Form IV / History — Ancient History</t>
  </si>
  <si>
    <t>Kayla Tuesday</t>
  </si>
  <si>
    <t>C8</t>
  </si>
  <si>
    <t>Little Girls Tuesday</t>
  </si>
  <si>
    <t>Kayla Thursday</t>
  </si>
  <si>
    <t>C9</t>
  </si>
  <si>
    <t>Little Girls Wednesday</t>
  </si>
  <si>
    <t>D5</t>
  </si>
  <si>
    <t>Charis Tuesday</t>
  </si>
  <si>
    <t>Form IV / Language Arts — Composition / Essays</t>
  </si>
  <si>
    <t>Little Girls Thursday blocked</t>
  </si>
  <si>
    <t>D6</t>
  </si>
  <si>
    <t>Charis Thursday</t>
  </si>
  <si>
    <t>Everyone Tuesday blocked</t>
  </si>
  <si>
    <t>Form IV / Language Arts — Grammar / Analysis</t>
  </si>
  <si>
    <t>D7</t>
  </si>
  <si>
    <t>Everyone Thursday blocked</t>
  </si>
  <si>
    <t>Little Girls Thursday</t>
  </si>
  <si>
    <t>D8</t>
  </si>
  <si>
    <t>Outside / Co-op Tuesday exempt</t>
  </si>
  <si>
    <t>Everyone Tuesday</t>
  </si>
  <si>
    <t>Outside / Co-op Thursday exempt</t>
  </si>
  <si>
    <t>D9</t>
  </si>
  <si>
    <t>Everyone Thursday</t>
  </si>
  <si>
    <t>Global non-school override</t>
  </si>
  <si>
    <t>E5</t>
  </si>
  <si>
    <t>Outside / Co-op Tuesday</t>
  </si>
  <si>
    <t>Exam week pauses ordinary</t>
  </si>
  <si>
    <t>E6</t>
  </si>
  <si>
    <t>Outside / Co-op Thursday</t>
  </si>
  <si>
    <t>Exam week pauses Outside / Co-op</t>
  </si>
  <si>
    <t>E7</t>
  </si>
  <si>
    <t>Global non-school-day override</t>
  </si>
  <si>
    <t>Jeremiah 4x/week cap</t>
  </si>
  <si>
    <t>Exam-week overlay</t>
  </si>
  <si>
    <t>E8</t>
  </si>
  <si>
    <t>Availability Check</t>
  </si>
  <si>
    <t>Pace exceeds available days</t>
  </si>
  <si>
    <t>Ordinary / School Week 2</t>
  </si>
  <si>
    <t>E9</t>
  </si>
  <si>
    <t>Groups Needing Setup</t>
  </si>
  <si>
    <t>Manual start no earlier than</t>
  </si>
  <si>
    <t>F5</t>
  </si>
  <si>
    <t>F6</t>
  </si>
  <si>
    <t>Cadence 1x/week</t>
  </si>
  <si>
    <t>F7</t>
  </si>
  <si>
    <t>Cadence 2x/week</t>
  </si>
  <si>
    <t>F8</t>
  </si>
  <si>
    <t>Cadence 3x/week</t>
  </si>
  <si>
    <t>F9</t>
  </si>
  <si>
    <t>Cadence 4x/week</t>
  </si>
  <si>
    <t>G5</t>
  </si>
  <si>
    <t/>
  </si>
  <si>
    <t>Cadence Daily</t>
  </si>
  <si>
    <t>G6</t>
  </si>
  <si>
    <t>G7</t>
  </si>
  <si>
    <t>G8</t>
  </si>
  <si>
    <t>G9</t>
  </si>
  <si>
    <t>H5</t>
  </si>
  <si>
    <t>H6</t>
  </si>
  <si>
    <t>H7</t>
  </si>
  <si>
    <t>H8</t>
  </si>
  <si>
    <t>H9</t>
  </si>
  <si>
    <t>I5</t>
  </si>
  <si>
    <t>I6</t>
  </si>
  <si>
    <t>I7</t>
  </si>
  <si>
    <t>I8</t>
  </si>
  <si>
    <t>I9</t>
  </si>
  <si>
    <t>J5</t>
  </si>
  <si>
    <t>J6</t>
  </si>
  <si>
    <t>J7</t>
  </si>
  <si>
    <t>J8</t>
  </si>
  <si>
    <t>J9</t>
  </si>
  <si>
    <t>K5</t>
  </si>
  <si>
    <t>K6</t>
  </si>
  <si>
    <t>K7</t>
  </si>
  <si>
    <t>K8</t>
  </si>
  <si>
    <t>K9</t>
  </si>
  <si>
    <t>B11</t>
  </si>
  <si>
    <t>B12</t>
  </si>
  <si>
    <t>B13</t>
  </si>
  <si>
    <t>B14</t>
  </si>
  <si>
    <t>B15</t>
  </si>
  <si>
    <t>C11</t>
  </si>
  <si>
    <t>C12</t>
  </si>
  <si>
    <t>C13</t>
  </si>
  <si>
    <t>C14</t>
  </si>
  <si>
    <t>C15</t>
  </si>
  <si>
    <t>D11</t>
  </si>
  <si>
    <t>D12</t>
  </si>
  <si>
    <t>D13</t>
  </si>
  <si>
    <t>D14</t>
  </si>
  <si>
    <t>D15</t>
  </si>
  <si>
    <t>E11</t>
  </si>
  <si>
    <t>E12</t>
  </si>
  <si>
    <t>E13</t>
  </si>
  <si>
    <t>E14</t>
  </si>
  <si>
    <t>E15</t>
  </si>
  <si>
    <t>F11</t>
  </si>
  <si>
    <t>F12</t>
  </si>
  <si>
    <t>F13</t>
  </si>
  <si>
    <t>F14</t>
  </si>
  <si>
    <t>F15</t>
  </si>
  <si>
    <t>G11</t>
  </si>
  <si>
    <t>G12</t>
  </si>
  <si>
    <t>G13</t>
  </si>
  <si>
    <t>G14</t>
  </si>
  <si>
    <t>G15</t>
  </si>
  <si>
    <t>H11</t>
  </si>
  <si>
    <t>H12</t>
  </si>
  <si>
    <t>H13</t>
  </si>
  <si>
    <t>H14</t>
  </si>
  <si>
    <t>H15</t>
  </si>
  <si>
    <t>I11</t>
  </si>
  <si>
    <t>I12</t>
  </si>
  <si>
    <t>I13</t>
  </si>
  <si>
    <t>I14</t>
  </si>
  <si>
    <t>I15</t>
  </si>
  <si>
    <t>J11</t>
  </si>
  <si>
    <t>J12</t>
  </si>
  <si>
    <t>J13</t>
  </si>
  <si>
    <t>J14</t>
  </si>
  <si>
    <t>J15</t>
  </si>
  <si>
    <t>K11</t>
  </si>
  <si>
    <t>K12</t>
  </si>
  <si>
    <t>K13</t>
  </si>
  <si>
    <t>K14</t>
  </si>
  <si>
    <t>K15</t>
  </si>
  <si>
    <t>B17</t>
  </si>
  <si>
    <t>B18</t>
  </si>
  <si>
    <t>B19</t>
  </si>
  <si>
    <t>B20</t>
  </si>
  <si>
    <t>B21</t>
  </si>
  <si>
    <t>C17</t>
  </si>
  <si>
    <t>C18</t>
  </si>
  <si>
    <t>C19</t>
  </si>
  <si>
    <t>C20</t>
  </si>
  <si>
    <t>C21</t>
  </si>
  <si>
    <t>D17</t>
  </si>
  <si>
    <t>D18</t>
  </si>
  <si>
    <t>D19</t>
  </si>
  <si>
    <t>D20</t>
  </si>
  <si>
    <t>D21</t>
  </si>
  <si>
    <t>E17</t>
  </si>
  <si>
    <t>E18</t>
  </si>
  <si>
    <t>E19</t>
  </si>
  <si>
    <t>E20</t>
  </si>
  <si>
    <t>E21</t>
  </si>
  <si>
    <t>F17</t>
  </si>
  <si>
    <t>F18</t>
  </si>
  <si>
    <t>F19</t>
  </si>
  <si>
    <t>F20</t>
  </si>
  <si>
    <t>F21</t>
  </si>
  <si>
    <t>G17</t>
  </si>
  <si>
    <t>G18</t>
  </si>
  <si>
    <t>G19</t>
  </si>
  <si>
    <t>G20</t>
  </si>
  <si>
    <t>G21</t>
  </si>
  <si>
    <t>H17</t>
  </si>
  <si>
    <t>H18</t>
  </si>
  <si>
    <t>H19</t>
  </si>
  <si>
    <t>H20</t>
  </si>
  <si>
    <t>H21</t>
  </si>
  <si>
    <t>I17</t>
  </si>
  <si>
    <t>I18</t>
  </si>
  <si>
    <t>I19</t>
  </si>
  <si>
    <t>I20</t>
  </si>
  <si>
    <t>I21</t>
  </si>
  <si>
    <t>J17</t>
  </si>
  <si>
    <t>J18</t>
  </si>
  <si>
    <t>J19</t>
  </si>
  <si>
    <t>J20</t>
  </si>
  <si>
    <t>J21</t>
  </si>
  <si>
    <t>K17</t>
  </si>
  <si>
    <t>K18</t>
  </si>
  <si>
    <t>K19</t>
  </si>
  <si>
    <t>K20</t>
  </si>
  <si>
    <t>K21</t>
  </si>
  <si>
    <t>B23</t>
  </si>
  <si>
    <t>B24</t>
  </si>
  <si>
    <t>B25</t>
  </si>
  <si>
    <t>B26</t>
  </si>
  <si>
    <t>B27</t>
  </si>
  <si>
    <t>C23</t>
  </si>
  <si>
    <t>C24</t>
  </si>
  <si>
    <t>C25</t>
  </si>
  <si>
    <t>C26</t>
  </si>
  <si>
    <t>C27</t>
  </si>
  <si>
    <t>D23</t>
  </si>
  <si>
    <t>D24</t>
  </si>
  <si>
    <t>D25</t>
  </si>
  <si>
    <t>D26</t>
  </si>
  <si>
    <t>D27</t>
  </si>
  <si>
    <t>E23</t>
  </si>
  <si>
    <t>E24</t>
  </si>
  <si>
    <t>E25</t>
  </si>
  <si>
    <t>E26</t>
  </si>
  <si>
    <t>E27</t>
  </si>
  <si>
    <t>F23</t>
  </si>
  <si>
    <t>F24</t>
  </si>
  <si>
    <t>F25</t>
  </si>
  <si>
    <t>F26</t>
  </si>
  <si>
    <t>F27</t>
  </si>
  <si>
    <t>G23</t>
  </si>
  <si>
    <t>G24</t>
  </si>
  <si>
    <t>G25</t>
  </si>
  <si>
    <t>G26</t>
  </si>
  <si>
    <t>G27</t>
  </si>
  <si>
    <t>H23</t>
  </si>
  <si>
    <t>H24</t>
  </si>
  <si>
    <t>H25</t>
  </si>
  <si>
    <t>H26</t>
  </si>
  <si>
    <t>H27</t>
  </si>
  <si>
    <t>I23</t>
  </si>
  <si>
    <t>I24</t>
  </si>
  <si>
    <t>I25</t>
  </si>
  <si>
    <t>I26</t>
  </si>
  <si>
    <t>I27</t>
  </si>
  <si>
    <t>J23</t>
  </si>
  <si>
    <t>J24</t>
  </si>
  <si>
    <t>J25</t>
  </si>
  <si>
    <t>J26</t>
  </si>
  <si>
    <t>J27</t>
  </si>
  <si>
    <t>K23</t>
  </si>
  <si>
    <t>K24</t>
  </si>
  <si>
    <t>K25</t>
  </si>
  <si>
    <t>K26</t>
  </si>
  <si>
    <t>K27</t>
  </si>
  <si>
    <t>B29</t>
  </si>
  <si>
    <t>B30</t>
  </si>
  <si>
    <t>B31</t>
  </si>
  <si>
    <t>B32</t>
  </si>
  <si>
    <t>B33</t>
  </si>
  <si>
    <t>C29</t>
  </si>
  <si>
    <t>C30</t>
  </si>
  <si>
    <t>C31</t>
  </si>
  <si>
    <t>C32</t>
  </si>
  <si>
    <t>C33</t>
  </si>
  <si>
    <t>D29</t>
  </si>
  <si>
    <t>D30</t>
  </si>
  <si>
    <t>D31</t>
  </si>
  <si>
    <t>D32</t>
  </si>
  <si>
    <t>D33</t>
  </si>
  <si>
    <t>E29</t>
  </si>
  <si>
    <t>E30</t>
  </si>
  <si>
    <t>E31</t>
  </si>
  <si>
    <t>E32</t>
  </si>
  <si>
    <t>E33</t>
  </si>
  <si>
    <t>F29</t>
  </si>
  <si>
    <t>F30</t>
  </si>
  <si>
    <t>F31</t>
  </si>
  <si>
    <t>F32</t>
  </si>
  <si>
    <t>F33</t>
  </si>
  <si>
    <t>G29</t>
  </si>
  <si>
    <t>G30</t>
  </si>
  <si>
    <t>G31</t>
  </si>
  <si>
    <t>G32</t>
  </si>
  <si>
    <t>G33</t>
  </si>
  <si>
    <t>H29</t>
  </si>
  <si>
    <t>H30</t>
  </si>
  <si>
    <t>H31</t>
  </si>
  <si>
    <t>H32</t>
  </si>
  <si>
    <t>H33</t>
  </si>
  <si>
    <t>I29</t>
  </si>
  <si>
    <t>I30</t>
  </si>
  <si>
    <t>I31</t>
  </si>
  <si>
    <t>I32</t>
  </si>
  <si>
    <t>I33</t>
  </si>
  <si>
    <t>J29</t>
  </si>
  <si>
    <t>J30</t>
  </si>
  <si>
    <t>J31</t>
  </si>
  <si>
    <t>J32</t>
  </si>
  <si>
    <t>J33</t>
  </si>
  <si>
    <t>K29</t>
  </si>
  <si>
    <t>K30</t>
  </si>
  <si>
    <t>K31</t>
  </si>
  <si>
    <t>K32</t>
  </si>
  <si>
    <t>K33</t>
  </si>
  <si>
    <t>B35</t>
  </si>
  <si>
    <t>B36</t>
  </si>
  <si>
    <t>B37</t>
  </si>
  <si>
    <t>B38</t>
  </si>
  <si>
    <t>B39</t>
  </si>
  <si>
    <t>C35</t>
  </si>
  <si>
    <t>C36</t>
  </si>
  <si>
    <t>C37</t>
  </si>
  <si>
    <t>C38</t>
  </si>
  <si>
    <t>C39</t>
  </si>
  <si>
    <t>D35</t>
  </si>
  <si>
    <t>D36</t>
  </si>
  <si>
    <t>D37</t>
  </si>
  <si>
    <t>D38</t>
  </si>
  <si>
    <t>D39</t>
  </si>
  <si>
    <t>E35</t>
  </si>
  <si>
    <t>E36</t>
  </si>
  <si>
    <t>E37</t>
  </si>
  <si>
    <t>E38</t>
  </si>
  <si>
    <t>E39</t>
  </si>
  <si>
    <t>F35</t>
  </si>
  <si>
    <t>F36</t>
  </si>
  <si>
    <t>F37</t>
  </si>
  <si>
    <t>F38</t>
  </si>
  <si>
    <t>F39</t>
  </si>
  <si>
    <t>G35</t>
  </si>
  <si>
    <t>G36</t>
  </si>
  <si>
    <t>G37</t>
  </si>
  <si>
    <t>G38</t>
  </si>
  <si>
    <t>G39</t>
  </si>
  <si>
    <t>H35</t>
  </si>
  <si>
    <t>H36</t>
  </si>
  <si>
    <t>H37</t>
  </si>
  <si>
    <t>H38</t>
  </si>
  <si>
    <t>H39</t>
  </si>
  <si>
    <t>I35</t>
  </si>
  <si>
    <t>I36</t>
  </si>
  <si>
    <t>I37</t>
  </si>
  <si>
    <t>I38</t>
  </si>
  <si>
    <t>I39</t>
  </si>
  <si>
    <t>J35</t>
  </si>
  <si>
    <t>J36</t>
  </si>
  <si>
    <t>J37</t>
  </si>
  <si>
    <t>J38</t>
  </si>
  <si>
    <t>J39</t>
  </si>
  <si>
    <t>K35</t>
  </si>
  <si>
    <t>K36</t>
  </si>
  <si>
    <t>K37</t>
  </si>
  <si>
    <t>K38</t>
  </si>
  <si>
    <t>K39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</si>
</sst>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General"/>
    <numFmt numFmtId="165" formatCode="m/d/yyyy"/>
  </numFmts>
  <fonts count="76">
    <font>
      <sz val="11.0"/>
      <color rgb="FF000000"/>
      <name val="Carlito"/>
      <scheme val="minor"/>
    </font>
    <font>
      <b/>
      <sz val="14.0"/>
      <color rgb="FFFFFFFF"/>
      <name val="Arial"/>
    </font>
    <font>
      <b/>
      <sz val="14.0"/>
      <color rgb="FFFFFFFF"/>
      <name val="Calibri"/>
    </font>
    <font>
      <b/>
      <sz val="18.0"/>
      <color rgb="FFFFFFFF"/>
      <name val="Aptos Display"/>
    </font>
    <font>
      <sz val="11.0"/>
      <color theme="1"/>
      <name val="Carlito"/>
    </font>
    <font>
      <sz val="10.0"/>
      <color rgb="FF09454E"/>
      <name val="Calibri"/>
    </font>
    <font>
      <b/>
      <sz val="18.0"/>
      <color rgb="FFFDFCFB"/>
      <name val="Aptos Display"/>
    </font>
    <font>
      <b/>
      <sz val="11.0"/>
      <color rgb="FFFFFFFF"/>
      <name val="Carlito"/>
    </font>
    <font>
      <i/>
      <sz val="10.0"/>
      <color rgb="FF355C5C"/>
      <name val="Calibri"/>
    </font>
    <font>
      <b/>
      <sz val="11.0"/>
      <color rgb="FFFFFFFF"/>
      <name val="Calibri"/>
    </font>
    <font>
      <b/>
      <sz val="11.0"/>
      <color rgb="FF09454E"/>
      <name val="Carlito"/>
    </font>
    <font>
      <b/>
      <sz val="11.0"/>
      <color rgb="FF09454E"/>
      <name val="Aptos"/>
    </font>
    <font>
      <b/>
      <u/>
      <sz val="11.0"/>
      <color rgb="FF17416B"/>
      <name val="Carlito"/>
    </font>
    <font>
      <sz val="11.0"/>
      <color rgb="FF09454E"/>
      <name val="Carlito"/>
    </font>
    <font>
      <b/>
      <sz val="9.0"/>
      <color rgb="FFFFFFFF"/>
      <name val="Calibri"/>
    </font>
    <font>
      <b/>
      <sz val="10.0"/>
      <color rgb="FF09454E"/>
      <name val="Calibri"/>
    </font>
    <font>
      <b/>
      <sz val="11.0"/>
      <color rgb="FF0D2C3A"/>
      <name val="Aptos"/>
    </font>
    <font>
      <color theme="1"/>
      <name val="Carlito"/>
      <scheme val="minor"/>
    </font>
    <font>
      <i/>
      <sz val="9.0"/>
      <color rgb="FF526A6A"/>
      <name val="Calibri"/>
    </font>
    <font>
      <sz val="9.0"/>
      <color rgb="FF444444"/>
      <name val="Calibri"/>
    </font>
    <font>
      <b/>
      <sz val="12.0"/>
      <color rgb="FFFFFFFF"/>
      <name val="Aptos"/>
    </font>
    <font>
      <b/>
      <sz val="10.0"/>
      <color rgb="FF173A3A"/>
      <name val="Calibri"/>
    </font>
    <font>
      <b/>
      <sz val="11.0"/>
      <color rgb="FFFDFCFB"/>
      <name val="Aptos"/>
    </font>
    <font>
      <b/>
      <sz val="10.0"/>
      <color rgb="FF09454E"/>
      <name val="Aptos"/>
    </font>
    <font>
      <b/>
      <color rgb="FF09454E"/>
      <name val="Carlito"/>
      <scheme val="minor"/>
    </font>
    <font>
      <b/>
      <sz val="9.0"/>
      <color rgb="FF0D2C3A"/>
      <name val="Aptos"/>
    </font>
    <font>
      <sz val="10.0"/>
      <color rgb="FF09454E"/>
      <name val="Aptos"/>
    </font>
    <font>
      <b/>
      <sz val="10.0"/>
      <color rgb="FF0D2C3A"/>
      <name val="Aptos"/>
    </font>
    <font>
      <sz val="9.0"/>
      <color rgb="FF4A4A4A"/>
      <name val="Aptos"/>
    </font>
    <font>
      <sz val="9.0"/>
      <color rgb="FF555555"/>
      <name val="Aptos"/>
    </font>
    <font>
      <b/>
      <sz val="10.0"/>
      <color rgb="FFFFFFFF"/>
      <name val="Calibri"/>
    </font>
    <font>
      <b/>
      <sz val="10.0"/>
      <color rgb="FFFDFCFB"/>
      <name val="Aptos"/>
    </font>
    <font>
      <b/>
      <sz val="9.0"/>
      <color rgb="FFFDFCFB"/>
      <name val="Aptos"/>
    </font>
    <font>
      <sz val="11.0"/>
      <color rgb="FF09454E"/>
      <name val="Aptos"/>
    </font>
    <font/>
    <font>
      <b/>
      <sz val="10.0"/>
      <color rgb="FF17626D"/>
      <name val="Aptos"/>
    </font>
    <font>
      <b/>
      <sz val="9.0"/>
      <color rgb="FF17626D"/>
      <name val="Aptos"/>
    </font>
    <font>
      <b/>
      <sz val="10.0"/>
      <color rgb="FF4A4A4A"/>
      <name val="Aptos"/>
    </font>
    <font>
      <b/>
      <sz val="9.0"/>
      <color rgb="FF4A4A4A"/>
      <name val="Aptos"/>
    </font>
    <font>
      <i/>
      <sz val="9.0"/>
      <color rgb="FF607575"/>
      <name val="Calibri"/>
    </font>
    <font>
      <sz val="10.0"/>
      <color rgb="FF222222"/>
      <name val="Calibri"/>
    </font>
    <font>
      <b/>
      <color rgb="FFFFFFFF"/>
      <name val="Carlito"/>
      <scheme val="minor"/>
    </font>
    <font>
      <sz val="10.0"/>
      <color rgb="FF0D2C3A"/>
      <name val="Aptos"/>
    </font>
    <font>
      <b/>
      <sz val="10.0"/>
      <color rgb="FF17416B"/>
      <name val="Aptos"/>
    </font>
    <font>
      <i/>
      <color rgb="FF5F6F85"/>
      <name val="Carlito"/>
      <scheme val="minor"/>
    </font>
    <font>
      <b/>
      <i/>
      <sz val="11.0"/>
      <color rgb="FFFFFFFF"/>
      <name val="Aptos"/>
    </font>
    <font>
      <b/>
      <sz val="11.0"/>
      <color rgb="FF17626D"/>
      <name val="Aptos"/>
    </font>
    <font>
      <b/>
      <sz val="11.0"/>
      <color rgb="FFE44349"/>
      <name val="Aptos"/>
    </font>
    <font>
      <sz val="11.0"/>
      <color rgb="FFFCFDFD"/>
      <name val="Carlito"/>
    </font>
    <font>
      <b/>
      <sz val="11.0"/>
      <color rgb="FFFCFDFD"/>
      <name val="Carlito"/>
    </font>
    <font>
      <b/>
      <sz val="11.0"/>
      <color theme="1"/>
      <name val="Carlito"/>
    </font>
    <font>
      <sz val="11.0"/>
      <color rgb="FF09454E"/>
      <name val="Calibri"/>
    </font>
    <font>
      <b/>
      <sz val="12.0"/>
      <color rgb="FFFFFFFF"/>
      <name val="Calibri"/>
    </font>
    <font>
      <sz val="11.0"/>
      <color rgb="FFFCFDFD"/>
      <name val="Calibri"/>
    </font>
    <font>
      <i/>
      <sz val="10.0"/>
      <color rgb="FF475569"/>
      <name val="Calibri"/>
    </font>
    <font>
      <sz val="10.0"/>
      <color rgb="FF0070C0"/>
      <name val="Calibri"/>
    </font>
    <font>
      <sz val="10.0"/>
      <color rgb="FF64748B"/>
      <name val="Calibri"/>
    </font>
    <font>
      <sz val="10.0"/>
      <color rgb="FF666666"/>
      <name val="Calibri"/>
    </font>
    <font>
      <sz val="11.0"/>
      <color rgb="FF0070C0"/>
      <name val="Calibri"/>
    </font>
    <font>
      <i/>
      <sz val="11.0"/>
      <color rgb="FF7F7F7F"/>
      <name val="Carlito"/>
    </font>
    <font>
      <b/>
      <sz val="10.0"/>
      <color rgb="FFE44349"/>
      <name val="Calibri"/>
    </font>
    <font>
      <i/>
      <sz val="11.0"/>
      <color rgb="FF385B63"/>
      <name val="Carlito"/>
    </font>
    <font>
      <i/>
      <sz val="10.0"/>
      <color rgb="FF445050"/>
      <name val="Calibri"/>
    </font>
    <font>
      <i/>
      <sz val="9.0"/>
      <color rgb="FF5F6F85"/>
      <name val="Calibri"/>
    </font>
    <font>
      <b/>
      <sz val="10.0"/>
      <color rgb="FF555555"/>
      <name val="Calibri"/>
    </font>
    <font>
      <sz val="11.0"/>
      <color rgb="FF000000"/>
      <name val="Carlito"/>
    </font>
    <font>
      <sz val="10.0"/>
      <color rgb="FF555555"/>
      <name val="Calibri"/>
    </font>
    <font>
      <i/>
      <sz val="10.0"/>
      <color rgb="FF777777"/>
      <name val="Calibri"/>
    </font>
    <font>
      <b/>
      <sz val="11.0"/>
      <color rgb="FF09454E"/>
      <name val="Calibri"/>
    </font>
    <font>
      <sz val="11.0"/>
      <color rgb="FF555555"/>
      <name val="Calibri"/>
    </font>
    <font>
      <sz val="9.0"/>
      <color rgb="FF7F7F7F"/>
      <name val="Calibri"/>
    </font>
    <font>
      <b/>
      <sz val="14.0"/>
      <color rgb="FFFFFFFF"/>
      <name val="Carlito"/>
    </font>
    <font>
      <i/>
      <sz val="10.0"/>
      <color rgb="FF555555"/>
      <name val="Calibri"/>
    </font>
    <font>
      <sz val="11.0"/>
      <color rgb="FF000000"/>
      <name val="Calibri"/>
    </font>
    <font>
      <i/>
      <sz val="10.0"/>
      <color rgb="FF425466"/>
      <name val="Arial"/>
    </font>
    <font>
      <i/>
      <sz val="10.0"/>
      <color rgb="FF444444"/>
      <name val="Calibri"/>
    </font>
  </fonts>
  <fills count="51">
    <fill>
      <patternFill patternType="none"/>
    </fill>
    <fill>
      <patternFill patternType="lightGray"/>
    </fill>
    <fill>
      <patternFill patternType="solid">
        <fgColor rgb="FF17416B"/>
        <bgColor rgb="FF17416B"/>
      </patternFill>
    </fill>
    <fill>
      <patternFill patternType="solid">
        <fgColor rgb="FF1D3557"/>
        <bgColor rgb="FF1D3557"/>
      </patternFill>
    </fill>
    <fill>
      <patternFill patternType="solid">
        <fgColor rgb="FFF2F9FA"/>
        <bgColor rgb="FFF2F9FA"/>
      </patternFill>
    </fill>
    <fill>
      <patternFill patternType="solid">
        <fgColor rgb="FF17626D"/>
        <bgColor rgb="FF17626D"/>
      </patternFill>
    </fill>
    <fill>
      <patternFill patternType="solid">
        <fgColor rgb="FFEAF5F4"/>
        <bgColor rgb="FFEAF5F4"/>
      </patternFill>
    </fill>
    <fill>
      <patternFill patternType="solid">
        <fgColor rgb="FFFFF6D1"/>
        <bgColor rgb="FFFFF6D1"/>
      </patternFill>
    </fill>
    <fill>
      <patternFill patternType="solid">
        <fgColor rgb="FFFCFDFD"/>
        <bgColor rgb="FFFCFDFD"/>
      </patternFill>
    </fill>
    <fill>
      <patternFill patternType="solid">
        <fgColor rgb="FF6C8E91"/>
        <bgColor rgb="FF6C8E91"/>
      </patternFill>
    </fill>
    <fill>
      <patternFill patternType="solid">
        <fgColor rgb="FFFFF5F2"/>
        <bgColor rgb="FFFFF5F2"/>
      </patternFill>
    </fill>
    <fill>
      <patternFill patternType="solid">
        <fgColor rgb="FFF7FBFB"/>
        <bgColor rgb="FFF7FBFB"/>
      </patternFill>
    </fill>
    <fill>
      <patternFill patternType="solid">
        <fgColor rgb="FFF3F6F6"/>
        <bgColor rgb="FFF3F6F6"/>
      </patternFill>
    </fill>
    <fill>
      <patternFill patternType="solid">
        <fgColor rgb="FFD9EDEB"/>
        <bgColor rgb="FFD9EDEB"/>
      </patternFill>
    </fill>
    <fill>
      <patternFill patternType="solid">
        <fgColor rgb="FF2A7F8E"/>
        <bgColor rgb="FF2A7F8E"/>
      </patternFill>
    </fill>
    <fill>
      <patternFill patternType="solid">
        <fgColor rgb="FF2A818D"/>
        <bgColor rgb="FF2A818D"/>
      </patternFill>
    </fill>
    <fill>
      <patternFill patternType="solid">
        <fgColor rgb="FF2A9D8F"/>
        <bgColor rgb="FF2A9D8F"/>
      </patternFill>
    </fill>
    <fill>
      <patternFill patternType="solid">
        <fgColor rgb="FFDFF3EF"/>
        <bgColor rgb="FFDFF3EF"/>
      </patternFill>
    </fill>
    <fill>
      <patternFill patternType="solid">
        <fgColor rgb="FFD3FBFF"/>
        <bgColor rgb="FFD3FBFF"/>
      </patternFill>
    </fill>
    <fill>
      <patternFill patternType="solid">
        <fgColor rgb="FFFFA7AE"/>
        <bgColor rgb="FFFFA7AE"/>
      </patternFill>
    </fill>
    <fill>
      <patternFill patternType="solid">
        <fgColor rgb="FFF7F9FB"/>
        <bgColor rgb="FFF7F9FB"/>
      </patternFill>
    </fill>
    <fill>
      <patternFill patternType="solid">
        <fgColor rgb="FFFFFFFF"/>
        <bgColor rgb="FFFFFFFF"/>
      </patternFill>
    </fill>
    <fill>
      <patternFill patternType="solid">
        <fgColor rgb="FFDD476A"/>
        <bgColor rgb="FFDD476A"/>
      </patternFill>
    </fill>
    <fill>
      <patternFill patternType="solid">
        <fgColor rgb="FFA2E4D8"/>
        <bgColor rgb="FFA2E4D8"/>
      </patternFill>
    </fill>
    <fill>
      <patternFill patternType="solid">
        <fgColor rgb="FFFBD060"/>
        <bgColor rgb="FFFBD060"/>
      </patternFill>
    </fill>
    <fill>
      <patternFill patternType="solid">
        <fgColor rgb="FFE44349"/>
        <bgColor rgb="FFE44349"/>
      </patternFill>
    </fill>
    <fill>
      <patternFill patternType="solid">
        <fgColor rgb="FFD0D0D0"/>
        <bgColor rgb="FFD0D0D0"/>
      </patternFill>
    </fill>
    <fill>
      <patternFill patternType="solid">
        <fgColor rgb="FFF2F7F7"/>
        <bgColor rgb="FFF2F7F7"/>
      </patternFill>
    </fill>
    <fill>
      <patternFill patternType="solid">
        <fgColor rgb="FFFFECE9"/>
        <bgColor rgb="FFFFECE9"/>
      </patternFill>
    </fill>
    <fill>
      <patternFill patternType="solid">
        <fgColor rgb="FFEFFEFF"/>
        <bgColor rgb="FFEFFEFF"/>
      </patternFill>
    </fill>
    <fill>
      <patternFill patternType="solid">
        <fgColor rgb="FFFFF9F8"/>
        <bgColor rgb="FFFFF9F8"/>
      </patternFill>
    </fill>
    <fill>
      <patternFill patternType="solid">
        <fgColor rgb="FFD9EAF7"/>
        <bgColor rgb="FFD9EAF7"/>
      </patternFill>
    </fill>
    <fill>
      <patternFill patternType="solid">
        <fgColor rgb="FFE2E3E5"/>
        <bgColor rgb="FFE2E3E5"/>
      </patternFill>
    </fill>
    <fill>
      <patternFill patternType="solid">
        <fgColor rgb="FF1D2330"/>
        <bgColor rgb="FF1D2330"/>
      </patternFill>
    </fill>
    <fill>
      <patternFill patternType="solid">
        <fgColor rgb="FFEAF3F4"/>
        <bgColor rgb="FFEAF3F4"/>
      </patternFill>
    </fill>
    <fill>
      <patternFill patternType="solid">
        <fgColor rgb="FF1F7A8C"/>
        <bgColor rgb="FF1F7A8C"/>
      </patternFill>
    </fill>
    <fill>
      <patternFill patternType="solid">
        <fgColor rgb="FFF8FCFD"/>
        <bgColor rgb="FFF8FCFD"/>
      </patternFill>
    </fill>
    <fill>
      <patternFill patternType="solid">
        <fgColor rgb="FFF1F5F9"/>
        <bgColor rgb="FFF1F5F9"/>
      </patternFill>
    </fill>
    <fill>
      <patternFill patternType="solid">
        <fgColor rgb="FFFFFDF5"/>
        <bgColor rgb="FFFFFDF5"/>
      </patternFill>
    </fill>
    <fill>
      <patternFill patternType="solid">
        <fgColor rgb="FFF2F2F2"/>
        <bgColor rgb="FFF2F2F2"/>
      </patternFill>
    </fill>
    <fill>
      <patternFill patternType="solid">
        <fgColor rgb="FFEAF5F6"/>
        <bgColor rgb="FFEAF5F6"/>
      </patternFill>
    </fill>
    <fill>
      <patternFill patternType="solid">
        <fgColor rgb="FF2B8794"/>
        <bgColor rgb="FF2B8794"/>
      </patternFill>
    </fill>
    <fill>
      <patternFill patternType="solid">
        <fgColor rgb="FFF8FBFC"/>
        <bgColor rgb="FFF8FBFC"/>
      </patternFill>
    </fill>
    <fill>
      <patternFill patternType="solid">
        <fgColor rgb="FFE8F3F5"/>
        <bgColor rgb="FFE8F3F5"/>
      </patternFill>
    </fill>
    <fill>
      <patternFill patternType="solid">
        <fgColor rgb="FFF7F7F7"/>
        <bgColor rgb="FFF7F7F7"/>
      </patternFill>
    </fill>
    <fill>
      <patternFill patternType="solid">
        <fgColor rgb="FF2F7F7B"/>
        <bgColor rgb="FF2F7F7B"/>
      </patternFill>
    </fill>
    <fill>
      <patternFill patternType="solid">
        <fgColor rgb="FFEAF4F4"/>
        <bgColor rgb="FFEAF4F4"/>
      </patternFill>
    </fill>
    <fill>
      <patternFill patternType="solid">
        <fgColor rgb="FFEEF5F6"/>
        <bgColor rgb="FFEEF5F6"/>
      </patternFill>
    </fill>
    <fill>
      <patternFill patternType="solid">
        <fgColor rgb="FFEAF3F2"/>
        <bgColor rgb="FFEAF3F2"/>
      </patternFill>
    </fill>
    <fill>
      <patternFill patternType="solid">
        <fgColor rgb="FF0F6B73"/>
        <bgColor rgb="FF0F6B73"/>
      </patternFill>
    </fill>
    <fill>
      <patternFill patternType="solid">
        <fgColor rgb="FFF3F7F7"/>
        <bgColor rgb="FFF3F7F7"/>
      </patternFill>
    </fill>
  </fills>
  <borders count="152">
    <border/>
    <border>
      <bottom style="thin">
        <color rgb="FF1D3557"/>
      </bottom>
    </border>
    <border>
      <bottom style="thin">
        <color rgb="FF0E4F50"/>
      </bottom>
    </border>
    <border>
      <bottom style="thin">
        <color rgb="FF17626D"/>
      </bottom>
    </border>
    <border>
      <bottom style="thin">
        <color rgb="FFB7D7D5"/>
      </bottom>
    </border>
    <border>
      <bottom style="thin">
        <color rgb="FFC9DDDC"/>
      </bottom>
    </border>
    <border>
      <bottom style="thin">
        <color rgb="FFFBD060"/>
      </bottom>
    </border>
    <border>
      <bottom style="thin">
        <color rgb="FF176B6B"/>
      </bottom>
    </border>
    <border>
      <left style="thin">
        <color rgb="FF527477"/>
      </left>
      <top style="thin">
        <color rgb="FF527477"/>
      </top>
      <bottom style="thin">
        <color rgb="FF527477"/>
      </bottom>
    </border>
    <border>
      <right/>
    </border>
    <border>
      <top style="thin">
        <color rgb="FF527477"/>
      </top>
      <bottom style="thin">
        <color rgb="FF527477"/>
      </bottom>
    </border>
    <border>
      <left/>
      <right/>
    </border>
    <border>
      <right style="thin">
        <color rgb="FF527477"/>
      </right>
      <top style="thin">
        <color rgb="FF527477"/>
      </top>
      <bottom style="thin">
        <color rgb="FF527477"/>
      </bottom>
    </border>
    <border>
      <left style="thin">
        <color rgb="FFD8E2E2"/>
      </left>
      <top style="thin">
        <color rgb="FFD8E2E2"/>
      </top>
    </border>
    <border>
      <left/>
    </border>
    <border>
      <left style="thin">
        <color rgb="FFB7D7D5"/>
      </left>
      <right style="thin">
        <color rgb="FFB7D7D5"/>
      </right>
      <top style="thin">
        <color rgb="FFB7D7D5"/>
      </top>
      <bottom style="thin">
        <color rgb="FF8FC8CC"/>
      </bottom>
    </border>
    <border>
      <left style="thin">
        <color rgb="FFD1DDDE"/>
      </left>
    </border>
    <border>
      <top style="thin">
        <color rgb="FF17626D"/>
      </top>
    </border>
    <border>
      <right style="thin">
        <color rgb="FFD1DDDE"/>
      </right>
    </border>
    <border>
      <left style="thin">
        <color rgb="FFD8E2E2"/>
      </left>
    </border>
    <border>
      <left style="thin">
        <color rgb="FFB7D7D5"/>
      </left>
      <right style="thin">
        <color rgb="FFB7D7D5"/>
      </right>
    </border>
    <border>
      <bottom style="thin">
        <color rgb="FFE44349"/>
      </bottom>
    </border>
    <border>
      <left style="thin">
        <color rgb="FFA9C9C7"/>
      </left>
      <top style="thin">
        <color rgb="FFA9C9C7"/>
      </top>
    </border>
    <border>
      <left style="thin">
        <color rgb="FFE6ECEC"/>
      </left>
      <right/>
      <top style="thin">
        <color rgb="FF17626D"/>
      </top>
      <bottom/>
    </border>
    <border>
      <right style="thin">
        <color rgb="FFA9C9C7"/>
      </right>
      <top style="thin">
        <color rgb="FFA9C9C7"/>
      </top>
    </border>
    <border>
      <bottom style="thin">
        <color rgb="FF226774"/>
      </bottom>
    </border>
    <border>
      <left style="thin">
        <color rgb="FFB7D7D5"/>
      </left>
      <right style="thin">
        <color rgb="FFB7D7D5"/>
      </right>
      <bottom style="thin">
        <color rgb="FFD8E2E2"/>
      </bottom>
    </border>
    <border>
      <left style="thin">
        <color rgb="FFB7D7D5"/>
      </left>
      <right style="thin">
        <color rgb="FFB7D7D5"/>
      </right>
      <top style="thin">
        <color rgb="FFB7D7D5"/>
      </top>
    </border>
    <border>
      <bottom style="thin">
        <color rgb="FF1F6F66"/>
      </bottom>
    </border>
    <border>
      <left style="thin">
        <color rgb="FFB7D7D5"/>
      </left>
      <right style="thin">
        <color rgb="FFB7D7D5"/>
      </right>
      <top style="thin">
        <color rgb="FFD8E2E2"/>
      </top>
    </border>
    <border>
      <bottom style="thin">
        <color rgb="FF0D2C3A"/>
      </bottom>
    </border>
    <border>
      <bottom style="thin">
        <color rgb="FFFFA7AE"/>
      </bottom>
    </border>
    <border>
      <left style="thin">
        <color rgb="FFD8E2E2"/>
      </left>
      <right style="thin">
        <color rgb="FFD8E2E2"/>
      </right>
      <bottom style="thin">
        <color rgb="FFC7DADB"/>
      </bottom>
    </border>
    <border>
      <bottom style="thin">
        <color rgb="FFA2E4D8"/>
      </bottom>
    </border>
    <border>
      <left style="thin">
        <color rgb="FFE6ECEC"/>
      </left>
      <right/>
      <top style="thin">
        <color rgb="FFE6ECEC"/>
      </top>
      <bottom/>
    </border>
    <border>
      <left style="thin">
        <color rgb="FFD8E2E2"/>
      </left>
      <right style="thin">
        <color rgb="FFD8E2E2"/>
      </right>
      <top style="thin">
        <color rgb="FFD8E2E2"/>
      </top>
    </border>
    <border>
      <left style="thin">
        <color rgb="FFD9C98A"/>
      </left>
      <right style="thin">
        <color rgb="FFD9C98A"/>
      </right>
      <top style="thin">
        <color rgb="FFD9C98A"/>
      </top>
    </border>
    <border>
      <left style="thin">
        <color rgb="FFE0E5E5"/>
      </left>
      <right style="thin">
        <color rgb="FFE0E5E5"/>
      </right>
      <top style="thin">
        <color rgb="FFE0E5E5"/>
      </top>
    </border>
    <border>
      <top style="thin">
        <color rgb="FFC9DEDC"/>
      </top>
      <bottom style="thin">
        <color rgb="FFB7D4D1"/>
      </bottom>
    </border>
    <border>
      <left style="thin">
        <color rgb="FFD8E2E2"/>
      </left>
      <bottom style="thin">
        <color rgb="FFD8E2E2"/>
      </bottom>
    </border>
    <border>
      <left style="thin">
        <color rgb="FFB7D7D5"/>
      </left>
      <right style="thin">
        <color rgb="FFB7D7D5"/>
      </right>
      <bottom style="thin">
        <color rgb="FFB7D7D5"/>
      </bottom>
    </border>
    <border>
      <bottom style="thin">
        <color rgb="FF006D77"/>
      </bottom>
    </border>
    <border>
      <top style="thin">
        <color rgb="FFA9C9C7"/>
      </top>
    </border>
    <border>
      <left style="thin">
        <color rgb="FFD1DDDE"/>
      </left>
      <bottom style="thin">
        <color rgb="FFD1DDDE"/>
      </bottom>
    </border>
    <border>
      <bottom style="thin">
        <color rgb="FFD0D0D0"/>
      </bottom>
    </border>
    <border>
      <bottom style="thin">
        <color rgb="FFD1DDDE"/>
      </bottom>
    </border>
    <border>
      <right style="thin">
        <color rgb="FFD1DDDE"/>
      </right>
      <bottom style="thin">
        <color rgb="FFD1DDDE"/>
      </bottom>
    </border>
    <border>
      <right style="thin">
        <color rgb="FFD8E2E2"/>
      </right>
      <top style="thin">
        <color rgb="FFD8E2E2"/>
      </top>
    </border>
    <border>
      <top style="thin">
        <color rgb="FFD8E2E2"/>
      </top>
    </border>
    <border>
      <right style="thin">
        <color rgb="FFD8E2E2"/>
      </right>
    </border>
    <border>
      <bottom/>
    </border>
    <border>
      <top/>
    </border>
    <border>
      <left style="thin">
        <color rgb="FFE6ECEC"/>
      </left>
      <right/>
      <top/>
    </border>
    <border>
      <left/>
      <right/>
      <top/>
    </border>
    <border>
      <left/>
      <right style="thin">
        <color rgb="FFE6ECEC"/>
      </right>
      <top/>
    </border>
    <border>
      <right style="thin">
        <color rgb="FFD8E2E2"/>
      </right>
      <bottom style="thin">
        <color rgb="FFD8E2E2"/>
      </bottom>
    </border>
    <border>
      <bottom style="thin">
        <color rgb="FFD8E2E2"/>
      </bottom>
    </border>
    <border>
      <bottom style="thin">
        <color rgb="FF2A818D"/>
      </bottom>
    </border>
    <border>
      <left style="thin">
        <color rgb="FFA9C9C7"/>
      </left>
    </border>
    <border>
      <right style="thin">
        <color rgb="FF6BB8B1"/>
      </right>
    </border>
    <border>
      <right style="thin">
        <color rgb="FFA9C9C7"/>
      </right>
    </border>
    <border>
      <left style="thin">
        <color rgb="FFE6ECEC"/>
      </left>
      <right/>
      <top/>
      <bottom/>
    </border>
    <border>
      <left style="thin">
        <color rgb="FFE6ECEC"/>
      </left>
      <right style="thin">
        <color rgb="FFE6ECEC"/>
      </right>
      <top style="thin">
        <color rgb="FFE6ECEC"/>
      </top>
    </border>
    <border>
      <left style="thin">
        <color rgb="FFE6ECEC"/>
      </left>
      <top style="thin">
        <color rgb="FFE6ECEC"/>
      </top>
    </border>
    <border>
      <top style="thin">
        <color rgb="FFE6ECEC"/>
      </top>
    </border>
    <border>
      <right style="thin">
        <color rgb="FFE1E7E8"/>
      </right>
      <top style="thin">
        <color rgb="FFE6ECEC"/>
      </top>
    </border>
    <border>
      <right style="thin">
        <color rgb="FFE6ECEC"/>
      </right>
      <top style="thin">
        <color rgb="FFE6ECEC"/>
      </top>
    </border>
    <border>
      <left style="thin">
        <color rgb="FFD6E3E4"/>
      </left>
    </border>
    <border>
      <left style="thin">
        <color rgb="FFBFD8DA"/>
      </left>
      <right style="thin">
        <color rgb="FFBFD8DA"/>
      </right>
      <bottom style="thin">
        <color rgb="FFBFD8DA"/>
      </bottom>
    </border>
    <border>
      <right style="thin">
        <color rgb="FFD6E3E4"/>
      </right>
    </border>
    <border>
      <left style="thin">
        <color rgb="FFBFD8DA"/>
      </left>
    </border>
    <border>
      <left style="thin">
        <color rgb="FFE6ECEC"/>
      </left>
      <right style="thin">
        <color rgb="FFE6ECEC"/>
      </right>
    </border>
    <border>
      <left style="thin">
        <color rgb="FFD6E3E4"/>
      </left>
      <right style="thin">
        <color rgb="FFD6E3E4"/>
      </right>
    </border>
    <border>
      <left style="thin">
        <color rgb="FFE6ECEC"/>
      </left>
    </border>
    <border>
      <left style="thin">
        <color rgb="FFD6E3E4"/>
      </left>
      <bottom style="thin">
        <color rgb="FFD0D0D0"/>
      </bottom>
    </border>
    <border>
      <left style="thin">
        <color rgb="FFBFD8DA"/>
      </left>
      <bottom style="thin">
        <color rgb="FFD0D0D0"/>
      </bottom>
    </border>
    <border>
      <left style="thin">
        <color rgb="FFD6E3E4"/>
      </left>
      <right style="thin">
        <color rgb="FFD6E3E4"/>
      </right>
      <bottom style="thin">
        <color rgb="FFFBD060"/>
      </bottom>
    </border>
    <border>
      <left style="thin">
        <color rgb="FF6BB8B1"/>
      </left>
      <bottom style="thin">
        <color rgb="FF0D2C3A"/>
      </bottom>
    </border>
    <border>
      <right style="thin">
        <color rgb="FF6BB8B1"/>
      </right>
      <bottom style="thin">
        <color rgb="FF0D2C3A"/>
      </bottom>
    </border>
    <border>
      <left style="thin">
        <color rgb="FFC8C8C8"/>
      </left>
      <right style="thin">
        <color rgb="FFC8C8C8"/>
      </right>
    </border>
    <border>
      <right style="thin">
        <color rgb="FFD6D6D6"/>
      </right>
    </border>
    <border>
      <left style="thin">
        <color rgb="FFC8C8C8"/>
      </left>
      <right style="thin">
        <color rgb="FFC8C8C8"/>
      </right>
      <bottom style="thin">
        <color rgb="FFD0D0D0"/>
      </bottom>
    </border>
    <border>
      <right style="thin">
        <color rgb="FFD6D6D6"/>
      </right>
      <bottom style="thin">
        <color rgb="FFD0D0D0"/>
      </bottom>
    </border>
    <border>
      <left style="thin">
        <color rgb="FFE0E3E5"/>
      </left>
      <top style="thin">
        <color rgb="FF17626D"/>
      </top>
    </border>
    <border>
      <left style="thin">
        <color rgb="FFE0E3E5"/>
      </left>
    </border>
    <border>
      <left style="thin">
        <color rgb="FFE6ECEC"/>
      </left>
      <right/>
      <top style="thin">
        <color rgb="FFE0E3E5"/>
      </top>
      <bottom/>
    </border>
    <border>
      <left style="thin">
        <color rgb="FFE0E3E5"/>
      </left>
      <bottom/>
    </border>
    <border>
      <bottom style="thin">
        <color rgb="FFB7B7B7"/>
      </bottom>
    </border>
    <border>
      <bottom style="thin">
        <color rgb="FF1D2330"/>
      </bottom>
    </border>
    <border>
      <bottom style="thin">
        <color rgb="FFCBD5E1"/>
      </bottom>
    </border>
    <border>
      <bottom style="thin">
        <color rgb="FFE2E8F0"/>
      </bottom>
    </border>
    <border>
      <left style="thin">
        <color rgb="FFE5E7EB"/>
      </left>
      <bottom style="thin">
        <color rgb="FF226774"/>
      </bottom>
    </border>
    <border>
      <right style="thin">
        <color rgb="FFE5E7EB"/>
      </right>
      <bottom style="thin">
        <color rgb="FF226774"/>
      </bottom>
    </border>
    <border>
      <bottom style="thin">
        <color rgb="FFA7C7CE"/>
      </bottom>
    </border>
    <border>
      <left style="thin">
        <color rgb="FFE5E7EB"/>
      </left>
    </border>
    <border>
      <right style="thin">
        <color rgb="FFE5E7EB"/>
      </right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bottom style="thin">
        <color rgb="FFE5E7EB"/>
      </bottom>
    </border>
    <border>
      <bottom style="thin">
        <color rgb="FF1D4E78"/>
      </bottom>
    </border>
    <border>
      <bottom style="thin">
        <color rgb="FF2F5597"/>
      </bottom>
    </border>
    <border>
      <left style="thin">
        <color rgb="FFE5E7EB"/>
      </left>
      <bottom style="thin">
        <color rgb="FFE2E8F0"/>
      </bottom>
    </border>
    <border>
      <right style="thin">
        <color rgb="FFE5E7EB"/>
      </right>
      <bottom style="thin">
        <color rgb="FFE2E8F0"/>
      </bottom>
    </border>
    <border>
      <bottom style="thin">
        <color rgb="FFD9E7EA"/>
      </bottom>
    </border>
    <border>
      <bottom style="thin">
        <color rgb="FFB7C9C9"/>
      </bottom>
    </border>
    <border>
      <bottom style="thin">
        <color rgb="FFD5E1E1"/>
      </bottom>
    </border>
    <border>
      <top style="thin">
        <color rgb="FF245F5C"/>
      </top>
      <bottom style="thin">
        <color rgb="FF155A66"/>
      </bottom>
    </border>
    <border>
      <bottom style="thin">
        <color rgb="FF155A66"/>
      </bottom>
    </border>
    <border>
      <left style="thin">
        <color rgb="FFA7B8B8"/>
      </left>
      <top style="thin">
        <color rgb="FFA7B8B8"/>
      </top>
      <bottom style="thin">
        <color rgb="FF155A66"/>
      </bottom>
    </border>
    <border>
      <top style="thin">
        <color rgb="FFA7B8B8"/>
      </top>
      <bottom style="thin">
        <color rgb="FF155A66"/>
      </bottom>
    </border>
    <border>
      <left style="thin">
        <color rgb="FF246662"/>
      </left>
      <right style="thin">
        <color rgb="FF246662"/>
      </right>
      <top style="thin">
        <color rgb="FF246662"/>
      </top>
      <bottom style="thin">
        <color rgb="FF155A66"/>
      </bottom>
    </border>
    <border>
      <bottom style="thin">
        <color rgb="FFE7E6E6"/>
      </bottom>
    </border>
    <border>
      <left style="thin">
        <color rgb="FFD9E2E2"/>
      </left>
    </border>
    <border>
      <right style="thin">
        <color rgb="FFD9E2E2"/>
      </right>
    </border>
    <border>
      <left style="thin">
        <color rgb="FFD9E2E1"/>
      </left>
      <right style="thin">
        <color rgb="FFD9E2E1"/>
      </right>
    </border>
    <border>
      <bottom style="thin">
        <color rgb="FF15535A"/>
      </bottom>
    </border>
    <border>
      <left style="thin">
        <color rgb="FFB7C9C7"/>
      </left>
      <top style="thin">
        <color rgb="FFB7C9C7"/>
      </top>
      <bottom style="thin">
        <color rgb="FFB7C9C7"/>
      </bottom>
    </border>
    <border>
      <top style="thin">
        <color rgb="FFB7C9C7"/>
      </top>
      <bottom style="thin">
        <color rgb="FFB7C9C7"/>
      </bottom>
    </border>
    <border>
      <right style="thin">
        <color rgb="FFB7C9C7"/>
      </right>
      <top style="thin">
        <color rgb="FFB7C9C7"/>
      </top>
      <bottom style="thin">
        <color rgb="FFB7C9C7"/>
      </bottom>
    </border>
    <border>
      <left style="thin">
        <color rgb="FFD9E2E1"/>
      </left>
      <right style="thin">
        <color rgb="FFD9E2E1"/>
      </right>
      <top style="thin">
        <color rgb="FFD9E2E1"/>
      </top>
    </border>
    <border>
      <left style="thin">
        <color rgb="FFB7C9C7"/>
      </left>
      <top style="thin">
        <color rgb="FFB7C9C7"/>
      </top>
    </border>
    <border>
      <top style="thin">
        <color rgb="FFB7C9C7"/>
      </top>
    </border>
    <border>
      <right style="thin">
        <color rgb="FFB7C9C7"/>
      </right>
      <top style="thin">
        <color rgb="FFB7C9C7"/>
      </top>
    </border>
    <border>
      <left style="thin">
        <color rgb="FFD9E3E2"/>
      </left>
      <top style="thin">
        <color rgb="FFD9E3E2"/>
      </top>
    </border>
    <border>
      <top style="thin">
        <color rgb="FFD9E3E2"/>
      </top>
    </border>
    <border>
      <left style="thin">
        <color rgb="FFD9E3E2"/>
      </left>
    </border>
    <border>
      <top style="hair">
        <color rgb="FFB7B7B7"/>
      </top>
    </border>
    <border>
      <left style="thin">
        <color rgb="FFE6ECEC"/>
      </left>
      <right style="thin">
        <color rgb="FFE6ECEC"/>
      </right>
      <bottom style="thin">
        <color rgb="FFE6ECEC"/>
      </bottom>
    </border>
    <border>
      <left style="thin">
        <color rgb="FFE6ECEC"/>
      </left>
      <bottom style="thin">
        <color rgb="FFE6ECEC"/>
      </bottom>
    </border>
    <border>
      <bottom style="thin">
        <color rgb="FFD8E5E8"/>
      </bottom>
    </border>
    <border>
      <bottom style="thin">
        <color rgb="FFB7C9C7"/>
      </bottom>
    </border>
    <border>
      <left style="thin">
        <color rgb="FFD9D9D9"/>
      </left>
      <top style="thin">
        <color rgb="FFD9D9D9"/>
      </top>
      <bottom style="thin">
        <color rgb="FFB7C9C7"/>
      </bottom>
    </border>
    <border>
      <top style="thin">
        <color rgb="FFD9D9D9"/>
      </top>
      <bottom style="thin">
        <color rgb="FFB7C9C7"/>
      </bottom>
    </border>
    <border>
      <right style="thin">
        <color rgb="FFD9D9D9"/>
      </right>
      <top style="thin">
        <color rgb="FFD9D9D9"/>
      </top>
      <bottom style="thin">
        <color rgb="FFB7C9C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9EBFBC"/>
      </bottom>
    </border>
    <border>
      <bottom style="thin">
        <color rgb="FF245F5C"/>
      </bottom>
    </border>
    <border>
      <left style="thin">
        <color rgb="FFC8D7D5"/>
      </left>
      <top style="thin">
        <color rgb="FFC8D7D5"/>
      </top>
      <bottom style="thin">
        <color rgb="FFC8D7D5"/>
      </bottom>
    </border>
    <border>
      <top style="thin">
        <color rgb="FFC8D7D5"/>
      </top>
      <bottom style="thin">
        <color rgb="FFC8D7D5"/>
      </bottom>
    </border>
    <border>
      <right style="thin">
        <color rgb="FFC8D7D5"/>
      </right>
      <top style="thin">
        <color rgb="FFC8D7D5"/>
      </top>
      <bottom style="thin">
        <color rgb="FFC8D7D5"/>
      </bottom>
    </border>
    <border>
      <top style="thin">
        <color rgb="FF245F5C"/>
      </top>
      <bottom style="thin">
        <color rgb="FF245F5C"/>
      </bottom>
    </border>
    <border>
      <left style="thin">
        <color rgb="FFD9E3E2"/>
      </left>
      <bottom style="thin">
        <color rgb="FFD0D0D0"/>
      </bottom>
    </border>
    <border>
      <top style="thin">
        <color rgb="FFD9E3E2"/>
      </top>
      <bottom style="thin">
        <color rgb="FFD0D0D0"/>
      </bottom>
    </border>
    <border>
      <left style="thin">
        <color rgb="FF8FB8B3"/>
      </left>
      <top style="thin">
        <color rgb="FF8FB8B3"/>
      </top>
      <bottom style="thin">
        <color rgb="FF8FB8B3"/>
      </bottom>
    </border>
    <border>
      <right style="thin">
        <color rgb="FF8FB8B3"/>
      </right>
      <top style="thin">
        <color rgb="FF8FB8B3"/>
      </top>
      <bottom style="thin">
        <color rgb="FF8FB8B3"/>
      </bottom>
    </border>
    <border>
      <bottom style="thin">
        <color rgb="FFCBD8DA"/>
      </bottom>
    </border>
    <border>
      <top style="thin">
        <color rgb="FF245F5C"/>
      </top>
      <bottom style="thin">
        <color rgb="FF0F6B73"/>
      </bottom>
    </border>
    <border>
      <bottom style="thin">
        <color rgb="FFD9E2E2"/>
      </bottom>
    </border>
    <border>
      <left style="thin">
        <color rgb="FFD9E2E2"/>
      </left>
      <bottom style="thin">
        <color rgb="FFD9D9D9"/>
      </bottom>
    </border>
    <border>
      <left style="thin">
        <color rgb="FFD9E2E2"/>
      </left>
      <bottom style="thin">
        <color rgb="FFD9E2E2"/>
      </bottom>
    </border>
    <border>
      <bottom style="thin">
        <color rgb="FFE5E5E5"/>
      </bottom>
    </border>
  </borders>
  <cellStyleXfs count="1">
    <xf borderId="0" fillId="0" fontId="0" numFmtId="0" applyAlignment="1" applyFont="1"/>
  </cellStyleXfs>
  <cellXfs count="45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shrinkToFit="0" vertical="center" wrapText="0"/>
    </xf>
    <xf borderId="1" fillId="2" fontId="1" numFmtId="164" xfId="0" applyAlignment="1" applyBorder="1" applyFont="1" applyNumberFormat="1">
      <alignment horizontal="left" shrinkToFit="0" vertical="center" wrapText="1"/>
    </xf>
    <xf borderId="2" fillId="2" fontId="2" numFmtId="164" xfId="0" applyAlignment="1" applyBorder="1" applyFont="1" applyNumberFormat="1">
      <alignment horizontal="left" readingOrder="0"/>
    </xf>
    <xf borderId="1" fillId="2" fontId="2" numFmtId="164" xfId="0" applyAlignment="1" applyBorder="1" applyFont="1" applyNumberFormat="1">
      <alignment horizontal="left" shrinkToFit="0" vertical="center" wrapText="1"/>
    </xf>
    <xf borderId="2" fillId="2" fontId="2" numFmtId="164" xfId="0" applyAlignment="1" applyBorder="1" applyFont="1" applyNumberFormat="1">
      <alignment horizontal="left"/>
    </xf>
    <xf borderId="1" fillId="3" fontId="1" numFmtId="164" xfId="0" applyAlignment="1" applyBorder="1" applyFill="1" applyFont="1" applyNumberFormat="1">
      <alignment horizontal="left" shrinkToFit="0" vertical="center" wrapText="1"/>
    </xf>
    <xf borderId="3" fillId="2" fontId="3" numFmtId="164" xfId="0" applyAlignment="1" applyBorder="1" applyFont="1" applyNumberForma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2" fontId="2" numFmtId="164" xfId="0" applyAlignment="1" applyFont="1" applyNumberFormat="1">
      <alignment horizontal="left"/>
    </xf>
    <xf borderId="3" fillId="2" fontId="3" numFmtId="164" xfId="0" applyAlignment="1" applyBorder="1" applyFont="1" applyNumberFormat="1">
      <alignment horizontal="left" shrinkToFit="0" wrapText="1"/>
    </xf>
    <xf borderId="4" fillId="4" fontId="5" numFmtId="164" xfId="0" applyAlignment="1" applyBorder="1" applyFill="1" applyFont="1" applyNumberFormat="1">
      <alignment horizontal="left" readingOrder="0"/>
    </xf>
    <xf borderId="3" fillId="2" fontId="6" numFmtId="164" xfId="0" applyAlignment="1" applyBorder="1" applyFont="1" applyNumberFormat="1">
      <alignment horizontal="left" shrinkToFit="0" wrapText="1"/>
    </xf>
    <xf borderId="5" fillId="4" fontId="5" numFmtId="164" xfId="0" applyAlignment="1" applyBorder="1" applyFont="1" applyNumberFormat="1">
      <alignment horizontal="left" readingOrder="0" shrinkToFit="0" wrapText="0"/>
    </xf>
    <xf borderId="4" fillId="4" fontId="5" numFmtId="164" xfId="0" applyAlignment="1" applyBorder="1" applyFont="1" applyNumberFormat="1">
      <alignment horizontal="left"/>
    </xf>
    <xf borderId="0" fillId="5" fontId="7" numFmtId="0" xfId="0" applyAlignment="1" applyFill="1" applyFont="1">
      <alignment horizontal="center" shrinkToFit="0" vertical="center" wrapText="1"/>
    </xf>
    <xf borderId="5" fillId="4" fontId="5" numFmtId="164" xfId="0" applyAlignment="1" applyBorder="1" applyFont="1" applyNumberFormat="1">
      <alignment horizontal="left" shrinkToFit="0" wrapText="1"/>
    </xf>
    <xf borderId="4" fillId="6" fontId="8" numFmtId="164" xfId="0" applyAlignment="1" applyBorder="1" applyFill="1" applyFont="1" applyNumberFormat="1">
      <alignment horizontal="left"/>
    </xf>
    <xf borderId="0" fillId="5" fontId="9" numFmtId="164" xfId="0" applyAlignment="1" applyFont="1" applyNumberFormat="1">
      <alignment horizontal="left" readingOrder="0"/>
    </xf>
    <xf borderId="0" fillId="4" fontId="10" numFmtId="0" xfId="0" applyAlignment="1" applyFont="1">
      <alignment readingOrder="0" shrinkToFit="0" wrapText="1"/>
    </xf>
    <xf borderId="0" fillId="5" fontId="9" numFmtId="164" xfId="0" applyAlignment="1" applyFont="1" applyNumberFormat="1">
      <alignment horizontal="left"/>
    </xf>
    <xf borderId="6" fillId="4" fontId="11" numFmtId="164" xfId="0" applyAlignment="1" applyBorder="1" applyFont="1" applyNumberFormat="1">
      <alignment horizontal="left" readingOrder="0" shrinkToFit="0" wrapText="0"/>
    </xf>
    <xf borderId="7" fillId="5" fontId="9" numFmtId="164" xfId="0" applyAlignment="1" applyBorder="1" applyFont="1" applyNumberFormat="1">
      <alignment horizontal="left" readingOrder="0"/>
    </xf>
    <xf borderId="0" fillId="7" fontId="12" numFmtId="0" xfId="0" applyAlignment="1" applyFill="1" applyFont="1">
      <alignment readingOrder="0" shrinkToFit="0" wrapText="1"/>
    </xf>
    <xf borderId="7" fillId="5" fontId="9" numFmtId="164" xfId="0" applyAlignment="1" applyBorder="1" applyFont="1" applyNumberFormat="1">
      <alignment horizontal="left"/>
    </xf>
    <xf borderId="6" fillId="4" fontId="11" numFmtId="164" xfId="0" applyAlignment="1" applyBorder="1" applyFont="1" applyNumberFormat="1">
      <alignment horizontal="left" shrinkToFit="0" wrapText="1"/>
    </xf>
    <xf borderId="0" fillId="8" fontId="13" numFmtId="0" xfId="0" applyAlignment="1" applyFill="1" applyFont="1">
      <alignment readingOrder="0" shrinkToFit="0" wrapText="1"/>
    </xf>
    <xf borderId="8" fillId="9" fontId="14" numFmtId="164" xfId="0" applyAlignment="1" applyBorder="1" applyFill="1" applyFont="1" applyNumberFormat="1">
      <alignment horizontal="left" readingOrder="0"/>
    </xf>
    <xf borderId="9" fillId="4" fontId="15" numFmtId="164" xfId="0" applyAlignment="1" applyBorder="1" applyFont="1" applyNumberFormat="1">
      <alignment horizontal="left" shrinkToFit="0" vertical="center" wrapText="1"/>
    </xf>
    <xf borderId="10" fillId="9" fontId="14" numFmtId="164" xfId="0" applyAlignment="1" applyBorder="1" applyFont="1" applyNumberFormat="1">
      <alignment horizontal="left" readingOrder="0"/>
    </xf>
    <xf borderId="11" fillId="4" fontId="15" numFmtId="164" xfId="0" applyAlignment="1" applyBorder="1" applyFont="1" applyNumberFormat="1">
      <alignment horizontal="left" shrinkToFit="0" vertical="center" wrapText="1"/>
    </xf>
    <xf borderId="6" fillId="7" fontId="16" numFmtId="164" xfId="0" applyAlignment="1" applyBorder="1" applyFont="1" applyNumberFormat="1">
      <alignment horizontal="left" shrinkToFit="0" wrapText="1"/>
    </xf>
    <xf borderId="12" fillId="9" fontId="14" numFmtId="164" xfId="0" applyAlignment="1" applyBorder="1" applyFont="1" applyNumberFormat="1">
      <alignment horizontal="left" readingOrder="0"/>
    </xf>
    <xf borderId="0" fillId="0" fontId="17" numFmtId="164" xfId="0" applyFont="1" applyNumberFormat="1"/>
    <xf borderId="13" fillId="4" fontId="5" numFmtId="164" xfId="0" applyAlignment="1" applyBorder="1" applyFont="1" applyNumberFormat="1">
      <alignment horizontal="left" readingOrder="0"/>
    </xf>
    <xf borderId="14" fillId="4" fontId="15" numFmtId="164" xfId="0" applyAlignment="1" applyBorder="1" applyFont="1" applyNumberFormat="1">
      <alignment horizontal="left" shrinkToFit="0" vertical="center" wrapText="1"/>
    </xf>
    <xf borderId="15" fillId="10" fontId="5" numFmtId="165" xfId="0" applyAlignment="1" applyBorder="1" applyFill="1" applyFont="1" applyNumberFormat="1">
      <alignment horizontal="left" readingOrder="0"/>
    </xf>
    <xf borderId="0" fillId="4" fontId="5" numFmtId="164" xfId="0" applyAlignment="1" applyFont="1" applyNumberFormat="1">
      <alignment horizontal="left" readingOrder="0"/>
    </xf>
    <xf borderId="0" fillId="11" fontId="18" numFmtId="164" xfId="0" applyAlignment="1" applyFill="1" applyFont="1" applyNumberFormat="1">
      <alignment horizontal="left"/>
    </xf>
    <xf borderId="16" fillId="12" fontId="19" numFmtId="164" xfId="0" applyAlignment="1" applyBorder="1" applyFill="1" applyFont="1" applyNumberFormat="1">
      <alignment horizontal="left" readingOrder="0"/>
    </xf>
    <xf borderId="17" fillId="8" fontId="5" numFmtId="164" xfId="0" applyAlignment="1" applyBorder="1" applyFont="1" applyNumberFormat="1">
      <alignment horizontal="left" shrinkToFit="0" vertical="top" wrapText="1"/>
    </xf>
    <xf borderId="0" fillId="12" fontId="19" numFmtId="164" xfId="0" applyAlignment="1" applyFont="1" applyNumberFormat="1">
      <alignment horizontal="left" readingOrder="0"/>
    </xf>
    <xf borderId="18" fillId="12" fontId="19" numFmtId="164" xfId="0" applyAlignment="1" applyBorder="1" applyFont="1" applyNumberFormat="1">
      <alignment horizontal="left" readingOrder="0"/>
    </xf>
    <xf borderId="19" fillId="4" fontId="5" numFmtId="164" xfId="0" applyAlignment="1" applyBorder="1" applyFont="1" applyNumberFormat="1">
      <alignment horizontal="left" readingOrder="0"/>
    </xf>
    <xf borderId="20" fillId="10" fontId="5" numFmtId="164" xfId="0" applyAlignment="1" applyBorder="1" applyFont="1" applyNumberFormat="1">
      <alignment horizontal="left" readingOrder="0"/>
    </xf>
    <xf borderId="21" fillId="5" fontId="20" numFmtId="164" xfId="0" applyAlignment="1" applyBorder="1" applyFont="1" applyNumberFormat="1">
      <alignment horizontal="left" shrinkToFit="0" vertical="center" wrapText="0"/>
    </xf>
    <xf borderId="22" fillId="13" fontId="21" numFmtId="164" xfId="0" applyAlignment="1" applyBorder="1" applyFill="1" applyFont="1" applyNumberFormat="1">
      <alignment horizontal="center" readingOrder="0"/>
    </xf>
    <xf borderId="21" fillId="5" fontId="20" numFmtId="164" xfId="0" applyAlignment="1" applyBorder="1" applyFont="1" applyNumberFormat="1">
      <alignment horizontal="left" shrinkToFit="0" vertical="center" wrapText="1"/>
    </xf>
    <xf borderId="23" fillId="8" fontId="5" numFmtId="164" xfId="0" applyAlignment="1" applyBorder="1" applyFont="1" applyNumberFormat="1">
      <alignment horizontal="left" shrinkToFit="0" vertical="top" wrapText="1"/>
    </xf>
    <xf borderId="24" fillId="13" fontId="21" numFmtId="164" xfId="0" applyAlignment="1" applyBorder="1" applyFont="1" applyNumberFormat="1">
      <alignment horizontal="center" readingOrder="0"/>
    </xf>
    <xf borderId="0" fillId="4" fontId="5" numFmtId="164" xfId="0" applyAlignment="1" applyFont="1" applyNumberFormat="1">
      <alignment horizontal="left"/>
    </xf>
    <xf borderId="25" fillId="5" fontId="9" numFmtId="164" xfId="0" applyAlignment="1" applyBorder="1" applyFont="1" applyNumberFormat="1">
      <alignment horizontal="left" shrinkToFit="0" vertical="center" wrapText="1"/>
    </xf>
    <xf borderId="26" fillId="10" fontId="5" numFmtId="164" xfId="0" applyAlignment="1" applyBorder="1" applyFont="1" applyNumberFormat="1">
      <alignment horizontal="left" readingOrder="0"/>
    </xf>
    <xf borderId="13" fillId="10" fontId="5" numFmtId="164" xfId="0" applyAlignment="1" applyBorder="1" applyFont="1" applyNumberFormat="1">
      <alignment horizontal="left" readingOrder="0"/>
    </xf>
    <xf borderId="25" fillId="14" fontId="9" numFmtId="164" xfId="0" applyAlignment="1" applyBorder="1" applyFill="1" applyFont="1" applyNumberFormat="1">
      <alignment horizontal="left" shrinkToFit="0" vertical="center" wrapText="1"/>
    </xf>
    <xf borderId="27" fillId="10" fontId="5" numFmtId="164" xfId="0" applyAlignment="1" applyBorder="1" applyFont="1" applyNumberFormat="1">
      <alignment horizontal="left" readingOrder="0"/>
    </xf>
    <xf borderId="3" fillId="15" fontId="22" numFmtId="164" xfId="0" applyAlignment="1" applyBorder="1" applyFill="1" applyFont="1" applyNumberFormat="1">
      <alignment horizontal="left" shrinkToFit="0" vertical="center" wrapText="1"/>
    </xf>
    <xf borderId="28" fillId="16" fontId="9" numFmtId="164" xfId="0" applyAlignment="1" applyBorder="1" applyFill="1" applyFont="1" applyNumberFormat="1">
      <alignment horizontal="left" shrinkToFit="0" wrapText="1"/>
    </xf>
    <xf borderId="29" fillId="10" fontId="5" numFmtId="164" xfId="0" applyAlignment="1" applyBorder="1" applyFont="1" applyNumberFormat="1">
      <alignment horizontal="left" readingOrder="0"/>
    </xf>
    <xf borderId="30" fillId="2" fontId="22" numFmtId="164" xfId="0" applyAlignment="1" applyBorder="1" applyFont="1" applyNumberFormat="1">
      <alignment horizontal="left" shrinkToFit="0" vertical="center" wrapText="1"/>
    </xf>
    <xf borderId="19" fillId="10" fontId="5" numFmtId="164" xfId="0" applyAlignment="1" applyBorder="1" applyFont="1" applyNumberFormat="1">
      <alignment horizontal="left" readingOrder="0"/>
    </xf>
    <xf borderId="0" fillId="12" fontId="19" numFmtId="164" xfId="0" applyAlignment="1" applyFont="1" applyNumberFormat="1">
      <alignment horizontal="left"/>
    </xf>
    <xf borderId="31" fillId="4" fontId="23" numFmtId="164" xfId="0" applyAlignment="1" applyBorder="1" applyFont="1" applyNumberFormat="1">
      <alignment horizontal="center" shrinkToFit="0" vertical="center" wrapText="1"/>
    </xf>
    <xf borderId="0" fillId="4" fontId="24" numFmtId="0" xfId="0" applyAlignment="1" applyFont="1">
      <alignment horizontal="center" readingOrder="0"/>
    </xf>
    <xf borderId="32" fillId="4" fontId="5" numFmtId="164" xfId="0" applyAlignment="1" applyBorder="1" applyFont="1" applyNumberFormat="1">
      <alignment horizontal="left" readingOrder="0"/>
    </xf>
    <xf borderId="0" fillId="4" fontId="10" numFmtId="0" xfId="0" applyAlignment="1" applyFont="1">
      <alignment readingOrder="0" shrinkToFit="0" wrapText="1"/>
    </xf>
    <xf borderId="33" fillId="17" fontId="25" numFmtId="164" xfId="0" applyAlignment="1" applyBorder="1" applyFill="1" applyFont="1" applyNumberFormat="1">
      <alignment horizontal="center" shrinkToFit="0" vertical="center" wrapText="1"/>
    </xf>
    <xf borderId="33" fillId="18" fontId="25" numFmtId="164" xfId="0" applyAlignment="1" applyBorder="1" applyFill="1" applyFont="1" applyNumberFormat="1">
      <alignment horizontal="center" shrinkToFit="0" vertical="center" wrapText="1"/>
    </xf>
    <xf borderId="34" fillId="8" fontId="5" numFmtId="164" xfId="0" applyAlignment="1" applyBorder="1" applyFont="1" applyNumberFormat="1">
      <alignment horizontal="left" shrinkToFit="0" vertical="top" wrapText="1"/>
    </xf>
    <xf borderId="35" fillId="8" fontId="15" numFmtId="165" xfId="0" applyAlignment="1" applyBorder="1" applyFont="1" applyNumberFormat="1">
      <alignment horizontal="left" readingOrder="0"/>
    </xf>
    <xf borderId="0" fillId="8" fontId="11" numFmtId="164" xfId="0" applyAlignment="1" applyFont="1" applyNumberFormat="1">
      <alignment horizontal="center" readingOrder="0" shrinkToFit="0" wrapText="1"/>
    </xf>
    <xf borderId="0" fillId="10" fontId="26" numFmtId="164" xfId="0" applyAlignment="1" applyFont="1" applyNumberFormat="1">
      <alignment horizontal="left" shrinkToFit="0" wrapText="1"/>
    </xf>
    <xf borderId="36" fillId="10" fontId="5" numFmtId="165" xfId="0" applyAlignment="1" applyBorder="1" applyFont="1" applyNumberFormat="1">
      <alignment horizontal="left" readingOrder="0"/>
    </xf>
    <xf borderId="0" fillId="8" fontId="13" numFmtId="0" xfId="0" applyAlignment="1" applyFont="1">
      <alignment shrinkToFit="0" wrapText="1"/>
    </xf>
    <xf borderId="0" fillId="19" fontId="27" numFmtId="164" xfId="0" applyAlignment="1" applyFill="1" applyFont="1" applyNumberFormat="1">
      <alignment horizontal="center" shrinkToFit="0" wrapText="1"/>
    </xf>
    <xf borderId="0" fillId="10" fontId="26" numFmtId="164" xfId="0" applyAlignment="1" applyFont="1" applyNumberFormat="1">
      <alignment horizontal="center" readingOrder="0" shrinkToFit="0" wrapText="1"/>
    </xf>
    <xf borderId="0" fillId="20" fontId="28" numFmtId="164" xfId="0" applyAlignment="1" applyFill="1" applyFont="1" applyNumberFormat="1">
      <alignment horizontal="left" shrinkToFit="0" wrapText="1"/>
    </xf>
    <xf borderId="0" fillId="19" fontId="25" numFmtId="164" xfId="0" applyAlignment="1" applyFont="1" applyNumberFormat="1">
      <alignment horizontal="center" shrinkToFit="0" wrapText="1"/>
    </xf>
    <xf borderId="0" fillId="20" fontId="29" numFmtId="164" xfId="0" applyAlignment="1" applyFont="1" applyNumberFormat="1">
      <alignment horizontal="left" shrinkToFit="0" wrapText="1"/>
    </xf>
    <xf borderId="37" fillId="8" fontId="5" numFmtId="164" xfId="0" applyAlignment="1" applyBorder="1" applyFont="1" applyNumberFormat="1">
      <alignment horizontal="left" readingOrder="0"/>
    </xf>
    <xf borderId="0" fillId="21" fontId="30" numFmtId="164" xfId="0" applyAlignment="1" applyFill="1" applyFont="1" applyNumberFormat="1">
      <alignment horizontal="left" readingOrder="0"/>
    </xf>
    <xf borderId="0" fillId="0" fontId="17" numFmtId="0" xfId="0" applyFont="1"/>
    <xf borderId="18" fillId="12" fontId="19" numFmtId="164" xfId="0" applyAlignment="1" applyBorder="1" applyFont="1" applyNumberFormat="1">
      <alignment horizontal="left"/>
    </xf>
    <xf borderId="0" fillId="22" fontId="31" numFmtId="164" xfId="0" applyAlignment="1" applyFill="1" applyFont="1" applyNumberFormat="1">
      <alignment horizontal="center" shrinkToFit="0" wrapText="1"/>
    </xf>
    <xf borderId="38" fillId="4" fontId="15" numFmtId="164" xfId="0" applyAlignment="1" applyBorder="1" applyFont="1" applyNumberFormat="1">
      <alignment horizontal="left" readingOrder="0" shrinkToFit="0" vertical="center" wrapText="0"/>
    </xf>
    <xf borderId="0" fillId="10" fontId="26" numFmtId="164" xfId="0" applyAlignment="1" applyFont="1" applyNumberFormat="1">
      <alignment horizontal="left" readingOrder="0" shrinkToFit="0" wrapText="1"/>
    </xf>
    <xf borderId="38" fillId="4" fontId="15" numFmtId="164" xfId="0" applyAlignment="1" applyBorder="1" applyFont="1" applyNumberFormat="1">
      <alignment horizontal="left" shrinkToFit="0" vertical="center" wrapText="1"/>
    </xf>
    <xf borderId="39" fillId="10" fontId="5" numFmtId="164" xfId="0" applyAlignment="1" applyBorder="1" applyFont="1" applyNumberFormat="1">
      <alignment horizontal="left" readingOrder="0"/>
    </xf>
    <xf borderId="0" fillId="22" fontId="32" numFmtId="164" xfId="0" applyAlignment="1" applyFont="1" applyNumberFormat="1">
      <alignment horizontal="center" shrinkToFit="0" wrapText="1"/>
    </xf>
    <xf borderId="40" fillId="10" fontId="5" numFmtId="164" xfId="0" applyAlignment="1" applyBorder="1" applyFont="1" applyNumberFormat="1">
      <alignment horizontal="left" readingOrder="0"/>
    </xf>
    <xf borderId="41" fillId="5" fontId="9" numFmtId="164" xfId="0" applyAlignment="1" applyBorder="1" applyFont="1" applyNumberFormat="1">
      <alignment horizontal="left"/>
    </xf>
    <xf borderId="0" fillId="23" fontId="27" numFmtId="164" xfId="0" applyAlignment="1" applyFill="1" applyFont="1" applyNumberFormat="1">
      <alignment horizontal="center" shrinkToFit="0" wrapText="1"/>
    </xf>
    <xf borderId="22" fillId="4" fontId="15" numFmtId="164" xfId="0" applyAlignment="1" applyBorder="1" applyFont="1" applyNumberFormat="1">
      <alignment horizontal="left" readingOrder="0"/>
    </xf>
    <xf borderId="42" fillId="4" fontId="15" numFmtId="164" xfId="0" applyAlignment="1" applyBorder="1" applyFont="1" applyNumberFormat="1">
      <alignment horizontal="left" readingOrder="0"/>
    </xf>
    <xf borderId="0" fillId="23" fontId="25" numFmtId="164" xfId="0" applyAlignment="1" applyFont="1" applyNumberFormat="1">
      <alignment horizontal="center" shrinkToFit="0" wrapText="1"/>
    </xf>
    <xf borderId="24" fillId="4" fontId="15" numFmtId="164" xfId="0" applyAlignment="1" applyBorder="1" applyFont="1" applyNumberFormat="1">
      <alignment horizontal="left" readingOrder="0"/>
    </xf>
    <xf borderId="43" fillId="12" fontId="19" numFmtId="164" xfId="0" applyAlignment="1" applyBorder="1" applyFont="1" applyNumberFormat="1">
      <alignment horizontal="left" readingOrder="0"/>
    </xf>
    <xf borderId="44" fillId="8" fontId="11" numFmtId="164" xfId="0" applyAlignment="1" applyBorder="1" applyFont="1" applyNumberFormat="1">
      <alignment horizontal="center" readingOrder="0" shrinkToFit="0" wrapText="1"/>
    </xf>
    <xf borderId="45" fillId="12" fontId="19" numFmtId="164" xfId="0" applyAlignment="1" applyBorder="1" applyFont="1" applyNumberFormat="1">
      <alignment horizontal="left"/>
    </xf>
    <xf borderId="44" fillId="10" fontId="26" numFmtId="164" xfId="0" applyAlignment="1" applyBorder="1" applyFont="1" applyNumberFormat="1">
      <alignment horizontal="left" shrinkToFit="0" wrapText="1"/>
    </xf>
    <xf borderId="46" fillId="12" fontId="19" numFmtId="164" xfId="0" applyAlignment="1" applyBorder="1" applyFont="1" applyNumberFormat="1">
      <alignment horizontal="left"/>
    </xf>
    <xf borderId="44" fillId="24" fontId="27" numFmtId="164" xfId="0" applyAlignment="1" applyBorder="1" applyFill="1" applyFont="1" applyNumberFormat="1">
      <alignment horizontal="center" shrinkToFit="0" wrapText="1"/>
    </xf>
    <xf borderId="13" fillId="10" fontId="5" numFmtId="165" xfId="0" applyAlignment="1" applyBorder="1" applyFont="1" applyNumberFormat="1">
      <alignment horizontal="left" readingOrder="0"/>
    </xf>
    <xf borderId="47" fillId="10" fontId="5" numFmtId="165" xfId="0" applyAlignment="1" applyBorder="1" applyFont="1" applyNumberFormat="1">
      <alignment horizontal="left" readingOrder="0"/>
    </xf>
    <xf borderId="48" fillId="10" fontId="5" numFmtId="164" xfId="0" applyAlignment="1" applyBorder="1" applyFont="1" applyNumberFormat="1">
      <alignment horizontal="left" readingOrder="0"/>
    </xf>
    <xf borderId="0" fillId="24" fontId="25" numFmtId="164" xfId="0" applyAlignment="1" applyFont="1" applyNumberFormat="1">
      <alignment horizontal="center" shrinkToFit="0" wrapText="1"/>
    </xf>
    <xf borderId="48" fillId="10" fontId="5" numFmtId="164" xfId="0" applyAlignment="1" applyBorder="1" applyFont="1" applyNumberFormat="1">
      <alignment horizontal="left" readingOrder="0" shrinkToFit="0" vertical="top" wrapText="1"/>
    </xf>
    <xf borderId="47" fillId="10" fontId="5" numFmtId="164" xfId="0" applyAlignment="1" applyBorder="1" applyFont="1" applyNumberFormat="1">
      <alignment horizontal="left" readingOrder="0"/>
    </xf>
    <xf borderId="0" fillId="8" fontId="33" numFmtId="164" xfId="0" applyAlignment="1" applyFont="1" applyNumberFormat="1">
      <alignment horizontal="center" readingOrder="0" shrinkToFit="0" wrapText="1"/>
    </xf>
    <xf borderId="19" fillId="8" fontId="5" numFmtId="165" xfId="0" applyAlignment="1" applyBorder="1" applyFont="1" applyNumberFormat="1">
      <alignment horizontal="left" readingOrder="0"/>
    </xf>
    <xf borderId="49" fillId="8" fontId="5" numFmtId="165" xfId="0" applyAlignment="1" applyBorder="1" applyFont="1" applyNumberFormat="1">
      <alignment horizontal="left" readingOrder="0"/>
    </xf>
    <xf borderId="0" fillId="2" fontId="31" numFmtId="164" xfId="0" applyAlignment="1" applyFont="1" applyNumberFormat="1">
      <alignment horizontal="center" shrinkToFit="0" wrapText="1"/>
    </xf>
    <xf borderId="0" fillId="8" fontId="5" numFmtId="164" xfId="0" applyAlignment="1" applyFont="1" applyNumberFormat="1">
      <alignment horizontal="left" readingOrder="0"/>
    </xf>
    <xf borderId="0" fillId="8" fontId="5" numFmtId="164" xfId="0" applyAlignment="1" applyFont="1" applyNumberFormat="1">
      <alignment horizontal="left" readingOrder="0" shrinkToFit="0" vertical="top" wrapText="1"/>
    </xf>
    <xf borderId="49" fillId="8" fontId="5" numFmtId="164" xfId="0" applyAlignment="1" applyBorder="1" applyFont="1" applyNumberFormat="1">
      <alignment horizontal="left" readingOrder="0"/>
    </xf>
    <xf borderId="0" fillId="2" fontId="32" numFmtId="164" xfId="0" applyAlignment="1" applyFont="1" applyNumberFormat="1">
      <alignment horizontal="center" shrinkToFit="0" wrapText="1"/>
    </xf>
    <xf borderId="50" fillId="0" fontId="34" numFmtId="0" xfId="0" applyBorder="1" applyFont="1"/>
    <xf borderId="0" fillId="0" fontId="17" numFmtId="0" xfId="0" applyFont="1"/>
    <xf borderId="19" fillId="8" fontId="5" numFmtId="165" xfId="0" applyAlignment="1" applyBorder="1" applyFont="1" applyNumberFormat="1">
      <alignment horizontal="left"/>
    </xf>
    <xf borderId="49" fillId="8" fontId="5" numFmtId="165" xfId="0" applyAlignment="1" applyBorder="1" applyFont="1" applyNumberFormat="1">
      <alignment horizontal="left"/>
    </xf>
    <xf borderId="0" fillId="17" fontId="35" numFmtId="164" xfId="0" applyAlignment="1" applyFont="1" applyNumberFormat="1">
      <alignment horizontal="center" shrinkToFit="0" wrapText="1"/>
    </xf>
    <xf borderId="0" fillId="8" fontId="5" numFmtId="164" xfId="0" applyAlignment="1" applyFont="1" applyNumberFormat="1">
      <alignment horizontal="left"/>
    </xf>
    <xf borderId="0" fillId="8" fontId="5" numFmtId="164" xfId="0" applyAlignment="1" applyFont="1" applyNumberFormat="1">
      <alignment horizontal="left" shrinkToFit="0" vertical="top" wrapText="1"/>
    </xf>
    <xf borderId="49" fillId="8" fontId="5" numFmtId="164" xfId="0" applyAlignment="1" applyBorder="1" applyFont="1" applyNumberFormat="1">
      <alignment horizontal="left"/>
    </xf>
    <xf borderId="0" fillId="17" fontId="36" numFmtId="164" xfId="0" applyAlignment="1" applyFont="1" applyNumberFormat="1">
      <alignment horizontal="center" shrinkToFit="0" wrapText="1"/>
    </xf>
    <xf borderId="0" fillId="25" fontId="31" numFmtId="164" xfId="0" applyAlignment="1" applyFill="1" applyFont="1" applyNumberFormat="1">
      <alignment horizontal="center" shrinkToFit="0" wrapText="1"/>
    </xf>
    <xf borderId="0" fillId="25" fontId="32" numFmtId="164" xfId="0" applyAlignment="1" applyFont="1" applyNumberFormat="1">
      <alignment horizontal="center" shrinkToFit="0" wrapText="1"/>
    </xf>
    <xf borderId="44" fillId="8" fontId="33" numFmtId="164" xfId="0" applyAlignment="1" applyBorder="1" applyFont="1" applyNumberFormat="1">
      <alignment horizontal="center" readingOrder="0" shrinkToFit="0" wrapText="1"/>
    </xf>
    <xf borderId="51" fillId="8" fontId="5" numFmtId="164" xfId="0" applyAlignment="1" applyBorder="1" applyFont="1" applyNumberFormat="1">
      <alignment horizontal="left" shrinkToFit="0" wrapText="1"/>
    </xf>
    <xf borderId="44" fillId="26" fontId="37" numFmtId="164" xfId="0" applyAlignment="1" applyBorder="1" applyFill="1" applyFont="1" applyNumberFormat="1">
      <alignment horizontal="center" shrinkToFit="0" wrapText="1"/>
    </xf>
    <xf borderId="52" fillId="8" fontId="5" numFmtId="164" xfId="0" applyAlignment="1" applyBorder="1" applyFont="1" applyNumberFormat="1">
      <alignment horizontal="left" shrinkToFit="0" wrapText="1"/>
    </xf>
    <xf borderId="53" fillId="8" fontId="5" numFmtId="164" xfId="0" applyAlignment="1" applyBorder="1" applyFont="1" applyNumberFormat="1">
      <alignment horizontal="left" shrinkToFit="0" wrapText="1"/>
    </xf>
    <xf borderId="44" fillId="20" fontId="28" numFmtId="164" xfId="0" applyAlignment="1" applyBorder="1" applyFont="1" applyNumberFormat="1">
      <alignment horizontal="left" shrinkToFit="0" wrapText="1"/>
    </xf>
    <xf borderId="44" fillId="26" fontId="38" numFmtId="164" xfId="0" applyAlignment="1" applyBorder="1" applyFont="1" applyNumberFormat="1">
      <alignment horizontal="center" shrinkToFit="0" wrapText="1"/>
    </xf>
    <xf borderId="54" fillId="8" fontId="5" numFmtId="164" xfId="0" applyAlignment="1" applyBorder="1" applyFont="1" applyNumberFormat="1">
      <alignment horizontal="left" shrinkToFit="0" wrapText="1"/>
    </xf>
    <xf borderId="39" fillId="8" fontId="5" numFmtId="165" xfId="0" applyAlignment="1" applyBorder="1" applyFont="1" applyNumberFormat="1">
      <alignment horizontal="left" readingOrder="0"/>
    </xf>
    <xf borderId="55" fillId="8" fontId="5" numFmtId="165" xfId="0" applyAlignment="1" applyBorder="1" applyFont="1" applyNumberFormat="1">
      <alignment horizontal="left" readingOrder="0"/>
    </xf>
    <xf borderId="56" fillId="8" fontId="5" numFmtId="164" xfId="0" applyAlignment="1" applyBorder="1" applyFont="1" applyNumberFormat="1">
      <alignment horizontal="left" readingOrder="0"/>
    </xf>
    <xf borderId="56" fillId="8" fontId="5" numFmtId="164" xfId="0" applyAlignment="1" applyBorder="1" applyFont="1" applyNumberFormat="1">
      <alignment horizontal="left" readingOrder="0" shrinkToFit="0" vertical="top" wrapText="1"/>
    </xf>
    <xf borderId="55" fillId="8" fontId="5" numFmtId="164" xfId="0" applyAlignment="1" applyBorder="1" applyFont="1" applyNumberFormat="1">
      <alignment horizontal="left" readingOrder="0"/>
    </xf>
    <xf borderId="30" fillId="5" fontId="20" numFmtId="164" xfId="0" applyAlignment="1" applyBorder="1" applyFont="1" applyNumberFormat="1">
      <alignment horizontal="left" shrinkToFit="0" vertical="center" wrapText="0"/>
    </xf>
    <xf borderId="48" fillId="4" fontId="5" numFmtId="164" xfId="0" applyAlignment="1" applyBorder="1" applyFont="1" applyNumberFormat="1">
      <alignment horizontal="left" readingOrder="0"/>
    </xf>
    <xf borderId="30" fillId="5" fontId="20" numFmtId="164" xfId="0" applyAlignment="1" applyBorder="1" applyFont="1" applyNumberFormat="1">
      <alignment horizontal="left" shrinkToFit="0" vertical="center" wrapText="1"/>
    </xf>
    <xf borderId="48" fillId="4" fontId="5" numFmtId="164" xfId="0" applyAlignment="1" applyBorder="1" applyFont="1" applyNumberFormat="1">
      <alignment horizontal="left"/>
    </xf>
    <xf borderId="56" fillId="4" fontId="5" numFmtId="164" xfId="0" applyAlignment="1" applyBorder="1" applyFont="1" applyNumberFormat="1">
      <alignment horizontal="left" readingOrder="0"/>
    </xf>
    <xf borderId="56" fillId="4" fontId="5" numFmtId="164" xfId="0" applyAlignment="1" applyBorder="1" applyFont="1" applyNumberFormat="1">
      <alignment horizontal="left"/>
    </xf>
    <xf borderId="57" fillId="4" fontId="23" numFmtId="164" xfId="0" applyAlignment="1" applyBorder="1" applyFont="1" applyNumberFormat="1">
      <alignment horizontal="center" shrinkToFit="0" vertical="center" wrapText="1"/>
    </xf>
    <xf borderId="56" fillId="27" fontId="39" numFmtId="164" xfId="0" applyAlignment="1" applyBorder="1" applyFill="1" applyFont="1" applyNumberFormat="1">
      <alignment horizontal="left"/>
    </xf>
    <xf borderId="58" fillId="4" fontId="15" numFmtId="164" xfId="0" applyAlignment="1" applyBorder="1" applyFont="1" applyNumberFormat="1">
      <alignment horizontal="left" readingOrder="0"/>
    </xf>
    <xf borderId="0" fillId="4" fontId="15" numFmtId="164" xfId="0" applyAlignment="1" applyFont="1" applyNumberFormat="1">
      <alignment horizontal="left" readingOrder="0"/>
    </xf>
    <xf borderId="59" fillId="4" fontId="15" numFmtId="164" xfId="0" applyAlignment="1" applyBorder="1" applyFont="1" applyNumberFormat="1">
      <alignment horizontal="left" readingOrder="0"/>
    </xf>
    <xf borderId="60" fillId="13" fontId="21" numFmtId="164" xfId="0" applyAlignment="1" applyBorder="1" applyFont="1" applyNumberFormat="1">
      <alignment horizontal="center" readingOrder="0"/>
    </xf>
    <xf borderId="0" fillId="0" fontId="17" numFmtId="0" xfId="0" applyAlignment="1" applyFont="1">
      <alignment readingOrder="0"/>
    </xf>
    <xf borderId="61" fillId="8" fontId="5" numFmtId="164" xfId="0" applyAlignment="1" applyBorder="1" applyFont="1" applyNumberFormat="1">
      <alignment horizontal="left" shrinkToFit="0" vertical="top" wrapText="1"/>
    </xf>
    <xf borderId="62" fillId="8" fontId="5" numFmtId="165" xfId="0" applyAlignment="1" applyBorder="1" applyFont="1" applyNumberFormat="1">
      <alignment horizontal="left"/>
    </xf>
    <xf borderId="63" fillId="8" fontId="5" numFmtId="164" xfId="0" applyAlignment="1" applyBorder="1" applyFont="1" applyNumberFormat="1">
      <alignment horizontal="left"/>
    </xf>
    <xf borderId="0" fillId="4" fontId="26" numFmtId="164" xfId="0" applyAlignment="1" applyFont="1" applyNumberFormat="1">
      <alignment horizontal="center" readingOrder="0" shrinkToFit="0" wrapText="1"/>
    </xf>
    <xf borderId="0" fillId="28" fontId="26" numFmtId="164" xfId="0" applyAlignment="1" applyFill="1" applyFont="1" applyNumberFormat="1">
      <alignment horizontal="center" shrinkToFit="0" wrapText="1"/>
    </xf>
    <xf borderId="64" fillId="8" fontId="5" numFmtId="164" xfId="0" applyAlignment="1" applyBorder="1" applyFont="1" applyNumberFormat="1">
      <alignment horizontal="left"/>
    </xf>
    <xf borderId="65" fillId="8" fontId="5" numFmtId="164" xfId="0" applyAlignment="1" applyBorder="1" applyFont="1" applyNumberFormat="1">
      <alignment horizontal="left"/>
    </xf>
    <xf borderId="66" fillId="21" fontId="40" numFmtId="164" xfId="0" applyAlignment="1" applyBorder="1" applyFont="1" applyNumberFormat="1">
      <alignment horizontal="left"/>
    </xf>
    <xf borderId="44" fillId="4" fontId="26" numFmtId="164" xfId="0" applyAlignment="1" applyBorder="1" applyFont="1" applyNumberFormat="1">
      <alignment horizontal="center" readingOrder="0" shrinkToFit="0" wrapText="1"/>
    </xf>
    <xf borderId="44" fillId="28" fontId="26" numFmtId="164" xfId="0" applyAlignment="1" applyBorder="1" applyFont="1" applyNumberFormat="1">
      <alignment horizontal="center" shrinkToFit="0" wrapText="1"/>
    </xf>
    <xf borderId="0" fillId="0" fontId="17" numFmtId="0" xfId="0" applyFont="1"/>
    <xf borderId="0" fillId="8" fontId="26" numFmtId="164" xfId="0" applyAlignment="1" applyFont="1" applyNumberFormat="1">
      <alignment horizontal="center" readingOrder="0" shrinkToFit="0" wrapText="1"/>
    </xf>
    <xf borderId="44" fillId="20" fontId="29" numFmtId="164" xfId="0" applyAlignment="1" applyBorder="1" applyFont="1" applyNumberFormat="1">
      <alignment horizontal="left" shrinkToFit="0" wrapText="1"/>
    </xf>
    <xf borderId="44" fillId="8" fontId="26" numFmtId="164" xfId="0" applyAlignment="1" applyBorder="1" applyFont="1" applyNumberFormat="1">
      <alignment horizontal="center" readingOrder="0" shrinkToFit="0" wrapText="1"/>
    </xf>
    <xf borderId="3" fillId="5" fontId="9" numFmtId="164" xfId="0" applyAlignment="1" applyBorder="1" applyFont="1" applyNumberFormat="1">
      <alignment horizontal="left" readingOrder="0"/>
    </xf>
    <xf borderId="3" fillId="5" fontId="9" numFmtId="164" xfId="0" applyAlignment="1" applyBorder="1" applyFont="1" applyNumberFormat="1">
      <alignment horizontal="left"/>
    </xf>
    <xf borderId="0" fillId="5" fontId="41" numFmtId="0" xfId="0" applyFont="1"/>
    <xf borderId="67" fillId="29" fontId="42" numFmtId="164" xfId="0" applyAlignment="1" applyBorder="1" applyFill="1" applyFont="1" applyNumberFormat="1">
      <alignment horizontal="left" readingOrder="0" shrinkToFit="0" wrapText="1"/>
    </xf>
    <xf borderId="68" fillId="29" fontId="42" numFmtId="165" xfId="0" applyAlignment="1" applyBorder="1" applyFont="1" applyNumberFormat="1">
      <alignment horizontal="left"/>
    </xf>
    <xf borderId="69" fillId="7" fontId="43" numFmtId="164" xfId="0" applyAlignment="1" applyBorder="1" applyFont="1" applyNumberFormat="1">
      <alignment horizontal="center" readingOrder="0"/>
    </xf>
    <xf borderId="70" fillId="29" fontId="42" numFmtId="164" xfId="0" applyAlignment="1" applyBorder="1" applyFont="1" applyNumberFormat="1">
      <alignment horizontal="left"/>
    </xf>
    <xf borderId="71" fillId="8" fontId="5" numFmtId="165" xfId="0" applyAlignment="1" applyBorder="1" applyFont="1" applyNumberFormat="1">
      <alignment horizontal="left"/>
    </xf>
    <xf borderId="72" fillId="7" fontId="43" numFmtId="164" xfId="0" applyAlignment="1" applyBorder="1" applyFont="1" applyNumberFormat="1">
      <alignment horizontal="center" readingOrder="0"/>
    </xf>
    <xf borderId="73" fillId="8" fontId="5" numFmtId="164" xfId="0" applyAlignment="1" applyBorder="1" applyFont="1" applyNumberFormat="1">
      <alignment horizontal="left"/>
    </xf>
    <xf borderId="74" fillId="29" fontId="42" numFmtId="164" xfId="0" applyAlignment="1" applyBorder="1" applyFont="1" applyNumberFormat="1">
      <alignment horizontal="left" readingOrder="0" shrinkToFit="0" wrapText="1"/>
    </xf>
    <xf borderId="75" fillId="29" fontId="42" numFmtId="164" xfId="0" applyAlignment="1" applyBorder="1" applyFont="1" applyNumberFormat="1">
      <alignment horizontal="left"/>
    </xf>
    <xf borderId="76" fillId="7" fontId="43" numFmtId="164" xfId="0" applyAlignment="1" applyBorder="1" applyFont="1" applyNumberFormat="1">
      <alignment horizontal="center" readingOrder="0"/>
    </xf>
    <xf borderId="0" fillId="4" fontId="17" numFmtId="0" xfId="0" applyFont="1"/>
    <xf borderId="0" fillId="4" fontId="44" numFmtId="0" xfId="0" applyFont="1"/>
    <xf borderId="33" fillId="5" fontId="45" numFmtId="164" xfId="0" applyAlignment="1" applyBorder="1" applyFont="1" applyNumberFormat="1">
      <alignment horizontal="left" readingOrder="0"/>
    </xf>
    <xf borderId="33" fillId="5" fontId="45" numFmtId="164" xfId="0" applyAlignment="1" applyBorder="1" applyFont="1" applyNumberFormat="1">
      <alignment horizontal="left"/>
    </xf>
    <xf borderId="77" fillId="4" fontId="23" numFmtId="164" xfId="0" applyAlignment="1" applyBorder="1" applyFont="1" applyNumberFormat="1">
      <alignment horizontal="center" readingOrder="0"/>
    </xf>
    <xf borderId="30" fillId="4" fontId="23" numFmtId="164" xfId="0" applyAlignment="1" applyBorder="1" applyFont="1" applyNumberFormat="1">
      <alignment horizontal="center" readingOrder="0"/>
    </xf>
    <xf borderId="78" fillId="4" fontId="23" numFmtId="164" xfId="0" applyAlignment="1" applyBorder="1" applyFont="1" applyNumberFormat="1">
      <alignment horizontal="center" readingOrder="0"/>
    </xf>
    <xf borderId="79" fillId="17" fontId="46" numFmtId="164" xfId="0" applyAlignment="1" applyBorder="1" applyFont="1" applyNumberFormat="1">
      <alignment horizontal="center"/>
    </xf>
    <xf borderId="0" fillId="30" fontId="42" numFmtId="164" xfId="0" applyAlignment="1" applyFill="1" applyFont="1" applyNumberFormat="1">
      <alignment horizontal="left" readingOrder="0"/>
    </xf>
    <xf borderId="80" fillId="30" fontId="42" numFmtId="164" xfId="0" applyAlignment="1" applyBorder="1" applyFont="1" applyNumberFormat="1">
      <alignment horizontal="left" readingOrder="0"/>
    </xf>
    <xf borderId="81" fillId="28" fontId="47" numFmtId="164" xfId="0" applyAlignment="1" applyBorder="1" applyFont="1" applyNumberFormat="1">
      <alignment horizontal="center"/>
    </xf>
    <xf borderId="44" fillId="30" fontId="42" numFmtId="164" xfId="0" applyAlignment="1" applyBorder="1" applyFont="1" applyNumberFormat="1">
      <alignment horizontal="left" readingOrder="0"/>
    </xf>
    <xf borderId="82" fillId="30" fontId="42" numFmtId="164" xfId="0" applyAlignment="1" applyBorder="1" applyFont="1" applyNumberFormat="1">
      <alignment horizontal="left" readingOrder="0"/>
    </xf>
    <xf borderId="83" fillId="8" fontId="5" numFmtId="164" xfId="0" applyAlignment="1" applyBorder="1" applyFont="1" applyNumberFormat="1">
      <alignment horizontal="left" shrinkToFit="0" vertical="top" wrapText="1"/>
    </xf>
    <xf borderId="84" fillId="0" fontId="34" numFmtId="0" xfId="0" applyBorder="1" applyFont="1"/>
    <xf borderId="85" fillId="8" fontId="5" numFmtId="164" xfId="0" applyAlignment="1" applyBorder="1" applyFont="1" applyNumberFormat="1">
      <alignment horizontal="left" shrinkToFit="0" vertical="top" wrapText="1"/>
    </xf>
    <xf borderId="86" fillId="0" fontId="34" numFmtId="0" xfId="0" applyBorder="1" applyFont="1"/>
    <xf borderId="0" fillId="8" fontId="5" numFmtId="164" xfId="0" applyAlignment="1" applyFont="1" applyNumberFormat="1">
      <alignment horizontal="left" shrinkToFit="0" wrapText="1"/>
    </xf>
    <xf borderId="87" fillId="5" fontId="9" numFmtId="164" xfId="0" applyAlignment="1" applyBorder="1" applyFont="1" applyNumberFormat="1">
      <alignment horizontal="left" readingOrder="0" shrinkToFit="0" wrapText="1"/>
    </xf>
    <xf borderId="87" fillId="5" fontId="9" numFmtId="164" xfId="0" applyAlignment="1" applyBorder="1" applyFont="1" applyNumberFormat="1">
      <alignment horizontal="left" shrinkToFit="0" wrapText="1"/>
    </xf>
    <xf borderId="0" fillId="5" fontId="7" numFmtId="0" xfId="0" applyAlignment="1" applyFont="1">
      <alignment shrinkToFit="0" wrapText="1"/>
    </xf>
    <xf borderId="0" fillId="4" fontId="15" numFmtId="164" xfId="0" applyAlignment="1" applyFont="1" applyNumberFormat="1">
      <alignment horizontal="left" readingOrder="0" shrinkToFit="0" wrapText="0"/>
    </xf>
    <xf borderId="0" fillId="4" fontId="15" numFmtId="164" xfId="0" applyAlignment="1" applyFont="1" applyNumberFormat="1">
      <alignment horizontal="left" shrinkToFit="0" wrapText="1"/>
    </xf>
    <xf borderId="87" fillId="4" fontId="15" numFmtId="164" xfId="0" applyAlignment="1" applyBorder="1" applyFont="1" applyNumberFormat="1">
      <alignment horizontal="left" readingOrder="0" shrinkToFit="0" wrapText="1"/>
    </xf>
    <xf borderId="0" fillId="4" fontId="15" numFmtId="164" xfId="0" applyAlignment="1" applyFont="1" applyNumberFormat="1">
      <alignment horizontal="left" readingOrder="0" shrinkToFit="0" wrapText="1"/>
    </xf>
    <xf borderId="0" fillId="8" fontId="48" numFmtId="0" xfId="0" applyAlignment="1" applyFont="1">
      <alignment readingOrder="0" shrinkToFit="0" wrapText="1"/>
    </xf>
    <xf borderId="0" fillId="8" fontId="49" numFmtId="0" xfId="0" applyAlignment="1" applyFont="1">
      <alignment horizontal="center" readingOrder="0" shrinkToFit="0" wrapText="1"/>
    </xf>
    <xf borderId="0" fillId="31" fontId="50" numFmtId="0" xfId="0" applyAlignment="1" applyFill="1" applyFont="1">
      <alignment readingOrder="0" shrinkToFit="0" wrapText="1"/>
    </xf>
    <xf borderId="0" fillId="10" fontId="5" numFmtId="164" xfId="0" applyAlignment="1" applyFont="1" applyNumberFormat="1">
      <alignment horizontal="center" readingOrder="0" shrinkToFit="0" wrapText="1"/>
    </xf>
    <xf borderId="0" fillId="10" fontId="51" numFmtId="164" xfId="0" applyAlignment="1" applyFont="1" applyNumberFormat="1">
      <alignment horizontal="left" readingOrder="0" shrinkToFit="0" wrapText="1"/>
    </xf>
    <xf borderId="0" fillId="10" fontId="5" numFmtId="164" xfId="0" applyAlignment="1" applyFont="1" applyNumberFormat="1">
      <alignment horizontal="left" readingOrder="0" shrinkToFit="0" wrapText="1"/>
    </xf>
    <xf borderId="0" fillId="10" fontId="51" numFmtId="164" xfId="0" applyAlignment="1" applyFont="1" applyNumberFormat="1">
      <alignment horizontal="left" shrinkToFit="0" wrapText="1"/>
    </xf>
    <xf borderId="88" fillId="2" fontId="52" numFmtId="164" xfId="0" applyAlignment="1" applyBorder="1" applyFont="1" applyNumberFormat="1">
      <alignment horizontal="left" shrinkToFit="0" vertical="center" wrapText="0"/>
    </xf>
    <xf borderId="88" fillId="2" fontId="52" numFmtId="164" xfId="0" applyAlignment="1" applyBorder="1" applyFont="1" applyNumberFormat="1">
      <alignment horizontal="left" shrinkToFit="0" vertical="center" wrapText="1"/>
    </xf>
    <xf borderId="0" fillId="2" fontId="52" numFmtId="164" xfId="0" applyAlignment="1" applyFont="1" applyNumberFormat="1">
      <alignment horizontal="left" shrinkToFit="0" wrapText="1"/>
    </xf>
    <xf borderId="89" fillId="4" fontId="5" numFmtId="164" xfId="0" applyAlignment="1" applyBorder="1" applyFont="1" applyNumberFormat="1">
      <alignment horizontal="left" readingOrder="0" shrinkToFit="0" wrapText="0"/>
    </xf>
    <xf borderId="89" fillId="4" fontId="5" numFmtId="164" xfId="0" applyAlignment="1" applyBorder="1" applyFont="1" applyNumberFormat="1">
      <alignment horizontal="left" shrinkToFit="0" wrapText="1"/>
    </xf>
    <xf borderId="0" fillId="8" fontId="51" numFmtId="164" xfId="0" applyAlignment="1" applyFont="1" applyNumberFormat="1">
      <alignment horizontal="left" shrinkToFit="0" wrapText="1"/>
    </xf>
    <xf borderId="0" fillId="4" fontId="5" numFmtId="164" xfId="0" applyAlignment="1" applyFont="1" applyNumberFormat="1">
      <alignment horizontal="left" shrinkToFit="0" wrapText="1"/>
    </xf>
    <xf borderId="0" fillId="0" fontId="4" numFmtId="0" xfId="0" applyAlignment="1" applyFont="1">
      <alignment shrinkToFit="0" wrapText="0"/>
    </xf>
    <xf borderId="0" fillId="8" fontId="53" numFmtId="164" xfId="0" applyAlignment="1" applyFont="1" applyNumberFormat="1">
      <alignment horizontal="left" shrinkToFit="0" wrapText="1"/>
    </xf>
    <xf borderId="0" fillId="32" fontId="50" numFmtId="0" xfId="0" applyAlignment="1" applyFill="1" applyFont="1">
      <alignment readingOrder="0" shrinkToFit="0" wrapText="1"/>
    </xf>
    <xf borderId="88" fillId="5" fontId="30" numFmtId="164" xfId="0" applyAlignment="1" applyBorder="1" applyFont="1" applyNumberFormat="1">
      <alignment horizontal="left" shrinkToFit="0" vertical="center" wrapText="0"/>
    </xf>
    <xf borderId="88" fillId="5" fontId="30" numFmtId="164" xfId="0" applyAlignment="1" applyBorder="1" applyFont="1" applyNumberFormat="1">
      <alignment horizontal="left" shrinkToFit="0" vertical="center" wrapText="1"/>
    </xf>
    <xf borderId="25" fillId="4" fontId="15" numFmtId="164" xfId="0" applyAlignment="1" applyBorder="1" applyFont="1" applyNumberFormat="1">
      <alignment horizontal="left" shrinkToFit="0" vertical="center" wrapText="1"/>
    </xf>
    <xf borderId="25" fillId="4" fontId="15" numFmtId="164" xfId="0" applyAlignment="1" applyBorder="1" applyFont="1" applyNumberFormat="1">
      <alignment horizontal="left" readingOrder="0" shrinkToFit="0" vertical="center" wrapText="1"/>
    </xf>
    <xf borderId="0" fillId="8" fontId="5" numFmtId="164" xfId="0" applyAlignment="1" applyFont="1" applyNumberFormat="1">
      <alignment horizontal="center" shrinkToFit="0" wrapText="1"/>
    </xf>
    <xf borderId="0" fillId="10" fontId="5" numFmtId="164" xfId="0" applyAlignment="1" applyFont="1" applyNumberFormat="1">
      <alignment horizontal="left" shrinkToFit="0" wrapText="1"/>
    </xf>
    <xf borderId="0" fillId="28" fontId="5" numFmtId="164" xfId="0" applyAlignment="1" applyFont="1" applyNumberFormat="1">
      <alignment horizontal="left" shrinkToFit="0" wrapText="1"/>
    </xf>
    <xf borderId="0" fillId="0" fontId="4" numFmtId="0" xfId="0" applyAlignment="1" applyFont="1">
      <alignment readingOrder="0" shrinkToFit="0" wrapText="1"/>
    </xf>
    <xf borderId="90" fillId="8" fontId="5" numFmtId="164" xfId="0" applyAlignment="1" applyBorder="1" applyFont="1" applyNumberFormat="1">
      <alignment horizontal="center" shrinkToFit="0" wrapText="1"/>
    </xf>
    <xf borderId="90" fillId="10" fontId="5" numFmtId="164" xfId="0" applyAlignment="1" applyBorder="1" applyFont="1" applyNumberFormat="1">
      <alignment horizontal="left" shrinkToFit="0" wrapText="1"/>
    </xf>
    <xf borderId="90" fillId="28" fontId="5" numFmtId="164" xfId="0" applyAlignment="1" applyBorder="1" applyFont="1" applyNumberFormat="1">
      <alignment horizontal="left" shrinkToFit="0" wrapText="1"/>
    </xf>
    <xf borderId="88" fillId="5" fontId="9" numFmtId="164" xfId="0" applyAlignment="1" applyBorder="1" applyFont="1" applyNumberFormat="1">
      <alignment horizontal="left" shrinkToFit="0" vertical="center" wrapText="1"/>
    </xf>
    <xf borderId="88" fillId="33" fontId="9" numFmtId="164" xfId="0" applyAlignment="1" applyBorder="1" applyFill="1" applyFont="1" applyNumberFormat="1">
      <alignment horizontal="left" shrinkToFit="0" vertical="center" wrapText="1"/>
    </xf>
    <xf borderId="89" fillId="4" fontId="15" numFmtId="164" xfId="0" applyAlignment="1" applyBorder="1" applyFont="1" applyNumberFormat="1">
      <alignment horizontal="left" readingOrder="0" shrinkToFit="0" wrapText="0"/>
    </xf>
    <xf borderId="89" fillId="4" fontId="15" numFmtId="164" xfId="0" applyAlignment="1" applyBorder="1" applyFont="1" applyNumberFormat="1">
      <alignment horizontal="left" shrinkToFit="0" wrapText="1"/>
    </xf>
    <xf borderId="89" fillId="34" fontId="54" numFmtId="164" xfId="0" applyAlignment="1" applyBorder="1" applyFill="1" applyFont="1" applyNumberFormat="1">
      <alignment horizontal="left" shrinkToFit="0" wrapText="1"/>
    </xf>
    <xf borderId="88" fillId="0" fontId="34" numFmtId="0" xfId="0" applyBorder="1" applyFont="1"/>
    <xf borderId="0" fillId="5" fontId="30" numFmtId="164" xfId="0" applyAlignment="1" applyFont="1" applyNumberFormat="1">
      <alignment horizontal="left" shrinkToFit="0" wrapText="1"/>
    </xf>
    <xf borderId="0" fillId="5" fontId="41" numFmtId="164" xfId="0" applyFont="1" applyNumberFormat="1"/>
    <xf borderId="91" fillId="4" fontId="15" numFmtId="164" xfId="0" applyAlignment="1" applyBorder="1" applyFont="1" applyNumberFormat="1">
      <alignment horizontal="left" readingOrder="0" shrinkToFit="0" vertical="center" wrapText="1"/>
    </xf>
    <xf borderId="92" fillId="4" fontId="15" numFmtId="164" xfId="0" applyAlignment="1" applyBorder="1" applyFont="1" applyNumberFormat="1">
      <alignment horizontal="left" readingOrder="0" shrinkToFit="0" vertical="center" wrapText="1"/>
    </xf>
    <xf borderId="93" fillId="35" fontId="30" numFmtId="164" xfId="0" applyAlignment="1" applyBorder="1" applyFill="1" applyFont="1" applyNumberFormat="1">
      <alignment horizontal="left" readingOrder="0" shrinkToFit="0" wrapText="1"/>
    </xf>
    <xf borderId="94" fillId="8" fontId="5" numFmtId="164" xfId="0" applyAlignment="1" applyBorder="1" applyFont="1" applyNumberFormat="1">
      <alignment horizontal="left" shrinkToFit="0" wrapText="1"/>
    </xf>
    <xf borderId="95" fillId="8" fontId="5" numFmtId="164" xfId="0" applyAlignment="1" applyBorder="1" applyFont="1" applyNumberFormat="1">
      <alignment horizontal="left" shrinkToFit="0" wrapText="1"/>
    </xf>
    <xf borderId="0" fillId="8" fontId="5" numFmtId="164" xfId="0" applyAlignment="1" applyFont="1" applyNumberFormat="1">
      <alignment horizontal="left" readingOrder="0" shrinkToFit="0" wrapText="1"/>
    </xf>
    <xf borderId="0" fillId="36" fontId="55" numFmtId="164" xfId="0" applyAlignment="1" applyFill="1" applyFont="1" applyNumberFormat="1">
      <alignment horizontal="left" readingOrder="0" shrinkToFit="0" wrapText="1"/>
    </xf>
    <xf borderId="96" fillId="8" fontId="5" numFmtId="164" xfId="0" applyAlignment="1" applyBorder="1" applyFont="1" applyNumberFormat="1">
      <alignment horizontal="left" shrinkToFit="0" wrapText="1"/>
    </xf>
    <xf borderId="97" fillId="8" fontId="5" numFmtId="164" xfId="0" applyAlignment="1" applyBorder="1" applyFont="1" applyNumberFormat="1">
      <alignment horizontal="left" shrinkToFit="0" wrapText="1"/>
    </xf>
    <xf borderId="0" fillId="21" fontId="40" numFmtId="164" xfId="0" applyAlignment="1" applyFont="1" applyNumberFormat="1">
      <alignment horizontal="left" shrinkToFit="0" wrapText="1"/>
    </xf>
    <xf borderId="94" fillId="37" fontId="56" numFmtId="164" xfId="0" applyAlignment="1" applyBorder="1" applyFill="1" applyFont="1" applyNumberFormat="1">
      <alignment horizontal="left" shrinkToFit="0" wrapText="1"/>
    </xf>
    <xf borderId="95" fillId="37" fontId="56" numFmtId="164" xfId="0" applyAlignment="1" applyBorder="1" applyFont="1" applyNumberFormat="1">
      <alignment horizontal="left" shrinkToFit="0" wrapText="1"/>
    </xf>
    <xf borderId="0" fillId="36" fontId="55" numFmtId="164" xfId="0" applyAlignment="1" applyFont="1" applyNumberFormat="1">
      <alignment horizontal="left" shrinkToFit="0" wrapText="1"/>
    </xf>
    <xf borderId="94" fillId="8" fontId="5" numFmtId="164" xfId="0" applyAlignment="1" applyBorder="1" applyFont="1" applyNumberFormat="1">
      <alignment horizontal="left" readingOrder="0" shrinkToFit="0" wrapText="1"/>
    </xf>
    <xf borderId="94" fillId="8" fontId="51" numFmtId="164" xfId="0" applyAlignment="1" applyBorder="1" applyFont="1" applyNumberFormat="1">
      <alignment horizontal="left" readingOrder="0" shrinkToFit="0" wrapText="1"/>
    </xf>
    <xf borderId="0" fillId="8" fontId="51" numFmtId="164" xfId="0" applyAlignment="1" applyFont="1" applyNumberFormat="1">
      <alignment horizontal="left" readingOrder="0" shrinkToFit="0" wrapText="1"/>
    </xf>
    <xf borderId="95" fillId="8" fontId="5" numFmtId="164" xfId="0" applyAlignment="1" applyBorder="1" applyFont="1" applyNumberFormat="1">
      <alignment horizontal="left" readingOrder="0" shrinkToFit="0" wrapText="1"/>
    </xf>
    <xf borderId="25" fillId="8" fontId="5" numFmtId="164" xfId="0" applyAlignment="1" applyBorder="1" applyFont="1" applyNumberFormat="1">
      <alignment horizontal="left" shrinkToFit="0" vertical="center" wrapText="1"/>
    </xf>
    <xf borderId="91" fillId="8" fontId="5" numFmtId="164" xfId="0" applyAlignment="1" applyBorder="1" applyFont="1" applyNumberFormat="1">
      <alignment horizontal="left" readingOrder="0" shrinkToFit="0" vertical="center" wrapText="1"/>
    </xf>
    <xf borderId="92" fillId="8" fontId="5" numFmtId="164" xfId="0" applyAlignment="1" applyBorder="1" applyFont="1" applyNumberFormat="1">
      <alignment horizontal="left" readingOrder="0" shrinkToFit="0" vertical="center" wrapText="1"/>
    </xf>
    <xf borderId="25" fillId="8" fontId="5" numFmtId="164" xfId="0" applyAlignment="1" applyBorder="1" applyFont="1" applyNumberFormat="1">
      <alignment horizontal="left" readingOrder="0" shrinkToFit="0" vertical="center" wrapText="1"/>
    </xf>
    <xf borderId="98" fillId="2" fontId="52" numFmtId="164" xfId="0" applyAlignment="1" applyBorder="1" applyFont="1" applyNumberFormat="1">
      <alignment horizontal="left" readingOrder="0"/>
    </xf>
    <xf borderId="98" fillId="2" fontId="52" numFmtId="164" xfId="0" applyAlignment="1" applyBorder="1" applyFont="1" applyNumberFormat="1">
      <alignment horizontal="left"/>
    </xf>
    <xf borderId="0" fillId="2" fontId="52" numFmtId="164" xfId="0" applyAlignment="1" applyFont="1" applyNumberFormat="1">
      <alignment horizontal="left"/>
    </xf>
    <xf borderId="0" fillId="4" fontId="5" numFmtId="164" xfId="0" applyAlignment="1" applyFont="1" applyNumberFormat="1">
      <alignment horizontal="left" readingOrder="0" shrinkToFit="0" vertical="center" wrapText="0"/>
    </xf>
    <xf borderId="0" fillId="4" fontId="5" numFmtId="164" xfId="0" applyAlignment="1" applyFont="1" applyNumberFormat="1">
      <alignment horizontal="left" shrinkToFit="0" vertical="center" wrapText="1"/>
    </xf>
    <xf borderId="0" fillId="5" fontId="30" numFmtId="164" xfId="0" applyAlignment="1" applyFont="1" applyNumberFormat="1">
      <alignment horizontal="left" readingOrder="0" vertical="center"/>
    </xf>
    <xf borderId="0" fillId="5" fontId="41" numFmtId="0" xfId="0" applyFont="1"/>
    <xf borderId="99" fillId="4" fontId="15" numFmtId="164" xfId="0" applyAlignment="1" applyBorder="1" applyFont="1" applyNumberFormat="1">
      <alignment horizontal="left" readingOrder="0" vertical="center"/>
    </xf>
    <xf borderId="0" fillId="0" fontId="17" numFmtId="0" xfId="0" applyAlignment="1" applyFont="1">
      <alignment shrinkToFit="0" vertical="top" wrapText="1"/>
    </xf>
    <xf borderId="0" fillId="5" fontId="30" numFmtId="164" xfId="0" applyAlignment="1" applyFont="1" applyNumberFormat="1">
      <alignment horizontal="left"/>
    </xf>
    <xf borderId="99" fillId="4" fontId="15" numFmtId="164" xfId="0" applyAlignment="1" applyBorder="1" applyFont="1" applyNumberFormat="1">
      <alignment horizontal="left" readingOrder="0"/>
    </xf>
    <xf borderId="0" fillId="38" fontId="55" numFmtId="164" xfId="0" applyAlignment="1" applyFill="1" applyFont="1" applyNumberFormat="1">
      <alignment horizontal="left" readingOrder="0"/>
    </xf>
    <xf borderId="0" fillId="10" fontId="51" numFmtId="164" xfId="0" applyAlignment="1" applyFont="1" applyNumberFormat="1">
      <alignment horizontal="left" readingOrder="0"/>
    </xf>
    <xf borderId="0" fillId="10" fontId="5" numFmtId="164" xfId="0" applyAlignment="1" applyFont="1" applyNumberFormat="1">
      <alignment horizontal="left"/>
    </xf>
    <xf borderId="0" fillId="39" fontId="57" numFmtId="164" xfId="0" applyAlignment="1" applyFill="1" applyFont="1" applyNumberFormat="1">
      <alignment horizontal="left"/>
    </xf>
    <xf borderId="0" fillId="38" fontId="58" numFmtId="164" xfId="0" applyAlignment="1" applyFont="1" applyNumberFormat="1">
      <alignment horizontal="left" readingOrder="0"/>
    </xf>
    <xf borderId="0" fillId="10" fontId="5" numFmtId="164" xfId="0" applyAlignment="1" applyFont="1" applyNumberFormat="1">
      <alignment horizontal="left" readingOrder="0"/>
    </xf>
    <xf borderId="0" fillId="0" fontId="59" numFmtId="0" xfId="0" applyAlignment="1" applyFont="1">
      <alignment shrinkToFit="0" wrapText="1"/>
    </xf>
    <xf borderId="0" fillId="8" fontId="60" numFmtId="164" xfId="0" applyAlignment="1" applyFont="1" applyNumberFormat="1">
      <alignment horizontal="left"/>
    </xf>
    <xf borderId="0" fillId="38" fontId="55" numFmtId="164" xfId="0" applyAlignment="1" applyFont="1" applyNumberFormat="1">
      <alignment horizontal="left"/>
    </xf>
    <xf borderId="90" fillId="8" fontId="5" numFmtId="164" xfId="0" applyAlignment="1" applyBorder="1" applyFont="1" applyNumberFormat="1">
      <alignment horizontal="left" shrinkToFit="0" wrapText="1"/>
    </xf>
    <xf borderId="100" fillId="8" fontId="5" numFmtId="164" xfId="0" applyAlignment="1" applyBorder="1" applyFont="1" applyNumberFormat="1">
      <alignment horizontal="left" shrinkToFit="0" wrapText="1"/>
    </xf>
    <xf borderId="101" fillId="8" fontId="5" numFmtId="164" xfId="0" applyAlignment="1" applyBorder="1" applyFont="1" applyNumberFormat="1">
      <alignment horizontal="left" shrinkToFit="0" wrapText="1"/>
    </xf>
    <xf borderId="102" fillId="8" fontId="5" numFmtId="164" xfId="0" applyAlignment="1" applyBorder="1" applyFont="1" applyNumberFormat="1">
      <alignment horizontal="left" shrinkToFit="0" wrapText="1"/>
    </xf>
    <xf borderId="25" fillId="14" fontId="30" numFmtId="164" xfId="0" applyAlignment="1" applyBorder="1" applyFont="1" applyNumberFormat="1">
      <alignment horizontal="left" shrinkToFit="0" vertical="center" wrapText="1"/>
    </xf>
    <xf borderId="90" fillId="21" fontId="40" numFmtId="164" xfId="0" applyAlignment="1" applyBorder="1" applyFont="1" applyNumberFormat="1">
      <alignment horizontal="left" shrinkToFit="0" wrapText="1"/>
    </xf>
    <xf borderId="88" fillId="2" fontId="52" numFmtId="164" xfId="0" applyAlignment="1" applyBorder="1" applyFont="1" applyNumberFormat="1">
      <alignment horizontal="left" shrinkToFit="0" wrapText="1"/>
    </xf>
    <xf borderId="103" fillId="4" fontId="5" numFmtId="164" xfId="0" applyAlignment="1" applyBorder="1" applyFont="1" applyNumberFormat="1">
      <alignment horizontal="left" readingOrder="0" shrinkToFit="0" wrapText="0"/>
    </xf>
    <xf borderId="103" fillId="4" fontId="5" numFmtId="164" xfId="0" applyAlignment="1" applyBorder="1" applyFont="1" applyNumberFormat="1">
      <alignment horizontal="left" shrinkToFit="0" wrapText="1"/>
    </xf>
    <xf borderId="0" fillId="40" fontId="61" numFmtId="0" xfId="0" applyAlignment="1" applyFill="1" applyFont="1">
      <alignment readingOrder="0" shrinkToFit="0" vertical="center" wrapText="1"/>
    </xf>
    <xf borderId="88" fillId="5" fontId="30" numFmtId="164" xfId="0" applyAlignment="1" applyBorder="1" applyFont="1" applyNumberFormat="1">
      <alignment horizontal="left" readingOrder="0" shrinkToFit="0" vertical="center" wrapText="0"/>
    </xf>
    <xf borderId="88" fillId="4" fontId="5" numFmtId="164" xfId="0" applyAlignment="1" applyBorder="1" applyFont="1" applyNumberFormat="1">
      <alignment horizontal="left" readingOrder="0" shrinkToFit="0" vertical="center" wrapText="1"/>
    </xf>
    <xf borderId="88" fillId="41" fontId="9" numFmtId="164" xfId="0" applyAlignment="1" applyBorder="1" applyFill="1" applyFont="1" applyNumberFormat="1">
      <alignment horizontal="left" shrinkToFit="0" vertical="center" wrapText="1"/>
    </xf>
    <xf borderId="25" fillId="14" fontId="9" numFmtId="164" xfId="0" applyAlignment="1" applyBorder="1" applyFont="1" applyNumberFormat="1">
      <alignment horizontal="left" shrinkToFit="0" wrapText="1"/>
    </xf>
    <xf borderId="104" fillId="4" fontId="5" numFmtId="164" xfId="0" applyAlignment="1" applyBorder="1" applyFont="1" applyNumberFormat="1">
      <alignment horizontal="left" readingOrder="0" shrinkToFit="0" wrapText="0"/>
    </xf>
    <xf borderId="104" fillId="4" fontId="5" numFmtId="164" xfId="0" applyAlignment="1" applyBorder="1" applyFont="1" applyNumberFormat="1">
      <alignment horizontal="left"/>
    </xf>
    <xf borderId="104" fillId="10" fontId="5" numFmtId="164" xfId="0" applyAlignment="1" applyBorder="1" applyFont="1" applyNumberFormat="1">
      <alignment horizontal="left" readingOrder="0"/>
    </xf>
    <xf borderId="104" fillId="10" fontId="5" numFmtId="164" xfId="0" applyAlignment="1" applyBorder="1" applyFont="1" applyNumberFormat="1">
      <alignment horizontal="left" readingOrder="0" vertical="center"/>
    </xf>
    <xf borderId="104" fillId="10" fontId="51" numFmtId="164" xfId="0" applyAlignment="1" applyBorder="1" applyFont="1" applyNumberFormat="1">
      <alignment horizontal="left" readingOrder="0" vertical="center"/>
    </xf>
    <xf borderId="104" fillId="0" fontId="34" numFmtId="0" xfId="0" applyBorder="1" applyFont="1"/>
    <xf borderId="104" fillId="27" fontId="62" numFmtId="164" xfId="0" applyAlignment="1" applyBorder="1" applyFont="1" applyNumberFormat="1">
      <alignment horizontal="left"/>
    </xf>
    <xf borderId="90" fillId="21" fontId="40" numFmtId="164" xfId="0" applyAlignment="1" applyBorder="1" applyFont="1" applyNumberFormat="1">
      <alignment horizontal="left" shrinkToFit="0" wrapText="0"/>
    </xf>
    <xf borderId="0" fillId="21" fontId="40" numFmtId="164" xfId="0" applyAlignment="1" applyFont="1" applyNumberFormat="1">
      <alignment horizontal="left"/>
    </xf>
    <xf borderId="0" fillId="4" fontId="5" numFmtId="164" xfId="0" applyAlignment="1" applyFont="1" applyNumberFormat="1">
      <alignment horizontal="left" readingOrder="0" vertical="center"/>
    </xf>
    <xf borderId="0" fillId="4" fontId="5" numFmtId="164" xfId="0" applyAlignment="1" applyFont="1" applyNumberFormat="1">
      <alignment horizontal="left" vertical="center"/>
    </xf>
    <xf borderId="0" fillId="4" fontId="5" numFmtId="165" xfId="0" applyAlignment="1" applyFont="1" applyNumberFormat="1">
      <alignment horizontal="left" vertical="center"/>
    </xf>
    <xf borderId="0" fillId="42" fontId="63" numFmtId="164" xfId="0" applyAlignment="1" applyFill="1" applyFont="1" applyNumberFormat="1">
      <alignment horizontal="left" readingOrder="0" shrinkToFit="0" wrapText="1"/>
    </xf>
    <xf borderId="0" fillId="43" fontId="64" numFmtId="164" xfId="0" applyAlignment="1" applyFill="1" applyFont="1" applyNumberFormat="1">
      <alignment horizontal="left" readingOrder="0" shrinkToFit="0" wrapText="1"/>
    </xf>
    <xf borderId="0" fillId="43" fontId="64" numFmtId="164" xfId="0" applyAlignment="1" applyFont="1" applyNumberFormat="1">
      <alignment horizontal="left" shrinkToFit="0" wrapText="1"/>
    </xf>
    <xf borderId="0" fillId="21" fontId="40" numFmtId="164" xfId="0" applyAlignment="1" applyFont="1" applyNumberFormat="1">
      <alignment horizontal="left" shrinkToFit="0" vertical="center" wrapText="0"/>
    </xf>
    <xf borderId="105" fillId="4" fontId="15" numFmtId="164" xfId="0" applyAlignment="1" applyBorder="1" applyFont="1" applyNumberFormat="1">
      <alignment horizontal="left" shrinkToFit="0" vertical="center" wrapText="1"/>
    </xf>
    <xf borderId="105" fillId="4" fontId="15" numFmtId="164" xfId="0" applyAlignment="1" applyBorder="1" applyFont="1" applyNumberFormat="1">
      <alignment horizontal="left" readingOrder="0" shrinkToFit="0" vertical="center" wrapText="1"/>
    </xf>
    <xf borderId="105" fillId="35" fontId="30" numFmtId="164" xfId="0" applyAlignment="1" applyBorder="1" applyFont="1" applyNumberFormat="1">
      <alignment horizontal="left" shrinkToFit="0" vertical="center" wrapText="1"/>
    </xf>
    <xf borderId="106" fillId="35" fontId="30" numFmtId="164" xfId="0" applyAlignment="1" applyBorder="1" applyFont="1" applyNumberFormat="1">
      <alignment horizontal="left" shrinkToFit="0" vertical="center" wrapText="1"/>
    </xf>
    <xf borderId="107" fillId="35" fontId="30" numFmtId="164" xfId="0" applyAlignment="1" applyBorder="1" applyFont="1" applyNumberFormat="1">
      <alignment horizontal="left" readingOrder="0" shrinkToFit="0" wrapText="1"/>
    </xf>
    <xf borderId="108" fillId="35" fontId="30" numFmtId="164" xfId="0" applyAlignment="1" applyBorder="1" applyFont="1" applyNumberFormat="1">
      <alignment horizontal="left" readingOrder="0" shrinkToFit="0" wrapText="1"/>
    </xf>
    <xf borderId="109" fillId="35" fontId="30" numFmtId="164" xfId="0" applyAlignment="1" applyBorder="1" applyFont="1" applyNumberFormat="1">
      <alignment horizontal="left" readingOrder="0" shrinkToFit="0" wrapText="1"/>
    </xf>
    <xf borderId="106" fillId="35" fontId="30" numFmtId="164" xfId="0" applyAlignment="1" applyBorder="1" applyFont="1" applyNumberFormat="1">
      <alignment horizontal="left" readingOrder="0" shrinkToFit="0" wrapText="1"/>
    </xf>
    <xf borderId="0" fillId="35" fontId="30" numFmtId="164" xfId="0" applyAlignment="1" applyFont="1" applyNumberFormat="1">
      <alignment horizontal="left" readingOrder="0" shrinkToFit="0" wrapText="1"/>
    </xf>
    <xf borderId="110" fillId="38" fontId="55" numFmtId="164" xfId="0" applyAlignment="1" applyBorder="1" applyFont="1" applyNumberFormat="1">
      <alignment horizontal="left"/>
    </xf>
    <xf borderId="110" fillId="8" fontId="5" numFmtId="164" xfId="0" applyAlignment="1" applyBorder="1" applyFont="1" applyNumberFormat="1">
      <alignment horizontal="left"/>
    </xf>
    <xf borderId="0" fillId="8" fontId="5" numFmtId="165" xfId="0" applyAlignment="1" applyFont="1" applyNumberFormat="1">
      <alignment horizontal="left" shrinkToFit="0" wrapText="1"/>
    </xf>
    <xf borderId="0" fillId="38" fontId="65" numFmtId="164" xfId="0" applyAlignment="1" applyFont="1" applyNumberFormat="1">
      <alignment horizontal="left" shrinkToFit="0" wrapText="1"/>
    </xf>
    <xf borderId="111" fillId="39" fontId="66" numFmtId="164" xfId="0" applyAlignment="1" applyBorder="1" applyFont="1" applyNumberFormat="1">
      <alignment horizontal="left" shrinkToFit="0" wrapText="1"/>
    </xf>
    <xf borderId="0" fillId="38" fontId="58" numFmtId="164" xfId="0" applyAlignment="1" applyFont="1" applyNumberFormat="1">
      <alignment horizontal="left" shrinkToFit="0" wrapText="1"/>
    </xf>
    <xf borderId="112" fillId="38" fontId="58" numFmtId="164" xfId="0" applyAlignment="1" applyBorder="1" applyFont="1" applyNumberFormat="1">
      <alignment horizontal="left" shrinkToFit="0" wrapText="1"/>
    </xf>
    <xf borderId="111" fillId="39" fontId="66" numFmtId="165" xfId="0" applyAlignment="1" applyBorder="1" applyFont="1" applyNumberFormat="1">
      <alignment horizontal="right" shrinkToFit="0" wrapText="1"/>
    </xf>
    <xf borderId="112" fillId="39" fontId="66" numFmtId="165" xfId="0" applyAlignment="1" applyBorder="1" applyFont="1" applyNumberFormat="1">
      <alignment horizontal="right" shrinkToFit="0" wrapText="1"/>
    </xf>
    <xf borderId="111" fillId="38" fontId="58" numFmtId="164" xfId="0" applyAlignment="1" applyBorder="1" applyFont="1" applyNumberFormat="1">
      <alignment horizontal="left" shrinkToFit="0" wrapText="1"/>
    </xf>
    <xf borderId="113" fillId="39" fontId="66" numFmtId="164" xfId="0" applyAlignment="1" applyBorder="1" applyFont="1" applyNumberFormat="1">
      <alignment horizontal="left" shrinkToFit="0" wrapText="1"/>
    </xf>
    <xf borderId="0" fillId="39" fontId="66" numFmtId="164" xfId="0" applyAlignment="1" applyFont="1" applyNumberFormat="1">
      <alignment horizontal="left" shrinkToFit="0" wrapText="1"/>
    </xf>
    <xf borderId="114" fillId="2" fontId="2" numFmtId="164" xfId="0" applyAlignment="1" applyBorder="1" applyFont="1" applyNumberFormat="1">
      <alignment horizontal="left" readingOrder="0"/>
    </xf>
    <xf borderId="114" fillId="2" fontId="2" numFmtId="164" xfId="0" applyAlignment="1" applyBorder="1" applyFont="1" applyNumberFormat="1">
      <alignment horizontal="left"/>
    </xf>
    <xf borderId="0" fillId="44" fontId="55" numFmtId="164" xfId="0" applyAlignment="1" applyFill="1" applyFont="1" applyNumberFormat="1">
      <alignment horizontal="left" shrinkToFit="0" wrapText="1"/>
    </xf>
    <xf borderId="0" fillId="44" fontId="67" numFmtId="164" xfId="0" applyAlignment="1" applyFont="1" applyNumberFormat="1">
      <alignment horizontal="left" shrinkToFit="0" wrapText="1"/>
    </xf>
    <xf borderId="0" fillId="4" fontId="51" numFmtId="164" xfId="0" applyAlignment="1" applyFont="1" applyNumberFormat="1">
      <alignment horizontal="left" readingOrder="0"/>
    </xf>
    <xf borderId="0" fillId="4" fontId="51" numFmtId="164" xfId="0" applyAlignment="1" applyFont="1" applyNumberFormat="1">
      <alignment horizontal="left"/>
    </xf>
    <xf borderId="0" fillId="44" fontId="67" numFmtId="164" xfId="0" applyAlignment="1" applyFont="1" applyNumberFormat="1">
      <alignment horizontal="left" readingOrder="0" shrinkToFit="0" wrapText="1"/>
    </xf>
    <xf borderId="115" fillId="4" fontId="68" numFmtId="164" xfId="0" applyAlignment="1" applyBorder="1" applyFont="1" applyNumberFormat="1">
      <alignment horizontal="left" readingOrder="0"/>
    </xf>
    <xf borderId="116" fillId="4" fontId="68" numFmtId="164" xfId="0" applyAlignment="1" applyBorder="1" applyFont="1" applyNumberFormat="1">
      <alignment horizontal="left" readingOrder="0"/>
    </xf>
    <xf borderId="117" fillId="4" fontId="68" numFmtId="164" xfId="0" applyAlignment="1" applyBorder="1" applyFont="1" applyNumberFormat="1">
      <alignment horizontal="left" readingOrder="0"/>
    </xf>
    <xf borderId="115" fillId="10" fontId="51" numFmtId="164" xfId="0" applyAlignment="1" applyBorder="1" applyFont="1" applyNumberFormat="1">
      <alignment horizontal="left" readingOrder="0"/>
    </xf>
    <xf borderId="116" fillId="10" fontId="51" numFmtId="164" xfId="0" applyAlignment="1" applyBorder="1" applyFont="1" applyNumberFormat="1">
      <alignment horizontal="left" readingOrder="0"/>
    </xf>
    <xf borderId="117" fillId="10" fontId="51" numFmtId="164" xfId="0" applyAlignment="1" applyBorder="1" applyFont="1" applyNumberFormat="1">
      <alignment horizontal="left" readingOrder="0"/>
    </xf>
    <xf borderId="118" fillId="39" fontId="66" numFmtId="164" xfId="0" applyAlignment="1" applyBorder="1" applyFont="1" applyNumberFormat="1">
      <alignment horizontal="left" shrinkToFit="0" wrapText="1"/>
    </xf>
    <xf borderId="119" fillId="5" fontId="9" numFmtId="164" xfId="0" applyAlignment="1" applyBorder="1" applyFont="1" applyNumberFormat="1">
      <alignment horizontal="left" readingOrder="0"/>
    </xf>
    <xf borderId="120" fillId="5" fontId="9" numFmtId="164" xfId="0" applyAlignment="1" applyBorder="1" applyFont="1" applyNumberFormat="1">
      <alignment horizontal="left" readingOrder="0"/>
    </xf>
    <xf borderId="121" fillId="5" fontId="9" numFmtId="164" xfId="0" applyAlignment="1" applyBorder="1" applyFont="1" applyNumberFormat="1">
      <alignment horizontal="left"/>
    </xf>
    <xf borderId="122" fillId="8" fontId="51" numFmtId="164" xfId="0" applyAlignment="1" applyBorder="1" applyFont="1" applyNumberFormat="1">
      <alignment horizontal="left"/>
    </xf>
    <xf borderId="123" fillId="8" fontId="51" numFmtId="164" xfId="0" applyAlignment="1" applyBorder="1" applyFont="1" applyNumberFormat="1">
      <alignment horizontal="left"/>
    </xf>
    <xf borderId="124" fillId="8" fontId="51" numFmtId="164" xfId="0" applyAlignment="1" applyBorder="1" applyFont="1" applyNumberFormat="1">
      <alignment horizontal="left"/>
    </xf>
    <xf borderId="0" fillId="8" fontId="5" numFmtId="165" xfId="0" applyAlignment="1" applyFont="1" applyNumberFormat="1">
      <alignment horizontal="left" readingOrder="0" shrinkToFit="0" wrapText="1"/>
    </xf>
    <xf borderId="0" fillId="38" fontId="65" numFmtId="164" xfId="0" applyAlignment="1" applyFont="1" applyNumberFormat="1">
      <alignment horizontal="left" readingOrder="0" shrinkToFit="0" wrapText="1"/>
    </xf>
    <xf borderId="0" fillId="38" fontId="58" numFmtId="164" xfId="0" applyAlignment="1" applyFont="1" applyNumberFormat="1">
      <alignment horizontal="left" readingOrder="0" shrinkToFit="0" wrapText="1"/>
    </xf>
    <xf borderId="111" fillId="38" fontId="58" numFmtId="164" xfId="0" applyAlignment="1" applyBorder="1" applyFont="1" applyNumberFormat="1">
      <alignment horizontal="left" readingOrder="0" shrinkToFit="0" wrapText="1"/>
    </xf>
    <xf borderId="0" fillId="8" fontId="5" numFmtId="164" xfId="0" applyAlignment="1" applyFont="1" applyNumberFormat="1">
      <alignment horizontal="center" readingOrder="0" shrinkToFit="0" wrapText="1"/>
    </xf>
    <xf borderId="111" fillId="39" fontId="69" numFmtId="165" xfId="0" applyAlignment="1" applyBorder="1" applyFont="1" applyNumberFormat="1">
      <alignment horizontal="right" readingOrder="0" shrinkToFit="0" wrapText="1"/>
    </xf>
    <xf borderId="61" fillId="8" fontId="5" numFmtId="164" xfId="0" applyAlignment="1" applyBorder="1" applyFont="1" applyNumberFormat="1">
      <alignment horizontal="left" readingOrder="0" shrinkToFit="0" vertical="top" wrapText="1"/>
    </xf>
    <xf borderId="125" fillId="21" fontId="70" numFmtId="164" xfId="0" applyAlignment="1" applyBorder="1" applyFont="1" applyNumberFormat="1">
      <alignment horizontal="left" readingOrder="0" shrinkToFit="0" wrapText="1"/>
    </xf>
    <xf borderId="125" fillId="21" fontId="70" numFmtId="164" xfId="0" applyAlignment="1" applyBorder="1" applyFont="1" applyNumberFormat="1">
      <alignment horizontal="left" shrinkToFit="0" wrapText="1"/>
    </xf>
    <xf borderId="126" fillId="8" fontId="5" numFmtId="165" xfId="0" applyAlignment="1" applyBorder="1" applyFont="1" applyNumberFormat="1">
      <alignment horizontal="left"/>
    </xf>
    <xf borderId="127" fillId="8" fontId="5" numFmtId="164" xfId="0" applyAlignment="1" applyBorder="1" applyFont="1" applyNumberFormat="1">
      <alignment horizontal="left"/>
    </xf>
    <xf borderId="88" fillId="2" fontId="2" numFmtId="164" xfId="0" applyAlignment="1" applyBorder="1" applyFont="1" applyNumberFormat="1">
      <alignment horizontal="left" shrinkToFit="0" vertical="center" wrapText="1"/>
    </xf>
    <xf borderId="88" fillId="2" fontId="2" numFmtId="164" xfId="0" applyAlignment="1" applyBorder="1" applyFont="1" applyNumberFormat="1">
      <alignment horizontal="left" shrinkToFit="0" wrapText="1"/>
    </xf>
    <xf borderId="89" fillId="4" fontId="51" numFmtId="164" xfId="0" applyAlignment="1" applyBorder="1" applyFont="1" applyNumberFormat="1">
      <alignment horizontal="left" readingOrder="0" shrinkToFit="0" wrapText="0"/>
    </xf>
    <xf borderId="89" fillId="4" fontId="51" numFmtId="164" xfId="0" applyAlignment="1" applyBorder="1" applyFont="1" applyNumberFormat="1">
      <alignment horizontal="left" shrinkToFit="0" wrapText="1"/>
    </xf>
    <xf borderId="25" fillId="4" fontId="68" numFmtId="164" xfId="0" applyAlignment="1" applyBorder="1" applyFont="1" applyNumberFormat="1">
      <alignment horizontal="left" readingOrder="0" shrinkToFit="0" vertical="center" wrapText="1"/>
    </xf>
    <xf borderId="25" fillId="4" fontId="68" numFmtId="164" xfId="0" applyAlignment="1" applyBorder="1" applyFont="1" applyNumberFormat="1">
      <alignment horizontal="left" readingOrder="0" shrinkToFit="0" wrapText="1"/>
    </xf>
    <xf borderId="0" fillId="10" fontId="51" numFmtId="1" xfId="0" applyAlignment="1" applyFont="1" applyNumberFormat="1">
      <alignment horizontal="left" readingOrder="0" shrinkToFit="0" vertical="center" wrapText="1"/>
    </xf>
    <xf borderId="0" fillId="10" fontId="51" numFmtId="164" xfId="0" applyAlignment="1" applyFont="1" applyNumberFormat="1">
      <alignment horizontal="left" readingOrder="0" shrinkToFit="0" vertical="center" wrapText="1"/>
    </xf>
    <xf borderId="0" fillId="8" fontId="51" numFmtId="164" xfId="0" applyAlignment="1" applyFont="1" applyNumberFormat="1">
      <alignment horizontal="left" readingOrder="0" shrinkToFit="0" vertical="center" wrapText="1"/>
    </xf>
    <xf borderId="0" fillId="8" fontId="51" numFmtId="164" xfId="0" applyAlignment="1" applyFont="1" applyNumberFormat="1">
      <alignment horizontal="left" shrinkToFit="0" vertical="center" wrapText="1"/>
    </xf>
    <xf borderId="0" fillId="10" fontId="51" numFmtId="1" xfId="0" applyAlignment="1" applyFont="1" applyNumberFormat="1">
      <alignment horizontal="left" readingOrder="0" shrinkToFit="0" wrapText="1"/>
    </xf>
    <xf borderId="90" fillId="10" fontId="51" numFmtId="1" xfId="0" applyAlignment="1" applyBorder="1" applyFont="1" applyNumberFormat="1">
      <alignment horizontal="left" readingOrder="0" shrinkToFit="0" wrapText="1"/>
    </xf>
    <xf borderId="90" fillId="10" fontId="51" numFmtId="164" xfId="0" applyAlignment="1" applyBorder="1" applyFont="1" applyNumberFormat="1">
      <alignment horizontal="left" readingOrder="0" shrinkToFit="0" wrapText="1"/>
    </xf>
    <xf borderId="128" fillId="10" fontId="51" numFmtId="164" xfId="0" applyAlignment="1" applyBorder="1" applyFont="1" applyNumberFormat="1">
      <alignment horizontal="left" readingOrder="0" shrinkToFit="0" wrapText="1"/>
    </xf>
    <xf borderId="128" fillId="8" fontId="51" numFmtId="164" xfId="0" applyAlignment="1" applyBorder="1" applyFont="1" applyNumberFormat="1">
      <alignment horizontal="left" shrinkToFit="0" wrapText="1"/>
    </xf>
    <xf borderId="90" fillId="8" fontId="51" numFmtId="164" xfId="0" applyAlignment="1" applyBorder="1" applyFont="1" applyNumberFormat="1">
      <alignment horizontal="left" shrinkToFit="0" wrapText="1"/>
    </xf>
    <xf borderId="90" fillId="28" fontId="51" numFmtId="164" xfId="0" applyAlignment="1" applyBorder="1" applyFont="1" applyNumberFormat="1">
      <alignment horizontal="left" readingOrder="0" shrinkToFit="0" wrapText="1"/>
    </xf>
    <xf borderId="88" fillId="5" fontId="9" numFmtId="164" xfId="0" applyAlignment="1" applyBorder="1" applyFont="1" applyNumberFormat="1">
      <alignment horizontal="left" readingOrder="0" shrinkToFit="0" wrapText="1"/>
    </xf>
    <xf borderId="88" fillId="5" fontId="9" numFmtId="164" xfId="0" applyAlignment="1" applyBorder="1" applyFont="1" applyNumberFormat="1">
      <alignment horizontal="left" shrinkToFit="0" wrapText="1"/>
    </xf>
    <xf borderId="90" fillId="10" fontId="51" numFmtId="164" xfId="0" applyAlignment="1" applyBorder="1" applyFont="1" applyNumberFormat="1">
      <alignment horizontal="left" shrinkToFit="0" wrapText="1"/>
    </xf>
    <xf borderId="0" fillId="2" fontId="71" numFmtId="0" xfId="0" applyAlignment="1" applyFont="1">
      <alignment horizontal="left" shrinkToFit="0" vertical="center" wrapText="1"/>
    </xf>
    <xf borderId="88" fillId="2" fontId="2" numFmtId="164" xfId="0" applyAlignment="1" applyBorder="1" applyFont="1" applyNumberFormat="1">
      <alignment horizontal="left" readingOrder="0" shrinkToFit="0" vertical="center" wrapText="1"/>
    </xf>
    <xf borderId="129" fillId="4" fontId="51" numFmtId="164" xfId="0" applyAlignment="1" applyBorder="1" applyFont="1" applyNumberFormat="1">
      <alignment horizontal="left" readingOrder="0" shrinkToFit="0" wrapText="0"/>
    </xf>
    <xf borderId="129" fillId="4" fontId="51" numFmtId="164" xfId="0" applyAlignment="1" applyBorder="1" applyFont="1" applyNumberFormat="1">
      <alignment horizontal="left" shrinkToFit="0" wrapText="1"/>
    </xf>
    <xf borderId="119" fillId="4" fontId="68" numFmtId="164" xfId="0" applyAlignment="1" applyBorder="1" applyFont="1" applyNumberFormat="1">
      <alignment horizontal="left" readingOrder="0" shrinkToFit="0" vertical="center" wrapText="1"/>
    </xf>
    <xf borderId="120" fillId="4" fontId="68" numFmtId="164" xfId="0" applyAlignment="1" applyBorder="1" applyFont="1" applyNumberFormat="1">
      <alignment horizontal="left" readingOrder="0" shrinkToFit="0" vertical="center" wrapText="1"/>
    </xf>
    <xf borderId="130" fillId="4" fontId="51" numFmtId="164" xfId="0" applyAlignment="1" applyBorder="1" applyFont="1" applyNumberFormat="1">
      <alignment horizontal="left" readingOrder="0" shrinkToFit="0" vertical="center" wrapText="1"/>
    </xf>
    <xf borderId="131" fillId="39" fontId="72" numFmtId="164" xfId="0" applyAlignment="1" applyBorder="1" applyFont="1" applyNumberFormat="1">
      <alignment horizontal="left" readingOrder="0" shrinkToFit="0" vertical="center" wrapText="1"/>
    </xf>
    <xf borderId="132" fillId="39" fontId="72" numFmtId="164" xfId="0" applyAlignment="1" applyBorder="1" applyFont="1" applyNumberFormat="1">
      <alignment horizontal="left" readingOrder="0" shrinkToFit="0" vertical="center" wrapText="1"/>
    </xf>
    <xf borderId="115" fillId="10" fontId="51" numFmtId="164" xfId="0" applyAlignment="1" applyBorder="1" applyFont="1" applyNumberFormat="1">
      <alignment horizontal="left" readingOrder="0" shrinkToFit="0" vertical="center" wrapText="1"/>
    </xf>
    <xf borderId="116" fillId="10" fontId="51" numFmtId="164" xfId="0" applyAlignment="1" applyBorder="1" applyFont="1" applyNumberFormat="1">
      <alignment horizontal="left" readingOrder="0" shrinkToFit="0" vertical="center" wrapText="1"/>
    </xf>
    <xf borderId="117" fillId="10" fontId="51" numFmtId="164" xfId="0" applyAlignment="1" applyBorder="1" applyFont="1" applyNumberFormat="1">
      <alignment horizontal="left" readingOrder="0" shrinkToFit="0" vertical="center" wrapText="1"/>
    </xf>
    <xf borderId="115" fillId="10" fontId="51" numFmtId="165" xfId="0" applyAlignment="1" applyBorder="1" applyFont="1" applyNumberFormat="1">
      <alignment horizontal="left" readingOrder="0" shrinkToFit="0" vertical="center" wrapText="1"/>
    </xf>
    <xf borderId="116" fillId="10" fontId="51" numFmtId="165" xfId="0" applyAlignment="1" applyBorder="1" applyFont="1" applyNumberFormat="1">
      <alignment horizontal="left" readingOrder="0" shrinkToFit="0" vertical="center" wrapText="1"/>
    </xf>
    <xf borderId="133" fillId="4" fontId="51" numFmtId="164" xfId="0" applyAlignment="1" applyBorder="1" applyFont="1" applyNumberFormat="1">
      <alignment horizontal="left" readingOrder="0" shrinkToFit="0" vertical="center" wrapText="1"/>
    </xf>
    <xf borderId="134" fillId="39" fontId="72" numFmtId="164" xfId="0" applyAlignment="1" applyBorder="1" applyFont="1" applyNumberFormat="1">
      <alignment horizontal="left" readingOrder="0" shrinkToFit="0" vertical="center" wrapText="1"/>
    </xf>
    <xf borderId="135" fillId="39" fontId="72" numFmtId="164" xfId="0" applyAlignment="1" applyBorder="1" applyFont="1" applyNumberFormat="1">
      <alignment horizontal="left" readingOrder="0" shrinkToFit="0" vertical="center" wrapText="1"/>
    </xf>
    <xf borderId="136" fillId="5" fontId="9" numFmtId="164" xfId="0" applyAlignment="1" applyBorder="1" applyFont="1" applyNumberFormat="1">
      <alignment horizontal="left" readingOrder="0" shrinkToFit="0" vertical="center" wrapText="1"/>
    </xf>
    <xf borderId="136" fillId="5" fontId="30" numFmtId="164" xfId="0" applyAlignment="1" applyBorder="1" applyFont="1" applyNumberFormat="1">
      <alignment horizontal="left" readingOrder="0" shrinkToFit="0" vertical="center" wrapText="1"/>
    </xf>
    <xf borderId="0" fillId="4" fontId="68" numFmtId="164" xfId="0" applyAlignment="1" applyFont="1" applyNumberFormat="1">
      <alignment horizontal="left" readingOrder="0" shrinkToFit="0" vertical="center" wrapText="1"/>
    </xf>
    <xf borderId="137" fillId="45" fontId="30" numFmtId="164" xfId="0" applyAlignment="1" applyBorder="1" applyFill="1" applyFont="1" applyNumberFormat="1">
      <alignment horizontal="center" readingOrder="0" shrinkToFit="0" vertical="center" wrapText="1"/>
    </xf>
    <xf borderId="138" fillId="10" fontId="51" numFmtId="164" xfId="0" applyAlignment="1" applyBorder="1" applyFont="1" applyNumberFormat="1">
      <alignment horizontal="left" readingOrder="0" shrinkToFit="0" vertical="center" wrapText="1"/>
    </xf>
    <xf borderId="139" fillId="10" fontId="51" numFmtId="164" xfId="0" applyAlignment="1" applyBorder="1" applyFont="1" applyNumberFormat="1">
      <alignment horizontal="left" readingOrder="0" shrinkToFit="0" vertical="center" wrapText="1"/>
    </xf>
    <xf borderId="140" fillId="10" fontId="51" numFmtId="164" xfId="0" applyAlignment="1" applyBorder="1" applyFont="1" applyNumberFormat="1">
      <alignment horizontal="left" readingOrder="0" shrinkToFit="0" vertical="center" wrapText="1"/>
    </xf>
    <xf borderId="137" fillId="5" fontId="9" numFmtId="164" xfId="0" applyAlignment="1" applyBorder="1" applyFont="1" applyNumberFormat="1">
      <alignment horizontal="left" readingOrder="0" shrinkToFit="0" vertical="center" wrapText="1"/>
    </xf>
    <xf borderId="141" fillId="5" fontId="9" numFmtId="164" xfId="0" applyAlignment="1" applyBorder="1" applyFont="1" applyNumberFormat="1">
      <alignment horizontal="left" readingOrder="0" shrinkToFit="0" vertical="center" wrapText="1"/>
    </xf>
    <xf borderId="0" fillId="8" fontId="51" numFmtId="165" xfId="0" applyAlignment="1" applyFont="1" applyNumberFormat="1">
      <alignment horizontal="left" shrinkToFit="0" wrapText="1"/>
    </xf>
    <xf borderId="142" fillId="8" fontId="51" numFmtId="164" xfId="0" applyAlignment="1" applyBorder="1" applyFont="1" applyNumberFormat="1">
      <alignment horizontal="left"/>
    </xf>
    <xf borderId="143" fillId="8" fontId="51" numFmtId="164" xfId="0" applyAlignment="1" applyBorder="1" applyFont="1" applyNumberFormat="1">
      <alignment horizontal="left"/>
    </xf>
    <xf borderId="44" fillId="8" fontId="51" numFmtId="165" xfId="0" applyAlignment="1" applyBorder="1" applyFont="1" applyNumberFormat="1">
      <alignment horizontal="left" shrinkToFit="0" wrapText="1"/>
    </xf>
    <xf borderId="44" fillId="8" fontId="51" numFmtId="164" xfId="0" applyAlignment="1" applyBorder="1" applyFont="1" applyNumberFormat="1">
      <alignment horizontal="left" shrinkToFit="0" wrapText="1"/>
    </xf>
    <xf borderId="0" fillId="21" fontId="73" numFmtId="165" xfId="0" applyAlignment="1" applyFont="1" applyNumberFormat="1">
      <alignment horizontal="center" shrinkToFit="0" wrapText="1"/>
    </xf>
    <xf borderId="0" fillId="2" fontId="2" numFmtId="164" xfId="0" applyAlignment="1" applyFont="1" applyNumberFormat="1">
      <alignment horizontal="left" shrinkToFit="0" wrapText="1"/>
    </xf>
    <xf borderId="0" fillId="4" fontId="51" numFmtId="164" xfId="0" applyAlignment="1" applyFont="1" applyNumberFormat="1">
      <alignment horizontal="left" shrinkToFit="0" wrapText="1"/>
    </xf>
    <xf borderId="144" fillId="4" fontId="68" numFmtId="164" xfId="0" applyAlignment="1" applyBorder="1" applyFont="1" applyNumberFormat="1">
      <alignment horizontal="left" readingOrder="0" shrinkToFit="0" vertical="center" wrapText="1"/>
    </xf>
    <xf borderId="145" fillId="10" fontId="51" numFmtId="164" xfId="0" applyAlignment="1" applyBorder="1" applyFont="1" applyNumberFormat="1">
      <alignment horizontal="left" readingOrder="0" shrinkToFit="0" vertical="center" wrapText="1"/>
    </xf>
    <xf borderId="28" fillId="4" fontId="68" numFmtId="164" xfId="0" applyAlignment="1" applyBorder="1" applyFont="1" applyNumberFormat="1">
      <alignment horizontal="left" readingOrder="0" shrinkToFit="0" vertical="center" wrapText="1"/>
    </xf>
    <xf borderId="28" fillId="8" fontId="51" numFmtId="164" xfId="0" applyAlignment="1" applyBorder="1" applyFont="1" applyNumberFormat="1">
      <alignment horizontal="left" readingOrder="0" shrinkToFit="0" vertical="center" wrapText="1"/>
    </xf>
    <xf borderId="0" fillId="0" fontId="4" numFmtId="165" xfId="0" applyAlignment="1" applyFont="1" applyNumberFormat="1">
      <alignment shrinkToFit="0" wrapText="1"/>
    </xf>
    <xf borderId="141" fillId="5" fontId="9" numFmtId="164" xfId="0" applyAlignment="1" applyBorder="1" applyFont="1" applyNumberFormat="1">
      <alignment horizontal="left" readingOrder="0" shrinkToFit="0" wrapText="1"/>
    </xf>
    <xf borderId="0" fillId="21" fontId="73" numFmtId="165" xfId="0" applyAlignment="1" applyFont="1" applyNumberFormat="1">
      <alignment horizontal="center"/>
    </xf>
    <xf borderId="1" fillId="3" fontId="1" numFmtId="164" xfId="0" applyAlignment="1" applyBorder="1" applyFont="1" applyNumberFormat="1">
      <alignment horizontal="left" shrinkToFit="0" vertical="center" wrapText="0"/>
    </xf>
    <xf borderId="5" fillId="46" fontId="74" numFmtId="164" xfId="0" applyAlignment="1" applyBorder="1" applyFill="1" applyFont="1" applyNumberFormat="1">
      <alignment horizontal="left" readingOrder="0" shrinkToFit="0" wrapText="0"/>
    </xf>
    <xf borderId="5" fillId="46" fontId="74" numFmtId="164" xfId="0" applyAlignment="1" applyBorder="1" applyFont="1" applyNumberFormat="1">
      <alignment horizontal="left" shrinkToFit="0" wrapText="0"/>
    </xf>
    <xf borderId="28" fillId="16" fontId="9" numFmtId="164" xfId="0" applyAlignment="1" applyBorder="1" applyFont="1" applyNumberFormat="1">
      <alignment horizontal="left" shrinkToFit="0" vertical="center" wrapText="1"/>
    </xf>
    <xf borderId="88" fillId="33" fontId="2" numFmtId="164" xfId="0" applyAlignment="1" applyBorder="1" applyFont="1" applyNumberFormat="1">
      <alignment horizontal="left" readingOrder="0"/>
    </xf>
    <xf borderId="88" fillId="33" fontId="2" numFmtId="164" xfId="0" applyAlignment="1" applyBorder="1" applyFont="1" applyNumberFormat="1">
      <alignment horizontal="left"/>
    </xf>
    <xf borderId="146" fillId="47" fontId="75" numFmtId="164" xfId="0" applyAlignment="1" applyBorder="1" applyFill="1" applyFont="1" applyNumberFormat="1">
      <alignment horizontal="left" readingOrder="0"/>
    </xf>
    <xf borderId="146" fillId="47" fontId="75" numFmtId="164" xfId="0" applyAlignment="1" applyBorder="1" applyFont="1" applyNumberFormat="1">
      <alignment horizontal="left"/>
    </xf>
    <xf borderId="129" fillId="48" fontId="75" numFmtId="164" xfId="0" applyAlignment="1" applyBorder="1" applyFill="1" applyFont="1" applyNumberFormat="1">
      <alignment horizontal="left" readingOrder="0"/>
    </xf>
    <xf borderId="129" fillId="48" fontId="75" numFmtId="164" xfId="0" applyAlignment="1" applyBorder="1" applyFont="1" applyNumberFormat="1">
      <alignment horizontal="left"/>
    </xf>
    <xf borderId="147" fillId="49" fontId="9" numFmtId="164" xfId="0" applyAlignment="1" applyBorder="1" applyFill="1" applyFont="1" applyNumberFormat="1">
      <alignment horizontal="left" readingOrder="0"/>
    </xf>
    <xf borderId="141" fillId="45" fontId="30" numFmtId="164" xfId="0" applyAlignment="1" applyBorder="1" applyFont="1" applyNumberFormat="1">
      <alignment horizontal="center" readingOrder="0"/>
    </xf>
    <xf borderId="0" fillId="21" fontId="40" numFmtId="164" xfId="0" applyAlignment="1" applyFont="1" applyNumberFormat="1">
      <alignment horizontal="left" readingOrder="0"/>
    </xf>
    <xf borderId="0" fillId="50" fontId="40" numFmtId="164" xfId="0" applyAlignment="1" applyFill="1" applyFont="1" applyNumberFormat="1">
      <alignment horizontal="left" readingOrder="0"/>
    </xf>
    <xf borderId="0" fillId="21" fontId="73" numFmtId="165" xfId="0" applyAlignment="1" applyFont="1" applyNumberFormat="1">
      <alignment horizontal="center" readingOrder="0"/>
    </xf>
    <xf borderId="0" fillId="0" fontId="17" numFmtId="164" xfId="0" applyAlignment="1" applyFont="1" applyNumberFormat="1">
      <alignment readingOrder="0"/>
    </xf>
    <xf borderId="148" fillId="21" fontId="40" numFmtId="164" xfId="0" applyAlignment="1" applyBorder="1" applyFont="1" applyNumberFormat="1">
      <alignment horizontal="left" readingOrder="0"/>
    </xf>
    <xf borderId="148" fillId="21" fontId="40" numFmtId="164" xfId="0" applyAlignment="1" applyBorder="1" applyFont="1" applyNumberFormat="1">
      <alignment horizontal="left"/>
    </xf>
    <xf borderId="148" fillId="21" fontId="73" numFmtId="165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left" readingOrder="0" shrinkToFit="0" vertical="center" wrapText="0"/>
    </xf>
    <xf borderId="0" fillId="2" fontId="7" numFmtId="0" xfId="0" applyAlignment="1" applyFont="1">
      <alignment readingOrder="0" shrinkToFit="0" wrapText="0"/>
    </xf>
    <xf borderId="0" fillId="0" fontId="4" numFmtId="165" xfId="0" applyAlignment="1" applyFont="1" applyNumberFormat="1">
      <alignment shrinkToFit="0" wrapText="1"/>
    </xf>
    <xf borderId="0" fillId="0" fontId="4" numFmtId="0" xfId="0" applyAlignment="1" applyFont="1">
      <alignment readingOrder="0" shrinkToFit="0" wrapText="1"/>
    </xf>
    <xf borderId="5" fillId="46" fontId="74" numFmtId="164" xfId="0" applyAlignment="1" applyBorder="1" applyFont="1" applyNumberFormat="1">
      <alignment horizontal="left" shrinkToFit="0" wrapText="1"/>
    </xf>
    <xf borderId="0" fillId="27" fontId="40" numFmtId="164" xfId="0" applyAlignment="1" applyFont="1" applyNumberFormat="1">
      <alignment horizontal="left" readingOrder="0" shrinkToFit="0" wrapText="1"/>
    </xf>
    <xf borderId="0" fillId="0" fontId="4" numFmtId="165" xfId="0" applyFont="1" applyNumberFormat="1"/>
    <xf borderId="0" fillId="0" fontId="4" numFmtId="164" xfId="0" applyAlignment="1" applyFont="1" applyNumberFormat="1">
      <alignment shrinkToFit="0" wrapText="1"/>
    </xf>
    <xf borderId="104" fillId="27" fontId="40" numFmtId="164" xfId="0" applyAlignment="1" applyBorder="1" applyFont="1" applyNumberFormat="1">
      <alignment horizontal="left" readingOrder="0" shrinkToFit="0" wrapText="1"/>
    </xf>
    <xf borderId="148" fillId="38" fontId="58" numFmtId="164" xfId="0" applyAlignment="1" applyBorder="1" applyFont="1" applyNumberFormat="1">
      <alignment horizontal="left" shrinkToFit="0" wrapText="1"/>
    </xf>
    <xf borderId="149" fillId="39" fontId="66" numFmtId="165" xfId="0" applyAlignment="1" applyBorder="1" applyFont="1" applyNumberFormat="1">
      <alignment horizontal="right" shrinkToFit="0" wrapText="1"/>
    </xf>
    <xf borderId="150" fillId="38" fontId="58" numFmtId="164" xfId="0" applyAlignment="1" applyBorder="1" applyFont="1" applyNumberFormat="1">
      <alignment horizontal="left" shrinkToFit="0" wrapText="1"/>
    </xf>
    <xf borderId="151" fillId="44" fontId="55" numFmtId="164" xfId="0" applyAlignment="1" applyBorder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3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4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5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06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4.0"/>
    <col customWidth="1" min="3" max="3" width="80.0"/>
    <col customWidth="1" min="4" max="8" width="10.0"/>
    <col customWidth="1" min="9" max="26" width="8.63"/>
  </cols>
  <sheetData>
    <row r="1">
      <c r="A1" s="1" t="s">
        <v>0</v>
      </c>
      <c r="B1" s="2"/>
      <c r="C1" s="2"/>
      <c r="D1" s="6"/>
      <c r="E1" s="6"/>
      <c r="F1" s="6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 t="s">
        <v>6</v>
      </c>
      <c r="B3" s="15"/>
      <c r="C3" s="15"/>
      <c r="D3" s="15"/>
      <c r="E3" s="15"/>
      <c r="F3" s="15"/>
      <c r="G3" s="15"/>
      <c r="H3" s="1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9">
        <v>1.0</v>
      </c>
      <c r="B4" s="23" t="str">
        <f>HYPERLINK("https://docs.google.com/spreadsheets/d/1Oo1LHNHUNq0Yv_zGqT-GDn0G_Bz1PGYKe93-p2G2cbg/edit#gid=1207041131&amp;range=A1","Setup")</f>
        <v>Setup</v>
      </c>
      <c r="C4" s="26" t="s">
        <v>10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9">
        <v>2.0</v>
      </c>
      <c r="B5" s="23" t="str">
        <f>HYPERLINK("https://docs.google.com/spreadsheets/d/1Oo1LHNHUNq0Yv_zGqT-GDn0G_Bz1PGYKe93-p2G2cbg/edit#gid=480972818&amp;range=A1","School Calendar")</f>
        <v>School Calendar</v>
      </c>
      <c r="C5" s="26" t="s">
        <v>22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9">
        <v>3.0</v>
      </c>
      <c r="B6" s="23" t="str">
        <f>HYPERLINK("https://docs.google.com/spreadsheets/d/1Oo1LHNHUNq0Yv_zGqT-GDn0G_Bz1PGYKe93-p2G2cbg/edit#gid=613521042&amp;range=A1","Family Map")</f>
        <v>Family Map</v>
      </c>
      <c r="C6" s="26" t="s">
        <v>28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9">
        <v>4.0</v>
      </c>
      <c r="B7" s="23" t="str">
        <f>HYPERLINK("https://docs.google.com/spreadsheets/d/1Oo1LHNHUNq0Yv_zGqT-GDn0G_Bz1PGYKe93-p2G2cbg/edit#gid=201462614&amp;range=A1","Strand Placement")</f>
        <v>Strand Placement</v>
      </c>
      <c r="C7" s="26" t="s">
        <v>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9">
        <v>5.0</v>
      </c>
      <c r="B8" s="23" t="str">
        <f>HYPERLINK("https://docs.google.com/spreadsheets/d/1Oo1LHNHUNq0Yv_zGqT-GDn0G_Bz1PGYKe93-p2G2cbg/edit#gid=1199004913&amp;range=A1","Student Work")</f>
        <v>Student Work</v>
      </c>
      <c r="C8" s="26" t="s">
        <v>38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9">
        <v>6.0</v>
      </c>
      <c r="B9" s="23" t="str">
        <f>HYPERLINK("https://docs.google.com/spreadsheets/d/1Oo1LHNHUNq0Yv_zGqT-GDn0G_Bz1PGYKe93-p2G2cbg/edit#gid=1134758644&amp;range=A1","Resource Planner")</f>
        <v>Resource Planner</v>
      </c>
      <c r="C9" s="26" t="s">
        <v>44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9">
        <v>7.0</v>
      </c>
      <c r="B10" s="23" t="str">
        <f>HYPERLINK("https://docs.google.com/spreadsheets/d/1Oo1LHNHUNq0Yv_zGqT-GDn0G_Bz1PGYKe93-p2G2cbg/edit#gid=985604979&amp;range=A1","Term Grid")</f>
        <v>Term Grid</v>
      </c>
      <c r="C10" s="26" t="s">
        <v>52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9">
        <v>8.0</v>
      </c>
      <c r="B11" s="23" t="str">
        <f>HYPERLINK("https://docs.google.com/spreadsheets/d/1Oo1LHNHUNq0Yv_zGqT-GDn0G_Bz1PGYKe93-p2G2cbg/edit#gid=1134222427&amp;range=A1","Daily Rhythm")</f>
        <v>Daily Rhythm</v>
      </c>
      <c r="C11" s="26" t="s">
        <v>58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5">
        <v>9.0</v>
      </c>
      <c r="B12" s="23" t="str">
        <f>HYPERLINK("https://docs.google.com/spreadsheets/d/1Oo1LHNHUNq0Yv_zGqT-GDn0G_Bz1PGYKe93-p2G2cbg/edit#gid=1509443170&amp;range=A1","Assignment View")</f>
        <v>Assignment View</v>
      </c>
      <c r="C12" s="26" t="s">
        <v>80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9">
        <v>10.0</v>
      </c>
      <c r="B13" s="23" t="str">
        <f>HYPERLINK("https://docs.google.com/spreadsheets/d/1Oo1LHNHUNq0Yv_zGqT-GDn0G_Bz1PGYKe93-p2G2cbg/edit#gid=1423517889&amp;range=A1","What's Next")</f>
        <v>What's Next</v>
      </c>
      <c r="C13" s="26" t="s">
        <v>84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6" t="s">
        <v>89</v>
      </c>
      <c r="B14" s="26" t="s">
        <v>90</v>
      </c>
      <c r="C14" s="7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6" t="s">
        <v>82</v>
      </c>
      <c r="B15" s="26" t="s">
        <v>97</v>
      </c>
      <c r="C15" s="7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26D"/>
    <pageSetUpPr/>
  </sheetPr>
  <sheetViews>
    <sheetView showGridLines="0" workbookViewId="0"/>
  </sheetViews>
  <sheetFormatPr customHeight="1" defaultColWidth="12.63" defaultRowHeight="15.0"/>
  <cols>
    <col customWidth="1" min="1" max="1" width="23.88"/>
    <col customWidth="1" min="2" max="2" width="31.38"/>
    <col customWidth="1" min="3" max="3" width="19.5"/>
    <col customWidth="1" min="4" max="5" width="11.38"/>
    <col customWidth="1" min="6" max="6" width="21.38"/>
    <col customWidth="1" min="7" max="7" width="5.63"/>
    <col customWidth="1" min="8" max="8" width="6.38"/>
    <col customWidth="1" min="9" max="9" width="5.13"/>
    <col customWidth="1" min="10" max="10" width="6.13"/>
    <col customWidth="1" min="11" max="11" width="11.38"/>
    <col customWidth="1" min="12" max="12" width="2.38"/>
    <col customWidth="1" hidden="1" min="13" max="17" width="12.0"/>
    <col customWidth="1" hidden="1" min="18" max="18" width="2.38"/>
    <col customWidth="1" hidden="1" min="19" max="20" width="13.25"/>
    <col customWidth="1" hidden="1" min="21" max="21" width="44.0"/>
    <col customWidth="1" min="22" max="33" width="8.63"/>
  </cols>
  <sheetData>
    <row r="1" ht="15.75" customHeight="1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10"/>
      <c r="L1" s="12"/>
      <c r="M1" s="12"/>
      <c r="N1" s="12"/>
      <c r="O1" s="12"/>
      <c r="P1" s="12"/>
      <c r="Q1" s="12"/>
      <c r="R1" s="12"/>
      <c r="S1" s="12"/>
      <c r="T1" s="12"/>
      <c r="U1" s="12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ht="15.75" customHeight="1">
      <c r="A2" s="21" t="s">
        <v>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45" t="s">
        <v>35</v>
      </c>
      <c r="B4" s="47"/>
      <c r="C4" s="47"/>
      <c r="D4" s="47"/>
      <c r="E4" s="47"/>
      <c r="F4" s="47"/>
      <c r="G4" s="51"/>
      <c r="H4" s="51"/>
      <c r="I4" s="51"/>
      <c r="J4" s="51"/>
      <c r="K4" s="51"/>
      <c r="L4" s="54"/>
      <c r="M4" s="56" t="s">
        <v>46</v>
      </c>
      <c r="N4" s="56"/>
      <c r="O4" s="56"/>
      <c r="P4" s="56"/>
      <c r="Q4" s="56"/>
      <c r="R4" s="57"/>
      <c r="S4" s="59" t="s">
        <v>53</v>
      </c>
      <c r="T4" s="59"/>
      <c r="U4" s="59"/>
      <c r="V4" s="8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 ht="15.75" customHeight="1">
      <c r="A5" s="62" t="s">
        <v>37</v>
      </c>
      <c r="B5" s="62" t="s">
        <v>61</v>
      </c>
      <c r="C5" s="62" t="s">
        <v>62</v>
      </c>
      <c r="D5" s="62" t="s">
        <v>63</v>
      </c>
      <c r="E5" s="62" t="s">
        <v>64</v>
      </c>
      <c r="F5" s="62" t="s">
        <v>66</v>
      </c>
      <c r="G5" s="63" t="s">
        <v>68</v>
      </c>
      <c r="H5" s="63" t="s">
        <v>69</v>
      </c>
      <c r="I5" s="63" t="s">
        <v>71</v>
      </c>
      <c r="J5" s="63" t="s">
        <v>72</v>
      </c>
      <c r="K5" s="63" t="s">
        <v>73</v>
      </c>
      <c r="L5" s="8"/>
      <c r="M5" s="66" t="s">
        <v>74</v>
      </c>
      <c r="N5" s="66" t="s">
        <v>75</v>
      </c>
      <c r="O5" s="66" t="s">
        <v>76</v>
      </c>
      <c r="P5" s="66" t="s">
        <v>77</v>
      </c>
      <c r="Q5" s="66" t="s">
        <v>78</v>
      </c>
      <c r="R5" s="8"/>
      <c r="S5" s="67" t="s">
        <v>79</v>
      </c>
      <c r="T5" s="67" t="s">
        <v>81</v>
      </c>
      <c r="U5" s="67" t="s">
        <v>82</v>
      </c>
      <c r="V5" s="8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ht="15.75" customHeight="1">
      <c r="A6" s="70" t="b">
        <v>1</v>
      </c>
      <c r="B6" s="71" t="s">
        <v>85</v>
      </c>
      <c r="C6" s="74" t="s">
        <v>92</v>
      </c>
      <c r="D6" s="71" t="s">
        <v>93</v>
      </c>
      <c r="E6" s="71" t="s">
        <v>94</v>
      </c>
      <c r="F6" s="71"/>
      <c r="G6" s="75" t="b">
        <v>1</v>
      </c>
      <c r="H6" s="75" t="b">
        <v>1</v>
      </c>
      <c r="I6" s="75" t="b">
        <v>1</v>
      </c>
      <c r="J6" s="75" t="b">
        <v>0</v>
      </c>
      <c r="K6" s="75" t="b">
        <v>1</v>
      </c>
      <c r="L6" s="8"/>
      <c r="M6" s="76" t="s">
        <v>98</v>
      </c>
      <c r="N6" s="77" t="s">
        <v>92</v>
      </c>
      <c r="O6" s="76" t="s">
        <v>99</v>
      </c>
      <c r="P6" s="76" t="s">
        <v>100</v>
      </c>
      <c r="Q6" s="76" t="s">
        <v>101</v>
      </c>
      <c r="R6" s="8"/>
      <c r="S6" s="78" t="str">
        <f t="shared" ref="S6:S13" si="1">IF(OR(A6=TRUE,A6="☑"),B6,"")</f>
        <v>Lucy</v>
      </c>
      <c r="T6" s="78" t="s">
        <v>61</v>
      </c>
      <c r="U6" s="78"/>
      <c r="V6" s="8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</row>
    <row r="7" ht="15.75" customHeight="1">
      <c r="A7" s="70" t="b">
        <v>1</v>
      </c>
      <c r="B7" s="71" t="s">
        <v>104</v>
      </c>
      <c r="C7" s="83" t="s">
        <v>105</v>
      </c>
      <c r="D7" s="85" t="s">
        <v>107</v>
      </c>
      <c r="E7" s="71" t="s">
        <v>108</v>
      </c>
      <c r="F7" s="71"/>
      <c r="G7" s="75" t="b">
        <v>1</v>
      </c>
      <c r="H7" s="75" t="b">
        <v>1</v>
      </c>
      <c r="I7" s="75" t="b">
        <v>1</v>
      </c>
      <c r="J7" s="75" t="b">
        <v>0</v>
      </c>
      <c r="K7" s="75" t="b">
        <v>1</v>
      </c>
      <c r="L7" s="8"/>
      <c r="M7" s="76" t="s">
        <v>109</v>
      </c>
      <c r="N7" s="88" t="s">
        <v>105</v>
      </c>
      <c r="O7" s="76" t="s">
        <v>111</v>
      </c>
      <c r="P7" s="76" t="s">
        <v>112</v>
      </c>
      <c r="Q7" s="76" t="s">
        <v>113</v>
      </c>
      <c r="R7" s="8"/>
      <c r="S7" s="78" t="str">
        <f t="shared" si="1"/>
        <v>Kayla</v>
      </c>
      <c r="T7" s="78" t="s">
        <v>61</v>
      </c>
      <c r="U7" s="78"/>
      <c r="V7" s="8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</row>
    <row r="8" ht="15.75" customHeight="1">
      <c r="A8" s="70" t="b">
        <v>1</v>
      </c>
      <c r="B8" s="71" t="s">
        <v>116</v>
      </c>
      <c r="C8" s="91" t="s">
        <v>117</v>
      </c>
      <c r="D8" s="71" t="s">
        <v>118</v>
      </c>
      <c r="E8" s="71" t="s">
        <v>119</v>
      </c>
      <c r="F8" s="71"/>
      <c r="G8" s="75" t="b">
        <v>1</v>
      </c>
      <c r="H8" s="75" t="b">
        <v>1</v>
      </c>
      <c r="I8" s="75" t="b">
        <v>1</v>
      </c>
      <c r="J8" s="75" t="b">
        <v>0</v>
      </c>
      <c r="K8" s="75" t="b">
        <v>1</v>
      </c>
      <c r="L8" s="8"/>
      <c r="M8" s="76"/>
      <c r="N8" s="94" t="s">
        <v>117</v>
      </c>
      <c r="O8" s="76" t="s">
        <v>123</v>
      </c>
      <c r="P8" s="76" t="s">
        <v>125</v>
      </c>
      <c r="Q8" s="76" t="s">
        <v>126</v>
      </c>
      <c r="R8" s="8"/>
      <c r="S8" s="78" t="str">
        <f t="shared" si="1"/>
        <v>Charis</v>
      </c>
      <c r="T8" s="78" t="s">
        <v>61</v>
      </c>
      <c r="U8" s="78"/>
      <c r="V8" s="8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</row>
    <row r="9" ht="15.75" customHeight="1">
      <c r="A9" s="97" t="b">
        <v>1</v>
      </c>
      <c r="B9" s="99" t="s">
        <v>130</v>
      </c>
      <c r="C9" s="101" t="s">
        <v>131</v>
      </c>
      <c r="D9" s="99" t="s">
        <v>132</v>
      </c>
      <c r="E9" s="99" t="s">
        <v>133</v>
      </c>
      <c r="F9" s="99"/>
      <c r="G9" s="75" t="b">
        <v>1</v>
      </c>
      <c r="H9" s="75" t="b">
        <v>0</v>
      </c>
      <c r="I9" s="75" t="b">
        <v>1</v>
      </c>
      <c r="J9" s="75" t="b">
        <v>0</v>
      </c>
      <c r="K9" s="75" t="b">
        <v>1</v>
      </c>
      <c r="L9" s="8"/>
      <c r="M9" s="76"/>
      <c r="N9" s="105" t="s">
        <v>131</v>
      </c>
      <c r="O9" s="76"/>
      <c r="P9" s="76" t="s">
        <v>134</v>
      </c>
      <c r="Q9" s="76" t="s">
        <v>135</v>
      </c>
      <c r="R9" s="8"/>
      <c r="S9" s="78" t="str">
        <f t="shared" si="1"/>
        <v>Jeremiah</v>
      </c>
      <c r="T9" s="78" t="s">
        <v>61</v>
      </c>
      <c r="U9" s="78"/>
      <c r="V9" s="8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</row>
    <row r="10" ht="15.75" customHeight="1">
      <c r="A10" s="108" t="b">
        <v>0</v>
      </c>
      <c r="B10" s="71" t="s">
        <v>136</v>
      </c>
      <c r="C10" s="111" t="s">
        <v>137</v>
      </c>
      <c r="D10" s="85" t="s">
        <v>138</v>
      </c>
      <c r="E10" s="71"/>
      <c r="F10" s="71"/>
      <c r="G10" s="75" t="b">
        <v>0</v>
      </c>
      <c r="H10" s="75" t="b">
        <v>0</v>
      </c>
      <c r="I10" s="75" t="b">
        <v>0</v>
      </c>
      <c r="J10" s="75" t="b">
        <v>0</v>
      </c>
      <c r="K10" s="75" t="b">
        <v>0</v>
      </c>
      <c r="L10" s="8"/>
      <c r="M10" s="76"/>
      <c r="N10" s="115" t="s">
        <v>137</v>
      </c>
      <c r="O10" s="76"/>
      <c r="P10" s="76" t="s">
        <v>139</v>
      </c>
      <c r="Q10" s="76" t="s">
        <v>140</v>
      </c>
      <c r="R10" s="8"/>
      <c r="S10" s="78" t="str">
        <f t="shared" si="1"/>
        <v/>
      </c>
      <c r="T10" s="78" t="s">
        <v>61</v>
      </c>
      <c r="U10" s="78"/>
      <c r="V10" s="8"/>
      <c r="W10" s="81"/>
      <c r="X10" s="81"/>
      <c r="Y10" s="81"/>
      <c r="Z10" s="117"/>
      <c r="AA10" s="81"/>
      <c r="AB10" s="81"/>
      <c r="AC10" s="81"/>
      <c r="AD10" s="81"/>
      <c r="AE10" s="81"/>
      <c r="AF10" s="81"/>
      <c r="AG10" s="81"/>
    </row>
    <row r="11" ht="15.75" customHeight="1">
      <c r="A11" s="108" t="b">
        <v>0</v>
      </c>
      <c r="B11" s="71" t="s">
        <v>141</v>
      </c>
      <c r="C11" s="120" t="s">
        <v>142</v>
      </c>
      <c r="D11" s="71"/>
      <c r="E11" s="71"/>
      <c r="F11" s="71"/>
      <c r="G11" s="75" t="b">
        <v>0</v>
      </c>
      <c r="H11" s="75" t="b">
        <v>0</v>
      </c>
      <c r="I11" s="75" t="b">
        <v>0</v>
      </c>
      <c r="J11" s="75" t="b">
        <v>0</v>
      </c>
      <c r="K11" s="75" t="b">
        <v>0</v>
      </c>
      <c r="L11" s="8"/>
      <c r="M11" s="76"/>
      <c r="N11" s="124" t="s">
        <v>142</v>
      </c>
      <c r="O11" s="76"/>
      <c r="P11" s="76"/>
      <c r="Q11" s="76" t="s">
        <v>143</v>
      </c>
      <c r="R11" s="8"/>
      <c r="S11" s="78" t="str">
        <f t="shared" si="1"/>
        <v/>
      </c>
      <c r="T11" s="78" t="s">
        <v>61</v>
      </c>
      <c r="U11" s="78"/>
      <c r="V11" s="8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</row>
    <row r="12" ht="15.75" customHeight="1">
      <c r="A12" s="108" t="b">
        <v>0</v>
      </c>
      <c r="B12" s="71" t="s">
        <v>144</v>
      </c>
      <c r="C12" s="125" t="s">
        <v>145</v>
      </c>
      <c r="D12" s="71"/>
      <c r="E12" s="71"/>
      <c r="F12" s="71"/>
      <c r="G12" s="75" t="b">
        <v>0</v>
      </c>
      <c r="H12" s="75" t="b">
        <v>0</v>
      </c>
      <c r="I12" s="75" t="b">
        <v>0</v>
      </c>
      <c r="J12" s="75" t="b">
        <v>0</v>
      </c>
      <c r="K12" s="75" t="b">
        <v>0</v>
      </c>
      <c r="L12" s="8"/>
      <c r="M12" s="76"/>
      <c r="N12" s="126" t="s">
        <v>145</v>
      </c>
      <c r="O12" s="76"/>
      <c r="P12" s="76"/>
      <c r="Q12" s="76" t="s">
        <v>146</v>
      </c>
      <c r="R12" s="8"/>
      <c r="S12" s="78" t="str">
        <f t="shared" si="1"/>
        <v/>
      </c>
      <c r="T12" s="78" t="s">
        <v>61</v>
      </c>
      <c r="U12" s="78"/>
      <c r="V12" s="8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</row>
    <row r="13" ht="15.75" customHeight="1">
      <c r="A13" s="127" t="b">
        <v>0</v>
      </c>
      <c r="B13" s="99" t="s">
        <v>147</v>
      </c>
      <c r="C13" s="129" t="s">
        <v>148</v>
      </c>
      <c r="D13" s="99"/>
      <c r="E13" s="99"/>
      <c r="F13" s="99"/>
      <c r="G13" s="75" t="b">
        <v>0</v>
      </c>
      <c r="H13" s="75" t="b">
        <v>0</v>
      </c>
      <c r="I13" s="75" t="b">
        <v>0</v>
      </c>
      <c r="J13" s="75" t="b">
        <v>0</v>
      </c>
      <c r="K13" s="75" t="b">
        <v>0</v>
      </c>
      <c r="L13" s="8"/>
      <c r="M13" s="132"/>
      <c r="N13" s="133" t="s">
        <v>148</v>
      </c>
      <c r="O13" s="132"/>
      <c r="P13" s="132"/>
      <c r="Q13" s="132"/>
      <c r="R13" s="8"/>
      <c r="S13" s="78" t="str">
        <f t="shared" si="1"/>
        <v/>
      </c>
      <c r="T13" s="78" t="s">
        <v>61</v>
      </c>
      <c r="U13" s="78"/>
      <c r="V13" s="8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</row>
    <row r="14" ht="15.75" customHeight="1">
      <c r="A14" s="33"/>
      <c r="B14" s="33"/>
      <c r="C14" s="33"/>
      <c r="D14" s="33"/>
      <c r="E14" s="33"/>
      <c r="F14" s="33"/>
      <c r="G14" s="81"/>
      <c r="H14" s="81"/>
      <c r="I14" s="81"/>
      <c r="J14" s="81"/>
      <c r="K14" s="81"/>
      <c r="L14" s="8"/>
      <c r="M14" s="8"/>
      <c r="N14" s="8"/>
      <c r="O14" s="8"/>
      <c r="P14" s="8"/>
      <c r="Q14" s="8"/>
      <c r="R14" s="8"/>
      <c r="S14" s="78"/>
      <c r="T14" s="78" t="s">
        <v>149</v>
      </c>
      <c r="U14" s="78" t="s">
        <v>150</v>
      </c>
      <c r="V14" s="8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</row>
    <row r="15" ht="15.75" customHeight="1">
      <c r="A15" s="140" t="s">
        <v>151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8"/>
      <c r="M15" s="8"/>
      <c r="N15" s="8"/>
      <c r="O15" s="8"/>
      <c r="P15" s="8"/>
      <c r="Q15" s="8"/>
      <c r="R15" s="8"/>
      <c r="S15" s="78"/>
      <c r="T15" s="78" t="s">
        <v>149</v>
      </c>
      <c r="U15" s="78" t="s">
        <v>154</v>
      </c>
      <c r="V15" s="8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ht="15.75" customHeight="1">
      <c r="A16" s="146" t="s">
        <v>37</v>
      </c>
      <c r="B16" s="146" t="s">
        <v>156</v>
      </c>
      <c r="C16" s="146" t="s">
        <v>85</v>
      </c>
      <c r="D16" s="146" t="s">
        <v>104</v>
      </c>
      <c r="E16" s="146" t="s">
        <v>116</v>
      </c>
      <c r="F16" s="146" t="s">
        <v>130</v>
      </c>
      <c r="G16" s="146" t="s">
        <v>136</v>
      </c>
      <c r="H16" s="146" t="s">
        <v>141</v>
      </c>
      <c r="I16" s="146" t="s">
        <v>144</v>
      </c>
      <c r="J16" s="146" t="s">
        <v>147</v>
      </c>
      <c r="K16" s="146" t="s">
        <v>66</v>
      </c>
      <c r="L16" s="8"/>
      <c r="M16" s="8"/>
      <c r="N16" s="8"/>
      <c r="O16" s="8"/>
      <c r="P16" s="8"/>
      <c r="Q16" s="8"/>
      <c r="R16" s="8"/>
      <c r="S16" s="78" t="str">
        <f t="shared" ref="S16:S25" si="2">IF(OR(A17=TRUE,A17="☑"),B17,"")</f>
        <v>Everyone</v>
      </c>
      <c r="T16" s="78" t="s">
        <v>99</v>
      </c>
      <c r="U16" s="78"/>
      <c r="V16" s="8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ht="15.75" customHeight="1">
      <c r="A17" s="156" t="b">
        <v>1</v>
      </c>
      <c r="B17" s="157" t="s">
        <v>170</v>
      </c>
      <c r="C17" s="156" t="b">
        <v>1</v>
      </c>
      <c r="D17" s="156" t="b">
        <v>1</v>
      </c>
      <c r="E17" s="156" t="b">
        <v>1</v>
      </c>
      <c r="F17" s="156" t="b">
        <v>1</v>
      </c>
      <c r="G17" s="156" t="b">
        <v>0</v>
      </c>
      <c r="H17" s="156" t="b">
        <v>0</v>
      </c>
      <c r="I17" s="156" t="b">
        <v>0</v>
      </c>
      <c r="J17" s="156" t="b">
        <v>0</v>
      </c>
      <c r="K17" s="157" t="s">
        <v>171</v>
      </c>
      <c r="L17" s="8"/>
      <c r="M17" s="8"/>
      <c r="N17" s="8"/>
      <c r="O17" s="8"/>
      <c r="P17" s="8"/>
      <c r="Q17" s="8"/>
      <c r="R17" s="8"/>
      <c r="S17" s="78" t="str">
        <f t="shared" si="2"/>
        <v>Little Girls</v>
      </c>
      <c r="T17" s="78" t="s">
        <v>99</v>
      </c>
      <c r="U17" s="78"/>
      <c r="V17" s="8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</row>
    <row r="18" ht="15.75" customHeight="1">
      <c r="A18" s="156" t="b">
        <v>1</v>
      </c>
      <c r="B18" s="157" t="s">
        <v>172</v>
      </c>
      <c r="C18" s="156" t="b">
        <v>0</v>
      </c>
      <c r="D18" s="156" t="b">
        <v>1</v>
      </c>
      <c r="E18" s="156" t="b">
        <v>1</v>
      </c>
      <c r="F18" s="156" t="b">
        <v>0</v>
      </c>
      <c r="G18" s="156" t="b">
        <v>0</v>
      </c>
      <c r="H18" s="156" t="b">
        <v>0</v>
      </c>
      <c r="I18" s="156" t="b">
        <v>0</v>
      </c>
      <c r="J18" s="156" t="b">
        <v>0</v>
      </c>
      <c r="K18" s="157"/>
      <c r="L18" s="8"/>
      <c r="M18" s="8"/>
      <c r="N18" s="8"/>
      <c r="O18" s="8"/>
      <c r="P18" s="8"/>
      <c r="Q18" s="8"/>
      <c r="R18" s="8"/>
      <c r="S18" s="78" t="str">
        <f t="shared" si="2"/>
        <v>All the Girls</v>
      </c>
      <c r="T18" s="78" t="s">
        <v>99</v>
      </c>
      <c r="U18" s="78"/>
      <c r="V18" s="8"/>
      <c r="W18" s="81"/>
      <c r="X18" s="81"/>
      <c r="Y18" s="117"/>
      <c r="Z18" s="117"/>
      <c r="AA18" s="81"/>
      <c r="AB18" s="81"/>
      <c r="AC18" s="81"/>
      <c r="AD18" s="81"/>
      <c r="AE18" s="81"/>
      <c r="AF18" s="81"/>
      <c r="AG18" s="81"/>
    </row>
    <row r="19" ht="15.75" customHeight="1">
      <c r="A19" s="156" t="b">
        <v>1</v>
      </c>
      <c r="B19" s="157" t="s">
        <v>173</v>
      </c>
      <c r="C19" s="156" t="b">
        <v>1</v>
      </c>
      <c r="D19" s="156" t="b">
        <v>1</v>
      </c>
      <c r="E19" s="156" t="b">
        <v>1</v>
      </c>
      <c r="F19" s="156" t="b">
        <v>0</v>
      </c>
      <c r="G19" s="156" t="b">
        <v>0</v>
      </c>
      <c r="H19" s="156" t="b">
        <v>0</v>
      </c>
      <c r="I19" s="156" t="b">
        <v>0</v>
      </c>
      <c r="J19" s="156" t="b">
        <v>0</v>
      </c>
      <c r="K19" s="157"/>
      <c r="L19" s="8"/>
      <c r="M19" s="8"/>
      <c r="N19" s="8"/>
      <c r="O19" s="8"/>
      <c r="P19" s="8"/>
      <c r="Q19" s="8"/>
      <c r="R19" s="8"/>
      <c r="S19" s="78" t="str">
        <f t="shared" si="2"/>
        <v>Older Students</v>
      </c>
      <c r="T19" s="78" t="s">
        <v>99</v>
      </c>
      <c r="U19" s="78"/>
      <c r="V19" s="8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</row>
    <row r="20" ht="15.75" customHeight="1">
      <c r="A20" s="161" t="b">
        <v>1</v>
      </c>
      <c r="B20" s="162" t="s">
        <v>174</v>
      </c>
      <c r="C20" s="161" t="b">
        <v>1</v>
      </c>
      <c r="D20" s="161" t="b">
        <v>0</v>
      </c>
      <c r="E20" s="161" t="b">
        <v>0</v>
      </c>
      <c r="F20" s="161" t="b">
        <v>1</v>
      </c>
      <c r="G20" s="161" t="b">
        <v>0</v>
      </c>
      <c r="H20" s="161" t="b">
        <v>0</v>
      </c>
      <c r="I20" s="161" t="b">
        <v>0</v>
      </c>
      <c r="J20" s="161" t="b">
        <v>0</v>
      </c>
      <c r="K20" s="162"/>
      <c r="L20" s="8"/>
      <c r="M20" s="8"/>
      <c r="N20" s="8"/>
      <c r="O20" s="8"/>
      <c r="P20" s="8"/>
      <c r="Q20" s="8"/>
      <c r="R20" s="8"/>
      <c r="S20" s="78" t="str">
        <f t="shared" si="2"/>
        <v/>
      </c>
      <c r="T20" s="78" t="s">
        <v>99</v>
      </c>
      <c r="U20" s="78"/>
      <c r="V20" s="8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</row>
    <row r="21" ht="15.75" customHeight="1">
      <c r="A21" s="164" t="b">
        <v>0</v>
      </c>
      <c r="B21" s="157" t="s">
        <v>175</v>
      </c>
      <c r="C21" s="164" t="b">
        <v>0</v>
      </c>
      <c r="D21" s="164" t="b">
        <v>0</v>
      </c>
      <c r="E21" s="164" t="b">
        <v>0</v>
      </c>
      <c r="F21" s="164" t="b">
        <v>0</v>
      </c>
      <c r="G21" s="164" t="b">
        <v>0</v>
      </c>
      <c r="H21" s="164" t="b">
        <v>0</v>
      </c>
      <c r="I21" s="164" t="b">
        <v>0</v>
      </c>
      <c r="J21" s="164" t="b">
        <v>0</v>
      </c>
      <c r="K21" s="157"/>
      <c r="L21" s="8"/>
      <c r="M21" s="8"/>
      <c r="N21" s="8"/>
      <c r="O21" s="8"/>
      <c r="P21" s="8"/>
      <c r="Q21" s="8"/>
      <c r="R21" s="8"/>
      <c r="S21" s="78" t="str">
        <f t="shared" si="2"/>
        <v/>
      </c>
      <c r="T21" s="78" t="s">
        <v>99</v>
      </c>
      <c r="U21" s="78"/>
      <c r="V21" s="8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</row>
    <row r="22" ht="15.75" customHeight="1">
      <c r="A22" s="164" t="b">
        <v>0</v>
      </c>
      <c r="B22" s="157" t="s">
        <v>176</v>
      </c>
      <c r="C22" s="164" t="b">
        <v>0</v>
      </c>
      <c r="D22" s="164" t="b">
        <v>0</v>
      </c>
      <c r="E22" s="164" t="b">
        <v>0</v>
      </c>
      <c r="F22" s="164" t="b">
        <v>0</v>
      </c>
      <c r="G22" s="164" t="b">
        <v>0</v>
      </c>
      <c r="H22" s="164" t="b">
        <v>0</v>
      </c>
      <c r="I22" s="164" t="b">
        <v>0</v>
      </c>
      <c r="J22" s="164" t="b">
        <v>0</v>
      </c>
      <c r="K22" s="157"/>
      <c r="L22" s="8"/>
      <c r="M22" s="8"/>
      <c r="N22" s="8"/>
      <c r="O22" s="8"/>
      <c r="P22" s="8"/>
      <c r="Q22" s="8"/>
      <c r="R22" s="8"/>
      <c r="S22" s="78" t="str">
        <f t="shared" si="2"/>
        <v/>
      </c>
      <c r="T22" s="78" t="s">
        <v>99</v>
      </c>
      <c r="U22" s="78"/>
      <c r="V22" s="8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</row>
    <row r="23" ht="15.75" customHeight="1">
      <c r="A23" s="164" t="b">
        <v>0</v>
      </c>
      <c r="B23" s="157" t="s">
        <v>177</v>
      </c>
      <c r="C23" s="164" t="b">
        <v>0</v>
      </c>
      <c r="D23" s="164" t="b">
        <v>0</v>
      </c>
      <c r="E23" s="164" t="b">
        <v>0</v>
      </c>
      <c r="F23" s="164" t="b">
        <v>0</v>
      </c>
      <c r="G23" s="164" t="b">
        <v>0</v>
      </c>
      <c r="H23" s="164" t="b">
        <v>0</v>
      </c>
      <c r="I23" s="164" t="b">
        <v>0</v>
      </c>
      <c r="J23" s="164" t="b">
        <v>0</v>
      </c>
      <c r="K23" s="157"/>
      <c r="L23" s="8"/>
      <c r="M23" s="8"/>
      <c r="N23" s="8"/>
      <c r="O23" s="8"/>
      <c r="P23" s="8"/>
      <c r="Q23" s="8"/>
      <c r="R23" s="8"/>
      <c r="S23" s="78" t="str">
        <f t="shared" si="2"/>
        <v/>
      </c>
      <c r="T23" s="78" t="s">
        <v>99</v>
      </c>
      <c r="U23" s="78"/>
      <c r="V23" s="8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</row>
    <row r="24" ht="15.75" customHeight="1">
      <c r="A24" s="164" t="b">
        <v>0</v>
      </c>
      <c r="B24" s="157" t="s">
        <v>178</v>
      </c>
      <c r="C24" s="164" t="b">
        <v>0</v>
      </c>
      <c r="D24" s="164" t="b">
        <v>0</v>
      </c>
      <c r="E24" s="164" t="b">
        <v>0</v>
      </c>
      <c r="F24" s="164" t="b">
        <v>0</v>
      </c>
      <c r="G24" s="164" t="b">
        <v>0</v>
      </c>
      <c r="H24" s="164" t="b">
        <v>0</v>
      </c>
      <c r="I24" s="164" t="b">
        <v>0</v>
      </c>
      <c r="J24" s="164" t="b">
        <v>0</v>
      </c>
      <c r="K24" s="157"/>
      <c r="L24" s="8"/>
      <c r="M24" s="8"/>
      <c r="N24" s="8"/>
      <c r="O24" s="8"/>
      <c r="P24" s="8"/>
      <c r="Q24" s="8"/>
      <c r="R24" s="8"/>
      <c r="S24" s="78" t="str">
        <f t="shared" si="2"/>
        <v/>
      </c>
      <c r="T24" s="78" t="s">
        <v>99</v>
      </c>
      <c r="U24" s="78"/>
      <c r="V24" s="8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</row>
    <row r="25" ht="15.75" customHeight="1">
      <c r="A25" s="164" t="b">
        <v>0</v>
      </c>
      <c r="B25" s="157" t="s">
        <v>179</v>
      </c>
      <c r="C25" s="164" t="b">
        <v>0</v>
      </c>
      <c r="D25" s="164" t="b">
        <v>0</v>
      </c>
      <c r="E25" s="164" t="b">
        <v>0</v>
      </c>
      <c r="F25" s="164" t="b">
        <v>0</v>
      </c>
      <c r="G25" s="164" t="b">
        <v>0</v>
      </c>
      <c r="H25" s="164" t="b">
        <v>0</v>
      </c>
      <c r="I25" s="164" t="b">
        <v>0</v>
      </c>
      <c r="J25" s="164" t="b">
        <v>0</v>
      </c>
      <c r="K25" s="157"/>
      <c r="L25" s="8"/>
      <c r="M25" s="8"/>
      <c r="N25" s="8"/>
      <c r="O25" s="8"/>
      <c r="P25" s="8"/>
      <c r="Q25" s="8"/>
      <c r="R25" s="8"/>
      <c r="S25" s="165" t="str">
        <f t="shared" si="2"/>
        <v/>
      </c>
      <c r="T25" s="165" t="s">
        <v>99</v>
      </c>
      <c r="U25" s="165"/>
      <c r="V25" s="8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</row>
    <row r="26" ht="15.75" customHeight="1">
      <c r="A26" s="166" t="b">
        <v>0</v>
      </c>
      <c r="B26" s="162" t="s">
        <v>180</v>
      </c>
      <c r="C26" s="166" t="b">
        <v>0</v>
      </c>
      <c r="D26" s="166" t="b">
        <v>0</v>
      </c>
      <c r="E26" s="166" t="b">
        <v>0</v>
      </c>
      <c r="F26" s="166" t="b">
        <v>0</v>
      </c>
      <c r="G26" s="166" t="b">
        <v>0</v>
      </c>
      <c r="H26" s="166" t="b">
        <v>0</v>
      </c>
      <c r="I26" s="166" t="b">
        <v>0</v>
      </c>
      <c r="J26" s="166" t="b">
        <v>0</v>
      </c>
      <c r="K26" s="162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</row>
    <row r="27" ht="15.75" customHeight="1">
      <c r="A27" s="81"/>
      <c r="B27" s="81"/>
      <c r="C27" s="117"/>
      <c r="D27" s="117"/>
      <c r="E27" s="81"/>
      <c r="F27" s="81"/>
      <c r="G27" s="81"/>
      <c r="H27" s="81"/>
      <c r="I27" s="81"/>
      <c r="J27" s="81"/>
      <c r="K27" s="8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9.5" customHeight="1">
      <c r="A28" s="167" t="s">
        <v>181</v>
      </c>
      <c r="B28" s="168"/>
      <c r="C28" s="168"/>
      <c r="D28" s="90"/>
      <c r="E28" s="90"/>
      <c r="F28" s="90"/>
      <c r="G28" s="169"/>
      <c r="H28" s="169"/>
      <c r="I28" s="169"/>
      <c r="J28" s="169"/>
      <c r="K28" s="16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6.5" customHeight="1">
      <c r="A29" s="170" t="s">
        <v>23</v>
      </c>
      <c r="B29" s="171">
        <f>'School Calendar'!B5</f>
        <v>46244</v>
      </c>
      <c r="C29" s="172" t="s">
        <v>182</v>
      </c>
      <c r="D29" s="81"/>
      <c r="E29" s="81"/>
      <c r="F29" s="81"/>
      <c r="G29" s="81"/>
      <c r="H29" s="81"/>
      <c r="I29" s="81"/>
      <c r="J29" s="81"/>
      <c r="K29" s="8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6.5" customHeight="1">
      <c r="A30" s="170" t="s">
        <v>34</v>
      </c>
      <c r="B30" s="173">
        <f>'School Calendar'!B6</f>
        <v>36</v>
      </c>
      <c r="C30" s="175" t="s">
        <v>182</v>
      </c>
      <c r="D30" s="81"/>
      <c r="E30" s="81"/>
      <c r="F30" s="81"/>
      <c r="G30" s="81"/>
      <c r="H30" s="81"/>
      <c r="I30" s="81"/>
      <c r="J30" s="81"/>
      <c r="K30" s="8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6.5" customHeight="1">
      <c r="A31" s="170" t="s">
        <v>43</v>
      </c>
      <c r="B31" s="173">
        <f>'School Calendar'!B7</f>
        <v>3</v>
      </c>
      <c r="C31" s="175" t="s">
        <v>182</v>
      </c>
      <c r="D31" s="81"/>
      <c r="E31" s="81"/>
      <c r="F31" s="81"/>
      <c r="G31" s="81"/>
      <c r="H31" s="81"/>
      <c r="I31" s="81"/>
      <c r="J31" s="81"/>
      <c r="K31" s="8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6.5" customHeight="1">
      <c r="A32" s="170" t="s">
        <v>51</v>
      </c>
      <c r="B32" s="173">
        <f>'School Calendar'!B8</f>
        <v>12</v>
      </c>
      <c r="C32" s="175" t="s">
        <v>182</v>
      </c>
      <c r="D32" s="81"/>
      <c r="E32" s="81"/>
      <c r="F32" s="81"/>
      <c r="G32" s="81"/>
      <c r="H32" s="81"/>
      <c r="I32" s="81"/>
      <c r="J32" s="81"/>
      <c r="K32" s="8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6.5" customHeight="1">
      <c r="A33" s="170" t="s">
        <v>57</v>
      </c>
      <c r="B33" s="173" t="str">
        <f>'School Calendar'!B9</f>
        <v>Yes</v>
      </c>
      <c r="C33" s="175" t="s">
        <v>182</v>
      </c>
      <c r="D33" s="81"/>
      <c r="E33" s="81"/>
      <c r="F33" s="81"/>
      <c r="G33" s="81"/>
      <c r="H33" s="81"/>
      <c r="I33" s="81"/>
      <c r="J33" s="81"/>
      <c r="K33" s="8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27.0" customHeight="1">
      <c r="A34" s="177" t="s">
        <v>183</v>
      </c>
      <c r="B34" s="178" t="str">
        <f>'School Calendar'!B12</f>
        <v>Monday, Tuesday, Wednesday, Thursday, Friday</v>
      </c>
      <c r="C34" s="179" t="s">
        <v>182</v>
      </c>
      <c r="D34" s="81"/>
      <c r="E34" s="81"/>
      <c r="F34" s="81"/>
      <c r="G34" s="81"/>
      <c r="H34" s="81"/>
      <c r="I34" s="81"/>
      <c r="J34" s="81"/>
      <c r="K34" s="8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80"/>
      <c r="B35" s="180"/>
      <c r="C35" s="181"/>
      <c r="D35" s="81"/>
      <c r="E35" s="81"/>
      <c r="F35" s="81"/>
      <c r="G35" s="81"/>
      <c r="H35" s="81"/>
      <c r="I35" s="81"/>
      <c r="J35" s="81"/>
      <c r="K35" s="81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182" t="s">
        <v>184</v>
      </c>
      <c r="B36" s="183"/>
      <c r="C36" s="183"/>
      <c r="D36" s="90"/>
      <c r="E36" s="90"/>
      <c r="F36" s="90"/>
      <c r="G36" s="169"/>
      <c r="H36" s="169"/>
      <c r="I36" s="169"/>
      <c r="J36" s="169"/>
      <c r="K36" s="169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84" t="s">
        <v>185</v>
      </c>
      <c r="B37" s="185" t="s">
        <v>12</v>
      </c>
      <c r="C37" s="184" t="s">
        <v>186</v>
      </c>
      <c r="D37" s="185"/>
      <c r="E37" s="186"/>
      <c r="F37" s="81"/>
      <c r="G37" s="81"/>
      <c r="H37" s="81"/>
      <c r="I37" s="81"/>
      <c r="J37" s="81"/>
      <c r="K37" s="81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87" t="str">
        <f>"☑"</f>
        <v>☑</v>
      </c>
      <c r="B38" s="188" t="s">
        <v>29</v>
      </c>
      <c r="C38" s="189" t="s">
        <v>187</v>
      </c>
      <c r="D38" s="188"/>
      <c r="E38" s="189"/>
      <c r="F38" s="81"/>
      <c r="G38" s="81"/>
      <c r="H38" s="81"/>
      <c r="I38" s="81"/>
      <c r="J38" s="81"/>
      <c r="K38" s="81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87" t="str">
        <f t="shared" ref="A39:A43" si="3">IF(SUMPRODUCT(($D$6:$D$13=B39)*((($A$6:$A$13="☑")+($A$6:$A$13=TRUE))&gt;0))&gt;0,"☑","☐")</f>
        <v>☑</v>
      </c>
      <c r="B39" s="188" t="s">
        <v>118</v>
      </c>
      <c r="C39" s="189" t="s">
        <v>188</v>
      </c>
      <c r="D39" s="189"/>
      <c r="E39" s="189"/>
      <c r="F39" s="81"/>
      <c r="G39" s="81"/>
      <c r="H39" s="81"/>
      <c r="I39" s="81"/>
      <c r="J39" s="81"/>
      <c r="K39" s="81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87" t="str">
        <f t="shared" si="3"/>
        <v>☑</v>
      </c>
      <c r="B40" s="188" t="s">
        <v>107</v>
      </c>
      <c r="C40" s="189" t="s">
        <v>188</v>
      </c>
      <c r="D40" s="189"/>
      <c r="E40" s="189"/>
      <c r="F40" s="81"/>
      <c r="G40" s="81"/>
      <c r="H40" s="81"/>
      <c r="I40" s="81"/>
      <c r="J40" s="81"/>
      <c r="K40" s="81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87" t="str">
        <f t="shared" si="3"/>
        <v>☑</v>
      </c>
      <c r="B41" s="188" t="s">
        <v>93</v>
      </c>
      <c r="C41" s="189" t="s">
        <v>188</v>
      </c>
      <c r="D41" s="189"/>
      <c r="E41" s="189"/>
      <c r="F41" s="81"/>
      <c r="G41" s="81"/>
      <c r="H41" s="81"/>
      <c r="I41" s="81"/>
      <c r="J41" s="81"/>
      <c r="K41" s="81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87" t="str">
        <f t="shared" si="3"/>
        <v>☑</v>
      </c>
      <c r="B42" s="188" t="s">
        <v>132</v>
      </c>
      <c r="C42" s="189" t="s">
        <v>188</v>
      </c>
      <c r="D42" s="189"/>
      <c r="E42" s="189"/>
      <c r="F42" s="81"/>
      <c r="G42" s="81"/>
      <c r="H42" s="81"/>
      <c r="I42" s="81"/>
      <c r="J42" s="81"/>
      <c r="K42" s="81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90" t="str">
        <f t="shared" si="3"/>
        <v>☐</v>
      </c>
      <c r="B43" s="191" t="s">
        <v>138</v>
      </c>
      <c r="C43" s="192" t="s">
        <v>188</v>
      </c>
      <c r="D43" s="192"/>
      <c r="E43" s="192"/>
      <c r="F43" s="81"/>
      <c r="G43" s="81"/>
      <c r="H43" s="81"/>
      <c r="I43" s="81"/>
      <c r="J43" s="81"/>
      <c r="K43" s="81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52" t="b">
        <v>1</v>
      </c>
      <c r="B44" s="152" t="s">
        <v>189</v>
      </c>
      <c r="C44" s="152" t="s">
        <v>190</v>
      </c>
      <c r="D44" s="81"/>
      <c r="E44" s="81"/>
      <c r="F44" s="81"/>
      <c r="G44" s="81"/>
      <c r="H44" s="81"/>
      <c r="I44" s="81"/>
      <c r="J44" s="81"/>
      <c r="K44" s="81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81"/>
      <c r="B46" s="81"/>
      <c r="C46" s="81"/>
      <c r="D46" s="81"/>
      <c r="E46" s="81"/>
      <c r="F46" s="81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81"/>
      <c r="B47" s="81"/>
      <c r="C47" s="81"/>
      <c r="D47" s="81"/>
      <c r="E47" s="81"/>
      <c r="F47" s="81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81"/>
      <c r="B48" s="81"/>
      <c r="C48" s="81"/>
      <c r="D48" s="81"/>
      <c r="E48" s="81"/>
      <c r="F48" s="81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81"/>
      <c r="B49" s="81"/>
      <c r="C49" s="81"/>
      <c r="D49" s="81"/>
      <c r="E49" s="81"/>
      <c r="F49" s="8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81"/>
      <c r="B50" s="81"/>
      <c r="C50" s="81"/>
      <c r="D50" s="81"/>
      <c r="E50" s="81"/>
      <c r="F50" s="81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81"/>
      <c r="B51" s="81"/>
      <c r="C51" s="81"/>
      <c r="D51" s="81"/>
      <c r="E51" s="81"/>
      <c r="F51" s="8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81"/>
      <c r="B52" s="81"/>
      <c r="C52" s="81"/>
      <c r="D52" s="81"/>
      <c r="E52" s="81"/>
      <c r="F52" s="81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81"/>
      <c r="B53" s="81"/>
      <c r="C53" s="81"/>
      <c r="D53" s="81"/>
      <c r="E53" s="81"/>
      <c r="F53" s="81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81"/>
      <c r="B54" s="81"/>
      <c r="C54" s="81"/>
      <c r="D54" s="81"/>
      <c r="E54" s="81"/>
      <c r="F54" s="81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dataValidations>
    <dataValidation type="list" allowBlank="1" showErrorMessage="1" sqref="D6:D13">
      <formula1>"Form I,Form II,Form III,Form IV,Form V-VI"</formula1>
    </dataValidation>
    <dataValidation type="list" allowBlank="1" sqref="C6:C13">
      <formula1>Setup!$N$6:$N$13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26D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3.25"/>
    <col customWidth="1" min="3" max="3" width="15.13"/>
    <col customWidth="1" min="4" max="4" width="20.75"/>
    <col customWidth="1" min="5" max="5" width="29.5"/>
    <col customWidth="1" min="6" max="6" width="15.75"/>
    <col customWidth="1" min="7" max="7" width="23.25"/>
    <col customWidth="1" min="8" max="8" width="12.63"/>
    <col customWidth="1" min="9" max="9" width="7.0"/>
    <col customWidth="1" min="10" max="10" width="10.13"/>
    <col customWidth="1" min="11" max="11" width="8.88"/>
    <col customWidth="1" min="12" max="13" width="10.13"/>
    <col customWidth="1" min="14" max="14" width="27.63"/>
    <col customWidth="1" min="15" max="16" width="12.63"/>
    <col customWidth="1" hidden="1" min="17" max="17" width="12.63"/>
    <col customWidth="1" min="18" max="18" width="15.75"/>
    <col customWidth="1" min="19" max="19" width="13.88"/>
    <col customWidth="1" min="20" max="20" width="19.5"/>
    <col customWidth="1" min="21" max="26" width="12.63"/>
  </cols>
  <sheetData>
    <row r="1" ht="15.75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9"/>
      <c r="P1" s="9"/>
      <c r="Q1" s="9"/>
    </row>
    <row r="2" ht="22.5" customHeight="1">
      <c r="A2" s="11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7"/>
    </row>
    <row r="3" ht="15.75" customHeight="1"/>
    <row r="4" ht="15.75" customHeight="1">
      <c r="A4" s="18" t="s">
        <v>7</v>
      </c>
      <c r="B4" s="20"/>
      <c r="C4" s="20"/>
      <c r="D4" s="20"/>
      <c r="E4" s="20"/>
      <c r="F4" s="20"/>
      <c r="G4" s="20"/>
      <c r="H4" s="22" t="s">
        <v>9</v>
      </c>
      <c r="I4" s="24"/>
      <c r="J4" s="24"/>
      <c r="K4" s="24"/>
      <c r="L4" s="24"/>
      <c r="M4" s="24"/>
      <c r="N4" s="27" t="s">
        <v>11</v>
      </c>
      <c r="O4" s="29" t="s">
        <v>13</v>
      </c>
      <c r="P4" s="32" t="s">
        <v>15</v>
      </c>
      <c r="R4" s="33"/>
      <c r="S4" s="33"/>
      <c r="T4" s="33"/>
    </row>
    <row r="5" ht="15.75" customHeight="1">
      <c r="A5" s="34" t="s">
        <v>23</v>
      </c>
      <c r="B5" s="36">
        <v>46244.0</v>
      </c>
      <c r="D5" s="33"/>
      <c r="E5" s="33"/>
      <c r="J5" s="37" t="s">
        <v>27</v>
      </c>
      <c r="K5" s="38"/>
      <c r="L5" s="38"/>
      <c r="M5" s="38"/>
      <c r="N5" s="39" t="s">
        <v>30</v>
      </c>
      <c r="O5" s="41" t="s">
        <v>31</v>
      </c>
      <c r="P5" s="42" t="s">
        <v>32</v>
      </c>
      <c r="R5" s="33"/>
      <c r="S5" s="33"/>
      <c r="T5" s="33"/>
    </row>
    <row r="6" ht="15.75" customHeight="1">
      <c r="A6" s="43" t="s">
        <v>34</v>
      </c>
      <c r="B6" s="44">
        <v>36.0</v>
      </c>
      <c r="D6" s="33"/>
      <c r="E6" s="33"/>
      <c r="H6" s="46" t="s">
        <v>36</v>
      </c>
      <c r="I6" s="49" t="s">
        <v>37</v>
      </c>
      <c r="J6" s="50" t="s">
        <v>39</v>
      </c>
      <c r="K6" s="50"/>
      <c r="L6" s="50"/>
      <c r="M6" s="50"/>
      <c r="N6" s="39" t="s">
        <v>40</v>
      </c>
      <c r="O6" s="41" t="s">
        <v>41</v>
      </c>
      <c r="P6" s="42" t="s">
        <v>42</v>
      </c>
      <c r="R6" s="33"/>
      <c r="S6" s="33"/>
      <c r="T6" s="33"/>
    </row>
    <row r="7" ht="15.75" customHeight="1">
      <c r="A7" s="43" t="s">
        <v>43</v>
      </c>
      <c r="B7" s="52">
        <v>3.0</v>
      </c>
      <c r="D7" s="33"/>
      <c r="E7" s="33"/>
      <c r="H7" s="53" t="s">
        <v>45</v>
      </c>
      <c r="I7" s="55" t="b">
        <v>1</v>
      </c>
      <c r="J7" s="50" t="s">
        <v>47</v>
      </c>
      <c r="K7" s="50"/>
      <c r="L7" s="50"/>
      <c r="M7" s="50"/>
      <c r="N7" s="39" t="s">
        <v>48</v>
      </c>
      <c r="O7" s="41" t="s">
        <v>49</v>
      </c>
      <c r="P7" s="42" t="s">
        <v>50</v>
      </c>
      <c r="R7" s="33"/>
      <c r="S7" s="33"/>
      <c r="T7" s="33"/>
    </row>
    <row r="8" ht="15.75" customHeight="1">
      <c r="A8" s="43" t="s">
        <v>51</v>
      </c>
      <c r="B8" s="58">
        <v>12.0</v>
      </c>
      <c r="D8" s="33"/>
      <c r="E8" s="33"/>
      <c r="H8" s="60" t="s">
        <v>54</v>
      </c>
      <c r="I8" s="44" t="b">
        <v>1</v>
      </c>
      <c r="J8" s="50"/>
      <c r="K8" s="50"/>
      <c r="L8" s="50"/>
      <c r="M8" s="50"/>
      <c r="N8" s="39" t="s">
        <v>55</v>
      </c>
      <c r="O8" s="61"/>
      <c r="P8" s="42" t="s">
        <v>56</v>
      </c>
      <c r="R8" s="33"/>
      <c r="S8" s="33"/>
      <c r="T8" s="33"/>
    </row>
    <row r="9" ht="15.75" customHeight="1">
      <c r="A9" s="43" t="s">
        <v>57</v>
      </c>
      <c r="B9" s="44" t="s">
        <v>31</v>
      </c>
      <c r="D9" s="33"/>
      <c r="E9" s="33"/>
      <c r="H9" s="60" t="s">
        <v>59</v>
      </c>
      <c r="I9" s="44" t="b">
        <v>1</v>
      </c>
      <c r="J9" s="50" t="s">
        <v>60</v>
      </c>
      <c r="K9" s="50"/>
      <c r="L9" s="50"/>
      <c r="M9" s="50"/>
      <c r="N9" s="39" t="s">
        <v>65</v>
      </c>
      <c r="O9" s="61"/>
      <c r="P9" s="42" t="s">
        <v>67</v>
      </c>
      <c r="R9" s="33"/>
      <c r="S9" s="33"/>
      <c r="T9" s="33"/>
    </row>
    <row r="10" ht="15.75" customHeight="1">
      <c r="A10" s="64" t="s">
        <v>70</v>
      </c>
      <c r="B10" s="69" t="str">
        <f>IFERROR(LOOKUP(2,1/(($H$44:$H$408=TRUE)*($J$44:$J$408=$B$6)),$A$44:$A$408),"")</f>
        <v/>
      </c>
      <c r="D10" s="33"/>
      <c r="E10" s="33"/>
      <c r="H10" s="60" t="s">
        <v>83</v>
      </c>
      <c r="I10" s="44" t="b">
        <v>1</v>
      </c>
      <c r="J10" s="50" t="str">
        <f>$B$12</f>
        <v>Monday, Tuesday, Wednesday, Thursday, Friday</v>
      </c>
      <c r="K10" s="50"/>
      <c r="L10" s="50"/>
      <c r="M10" s="50"/>
      <c r="N10" s="39" t="s">
        <v>86</v>
      </c>
      <c r="O10" s="61"/>
      <c r="P10" s="42" t="s">
        <v>87</v>
      </c>
      <c r="R10" s="33"/>
      <c r="S10" s="33"/>
      <c r="T10" s="33"/>
    </row>
    <row r="11" ht="15.75" customHeight="1">
      <c r="A11" s="43" t="s">
        <v>88</v>
      </c>
      <c r="B11" s="72"/>
      <c r="D11" s="33"/>
      <c r="E11" s="33"/>
      <c r="H11" s="60" t="s">
        <v>91</v>
      </c>
      <c r="I11" s="44" t="b">
        <v>1</v>
      </c>
      <c r="J11" s="50"/>
      <c r="K11" s="50"/>
      <c r="L11" s="50"/>
      <c r="M11" s="50"/>
      <c r="N11" s="39" t="s">
        <v>95</v>
      </c>
      <c r="O11" s="61"/>
      <c r="P11" s="42" t="s">
        <v>96</v>
      </c>
      <c r="R11" s="33"/>
      <c r="S11" s="33"/>
      <c r="T11" s="33"/>
    </row>
    <row r="12" ht="15.75" customHeight="1">
      <c r="A12" s="43"/>
      <c r="B12" s="79" t="str">
        <f>TEXTJOIN(", ",TRUE,IF(I7,H7,""),IF(I8,H8,""),IF(I9,H9,""),IF(I10,H10,""),IF(I11,H11,""),IF(I12,H12,""),IF(I13,H13,""))</f>
        <v>Monday, Tuesday, Wednesday, Thursday, Friday</v>
      </c>
      <c r="C12" s="80" t="s">
        <v>102</v>
      </c>
      <c r="D12" s="33"/>
      <c r="E12" s="33"/>
      <c r="H12" s="60" t="s">
        <v>103</v>
      </c>
      <c r="I12" s="44" t="b">
        <v>0</v>
      </c>
      <c r="J12" s="50"/>
      <c r="K12" s="50"/>
      <c r="L12" s="50"/>
      <c r="M12" s="50"/>
      <c r="N12" s="39"/>
      <c r="O12" s="61"/>
      <c r="P12" s="82"/>
      <c r="R12" s="33"/>
      <c r="S12" s="33"/>
      <c r="T12" s="33"/>
    </row>
    <row r="13" ht="18.0" customHeight="1">
      <c r="A13" s="84" t="s">
        <v>106</v>
      </c>
      <c r="B13" s="86"/>
      <c r="C13" s="86"/>
      <c r="D13" s="86"/>
      <c r="E13" s="86"/>
      <c r="F13" s="86"/>
      <c r="G13" s="86"/>
      <c r="H13" s="87" t="s">
        <v>110</v>
      </c>
      <c r="I13" s="89" t="b">
        <v>0</v>
      </c>
      <c r="J13" s="50"/>
      <c r="K13" s="50"/>
      <c r="L13" s="50"/>
      <c r="M13" s="50"/>
      <c r="N13" s="39" t="s">
        <v>114</v>
      </c>
      <c r="O13" s="61"/>
      <c r="P13" s="82"/>
      <c r="R13" s="33"/>
      <c r="S13" s="33"/>
      <c r="T13" s="33"/>
    </row>
    <row r="14" ht="15.75" customHeight="1">
      <c r="A14" s="18" t="s">
        <v>115</v>
      </c>
      <c r="B14" s="20"/>
      <c r="C14" s="20"/>
      <c r="D14" s="20"/>
      <c r="E14" s="20"/>
      <c r="F14" s="20"/>
      <c r="G14" s="20"/>
      <c r="H14" s="90"/>
      <c r="I14" s="90"/>
      <c r="J14" s="90"/>
      <c r="K14" s="90"/>
      <c r="L14" s="90"/>
      <c r="M14" s="90"/>
      <c r="N14" s="39"/>
      <c r="O14" s="61"/>
      <c r="P14" s="82"/>
    </row>
    <row r="15" ht="15.75" customHeight="1">
      <c r="A15" s="92" t="s">
        <v>120</v>
      </c>
      <c r="B15" s="93" t="s">
        <v>121</v>
      </c>
      <c r="C15" s="93" t="s">
        <v>122</v>
      </c>
      <c r="D15" s="93" t="s">
        <v>124</v>
      </c>
      <c r="E15" s="93" t="s">
        <v>127</v>
      </c>
      <c r="F15" s="93" t="s">
        <v>128</v>
      </c>
      <c r="G15" s="95" t="s">
        <v>129</v>
      </c>
      <c r="N15" s="96"/>
      <c r="O15" s="98"/>
      <c r="P15" s="100"/>
    </row>
    <row r="16" ht="15.75" customHeight="1">
      <c r="A16" s="102"/>
      <c r="B16" s="103"/>
      <c r="C16" s="104"/>
      <c r="D16" s="104"/>
      <c r="E16" s="106"/>
      <c r="F16" s="104"/>
      <c r="G16" s="107"/>
    </row>
    <row r="17" ht="15.75" customHeight="1">
      <c r="A17" s="109"/>
      <c r="B17" s="110"/>
      <c r="C17" s="112"/>
      <c r="D17" s="112"/>
      <c r="E17" s="113"/>
      <c r="F17" s="112" t="b">
        <v>0</v>
      </c>
      <c r="G17" s="114"/>
    </row>
    <row r="18" ht="15.75" customHeight="1">
      <c r="A18" s="109"/>
      <c r="B18" s="110"/>
      <c r="C18" s="112"/>
      <c r="D18" s="112"/>
      <c r="E18" s="113"/>
      <c r="F18" s="112" t="b">
        <v>0</v>
      </c>
      <c r="G18" s="114"/>
    </row>
    <row r="19" ht="15.75" customHeight="1">
      <c r="A19" s="109"/>
      <c r="B19" s="110"/>
      <c r="C19" s="112"/>
      <c r="D19" s="112"/>
      <c r="E19" s="113"/>
      <c r="F19" s="112" t="b">
        <v>0</v>
      </c>
      <c r="G19" s="114"/>
    </row>
    <row r="20" ht="15.75" customHeight="1">
      <c r="A20" s="109"/>
      <c r="B20" s="110"/>
      <c r="C20" s="112"/>
      <c r="D20" s="112"/>
      <c r="E20" s="113"/>
      <c r="F20" s="112" t="b">
        <v>0</v>
      </c>
      <c r="G20" s="114"/>
    </row>
    <row r="21" ht="15.75" customHeight="1">
      <c r="A21" s="118"/>
      <c r="B21" s="119"/>
      <c r="C21" s="121"/>
      <c r="D21" s="121"/>
      <c r="E21" s="122"/>
      <c r="F21" s="121" t="b">
        <v>0</v>
      </c>
      <c r="G21" s="123"/>
    </row>
    <row r="22" ht="15.75" customHeight="1">
      <c r="A22" s="118"/>
      <c r="B22" s="119"/>
      <c r="C22" s="121"/>
      <c r="D22" s="121"/>
      <c r="E22" s="122"/>
      <c r="F22" s="121" t="b">
        <v>0</v>
      </c>
      <c r="G22" s="123"/>
    </row>
    <row r="23" ht="15.75" customHeight="1">
      <c r="A23" s="118"/>
      <c r="B23" s="119"/>
      <c r="C23" s="121"/>
      <c r="D23" s="121"/>
      <c r="E23" s="122"/>
      <c r="F23" s="121" t="b">
        <v>0</v>
      </c>
      <c r="G23" s="123"/>
    </row>
    <row r="24" ht="15.75" customHeight="1">
      <c r="A24" s="118"/>
      <c r="B24" s="119"/>
      <c r="C24" s="121"/>
      <c r="D24" s="121"/>
      <c r="E24" s="122"/>
      <c r="F24" s="121" t="b">
        <v>0</v>
      </c>
      <c r="G24" s="123"/>
    </row>
    <row r="25" ht="15.75" customHeight="1">
      <c r="A25" s="118"/>
      <c r="B25" s="119"/>
      <c r="C25" s="121"/>
      <c r="D25" s="121"/>
      <c r="E25" s="122"/>
      <c r="F25" s="121" t="b">
        <v>0</v>
      </c>
      <c r="G25" s="123"/>
    </row>
    <row r="26" ht="15.75" customHeight="1">
      <c r="A26" s="118"/>
      <c r="B26" s="119"/>
      <c r="C26" s="121"/>
      <c r="D26" s="121"/>
      <c r="E26" s="122"/>
      <c r="F26" s="121" t="b">
        <v>0</v>
      </c>
      <c r="G26" s="123"/>
    </row>
    <row r="27" ht="15.75" customHeight="1">
      <c r="A27" s="118"/>
      <c r="B27" s="119"/>
      <c r="C27" s="121"/>
      <c r="D27" s="121"/>
      <c r="E27" s="122"/>
      <c r="F27" s="121" t="b">
        <v>0</v>
      </c>
      <c r="G27" s="123"/>
    </row>
    <row r="28" ht="15.75" customHeight="1">
      <c r="A28" s="118"/>
      <c r="B28" s="119"/>
      <c r="C28" s="121"/>
      <c r="D28" s="121"/>
      <c r="E28" s="122"/>
      <c r="F28" s="121" t="b">
        <v>0</v>
      </c>
      <c r="G28" s="123"/>
    </row>
    <row r="29" ht="15.75" customHeight="1">
      <c r="A29" s="118"/>
      <c r="B29" s="119"/>
      <c r="C29" s="121"/>
      <c r="D29" s="121"/>
      <c r="E29" s="122"/>
      <c r="F29" s="121" t="b">
        <v>0</v>
      </c>
      <c r="G29" s="123"/>
    </row>
    <row r="30" ht="15.75" customHeight="1">
      <c r="A30" s="118"/>
      <c r="B30" s="119"/>
      <c r="C30" s="121"/>
      <c r="D30" s="121"/>
      <c r="E30" s="122"/>
      <c r="F30" s="121" t="b">
        <v>0</v>
      </c>
      <c r="G30" s="123"/>
    </row>
    <row r="31" ht="15.75" customHeight="1">
      <c r="A31" s="118"/>
      <c r="B31" s="119"/>
      <c r="C31" s="121"/>
      <c r="D31" s="121"/>
      <c r="E31" s="122"/>
      <c r="F31" s="121" t="b">
        <v>0</v>
      </c>
      <c r="G31" s="123"/>
    </row>
    <row r="32" ht="15.75" customHeight="1">
      <c r="A32" s="118"/>
      <c r="B32" s="119"/>
      <c r="C32" s="121"/>
      <c r="D32" s="121"/>
      <c r="E32" s="122"/>
      <c r="F32" s="121" t="b">
        <v>0</v>
      </c>
      <c r="G32" s="123"/>
    </row>
    <row r="33" ht="15.75" customHeight="1">
      <c r="A33" s="109"/>
      <c r="B33" s="110"/>
      <c r="C33" s="112"/>
      <c r="D33" s="112"/>
      <c r="E33" s="113"/>
      <c r="F33" s="112" t="b">
        <v>0</v>
      </c>
      <c r="G33" s="114"/>
    </row>
    <row r="34" ht="15.75" customHeight="1">
      <c r="A34" s="109"/>
      <c r="B34" s="110"/>
      <c r="C34" s="112"/>
      <c r="D34" s="112"/>
      <c r="E34" s="113"/>
      <c r="F34" s="112" t="b">
        <v>0</v>
      </c>
      <c r="G34" s="114"/>
    </row>
    <row r="35" ht="15.75" customHeight="1">
      <c r="A35" s="135"/>
      <c r="B35" s="136"/>
      <c r="C35" s="137"/>
      <c r="D35" s="137"/>
      <c r="E35" s="138"/>
      <c r="F35" s="137" t="b">
        <v>0</v>
      </c>
      <c r="G35" s="139"/>
    </row>
    <row r="36" ht="16.5" customHeight="1">
      <c r="A36" s="141" t="s">
        <v>152</v>
      </c>
      <c r="B36" s="143"/>
      <c r="C36" s="143"/>
      <c r="D36" s="143"/>
      <c r="E36" s="143"/>
      <c r="F36" s="143"/>
      <c r="G36" s="143"/>
    </row>
    <row r="37" ht="15.75" customHeight="1"/>
    <row r="38" ht="15.75" customHeight="1"/>
    <row r="39" ht="15.75" customHeight="1"/>
    <row r="40" ht="15.75" customHeight="1"/>
    <row r="41" ht="15.75" customHeight="1">
      <c r="A41" s="22" t="s">
        <v>153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>
      <c r="A42" s="144" t="s">
        <v>155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7"/>
    </row>
    <row r="43" ht="21.0" customHeight="1">
      <c r="A43" s="148" t="s">
        <v>157</v>
      </c>
      <c r="B43" s="149" t="s">
        <v>158</v>
      </c>
      <c r="C43" s="149" t="s">
        <v>159</v>
      </c>
      <c r="D43" s="149" t="s">
        <v>124</v>
      </c>
      <c r="E43" s="149" t="s">
        <v>160</v>
      </c>
      <c r="F43" s="149" t="s">
        <v>128</v>
      </c>
      <c r="G43" s="149" t="s">
        <v>129</v>
      </c>
      <c r="H43" s="149" t="s">
        <v>161</v>
      </c>
      <c r="I43" s="149" t="s">
        <v>162</v>
      </c>
      <c r="J43" s="149" t="s">
        <v>163</v>
      </c>
      <c r="K43" s="149" t="s">
        <v>164</v>
      </c>
      <c r="L43" s="149" t="s">
        <v>165</v>
      </c>
      <c r="M43" s="150" t="s">
        <v>166</v>
      </c>
      <c r="N43" s="151" t="s">
        <v>167</v>
      </c>
      <c r="O43" s="152" t="s">
        <v>168</v>
      </c>
      <c r="Q43" s="152" t="s">
        <v>169</v>
      </c>
    </row>
    <row r="44" ht="15.75" customHeight="1">
      <c r="A44" s="154">
        <f>$B$5</f>
        <v>46244</v>
      </c>
      <c r="B44" s="155" t="str">
        <f t="shared" ref="B44:B408" si="1">TEXT(A44,"dddd")</f>
        <v>Monday</v>
      </c>
      <c r="C44" s="158" t="b">
        <f t="shared" ref="C44:C408" si="2">IFERROR(INDEX($I$7:$I$13,MATCH(B44,$H$7:$H$13,0)),FALSE)</f>
        <v>1</v>
      </c>
      <c r="D44" s="158" t="str">
        <f t="shared" ref="D44:D408" si="3">IF($Q44=0,"",INDEX($D$16:$D$35,$Q44-ROW($A$16)+1))</f>
        <v/>
      </c>
      <c r="E44" s="158" t="str">
        <f t="shared" ref="E44:E408" si="4">IF($Q44=0,"",INDEX($E$16:$E$35,$Q44-ROW($A$16)+1))</f>
        <v/>
      </c>
      <c r="F44" s="158" t="str">
        <f t="shared" ref="F44:F408" si="5">IF($Q44=0,"",INDEX($F$16:$F$35,$Q44-ROW($A$16)+1))</f>
        <v/>
      </c>
      <c r="G44" s="158" t="str">
        <f t="shared" ref="G44:G408" si="6">IF($Q44=0,"",INDEX($G$16:$G$35,$Q44-ROW($A$16)+1))</f>
        <v/>
      </c>
      <c r="H44" s="158" t="b">
        <f t="shared" ref="H44:H408" si="7">IF(F44="",C44,F44)</f>
        <v>1</v>
      </c>
      <c r="I44" s="158">
        <f t="shared" ref="I44:I408" si="8">IF(H44,COUNTIF($H$44:H44,TRUE),"")</f>
        <v>1</v>
      </c>
      <c r="J44" s="158">
        <f>IFERROR(__xludf.DUMMYFUNCTION("IF(O44,LET(w,IFERROR(MATCH(N44,UNIQUE(FILTER($N$44:$N$408,$O$44:$O$408=TRUE)),0),""""),IF(OR(w="""",w&gt;$B$6),"""",w)),"""")"),1.0)</f>
        <v>1</v>
      </c>
      <c r="K44" s="158" t="str">
        <f t="shared" ref="K44:K408" si="9">IF(J44="","","Term "&amp;MIN($B$7,ROUNDUP(J44/$B$8,0)))</f>
        <v>Term 1</v>
      </c>
      <c r="L44" s="158">
        <f t="shared" ref="L44:L408" si="10">IF(J44="","",MOD(J44-1,$B$8)+1)</f>
        <v>1</v>
      </c>
      <c r="M44" s="159" t="b">
        <f t="shared" ref="M44:M408" si="11">IF(J44="",FALSE,AND($B$9="Yes",MOD(J44,$B$8)=0))</f>
        <v>0</v>
      </c>
      <c r="N44" s="160">
        <f t="shared" ref="N44:N408" si="12">A44-WEEKDAY(A44,2)+1</f>
        <v>46244</v>
      </c>
      <c r="O44" s="163" t="b">
        <f t="shared" ref="O44:O408" si="13">SUMPRODUCT(($N$44:$N$408=N44)*(WEEKDAY($A$44:$A$408,2)&lt;=5)*--($H$44:$H$408=TRUE))&gt;0</f>
        <v>1</v>
      </c>
      <c r="Q44" s="163">
        <f t="shared" ref="Q44:Q408" si="14">LET(base,IFERROR(INT(LOG(SUMPRODUCT(($A$16:$A$35&lt;&gt;"")*($B$16:$B$35&lt;&gt;"")*(A44&gt;=$A$16:$A$35)*(A44&lt;=$B$16:$B$35)*--((($C$16:$C$35="All dates")+($C$16:$C$35=B44))&gt;0),{1;2;4;8;16;32;64;128;256;512;1024;2048;4096;8192;16384;32768;65536;131072;262144;524288}),2))+16,0),breakRow,IFERROR(INT(LOG(SUMPRODUCT(($A$16:$A$35&lt;&gt;"")*($B$16:$B$35&lt;&gt;"")*(A44&gt;=$A$16:$A$35)*(A44&lt;=$B$16:$B$35)*--((($C$16:$C$35="All dates")+($C$16:$C$35=B44))&gt;0)*($F$16:$F$35=FALSE)*($F$16:$F$35&lt;&gt;"")*--((($D$16:$D$35="Break")+($D$16:$D$35="Holiday"))&gt;0),{1;2;4;8;16;32;64;128;256;512;1024;2048;4096;8192;16384;32768;65536;131072;262144;524288}),2))+16,0),baseStatus,IF(base=0,"",INDEX($F$16:$F$35,base-15)),singleRow,IFERROR(INT(LOG(SUMPRODUCT(($A$16:$A$35&lt;&gt;"")*($B$16:$B$35&lt;&gt;"")*(A44&gt;=$A$16:$A$35)*(A44&lt;=$B$16:$B$35)*--((($C$16:$C$35="All dates")+($C$16:$C$35=B44))&gt;0)*($A$16:$A$35=$B$16:$B$35)*($F$16:$F$35=baseStatus),{1;2;4;8;16;32;64;128;256;512;1024;2048;4096;8192;16384;32768;65536;131072;262144;524288}),2))+16,0),IF(breakRow&gt;0,breakRow,IF(singleRow&gt;0,singleRow,base)))</f>
        <v>0</v>
      </c>
    </row>
    <row r="45" ht="15.75" customHeight="1">
      <c r="A45" s="174">
        <f t="shared" ref="A45:A408" si="15">A44+1</f>
        <v>46245</v>
      </c>
      <c r="B45" s="176" t="str">
        <f t="shared" si="1"/>
        <v>Tuesday</v>
      </c>
      <c r="C45" s="158" t="b">
        <f t="shared" si="2"/>
        <v>1</v>
      </c>
      <c r="D45" s="158" t="str">
        <f t="shared" si="3"/>
        <v/>
      </c>
      <c r="E45" s="158" t="str">
        <f t="shared" si="4"/>
        <v/>
      </c>
      <c r="F45" s="158" t="str">
        <f t="shared" si="5"/>
        <v/>
      </c>
      <c r="G45" s="158" t="str">
        <f t="shared" si="6"/>
        <v/>
      </c>
      <c r="H45" s="158" t="b">
        <f t="shared" si="7"/>
        <v>1</v>
      </c>
      <c r="I45" s="158">
        <f t="shared" si="8"/>
        <v>2</v>
      </c>
      <c r="J45" s="158">
        <f>IFERROR(__xludf.DUMMYFUNCTION("IF(O45,LET(w,IFERROR(MATCH(N45,UNIQUE(FILTER($N$44:$N$408,$O$44:$O$408=TRUE)),0),""""),IF(OR(w="""",w&gt;$B$6),"""",w)),"""")"),1.0)</f>
        <v>1</v>
      </c>
      <c r="K45" s="158" t="str">
        <f t="shared" si="9"/>
        <v>Term 1</v>
      </c>
      <c r="L45" s="158">
        <f t="shared" si="10"/>
        <v>1</v>
      </c>
      <c r="M45" s="159" t="b">
        <f t="shared" si="11"/>
        <v>0</v>
      </c>
      <c r="N45" s="160">
        <f t="shared" si="12"/>
        <v>46244</v>
      </c>
      <c r="O45" s="163" t="b">
        <f t="shared" si="13"/>
        <v>1</v>
      </c>
      <c r="Q45" s="163">
        <f t="shared" si="14"/>
        <v>0</v>
      </c>
    </row>
    <row r="46" ht="15.75" customHeight="1">
      <c r="A46" s="174">
        <f t="shared" si="15"/>
        <v>46246</v>
      </c>
      <c r="B46" s="176" t="str">
        <f t="shared" si="1"/>
        <v>Wednesday</v>
      </c>
      <c r="C46" s="158" t="b">
        <f t="shared" si="2"/>
        <v>1</v>
      </c>
      <c r="D46" s="158" t="str">
        <f t="shared" si="3"/>
        <v/>
      </c>
      <c r="E46" s="158" t="str">
        <f t="shared" si="4"/>
        <v/>
      </c>
      <c r="F46" s="158" t="str">
        <f t="shared" si="5"/>
        <v/>
      </c>
      <c r="G46" s="158" t="str">
        <f t="shared" si="6"/>
        <v/>
      </c>
      <c r="H46" s="158" t="b">
        <f t="shared" si="7"/>
        <v>1</v>
      </c>
      <c r="I46" s="158">
        <f t="shared" si="8"/>
        <v>3</v>
      </c>
      <c r="J46" s="158">
        <f>IFERROR(__xludf.DUMMYFUNCTION("IF(O46,LET(w,IFERROR(MATCH(N46,UNIQUE(FILTER($N$44:$N$408,$O$44:$O$408=TRUE)),0),""""),IF(OR(w="""",w&gt;$B$6),"""",w)),"""")"),1.0)</f>
        <v>1</v>
      </c>
      <c r="K46" s="158" t="str">
        <f t="shared" si="9"/>
        <v>Term 1</v>
      </c>
      <c r="L46" s="158">
        <f t="shared" si="10"/>
        <v>1</v>
      </c>
      <c r="M46" s="159" t="b">
        <f t="shared" si="11"/>
        <v>0</v>
      </c>
      <c r="N46" s="160">
        <f t="shared" si="12"/>
        <v>46244</v>
      </c>
      <c r="O46" s="163" t="b">
        <f t="shared" si="13"/>
        <v>1</v>
      </c>
      <c r="Q46" s="163">
        <f t="shared" si="14"/>
        <v>0</v>
      </c>
    </row>
    <row r="47" ht="15.75" customHeight="1">
      <c r="A47" s="174">
        <f t="shared" si="15"/>
        <v>46247</v>
      </c>
      <c r="B47" s="176" t="str">
        <f t="shared" si="1"/>
        <v>Thursday</v>
      </c>
      <c r="C47" s="158" t="b">
        <f t="shared" si="2"/>
        <v>1</v>
      </c>
      <c r="D47" s="158" t="str">
        <f t="shared" si="3"/>
        <v/>
      </c>
      <c r="E47" s="158" t="str">
        <f t="shared" si="4"/>
        <v/>
      </c>
      <c r="F47" s="158" t="str">
        <f t="shared" si="5"/>
        <v/>
      </c>
      <c r="G47" s="158" t="str">
        <f t="shared" si="6"/>
        <v/>
      </c>
      <c r="H47" s="158" t="b">
        <f t="shared" si="7"/>
        <v>1</v>
      </c>
      <c r="I47" s="158">
        <f t="shared" si="8"/>
        <v>4</v>
      </c>
      <c r="J47" s="158">
        <f>IFERROR(__xludf.DUMMYFUNCTION("IF(O47,LET(w,IFERROR(MATCH(N47,UNIQUE(FILTER($N$44:$N$408,$O$44:$O$408=TRUE)),0),""""),IF(OR(w="""",w&gt;$B$6),"""",w)),"""")"),1.0)</f>
        <v>1</v>
      </c>
      <c r="K47" s="158" t="str">
        <f t="shared" si="9"/>
        <v>Term 1</v>
      </c>
      <c r="L47" s="158">
        <f t="shared" si="10"/>
        <v>1</v>
      </c>
      <c r="M47" s="159" t="b">
        <f t="shared" si="11"/>
        <v>0</v>
      </c>
      <c r="N47" s="160">
        <f t="shared" si="12"/>
        <v>46244</v>
      </c>
      <c r="O47" s="163" t="b">
        <f t="shared" si="13"/>
        <v>1</v>
      </c>
      <c r="Q47" s="163">
        <f t="shared" si="14"/>
        <v>0</v>
      </c>
    </row>
    <row r="48" ht="15.75" customHeight="1">
      <c r="A48" s="174">
        <f t="shared" si="15"/>
        <v>46248</v>
      </c>
      <c r="B48" s="176" t="str">
        <f t="shared" si="1"/>
        <v>Friday</v>
      </c>
      <c r="C48" s="158" t="b">
        <f t="shared" si="2"/>
        <v>1</v>
      </c>
      <c r="D48" s="158" t="str">
        <f t="shared" si="3"/>
        <v/>
      </c>
      <c r="E48" s="158" t="str">
        <f t="shared" si="4"/>
        <v/>
      </c>
      <c r="F48" s="158" t="str">
        <f t="shared" si="5"/>
        <v/>
      </c>
      <c r="G48" s="158" t="str">
        <f t="shared" si="6"/>
        <v/>
      </c>
      <c r="H48" s="158" t="b">
        <f t="shared" si="7"/>
        <v>1</v>
      </c>
      <c r="I48" s="158">
        <f t="shared" si="8"/>
        <v>5</v>
      </c>
      <c r="J48" s="158">
        <f>IFERROR(__xludf.DUMMYFUNCTION("IF(O48,LET(w,IFERROR(MATCH(N48,UNIQUE(FILTER($N$44:$N$408,$O$44:$O$408=TRUE)),0),""""),IF(OR(w="""",w&gt;$B$6),"""",w)),"""")"),1.0)</f>
        <v>1</v>
      </c>
      <c r="K48" s="158" t="str">
        <f t="shared" si="9"/>
        <v>Term 1</v>
      </c>
      <c r="L48" s="158">
        <f t="shared" si="10"/>
        <v>1</v>
      </c>
      <c r="M48" s="159" t="b">
        <f t="shared" si="11"/>
        <v>0</v>
      </c>
      <c r="N48" s="160">
        <f t="shared" si="12"/>
        <v>46244</v>
      </c>
      <c r="O48" s="163" t="b">
        <f t="shared" si="13"/>
        <v>1</v>
      </c>
      <c r="Q48" s="163">
        <f t="shared" si="14"/>
        <v>0</v>
      </c>
    </row>
    <row r="49" ht="15.75" customHeight="1">
      <c r="A49" s="174">
        <f t="shared" si="15"/>
        <v>46249</v>
      </c>
      <c r="B49" s="176" t="str">
        <f t="shared" si="1"/>
        <v>Saturday</v>
      </c>
      <c r="C49" s="158" t="b">
        <f t="shared" si="2"/>
        <v>0</v>
      </c>
      <c r="D49" s="158" t="str">
        <f t="shared" si="3"/>
        <v/>
      </c>
      <c r="E49" s="158" t="str">
        <f t="shared" si="4"/>
        <v/>
      </c>
      <c r="F49" s="158" t="str">
        <f t="shared" si="5"/>
        <v/>
      </c>
      <c r="G49" s="158" t="str">
        <f t="shared" si="6"/>
        <v/>
      </c>
      <c r="H49" s="158" t="b">
        <f t="shared" si="7"/>
        <v>0</v>
      </c>
      <c r="I49" s="158" t="str">
        <f t="shared" si="8"/>
        <v/>
      </c>
      <c r="J49" s="158">
        <f>IFERROR(__xludf.DUMMYFUNCTION("IF(O49,LET(w,IFERROR(MATCH(N49,UNIQUE(FILTER($N$44:$N$408,$O$44:$O$408=TRUE)),0),""""),IF(OR(w="""",w&gt;$B$6),"""",w)),"""")"),1.0)</f>
        <v>1</v>
      </c>
      <c r="K49" s="158" t="str">
        <f t="shared" si="9"/>
        <v>Term 1</v>
      </c>
      <c r="L49" s="158">
        <f t="shared" si="10"/>
        <v>1</v>
      </c>
      <c r="M49" s="159" t="b">
        <f t="shared" si="11"/>
        <v>0</v>
      </c>
      <c r="N49" s="160">
        <f t="shared" si="12"/>
        <v>46244</v>
      </c>
      <c r="O49" s="163" t="b">
        <f t="shared" si="13"/>
        <v>1</v>
      </c>
      <c r="Q49" s="163">
        <f t="shared" si="14"/>
        <v>0</v>
      </c>
    </row>
    <row r="50" ht="15.75" customHeight="1">
      <c r="A50" s="174">
        <f t="shared" si="15"/>
        <v>46250</v>
      </c>
      <c r="B50" s="176" t="str">
        <f t="shared" si="1"/>
        <v>Sunday</v>
      </c>
      <c r="C50" s="158" t="b">
        <f t="shared" si="2"/>
        <v>0</v>
      </c>
      <c r="D50" s="158" t="str">
        <f t="shared" si="3"/>
        <v/>
      </c>
      <c r="E50" s="158" t="str">
        <f t="shared" si="4"/>
        <v/>
      </c>
      <c r="F50" s="158" t="str">
        <f t="shared" si="5"/>
        <v/>
      </c>
      <c r="G50" s="158" t="str">
        <f t="shared" si="6"/>
        <v/>
      </c>
      <c r="H50" s="158" t="b">
        <f t="shared" si="7"/>
        <v>0</v>
      </c>
      <c r="I50" s="158" t="str">
        <f t="shared" si="8"/>
        <v/>
      </c>
      <c r="J50" s="158">
        <f>IFERROR(__xludf.DUMMYFUNCTION("IF(O50,LET(w,IFERROR(MATCH(N50,UNIQUE(FILTER($N$44:$N$408,$O$44:$O$408=TRUE)),0),""""),IF(OR(w="""",w&gt;$B$6),"""",w)),"""")"),1.0)</f>
        <v>1</v>
      </c>
      <c r="K50" s="158" t="str">
        <f t="shared" si="9"/>
        <v>Term 1</v>
      </c>
      <c r="L50" s="158">
        <f t="shared" si="10"/>
        <v>1</v>
      </c>
      <c r="M50" s="159" t="b">
        <f t="shared" si="11"/>
        <v>0</v>
      </c>
      <c r="N50" s="160">
        <f t="shared" si="12"/>
        <v>46244</v>
      </c>
      <c r="O50" s="163" t="b">
        <f t="shared" si="13"/>
        <v>1</v>
      </c>
      <c r="Q50" s="163">
        <f t="shared" si="14"/>
        <v>0</v>
      </c>
    </row>
    <row r="51" ht="15.75" customHeight="1">
      <c r="A51" s="174">
        <f t="shared" si="15"/>
        <v>46251</v>
      </c>
      <c r="B51" s="176" t="str">
        <f t="shared" si="1"/>
        <v>Monday</v>
      </c>
      <c r="C51" s="158" t="b">
        <f t="shared" si="2"/>
        <v>1</v>
      </c>
      <c r="D51" s="158" t="str">
        <f t="shared" si="3"/>
        <v/>
      </c>
      <c r="E51" s="158" t="str">
        <f t="shared" si="4"/>
        <v/>
      </c>
      <c r="F51" s="158" t="str">
        <f t="shared" si="5"/>
        <v/>
      </c>
      <c r="G51" s="158" t="str">
        <f t="shared" si="6"/>
        <v/>
      </c>
      <c r="H51" s="158" t="b">
        <f t="shared" si="7"/>
        <v>1</v>
      </c>
      <c r="I51" s="158">
        <f t="shared" si="8"/>
        <v>6</v>
      </c>
      <c r="J51" s="158">
        <f>IFERROR(__xludf.DUMMYFUNCTION("IF(O51,LET(w,IFERROR(MATCH(N51,UNIQUE(FILTER($N$44:$N$408,$O$44:$O$408=TRUE)),0),""""),IF(OR(w="""",w&gt;$B$6),"""",w)),"""")"),2.0)</f>
        <v>2</v>
      </c>
      <c r="K51" s="158" t="str">
        <f t="shared" si="9"/>
        <v>Term 1</v>
      </c>
      <c r="L51" s="158">
        <f t="shared" si="10"/>
        <v>2</v>
      </c>
      <c r="M51" s="159" t="b">
        <f t="shared" si="11"/>
        <v>0</v>
      </c>
      <c r="N51" s="160">
        <f t="shared" si="12"/>
        <v>46251</v>
      </c>
      <c r="O51" s="163" t="b">
        <f t="shared" si="13"/>
        <v>1</v>
      </c>
      <c r="Q51" s="163">
        <f t="shared" si="14"/>
        <v>0</v>
      </c>
    </row>
    <row r="52" ht="15.75" customHeight="1">
      <c r="A52" s="174">
        <f t="shared" si="15"/>
        <v>46252</v>
      </c>
      <c r="B52" s="176" t="str">
        <f t="shared" si="1"/>
        <v>Tuesday</v>
      </c>
      <c r="C52" s="158" t="b">
        <f t="shared" si="2"/>
        <v>1</v>
      </c>
      <c r="D52" s="158" t="str">
        <f t="shared" si="3"/>
        <v/>
      </c>
      <c r="E52" s="158" t="str">
        <f t="shared" si="4"/>
        <v/>
      </c>
      <c r="F52" s="158" t="str">
        <f t="shared" si="5"/>
        <v/>
      </c>
      <c r="G52" s="158" t="str">
        <f t="shared" si="6"/>
        <v/>
      </c>
      <c r="H52" s="158" t="b">
        <f t="shared" si="7"/>
        <v>1</v>
      </c>
      <c r="I52" s="158">
        <f t="shared" si="8"/>
        <v>7</v>
      </c>
      <c r="J52" s="158">
        <f>IFERROR(__xludf.DUMMYFUNCTION("IF(O52,LET(w,IFERROR(MATCH(N52,UNIQUE(FILTER($N$44:$N$408,$O$44:$O$408=TRUE)),0),""""),IF(OR(w="""",w&gt;$B$6),"""",w)),"""")"),2.0)</f>
        <v>2</v>
      </c>
      <c r="K52" s="158" t="str">
        <f t="shared" si="9"/>
        <v>Term 1</v>
      </c>
      <c r="L52" s="158">
        <f t="shared" si="10"/>
        <v>2</v>
      </c>
      <c r="M52" s="159" t="b">
        <f t="shared" si="11"/>
        <v>0</v>
      </c>
      <c r="N52" s="160">
        <f t="shared" si="12"/>
        <v>46251</v>
      </c>
      <c r="O52" s="163" t="b">
        <f t="shared" si="13"/>
        <v>1</v>
      </c>
      <c r="Q52" s="163">
        <f t="shared" si="14"/>
        <v>0</v>
      </c>
    </row>
    <row r="53" ht="15.75" customHeight="1">
      <c r="A53" s="174">
        <f t="shared" si="15"/>
        <v>46253</v>
      </c>
      <c r="B53" s="176" t="str">
        <f t="shared" si="1"/>
        <v>Wednesday</v>
      </c>
      <c r="C53" s="158" t="b">
        <f t="shared" si="2"/>
        <v>1</v>
      </c>
      <c r="D53" s="158" t="str">
        <f t="shared" si="3"/>
        <v/>
      </c>
      <c r="E53" s="158" t="str">
        <f t="shared" si="4"/>
        <v/>
      </c>
      <c r="F53" s="158" t="str">
        <f t="shared" si="5"/>
        <v/>
      </c>
      <c r="G53" s="158" t="str">
        <f t="shared" si="6"/>
        <v/>
      </c>
      <c r="H53" s="158" t="b">
        <f t="shared" si="7"/>
        <v>1</v>
      </c>
      <c r="I53" s="158">
        <f t="shared" si="8"/>
        <v>8</v>
      </c>
      <c r="J53" s="158">
        <f>IFERROR(__xludf.DUMMYFUNCTION("IF(O53,LET(w,IFERROR(MATCH(N53,UNIQUE(FILTER($N$44:$N$408,$O$44:$O$408=TRUE)),0),""""),IF(OR(w="""",w&gt;$B$6),"""",w)),"""")"),2.0)</f>
        <v>2</v>
      </c>
      <c r="K53" s="158" t="str">
        <f t="shared" si="9"/>
        <v>Term 1</v>
      </c>
      <c r="L53" s="158">
        <f t="shared" si="10"/>
        <v>2</v>
      </c>
      <c r="M53" s="159" t="b">
        <f t="shared" si="11"/>
        <v>0</v>
      </c>
      <c r="N53" s="160">
        <f t="shared" si="12"/>
        <v>46251</v>
      </c>
      <c r="O53" s="163" t="b">
        <f t="shared" si="13"/>
        <v>1</v>
      </c>
      <c r="Q53" s="163">
        <f t="shared" si="14"/>
        <v>0</v>
      </c>
    </row>
    <row r="54" ht="15.75" customHeight="1">
      <c r="A54" s="174">
        <f t="shared" si="15"/>
        <v>46254</v>
      </c>
      <c r="B54" s="176" t="str">
        <f t="shared" si="1"/>
        <v>Thursday</v>
      </c>
      <c r="C54" s="158" t="b">
        <f t="shared" si="2"/>
        <v>1</v>
      </c>
      <c r="D54" s="158" t="str">
        <f t="shared" si="3"/>
        <v/>
      </c>
      <c r="E54" s="158" t="str">
        <f t="shared" si="4"/>
        <v/>
      </c>
      <c r="F54" s="158" t="str">
        <f t="shared" si="5"/>
        <v/>
      </c>
      <c r="G54" s="158" t="str">
        <f t="shared" si="6"/>
        <v/>
      </c>
      <c r="H54" s="158" t="b">
        <f t="shared" si="7"/>
        <v>1</v>
      </c>
      <c r="I54" s="158">
        <f t="shared" si="8"/>
        <v>9</v>
      </c>
      <c r="J54" s="158">
        <f>IFERROR(__xludf.DUMMYFUNCTION("IF(O54,LET(w,IFERROR(MATCH(N54,UNIQUE(FILTER($N$44:$N$408,$O$44:$O$408=TRUE)),0),""""),IF(OR(w="""",w&gt;$B$6),"""",w)),"""")"),2.0)</f>
        <v>2</v>
      </c>
      <c r="K54" s="158" t="str">
        <f t="shared" si="9"/>
        <v>Term 1</v>
      </c>
      <c r="L54" s="158">
        <f t="shared" si="10"/>
        <v>2</v>
      </c>
      <c r="M54" s="159" t="b">
        <f t="shared" si="11"/>
        <v>0</v>
      </c>
      <c r="N54" s="160">
        <f t="shared" si="12"/>
        <v>46251</v>
      </c>
      <c r="O54" s="163" t="b">
        <f t="shared" si="13"/>
        <v>1</v>
      </c>
      <c r="Q54" s="163">
        <f t="shared" si="14"/>
        <v>0</v>
      </c>
    </row>
    <row r="55" ht="15.75" customHeight="1">
      <c r="A55" s="174">
        <f t="shared" si="15"/>
        <v>46255</v>
      </c>
      <c r="B55" s="176" t="str">
        <f t="shared" si="1"/>
        <v>Friday</v>
      </c>
      <c r="C55" s="158" t="b">
        <f t="shared" si="2"/>
        <v>1</v>
      </c>
      <c r="D55" s="158" t="str">
        <f t="shared" si="3"/>
        <v/>
      </c>
      <c r="E55" s="158" t="str">
        <f t="shared" si="4"/>
        <v/>
      </c>
      <c r="F55" s="158" t="str">
        <f t="shared" si="5"/>
        <v/>
      </c>
      <c r="G55" s="158" t="str">
        <f t="shared" si="6"/>
        <v/>
      </c>
      <c r="H55" s="158" t="b">
        <f t="shared" si="7"/>
        <v>1</v>
      </c>
      <c r="I55" s="158">
        <f t="shared" si="8"/>
        <v>10</v>
      </c>
      <c r="J55" s="158">
        <f>IFERROR(__xludf.DUMMYFUNCTION("IF(O55,LET(w,IFERROR(MATCH(N55,UNIQUE(FILTER($N$44:$N$408,$O$44:$O$408=TRUE)),0),""""),IF(OR(w="""",w&gt;$B$6),"""",w)),"""")"),2.0)</f>
        <v>2</v>
      </c>
      <c r="K55" s="158" t="str">
        <f t="shared" si="9"/>
        <v>Term 1</v>
      </c>
      <c r="L55" s="158">
        <f t="shared" si="10"/>
        <v>2</v>
      </c>
      <c r="M55" s="159" t="b">
        <f t="shared" si="11"/>
        <v>0</v>
      </c>
      <c r="N55" s="160">
        <f t="shared" si="12"/>
        <v>46251</v>
      </c>
      <c r="O55" s="163" t="b">
        <f t="shared" si="13"/>
        <v>1</v>
      </c>
      <c r="Q55" s="163">
        <f t="shared" si="14"/>
        <v>0</v>
      </c>
    </row>
    <row r="56" ht="15.75" customHeight="1">
      <c r="A56" s="174">
        <f t="shared" si="15"/>
        <v>46256</v>
      </c>
      <c r="B56" s="176" t="str">
        <f t="shared" si="1"/>
        <v>Saturday</v>
      </c>
      <c r="C56" s="158" t="b">
        <f t="shared" si="2"/>
        <v>0</v>
      </c>
      <c r="D56" s="158" t="str">
        <f t="shared" si="3"/>
        <v/>
      </c>
      <c r="E56" s="158" t="str">
        <f t="shared" si="4"/>
        <v/>
      </c>
      <c r="F56" s="158" t="str">
        <f t="shared" si="5"/>
        <v/>
      </c>
      <c r="G56" s="158" t="str">
        <f t="shared" si="6"/>
        <v/>
      </c>
      <c r="H56" s="158" t="b">
        <f t="shared" si="7"/>
        <v>0</v>
      </c>
      <c r="I56" s="158" t="str">
        <f t="shared" si="8"/>
        <v/>
      </c>
      <c r="J56" s="158">
        <f>IFERROR(__xludf.DUMMYFUNCTION("IF(O56,LET(w,IFERROR(MATCH(N56,UNIQUE(FILTER($N$44:$N$408,$O$44:$O$408=TRUE)),0),""""),IF(OR(w="""",w&gt;$B$6),"""",w)),"""")"),2.0)</f>
        <v>2</v>
      </c>
      <c r="K56" s="158" t="str">
        <f t="shared" si="9"/>
        <v>Term 1</v>
      </c>
      <c r="L56" s="158">
        <f t="shared" si="10"/>
        <v>2</v>
      </c>
      <c r="M56" s="159" t="b">
        <f t="shared" si="11"/>
        <v>0</v>
      </c>
      <c r="N56" s="160">
        <f t="shared" si="12"/>
        <v>46251</v>
      </c>
      <c r="O56" s="163" t="b">
        <f t="shared" si="13"/>
        <v>1</v>
      </c>
      <c r="Q56" s="163">
        <f t="shared" si="14"/>
        <v>0</v>
      </c>
    </row>
    <row r="57" ht="15.75" customHeight="1">
      <c r="A57" s="174">
        <f t="shared" si="15"/>
        <v>46257</v>
      </c>
      <c r="B57" s="176" t="str">
        <f t="shared" si="1"/>
        <v>Sunday</v>
      </c>
      <c r="C57" s="158" t="b">
        <f t="shared" si="2"/>
        <v>0</v>
      </c>
      <c r="D57" s="158" t="str">
        <f t="shared" si="3"/>
        <v/>
      </c>
      <c r="E57" s="158" t="str">
        <f t="shared" si="4"/>
        <v/>
      </c>
      <c r="F57" s="158" t="str">
        <f t="shared" si="5"/>
        <v/>
      </c>
      <c r="G57" s="158" t="str">
        <f t="shared" si="6"/>
        <v/>
      </c>
      <c r="H57" s="158" t="b">
        <f t="shared" si="7"/>
        <v>0</v>
      </c>
      <c r="I57" s="158" t="str">
        <f t="shared" si="8"/>
        <v/>
      </c>
      <c r="J57" s="158">
        <f>IFERROR(__xludf.DUMMYFUNCTION("IF(O57,LET(w,IFERROR(MATCH(N57,UNIQUE(FILTER($N$44:$N$408,$O$44:$O$408=TRUE)),0),""""),IF(OR(w="""",w&gt;$B$6),"""",w)),"""")"),2.0)</f>
        <v>2</v>
      </c>
      <c r="K57" s="158" t="str">
        <f t="shared" si="9"/>
        <v>Term 1</v>
      </c>
      <c r="L57" s="158">
        <f t="shared" si="10"/>
        <v>2</v>
      </c>
      <c r="M57" s="159" t="b">
        <f t="shared" si="11"/>
        <v>0</v>
      </c>
      <c r="N57" s="160">
        <f t="shared" si="12"/>
        <v>46251</v>
      </c>
      <c r="O57" s="163" t="b">
        <f t="shared" si="13"/>
        <v>1</v>
      </c>
      <c r="Q57" s="163">
        <f t="shared" si="14"/>
        <v>0</v>
      </c>
    </row>
    <row r="58" ht="15.75" customHeight="1">
      <c r="A58" s="174">
        <f t="shared" si="15"/>
        <v>46258</v>
      </c>
      <c r="B58" s="176" t="str">
        <f t="shared" si="1"/>
        <v>Monday</v>
      </c>
      <c r="C58" s="158" t="b">
        <f t="shared" si="2"/>
        <v>1</v>
      </c>
      <c r="D58" s="158" t="str">
        <f t="shared" si="3"/>
        <v/>
      </c>
      <c r="E58" s="158" t="str">
        <f t="shared" si="4"/>
        <v/>
      </c>
      <c r="F58" s="158" t="str">
        <f t="shared" si="5"/>
        <v/>
      </c>
      <c r="G58" s="158" t="str">
        <f t="shared" si="6"/>
        <v/>
      </c>
      <c r="H58" s="158" t="b">
        <f t="shared" si="7"/>
        <v>1</v>
      </c>
      <c r="I58" s="158">
        <f t="shared" si="8"/>
        <v>11</v>
      </c>
      <c r="J58" s="158">
        <f>IFERROR(__xludf.DUMMYFUNCTION("IF(O58,LET(w,IFERROR(MATCH(N58,UNIQUE(FILTER($N$44:$N$408,$O$44:$O$408=TRUE)),0),""""),IF(OR(w="""",w&gt;$B$6),"""",w)),"""")"),3.0)</f>
        <v>3</v>
      </c>
      <c r="K58" s="158" t="str">
        <f t="shared" si="9"/>
        <v>Term 1</v>
      </c>
      <c r="L58" s="158">
        <f t="shared" si="10"/>
        <v>3</v>
      </c>
      <c r="M58" s="159" t="b">
        <f t="shared" si="11"/>
        <v>0</v>
      </c>
      <c r="N58" s="160">
        <f t="shared" si="12"/>
        <v>46258</v>
      </c>
      <c r="O58" s="163" t="b">
        <f t="shared" si="13"/>
        <v>1</v>
      </c>
      <c r="Q58" s="163">
        <f t="shared" si="14"/>
        <v>0</v>
      </c>
    </row>
    <row r="59" ht="15.75" customHeight="1">
      <c r="A59" s="174">
        <f t="shared" si="15"/>
        <v>46259</v>
      </c>
      <c r="B59" s="176" t="str">
        <f t="shared" si="1"/>
        <v>Tuesday</v>
      </c>
      <c r="C59" s="158" t="b">
        <f t="shared" si="2"/>
        <v>1</v>
      </c>
      <c r="D59" s="158" t="str">
        <f t="shared" si="3"/>
        <v/>
      </c>
      <c r="E59" s="158" t="str">
        <f t="shared" si="4"/>
        <v/>
      </c>
      <c r="F59" s="158" t="str">
        <f t="shared" si="5"/>
        <v/>
      </c>
      <c r="G59" s="158" t="str">
        <f t="shared" si="6"/>
        <v/>
      </c>
      <c r="H59" s="158" t="b">
        <f t="shared" si="7"/>
        <v>1</v>
      </c>
      <c r="I59" s="158">
        <f t="shared" si="8"/>
        <v>12</v>
      </c>
      <c r="J59" s="158">
        <f>IFERROR(__xludf.DUMMYFUNCTION("IF(O59,LET(w,IFERROR(MATCH(N59,UNIQUE(FILTER($N$44:$N$408,$O$44:$O$408=TRUE)),0),""""),IF(OR(w="""",w&gt;$B$6),"""",w)),"""")"),3.0)</f>
        <v>3</v>
      </c>
      <c r="K59" s="158" t="str">
        <f t="shared" si="9"/>
        <v>Term 1</v>
      </c>
      <c r="L59" s="158">
        <f t="shared" si="10"/>
        <v>3</v>
      </c>
      <c r="M59" s="159" t="b">
        <f t="shared" si="11"/>
        <v>0</v>
      </c>
      <c r="N59" s="160">
        <f t="shared" si="12"/>
        <v>46258</v>
      </c>
      <c r="O59" s="163" t="b">
        <f t="shared" si="13"/>
        <v>1</v>
      </c>
      <c r="Q59" s="163">
        <f t="shared" si="14"/>
        <v>0</v>
      </c>
    </row>
    <row r="60" ht="15.75" customHeight="1">
      <c r="A60" s="174">
        <f t="shared" si="15"/>
        <v>46260</v>
      </c>
      <c r="B60" s="176" t="str">
        <f t="shared" si="1"/>
        <v>Wednesday</v>
      </c>
      <c r="C60" s="158" t="b">
        <f t="shared" si="2"/>
        <v>1</v>
      </c>
      <c r="D60" s="158" t="str">
        <f t="shared" si="3"/>
        <v/>
      </c>
      <c r="E60" s="158" t="str">
        <f t="shared" si="4"/>
        <v/>
      </c>
      <c r="F60" s="158" t="str">
        <f t="shared" si="5"/>
        <v/>
      </c>
      <c r="G60" s="158" t="str">
        <f t="shared" si="6"/>
        <v/>
      </c>
      <c r="H60" s="158" t="b">
        <f t="shared" si="7"/>
        <v>1</v>
      </c>
      <c r="I60" s="158">
        <f t="shared" si="8"/>
        <v>13</v>
      </c>
      <c r="J60" s="158">
        <f>IFERROR(__xludf.DUMMYFUNCTION("IF(O60,LET(w,IFERROR(MATCH(N60,UNIQUE(FILTER($N$44:$N$408,$O$44:$O$408=TRUE)),0),""""),IF(OR(w="""",w&gt;$B$6),"""",w)),"""")"),3.0)</f>
        <v>3</v>
      </c>
      <c r="K60" s="158" t="str">
        <f t="shared" si="9"/>
        <v>Term 1</v>
      </c>
      <c r="L60" s="158">
        <f t="shared" si="10"/>
        <v>3</v>
      </c>
      <c r="M60" s="159" t="b">
        <f t="shared" si="11"/>
        <v>0</v>
      </c>
      <c r="N60" s="160">
        <f t="shared" si="12"/>
        <v>46258</v>
      </c>
      <c r="O60" s="163" t="b">
        <f t="shared" si="13"/>
        <v>1</v>
      </c>
      <c r="Q60" s="163">
        <f t="shared" si="14"/>
        <v>0</v>
      </c>
    </row>
    <row r="61" ht="15.75" customHeight="1">
      <c r="A61" s="174">
        <f t="shared" si="15"/>
        <v>46261</v>
      </c>
      <c r="B61" s="176" t="str">
        <f t="shared" si="1"/>
        <v>Thursday</v>
      </c>
      <c r="C61" s="158" t="b">
        <f t="shared" si="2"/>
        <v>1</v>
      </c>
      <c r="D61" s="158" t="str">
        <f t="shared" si="3"/>
        <v/>
      </c>
      <c r="E61" s="158" t="str">
        <f t="shared" si="4"/>
        <v/>
      </c>
      <c r="F61" s="158" t="str">
        <f t="shared" si="5"/>
        <v/>
      </c>
      <c r="G61" s="158" t="str">
        <f t="shared" si="6"/>
        <v/>
      </c>
      <c r="H61" s="158" t="b">
        <f t="shared" si="7"/>
        <v>1</v>
      </c>
      <c r="I61" s="158">
        <f t="shared" si="8"/>
        <v>14</v>
      </c>
      <c r="J61" s="158">
        <f>IFERROR(__xludf.DUMMYFUNCTION("IF(O61,LET(w,IFERROR(MATCH(N61,UNIQUE(FILTER($N$44:$N$408,$O$44:$O$408=TRUE)),0),""""),IF(OR(w="""",w&gt;$B$6),"""",w)),"""")"),3.0)</f>
        <v>3</v>
      </c>
      <c r="K61" s="158" t="str">
        <f t="shared" si="9"/>
        <v>Term 1</v>
      </c>
      <c r="L61" s="158">
        <f t="shared" si="10"/>
        <v>3</v>
      </c>
      <c r="M61" s="159" t="b">
        <f t="shared" si="11"/>
        <v>0</v>
      </c>
      <c r="N61" s="160">
        <f t="shared" si="12"/>
        <v>46258</v>
      </c>
      <c r="O61" s="163" t="b">
        <f t="shared" si="13"/>
        <v>1</v>
      </c>
      <c r="Q61" s="163">
        <f t="shared" si="14"/>
        <v>0</v>
      </c>
    </row>
    <row r="62" ht="15.75" customHeight="1">
      <c r="A62" s="174">
        <f t="shared" si="15"/>
        <v>46262</v>
      </c>
      <c r="B62" s="176" t="str">
        <f t="shared" si="1"/>
        <v>Friday</v>
      </c>
      <c r="C62" s="158" t="b">
        <f t="shared" si="2"/>
        <v>1</v>
      </c>
      <c r="D62" s="158" t="str">
        <f t="shared" si="3"/>
        <v/>
      </c>
      <c r="E62" s="158" t="str">
        <f t="shared" si="4"/>
        <v/>
      </c>
      <c r="F62" s="158" t="str">
        <f t="shared" si="5"/>
        <v/>
      </c>
      <c r="G62" s="158" t="str">
        <f t="shared" si="6"/>
        <v/>
      </c>
      <c r="H62" s="158" t="b">
        <f t="shared" si="7"/>
        <v>1</v>
      </c>
      <c r="I62" s="158">
        <f t="shared" si="8"/>
        <v>15</v>
      </c>
      <c r="J62" s="158">
        <f>IFERROR(__xludf.DUMMYFUNCTION("IF(O62,LET(w,IFERROR(MATCH(N62,UNIQUE(FILTER($N$44:$N$408,$O$44:$O$408=TRUE)),0),""""),IF(OR(w="""",w&gt;$B$6),"""",w)),"""")"),3.0)</f>
        <v>3</v>
      </c>
      <c r="K62" s="158" t="str">
        <f t="shared" si="9"/>
        <v>Term 1</v>
      </c>
      <c r="L62" s="158">
        <f t="shared" si="10"/>
        <v>3</v>
      </c>
      <c r="M62" s="159" t="b">
        <f t="shared" si="11"/>
        <v>0</v>
      </c>
      <c r="N62" s="160">
        <f t="shared" si="12"/>
        <v>46258</v>
      </c>
      <c r="O62" s="163" t="b">
        <f t="shared" si="13"/>
        <v>1</v>
      </c>
      <c r="Q62" s="163">
        <f t="shared" si="14"/>
        <v>0</v>
      </c>
    </row>
    <row r="63" ht="15.75" customHeight="1">
      <c r="A63" s="174">
        <f t="shared" si="15"/>
        <v>46263</v>
      </c>
      <c r="B63" s="176" t="str">
        <f t="shared" si="1"/>
        <v>Saturday</v>
      </c>
      <c r="C63" s="158" t="b">
        <f t="shared" si="2"/>
        <v>0</v>
      </c>
      <c r="D63" s="158" t="str">
        <f t="shared" si="3"/>
        <v/>
      </c>
      <c r="E63" s="158" t="str">
        <f t="shared" si="4"/>
        <v/>
      </c>
      <c r="F63" s="158" t="str">
        <f t="shared" si="5"/>
        <v/>
      </c>
      <c r="G63" s="158" t="str">
        <f t="shared" si="6"/>
        <v/>
      </c>
      <c r="H63" s="158" t="b">
        <f t="shared" si="7"/>
        <v>0</v>
      </c>
      <c r="I63" s="158" t="str">
        <f t="shared" si="8"/>
        <v/>
      </c>
      <c r="J63" s="158">
        <f>IFERROR(__xludf.DUMMYFUNCTION("IF(O63,LET(w,IFERROR(MATCH(N63,UNIQUE(FILTER($N$44:$N$408,$O$44:$O$408=TRUE)),0),""""),IF(OR(w="""",w&gt;$B$6),"""",w)),"""")"),3.0)</f>
        <v>3</v>
      </c>
      <c r="K63" s="158" t="str">
        <f t="shared" si="9"/>
        <v>Term 1</v>
      </c>
      <c r="L63" s="158">
        <f t="shared" si="10"/>
        <v>3</v>
      </c>
      <c r="M63" s="159" t="b">
        <f t="shared" si="11"/>
        <v>0</v>
      </c>
      <c r="N63" s="160">
        <f t="shared" si="12"/>
        <v>46258</v>
      </c>
      <c r="O63" s="163" t="b">
        <f t="shared" si="13"/>
        <v>1</v>
      </c>
      <c r="Q63" s="163">
        <f t="shared" si="14"/>
        <v>0</v>
      </c>
    </row>
    <row r="64" ht="15.75" customHeight="1">
      <c r="A64" s="174">
        <f t="shared" si="15"/>
        <v>46264</v>
      </c>
      <c r="B64" s="176" t="str">
        <f t="shared" si="1"/>
        <v>Sunday</v>
      </c>
      <c r="C64" s="158" t="b">
        <f t="shared" si="2"/>
        <v>0</v>
      </c>
      <c r="D64" s="158" t="str">
        <f t="shared" si="3"/>
        <v/>
      </c>
      <c r="E64" s="158" t="str">
        <f t="shared" si="4"/>
        <v/>
      </c>
      <c r="F64" s="158" t="str">
        <f t="shared" si="5"/>
        <v/>
      </c>
      <c r="G64" s="158" t="str">
        <f t="shared" si="6"/>
        <v/>
      </c>
      <c r="H64" s="158" t="b">
        <f t="shared" si="7"/>
        <v>0</v>
      </c>
      <c r="I64" s="158" t="str">
        <f t="shared" si="8"/>
        <v/>
      </c>
      <c r="J64" s="158">
        <f>IFERROR(__xludf.DUMMYFUNCTION("IF(O64,LET(w,IFERROR(MATCH(N64,UNIQUE(FILTER($N$44:$N$408,$O$44:$O$408=TRUE)),0),""""),IF(OR(w="""",w&gt;$B$6),"""",w)),"""")"),3.0)</f>
        <v>3</v>
      </c>
      <c r="K64" s="158" t="str">
        <f t="shared" si="9"/>
        <v>Term 1</v>
      </c>
      <c r="L64" s="158">
        <f t="shared" si="10"/>
        <v>3</v>
      </c>
      <c r="M64" s="159" t="b">
        <f t="shared" si="11"/>
        <v>0</v>
      </c>
      <c r="N64" s="160">
        <f t="shared" si="12"/>
        <v>46258</v>
      </c>
      <c r="O64" s="163" t="b">
        <f t="shared" si="13"/>
        <v>1</v>
      </c>
      <c r="Q64" s="163">
        <f t="shared" si="14"/>
        <v>0</v>
      </c>
    </row>
    <row r="65" ht="15.75" customHeight="1">
      <c r="A65" s="174">
        <f t="shared" si="15"/>
        <v>46265</v>
      </c>
      <c r="B65" s="176" t="str">
        <f t="shared" si="1"/>
        <v>Monday</v>
      </c>
      <c r="C65" s="158" t="b">
        <f t="shared" si="2"/>
        <v>1</v>
      </c>
      <c r="D65" s="158" t="str">
        <f t="shared" si="3"/>
        <v/>
      </c>
      <c r="E65" s="158" t="str">
        <f t="shared" si="4"/>
        <v/>
      </c>
      <c r="F65" s="158" t="str">
        <f t="shared" si="5"/>
        <v/>
      </c>
      <c r="G65" s="158" t="str">
        <f t="shared" si="6"/>
        <v/>
      </c>
      <c r="H65" s="158" t="b">
        <f t="shared" si="7"/>
        <v>1</v>
      </c>
      <c r="I65" s="158">
        <f t="shared" si="8"/>
        <v>16</v>
      </c>
      <c r="J65" s="158">
        <f>IFERROR(__xludf.DUMMYFUNCTION("IF(O65,LET(w,IFERROR(MATCH(N65,UNIQUE(FILTER($N$44:$N$408,$O$44:$O$408=TRUE)),0),""""),IF(OR(w="""",w&gt;$B$6),"""",w)),"""")"),4.0)</f>
        <v>4</v>
      </c>
      <c r="K65" s="158" t="str">
        <f t="shared" si="9"/>
        <v>Term 1</v>
      </c>
      <c r="L65" s="158">
        <f t="shared" si="10"/>
        <v>4</v>
      </c>
      <c r="M65" s="159" t="b">
        <f t="shared" si="11"/>
        <v>0</v>
      </c>
      <c r="N65" s="160">
        <f t="shared" si="12"/>
        <v>46265</v>
      </c>
      <c r="O65" s="163" t="b">
        <f t="shared" si="13"/>
        <v>1</v>
      </c>
      <c r="Q65" s="163">
        <f t="shared" si="14"/>
        <v>0</v>
      </c>
    </row>
    <row r="66" ht="15.75" customHeight="1">
      <c r="A66" s="174">
        <f t="shared" si="15"/>
        <v>46266</v>
      </c>
      <c r="B66" s="176" t="str">
        <f t="shared" si="1"/>
        <v>Tuesday</v>
      </c>
      <c r="C66" s="158" t="b">
        <f t="shared" si="2"/>
        <v>1</v>
      </c>
      <c r="D66" s="158" t="str">
        <f t="shared" si="3"/>
        <v/>
      </c>
      <c r="E66" s="158" t="str">
        <f t="shared" si="4"/>
        <v/>
      </c>
      <c r="F66" s="158" t="str">
        <f t="shared" si="5"/>
        <v/>
      </c>
      <c r="G66" s="158" t="str">
        <f t="shared" si="6"/>
        <v/>
      </c>
      <c r="H66" s="158" t="b">
        <f t="shared" si="7"/>
        <v>1</v>
      </c>
      <c r="I66" s="158">
        <f t="shared" si="8"/>
        <v>17</v>
      </c>
      <c r="J66" s="158">
        <f>IFERROR(__xludf.DUMMYFUNCTION("IF(O66,LET(w,IFERROR(MATCH(N66,UNIQUE(FILTER($N$44:$N$408,$O$44:$O$408=TRUE)),0),""""),IF(OR(w="""",w&gt;$B$6),"""",w)),"""")"),4.0)</f>
        <v>4</v>
      </c>
      <c r="K66" s="158" t="str">
        <f t="shared" si="9"/>
        <v>Term 1</v>
      </c>
      <c r="L66" s="158">
        <f t="shared" si="10"/>
        <v>4</v>
      </c>
      <c r="M66" s="159" t="b">
        <f t="shared" si="11"/>
        <v>0</v>
      </c>
      <c r="N66" s="160">
        <f t="shared" si="12"/>
        <v>46265</v>
      </c>
      <c r="O66" s="163" t="b">
        <f t="shared" si="13"/>
        <v>1</v>
      </c>
      <c r="Q66" s="163">
        <f t="shared" si="14"/>
        <v>0</v>
      </c>
    </row>
    <row r="67" ht="15.75" customHeight="1">
      <c r="A67" s="174">
        <f t="shared" si="15"/>
        <v>46267</v>
      </c>
      <c r="B67" s="176" t="str">
        <f t="shared" si="1"/>
        <v>Wednesday</v>
      </c>
      <c r="C67" s="158" t="b">
        <f t="shared" si="2"/>
        <v>1</v>
      </c>
      <c r="D67" s="158" t="str">
        <f t="shared" si="3"/>
        <v/>
      </c>
      <c r="E67" s="158" t="str">
        <f t="shared" si="4"/>
        <v/>
      </c>
      <c r="F67" s="158" t="str">
        <f t="shared" si="5"/>
        <v/>
      </c>
      <c r="G67" s="158" t="str">
        <f t="shared" si="6"/>
        <v/>
      </c>
      <c r="H67" s="158" t="b">
        <f t="shared" si="7"/>
        <v>1</v>
      </c>
      <c r="I67" s="158">
        <f t="shared" si="8"/>
        <v>18</v>
      </c>
      <c r="J67" s="158">
        <f>IFERROR(__xludf.DUMMYFUNCTION("IF(O67,LET(w,IFERROR(MATCH(N67,UNIQUE(FILTER($N$44:$N$408,$O$44:$O$408=TRUE)),0),""""),IF(OR(w="""",w&gt;$B$6),"""",w)),"""")"),4.0)</f>
        <v>4</v>
      </c>
      <c r="K67" s="158" t="str">
        <f t="shared" si="9"/>
        <v>Term 1</v>
      </c>
      <c r="L67" s="158">
        <f t="shared" si="10"/>
        <v>4</v>
      </c>
      <c r="M67" s="159" t="b">
        <f t="shared" si="11"/>
        <v>0</v>
      </c>
      <c r="N67" s="160">
        <f t="shared" si="12"/>
        <v>46265</v>
      </c>
      <c r="O67" s="163" t="b">
        <f t="shared" si="13"/>
        <v>1</v>
      </c>
      <c r="Q67" s="163">
        <f t="shared" si="14"/>
        <v>0</v>
      </c>
    </row>
    <row r="68" ht="15.75" customHeight="1">
      <c r="A68" s="174">
        <f t="shared" si="15"/>
        <v>46268</v>
      </c>
      <c r="B68" s="176" t="str">
        <f t="shared" si="1"/>
        <v>Thursday</v>
      </c>
      <c r="C68" s="158" t="b">
        <f t="shared" si="2"/>
        <v>1</v>
      </c>
      <c r="D68" s="158" t="str">
        <f t="shared" si="3"/>
        <v/>
      </c>
      <c r="E68" s="158" t="str">
        <f t="shared" si="4"/>
        <v/>
      </c>
      <c r="F68" s="158" t="str">
        <f t="shared" si="5"/>
        <v/>
      </c>
      <c r="G68" s="158" t="str">
        <f t="shared" si="6"/>
        <v/>
      </c>
      <c r="H68" s="158" t="b">
        <f t="shared" si="7"/>
        <v>1</v>
      </c>
      <c r="I68" s="158">
        <f t="shared" si="8"/>
        <v>19</v>
      </c>
      <c r="J68" s="158">
        <f>IFERROR(__xludf.DUMMYFUNCTION("IF(O68,LET(w,IFERROR(MATCH(N68,UNIQUE(FILTER($N$44:$N$408,$O$44:$O$408=TRUE)),0),""""),IF(OR(w="""",w&gt;$B$6),"""",w)),"""")"),4.0)</f>
        <v>4</v>
      </c>
      <c r="K68" s="158" t="str">
        <f t="shared" si="9"/>
        <v>Term 1</v>
      </c>
      <c r="L68" s="158">
        <f t="shared" si="10"/>
        <v>4</v>
      </c>
      <c r="M68" s="159" t="b">
        <f t="shared" si="11"/>
        <v>0</v>
      </c>
      <c r="N68" s="160">
        <f t="shared" si="12"/>
        <v>46265</v>
      </c>
      <c r="O68" s="163" t="b">
        <f t="shared" si="13"/>
        <v>1</v>
      </c>
      <c r="Q68" s="163">
        <f t="shared" si="14"/>
        <v>0</v>
      </c>
    </row>
    <row r="69" ht="15.75" customHeight="1">
      <c r="A69" s="174">
        <f t="shared" si="15"/>
        <v>46269</v>
      </c>
      <c r="B69" s="176" t="str">
        <f t="shared" si="1"/>
        <v>Friday</v>
      </c>
      <c r="C69" s="158" t="b">
        <f t="shared" si="2"/>
        <v>1</v>
      </c>
      <c r="D69" s="158" t="str">
        <f t="shared" si="3"/>
        <v/>
      </c>
      <c r="E69" s="158" t="str">
        <f t="shared" si="4"/>
        <v/>
      </c>
      <c r="F69" s="158" t="str">
        <f t="shared" si="5"/>
        <v/>
      </c>
      <c r="G69" s="158" t="str">
        <f t="shared" si="6"/>
        <v/>
      </c>
      <c r="H69" s="158" t="b">
        <f t="shared" si="7"/>
        <v>1</v>
      </c>
      <c r="I69" s="158">
        <f t="shared" si="8"/>
        <v>20</v>
      </c>
      <c r="J69" s="158">
        <f>IFERROR(__xludf.DUMMYFUNCTION("IF(O69,LET(w,IFERROR(MATCH(N69,UNIQUE(FILTER($N$44:$N$408,$O$44:$O$408=TRUE)),0),""""),IF(OR(w="""",w&gt;$B$6),"""",w)),"""")"),4.0)</f>
        <v>4</v>
      </c>
      <c r="K69" s="158" t="str">
        <f t="shared" si="9"/>
        <v>Term 1</v>
      </c>
      <c r="L69" s="158">
        <f t="shared" si="10"/>
        <v>4</v>
      </c>
      <c r="M69" s="159" t="b">
        <f t="shared" si="11"/>
        <v>0</v>
      </c>
      <c r="N69" s="160">
        <f t="shared" si="12"/>
        <v>46265</v>
      </c>
      <c r="O69" s="163" t="b">
        <f t="shared" si="13"/>
        <v>1</v>
      </c>
      <c r="Q69" s="163">
        <f t="shared" si="14"/>
        <v>0</v>
      </c>
    </row>
    <row r="70" ht="15.75" customHeight="1">
      <c r="A70" s="174">
        <f t="shared" si="15"/>
        <v>46270</v>
      </c>
      <c r="B70" s="176" t="str">
        <f t="shared" si="1"/>
        <v>Saturday</v>
      </c>
      <c r="C70" s="158" t="b">
        <f t="shared" si="2"/>
        <v>0</v>
      </c>
      <c r="D70" s="158" t="str">
        <f t="shared" si="3"/>
        <v/>
      </c>
      <c r="E70" s="158" t="str">
        <f t="shared" si="4"/>
        <v/>
      </c>
      <c r="F70" s="158" t="str">
        <f t="shared" si="5"/>
        <v/>
      </c>
      <c r="G70" s="158" t="str">
        <f t="shared" si="6"/>
        <v/>
      </c>
      <c r="H70" s="158" t="b">
        <f t="shared" si="7"/>
        <v>0</v>
      </c>
      <c r="I70" s="158" t="str">
        <f t="shared" si="8"/>
        <v/>
      </c>
      <c r="J70" s="158">
        <f>IFERROR(__xludf.DUMMYFUNCTION("IF(O70,LET(w,IFERROR(MATCH(N70,UNIQUE(FILTER($N$44:$N$408,$O$44:$O$408=TRUE)),0),""""),IF(OR(w="""",w&gt;$B$6),"""",w)),"""")"),4.0)</f>
        <v>4</v>
      </c>
      <c r="K70" s="158" t="str">
        <f t="shared" si="9"/>
        <v>Term 1</v>
      </c>
      <c r="L70" s="158">
        <f t="shared" si="10"/>
        <v>4</v>
      </c>
      <c r="M70" s="159" t="b">
        <f t="shared" si="11"/>
        <v>0</v>
      </c>
      <c r="N70" s="160">
        <f t="shared" si="12"/>
        <v>46265</v>
      </c>
      <c r="O70" s="163" t="b">
        <f t="shared" si="13"/>
        <v>1</v>
      </c>
      <c r="Q70" s="163">
        <f t="shared" si="14"/>
        <v>0</v>
      </c>
    </row>
    <row r="71" ht="15.75" customHeight="1">
      <c r="A71" s="174">
        <f t="shared" si="15"/>
        <v>46271</v>
      </c>
      <c r="B71" s="176" t="str">
        <f t="shared" si="1"/>
        <v>Sunday</v>
      </c>
      <c r="C71" s="158" t="b">
        <f t="shared" si="2"/>
        <v>0</v>
      </c>
      <c r="D71" s="158" t="str">
        <f t="shared" si="3"/>
        <v/>
      </c>
      <c r="E71" s="158" t="str">
        <f t="shared" si="4"/>
        <v/>
      </c>
      <c r="F71" s="158" t="str">
        <f t="shared" si="5"/>
        <v/>
      </c>
      <c r="G71" s="158" t="str">
        <f t="shared" si="6"/>
        <v/>
      </c>
      <c r="H71" s="158" t="b">
        <f t="shared" si="7"/>
        <v>0</v>
      </c>
      <c r="I71" s="158" t="str">
        <f t="shared" si="8"/>
        <v/>
      </c>
      <c r="J71" s="158">
        <f>IFERROR(__xludf.DUMMYFUNCTION("IF(O71,LET(w,IFERROR(MATCH(N71,UNIQUE(FILTER($N$44:$N$408,$O$44:$O$408=TRUE)),0),""""),IF(OR(w="""",w&gt;$B$6),"""",w)),"""")"),4.0)</f>
        <v>4</v>
      </c>
      <c r="K71" s="158" t="str">
        <f t="shared" si="9"/>
        <v>Term 1</v>
      </c>
      <c r="L71" s="158">
        <f t="shared" si="10"/>
        <v>4</v>
      </c>
      <c r="M71" s="159" t="b">
        <f t="shared" si="11"/>
        <v>0</v>
      </c>
      <c r="N71" s="160">
        <f t="shared" si="12"/>
        <v>46265</v>
      </c>
      <c r="O71" s="163" t="b">
        <f t="shared" si="13"/>
        <v>1</v>
      </c>
      <c r="Q71" s="163">
        <f t="shared" si="14"/>
        <v>0</v>
      </c>
    </row>
    <row r="72" ht="15.75" customHeight="1">
      <c r="A72" s="174">
        <f t="shared" si="15"/>
        <v>46272</v>
      </c>
      <c r="B72" s="176" t="str">
        <f t="shared" si="1"/>
        <v>Monday</v>
      </c>
      <c r="C72" s="158" t="b">
        <f t="shared" si="2"/>
        <v>1</v>
      </c>
      <c r="D72" s="158" t="str">
        <f t="shared" si="3"/>
        <v/>
      </c>
      <c r="E72" s="158" t="str">
        <f t="shared" si="4"/>
        <v/>
      </c>
      <c r="F72" s="158" t="str">
        <f t="shared" si="5"/>
        <v/>
      </c>
      <c r="G72" s="158" t="str">
        <f t="shared" si="6"/>
        <v/>
      </c>
      <c r="H72" s="158" t="b">
        <f t="shared" si="7"/>
        <v>1</v>
      </c>
      <c r="I72" s="158">
        <f t="shared" si="8"/>
        <v>21</v>
      </c>
      <c r="J72" s="158">
        <f>IFERROR(__xludf.DUMMYFUNCTION("IF(O72,LET(w,IFERROR(MATCH(N72,UNIQUE(FILTER($N$44:$N$408,$O$44:$O$408=TRUE)),0),""""),IF(OR(w="""",w&gt;$B$6),"""",w)),"""")"),5.0)</f>
        <v>5</v>
      </c>
      <c r="K72" s="158" t="str">
        <f t="shared" si="9"/>
        <v>Term 1</v>
      </c>
      <c r="L72" s="158">
        <f t="shared" si="10"/>
        <v>5</v>
      </c>
      <c r="M72" s="159" t="b">
        <f t="shared" si="11"/>
        <v>0</v>
      </c>
      <c r="N72" s="160">
        <f t="shared" si="12"/>
        <v>46272</v>
      </c>
      <c r="O72" s="163" t="b">
        <f t="shared" si="13"/>
        <v>1</v>
      </c>
      <c r="Q72" s="163">
        <f t="shared" si="14"/>
        <v>0</v>
      </c>
    </row>
    <row r="73" ht="15.75" customHeight="1">
      <c r="A73" s="174">
        <f t="shared" si="15"/>
        <v>46273</v>
      </c>
      <c r="B73" s="176" t="str">
        <f t="shared" si="1"/>
        <v>Tuesday</v>
      </c>
      <c r="C73" s="158" t="b">
        <f t="shared" si="2"/>
        <v>1</v>
      </c>
      <c r="D73" s="158" t="str">
        <f t="shared" si="3"/>
        <v/>
      </c>
      <c r="E73" s="158" t="str">
        <f t="shared" si="4"/>
        <v/>
      </c>
      <c r="F73" s="158" t="str">
        <f t="shared" si="5"/>
        <v/>
      </c>
      <c r="G73" s="158" t="str">
        <f t="shared" si="6"/>
        <v/>
      </c>
      <c r="H73" s="158" t="b">
        <f t="shared" si="7"/>
        <v>1</v>
      </c>
      <c r="I73" s="158">
        <f t="shared" si="8"/>
        <v>22</v>
      </c>
      <c r="J73" s="158">
        <f>IFERROR(__xludf.DUMMYFUNCTION("IF(O73,LET(w,IFERROR(MATCH(N73,UNIQUE(FILTER($N$44:$N$408,$O$44:$O$408=TRUE)),0),""""),IF(OR(w="""",w&gt;$B$6),"""",w)),"""")"),5.0)</f>
        <v>5</v>
      </c>
      <c r="K73" s="158" t="str">
        <f t="shared" si="9"/>
        <v>Term 1</v>
      </c>
      <c r="L73" s="158">
        <f t="shared" si="10"/>
        <v>5</v>
      </c>
      <c r="M73" s="159" t="b">
        <f t="shared" si="11"/>
        <v>0</v>
      </c>
      <c r="N73" s="160">
        <f t="shared" si="12"/>
        <v>46272</v>
      </c>
      <c r="O73" s="163" t="b">
        <f t="shared" si="13"/>
        <v>1</v>
      </c>
      <c r="Q73" s="163">
        <f t="shared" si="14"/>
        <v>0</v>
      </c>
    </row>
    <row r="74" ht="15.75" customHeight="1">
      <c r="A74" s="174">
        <f t="shared" si="15"/>
        <v>46274</v>
      </c>
      <c r="B74" s="176" t="str">
        <f t="shared" si="1"/>
        <v>Wednesday</v>
      </c>
      <c r="C74" s="158" t="b">
        <f t="shared" si="2"/>
        <v>1</v>
      </c>
      <c r="D74" s="158" t="str">
        <f t="shared" si="3"/>
        <v/>
      </c>
      <c r="E74" s="158" t="str">
        <f t="shared" si="4"/>
        <v/>
      </c>
      <c r="F74" s="158" t="str">
        <f t="shared" si="5"/>
        <v/>
      </c>
      <c r="G74" s="158" t="str">
        <f t="shared" si="6"/>
        <v/>
      </c>
      <c r="H74" s="158" t="b">
        <f t="shared" si="7"/>
        <v>1</v>
      </c>
      <c r="I74" s="158">
        <f t="shared" si="8"/>
        <v>23</v>
      </c>
      <c r="J74" s="158">
        <f>IFERROR(__xludf.DUMMYFUNCTION("IF(O74,LET(w,IFERROR(MATCH(N74,UNIQUE(FILTER($N$44:$N$408,$O$44:$O$408=TRUE)),0),""""),IF(OR(w="""",w&gt;$B$6),"""",w)),"""")"),5.0)</f>
        <v>5</v>
      </c>
      <c r="K74" s="158" t="str">
        <f t="shared" si="9"/>
        <v>Term 1</v>
      </c>
      <c r="L74" s="158">
        <f t="shared" si="10"/>
        <v>5</v>
      </c>
      <c r="M74" s="159" t="b">
        <f t="shared" si="11"/>
        <v>0</v>
      </c>
      <c r="N74" s="160">
        <f t="shared" si="12"/>
        <v>46272</v>
      </c>
      <c r="O74" s="163" t="b">
        <f t="shared" si="13"/>
        <v>1</v>
      </c>
      <c r="Q74" s="163">
        <f t="shared" si="14"/>
        <v>0</v>
      </c>
    </row>
    <row r="75" ht="15.75" customHeight="1">
      <c r="A75" s="174">
        <f t="shared" si="15"/>
        <v>46275</v>
      </c>
      <c r="B75" s="176" t="str">
        <f t="shared" si="1"/>
        <v>Thursday</v>
      </c>
      <c r="C75" s="158" t="b">
        <f t="shared" si="2"/>
        <v>1</v>
      </c>
      <c r="D75" s="158" t="str">
        <f t="shared" si="3"/>
        <v/>
      </c>
      <c r="E75" s="158" t="str">
        <f t="shared" si="4"/>
        <v/>
      </c>
      <c r="F75" s="158" t="str">
        <f t="shared" si="5"/>
        <v/>
      </c>
      <c r="G75" s="158" t="str">
        <f t="shared" si="6"/>
        <v/>
      </c>
      <c r="H75" s="158" t="b">
        <f t="shared" si="7"/>
        <v>1</v>
      </c>
      <c r="I75" s="158">
        <f t="shared" si="8"/>
        <v>24</v>
      </c>
      <c r="J75" s="158">
        <f>IFERROR(__xludf.DUMMYFUNCTION("IF(O75,LET(w,IFERROR(MATCH(N75,UNIQUE(FILTER($N$44:$N$408,$O$44:$O$408=TRUE)),0),""""),IF(OR(w="""",w&gt;$B$6),"""",w)),"""")"),5.0)</f>
        <v>5</v>
      </c>
      <c r="K75" s="158" t="str">
        <f t="shared" si="9"/>
        <v>Term 1</v>
      </c>
      <c r="L75" s="158">
        <f t="shared" si="10"/>
        <v>5</v>
      </c>
      <c r="M75" s="159" t="b">
        <f t="shared" si="11"/>
        <v>0</v>
      </c>
      <c r="N75" s="160">
        <f t="shared" si="12"/>
        <v>46272</v>
      </c>
      <c r="O75" s="163" t="b">
        <f t="shared" si="13"/>
        <v>1</v>
      </c>
      <c r="Q75" s="163">
        <f t="shared" si="14"/>
        <v>0</v>
      </c>
    </row>
    <row r="76" ht="15.75" customHeight="1">
      <c r="A76" s="174">
        <f t="shared" si="15"/>
        <v>46276</v>
      </c>
      <c r="B76" s="176" t="str">
        <f t="shared" si="1"/>
        <v>Friday</v>
      </c>
      <c r="C76" s="158" t="b">
        <f t="shared" si="2"/>
        <v>1</v>
      </c>
      <c r="D76" s="158" t="str">
        <f t="shared" si="3"/>
        <v/>
      </c>
      <c r="E76" s="158" t="str">
        <f t="shared" si="4"/>
        <v/>
      </c>
      <c r="F76" s="158" t="str">
        <f t="shared" si="5"/>
        <v/>
      </c>
      <c r="G76" s="158" t="str">
        <f t="shared" si="6"/>
        <v/>
      </c>
      <c r="H76" s="158" t="b">
        <f t="shared" si="7"/>
        <v>1</v>
      </c>
      <c r="I76" s="158">
        <f t="shared" si="8"/>
        <v>25</v>
      </c>
      <c r="J76" s="158">
        <f>IFERROR(__xludf.DUMMYFUNCTION("IF(O76,LET(w,IFERROR(MATCH(N76,UNIQUE(FILTER($N$44:$N$408,$O$44:$O$408=TRUE)),0),""""),IF(OR(w="""",w&gt;$B$6),"""",w)),"""")"),5.0)</f>
        <v>5</v>
      </c>
      <c r="K76" s="158" t="str">
        <f t="shared" si="9"/>
        <v>Term 1</v>
      </c>
      <c r="L76" s="158">
        <f t="shared" si="10"/>
        <v>5</v>
      </c>
      <c r="M76" s="159" t="b">
        <f t="shared" si="11"/>
        <v>0</v>
      </c>
      <c r="N76" s="160">
        <f t="shared" si="12"/>
        <v>46272</v>
      </c>
      <c r="O76" s="163" t="b">
        <f t="shared" si="13"/>
        <v>1</v>
      </c>
      <c r="Q76" s="163">
        <f t="shared" si="14"/>
        <v>0</v>
      </c>
    </row>
    <row r="77" ht="15.75" customHeight="1">
      <c r="A77" s="174">
        <f t="shared" si="15"/>
        <v>46277</v>
      </c>
      <c r="B77" s="176" t="str">
        <f t="shared" si="1"/>
        <v>Saturday</v>
      </c>
      <c r="C77" s="158" t="b">
        <f t="shared" si="2"/>
        <v>0</v>
      </c>
      <c r="D77" s="158" t="str">
        <f t="shared" si="3"/>
        <v/>
      </c>
      <c r="E77" s="158" t="str">
        <f t="shared" si="4"/>
        <v/>
      </c>
      <c r="F77" s="158" t="str">
        <f t="shared" si="5"/>
        <v/>
      </c>
      <c r="G77" s="158" t="str">
        <f t="shared" si="6"/>
        <v/>
      </c>
      <c r="H77" s="158" t="b">
        <f t="shared" si="7"/>
        <v>0</v>
      </c>
      <c r="I77" s="158" t="str">
        <f t="shared" si="8"/>
        <v/>
      </c>
      <c r="J77" s="158">
        <f>IFERROR(__xludf.DUMMYFUNCTION("IF(O77,LET(w,IFERROR(MATCH(N77,UNIQUE(FILTER($N$44:$N$408,$O$44:$O$408=TRUE)),0),""""),IF(OR(w="""",w&gt;$B$6),"""",w)),"""")"),5.0)</f>
        <v>5</v>
      </c>
      <c r="K77" s="158" t="str">
        <f t="shared" si="9"/>
        <v>Term 1</v>
      </c>
      <c r="L77" s="158">
        <f t="shared" si="10"/>
        <v>5</v>
      </c>
      <c r="M77" s="159" t="b">
        <f t="shared" si="11"/>
        <v>0</v>
      </c>
      <c r="N77" s="160">
        <f t="shared" si="12"/>
        <v>46272</v>
      </c>
      <c r="O77" s="163" t="b">
        <f t="shared" si="13"/>
        <v>1</v>
      </c>
      <c r="Q77" s="163">
        <f t="shared" si="14"/>
        <v>0</v>
      </c>
    </row>
    <row r="78" ht="15.75" customHeight="1">
      <c r="A78" s="174">
        <f t="shared" si="15"/>
        <v>46278</v>
      </c>
      <c r="B78" s="176" t="str">
        <f t="shared" si="1"/>
        <v>Sunday</v>
      </c>
      <c r="C78" s="158" t="b">
        <f t="shared" si="2"/>
        <v>0</v>
      </c>
      <c r="D78" s="158" t="str">
        <f t="shared" si="3"/>
        <v/>
      </c>
      <c r="E78" s="158" t="str">
        <f t="shared" si="4"/>
        <v/>
      </c>
      <c r="F78" s="158" t="str">
        <f t="shared" si="5"/>
        <v/>
      </c>
      <c r="G78" s="158" t="str">
        <f t="shared" si="6"/>
        <v/>
      </c>
      <c r="H78" s="158" t="b">
        <f t="shared" si="7"/>
        <v>0</v>
      </c>
      <c r="I78" s="158" t="str">
        <f t="shared" si="8"/>
        <v/>
      </c>
      <c r="J78" s="158">
        <f>IFERROR(__xludf.DUMMYFUNCTION("IF(O78,LET(w,IFERROR(MATCH(N78,UNIQUE(FILTER($N$44:$N$408,$O$44:$O$408=TRUE)),0),""""),IF(OR(w="""",w&gt;$B$6),"""",w)),"""")"),5.0)</f>
        <v>5</v>
      </c>
      <c r="K78" s="158" t="str">
        <f t="shared" si="9"/>
        <v>Term 1</v>
      </c>
      <c r="L78" s="158">
        <f t="shared" si="10"/>
        <v>5</v>
      </c>
      <c r="M78" s="159" t="b">
        <f t="shared" si="11"/>
        <v>0</v>
      </c>
      <c r="N78" s="160">
        <f t="shared" si="12"/>
        <v>46272</v>
      </c>
      <c r="O78" s="163" t="b">
        <f t="shared" si="13"/>
        <v>1</v>
      </c>
      <c r="Q78" s="163">
        <f t="shared" si="14"/>
        <v>0</v>
      </c>
    </row>
    <row r="79" ht="15.75" customHeight="1">
      <c r="A79" s="174">
        <f t="shared" si="15"/>
        <v>46279</v>
      </c>
      <c r="B79" s="176" t="str">
        <f t="shared" si="1"/>
        <v>Monday</v>
      </c>
      <c r="C79" s="158" t="b">
        <f t="shared" si="2"/>
        <v>1</v>
      </c>
      <c r="D79" s="158" t="str">
        <f t="shared" si="3"/>
        <v/>
      </c>
      <c r="E79" s="158" t="str">
        <f t="shared" si="4"/>
        <v/>
      </c>
      <c r="F79" s="158" t="str">
        <f t="shared" si="5"/>
        <v/>
      </c>
      <c r="G79" s="158" t="str">
        <f t="shared" si="6"/>
        <v/>
      </c>
      <c r="H79" s="158" t="b">
        <f t="shared" si="7"/>
        <v>1</v>
      </c>
      <c r="I79" s="158">
        <f t="shared" si="8"/>
        <v>26</v>
      </c>
      <c r="J79" s="158">
        <f>IFERROR(__xludf.DUMMYFUNCTION("IF(O79,LET(w,IFERROR(MATCH(N79,UNIQUE(FILTER($N$44:$N$408,$O$44:$O$408=TRUE)),0),""""),IF(OR(w="""",w&gt;$B$6),"""",w)),"""")"),6.0)</f>
        <v>6</v>
      </c>
      <c r="K79" s="158" t="str">
        <f t="shared" si="9"/>
        <v>Term 1</v>
      </c>
      <c r="L79" s="158">
        <f t="shared" si="10"/>
        <v>6</v>
      </c>
      <c r="M79" s="159" t="b">
        <f t="shared" si="11"/>
        <v>0</v>
      </c>
      <c r="N79" s="160">
        <f t="shared" si="12"/>
        <v>46279</v>
      </c>
      <c r="O79" s="163" t="b">
        <f t="shared" si="13"/>
        <v>1</v>
      </c>
      <c r="Q79" s="163">
        <f t="shared" si="14"/>
        <v>0</v>
      </c>
    </row>
    <row r="80" ht="15.75" customHeight="1">
      <c r="A80" s="174">
        <f t="shared" si="15"/>
        <v>46280</v>
      </c>
      <c r="B80" s="176" t="str">
        <f t="shared" si="1"/>
        <v>Tuesday</v>
      </c>
      <c r="C80" s="158" t="b">
        <f t="shared" si="2"/>
        <v>1</v>
      </c>
      <c r="D80" s="158" t="str">
        <f t="shared" si="3"/>
        <v/>
      </c>
      <c r="E80" s="158" t="str">
        <f t="shared" si="4"/>
        <v/>
      </c>
      <c r="F80" s="158" t="str">
        <f t="shared" si="5"/>
        <v/>
      </c>
      <c r="G80" s="158" t="str">
        <f t="shared" si="6"/>
        <v/>
      </c>
      <c r="H80" s="158" t="b">
        <f t="shared" si="7"/>
        <v>1</v>
      </c>
      <c r="I80" s="158">
        <f t="shared" si="8"/>
        <v>27</v>
      </c>
      <c r="J80" s="158">
        <f>IFERROR(__xludf.DUMMYFUNCTION("IF(O80,LET(w,IFERROR(MATCH(N80,UNIQUE(FILTER($N$44:$N$408,$O$44:$O$408=TRUE)),0),""""),IF(OR(w="""",w&gt;$B$6),"""",w)),"""")"),6.0)</f>
        <v>6</v>
      </c>
      <c r="K80" s="158" t="str">
        <f t="shared" si="9"/>
        <v>Term 1</v>
      </c>
      <c r="L80" s="158">
        <f t="shared" si="10"/>
        <v>6</v>
      </c>
      <c r="M80" s="159" t="b">
        <f t="shared" si="11"/>
        <v>0</v>
      </c>
      <c r="N80" s="160">
        <f t="shared" si="12"/>
        <v>46279</v>
      </c>
      <c r="O80" s="163" t="b">
        <f t="shared" si="13"/>
        <v>1</v>
      </c>
      <c r="Q80" s="163">
        <f t="shared" si="14"/>
        <v>0</v>
      </c>
    </row>
    <row r="81" ht="15.75" customHeight="1">
      <c r="A81" s="174">
        <f t="shared" si="15"/>
        <v>46281</v>
      </c>
      <c r="B81" s="176" t="str">
        <f t="shared" si="1"/>
        <v>Wednesday</v>
      </c>
      <c r="C81" s="158" t="b">
        <f t="shared" si="2"/>
        <v>1</v>
      </c>
      <c r="D81" s="158" t="str">
        <f t="shared" si="3"/>
        <v/>
      </c>
      <c r="E81" s="158" t="str">
        <f t="shared" si="4"/>
        <v/>
      </c>
      <c r="F81" s="158" t="str">
        <f t="shared" si="5"/>
        <v/>
      </c>
      <c r="G81" s="158" t="str">
        <f t="shared" si="6"/>
        <v/>
      </c>
      <c r="H81" s="158" t="b">
        <f t="shared" si="7"/>
        <v>1</v>
      </c>
      <c r="I81" s="158">
        <f t="shared" si="8"/>
        <v>28</v>
      </c>
      <c r="J81" s="158">
        <f>IFERROR(__xludf.DUMMYFUNCTION("IF(O81,LET(w,IFERROR(MATCH(N81,UNIQUE(FILTER($N$44:$N$408,$O$44:$O$408=TRUE)),0),""""),IF(OR(w="""",w&gt;$B$6),"""",w)),"""")"),6.0)</f>
        <v>6</v>
      </c>
      <c r="K81" s="158" t="str">
        <f t="shared" si="9"/>
        <v>Term 1</v>
      </c>
      <c r="L81" s="158">
        <f t="shared" si="10"/>
        <v>6</v>
      </c>
      <c r="M81" s="159" t="b">
        <f t="shared" si="11"/>
        <v>0</v>
      </c>
      <c r="N81" s="160">
        <f t="shared" si="12"/>
        <v>46279</v>
      </c>
      <c r="O81" s="163" t="b">
        <f t="shared" si="13"/>
        <v>1</v>
      </c>
      <c r="Q81" s="163">
        <f t="shared" si="14"/>
        <v>0</v>
      </c>
    </row>
    <row r="82" ht="15.75" customHeight="1">
      <c r="A82" s="174">
        <f t="shared" si="15"/>
        <v>46282</v>
      </c>
      <c r="B82" s="176" t="str">
        <f t="shared" si="1"/>
        <v>Thursday</v>
      </c>
      <c r="C82" s="158" t="b">
        <f t="shared" si="2"/>
        <v>1</v>
      </c>
      <c r="D82" s="158" t="str">
        <f t="shared" si="3"/>
        <v/>
      </c>
      <c r="E82" s="158" t="str">
        <f t="shared" si="4"/>
        <v/>
      </c>
      <c r="F82" s="158" t="str">
        <f t="shared" si="5"/>
        <v/>
      </c>
      <c r="G82" s="158" t="str">
        <f t="shared" si="6"/>
        <v/>
      </c>
      <c r="H82" s="158" t="b">
        <f t="shared" si="7"/>
        <v>1</v>
      </c>
      <c r="I82" s="158">
        <f t="shared" si="8"/>
        <v>29</v>
      </c>
      <c r="J82" s="158">
        <f>IFERROR(__xludf.DUMMYFUNCTION("IF(O82,LET(w,IFERROR(MATCH(N82,UNIQUE(FILTER($N$44:$N$408,$O$44:$O$408=TRUE)),0),""""),IF(OR(w="""",w&gt;$B$6),"""",w)),"""")"),6.0)</f>
        <v>6</v>
      </c>
      <c r="K82" s="158" t="str">
        <f t="shared" si="9"/>
        <v>Term 1</v>
      </c>
      <c r="L82" s="158">
        <f t="shared" si="10"/>
        <v>6</v>
      </c>
      <c r="M82" s="159" t="b">
        <f t="shared" si="11"/>
        <v>0</v>
      </c>
      <c r="N82" s="160">
        <f t="shared" si="12"/>
        <v>46279</v>
      </c>
      <c r="O82" s="163" t="b">
        <f t="shared" si="13"/>
        <v>1</v>
      </c>
      <c r="Q82" s="163">
        <f t="shared" si="14"/>
        <v>0</v>
      </c>
    </row>
    <row r="83" ht="15.75" customHeight="1">
      <c r="A83" s="174">
        <f t="shared" si="15"/>
        <v>46283</v>
      </c>
      <c r="B83" s="176" t="str">
        <f t="shared" si="1"/>
        <v>Friday</v>
      </c>
      <c r="C83" s="158" t="b">
        <f t="shared" si="2"/>
        <v>1</v>
      </c>
      <c r="D83" s="158" t="str">
        <f t="shared" si="3"/>
        <v/>
      </c>
      <c r="E83" s="158" t="str">
        <f t="shared" si="4"/>
        <v/>
      </c>
      <c r="F83" s="158" t="str">
        <f t="shared" si="5"/>
        <v/>
      </c>
      <c r="G83" s="158" t="str">
        <f t="shared" si="6"/>
        <v/>
      </c>
      <c r="H83" s="158" t="b">
        <f t="shared" si="7"/>
        <v>1</v>
      </c>
      <c r="I83" s="158">
        <f t="shared" si="8"/>
        <v>30</v>
      </c>
      <c r="J83" s="158">
        <f>IFERROR(__xludf.DUMMYFUNCTION("IF(O83,LET(w,IFERROR(MATCH(N83,UNIQUE(FILTER($N$44:$N$408,$O$44:$O$408=TRUE)),0),""""),IF(OR(w="""",w&gt;$B$6),"""",w)),"""")"),6.0)</f>
        <v>6</v>
      </c>
      <c r="K83" s="158" t="str">
        <f t="shared" si="9"/>
        <v>Term 1</v>
      </c>
      <c r="L83" s="158">
        <f t="shared" si="10"/>
        <v>6</v>
      </c>
      <c r="M83" s="159" t="b">
        <f t="shared" si="11"/>
        <v>0</v>
      </c>
      <c r="N83" s="160">
        <f t="shared" si="12"/>
        <v>46279</v>
      </c>
      <c r="O83" s="163" t="b">
        <f t="shared" si="13"/>
        <v>1</v>
      </c>
      <c r="Q83" s="163">
        <f t="shared" si="14"/>
        <v>0</v>
      </c>
    </row>
    <row r="84" ht="15.75" customHeight="1">
      <c r="A84" s="174">
        <f t="shared" si="15"/>
        <v>46284</v>
      </c>
      <c r="B84" s="176" t="str">
        <f t="shared" si="1"/>
        <v>Saturday</v>
      </c>
      <c r="C84" s="158" t="b">
        <f t="shared" si="2"/>
        <v>0</v>
      </c>
      <c r="D84" s="158" t="str">
        <f t="shared" si="3"/>
        <v/>
      </c>
      <c r="E84" s="158" t="str">
        <f t="shared" si="4"/>
        <v/>
      </c>
      <c r="F84" s="158" t="str">
        <f t="shared" si="5"/>
        <v/>
      </c>
      <c r="G84" s="158" t="str">
        <f t="shared" si="6"/>
        <v/>
      </c>
      <c r="H84" s="158" t="b">
        <f t="shared" si="7"/>
        <v>0</v>
      </c>
      <c r="I84" s="158" t="str">
        <f t="shared" si="8"/>
        <v/>
      </c>
      <c r="J84" s="158">
        <f>IFERROR(__xludf.DUMMYFUNCTION("IF(O84,LET(w,IFERROR(MATCH(N84,UNIQUE(FILTER($N$44:$N$408,$O$44:$O$408=TRUE)),0),""""),IF(OR(w="""",w&gt;$B$6),"""",w)),"""")"),6.0)</f>
        <v>6</v>
      </c>
      <c r="K84" s="158" t="str">
        <f t="shared" si="9"/>
        <v>Term 1</v>
      </c>
      <c r="L84" s="158">
        <f t="shared" si="10"/>
        <v>6</v>
      </c>
      <c r="M84" s="159" t="b">
        <f t="shared" si="11"/>
        <v>0</v>
      </c>
      <c r="N84" s="160">
        <f t="shared" si="12"/>
        <v>46279</v>
      </c>
      <c r="O84" s="163" t="b">
        <f t="shared" si="13"/>
        <v>1</v>
      </c>
      <c r="Q84" s="163">
        <f t="shared" si="14"/>
        <v>0</v>
      </c>
    </row>
    <row r="85" ht="15.75" customHeight="1">
      <c r="A85" s="174">
        <f t="shared" si="15"/>
        <v>46285</v>
      </c>
      <c r="B85" s="176" t="str">
        <f t="shared" si="1"/>
        <v>Sunday</v>
      </c>
      <c r="C85" s="158" t="b">
        <f t="shared" si="2"/>
        <v>0</v>
      </c>
      <c r="D85" s="158" t="str">
        <f t="shared" si="3"/>
        <v/>
      </c>
      <c r="E85" s="158" t="str">
        <f t="shared" si="4"/>
        <v/>
      </c>
      <c r="F85" s="158" t="str">
        <f t="shared" si="5"/>
        <v/>
      </c>
      <c r="G85" s="158" t="str">
        <f t="shared" si="6"/>
        <v/>
      </c>
      <c r="H85" s="158" t="b">
        <f t="shared" si="7"/>
        <v>0</v>
      </c>
      <c r="I85" s="158" t="str">
        <f t="shared" si="8"/>
        <v/>
      </c>
      <c r="J85" s="158">
        <f>IFERROR(__xludf.DUMMYFUNCTION("IF(O85,LET(w,IFERROR(MATCH(N85,UNIQUE(FILTER($N$44:$N$408,$O$44:$O$408=TRUE)),0),""""),IF(OR(w="""",w&gt;$B$6),"""",w)),"""")"),6.0)</f>
        <v>6</v>
      </c>
      <c r="K85" s="158" t="str">
        <f t="shared" si="9"/>
        <v>Term 1</v>
      </c>
      <c r="L85" s="158">
        <f t="shared" si="10"/>
        <v>6</v>
      </c>
      <c r="M85" s="159" t="b">
        <f t="shared" si="11"/>
        <v>0</v>
      </c>
      <c r="N85" s="160">
        <f t="shared" si="12"/>
        <v>46279</v>
      </c>
      <c r="O85" s="163" t="b">
        <f t="shared" si="13"/>
        <v>1</v>
      </c>
      <c r="Q85" s="163">
        <f t="shared" si="14"/>
        <v>0</v>
      </c>
    </row>
    <row r="86" ht="15.75" customHeight="1">
      <c r="A86" s="174">
        <f t="shared" si="15"/>
        <v>46286</v>
      </c>
      <c r="B86" s="176" t="str">
        <f t="shared" si="1"/>
        <v>Monday</v>
      </c>
      <c r="C86" s="158" t="b">
        <f t="shared" si="2"/>
        <v>1</v>
      </c>
      <c r="D86" s="158" t="str">
        <f t="shared" si="3"/>
        <v/>
      </c>
      <c r="E86" s="158" t="str">
        <f t="shared" si="4"/>
        <v/>
      </c>
      <c r="F86" s="158" t="str">
        <f t="shared" si="5"/>
        <v/>
      </c>
      <c r="G86" s="158" t="str">
        <f t="shared" si="6"/>
        <v/>
      </c>
      <c r="H86" s="158" t="b">
        <f t="shared" si="7"/>
        <v>1</v>
      </c>
      <c r="I86" s="158">
        <f t="shared" si="8"/>
        <v>31</v>
      </c>
      <c r="J86" s="158">
        <f>IFERROR(__xludf.DUMMYFUNCTION("IF(O86,LET(w,IFERROR(MATCH(N86,UNIQUE(FILTER($N$44:$N$408,$O$44:$O$408=TRUE)),0),""""),IF(OR(w="""",w&gt;$B$6),"""",w)),"""")"),7.0)</f>
        <v>7</v>
      </c>
      <c r="K86" s="158" t="str">
        <f t="shared" si="9"/>
        <v>Term 1</v>
      </c>
      <c r="L86" s="158">
        <f t="shared" si="10"/>
        <v>7</v>
      </c>
      <c r="M86" s="159" t="b">
        <f t="shared" si="11"/>
        <v>0</v>
      </c>
      <c r="N86" s="160">
        <f t="shared" si="12"/>
        <v>46286</v>
      </c>
      <c r="O86" s="163" t="b">
        <f t="shared" si="13"/>
        <v>1</v>
      </c>
      <c r="Q86" s="163">
        <f t="shared" si="14"/>
        <v>0</v>
      </c>
    </row>
    <row r="87" ht="15.75" customHeight="1">
      <c r="A87" s="174">
        <f t="shared" si="15"/>
        <v>46287</v>
      </c>
      <c r="B87" s="176" t="str">
        <f t="shared" si="1"/>
        <v>Tuesday</v>
      </c>
      <c r="C87" s="158" t="b">
        <f t="shared" si="2"/>
        <v>1</v>
      </c>
      <c r="D87" s="158" t="str">
        <f t="shared" si="3"/>
        <v/>
      </c>
      <c r="E87" s="158" t="str">
        <f t="shared" si="4"/>
        <v/>
      </c>
      <c r="F87" s="158" t="str">
        <f t="shared" si="5"/>
        <v/>
      </c>
      <c r="G87" s="158" t="str">
        <f t="shared" si="6"/>
        <v/>
      </c>
      <c r="H87" s="158" t="b">
        <f t="shared" si="7"/>
        <v>1</v>
      </c>
      <c r="I87" s="158">
        <f t="shared" si="8"/>
        <v>32</v>
      </c>
      <c r="J87" s="158">
        <f>IFERROR(__xludf.DUMMYFUNCTION("IF(O87,LET(w,IFERROR(MATCH(N87,UNIQUE(FILTER($N$44:$N$408,$O$44:$O$408=TRUE)),0),""""),IF(OR(w="""",w&gt;$B$6),"""",w)),"""")"),7.0)</f>
        <v>7</v>
      </c>
      <c r="K87" s="158" t="str">
        <f t="shared" si="9"/>
        <v>Term 1</v>
      </c>
      <c r="L87" s="158">
        <f t="shared" si="10"/>
        <v>7</v>
      </c>
      <c r="M87" s="159" t="b">
        <f t="shared" si="11"/>
        <v>0</v>
      </c>
      <c r="N87" s="160">
        <f t="shared" si="12"/>
        <v>46286</v>
      </c>
      <c r="O87" s="163" t="b">
        <f t="shared" si="13"/>
        <v>1</v>
      </c>
      <c r="Q87" s="163">
        <f t="shared" si="14"/>
        <v>0</v>
      </c>
    </row>
    <row r="88" ht="15.75" customHeight="1">
      <c r="A88" s="174">
        <f t="shared" si="15"/>
        <v>46288</v>
      </c>
      <c r="B88" s="176" t="str">
        <f t="shared" si="1"/>
        <v>Wednesday</v>
      </c>
      <c r="C88" s="158" t="b">
        <f t="shared" si="2"/>
        <v>1</v>
      </c>
      <c r="D88" s="158" t="str">
        <f t="shared" si="3"/>
        <v/>
      </c>
      <c r="E88" s="158" t="str">
        <f t="shared" si="4"/>
        <v/>
      </c>
      <c r="F88" s="158" t="str">
        <f t="shared" si="5"/>
        <v/>
      </c>
      <c r="G88" s="158" t="str">
        <f t="shared" si="6"/>
        <v/>
      </c>
      <c r="H88" s="158" t="b">
        <f t="shared" si="7"/>
        <v>1</v>
      </c>
      <c r="I88" s="158">
        <f t="shared" si="8"/>
        <v>33</v>
      </c>
      <c r="J88" s="158">
        <f>IFERROR(__xludf.DUMMYFUNCTION("IF(O88,LET(w,IFERROR(MATCH(N88,UNIQUE(FILTER($N$44:$N$408,$O$44:$O$408=TRUE)),0),""""),IF(OR(w="""",w&gt;$B$6),"""",w)),"""")"),7.0)</f>
        <v>7</v>
      </c>
      <c r="K88" s="158" t="str">
        <f t="shared" si="9"/>
        <v>Term 1</v>
      </c>
      <c r="L88" s="158">
        <f t="shared" si="10"/>
        <v>7</v>
      </c>
      <c r="M88" s="159" t="b">
        <f t="shared" si="11"/>
        <v>0</v>
      </c>
      <c r="N88" s="160">
        <f t="shared" si="12"/>
        <v>46286</v>
      </c>
      <c r="O88" s="163" t="b">
        <f t="shared" si="13"/>
        <v>1</v>
      </c>
      <c r="Q88" s="163">
        <f t="shared" si="14"/>
        <v>0</v>
      </c>
    </row>
    <row r="89" ht="15.75" customHeight="1">
      <c r="A89" s="174">
        <f t="shared" si="15"/>
        <v>46289</v>
      </c>
      <c r="B89" s="176" t="str">
        <f t="shared" si="1"/>
        <v>Thursday</v>
      </c>
      <c r="C89" s="158" t="b">
        <f t="shared" si="2"/>
        <v>1</v>
      </c>
      <c r="D89" s="158" t="str">
        <f t="shared" si="3"/>
        <v/>
      </c>
      <c r="E89" s="158" t="str">
        <f t="shared" si="4"/>
        <v/>
      </c>
      <c r="F89" s="158" t="str">
        <f t="shared" si="5"/>
        <v/>
      </c>
      <c r="G89" s="158" t="str">
        <f t="shared" si="6"/>
        <v/>
      </c>
      <c r="H89" s="158" t="b">
        <f t="shared" si="7"/>
        <v>1</v>
      </c>
      <c r="I89" s="158">
        <f t="shared" si="8"/>
        <v>34</v>
      </c>
      <c r="J89" s="158">
        <f>IFERROR(__xludf.DUMMYFUNCTION("IF(O89,LET(w,IFERROR(MATCH(N89,UNIQUE(FILTER($N$44:$N$408,$O$44:$O$408=TRUE)),0),""""),IF(OR(w="""",w&gt;$B$6),"""",w)),"""")"),7.0)</f>
        <v>7</v>
      </c>
      <c r="K89" s="158" t="str">
        <f t="shared" si="9"/>
        <v>Term 1</v>
      </c>
      <c r="L89" s="158">
        <f t="shared" si="10"/>
        <v>7</v>
      </c>
      <c r="M89" s="159" t="b">
        <f t="shared" si="11"/>
        <v>0</v>
      </c>
      <c r="N89" s="160">
        <f t="shared" si="12"/>
        <v>46286</v>
      </c>
      <c r="O89" s="163" t="b">
        <f t="shared" si="13"/>
        <v>1</v>
      </c>
      <c r="Q89" s="163">
        <f t="shared" si="14"/>
        <v>0</v>
      </c>
    </row>
    <row r="90" ht="15.75" customHeight="1">
      <c r="A90" s="174">
        <f t="shared" si="15"/>
        <v>46290</v>
      </c>
      <c r="B90" s="176" t="str">
        <f t="shared" si="1"/>
        <v>Friday</v>
      </c>
      <c r="C90" s="158" t="b">
        <f t="shared" si="2"/>
        <v>1</v>
      </c>
      <c r="D90" s="158" t="str">
        <f t="shared" si="3"/>
        <v/>
      </c>
      <c r="E90" s="158" t="str">
        <f t="shared" si="4"/>
        <v/>
      </c>
      <c r="F90" s="158" t="str">
        <f t="shared" si="5"/>
        <v/>
      </c>
      <c r="G90" s="158" t="str">
        <f t="shared" si="6"/>
        <v/>
      </c>
      <c r="H90" s="158" t="b">
        <f t="shared" si="7"/>
        <v>1</v>
      </c>
      <c r="I90" s="158">
        <f t="shared" si="8"/>
        <v>35</v>
      </c>
      <c r="J90" s="158">
        <f>IFERROR(__xludf.DUMMYFUNCTION("IF(O90,LET(w,IFERROR(MATCH(N90,UNIQUE(FILTER($N$44:$N$408,$O$44:$O$408=TRUE)),0),""""),IF(OR(w="""",w&gt;$B$6),"""",w)),"""")"),7.0)</f>
        <v>7</v>
      </c>
      <c r="K90" s="158" t="str">
        <f t="shared" si="9"/>
        <v>Term 1</v>
      </c>
      <c r="L90" s="158">
        <f t="shared" si="10"/>
        <v>7</v>
      </c>
      <c r="M90" s="159" t="b">
        <f t="shared" si="11"/>
        <v>0</v>
      </c>
      <c r="N90" s="160">
        <f t="shared" si="12"/>
        <v>46286</v>
      </c>
      <c r="O90" s="163" t="b">
        <f t="shared" si="13"/>
        <v>1</v>
      </c>
      <c r="Q90" s="163">
        <f t="shared" si="14"/>
        <v>0</v>
      </c>
    </row>
    <row r="91" ht="15.75" customHeight="1">
      <c r="A91" s="174">
        <f t="shared" si="15"/>
        <v>46291</v>
      </c>
      <c r="B91" s="176" t="str">
        <f t="shared" si="1"/>
        <v>Saturday</v>
      </c>
      <c r="C91" s="158" t="b">
        <f t="shared" si="2"/>
        <v>0</v>
      </c>
      <c r="D91" s="158" t="str">
        <f t="shared" si="3"/>
        <v/>
      </c>
      <c r="E91" s="158" t="str">
        <f t="shared" si="4"/>
        <v/>
      </c>
      <c r="F91" s="158" t="str">
        <f t="shared" si="5"/>
        <v/>
      </c>
      <c r="G91" s="158" t="str">
        <f t="shared" si="6"/>
        <v/>
      </c>
      <c r="H91" s="158" t="b">
        <f t="shared" si="7"/>
        <v>0</v>
      </c>
      <c r="I91" s="158" t="str">
        <f t="shared" si="8"/>
        <v/>
      </c>
      <c r="J91" s="158">
        <f>IFERROR(__xludf.DUMMYFUNCTION("IF(O91,LET(w,IFERROR(MATCH(N91,UNIQUE(FILTER($N$44:$N$408,$O$44:$O$408=TRUE)),0),""""),IF(OR(w="""",w&gt;$B$6),"""",w)),"""")"),7.0)</f>
        <v>7</v>
      </c>
      <c r="K91" s="158" t="str">
        <f t="shared" si="9"/>
        <v>Term 1</v>
      </c>
      <c r="L91" s="158">
        <f t="shared" si="10"/>
        <v>7</v>
      </c>
      <c r="M91" s="159" t="b">
        <f t="shared" si="11"/>
        <v>0</v>
      </c>
      <c r="N91" s="160">
        <f t="shared" si="12"/>
        <v>46286</v>
      </c>
      <c r="O91" s="163" t="b">
        <f t="shared" si="13"/>
        <v>1</v>
      </c>
      <c r="Q91" s="163">
        <f t="shared" si="14"/>
        <v>0</v>
      </c>
    </row>
    <row r="92" ht="15.75" customHeight="1">
      <c r="A92" s="174">
        <f t="shared" si="15"/>
        <v>46292</v>
      </c>
      <c r="B92" s="176" t="str">
        <f t="shared" si="1"/>
        <v>Sunday</v>
      </c>
      <c r="C92" s="158" t="b">
        <f t="shared" si="2"/>
        <v>0</v>
      </c>
      <c r="D92" s="158" t="str">
        <f t="shared" si="3"/>
        <v/>
      </c>
      <c r="E92" s="158" t="str">
        <f t="shared" si="4"/>
        <v/>
      </c>
      <c r="F92" s="158" t="str">
        <f t="shared" si="5"/>
        <v/>
      </c>
      <c r="G92" s="158" t="str">
        <f t="shared" si="6"/>
        <v/>
      </c>
      <c r="H92" s="158" t="b">
        <f t="shared" si="7"/>
        <v>0</v>
      </c>
      <c r="I92" s="158" t="str">
        <f t="shared" si="8"/>
        <v/>
      </c>
      <c r="J92" s="158">
        <f>IFERROR(__xludf.DUMMYFUNCTION("IF(O92,LET(w,IFERROR(MATCH(N92,UNIQUE(FILTER($N$44:$N$408,$O$44:$O$408=TRUE)),0),""""),IF(OR(w="""",w&gt;$B$6),"""",w)),"""")"),7.0)</f>
        <v>7</v>
      </c>
      <c r="K92" s="158" t="str">
        <f t="shared" si="9"/>
        <v>Term 1</v>
      </c>
      <c r="L92" s="158">
        <f t="shared" si="10"/>
        <v>7</v>
      </c>
      <c r="M92" s="159" t="b">
        <f t="shared" si="11"/>
        <v>0</v>
      </c>
      <c r="N92" s="160">
        <f t="shared" si="12"/>
        <v>46286</v>
      </c>
      <c r="O92" s="163" t="b">
        <f t="shared" si="13"/>
        <v>1</v>
      </c>
      <c r="Q92" s="163">
        <f t="shared" si="14"/>
        <v>0</v>
      </c>
    </row>
    <row r="93" ht="15.75" customHeight="1">
      <c r="A93" s="174">
        <f t="shared" si="15"/>
        <v>46293</v>
      </c>
      <c r="B93" s="176" t="str">
        <f t="shared" si="1"/>
        <v>Monday</v>
      </c>
      <c r="C93" s="158" t="b">
        <f t="shared" si="2"/>
        <v>1</v>
      </c>
      <c r="D93" s="158" t="str">
        <f t="shared" si="3"/>
        <v/>
      </c>
      <c r="E93" s="158" t="str">
        <f t="shared" si="4"/>
        <v/>
      </c>
      <c r="F93" s="158" t="str">
        <f t="shared" si="5"/>
        <v/>
      </c>
      <c r="G93" s="158" t="str">
        <f t="shared" si="6"/>
        <v/>
      </c>
      <c r="H93" s="158" t="b">
        <f t="shared" si="7"/>
        <v>1</v>
      </c>
      <c r="I93" s="158">
        <f t="shared" si="8"/>
        <v>36</v>
      </c>
      <c r="J93" s="158">
        <f>IFERROR(__xludf.DUMMYFUNCTION("IF(O93,LET(w,IFERROR(MATCH(N93,UNIQUE(FILTER($N$44:$N$408,$O$44:$O$408=TRUE)),0),""""),IF(OR(w="""",w&gt;$B$6),"""",w)),"""")"),8.0)</f>
        <v>8</v>
      </c>
      <c r="K93" s="158" t="str">
        <f t="shared" si="9"/>
        <v>Term 1</v>
      </c>
      <c r="L93" s="158">
        <f t="shared" si="10"/>
        <v>8</v>
      </c>
      <c r="M93" s="159" t="b">
        <f t="shared" si="11"/>
        <v>0</v>
      </c>
      <c r="N93" s="160">
        <f t="shared" si="12"/>
        <v>46293</v>
      </c>
      <c r="O93" s="163" t="b">
        <f t="shared" si="13"/>
        <v>1</v>
      </c>
      <c r="Q93" s="163">
        <f t="shared" si="14"/>
        <v>0</v>
      </c>
    </row>
    <row r="94" ht="15.75" customHeight="1">
      <c r="A94" s="174">
        <f t="shared" si="15"/>
        <v>46294</v>
      </c>
      <c r="B94" s="176" t="str">
        <f t="shared" si="1"/>
        <v>Tuesday</v>
      </c>
      <c r="C94" s="158" t="b">
        <f t="shared" si="2"/>
        <v>1</v>
      </c>
      <c r="D94" s="158" t="str">
        <f t="shared" si="3"/>
        <v/>
      </c>
      <c r="E94" s="158" t="str">
        <f t="shared" si="4"/>
        <v/>
      </c>
      <c r="F94" s="158" t="str">
        <f t="shared" si="5"/>
        <v/>
      </c>
      <c r="G94" s="158" t="str">
        <f t="shared" si="6"/>
        <v/>
      </c>
      <c r="H94" s="158" t="b">
        <f t="shared" si="7"/>
        <v>1</v>
      </c>
      <c r="I94" s="158">
        <f t="shared" si="8"/>
        <v>37</v>
      </c>
      <c r="J94" s="158">
        <f>IFERROR(__xludf.DUMMYFUNCTION("IF(O94,LET(w,IFERROR(MATCH(N94,UNIQUE(FILTER($N$44:$N$408,$O$44:$O$408=TRUE)),0),""""),IF(OR(w="""",w&gt;$B$6),"""",w)),"""")"),8.0)</f>
        <v>8</v>
      </c>
      <c r="K94" s="158" t="str">
        <f t="shared" si="9"/>
        <v>Term 1</v>
      </c>
      <c r="L94" s="158">
        <f t="shared" si="10"/>
        <v>8</v>
      </c>
      <c r="M94" s="159" t="b">
        <f t="shared" si="11"/>
        <v>0</v>
      </c>
      <c r="N94" s="160">
        <f t="shared" si="12"/>
        <v>46293</v>
      </c>
      <c r="O94" s="163" t="b">
        <f t="shared" si="13"/>
        <v>1</v>
      </c>
      <c r="Q94" s="163">
        <f t="shared" si="14"/>
        <v>0</v>
      </c>
    </row>
    <row r="95" ht="15.75" customHeight="1">
      <c r="A95" s="174">
        <f t="shared" si="15"/>
        <v>46295</v>
      </c>
      <c r="B95" s="176" t="str">
        <f t="shared" si="1"/>
        <v>Wednesday</v>
      </c>
      <c r="C95" s="158" t="b">
        <f t="shared" si="2"/>
        <v>1</v>
      </c>
      <c r="D95" s="158" t="str">
        <f t="shared" si="3"/>
        <v/>
      </c>
      <c r="E95" s="158" t="str">
        <f t="shared" si="4"/>
        <v/>
      </c>
      <c r="F95" s="158" t="str">
        <f t="shared" si="5"/>
        <v/>
      </c>
      <c r="G95" s="158" t="str">
        <f t="shared" si="6"/>
        <v/>
      </c>
      <c r="H95" s="158" t="b">
        <f t="shared" si="7"/>
        <v>1</v>
      </c>
      <c r="I95" s="158">
        <f t="shared" si="8"/>
        <v>38</v>
      </c>
      <c r="J95" s="158">
        <f>IFERROR(__xludf.DUMMYFUNCTION("IF(O95,LET(w,IFERROR(MATCH(N95,UNIQUE(FILTER($N$44:$N$408,$O$44:$O$408=TRUE)),0),""""),IF(OR(w="""",w&gt;$B$6),"""",w)),"""")"),8.0)</f>
        <v>8</v>
      </c>
      <c r="K95" s="158" t="str">
        <f t="shared" si="9"/>
        <v>Term 1</v>
      </c>
      <c r="L95" s="158">
        <f t="shared" si="10"/>
        <v>8</v>
      </c>
      <c r="M95" s="159" t="b">
        <f t="shared" si="11"/>
        <v>0</v>
      </c>
      <c r="N95" s="160">
        <f t="shared" si="12"/>
        <v>46293</v>
      </c>
      <c r="O95" s="163" t="b">
        <f t="shared" si="13"/>
        <v>1</v>
      </c>
      <c r="Q95" s="163">
        <f t="shared" si="14"/>
        <v>0</v>
      </c>
    </row>
    <row r="96" ht="15.75" customHeight="1">
      <c r="A96" s="174">
        <f t="shared" si="15"/>
        <v>46296</v>
      </c>
      <c r="B96" s="176" t="str">
        <f t="shared" si="1"/>
        <v>Thursday</v>
      </c>
      <c r="C96" s="158" t="b">
        <f t="shared" si="2"/>
        <v>1</v>
      </c>
      <c r="D96" s="158" t="str">
        <f t="shared" si="3"/>
        <v/>
      </c>
      <c r="E96" s="158" t="str">
        <f t="shared" si="4"/>
        <v/>
      </c>
      <c r="F96" s="158" t="str">
        <f t="shared" si="5"/>
        <v/>
      </c>
      <c r="G96" s="158" t="str">
        <f t="shared" si="6"/>
        <v/>
      </c>
      <c r="H96" s="158" t="b">
        <f t="shared" si="7"/>
        <v>1</v>
      </c>
      <c r="I96" s="158">
        <f t="shared" si="8"/>
        <v>39</v>
      </c>
      <c r="J96" s="158">
        <f>IFERROR(__xludf.DUMMYFUNCTION("IF(O96,LET(w,IFERROR(MATCH(N96,UNIQUE(FILTER($N$44:$N$408,$O$44:$O$408=TRUE)),0),""""),IF(OR(w="""",w&gt;$B$6),"""",w)),"""")"),8.0)</f>
        <v>8</v>
      </c>
      <c r="K96" s="158" t="str">
        <f t="shared" si="9"/>
        <v>Term 1</v>
      </c>
      <c r="L96" s="158">
        <f t="shared" si="10"/>
        <v>8</v>
      </c>
      <c r="M96" s="159" t="b">
        <f t="shared" si="11"/>
        <v>0</v>
      </c>
      <c r="N96" s="160">
        <f t="shared" si="12"/>
        <v>46293</v>
      </c>
      <c r="O96" s="163" t="b">
        <f t="shared" si="13"/>
        <v>1</v>
      </c>
      <c r="Q96" s="163">
        <f t="shared" si="14"/>
        <v>0</v>
      </c>
    </row>
    <row r="97" ht="15.75" customHeight="1">
      <c r="A97" s="174">
        <f t="shared" si="15"/>
        <v>46297</v>
      </c>
      <c r="B97" s="176" t="str">
        <f t="shared" si="1"/>
        <v>Friday</v>
      </c>
      <c r="C97" s="158" t="b">
        <f t="shared" si="2"/>
        <v>1</v>
      </c>
      <c r="D97" s="158" t="str">
        <f t="shared" si="3"/>
        <v/>
      </c>
      <c r="E97" s="158" t="str">
        <f t="shared" si="4"/>
        <v/>
      </c>
      <c r="F97" s="158" t="str">
        <f t="shared" si="5"/>
        <v/>
      </c>
      <c r="G97" s="158" t="str">
        <f t="shared" si="6"/>
        <v/>
      </c>
      <c r="H97" s="158" t="b">
        <f t="shared" si="7"/>
        <v>1</v>
      </c>
      <c r="I97" s="158">
        <f t="shared" si="8"/>
        <v>40</v>
      </c>
      <c r="J97" s="158">
        <f>IFERROR(__xludf.DUMMYFUNCTION("IF(O97,LET(w,IFERROR(MATCH(N97,UNIQUE(FILTER($N$44:$N$408,$O$44:$O$408=TRUE)),0),""""),IF(OR(w="""",w&gt;$B$6),"""",w)),"""")"),8.0)</f>
        <v>8</v>
      </c>
      <c r="K97" s="158" t="str">
        <f t="shared" si="9"/>
        <v>Term 1</v>
      </c>
      <c r="L97" s="158">
        <f t="shared" si="10"/>
        <v>8</v>
      </c>
      <c r="M97" s="159" t="b">
        <f t="shared" si="11"/>
        <v>0</v>
      </c>
      <c r="N97" s="160">
        <f t="shared" si="12"/>
        <v>46293</v>
      </c>
      <c r="O97" s="163" t="b">
        <f t="shared" si="13"/>
        <v>1</v>
      </c>
      <c r="Q97" s="163">
        <f t="shared" si="14"/>
        <v>0</v>
      </c>
    </row>
    <row r="98" ht="15.75" customHeight="1">
      <c r="A98" s="174">
        <f t="shared" si="15"/>
        <v>46298</v>
      </c>
      <c r="B98" s="176" t="str">
        <f t="shared" si="1"/>
        <v>Saturday</v>
      </c>
      <c r="C98" s="158" t="b">
        <f t="shared" si="2"/>
        <v>0</v>
      </c>
      <c r="D98" s="158" t="str">
        <f t="shared" si="3"/>
        <v/>
      </c>
      <c r="E98" s="158" t="str">
        <f t="shared" si="4"/>
        <v/>
      </c>
      <c r="F98" s="158" t="str">
        <f t="shared" si="5"/>
        <v/>
      </c>
      <c r="G98" s="158" t="str">
        <f t="shared" si="6"/>
        <v/>
      </c>
      <c r="H98" s="158" t="b">
        <f t="shared" si="7"/>
        <v>0</v>
      </c>
      <c r="I98" s="158" t="str">
        <f t="shared" si="8"/>
        <v/>
      </c>
      <c r="J98" s="158">
        <f>IFERROR(__xludf.DUMMYFUNCTION("IF(O98,LET(w,IFERROR(MATCH(N98,UNIQUE(FILTER($N$44:$N$408,$O$44:$O$408=TRUE)),0),""""),IF(OR(w="""",w&gt;$B$6),"""",w)),"""")"),8.0)</f>
        <v>8</v>
      </c>
      <c r="K98" s="158" t="str">
        <f t="shared" si="9"/>
        <v>Term 1</v>
      </c>
      <c r="L98" s="158">
        <f t="shared" si="10"/>
        <v>8</v>
      </c>
      <c r="M98" s="159" t="b">
        <f t="shared" si="11"/>
        <v>0</v>
      </c>
      <c r="N98" s="160">
        <f t="shared" si="12"/>
        <v>46293</v>
      </c>
      <c r="O98" s="163" t="b">
        <f t="shared" si="13"/>
        <v>1</v>
      </c>
      <c r="Q98" s="163">
        <f t="shared" si="14"/>
        <v>0</v>
      </c>
    </row>
    <row r="99" ht="15.75" customHeight="1">
      <c r="A99" s="174">
        <f t="shared" si="15"/>
        <v>46299</v>
      </c>
      <c r="B99" s="176" t="str">
        <f t="shared" si="1"/>
        <v>Sunday</v>
      </c>
      <c r="C99" s="158" t="b">
        <f t="shared" si="2"/>
        <v>0</v>
      </c>
      <c r="D99" s="158" t="str">
        <f t="shared" si="3"/>
        <v/>
      </c>
      <c r="E99" s="158" t="str">
        <f t="shared" si="4"/>
        <v/>
      </c>
      <c r="F99" s="158" t="str">
        <f t="shared" si="5"/>
        <v/>
      </c>
      <c r="G99" s="158" t="str">
        <f t="shared" si="6"/>
        <v/>
      </c>
      <c r="H99" s="158" t="b">
        <f t="shared" si="7"/>
        <v>0</v>
      </c>
      <c r="I99" s="158" t="str">
        <f t="shared" si="8"/>
        <v/>
      </c>
      <c r="J99" s="158">
        <f>IFERROR(__xludf.DUMMYFUNCTION("IF(O99,LET(w,IFERROR(MATCH(N99,UNIQUE(FILTER($N$44:$N$408,$O$44:$O$408=TRUE)),0),""""),IF(OR(w="""",w&gt;$B$6),"""",w)),"""")"),8.0)</f>
        <v>8</v>
      </c>
      <c r="K99" s="158" t="str">
        <f t="shared" si="9"/>
        <v>Term 1</v>
      </c>
      <c r="L99" s="158">
        <f t="shared" si="10"/>
        <v>8</v>
      </c>
      <c r="M99" s="159" t="b">
        <f t="shared" si="11"/>
        <v>0</v>
      </c>
      <c r="N99" s="160">
        <f t="shared" si="12"/>
        <v>46293</v>
      </c>
      <c r="O99" s="163" t="b">
        <f t="shared" si="13"/>
        <v>1</v>
      </c>
      <c r="Q99" s="163">
        <f t="shared" si="14"/>
        <v>0</v>
      </c>
    </row>
    <row r="100" ht="15.75" customHeight="1">
      <c r="A100" s="174">
        <f t="shared" si="15"/>
        <v>46300</v>
      </c>
      <c r="B100" s="176" t="str">
        <f t="shared" si="1"/>
        <v>Monday</v>
      </c>
      <c r="C100" s="158" t="b">
        <f t="shared" si="2"/>
        <v>1</v>
      </c>
      <c r="D100" s="158" t="str">
        <f t="shared" si="3"/>
        <v/>
      </c>
      <c r="E100" s="158" t="str">
        <f t="shared" si="4"/>
        <v/>
      </c>
      <c r="F100" s="158" t="str">
        <f t="shared" si="5"/>
        <v/>
      </c>
      <c r="G100" s="158" t="str">
        <f t="shared" si="6"/>
        <v/>
      </c>
      <c r="H100" s="158" t="b">
        <f t="shared" si="7"/>
        <v>1</v>
      </c>
      <c r="I100" s="158">
        <f t="shared" si="8"/>
        <v>41</v>
      </c>
      <c r="J100" s="158">
        <f>IFERROR(__xludf.DUMMYFUNCTION("IF(O100,LET(w,IFERROR(MATCH(N100,UNIQUE(FILTER($N$44:$N$408,$O$44:$O$408=TRUE)),0),""""),IF(OR(w="""",w&gt;$B$6),"""",w)),"""")"),9.0)</f>
        <v>9</v>
      </c>
      <c r="K100" s="158" t="str">
        <f t="shared" si="9"/>
        <v>Term 1</v>
      </c>
      <c r="L100" s="158">
        <f t="shared" si="10"/>
        <v>9</v>
      </c>
      <c r="M100" s="159" t="b">
        <f t="shared" si="11"/>
        <v>0</v>
      </c>
      <c r="N100" s="160">
        <f t="shared" si="12"/>
        <v>46300</v>
      </c>
      <c r="O100" s="163" t="b">
        <f t="shared" si="13"/>
        <v>1</v>
      </c>
      <c r="Q100" s="163">
        <f t="shared" si="14"/>
        <v>0</v>
      </c>
    </row>
    <row r="101" ht="15.75" customHeight="1">
      <c r="A101" s="174">
        <f t="shared" si="15"/>
        <v>46301</v>
      </c>
      <c r="B101" s="176" t="str">
        <f t="shared" si="1"/>
        <v>Tuesday</v>
      </c>
      <c r="C101" s="158" t="b">
        <f t="shared" si="2"/>
        <v>1</v>
      </c>
      <c r="D101" s="158" t="str">
        <f t="shared" si="3"/>
        <v/>
      </c>
      <c r="E101" s="158" t="str">
        <f t="shared" si="4"/>
        <v/>
      </c>
      <c r="F101" s="158" t="str">
        <f t="shared" si="5"/>
        <v/>
      </c>
      <c r="G101" s="158" t="str">
        <f t="shared" si="6"/>
        <v/>
      </c>
      <c r="H101" s="158" t="b">
        <f t="shared" si="7"/>
        <v>1</v>
      </c>
      <c r="I101" s="158">
        <f t="shared" si="8"/>
        <v>42</v>
      </c>
      <c r="J101" s="158">
        <f>IFERROR(__xludf.DUMMYFUNCTION("IF(O101,LET(w,IFERROR(MATCH(N101,UNIQUE(FILTER($N$44:$N$408,$O$44:$O$408=TRUE)),0),""""),IF(OR(w="""",w&gt;$B$6),"""",w)),"""")"),9.0)</f>
        <v>9</v>
      </c>
      <c r="K101" s="158" t="str">
        <f t="shared" si="9"/>
        <v>Term 1</v>
      </c>
      <c r="L101" s="158">
        <f t="shared" si="10"/>
        <v>9</v>
      </c>
      <c r="M101" s="159" t="b">
        <f t="shared" si="11"/>
        <v>0</v>
      </c>
      <c r="N101" s="160">
        <f t="shared" si="12"/>
        <v>46300</v>
      </c>
      <c r="O101" s="163" t="b">
        <f t="shared" si="13"/>
        <v>1</v>
      </c>
      <c r="Q101" s="163">
        <f t="shared" si="14"/>
        <v>0</v>
      </c>
    </row>
    <row r="102" ht="15.75" customHeight="1">
      <c r="A102" s="174">
        <f t="shared" si="15"/>
        <v>46302</v>
      </c>
      <c r="B102" s="176" t="str">
        <f t="shared" si="1"/>
        <v>Wednesday</v>
      </c>
      <c r="C102" s="158" t="b">
        <f t="shared" si="2"/>
        <v>1</v>
      </c>
      <c r="D102" s="158" t="str">
        <f t="shared" si="3"/>
        <v/>
      </c>
      <c r="E102" s="158" t="str">
        <f t="shared" si="4"/>
        <v/>
      </c>
      <c r="F102" s="158" t="str">
        <f t="shared" si="5"/>
        <v/>
      </c>
      <c r="G102" s="158" t="str">
        <f t="shared" si="6"/>
        <v/>
      </c>
      <c r="H102" s="158" t="b">
        <f t="shared" si="7"/>
        <v>1</v>
      </c>
      <c r="I102" s="158">
        <f t="shared" si="8"/>
        <v>43</v>
      </c>
      <c r="J102" s="158">
        <f>IFERROR(__xludf.DUMMYFUNCTION("IF(O102,LET(w,IFERROR(MATCH(N102,UNIQUE(FILTER($N$44:$N$408,$O$44:$O$408=TRUE)),0),""""),IF(OR(w="""",w&gt;$B$6),"""",w)),"""")"),9.0)</f>
        <v>9</v>
      </c>
      <c r="K102" s="158" t="str">
        <f t="shared" si="9"/>
        <v>Term 1</v>
      </c>
      <c r="L102" s="158">
        <f t="shared" si="10"/>
        <v>9</v>
      </c>
      <c r="M102" s="159" t="b">
        <f t="shared" si="11"/>
        <v>0</v>
      </c>
      <c r="N102" s="160">
        <f t="shared" si="12"/>
        <v>46300</v>
      </c>
      <c r="O102" s="163" t="b">
        <f t="shared" si="13"/>
        <v>1</v>
      </c>
      <c r="Q102" s="163">
        <f t="shared" si="14"/>
        <v>0</v>
      </c>
    </row>
    <row r="103" ht="15.75" customHeight="1">
      <c r="A103" s="174">
        <f t="shared" si="15"/>
        <v>46303</v>
      </c>
      <c r="B103" s="176" t="str">
        <f t="shared" si="1"/>
        <v>Thursday</v>
      </c>
      <c r="C103" s="158" t="b">
        <f t="shared" si="2"/>
        <v>1</v>
      </c>
      <c r="D103" s="158" t="str">
        <f t="shared" si="3"/>
        <v/>
      </c>
      <c r="E103" s="158" t="str">
        <f t="shared" si="4"/>
        <v/>
      </c>
      <c r="F103" s="158" t="str">
        <f t="shared" si="5"/>
        <v/>
      </c>
      <c r="G103" s="158" t="str">
        <f t="shared" si="6"/>
        <v/>
      </c>
      <c r="H103" s="158" t="b">
        <f t="shared" si="7"/>
        <v>1</v>
      </c>
      <c r="I103" s="158">
        <f t="shared" si="8"/>
        <v>44</v>
      </c>
      <c r="J103" s="158">
        <f>IFERROR(__xludf.DUMMYFUNCTION("IF(O103,LET(w,IFERROR(MATCH(N103,UNIQUE(FILTER($N$44:$N$408,$O$44:$O$408=TRUE)),0),""""),IF(OR(w="""",w&gt;$B$6),"""",w)),"""")"),9.0)</f>
        <v>9</v>
      </c>
      <c r="K103" s="158" t="str">
        <f t="shared" si="9"/>
        <v>Term 1</v>
      </c>
      <c r="L103" s="158">
        <f t="shared" si="10"/>
        <v>9</v>
      </c>
      <c r="M103" s="159" t="b">
        <f t="shared" si="11"/>
        <v>0</v>
      </c>
      <c r="N103" s="160">
        <f t="shared" si="12"/>
        <v>46300</v>
      </c>
      <c r="O103" s="163" t="b">
        <f t="shared" si="13"/>
        <v>1</v>
      </c>
      <c r="Q103" s="163">
        <f t="shared" si="14"/>
        <v>0</v>
      </c>
    </row>
    <row r="104" ht="15.75" customHeight="1">
      <c r="A104" s="174">
        <f t="shared" si="15"/>
        <v>46304</v>
      </c>
      <c r="B104" s="176" t="str">
        <f t="shared" si="1"/>
        <v>Friday</v>
      </c>
      <c r="C104" s="158" t="b">
        <f t="shared" si="2"/>
        <v>1</v>
      </c>
      <c r="D104" s="158" t="str">
        <f t="shared" si="3"/>
        <v/>
      </c>
      <c r="E104" s="158" t="str">
        <f t="shared" si="4"/>
        <v/>
      </c>
      <c r="F104" s="158" t="str">
        <f t="shared" si="5"/>
        <v/>
      </c>
      <c r="G104" s="158" t="str">
        <f t="shared" si="6"/>
        <v/>
      </c>
      <c r="H104" s="158" t="b">
        <f t="shared" si="7"/>
        <v>1</v>
      </c>
      <c r="I104" s="158">
        <f t="shared" si="8"/>
        <v>45</v>
      </c>
      <c r="J104" s="158">
        <f>IFERROR(__xludf.DUMMYFUNCTION("IF(O104,LET(w,IFERROR(MATCH(N104,UNIQUE(FILTER($N$44:$N$408,$O$44:$O$408=TRUE)),0),""""),IF(OR(w="""",w&gt;$B$6),"""",w)),"""")"),9.0)</f>
        <v>9</v>
      </c>
      <c r="K104" s="158" t="str">
        <f t="shared" si="9"/>
        <v>Term 1</v>
      </c>
      <c r="L104" s="158">
        <f t="shared" si="10"/>
        <v>9</v>
      </c>
      <c r="M104" s="159" t="b">
        <f t="shared" si="11"/>
        <v>0</v>
      </c>
      <c r="N104" s="160">
        <f t="shared" si="12"/>
        <v>46300</v>
      </c>
      <c r="O104" s="163" t="b">
        <f t="shared" si="13"/>
        <v>1</v>
      </c>
      <c r="Q104" s="163">
        <f t="shared" si="14"/>
        <v>0</v>
      </c>
    </row>
    <row r="105" ht="15.75" customHeight="1">
      <c r="A105" s="174">
        <f t="shared" si="15"/>
        <v>46305</v>
      </c>
      <c r="B105" s="176" t="str">
        <f t="shared" si="1"/>
        <v>Saturday</v>
      </c>
      <c r="C105" s="158" t="b">
        <f t="shared" si="2"/>
        <v>0</v>
      </c>
      <c r="D105" s="158" t="str">
        <f t="shared" si="3"/>
        <v/>
      </c>
      <c r="E105" s="158" t="str">
        <f t="shared" si="4"/>
        <v/>
      </c>
      <c r="F105" s="158" t="str">
        <f t="shared" si="5"/>
        <v/>
      </c>
      <c r="G105" s="158" t="str">
        <f t="shared" si="6"/>
        <v/>
      </c>
      <c r="H105" s="158" t="b">
        <f t="shared" si="7"/>
        <v>0</v>
      </c>
      <c r="I105" s="158" t="str">
        <f t="shared" si="8"/>
        <v/>
      </c>
      <c r="J105" s="158">
        <f>IFERROR(__xludf.DUMMYFUNCTION("IF(O105,LET(w,IFERROR(MATCH(N105,UNIQUE(FILTER($N$44:$N$408,$O$44:$O$408=TRUE)),0),""""),IF(OR(w="""",w&gt;$B$6),"""",w)),"""")"),9.0)</f>
        <v>9</v>
      </c>
      <c r="K105" s="158" t="str">
        <f t="shared" si="9"/>
        <v>Term 1</v>
      </c>
      <c r="L105" s="158">
        <f t="shared" si="10"/>
        <v>9</v>
      </c>
      <c r="M105" s="159" t="b">
        <f t="shared" si="11"/>
        <v>0</v>
      </c>
      <c r="N105" s="160">
        <f t="shared" si="12"/>
        <v>46300</v>
      </c>
      <c r="O105" s="163" t="b">
        <f t="shared" si="13"/>
        <v>1</v>
      </c>
      <c r="Q105" s="163">
        <f t="shared" si="14"/>
        <v>0</v>
      </c>
    </row>
    <row r="106" ht="15.75" customHeight="1">
      <c r="A106" s="174">
        <f t="shared" si="15"/>
        <v>46306</v>
      </c>
      <c r="B106" s="176" t="str">
        <f t="shared" si="1"/>
        <v>Sunday</v>
      </c>
      <c r="C106" s="158" t="b">
        <f t="shared" si="2"/>
        <v>0</v>
      </c>
      <c r="D106" s="158" t="str">
        <f t="shared" si="3"/>
        <v/>
      </c>
      <c r="E106" s="158" t="str">
        <f t="shared" si="4"/>
        <v/>
      </c>
      <c r="F106" s="158" t="str">
        <f t="shared" si="5"/>
        <v/>
      </c>
      <c r="G106" s="158" t="str">
        <f t="shared" si="6"/>
        <v/>
      </c>
      <c r="H106" s="158" t="b">
        <f t="shared" si="7"/>
        <v>0</v>
      </c>
      <c r="I106" s="158" t="str">
        <f t="shared" si="8"/>
        <v/>
      </c>
      <c r="J106" s="158">
        <f>IFERROR(__xludf.DUMMYFUNCTION("IF(O106,LET(w,IFERROR(MATCH(N106,UNIQUE(FILTER($N$44:$N$408,$O$44:$O$408=TRUE)),0),""""),IF(OR(w="""",w&gt;$B$6),"""",w)),"""")"),9.0)</f>
        <v>9</v>
      </c>
      <c r="K106" s="158" t="str">
        <f t="shared" si="9"/>
        <v>Term 1</v>
      </c>
      <c r="L106" s="158">
        <f t="shared" si="10"/>
        <v>9</v>
      </c>
      <c r="M106" s="159" t="b">
        <f t="shared" si="11"/>
        <v>0</v>
      </c>
      <c r="N106" s="160">
        <f t="shared" si="12"/>
        <v>46300</v>
      </c>
      <c r="O106" s="163" t="b">
        <f t="shared" si="13"/>
        <v>1</v>
      </c>
      <c r="Q106" s="163">
        <f t="shared" si="14"/>
        <v>0</v>
      </c>
    </row>
    <row r="107" ht="15.75" customHeight="1">
      <c r="A107" s="174">
        <f t="shared" si="15"/>
        <v>46307</v>
      </c>
      <c r="B107" s="176" t="str">
        <f t="shared" si="1"/>
        <v>Monday</v>
      </c>
      <c r="C107" s="158" t="b">
        <f t="shared" si="2"/>
        <v>1</v>
      </c>
      <c r="D107" s="158" t="str">
        <f t="shared" si="3"/>
        <v/>
      </c>
      <c r="E107" s="158" t="str">
        <f t="shared" si="4"/>
        <v/>
      </c>
      <c r="F107" s="158" t="str">
        <f t="shared" si="5"/>
        <v/>
      </c>
      <c r="G107" s="158" t="str">
        <f t="shared" si="6"/>
        <v/>
      </c>
      <c r="H107" s="158" t="b">
        <f t="shared" si="7"/>
        <v>1</v>
      </c>
      <c r="I107" s="158">
        <f t="shared" si="8"/>
        <v>46</v>
      </c>
      <c r="J107" s="158">
        <f>IFERROR(__xludf.DUMMYFUNCTION("IF(O107,LET(w,IFERROR(MATCH(N107,UNIQUE(FILTER($N$44:$N$408,$O$44:$O$408=TRUE)),0),""""),IF(OR(w="""",w&gt;$B$6),"""",w)),"""")"),10.0)</f>
        <v>10</v>
      </c>
      <c r="K107" s="158" t="str">
        <f t="shared" si="9"/>
        <v>Term 1</v>
      </c>
      <c r="L107" s="158">
        <f t="shared" si="10"/>
        <v>10</v>
      </c>
      <c r="M107" s="159" t="b">
        <f t="shared" si="11"/>
        <v>0</v>
      </c>
      <c r="N107" s="160">
        <f t="shared" si="12"/>
        <v>46307</v>
      </c>
      <c r="O107" s="163" t="b">
        <f t="shared" si="13"/>
        <v>1</v>
      </c>
      <c r="Q107" s="163">
        <f t="shared" si="14"/>
        <v>0</v>
      </c>
    </row>
    <row r="108" ht="15.75" customHeight="1">
      <c r="A108" s="174">
        <f t="shared" si="15"/>
        <v>46308</v>
      </c>
      <c r="B108" s="176" t="str">
        <f t="shared" si="1"/>
        <v>Tuesday</v>
      </c>
      <c r="C108" s="158" t="b">
        <f t="shared" si="2"/>
        <v>1</v>
      </c>
      <c r="D108" s="158" t="str">
        <f t="shared" si="3"/>
        <v/>
      </c>
      <c r="E108" s="158" t="str">
        <f t="shared" si="4"/>
        <v/>
      </c>
      <c r="F108" s="158" t="str">
        <f t="shared" si="5"/>
        <v/>
      </c>
      <c r="G108" s="158" t="str">
        <f t="shared" si="6"/>
        <v/>
      </c>
      <c r="H108" s="158" t="b">
        <f t="shared" si="7"/>
        <v>1</v>
      </c>
      <c r="I108" s="158">
        <f t="shared" si="8"/>
        <v>47</v>
      </c>
      <c r="J108" s="158">
        <f>IFERROR(__xludf.DUMMYFUNCTION("IF(O108,LET(w,IFERROR(MATCH(N108,UNIQUE(FILTER($N$44:$N$408,$O$44:$O$408=TRUE)),0),""""),IF(OR(w="""",w&gt;$B$6),"""",w)),"""")"),10.0)</f>
        <v>10</v>
      </c>
      <c r="K108" s="158" t="str">
        <f t="shared" si="9"/>
        <v>Term 1</v>
      </c>
      <c r="L108" s="158">
        <f t="shared" si="10"/>
        <v>10</v>
      </c>
      <c r="M108" s="159" t="b">
        <f t="shared" si="11"/>
        <v>0</v>
      </c>
      <c r="N108" s="160">
        <f t="shared" si="12"/>
        <v>46307</v>
      </c>
      <c r="O108" s="163" t="b">
        <f t="shared" si="13"/>
        <v>1</v>
      </c>
      <c r="Q108" s="163">
        <f t="shared" si="14"/>
        <v>0</v>
      </c>
    </row>
    <row r="109" ht="15.75" customHeight="1">
      <c r="A109" s="174">
        <f t="shared" si="15"/>
        <v>46309</v>
      </c>
      <c r="B109" s="176" t="str">
        <f t="shared" si="1"/>
        <v>Wednesday</v>
      </c>
      <c r="C109" s="158" t="b">
        <f t="shared" si="2"/>
        <v>1</v>
      </c>
      <c r="D109" s="158" t="str">
        <f t="shared" si="3"/>
        <v/>
      </c>
      <c r="E109" s="158" t="str">
        <f t="shared" si="4"/>
        <v/>
      </c>
      <c r="F109" s="158" t="str">
        <f t="shared" si="5"/>
        <v/>
      </c>
      <c r="G109" s="158" t="str">
        <f t="shared" si="6"/>
        <v/>
      </c>
      <c r="H109" s="158" t="b">
        <f t="shared" si="7"/>
        <v>1</v>
      </c>
      <c r="I109" s="158">
        <f t="shared" si="8"/>
        <v>48</v>
      </c>
      <c r="J109" s="158">
        <f>IFERROR(__xludf.DUMMYFUNCTION("IF(O109,LET(w,IFERROR(MATCH(N109,UNIQUE(FILTER($N$44:$N$408,$O$44:$O$408=TRUE)),0),""""),IF(OR(w="""",w&gt;$B$6),"""",w)),"""")"),10.0)</f>
        <v>10</v>
      </c>
      <c r="K109" s="158" t="str">
        <f t="shared" si="9"/>
        <v>Term 1</v>
      </c>
      <c r="L109" s="158">
        <f t="shared" si="10"/>
        <v>10</v>
      </c>
      <c r="M109" s="159" t="b">
        <f t="shared" si="11"/>
        <v>0</v>
      </c>
      <c r="N109" s="160">
        <f t="shared" si="12"/>
        <v>46307</v>
      </c>
      <c r="O109" s="163" t="b">
        <f t="shared" si="13"/>
        <v>1</v>
      </c>
      <c r="Q109" s="163">
        <f t="shared" si="14"/>
        <v>0</v>
      </c>
    </row>
    <row r="110" ht="15.75" customHeight="1">
      <c r="A110" s="174">
        <f t="shared" si="15"/>
        <v>46310</v>
      </c>
      <c r="B110" s="176" t="str">
        <f t="shared" si="1"/>
        <v>Thursday</v>
      </c>
      <c r="C110" s="158" t="b">
        <f t="shared" si="2"/>
        <v>1</v>
      </c>
      <c r="D110" s="158" t="str">
        <f t="shared" si="3"/>
        <v/>
      </c>
      <c r="E110" s="158" t="str">
        <f t="shared" si="4"/>
        <v/>
      </c>
      <c r="F110" s="158" t="str">
        <f t="shared" si="5"/>
        <v/>
      </c>
      <c r="G110" s="158" t="str">
        <f t="shared" si="6"/>
        <v/>
      </c>
      <c r="H110" s="158" t="b">
        <f t="shared" si="7"/>
        <v>1</v>
      </c>
      <c r="I110" s="158">
        <f t="shared" si="8"/>
        <v>49</v>
      </c>
      <c r="J110" s="158">
        <f>IFERROR(__xludf.DUMMYFUNCTION("IF(O110,LET(w,IFERROR(MATCH(N110,UNIQUE(FILTER($N$44:$N$408,$O$44:$O$408=TRUE)),0),""""),IF(OR(w="""",w&gt;$B$6),"""",w)),"""")"),10.0)</f>
        <v>10</v>
      </c>
      <c r="K110" s="158" t="str">
        <f t="shared" si="9"/>
        <v>Term 1</v>
      </c>
      <c r="L110" s="158">
        <f t="shared" si="10"/>
        <v>10</v>
      </c>
      <c r="M110" s="159" t="b">
        <f t="shared" si="11"/>
        <v>0</v>
      </c>
      <c r="N110" s="160">
        <f t="shared" si="12"/>
        <v>46307</v>
      </c>
      <c r="O110" s="163" t="b">
        <f t="shared" si="13"/>
        <v>1</v>
      </c>
      <c r="Q110" s="163">
        <f t="shared" si="14"/>
        <v>0</v>
      </c>
    </row>
    <row r="111" ht="15.75" customHeight="1">
      <c r="A111" s="174">
        <f t="shared" si="15"/>
        <v>46311</v>
      </c>
      <c r="B111" s="176" t="str">
        <f t="shared" si="1"/>
        <v>Friday</v>
      </c>
      <c r="C111" s="158" t="b">
        <f t="shared" si="2"/>
        <v>1</v>
      </c>
      <c r="D111" s="158" t="str">
        <f t="shared" si="3"/>
        <v/>
      </c>
      <c r="E111" s="158" t="str">
        <f t="shared" si="4"/>
        <v/>
      </c>
      <c r="F111" s="158" t="str">
        <f t="shared" si="5"/>
        <v/>
      </c>
      <c r="G111" s="158" t="str">
        <f t="shared" si="6"/>
        <v/>
      </c>
      <c r="H111" s="158" t="b">
        <f t="shared" si="7"/>
        <v>1</v>
      </c>
      <c r="I111" s="158">
        <f t="shared" si="8"/>
        <v>50</v>
      </c>
      <c r="J111" s="158">
        <f>IFERROR(__xludf.DUMMYFUNCTION("IF(O111,LET(w,IFERROR(MATCH(N111,UNIQUE(FILTER($N$44:$N$408,$O$44:$O$408=TRUE)),0),""""),IF(OR(w="""",w&gt;$B$6),"""",w)),"""")"),10.0)</f>
        <v>10</v>
      </c>
      <c r="K111" s="158" t="str">
        <f t="shared" si="9"/>
        <v>Term 1</v>
      </c>
      <c r="L111" s="158">
        <f t="shared" si="10"/>
        <v>10</v>
      </c>
      <c r="M111" s="159" t="b">
        <f t="shared" si="11"/>
        <v>0</v>
      </c>
      <c r="N111" s="160">
        <f t="shared" si="12"/>
        <v>46307</v>
      </c>
      <c r="O111" s="163" t="b">
        <f t="shared" si="13"/>
        <v>1</v>
      </c>
      <c r="Q111" s="163">
        <f t="shared" si="14"/>
        <v>0</v>
      </c>
    </row>
    <row r="112" ht="15.75" customHeight="1">
      <c r="A112" s="174">
        <f t="shared" si="15"/>
        <v>46312</v>
      </c>
      <c r="B112" s="176" t="str">
        <f t="shared" si="1"/>
        <v>Saturday</v>
      </c>
      <c r="C112" s="158" t="b">
        <f t="shared" si="2"/>
        <v>0</v>
      </c>
      <c r="D112" s="158" t="str">
        <f t="shared" si="3"/>
        <v/>
      </c>
      <c r="E112" s="158" t="str">
        <f t="shared" si="4"/>
        <v/>
      </c>
      <c r="F112" s="158" t="str">
        <f t="shared" si="5"/>
        <v/>
      </c>
      <c r="G112" s="158" t="str">
        <f t="shared" si="6"/>
        <v/>
      </c>
      <c r="H112" s="158" t="b">
        <f t="shared" si="7"/>
        <v>0</v>
      </c>
      <c r="I112" s="158" t="str">
        <f t="shared" si="8"/>
        <v/>
      </c>
      <c r="J112" s="158">
        <f>IFERROR(__xludf.DUMMYFUNCTION("IF(O112,LET(w,IFERROR(MATCH(N112,UNIQUE(FILTER($N$44:$N$408,$O$44:$O$408=TRUE)),0),""""),IF(OR(w="""",w&gt;$B$6),"""",w)),"""")"),10.0)</f>
        <v>10</v>
      </c>
      <c r="K112" s="158" t="str">
        <f t="shared" si="9"/>
        <v>Term 1</v>
      </c>
      <c r="L112" s="158">
        <f t="shared" si="10"/>
        <v>10</v>
      </c>
      <c r="M112" s="159" t="b">
        <f t="shared" si="11"/>
        <v>0</v>
      </c>
      <c r="N112" s="160">
        <f t="shared" si="12"/>
        <v>46307</v>
      </c>
      <c r="O112" s="163" t="b">
        <f t="shared" si="13"/>
        <v>1</v>
      </c>
      <c r="Q112" s="163">
        <f t="shared" si="14"/>
        <v>0</v>
      </c>
    </row>
    <row r="113" ht="15.75" customHeight="1">
      <c r="A113" s="174">
        <f t="shared" si="15"/>
        <v>46313</v>
      </c>
      <c r="B113" s="176" t="str">
        <f t="shared" si="1"/>
        <v>Sunday</v>
      </c>
      <c r="C113" s="158" t="b">
        <f t="shared" si="2"/>
        <v>0</v>
      </c>
      <c r="D113" s="158" t="str">
        <f t="shared" si="3"/>
        <v/>
      </c>
      <c r="E113" s="158" t="str">
        <f t="shared" si="4"/>
        <v/>
      </c>
      <c r="F113" s="158" t="str">
        <f t="shared" si="5"/>
        <v/>
      </c>
      <c r="G113" s="158" t="str">
        <f t="shared" si="6"/>
        <v/>
      </c>
      <c r="H113" s="158" t="b">
        <f t="shared" si="7"/>
        <v>0</v>
      </c>
      <c r="I113" s="158" t="str">
        <f t="shared" si="8"/>
        <v/>
      </c>
      <c r="J113" s="158">
        <f>IFERROR(__xludf.DUMMYFUNCTION("IF(O113,LET(w,IFERROR(MATCH(N113,UNIQUE(FILTER($N$44:$N$408,$O$44:$O$408=TRUE)),0),""""),IF(OR(w="""",w&gt;$B$6),"""",w)),"""")"),10.0)</f>
        <v>10</v>
      </c>
      <c r="K113" s="158" t="str">
        <f t="shared" si="9"/>
        <v>Term 1</v>
      </c>
      <c r="L113" s="158">
        <f t="shared" si="10"/>
        <v>10</v>
      </c>
      <c r="M113" s="159" t="b">
        <f t="shared" si="11"/>
        <v>0</v>
      </c>
      <c r="N113" s="160">
        <f t="shared" si="12"/>
        <v>46307</v>
      </c>
      <c r="O113" s="163" t="b">
        <f t="shared" si="13"/>
        <v>1</v>
      </c>
      <c r="Q113" s="163">
        <f t="shared" si="14"/>
        <v>0</v>
      </c>
    </row>
    <row r="114" ht="15.75" customHeight="1">
      <c r="A114" s="174">
        <f t="shared" si="15"/>
        <v>46314</v>
      </c>
      <c r="B114" s="176" t="str">
        <f t="shared" si="1"/>
        <v>Monday</v>
      </c>
      <c r="C114" s="158" t="b">
        <f t="shared" si="2"/>
        <v>1</v>
      </c>
      <c r="D114" s="158" t="str">
        <f t="shared" si="3"/>
        <v/>
      </c>
      <c r="E114" s="158" t="str">
        <f t="shared" si="4"/>
        <v/>
      </c>
      <c r="F114" s="158" t="str">
        <f t="shared" si="5"/>
        <v/>
      </c>
      <c r="G114" s="158" t="str">
        <f t="shared" si="6"/>
        <v/>
      </c>
      <c r="H114" s="158" t="b">
        <f t="shared" si="7"/>
        <v>1</v>
      </c>
      <c r="I114" s="158">
        <f t="shared" si="8"/>
        <v>51</v>
      </c>
      <c r="J114" s="158">
        <f>IFERROR(__xludf.DUMMYFUNCTION("IF(O114,LET(w,IFERROR(MATCH(N114,UNIQUE(FILTER($N$44:$N$408,$O$44:$O$408=TRUE)),0),""""),IF(OR(w="""",w&gt;$B$6),"""",w)),"""")"),11.0)</f>
        <v>11</v>
      </c>
      <c r="K114" s="158" t="str">
        <f t="shared" si="9"/>
        <v>Term 1</v>
      </c>
      <c r="L114" s="158">
        <f t="shared" si="10"/>
        <v>11</v>
      </c>
      <c r="M114" s="159" t="b">
        <f t="shared" si="11"/>
        <v>0</v>
      </c>
      <c r="N114" s="160">
        <f t="shared" si="12"/>
        <v>46314</v>
      </c>
      <c r="O114" s="163" t="b">
        <f t="shared" si="13"/>
        <v>1</v>
      </c>
      <c r="Q114" s="163">
        <f t="shared" si="14"/>
        <v>0</v>
      </c>
    </row>
    <row r="115" ht="15.75" customHeight="1">
      <c r="A115" s="174">
        <f t="shared" si="15"/>
        <v>46315</v>
      </c>
      <c r="B115" s="176" t="str">
        <f t="shared" si="1"/>
        <v>Tuesday</v>
      </c>
      <c r="C115" s="158" t="b">
        <f t="shared" si="2"/>
        <v>1</v>
      </c>
      <c r="D115" s="158" t="str">
        <f t="shared" si="3"/>
        <v/>
      </c>
      <c r="E115" s="158" t="str">
        <f t="shared" si="4"/>
        <v/>
      </c>
      <c r="F115" s="158" t="str">
        <f t="shared" si="5"/>
        <v/>
      </c>
      <c r="G115" s="158" t="str">
        <f t="shared" si="6"/>
        <v/>
      </c>
      <c r="H115" s="158" t="b">
        <f t="shared" si="7"/>
        <v>1</v>
      </c>
      <c r="I115" s="158">
        <f t="shared" si="8"/>
        <v>52</v>
      </c>
      <c r="J115" s="158">
        <f>IFERROR(__xludf.DUMMYFUNCTION("IF(O115,LET(w,IFERROR(MATCH(N115,UNIQUE(FILTER($N$44:$N$408,$O$44:$O$408=TRUE)),0),""""),IF(OR(w="""",w&gt;$B$6),"""",w)),"""")"),11.0)</f>
        <v>11</v>
      </c>
      <c r="K115" s="158" t="str">
        <f t="shared" si="9"/>
        <v>Term 1</v>
      </c>
      <c r="L115" s="158">
        <f t="shared" si="10"/>
        <v>11</v>
      </c>
      <c r="M115" s="159" t="b">
        <f t="shared" si="11"/>
        <v>0</v>
      </c>
      <c r="N115" s="160">
        <f t="shared" si="12"/>
        <v>46314</v>
      </c>
      <c r="O115" s="163" t="b">
        <f t="shared" si="13"/>
        <v>1</v>
      </c>
      <c r="Q115" s="163">
        <f t="shared" si="14"/>
        <v>0</v>
      </c>
    </row>
    <row r="116" ht="15.75" customHeight="1">
      <c r="A116" s="174">
        <f t="shared" si="15"/>
        <v>46316</v>
      </c>
      <c r="B116" s="176" t="str">
        <f t="shared" si="1"/>
        <v>Wednesday</v>
      </c>
      <c r="C116" s="158" t="b">
        <f t="shared" si="2"/>
        <v>1</v>
      </c>
      <c r="D116" s="158" t="str">
        <f t="shared" si="3"/>
        <v/>
      </c>
      <c r="E116" s="158" t="str">
        <f t="shared" si="4"/>
        <v/>
      </c>
      <c r="F116" s="158" t="str">
        <f t="shared" si="5"/>
        <v/>
      </c>
      <c r="G116" s="158" t="str">
        <f t="shared" si="6"/>
        <v/>
      </c>
      <c r="H116" s="158" t="b">
        <f t="shared" si="7"/>
        <v>1</v>
      </c>
      <c r="I116" s="158">
        <f t="shared" si="8"/>
        <v>53</v>
      </c>
      <c r="J116" s="158">
        <f>IFERROR(__xludf.DUMMYFUNCTION("IF(O116,LET(w,IFERROR(MATCH(N116,UNIQUE(FILTER($N$44:$N$408,$O$44:$O$408=TRUE)),0),""""),IF(OR(w="""",w&gt;$B$6),"""",w)),"""")"),11.0)</f>
        <v>11</v>
      </c>
      <c r="K116" s="158" t="str">
        <f t="shared" si="9"/>
        <v>Term 1</v>
      </c>
      <c r="L116" s="158">
        <f t="shared" si="10"/>
        <v>11</v>
      </c>
      <c r="M116" s="159" t="b">
        <f t="shared" si="11"/>
        <v>0</v>
      </c>
      <c r="N116" s="160">
        <f t="shared" si="12"/>
        <v>46314</v>
      </c>
      <c r="O116" s="163" t="b">
        <f t="shared" si="13"/>
        <v>1</v>
      </c>
      <c r="Q116" s="163">
        <f t="shared" si="14"/>
        <v>0</v>
      </c>
    </row>
    <row r="117" ht="15.75" customHeight="1">
      <c r="A117" s="174">
        <f t="shared" si="15"/>
        <v>46317</v>
      </c>
      <c r="B117" s="176" t="str">
        <f t="shared" si="1"/>
        <v>Thursday</v>
      </c>
      <c r="C117" s="158" t="b">
        <f t="shared" si="2"/>
        <v>1</v>
      </c>
      <c r="D117" s="158" t="str">
        <f t="shared" si="3"/>
        <v/>
      </c>
      <c r="E117" s="158" t="str">
        <f t="shared" si="4"/>
        <v/>
      </c>
      <c r="F117" s="158" t="str">
        <f t="shared" si="5"/>
        <v/>
      </c>
      <c r="G117" s="158" t="str">
        <f t="shared" si="6"/>
        <v/>
      </c>
      <c r="H117" s="158" t="b">
        <f t="shared" si="7"/>
        <v>1</v>
      </c>
      <c r="I117" s="158">
        <f t="shared" si="8"/>
        <v>54</v>
      </c>
      <c r="J117" s="158">
        <f>IFERROR(__xludf.DUMMYFUNCTION("IF(O117,LET(w,IFERROR(MATCH(N117,UNIQUE(FILTER($N$44:$N$408,$O$44:$O$408=TRUE)),0),""""),IF(OR(w="""",w&gt;$B$6),"""",w)),"""")"),11.0)</f>
        <v>11</v>
      </c>
      <c r="K117" s="158" t="str">
        <f t="shared" si="9"/>
        <v>Term 1</v>
      </c>
      <c r="L117" s="158">
        <f t="shared" si="10"/>
        <v>11</v>
      </c>
      <c r="M117" s="159" t="b">
        <f t="shared" si="11"/>
        <v>0</v>
      </c>
      <c r="N117" s="160">
        <f t="shared" si="12"/>
        <v>46314</v>
      </c>
      <c r="O117" s="163" t="b">
        <f t="shared" si="13"/>
        <v>1</v>
      </c>
      <c r="Q117" s="163">
        <f t="shared" si="14"/>
        <v>0</v>
      </c>
    </row>
    <row r="118" ht="15.75" customHeight="1">
      <c r="A118" s="174">
        <f t="shared" si="15"/>
        <v>46318</v>
      </c>
      <c r="B118" s="176" t="str">
        <f t="shared" si="1"/>
        <v>Friday</v>
      </c>
      <c r="C118" s="158" t="b">
        <f t="shared" si="2"/>
        <v>1</v>
      </c>
      <c r="D118" s="158" t="str">
        <f t="shared" si="3"/>
        <v/>
      </c>
      <c r="E118" s="158" t="str">
        <f t="shared" si="4"/>
        <v/>
      </c>
      <c r="F118" s="158" t="str">
        <f t="shared" si="5"/>
        <v/>
      </c>
      <c r="G118" s="158" t="str">
        <f t="shared" si="6"/>
        <v/>
      </c>
      <c r="H118" s="158" t="b">
        <f t="shared" si="7"/>
        <v>1</v>
      </c>
      <c r="I118" s="158">
        <f t="shared" si="8"/>
        <v>55</v>
      </c>
      <c r="J118" s="158">
        <f>IFERROR(__xludf.DUMMYFUNCTION("IF(O118,LET(w,IFERROR(MATCH(N118,UNIQUE(FILTER($N$44:$N$408,$O$44:$O$408=TRUE)),0),""""),IF(OR(w="""",w&gt;$B$6),"""",w)),"""")"),11.0)</f>
        <v>11</v>
      </c>
      <c r="K118" s="158" t="str">
        <f t="shared" si="9"/>
        <v>Term 1</v>
      </c>
      <c r="L118" s="158">
        <f t="shared" si="10"/>
        <v>11</v>
      </c>
      <c r="M118" s="159" t="b">
        <f t="shared" si="11"/>
        <v>0</v>
      </c>
      <c r="N118" s="160">
        <f t="shared" si="12"/>
        <v>46314</v>
      </c>
      <c r="O118" s="163" t="b">
        <f t="shared" si="13"/>
        <v>1</v>
      </c>
      <c r="Q118" s="163">
        <f t="shared" si="14"/>
        <v>0</v>
      </c>
    </row>
    <row r="119" ht="15.75" customHeight="1">
      <c r="A119" s="174">
        <f t="shared" si="15"/>
        <v>46319</v>
      </c>
      <c r="B119" s="176" t="str">
        <f t="shared" si="1"/>
        <v>Saturday</v>
      </c>
      <c r="C119" s="158" t="b">
        <f t="shared" si="2"/>
        <v>0</v>
      </c>
      <c r="D119" s="158" t="str">
        <f t="shared" si="3"/>
        <v/>
      </c>
      <c r="E119" s="158" t="str">
        <f t="shared" si="4"/>
        <v/>
      </c>
      <c r="F119" s="158" t="str">
        <f t="shared" si="5"/>
        <v/>
      </c>
      <c r="G119" s="158" t="str">
        <f t="shared" si="6"/>
        <v/>
      </c>
      <c r="H119" s="158" t="b">
        <f t="shared" si="7"/>
        <v>0</v>
      </c>
      <c r="I119" s="158" t="str">
        <f t="shared" si="8"/>
        <v/>
      </c>
      <c r="J119" s="158">
        <f>IFERROR(__xludf.DUMMYFUNCTION("IF(O119,LET(w,IFERROR(MATCH(N119,UNIQUE(FILTER($N$44:$N$408,$O$44:$O$408=TRUE)),0),""""),IF(OR(w="""",w&gt;$B$6),"""",w)),"""")"),11.0)</f>
        <v>11</v>
      </c>
      <c r="K119" s="158" t="str">
        <f t="shared" si="9"/>
        <v>Term 1</v>
      </c>
      <c r="L119" s="158">
        <f t="shared" si="10"/>
        <v>11</v>
      </c>
      <c r="M119" s="159" t="b">
        <f t="shared" si="11"/>
        <v>0</v>
      </c>
      <c r="N119" s="160">
        <f t="shared" si="12"/>
        <v>46314</v>
      </c>
      <c r="O119" s="163" t="b">
        <f t="shared" si="13"/>
        <v>1</v>
      </c>
      <c r="Q119" s="163">
        <f t="shared" si="14"/>
        <v>0</v>
      </c>
    </row>
    <row r="120" ht="15.75" customHeight="1">
      <c r="A120" s="174">
        <f t="shared" si="15"/>
        <v>46320</v>
      </c>
      <c r="B120" s="176" t="str">
        <f t="shared" si="1"/>
        <v>Sunday</v>
      </c>
      <c r="C120" s="158" t="b">
        <f t="shared" si="2"/>
        <v>0</v>
      </c>
      <c r="D120" s="158" t="str">
        <f t="shared" si="3"/>
        <v/>
      </c>
      <c r="E120" s="158" t="str">
        <f t="shared" si="4"/>
        <v/>
      </c>
      <c r="F120" s="158" t="str">
        <f t="shared" si="5"/>
        <v/>
      </c>
      <c r="G120" s="158" t="str">
        <f t="shared" si="6"/>
        <v/>
      </c>
      <c r="H120" s="158" t="b">
        <f t="shared" si="7"/>
        <v>0</v>
      </c>
      <c r="I120" s="158" t="str">
        <f t="shared" si="8"/>
        <v/>
      </c>
      <c r="J120" s="158">
        <f>IFERROR(__xludf.DUMMYFUNCTION("IF(O120,LET(w,IFERROR(MATCH(N120,UNIQUE(FILTER($N$44:$N$408,$O$44:$O$408=TRUE)),0),""""),IF(OR(w="""",w&gt;$B$6),"""",w)),"""")"),11.0)</f>
        <v>11</v>
      </c>
      <c r="K120" s="158" t="str">
        <f t="shared" si="9"/>
        <v>Term 1</v>
      </c>
      <c r="L120" s="158">
        <f t="shared" si="10"/>
        <v>11</v>
      </c>
      <c r="M120" s="159" t="b">
        <f t="shared" si="11"/>
        <v>0</v>
      </c>
      <c r="N120" s="160">
        <f t="shared" si="12"/>
        <v>46314</v>
      </c>
      <c r="O120" s="163" t="b">
        <f t="shared" si="13"/>
        <v>1</v>
      </c>
      <c r="Q120" s="163">
        <f t="shared" si="14"/>
        <v>0</v>
      </c>
    </row>
    <row r="121" ht="15.75" customHeight="1">
      <c r="A121" s="174">
        <f t="shared" si="15"/>
        <v>46321</v>
      </c>
      <c r="B121" s="176" t="str">
        <f t="shared" si="1"/>
        <v>Monday</v>
      </c>
      <c r="C121" s="158" t="b">
        <f t="shared" si="2"/>
        <v>1</v>
      </c>
      <c r="D121" s="158" t="str">
        <f t="shared" si="3"/>
        <v/>
      </c>
      <c r="E121" s="158" t="str">
        <f t="shared" si="4"/>
        <v/>
      </c>
      <c r="F121" s="158" t="str">
        <f t="shared" si="5"/>
        <v/>
      </c>
      <c r="G121" s="158" t="str">
        <f t="shared" si="6"/>
        <v/>
      </c>
      <c r="H121" s="158" t="b">
        <f t="shared" si="7"/>
        <v>1</v>
      </c>
      <c r="I121" s="158">
        <f t="shared" si="8"/>
        <v>56</v>
      </c>
      <c r="J121" s="158">
        <f>IFERROR(__xludf.DUMMYFUNCTION("IF(O121,LET(w,IFERROR(MATCH(N121,UNIQUE(FILTER($N$44:$N$408,$O$44:$O$408=TRUE)),0),""""),IF(OR(w="""",w&gt;$B$6),"""",w)),"""")"),12.0)</f>
        <v>12</v>
      </c>
      <c r="K121" s="158" t="str">
        <f t="shared" si="9"/>
        <v>Term 1</v>
      </c>
      <c r="L121" s="158">
        <f t="shared" si="10"/>
        <v>12</v>
      </c>
      <c r="M121" s="159" t="b">
        <f t="shared" si="11"/>
        <v>1</v>
      </c>
      <c r="N121" s="160">
        <f t="shared" si="12"/>
        <v>46321</v>
      </c>
      <c r="O121" s="163" t="b">
        <f t="shared" si="13"/>
        <v>1</v>
      </c>
      <c r="Q121" s="163">
        <f t="shared" si="14"/>
        <v>0</v>
      </c>
    </row>
    <row r="122" ht="15.75" customHeight="1">
      <c r="A122" s="174">
        <f t="shared" si="15"/>
        <v>46322</v>
      </c>
      <c r="B122" s="176" t="str">
        <f t="shared" si="1"/>
        <v>Tuesday</v>
      </c>
      <c r="C122" s="158" t="b">
        <f t="shared" si="2"/>
        <v>1</v>
      </c>
      <c r="D122" s="158" t="str">
        <f t="shared" si="3"/>
        <v/>
      </c>
      <c r="E122" s="158" t="str">
        <f t="shared" si="4"/>
        <v/>
      </c>
      <c r="F122" s="158" t="str">
        <f t="shared" si="5"/>
        <v/>
      </c>
      <c r="G122" s="158" t="str">
        <f t="shared" si="6"/>
        <v/>
      </c>
      <c r="H122" s="158" t="b">
        <f t="shared" si="7"/>
        <v>1</v>
      </c>
      <c r="I122" s="158">
        <f t="shared" si="8"/>
        <v>57</v>
      </c>
      <c r="J122" s="158">
        <f>IFERROR(__xludf.DUMMYFUNCTION("IF(O122,LET(w,IFERROR(MATCH(N122,UNIQUE(FILTER($N$44:$N$408,$O$44:$O$408=TRUE)),0),""""),IF(OR(w="""",w&gt;$B$6),"""",w)),"""")"),12.0)</f>
        <v>12</v>
      </c>
      <c r="K122" s="158" t="str">
        <f t="shared" si="9"/>
        <v>Term 1</v>
      </c>
      <c r="L122" s="158">
        <f t="shared" si="10"/>
        <v>12</v>
      </c>
      <c r="M122" s="159" t="b">
        <f t="shared" si="11"/>
        <v>1</v>
      </c>
      <c r="N122" s="160">
        <f t="shared" si="12"/>
        <v>46321</v>
      </c>
      <c r="O122" s="163" t="b">
        <f t="shared" si="13"/>
        <v>1</v>
      </c>
      <c r="Q122" s="163">
        <f t="shared" si="14"/>
        <v>0</v>
      </c>
    </row>
    <row r="123" ht="15.75" customHeight="1">
      <c r="A123" s="174">
        <f t="shared" si="15"/>
        <v>46323</v>
      </c>
      <c r="B123" s="176" t="str">
        <f t="shared" si="1"/>
        <v>Wednesday</v>
      </c>
      <c r="C123" s="158" t="b">
        <f t="shared" si="2"/>
        <v>1</v>
      </c>
      <c r="D123" s="158" t="str">
        <f t="shared" si="3"/>
        <v/>
      </c>
      <c r="E123" s="158" t="str">
        <f t="shared" si="4"/>
        <v/>
      </c>
      <c r="F123" s="158" t="str">
        <f t="shared" si="5"/>
        <v/>
      </c>
      <c r="G123" s="158" t="str">
        <f t="shared" si="6"/>
        <v/>
      </c>
      <c r="H123" s="158" t="b">
        <f t="shared" si="7"/>
        <v>1</v>
      </c>
      <c r="I123" s="158">
        <f t="shared" si="8"/>
        <v>58</v>
      </c>
      <c r="J123" s="158">
        <f>IFERROR(__xludf.DUMMYFUNCTION("IF(O123,LET(w,IFERROR(MATCH(N123,UNIQUE(FILTER($N$44:$N$408,$O$44:$O$408=TRUE)),0),""""),IF(OR(w="""",w&gt;$B$6),"""",w)),"""")"),12.0)</f>
        <v>12</v>
      </c>
      <c r="K123" s="158" t="str">
        <f t="shared" si="9"/>
        <v>Term 1</v>
      </c>
      <c r="L123" s="158">
        <f t="shared" si="10"/>
        <v>12</v>
      </c>
      <c r="M123" s="159" t="b">
        <f t="shared" si="11"/>
        <v>1</v>
      </c>
      <c r="N123" s="160">
        <f t="shared" si="12"/>
        <v>46321</v>
      </c>
      <c r="O123" s="163" t="b">
        <f t="shared" si="13"/>
        <v>1</v>
      </c>
      <c r="Q123" s="163">
        <f t="shared" si="14"/>
        <v>0</v>
      </c>
    </row>
    <row r="124" ht="15.75" customHeight="1">
      <c r="A124" s="174">
        <f t="shared" si="15"/>
        <v>46324</v>
      </c>
      <c r="B124" s="176" t="str">
        <f t="shared" si="1"/>
        <v>Thursday</v>
      </c>
      <c r="C124" s="158" t="b">
        <f t="shared" si="2"/>
        <v>1</v>
      </c>
      <c r="D124" s="158" t="str">
        <f t="shared" si="3"/>
        <v/>
      </c>
      <c r="E124" s="158" t="str">
        <f t="shared" si="4"/>
        <v/>
      </c>
      <c r="F124" s="158" t="str">
        <f t="shared" si="5"/>
        <v/>
      </c>
      <c r="G124" s="158" t="str">
        <f t="shared" si="6"/>
        <v/>
      </c>
      <c r="H124" s="158" t="b">
        <f t="shared" si="7"/>
        <v>1</v>
      </c>
      <c r="I124" s="158">
        <f t="shared" si="8"/>
        <v>59</v>
      </c>
      <c r="J124" s="158">
        <f>IFERROR(__xludf.DUMMYFUNCTION("IF(O124,LET(w,IFERROR(MATCH(N124,UNIQUE(FILTER($N$44:$N$408,$O$44:$O$408=TRUE)),0),""""),IF(OR(w="""",w&gt;$B$6),"""",w)),"""")"),12.0)</f>
        <v>12</v>
      </c>
      <c r="K124" s="158" t="str">
        <f t="shared" si="9"/>
        <v>Term 1</v>
      </c>
      <c r="L124" s="158">
        <f t="shared" si="10"/>
        <v>12</v>
      </c>
      <c r="M124" s="159" t="b">
        <f t="shared" si="11"/>
        <v>1</v>
      </c>
      <c r="N124" s="160">
        <f t="shared" si="12"/>
        <v>46321</v>
      </c>
      <c r="O124" s="163" t="b">
        <f t="shared" si="13"/>
        <v>1</v>
      </c>
      <c r="Q124" s="163">
        <f t="shared" si="14"/>
        <v>0</v>
      </c>
    </row>
    <row r="125" ht="15.75" customHeight="1">
      <c r="A125" s="174">
        <f t="shared" si="15"/>
        <v>46325</v>
      </c>
      <c r="B125" s="176" t="str">
        <f t="shared" si="1"/>
        <v>Friday</v>
      </c>
      <c r="C125" s="158" t="b">
        <f t="shared" si="2"/>
        <v>1</v>
      </c>
      <c r="D125" s="158" t="str">
        <f t="shared" si="3"/>
        <v/>
      </c>
      <c r="E125" s="158" t="str">
        <f t="shared" si="4"/>
        <v/>
      </c>
      <c r="F125" s="158" t="str">
        <f t="shared" si="5"/>
        <v/>
      </c>
      <c r="G125" s="158" t="str">
        <f t="shared" si="6"/>
        <v/>
      </c>
      <c r="H125" s="158" t="b">
        <f t="shared" si="7"/>
        <v>1</v>
      </c>
      <c r="I125" s="158">
        <f t="shared" si="8"/>
        <v>60</v>
      </c>
      <c r="J125" s="158">
        <f>IFERROR(__xludf.DUMMYFUNCTION("IF(O125,LET(w,IFERROR(MATCH(N125,UNIQUE(FILTER($N$44:$N$408,$O$44:$O$408=TRUE)),0),""""),IF(OR(w="""",w&gt;$B$6),"""",w)),"""")"),12.0)</f>
        <v>12</v>
      </c>
      <c r="K125" s="158" t="str">
        <f t="shared" si="9"/>
        <v>Term 1</v>
      </c>
      <c r="L125" s="158">
        <f t="shared" si="10"/>
        <v>12</v>
      </c>
      <c r="M125" s="159" t="b">
        <f t="shared" si="11"/>
        <v>1</v>
      </c>
      <c r="N125" s="160">
        <f t="shared" si="12"/>
        <v>46321</v>
      </c>
      <c r="O125" s="163" t="b">
        <f t="shared" si="13"/>
        <v>1</v>
      </c>
      <c r="Q125" s="163">
        <f t="shared" si="14"/>
        <v>0</v>
      </c>
    </row>
    <row r="126" ht="15.75" customHeight="1">
      <c r="A126" s="174">
        <f t="shared" si="15"/>
        <v>46326</v>
      </c>
      <c r="B126" s="176" t="str">
        <f t="shared" si="1"/>
        <v>Saturday</v>
      </c>
      <c r="C126" s="158" t="b">
        <f t="shared" si="2"/>
        <v>0</v>
      </c>
      <c r="D126" s="158" t="str">
        <f t="shared" si="3"/>
        <v/>
      </c>
      <c r="E126" s="158" t="str">
        <f t="shared" si="4"/>
        <v/>
      </c>
      <c r="F126" s="158" t="str">
        <f t="shared" si="5"/>
        <v/>
      </c>
      <c r="G126" s="158" t="str">
        <f t="shared" si="6"/>
        <v/>
      </c>
      <c r="H126" s="158" t="b">
        <f t="shared" si="7"/>
        <v>0</v>
      </c>
      <c r="I126" s="158" t="str">
        <f t="shared" si="8"/>
        <v/>
      </c>
      <c r="J126" s="158">
        <f>IFERROR(__xludf.DUMMYFUNCTION("IF(O126,LET(w,IFERROR(MATCH(N126,UNIQUE(FILTER($N$44:$N$408,$O$44:$O$408=TRUE)),0),""""),IF(OR(w="""",w&gt;$B$6),"""",w)),"""")"),12.0)</f>
        <v>12</v>
      </c>
      <c r="K126" s="158" t="str">
        <f t="shared" si="9"/>
        <v>Term 1</v>
      </c>
      <c r="L126" s="158">
        <f t="shared" si="10"/>
        <v>12</v>
      </c>
      <c r="M126" s="159" t="b">
        <f t="shared" si="11"/>
        <v>1</v>
      </c>
      <c r="N126" s="160">
        <f t="shared" si="12"/>
        <v>46321</v>
      </c>
      <c r="O126" s="163" t="b">
        <f t="shared" si="13"/>
        <v>1</v>
      </c>
      <c r="Q126" s="163">
        <f t="shared" si="14"/>
        <v>0</v>
      </c>
    </row>
    <row r="127" ht="15.75" customHeight="1">
      <c r="A127" s="174">
        <f t="shared" si="15"/>
        <v>46327</v>
      </c>
      <c r="B127" s="176" t="str">
        <f t="shared" si="1"/>
        <v>Sunday</v>
      </c>
      <c r="C127" s="158" t="b">
        <f t="shared" si="2"/>
        <v>0</v>
      </c>
      <c r="D127" s="158" t="str">
        <f t="shared" si="3"/>
        <v/>
      </c>
      <c r="E127" s="158" t="str">
        <f t="shared" si="4"/>
        <v/>
      </c>
      <c r="F127" s="158" t="str">
        <f t="shared" si="5"/>
        <v/>
      </c>
      <c r="G127" s="158" t="str">
        <f t="shared" si="6"/>
        <v/>
      </c>
      <c r="H127" s="158" t="b">
        <f t="shared" si="7"/>
        <v>0</v>
      </c>
      <c r="I127" s="158" t="str">
        <f t="shared" si="8"/>
        <v/>
      </c>
      <c r="J127" s="158">
        <f>IFERROR(__xludf.DUMMYFUNCTION("IF(O127,LET(w,IFERROR(MATCH(N127,UNIQUE(FILTER($N$44:$N$408,$O$44:$O$408=TRUE)),0),""""),IF(OR(w="""",w&gt;$B$6),"""",w)),"""")"),12.0)</f>
        <v>12</v>
      </c>
      <c r="K127" s="158" t="str">
        <f t="shared" si="9"/>
        <v>Term 1</v>
      </c>
      <c r="L127" s="158">
        <f t="shared" si="10"/>
        <v>12</v>
      </c>
      <c r="M127" s="159" t="b">
        <f t="shared" si="11"/>
        <v>1</v>
      </c>
      <c r="N127" s="160">
        <f t="shared" si="12"/>
        <v>46321</v>
      </c>
      <c r="O127" s="163" t="b">
        <f t="shared" si="13"/>
        <v>1</v>
      </c>
      <c r="Q127" s="163">
        <f t="shared" si="14"/>
        <v>0</v>
      </c>
    </row>
    <row r="128" ht="15.75" customHeight="1">
      <c r="A128" s="174">
        <f t="shared" si="15"/>
        <v>46328</v>
      </c>
      <c r="B128" s="176" t="str">
        <f t="shared" si="1"/>
        <v>Monday</v>
      </c>
      <c r="C128" s="158" t="b">
        <f t="shared" si="2"/>
        <v>1</v>
      </c>
      <c r="D128" s="158" t="str">
        <f t="shared" si="3"/>
        <v/>
      </c>
      <c r="E128" s="158" t="str">
        <f t="shared" si="4"/>
        <v/>
      </c>
      <c r="F128" s="158" t="str">
        <f t="shared" si="5"/>
        <v/>
      </c>
      <c r="G128" s="158" t="str">
        <f t="shared" si="6"/>
        <v/>
      </c>
      <c r="H128" s="158" t="b">
        <f t="shared" si="7"/>
        <v>1</v>
      </c>
      <c r="I128" s="158">
        <f t="shared" si="8"/>
        <v>61</v>
      </c>
      <c r="J128" s="158">
        <f>IFERROR(__xludf.DUMMYFUNCTION("IF(O128,LET(w,IFERROR(MATCH(N128,UNIQUE(FILTER($N$44:$N$408,$O$44:$O$408=TRUE)),0),""""),IF(OR(w="""",w&gt;$B$6),"""",w)),"""")"),13.0)</f>
        <v>13</v>
      </c>
      <c r="K128" s="158" t="str">
        <f t="shared" si="9"/>
        <v>Term 2</v>
      </c>
      <c r="L128" s="158">
        <f t="shared" si="10"/>
        <v>1</v>
      </c>
      <c r="M128" s="159" t="b">
        <f t="shared" si="11"/>
        <v>0</v>
      </c>
      <c r="N128" s="160">
        <f t="shared" si="12"/>
        <v>46328</v>
      </c>
      <c r="O128" s="163" t="b">
        <f t="shared" si="13"/>
        <v>1</v>
      </c>
      <c r="Q128" s="163">
        <f t="shared" si="14"/>
        <v>0</v>
      </c>
    </row>
    <row r="129" ht="15.75" customHeight="1">
      <c r="A129" s="174">
        <f t="shared" si="15"/>
        <v>46329</v>
      </c>
      <c r="B129" s="176" t="str">
        <f t="shared" si="1"/>
        <v>Tuesday</v>
      </c>
      <c r="C129" s="158" t="b">
        <f t="shared" si="2"/>
        <v>1</v>
      </c>
      <c r="D129" s="158" t="str">
        <f t="shared" si="3"/>
        <v/>
      </c>
      <c r="E129" s="158" t="str">
        <f t="shared" si="4"/>
        <v/>
      </c>
      <c r="F129" s="158" t="str">
        <f t="shared" si="5"/>
        <v/>
      </c>
      <c r="G129" s="158" t="str">
        <f t="shared" si="6"/>
        <v/>
      </c>
      <c r="H129" s="158" t="b">
        <f t="shared" si="7"/>
        <v>1</v>
      </c>
      <c r="I129" s="158">
        <f t="shared" si="8"/>
        <v>62</v>
      </c>
      <c r="J129" s="158">
        <f>IFERROR(__xludf.DUMMYFUNCTION("IF(O129,LET(w,IFERROR(MATCH(N129,UNIQUE(FILTER($N$44:$N$408,$O$44:$O$408=TRUE)),0),""""),IF(OR(w="""",w&gt;$B$6),"""",w)),"""")"),13.0)</f>
        <v>13</v>
      </c>
      <c r="K129" s="158" t="str">
        <f t="shared" si="9"/>
        <v>Term 2</v>
      </c>
      <c r="L129" s="158">
        <f t="shared" si="10"/>
        <v>1</v>
      </c>
      <c r="M129" s="159" t="b">
        <f t="shared" si="11"/>
        <v>0</v>
      </c>
      <c r="N129" s="160">
        <f t="shared" si="12"/>
        <v>46328</v>
      </c>
      <c r="O129" s="163" t="b">
        <f t="shared" si="13"/>
        <v>1</v>
      </c>
      <c r="Q129" s="163">
        <f t="shared" si="14"/>
        <v>0</v>
      </c>
    </row>
    <row r="130" ht="15.75" customHeight="1">
      <c r="A130" s="174">
        <f t="shared" si="15"/>
        <v>46330</v>
      </c>
      <c r="B130" s="176" t="str">
        <f t="shared" si="1"/>
        <v>Wednesday</v>
      </c>
      <c r="C130" s="158" t="b">
        <f t="shared" si="2"/>
        <v>1</v>
      </c>
      <c r="D130" s="158" t="str">
        <f t="shared" si="3"/>
        <v/>
      </c>
      <c r="E130" s="158" t="str">
        <f t="shared" si="4"/>
        <v/>
      </c>
      <c r="F130" s="158" t="str">
        <f t="shared" si="5"/>
        <v/>
      </c>
      <c r="G130" s="158" t="str">
        <f t="shared" si="6"/>
        <v/>
      </c>
      <c r="H130" s="158" t="b">
        <f t="shared" si="7"/>
        <v>1</v>
      </c>
      <c r="I130" s="158">
        <f t="shared" si="8"/>
        <v>63</v>
      </c>
      <c r="J130" s="158">
        <f>IFERROR(__xludf.DUMMYFUNCTION("IF(O130,LET(w,IFERROR(MATCH(N130,UNIQUE(FILTER($N$44:$N$408,$O$44:$O$408=TRUE)),0),""""),IF(OR(w="""",w&gt;$B$6),"""",w)),"""")"),13.0)</f>
        <v>13</v>
      </c>
      <c r="K130" s="158" t="str">
        <f t="shared" si="9"/>
        <v>Term 2</v>
      </c>
      <c r="L130" s="158">
        <f t="shared" si="10"/>
        <v>1</v>
      </c>
      <c r="M130" s="159" t="b">
        <f t="shared" si="11"/>
        <v>0</v>
      </c>
      <c r="N130" s="160">
        <f t="shared" si="12"/>
        <v>46328</v>
      </c>
      <c r="O130" s="163" t="b">
        <f t="shared" si="13"/>
        <v>1</v>
      </c>
      <c r="Q130" s="163">
        <f t="shared" si="14"/>
        <v>0</v>
      </c>
    </row>
    <row r="131" ht="15.75" customHeight="1">
      <c r="A131" s="174">
        <f t="shared" si="15"/>
        <v>46331</v>
      </c>
      <c r="B131" s="176" t="str">
        <f t="shared" si="1"/>
        <v>Thursday</v>
      </c>
      <c r="C131" s="158" t="b">
        <f t="shared" si="2"/>
        <v>1</v>
      </c>
      <c r="D131" s="158" t="str">
        <f t="shared" si="3"/>
        <v/>
      </c>
      <c r="E131" s="158" t="str">
        <f t="shared" si="4"/>
        <v/>
      </c>
      <c r="F131" s="158" t="str">
        <f t="shared" si="5"/>
        <v/>
      </c>
      <c r="G131" s="158" t="str">
        <f t="shared" si="6"/>
        <v/>
      </c>
      <c r="H131" s="158" t="b">
        <f t="shared" si="7"/>
        <v>1</v>
      </c>
      <c r="I131" s="158">
        <f t="shared" si="8"/>
        <v>64</v>
      </c>
      <c r="J131" s="158">
        <f>IFERROR(__xludf.DUMMYFUNCTION("IF(O131,LET(w,IFERROR(MATCH(N131,UNIQUE(FILTER($N$44:$N$408,$O$44:$O$408=TRUE)),0),""""),IF(OR(w="""",w&gt;$B$6),"""",w)),"""")"),13.0)</f>
        <v>13</v>
      </c>
      <c r="K131" s="158" t="str">
        <f t="shared" si="9"/>
        <v>Term 2</v>
      </c>
      <c r="L131" s="158">
        <f t="shared" si="10"/>
        <v>1</v>
      </c>
      <c r="M131" s="159" t="b">
        <f t="shared" si="11"/>
        <v>0</v>
      </c>
      <c r="N131" s="160">
        <f t="shared" si="12"/>
        <v>46328</v>
      </c>
      <c r="O131" s="163" t="b">
        <f t="shared" si="13"/>
        <v>1</v>
      </c>
      <c r="Q131" s="163">
        <f t="shared" si="14"/>
        <v>0</v>
      </c>
    </row>
    <row r="132" ht="15.75" customHeight="1">
      <c r="A132" s="174">
        <f t="shared" si="15"/>
        <v>46332</v>
      </c>
      <c r="B132" s="176" t="str">
        <f t="shared" si="1"/>
        <v>Friday</v>
      </c>
      <c r="C132" s="158" t="b">
        <f t="shared" si="2"/>
        <v>1</v>
      </c>
      <c r="D132" s="158" t="str">
        <f t="shared" si="3"/>
        <v/>
      </c>
      <c r="E132" s="158" t="str">
        <f t="shared" si="4"/>
        <v/>
      </c>
      <c r="F132" s="158" t="str">
        <f t="shared" si="5"/>
        <v/>
      </c>
      <c r="G132" s="158" t="str">
        <f t="shared" si="6"/>
        <v/>
      </c>
      <c r="H132" s="158" t="b">
        <f t="shared" si="7"/>
        <v>1</v>
      </c>
      <c r="I132" s="158">
        <f t="shared" si="8"/>
        <v>65</v>
      </c>
      <c r="J132" s="158">
        <f>IFERROR(__xludf.DUMMYFUNCTION("IF(O132,LET(w,IFERROR(MATCH(N132,UNIQUE(FILTER($N$44:$N$408,$O$44:$O$408=TRUE)),0),""""),IF(OR(w="""",w&gt;$B$6),"""",w)),"""")"),13.0)</f>
        <v>13</v>
      </c>
      <c r="K132" s="158" t="str">
        <f t="shared" si="9"/>
        <v>Term 2</v>
      </c>
      <c r="L132" s="158">
        <f t="shared" si="10"/>
        <v>1</v>
      </c>
      <c r="M132" s="159" t="b">
        <f t="shared" si="11"/>
        <v>0</v>
      </c>
      <c r="N132" s="160">
        <f t="shared" si="12"/>
        <v>46328</v>
      </c>
      <c r="O132" s="163" t="b">
        <f t="shared" si="13"/>
        <v>1</v>
      </c>
      <c r="Q132" s="163">
        <f t="shared" si="14"/>
        <v>0</v>
      </c>
    </row>
    <row r="133" ht="15.75" customHeight="1">
      <c r="A133" s="174">
        <f t="shared" si="15"/>
        <v>46333</v>
      </c>
      <c r="B133" s="176" t="str">
        <f t="shared" si="1"/>
        <v>Saturday</v>
      </c>
      <c r="C133" s="158" t="b">
        <f t="shared" si="2"/>
        <v>0</v>
      </c>
      <c r="D133" s="158" t="str">
        <f t="shared" si="3"/>
        <v/>
      </c>
      <c r="E133" s="158" t="str">
        <f t="shared" si="4"/>
        <v/>
      </c>
      <c r="F133" s="158" t="str">
        <f t="shared" si="5"/>
        <v/>
      </c>
      <c r="G133" s="158" t="str">
        <f t="shared" si="6"/>
        <v/>
      </c>
      <c r="H133" s="158" t="b">
        <f t="shared" si="7"/>
        <v>0</v>
      </c>
      <c r="I133" s="158" t="str">
        <f t="shared" si="8"/>
        <v/>
      </c>
      <c r="J133" s="158">
        <f>IFERROR(__xludf.DUMMYFUNCTION("IF(O133,LET(w,IFERROR(MATCH(N133,UNIQUE(FILTER($N$44:$N$408,$O$44:$O$408=TRUE)),0),""""),IF(OR(w="""",w&gt;$B$6),"""",w)),"""")"),13.0)</f>
        <v>13</v>
      </c>
      <c r="K133" s="158" t="str">
        <f t="shared" si="9"/>
        <v>Term 2</v>
      </c>
      <c r="L133" s="158">
        <f t="shared" si="10"/>
        <v>1</v>
      </c>
      <c r="M133" s="159" t="b">
        <f t="shared" si="11"/>
        <v>0</v>
      </c>
      <c r="N133" s="160">
        <f t="shared" si="12"/>
        <v>46328</v>
      </c>
      <c r="O133" s="163" t="b">
        <f t="shared" si="13"/>
        <v>1</v>
      </c>
      <c r="Q133" s="163">
        <f t="shared" si="14"/>
        <v>0</v>
      </c>
    </row>
    <row r="134" ht="15.75" customHeight="1">
      <c r="A134" s="174">
        <f t="shared" si="15"/>
        <v>46334</v>
      </c>
      <c r="B134" s="176" t="str">
        <f t="shared" si="1"/>
        <v>Sunday</v>
      </c>
      <c r="C134" s="158" t="b">
        <f t="shared" si="2"/>
        <v>0</v>
      </c>
      <c r="D134" s="158" t="str">
        <f t="shared" si="3"/>
        <v/>
      </c>
      <c r="E134" s="158" t="str">
        <f t="shared" si="4"/>
        <v/>
      </c>
      <c r="F134" s="158" t="str">
        <f t="shared" si="5"/>
        <v/>
      </c>
      <c r="G134" s="158" t="str">
        <f t="shared" si="6"/>
        <v/>
      </c>
      <c r="H134" s="158" t="b">
        <f t="shared" si="7"/>
        <v>0</v>
      </c>
      <c r="I134" s="158" t="str">
        <f t="shared" si="8"/>
        <v/>
      </c>
      <c r="J134" s="158">
        <f>IFERROR(__xludf.DUMMYFUNCTION("IF(O134,LET(w,IFERROR(MATCH(N134,UNIQUE(FILTER($N$44:$N$408,$O$44:$O$408=TRUE)),0),""""),IF(OR(w="""",w&gt;$B$6),"""",w)),"""")"),13.0)</f>
        <v>13</v>
      </c>
      <c r="K134" s="158" t="str">
        <f t="shared" si="9"/>
        <v>Term 2</v>
      </c>
      <c r="L134" s="158">
        <f t="shared" si="10"/>
        <v>1</v>
      </c>
      <c r="M134" s="159" t="b">
        <f t="shared" si="11"/>
        <v>0</v>
      </c>
      <c r="N134" s="160">
        <f t="shared" si="12"/>
        <v>46328</v>
      </c>
      <c r="O134" s="163" t="b">
        <f t="shared" si="13"/>
        <v>1</v>
      </c>
      <c r="Q134" s="163">
        <f t="shared" si="14"/>
        <v>0</v>
      </c>
    </row>
    <row r="135" ht="15.75" customHeight="1">
      <c r="A135" s="174">
        <f t="shared" si="15"/>
        <v>46335</v>
      </c>
      <c r="B135" s="176" t="str">
        <f t="shared" si="1"/>
        <v>Monday</v>
      </c>
      <c r="C135" s="158" t="b">
        <f t="shared" si="2"/>
        <v>1</v>
      </c>
      <c r="D135" s="158" t="str">
        <f t="shared" si="3"/>
        <v/>
      </c>
      <c r="E135" s="158" t="str">
        <f t="shared" si="4"/>
        <v/>
      </c>
      <c r="F135" s="158" t="str">
        <f t="shared" si="5"/>
        <v/>
      </c>
      <c r="G135" s="158" t="str">
        <f t="shared" si="6"/>
        <v/>
      </c>
      <c r="H135" s="158" t="b">
        <f t="shared" si="7"/>
        <v>1</v>
      </c>
      <c r="I135" s="158">
        <f t="shared" si="8"/>
        <v>66</v>
      </c>
      <c r="J135" s="158">
        <f>IFERROR(__xludf.DUMMYFUNCTION("IF(O135,LET(w,IFERROR(MATCH(N135,UNIQUE(FILTER($N$44:$N$408,$O$44:$O$408=TRUE)),0),""""),IF(OR(w="""",w&gt;$B$6),"""",w)),"""")"),14.0)</f>
        <v>14</v>
      </c>
      <c r="K135" s="158" t="str">
        <f t="shared" si="9"/>
        <v>Term 2</v>
      </c>
      <c r="L135" s="158">
        <f t="shared" si="10"/>
        <v>2</v>
      </c>
      <c r="M135" s="159" t="b">
        <f t="shared" si="11"/>
        <v>0</v>
      </c>
      <c r="N135" s="160">
        <f t="shared" si="12"/>
        <v>46335</v>
      </c>
      <c r="O135" s="163" t="b">
        <f t="shared" si="13"/>
        <v>1</v>
      </c>
      <c r="Q135" s="163">
        <f t="shared" si="14"/>
        <v>0</v>
      </c>
    </row>
    <row r="136" ht="15.75" customHeight="1">
      <c r="A136" s="174">
        <f t="shared" si="15"/>
        <v>46336</v>
      </c>
      <c r="B136" s="176" t="str">
        <f t="shared" si="1"/>
        <v>Tuesday</v>
      </c>
      <c r="C136" s="158" t="b">
        <f t="shared" si="2"/>
        <v>1</v>
      </c>
      <c r="D136" s="158" t="str">
        <f t="shared" si="3"/>
        <v/>
      </c>
      <c r="E136" s="158" t="str">
        <f t="shared" si="4"/>
        <v/>
      </c>
      <c r="F136" s="158" t="str">
        <f t="shared" si="5"/>
        <v/>
      </c>
      <c r="G136" s="158" t="str">
        <f t="shared" si="6"/>
        <v/>
      </c>
      <c r="H136" s="158" t="b">
        <f t="shared" si="7"/>
        <v>1</v>
      </c>
      <c r="I136" s="158">
        <f t="shared" si="8"/>
        <v>67</v>
      </c>
      <c r="J136" s="158">
        <f>IFERROR(__xludf.DUMMYFUNCTION("IF(O136,LET(w,IFERROR(MATCH(N136,UNIQUE(FILTER($N$44:$N$408,$O$44:$O$408=TRUE)),0),""""),IF(OR(w="""",w&gt;$B$6),"""",w)),"""")"),14.0)</f>
        <v>14</v>
      </c>
      <c r="K136" s="158" t="str">
        <f t="shared" si="9"/>
        <v>Term 2</v>
      </c>
      <c r="L136" s="158">
        <f t="shared" si="10"/>
        <v>2</v>
      </c>
      <c r="M136" s="159" t="b">
        <f t="shared" si="11"/>
        <v>0</v>
      </c>
      <c r="N136" s="160">
        <f t="shared" si="12"/>
        <v>46335</v>
      </c>
      <c r="O136" s="163" t="b">
        <f t="shared" si="13"/>
        <v>1</v>
      </c>
      <c r="Q136" s="163">
        <f t="shared" si="14"/>
        <v>0</v>
      </c>
    </row>
    <row r="137" ht="15.75" customHeight="1">
      <c r="A137" s="174">
        <f t="shared" si="15"/>
        <v>46337</v>
      </c>
      <c r="B137" s="176" t="str">
        <f t="shared" si="1"/>
        <v>Wednesday</v>
      </c>
      <c r="C137" s="158" t="b">
        <f t="shared" si="2"/>
        <v>1</v>
      </c>
      <c r="D137" s="158" t="str">
        <f t="shared" si="3"/>
        <v/>
      </c>
      <c r="E137" s="158" t="str">
        <f t="shared" si="4"/>
        <v/>
      </c>
      <c r="F137" s="158" t="str">
        <f t="shared" si="5"/>
        <v/>
      </c>
      <c r="G137" s="158" t="str">
        <f t="shared" si="6"/>
        <v/>
      </c>
      <c r="H137" s="158" t="b">
        <f t="shared" si="7"/>
        <v>1</v>
      </c>
      <c r="I137" s="158">
        <f t="shared" si="8"/>
        <v>68</v>
      </c>
      <c r="J137" s="158">
        <f>IFERROR(__xludf.DUMMYFUNCTION("IF(O137,LET(w,IFERROR(MATCH(N137,UNIQUE(FILTER($N$44:$N$408,$O$44:$O$408=TRUE)),0),""""),IF(OR(w="""",w&gt;$B$6),"""",w)),"""")"),14.0)</f>
        <v>14</v>
      </c>
      <c r="K137" s="158" t="str">
        <f t="shared" si="9"/>
        <v>Term 2</v>
      </c>
      <c r="L137" s="158">
        <f t="shared" si="10"/>
        <v>2</v>
      </c>
      <c r="M137" s="159" t="b">
        <f t="shared" si="11"/>
        <v>0</v>
      </c>
      <c r="N137" s="160">
        <f t="shared" si="12"/>
        <v>46335</v>
      </c>
      <c r="O137" s="163" t="b">
        <f t="shared" si="13"/>
        <v>1</v>
      </c>
      <c r="Q137" s="163">
        <f t="shared" si="14"/>
        <v>0</v>
      </c>
    </row>
    <row r="138" ht="15.75" customHeight="1">
      <c r="A138" s="174">
        <f t="shared" si="15"/>
        <v>46338</v>
      </c>
      <c r="B138" s="176" t="str">
        <f t="shared" si="1"/>
        <v>Thursday</v>
      </c>
      <c r="C138" s="158" t="b">
        <f t="shared" si="2"/>
        <v>1</v>
      </c>
      <c r="D138" s="158" t="str">
        <f t="shared" si="3"/>
        <v/>
      </c>
      <c r="E138" s="158" t="str">
        <f t="shared" si="4"/>
        <v/>
      </c>
      <c r="F138" s="158" t="str">
        <f t="shared" si="5"/>
        <v/>
      </c>
      <c r="G138" s="158" t="str">
        <f t="shared" si="6"/>
        <v/>
      </c>
      <c r="H138" s="158" t="b">
        <f t="shared" si="7"/>
        <v>1</v>
      </c>
      <c r="I138" s="158">
        <f t="shared" si="8"/>
        <v>69</v>
      </c>
      <c r="J138" s="158">
        <f>IFERROR(__xludf.DUMMYFUNCTION("IF(O138,LET(w,IFERROR(MATCH(N138,UNIQUE(FILTER($N$44:$N$408,$O$44:$O$408=TRUE)),0),""""),IF(OR(w="""",w&gt;$B$6),"""",w)),"""")"),14.0)</f>
        <v>14</v>
      </c>
      <c r="K138" s="158" t="str">
        <f t="shared" si="9"/>
        <v>Term 2</v>
      </c>
      <c r="L138" s="158">
        <f t="shared" si="10"/>
        <v>2</v>
      </c>
      <c r="M138" s="159" t="b">
        <f t="shared" si="11"/>
        <v>0</v>
      </c>
      <c r="N138" s="160">
        <f t="shared" si="12"/>
        <v>46335</v>
      </c>
      <c r="O138" s="163" t="b">
        <f t="shared" si="13"/>
        <v>1</v>
      </c>
      <c r="Q138" s="163">
        <f t="shared" si="14"/>
        <v>0</v>
      </c>
    </row>
    <row r="139" ht="15.75" customHeight="1">
      <c r="A139" s="174">
        <f t="shared" si="15"/>
        <v>46339</v>
      </c>
      <c r="B139" s="176" t="str">
        <f t="shared" si="1"/>
        <v>Friday</v>
      </c>
      <c r="C139" s="158" t="b">
        <f t="shared" si="2"/>
        <v>1</v>
      </c>
      <c r="D139" s="158" t="str">
        <f t="shared" si="3"/>
        <v/>
      </c>
      <c r="E139" s="158" t="str">
        <f t="shared" si="4"/>
        <v/>
      </c>
      <c r="F139" s="158" t="str">
        <f t="shared" si="5"/>
        <v/>
      </c>
      <c r="G139" s="158" t="str">
        <f t="shared" si="6"/>
        <v/>
      </c>
      <c r="H139" s="158" t="b">
        <f t="shared" si="7"/>
        <v>1</v>
      </c>
      <c r="I139" s="158">
        <f t="shared" si="8"/>
        <v>70</v>
      </c>
      <c r="J139" s="158">
        <f>IFERROR(__xludf.DUMMYFUNCTION("IF(O139,LET(w,IFERROR(MATCH(N139,UNIQUE(FILTER($N$44:$N$408,$O$44:$O$408=TRUE)),0),""""),IF(OR(w="""",w&gt;$B$6),"""",w)),"""")"),14.0)</f>
        <v>14</v>
      </c>
      <c r="K139" s="158" t="str">
        <f t="shared" si="9"/>
        <v>Term 2</v>
      </c>
      <c r="L139" s="158">
        <f t="shared" si="10"/>
        <v>2</v>
      </c>
      <c r="M139" s="159" t="b">
        <f t="shared" si="11"/>
        <v>0</v>
      </c>
      <c r="N139" s="160">
        <f t="shared" si="12"/>
        <v>46335</v>
      </c>
      <c r="O139" s="163" t="b">
        <f t="shared" si="13"/>
        <v>1</v>
      </c>
      <c r="Q139" s="163">
        <f t="shared" si="14"/>
        <v>0</v>
      </c>
    </row>
    <row r="140" ht="15.75" customHeight="1">
      <c r="A140" s="174">
        <f t="shared" si="15"/>
        <v>46340</v>
      </c>
      <c r="B140" s="176" t="str">
        <f t="shared" si="1"/>
        <v>Saturday</v>
      </c>
      <c r="C140" s="158" t="b">
        <f t="shared" si="2"/>
        <v>0</v>
      </c>
      <c r="D140" s="158" t="str">
        <f t="shared" si="3"/>
        <v/>
      </c>
      <c r="E140" s="158" t="str">
        <f t="shared" si="4"/>
        <v/>
      </c>
      <c r="F140" s="158" t="str">
        <f t="shared" si="5"/>
        <v/>
      </c>
      <c r="G140" s="158" t="str">
        <f t="shared" si="6"/>
        <v/>
      </c>
      <c r="H140" s="158" t="b">
        <f t="shared" si="7"/>
        <v>0</v>
      </c>
      <c r="I140" s="158" t="str">
        <f t="shared" si="8"/>
        <v/>
      </c>
      <c r="J140" s="158">
        <f>IFERROR(__xludf.DUMMYFUNCTION("IF(O140,LET(w,IFERROR(MATCH(N140,UNIQUE(FILTER($N$44:$N$408,$O$44:$O$408=TRUE)),0),""""),IF(OR(w="""",w&gt;$B$6),"""",w)),"""")"),14.0)</f>
        <v>14</v>
      </c>
      <c r="K140" s="158" t="str">
        <f t="shared" si="9"/>
        <v>Term 2</v>
      </c>
      <c r="L140" s="158">
        <f t="shared" si="10"/>
        <v>2</v>
      </c>
      <c r="M140" s="159" t="b">
        <f t="shared" si="11"/>
        <v>0</v>
      </c>
      <c r="N140" s="160">
        <f t="shared" si="12"/>
        <v>46335</v>
      </c>
      <c r="O140" s="163" t="b">
        <f t="shared" si="13"/>
        <v>1</v>
      </c>
      <c r="Q140" s="163">
        <f t="shared" si="14"/>
        <v>0</v>
      </c>
    </row>
    <row r="141" ht="15.75" customHeight="1">
      <c r="A141" s="174">
        <f t="shared" si="15"/>
        <v>46341</v>
      </c>
      <c r="B141" s="176" t="str">
        <f t="shared" si="1"/>
        <v>Sunday</v>
      </c>
      <c r="C141" s="158" t="b">
        <f t="shared" si="2"/>
        <v>0</v>
      </c>
      <c r="D141" s="158" t="str">
        <f t="shared" si="3"/>
        <v/>
      </c>
      <c r="E141" s="158" t="str">
        <f t="shared" si="4"/>
        <v/>
      </c>
      <c r="F141" s="158" t="str">
        <f t="shared" si="5"/>
        <v/>
      </c>
      <c r="G141" s="158" t="str">
        <f t="shared" si="6"/>
        <v/>
      </c>
      <c r="H141" s="158" t="b">
        <f t="shared" si="7"/>
        <v>0</v>
      </c>
      <c r="I141" s="158" t="str">
        <f t="shared" si="8"/>
        <v/>
      </c>
      <c r="J141" s="158">
        <f>IFERROR(__xludf.DUMMYFUNCTION("IF(O141,LET(w,IFERROR(MATCH(N141,UNIQUE(FILTER($N$44:$N$408,$O$44:$O$408=TRUE)),0),""""),IF(OR(w="""",w&gt;$B$6),"""",w)),"""")"),14.0)</f>
        <v>14</v>
      </c>
      <c r="K141" s="158" t="str">
        <f t="shared" si="9"/>
        <v>Term 2</v>
      </c>
      <c r="L141" s="158">
        <f t="shared" si="10"/>
        <v>2</v>
      </c>
      <c r="M141" s="159" t="b">
        <f t="shared" si="11"/>
        <v>0</v>
      </c>
      <c r="N141" s="160">
        <f t="shared" si="12"/>
        <v>46335</v>
      </c>
      <c r="O141" s="163" t="b">
        <f t="shared" si="13"/>
        <v>1</v>
      </c>
      <c r="Q141" s="163">
        <f t="shared" si="14"/>
        <v>0</v>
      </c>
    </row>
    <row r="142" ht="15.75" customHeight="1">
      <c r="A142" s="174">
        <f t="shared" si="15"/>
        <v>46342</v>
      </c>
      <c r="B142" s="176" t="str">
        <f t="shared" si="1"/>
        <v>Monday</v>
      </c>
      <c r="C142" s="158" t="b">
        <f t="shared" si="2"/>
        <v>1</v>
      </c>
      <c r="D142" s="158" t="str">
        <f t="shared" si="3"/>
        <v/>
      </c>
      <c r="E142" s="158" t="str">
        <f t="shared" si="4"/>
        <v/>
      </c>
      <c r="F142" s="158" t="str">
        <f t="shared" si="5"/>
        <v/>
      </c>
      <c r="G142" s="158" t="str">
        <f t="shared" si="6"/>
        <v/>
      </c>
      <c r="H142" s="158" t="b">
        <f t="shared" si="7"/>
        <v>1</v>
      </c>
      <c r="I142" s="158">
        <f t="shared" si="8"/>
        <v>71</v>
      </c>
      <c r="J142" s="158">
        <f>IFERROR(__xludf.DUMMYFUNCTION("IF(O142,LET(w,IFERROR(MATCH(N142,UNIQUE(FILTER($N$44:$N$408,$O$44:$O$408=TRUE)),0),""""),IF(OR(w="""",w&gt;$B$6),"""",w)),"""")"),15.0)</f>
        <v>15</v>
      </c>
      <c r="K142" s="158" t="str">
        <f t="shared" si="9"/>
        <v>Term 2</v>
      </c>
      <c r="L142" s="158">
        <f t="shared" si="10"/>
        <v>3</v>
      </c>
      <c r="M142" s="159" t="b">
        <f t="shared" si="11"/>
        <v>0</v>
      </c>
      <c r="N142" s="160">
        <f t="shared" si="12"/>
        <v>46342</v>
      </c>
      <c r="O142" s="163" t="b">
        <f t="shared" si="13"/>
        <v>1</v>
      </c>
      <c r="Q142" s="163">
        <f t="shared" si="14"/>
        <v>0</v>
      </c>
    </row>
    <row r="143" ht="15.75" customHeight="1">
      <c r="A143" s="174">
        <f t="shared" si="15"/>
        <v>46343</v>
      </c>
      <c r="B143" s="176" t="str">
        <f t="shared" si="1"/>
        <v>Tuesday</v>
      </c>
      <c r="C143" s="158" t="b">
        <f t="shared" si="2"/>
        <v>1</v>
      </c>
      <c r="D143" s="158" t="str">
        <f t="shared" si="3"/>
        <v/>
      </c>
      <c r="E143" s="158" t="str">
        <f t="shared" si="4"/>
        <v/>
      </c>
      <c r="F143" s="158" t="str">
        <f t="shared" si="5"/>
        <v/>
      </c>
      <c r="G143" s="158" t="str">
        <f t="shared" si="6"/>
        <v/>
      </c>
      <c r="H143" s="158" t="b">
        <f t="shared" si="7"/>
        <v>1</v>
      </c>
      <c r="I143" s="158">
        <f t="shared" si="8"/>
        <v>72</v>
      </c>
      <c r="J143" s="158">
        <f>IFERROR(__xludf.DUMMYFUNCTION("IF(O143,LET(w,IFERROR(MATCH(N143,UNIQUE(FILTER($N$44:$N$408,$O$44:$O$408=TRUE)),0),""""),IF(OR(w="""",w&gt;$B$6),"""",w)),"""")"),15.0)</f>
        <v>15</v>
      </c>
      <c r="K143" s="158" t="str">
        <f t="shared" si="9"/>
        <v>Term 2</v>
      </c>
      <c r="L143" s="158">
        <f t="shared" si="10"/>
        <v>3</v>
      </c>
      <c r="M143" s="159" t="b">
        <f t="shared" si="11"/>
        <v>0</v>
      </c>
      <c r="N143" s="160">
        <f t="shared" si="12"/>
        <v>46342</v>
      </c>
      <c r="O143" s="163" t="b">
        <f t="shared" si="13"/>
        <v>1</v>
      </c>
      <c r="Q143" s="163">
        <f t="shared" si="14"/>
        <v>0</v>
      </c>
    </row>
    <row r="144" ht="15.75" customHeight="1">
      <c r="A144" s="174">
        <f t="shared" si="15"/>
        <v>46344</v>
      </c>
      <c r="B144" s="176" t="str">
        <f t="shared" si="1"/>
        <v>Wednesday</v>
      </c>
      <c r="C144" s="158" t="b">
        <f t="shared" si="2"/>
        <v>1</v>
      </c>
      <c r="D144" s="158" t="str">
        <f t="shared" si="3"/>
        <v/>
      </c>
      <c r="E144" s="158" t="str">
        <f t="shared" si="4"/>
        <v/>
      </c>
      <c r="F144" s="158" t="str">
        <f t="shared" si="5"/>
        <v/>
      </c>
      <c r="G144" s="158" t="str">
        <f t="shared" si="6"/>
        <v/>
      </c>
      <c r="H144" s="158" t="b">
        <f t="shared" si="7"/>
        <v>1</v>
      </c>
      <c r="I144" s="158">
        <f t="shared" si="8"/>
        <v>73</v>
      </c>
      <c r="J144" s="158">
        <f>IFERROR(__xludf.DUMMYFUNCTION("IF(O144,LET(w,IFERROR(MATCH(N144,UNIQUE(FILTER($N$44:$N$408,$O$44:$O$408=TRUE)),0),""""),IF(OR(w="""",w&gt;$B$6),"""",w)),"""")"),15.0)</f>
        <v>15</v>
      </c>
      <c r="K144" s="158" t="str">
        <f t="shared" si="9"/>
        <v>Term 2</v>
      </c>
      <c r="L144" s="158">
        <f t="shared" si="10"/>
        <v>3</v>
      </c>
      <c r="M144" s="159" t="b">
        <f t="shared" si="11"/>
        <v>0</v>
      </c>
      <c r="N144" s="160">
        <f t="shared" si="12"/>
        <v>46342</v>
      </c>
      <c r="O144" s="163" t="b">
        <f t="shared" si="13"/>
        <v>1</v>
      </c>
      <c r="Q144" s="163">
        <f t="shared" si="14"/>
        <v>0</v>
      </c>
    </row>
    <row r="145" ht="15.75" customHeight="1">
      <c r="A145" s="174">
        <f t="shared" si="15"/>
        <v>46345</v>
      </c>
      <c r="B145" s="176" t="str">
        <f t="shared" si="1"/>
        <v>Thursday</v>
      </c>
      <c r="C145" s="158" t="b">
        <f t="shared" si="2"/>
        <v>1</v>
      </c>
      <c r="D145" s="158" t="str">
        <f t="shared" si="3"/>
        <v/>
      </c>
      <c r="E145" s="158" t="str">
        <f t="shared" si="4"/>
        <v/>
      </c>
      <c r="F145" s="158" t="str">
        <f t="shared" si="5"/>
        <v/>
      </c>
      <c r="G145" s="158" t="str">
        <f t="shared" si="6"/>
        <v/>
      </c>
      <c r="H145" s="158" t="b">
        <f t="shared" si="7"/>
        <v>1</v>
      </c>
      <c r="I145" s="158">
        <f t="shared" si="8"/>
        <v>74</v>
      </c>
      <c r="J145" s="158">
        <f>IFERROR(__xludf.DUMMYFUNCTION("IF(O145,LET(w,IFERROR(MATCH(N145,UNIQUE(FILTER($N$44:$N$408,$O$44:$O$408=TRUE)),0),""""),IF(OR(w="""",w&gt;$B$6),"""",w)),"""")"),15.0)</f>
        <v>15</v>
      </c>
      <c r="K145" s="158" t="str">
        <f t="shared" si="9"/>
        <v>Term 2</v>
      </c>
      <c r="L145" s="158">
        <f t="shared" si="10"/>
        <v>3</v>
      </c>
      <c r="M145" s="159" t="b">
        <f t="shared" si="11"/>
        <v>0</v>
      </c>
      <c r="N145" s="160">
        <f t="shared" si="12"/>
        <v>46342</v>
      </c>
      <c r="O145" s="163" t="b">
        <f t="shared" si="13"/>
        <v>1</v>
      </c>
      <c r="Q145" s="163">
        <f t="shared" si="14"/>
        <v>0</v>
      </c>
    </row>
    <row r="146" ht="15.75" customHeight="1">
      <c r="A146" s="174">
        <f t="shared" si="15"/>
        <v>46346</v>
      </c>
      <c r="B146" s="176" t="str">
        <f t="shared" si="1"/>
        <v>Friday</v>
      </c>
      <c r="C146" s="158" t="b">
        <f t="shared" si="2"/>
        <v>1</v>
      </c>
      <c r="D146" s="158" t="str">
        <f t="shared" si="3"/>
        <v/>
      </c>
      <c r="E146" s="158" t="str">
        <f t="shared" si="4"/>
        <v/>
      </c>
      <c r="F146" s="158" t="str">
        <f t="shared" si="5"/>
        <v/>
      </c>
      <c r="G146" s="158" t="str">
        <f t="shared" si="6"/>
        <v/>
      </c>
      <c r="H146" s="158" t="b">
        <f t="shared" si="7"/>
        <v>1</v>
      </c>
      <c r="I146" s="158">
        <f t="shared" si="8"/>
        <v>75</v>
      </c>
      <c r="J146" s="158">
        <f>IFERROR(__xludf.DUMMYFUNCTION("IF(O146,LET(w,IFERROR(MATCH(N146,UNIQUE(FILTER($N$44:$N$408,$O$44:$O$408=TRUE)),0),""""),IF(OR(w="""",w&gt;$B$6),"""",w)),"""")"),15.0)</f>
        <v>15</v>
      </c>
      <c r="K146" s="158" t="str">
        <f t="shared" si="9"/>
        <v>Term 2</v>
      </c>
      <c r="L146" s="158">
        <f t="shared" si="10"/>
        <v>3</v>
      </c>
      <c r="M146" s="159" t="b">
        <f t="shared" si="11"/>
        <v>0</v>
      </c>
      <c r="N146" s="160">
        <f t="shared" si="12"/>
        <v>46342</v>
      </c>
      <c r="O146" s="163" t="b">
        <f t="shared" si="13"/>
        <v>1</v>
      </c>
      <c r="Q146" s="163">
        <f t="shared" si="14"/>
        <v>0</v>
      </c>
    </row>
    <row r="147" ht="15.75" customHeight="1">
      <c r="A147" s="174">
        <f t="shared" si="15"/>
        <v>46347</v>
      </c>
      <c r="B147" s="176" t="str">
        <f t="shared" si="1"/>
        <v>Saturday</v>
      </c>
      <c r="C147" s="158" t="b">
        <f t="shared" si="2"/>
        <v>0</v>
      </c>
      <c r="D147" s="158" t="str">
        <f t="shared" si="3"/>
        <v/>
      </c>
      <c r="E147" s="158" t="str">
        <f t="shared" si="4"/>
        <v/>
      </c>
      <c r="F147" s="158" t="str">
        <f t="shared" si="5"/>
        <v/>
      </c>
      <c r="G147" s="158" t="str">
        <f t="shared" si="6"/>
        <v/>
      </c>
      <c r="H147" s="158" t="b">
        <f t="shared" si="7"/>
        <v>0</v>
      </c>
      <c r="I147" s="158" t="str">
        <f t="shared" si="8"/>
        <v/>
      </c>
      <c r="J147" s="158">
        <f>IFERROR(__xludf.DUMMYFUNCTION("IF(O147,LET(w,IFERROR(MATCH(N147,UNIQUE(FILTER($N$44:$N$408,$O$44:$O$408=TRUE)),0),""""),IF(OR(w="""",w&gt;$B$6),"""",w)),"""")"),15.0)</f>
        <v>15</v>
      </c>
      <c r="K147" s="158" t="str">
        <f t="shared" si="9"/>
        <v>Term 2</v>
      </c>
      <c r="L147" s="158">
        <f t="shared" si="10"/>
        <v>3</v>
      </c>
      <c r="M147" s="159" t="b">
        <f t="shared" si="11"/>
        <v>0</v>
      </c>
      <c r="N147" s="160">
        <f t="shared" si="12"/>
        <v>46342</v>
      </c>
      <c r="O147" s="163" t="b">
        <f t="shared" si="13"/>
        <v>1</v>
      </c>
      <c r="Q147" s="163">
        <f t="shared" si="14"/>
        <v>0</v>
      </c>
    </row>
    <row r="148" ht="15.75" customHeight="1">
      <c r="A148" s="174">
        <f t="shared" si="15"/>
        <v>46348</v>
      </c>
      <c r="B148" s="176" t="str">
        <f t="shared" si="1"/>
        <v>Sunday</v>
      </c>
      <c r="C148" s="158" t="b">
        <f t="shared" si="2"/>
        <v>0</v>
      </c>
      <c r="D148" s="158" t="str">
        <f t="shared" si="3"/>
        <v/>
      </c>
      <c r="E148" s="158" t="str">
        <f t="shared" si="4"/>
        <v/>
      </c>
      <c r="F148" s="158" t="str">
        <f t="shared" si="5"/>
        <v/>
      </c>
      <c r="G148" s="158" t="str">
        <f t="shared" si="6"/>
        <v/>
      </c>
      <c r="H148" s="158" t="b">
        <f t="shared" si="7"/>
        <v>0</v>
      </c>
      <c r="I148" s="158" t="str">
        <f t="shared" si="8"/>
        <v/>
      </c>
      <c r="J148" s="158">
        <f>IFERROR(__xludf.DUMMYFUNCTION("IF(O148,LET(w,IFERROR(MATCH(N148,UNIQUE(FILTER($N$44:$N$408,$O$44:$O$408=TRUE)),0),""""),IF(OR(w="""",w&gt;$B$6),"""",w)),"""")"),15.0)</f>
        <v>15</v>
      </c>
      <c r="K148" s="158" t="str">
        <f t="shared" si="9"/>
        <v>Term 2</v>
      </c>
      <c r="L148" s="158">
        <f t="shared" si="10"/>
        <v>3</v>
      </c>
      <c r="M148" s="159" t="b">
        <f t="shared" si="11"/>
        <v>0</v>
      </c>
      <c r="N148" s="160">
        <f t="shared" si="12"/>
        <v>46342</v>
      </c>
      <c r="O148" s="163" t="b">
        <f t="shared" si="13"/>
        <v>1</v>
      </c>
      <c r="Q148" s="163">
        <f t="shared" si="14"/>
        <v>0</v>
      </c>
    </row>
    <row r="149" ht="15.75" customHeight="1">
      <c r="A149" s="174">
        <f t="shared" si="15"/>
        <v>46349</v>
      </c>
      <c r="B149" s="176" t="str">
        <f t="shared" si="1"/>
        <v>Monday</v>
      </c>
      <c r="C149" s="158" t="b">
        <f t="shared" si="2"/>
        <v>1</v>
      </c>
      <c r="D149" s="158" t="str">
        <f t="shared" si="3"/>
        <v/>
      </c>
      <c r="E149" s="158" t="str">
        <f t="shared" si="4"/>
        <v/>
      </c>
      <c r="F149" s="158" t="str">
        <f t="shared" si="5"/>
        <v/>
      </c>
      <c r="G149" s="158" t="str">
        <f t="shared" si="6"/>
        <v/>
      </c>
      <c r="H149" s="158" t="b">
        <f t="shared" si="7"/>
        <v>1</v>
      </c>
      <c r="I149" s="158">
        <f t="shared" si="8"/>
        <v>76</v>
      </c>
      <c r="J149" s="158">
        <f>IFERROR(__xludf.DUMMYFUNCTION("IF(O149,LET(w,IFERROR(MATCH(N149,UNIQUE(FILTER($N$44:$N$408,$O$44:$O$408=TRUE)),0),""""),IF(OR(w="""",w&gt;$B$6),"""",w)),"""")"),16.0)</f>
        <v>16</v>
      </c>
      <c r="K149" s="158" t="str">
        <f t="shared" si="9"/>
        <v>Term 2</v>
      </c>
      <c r="L149" s="158">
        <f t="shared" si="10"/>
        <v>4</v>
      </c>
      <c r="M149" s="159" t="b">
        <f t="shared" si="11"/>
        <v>0</v>
      </c>
      <c r="N149" s="160">
        <f t="shared" si="12"/>
        <v>46349</v>
      </c>
      <c r="O149" s="163" t="b">
        <f t="shared" si="13"/>
        <v>1</v>
      </c>
      <c r="Q149" s="163">
        <f t="shared" si="14"/>
        <v>0</v>
      </c>
    </row>
    <row r="150" ht="15.75" customHeight="1">
      <c r="A150" s="174">
        <f t="shared" si="15"/>
        <v>46350</v>
      </c>
      <c r="B150" s="176" t="str">
        <f t="shared" si="1"/>
        <v>Tuesday</v>
      </c>
      <c r="C150" s="158" t="b">
        <f t="shared" si="2"/>
        <v>1</v>
      </c>
      <c r="D150" s="158" t="str">
        <f t="shared" si="3"/>
        <v/>
      </c>
      <c r="E150" s="158" t="str">
        <f t="shared" si="4"/>
        <v/>
      </c>
      <c r="F150" s="158" t="str">
        <f t="shared" si="5"/>
        <v/>
      </c>
      <c r="G150" s="158" t="str">
        <f t="shared" si="6"/>
        <v/>
      </c>
      <c r="H150" s="158" t="b">
        <f t="shared" si="7"/>
        <v>1</v>
      </c>
      <c r="I150" s="158">
        <f t="shared" si="8"/>
        <v>77</v>
      </c>
      <c r="J150" s="158">
        <f>IFERROR(__xludf.DUMMYFUNCTION("IF(O150,LET(w,IFERROR(MATCH(N150,UNIQUE(FILTER($N$44:$N$408,$O$44:$O$408=TRUE)),0),""""),IF(OR(w="""",w&gt;$B$6),"""",w)),"""")"),16.0)</f>
        <v>16</v>
      </c>
      <c r="K150" s="158" t="str">
        <f t="shared" si="9"/>
        <v>Term 2</v>
      </c>
      <c r="L150" s="158">
        <f t="shared" si="10"/>
        <v>4</v>
      </c>
      <c r="M150" s="159" t="b">
        <f t="shared" si="11"/>
        <v>0</v>
      </c>
      <c r="N150" s="160">
        <f t="shared" si="12"/>
        <v>46349</v>
      </c>
      <c r="O150" s="163" t="b">
        <f t="shared" si="13"/>
        <v>1</v>
      </c>
      <c r="Q150" s="163">
        <f t="shared" si="14"/>
        <v>0</v>
      </c>
    </row>
    <row r="151" ht="15.75" customHeight="1">
      <c r="A151" s="174">
        <f t="shared" si="15"/>
        <v>46351</v>
      </c>
      <c r="B151" s="176" t="str">
        <f t="shared" si="1"/>
        <v>Wednesday</v>
      </c>
      <c r="C151" s="158" t="b">
        <f t="shared" si="2"/>
        <v>1</v>
      </c>
      <c r="D151" s="158" t="str">
        <f t="shared" si="3"/>
        <v/>
      </c>
      <c r="E151" s="158" t="str">
        <f t="shared" si="4"/>
        <v/>
      </c>
      <c r="F151" s="158" t="str">
        <f t="shared" si="5"/>
        <v/>
      </c>
      <c r="G151" s="158" t="str">
        <f t="shared" si="6"/>
        <v/>
      </c>
      <c r="H151" s="158" t="b">
        <f t="shared" si="7"/>
        <v>1</v>
      </c>
      <c r="I151" s="158">
        <f t="shared" si="8"/>
        <v>78</v>
      </c>
      <c r="J151" s="158">
        <f>IFERROR(__xludf.DUMMYFUNCTION("IF(O151,LET(w,IFERROR(MATCH(N151,UNIQUE(FILTER($N$44:$N$408,$O$44:$O$408=TRUE)),0),""""),IF(OR(w="""",w&gt;$B$6),"""",w)),"""")"),16.0)</f>
        <v>16</v>
      </c>
      <c r="K151" s="158" t="str">
        <f t="shared" si="9"/>
        <v>Term 2</v>
      </c>
      <c r="L151" s="158">
        <f t="shared" si="10"/>
        <v>4</v>
      </c>
      <c r="M151" s="159" t="b">
        <f t="shared" si="11"/>
        <v>0</v>
      </c>
      <c r="N151" s="160">
        <f t="shared" si="12"/>
        <v>46349</v>
      </c>
      <c r="O151" s="163" t="b">
        <f t="shared" si="13"/>
        <v>1</v>
      </c>
      <c r="Q151" s="163">
        <f t="shared" si="14"/>
        <v>0</v>
      </c>
    </row>
    <row r="152" ht="15.75" customHeight="1">
      <c r="A152" s="174">
        <f t="shared" si="15"/>
        <v>46352</v>
      </c>
      <c r="B152" s="176" t="str">
        <f t="shared" si="1"/>
        <v>Thursday</v>
      </c>
      <c r="C152" s="158" t="b">
        <f t="shared" si="2"/>
        <v>1</v>
      </c>
      <c r="D152" s="158" t="str">
        <f t="shared" si="3"/>
        <v/>
      </c>
      <c r="E152" s="158" t="str">
        <f t="shared" si="4"/>
        <v/>
      </c>
      <c r="F152" s="158" t="str">
        <f t="shared" si="5"/>
        <v/>
      </c>
      <c r="G152" s="158" t="str">
        <f t="shared" si="6"/>
        <v/>
      </c>
      <c r="H152" s="158" t="b">
        <f t="shared" si="7"/>
        <v>1</v>
      </c>
      <c r="I152" s="158">
        <f t="shared" si="8"/>
        <v>79</v>
      </c>
      <c r="J152" s="158">
        <f>IFERROR(__xludf.DUMMYFUNCTION("IF(O152,LET(w,IFERROR(MATCH(N152,UNIQUE(FILTER($N$44:$N$408,$O$44:$O$408=TRUE)),0),""""),IF(OR(w="""",w&gt;$B$6),"""",w)),"""")"),16.0)</f>
        <v>16</v>
      </c>
      <c r="K152" s="158" t="str">
        <f t="shared" si="9"/>
        <v>Term 2</v>
      </c>
      <c r="L152" s="158">
        <f t="shared" si="10"/>
        <v>4</v>
      </c>
      <c r="M152" s="159" t="b">
        <f t="shared" si="11"/>
        <v>0</v>
      </c>
      <c r="N152" s="160">
        <f t="shared" si="12"/>
        <v>46349</v>
      </c>
      <c r="O152" s="163" t="b">
        <f t="shared" si="13"/>
        <v>1</v>
      </c>
      <c r="Q152" s="163">
        <f t="shared" si="14"/>
        <v>0</v>
      </c>
    </row>
    <row r="153" ht="15.75" customHeight="1">
      <c r="A153" s="174">
        <f t="shared" si="15"/>
        <v>46353</v>
      </c>
      <c r="B153" s="176" t="str">
        <f t="shared" si="1"/>
        <v>Friday</v>
      </c>
      <c r="C153" s="158" t="b">
        <f t="shared" si="2"/>
        <v>1</v>
      </c>
      <c r="D153" s="158" t="str">
        <f t="shared" si="3"/>
        <v/>
      </c>
      <c r="E153" s="158" t="str">
        <f t="shared" si="4"/>
        <v/>
      </c>
      <c r="F153" s="158" t="str">
        <f t="shared" si="5"/>
        <v/>
      </c>
      <c r="G153" s="158" t="str">
        <f t="shared" si="6"/>
        <v/>
      </c>
      <c r="H153" s="158" t="b">
        <f t="shared" si="7"/>
        <v>1</v>
      </c>
      <c r="I153" s="158">
        <f t="shared" si="8"/>
        <v>80</v>
      </c>
      <c r="J153" s="158">
        <f>IFERROR(__xludf.DUMMYFUNCTION("IF(O153,LET(w,IFERROR(MATCH(N153,UNIQUE(FILTER($N$44:$N$408,$O$44:$O$408=TRUE)),0),""""),IF(OR(w="""",w&gt;$B$6),"""",w)),"""")"),16.0)</f>
        <v>16</v>
      </c>
      <c r="K153" s="158" t="str">
        <f t="shared" si="9"/>
        <v>Term 2</v>
      </c>
      <c r="L153" s="158">
        <f t="shared" si="10"/>
        <v>4</v>
      </c>
      <c r="M153" s="159" t="b">
        <f t="shared" si="11"/>
        <v>0</v>
      </c>
      <c r="N153" s="160">
        <f t="shared" si="12"/>
        <v>46349</v>
      </c>
      <c r="O153" s="163" t="b">
        <f t="shared" si="13"/>
        <v>1</v>
      </c>
      <c r="Q153" s="163">
        <f t="shared" si="14"/>
        <v>0</v>
      </c>
    </row>
    <row r="154" ht="15.75" customHeight="1">
      <c r="A154" s="174">
        <f t="shared" si="15"/>
        <v>46354</v>
      </c>
      <c r="B154" s="176" t="str">
        <f t="shared" si="1"/>
        <v>Saturday</v>
      </c>
      <c r="C154" s="158" t="b">
        <f t="shared" si="2"/>
        <v>0</v>
      </c>
      <c r="D154" s="158" t="str">
        <f t="shared" si="3"/>
        <v/>
      </c>
      <c r="E154" s="158" t="str">
        <f t="shared" si="4"/>
        <v/>
      </c>
      <c r="F154" s="158" t="str">
        <f t="shared" si="5"/>
        <v/>
      </c>
      <c r="G154" s="158" t="str">
        <f t="shared" si="6"/>
        <v/>
      </c>
      <c r="H154" s="158" t="b">
        <f t="shared" si="7"/>
        <v>0</v>
      </c>
      <c r="I154" s="158" t="str">
        <f t="shared" si="8"/>
        <v/>
      </c>
      <c r="J154" s="158">
        <f>IFERROR(__xludf.DUMMYFUNCTION("IF(O154,LET(w,IFERROR(MATCH(N154,UNIQUE(FILTER($N$44:$N$408,$O$44:$O$408=TRUE)),0),""""),IF(OR(w="""",w&gt;$B$6),"""",w)),"""")"),16.0)</f>
        <v>16</v>
      </c>
      <c r="K154" s="158" t="str">
        <f t="shared" si="9"/>
        <v>Term 2</v>
      </c>
      <c r="L154" s="158">
        <f t="shared" si="10"/>
        <v>4</v>
      </c>
      <c r="M154" s="159" t="b">
        <f t="shared" si="11"/>
        <v>0</v>
      </c>
      <c r="N154" s="160">
        <f t="shared" si="12"/>
        <v>46349</v>
      </c>
      <c r="O154" s="163" t="b">
        <f t="shared" si="13"/>
        <v>1</v>
      </c>
      <c r="Q154" s="163">
        <f t="shared" si="14"/>
        <v>0</v>
      </c>
    </row>
    <row r="155" ht="15.75" customHeight="1">
      <c r="A155" s="174">
        <f t="shared" si="15"/>
        <v>46355</v>
      </c>
      <c r="B155" s="176" t="str">
        <f t="shared" si="1"/>
        <v>Sunday</v>
      </c>
      <c r="C155" s="158" t="b">
        <f t="shared" si="2"/>
        <v>0</v>
      </c>
      <c r="D155" s="158" t="str">
        <f t="shared" si="3"/>
        <v/>
      </c>
      <c r="E155" s="158" t="str">
        <f t="shared" si="4"/>
        <v/>
      </c>
      <c r="F155" s="158" t="str">
        <f t="shared" si="5"/>
        <v/>
      </c>
      <c r="G155" s="158" t="str">
        <f t="shared" si="6"/>
        <v/>
      </c>
      <c r="H155" s="158" t="b">
        <f t="shared" si="7"/>
        <v>0</v>
      </c>
      <c r="I155" s="158" t="str">
        <f t="shared" si="8"/>
        <v/>
      </c>
      <c r="J155" s="158">
        <f>IFERROR(__xludf.DUMMYFUNCTION("IF(O155,LET(w,IFERROR(MATCH(N155,UNIQUE(FILTER($N$44:$N$408,$O$44:$O$408=TRUE)),0),""""),IF(OR(w="""",w&gt;$B$6),"""",w)),"""")"),16.0)</f>
        <v>16</v>
      </c>
      <c r="K155" s="158" t="str">
        <f t="shared" si="9"/>
        <v>Term 2</v>
      </c>
      <c r="L155" s="158">
        <f t="shared" si="10"/>
        <v>4</v>
      </c>
      <c r="M155" s="159" t="b">
        <f t="shared" si="11"/>
        <v>0</v>
      </c>
      <c r="N155" s="160">
        <f t="shared" si="12"/>
        <v>46349</v>
      </c>
      <c r="O155" s="163" t="b">
        <f t="shared" si="13"/>
        <v>1</v>
      </c>
      <c r="Q155" s="163">
        <f t="shared" si="14"/>
        <v>0</v>
      </c>
    </row>
    <row r="156" ht="15.75" customHeight="1">
      <c r="A156" s="174">
        <f t="shared" si="15"/>
        <v>46356</v>
      </c>
      <c r="B156" s="176" t="str">
        <f t="shared" si="1"/>
        <v>Monday</v>
      </c>
      <c r="C156" s="158" t="b">
        <f t="shared" si="2"/>
        <v>1</v>
      </c>
      <c r="D156" s="158" t="str">
        <f t="shared" si="3"/>
        <v/>
      </c>
      <c r="E156" s="158" t="str">
        <f t="shared" si="4"/>
        <v/>
      </c>
      <c r="F156" s="158" t="str">
        <f t="shared" si="5"/>
        <v/>
      </c>
      <c r="G156" s="158" t="str">
        <f t="shared" si="6"/>
        <v/>
      </c>
      <c r="H156" s="158" t="b">
        <f t="shared" si="7"/>
        <v>1</v>
      </c>
      <c r="I156" s="158">
        <f t="shared" si="8"/>
        <v>81</v>
      </c>
      <c r="J156" s="158">
        <f>IFERROR(__xludf.DUMMYFUNCTION("IF(O156,LET(w,IFERROR(MATCH(N156,UNIQUE(FILTER($N$44:$N$408,$O$44:$O$408=TRUE)),0),""""),IF(OR(w="""",w&gt;$B$6),"""",w)),"""")"),17.0)</f>
        <v>17</v>
      </c>
      <c r="K156" s="158" t="str">
        <f t="shared" si="9"/>
        <v>Term 2</v>
      </c>
      <c r="L156" s="158">
        <f t="shared" si="10"/>
        <v>5</v>
      </c>
      <c r="M156" s="159" t="b">
        <f t="shared" si="11"/>
        <v>0</v>
      </c>
      <c r="N156" s="160">
        <f t="shared" si="12"/>
        <v>46356</v>
      </c>
      <c r="O156" s="163" t="b">
        <f t="shared" si="13"/>
        <v>1</v>
      </c>
      <c r="Q156" s="163">
        <f t="shared" si="14"/>
        <v>0</v>
      </c>
    </row>
    <row r="157" ht="15.75" customHeight="1">
      <c r="A157" s="174">
        <f t="shared" si="15"/>
        <v>46357</v>
      </c>
      <c r="B157" s="176" t="str">
        <f t="shared" si="1"/>
        <v>Tuesday</v>
      </c>
      <c r="C157" s="158" t="b">
        <f t="shared" si="2"/>
        <v>1</v>
      </c>
      <c r="D157" s="158" t="str">
        <f t="shared" si="3"/>
        <v/>
      </c>
      <c r="E157" s="158" t="str">
        <f t="shared" si="4"/>
        <v/>
      </c>
      <c r="F157" s="158" t="str">
        <f t="shared" si="5"/>
        <v/>
      </c>
      <c r="G157" s="158" t="str">
        <f t="shared" si="6"/>
        <v/>
      </c>
      <c r="H157" s="158" t="b">
        <f t="shared" si="7"/>
        <v>1</v>
      </c>
      <c r="I157" s="158">
        <f t="shared" si="8"/>
        <v>82</v>
      </c>
      <c r="J157" s="158">
        <f>IFERROR(__xludf.DUMMYFUNCTION("IF(O157,LET(w,IFERROR(MATCH(N157,UNIQUE(FILTER($N$44:$N$408,$O$44:$O$408=TRUE)),0),""""),IF(OR(w="""",w&gt;$B$6),"""",w)),"""")"),17.0)</f>
        <v>17</v>
      </c>
      <c r="K157" s="158" t="str">
        <f t="shared" si="9"/>
        <v>Term 2</v>
      </c>
      <c r="L157" s="158">
        <f t="shared" si="10"/>
        <v>5</v>
      </c>
      <c r="M157" s="159" t="b">
        <f t="shared" si="11"/>
        <v>0</v>
      </c>
      <c r="N157" s="160">
        <f t="shared" si="12"/>
        <v>46356</v>
      </c>
      <c r="O157" s="163" t="b">
        <f t="shared" si="13"/>
        <v>1</v>
      </c>
      <c r="Q157" s="163">
        <f t="shared" si="14"/>
        <v>0</v>
      </c>
    </row>
    <row r="158" ht="15.75" customHeight="1">
      <c r="A158" s="174">
        <f t="shared" si="15"/>
        <v>46358</v>
      </c>
      <c r="B158" s="176" t="str">
        <f t="shared" si="1"/>
        <v>Wednesday</v>
      </c>
      <c r="C158" s="158" t="b">
        <f t="shared" si="2"/>
        <v>1</v>
      </c>
      <c r="D158" s="158" t="str">
        <f t="shared" si="3"/>
        <v/>
      </c>
      <c r="E158" s="158" t="str">
        <f t="shared" si="4"/>
        <v/>
      </c>
      <c r="F158" s="158" t="str">
        <f t="shared" si="5"/>
        <v/>
      </c>
      <c r="G158" s="158" t="str">
        <f t="shared" si="6"/>
        <v/>
      </c>
      <c r="H158" s="158" t="b">
        <f t="shared" si="7"/>
        <v>1</v>
      </c>
      <c r="I158" s="158">
        <f t="shared" si="8"/>
        <v>83</v>
      </c>
      <c r="J158" s="158">
        <f>IFERROR(__xludf.DUMMYFUNCTION("IF(O158,LET(w,IFERROR(MATCH(N158,UNIQUE(FILTER($N$44:$N$408,$O$44:$O$408=TRUE)),0),""""),IF(OR(w="""",w&gt;$B$6),"""",w)),"""")"),17.0)</f>
        <v>17</v>
      </c>
      <c r="K158" s="158" t="str">
        <f t="shared" si="9"/>
        <v>Term 2</v>
      </c>
      <c r="L158" s="158">
        <f t="shared" si="10"/>
        <v>5</v>
      </c>
      <c r="M158" s="159" t="b">
        <f t="shared" si="11"/>
        <v>0</v>
      </c>
      <c r="N158" s="160">
        <f t="shared" si="12"/>
        <v>46356</v>
      </c>
      <c r="O158" s="163" t="b">
        <f t="shared" si="13"/>
        <v>1</v>
      </c>
      <c r="Q158" s="163">
        <f t="shared" si="14"/>
        <v>0</v>
      </c>
    </row>
    <row r="159" ht="15.75" customHeight="1">
      <c r="A159" s="174">
        <f t="shared" si="15"/>
        <v>46359</v>
      </c>
      <c r="B159" s="176" t="str">
        <f t="shared" si="1"/>
        <v>Thursday</v>
      </c>
      <c r="C159" s="158" t="b">
        <f t="shared" si="2"/>
        <v>1</v>
      </c>
      <c r="D159" s="158" t="str">
        <f t="shared" si="3"/>
        <v/>
      </c>
      <c r="E159" s="158" t="str">
        <f t="shared" si="4"/>
        <v/>
      </c>
      <c r="F159" s="158" t="str">
        <f t="shared" si="5"/>
        <v/>
      </c>
      <c r="G159" s="158" t="str">
        <f t="shared" si="6"/>
        <v/>
      </c>
      <c r="H159" s="158" t="b">
        <f t="shared" si="7"/>
        <v>1</v>
      </c>
      <c r="I159" s="158">
        <f t="shared" si="8"/>
        <v>84</v>
      </c>
      <c r="J159" s="158">
        <f>IFERROR(__xludf.DUMMYFUNCTION("IF(O159,LET(w,IFERROR(MATCH(N159,UNIQUE(FILTER($N$44:$N$408,$O$44:$O$408=TRUE)),0),""""),IF(OR(w="""",w&gt;$B$6),"""",w)),"""")"),17.0)</f>
        <v>17</v>
      </c>
      <c r="K159" s="158" t="str">
        <f t="shared" si="9"/>
        <v>Term 2</v>
      </c>
      <c r="L159" s="158">
        <f t="shared" si="10"/>
        <v>5</v>
      </c>
      <c r="M159" s="159" t="b">
        <f t="shared" si="11"/>
        <v>0</v>
      </c>
      <c r="N159" s="160">
        <f t="shared" si="12"/>
        <v>46356</v>
      </c>
      <c r="O159" s="163" t="b">
        <f t="shared" si="13"/>
        <v>1</v>
      </c>
      <c r="Q159" s="163">
        <f t="shared" si="14"/>
        <v>0</v>
      </c>
    </row>
    <row r="160" ht="15.75" customHeight="1">
      <c r="A160" s="174">
        <f t="shared" si="15"/>
        <v>46360</v>
      </c>
      <c r="B160" s="176" t="str">
        <f t="shared" si="1"/>
        <v>Friday</v>
      </c>
      <c r="C160" s="158" t="b">
        <f t="shared" si="2"/>
        <v>1</v>
      </c>
      <c r="D160" s="158" t="str">
        <f t="shared" si="3"/>
        <v/>
      </c>
      <c r="E160" s="158" t="str">
        <f t="shared" si="4"/>
        <v/>
      </c>
      <c r="F160" s="158" t="str">
        <f t="shared" si="5"/>
        <v/>
      </c>
      <c r="G160" s="158" t="str">
        <f t="shared" si="6"/>
        <v/>
      </c>
      <c r="H160" s="158" t="b">
        <f t="shared" si="7"/>
        <v>1</v>
      </c>
      <c r="I160" s="158">
        <f t="shared" si="8"/>
        <v>85</v>
      </c>
      <c r="J160" s="158">
        <f>IFERROR(__xludf.DUMMYFUNCTION("IF(O160,LET(w,IFERROR(MATCH(N160,UNIQUE(FILTER($N$44:$N$408,$O$44:$O$408=TRUE)),0),""""),IF(OR(w="""",w&gt;$B$6),"""",w)),"""")"),17.0)</f>
        <v>17</v>
      </c>
      <c r="K160" s="158" t="str">
        <f t="shared" si="9"/>
        <v>Term 2</v>
      </c>
      <c r="L160" s="158">
        <f t="shared" si="10"/>
        <v>5</v>
      </c>
      <c r="M160" s="159" t="b">
        <f t="shared" si="11"/>
        <v>0</v>
      </c>
      <c r="N160" s="160">
        <f t="shared" si="12"/>
        <v>46356</v>
      </c>
      <c r="O160" s="163" t="b">
        <f t="shared" si="13"/>
        <v>1</v>
      </c>
      <c r="Q160" s="163">
        <f t="shared" si="14"/>
        <v>0</v>
      </c>
    </row>
    <row r="161" ht="15.75" customHeight="1">
      <c r="A161" s="174">
        <f t="shared" si="15"/>
        <v>46361</v>
      </c>
      <c r="B161" s="176" t="str">
        <f t="shared" si="1"/>
        <v>Saturday</v>
      </c>
      <c r="C161" s="158" t="b">
        <f t="shared" si="2"/>
        <v>0</v>
      </c>
      <c r="D161" s="158" t="str">
        <f t="shared" si="3"/>
        <v/>
      </c>
      <c r="E161" s="158" t="str">
        <f t="shared" si="4"/>
        <v/>
      </c>
      <c r="F161" s="158" t="str">
        <f t="shared" si="5"/>
        <v/>
      </c>
      <c r="G161" s="158" t="str">
        <f t="shared" si="6"/>
        <v/>
      </c>
      <c r="H161" s="158" t="b">
        <f t="shared" si="7"/>
        <v>0</v>
      </c>
      <c r="I161" s="158" t="str">
        <f t="shared" si="8"/>
        <v/>
      </c>
      <c r="J161" s="158">
        <f>IFERROR(__xludf.DUMMYFUNCTION("IF(O161,LET(w,IFERROR(MATCH(N161,UNIQUE(FILTER($N$44:$N$408,$O$44:$O$408=TRUE)),0),""""),IF(OR(w="""",w&gt;$B$6),"""",w)),"""")"),17.0)</f>
        <v>17</v>
      </c>
      <c r="K161" s="158" t="str">
        <f t="shared" si="9"/>
        <v>Term 2</v>
      </c>
      <c r="L161" s="158">
        <f t="shared" si="10"/>
        <v>5</v>
      </c>
      <c r="M161" s="159" t="b">
        <f t="shared" si="11"/>
        <v>0</v>
      </c>
      <c r="N161" s="160">
        <f t="shared" si="12"/>
        <v>46356</v>
      </c>
      <c r="O161" s="163" t="b">
        <f t="shared" si="13"/>
        <v>1</v>
      </c>
      <c r="Q161" s="163">
        <f t="shared" si="14"/>
        <v>0</v>
      </c>
    </row>
    <row r="162" ht="15.75" customHeight="1">
      <c r="A162" s="174">
        <f t="shared" si="15"/>
        <v>46362</v>
      </c>
      <c r="B162" s="176" t="str">
        <f t="shared" si="1"/>
        <v>Sunday</v>
      </c>
      <c r="C162" s="158" t="b">
        <f t="shared" si="2"/>
        <v>0</v>
      </c>
      <c r="D162" s="158" t="str">
        <f t="shared" si="3"/>
        <v/>
      </c>
      <c r="E162" s="158" t="str">
        <f t="shared" si="4"/>
        <v/>
      </c>
      <c r="F162" s="158" t="str">
        <f t="shared" si="5"/>
        <v/>
      </c>
      <c r="G162" s="158" t="str">
        <f t="shared" si="6"/>
        <v/>
      </c>
      <c r="H162" s="158" t="b">
        <f t="shared" si="7"/>
        <v>0</v>
      </c>
      <c r="I162" s="158" t="str">
        <f t="shared" si="8"/>
        <v/>
      </c>
      <c r="J162" s="158">
        <f>IFERROR(__xludf.DUMMYFUNCTION("IF(O162,LET(w,IFERROR(MATCH(N162,UNIQUE(FILTER($N$44:$N$408,$O$44:$O$408=TRUE)),0),""""),IF(OR(w="""",w&gt;$B$6),"""",w)),"""")"),17.0)</f>
        <v>17</v>
      </c>
      <c r="K162" s="158" t="str">
        <f t="shared" si="9"/>
        <v>Term 2</v>
      </c>
      <c r="L162" s="158">
        <f t="shared" si="10"/>
        <v>5</v>
      </c>
      <c r="M162" s="159" t="b">
        <f t="shared" si="11"/>
        <v>0</v>
      </c>
      <c r="N162" s="160">
        <f t="shared" si="12"/>
        <v>46356</v>
      </c>
      <c r="O162" s="163" t="b">
        <f t="shared" si="13"/>
        <v>1</v>
      </c>
      <c r="Q162" s="163">
        <f t="shared" si="14"/>
        <v>0</v>
      </c>
    </row>
    <row r="163" ht="15.75" customHeight="1">
      <c r="A163" s="174">
        <f t="shared" si="15"/>
        <v>46363</v>
      </c>
      <c r="B163" s="176" t="str">
        <f t="shared" si="1"/>
        <v>Monday</v>
      </c>
      <c r="C163" s="158" t="b">
        <f t="shared" si="2"/>
        <v>1</v>
      </c>
      <c r="D163" s="158" t="str">
        <f t="shared" si="3"/>
        <v/>
      </c>
      <c r="E163" s="158" t="str">
        <f t="shared" si="4"/>
        <v/>
      </c>
      <c r="F163" s="158" t="str">
        <f t="shared" si="5"/>
        <v/>
      </c>
      <c r="G163" s="158" t="str">
        <f t="shared" si="6"/>
        <v/>
      </c>
      <c r="H163" s="158" t="b">
        <f t="shared" si="7"/>
        <v>1</v>
      </c>
      <c r="I163" s="158">
        <f t="shared" si="8"/>
        <v>86</v>
      </c>
      <c r="J163" s="158">
        <f>IFERROR(__xludf.DUMMYFUNCTION("IF(O163,LET(w,IFERROR(MATCH(N163,UNIQUE(FILTER($N$44:$N$408,$O$44:$O$408=TRUE)),0),""""),IF(OR(w="""",w&gt;$B$6),"""",w)),"""")"),18.0)</f>
        <v>18</v>
      </c>
      <c r="K163" s="158" t="str">
        <f t="shared" si="9"/>
        <v>Term 2</v>
      </c>
      <c r="L163" s="158">
        <f t="shared" si="10"/>
        <v>6</v>
      </c>
      <c r="M163" s="159" t="b">
        <f t="shared" si="11"/>
        <v>0</v>
      </c>
      <c r="N163" s="160">
        <f t="shared" si="12"/>
        <v>46363</v>
      </c>
      <c r="O163" s="163" t="b">
        <f t="shared" si="13"/>
        <v>1</v>
      </c>
      <c r="Q163" s="163">
        <f t="shared" si="14"/>
        <v>0</v>
      </c>
    </row>
    <row r="164" ht="15.75" customHeight="1">
      <c r="A164" s="174">
        <f t="shared" si="15"/>
        <v>46364</v>
      </c>
      <c r="B164" s="176" t="str">
        <f t="shared" si="1"/>
        <v>Tuesday</v>
      </c>
      <c r="C164" s="158" t="b">
        <f t="shared" si="2"/>
        <v>1</v>
      </c>
      <c r="D164" s="158" t="str">
        <f t="shared" si="3"/>
        <v/>
      </c>
      <c r="E164" s="158" t="str">
        <f t="shared" si="4"/>
        <v/>
      </c>
      <c r="F164" s="158" t="str">
        <f t="shared" si="5"/>
        <v/>
      </c>
      <c r="G164" s="158" t="str">
        <f t="shared" si="6"/>
        <v/>
      </c>
      <c r="H164" s="158" t="b">
        <f t="shared" si="7"/>
        <v>1</v>
      </c>
      <c r="I164" s="158">
        <f t="shared" si="8"/>
        <v>87</v>
      </c>
      <c r="J164" s="158">
        <f>IFERROR(__xludf.DUMMYFUNCTION("IF(O164,LET(w,IFERROR(MATCH(N164,UNIQUE(FILTER($N$44:$N$408,$O$44:$O$408=TRUE)),0),""""),IF(OR(w="""",w&gt;$B$6),"""",w)),"""")"),18.0)</f>
        <v>18</v>
      </c>
      <c r="K164" s="158" t="str">
        <f t="shared" si="9"/>
        <v>Term 2</v>
      </c>
      <c r="L164" s="158">
        <f t="shared" si="10"/>
        <v>6</v>
      </c>
      <c r="M164" s="159" t="b">
        <f t="shared" si="11"/>
        <v>0</v>
      </c>
      <c r="N164" s="160">
        <f t="shared" si="12"/>
        <v>46363</v>
      </c>
      <c r="O164" s="163" t="b">
        <f t="shared" si="13"/>
        <v>1</v>
      </c>
      <c r="Q164" s="163">
        <f t="shared" si="14"/>
        <v>0</v>
      </c>
    </row>
    <row r="165" ht="15.75" customHeight="1">
      <c r="A165" s="174">
        <f t="shared" si="15"/>
        <v>46365</v>
      </c>
      <c r="B165" s="176" t="str">
        <f t="shared" si="1"/>
        <v>Wednesday</v>
      </c>
      <c r="C165" s="158" t="b">
        <f t="shared" si="2"/>
        <v>1</v>
      </c>
      <c r="D165" s="158" t="str">
        <f t="shared" si="3"/>
        <v/>
      </c>
      <c r="E165" s="158" t="str">
        <f t="shared" si="4"/>
        <v/>
      </c>
      <c r="F165" s="158" t="str">
        <f t="shared" si="5"/>
        <v/>
      </c>
      <c r="G165" s="158" t="str">
        <f t="shared" si="6"/>
        <v/>
      </c>
      <c r="H165" s="158" t="b">
        <f t="shared" si="7"/>
        <v>1</v>
      </c>
      <c r="I165" s="158">
        <f t="shared" si="8"/>
        <v>88</v>
      </c>
      <c r="J165" s="158">
        <f>IFERROR(__xludf.DUMMYFUNCTION("IF(O165,LET(w,IFERROR(MATCH(N165,UNIQUE(FILTER($N$44:$N$408,$O$44:$O$408=TRUE)),0),""""),IF(OR(w="""",w&gt;$B$6),"""",w)),"""")"),18.0)</f>
        <v>18</v>
      </c>
      <c r="K165" s="158" t="str">
        <f t="shared" si="9"/>
        <v>Term 2</v>
      </c>
      <c r="L165" s="158">
        <f t="shared" si="10"/>
        <v>6</v>
      </c>
      <c r="M165" s="159" t="b">
        <f t="shared" si="11"/>
        <v>0</v>
      </c>
      <c r="N165" s="160">
        <f t="shared" si="12"/>
        <v>46363</v>
      </c>
      <c r="O165" s="163" t="b">
        <f t="shared" si="13"/>
        <v>1</v>
      </c>
      <c r="Q165" s="163">
        <f t="shared" si="14"/>
        <v>0</v>
      </c>
    </row>
    <row r="166" ht="15.75" customHeight="1">
      <c r="A166" s="174">
        <f t="shared" si="15"/>
        <v>46366</v>
      </c>
      <c r="B166" s="176" t="str">
        <f t="shared" si="1"/>
        <v>Thursday</v>
      </c>
      <c r="C166" s="158" t="b">
        <f t="shared" si="2"/>
        <v>1</v>
      </c>
      <c r="D166" s="158" t="str">
        <f t="shared" si="3"/>
        <v/>
      </c>
      <c r="E166" s="158" t="str">
        <f t="shared" si="4"/>
        <v/>
      </c>
      <c r="F166" s="158" t="str">
        <f t="shared" si="5"/>
        <v/>
      </c>
      <c r="G166" s="158" t="str">
        <f t="shared" si="6"/>
        <v/>
      </c>
      <c r="H166" s="158" t="b">
        <f t="shared" si="7"/>
        <v>1</v>
      </c>
      <c r="I166" s="158">
        <f t="shared" si="8"/>
        <v>89</v>
      </c>
      <c r="J166" s="158">
        <f>IFERROR(__xludf.DUMMYFUNCTION("IF(O166,LET(w,IFERROR(MATCH(N166,UNIQUE(FILTER($N$44:$N$408,$O$44:$O$408=TRUE)),0),""""),IF(OR(w="""",w&gt;$B$6),"""",w)),"""")"),18.0)</f>
        <v>18</v>
      </c>
      <c r="K166" s="158" t="str">
        <f t="shared" si="9"/>
        <v>Term 2</v>
      </c>
      <c r="L166" s="158">
        <f t="shared" si="10"/>
        <v>6</v>
      </c>
      <c r="M166" s="159" t="b">
        <f t="shared" si="11"/>
        <v>0</v>
      </c>
      <c r="N166" s="160">
        <f t="shared" si="12"/>
        <v>46363</v>
      </c>
      <c r="O166" s="163" t="b">
        <f t="shared" si="13"/>
        <v>1</v>
      </c>
      <c r="Q166" s="163">
        <f t="shared" si="14"/>
        <v>0</v>
      </c>
    </row>
    <row r="167" ht="15.75" customHeight="1">
      <c r="A167" s="174">
        <f t="shared" si="15"/>
        <v>46367</v>
      </c>
      <c r="B167" s="176" t="str">
        <f t="shared" si="1"/>
        <v>Friday</v>
      </c>
      <c r="C167" s="158" t="b">
        <f t="shared" si="2"/>
        <v>1</v>
      </c>
      <c r="D167" s="158" t="str">
        <f t="shared" si="3"/>
        <v/>
      </c>
      <c r="E167" s="158" t="str">
        <f t="shared" si="4"/>
        <v/>
      </c>
      <c r="F167" s="158" t="str">
        <f t="shared" si="5"/>
        <v/>
      </c>
      <c r="G167" s="158" t="str">
        <f t="shared" si="6"/>
        <v/>
      </c>
      <c r="H167" s="158" t="b">
        <f t="shared" si="7"/>
        <v>1</v>
      </c>
      <c r="I167" s="158">
        <f t="shared" si="8"/>
        <v>90</v>
      </c>
      <c r="J167" s="158">
        <f>IFERROR(__xludf.DUMMYFUNCTION("IF(O167,LET(w,IFERROR(MATCH(N167,UNIQUE(FILTER($N$44:$N$408,$O$44:$O$408=TRUE)),0),""""),IF(OR(w="""",w&gt;$B$6),"""",w)),"""")"),18.0)</f>
        <v>18</v>
      </c>
      <c r="K167" s="158" t="str">
        <f t="shared" si="9"/>
        <v>Term 2</v>
      </c>
      <c r="L167" s="158">
        <f t="shared" si="10"/>
        <v>6</v>
      </c>
      <c r="M167" s="159" t="b">
        <f t="shared" si="11"/>
        <v>0</v>
      </c>
      <c r="N167" s="160">
        <f t="shared" si="12"/>
        <v>46363</v>
      </c>
      <c r="O167" s="163" t="b">
        <f t="shared" si="13"/>
        <v>1</v>
      </c>
      <c r="Q167" s="163">
        <f t="shared" si="14"/>
        <v>0</v>
      </c>
    </row>
    <row r="168" ht="15.75" customHeight="1">
      <c r="A168" s="174">
        <f t="shared" si="15"/>
        <v>46368</v>
      </c>
      <c r="B168" s="176" t="str">
        <f t="shared" si="1"/>
        <v>Saturday</v>
      </c>
      <c r="C168" s="158" t="b">
        <f t="shared" si="2"/>
        <v>0</v>
      </c>
      <c r="D168" s="158" t="str">
        <f t="shared" si="3"/>
        <v/>
      </c>
      <c r="E168" s="158" t="str">
        <f t="shared" si="4"/>
        <v/>
      </c>
      <c r="F168" s="158" t="str">
        <f t="shared" si="5"/>
        <v/>
      </c>
      <c r="G168" s="158" t="str">
        <f t="shared" si="6"/>
        <v/>
      </c>
      <c r="H168" s="158" t="b">
        <f t="shared" si="7"/>
        <v>0</v>
      </c>
      <c r="I168" s="158" t="str">
        <f t="shared" si="8"/>
        <v/>
      </c>
      <c r="J168" s="158">
        <f>IFERROR(__xludf.DUMMYFUNCTION("IF(O168,LET(w,IFERROR(MATCH(N168,UNIQUE(FILTER($N$44:$N$408,$O$44:$O$408=TRUE)),0),""""),IF(OR(w="""",w&gt;$B$6),"""",w)),"""")"),18.0)</f>
        <v>18</v>
      </c>
      <c r="K168" s="158" t="str">
        <f t="shared" si="9"/>
        <v>Term 2</v>
      </c>
      <c r="L168" s="158">
        <f t="shared" si="10"/>
        <v>6</v>
      </c>
      <c r="M168" s="159" t="b">
        <f t="shared" si="11"/>
        <v>0</v>
      </c>
      <c r="N168" s="160">
        <f t="shared" si="12"/>
        <v>46363</v>
      </c>
      <c r="O168" s="163" t="b">
        <f t="shared" si="13"/>
        <v>1</v>
      </c>
      <c r="Q168" s="163">
        <f t="shared" si="14"/>
        <v>0</v>
      </c>
    </row>
    <row r="169" ht="15.75" customHeight="1">
      <c r="A169" s="174">
        <f t="shared" si="15"/>
        <v>46369</v>
      </c>
      <c r="B169" s="176" t="str">
        <f t="shared" si="1"/>
        <v>Sunday</v>
      </c>
      <c r="C169" s="158" t="b">
        <f t="shared" si="2"/>
        <v>0</v>
      </c>
      <c r="D169" s="158" t="str">
        <f t="shared" si="3"/>
        <v/>
      </c>
      <c r="E169" s="158" t="str">
        <f t="shared" si="4"/>
        <v/>
      </c>
      <c r="F169" s="158" t="str">
        <f t="shared" si="5"/>
        <v/>
      </c>
      <c r="G169" s="158" t="str">
        <f t="shared" si="6"/>
        <v/>
      </c>
      <c r="H169" s="158" t="b">
        <f t="shared" si="7"/>
        <v>0</v>
      </c>
      <c r="I169" s="158" t="str">
        <f t="shared" si="8"/>
        <v/>
      </c>
      <c r="J169" s="158">
        <f>IFERROR(__xludf.DUMMYFUNCTION("IF(O169,LET(w,IFERROR(MATCH(N169,UNIQUE(FILTER($N$44:$N$408,$O$44:$O$408=TRUE)),0),""""),IF(OR(w="""",w&gt;$B$6),"""",w)),"""")"),18.0)</f>
        <v>18</v>
      </c>
      <c r="K169" s="158" t="str">
        <f t="shared" si="9"/>
        <v>Term 2</v>
      </c>
      <c r="L169" s="158">
        <f t="shared" si="10"/>
        <v>6</v>
      </c>
      <c r="M169" s="159" t="b">
        <f t="shared" si="11"/>
        <v>0</v>
      </c>
      <c r="N169" s="160">
        <f t="shared" si="12"/>
        <v>46363</v>
      </c>
      <c r="O169" s="163" t="b">
        <f t="shared" si="13"/>
        <v>1</v>
      </c>
      <c r="Q169" s="163">
        <f t="shared" si="14"/>
        <v>0</v>
      </c>
    </row>
    <row r="170" ht="15.75" customHeight="1">
      <c r="A170" s="174">
        <f t="shared" si="15"/>
        <v>46370</v>
      </c>
      <c r="B170" s="176" t="str">
        <f t="shared" si="1"/>
        <v>Monday</v>
      </c>
      <c r="C170" s="158" t="b">
        <f t="shared" si="2"/>
        <v>1</v>
      </c>
      <c r="D170" s="158" t="str">
        <f t="shared" si="3"/>
        <v/>
      </c>
      <c r="E170" s="158" t="str">
        <f t="shared" si="4"/>
        <v/>
      </c>
      <c r="F170" s="158" t="str">
        <f t="shared" si="5"/>
        <v/>
      </c>
      <c r="G170" s="158" t="str">
        <f t="shared" si="6"/>
        <v/>
      </c>
      <c r="H170" s="158" t="b">
        <f t="shared" si="7"/>
        <v>1</v>
      </c>
      <c r="I170" s="158">
        <f t="shared" si="8"/>
        <v>91</v>
      </c>
      <c r="J170" s="158">
        <f>IFERROR(__xludf.DUMMYFUNCTION("IF(O170,LET(w,IFERROR(MATCH(N170,UNIQUE(FILTER($N$44:$N$408,$O$44:$O$408=TRUE)),0),""""),IF(OR(w="""",w&gt;$B$6),"""",w)),"""")"),19.0)</f>
        <v>19</v>
      </c>
      <c r="K170" s="158" t="str">
        <f t="shared" si="9"/>
        <v>Term 2</v>
      </c>
      <c r="L170" s="158">
        <f t="shared" si="10"/>
        <v>7</v>
      </c>
      <c r="M170" s="159" t="b">
        <f t="shared" si="11"/>
        <v>0</v>
      </c>
      <c r="N170" s="160">
        <f t="shared" si="12"/>
        <v>46370</v>
      </c>
      <c r="O170" s="163" t="b">
        <f t="shared" si="13"/>
        <v>1</v>
      </c>
      <c r="Q170" s="163">
        <f t="shared" si="14"/>
        <v>0</v>
      </c>
    </row>
    <row r="171" ht="15.75" customHeight="1">
      <c r="A171" s="174">
        <f t="shared" si="15"/>
        <v>46371</v>
      </c>
      <c r="B171" s="176" t="str">
        <f t="shared" si="1"/>
        <v>Tuesday</v>
      </c>
      <c r="C171" s="158" t="b">
        <f t="shared" si="2"/>
        <v>1</v>
      </c>
      <c r="D171" s="158" t="str">
        <f t="shared" si="3"/>
        <v/>
      </c>
      <c r="E171" s="158" t="str">
        <f t="shared" si="4"/>
        <v/>
      </c>
      <c r="F171" s="158" t="str">
        <f t="shared" si="5"/>
        <v/>
      </c>
      <c r="G171" s="158" t="str">
        <f t="shared" si="6"/>
        <v/>
      </c>
      <c r="H171" s="158" t="b">
        <f t="shared" si="7"/>
        <v>1</v>
      </c>
      <c r="I171" s="158">
        <f t="shared" si="8"/>
        <v>92</v>
      </c>
      <c r="J171" s="158">
        <f>IFERROR(__xludf.DUMMYFUNCTION("IF(O171,LET(w,IFERROR(MATCH(N171,UNIQUE(FILTER($N$44:$N$408,$O$44:$O$408=TRUE)),0),""""),IF(OR(w="""",w&gt;$B$6),"""",w)),"""")"),19.0)</f>
        <v>19</v>
      </c>
      <c r="K171" s="158" t="str">
        <f t="shared" si="9"/>
        <v>Term 2</v>
      </c>
      <c r="L171" s="158">
        <f t="shared" si="10"/>
        <v>7</v>
      </c>
      <c r="M171" s="159" t="b">
        <f t="shared" si="11"/>
        <v>0</v>
      </c>
      <c r="N171" s="160">
        <f t="shared" si="12"/>
        <v>46370</v>
      </c>
      <c r="O171" s="163" t="b">
        <f t="shared" si="13"/>
        <v>1</v>
      </c>
      <c r="Q171" s="163">
        <f t="shared" si="14"/>
        <v>0</v>
      </c>
    </row>
    <row r="172" ht="15.75" customHeight="1">
      <c r="A172" s="174">
        <f t="shared" si="15"/>
        <v>46372</v>
      </c>
      <c r="B172" s="176" t="str">
        <f t="shared" si="1"/>
        <v>Wednesday</v>
      </c>
      <c r="C172" s="158" t="b">
        <f t="shared" si="2"/>
        <v>1</v>
      </c>
      <c r="D172" s="158" t="str">
        <f t="shared" si="3"/>
        <v/>
      </c>
      <c r="E172" s="158" t="str">
        <f t="shared" si="4"/>
        <v/>
      </c>
      <c r="F172" s="158" t="str">
        <f t="shared" si="5"/>
        <v/>
      </c>
      <c r="G172" s="158" t="str">
        <f t="shared" si="6"/>
        <v/>
      </c>
      <c r="H172" s="158" t="b">
        <f t="shared" si="7"/>
        <v>1</v>
      </c>
      <c r="I172" s="158">
        <f t="shared" si="8"/>
        <v>93</v>
      </c>
      <c r="J172" s="158">
        <f>IFERROR(__xludf.DUMMYFUNCTION("IF(O172,LET(w,IFERROR(MATCH(N172,UNIQUE(FILTER($N$44:$N$408,$O$44:$O$408=TRUE)),0),""""),IF(OR(w="""",w&gt;$B$6),"""",w)),"""")"),19.0)</f>
        <v>19</v>
      </c>
      <c r="K172" s="158" t="str">
        <f t="shared" si="9"/>
        <v>Term 2</v>
      </c>
      <c r="L172" s="158">
        <f t="shared" si="10"/>
        <v>7</v>
      </c>
      <c r="M172" s="159" t="b">
        <f t="shared" si="11"/>
        <v>0</v>
      </c>
      <c r="N172" s="160">
        <f t="shared" si="12"/>
        <v>46370</v>
      </c>
      <c r="O172" s="163" t="b">
        <f t="shared" si="13"/>
        <v>1</v>
      </c>
      <c r="Q172" s="163">
        <f t="shared" si="14"/>
        <v>0</v>
      </c>
    </row>
    <row r="173" ht="15.75" customHeight="1">
      <c r="A173" s="174">
        <f t="shared" si="15"/>
        <v>46373</v>
      </c>
      <c r="B173" s="176" t="str">
        <f t="shared" si="1"/>
        <v>Thursday</v>
      </c>
      <c r="C173" s="158" t="b">
        <f t="shared" si="2"/>
        <v>1</v>
      </c>
      <c r="D173" s="158" t="str">
        <f t="shared" si="3"/>
        <v/>
      </c>
      <c r="E173" s="158" t="str">
        <f t="shared" si="4"/>
        <v/>
      </c>
      <c r="F173" s="158" t="str">
        <f t="shared" si="5"/>
        <v/>
      </c>
      <c r="G173" s="158" t="str">
        <f t="shared" si="6"/>
        <v/>
      </c>
      <c r="H173" s="158" t="b">
        <f t="shared" si="7"/>
        <v>1</v>
      </c>
      <c r="I173" s="158">
        <f t="shared" si="8"/>
        <v>94</v>
      </c>
      <c r="J173" s="158">
        <f>IFERROR(__xludf.DUMMYFUNCTION("IF(O173,LET(w,IFERROR(MATCH(N173,UNIQUE(FILTER($N$44:$N$408,$O$44:$O$408=TRUE)),0),""""),IF(OR(w="""",w&gt;$B$6),"""",w)),"""")"),19.0)</f>
        <v>19</v>
      </c>
      <c r="K173" s="158" t="str">
        <f t="shared" si="9"/>
        <v>Term 2</v>
      </c>
      <c r="L173" s="158">
        <f t="shared" si="10"/>
        <v>7</v>
      </c>
      <c r="M173" s="159" t="b">
        <f t="shared" si="11"/>
        <v>0</v>
      </c>
      <c r="N173" s="160">
        <f t="shared" si="12"/>
        <v>46370</v>
      </c>
      <c r="O173" s="163" t="b">
        <f t="shared" si="13"/>
        <v>1</v>
      </c>
      <c r="Q173" s="163">
        <f t="shared" si="14"/>
        <v>0</v>
      </c>
    </row>
    <row r="174" ht="15.75" customHeight="1">
      <c r="A174" s="174">
        <f t="shared" si="15"/>
        <v>46374</v>
      </c>
      <c r="B174" s="176" t="str">
        <f t="shared" si="1"/>
        <v>Friday</v>
      </c>
      <c r="C174" s="158" t="b">
        <f t="shared" si="2"/>
        <v>1</v>
      </c>
      <c r="D174" s="158" t="str">
        <f t="shared" si="3"/>
        <v/>
      </c>
      <c r="E174" s="158" t="str">
        <f t="shared" si="4"/>
        <v/>
      </c>
      <c r="F174" s="158" t="str">
        <f t="shared" si="5"/>
        <v/>
      </c>
      <c r="G174" s="158" t="str">
        <f t="shared" si="6"/>
        <v/>
      </c>
      <c r="H174" s="158" t="b">
        <f t="shared" si="7"/>
        <v>1</v>
      </c>
      <c r="I174" s="158">
        <f t="shared" si="8"/>
        <v>95</v>
      </c>
      <c r="J174" s="158">
        <f>IFERROR(__xludf.DUMMYFUNCTION("IF(O174,LET(w,IFERROR(MATCH(N174,UNIQUE(FILTER($N$44:$N$408,$O$44:$O$408=TRUE)),0),""""),IF(OR(w="""",w&gt;$B$6),"""",w)),"""")"),19.0)</f>
        <v>19</v>
      </c>
      <c r="K174" s="158" t="str">
        <f t="shared" si="9"/>
        <v>Term 2</v>
      </c>
      <c r="L174" s="158">
        <f t="shared" si="10"/>
        <v>7</v>
      </c>
      <c r="M174" s="159" t="b">
        <f t="shared" si="11"/>
        <v>0</v>
      </c>
      <c r="N174" s="160">
        <f t="shared" si="12"/>
        <v>46370</v>
      </c>
      <c r="O174" s="163" t="b">
        <f t="shared" si="13"/>
        <v>1</v>
      </c>
      <c r="Q174" s="163">
        <f t="shared" si="14"/>
        <v>0</v>
      </c>
    </row>
    <row r="175" ht="15.75" customHeight="1">
      <c r="A175" s="174">
        <f t="shared" si="15"/>
        <v>46375</v>
      </c>
      <c r="B175" s="176" t="str">
        <f t="shared" si="1"/>
        <v>Saturday</v>
      </c>
      <c r="C175" s="158" t="b">
        <f t="shared" si="2"/>
        <v>0</v>
      </c>
      <c r="D175" s="158" t="str">
        <f t="shared" si="3"/>
        <v/>
      </c>
      <c r="E175" s="158" t="str">
        <f t="shared" si="4"/>
        <v/>
      </c>
      <c r="F175" s="158" t="str">
        <f t="shared" si="5"/>
        <v/>
      </c>
      <c r="G175" s="158" t="str">
        <f t="shared" si="6"/>
        <v/>
      </c>
      <c r="H175" s="158" t="b">
        <f t="shared" si="7"/>
        <v>0</v>
      </c>
      <c r="I175" s="158" t="str">
        <f t="shared" si="8"/>
        <v/>
      </c>
      <c r="J175" s="158">
        <f>IFERROR(__xludf.DUMMYFUNCTION("IF(O175,LET(w,IFERROR(MATCH(N175,UNIQUE(FILTER($N$44:$N$408,$O$44:$O$408=TRUE)),0),""""),IF(OR(w="""",w&gt;$B$6),"""",w)),"""")"),19.0)</f>
        <v>19</v>
      </c>
      <c r="K175" s="158" t="str">
        <f t="shared" si="9"/>
        <v>Term 2</v>
      </c>
      <c r="L175" s="158">
        <f t="shared" si="10"/>
        <v>7</v>
      </c>
      <c r="M175" s="159" t="b">
        <f t="shared" si="11"/>
        <v>0</v>
      </c>
      <c r="N175" s="160">
        <f t="shared" si="12"/>
        <v>46370</v>
      </c>
      <c r="O175" s="163" t="b">
        <f t="shared" si="13"/>
        <v>1</v>
      </c>
      <c r="Q175" s="163">
        <f t="shared" si="14"/>
        <v>0</v>
      </c>
    </row>
    <row r="176" ht="15.75" customHeight="1">
      <c r="A176" s="174">
        <f t="shared" si="15"/>
        <v>46376</v>
      </c>
      <c r="B176" s="176" t="str">
        <f t="shared" si="1"/>
        <v>Sunday</v>
      </c>
      <c r="C176" s="158" t="b">
        <f t="shared" si="2"/>
        <v>0</v>
      </c>
      <c r="D176" s="158" t="str">
        <f t="shared" si="3"/>
        <v/>
      </c>
      <c r="E176" s="158" t="str">
        <f t="shared" si="4"/>
        <v/>
      </c>
      <c r="F176" s="158" t="str">
        <f t="shared" si="5"/>
        <v/>
      </c>
      <c r="G176" s="158" t="str">
        <f t="shared" si="6"/>
        <v/>
      </c>
      <c r="H176" s="158" t="b">
        <f t="shared" si="7"/>
        <v>0</v>
      </c>
      <c r="I176" s="158" t="str">
        <f t="shared" si="8"/>
        <v/>
      </c>
      <c r="J176" s="158">
        <f>IFERROR(__xludf.DUMMYFUNCTION("IF(O176,LET(w,IFERROR(MATCH(N176,UNIQUE(FILTER($N$44:$N$408,$O$44:$O$408=TRUE)),0),""""),IF(OR(w="""",w&gt;$B$6),"""",w)),"""")"),19.0)</f>
        <v>19</v>
      </c>
      <c r="K176" s="158" t="str">
        <f t="shared" si="9"/>
        <v>Term 2</v>
      </c>
      <c r="L176" s="158">
        <f t="shared" si="10"/>
        <v>7</v>
      </c>
      <c r="M176" s="159" t="b">
        <f t="shared" si="11"/>
        <v>0</v>
      </c>
      <c r="N176" s="160">
        <f t="shared" si="12"/>
        <v>46370</v>
      </c>
      <c r="O176" s="163" t="b">
        <f t="shared" si="13"/>
        <v>1</v>
      </c>
      <c r="Q176" s="163">
        <f t="shared" si="14"/>
        <v>0</v>
      </c>
    </row>
    <row r="177" ht="15.75" customHeight="1">
      <c r="A177" s="174">
        <f t="shared" si="15"/>
        <v>46377</v>
      </c>
      <c r="B177" s="176" t="str">
        <f t="shared" si="1"/>
        <v>Monday</v>
      </c>
      <c r="C177" s="158" t="b">
        <f t="shared" si="2"/>
        <v>1</v>
      </c>
      <c r="D177" s="158" t="str">
        <f t="shared" si="3"/>
        <v/>
      </c>
      <c r="E177" s="158" t="str">
        <f t="shared" si="4"/>
        <v/>
      </c>
      <c r="F177" s="158" t="str">
        <f t="shared" si="5"/>
        <v/>
      </c>
      <c r="G177" s="158" t="str">
        <f t="shared" si="6"/>
        <v/>
      </c>
      <c r="H177" s="158" t="b">
        <f t="shared" si="7"/>
        <v>1</v>
      </c>
      <c r="I177" s="158">
        <f t="shared" si="8"/>
        <v>96</v>
      </c>
      <c r="J177" s="158">
        <f>IFERROR(__xludf.DUMMYFUNCTION("IF(O177,LET(w,IFERROR(MATCH(N177,UNIQUE(FILTER($N$44:$N$408,$O$44:$O$408=TRUE)),0),""""),IF(OR(w="""",w&gt;$B$6),"""",w)),"""")"),20.0)</f>
        <v>20</v>
      </c>
      <c r="K177" s="158" t="str">
        <f t="shared" si="9"/>
        <v>Term 2</v>
      </c>
      <c r="L177" s="158">
        <f t="shared" si="10"/>
        <v>8</v>
      </c>
      <c r="M177" s="159" t="b">
        <f t="shared" si="11"/>
        <v>0</v>
      </c>
      <c r="N177" s="160">
        <f t="shared" si="12"/>
        <v>46377</v>
      </c>
      <c r="O177" s="163" t="b">
        <f t="shared" si="13"/>
        <v>1</v>
      </c>
      <c r="Q177" s="163">
        <f t="shared" si="14"/>
        <v>0</v>
      </c>
    </row>
    <row r="178" ht="15.75" customHeight="1">
      <c r="A178" s="174">
        <f t="shared" si="15"/>
        <v>46378</v>
      </c>
      <c r="B178" s="176" t="str">
        <f t="shared" si="1"/>
        <v>Tuesday</v>
      </c>
      <c r="C178" s="158" t="b">
        <f t="shared" si="2"/>
        <v>1</v>
      </c>
      <c r="D178" s="158" t="str">
        <f t="shared" si="3"/>
        <v/>
      </c>
      <c r="E178" s="158" t="str">
        <f t="shared" si="4"/>
        <v/>
      </c>
      <c r="F178" s="158" t="str">
        <f t="shared" si="5"/>
        <v/>
      </c>
      <c r="G178" s="158" t="str">
        <f t="shared" si="6"/>
        <v/>
      </c>
      <c r="H178" s="158" t="b">
        <f t="shared" si="7"/>
        <v>1</v>
      </c>
      <c r="I178" s="158">
        <f t="shared" si="8"/>
        <v>97</v>
      </c>
      <c r="J178" s="158">
        <f>IFERROR(__xludf.DUMMYFUNCTION("IF(O178,LET(w,IFERROR(MATCH(N178,UNIQUE(FILTER($N$44:$N$408,$O$44:$O$408=TRUE)),0),""""),IF(OR(w="""",w&gt;$B$6),"""",w)),"""")"),20.0)</f>
        <v>20</v>
      </c>
      <c r="K178" s="158" t="str">
        <f t="shared" si="9"/>
        <v>Term 2</v>
      </c>
      <c r="L178" s="158">
        <f t="shared" si="10"/>
        <v>8</v>
      </c>
      <c r="M178" s="159" t="b">
        <f t="shared" si="11"/>
        <v>0</v>
      </c>
      <c r="N178" s="160">
        <f t="shared" si="12"/>
        <v>46377</v>
      </c>
      <c r="O178" s="163" t="b">
        <f t="shared" si="13"/>
        <v>1</v>
      </c>
      <c r="Q178" s="163">
        <f t="shared" si="14"/>
        <v>0</v>
      </c>
    </row>
    <row r="179" ht="15.75" customHeight="1">
      <c r="A179" s="174">
        <f t="shared" si="15"/>
        <v>46379</v>
      </c>
      <c r="B179" s="176" t="str">
        <f t="shared" si="1"/>
        <v>Wednesday</v>
      </c>
      <c r="C179" s="158" t="b">
        <f t="shared" si="2"/>
        <v>1</v>
      </c>
      <c r="D179" s="158" t="str">
        <f t="shared" si="3"/>
        <v/>
      </c>
      <c r="E179" s="158" t="str">
        <f t="shared" si="4"/>
        <v/>
      </c>
      <c r="F179" s="158" t="str">
        <f t="shared" si="5"/>
        <v/>
      </c>
      <c r="G179" s="158" t="str">
        <f t="shared" si="6"/>
        <v/>
      </c>
      <c r="H179" s="158" t="b">
        <f t="shared" si="7"/>
        <v>1</v>
      </c>
      <c r="I179" s="158">
        <f t="shared" si="8"/>
        <v>98</v>
      </c>
      <c r="J179" s="158">
        <f>IFERROR(__xludf.DUMMYFUNCTION("IF(O179,LET(w,IFERROR(MATCH(N179,UNIQUE(FILTER($N$44:$N$408,$O$44:$O$408=TRUE)),0),""""),IF(OR(w="""",w&gt;$B$6),"""",w)),"""")"),20.0)</f>
        <v>20</v>
      </c>
      <c r="K179" s="158" t="str">
        <f t="shared" si="9"/>
        <v>Term 2</v>
      </c>
      <c r="L179" s="158">
        <f t="shared" si="10"/>
        <v>8</v>
      </c>
      <c r="M179" s="159" t="b">
        <f t="shared" si="11"/>
        <v>0</v>
      </c>
      <c r="N179" s="160">
        <f t="shared" si="12"/>
        <v>46377</v>
      </c>
      <c r="O179" s="163" t="b">
        <f t="shared" si="13"/>
        <v>1</v>
      </c>
      <c r="Q179" s="163">
        <f t="shared" si="14"/>
        <v>0</v>
      </c>
    </row>
    <row r="180" ht="15.75" customHeight="1">
      <c r="A180" s="174">
        <f t="shared" si="15"/>
        <v>46380</v>
      </c>
      <c r="B180" s="176" t="str">
        <f t="shared" si="1"/>
        <v>Thursday</v>
      </c>
      <c r="C180" s="158" t="b">
        <f t="shared" si="2"/>
        <v>1</v>
      </c>
      <c r="D180" s="158" t="str">
        <f t="shared" si="3"/>
        <v/>
      </c>
      <c r="E180" s="158" t="str">
        <f t="shared" si="4"/>
        <v/>
      </c>
      <c r="F180" s="158" t="str">
        <f t="shared" si="5"/>
        <v/>
      </c>
      <c r="G180" s="158" t="str">
        <f t="shared" si="6"/>
        <v/>
      </c>
      <c r="H180" s="158" t="b">
        <f t="shared" si="7"/>
        <v>1</v>
      </c>
      <c r="I180" s="158">
        <f t="shared" si="8"/>
        <v>99</v>
      </c>
      <c r="J180" s="158">
        <f>IFERROR(__xludf.DUMMYFUNCTION("IF(O180,LET(w,IFERROR(MATCH(N180,UNIQUE(FILTER($N$44:$N$408,$O$44:$O$408=TRUE)),0),""""),IF(OR(w="""",w&gt;$B$6),"""",w)),"""")"),20.0)</f>
        <v>20</v>
      </c>
      <c r="K180" s="158" t="str">
        <f t="shared" si="9"/>
        <v>Term 2</v>
      </c>
      <c r="L180" s="158">
        <f t="shared" si="10"/>
        <v>8</v>
      </c>
      <c r="M180" s="159" t="b">
        <f t="shared" si="11"/>
        <v>0</v>
      </c>
      <c r="N180" s="160">
        <f t="shared" si="12"/>
        <v>46377</v>
      </c>
      <c r="O180" s="163" t="b">
        <f t="shared" si="13"/>
        <v>1</v>
      </c>
      <c r="Q180" s="163">
        <f t="shared" si="14"/>
        <v>0</v>
      </c>
    </row>
    <row r="181" ht="15.75" customHeight="1">
      <c r="A181" s="174">
        <f t="shared" si="15"/>
        <v>46381</v>
      </c>
      <c r="B181" s="176" t="str">
        <f t="shared" si="1"/>
        <v>Friday</v>
      </c>
      <c r="C181" s="158" t="b">
        <f t="shared" si="2"/>
        <v>1</v>
      </c>
      <c r="D181" s="158" t="str">
        <f t="shared" si="3"/>
        <v/>
      </c>
      <c r="E181" s="158" t="str">
        <f t="shared" si="4"/>
        <v/>
      </c>
      <c r="F181" s="158" t="str">
        <f t="shared" si="5"/>
        <v/>
      </c>
      <c r="G181" s="158" t="str">
        <f t="shared" si="6"/>
        <v/>
      </c>
      <c r="H181" s="158" t="b">
        <f t="shared" si="7"/>
        <v>1</v>
      </c>
      <c r="I181" s="158">
        <f t="shared" si="8"/>
        <v>100</v>
      </c>
      <c r="J181" s="158">
        <f>IFERROR(__xludf.DUMMYFUNCTION("IF(O181,LET(w,IFERROR(MATCH(N181,UNIQUE(FILTER($N$44:$N$408,$O$44:$O$408=TRUE)),0),""""),IF(OR(w="""",w&gt;$B$6),"""",w)),"""")"),20.0)</f>
        <v>20</v>
      </c>
      <c r="K181" s="158" t="str">
        <f t="shared" si="9"/>
        <v>Term 2</v>
      </c>
      <c r="L181" s="158">
        <f t="shared" si="10"/>
        <v>8</v>
      </c>
      <c r="M181" s="159" t="b">
        <f t="shared" si="11"/>
        <v>0</v>
      </c>
      <c r="N181" s="160">
        <f t="shared" si="12"/>
        <v>46377</v>
      </c>
      <c r="O181" s="163" t="b">
        <f t="shared" si="13"/>
        <v>1</v>
      </c>
      <c r="Q181" s="163">
        <f t="shared" si="14"/>
        <v>0</v>
      </c>
    </row>
    <row r="182" ht="15.75" customHeight="1">
      <c r="A182" s="174">
        <f t="shared" si="15"/>
        <v>46382</v>
      </c>
      <c r="B182" s="176" t="str">
        <f t="shared" si="1"/>
        <v>Saturday</v>
      </c>
      <c r="C182" s="158" t="b">
        <f t="shared" si="2"/>
        <v>0</v>
      </c>
      <c r="D182" s="158" t="str">
        <f t="shared" si="3"/>
        <v/>
      </c>
      <c r="E182" s="158" t="str">
        <f t="shared" si="4"/>
        <v/>
      </c>
      <c r="F182" s="158" t="str">
        <f t="shared" si="5"/>
        <v/>
      </c>
      <c r="G182" s="158" t="str">
        <f t="shared" si="6"/>
        <v/>
      </c>
      <c r="H182" s="158" t="b">
        <f t="shared" si="7"/>
        <v>0</v>
      </c>
      <c r="I182" s="158" t="str">
        <f t="shared" si="8"/>
        <v/>
      </c>
      <c r="J182" s="158">
        <f>IFERROR(__xludf.DUMMYFUNCTION("IF(O182,LET(w,IFERROR(MATCH(N182,UNIQUE(FILTER($N$44:$N$408,$O$44:$O$408=TRUE)),0),""""),IF(OR(w="""",w&gt;$B$6),"""",w)),"""")"),20.0)</f>
        <v>20</v>
      </c>
      <c r="K182" s="158" t="str">
        <f t="shared" si="9"/>
        <v>Term 2</v>
      </c>
      <c r="L182" s="158">
        <f t="shared" si="10"/>
        <v>8</v>
      </c>
      <c r="M182" s="159" t="b">
        <f t="shared" si="11"/>
        <v>0</v>
      </c>
      <c r="N182" s="160">
        <f t="shared" si="12"/>
        <v>46377</v>
      </c>
      <c r="O182" s="163" t="b">
        <f t="shared" si="13"/>
        <v>1</v>
      </c>
      <c r="Q182" s="163">
        <f t="shared" si="14"/>
        <v>0</v>
      </c>
    </row>
    <row r="183" ht="15.75" customHeight="1">
      <c r="A183" s="174">
        <f t="shared" si="15"/>
        <v>46383</v>
      </c>
      <c r="B183" s="176" t="str">
        <f t="shared" si="1"/>
        <v>Sunday</v>
      </c>
      <c r="C183" s="158" t="b">
        <f t="shared" si="2"/>
        <v>0</v>
      </c>
      <c r="D183" s="158" t="str">
        <f t="shared" si="3"/>
        <v/>
      </c>
      <c r="E183" s="158" t="str">
        <f t="shared" si="4"/>
        <v/>
      </c>
      <c r="F183" s="158" t="str">
        <f t="shared" si="5"/>
        <v/>
      </c>
      <c r="G183" s="158" t="str">
        <f t="shared" si="6"/>
        <v/>
      </c>
      <c r="H183" s="158" t="b">
        <f t="shared" si="7"/>
        <v>0</v>
      </c>
      <c r="I183" s="158" t="str">
        <f t="shared" si="8"/>
        <v/>
      </c>
      <c r="J183" s="158">
        <f>IFERROR(__xludf.DUMMYFUNCTION("IF(O183,LET(w,IFERROR(MATCH(N183,UNIQUE(FILTER($N$44:$N$408,$O$44:$O$408=TRUE)),0),""""),IF(OR(w="""",w&gt;$B$6),"""",w)),"""")"),20.0)</f>
        <v>20</v>
      </c>
      <c r="K183" s="158" t="str">
        <f t="shared" si="9"/>
        <v>Term 2</v>
      </c>
      <c r="L183" s="158">
        <f t="shared" si="10"/>
        <v>8</v>
      </c>
      <c r="M183" s="159" t="b">
        <f t="shared" si="11"/>
        <v>0</v>
      </c>
      <c r="N183" s="160">
        <f t="shared" si="12"/>
        <v>46377</v>
      </c>
      <c r="O183" s="163" t="b">
        <f t="shared" si="13"/>
        <v>1</v>
      </c>
      <c r="Q183" s="163">
        <f t="shared" si="14"/>
        <v>0</v>
      </c>
    </row>
    <row r="184" ht="15.75" customHeight="1">
      <c r="A184" s="174">
        <f t="shared" si="15"/>
        <v>46384</v>
      </c>
      <c r="B184" s="176" t="str">
        <f t="shared" si="1"/>
        <v>Monday</v>
      </c>
      <c r="C184" s="158" t="b">
        <f t="shared" si="2"/>
        <v>1</v>
      </c>
      <c r="D184" s="158" t="str">
        <f t="shared" si="3"/>
        <v/>
      </c>
      <c r="E184" s="158" t="str">
        <f t="shared" si="4"/>
        <v/>
      </c>
      <c r="F184" s="158" t="str">
        <f t="shared" si="5"/>
        <v/>
      </c>
      <c r="G184" s="158" t="str">
        <f t="shared" si="6"/>
        <v/>
      </c>
      <c r="H184" s="158" t="b">
        <f t="shared" si="7"/>
        <v>1</v>
      </c>
      <c r="I184" s="158">
        <f t="shared" si="8"/>
        <v>101</v>
      </c>
      <c r="J184" s="158">
        <f>IFERROR(__xludf.DUMMYFUNCTION("IF(O184,LET(w,IFERROR(MATCH(N184,UNIQUE(FILTER($N$44:$N$408,$O$44:$O$408=TRUE)),0),""""),IF(OR(w="""",w&gt;$B$6),"""",w)),"""")"),21.0)</f>
        <v>21</v>
      </c>
      <c r="K184" s="158" t="str">
        <f t="shared" si="9"/>
        <v>Term 2</v>
      </c>
      <c r="L184" s="158">
        <f t="shared" si="10"/>
        <v>9</v>
      </c>
      <c r="M184" s="159" t="b">
        <f t="shared" si="11"/>
        <v>0</v>
      </c>
      <c r="N184" s="160">
        <f t="shared" si="12"/>
        <v>46384</v>
      </c>
      <c r="O184" s="163" t="b">
        <f t="shared" si="13"/>
        <v>1</v>
      </c>
      <c r="Q184" s="163">
        <f t="shared" si="14"/>
        <v>0</v>
      </c>
    </row>
    <row r="185" ht="15.75" customHeight="1">
      <c r="A185" s="174">
        <f t="shared" si="15"/>
        <v>46385</v>
      </c>
      <c r="B185" s="176" t="str">
        <f t="shared" si="1"/>
        <v>Tuesday</v>
      </c>
      <c r="C185" s="158" t="b">
        <f t="shared" si="2"/>
        <v>1</v>
      </c>
      <c r="D185" s="158" t="str">
        <f t="shared" si="3"/>
        <v/>
      </c>
      <c r="E185" s="158" t="str">
        <f t="shared" si="4"/>
        <v/>
      </c>
      <c r="F185" s="158" t="str">
        <f t="shared" si="5"/>
        <v/>
      </c>
      <c r="G185" s="158" t="str">
        <f t="shared" si="6"/>
        <v/>
      </c>
      <c r="H185" s="158" t="b">
        <f t="shared" si="7"/>
        <v>1</v>
      </c>
      <c r="I185" s="158">
        <f t="shared" si="8"/>
        <v>102</v>
      </c>
      <c r="J185" s="158">
        <f>IFERROR(__xludf.DUMMYFUNCTION("IF(O185,LET(w,IFERROR(MATCH(N185,UNIQUE(FILTER($N$44:$N$408,$O$44:$O$408=TRUE)),0),""""),IF(OR(w="""",w&gt;$B$6),"""",w)),"""")"),21.0)</f>
        <v>21</v>
      </c>
      <c r="K185" s="158" t="str">
        <f t="shared" si="9"/>
        <v>Term 2</v>
      </c>
      <c r="L185" s="158">
        <f t="shared" si="10"/>
        <v>9</v>
      </c>
      <c r="M185" s="159" t="b">
        <f t="shared" si="11"/>
        <v>0</v>
      </c>
      <c r="N185" s="160">
        <f t="shared" si="12"/>
        <v>46384</v>
      </c>
      <c r="O185" s="163" t="b">
        <f t="shared" si="13"/>
        <v>1</v>
      </c>
      <c r="Q185" s="163">
        <f t="shared" si="14"/>
        <v>0</v>
      </c>
    </row>
    <row r="186" ht="15.75" customHeight="1">
      <c r="A186" s="174">
        <f t="shared" si="15"/>
        <v>46386</v>
      </c>
      <c r="B186" s="176" t="str">
        <f t="shared" si="1"/>
        <v>Wednesday</v>
      </c>
      <c r="C186" s="158" t="b">
        <f t="shared" si="2"/>
        <v>1</v>
      </c>
      <c r="D186" s="158" t="str">
        <f t="shared" si="3"/>
        <v/>
      </c>
      <c r="E186" s="158" t="str">
        <f t="shared" si="4"/>
        <v/>
      </c>
      <c r="F186" s="158" t="str">
        <f t="shared" si="5"/>
        <v/>
      </c>
      <c r="G186" s="158" t="str">
        <f t="shared" si="6"/>
        <v/>
      </c>
      <c r="H186" s="158" t="b">
        <f t="shared" si="7"/>
        <v>1</v>
      </c>
      <c r="I186" s="158">
        <f t="shared" si="8"/>
        <v>103</v>
      </c>
      <c r="J186" s="158">
        <f>IFERROR(__xludf.DUMMYFUNCTION("IF(O186,LET(w,IFERROR(MATCH(N186,UNIQUE(FILTER($N$44:$N$408,$O$44:$O$408=TRUE)),0),""""),IF(OR(w="""",w&gt;$B$6),"""",w)),"""")"),21.0)</f>
        <v>21</v>
      </c>
      <c r="K186" s="158" t="str">
        <f t="shared" si="9"/>
        <v>Term 2</v>
      </c>
      <c r="L186" s="158">
        <f t="shared" si="10"/>
        <v>9</v>
      </c>
      <c r="M186" s="159" t="b">
        <f t="shared" si="11"/>
        <v>0</v>
      </c>
      <c r="N186" s="160">
        <f t="shared" si="12"/>
        <v>46384</v>
      </c>
      <c r="O186" s="163" t="b">
        <f t="shared" si="13"/>
        <v>1</v>
      </c>
      <c r="Q186" s="163">
        <f t="shared" si="14"/>
        <v>0</v>
      </c>
    </row>
    <row r="187" ht="15.75" customHeight="1">
      <c r="A187" s="174">
        <f t="shared" si="15"/>
        <v>46387</v>
      </c>
      <c r="B187" s="176" t="str">
        <f t="shared" si="1"/>
        <v>Thursday</v>
      </c>
      <c r="C187" s="158" t="b">
        <f t="shared" si="2"/>
        <v>1</v>
      </c>
      <c r="D187" s="158" t="str">
        <f t="shared" si="3"/>
        <v/>
      </c>
      <c r="E187" s="158" t="str">
        <f t="shared" si="4"/>
        <v/>
      </c>
      <c r="F187" s="158" t="str">
        <f t="shared" si="5"/>
        <v/>
      </c>
      <c r="G187" s="158" t="str">
        <f t="shared" si="6"/>
        <v/>
      </c>
      <c r="H187" s="158" t="b">
        <f t="shared" si="7"/>
        <v>1</v>
      </c>
      <c r="I187" s="158">
        <f t="shared" si="8"/>
        <v>104</v>
      </c>
      <c r="J187" s="158">
        <f>IFERROR(__xludf.DUMMYFUNCTION("IF(O187,LET(w,IFERROR(MATCH(N187,UNIQUE(FILTER($N$44:$N$408,$O$44:$O$408=TRUE)),0),""""),IF(OR(w="""",w&gt;$B$6),"""",w)),"""")"),21.0)</f>
        <v>21</v>
      </c>
      <c r="K187" s="158" t="str">
        <f t="shared" si="9"/>
        <v>Term 2</v>
      </c>
      <c r="L187" s="158">
        <f t="shared" si="10"/>
        <v>9</v>
      </c>
      <c r="M187" s="159" t="b">
        <f t="shared" si="11"/>
        <v>0</v>
      </c>
      <c r="N187" s="160">
        <f t="shared" si="12"/>
        <v>46384</v>
      </c>
      <c r="O187" s="163" t="b">
        <f t="shared" si="13"/>
        <v>1</v>
      </c>
      <c r="Q187" s="163">
        <f t="shared" si="14"/>
        <v>0</v>
      </c>
    </row>
    <row r="188" ht="15.75" customHeight="1">
      <c r="A188" s="174">
        <f t="shared" si="15"/>
        <v>46388</v>
      </c>
      <c r="B188" s="176" t="str">
        <f t="shared" si="1"/>
        <v>Friday</v>
      </c>
      <c r="C188" s="158" t="b">
        <f t="shared" si="2"/>
        <v>1</v>
      </c>
      <c r="D188" s="158" t="str">
        <f t="shared" si="3"/>
        <v/>
      </c>
      <c r="E188" s="158" t="str">
        <f t="shared" si="4"/>
        <v/>
      </c>
      <c r="F188" s="158" t="str">
        <f t="shared" si="5"/>
        <v/>
      </c>
      <c r="G188" s="158" t="str">
        <f t="shared" si="6"/>
        <v/>
      </c>
      <c r="H188" s="158" t="b">
        <f t="shared" si="7"/>
        <v>1</v>
      </c>
      <c r="I188" s="158">
        <f t="shared" si="8"/>
        <v>105</v>
      </c>
      <c r="J188" s="158">
        <f>IFERROR(__xludf.DUMMYFUNCTION("IF(O188,LET(w,IFERROR(MATCH(N188,UNIQUE(FILTER($N$44:$N$408,$O$44:$O$408=TRUE)),0),""""),IF(OR(w="""",w&gt;$B$6),"""",w)),"""")"),21.0)</f>
        <v>21</v>
      </c>
      <c r="K188" s="158" t="str">
        <f t="shared" si="9"/>
        <v>Term 2</v>
      </c>
      <c r="L188" s="158">
        <f t="shared" si="10"/>
        <v>9</v>
      </c>
      <c r="M188" s="159" t="b">
        <f t="shared" si="11"/>
        <v>0</v>
      </c>
      <c r="N188" s="160">
        <f t="shared" si="12"/>
        <v>46384</v>
      </c>
      <c r="O188" s="163" t="b">
        <f t="shared" si="13"/>
        <v>1</v>
      </c>
      <c r="Q188" s="163">
        <f t="shared" si="14"/>
        <v>0</v>
      </c>
    </row>
    <row r="189" ht="15.75" customHeight="1">
      <c r="A189" s="174">
        <f t="shared" si="15"/>
        <v>46389</v>
      </c>
      <c r="B189" s="176" t="str">
        <f t="shared" si="1"/>
        <v>Saturday</v>
      </c>
      <c r="C189" s="158" t="b">
        <f t="shared" si="2"/>
        <v>0</v>
      </c>
      <c r="D189" s="158" t="str">
        <f t="shared" si="3"/>
        <v/>
      </c>
      <c r="E189" s="158" t="str">
        <f t="shared" si="4"/>
        <v/>
      </c>
      <c r="F189" s="158" t="str">
        <f t="shared" si="5"/>
        <v/>
      </c>
      <c r="G189" s="158" t="str">
        <f t="shared" si="6"/>
        <v/>
      </c>
      <c r="H189" s="158" t="b">
        <f t="shared" si="7"/>
        <v>0</v>
      </c>
      <c r="I189" s="158" t="str">
        <f t="shared" si="8"/>
        <v/>
      </c>
      <c r="J189" s="158">
        <f>IFERROR(__xludf.DUMMYFUNCTION("IF(O189,LET(w,IFERROR(MATCH(N189,UNIQUE(FILTER($N$44:$N$408,$O$44:$O$408=TRUE)),0),""""),IF(OR(w="""",w&gt;$B$6),"""",w)),"""")"),21.0)</f>
        <v>21</v>
      </c>
      <c r="K189" s="158" t="str">
        <f t="shared" si="9"/>
        <v>Term 2</v>
      </c>
      <c r="L189" s="158">
        <f t="shared" si="10"/>
        <v>9</v>
      </c>
      <c r="M189" s="159" t="b">
        <f t="shared" si="11"/>
        <v>0</v>
      </c>
      <c r="N189" s="160">
        <f t="shared" si="12"/>
        <v>46384</v>
      </c>
      <c r="O189" s="163" t="b">
        <f t="shared" si="13"/>
        <v>1</v>
      </c>
      <c r="Q189" s="163">
        <f t="shared" si="14"/>
        <v>0</v>
      </c>
    </row>
    <row r="190" ht="15.75" customHeight="1">
      <c r="A190" s="174">
        <f t="shared" si="15"/>
        <v>46390</v>
      </c>
      <c r="B190" s="176" t="str">
        <f t="shared" si="1"/>
        <v>Sunday</v>
      </c>
      <c r="C190" s="158" t="b">
        <f t="shared" si="2"/>
        <v>0</v>
      </c>
      <c r="D190" s="158" t="str">
        <f t="shared" si="3"/>
        <v/>
      </c>
      <c r="E190" s="158" t="str">
        <f t="shared" si="4"/>
        <v/>
      </c>
      <c r="F190" s="158" t="str">
        <f t="shared" si="5"/>
        <v/>
      </c>
      <c r="G190" s="158" t="str">
        <f t="shared" si="6"/>
        <v/>
      </c>
      <c r="H190" s="158" t="b">
        <f t="shared" si="7"/>
        <v>0</v>
      </c>
      <c r="I190" s="158" t="str">
        <f t="shared" si="8"/>
        <v/>
      </c>
      <c r="J190" s="158">
        <f>IFERROR(__xludf.DUMMYFUNCTION("IF(O190,LET(w,IFERROR(MATCH(N190,UNIQUE(FILTER($N$44:$N$408,$O$44:$O$408=TRUE)),0),""""),IF(OR(w="""",w&gt;$B$6),"""",w)),"""")"),21.0)</f>
        <v>21</v>
      </c>
      <c r="K190" s="158" t="str">
        <f t="shared" si="9"/>
        <v>Term 2</v>
      </c>
      <c r="L190" s="158">
        <f t="shared" si="10"/>
        <v>9</v>
      </c>
      <c r="M190" s="159" t="b">
        <f t="shared" si="11"/>
        <v>0</v>
      </c>
      <c r="N190" s="160">
        <f t="shared" si="12"/>
        <v>46384</v>
      </c>
      <c r="O190" s="163" t="b">
        <f t="shared" si="13"/>
        <v>1</v>
      </c>
      <c r="Q190" s="163">
        <f t="shared" si="14"/>
        <v>0</v>
      </c>
    </row>
    <row r="191" ht="15.75" customHeight="1">
      <c r="A191" s="174">
        <f t="shared" si="15"/>
        <v>46391</v>
      </c>
      <c r="B191" s="176" t="str">
        <f t="shared" si="1"/>
        <v>Monday</v>
      </c>
      <c r="C191" s="158" t="b">
        <f t="shared" si="2"/>
        <v>1</v>
      </c>
      <c r="D191" s="158" t="str">
        <f t="shared" si="3"/>
        <v/>
      </c>
      <c r="E191" s="158" t="str">
        <f t="shared" si="4"/>
        <v/>
      </c>
      <c r="F191" s="158" t="str">
        <f t="shared" si="5"/>
        <v/>
      </c>
      <c r="G191" s="158" t="str">
        <f t="shared" si="6"/>
        <v/>
      </c>
      <c r="H191" s="158" t="b">
        <f t="shared" si="7"/>
        <v>1</v>
      </c>
      <c r="I191" s="158">
        <f t="shared" si="8"/>
        <v>106</v>
      </c>
      <c r="J191" s="158">
        <f>IFERROR(__xludf.DUMMYFUNCTION("IF(O191,LET(w,IFERROR(MATCH(N191,UNIQUE(FILTER($N$44:$N$408,$O$44:$O$408=TRUE)),0),""""),IF(OR(w="""",w&gt;$B$6),"""",w)),"""")"),22.0)</f>
        <v>22</v>
      </c>
      <c r="K191" s="158" t="str">
        <f t="shared" si="9"/>
        <v>Term 2</v>
      </c>
      <c r="L191" s="158">
        <f t="shared" si="10"/>
        <v>10</v>
      </c>
      <c r="M191" s="159" t="b">
        <f t="shared" si="11"/>
        <v>0</v>
      </c>
      <c r="N191" s="160">
        <f t="shared" si="12"/>
        <v>46391</v>
      </c>
      <c r="O191" s="163" t="b">
        <f t="shared" si="13"/>
        <v>1</v>
      </c>
      <c r="Q191" s="163">
        <f t="shared" si="14"/>
        <v>0</v>
      </c>
    </row>
    <row r="192" ht="15.75" customHeight="1">
      <c r="A192" s="174">
        <f t="shared" si="15"/>
        <v>46392</v>
      </c>
      <c r="B192" s="176" t="str">
        <f t="shared" si="1"/>
        <v>Tuesday</v>
      </c>
      <c r="C192" s="158" t="b">
        <f t="shared" si="2"/>
        <v>1</v>
      </c>
      <c r="D192" s="158" t="str">
        <f t="shared" si="3"/>
        <v/>
      </c>
      <c r="E192" s="158" t="str">
        <f t="shared" si="4"/>
        <v/>
      </c>
      <c r="F192" s="158" t="str">
        <f t="shared" si="5"/>
        <v/>
      </c>
      <c r="G192" s="158" t="str">
        <f t="shared" si="6"/>
        <v/>
      </c>
      <c r="H192" s="158" t="b">
        <f t="shared" si="7"/>
        <v>1</v>
      </c>
      <c r="I192" s="158">
        <f t="shared" si="8"/>
        <v>107</v>
      </c>
      <c r="J192" s="158">
        <f>IFERROR(__xludf.DUMMYFUNCTION("IF(O192,LET(w,IFERROR(MATCH(N192,UNIQUE(FILTER($N$44:$N$408,$O$44:$O$408=TRUE)),0),""""),IF(OR(w="""",w&gt;$B$6),"""",w)),"""")"),22.0)</f>
        <v>22</v>
      </c>
      <c r="K192" s="158" t="str">
        <f t="shared" si="9"/>
        <v>Term 2</v>
      </c>
      <c r="L192" s="158">
        <f t="shared" si="10"/>
        <v>10</v>
      </c>
      <c r="M192" s="159" t="b">
        <f t="shared" si="11"/>
        <v>0</v>
      </c>
      <c r="N192" s="160">
        <f t="shared" si="12"/>
        <v>46391</v>
      </c>
      <c r="O192" s="163" t="b">
        <f t="shared" si="13"/>
        <v>1</v>
      </c>
      <c r="Q192" s="163">
        <f t="shared" si="14"/>
        <v>0</v>
      </c>
    </row>
    <row r="193" ht="15.75" customHeight="1">
      <c r="A193" s="174">
        <f t="shared" si="15"/>
        <v>46393</v>
      </c>
      <c r="B193" s="176" t="str">
        <f t="shared" si="1"/>
        <v>Wednesday</v>
      </c>
      <c r="C193" s="158" t="b">
        <f t="shared" si="2"/>
        <v>1</v>
      </c>
      <c r="D193" s="158" t="str">
        <f t="shared" si="3"/>
        <v/>
      </c>
      <c r="E193" s="158" t="str">
        <f t="shared" si="4"/>
        <v/>
      </c>
      <c r="F193" s="158" t="str">
        <f t="shared" si="5"/>
        <v/>
      </c>
      <c r="G193" s="158" t="str">
        <f t="shared" si="6"/>
        <v/>
      </c>
      <c r="H193" s="158" t="b">
        <f t="shared" si="7"/>
        <v>1</v>
      </c>
      <c r="I193" s="158">
        <f t="shared" si="8"/>
        <v>108</v>
      </c>
      <c r="J193" s="158">
        <f>IFERROR(__xludf.DUMMYFUNCTION("IF(O193,LET(w,IFERROR(MATCH(N193,UNIQUE(FILTER($N$44:$N$408,$O$44:$O$408=TRUE)),0),""""),IF(OR(w="""",w&gt;$B$6),"""",w)),"""")"),22.0)</f>
        <v>22</v>
      </c>
      <c r="K193" s="158" t="str">
        <f t="shared" si="9"/>
        <v>Term 2</v>
      </c>
      <c r="L193" s="158">
        <f t="shared" si="10"/>
        <v>10</v>
      </c>
      <c r="M193" s="159" t="b">
        <f t="shared" si="11"/>
        <v>0</v>
      </c>
      <c r="N193" s="160">
        <f t="shared" si="12"/>
        <v>46391</v>
      </c>
      <c r="O193" s="163" t="b">
        <f t="shared" si="13"/>
        <v>1</v>
      </c>
      <c r="Q193" s="163">
        <f t="shared" si="14"/>
        <v>0</v>
      </c>
    </row>
    <row r="194" ht="15.75" customHeight="1">
      <c r="A194" s="174">
        <f t="shared" si="15"/>
        <v>46394</v>
      </c>
      <c r="B194" s="176" t="str">
        <f t="shared" si="1"/>
        <v>Thursday</v>
      </c>
      <c r="C194" s="158" t="b">
        <f t="shared" si="2"/>
        <v>1</v>
      </c>
      <c r="D194" s="158" t="str">
        <f t="shared" si="3"/>
        <v/>
      </c>
      <c r="E194" s="158" t="str">
        <f t="shared" si="4"/>
        <v/>
      </c>
      <c r="F194" s="158" t="str">
        <f t="shared" si="5"/>
        <v/>
      </c>
      <c r="G194" s="158" t="str">
        <f t="shared" si="6"/>
        <v/>
      </c>
      <c r="H194" s="158" t="b">
        <f t="shared" si="7"/>
        <v>1</v>
      </c>
      <c r="I194" s="158">
        <f t="shared" si="8"/>
        <v>109</v>
      </c>
      <c r="J194" s="158">
        <f>IFERROR(__xludf.DUMMYFUNCTION("IF(O194,LET(w,IFERROR(MATCH(N194,UNIQUE(FILTER($N$44:$N$408,$O$44:$O$408=TRUE)),0),""""),IF(OR(w="""",w&gt;$B$6),"""",w)),"""")"),22.0)</f>
        <v>22</v>
      </c>
      <c r="K194" s="158" t="str">
        <f t="shared" si="9"/>
        <v>Term 2</v>
      </c>
      <c r="L194" s="158">
        <f t="shared" si="10"/>
        <v>10</v>
      </c>
      <c r="M194" s="159" t="b">
        <f t="shared" si="11"/>
        <v>0</v>
      </c>
      <c r="N194" s="160">
        <f t="shared" si="12"/>
        <v>46391</v>
      </c>
      <c r="O194" s="163" t="b">
        <f t="shared" si="13"/>
        <v>1</v>
      </c>
      <c r="Q194" s="163">
        <f t="shared" si="14"/>
        <v>0</v>
      </c>
    </row>
    <row r="195" ht="15.75" customHeight="1">
      <c r="A195" s="174">
        <f t="shared" si="15"/>
        <v>46395</v>
      </c>
      <c r="B195" s="176" t="str">
        <f t="shared" si="1"/>
        <v>Friday</v>
      </c>
      <c r="C195" s="158" t="b">
        <f t="shared" si="2"/>
        <v>1</v>
      </c>
      <c r="D195" s="158" t="str">
        <f t="shared" si="3"/>
        <v/>
      </c>
      <c r="E195" s="158" t="str">
        <f t="shared" si="4"/>
        <v/>
      </c>
      <c r="F195" s="158" t="str">
        <f t="shared" si="5"/>
        <v/>
      </c>
      <c r="G195" s="158" t="str">
        <f t="shared" si="6"/>
        <v/>
      </c>
      <c r="H195" s="158" t="b">
        <f t="shared" si="7"/>
        <v>1</v>
      </c>
      <c r="I195" s="158">
        <f t="shared" si="8"/>
        <v>110</v>
      </c>
      <c r="J195" s="158">
        <f>IFERROR(__xludf.DUMMYFUNCTION("IF(O195,LET(w,IFERROR(MATCH(N195,UNIQUE(FILTER($N$44:$N$408,$O$44:$O$408=TRUE)),0),""""),IF(OR(w="""",w&gt;$B$6),"""",w)),"""")"),22.0)</f>
        <v>22</v>
      </c>
      <c r="K195" s="158" t="str">
        <f t="shared" si="9"/>
        <v>Term 2</v>
      </c>
      <c r="L195" s="158">
        <f t="shared" si="10"/>
        <v>10</v>
      </c>
      <c r="M195" s="159" t="b">
        <f t="shared" si="11"/>
        <v>0</v>
      </c>
      <c r="N195" s="160">
        <f t="shared" si="12"/>
        <v>46391</v>
      </c>
      <c r="O195" s="163" t="b">
        <f t="shared" si="13"/>
        <v>1</v>
      </c>
      <c r="Q195" s="163">
        <f t="shared" si="14"/>
        <v>0</v>
      </c>
    </row>
    <row r="196" ht="15.75" customHeight="1">
      <c r="A196" s="174">
        <f t="shared" si="15"/>
        <v>46396</v>
      </c>
      <c r="B196" s="176" t="str">
        <f t="shared" si="1"/>
        <v>Saturday</v>
      </c>
      <c r="C196" s="158" t="b">
        <f t="shared" si="2"/>
        <v>0</v>
      </c>
      <c r="D196" s="158" t="str">
        <f t="shared" si="3"/>
        <v/>
      </c>
      <c r="E196" s="158" t="str">
        <f t="shared" si="4"/>
        <v/>
      </c>
      <c r="F196" s="158" t="str">
        <f t="shared" si="5"/>
        <v/>
      </c>
      <c r="G196" s="158" t="str">
        <f t="shared" si="6"/>
        <v/>
      </c>
      <c r="H196" s="158" t="b">
        <f t="shared" si="7"/>
        <v>0</v>
      </c>
      <c r="I196" s="158" t="str">
        <f t="shared" si="8"/>
        <v/>
      </c>
      <c r="J196" s="158">
        <f>IFERROR(__xludf.DUMMYFUNCTION("IF(O196,LET(w,IFERROR(MATCH(N196,UNIQUE(FILTER($N$44:$N$408,$O$44:$O$408=TRUE)),0),""""),IF(OR(w="""",w&gt;$B$6),"""",w)),"""")"),22.0)</f>
        <v>22</v>
      </c>
      <c r="K196" s="158" t="str">
        <f t="shared" si="9"/>
        <v>Term 2</v>
      </c>
      <c r="L196" s="158">
        <f t="shared" si="10"/>
        <v>10</v>
      </c>
      <c r="M196" s="159" t="b">
        <f t="shared" si="11"/>
        <v>0</v>
      </c>
      <c r="N196" s="160">
        <f t="shared" si="12"/>
        <v>46391</v>
      </c>
      <c r="O196" s="163" t="b">
        <f t="shared" si="13"/>
        <v>1</v>
      </c>
      <c r="Q196" s="163">
        <f t="shared" si="14"/>
        <v>0</v>
      </c>
    </row>
    <row r="197" ht="15.75" customHeight="1">
      <c r="A197" s="174">
        <f t="shared" si="15"/>
        <v>46397</v>
      </c>
      <c r="B197" s="176" t="str">
        <f t="shared" si="1"/>
        <v>Sunday</v>
      </c>
      <c r="C197" s="158" t="b">
        <f t="shared" si="2"/>
        <v>0</v>
      </c>
      <c r="D197" s="158" t="str">
        <f t="shared" si="3"/>
        <v/>
      </c>
      <c r="E197" s="158" t="str">
        <f t="shared" si="4"/>
        <v/>
      </c>
      <c r="F197" s="158" t="str">
        <f t="shared" si="5"/>
        <v/>
      </c>
      <c r="G197" s="158" t="str">
        <f t="shared" si="6"/>
        <v/>
      </c>
      <c r="H197" s="158" t="b">
        <f t="shared" si="7"/>
        <v>0</v>
      </c>
      <c r="I197" s="158" t="str">
        <f t="shared" si="8"/>
        <v/>
      </c>
      <c r="J197" s="158">
        <f>IFERROR(__xludf.DUMMYFUNCTION("IF(O197,LET(w,IFERROR(MATCH(N197,UNIQUE(FILTER($N$44:$N$408,$O$44:$O$408=TRUE)),0),""""),IF(OR(w="""",w&gt;$B$6),"""",w)),"""")"),22.0)</f>
        <v>22</v>
      </c>
      <c r="K197" s="158" t="str">
        <f t="shared" si="9"/>
        <v>Term 2</v>
      </c>
      <c r="L197" s="158">
        <f t="shared" si="10"/>
        <v>10</v>
      </c>
      <c r="M197" s="159" t="b">
        <f t="shared" si="11"/>
        <v>0</v>
      </c>
      <c r="N197" s="160">
        <f t="shared" si="12"/>
        <v>46391</v>
      </c>
      <c r="O197" s="163" t="b">
        <f t="shared" si="13"/>
        <v>1</v>
      </c>
      <c r="Q197" s="163">
        <f t="shared" si="14"/>
        <v>0</v>
      </c>
    </row>
    <row r="198" ht="15.75" customHeight="1">
      <c r="A198" s="174">
        <f t="shared" si="15"/>
        <v>46398</v>
      </c>
      <c r="B198" s="176" t="str">
        <f t="shared" si="1"/>
        <v>Monday</v>
      </c>
      <c r="C198" s="158" t="b">
        <f t="shared" si="2"/>
        <v>1</v>
      </c>
      <c r="D198" s="158" t="str">
        <f t="shared" si="3"/>
        <v/>
      </c>
      <c r="E198" s="158" t="str">
        <f t="shared" si="4"/>
        <v/>
      </c>
      <c r="F198" s="158" t="str">
        <f t="shared" si="5"/>
        <v/>
      </c>
      <c r="G198" s="158" t="str">
        <f t="shared" si="6"/>
        <v/>
      </c>
      <c r="H198" s="158" t="b">
        <f t="shared" si="7"/>
        <v>1</v>
      </c>
      <c r="I198" s="158">
        <f t="shared" si="8"/>
        <v>111</v>
      </c>
      <c r="J198" s="158">
        <f>IFERROR(__xludf.DUMMYFUNCTION("IF(O198,LET(w,IFERROR(MATCH(N198,UNIQUE(FILTER($N$44:$N$408,$O$44:$O$408=TRUE)),0),""""),IF(OR(w="""",w&gt;$B$6),"""",w)),"""")"),23.0)</f>
        <v>23</v>
      </c>
      <c r="K198" s="158" t="str">
        <f t="shared" si="9"/>
        <v>Term 2</v>
      </c>
      <c r="L198" s="158">
        <f t="shared" si="10"/>
        <v>11</v>
      </c>
      <c r="M198" s="159" t="b">
        <f t="shared" si="11"/>
        <v>0</v>
      </c>
      <c r="N198" s="160">
        <f t="shared" si="12"/>
        <v>46398</v>
      </c>
      <c r="O198" s="163" t="b">
        <f t="shared" si="13"/>
        <v>1</v>
      </c>
      <c r="Q198" s="163">
        <f t="shared" si="14"/>
        <v>0</v>
      </c>
    </row>
    <row r="199" ht="15.75" customHeight="1">
      <c r="A199" s="174">
        <f t="shared" si="15"/>
        <v>46399</v>
      </c>
      <c r="B199" s="176" t="str">
        <f t="shared" si="1"/>
        <v>Tuesday</v>
      </c>
      <c r="C199" s="158" t="b">
        <f t="shared" si="2"/>
        <v>1</v>
      </c>
      <c r="D199" s="158" t="str">
        <f t="shared" si="3"/>
        <v/>
      </c>
      <c r="E199" s="158" t="str">
        <f t="shared" si="4"/>
        <v/>
      </c>
      <c r="F199" s="158" t="str">
        <f t="shared" si="5"/>
        <v/>
      </c>
      <c r="G199" s="158" t="str">
        <f t="shared" si="6"/>
        <v/>
      </c>
      <c r="H199" s="158" t="b">
        <f t="shared" si="7"/>
        <v>1</v>
      </c>
      <c r="I199" s="158">
        <f t="shared" si="8"/>
        <v>112</v>
      </c>
      <c r="J199" s="158">
        <f>IFERROR(__xludf.DUMMYFUNCTION("IF(O199,LET(w,IFERROR(MATCH(N199,UNIQUE(FILTER($N$44:$N$408,$O$44:$O$408=TRUE)),0),""""),IF(OR(w="""",w&gt;$B$6),"""",w)),"""")"),23.0)</f>
        <v>23</v>
      </c>
      <c r="K199" s="158" t="str">
        <f t="shared" si="9"/>
        <v>Term 2</v>
      </c>
      <c r="L199" s="158">
        <f t="shared" si="10"/>
        <v>11</v>
      </c>
      <c r="M199" s="159" t="b">
        <f t="shared" si="11"/>
        <v>0</v>
      </c>
      <c r="N199" s="160">
        <f t="shared" si="12"/>
        <v>46398</v>
      </c>
      <c r="O199" s="163" t="b">
        <f t="shared" si="13"/>
        <v>1</v>
      </c>
      <c r="Q199" s="163">
        <f t="shared" si="14"/>
        <v>0</v>
      </c>
    </row>
    <row r="200" ht="15.75" customHeight="1">
      <c r="A200" s="174">
        <f t="shared" si="15"/>
        <v>46400</v>
      </c>
      <c r="B200" s="176" t="str">
        <f t="shared" si="1"/>
        <v>Wednesday</v>
      </c>
      <c r="C200" s="158" t="b">
        <f t="shared" si="2"/>
        <v>1</v>
      </c>
      <c r="D200" s="158" t="str">
        <f t="shared" si="3"/>
        <v/>
      </c>
      <c r="E200" s="158" t="str">
        <f t="shared" si="4"/>
        <v/>
      </c>
      <c r="F200" s="158" t="str">
        <f t="shared" si="5"/>
        <v/>
      </c>
      <c r="G200" s="158" t="str">
        <f t="shared" si="6"/>
        <v/>
      </c>
      <c r="H200" s="158" t="b">
        <f t="shared" si="7"/>
        <v>1</v>
      </c>
      <c r="I200" s="158">
        <f t="shared" si="8"/>
        <v>113</v>
      </c>
      <c r="J200" s="158">
        <f>IFERROR(__xludf.DUMMYFUNCTION("IF(O200,LET(w,IFERROR(MATCH(N200,UNIQUE(FILTER($N$44:$N$408,$O$44:$O$408=TRUE)),0),""""),IF(OR(w="""",w&gt;$B$6),"""",w)),"""")"),23.0)</f>
        <v>23</v>
      </c>
      <c r="K200" s="158" t="str">
        <f t="shared" si="9"/>
        <v>Term 2</v>
      </c>
      <c r="L200" s="158">
        <f t="shared" si="10"/>
        <v>11</v>
      </c>
      <c r="M200" s="159" t="b">
        <f t="shared" si="11"/>
        <v>0</v>
      </c>
      <c r="N200" s="160">
        <f t="shared" si="12"/>
        <v>46398</v>
      </c>
      <c r="O200" s="163" t="b">
        <f t="shared" si="13"/>
        <v>1</v>
      </c>
      <c r="Q200" s="163">
        <f t="shared" si="14"/>
        <v>0</v>
      </c>
    </row>
    <row r="201" ht="15.75" customHeight="1">
      <c r="A201" s="174">
        <f t="shared" si="15"/>
        <v>46401</v>
      </c>
      <c r="B201" s="176" t="str">
        <f t="shared" si="1"/>
        <v>Thursday</v>
      </c>
      <c r="C201" s="158" t="b">
        <f t="shared" si="2"/>
        <v>1</v>
      </c>
      <c r="D201" s="158" t="str">
        <f t="shared" si="3"/>
        <v/>
      </c>
      <c r="E201" s="158" t="str">
        <f t="shared" si="4"/>
        <v/>
      </c>
      <c r="F201" s="158" t="str">
        <f t="shared" si="5"/>
        <v/>
      </c>
      <c r="G201" s="158" t="str">
        <f t="shared" si="6"/>
        <v/>
      </c>
      <c r="H201" s="158" t="b">
        <f t="shared" si="7"/>
        <v>1</v>
      </c>
      <c r="I201" s="158">
        <f t="shared" si="8"/>
        <v>114</v>
      </c>
      <c r="J201" s="158">
        <f>IFERROR(__xludf.DUMMYFUNCTION("IF(O201,LET(w,IFERROR(MATCH(N201,UNIQUE(FILTER($N$44:$N$408,$O$44:$O$408=TRUE)),0),""""),IF(OR(w="""",w&gt;$B$6),"""",w)),"""")"),23.0)</f>
        <v>23</v>
      </c>
      <c r="K201" s="158" t="str">
        <f t="shared" si="9"/>
        <v>Term 2</v>
      </c>
      <c r="L201" s="158">
        <f t="shared" si="10"/>
        <v>11</v>
      </c>
      <c r="M201" s="159" t="b">
        <f t="shared" si="11"/>
        <v>0</v>
      </c>
      <c r="N201" s="160">
        <f t="shared" si="12"/>
        <v>46398</v>
      </c>
      <c r="O201" s="163" t="b">
        <f t="shared" si="13"/>
        <v>1</v>
      </c>
      <c r="Q201" s="163">
        <f t="shared" si="14"/>
        <v>0</v>
      </c>
    </row>
    <row r="202" ht="15.75" customHeight="1">
      <c r="A202" s="174">
        <f t="shared" si="15"/>
        <v>46402</v>
      </c>
      <c r="B202" s="176" t="str">
        <f t="shared" si="1"/>
        <v>Friday</v>
      </c>
      <c r="C202" s="158" t="b">
        <f t="shared" si="2"/>
        <v>1</v>
      </c>
      <c r="D202" s="158" t="str">
        <f t="shared" si="3"/>
        <v/>
      </c>
      <c r="E202" s="158" t="str">
        <f t="shared" si="4"/>
        <v/>
      </c>
      <c r="F202" s="158" t="str">
        <f t="shared" si="5"/>
        <v/>
      </c>
      <c r="G202" s="158" t="str">
        <f t="shared" si="6"/>
        <v/>
      </c>
      <c r="H202" s="158" t="b">
        <f t="shared" si="7"/>
        <v>1</v>
      </c>
      <c r="I202" s="158">
        <f t="shared" si="8"/>
        <v>115</v>
      </c>
      <c r="J202" s="158">
        <f>IFERROR(__xludf.DUMMYFUNCTION("IF(O202,LET(w,IFERROR(MATCH(N202,UNIQUE(FILTER($N$44:$N$408,$O$44:$O$408=TRUE)),0),""""),IF(OR(w="""",w&gt;$B$6),"""",w)),"""")"),23.0)</f>
        <v>23</v>
      </c>
      <c r="K202" s="158" t="str">
        <f t="shared" si="9"/>
        <v>Term 2</v>
      </c>
      <c r="L202" s="158">
        <f t="shared" si="10"/>
        <v>11</v>
      </c>
      <c r="M202" s="159" t="b">
        <f t="shared" si="11"/>
        <v>0</v>
      </c>
      <c r="N202" s="160">
        <f t="shared" si="12"/>
        <v>46398</v>
      </c>
      <c r="O202" s="163" t="b">
        <f t="shared" si="13"/>
        <v>1</v>
      </c>
      <c r="Q202" s="163">
        <f t="shared" si="14"/>
        <v>0</v>
      </c>
    </row>
    <row r="203" ht="15.75" customHeight="1">
      <c r="A203" s="174">
        <f t="shared" si="15"/>
        <v>46403</v>
      </c>
      <c r="B203" s="176" t="str">
        <f t="shared" si="1"/>
        <v>Saturday</v>
      </c>
      <c r="C203" s="158" t="b">
        <f t="shared" si="2"/>
        <v>0</v>
      </c>
      <c r="D203" s="158" t="str">
        <f t="shared" si="3"/>
        <v/>
      </c>
      <c r="E203" s="158" t="str">
        <f t="shared" si="4"/>
        <v/>
      </c>
      <c r="F203" s="158" t="str">
        <f t="shared" si="5"/>
        <v/>
      </c>
      <c r="G203" s="158" t="str">
        <f t="shared" si="6"/>
        <v/>
      </c>
      <c r="H203" s="158" t="b">
        <f t="shared" si="7"/>
        <v>0</v>
      </c>
      <c r="I203" s="158" t="str">
        <f t="shared" si="8"/>
        <v/>
      </c>
      <c r="J203" s="158">
        <f>IFERROR(__xludf.DUMMYFUNCTION("IF(O203,LET(w,IFERROR(MATCH(N203,UNIQUE(FILTER($N$44:$N$408,$O$44:$O$408=TRUE)),0),""""),IF(OR(w="""",w&gt;$B$6),"""",w)),"""")"),23.0)</f>
        <v>23</v>
      </c>
      <c r="K203" s="158" t="str">
        <f t="shared" si="9"/>
        <v>Term 2</v>
      </c>
      <c r="L203" s="158">
        <f t="shared" si="10"/>
        <v>11</v>
      </c>
      <c r="M203" s="159" t="b">
        <f t="shared" si="11"/>
        <v>0</v>
      </c>
      <c r="N203" s="160">
        <f t="shared" si="12"/>
        <v>46398</v>
      </c>
      <c r="O203" s="163" t="b">
        <f t="shared" si="13"/>
        <v>1</v>
      </c>
      <c r="Q203" s="163">
        <f t="shared" si="14"/>
        <v>0</v>
      </c>
    </row>
    <row r="204" ht="15.75" customHeight="1">
      <c r="A204" s="174">
        <f t="shared" si="15"/>
        <v>46404</v>
      </c>
      <c r="B204" s="176" t="str">
        <f t="shared" si="1"/>
        <v>Sunday</v>
      </c>
      <c r="C204" s="158" t="b">
        <f t="shared" si="2"/>
        <v>0</v>
      </c>
      <c r="D204" s="158" t="str">
        <f t="shared" si="3"/>
        <v/>
      </c>
      <c r="E204" s="158" t="str">
        <f t="shared" si="4"/>
        <v/>
      </c>
      <c r="F204" s="158" t="str">
        <f t="shared" si="5"/>
        <v/>
      </c>
      <c r="G204" s="158" t="str">
        <f t="shared" si="6"/>
        <v/>
      </c>
      <c r="H204" s="158" t="b">
        <f t="shared" si="7"/>
        <v>0</v>
      </c>
      <c r="I204" s="158" t="str">
        <f t="shared" si="8"/>
        <v/>
      </c>
      <c r="J204" s="158">
        <f>IFERROR(__xludf.DUMMYFUNCTION("IF(O204,LET(w,IFERROR(MATCH(N204,UNIQUE(FILTER($N$44:$N$408,$O$44:$O$408=TRUE)),0),""""),IF(OR(w="""",w&gt;$B$6),"""",w)),"""")"),23.0)</f>
        <v>23</v>
      </c>
      <c r="K204" s="158" t="str">
        <f t="shared" si="9"/>
        <v>Term 2</v>
      </c>
      <c r="L204" s="158">
        <f t="shared" si="10"/>
        <v>11</v>
      </c>
      <c r="M204" s="159" t="b">
        <f t="shared" si="11"/>
        <v>0</v>
      </c>
      <c r="N204" s="160">
        <f t="shared" si="12"/>
        <v>46398</v>
      </c>
      <c r="O204" s="163" t="b">
        <f t="shared" si="13"/>
        <v>1</v>
      </c>
      <c r="Q204" s="163">
        <f t="shared" si="14"/>
        <v>0</v>
      </c>
    </row>
    <row r="205" ht="15.75" customHeight="1">
      <c r="A205" s="174">
        <f t="shared" si="15"/>
        <v>46405</v>
      </c>
      <c r="B205" s="176" t="str">
        <f t="shared" si="1"/>
        <v>Monday</v>
      </c>
      <c r="C205" s="158" t="b">
        <f t="shared" si="2"/>
        <v>1</v>
      </c>
      <c r="D205" s="158" t="str">
        <f t="shared" si="3"/>
        <v/>
      </c>
      <c r="E205" s="158" t="str">
        <f t="shared" si="4"/>
        <v/>
      </c>
      <c r="F205" s="158" t="str">
        <f t="shared" si="5"/>
        <v/>
      </c>
      <c r="G205" s="158" t="str">
        <f t="shared" si="6"/>
        <v/>
      </c>
      <c r="H205" s="158" t="b">
        <f t="shared" si="7"/>
        <v>1</v>
      </c>
      <c r="I205" s="158">
        <f t="shared" si="8"/>
        <v>116</v>
      </c>
      <c r="J205" s="158">
        <f>IFERROR(__xludf.DUMMYFUNCTION("IF(O205,LET(w,IFERROR(MATCH(N205,UNIQUE(FILTER($N$44:$N$408,$O$44:$O$408=TRUE)),0),""""),IF(OR(w="""",w&gt;$B$6),"""",w)),"""")"),24.0)</f>
        <v>24</v>
      </c>
      <c r="K205" s="158" t="str">
        <f t="shared" si="9"/>
        <v>Term 2</v>
      </c>
      <c r="L205" s="158">
        <f t="shared" si="10"/>
        <v>12</v>
      </c>
      <c r="M205" s="159" t="b">
        <f t="shared" si="11"/>
        <v>1</v>
      </c>
      <c r="N205" s="160">
        <f t="shared" si="12"/>
        <v>46405</v>
      </c>
      <c r="O205" s="163" t="b">
        <f t="shared" si="13"/>
        <v>1</v>
      </c>
      <c r="Q205" s="163">
        <f t="shared" si="14"/>
        <v>0</v>
      </c>
    </row>
    <row r="206" ht="15.75" customHeight="1">
      <c r="A206" s="174">
        <f t="shared" si="15"/>
        <v>46406</v>
      </c>
      <c r="B206" s="176" t="str">
        <f t="shared" si="1"/>
        <v>Tuesday</v>
      </c>
      <c r="C206" s="158" t="b">
        <f t="shared" si="2"/>
        <v>1</v>
      </c>
      <c r="D206" s="158" t="str">
        <f t="shared" si="3"/>
        <v/>
      </c>
      <c r="E206" s="158" t="str">
        <f t="shared" si="4"/>
        <v/>
      </c>
      <c r="F206" s="158" t="str">
        <f t="shared" si="5"/>
        <v/>
      </c>
      <c r="G206" s="158" t="str">
        <f t="shared" si="6"/>
        <v/>
      </c>
      <c r="H206" s="158" t="b">
        <f t="shared" si="7"/>
        <v>1</v>
      </c>
      <c r="I206" s="158">
        <f t="shared" si="8"/>
        <v>117</v>
      </c>
      <c r="J206" s="158">
        <f>IFERROR(__xludf.DUMMYFUNCTION("IF(O206,LET(w,IFERROR(MATCH(N206,UNIQUE(FILTER($N$44:$N$408,$O$44:$O$408=TRUE)),0),""""),IF(OR(w="""",w&gt;$B$6),"""",w)),"""")"),24.0)</f>
        <v>24</v>
      </c>
      <c r="K206" s="158" t="str">
        <f t="shared" si="9"/>
        <v>Term 2</v>
      </c>
      <c r="L206" s="158">
        <f t="shared" si="10"/>
        <v>12</v>
      </c>
      <c r="M206" s="159" t="b">
        <f t="shared" si="11"/>
        <v>1</v>
      </c>
      <c r="N206" s="160">
        <f t="shared" si="12"/>
        <v>46405</v>
      </c>
      <c r="O206" s="163" t="b">
        <f t="shared" si="13"/>
        <v>1</v>
      </c>
      <c r="Q206" s="163">
        <f t="shared" si="14"/>
        <v>0</v>
      </c>
    </row>
    <row r="207" ht="15.75" customHeight="1">
      <c r="A207" s="174">
        <f t="shared" si="15"/>
        <v>46407</v>
      </c>
      <c r="B207" s="176" t="str">
        <f t="shared" si="1"/>
        <v>Wednesday</v>
      </c>
      <c r="C207" s="158" t="b">
        <f t="shared" si="2"/>
        <v>1</v>
      </c>
      <c r="D207" s="158" t="str">
        <f t="shared" si="3"/>
        <v/>
      </c>
      <c r="E207" s="158" t="str">
        <f t="shared" si="4"/>
        <v/>
      </c>
      <c r="F207" s="158" t="str">
        <f t="shared" si="5"/>
        <v/>
      </c>
      <c r="G207" s="158" t="str">
        <f t="shared" si="6"/>
        <v/>
      </c>
      <c r="H207" s="158" t="b">
        <f t="shared" si="7"/>
        <v>1</v>
      </c>
      <c r="I207" s="158">
        <f t="shared" si="8"/>
        <v>118</v>
      </c>
      <c r="J207" s="158">
        <f>IFERROR(__xludf.DUMMYFUNCTION("IF(O207,LET(w,IFERROR(MATCH(N207,UNIQUE(FILTER($N$44:$N$408,$O$44:$O$408=TRUE)),0),""""),IF(OR(w="""",w&gt;$B$6),"""",w)),"""")"),24.0)</f>
        <v>24</v>
      </c>
      <c r="K207" s="158" t="str">
        <f t="shared" si="9"/>
        <v>Term 2</v>
      </c>
      <c r="L207" s="158">
        <f t="shared" si="10"/>
        <v>12</v>
      </c>
      <c r="M207" s="159" t="b">
        <f t="shared" si="11"/>
        <v>1</v>
      </c>
      <c r="N207" s="160">
        <f t="shared" si="12"/>
        <v>46405</v>
      </c>
      <c r="O207" s="163" t="b">
        <f t="shared" si="13"/>
        <v>1</v>
      </c>
      <c r="Q207" s="163">
        <f t="shared" si="14"/>
        <v>0</v>
      </c>
    </row>
    <row r="208" ht="15.75" customHeight="1">
      <c r="A208" s="174">
        <f t="shared" si="15"/>
        <v>46408</v>
      </c>
      <c r="B208" s="176" t="str">
        <f t="shared" si="1"/>
        <v>Thursday</v>
      </c>
      <c r="C208" s="158" t="b">
        <f t="shared" si="2"/>
        <v>1</v>
      </c>
      <c r="D208" s="158" t="str">
        <f t="shared" si="3"/>
        <v/>
      </c>
      <c r="E208" s="158" t="str">
        <f t="shared" si="4"/>
        <v/>
      </c>
      <c r="F208" s="158" t="str">
        <f t="shared" si="5"/>
        <v/>
      </c>
      <c r="G208" s="158" t="str">
        <f t="shared" si="6"/>
        <v/>
      </c>
      <c r="H208" s="158" t="b">
        <f t="shared" si="7"/>
        <v>1</v>
      </c>
      <c r="I208" s="158">
        <f t="shared" si="8"/>
        <v>119</v>
      </c>
      <c r="J208" s="158">
        <f>IFERROR(__xludf.DUMMYFUNCTION("IF(O208,LET(w,IFERROR(MATCH(N208,UNIQUE(FILTER($N$44:$N$408,$O$44:$O$408=TRUE)),0),""""),IF(OR(w="""",w&gt;$B$6),"""",w)),"""")"),24.0)</f>
        <v>24</v>
      </c>
      <c r="K208" s="158" t="str">
        <f t="shared" si="9"/>
        <v>Term 2</v>
      </c>
      <c r="L208" s="158">
        <f t="shared" si="10"/>
        <v>12</v>
      </c>
      <c r="M208" s="159" t="b">
        <f t="shared" si="11"/>
        <v>1</v>
      </c>
      <c r="N208" s="160">
        <f t="shared" si="12"/>
        <v>46405</v>
      </c>
      <c r="O208" s="163" t="b">
        <f t="shared" si="13"/>
        <v>1</v>
      </c>
      <c r="Q208" s="163">
        <f t="shared" si="14"/>
        <v>0</v>
      </c>
    </row>
    <row r="209" ht="15.75" customHeight="1">
      <c r="A209" s="174">
        <f t="shared" si="15"/>
        <v>46409</v>
      </c>
      <c r="B209" s="176" t="str">
        <f t="shared" si="1"/>
        <v>Friday</v>
      </c>
      <c r="C209" s="158" t="b">
        <f t="shared" si="2"/>
        <v>1</v>
      </c>
      <c r="D209" s="158" t="str">
        <f t="shared" si="3"/>
        <v/>
      </c>
      <c r="E209" s="158" t="str">
        <f t="shared" si="4"/>
        <v/>
      </c>
      <c r="F209" s="158" t="str">
        <f t="shared" si="5"/>
        <v/>
      </c>
      <c r="G209" s="158" t="str">
        <f t="shared" si="6"/>
        <v/>
      </c>
      <c r="H209" s="158" t="b">
        <f t="shared" si="7"/>
        <v>1</v>
      </c>
      <c r="I209" s="158">
        <f t="shared" si="8"/>
        <v>120</v>
      </c>
      <c r="J209" s="158">
        <f>IFERROR(__xludf.DUMMYFUNCTION("IF(O209,LET(w,IFERROR(MATCH(N209,UNIQUE(FILTER($N$44:$N$408,$O$44:$O$408=TRUE)),0),""""),IF(OR(w="""",w&gt;$B$6),"""",w)),"""")"),24.0)</f>
        <v>24</v>
      </c>
      <c r="K209" s="158" t="str">
        <f t="shared" si="9"/>
        <v>Term 2</v>
      </c>
      <c r="L209" s="158">
        <f t="shared" si="10"/>
        <v>12</v>
      </c>
      <c r="M209" s="159" t="b">
        <f t="shared" si="11"/>
        <v>1</v>
      </c>
      <c r="N209" s="160">
        <f t="shared" si="12"/>
        <v>46405</v>
      </c>
      <c r="O209" s="163" t="b">
        <f t="shared" si="13"/>
        <v>1</v>
      </c>
      <c r="Q209" s="163">
        <f t="shared" si="14"/>
        <v>0</v>
      </c>
    </row>
    <row r="210" ht="15.75" customHeight="1">
      <c r="A210" s="174">
        <f t="shared" si="15"/>
        <v>46410</v>
      </c>
      <c r="B210" s="176" t="str">
        <f t="shared" si="1"/>
        <v>Saturday</v>
      </c>
      <c r="C210" s="158" t="b">
        <f t="shared" si="2"/>
        <v>0</v>
      </c>
      <c r="D210" s="158" t="str">
        <f t="shared" si="3"/>
        <v/>
      </c>
      <c r="E210" s="158" t="str">
        <f t="shared" si="4"/>
        <v/>
      </c>
      <c r="F210" s="158" t="str">
        <f t="shared" si="5"/>
        <v/>
      </c>
      <c r="G210" s="158" t="str">
        <f t="shared" si="6"/>
        <v/>
      </c>
      <c r="H210" s="158" t="b">
        <f t="shared" si="7"/>
        <v>0</v>
      </c>
      <c r="I210" s="158" t="str">
        <f t="shared" si="8"/>
        <v/>
      </c>
      <c r="J210" s="158">
        <f>IFERROR(__xludf.DUMMYFUNCTION("IF(O210,LET(w,IFERROR(MATCH(N210,UNIQUE(FILTER($N$44:$N$408,$O$44:$O$408=TRUE)),0),""""),IF(OR(w="""",w&gt;$B$6),"""",w)),"""")"),24.0)</f>
        <v>24</v>
      </c>
      <c r="K210" s="158" t="str">
        <f t="shared" si="9"/>
        <v>Term 2</v>
      </c>
      <c r="L210" s="158">
        <f t="shared" si="10"/>
        <v>12</v>
      </c>
      <c r="M210" s="159" t="b">
        <f t="shared" si="11"/>
        <v>1</v>
      </c>
      <c r="N210" s="160">
        <f t="shared" si="12"/>
        <v>46405</v>
      </c>
      <c r="O210" s="163" t="b">
        <f t="shared" si="13"/>
        <v>1</v>
      </c>
      <c r="Q210" s="163">
        <f t="shared" si="14"/>
        <v>0</v>
      </c>
    </row>
    <row r="211" ht="15.75" customHeight="1">
      <c r="A211" s="174">
        <f t="shared" si="15"/>
        <v>46411</v>
      </c>
      <c r="B211" s="176" t="str">
        <f t="shared" si="1"/>
        <v>Sunday</v>
      </c>
      <c r="C211" s="158" t="b">
        <f t="shared" si="2"/>
        <v>0</v>
      </c>
      <c r="D211" s="158" t="str">
        <f t="shared" si="3"/>
        <v/>
      </c>
      <c r="E211" s="158" t="str">
        <f t="shared" si="4"/>
        <v/>
      </c>
      <c r="F211" s="158" t="str">
        <f t="shared" si="5"/>
        <v/>
      </c>
      <c r="G211" s="158" t="str">
        <f t="shared" si="6"/>
        <v/>
      </c>
      <c r="H211" s="158" t="b">
        <f t="shared" si="7"/>
        <v>0</v>
      </c>
      <c r="I211" s="158" t="str">
        <f t="shared" si="8"/>
        <v/>
      </c>
      <c r="J211" s="158">
        <f>IFERROR(__xludf.DUMMYFUNCTION("IF(O211,LET(w,IFERROR(MATCH(N211,UNIQUE(FILTER($N$44:$N$408,$O$44:$O$408=TRUE)),0),""""),IF(OR(w="""",w&gt;$B$6),"""",w)),"""")"),24.0)</f>
        <v>24</v>
      </c>
      <c r="K211" s="158" t="str">
        <f t="shared" si="9"/>
        <v>Term 2</v>
      </c>
      <c r="L211" s="158">
        <f t="shared" si="10"/>
        <v>12</v>
      </c>
      <c r="M211" s="159" t="b">
        <f t="shared" si="11"/>
        <v>1</v>
      </c>
      <c r="N211" s="160">
        <f t="shared" si="12"/>
        <v>46405</v>
      </c>
      <c r="O211" s="163" t="b">
        <f t="shared" si="13"/>
        <v>1</v>
      </c>
      <c r="Q211" s="163">
        <f t="shared" si="14"/>
        <v>0</v>
      </c>
    </row>
    <row r="212" ht="15.75" customHeight="1">
      <c r="A212" s="174">
        <f t="shared" si="15"/>
        <v>46412</v>
      </c>
      <c r="B212" s="176" t="str">
        <f t="shared" si="1"/>
        <v>Monday</v>
      </c>
      <c r="C212" s="158" t="b">
        <f t="shared" si="2"/>
        <v>1</v>
      </c>
      <c r="D212" s="158" t="str">
        <f t="shared" si="3"/>
        <v/>
      </c>
      <c r="E212" s="158" t="str">
        <f t="shared" si="4"/>
        <v/>
      </c>
      <c r="F212" s="158" t="str">
        <f t="shared" si="5"/>
        <v/>
      </c>
      <c r="G212" s="158" t="str">
        <f t="shared" si="6"/>
        <v/>
      </c>
      <c r="H212" s="158" t="b">
        <f t="shared" si="7"/>
        <v>1</v>
      </c>
      <c r="I212" s="158">
        <f t="shared" si="8"/>
        <v>121</v>
      </c>
      <c r="J212" s="158">
        <f>IFERROR(__xludf.DUMMYFUNCTION("IF(O212,LET(w,IFERROR(MATCH(N212,UNIQUE(FILTER($N$44:$N$408,$O$44:$O$408=TRUE)),0),""""),IF(OR(w="""",w&gt;$B$6),"""",w)),"""")"),25.0)</f>
        <v>25</v>
      </c>
      <c r="K212" s="158" t="str">
        <f t="shared" si="9"/>
        <v>Term 3</v>
      </c>
      <c r="L212" s="158">
        <f t="shared" si="10"/>
        <v>1</v>
      </c>
      <c r="M212" s="159" t="b">
        <f t="shared" si="11"/>
        <v>0</v>
      </c>
      <c r="N212" s="160">
        <f t="shared" si="12"/>
        <v>46412</v>
      </c>
      <c r="O212" s="163" t="b">
        <f t="shared" si="13"/>
        <v>1</v>
      </c>
      <c r="Q212" s="163">
        <f t="shared" si="14"/>
        <v>0</v>
      </c>
    </row>
    <row r="213" ht="15.75" customHeight="1">
      <c r="A213" s="174">
        <f t="shared" si="15"/>
        <v>46413</v>
      </c>
      <c r="B213" s="176" t="str">
        <f t="shared" si="1"/>
        <v>Tuesday</v>
      </c>
      <c r="C213" s="158" t="b">
        <f t="shared" si="2"/>
        <v>1</v>
      </c>
      <c r="D213" s="158" t="str">
        <f t="shared" si="3"/>
        <v/>
      </c>
      <c r="E213" s="158" t="str">
        <f t="shared" si="4"/>
        <v/>
      </c>
      <c r="F213" s="158" t="str">
        <f t="shared" si="5"/>
        <v/>
      </c>
      <c r="G213" s="158" t="str">
        <f t="shared" si="6"/>
        <v/>
      </c>
      <c r="H213" s="158" t="b">
        <f t="shared" si="7"/>
        <v>1</v>
      </c>
      <c r="I213" s="158">
        <f t="shared" si="8"/>
        <v>122</v>
      </c>
      <c r="J213" s="158">
        <f>IFERROR(__xludf.DUMMYFUNCTION("IF(O213,LET(w,IFERROR(MATCH(N213,UNIQUE(FILTER($N$44:$N$408,$O$44:$O$408=TRUE)),0),""""),IF(OR(w="""",w&gt;$B$6),"""",w)),"""")"),25.0)</f>
        <v>25</v>
      </c>
      <c r="K213" s="158" t="str">
        <f t="shared" si="9"/>
        <v>Term 3</v>
      </c>
      <c r="L213" s="158">
        <f t="shared" si="10"/>
        <v>1</v>
      </c>
      <c r="M213" s="159" t="b">
        <f t="shared" si="11"/>
        <v>0</v>
      </c>
      <c r="N213" s="160">
        <f t="shared" si="12"/>
        <v>46412</v>
      </c>
      <c r="O213" s="163" t="b">
        <f t="shared" si="13"/>
        <v>1</v>
      </c>
      <c r="Q213" s="163">
        <f t="shared" si="14"/>
        <v>0</v>
      </c>
    </row>
    <row r="214" ht="15.75" customHeight="1">
      <c r="A214" s="174">
        <f t="shared" si="15"/>
        <v>46414</v>
      </c>
      <c r="B214" s="176" t="str">
        <f t="shared" si="1"/>
        <v>Wednesday</v>
      </c>
      <c r="C214" s="158" t="b">
        <f t="shared" si="2"/>
        <v>1</v>
      </c>
      <c r="D214" s="158" t="str">
        <f t="shared" si="3"/>
        <v/>
      </c>
      <c r="E214" s="158" t="str">
        <f t="shared" si="4"/>
        <v/>
      </c>
      <c r="F214" s="158" t="str">
        <f t="shared" si="5"/>
        <v/>
      </c>
      <c r="G214" s="158" t="str">
        <f t="shared" si="6"/>
        <v/>
      </c>
      <c r="H214" s="158" t="b">
        <f t="shared" si="7"/>
        <v>1</v>
      </c>
      <c r="I214" s="158">
        <f t="shared" si="8"/>
        <v>123</v>
      </c>
      <c r="J214" s="158">
        <f>IFERROR(__xludf.DUMMYFUNCTION("IF(O214,LET(w,IFERROR(MATCH(N214,UNIQUE(FILTER($N$44:$N$408,$O$44:$O$408=TRUE)),0),""""),IF(OR(w="""",w&gt;$B$6),"""",w)),"""")"),25.0)</f>
        <v>25</v>
      </c>
      <c r="K214" s="158" t="str">
        <f t="shared" si="9"/>
        <v>Term 3</v>
      </c>
      <c r="L214" s="158">
        <f t="shared" si="10"/>
        <v>1</v>
      </c>
      <c r="M214" s="159" t="b">
        <f t="shared" si="11"/>
        <v>0</v>
      </c>
      <c r="N214" s="160">
        <f t="shared" si="12"/>
        <v>46412</v>
      </c>
      <c r="O214" s="163" t="b">
        <f t="shared" si="13"/>
        <v>1</v>
      </c>
      <c r="Q214" s="163">
        <f t="shared" si="14"/>
        <v>0</v>
      </c>
    </row>
    <row r="215" ht="15.75" customHeight="1">
      <c r="A215" s="174">
        <f t="shared" si="15"/>
        <v>46415</v>
      </c>
      <c r="B215" s="176" t="str">
        <f t="shared" si="1"/>
        <v>Thursday</v>
      </c>
      <c r="C215" s="158" t="b">
        <f t="shared" si="2"/>
        <v>1</v>
      </c>
      <c r="D215" s="158" t="str">
        <f t="shared" si="3"/>
        <v/>
      </c>
      <c r="E215" s="158" t="str">
        <f t="shared" si="4"/>
        <v/>
      </c>
      <c r="F215" s="158" t="str">
        <f t="shared" si="5"/>
        <v/>
      </c>
      <c r="G215" s="158" t="str">
        <f t="shared" si="6"/>
        <v/>
      </c>
      <c r="H215" s="158" t="b">
        <f t="shared" si="7"/>
        <v>1</v>
      </c>
      <c r="I215" s="158">
        <f t="shared" si="8"/>
        <v>124</v>
      </c>
      <c r="J215" s="158">
        <f>IFERROR(__xludf.DUMMYFUNCTION("IF(O215,LET(w,IFERROR(MATCH(N215,UNIQUE(FILTER($N$44:$N$408,$O$44:$O$408=TRUE)),0),""""),IF(OR(w="""",w&gt;$B$6),"""",w)),"""")"),25.0)</f>
        <v>25</v>
      </c>
      <c r="K215" s="158" t="str">
        <f t="shared" si="9"/>
        <v>Term 3</v>
      </c>
      <c r="L215" s="158">
        <f t="shared" si="10"/>
        <v>1</v>
      </c>
      <c r="M215" s="159" t="b">
        <f t="shared" si="11"/>
        <v>0</v>
      </c>
      <c r="N215" s="160">
        <f t="shared" si="12"/>
        <v>46412</v>
      </c>
      <c r="O215" s="163" t="b">
        <f t="shared" si="13"/>
        <v>1</v>
      </c>
      <c r="Q215" s="163">
        <f t="shared" si="14"/>
        <v>0</v>
      </c>
    </row>
    <row r="216" ht="15.75" customHeight="1">
      <c r="A216" s="174">
        <f t="shared" si="15"/>
        <v>46416</v>
      </c>
      <c r="B216" s="176" t="str">
        <f t="shared" si="1"/>
        <v>Friday</v>
      </c>
      <c r="C216" s="158" t="b">
        <f t="shared" si="2"/>
        <v>1</v>
      </c>
      <c r="D216" s="158" t="str">
        <f t="shared" si="3"/>
        <v/>
      </c>
      <c r="E216" s="158" t="str">
        <f t="shared" si="4"/>
        <v/>
      </c>
      <c r="F216" s="158" t="str">
        <f t="shared" si="5"/>
        <v/>
      </c>
      <c r="G216" s="158" t="str">
        <f t="shared" si="6"/>
        <v/>
      </c>
      <c r="H216" s="158" t="b">
        <f t="shared" si="7"/>
        <v>1</v>
      </c>
      <c r="I216" s="158">
        <f t="shared" si="8"/>
        <v>125</v>
      </c>
      <c r="J216" s="158">
        <f>IFERROR(__xludf.DUMMYFUNCTION("IF(O216,LET(w,IFERROR(MATCH(N216,UNIQUE(FILTER($N$44:$N$408,$O$44:$O$408=TRUE)),0),""""),IF(OR(w="""",w&gt;$B$6),"""",w)),"""")"),25.0)</f>
        <v>25</v>
      </c>
      <c r="K216" s="158" t="str">
        <f t="shared" si="9"/>
        <v>Term 3</v>
      </c>
      <c r="L216" s="158">
        <f t="shared" si="10"/>
        <v>1</v>
      </c>
      <c r="M216" s="159" t="b">
        <f t="shared" si="11"/>
        <v>0</v>
      </c>
      <c r="N216" s="160">
        <f t="shared" si="12"/>
        <v>46412</v>
      </c>
      <c r="O216" s="163" t="b">
        <f t="shared" si="13"/>
        <v>1</v>
      </c>
      <c r="Q216" s="163">
        <f t="shared" si="14"/>
        <v>0</v>
      </c>
    </row>
    <row r="217" ht="15.75" customHeight="1">
      <c r="A217" s="174">
        <f t="shared" si="15"/>
        <v>46417</v>
      </c>
      <c r="B217" s="176" t="str">
        <f t="shared" si="1"/>
        <v>Saturday</v>
      </c>
      <c r="C217" s="158" t="b">
        <f t="shared" si="2"/>
        <v>0</v>
      </c>
      <c r="D217" s="158" t="str">
        <f t="shared" si="3"/>
        <v/>
      </c>
      <c r="E217" s="158" t="str">
        <f t="shared" si="4"/>
        <v/>
      </c>
      <c r="F217" s="158" t="str">
        <f t="shared" si="5"/>
        <v/>
      </c>
      <c r="G217" s="158" t="str">
        <f t="shared" si="6"/>
        <v/>
      </c>
      <c r="H217" s="158" t="b">
        <f t="shared" si="7"/>
        <v>0</v>
      </c>
      <c r="I217" s="158" t="str">
        <f t="shared" si="8"/>
        <v/>
      </c>
      <c r="J217" s="158">
        <f>IFERROR(__xludf.DUMMYFUNCTION("IF(O217,LET(w,IFERROR(MATCH(N217,UNIQUE(FILTER($N$44:$N$408,$O$44:$O$408=TRUE)),0),""""),IF(OR(w="""",w&gt;$B$6),"""",w)),"""")"),25.0)</f>
        <v>25</v>
      </c>
      <c r="K217" s="158" t="str">
        <f t="shared" si="9"/>
        <v>Term 3</v>
      </c>
      <c r="L217" s="158">
        <f t="shared" si="10"/>
        <v>1</v>
      </c>
      <c r="M217" s="159" t="b">
        <f t="shared" si="11"/>
        <v>0</v>
      </c>
      <c r="N217" s="160">
        <f t="shared" si="12"/>
        <v>46412</v>
      </c>
      <c r="O217" s="163" t="b">
        <f t="shared" si="13"/>
        <v>1</v>
      </c>
      <c r="Q217" s="163">
        <f t="shared" si="14"/>
        <v>0</v>
      </c>
    </row>
    <row r="218" ht="15.75" customHeight="1">
      <c r="A218" s="174">
        <f t="shared" si="15"/>
        <v>46418</v>
      </c>
      <c r="B218" s="176" t="str">
        <f t="shared" si="1"/>
        <v>Sunday</v>
      </c>
      <c r="C218" s="158" t="b">
        <f t="shared" si="2"/>
        <v>0</v>
      </c>
      <c r="D218" s="158" t="str">
        <f t="shared" si="3"/>
        <v/>
      </c>
      <c r="E218" s="158" t="str">
        <f t="shared" si="4"/>
        <v/>
      </c>
      <c r="F218" s="158" t="str">
        <f t="shared" si="5"/>
        <v/>
      </c>
      <c r="G218" s="158" t="str">
        <f t="shared" si="6"/>
        <v/>
      </c>
      <c r="H218" s="158" t="b">
        <f t="shared" si="7"/>
        <v>0</v>
      </c>
      <c r="I218" s="158" t="str">
        <f t="shared" si="8"/>
        <v/>
      </c>
      <c r="J218" s="158">
        <f>IFERROR(__xludf.DUMMYFUNCTION("IF(O218,LET(w,IFERROR(MATCH(N218,UNIQUE(FILTER($N$44:$N$408,$O$44:$O$408=TRUE)),0),""""),IF(OR(w="""",w&gt;$B$6),"""",w)),"""")"),25.0)</f>
        <v>25</v>
      </c>
      <c r="K218" s="158" t="str">
        <f t="shared" si="9"/>
        <v>Term 3</v>
      </c>
      <c r="L218" s="158">
        <f t="shared" si="10"/>
        <v>1</v>
      </c>
      <c r="M218" s="159" t="b">
        <f t="shared" si="11"/>
        <v>0</v>
      </c>
      <c r="N218" s="160">
        <f t="shared" si="12"/>
        <v>46412</v>
      </c>
      <c r="O218" s="163" t="b">
        <f t="shared" si="13"/>
        <v>1</v>
      </c>
      <c r="Q218" s="163">
        <f t="shared" si="14"/>
        <v>0</v>
      </c>
    </row>
    <row r="219" ht="15.75" customHeight="1">
      <c r="A219" s="174">
        <f t="shared" si="15"/>
        <v>46419</v>
      </c>
      <c r="B219" s="176" t="str">
        <f t="shared" si="1"/>
        <v>Monday</v>
      </c>
      <c r="C219" s="158" t="b">
        <f t="shared" si="2"/>
        <v>1</v>
      </c>
      <c r="D219" s="158" t="str">
        <f t="shared" si="3"/>
        <v/>
      </c>
      <c r="E219" s="158" t="str">
        <f t="shared" si="4"/>
        <v/>
      </c>
      <c r="F219" s="158" t="str">
        <f t="shared" si="5"/>
        <v/>
      </c>
      <c r="G219" s="158" t="str">
        <f t="shared" si="6"/>
        <v/>
      </c>
      <c r="H219" s="158" t="b">
        <f t="shared" si="7"/>
        <v>1</v>
      </c>
      <c r="I219" s="158">
        <f t="shared" si="8"/>
        <v>126</v>
      </c>
      <c r="J219" s="158">
        <f>IFERROR(__xludf.DUMMYFUNCTION("IF(O219,LET(w,IFERROR(MATCH(N219,UNIQUE(FILTER($N$44:$N$408,$O$44:$O$408=TRUE)),0),""""),IF(OR(w="""",w&gt;$B$6),"""",w)),"""")"),26.0)</f>
        <v>26</v>
      </c>
      <c r="K219" s="158" t="str">
        <f t="shared" si="9"/>
        <v>Term 3</v>
      </c>
      <c r="L219" s="158">
        <f t="shared" si="10"/>
        <v>2</v>
      </c>
      <c r="M219" s="159" t="b">
        <f t="shared" si="11"/>
        <v>0</v>
      </c>
      <c r="N219" s="160">
        <f t="shared" si="12"/>
        <v>46419</v>
      </c>
      <c r="O219" s="163" t="b">
        <f t="shared" si="13"/>
        <v>1</v>
      </c>
      <c r="Q219" s="163">
        <f t="shared" si="14"/>
        <v>0</v>
      </c>
    </row>
    <row r="220" ht="15.75" customHeight="1">
      <c r="A220" s="174">
        <f t="shared" si="15"/>
        <v>46420</v>
      </c>
      <c r="B220" s="176" t="str">
        <f t="shared" si="1"/>
        <v>Tuesday</v>
      </c>
      <c r="C220" s="158" t="b">
        <f t="shared" si="2"/>
        <v>1</v>
      </c>
      <c r="D220" s="158" t="str">
        <f t="shared" si="3"/>
        <v/>
      </c>
      <c r="E220" s="158" t="str">
        <f t="shared" si="4"/>
        <v/>
      </c>
      <c r="F220" s="158" t="str">
        <f t="shared" si="5"/>
        <v/>
      </c>
      <c r="G220" s="158" t="str">
        <f t="shared" si="6"/>
        <v/>
      </c>
      <c r="H220" s="158" t="b">
        <f t="shared" si="7"/>
        <v>1</v>
      </c>
      <c r="I220" s="158">
        <f t="shared" si="8"/>
        <v>127</v>
      </c>
      <c r="J220" s="158">
        <f>IFERROR(__xludf.DUMMYFUNCTION("IF(O220,LET(w,IFERROR(MATCH(N220,UNIQUE(FILTER($N$44:$N$408,$O$44:$O$408=TRUE)),0),""""),IF(OR(w="""",w&gt;$B$6),"""",w)),"""")"),26.0)</f>
        <v>26</v>
      </c>
      <c r="K220" s="158" t="str">
        <f t="shared" si="9"/>
        <v>Term 3</v>
      </c>
      <c r="L220" s="158">
        <f t="shared" si="10"/>
        <v>2</v>
      </c>
      <c r="M220" s="159" t="b">
        <f t="shared" si="11"/>
        <v>0</v>
      </c>
      <c r="N220" s="160">
        <f t="shared" si="12"/>
        <v>46419</v>
      </c>
      <c r="O220" s="163" t="b">
        <f t="shared" si="13"/>
        <v>1</v>
      </c>
      <c r="Q220" s="163">
        <f t="shared" si="14"/>
        <v>0</v>
      </c>
    </row>
    <row r="221" ht="15.75" customHeight="1">
      <c r="A221" s="174">
        <f t="shared" si="15"/>
        <v>46421</v>
      </c>
      <c r="B221" s="176" t="str">
        <f t="shared" si="1"/>
        <v>Wednesday</v>
      </c>
      <c r="C221" s="158" t="b">
        <f t="shared" si="2"/>
        <v>1</v>
      </c>
      <c r="D221" s="158" t="str">
        <f t="shared" si="3"/>
        <v/>
      </c>
      <c r="E221" s="158" t="str">
        <f t="shared" si="4"/>
        <v/>
      </c>
      <c r="F221" s="158" t="str">
        <f t="shared" si="5"/>
        <v/>
      </c>
      <c r="G221" s="158" t="str">
        <f t="shared" si="6"/>
        <v/>
      </c>
      <c r="H221" s="158" t="b">
        <f t="shared" si="7"/>
        <v>1</v>
      </c>
      <c r="I221" s="158">
        <f t="shared" si="8"/>
        <v>128</v>
      </c>
      <c r="J221" s="158">
        <f>IFERROR(__xludf.DUMMYFUNCTION("IF(O221,LET(w,IFERROR(MATCH(N221,UNIQUE(FILTER($N$44:$N$408,$O$44:$O$408=TRUE)),0),""""),IF(OR(w="""",w&gt;$B$6),"""",w)),"""")"),26.0)</f>
        <v>26</v>
      </c>
      <c r="K221" s="158" t="str">
        <f t="shared" si="9"/>
        <v>Term 3</v>
      </c>
      <c r="L221" s="158">
        <f t="shared" si="10"/>
        <v>2</v>
      </c>
      <c r="M221" s="159" t="b">
        <f t="shared" si="11"/>
        <v>0</v>
      </c>
      <c r="N221" s="160">
        <f t="shared" si="12"/>
        <v>46419</v>
      </c>
      <c r="O221" s="163" t="b">
        <f t="shared" si="13"/>
        <v>1</v>
      </c>
      <c r="Q221" s="163">
        <f t="shared" si="14"/>
        <v>0</v>
      </c>
    </row>
    <row r="222" ht="15.75" customHeight="1">
      <c r="A222" s="174">
        <f t="shared" si="15"/>
        <v>46422</v>
      </c>
      <c r="B222" s="176" t="str">
        <f t="shared" si="1"/>
        <v>Thursday</v>
      </c>
      <c r="C222" s="158" t="b">
        <f t="shared" si="2"/>
        <v>1</v>
      </c>
      <c r="D222" s="158" t="str">
        <f t="shared" si="3"/>
        <v/>
      </c>
      <c r="E222" s="158" t="str">
        <f t="shared" si="4"/>
        <v/>
      </c>
      <c r="F222" s="158" t="str">
        <f t="shared" si="5"/>
        <v/>
      </c>
      <c r="G222" s="158" t="str">
        <f t="shared" si="6"/>
        <v/>
      </c>
      <c r="H222" s="158" t="b">
        <f t="shared" si="7"/>
        <v>1</v>
      </c>
      <c r="I222" s="158">
        <f t="shared" si="8"/>
        <v>129</v>
      </c>
      <c r="J222" s="158">
        <f>IFERROR(__xludf.DUMMYFUNCTION("IF(O222,LET(w,IFERROR(MATCH(N222,UNIQUE(FILTER($N$44:$N$408,$O$44:$O$408=TRUE)),0),""""),IF(OR(w="""",w&gt;$B$6),"""",w)),"""")"),26.0)</f>
        <v>26</v>
      </c>
      <c r="K222" s="158" t="str">
        <f t="shared" si="9"/>
        <v>Term 3</v>
      </c>
      <c r="L222" s="158">
        <f t="shared" si="10"/>
        <v>2</v>
      </c>
      <c r="M222" s="159" t="b">
        <f t="shared" si="11"/>
        <v>0</v>
      </c>
      <c r="N222" s="160">
        <f t="shared" si="12"/>
        <v>46419</v>
      </c>
      <c r="O222" s="163" t="b">
        <f t="shared" si="13"/>
        <v>1</v>
      </c>
      <c r="Q222" s="163">
        <f t="shared" si="14"/>
        <v>0</v>
      </c>
    </row>
    <row r="223" ht="15.75" customHeight="1">
      <c r="A223" s="174">
        <f t="shared" si="15"/>
        <v>46423</v>
      </c>
      <c r="B223" s="176" t="str">
        <f t="shared" si="1"/>
        <v>Friday</v>
      </c>
      <c r="C223" s="158" t="b">
        <f t="shared" si="2"/>
        <v>1</v>
      </c>
      <c r="D223" s="158" t="str">
        <f t="shared" si="3"/>
        <v/>
      </c>
      <c r="E223" s="158" t="str">
        <f t="shared" si="4"/>
        <v/>
      </c>
      <c r="F223" s="158" t="str">
        <f t="shared" si="5"/>
        <v/>
      </c>
      <c r="G223" s="158" t="str">
        <f t="shared" si="6"/>
        <v/>
      </c>
      <c r="H223" s="158" t="b">
        <f t="shared" si="7"/>
        <v>1</v>
      </c>
      <c r="I223" s="158">
        <f t="shared" si="8"/>
        <v>130</v>
      </c>
      <c r="J223" s="158">
        <f>IFERROR(__xludf.DUMMYFUNCTION("IF(O223,LET(w,IFERROR(MATCH(N223,UNIQUE(FILTER($N$44:$N$408,$O$44:$O$408=TRUE)),0),""""),IF(OR(w="""",w&gt;$B$6),"""",w)),"""")"),26.0)</f>
        <v>26</v>
      </c>
      <c r="K223" s="158" t="str">
        <f t="shared" si="9"/>
        <v>Term 3</v>
      </c>
      <c r="L223" s="158">
        <f t="shared" si="10"/>
        <v>2</v>
      </c>
      <c r="M223" s="159" t="b">
        <f t="shared" si="11"/>
        <v>0</v>
      </c>
      <c r="N223" s="160">
        <f t="shared" si="12"/>
        <v>46419</v>
      </c>
      <c r="O223" s="163" t="b">
        <f t="shared" si="13"/>
        <v>1</v>
      </c>
      <c r="Q223" s="163">
        <f t="shared" si="14"/>
        <v>0</v>
      </c>
    </row>
    <row r="224" ht="15.75" customHeight="1">
      <c r="A224" s="174">
        <f t="shared" si="15"/>
        <v>46424</v>
      </c>
      <c r="B224" s="176" t="str">
        <f t="shared" si="1"/>
        <v>Saturday</v>
      </c>
      <c r="C224" s="158" t="b">
        <f t="shared" si="2"/>
        <v>0</v>
      </c>
      <c r="D224" s="158" t="str">
        <f t="shared" si="3"/>
        <v/>
      </c>
      <c r="E224" s="158" t="str">
        <f t="shared" si="4"/>
        <v/>
      </c>
      <c r="F224" s="158" t="str">
        <f t="shared" si="5"/>
        <v/>
      </c>
      <c r="G224" s="158" t="str">
        <f t="shared" si="6"/>
        <v/>
      </c>
      <c r="H224" s="158" t="b">
        <f t="shared" si="7"/>
        <v>0</v>
      </c>
      <c r="I224" s="158" t="str">
        <f t="shared" si="8"/>
        <v/>
      </c>
      <c r="J224" s="158">
        <f>IFERROR(__xludf.DUMMYFUNCTION("IF(O224,LET(w,IFERROR(MATCH(N224,UNIQUE(FILTER($N$44:$N$408,$O$44:$O$408=TRUE)),0),""""),IF(OR(w="""",w&gt;$B$6),"""",w)),"""")"),26.0)</f>
        <v>26</v>
      </c>
      <c r="K224" s="158" t="str">
        <f t="shared" si="9"/>
        <v>Term 3</v>
      </c>
      <c r="L224" s="158">
        <f t="shared" si="10"/>
        <v>2</v>
      </c>
      <c r="M224" s="159" t="b">
        <f t="shared" si="11"/>
        <v>0</v>
      </c>
      <c r="N224" s="160">
        <f t="shared" si="12"/>
        <v>46419</v>
      </c>
      <c r="O224" s="163" t="b">
        <f t="shared" si="13"/>
        <v>1</v>
      </c>
      <c r="Q224" s="163">
        <f t="shared" si="14"/>
        <v>0</v>
      </c>
    </row>
    <row r="225" ht="15.75" customHeight="1">
      <c r="A225" s="174">
        <f t="shared" si="15"/>
        <v>46425</v>
      </c>
      <c r="B225" s="176" t="str">
        <f t="shared" si="1"/>
        <v>Sunday</v>
      </c>
      <c r="C225" s="158" t="b">
        <f t="shared" si="2"/>
        <v>0</v>
      </c>
      <c r="D225" s="158" t="str">
        <f t="shared" si="3"/>
        <v/>
      </c>
      <c r="E225" s="158" t="str">
        <f t="shared" si="4"/>
        <v/>
      </c>
      <c r="F225" s="158" t="str">
        <f t="shared" si="5"/>
        <v/>
      </c>
      <c r="G225" s="158" t="str">
        <f t="shared" si="6"/>
        <v/>
      </c>
      <c r="H225" s="158" t="b">
        <f t="shared" si="7"/>
        <v>0</v>
      </c>
      <c r="I225" s="158" t="str">
        <f t="shared" si="8"/>
        <v/>
      </c>
      <c r="J225" s="158">
        <f>IFERROR(__xludf.DUMMYFUNCTION("IF(O225,LET(w,IFERROR(MATCH(N225,UNIQUE(FILTER($N$44:$N$408,$O$44:$O$408=TRUE)),0),""""),IF(OR(w="""",w&gt;$B$6),"""",w)),"""")"),26.0)</f>
        <v>26</v>
      </c>
      <c r="K225" s="158" t="str">
        <f t="shared" si="9"/>
        <v>Term 3</v>
      </c>
      <c r="L225" s="158">
        <f t="shared" si="10"/>
        <v>2</v>
      </c>
      <c r="M225" s="159" t="b">
        <f t="shared" si="11"/>
        <v>0</v>
      </c>
      <c r="N225" s="160">
        <f t="shared" si="12"/>
        <v>46419</v>
      </c>
      <c r="O225" s="163" t="b">
        <f t="shared" si="13"/>
        <v>1</v>
      </c>
      <c r="Q225" s="163">
        <f t="shared" si="14"/>
        <v>0</v>
      </c>
    </row>
    <row r="226" ht="15.75" customHeight="1">
      <c r="A226" s="174">
        <f t="shared" si="15"/>
        <v>46426</v>
      </c>
      <c r="B226" s="176" t="str">
        <f t="shared" si="1"/>
        <v>Monday</v>
      </c>
      <c r="C226" s="158" t="b">
        <f t="shared" si="2"/>
        <v>1</v>
      </c>
      <c r="D226" s="158" t="str">
        <f t="shared" si="3"/>
        <v/>
      </c>
      <c r="E226" s="158" t="str">
        <f t="shared" si="4"/>
        <v/>
      </c>
      <c r="F226" s="158" t="str">
        <f t="shared" si="5"/>
        <v/>
      </c>
      <c r="G226" s="158" t="str">
        <f t="shared" si="6"/>
        <v/>
      </c>
      <c r="H226" s="158" t="b">
        <f t="shared" si="7"/>
        <v>1</v>
      </c>
      <c r="I226" s="158">
        <f t="shared" si="8"/>
        <v>131</v>
      </c>
      <c r="J226" s="158">
        <f>IFERROR(__xludf.DUMMYFUNCTION("IF(O226,LET(w,IFERROR(MATCH(N226,UNIQUE(FILTER($N$44:$N$408,$O$44:$O$408=TRUE)),0),""""),IF(OR(w="""",w&gt;$B$6),"""",w)),"""")"),27.0)</f>
        <v>27</v>
      </c>
      <c r="K226" s="158" t="str">
        <f t="shared" si="9"/>
        <v>Term 3</v>
      </c>
      <c r="L226" s="158">
        <f t="shared" si="10"/>
        <v>3</v>
      </c>
      <c r="M226" s="159" t="b">
        <f t="shared" si="11"/>
        <v>0</v>
      </c>
      <c r="N226" s="160">
        <f t="shared" si="12"/>
        <v>46426</v>
      </c>
      <c r="O226" s="163" t="b">
        <f t="shared" si="13"/>
        <v>1</v>
      </c>
      <c r="Q226" s="163">
        <f t="shared" si="14"/>
        <v>0</v>
      </c>
    </row>
    <row r="227" ht="15.75" customHeight="1">
      <c r="A227" s="174">
        <f t="shared" si="15"/>
        <v>46427</v>
      </c>
      <c r="B227" s="176" t="str">
        <f t="shared" si="1"/>
        <v>Tuesday</v>
      </c>
      <c r="C227" s="158" t="b">
        <f t="shared" si="2"/>
        <v>1</v>
      </c>
      <c r="D227" s="158" t="str">
        <f t="shared" si="3"/>
        <v/>
      </c>
      <c r="E227" s="158" t="str">
        <f t="shared" si="4"/>
        <v/>
      </c>
      <c r="F227" s="158" t="str">
        <f t="shared" si="5"/>
        <v/>
      </c>
      <c r="G227" s="158" t="str">
        <f t="shared" si="6"/>
        <v/>
      </c>
      <c r="H227" s="158" t="b">
        <f t="shared" si="7"/>
        <v>1</v>
      </c>
      <c r="I227" s="158">
        <f t="shared" si="8"/>
        <v>132</v>
      </c>
      <c r="J227" s="158">
        <f>IFERROR(__xludf.DUMMYFUNCTION("IF(O227,LET(w,IFERROR(MATCH(N227,UNIQUE(FILTER($N$44:$N$408,$O$44:$O$408=TRUE)),0),""""),IF(OR(w="""",w&gt;$B$6),"""",w)),"""")"),27.0)</f>
        <v>27</v>
      </c>
      <c r="K227" s="158" t="str">
        <f t="shared" si="9"/>
        <v>Term 3</v>
      </c>
      <c r="L227" s="158">
        <f t="shared" si="10"/>
        <v>3</v>
      </c>
      <c r="M227" s="159" t="b">
        <f t="shared" si="11"/>
        <v>0</v>
      </c>
      <c r="N227" s="160">
        <f t="shared" si="12"/>
        <v>46426</v>
      </c>
      <c r="O227" s="163" t="b">
        <f t="shared" si="13"/>
        <v>1</v>
      </c>
      <c r="Q227" s="163">
        <f t="shared" si="14"/>
        <v>0</v>
      </c>
    </row>
    <row r="228" ht="15.75" customHeight="1">
      <c r="A228" s="174">
        <f t="shared" si="15"/>
        <v>46428</v>
      </c>
      <c r="B228" s="176" t="str">
        <f t="shared" si="1"/>
        <v>Wednesday</v>
      </c>
      <c r="C228" s="158" t="b">
        <f t="shared" si="2"/>
        <v>1</v>
      </c>
      <c r="D228" s="158" t="str">
        <f t="shared" si="3"/>
        <v/>
      </c>
      <c r="E228" s="158" t="str">
        <f t="shared" si="4"/>
        <v/>
      </c>
      <c r="F228" s="158" t="str">
        <f t="shared" si="5"/>
        <v/>
      </c>
      <c r="G228" s="158" t="str">
        <f t="shared" si="6"/>
        <v/>
      </c>
      <c r="H228" s="158" t="b">
        <f t="shared" si="7"/>
        <v>1</v>
      </c>
      <c r="I228" s="158">
        <f t="shared" si="8"/>
        <v>133</v>
      </c>
      <c r="J228" s="158">
        <f>IFERROR(__xludf.DUMMYFUNCTION("IF(O228,LET(w,IFERROR(MATCH(N228,UNIQUE(FILTER($N$44:$N$408,$O$44:$O$408=TRUE)),0),""""),IF(OR(w="""",w&gt;$B$6),"""",w)),"""")"),27.0)</f>
        <v>27</v>
      </c>
      <c r="K228" s="158" t="str">
        <f t="shared" si="9"/>
        <v>Term 3</v>
      </c>
      <c r="L228" s="158">
        <f t="shared" si="10"/>
        <v>3</v>
      </c>
      <c r="M228" s="159" t="b">
        <f t="shared" si="11"/>
        <v>0</v>
      </c>
      <c r="N228" s="160">
        <f t="shared" si="12"/>
        <v>46426</v>
      </c>
      <c r="O228" s="163" t="b">
        <f t="shared" si="13"/>
        <v>1</v>
      </c>
      <c r="Q228" s="163">
        <f t="shared" si="14"/>
        <v>0</v>
      </c>
    </row>
    <row r="229" ht="15.75" customHeight="1">
      <c r="A229" s="174">
        <f t="shared" si="15"/>
        <v>46429</v>
      </c>
      <c r="B229" s="176" t="str">
        <f t="shared" si="1"/>
        <v>Thursday</v>
      </c>
      <c r="C229" s="158" t="b">
        <f t="shared" si="2"/>
        <v>1</v>
      </c>
      <c r="D229" s="158" t="str">
        <f t="shared" si="3"/>
        <v/>
      </c>
      <c r="E229" s="158" t="str">
        <f t="shared" si="4"/>
        <v/>
      </c>
      <c r="F229" s="158" t="str">
        <f t="shared" si="5"/>
        <v/>
      </c>
      <c r="G229" s="158" t="str">
        <f t="shared" si="6"/>
        <v/>
      </c>
      <c r="H229" s="158" t="b">
        <f t="shared" si="7"/>
        <v>1</v>
      </c>
      <c r="I229" s="158">
        <f t="shared" si="8"/>
        <v>134</v>
      </c>
      <c r="J229" s="158">
        <f>IFERROR(__xludf.DUMMYFUNCTION("IF(O229,LET(w,IFERROR(MATCH(N229,UNIQUE(FILTER($N$44:$N$408,$O$44:$O$408=TRUE)),0),""""),IF(OR(w="""",w&gt;$B$6),"""",w)),"""")"),27.0)</f>
        <v>27</v>
      </c>
      <c r="K229" s="158" t="str">
        <f t="shared" si="9"/>
        <v>Term 3</v>
      </c>
      <c r="L229" s="158">
        <f t="shared" si="10"/>
        <v>3</v>
      </c>
      <c r="M229" s="159" t="b">
        <f t="shared" si="11"/>
        <v>0</v>
      </c>
      <c r="N229" s="160">
        <f t="shared" si="12"/>
        <v>46426</v>
      </c>
      <c r="O229" s="163" t="b">
        <f t="shared" si="13"/>
        <v>1</v>
      </c>
      <c r="Q229" s="163">
        <f t="shared" si="14"/>
        <v>0</v>
      </c>
    </row>
    <row r="230" ht="15.75" customHeight="1">
      <c r="A230" s="174">
        <f t="shared" si="15"/>
        <v>46430</v>
      </c>
      <c r="B230" s="176" t="str">
        <f t="shared" si="1"/>
        <v>Friday</v>
      </c>
      <c r="C230" s="158" t="b">
        <f t="shared" si="2"/>
        <v>1</v>
      </c>
      <c r="D230" s="158" t="str">
        <f t="shared" si="3"/>
        <v/>
      </c>
      <c r="E230" s="158" t="str">
        <f t="shared" si="4"/>
        <v/>
      </c>
      <c r="F230" s="158" t="str">
        <f t="shared" si="5"/>
        <v/>
      </c>
      <c r="G230" s="158" t="str">
        <f t="shared" si="6"/>
        <v/>
      </c>
      <c r="H230" s="158" t="b">
        <f t="shared" si="7"/>
        <v>1</v>
      </c>
      <c r="I230" s="158">
        <f t="shared" si="8"/>
        <v>135</v>
      </c>
      <c r="J230" s="158">
        <f>IFERROR(__xludf.DUMMYFUNCTION("IF(O230,LET(w,IFERROR(MATCH(N230,UNIQUE(FILTER($N$44:$N$408,$O$44:$O$408=TRUE)),0),""""),IF(OR(w="""",w&gt;$B$6),"""",w)),"""")"),27.0)</f>
        <v>27</v>
      </c>
      <c r="K230" s="158" t="str">
        <f t="shared" si="9"/>
        <v>Term 3</v>
      </c>
      <c r="L230" s="158">
        <f t="shared" si="10"/>
        <v>3</v>
      </c>
      <c r="M230" s="159" t="b">
        <f t="shared" si="11"/>
        <v>0</v>
      </c>
      <c r="N230" s="160">
        <f t="shared" si="12"/>
        <v>46426</v>
      </c>
      <c r="O230" s="163" t="b">
        <f t="shared" si="13"/>
        <v>1</v>
      </c>
      <c r="Q230" s="163">
        <f t="shared" si="14"/>
        <v>0</v>
      </c>
    </row>
    <row r="231" ht="15.75" customHeight="1">
      <c r="A231" s="174">
        <f t="shared" si="15"/>
        <v>46431</v>
      </c>
      <c r="B231" s="176" t="str">
        <f t="shared" si="1"/>
        <v>Saturday</v>
      </c>
      <c r="C231" s="158" t="b">
        <f t="shared" si="2"/>
        <v>0</v>
      </c>
      <c r="D231" s="158" t="str">
        <f t="shared" si="3"/>
        <v/>
      </c>
      <c r="E231" s="158" t="str">
        <f t="shared" si="4"/>
        <v/>
      </c>
      <c r="F231" s="158" t="str">
        <f t="shared" si="5"/>
        <v/>
      </c>
      <c r="G231" s="158" t="str">
        <f t="shared" si="6"/>
        <v/>
      </c>
      <c r="H231" s="158" t="b">
        <f t="shared" si="7"/>
        <v>0</v>
      </c>
      <c r="I231" s="158" t="str">
        <f t="shared" si="8"/>
        <v/>
      </c>
      <c r="J231" s="158">
        <f>IFERROR(__xludf.DUMMYFUNCTION("IF(O231,LET(w,IFERROR(MATCH(N231,UNIQUE(FILTER($N$44:$N$408,$O$44:$O$408=TRUE)),0),""""),IF(OR(w="""",w&gt;$B$6),"""",w)),"""")"),27.0)</f>
        <v>27</v>
      </c>
      <c r="K231" s="158" t="str">
        <f t="shared" si="9"/>
        <v>Term 3</v>
      </c>
      <c r="L231" s="158">
        <f t="shared" si="10"/>
        <v>3</v>
      </c>
      <c r="M231" s="159" t="b">
        <f t="shared" si="11"/>
        <v>0</v>
      </c>
      <c r="N231" s="160">
        <f t="shared" si="12"/>
        <v>46426</v>
      </c>
      <c r="O231" s="163" t="b">
        <f t="shared" si="13"/>
        <v>1</v>
      </c>
      <c r="Q231" s="163">
        <f t="shared" si="14"/>
        <v>0</v>
      </c>
    </row>
    <row r="232" ht="15.75" customHeight="1">
      <c r="A232" s="174">
        <f t="shared" si="15"/>
        <v>46432</v>
      </c>
      <c r="B232" s="176" t="str">
        <f t="shared" si="1"/>
        <v>Sunday</v>
      </c>
      <c r="C232" s="158" t="b">
        <f t="shared" si="2"/>
        <v>0</v>
      </c>
      <c r="D232" s="158" t="str">
        <f t="shared" si="3"/>
        <v/>
      </c>
      <c r="E232" s="158" t="str">
        <f t="shared" si="4"/>
        <v/>
      </c>
      <c r="F232" s="158" t="str">
        <f t="shared" si="5"/>
        <v/>
      </c>
      <c r="G232" s="158" t="str">
        <f t="shared" si="6"/>
        <v/>
      </c>
      <c r="H232" s="158" t="b">
        <f t="shared" si="7"/>
        <v>0</v>
      </c>
      <c r="I232" s="158" t="str">
        <f t="shared" si="8"/>
        <v/>
      </c>
      <c r="J232" s="158">
        <f>IFERROR(__xludf.DUMMYFUNCTION("IF(O232,LET(w,IFERROR(MATCH(N232,UNIQUE(FILTER($N$44:$N$408,$O$44:$O$408=TRUE)),0),""""),IF(OR(w="""",w&gt;$B$6),"""",w)),"""")"),27.0)</f>
        <v>27</v>
      </c>
      <c r="K232" s="158" t="str">
        <f t="shared" si="9"/>
        <v>Term 3</v>
      </c>
      <c r="L232" s="158">
        <f t="shared" si="10"/>
        <v>3</v>
      </c>
      <c r="M232" s="159" t="b">
        <f t="shared" si="11"/>
        <v>0</v>
      </c>
      <c r="N232" s="160">
        <f t="shared" si="12"/>
        <v>46426</v>
      </c>
      <c r="O232" s="163" t="b">
        <f t="shared" si="13"/>
        <v>1</v>
      </c>
      <c r="Q232" s="163">
        <f t="shared" si="14"/>
        <v>0</v>
      </c>
    </row>
    <row r="233" ht="15.75" customHeight="1">
      <c r="A233" s="174">
        <f t="shared" si="15"/>
        <v>46433</v>
      </c>
      <c r="B233" s="176" t="str">
        <f t="shared" si="1"/>
        <v>Monday</v>
      </c>
      <c r="C233" s="158" t="b">
        <f t="shared" si="2"/>
        <v>1</v>
      </c>
      <c r="D233" s="158" t="str">
        <f t="shared" si="3"/>
        <v/>
      </c>
      <c r="E233" s="158" t="str">
        <f t="shared" si="4"/>
        <v/>
      </c>
      <c r="F233" s="158" t="str">
        <f t="shared" si="5"/>
        <v/>
      </c>
      <c r="G233" s="158" t="str">
        <f t="shared" si="6"/>
        <v/>
      </c>
      <c r="H233" s="158" t="b">
        <f t="shared" si="7"/>
        <v>1</v>
      </c>
      <c r="I233" s="158">
        <f t="shared" si="8"/>
        <v>136</v>
      </c>
      <c r="J233" s="158">
        <f>IFERROR(__xludf.DUMMYFUNCTION("IF(O233,LET(w,IFERROR(MATCH(N233,UNIQUE(FILTER($N$44:$N$408,$O$44:$O$408=TRUE)),0),""""),IF(OR(w="""",w&gt;$B$6),"""",w)),"""")"),28.0)</f>
        <v>28</v>
      </c>
      <c r="K233" s="158" t="str">
        <f t="shared" si="9"/>
        <v>Term 3</v>
      </c>
      <c r="L233" s="158">
        <f t="shared" si="10"/>
        <v>4</v>
      </c>
      <c r="M233" s="159" t="b">
        <f t="shared" si="11"/>
        <v>0</v>
      </c>
      <c r="N233" s="160">
        <f t="shared" si="12"/>
        <v>46433</v>
      </c>
      <c r="O233" s="163" t="b">
        <f t="shared" si="13"/>
        <v>1</v>
      </c>
      <c r="Q233" s="163">
        <f t="shared" si="14"/>
        <v>0</v>
      </c>
    </row>
    <row r="234" ht="15.75" customHeight="1">
      <c r="A234" s="174">
        <f t="shared" si="15"/>
        <v>46434</v>
      </c>
      <c r="B234" s="176" t="str">
        <f t="shared" si="1"/>
        <v>Tuesday</v>
      </c>
      <c r="C234" s="158" t="b">
        <f t="shared" si="2"/>
        <v>1</v>
      </c>
      <c r="D234" s="158" t="str">
        <f t="shared" si="3"/>
        <v/>
      </c>
      <c r="E234" s="158" t="str">
        <f t="shared" si="4"/>
        <v/>
      </c>
      <c r="F234" s="158" t="str">
        <f t="shared" si="5"/>
        <v/>
      </c>
      <c r="G234" s="158" t="str">
        <f t="shared" si="6"/>
        <v/>
      </c>
      <c r="H234" s="158" t="b">
        <f t="shared" si="7"/>
        <v>1</v>
      </c>
      <c r="I234" s="158">
        <f t="shared" si="8"/>
        <v>137</v>
      </c>
      <c r="J234" s="158">
        <f>IFERROR(__xludf.DUMMYFUNCTION("IF(O234,LET(w,IFERROR(MATCH(N234,UNIQUE(FILTER($N$44:$N$408,$O$44:$O$408=TRUE)),0),""""),IF(OR(w="""",w&gt;$B$6),"""",w)),"""")"),28.0)</f>
        <v>28</v>
      </c>
      <c r="K234" s="158" t="str">
        <f t="shared" si="9"/>
        <v>Term 3</v>
      </c>
      <c r="L234" s="158">
        <f t="shared" si="10"/>
        <v>4</v>
      </c>
      <c r="M234" s="159" t="b">
        <f t="shared" si="11"/>
        <v>0</v>
      </c>
      <c r="N234" s="160">
        <f t="shared" si="12"/>
        <v>46433</v>
      </c>
      <c r="O234" s="163" t="b">
        <f t="shared" si="13"/>
        <v>1</v>
      </c>
      <c r="Q234" s="163">
        <f t="shared" si="14"/>
        <v>0</v>
      </c>
    </row>
    <row r="235" ht="15.75" customHeight="1">
      <c r="A235" s="174">
        <f t="shared" si="15"/>
        <v>46435</v>
      </c>
      <c r="B235" s="176" t="str">
        <f t="shared" si="1"/>
        <v>Wednesday</v>
      </c>
      <c r="C235" s="158" t="b">
        <f t="shared" si="2"/>
        <v>1</v>
      </c>
      <c r="D235" s="158" t="str">
        <f t="shared" si="3"/>
        <v/>
      </c>
      <c r="E235" s="158" t="str">
        <f t="shared" si="4"/>
        <v/>
      </c>
      <c r="F235" s="158" t="str">
        <f t="shared" si="5"/>
        <v/>
      </c>
      <c r="G235" s="158" t="str">
        <f t="shared" si="6"/>
        <v/>
      </c>
      <c r="H235" s="158" t="b">
        <f t="shared" si="7"/>
        <v>1</v>
      </c>
      <c r="I235" s="158">
        <f t="shared" si="8"/>
        <v>138</v>
      </c>
      <c r="J235" s="158">
        <f>IFERROR(__xludf.DUMMYFUNCTION("IF(O235,LET(w,IFERROR(MATCH(N235,UNIQUE(FILTER($N$44:$N$408,$O$44:$O$408=TRUE)),0),""""),IF(OR(w="""",w&gt;$B$6),"""",w)),"""")"),28.0)</f>
        <v>28</v>
      </c>
      <c r="K235" s="158" t="str">
        <f t="shared" si="9"/>
        <v>Term 3</v>
      </c>
      <c r="L235" s="158">
        <f t="shared" si="10"/>
        <v>4</v>
      </c>
      <c r="M235" s="159" t="b">
        <f t="shared" si="11"/>
        <v>0</v>
      </c>
      <c r="N235" s="160">
        <f t="shared" si="12"/>
        <v>46433</v>
      </c>
      <c r="O235" s="163" t="b">
        <f t="shared" si="13"/>
        <v>1</v>
      </c>
      <c r="Q235" s="163">
        <f t="shared" si="14"/>
        <v>0</v>
      </c>
    </row>
    <row r="236" ht="15.75" customHeight="1">
      <c r="A236" s="174">
        <f t="shared" si="15"/>
        <v>46436</v>
      </c>
      <c r="B236" s="176" t="str">
        <f t="shared" si="1"/>
        <v>Thursday</v>
      </c>
      <c r="C236" s="158" t="b">
        <f t="shared" si="2"/>
        <v>1</v>
      </c>
      <c r="D236" s="158" t="str">
        <f t="shared" si="3"/>
        <v/>
      </c>
      <c r="E236" s="158" t="str">
        <f t="shared" si="4"/>
        <v/>
      </c>
      <c r="F236" s="158" t="str">
        <f t="shared" si="5"/>
        <v/>
      </c>
      <c r="G236" s="158" t="str">
        <f t="shared" si="6"/>
        <v/>
      </c>
      <c r="H236" s="158" t="b">
        <f t="shared" si="7"/>
        <v>1</v>
      </c>
      <c r="I236" s="158">
        <f t="shared" si="8"/>
        <v>139</v>
      </c>
      <c r="J236" s="158">
        <f>IFERROR(__xludf.DUMMYFUNCTION("IF(O236,LET(w,IFERROR(MATCH(N236,UNIQUE(FILTER($N$44:$N$408,$O$44:$O$408=TRUE)),0),""""),IF(OR(w="""",w&gt;$B$6),"""",w)),"""")"),28.0)</f>
        <v>28</v>
      </c>
      <c r="K236" s="158" t="str">
        <f t="shared" si="9"/>
        <v>Term 3</v>
      </c>
      <c r="L236" s="158">
        <f t="shared" si="10"/>
        <v>4</v>
      </c>
      <c r="M236" s="159" t="b">
        <f t="shared" si="11"/>
        <v>0</v>
      </c>
      <c r="N236" s="160">
        <f t="shared" si="12"/>
        <v>46433</v>
      </c>
      <c r="O236" s="163" t="b">
        <f t="shared" si="13"/>
        <v>1</v>
      </c>
      <c r="Q236" s="163">
        <f t="shared" si="14"/>
        <v>0</v>
      </c>
    </row>
    <row r="237" ht="15.75" customHeight="1">
      <c r="A237" s="174">
        <f t="shared" si="15"/>
        <v>46437</v>
      </c>
      <c r="B237" s="176" t="str">
        <f t="shared" si="1"/>
        <v>Friday</v>
      </c>
      <c r="C237" s="158" t="b">
        <f t="shared" si="2"/>
        <v>1</v>
      </c>
      <c r="D237" s="158" t="str">
        <f t="shared" si="3"/>
        <v/>
      </c>
      <c r="E237" s="158" t="str">
        <f t="shared" si="4"/>
        <v/>
      </c>
      <c r="F237" s="158" t="str">
        <f t="shared" si="5"/>
        <v/>
      </c>
      <c r="G237" s="158" t="str">
        <f t="shared" si="6"/>
        <v/>
      </c>
      <c r="H237" s="158" t="b">
        <f t="shared" si="7"/>
        <v>1</v>
      </c>
      <c r="I237" s="158">
        <f t="shared" si="8"/>
        <v>140</v>
      </c>
      <c r="J237" s="158">
        <f>IFERROR(__xludf.DUMMYFUNCTION("IF(O237,LET(w,IFERROR(MATCH(N237,UNIQUE(FILTER($N$44:$N$408,$O$44:$O$408=TRUE)),0),""""),IF(OR(w="""",w&gt;$B$6),"""",w)),"""")"),28.0)</f>
        <v>28</v>
      </c>
      <c r="K237" s="158" t="str">
        <f t="shared" si="9"/>
        <v>Term 3</v>
      </c>
      <c r="L237" s="158">
        <f t="shared" si="10"/>
        <v>4</v>
      </c>
      <c r="M237" s="159" t="b">
        <f t="shared" si="11"/>
        <v>0</v>
      </c>
      <c r="N237" s="160">
        <f t="shared" si="12"/>
        <v>46433</v>
      </c>
      <c r="O237" s="163" t="b">
        <f t="shared" si="13"/>
        <v>1</v>
      </c>
      <c r="Q237" s="163">
        <f t="shared" si="14"/>
        <v>0</v>
      </c>
    </row>
    <row r="238" ht="15.75" customHeight="1">
      <c r="A238" s="174">
        <f t="shared" si="15"/>
        <v>46438</v>
      </c>
      <c r="B238" s="176" t="str">
        <f t="shared" si="1"/>
        <v>Saturday</v>
      </c>
      <c r="C238" s="158" t="b">
        <f t="shared" si="2"/>
        <v>0</v>
      </c>
      <c r="D238" s="158" t="str">
        <f t="shared" si="3"/>
        <v/>
      </c>
      <c r="E238" s="158" t="str">
        <f t="shared" si="4"/>
        <v/>
      </c>
      <c r="F238" s="158" t="str">
        <f t="shared" si="5"/>
        <v/>
      </c>
      <c r="G238" s="158" t="str">
        <f t="shared" si="6"/>
        <v/>
      </c>
      <c r="H238" s="158" t="b">
        <f t="shared" si="7"/>
        <v>0</v>
      </c>
      <c r="I238" s="158" t="str">
        <f t="shared" si="8"/>
        <v/>
      </c>
      <c r="J238" s="158">
        <f>IFERROR(__xludf.DUMMYFUNCTION("IF(O238,LET(w,IFERROR(MATCH(N238,UNIQUE(FILTER($N$44:$N$408,$O$44:$O$408=TRUE)),0),""""),IF(OR(w="""",w&gt;$B$6),"""",w)),"""")"),28.0)</f>
        <v>28</v>
      </c>
      <c r="K238" s="158" t="str">
        <f t="shared" si="9"/>
        <v>Term 3</v>
      </c>
      <c r="L238" s="158">
        <f t="shared" si="10"/>
        <v>4</v>
      </c>
      <c r="M238" s="159" t="b">
        <f t="shared" si="11"/>
        <v>0</v>
      </c>
      <c r="N238" s="160">
        <f t="shared" si="12"/>
        <v>46433</v>
      </c>
      <c r="O238" s="163" t="b">
        <f t="shared" si="13"/>
        <v>1</v>
      </c>
      <c r="Q238" s="163">
        <f t="shared" si="14"/>
        <v>0</v>
      </c>
    </row>
    <row r="239" ht="15.75" customHeight="1">
      <c r="A239" s="174">
        <f t="shared" si="15"/>
        <v>46439</v>
      </c>
      <c r="B239" s="176" t="str">
        <f t="shared" si="1"/>
        <v>Sunday</v>
      </c>
      <c r="C239" s="158" t="b">
        <f t="shared" si="2"/>
        <v>0</v>
      </c>
      <c r="D239" s="158" t="str">
        <f t="shared" si="3"/>
        <v/>
      </c>
      <c r="E239" s="158" t="str">
        <f t="shared" si="4"/>
        <v/>
      </c>
      <c r="F239" s="158" t="str">
        <f t="shared" si="5"/>
        <v/>
      </c>
      <c r="G239" s="158" t="str">
        <f t="shared" si="6"/>
        <v/>
      </c>
      <c r="H239" s="158" t="b">
        <f t="shared" si="7"/>
        <v>0</v>
      </c>
      <c r="I239" s="158" t="str">
        <f t="shared" si="8"/>
        <v/>
      </c>
      <c r="J239" s="158">
        <f>IFERROR(__xludf.DUMMYFUNCTION("IF(O239,LET(w,IFERROR(MATCH(N239,UNIQUE(FILTER($N$44:$N$408,$O$44:$O$408=TRUE)),0),""""),IF(OR(w="""",w&gt;$B$6),"""",w)),"""")"),28.0)</f>
        <v>28</v>
      </c>
      <c r="K239" s="158" t="str">
        <f t="shared" si="9"/>
        <v>Term 3</v>
      </c>
      <c r="L239" s="158">
        <f t="shared" si="10"/>
        <v>4</v>
      </c>
      <c r="M239" s="159" t="b">
        <f t="shared" si="11"/>
        <v>0</v>
      </c>
      <c r="N239" s="160">
        <f t="shared" si="12"/>
        <v>46433</v>
      </c>
      <c r="O239" s="163" t="b">
        <f t="shared" si="13"/>
        <v>1</v>
      </c>
      <c r="Q239" s="163">
        <f t="shared" si="14"/>
        <v>0</v>
      </c>
    </row>
    <row r="240" ht="15.75" customHeight="1">
      <c r="A240" s="174">
        <f t="shared" si="15"/>
        <v>46440</v>
      </c>
      <c r="B240" s="176" t="str">
        <f t="shared" si="1"/>
        <v>Monday</v>
      </c>
      <c r="C240" s="158" t="b">
        <f t="shared" si="2"/>
        <v>1</v>
      </c>
      <c r="D240" s="158" t="str">
        <f t="shared" si="3"/>
        <v/>
      </c>
      <c r="E240" s="158" t="str">
        <f t="shared" si="4"/>
        <v/>
      </c>
      <c r="F240" s="158" t="str">
        <f t="shared" si="5"/>
        <v/>
      </c>
      <c r="G240" s="158" t="str">
        <f t="shared" si="6"/>
        <v/>
      </c>
      <c r="H240" s="158" t="b">
        <f t="shared" si="7"/>
        <v>1</v>
      </c>
      <c r="I240" s="158">
        <f t="shared" si="8"/>
        <v>141</v>
      </c>
      <c r="J240" s="158">
        <f>IFERROR(__xludf.DUMMYFUNCTION("IF(O240,LET(w,IFERROR(MATCH(N240,UNIQUE(FILTER($N$44:$N$408,$O$44:$O$408=TRUE)),0),""""),IF(OR(w="""",w&gt;$B$6),"""",w)),"""")"),29.0)</f>
        <v>29</v>
      </c>
      <c r="K240" s="158" t="str">
        <f t="shared" si="9"/>
        <v>Term 3</v>
      </c>
      <c r="L240" s="158">
        <f t="shared" si="10"/>
        <v>5</v>
      </c>
      <c r="M240" s="159" t="b">
        <f t="shared" si="11"/>
        <v>0</v>
      </c>
      <c r="N240" s="160">
        <f t="shared" si="12"/>
        <v>46440</v>
      </c>
      <c r="O240" s="163" t="b">
        <f t="shared" si="13"/>
        <v>1</v>
      </c>
      <c r="Q240" s="163">
        <f t="shared" si="14"/>
        <v>0</v>
      </c>
    </row>
    <row r="241" ht="15.75" customHeight="1">
      <c r="A241" s="174">
        <f t="shared" si="15"/>
        <v>46441</v>
      </c>
      <c r="B241" s="176" t="str">
        <f t="shared" si="1"/>
        <v>Tuesday</v>
      </c>
      <c r="C241" s="158" t="b">
        <f t="shared" si="2"/>
        <v>1</v>
      </c>
      <c r="D241" s="158" t="str">
        <f t="shared" si="3"/>
        <v/>
      </c>
      <c r="E241" s="158" t="str">
        <f t="shared" si="4"/>
        <v/>
      </c>
      <c r="F241" s="158" t="str">
        <f t="shared" si="5"/>
        <v/>
      </c>
      <c r="G241" s="158" t="str">
        <f t="shared" si="6"/>
        <v/>
      </c>
      <c r="H241" s="158" t="b">
        <f t="shared" si="7"/>
        <v>1</v>
      </c>
      <c r="I241" s="158">
        <f t="shared" si="8"/>
        <v>142</v>
      </c>
      <c r="J241" s="158">
        <f>IFERROR(__xludf.DUMMYFUNCTION("IF(O241,LET(w,IFERROR(MATCH(N241,UNIQUE(FILTER($N$44:$N$408,$O$44:$O$408=TRUE)),0),""""),IF(OR(w="""",w&gt;$B$6),"""",w)),"""")"),29.0)</f>
        <v>29</v>
      </c>
      <c r="K241" s="158" t="str">
        <f t="shared" si="9"/>
        <v>Term 3</v>
      </c>
      <c r="L241" s="158">
        <f t="shared" si="10"/>
        <v>5</v>
      </c>
      <c r="M241" s="159" t="b">
        <f t="shared" si="11"/>
        <v>0</v>
      </c>
      <c r="N241" s="160">
        <f t="shared" si="12"/>
        <v>46440</v>
      </c>
      <c r="O241" s="163" t="b">
        <f t="shared" si="13"/>
        <v>1</v>
      </c>
      <c r="Q241" s="163">
        <f t="shared" si="14"/>
        <v>0</v>
      </c>
    </row>
    <row r="242" ht="15.75" customHeight="1">
      <c r="A242" s="174">
        <f t="shared" si="15"/>
        <v>46442</v>
      </c>
      <c r="B242" s="176" t="str">
        <f t="shared" si="1"/>
        <v>Wednesday</v>
      </c>
      <c r="C242" s="158" t="b">
        <f t="shared" si="2"/>
        <v>1</v>
      </c>
      <c r="D242" s="158" t="str">
        <f t="shared" si="3"/>
        <v/>
      </c>
      <c r="E242" s="158" t="str">
        <f t="shared" si="4"/>
        <v/>
      </c>
      <c r="F242" s="158" t="str">
        <f t="shared" si="5"/>
        <v/>
      </c>
      <c r="G242" s="158" t="str">
        <f t="shared" si="6"/>
        <v/>
      </c>
      <c r="H242" s="158" t="b">
        <f t="shared" si="7"/>
        <v>1</v>
      </c>
      <c r="I242" s="158">
        <f t="shared" si="8"/>
        <v>143</v>
      </c>
      <c r="J242" s="158">
        <f>IFERROR(__xludf.DUMMYFUNCTION("IF(O242,LET(w,IFERROR(MATCH(N242,UNIQUE(FILTER($N$44:$N$408,$O$44:$O$408=TRUE)),0),""""),IF(OR(w="""",w&gt;$B$6),"""",w)),"""")"),29.0)</f>
        <v>29</v>
      </c>
      <c r="K242" s="158" t="str">
        <f t="shared" si="9"/>
        <v>Term 3</v>
      </c>
      <c r="L242" s="158">
        <f t="shared" si="10"/>
        <v>5</v>
      </c>
      <c r="M242" s="159" t="b">
        <f t="shared" si="11"/>
        <v>0</v>
      </c>
      <c r="N242" s="160">
        <f t="shared" si="12"/>
        <v>46440</v>
      </c>
      <c r="O242" s="163" t="b">
        <f t="shared" si="13"/>
        <v>1</v>
      </c>
      <c r="Q242" s="163">
        <f t="shared" si="14"/>
        <v>0</v>
      </c>
    </row>
    <row r="243" ht="15.75" customHeight="1">
      <c r="A243" s="174">
        <f t="shared" si="15"/>
        <v>46443</v>
      </c>
      <c r="B243" s="176" t="str">
        <f t="shared" si="1"/>
        <v>Thursday</v>
      </c>
      <c r="C243" s="158" t="b">
        <f t="shared" si="2"/>
        <v>1</v>
      </c>
      <c r="D243" s="158" t="str">
        <f t="shared" si="3"/>
        <v/>
      </c>
      <c r="E243" s="158" t="str">
        <f t="shared" si="4"/>
        <v/>
      </c>
      <c r="F243" s="158" t="str">
        <f t="shared" si="5"/>
        <v/>
      </c>
      <c r="G243" s="158" t="str">
        <f t="shared" si="6"/>
        <v/>
      </c>
      <c r="H243" s="158" t="b">
        <f t="shared" si="7"/>
        <v>1</v>
      </c>
      <c r="I243" s="158">
        <f t="shared" si="8"/>
        <v>144</v>
      </c>
      <c r="J243" s="158">
        <f>IFERROR(__xludf.DUMMYFUNCTION("IF(O243,LET(w,IFERROR(MATCH(N243,UNIQUE(FILTER($N$44:$N$408,$O$44:$O$408=TRUE)),0),""""),IF(OR(w="""",w&gt;$B$6),"""",w)),"""")"),29.0)</f>
        <v>29</v>
      </c>
      <c r="K243" s="158" t="str">
        <f t="shared" si="9"/>
        <v>Term 3</v>
      </c>
      <c r="L243" s="158">
        <f t="shared" si="10"/>
        <v>5</v>
      </c>
      <c r="M243" s="159" t="b">
        <f t="shared" si="11"/>
        <v>0</v>
      </c>
      <c r="N243" s="160">
        <f t="shared" si="12"/>
        <v>46440</v>
      </c>
      <c r="O243" s="163" t="b">
        <f t="shared" si="13"/>
        <v>1</v>
      </c>
      <c r="Q243" s="163">
        <f t="shared" si="14"/>
        <v>0</v>
      </c>
    </row>
    <row r="244" ht="15.75" customHeight="1">
      <c r="A244" s="174">
        <f t="shared" si="15"/>
        <v>46444</v>
      </c>
      <c r="B244" s="176" t="str">
        <f t="shared" si="1"/>
        <v>Friday</v>
      </c>
      <c r="C244" s="158" t="b">
        <f t="shared" si="2"/>
        <v>1</v>
      </c>
      <c r="D244" s="158" t="str">
        <f t="shared" si="3"/>
        <v/>
      </c>
      <c r="E244" s="158" t="str">
        <f t="shared" si="4"/>
        <v/>
      </c>
      <c r="F244" s="158" t="str">
        <f t="shared" si="5"/>
        <v/>
      </c>
      <c r="G244" s="158" t="str">
        <f t="shared" si="6"/>
        <v/>
      </c>
      <c r="H244" s="158" t="b">
        <f t="shared" si="7"/>
        <v>1</v>
      </c>
      <c r="I244" s="158">
        <f t="shared" si="8"/>
        <v>145</v>
      </c>
      <c r="J244" s="158">
        <f>IFERROR(__xludf.DUMMYFUNCTION("IF(O244,LET(w,IFERROR(MATCH(N244,UNIQUE(FILTER($N$44:$N$408,$O$44:$O$408=TRUE)),0),""""),IF(OR(w="""",w&gt;$B$6),"""",w)),"""")"),29.0)</f>
        <v>29</v>
      </c>
      <c r="K244" s="158" t="str">
        <f t="shared" si="9"/>
        <v>Term 3</v>
      </c>
      <c r="L244" s="158">
        <f t="shared" si="10"/>
        <v>5</v>
      </c>
      <c r="M244" s="159" t="b">
        <f t="shared" si="11"/>
        <v>0</v>
      </c>
      <c r="N244" s="160">
        <f t="shared" si="12"/>
        <v>46440</v>
      </c>
      <c r="O244" s="163" t="b">
        <f t="shared" si="13"/>
        <v>1</v>
      </c>
      <c r="Q244" s="163">
        <f t="shared" si="14"/>
        <v>0</v>
      </c>
    </row>
    <row r="245" ht="15.75" customHeight="1">
      <c r="A245" s="174">
        <f t="shared" si="15"/>
        <v>46445</v>
      </c>
      <c r="B245" s="176" t="str">
        <f t="shared" si="1"/>
        <v>Saturday</v>
      </c>
      <c r="C245" s="158" t="b">
        <f t="shared" si="2"/>
        <v>0</v>
      </c>
      <c r="D245" s="158" t="str">
        <f t="shared" si="3"/>
        <v/>
      </c>
      <c r="E245" s="158" t="str">
        <f t="shared" si="4"/>
        <v/>
      </c>
      <c r="F245" s="158" t="str">
        <f t="shared" si="5"/>
        <v/>
      </c>
      <c r="G245" s="158" t="str">
        <f t="shared" si="6"/>
        <v/>
      </c>
      <c r="H245" s="158" t="b">
        <f t="shared" si="7"/>
        <v>0</v>
      </c>
      <c r="I245" s="158" t="str">
        <f t="shared" si="8"/>
        <v/>
      </c>
      <c r="J245" s="158">
        <f>IFERROR(__xludf.DUMMYFUNCTION("IF(O245,LET(w,IFERROR(MATCH(N245,UNIQUE(FILTER($N$44:$N$408,$O$44:$O$408=TRUE)),0),""""),IF(OR(w="""",w&gt;$B$6),"""",w)),"""")"),29.0)</f>
        <v>29</v>
      </c>
      <c r="K245" s="158" t="str">
        <f t="shared" si="9"/>
        <v>Term 3</v>
      </c>
      <c r="L245" s="158">
        <f t="shared" si="10"/>
        <v>5</v>
      </c>
      <c r="M245" s="159" t="b">
        <f t="shared" si="11"/>
        <v>0</v>
      </c>
      <c r="N245" s="160">
        <f t="shared" si="12"/>
        <v>46440</v>
      </c>
      <c r="O245" s="163" t="b">
        <f t="shared" si="13"/>
        <v>1</v>
      </c>
      <c r="Q245" s="163">
        <f t="shared" si="14"/>
        <v>0</v>
      </c>
    </row>
    <row r="246" ht="15.75" customHeight="1">
      <c r="A246" s="174">
        <f t="shared" si="15"/>
        <v>46446</v>
      </c>
      <c r="B246" s="176" t="str">
        <f t="shared" si="1"/>
        <v>Sunday</v>
      </c>
      <c r="C246" s="158" t="b">
        <f t="shared" si="2"/>
        <v>0</v>
      </c>
      <c r="D246" s="158" t="str">
        <f t="shared" si="3"/>
        <v/>
      </c>
      <c r="E246" s="158" t="str">
        <f t="shared" si="4"/>
        <v/>
      </c>
      <c r="F246" s="158" t="str">
        <f t="shared" si="5"/>
        <v/>
      </c>
      <c r="G246" s="158" t="str">
        <f t="shared" si="6"/>
        <v/>
      </c>
      <c r="H246" s="158" t="b">
        <f t="shared" si="7"/>
        <v>0</v>
      </c>
      <c r="I246" s="158" t="str">
        <f t="shared" si="8"/>
        <v/>
      </c>
      <c r="J246" s="158">
        <f>IFERROR(__xludf.DUMMYFUNCTION("IF(O246,LET(w,IFERROR(MATCH(N246,UNIQUE(FILTER($N$44:$N$408,$O$44:$O$408=TRUE)),0),""""),IF(OR(w="""",w&gt;$B$6),"""",w)),"""")"),29.0)</f>
        <v>29</v>
      </c>
      <c r="K246" s="158" t="str">
        <f t="shared" si="9"/>
        <v>Term 3</v>
      </c>
      <c r="L246" s="158">
        <f t="shared" si="10"/>
        <v>5</v>
      </c>
      <c r="M246" s="159" t="b">
        <f t="shared" si="11"/>
        <v>0</v>
      </c>
      <c r="N246" s="160">
        <f t="shared" si="12"/>
        <v>46440</v>
      </c>
      <c r="O246" s="163" t="b">
        <f t="shared" si="13"/>
        <v>1</v>
      </c>
      <c r="Q246" s="163">
        <f t="shared" si="14"/>
        <v>0</v>
      </c>
    </row>
    <row r="247" ht="15.75" customHeight="1">
      <c r="A247" s="174">
        <f t="shared" si="15"/>
        <v>46447</v>
      </c>
      <c r="B247" s="176" t="str">
        <f t="shared" si="1"/>
        <v>Monday</v>
      </c>
      <c r="C247" s="158" t="b">
        <f t="shared" si="2"/>
        <v>1</v>
      </c>
      <c r="D247" s="158" t="str">
        <f t="shared" si="3"/>
        <v/>
      </c>
      <c r="E247" s="158" t="str">
        <f t="shared" si="4"/>
        <v/>
      </c>
      <c r="F247" s="158" t="str">
        <f t="shared" si="5"/>
        <v/>
      </c>
      <c r="G247" s="158" t="str">
        <f t="shared" si="6"/>
        <v/>
      </c>
      <c r="H247" s="158" t="b">
        <f t="shared" si="7"/>
        <v>1</v>
      </c>
      <c r="I247" s="158">
        <f t="shared" si="8"/>
        <v>146</v>
      </c>
      <c r="J247" s="158">
        <f>IFERROR(__xludf.DUMMYFUNCTION("IF(O247,LET(w,IFERROR(MATCH(N247,UNIQUE(FILTER($N$44:$N$408,$O$44:$O$408=TRUE)),0),""""),IF(OR(w="""",w&gt;$B$6),"""",w)),"""")"),30.0)</f>
        <v>30</v>
      </c>
      <c r="K247" s="158" t="str">
        <f t="shared" si="9"/>
        <v>Term 3</v>
      </c>
      <c r="L247" s="158">
        <f t="shared" si="10"/>
        <v>6</v>
      </c>
      <c r="M247" s="159" t="b">
        <f t="shared" si="11"/>
        <v>0</v>
      </c>
      <c r="N247" s="160">
        <f t="shared" si="12"/>
        <v>46447</v>
      </c>
      <c r="O247" s="163" t="b">
        <f t="shared" si="13"/>
        <v>1</v>
      </c>
      <c r="Q247" s="163">
        <f t="shared" si="14"/>
        <v>0</v>
      </c>
    </row>
    <row r="248" ht="15.75" customHeight="1">
      <c r="A248" s="174">
        <f t="shared" si="15"/>
        <v>46448</v>
      </c>
      <c r="B248" s="176" t="str">
        <f t="shared" si="1"/>
        <v>Tuesday</v>
      </c>
      <c r="C248" s="158" t="b">
        <f t="shared" si="2"/>
        <v>1</v>
      </c>
      <c r="D248" s="158" t="str">
        <f t="shared" si="3"/>
        <v/>
      </c>
      <c r="E248" s="158" t="str">
        <f t="shared" si="4"/>
        <v/>
      </c>
      <c r="F248" s="158" t="str">
        <f t="shared" si="5"/>
        <v/>
      </c>
      <c r="G248" s="158" t="str">
        <f t="shared" si="6"/>
        <v/>
      </c>
      <c r="H248" s="158" t="b">
        <f t="shared" si="7"/>
        <v>1</v>
      </c>
      <c r="I248" s="158">
        <f t="shared" si="8"/>
        <v>147</v>
      </c>
      <c r="J248" s="158">
        <f>IFERROR(__xludf.DUMMYFUNCTION("IF(O248,LET(w,IFERROR(MATCH(N248,UNIQUE(FILTER($N$44:$N$408,$O$44:$O$408=TRUE)),0),""""),IF(OR(w="""",w&gt;$B$6),"""",w)),"""")"),30.0)</f>
        <v>30</v>
      </c>
      <c r="K248" s="158" t="str">
        <f t="shared" si="9"/>
        <v>Term 3</v>
      </c>
      <c r="L248" s="158">
        <f t="shared" si="10"/>
        <v>6</v>
      </c>
      <c r="M248" s="159" t="b">
        <f t="shared" si="11"/>
        <v>0</v>
      </c>
      <c r="N248" s="160">
        <f t="shared" si="12"/>
        <v>46447</v>
      </c>
      <c r="O248" s="163" t="b">
        <f t="shared" si="13"/>
        <v>1</v>
      </c>
      <c r="Q248" s="163">
        <f t="shared" si="14"/>
        <v>0</v>
      </c>
    </row>
    <row r="249" ht="15.75" customHeight="1">
      <c r="A249" s="174">
        <f t="shared" si="15"/>
        <v>46449</v>
      </c>
      <c r="B249" s="176" t="str">
        <f t="shared" si="1"/>
        <v>Wednesday</v>
      </c>
      <c r="C249" s="158" t="b">
        <f t="shared" si="2"/>
        <v>1</v>
      </c>
      <c r="D249" s="158" t="str">
        <f t="shared" si="3"/>
        <v/>
      </c>
      <c r="E249" s="158" t="str">
        <f t="shared" si="4"/>
        <v/>
      </c>
      <c r="F249" s="158" t="str">
        <f t="shared" si="5"/>
        <v/>
      </c>
      <c r="G249" s="158" t="str">
        <f t="shared" si="6"/>
        <v/>
      </c>
      <c r="H249" s="158" t="b">
        <f t="shared" si="7"/>
        <v>1</v>
      </c>
      <c r="I249" s="158">
        <f t="shared" si="8"/>
        <v>148</v>
      </c>
      <c r="J249" s="158">
        <f>IFERROR(__xludf.DUMMYFUNCTION("IF(O249,LET(w,IFERROR(MATCH(N249,UNIQUE(FILTER($N$44:$N$408,$O$44:$O$408=TRUE)),0),""""),IF(OR(w="""",w&gt;$B$6),"""",w)),"""")"),30.0)</f>
        <v>30</v>
      </c>
      <c r="K249" s="158" t="str">
        <f t="shared" si="9"/>
        <v>Term 3</v>
      </c>
      <c r="L249" s="158">
        <f t="shared" si="10"/>
        <v>6</v>
      </c>
      <c r="M249" s="159" t="b">
        <f t="shared" si="11"/>
        <v>0</v>
      </c>
      <c r="N249" s="160">
        <f t="shared" si="12"/>
        <v>46447</v>
      </c>
      <c r="O249" s="163" t="b">
        <f t="shared" si="13"/>
        <v>1</v>
      </c>
      <c r="Q249" s="163">
        <f t="shared" si="14"/>
        <v>0</v>
      </c>
    </row>
    <row r="250" ht="15.75" customHeight="1">
      <c r="A250" s="174">
        <f t="shared" si="15"/>
        <v>46450</v>
      </c>
      <c r="B250" s="176" t="str">
        <f t="shared" si="1"/>
        <v>Thursday</v>
      </c>
      <c r="C250" s="158" t="b">
        <f t="shared" si="2"/>
        <v>1</v>
      </c>
      <c r="D250" s="158" t="str">
        <f t="shared" si="3"/>
        <v/>
      </c>
      <c r="E250" s="158" t="str">
        <f t="shared" si="4"/>
        <v/>
      </c>
      <c r="F250" s="158" t="str">
        <f t="shared" si="5"/>
        <v/>
      </c>
      <c r="G250" s="158" t="str">
        <f t="shared" si="6"/>
        <v/>
      </c>
      <c r="H250" s="158" t="b">
        <f t="shared" si="7"/>
        <v>1</v>
      </c>
      <c r="I250" s="158">
        <f t="shared" si="8"/>
        <v>149</v>
      </c>
      <c r="J250" s="158">
        <f>IFERROR(__xludf.DUMMYFUNCTION("IF(O250,LET(w,IFERROR(MATCH(N250,UNIQUE(FILTER($N$44:$N$408,$O$44:$O$408=TRUE)),0),""""),IF(OR(w="""",w&gt;$B$6),"""",w)),"""")"),30.0)</f>
        <v>30</v>
      </c>
      <c r="K250" s="158" t="str">
        <f t="shared" si="9"/>
        <v>Term 3</v>
      </c>
      <c r="L250" s="158">
        <f t="shared" si="10"/>
        <v>6</v>
      </c>
      <c r="M250" s="159" t="b">
        <f t="shared" si="11"/>
        <v>0</v>
      </c>
      <c r="N250" s="160">
        <f t="shared" si="12"/>
        <v>46447</v>
      </c>
      <c r="O250" s="163" t="b">
        <f t="shared" si="13"/>
        <v>1</v>
      </c>
      <c r="Q250" s="163">
        <f t="shared" si="14"/>
        <v>0</v>
      </c>
    </row>
    <row r="251" ht="15.75" customHeight="1">
      <c r="A251" s="174">
        <f t="shared" si="15"/>
        <v>46451</v>
      </c>
      <c r="B251" s="176" t="str">
        <f t="shared" si="1"/>
        <v>Friday</v>
      </c>
      <c r="C251" s="158" t="b">
        <f t="shared" si="2"/>
        <v>1</v>
      </c>
      <c r="D251" s="158" t="str">
        <f t="shared" si="3"/>
        <v/>
      </c>
      <c r="E251" s="158" t="str">
        <f t="shared" si="4"/>
        <v/>
      </c>
      <c r="F251" s="158" t="str">
        <f t="shared" si="5"/>
        <v/>
      </c>
      <c r="G251" s="158" t="str">
        <f t="shared" si="6"/>
        <v/>
      </c>
      <c r="H251" s="158" t="b">
        <f t="shared" si="7"/>
        <v>1</v>
      </c>
      <c r="I251" s="158">
        <f t="shared" si="8"/>
        <v>150</v>
      </c>
      <c r="J251" s="158">
        <f>IFERROR(__xludf.DUMMYFUNCTION("IF(O251,LET(w,IFERROR(MATCH(N251,UNIQUE(FILTER($N$44:$N$408,$O$44:$O$408=TRUE)),0),""""),IF(OR(w="""",w&gt;$B$6),"""",w)),"""")"),30.0)</f>
        <v>30</v>
      </c>
      <c r="K251" s="158" t="str">
        <f t="shared" si="9"/>
        <v>Term 3</v>
      </c>
      <c r="L251" s="158">
        <f t="shared" si="10"/>
        <v>6</v>
      </c>
      <c r="M251" s="159" t="b">
        <f t="shared" si="11"/>
        <v>0</v>
      </c>
      <c r="N251" s="160">
        <f t="shared" si="12"/>
        <v>46447</v>
      </c>
      <c r="O251" s="163" t="b">
        <f t="shared" si="13"/>
        <v>1</v>
      </c>
      <c r="Q251" s="163">
        <f t="shared" si="14"/>
        <v>0</v>
      </c>
    </row>
    <row r="252" ht="15.75" customHeight="1">
      <c r="A252" s="174">
        <f t="shared" si="15"/>
        <v>46452</v>
      </c>
      <c r="B252" s="176" t="str">
        <f t="shared" si="1"/>
        <v>Saturday</v>
      </c>
      <c r="C252" s="158" t="b">
        <f t="shared" si="2"/>
        <v>0</v>
      </c>
      <c r="D252" s="158" t="str">
        <f t="shared" si="3"/>
        <v/>
      </c>
      <c r="E252" s="158" t="str">
        <f t="shared" si="4"/>
        <v/>
      </c>
      <c r="F252" s="158" t="str">
        <f t="shared" si="5"/>
        <v/>
      </c>
      <c r="G252" s="158" t="str">
        <f t="shared" si="6"/>
        <v/>
      </c>
      <c r="H252" s="158" t="b">
        <f t="shared" si="7"/>
        <v>0</v>
      </c>
      <c r="I252" s="158" t="str">
        <f t="shared" si="8"/>
        <v/>
      </c>
      <c r="J252" s="158">
        <f>IFERROR(__xludf.DUMMYFUNCTION("IF(O252,LET(w,IFERROR(MATCH(N252,UNIQUE(FILTER($N$44:$N$408,$O$44:$O$408=TRUE)),0),""""),IF(OR(w="""",w&gt;$B$6),"""",w)),"""")"),30.0)</f>
        <v>30</v>
      </c>
      <c r="K252" s="158" t="str">
        <f t="shared" si="9"/>
        <v>Term 3</v>
      </c>
      <c r="L252" s="158">
        <f t="shared" si="10"/>
        <v>6</v>
      </c>
      <c r="M252" s="159" t="b">
        <f t="shared" si="11"/>
        <v>0</v>
      </c>
      <c r="N252" s="160">
        <f t="shared" si="12"/>
        <v>46447</v>
      </c>
      <c r="O252" s="163" t="b">
        <f t="shared" si="13"/>
        <v>1</v>
      </c>
      <c r="Q252" s="163">
        <f t="shared" si="14"/>
        <v>0</v>
      </c>
    </row>
    <row r="253" ht="15.75" customHeight="1">
      <c r="A253" s="174">
        <f t="shared" si="15"/>
        <v>46453</v>
      </c>
      <c r="B253" s="176" t="str">
        <f t="shared" si="1"/>
        <v>Sunday</v>
      </c>
      <c r="C253" s="158" t="b">
        <f t="shared" si="2"/>
        <v>0</v>
      </c>
      <c r="D253" s="158" t="str">
        <f t="shared" si="3"/>
        <v/>
      </c>
      <c r="E253" s="158" t="str">
        <f t="shared" si="4"/>
        <v/>
      </c>
      <c r="F253" s="158" t="str">
        <f t="shared" si="5"/>
        <v/>
      </c>
      <c r="G253" s="158" t="str">
        <f t="shared" si="6"/>
        <v/>
      </c>
      <c r="H253" s="158" t="b">
        <f t="shared" si="7"/>
        <v>0</v>
      </c>
      <c r="I253" s="158" t="str">
        <f t="shared" si="8"/>
        <v/>
      </c>
      <c r="J253" s="158">
        <f>IFERROR(__xludf.DUMMYFUNCTION("IF(O253,LET(w,IFERROR(MATCH(N253,UNIQUE(FILTER($N$44:$N$408,$O$44:$O$408=TRUE)),0),""""),IF(OR(w="""",w&gt;$B$6),"""",w)),"""")"),30.0)</f>
        <v>30</v>
      </c>
      <c r="K253" s="158" t="str">
        <f t="shared" si="9"/>
        <v>Term 3</v>
      </c>
      <c r="L253" s="158">
        <f t="shared" si="10"/>
        <v>6</v>
      </c>
      <c r="M253" s="159" t="b">
        <f t="shared" si="11"/>
        <v>0</v>
      </c>
      <c r="N253" s="160">
        <f t="shared" si="12"/>
        <v>46447</v>
      </c>
      <c r="O253" s="163" t="b">
        <f t="shared" si="13"/>
        <v>1</v>
      </c>
      <c r="Q253" s="163">
        <f t="shared" si="14"/>
        <v>0</v>
      </c>
    </row>
    <row r="254" ht="15.75" customHeight="1">
      <c r="A254" s="174">
        <f t="shared" si="15"/>
        <v>46454</v>
      </c>
      <c r="B254" s="176" t="str">
        <f t="shared" si="1"/>
        <v>Monday</v>
      </c>
      <c r="C254" s="158" t="b">
        <f t="shared" si="2"/>
        <v>1</v>
      </c>
      <c r="D254" s="158" t="str">
        <f t="shared" si="3"/>
        <v/>
      </c>
      <c r="E254" s="158" t="str">
        <f t="shared" si="4"/>
        <v/>
      </c>
      <c r="F254" s="158" t="str">
        <f t="shared" si="5"/>
        <v/>
      </c>
      <c r="G254" s="158" t="str">
        <f t="shared" si="6"/>
        <v/>
      </c>
      <c r="H254" s="158" t="b">
        <f t="shared" si="7"/>
        <v>1</v>
      </c>
      <c r="I254" s="158">
        <f t="shared" si="8"/>
        <v>151</v>
      </c>
      <c r="J254" s="158">
        <f>IFERROR(__xludf.DUMMYFUNCTION("IF(O254,LET(w,IFERROR(MATCH(N254,UNIQUE(FILTER($N$44:$N$408,$O$44:$O$408=TRUE)),0),""""),IF(OR(w="""",w&gt;$B$6),"""",w)),"""")"),31.0)</f>
        <v>31</v>
      </c>
      <c r="K254" s="158" t="str">
        <f t="shared" si="9"/>
        <v>Term 3</v>
      </c>
      <c r="L254" s="158">
        <f t="shared" si="10"/>
        <v>7</v>
      </c>
      <c r="M254" s="159" t="b">
        <f t="shared" si="11"/>
        <v>0</v>
      </c>
      <c r="N254" s="160">
        <f t="shared" si="12"/>
        <v>46454</v>
      </c>
      <c r="O254" s="163" t="b">
        <f t="shared" si="13"/>
        <v>1</v>
      </c>
      <c r="Q254" s="163">
        <f t="shared" si="14"/>
        <v>0</v>
      </c>
    </row>
    <row r="255" ht="15.75" customHeight="1">
      <c r="A255" s="174">
        <f t="shared" si="15"/>
        <v>46455</v>
      </c>
      <c r="B255" s="176" t="str">
        <f t="shared" si="1"/>
        <v>Tuesday</v>
      </c>
      <c r="C255" s="158" t="b">
        <f t="shared" si="2"/>
        <v>1</v>
      </c>
      <c r="D255" s="158" t="str">
        <f t="shared" si="3"/>
        <v/>
      </c>
      <c r="E255" s="158" t="str">
        <f t="shared" si="4"/>
        <v/>
      </c>
      <c r="F255" s="158" t="str">
        <f t="shared" si="5"/>
        <v/>
      </c>
      <c r="G255" s="158" t="str">
        <f t="shared" si="6"/>
        <v/>
      </c>
      <c r="H255" s="158" t="b">
        <f t="shared" si="7"/>
        <v>1</v>
      </c>
      <c r="I255" s="158">
        <f t="shared" si="8"/>
        <v>152</v>
      </c>
      <c r="J255" s="158">
        <f>IFERROR(__xludf.DUMMYFUNCTION("IF(O255,LET(w,IFERROR(MATCH(N255,UNIQUE(FILTER($N$44:$N$408,$O$44:$O$408=TRUE)),0),""""),IF(OR(w="""",w&gt;$B$6),"""",w)),"""")"),31.0)</f>
        <v>31</v>
      </c>
      <c r="K255" s="158" t="str">
        <f t="shared" si="9"/>
        <v>Term 3</v>
      </c>
      <c r="L255" s="158">
        <f t="shared" si="10"/>
        <v>7</v>
      </c>
      <c r="M255" s="159" t="b">
        <f t="shared" si="11"/>
        <v>0</v>
      </c>
      <c r="N255" s="160">
        <f t="shared" si="12"/>
        <v>46454</v>
      </c>
      <c r="O255" s="163" t="b">
        <f t="shared" si="13"/>
        <v>1</v>
      </c>
      <c r="Q255" s="163">
        <f t="shared" si="14"/>
        <v>0</v>
      </c>
    </row>
    <row r="256" ht="15.75" customHeight="1">
      <c r="A256" s="174">
        <f t="shared" si="15"/>
        <v>46456</v>
      </c>
      <c r="B256" s="176" t="str">
        <f t="shared" si="1"/>
        <v>Wednesday</v>
      </c>
      <c r="C256" s="158" t="b">
        <f t="shared" si="2"/>
        <v>1</v>
      </c>
      <c r="D256" s="158" t="str">
        <f t="shared" si="3"/>
        <v/>
      </c>
      <c r="E256" s="158" t="str">
        <f t="shared" si="4"/>
        <v/>
      </c>
      <c r="F256" s="158" t="str">
        <f t="shared" si="5"/>
        <v/>
      </c>
      <c r="G256" s="158" t="str">
        <f t="shared" si="6"/>
        <v/>
      </c>
      <c r="H256" s="158" t="b">
        <f t="shared" si="7"/>
        <v>1</v>
      </c>
      <c r="I256" s="158">
        <f t="shared" si="8"/>
        <v>153</v>
      </c>
      <c r="J256" s="158">
        <f>IFERROR(__xludf.DUMMYFUNCTION("IF(O256,LET(w,IFERROR(MATCH(N256,UNIQUE(FILTER($N$44:$N$408,$O$44:$O$408=TRUE)),0),""""),IF(OR(w="""",w&gt;$B$6),"""",w)),"""")"),31.0)</f>
        <v>31</v>
      </c>
      <c r="K256" s="158" t="str">
        <f t="shared" si="9"/>
        <v>Term 3</v>
      </c>
      <c r="L256" s="158">
        <f t="shared" si="10"/>
        <v>7</v>
      </c>
      <c r="M256" s="159" t="b">
        <f t="shared" si="11"/>
        <v>0</v>
      </c>
      <c r="N256" s="160">
        <f t="shared" si="12"/>
        <v>46454</v>
      </c>
      <c r="O256" s="163" t="b">
        <f t="shared" si="13"/>
        <v>1</v>
      </c>
      <c r="Q256" s="163">
        <f t="shared" si="14"/>
        <v>0</v>
      </c>
    </row>
    <row r="257" ht="15.75" customHeight="1">
      <c r="A257" s="174">
        <f t="shared" si="15"/>
        <v>46457</v>
      </c>
      <c r="B257" s="176" t="str">
        <f t="shared" si="1"/>
        <v>Thursday</v>
      </c>
      <c r="C257" s="158" t="b">
        <f t="shared" si="2"/>
        <v>1</v>
      </c>
      <c r="D257" s="158" t="str">
        <f t="shared" si="3"/>
        <v/>
      </c>
      <c r="E257" s="158" t="str">
        <f t="shared" si="4"/>
        <v/>
      </c>
      <c r="F257" s="158" t="str">
        <f t="shared" si="5"/>
        <v/>
      </c>
      <c r="G257" s="158" t="str">
        <f t="shared" si="6"/>
        <v/>
      </c>
      <c r="H257" s="158" t="b">
        <f t="shared" si="7"/>
        <v>1</v>
      </c>
      <c r="I257" s="158">
        <f t="shared" si="8"/>
        <v>154</v>
      </c>
      <c r="J257" s="158">
        <f>IFERROR(__xludf.DUMMYFUNCTION("IF(O257,LET(w,IFERROR(MATCH(N257,UNIQUE(FILTER($N$44:$N$408,$O$44:$O$408=TRUE)),0),""""),IF(OR(w="""",w&gt;$B$6),"""",w)),"""")"),31.0)</f>
        <v>31</v>
      </c>
      <c r="K257" s="158" t="str">
        <f t="shared" si="9"/>
        <v>Term 3</v>
      </c>
      <c r="L257" s="158">
        <f t="shared" si="10"/>
        <v>7</v>
      </c>
      <c r="M257" s="159" t="b">
        <f t="shared" si="11"/>
        <v>0</v>
      </c>
      <c r="N257" s="160">
        <f t="shared" si="12"/>
        <v>46454</v>
      </c>
      <c r="O257" s="163" t="b">
        <f t="shared" si="13"/>
        <v>1</v>
      </c>
      <c r="Q257" s="163">
        <f t="shared" si="14"/>
        <v>0</v>
      </c>
    </row>
    <row r="258" ht="15.75" customHeight="1">
      <c r="A258" s="174">
        <f t="shared" si="15"/>
        <v>46458</v>
      </c>
      <c r="B258" s="176" t="str">
        <f t="shared" si="1"/>
        <v>Friday</v>
      </c>
      <c r="C258" s="158" t="b">
        <f t="shared" si="2"/>
        <v>1</v>
      </c>
      <c r="D258" s="158" t="str">
        <f t="shared" si="3"/>
        <v/>
      </c>
      <c r="E258" s="158" t="str">
        <f t="shared" si="4"/>
        <v/>
      </c>
      <c r="F258" s="158" t="str">
        <f t="shared" si="5"/>
        <v/>
      </c>
      <c r="G258" s="158" t="str">
        <f t="shared" si="6"/>
        <v/>
      </c>
      <c r="H258" s="158" t="b">
        <f t="shared" si="7"/>
        <v>1</v>
      </c>
      <c r="I258" s="158">
        <f t="shared" si="8"/>
        <v>155</v>
      </c>
      <c r="J258" s="158">
        <f>IFERROR(__xludf.DUMMYFUNCTION("IF(O258,LET(w,IFERROR(MATCH(N258,UNIQUE(FILTER($N$44:$N$408,$O$44:$O$408=TRUE)),0),""""),IF(OR(w="""",w&gt;$B$6),"""",w)),"""")"),31.0)</f>
        <v>31</v>
      </c>
      <c r="K258" s="158" t="str">
        <f t="shared" si="9"/>
        <v>Term 3</v>
      </c>
      <c r="L258" s="158">
        <f t="shared" si="10"/>
        <v>7</v>
      </c>
      <c r="M258" s="159" t="b">
        <f t="shared" si="11"/>
        <v>0</v>
      </c>
      <c r="N258" s="160">
        <f t="shared" si="12"/>
        <v>46454</v>
      </c>
      <c r="O258" s="163" t="b">
        <f t="shared" si="13"/>
        <v>1</v>
      </c>
      <c r="Q258" s="163">
        <f t="shared" si="14"/>
        <v>0</v>
      </c>
    </row>
    <row r="259" ht="15.75" customHeight="1">
      <c r="A259" s="174">
        <f t="shared" si="15"/>
        <v>46459</v>
      </c>
      <c r="B259" s="176" t="str">
        <f t="shared" si="1"/>
        <v>Saturday</v>
      </c>
      <c r="C259" s="158" t="b">
        <f t="shared" si="2"/>
        <v>0</v>
      </c>
      <c r="D259" s="158" t="str">
        <f t="shared" si="3"/>
        <v/>
      </c>
      <c r="E259" s="158" t="str">
        <f t="shared" si="4"/>
        <v/>
      </c>
      <c r="F259" s="158" t="str">
        <f t="shared" si="5"/>
        <v/>
      </c>
      <c r="G259" s="158" t="str">
        <f t="shared" si="6"/>
        <v/>
      </c>
      <c r="H259" s="158" t="b">
        <f t="shared" si="7"/>
        <v>0</v>
      </c>
      <c r="I259" s="158" t="str">
        <f t="shared" si="8"/>
        <v/>
      </c>
      <c r="J259" s="158">
        <f>IFERROR(__xludf.DUMMYFUNCTION("IF(O259,LET(w,IFERROR(MATCH(N259,UNIQUE(FILTER($N$44:$N$408,$O$44:$O$408=TRUE)),0),""""),IF(OR(w="""",w&gt;$B$6),"""",w)),"""")"),31.0)</f>
        <v>31</v>
      </c>
      <c r="K259" s="158" t="str">
        <f t="shared" si="9"/>
        <v>Term 3</v>
      </c>
      <c r="L259" s="158">
        <f t="shared" si="10"/>
        <v>7</v>
      </c>
      <c r="M259" s="159" t="b">
        <f t="shared" si="11"/>
        <v>0</v>
      </c>
      <c r="N259" s="160">
        <f t="shared" si="12"/>
        <v>46454</v>
      </c>
      <c r="O259" s="163" t="b">
        <f t="shared" si="13"/>
        <v>1</v>
      </c>
      <c r="Q259" s="163">
        <f t="shared" si="14"/>
        <v>0</v>
      </c>
    </row>
    <row r="260" ht="15.75" customHeight="1">
      <c r="A260" s="174">
        <f t="shared" si="15"/>
        <v>46460</v>
      </c>
      <c r="B260" s="176" t="str">
        <f t="shared" si="1"/>
        <v>Sunday</v>
      </c>
      <c r="C260" s="158" t="b">
        <f t="shared" si="2"/>
        <v>0</v>
      </c>
      <c r="D260" s="158" t="str">
        <f t="shared" si="3"/>
        <v/>
      </c>
      <c r="E260" s="158" t="str">
        <f t="shared" si="4"/>
        <v/>
      </c>
      <c r="F260" s="158" t="str">
        <f t="shared" si="5"/>
        <v/>
      </c>
      <c r="G260" s="158" t="str">
        <f t="shared" si="6"/>
        <v/>
      </c>
      <c r="H260" s="158" t="b">
        <f t="shared" si="7"/>
        <v>0</v>
      </c>
      <c r="I260" s="158" t="str">
        <f t="shared" si="8"/>
        <v/>
      </c>
      <c r="J260" s="158">
        <f>IFERROR(__xludf.DUMMYFUNCTION("IF(O260,LET(w,IFERROR(MATCH(N260,UNIQUE(FILTER($N$44:$N$408,$O$44:$O$408=TRUE)),0),""""),IF(OR(w="""",w&gt;$B$6),"""",w)),"""")"),31.0)</f>
        <v>31</v>
      </c>
      <c r="K260" s="158" t="str">
        <f t="shared" si="9"/>
        <v>Term 3</v>
      </c>
      <c r="L260" s="158">
        <f t="shared" si="10"/>
        <v>7</v>
      </c>
      <c r="M260" s="159" t="b">
        <f t="shared" si="11"/>
        <v>0</v>
      </c>
      <c r="N260" s="160">
        <f t="shared" si="12"/>
        <v>46454</v>
      </c>
      <c r="O260" s="163" t="b">
        <f t="shared" si="13"/>
        <v>1</v>
      </c>
      <c r="Q260" s="163">
        <f t="shared" si="14"/>
        <v>0</v>
      </c>
    </row>
    <row r="261" ht="15.75" customHeight="1">
      <c r="A261" s="174">
        <f t="shared" si="15"/>
        <v>46461</v>
      </c>
      <c r="B261" s="176" t="str">
        <f t="shared" si="1"/>
        <v>Monday</v>
      </c>
      <c r="C261" s="158" t="b">
        <f t="shared" si="2"/>
        <v>1</v>
      </c>
      <c r="D261" s="158" t="str">
        <f t="shared" si="3"/>
        <v/>
      </c>
      <c r="E261" s="158" t="str">
        <f t="shared" si="4"/>
        <v/>
      </c>
      <c r="F261" s="158" t="str">
        <f t="shared" si="5"/>
        <v/>
      </c>
      <c r="G261" s="158" t="str">
        <f t="shared" si="6"/>
        <v/>
      </c>
      <c r="H261" s="158" t="b">
        <f t="shared" si="7"/>
        <v>1</v>
      </c>
      <c r="I261" s="158">
        <f t="shared" si="8"/>
        <v>156</v>
      </c>
      <c r="J261" s="158">
        <f>IFERROR(__xludf.DUMMYFUNCTION("IF(O261,LET(w,IFERROR(MATCH(N261,UNIQUE(FILTER($N$44:$N$408,$O$44:$O$408=TRUE)),0),""""),IF(OR(w="""",w&gt;$B$6),"""",w)),"""")"),32.0)</f>
        <v>32</v>
      </c>
      <c r="K261" s="158" t="str">
        <f t="shared" si="9"/>
        <v>Term 3</v>
      </c>
      <c r="L261" s="158">
        <f t="shared" si="10"/>
        <v>8</v>
      </c>
      <c r="M261" s="159" t="b">
        <f t="shared" si="11"/>
        <v>0</v>
      </c>
      <c r="N261" s="160">
        <f t="shared" si="12"/>
        <v>46461</v>
      </c>
      <c r="O261" s="163" t="b">
        <f t="shared" si="13"/>
        <v>1</v>
      </c>
      <c r="Q261" s="163">
        <f t="shared" si="14"/>
        <v>0</v>
      </c>
    </row>
    <row r="262" ht="15.75" customHeight="1">
      <c r="A262" s="174">
        <f t="shared" si="15"/>
        <v>46462</v>
      </c>
      <c r="B262" s="176" t="str">
        <f t="shared" si="1"/>
        <v>Tuesday</v>
      </c>
      <c r="C262" s="158" t="b">
        <f t="shared" si="2"/>
        <v>1</v>
      </c>
      <c r="D262" s="158" t="str">
        <f t="shared" si="3"/>
        <v/>
      </c>
      <c r="E262" s="158" t="str">
        <f t="shared" si="4"/>
        <v/>
      </c>
      <c r="F262" s="158" t="str">
        <f t="shared" si="5"/>
        <v/>
      </c>
      <c r="G262" s="158" t="str">
        <f t="shared" si="6"/>
        <v/>
      </c>
      <c r="H262" s="158" t="b">
        <f t="shared" si="7"/>
        <v>1</v>
      </c>
      <c r="I262" s="158">
        <f t="shared" si="8"/>
        <v>157</v>
      </c>
      <c r="J262" s="158">
        <f>IFERROR(__xludf.DUMMYFUNCTION("IF(O262,LET(w,IFERROR(MATCH(N262,UNIQUE(FILTER($N$44:$N$408,$O$44:$O$408=TRUE)),0),""""),IF(OR(w="""",w&gt;$B$6),"""",w)),"""")"),32.0)</f>
        <v>32</v>
      </c>
      <c r="K262" s="158" t="str">
        <f t="shared" si="9"/>
        <v>Term 3</v>
      </c>
      <c r="L262" s="158">
        <f t="shared" si="10"/>
        <v>8</v>
      </c>
      <c r="M262" s="159" t="b">
        <f t="shared" si="11"/>
        <v>0</v>
      </c>
      <c r="N262" s="160">
        <f t="shared" si="12"/>
        <v>46461</v>
      </c>
      <c r="O262" s="163" t="b">
        <f t="shared" si="13"/>
        <v>1</v>
      </c>
      <c r="Q262" s="163">
        <f t="shared" si="14"/>
        <v>0</v>
      </c>
    </row>
    <row r="263" ht="15.75" customHeight="1">
      <c r="A263" s="174">
        <f t="shared" si="15"/>
        <v>46463</v>
      </c>
      <c r="B263" s="176" t="str">
        <f t="shared" si="1"/>
        <v>Wednesday</v>
      </c>
      <c r="C263" s="158" t="b">
        <f t="shared" si="2"/>
        <v>1</v>
      </c>
      <c r="D263" s="158" t="str">
        <f t="shared" si="3"/>
        <v/>
      </c>
      <c r="E263" s="158" t="str">
        <f t="shared" si="4"/>
        <v/>
      </c>
      <c r="F263" s="158" t="str">
        <f t="shared" si="5"/>
        <v/>
      </c>
      <c r="G263" s="158" t="str">
        <f t="shared" si="6"/>
        <v/>
      </c>
      <c r="H263" s="158" t="b">
        <f t="shared" si="7"/>
        <v>1</v>
      </c>
      <c r="I263" s="158">
        <f t="shared" si="8"/>
        <v>158</v>
      </c>
      <c r="J263" s="158">
        <f>IFERROR(__xludf.DUMMYFUNCTION("IF(O263,LET(w,IFERROR(MATCH(N263,UNIQUE(FILTER($N$44:$N$408,$O$44:$O$408=TRUE)),0),""""),IF(OR(w="""",w&gt;$B$6),"""",w)),"""")"),32.0)</f>
        <v>32</v>
      </c>
      <c r="K263" s="158" t="str">
        <f t="shared" si="9"/>
        <v>Term 3</v>
      </c>
      <c r="L263" s="158">
        <f t="shared" si="10"/>
        <v>8</v>
      </c>
      <c r="M263" s="159" t="b">
        <f t="shared" si="11"/>
        <v>0</v>
      </c>
      <c r="N263" s="160">
        <f t="shared" si="12"/>
        <v>46461</v>
      </c>
      <c r="O263" s="163" t="b">
        <f t="shared" si="13"/>
        <v>1</v>
      </c>
      <c r="Q263" s="163">
        <f t="shared" si="14"/>
        <v>0</v>
      </c>
    </row>
    <row r="264" ht="15.75" customHeight="1">
      <c r="A264" s="174">
        <f t="shared" si="15"/>
        <v>46464</v>
      </c>
      <c r="B264" s="176" t="str">
        <f t="shared" si="1"/>
        <v>Thursday</v>
      </c>
      <c r="C264" s="158" t="b">
        <f t="shared" si="2"/>
        <v>1</v>
      </c>
      <c r="D264" s="158" t="str">
        <f t="shared" si="3"/>
        <v/>
      </c>
      <c r="E264" s="158" t="str">
        <f t="shared" si="4"/>
        <v/>
      </c>
      <c r="F264" s="158" t="str">
        <f t="shared" si="5"/>
        <v/>
      </c>
      <c r="G264" s="158" t="str">
        <f t="shared" si="6"/>
        <v/>
      </c>
      <c r="H264" s="158" t="b">
        <f t="shared" si="7"/>
        <v>1</v>
      </c>
      <c r="I264" s="158">
        <f t="shared" si="8"/>
        <v>159</v>
      </c>
      <c r="J264" s="158">
        <f>IFERROR(__xludf.DUMMYFUNCTION("IF(O264,LET(w,IFERROR(MATCH(N264,UNIQUE(FILTER($N$44:$N$408,$O$44:$O$408=TRUE)),0),""""),IF(OR(w="""",w&gt;$B$6),"""",w)),"""")"),32.0)</f>
        <v>32</v>
      </c>
      <c r="K264" s="158" t="str">
        <f t="shared" si="9"/>
        <v>Term 3</v>
      </c>
      <c r="L264" s="158">
        <f t="shared" si="10"/>
        <v>8</v>
      </c>
      <c r="M264" s="159" t="b">
        <f t="shared" si="11"/>
        <v>0</v>
      </c>
      <c r="N264" s="160">
        <f t="shared" si="12"/>
        <v>46461</v>
      </c>
      <c r="O264" s="163" t="b">
        <f t="shared" si="13"/>
        <v>1</v>
      </c>
      <c r="Q264" s="163">
        <f t="shared" si="14"/>
        <v>0</v>
      </c>
    </row>
    <row r="265" ht="15.75" customHeight="1">
      <c r="A265" s="174">
        <f t="shared" si="15"/>
        <v>46465</v>
      </c>
      <c r="B265" s="176" t="str">
        <f t="shared" si="1"/>
        <v>Friday</v>
      </c>
      <c r="C265" s="158" t="b">
        <f t="shared" si="2"/>
        <v>1</v>
      </c>
      <c r="D265" s="158" t="str">
        <f t="shared" si="3"/>
        <v/>
      </c>
      <c r="E265" s="158" t="str">
        <f t="shared" si="4"/>
        <v/>
      </c>
      <c r="F265" s="158" t="str">
        <f t="shared" si="5"/>
        <v/>
      </c>
      <c r="G265" s="158" t="str">
        <f t="shared" si="6"/>
        <v/>
      </c>
      <c r="H265" s="158" t="b">
        <f t="shared" si="7"/>
        <v>1</v>
      </c>
      <c r="I265" s="158">
        <f t="shared" si="8"/>
        <v>160</v>
      </c>
      <c r="J265" s="158">
        <f>IFERROR(__xludf.DUMMYFUNCTION("IF(O265,LET(w,IFERROR(MATCH(N265,UNIQUE(FILTER($N$44:$N$408,$O$44:$O$408=TRUE)),0),""""),IF(OR(w="""",w&gt;$B$6),"""",w)),"""")"),32.0)</f>
        <v>32</v>
      </c>
      <c r="K265" s="158" t="str">
        <f t="shared" si="9"/>
        <v>Term 3</v>
      </c>
      <c r="L265" s="158">
        <f t="shared" si="10"/>
        <v>8</v>
      </c>
      <c r="M265" s="159" t="b">
        <f t="shared" si="11"/>
        <v>0</v>
      </c>
      <c r="N265" s="160">
        <f t="shared" si="12"/>
        <v>46461</v>
      </c>
      <c r="O265" s="163" t="b">
        <f t="shared" si="13"/>
        <v>1</v>
      </c>
      <c r="Q265" s="163">
        <f t="shared" si="14"/>
        <v>0</v>
      </c>
    </row>
    <row r="266" ht="15.75" customHeight="1">
      <c r="A266" s="174">
        <f t="shared" si="15"/>
        <v>46466</v>
      </c>
      <c r="B266" s="176" t="str">
        <f t="shared" si="1"/>
        <v>Saturday</v>
      </c>
      <c r="C266" s="158" t="b">
        <f t="shared" si="2"/>
        <v>0</v>
      </c>
      <c r="D266" s="158" t="str">
        <f t="shared" si="3"/>
        <v/>
      </c>
      <c r="E266" s="158" t="str">
        <f t="shared" si="4"/>
        <v/>
      </c>
      <c r="F266" s="158" t="str">
        <f t="shared" si="5"/>
        <v/>
      </c>
      <c r="G266" s="158" t="str">
        <f t="shared" si="6"/>
        <v/>
      </c>
      <c r="H266" s="158" t="b">
        <f t="shared" si="7"/>
        <v>0</v>
      </c>
      <c r="I266" s="158" t="str">
        <f t="shared" si="8"/>
        <v/>
      </c>
      <c r="J266" s="158">
        <f>IFERROR(__xludf.DUMMYFUNCTION("IF(O266,LET(w,IFERROR(MATCH(N266,UNIQUE(FILTER($N$44:$N$408,$O$44:$O$408=TRUE)),0),""""),IF(OR(w="""",w&gt;$B$6),"""",w)),"""")"),32.0)</f>
        <v>32</v>
      </c>
      <c r="K266" s="158" t="str">
        <f t="shared" si="9"/>
        <v>Term 3</v>
      </c>
      <c r="L266" s="158">
        <f t="shared" si="10"/>
        <v>8</v>
      </c>
      <c r="M266" s="159" t="b">
        <f t="shared" si="11"/>
        <v>0</v>
      </c>
      <c r="N266" s="160">
        <f t="shared" si="12"/>
        <v>46461</v>
      </c>
      <c r="O266" s="163" t="b">
        <f t="shared" si="13"/>
        <v>1</v>
      </c>
      <c r="Q266" s="163">
        <f t="shared" si="14"/>
        <v>0</v>
      </c>
    </row>
    <row r="267" ht="15.75" customHeight="1">
      <c r="A267" s="174">
        <f t="shared" si="15"/>
        <v>46467</v>
      </c>
      <c r="B267" s="176" t="str">
        <f t="shared" si="1"/>
        <v>Sunday</v>
      </c>
      <c r="C267" s="158" t="b">
        <f t="shared" si="2"/>
        <v>0</v>
      </c>
      <c r="D267" s="158" t="str">
        <f t="shared" si="3"/>
        <v/>
      </c>
      <c r="E267" s="158" t="str">
        <f t="shared" si="4"/>
        <v/>
      </c>
      <c r="F267" s="158" t="str">
        <f t="shared" si="5"/>
        <v/>
      </c>
      <c r="G267" s="158" t="str">
        <f t="shared" si="6"/>
        <v/>
      </c>
      <c r="H267" s="158" t="b">
        <f t="shared" si="7"/>
        <v>0</v>
      </c>
      <c r="I267" s="158" t="str">
        <f t="shared" si="8"/>
        <v/>
      </c>
      <c r="J267" s="158">
        <f>IFERROR(__xludf.DUMMYFUNCTION("IF(O267,LET(w,IFERROR(MATCH(N267,UNIQUE(FILTER($N$44:$N$408,$O$44:$O$408=TRUE)),0),""""),IF(OR(w="""",w&gt;$B$6),"""",w)),"""")"),32.0)</f>
        <v>32</v>
      </c>
      <c r="K267" s="158" t="str">
        <f t="shared" si="9"/>
        <v>Term 3</v>
      </c>
      <c r="L267" s="158">
        <f t="shared" si="10"/>
        <v>8</v>
      </c>
      <c r="M267" s="159" t="b">
        <f t="shared" si="11"/>
        <v>0</v>
      </c>
      <c r="N267" s="160">
        <f t="shared" si="12"/>
        <v>46461</v>
      </c>
      <c r="O267" s="163" t="b">
        <f t="shared" si="13"/>
        <v>1</v>
      </c>
      <c r="Q267" s="163">
        <f t="shared" si="14"/>
        <v>0</v>
      </c>
    </row>
    <row r="268" ht="15.75" customHeight="1">
      <c r="A268" s="174">
        <f t="shared" si="15"/>
        <v>46468</v>
      </c>
      <c r="B268" s="176" t="str">
        <f t="shared" si="1"/>
        <v>Monday</v>
      </c>
      <c r="C268" s="158" t="b">
        <f t="shared" si="2"/>
        <v>1</v>
      </c>
      <c r="D268" s="158" t="str">
        <f t="shared" si="3"/>
        <v/>
      </c>
      <c r="E268" s="158" t="str">
        <f t="shared" si="4"/>
        <v/>
      </c>
      <c r="F268" s="158" t="str">
        <f t="shared" si="5"/>
        <v/>
      </c>
      <c r="G268" s="158" t="str">
        <f t="shared" si="6"/>
        <v/>
      </c>
      <c r="H268" s="158" t="b">
        <f t="shared" si="7"/>
        <v>1</v>
      </c>
      <c r="I268" s="158">
        <f t="shared" si="8"/>
        <v>161</v>
      </c>
      <c r="J268" s="158">
        <f>IFERROR(__xludf.DUMMYFUNCTION("IF(O268,LET(w,IFERROR(MATCH(N268,UNIQUE(FILTER($N$44:$N$408,$O$44:$O$408=TRUE)),0),""""),IF(OR(w="""",w&gt;$B$6),"""",w)),"""")"),33.0)</f>
        <v>33</v>
      </c>
      <c r="K268" s="158" t="str">
        <f t="shared" si="9"/>
        <v>Term 3</v>
      </c>
      <c r="L268" s="158">
        <f t="shared" si="10"/>
        <v>9</v>
      </c>
      <c r="M268" s="159" t="b">
        <f t="shared" si="11"/>
        <v>0</v>
      </c>
      <c r="N268" s="160">
        <f t="shared" si="12"/>
        <v>46468</v>
      </c>
      <c r="O268" s="163" t="b">
        <f t="shared" si="13"/>
        <v>1</v>
      </c>
      <c r="Q268" s="163">
        <f t="shared" si="14"/>
        <v>0</v>
      </c>
    </row>
    <row r="269" ht="15.75" customHeight="1">
      <c r="A269" s="174">
        <f t="shared" si="15"/>
        <v>46469</v>
      </c>
      <c r="B269" s="176" t="str">
        <f t="shared" si="1"/>
        <v>Tuesday</v>
      </c>
      <c r="C269" s="158" t="b">
        <f t="shared" si="2"/>
        <v>1</v>
      </c>
      <c r="D269" s="158" t="str">
        <f t="shared" si="3"/>
        <v/>
      </c>
      <c r="E269" s="158" t="str">
        <f t="shared" si="4"/>
        <v/>
      </c>
      <c r="F269" s="158" t="str">
        <f t="shared" si="5"/>
        <v/>
      </c>
      <c r="G269" s="158" t="str">
        <f t="shared" si="6"/>
        <v/>
      </c>
      <c r="H269" s="158" t="b">
        <f t="shared" si="7"/>
        <v>1</v>
      </c>
      <c r="I269" s="158">
        <f t="shared" si="8"/>
        <v>162</v>
      </c>
      <c r="J269" s="158">
        <f>IFERROR(__xludf.DUMMYFUNCTION("IF(O269,LET(w,IFERROR(MATCH(N269,UNIQUE(FILTER($N$44:$N$408,$O$44:$O$408=TRUE)),0),""""),IF(OR(w="""",w&gt;$B$6),"""",w)),"""")"),33.0)</f>
        <v>33</v>
      </c>
      <c r="K269" s="158" t="str">
        <f t="shared" si="9"/>
        <v>Term 3</v>
      </c>
      <c r="L269" s="158">
        <f t="shared" si="10"/>
        <v>9</v>
      </c>
      <c r="M269" s="159" t="b">
        <f t="shared" si="11"/>
        <v>0</v>
      </c>
      <c r="N269" s="160">
        <f t="shared" si="12"/>
        <v>46468</v>
      </c>
      <c r="O269" s="163" t="b">
        <f t="shared" si="13"/>
        <v>1</v>
      </c>
      <c r="Q269" s="163">
        <f t="shared" si="14"/>
        <v>0</v>
      </c>
    </row>
    <row r="270" ht="15.75" customHeight="1">
      <c r="A270" s="174">
        <f t="shared" si="15"/>
        <v>46470</v>
      </c>
      <c r="B270" s="176" t="str">
        <f t="shared" si="1"/>
        <v>Wednesday</v>
      </c>
      <c r="C270" s="158" t="b">
        <f t="shared" si="2"/>
        <v>1</v>
      </c>
      <c r="D270" s="158" t="str">
        <f t="shared" si="3"/>
        <v/>
      </c>
      <c r="E270" s="158" t="str">
        <f t="shared" si="4"/>
        <v/>
      </c>
      <c r="F270" s="158" t="str">
        <f t="shared" si="5"/>
        <v/>
      </c>
      <c r="G270" s="158" t="str">
        <f t="shared" si="6"/>
        <v/>
      </c>
      <c r="H270" s="158" t="b">
        <f t="shared" si="7"/>
        <v>1</v>
      </c>
      <c r="I270" s="158">
        <f t="shared" si="8"/>
        <v>163</v>
      </c>
      <c r="J270" s="158">
        <f>IFERROR(__xludf.DUMMYFUNCTION("IF(O270,LET(w,IFERROR(MATCH(N270,UNIQUE(FILTER($N$44:$N$408,$O$44:$O$408=TRUE)),0),""""),IF(OR(w="""",w&gt;$B$6),"""",w)),"""")"),33.0)</f>
        <v>33</v>
      </c>
      <c r="K270" s="158" t="str">
        <f t="shared" si="9"/>
        <v>Term 3</v>
      </c>
      <c r="L270" s="158">
        <f t="shared" si="10"/>
        <v>9</v>
      </c>
      <c r="M270" s="159" t="b">
        <f t="shared" si="11"/>
        <v>0</v>
      </c>
      <c r="N270" s="160">
        <f t="shared" si="12"/>
        <v>46468</v>
      </c>
      <c r="O270" s="163" t="b">
        <f t="shared" si="13"/>
        <v>1</v>
      </c>
      <c r="Q270" s="163">
        <f t="shared" si="14"/>
        <v>0</v>
      </c>
    </row>
    <row r="271" ht="15.75" customHeight="1">
      <c r="A271" s="174">
        <f t="shared" si="15"/>
        <v>46471</v>
      </c>
      <c r="B271" s="176" t="str">
        <f t="shared" si="1"/>
        <v>Thursday</v>
      </c>
      <c r="C271" s="158" t="b">
        <f t="shared" si="2"/>
        <v>1</v>
      </c>
      <c r="D271" s="158" t="str">
        <f t="shared" si="3"/>
        <v/>
      </c>
      <c r="E271" s="158" t="str">
        <f t="shared" si="4"/>
        <v/>
      </c>
      <c r="F271" s="158" t="str">
        <f t="shared" si="5"/>
        <v/>
      </c>
      <c r="G271" s="158" t="str">
        <f t="shared" si="6"/>
        <v/>
      </c>
      <c r="H271" s="158" t="b">
        <f t="shared" si="7"/>
        <v>1</v>
      </c>
      <c r="I271" s="158">
        <f t="shared" si="8"/>
        <v>164</v>
      </c>
      <c r="J271" s="158">
        <f>IFERROR(__xludf.DUMMYFUNCTION("IF(O271,LET(w,IFERROR(MATCH(N271,UNIQUE(FILTER($N$44:$N$408,$O$44:$O$408=TRUE)),0),""""),IF(OR(w="""",w&gt;$B$6),"""",w)),"""")"),33.0)</f>
        <v>33</v>
      </c>
      <c r="K271" s="158" t="str">
        <f t="shared" si="9"/>
        <v>Term 3</v>
      </c>
      <c r="L271" s="158">
        <f t="shared" si="10"/>
        <v>9</v>
      </c>
      <c r="M271" s="159" t="b">
        <f t="shared" si="11"/>
        <v>0</v>
      </c>
      <c r="N271" s="160">
        <f t="shared" si="12"/>
        <v>46468</v>
      </c>
      <c r="O271" s="163" t="b">
        <f t="shared" si="13"/>
        <v>1</v>
      </c>
      <c r="Q271" s="163">
        <f t="shared" si="14"/>
        <v>0</v>
      </c>
    </row>
    <row r="272" ht="15.75" customHeight="1">
      <c r="A272" s="174">
        <f t="shared" si="15"/>
        <v>46472</v>
      </c>
      <c r="B272" s="176" t="str">
        <f t="shared" si="1"/>
        <v>Friday</v>
      </c>
      <c r="C272" s="158" t="b">
        <f t="shared" si="2"/>
        <v>1</v>
      </c>
      <c r="D272" s="158" t="str">
        <f t="shared" si="3"/>
        <v/>
      </c>
      <c r="E272" s="158" t="str">
        <f t="shared" si="4"/>
        <v/>
      </c>
      <c r="F272" s="158" t="str">
        <f t="shared" si="5"/>
        <v/>
      </c>
      <c r="G272" s="158" t="str">
        <f t="shared" si="6"/>
        <v/>
      </c>
      <c r="H272" s="158" t="b">
        <f t="shared" si="7"/>
        <v>1</v>
      </c>
      <c r="I272" s="158">
        <f t="shared" si="8"/>
        <v>165</v>
      </c>
      <c r="J272" s="158">
        <f>IFERROR(__xludf.DUMMYFUNCTION("IF(O272,LET(w,IFERROR(MATCH(N272,UNIQUE(FILTER($N$44:$N$408,$O$44:$O$408=TRUE)),0),""""),IF(OR(w="""",w&gt;$B$6),"""",w)),"""")"),33.0)</f>
        <v>33</v>
      </c>
      <c r="K272" s="158" t="str">
        <f t="shared" si="9"/>
        <v>Term 3</v>
      </c>
      <c r="L272" s="158">
        <f t="shared" si="10"/>
        <v>9</v>
      </c>
      <c r="M272" s="159" t="b">
        <f t="shared" si="11"/>
        <v>0</v>
      </c>
      <c r="N272" s="160">
        <f t="shared" si="12"/>
        <v>46468</v>
      </c>
      <c r="O272" s="163" t="b">
        <f t="shared" si="13"/>
        <v>1</v>
      </c>
      <c r="Q272" s="163">
        <f t="shared" si="14"/>
        <v>0</v>
      </c>
    </row>
    <row r="273" ht="15.75" customHeight="1">
      <c r="A273" s="174">
        <f t="shared" si="15"/>
        <v>46473</v>
      </c>
      <c r="B273" s="176" t="str">
        <f t="shared" si="1"/>
        <v>Saturday</v>
      </c>
      <c r="C273" s="158" t="b">
        <f t="shared" si="2"/>
        <v>0</v>
      </c>
      <c r="D273" s="158" t="str">
        <f t="shared" si="3"/>
        <v/>
      </c>
      <c r="E273" s="158" t="str">
        <f t="shared" si="4"/>
        <v/>
      </c>
      <c r="F273" s="158" t="str">
        <f t="shared" si="5"/>
        <v/>
      </c>
      <c r="G273" s="158" t="str">
        <f t="shared" si="6"/>
        <v/>
      </c>
      <c r="H273" s="158" t="b">
        <f t="shared" si="7"/>
        <v>0</v>
      </c>
      <c r="I273" s="158" t="str">
        <f t="shared" si="8"/>
        <v/>
      </c>
      <c r="J273" s="158">
        <f>IFERROR(__xludf.DUMMYFUNCTION("IF(O273,LET(w,IFERROR(MATCH(N273,UNIQUE(FILTER($N$44:$N$408,$O$44:$O$408=TRUE)),0),""""),IF(OR(w="""",w&gt;$B$6),"""",w)),"""")"),33.0)</f>
        <v>33</v>
      </c>
      <c r="K273" s="158" t="str">
        <f t="shared" si="9"/>
        <v>Term 3</v>
      </c>
      <c r="L273" s="158">
        <f t="shared" si="10"/>
        <v>9</v>
      </c>
      <c r="M273" s="159" t="b">
        <f t="shared" si="11"/>
        <v>0</v>
      </c>
      <c r="N273" s="160">
        <f t="shared" si="12"/>
        <v>46468</v>
      </c>
      <c r="O273" s="163" t="b">
        <f t="shared" si="13"/>
        <v>1</v>
      </c>
      <c r="Q273" s="163">
        <f t="shared" si="14"/>
        <v>0</v>
      </c>
    </row>
    <row r="274" ht="15.75" customHeight="1">
      <c r="A274" s="174">
        <f t="shared" si="15"/>
        <v>46474</v>
      </c>
      <c r="B274" s="176" t="str">
        <f t="shared" si="1"/>
        <v>Sunday</v>
      </c>
      <c r="C274" s="158" t="b">
        <f t="shared" si="2"/>
        <v>0</v>
      </c>
      <c r="D274" s="158" t="str">
        <f t="shared" si="3"/>
        <v/>
      </c>
      <c r="E274" s="158" t="str">
        <f t="shared" si="4"/>
        <v/>
      </c>
      <c r="F274" s="158" t="str">
        <f t="shared" si="5"/>
        <v/>
      </c>
      <c r="G274" s="158" t="str">
        <f t="shared" si="6"/>
        <v/>
      </c>
      <c r="H274" s="158" t="b">
        <f t="shared" si="7"/>
        <v>0</v>
      </c>
      <c r="I274" s="158" t="str">
        <f t="shared" si="8"/>
        <v/>
      </c>
      <c r="J274" s="158">
        <f>IFERROR(__xludf.DUMMYFUNCTION("IF(O274,LET(w,IFERROR(MATCH(N274,UNIQUE(FILTER($N$44:$N$408,$O$44:$O$408=TRUE)),0),""""),IF(OR(w="""",w&gt;$B$6),"""",w)),"""")"),33.0)</f>
        <v>33</v>
      </c>
      <c r="K274" s="158" t="str">
        <f t="shared" si="9"/>
        <v>Term 3</v>
      </c>
      <c r="L274" s="158">
        <f t="shared" si="10"/>
        <v>9</v>
      </c>
      <c r="M274" s="159" t="b">
        <f t="shared" si="11"/>
        <v>0</v>
      </c>
      <c r="N274" s="160">
        <f t="shared" si="12"/>
        <v>46468</v>
      </c>
      <c r="O274" s="163" t="b">
        <f t="shared" si="13"/>
        <v>1</v>
      </c>
      <c r="Q274" s="163">
        <f t="shared" si="14"/>
        <v>0</v>
      </c>
    </row>
    <row r="275" ht="15.75" customHeight="1">
      <c r="A275" s="174">
        <f t="shared" si="15"/>
        <v>46475</v>
      </c>
      <c r="B275" s="176" t="str">
        <f t="shared" si="1"/>
        <v>Monday</v>
      </c>
      <c r="C275" s="158" t="b">
        <f t="shared" si="2"/>
        <v>1</v>
      </c>
      <c r="D275" s="158" t="str">
        <f t="shared" si="3"/>
        <v/>
      </c>
      <c r="E275" s="158" t="str">
        <f t="shared" si="4"/>
        <v/>
      </c>
      <c r="F275" s="158" t="str">
        <f t="shared" si="5"/>
        <v/>
      </c>
      <c r="G275" s="158" t="str">
        <f t="shared" si="6"/>
        <v/>
      </c>
      <c r="H275" s="158" t="b">
        <f t="shared" si="7"/>
        <v>1</v>
      </c>
      <c r="I275" s="158">
        <f t="shared" si="8"/>
        <v>166</v>
      </c>
      <c r="J275" s="158">
        <f>IFERROR(__xludf.DUMMYFUNCTION("IF(O275,LET(w,IFERROR(MATCH(N275,UNIQUE(FILTER($N$44:$N$408,$O$44:$O$408=TRUE)),0),""""),IF(OR(w="""",w&gt;$B$6),"""",w)),"""")"),34.0)</f>
        <v>34</v>
      </c>
      <c r="K275" s="158" t="str">
        <f t="shared" si="9"/>
        <v>Term 3</v>
      </c>
      <c r="L275" s="158">
        <f t="shared" si="10"/>
        <v>10</v>
      </c>
      <c r="M275" s="159" t="b">
        <f t="shared" si="11"/>
        <v>0</v>
      </c>
      <c r="N275" s="160">
        <f t="shared" si="12"/>
        <v>46475</v>
      </c>
      <c r="O275" s="163" t="b">
        <f t="shared" si="13"/>
        <v>1</v>
      </c>
      <c r="Q275" s="163">
        <f t="shared" si="14"/>
        <v>0</v>
      </c>
    </row>
    <row r="276" ht="15.75" customHeight="1">
      <c r="A276" s="174">
        <f t="shared" si="15"/>
        <v>46476</v>
      </c>
      <c r="B276" s="176" t="str">
        <f t="shared" si="1"/>
        <v>Tuesday</v>
      </c>
      <c r="C276" s="158" t="b">
        <f t="shared" si="2"/>
        <v>1</v>
      </c>
      <c r="D276" s="158" t="str">
        <f t="shared" si="3"/>
        <v/>
      </c>
      <c r="E276" s="158" t="str">
        <f t="shared" si="4"/>
        <v/>
      </c>
      <c r="F276" s="158" t="str">
        <f t="shared" si="5"/>
        <v/>
      </c>
      <c r="G276" s="158" t="str">
        <f t="shared" si="6"/>
        <v/>
      </c>
      <c r="H276" s="158" t="b">
        <f t="shared" si="7"/>
        <v>1</v>
      </c>
      <c r="I276" s="158">
        <f t="shared" si="8"/>
        <v>167</v>
      </c>
      <c r="J276" s="158">
        <f>IFERROR(__xludf.DUMMYFUNCTION("IF(O276,LET(w,IFERROR(MATCH(N276,UNIQUE(FILTER($N$44:$N$408,$O$44:$O$408=TRUE)),0),""""),IF(OR(w="""",w&gt;$B$6),"""",w)),"""")"),34.0)</f>
        <v>34</v>
      </c>
      <c r="K276" s="158" t="str">
        <f t="shared" si="9"/>
        <v>Term 3</v>
      </c>
      <c r="L276" s="158">
        <f t="shared" si="10"/>
        <v>10</v>
      </c>
      <c r="M276" s="159" t="b">
        <f t="shared" si="11"/>
        <v>0</v>
      </c>
      <c r="N276" s="160">
        <f t="shared" si="12"/>
        <v>46475</v>
      </c>
      <c r="O276" s="163" t="b">
        <f t="shared" si="13"/>
        <v>1</v>
      </c>
      <c r="Q276" s="163">
        <f t="shared" si="14"/>
        <v>0</v>
      </c>
    </row>
    <row r="277" ht="15.75" customHeight="1">
      <c r="A277" s="174">
        <f t="shared" si="15"/>
        <v>46477</v>
      </c>
      <c r="B277" s="176" t="str">
        <f t="shared" si="1"/>
        <v>Wednesday</v>
      </c>
      <c r="C277" s="158" t="b">
        <f t="shared" si="2"/>
        <v>1</v>
      </c>
      <c r="D277" s="158" t="str">
        <f t="shared" si="3"/>
        <v/>
      </c>
      <c r="E277" s="158" t="str">
        <f t="shared" si="4"/>
        <v/>
      </c>
      <c r="F277" s="158" t="str">
        <f t="shared" si="5"/>
        <v/>
      </c>
      <c r="G277" s="158" t="str">
        <f t="shared" si="6"/>
        <v/>
      </c>
      <c r="H277" s="158" t="b">
        <f t="shared" si="7"/>
        <v>1</v>
      </c>
      <c r="I277" s="158">
        <f t="shared" si="8"/>
        <v>168</v>
      </c>
      <c r="J277" s="158">
        <f>IFERROR(__xludf.DUMMYFUNCTION("IF(O277,LET(w,IFERROR(MATCH(N277,UNIQUE(FILTER($N$44:$N$408,$O$44:$O$408=TRUE)),0),""""),IF(OR(w="""",w&gt;$B$6),"""",w)),"""")"),34.0)</f>
        <v>34</v>
      </c>
      <c r="K277" s="158" t="str">
        <f t="shared" si="9"/>
        <v>Term 3</v>
      </c>
      <c r="L277" s="158">
        <f t="shared" si="10"/>
        <v>10</v>
      </c>
      <c r="M277" s="159" t="b">
        <f t="shared" si="11"/>
        <v>0</v>
      </c>
      <c r="N277" s="160">
        <f t="shared" si="12"/>
        <v>46475</v>
      </c>
      <c r="O277" s="163" t="b">
        <f t="shared" si="13"/>
        <v>1</v>
      </c>
      <c r="Q277" s="163">
        <f t="shared" si="14"/>
        <v>0</v>
      </c>
    </row>
    <row r="278" ht="15.75" customHeight="1">
      <c r="A278" s="174">
        <f t="shared" si="15"/>
        <v>46478</v>
      </c>
      <c r="B278" s="176" t="str">
        <f t="shared" si="1"/>
        <v>Thursday</v>
      </c>
      <c r="C278" s="158" t="b">
        <f t="shared" si="2"/>
        <v>1</v>
      </c>
      <c r="D278" s="158" t="str">
        <f t="shared" si="3"/>
        <v/>
      </c>
      <c r="E278" s="158" t="str">
        <f t="shared" si="4"/>
        <v/>
      </c>
      <c r="F278" s="158" t="str">
        <f t="shared" si="5"/>
        <v/>
      </c>
      <c r="G278" s="158" t="str">
        <f t="shared" si="6"/>
        <v/>
      </c>
      <c r="H278" s="158" t="b">
        <f t="shared" si="7"/>
        <v>1</v>
      </c>
      <c r="I278" s="158">
        <f t="shared" si="8"/>
        <v>169</v>
      </c>
      <c r="J278" s="158">
        <f>IFERROR(__xludf.DUMMYFUNCTION("IF(O278,LET(w,IFERROR(MATCH(N278,UNIQUE(FILTER($N$44:$N$408,$O$44:$O$408=TRUE)),0),""""),IF(OR(w="""",w&gt;$B$6),"""",w)),"""")"),34.0)</f>
        <v>34</v>
      </c>
      <c r="K278" s="158" t="str">
        <f t="shared" si="9"/>
        <v>Term 3</v>
      </c>
      <c r="L278" s="158">
        <f t="shared" si="10"/>
        <v>10</v>
      </c>
      <c r="M278" s="159" t="b">
        <f t="shared" si="11"/>
        <v>0</v>
      </c>
      <c r="N278" s="160">
        <f t="shared" si="12"/>
        <v>46475</v>
      </c>
      <c r="O278" s="163" t="b">
        <f t="shared" si="13"/>
        <v>1</v>
      </c>
      <c r="Q278" s="163">
        <f t="shared" si="14"/>
        <v>0</v>
      </c>
    </row>
    <row r="279" ht="15.75" customHeight="1">
      <c r="A279" s="174">
        <f t="shared" si="15"/>
        <v>46479</v>
      </c>
      <c r="B279" s="176" t="str">
        <f t="shared" si="1"/>
        <v>Friday</v>
      </c>
      <c r="C279" s="158" t="b">
        <f t="shared" si="2"/>
        <v>1</v>
      </c>
      <c r="D279" s="158" t="str">
        <f t="shared" si="3"/>
        <v/>
      </c>
      <c r="E279" s="158" t="str">
        <f t="shared" si="4"/>
        <v/>
      </c>
      <c r="F279" s="158" t="str">
        <f t="shared" si="5"/>
        <v/>
      </c>
      <c r="G279" s="158" t="str">
        <f t="shared" si="6"/>
        <v/>
      </c>
      <c r="H279" s="158" t="b">
        <f t="shared" si="7"/>
        <v>1</v>
      </c>
      <c r="I279" s="158">
        <f t="shared" si="8"/>
        <v>170</v>
      </c>
      <c r="J279" s="158">
        <f>IFERROR(__xludf.DUMMYFUNCTION("IF(O279,LET(w,IFERROR(MATCH(N279,UNIQUE(FILTER($N$44:$N$408,$O$44:$O$408=TRUE)),0),""""),IF(OR(w="""",w&gt;$B$6),"""",w)),"""")"),34.0)</f>
        <v>34</v>
      </c>
      <c r="K279" s="158" t="str">
        <f t="shared" si="9"/>
        <v>Term 3</v>
      </c>
      <c r="L279" s="158">
        <f t="shared" si="10"/>
        <v>10</v>
      </c>
      <c r="M279" s="159" t="b">
        <f t="shared" si="11"/>
        <v>0</v>
      </c>
      <c r="N279" s="160">
        <f t="shared" si="12"/>
        <v>46475</v>
      </c>
      <c r="O279" s="163" t="b">
        <f t="shared" si="13"/>
        <v>1</v>
      </c>
      <c r="Q279" s="163">
        <f t="shared" si="14"/>
        <v>0</v>
      </c>
    </row>
    <row r="280" ht="15.75" customHeight="1">
      <c r="A280" s="174">
        <f t="shared" si="15"/>
        <v>46480</v>
      </c>
      <c r="B280" s="176" t="str">
        <f t="shared" si="1"/>
        <v>Saturday</v>
      </c>
      <c r="C280" s="158" t="b">
        <f t="shared" si="2"/>
        <v>0</v>
      </c>
      <c r="D280" s="158" t="str">
        <f t="shared" si="3"/>
        <v/>
      </c>
      <c r="E280" s="158" t="str">
        <f t="shared" si="4"/>
        <v/>
      </c>
      <c r="F280" s="158" t="str">
        <f t="shared" si="5"/>
        <v/>
      </c>
      <c r="G280" s="158" t="str">
        <f t="shared" si="6"/>
        <v/>
      </c>
      <c r="H280" s="158" t="b">
        <f t="shared" si="7"/>
        <v>0</v>
      </c>
      <c r="I280" s="158" t="str">
        <f t="shared" si="8"/>
        <v/>
      </c>
      <c r="J280" s="158">
        <f>IFERROR(__xludf.DUMMYFUNCTION("IF(O280,LET(w,IFERROR(MATCH(N280,UNIQUE(FILTER($N$44:$N$408,$O$44:$O$408=TRUE)),0),""""),IF(OR(w="""",w&gt;$B$6),"""",w)),"""")"),34.0)</f>
        <v>34</v>
      </c>
      <c r="K280" s="158" t="str">
        <f t="shared" si="9"/>
        <v>Term 3</v>
      </c>
      <c r="L280" s="158">
        <f t="shared" si="10"/>
        <v>10</v>
      </c>
      <c r="M280" s="159" t="b">
        <f t="shared" si="11"/>
        <v>0</v>
      </c>
      <c r="N280" s="160">
        <f t="shared" si="12"/>
        <v>46475</v>
      </c>
      <c r="O280" s="163" t="b">
        <f t="shared" si="13"/>
        <v>1</v>
      </c>
      <c r="Q280" s="163">
        <f t="shared" si="14"/>
        <v>0</v>
      </c>
    </row>
    <row r="281" ht="15.75" customHeight="1">
      <c r="A281" s="174">
        <f t="shared" si="15"/>
        <v>46481</v>
      </c>
      <c r="B281" s="176" t="str">
        <f t="shared" si="1"/>
        <v>Sunday</v>
      </c>
      <c r="C281" s="158" t="b">
        <f t="shared" si="2"/>
        <v>0</v>
      </c>
      <c r="D281" s="158" t="str">
        <f t="shared" si="3"/>
        <v/>
      </c>
      <c r="E281" s="158" t="str">
        <f t="shared" si="4"/>
        <v/>
      </c>
      <c r="F281" s="158" t="str">
        <f t="shared" si="5"/>
        <v/>
      </c>
      <c r="G281" s="158" t="str">
        <f t="shared" si="6"/>
        <v/>
      </c>
      <c r="H281" s="158" t="b">
        <f t="shared" si="7"/>
        <v>0</v>
      </c>
      <c r="I281" s="158" t="str">
        <f t="shared" si="8"/>
        <v/>
      </c>
      <c r="J281" s="158">
        <f>IFERROR(__xludf.DUMMYFUNCTION("IF(O281,LET(w,IFERROR(MATCH(N281,UNIQUE(FILTER($N$44:$N$408,$O$44:$O$408=TRUE)),0),""""),IF(OR(w="""",w&gt;$B$6),"""",w)),"""")"),34.0)</f>
        <v>34</v>
      </c>
      <c r="K281" s="158" t="str">
        <f t="shared" si="9"/>
        <v>Term 3</v>
      </c>
      <c r="L281" s="158">
        <f t="shared" si="10"/>
        <v>10</v>
      </c>
      <c r="M281" s="159" t="b">
        <f t="shared" si="11"/>
        <v>0</v>
      </c>
      <c r="N281" s="160">
        <f t="shared" si="12"/>
        <v>46475</v>
      </c>
      <c r="O281" s="163" t="b">
        <f t="shared" si="13"/>
        <v>1</v>
      </c>
      <c r="Q281" s="163">
        <f t="shared" si="14"/>
        <v>0</v>
      </c>
    </row>
    <row r="282" ht="15.75" customHeight="1">
      <c r="A282" s="174">
        <f t="shared" si="15"/>
        <v>46482</v>
      </c>
      <c r="B282" s="176" t="str">
        <f t="shared" si="1"/>
        <v>Monday</v>
      </c>
      <c r="C282" s="158" t="b">
        <f t="shared" si="2"/>
        <v>1</v>
      </c>
      <c r="D282" s="158" t="str">
        <f t="shared" si="3"/>
        <v/>
      </c>
      <c r="E282" s="158" t="str">
        <f t="shared" si="4"/>
        <v/>
      </c>
      <c r="F282" s="158" t="str">
        <f t="shared" si="5"/>
        <v/>
      </c>
      <c r="G282" s="158" t="str">
        <f t="shared" si="6"/>
        <v/>
      </c>
      <c r="H282" s="158" t="b">
        <f t="shared" si="7"/>
        <v>1</v>
      </c>
      <c r="I282" s="158">
        <f t="shared" si="8"/>
        <v>171</v>
      </c>
      <c r="J282" s="158">
        <f>IFERROR(__xludf.DUMMYFUNCTION("IF(O282,LET(w,IFERROR(MATCH(N282,UNIQUE(FILTER($N$44:$N$408,$O$44:$O$408=TRUE)),0),""""),IF(OR(w="""",w&gt;$B$6),"""",w)),"""")"),35.0)</f>
        <v>35</v>
      </c>
      <c r="K282" s="158" t="str">
        <f t="shared" si="9"/>
        <v>Term 3</v>
      </c>
      <c r="L282" s="158">
        <f t="shared" si="10"/>
        <v>11</v>
      </c>
      <c r="M282" s="159" t="b">
        <f t="shared" si="11"/>
        <v>0</v>
      </c>
      <c r="N282" s="160">
        <f t="shared" si="12"/>
        <v>46482</v>
      </c>
      <c r="O282" s="163" t="b">
        <f t="shared" si="13"/>
        <v>1</v>
      </c>
      <c r="Q282" s="163">
        <f t="shared" si="14"/>
        <v>0</v>
      </c>
    </row>
    <row r="283" ht="15.75" customHeight="1">
      <c r="A283" s="174">
        <f t="shared" si="15"/>
        <v>46483</v>
      </c>
      <c r="B283" s="176" t="str">
        <f t="shared" si="1"/>
        <v>Tuesday</v>
      </c>
      <c r="C283" s="158" t="b">
        <f t="shared" si="2"/>
        <v>1</v>
      </c>
      <c r="D283" s="158" t="str">
        <f t="shared" si="3"/>
        <v/>
      </c>
      <c r="E283" s="158" t="str">
        <f t="shared" si="4"/>
        <v/>
      </c>
      <c r="F283" s="158" t="str">
        <f t="shared" si="5"/>
        <v/>
      </c>
      <c r="G283" s="158" t="str">
        <f t="shared" si="6"/>
        <v/>
      </c>
      <c r="H283" s="158" t="b">
        <f t="shared" si="7"/>
        <v>1</v>
      </c>
      <c r="I283" s="158">
        <f t="shared" si="8"/>
        <v>172</v>
      </c>
      <c r="J283" s="158">
        <f>IFERROR(__xludf.DUMMYFUNCTION("IF(O283,LET(w,IFERROR(MATCH(N283,UNIQUE(FILTER($N$44:$N$408,$O$44:$O$408=TRUE)),0),""""),IF(OR(w="""",w&gt;$B$6),"""",w)),"""")"),35.0)</f>
        <v>35</v>
      </c>
      <c r="K283" s="158" t="str">
        <f t="shared" si="9"/>
        <v>Term 3</v>
      </c>
      <c r="L283" s="158">
        <f t="shared" si="10"/>
        <v>11</v>
      </c>
      <c r="M283" s="159" t="b">
        <f t="shared" si="11"/>
        <v>0</v>
      </c>
      <c r="N283" s="160">
        <f t="shared" si="12"/>
        <v>46482</v>
      </c>
      <c r="O283" s="163" t="b">
        <f t="shared" si="13"/>
        <v>1</v>
      </c>
      <c r="Q283" s="163">
        <f t="shared" si="14"/>
        <v>0</v>
      </c>
    </row>
    <row r="284" ht="15.75" customHeight="1">
      <c r="A284" s="174">
        <f t="shared" si="15"/>
        <v>46484</v>
      </c>
      <c r="B284" s="176" t="str">
        <f t="shared" si="1"/>
        <v>Wednesday</v>
      </c>
      <c r="C284" s="158" t="b">
        <f t="shared" si="2"/>
        <v>1</v>
      </c>
      <c r="D284" s="158" t="str">
        <f t="shared" si="3"/>
        <v/>
      </c>
      <c r="E284" s="158" t="str">
        <f t="shared" si="4"/>
        <v/>
      </c>
      <c r="F284" s="158" t="str">
        <f t="shared" si="5"/>
        <v/>
      </c>
      <c r="G284" s="158" t="str">
        <f t="shared" si="6"/>
        <v/>
      </c>
      <c r="H284" s="158" t="b">
        <f t="shared" si="7"/>
        <v>1</v>
      </c>
      <c r="I284" s="158">
        <f t="shared" si="8"/>
        <v>173</v>
      </c>
      <c r="J284" s="158">
        <f>IFERROR(__xludf.DUMMYFUNCTION("IF(O284,LET(w,IFERROR(MATCH(N284,UNIQUE(FILTER($N$44:$N$408,$O$44:$O$408=TRUE)),0),""""),IF(OR(w="""",w&gt;$B$6),"""",w)),"""")"),35.0)</f>
        <v>35</v>
      </c>
      <c r="K284" s="158" t="str">
        <f t="shared" si="9"/>
        <v>Term 3</v>
      </c>
      <c r="L284" s="158">
        <f t="shared" si="10"/>
        <v>11</v>
      </c>
      <c r="M284" s="159" t="b">
        <f t="shared" si="11"/>
        <v>0</v>
      </c>
      <c r="N284" s="160">
        <f t="shared" si="12"/>
        <v>46482</v>
      </c>
      <c r="O284" s="163" t="b">
        <f t="shared" si="13"/>
        <v>1</v>
      </c>
      <c r="Q284" s="163">
        <f t="shared" si="14"/>
        <v>0</v>
      </c>
    </row>
    <row r="285" ht="15.75" customHeight="1">
      <c r="A285" s="174">
        <f t="shared" si="15"/>
        <v>46485</v>
      </c>
      <c r="B285" s="176" t="str">
        <f t="shared" si="1"/>
        <v>Thursday</v>
      </c>
      <c r="C285" s="158" t="b">
        <f t="shared" si="2"/>
        <v>1</v>
      </c>
      <c r="D285" s="158" t="str">
        <f t="shared" si="3"/>
        <v/>
      </c>
      <c r="E285" s="158" t="str">
        <f t="shared" si="4"/>
        <v/>
      </c>
      <c r="F285" s="158" t="str">
        <f t="shared" si="5"/>
        <v/>
      </c>
      <c r="G285" s="158" t="str">
        <f t="shared" si="6"/>
        <v/>
      </c>
      <c r="H285" s="158" t="b">
        <f t="shared" si="7"/>
        <v>1</v>
      </c>
      <c r="I285" s="158">
        <f t="shared" si="8"/>
        <v>174</v>
      </c>
      <c r="J285" s="158">
        <f>IFERROR(__xludf.DUMMYFUNCTION("IF(O285,LET(w,IFERROR(MATCH(N285,UNIQUE(FILTER($N$44:$N$408,$O$44:$O$408=TRUE)),0),""""),IF(OR(w="""",w&gt;$B$6),"""",w)),"""")"),35.0)</f>
        <v>35</v>
      </c>
      <c r="K285" s="158" t="str">
        <f t="shared" si="9"/>
        <v>Term 3</v>
      </c>
      <c r="L285" s="158">
        <f t="shared" si="10"/>
        <v>11</v>
      </c>
      <c r="M285" s="159" t="b">
        <f t="shared" si="11"/>
        <v>0</v>
      </c>
      <c r="N285" s="160">
        <f t="shared" si="12"/>
        <v>46482</v>
      </c>
      <c r="O285" s="163" t="b">
        <f t="shared" si="13"/>
        <v>1</v>
      </c>
      <c r="Q285" s="163">
        <f t="shared" si="14"/>
        <v>0</v>
      </c>
    </row>
    <row r="286" ht="15.75" customHeight="1">
      <c r="A286" s="174">
        <f t="shared" si="15"/>
        <v>46486</v>
      </c>
      <c r="B286" s="176" t="str">
        <f t="shared" si="1"/>
        <v>Friday</v>
      </c>
      <c r="C286" s="158" t="b">
        <f t="shared" si="2"/>
        <v>1</v>
      </c>
      <c r="D286" s="158" t="str">
        <f t="shared" si="3"/>
        <v/>
      </c>
      <c r="E286" s="158" t="str">
        <f t="shared" si="4"/>
        <v/>
      </c>
      <c r="F286" s="158" t="str">
        <f t="shared" si="5"/>
        <v/>
      </c>
      <c r="G286" s="158" t="str">
        <f t="shared" si="6"/>
        <v/>
      </c>
      <c r="H286" s="158" t="b">
        <f t="shared" si="7"/>
        <v>1</v>
      </c>
      <c r="I286" s="158">
        <f t="shared" si="8"/>
        <v>175</v>
      </c>
      <c r="J286" s="158">
        <f>IFERROR(__xludf.DUMMYFUNCTION("IF(O286,LET(w,IFERROR(MATCH(N286,UNIQUE(FILTER($N$44:$N$408,$O$44:$O$408=TRUE)),0),""""),IF(OR(w="""",w&gt;$B$6),"""",w)),"""")"),35.0)</f>
        <v>35</v>
      </c>
      <c r="K286" s="158" t="str">
        <f t="shared" si="9"/>
        <v>Term 3</v>
      </c>
      <c r="L286" s="158">
        <f t="shared" si="10"/>
        <v>11</v>
      </c>
      <c r="M286" s="159" t="b">
        <f t="shared" si="11"/>
        <v>0</v>
      </c>
      <c r="N286" s="160">
        <f t="shared" si="12"/>
        <v>46482</v>
      </c>
      <c r="O286" s="163" t="b">
        <f t="shared" si="13"/>
        <v>1</v>
      </c>
      <c r="Q286" s="163">
        <f t="shared" si="14"/>
        <v>0</v>
      </c>
    </row>
    <row r="287" ht="15.75" customHeight="1">
      <c r="A287" s="174">
        <f t="shared" si="15"/>
        <v>46487</v>
      </c>
      <c r="B287" s="176" t="str">
        <f t="shared" si="1"/>
        <v>Saturday</v>
      </c>
      <c r="C287" s="158" t="b">
        <f t="shared" si="2"/>
        <v>0</v>
      </c>
      <c r="D287" s="158" t="str">
        <f t="shared" si="3"/>
        <v/>
      </c>
      <c r="E287" s="158" t="str">
        <f t="shared" si="4"/>
        <v/>
      </c>
      <c r="F287" s="158" t="str">
        <f t="shared" si="5"/>
        <v/>
      </c>
      <c r="G287" s="158" t="str">
        <f t="shared" si="6"/>
        <v/>
      </c>
      <c r="H287" s="158" t="b">
        <f t="shared" si="7"/>
        <v>0</v>
      </c>
      <c r="I287" s="158" t="str">
        <f t="shared" si="8"/>
        <v/>
      </c>
      <c r="J287" s="158">
        <f>IFERROR(__xludf.DUMMYFUNCTION("IF(O287,LET(w,IFERROR(MATCH(N287,UNIQUE(FILTER($N$44:$N$408,$O$44:$O$408=TRUE)),0),""""),IF(OR(w="""",w&gt;$B$6),"""",w)),"""")"),35.0)</f>
        <v>35</v>
      </c>
      <c r="K287" s="158" t="str">
        <f t="shared" si="9"/>
        <v>Term 3</v>
      </c>
      <c r="L287" s="158">
        <f t="shared" si="10"/>
        <v>11</v>
      </c>
      <c r="M287" s="159" t="b">
        <f t="shared" si="11"/>
        <v>0</v>
      </c>
      <c r="N287" s="160">
        <f t="shared" si="12"/>
        <v>46482</v>
      </c>
      <c r="O287" s="163" t="b">
        <f t="shared" si="13"/>
        <v>1</v>
      </c>
      <c r="Q287" s="163">
        <f t="shared" si="14"/>
        <v>0</v>
      </c>
    </row>
    <row r="288" ht="15.75" customHeight="1">
      <c r="A288" s="174">
        <f t="shared" si="15"/>
        <v>46488</v>
      </c>
      <c r="B288" s="176" t="str">
        <f t="shared" si="1"/>
        <v>Sunday</v>
      </c>
      <c r="C288" s="158" t="b">
        <f t="shared" si="2"/>
        <v>0</v>
      </c>
      <c r="D288" s="158" t="str">
        <f t="shared" si="3"/>
        <v/>
      </c>
      <c r="E288" s="158" t="str">
        <f t="shared" si="4"/>
        <v/>
      </c>
      <c r="F288" s="158" t="str">
        <f t="shared" si="5"/>
        <v/>
      </c>
      <c r="G288" s="158" t="str">
        <f t="shared" si="6"/>
        <v/>
      </c>
      <c r="H288" s="158" t="b">
        <f t="shared" si="7"/>
        <v>0</v>
      </c>
      <c r="I288" s="158" t="str">
        <f t="shared" si="8"/>
        <v/>
      </c>
      <c r="J288" s="158">
        <f>IFERROR(__xludf.DUMMYFUNCTION("IF(O288,LET(w,IFERROR(MATCH(N288,UNIQUE(FILTER($N$44:$N$408,$O$44:$O$408=TRUE)),0),""""),IF(OR(w="""",w&gt;$B$6),"""",w)),"""")"),35.0)</f>
        <v>35</v>
      </c>
      <c r="K288" s="158" t="str">
        <f t="shared" si="9"/>
        <v>Term 3</v>
      </c>
      <c r="L288" s="158">
        <f t="shared" si="10"/>
        <v>11</v>
      </c>
      <c r="M288" s="159" t="b">
        <f t="shared" si="11"/>
        <v>0</v>
      </c>
      <c r="N288" s="160">
        <f t="shared" si="12"/>
        <v>46482</v>
      </c>
      <c r="O288" s="163" t="b">
        <f t="shared" si="13"/>
        <v>1</v>
      </c>
      <c r="Q288" s="163">
        <f t="shared" si="14"/>
        <v>0</v>
      </c>
    </row>
    <row r="289" ht="15.75" customHeight="1">
      <c r="A289" s="174">
        <f t="shared" si="15"/>
        <v>46489</v>
      </c>
      <c r="B289" s="176" t="str">
        <f t="shared" si="1"/>
        <v>Monday</v>
      </c>
      <c r="C289" s="158" t="b">
        <f t="shared" si="2"/>
        <v>1</v>
      </c>
      <c r="D289" s="158" t="str">
        <f t="shared" si="3"/>
        <v/>
      </c>
      <c r="E289" s="158" t="str">
        <f t="shared" si="4"/>
        <v/>
      </c>
      <c r="F289" s="158" t="str">
        <f t="shared" si="5"/>
        <v/>
      </c>
      <c r="G289" s="158" t="str">
        <f t="shared" si="6"/>
        <v/>
      </c>
      <c r="H289" s="158" t="b">
        <f t="shared" si="7"/>
        <v>1</v>
      </c>
      <c r="I289" s="158">
        <f t="shared" si="8"/>
        <v>176</v>
      </c>
      <c r="J289" s="158">
        <f>IFERROR(__xludf.DUMMYFUNCTION("IF(O289,LET(w,IFERROR(MATCH(N289,UNIQUE(FILTER($N$44:$N$408,$O$44:$O$408=TRUE)),0),""""),IF(OR(w="""",w&gt;$B$6),"""",w)),"""")"),36.0)</f>
        <v>36</v>
      </c>
      <c r="K289" s="158" t="str">
        <f t="shared" si="9"/>
        <v>Term 3</v>
      </c>
      <c r="L289" s="158">
        <f t="shared" si="10"/>
        <v>12</v>
      </c>
      <c r="M289" s="159" t="b">
        <f t="shared" si="11"/>
        <v>1</v>
      </c>
      <c r="N289" s="160">
        <f t="shared" si="12"/>
        <v>46489</v>
      </c>
      <c r="O289" s="163" t="b">
        <f t="shared" si="13"/>
        <v>1</v>
      </c>
      <c r="Q289" s="163">
        <f t="shared" si="14"/>
        <v>0</v>
      </c>
    </row>
    <row r="290" ht="15.75" customHeight="1">
      <c r="A290" s="174">
        <f t="shared" si="15"/>
        <v>46490</v>
      </c>
      <c r="B290" s="176" t="str">
        <f t="shared" si="1"/>
        <v>Tuesday</v>
      </c>
      <c r="C290" s="158" t="b">
        <f t="shared" si="2"/>
        <v>1</v>
      </c>
      <c r="D290" s="158" t="str">
        <f t="shared" si="3"/>
        <v/>
      </c>
      <c r="E290" s="158" t="str">
        <f t="shared" si="4"/>
        <v/>
      </c>
      <c r="F290" s="158" t="str">
        <f t="shared" si="5"/>
        <v/>
      </c>
      <c r="G290" s="158" t="str">
        <f t="shared" si="6"/>
        <v/>
      </c>
      <c r="H290" s="158" t="b">
        <f t="shared" si="7"/>
        <v>1</v>
      </c>
      <c r="I290" s="158">
        <f t="shared" si="8"/>
        <v>177</v>
      </c>
      <c r="J290" s="158">
        <f>IFERROR(__xludf.DUMMYFUNCTION("IF(O290,LET(w,IFERROR(MATCH(N290,UNIQUE(FILTER($N$44:$N$408,$O$44:$O$408=TRUE)),0),""""),IF(OR(w="""",w&gt;$B$6),"""",w)),"""")"),36.0)</f>
        <v>36</v>
      </c>
      <c r="K290" s="158" t="str">
        <f t="shared" si="9"/>
        <v>Term 3</v>
      </c>
      <c r="L290" s="158">
        <f t="shared" si="10"/>
        <v>12</v>
      </c>
      <c r="M290" s="159" t="b">
        <f t="shared" si="11"/>
        <v>1</v>
      </c>
      <c r="N290" s="160">
        <f t="shared" si="12"/>
        <v>46489</v>
      </c>
      <c r="O290" s="163" t="b">
        <f t="shared" si="13"/>
        <v>1</v>
      </c>
      <c r="Q290" s="163">
        <f t="shared" si="14"/>
        <v>0</v>
      </c>
    </row>
    <row r="291" ht="15.75" customHeight="1">
      <c r="A291" s="174">
        <f t="shared" si="15"/>
        <v>46491</v>
      </c>
      <c r="B291" s="176" t="str">
        <f t="shared" si="1"/>
        <v>Wednesday</v>
      </c>
      <c r="C291" s="158" t="b">
        <f t="shared" si="2"/>
        <v>1</v>
      </c>
      <c r="D291" s="158" t="str">
        <f t="shared" si="3"/>
        <v/>
      </c>
      <c r="E291" s="158" t="str">
        <f t="shared" si="4"/>
        <v/>
      </c>
      <c r="F291" s="158" t="str">
        <f t="shared" si="5"/>
        <v/>
      </c>
      <c r="G291" s="158" t="str">
        <f t="shared" si="6"/>
        <v/>
      </c>
      <c r="H291" s="158" t="b">
        <f t="shared" si="7"/>
        <v>1</v>
      </c>
      <c r="I291" s="158">
        <f t="shared" si="8"/>
        <v>178</v>
      </c>
      <c r="J291" s="158">
        <f>IFERROR(__xludf.DUMMYFUNCTION("IF(O291,LET(w,IFERROR(MATCH(N291,UNIQUE(FILTER($N$44:$N$408,$O$44:$O$408=TRUE)),0),""""),IF(OR(w="""",w&gt;$B$6),"""",w)),"""")"),36.0)</f>
        <v>36</v>
      </c>
      <c r="K291" s="158" t="str">
        <f t="shared" si="9"/>
        <v>Term 3</v>
      </c>
      <c r="L291" s="158">
        <f t="shared" si="10"/>
        <v>12</v>
      </c>
      <c r="M291" s="159" t="b">
        <f t="shared" si="11"/>
        <v>1</v>
      </c>
      <c r="N291" s="160">
        <f t="shared" si="12"/>
        <v>46489</v>
      </c>
      <c r="O291" s="163" t="b">
        <f t="shared" si="13"/>
        <v>1</v>
      </c>
      <c r="Q291" s="163">
        <f t="shared" si="14"/>
        <v>0</v>
      </c>
    </row>
    <row r="292" ht="15.75" customHeight="1">
      <c r="A292" s="174">
        <f t="shared" si="15"/>
        <v>46492</v>
      </c>
      <c r="B292" s="176" t="str">
        <f t="shared" si="1"/>
        <v>Thursday</v>
      </c>
      <c r="C292" s="158" t="b">
        <f t="shared" si="2"/>
        <v>1</v>
      </c>
      <c r="D292" s="158" t="str">
        <f t="shared" si="3"/>
        <v/>
      </c>
      <c r="E292" s="158" t="str">
        <f t="shared" si="4"/>
        <v/>
      </c>
      <c r="F292" s="158" t="str">
        <f t="shared" si="5"/>
        <v/>
      </c>
      <c r="G292" s="158" t="str">
        <f t="shared" si="6"/>
        <v/>
      </c>
      <c r="H292" s="158" t="b">
        <f t="shared" si="7"/>
        <v>1</v>
      </c>
      <c r="I292" s="158">
        <f t="shared" si="8"/>
        <v>179</v>
      </c>
      <c r="J292" s="158">
        <f>IFERROR(__xludf.DUMMYFUNCTION("IF(O292,LET(w,IFERROR(MATCH(N292,UNIQUE(FILTER($N$44:$N$408,$O$44:$O$408=TRUE)),0),""""),IF(OR(w="""",w&gt;$B$6),"""",w)),"""")"),36.0)</f>
        <v>36</v>
      </c>
      <c r="K292" s="158" t="str">
        <f t="shared" si="9"/>
        <v>Term 3</v>
      </c>
      <c r="L292" s="158">
        <f t="shared" si="10"/>
        <v>12</v>
      </c>
      <c r="M292" s="159" t="b">
        <f t="shared" si="11"/>
        <v>1</v>
      </c>
      <c r="N292" s="160">
        <f t="shared" si="12"/>
        <v>46489</v>
      </c>
      <c r="O292" s="163" t="b">
        <f t="shared" si="13"/>
        <v>1</v>
      </c>
      <c r="Q292" s="163">
        <f t="shared" si="14"/>
        <v>0</v>
      </c>
    </row>
    <row r="293" ht="15.75" customHeight="1">
      <c r="A293" s="174">
        <f t="shared" si="15"/>
        <v>46493</v>
      </c>
      <c r="B293" s="176" t="str">
        <f t="shared" si="1"/>
        <v>Friday</v>
      </c>
      <c r="C293" s="158" t="b">
        <f t="shared" si="2"/>
        <v>1</v>
      </c>
      <c r="D293" s="158" t="str">
        <f t="shared" si="3"/>
        <v/>
      </c>
      <c r="E293" s="158" t="str">
        <f t="shared" si="4"/>
        <v/>
      </c>
      <c r="F293" s="158" t="str">
        <f t="shared" si="5"/>
        <v/>
      </c>
      <c r="G293" s="158" t="str">
        <f t="shared" si="6"/>
        <v/>
      </c>
      <c r="H293" s="158" t="b">
        <f t="shared" si="7"/>
        <v>1</v>
      </c>
      <c r="I293" s="158">
        <f t="shared" si="8"/>
        <v>180</v>
      </c>
      <c r="J293" s="158">
        <f>IFERROR(__xludf.DUMMYFUNCTION("IF(O293,LET(w,IFERROR(MATCH(N293,UNIQUE(FILTER($N$44:$N$408,$O$44:$O$408=TRUE)),0),""""),IF(OR(w="""",w&gt;$B$6),"""",w)),"""")"),36.0)</f>
        <v>36</v>
      </c>
      <c r="K293" s="158" t="str">
        <f t="shared" si="9"/>
        <v>Term 3</v>
      </c>
      <c r="L293" s="158">
        <f t="shared" si="10"/>
        <v>12</v>
      </c>
      <c r="M293" s="159" t="b">
        <f t="shared" si="11"/>
        <v>1</v>
      </c>
      <c r="N293" s="160">
        <f t="shared" si="12"/>
        <v>46489</v>
      </c>
      <c r="O293" s="163" t="b">
        <f t="shared" si="13"/>
        <v>1</v>
      </c>
      <c r="Q293" s="163">
        <f t="shared" si="14"/>
        <v>0</v>
      </c>
    </row>
    <row r="294" ht="15.75" customHeight="1">
      <c r="A294" s="174">
        <f t="shared" si="15"/>
        <v>46494</v>
      </c>
      <c r="B294" s="176" t="str">
        <f t="shared" si="1"/>
        <v>Saturday</v>
      </c>
      <c r="C294" s="158" t="b">
        <f t="shared" si="2"/>
        <v>0</v>
      </c>
      <c r="D294" s="158" t="str">
        <f t="shared" si="3"/>
        <v/>
      </c>
      <c r="E294" s="158" t="str">
        <f t="shared" si="4"/>
        <v/>
      </c>
      <c r="F294" s="158" t="str">
        <f t="shared" si="5"/>
        <v/>
      </c>
      <c r="G294" s="158" t="str">
        <f t="shared" si="6"/>
        <v/>
      </c>
      <c r="H294" s="158" t="b">
        <f t="shared" si="7"/>
        <v>0</v>
      </c>
      <c r="I294" s="158" t="str">
        <f t="shared" si="8"/>
        <v/>
      </c>
      <c r="J294" s="158">
        <f>IFERROR(__xludf.DUMMYFUNCTION("IF(O294,LET(w,IFERROR(MATCH(N294,UNIQUE(FILTER($N$44:$N$408,$O$44:$O$408=TRUE)),0),""""),IF(OR(w="""",w&gt;$B$6),"""",w)),"""")"),36.0)</f>
        <v>36</v>
      </c>
      <c r="K294" s="158" t="str">
        <f t="shared" si="9"/>
        <v>Term 3</v>
      </c>
      <c r="L294" s="158">
        <f t="shared" si="10"/>
        <v>12</v>
      </c>
      <c r="M294" s="159" t="b">
        <f t="shared" si="11"/>
        <v>1</v>
      </c>
      <c r="N294" s="160">
        <f t="shared" si="12"/>
        <v>46489</v>
      </c>
      <c r="O294" s="163" t="b">
        <f t="shared" si="13"/>
        <v>1</v>
      </c>
      <c r="Q294" s="163">
        <f t="shared" si="14"/>
        <v>0</v>
      </c>
    </row>
    <row r="295" ht="15.75" customHeight="1">
      <c r="A295" s="174">
        <f t="shared" si="15"/>
        <v>46495</v>
      </c>
      <c r="B295" s="176" t="str">
        <f t="shared" si="1"/>
        <v>Sunday</v>
      </c>
      <c r="C295" s="158" t="b">
        <f t="shared" si="2"/>
        <v>0</v>
      </c>
      <c r="D295" s="158" t="str">
        <f t="shared" si="3"/>
        <v/>
      </c>
      <c r="E295" s="158" t="str">
        <f t="shared" si="4"/>
        <v/>
      </c>
      <c r="F295" s="158" t="str">
        <f t="shared" si="5"/>
        <v/>
      </c>
      <c r="G295" s="158" t="str">
        <f t="shared" si="6"/>
        <v/>
      </c>
      <c r="H295" s="158" t="b">
        <f t="shared" si="7"/>
        <v>0</v>
      </c>
      <c r="I295" s="158" t="str">
        <f t="shared" si="8"/>
        <v/>
      </c>
      <c r="J295" s="158">
        <f>IFERROR(__xludf.DUMMYFUNCTION("IF(O295,LET(w,IFERROR(MATCH(N295,UNIQUE(FILTER($N$44:$N$408,$O$44:$O$408=TRUE)),0),""""),IF(OR(w="""",w&gt;$B$6),"""",w)),"""")"),36.0)</f>
        <v>36</v>
      </c>
      <c r="K295" s="158" t="str">
        <f t="shared" si="9"/>
        <v>Term 3</v>
      </c>
      <c r="L295" s="158">
        <f t="shared" si="10"/>
        <v>12</v>
      </c>
      <c r="M295" s="159" t="b">
        <f t="shared" si="11"/>
        <v>1</v>
      </c>
      <c r="N295" s="160">
        <f t="shared" si="12"/>
        <v>46489</v>
      </c>
      <c r="O295" s="163" t="b">
        <f t="shared" si="13"/>
        <v>1</v>
      </c>
      <c r="Q295" s="163">
        <f t="shared" si="14"/>
        <v>0</v>
      </c>
    </row>
    <row r="296" ht="15.75" customHeight="1">
      <c r="A296" s="174">
        <f t="shared" si="15"/>
        <v>46496</v>
      </c>
      <c r="B296" s="176" t="str">
        <f t="shared" si="1"/>
        <v>Monday</v>
      </c>
      <c r="C296" s="158" t="b">
        <f t="shared" si="2"/>
        <v>1</v>
      </c>
      <c r="D296" s="158" t="str">
        <f t="shared" si="3"/>
        <v/>
      </c>
      <c r="E296" s="158" t="str">
        <f t="shared" si="4"/>
        <v/>
      </c>
      <c r="F296" s="158" t="str">
        <f t="shared" si="5"/>
        <v/>
      </c>
      <c r="G296" s="158" t="str">
        <f t="shared" si="6"/>
        <v/>
      </c>
      <c r="H296" s="158" t="b">
        <f t="shared" si="7"/>
        <v>1</v>
      </c>
      <c r="I296" s="158">
        <f t="shared" si="8"/>
        <v>181</v>
      </c>
      <c r="J296" s="158" t="str">
        <f>IFERROR(__xludf.DUMMYFUNCTION("IF(O296,LET(w,IFERROR(MATCH(N296,UNIQUE(FILTER($N$44:$N$408,$O$44:$O$408=TRUE)),0),""""),IF(OR(w="""",w&gt;$B$6),"""",w)),"""")"),"")</f>
        <v/>
      </c>
      <c r="K296" s="158" t="str">
        <f t="shared" si="9"/>
        <v/>
      </c>
      <c r="L296" s="158" t="str">
        <f t="shared" si="10"/>
        <v/>
      </c>
      <c r="M296" s="159" t="b">
        <f t="shared" si="11"/>
        <v>0</v>
      </c>
      <c r="N296" s="160">
        <f t="shared" si="12"/>
        <v>46496</v>
      </c>
      <c r="O296" s="163" t="b">
        <f t="shared" si="13"/>
        <v>1</v>
      </c>
      <c r="Q296" s="163">
        <f t="shared" si="14"/>
        <v>0</v>
      </c>
    </row>
    <row r="297" ht="15.75" customHeight="1">
      <c r="A297" s="174">
        <f t="shared" si="15"/>
        <v>46497</v>
      </c>
      <c r="B297" s="176" t="str">
        <f t="shared" si="1"/>
        <v>Tuesday</v>
      </c>
      <c r="C297" s="158" t="b">
        <f t="shared" si="2"/>
        <v>1</v>
      </c>
      <c r="D297" s="158" t="str">
        <f t="shared" si="3"/>
        <v/>
      </c>
      <c r="E297" s="158" t="str">
        <f t="shared" si="4"/>
        <v/>
      </c>
      <c r="F297" s="158" t="str">
        <f t="shared" si="5"/>
        <v/>
      </c>
      <c r="G297" s="158" t="str">
        <f t="shared" si="6"/>
        <v/>
      </c>
      <c r="H297" s="158" t="b">
        <f t="shared" si="7"/>
        <v>1</v>
      </c>
      <c r="I297" s="158">
        <f t="shared" si="8"/>
        <v>182</v>
      </c>
      <c r="J297" s="158" t="str">
        <f>IFERROR(__xludf.DUMMYFUNCTION("IF(O297,LET(w,IFERROR(MATCH(N297,UNIQUE(FILTER($N$44:$N$408,$O$44:$O$408=TRUE)),0),""""),IF(OR(w="""",w&gt;$B$6),"""",w)),"""")"),"")</f>
        <v/>
      </c>
      <c r="K297" s="158" t="str">
        <f t="shared" si="9"/>
        <v/>
      </c>
      <c r="L297" s="158" t="str">
        <f t="shared" si="10"/>
        <v/>
      </c>
      <c r="M297" s="159" t="b">
        <f t="shared" si="11"/>
        <v>0</v>
      </c>
      <c r="N297" s="160">
        <f t="shared" si="12"/>
        <v>46496</v>
      </c>
      <c r="O297" s="163" t="b">
        <f t="shared" si="13"/>
        <v>1</v>
      </c>
      <c r="Q297" s="163">
        <f t="shared" si="14"/>
        <v>0</v>
      </c>
    </row>
    <row r="298" ht="15.75" customHeight="1">
      <c r="A298" s="174">
        <f t="shared" si="15"/>
        <v>46498</v>
      </c>
      <c r="B298" s="176" t="str">
        <f t="shared" si="1"/>
        <v>Wednesday</v>
      </c>
      <c r="C298" s="158" t="b">
        <f t="shared" si="2"/>
        <v>1</v>
      </c>
      <c r="D298" s="158" t="str">
        <f t="shared" si="3"/>
        <v/>
      </c>
      <c r="E298" s="158" t="str">
        <f t="shared" si="4"/>
        <v/>
      </c>
      <c r="F298" s="158" t="str">
        <f t="shared" si="5"/>
        <v/>
      </c>
      <c r="G298" s="158" t="str">
        <f t="shared" si="6"/>
        <v/>
      </c>
      <c r="H298" s="158" t="b">
        <f t="shared" si="7"/>
        <v>1</v>
      </c>
      <c r="I298" s="158">
        <f t="shared" si="8"/>
        <v>183</v>
      </c>
      <c r="J298" s="158" t="str">
        <f>IFERROR(__xludf.DUMMYFUNCTION("IF(O298,LET(w,IFERROR(MATCH(N298,UNIQUE(FILTER($N$44:$N$408,$O$44:$O$408=TRUE)),0),""""),IF(OR(w="""",w&gt;$B$6),"""",w)),"""")"),"")</f>
        <v/>
      </c>
      <c r="K298" s="158" t="str">
        <f t="shared" si="9"/>
        <v/>
      </c>
      <c r="L298" s="158" t="str">
        <f t="shared" si="10"/>
        <v/>
      </c>
      <c r="M298" s="159" t="b">
        <f t="shared" si="11"/>
        <v>0</v>
      </c>
      <c r="N298" s="160">
        <f t="shared" si="12"/>
        <v>46496</v>
      </c>
      <c r="O298" s="163" t="b">
        <f t="shared" si="13"/>
        <v>1</v>
      </c>
      <c r="Q298" s="163">
        <f t="shared" si="14"/>
        <v>0</v>
      </c>
    </row>
    <row r="299" ht="15.75" customHeight="1">
      <c r="A299" s="174">
        <f t="shared" si="15"/>
        <v>46499</v>
      </c>
      <c r="B299" s="176" t="str">
        <f t="shared" si="1"/>
        <v>Thursday</v>
      </c>
      <c r="C299" s="158" t="b">
        <f t="shared" si="2"/>
        <v>1</v>
      </c>
      <c r="D299" s="158" t="str">
        <f t="shared" si="3"/>
        <v/>
      </c>
      <c r="E299" s="158" t="str">
        <f t="shared" si="4"/>
        <v/>
      </c>
      <c r="F299" s="158" t="str">
        <f t="shared" si="5"/>
        <v/>
      </c>
      <c r="G299" s="158" t="str">
        <f t="shared" si="6"/>
        <v/>
      </c>
      <c r="H299" s="158" t="b">
        <f t="shared" si="7"/>
        <v>1</v>
      </c>
      <c r="I299" s="158">
        <f t="shared" si="8"/>
        <v>184</v>
      </c>
      <c r="J299" s="158" t="str">
        <f>IFERROR(__xludf.DUMMYFUNCTION("IF(O299,LET(w,IFERROR(MATCH(N299,UNIQUE(FILTER($N$44:$N$408,$O$44:$O$408=TRUE)),0),""""),IF(OR(w="""",w&gt;$B$6),"""",w)),"""")"),"")</f>
        <v/>
      </c>
      <c r="K299" s="158" t="str">
        <f t="shared" si="9"/>
        <v/>
      </c>
      <c r="L299" s="158" t="str">
        <f t="shared" si="10"/>
        <v/>
      </c>
      <c r="M299" s="159" t="b">
        <f t="shared" si="11"/>
        <v>0</v>
      </c>
      <c r="N299" s="160">
        <f t="shared" si="12"/>
        <v>46496</v>
      </c>
      <c r="O299" s="163" t="b">
        <f t="shared" si="13"/>
        <v>1</v>
      </c>
      <c r="Q299" s="163">
        <f t="shared" si="14"/>
        <v>0</v>
      </c>
    </row>
    <row r="300" ht="15.75" customHeight="1">
      <c r="A300" s="174">
        <f t="shared" si="15"/>
        <v>46500</v>
      </c>
      <c r="B300" s="176" t="str">
        <f t="shared" si="1"/>
        <v>Friday</v>
      </c>
      <c r="C300" s="158" t="b">
        <f t="shared" si="2"/>
        <v>1</v>
      </c>
      <c r="D300" s="158" t="str">
        <f t="shared" si="3"/>
        <v/>
      </c>
      <c r="E300" s="158" t="str">
        <f t="shared" si="4"/>
        <v/>
      </c>
      <c r="F300" s="158" t="str">
        <f t="shared" si="5"/>
        <v/>
      </c>
      <c r="G300" s="158" t="str">
        <f t="shared" si="6"/>
        <v/>
      </c>
      <c r="H300" s="158" t="b">
        <f t="shared" si="7"/>
        <v>1</v>
      </c>
      <c r="I300" s="158">
        <f t="shared" si="8"/>
        <v>185</v>
      </c>
      <c r="J300" s="158" t="str">
        <f>IFERROR(__xludf.DUMMYFUNCTION("IF(O300,LET(w,IFERROR(MATCH(N300,UNIQUE(FILTER($N$44:$N$408,$O$44:$O$408=TRUE)),0),""""),IF(OR(w="""",w&gt;$B$6),"""",w)),"""")"),"")</f>
        <v/>
      </c>
      <c r="K300" s="158" t="str">
        <f t="shared" si="9"/>
        <v/>
      </c>
      <c r="L300" s="158" t="str">
        <f t="shared" si="10"/>
        <v/>
      </c>
      <c r="M300" s="159" t="b">
        <f t="shared" si="11"/>
        <v>0</v>
      </c>
      <c r="N300" s="160">
        <f t="shared" si="12"/>
        <v>46496</v>
      </c>
      <c r="O300" s="163" t="b">
        <f t="shared" si="13"/>
        <v>1</v>
      </c>
      <c r="Q300" s="163">
        <f t="shared" si="14"/>
        <v>0</v>
      </c>
    </row>
    <row r="301" ht="15.75" customHeight="1">
      <c r="A301" s="174">
        <f t="shared" si="15"/>
        <v>46501</v>
      </c>
      <c r="B301" s="176" t="str">
        <f t="shared" si="1"/>
        <v>Saturday</v>
      </c>
      <c r="C301" s="158" t="b">
        <f t="shared" si="2"/>
        <v>0</v>
      </c>
      <c r="D301" s="158" t="str">
        <f t="shared" si="3"/>
        <v/>
      </c>
      <c r="E301" s="158" t="str">
        <f t="shared" si="4"/>
        <v/>
      </c>
      <c r="F301" s="158" t="str">
        <f t="shared" si="5"/>
        <v/>
      </c>
      <c r="G301" s="158" t="str">
        <f t="shared" si="6"/>
        <v/>
      </c>
      <c r="H301" s="158" t="b">
        <f t="shared" si="7"/>
        <v>0</v>
      </c>
      <c r="I301" s="158" t="str">
        <f t="shared" si="8"/>
        <v/>
      </c>
      <c r="J301" s="158" t="str">
        <f>IFERROR(__xludf.DUMMYFUNCTION("IF(O301,LET(w,IFERROR(MATCH(N301,UNIQUE(FILTER($N$44:$N$408,$O$44:$O$408=TRUE)),0),""""),IF(OR(w="""",w&gt;$B$6),"""",w)),"""")"),"")</f>
        <v/>
      </c>
      <c r="K301" s="158" t="str">
        <f t="shared" si="9"/>
        <v/>
      </c>
      <c r="L301" s="158" t="str">
        <f t="shared" si="10"/>
        <v/>
      </c>
      <c r="M301" s="159" t="b">
        <f t="shared" si="11"/>
        <v>0</v>
      </c>
      <c r="N301" s="160">
        <f t="shared" si="12"/>
        <v>46496</v>
      </c>
      <c r="O301" s="163" t="b">
        <f t="shared" si="13"/>
        <v>1</v>
      </c>
      <c r="Q301" s="163">
        <f t="shared" si="14"/>
        <v>0</v>
      </c>
    </row>
    <row r="302" ht="15.75" customHeight="1">
      <c r="A302" s="174">
        <f t="shared" si="15"/>
        <v>46502</v>
      </c>
      <c r="B302" s="176" t="str">
        <f t="shared" si="1"/>
        <v>Sunday</v>
      </c>
      <c r="C302" s="158" t="b">
        <f t="shared" si="2"/>
        <v>0</v>
      </c>
      <c r="D302" s="158" t="str">
        <f t="shared" si="3"/>
        <v/>
      </c>
      <c r="E302" s="158" t="str">
        <f t="shared" si="4"/>
        <v/>
      </c>
      <c r="F302" s="158" t="str">
        <f t="shared" si="5"/>
        <v/>
      </c>
      <c r="G302" s="158" t="str">
        <f t="shared" si="6"/>
        <v/>
      </c>
      <c r="H302" s="158" t="b">
        <f t="shared" si="7"/>
        <v>0</v>
      </c>
      <c r="I302" s="158" t="str">
        <f t="shared" si="8"/>
        <v/>
      </c>
      <c r="J302" s="158" t="str">
        <f>IFERROR(__xludf.DUMMYFUNCTION("IF(O302,LET(w,IFERROR(MATCH(N302,UNIQUE(FILTER($N$44:$N$408,$O$44:$O$408=TRUE)),0),""""),IF(OR(w="""",w&gt;$B$6),"""",w)),"""")"),"")</f>
        <v/>
      </c>
      <c r="K302" s="158" t="str">
        <f t="shared" si="9"/>
        <v/>
      </c>
      <c r="L302" s="158" t="str">
        <f t="shared" si="10"/>
        <v/>
      </c>
      <c r="M302" s="159" t="b">
        <f t="shared" si="11"/>
        <v>0</v>
      </c>
      <c r="N302" s="160">
        <f t="shared" si="12"/>
        <v>46496</v>
      </c>
      <c r="O302" s="163" t="b">
        <f t="shared" si="13"/>
        <v>1</v>
      </c>
      <c r="Q302" s="163">
        <f t="shared" si="14"/>
        <v>0</v>
      </c>
    </row>
    <row r="303" ht="15.75" customHeight="1">
      <c r="A303" s="174">
        <f t="shared" si="15"/>
        <v>46503</v>
      </c>
      <c r="B303" s="176" t="str">
        <f t="shared" si="1"/>
        <v>Monday</v>
      </c>
      <c r="C303" s="158" t="b">
        <f t="shared" si="2"/>
        <v>1</v>
      </c>
      <c r="D303" s="158" t="str">
        <f t="shared" si="3"/>
        <v/>
      </c>
      <c r="E303" s="158" t="str">
        <f t="shared" si="4"/>
        <v/>
      </c>
      <c r="F303" s="158" t="str">
        <f t="shared" si="5"/>
        <v/>
      </c>
      <c r="G303" s="158" t="str">
        <f t="shared" si="6"/>
        <v/>
      </c>
      <c r="H303" s="158" t="b">
        <f t="shared" si="7"/>
        <v>1</v>
      </c>
      <c r="I303" s="158">
        <f t="shared" si="8"/>
        <v>186</v>
      </c>
      <c r="J303" s="158" t="str">
        <f>IFERROR(__xludf.DUMMYFUNCTION("IF(O303,LET(w,IFERROR(MATCH(N303,UNIQUE(FILTER($N$44:$N$408,$O$44:$O$408=TRUE)),0),""""),IF(OR(w="""",w&gt;$B$6),"""",w)),"""")"),"")</f>
        <v/>
      </c>
      <c r="K303" s="158" t="str">
        <f t="shared" si="9"/>
        <v/>
      </c>
      <c r="L303" s="158" t="str">
        <f t="shared" si="10"/>
        <v/>
      </c>
      <c r="M303" s="159" t="b">
        <f t="shared" si="11"/>
        <v>0</v>
      </c>
      <c r="N303" s="160">
        <f t="shared" si="12"/>
        <v>46503</v>
      </c>
      <c r="O303" s="163" t="b">
        <f t="shared" si="13"/>
        <v>1</v>
      </c>
      <c r="Q303" s="163">
        <f t="shared" si="14"/>
        <v>0</v>
      </c>
    </row>
    <row r="304" ht="15.75" customHeight="1">
      <c r="A304" s="174">
        <f t="shared" si="15"/>
        <v>46504</v>
      </c>
      <c r="B304" s="176" t="str">
        <f t="shared" si="1"/>
        <v>Tuesday</v>
      </c>
      <c r="C304" s="158" t="b">
        <f t="shared" si="2"/>
        <v>1</v>
      </c>
      <c r="D304" s="158" t="str">
        <f t="shared" si="3"/>
        <v/>
      </c>
      <c r="E304" s="158" t="str">
        <f t="shared" si="4"/>
        <v/>
      </c>
      <c r="F304" s="158" t="str">
        <f t="shared" si="5"/>
        <v/>
      </c>
      <c r="G304" s="158" t="str">
        <f t="shared" si="6"/>
        <v/>
      </c>
      <c r="H304" s="158" t="b">
        <f t="shared" si="7"/>
        <v>1</v>
      </c>
      <c r="I304" s="158">
        <f t="shared" si="8"/>
        <v>187</v>
      </c>
      <c r="J304" s="158" t="str">
        <f>IFERROR(__xludf.DUMMYFUNCTION("IF(O304,LET(w,IFERROR(MATCH(N304,UNIQUE(FILTER($N$44:$N$408,$O$44:$O$408=TRUE)),0),""""),IF(OR(w="""",w&gt;$B$6),"""",w)),"""")"),"")</f>
        <v/>
      </c>
      <c r="K304" s="158" t="str">
        <f t="shared" si="9"/>
        <v/>
      </c>
      <c r="L304" s="158" t="str">
        <f t="shared" si="10"/>
        <v/>
      </c>
      <c r="M304" s="159" t="b">
        <f t="shared" si="11"/>
        <v>0</v>
      </c>
      <c r="N304" s="160">
        <f t="shared" si="12"/>
        <v>46503</v>
      </c>
      <c r="O304" s="163" t="b">
        <f t="shared" si="13"/>
        <v>1</v>
      </c>
      <c r="Q304" s="163">
        <f t="shared" si="14"/>
        <v>0</v>
      </c>
    </row>
    <row r="305" ht="15.75" customHeight="1">
      <c r="A305" s="174">
        <f t="shared" si="15"/>
        <v>46505</v>
      </c>
      <c r="B305" s="176" t="str">
        <f t="shared" si="1"/>
        <v>Wednesday</v>
      </c>
      <c r="C305" s="158" t="b">
        <f t="shared" si="2"/>
        <v>1</v>
      </c>
      <c r="D305" s="158" t="str">
        <f t="shared" si="3"/>
        <v/>
      </c>
      <c r="E305" s="158" t="str">
        <f t="shared" si="4"/>
        <v/>
      </c>
      <c r="F305" s="158" t="str">
        <f t="shared" si="5"/>
        <v/>
      </c>
      <c r="G305" s="158" t="str">
        <f t="shared" si="6"/>
        <v/>
      </c>
      <c r="H305" s="158" t="b">
        <f t="shared" si="7"/>
        <v>1</v>
      </c>
      <c r="I305" s="158">
        <f t="shared" si="8"/>
        <v>188</v>
      </c>
      <c r="J305" s="158" t="str">
        <f>IFERROR(__xludf.DUMMYFUNCTION("IF(O305,LET(w,IFERROR(MATCH(N305,UNIQUE(FILTER($N$44:$N$408,$O$44:$O$408=TRUE)),0),""""),IF(OR(w="""",w&gt;$B$6),"""",w)),"""")"),"")</f>
        <v/>
      </c>
      <c r="K305" s="158" t="str">
        <f t="shared" si="9"/>
        <v/>
      </c>
      <c r="L305" s="158" t="str">
        <f t="shared" si="10"/>
        <v/>
      </c>
      <c r="M305" s="159" t="b">
        <f t="shared" si="11"/>
        <v>0</v>
      </c>
      <c r="N305" s="160">
        <f t="shared" si="12"/>
        <v>46503</v>
      </c>
      <c r="O305" s="163" t="b">
        <f t="shared" si="13"/>
        <v>1</v>
      </c>
      <c r="Q305" s="163">
        <f t="shared" si="14"/>
        <v>0</v>
      </c>
    </row>
    <row r="306" ht="15.75" customHeight="1">
      <c r="A306" s="174">
        <f t="shared" si="15"/>
        <v>46506</v>
      </c>
      <c r="B306" s="176" t="str">
        <f t="shared" si="1"/>
        <v>Thursday</v>
      </c>
      <c r="C306" s="158" t="b">
        <f t="shared" si="2"/>
        <v>1</v>
      </c>
      <c r="D306" s="158" t="str">
        <f t="shared" si="3"/>
        <v/>
      </c>
      <c r="E306" s="158" t="str">
        <f t="shared" si="4"/>
        <v/>
      </c>
      <c r="F306" s="158" t="str">
        <f t="shared" si="5"/>
        <v/>
      </c>
      <c r="G306" s="158" t="str">
        <f t="shared" si="6"/>
        <v/>
      </c>
      <c r="H306" s="158" t="b">
        <f t="shared" si="7"/>
        <v>1</v>
      </c>
      <c r="I306" s="158">
        <f t="shared" si="8"/>
        <v>189</v>
      </c>
      <c r="J306" s="158" t="str">
        <f>IFERROR(__xludf.DUMMYFUNCTION("IF(O306,LET(w,IFERROR(MATCH(N306,UNIQUE(FILTER($N$44:$N$408,$O$44:$O$408=TRUE)),0),""""),IF(OR(w="""",w&gt;$B$6),"""",w)),"""")"),"")</f>
        <v/>
      </c>
      <c r="K306" s="158" t="str">
        <f t="shared" si="9"/>
        <v/>
      </c>
      <c r="L306" s="158" t="str">
        <f t="shared" si="10"/>
        <v/>
      </c>
      <c r="M306" s="159" t="b">
        <f t="shared" si="11"/>
        <v>0</v>
      </c>
      <c r="N306" s="160">
        <f t="shared" si="12"/>
        <v>46503</v>
      </c>
      <c r="O306" s="163" t="b">
        <f t="shared" si="13"/>
        <v>1</v>
      </c>
      <c r="Q306" s="163">
        <f t="shared" si="14"/>
        <v>0</v>
      </c>
    </row>
    <row r="307" ht="15.75" customHeight="1">
      <c r="A307" s="174">
        <f t="shared" si="15"/>
        <v>46507</v>
      </c>
      <c r="B307" s="176" t="str">
        <f t="shared" si="1"/>
        <v>Friday</v>
      </c>
      <c r="C307" s="158" t="b">
        <f t="shared" si="2"/>
        <v>1</v>
      </c>
      <c r="D307" s="158" t="str">
        <f t="shared" si="3"/>
        <v/>
      </c>
      <c r="E307" s="158" t="str">
        <f t="shared" si="4"/>
        <v/>
      </c>
      <c r="F307" s="158" t="str">
        <f t="shared" si="5"/>
        <v/>
      </c>
      <c r="G307" s="158" t="str">
        <f t="shared" si="6"/>
        <v/>
      </c>
      <c r="H307" s="158" t="b">
        <f t="shared" si="7"/>
        <v>1</v>
      </c>
      <c r="I307" s="158">
        <f t="shared" si="8"/>
        <v>190</v>
      </c>
      <c r="J307" s="158" t="str">
        <f>IFERROR(__xludf.DUMMYFUNCTION("IF(O307,LET(w,IFERROR(MATCH(N307,UNIQUE(FILTER($N$44:$N$408,$O$44:$O$408=TRUE)),0),""""),IF(OR(w="""",w&gt;$B$6),"""",w)),"""")"),"")</f>
        <v/>
      </c>
      <c r="K307" s="158" t="str">
        <f t="shared" si="9"/>
        <v/>
      </c>
      <c r="L307" s="158" t="str">
        <f t="shared" si="10"/>
        <v/>
      </c>
      <c r="M307" s="159" t="b">
        <f t="shared" si="11"/>
        <v>0</v>
      </c>
      <c r="N307" s="160">
        <f t="shared" si="12"/>
        <v>46503</v>
      </c>
      <c r="O307" s="163" t="b">
        <f t="shared" si="13"/>
        <v>1</v>
      </c>
      <c r="Q307" s="163">
        <f t="shared" si="14"/>
        <v>0</v>
      </c>
    </row>
    <row r="308" ht="15.75" customHeight="1">
      <c r="A308" s="174">
        <f t="shared" si="15"/>
        <v>46508</v>
      </c>
      <c r="B308" s="176" t="str">
        <f t="shared" si="1"/>
        <v>Saturday</v>
      </c>
      <c r="C308" s="158" t="b">
        <f t="shared" si="2"/>
        <v>0</v>
      </c>
      <c r="D308" s="158" t="str">
        <f t="shared" si="3"/>
        <v/>
      </c>
      <c r="E308" s="158" t="str">
        <f t="shared" si="4"/>
        <v/>
      </c>
      <c r="F308" s="158" t="str">
        <f t="shared" si="5"/>
        <v/>
      </c>
      <c r="G308" s="158" t="str">
        <f t="shared" si="6"/>
        <v/>
      </c>
      <c r="H308" s="158" t="b">
        <f t="shared" si="7"/>
        <v>0</v>
      </c>
      <c r="I308" s="158" t="str">
        <f t="shared" si="8"/>
        <v/>
      </c>
      <c r="J308" s="158" t="str">
        <f>IFERROR(__xludf.DUMMYFUNCTION("IF(O308,LET(w,IFERROR(MATCH(N308,UNIQUE(FILTER($N$44:$N$408,$O$44:$O$408=TRUE)),0),""""),IF(OR(w="""",w&gt;$B$6),"""",w)),"""")"),"")</f>
        <v/>
      </c>
      <c r="K308" s="158" t="str">
        <f t="shared" si="9"/>
        <v/>
      </c>
      <c r="L308" s="158" t="str">
        <f t="shared" si="10"/>
        <v/>
      </c>
      <c r="M308" s="159" t="b">
        <f t="shared" si="11"/>
        <v>0</v>
      </c>
      <c r="N308" s="160">
        <f t="shared" si="12"/>
        <v>46503</v>
      </c>
      <c r="O308" s="163" t="b">
        <f t="shared" si="13"/>
        <v>1</v>
      </c>
      <c r="Q308" s="163">
        <f t="shared" si="14"/>
        <v>0</v>
      </c>
    </row>
    <row r="309" ht="15.75" customHeight="1">
      <c r="A309" s="174">
        <f t="shared" si="15"/>
        <v>46509</v>
      </c>
      <c r="B309" s="176" t="str">
        <f t="shared" si="1"/>
        <v>Sunday</v>
      </c>
      <c r="C309" s="158" t="b">
        <f t="shared" si="2"/>
        <v>0</v>
      </c>
      <c r="D309" s="158" t="str">
        <f t="shared" si="3"/>
        <v/>
      </c>
      <c r="E309" s="158" t="str">
        <f t="shared" si="4"/>
        <v/>
      </c>
      <c r="F309" s="158" t="str">
        <f t="shared" si="5"/>
        <v/>
      </c>
      <c r="G309" s="158" t="str">
        <f t="shared" si="6"/>
        <v/>
      </c>
      <c r="H309" s="158" t="b">
        <f t="shared" si="7"/>
        <v>0</v>
      </c>
      <c r="I309" s="158" t="str">
        <f t="shared" si="8"/>
        <v/>
      </c>
      <c r="J309" s="158" t="str">
        <f>IFERROR(__xludf.DUMMYFUNCTION("IF(O309,LET(w,IFERROR(MATCH(N309,UNIQUE(FILTER($N$44:$N$408,$O$44:$O$408=TRUE)),0),""""),IF(OR(w="""",w&gt;$B$6),"""",w)),"""")"),"")</f>
        <v/>
      </c>
      <c r="K309" s="158" t="str">
        <f t="shared" si="9"/>
        <v/>
      </c>
      <c r="L309" s="158" t="str">
        <f t="shared" si="10"/>
        <v/>
      </c>
      <c r="M309" s="159" t="b">
        <f t="shared" si="11"/>
        <v>0</v>
      </c>
      <c r="N309" s="160">
        <f t="shared" si="12"/>
        <v>46503</v>
      </c>
      <c r="O309" s="163" t="b">
        <f t="shared" si="13"/>
        <v>1</v>
      </c>
      <c r="Q309" s="163">
        <f t="shared" si="14"/>
        <v>0</v>
      </c>
    </row>
    <row r="310" ht="15.75" customHeight="1">
      <c r="A310" s="174">
        <f t="shared" si="15"/>
        <v>46510</v>
      </c>
      <c r="B310" s="176" t="str">
        <f t="shared" si="1"/>
        <v>Monday</v>
      </c>
      <c r="C310" s="158" t="b">
        <f t="shared" si="2"/>
        <v>1</v>
      </c>
      <c r="D310" s="158" t="str">
        <f t="shared" si="3"/>
        <v/>
      </c>
      <c r="E310" s="158" t="str">
        <f t="shared" si="4"/>
        <v/>
      </c>
      <c r="F310" s="158" t="str">
        <f t="shared" si="5"/>
        <v/>
      </c>
      <c r="G310" s="158" t="str">
        <f t="shared" si="6"/>
        <v/>
      </c>
      <c r="H310" s="158" t="b">
        <f t="shared" si="7"/>
        <v>1</v>
      </c>
      <c r="I310" s="158">
        <f t="shared" si="8"/>
        <v>191</v>
      </c>
      <c r="J310" s="158" t="str">
        <f>IFERROR(__xludf.DUMMYFUNCTION("IF(O310,LET(w,IFERROR(MATCH(N310,UNIQUE(FILTER($N$44:$N$408,$O$44:$O$408=TRUE)),0),""""),IF(OR(w="""",w&gt;$B$6),"""",w)),"""")"),"")</f>
        <v/>
      </c>
      <c r="K310" s="158" t="str">
        <f t="shared" si="9"/>
        <v/>
      </c>
      <c r="L310" s="158" t="str">
        <f t="shared" si="10"/>
        <v/>
      </c>
      <c r="M310" s="159" t="b">
        <f t="shared" si="11"/>
        <v>0</v>
      </c>
      <c r="N310" s="160">
        <f t="shared" si="12"/>
        <v>46510</v>
      </c>
      <c r="O310" s="163" t="b">
        <f t="shared" si="13"/>
        <v>1</v>
      </c>
      <c r="Q310" s="163">
        <f t="shared" si="14"/>
        <v>0</v>
      </c>
    </row>
    <row r="311" ht="15.75" customHeight="1">
      <c r="A311" s="174">
        <f t="shared" si="15"/>
        <v>46511</v>
      </c>
      <c r="B311" s="176" t="str">
        <f t="shared" si="1"/>
        <v>Tuesday</v>
      </c>
      <c r="C311" s="158" t="b">
        <f t="shared" si="2"/>
        <v>1</v>
      </c>
      <c r="D311" s="158" t="str">
        <f t="shared" si="3"/>
        <v/>
      </c>
      <c r="E311" s="158" t="str">
        <f t="shared" si="4"/>
        <v/>
      </c>
      <c r="F311" s="158" t="str">
        <f t="shared" si="5"/>
        <v/>
      </c>
      <c r="G311" s="158" t="str">
        <f t="shared" si="6"/>
        <v/>
      </c>
      <c r="H311" s="158" t="b">
        <f t="shared" si="7"/>
        <v>1</v>
      </c>
      <c r="I311" s="158">
        <f t="shared" si="8"/>
        <v>192</v>
      </c>
      <c r="J311" s="158" t="str">
        <f>IFERROR(__xludf.DUMMYFUNCTION("IF(O311,LET(w,IFERROR(MATCH(N311,UNIQUE(FILTER($N$44:$N$408,$O$44:$O$408=TRUE)),0),""""),IF(OR(w="""",w&gt;$B$6),"""",w)),"""")"),"")</f>
        <v/>
      </c>
      <c r="K311" s="158" t="str">
        <f t="shared" si="9"/>
        <v/>
      </c>
      <c r="L311" s="158" t="str">
        <f t="shared" si="10"/>
        <v/>
      </c>
      <c r="M311" s="159" t="b">
        <f t="shared" si="11"/>
        <v>0</v>
      </c>
      <c r="N311" s="160">
        <f t="shared" si="12"/>
        <v>46510</v>
      </c>
      <c r="O311" s="163" t="b">
        <f t="shared" si="13"/>
        <v>1</v>
      </c>
      <c r="Q311" s="163">
        <f t="shared" si="14"/>
        <v>0</v>
      </c>
    </row>
    <row r="312" ht="15.75" customHeight="1">
      <c r="A312" s="174">
        <f t="shared" si="15"/>
        <v>46512</v>
      </c>
      <c r="B312" s="176" t="str">
        <f t="shared" si="1"/>
        <v>Wednesday</v>
      </c>
      <c r="C312" s="158" t="b">
        <f t="shared" si="2"/>
        <v>1</v>
      </c>
      <c r="D312" s="158" t="str">
        <f t="shared" si="3"/>
        <v/>
      </c>
      <c r="E312" s="158" t="str">
        <f t="shared" si="4"/>
        <v/>
      </c>
      <c r="F312" s="158" t="str">
        <f t="shared" si="5"/>
        <v/>
      </c>
      <c r="G312" s="158" t="str">
        <f t="shared" si="6"/>
        <v/>
      </c>
      <c r="H312" s="158" t="b">
        <f t="shared" si="7"/>
        <v>1</v>
      </c>
      <c r="I312" s="158">
        <f t="shared" si="8"/>
        <v>193</v>
      </c>
      <c r="J312" s="158" t="str">
        <f>IFERROR(__xludf.DUMMYFUNCTION("IF(O312,LET(w,IFERROR(MATCH(N312,UNIQUE(FILTER($N$44:$N$408,$O$44:$O$408=TRUE)),0),""""),IF(OR(w="""",w&gt;$B$6),"""",w)),"""")"),"")</f>
        <v/>
      </c>
      <c r="K312" s="158" t="str">
        <f t="shared" si="9"/>
        <v/>
      </c>
      <c r="L312" s="158" t="str">
        <f t="shared" si="10"/>
        <v/>
      </c>
      <c r="M312" s="159" t="b">
        <f t="shared" si="11"/>
        <v>0</v>
      </c>
      <c r="N312" s="160">
        <f t="shared" si="12"/>
        <v>46510</v>
      </c>
      <c r="O312" s="163" t="b">
        <f t="shared" si="13"/>
        <v>1</v>
      </c>
      <c r="Q312" s="163">
        <f t="shared" si="14"/>
        <v>0</v>
      </c>
    </row>
    <row r="313" ht="15.75" customHeight="1">
      <c r="A313" s="174">
        <f t="shared" si="15"/>
        <v>46513</v>
      </c>
      <c r="B313" s="176" t="str">
        <f t="shared" si="1"/>
        <v>Thursday</v>
      </c>
      <c r="C313" s="158" t="b">
        <f t="shared" si="2"/>
        <v>1</v>
      </c>
      <c r="D313" s="158" t="str">
        <f t="shared" si="3"/>
        <v/>
      </c>
      <c r="E313" s="158" t="str">
        <f t="shared" si="4"/>
        <v/>
      </c>
      <c r="F313" s="158" t="str">
        <f t="shared" si="5"/>
        <v/>
      </c>
      <c r="G313" s="158" t="str">
        <f t="shared" si="6"/>
        <v/>
      </c>
      <c r="H313" s="158" t="b">
        <f t="shared" si="7"/>
        <v>1</v>
      </c>
      <c r="I313" s="158">
        <f t="shared" si="8"/>
        <v>194</v>
      </c>
      <c r="J313" s="158" t="str">
        <f>IFERROR(__xludf.DUMMYFUNCTION("IF(O313,LET(w,IFERROR(MATCH(N313,UNIQUE(FILTER($N$44:$N$408,$O$44:$O$408=TRUE)),0),""""),IF(OR(w="""",w&gt;$B$6),"""",w)),"""")"),"")</f>
        <v/>
      </c>
      <c r="K313" s="158" t="str">
        <f t="shared" si="9"/>
        <v/>
      </c>
      <c r="L313" s="158" t="str">
        <f t="shared" si="10"/>
        <v/>
      </c>
      <c r="M313" s="159" t="b">
        <f t="shared" si="11"/>
        <v>0</v>
      </c>
      <c r="N313" s="160">
        <f t="shared" si="12"/>
        <v>46510</v>
      </c>
      <c r="O313" s="163" t="b">
        <f t="shared" si="13"/>
        <v>1</v>
      </c>
      <c r="Q313" s="163">
        <f t="shared" si="14"/>
        <v>0</v>
      </c>
    </row>
    <row r="314" ht="15.75" customHeight="1">
      <c r="A314" s="174">
        <f t="shared" si="15"/>
        <v>46514</v>
      </c>
      <c r="B314" s="176" t="str">
        <f t="shared" si="1"/>
        <v>Friday</v>
      </c>
      <c r="C314" s="158" t="b">
        <f t="shared" si="2"/>
        <v>1</v>
      </c>
      <c r="D314" s="158" t="str">
        <f t="shared" si="3"/>
        <v/>
      </c>
      <c r="E314" s="158" t="str">
        <f t="shared" si="4"/>
        <v/>
      </c>
      <c r="F314" s="158" t="str">
        <f t="shared" si="5"/>
        <v/>
      </c>
      <c r="G314" s="158" t="str">
        <f t="shared" si="6"/>
        <v/>
      </c>
      <c r="H314" s="158" t="b">
        <f t="shared" si="7"/>
        <v>1</v>
      </c>
      <c r="I314" s="158">
        <f t="shared" si="8"/>
        <v>195</v>
      </c>
      <c r="J314" s="158" t="str">
        <f>IFERROR(__xludf.DUMMYFUNCTION("IF(O314,LET(w,IFERROR(MATCH(N314,UNIQUE(FILTER($N$44:$N$408,$O$44:$O$408=TRUE)),0),""""),IF(OR(w="""",w&gt;$B$6),"""",w)),"""")"),"")</f>
        <v/>
      </c>
      <c r="K314" s="158" t="str">
        <f t="shared" si="9"/>
        <v/>
      </c>
      <c r="L314" s="158" t="str">
        <f t="shared" si="10"/>
        <v/>
      </c>
      <c r="M314" s="159" t="b">
        <f t="shared" si="11"/>
        <v>0</v>
      </c>
      <c r="N314" s="160">
        <f t="shared" si="12"/>
        <v>46510</v>
      </c>
      <c r="O314" s="163" t="b">
        <f t="shared" si="13"/>
        <v>1</v>
      </c>
      <c r="Q314" s="163">
        <f t="shared" si="14"/>
        <v>0</v>
      </c>
    </row>
    <row r="315" ht="15.75" customHeight="1">
      <c r="A315" s="174">
        <f t="shared" si="15"/>
        <v>46515</v>
      </c>
      <c r="B315" s="176" t="str">
        <f t="shared" si="1"/>
        <v>Saturday</v>
      </c>
      <c r="C315" s="158" t="b">
        <f t="shared" si="2"/>
        <v>0</v>
      </c>
      <c r="D315" s="158" t="str">
        <f t="shared" si="3"/>
        <v/>
      </c>
      <c r="E315" s="158" t="str">
        <f t="shared" si="4"/>
        <v/>
      </c>
      <c r="F315" s="158" t="str">
        <f t="shared" si="5"/>
        <v/>
      </c>
      <c r="G315" s="158" t="str">
        <f t="shared" si="6"/>
        <v/>
      </c>
      <c r="H315" s="158" t="b">
        <f t="shared" si="7"/>
        <v>0</v>
      </c>
      <c r="I315" s="158" t="str">
        <f t="shared" si="8"/>
        <v/>
      </c>
      <c r="J315" s="158" t="str">
        <f>IFERROR(__xludf.DUMMYFUNCTION("IF(O315,LET(w,IFERROR(MATCH(N315,UNIQUE(FILTER($N$44:$N$408,$O$44:$O$408=TRUE)),0),""""),IF(OR(w="""",w&gt;$B$6),"""",w)),"""")"),"")</f>
        <v/>
      </c>
      <c r="K315" s="158" t="str">
        <f t="shared" si="9"/>
        <v/>
      </c>
      <c r="L315" s="158" t="str">
        <f t="shared" si="10"/>
        <v/>
      </c>
      <c r="M315" s="159" t="b">
        <f t="shared" si="11"/>
        <v>0</v>
      </c>
      <c r="N315" s="160">
        <f t="shared" si="12"/>
        <v>46510</v>
      </c>
      <c r="O315" s="163" t="b">
        <f t="shared" si="13"/>
        <v>1</v>
      </c>
      <c r="Q315" s="163">
        <f t="shared" si="14"/>
        <v>0</v>
      </c>
    </row>
    <row r="316" ht="15.75" customHeight="1">
      <c r="A316" s="174">
        <f t="shared" si="15"/>
        <v>46516</v>
      </c>
      <c r="B316" s="176" t="str">
        <f t="shared" si="1"/>
        <v>Sunday</v>
      </c>
      <c r="C316" s="158" t="b">
        <f t="shared" si="2"/>
        <v>0</v>
      </c>
      <c r="D316" s="158" t="str">
        <f t="shared" si="3"/>
        <v/>
      </c>
      <c r="E316" s="158" t="str">
        <f t="shared" si="4"/>
        <v/>
      </c>
      <c r="F316" s="158" t="str">
        <f t="shared" si="5"/>
        <v/>
      </c>
      <c r="G316" s="158" t="str">
        <f t="shared" si="6"/>
        <v/>
      </c>
      <c r="H316" s="158" t="b">
        <f t="shared" si="7"/>
        <v>0</v>
      </c>
      <c r="I316" s="158" t="str">
        <f t="shared" si="8"/>
        <v/>
      </c>
      <c r="J316" s="158" t="str">
        <f>IFERROR(__xludf.DUMMYFUNCTION("IF(O316,LET(w,IFERROR(MATCH(N316,UNIQUE(FILTER($N$44:$N$408,$O$44:$O$408=TRUE)),0),""""),IF(OR(w="""",w&gt;$B$6),"""",w)),"""")"),"")</f>
        <v/>
      </c>
      <c r="K316" s="158" t="str">
        <f t="shared" si="9"/>
        <v/>
      </c>
      <c r="L316" s="158" t="str">
        <f t="shared" si="10"/>
        <v/>
      </c>
      <c r="M316" s="159" t="b">
        <f t="shared" si="11"/>
        <v>0</v>
      </c>
      <c r="N316" s="160">
        <f t="shared" si="12"/>
        <v>46510</v>
      </c>
      <c r="O316" s="163" t="b">
        <f t="shared" si="13"/>
        <v>1</v>
      </c>
      <c r="Q316" s="163">
        <f t="shared" si="14"/>
        <v>0</v>
      </c>
    </row>
    <row r="317" ht="15.75" customHeight="1">
      <c r="A317" s="174">
        <f t="shared" si="15"/>
        <v>46517</v>
      </c>
      <c r="B317" s="176" t="str">
        <f t="shared" si="1"/>
        <v>Monday</v>
      </c>
      <c r="C317" s="158" t="b">
        <f t="shared" si="2"/>
        <v>1</v>
      </c>
      <c r="D317" s="158" t="str">
        <f t="shared" si="3"/>
        <v/>
      </c>
      <c r="E317" s="158" t="str">
        <f t="shared" si="4"/>
        <v/>
      </c>
      <c r="F317" s="158" t="str">
        <f t="shared" si="5"/>
        <v/>
      </c>
      <c r="G317" s="158" t="str">
        <f t="shared" si="6"/>
        <v/>
      </c>
      <c r="H317" s="158" t="b">
        <f t="shared" si="7"/>
        <v>1</v>
      </c>
      <c r="I317" s="158">
        <f t="shared" si="8"/>
        <v>196</v>
      </c>
      <c r="J317" s="158" t="str">
        <f>IFERROR(__xludf.DUMMYFUNCTION("IF(O317,LET(w,IFERROR(MATCH(N317,UNIQUE(FILTER($N$44:$N$408,$O$44:$O$408=TRUE)),0),""""),IF(OR(w="""",w&gt;$B$6),"""",w)),"""")"),"")</f>
        <v/>
      </c>
      <c r="K317" s="158" t="str">
        <f t="shared" si="9"/>
        <v/>
      </c>
      <c r="L317" s="158" t="str">
        <f t="shared" si="10"/>
        <v/>
      </c>
      <c r="M317" s="159" t="b">
        <f t="shared" si="11"/>
        <v>0</v>
      </c>
      <c r="N317" s="160">
        <f t="shared" si="12"/>
        <v>46517</v>
      </c>
      <c r="O317" s="163" t="b">
        <f t="shared" si="13"/>
        <v>1</v>
      </c>
      <c r="Q317" s="163">
        <f t="shared" si="14"/>
        <v>0</v>
      </c>
    </row>
    <row r="318" ht="15.75" customHeight="1">
      <c r="A318" s="174">
        <f t="shared" si="15"/>
        <v>46518</v>
      </c>
      <c r="B318" s="176" t="str">
        <f t="shared" si="1"/>
        <v>Tuesday</v>
      </c>
      <c r="C318" s="158" t="b">
        <f t="shared" si="2"/>
        <v>1</v>
      </c>
      <c r="D318" s="158" t="str">
        <f t="shared" si="3"/>
        <v/>
      </c>
      <c r="E318" s="158" t="str">
        <f t="shared" si="4"/>
        <v/>
      </c>
      <c r="F318" s="158" t="str">
        <f t="shared" si="5"/>
        <v/>
      </c>
      <c r="G318" s="158" t="str">
        <f t="shared" si="6"/>
        <v/>
      </c>
      <c r="H318" s="158" t="b">
        <f t="shared" si="7"/>
        <v>1</v>
      </c>
      <c r="I318" s="158">
        <f t="shared" si="8"/>
        <v>197</v>
      </c>
      <c r="J318" s="158" t="str">
        <f>IFERROR(__xludf.DUMMYFUNCTION("IF(O318,LET(w,IFERROR(MATCH(N318,UNIQUE(FILTER($N$44:$N$408,$O$44:$O$408=TRUE)),0),""""),IF(OR(w="""",w&gt;$B$6),"""",w)),"""")"),"")</f>
        <v/>
      </c>
      <c r="K318" s="158" t="str">
        <f t="shared" si="9"/>
        <v/>
      </c>
      <c r="L318" s="158" t="str">
        <f t="shared" si="10"/>
        <v/>
      </c>
      <c r="M318" s="159" t="b">
        <f t="shared" si="11"/>
        <v>0</v>
      </c>
      <c r="N318" s="160">
        <f t="shared" si="12"/>
        <v>46517</v>
      </c>
      <c r="O318" s="163" t="b">
        <f t="shared" si="13"/>
        <v>1</v>
      </c>
      <c r="Q318" s="163">
        <f t="shared" si="14"/>
        <v>0</v>
      </c>
    </row>
    <row r="319" ht="15.75" customHeight="1">
      <c r="A319" s="174">
        <f t="shared" si="15"/>
        <v>46519</v>
      </c>
      <c r="B319" s="176" t="str">
        <f t="shared" si="1"/>
        <v>Wednesday</v>
      </c>
      <c r="C319" s="158" t="b">
        <f t="shared" si="2"/>
        <v>1</v>
      </c>
      <c r="D319" s="158" t="str">
        <f t="shared" si="3"/>
        <v/>
      </c>
      <c r="E319" s="158" t="str">
        <f t="shared" si="4"/>
        <v/>
      </c>
      <c r="F319" s="158" t="str">
        <f t="shared" si="5"/>
        <v/>
      </c>
      <c r="G319" s="158" t="str">
        <f t="shared" si="6"/>
        <v/>
      </c>
      <c r="H319" s="158" t="b">
        <f t="shared" si="7"/>
        <v>1</v>
      </c>
      <c r="I319" s="158">
        <f t="shared" si="8"/>
        <v>198</v>
      </c>
      <c r="J319" s="158" t="str">
        <f>IFERROR(__xludf.DUMMYFUNCTION("IF(O319,LET(w,IFERROR(MATCH(N319,UNIQUE(FILTER($N$44:$N$408,$O$44:$O$408=TRUE)),0),""""),IF(OR(w="""",w&gt;$B$6),"""",w)),"""")"),"")</f>
        <v/>
      </c>
      <c r="K319" s="158" t="str">
        <f t="shared" si="9"/>
        <v/>
      </c>
      <c r="L319" s="158" t="str">
        <f t="shared" si="10"/>
        <v/>
      </c>
      <c r="M319" s="159" t="b">
        <f t="shared" si="11"/>
        <v>0</v>
      </c>
      <c r="N319" s="160">
        <f t="shared" si="12"/>
        <v>46517</v>
      </c>
      <c r="O319" s="163" t="b">
        <f t="shared" si="13"/>
        <v>1</v>
      </c>
      <c r="Q319" s="163">
        <f t="shared" si="14"/>
        <v>0</v>
      </c>
    </row>
    <row r="320" ht="15.75" customHeight="1">
      <c r="A320" s="174">
        <f t="shared" si="15"/>
        <v>46520</v>
      </c>
      <c r="B320" s="176" t="str">
        <f t="shared" si="1"/>
        <v>Thursday</v>
      </c>
      <c r="C320" s="158" t="b">
        <f t="shared" si="2"/>
        <v>1</v>
      </c>
      <c r="D320" s="158" t="str">
        <f t="shared" si="3"/>
        <v/>
      </c>
      <c r="E320" s="158" t="str">
        <f t="shared" si="4"/>
        <v/>
      </c>
      <c r="F320" s="158" t="str">
        <f t="shared" si="5"/>
        <v/>
      </c>
      <c r="G320" s="158" t="str">
        <f t="shared" si="6"/>
        <v/>
      </c>
      <c r="H320" s="158" t="b">
        <f t="shared" si="7"/>
        <v>1</v>
      </c>
      <c r="I320" s="158">
        <f t="shared" si="8"/>
        <v>199</v>
      </c>
      <c r="J320" s="158" t="str">
        <f>IFERROR(__xludf.DUMMYFUNCTION("IF(O320,LET(w,IFERROR(MATCH(N320,UNIQUE(FILTER($N$44:$N$408,$O$44:$O$408=TRUE)),0),""""),IF(OR(w="""",w&gt;$B$6),"""",w)),"""")"),"")</f>
        <v/>
      </c>
      <c r="K320" s="158" t="str">
        <f t="shared" si="9"/>
        <v/>
      </c>
      <c r="L320" s="158" t="str">
        <f t="shared" si="10"/>
        <v/>
      </c>
      <c r="M320" s="159" t="b">
        <f t="shared" si="11"/>
        <v>0</v>
      </c>
      <c r="N320" s="160">
        <f t="shared" si="12"/>
        <v>46517</v>
      </c>
      <c r="O320" s="163" t="b">
        <f t="shared" si="13"/>
        <v>1</v>
      </c>
      <c r="Q320" s="163">
        <f t="shared" si="14"/>
        <v>0</v>
      </c>
    </row>
    <row r="321" ht="15.75" customHeight="1">
      <c r="A321" s="174">
        <f t="shared" si="15"/>
        <v>46521</v>
      </c>
      <c r="B321" s="176" t="str">
        <f t="shared" si="1"/>
        <v>Friday</v>
      </c>
      <c r="C321" s="158" t="b">
        <f t="shared" si="2"/>
        <v>1</v>
      </c>
      <c r="D321" s="158" t="str">
        <f t="shared" si="3"/>
        <v/>
      </c>
      <c r="E321" s="158" t="str">
        <f t="shared" si="4"/>
        <v/>
      </c>
      <c r="F321" s="158" t="str">
        <f t="shared" si="5"/>
        <v/>
      </c>
      <c r="G321" s="158" t="str">
        <f t="shared" si="6"/>
        <v/>
      </c>
      <c r="H321" s="158" t="b">
        <f t="shared" si="7"/>
        <v>1</v>
      </c>
      <c r="I321" s="158">
        <f t="shared" si="8"/>
        <v>200</v>
      </c>
      <c r="J321" s="158" t="str">
        <f>IFERROR(__xludf.DUMMYFUNCTION("IF(O321,LET(w,IFERROR(MATCH(N321,UNIQUE(FILTER($N$44:$N$408,$O$44:$O$408=TRUE)),0),""""),IF(OR(w="""",w&gt;$B$6),"""",w)),"""")"),"")</f>
        <v/>
      </c>
      <c r="K321" s="158" t="str">
        <f t="shared" si="9"/>
        <v/>
      </c>
      <c r="L321" s="158" t="str">
        <f t="shared" si="10"/>
        <v/>
      </c>
      <c r="M321" s="159" t="b">
        <f t="shared" si="11"/>
        <v>0</v>
      </c>
      <c r="N321" s="160">
        <f t="shared" si="12"/>
        <v>46517</v>
      </c>
      <c r="O321" s="163" t="b">
        <f t="shared" si="13"/>
        <v>1</v>
      </c>
      <c r="Q321" s="163">
        <f t="shared" si="14"/>
        <v>0</v>
      </c>
    </row>
    <row r="322" ht="15.75" customHeight="1">
      <c r="A322" s="174">
        <f t="shared" si="15"/>
        <v>46522</v>
      </c>
      <c r="B322" s="176" t="str">
        <f t="shared" si="1"/>
        <v>Saturday</v>
      </c>
      <c r="C322" s="158" t="b">
        <f t="shared" si="2"/>
        <v>0</v>
      </c>
      <c r="D322" s="158" t="str">
        <f t="shared" si="3"/>
        <v/>
      </c>
      <c r="E322" s="158" t="str">
        <f t="shared" si="4"/>
        <v/>
      </c>
      <c r="F322" s="158" t="str">
        <f t="shared" si="5"/>
        <v/>
      </c>
      <c r="G322" s="158" t="str">
        <f t="shared" si="6"/>
        <v/>
      </c>
      <c r="H322" s="158" t="b">
        <f t="shared" si="7"/>
        <v>0</v>
      </c>
      <c r="I322" s="158" t="str">
        <f t="shared" si="8"/>
        <v/>
      </c>
      <c r="J322" s="158" t="str">
        <f>IFERROR(__xludf.DUMMYFUNCTION("IF(O322,LET(w,IFERROR(MATCH(N322,UNIQUE(FILTER($N$44:$N$408,$O$44:$O$408=TRUE)),0),""""),IF(OR(w="""",w&gt;$B$6),"""",w)),"""")"),"")</f>
        <v/>
      </c>
      <c r="K322" s="158" t="str">
        <f t="shared" si="9"/>
        <v/>
      </c>
      <c r="L322" s="158" t="str">
        <f t="shared" si="10"/>
        <v/>
      </c>
      <c r="M322" s="159" t="b">
        <f t="shared" si="11"/>
        <v>0</v>
      </c>
      <c r="N322" s="160">
        <f t="shared" si="12"/>
        <v>46517</v>
      </c>
      <c r="O322" s="163" t="b">
        <f t="shared" si="13"/>
        <v>1</v>
      </c>
      <c r="Q322" s="163">
        <f t="shared" si="14"/>
        <v>0</v>
      </c>
    </row>
    <row r="323" ht="15.75" customHeight="1">
      <c r="A323" s="174">
        <f t="shared" si="15"/>
        <v>46523</v>
      </c>
      <c r="B323" s="176" t="str">
        <f t="shared" si="1"/>
        <v>Sunday</v>
      </c>
      <c r="C323" s="158" t="b">
        <f t="shared" si="2"/>
        <v>0</v>
      </c>
      <c r="D323" s="158" t="str">
        <f t="shared" si="3"/>
        <v/>
      </c>
      <c r="E323" s="158" t="str">
        <f t="shared" si="4"/>
        <v/>
      </c>
      <c r="F323" s="158" t="str">
        <f t="shared" si="5"/>
        <v/>
      </c>
      <c r="G323" s="158" t="str">
        <f t="shared" si="6"/>
        <v/>
      </c>
      <c r="H323" s="158" t="b">
        <f t="shared" si="7"/>
        <v>0</v>
      </c>
      <c r="I323" s="158" t="str">
        <f t="shared" si="8"/>
        <v/>
      </c>
      <c r="J323" s="158" t="str">
        <f>IFERROR(__xludf.DUMMYFUNCTION("IF(O323,LET(w,IFERROR(MATCH(N323,UNIQUE(FILTER($N$44:$N$408,$O$44:$O$408=TRUE)),0),""""),IF(OR(w="""",w&gt;$B$6),"""",w)),"""")"),"")</f>
        <v/>
      </c>
      <c r="K323" s="158" t="str">
        <f t="shared" si="9"/>
        <v/>
      </c>
      <c r="L323" s="158" t="str">
        <f t="shared" si="10"/>
        <v/>
      </c>
      <c r="M323" s="159" t="b">
        <f t="shared" si="11"/>
        <v>0</v>
      </c>
      <c r="N323" s="160">
        <f t="shared" si="12"/>
        <v>46517</v>
      </c>
      <c r="O323" s="163" t="b">
        <f t="shared" si="13"/>
        <v>1</v>
      </c>
      <c r="Q323" s="163">
        <f t="shared" si="14"/>
        <v>0</v>
      </c>
    </row>
    <row r="324" ht="15.75" customHeight="1">
      <c r="A324" s="174">
        <f t="shared" si="15"/>
        <v>46524</v>
      </c>
      <c r="B324" s="176" t="str">
        <f t="shared" si="1"/>
        <v>Monday</v>
      </c>
      <c r="C324" s="158" t="b">
        <f t="shared" si="2"/>
        <v>1</v>
      </c>
      <c r="D324" s="158" t="str">
        <f t="shared" si="3"/>
        <v/>
      </c>
      <c r="E324" s="158" t="str">
        <f t="shared" si="4"/>
        <v/>
      </c>
      <c r="F324" s="158" t="str">
        <f t="shared" si="5"/>
        <v/>
      </c>
      <c r="G324" s="158" t="str">
        <f t="shared" si="6"/>
        <v/>
      </c>
      <c r="H324" s="158" t="b">
        <f t="shared" si="7"/>
        <v>1</v>
      </c>
      <c r="I324" s="158">
        <f t="shared" si="8"/>
        <v>201</v>
      </c>
      <c r="J324" s="158" t="str">
        <f>IFERROR(__xludf.DUMMYFUNCTION("IF(O324,LET(w,IFERROR(MATCH(N324,UNIQUE(FILTER($N$44:$N$408,$O$44:$O$408=TRUE)),0),""""),IF(OR(w="""",w&gt;$B$6),"""",w)),"""")"),"")</f>
        <v/>
      </c>
      <c r="K324" s="158" t="str">
        <f t="shared" si="9"/>
        <v/>
      </c>
      <c r="L324" s="158" t="str">
        <f t="shared" si="10"/>
        <v/>
      </c>
      <c r="M324" s="159" t="b">
        <f t="shared" si="11"/>
        <v>0</v>
      </c>
      <c r="N324" s="160">
        <f t="shared" si="12"/>
        <v>46524</v>
      </c>
      <c r="O324" s="163" t="b">
        <f t="shared" si="13"/>
        <v>1</v>
      </c>
      <c r="Q324" s="163">
        <f t="shared" si="14"/>
        <v>0</v>
      </c>
    </row>
    <row r="325" ht="15.75" customHeight="1">
      <c r="A325" s="174">
        <f t="shared" si="15"/>
        <v>46525</v>
      </c>
      <c r="B325" s="176" t="str">
        <f t="shared" si="1"/>
        <v>Tuesday</v>
      </c>
      <c r="C325" s="158" t="b">
        <f t="shared" si="2"/>
        <v>1</v>
      </c>
      <c r="D325" s="158" t="str">
        <f t="shared" si="3"/>
        <v/>
      </c>
      <c r="E325" s="158" t="str">
        <f t="shared" si="4"/>
        <v/>
      </c>
      <c r="F325" s="158" t="str">
        <f t="shared" si="5"/>
        <v/>
      </c>
      <c r="G325" s="158" t="str">
        <f t="shared" si="6"/>
        <v/>
      </c>
      <c r="H325" s="158" t="b">
        <f t="shared" si="7"/>
        <v>1</v>
      </c>
      <c r="I325" s="158">
        <f t="shared" si="8"/>
        <v>202</v>
      </c>
      <c r="J325" s="158" t="str">
        <f>IFERROR(__xludf.DUMMYFUNCTION("IF(O325,LET(w,IFERROR(MATCH(N325,UNIQUE(FILTER($N$44:$N$408,$O$44:$O$408=TRUE)),0),""""),IF(OR(w="""",w&gt;$B$6),"""",w)),"""")"),"")</f>
        <v/>
      </c>
      <c r="K325" s="158" t="str">
        <f t="shared" si="9"/>
        <v/>
      </c>
      <c r="L325" s="158" t="str">
        <f t="shared" si="10"/>
        <v/>
      </c>
      <c r="M325" s="159" t="b">
        <f t="shared" si="11"/>
        <v>0</v>
      </c>
      <c r="N325" s="160">
        <f t="shared" si="12"/>
        <v>46524</v>
      </c>
      <c r="O325" s="163" t="b">
        <f t="shared" si="13"/>
        <v>1</v>
      </c>
      <c r="Q325" s="163">
        <f t="shared" si="14"/>
        <v>0</v>
      </c>
    </row>
    <row r="326" ht="15.75" customHeight="1">
      <c r="A326" s="174">
        <f t="shared" si="15"/>
        <v>46526</v>
      </c>
      <c r="B326" s="176" t="str">
        <f t="shared" si="1"/>
        <v>Wednesday</v>
      </c>
      <c r="C326" s="158" t="b">
        <f t="shared" si="2"/>
        <v>1</v>
      </c>
      <c r="D326" s="158" t="str">
        <f t="shared" si="3"/>
        <v/>
      </c>
      <c r="E326" s="158" t="str">
        <f t="shared" si="4"/>
        <v/>
      </c>
      <c r="F326" s="158" t="str">
        <f t="shared" si="5"/>
        <v/>
      </c>
      <c r="G326" s="158" t="str">
        <f t="shared" si="6"/>
        <v/>
      </c>
      <c r="H326" s="158" t="b">
        <f t="shared" si="7"/>
        <v>1</v>
      </c>
      <c r="I326" s="158">
        <f t="shared" si="8"/>
        <v>203</v>
      </c>
      <c r="J326" s="158" t="str">
        <f>IFERROR(__xludf.DUMMYFUNCTION("IF(O326,LET(w,IFERROR(MATCH(N326,UNIQUE(FILTER($N$44:$N$408,$O$44:$O$408=TRUE)),0),""""),IF(OR(w="""",w&gt;$B$6),"""",w)),"""")"),"")</f>
        <v/>
      </c>
      <c r="K326" s="158" t="str">
        <f t="shared" si="9"/>
        <v/>
      </c>
      <c r="L326" s="158" t="str">
        <f t="shared" si="10"/>
        <v/>
      </c>
      <c r="M326" s="159" t="b">
        <f t="shared" si="11"/>
        <v>0</v>
      </c>
      <c r="N326" s="160">
        <f t="shared" si="12"/>
        <v>46524</v>
      </c>
      <c r="O326" s="163" t="b">
        <f t="shared" si="13"/>
        <v>1</v>
      </c>
      <c r="Q326" s="163">
        <f t="shared" si="14"/>
        <v>0</v>
      </c>
    </row>
    <row r="327" ht="15.75" customHeight="1">
      <c r="A327" s="174">
        <f t="shared" si="15"/>
        <v>46527</v>
      </c>
      <c r="B327" s="176" t="str">
        <f t="shared" si="1"/>
        <v>Thursday</v>
      </c>
      <c r="C327" s="158" t="b">
        <f t="shared" si="2"/>
        <v>1</v>
      </c>
      <c r="D327" s="158" t="str">
        <f t="shared" si="3"/>
        <v/>
      </c>
      <c r="E327" s="158" t="str">
        <f t="shared" si="4"/>
        <v/>
      </c>
      <c r="F327" s="158" t="str">
        <f t="shared" si="5"/>
        <v/>
      </c>
      <c r="G327" s="158" t="str">
        <f t="shared" si="6"/>
        <v/>
      </c>
      <c r="H327" s="158" t="b">
        <f t="shared" si="7"/>
        <v>1</v>
      </c>
      <c r="I327" s="158">
        <f t="shared" si="8"/>
        <v>204</v>
      </c>
      <c r="J327" s="158" t="str">
        <f>IFERROR(__xludf.DUMMYFUNCTION("IF(O327,LET(w,IFERROR(MATCH(N327,UNIQUE(FILTER($N$44:$N$408,$O$44:$O$408=TRUE)),0),""""),IF(OR(w="""",w&gt;$B$6),"""",w)),"""")"),"")</f>
        <v/>
      </c>
      <c r="K327" s="158" t="str">
        <f t="shared" si="9"/>
        <v/>
      </c>
      <c r="L327" s="158" t="str">
        <f t="shared" si="10"/>
        <v/>
      </c>
      <c r="M327" s="159" t="b">
        <f t="shared" si="11"/>
        <v>0</v>
      </c>
      <c r="N327" s="160">
        <f t="shared" si="12"/>
        <v>46524</v>
      </c>
      <c r="O327" s="163" t="b">
        <f t="shared" si="13"/>
        <v>1</v>
      </c>
      <c r="Q327" s="163">
        <f t="shared" si="14"/>
        <v>0</v>
      </c>
    </row>
    <row r="328" ht="15.75" customHeight="1">
      <c r="A328" s="174">
        <f t="shared" si="15"/>
        <v>46528</v>
      </c>
      <c r="B328" s="176" t="str">
        <f t="shared" si="1"/>
        <v>Friday</v>
      </c>
      <c r="C328" s="158" t="b">
        <f t="shared" si="2"/>
        <v>1</v>
      </c>
      <c r="D328" s="158" t="str">
        <f t="shared" si="3"/>
        <v/>
      </c>
      <c r="E328" s="158" t="str">
        <f t="shared" si="4"/>
        <v/>
      </c>
      <c r="F328" s="158" t="str">
        <f t="shared" si="5"/>
        <v/>
      </c>
      <c r="G328" s="158" t="str">
        <f t="shared" si="6"/>
        <v/>
      </c>
      <c r="H328" s="158" t="b">
        <f t="shared" si="7"/>
        <v>1</v>
      </c>
      <c r="I328" s="158">
        <f t="shared" si="8"/>
        <v>205</v>
      </c>
      <c r="J328" s="158" t="str">
        <f>IFERROR(__xludf.DUMMYFUNCTION("IF(O328,LET(w,IFERROR(MATCH(N328,UNIQUE(FILTER($N$44:$N$408,$O$44:$O$408=TRUE)),0),""""),IF(OR(w="""",w&gt;$B$6),"""",w)),"""")"),"")</f>
        <v/>
      </c>
      <c r="K328" s="158" t="str">
        <f t="shared" si="9"/>
        <v/>
      </c>
      <c r="L328" s="158" t="str">
        <f t="shared" si="10"/>
        <v/>
      </c>
      <c r="M328" s="159" t="b">
        <f t="shared" si="11"/>
        <v>0</v>
      </c>
      <c r="N328" s="160">
        <f t="shared" si="12"/>
        <v>46524</v>
      </c>
      <c r="O328" s="163" t="b">
        <f t="shared" si="13"/>
        <v>1</v>
      </c>
      <c r="Q328" s="163">
        <f t="shared" si="14"/>
        <v>0</v>
      </c>
    </row>
    <row r="329" ht="15.75" customHeight="1">
      <c r="A329" s="174">
        <f t="shared" si="15"/>
        <v>46529</v>
      </c>
      <c r="B329" s="176" t="str">
        <f t="shared" si="1"/>
        <v>Saturday</v>
      </c>
      <c r="C329" s="158" t="b">
        <f t="shared" si="2"/>
        <v>0</v>
      </c>
      <c r="D329" s="158" t="str">
        <f t="shared" si="3"/>
        <v/>
      </c>
      <c r="E329" s="158" t="str">
        <f t="shared" si="4"/>
        <v/>
      </c>
      <c r="F329" s="158" t="str">
        <f t="shared" si="5"/>
        <v/>
      </c>
      <c r="G329" s="158" t="str">
        <f t="shared" si="6"/>
        <v/>
      </c>
      <c r="H329" s="158" t="b">
        <f t="shared" si="7"/>
        <v>0</v>
      </c>
      <c r="I329" s="158" t="str">
        <f t="shared" si="8"/>
        <v/>
      </c>
      <c r="J329" s="158" t="str">
        <f>IFERROR(__xludf.DUMMYFUNCTION("IF(O329,LET(w,IFERROR(MATCH(N329,UNIQUE(FILTER($N$44:$N$408,$O$44:$O$408=TRUE)),0),""""),IF(OR(w="""",w&gt;$B$6),"""",w)),"""")"),"")</f>
        <v/>
      </c>
      <c r="K329" s="158" t="str">
        <f t="shared" si="9"/>
        <v/>
      </c>
      <c r="L329" s="158" t="str">
        <f t="shared" si="10"/>
        <v/>
      </c>
      <c r="M329" s="159" t="b">
        <f t="shared" si="11"/>
        <v>0</v>
      </c>
      <c r="N329" s="160">
        <f t="shared" si="12"/>
        <v>46524</v>
      </c>
      <c r="O329" s="163" t="b">
        <f t="shared" si="13"/>
        <v>1</v>
      </c>
      <c r="Q329" s="163">
        <f t="shared" si="14"/>
        <v>0</v>
      </c>
    </row>
    <row r="330" ht="15.75" customHeight="1">
      <c r="A330" s="174">
        <f t="shared" si="15"/>
        <v>46530</v>
      </c>
      <c r="B330" s="176" t="str">
        <f t="shared" si="1"/>
        <v>Sunday</v>
      </c>
      <c r="C330" s="158" t="b">
        <f t="shared" si="2"/>
        <v>0</v>
      </c>
      <c r="D330" s="158" t="str">
        <f t="shared" si="3"/>
        <v/>
      </c>
      <c r="E330" s="158" t="str">
        <f t="shared" si="4"/>
        <v/>
      </c>
      <c r="F330" s="158" t="str">
        <f t="shared" si="5"/>
        <v/>
      </c>
      <c r="G330" s="158" t="str">
        <f t="shared" si="6"/>
        <v/>
      </c>
      <c r="H330" s="158" t="b">
        <f t="shared" si="7"/>
        <v>0</v>
      </c>
      <c r="I330" s="158" t="str">
        <f t="shared" si="8"/>
        <v/>
      </c>
      <c r="J330" s="158" t="str">
        <f>IFERROR(__xludf.DUMMYFUNCTION("IF(O330,LET(w,IFERROR(MATCH(N330,UNIQUE(FILTER($N$44:$N$408,$O$44:$O$408=TRUE)),0),""""),IF(OR(w="""",w&gt;$B$6),"""",w)),"""")"),"")</f>
        <v/>
      </c>
      <c r="K330" s="158" t="str">
        <f t="shared" si="9"/>
        <v/>
      </c>
      <c r="L330" s="158" t="str">
        <f t="shared" si="10"/>
        <v/>
      </c>
      <c r="M330" s="159" t="b">
        <f t="shared" si="11"/>
        <v>0</v>
      </c>
      <c r="N330" s="160">
        <f t="shared" si="12"/>
        <v>46524</v>
      </c>
      <c r="O330" s="163" t="b">
        <f t="shared" si="13"/>
        <v>1</v>
      </c>
      <c r="Q330" s="163">
        <f t="shared" si="14"/>
        <v>0</v>
      </c>
    </row>
    <row r="331" ht="15.75" customHeight="1">
      <c r="A331" s="174">
        <f t="shared" si="15"/>
        <v>46531</v>
      </c>
      <c r="B331" s="176" t="str">
        <f t="shared" si="1"/>
        <v>Monday</v>
      </c>
      <c r="C331" s="158" t="b">
        <f t="shared" si="2"/>
        <v>1</v>
      </c>
      <c r="D331" s="158" t="str">
        <f t="shared" si="3"/>
        <v/>
      </c>
      <c r="E331" s="158" t="str">
        <f t="shared" si="4"/>
        <v/>
      </c>
      <c r="F331" s="158" t="str">
        <f t="shared" si="5"/>
        <v/>
      </c>
      <c r="G331" s="158" t="str">
        <f t="shared" si="6"/>
        <v/>
      </c>
      <c r="H331" s="158" t="b">
        <f t="shared" si="7"/>
        <v>1</v>
      </c>
      <c r="I331" s="158">
        <f t="shared" si="8"/>
        <v>206</v>
      </c>
      <c r="J331" s="158" t="str">
        <f>IFERROR(__xludf.DUMMYFUNCTION("IF(O331,LET(w,IFERROR(MATCH(N331,UNIQUE(FILTER($N$44:$N$408,$O$44:$O$408=TRUE)),0),""""),IF(OR(w="""",w&gt;$B$6),"""",w)),"""")"),"")</f>
        <v/>
      </c>
      <c r="K331" s="158" t="str">
        <f t="shared" si="9"/>
        <v/>
      </c>
      <c r="L331" s="158" t="str">
        <f t="shared" si="10"/>
        <v/>
      </c>
      <c r="M331" s="159" t="b">
        <f t="shared" si="11"/>
        <v>0</v>
      </c>
      <c r="N331" s="160">
        <f t="shared" si="12"/>
        <v>46531</v>
      </c>
      <c r="O331" s="163" t="b">
        <f t="shared" si="13"/>
        <v>1</v>
      </c>
      <c r="Q331" s="163">
        <f t="shared" si="14"/>
        <v>0</v>
      </c>
    </row>
    <row r="332" ht="15.75" customHeight="1">
      <c r="A332" s="174">
        <f t="shared" si="15"/>
        <v>46532</v>
      </c>
      <c r="B332" s="176" t="str">
        <f t="shared" si="1"/>
        <v>Tuesday</v>
      </c>
      <c r="C332" s="158" t="b">
        <f t="shared" si="2"/>
        <v>1</v>
      </c>
      <c r="D332" s="158" t="str">
        <f t="shared" si="3"/>
        <v/>
      </c>
      <c r="E332" s="158" t="str">
        <f t="shared" si="4"/>
        <v/>
      </c>
      <c r="F332" s="158" t="str">
        <f t="shared" si="5"/>
        <v/>
      </c>
      <c r="G332" s="158" t="str">
        <f t="shared" si="6"/>
        <v/>
      </c>
      <c r="H332" s="158" t="b">
        <f t="shared" si="7"/>
        <v>1</v>
      </c>
      <c r="I332" s="158">
        <f t="shared" si="8"/>
        <v>207</v>
      </c>
      <c r="J332" s="158" t="str">
        <f>IFERROR(__xludf.DUMMYFUNCTION("IF(O332,LET(w,IFERROR(MATCH(N332,UNIQUE(FILTER($N$44:$N$408,$O$44:$O$408=TRUE)),0),""""),IF(OR(w="""",w&gt;$B$6),"""",w)),"""")"),"")</f>
        <v/>
      </c>
      <c r="K332" s="158" t="str">
        <f t="shared" si="9"/>
        <v/>
      </c>
      <c r="L332" s="158" t="str">
        <f t="shared" si="10"/>
        <v/>
      </c>
      <c r="M332" s="159" t="b">
        <f t="shared" si="11"/>
        <v>0</v>
      </c>
      <c r="N332" s="160">
        <f t="shared" si="12"/>
        <v>46531</v>
      </c>
      <c r="O332" s="163" t="b">
        <f t="shared" si="13"/>
        <v>1</v>
      </c>
      <c r="Q332" s="163">
        <f t="shared" si="14"/>
        <v>0</v>
      </c>
    </row>
    <row r="333" ht="15.75" customHeight="1">
      <c r="A333" s="174">
        <f t="shared" si="15"/>
        <v>46533</v>
      </c>
      <c r="B333" s="176" t="str">
        <f t="shared" si="1"/>
        <v>Wednesday</v>
      </c>
      <c r="C333" s="158" t="b">
        <f t="shared" si="2"/>
        <v>1</v>
      </c>
      <c r="D333" s="158" t="str">
        <f t="shared" si="3"/>
        <v/>
      </c>
      <c r="E333" s="158" t="str">
        <f t="shared" si="4"/>
        <v/>
      </c>
      <c r="F333" s="158" t="str">
        <f t="shared" si="5"/>
        <v/>
      </c>
      <c r="G333" s="158" t="str">
        <f t="shared" si="6"/>
        <v/>
      </c>
      <c r="H333" s="158" t="b">
        <f t="shared" si="7"/>
        <v>1</v>
      </c>
      <c r="I333" s="158">
        <f t="shared" si="8"/>
        <v>208</v>
      </c>
      <c r="J333" s="158" t="str">
        <f>IFERROR(__xludf.DUMMYFUNCTION("IF(O333,LET(w,IFERROR(MATCH(N333,UNIQUE(FILTER($N$44:$N$408,$O$44:$O$408=TRUE)),0),""""),IF(OR(w="""",w&gt;$B$6),"""",w)),"""")"),"")</f>
        <v/>
      </c>
      <c r="K333" s="158" t="str">
        <f t="shared" si="9"/>
        <v/>
      </c>
      <c r="L333" s="158" t="str">
        <f t="shared" si="10"/>
        <v/>
      </c>
      <c r="M333" s="159" t="b">
        <f t="shared" si="11"/>
        <v>0</v>
      </c>
      <c r="N333" s="160">
        <f t="shared" si="12"/>
        <v>46531</v>
      </c>
      <c r="O333" s="163" t="b">
        <f t="shared" si="13"/>
        <v>1</v>
      </c>
      <c r="Q333" s="163">
        <f t="shared" si="14"/>
        <v>0</v>
      </c>
    </row>
    <row r="334" ht="15.75" customHeight="1">
      <c r="A334" s="174">
        <f t="shared" si="15"/>
        <v>46534</v>
      </c>
      <c r="B334" s="176" t="str">
        <f t="shared" si="1"/>
        <v>Thursday</v>
      </c>
      <c r="C334" s="158" t="b">
        <f t="shared" si="2"/>
        <v>1</v>
      </c>
      <c r="D334" s="158" t="str">
        <f t="shared" si="3"/>
        <v/>
      </c>
      <c r="E334" s="158" t="str">
        <f t="shared" si="4"/>
        <v/>
      </c>
      <c r="F334" s="158" t="str">
        <f t="shared" si="5"/>
        <v/>
      </c>
      <c r="G334" s="158" t="str">
        <f t="shared" si="6"/>
        <v/>
      </c>
      <c r="H334" s="158" t="b">
        <f t="shared" si="7"/>
        <v>1</v>
      </c>
      <c r="I334" s="158">
        <f t="shared" si="8"/>
        <v>209</v>
      </c>
      <c r="J334" s="158" t="str">
        <f>IFERROR(__xludf.DUMMYFUNCTION("IF(O334,LET(w,IFERROR(MATCH(N334,UNIQUE(FILTER($N$44:$N$408,$O$44:$O$408=TRUE)),0),""""),IF(OR(w="""",w&gt;$B$6),"""",w)),"""")"),"")</f>
        <v/>
      </c>
      <c r="K334" s="158" t="str">
        <f t="shared" si="9"/>
        <v/>
      </c>
      <c r="L334" s="158" t="str">
        <f t="shared" si="10"/>
        <v/>
      </c>
      <c r="M334" s="159" t="b">
        <f t="shared" si="11"/>
        <v>0</v>
      </c>
      <c r="N334" s="160">
        <f t="shared" si="12"/>
        <v>46531</v>
      </c>
      <c r="O334" s="163" t="b">
        <f t="shared" si="13"/>
        <v>1</v>
      </c>
      <c r="Q334" s="163">
        <f t="shared" si="14"/>
        <v>0</v>
      </c>
    </row>
    <row r="335" ht="15.75" customHeight="1">
      <c r="A335" s="174">
        <f t="shared" si="15"/>
        <v>46535</v>
      </c>
      <c r="B335" s="176" t="str">
        <f t="shared" si="1"/>
        <v>Friday</v>
      </c>
      <c r="C335" s="158" t="b">
        <f t="shared" si="2"/>
        <v>1</v>
      </c>
      <c r="D335" s="158" t="str">
        <f t="shared" si="3"/>
        <v/>
      </c>
      <c r="E335" s="158" t="str">
        <f t="shared" si="4"/>
        <v/>
      </c>
      <c r="F335" s="158" t="str">
        <f t="shared" si="5"/>
        <v/>
      </c>
      <c r="G335" s="158" t="str">
        <f t="shared" si="6"/>
        <v/>
      </c>
      <c r="H335" s="158" t="b">
        <f t="shared" si="7"/>
        <v>1</v>
      </c>
      <c r="I335" s="158">
        <f t="shared" si="8"/>
        <v>210</v>
      </c>
      <c r="J335" s="158" t="str">
        <f>IFERROR(__xludf.DUMMYFUNCTION("IF(O335,LET(w,IFERROR(MATCH(N335,UNIQUE(FILTER($N$44:$N$408,$O$44:$O$408=TRUE)),0),""""),IF(OR(w="""",w&gt;$B$6),"""",w)),"""")"),"")</f>
        <v/>
      </c>
      <c r="K335" s="158" t="str">
        <f t="shared" si="9"/>
        <v/>
      </c>
      <c r="L335" s="158" t="str">
        <f t="shared" si="10"/>
        <v/>
      </c>
      <c r="M335" s="159" t="b">
        <f t="shared" si="11"/>
        <v>0</v>
      </c>
      <c r="N335" s="160">
        <f t="shared" si="12"/>
        <v>46531</v>
      </c>
      <c r="O335" s="163" t="b">
        <f t="shared" si="13"/>
        <v>1</v>
      </c>
      <c r="Q335" s="163">
        <f t="shared" si="14"/>
        <v>0</v>
      </c>
    </row>
    <row r="336" ht="15.75" customHeight="1">
      <c r="A336" s="174">
        <f t="shared" si="15"/>
        <v>46536</v>
      </c>
      <c r="B336" s="176" t="str">
        <f t="shared" si="1"/>
        <v>Saturday</v>
      </c>
      <c r="C336" s="158" t="b">
        <f t="shared" si="2"/>
        <v>0</v>
      </c>
      <c r="D336" s="158" t="str">
        <f t="shared" si="3"/>
        <v/>
      </c>
      <c r="E336" s="158" t="str">
        <f t="shared" si="4"/>
        <v/>
      </c>
      <c r="F336" s="158" t="str">
        <f t="shared" si="5"/>
        <v/>
      </c>
      <c r="G336" s="158" t="str">
        <f t="shared" si="6"/>
        <v/>
      </c>
      <c r="H336" s="158" t="b">
        <f t="shared" si="7"/>
        <v>0</v>
      </c>
      <c r="I336" s="158" t="str">
        <f t="shared" si="8"/>
        <v/>
      </c>
      <c r="J336" s="158" t="str">
        <f>IFERROR(__xludf.DUMMYFUNCTION("IF(O336,LET(w,IFERROR(MATCH(N336,UNIQUE(FILTER($N$44:$N$408,$O$44:$O$408=TRUE)),0),""""),IF(OR(w="""",w&gt;$B$6),"""",w)),"""")"),"")</f>
        <v/>
      </c>
      <c r="K336" s="158" t="str">
        <f t="shared" si="9"/>
        <v/>
      </c>
      <c r="L336" s="158" t="str">
        <f t="shared" si="10"/>
        <v/>
      </c>
      <c r="M336" s="159" t="b">
        <f t="shared" si="11"/>
        <v>0</v>
      </c>
      <c r="N336" s="160">
        <f t="shared" si="12"/>
        <v>46531</v>
      </c>
      <c r="O336" s="163" t="b">
        <f t="shared" si="13"/>
        <v>1</v>
      </c>
      <c r="Q336" s="163">
        <f t="shared" si="14"/>
        <v>0</v>
      </c>
    </row>
    <row r="337" ht="15.75" customHeight="1">
      <c r="A337" s="174">
        <f t="shared" si="15"/>
        <v>46537</v>
      </c>
      <c r="B337" s="176" t="str">
        <f t="shared" si="1"/>
        <v>Sunday</v>
      </c>
      <c r="C337" s="158" t="b">
        <f t="shared" si="2"/>
        <v>0</v>
      </c>
      <c r="D337" s="158" t="str">
        <f t="shared" si="3"/>
        <v/>
      </c>
      <c r="E337" s="158" t="str">
        <f t="shared" si="4"/>
        <v/>
      </c>
      <c r="F337" s="158" t="str">
        <f t="shared" si="5"/>
        <v/>
      </c>
      <c r="G337" s="158" t="str">
        <f t="shared" si="6"/>
        <v/>
      </c>
      <c r="H337" s="158" t="b">
        <f t="shared" si="7"/>
        <v>0</v>
      </c>
      <c r="I337" s="158" t="str">
        <f t="shared" si="8"/>
        <v/>
      </c>
      <c r="J337" s="158" t="str">
        <f>IFERROR(__xludf.DUMMYFUNCTION("IF(O337,LET(w,IFERROR(MATCH(N337,UNIQUE(FILTER($N$44:$N$408,$O$44:$O$408=TRUE)),0),""""),IF(OR(w="""",w&gt;$B$6),"""",w)),"""")"),"")</f>
        <v/>
      </c>
      <c r="K337" s="158" t="str">
        <f t="shared" si="9"/>
        <v/>
      </c>
      <c r="L337" s="158" t="str">
        <f t="shared" si="10"/>
        <v/>
      </c>
      <c r="M337" s="159" t="b">
        <f t="shared" si="11"/>
        <v>0</v>
      </c>
      <c r="N337" s="160">
        <f t="shared" si="12"/>
        <v>46531</v>
      </c>
      <c r="O337" s="163" t="b">
        <f t="shared" si="13"/>
        <v>1</v>
      </c>
      <c r="Q337" s="163">
        <f t="shared" si="14"/>
        <v>0</v>
      </c>
    </row>
    <row r="338" ht="15.75" customHeight="1">
      <c r="A338" s="174">
        <f t="shared" si="15"/>
        <v>46538</v>
      </c>
      <c r="B338" s="176" t="str">
        <f t="shared" si="1"/>
        <v>Monday</v>
      </c>
      <c r="C338" s="158" t="b">
        <f t="shared" si="2"/>
        <v>1</v>
      </c>
      <c r="D338" s="158" t="str">
        <f t="shared" si="3"/>
        <v/>
      </c>
      <c r="E338" s="158" t="str">
        <f t="shared" si="4"/>
        <v/>
      </c>
      <c r="F338" s="158" t="str">
        <f t="shared" si="5"/>
        <v/>
      </c>
      <c r="G338" s="158" t="str">
        <f t="shared" si="6"/>
        <v/>
      </c>
      <c r="H338" s="158" t="b">
        <f t="shared" si="7"/>
        <v>1</v>
      </c>
      <c r="I338" s="158">
        <f t="shared" si="8"/>
        <v>211</v>
      </c>
      <c r="J338" s="158" t="str">
        <f>IFERROR(__xludf.DUMMYFUNCTION("IF(O338,LET(w,IFERROR(MATCH(N338,UNIQUE(FILTER($N$44:$N$408,$O$44:$O$408=TRUE)),0),""""),IF(OR(w="""",w&gt;$B$6),"""",w)),"""")"),"")</f>
        <v/>
      </c>
      <c r="K338" s="158" t="str">
        <f t="shared" si="9"/>
        <v/>
      </c>
      <c r="L338" s="158" t="str">
        <f t="shared" si="10"/>
        <v/>
      </c>
      <c r="M338" s="159" t="b">
        <f t="shared" si="11"/>
        <v>0</v>
      </c>
      <c r="N338" s="160">
        <f t="shared" si="12"/>
        <v>46538</v>
      </c>
      <c r="O338" s="163" t="b">
        <f t="shared" si="13"/>
        <v>1</v>
      </c>
      <c r="Q338" s="163">
        <f t="shared" si="14"/>
        <v>0</v>
      </c>
    </row>
    <row r="339" ht="15.75" customHeight="1">
      <c r="A339" s="174">
        <f t="shared" si="15"/>
        <v>46539</v>
      </c>
      <c r="B339" s="176" t="str">
        <f t="shared" si="1"/>
        <v>Tuesday</v>
      </c>
      <c r="C339" s="158" t="b">
        <f t="shared" si="2"/>
        <v>1</v>
      </c>
      <c r="D339" s="158" t="str">
        <f t="shared" si="3"/>
        <v/>
      </c>
      <c r="E339" s="158" t="str">
        <f t="shared" si="4"/>
        <v/>
      </c>
      <c r="F339" s="158" t="str">
        <f t="shared" si="5"/>
        <v/>
      </c>
      <c r="G339" s="158" t="str">
        <f t="shared" si="6"/>
        <v/>
      </c>
      <c r="H339" s="158" t="b">
        <f t="shared" si="7"/>
        <v>1</v>
      </c>
      <c r="I339" s="158">
        <f t="shared" si="8"/>
        <v>212</v>
      </c>
      <c r="J339" s="158" t="str">
        <f>IFERROR(__xludf.DUMMYFUNCTION("IF(O339,LET(w,IFERROR(MATCH(N339,UNIQUE(FILTER($N$44:$N$408,$O$44:$O$408=TRUE)),0),""""),IF(OR(w="""",w&gt;$B$6),"""",w)),"""")"),"")</f>
        <v/>
      </c>
      <c r="K339" s="158" t="str">
        <f t="shared" si="9"/>
        <v/>
      </c>
      <c r="L339" s="158" t="str">
        <f t="shared" si="10"/>
        <v/>
      </c>
      <c r="M339" s="159" t="b">
        <f t="shared" si="11"/>
        <v>0</v>
      </c>
      <c r="N339" s="160">
        <f t="shared" si="12"/>
        <v>46538</v>
      </c>
      <c r="O339" s="163" t="b">
        <f t="shared" si="13"/>
        <v>1</v>
      </c>
      <c r="Q339" s="163">
        <f t="shared" si="14"/>
        <v>0</v>
      </c>
    </row>
    <row r="340" ht="15.75" customHeight="1">
      <c r="A340" s="174">
        <f t="shared" si="15"/>
        <v>46540</v>
      </c>
      <c r="B340" s="176" t="str">
        <f t="shared" si="1"/>
        <v>Wednesday</v>
      </c>
      <c r="C340" s="158" t="b">
        <f t="shared" si="2"/>
        <v>1</v>
      </c>
      <c r="D340" s="158" t="str">
        <f t="shared" si="3"/>
        <v/>
      </c>
      <c r="E340" s="158" t="str">
        <f t="shared" si="4"/>
        <v/>
      </c>
      <c r="F340" s="158" t="str">
        <f t="shared" si="5"/>
        <v/>
      </c>
      <c r="G340" s="158" t="str">
        <f t="shared" si="6"/>
        <v/>
      </c>
      <c r="H340" s="158" t="b">
        <f t="shared" si="7"/>
        <v>1</v>
      </c>
      <c r="I340" s="158">
        <f t="shared" si="8"/>
        <v>213</v>
      </c>
      <c r="J340" s="158" t="str">
        <f>IFERROR(__xludf.DUMMYFUNCTION("IF(O340,LET(w,IFERROR(MATCH(N340,UNIQUE(FILTER($N$44:$N$408,$O$44:$O$408=TRUE)),0),""""),IF(OR(w="""",w&gt;$B$6),"""",w)),"""")"),"")</f>
        <v/>
      </c>
      <c r="K340" s="158" t="str">
        <f t="shared" si="9"/>
        <v/>
      </c>
      <c r="L340" s="158" t="str">
        <f t="shared" si="10"/>
        <v/>
      </c>
      <c r="M340" s="159" t="b">
        <f t="shared" si="11"/>
        <v>0</v>
      </c>
      <c r="N340" s="160">
        <f t="shared" si="12"/>
        <v>46538</v>
      </c>
      <c r="O340" s="163" t="b">
        <f t="shared" si="13"/>
        <v>1</v>
      </c>
      <c r="Q340" s="163">
        <f t="shared" si="14"/>
        <v>0</v>
      </c>
    </row>
    <row r="341" ht="15.75" customHeight="1">
      <c r="A341" s="174">
        <f t="shared" si="15"/>
        <v>46541</v>
      </c>
      <c r="B341" s="176" t="str">
        <f t="shared" si="1"/>
        <v>Thursday</v>
      </c>
      <c r="C341" s="158" t="b">
        <f t="shared" si="2"/>
        <v>1</v>
      </c>
      <c r="D341" s="158" t="str">
        <f t="shared" si="3"/>
        <v/>
      </c>
      <c r="E341" s="158" t="str">
        <f t="shared" si="4"/>
        <v/>
      </c>
      <c r="F341" s="158" t="str">
        <f t="shared" si="5"/>
        <v/>
      </c>
      <c r="G341" s="158" t="str">
        <f t="shared" si="6"/>
        <v/>
      </c>
      <c r="H341" s="158" t="b">
        <f t="shared" si="7"/>
        <v>1</v>
      </c>
      <c r="I341" s="158">
        <f t="shared" si="8"/>
        <v>214</v>
      </c>
      <c r="J341" s="158" t="str">
        <f>IFERROR(__xludf.DUMMYFUNCTION("IF(O341,LET(w,IFERROR(MATCH(N341,UNIQUE(FILTER($N$44:$N$408,$O$44:$O$408=TRUE)),0),""""),IF(OR(w="""",w&gt;$B$6),"""",w)),"""")"),"")</f>
        <v/>
      </c>
      <c r="K341" s="158" t="str">
        <f t="shared" si="9"/>
        <v/>
      </c>
      <c r="L341" s="158" t="str">
        <f t="shared" si="10"/>
        <v/>
      </c>
      <c r="M341" s="159" t="b">
        <f t="shared" si="11"/>
        <v>0</v>
      </c>
      <c r="N341" s="160">
        <f t="shared" si="12"/>
        <v>46538</v>
      </c>
      <c r="O341" s="163" t="b">
        <f t="shared" si="13"/>
        <v>1</v>
      </c>
      <c r="Q341" s="163">
        <f t="shared" si="14"/>
        <v>0</v>
      </c>
    </row>
    <row r="342" ht="15.75" customHeight="1">
      <c r="A342" s="174">
        <f t="shared" si="15"/>
        <v>46542</v>
      </c>
      <c r="B342" s="176" t="str">
        <f t="shared" si="1"/>
        <v>Friday</v>
      </c>
      <c r="C342" s="158" t="b">
        <f t="shared" si="2"/>
        <v>1</v>
      </c>
      <c r="D342" s="158" t="str">
        <f t="shared" si="3"/>
        <v/>
      </c>
      <c r="E342" s="158" t="str">
        <f t="shared" si="4"/>
        <v/>
      </c>
      <c r="F342" s="158" t="str">
        <f t="shared" si="5"/>
        <v/>
      </c>
      <c r="G342" s="158" t="str">
        <f t="shared" si="6"/>
        <v/>
      </c>
      <c r="H342" s="158" t="b">
        <f t="shared" si="7"/>
        <v>1</v>
      </c>
      <c r="I342" s="158">
        <f t="shared" si="8"/>
        <v>215</v>
      </c>
      <c r="J342" s="158" t="str">
        <f>IFERROR(__xludf.DUMMYFUNCTION("IF(O342,LET(w,IFERROR(MATCH(N342,UNIQUE(FILTER($N$44:$N$408,$O$44:$O$408=TRUE)),0),""""),IF(OR(w="""",w&gt;$B$6),"""",w)),"""")"),"")</f>
        <v/>
      </c>
      <c r="K342" s="158" t="str">
        <f t="shared" si="9"/>
        <v/>
      </c>
      <c r="L342" s="158" t="str">
        <f t="shared" si="10"/>
        <v/>
      </c>
      <c r="M342" s="159" t="b">
        <f t="shared" si="11"/>
        <v>0</v>
      </c>
      <c r="N342" s="160">
        <f t="shared" si="12"/>
        <v>46538</v>
      </c>
      <c r="O342" s="163" t="b">
        <f t="shared" si="13"/>
        <v>1</v>
      </c>
      <c r="Q342" s="163">
        <f t="shared" si="14"/>
        <v>0</v>
      </c>
    </row>
    <row r="343" ht="15.75" customHeight="1">
      <c r="A343" s="174">
        <f t="shared" si="15"/>
        <v>46543</v>
      </c>
      <c r="B343" s="176" t="str">
        <f t="shared" si="1"/>
        <v>Saturday</v>
      </c>
      <c r="C343" s="158" t="b">
        <f t="shared" si="2"/>
        <v>0</v>
      </c>
      <c r="D343" s="158" t="str">
        <f t="shared" si="3"/>
        <v/>
      </c>
      <c r="E343" s="158" t="str">
        <f t="shared" si="4"/>
        <v/>
      </c>
      <c r="F343" s="158" t="str">
        <f t="shared" si="5"/>
        <v/>
      </c>
      <c r="G343" s="158" t="str">
        <f t="shared" si="6"/>
        <v/>
      </c>
      <c r="H343" s="158" t="b">
        <f t="shared" si="7"/>
        <v>0</v>
      </c>
      <c r="I343" s="158" t="str">
        <f t="shared" si="8"/>
        <v/>
      </c>
      <c r="J343" s="158" t="str">
        <f>IFERROR(__xludf.DUMMYFUNCTION("IF(O343,LET(w,IFERROR(MATCH(N343,UNIQUE(FILTER($N$44:$N$408,$O$44:$O$408=TRUE)),0),""""),IF(OR(w="""",w&gt;$B$6),"""",w)),"""")"),"")</f>
        <v/>
      </c>
      <c r="K343" s="158" t="str">
        <f t="shared" si="9"/>
        <v/>
      </c>
      <c r="L343" s="158" t="str">
        <f t="shared" si="10"/>
        <v/>
      </c>
      <c r="M343" s="159" t="b">
        <f t="shared" si="11"/>
        <v>0</v>
      </c>
      <c r="N343" s="160">
        <f t="shared" si="12"/>
        <v>46538</v>
      </c>
      <c r="O343" s="163" t="b">
        <f t="shared" si="13"/>
        <v>1</v>
      </c>
      <c r="Q343" s="163">
        <f t="shared" si="14"/>
        <v>0</v>
      </c>
    </row>
    <row r="344" ht="15.75" customHeight="1">
      <c r="A344" s="174">
        <f t="shared" si="15"/>
        <v>46544</v>
      </c>
      <c r="B344" s="176" t="str">
        <f t="shared" si="1"/>
        <v>Sunday</v>
      </c>
      <c r="C344" s="158" t="b">
        <f t="shared" si="2"/>
        <v>0</v>
      </c>
      <c r="D344" s="158" t="str">
        <f t="shared" si="3"/>
        <v/>
      </c>
      <c r="E344" s="158" t="str">
        <f t="shared" si="4"/>
        <v/>
      </c>
      <c r="F344" s="158" t="str">
        <f t="shared" si="5"/>
        <v/>
      </c>
      <c r="G344" s="158" t="str">
        <f t="shared" si="6"/>
        <v/>
      </c>
      <c r="H344" s="158" t="b">
        <f t="shared" si="7"/>
        <v>0</v>
      </c>
      <c r="I344" s="158" t="str">
        <f t="shared" si="8"/>
        <v/>
      </c>
      <c r="J344" s="158" t="str">
        <f>IFERROR(__xludf.DUMMYFUNCTION("IF(O344,LET(w,IFERROR(MATCH(N344,UNIQUE(FILTER($N$44:$N$408,$O$44:$O$408=TRUE)),0),""""),IF(OR(w="""",w&gt;$B$6),"""",w)),"""")"),"")</f>
        <v/>
      </c>
      <c r="K344" s="158" t="str">
        <f t="shared" si="9"/>
        <v/>
      </c>
      <c r="L344" s="158" t="str">
        <f t="shared" si="10"/>
        <v/>
      </c>
      <c r="M344" s="159" t="b">
        <f t="shared" si="11"/>
        <v>0</v>
      </c>
      <c r="N344" s="160">
        <f t="shared" si="12"/>
        <v>46538</v>
      </c>
      <c r="O344" s="163" t="b">
        <f t="shared" si="13"/>
        <v>1</v>
      </c>
      <c r="Q344" s="163">
        <f t="shared" si="14"/>
        <v>0</v>
      </c>
    </row>
    <row r="345" ht="15.75" customHeight="1">
      <c r="A345" s="174">
        <f t="shared" si="15"/>
        <v>46545</v>
      </c>
      <c r="B345" s="176" t="str">
        <f t="shared" si="1"/>
        <v>Monday</v>
      </c>
      <c r="C345" s="158" t="b">
        <f t="shared" si="2"/>
        <v>1</v>
      </c>
      <c r="D345" s="158" t="str">
        <f t="shared" si="3"/>
        <v/>
      </c>
      <c r="E345" s="158" t="str">
        <f t="shared" si="4"/>
        <v/>
      </c>
      <c r="F345" s="158" t="str">
        <f t="shared" si="5"/>
        <v/>
      </c>
      <c r="G345" s="158" t="str">
        <f t="shared" si="6"/>
        <v/>
      </c>
      <c r="H345" s="158" t="b">
        <f t="shared" si="7"/>
        <v>1</v>
      </c>
      <c r="I345" s="158">
        <f t="shared" si="8"/>
        <v>216</v>
      </c>
      <c r="J345" s="158" t="str">
        <f>IFERROR(__xludf.DUMMYFUNCTION("IF(O345,LET(w,IFERROR(MATCH(N345,UNIQUE(FILTER($N$44:$N$408,$O$44:$O$408=TRUE)),0),""""),IF(OR(w="""",w&gt;$B$6),"""",w)),"""")"),"")</f>
        <v/>
      </c>
      <c r="K345" s="158" t="str">
        <f t="shared" si="9"/>
        <v/>
      </c>
      <c r="L345" s="158" t="str">
        <f t="shared" si="10"/>
        <v/>
      </c>
      <c r="M345" s="159" t="b">
        <f t="shared" si="11"/>
        <v>0</v>
      </c>
      <c r="N345" s="160">
        <f t="shared" si="12"/>
        <v>46545</v>
      </c>
      <c r="O345" s="163" t="b">
        <f t="shared" si="13"/>
        <v>1</v>
      </c>
      <c r="Q345" s="163">
        <f t="shared" si="14"/>
        <v>0</v>
      </c>
    </row>
    <row r="346" ht="15.75" customHeight="1">
      <c r="A346" s="174">
        <f t="shared" si="15"/>
        <v>46546</v>
      </c>
      <c r="B346" s="176" t="str">
        <f t="shared" si="1"/>
        <v>Tuesday</v>
      </c>
      <c r="C346" s="158" t="b">
        <f t="shared" si="2"/>
        <v>1</v>
      </c>
      <c r="D346" s="158" t="str">
        <f t="shared" si="3"/>
        <v/>
      </c>
      <c r="E346" s="158" t="str">
        <f t="shared" si="4"/>
        <v/>
      </c>
      <c r="F346" s="158" t="str">
        <f t="shared" si="5"/>
        <v/>
      </c>
      <c r="G346" s="158" t="str">
        <f t="shared" si="6"/>
        <v/>
      </c>
      <c r="H346" s="158" t="b">
        <f t="shared" si="7"/>
        <v>1</v>
      </c>
      <c r="I346" s="158">
        <f t="shared" si="8"/>
        <v>217</v>
      </c>
      <c r="J346" s="158" t="str">
        <f>IFERROR(__xludf.DUMMYFUNCTION("IF(O346,LET(w,IFERROR(MATCH(N346,UNIQUE(FILTER($N$44:$N$408,$O$44:$O$408=TRUE)),0),""""),IF(OR(w="""",w&gt;$B$6),"""",w)),"""")"),"")</f>
        <v/>
      </c>
      <c r="K346" s="158" t="str">
        <f t="shared" si="9"/>
        <v/>
      </c>
      <c r="L346" s="158" t="str">
        <f t="shared" si="10"/>
        <v/>
      </c>
      <c r="M346" s="159" t="b">
        <f t="shared" si="11"/>
        <v>0</v>
      </c>
      <c r="N346" s="160">
        <f t="shared" si="12"/>
        <v>46545</v>
      </c>
      <c r="O346" s="163" t="b">
        <f t="shared" si="13"/>
        <v>1</v>
      </c>
      <c r="Q346" s="163">
        <f t="shared" si="14"/>
        <v>0</v>
      </c>
    </row>
    <row r="347" ht="15.75" customHeight="1">
      <c r="A347" s="174">
        <f t="shared" si="15"/>
        <v>46547</v>
      </c>
      <c r="B347" s="176" t="str">
        <f t="shared" si="1"/>
        <v>Wednesday</v>
      </c>
      <c r="C347" s="158" t="b">
        <f t="shared" si="2"/>
        <v>1</v>
      </c>
      <c r="D347" s="158" t="str">
        <f t="shared" si="3"/>
        <v/>
      </c>
      <c r="E347" s="158" t="str">
        <f t="shared" si="4"/>
        <v/>
      </c>
      <c r="F347" s="158" t="str">
        <f t="shared" si="5"/>
        <v/>
      </c>
      <c r="G347" s="158" t="str">
        <f t="shared" si="6"/>
        <v/>
      </c>
      <c r="H347" s="158" t="b">
        <f t="shared" si="7"/>
        <v>1</v>
      </c>
      <c r="I347" s="158">
        <f t="shared" si="8"/>
        <v>218</v>
      </c>
      <c r="J347" s="158" t="str">
        <f>IFERROR(__xludf.DUMMYFUNCTION("IF(O347,LET(w,IFERROR(MATCH(N347,UNIQUE(FILTER($N$44:$N$408,$O$44:$O$408=TRUE)),0),""""),IF(OR(w="""",w&gt;$B$6),"""",w)),"""")"),"")</f>
        <v/>
      </c>
      <c r="K347" s="158" t="str">
        <f t="shared" si="9"/>
        <v/>
      </c>
      <c r="L347" s="158" t="str">
        <f t="shared" si="10"/>
        <v/>
      </c>
      <c r="M347" s="159" t="b">
        <f t="shared" si="11"/>
        <v>0</v>
      </c>
      <c r="N347" s="160">
        <f t="shared" si="12"/>
        <v>46545</v>
      </c>
      <c r="O347" s="163" t="b">
        <f t="shared" si="13"/>
        <v>1</v>
      </c>
      <c r="Q347" s="163">
        <f t="shared" si="14"/>
        <v>0</v>
      </c>
    </row>
    <row r="348" ht="15.75" customHeight="1">
      <c r="A348" s="174">
        <f t="shared" si="15"/>
        <v>46548</v>
      </c>
      <c r="B348" s="176" t="str">
        <f t="shared" si="1"/>
        <v>Thursday</v>
      </c>
      <c r="C348" s="158" t="b">
        <f t="shared" si="2"/>
        <v>1</v>
      </c>
      <c r="D348" s="158" t="str">
        <f t="shared" si="3"/>
        <v/>
      </c>
      <c r="E348" s="158" t="str">
        <f t="shared" si="4"/>
        <v/>
      </c>
      <c r="F348" s="158" t="str">
        <f t="shared" si="5"/>
        <v/>
      </c>
      <c r="G348" s="158" t="str">
        <f t="shared" si="6"/>
        <v/>
      </c>
      <c r="H348" s="158" t="b">
        <f t="shared" si="7"/>
        <v>1</v>
      </c>
      <c r="I348" s="158">
        <f t="shared" si="8"/>
        <v>219</v>
      </c>
      <c r="J348" s="158" t="str">
        <f>IFERROR(__xludf.DUMMYFUNCTION("IF(O348,LET(w,IFERROR(MATCH(N348,UNIQUE(FILTER($N$44:$N$408,$O$44:$O$408=TRUE)),0),""""),IF(OR(w="""",w&gt;$B$6),"""",w)),"""")"),"")</f>
        <v/>
      </c>
      <c r="K348" s="158" t="str">
        <f t="shared" si="9"/>
        <v/>
      </c>
      <c r="L348" s="158" t="str">
        <f t="shared" si="10"/>
        <v/>
      </c>
      <c r="M348" s="159" t="b">
        <f t="shared" si="11"/>
        <v>0</v>
      </c>
      <c r="N348" s="160">
        <f t="shared" si="12"/>
        <v>46545</v>
      </c>
      <c r="O348" s="163" t="b">
        <f t="shared" si="13"/>
        <v>1</v>
      </c>
      <c r="Q348" s="163">
        <f t="shared" si="14"/>
        <v>0</v>
      </c>
    </row>
    <row r="349" ht="15.75" customHeight="1">
      <c r="A349" s="174">
        <f t="shared" si="15"/>
        <v>46549</v>
      </c>
      <c r="B349" s="176" t="str">
        <f t="shared" si="1"/>
        <v>Friday</v>
      </c>
      <c r="C349" s="158" t="b">
        <f t="shared" si="2"/>
        <v>1</v>
      </c>
      <c r="D349" s="158" t="str">
        <f t="shared" si="3"/>
        <v/>
      </c>
      <c r="E349" s="158" t="str">
        <f t="shared" si="4"/>
        <v/>
      </c>
      <c r="F349" s="158" t="str">
        <f t="shared" si="5"/>
        <v/>
      </c>
      <c r="G349" s="158" t="str">
        <f t="shared" si="6"/>
        <v/>
      </c>
      <c r="H349" s="158" t="b">
        <f t="shared" si="7"/>
        <v>1</v>
      </c>
      <c r="I349" s="158">
        <f t="shared" si="8"/>
        <v>220</v>
      </c>
      <c r="J349" s="158" t="str">
        <f>IFERROR(__xludf.DUMMYFUNCTION("IF(O349,LET(w,IFERROR(MATCH(N349,UNIQUE(FILTER($N$44:$N$408,$O$44:$O$408=TRUE)),0),""""),IF(OR(w="""",w&gt;$B$6),"""",w)),"""")"),"")</f>
        <v/>
      </c>
      <c r="K349" s="158" t="str">
        <f t="shared" si="9"/>
        <v/>
      </c>
      <c r="L349" s="158" t="str">
        <f t="shared" si="10"/>
        <v/>
      </c>
      <c r="M349" s="159" t="b">
        <f t="shared" si="11"/>
        <v>0</v>
      </c>
      <c r="N349" s="160">
        <f t="shared" si="12"/>
        <v>46545</v>
      </c>
      <c r="O349" s="163" t="b">
        <f t="shared" si="13"/>
        <v>1</v>
      </c>
      <c r="Q349" s="163">
        <f t="shared" si="14"/>
        <v>0</v>
      </c>
    </row>
    <row r="350" ht="15.75" customHeight="1">
      <c r="A350" s="174">
        <f t="shared" si="15"/>
        <v>46550</v>
      </c>
      <c r="B350" s="176" t="str">
        <f t="shared" si="1"/>
        <v>Saturday</v>
      </c>
      <c r="C350" s="158" t="b">
        <f t="shared" si="2"/>
        <v>0</v>
      </c>
      <c r="D350" s="158" t="str">
        <f t="shared" si="3"/>
        <v/>
      </c>
      <c r="E350" s="158" t="str">
        <f t="shared" si="4"/>
        <v/>
      </c>
      <c r="F350" s="158" t="str">
        <f t="shared" si="5"/>
        <v/>
      </c>
      <c r="G350" s="158" t="str">
        <f t="shared" si="6"/>
        <v/>
      </c>
      <c r="H350" s="158" t="b">
        <f t="shared" si="7"/>
        <v>0</v>
      </c>
      <c r="I350" s="158" t="str">
        <f t="shared" si="8"/>
        <v/>
      </c>
      <c r="J350" s="158" t="str">
        <f>IFERROR(__xludf.DUMMYFUNCTION("IF(O350,LET(w,IFERROR(MATCH(N350,UNIQUE(FILTER($N$44:$N$408,$O$44:$O$408=TRUE)),0),""""),IF(OR(w="""",w&gt;$B$6),"""",w)),"""")"),"")</f>
        <v/>
      </c>
      <c r="K350" s="158" t="str">
        <f t="shared" si="9"/>
        <v/>
      </c>
      <c r="L350" s="158" t="str">
        <f t="shared" si="10"/>
        <v/>
      </c>
      <c r="M350" s="159" t="b">
        <f t="shared" si="11"/>
        <v>0</v>
      </c>
      <c r="N350" s="160">
        <f t="shared" si="12"/>
        <v>46545</v>
      </c>
      <c r="O350" s="163" t="b">
        <f t="shared" si="13"/>
        <v>1</v>
      </c>
      <c r="Q350" s="163">
        <f t="shared" si="14"/>
        <v>0</v>
      </c>
    </row>
    <row r="351" ht="15.75" customHeight="1">
      <c r="A351" s="174">
        <f t="shared" si="15"/>
        <v>46551</v>
      </c>
      <c r="B351" s="176" t="str">
        <f t="shared" si="1"/>
        <v>Sunday</v>
      </c>
      <c r="C351" s="158" t="b">
        <f t="shared" si="2"/>
        <v>0</v>
      </c>
      <c r="D351" s="158" t="str">
        <f t="shared" si="3"/>
        <v/>
      </c>
      <c r="E351" s="158" t="str">
        <f t="shared" si="4"/>
        <v/>
      </c>
      <c r="F351" s="158" t="str">
        <f t="shared" si="5"/>
        <v/>
      </c>
      <c r="G351" s="158" t="str">
        <f t="shared" si="6"/>
        <v/>
      </c>
      <c r="H351" s="158" t="b">
        <f t="shared" si="7"/>
        <v>0</v>
      </c>
      <c r="I351" s="158" t="str">
        <f t="shared" si="8"/>
        <v/>
      </c>
      <c r="J351" s="158" t="str">
        <f>IFERROR(__xludf.DUMMYFUNCTION("IF(O351,LET(w,IFERROR(MATCH(N351,UNIQUE(FILTER($N$44:$N$408,$O$44:$O$408=TRUE)),0),""""),IF(OR(w="""",w&gt;$B$6),"""",w)),"""")"),"")</f>
        <v/>
      </c>
      <c r="K351" s="158" t="str">
        <f t="shared" si="9"/>
        <v/>
      </c>
      <c r="L351" s="158" t="str">
        <f t="shared" si="10"/>
        <v/>
      </c>
      <c r="M351" s="159" t="b">
        <f t="shared" si="11"/>
        <v>0</v>
      </c>
      <c r="N351" s="160">
        <f t="shared" si="12"/>
        <v>46545</v>
      </c>
      <c r="O351" s="163" t="b">
        <f t="shared" si="13"/>
        <v>1</v>
      </c>
      <c r="Q351" s="163">
        <f t="shared" si="14"/>
        <v>0</v>
      </c>
    </row>
    <row r="352" ht="15.75" customHeight="1">
      <c r="A352" s="174">
        <f t="shared" si="15"/>
        <v>46552</v>
      </c>
      <c r="B352" s="176" t="str">
        <f t="shared" si="1"/>
        <v>Monday</v>
      </c>
      <c r="C352" s="158" t="b">
        <f t="shared" si="2"/>
        <v>1</v>
      </c>
      <c r="D352" s="158" t="str">
        <f t="shared" si="3"/>
        <v/>
      </c>
      <c r="E352" s="158" t="str">
        <f t="shared" si="4"/>
        <v/>
      </c>
      <c r="F352" s="158" t="str">
        <f t="shared" si="5"/>
        <v/>
      </c>
      <c r="G352" s="158" t="str">
        <f t="shared" si="6"/>
        <v/>
      </c>
      <c r="H352" s="158" t="b">
        <f t="shared" si="7"/>
        <v>1</v>
      </c>
      <c r="I352" s="158">
        <f t="shared" si="8"/>
        <v>221</v>
      </c>
      <c r="J352" s="158" t="str">
        <f>IFERROR(__xludf.DUMMYFUNCTION("IF(O352,LET(w,IFERROR(MATCH(N352,UNIQUE(FILTER($N$44:$N$408,$O$44:$O$408=TRUE)),0),""""),IF(OR(w="""",w&gt;$B$6),"""",w)),"""")"),"")</f>
        <v/>
      </c>
      <c r="K352" s="158" t="str">
        <f t="shared" si="9"/>
        <v/>
      </c>
      <c r="L352" s="158" t="str">
        <f t="shared" si="10"/>
        <v/>
      </c>
      <c r="M352" s="159" t="b">
        <f t="shared" si="11"/>
        <v>0</v>
      </c>
      <c r="N352" s="160">
        <f t="shared" si="12"/>
        <v>46552</v>
      </c>
      <c r="O352" s="163" t="b">
        <f t="shared" si="13"/>
        <v>1</v>
      </c>
      <c r="Q352" s="163">
        <f t="shared" si="14"/>
        <v>0</v>
      </c>
    </row>
    <row r="353" ht="15.75" customHeight="1">
      <c r="A353" s="174">
        <f t="shared" si="15"/>
        <v>46553</v>
      </c>
      <c r="B353" s="176" t="str">
        <f t="shared" si="1"/>
        <v>Tuesday</v>
      </c>
      <c r="C353" s="158" t="b">
        <f t="shared" si="2"/>
        <v>1</v>
      </c>
      <c r="D353" s="158" t="str">
        <f t="shared" si="3"/>
        <v/>
      </c>
      <c r="E353" s="158" t="str">
        <f t="shared" si="4"/>
        <v/>
      </c>
      <c r="F353" s="158" t="str">
        <f t="shared" si="5"/>
        <v/>
      </c>
      <c r="G353" s="158" t="str">
        <f t="shared" si="6"/>
        <v/>
      </c>
      <c r="H353" s="158" t="b">
        <f t="shared" si="7"/>
        <v>1</v>
      </c>
      <c r="I353" s="158">
        <f t="shared" si="8"/>
        <v>222</v>
      </c>
      <c r="J353" s="158" t="str">
        <f>IFERROR(__xludf.DUMMYFUNCTION("IF(O353,LET(w,IFERROR(MATCH(N353,UNIQUE(FILTER($N$44:$N$408,$O$44:$O$408=TRUE)),0),""""),IF(OR(w="""",w&gt;$B$6),"""",w)),"""")"),"")</f>
        <v/>
      </c>
      <c r="K353" s="158" t="str">
        <f t="shared" si="9"/>
        <v/>
      </c>
      <c r="L353" s="158" t="str">
        <f t="shared" si="10"/>
        <v/>
      </c>
      <c r="M353" s="159" t="b">
        <f t="shared" si="11"/>
        <v>0</v>
      </c>
      <c r="N353" s="160">
        <f t="shared" si="12"/>
        <v>46552</v>
      </c>
      <c r="O353" s="163" t="b">
        <f t="shared" si="13"/>
        <v>1</v>
      </c>
      <c r="Q353" s="163">
        <f t="shared" si="14"/>
        <v>0</v>
      </c>
    </row>
    <row r="354" ht="15.75" customHeight="1">
      <c r="A354" s="174">
        <f t="shared" si="15"/>
        <v>46554</v>
      </c>
      <c r="B354" s="176" t="str">
        <f t="shared" si="1"/>
        <v>Wednesday</v>
      </c>
      <c r="C354" s="158" t="b">
        <f t="shared" si="2"/>
        <v>1</v>
      </c>
      <c r="D354" s="158" t="str">
        <f t="shared" si="3"/>
        <v/>
      </c>
      <c r="E354" s="158" t="str">
        <f t="shared" si="4"/>
        <v/>
      </c>
      <c r="F354" s="158" t="str">
        <f t="shared" si="5"/>
        <v/>
      </c>
      <c r="G354" s="158" t="str">
        <f t="shared" si="6"/>
        <v/>
      </c>
      <c r="H354" s="158" t="b">
        <f t="shared" si="7"/>
        <v>1</v>
      </c>
      <c r="I354" s="158">
        <f t="shared" si="8"/>
        <v>223</v>
      </c>
      <c r="J354" s="158" t="str">
        <f>IFERROR(__xludf.DUMMYFUNCTION("IF(O354,LET(w,IFERROR(MATCH(N354,UNIQUE(FILTER($N$44:$N$408,$O$44:$O$408=TRUE)),0),""""),IF(OR(w="""",w&gt;$B$6),"""",w)),"""")"),"")</f>
        <v/>
      </c>
      <c r="K354" s="158" t="str">
        <f t="shared" si="9"/>
        <v/>
      </c>
      <c r="L354" s="158" t="str">
        <f t="shared" si="10"/>
        <v/>
      </c>
      <c r="M354" s="159" t="b">
        <f t="shared" si="11"/>
        <v>0</v>
      </c>
      <c r="N354" s="160">
        <f t="shared" si="12"/>
        <v>46552</v>
      </c>
      <c r="O354" s="163" t="b">
        <f t="shared" si="13"/>
        <v>1</v>
      </c>
      <c r="Q354" s="163">
        <f t="shared" si="14"/>
        <v>0</v>
      </c>
    </row>
    <row r="355" ht="15.75" customHeight="1">
      <c r="A355" s="174">
        <f t="shared" si="15"/>
        <v>46555</v>
      </c>
      <c r="B355" s="176" t="str">
        <f t="shared" si="1"/>
        <v>Thursday</v>
      </c>
      <c r="C355" s="158" t="b">
        <f t="shared" si="2"/>
        <v>1</v>
      </c>
      <c r="D355" s="158" t="str">
        <f t="shared" si="3"/>
        <v/>
      </c>
      <c r="E355" s="158" t="str">
        <f t="shared" si="4"/>
        <v/>
      </c>
      <c r="F355" s="158" t="str">
        <f t="shared" si="5"/>
        <v/>
      </c>
      <c r="G355" s="158" t="str">
        <f t="shared" si="6"/>
        <v/>
      </c>
      <c r="H355" s="158" t="b">
        <f t="shared" si="7"/>
        <v>1</v>
      </c>
      <c r="I355" s="158">
        <f t="shared" si="8"/>
        <v>224</v>
      </c>
      <c r="J355" s="158" t="str">
        <f>IFERROR(__xludf.DUMMYFUNCTION("IF(O355,LET(w,IFERROR(MATCH(N355,UNIQUE(FILTER($N$44:$N$408,$O$44:$O$408=TRUE)),0),""""),IF(OR(w="""",w&gt;$B$6),"""",w)),"""")"),"")</f>
        <v/>
      </c>
      <c r="K355" s="158" t="str">
        <f t="shared" si="9"/>
        <v/>
      </c>
      <c r="L355" s="158" t="str">
        <f t="shared" si="10"/>
        <v/>
      </c>
      <c r="M355" s="159" t="b">
        <f t="shared" si="11"/>
        <v>0</v>
      </c>
      <c r="N355" s="160">
        <f t="shared" si="12"/>
        <v>46552</v>
      </c>
      <c r="O355" s="163" t="b">
        <f t="shared" si="13"/>
        <v>1</v>
      </c>
      <c r="Q355" s="163">
        <f t="shared" si="14"/>
        <v>0</v>
      </c>
    </row>
    <row r="356" ht="15.75" customHeight="1">
      <c r="A356" s="174">
        <f t="shared" si="15"/>
        <v>46556</v>
      </c>
      <c r="B356" s="176" t="str">
        <f t="shared" si="1"/>
        <v>Friday</v>
      </c>
      <c r="C356" s="158" t="b">
        <f t="shared" si="2"/>
        <v>1</v>
      </c>
      <c r="D356" s="158" t="str">
        <f t="shared" si="3"/>
        <v/>
      </c>
      <c r="E356" s="158" t="str">
        <f t="shared" si="4"/>
        <v/>
      </c>
      <c r="F356" s="158" t="str">
        <f t="shared" si="5"/>
        <v/>
      </c>
      <c r="G356" s="158" t="str">
        <f t="shared" si="6"/>
        <v/>
      </c>
      <c r="H356" s="158" t="b">
        <f t="shared" si="7"/>
        <v>1</v>
      </c>
      <c r="I356" s="158">
        <f t="shared" si="8"/>
        <v>225</v>
      </c>
      <c r="J356" s="158" t="str">
        <f>IFERROR(__xludf.DUMMYFUNCTION("IF(O356,LET(w,IFERROR(MATCH(N356,UNIQUE(FILTER($N$44:$N$408,$O$44:$O$408=TRUE)),0),""""),IF(OR(w="""",w&gt;$B$6),"""",w)),"""")"),"")</f>
        <v/>
      </c>
      <c r="K356" s="158" t="str">
        <f t="shared" si="9"/>
        <v/>
      </c>
      <c r="L356" s="158" t="str">
        <f t="shared" si="10"/>
        <v/>
      </c>
      <c r="M356" s="159" t="b">
        <f t="shared" si="11"/>
        <v>0</v>
      </c>
      <c r="N356" s="160">
        <f t="shared" si="12"/>
        <v>46552</v>
      </c>
      <c r="O356" s="163" t="b">
        <f t="shared" si="13"/>
        <v>1</v>
      </c>
      <c r="Q356" s="163">
        <f t="shared" si="14"/>
        <v>0</v>
      </c>
    </row>
    <row r="357" ht="15.75" customHeight="1">
      <c r="A357" s="174">
        <f t="shared" si="15"/>
        <v>46557</v>
      </c>
      <c r="B357" s="176" t="str">
        <f t="shared" si="1"/>
        <v>Saturday</v>
      </c>
      <c r="C357" s="158" t="b">
        <f t="shared" si="2"/>
        <v>0</v>
      </c>
      <c r="D357" s="158" t="str">
        <f t="shared" si="3"/>
        <v/>
      </c>
      <c r="E357" s="158" t="str">
        <f t="shared" si="4"/>
        <v/>
      </c>
      <c r="F357" s="158" t="str">
        <f t="shared" si="5"/>
        <v/>
      </c>
      <c r="G357" s="158" t="str">
        <f t="shared" si="6"/>
        <v/>
      </c>
      <c r="H357" s="158" t="b">
        <f t="shared" si="7"/>
        <v>0</v>
      </c>
      <c r="I357" s="158" t="str">
        <f t="shared" si="8"/>
        <v/>
      </c>
      <c r="J357" s="158" t="str">
        <f>IFERROR(__xludf.DUMMYFUNCTION("IF(O357,LET(w,IFERROR(MATCH(N357,UNIQUE(FILTER($N$44:$N$408,$O$44:$O$408=TRUE)),0),""""),IF(OR(w="""",w&gt;$B$6),"""",w)),"""")"),"")</f>
        <v/>
      </c>
      <c r="K357" s="158" t="str">
        <f t="shared" si="9"/>
        <v/>
      </c>
      <c r="L357" s="158" t="str">
        <f t="shared" si="10"/>
        <v/>
      </c>
      <c r="M357" s="159" t="b">
        <f t="shared" si="11"/>
        <v>0</v>
      </c>
      <c r="N357" s="160">
        <f t="shared" si="12"/>
        <v>46552</v>
      </c>
      <c r="O357" s="163" t="b">
        <f t="shared" si="13"/>
        <v>1</v>
      </c>
      <c r="Q357" s="163">
        <f t="shared" si="14"/>
        <v>0</v>
      </c>
    </row>
    <row r="358" ht="15.75" customHeight="1">
      <c r="A358" s="174">
        <f t="shared" si="15"/>
        <v>46558</v>
      </c>
      <c r="B358" s="176" t="str">
        <f t="shared" si="1"/>
        <v>Sunday</v>
      </c>
      <c r="C358" s="158" t="b">
        <f t="shared" si="2"/>
        <v>0</v>
      </c>
      <c r="D358" s="158" t="str">
        <f t="shared" si="3"/>
        <v/>
      </c>
      <c r="E358" s="158" t="str">
        <f t="shared" si="4"/>
        <v/>
      </c>
      <c r="F358" s="158" t="str">
        <f t="shared" si="5"/>
        <v/>
      </c>
      <c r="G358" s="158" t="str">
        <f t="shared" si="6"/>
        <v/>
      </c>
      <c r="H358" s="158" t="b">
        <f t="shared" si="7"/>
        <v>0</v>
      </c>
      <c r="I358" s="158" t="str">
        <f t="shared" si="8"/>
        <v/>
      </c>
      <c r="J358" s="158" t="str">
        <f>IFERROR(__xludf.DUMMYFUNCTION("IF(O358,LET(w,IFERROR(MATCH(N358,UNIQUE(FILTER($N$44:$N$408,$O$44:$O$408=TRUE)),0),""""),IF(OR(w="""",w&gt;$B$6),"""",w)),"""")"),"")</f>
        <v/>
      </c>
      <c r="K358" s="158" t="str">
        <f t="shared" si="9"/>
        <v/>
      </c>
      <c r="L358" s="158" t="str">
        <f t="shared" si="10"/>
        <v/>
      </c>
      <c r="M358" s="159" t="b">
        <f t="shared" si="11"/>
        <v>0</v>
      </c>
      <c r="N358" s="160">
        <f t="shared" si="12"/>
        <v>46552</v>
      </c>
      <c r="O358" s="163" t="b">
        <f t="shared" si="13"/>
        <v>1</v>
      </c>
      <c r="Q358" s="163">
        <f t="shared" si="14"/>
        <v>0</v>
      </c>
    </row>
    <row r="359" ht="15.75" customHeight="1">
      <c r="A359" s="174">
        <f t="shared" si="15"/>
        <v>46559</v>
      </c>
      <c r="B359" s="176" t="str">
        <f t="shared" si="1"/>
        <v>Monday</v>
      </c>
      <c r="C359" s="158" t="b">
        <f t="shared" si="2"/>
        <v>1</v>
      </c>
      <c r="D359" s="158" t="str">
        <f t="shared" si="3"/>
        <v/>
      </c>
      <c r="E359" s="158" t="str">
        <f t="shared" si="4"/>
        <v/>
      </c>
      <c r="F359" s="158" t="str">
        <f t="shared" si="5"/>
        <v/>
      </c>
      <c r="G359" s="158" t="str">
        <f t="shared" si="6"/>
        <v/>
      </c>
      <c r="H359" s="158" t="b">
        <f t="shared" si="7"/>
        <v>1</v>
      </c>
      <c r="I359" s="158">
        <f t="shared" si="8"/>
        <v>226</v>
      </c>
      <c r="J359" s="158" t="str">
        <f>IFERROR(__xludf.DUMMYFUNCTION("IF(O359,LET(w,IFERROR(MATCH(N359,UNIQUE(FILTER($N$44:$N$408,$O$44:$O$408=TRUE)),0),""""),IF(OR(w="""",w&gt;$B$6),"""",w)),"""")"),"")</f>
        <v/>
      </c>
      <c r="K359" s="158" t="str">
        <f t="shared" si="9"/>
        <v/>
      </c>
      <c r="L359" s="158" t="str">
        <f t="shared" si="10"/>
        <v/>
      </c>
      <c r="M359" s="159" t="b">
        <f t="shared" si="11"/>
        <v>0</v>
      </c>
      <c r="N359" s="160">
        <f t="shared" si="12"/>
        <v>46559</v>
      </c>
      <c r="O359" s="163" t="b">
        <f t="shared" si="13"/>
        <v>1</v>
      </c>
      <c r="Q359" s="163">
        <f t="shared" si="14"/>
        <v>0</v>
      </c>
    </row>
    <row r="360" ht="15.75" customHeight="1">
      <c r="A360" s="174">
        <f t="shared" si="15"/>
        <v>46560</v>
      </c>
      <c r="B360" s="176" t="str">
        <f t="shared" si="1"/>
        <v>Tuesday</v>
      </c>
      <c r="C360" s="158" t="b">
        <f t="shared" si="2"/>
        <v>1</v>
      </c>
      <c r="D360" s="158" t="str">
        <f t="shared" si="3"/>
        <v/>
      </c>
      <c r="E360" s="158" t="str">
        <f t="shared" si="4"/>
        <v/>
      </c>
      <c r="F360" s="158" t="str">
        <f t="shared" si="5"/>
        <v/>
      </c>
      <c r="G360" s="158" t="str">
        <f t="shared" si="6"/>
        <v/>
      </c>
      <c r="H360" s="158" t="b">
        <f t="shared" si="7"/>
        <v>1</v>
      </c>
      <c r="I360" s="158">
        <f t="shared" si="8"/>
        <v>227</v>
      </c>
      <c r="J360" s="158" t="str">
        <f>IFERROR(__xludf.DUMMYFUNCTION("IF(O360,LET(w,IFERROR(MATCH(N360,UNIQUE(FILTER($N$44:$N$408,$O$44:$O$408=TRUE)),0),""""),IF(OR(w="""",w&gt;$B$6),"""",w)),"""")"),"")</f>
        <v/>
      </c>
      <c r="K360" s="158" t="str">
        <f t="shared" si="9"/>
        <v/>
      </c>
      <c r="L360" s="158" t="str">
        <f t="shared" si="10"/>
        <v/>
      </c>
      <c r="M360" s="159" t="b">
        <f t="shared" si="11"/>
        <v>0</v>
      </c>
      <c r="N360" s="160">
        <f t="shared" si="12"/>
        <v>46559</v>
      </c>
      <c r="O360" s="163" t="b">
        <f t="shared" si="13"/>
        <v>1</v>
      </c>
      <c r="Q360" s="163">
        <f t="shared" si="14"/>
        <v>0</v>
      </c>
    </row>
    <row r="361" ht="15.75" customHeight="1">
      <c r="A361" s="174">
        <f t="shared" si="15"/>
        <v>46561</v>
      </c>
      <c r="B361" s="176" t="str">
        <f t="shared" si="1"/>
        <v>Wednesday</v>
      </c>
      <c r="C361" s="158" t="b">
        <f t="shared" si="2"/>
        <v>1</v>
      </c>
      <c r="D361" s="158" t="str">
        <f t="shared" si="3"/>
        <v/>
      </c>
      <c r="E361" s="158" t="str">
        <f t="shared" si="4"/>
        <v/>
      </c>
      <c r="F361" s="158" t="str">
        <f t="shared" si="5"/>
        <v/>
      </c>
      <c r="G361" s="158" t="str">
        <f t="shared" si="6"/>
        <v/>
      </c>
      <c r="H361" s="158" t="b">
        <f t="shared" si="7"/>
        <v>1</v>
      </c>
      <c r="I361" s="158">
        <f t="shared" si="8"/>
        <v>228</v>
      </c>
      <c r="J361" s="158" t="str">
        <f>IFERROR(__xludf.DUMMYFUNCTION("IF(O361,LET(w,IFERROR(MATCH(N361,UNIQUE(FILTER($N$44:$N$408,$O$44:$O$408=TRUE)),0),""""),IF(OR(w="""",w&gt;$B$6),"""",w)),"""")"),"")</f>
        <v/>
      </c>
      <c r="K361" s="158" t="str">
        <f t="shared" si="9"/>
        <v/>
      </c>
      <c r="L361" s="158" t="str">
        <f t="shared" si="10"/>
        <v/>
      </c>
      <c r="M361" s="159" t="b">
        <f t="shared" si="11"/>
        <v>0</v>
      </c>
      <c r="N361" s="160">
        <f t="shared" si="12"/>
        <v>46559</v>
      </c>
      <c r="O361" s="163" t="b">
        <f t="shared" si="13"/>
        <v>1</v>
      </c>
      <c r="Q361" s="163">
        <f t="shared" si="14"/>
        <v>0</v>
      </c>
    </row>
    <row r="362" ht="15.75" customHeight="1">
      <c r="A362" s="174">
        <f t="shared" si="15"/>
        <v>46562</v>
      </c>
      <c r="B362" s="176" t="str">
        <f t="shared" si="1"/>
        <v>Thursday</v>
      </c>
      <c r="C362" s="158" t="b">
        <f t="shared" si="2"/>
        <v>1</v>
      </c>
      <c r="D362" s="158" t="str">
        <f t="shared" si="3"/>
        <v/>
      </c>
      <c r="E362" s="158" t="str">
        <f t="shared" si="4"/>
        <v/>
      </c>
      <c r="F362" s="158" t="str">
        <f t="shared" si="5"/>
        <v/>
      </c>
      <c r="G362" s="158" t="str">
        <f t="shared" si="6"/>
        <v/>
      </c>
      <c r="H362" s="158" t="b">
        <f t="shared" si="7"/>
        <v>1</v>
      </c>
      <c r="I362" s="158">
        <f t="shared" si="8"/>
        <v>229</v>
      </c>
      <c r="J362" s="158" t="str">
        <f>IFERROR(__xludf.DUMMYFUNCTION("IF(O362,LET(w,IFERROR(MATCH(N362,UNIQUE(FILTER($N$44:$N$408,$O$44:$O$408=TRUE)),0),""""),IF(OR(w="""",w&gt;$B$6),"""",w)),"""")"),"")</f>
        <v/>
      </c>
      <c r="K362" s="158" t="str">
        <f t="shared" si="9"/>
        <v/>
      </c>
      <c r="L362" s="158" t="str">
        <f t="shared" si="10"/>
        <v/>
      </c>
      <c r="M362" s="159" t="b">
        <f t="shared" si="11"/>
        <v>0</v>
      </c>
      <c r="N362" s="160">
        <f t="shared" si="12"/>
        <v>46559</v>
      </c>
      <c r="O362" s="163" t="b">
        <f t="shared" si="13"/>
        <v>1</v>
      </c>
      <c r="Q362" s="163">
        <f t="shared" si="14"/>
        <v>0</v>
      </c>
    </row>
    <row r="363" ht="15.75" customHeight="1">
      <c r="A363" s="174">
        <f t="shared" si="15"/>
        <v>46563</v>
      </c>
      <c r="B363" s="176" t="str">
        <f t="shared" si="1"/>
        <v>Friday</v>
      </c>
      <c r="C363" s="158" t="b">
        <f t="shared" si="2"/>
        <v>1</v>
      </c>
      <c r="D363" s="158" t="str">
        <f t="shared" si="3"/>
        <v/>
      </c>
      <c r="E363" s="158" t="str">
        <f t="shared" si="4"/>
        <v/>
      </c>
      <c r="F363" s="158" t="str">
        <f t="shared" si="5"/>
        <v/>
      </c>
      <c r="G363" s="158" t="str">
        <f t="shared" si="6"/>
        <v/>
      </c>
      <c r="H363" s="158" t="b">
        <f t="shared" si="7"/>
        <v>1</v>
      </c>
      <c r="I363" s="158">
        <f t="shared" si="8"/>
        <v>230</v>
      </c>
      <c r="J363" s="158" t="str">
        <f>IFERROR(__xludf.DUMMYFUNCTION("IF(O363,LET(w,IFERROR(MATCH(N363,UNIQUE(FILTER($N$44:$N$408,$O$44:$O$408=TRUE)),0),""""),IF(OR(w="""",w&gt;$B$6),"""",w)),"""")"),"")</f>
        <v/>
      </c>
      <c r="K363" s="158" t="str">
        <f t="shared" si="9"/>
        <v/>
      </c>
      <c r="L363" s="158" t="str">
        <f t="shared" si="10"/>
        <v/>
      </c>
      <c r="M363" s="159" t="b">
        <f t="shared" si="11"/>
        <v>0</v>
      </c>
      <c r="N363" s="160">
        <f t="shared" si="12"/>
        <v>46559</v>
      </c>
      <c r="O363" s="163" t="b">
        <f t="shared" si="13"/>
        <v>1</v>
      </c>
      <c r="Q363" s="163">
        <f t="shared" si="14"/>
        <v>0</v>
      </c>
    </row>
    <row r="364" ht="15.75" customHeight="1">
      <c r="A364" s="174">
        <f t="shared" si="15"/>
        <v>46564</v>
      </c>
      <c r="B364" s="176" t="str">
        <f t="shared" si="1"/>
        <v>Saturday</v>
      </c>
      <c r="C364" s="158" t="b">
        <f t="shared" si="2"/>
        <v>0</v>
      </c>
      <c r="D364" s="158" t="str">
        <f t="shared" si="3"/>
        <v/>
      </c>
      <c r="E364" s="158" t="str">
        <f t="shared" si="4"/>
        <v/>
      </c>
      <c r="F364" s="158" t="str">
        <f t="shared" si="5"/>
        <v/>
      </c>
      <c r="G364" s="158" t="str">
        <f t="shared" si="6"/>
        <v/>
      </c>
      <c r="H364" s="158" t="b">
        <f t="shared" si="7"/>
        <v>0</v>
      </c>
      <c r="I364" s="158" t="str">
        <f t="shared" si="8"/>
        <v/>
      </c>
      <c r="J364" s="158" t="str">
        <f>IFERROR(__xludf.DUMMYFUNCTION("IF(O364,LET(w,IFERROR(MATCH(N364,UNIQUE(FILTER($N$44:$N$408,$O$44:$O$408=TRUE)),0),""""),IF(OR(w="""",w&gt;$B$6),"""",w)),"""")"),"")</f>
        <v/>
      </c>
      <c r="K364" s="158" t="str">
        <f t="shared" si="9"/>
        <v/>
      </c>
      <c r="L364" s="158" t="str">
        <f t="shared" si="10"/>
        <v/>
      </c>
      <c r="M364" s="159" t="b">
        <f t="shared" si="11"/>
        <v>0</v>
      </c>
      <c r="N364" s="160">
        <f t="shared" si="12"/>
        <v>46559</v>
      </c>
      <c r="O364" s="163" t="b">
        <f t="shared" si="13"/>
        <v>1</v>
      </c>
      <c r="Q364" s="163">
        <f t="shared" si="14"/>
        <v>0</v>
      </c>
    </row>
    <row r="365" ht="15.75" customHeight="1">
      <c r="A365" s="174">
        <f t="shared" si="15"/>
        <v>46565</v>
      </c>
      <c r="B365" s="176" t="str">
        <f t="shared" si="1"/>
        <v>Sunday</v>
      </c>
      <c r="C365" s="158" t="b">
        <f t="shared" si="2"/>
        <v>0</v>
      </c>
      <c r="D365" s="158" t="str">
        <f t="shared" si="3"/>
        <v/>
      </c>
      <c r="E365" s="158" t="str">
        <f t="shared" si="4"/>
        <v/>
      </c>
      <c r="F365" s="158" t="str">
        <f t="shared" si="5"/>
        <v/>
      </c>
      <c r="G365" s="158" t="str">
        <f t="shared" si="6"/>
        <v/>
      </c>
      <c r="H365" s="158" t="b">
        <f t="shared" si="7"/>
        <v>0</v>
      </c>
      <c r="I365" s="158" t="str">
        <f t="shared" si="8"/>
        <v/>
      </c>
      <c r="J365" s="158" t="str">
        <f>IFERROR(__xludf.DUMMYFUNCTION("IF(O365,LET(w,IFERROR(MATCH(N365,UNIQUE(FILTER($N$44:$N$408,$O$44:$O$408=TRUE)),0),""""),IF(OR(w="""",w&gt;$B$6),"""",w)),"""")"),"")</f>
        <v/>
      </c>
      <c r="K365" s="158" t="str">
        <f t="shared" si="9"/>
        <v/>
      </c>
      <c r="L365" s="158" t="str">
        <f t="shared" si="10"/>
        <v/>
      </c>
      <c r="M365" s="159" t="b">
        <f t="shared" si="11"/>
        <v>0</v>
      </c>
      <c r="N365" s="160">
        <f t="shared" si="12"/>
        <v>46559</v>
      </c>
      <c r="O365" s="163" t="b">
        <f t="shared" si="13"/>
        <v>1</v>
      </c>
      <c r="Q365" s="163">
        <f t="shared" si="14"/>
        <v>0</v>
      </c>
    </row>
    <row r="366" ht="15.75" customHeight="1">
      <c r="A366" s="174">
        <f t="shared" si="15"/>
        <v>46566</v>
      </c>
      <c r="B366" s="176" t="str">
        <f t="shared" si="1"/>
        <v>Monday</v>
      </c>
      <c r="C366" s="158" t="b">
        <f t="shared" si="2"/>
        <v>1</v>
      </c>
      <c r="D366" s="158" t="str">
        <f t="shared" si="3"/>
        <v/>
      </c>
      <c r="E366" s="158" t="str">
        <f t="shared" si="4"/>
        <v/>
      </c>
      <c r="F366" s="158" t="str">
        <f t="shared" si="5"/>
        <v/>
      </c>
      <c r="G366" s="158" t="str">
        <f t="shared" si="6"/>
        <v/>
      </c>
      <c r="H366" s="158" t="b">
        <f t="shared" si="7"/>
        <v>1</v>
      </c>
      <c r="I366" s="158">
        <f t="shared" si="8"/>
        <v>231</v>
      </c>
      <c r="J366" s="158" t="str">
        <f>IFERROR(__xludf.DUMMYFUNCTION("IF(O366,LET(w,IFERROR(MATCH(N366,UNIQUE(FILTER($N$44:$N$408,$O$44:$O$408=TRUE)),0),""""),IF(OR(w="""",w&gt;$B$6),"""",w)),"""")"),"")</f>
        <v/>
      </c>
      <c r="K366" s="158" t="str">
        <f t="shared" si="9"/>
        <v/>
      </c>
      <c r="L366" s="158" t="str">
        <f t="shared" si="10"/>
        <v/>
      </c>
      <c r="M366" s="159" t="b">
        <f t="shared" si="11"/>
        <v>0</v>
      </c>
      <c r="N366" s="160">
        <f t="shared" si="12"/>
        <v>46566</v>
      </c>
      <c r="O366" s="163" t="b">
        <f t="shared" si="13"/>
        <v>1</v>
      </c>
      <c r="Q366" s="163">
        <f t="shared" si="14"/>
        <v>0</v>
      </c>
    </row>
    <row r="367" ht="15.75" customHeight="1">
      <c r="A367" s="174">
        <f t="shared" si="15"/>
        <v>46567</v>
      </c>
      <c r="B367" s="176" t="str">
        <f t="shared" si="1"/>
        <v>Tuesday</v>
      </c>
      <c r="C367" s="158" t="b">
        <f t="shared" si="2"/>
        <v>1</v>
      </c>
      <c r="D367" s="158" t="str">
        <f t="shared" si="3"/>
        <v/>
      </c>
      <c r="E367" s="158" t="str">
        <f t="shared" si="4"/>
        <v/>
      </c>
      <c r="F367" s="158" t="str">
        <f t="shared" si="5"/>
        <v/>
      </c>
      <c r="G367" s="158" t="str">
        <f t="shared" si="6"/>
        <v/>
      </c>
      <c r="H367" s="158" t="b">
        <f t="shared" si="7"/>
        <v>1</v>
      </c>
      <c r="I367" s="158">
        <f t="shared" si="8"/>
        <v>232</v>
      </c>
      <c r="J367" s="158" t="str">
        <f>IFERROR(__xludf.DUMMYFUNCTION("IF(O367,LET(w,IFERROR(MATCH(N367,UNIQUE(FILTER($N$44:$N$408,$O$44:$O$408=TRUE)),0),""""),IF(OR(w="""",w&gt;$B$6),"""",w)),"""")"),"")</f>
        <v/>
      </c>
      <c r="K367" s="158" t="str">
        <f t="shared" si="9"/>
        <v/>
      </c>
      <c r="L367" s="158" t="str">
        <f t="shared" si="10"/>
        <v/>
      </c>
      <c r="M367" s="159" t="b">
        <f t="shared" si="11"/>
        <v>0</v>
      </c>
      <c r="N367" s="160">
        <f t="shared" si="12"/>
        <v>46566</v>
      </c>
      <c r="O367" s="163" t="b">
        <f t="shared" si="13"/>
        <v>1</v>
      </c>
      <c r="Q367" s="163">
        <f t="shared" si="14"/>
        <v>0</v>
      </c>
    </row>
    <row r="368" ht="15.75" customHeight="1">
      <c r="A368" s="174">
        <f t="shared" si="15"/>
        <v>46568</v>
      </c>
      <c r="B368" s="176" t="str">
        <f t="shared" si="1"/>
        <v>Wednesday</v>
      </c>
      <c r="C368" s="158" t="b">
        <f t="shared" si="2"/>
        <v>1</v>
      </c>
      <c r="D368" s="158" t="str">
        <f t="shared" si="3"/>
        <v/>
      </c>
      <c r="E368" s="158" t="str">
        <f t="shared" si="4"/>
        <v/>
      </c>
      <c r="F368" s="158" t="str">
        <f t="shared" si="5"/>
        <v/>
      </c>
      <c r="G368" s="158" t="str">
        <f t="shared" si="6"/>
        <v/>
      </c>
      <c r="H368" s="158" t="b">
        <f t="shared" si="7"/>
        <v>1</v>
      </c>
      <c r="I368" s="158">
        <f t="shared" si="8"/>
        <v>233</v>
      </c>
      <c r="J368" s="158" t="str">
        <f>IFERROR(__xludf.DUMMYFUNCTION("IF(O368,LET(w,IFERROR(MATCH(N368,UNIQUE(FILTER($N$44:$N$408,$O$44:$O$408=TRUE)),0),""""),IF(OR(w="""",w&gt;$B$6),"""",w)),"""")"),"")</f>
        <v/>
      </c>
      <c r="K368" s="158" t="str">
        <f t="shared" si="9"/>
        <v/>
      </c>
      <c r="L368" s="158" t="str">
        <f t="shared" si="10"/>
        <v/>
      </c>
      <c r="M368" s="159" t="b">
        <f t="shared" si="11"/>
        <v>0</v>
      </c>
      <c r="N368" s="160">
        <f t="shared" si="12"/>
        <v>46566</v>
      </c>
      <c r="O368" s="163" t="b">
        <f t="shared" si="13"/>
        <v>1</v>
      </c>
      <c r="Q368" s="163">
        <f t="shared" si="14"/>
        <v>0</v>
      </c>
    </row>
    <row r="369" ht="15.75" customHeight="1">
      <c r="A369" s="174">
        <f t="shared" si="15"/>
        <v>46569</v>
      </c>
      <c r="B369" s="176" t="str">
        <f t="shared" si="1"/>
        <v>Thursday</v>
      </c>
      <c r="C369" s="158" t="b">
        <f t="shared" si="2"/>
        <v>1</v>
      </c>
      <c r="D369" s="158" t="str">
        <f t="shared" si="3"/>
        <v/>
      </c>
      <c r="E369" s="158" t="str">
        <f t="shared" si="4"/>
        <v/>
      </c>
      <c r="F369" s="158" t="str">
        <f t="shared" si="5"/>
        <v/>
      </c>
      <c r="G369" s="158" t="str">
        <f t="shared" si="6"/>
        <v/>
      </c>
      <c r="H369" s="158" t="b">
        <f t="shared" si="7"/>
        <v>1</v>
      </c>
      <c r="I369" s="158">
        <f t="shared" si="8"/>
        <v>234</v>
      </c>
      <c r="J369" s="158" t="str">
        <f>IFERROR(__xludf.DUMMYFUNCTION("IF(O369,LET(w,IFERROR(MATCH(N369,UNIQUE(FILTER($N$44:$N$408,$O$44:$O$408=TRUE)),0),""""),IF(OR(w="""",w&gt;$B$6),"""",w)),"""")"),"")</f>
        <v/>
      </c>
      <c r="K369" s="158" t="str">
        <f t="shared" si="9"/>
        <v/>
      </c>
      <c r="L369" s="158" t="str">
        <f t="shared" si="10"/>
        <v/>
      </c>
      <c r="M369" s="159" t="b">
        <f t="shared" si="11"/>
        <v>0</v>
      </c>
      <c r="N369" s="160">
        <f t="shared" si="12"/>
        <v>46566</v>
      </c>
      <c r="O369" s="163" t="b">
        <f t="shared" si="13"/>
        <v>1</v>
      </c>
      <c r="Q369" s="163">
        <f t="shared" si="14"/>
        <v>0</v>
      </c>
    </row>
    <row r="370" ht="15.75" customHeight="1">
      <c r="A370" s="174">
        <f t="shared" si="15"/>
        <v>46570</v>
      </c>
      <c r="B370" s="176" t="str">
        <f t="shared" si="1"/>
        <v>Friday</v>
      </c>
      <c r="C370" s="158" t="b">
        <f t="shared" si="2"/>
        <v>1</v>
      </c>
      <c r="D370" s="158" t="str">
        <f t="shared" si="3"/>
        <v/>
      </c>
      <c r="E370" s="158" t="str">
        <f t="shared" si="4"/>
        <v/>
      </c>
      <c r="F370" s="158" t="str">
        <f t="shared" si="5"/>
        <v/>
      </c>
      <c r="G370" s="158" t="str">
        <f t="shared" si="6"/>
        <v/>
      </c>
      <c r="H370" s="158" t="b">
        <f t="shared" si="7"/>
        <v>1</v>
      </c>
      <c r="I370" s="158">
        <f t="shared" si="8"/>
        <v>235</v>
      </c>
      <c r="J370" s="158" t="str">
        <f>IFERROR(__xludf.DUMMYFUNCTION("IF(O370,LET(w,IFERROR(MATCH(N370,UNIQUE(FILTER($N$44:$N$408,$O$44:$O$408=TRUE)),0),""""),IF(OR(w="""",w&gt;$B$6),"""",w)),"""")"),"")</f>
        <v/>
      </c>
      <c r="K370" s="158" t="str">
        <f t="shared" si="9"/>
        <v/>
      </c>
      <c r="L370" s="158" t="str">
        <f t="shared" si="10"/>
        <v/>
      </c>
      <c r="M370" s="159" t="b">
        <f t="shared" si="11"/>
        <v>0</v>
      </c>
      <c r="N370" s="160">
        <f t="shared" si="12"/>
        <v>46566</v>
      </c>
      <c r="O370" s="163" t="b">
        <f t="shared" si="13"/>
        <v>1</v>
      </c>
      <c r="Q370" s="163">
        <f t="shared" si="14"/>
        <v>0</v>
      </c>
    </row>
    <row r="371" ht="15.75" customHeight="1">
      <c r="A371" s="174">
        <f t="shared" si="15"/>
        <v>46571</v>
      </c>
      <c r="B371" s="176" t="str">
        <f t="shared" si="1"/>
        <v>Saturday</v>
      </c>
      <c r="C371" s="158" t="b">
        <f t="shared" si="2"/>
        <v>0</v>
      </c>
      <c r="D371" s="158" t="str">
        <f t="shared" si="3"/>
        <v/>
      </c>
      <c r="E371" s="158" t="str">
        <f t="shared" si="4"/>
        <v/>
      </c>
      <c r="F371" s="158" t="str">
        <f t="shared" si="5"/>
        <v/>
      </c>
      <c r="G371" s="158" t="str">
        <f t="shared" si="6"/>
        <v/>
      </c>
      <c r="H371" s="158" t="b">
        <f t="shared" si="7"/>
        <v>0</v>
      </c>
      <c r="I371" s="158" t="str">
        <f t="shared" si="8"/>
        <v/>
      </c>
      <c r="J371" s="158" t="str">
        <f>IFERROR(__xludf.DUMMYFUNCTION("IF(O371,LET(w,IFERROR(MATCH(N371,UNIQUE(FILTER($N$44:$N$408,$O$44:$O$408=TRUE)),0),""""),IF(OR(w="""",w&gt;$B$6),"""",w)),"""")"),"")</f>
        <v/>
      </c>
      <c r="K371" s="158" t="str">
        <f t="shared" si="9"/>
        <v/>
      </c>
      <c r="L371" s="158" t="str">
        <f t="shared" si="10"/>
        <v/>
      </c>
      <c r="M371" s="159" t="b">
        <f t="shared" si="11"/>
        <v>0</v>
      </c>
      <c r="N371" s="160">
        <f t="shared" si="12"/>
        <v>46566</v>
      </c>
      <c r="O371" s="163" t="b">
        <f t="shared" si="13"/>
        <v>1</v>
      </c>
      <c r="Q371" s="163">
        <f t="shared" si="14"/>
        <v>0</v>
      </c>
    </row>
    <row r="372" ht="15.75" customHeight="1">
      <c r="A372" s="174">
        <f t="shared" si="15"/>
        <v>46572</v>
      </c>
      <c r="B372" s="176" t="str">
        <f t="shared" si="1"/>
        <v>Sunday</v>
      </c>
      <c r="C372" s="158" t="b">
        <f t="shared" si="2"/>
        <v>0</v>
      </c>
      <c r="D372" s="158" t="str">
        <f t="shared" si="3"/>
        <v/>
      </c>
      <c r="E372" s="158" t="str">
        <f t="shared" si="4"/>
        <v/>
      </c>
      <c r="F372" s="158" t="str">
        <f t="shared" si="5"/>
        <v/>
      </c>
      <c r="G372" s="158" t="str">
        <f t="shared" si="6"/>
        <v/>
      </c>
      <c r="H372" s="158" t="b">
        <f t="shared" si="7"/>
        <v>0</v>
      </c>
      <c r="I372" s="158" t="str">
        <f t="shared" si="8"/>
        <v/>
      </c>
      <c r="J372" s="158" t="str">
        <f>IFERROR(__xludf.DUMMYFUNCTION("IF(O372,LET(w,IFERROR(MATCH(N372,UNIQUE(FILTER($N$44:$N$408,$O$44:$O$408=TRUE)),0),""""),IF(OR(w="""",w&gt;$B$6),"""",w)),"""")"),"")</f>
        <v/>
      </c>
      <c r="K372" s="158" t="str">
        <f t="shared" si="9"/>
        <v/>
      </c>
      <c r="L372" s="158" t="str">
        <f t="shared" si="10"/>
        <v/>
      </c>
      <c r="M372" s="159" t="b">
        <f t="shared" si="11"/>
        <v>0</v>
      </c>
      <c r="N372" s="160">
        <f t="shared" si="12"/>
        <v>46566</v>
      </c>
      <c r="O372" s="163" t="b">
        <f t="shared" si="13"/>
        <v>1</v>
      </c>
      <c r="Q372" s="163">
        <f t="shared" si="14"/>
        <v>0</v>
      </c>
    </row>
    <row r="373" ht="15.75" customHeight="1">
      <c r="A373" s="174">
        <f t="shared" si="15"/>
        <v>46573</v>
      </c>
      <c r="B373" s="176" t="str">
        <f t="shared" si="1"/>
        <v>Monday</v>
      </c>
      <c r="C373" s="158" t="b">
        <f t="shared" si="2"/>
        <v>1</v>
      </c>
      <c r="D373" s="158" t="str">
        <f t="shared" si="3"/>
        <v/>
      </c>
      <c r="E373" s="158" t="str">
        <f t="shared" si="4"/>
        <v/>
      </c>
      <c r="F373" s="158" t="str">
        <f t="shared" si="5"/>
        <v/>
      </c>
      <c r="G373" s="158" t="str">
        <f t="shared" si="6"/>
        <v/>
      </c>
      <c r="H373" s="158" t="b">
        <f t="shared" si="7"/>
        <v>1</v>
      </c>
      <c r="I373" s="158">
        <f t="shared" si="8"/>
        <v>236</v>
      </c>
      <c r="J373" s="158" t="str">
        <f>IFERROR(__xludf.DUMMYFUNCTION("IF(O373,LET(w,IFERROR(MATCH(N373,UNIQUE(FILTER($N$44:$N$408,$O$44:$O$408=TRUE)),0),""""),IF(OR(w="""",w&gt;$B$6),"""",w)),"""")"),"")</f>
        <v/>
      </c>
      <c r="K373" s="158" t="str">
        <f t="shared" si="9"/>
        <v/>
      </c>
      <c r="L373" s="158" t="str">
        <f t="shared" si="10"/>
        <v/>
      </c>
      <c r="M373" s="159" t="b">
        <f t="shared" si="11"/>
        <v>0</v>
      </c>
      <c r="N373" s="160">
        <f t="shared" si="12"/>
        <v>46573</v>
      </c>
      <c r="O373" s="163" t="b">
        <f t="shared" si="13"/>
        <v>1</v>
      </c>
      <c r="Q373" s="163">
        <f t="shared" si="14"/>
        <v>0</v>
      </c>
    </row>
    <row r="374" ht="15.75" customHeight="1">
      <c r="A374" s="174">
        <f t="shared" si="15"/>
        <v>46574</v>
      </c>
      <c r="B374" s="176" t="str">
        <f t="shared" si="1"/>
        <v>Tuesday</v>
      </c>
      <c r="C374" s="158" t="b">
        <f t="shared" si="2"/>
        <v>1</v>
      </c>
      <c r="D374" s="158" t="str">
        <f t="shared" si="3"/>
        <v/>
      </c>
      <c r="E374" s="158" t="str">
        <f t="shared" si="4"/>
        <v/>
      </c>
      <c r="F374" s="158" t="str">
        <f t="shared" si="5"/>
        <v/>
      </c>
      <c r="G374" s="158" t="str">
        <f t="shared" si="6"/>
        <v/>
      </c>
      <c r="H374" s="158" t="b">
        <f t="shared" si="7"/>
        <v>1</v>
      </c>
      <c r="I374" s="158">
        <f t="shared" si="8"/>
        <v>237</v>
      </c>
      <c r="J374" s="158" t="str">
        <f>IFERROR(__xludf.DUMMYFUNCTION("IF(O374,LET(w,IFERROR(MATCH(N374,UNIQUE(FILTER($N$44:$N$408,$O$44:$O$408=TRUE)),0),""""),IF(OR(w="""",w&gt;$B$6),"""",w)),"""")"),"")</f>
        <v/>
      </c>
      <c r="K374" s="158" t="str">
        <f t="shared" si="9"/>
        <v/>
      </c>
      <c r="L374" s="158" t="str">
        <f t="shared" si="10"/>
        <v/>
      </c>
      <c r="M374" s="159" t="b">
        <f t="shared" si="11"/>
        <v>0</v>
      </c>
      <c r="N374" s="160">
        <f t="shared" si="12"/>
        <v>46573</v>
      </c>
      <c r="O374" s="163" t="b">
        <f t="shared" si="13"/>
        <v>1</v>
      </c>
      <c r="Q374" s="163">
        <f t="shared" si="14"/>
        <v>0</v>
      </c>
    </row>
    <row r="375" ht="15.75" customHeight="1">
      <c r="A375" s="174">
        <f t="shared" si="15"/>
        <v>46575</v>
      </c>
      <c r="B375" s="176" t="str">
        <f t="shared" si="1"/>
        <v>Wednesday</v>
      </c>
      <c r="C375" s="158" t="b">
        <f t="shared" si="2"/>
        <v>1</v>
      </c>
      <c r="D375" s="158" t="str">
        <f t="shared" si="3"/>
        <v/>
      </c>
      <c r="E375" s="158" t="str">
        <f t="shared" si="4"/>
        <v/>
      </c>
      <c r="F375" s="158" t="str">
        <f t="shared" si="5"/>
        <v/>
      </c>
      <c r="G375" s="158" t="str">
        <f t="shared" si="6"/>
        <v/>
      </c>
      <c r="H375" s="158" t="b">
        <f t="shared" si="7"/>
        <v>1</v>
      </c>
      <c r="I375" s="158">
        <f t="shared" si="8"/>
        <v>238</v>
      </c>
      <c r="J375" s="158" t="str">
        <f>IFERROR(__xludf.DUMMYFUNCTION("IF(O375,LET(w,IFERROR(MATCH(N375,UNIQUE(FILTER($N$44:$N$408,$O$44:$O$408=TRUE)),0),""""),IF(OR(w="""",w&gt;$B$6),"""",w)),"""")"),"")</f>
        <v/>
      </c>
      <c r="K375" s="158" t="str">
        <f t="shared" si="9"/>
        <v/>
      </c>
      <c r="L375" s="158" t="str">
        <f t="shared" si="10"/>
        <v/>
      </c>
      <c r="M375" s="159" t="b">
        <f t="shared" si="11"/>
        <v>0</v>
      </c>
      <c r="N375" s="160">
        <f t="shared" si="12"/>
        <v>46573</v>
      </c>
      <c r="O375" s="163" t="b">
        <f t="shared" si="13"/>
        <v>1</v>
      </c>
      <c r="Q375" s="163">
        <f t="shared" si="14"/>
        <v>0</v>
      </c>
    </row>
    <row r="376" ht="15.75" customHeight="1">
      <c r="A376" s="174">
        <f t="shared" si="15"/>
        <v>46576</v>
      </c>
      <c r="B376" s="176" t="str">
        <f t="shared" si="1"/>
        <v>Thursday</v>
      </c>
      <c r="C376" s="158" t="b">
        <f t="shared" si="2"/>
        <v>1</v>
      </c>
      <c r="D376" s="158" t="str">
        <f t="shared" si="3"/>
        <v/>
      </c>
      <c r="E376" s="158" t="str">
        <f t="shared" si="4"/>
        <v/>
      </c>
      <c r="F376" s="158" t="str">
        <f t="shared" si="5"/>
        <v/>
      </c>
      <c r="G376" s="158" t="str">
        <f t="shared" si="6"/>
        <v/>
      </c>
      <c r="H376" s="158" t="b">
        <f t="shared" si="7"/>
        <v>1</v>
      </c>
      <c r="I376" s="158">
        <f t="shared" si="8"/>
        <v>239</v>
      </c>
      <c r="J376" s="158" t="str">
        <f>IFERROR(__xludf.DUMMYFUNCTION("IF(O376,LET(w,IFERROR(MATCH(N376,UNIQUE(FILTER($N$44:$N$408,$O$44:$O$408=TRUE)),0),""""),IF(OR(w="""",w&gt;$B$6),"""",w)),"""")"),"")</f>
        <v/>
      </c>
      <c r="K376" s="158" t="str">
        <f t="shared" si="9"/>
        <v/>
      </c>
      <c r="L376" s="158" t="str">
        <f t="shared" si="10"/>
        <v/>
      </c>
      <c r="M376" s="159" t="b">
        <f t="shared" si="11"/>
        <v>0</v>
      </c>
      <c r="N376" s="160">
        <f t="shared" si="12"/>
        <v>46573</v>
      </c>
      <c r="O376" s="163" t="b">
        <f t="shared" si="13"/>
        <v>1</v>
      </c>
      <c r="Q376" s="163">
        <f t="shared" si="14"/>
        <v>0</v>
      </c>
    </row>
    <row r="377" ht="15.75" customHeight="1">
      <c r="A377" s="174">
        <f t="shared" si="15"/>
        <v>46577</v>
      </c>
      <c r="B377" s="176" t="str">
        <f t="shared" si="1"/>
        <v>Friday</v>
      </c>
      <c r="C377" s="158" t="b">
        <f t="shared" si="2"/>
        <v>1</v>
      </c>
      <c r="D377" s="158" t="str">
        <f t="shared" si="3"/>
        <v/>
      </c>
      <c r="E377" s="158" t="str">
        <f t="shared" si="4"/>
        <v/>
      </c>
      <c r="F377" s="158" t="str">
        <f t="shared" si="5"/>
        <v/>
      </c>
      <c r="G377" s="158" t="str">
        <f t="shared" si="6"/>
        <v/>
      </c>
      <c r="H377" s="158" t="b">
        <f t="shared" si="7"/>
        <v>1</v>
      </c>
      <c r="I377" s="158">
        <f t="shared" si="8"/>
        <v>240</v>
      </c>
      <c r="J377" s="158" t="str">
        <f>IFERROR(__xludf.DUMMYFUNCTION("IF(O377,LET(w,IFERROR(MATCH(N377,UNIQUE(FILTER($N$44:$N$408,$O$44:$O$408=TRUE)),0),""""),IF(OR(w="""",w&gt;$B$6),"""",w)),"""")"),"")</f>
        <v/>
      </c>
      <c r="K377" s="158" t="str">
        <f t="shared" si="9"/>
        <v/>
      </c>
      <c r="L377" s="158" t="str">
        <f t="shared" si="10"/>
        <v/>
      </c>
      <c r="M377" s="159" t="b">
        <f t="shared" si="11"/>
        <v>0</v>
      </c>
      <c r="N377" s="160">
        <f t="shared" si="12"/>
        <v>46573</v>
      </c>
      <c r="O377" s="163" t="b">
        <f t="shared" si="13"/>
        <v>1</v>
      </c>
      <c r="Q377" s="163">
        <f t="shared" si="14"/>
        <v>0</v>
      </c>
    </row>
    <row r="378" ht="15.75" customHeight="1">
      <c r="A378" s="174">
        <f t="shared" si="15"/>
        <v>46578</v>
      </c>
      <c r="B378" s="176" t="str">
        <f t="shared" si="1"/>
        <v>Saturday</v>
      </c>
      <c r="C378" s="158" t="b">
        <f t="shared" si="2"/>
        <v>0</v>
      </c>
      <c r="D378" s="158" t="str">
        <f t="shared" si="3"/>
        <v/>
      </c>
      <c r="E378" s="158" t="str">
        <f t="shared" si="4"/>
        <v/>
      </c>
      <c r="F378" s="158" t="str">
        <f t="shared" si="5"/>
        <v/>
      </c>
      <c r="G378" s="158" t="str">
        <f t="shared" si="6"/>
        <v/>
      </c>
      <c r="H378" s="158" t="b">
        <f t="shared" si="7"/>
        <v>0</v>
      </c>
      <c r="I378" s="158" t="str">
        <f t="shared" si="8"/>
        <v/>
      </c>
      <c r="J378" s="158" t="str">
        <f>IFERROR(__xludf.DUMMYFUNCTION("IF(O378,LET(w,IFERROR(MATCH(N378,UNIQUE(FILTER($N$44:$N$408,$O$44:$O$408=TRUE)),0),""""),IF(OR(w="""",w&gt;$B$6),"""",w)),"""")"),"")</f>
        <v/>
      </c>
      <c r="K378" s="158" t="str">
        <f t="shared" si="9"/>
        <v/>
      </c>
      <c r="L378" s="158" t="str">
        <f t="shared" si="10"/>
        <v/>
      </c>
      <c r="M378" s="159" t="b">
        <f t="shared" si="11"/>
        <v>0</v>
      </c>
      <c r="N378" s="160">
        <f t="shared" si="12"/>
        <v>46573</v>
      </c>
      <c r="O378" s="163" t="b">
        <f t="shared" si="13"/>
        <v>1</v>
      </c>
      <c r="Q378" s="163">
        <f t="shared" si="14"/>
        <v>0</v>
      </c>
    </row>
    <row r="379" ht="15.75" customHeight="1">
      <c r="A379" s="174">
        <f t="shared" si="15"/>
        <v>46579</v>
      </c>
      <c r="B379" s="176" t="str">
        <f t="shared" si="1"/>
        <v>Sunday</v>
      </c>
      <c r="C379" s="158" t="b">
        <f t="shared" si="2"/>
        <v>0</v>
      </c>
      <c r="D379" s="158" t="str">
        <f t="shared" si="3"/>
        <v/>
      </c>
      <c r="E379" s="158" t="str">
        <f t="shared" si="4"/>
        <v/>
      </c>
      <c r="F379" s="158" t="str">
        <f t="shared" si="5"/>
        <v/>
      </c>
      <c r="G379" s="158" t="str">
        <f t="shared" si="6"/>
        <v/>
      </c>
      <c r="H379" s="158" t="b">
        <f t="shared" si="7"/>
        <v>0</v>
      </c>
      <c r="I379" s="158" t="str">
        <f t="shared" si="8"/>
        <v/>
      </c>
      <c r="J379" s="158" t="str">
        <f>IFERROR(__xludf.DUMMYFUNCTION("IF(O379,LET(w,IFERROR(MATCH(N379,UNIQUE(FILTER($N$44:$N$408,$O$44:$O$408=TRUE)),0),""""),IF(OR(w="""",w&gt;$B$6),"""",w)),"""")"),"")</f>
        <v/>
      </c>
      <c r="K379" s="158" t="str">
        <f t="shared" si="9"/>
        <v/>
      </c>
      <c r="L379" s="158" t="str">
        <f t="shared" si="10"/>
        <v/>
      </c>
      <c r="M379" s="159" t="b">
        <f t="shared" si="11"/>
        <v>0</v>
      </c>
      <c r="N379" s="160">
        <f t="shared" si="12"/>
        <v>46573</v>
      </c>
      <c r="O379" s="163" t="b">
        <f t="shared" si="13"/>
        <v>1</v>
      </c>
      <c r="Q379" s="163">
        <f t="shared" si="14"/>
        <v>0</v>
      </c>
    </row>
    <row r="380" ht="15.75" customHeight="1">
      <c r="A380" s="174">
        <f t="shared" si="15"/>
        <v>46580</v>
      </c>
      <c r="B380" s="176" t="str">
        <f t="shared" si="1"/>
        <v>Monday</v>
      </c>
      <c r="C380" s="158" t="b">
        <f t="shared" si="2"/>
        <v>1</v>
      </c>
      <c r="D380" s="158" t="str">
        <f t="shared" si="3"/>
        <v/>
      </c>
      <c r="E380" s="158" t="str">
        <f t="shared" si="4"/>
        <v/>
      </c>
      <c r="F380" s="158" t="str">
        <f t="shared" si="5"/>
        <v/>
      </c>
      <c r="G380" s="158" t="str">
        <f t="shared" si="6"/>
        <v/>
      </c>
      <c r="H380" s="158" t="b">
        <f t="shared" si="7"/>
        <v>1</v>
      </c>
      <c r="I380" s="158">
        <f t="shared" si="8"/>
        <v>241</v>
      </c>
      <c r="J380" s="158" t="str">
        <f>IFERROR(__xludf.DUMMYFUNCTION("IF(O380,LET(w,IFERROR(MATCH(N380,UNIQUE(FILTER($N$44:$N$408,$O$44:$O$408=TRUE)),0),""""),IF(OR(w="""",w&gt;$B$6),"""",w)),"""")"),"")</f>
        <v/>
      </c>
      <c r="K380" s="158" t="str">
        <f t="shared" si="9"/>
        <v/>
      </c>
      <c r="L380" s="158" t="str">
        <f t="shared" si="10"/>
        <v/>
      </c>
      <c r="M380" s="159" t="b">
        <f t="shared" si="11"/>
        <v>0</v>
      </c>
      <c r="N380" s="160">
        <f t="shared" si="12"/>
        <v>46580</v>
      </c>
      <c r="O380" s="163" t="b">
        <f t="shared" si="13"/>
        <v>1</v>
      </c>
      <c r="Q380" s="163">
        <f t="shared" si="14"/>
        <v>0</v>
      </c>
    </row>
    <row r="381" ht="15.75" customHeight="1">
      <c r="A381" s="174">
        <f t="shared" si="15"/>
        <v>46581</v>
      </c>
      <c r="B381" s="176" t="str">
        <f t="shared" si="1"/>
        <v>Tuesday</v>
      </c>
      <c r="C381" s="158" t="b">
        <f t="shared" si="2"/>
        <v>1</v>
      </c>
      <c r="D381" s="158" t="str">
        <f t="shared" si="3"/>
        <v/>
      </c>
      <c r="E381" s="158" t="str">
        <f t="shared" si="4"/>
        <v/>
      </c>
      <c r="F381" s="158" t="str">
        <f t="shared" si="5"/>
        <v/>
      </c>
      <c r="G381" s="158" t="str">
        <f t="shared" si="6"/>
        <v/>
      </c>
      <c r="H381" s="158" t="b">
        <f t="shared" si="7"/>
        <v>1</v>
      </c>
      <c r="I381" s="158">
        <f t="shared" si="8"/>
        <v>242</v>
      </c>
      <c r="J381" s="158" t="str">
        <f>IFERROR(__xludf.DUMMYFUNCTION("IF(O381,LET(w,IFERROR(MATCH(N381,UNIQUE(FILTER($N$44:$N$408,$O$44:$O$408=TRUE)),0),""""),IF(OR(w="""",w&gt;$B$6),"""",w)),"""")"),"")</f>
        <v/>
      </c>
      <c r="K381" s="158" t="str">
        <f t="shared" si="9"/>
        <v/>
      </c>
      <c r="L381" s="158" t="str">
        <f t="shared" si="10"/>
        <v/>
      </c>
      <c r="M381" s="159" t="b">
        <f t="shared" si="11"/>
        <v>0</v>
      </c>
      <c r="N381" s="160">
        <f t="shared" si="12"/>
        <v>46580</v>
      </c>
      <c r="O381" s="163" t="b">
        <f t="shared" si="13"/>
        <v>1</v>
      </c>
      <c r="Q381" s="163">
        <f t="shared" si="14"/>
        <v>0</v>
      </c>
    </row>
    <row r="382" ht="15.75" customHeight="1">
      <c r="A382" s="174">
        <f t="shared" si="15"/>
        <v>46582</v>
      </c>
      <c r="B382" s="176" t="str">
        <f t="shared" si="1"/>
        <v>Wednesday</v>
      </c>
      <c r="C382" s="158" t="b">
        <f t="shared" si="2"/>
        <v>1</v>
      </c>
      <c r="D382" s="158" t="str">
        <f t="shared" si="3"/>
        <v/>
      </c>
      <c r="E382" s="158" t="str">
        <f t="shared" si="4"/>
        <v/>
      </c>
      <c r="F382" s="158" t="str">
        <f t="shared" si="5"/>
        <v/>
      </c>
      <c r="G382" s="158" t="str">
        <f t="shared" si="6"/>
        <v/>
      </c>
      <c r="H382" s="158" t="b">
        <f t="shared" si="7"/>
        <v>1</v>
      </c>
      <c r="I382" s="158">
        <f t="shared" si="8"/>
        <v>243</v>
      </c>
      <c r="J382" s="158" t="str">
        <f>IFERROR(__xludf.DUMMYFUNCTION("IF(O382,LET(w,IFERROR(MATCH(N382,UNIQUE(FILTER($N$44:$N$408,$O$44:$O$408=TRUE)),0),""""),IF(OR(w="""",w&gt;$B$6),"""",w)),"""")"),"")</f>
        <v/>
      </c>
      <c r="K382" s="158" t="str">
        <f t="shared" si="9"/>
        <v/>
      </c>
      <c r="L382" s="158" t="str">
        <f t="shared" si="10"/>
        <v/>
      </c>
      <c r="M382" s="159" t="b">
        <f t="shared" si="11"/>
        <v>0</v>
      </c>
      <c r="N382" s="160">
        <f t="shared" si="12"/>
        <v>46580</v>
      </c>
      <c r="O382" s="163" t="b">
        <f t="shared" si="13"/>
        <v>1</v>
      </c>
      <c r="Q382" s="163">
        <f t="shared" si="14"/>
        <v>0</v>
      </c>
    </row>
    <row r="383" ht="15.75" customHeight="1">
      <c r="A383" s="174">
        <f t="shared" si="15"/>
        <v>46583</v>
      </c>
      <c r="B383" s="176" t="str">
        <f t="shared" si="1"/>
        <v>Thursday</v>
      </c>
      <c r="C383" s="158" t="b">
        <f t="shared" si="2"/>
        <v>1</v>
      </c>
      <c r="D383" s="158" t="str">
        <f t="shared" si="3"/>
        <v/>
      </c>
      <c r="E383" s="158" t="str">
        <f t="shared" si="4"/>
        <v/>
      </c>
      <c r="F383" s="158" t="str">
        <f t="shared" si="5"/>
        <v/>
      </c>
      <c r="G383" s="158" t="str">
        <f t="shared" si="6"/>
        <v/>
      </c>
      <c r="H383" s="158" t="b">
        <f t="shared" si="7"/>
        <v>1</v>
      </c>
      <c r="I383" s="158">
        <f t="shared" si="8"/>
        <v>244</v>
      </c>
      <c r="J383" s="158" t="str">
        <f>IFERROR(__xludf.DUMMYFUNCTION("IF(O383,LET(w,IFERROR(MATCH(N383,UNIQUE(FILTER($N$44:$N$408,$O$44:$O$408=TRUE)),0),""""),IF(OR(w="""",w&gt;$B$6),"""",w)),"""")"),"")</f>
        <v/>
      </c>
      <c r="K383" s="158" t="str">
        <f t="shared" si="9"/>
        <v/>
      </c>
      <c r="L383" s="158" t="str">
        <f t="shared" si="10"/>
        <v/>
      </c>
      <c r="M383" s="159" t="b">
        <f t="shared" si="11"/>
        <v>0</v>
      </c>
      <c r="N383" s="160">
        <f t="shared" si="12"/>
        <v>46580</v>
      </c>
      <c r="O383" s="163" t="b">
        <f t="shared" si="13"/>
        <v>1</v>
      </c>
      <c r="Q383" s="163">
        <f t="shared" si="14"/>
        <v>0</v>
      </c>
    </row>
    <row r="384" ht="15.75" customHeight="1">
      <c r="A384" s="174">
        <f t="shared" si="15"/>
        <v>46584</v>
      </c>
      <c r="B384" s="176" t="str">
        <f t="shared" si="1"/>
        <v>Friday</v>
      </c>
      <c r="C384" s="158" t="b">
        <f t="shared" si="2"/>
        <v>1</v>
      </c>
      <c r="D384" s="158" t="str">
        <f t="shared" si="3"/>
        <v/>
      </c>
      <c r="E384" s="158" t="str">
        <f t="shared" si="4"/>
        <v/>
      </c>
      <c r="F384" s="158" t="str">
        <f t="shared" si="5"/>
        <v/>
      </c>
      <c r="G384" s="158" t="str">
        <f t="shared" si="6"/>
        <v/>
      </c>
      <c r="H384" s="158" t="b">
        <f t="shared" si="7"/>
        <v>1</v>
      </c>
      <c r="I384" s="158">
        <f t="shared" si="8"/>
        <v>245</v>
      </c>
      <c r="J384" s="158" t="str">
        <f>IFERROR(__xludf.DUMMYFUNCTION("IF(O384,LET(w,IFERROR(MATCH(N384,UNIQUE(FILTER($N$44:$N$408,$O$44:$O$408=TRUE)),0),""""),IF(OR(w="""",w&gt;$B$6),"""",w)),"""")"),"")</f>
        <v/>
      </c>
      <c r="K384" s="158" t="str">
        <f t="shared" si="9"/>
        <v/>
      </c>
      <c r="L384" s="158" t="str">
        <f t="shared" si="10"/>
        <v/>
      </c>
      <c r="M384" s="159" t="b">
        <f t="shared" si="11"/>
        <v>0</v>
      </c>
      <c r="N384" s="160">
        <f t="shared" si="12"/>
        <v>46580</v>
      </c>
      <c r="O384" s="163" t="b">
        <f t="shared" si="13"/>
        <v>1</v>
      </c>
      <c r="Q384" s="163">
        <f t="shared" si="14"/>
        <v>0</v>
      </c>
    </row>
    <row r="385" ht="15.75" customHeight="1">
      <c r="A385" s="174">
        <f t="shared" si="15"/>
        <v>46585</v>
      </c>
      <c r="B385" s="176" t="str">
        <f t="shared" si="1"/>
        <v>Saturday</v>
      </c>
      <c r="C385" s="158" t="b">
        <f t="shared" si="2"/>
        <v>0</v>
      </c>
      <c r="D385" s="158" t="str">
        <f t="shared" si="3"/>
        <v/>
      </c>
      <c r="E385" s="158" t="str">
        <f t="shared" si="4"/>
        <v/>
      </c>
      <c r="F385" s="158" t="str">
        <f t="shared" si="5"/>
        <v/>
      </c>
      <c r="G385" s="158" t="str">
        <f t="shared" si="6"/>
        <v/>
      </c>
      <c r="H385" s="158" t="b">
        <f t="shared" si="7"/>
        <v>0</v>
      </c>
      <c r="I385" s="158" t="str">
        <f t="shared" si="8"/>
        <v/>
      </c>
      <c r="J385" s="158" t="str">
        <f>IFERROR(__xludf.DUMMYFUNCTION("IF(O385,LET(w,IFERROR(MATCH(N385,UNIQUE(FILTER($N$44:$N$408,$O$44:$O$408=TRUE)),0),""""),IF(OR(w="""",w&gt;$B$6),"""",w)),"""")"),"")</f>
        <v/>
      </c>
      <c r="K385" s="158" t="str">
        <f t="shared" si="9"/>
        <v/>
      </c>
      <c r="L385" s="158" t="str">
        <f t="shared" si="10"/>
        <v/>
      </c>
      <c r="M385" s="159" t="b">
        <f t="shared" si="11"/>
        <v>0</v>
      </c>
      <c r="N385" s="160">
        <f t="shared" si="12"/>
        <v>46580</v>
      </c>
      <c r="O385" s="163" t="b">
        <f t="shared" si="13"/>
        <v>1</v>
      </c>
      <c r="Q385" s="163">
        <f t="shared" si="14"/>
        <v>0</v>
      </c>
    </row>
    <row r="386" ht="15.75" customHeight="1">
      <c r="A386" s="174">
        <f t="shared" si="15"/>
        <v>46586</v>
      </c>
      <c r="B386" s="176" t="str">
        <f t="shared" si="1"/>
        <v>Sunday</v>
      </c>
      <c r="C386" s="158" t="b">
        <f t="shared" si="2"/>
        <v>0</v>
      </c>
      <c r="D386" s="158" t="str">
        <f t="shared" si="3"/>
        <v/>
      </c>
      <c r="E386" s="158" t="str">
        <f t="shared" si="4"/>
        <v/>
      </c>
      <c r="F386" s="158" t="str">
        <f t="shared" si="5"/>
        <v/>
      </c>
      <c r="G386" s="158" t="str">
        <f t="shared" si="6"/>
        <v/>
      </c>
      <c r="H386" s="158" t="b">
        <f t="shared" si="7"/>
        <v>0</v>
      </c>
      <c r="I386" s="158" t="str">
        <f t="shared" si="8"/>
        <v/>
      </c>
      <c r="J386" s="158" t="str">
        <f>IFERROR(__xludf.DUMMYFUNCTION("IF(O386,LET(w,IFERROR(MATCH(N386,UNIQUE(FILTER($N$44:$N$408,$O$44:$O$408=TRUE)),0),""""),IF(OR(w="""",w&gt;$B$6),"""",w)),"""")"),"")</f>
        <v/>
      </c>
      <c r="K386" s="158" t="str">
        <f t="shared" si="9"/>
        <v/>
      </c>
      <c r="L386" s="158" t="str">
        <f t="shared" si="10"/>
        <v/>
      </c>
      <c r="M386" s="159" t="b">
        <f t="shared" si="11"/>
        <v>0</v>
      </c>
      <c r="N386" s="160">
        <f t="shared" si="12"/>
        <v>46580</v>
      </c>
      <c r="O386" s="163" t="b">
        <f t="shared" si="13"/>
        <v>1</v>
      </c>
      <c r="Q386" s="163">
        <f t="shared" si="14"/>
        <v>0</v>
      </c>
    </row>
    <row r="387" ht="15.75" customHeight="1">
      <c r="A387" s="174">
        <f t="shared" si="15"/>
        <v>46587</v>
      </c>
      <c r="B387" s="176" t="str">
        <f t="shared" si="1"/>
        <v>Monday</v>
      </c>
      <c r="C387" s="158" t="b">
        <f t="shared" si="2"/>
        <v>1</v>
      </c>
      <c r="D387" s="158" t="str">
        <f t="shared" si="3"/>
        <v/>
      </c>
      <c r="E387" s="158" t="str">
        <f t="shared" si="4"/>
        <v/>
      </c>
      <c r="F387" s="158" t="str">
        <f t="shared" si="5"/>
        <v/>
      </c>
      <c r="G387" s="158" t="str">
        <f t="shared" si="6"/>
        <v/>
      </c>
      <c r="H387" s="158" t="b">
        <f t="shared" si="7"/>
        <v>1</v>
      </c>
      <c r="I387" s="158">
        <f t="shared" si="8"/>
        <v>246</v>
      </c>
      <c r="J387" s="158" t="str">
        <f>IFERROR(__xludf.DUMMYFUNCTION("IF(O387,LET(w,IFERROR(MATCH(N387,UNIQUE(FILTER($N$44:$N$408,$O$44:$O$408=TRUE)),0),""""),IF(OR(w="""",w&gt;$B$6),"""",w)),"""")"),"")</f>
        <v/>
      </c>
      <c r="K387" s="158" t="str">
        <f t="shared" si="9"/>
        <v/>
      </c>
      <c r="L387" s="158" t="str">
        <f t="shared" si="10"/>
        <v/>
      </c>
      <c r="M387" s="159" t="b">
        <f t="shared" si="11"/>
        <v>0</v>
      </c>
      <c r="N387" s="160">
        <f t="shared" si="12"/>
        <v>46587</v>
      </c>
      <c r="O387" s="163" t="b">
        <f t="shared" si="13"/>
        <v>1</v>
      </c>
      <c r="Q387" s="163">
        <f t="shared" si="14"/>
        <v>0</v>
      </c>
    </row>
    <row r="388" ht="15.75" customHeight="1">
      <c r="A388" s="174">
        <f t="shared" si="15"/>
        <v>46588</v>
      </c>
      <c r="B388" s="176" t="str">
        <f t="shared" si="1"/>
        <v>Tuesday</v>
      </c>
      <c r="C388" s="158" t="b">
        <f t="shared" si="2"/>
        <v>1</v>
      </c>
      <c r="D388" s="158" t="str">
        <f t="shared" si="3"/>
        <v/>
      </c>
      <c r="E388" s="158" t="str">
        <f t="shared" si="4"/>
        <v/>
      </c>
      <c r="F388" s="158" t="str">
        <f t="shared" si="5"/>
        <v/>
      </c>
      <c r="G388" s="158" t="str">
        <f t="shared" si="6"/>
        <v/>
      </c>
      <c r="H388" s="158" t="b">
        <f t="shared" si="7"/>
        <v>1</v>
      </c>
      <c r="I388" s="158">
        <f t="shared" si="8"/>
        <v>247</v>
      </c>
      <c r="J388" s="158" t="str">
        <f>IFERROR(__xludf.DUMMYFUNCTION("IF(O388,LET(w,IFERROR(MATCH(N388,UNIQUE(FILTER($N$44:$N$408,$O$44:$O$408=TRUE)),0),""""),IF(OR(w="""",w&gt;$B$6),"""",w)),"""")"),"")</f>
        <v/>
      </c>
      <c r="K388" s="158" t="str">
        <f t="shared" si="9"/>
        <v/>
      </c>
      <c r="L388" s="158" t="str">
        <f t="shared" si="10"/>
        <v/>
      </c>
      <c r="M388" s="159" t="b">
        <f t="shared" si="11"/>
        <v>0</v>
      </c>
      <c r="N388" s="160">
        <f t="shared" si="12"/>
        <v>46587</v>
      </c>
      <c r="O388" s="163" t="b">
        <f t="shared" si="13"/>
        <v>1</v>
      </c>
      <c r="Q388" s="163">
        <f t="shared" si="14"/>
        <v>0</v>
      </c>
    </row>
    <row r="389" ht="15.75" customHeight="1">
      <c r="A389" s="174">
        <f t="shared" si="15"/>
        <v>46589</v>
      </c>
      <c r="B389" s="176" t="str">
        <f t="shared" si="1"/>
        <v>Wednesday</v>
      </c>
      <c r="C389" s="158" t="b">
        <f t="shared" si="2"/>
        <v>1</v>
      </c>
      <c r="D389" s="158" t="str">
        <f t="shared" si="3"/>
        <v/>
      </c>
      <c r="E389" s="158" t="str">
        <f t="shared" si="4"/>
        <v/>
      </c>
      <c r="F389" s="158" t="str">
        <f t="shared" si="5"/>
        <v/>
      </c>
      <c r="G389" s="158" t="str">
        <f t="shared" si="6"/>
        <v/>
      </c>
      <c r="H389" s="158" t="b">
        <f t="shared" si="7"/>
        <v>1</v>
      </c>
      <c r="I389" s="158">
        <f t="shared" si="8"/>
        <v>248</v>
      </c>
      <c r="J389" s="158" t="str">
        <f>IFERROR(__xludf.DUMMYFUNCTION("IF(O389,LET(w,IFERROR(MATCH(N389,UNIQUE(FILTER($N$44:$N$408,$O$44:$O$408=TRUE)),0),""""),IF(OR(w="""",w&gt;$B$6),"""",w)),"""")"),"")</f>
        <v/>
      </c>
      <c r="K389" s="158" t="str">
        <f t="shared" si="9"/>
        <v/>
      </c>
      <c r="L389" s="158" t="str">
        <f t="shared" si="10"/>
        <v/>
      </c>
      <c r="M389" s="159" t="b">
        <f t="shared" si="11"/>
        <v>0</v>
      </c>
      <c r="N389" s="160">
        <f t="shared" si="12"/>
        <v>46587</v>
      </c>
      <c r="O389" s="163" t="b">
        <f t="shared" si="13"/>
        <v>1</v>
      </c>
      <c r="Q389" s="163">
        <f t="shared" si="14"/>
        <v>0</v>
      </c>
    </row>
    <row r="390" ht="15.75" customHeight="1">
      <c r="A390" s="174">
        <f t="shared" si="15"/>
        <v>46590</v>
      </c>
      <c r="B390" s="176" t="str">
        <f t="shared" si="1"/>
        <v>Thursday</v>
      </c>
      <c r="C390" s="158" t="b">
        <f t="shared" si="2"/>
        <v>1</v>
      </c>
      <c r="D390" s="158" t="str">
        <f t="shared" si="3"/>
        <v/>
      </c>
      <c r="E390" s="158" t="str">
        <f t="shared" si="4"/>
        <v/>
      </c>
      <c r="F390" s="158" t="str">
        <f t="shared" si="5"/>
        <v/>
      </c>
      <c r="G390" s="158" t="str">
        <f t="shared" si="6"/>
        <v/>
      </c>
      <c r="H390" s="158" t="b">
        <f t="shared" si="7"/>
        <v>1</v>
      </c>
      <c r="I390" s="158">
        <f t="shared" si="8"/>
        <v>249</v>
      </c>
      <c r="J390" s="158" t="str">
        <f>IFERROR(__xludf.DUMMYFUNCTION("IF(O390,LET(w,IFERROR(MATCH(N390,UNIQUE(FILTER($N$44:$N$408,$O$44:$O$408=TRUE)),0),""""),IF(OR(w="""",w&gt;$B$6),"""",w)),"""")"),"")</f>
        <v/>
      </c>
      <c r="K390" s="158" t="str">
        <f t="shared" si="9"/>
        <v/>
      </c>
      <c r="L390" s="158" t="str">
        <f t="shared" si="10"/>
        <v/>
      </c>
      <c r="M390" s="159" t="b">
        <f t="shared" si="11"/>
        <v>0</v>
      </c>
      <c r="N390" s="160">
        <f t="shared" si="12"/>
        <v>46587</v>
      </c>
      <c r="O390" s="163" t="b">
        <f t="shared" si="13"/>
        <v>1</v>
      </c>
      <c r="Q390" s="163">
        <f t="shared" si="14"/>
        <v>0</v>
      </c>
    </row>
    <row r="391" ht="15.75" customHeight="1">
      <c r="A391" s="174">
        <f t="shared" si="15"/>
        <v>46591</v>
      </c>
      <c r="B391" s="176" t="str">
        <f t="shared" si="1"/>
        <v>Friday</v>
      </c>
      <c r="C391" s="158" t="b">
        <f t="shared" si="2"/>
        <v>1</v>
      </c>
      <c r="D391" s="158" t="str">
        <f t="shared" si="3"/>
        <v/>
      </c>
      <c r="E391" s="158" t="str">
        <f t="shared" si="4"/>
        <v/>
      </c>
      <c r="F391" s="158" t="str">
        <f t="shared" si="5"/>
        <v/>
      </c>
      <c r="G391" s="158" t="str">
        <f t="shared" si="6"/>
        <v/>
      </c>
      <c r="H391" s="158" t="b">
        <f t="shared" si="7"/>
        <v>1</v>
      </c>
      <c r="I391" s="158">
        <f t="shared" si="8"/>
        <v>250</v>
      </c>
      <c r="J391" s="158" t="str">
        <f>IFERROR(__xludf.DUMMYFUNCTION("IF(O391,LET(w,IFERROR(MATCH(N391,UNIQUE(FILTER($N$44:$N$408,$O$44:$O$408=TRUE)),0),""""),IF(OR(w="""",w&gt;$B$6),"""",w)),"""")"),"")</f>
        <v/>
      </c>
      <c r="K391" s="158" t="str">
        <f t="shared" si="9"/>
        <v/>
      </c>
      <c r="L391" s="158" t="str">
        <f t="shared" si="10"/>
        <v/>
      </c>
      <c r="M391" s="159" t="b">
        <f t="shared" si="11"/>
        <v>0</v>
      </c>
      <c r="N391" s="160">
        <f t="shared" si="12"/>
        <v>46587</v>
      </c>
      <c r="O391" s="163" t="b">
        <f t="shared" si="13"/>
        <v>1</v>
      </c>
      <c r="Q391" s="163">
        <f t="shared" si="14"/>
        <v>0</v>
      </c>
    </row>
    <row r="392" ht="15.75" customHeight="1">
      <c r="A392" s="174">
        <f t="shared" si="15"/>
        <v>46592</v>
      </c>
      <c r="B392" s="176" t="str">
        <f t="shared" si="1"/>
        <v>Saturday</v>
      </c>
      <c r="C392" s="158" t="b">
        <f t="shared" si="2"/>
        <v>0</v>
      </c>
      <c r="D392" s="158" t="str">
        <f t="shared" si="3"/>
        <v/>
      </c>
      <c r="E392" s="158" t="str">
        <f t="shared" si="4"/>
        <v/>
      </c>
      <c r="F392" s="158" t="str">
        <f t="shared" si="5"/>
        <v/>
      </c>
      <c r="G392" s="158" t="str">
        <f t="shared" si="6"/>
        <v/>
      </c>
      <c r="H392" s="158" t="b">
        <f t="shared" si="7"/>
        <v>0</v>
      </c>
      <c r="I392" s="158" t="str">
        <f t="shared" si="8"/>
        <v/>
      </c>
      <c r="J392" s="158" t="str">
        <f>IFERROR(__xludf.DUMMYFUNCTION("IF(O392,LET(w,IFERROR(MATCH(N392,UNIQUE(FILTER($N$44:$N$408,$O$44:$O$408=TRUE)),0),""""),IF(OR(w="""",w&gt;$B$6),"""",w)),"""")"),"")</f>
        <v/>
      </c>
      <c r="K392" s="158" t="str">
        <f t="shared" si="9"/>
        <v/>
      </c>
      <c r="L392" s="158" t="str">
        <f t="shared" si="10"/>
        <v/>
      </c>
      <c r="M392" s="159" t="b">
        <f t="shared" si="11"/>
        <v>0</v>
      </c>
      <c r="N392" s="160">
        <f t="shared" si="12"/>
        <v>46587</v>
      </c>
      <c r="O392" s="163" t="b">
        <f t="shared" si="13"/>
        <v>1</v>
      </c>
      <c r="Q392" s="163">
        <f t="shared" si="14"/>
        <v>0</v>
      </c>
    </row>
    <row r="393" ht="15.75" customHeight="1">
      <c r="A393" s="174">
        <f t="shared" si="15"/>
        <v>46593</v>
      </c>
      <c r="B393" s="176" t="str">
        <f t="shared" si="1"/>
        <v>Sunday</v>
      </c>
      <c r="C393" s="158" t="b">
        <f t="shared" si="2"/>
        <v>0</v>
      </c>
      <c r="D393" s="158" t="str">
        <f t="shared" si="3"/>
        <v/>
      </c>
      <c r="E393" s="158" t="str">
        <f t="shared" si="4"/>
        <v/>
      </c>
      <c r="F393" s="158" t="str">
        <f t="shared" si="5"/>
        <v/>
      </c>
      <c r="G393" s="158" t="str">
        <f t="shared" si="6"/>
        <v/>
      </c>
      <c r="H393" s="158" t="b">
        <f t="shared" si="7"/>
        <v>0</v>
      </c>
      <c r="I393" s="158" t="str">
        <f t="shared" si="8"/>
        <v/>
      </c>
      <c r="J393" s="158" t="str">
        <f>IFERROR(__xludf.DUMMYFUNCTION("IF(O393,LET(w,IFERROR(MATCH(N393,UNIQUE(FILTER($N$44:$N$408,$O$44:$O$408=TRUE)),0),""""),IF(OR(w="""",w&gt;$B$6),"""",w)),"""")"),"")</f>
        <v/>
      </c>
      <c r="K393" s="158" t="str">
        <f t="shared" si="9"/>
        <v/>
      </c>
      <c r="L393" s="158" t="str">
        <f t="shared" si="10"/>
        <v/>
      </c>
      <c r="M393" s="159" t="b">
        <f t="shared" si="11"/>
        <v>0</v>
      </c>
      <c r="N393" s="160">
        <f t="shared" si="12"/>
        <v>46587</v>
      </c>
      <c r="O393" s="163" t="b">
        <f t="shared" si="13"/>
        <v>1</v>
      </c>
      <c r="Q393" s="163">
        <f t="shared" si="14"/>
        <v>0</v>
      </c>
    </row>
    <row r="394" ht="15.75" customHeight="1">
      <c r="A394" s="174">
        <f t="shared" si="15"/>
        <v>46594</v>
      </c>
      <c r="B394" s="176" t="str">
        <f t="shared" si="1"/>
        <v>Monday</v>
      </c>
      <c r="C394" s="158" t="b">
        <f t="shared" si="2"/>
        <v>1</v>
      </c>
      <c r="D394" s="158" t="str">
        <f t="shared" si="3"/>
        <v/>
      </c>
      <c r="E394" s="158" t="str">
        <f t="shared" si="4"/>
        <v/>
      </c>
      <c r="F394" s="158" t="str">
        <f t="shared" si="5"/>
        <v/>
      </c>
      <c r="G394" s="158" t="str">
        <f t="shared" si="6"/>
        <v/>
      </c>
      <c r="H394" s="158" t="b">
        <f t="shared" si="7"/>
        <v>1</v>
      </c>
      <c r="I394" s="158">
        <f t="shared" si="8"/>
        <v>251</v>
      </c>
      <c r="J394" s="158" t="str">
        <f>IFERROR(__xludf.DUMMYFUNCTION("IF(O394,LET(w,IFERROR(MATCH(N394,UNIQUE(FILTER($N$44:$N$408,$O$44:$O$408=TRUE)),0),""""),IF(OR(w="""",w&gt;$B$6),"""",w)),"""")"),"")</f>
        <v/>
      </c>
      <c r="K394" s="158" t="str">
        <f t="shared" si="9"/>
        <v/>
      </c>
      <c r="L394" s="158" t="str">
        <f t="shared" si="10"/>
        <v/>
      </c>
      <c r="M394" s="159" t="b">
        <f t="shared" si="11"/>
        <v>0</v>
      </c>
      <c r="N394" s="160">
        <f t="shared" si="12"/>
        <v>46594</v>
      </c>
      <c r="O394" s="163" t="b">
        <f t="shared" si="13"/>
        <v>1</v>
      </c>
      <c r="Q394" s="163">
        <f t="shared" si="14"/>
        <v>0</v>
      </c>
    </row>
    <row r="395" ht="15.75" customHeight="1">
      <c r="A395" s="174">
        <f t="shared" si="15"/>
        <v>46595</v>
      </c>
      <c r="B395" s="176" t="str">
        <f t="shared" si="1"/>
        <v>Tuesday</v>
      </c>
      <c r="C395" s="158" t="b">
        <f t="shared" si="2"/>
        <v>1</v>
      </c>
      <c r="D395" s="158" t="str">
        <f t="shared" si="3"/>
        <v/>
      </c>
      <c r="E395" s="158" t="str">
        <f t="shared" si="4"/>
        <v/>
      </c>
      <c r="F395" s="158" t="str">
        <f t="shared" si="5"/>
        <v/>
      </c>
      <c r="G395" s="158" t="str">
        <f t="shared" si="6"/>
        <v/>
      </c>
      <c r="H395" s="158" t="b">
        <f t="shared" si="7"/>
        <v>1</v>
      </c>
      <c r="I395" s="158">
        <f t="shared" si="8"/>
        <v>252</v>
      </c>
      <c r="J395" s="158" t="str">
        <f>IFERROR(__xludf.DUMMYFUNCTION("IF(O395,LET(w,IFERROR(MATCH(N395,UNIQUE(FILTER($N$44:$N$408,$O$44:$O$408=TRUE)),0),""""),IF(OR(w="""",w&gt;$B$6),"""",w)),"""")"),"")</f>
        <v/>
      </c>
      <c r="K395" s="158" t="str">
        <f t="shared" si="9"/>
        <v/>
      </c>
      <c r="L395" s="158" t="str">
        <f t="shared" si="10"/>
        <v/>
      </c>
      <c r="M395" s="159" t="b">
        <f t="shared" si="11"/>
        <v>0</v>
      </c>
      <c r="N395" s="160">
        <f t="shared" si="12"/>
        <v>46594</v>
      </c>
      <c r="O395" s="163" t="b">
        <f t="shared" si="13"/>
        <v>1</v>
      </c>
      <c r="Q395" s="163">
        <f t="shared" si="14"/>
        <v>0</v>
      </c>
    </row>
    <row r="396" ht="15.75" customHeight="1">
      <c r="A396" s="174">
        <f t="shared" si="15"/>
        <v>46596</v>
      </c>
      <c r="B396" s="176" t="str">
        <f t="shared" si="1"/>
        <v>Wednesday</v>
      </c>
      <c r="C396" s="158" t="b">
        <f t="shared" si="2"/>
        <v>1</v>
      </c>
      <c r="D396" s="158" t="str">
        <f t="shared" si="3"/>
        <v/>
      </c>
      <c r="E396" s="158" t="str">
        <f t="shared" si="4"/>
        <v/>
      </c>
      <c r="F396" s="158" t="str">
        <f t="shared" si="5"/>
        <v/>
      </c>
      <c r="G396" s="158" t="str">
        <f t="shared" si="6"/>
        <v/>
      </c>
      <c r="H396" s="158" t="b">
        <f t="shared" si="7"/>
        <v>1</v>
      </c>
      <c r="I396" s="158">
        <f t="shared" si="8"/>
        <v>253</v>
      </c>
      <c r="J396" s="158" t="str">
        <f>IFERROR(__xludf.DUMMYFUNCTION("IF(O396,LET(w,IFERROR(MATCH(N396,UNIQUE(FILTER($N$44:$N$408,$O$44:$O$408=TRUE)),0),""""),IF(OR(w="""",w&gt;$B$6),"""",w)),"""")"),"")</f>
        <v/>
      </c>
      <c r="K396" s="158" t="str">
        <f t="shared" si="9"/>
        <v/>
      </c>
      <c r="L396" s="158" t="str">
        <f t="shared" si="10"/>
        <v/>
      </c>
      <c r="M396" s="159" t="b">
        <f t="shared" si="11"/>
        <v>0</v>
      </c>
      <c r="N396" s="160">
        <f t="shared" si="12"/>
        <v>46594</v>
      </c>
      <c r="O396" s="163" t="b">
        <f t="shared" si="13"/>
        <v>1</v>
      </c>
      <c r="Q396" s="163">
        <f t="shared" si="14"/>
        <v>0</v>
      </c>
    </row>
    <row r="397" ht="15.75" customHeight="1">
      <c r="A397" s="174">
        <f t="shared" si="15"/>
        <v>46597</v>
      </c>
      <c r="B397" s="176" t="str">
        <f t="shared" si="1"/>
        <v>Thursday</v>
      </c>
      <c r="C397" s="158" t="b">
        <f t="shared" si="2"/>
        <v>1</v>
      </c>
      <c r="D397" s="158" t="str">
        <f t="shared" si="3"/>
        <v/>
      </c>
      <c r="E397" s="158" t="str">
        <f t="shared" si="4"/>
        <v/>
      </c>
      <c r="F397" s="158" t="str">
        <f t="shared" si="5"/>
        <v/>
      </c>
      <c r="G397" s="158" t="str">
        <f t="shared" si="6"/>
        <v/>
      </c>
      <c r="H397" s="158" t="b">
        <f t="shared" si="7"/>
        <v>1</v>
      </c>
      <c r="I397" s="158">
        <f t="shared" si="8"/>
        <v>254</v>
      </c>
      <c r="J397" s="158" t="str">
        <f>IFERROR(__xludf.DUMMYFUNCTION("IF(O397,LET(w,IFERROR(MATCH(N397,UNIQUE(FILTER($N$44:$N$408,$O$44:$O$408=TRUE)),0),""""),IF(OR(w="""",w&gt;$B$6),"""",w)),"""")"),"")</f>
        <v/>
      </c>
      <c r="K397" s="158" t="str">
        <f t="shared" si="9"/>
        <v/>
      </c>
      <c r="L397" s="158" t="str">
        <f t="shared" si="10"/>
        <v/>
      </c>
      <c r="M397" s="159" t="b">
        <f t="shared" si="11"/>
        <v>0</v>
      </c>
      <c r="N397" s="160">
        <f t="shared" si="12"/>
        <v>46594</v>
      </c>
      <c r="O397" s="163" t="b">
        <f t="shared" si="13"/>
        <v>1</v>
      </c>
      <c r="Q397" s="163">
        <f t="shared" si="14"/>
        <v>0</v>
      </c>
    </row>
    <row r="398" ht="15.75" customHeight="1">
      <c r="A398" s="174">
        <f t="shared" si="15"/>
        <v>46598</v>
      </c>
      <c r="B398" s="176" t="str">
        <f t="shared" si="1"/>
        <v>Friday</v>
      </c>
      <c r="C398" s="158" t="b">
        <f t="shared" si="2"/>
        <v>1</v>
      </c>
      <c r="D398" s="158" t="str">
        <f t="shared" si="3"/>
        <v/>
      </c>
      <c r="E398" s="158" t="str">
        <f t="shared" si="4"/>
        <v/>
      </c>
      <c r="F398" s="158" t="str">
        <f t="shared" si="5"/>
        <v/>
      </c>
      <c r="G398" s="158" t="str">
        <f t="shared" si="6"/>
        <v/>
      </c>
      <c r="H398" s="158" t="b">
        <f t="shared" si="7"/>
        <v>1</v>
      </c>
      <c r="I398" s="158">
        <f t="shared" si="8"/>
        <v>255</v>
      </c>
      <c r="J398" s="158" t="str">
        <f>IFERROR(__xludf.DUMMYFUNCTION("IF(O398,LET(w,IFERROR(MATCH(N398,UNIQUE(FILTER($N$44:$N$408,$O$44:$O$408=TRUE)),0),""""),IF(OR(w="""",w&gt;$B$6),"""",w)),"""")"),"")</f>
        <v/>
      </c>
      <c r="K398" s="158" t="str">
        <f t="shared" si="9"/>
        <v/>
      </c>
      <c r="L398" s="158" t="str">
        <f t="shared" si="10"/>
        <v/>
      </c>
      <c r="M398" s="159" t="b">
        <f t="shared" si="11"/>
        <v>0</v>
      </c>
      <c r="N398" s="160">
        <f t="shared" si="12"/>
        <v>46594</v>
      </c>
      <c r="O398" s="163" t="b">
        <f t="shared" si="13"/>
        <v>1</v>
      </c>
      <c r="Q398" s="163">
        <f t="shared" si="14"/>
        <v>0</v>
      </c>
    </row>
    <row r="399" ht="15.75" customHeight="1">
      <c r="A399" s="174">
        <f t="shared" si="15"/>
        <v>46599</v>
      </c>
      <c r="B399" s="176" t="str">
        <f t="shared" si="1"/>
        <v>Saturday</v>
      </c>
      <c r="C399" s="158" t="b">
        <f t="shared" si="2"/>
        <v>0</v>
      </c>
      <c r="D399" s="158" t="str">
        <f t="shared" si="3"/>
        <v/>
      </c>
      <c r="E399" s="158" t="str">
        <f t="shared" si="4"/>
        <v/>
      </c>
      <c r="F399" s="158" t="str">
        <f t="shared" si="5"/>
        <v/>
      </c>
      <c r="G399" s="158" t="str">
        <f t="shared" si="6"/>
        <v/>
      </c>
      <c r="H399" s="158" t="b">
        <f t="shared" si="7"/>
        <v>0</v>
      </c>
      <c r="I399" s="158" t="str">
        <f t="shared" si="8"/>
        <v/>
      </c>
      <c r="J399" s="158" t="str">
        <f>IFERROR(__xludf.DUMMYFUNCTION("IF(O399,LET(w,IFERROR(MATCH(N399,UNIQUE(FILTER($N$44:$N$408,$O$44:$O$408=TRUE)),0),""""),IF(OR(w="""",w&gt;$B$6),"""",w)),"""")"),"")</f>
        <v/>
      </c>
      <c r="K399" s="158" t="str">
        <f t="shared" si="9"/>
        <v/>
      </c>
      <c r="L399" s="158" t="str">
        <f t="shared" si="10"/>
        <v/>
      </c>
      <c r="M399" s="159" t="b">
        <f t="shared" si="11"/>
        <v>0</v>
      </c>
      <c r="N399" s="160">
        <f t="shared" si="12"/>
        <v>46594</v>
      </c>
      <c r="O399" s="163" t="b">
        <f t="shared" si="13"/>
        <v>1</v>
      </c>
      <c r="Q399" s="163">
        <f t="shared" si="14"/>
        <v>0</v>
      </c>
    </row>
    <row r="400" ht="15.75" customHeight="1">
      <c r="A400" s="174">
        <f t="shared" si="15"/>
        <v>46600</v>
      </c>
      <c r="B400" s="176" t="str">
        <f t="shared" si="1"/>
        <v>Sunday</v>
      </c>
      <c r="C400" s="158" t="b">
        <f t="shared" si="2"/>
        <v>0</v>
      </c>
      <c r="D400" s="158" t="str">
        <f t="shared" si="3"/>
        <v/>
      </c>
      <c r="E400" s="158" t="str">
        <f t="shared" si="4"/>
        <v/>
      </c>
      <c r="F400" s="158" t="str">
        <f t="shared" si="5"/>
        <v/>
      </c>
      <c r="G400" s="158" t="str">
        <f t="shared" si="6"/>
        <v/>
      </c>
      <c r="H400" s="158" t="b">
        <f t="shared" si="7"/>
        <v>0</v>
      </c>
      <c r="I400" s="158" t="str">
        <f t="shared" si="8"/>
        <v/>
      </c>
      <c r="J400" s="158" t="str">
        <f>IFERROR(__xludf.DUMMYFUNCTION("IF(O400,LET(w,IFERROR(MATCH(N400,UNIQUE(FILTER($N$44:$N$408,$O$44:$O$408=TRUE)),0),""""),IF(OR(w="""",w&gt;$B$6),"""",w)),"""")"),"")</f>
        <v/>
      </c>
      <c r="K400" s="158" t="str">
        <f t="shared" si="9"/>
        <v/>
      </c>
      <c r="L400" s="158" t="str">
        <f t="shared" si="10"/>
        <v/>
      </c>
      <c r="M400" s="159" t="b">
        <f t="shared" si="11"/>
        <v>0</v>
      </c>
      <c r="N400" s="160">
        <f t="shared" si="12"/>
        <v>46594</v>
      </c>
      <c r="O400" s="163" t="b">
        <f t="shared" si="13"/>
        <v>1</v>
      </c>
      <c r="Q400" s="163">
        <f t="shared" si="14"/>
        <v>0</v>
      </c>
    </row>
    <row r="401" ht="15.75" customHeight="1">
      <c r="A401" s="174">
        <f t="shared" si="15"/>
        <v>46601</v>
      </c>
      <c r="B401" s="176" t="str">
        <f t="shared" si="1"/>
        <v>Monday</v>
      </c>
      <c r="C401" s="158" t="b">
        <f t="shared" si="2"/>
        <v>1</v>
      </c>
      <c r="D401" s="158" t="str">
        <f t="shared" si="3"/>
        <v/>
      </c>
      <c r="E401" s="158" t="str">
        <f t="shared" si="4"/>
        <v/>
      </c>
      <c r="F401" s="158" t="str">
        <f t="shared" si="5"/>
        <v/>
      </c>
      <c r="G401" s="158" t="str">
        <f t="shared" si="6"/>
        <v/>
      </c>
      <c r="H401" s="158" t="b">
        <f t="shared" si="7"/>
        <v>1</v>
      </c>
      <c r="I401" s="158">
        <f t="shared" si="8"/>
        <v>256</v>
      </c>
      <c r="J401" s="158" t="str">
        <f>IFERROR(__xludf.DUMMYFUNCTION("IF(O401,LET(w,IFERROR(MATCH(N401,UNIQUE(FILTER($N$44:$N$408,$O$44:$O$408=TRUE)),0),""""),IF(OR(w="""",w&gt;$B$6),"""",w)),"""")"),"")</f>
        <v/>
      </c>
      <c r="K401" s="158" t="str">
        <f t="shared" si="9"/>
        <v/>
      </c>
      <c r="L401" s="158" t="str">
        <f t="shared" si="10"/>
        <v/>
      </c>
      <c r="M401" s="159" t="b">
        <f t="shared" si="11"/>
        <v>0</v>
      </c>
      <c r="N401" s="160">
        <f t="shared" si="12"/>
        <v>46601</v>
      </c>
      <c r="O401" s="163" t="b">
        <f t="shared" si="13"/>
        <v>1</v>
      </c>
      <c r="Q401" s="163">
        <f t="shared" si="14"/>
        <v>0</v>
      </c>
    </row>
    <row r="402" ht="15.75" customHeight="1">
      <c r="A402" s="174">
        <f t="shared" si="15"/>
        <v>46602</v>
      </c>
      <c r="B402" s="176" t="str">
        <f t="shared" si="1"/>
        <v>Tuesday</v>
      </c>
      <c r="C402" s="158" t="b">
        <f t="shared" si="2"/>
        <v>1</v>
      </c>
      <c r="D402" s="158" t="str">
        <f t="shared" si="3"/>
        <v/>
      </c>
      <c r="E402" s="158" t="str">
        <f t="shared" si="4"/>
        <v/>
      </c>
      <c r="F402" s="158" t="str">
        <f t="shared" si="5"/>
        <v/>
      </c>
      <c r="G402" s="158" t="str">
        <f t="shared" si="6"/>
        <v/>
      </c>
      <c r="H402" s="158" t="b">
        <f t="shared" si="7"/>
        <v>1</v>
      </c>
      <c r="I402" s="158">
        <f t="shared" si="8"/>
        <v>257</v>
      </c>
      <c r="J402" s="158" t="str">
        <f>IFERROR(__xludf.DUMMYFUNCTION("IF(O402,LET(w,IFERROR(MATCH(N402,UNIQUE(FILTER($N$44:$N$408,$O$44:$O$408=TRUE)),0),""""),IF(OR(w="""",w&gt;$B$6),"""",w)),"""")"),"")</f>
        <v/>
      </c>
      <c r="K402" s="158" t="str">
        <f t="shared" si="9"/>
        <v/>
      </c>
      <c r="L402" s="158" t="str">
        <f t="shared" si="10"/>
        <v/>
      </c>
      <c r="M402" s="159" t="b">
        <f t="shared" si="11"/>
        <v>0</v>
      </c>
      <c r="N402" s="160">
        <f t="shared" si="12"/>
        <v>46601</v>
      </c>
      <c r="O402" s="163" t="b">
        <f t="shared" si="13"/>
        <v>1</v>
      </c>
      <c r="Q402" s="163">
        <f t="shared" si="14"/>
        <v>0</v>
      </c>
    </row>
    <row r="403" ht="15.75" customHeight="1">
      <c r="A403" s="174">
        <f t="shared" si="15"/>
        <v>46603</v>
      </c>
      <c r="B403" s="176" t="str">
        <f t="shared" si="1"/>
        <v>Wednesday</v>
      </c>
      <c r="C403" s="158" t="b">
        <f t="shared" si="2"/>
        <v>1</v>
      </c>
      <c r="D403" s="158" t="str">
        <f t="shared" si="3"/>
        <v/>
      </c>
      <c r="E403" s="158" t="str">
        <f t="shared" si="4"/>
        <v/>
      </c>
      <c r="F403" s="158" t="str">
        <f t="shared" si="5"/>
        <v/>
      </c>
      <c r="G403" s="158" t="str">
        <f t="shared" si="6"/>
        <v/>
      </c>
      <c r="H403" s="158" t="b">
        <f t="shared" si="7"/>
        <v>1</v>
      </c>
      <c r="I403" s="158">
        <f t="shared" si="8"/>
        <v>258</v>
      </c>
      <c r="J403" s="158" t="str">
        <f>IFERROR(__xludf.DUMMYFUNCTION("IF(O403,LET(w,IFERROR(MATCH(N403,UNIQUE(FILTER($N$44:$N$408,$O$44:$O$408=TRUE)),0),""""),IF(OR(w="""",w&gt;$B$6),"""",w)),"""")"),"")</f>
        <v/>
      </c>
      <c r="K403" s="158" t="str">
        <f t="shared" si="9"/>
        <v/>
      </c>
      <c r="L403" s="158" t="str">
        <f t="shared" si="10"/>
        <v/>
      </c>
      <c r="M403" s="159" t="b">
        <f t="shared" si="11"/>
        <v>0</v>
      </c>
      <c r="N403" s="160">
        <f t="shared" si="12"/>
        <v>46601</v>
      </c>
      <c r="O403" s="163" t="b">
        <f t="shared" si="13"/>
        <v>1</v>
      </c>
      <c r="Q403" s="163">
        <f t="shared" si="14"/>
        <v>0</v>
      </c>
    </row>
    <row r="404" ht="15.75" customHeight="1">
      <c r="A404" s="174">
        <f t="shared" si="15"/>
        <v>46604</v>
      </c>
      <c r="B404" s="176" t="str">
        <f t="shared" si="1"/>
        <v>Thursday</v>
      </c>
      <c r="C404" s="158" t="b">
        <f t="shared" si="2"/>
        <v>1</v>
      </c>
      <c r="D404" s="158" t="str">
        <f t="shared" si="3"/>
        <v/>
      </c>
      <c r="E404" s="158" t="str">
        <f t="shared" si="4"/>
        <v/>
      </c>
      <c r="F404" s="158" t="str">
        <f t="shared" si="5"/>
        <v/>
      </c>
      <c r="G404" s="158" t="str">
        <f t="shared" si="6"/>
        <v/>
      </c>
      <c r="H404" s="158" t="b">
        <f t="shared" si="7"/>
        <v>1</v>
      </c>
      <c r="I404" s="158">
        <f t="shared" si="8"/>
        <v>259</v>
      </c>
      <c r="J404" s="158" t="str">
        <f>IFERROR(__xludf.DUMMYFUNCTION("IF(O404,LET(w,IFERROR(MATCH(N404,UNIQUE(FILTER($N$44:$N$408,$O$44:$O$408=TRUE)),0),""""),IF(OR(w="""",w&gt;$B$6),"""",w)),"""")"),"")</f>
        <v/>
      </c>
      <c r="K404" s="158" t="str">
        <f t="shared" si="9"/>
        <v/>
      </c>
      <c r="L404" s="158" t="str">
        <f t="shared" si="10"/>
        <v/>
      </c>
      <c r="M404" s="159" t="b">
        <f t="shared" si="11"/>
        <v>0</v>
      </c>
      <c r="N404" s="160">
        <f t="shared" si="12"/>
        <v>46601</v>
      </c>
      <c r="O404" s="163" t="b">
        <f t="shared" si="13"/>
        <v>1</v>
      </c>
      <c r="Q404" s="163">
        <f t="shared" si="14"/>
        <v>0</v>
      </c>
    </row>
    <row r="405" ht="15.75" customHeight="1">
      <c r="A405" s="174">
        <f t="shared" si="15"/>
        <v>46605</v>
      </c>
      <c r="B405" s="176" t="str">
        <f t="shared" si="1"/>
        <v>Friday</v>
      </c>
      <c r="C405" s="158" t="b">
        <f t="shared" si="2"/>
        <v>1</v>
      </c>
      <c r="D405" s="158" t="str">
        <f t="shared" si="3"/>
        <v/>
      </c>
      <c r="E405" s="158" t="str">
        <f t="shared" si="4"/>
        <v/>
      </c>
      <c r="F405" s="158" t="str">
        <f t="shared" si="5"/>
        <v/>
      </c>
      <c r="G405" s="158" t="str">
        <f t="shared" si="6"/>
        <v/>
      </c>
      <c r="H405" s="158" t="b">
        <f t="shared" si="7"/>
        <v>1</v>
      </c>
      <c r="I405" s="158">
        <f t="shared" si="8"/>
        <v>260</v>
      </c>
      <c r="J405" s="158" t="str">
        <f>IFERROR(__xludf.DUMMYFUNCTION("IF(O405,LET(w,IFERROR(MATCH(N405,UNIQUE(FILTER($N$44:$N$408,$O$44:$O$408=TRUE)),0),""""),IF(OR(w="""",w&gt;$B$6),"""",w)),"""")"),"")</f>
        <v/>
      </c>
      <c r="K405" s="158" t="str">
        <f t="shared" si="9"/>
        <v/>
      </c>
      <c r="L405" s="158" t="str">
        <f t="shared" si="10"/>
        <v/>
      </c>
      <c r="M405" s="159" t="b">
        <f t="shared" si="11"/>
        <v>0</v>
      </c>
      <c r="N405" s="160">
        <f t="shared" si="12"/>
        <v>46601</v>
      </c>
      <c r="O405" s="163" t="b">
        <f t="shared" si="13"/>
        <v>1</v>
      </c>
      <c r="Q405" s="163">
        <f t="shared" si="14"/>
        <v>0</v>
      </c>
    </row>
    <row r="406" ht="15.75" customHeight="1">
      <c r="A406" s="174">
        <f t="shared" si="15"/>
        <v>46606</v>
      </c>
      <c r="B406" s="176" t="str">
        <f t="shared" si="1"/>
        <v>Saturday</v>
      </c>
      <c r="C406" s="158" t="b">
        <f t="shared" si="2"/>
        <v>0</v>
      </c>
      <c r="D406" s="158" t="str">
        <f t="shared" si="3"/>
        <v/>
      </c>
      <c r="E406" s="158" t="str">
        <f t="shared" si="4"/>
        <v/>
      </c>
      <c r="F406" s="158" t="str">
        <f t="shared" si="5"/>
        <v/>
      </c>
      <c r="G406" s="158" t="str">
        <f t="shared" si="6"/>
        <v/>
      </c>
      <c r="H406" s="158" t="b">
        <f t="shared" si="7"/>
        <v>0</v>
      </c>
      <c r="I406" s="158" t="str">
        <f t="shared" si="8"/>
        <v/>
      </c>
      <c r="J406" s="158" t="str">
        <f>IFERROR(__xludf.DUMMYFUNCTION("IF(O406,LET(w,IFERROR(MATCH(N406,UNIQUE(FILTER($N$44:$N$408,$O$44:$O$408=TRUE)),0),""""),IF(OR(w="""",w&gt;$B$6),"""",w)),"""")"),"")</f>
        <v/>
      </c>
      <c r="K406" s="158" t="str">
        <f t="shared" si="9"/>
        <v/>
      </c>
      <c r="L406" s="158" t="str">
        <f t="shared" si="10"/>
        <v/>
      </c>
      <c r="M406" s="159" t="b">
        <f t="shared" si="11"/>
        <v>0</v>
      </c>
      <c r="N406" s="160">
        <f t="shared" si="12"/>
        <v>46601</v>
      </c>
      <c r="O406" s="163" t="b">
        <f t="shared" si="13"/>
        <v>1</v>
      </c>
      <c r="Q406" s="163">
        <f t="shared" si="14"/>
        <v>0</v>
      </c>
    </row>
    <row r="407" ht="15.75" customHeight="1">
      <c r="A407" s="174">
        <f t="shared" si="15"/>
        <v>46607</v>
      </c>
      <c r="B407" s="176" t="str">
        <f t="shared" si="1"/>
        <v>Sunday</v>
      </c>
      <c r="C407" s="158" t="b">
        <f t="shared" si="2"/>
        <v>0</v>
      </c>
      <c r="D407" s="158" t="str">
        <f t="shared" si="3"/>
        <v/>
      </c>
      <c r="E407" s="158" t="str">
        <f t="shared" si="4"/>
        <v/>
      </c>
      <c r="F407" s="158" t="str">
        <f t="shared" si="5"/>
        <v/>
      </c>
      <c r="G407" s="158" t="str">
        <f t="shared" si="6"/>
        <v/>
      </c>
      <c r="H407" s="158" t="b">
        <f t="shared" si="7"/>
        <v>0</v>
      </c>
      <c r="I407" s="158" t="str">
        <f t="shared" si="8"/>
        <v/>
      </c>
      <c r="J407" s="158" t="str">
        <f>IFERROR(__xludf.DUMMYFUNCTION("IF(O407,LET(w,IFERROR(MATCH(N407,UNIQUE(FILTER($N$44:$N$408,$O$44:$O$408=TRUE)),0),""""),IF(OR(w="""",w&gt;$B$6),"""",w)),"""")"),"")</f>
        <v/>
      </c>
      <c r="K407" s="158" t="str">
        <f t="shared" si="9"/>
        <v/>
      </c>
      <c r="L407" s="158" t="str">
        <f t="shared" si="10"/>
        <v/>
      </c>
      <c r="M407" s="159" t="b">
        <f t="shared" si="11"/>
        <v>0</v>
      </c>
      <c r="N407" s="160">
        <f t="shared" si="12"/>
        <v>46601</v>
      </c>
      <c r="O407" s="163" t="b">
        <f t="shared" si="13"/>
        <v>1</v>
      </c>
      <c r="Q407" s="163">
        <f t="shared" si="14"/>
        <v>0</v>
      </c>
    </row>
    <row r="408" ht="15.75" customHeight="1">
      <c r="A408" s="362">
        <f t="shared" si="15"/>
        <v>46608</v>
      </c>
      <c r="B408" s="363" t="str">
        <f t="shared" si="1"/>
        <v>Monday</v>
      </c>
      <c r="C408" s="158" t="b">
        <f t="shared" si="2"/>
        <v>1</v>
      </c>
      <c r="D408" s="158" t="str">
        <f t="shared" si="3"/>
        <v/>
      </c>
      <c r="E408" s="158" t="str">
        <f t="shared" si="4"/>
        <v/>
      </c>
      <c r="F408" s="158" t="str">
        <f t="shared" si="5"/>
        <v/>
      </c>
      <c r="G408" s="158" t="str">
        <f t="shared" si="6"/>
        <v/>
      </c>
      <c r="H408" s="158" t="b">
        <f t="shared" si="7"/>
        <v>1</v>
      </c>
      <c r="I408" s="158">
        <f t="shared" si="8"/>
        <v>261</v>
      </c>
      <c r="J408" s="158" t="str">
        <f>IFERROR(__xludf.DUMMYFUNCTION("IF(O408,LET(w,IFERROR(MATCH(N408,UNIQUE(FILTER($N$44:$N$408,$O$44:$O$408=TRUE)),0),""""),IF(OR(w="""",w&gt;$B$6),"""",w)),"""")"),"")</f>
        <v/>
      </c>
      <c r="K408" s="158" t="str">
        <f t="shared" si="9"/>
        <v/>
      </c>
      <c r="L408" s="158" t="str">
        <f t="shared" si="10"/>
        <v/>
      </c>
      <c r="M408" s="159" t="b">
        <f t="shared" si="11"/>
        <v>0</v>
      </c>
      <c r="N408" s="160">
        <f t="shared" si="12"/>
        <v>46608</v>
      </c>
      <c r="O408" s="163" t="b">
        <f t="shared" si="13"/>
        <v>1</v>
      </c>
      <c r="Q408" s="163">
        <f t="shared" si="14"/>
        <v>0</v>
      </c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InputMessage="1" showErrorMessage="1" prompt="Choose the kind of calendar exception." sqref="D16:D35">
      <formula1>'School Calendar'!$N$5:$N$13</formula1>
    </dataValidation>
    <dataValidation type="list" allowBlank="1" showInputMessage="1" showErrorMessage="1" prompt="Choose how the normal school rhythm changes." sqref="G16:G35">
      <formula1>'School Calendar'!$P$5:$P$11</formula1>
    </dataValidation>
    <dataValidation type="custom" allowBlank="1" showDropDown="1" showInputMessage="1" showErrorMessage="1" prompt="Choose a valid calendar date." sqref="A16:B35">
      <formula1>OR(NOT(ISERROR(DATEVALUE(A16))), AND(ISNUMBER(A16), LEFT(CELL("format", A16))="D"))</formula1>
    </dataValidation>
    <dataValidation type="list" allowBlank="1" showInputMessage="1" showErrorMessage="1" prompt="Choose All dates, or choose one weekday for a recurring exception." sqref="C16:C35">
      <formula1>"All dates,Monday,Tuesday,Wednesday,Thursday,Friday"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26D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4.0"/>
    <col customWidth="1" min="3" max="4" width="28.0"/>
    <col customWidth="1" min="5" max="5" width="26.0"/>
    <col customWidth="1" hidden="1" min="6" max="6" width="24.0"/>
    <col customWidth="1" min="7" max="7" width="24.0"/>
    <col customWidth="1" min="8" max="8" width="13.25"/>
    <col customWidth="1" min="9" max="9" width="20.0"/>
    <col customWidth="1" min="10" max="10" width="28.0"/>
    <col customWidth="1" min="11" max="11" width="35.13"/>
    <col customWidth="1" min="12" max="26" width="8.63"/>
  </cols>
  <sheetData>
    <row r="1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3" t="s">
        <v>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28" t="s">
        <v>12</v>
      </c>
      <c r="B4" s="30" t="s">
        <v>14</v>
      </c>
      <c r="C4" s="30" t="s">
        <v>16</v>
      </c>
      <c r="D4" s="30" t="s">
        <v>17</v>
      </c>
      <c r="E4" s="30" t="s">
        <v>18</v>
      </c>
      <c r="F4" s="30" t="s">
        <v>19</v>
      </c>
      <c r="G4" s="30" t="s">
        <v>20</v>
      </c>
      <c r="H4" s="30" t="s">
        <v>21</v>
      </c>
      <c r="I4" s="30" t="s">
        <v>24</v>
      </c>
      <c r="J4" s="30" t="s">
        <v>25</v>
      </c>
      <c r="K4" s="35" t="s">
        <v>26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0" customHeight="1">
      <c r="A5" s="40" t="s">
        <v>29</v>
      </c>
      <c r="B5" s="48" t="str">
        <f>IFERROR(__xludf.DUMMYFUNCTION("IFERROR(INDEX(FILTER($D$46:$D$147,((($A$46:$A$147=TRUE)+($A$46:$A$147=""☑"")+($A$46:$A$147=""✓"")+($A$46:$A$147=""✔""))&gt;0)*($B$46:$B$147=$A$5)*($C$46:$C$147=B$4)),ROWS(B$5:B5)),"""")"),"New Testament")</f>
        <v>New Testament</v>
      </c>
      <c r="C5" s="48" t="str">
        <f>IFERROR(__xludf.DUMMYFUNCTION("IFERROR(INDEX(FILTER($D$46:$D$147,((($A$46:$A$147=TRUE)+($A$46:$A$147=""☑"")+($A$46:$A$147=""✓"")+($A$46:$A$147=""✔""))&gt;0)*($B$46:$B$147=$A$5)*($C$46:$C$147=C$4)),ROWS(C$5:C5)),"""")"),"")</f>
        <v/>
      </c>
      <c r="D5" s="48" t="str">
        <f>IFERROR(__xludf.DUMMYFUNCTION("IFERROR(INDEX(FILTER($D$46:$D$147,((($A$46:$A$147=TRUE)+($A$46:$A$147=""☑"")+($A$46:$A$147=""✓"")+($A$46:$A$147=""✔""))&gt;0)*($B$46:$B$147=$A$5)*($C$46:$C$147=D$4)),ROWS(D$5:D5)),"""")"),"Family Read-Aloud")</f>
        <v>Family Read-Aloud</v>
      </c>
      <c r="E5" s="48" t="str">
        <f>IFERROR(__xludf.DUMMYFUNCTION("IFERROR(INDEX(FILTER($D$46:$D$147,((($A$46:$A$147=TRUE)+($A$46:$A$147=""☑"")+($A$46:$A$147=""✓"")+($A$46:$A$147=""✔""))&gt;0)*($B$46:$B$147=$A$5)*($C$46:$C$147=E$4)),ROWS(E$5:E5)),"""")"),"")</f>
        <v/>
      </c>
      <c r="F5" s="48" t="str">
        <f>IFERROR(__xludf.DUMMYFUNCTION("IFERROR(INDEX(FILTER($D$46:$D$147,((($A$46:$A$147=TRUE)+($A$46:$A$147=""☑"")+($A$46:$A$147=""✓"")+($A$46:$A$147=""✔""))&gt;0)*($B$46:$B$147=$A$5)*($C$46:$C$147=F$4)),ROWS(F$5:F5)),"""")"),"")</f>
        <v/>
      </c>
      <c r="G5" s="48" t="str">
        <f>IFERROR(__xludf.DUMMYFUNCTION("IFERROR(INDEX(FILTER($D$46:$D$147,((($A$46:$A$147=TRUE)+($A$46:$A$147=""☑"")+($A$46:$A$147=""✓"")+($A$46:$A$147=""✔""))&gt;0)*($B$46:$B$147=$A$5)*($C$46:$C$147=G$4)),ROWS(G$5:G5)),"""")"),"")</f>
        <v/>
      </c>
      <c r="H5" s="48" t="str">
        <f>IFERROR(__xludf.DUMMYFUNCTION("IFERROR(INDEX(FILTER($D$46:$D$147,((($A$46:$A$147=TRUE)+($A$46:$A$147=""☑"")+($A$46:$A$147=""✓"")+($A$46:$A$147=""✔""))&gt;0)*($B$46:$B$147=$A$5)*($C$46:$C$147=H$4)),ROWS(H$5:H5)),"""")"),"Special Studies")</f>
        <v>Special Studies</v>
      </c>
      <c r="I5" s="48" t="str">
        <f>IFERROR(__xludf.DUMMYFUNCTION("IFERROR(INDEX(FILTER($D$46:$D$147,((($A$46:$A$147=TRUE)+($A$46:$A$147=""☑"")+($A$46:$A$147=""✓"")+($A$46:$A$147=""✔""))&gt;0)*($B$46:$B$147=$A$5)*($C$46:$C$147=I$4)),ROWS(I$5:I5)),"""")"),"Family Math")</f>
        <v>Family Math</v>
      </c>
      <c r="J5" s="48" t="str">
        <f>IFERROR(__xludf.DUMMYFUNCTION("IFERROR(INDEX(FILTER($D$46:$D$147,((($A$46:$A$147=TRUE)+($A$46:$A$147=""☑"")+($A$46:$A$147=""✓"")+($A$46:$A$147=""✔""))&gt;0)*($B$46:$B$147=$A$5)*($C$46:$C$147=J$4)),ROWS(J$5:J5)),"""")"),"Hymn")</f>
        <v>Hymn</v>
      </c>
      <c r="K5" s="48" t="str">
        <f>IFERROR(__xludf.DUMMYFUNCTION("IFERROR(INDEX(FILTER($D$46:$D$147,((($A$46:$A$147=TRUE)+($A$46:$A$147=""☑"")+($A$46:$A$147=""✓"")+($A$46:$A$147=""✔""))&gt;0)*($B$46:$B$147=$A$5)*($C$46:$C$147=K$4)),ROWS(K$5:K5)),"""")"),"Family Language Song")</f>
        <v>Family Language Song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4.0" customHeight="1">
      <c r="B6" s="68" t="str">
        <f>IFERROR(__xludf.DUMMYFUNCTION("IFERROR(INDEX(FILTER($D$46:$D$147,((($A$46:$A$147=TRUE)+($A$46:$A$147=""☑"")+($A$46:$A$147=""✓"")+($A$46:$A$147=""✔""))&gt;0)*($B$46:$B$147=$A$5)*($C$46:$C$147=B$4)),ROWS(B$5:B6)),"""")"),"Old Testament")</f>
        <v>Old Testament</v>
      </c>
      <c r="C6" s="68" t="str">
        <f>IFERROR(__xludf.DUMMYFUNCTION("IFERROR(INDEX(FILTER($D$46:$D$147,((($A$46:$A$147=TRUE)+($A$46:$A$147=""☑"")+($A$46:$A$147=""✓"")+($A$46:$A$147=""✔""))&gt;0)*($B$46:$B$147=$A$5)*($C$46:$C$147=C$4)),ROWS(C$5:C6)),"""")"),"")</f>
        <v/>
      </c>
      <c r="D6" s="68" t="str">
        <f>IFERROR(__xludf.DUMMYFUNCTION("IFERROR(INDEX(FILTER($D$46:$D$147,((($A$46:$A$147=TRUE)+($A$46:$A$147=""☑"")+($A$46:$A$147=""✓"")+($A$46:$A$147=""✔""))&gt;0)*($B$46:$B$147=$A$5)*($C$46:$C$147=D$4)),ROWS(D$5:D6)),"""")"),"Tales / Fairy Tales / Myths")</f>
        <v>Tales / Fairy Tales / Myths</v>
      </c>
      <c r="E6" s="68" t="str">
        <f>IFERROR(__xludf.DUMMYFUNCTION("IFERROR(INDEX(FILTER($D$46:$D$147,((($A$46:$A$147=TRUE)+($A$46:$A$147=""☑"")+($A$46:$A$147=""✓"")+($A$46:$A$147=""✔""))&gt;0)*($B$46:$B$147=$A$5)*($C$46:$C$147=E$4)),ROWS(E$5:E6)),"""")"),"")</f>
        <v/>
      </c>
      <c r="F6" s="68" t="str">
        <f>IFERROR(__xludf.DUMMYFUNCTION("IFERROR(INDEX(FILTER($D$46:$D$147,((($A$46:$A$147=TRUE)+($A$46:$A$147=""☑"")+($A$46:$A$147=""✓"")+($A$46:$A$147=""✔""))&gt;0)*($B$46:$B$147=$A$5)*($C$46:$C$147=F$4)),ROWS(F$5:F6)),"""")"),"")</f>
        <v/>
      </c>
      <c r="G6" s="68" t="str">
        <f>IFERROR(__xludf.DUMMYFUNCTION("IFERROR(INDEX(FILTER($D$46:$D$147,((($A$46:$A$147=TRUE)+($A$46:$A$147=""☑"")+($A$46:$A$147=""✓"")+($A$46:$A$147=""✔""))&gt;0)*($B$46:$B$147=$A$5)*($C$46:$C$147=G$4)),ROWS(G$5:G6)),"""")"),"")</f>
        <v/>
      </c>
      <c r="H6" s="68" t="str">
        <f>IFERROR(__xludf.DUMMYFUNCTION("IFERROR(INDEX(FILTER($D$46:$D$147,((($A$46:$A$147=TRUE)+($A$46:$A$147=""☑"")+($A$46:$A$147=""✓"")+($A$46:$A$147=""✔""))&gt;0)*($B$46:$B$147=$A$5)*($C$46:$C$147=H$4)),ROWS(H$5:H6)),"""")"),"")</f>
        <v/>
      </c>
      <c r="I6" s="68" t="str">
        <f>IFERROR(__xludf.DUMMYFUNCTION("IFERROR(INDEX(FILTER($D$46:$D$147,((($A$46:$A$147=TRUE)+($A$46:$A$147=""☑"")+($A$46:$A$147=""✓"")+($A$46:$A$147=""✔""))&gt;0)*($B$46:$B$147=$A$5)*($C$46:$C$147=I$4)),ROWS(I$5:I6)),"""")"),"")</f>
        <v/>
      </c>
      <c r="J6" s="68" t="str">
        <f>IFERROR(__xludf.DUMMYFUNCTION("IFERROR(INDEX(FILTER($D$46:$D$147,((($A$46:$A$147=TRUE)+($A$46:$A$147=""☑"")+($A$46:$A$147=""✓"")+($A$46:$A$147=""✔""))&gt;0)*($B$46:$B$147=$A$5)*($C$46:$C$147=J$4)),ROWS(J$5:J6)),"""")"),"Folk Song")</f>
        <v>Folk Song</v>
      </c>
      <c r="K6" s="68" t="str">
        <f>IFERROR(__xludf.DUMMYFUNCTION("IFERROR(INDEX(FILTER($D$46:$D$147,((($A$46:$A$147=TRUE)+($A$46:$A$147=""☑"")+($A$46:$A$147=""✓"")+($A$46:$A$147=""✔""))&gt;0)*($B$46:$B$147=$A$5)*($C$46:$C$147=K$4)),ROWS(K$5:K6)),"""")"),"")</f>
        <v/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4.0" customHeight="1">
      <c r="B7" s="68" t="str">
        <f>IFERROR(__xludf.DUMMYFUNCTION("IFERROR(INDEX(FILTER($D$46:$D$147,((($A$46:$A$147=TRUE)+($A$46:$A$147=""☑"")+($A$46:$A$147=""✓"")+($A$46:$A$147=""✔""))&gt;0)*($B$46:$B$147=$A$5)*($C$46:$C$147=B$4)),ROWS(B$5:B7)),"""")"),"Psalms / Proverbs")</f>
        <v>Psalms / Proverbs</v>
      </c>
      <c r="C7" s="68" t="str">
        <f>IFERROR(__xludf.DUMMYFUNCTION("IFERROR(INDEX(FILTER($D$46:$D$147,((($A$46:$A$147=TRUE)+($A$46:$A$147=""☑"")+($A$46:$A$147=""✓"")+($A$46:$A$147=""✔""))&gt;0)*($B$46:$B$147=$A$5)*($C$46:$C$147=C$4)),ROWS(C$5:C7)),"""")"),"")</f>
        <v/>
      </c>
      <c r="D7" s="68" t="str">
        <f>IFERROR(__xludf.DUMMYFUNCTION("IFERROR(INDEX(FILTER($D$46:$D$147,((($A$46:$A$147=TRUE)+($A$46:$A$147=""☑"")+($A$46:$A$147=""✓"")+($A$46:$A$147=""✔""))&gt;0)*($B$46:$B$147=$A$5)*($C$46:$C$147=D$4)),ROWS(D$5:D7)),"""")"),"")</f>
        <v/>
      </c>
      <c r="E7" s="68" t="str">
        <f>IFERROR(__xludf.DUMMYFUNCTION("IFERROR(INDEX(FILTER($D$46:$D$147,((($A$46:$A$147=TRUE)+($A$46:$A$147=""☑"")+($A$46:$A$147=""✓"")+($A$46:$A$147=""✔""))&gt;0)*($B$46:$B$147=$A$5)*($C$46:$C$147=E$4)),ROWS(E$5:E7)),"""")"),"")</f>
        <v/>
      </c>
      <c r="F7" s="68" t="str">
        <f>IFERROR(__xludf.DUMMYFUNCTION("IFERROR(INDEX(FILTER($D$46:$D$147,((($A$46:$A$147=TRUE)+($A$46:$A$147=""☑"")+($A$46:$A$147=""✓"")+($A$46:$A$147=""✔""))&gt;0)*($B$46:$B$147=$A$5)*($C$46:$C$147=F$4)),ROWS(F$5:F7)),"""")"),"")</f>
        <v/>
      </c>
      <c r="G7" s="68" t="str">
        <f>IFERROR(__xludf.DUMMYFUNCTION("IFERROR(INDEX(FILTER($D$46:$D$147,((($A$46:$A$147=TRUE)+($A$46:$A$147=""☑"")+($A$46:$A$147=""✓"")+($A$46:$A$147=""✔""))&gt;0)*($B$46:$B$147=$A$5)*($C$46:$C$147=G$4)),ROWS(G$5:G7)),"""")"),"")</f>
        <v/>
      </c>
      <c r="H7" s="68" t="str">
        <f>IFERROR(__xludf.DUMMYFUNCTION("IFERROR(INDEX(FILTER($D$46:$D$147,((($A$46:$A$147=TRUE)+($A$46:$A$147=""☑"")+($A$46:$A$147=""✓"")+($A$46:$A$147=""✔""))&gt;0)*($B$46:$B$147=$A$5)*($C$46:$C$147=H$4)),ROWS(H$5:H7)),"""")"),"")</f>
        <v/>
      </c>
      <c r="I7" s="68" t="str">
        <f>IFERROR(__xludf.DUMMYFUNCTION("IFERROR(INDEX(FILTER($D$46:$D$147,((($A$46:$A$147=TRUE)+($A$46:$A$147=""☑"")+($A$46:$A$147=""✓"")+($A$46:$A$147=""✔""))&gt;0)*($B$46:$B$147=$A$5)*($C$46:$C$147=I$4)),ROWS(I$5:I7)),"""")"),"")</f>
        <v/>
      </c>
      <c r="J7" s="68" t="str">
        <f>IFERROR(__xludf.DUMMYFUNCTION("IFERROR(INDEX(FILTER($D$46:$D$147,((($A$46:$A$147=TRUE)+($A$46:$A$147=""☑"")+($A$46:$A$147=""✓"")+($A$46:$A$147=""✔""))&gt;0)*($B$46:$B$147=$A$5)*($C$46:$C$147=J$4)),ROWS(J$5:J7)),"""")"),"Poetry")</f>
        <v>Poetry</v>
      </c>
      <c r="K7" s="68" t="str">
        <f>IFERROR(__xludf.DUMMYFUNCTION("IFERROR(INDEX(FILTER($D$46:$D$147,((($A$46:$A$147=TRUE)+($A$46:$A$147=""☑"")+($A$46:$A$147=""✓"")+($A$46:$A$147=""✔""))&gt;0)*($B$46:$B$147=$A$5)*($C$46:$C$147=K$4)),ROWS(K$5:K7)),"""")"),"")</f>
        <v/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4.0" customHeight="1">
      <c r="B8" s="68" t="str">
        <f>IFERROR(__xludf.DUMMYFUNCTION("IFERROR(INDEX(FILTER($D$46:$D$147,((($A$46:$A$147=TRUE)+($A$46:$A$147=""☑"")+($A$46:$A$147=""✓"")+($A$46:$A$147=""✔""))&gt;0)*($B$46:$B$147=$A$5)*($C$46:$C$147=B$4)),ROWS(B$5:B8)),"""")"),"Scripture Memory")</f>
        <v>Scripture Memory</v>
      </c>
      <c r="C8" s="68" t="str">
        <f>IFERROR(__xludf.DUMMYFUNCTION("IFERROR(INDEX(FILTER($D$46:$D$147,((($A$46:$A$147=TRUE)+($A$46:$A$147=""☑"")+($A$46:$A$147=""✓"")+($A$46:$A$147=""✔""))&gt;0)*($B$46:$B$147=$A$5)*($C$46:$C$147=C$4)),ROWS(C$5:C8)),"""")"),"")</f>
        <v/>
      </c>
      <c r="D8" s="68" t="str">
        <f>IFERROR(__xludf.DUMMYFUNCTION("IFERROR(INDEX(FILTER($D$46:$D$147,((($A$46:$A$147=TRUE)+($A$46:$A$147=""☑"")+($A$46:$A$147=""✓"")+($A$46:$A$147=""✔""))&gt;0)*($B$46:$B$147=$A$5)*($C$46:$C$147=D$4)),ROWS(D$5:D8)),"""")"),"")</f>
        <v/>
      </c>
      <c r="E8" s="68" t="str">
        <f>IFERROR(__xludf.DUMMYFUNCTION("IFERROR(INDEX(FILTER($D$46:$D$147,((($A$46:$A$147=TRUE)+($A$46:$A$147=""☑"")+($A$46:$A$147=""✓"")+($A$46:$A$147=""✔""))&gt;0)*($B$46:$B$147=$A$5)*($C$46:$C$147=E$4)),ROWS(E$5:E8)),"""")"),"")</f>
        <v/>
      </c>
      <c r="F8" s="68" t="str">
        <f>IFERROR(__xludf.DUMMYFUNCTION("IFERROR(INDEX(FILTER($D$46:$D$147,((($A$46:$A$147=TRUE)+($A$46:$A$147=""☑"")+($A$46:$A$147=""✓"")+($A$46:$A$147=""✔""))&gt;0)*($B$46:$B$147=$A$5)*($C$46:$C$147=F$4)),ROWS(F$5:F8)),"""")"),"")</f>
        <v/>
      </c>
      <c r="G8" s="68" t="str">
        <f>IFERROR(__xludf.DUMMYFUNCTION("IFERROR(INDEX(FILTER($D$46:$D$147,((($A$46:$A$147=TRUE)+($A$46:$A$147=""☑"")+($A$46:$A$147=""✓"")+($A$46:$A$147=""✔""))&gt;0)*($B$46:$B$147=$A$5)*($C$46:$C$147=G$4)),ROWS(G$5:G8)),"""")"),"")</f>
        <v/>
      </c>
      <c r="H8" s="68" t="str">
        <f>IFERROR(__xludf.DUMMYFUNCTION("IFERROR(INDEX(FILTER($D$46:$D$147,((($A$46:$A$147=TRUE)+($A$46:$A$147=""☑"")+($A$46:$A$147=""✓"")+($A$46:$A$147=""✔""))&gt;0)*($B$46:$B$147=$A$5)*($C$46:$C$147=H$4)),ROWS(H$5:H8)),"""")"),"")</f>
        <v/>
      </c>
      <c r="I8" s="68" t="str">
        <f>IFERROR(__xludf.DUMMYFUNCTION("IFERROR(INDEX(FILTER($D$46:$D$147,((($A$46:$A$147=TRUE)+($A$46:$A$147=""☑"")+($A$46:$A$147=""✓"")+($A$46:$A$147=""✔""))&gt;0)*($B$46:$B$147=$A$5)*($C$46:$C$147=I$4)),ROWS(I$5:I8)),"""")"),"")</f>
        <v/>
      </c>
      <c r="J8" s="68" t="str">
        <f>IFERROR(__xludf.DUMMYFUNCTION("IFERROR(INDEX(FILTER($D$46:$D$147,((($A$46:$A$147=TRUE)+($A$46:$A$147=""☑"")+($A$46:$A$147=""✓"")+($A$46:$A$147=""✔""))&gt;0)*($B$46:$B$147=$A$5)*($C$46:$C$147=J$4)),ROWS(J$5:J8)),"""")"),"Picture Study")</f>
        <v>Picture Study</v>
      </c>
      <c r="K8" s="68" t="str">
        <f>IFERROR(__xludf.DUMMYFUNCTION("IFERROR(INDEX(FILTER($D$46:$D$147,((($A$46:$A$147=TRUE)+($A$46:$A$147=""☑"")+($A$46:$A$147=""✓"")+($A$46:$A$147=""✔""))&gt;0)*($B$46:$B$147=$A$5)*($C$46:$C$147=K$4)),ROWS(K$5:K8)),"""")"),"")</f>
        <v/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116"/>
      <c r="B9" s="68" t="str">
        <f>IFERROR(__xludf.DUMMYFUNCTION("IFERROR(INDEX(FILTER($D$46:$D$147,((($A$46:$A$147=TRUE)+($A$46:$A$147=""☑"")+($A$46:$A$147=""✓"")+($A$46:$A$147=""✔""))&gt;0)*($B$46:$B$147=$A$5)*($C$46:$C$147=B$4)),ROWS(B$5:B9)),"""")"),"")</f>
        <v/>
      </c>
      <c r="C9" s="68" t="str">
        <f>IFERROR(__xludf.DUMMYFUNCTION("IFERROR(INDEX(FILTER($D$46:$D$147,((($A$46:$A$147=TRUE)+($A$46:$A$147=""☑"")+($A$46:$A$147=""✓"")+($A$46:$A$147=""✔""))&gt;0)*($B$46:$B$147=$A$5)*($C$46:$C$147=C$4)),ROWS(C$5:C9)),"""")"),"")</f>
        <v/>
      </c>
      <c r="D9" s="68" t="str">
        <f>IFERROR(__xludf.DUMMYFUNCTION("IFERROR(INDEX(FILTER($D$46:$D$147,((($A$46:$A$147=TRUE)+($A$46:$A$147=""☑"")+($A$46:$A$147=""✓"")+($A$46:$A$147=""✔""))&gt;0)*($B$46:$B$147=$A$5)*($C$46:$C$147=D$4)),ROWS(D$5:D9)),"""")"),"")</f>
        <v/>
      </c>
      <c r="E9" s="68" t="str">
        <f>IFERROR(__xludf.DUMMYFUNCTION("IFERROR(INDEX(FILTER($D$46:$D$147,((($A$46:$A$147=TRUE)+($A$46:$A$147=""☑"")+($A$46:$A$147=""✓"")+($A$46:$A$147=""✔""))&gt;0)*($B$46:$B$147=$A$5)*($C$46:$C$147=E$4)),ROWS(E$5:E9)),"""")"),"")</f>
        <v/>
      </c>
      <c r="F9" s="68" t="str">
        <f>IFERROR(__xludf.DUMMYFUNCTION("IFERROR(INDEX(FILTER($D$46:$D$147,((($A$46:$A$147=TRUE)+($A$46:$A$147=""☑"")+($A$46:$A$147=""✓"")+($A$46:$A$147=""✔""))&gt;0)*($B$46:$B$147=$A$5)*($C$46:$C$147=F$4)),ROWS(F$5:F9)),"""")"),"")</f>
        <v/>
      </c>
      <c r="G9" s="68" t="str">
        <f>IFERROR(__xludf.DUMMYFUNCTION("IFERROR(INDEX(FILTER($D$46:$D$147,((($A$46:$A$147=TRUE)+($A$46:$A$147=""☑"")+($A$46:$A$147=""✓"")+($A$46:$A$147=""✔""))&gt;0)*($B$46:$B$147=$A$5)*($C$46:$C$147=G$4)),ROWS(G$5:G9)),"""")"),"")</f>
        <v/>
      </c>
      <c r="H9" s="68" t="str">
        <f>IFERROR(__xludf.DUMMYFUNCTION("IFERROR(INDEX(FILTER($D$46:$D$147,((($A$46:$A$147=TRUE)+($A$46:$A$147=""☑"")+($A$46:$A$147=""✓"")+($A$46:$A$147=""✔""))&gt;0)*($B$46:$B$147=$A$5)*($C$46:$C$147=H$4)),ROWS(H$5:H9)),"""")"),"")</f>
        <v/>
      </c>
      <c r="I9" s="68" t="str">
        <f>IFERROR(__xludf.DUMMYFUNCTION("IFERROR(INDEX(FILTER($D$46:$D$147,((($A$46:$A$147=TRUE)+($A$46:$A$147=""☑"")+($A$46:$A$147=""✓"")+($A$46:$A$147=""✔""))&gt;0)*($B$46:$B$147=$A$5)*($C$46:$C$147=I$4)),ROWS(I$5:I9)),"""")"),"")</f>
        <v/>
      </c>
      <c r="J9" s="68" t="str">
        <f>IFERROR(__xludf.DUMMYFUNCTION("IFERROR(INDEX(FILTER($D$46:$D$147,((($A$46:$A$147=TRUE)+($A$46:$A$147=""☑"")+($A$46:$A$147=""✓"")+($A$46:$A$147=""✔""))&gt;0)*($B$46:$B$147=$A$5)*($C$46:$C$147=J$4)),ROWS(J$5:J9)),"""")"),"Composer Study")</f>
        <v>Composer Study</v>
      </c>
      <c r="K9" s="68" t="str">
        <f>IFERROR(__xludf.DUMMYFUNCTION("IFERROR(INDEX(FILTER($D$46:$D$147,((($A$46:$A$147=TRUE)+($A$46:$A$147=""☑"")+($A$46:$A$147=""✓"")+($A$46:$A$147=""✔""))&gt;0)*($B$46:$B$147=$A$5)*($C$46:$C$147=K$4)),ROWS(K$5:K9)),"""")"),"")</f>
        <v/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128"/>
      <c r="B10" s="130"/>
      <c r="C10" s="131"/>
      <c r="D10" s="131"/>
      <c r="E10" s="131"/>
      <c r="F10" s="131"/>
      <c r="G10" s="131"/>
      <c r="H10" s="131"/>
      <c r="I10" s="131"/>
      <c r="J10" s="131"/>
      <c r="K10" s="13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40" t="s">
        <v>118</v>
      </c>
      <c r="B11" s="48" t="str">
        <f>IFERROR(__xludf.DUMMYFUNCTION("IFERROR(INDEX(FILTER($D$46:$D$147,((($A$46:$A$147=TRUE)+($A$46:$A$147=""☑"")+($A$46:$A$147=""✓"")+($A$46:$A$147=""✔""))&gt;0)*($B$46:$B$147=$A$11)*($C$46:$C$147=B$4)),ROWS(B$11:B11)),"""")"),"")</f>
        <v/>
      </c>
      <c r="C11" s="48" t="str">
        <f>IFERROR(__xludf.DUMMYFUNCTION("IFERROR(INDEX(FILTER($D$46:$D$147,((($A$46:$A$147=TRUE)+($A$46:$A$147=""☑"")+($A$46:$A$147=""✓"")+($A$46:$A$147=""✔""))&gt;0)*($B$46:$B$147=$A$11)*($C$46:$C$147=C$4)),ROWS(C$11:C11)),"""")"),"Reading Practice / Phonics")</f>
        <v>Reading Practice / Phonics</v>
      </c>
      <c r="D11" s="48" t="str">
        <f>IFERROR(__xludf.DUMMYFUNCTION("IFERROR(INDEX(FILTER($D$46:$D$147,((($A$46:$A$147=TRUE)+($A$46:$A$147=""☑"")+($A$46:$A$147=""✓"")+($A$46:$A$147=""✔""))&gt;0)*($B$46:$B$147=$A$11)*($C$46:$C$147=D$4)),ROWS(D$11:D11)),"""")"),"Reader / Phonics")</f>
        <v>Reader / Phonics</v>
      </c>
      <c r="E11" s="48" t="str">
        <f>IFERROR(__xludf.DUMMYFUNCTION("IFERROR(INDEX(FILTER($D$46:$D$147,((($A$46:$A$147=TRUE)+($A$46:$A$147=""☑"")+($A$46:$A$147=""✓"")+($A$46:$A$147=""✔""))&gt;0)*($B$46:$B$147=$A$11)*($C$46:$C$147=E$4)),ROWS(E$11:E11)),"""")"),"Picture Books")</f>
        <v>Picture Books</v>
      </c>
      <c r="F11" s="48" t="str">
        <f>IFERROR(__xludf.DUMMYFUNCTION("IFERROR(INDEX(FILTER($D$46:$D$147,((($A$46:$A$147=TRUE)+($A$46:$A$147=""☑"")+($A$46:$A$147=""✓"")+($A$46:$A$147=""✔""))&gt;0)*($B$46:$B$147=$A$11)*($C$46:$C$147=F$4)),ROWS(F$11:F11)),"""")"),"Map / Place Stories")</f>
        <v>Map / Place Stories</v>
      </c>
      <c r="G11" s="48" t="str">
        <f>IFERROR(__xludf.DUMMYFUNCTION("IFERROR(INDEX(FILTER($D$46:$D$147,((($A$46:$A$147=TRUE)+($A$46:$A$147=""☑"")+($A$46:$A$147=""✓"")+($A$46:$A$147=""✔""))&gt;0)*($B$46:$B$147=$A$11)*($C$46:$C$147=G$4)),ROWS(G$11:G11)),"""")"),"")</f>
        <v/>
      </c>
      <c r="H11" s="48" t="str">
        <f>IFERROR(__xludf.DUMMYFUNCTION("IFERROR(INDEX(FILTER($D$46:$D$147,((($A$46:$A$147=TRUE)+($A$46:$A$147=""☑"")+($A$46:$A$147=""✓"")+($A$46:$A$147=""✔""))&gt;0)*($B$46:$B$147=$A$11)*($C$46:$C$147=H$4)),ROWS(H$11:H11)),"""")"),"")</f>
        <v/>
      </c>
      <c r="I11" s="48" t="str">
        <f>IFERROR(__xludf.DUMMYFUNCTION("IFERROR(INDEX(FILTER($D$46:$D$147,((($A$46:$A$147=TRUE)+($A$46:$A$147=""☑"")+($A$46:$A$147=""✓"")+($A$46:$A$147=""✔""))&gt;0)*($B$46:$B$147=$A$11)*($C$46:$C$147=I$4)),ROWS(I$11:I11)),"""")"),"Math")</f>
        <v>Math</v>
      </c>
      <c r="J11" s="48" t="str">
        <f>IFERROR(__xludf.DUMMYFUNCTION("IFERROR(INDEX(FILTER($D$46:$D$147,((($A$46:$A$147=TRUE)+($A$46:$A$147=""☑"")+($A$46:$A$147=""✓"")+($A$46:$A$147=""✔""))&gt;0)*($B$46:$B$147=$A$11)*($C$46:$C$147=J$4)),ROWS(J$11:J11)),"""")"),"Drawing / Brush Drawing")</f>
        <v>Drawing / Brush Drawing</v>
      </c>
      <c r="K11" s="48" t="str">
        <f>IFERROR(__xludf.DUMMYFUNCTION("IFERROR(INDEX(FILTER($D$46:$D$147,((($A$46:$A$147=TRUE)+($A$46:$A$147=""☑"")+($A$46:$A$147=""✓"")+($A$46:$A$147=""✔""))&gt;0)*($B$46:$B$147=$A$11)*($C$46:$C$147=K$4)),ROWS(K$11:K11)),"""")"),"")</f>
        <v/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0" customHeight="1">
      <c r="B12" s="153" t="str">
        <f>IFERROR(__xludf.DUMMYFUNCTION("IFERROR(INDEX(FILTER($D$46:$D$147,((($A$46:$A$147=TRUE)+($A$46:$A$147=""☑"")+($A$46:$A$147=""✓"")+($A$46:$A$147=""✔""))&gt;0)*($B$46:$B$147=$A$11)*($C$46:$C$147=B$4)),ROWS(B$11:B12)),"""")"),"")</f>
        <v/>
      </c>
      <c r="C12" s="153" t="str">
        <f>IFERROR(__xludf.DUMMYFUNCTION("IFERROR(INDEX(FILTER($D$46:$D$147,((($A$46:$A$147=TRUE)+($A$46:$A$147=""☑"")+($A$46:$A$147=""✓"")+($A$46:$A$147=""✔""))&gt;0)*($B$46:$B$147=$A$11)*($C$46:$C$147=C$4)),ROWS(C$11:C12)),"""")"),"Copywork")</f>
        <v>Copywork</v>
      </c>
      <c r="D12" s="153" t="str">
        <f>IFERROR(__xludf.DUMMYFUNCTION("IFERROR(INDEX(FILTER($D$46:$D$147,((($A$46:$A$147=TRUE)+($A$46:$A$147=""☑"")+($A$46:$A$147=""✓"")+($A$46:$A$147=""✔""))&gt;0)*($B$46:$B$147=$A$11)*($C$46:$C$147=D$4)),ROWS(D$11:D12)),"""")"),"")</f>
        <v/>
      </c>
      <c r="E12" s="153" t="str">
        <f>IFERROR(__xludf.DUMMYFUNCTION("IFERROR(INDEX(FILTER($D$46:$D$147,((($A$46:$A$147=TRUE)+($A$46:$A$147=""☑"")+($A$46:$A$147=""✓"")+($A$46:$A$147=""✔""))&gt;0)*($B$46:$B$147=$A$11)*($C$46:$C$147=E$4)),ROWS(E$11:E12)),"""")"),"Early History Stories")</f>
        <v>Early History Stories</v>
      </c>
      <c r="F12" s="153" t="str">
        <f>IFERROR(__xludf.DUMMYFUNCTION("IFERROR(INDEX(FILTER($D$46:$D$147,((($A$46:$A$147=TRUE)+($A$46:$A$147=""☑"")+($A$46:$A$147=""✓"")+($A$46:$A$147=""✔""))&gt;0)*($B$46:$B$147=$A$11)*($C$46:$C$147=F$4)),ROWS(F$11:F12)),"""")"),"")</f>
        <v/>
      </c>
      <c r="G12" s="153" t="str">
        <f>IFERROR(__xludf.DUMMYFUNCTION("IFERROR(INDEX(FILTER($D$46:$D$147,((($A$46:$A$147=TRUE)+($A$46:$A$147=""☑"")+($A$46:$A$147=""✓"")+($A$46:$A$147=""✔""))&gt;0)*($B$46:$B$147=$A$11)*($C$46:$C$147=G$4)),ROWS(G$11:G12)),"""")"),"")</f>
        <v/>
      </c>
      <c r="H12" s="153" t="str">
        <f>IFERROR(__xludf.DUMMYFUNCTION("IFERROR(INDEX(FILTER($D$46:$D$147,((($A$46:$A$147=TRUE)+($A$46:$A$147=""☑"")+($A$46:$A$147=""✓"")+($A$46:$A$147=""✔""))&gt;0)*($B$46:$B$147=$A$11)*($C$46:$C$147=H$4)),ROWS(H$11:H12)),"""")"),"")</f>
        <v/>
      </c>
      <c r="I12" s="153" t="str">
        <f>IFERROR(__xludf.DUMMYFUNCTION("IFERROR(INDEX(FILTER($D$46:$D$147,((($A$46:$A$147=TRUE)+($A$46:$A$147=""☑"")+($A$46:$A$147=""✓"")+($A$46:$A$147=""✔""))&gt;0)*($B$46:$B$147=$A$11)*($C$46:$C$147=I$4)),ROWS(I$11:I12)),"""")"),"")</f>
        <v/>
      </c>
      <c r="J12" s="153" t="str">
        <f>IFERROR(__xludf.DUMMYFUNCTION("IFERROR(INDEX(FILTER($D$46:$D$147,((($A$46:$A$147=TRUE)+($A$46:$A$147=""☑"")+($A$46:$A$147=""✓"")+($A$46:$A$147=""✔""))&gt;0)*($B$46:$B$147=$A$11)*($C$46:$C$147=J$4)),ROWS(J$11:J12)),"""")"),"Handicraft / Work")</f>
        <v>Handicraft / Work</v>
      </c>
      <c r="K12" s="153" t="str">
        <f>IFERROR(__xludf.DUMMYFUNCTION("IFERROR(INDEX(FILTER($D$46:$D$147,((($A$46:$A$147=TRUE)+($A$46:$A$147=""☑"")+($A$46:$A$147=""✓"")+($A$46:$A$147=""✔""))&gt;0)*($B$46:$B$147=$A$11)*($C$46:$C$147=K$4)),ROWS(K$11:K12)),"""")"),"")</f>
        <v/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0" customHeight="1">
      <c r="B13" s="153" t="str">
        <f>IFERROR(__xludf.DUMMYFUNCTION("IFERROR(INDEX(FILTER($D$46:$D$147,((($A$46:$A$147=TRUE)+($A$46:$A$147=""☑"")+($A$46:$A$147=""✓"")+($A$46:$A$147=""✔""))&gt;0)*($B$46:$B$147=$A$11)*($C$46:$C$147=B$4)),ROWS(B$11:B13)),"""")"),"")</f>
        <v/>
      </c>
      <c r="C13" s="153" t="str">
        <f>IFERROR(__xludf.DUMMYFUNCTION("IFERROR(INDEX(FILTER($D$46:$D$147,((($A$46:$A$147=TRUE)+($A$46:$A$147=""☑"")+($A$46:$A$147=""✓"")+($A$46:$A$147=""✔""))&gt;0)*($B$46:$B$147=$A$11)*($C$46:$C$147=C$4)),ROWS(C$11:C13)),"""")"),"Oral Narration")</f>
        <v>Oral Narration</v>
      </c>
      <c r="D13" s="153" t="str">
        <f>IFERROR(__xludf.DUMMYFUNCTION("IFERROR(INDEX(FILTER($D$46:$D$147,((($A$46:$A$147=TRUE)+($A$46:$A$147=""☑"")+($A$46:$A$147=""✓"")+($A$46:$A$147=""✔""))&gt;0)*($B$46:$B$147=$A$11)*($C$46:$C$147=D$4)),ROWS(D$11:D13)),"""")"),"")</f>
        <v/>
      </c>
      <c r="E13" s="153" t="str">
        <f>IFERROR(__xludf.DUMMYFUNCTION("IFERROR(INDEX(FILTER($D$46:$D$147,((($A$46:$A$147=TRUE)+($A$46:$A$147=""☑"")+($A$46:$A$147=""✓"")+($A$46:$A$147=""✔""))&gt;0)*($B$46:$B$147=$A$11)*($C$46:$C$147=E$4)),ROWS(E$11:E13)),"""")"),"")</f>
        <v/>
      </c>
      <c r="F13" s="153" t="str">
        <f>IFERROR(__xludf.DUMMYFUNCTION("IFERROR(INDEX(FILTER($D$46:$D$147,((($A$46:$A$147=TRUE)+($A$46:$A$147=""☑"")+($A$46:$A$147=""✓"")+($A$46:$A$147=""✔""))&gt;0)*($B$46:$B$147=$A$11)*($C$46:$C$147=F$4)),ROWS(F$11:F13)),"""")"),"")</f>
        <v/>
      </c>
      <c r="G13" s="153" t="str">
        <f>IFERROR(__xludf.DUMMYFUNCTION("IFERROR(INDEX(FILTER($D$46:$D$147,((($A$46:$A$147=TRUE)+($A$46:$A$147=""☑"")+($A$46:$A$147=""✓"")+($A$46:$A$147=""✔""))&gt;0)*($B$46:$B$147=$A$11)*($C$46:$C$147=G$4)),ROWS(G$11:G13)),"""")"),"")</f>
        <v/>
      </c>
      <c r="H13" s="153" t="str">
        <f>IFERROR(__xludf.DUMMYFUNCTION("IFERROR(INDEX(FILTER($D$46:$D$147,((($A$46:$A$147=TRUE)+($A$46:$A$147=""☑"")+($A$46:$A$147=""✓"")+($A$46:$A$147=""✔""))&gt;0)*($B$46:$B$147=$A$11)*($C$46:$C$147=H$4)),ROWS(H$11:H13)),"""")"),"")</f>
        <v/>
      </c>
      <c r="I13" s="153" t="str">
        <f>IFERROR(__xludf.DUMMYFUNCTION("IFERROR(INDEX(FILTER($D$46:$D$147,((($A$46:$A$147=TRUE)+($A$46:$A$147=""☑"")+($A$46:$A$147=""✓"")+($A$46:$A$147=""✔""))&gt;0)*($B$46:$B$147=$A$11)*($C$46:$C$147=I$4)),ROWS(I$11:I13)),"""")"),"")</f>
        <v/>
      </c>
      <c r="J13" s="153" t="str">
        <f>IFERROR(__xludf.DUMMYFUNCTION("IFERROR(INDEX(FILTER($D$46:$D$147,((($A$46:$A$147=TRUE)+($A$46:$A$147=""☑"")+($A$46:$A$147=""✓"")+($A$46:$A$147=""✔""))&gt;0)*($B$46:$B$147=$A$11)*($C$46:$C$147=J$4)),ROWS(J$11:J13)),"""")"),"")</f>
        <v/>
      </c>
      <c r="K13" s="153" t="str">
        <f>IFERROR(__xludf.DUMMYFUNCTION("IFERROR(INDEX(FILTER($D$46:$D$147,((($A$46:$A$147=TRUE)+($A$46:$A$147=""☑"")+($A$46:$A$147=""✓"")+($A$46:$A$147=""✔""))&gt;0)*($B$46:$B$147=$A$11)*($C$46:$C$147=K$4)),ROWS(K$11:K13)),"""")"),"")</f>
        <v/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B14" s="153" t="str">
        <f>IFERROR(__xludf.DUMMYFUNCTION("IFERROR(INDEX(FILTER($D$46:$D$147,((($A$46:$A$147=TRUE)+($A$46:$A$147=""☑"")+($A$46:$A$147=""✓"")+($A$46:$A$147=""✔""))&gt;0)*($B$46:$B$147=$A$11)*($C$46:$C$147=B$4)),ROWS(B$11:B14)),"""")"),"")</f>
        <v/>
      </c>
      <c r="C14" s="153" t="str">
        <f>IFERROR(__xludf.DUMMYFUNCTION("IFERROR(INDEX(FILTER($D$46:$D$147,((($A$46:$A$147=TRUE)+($A$46:$A$147=""☑"")+($A$46:$A$147=""✓"")+($A$46:$A$147=""✔""))&gt;0)*($B$46:$B$147=$A$11)*($C$46:$C$147=C$4)),ROWS(C$11:C14)),"""")"),"")</f>
        <v/>
      </c>
      <c r="D14" s="153" t="str">
        <f>IFERROR(__xludf.DUMMYFUNCTION("IFERROR(INDEX(FILTER($D$46:$D$147,((($A$46:$A$147=TRUE)+($A$46:$A$147=""☑"")+($A$46:$A$147=""✓"")+($A$46:$A$147=""✔""))&gt;0)*($B$46:$B$147=$A$11)*($C$46:$C$147=D$4)),ROWS(D$11:D14)),"""")"),"")</f>
        <v/>
      </c>
      <c r="E14" s="153" t="str">
        <f>IFERROR(__xludf.DUMMYFUNCTION("IFERROR(INDEX(FILTER($D$46:$D$147,((($A$46:$A$147=TRUE)+($A$46:$A$147=""☑"")+($A$46:$A$147=""✓"")+($A$46:$A$147=""✔""))&gt;0)*($B$46:$B$147=$A$11)*($C$46:$C$147=E$4)),ROWS(E$11:E14)),"""")"),"")</f>
        <v/>
      </c>
      <c r="F14" s="153" t="str">
        <f>IFERROR(__xludf.DUMMYFUNCTION("IFERROR(INDEX(FILTER($D$46:$D$147,((($A$46:$A$147=TRUE)+($A$46:$A$147=""☑"")+($A$46:$A$147=""✓"")+($A$46:$A$147=""✔""))&gt;0)*($B$46:$B$147=$A$11)*($C$46:$C$147=F$4)),ROWS(F$11:F14)),"""")"),"")</f>
        <v/>
      </c>
      <c r="G14" s="153" t="str">
        <f>IFERROR(__xludf.DUMMYFUNCTION("IFERROR(INDEX(FILTER($D$46:$D$147,((($A$46:$A$147=TRUE)+($A$46:$A$147=""☑"")+($A$46:$A$147=""✓"")+($A$46:$A$147=""✔""))&gt;0)*($B$46:$B$147=$A$11)*($C$46:$C$147=G$4)),ROWS(G$11:G14)),"""")"),"")</f>
        <v/>
      </c>
      <c r="H14" s="153" t="str">
        <f>IFERROR(__xludf.DUMMYFUNCTION("IFERROR(INDEX(FILTER($D$46:$D$147,((($A$46:$A$147=TRUE)+($A$46:$A$147=""☑"")+($A$46:$A$147=""✓"")+($A$46:$A$147=""✔""))&gt;0)*($B$46:$B$147=$A$11)*($C$46:$C$147=H$4)),ROWS(H$11:H14)),"""")"),"")</f>
        <v/>
      </c>
      <c r="I14" s="153" t="str">
        <f>IFERROR(__xludf.DUMMYFUNCTION("IFERROR(INDEX(FILTER($D$46:$D$147,((($A$46:$A$147=TRUE)+($A$46:$A$147=""☑"")+($A$46:$A$147=""✓"")+($A$46:$A$147=""✔""))&gt;0)*($B$46:$B$147=$A$11)*($C$46:$C$147=I$4)),ROWS(I$11:I14)),"""")"),"")</f>
        <v/>
      </c>
      <c r="J14" s="153" t="str">
        <f>IFERROR(__xludf.DUMMYFUNCTION("IFERROR(INDEX(FILTER($D$46:$D$147,((($A$46:$A$147=TRUE)+($A$46:$A$147=""☑"")+($A$46:$A$147=""✓"")+($A$46:$A$147=""✔""))&gt;0)*($B$46:$B$147=$A$11)*($C$46:$C$147=J$4)),ROWS(J$11:J14)),"""")"),"")</f>
        <v/>
      </c>
      <c r="K14" s="153" t="str">
        <f>IFERROR(__xludf.DUMMYFUNCTION("IFERROR(INDEX(FILTER($D$46:$D$147,((($A$46:$A$147=TRUE)+($A$46:$A$147=""☑"")+($A$46:$A$147=""✓"")+($A$46:$A$147=""✔""))&gt;0)*($B$46:$B$147=$A$11)*($C$46:$C$147=K$4)),ROWS(K$11:K14)),"""")"),"")</f>
        <v/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0" customHeight="1">
      <c r="A15" s="116"/>
      <c r="B15" s="153" t="str">
        <f>IFERROR(__xludf.DUMMYFUNCTION("IFERROR(INDEX(FILTER($D$46:$D$147,((($A$46:$A$147=TRUE)+($A$46:$A$147=""☑"")+($A$46:$A$147=""✓"")+($A$46:$A$147=""✔""))&gt;0)*($B$46:$B$147=$A$11)*($C$46:$C$147=B$4)),ROWS(B$11:B15)),"""")"),"")</f>
        <v/>
      </c>
      <c r="C15" s="153" t="str">
        <f>IFERROR(__xludf.DUMMYFUNCTION("IFERROR(INDEX(FILTER($D$46:$D$147,((($A$46:$A$147=TRUE)+($A$46:$A$147=""☑"")+($A$46:$A$147=""✓"")+($A$46:$A$147=""✔""))&gt;0)*($B$46:$B$147=$A$11)*($C$46:$C$147=C$4)),ROWS(C$11:C15)),"""")"),"")</f>
        <v/>
      </c>
      <c r="D15" s="153" t="str">
        <f>IFERROR(__xludf.DUMMYFUNCTION("IFERROR(INDEX(FILTER($D$46:$D$147,((($A$46:$A$147=TRUE)+($A$46:$A$147=""☑"")+($A$46:$A$147=""✓"")+($A$46:$A$147=""✔""))&gt;0)*($B$46:$B$147=$A$11)*($C$46:$C$147=D$4)),ROWS(D$11:D15)),"""")"),"")</f>
        <v/>
      </c>
      <c r="E15" s="153" t="str">
        <f>IFERROR(__xludf.DUMMYFUNCTION("IFERROR(INDEX(FILTER($D$46:$D$147,((($A$46:$A$147=TRUE)+($A$46:$A$147=""☑"")+($A$46:$A$147=""✓"")+($A$46:$A$147=""✔""))&gt;0)*($B$46:$B$147=$A$11)*($C$46:$C$147=E$4)),ROWS(E$11:E15)),"""")"),"")</f>
        <v/>
      </c>
      <c r="F15" s="153" t="str">
        <f>IFERROR(__xludf.DUMMYFUNCTION("IFERROR(INDEX(FILTER($D$46:$D$147,((($A$46:$A$147=TRUE)+($A$46:$A$147=""☑"")+($A$46:$A$147=""✓"")+($A$46:$A$147=""✔""))&gt;0)*($B$46:$B$147=$A$11)*($C$46:$C$147=F$4)),ROWS(F$11:F15)),"""")"),"")</f>
        <v/>
      </c>
      <c r="G15" s="153" t="str">
        <f>IFERROR(__xludf.DUMMYFUNCTION("IFERROR(INDEX(FILTER($D$46:$D$147,((($A$46:$A$147=TRUE)+($A$46:$A$147=""☑"")+($A$46:$A$147=""✓"")+($A$46:$A$147=""✔""))&gt;0)*($B$46:$B$147=$A$11)*($C$46:$C$147=G$4)),ROWS(G$11:G15)),"""")"),"")</f>
        <v/>
      </c>
      <c r="H15" s="153" t="str">
        <f>IFERROR(__xludf.DUMMYFUNCTION("IFERROR(INDEX(FILTER($D$46:$D$147,((($A$46:$A$147=TRUE)+($A$46:$A$147=""☑"")+($A$46:$A$147=""✓"")+($A$46:$A$147=""✔""))&gt;0)*($B$46:$B$147=$A$11)*($C$46:$C$147=H$4)),ROWS(H$11:H15)),"""")"),"")</f>
        <v/>
      </c>
      <c r="I15" s="153" t="str">
        <f>IFERROR(__xludf.DUMMYFUNCTION("IFERROR(INDEX(FILTER($D$46:$D$147,((($A$46:$A$147=TRUE)+($A$46:$A$147=""☑"")+($A$46:$A$147=""✓"")+($A$46:$A$147=""✔""))&gt;0)*($B$46:$B$147=$A$11)*($C$46:$C$147=I$4)),ROWS(I$11:I15)),"""")"),"")</f>
        <v/>
      </c>
      <c r="J15" s="153" t="str">
        <f>IFERROR(__xludf.DUMMYFUNCTION("IFERROR(INDEX(FILTER($D$46:$D$147,((($A$46:$A$147=TRUE)+($A$46:$A$147=""☑"")+($A$46:$A$147=""✓"")+($A$46:$A$147=""✔""))&gt;0)*($B$46:$B$147=$A$11)*($C$46:$C$147=J$4)),ROWS(J$11:J15)),"""")"),"")</f>
        <v/>
      </c>
      <c r="K15" s="153" t="str">
        <f>IFERROR(__xludf.DUMMYFUNCTION("IFERROR(INDEX(FILTER($D$46:$D$147,((($A$46:$A$147=TRUE)+($A$46:$A$147=""☑"")+($A$46:$A$147=""✓"")+($A$46:$A$147=""✔""))&gt;0)*($B$46:$B$147=$A$11)*($C$46:$C$147=K$4)),ROWS(K$11:K15)),"""")"),"")</f>
        <v/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0" customHeight="1">
      <c r="A16" s="128"/>
      <c r="B16" s="130"/>
      <c r="C16" s="131"/>
      <c r="D16" s="131"/>
      <c r="E16" s="131"/>
      <c r="F16" s="131"/>
      <c r="G16" s="131"/>
      <c r="H16" s="131"/>
      <c r="I16" s="131"/>
      <c r="J16" s="131"/>
      <c r="K16" s="13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4.0" customHeight="1">
      <c r="A17" s="40" t="s">
        <v>107</v>
      </c>
      <c r="B17" s="48" t="str">
        <f>IFERROR(__xludf.DUMMYFUNCTION("IFERROR(INDEX(FILTER($D$46:$D$147,((($A$46:$A$147=TRUE)+($A$46:$A$147=""☑"")+($A$46:$A$147=""✓"")+($A$46:$A$147=""✔""))&gt;0)*($B$46:$B$147=$A$17)*($C$46:$C$147=B$4)),ROWS(B$17:B17)),"""")"),"")</f>
        <v/>
      </c>
      <c r="C17" s="48" t="str">
        <f>IFERROR(__xludf.DUMMYFUNCTION("IFERROR(INDEX(FILTER($D$46:$D$147,((($A$46:$A$147=TRUE)+($A$46:$A$147=""☑"")+($A$46:$A$147=""✓"")+($A$46:$A$147=""✔""))&gt;0)*($B$46:$B$147=$A$17)*($C$46:$C$147=C$4)),ROWS(C$17:C17)),"""")"),"Dictation")</f>
        <v>Dictation</v>
      </c>
      <c r="D17" s="48" t="str">
        <f>IFERROR(__xludf.DUMMYFUNCTION("IFERROR(INDEX(FILTER($D$46:$D$147,((($A$46:$A$147=TRUE)+($A$46:$A$147=""☑"")+($A$46:$A$147=""✓"")+($A$46:$A$147=""✔""))&gt;0)*($B$46:$B$147=$A$17)*($C$46:$C$147=D$4)),ROWS(D$17:D17)),"""")"),"Literature")</f>
        <v>Literature</v>
      </c>
      <c r="E17" s="48" t="str">
        <f>IFERROR(__xludf.DUMMYFUNCTION("IFERROR(INDEX(FILTER($D$46:$D$147,((($A$46:$A$147=TRUE)+($A$46:$A$147=""☑"")+($A$46:$A$147=""✓"")+($A$46:$A$147=""✔""))&gt;0)*($B$46:$B$147=$A$17)*($C$46:$C$147=E$4)),ROWS(E$17:E17)),"""")"),"History Spine")</f>
        <v>History Spine</v>
      </c>
      <c r="F17" s="48" t="str">
        <f>IFERROR(__xludf.DUMMYFUNCTION("IFERROR(INDEX(FILTER($D$46:$D$147,((($A$46:$A$147=TRUE)+($A$46:$A$147=""☑"")+($A$46:$A$147=""✓"")+($A$46:$A$147=""✔""))&gt;0)*($B$46:$B$147=$A$17)*($C$46:$C$147=F$4)),ROWS(F$17:F17)),"""")"),"Geography Reader")</f>
        <v>Geography Reader</v>
      </c>
      <c r="G17" s="48" t="str">
        <f>IFERROR(__xludf.DUMMYFUNCTION("IFERROR(INDEX(FILTER($D$46:$D$147,((($A$46:$A$147=TRUE)+($A$46:$A$147=""☑"")+($A$46:$A$147=""✓"")+($A$46:$A$147=""✔""))&gt;0)*($B$46:$B$147=$A$17)*($C$46:$C$147=G$4)),ROWS(G$17:G17)),"""")"),"Citizenship / Plutarch [IIA]")</f>
        <v>Citizenship / Plutarch [IIA]</v>
      </c>
      <c r="H17" s="48" t="str">
        <f>IFERROR(__xludf.DUMMYFUNCTION("IFERROR(INDEX(FILTER($D$46:$D$147,((($A$46:$A$147=TRUE)+($A$46:$A$147=""☑"")+($A$46:$A$147=""✓"")+($A$46:$A$147=""✔""))&gt;0)*($B$46:$B$147=$A$17)*($C$46:$C$147=H$4)),ROWS(H$17:H17)),"""")"),"Natural History")</f>
        <v>Natural History</v>
      </c>
      <c r="I17" s="48" t="str">
        <f>IFERROR(__xludf.DUMMYFUNCTION("IFERROR(INDEX(FILTER($D$46:$D$147,((($A$46:$A$147=TRUE)+($A$46:$A$147=""☑"")+($A$46:$A$147=""✓"")+($A$46:$A$147=""✔""))&gt;0)*($B$46:$B$147=$A$17)*($C$46:$C$147=I$4)),ROWS(I$17:I17)),"""")"),"Arithmetic")</f>
        <v>Arithmetic</v>
      </c>
      <c r="J17" s="48" t="str">
        <f>IFERROR(__xludf.DUMMYFUNCTION("IFERROR(INDEX(FILTER($D$46:$D$147,((($A$46:$A$147=TRUE)+($A$46:$A$147=""☑"")+($A$46:$A$147=""✓"")+($A$46:$A$147=""✔""))&gt;0)*($B$46:$B$147=$A$17)*($C$46:$C$147=J$4)),ROWS(J$17:J17)),"""")"),"")</f>
        <v/>
      </c>
      <c r="K17" s="48" t="str">
        <f>IFERROR(__xludf.DUMMYFUNCTION("IFERROR(INDEX(FILTER($D$46:$D$147,((($A$46:$A$147=TRUE)+($A$46:$A$147=""☑"")+($A$46:$A$147=""✓"")+($A$46:$A$147=""✔""))&gt;0)*($B$46:$B$147=$A$17)*($C$46:$C$147=K$4)),ROWS(K$17:K17)),"""")"),"Modern Language")</f>
        <v>Modern Language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.0" customHeight="1">
      <c r="B18" s="153" t="str">
        <f>IFERROR(__xludf.DUMMYFUNCTION("IFERROR(INDEX(FILTER($D$46:$D$147,((($A$46:$A$147=TRUE)+($A$46:$A$147=""☑"")+($A$46:$A$147=""✓"")+($A$46:$A$147=""✔""))&gt;0)*($B$46:$B$147=$A$17)*($C$46:$C$147=B$4)),ROWS(B$17:B18)),"""")"),"")</f>
        <v/>
      </c>
      <c r="C18" s="153" t="str">
        <f>IFERROR(__xludf.DUMMYFUNCTION("IFERROR(INDEX(FILTER($D$46:$D$147,((($A$46:$A$147=TRUE)+($A$46:$A$147=""☑"")+($A$46:$A$147=""✓"")+($A$46:$A$147=""✔""))&gt;0)*($B$46:$B$147=$A$17)*($C$46:$C$147=C$4)),ROWS(C$17:C18)),"""")"),"Grammar")</f>
        <v>Grammar</v>
      </c>
      <c r="D18" s="153" t="str">
        <f>IFERROR(__xludf.DUMMYFUNCTION("IFERROR(INDEX(FILTER($D$46:$D$147,((($A$46:$A$147=TRUE)+($A$46:$A$147=""☑"")+($A$46:$A$147=""✓"")+($A$46:$A$147=""✔""))&gt;0)*($B$46:$B$147=$A$17)*($C$46:$C$147=D$4)),ROWS(D$17:D18)),"""")"),"Shakespeare option")</f>
        <v>Shakespeare option</v>
      </c>
      <c r="E18" s="153" t="str">
        <f>IFERROR(__xludf.DUMMYFUNCTION("IFERROR(INDEX(FILTER($D$46:$D$147,((($A$46:$A$147=TRUE)+($A$46:$A$147=""☑"")+($A$46:$A$147=""✓"")+($A$46:$A$147=""✔""))&gt;0)*($B$46:$B$147=$A$17)*($C$46:$C$147=E$4)),ROWS(E$17:E18)),"""")"),"Biography")</f>
        <v>Biography</v>
      </c>
      <c r="F18" s="153" t="str">
        <f>IFERROR(__xludf.DUMMYFUNCTION("IFERROR(INDEX(FILTER($D$46:$D$147,((($A$46:$A$147=TRUE)+($A$46:$A$147=""☑"")+($A$46:$A$147=""✓"")+($A$46:$A$147=""✔""))&gt;0)*($B$46:$B$147=$A$17)*($C$46:$C$147=F$4)),ROWS(F$17:F18)),"""")"),"Map Work")</f>
        <v>Map Work</v>
      </c>
      <c r="G18" s="153" t="str">
        <f>IFERROR(__xludf.DUMMYFUNCTION("IFERROR(INDEX(FILTER($D$46:$D$147,((($A$46:$A$147=TRUE)+($A$46:$A$147=""☑"")+($A$46:$A$147=""✓"")+($A$46:$A$147=""✔""))&gt;0)*($B$46:$B$147=$A$17)*($C$46:$C$147=G$4)),ROWS(G$17:G18)),"""")"),"")</f>
        <v/>
      </c>
      <c r="H18" s="153" t="str">
        <f>IFERROR(__xludf.DUMMYFUNCTION("IFERROR(INDEX(FILTER($D$46:$D$147,((($A$46:$A$147=TRUE)+($A$46:$A$147=""☑"")+($A$46:$A$147=""✓"")+($A$46:$A$147=""✔""))&gt;0)*($B$46:$B$147=$A$17)*($C$46:$C$147=H$4)),ROWS(H$17:H18)),"""")"),"Science")</f>
        <v>Science</v>
      </c>
      <c r="I18" s="153" t="str">
        <f>IFERROR(__xludf.DUMMYFUNCTION("IFERROR(INDEX(FILTER($D$46:$D$147,((($A$46:$A$147=TRUE)+($A$46:$A$147=""☑"")+($A$46:$A$147=""✓"")+($A$46:$A$147=""✔""))&gt;0)*($B$46:$B$147=$A$17)*($C$46:$C$147=I$4)),ROWS(I$17:I18)),"""")"),"Practical Geometry")</f>
        <v>Practical Geometry</v>
      </c>
      <c r="J18" s="153" t="str">
        <f>IFERROR(__xludf.DUMMYFUNCTION("IFERROR(INDEX(FILTER($D$46:$D$147,((($A$46:$A$147=TRUE)+($A$46:$A$147=""☑"")+($A$46:$A$147=""✓"")+($A$46:$A$147=""✔""))&gt;0)*($B$46:$B$147=$A$17)*($C$46:$C$147=J$4)),ROWS(J$17:J18)),"""")"),"")</f>
        <v/>
      </c>
      <c r="K18" s="153" t="str">
        <f>IFERROR(__xludf.DUMMYFUNCTION("IFERROR(INDEX(FILTER($D$46:$D$147,((($A$46:$A$147=TRUE)+($A$46:$A$147=""☑"")+($A$46:$A$147=""✓"")+($A$46:$A$147=""✔""))&gt;0)*($B$46:$B$147=$A$17)*($C$46:$C$147=K$4)),ROWS(K$17:K18)),"""")"),"Latin [IIA]")</f>
        <v>Latin [IIA]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4.0" customHeight="1">
      <c r="B19" s="153" t="str">
        <f>IFERROR(__xludf.DUMMYFUNCTION("IFERROR(INDEX(FILTER($D$46:$D$147,((($A$46:$A$147=TRUE)+($A$46:$A$147=""☑"")+($A$46:$A$147=""✓"")+($A$46:$A$147=""✔""))&gt;0)*($B$46:$B$147=$A$17)*($C$46:$C$147=B$4)),ROWS(B$17:B19)),"""")"),"")</f>
        <v/>
      </c>
      <c r="C19" s="153" t="str">
        <f>IFERROR(__xludf.DUMMYFUNCTION("IFERROR(INDEX(FILTER($D$46:$D$147,((($A$46:$A$147=TRUE)+($A$46:$A$147=""☑"")+($A$46:$A$147=""✓"")+($A$46:$A$147=""✔""))&gt;0)*($B$46:$B$147=$A$17)*($C$46:$C$147=C$4)),ROWS(C$17:C19)),"""")"),"Written Narration [IIA]")</f>
        <v>Written Narration [IIA]</v>
      </c>
      <c r="D19" s="153" t="str">
        <f>IFERROR(__xludf.DUMMYFUNCTION("IFERROR(INDEX(FILTER($D$46:$D$147,((($A$46:$A$147=TRUE)+($A$46:$A$147=""☑"")+($A$46:$A$147=""✓"")+($A$46:$A$147=""✔""))&gt;0)*($B$46:$B$147=$A$17)*($C$46:$C$147=D$4)),ROWS(D$17:D19)),"""")"),"")</f>
        <v/>
      </c>
      <c r="E19" s="153" t="str">
        <f>IFERROR(__xludf.DUMMYFUNCTION("IFERROR(INDEX(FILTER($D$46:$D$147,((($A$46:$A$147=TRUE)+($A$46:$A$147=""☑"")+($A$46:$A$147=""✓"")+($A$46:$A$147=""✔""))&gt;0)*($B$46:$B$147=$A$17)*($C$46:$C$147=E$4)),ROWS(E$17:E19)),"""")"),"Ancient History [IIA]")</f>
        <v>Ancient History [IIA]</v>
      </c>
      <c r="F19" s="153" t="str">
        <f>IFERROR(__xludf.DUMMYFUNCTION("IFERROR(INDEX(FILTER($D$46:$D$147,((($A$46:$A$147=TRUE)+($A$46:$A$147=""☑"")+($A$46:$A$147=""✓"")+($A$46:$A$147=""✔""))&gt;0)*($B$46:$B$147=$A$17)*($C$46:$C$147=F$4)),ROWS(F$17:F19)),"""")"),"")</f>
        <v/>
      </c>
      <c r="G19" s="153" t="str">
        <f>IFERROR(__xludf.DUMMYFUNCTION("IFERROR(INDEX(FILTER($D$46:$D$147,((($A$46:$A$147=TRUE)+($A$46:$A$147=""☑"")+($A$46:$A$147=""✓"")+($A$46:$A$147=""✔""))&gt;0)*($B$46:$B$147=$A$17)*($C$46:$C$147=G$4)),ROWS(G$17:G19)),"""")"),"")</f>
        <v/>
      </c>
      <c r="H19" s="153" t="str">
        <f>IFERROR(__xludf.DUMMYFUNCTION("IFERROR(INDEX(FILTER($D$46:$D$147,((($A$46:$A$147=TRUE)+($A$46:$A$147=""☑"")+($A$46:$A$147=""✓"")+($A$46:$A$147=""✔""))&gt;0)*($B$46:$B$147=$A$17)*($C$46:$C$147=H$4)),ROWS(H$17:H19)),"""")"),"")</f>
        <v/>
      </c>
      <c r="I19" s="153" t="str">
        <f>IFERROR(__xludf.DUMMYFUNCTION("IFERROR(INDEX(FILTER($D$46:$D$147,((($A$46:$A$147=TRUE)+($A$46:$A$147=""☑"")+($A$46:$A$147=""✓"")+($A$46:$A$147=""✔""))&gt;0)*($B$46:$B$147=$A$17)*($C$46:$C$147=I$4)),ROWS(I$17:I19)),"""")"),"")</f>
        <v/>
      </c>
      <c r="J19" s="153" t="str">
        <f>IFERROR(__xludf.DUMMYFUNCTION("IFERROR(INDEX(FILTER($D$46:$D$147,((($A$46:$A$147=TRUE)+($A$46:$A$147=""☑"")+($A$46:$A$147=""✓"")+($A$46:$A$147=""✔""))&gt;0)*($B$46:$B$147=$A$17)*($C$46:$C$147=J$4)),ROWS(J$17:J19)),"""")"),"")</f>
        <v/>
      </c>
      <c r="K19" s="153" t="str">
        <f>IFERROR(__xludf.DUMMYFUNCTION("IFERROR(INDEX(FILTER($D$46:$D$147,((($A$46:$A$147=TRUE)+($A$46:$A$147=""☑"")+($A$46:$A$147=""✓"")+($A$46:$A$147=""✔""))&gt;0)*($B$46:$B$147=$A$17)*($C$46:$C$147=K$4)),ROWS(K$17:K19)),"""")"),"")</f>
        <v/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4.0" customHeight="1">
      <c r="B20" s="153" t="str">
        <f>IFERROR(__xludf.DUMMYFUNCTION("IFERROR(INDEX(FILTER($D$46:$D$147,((($A$46:$A$147=TRUE)+($A$46:$A$147=""☑"")+($A$46:$A$147=""✓"")+($A$46:$A$147=""✔""))&gt;0)*($B$46:$B$147=$A$17)*($C$46:$C$147=B$4)),ROWS(B$17:B20)),"""")"),"")</f>
        <v/>
      </c>
      <c r="C20" s="153" t="str">
        <f>IFERROR(__xludf.DUMMYFUNCTION("IFERROR(INDEX(FILTER($D$46:$D$147,((($A$46:$A$147=TRUE)+($A$46:$A$147=""☑"")+($A$46:$A$147=""✓"")+($A$46:$A$147=""✔""))&gt;0)*($B$46:$B$147=$A$17)*($C$46:$C$147=C$4)),ROWS(C$17:C20)),"""")"),"")</f>
        <v/>
      </c>
      <c r="D20" s="153" t="str">
        <f>IFERROR(__xludf.DUMMYFUNCTION("IFERROR(INDEX(FILTER($D$46:$D$147,((($A$46:$A$147=TRUE)+($A$46:$A$147=""☑"")+($A$46:$A$147=""✓"")+($A$46:$A$147=""✔""))&gt;0)*($B$46:$B$147=$A$17)*($C$46:$C$147=D$4)),ROWS(D$17:D20)),"""")"),"")</f>
        <v/>
      </c>
      <c r="E20" s="153" t="str">
        <f>IFERROR(__xludf.DUMMYFUNCTION("IFERROR(INDEX(FILTER($D$46:$D$147,((($A$46:$A$147=TRUE)+($A$46:$A$147=""☑"")+($A$46:$A$147=""✓"")+($A$46:$A$147=""✔""))&gt;0)*($B$46:$B$147=$A$17)*($C$46:$C$147=E$4)),ROWS(E$17:E20)),"""")"),"")</f>
        <v/>
      </c>
      <c r="F20" s="153" t="str">
        <f>IFERROR(__xludf.DUMMYFUNCTION("IFERROR(INDEX(FILTER($D$46:$D$147,((($A$46:$A$147=TRUE)+($A$46:$A$147=""☑"")+($A$46:$A$147=""✓"")+($A$46:$A$147=""✔""))&gt;0)*($B$46:$B$147=$A$17)*($C$46:$C$147=F$4)),ROWS(F$17:F20)),"""")"),"")</f>
        <v/>
      </c>
      <c r="G20" s="153" t="str">
        <f>IFERROR(__xludf.DUMMYFUNCTION("IFERROR(INDEX(FILTER($D$46:$D$147,((($A$46:$A$147=TRUE)+($A$46:$A$147=""☑"")+($A$46:$A$147=""✓"")+($A$46:$A$147=""✔""))&gt;0)*($B$46:$B$147=$A$17)*($C$46:$C$147=G$4)),ROWS(G$17:G20)),"""")"),"")</f>
        <v/>
      </c>
      <c r="H20" s="153" t="str">
        <f>IFERROR(__xludf.DUMMYFUNCTION("IFERROR(INDEX(FILTER($D$46:$D$147,((($A$46:$A$147=TRUE)+($A$46:$A$147=""☑"")+($A$46:$A$147=""✓"")+($A$46:$A$147=""✔""))&gt;0)*($B$46:$B$147=$A$17)*($C$46:$C$147=H$4)),ROWS(H$17:H20)),"""")"),"")</f>
        <v/>
      </c>
      <c r="I20" s="153" t="str">
        <f>IFERROR(__xludf.DUMMYFUNCTION("IFERROR(INDEX(FILTER($D$46:$D$147,((($A$46:$A$147=TRUE)+($A$46:$A$147=""☑"")+($A$46:$A$147=""✓"")+($A$46:$A$147=""✔""))&gt;0)*($B$46:$B$147=$A$17)*($C$46:$C$147=I$4)),ROWS(I$17:I20)),"""")"),"")</f>
        <v/>
      </c>
      <c r="J20" s="153" t="str">
        <f>IFERROR(__xludf.DUMMYFUNCTION("IFERROR(INDEX(FILTER($D$46:$D$147,((($A$46:$A$147=TRUE)+($A$46:$A$147=""☑"")+($A$46:$A$147=""✓"")+($A$46:$A$147=""✔""))&gt;0)*($B$46:$B$147=$A$17)*($C$46:$C$147=J$4)),ROWS(J$17:J20)),"""")"),"")</f>
        <v/>
      </c>
      <c r="K20" s="153" t="str">
        <f>IFERROR(__xludf.DUMMYFUNCTION("IFERROR(INDEX(FILTER($D$46:$D$147,((($A$46:$A$147=TRUE)+($A$46:$A$147=""☑"")+($A$46:$A$147=""✓"")+($A$46:$A$147=""✔""))&gt;0)*($B$46:$B$147=$A$17)*($C$46:$C$147=K$4)),ROWS(K$17:K20)),"""")"),"")</f>
        <v/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4.0" customHeight="1">
      <c r="A21" s="116"/>
      <c r="B21" s="153" t="str">
        <f>IFERROR(__xludf.DUMMYFUNCTION("IFERROR(INDEX(FILTER($D$46:$D$147,((($A$46:$A$147=TRUE)+($A$46:$A$147=""☑"")+($A$46:$A$147=""✓"")+($A$46:$A$147=""✔""))&gt;0)*($B$46:$B$147=$A$17)*($C$46:$C$147=B$4)),ROWS(B$17:B21)),"""")"),"")</f>
        <v/>
      </c>
      <c r="C21" s="153" t="str">
        <f>IFERROR(__xludf.DUMMYFUNCTION("IFERROR(INDEX(FILTER($D$46:$D$147,((($A$46:$A$147=TRUE)+($A$46:$A$147=""☑"")+($A$46:$A$147=""✓"")+($A$46:$A$147=""✔""))&gt;0)*($B$46:$B$147=$A$17)*($C$46:$C$147=C$4)),ROWS(C$17:C21)),"""")"),"")</f>
        <v/>
      </c>
      <c r="D21" s="153" t="str">
        <f>IFERROR(__xludf.DUMMYFUNCTION("IFERROR(INDEX(FILTER($D$46:$D$147,((($A$46:$A$147=TRUE)+($A$46:$A$147=""☑"")+($A$46:$A$147=""✓"")+($A$46:$A$147=""✔""))&gt;0)*($B$46:$B$147=$A$17)*($C$46:$C$147=D$4)),ROWS(D$17:D21)),"""")"),"")</f>
        <v/>
      </c>
      <c r="E21" s="153" t="str">
        <f>IFERROR(__xludf.DUMMYFUNCTION("IFERROR(INDEX(FILTER($D$46:$D$147,((($A$46:$A$147=TRUE)+($A$46:$A$147=""☑"")+($A$46:$A$147=""✓"")+($A$46:$A$147=""✔""))&gt;0)*($B$46:$B$147=$A$17)*($C$46:$C$147=E$4)),ROWS(E$17:E21)),"""")"),"")</f>
        <v/>
      </c>
      <c r="F21" s="153" t="str">
        <f>IFERROR(__xludf.DUMMYFUNCTION("IFERROR(INDEX(FILTER($D$46:$D$147,((($A$46:$A$147=TRUE)+($A$46:$A$147=""☑"")+($A$46:$A$147=""✓"")+($A$46:$A$147=""✔""))&gt;0)*($B$46:$B$147=$A$17)*($C$46:$C$147=F$4)),ROWS(F$17:F21)),"""")"),"")</f>
        <v/>
      </c>
      <c r="G21" s="153" t="str">
        <f>IFERROR(__xludf.DUMMYFUNCTION("IFERROR(INDEX(FILTER($D$46:$D$147,((($A$46:$A$147=TRUE)+($A$46:$A$147=""☑"")+($A$46:$A$147=""✓"")+($A$46:$A$147=""✔""))&gt;0)*($B$46:$B$147=$A$17)*($C$46:$C$147=G$4)),ROWS(G$17:G21)),"""")"),"")</f>
        <v/>
      </c>
      <c r="H21" s="153" t="str">
        <f>IFERROR(__xludf.DUMMYFUNCTION("IFERROR(INDEX(FILTER($D$46:$D$147,((($A$46:$A$147=TRUE)+($A$46:$A$147=""☑"")+($A$46:$A$147=""✓"")+($A$46:$A$147=""✔""))&gt;0)*($B$46:$B$147=$A$17)*($C$46:$C$147=H$4)),ROWS(H$17:H21)),"""")"),"")</f>
        <v/>
      </c>
      <c r="I21" s="153" t="str">
        <f>IFERROR(__xludf.DUMMYFUNCTION("IFERROR(INDEX(FILTER($D$46:$D$147,((($A$46:$A$147=TRUE)+($A$46:$A$147=""☑"")+($A$46:$A$147=""✓"")+($A$46:$A$147=""✔""))&gt;0)*($B$46:$B$147=$A$17)*($C$46:$C$147=I$4)),ROWS(I$17:I21)),"""")"),"")</f>
        <v/>
      </c>
      <c r="J21" s="153" t="str">
        <f>IFERROR(__xludf.DUMMYFUNCTION("IFERROR(INDEX(FILTER($D$46:$D$147,((($A$46:$A$147=TRUE)+($A$46:$A$147=""☑"")+($A$46:$A$147=""✓"")+($A$46:$A$147=""✔""))&gt;0)*($B$46:$B$147=$A$17)*($C$46:$C$147=J$4)),ROWS(J$17:J21)),"""")"),"")</f>
        <v/>
      </c>
      <c r="K21" s="153" t="str">
        <f>IFERROR(__xludf.DUMMYFUNCTION("IFERROR(INDEX(FILTER($D$46:$D$147,((($A$46:$A$147=TRUE)+($A$46:$A$147=""☑"")+($A$46:$A$147=""✓"")+($A$46:$A$147=""✔""))&gt;0)*($B$46:$B$147=$A$17)*($C$46:$C$147=K$4)),ROWS(K$17:K21)),"""")"),"")</f>
        <v/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4.0" customHeight="1">
      <c r="A22" s="128"/>
      <c r="B22" s="130"/>
      <c r="C22" s="131"/>
      <c r="D22" s="131"/>
      <c r="E22" s="131"/>
      <c r="F22" s="131"/>
      <c r="G22" s="131"/>
      <c r="H22" s="131"/>
      <c r="I22" s="131"/>
      <c r="J22" s="131"/>
      <c r="K22" s="13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4.0" customHeight="1">
      <c r="A23" s="40" t="s">
        <v>93</v>
      </c>
      <c r="B23" s="48" t="str">
        <f>IFERROR(__xludf.DUMMYFUNCTION("IFERROR(INDEX(FILTER($D$46:$D$147,((($A$46:$A$147=TRUE)+($A$46:$A$147=""☑"")+($A$46:$A$147=""✓"")+($A$46:$A$147=""✔""))&gt;0)*($B$46:$B$147=$A$23)*($C$46:$C$147=B$4)),ROWS(B$23:B23)),"""")"),"")</f>
        <v/>
      </c>
      <c r="C23" s="48" t="str">
        <f>IFERROR(__xludf.DUMMYFUNCTION("IFERROR(INDEX(FILTER($D$46:$D$147,((($A$46:$A$147=TRUE)+($A$46:$A$147=""☑"")+($A$46:$A$147=""✓"")+($A$46:$A$147=""✔""))&gt;0)*($B$46:$B$147=$A$23)*($C$46:$C$147=C$4)),ROWS(C$23:C23)),"""")"),"Dictation")</f>
        <v>Dictation</v>
      </c>
      <c r="D23" s="48" t="str">
        <f>IFERROR(__xludf.DUMMYFUNCTION("IFERROR(INDEX(FILTER($D$46:$D$147,((($A$46:$A$147=TRUE)+($A$46:$A$147=""☑"")+($A$46:$A$147=""✓"")+($A$46:$A$147=""✔""))&gt;0)*($B$46:$B$147=$A$23)*($C$46:$C$147=D$4)),ROWS(D$23:D23)),"""")"),"Literature")</f>
        <v>Literature</v>
      </c>
      <c r="E23" s="48" t="str">
        <f>IFERROR(__xludf.DUMMYFUNCTION("IFERROR(INDEX(FILTER($D$46:$D$147,((($A$46:$A$147=TRUE)+($A$46:$A$147=""☑"")+($A$46:$A$147=""✓"")+($A$46:$A$147=""✔""))&gt;0)*($B$46:$B$147=$A$23)*($C$46:$C$147=E$4)),ROWS(E$23:E23)),"""")"),"World / American History")</f>
        <v>World / American History</v>
      </c>
      <c r="F23" s="48" t="str">
        <f>IFERROR(__xludf.DUMMYFUNCTION("IFERROR(INDEX(FILTER($D$46:$D$147,((($A$46:$A$147=TRUE)+($A$46:$A$147=""☑"")+($A$46:$A$147=""✓"")+($A$46:$A$147=""✔""))&gt;0)*($B$46:$B$147=$A$23)*($C$46:$C$147=F$4)),ROWS(F$23:F23)),"""")"),"Geography / Map Drill")</f>
        <v>Geography / Map Drill</v>
      </c>
      <c r="G23" s="48" t="str">
        <f>IFERROR(__xludf.DUMMYFUNCTION("IFERROR(INDEX(FILTER($D$46:$D$147,((($A$46:$A$147=TRUE)+($A$46:$A$147=""☑"")+($A$46:$A$147=""✓"")+($A$46:$A$147=""✔""))&gt;0)*($B$46:$B$147=$A$23)*($C$46:$C$147=G$4)),ROWS(G$23:G23)),"""")"),"Plutarch")</f>
        <v>Plutarch</v>
      </c>
      <c r="H23" s="48" t="str">
        <f>IFERROR(__xludf.DUMMYFUNCTION("IFERROR(INDEX(FILTER($D$46:$D$147,((($A$46:$A$147=TRUE)+($A$46:$A$147=""☑"")+($A$46:$A$147=""✓"")+($A$46:$A$147=""✔""))&gt;0)*($B$46:$B$147=$A$23)*($C$46:$C$147=H$4)),ROWS(H$23:H23)),"""")"),"Science")</f>
        <v>Science</v>
      </c>
      <c r="I23" s="48" t="str">
        <f>IFERROR(__xludf.DUMMYFUNCTION("IFERROR(INDEX(FILTER($D$46:$D$147,((($A$46:$A$147=TRUE)+($A$46:$A$147=""☑"")+($A$46:$A$147=""✓"")+($A$46:$A$147=""✔""))&gt;0)*($B$46:$B$147=$A$23)*($C$46:$C$147=I$4)),ROWS(I$23:I23)),"""")"),"Algebra / Geometry")</f>
        <v>Algebra / Geometry</v>
      </c>
      <c r="J23" s="48" t="str">
        <f>IFERROR(__xludf.DUMMYFUNCTION("IFERROR(INDEX(FILTER($D$46:$D$147,((($A$46:$A$147=TRUE)+($A$46:$A$147=""☑"")+($A$46:$A$147=""✓"")+($A$46:$A$147=""✔""))&gt;0)*($B$46:$B$147=$A$23)*($C$46:$C$147=J$4)),ROWS(J$23:J23)),"""")"),"")</f>
        <v/>
      </c>
      <c r="K23" s="48" t="str">
        <f>IFERROR(__xludf.DUMMYFUNCTION("IFERROR(INDEX(FILTER($D$46:$D$147,((($A$46:$A$147=TRUE)+($A$46:$A$147=""☑"")+($A$46:$A$147=""✓"")+($A$46:$A$147=""✔""))&gt;0)*($B$46:$B$147=$A$23)*($C$46:$C$147=K$4)),ROWS(K$23:K23)),"""")"),"Modern Language")</f>
        <v>Modern Language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4.0" customHeight="1">
      <c r="B24" s="153" t="str">
        <f>IFERROR(__xludf.DUMMYFUNCTION("IFERROR(INDEX(FILTER($D$46:$D$147,((($A$46:$A$147=TRUE)+($A$46:$A$147=""☑"")+($A$46:$A$147=""✓"")+($A$46:$A$147=""✔""))&gt;0)*($B$46:$B$147=$A$23)*($C$46:$C$147=B$4)),ROWS(B$23:B24)),"""")"),"")</f>
        <v/>
      </c>
      <c r="C24" s="153" t="str">
        <f>IFERROR(__xludf.DUMMYFUNCTION("IFERROR(INDEX(FILTER($D$46:$D$147,((($A$46:$A$147=TRUE)+($A$46:$A$147=""☑"")+($A$46:$A$147=""✓"")+($A$46:$A$147=""✔""))&gt;0)*($B$46:$B$147=$A$23)*($C$46:$C$147=C$4)),ROWS(C$23:C24)),"""")"),"Grammar / Analysis")</f>
        <v>Grammar / Analysis</v>
      </c>
      <c r="D24" s="153" t="str">
        <f>IFERROR(__xludf.DUMMYFUNCTION("IFERROR(INDEX(FILTER($D$46:$D$147,((($A$46:$A$147=TRUE)+($A$46:$A$147=""☑"")+($A$46:$A$147=""✓"")+($A$46:$A$147=""✔""))&gt;0)*($B$46:$B$147=$A$23)*($C$46:$C$147=D$4)),ROWS(D$23:D24)),"""")"),"")</f>
        <v/>
      </c>
      <c r="E24" s="153" t="str">
        <f>IFERROR(__xludf.DUMMYFUNCTION("IFERROR(INDEX(FILTER($D$46:$D$147,((($A$46:$A$147=TRUE)+($A$46:$A$147=""☑"")+($A$46:$A$147=""✓"")+($A$46:$A$147=""✔""))&gt;0)*($B$46:$B$147=$A$23)*($C$46:$C$147=E$4)),ROWS(E$23:E24)),"""")"),"Book of Centuries")</f>
        <v>Book of Centuries</v>
      </c>
      <c r="F24" s="153" t="str">
        <f>IFERROR(__xludf.DUMMYFUNCTION("IFERROR(INDEX(FILTER($D$46:$D$147,((($A$46:$A$147=TRUE)+($A$46:$A$147=""☑"")+($A$46:$A$147=""✓"")+($A$46:$A$147=""✔""))&gt;0)*($B$46:$B$147=$A$23)*($C$46:$C$147=F$4)),ROWS(F$23:F24)),"""")"),"")</f>
        <v/>
      </c>
      <c r="G24" s="153" t="str">
        <f>IFERROR(__xludf.DUMMYFUNCTION("IFERROR(INDEX(FILTER($D$46:$D$147,((($A$46:$A$147=TRUE)+($A$46:$A$147=""☑"")+($A$46:$A$147=""✓"")+($A$46:$A$147=""✔""))&gt;0)*($B$46:$B$147=$A$23)*($C$46:$C$147=G$4)),ROWS(G$23:G24)),"""")"),"Current Events")</f>
        <v>Current Events</v>
      </c>
      <c r="H24" s="153" t="str">
        <f>IFERROR(__xludf.DUMMYFUNCTION("IFERROR(INDEX(FILTER($D$46:$D$147,((($A$46:$A$147=TRUE)+($A$46:$A$147=""☑"")+($A$46:$A$147=""✓"")+($A$46:$A$147=""✔""))&gt;0)*($B$46:$B$147=$A$23)*($C$46:$C$147=H$4)),ROWS(H$23:H24)),"""")"),"Natural History")</f>
        <v>Natural History</v>
      </c>
      <c r="I24" s="153" t="str">
        <f>IFERROR(__xludf.DUMMYFUNCTION("IFERROR(INDEX(FILTER($D$46:$D$147,((($A$46:$A$147=TRUE)+($A$46:$A$147=""☑"")+($A$46:$A$147=""✓"")+($A$46:$A$147=""✔""))&gt;0)*($B$46:$B$147=$A$23)*($C$46:$C$147=I$4)),ROWS(I$23:I24)),"""")"),"")</f>
        <v/>
      </c>
      <c r="J24" s="153" t="str">
        <f>IFERROR(__xludf.DUMMYFUNCTION("IFERROR(INDEX(FILTER($D$46:$D$147,((($A$46:$A$147=TRUE)+($A$46:$A$147=""☑"")+($A$46:$A$147=""✓"")+($A$46:$A$147=""✔""))&gt;0)*($B$46:$B$147=$A$23)*($C$46:$C$147=J$4)),ROWS(J$23:J24)),"""")"),"")</f>
        <v/>
      </c>
      <c r="K24" s="153" t="str">
        <f>IFERROR(__xludf.DUMMYFUNCTION("IFERROR(INDEX(FILTER($D$46:$D$147,((($A$46:$A$147=TRUE)+($A$46:$A$147=""☑"")+($A$46:$A$147=""✓"")+($A$46:$A$147=""✔""))&gt;0)*($B$46:$B$147=$A$23)*($C$46:$C$147=K$4)),ROWS(K$23:K24)),"""")"),"Latin")</f>
        <v>Latin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4.0" customHeight="1">
      <c r="B25" s="153" t="str">
        <f>IFERROR(__xludf.DUMMYFUNCTION("IFERROR(INDEX(FILTER($D$46:$D$147,((($A$46:$A$147=TRUE)+($A$46:$A$147=""☑"")+($A$46:$A$147=""✓"")+($A$46:$A$147=""✔""))&gt;0)*($B$46:$B$147=$A$23)*($C$46:$C$147=B$4)),ROWS(B$23:B25)),"""")"),"")</f>
        <v/>
      </c>
      <c r="C25" s="153" t="str">
        <f>IFERROR(__xludf.DUMMYFUNCTION("IFERROR(INDEX(FILTER($D$46:$D$147,((($A$46:$A$147=TRUE)+($A$46:$A$147=""☑"")+($A$46:$A$147=""✓"")+($A$46:$A$147=""✔""))&gt;0)*($B$46:$B$147=$A$23)*($C$46:$C$147=C$4)),ROWS(C$23:C25)),"""")"),"Composition")</f>
        <v>Composition</v>
      </c>
      <c r="D25" s="153" t="str">
        <f>IFERROR(__xludf.DUMMYFUNCTION("IFERROR(INDEX(FILTER($D$46:$D$147,((($A$46:$A$147=TRUE)+($A$46:$A$147=""☑"")+($A$46:$A$147=""✓"")+($A$46:$A$147=""✔""))&gt;0)*($B$46:$B$147=$A$23)*($C$46:$C$147=D$4)),ROWS(D$23:D25)),"""")"),"")</f>
        <v/>
      </c>
      <c r="E25" s="153" t="str">
        <f>IFERROR(__xludf.DUMMYFUNCTION("IFERROR(INDEX(FILTER($D$46:$D$147,((($A$46:$A$147=TRUE)+($A$46:$A$147=""☑"")+($A$46:$A$147=""✓"")+($A$46:$A$147=""✔""))&gt;0)*($B$46:$B$147=$A$23)*($C$46:$C$147=E$4)),ROWS(E$23:E25)),"""")"),"")</f>
        <v/>
      </c>
      <c r="F25" s="153" t="str">
        <f>IFERROR(__xludf.DUMMYFUNCTION("IFERROR(INDEX(FILTER($D$46:$D$147,((($A$46:$A$147=TRUE)+($A$46:$A$147=""☑"")+($A$46:$A$147=""✓"")+($A$46:$A$147=""✔""))&gt;0)*($B$46:$B$147=$A$23)*($C$46:$C$147=F$4)),ROWS(F$23:F25)),"""")"),"")</f>
        <v/>
      </c>
      <c r="G25" s="153" t="str">
        <f>IFERROR(__xludf.DUMMYFUNCTION("IFERROR(INDEX(FILTER($D$46:$D$147,((($A$46:$A$147=TRUE)+($A$46:$A$147=""☑"")+($A$46:$A$147=""✓"")+($A$46:$A$147=""✔""))&gt;0)*($B$46:$B$147=$A$23)*($C$46:$C$147=G$4)),ROWS(G$23:G25)),"""")"),"")</f>
        <v/>
      </c>
      <c r="H25" s="153" t="str">
        <f>IFERROR(__xludf.DUMMYFUNCTION("IFERROR(INDEX(FILTER($D$46:$D$147,((($A$46:$A$147=TRUE)+($A$46:$A$147=""☑"")+($A$46:$A$147=""✓"")+($A$46:$A$147=""✔""))&gt;0)*($B$46:$B$147=$A$23)*($C$46:$C$147=H$4)),ROWS(H$23:H25)),"""")"),"")</f>
        <v/>
      </c>
      <c r="I25" s="153" t="str">
        <f>IFERROR(__xludf.DUMMYFUNCTION("IFERROR(INDEX(FILTER($D$46:$D$147,((($A$46:$A$147=TRUE)+($A$46:$A$147=""☑"")+($A$46:$A$147=""✓"")+($A$46:$A$147=""✔""))&gt;0)*($B$46:$B$147=$A$23)*($C$46:$C$147=I$4)),ROWS(I$23:I25)),"""")"),"")</f>
        <v/>
      </c>
      <c r="J25" s="153" t="str">
        <f>IFERROR(__xludf.DUMMYFUNCTION("IFERROR(INDEX(FILTER($D$46:$D$147,((($A$46:$A$147=TRUE)+($A$46:$A$147=""☑"")+($A$46:$A$147=""✓"")+($A$46:$A$147=""✔""))&gt;0)*($B$46:$B$147=$A$23)*($C$46:$C$147=J$4)),ROWS(J$23:J25)),"""")"),"")</f>
        <v/>
      </c>
      <c r="K25" s="153" t="str">
        <f>IFERROR(__xludf.DUMMYFUNCTION("IFERROR(INDEX(FILTER($D$46:$D$147,((($A$46:$A$147=TRUE)+($A$46:$A$147=""☑"")+($A$46:$A$147=""✓"")+($A$46:$A$147=""✔""))&gt;0)*($B$46:$B$147=$A$23)*($C$46:$C$147=K$4)),ROWS(K$23:K25)),"""")"),"")</f>
        <v/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4.0" customHeight="1">
      <c r="B26" s="153" t="str">
        <f>IFERROR(__xludf.DUMMYFUNCTION("IFERROR(INDEX(FILTER($D$46:$D$147,((($A$46:$A$147=TRUE)+($A$46:$A$147=""☑"")+($A$46:$A$147=""✓"")+($A$46:$A$147=""✔""))&gt;0)*($B$46:$B$147=$A$23)*($C$46:$C$147=B$4)),ROWS(B$23:B26)),"""")"),"")</f>
        <v/>
      </c>
      <c r="C26" s="153" t="str">
        <f>IFERROR(__xludf.DUMMYFUNCTION("IFERROR(INDEX(FILTER($D$46:$D$147,((($A$46:$A$147=TRUE)+($A$46:$A$147=""☑"")+($A$46:$A$147=""✓"")+($A$46:$A$147=""✔""))&gt;0)*($B$46:$B$147=$A$23)*($C$46:$C$147=C$4)),ROWS(C$23:C26)),"""")"),"")</f>
        <v/>
      </c>
      <c r="D26" s="153" t="str">
        <f>IFERROR(__xludf.DUMMYFUNCTION("IFERROR(INDEX(FILTER($D$46:$D$147,((($A$46:$A$147=TRUE)+($A$46:$A$147=""☑"")+($A$46:$A$147=""✓"")+($A$46:$A$147=""✔""))&gt;0)*($B$46:$B$147=$A$23)*($C$46:$C$147=D$4)),ROWS(D$23:D26)),"""")"),"")</f>
        <v/>
      </c>
      <c r="E26" s="153" t="str">
        <f>IFERROR(__xludf.DUMMYFUNCTION("IFERROR(INDEX(FILTER($D$46:$D$147,((($A$46:$A$147=TRUE)+($A$46:$A$147=""☑"")+($A$46:$A$147=""✓"")+($A$46:$A$147=""✔""))&gt;0)*($B$46:$B$147=$A$23)*($C$46:$C$147=E$4)),ROWS(E$23:E26)),"""")"),"")</f>
        <v/>
      </c>
      <c r="F26" s="153" t="str">
        <f>IFERROR(__xludf.DUMMYFUNCTION("IFERROR(INDEX(FILTER($D$46:$D$147,((($A$46:$A$147=TRUE)+($A$46:$A$147=""☑"")+($A$46:$A$147=""✓"")+($A$46:$A$147=""✔""))&gt;0)*($B$46:$B$147=$A$23)*($C$46:$C$147=F$4)),ROWS(F$23:F26)),"""")"),"")</f>
        <v/>
      </c>
      <c r="G26" s="153" t="str">
        <f>IFERROR(__xludf.DUMMYFUNCTION("IFERROR(INDEX(FILTER($D$46:$D$147,((($A$46:$A$147=TRUE)+($A$46:$A$147=""☑"")+($A$46:$A$147=""✓"")+($A$46:$A$147=""✔""))&gt;0)*($B$46:$B$147=$A$23)*($C$46:$C$147=G$4)),ROWS(G$23:G26)),"""")"),"")</f>
        <v/>
      </c>
      <c r="H26" s="153" t="str">
        <f>IFERROR(__xludf.DUMMYFUNCTION("IFERROR(INDEX(FILTER($D$46:$D$147,((($A$46:$A$147=TRUE)+($A$46:$A$147=""☑"")+($A$46:$A$147=""✓"")+($A$46:$A$147=""✔""))&gt;0)*($B$46:$B$147=$A$23)*($C$46:$C$147=H$4)),ROWS(H$23:H26)),"""")"),"")</f>
        <v/>
      </c>
      <c r="I26" s="153" t="str">
        <f>IFERROR(__xludf.DUMMYFUNCTION("IFERROR(INDEX(FILTER($D$46:$D$147,((($A$46:$A$147=TRUE)+($A$46:$A$147=""☑"")+($A$46:$A$147=""✓"")+($A$46:$A$147=""✔""))&gt;0)*($B$46:$B$147=$A$23)*($C$46:$C$147=I$4)),ROWS(I$23:I26)),"""")"),"")</f>
        <v/>
      </c>
      <c r="J26" s="153" t="str">
        <f>IFERROR(__xludf.DUMMYFUNCTION("IFERROR(INDEX(FILTER($D$46:$D$147,((($A$46:$A$147=TRUE)+($A$46:$A$147=""☑"")+($A$46:$A$147=""✓"")+($A$46:$A$147=""✔""))&gt;0)*($B$46:$B$147=$A$23)*($C$46:$C$147=J$4)),ROWS(J$23:J26)),"""")"),"")</f>
        <v/>
      </c>
      <c r="K26" s="153" t="str">
        <f>IFERROR(__xludf.DUMMYFUNCTION("IFERROR(INDEX(FILTER($D$46:$D$147,((($A$46:$A$147=TRUE)+($A$46:$A$147=""☑"")+($A$46:$A$147=""✓"")+($A$46:$A$147=""✔""))&gt;0)*($B$46:$B$147=$A$23)*($C$46:$C$147=K$4)),ROWS(K$23:K26)),"""")"),"")</f>
        <v/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4.0" customHeight="1">
      <c r="A27" s="116"/>
      <c r="B27" s="153" t="str">
        <f>IFERROR(__xludf.DUMMYFUNCTION("IFERROR(INDEX(FILTER($D$46:$D$147,((($A$46:$A$147=TRUE)+($A$46:$A$147=""☑"")+($A$46:$A$147=""✓"")+($A$46:$A$147=""✔""))&gt;0)*($B$46:$B$147=$A$23)*($C$46:$C$147=B$4)),ROWS(B$23:B27)),"""")"),"")</f>
        <v/>
      </c>
      <c r="C27" s="153" t="str">
        <f>IFERROR(__xludf.DUMMYFUNCTION("IFERROR(INDEX(FILTER($D$46:$D$147,((($A$46:$A$147=TRUE)+($A$46:$A$147=""☑"")+($A$46:$A$147=""✓"")+($A$46:$A$147=""✔""))&gt;0)*($B$46:$B$147=$A$23)*($C$46:$C$147=C$4)),ROWS(C$23:C27)),"""")"),"")</f>
        <v/>
      </c>
      <c r="D27" s="153" t="str">
        <f>IFERROR(__xludf.DUMMYFUNCTION("IFERROR(INDEX(FILTER($D$46:$D$147,((($A$46:$A$147=TRUE)+($A$46:$A$147=""☑"")+($A$46:$A$147=""✓"")+($A$46:$A$147=""✔""))&gt;0)*($B$46:$B$147=$A$23)*($C$46:$C$147=D$4)),ROWS(D$23:D27)),"""")"),"")</f>
        <v/>
      </c>
      <c r="E27" s="153" t="str">
        <f>IFERROR(__xludf.DUMMYFUNCTION("IFERROR(INDEX(FILTER($D$46:$D$147,((($A$46:$A$147=TRUE)+($A$46:$A$147=""☑"")+($A$46:$A$147=""✓"")+($A$46:$A$147=""✔""))&gt;0)*($B$46:$B$147=$A$23)*($C$46:$C$147=E$4)),ROWS(E$23:E27)),"""")"),"")</f>
        <v/>
      </c>
      <c r="F27" s="153" t="str">
        <f>IFERROR(__xludf.DUMMYFUNCTION("IFERROR(INDEX(FILTER($D$46:$D$147,((($A$46:$A$147=TRUE)+($A$46:$A$147=""☑"")+($A$46:$A$147=""✓"")+($A$46:$A$147=""✔""))&gt;0)*($B$46:$B$147=$A$23)*($C$46:$C$147=F$4)),ROWS(F$23:F27)),"""")"),"")</f>
        <v/>
      </c>
      <c r="G27" s="153" t="str">
        <f>IFERROR(__xludf.DUMMYFUNCTION("IFERROR(INDEX(FILTER($D$46:$D$147,((($A$46:$A$147=TRUE)+($A$46:$A$147=""☑"")+($A$46:$A$147=""✓"")+($A$46:$A$147=""✔""))&gt;0)*($B$46:$B$147=$A$23)*($C$46:$C$147=G$4)),ROWS(G$23:G27)),"""")"),"")</f>
        <v/>
      </c>
      <c r="H27" s="153" t="str">
        <f>IFERROR(__xludf.DUMMYFUNCTION("IFERROR(INDEX(FILTER($D$46:$D$147,((($A$46:$A$147=TRUE)+($A$46:$A$147=""☑"")+($A$46:$A$147=""✓"")+($A$46:$A$147=""✔""))&gt;0)*($B$46:$B$147=$A$23)*($C$46:$C$147=H$4)),ROWS(H$23:H27)),"""")"),"")</f>
        <v/>
      </c>
      <c r="I27" s="153" t="str">
        <f>IFERROR(__xludf.DUMMYFUNCTION("IFERROR(INDEX(FILTER($D$46:$D$147,((($A$46:$A$147=TRUE)+($A$46:$A$147=""☑"")+($A$46:$A$147=""✓"")+($A$46:$A$147=""✔""))&gt;0)*($B$46:$B$147=$A$23)*($C$46:$C$147=I$4)),ROWS(I$23:I27)),"""")"),"")</f>
        <v/>
      </c>
      <c r="J27" s="153" t="str">
        <f>IFERROR(__xludf.DUMMYFUNCTION("IFERROR(INDEX(FILTER($D$46:$D$147,((($A$46:$A$147=TRUE)+($A$46:$A$147=""☑"")+($A$46:$A$147=""✓"")+($A$46:$A$147=""✔""))&gt;0)*($B$46:$B$147=$A$23)*($C$46:$C$147=J$4)),ROWS(J$23:J27)),"""")"),"")</f>
        <v/>
      </c>
      <c r="K27" s="153" t="str">
        <f>IFERROR(__xludf.DUMMYFUNCTION("IFERROR(INDEX(FILTER($D$46:$D$147,((($A$46:$A$147=TRUE)+($A$46:$A$147=""☑"")+($A$46:$A$147=""✓"")+($A$46:$A$147=""✔""))&gt;0)*($B$46:$B$147=$A$23)*($C$46:$C$147=K$4)),ROWS(K$23:K27)),"""")"),"")</f>
        <v/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4.0" customHeight="1">
      <c r="A28" s="128"/>
      <c r="B28" s="130"/>
      <c r="C28" s="131"/>
      <c r="D28" s="131"/>
      <c r="E28" s="131"/>
      <c r="F28" s="131"/>
      <c r="G28" s="131"/>
      <c r="H28" s="131"/>
      <c r="I28" s="131"/>
      <c r="J28" s="131"/>
      <c r="K28" s="134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4.0" customHeight="1">
      <c r="A29" s="40" t="s">
        <v>132</v>
      </c>
      <c r="B29" s="48" t="str">
        <f>IFERROR(__xludf.DUMMYFUNCTION("IFERROR(INDEX(FILTER($D$46:$D$147,((($A$46:$A$147=TRUE)+($A$46:$A$147=""☑"")+($A$46:$A$147=""✓"")+($A$46:$A$147=""✔""))&gt;0)*($B$46:$B$147=$A$29)*($C$46:$C$147=B$4)),ROWS(B$29:B29)),"""")"),"")</f>
        <v/>
      </c>
      <c r="C29" s="48" t="str">
        <f>IFERROR(__xludf.DUMMYFUNCTION("IFERROR(INDEX(FILTER($D$46:$D$147,((($A$46:$A$147=TRUE)+($A$46:$A$147=""☑"")+($A$46:$A$147=""✓"")+($A$46:$A$147=""✔""))&gt;0)*($B$46:$B$147=$A$29)*($C$46:$C$147=C$4)),ROWS(C$29:C29)),"""")"),"Composition / Essays")</f>
        <v>Composition / Essays</v>
      </c>
      <c r="D29" s="48" t="str">
        <f>IFERROR(__xludf.DUMMYFUNCTION("IFERROR(INDEX(FILTER($D$46:$D$147,((($A$46:$A$147=TRUE)+($A$46:$A$147=""☑"")+($A$46:$A$147=""✓"")+($A$46:$A$147=""✔""))&gt;0)*($B$46:$B$147=$A$29)*($C$46:$C$147=D$4)),ROWS(D$29:D29)),"""")"),"Literature")</f>
        <v>Literature</v>
      </c>
      <c r="E29" s="48" t="str">
        <f>IFERROR(__xludf.DUMMYFUNCTION("IFERROR(INDEX(FILTER($D$46:$D$147,((($A$46:$A$147=TRUE)+($A$46:$A$147=""☑"")+($A$46:$A$147=""✓"")+($A$46:$A$147=""✔""))&gt;0)*($B$46:$B$147=$A$29)*($C$46:$C$147=E$4)),ROWS(E$29:E29)),"""")"),"World / American History")</f>
        <v>World / American History</v>
      </c>
      <c r="F29" s="48" t="str">
        <f>IFERROR(__xludf.DUMMYFUNCTION("IFERROR(INDEX(FILTER($D$46:$D$147,((($A$46:$A$147=TRUE)+($A$46:$A$147=""☑"")+($A$46:$A$147=""✓"")+($A$46:$A$147=""✔""))&gt;0)*($B$46:$B$147=$A$29)*($C$46:$C$147=F$4)),ROWS(F$29:F29)),"""")"),"Geography")</f>
        <v>Geography</v>
      </c>
      <c r="G29" s="48" t="str">
        <f>IFERROR(__xludf.DUMMYFUNCTION("IFERROR(INDEX(FILTER($D$46:$D$147,((($A$46:$A$147=TRUE)+($A$46:$A$147=""☑"")+($A$46:$A$147=""✓"")+($A$46:$A$147=""✔""))&gt;0)*($B$46:$B$147=$A$29)*($C$46:$C$147=G$4)),ROWS(G$29:G29)),"""")"),"Government")</f>
        <v>Government</v>
      </c>
      <c r="H29" s="48" t="str">
        <f>IFERROR(__xludf.DUMMYFUNCTION("IFERROR(INDEX(FILTER($D$46:$D$147,((($A$46:$A$147=TRUE)+($A$46:$A$147=""☑"")+($A$46:$A$147=""✓"")+($A$46:$A$147=""✔""))&gt;0)*($B$46:$B$147=$A$29)*($C$46:$C$147=H$4)),ROWS(H$29:H29)),"""")"),"Science")</f>
        <v>Science</v>
      </c>
      <c r="I29" s="48" t="str">
        <f>IFERROR(__xludf.DUMMYFUNCTION("IFERROR(INDEX(FILTER($D$46:$D$147,((($A$46:$A$147=TRUE)+($A$46:$A$147=""☑"")+($A$46:$A$147=""✓"")+($A$46:$A$147=""✔""))&gt;0)*($B$46:$B$147=$A$29)*($C$46:$C$147=I$4)),ROWS(I$29:I29)),"""")"),"Upper Math")</f>
        <v>Upper Math</v>
      </c>
      <c r="J29" s="48" t="str">
        <f>IFERROR(__xludf.DUMMYFUNCTION("IFERROR(INDEX(FILTER($D$46:$D$147,((($A$46:$A$147=TRUE)+($A$46:$A$147=""☑"")+($A$46:$A$147=""✓"")+($A$46:$A$147=""✔""))&gt;0)*($B$46:$B$147=$A$29)*($C$46:$C$147=J$4)),ROWS(J$29:J29)),"""")"),"")</f>
        <v/>
      </c>
      <c r="K29" s="48" t="str">
        <f>IFERROR(__xludf.DUMMYFUNCTION("IFERROR(INDEX(FILTER($D$46:$D$147,((($A$46:$A$147=TRUE)+($A$46:$A$147=""☑"")+($A$46:$A$147=""✓"")+($A$46:$A$147=""✔""))&gt;0)*($B$46:$B$147=$A$29)*($C$46:$C$147=K$4)),ROWS(K$29:K29)),"""")"),"Modern Language / Latin")</f>
        <v>Modern Language / Latin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B30" s="153" t="str">
        <f>IFERROR(__xludf.DUMMYFUNCTION("IFERROR(INDEX(FILTER($D$46:$D$147,((($A$46:$A$147=TRUE)+($A$46:$A$147=""☑"")+($A$46:$A$147=""✓"")+($A$46:$A$147=""✔""))&gt;0)*($B$46:$B$147=$A$29)*($C$46:$C$147=B$4)),ROWS(B$29:B30)),"""")"),"")</f>
        <v/>
      </c>
      <c r="C30" s="153" t="str">
        <f>IFERROR(__xludf.DUMMYFUNCTION("IFERROR(INDEX(FILTER($D$46:$D$147,((($A$46:$A$147=TRUE)+($A$46:$A$147=""☑"")+($A$46:$A$147=""✓"")+($A$46:$A$147=""✔""))&gt;0)*($B$46:$B$147=$A$29)*($C$46:$C$147=C$4)),ROWS(C$29:C30)),"""")"),"Grammar / Analysis")</f>
        <v>Grammar / Analysis</v>
      </c>
      <c r="D30" s="153" t="str">
        <f>IFERROR(__xludf.DUMMYFUNCTION("IFERROR(INDEX(FILTER($D$46:$D$147,((($A$46:$A$147=TRUE)+($A$46:$A$147=""☑"")+($A$46:$A$147=""✓"")+($A$46:$A$147=""✔""))&gt;0)*($B$46:$B$147=$A$29)*($C$46:$C$147=D$4)),ROWS(D$29:D30)),"""")"),"")</f>
        <v/>
      </c>
      <c r="E30" s="153" t="str">
        <f>IFERROR(__xludf.DUMMYFUNCTION("IFERROR(INDEX(FILTER($D$46:$D$147,((($A$46:$A$147=TRUE)+($A$46:$A$147=""☑"")+($A$46:$A$147=""✓"")+($A$46:$A$147=""✔""))&gt;0)*($B$46:$B$147=$A$29)*($C$46:$C$147=E$4)),ROWS(E$29:E30)),"""")"),"Ancient History")</f>
        <v>Ancient History</v>
      </c>
      <c r="F30" s="153" t="str">
        <f>IFERROR(__xludf.DUMMYFUNCTION("IFERROR(INDEX(FILTER($D$46:$D$147,((($A$46:$A$147=TRUE)+($A$46:$A$147=""☑"")+($A$46:$A$147=""✓"")+($A$46:$A$147=""✔""))&gt;0)*($B$46:$B$147=$A$29)*($C$46:$C$147=F$4)),ROWS(F$29:F30)),"""")"),"")</f>
        <v/>
      </c>
      <c r="G30" s="153" t="str">
        <f>IFERROR(__xludf.DUMMYFUNCTION("IFERROR(INDEX(FILTER($D$46:$D$147,((($A$46:$A$147=TRUE)+($A$46:$A$147=""☑"")+($A$46:$A$147=""✓"")+($A$46:$A$147=""✔""))&gt;0)*($B$46:$B$147=$A$29)*($C$46:$C$147=G$4)),ROWS(G$29:G30)),"""")"),"Current Events")</f>
        <v>Current Events</v>
      </c>
      <c r="H30" s="153" t="str">
        <f>IFERROR(__xludf.DUMMYFUNCTION("IFERROR(INDEX(FILTER($D$46:$D$147,((($A$46:$A$147=TRUE)+($A$46:$A$147=""☑"")+($A$46:$A$147=""✓"")+($A$46:$A$147=""✔""))&gt;0)*($B$46:$B$147=$A$29)*($C$46:$C$147=H$4)),ROWS(H$29:H30)),"""")"),"")</f>
        <v/>
      </c>
      <c r="I30" s="153" t="str">
        <f>IFERROR(__xludf.DUMMYFUNCTION("IFERROR(INDEX(FILTER($D$46:$D$147,((($A$46:$A$147=TRUE)+($A$46:$A$147=""☑"")+($A$46:$A$147=""✓"")+($A$46:$A$147=""✔""))&gt;0)*($B$46:$B$147=$A$29)*($C$46:$C$147=I$4)),ROWS(I$29:I30)),"""")"),"")</f>
        <v/>
      </c>
      <c r="J30" s="153" t="str">
        <f>IFERROR(__xludf.DUMMYFUNCTION("IFERROR(INDEX(FILTER($D$46:$D$147,((($A$46:$A$147=TRUE)+($A$46:$A$147=""☑"")+($A$46:$A$147=""✓"")+($A$46:$A$147=""✔""))&gt;0)*($B$46:$B$147=$A$29)*($C$46:$C$147=J$4)),ROWS(J$29:J30)),"""")"),"")</f>
        <v/>
      </c>
      <c r="K30" s="153" t="str">
        <f>IFERROR(__xludf.DUMMYFUNCTION("IFERROR(INDEX(FILTER($D$46:$D$147,((($A$46:$A$147=TRUE)+($A$46:$A$147=""☑"")+($A$46:$A$147=""✓"")+($A$46:$A$147=""✔""))&gt;0)*($B$46:$B$147=$A$29)*($C$46:$C$147=K$4)),ROWS(K$29:K30)),"""")"),"")</f>
        <v/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0" customHeight="1">
      <c r="B31" s="153" t="str">
        <f>IFERROR(__xludf.DUMMYFUNCTION("IFERROR(INDEX(FILTER($D$46:$D$147,((($A$46:$A$147=TRUE)+($A$46:$A$147=""☑"")+($A$46:$A$147=""✓"")+($A$46:$A$147=""✔""))&gt;0)*($B$46:$B$147=$A$29)*($C$46:$C$147=B$4)),ROWS(B$29:B31)),"""")"),"")</f>
        <v/>
      </c>
      <c r="C31" s="153" t="str">
        <f>IFERROR(__xludf.DUMMYFUNCTION("IFERROR(INDEX(FILTER($D$46:$D$147,((($A$46:$A$147=TRUE)+($A$46:$A$147=""☑"")+($A$46:$A$147=""✓"")+($A$46:$A$147=""✔""))&gt;0)*($B$46:$B$147=$A$29)*($C$46:$C$147=C$4)),ROWS(C$29:C31)),"""")"),"")</f>
        <v/>
      </c>
      <c r="D31" s="153" t="str">
        <f>IFERROR(__xludf.DUMMYFUNCTION("IFERROR(INDEX(FILTER($D$46:$D$147,((($A$46:$A$147=TRUE)+($A$46:$A$147=""☑"")+($A$46:$A$147=""✓"")+($A$46:$A$147=""✔""))&gt;0)*($B$46:$B$147=$A$29)*($C$46:$C$147=D$4)),ROWS(D$29:D31)),"""")"),"")</f>
        <v/>
      </c>
      <c r="E31" s="153" t="str">
        <f>IFERROR(__xludf.DUMMYFUNCTION("IFERROR(INDEX(FILTER($D$46:$D$147,((($A$46:$A$147=TRUE)+($A$46:$A$147=""☑"")+($A$46:$A$147=""✓"")+($A$46:$A$147=""✔""))&gt;0)*($B$46:$B$147=$A$29)*($C$46:$C$147=E$4)),ROWS(E$29:E31)),"""")"),"")</f>
        <v/>
      </c>
      <c r="F31" s="153" t="str">
        <f>IFERROR(__xludf.DUMMYFUNCTION("IFERROR(INDEX(FILTER($D$46:$D$147,((($A$46:$A$147=TRUE)+($A$46:$A$147=""☑"")+($A$46:$A$147=""✓"")+($A$46:$A$147=""✔""))&gt;0)*($B$46:$B$147=$A$29)*($C$46:$C$147=F$4)),ROWS(F$29:F31)),"""")"),"")</f>
        <v/>
      </c>
      <c r="G31" s="153" t="str">
        <f>IFERROR(__xludf.DUMMYFUNCTION("IFERROR(INDEX(FILTER($D$46:$D$147,((($A$46:$A$147=TRUE)+($A$46:$A$147=""☑"")+($A$46:$A$147=""✓"")+($A$46:$A$147=""✔""))&gt;0)*($B$46:$B$147=$A$29)*($C$46:$C$147=G$4)),ROWS(G$29:G31)),"""")"),"")</f>
        <v/>
      </c>
      <c r="H31" s="153" t="str">
        <f>IFERROR(__xludf.DUMMYFUNCTION("IFERROR(INDEX(FILTER($D$46:$D$147,((($A$46:$A$147=TRUE)+($A$46:$A$147=""☑"")+($A$46:$A$147=""✓"")+($A$46:$A$147=""✔""))&gt;0)*($B$46:$B$147=$A$29)*($C$46:$C$147=H$4)),ROWS(H$29:H31)),"""")"),"")</f>
        <v/>
      </c>
      <c r="I31" s="153" t="str">
        <f>IFERROR(__xludf.DUMMYFUNCTION("IFERROR(INDEX(FILTER($D$46:$D$147,((($A$46:$A$147=TRUE)+($A$46:$A$147=""☑"")+($A$46:$A$147=""✓"")+($A$46:$A$147=""✔""))&gt;0)*($B$46:$B$147=$A$29)*($C$46:$C$147=I$4)),ROWS(I$29:I31)),"""")"),"")</f>
        <v/>
      </c>
      <c r="J31" s="153" t="str">
        <f>IFERROR(__xludf.DUMMYFUNCTION("IFERROR(INDEX(FILTER($D$46:$D$147,((($A$46:$A$147=TRUE)+($A$46:$A$147=""☑"")+($A$46:$A$147=""✓"")+($A$46:$A$147=""✔""))&gt;0)*($B$46:$B$147=$A$29)*($C$46:$C$147=J$4)),ROWS(J$29:J31)),"""")"),"")</f>
        <v/>
      </c>
      <c r="K31" s="153" t="str">
        <f>IFERROR(__xludf.DUMMYFUNCTION("IFERROR(INDEX(FILTER($D$46:$D$147,((($A$46:$A$147=TRUE)+($A$46:$A$147=""☑"")+($A$46:$A$147=""✓"")+($A$46:$A$147=""✔""))&gt;0)*($B$46:$B$147=$A$29)*($C$46:$C$147=K$4)),ROWS(K$29:K31)),"""")"),"")</f>
        <v/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4.0" customHeight="1">
      <c r="B32" s="153" t="str">
        <f>IFERROR(__xludf.DUMMYFUNCTION("IFERROR(INDEX(FILTER($D$46:$D$147,((($A$46:$A$147=TRUE)+($A$46:$A$147=""☑"")+($A$46:$A$147=""✓"")+($A$46:$A$147=""✔""))&gt;0)*($B$46:$B$147=$A$29)*($C$46:$C$147=B$4)),ROWS(B$29:B32)),"""")"),"")</f>
        <v/>
      </c>
      <c r="C32" s="153" t="str">
        <f>IFERROR(__xludf.DUMMYFUNCTION("IFERROR(INDEX(FILTER($D$46:$D$147,((($A$46:$A$147=TRUE)+($A$46:$A$147=""☑"")+($A$46:$A$147=""✓"")+($A$46:$A$147=""✔""))&gt;0)*($B$46:$B$147=$A$29)*($C$46:$C$147=C$4)),ROWS(C$29:C32)),"""")"),"")</f>
        <v/>
      </c>
      <c r="D32" s="153" t="str">
        <f>IFERROR(__xludf.DUMMYFUNCTION("IFERROR(INDEX(FILTER($D$46:$D$147,((($A$46:$A$147=TRUE)+($A$46:$A$147=""☑"")+($A$46:$A$147=""✓"")+($A$46:$A$147=""✔""))&gt;0)*($B$46:$B$147=$A$29)*($C$46:$C$147=D$4)),ROWS(D$29:D32)),"""")"),"")</f>
        <v/>
      </c>
      <c r="E32" s="153" t="str">
        <f>IFERROR(__xludf.DUMMYFUNCTION("IFERROR(INDEX(FILTER($D$46:$D$147,((($A$46:$A$147=TRUE)+($A$46:$A$147=""☑"")+($A$46:$A$147=""✓"")+($A$46:$A$147=""✔""))&gt;0)*($B$46:$B$147=$A$29)*($C$46:$C$147=E$4)),ROWS(E$29:E32)),"""")"),"")</f>
        <v/>
      </c>
      <c r="F32" s="153" t="str">
        <f>IFERROR(__xludf.DUMMYFUNCTION("IFERROR(INDEX(FILTER($D$46:$D$147,((($A$46:$A$147=TRUE)+($A$46:$A$147=""☑"")+($A$46:$A$147=""✓"")+($A$46:$A$147=""✔""))&gt;0)*($B$46:$B$147=$A$29)*($C$46:$C$147=F$4)),ROWS(F$29:F32)),"""")"),"")</f>
        <v/>
      </c>
      <c r="G32" s="153" t="str">
        <f>IFERROR(__xludf.DUMMYFUNCTION("IFERROR(INDEX(FILTER($D$46:$D$147,((($A$46:$A$147=TRUE)+($A$46:$A$147=""☑"")+($A$46:$A$147=""✓"")+($A$46:$A$147=""✔""))&gt;0)*($B$46:$B$147=$A$29)*($C$46:$C$147=G$4)),ROWS(G$29:G32)),"""")"),"")</f>
        <v/>
      </c>
      <c r="H32" s="153" t="str">
        <f>IFERROR(__xludf.DUMMYFUNCTION("IFERROR(INDEX(FILTER($D$46:$D$147,((($A$46:$A$147=TRUE)+($A$46:$A$147=""☑"")+($A$46:$A$147=""✓"")+($A$46:$A$147=""✔""))&gt;0)*($B$46:$B$147=$A$29)*($C$46:$C$147=H$4)),ROWS(H$29:H32)),"""")"),"")</f>
        <v/>
      </c>
      <c r="I32" s="153" t="str">
        <f>IFERROR(__xludf.DUMMYFUNCTION("IFERROR(INDEX(FILTER($D$46:$D$147,((($A$46:$A$147=TRUE)+($A$46:$A$147=""☑"")+($A$46:$A$147=""✓"")+($A$46:$A$147=""✔""))&gt;0)*($B$46:$B$147=$A$29)*($C$46:$C$147=I$4)),ROWS(I$29:I32)),"""")"),"")</f>
        <v/>
      </c>
      <c r="J32" s="153" t="str">
        <f>IFERROR(__xludf.DUMMYFUNCTION("IFERROR(INDEX(FILTER($D$46:$D$147,((($A$46:$A$147=TRUE)+($A$46:$A$147=""☑"")+($A$46:$A$147=""✓"")+($A$46:$A$147=""✔""))&gt;0)*($B$46:$B$147=$A$29)*($C$46:$C$147=J$4)),ROWS(J$29:J32)),"""")"),"")</f>
        <v/>
      </c>
      <c r="K32" s="153" t="str">
        <f>IFERROR(__xludf.DUMMYFUNCTION("IFERROR(INDEX(FILTER($D$46:$D$147,((($A$46:$A$147=TRUE)+($A$46:$A$147=""☑"")+($A$46:$A$147=""✓"")+($A$46:$A$147=""✔""))&gt;0)*($B$46:$B$147=$A$29)*($C$46:$C$147=K$4)),ROWS(K$29:K32)),"""")"),"")</f>
        <v/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4.0" customHeight="1">
      <c r="A33" s="116"/>
      <c r="B33" s="153" t="str">
        <f>IFERROR(__xludf.DUMMYFUNCTION("IFERROR(INDEX(FILTER($D$46:$D$147,((($A$46:$A$147=TRUE)+($A$46:$A$147=""☑"")+($A$46:$A$147=""✓"")+($A$46:$A$147=""✔""))&gt;0)*($B$46:$B$147=$A$29)*($C$46:$C$147=B$4)),ROWS(B$29:B33)),"""")"),"")</f>
        <v/>
      </c>
      <c r="C33" s="153" t="str">
        <f>IFERROR(__xludf.DUMMYFUNCTION("IFERROR(INDEX(FILTER($D$46:$D$147,((($A$46:$A$147=TRUE)+($A$46:$A$147=""☑"")+($A$46:$A$147=""✓"")+($A$46:$A$147=""✔""))&gt;0)*($B$46:$B$147=$A$29)*($C$46:$C$147=C$4)),ROWS(C$29:C33)),"""")"),"")</f>
        <v/>
      </c>
      <c r="D33" s="153" t="str">
        <f>IFERROR(__xludf.DUMMYFUNCTION("IFERROR(INDEX(FILTER($D$46:$D$147,((($A$46:$A$147=TRUE)+($A$46:$A$147=""☑"")+($A$46:$A$147=""✓"")+($A$46:$A$147=""✔""))&gt;0)*($B$46:$B$147=$A$29)*($C$46:$C$147=D$4)),ROWS(D$29:D33)),"""")"),"")</f>
        <v/>
      </c>
      <c r="E33" s="153" t="str">
        <f>IFERROR(__xludf.DUMMYFUNCTION("IFERROR(INDEX(FILTER($D$46:$D$147,((($A$46:$A$147=TRUE)+($A$46:$A$147=""☑"")+($A$46:$A$147=""✓"")+($A$46:$A$147=""✔""))&gt;0)*($B$46:$B$147=$A$29)*($C$46:$C$147=E$4)),ROWS(E$29:E33)),"""")"),"")</f>
        <v/>
      </c>
      <c r="F33" s="153" t="str">
        <f>IFERROR(__xludf.DUMMYFUNCTION("IFERROR(INDEX(FILTER($D$46:$D$147,((($A$46:$A$147=TRUE)+($A$46:$A$147=""☑"")+($A$46:$A$147=""✓"")+($A$46:$A$147=""✔""))&gt;0)*($B$46:$B$147=$A$29)*($C$46:$C$147=F$4)),ROWS(F$29:F33)),"""")"),"")</f>
        <v/>
      </c>
      <c r="G33" s="153" t="str">
        <f>IFERROR(__xludf.DUMMYFUNCTION("IFERROR(INDEX(FILTER($D$46:$D$147,((($A$46:$A$147=TRUE)+($A$46:$A$147=""☑"")+($A$46:$A$147=""✓"")+($A$46:$A$147=""✔""))&gt;0)*($B$46:$B$147=$A$29)*($C$46:$C$147=G$4)),ROWS(G$29:G33)),"""")"),"")</f>
        <v/>
      </c>
      <c r="H33" s="153" t="str">
        <f>IFERROR(__xludf.DUMMYFUNCTION("IFERROR(INDEX(FILTER($D$46:$D$147,((($A$46:$A$147=TRUE)+($A$46:$A$147=""☑"")+($A$46:$A$147=""✓"")+($A$46:$A$147=""✔""))&gt;0)*($B$46:$B$147=$A$29)*($C$46:$C$147=H$4)),ROWS(H$29:H33)),"""")"),"")</f>
        <v/>
      </c>
      <c r="I33" s="153" t="str">
        <f>IFERROR(__xludf.DUMMYFUNCTION("IFERROR(INDEX(FILTER($D$46:$D$147,((($A$46:$A$147=TRUE)+($A$46:$A$147=""☑"")+($A$46:$A$147=""✓"")+($A$46:$A$147=""✔""))&gt;0)*($B$46:$B$147=$A$29)*($C$46:$C$147=I$4)),ROWS(I$29:I33)),"""")"),"")</f>
        <v/>
      </c>
      <c r="J33" s="153" t="str">
        <f>IFERROR(__xludf.DUMMYFUNCTION("IFERROR(INDEX(FILTER($D$46:$D$147,((($A$46:$A$147=TRUE)+($A$46:$A$147=""☑"")+($A$46:$A$147=""✓"")+($A$46:$A$147=""✔""))&gt;0)*($B$46:$B$147=$A$29)*($C$46:$C$147=J$4)),ROWS(J$29:J33)),"""")"),"")</f>
        <v/>
      </c>
      <c r="K33" s="153" t="str">
        <f>IFERROR(__xludf.DUMMYFUNCTION("IFERROR(INDEX(FILTER($D$46:$D$147,((($A$46:$A$147=TRUE)+($A$46:$A$147=""☑"")+($A$46:$A$147=""✓"")+($A$46:$A$147=""✔""))&gt;0)*($B$46:$B$147=$A$29)*($C$46:$C$147=K$4)),ROWS(K$29:K33)),"""")"),"")</f>
        <v/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4.0" customHeight="1">
      <c r="A34" s="128"/>
      <c r="B34" s="130"/>
      <c r="C34" s="131"/>
      <c r="D34" s="131"/>
      <c r="E34" s="131"/>
      <c r="F34" s="131"/>
      <c r="G34" s="131"/>
      <c r="H34" s="131"/>
      <c r="I34" s="131"/>
      <c r="J34" s="131"/>
      <c r="K34" s="134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4.0" customHeight="1">
      <c r="A35" s="193" t="s">
        <v>138</v>
      </c>
      <c r="B35" s="48" t="str">
        <f>IFERROR(__xludf.DUMMYFUNCTION("IFERROR(INDEX(FILTER($D$46:$D$147,((($A$46:$A$147=TRUE)+($A$46:$A$147=""☑"")+($A$46:$A$147=""✓"")+($A$46:$A$147=""✔""))&gt;0)*($B$46:$B$147=$A$35)*($C$46:$C$147=B$4)),ROWS(B$35:B35)),"""")"),"")</f>
        <v/>
      </c>
      <c r="C35" s="48" t="str">
        <f>IFERROR(__xludf.DUMMYFUNCTION("IFERROR(INDEX(FILTER($D$46:$D$147,((($A$46:$A$147=TRUE)+($A$46:$A$147=""☑"")+($A$46:$A$147=""✓"")+($A$46:$A$147=""✔""))&gt;0)*($B$46:$B$147=$A$35)*($C$46:$C$147=C$4)),ROWS(C$35:C35)),"""")"),"Composition / Rhetoric")</f>
        <v>Composition / Rhetoric</v>
      </c>
      <c r="D35" s="48" t="str">
        <f>IFERROR(__xludf.DUMMYFUNCTION("IFERROR(INDEX(FILTER($D$46:$D$147,((($A$46:$A$147=TRUE)+($A$46:$A$147=""☑"")+($A$46:$A$147=""✓"")+($A$46:$A$147=""✔""))&gt;0)*($B$46:$B$147=$A$35)*($C$46:$C$147=D$4)),ROWS(D$35:D35)),"""")"),"Literature")</f>
        <v>Literature</v>
      </c>
      <c r="E35" s="48" t="str">
        <f>IFERROR(__xludf.DUMMYFUNCTION("IFERROR(INDEX(FILTER($D$46:$D$147,((($A$46:$A$147=TRUE)+($A$46:$A$147=""☑"")+($A$46:$A$147=""✓"")+($A$46:$A$147=""✔""))&gt;0)*($B$46:$B$147=$A$35)*($C$46:$C$147=E$4)),ROWS(E$35:E35)),"""")"),"World / American History")</f>
        <v>World / American History</v>
      </c>
      <c r="F35" s="48" t="str">
        <f>IFERROR(__xludf.DUMMYFUNCTION("IFERROR(INDEX(FILTER($D$46:$D$147,((($A$46:$A$147=TRUE)+($A$46:$A$147=""☑"")+($A$46:$A$147=""✓"")+($A$46:$A$147=""✔""))&gt;0)*($B$46:$B$147=$A$35)*($C$46:$C$147=F$4)),ROWS(F$35:F35)),"""")"),"Geography / Economics")</f>
        <v>Geography / Economics</v>
      </c>
      <c r="G35" s="48" t="str">
        <f>IFERROR(__xludf.DUMMYFUNCTION("IFERROR(INDEX(FILTER($D$46:$D$147,((($A$46:$A$147=TRUE)+($A$46:$A$147=""☑"")+($A$46:$A$147=""✓"")+($A$46:$A$147=""✔""))&gt;0)*($B$46:$B$147=$A$35)*($C$46:$C$147=G$4)),ROWS(G$35:G35)),"""")"),"Government")</f>
        <v>Government</v>
      </c>
      <c r="H35" s="48" t="str">
        <f>IFERROR(__xludf.DUMMYFUNCTION("IFERROR(INDEX(FILTER($D$46:$D$147,((($A$46:$A$147=TRUE)+($A$46:$A$147=""☑"")+($A$46:$A$147=""✓"")+($A$46:$A$147=""✔""))&gt;0)*($B$46:$B$147=$A$35)*($C$46:$C$147=H$4)),ROWS(H$35:H35)),"""")"),"Science")</f>
        <v>Science</v>
      </c>
      <c r="I35" s="48" t="str">
        <f>IFERROR(__xludf.DUMMYFUNCTION("IFERROR(INDEX(FILTER($D$46:$D$147,((($A$46:$A$147=TRUE)+($A$46:$A$147=""☑"")+($A$46:$A$147=""✓"")+($A$46:$A$147=""✔""))&gt;0)*($B$46:$B$147=$A$35)*($C$46:$C$147=I$4)),ROWS(I$35:I35)),"""")"),"Advanced Math")</f>
        <v>Advanced Math</v>
      </c>
      <c r="J35" s="48" t="str">
        <f>IFERROR(__xludf.DUMMYFUNCTION("IFERROR(INDEX(FILTER($D$46:$D$147,((($A$46:$A$147=TRUE)+($A$46:$A$147=""☑"")+($A$46:$A$147=""✓"")+($A$46:$A$147=""✔""))&gt;0)*($B$46:$B$147=$A$35)*($C$46:$C$147=J$4)),ROWS(J$35:J35)),"""")"),"")</f>
        <v/>
      </c>
      <c r="K35" s="48" t="str">
        <f>IFERROR(__xludf.DUMMYFUNCTION("IFERROR(INDEX(FILTER($D$46:$D$147,((($A$46:$A$147=TRUE)+($A$46:$A$147=""☑"")+($A$46:$A$147=""✓"")+($A$46:$A$147=""✔""))&gt;0)*($B$46:$B$147=$A$35)*($C$46:$C$147=K$4)),ROWS(K$35:K35)),"""")"),"")</f>
        <v/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4.0" customHeight="1">
      <c r="A36" s="194"/>
      <c r="B36" s="195" t="str">
        <f>IFERROR(__xludf.DUMMYFUNCTION("IFERROR(INDEX(FILTER($D$46:$D$147,((($A$46:$A$147=TRUE)+($A$46:$A$147=""☑"")+($A$46:$A$147=""✓"")+($A$46:$A$147=""✔""))&gt;0)*($B$46:$B$147=$A$35)*($C$46:$C$147=B$4)),ROWS(B$35:B36)),"""")"),"")</f>
        <v/>
      </c>
      <c r="C36" s="195" t="str">
        <f>IFERROR(__xludf.DUMMYFUNCTION("IFERROR(INDEX(FILTER($D$46:$D$147,((($A$46:$A$147=TRUE)+($A$46:$A$147=""☑"")+($A$46:$A$147=""✓"")+($A$46:$A$147=""✔""))&gt;0)*($B$46:$B$147=$A$35)*($C$46:$C$147=C$4)),ROWS(C$35:C36)),"""")"),"")</f>
        <v/>
      </c>
      <c r="D36" s="195" t="str">
        <f>IFERROR(__xludf.DUMMYFUNCTION("IFERROR(INDEX(FILTER($D$46:$D$147,((($A$46:$A$147=TRUE)+($A$46:$A$147=""☑"")+($A$46:$A$147=""✓"")+($A$46:$A$147=""✔""))&gt;0)*($B$46:$B$147=$A$35)*($C$46:$C$147=D$4)),ROWS(D$35:D36)),"""")"),"")</f>
        <v/>
      </c>
      <c r="E36" s="195" t="str">
        <f>IFERROR(__xludf.DUMMYFUNCTION("IFERROR(INDEX(FILTER($D$46:$D$147,((($A$46:$A$147=TRUE)+($A$46:$A$147=""☑"")+($A$46:$A$147=""✓"")+($A$46:$A$147=""✔""))&gt;0)*($B$46:$B$147=$A$35)*($C$46:$C$147=E$4)),ROWS(E$35:E36)),"""")"),"Ancient / Government")</f>
        <v>Ancient / Government</v>
      </c>
      <c r="F36" s="195" t="str">
        <f>IFERROR(__xludf.DUMMYFUNCTION("IFERROR(INDEX(FILTER($D$46:$D$147,((($A$46:$A$147=TRUE)+($A$46:$A$147=""☑"")+($A$46:$A$147=""✓"")+($A$46:$A$147=""✔""))&gt;0)*($B$46:$B$147=$A$35)*($C$46:$C$147=F$4)),ROWS(F$35:F36)),"""")"),"")</f>
        <v/>
      </c>
      <c r="G36" s="195" t="str">
        <f>IFERROR(__xludf.DUMMYFUNCTION("IFERROR(INDEX(FILTER($D$46:$D$147,((($A$46:$A$147=TRUE)+($A$46:$A$147=""☑"")+($A$46:$A$147=""✓"")+($A$46:$A$147=""✔""))&gt;0)*($B$46:$B$147=$A$35)*($C$46:$C$147=G$4)),ROWS(G$35:G36)),"""")"),"Current Events")</f>
        <v>Current Events</v>
      </c>
      <c r="H36" s="195" t="str">
        <f>IFERROR(__xludf.DUMMYFUNCTION("IFERROR(INDEX(FILTER($D$46:$D$147,((($A$46:$A$147=TRUE)+($A$46:$A$147=""☑"")+($A$46:$A$147=""✓"")+($A$46:$A$147=""✔""))&gt;0)*($B$46:$B$147=$A$35)*($C$46:$C$147=H$4)),ROWS(H$35:H36)),"""")"),"")</f>
        <v/>
      </c>
      <c r="I36" s="195" t="str">
        <f>IFERROR(__xludf.DUMMYFUNCTION("IFERROR(INDEX(FILTER($D$46:$D$147,((($A$46:$A$147=TRUE)+($A$46:$A$147=""☑"")+($A$46:$A$147=""✓"")+($A$46:$A$147=""✔""))&gt;0)*($B$46:$B$147=$A$35)*($C$46:$C$147=I$4)),ROWS(I$35:I36)),"""")"),"")</f>
        <v/>
      </c>
      <c r="J36" s="195" t="str">
        <f>IFERROR(__xludf.DUMMYFUNCTION("IFERROR(INDEX(FILTER($D$46:$D$147,((($A$46:$A$147=TRUE)+($A$46:$A$147=""☑"")+($A$46:$A$147=""✓"")+($A$46:$A$147=""✔""))&gt;0)*($B$46:$B$147=$A$35)*($C$46:$C$147=J$4)),ROWS(J$35:J36)),"""")"),"")</f>
        <v/>
      </c>
      <c r="K36" s="195" t="str">
        <f>IFERROR(__xludf.DUMMYFUNCTION("IFERROR(INDEX(FILTER($D$46:$D$147,((($A$46:$A$147=TRUE)+($A$46:$A$147=""☑"")+($A$46:$A$147=""✓"")+($A$46:$A$147=""✔""))&gt;0)*($B$46:$B$147=$A$35)*($C$46:$C$147=K$4)),ROWS(K$35:K36)),"""")"),"")</f>
        <v/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4.0" customHeight="1">
      <c r="A37" s="194"/>
      <c r="B37" s="195" t="str">
        <f>IFERROR(__xludf.DUMMYFUNCTION("IFERROR(INDEX(FILTER($D$46:$D$147,((($A$46:$A$147=TRUE)+($A$46:$A$147=""☑"")+($A$46:$A$147=""✓"")+($A$46:$A$147=""✔""))&gt;0)*($B$46:$B$147=$A$35)*($C$46:$C$147=B$4)),ROWS(B$35:B37)),"""")"),"")</f>
        <v/>
      </c>
      <c r="C37" s="195" t="str">
        <f>IFERROR(__xludf.DUMMYFUNCTION("IFERROR(INDEX(FILTER($D$46:$D$147,((($A$46:$A$147=TRUE)+($A$46:$A$147=""☑"")+($A$46:$A$147=""✓"")+($A$46:$A$147=""✔""))&gt;0)*($B$46:$B$147=$A$35)*($C$46:$C$147=C$4)),ROWS(C$35:C37)),"""")"),"")</f>
        <v/>
      </c>
      <c r="D37" s="195" t="str">
        <f>IFERROR(__xludf.DUMMYFUNCTION("IFERROR(INDEX(FILTER($D$46:$D$147,((($A$46:$A$147=TRUE)+($A$46:$A$147=""☑"")+($A$46:$A$147=""✓"")+($A$46:$A$147=""✔""))&gt;0)*($B$46:$B$147=$A$35)*($C$46:$C$147=D$4)),ROWS(D$35:D37)),"""")"),"")</f>
        <v/>
      </c>
      <c r="E37" s="195" t="str">
        <f>IFERROR(__xludf.DUMMYFUNCTION("IFERROR(INDEX(FILTER($D$46:$D$147,((($A$46:$A$147=TRUE)+($A$46:$A$147=""☑"")+($A$46:$A$147=""✓"")+($A$46:$A$147=""✔""))&gt;0)*($B$46:$B$147=$A$35)*($C$46:$C$147=E$4)),ROWS(E$35:E37)),"""")"),"")</f>
        <v/>
      </c>
      <c r="F37" s="195" t="str">
        <f>IFERROR(__xludf.DUMMYFUNCTION("IFERROR(INDEX(FILTER($D$46:$D$147,((($A$46:$A$147=TRUE)+($A$46:$A$147=""☑"")+($A$46:$A$147=""✓"")+($A$46:$A$147=""✔""))&gt;0)*($B$46:$B$147=$A$35)*($C$46:$C$147=F$4)),ROWS(F$35:F37)),"""")"),"")</f>
        <v/>
      </c>
      <c r="G37" s="195" t="str">
        <f>IFERROR(__xludf.DUMMYFUNCTION("IFERROR(INDEX(FILTER($D$46:$D$147,((($A$46:$A$147=TRUE)+($A$46:$A$147=""☑"")+($A$46:$A$147=""✓"")+($A$46:$A$147=""✔""))&gt;0)*($B$46:$B$147=$A$35)*($C$46:$C$147=G$4)),ROWS(G$35:G37)),"""")"),"")</f>
        <v/>
      </c>
      <c r="H37" s="195" t="str">
        <f>IFERROR(__xludf.DUMMYFUNCTION("IFERROR(INDEX(FILTER($D$46:$D$147,((($A$46:$A$147=TRUE)+($A$46:$A$147=""☑"")+($A$46:$A$147=""✓"")+($A$46:$A$147=""✔""))&gt;0)*($B$46:$B$147=$A$35)*($C$46:$C$147=H$4)),ROWS(H$35:H37)),"""")"),"")</f>
        <v/>
      </c>
      <c r="I37" s="195" t="str">
        <f>IFERROR(__xludf.DUMMYFUNCTION("IFERROR(INDEX(FILTER($D$46:$D$147,((($A$46:$A$147=TRUE)+($A$46:$A$147=""☑"")+($A$46:$A$147=""✓"")+($A$46:$A$147=""✔""))&gt;0)*($B$46:$B$147=$A$35)*($C$46:$C$147=I$4)),ROWS(I$35:I37)),"""")"),"")</f>
        <v/>
      </c>
      <c r="J37" s="195" t="str">
        <f>IFERROR(__xludf.DUMMYFUNCTION("IFERROR(INDEX(FILTER($D$46:$D$147,((($A$46:$A$147=TRUE)+($A$46:$A$147=""☑"")+($A$46:$A$147=""✓"")+($A$46:$A$147=""✔""))&gt;0)*($B$46:$B$147=$A$35)*($C$46:$C$147=J$4)),ROWS(J$35:J37)),"""")"),"")</f>
        <v/>
      </c>
      <c r="K37" s="195" t="str">
        <f>IFERROR(__xludf.DUMMYFUNCTION("IFERROR(INDEX(FILTER($D$46:$D$147,((($A$46:$A$147=TRUE)+($A$46:$A$147=""☑"")+($A$46:$A$147=""✓"")+($A$46:$A$147=""✔""))&gt;0)*($B$46:$B$147=$A$35)*($C$46:$C$147=K$4)),ROWS(K$35:K37)),"""")"),"")</f>
        <v/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4.0" customHeight="1">
      <c r="A38" s="194"/>
      <c r="B38" s="195" t="str">
        <f>IFERROR(__xludf.DUMMYFUNCTION("IFERROR(INDEX(FILTER($D$46:$D$147,((($A$46:$A$147=TRUE)+($A$46:$A$147=""☑"")+($A$46:$A$147=""✓"")+($A$46:$A$147=""✔""))&gt;0)*($B$46:$B$147=$A$35)*($C$46:$C$147=B$4)),ROWS(B$35:B38)),"""")"),"")</f>
        <v/>
      </c>
      <c r="C38" s="195" t="str">
        <f>IFERROR(__xludf.DUMMYFUNCTION("IFERROR(INDEX(FILTER($D$46:$D$147,((($A$46:$A$147=TRUE)+($A$46:$A$147=""☑"")+($A$46:$A$147=""✓"")+($A$46:$A$147=""✔""))&gt;0)*($B$46:$B$147=$A$35)*($C$46:$C$147=C$4)),ROWS(C$35:C38)),"""")"),"")</f>
        <v/>
      </c>
      <c r="D38" s="195" t="str">
        <f>IFERROR(__xludf.DUMMYFUNCTION("IFERROR(INDEX(FILTER($D$46:$D$147,((($A$46:$A$147=TRUE)+($A$46:$A$147=""☑"")+($A$46:$A$147=""✓"")+($A$46:$A$147=""✔""))&gt;0)*($B$46:$B$147=$A$35)*($C$46:$C$147=D$4)),ROWS(D$35:D38)),"""")"),"")</f>
        <v/>
      </c>
      <c r="E38" s="195" t="str">
        <f>IFERROR(__xludf.DUMMYFUNCTION("IFERROR(INDEX(FILTER($D$46:$D$147,((($A$46:$A$147=TRUE)+($A$46:$A$147=""☑"")+($A$46:$A$147=""✓"")+($A$46:$A$147=""✔""))&gt;0)*($B$46:$B$147=$A$35)*($C$46:$C$147=E$4)),ROWS(E$35:E38)),"""")"),"")</f>
        <v/>
      </c>
      <c r="F38" s="195" t="str">
        <f>IFERROR(__xludf.DUMMYFUNCTION("IFERROR(INDEX(FILTER($D$46:$D$147,((($A$46:$A$147=TRUE)+($A$46:$A$147=""☑"")+($A$46:$A$147=""✓"")+($A$46:$A$147=""✔""))&gt;0)*($B$46:$B$147=$A$35)*($C$46:$C$147=F$4)),ROWS(F$35:F38)),"""")"),"")</f>
        <v/>
      </c>
      <c r="G38" s="195" t="str">
        <f>IFERROR(__xludf.DUMMYFUNCTION("IFERROR(INDEX(FILTER($D$46:$D$147,((($A$46:$A$147=TRUE)+($A$46:$A$147=""☑"")+($A$46:$A$147=""✓"")+($A$46:$A$147=""✔""))&gt;0)*($B$46:$B$147=$A$35)*($C$46:$C$147=G$4)),ROWS(G$35:G38)),"""")"),"")</f>
        <v/>
      </c>
      <c r="H38" s="195" t="str">
        <f>IFERROR(__xludf.DUMMYFUNCTION("IFERROR(INDEX(FILTER($D$46:$D$147,((($A$46:$A$147=TRUE)+($A$46:$A$147=""☑"")+($A$46:$A$147=""✓"")+($A$46:$A$147=""✔""))&gt;0)*($B$46:$B$147=$A$35)*($C$46:$C$147=H$4)),ROWS(H$35:H38)),"""")"),"")</f>
        <v/>
      </c>
      <c r="I38" s="195" t="str">
        <f>IFERROR(__xludf.DUMMYFUNCTION("IFERROR(INDEX(FILTER($D$46:$D$147,((($A$46:$A$147=TRUE)+($A$46:$A$147=""☑"")+($A$46:$A$147=""✓"")+($A$46:$A$147=""✔""))&gt;0)*($B$46:$B$147=$A$35)*($C$46:$C$147=I$4)),ROWS(I$35:I38)),"""")"),"")</f>
        <v/>
      </c>
      <c r="J38" s="195" t="str">
        <f>IFERROR(__xludf.DUMMYFUNCTION("IFERROR(INDEX(FILTER($D$46:$D$147,((($A$46:$A$147=TRUE)+($A$46:$A$147=""☑"")+($A$46:$A$147=""✓"")+($A$46:$A$147=""✔""))&gt;0)*($B$46:$B$147=$A$35)*($C$46:$C$147=J$4)),ROWS(J$35:J38)),"""")"),"")</f>
        <v/>
      </c>
      <c r="K38" s="195" t="str">
        <f>IFERROR(__xludf.DUMMYFUNCTION("IFERROR(INDEX(FILTER($D$46:$D$147,((($A$46:$A$147=TRUE)+($A$46:$A$147=""☑"")+($A$46:$A$147=""✓"")+($A$46:$A$147=""✔""))&gt;0)*($B$46:$B$147=$A$35)*($C$46:$C$147=K$4)),ROWS(K$35:K38)),"""")"),"")</f>
        <v/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4.0" customHeight="1">
      <c r="A39" s="196"/>
      <c r="B39" s="195" t="str">
        <f>IFERROR(__xludf.DUMMYFUNCTION("IFERROR(INDEX(FILTER($D$46:$D$147,((($A$46:$A$147=TRUE)+($A$46:$A$147=""☑"")+($A$46:$A$147=""✓"")+($A$46:$A$147=""✔""))&gt;0)*($B$46:$B$147=$A$35)*($C$46:$C$147=B$4)),ROWS(B$35:B39)),"""")"),"")</f>
        <v/>
      </c>
      <c r="C39" s="195" t="str">
        <f>IFERROR(__xludf.DUMMYFUNCTION("IFERROR(INDEX(FILTER($D$46:$D$147,((($A$46:$A$147=TRUE)+($A$46:$A$147=""☑"")+($A$46:$A$147=""✓"")+($A$46:$A$147=""✔""))&gt;0)*($B$46:$B$147=$A$35)*($C$46:$C$147=C$4)),ROWS(C$35:C39)),"""")"),"")</f>
        <v/>
      </c>
      <c r="D39" s="195" t="str">
        <f>IFERROR(__xludf.DUMMYFUNCTION("IFERROR(INDEX(FILTER($D$46:$D$147,((($A$46:$A$147=TRUE)+($A$46:$A$147=""☑"")+($A$46:$A$147=""✓"")+($A$46:$A$147=""✔""))&gt;0)*($B$46:$B$147=$A$35)*($C$46:$C$147=D$4)),ROWS(D$35:D39)),"""")"),"")</f>
        <v/>
      </c>
      <c r="E39" s="195" t="str">
        <f>IFERROR(__xludf.DUMMYFUNCTION("IFERROR(INDEX(FILTER($D$46:$D$147,((($A$46:$A$147=TRUE)+($A$46:$A$147=""☑"")+($A$46:$A$147=""✓"")+($A$46:$A$147=""✔""))&gt;0)*($B$46:$B$147=$A$35)*($C$46:$C$147=E$4)),ROWS(E$35:E39)),"""")"),"")</f>
        <v/>
      </c>
      <c r="F39" s="195" t="str">
        <f>IFERROR(__xludf.DUMMYFUNCTION("IFERROR(INDEX(FILTER($D$46:$D$147,((($A$46:$A$147=TRUE)+($A$46:$A$147=""☑"")+($A$46:$A$147=""✓"")+($A$46:$A$147=""✔""))&gt;0)*($B$46:$B$147=$A$35)*($C$46:$C$147=F$4)),ROWS(F$35:F39)),"""")"),"")</f>
        <v/>
      </c>
      <c r="G39" s="195" t="str">
        <f>IFERROR(__xludf.DUMMYFUNCTION("IFERROR(INDEX(FILTER($D$46:$D$147,((($A$46:$A$147=TRUE)+($A$46:$A$147=""☑"")+($A$46:$A$147=""✓"")+($A$46:$A$147=""✔""))&gt;0)*($B$46:$B$147=$A$35)*($C$46:$C$147=G$4)),ROWS(G$35:G39)),"""")"),"")</f>
        <v/>
      </c>
      <c r="H39" s="195" t="str">
        <f>IFERROR(__xludf.DUMMYFUNCTION("IFERROR(INDEX(FILTER($D$46:$D$147,((($A$46:$A$147=TRUE)+($A$46:$A$147=""☑"")+($A$46:$A$147=""✓"")+($A$46:$A$147=""✔""))&gt;0)*($B$46:$B$147=$A$35)*($C$46:$C$147=H$4)),ROWS(H$35:H39)),"""")"),"")</f>
        <v/>
      </c>
      <c r="I39" s="195" t="str">
        <f>IFERROR(__xludf.DUMMYFUNCTION("IFERROR(INDEX(FILTER($D$46:$D$147,((($A$46:$A$147=TRUE)+($A$46:$A$147=""☑"")+($A$46:$A$147=""✓"")+($A$46:$A$147=""✔""))&gt;0)*($B$46:$B$147=$A$35)*($C$46:$C$147=I$4)),ROWS(I$35:I39)),"""")"),"")</f>
        <v/>
      </c>
      <c r="J39" s="195" t="str">
        <f>IFERROR(__xludf.DUMMYFUNCTION("IFERROR(INDEX(FILTER($D$46:$D$147,((($A$46:$A$147=TRUE)+($A$46:$A$147=""☑"")+($A$46:$A$147=""✓"")+($A$46:$A$147=""✔""))&gt;0)*($B$46:$B$147=$A$35)*($C$46:$C$147=J$4)),ROWS(J$35:J39)),"""")"),"")</f>
        <v/>
      </c>
      <c r="K39" s="195" t="str">
        <f>IFERROR(__xludf.DUMMYFUNCTION("IFERROR(INDEX(FILTER($D$46:$D$147,((($A$46:$A$147=TRUE)+($A$46:$A$147=""☑"")+($A$46:$A$147=""✓"")+($A$46:$A$147=""✔""))&gt;0)*($B$46:$B$147=$A$35)*($C$46:$C$147=K$4)),ROWS(K$35:K39)),"""")"),"")</f>
        <v/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9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98" t="s">
        <v>191</v>
      </c>
      <c r="B42" s="199"/>
      <c r="C42" s="199"/>
      <c r="D42" s="199"/>
      <c r="E42" s="199"/>
      <c r="F42" s="199"/>
      <c r="G42" s="200"/>
      <c r="H42" s="200"/>
      <c r="I42" s="200"/>
      <c r="J42" s="200"/>
      <c r="K42" s="20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01" t="s">
        <v>192</v>
      </c>
      <c r="B43" s="202"/>
      <c r="C43" s="202"/>
      <c r="D43" s="202"/>
      <c r="E43" s="202"/>
      <c r="F43" s="202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03" t="s">
        <v>37</v>
      </c>
      <c r="B45" s="203" t="s">
        <v>12</v>
      </c>
      <c r="C45" s="203" t="s">
        <v>193</v>
      </c>
      <c r="D45" s="203" t="s">
        <v>194</v>
      </c>
      <c r="E45" s="203" t="s">
        <v>195</v>
      </c>
      <c r="F45" s="204" t="s">
        <v>74</v>
      </c>
      <c r="G45" s="205" t="s">
        <v>196</v>
      </c>
      <c r="H45" s="206" t="s">
        <v>197</v>
      </c>
      <c r="I45" s="207" t="s">
        <v>198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08" t="b">
        <v>1</v>
      </c>
      <c r="B46" s="209" t="s">
        <v>29</v>
      </c>
      <c r="C46" s="210" t="s">
        <v>14</v>
      </c>
      <c r="D46" s="210" t="s">
        <v>199</v>
      </c>
      <c r="E46" s="211"/>
      <c r="F46" s="217" t="str">
        <f t="array" ref="F4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Placement'!$B:$B,$G46)+COUNTIF('Resource Planner'!$D:$D,$G46),IF(NOT(OR($A46=TRUE,$A46="☑",$A46="✓",$A46="✔")),IF(refs&gt;0,"⚠ keeper is turned off",""),IF($B46="","⚠ choose form",IF($C46="","⚠ choose subject",IF($D46="","⚠ add strand name",IF(target=id,"⚠ cannot combine into itself",IF(AND($E46&lt;&gt;"",target=""),"⚠ choose an active keeper",IF(targetTarget&lt;&gt;"","⚠ keeper cannot combine again",IF(AND(target&lt;&gt;"",used&gt;0),"⚠ existing records use this strand",IF(AND(target="",COUNTIFS('Helper Data'!$AN$5:$AN$106,TRUE,'Helper Data'!$AM$5:$AM$106,$G46)&gt;1),"⚠ duplicate final strand",""))))))))))</f>
        <v/>
      </c>
      <c r="G46" s="220" t="str">
        <f t="shared" ref="G46:G147" si="1">IF(OR(B46="",C46="",D46=""),"",B46&amp;" / "&amp;C46&amp;" — "&amp;D46)</f>
        <v>All Together / Bible — New Testament</v>
      </c>
      <c r="H46" s="153"/>
      <c r="I46" s="221" t="s">
        <v>202</v>
      </c>
      <c r="J46" s="221" t="s">
        <v>197</v>
      </c>
      <c r="K46" s="221" t="s">
        <v>203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08" t="b">
        <v>1</v>
      </c>
      <c r="B47" s="210" t="s">
        <v>29</v>
      </c>
      <c r="C47" s="210" t="s">
        <v>14</v>
      </c>
      <c r="D47" s="210" t="s">
        <v>205</v>
      </c>
      <c r="E47" s="211"/>
      <c r="F47" s="217" t="str">
        <f t="array" ref="F4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Placement'!$B:$B,$G47)+COUNTIF('Resource Planner'!$D:$D,$G47),IF(NOT(OR($A47=TRUE,$A47="☑",$A47="✓",$A47="✔")),IF(refs&gt;0,"⚠ keeper is turned off",""),IF($B47="","⚠ choose form",IF($C47="","⚠ choose subject",IF($D47="","⚠ add strand name",IF(target=id,"⚠ cannot combine into itself",IF(AND($E47&lt;&gt;"",target=""),"⚠ choose an active keeper",IF(targetTarget&lt;&gt;"","⚠ keeper cannot combine again",IF(AND(target&lt;&gt;"",used&gt;0),"⚠ existing records use this strand",IF(AND(target="",COUNTIFS('Helper Data'!$AN$5:$AN$106,TRUE,'Helper Data'!$AM$5:$AM$106,$G47)&gt;1),"⚠ duplicate final strand",""))))))))))</f>
        <v/>
      </c>
      <c r="G47" s="220" t="str">
        <f t="shared" si="1"/>
        <v>All Together / Bible — Old Testament</v>
      </c>
      <c r="H47" s="153"/>
      <c r="I47" s="229" t="s">
        <v>170</v>
      </c>
      <c r="J47" s="229" t="s">
        <v>170</v>
      </c>
      <c r="K47" s="8" t="str">
        <f>IFERROR(__xludf.DUMMYFUNCTION("IFERROR(TEXTJOIN(CHAR(10),TRUE,FILTER('Helper Data'!$AM$5:$AM$106,('Helper Data'!$AN$5:$AN$106=TRUE)*('Helper Data'!$AR$5:$AR$106=$J47))),"""")"),"")</f>
        <v/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08" t="b">
        <v>1</v>
      </c>
      <c r="B48" s="210" t="s">
        <v>29</v>
      </c>
      <c r="C48" s="210" t="s">
        <v>14</v>
      </c>
      <c r="D48" s="210" t="s">
        <v>219</v>
      </c>
      <c r="E48" s="211"/>
      <c r="F48" s="217" t="str">
        <f t="array" ref="F4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Placement'!$B:$B,$G48)+COUNTIF('Resource Planner'!$D:$D,$G48),IF(NOT(OR($A48=TRUE,$A48="☑",$A48="✓",$A48="✔")),IF(refs&gt;0,"⚠ keeper is turned off",""),IF($B48="","⚠ choose form",IF($C48="","⚠ choose subject",IF($D48="","⚠ add strand name",IF(target=id,"⚠ cannot combine into itself",IF(AND($E48&lt;&gt;"",target=""),"⚠ choose an active keeper",IF(targetTarget&lt;&gt;"","⚠ keeper cannot combine again",IF(AND(target&lt;&gt;"",used&gt;0),"⚠ existing records use this strand",IF(AND(target="",COUNTIFS('Helper Data'!$AN$5:$AN$106,TRUE,'Helper Data'!$AM$5:$AM$106,$G48)&gt;1),"⚠ duplicate final strand",""))))))))))</f>
        <v/>
      </c>
      <c r="G48" s="220" t="str">
        <f t="shared" si="1"/>
        <v>All Together / Bible — Psalms / Proverbs</v>
      </c>
      <c r="H48" s="153"/>
      <c r="I48" s="229" t="s">
        <v>227</v>
      </c>
      <c r="J48" s="8" t="str">
        <f>IFERROR(__xludf.DUMMYFUNCTION("IFERROR(INDEX(FILTER(Setup!$S$17:$S$25,Setup!$S$17:$S$25&lt;&gt;""""),ROWS($J$48:J48)),"""")"),"Little Girls")</f>
        <v>Little Girls</v>
      </c>
      <c r="K48" s="8" t="str">
        <f>IFERROR(__xludf.DUMMYFUNCTION("IF($J48="""","""",IFERROR(TEXTJOIN(CHAR(10),TRUE,FILTER('Helper Data'!$AM$5:$AM$106,('Helper Data'!$AN$5:$AN$106=TRUE)*('Helper Data'!$AR$5:$AR$106=$J48))),""""))"),"")</f>
        <v/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08" t="b">
        <v>1</v>
      </c>
      <c r="B49" s="210" t="s">
        <v>29</v>
      </c>
      <c r="C49" s="210" t="s">
        <v>14</v>
      </c>
      <c r="D49" s="210" t="s">
        <v>230</v>
      </c>
      <c r="E49" s="211"/>
      <c r="F49" s="217" t="str">
        <f t="array" ref="F4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Placement'!$B:$B,$G49)+COUNTIF('Resource Planner'!$D:$D,$G49),IF(NOT(OR($A49=TRUE,$A49="☑",$A49="✓",$A49="✔")),IF(refs&gt;0,"⚠ keeper is turned off",""),IF($B49="","⚠ choose form",IF($C49="","⚠ choose subject",IF($D49="","⚠ add strand name",IF(target=id,"⚠ cannot combine into itself",IF(AND($E49&lt;&gt;"",target=""),"⚠ choose an active keeper",IF(targetTarget&lt;&gt;"","⚠ keeper cannot combine again",IF(AND(target&lt;&gt;"",used&gt;0),"⚠ existing records use this strand",IF(AND(target="",COUNTIFS('Helper Data'!$AN$5:$AN$106,TRUE,'Helper Data'!$AM$5:$AM$106,$G49)&gt;1),"⚠ duplicate final strand",""))))))))))</f>
        <v/>
      </c>
      <c r="G49" s="220" t="str">
        <f t="shared" si="1"/>
        <v>All Together / Bible — Scripture Memory</v>
      </c>
      <c r="H49" s="153"/>
      <c r="I49" s="229" t="s">
        <v>227</v>
      </c>
      <c r="J49" s="8" t="str">
        <f>IFERROR(__xludf.DUMMYFUNCTION("IFERROR(INDEX(FILTER(Setup!$S$17:$S$25,Setup!$S$17:$S$25&lt;&gt;""""),ROWS($J$48:J49)),"""")"),"All the Girls")</f>
        <v>All the Girls</v>
      </c>
      <c r="K49" s="8" t="str">
        <f>IFERROR(__xludf.DUMMYFUNCTION("IF($J49="""","""",IFERROR(TEXTJOIN(CHAR(10),TRUE,FILTER('Helper Data'!$AM$5:$AM$106,('Helper Data'!$AN$5:$AN$106=TRUE)*('Helper Data'!$AR$5:$AR$106=$J49))),""""))"),"")</f>
        <v/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08" t="b">
        <v>1</v>
      </c>
      <c r="B50" s="210" t="s">
        <v>29</v>
      </c>
      <c r="C50" s="210" t="s">
        <v>17</v>
      </c>
      <c r="D50" s="210" t="s">
        <v>235</v>
      </c>
      <c r="E50" s="211"/>
      <c r="F50" s="217" t="str">
        <f t="array" ref="F5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Placement'!$B:$B,$G50)+COUNTIF('Resource Planner'!$D:$D,$G50),IF(NOT(OR($A50=TRUE,$A50="☑",$A50="✓",$A50="✔")),IF(refs&gt;0,"⚠ keeper is turned off",""),IF($B50="","⚠ choose form",IF($C50="","⚠ choose subject",IF($D50="","⚠ add strand name",IF(target=id,"⚠ cannot combine into itself",IF(AND($E50&lt;&gt;"",target=""),"⚠ choose an active keeper",IF(targetTarget&lt;&gt;"","⚠ keeper cannot combine again",IF(AND(target&lt;&gt;"",used&gt;0),"⚠ existing records use this strand",IF(AND(target="",COUNTIFS('Helper Data'!$AN$5:$AN$106,TRUE,'Helper Data'!$AM$5:$AM$106,$G50)&gt;1),"⚠ duplicate final strand",""))))))))))</f>
        <v/>
      </c>
      <c r="G50" s="220" t="str">
        <f t="shared" si="1"/>
        <v>All Together / Literature — Family Read-Aloud</v>
      </c>
      <c r="H50" s="153"/>
      <c r="I50" s="229" t="s">
        <v>227</v>
      </c>
      <c r="J50" s="8" t="str">
        <f>IFERROR(__xludf.DUMMYFUNCTION("IFERROR(INDEX(FILTER(Setup!$S$17:$S$25,Setup!$S$17:$S$25&lt;&gt;""""),ROWS($J$48:J50)),"""")"),"Older Students")</f>
        <v>Older Students</v>
      </c>
      <c r="K50" s="8" t="str">
        <f>IFERROR(__xludf.DUMMYFUNCTION("IF($J50="""","""",IFERROR(TEXTJOIN(CHAR(10),TRUE,FILTER('Helper Data'!$AM$5:$AM$106,('Helper Data'!$AN$5:$AN$106=TRUE)*('Helper Data'!$AR$5:$AR$106=$J50))),""""))"),"")</f>
        <v/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08" t="b">
        <v>1</v>
      </c>
      <c r="B51" s="210" t="s">
        <v>189</v>
      </c>
      <c r="C51" s="210" t="s">
        <v>21</v>
      </c>
      <c r="D51" s="210" t="s">
        <v>243</v>
      </c>
      <c r="E51" s="209"/>
      <c r="F51" s="217" t="str">
        <f t="array" ref="F5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Placement'!$B:$B,$G51)+COUNTIF('Resource Planner'!$D:$D,$G51),IF(NOT(OR($A51=TRUE,$A51="☑",$A51="✓",$A51="✔")),IF(refs&gt;0,"⚠ keeper is turned off",""),IF($B51="","⚠ choose form",IF($C51="","⚠ choose subject",IF($D51="","⚠ add strand name",IF(target=id,"⚠ cannot combine into itself",IF(AND($E51&lt;&gt;"",target=""),"⚠ choose an active keeper",IF(targetTarget&lt;&gt;"","⚠ keeper cannot combine again",IF(AND(target&lt;&gt;"",used&gt;0),"⚠ existing records use this strand",IF(AND(target="",COUNTIFS('Helper Data'!$AN$5:$AN$106,TRUE,'Helper Data'!$AM$5:$AM$106,$G51)&gt;1),"⚠ duplicate final strand",""))))))))))</f>
        <v/>
      </c>
      <c r="G51" s="220" t="str">
        <f t="shared" si="1"/>
        <v>Family Choice / Science / Nature — Nature Walk</v>
      </c>
      <c r="H51" s="153"/>
      <c r="I51" s="229" t="s">
        <v>227</v>
      </c>
      <c r="J51" s="8" t="str">
        <f>IFERROR(__xludf.DUMMYFUNCTION("IFERROR(INDEX(FILTER(Setup!$S$17:$S$25,Setup!$S$17:$S$25&lt;&gt;""""),ROWS($J$48:J51)),"""")"),"")</f>
        <v/>
      </c>
      <c r="K51" s="8" t="str">
        <f>IFERROR(__xludf.DUMMYFUNCTION("IF($J51="""","""",IFERROR(TEXTJOIN(CHAR(10),TRUE,FILTER('Helper Data'!$AM$5:$AM$106,('Helper Data'!$AN$5:$AN$106=TRUE)*('Helper Data'!$AR$5:$AR$106=$J51))),""""))"),"")</f>
        <v/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208" t="b">
        <v>1</v>
      </c>
      <c r="B52" s="210" t="s">
        <v>29</v>
      </c>
      <c r="C52" s="210" t="s">
        <v>21</v>
      </c>
      <c r="D52" s="210" t="s">
        <v>247</v>
      </c>
      <c r="E52" s="211"/>
      <c r="F52" s="217" t="str">
        <f t="array" ref="F5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Placement'!$B:$B,$G52)+COUNTIF('Resource Planner'!$D:$D,$G52),IF(NOT(OR($A52=TRUE,$A52="☑",$A52="✓",$A52="✔")),IF(refs&gt;0,"⚠ keeper is turned off",""),IF($B52="","⚠ choose form",IF($C52="","⚠ choose subject",IF($D52="","⚠ add strand name",IF(target=id,"⚠ cannot combine into itself",IF(AND($E52&lt;&gt;"",target=""),"⚠ choose an active keeper",IF(targetTarget&lt;&gt;"","⚠ keeper cannot combine again",IF(AND(target&lt;&gt;"",used&gt;0),"⚠ existing records use this strand",IF(AND(target="",COUNTIFS('Helper Data'!$AN$5:$AN$106,TRUE,'Helper Data'!$AM$5:$AM$106,$G52)&gt;1),"⚠ duplicate final strand",""))))))))))</f>
        <v/>
      </c>
      <c r="G52" s="220" t="str">
        <f t="shared" si="1"/>
        <v>All Together / Science / Nature — Special Studies</v>
      </c>
      <c r="H52" s="153"/>
      <c r="I52" s="229" t="s">
        <v>227</v>
      </c>
      <c r="J52" s="8" t="str">
        <f>IFERROR(__xludf.DUMMYFUNCTION("IFERROR(INDEX(FILTER(Setup!$S$17:$S$25,Setup!$S$17:$S$25&lt;&gt;""""),ROWS($J$48:J52)),"""")"),"")</f>
        <v/>
      </c>
      <c r="K52" s="8" t="str">
        <f>IFERROR(__xludf.DUMMYFUNCTION("IF($J52="""","""",IFERROR(TEXTJOIN(CHAR(10),TRUE,FILTER('Helper Data'!$AM$5:$AM$106,('Helper Data'!$AN$5:$AN$106=TRUE)*('Helper Data'!$AR$5:$AR$106=$J52))),""""))"),"")</f>
        <v/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208" t="b">
        <v>1</v>
      </c>
      <c r="B53" s="210" t="s">
        <v>29</v>
      </c>
      <c r="C53" s="210" t="s">
        <v>24</v>
      </c>
      <c r="D53" s="210" t="s">
        <v>250</v>
      </c>
      <c r="E53" s="211"/>
      <c r="F53" s="217" t="str">
        <f t="array" ref="F5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Placement'!$B:$B,$G53)+COUNTIF('Resource Planner'!$D:$D,$G53),IF(NOT(OR($A53=TRUE,$A53="☑",$A53="✓",$A53="✔")),IF(refs&gt;0,"⚠ keeper is turned off",""),IF($B53="","⚠ choose form",IF($C53="","⚠ choose subject",IF($D53="","⚠ add strand name",IF(target=id,"⚠ cannot combine into itself",IF(AND($E53&lt;&gt;"",target=""),"⚠ choose an active keeper",IF(targetTarget&lt;&gt;"","⚠ keeper cannot combine again",IF(AND(target&lt;&gt;"",used&gt;0),"⚠ existing records use this strand",IF(AND(target="",COUNTIFS('Helper Data'!$AN$5:$AN$106,TRUE,'Helper Data'!$AM$5:$AM$106,$G53)&gt;1),"⚠ duplicate final strand",""))))))))))</f>
        <v/>
      </c>
      <c r="G53" s="220" t="str">
        <f t="shared" si="1"/>
        <v>All Together / Math — Family Math</v>
      </c>
      <c r="H53" s="153"/>
      <c r="I53" s="229" t="s">
        <v>227</v>
      </c>
      <c r="J53" s="8" t="str">
        <f>IFERROR(__xludf.DUMMYFUNCTION("IFERROR(INDEX(FILTER(Setup!$S$17:$S$25,Setup!$S$17:$S$25&lt;&gt;""""),ROWS($J$48:J53)),"""")"),"")</f>
        <v/>
      </c>
      <c r="K53" s="8" t="str">
        <f>IFERROR(__xludf.DUMMYFUNCTION("IF($J53="""","""",IFERROR(TEXTJOIN(CHAR(10),TRUE,FILTER('Helper Data'!$AM$5:$AM$106,('Helper Data'!$AN$5:$AN$106=TRUE)*('Helper Data'!$AR$5:$AR$106=$J53))),""""))"),"")</f>
        <v/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208" t="b">
        <v>1</v>
      </c>
      <c r="B54" s="210" t="s">
        <v>29</v>
      </c>
      <c r="C54" s="210" t="s">
        <v>25</v>
      </c>
      <c r="D54" s="210" t="s">
        <v>254</v>
      </c>
      <c r="E54" s="211"/>
      <c r="F54" s="217" t="str">
        <f t="array" ref="F5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Placement'!$B:$B,$G54)+COUNTIF('Resource Planner'!$D:$D,$G54),IF(NOT(OR($A54=TRUE,$A54="☑",$A54="✓",$A54="✔")),IF(refs&gt;0,"⚠ keeper is turned off",""),IF($B54="","⚠ choose form",IF($C54="","⚠ choose subject",IF($D54="","⚠ add strand name",IF(target=id,"⚠ cannot combine into itself",IF(AND($E54&lt;&gt;"",target=""),"⚠ choose an active keeper",IF(targetTarget&lt;&gt;"","⚠ keeper cannot combine again",IF(AND(target&lt;&gt;"",used&gt;0),"⚠ existing records use this strand",IF(AND(target="",COUNTIFS('Helper Data'!$AN$5:$AN$106,TRUE,'Helper Data'!$AM$5:$AM$106,$G54)&gt;1),"⚠ duplicate final strand",""))))))))))</f>
        <v/>
      </c>
      <c r="G54" s="220" t="str">
        <f t="shared" si="1"/>
        <v>All Together / Beauty + Hands — Hymn</v>
      </c>
      <c r="H54" s="153"/>
      <c r="I54" s="229" t="s">
        <v>227</v>
      </c>
      <c r="J54" s="8" t="str">
        <f>IFERROR(__xludf.DUMMYFUNCTION("IFERROR(INDEX(FILTER(Setup!$S$17:$S$25,Setup!$S$17:$S$25&lt;&gt;""""),ROWS($J$48:J54)),"""")"),"")</f>
        <v/>
      </c>
      <c r="K54" s="8" t="str">
        <f>IFERROR(__xludf.DUMMYFUNCTION("IF($J54="""","""",IFERROR(TEXTJOIN(CHAR(10),TRUE,FILTER('Helper Data'!$AM$5:$AM$106,('Helper Data'!$AN$5:$AN$106=TRUE)*('Helper Data'!$AR$5:$AR$106=$J54))),""""))"),"")</f>
        <v/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208" t="b">
        <v>1</v>
      </c>
      <c r="B55" s="210" t="s">
        <v>29</v>
      </c>
      <c r="C55" s="210" t="s">
        <v>25</v>
      </c>
      <c r="D55" s="210" t="s">
        <v>257</v>
      </c>
      <c r="E55" s="211"/>
      <c r="F55" s="217" t="str">
        <f t="array" ref="F5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Placement'!$B:$B,$G55)+COUNTIF('Resource Planner'!$D:$D,$G55),IF(NOT(OR($A55=TRUE,$A55="☑",$A55="✓",$A55="✔")),IF(refs&gt;0,"⚠ keeper is turned off",""),IF($B55="","⚠ choose form",IF($C55="","⚠ choose subject",IF($D55="","⚠ add strand name",IF(target=id,"⚠ cannot combine into itself",IF(AND($E55&lt;&gt;"",target=""),"⚠ choose an active keeper",IF(targetTarget&lt;&gt;"","⚠ keeper cannot combine again",IF(AND(target&lt;&gt;"",used&gt;0),"⚠ existing records use this strand",IF(AND(target="",COUNTIFS('Helper Data'!$AN$5:$AN$106,TRUE,'Helper Data'!$AM$5:$AM$106,$G55)&gt;1),"⚠ duplicate final strand",""))))))))))</f>
        <v/>
      </c>
      <c r="G55" s="220" t="str">
        <f t="shared" si="1"/>
        <v>All Together / Beauty + Hands — Folk Song</v>
      </c>
      <c r="H55" s="153"/>
      <c r="I55" s="229" t="s">
        <v>227</v>
      </c>
      <c r="J55" s="8" t="str">
        <f>IFERROR(__xludf.DUMMYFUNCTION("IFERROR(INDEX(FILTER(Setup!$S$17:$S$25,Setup!$S$17:$S$25&lt;&gt;""""),ROWS($J$48:J55)),"""")"),"")</f>
        <v/>
      </c>
      <c r="K55" s="8" t="str">
        <f>IFERROR(__xludf.DUMMYFUNCTION("IF($J55="""","""",IFERROR(TEXTJOIN(CHAR(10),TRUE,FILTER('Helper Data'!$AM$5:$AM$106,('Helper Data'!$AN$5:$AN$106=TRUE)*('Helper Data'!$AR$5:$AR$106=$J55))),""""))"),"")</f>
        <v/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208" t="b">
        <v>1</v>
      </c>
      <c r="B56" s="210" t="s">
        <v>29</v>
      </c>
      <c r="C56" s="210" t="s">
        <v>25</v>
      </c>
      <c r="D56" s="210" t="s">
        <v>260</v>
      </c>
      <c r="E56" s="211"/>
      <c r="F56" s="217" t="str">
        <f t="array" ref="F5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Placement'!$B:$B,$G56)+COUNTIF('Resource Planner'!$D:$D,$G56),IF(NOT(OR($A56=TRUE,$A56="☑",$A56="✓",$A56="✔")),IF(refs&gt;0,"⚠ keeper is turned off",""),IF($B56="","⚠ choose form",IF($C56="","⚠ choose subject",IF($D56="","⚠ add strand name",IF(target=id,"⚠ cannot combine into itself",IF(AND($E56&lt;&gt;"",target=""),"⚠ choose an active keeper",IF(targetTarget&lt;&gt;"","⚠ keeper cannot combine again",IF(AND(target&lt;&gt;"",used&gt;0),"⚠ existing records use this strand",IF(AND(target="",COUNTIFS('Helper Data'!$AN$5:$AN$106,TRUE,'Helper Data'!$AM$5:$AM$106,$G56)&gt;1),"⚠ duplicate final strand",""))))))))))</f>
        <v/>
      </c>
      <c r="G56" s="220" t="str">
        <f t="shared" si="1"/>
        <v>All Together / Beauty + Hands — Poetry</v>
      </c>
      <c r="H56" s="153"/>
      <c r="I56" s="229" t="s">
        <v>227</v>
      </c>
      <c r="J56" s="8" t="str">
        <f>IFERROR(__xludf.DUMMYFUNCTION("IFERROR(INDEX(FILTER(Setup!$S$17:$S$25,Setup!$S$17:$S$25&lt;&gt;""""),ROWS($J$48:J56)),"""")"),"")</f>
        <v/>
      </c>
      <c r="K56" s="8" t="str">
        <f>IFERROR(__xludf.DUMMYFUNCTION("IF($J56="""","""",IFERROR(TEXTJOIN(CHAR(10),TRUE,FILTER('Helper Data'!$AM$5:$AM$106,('Helper Data'!$AN$5:$AN$106=TRUE)*('Helper Data'!$AR$5:$AR$106=$J56))),""""))"),"")</f>
        <v/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208" t="b">
        <v>1</v>
      </c>
      <c r="B57" s="210" t="s">
        <v>29</v>
      </c>
      <c r="C57" s="210" t="s">
        <v>25</v>
      </c>
      <c r="D57" s="210" t="s">
        <v>261</v>
      </c>
      <c r="E57" s="211"/>
      <c r="F57" s="217" t="str">
        <f t="array" ref="F5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Placement'!$B:$B,$G57)+COUNTIF('Resource Planner'!$D:$D,$G57),IF(NOT(OR($A57=TRUE,$A57="☑",$A57="✓",$A57="✔")),IF(refs&gt;0,"⚠ keeper is turned off",""),IF($B57="","⚠ choose form",IF($C57="","⚠ choose subject",IF($D57="","⚠ add strand name",IF(target=id,"⚠ cannot combine into itself",IF(AND($E57&lt;&gt;"",target=""),"⚠ choose an active keeper",IF(targetTarget&lt;&gt;"","⚠ keeper cannot combine again",IF(AND(target&lt;&gt;"",used&gt;0),"⚠ existing records use this strand",IF(AND(target="",COUNTIFS('Helper Data'!$AN$5:$AN$106,TRUE,'Helper Data'!$AM$5:$AM$106,$G57)&gt;1),"⚠ duplicate final strand",""))))))))))</f>
        <v/>
      </c>
      <c r="G57" s="220" t="str">
        <f t="shared" si="1"/>
        <v>All Together / Beauty + Hands — Picture Study</v>
      </c>
      <c r="H57" s="153"/>
      <c r="I57" s="229" t="s">
        <v>111</v>
      </c>
      <c r="J57" s="8" t="str">
        <f>IFERROR(__xludf.DUMMYFUNCTION("IFERROR(INDEX(FILTER(Setup!$S$6:$S$13,Setup!$S$6:$S$13&lt;&gt;""""),ROWS($J$57:J57)),"""")"),"Lucy")</f>
        <v>Lucy</v>
      </c>
      <c r="K57" s="8" t="str">
        <f>IFERROR(__xludf.DUMMYFUNCTION("IF($J57="""","""",IFERROR(TEXTJOIN(CHAR(10),TRUE,FILTER('Helper Data'!$AM$5:$AM$106,('Helper Data'!$AN$5:$AN$106=TRUE)*('Helper Data'!$AR$5:$AR$106=$J57))),""""))"),"")</f>
        <v/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208" t="b">
        <v>1</v>
      </c>
      <c r="B58" s="210" t="s">
        <v>29</v>
      </c>
      <c r="C58" s="210" t="s">
        <v>25</v>
      </c>
      <c r="D58" s="210" t="s">
        <v>264</v>
      </c>
      <c r="E58" s="211"/>
      <c r="F58" s="217" t="str">
        <f t="array" ref="F5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Placement'!$B:$B,$G58)+COUNTIF('Resource Planner'!$D:$D,$G58),IF(NOT(OR($A58=TRUE,$A58="☑",$A58="✓",$A58="✔")),IF(refs&gt;0,"⚠ keeper is turned off",""),IF($B58="","⚠ choose form",IF($C58="","⚠ choose subject",IF($D58="","⚠ add strand name",IF(target=id,"⚠ cannot combine into itself",IF(AND($E58&lt;&gt;"",target=""),"⚠ choose an active keeper",IF(targetTarget&lt;&gt;"","⚠ keeper cannot combine again",IF(AND(target&lt;&gt;"",used&gt;0),"⚠ existing records use this strand",IF(AND(target="",COUNTIFS('Helper Data'!$AN$5:$AN$106,TRUE,'Helper Data'!$AM$5:$AM$106,$G58)&gt;1),"⚠ duplicate final strand",""))))))))))</f>
        <v/>
      </c>
      <c r="G58" s="220" t="str">
        <f t="shared" si="1"/>
        <v>All Together / Beauty + Hands — Composer Study</v>
      </c>
      <c r="H58" s="153"/>
      <c r="I58" s="229" t="s">
        <v>111</v>
      </c>
      <c r="J58" s="8" t="str">
        <f>IFERROR(__xludf.DUMMYFUNCTION("IFERROR(INDEX(FILTER(Setup!$S$6:$S$13,Setup!$S$6:$S$13&lt;&gt;""""),ROWS($J$57:J58)),"""")"),"Kayla")</f>
        <v>Kayla</v>
      </c>
      <c r="K58" s="8" t="str">
        <f>IFERROR(__xludf.DUMMYFUNCTION("IF($J58="""","""",IFERROR(TEXTJOIN(CHAR(10),TRUE,FILTER('Helper Data'!$AM$5:$AM$106,('Helper Data'!$AN$5:$AN$106=TRUE)*('Helper Data'!$AR$5:$AR$106=$J58))),""""))"),"")</f>
        <v/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208" t="b">
        <v>1</v>
      </c>
      <c r="B59" s="210" t="s">
        <v>29</v>
      </c>
      <c r="C59" s="210" t="s">
        <v>26</v>
      </c>
      <c r="D59" s="210" t="s">
        <v>265</v>
      </c>
      <c r="E59" s="211"/>
      <c r="F59" s="217" t="str">
        <f t="array" ref="F5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Placement'!$B:$B,$G59)+COUNTIF('Resource Planner'!$D:$D,$G59),IF(NOT(OR($A59=TRUE,$A59="☑",$A59="✓",$A59="✔")),IF(refs&gt;0,"⚠ keeper is turned off",""),IF($B59="","⚠ choose form",IF($C59="","⚠ choose subject",IF($D59="","⚠ add strand name",IF(target=id,"⚠ cannot combine into itself",IF(AND($E59&lt;&gt;"",target=""),"⚠ choose an active keeper",IF(targetTarget&lt;&gt;"","⚠ keeper cannot combine again",IF(AND(target&lt;&gt;"",used&gt;0),"⚠ existing records use this strand",IF(AND(target="",COUNTIFS('Helper Data'!$AN$5:$AN$106,TRUE,'Helper Data'!$AM$5:$AM$106,$G59)&gt;1),"⚠ duplicate final strand",""))))))))))</f>
        <v/>
      </c>
      <c r="G59" s="220" t="str">
        <f t="shared" si="1"/>
        <v>All Together / Foreign Language — Family Language Song</v>
      </c>
      <c r="H59" s="153"/>
      <c r="I59" s="229" t="s">
        <v>111</v>
      </c>
      <c r="J59" s="8" t="str">
        <f>IFERROR(__xludf.DUMMYFUNCTION("IFERROR(INDEX(FILTER(Setup!$S$6:$S$13,Setup!$S$6:$S$13&lt;&gt;""""),ROWS($J$57:J59)),"""")"),"Charis")</f>
        <v>Charis</v>
      </c>
      <c r="K59" s="8" t="str">
        <f>IFERROR(__xludf.DUMMYFUNCTION("IF($J59="""","""",IFERROR(TEXTJOIN(CHAR(10),TRUE,FILTER('Helper Data'!$AM$5:$AM$106,('Helper Data'!$AN$5:$AN$106=TRUE)*('Helper Data'!$AR$5:$AR$106=$J59))),""""))"),"")</f>
        <v/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208" t="b">
        <v>1</v>
      </c>
      <c r="B60" s="210" t="s">
        <v>118</v>
      </c>
      <c r="C60" s="210" t="s">
        <v>16</v>
      </c>
      <c r="D60" s="210" t="s">
        <v>267</v>
      </c>
      <c r="E60" s="211"/>
      <c r="F60" s="217" t="str">
        <f t="array" ref="F6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Placement'!$B:$B,$G60)+COUNTIF('Resource Planner'!$D:$D,$G60),IF(NOT(OR($A60=TRUE,$A60="☑",$A60="✓",$A60="✔")),IF(refs&gt;0,"⚠ keeper is turned off",""),IF($B60="","⚠ choose form",IF($C60="","⚠ choose subject",IF($D60="","⚠ add strand name",IF(target=id,"⚠ cannot combine into itself",IF(AND($E60&lt;&gt;"",target=""),"⚠ choose an active keeper",IF(targetTarget&lt;&gt;"","⚠ keeper cannot combine again",IF(AND(target&lt;&gt;"",used&gt;0),"⚠ existing records use this strand",IF(AND(target="",COUNTIFS('Helper Data'!$AN$5:$AN$106,TRUE,'Helper Data'!$AM$5:$AM$106,$G60)&gt;1),"⚠ duplicate final strand",""))))))))))</f>
        <v/>
      </c>
      <c r="G60" s="220" t="str">
        <f t="shared" si="1"/>
        <v>Form I / Language Arts — Reading Practice / Phonics</v>
      </c>
      <c r="H60" s="153"/>
      <c r="I60" s="229" t="s">
        <v>111</v>
      </c>
      <c r="J60" s="8" t="str">
        <f>IFERROR(__xludf.DUMMYFUNCTION("IFERROR(INDEX(FILTER(Setup!$S$6:$S$13,Setup!$S$6:$S$13&lt;&gt;""""),ROWS($J$57:J60)),"""")"),"Jeremiah")</f>
        <v>Jeremiah</v>
      </c>
      <c r="K60" s="8" t="str">
        <f>IFERROR(__xludf.DUMMYFUNCTION("IF($J60="""","""",IFERROR(TEXTJOIN(CHAR(10),TRUE,FILTER('Helper Data'!$AM$5:$AM$106,('Helper Data'!$AN$5:$AN$106=TRUE)*('Helper Data'!$AR$5:$AR$106=$J60))),""""))"),"")</f>
        <v/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208" t="b">
        <v>1</v>
      </c>
      <c r="B61" s="210" t="s">
        <v>118</v>
      </c>
      <c r="C61" s="210" t="s">
        <v>16</v>
      </c>
      <c r="D61" s="210" t="s">
        <v>269</v>
      </c>
      <c r="E61" s="211"/>
      <c r="F61" s="217" t="str">
        <f t="array" ref="F6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Placement'!$B:$B,$G61)+COUNTIF('Resource Planner'!$D:$D,$G61),IF(NOT(OR($A61=TRUE,$A61="☑",$A61="✓",$A61="✔")),IF(refs&gt;0,"⚠ keeper is turned off",""),IF($B61="","⚠ choose form",IF($C61="","⚠ choose subject",IF($D61="","⚠ add strand name",IF(target=id,"⚠ cannot combine into itself",IF(AND($E61&lt;&gt;"",target=""),"⚠ choose an active keeper",IF(targetTarget&lt;&gt;"","⚠ keeper cannot combine again",IF(AND(target&lt;&gt;"",used&gt;0),"⚠ existing records use this strand",IF(AND(target="",COUNTIFS('Helper Data'!$AN$5:$AN$106,TRUE,'Helper Data'!$AM$5:$AM$106,$G61)&gt;1),"⚠ duplicate final strand",""))))))))))</f>
        <v/>
      </c>
      <c r="G61" s="220" t="str">
        <f t="shared" si="1"/>
        <v>Form I / Language Arts — Copywork</v>
      </c>
      <c r="H61" s="153"/>
      <c r="I61" s="229" t="s">
        <v>111</v>
      </c>
      <c r="J61" s="8" t="str">
        <f>IFERROR(__xludf.DUMMYFUNCTION("IFERROR(INDEX(FILTER(Setup!$S$6:$S$13,Setup!$S$6:$S$13&lt;&gt;""""),ROWS($J$57:J61)),"""")"),"")</f>
        <v/>
      </c>
      <c r="K61" s="8" t="str">
        <f>IFERROR(__xludf.DUMMYFUNCTION("IF($J61="""","""",IFERROR(TEXTJOIN(CHAR(10),TRUE,FILTER('Helper Data'!$AM$5:$AM$106,('Helper Data'!$AN$5:$AN$106=TRUE)*('Helper Data'!$AR$5:$AR$106=$J61))),""""))"),"")</f>
        <v/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208" t="b">
        <v>1</v>
      </c>
      <c r="B62" s="210" t="s">
        <v>118</v>
      </c>
      <c r="C62" s="210" t="s">
        <v>16</v>
      </c>
      <c r="D62" s="210" t="s">
        <v>271</v>
      </c>
      <c r="E62" s="211"/>
      <c r="F62" s="217" t="str">
        <f t="array" ref="F6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Placement'!$B:$B,$G62)+COUNTIF('Resource Planner'!$D:$D,$G62),IF(NOT(OR($A62=TRUE,$A62="☑",$A62="✓",$A62="✔")),IF(refs&gt;0,"⚠ keeper is turned off",""),IF($B62="","⚠ choose form",IF($C62="","⚠ choose subject",IF($D62="","⚠ add strand name",IF(target=id,"⚠ cannot combine into itself",IF(AND($E62&lt;&gt;"",target=""),"⚠ choose an active keeper",IF(targetTarget&lt;&gt;"","⚠ keeper cannot combine again",IF(AND(target&lt;&gt;"",used&gt;0),"⚠ existing records use this strand",IF(AND(target="",COUNTIFS('Helper Data'!$AN$5:$AN$106,TRUE,'Helper Data'!$AM$5:$AM$106,$G62)&gt;1),"⚠ duplicate final strand",""))))))))))</f>
        <v/>
      </c>
      <c r="G62" s="220" t="str">
        <f t="shared" si="1"/>
        <v>Form I / Language Arts — Oral Narration</v>
      </c>
      <c r="H62" s="153"/>
      <c r="I62" s="229" t="s">
        <v>111</v>
      </c>
      <c r="J62" s="8" t="str">
        <f>IFERROR(__xludf.DUMMYFUNCTION("IFERROR(INDEX(FILTER(Setup!$S$6:$S$13,Setup!$S$6:$S$13&lt;&gt;""""),ROWS($J$57:J62)),"""")"),"")</f>
        <v/>
      </c>
      <c r="K62" s="8" t="str">
        <f>IFERROR(__xludf.DUMMYFUNCTION("IF($J62="""","""",IFERROR(TEXTJOIN(CHAR(10),TRUE,FILTER('Helper Data'!$AM$5:$AM$106,('Helper Data'!$AN$5:$AN$106=TRUE)*('Helper Data'!$AR$5:$AR$106=$J62))),""""))"),"")</f>
        <v/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208" t="b">
        <v>1</v>
      </c>
      <c r="B63" s="210" t="s">
        <v>29</v>
      </c>
      <c r="C63" s="210" t="s">
        <v>17</v>
      </c>
      <c r="D63" s="210" t="s">
        <v>276</v>
      </c>
      <c r="E63" s="211"/>
      <c r="F63" s="217" t="str">
        <f t="array" ref="F6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Placement'!$B:$B,$G63)+COUNTIF('Resource Planner'!$D:$D,$G63),IF(NOT(OR($A63=TRUE,$A63="☑",$A63="✓",$A63="✔")),IF(refs&gt;0,"⚠ keeper is turned off",""),IF($B63="","⚠ choose form",IF($C63="","⚠ choose subject",IF($D63="","⚠ add strand name",IF(target=id,"⚠ cannot combine into itself",IF(AND($E63&lt;&gt;"",target=""),"⚠ choose an active keeper",IF(targetTarget&lt;&gt;"","⚠ keeper cannot combine again",IF(AND(target&lt;&gt;"",used&gt;0),"⚠ existing records use this strand",IF(AND(target="",COUNTIFS('Helper Data'!$AN$5:$AN$106,TRUE,'Helper Data'!$AM$5:$AM$106,$G63)&gt;1),"⚠ duplicate final strand",""))))))))))</f>
        <v/>
      </c>
      <c r="G63" s="220" t="str">
        <f t="shared" si="1"/>
        <v>All Together / Literature — Tales / Fairy Tales / Myths</v>
      </c>
      <c r="H63" s="153"/>
      <c r="I63" s="229" t="s">
        <v>111</v>
      </c>
      <c r="J63" s="8" t="str">
        <f>IFERROR(__xludf.DUMMYFUNCTION("IFERROR(INDEX(FILTER(Setup!$S$6:$S$13,Setup!$S$6:$S$13&lt;&gt;""""),ROWS($J$57:J63)),"""")"),"")</f>
        <v/>
      </c>
      <c r="K63" s="8" t="str">
        <f>IFERROR(__xludf.DUMMYFUNCTION("IF($J63="""","""",IFERROR(TEXTJOIN(CHAR(10),TRUE,FILTER('Helper Data'!$AM$5:$AM$106,('Helper Data'!$AN$5:$AN$106=TRUE)*('Helper Data'!$AR$5:$AR$106=$J63))),""""))"),"")</f>
        <v/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208" t="b">
        <v>1</v>
      </c>
      <c r="B64" s="210" t="s">
        <v>118</v>
      </c>
      <c r="C64" s="210" t="s">
        <v>17</v>
      </c>
      <c r="D64" s="210" t="s">
        <v>278</v>
      </c>
      <c r="E64" s="211"/>
      <c r="F64" s="217" t="str">
        <f t="array" ref="F6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Placement'!$B:$B,$G64)+COUNTIF('Resource Planner'!$D:$D,$G64),IF(NOT(OR($A64=TRUE,$A64="☑",$A64="✓",$A64="✔")),IF(refs&gt;0,"⚠ keeper is turned off",""),IF($B64="","⚠ choose form",IF($C64="","⚠ choose subject",IF($D64="","⚠ add strand name",IF(target=id,"⚠ cannot combine into itself",IF(AND($E64&lt;&gt;"",target=""),"⚠ choose an active keeper",IF(targetTarget&lt;&gt;"","⚠ keeper cannot combine again",IF(AND(target&lt;&gt;"",used&gt;0),"⚠ existing records use this strand",IF(AND(target="",COUNTIFS('Helper Data'!$AN$5:$AN$106,TRUE,'Helper Data'!$AM$5:$AM$106,$G64)&gt;1),"⚠ duplicate final strand",""))))))))))</f>
        <v/>
      </c>
      <c r="G64" s="220" t="str">
        <f t="shared" si="1"/>
        <v>Form I / Literature — Reader / Phonics</v>
      </c>
      <c r="H64" s="153"/>
      <c r="I64" s="229" t="s">
        <v>111</v>
      </c>
      <c r="J64" s="8" t="str">
        <f>IFERROR(__xludf.DUMMYFUNCTION("IFERROR(INDEX(FILTER(Setup!$S$6:$S$13,Setup!$S$6:$S$13&lt;&gt;""""),ROWS($J$57:J64)),"""")"),"")</f>
        <v/>
      </c>
      <c r="K64" s="8" t="str">
        <f>IFERROR(__xludf.DUMMYFUNCTION("IF($J64="""","""",IFERROR(TEXTJOIN(CHAR(10),TRUE,FILTER('Helper Data'!$AM$5:$AM$106,('Helper Data'!$AN$5:$AN$106=TRUE)*('Helper Data'!$AR$5:$AR$106=$J64))),""""))"),"")</f>
        <v/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208" t="b">
        <v>1</v>
      </c>
      <c r="B65" s="210" t="s">
        <v>118</v>
      </c>
      <c r="C65" s="210" t="s">
        <v>18</v>
      </c>
      <c r="D65" s="210" t="s">
        <v>283</v>
      </c>
      <c r="E65" s="211"/>
      <c r="F65" s="217" t="str">
        <f t="array" ref="F6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Placement'!$B:$B,$G65)+COUNTIF('Resource Planner'!$D:$D,$G65),IF(NOT(OR($A65=TRUE,$A65="☑",$A65="✓",$A65="✔")),IF(refs&gt;0,"⚠ keeper is turned off",""),IF($B65="","⚠ choose form",IF($C65="","⚠ choose subject",IF($D65="","⚠ add strand name",IF(target=id,"⚠ cannot combine into itself",IF(AND($E65&lt;&gt;"",target=""),"⚠ choose an active keeper",IF(targetTarget&lt;&gt;"","⚠ keeper cannot combine again",IF(AND(target&lt;&gt;"",used&gt;0),"⚠ existing records use this strand",IF(AND(target="",COUNTIFS('Helper Data'!$AN$5:$AN$106,TRUE,'Helper Data'!$AM$5:$AM$106,$G65)&gt;1),"⚠ duplicate final strand",""))))))))))</f>
        <v/>
      </c>
      <c r="G65" s="220" t="str">
        <f t="shared" si="1"/>
        <v>Form I / History — Picture Books</v>
      </c>
      <c r="H65" s="153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208" t="b">
        <v>1</v>
      </c>
      <c r="B66" s="210" t="s">
        <v>118</v>
      </c>
      <c r="C66" s="210" t="s">
        <v>18</v>
      </c>
      <c r="D66" s="210" t="s">
        <v>284</v>
      </c>
      <c r="E66" s="211"/>
      <c r="F66" s="217" t="str">
        <f t="array" ref="F6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Placement'!$B:$B,$G66)+COUNTIF('Resource Planner'!$D:$D,$G66),IF(NOT(OR($A66=TRUE,$A66="☑",$A66="✓",$A66="✔")),IF(refs&gt;0,"⚠ keeper is turned off",""),IF($B66="","⚠ choose form",IF($C66="","⚠ choose subject",IF($D66="","⚠ add strand name",IF(target=id,"⚠ cannot combine into itself",IF(AND($E66&lt;&gt;"",target=""),"⚠ choose an active keeper",IF(targetTarget&lt;&gt;"","⚠ keeper cannot combine again",IF(AND(target&lt;&gt;"",used&gt;0),"⚠ existing records use this strand",IF(AND(target="",COUNTIFS('Helper Data'!$AN$5:$AN$106,TRUE,'Helper Data'!$AM$5:$AM$106,$G66)&gt;1),"⚠ duplicate final strand",""))))))))))</f>
        <v/>
      </c>
      <c r="G66" s="220" t="str">
        <f t="shared" si="1"/>
        <v>Form I / History — Early History Stories</v>
      </c>
      <c r="H66" s="153"/>
      <c r="I66" s="229" t="s">
        <v>289</v>
      </c>
      <c r="J66" s="229" t="s">
        <v>290</v>
      </c>
      <c r="K66" s="279" t="str">
        <f>IFERROR(__xludf.DUMMYFUNCTION("IFERROR(TEXTJOIN(CHAR(10),TRUE,FILTER('Helper Data'!$AT$5:$AT$106,'Helper Data'!$AT$5:$AT$106&lt;&gt;"""")),""↳ with [Final Strand Name] • [Who / Group]"")"),"↳ with [Final Strand Name] • [Who / Group]")</f>
        <v>↳ with [Final Strand Name] • [Who / Group]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208" t="b">
        <v>1</v>
      </c>
      <c r="B67" s="210" t="s">
        <v>118</v>
      </c>
      <c r="C67" s="210" t="s">
        <v>19</v>
      </c>
      <c r="D67" s="210" t="s">
        <v>291</v>
      </c>
      <c r="E67" s="211"/>
      <c r="F67" s="217" t="str">
        <f t="array" ref="F6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Placement'!$B:$B,$G67)+COUNTIF('Resource Planner'!$D:$D,$G67),IF(NOT(OR($A67=TRUE,$A67="☑",$A67="✓",$A67="✔")),IF(refs&gt;0,"⚠ keeper is turned off",""),IF($B67="","⚠ choose form",IF($C67="","⚠ choose subject",IF($D67="","⚠ add strand name",IF(target=id,"⚠ cannot combine into itself",IF(AND($E67&lt;&gt;"",target=""),"⚠ choose an active keeper",IF(targetTarget&lt;&gt;"","⚠ keeper cannot combine again",IF(AND(target&lt;&gt;"",used&gt;0),"⚠ existing records use this strand",IF(AND(target="",COUNTIFS('Helper Data'!$AN$5:$AN$106,TRUE,'Helper Data'!$AM$5:$AM$106,$G67)&gt;1),"⚠ duplicate final strand",""))))))))))</f>
        <v/>
      </c>
      <c r="G67" s="220" t="str">
        <f t="shared" si="1"/>
        <v>Form I / Geography — Map / Place Stories</v>
      </c>
      <c r="H67" s="153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208" t="b">
        <v>1</v>
      </c>
      <c r="B68" s="210" t="s">
        <v>189</v>
      </c>
      <c r="C68" s="210" t="s">
        <v>21</v>
      </c>
      <c r="D68" s="210" t="s">
        <v>292</v>
      </c>
      <c r="E68" s="209"/>
      <c r="F68" s="217" t="str">
        <f t="array" ref="F6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Placement'!$B:$B,$G68)+COUNTIF('Resource Planner'!$D:$D,$G68),IF(NOT(OR($A68=TRUE,$A68="☑",$A68="✓",$A68="✔")),IF(refs&gt;0,"⚠ keeper is turned off",""),IF($B68="","⚠ choose form",IF($C68="","⚠ choose subject",IF($D68="","⚠ add strand name",IF(target=id,"⚠ cannot combine into itself",IF(AND($E68&lt;&gt;"",target=""),"⚠ choose an active keeper",IF(targetTarget&lt;&gt;"","⚠ keeper cannot combine again",IF(AND(target&lt;&gt;"",used&gt;0),"⚠ existing records use this strand",IF(AND(target="",COUNTIFS('Helper Data'!$AN$5:$AN$106,TRUE,'Helper Data'!$AM$5:$AM$106,$G68)&gt;1),"⚠ duplicate final strand",""))))))))))</f>
        <v/>
      </c>
      <c r="G68" s="220" t="str">
        <f t="shared" si="1"/>
        <v>Family Choice / Science / Nature — Object Lessons / Natural History</v>
      </c>
      <c r="H68" s="15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208" t="b">
        <v>1</v>
      </c>
      <c r="B69" s="210" t="s">
        <v>118</v>
      </c>
      <c r="C69" s="210" t="s">
        <v>24</v>
      </c>
      <c r="D69" s="210" t="s">
        <v>24</v>
      </c>
      <c r="E69" s="211"/>
      <c r="F69" s="217" t="str">
        <f t="array" ref="F6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Placement'!$B:$B,$G69)+COUNTIF('Resource Planner'!$D:$D,$G69),IF(NOT(OR($A69=TRUE,$A69="☑",$A69="✓",$A69="✔")),IF(refs&gt;0,"⚠ keeper is turned off",""),IF($B69="","⚠ choose form",IF($C69="","⚠ choose subject",IF($D69="","⚠ add strand name",IF(target=id,"⚠ cannot combine into itself",IF(AND($E69&lt;&gt;"",target=""),"⚠ choose an active keeper",IF(targetTarget&lt;&gt;"","⚠ keeper cannot combine again",IF(AND(target&lt;&gt;"",used&gt;0),"⚠ existing records use this strand",IF(AND(target="",COUNTIFS('Helper Data'!$AN$5:$AN$106,TRUE,'Helper Data'!$AM$5:$AM$106,$G69)&gt;1),"⚠ duplicate final strand",""))))))))))</f>
        <v/>
      </c>
      <c r="G69" s="220" t="str">
        <f t="shared" si="1"/>
        <v>Form I / Math — Math</v>
      </c>
      <c r="H69" s="15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208" t="b">
        <v>1</v>
      </c>
      <c r="B70" s="210" t="s">
        <v>118</v>
      </c>
      <c r="C70" s="210" t="s">
        <v>25</v>
      </c>
      <c r="D70" s="210" t="s">
        <v>296</v>
      </c>
      <c r="E70" s="211"/>
      <c r="F70" s="217" t="str">
        <f t="array" ref="F7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Placement'!$B:$B,$G70)+COUNTIF('Resource Planner'!$D:$D,$G70),IF(NOT(OR($A70=TRUE,$A70="☑",$A70="✓",$A70="✔")),IF(refs&gt;0,"⚠ keeper is turned off",""),IF($B70="","⚠ choose form",IF($C70="","⚠ choose subject",IF($D70="","⚠ add strand name",IF(target=id,"⚠ cannot combine into itself",IF(AND($E70&lt;&gt;"",target=""),"⚠ choose an active keeper",IF(targetTarget&lt;&gt;"","⚠ keeper cannot combine again",IF(AND(target&lt;&gt;"",used&gt;0),"⚠ existing records use this strand",IF(AND(target="",COUNTIFS('Helper Data'!$AN$5:$AN$106,TRUE,'Helper Data'!$AM$5:$AM$106,$G70)&gt;1),"⚠ duplicate final strand",""))))))))))</f>
        <v/>
      </c>
      <c r="G70" s="220" t="str">
        <f t="shared" si="1"/>
        <v>Form I / Beauty + Hands — Drawing / Brush Drawing</v>
      </c>
      <c r="H70" s="153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208" t="b">
        <v>1</v>
      </c>
      <c r="B71" s="210" t="s">
        <v>118</v>
      </c>
      <c r="C71" s="210" t="s">
        <v>25</v>
      </c>
      <c r="D71" s="210" t="s">
        <v>297</v>
      </c>
      <c r="E71" s="211"/>
      <c r="F71" s="217" t="str">
        <f t="array" ref="F7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Placement'!$B:$B,$G71)+COUNTIF('Resource Planner'!$D:$D,$G71),IF(NOT(OR($A71=TRUE,$A71="☑",$A71="✓",$A71="✔")),IF(refs&gt;0,"⚠ keeper is turned off",""),IF($B71="","⚠ choose form",IF($C71="","⚠ choose subject",IF($D71="","⚠ add strand name",IF(target=id,"⚠ cannot combine into itself",IF(AND($E71&lt;&gt;"",target=""),"⚠ choose an active keeper",IF(targetTarget&lt;&gt;"","⚠ keeper cannot combine again",IF(AND(target&lt;&gt;"",used&gt;0),"⚠ existing records use this strand",IF(AND(target="",COUNTIFS('Helper Data'!$AN$5:$AN$106,TRUE,'Helper Data'!$AM$5:$AM$106,$G71)&gt;1),"⚠ duplicate final strand",""))))))))))</f>
        <v/>
      </c>
      <c r="G71" s="220" t="str">
        <f t="shared" si="1"/>
        <v>Form I / Beauty + Hands — Handicraft / Work</v>
      </c>
      <c r="H71" s="153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208" t="b">
        <v>1</v>
      </c>
      <c r="B72" s="210" t="s">
        <v>107</v>
      </c>
      <c r="C72" s="210" t="s">
        <v>16</v>
      </c>
      <c r="D72" s="210" t="s">
        <v>298</v>
      </c>
      <c r="E72" s="211"/>
      <c r="F72" s="217" t="str">
        <f t="array" ref="F7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Placement'!$B:$B,$G72)+COUNTIF('Resource Planner'!$D:$D,$G72),IF(NOT(OR($A72=TRUE,$A72="☑",$A72="✓",$A72="✔")),IF(refs&gt;0,"⚠ keeper is turned off",""),IF($B72="","⚠ choose form",IF($C72="","⚠ choose subject",IF($D72="","⚠ add strand name",IF(target=id,"⚠ cannot combine into itself",IF(AND($E72&lt;&gt;"",target=""),"⚠ choose an active keeper",IF(targetTarget&lt;&gt;"","⚠ keeper cannot combine again",IF(AND(target&lt;&gt;"",used&gt;0),"⚠ existing records use this strand",IF(AND(target="",COUNTIFS('Helper Data'!$AN$5:$AN$106,TRUE,'Helper Data'!$AM$5:$AM$106,$G72)&gt;1),"⚠ duplicate final strand",""))))))))))</f>
        <v/>
      </c>
      <c r="G72" s="220" t="str">
        <f t="shared" si="1"/>
        <v>Form II / Language Arts — Dictation</v>
      </c>
      <c r="H72" s="153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208" t="b">
        <v>1</v>
      </c>
      <c r="B73" s="210" t="s">
        <v>107</v>
      </c>
      <c r="C73" s="210" t="s">
        <v>16</v>
      </c>
      <c r="D73" s="210" t="s">
        <v>299</v>
      </c>
      <c r="E73" s="211"/>
      <c r="F73" s="217" t="str">
        <f t="array" ref="F7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Placement'!$B:$B,$G73)+COUNTIF('Resource Planner'!$D:$D,$G73),IF(NOT(OR($A73=TRUE,$A73="☑",$A73="✓",$A73="✔")),IF(refs&gt;0,"⚠ keeper is turned off",""),IF($B73="","⚠ choose form",IF($C73="","⚠ choose subject",IF($D73="","⚠ add strand name",IF(target=id,"⚠ cannot combine into itself",IF(AND($E73&lt;&gt;"",target=""),"⚠ choose an active keeper",IF(targetTarget&lt;&gt;"","⚠ keeper cannot combine again",IF(AND(target&lt;&gt;"",used&gt;0),"⚠ existing records use this strand",IF(AND(target="",COUNTIFS('Helper Data'!$AN$5:$AN$106,TRUE,'Helper Data'!$AM$5:$AM$106,$G73)&gt;1),"⚠ duplicate final strand",""))))))))))</f>
        <v/>
      </c>
      <c r="G73" s="220" t="str">
        <f t="shared" si="1"/>
        <v>Form II / Language Arts — Grammar</v>
      </c>
      <c r="H73" s="153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208" t="b">
        <v>1</v>
      </c>
      <c r="B74" s="210" t="s">
        <v>107</v>
      </c>
      <c r="C74" s="210" t="s">
        <v>16</v>
      </c>
      <c r="D74" s="210" t="s">
        <v>300</v>
      </c>
      <c r="E74" s="211"/>
      <c r="F74" s="217" t="str">
        <f t="array" ref="F7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Placement'!$B:$B,$G74)+COUNTIF('Resource Planner'!$D:$D,$G74),IF(NOT(OR($A74=TRUE,$A74="☑",$A74="✓",$A74="✔")),IF(refs&gt;0,"⚠ keeper is turned off",""),IF($B74="","⚠ choose form",IF($C74="","⚠ choose subject",IF($D74="","⚠ add strand name",IF(target=id,"⚠ cannot combine into itself",IF(AND($E74&lt;&gt;"",target=""),"⚠ choose an active keeper",IF(targetTarget&lt;&gt;"","⚠ keeper cannot combine again",IF(AND(target&lt;&gt;"",used&gt;0),"⚠ existing records use this strand",IF(AND(target="",COUNTIFS('Helper Data'!$AN$5:$AN$106,TRUE,'Helper Data'!$AM$5:$AM$106,$G74)&gt;1),"⚠ duplicate final strand",""))))))))))</f>
        <v/>
      </c>
      <c r="G74" s="220" t="str">
        <f t="shared" si="1"/>
        <v>Form II / Language Arts — Written Narration [IIA]</v>
      </c>
      <c r="H74" s="153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208" t="b">
        <v>1</v>
      </c>
      <c r="B75" s="210" t="s">
        <v>107</v>
      </c>
      <c r="C75" s="210" t="s">
        <v>17</v>
      </c>
      <c r="D75" s="210" t="s">
        <v>17</v>
      </c>
      <c r="E75" s="211"/>
      <c r="F75" s="217" t="str">
        <f t="array" ref="F7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Placement'!$B:$B,$G75)+COUNTIF('Resource Planner'!$D:$D,$G75),IF(NOT(OR($A75=TRUE,$A75="☑",$A75="✓",$A75="✔")),IF(refs&gt;0,"⚠ keeper is turned off",""),IF($B75="","⚠ choose form",IF($C75="","⚠ choose subject",IF($D75="","⚠ add strand name",IF(target=id,"⚠ cannot combine into itself",IF(AND($E75&lt;&gt;"",target=""),"⚠ choose an active keeper",IF(targetTarget&lt;&gt;"","⚠ keeper cannot combine again",IF(AND(target&lt;&gt;"",used&gt;0),"⚠ existing records use this strand",IF(AND(target="",COUNTIFS('Helper Data'!$AN$5:$AN$106,TRUE,'Helper Data'!$AM$5:$AM$106,$G75)&gt;1),"⚠ duplicate final strand",""))))))))))</f>
        <v/>
      </c>
      <c r="G75" s="220" t="str">
        <f t="shared" si="1"/>
        <v>Form II / Literature — Literature</v>
      </c>
      <c r="H75" s="153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208" t="b">
        <v>1</v>
      </c>
      <c r="B76" s="210" t="s">
        <v>107</v>
      </c>
      <c r="C76" s="210" t="s">
        <v>17</v>
      </c>
      <c r="D76" s="210" t="s">
        <v>301</v>
      </c>
      <c r="E76" s="211"/>
      <c r="F76" s="217" t="str">
        <f t="array" ref="F7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Placement'!$B:$B,$G76)+COUNTIF('Resource Planner'!$D:$D,$G76),IF(NOT(OR($A76=TRUE,$A76="☑",$A76="✓",$A76="✔")),IF(refs&gt;0,"⚠ keeper is turned off",""),IF($B76="","⚠ choose form",IF($C76="","⚠ choose subject",IF($D76="","⚠ add strand name",IF(target=id,"⚠ cannot combine into itself",IF(AND($E76&lt;&gt;"",target=""),"⚠ choose an active keeper",IF(targetTarget&lt;&gt;"","⚠ keeper cannot combine again",IF(AND(target&lt;&gt;"",used&gt;0),"⚠ existing records use this strand",IF(AND(target="",COUNTIFS('Helper Data'!$AN$5:$AN$106,TRUE,'Helper Data'!$AM$5:$AM$106,$G76)&gt;1),"⚠ duplicate final strand",""))))))))))</f>
        <v/>
      </c>
      <c r="G76" s="220" t="str">
        <f t="shared" si="1"/>
        <v>Form II / Literature — Shakespeare option</v>
      </c>
      <c r="H76" s="153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208" t="b">
        <v>1</v>
      </c>
      <c r="B77" s="210" t="s">
        <v>107</v>
      </c>
      <c r="C77" s="210" t="s">
        <v>18</v>
      </c>
      <c r="D77" s="210" t="s">
        <v>302</v>
      </c>
      <c r="E77" s="211"/>
      <c r="F77" s="217" t="str">
        <f t="array" ref="F7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Placement'!$B:$B,$G77)+COUNTIF('Resource Planner'!$D:$D,$G77),IF(NOT(OR($A77=TRUE,$A77="☑",$A77="✓",$A77="✔")),IF(refs&gt;0,"⚠ keeper is turned off",""),IF($B77="","⚠ choose form",IF($C77="","⚠ choose subject",IF($D77="","⚠ add strand name",IF(target=id,"⚠ cannot combine into itself",IF(AND($E77&lt;&gt;"",target=""),"⚠ choose an active keeper",IF(targetTarget&lt;&gt;"","⚠ keeper cannot combine again",IF(AND(target&lt;&gt;"",used&gt;0),"⚠ existing records use this strand",IF(AND(target="",COUNTIFS('Helper Data'!$AN$5:$AN$106,TRUE,'Helper Data'!$AM$5:$AM$106,$G77)&gt;1),"⚠ duplicate final strand",""))))))))))</f>
        <v/>
      </c>
      <c r="G77" s="220" t="str">
        <f t="shared" si="1"/>
        <v>Form II / History — History Spine</v>
      </c>
      <c r="H77" s="153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208" t="b">
        <v>1</v>
      </c>
      <c r="B78" s="210" t="s">
        <v>107</v>
      </c>
      <c r="C78" s="210" t="s">
        <v>18</v>
      </c>
      <c r="D78" s="210" t="s">
        <v>303</v>
      </c>
      <c r="E78" s="211"/>
      <c r="F78" s="217" t="str">
        <f t="array" ref="F7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Placement'!$B:$B,$G78)+COUNTIF('Resource Planner'!$D:$D,$G78),IF(NOT(OR($A78=TRUE,$A78="☑",$A78="✓",$A78="✔")),IF(refs&gt;0,"⚠ keeper is turned off",""),IF($B78="","⚠ choose form",IF($C78="","⚠ choose subject",IF($D78="","⚠ add strand name",IF(target=id,"⚠ cannot combine into itself",IF(AND($E78&lt;&gt;"",target=""),"⚠ choose an active keeper",IF(targetTarget&lt;&gt;"","⚠ keeper cannot combine again",IF(AND(target&lt;&gt;"",used&gt;0),"⚠ existing records use this strand",IF(AND(target="",COUNTIFS('Helper Data'!$AN$5:$AN$106,TRUE,'Helper Data'!$AM$5:$AM$106,$G78)&gt;1),"⚠ duplicate final strand",""))))))))))</f>
        <v/>
      </c>
      <c r="G78" s="220" t="str">
        <f t="shared" si="1"/>
        <v>Form II / History — Biography</v>
      </c>
      <c r="H78" s="153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208" t="b">
        <v>1</v>
      </c>
      <c r="B79" s="210" t="s">
        <v>107</v>
      </c>
      <c r="C79" s="210" t="s">
        <v>18</v>
      </c>
      <c r="D79" s="210" t="s">
        <v>304</v>
      </c>
      <c r="E79" s="211"/>
      <c r="F79" s="217" t="str">
        <f t="array" ref="F7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Placement'!$B:$B,$G79)+COUNTIF('Resource Planner'!$D:$D,$G79),IF(NOT(OR($A79=TRUE,$A79="☑",$A79="✓",$A79="✔")),IF(refs&gt;0,"⚠ keeper is turned off",""),IF($B79="","⚠ choose form",IF($C79="","⚠ choose subject",IF($D79="","⚠ add strand name",IF(target=id,"⚠ cannot combine into itself",IF(AND($E79&lt;&gt;"",target=""),"⚠ choose an active keeper",IF(targetTarget&lt;&gt;"","⚠ keeper cannot combine again",IF(AND(target&lt;&gt;"",used&gt;0),"⚠ existing records use this strand",IF(AND(target="",COUNTIFS('Helper Data'!$AN$5:$AN$106,TRUE,'Helper Data'!$AM$5:$AM$106,$G79)&gt;1),"⚠ duplicate final strand",""))))))))))</f>
        <v/>
      </c>
      <c r="G79" s="220" t="str">
        <f t="shared" si="1"/>
        <v>Form II / History — Ancient History [IIA]</v>
      </c>
      <c r="H79" s="153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208" t="b">
        <v>1</v>
      </c>
      <c r="B80" s="210" t="s">
        <v>107</v>
      </c>
      <c r="C80" s="210" t="s">
        <v>19</v>
      </c>
      <c r="D80" s="210" t="s">
        <v>305</v>
      </c>
      <c r="E80" s="211"/>
      <c r="F80" s="217" t="str">
        <f t="array" ref="F8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Placement'!$B:$B,$G80)+COUNTIF('Resource Planner'!$D:$D,$G80),IF(NOT(OR($A80=TRUE,$A80="☑",$A80="✓",$A80="✔")),IF(refs&gt;0,"⚠ keeper is turned off",""),IF($B80="","⚠ choose form",IF($C80="","⚠ choose subject",IF($D80="","⚠ add strand name",IF(target=id,"⚠ cannot combine into itself",IF(AND($E80&lt;&gt;"",target=""),"⚠ choose an active keeper",IF(targetTarget&lt;&gt;"","⚠ keeper cannot combine again",IF(AND(target&lt;&gt;"",used&gt;0),"⚠ existing records use this strand",IF(AND(target="",COUNTIFS('Helper Data'!$AN$5:$AN$106,TRUE,'Helper Data'!$AM$5:$AM$106,$G80)&gt;1),"⚠ duplicate final strand",""))))))))))</f>
        <v/>
      </c>
      <c r="G80" s="220" t="str">
        <f t="shared" si="1"/>
        <v>Form II / Geography — Geography Reader</v>
      </c>
      <c r="H80" s="153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208" t="b">
        <v>1</v>
      </c>
      <c r="B81" s="210" t="s">
        <v>107</v>
      </c>
      <c r="C81" s="210" t="s">
        <v>19</v>
      </c>
      <c r="D81" s="210" t="s">
        <v>306</v>
      </c>
      <c r="E81" s="211"/>
      <c r="F81" s="217" t="str">
        <f t="array" ref="F8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Placement'!$B:$B,$G81)+COUNTIF('Resource Planner'!$D:$D,$G81),IF(NOT(OR($A81=TRUE,$A81="☑",$A81="✓",$A81="✔")),IF(refs&gt;0,"⚠ keeper is turned off",""),IF($B81="","⚠ choose form",IF($C81="","⚠ choose subject",IF($D81="","⚠ add strand name",IF(target=id,"⚠ cannot combine into itself",IF(AND($E81&lt;&gt;"",target=""),"⚠ choose an active keeper",IF(targetTarget&lt;&gt;"","⚠ keeper cannot combine again",IF(AND(target&lt;&gt;"",used&gt;0),"⚠ existing records use this strand",IF(AND(target="",COUNTIFS('Helper Data'!$AN$5:$AN$106,TRUE,'Helper Data'!$AM$5:$AM$106,$G81)&gt;1),"⚠ duplicate final strand",""))))))))))</f>
        <v/>
      </c>
      <c r="G81" s="220" t="str">
        <f t="shared" si="1"/>
        <v>Form II / Geography — Map Work</v>
      </c>
      <c r="H81" s="153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208" t="b">
        <v>1</v>
      </c>
      <c r="B82" s="210" t="s">
        <v>107</v>
      </c>
      <c r="C82" s="210" t="s">
        <v>20</v>
      </c>
      <c r="D82" s="210" t="s">
        <v>307</v>
      </c>
      <c r="E82" s="211"/>
      <c r="F82" s="217" t="str">
        <f t="array" ref="F8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Placement'!$B:$B,$G82)+COUNTIF('Resource Planner'!$D:$D,$G82),IF(NOT(OR($A82=TRUE,$A82="☑",$A82="✓",$A82="✔")),IF(refs&gt;0,"⚠ keeper is turned off",""),IF($B82="","⚠ choose form",IF($C82="","⚠ choose subject",IF($D82="","⚠ add strand name",IF(target=id,"⚠ cannot combine into itself",IF(AND($E82&lt;&gt;"",target=""),"⚠ choose an active keeper",IF(targetTarget&lt;&gt;"","⚠ keeper cannot combine again",IF(AND(target&lt;&gt;"",used&gt;0),"⚠ existing records use this strand",IF(AND(target="",COUNTIFS('Helper Data'!$AN$5:$AN$106,TRUE,'Helper Data'!$AM$5:$AM$106,$G82)&gt;1),"⚠ duplicate final strand",""))))))))))</f>
        <v/>
      </c>
      <c r="G82" s="220" t="str">
        <f t="shared" si="1"/>
        <v>Form II / Citizenship — Citizenship / Plutarch [IIA]</v>
      </c>
      <c r="H82" s="153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208" t="b">
        <v>1</v>
      </c>
      <c r="B83" s="210" t="s">
        <v>107</v>
      </c>
      <c r="C83" s="210" t="s">
        <v>21</v>
      </c>
      <c r="D83" s="210" t="s">
        <v>308</v>
      </c>
      <c r="E83" s="209"/>
      <c r="F83" s="217" t="str">
        <f t="array" ref="F8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Placement'!$B:$B,$G83)+COUNTIF('Resource Planner'!$D:$D,$G83),IF(NOT(OR($A83=TRUE,$A83="☑",$A83="✓",$A83="✔")),IF(refs&gt;0,"⚠ keeper is turned off",""),IF($B83="","⚠ choose form",IF($C83="","⚠ choose subject",IF($D83="","⚠ add strand name",IF(target=id,"⚠ cannot combine into itself",IF(AND($E83&lt;&gt;"",target=""),"⚠ choose an active keeper",IF(targetTarget&lt;&gt;"","⚠ keeper cannot combine again",IF(AND(target&lt;&gt;"",used&gt;0),"⚠ existing records use this strand",IF(AND(target="",COUNTIFS('Helper Data'!$AN$5:$AN$106,TRUE,'Helper Data'!$AM$5:$AM$106,$G83)&gt;1),"⚠ duplicate final strand",""))))))))))</f>
        <v/>
      </c>
      <c r="G83" s="220" t="str">
        <f t="shared" si="1"/>
        <v>Form II / Science / Nature — Natural History</v>
      </c>
      <c r="H83" s="153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208" t="b">
        <v>1</v>
      </c>
      <c r="B84" s="210" t="s">
        <v>107</v>
      </c>
      <c r="C84" s="210" t="s">
        <v>21</v>
      </c>
      <c r="D84" s="210" t="s">
        <v>309</v>
      </c>
      <c r="E84" s="211"/>
      <c r="F84" s="217" t="str">
        <f t="array" ref="F8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Placement'!$B:$B,$G84)+COUNTIF('Resource Planner'!$D:$D,$G84),IF(NOT(OR($A84=TRUE,$A84="☑",$A84="✓",$A84="✔")),IF(refs&gt;0,"⚠ keeper is turned off",""),IF($B84="","⚠ choose form",IF($C84="","⚠ choose subject",IF($D84="","⚠ add strand name",IF(target=id,"⚠ cannot combine into itself",IF(AND($E84&lt;&gt;"",target=""),"⚠ choose an active keeper",IF(targetTarget&lt;&gt;"","⚠ keeper cannot combine again",IF(AND(target&lt;&gt;"",used&gt;0),"⚠ existing records use this strand",IF(AND(target="",COUNTIFS('Helper Data'!$AN$5:$AN$106,TRUE,'Helper Data'!$AM$5:$AM$106,$G84)&gt;1),"⚠ duplicate final strand",""))))))))))</f>
        <v/>
      </c>
      <c r="G84" s="220" t="str">
        <f t="shared" si="1"/>
        <v>Form II / Science / Nature — Science</v>
      </c>
      <c r="H84" s="153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208" t="b">
        <v>1</v>
      </c>
      <c r="B85" s="210" t="s">
        <v>107</v>
      </c>
      <c r="C85" s="210" t="s">
        <v>24</v>
      </c>
      <c r="D85" s="210" t="s">
        <v>310</v>
      </c>
      <c r="E85" s="211"/>
      <c r="F85" s="217" t="str">
        <f t="array" ref="F8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Placement'!$B:$B,$G85)+COUNTIF('Resource Planner'!$D:$D,$G85),IF(NOT(OR($A85=TRUE,$A85="☑",$A85="✓",$A85="✔")),IF(refs&gt;0,"⚠ keeper is turned off",""),IF($B85="","⚠ choose form",IF($C85="","⚠ choose subject",IF($D85="","⚠ add strand name",IF(target=id,"⚠ cannot combine into itself",IF(AND($E85&lt;&gt;"",target=""),"⚠ choose an active keeper",IF(targetTarget&lt;&gt;"","⚠ keeper cannot combine again",IF(AND(target&lt;&gt;"",used&gt;0),"⚠ existing records use this strand",IF(AND(target="",COUNTIFS('Helper Data'!$AN$5:$AN$106,TRUE,'Helper Data'!$AM$5:$AM$106,$G85)&gt;1),"⚠ duplicate final strand",""))))))))))</f>
        <v/>
      </c>
      <c r="G85" s="220" t="str">
        <f t="shared" si="1"/>
        <v>Form II / Math — Arithmetic</v>
      </c>
      <c r="H85" s="153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208" t="b">
        <v>1</v>
      </c>
      <c r="B86" s="210" t="s">
        <v>107</v>
      </c>
      <c r="C86" s="210" t="s">
        <v>24</v>
      </c>
      <c r="D86" s="210" t="s">
        <v>311</v>
      </c>
      <c r="E86" s="211"/>
      <c r="F86" s="217" t="str">
        <f t="array" ref="F8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Placement'!$B:$B,$G86)+COUNTIF('Resource Planner'!$D:$D,$G86),IF(NOT(OR($A86=TRUE,$A86="☑",$A86="✓",$A86="✔")),IF(refs&gt;0,"⚠ keeper is turned off",""),IF($B86="","⚠ choose form",IF($C86="","⚠ choose subject",IF($D86="","⚠ add strand name",IF(target=id,"⚠ cannot combine into itself",IF(AND($E86&lt;&gt;"",target=""),"⚠ choose an active keeper",IF(targetTarget&lt;&gt;"","⚠ keeper cannot combine again",IF(AND(target&lt;&gt;"",used&gt;0),"⚠ existing records use this strand",IF(AND(target="",COUNTIFS('Helper Data'!$AN$5:$AN$106,TRUE,'Helper Data'!$AM$5:$AM$106,$G86)&gt;1),"⚠ duplicate final strand",""))))))))))</f>
        <v/>
      </c>
      <c r="G86" s="220" t="str">
        <f t="shared" si="1"/>
        <v>Form II / Math — Practical Geometry</v>
      </c>
      <c r="H86" s="153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208" t="b">
        <v>1</v>
      </c>
      <c r="B87" s="210" t="s">
        <v>107</v>
      </c>
      <c r="C87" s="210" t="s">
        <v>26</v>
      </c>
      <c r="D87" s="210" t="s">
        <v>312</v>
      </c>
      <c r="E87" s="211"/>
      <c r="F87" s="217" t="str">
        <f t="array" ref="F8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Placement'!$B:$B,$G87)+COUNTIF('Resource Planner'!$D:$D,$G87),IF(NOT(OR($A87=TRUE,$A87="☑",$A87="✓",$A87="✔")),IF(refs&gt;0,"⚠ keeper is turned off",""),IF($B87="","⚠ choose form",IF($C87="","⚠ choose subject",IF($D87="","⚠ add strand name",IF(target=id,"⚠ cannot combine into itself",IF(AND($E87&lt;&gt;"",target=""),"⚠ choose an active keeper",IF(targetTarget&lt;&gt;"","⚠ keeper cannot combine again",IF(AND(target&lt;&gt;"",used&gt;0),"⚠ existing records use this strand",IF(AND(target="",COUNTIFS('Helper Data'!$AN$5:$AN$106,TRUE,'Helper Data'!$AM$5:$AM$106,$G87)&gt;1),"⚠ duplicate final strand",""))))))))))</f>
        <v/>
      </c>
      <c r="G87" s="220" t="str">
        <f t="shared" si="1"/>
        <v>Form II / Foreign Language — Modern Language</v>
      </c>
      <c r="H87" s="153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208" t="b">
        <v>1</v>
      </c>
      <c r="B88" s="210" t="s">
        <v>107</v>
      </c>
      <c r="C88" s="210" t="s">
        <v>26</v>
      </c>
      <c r="D88" s="210" t="s">
        <v>313</v>
      </c>
      <c r="E88" s="211"/>
      <c r="F88" s="217" t="str">
        <f t="array" ref="F8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Placement'!$B:$B,$G88)+COUNTIF('Resource Planner'!$D:$D,$G88),IF(NOT(OR($A88=TRUE,$A88="☑",$A88="✓",$A88="✔")),IF(refs&gt;0,"⚠ keeper is turned off",""),IF($B88="","⚠ choose form",IF($C88="","⚠ choose subject",IF($D88="","⚠ add strand name",IF(target=id,"⚠ cannot combine into itself",IF(AND($E88&lt;&gt;"",target=""),"⚠ choose an active keeper",IF(targetTarget&lt;&gt;"","⚠ keeper cannot combine again",IF(AND(target&lt;&gt;"",used&gt;0),"⚠ existing records use this strand",IF(AND(target="",COUNTIFS('Helper Data'!$AN$5:$AN$106,TRUE,'Helper Data'!$AM$5:$AM$106,$G88)&gt;1),"⚠ duplicate final strand",""))))))))))</f>
        <v/>
      </c>
      <c r="G88" s="220" t="str">
        <f t="shared" si="1"/>
        <v>Form II / Foreign Language — Latin [IIA]</v>
      </c>
      <c r="H88" s="153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208" t="b">
        <v>1</v>
      </c>
      <c r="B89" s="210" t="s">
        <v>93</v>
      </c>
      <c r="C89" s="210" t="s">
        <v>16</v>
      </c>
      <c r="D89" s="210" t="s">
        <v>298</v>
      </c>
      <c r="E89" s="211"/>
      <c r="F89" s="217" t="str">
        <f t="array" ref="F8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Placement'!$B:$B,$G89)+COUNTIF('Resource Planner'!$D:$D,$G89),IF(NOT(OR($A89=TRUE,$A89="☑",$A89="✓",$A89="✔")),IF(refs&gt;0,"⚠ keeper is turned off",""),IF($B89="","⚠ choose form",IF($C89="","⚠ choose subject",IF($D89="","⚠ add strand name",IF(target=id,"⚠ cannot combine into itself",IF(AND($E89&lt;&gt;"",target=""),"⚠ choose an active keeper",IF(targetTarget&lt;&gt;"","⚠ keeper cannot combine again",IF(AND(target&lt;&gt;"",used&gt;0),"⚠ existing records use this strand",IF(AND(target="",COUNTIFS('Helper Data'!$AN$5:$AN$106,TRUE,'Helper Data'!$AM$5:$AM$106,$G89)&gt;1),"⚠ duplicate final strand",""))))))))))</f>
        <v/>
      </c>
      <c r="G89" s="220" t="str">
        <f t="shared" si="1"/>
        <v>Form III / Language Arts — Dictation</v>
      </c>
      <c r="H89" s="153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208" t="b">
        <v>1</v>
      </c>
      <c r="B90" s="210" t="s">
        <v>93</v>
      </c>
      <c r="C90" s="210" t="s">
        <v>16</v>
      </c>
      <c r="D90" s="210" t="s">
        <v>322</v>
      </c>
      <c r="E90" s="211"/>
      <c r="F90" s="217" t="str">
        <f t="array" ref="F9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Placement'!$B:$B,$G90)+COUNTIF('Resource Planner'!$D:$D,$G90),IF(NOT(OR($A90=TRUE,$A90="☑",$A90="✓",$A90="✔")),IF(refs&gt;0,"⚠ keeper is turned off",""),IF($B90="","⚠ choose form",IF($C90="","⚠ choose subject",IF($D90="","⚠ add strand name",IF(target=id,"⚠ cannot combine into itself",IF(AND($E90&lt;&gt;"",target=""),"⚠ choose an active keeper",IF(targetTarget&lt;&gt;"","⚠ keeper cannot combine again",IF(AND(target&lt;&gt;"",used&gt;0),"⚠ existing records use this strand",IF(AND(target="",COUNTIFS('Helper Data'!$AN$5:$AN$106,TRUE,'Helper Data'!$AM$5:$AM$106,$G90)&gt;1),"⚠ duplicate final strand",""))))))))))</f>
        <v/>
      </c>
      <c r="G90" s="220" t="str">
        <f t="shared" si="1"/>
        <v>Form III / Language Arts — Grammar / Analysis</v>
      </c>
      <c r="H90" s="153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208" t="b">
        <v>1</v>
      </c>
      <c r="B91" s="210" t="s">
        <v>93</v>
      </c>
      <c r="C91" s="210" t="s">
        <v>16</v>
      </c>
      <c r="D91" s="210" t="s">
        <v>332</v>
      </c>
      <c r="E91" s="211"/>
      <c r="F91" s="217" t="str">
        <f t="array" ref="F9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Placement'!$B:$B,$G91)+COUNTIF('Resource Planner'!$D:$D,$G91),IF(NOT(OR($A91=TRUE,$A91="☑",$A91="✓",$A91="✔")),IF(refs&gt;0,"⚠ keeper is turned off",""),IF($B91="","⚠ choose form",IF($C91="","⚠ choose subject",IF($D91="","⚠ add strand name",IF(target=id,"⚠ cannot combine into itself",IF(AND($E91&lt;&gt;"",target=""),"⚠ choose an active keeper",IF(targetTarget&lt;&gt;"","⚠ keeper cannot combine again",IF(AND(target&lt;&gt;"",used&gt;0),"⚠ existing records use this strand",IF(AND(target="",COUNTIFS('Helper Data'!$AN$5:$AN$106,TRUE,'Helper Data'!$AM$5:$AM$106,$G91)&gt;1),"⚠ duplicate final strand",""))))))))))</f>
        <v/>
      </c>
      <c r="G91" s="220" t="str">
        <f t="shared" si="1"/>
        <v>Form III / Language Arts — Composition</v>
      </c>
      <c r="H91" s="153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208" t="b">
        <v>1</v>
      </c>
      <c r="B92" s="210" t="s">
        <v>93</v>
      </c>
      <c r="C92" s="210" t="s">
        <v>17</v>
      </c>
      <c r="D92" s="210" t="s">
        <v>17</v>
      </c>
      <c r="E92" s="211"/>
      <c r="F92" s="217" t="str">
        <f t="array" ref="F9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Placement'!$B:$B,$G92)+COUNTIF('Resource Planner'!$D:$D,$G92),IF(NOT(OR($A92=TRUE,$A92="☑",$A92="✓",$A92="✔")),IF(refs&gt;0,"⚠ keeper is turned off",""),IF($B92="","⚠ choose form",IF($C92="","⚠ choose subject",IF($D92="","⚠ add strand name",IF(target=id,"⚠ cannot combine into itself",IF(AND($E92&lt;&gt;"",target=""),"⚠ choose an active keeper",IF(targetTarget&lt;&gt;"","⚠ keeper cannot combine again",IF(AND(target&lt;&gt;"",used&gt;0),"⚠ existing records use this strand",IF(AND(target="",COUNTIFS('Helper Data'!$AN$5:$AN$106,TRUE,'Helper Data'!$AM$5:$AM$106,$G92)&gt;1),"⚠ duplicate final strand",""))))))))))</f>
        <v/>
      </c>
      <c r="G92" s="220" t="str">
        <f t="shared" si="1"/>
        <v>Form III / Literature — Literature</v>
      </c>
      <c r="H92" s="153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208" t="b">
        <v>1</v>
      </c>
      <c r="B93" s="210" t="s">
        <v>93</v>
      </c>
      <c r="C93" s="210" t="s">
        <v>18</v>
      </c>
      <c r="D93" s="210" t="s">
        <v>369</v>
      </c>
      <c r="E93" s="211"/>
      <c r="F93" s="217" t="str">
        <f t="array" ref="F9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Placement'!$B:$B,$G93)+COUNTIF('Resource Planner'!$D:$D,$G93),IF(NOT(OR($A93=TRUE,$A93="☑",$A93="✓",$A93="✔")),IF(refs&gt;0,"⚠ keeper is turned off",""),IF($B93="","⚠ choose form",IF($C93="","⚠ choose subject",IF($D93="","⚠ add strand name",IF(target=id,"⚠ cannot combine into itself",IF(AND($E93&lt;&gt;"",target=""),"⚠ choose an active keeper",IF(targetTarget&lt;&gt;"","⚠ keeper cannot combine again",IF(AND(target&lt;&gt;"",used&gt;0),"⚠ existing records use this strand",IF(AND(target="",COUNTIFS('Helper Data'!$AN$5:$AN$106,TRUE,'Helper Data'!$AM$5:$AM$106,$G93)&gt;1),"⚠ duplicate final strand",""))))))))))</f>
        <v/>
      </c>
      <c r="G93" s="220" t="str">
        <f t="shared" si="1"/>
        <v>Form III / History — World / American History</v>
      </c>
      <c r="H93" s="153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208" t="b">
        <v>1</v>
      </c>
      <c r="B94" s="210" t="s">
        <v>93</v>
      </c>
      <c r="C94" s="210" t="s">
        <v>18</v>
      </c>
      <c r="D94" s="210" t="s">
        <v>370</v>
      </c>
      <c r="E94" s="211"/>
      <c r="F94" s="217" t="str">
        <f t="array" ref="F9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Placement'!$B:$B,$G94)+COUNTIF('Resource Planner'!$D:$D,$G94),IF(NOT(OR($A94=TRUE,$A94="☑",$A94="✓",$A94="✔")),IF(refs&gt;0,"⚠ keeper is turned off",""),IF($B94="","⚠ choose form",IF($C94="","⚠ choose subject",IF($D94="","⚠ add strand name",IF(target=id,"⚠ cannot combine into itself",IF(AND($E94&lt;&gt;"",target=""),"⚠ choose an active keeper",IF(targetTarget&lt;&gt;"","⚠ keeper cannot combine again",IF(AND(target&lt;&gt;"",used&gt;0),"⚠ existing records use this strand",IF(AND(target="",COUNTIFS('Helper Data'!$AN$5:$AN$106,TRUE,'Helper Data'!$AM$5:$AM$106,$G94)&gt;1),"⚠ duplicate final strand",""))))))))))</f>
        <v/>
      </c>
      <c r="G94" s="220" t="str">
        <f t="shared" si="1"/>
        <v>Form III / History — Book of Centuries</v>
      </c>
      <c r="H94" s="153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208" t="b">
        <v>1</v>
      </c>
      <c r="B95" s="210" t="s">
        <v>93</v>
      </c>
      <c r="C95" s="210" t="s">
        <v>19</v>
      </c>
      <c r="D95" s="210" t="s">
        <v>372</v>
      </c>
      <c r="E95" s="211"/>
      <c r="F95" s="217" t="str">
        <f t="array" ref="F9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Placement'!$B:$B,$G95)+COUNTIF('Resource Planner'!$D:$D,$G95),IF(NOT(OR($A95=TRUE,$A95="☑",$A95="✓",$A95="✔")),IF(refs&gt;0,"⚠ keeper is turned off",""),IF($B95="","⚠ choose form",IF($C95="","⚠ choose subject",IF($D95="","⚠ add strand name",IF(target=id,"⚠ cannot combine into itself",IF(AND($E95&lt;&gt;"",target=""),"⚠ choose an active keeper",IF(targetTarget&lt;&gt;"","⚠ keeper cannot combine again",IF(AND(target&lt;&gt;"",used&gt;0),"⚠ existing records use this strand",IF(AND(target="",COUNTIFS('Helper Data'!$AN$5:$AN$106,TRUE,'Helper Data'!$AM$5:$AM$106,$G95)&gt;1),"⚠ duplicate final strand",""))))))))))</f>
        <v/>
      </c>
      <c r="G95" s="220" t="str">
        <f t="shared" si="1"/>
        <v>Form III / Geography — Geography / Map Drill</v>
      </c>
      <c r="H95" s="153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208" t="b">
        <v>1</v>
      </c>
      <c r="B96" s="210" t="s">
        <v>93</v>
      </c>
      <c r="C96" s="210" t="s">
        <v>20</v>
      </c>
      <c r="D96" s="210" t="s">
        <v>377</v>
      </c>
      <c r="E96" s="211"/>
      <c r="F96" s="217" t="str">
        <f t="array" ref="F9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Placement'!$B:$B,$G96)+COUNTIF('Resource Planner'!$D:$D,$G96),IF(NOT(OR($A96=TRUE,$A96="☑",$A96="✓",$A96="✔")),IF(refs&gt;0,"⚠ keeper is turned off",""),IF($B96="","⚠ choose form",IF($C96="","⚠ choose subject",IF($D96="","⚠ add strand name",IF(target=id,"⚠ cannot combine into itself",IF(AND($E96&lt;&gt;"",target=""),"⚠ choose an active keeper",IF(targetTarget&lt;&gt;"","⚠ keeper cannot combine again",IF(AND(target&lt;&gt;"",used&gt;0),"⚠ existing records use this strand",IF(AND(target="",COUNTIFS('Helper Data'!$AN$5:$AN$106,TRUE,'Helper Data'!$AM$5:$AM$106,$G96)&gt;1),"⚠ duplicate final strand",""))))))))))</f>
        <v/>
      </c>
      <c r="G96" s="220" t="str">
        <f t="shared" si="1"/>
        <v>Form III / Citizenship — Plutarch</v>
      </c>
      <c r="H96" s="153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208" t="b">
        <v>1</v>
      </c>
      <c r="B97" s="210" t="s">
        <v>93</v>
      </c>
      <c r="C97" s="210" t="s">
        <v>20</v>
      </c>
      <c r="D97" s="210" t="s">
        <v>381</v>
      </c>
      <c r="E97" s="211"/>
      <c r="F97" s="217" t="str">
        <f t="array" ref="F9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Placement'!$B:$B,$G97)+COUNTIF('Resource Planner'!$D:$D,$G97),IF(NOT(OR($A97=TRUE,$A97="☑",$A97="✓",$A97="✔")),IF(refs&gt;0,"⚠ keeper is turned off",""),IF($B97="","⚠ choose form",IF($C97="","⚠ choose subject",IF($D97="","⚠ add strand name",IF(target=id,"⚠ cannot combine into itself",IF(AND($E97&lt;&gt;"",target=""),"⚠ choose an active keeper",IF(targetTarget&lt;&gt;"","⚠ keeper cannot combine again",IF(AND(target&lt;&gt;"",used&gt;0),"⚠ existing records use this strand",IF(AND(target="",COUNTIFS('Helper Data'!$AN$5:$AN$106,TRUE,'Helper Data'!$AM$5:$AM$106,$G97)&gt;1),"⚠ duplicate final strand",""))))))))))</f>
        <v/>
      </c>
      <c r="G97" s="220" t="str">
        <f t="shared" si="1"/>
        <v>Form III / Citizenship — Current Events</v>
      </c>
      <c r="H97" s="153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208" t="b">
        <v>1</v>
      </c>
      <c r="B98" s="210" t="s">
        <v>93</v>
      </c>
      <c r="C98" s="210" t="s">
        <v>21</v>
      </c>
      <c r="D98" s="210" t="s">
        <v>309</v>
      </c>
      <c r="E98" s="211"/>
      <c r="F98" s="217" t="str">
        <f t="array" ref="F9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Placement'!$B:$B,$G98)+COUNTIF('Resource Planner'!$D:$D,$G98),IF(NOT(OR($A98=TRUE,$A98="☑",$A98="✓",$A98="✔")),IF(refs&gt;0,"⚠ keeper is turned off",""),IF($B98="","⚠ choose form",IF($C98="","⚠ choose subject",IF($D98="","⚠ add strand name",IF(target=id,"⚠ cannot combine into itself",IF(AND($E98&lt;&gt;"",target=""),"⚠ choose an active keeper",IF(targetTarget&lt;&gt;"","⚠ keeper cannot combine again",IF(AND(target&lt;&gt;"",used&gt;0),"⚠ existing records use this strand",IF(AND(target="",COUNTIFS('Helper Data'!$AN$5:$AN$106,TRUE,'Helper Data'!$AM$5:$AM$106,$G98)&gt;1),"⚠ duplicate final strand",""))))))))))</f>
        <v/>
      </c>
      <c r="G98" s="220" t="str">
        <f t="shared" si="1"/>
        <v>Form III / Science / Nature — Science</v>
      </c>
      <c r="H98" s="153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208" t="b">
        <v>1</v>
      </c>
      <c r="B99" s="210" t="s">
        <v>93</v>
      </c>
      <c r="C99" s="210" t="s">
        <v>21</v>
      </c>
      <c r="D99" s="210" t="s">
        <v>308</v>
      </c>
      <c r="E99" s="211"/>
      <c r="F99" s="217" t="str">
        <f t="array" ref="F9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Placement'!$B:$B,$G99)+COUNTIF('Resource Planner'!$D:$D,$G99),IF(NOT(OR($A99=TRUE,$A99="☑",$A99="✓",$A99="✔")),IF(refs&gt;0,"⚠ keeper is turned off",""),IF($B99="","⚠ choose form",IF($C99="","⚠ choose subject",IF($D99="","⚠ add strand name",IF(target=id,"⚠ cannot combine into itself",IF(AND($E99&lt;&gt;"",target=""),"⚠ choose an active keeper",IF(targetTarget&lt;&gt;"","⚠ keeper cannot combine again",IF(AND(target&lt;&gt;"",used&gt;0),"⚠ existing records use this strand",IF(AND(target="",COUNTIFS('Helper Data'!$AN$5:$AN$106,TRUE,'Helper Data'!$AM$5:$AM$106,$G99)&gt;1),"⚠ duplicate final strand",""))))))))))</f>
        <v/>
      </c>
      <c r="G99" s="220" t="str">
        <f t="shared" si="1"/>
        <v>Form III / Science / Nature — Natural History</v>
      </c>
      <c r="H99" s="153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208" t="b">
        <v>1</v>
      </c>
      <c r="B100" s="210" t="s">
        <v>93</v>
      </c>
      <c r="C100" s="210" t="s">
        <v>24</v>
      </c>
      <c r="D100" s="210" t="s">
        <v>394</v>
      </c>
      <c r="E100" s="211"/>
      <c r="F100" s="217" t="str">
        <f t="array" ref="F10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Placement'!$B:$B,$G100)+COUNTIF('Resource Planner'!$D:$D,$G100),IF(NOT(OR($A100=TRUE,$A100="☑",$A100="✓",$A100="✔")),IF(refs&gt;0,"⚠ keeper is turned off",""),IF($B100="","⚠ choose form",IF($C100="","⚠ choose subject",IF($D100="","⚠ add strand name",IF(target=id,"⚠ cannot combine into itself",IF(AND($E100&lt;&gt;"",target=""),"⚠ choose an active keeper",IF(targetTarget&lt;&gt;"","⚠ keeper cannot combine again",IF(AND(target&lt;&gt;"",used&gt;0),"⚠ existing records use this strand",IF(AND(target="",COUNTIFS('Helper Data'!$AN$5:$AN$106,TRUE,'Helper Data'!$AM$5:$AM$106,$G100)&gt;1),"⚠ duplicate final strand",""))))))))))</f>
        <v/>
      </c>
      <c r="G100" s="220" t="str">
        <f t="shared" si="1"/>
        <v>Form III / Math — Algebra / Geometry</v>
      </c>
      <c r="H100" s="153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208" t="b">
        <v>1</v>
      </c>
      <c r="B101" s="210" t="s">
        <v>93</v>
      </c>
      <c r="C101" s="210" t="s">
        <v>26</v>
      </c>
      <c r="D101" s="210" t="s">
        <v>312</v>
      </c>
      <c r="E101" s="211"/>
      <c r="F101" s="217" t="str">
        <f t="array" ref="F10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Placement'!$B:$B,$G101)+COUNTIF('Resource Planner'!$D:$D,$G101),IF(NOT(OR($A101=TRUE,$A101="☑",$A101="✓",$A101="✔")),IF(refs&gt;0,"⚠ keeper is turned off",""),IF($B101="","⚠ choose form",IF($C101="","⚠ choose subject",IF($D101="","⚠ add strand name",IF(target=id,"⚠ cannot combine into itself",IF(AND($E101&lt;&gt;"",target=""),"⚠ choose an active keeper",IF(targetTarget&lt;&gt;"","⚠ keeper cannot combine again",IF(AND(target&lt;&gt;"",used&gt;0),"⚠ existing records use this strand",IF(AND(target="",COUNTIFS('Helper Data'!$AN$5:$AN$106,TRUE,'Helper Data'!$AM$5:$AM$106,$G101)&gt;1),"⚠ duplicate final strand",""))))))))))</f>
        <v/>
      </c>
      <c r="G101" s="220" t="str">
        <f t="shared" si="1"/>
        <v>Form III / Foreign Language — Modern Language</v>
      </c>
      <c r="H101" s="153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208" t="b">
        <v>1</v>
      </c>
      <c r="B102" s="210" t="s">
        <v>93</v>
      </c>
      <c r="C102" s="210" t="s">
        <v>26</v>
      </c>
      <c r="D102" s="210" t="s">
        <v>396</v>
      </c>
      <c r="E102" s="211"/>
      <c r="F102" s="217" t="str">
        <f t="array" ref="F10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Placement'!$B:$B,$G102)+COUNTIF('Resource Planner'!$D:$D,$G102),IF(NOT(OR($A102=TRUE,$A102="☑",$A102="✓",$A102="✔")),IF(refs&gt;0,"⚠ keeper is turned off",""),IF($B102="","⚠ choose form",IF($C102="","⚠ choose subject",IF($D102="","⚠ add strand name",IF(target=id,"⚠ cannot combine into itself",IF(AND($E102&lt;&gt;"",target=""),"⚠ choose an active keeper",IF(targetTarget&lt;&gt;"","⚠ keeper cannot combine again",IF(AND(target&lt;&gt;"",used&gt;0),"⚠ existing records use this strand",IF(AND(target="",COUNTIFS('Helper Data'!$AN$5:$AN$106,TRUE,'Helper Data'!$AM$5:$AM$106,$G102)&gt;1),"⚠ duplicate final strand",""))))))))))</f>
        <v/>
      </c>
      <c r="G102" s="220" t="str">
        <f t="shared" si="1"/>
        <v>Form III / Foreign Language — Latin</v>
      </c>
      <c r="H102" s="153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208" t="b">
        <v>1</v>
      </c>
      <c r="B103" s="210" t="s">
        <v>132</v>
      </c>
      <c r="C103" s="210" t="s">
        <v>16</v>
      </c>
      <c r="D103" s="210" t="s">
        <v>397</v>
      </c>
      <c r="E103" s="211"/>
      <c r="F103" s="217" t="str">
        <f t="array" ref="F10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Placement'!$B:$B,$G103)+COUNTIF('Resource Planner'!$D:$D,$G103),IF(NOT(OR($A103=TRUE,$A103="☑",$A103="✓",$A103="✔")),IF(refs&gt;0,"⚠ keeper is turned off",""),IF($B103="","⚠ choose form",IF($C103="","⚠ choose subject",IF($D103="","⚠ add strand name",IF(target=id,"⚠ cannot combine into itself",IF(AND($E103&lt;&gt;"",target=""),"⚠ choose an active keeper",IF(targetTarget&lt;&gt;"","⚠ keeper cannot combine again",IF(AND(target&lt;&gt;"",used&gt;0),"⚠ existing records use this strand",IF(AND(target="",COUNTIFS('Helper Data'!$AN$5:$AN$106,TRUE,'Helper Data'!$AM$5:$AM$106,$G103)&gt;1),"⚠ duplicate final strand",""))))))))))</f>
        <v/>
      </c>
      <c r="G103" s="220" t="str">
        <f t="shared" si="1"/>
        <v>Form IV / Language Arts — Composition / Essays</v>
      </c>
      <c r="H103" s="153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208" t="b">
        <v>1</v>
      </c>
      <c r="B104" s="210" t="s">
        <v>132</v>
      </c>
      <c r="C104" s="210" t="s">
        <v>16</v>
      </c>
      <c r="D104" s="210" t="s">
        <v>322</v>
      </c>
      <c r="E104" s="211"/>
      <c r="F104" s="217" t="str">
        <f t="array" ref="F10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Placement'!$B:$B,$G104)+COUNTIF('Resource Planner'!$D:$D,$G104),IF(NOT(OR($A104=TRUE,$A104="☑",$A104="✓",$A104="✔")),IF(refs&gt;0,"⚠ keeper is turned off",""),IF($B104="","⚠ choose form",IF($C104="","⚠ choose subject",IF($D104="","⚠ add strand name",IF(target=id,"⚠ cannot combine into itself",IF(AND($E104&lt;&gt;"",target=""),"⚠ choose an active keeper",IF(targetTarget&lt;&gt;"","⚠ keeper cannot combine again",IF(AND(target&lt;&gt;"",used&gt;0),"⚠ existing records use this strand",IF(AND(target="",COUNTIFS('Helper Data'!$AN$5:$AN$106,TRUE,'Helper Data'!$AM$5:$AM$106,$G104)&gt;1),"⚠ duplicate final strand",""))))))))))</f>
        <v/>
      </c>
      <c r="G104" s="220" t="str">
        <f t="shared" si="1"/>
        <v>Form IV / Language Arts — Grammar / Analysis</v>
      </c>
      <c r="H104" s="153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208" t="b">
        <v>1</v>
      </c>
      <c r="B105" s="210" t="s">
        <v>132</v>
      </c>
      <c r="C105" s="210" t="s">
        <v>17</v>
      </c>
      <c r="D105" s="210" t="s">
        <v>17</v>
      </c>
      <c r="E105" s="211"/>
      <c r="F105" s="217" t="str">
        <f t="array" ref="F10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Placement'!$B:$B,$G105)+COUNTIF('Resource Planner'!$D:$D,$G105),IF(NOT(OR($A105=TRUE,$A105="☑",$A105="✓",$A105="✔")),IF(refs&gt;0,"⚠ keeper is turned off",""),IF($B105="","⚠ choose form",IF($C105="","⚠ choose subject",IF($D105="","⚠ add strand name",IF(target=id,"⚠ cannot combine into itself",IF(AND($E105&lt;&gt;"",target=""),"⚠ choose an active keeper",IF(targetTarget&lt;&gt;"","⚠ keeper cannot combine again",IF(AND(target&lt;&gt;"",used&gt;0),"⚠ existing records use this strand",IF(AND(target="",COUNTIFS('Helper Data'!$AN$5:$AN$106,TRUE,'Helper Data'!$AM$5:$AM$106,$G105)&gt;1),"⚠ duplicate final strand",""))))))))))</f>
        <v/>
      </c>
      <c r="G105" s="220" t="str">
        <f t="shared" si="1"/>
        <v>Form IV / Literature — Literature</v>
      </c>
      <c r="H105" s="153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208" t="b">
        <v>1</v>
      </c>
      <c r="B106" s="210" t="s">
        <v>132</v>
      </c>
      <c r="C106" s="210" t="s">
        <v>18</v>
      </c>
      <c r="D106" s="210" t="s">
        <v>369</v>
      </c>
      <c r="E106" s="211"/>
      <c r="F106" s="217" t="str">
        <f t="array" ref="F10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Placement'!$B:$B,$G106)+COUNTIF('Resource Planner'!$D:$D,$G106),IF(NOT(OR($A106=TRUE,$A106="☑",$A106="✓",$A106="✔")),IF(refs&gt;0,"⚠ keeper is turned off",""),IF($B106="","⚠ choose form",IF($C106="","⚠ choose subject",IF($D106="","⚠ add strand name",IF(target=id,"⚠ cannot combine into itself",IF(AND($E106&lt;&gt;"",target=""),"⚠ choose an active keeper",IF(targetTarget&lt;&gt;"","⚠ keeper cannot combine again",IF(AND(target&lt;&gt;"",used&gt;0),"⚠ existing records use this strand",IF(AND(target="",COUNTIFS('Helper Data'!$AN$5:$AN$106,TRUE,'Helper Data'!$AM$5:$AM$106,$G106)&gt;1),"⚠ duplicate final strand",""))))))))))</f>
        <v/>
      </c>
      <c r="G106" s="220" t="str">
        <f t="shared" si="1"/>
        <v>Form IV / History — World / American History</v>
      </c>
      <c r="H106" s="153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208" t="b">
        <v>1</v>
      </c>
      <c r="B107" s="210" t="s">
        <v>132</v>
      </c>
      <c r="C107" s="210" t="s">
        <v>18</v>
      </c>
      <c r="D107" s="210" t="s">
        <v>400</v>
      </c>
      <c r="E107" s="211"/>
      <c r="F107" s="217" t="str">
        <f t="array" ref="F10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Placement'!$B:$B,$G107)+COUNTIF('Resource Planner'!$D:$D,$G107),IF(NOT(OR($A107=TRUE,$A107="☑",$A107="✓",$A107="✔")),IF(refs&gt;0,"⚠ keeper is turned off",""),IF($B107="","⚠ choose form",IF($C107="","⚠ choose subject",IF($D107="","⚠ add strand name",IF(target=id,"⚠ cannot combine into itself",IF(AND($E107&lt;&gt;"",target=""),"⚠ choose an active keeper",IF(targetTarget&lt;&gt;"","⚠ keeper cannot combine again",IF(AND(target&lt;&gt;"",used&gt;0),"⚠ existing records use this strand",IF(AND(target="",COUNTIFS('Helper Data'!$AN$5:$AN$106,TRUE,'Helper Data'!$AM$5:$AM$106,$G107)&gt;1),"⚠ duplicate final strand",""))))))))))</f>
        <v/>
      </c>
      <c r="G107" s="220" t="str">
        <f t="shared" si="1"/>
        <v>Form IV / History — Ancient History</v>
      </c>
      <c r="H107" s="153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208" t="b">
        <v>1</v>
      </c>
      <c r="B108" s="210" t="s">
        <v>132</v>
      </c>
      <c r="C108" s="210" t="s">
        <v>19</v>
      </c>
      <c r="D108" s="210" t="s">
        <v>19</v>
      </c>
      <c r="E108" s="211"/>
      <c r="F108" s="217" t="str">
        <f t="array" ref="F10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Placement'!$B:$B,$G108)+COUNTIF('Resource Planner'!$D:$D,$G108),IF(NOT(OR($A108=TRUE,$A108="☑",$A108="✓",$A108="✔")),IF(refs&gt;0,"⚠ keeper is turned off",""),IF($B108="","⚠ choose form",IF($C108="","⚠ choose subject",IF($D108="","⚠ add strand name",IF(target=id,"⚠ cannot combine into itself",IF(AND($E108&lt;&gt;"",target=""),"⚠ choose an active keeper",IF(targetTarget&lt;&gt;"","⚠ keeper cannot combine again",IF(AND(target&lt;&gt;"",used&gt;0),"⚠ existing records use this strand",IF(AND(target="",COUNTIFS('Helper Data'!$AN$5:$AN$106,TRUE,'Helper Data'!$AM$5:$AM$106,$G108)&gt;1),"⚠ duplicate final strand",""))))))))))</f>
        <v/>
      </c>
      <c r="G108" s="220" t="str">
        <f t="shared" si="1"/>
        <v>Form IV / Geography — Geography</v>
      </c>
      <c r="H108" s="153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208" t="b">
        <v>1</v>
      </c>
      <c r="B109" s="210" t="s">
        <v>132</v>
      </c>
      <c r="C109" s="210" t="s">
        <v>20</v>
      </c>
      <c r="D109" s="210" t="s">
        <v>401</v>
      </c>
      <c r="E109" s="211"/>
      <c r="F109" s="217" t="str">
        <f t="array" ref="F10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Placement'!$B:$B,$G109)+COUNTIF('Resource Planner'!$D:$D,$G109),IF(NOT(OR($A109=TRUE,$A109="☑",$A109="✓",$A109="✔")),IF(refs&gt;0,"⚠ keeper is turned off",""),IF($B109="","⚠ choose form",IF($C109="","⚠ choose subject",IF($D109="","⚠ add strand name",IF(target=id,"⚠ cannot combine into itself",IF(AND($E109&lt;&gt;"",target=""),"⚠ choose an active keeper",IF(targetTarget&lt;&gt;"","⚠ keeper cannot combine again",IF(AND(target&lt;&gt;"",used&gt;0),"⚠ existing records use this strand",IF(AND(target="",COUNTIFS('Helper Data'!$AN$5:$AN$106,TRUE,'Helper Data'!$AM$5:$AM$106,$G109)&gt;1),"⚠ duplicate final strand",""))))))))))</f>
        <v/>
      </c>
      <c r="G109" s="220" t="str">
        <f t="shared" si="1"/>
        <v>Form IV / Citizenship — Government</v>
      </c>
      <c r="H109" s="153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208" t="b">
        <v>1</v>
      </c>
      <c r="B110" s="210" t="s">
        <v>132</v>
      </c>
      <c r="C110" s="210" t="s">
        <v>20</v>
      </c>
      <c r="D110" s="210" t="s">
        <v>381</v>
      </c>
      <c r="E110" s="211"/>
      <c r="F110" s="217" t="str">
        <f t="array" ref="F11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Placement'!$B:$B,$G110)+COUNTIF('Resource Planner'!$D:$D,$G110),IF(NOT(OR($A110=TRUE,$A110="☑",$A110="✓",$A110="✔")),IF(refs&gt;0,"⚠ keeper is turned off",""),IF($B110="","⚠ choose form",IF($C110="","⚠ choose subject",IF($D110="","⚠ add strand name",IF(target=id,"⚠ cannot combine into itself",IF(AND($E110&lt;&gt;"",target=""),"⚠ choose an active keeper",IF(targetTarget&lt;&gt;"","⚠ keeper cannot combine again",IF(AND(target&lt;&gt;"",used&gt;0),"⚠ existing records use this strand",IF(AND(target="",COUNTIFS('Helper Data'!$AN$5:$AN$106,TRUE,'Helper Data'!$AM$5:$AM$106,$G110)&gt;1),"⚠ duplicate final strand",""))))))))))</f>
        <v/>
      </c>
      <c r="G110" s="220" t="str">
        <f t="shared" si="1"/>
        <v>Form IV / Citizenship — Current Events</v>
      </c>
      <c r="H110" s="153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208" t="b">
        <v>1</v>
      </c>
      <c r="B111" s="210" t="s">
        <v>132</v>
      </c>
      <c r="C111" s="210" t="s">
        <v>21</v>
      </c>
      <c r="D111" s="210" t="s">
        <v>309</v>
      </c>
      <c r="E111" s="211"/>
      <c r="F111" s="217" t="str">
        <f t="array" ref="F11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Placement'!$B:$B,$G111)+COUNTIF('Resource Planner'!$D:$D,$G111),IF(NOT(OR($A111=TRUE,$A111="☑",$A111="✓",$A111="✔")),IF(refs&gt;0,"⚠ keeper is turned off",""),IF($B111="","⚠ choose form",IF($C111="","⚠ choose subject",IF($D111="","⚠ add strand name",IF(target=id,"⚠ cannot combine into itself",IF(AND($E111&lt;&gt;"",target=""),"⚠ choose an active keeper",IF(targetTarget&lt;&gt;"","⚠ keeper cannot combine again",IF(AND(target&lt;&gt;"",used&gt;0),"⚠ existing records use this strand",IF(AND(target="",COUNTIFS('Helper Data'!$AN$5:$AN$106,TRUE,'Helper Data'!$AM$5:$AM$106,$G111)&gt;1),"⚠ duplicate final strand",""))))))))))</f>
        <v/>
      </c>
      <c r="G111" s="220" t="str">
        <f t="shared" si="1"/>
        <v>Form IV / Science / Nature — Science</v>
      </c>
      <c r="H111" s="153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208" t="b">
        <v>1</v>
      </c>
      <c r="B112" s="210" t="s">
        <v>132</v>
      </c>
      <c r="C112" s="210" t="s">
        <v>24</v>
      </c>
      <c r="D112" s="210" t="s">
        <v>406</v>
      </c>
      <c r="E112" s="211"/>
      <c r="F112" s="217" t="str">
        <f t="array" ref="F11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Placement'!$B:$B,$G112)+COUNTIF('Resource Planner'!$D:$D,$G112),IF(NOT(OR($A112=TRUE,$A112="☑",$A112="✓",$A112="✔")),IF(refs&gt;0,"⚠ keeper is turned off",""),IF($B112="","⚠ choose form",IF($C112="","⚠ choose subject",IF($D112="","⚠ add strand name",IF(target=id,"⚠ cannot combine into itself",IF(AND($E112&lt;&gt;"",target=""),"⚠ choose an active keeper",IF(targetTarget&lt;&gt;"","⚠ keeper cannot combine again",IF(AND(target&lt;&gt;"",used&gt;0),"⚠ existing records use this strand",IF(AND(target="",COUNTIFS('Helper Data'!$AN$5:$AN$106,TRUE,'Helper Data'!$AM$5:$AM$106,$G112)&gt;1),"⚠ duplicate final strand",""))))))))))</f>
        <v/>
      </c>
      <c r="G112" s="220" t="str">
        <f t="shared" si="1"/>
        <v>Form IV / Math — Upper Math</v>
      </c>
      <c r="H112" s="153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208" t="b">
        <v>1</v>
      </c>
      <c r="B113" s="210" t="s">
        <v>132</v>
      </c>
      <c r="C113" s="210" t="s">
        <v>26</v>
      </c>
      <c r="D113" s="210" t="s">
        <v>408</v>
      </c>
      <c r="E113" s="211"/>
      <c r="F113" s="217" t="str">
        <f t="array" ref="F11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Placement'!$B:$B,$G113)+COUNTIF('Resource Planner'!$D:$D,$G113),IF(NOT(OR($A113=TRUE,$A113="☑",$A113="✓",$A113="✔")),IF(refs&gt;0,"⚠ keeper is turned off",""),IF($B113="","⚠ choose form",IF($C113="","⚠ choose subject",IF($D113="","⚠ add strand name",IF(target=id,"⚠ cannot combine into itself",IF(AND($E113&lt;&gt;"",target=""),"⚠ choose an active keeper",IF(targetTarget&lt;&gt;"","⚠ keeper cannot combine again",IF(AND(target&lt;&gt;"",used&gt;0),"⚠ existing records use this strand",IF(AND(target="",COUNTIFS('Helper Data'!$AN$5:$AN$106,TRUE,'Helper Data'!$AM$5:$AM$106,$G113)&gt;1),"⚠ duplicate final strand",""))))))))))</f>
        <v/>
      </c>
      <c r="G113" s="220" t="str">
        <f t="shared" si="1"/>
        <v>Form IV / Foreign Language — Modern Language / Latin</v>
      </c>
      <c r="H113" s="153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208" t="b">
        <v>1</v>
      </c>
      <c r="B114" s="210" t="s">
        <v>138</v>
      </c>
      <c r="C114" s="210" t="s">
        <v>16</v>
      </c>
      <c r="D114" s="210" t="s">
        <v>409</v>
      </c>
      <c r="E114" s="211"/>
      <c r="F114" s="217" t="str">
        <f t="array" ref="F11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Placement'!$B:$B,$G114)+COUNTIF('Resource Planner'!$D:$D,$G114),IF(NOT(OR($A114=TRUE,$A114="☑",$A114="✓",$A114="✔")),IF(refs&gt;0,"⚠ keeper is turned off",""),IF($B114="","⚠ choose form",IF($C114="","⚠ choose subject",IF($D114="","⚠ add strand name",IF(target=id,"⚠ cannot combine into itself",IF(AND($E114&lt;&gt;"",target=""),"⚠ choose an active keeper",IF(targetTarget&lt;&gt;"","⚠ keeper cannot combine again",IF(AND(target&lt;&gt;"",used&gt;0),"⚠ existing records use this strand",IF(AND(target="",COUNTIFS('Helper Data'!$AN$5:$AN$106,TRUE,'Helper Data'!$AM$5:$AM$106,$G114)&gt;1),"⚠ duplicate final strand",""))))))))))</f>
        <v/>
      </c>
      <c r="G114" s="220" t="str">
        <f t="shared" si="1"/>
        <v>Form V-VI / Language Arts — Composition / Rhetoric</v>
      </c>
      <c r="H114" s="153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208" t="b">
        <v>1</v>
      </c>
      <c r="B115" s="210" t="s">
        <v>138</v>
      </c>
      <c r="C115" s="210" t="s">
        <v>17</v>
      </c>
      <c r="D115" s="210" t="s">
        <v>17</v>
      </c>
      <c r="E115" s="211"/>
      <c r="F115" s="217" t="str">
        <f t="array" ref="F11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Placement'!$B:$B,$G115)+COUNTIF('Resource Planner'!$D:$D,$G115),IF(NOT(OR($A115=TRUE,$A115="☑",$A115="✓",$A115="✔")),IF(refs&gt;0,"⚠ keeper is turned off",""),IF($B115="","⚠ choose form",IF($C115="","⚠ choose subject",IF($D115="","⚠ add strand name",IF(target=id,"⚠ cannot combine into itself",IF(AND($E115&lt;&gt;"",target=""),"⚠ choose an active keeper",IF(targetTarget&lt;&gt;"","⚠ keeper cannot combine again",IF(AND(target&lt;&gt;"",used&gt;0),"⚠ existing records use this strand",IF(AND(target="",COUNTIFS('Helper Data'!$AN$5:$AN$106,TRUE,'Helper Data'!$AM$5:$AM$106,$G115)&gt;1),"⚠ duplicate final strand",""))))))))))</f>
        <v/>
      </c>
      <c r="G115" s="220" t="str">
        <f t="shared" si="1"/>
        <v>Form V-VI / Literature — Literature</v>
      </c>
      <c r="H115" s="153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208" t="b">
        <v>1</v>
      </c>
      <c r="B116" s="210" t="s">
        <v>138</v>
      </c>
      <c r="C116" s="210" t="s">
        <v>18</v>
      </c>
      <c r="D116" s="210" t="s">
        <v>369</v>
      </c>
      <c r="E116" s="211"/>
      <c r="F116" s="217" t="str">
        <f t="array" ref="F11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Placement'!$B:$B,$G116)+COUNTIF('Resource Planner'!$D:$D,$G116),IF(NOT(OR($A116=TRUE,$A116="☑",$A116="✓",$A116="✔")),IF(refs&gt;0,"⚠ keeper is turned off",""),IF($B116="","⚠ choose form",IF($C116="","⚠ choose subject",IF($D116="","⚠ add strand name",IF(target=id,"⚠ cannot combine into itself",IF(AND($E116&lt;&gt;"",target=""),"⚠ choose an active keeper",IF(targetTarget&lt;&gt;"","⚠ keeper cannot combine again",IF(AND(target&lt;&gt;"",used&gt;0),"⚠ existing records use this strand",IF(AND(target="",COUNTIFS('Helper Data'!$AN$5:$AN$106,TRUE,'Helper Data'!$AM$5:$AM$106,$G116)&gt;1),"⚠ duplicate final strand",""))))))))))</f>
        <v/>
      </c>
      <c r="G116" s="220" t="str">
        <f t="shared" si="1"/>
        <v>Form V-VI / History — World / American History</v>
      </c>
      <c r="H116" s="153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208" t="b">
        <v>1</v>
      </c>
      <c r="B117" s="210" t="s">
        <v>138</v>
      </c>
      <c r="C117" s="210" t="s">
        <v>18</v>
      </c>
      <c r="D117" s="210" t="s">
        <v>413</v>
      </c>
      <c r="E117" s="211"/>
      <c r="F117" s="217" t="str">
        <f t="array" ref="F11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Placement'!$B:$B,$G117)+COUNTIF('Resource Planner'!$D:$D,$G117),IF(NOT(OR($A117=TRUE,$A117="☑",$A117="✓",$A117="✔")),IF(refs&gt;0,"⚠ keeper is turned off",""),IF($B117="","⚠ choose form",IF($C117="","⚠ choose subject",IF($D117="","⚠ add strand name",IF(target=id,"⚠ cannot combine into itself",IF(AND($E117&lt;&gt;"",target=""),"⚠ choose an active keeper",IF(targetTarget&lt;&gt;"","⚠ keeper cannot combine again",IF(AND(target&lt;&gt;"",used&gt;0),"⚠ existing records use this strand",IF(AND(target="",COUNTIFS('Helper Data'!$AN$5:$AN$106,TRUE,'Helper Data'!$AM$5:$AM$106,$G117)&gt;1),"⚠ duplicate final strand",""))))))))))</f>
        <v/>
      </c>
      <c r="G117" s="220" t="str">
        <f t="shared" si="1"/>
        <v>Form V-VI / History — Ancient / Government</v>
      </c>
      <c r="H117" s="153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208" t="b">
        <v>1</v>
      </c>
      <c r="B118" s="210" t="s">
        <v>138</v>
      </c>
      <c r="C118" s="210" t="s">
        <v>19</v>
      </c>
      <c r="D118" s="210" t="s">
        <v>415</v>
      </c>
      <c r="E118" s="211"/>
      <c r="F118" s="217" t="str">
        <f t="array" ref="F11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Placement'!$B:$B,$G118)+COUNTIF('Resource Planner'!$D:$D,$G118),IF(NOT(OR($A118=TRUE,$A118="☑",$A118="✓",$A118="✔")),IF(refs&gt;0,"⚠ keeper is turned off",""),IF($B118="","⚠ choose form",IF($C118="","⚠ choose subject",IF($D118="","⚠ add strand name",IF(target=id,"⚠ cannot combine into itself",IF(AND($E118&lt;&gt;"",target=""),"⚠ choose an active keeper",IF(targetTarget&lt;&gt;"","⚠ keeper cannot combine again",IF(AND(target&lt;&gt;"",used&gt;0),"⚠ existing records use this strand",IF(AND(target="",COUNTIFS('Helper Data'!$AN$5:$AN$106,TRUE,'Helper Data'!$AM$5:$AM$106,$G118)&gt;1),"⚠ duplicate final strand",""))))))))))</f>
        <v/>
      </c>
      <c r="G118" s="220" t="str">
        <f t="shared" si="1"/>
        <v>Form V-VI / Geography — Geography / Economics</v>
      </c>
      <c r="H118" s="153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208" t="b">
        <v>1</v>
      </c>
      <c r="B119" s="210" t="s">
        <v>138</v>
      </c>
      <c r="C119" s="210" t="s">
        <v>20</v>
      </c>
      <c r="D119" s="210" t="s">
        <v>401</v>
      </c>
      <c r="E119" s="211"/>
      <c r="F119" s="217" t="str">
        <f t="array" ref="F11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Placement'!$B:$B,$G119)+COUNTIF('Resource Planner'!$D:$D,$G119),IF(NOT(OR($A119=TRUE,$A119="☑",$A119="✓",$A119="✔")),IF(refs&gt;0,"⚠ keeper is turned off",""),IF($B119="","⚠ choose form",IF($C119="","⚠ choose subject",IF($D119="","⚠ add strand name",IF(target=id,"⚠ cannot combine into itself",IF(AND($E119&lt;&gt;"",target=""),"⚠ choose an active keeper",IF(targetTarget&lt;&gt;"","⚠ keeper cannot combine again",IF(AND(target&lt;&gt;"",used&gt;0),"⚠ existing records use this strand",IF(AND(target="",COUNTIFS('Helper Data'!$AN$5:$AN$106,TRUE,'Helper Data'!$AM$5:$AM$106,$G119)&gt;1),"⚠ duplicate final strand",""))))))))))</f>
        <v/>
      </c>
      <c r="G119" s="220" t="str">
        <f t="shared" si="1"/>
        <v>Form V-VI / Citizenship — Government</v>
      </c>
      <c r="H119" s="153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208" t="b">
        <v>1</v>
      </c>
      <c r="B120" s="210" t="s">
        <v>138</v>
      </c>
      <c r="C120" s="210" t="s">
        <v>20</v>
      </c>
      <c r="D120" s="210" t="s">
        <v>381</v>
      </c>
      <c r="E120" s="211"/>
      <c r="F120" s="217" t="str">
        <f t="array" ref="F12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Placement'!$B:$B,$G120)+COUNTIF('Resource Planner'!$D:$D,$G120),IF(NOT(OR($A120=TRUE,$A120="☑",$A120="✓",$A120="✔")),IF(refs&gt;0,"⚠ keeper is turned off",""),IF($B120="","⚠ choose form",IF($C120="","⚠ choose subject",IF($D120="","⚠ add strand name",IF(target=id,"⚠ cannot combine into itself",IF(AND($E120&lt;&gt;"",target=""),"⚠ choose an active keeper",IF(targetTarget&lt;&gt;"","⚠ keeper cannot combine again",IF(AND(target&lt;&gt;"",used&gt;0),"⚠ existing records use this strand",IF(AND(target="",COUNTIFS('Helper Data'!$AN$5:$AN$106,TRUE,'Helper Data'!$AM$5:$AM$106,$G120)&gt;1),"⚠ duplicate final strand",""))))))))))</f>
        <v/>
      </c>
      <c r="G120" s="220" t="str">
        <f t="shared" si="1"/>
        <v>Form V-VI / Citizenship — Current Events</v>
      </c>
      <c r="H120" s="153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208" t="b">
        <v>1</v>
      </c>
      <c r="B121" s="210" t="s">
        <v>138</v>
      </c>
      <c r="C121" s="210" t="s">
        <v>21</v>
      </c>
      <c r="D121" s="210" t="s">
        <v>309</v>
      </c>
      <c r="E121" s="211"/>
      <c r="F121" s="217" t="str">
        <f t="array" ref="F12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Placement'!$B:$B,$G121)+COUNTIF('Resource Planner'!$D:$D,$G121),IF(NOT(OR($A121=TRUE,$A121="☑",$A121="✓",$A121="✔")),IF(refs&gt;0,"⚠ keeper is turned off",""),IF($B121="","⚠ choose form",IF($C121="","⚠ choose subject",IF($D121="","⚠ add strand name",IF(target=id,"⚠ cannot combine into itself",IF(AND($E121&lt;&gt;"",target=""),"⚠ choose an active keeper",IF(targetTarget&lt;&gt;"","⚠ keeper cannot combine again",IF(AND(target&lt;&gt;"",used&gt;0),"⚠ existing records use this strand",IF(AND(target="",COUNTIFS('Helper Data'!$AN$5:$AN$106,TRUE,'Helper Data'!$AM$5:$AM$106,$G121)&gt;1),"⚠ duplicate final strand",""))))))))))</f>
        <v/>
      </c>
      <c r="G121" s="220" t="str">
        <f t="shared" si="1"/>
        <v>Form V-VI / Science / Nature — Science</v>
      </c>
      <c r="H121" s="153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208" t="b">
        <v>1</v>
      </c>
      <c r="B122" s="210" t="s">
        <v>138</v>
      </c>
      <c r="C122" s="210" t="s">
        <v>24</v>
      </c>
      <c r="D122" s="210" t="s">
        <v>417</v>
      </c>
      <c r="E122" s="211"/>
      <c r="F122" s="217" t="str">
        <f t="array" ref="F12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Placement'!$B:$B,$G122)+COUNTIF('Resource Planner'!$D:$D,$G122),IF(NOT(OR($A122=TRUE,$A122="☑",$A122="✓",$A122="✔")),IF(refs&gt;0,"⚠ keeper is turned off",""),IF($B122="","⚠ choose form",IF($C122="","⚠ choose subject",IF($D122="","⚠ add strand name",IF(target=id,"⚠ cannot combine into itself",IF(AND($E122&lt;&gt;"",target=""),"⚠ choose an active keeper",IF(targetTarget&lt;&gt;"","⚠ keeper cannot combine again",IF(AND(target&lt;&gt;"",used&gt;0),"⚠ existing records use this strand",IF(AND(target="",COUNTIFS('Helper Data'!$AN$5:$AN$106,TRUE,'Helper Data'!$AM$5:$AM$106,$G122)&gt;1),"⚠ duplicate final strand",""))))))))))</f>
        <v/>
      </c>
      <c r="G122" s="220" t="str">
        <f t="shared" si="1"/>
        <v>Form V-VI / Math — Advanced Math</v>
      </c>
      <c r="H122" s="153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357" t="b">
        <v>0</v>
      </c>
      <c r="B123" s="246"/>
      <c r="C123" s="246"/>
      <c r="D123" s="246"/>
      <c r="E123" s="211"/>
      <c r="F123" s="217" t="str">
        <f t="array" ref="F12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Placement'!$B:$B,$G123)+COUNTIF('Resource Planner'!$D:$D,$G123),IF(NOT(OR($A123=TRUE,$A123="☑",$A123="✓",$A123="✔")),IF(refs&gt;0,"⚠ keeper is turned off",""),IF($B123="","⚠ choose form",IF($C123="","⚠ choose subject",IF($D123="","⚠ add strand name",IF(target=id,"⚠ cannot combine into itself",IF(AND($E123&lt;&gt;"",target=""),"⚠ choose an active keeper",IF(targetTarget&lt;&gt;"","⚠ keeper cannot combine again",IF(AND(target&lt;&gt;"",used&gt;0),"⚠ existing records use this strand",IF(AND(target="",COUNTIFS('Helper Data'!$AN$5:$AN$106,TRUE,'Helper Data'!$AM$5:$AM$106,$G123)&gt;1),"⚠ duplicate final strand",""))))))))))</f>
        <v/>
      </c>
      <c r="G123" s="220" t="str">
        <f t="shared" si="1"/>
        <v/>
      </c>
      <c r="H123" s="153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357" t="b">
        <v>0</v>
      </c>
      <c r="B124" s="197"/>
      <c r="C124" s="197"/>
      <c r="D124" s="197"/>
      <c r="E124" s="211"/>
      <c r="F124" s="217" t="str">
        <f t="array" ref="F12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Placement'!$B:$B,$G124)+COUNTIF('Resource Planner'!$D:$D,$G124),IF(NOT(OR($A124=TRUE,$A124="☑",$A124="✓",$A124="✔")),IF(refs&gt;0,"⚠ keeper is turned off",""),IF($B124="","⚠ choose form",IF($C124="","⚠ choose subject",IF($D124="","⚠ add strand name",IF(target=id,"⚠ cannot combine into itself",IF(AND($E124&lt;&gt;"",target=""),"⚠ choose an active keeper",IF(targetTarget&lt;&gt;"","⚠ keeper cannot combine again",IF(AND(target&lt;&gt;"",used&gt;0),"⚠ existing records use this strand",IF(AND(target="",COUNTIFS('Helper Data'!$AN$5:$AN$106,TRUE,'Helper Data'!$AM$5:$AM$106,$G124)&gt;1),"⚠ duplicate final strand",""))))))))))</f>
        <v/>
      </c>
      <c r="G124" s="220" t="str">
        <f t="shared" si="1"/>
        <v/>
      </c>
      <c r="H124" s="153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357" t="b">
        <v>0</v>
      </c>
      <c r="B125" s="197"/>
      <c r="C125" s="197"/>
      <c r="D125" s="197"/>
      <c r="E125" s="211"/>
      <c r="F125" s="217" t="str">
        <f t="array" ref="F12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Placement'!$B:$B,$G125)+COUNTIF('Resource Planner'!$D:$D,$G125),IF(NOT(OR($A125=TRUE,$A125="☑",$A125="✓",$A125="✔")),IF(refs&gt;0,"⚠ keeper is turned off",""),IF($B125="","⚠ choose form",IF($C125="","⚠ choose subject",IF($D125="","⚠ add strand name",IF(target=id,"⚠ cannot combine into itself",IF(AND($E125&lt;&gt;"",target=""),"⚠ choose an active keeper",IF(targetTarget&lt;&gt;"","⚠ keeper cannot combine again",IF(AND(target&lt;&gt;"",used&gt;0),"⚠ existing records use this strand",IF(AND(target="",COUNTIFS('Helper Data'!$AN$5:$AN$106,TRUE,'Helper Data'!$AM$5:$AM$106,$G125)&gt;1),"⚠ duplicate final strand",""))))))))))</f>
        <v/>
      </c>
      <c r="G125" s="220" t="str">
        <f t="shared" si="1"/>
        <v/>
      </c>
      <c r="H125" s="153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357" t="b">
        <v>0</v>
      </c>
      <c r="B126" s="197"/>
      <c r="C126" s="197"/>
      <c r="D126" s="197"/>
      <c r="E126" s="211"/>
      <c r="F126" s="217" t="str">
        <f t="array" ref="F12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Placement'!$B:$B,$G126)+COUNTIF('Resource Planner'!$D:$D,$G126),IF(NOT(OR($A126=TRUE,$A126="☑",$A126="✓",$A126="✔")),IF(refs&gt;0,"⚠ keeper is turned off",""),IF($B126="","⚠ choose form",IF($C126="","⚠ choose subject",IF($D126="","⚠ add strand name",IF(target=id,"⚠ cannot combine into itself",IF(AND($E126&lt;&gt;"",target=""),"⚠ choose an active keeper",IF(targetTarget&lt;&gt;"","⚠ keeper cannot combine again",IF(AND(target&lt;&gt;"",used&gt;0),"⚠ existing records use this strand",IF(AND(target="",COUNTIFS('Helper Data'!$AN$5:$AN$106,TRUE,'Helper Data'!$AM$5:$AM$106,$G126)&gt;1),"⚠ duplicate final strand",""))))))))))</f>
        <v/>
      </c>
      <c r="G126" s="220" t="str">
        <f t="shared" si="1"/>
        <v/>
      </c>
      <c r="H126" s="153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357" t="b">
        <v>0</v>
      </c>
      <c r="B127" s="197"/>
      <c r="C127" s="197"/>
      <c r="D127" s="197"/>
      <c r="E127" s="211"/>
      <c r="F127" s="217" t="str">
        <f t="array" ref="F12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Placement'!$B:$B,$G127)+COUNTIF('Resource Planner'!$D:$D,$G127),IF(NOT(OR($A127=TRUE,$A127="☑",$A127="✓",$A127="✔")),IF(refs&gt;0,"⚠ keeper is turned off",""),IF($B127="","⚠ choose form",IF($C127="","⚠ choose subject",IF($D127="","⚠ add strand name",IF(target=id,"⚠ cannot combine into itself",IF(AND($E127&lt;&gt;"",target=""),"⚠ choose an active keeper",IF(targetTarget&lt;&gt;"","⚠ keeper cannot combine again",IF(AND(target&lt;&gt;"",used&gt;0),"⚠ existing records use this strand",IF(AND(target="",COUNTIFS('Helper Data'!$AN$5:$AN$106,TRUE,'Helper Data'!$AM$5:$AM$106,$G127)&gt;1),"⚠ duplicate final strand",""))))))))))</f>
        <v/>
      </c>
      <c r="G127" s="220" t="str">
        <f t="shared" si="1"/>
        <v/>
      </c>
      <c r="H127" s="153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357" t="b">
        <v>0</v>
      </c>
      <c r="B128" s="197"/>
      <c r="C128" s="197"/>
      <c r="D128" s="197"/>
      <c r="E128" s="211"/>
      <c r="F128" s="217" t="str">
        <f t="array" ref="F12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Placement'!$B:$B,$G128)+COUNTIF('Resource Planner'!$D:$D,$G128),IF(NOT(OR($A128=TRUE,$A128="☑",$A128="✓",$A128="✔")),IF(refs&gt;0,"⚠ keeper is turned off",""),IF($B128="","⚠ choose form",IF($C128="","⚠ choose subject",IF($D128="","⚠ add strand name",IF(target=id,"⚠ cannot combine into itself",IF(AND($E128&lt;&gt;"",target=""),"⚠ choose an active keeper",IF(targetTarget&lt;&gt;"","⚠ keeper cannot combine again",IF(AND(target&lt;&gt;"",used&gt;0),"⚠ existing records use this strand",IF(AND(target="",COUNTIFS('Helper Data'!$AN$5:$AN$106,TRUE,'Helper Data'!$AM$5:$AM$106,$G128)&gt;1),"⚠ duplicate final strand",""))))))))))</f>
        <v/>
      </c>
      <c r="G128" s="220" t="str">
        <f t="shared" si="1"/>
        <v/>
      </c>
      <c r="H128" s="153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357" t="b">
        <v>0</v>
      </c>
      <c r="B129" s="197"/>
      <c r="C129" s="197"/>
      <c r="D129" s="197"/>
      <c r="E129" s="211"/>
      <c r="F129" s="217" t="str">
        <f t="array" ref="F12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Placement'!$B:$B,$G129)+COUNTIF('Resource Planner'!$D:$D,$G129),IF(NOT(OR($A129=TRUE,$A129="☑",$A129="✓",$A129="✔")),IF(refs&gt;0,"⚠ keeper is turned off",""),IF($B129="","⚠ choose form",IF($C129="","⚠ choose subject",IF($D129="","⚠ add strand name",IF(target=id,"⚠ cannot combine into itself",IF(AND($E129&lt;&gt;"",target=""),"⚠ choose an active keeper",IF(targetTarget&lt;&gt;"","⚠ keeper cannot combine again",IF(AND(target&lt;&gt;"",used&gt;0),"⚠ existing records use this strand",IF(AND(target="",COUNTIFS('Helper Data'!$AN$5:$AN$106,TRUE,'Helper Data'!$AM$5:$AM$106,$G129)&gt;1),"⚠ duplicate final strand",""))))))))))</f>
        <v/>
      </c>
      <c r="G129" s="220" t="str">
        <f t="shared" si="1"/>
        <v/>
      </c>
      <c r="H129" s="153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357" t="b">
        <v>0</v>
      </c>
      <c r="B130" s="197"/>
      <c r="C130" s="197"/>
      <c r="D130" s="197"/>
      <c r="E130" s="211"/>
      <c r="F130" s="217" t="str">
        <f t="array" ref="F13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Placement'!$B:$B,$G130)+COUNTIF('Resource Planner'!$D:$D,$G130),IF(NOT(OR($A130=TRUE,$A130="☑",$A130="✓",$A130="✔")),IF(refs&gt;0,"⚠ keeper is turned off",""),IF($B130="","⚠ choose form",IF($C130="","⚠ choose subject",IF($D130="","⚠ add strand name",IF(target=id,"⚠ cannot combine into itself",IF(AND($E130&lt;&gt;"",target=""),"⚠ choose an active keeper",IF(targetTarget&lt;&gt;"","⚠ keeper cannot combine again",IF(AND(target&lt;&gt;"",used&gt;0),"⚠ existing records use this strand",IF(AND(target="",COUNTIFS('Helper Data'!$AN$5:$AN$106,TRUE,'Helper Data'!$AM$5:$AM$106,$G130)&gt;1),"⚠ duplicate final strand",""))))))))))</f>
        <v/>
      </c>
      <c r="G130" s="220" t="str">
        <f t="shared" si="1"/>
        <v/>
      </c>
      <c r="H130" s="153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357" t="b">
        <v>0</v>
      </c>
      <c r="B131" s="197"/>
      <c r="C131" s="197"/>
      <c r="D131" s="197"/>
      <c r="E131" s="211"/>
      <c r="F131" s="217" t="str">
        <f t="array" ref="F13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Placement'!$B:$B,$G131)+COUNTIF('Resource Planner'!$D:$D,$G131),IF(NOT(OR($A131=TRUE,$A131="☑",$A131="✓",$A131="✔")),IF(refs&gt;0,"⚠ keeper is turned off",""),IF($B131="","⚠ choose form",IF($C131="","⚠ choose subject",IF($D131="","⚠ add strand name",IF(target=id,"⚠ cannot combine into itself",IF(AND($E131&lt;&gt;"",target=""),"⚠ choose an active keeper",IF(targetTarget&lt;&gt;"","⚠ keeper cannot combine again",IF(AND(target&lt;&gt;"",used&gt;0),"⚠ existing records use this strand",IF(AND(target="",COUNTIFS('Helper Data'!$AN$5:$AN$106,TRUE,'Helper Data'!$AM$5:$AM$106,$G131)&gt;1),"⚠ duplicate final strand",""))))))))))</f>
        <v/>
      </c>
      <c r="G131" s="220" t="str">
        <f t="shared" si="1"/>
        <v/>
      </c>
      <c r="H131" s="153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357" t="b">
        <v>0</v>
      </c>
      <c r="B132" s="197"/>
      <c r="C132" s="197"/>
      <c r="D132" s="197"/>
      <c r="E132" s="211"/>
      <c r="F132" s="217" t="str">
        <f t="array" ref="F13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Placement'!$B:$B,$G132)+COUNTIF('Resource Planner'!$D:$D,$G132),IF(NOT(OR($A132=TRUE,$A132="☑",$A132="✓",$A132="✔")),IF(refs&gt;0,"⚠ keeper is turned off",""),IF($B132="","⚠ choose form",IF($C132="","⚠ choose subject",IF($D132="","⚠ add strand name",IF(target=id,"⚠ cannot combine into itself",IF(AND($E132&lt;&gt;"",target=""),"⚠ choose an active keeper",IF(targetTarget&lt;&gt;"","⚠ keeper cannot combine again",IF(AND(target&lt;&gt;"",used&gt;0),"⚠ existing records use this strand",IF(AND(target="",COUNTIFS('Helper Data'!$AN$5:$AN$106,TRUE,'Helper Data'!$AM$5:$AM$106,$G132)&gt;1),"⚠ duplicate final strand",""))))))))))</f>
        <v/>
      </c>
      <c r="G132" s="220" t="str">
        <f t="shared" si="1"/>
        <v/>
      </c>
      <c r="H132" s="153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357" t="b">
        <v>0</v>
      </c>
      <c r="B133" s="197"/>
      <c r="C133" s="197"/>
      <c r="D133" s="197"/>
      <c r="E133" s="211"/>
      <c r="F133" s="217" t="str">
        <f t="array" ref="F13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Placement'!$B:$B,$G133)+COUNTIF('Resource Planner'!$D:$D,$G133),IF(NOT(OR($A133=TRUE,$A133="☑",$A133="✓",$A133="✔")),IF(refs&gt;0,"⚠ keeper is turned off",""),IF($B133="","⚠ choose form",IF($C133="","⚠ choose subject",IF($D133="","⚠ add strand name",IF(target=id,"⚠ cannot combine into itself",IF(AND($E133&lt;&gt;"",target=""),"⚠ choose an active keeper",IF(targetTarget&lt;&gt;"","⚠ keeper cannot combine again",IF(AND(target&lt;&gt;"",used&gt;0),"⚠ existing records use this strand",IF(AND(target="",COUNTIFS('Helper Data'!$AN$5:$AN$106,TRUE,'Helper Data'!$AM$5:$AM$106,$G133)&gt;1),"⚠ duplicate final strand",""))))))))))</f>
        <v/>
      </c>
      <c r="G133" s="220" t="str">
        <f t="shared" si="1"/>
        <v/>
      </c>
      <c r="H133" s="153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357" t="b">
        <v>0</v>
      </c>
      <c r="B134" s="197"/>
      <c r="C134" s="197"/>
      <c r="D134" s="197"/>
      <c r="E134" s="211"/>
      <c r="F134" s="217" t="str">
        <f t="array" ref="F13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Placement'!$B:$B,$G134)+COUNTIF('Resource Planner'!$D:$D,$G134),IF(NOT(OR($A134=TRUE,$A134="☑",$A134="✓",$A134="✔")),IF(refs&gt;0,"⚠ keeper is turned off",""),IF($B134="","⚠ choose form",IF($C134="","⚠ choose subject",IF($D134="","⚠ add strand name",IF(target=id,"⚠ cannot combine into itself",IF(AND($E134&lt;&gt;"",target=""),"⚠ choose an active keeper",IF(targetTarget&lt;&gt;"","⚠ keeper cannot combine again",IF(AND(target&lt;&gt;"",used&gt;0),"⚠ existing records use this strand",IF(AND(target="",COUNTIFS('Helper Data'!$AN$5:$AN$106,TRUE,'Helper Data'!$AM$5:$AM$106,$G134)&gt;1),"⚠ duplicate final strand",""))))))))))</f>
        <v/>
      </c>
      <c r="G134" s="220" t="str">
        <f t="shared" si="1"/>
        <v/>
      </c>
      <c r="H134" s="153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357" t="b">
        <v>0</v>
      </c>
      <c r="B135" s="197"/>
      <c r="C135" s="197"/>
      <c r="D135" s="197"/>
      <c r="E135" s="211"/>
      <c r="F135" s="217" t="str">
        <f t="array" ref="F13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Placement'!$B:$B,$G135)+COUNTIF('Resource Planner'!$D:$D,$G135),IF(NOT(OR($A135=TRUE,$A135="☑",$A135="✓",$A135="✔")),IF(refs&gt;0,"⚠ keeper is turned off",""),IF($B135="","⚠ choose form",IF($C135="","⚠ choose subject",IF($D135="","⚠ add strand name",IF(target=id,"⚠ cannot combine into itself",IF(AND($E135&lt;&gt;"",target=""),"⚠ choose an active keeper",IF(targetTarget&lt;&gt;"","⚠ keeper cannot combine again",IF(AND(target&lt;&gt;"",used&gt;0),"⚠ existing records use this strand",IF(AND(target="",COUNTIFS('Helper Data'!$AN$5:$AN$106,TRUE,'Helper Data'!$AM$5:$AM$106,$G135)&gt;1),"⚠ duplicate final strand",""))))))))))</f>
        <v/>
      </c>
      <c r="G135" s="220" t="str">
        <f t="shared" si="1"/>
        <v/>
      </c>
      <c r="H135" s="153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357" t="b">
        <v>0</v>
      </c>
      <c r="B136" s="197"/>
      <c r="C136" s="197"/>
      <c r="D136" s="197"/>
      <c r="E136" s="211"/>
      <c r="F136" s="217" t="str">
        <f t="array" ref="F13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Placement'!$B:$B,$G136)+COUNTIF('Resource Planner'!$D:$D,$G136),IF(NOT(OR($A136=TRUE,$A136="☑",$A136="✓",$A136="✔")),IF(refs&gt;0,"⚠ keeper is turned off",""),IF($B136="","⚠ choose form",IF($C136="","⚠ choose subject",IF($D136="","⚠ add strand name",IF(target=id,"⚠ cannot combine into itself",IF(AND($E136&lt;&gt;"",target=""),"⚠ choose an active keeper",IF(targetTarget&lt;&gt;"","⚠ keeper cannot combine again",IF(AND(target&lt;&gt;"",used&gt;0),"⚠ existing records use this strand",IF(AND(target="",COUNTIFS('Helper Data'!$AN$5:$AN$106,TRUE,'Helper Data'!$AM$5:$AM$106,$G136)&gt;1),"⚠ duplicate final strand",""))))))))))</f>
        <v/>
      </c>
      <c r="G136" s="220" t="str">
        <f t="shared" si="1"/>
        <v/>
      </c>
      <c r="H136" s="153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357" t="b">
        <v>0</v>
      </c>
      <c r="B137" s="197"/>
      <c r="C137" s="197"/>
      <c r="D137" s="197"/>
      <c r="E137" s="211"/>
      <c r="F137" s="217" t="str">
        <f t="array" ref="F13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Placement'!$B:$B,$G137)+COUNTIF('Resource Planner'!$D:$D,$G137),IF(NOT(OR($A137=TRUE,$A137="☑",$A137="✓",$A137="✔")),IF(refs&gt;0,"⚠ keeper is turned off",""),IF($B137="","⚠ choose form",IF($C137="","⚠ choose subject",IF($D137="","⚠ add strand name",IF(target=id,"⚠ cannot combine into itself",IF(AND($E137&lt;&gt;"",target=""),"⚠ choose an active keeper",IF(targetTarget&lt;&gt;"","⚠ keeper cannot combine again",IF(AND(target&lt;&gt;"",used&gt;0),"⚠ existing records use this strand",IF(AND(target="",COUNTIFS('Helper Data'!$AN$5:$AN$106,TRUE,'Helper Data'!$AM$5:$AM$106,$G137)&gt;1),"⚠ duplicate final strand",""))))))))))</f>
        <v/>
      </c>
      <c r="G137" s="220" t="str">
        <f t="shared" si="1"/>
        <v/>
      </c>
      <c r="H137" s="153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357" t="b">
        <v>0</v>
      </c>
      <c r="B138" s="197"/>
      <c r="C138" s="197"/>
      <c r="D138" s="197"/>
      <c r="E138" s="211"/>
      <c r="F138" s="217" t="str">
        <f t="array" ref="F138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Placement'!$B:$B,$G138)+COUNTIF('Resource Planner'!$D:$D,$G138),IF(NOT(OR($A138=TRUE,$A138="☑",$A138="✓",$A138="✔")),IF(refs&gt;0,"⚠ keeper is turned off",""),IF($B138="","⚠ choose form",IF($C138="","⚠ choose subject",IF($D138="","⚠ add strand name",IF(target=id,"⚠ cannot combine into itself",IF(AND($E138&lt;&gt;"",target=""),"⚠ choose an active keeper",IF(targetTarget&lt;&gt;"","⚠ keeper cannot combine again",IF(AND(target&lt;&gt;"",used&gt;0),"⚠ existing records use this strand",IF(AND(target="",COUNTIFS('Helper Data'!$AN$5:$AN$106,TRUE,'Helper Data'!$AM$5:$AM$106,$G138)&gt;1),"⚠ duplicate final strand",""))))))))))</f>
        <v/>
      </c>
      <c r="G138" s="220" t="str">
        <f t="shared" si="1"/>
        <v/>
      </c>
      <c r="H138" s="153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357" t="b">
        <v>0</v>
      </c>
      <c r="B139" s="197"/>
      <c r="C139" s="197"/>
      <c r="D139" s="197"/>
      <c r="E139" s="211"/>
      <c r="F139" s="217" t="str">
        <f t="array" ref="F139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Placement'!$B:$B,$G139)+COUNTIF('Resource Planner'!$D:$D,$G139),IF(NOT(OR($A139=TRUE,$A139="☑",$A139="✓",$A139="✔")),IF(refs&gt;0,"⚠ keeper is turned off",""),IF($B139="","⚠ choose form",IF($C139="","⚠ choose subject",IF($D139="","⚠ add strand name",IF(target=id,"⚠ cannot combine into itself",IF(AND($E139&lt;&gt;"",target=""),"⚠ choose an active keeper",IF(targetTarget&lt;&gt;"","⚠ keeper cannot combine again",IF(AND(target&lt;&gt;"",used&gt;0),"⚠ existing records use this strand",IF(AND(target="",COUNTIFS('Helper Data'!$AN$5:$AN$106,TRUE,'Helper Data'!$AM$5:$AM$106,$G139)&gt;1),"⚠ duplicate final strand",""))))))))))</f>
        <v/>
      </c>
      <c r="G139" s="220" t="str">
        <f t="shared" si="1"/>
        <v/>
      </c>
      <c r="H139" s="153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357" t="b">
        <v>0</v>
      </c>
      <c r="B140" s="197"/>
      <c r="C140" s="197"/>
      <c r="D140" s="197"/>
      <c r="E140" s="211"/>
      <c r="F140" s="217" t="str">
        <f t="array" ref="F140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Placement'!$B:$B,$G140)+COUNTIF('Resource Planner'!$D:$D,$G140),IF(NOT(OR($A140=TRUE,$A140="☑",$A140="✓",$A140="✔")),IF(refs&gt;0,"⚠ keeper is turned off",""),IF($B140="","⚠ choose form",IF($C140="","⚠ choose subject",IF($D140="","⚠ add strand name",IF(target=id,"⚠ cannot combine into itself",IF(AND($E140&lt;&gt;"",target=""),"⚠ choose an active keeper",IF(targetTarget&lt;&gt;"","⚠ keeper cannot combine again",IF(AND(target&lt;&gt;"",used&gt;0),"⚠ existing records use this strand",IF(AND(target="",COUNTIFS('Helper Data'!$AN$5:$AN$106,TRUE,'Helper Data'!$AM$5:$AM$106,$G140)&gt;1),"⚠ duplicate final strand",""))))))))))</f>
        <v/>
      </c>
      <c r="G140" s="220" t="str">
        <f t="shared" si="1"/>
        <v/>
      </c>
      <c r="H140" s="153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357" t="b">
        <v>0</v>
      </c>
      <c r="B141" s="197"/>
      <c r="C141" s="197"/>
      <c r="D141" s="197"/>
      <c r="E141" s="211"/>
      <c r="F141" s="217" t="str">
        <f t="array" ref="F141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Placement'!$B:$B,$G141)+COUNTIF('Resource Planner'!$D:$D,$G141),IF(NOT(OR($A141=TRUE,$A141="☑",$A141="✓",$A141="✔")),IF(refs&gt;0,"⚠ keeper is turned off",""),IF($B141="","⚠ choose form",IF($C141="","⚠ choose subject",IF($D141="","⚠ add strand name",IF(target=id,"⚠ cannot combine into itself",IF(AND($E141&lt;&gt;"",target=""),"⚠ choose an active keeper",IF(targetTarget&lt;&gt;"","⚠ keeper cannot combine again",IF(AND(target&lt;&gt;"",used&gt;0),"⚠ existing records use this strand",IF(AND(target="",COUNTIFS('Helper Data'!$AN$5:$AN$106,TRUE,'Helper Data'!$AM$5:$AM$106,$G141)&gt;1),"⚠ duplicate final strand",""))))))))))</f>
        <v/>
      </c>
      <c r="G141" s="220" t="str">
        <f t="shared" si="1"/>
        <v/>
      </c>
      <c r="H141" s="153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357" t="b">
        <v>0</v>
      </c>
      <c r="B142" s="197"/>
      <c r="C142" s="197"/>
      <c r="D142" s="197"/>
      <c r="E142" s="211"/>
      <c r="F142" s="217" t="str">
        <f t="array" ref="F142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Placement'!$B:$B,$G142)+COUNTIF('Resource Planner'!$D:$D,$G142),IF(NOT(OR($A142=TRUE,$A142="☑",$A142="✓",$A142="✔")),IF(refs&gt;0,"⚠ keeper is turned off",""),IF($B142="","⚠ choose form",IF($C142="","⚠ choose subject",IF($D142="","⚠ add strand name",IF(target=id,"⚠ cannot combine into itself",IF(AND($E142&lt;&gt;"",target=""),"⚠ choose an active keeper",IF(targetTarget&lt;&gt;"","⚠ keeper cannot combine again",IF(AND(target&lt;&gt;"",used&gt;0),"⚠ existing records use this strand",IF(AND(target="",COUNTIFS('Helper Data'!$AN$5:$AN$106,TRUE,'Helper Data'!$AM$5:$AM$106,$G142)&gt;1),"⚠ duplicate final strand",""))))))))))</f>
        <v/>
      </c>
      <c r="G142" s="220" t="str">
        <f t="shared" si="1"/>
        <v/>
      </c>
      <c r="H142" s="153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357" t="b">
        <v>0</v>
      </c>
      <c r="B143" s="197"/>
      <c r="C143" s="197"/>
      <c r="D143" s="197"/>
      <c r="E143" s="211"/>
      <c r="F143" s="217" t="str">
        <f t="array" ref="F143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Placement'!$B:$B,$G143)+COUNTIF('Resource Planner'!$D:$D,$G143),IF(NOT(OR($A143=TRUE,$A143="☑",$A143="✓",$A143="✔")),IF(refs&gt;0,"⚠ keeper is turned off",""),IF($B143="","⚠ choose form",IF($C143="","⚠ choose subject",IF($D143="","⚠ add strand name",IF(target=id,"⚠ cannot combine into itself",IF(AND($E143&lt;&gt;"",target=""),"⚠ choose an active keeper",IF(targetTarget&lt;&gt;"","⚠ keeper cannot combine again",IF(AND(target&lt;&gt;"",used&gt;0),"⚠ existing records use this strand",IF(AND(target="",COUNTIFS('Helper Data'!$AN$5:$AN$106,TRUE,'Helper Data'!$AM$5:$AM$106,$G143)&gt;1),"⚠ duplicate final strand",""))))))))))</f>
        <v/>
      </c>
      <c r="G143" s="220" t="str">
        <f t="shared" si="1"/>
        <v/>
      </c>
      <c r="H143" s="153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357" t="b">
        <v>0</v>
      </c>
      <c r="B144" s="197"/>
      <c r="C144" s="197"/>
      <c r="D144" s="197"/>
      <c r="E144" s="211"/>
      <c r="F144" s="217" t="str">
        <f t="array" ref="F144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Placement'!$B:$B,$G144)+COUNTIF('Resource Planner'!$D:$D,$G144),IF(NOT(OR($A144=TRUE,$A144="☑",$A144="✓",$A144="✔")),IF(refs&gt;0,"⚠ keeper is turned off",""),IF($B144="","⚠ choose form",IF($C144="","⚠ choose subject",IF($D144="","⚠ add strand name",IF(target=id,"⚠ cannot combine into itself",IF(AND($E144&lt;&gt;"",target=""),"⚠ choose an active keeper",IF(targetTarget&lt;&gt;"","⚠ keeper cannot combine again",IF(AND(target&lt;&gt;"",used&gt;0),"⚠ existing records use this strand",IF(AND(target="",COUNTIFS('Helper Data'!$AN$5:$AN$106,TRUE,'Helper Data'!$AM$5:$AM$106,$G144)&gt;1),"⚠ duplicate final strand",""))))))))))</f>
        <v/>
      </c>
      <c r="G144" s="220" t="str">
        <f t="shared" si="1"/>
        <v/>
      </c>
      <c r="H144" s="153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357" t="b">
        <v>0</v>
      </c>
      <c r="B145" s="246"/>
      <c r="C145" s="246"/>
      <c r="D145" s="246"/>
      <c r="E145" s="211"/>
      <c r="F145" s="217" t="str">
        <f t="array" ref="F145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Placement'!$B:$B,$G145)+COUNTIF('Resource Planner'!$D:$D,$G145),IF(NOT(OR($A145=TRUE,$A145="☑",$A145="✓",$A145="✔")),IF(refs&gt;0,"⚠ keeper is turned off",""),IF($B145="","⚠ choose form",IF($C145="","⚠ choose subject",IF($D145="","⚠ add strand name",IF(target=id,"⚠ cannot combine into itself",IF(AND($E145&lt;&gt;"",target=""),"⚠ choose an active keeper",IF(targetTarget&lt;&gt;"","⚠ keeper cannot combine again",IF(AND(target&lt;&gt;"",used&gt;0),"⚠ existing records use this strand",IF(AND(target="",COUNTIFS('Helper Data'!$AN$5:$AN$106,TRUE,'Helper Data'!$AM$5:$AM$106,$G145)&gt;1),"⚠ duplicate final strand",""))))))))))</f>
        <v/>
      </c>
      <c r="G145" s="220" t="str">
        <f t="shared" si="1"/>
        <v/>
      </c>
      <c r="H145" s="359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357" t="b">
        <v>0</v>
      </c>
      <c r="B146" s="246"/>
      <c r="C146" s="246"/>
      <c r="D146" s="246"/>
      <c r="E146" s="209"/>
      <c r="F146" s="217" t="str">
        <f t="array" ref="F146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Placement'!$B:$B,$G146)+COUNTIF('Resource Planner'!$D:$D,$G146),IF(NOT(OR($A146=TRUE,$A146="☑",$A146="✓",$A146="✔")),IF(refs&gt;0,"⚠ keeper is turned off",""),IF($B146="","⚠ choose form",IF($C146="","⚠ choose subject",IF($D146="","⚠ add strand name",IF(target=id,"⚠ cannot combine into itself",IF(AND($E146&lt;&gt;"",target=""),"⚠ choose an active keeper",IF(targetTarget&lt;&gt;"","⚠ keeper cannot combine again",IF(AND(target&lt;&gt;"",used&gt;0),"⚠ existing records use this strand",IF(AND(target="",COUNTIFS('Helper Data'!$AN$5:$AN$106,TRUE,'Helper Data'!$AM$5:$AM$106,$G146)&gt;1),"⚠ duplicate final strand",""))))))))))</f>
        <v/>
      </c>
      <c r="G146" s="220" t="str">
        <f t="shared" si="1"/>
        <v/>
      </c>
      <c r="H146" s="359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357" t="b">
        <v>0</v>
      </c>
      <c r="B147" s="246"/>
      <c r="C147" s="246"/>
      <c r="D147" s="246"/>
      <c r="E147" s="209"/>
      <c r="F147" s="217" t="str">
        <f t="array" ref="F147">LET(id,ROW()-45,target,IFERROR(XLOOKUP(id,'Helper Data'!$A$5:$A$106,'Helper Data'!$AK$5:$AK$106,""),""),targetTarget,IF(target="","",IFERROR(XLOOKUP(target,'Helper Data'!$A$5:$A$106,'Helper Data'!$AK$5:$AK$106,""),"")),refs,COUNTIF('Helper Data'!$AK$5:$AK$106,id),used,COUNTIF('Strand Placement'!$B:$B,$G147)+COUNTIF('Resource Planner'!$D:$D,$G147),IF(NOT(OR($A147=TRUE,$A147="☑",$A147="✓",$A147="✔")),IF(refs&gt;0,"⚠ keeper is turned off",""),IF($B147="","⚠ choose form",IF($C147="","⚠ choose subject",IF($D147="","⚠ add strand name",IF(target=id,"⚠ cannot combine into itself",IF(AND($E147&lt;&gt;"",target=""),"⚠ choose an active keeper",IF(targetTarget&lt;&gt;"","⚠ keeper cannot combine again",IF(AND(target&lt;&gt;"",used&gt;0),"⚠ existing records use this strand",IF(AND(target="",COUNTIFS('Helper Data'!$AN$5:$AN$106,TRUE,'Helper Data'!$AM$5:$AM$106,$G147)&gt;1),"⚠ duplicate final strand",""))))))))))</f>
        <v/>
      </c>
      <c r="G147" s="220" t="str">
        <f t="shared" si="1"/>
        <v/>
      </c>
      <c r="H147" s="359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360" t="s">
        <v>429</v>
      </c>
      <c r="B148" s="361"/>
      <c r="C148" s="361"/>
      <c r="D148" s="361"/>
      <c r="E148" s="361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A9"/>
    <mergeCell ref="A11:A15"/>
    <mergeCell ref="A17:A21"/>
    <mergeCell ref="A23:A27"/>
    <mergeCell ref="A29:A33"/>
    <mergeCell ref="A35:A39"/>
  </mergeCells>
  <dataValidations>
    <dataValidation type="list" allowBlank="1" showInputMessage="1" showErrorMessage="1" prompt="Choose the family stage or Form for this strand." sqref="B46:B147">
      <formula1>Setup!$B$38:$B$44</formula1>
    </dataValidation>
    <dataValidation type="list" allowBlank="1" showInputMessage="1" showErrorMessage="1" prompt="Leave blank to keep this strand separate. Choose the strand that should remain to combine it." sqref="E46:E147">
      <formula1>'Helper Data'!$AO$5:$AO$106</formula1>
    </dataValidation>
    <dataValidation type="list" allowBlank="1" showInputMessage="1" prompt="Choose an existing subject area or type a new one." sqref="C46:C147">
      <formula1>"Beauty + Hands,Bible,Citizenship,Foreign Language,Geography,History,Language Arts,Literature,Math,Science / Nature"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4349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60.0"/>
    <col customWidth="1" min="3" max="3" width="24.0"/>
    <col customWidth="1" min="4" max="4" width="20.0"/>
    <col customWidth="1" min="5" max="5" width="18.0"/>
    <col customWidth="1" min="6" max="6" width="32.0"/>
    <col customWidth="1" min="7" max="7" width="9.38"/>
    <col customWidth="1" hidden="1" min="8" max="8" width="55.0"/>
    <col customWidth="1" hidden="1" min="9" max="9" width="18.0"/>
    <col customWidth="1" hidden="1" min="10" max="10" width="20.0"/>
    <col customWidth="1" hidden="1" min="11" max="12" width="18.88"/>
    <col customWidth="1" min="13" max="26" width="8.63"/>
  </cols>
  <sheetData>
    <row r="1" ht="15.75" customHeight="1">
      <c r="A1" s="212" t="s">
        <v>200</v>
      </c>
      <c r="B1" s="213"/>
      <c r="C1" s="213"/>
      <c r="D1" s="213"/>
      <c r="E1" s="213"/>
      <c r="F1" s="213"/>
      <c r="G1" s="213"/>
      <c r="H1" s="213"/>
      <c r="I1" s="213"/>
      <c r="J1" s="213"/>
      <c r="K1" s="214"/>
      <c r="L1" s="214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215" t="s">
        <v>201</v>
      </c>
      <c r="B2" s="216"/>
      <c r="C2" s="216"/>
      <c r="D2" s="216"/>
      <c r="E2" s="216"/>
      <c r="F2" s="216"/>
      <c r="G2" s="216"/>
      <c r="H2" s="216"/>
      <c r="I2" s="216"/>
      <c r="J2" s="216"/>
      <c r="K2" s="218"/>
      <c r="L2" s="21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19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222" t="s">
        <v>204</v>
      </c>
      <c r="B4" s="223"/>
      <c r="C4" s="223"/>
      <c r="D4" s="223"/>
      <c r="E4" s="223"/>
      <c r="F4" s="223"/>
      <c r="G4" s="223"/>
      <c r="H4" s="22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224" t="s">
        <v>37</v>
      </c>
      <c r="B5" s="224" t="s">
        <v>206</v>
      </c>
      <c r="C5" s="224" t="s">
        <v>207</v>
      </c>
      <c r="D5" s="224" t="s">
        <v>208</v>
      </c>
      <c r="E5" s="224" t="s">
        <v>209</v>
      </c>
      <c r="F5" s="225" t="s">
        <v>210</v>
      </c>
      <c r="G5" s="225" t="s">
        <v>211</v>
      </c>
      <c r="H5" s="224" t="s">
        <v>66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226" t="s">
        <v>98</v>
      </c>
      <c r="B6" s="210" t="s">
        <v>212</v>
      </c>
      <c r="C6" s="210" t="s">
        <v>170</v>
      </c>
      <c r="D6" s="227" t="s">
        <v>99</v>
      </c>
      <c r="E6" s="227" t="s">
        <v>100</v>
      </c>
      <c r="F6" s="227" t="s">
        <v>213</v>
      </c>
      <c r="G6" s="227" t="s">
        <v>214</v>
      </c>
      <c r="H6" s="22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226" t="s">
        <v>98</v>
      </c>
      <c r="B7" s="227" t="s">
        <v>215</v>
      </c>
      <c r="C7" s="210" t="s">
        <v>172</v>
      </c>
      <c r="D7" s="227" t="s">
        <v>99</v>
      </c>
      <c r="E7" s="227" t="s">
        <v>100</v>
      </c>
      <c r="F7" s="227" t="s">
        <v>216</v>
      </c>
      <c r="G7" s="227" t="s">
        <v>214</v>
      </c>
      <c r="H7" s="22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226" t="s">
        <v>98</v>
      </c>
      <c r="B8" s="227" t="s">
        <v>217</v>
      </c>
      <c r="C8" s="227" t="s">
        <v>174</v>
      </c>
      <c r="D8" s="227" t="s">
        <v>99</v>
      </c>
      <c r="E8" s="227" t="s">
        <v>100</v>
      </c>
      <c r="F8" s="227" t="s">
        <v>216</v>
      </c>
      <c r="G8" s="227" t="s">
        <v>214</v>
      </c>
      <c r="H8" s="22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226" t="s">
        <v>98</v>
      </c>
      <c r="B9" s="227" t="s">
        <v>218</v>
      </c>
      <c r="C9" s="227" t="s">
        <v>170</v>
      </c>
      <c r="D9" s="227" t="s">
        <v>99</v>
      </c>
      <c r="E9" s="227" t="s">
        <v>100</v>
      </c>
      <c r="F9" s="210" t="s">
        <v>220</v>
      </c>
      <c r="G9" s="227" t="s">
        <v>214</v>
      </c>
      <c r="H9" s="22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226" t="s">
        <v>98</v>
      </c>
      <c r="B10" s="227" t="s">
        <v>221</v>
      </c>
      <c r="C10" s="210" t="s">
        <v>170</v>
      </c>
      <c r="D10" s="227" t="s">
        <v>111</v>
      </c>
      <c r="E10" s="227" t="s">
        <v>125</v>
      </c>
      <c r="F10" s="227" t="s">
        <v>222</v>
      </c>
      <c r="G10" s="227" t="s">
        <v>223</v>
      </c>
      <c r="H10" s="22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226" t="s">
        <v>98</v>
      </c>
      <c r="B11" s="227" t="s">
        <v>224</v>
      </c>
      <c r="C11" s="210" t="s">
        <v>170</v>
      </c>
      <c r="D11" s="227" t="s">
        <v>111</v>
      </c>
      <c r="E11" s="227" t="s">
        <v>134</v>
      </c>
      <c r="F11" s="227" t="s">
        <v>213</v>
      </c>
      <c r="G11" s="227" t="s">
        <v>225</v>
      </c>
      <c r="H11" s="22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226" t="s">
        <v>98</v>
      </c>
      <c r="B12" s="227" t="s">
        <v>123</v>
      </c>
      <c r="C12" s="227"/>
      <c r="D12" s="227" t="s">
        <v>123</v>
      </c>
      <c r="E12" s="227" t="s">
        <v>139</v>
      </c>
      <c r="F12" s="227" t="s">
        <v>226</v>
      </c>
      <c r="G12" s="227" t="s">
        <v>225</v>
      </c>
      <c r="H12" s="22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30" t="s">
        <v>98</v>
      </c>
      <c r="B13" s="231" t="s">
        <v>228</v>
      </c>
      <c r="C13" s="231"/>
      <c r="D13" s="231" t="s">
        <v>99</v>
      </c>
      <c r="E13" s="231" t="s">
        <v>100</v>
      </c>
      <c r="F13" s="231" t="s">
        <v>229</v>
      </c>
      <c r="G13" s="231" t="s">
        <v>214</v>
      </c>
      <c r="H13" s="232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222" t="s">
        <v>231</v>
      </c>
      <c r="B16" s="223"/>
      <c r="C16" s="223"/>
      <c r="D16" s="223"/>
      <c r="E16" s="223"/>
      <c r="F16" s="223"/>
      <c r="G16" s="223"/>
      <c r="H16" s="233"/>
      <c r="I16" s="234"/>
      <c r="J16" s="23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235" t="s">
        <v>232</v>
      </c>
      <c r="B17" s="236"/>
      <c r="C17" s="236"/>
      <c r="D17" s="236"/>
      <c r="E17" s="236"/>
      <c r="F17" s="236"/>
      <c r="G17" s="236"/>
      <c r="H17" s="237"/>
      <c r="I17" s="237"/>
      <c r="J17" s="23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223" t="str">
        <f>IF($A$6="☑",$B$6,"")</f>
        <v>Faith</v>
      </c>
      <c r="B19" s="238"/>
      <c r="C19" s="238"/>
      <c r="D19" s="238"/>
      <c r="E19" s="238"/>
      <c r="F19" s="238"/>
      <c r="G19" s="239"/>
      <c r="H19" s="240"/>
      <c r="I19" s="33"/>
      <c r="J19" s="3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224" t="s">
        <v>233</v>
      </c>
      <c r="B20" s="224" t="s">
        <v>234</v>
      </c>
      <c r="C20" s="241" t="s">
        <v>236</v>
      </c>
      <c r="D20" s="242" t="s">
        <v>237</v>
      </c>
      <c r="E20" s="225" t="s">
        <v>238</v>
      </c>
      <c r="F20" s="225" t="s">
        <v>74</v>
      </c>
      <c r="G20" s="225" t="s">
        <v>66</v>
      </c>
      <c r="H20" s="33"/>
      <c r="I20" s="33"/>
      <c r="J20" s="33"/>
      <c r="K20" s="243" t="s">
        <v>239</v>
      </c>
      <c r="L20" s="243" t="s">
        <v>240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28">
        <v>1.0</v>
      </c>
      <c r="B21" s="210" t="s">
        <v>241</v>
      </c>
      <c r="C21" s="244"/>
      <c r="D21" s="245"/>
      <c r="E21" s="210" t="s">
        <v>242</v>
      </c>
      <c r="F21" s="197" t="str">
        <f t="shared" ref="F21:F26" si="1">IF($B21="","",IF(COUNTIF($B:$B,$B21)&gt;1,"⚠ duplicate",IF($E21="","⚠ add touch rhythm","")))</f>
        <v/>
      </c>
      <c r="G21" s="246"/>
      <c r="H21" s="33"/>
      <c r="I21" s="33"/>
      <c r="J21" s="33"/>
      <c r="K21" s="247" t="str">
        <f t="shared" ref="K21:K26" si="2">IF($B21="","",$E21)</f>
        <v>1x/week</v>
      </c>
      <c r="L21" s="247" t="str">
        <f t="shared" ref="L21:L26" si="3">IF($B21="","",IF(IF($C21&lt;&gt;"",$C21,$C$6)&lt;&gt;"",IF($C21&lt;&gt;"",$C21,$C$6)&amp;" | ","")&amp;$B21)</f>
        <v>Everyone | All Together / Bible — Old Testament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28">
        <v>2.0</v>
      </c>
      <c r="B22" s="210" t="s">
        <v>244</v>
      </c>
      <c r="C22" s="244"/>
      <c r="D22" s="245"/>
      <c r="E22" s="210" t="s">
        <v>242</v>
      </c>
      <c r="F22" s="197" t="str">
        <f t="shared" si="1"/>
        <v>⚠ duplicate</v>
      </c>
      <c r="G22" s="246"/>
      <c r="H22" s="33"/>
      <c r="I22" s="33"/>
      <c r="J22" s="33"/>
      <c r="K22" s="247" t="str">
        <f t="shared" si="2"/>
        <v>1x/week</v>
      </c>
      <c r="L22" s="247" t="str">
        <f t="shared" si="3"/>
        <v>Everyone | All Together / Bible — Scripture Memory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28">
        <v>3.0</v>
      </c>
      <c r="B23" s="210" t="s">
        <v>245</v>
      </c>
      <c r="C23" s="244"/>
      <c r="D23" s="245"/>
      <c r="E23" s="210" t="s">
        <v>242</v>
      </c>
      <c r="F23" s="197" t="str">
        <f t="shared" si="1"/>
        <v/>
      </c>
      <c r="G23" s="246"/>
      <c r="H23" s="33"/>
      <c r="I23" s="33"/>
      <c r="J23" s="33"/>
      <c r="K23" s="247" t="str">
        <f t="shared" si="2"/>
        <v>1x/week</v>
      </c>
      <c r="L23" s="247" t="str">
        <f t="shared" si="3"/>
        <v>Everyone | All Together / Bible — New Testament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28">
        <v>4.0</v>
      </c>
      <c r="B24" s="210" t="s">
        <v>246</v>
      </c>
      <c r="C24" s="244"/>
      <c r="D24" s="245"/>
      <c r="E24" s="210" t="s">
        <v>242</v>
      </c>
      <c r="F24" s="197" t="str">
        <f t="shared" si="1"/>
        <v/>
      </c>
      <c r="G24" s="197"/>
      <c r="H24" s="33"/>
      <c r="I24" s="33"/>
      <c r="J24" s="33"/>
      <c r="K24" s="247" t="str">
        <f t="shared" si="2"/>
        <v>1x/week</v>
      </c>
      <c r="L24" s="247" t="str">
        <f t="shared" si="3"/>
        <v>Everyone | All Together / Bible — Psalms / Proverbs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97">
        <v>5.0</v>
      </c>
      <c r="B25" s="197"/>
      <c r="C25" s="244"/>
      <c r="D25" s="245"/>
      <c r="E25" s="197"/>
      <c r="F25" s="197" t="str">
        <f t="shared" si="1"/>
        <v/>
      </c>
      <c r="G25" s="197"/>
      <c r="H25" s="33"/>
      <c r="I25" s="33"/>
      <c r="J25" s="33"/>
      <c r="K25" s="247" t="str">
        <f t="shared" si="2"/>
        <v/>
      </c>
      <c r="L25" s="247" t="str">
        <f t="shared" si="3"/>
        <v/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97">
        <v>6.0</v>
      </c>
      <c r="B26" s="197"/>
      <c r="C26" s="248"/>
      <c r="D26" s="249"/>
      <c r="E26" s="197"/>
      <c r="F26" s="197" t="str">
        <f t="shared" si="1"/>
        <v/>
      </c>
      <c r="G26" s="197"/>
      <c r="H26" s="33"/>
      <c r="I26" s="33"/>
      <c r="J26" s="33"/>
      <c r="K26" s="247" t="str">
        <f t="shared" si="2"/>
        <v/>
      </c>
      <c r="L26" s="247" t="str">
        <f t="shared" si="3"/>
        <v/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50"/>
      <c r="B27" s="250"/>
      <c r="C27" s="251"/>
      <c r="D27" s="252"/>
      <c r="E27" s="250"/>
      <c r="F27" s="250"/>
      <c r="G27" s="8"/>
      <c r="H27" s="33"/>
      <c r="I27" s="33"/>
      <c r="J27" s="33"/>
      <c r="K27" s="253"/>
      <c r="L27" s="25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23" t="str">
        <f>IF($A$7="☑",$B$7,"")</f>
        <v>Reading Loop</v>
      </c>
      <c r="B28" s="238"/>
      <c r="C28" s="238"/>
      <c r="D28" s="238"/>
      <c r="E28" s="238"/>
      <c r="F28" s="238"/>
      <c r="G28" s="239"/>
      <c r="H28" s="240"/>
      <c r="I28" s="33"/>
      <c r="J28" s="33"/>
      <c r="K28" s="253"/>
      <c r="L28" s="253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24" t="s">
        <v>233</v>
      </c>
      <c r="B29" s="224" t="s">
        <v>234</v>
      </c>
      <c r="C29" s="241" t="s">
        <v>236</v>
      </c>
      <c r="D29" s="242" t="s">
        <v>237</v>
      </c>
      <c r="E29" s="225" t="s">
        <v>238</v>
      </c>
      <c r="F29" s="225" t="s">
        <v>74</v>
      </c>
      <c r="G29" s="225" t="s">
        <v>66</v>
      </c>
      <c r="H29" s="33"/>
      <c r="I29" s="33"/>
      <c r="J29" s="33"/>
      <c r="K29" s="243" t="s">
        <v>239</v>
      </c>
      <c r="L29" s="243" t="s">
        <v>240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28">
        <v>1.0</v>
      </c>
      <c r="B30" s="210" t="s">
        <v>248</v>
      </c>
      <c r="C30" s="254" t="s">
        <v>170</v>
      </c>
      <c r="D30" s="245"/>
      <c r="E30" s="210" t="s">
        <v>249</v>
      </c>
      <c r="F30" s="197" t="str">
        <f t="shared" ref="F30:F31" si="4">IF($B30="","",IF(COUNTIF($B:$B,$B30)&gt;1,"⚠ duplicate",IF($E30="","⚠ add touch rhythm","")))</f>
        <v/>
      </c>
      <c r="G30" s="246"/>
      <c r="H30" s="33"/>
      <c r="I30" s="33"/>
      <c r="J30" s="33"/>
      <c r="K30" s="247" t="str">
        <f t="shared" ref="K30:K35" si="5">IF($B30="","",$E30)</f>
        <v>3x/week</v>
      </c>
      <c r="L30" s="247" t="str">
        <f t="shared" ref="L30:L35" si="6">IF($B30="","",IF(IF($C30&lt;&gt;"",$C30,$C$7)&lt;&gt;"",IF($C30&lt;&gt;"",$C30,$C$7)&amp;" | ","")&amp;$B30)</f>
        <v>Everyone | All Together / Literature — Family Read-Aloud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28">
        <v>2.0</v>
      </c>
      <c r="B31" s="209" t="s">
        <v>251</v>
      </c>
      <c r="C31" s="255" t="s">
        <v>173</v>
      </c>
      <c r="D31" s="245"/>
      <c r="E31" s="210" t="s">
        <v>252</v>
      </c>
      <c r="F31" s="197" t="str">
        <f t="shared" si="4"/>
        <v>⚠ duplicate</v>
      </c>
      <c r="G31" s="246"/>
      <c r="H31" s="33"/>
      <c r="I31" s="33"/>
      <c r="J31" s="33"/>
      <c r="K31" s="247" t="str">
        <f t="shared" si="5"/>
        <v>2x/week</v>
      </c>
      <c r="L31" s="247" t="str">
        <f t="shared" si="6"/>
        <v>All the Girls | All Together / Science / Nature — Special Studies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28">
        <v>3.0</v>
      </c>
      <c r="B32" s="209"/>
      <c r="C32" s="254"/>
      <c r="D32" s="245"/>
      <c r="E32" s="210"/>
      <c r="F32" s="197"/>
      <c r="G32" s="197"/>
      <c r="H32" s="33"/>
      <c r="I32" s="33"/>
      <c r="J32" s="33"/>
      <c r="K32" s="247" t="str">
        <f t="shared" si="5"/>
        <v/>
      </c>
      <c r="L32" s="247" t="str">
        <f t="shared" si="6"/>
        <v/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28">
        <v>4.0</v>
      </c>
      <c r="B33" s="210" t="s">
        <v>253</v>
      </c>
      <c r="C33" s="255" t="s">
        <v>170</v>
      </c>
      <c r="D33" s="245"/>
      <c r="E33" s="210" t="s">
        <v>242</v>
      </c>
      <c r="F33" s="197" t="str">
        <f t="shared" ref="F33:F35" si="7">IF($B33="","",IF(COUNTIF($B:$B,$B33)&gt;1,"⚠ duplicate",IF($E33="","⚠ add touch rhythm","")))</f>
        <v/>
      </c>
      <c r="G33" s="197"/>
      <c r="H33" s="33"/>
      <c r="I33" s="33"/>
      <c r="J33" s="33"/>
      <c r="K33" s="247" t="str">
        <f t="shared" si="5"/>
        <v>1x/week</v>
      </c>
      <c r="L33" s="247" t="str">
        <f t="shared" si="6"/>
        <v>Everyone | Form I / Literature — Tales / Fairy Tales / Myths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28">
        <v>5.0</v>
      </c>
      <c r="B34" s="256" t="s">
        <v>255</v>
      </c>
      <c r="C34" s="255" t="s">
        <v>174</v>
      </c>
      <c r="D34" s="245"/>
      <c r="E34" s="210" t="s">
        <v>252</v>
      </c>
      <c r="F34" s="197" t="str">
        <f t="shared" si="7"/>
        <v/>
      </c>
      <c r="G34" s="197"/>
      <c r="H34" s="33"/>
      <c r="I34" s="33"/>
      <c r="J34" s="33"/>
      <c r="K34" s="247" t="str">
        <f t="shared" si="5"/>
        <v>2x/week</v>
      </c>
      <c r="L34" s="247" t="str">
        <f t="shared" si="6"/>
        <v>Older Students | Form III / Citizenship — Plutarch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97">
        <v>6.0</v>
      </c>
      <c r="B35" s="256"/>
      <c r="C35" s="255"/>
      <c r="D35" s="245"/>
      <c r="E35" s="256" t="s">
        <v>256</v>
      </c>
      <c r="F35" s="197" t="str">
        <f t="shared" si="7"/>
        <v/>
      </c>
      <c r="G35" s="197"/>
      <c r="H35" s="33"/>
      <c r="I35" s="33"/>
      <c r="J35" s="33"/>
      <c r="K35" s="247" t="str">
        <f t="shared" si="5"/>
        <v/>
      </c>
      <c r="L35" s="247" t="str">
        <f t="shared" si="6"/>
        <v/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50"/>
      <c r="B36" s="250"/>
      <c r="C36" s="251"/>
      <c r="D36" s="252"/>
      <c r="E36" s="250"/>
      <c r="F36" s="250"/>
      <c r="G36" s="8"/>
      <c r="H36" s="33"/>
      <c r="I36" s="33"/>
      <c r="J36" s="33"/>
      <c r="K36" s="253"/>
      <c r="L36" s="25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23" t="str">
        <f>IF($A$8="☑",$B$8,"")</f>
        <v>Thinking Loop</v>
      </c>
      <c r="B37" s="238"/>
      <c r="C37" s="238"/>
      <c r="D37" s="238"/>
      <c r="E37" s="238"/>
      <c r="F37" s="238"/>
      <c r="G37" s="239"/>
      <c r="H37" s="240"/>
      <c r="I37" s="33"/>
      <c r="J37" s="33"/>
      <c r="K37" s="253"/>
      <c r="L37" s="253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24" t="s">
        <v>233</v>
      </c>
      <c r="B38" s="224" t="s">
        <v>234</v>
      </c>
      <c r="C38" s="241" t="s">
        <v>236</v>
      </c>
      <c r="D38" s="242" t="s">
        <v>237</v>
      </c>
      <c r="E38" s="225" t="s">
        <v>238</v>
      </c>
      <c r="F38" s="225" t="s">
        <v>74</v>
      </c>
      <c r="G38" s="225" t="s">
        <v>66</v>
      </c>
      <c r="H38" s="33"/>
      <c r="I38" s="33"/>
      <c r="J38" s="33"/>
      <c r="K38" s="243" t="s">
        <v>239</v>
      </c>
      <c r="L38" s="243" t="s">
        <v>240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28">
        <v>1.0</v>
      </c>
      <c r="B39" s="209" t="s">
        <v>251</v>
      </c>
      <c r="C39" s="254" t="s">
        <v>173</v>
      </c>
      <c r="D39" s="245"/>
      <c r="E39" s="210" t="s">
        <v>242</v>
      </c>
      <c r="F39" s="197" t="str">
        <f t="shared" ref="F39:F44" si="8">IF($B39="","",IF(COUNTIF($B:$B,$B39)&gt;1,"⚠ duplicate",IF($E39="","⚠ add touch rhythm","")))</f>
        <v>⚠ duplicate</v>
      </c>
      <c r="G39" s="197"/>
      <c r="H39" s="33"/>
      <c r="I39" s="33"/>
      <c r="J39" s="33"/>
      <c r="K39" s="253" t="str">
        <f t="shared" ref="K39:K44" si="9">IF($B39="","",$E39)</f>
        <v>1x/week</v>
      </c>
      <c r="L39" s="253" t="str">
        <f t="shared" ref="L39:L44" si="10">IF($B39="","",IF(IF($C39&lt;&gt;"",$C39,$C$8)&lt;&gt;"",IF($C39&lt;&gt;"",$C39,$C$8)&amp;" | ","")&amp;$B39)</f>
        <v>All the Girls | All Together / Science / Nature — Special Studies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97">
        <v>2.0</v>
      </c>
      <c r="B40" s="209" t="s">
        <v>258</v>
      </c>
      <c r="C40" s="254" t="s">
        <v>173</v>
      </c>
      <c r="D40" s="245"/>
      <c r="E40" s="210" t="s">
        <v>242</v>
      </c>
      <c r="F40" s="197" t="str">
        <f t="shared" si="8"/>
        <v/>
      </c>
      <c r="G40" s="197"/>
      <c r="H40" s="33"/>
      <c r="I40" s="33"/>
      <c r="J40" s="33"/>
      <c r="K40" s="253" t="str">
        <f t="shared" si="9"/>
        <v>1x/week</v>
      </c>
      <c r="L40" s="253" t="str">
        <f t="shared" si="10"/>
        <v>All the Girls | All Together / Math — Family Math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97">
        <v>3.0</v>
      </c>
      <c r="B41" s="256" t="s">
        <v>259</v>
      </c>
      <c r="C41" s="255" t="s">
        <v>173</v>
      </c>
      <c r="D41" s="245"/>
      <c r="E41" s="256" t="s">
        <v>242</v>
      </c>
      <c r="F41" s="197" t="str">
        <f t="shared" si="8"/>
        <v/>
      </c>
      <c r="G41" s="197"/>
      <c r="H41" s="33"/>
      <c r="I41" s="33"/>
      <c r="J41" s="33"/>
      <c r="K41" s="253" t="str">
        <f t="shared" si="9"/>
        <v>1x/week</v>
      </c>
      <c r="L41" s="253" t="str">
        <f t="shared" si="10"/>
        <v>All the Girls | All Together / Foreign Language — Family Language Song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97">
        <v>4.0</v>
      </c>
      <c r="B42" s="197"/>
      <c r="C42" s="244"/>
      <c r="D42" s="245"/>
      <c r="E42" s="197"/>
      <c r="F42" s="197" t="str">
        <f t="shared" si="8"/>
        <v/>
      </c>
      <c r="G42" s="197"/>
      <c r="H42" s="33"/>
      <c r="I42" s="33"/>
      <c r="J42" s="33"/>
      <c r="K42" s="253" t="str">
        <f t="shared" si="9"/>
        <v/>
      </c>
      <c r="L42" s="253" t="str">
        <f t="shared" si="10"/>
        <v/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97">
        <v>5.0</v>
      </c>
      <c r="B43" s="197"/>
      <c r="C43" s="244"/>
      <c r="D43" s="245"/>
      <c r="E43" s="197"/>
      <c r="F43" s="197" t="str">
        <f t="shared" si="8"/>
        <v/>
      </c>
      <c r="G43" s="197"/>
      <c r="H43" s="33"/>
      <c r="I43" s="33"/>
      <c r="J43" s="33"/>
      <c r="K43" s="253" t="str">
        <f t="shared" si="9"/>
        <v/>
      </c>
      <c r="L43" s="253" t="str">
        <f t="shared" si="10"/>
        <v/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97">
        <v>6.0</v>
      </c>
      <c r="B44" s="197"/>
      <c r="C44" s="244"/>
      <c r="D44" s="245"/>
      <c r="E44" s="197"/>
      <c r="F44" s="197" t="str">
        <f t="shared" si="8"/>
        <v/>
      </c>
      <c r="G44" s="197"/>
      <c r="H44" s="33"/>
      <c r="I44" s="33"/>
      <c r="J44" s="33"/>
      <c r="K44" s="253" t="str">
        <f t="shared" si="9"/>
        <v/>
      </c>
      <c r="L44" s="253" t="str">
        <f t="shared" si="10"/>
        <v/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50"/>
      <c r="B45" s="250"/>
      <c r="C45" s="251"/>
      <c r="D45" s="252"/>
      <c r="E45" s="250"/>
      <c r="F45" s="250"/>
      <c r="G45" s="8"/>
      <c r="H45" s="33"/>
      <c r="I45" s="33"/>
      <c r="J45" s="33"/>
      <c r="K45" s="253"/>
      <c r="L45" s="253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23" t="str">
        <f>IF($A$9="☑",$B$9,"")</f>
        <v>Hands + Beauty Loop</v>
      </c>
      <c r="B46" s="238"/>
      <c r="C46" s="238"/>
      <c r="D46" s="238"/>
      <c r="E46" s="238"/>
      <c r="F46" s="238"/>
      <c r="G46" s="239"/>
      <c r="H46" s="244"/>
      <c r="I46" s="33"/>
      <c r="J46" s="33"/>
      <c r="K46" s="253"/>
      <c r="L46" s="253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24" t="s">
        <v>233</v>
      </c>
      <c r="B47" s="224" t="s">
        <v>234</v>
      </c>
      <c r="C47" s="241" t="s">
        <v>236</v>
      </c>
      <c r="D47" s="242" t="s">
        <v>237</v>
      </c>
      <c r="E47" s="225" t="s">
        <v>238</v>
      </c>
      <c r="F47" s="225" t="s">
        <v>74</v>
      </c>
      <c r="G47" s="225" t="s">
        <v>66</v>
      </c>
      <c r="H47" s="244"/>
      <c r="I47" s="33"/>
      <c r="J47" s="33"/>
      <c r="K47" s="243" t="s">
        <v>239</v>
      </c>
      <c r="L47" s="243" t="s">
        <v>240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28">
        <v>1.0</v>
      </c>
      <c r="B48" s="210" t="s">
        <v>262</v>
      </c>
      <c r="C48" s="254" t="s">
        <v>172</v>
      </c>
      <c r="D48" s="245"/>
      <c r="E48" s="210" t="s">
        <v>242</v>
      </c>
      <c r="F48" s="197" t="str">
        <f t="shared" ref="F48:F53" si="11">IF($B48="","",IF(COUNTIF($B:$B,$B48)&gt;1,"⚠ duplicate",IF($E48="","⚠ add touch rhythm","")))</f>
        <v/>
      </c>
      <c r="G48" s="246"/>
      <c r="H48" s="244"/>
      <c r="I48" s="33"/>
      <c r="J48" s="33"/>
      <c r="K48" s="247" t="str">
        <f t="shared" ref="K48:K53" si="12">IF($B48="","",$E48)</f>
        <v>1x/week</v>
      </c>
      <c r="L48" s="247" t="str">
        <f t="shared" ref="L48:L53" si="13">IF($B48="","",IF(IF($C48&lt;&gt;"",$C48,$C$9)&lt;&gt;"",IF($C48&lt;&gt;"",$C48,$C$9)&amp;" | ","")&amp;$B48)</f>
        <v>Little Girls | All Together / Science / Nature — Nature Walk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28">
        <v>2.0</v>
      </c>
      <c r="B49" s="210" t="s">
        <v>263</v>
      </c>
      <c r="C49" s="254" t="s">
        <v>170</v>
      </c>
      <c r="D49" s="257" t="s">
        <v>100</v>
      </c>
      <c r="E49" s="210" t="s">
        <v>242</v>
      </c>
      <c r="F49" s="197" t="str">
        <f t="shared" si="11"/>
        <v/>
      </c>
      <c r="G49" s="246"/>
      <c r="H49" s="244"/>
      <c r="I49" s="33"/>
      <c r="J49" s="33"/>
      <c r="K49" s="247" t="str">
        <f t="shared" si="12"/>
        <v>1x/week</v>
      </c>
      <c r="L49" s="247" t="str">
        <f t="shared" si="13"/>
        <v>Everyone | All Together / Beauty + Hands — Hymn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28">
        <v>3.0</v>
      </c>
      <c r="B50" s="209" t="s">
        <v>244</v>
      </c>
      <c r="C50" s="254"/>
      <c r="D50" s="245"/>
      <c r="E50" s="210" t="s">
        <v>242</v>
      </c>
      <c r="F50" s="197" t="str">
        <f t="shared" si="11"/>
        <v>⚠ duplicate</v>
      </c>
      <c r="G50" s="197"/>
      <c r="H50" s="244"/>
      <c r="I50" s="33"/>
      <c r="J50" s="33"/>
      <c r="K50" s="247" t="str">
        <f t="shared" si="12"/>
        <v>1x/week</v>
      </c>
      <c r="L50" s="247" t="str">
        <f t="shared" si="13"/>
        <v>Everyone | All Together / Bible — Scripture Memory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97">
        <v>4.0</v>
      </c>
      <c r="B51" s="197"/>
      <c r="C51" s="244"/>
      <c r="D51" s="245"/>
      <c r="E51" s="197"/>
      <c r="F51" s="197" t="str">
        <f t="shared" si="11"/>
        <v/>
      </c>
      <c r="G51" s="197"/>
      <c r="H51" s="244"/>
      <c r="I51" s="33"/>
      <c r="J51" s="33"/>
      <c r="K51" s="247" t="str">
        <f t="shared" si="12"/>
        <v/>
      </c>
      <c r="L51" s="247" t="str">
        <f t="shared" si="13"/>
        <v/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97">
        <v>5.0</v>
      </c>
      <c r="B52" s="197"/>
      <c r="C52" s="244"/>
      <c r="D52" s="245"/>
      <c r="E52" s="197"/>
      <c r="F52" s="197" t="str">
        <f t="shared" si="11"/>
        <v/>
      </c>
      <c r="G52" s="197"/>
      <c r="H52" s="244"/>
      <c r="I52" s="33"/>
      <c r="J52" s="33"/>
      <c r="K52" s="247" t="str">
        <f t="shared" si="12"/>
        <v/>
      </c>
      <c r="L52" s="247" t="str">
        <f t="shared" si="13"/>
        <v/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97">
        <v>6.0</v>
      </c>
      <c r="B53" s="197"/>
      <c r="C53" s="244"/>
      <c r="D53" s="245"/>
      <c r="E53" s="197"/>
      <c r="F53" s="197" t="str">
        <f t="shared" si="11"/>
        <v/>
      </c>
      <c r="G53" s="197"/>
      <c r="H53" s="244"/>
      <c r="I53" s="33"/>
      <c r="J53" s="33"/>
      <c r="K53" s="247" t="str">
        <f t="shared" si="12"/>
        <v/>
      </c>
      <c r="L53" s="247" t="str">
        <f t="shared" si="13"/>
        <v/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97"/>
      <c r="B54" s="197"/>
      <c r="C54" s="244"/>
      <c r="D54" s="245"/>
      <c r="E54" s="197"/>
      <c r="F54" s="250"/>
      <c r="G54" s="197"/>
      <c r="H54" s="244"/>
      <c r="I54" s="33"/>
      <c r="J54" s="33"/>
      <c r="K54" s="253"/>
      <c r="L54" s="253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223" t="str">
        <f>IF($A$10="☑",$B$10,"")</f>
        <v>Daily Skills</v>
      </c>
      <c r="B55" s="238"/>
      <c r="C55" s="238"/>
      <c r="D55" s="238"/>
      <c r="E55" s="238"/>
      <c r="F55" s="238"/>
      <c r="G55" s="239"/>
      <c r="H55" s="244"/>
      <c r="I55" s="33"/>
      <c r="J55" s="33"/>
      <c r="K55" s="253"/>
      <c r="L55" s="253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258" t="s">
        <v>233</v>
      </c>
      <c r="B56" s="258" t="s">
        <v>234</v>
      </c>
      <c r="C56" s="259" t="s">
        <v>236</v>
      </c>
      <c r="D56" s="260" t="s">
        <v>237</v>
      </c>
      <c r="E56" s="261" t="s">
        <v>238</v>
      </c>
      <c r="F56" s="225" t="s">
        <v>74</v>
      </c>
      <c r="G56" s="261" t="s">
        <v>66</v>
      </c>
      <c r="H56" s="244"/>
      <c r="I56" s="33"/>
      <c r="J56" s="33"/>
      <c r="K56" s="243" t="s">
        <v>239</v>
      </c>
      <c r="L56" s="243" t="s">
        <v>240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97">
        <v>1.0</v>
      </c>
      <c r="B57" s="256" t="s">
        <v>266</v>
      </c>
      <c r="C57" s="255" t="s">
        <v>173</v>
      </c>
      <c r="D57" s="245"/>
      <c r="E57" s="256" t="s">
        <v>242</v>
      </c>
      <c r="F57" s="197" t="str">
        <f t="shared" ref="F57:F62" si="14">IF($B57="","",IF(COUNTIF($B:$B,$B57)&gt;1,"⚠ duplicate",IF($E57="","⚠ add touch rhythm","")))</f>
        <v/>
      </c>
      <c r="G57" s="197"/>
      <c r="H57" s="244"/>
      <c r="I57" s="33"/>
      <c r="J57" s="33"/>
      <c r="K57" s="253" t="str">
        <f t="shared" ref="K57:K62" si="15">IF($B57="","",$E57)</f>
        <v>1x/week</v>
      </c>
      <c r="L57" s="253" t="str">
        <f t="shared" ref="L57:L62" si="16">IF($B57="","",IF(IF($C57&lt;&gt;"",$C57,$C$10)&lt;&gt;"",IF($C57&lt;&gt;"",$C57,$C$10)&amp;" | ","")&amp;$B57)</f>
        <v>All the Girls | Form II / Geography — Map Work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97">
        <v>2.0</v>
      </c>
      <c r="B58" s="256" t="s">
        <v>268</v>
      </c>
      <c r="C58" s="255" t="s">
        <v>173</v>
      </c>
      <c r="D58" s="245"/>
      <c r="E58" s="256" t="s">
        <v>242</v>
      </c>
      <c r="F58" s="197" t="str">
        <f t="shared" si="14"/>
        <v/>
      </c>
      <c r="G58" s="197"/>
      <c r="H58" s="244"/>
      <c r="I58" s="33"/>
      <c r="J58" s="33"/>
      <c r="K58" s="253" t="str">
        <f t="shared" si="15"/>
        <v>1x/week</v>
      </c>
      <c r="L58" s="253" t="str">
        <f t="shared" si="16"/>
        <v>All the Girls | Form III / Geography — Geography / Map Drill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97">
        <v>3.0</v>
      </c>
      <c r="B59" s="197"/>
      <c r="C59" s="244"/>
      <c r="D59" s="245"/>
      <c r="E59" s="197"/>
      <c r="F59" s="197" t="str">
        <f t="shared" si="14"/>
        <v/>
      </c>
      <c r="G59" s="197"/>
      <c r="H59" s="244"/>
      <c r="I59" s="33"/>
      <c r="J59" s="33"/>
      <c r="K59" s="253" t="str">
        <f t="shared" si="15"/>
        <v/>
      </c>
      <c r="L59" s="253" t="str">
        <f t="shared" si="16"/>
        <v/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97">
        <v>4.0</v>
      </c>
      <c r="B60" s="197"/>
      <c r="C60" s="244"/>
      <c r="D60" s="245"/>
      <c r="E60" s="197"/>
      <c r="F60" s="197" t="str">
        <f t="shared" si="14"/>
        <v/>
      </c>
      <c r="G60" s="197"/>
      <c r="H60" s="244"/>
      <c r="I60" s="33"/>
      <c r="J60" s="33"/>
      <c r="K60" s="253" t="str">
        <f t="shared" si="15"/>
        <v/>
      </c>
      <c r="L60" s="253" t="str">
        <f t="shared" si="16"/>
        <v/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97">
        <v>5.0</v>
      </c>
      <c r="B61" s="197"/>
      <c r="C61" s="244"/>
      <c r="D61" s="245"/>
      <c r="E61" s="197"/>
      <c r="F61" s="197" t="str">
        <f t="shared" si="14"/>
        <v/>
      </c>
      <c r="G61" s="197"/>
      <c r="H61" s="244"/>
      <c r="I61" s="33"/>
      <c r="J61" s="33"/>
      <c r="K61" s="253" t="str">
        <f t="shared" si="15"/>
        <v/>
      </c>
      <c r="L61" s="253" t="str">
        <f t="shared" si="16"/>
        <v/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97">
        <v>6.0</v>
      </c>
      <c r="B62" s="197"/>
      <c r="C62" s="244"/>
      <c r="D62" s="245"/>
      <c r="E62" s="197"/>
      <c r="F62" s="197" t="str">
        <f t="shared" si="14"/>
        <v/>
      </c>
      <c r="G62" s="197"/>
      <c r="H62" s="244"/>
      <c r="I62" s="33"/>
      <c r="J62" s="33"/>
      <c r="K62" s="253" t="str">
        <f t="shared" si="15"/>
        <v/>
      </c>
      <c r="L62" s="253" t="str">
        <f t="shared" si="16"/>
        <v/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250"/>
      <c r="B63" s="250"/>
      <c r="C63" s="251"/>
      <c r="D63" s="252"/>
      <c r="E63" s="250"/>
      <c r="F63" s="250"/>
      <c r="G63" s="8"/>
      <c r="H63" s="244"/>
      <c r="I63" s="33"/>
      <c r="J63" s="33"/>
      <c r="K63" s="253"/>
      <c r="L63" s="253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223" t="str">
        <f>IF($A$11="☑",$B$11,"")</f>
        <v>Individual Work</v>
      </c>
      <c r="B64" s="238"/>
      <c r="C64" s="238"/>
      <c r="D64" s="238"/>
      <c r="E64" s="238"/>
      <c r="F64" s="238"/>
      <c r="G64" s="239"/>
      <c r="H64" s="244"/>
      <c r="I64" s="33"/>
      <c r="J64" s="33"/>
      <c r="K64" s="253"/>
      <c r="L64" s="25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224" t="s">
        <v>233</v>
      </c>
      <c r="B65" s="224" t="s">
        <v>234</v>
      </c>
      <c r="C65" s="241" t="s">
        <v>236</v>
      </c>
      <c r="D65" s="242" t="s">
        <v>237</v>
      </c>
      <c r="E65" s="225" t="s">
        <v>238</v>
      </c>
      <c r="F65" s="225" t="s">
        <v>74</v>
      </c>
      <c r="G65" s="225" t="s">
        <v>66</v>
      </c>
      <c r="H65" s="244"/>
      <c r="I65" s="33"/>
      <c r="J65" s="33"/>
      <c r="K65" s="243" t="s">
        <v>239</v>
      </c>
      <c r="L65" s="243" t="s">
        <v>240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228">
        <v>1.0</v>
      </c>
      <c r="B66" s="210"/>
      <c r="C66" s="254"/>
      <c r="D66" s="245"/>
      <c r="E66" s="210"/>
      <c r="F66" s="197" t="str">
        <f t="shared" ref="F66:F71" si="17">IF($B66="","",IF(COUNTIF($B:$B,$B66)&gt;1,"⚠ duplicate",IF($E66="","⚠ add touch rhythm","")))</f>
        <v/>
      </c>
      <c r="G66" s="246"/>
      <c r="H66" s="244"/>
      <c r="I66" s="33"/>
      <c r="J66" s="33"/>
      <c r="K66" s="247" t="str">
        <f t="shared" ref="K66:K71" si="18">IF($B66="","",$E66)</f>
        <v/>
      </c>
      <c r="L66" s="247" t="str">
        <f t="shared" ref="L66:L71" si="19">IF($B66="","",IF(IF($C66&lt;&gt;"",$C66,$C$11)&lt;&gt;"",IF($C66&lt;&gt;"",$C66,$C$11)&amp;" | ","")&amp;$B66)</f>
        <v/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97">
        <v>2.0</v>
      </c>
      <c r="B67" s="197"/>
      <c r="C67" s="244"/>
      <c r="D67" s="245"/>
      <c r="E67" s="197"/>
      <c r="F67" s="197" t="str">
        <f t="shared" si="17"/>
        <v/>
      </c>
      <c r="G67" s="197"/>
      <c r="H67" s="244"/>
      <c r="I67" s="33"/>
      <c r="J67" s="33"/>
      <c r="K67" s="247" t="str">
        <f t="shared" si="18"/>
        <v/>
      </c>
      <c r="L67" s="247" t="str">
        <f t="shared" si="19"/>
        <v/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97">
        <v>3.0</v>
      </c>
      <c r="B68" s="197"/>
      <c r="C68" s="244"/>
      <c r="D68" s="245"/>
      <c r="E68" s="197"/>
      <c r="F68" s="197" t="str">
        <f t="shared" si="17"/>
        <v/>
      </c>
      <c r="G68" s="197"/>
      <c r="H68" s="244"/>
      <c r="I68" s="33"/>
      <c r="J68" s="33"/>
      <c r="K68" s="247" t="str">
        <f t="shared" si="18"/>
        <v/>
      </c>
      <c r="L68" s="247" t="str">
        <f t="shared" si="19"/>
        <v/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97">
        <v>4.0</v>
      </c>
      <c r="B69" s="197"/>
      <c r="C69" s="244"/>
      <c r="D69" s="245"/>
      <c r="E69" s="197"/>
      <c r="F69" s="197" t="str">
        <f t="shared" si="17"/>
        <v/>
      </c>
      <c r="G69" s="197"/>
      <c r="H69" s="244"/>
      <c r="I69" s="33"/>
      <c r="J69" s="33"/>
      <c r="K69" s="247" t="str">
        <f t="shared" si="18"/>
        <v/>
      </c>
      <c r="L69" s="247" t="str">
        <f t="shared" si="19"/>
        <v/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97">
        <v>5.0</v>
      </c>
      <c r="B70" s="197"/>
      <c r="C70" s="244"/>
      <c r="D70" s="245"/>
      <c r="E70" s="197"/>
      <c r="F70" s="197" t="str">
        <f t="shared" si="17"/>
        <v/>
      </c>
      <c r="G70" s="197"/>
      <c r="H70" s="244"/>
      <c r="I70" s="33"/>
      <c r="J70" s="33"/>
      <c r="K70" s="247" t="str">
        <f t="shared" si="18"/>
        <v/>
      </c>
      <c r="L70" s="247" t="str">
        <f t="shared" si="19"/>
        <v/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97">
        <v>6.0</v>
      </c>
      <c r="B71" s="197"/>
      <c r="C71" s="244"/>
      <c r="D71" s="245"/>
      <c r="E71" s="197"/>
      <c r="F71" s="197" t="str">
        <f t="shared" si="17"/>
        <v/>
      </c>
      <c r="G71" s="197"/>
      <c r="H71" s="244"/>
      <c r="I71" s="33"/>
      <c r="J71" s="33"/>
      <c r="K71" s="247" t="str">
        <f t="shared" si="18"/>
        <v/>
      </c>
      <c r="L71" s="247" t="str">
        <f t="shared" si="19"/>
        <v/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250"/>
      <c r="B72" s="250"/>
      <c r="C72" s="251"/>
      <c r="D72" s="252"/>
      <c r="E72" s="250"/>
      <c r="F72" s="250"/>
      <c r="G72" s="8"/>
      <c r="H72" s="244"/>
      <c r="I72" s="33"/>
      <c r="J72" s="33"/>
      <c r="K72" s="253"/>
      <c r="L72" s="253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223" t="str">
        <f>IF($A$12="☑",$B$12,"")</f>
        <v>Outside / Co-op</v>
      </c>
      <c r="B73" s="238"/>
      <c r="C73" s="238"/>
      <c r="D73" s="238"/>
      <c r="E73" s="238"/>
      <c r="F73" s="238"/>
      <c r="G73" s="239"/>
      <c r="H73" s="244"/>
      <c r="I73" s="33"/>
      <c r="J73" s="33"/>
      <c r="K73" s="253"/>
      <c r="L73" s="253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224" t="s">
        <v>233</v>
      </c>
      <c r="B74" s="224" t="s">
        <v>234</v>
      </c>
      <c r="C74" s="241" t="s">
        <v>236</v>
      </c>
      <c r="D74" s="242" t="s">
        <v>237</v>
      </c>
      <c r="E74" s="225" t="s">
        <v>238</v>
      </c>
      <c r="F74" s="225" t="s">
        <v>74</v>
      </c>
      <c r="G74" s="225" t="s">
        <v>66</v>
      </c>
      <c r="H74" s="244"/>
      <c r="I74" s="33"/>
      <c r="J74" s="33"/>
      <c r="K74" s="243" t="s">
        <v>239</v>
      </c>
      <c r="L74" s="243" t="s">
        <v>240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228">
        <v>1.0</v>
      </c>
      <c r="B75" s="210" t="s">
        <v>277</v>
      </c>
      <c r="C75" s="254" t="s">
        <v>130</v>
      </c>
      <c r="D75" s="245"/>
      <c r="E75" s="210" t="s">
        <v>242</v>
      </c>
      <c r="F75" s="197" t="str">
        <f t="shared" ref="F75:F80" si="20">IF($B75="","",IF(COUNTIF($B:$B,$B75)&gt;1,"⚠ duplicate",IF($E75="","⚠ add touch rhythm","")))</f>
        <v/>
      </c>
      <c r="G75" s="246"/>
      <c r="H75" s="244"/>
      <c r="I75" s="33"/>
      <c r="J75" s="33"/>
      <c r="K75" s="247" t="str">
        <f t="shared" ref="K75:K80" si="21">IF($B75="","",$E75)</f>
        <v>1x/week</v>
      </c>
      <c r="L75" s="247" t="str">
        <f t="shared" ref="L75:L80" si="22">IF($B75="","",IF(IF($C75&lt;&gt;"",$C75,$C$12)&lt;&gt;"",IF($C75&lt;&gt;"",$C75,$C$12)&amp;" | ","")&amp;$B75)</f>
        <v>Jeremiah | Form IV / Science / Nature — Science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97">
        <v>2.0</v>
      </c>
      <c r="B76" s="197"/>
      <c r="C76" s="244"/>
      <c r="D76" s="245"/>
      <c r="E76" s="197"/>
      <c r="F76" s="197" t="str">
        <f t="shared" si="20"/>
        <v/>
      </c>
      <c r="G76" s="197"/>
      <c r="H76" s="244"/>
      <c r="I76" s="33"/>
      <c r="J76" s="33"/>
      <c r="K76" s="247" t="str">
        <f t="shared" si="21"/>
        <v/>
      </c>
      <c r="L76" s="247" t="str">
        <f t="shared" si="22"/>
        <v/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97">
        <v>3.0</v>
      </c>
      <c r="B77" s="197"/>
      <c r="C77" s="244"/>
      <c r="D77" s="245"/>
      <c r="E77" s="197"/>
      <c r="F77" s="197" t="str">
        <f t="shared" si="20"/>
        <v/>
      </c>
      <c r="G77" s="197"/>
      <c r="H77" s="244"/>
      <c r="I77" s="33"/>
      <c r="J77" s="33"/>
      <c r="K77" s="247" t="str">
        <f t="shared" si="21"/>
        <v/>
      </c>
      <c r="L77" s="247" t="str">
        <f t="shared" si="22"/>
        <v/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97">
        <v>4.0</v>
      </c>
      <c r="B78" s="197"/>
      <c r="C78" s="244"/>
      <c r="D78" s="245"/>
      <c r="E78" s="197"/>
      <c r="F78" s="197" t="str">
        <f t="shared" si="20"/>
        <v/>
      </c>
      <c r="G78" s="197"/>
      <c r="H78" s="244"/>
      <c r="I78" s="33"/>
      <c r="J78" s="33"/>
      <c r="K78" s="247" t="str">
        <f t="shared" si="21"/>
        <v/>
      </c>
      <c r="L78" s="247" t="str">
        <f t="shared" si="22"/>
        <v/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97">
        <v>5.0</v>
      </c>
      <c r="B79" s="197"/>
      <c r="C79" s="244"/>
      <c r="D79" s="245"/>
      <c r="E79" s="197"/>
      <c r="F79" s="197" t="str">
        <f t="shared" si="20"/>
        <v/>
      </c>
      <c r="G79" s="197"/>
      <c r="H79" s="244"/>
      <c r="I79" s="33"/>
      <c r="J79" s="33"/>
      <c r="K79" s="247" t="str">
        <f t="shared" si="21"/>
        <v/>
      </c>
      <c r="L79" s="247" t="str">
        <f t="shared" si="22"/>
        <v/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97">
        <v>6.0</v>
      </c>
      <c r="B80" s="197"/>
      <c r="C80" s="244"/>
      <c r="D80" s="245"/>
      <c r="E80" s="197"/>
      <c r="F80" s="197" t="str">
        <f t="shared" si="20"/>
        <v/>
      </c>
      <c r="G80" s="197"/>
      <c r="H80" s="244"/>
      <c r="I80" s="33"/>
      <c r="J80" s="33"/>
      <c r="K80" s="247" t="str">
        <f t="shared" si="21"/>
        <v/>
      </c>
      <c r="L80" s="247" t="str">
        <f t="shared" si="22"/>
        <v/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250"/>
      <c r="B81" s="250"/>
      <c r="C81" s="251"/>
      <c r="D81" s="252"/>
      <c r="E81" s="250"/>
      <c r="F81" s="250"/>
      <c r="G81" s="8"/>
      <c r="H81" s="244"/>
      <c r="I81" s="33"/>
      <c r="J81" s="33"/>
      <c r="K81" s="253"/>
      <c r="L81" s="253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223" t="str">
        <f>IF($A$13="☑",$B$13,"")</f>
        <v>Optional / Later</v>
      </c>
      <c r="B82" s="238"/>
      <c r="C82" s="238"/>
      <c r="D82" s="238"/>
      <c r="E82" s="238"/>
      <c r="F82" s="238"/>
      <c r="G82" s="239"/>
      <c r="H82" s="244"/>
      <c r="I82" s="33"/>
      <c r="J82" s="33"/>
      <c r="K82" s="253"/>
      <c r="L82" s="253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224" t="s">
        <v>233</v>
      </c>
      <c r="B83" s="224" t="s">
        <v>234</v>
      </c>
      <c r="C83" s="241" t="s">
        <v>236</v>
      </c>
      <c r="D83" s="242" t="s">
        <v>237</v>
      </c>
      <c r="E83" s="225" t="s">
        <v>238</v>
      </c>
      <c r="F83" s="225" t="s">
        <v>74</v>
      </c>
      <c r="G83" s="225" t="s">
        <v>66</v>
      </c>
      <c r="H83" s="244"/>
      <c r="I83" s="33"/>
      <c r="J83" s="33"/>
      <c r="K83" s="243" t="s">
        <v>239</v>
      </c>
      <c r="L83" s="243" t="s">
        <v>240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97">
        <v>1.0</v>
      </c>
      <c r="B84" s="197"/>
      <c r="C84" s="244"/>
      <c r="D84" s="245"/>
      <c r="E84" s="197"/>
      <c r="F84" s="197" t="str">
        <f t="shared" ref="F84:F89" si="23">IF($B84="","",IF(COUNTIF($B:$B,$B84)&gt;1,"⚠ duplicate",IF($E84="","⚠ add touch rhythm","")))</f>
        <v/>
      </c>
      <c r="G84" s="197"/>
      <c r="H84" s="244"/>
      <c r="I84" s="33"/>
      <c r="J84" s="33"/>
      <c r="K84" s="253" t="str">
        <f t="shared" ref="K84:K89" si="24">IF($B84="","",$E84)</f>
        <v/>
      </c>
      <c r="L84" s="253" t="str">
        <f t="shared" ref="L84:L89" si="25">IF($B84="","",IF(IF($C84&lt;&gt;"",$C84,$C$13)&lt;&gt;"",IF($C84&lt;&gt;"",$C84,$C$13)&amp;" | ","")&amp;$B84)</f>
        <v/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97">
        <v>2.0</v>
      </c>
      <c r="B85" s="197"/>
      <c r="C85" s="244"/>
      <c r="D85" s="245"/>
      <c r="E85" s="197"/>
      <c r="F85" s="197" t="str">
        <f t="shared" si="23"/>
        <v/>
      </c>
      <c r="G85" s="197"/>
      <c r="H85" s="244"/>
      <c r="I85" s="33"/>
      <c r="J85" s="33"/>
      <c r="K85" s="253" t="str">
        <f t="shared" si="24"/>
        <v/>
      </c>
      <c r="L85" s="253" t="str">
        <f t="shared" si="25"/>
        <v/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97">
        <v>3.0</v>
      </c>
      <c r="B86" s="197"/>
      <c r="C86" s="244"/>
      <c r="D86" s="245"/>
      <c r="E86" s="197"/>
      <c r="F86" s="197" t="str">
        <f t="shared" si="23"/>
        <v/>
      </c>
      <c r="G86" s="197"/>
      <c r="H86" s="244"/>
      <c r="I86" s="33"/>
      <c r="J86" s="33"/>
      <c r="K86" s="253" t="str">
        <f t="shared" si="24"/>
        <v/>
      </c>
      <c r="L86" s="253" t="str">
        <f t="shared" si="25"/>
        <v/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97">
        <v>4.0</v>
      </c>
      <c r="B87" s="197"/>
      <c r="C87" s="244"/>
      <c r="D87" s="245"/>
      <c r="E87" s="197"/>
      <c r="F87" s="197" t="str">
        <f t="shared" si="23"/>
        <v/>
      </c>
      <c r="G87" s="197"/>
      <c r="H87" s="244"/>
      <c r="I87" s="33"/>
      <c r="J87" s="33"/>
      <c r="K87" s="253" t="str">
        <f t="shared" si="24"/>
        <v/>
      </c>
      <c r="L87" s="253" t="str">
        <f t="shared" si="25"/>
        <v/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97">
        <v>5.0</v>
      </c>
      <c r="B88" s="197"/>
      <c r="C88" s="244"/>
      <c r="D88" s="245"/>
      <c r="E88" s="197"/>
      <c r="F88" s="197" t="str">
        <f t="shared" si="23"/>
        <v/>
      </c>
      <c r="G88" s="197"/>
      <c r="H88" s="244"/>
      <c r="I88" s="33"/>
      <c r="J88" s="33"/>
      <c r="K88" s="253" t="str">
        <f t="shared" si="24"/>
        <v/>
      </c>
      <c r="L88" s="253" t="str">
        <f t="shared" si="25"/>
        <v/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282">
        <v>6.0</v>
      </c>
      <c r="B89" s="282"/>
      <c r="C89" s="283"/>
      <c r="D89" s="284"/>
      <c r="E89" s="285"/>
      <c r="F89" s="197" t="str">
        <f t="shared" si="23"/>
        <v/>
      </c>
      <c r="G89" s="285"/>
      <c r="H89" s="244"/>
      <c r="I89" s="33"/>
      <c r="J89" s="33"/>
      <c r="K89" s="253" t="str">
        <f t="shared" si="24"/>
        <v/>
      </c>
      <c r="L89" s="253" t="str">
        <f t="shared" si="25"/>
        <v/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24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24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233" t="s">
        <v>293</v>
      </c>
      <c r="B92" s="233"/>
      <c r="C92" s="233"/>
      <c r="D92" s="200"/>
      <c r="E92" s="200"/>
      <c r="F92" s="200"/>
      <c r="G92" s="200"/>
      <c r="H92" s="24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286" t="s">
        <v>294</v>
      </c>
      <c r="B93" s="286" t="s">
        <v>63</v>
      </c>
      <c r="C93" s="286" t="s">
        <v>295</v>
      </c>
      <c r="D93" s="8"/>
      <c r="E93" s="8"/>
      <c r="F93" s="8"/>
      <c r="G93" s="8"/>
      <c r="H93" s="24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250" t="str">
        <f>IFERROR(__xludf.DUMMYFUNCTION("ARRAY_CONSTRAIN(IFERROR(UNIQUE(FILTER('Helper Data'!$F$5:$F$304,('Helper Data'!$F$5:$F$304&lt;&gt;"""")*(COUNTIF($B:$B,'Helper Data'!$F$5:$F$304)=0))),""""),57,1)"),"All Together / Beauty + Hands — Folk Song")</f>
        <v>All Together / Beauty + Hands — Folk Song</v>
      </c>
      <c r="B94" s="250"/>
      <c r="C94" s="250"/>
      <c r="D94" s="8"/>
      <c r="E94" s="8"/>
      <c r="F94" s="8"/>
      <c r="G94" s="8"/>
      <c r="H94" s="24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250" t="str">
        <f>IFERROR(__xludf.DUMMYFUNCTION("""COMPUTED_VALUE"""),"All Together / Beauty + Hands — Poetry")</f>
        <v>All Together / Beauty + Hands — Poetry</v>
      </c>
      <c r="B95" s="250"/>
      <c r="C95" s="250"/>
      <c r="D95" s="8"/>
      <c r="E95" s="8"/>
      <c r="F95" s="8"/>
      <c r="G95" s="8"/>
      <c r="H95" s="24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250" t="str">
        <f>IFERROR(__xludf.DUMMYFUNCTION("""COMPUTED_VALUE"""),"All Together / Beauty + Hands — Picture Study")</f>
        <v>All Together / Beauty + Hands — Picture Study</v>
      </c>
      <c r="B96" s="250"/>
      <c r="C96" s="250"/>
      <c r="D96" s="8"/>
      <c r="E96" s="8"/>
      <c r="F96" s="8"/>
      <c r="G96" s="8"/>
      <c r="H96" s="24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250" t="str">
        <f>IFERROR(__xludf.DUMMYFUNCTION("""COMPUTED_VALUE"""),"All Together / Beauty + Hands — Composer Study")</f>
        <v>All Together / Beauty + Hands — Composer Study</v>
      </c>
      <c r="B97" s="250"/>
      <c r="C97" s="250"/>
      <c r="D97" s="8"/>
      <c r="E97" s="8"/>
      <c r="F97" s="8"/>
      <c r="G97" s="8"/>
      <c r="H97" s="24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250" t="str">
        <f>IFERROR(__xludf.DUMMYFUNCTION("""COMPUTED_VALUE"""),"Form I / Language Arts — Reading Practice / Phonics")</f>
        <v>Form I / Language Arts — Reading Practice / Phonics</v>
      </c>
      <c r="B98" s="250"/>
      <c r="C98" s="250"/>
      <c r="D98" s="8"/>
      <c r="E98" s="8"/>
      <c r="F98" s="8"/>
      <c r="G98" s="8"/>
      <c r="H98" s="24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250" t="str">
        <f>IFERROR(__xludf.DUMMYFUNCTION("""COMPUTED_VALUE"""),"Form I / Language Arts — Copywork")</f>
        <v>Form I / Language Arts — Copywork</v>
      </c>
      <c r="B99" s="250"/>
      <c r="C99" s="250"/>
      <c r="D99" s="8"/>
      <c r="E99" s="8"/>
      <c r="F99" s="8"/>
      <c r="G99" s="8"/>
      <c r="H99" s="24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250" t="str">
        <f>IFERROR(__xludf.DUMMYFUNCTION("""COMPUTED_VALUE"""),"Form I / Language Arts — Oral Narration")</f>
        <v>Form I / Language Arts — Oral Narration</v>
      </c>
      <c r="B100" s="250"/>
      <c r="C100" s="250"/>
      <c r="D100" s="8"/>
      <c r="E100" s="8"/>
      <c r="F100" s="8"/>
      <c r="G100" s="8"/>
      <c r="H100" s="24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250" t="str">
        <f>IFERROR(__xludf.DUMMYFUNCTION("""COMPUTED_VALUE"""),"All Together / Literature — Tales / Fairy Tales / Myths")</f>
        <v>All Together / Literature — Tales / Fairy Tales / Myths</v>
      </c>
      <c r="B101" s="250"/>
      <c r="C101" s="250"/>
      <c r="D101" s="8"/>
      <c r="E101" s="8"/>
      <c r="F101" s="8"/>
      <c r="G101" s="8"/>
      <c r="H101" s="24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250" t="str">
        <f>IFERROR(__xludf.DUMMYFUNCTION("""COMPUTED_VALUE"""),"Form I / Literature — Reader / Phonics")</f>
        <v>Form I / Literature — Reader / Phonics</v>
      </c>
      <c r="B102" s="250"/>
      <c r="C102" s="250"/>
      <c r="D102" s="8"/>
      <c r="E102" s="8"/>
      <c r="F102" s="8"/>
      <c r="G102" s="8"/>
      <c r="H102" s="24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250" t="str">
        <f>IFERROR(__xludf.DUMMYFUNCTION("""COMPUTED_VALUE"""),"Form I / History — Picture Books")</f>
        <v>Form I / History — Picture Books</v>
      </c>
      <c r="B103" s="250"/>
      <c r="C103" s="250"/>
      <c r="D103" s="8"/>
      <c r="E103" s="8"/>
      <c r="F103" s="8"/>
      <c r="G103" s="8"/>
      <c r="H103" s="24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250" t="str">
        <f>IFERROR(__xludf.DUMMYFUNCTION("""COMPUTED_VALUE"""),"Form I / History — Early History Stories")</f>
        <v>Form I / History — Early History Stories</v>
      </c>
      <c r="B104" s="250"/>
      <c r="C104" s="250"/>
      <c r="D104" s="8"/>
      <c r="E104" s="8"/>
      <c r="F104" s="8"/>
      <c r="G104" s="8"/>
      <c r="H104" s="24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250" t="str">
        <f>IFERROR(__xludf.DUMMYFUNCTION("""COMPUTED_VALUE"""),"Form I / Geography — Map / Place Stories")</f>
        <v>Form I / Geography — Map / Place Stories</v>
      </c>
      <c r="B105" s="250"/>
      <c r="C105" s="250"/>
      <c r="D105" s="8"/>
      <c r="E105" s="8"/>
      <c r="F105" s="8"/>
      <c r="G105" s="8"/>
      <c r="H105" s="24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250" t="str">
        <f>IFERROR(__xludf.DUMMYFUNCTION("""COMPUTED_VALUE"""),"Form I / Math — Math")</f>
        <v>Form I / Math — Math</v>
      </c>
      <c r="B106" s="250"/>
      <c r="C106" s="250"/>
      <c r="D106" s="8"/>
      <c r="E106" s="8"/>
      <c r="F106" s="8"/>
      <c r="G106" s="8"/>
      <c r="H106" s="24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250" t="str">
        <f>IFERROR(__xludf.DUMMYFUNCTION("""COMPUTED_VALUE"""),"Form I / Beauty + Hands — Drawing / Brush Drawing")</f>
        <v>Form I / Beauty + Hands — Drawing / Brush Drawing</v>
      </c>
      <c r="B107" s="250"/>
      <c r="C107" s="250"/>
      <c r="D107" s="8"/>
      <c r="E107" s="8"/>
      <c r="F107" s="8"/>
      <c r="G107" s="8"/>
      <c r="H107" s="24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250" t="str">
        <f>IFERROR(__xludf.DUMMYFUNCTION("""COMPUTED_VALUE"""),"Form I / Beauty + Hands — Handicraft / Work")</f>
        <v>Form I / Beauty + Hands — Handicraft / Work</v>
      </c>
      <c r="B108" s="250"/>
      <c r="C108" s="250"/>
      <c r="D108" s="8"/>
      <c r="E108" s="8"/>
      <c r="F108" s="8"/>
      <c r="G108" s="8"/>
      <c r="H108" s="24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250" t="str">
        <f>IFERROR(__xludf.DUMMYFUNCTION("""COMPUTED_VALUE"""),"Form II / Language Arts — Dictation")</f>
        <v>Form II / Language Arts — Dictation</v>
      </c>
      <c r="B109" s="250"/>
      <c r="C109" s="250"/>
      <c r="D109" s="8"/>
      <c r="E109" s="8"/>
      <c r="F109" s="8"/>
      <c r="G109" s="8"/>
      <c r="H109" s="24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250" t="str">
        <f>IFERROR(__xludf.DUMMYFUNCTION("""COMPUTED_VALUE"""),"Form II / Language Arts — Grammar")</f>
        <v>Form II / Language Arts — Grammar</v>
      </c>
      <c r="B110" s="250"/>
      <c r="C110" s="250"/>
      <c r="D110" s="8"/>
      <c r="E110" s="8"/>
      <c r="F110" s="8"/>
      <c r="G110" s="8"/>
      <c r="H110" s="24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250" t="str">
        <f>IFERROR(__xludf.DUMMYFUNCTION("""COMPUTED_VALUE"""),"Form II / Language Arts — Written Narration [IIA]")</f>
        <v>Form II / Language Arts — Written Narration [IIA]</v>
      </c>
      <c r="B111" s="250"/>
      <c r="C111" s="250"/>
      <c r="D111" s="8"/>
      <c r="E111" s="8"/>
      <c r="F111" s="8"/>
      <c r="G111" s="8"/>
      <c r="H111" s="24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250" t="str">
        <f>IFERROR(__xludf.DUMMYFUNCTION("""COMPUTED_VALUE"""),"Form II / Literature — Literature")</f>
        <v>Form II / Literature — Literature</v>
      </c>
      <c r="B112" s="250"/>
      <c r="C112" s="250"/>
      <c r="D112" s="8"/>
      <c r="E112" s="8"/>
      <c r="F112" s="8"/>
      <c r="G112" s="8"/>
      <c r="H112" s="24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250" t="str">
        <f>IFERROR(__xludf.DUMMYFUNCTION("""COMPUTED_VALUE"""),"Form II / Literature — Shakespeare option")</f>
        <v>Form II / Literature — Shakespeare option</v>
      </c>
      <c r="B113" s="250"/>
      <c r="C113" s="250"/>
      <c r="D113" s="8"/>
      <c r="E113" s="8"/>
      <c r="F113" s="8"/>
      <c r="G113" s="8"/>
      <c r="H113" s="24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250" t="str">
        <f>IFERROR(__xludf.DUMMYFUNCTION("""COMPUTED_VALUE"""),"Form II / History — History Spine")</f>
        <v>Form II / History — History Spine</v>
      </c>
      <c r="B114" s="250"/>
      <c r="C114" s="250"/>
      <c r="D114" s="8"/>
      <c r="E114" s="8"/>
      <c r="F114" s="8"/>
      <c r="G114" s="8"/>
      <c r="H114" s="24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250" t="str">
        <f>IFERROR(__xludf.DUMMYFUNCTION("""COMPUTED_VALUE"""),"Form II / History — Biography")</f>
        <v>Form II / History — Biography</v>
      </c>
      <c r="B115" s="250"/>
      <c r="C115" s="250"/>
      <c r="D115" s="8"/>
      <c r="E115" s="8"/>
      <c r="F115" s="8"/>
      <c r="G115" s="8"/>
      <c r="H115" s="24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250" t="str">
        <f>IFERROR(__xludf.DUMMYFUNCTION("""COMPUTED_VALUE"""),"Form II / History — Ancient History [IIA]")</f>
        <v>Form II / History — Ancient History [IIA]</v>
      </c>
      <c r="B116" s="250"/>
      <c r="C116" s="250"/>
      <c r="D116" s="8"/>
      <c r="E116" s="8"/>
      <c r="F116" s="8"/>
      <c r="G116" s="8"/>
      <c r="H116" s="24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250" t="str">
        <f>IFERROR(__xludf.DUMMYFUNCTION("""COMPUTED_VALUE"""),"Form II / Geography — Geography Reader")</f>
        <v>Form II / Geography — Geography Reader</v>
      </c>
      <c r="B117" s="250"/>
      <c r="C117" s="250"/>
      <c r="D117" s="8"/>
      <c r="E117" s="8"/>
      <c r="F117" s="8"/>
      <c r="G117" s="8"/>
      <c r="H117" s="24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250" t="str">
        <f>IFERROR(__xludf.DUMMYFUNCTION("""COMPUTED_VALUE"""),"Form II / Citizenship — Citizenship / Plutarch [IIA]")</f>
        <v>Form II / Citizenship — Citizenship / Plutarch [IIA]</v>
      </c>
      <c r="B118" s="250"/>
      <c r="C118" s="250"/>
      <c r="D118" s="8"/>
      <c r="E118" s="8"/>
      <c r="F118" s="8"/>
      <c r="G118" s="8"/>
      <c r="H118" s="24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250" t="str">
        <f>IFERROR(__xludf.DUMMYFUNCTION("""COMPUTED_VALUE"""),"Form II / Science / Nature — Natural History")</f>
        <v>Form II / Science / Nature — Natural History</v>
      </c>
      <c r="B119" s="250"/>
      <c r="C119" s="250"/>
      <c r="D119" s="8"/>
      <c r="E119" s="8"/>
      <c r="F119" s="8"/>
      <c r="G119" s="8"/>
      <c r="H119" s="24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250" t="str">
        <f>IFERROR(__xludf.DUMMYFUNCTION("""COMPUTED_VALUE"""),"Form II / Science / Nature — Science")</f>
        <v>Form II / Science / Nature — Science</v>
      </c>
      <c r="B120" s="250"/>
      <c r="C120" s="250"/>
      <c r="D120" s="8"/>
      <c r="E120" s="8"/>
      <c r="F120" s="8"/>
      <c r="G120" s="8"/>
      <c r="H120" s="24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250" t="str">
        <f>IFERROR(__xludf.DUMMYFUNCTION("""COMPUTED_VALUE"""),"Form II / Math — Arithmetic")</f>
        <v>Form II / Math — Arithmetic</v>
      </c>
      <c r="B121" s="250"/>
      <c r="C121" s="250"/>
      <c r="D121" s="8"/>
      <c r="E121" s="8"/>
      <c r="F121" s="8"/>
      <c r="G121" s="8"/>
      <c r="H121" s="24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250" t="str">
        <f>IFERROR(__xludf.DUMMYFUNCTION("""COMPUTED_VALUE"""),"Form II / Math — Practical Geometry")</f>
        <v>Form II / Math — Practical Geometry</v>
      </c>
      <c r="B122" s="250"/>
      <c r="C122" s="250"/>
      <c r="D122" s="8"/>
      <c r="E122" s="8"/>
      <c r="F122" s="8"/>
      <c r="G122" s="8"/>
      <c r="H122" s="24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250" t="str">
        <f>IFERROR(__xludf.DUMMYFUNCTION("""COMPUTED_VALUE"""),"Form II / Foreign Language — Modern Language")</f>
        <v>Form II / Foreign Language — Modern Language</v>
      </c>
      <c r="B123" s="250"/>
      <c r="C123" s="250"/>
      <c r="D123" s="8"/>
      <c r="E123" s="8"/>
      <c r="F123" s="8"/>
      <c r="G123" s="8"/>
      <c r="H123" s="24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250" t="str">
        <f>IFERROR(__xludf.DUMMYFUNCTION("""COMPUTED_VALUE"""),"Form II / Foreign Language — Latin [IIA]")</f>
        <v>Form II / Foreign Language — Latin [IIA]</v>
      </c>
      <c r="B124" s="250"/>
      <c r="C124" s="250"/>
      <c r="D124" s="8"/>
      <c r="E124" s="8"/>
      <c r="F124" s="8"/>
      <c r="G124" s="8"/>
      <c r="H124" s="24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250" t="str">
        <f>IFERROR(__xludf.DUMMYFUNCTION("""COMPUTED_VALUE"""),"Form III / Language Arts — Dictation")</f>
        <v>Form III / Language Arts — Dictation</v>
      </c>
      <c r="B125" s="250"/>
      <c r="C125" s="250"/>
      <c r="D125" s="8"/>
      <c r="E125" s="8"/>
      <c r="F125" s="8"/>
      <c r="G125" s="8"/>
      <c r="H125" s="24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250" t="str">
        <f>IFERROR(__xludf.DUMMYFUNCTION("""COMPUTED_VALUE"""),"Form III / Language Arts — Grammar / Analysis")</f>
        <v>Form III / Language Arts — Grammar / Analysis</v>
      </c>
      <c r="B126" s="250"/>
      <c r="C126" s="250"/>
      <c r="D126" s="8"/>
      <c r="E126" s="8"/>
      <c r="F126" s="8"/>
      <c r="G126" s="8"/>
      <c r="H126" s="24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250" t="str">
        <f>IFERROR(__xludf.DUMMYFUNCTION("""COMPUTED_VALUE"""),"Form III / Language Arts — Composition")</f>
        <v>Form III / Language Arts — Composition</v>
      </c>
      <c r="B127" s="250"/>
      <c r="C127" s="250"/>
      <c r="D127" s="8"/>
      <c r="E127" s="8"/>
      <c r="F127" s="8"/>
      <c r="G127" s="8"/>
      <c r="H127" s="24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250" t="str">
        <f>IFERROR(__xludf.DUMMYFUNCTION("""COMPUTED_VALUE"""),"Form III / Literature — Literature")</f>
        <v>Form III / Literature — Literature</v>
      </c>
      <c r="B128" s="250"/>
      <c r="C128" s="250"/>
      <c r="D128" s="8"/>
      <c r="E128" s="8"/>
      <c r="F128" s="8"/>
      <c r="G128" s="8"/>
      <c r="H128" s="24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250" t="str">
        <f>IFERROR(__xludf.DUMMYFUNCTION("""COMPUTED_VALUE"""),"Form III / History — World / American History")</f>
        <v>Form III / History — World / American History</v>
      </c>
      <c r="B129" s="250"/>
      <c r="C129" s="250"/>
      <c r="D129" s="8"/>
      <c r="E129" s="8"/>
      <c r="F129" s="8"/>
      <c r="G129" s="8"/>
      <c r="H129" s="24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250" t="str">
        <f>IFERROR(__xludf.DUMMYFUNCTION("""COMPUTED_VALUE"""),"Form III / History — Book of Centuries")</f>
        <v>Form III / History — Book of Centuries</v>
      </c>
      <c r="B130" s="250"/>
      <c r="C130" s="250"/>
      <c r="D130" s="8"/>
      <c r="E130" s="8"/>
      <c r="F130" s="8"/>
      <c r="G130" s="8"/>
      <c r="H130" s="24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250" t="str">
        <f>IFERROR(__xludf.DUMMYFUNCTION("""COMPUTED_VALUE"""),"Form III / Citizenship — Current Events")</f>
        <v>Form III / Citizenship — Current Events</v>
      </c>
      <c r="B131" s="250"/>
      <c r="C131" s="250"/>
      <c r="D131" s="8"/>
      <c r="E131" s="8"/>
      <c r="F131" s="8"/>
      <c r="G131" s="8"/>
      <c r="H131" s="24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250" t="str">
        <f>IFERROR(__xludf.DUMMYFUNCTION("""COMPUTED_VALUE"""),"Form III / Science / Nature — Science")</f>
        <v>Form III / Science / Nature — Science</v>
      </c>
      <c r="B132" s="250"/>
      <c r="C132" s="250"/>
      <c r="D132" s="8"/>
      <c r="E132" s="8"/>
      <c r="F132" s="8"/>
      <c r="G132" s="8"/>
      <c r="H132" s="24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250" t="str">
        <f>IFERROR(__xludf.DUMMYFUNCTION("""COMPUTED_VALUE"""),"Form III / Science / Nature — Natural History")</f>
        <v>Form III / Science / Nature — Natural History</v>
      </c>
      <c r="B133" s="250"/>
      <c r="C133" s="250"/>
      <c r="D133" s="8"/>
      <c r="E133" s="8"/>
      <c r="F133" s="8"/>
      <c r="G133" s="8"/>
      <c r="H133" s="24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250" t="str">
        <f>IFERROR(__xludf.DUMMYFUNCTION("""COMPUTED_VALUE"""),"Form III / Math — Algebra / Geometry")</f>
        <v>Form III / Math — Algebra / Geometry</v>
      </c>
      <c r="B134" s="250"/>
      <c r="C134" s="250"/>
      <c r="D134" s="8"/>
      <c r="E134" s="8"/>
      <c r="F134" s="8"/>
      <c r="G134" s="8"/>
      <c r="H134" s="24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250" t="str">
        <f>IFERROR(__xludf.DUMMYFUNCTION("""COMPUTED_VALUE"""),"Form III / Foreign Language — Modern Language")</f>
        <v>Form III / Foreign Language — Modern Language</v>
      </c>
      <c r="B135" s="250"/>
      <c r="C135" s="250"/>
      <c r="D135" s="8"/>
      <c r="E135" s="8"/>
      <c r="F135" s="8"/>
      <c r="G135" s="8"/>
      <c r="H135" s="24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250" t="str">
        <f>IFERROR(__xludf.DUMMYFUNCTION("""COMPUTED_VALUE"""),"Form III / Foreign Language — Latin")</f>
        <v>Form III / Foreign Language — Latin</v>
      </c>
      <c r="B136" s="250"/>
      <c r="C136" s="250"/>
      <c r="D136" s="8"/>
      <c r="E136" s="8"/>
      <c r="F136" s="8"/>
      <c r="G136" s="8"/>
      <c r="H136" s="24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250" t="str">
        <f>IFERROR(__xludf.DUMMYFUNCTION("""COMPUTED_VALUE"""),"Form IV / Language Arts — Composition / Essays")</f>
        <v>Form IV / Language Arts — Composition / Essays</v>
      </c>
      <c r="B137" s="250"/>
      <c r="C137" s="250"/>
      <c r="D137" s="8"/>
      <c r="E137" s="8"/>
      <c r="F137" s="8"/>
      <c r="G137" s="8"/>
      <c r="H137" s="24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250" t="str">
        <f>IFERROR(__xludf.DUMMYFUNCTION("""COMPUTED_VALUE"""),"Form IV / Language Arts — Grammar / Analysis")</f>
        <v>Form IV / Language Arts — Grammar / Analysis</v>
      </c>
      <c r="B138" s="250"/>
      <c r="C138" s="250"/>
      <c r="D138" s="8"/>
      <c r="E138" s="8"/>
      <c r="F138" s="8"/>
      <c r="G138" s="8"/>
      <c r="H138" s="24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250" t="str">
        <f>IFERROR(__xludf.DUMMYFUNCTION("""COMPUTED_VALUE"""),"Form IV / Literature — Literature")</f>
        <v>Form IV / Literature — Literature</v>
      </c>
      <c r="B139" s="250"/>
      <c r="C139" s="250"/>
      <c r="D139" s="8"/>
      <c r="E139" s="8"/>
      <c r="F139" s="8"/>
      <c r="G139" s="8"/>
      <c r="H139" s="24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250" t="str">
        <f>IFERROR(__xludf.DUMMYFUNCTION("""COMPUTED_VALUE"""),"Form IV / History — World / American History")</f>
        <v>Form IV / History — World / American History</v>
      </c>
      <c r="B140" s="250"/>
      <c r="C140" s="250"/>
      <c r="D140" s="8"/>
      <c r="E140" s="8"/>
      <c r="F140" s="8"/>
      <c r="G140" s="8"/>
      <c r="H140" s="24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250" t="str">
        <f>IFERROR(__xludf.DUMMYFUNCTION("""COMPUTED_VALUE"""),"Form IV / History — Ancient History")</f>
        <v>Form IV / History — Ancient History</v>
      </c>
      <c r="B141" s="250"/>
      <c r="C141" s="250"/>
      <c r="D141" s="8"/>
      <c r="E141" s="8"/>
      <c r="F141" s="8"/>
      <c r="G141" s="8"/>
      <c r="H141" s="24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250" t="str">
        <f>IFERROR(__xludf.DUMMYFUNCTION("""COMPUTED_VALUE"""),"Form IV / Geography — Geography")</f>
        <v>Form IV / Geography — Geography</v>
      </c>
      <c r="B142" s="250"/>
      <c r="C142" s="250"/>
      <c r="D142" s="8"/>
      <c r="E142" s="8"/>
      <c r="F142" s="8"/>
      <c r="G142" s="8"/>
      <c r="H142" s="24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250" t="str">
        <f>IFERROR(__xludf.DUMMYFUNCTION("""COMPUTED_VALUE"""),"Form IV / Citizenship — Government")</f>
        <v>Form IV / Citizenship — Government</v>
      </c>
      <c r="B143" s="250"/>
      <c r="C143" s="250"/>
      <c r="D143" s="8"/>
      <c r="E143" s="8"/>
      <c r="F143" s="8"/>
      <c r="G143" s="8"/>
      <c r="H143" s="24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250" t="str">
        <f>IFERROR(__xludf.DUMMYFUNCTION("""COMPUTED_VALUE"""),"Form IV / Citizenship — Current Events")</f>
        <v>Form IV / Citizenship — Current Events</v>
      </c>
      <c r="B144" s="250"/>
      <c r="C144" s="250"/>
      <c r="D144" s="8"/>
      <c r="E144" s="8"/>
      <c r="F144" s="8"/>
      <c r="G144" s="8"/>
      <c r="H144" s="24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250" t="str">
        <f>IFERROR(__xludf.DUMMYFUNCTION("""COMPUTED_VALUE"""),"Form IV / Math — Upper Math")</f>
        <v>Form IV / Math — Upper Math</v>
      </c>
      <c r="B145" s="250"/>
      <c r="C145" s="250"/>
      <c r="D145" s="8"/>
      <c r="E145" s="8"/>
      <c r="F145" s="8"/>
      <c r="G145" s="8"/>
      <c r="H145" s="24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250" t="str">
        <f>IFERROR(__xludf.DUMMYFUNCTION("""COMPUTED_VALUE"""),"Form IV / Foreign Language — Modern Language / Latin")</f>
        <v>Form IV / Foreign Language — Modern Language / Latin</v>
      </c>
      <c r="B146" s="250"/>
      <c r="C146" s="250"/>
      <c r="D146" s="8"/>
      <c r="E146" s="8"/>
      <c r="F146" s="8"/>
      <c r="G146" s="8"/>
      <c r="H146" s="24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250"/>
      <c r="B147" s="250"/>
      <c r="C147" s="250"/>
      <c r="D147" s="8"/>
      <c r="E147" s="8"/>
      <c r="F147" s="8"/>
      <c r="G147" s="8"/>
      <c r="H147" s="24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250"/>
      <c r="B148" s="250"/>
      <c r="C148" s="25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250"/>
      <c r="B149" s="250"/>
      <c r="C149" s="25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250"/>
      <c r="B150" s="250"/>
      <c r="C150" s="25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250"/>
      <c r="B151" s="250"/>
      <c r="C151" s="25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250"/>
      <c r="B152" s="250"/>
      <c r="C152" s="25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250"/>
      <c r="B153" s="250"/>
      <c r="C153" s="25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250"/>
      <c r="B154" s="250"/>
      <c r="C154" s="25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250"/>
      <c r="B155" s="250"/>
      <c r="C155" s="25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250"/>
      <c r="B156" s="250"/>
      <c r="C156" s="25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250"/>
      <c r="B157" s="250"/>
      <c r="C157" s="25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250"/>
      <c r="B158" s="250"/>
      <c r="C158" s="25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250"/>
      <c r="B159" s="250"/>
      <c r="C159" s="25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250"/>
      <c r="B160" s="250"/>
      <c r="C160" s="25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250"/>
      <c r="B161" s="250"/>
      <c r="C161" s="25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287"/>
      <c r="B162" s="287"/>
      <c r="C162" s="28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9:F19"/>
    <mergeCell ref="A28:F28"/>
    <mergeCell ref="A37:F37"/>
    <mergeCell ref="A46:F46"/>
    <mergeCell ref="A55:F55"/>
    <mergeCell ref="A64:F64"/>
    <mergeCell ref="A73:F73"/>
    <mergeCell ref="A82:F82"/>
  </mergeCells>
  <dataValidations>
    <dataValidation type="list" allowBlank="1" sqref="D6:D13">
      <formula1>Setup!$O$6:$O$9</formula1>
    </dataValidation>
    <dataValidation type="list" allowBlank="1" sqref="E6:E13 D21:D26 D30:D35 D39:D44 D48:D53 D57:D62 D66:D71 D75:D80 D84:D89">
      <formula1>Setup!$P$6:$P$10</formula1>
    </dataValidation>
    <dataValidation type="list" allowBlank="1" sqref="B21:B26 B30:B35 B39:B44 B48:B53 B57:B62 B66:B71 B75:B80 B84:B89">
      <formula1>'Helper Data'!$F$5:$F$300</formula1>
    </dataValidation>
    <dataValidation type="list" allowBlank="1" showInputMessage="1" showErrorMessage="1" prompt="Choose how often this loop or block is opened." sqref="F6:F13">
      <formula1>"Daily,Daily-ish,4x/week,3x/week,2x/week,1x/week,2–3x/week,1–2x/week,Every other week,Weekly anchor,Optional,Custom"</formula1>
    </dataValidation>
    <dataValidation type="list" allowBlank="1" showInputMessage="1" showErrorMessage="1" prompt="Choose how often this particular strand is scheduled." sqref="E21:E26 E30:E35 E39:E44 E48:E53 E57:E62 E66:E71 E75:E80 E84:E89">
      <formula1>"Daily,4x/week,3x/week,2x/week,1x/week,Every other week,Custom"</formula1>
    </dataValidation>
    <dataValidation type="list" allowBlank="1" sqref="C6:C13 C21:C26 C30:C35 C39:C44 C48:C53 C57:C62 C66:C71 C75:C80 C84:C89 H46:H147">
      <formula1>Setup!$S$6:$S$35</formula1>
    </dataValidation>
    <dataValidation type="list" allowBlank="1" sqref="A6:A13">
      <formula1>"☑,☐"</formula1>
    </dataValidation>
    <dataValidation type="list" allowBlank="1" showInputMessage="1" showErrorMessage="1" prompt="Choose how many items are normally handled when this loop or block opens." sqref="G6:G13">
      <formula1>"Next 1,Next 2,Next 3,All,As assigned"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4349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88"/>
    <col customWidth="1" min="2" max="3" width="42.63"/>
    <col customWidth="1" min="4" max="4" width="21.38"/>
    <col customWidth="1" min="5" max="5" width="18.88"/>
    <col customWidth="1" min="6" max="6" width="25.13"/>
    <col customWidth="1" min="7" max="7" width="26.38"/>
    <col customWidth="1" hidden="1" min="8" max="10" width="12.63"/>
    <col customWidth="1" min="11" max="26" width="12.63"/>
  </cols>
  <sheetData>
    <row r="1" ht="15.75" customHeight="1">
      <c r="A1" s="262" t="s">
        <v>270</v>
      </c>
      <c r="B1" s="263"/>
      <c r="C1" s="263"/>
      <c r="D1" s="264"/>
      <c r="E1" s="264"/>
      <c r="F1" s="264"/>
      <c r="G1" s="264"/>
      <c r="H1" s="263"/>
      <c r="I1" s="264"/>
      <c r="J1" s="264"/>
    </row>
    <row r="2" ht="31.5" customHeight="1">
      <c r="A2" s="265" t="s">
        <v>272</v>
      </c>
      <c r="B2" s="266"/>
      <c r="C2" s="266"/>
      <c r="D2" s="50"/>
      <c r="E2" s="50"/>
      <c r="F2" s="50"/>
      <c r="G2" s="50"/>
      <c r="H2" s="50"/>
      <c r="I2" s="50"/>
      <c r="J2" s="50"/>
    </row>
    <row r="3" ht="18.0" customHeight="1">
      <c r="A3" s="267" t="s">
        <v>273</v>
      </c>
      <c r="D3" s="268"/>
      <c r="E3" s="268"/>
      <c r="F3" s="268"/>
      <c r="G3" s="268"/>
      <c r="H3" s="268"/>
    </row>
    <row r="4" ht="22.5" customHeight="1">
      <c r="A4" s="269" t="s">
        <v>61</v>
      </c>
      <c r="B4" s="269" t="s">
        <v>274</v>
      </c>
      <c r="C4" s="269" t="s">
        <v>275</v>
      </c>
    </row>
    <row r="5">
      <c r="A5" s="270" t="str">
        <f>IFERROR(__xludf.DUMMYFUNCTION("IFERROR(INDEX(FILTER(Setup!$S$6:$S$13,Setup!$S$6:$S$13&lt;&gt;""""),ROWS($A$5:A5)),"""")"),"Lucy")</f>
        <v>Lucy</v>
      </c>
      <c r="B5" s="122" t="str">
        <f>IFERROR(__xludf.DUMMYFUNCTION("IF($A5="""","""",IFERROR(TEXTJOIN(CHAR(10),TRUE,FILTER($C$24:$C$223&amp;"" • ""&amp;$E$24:$E$223,($A$24:$A$223=$A5)*($B$24:$B$223=B$4))),""""))"),"Form III / Language Arts — Composition • 1x/week")</f>
        <v>Form III / Language Arts — Composition • 1x/week</v>
      </c>
      <c r="C5" s="122" t="str">
        <f>IFERROR(__xludf.DUMMYFUNCTION("IF($A5="""","""",IFERROR(TEXTJOIN(CHAR(10),TRUE,FILTER($C$24:$C$223&amp;"" • ""&amp;$E$24:$E$223,($A$24:$A$223=$A5)*($B$24:$B$223=C$4))),""""))"),"")</f>
        <v/>
      </c>
    </row>
    <row r="6">
      <c r="A6" s="270" t="str">
        <f>IFERROR(__xludf.DUMMYFUNCTION("IFERROR(INDEX(FILTER(Setup!$S$6:$S$13,Setup!$S$6:$S$13&lt;&gt;""""),ROWS($A$5:A6)),"""")"),"Kayla")</f>
        <v>Kayla</v>
      </c>
      <c r="B6" s="122" t="str">
        <f>IFERROR(__xludf.DUMMYFUNCTION("IF($A6="""","""",IFERROR(TEXTJOIN(CHAR(10),TRUE,FILTER($C$24:$C$223&amp;"" • ""&amp;$E$24:$E$223,($A$24:$A$223=$A6)*($B$24:$B$223=B$4))),""""))"),"")</f>
        <v/>
      </c>
      <c r="C6" s="122" t="str">
        <f>IFERROR(__xludf.DUMMYFUNCTION("IF($A6="""","""",IFERROR(TEXTJOIN(CHAR(10),TRUE,FILTER($C$24:$C$223&amp;"" • ""&amp;$E$24:$E$223,($A$24:$A$223=$A6)*($B$24:$B$223=C$4))),""""))"),"")</f>
        <v/>
      </c>
    </row>
    <row r="7">
      <c r="A7" s="270" t="str">
        <f>IFERROR(__xludf.DUMMYFUNCTION("IFERROR(INDEX(FILTER(Setup!$S$6:$S$13,Setup!$S$6:$S$13&lt;&gt;""""),ROWS($A$5:A7)),"""")"),"Charis")</f>
        <v>Charis</v>
      </c>
      <c r="B7" s="122" t="str">
        <f>IFERROR(__xludf.DUMMYFUNCTION("IF($A7="""","""",IFERROR(TEXTJOIN(CHAR(10),TRUE,FILTER($C$24:$C$223&amp;"" • ""&amp;$E$24:$E$223,($A$24:$A$223=$A7)*($B$24:$B$223=B$4))),""""))"),"")</f>
        <v/>
      </c>
      <c r="C7" s="122" t="str">
        <f>IFERROR(__xludf.DUMMYFUNCTION("IF($A7="""","""",IFERROR(TEXTJOIN(CHAR(10),TRUE,FILTER($C$24:$C$223&amp;"" • ""&amp;$E$24:$E$223,($A$24:$A$223=$A7)*($B$24:$B$223=C$4))),""""))"),"")</f>
        <v/>
      </c>
    </row>
    <row r="8">
      <c r="A8" s="270" t="str">
        <f>IFERROR(__xludf.DUMMYFUNCTION("IFERROR(INDEX(FILTER(Setup!$S$6:$S$13,Setup!$S$6:$S$13&lt;&gt;""""),ROWS($A$5:A8)),"""")"),"Jeremiah")</f>
        <v>Jeremiah</v>
      </c>
      <c r="B8" s="122" t="str">
        <f>IFERROR(__xludf.DUMMYFUNCTION("IF($A8="""","""",IFERROR(TEXTJOIN(CHAR(10),TRUE,FILTER($C$24:$C$223&amp;"" • ""&amp;$E$24:$E$223,($A$24:$A$223=$A8)*($B$24:$B$223=B$4))),""""))"),"Form IV / Citizenship — Current Events • 1x/week")</f>
        <v>Form IV / Citizenship — Current Events • 1x/week</v>
      </c>
      <c r="C8" s="122" t="str">
        <f>IFERROR(__xludf.DUMMYFUNCTION("IF($A8="""","""",IFERROR(TEXTJOIN(CHAR(10),TRUE,FILTER($C$24:$C$223&amp;"" • ""&amp;$E$24:$E$223,($A$24:$A$223=$A8)*($B$24:$B$223=C$4))),""""))"),"Form IV / Math — Upper Math • Daily
Form IV / History — World / American History • 1x/week
Form IV / Literature — Literature • 1x/week")</f>
        <v>Form IV / Math — Upper Math • Daily
Form IV / History — World / American History • 1x/week
Form IV / Literature — Literature • 1x/week</v>
      </c>
    </row>
    <row r="9">
      <c r="A9" s="270" t="str">
        <f>IFERROR(__xludf.DUMMYFUNCTION("IFERROR(INDEX(FILTER(Setup!$S$6:$S$13,Setup!$S$6:$S$13&lt;&gt;""""),ROWS($A$5:A9)),"""")"),"")</f>
        <v/>
      </c>
      <c r="B9" s="122" t="str">
        <f>IFERROR(__xludf.DUMMYFUNCTION("IF($A9="""","""",IFERROR(TEXTJOIN(CHAR(10),TRUE,FILTER($C$24:$C$223&amp;"" • ""&amp;$E$24:$E$223,($A$24:$A$223=$A9)*($B$24:$B$223=B$4))),""""))"),"")</f>
        <v/>
      </c>
      <c r="C9" s="122" t="str">
        <f>IFERROR(__xludf.DUMMYFUNCTION("IF($A9="""","""",IFERROR(TEXTJOIN(CHAR(10),TRUE,FILTER($C$24:$C$223&amp;"" • ""&amp;$E$24:$E$223,($A$24:$A$223=$A9)*($B$24:$B$223=C$4))),""""))"),"")</f>
        <v/>
      </c>
    </row>
    <row r="10">
      <c r="A10" s="270" t="str">
        <f>IFERROR(__xludf.DUMMYFUNCTION("IFERROR(INDEX(FILTER(Setup!$S$6:$S$13,Setup!$S$6:$S$13&lt;&gt;""""),ROWS($A$5:A10)),"""")"),"")</f>
        <v/>
      </c>
      <c r="B10" s="122" t="str">
        <f>IFERROR(__xludf.DUMMYFUNCTION("IF($A10="""","""",IFERROR(TEXTJOIN(CHAR(10),TRUE,FILTER($C$24:$C$223&amp;"" • ""&amp;$E$24:$E$223,($A$24:$A$223=$A10)*($B$24:$B$223=B$4))),""""))"),"")</f>
        <v/>
      </c>
      <c r="C10" s="122" t="str">
        <f>IFERROR(__xludf.DUMMYFUNCTION("IF($A10="""","""",IFERROR(TEXTJOIN(CHAR(10),TRUE,FILTER($C$24:$C$223&amp;"" • ""&amp;$E$24:$E$223,($A$24:$A$223=$A10)*($B$24:$B$223=C$4))),""""))"),"")</f>
        <v/>
      </c>
    </row>
    <row r="11">
      <c r="A11" s="270" t="str">
        <f>IFERROR(__xludf.DUMMYFUNCTION("IFERROR(INDEX(FILTER(Setup!$S$6:$S$13,Setup!$S$6:$S$13&lt;&gt;""""),ROWS($A$5:A11)),"""")"),"")</f>
        <v/>
      </c>
      <c r="B11" s="122" t="str">
        <f>IFERROR(__xludf.DUMMYFUNCTION("IF($A11="""","""",IFERROR(TEXTJOIN(CHAR(10),TRUE,FILTER($C$24:$C$223&amp;"" • ""&amp;$E$24:$E$223,($A$24:$A$223=$A11)*($B$24:$B$223=B$4))),""""))"),"")</f>
        <v/>
      </c>
      <c r="C11" s="122" t="str">
        <f>IFERROR(__xludf.DUMMYFUNCTION("IF($A11="""","""",IFERROR(TEXTJOIN(CHAR(10),TRUE,FILTER($C$24:$C$223&amp;"" • ""&amp;$E$24:$E$223,($A$24:$A$223=$A11)*($B$24:$B$223=C$4))),""""))"),"")</f>
        <v/>
      </c>
    </row>
    <row r="12">
      <c r="A12" s="270" t="str">
        <f>IFERROR(__xludf.DUMMYFUNCTION("IFERROR(INDEX(FILTER(Setup!$S$6:$S$13,Setup!$S$6:$S$13&lt;&gt;""""),ROWS($A$5:A12)),"""")"),"")</f>
        <v/>
      </c>
      <c r="B12" s="122" t="str">
        <f>IFERROR(__xludf.DUMMYFUNCTION("IF($A12="""","""",IFERROR(TEXTJOIN(CHAR(10),TRUE,FILTER($C$24:$C$223&amp;"" • ""&amp;$E$24:$E$223,($A$24:$A$223=$A12)*($B$24:$B$223=B$4))),""""))"),"")</f>
        <v/>
      </c>
      <c r="C12" s="122" t="str">
        <f>IFERROR(__xludf.DUMMYFUNCTION("IF($A12="""","""",IFERROR(TEXTJOIN(CHAR(10),TRUE,FILTER($C$24:$C$223&amp;"" • ""&amp;$E$24:$E$223,($A$24:$A$223=$A12)*($B$24:$B$223=C$4))),""""))"),"")</f>
        <v/>
      </c>
    </row>
    <row r="13">
      <c r="A13" s="270" t="str">
        <f>IFERROR(__xludf.DUMMYFUNCTION("IFERROR(INDEX(FILTER(Setup!$S$6:$S$13,Setup!$S$6:$S$13&lt;&gt;""""),ROWS($A$5:A13)),"""")"),"")</f>
        <v/>
      </c>
      <c r="B13" s="122" t="str">
        <f>IFERROR(__xludf.DUMMYFUNCTION("IF($A13="""","""",IFERROR(TEXTJOIN(CHAR(10),TRUE,FILTER($C$24:$C$223&amp;"" • ""&amp;$E$24:$E$223,($A$24:$A$223=$A13)*($B$24:$B$223=B$4))),""""))"),"")</f>
        <v/>
      </c>
      <c r="C13" s="122" t="str">
        <f>IFERROR(__xludf.DUMMYFUNCTION("IF($A13="""","""",IFERROR(TEXTJOIN(CHAR(10),TRUE,FILTER($C$24:$C$223&amp;"" • ""&amp;$E$24:$E$223,($A$24:$A$223=$A13)*($B$24:$B$223=C$4))),""""))"),"")</f>
        <v/>
      </c>
    </row>
    <row r="14">
      <c r="A14" s="270" t="str">
        <f>IFERROR(__xludf.DUMMYFUNCTION("IFERROR(INDEX(FILTER(Setup!$S$6:$S$13,Setup!$S$6:$S$13&lt;&gt;""""),ROWS($A$5:A14)),"""")"),"")</f>
        <v/>
      </c>
      <c r="B14" s="122" t="str">
        <f>IFERROR(__xludf.DUMMYFUNCTION("IF($A14="""","""",IFERROR(TEXTJOIN(CHAR(10),TRUE,FILTER($C$24:$C$223&amp;"" • ""&amp;$E$24:$E$223,($A$24:$A$223=$A14)*($B$24:$B$223=B$4))),""""))"),"")</f>
        <v/>
      </c>
      <c r="C14" s="122" t="str">
        <f>IFERROR(__xludf.DUMMYFUNCTION("IF($A14="""","""",IFERROR(TEXTJOIN(CHAR(10),TRUE,FILTER($C$24:$C$223&amp;"" • ""&amp;$E$24:$E$223,($A$24:$A$223=$A14)*($B$24:$B$223=C$4))),""""))"),"")</f>
        <v/>
      </c>
    </row>
    <row r="15">
      <c r="A15" s="270" t="str">
        <f>IFERROR(__xludf.DUMMYFUNCTION("IFERROR(INDEX(FILTER(Setup!$S$6:$S$13,Setup!$S$6:$S$13&lt;&gt;""""),ROWS($A$5:A15)),"""")"),"")</f>
        <v/>
      </c>
      <c r="B15" s="122" t="str">
        <f>IFERROR(__xludf.DUMMYFUNCTION("IF($A15="""","""",IFERROR(TEXTJOIN(CHAR(10),TRUE,FILTER($C$24:$C$223&amp;"" • ""&amp;$E$24:$E$223,($A$24:$A$223=$A15)*($B$24:$B$223=B$4))),""""))"),"")</f>
        <v/>
      </c>
      <c r="C15" s="122" t="str">
        <f>IFERROR(__xludf.DUMMYFUNCTION("IF($A15="""","""",IFERROR(TEXTJOIN(CHAR(10),TRUE,FILTER($C$24:$C$223&amp;"" • ""&amp;$E$24:$E$223,($A$24:$A$223=$A15)*($B$24:$B$223=C$4))),""""))"),"")</f>
        <v/>
      </c>
    </row>
    <row r="16">
      <c r="A16" s="270" t="str">
        <f>IFERROR(__xludf.DUMMYFUNCTION("IFERROR(INDEX(FILTER(Setup!$S$6:$S$13,Setup!$S$6:$S$13&lt;&gt;""""),ROWS($A$5:A16)),"""")"),"")</f>
        <v/>
      </c>
      <c r="B16" s="122" t="str">
        <f>IFERROR(__xludf.DUMMYFUNCTION("IF($A16="""","""",IFERROR(TEXTJOIN(CHAR(10),TRUE,FILTER($C$24:$C$223&amp;"" • ""&amp;$E$24:$E$223,($A$24:$A$223=$A16)*($B$24:$B$223=B$4))),""""))"),"")</f>
        <v/>
      </c>
      <c r="C16" s="122" t="str">
        <f>IFERROR(__xludf.DUMMYFUNCTION("IF($A16="""","""",IFERROR(TEXTJOIN(CHAR(10),TRUE,FILTER($C$24:$C$223&amp;"" • ""&amp;$E$24:$E$223,($A$24:$A$223=$A16)*($B$24:$B$223=C$4))),""""))"),"")</f>
        <v/>
      </c>
    </row>
    <row r="17">
      <c r="A17" s="270" t="str">
        <f>IFERROR(__xludf.DUMMYFUNCTION("IFERROR(INDEX(FILTER(Setup!$S$6:$S$13,Setup!$S$6:$S$13&lt;&gt;""""),ROWS($A$5:A17)),"""")"),"")</f>
        <v/>
      </c>
      <c r="B17" s="122" t="str">
        <f>IFERROR(__xludf.DUMMYFUNCTION("IF($A17="""","""",IFERROR(TEXTJOIN(CHAR(10),TRUE,FILTER($C$24:$C$223&amp;"" • ""&amp;$E$24:$E$223,($A$24:$A$223=$A17)*($B$24:$B$223=B$4))),""""))"),"")</f>
        <v/>
      </c>
      <c r="C17" s="122" t="str">
        <f>IFERROR(__xludf.DUMMYFUNCTION("IF($A17="""","""",IFERROR(TEXTJOIN(CHAR(10),TRUE,FILTER($C$24:$C$223&amp;"" • ""&amp;$E$24:$E$223,($A$24:$A$223=$A17)*($B$24:$B$223=C$4))),""""))"),"")</f>
        <v/>
      </c>
    </row>
    <row r="18">
      <c r="A18" s="270" t="str">
        <f>IFERROR(__xludf.DUMMYFUNCTION("IFERROR(INDEX(FILTER(Setup!$S$6:$S$13,Setup!$S$6:$S$13&lt;&gt;""""),ROWS($A$5:A18)),"""")"),"")</f>
        <v/>
      </c>
      <c r="B18" s="122" t="str">
        <f>IFERROR(__xludf.DUMMYFUNCTION("IF($A18="""","""",IFERROR(TEXTJOIN(CHAR(10),TRUE,FILTER($C$24:$C$223&amp;"" • ""&amp;$E$24:$E$223,($A$24:$A$223=$A18)*($B$24:$B$223=B$4))),""""))"),"")</f>
        <v/>
      </c>
      <c r="C18" s="122" t="str">
        <f>IFERROR(__xludf.DUMMYFUNCTION("IF($A18="""","""",IFERROR(TEXTJOIN(CHAR(10),TRUE,FILTER($C$24:$C$223&amp;"" • ""&amp;$E$24:$E$223,($A$24:$A$223=$A18)*($B$24:$B$223=C$4))),""""))"),"")</f>
        <v/>
      </c>
    </row>
    <row r="19">
      <c r="A19" s="270" t="str">
        <f>IFERROR(__xludf.DUMMYFUNCTION("IFERROR(INDEX(FILTER(Setup!$S$6:$S$13,Setup!$S$6:$S$13&lt;&gt;""""),ROWS($A$5:A19)),"""")"),"")</f>
        <v/>
      </c>
      <c r="B19" s="122" t="str">
        <f>IFERROR(__xludf.DUMMYFUNCTION("IF($A19="""","""",IFERROR(TEXTJOIN(CHAR(10),TRUE,FILTER($C$24:$C$223&amp;"" • ""&amp;$E$24:$E$223,($A$24:$A$223=$A19)*($B$24:$B$223=B$4))),""""))"),"")</f>
        <v/>
      </c>
      <c r="C19" s="122" t="str">
        <f>IFERROR(__xludf.DUMMYFUNCTION("IF($A19="""","""",IFERROR(TEXTJOIN(CHAR(10),TRUE,FILTER($C$24:$C$223&amp;"" • ""&amp;$E$24:$E$223,($A$24:$A$223=$A19)*($B$24:$B$223=C$4))),""""))"),"")</f>
        <v/>
      </c>
    </row>
    <row r="20" ht="15.75" customHeight="1"/>
    <row r="21" ht="15.75" customHeight="1"/>
    <row r="22" ht="18.0" customHeight="1">
      <c r="A22" s="267" t="s">
        <v>279</v>
      </c>
      <c r="H22" s="271"/>
    </row>
    <row r="23" ht="22.5" customHeight="1">
      <c r="A23" s="269" t="s">
        <v>61</v>
      </c>
      <c r="B23" s="269" t="s">
        <v>280</v>
      </c>
      <c r="C23" s="269" t="s">
        <v>281</v>
      </c>
      <c r="D23" s="269" t="s">
        <v>209</v>
      </c>
      <c r="E23" s="269" t="s">
        <v>238</v>
      </c>
      <c r="F23" s="269" t="s">
        <v>66</v>
      </c>
      <c r="G23" s="269" t="s">
        <v>74</v>
      </c>
      <c r="H23" s="272" t="s">
        <v>240</v>
      </c>
    </row>
    <row r="24" ht="15.75" customHeight="1">
      <c r="A24" s="273" t="s">
        <v>85</v>
      </c>
      <c r="B24" s="274" t="s">
        <v>274</v>
      </c>
      <c r="C24" s="274" t="s">
        <v>282</v>
      </c>
      <c r="D24" s="274" t="s">
        <v>125</v>
      </c>
      <c r="E24" s="274" t="s">
        <v>242</v>
      </c>
      <c r="F24" s="275"/>
      <c r="G24" s="121" t="str">
        <f t="shared" ref="G24:G223" si="1">IF(COUNTA($A24:$F24)=0,"",IF($A24="","⚠ choose student",IF($B24="","⚠ choose work setting",IF($C24="","⚠ choose strand",IF($D24="","⚠ choose mom role",IF($E24="","⚠ add touch rhythm",IF(COUNTIF($J$24:$J$223,$C24)&gt;0,"⚠ already placed in a loop",IF(COUNTIF($C$24:$C$223,$C24)&gt;1,"⚠ strand assigned more than once",""))))))))</f>
        <v/>
      </c>
      <c r="H24" s="50" t="str">
        <f t="shared" ref="H24:H223" si="2">IF(OR($A24="",$C24=""),"",$A24&amp;" | "&amp;$C24)</f>
        <v>Lucy | Form III / Language Arts — Composition</v>
      </c>
      <c r="I24" s="276"/>
      <c r="J24" s="276" t="str">
        <f t="array" ref="J24:J40">TOCOL({'Strand Placement'!B21:B26;'Strand Placement'!B30:B35;'Strand Placement'!B39:B44;'Strand Placement'!B48:B53;'Strand Placement'!B57:B62;'Strand Placement'!B66:B71;'Strand Placement'!B75:B80;'Strand Placement'!B84:B89},1)</f>
        <v>All Together / Bible — Old Testament</v>
      </c>
    </row>
    <row r="25" ht="15.75" customHeight="1">
      <c r="A25" s="273" t="s">
        <v>130</v>
      </c>
      <c r="B25" s="274" t="s">
        <v>274</v>
      </c>
      <c r="C25" s="274" t="s">
        <v>285</v>
      </c>
      <c r="D25" s="274" t="s">
        <v>100</v>
      </c>
      <c r="E25" s="274" t="s">
        <v>242</v>
      </c>
      <c r="F25" s="275"/>
      <c r="G25" s="121" t="str">
        <f t="shared" si="1"/>
        <v/>
      </c>
      <c r="H25" s="50" t="str">
        <f t="shared" si="2"/>
        <v>Jeremiah | Form IV / Citizenship — Current Events</v>
      </c>
      <c r="I25" s="276"/>
      <c r="J25" s="276" t="s">
        <v>244</v>
      </c>
    </row>
    <row r="26" ht="15.75" customHeight="1">
      <c r="A26" s="277" t="s">
        <v>130</v>
      </c>
      <c r="B26" s="274" t="s">
        <v>275</v>
      </c>
      <c r="C26" s="274" t="s">
        <v>286</v>
      </c>
      <c r="D26" s="274" t="s">
        <v>125</v>
      </c>
      <c r="E26" s="274" t="s">
        <v>222</v>
      </c>
      <c r="F26" s="275"/>
      <c r="G26" s="121" t="str">
        <f t="shared" si="1"/>
        <v/>
      </c>
      <c r="H26" s="50" t="str">
        <f t="shared" si="2"/>
        <v>Jeremiah | Form IV / Math — Upper Math</v>
      </c>
      <c r="I26" s="276"/>
      <c r="J26" s="276" t="s">
        <v>245</v>
      </c>
    </row>
    <row r="27" ht="15.75" customHeight="1">
      <c r="A27" s="277" t="s">
        <v>130</v>
      </c>
      <c r="B27" s="274" t="s">
        <v>275</v>
      </c>
      <c r="C27" s="274" t="s">
        <v>287</v>
      </c>
      <c r="D27" s="274" t="s">
        <v>139</v>
      </c>
      <c r="E27" s="274" t="s">
        <v>242</v>
      </c>
      <c r="F27" s="275"/>
      <c r="G27" s="121" t="str">
        <f t="shared" si="1"/>
        <v/>
      </c>
      <c r="H27" s="50" t="str">
        <f t="shared" si="2"/>
        <v>Jeremiah | Form IV / History — World / American History</v>
      </c>
      <c r="I27" s="276"/>
      <c r="J27" s="276" t="s">
        <v>246</v>
      </c>
    </row>
    <row r="28" ht="15.75" customHeight="1">
      <c r="A28" s="277" t="s">
        <v>130</v>
      </c>
      <c r="B28" s="274" t="s">
        <v>275</v>
      </c>
      <c r="C28" s="274" t="s">
        <v>288</v>
      </c>
      <c r="D28" s="274" t="s">
        <v>139</v>
      </c>
      <c r="E28" s="278" t="s">
        <v>242</v>
      </c>
      <c r="F28" s="275"/>
      <c r="G28" s="121" t="str">
        <f t="shared" si="1"/>
        <v/>
      </c>
      <c r="H28" s="50" t="str">
        <f t="shared" si="2"/>
        <v>Jeremiah | Form IV / Literature — Literature</v>
      </c>
      <c r="I28" s="276"/>
      <c r="J28" s="276" t="s">
        <v>248</v>
      </c>
    </row>
    <row r="29" ht="15.75" customHeight="1">
      <c r="A29" s="273"/>
      <c r="B29" s="278"/>
      <c r="C29" s="278"/>
      <c r="D29" s="278"/>
      <c r="E29" s="278"/>
      <c r="F29" s="275"/>
      <c r="G29" s="121" t="str">
        <f t="shared" si="1"/>
        <v/>
      </c>
      <c r="H29" s="50" t="str">
        <f t="shared" si="2"/>
        <v/>
      </c>
      <c r="I29" s="276"/>
      <c r="J29" s="276" t="s">
        <v>251</v>
      </c>
    </row>
    <row r="30" ht="15.75" customHeight="1">
      <c r="A30" s="273"/>
      <c r="B30" s="278"/>
      <c r="C30" s="275"/>
      <c r="D30" s="275"/>
      <c r="E30" s="275"/>
      <c r="F30" s="275"/>
      <c r="G30" s="280" t="str">
        <f t="shared" si="1"/>
        <v/>
      </c>
      <c r="H30" s="50" t="str">
        <f t="shared" si="2"/>
        <v/>
      </c>
      <c r="I30" s="276"/>
      <c r="J30" s="276" t="s">
        <v>253</v>
      </c>
    </row>
    <row r="31" ht="15.75" customHeight="1">
      <c r="A31" s="281"/>
      <c r="B31" s="121"/>
      <c r="C31" s="121"/>
      <c r="D31" s="121"/>
      <c r="E31" s="121"/>
      <c r="F31" s="121"/>
      <c r="G31" s="121" t="str">
        <f t="shared" si="1"/>
        <v/>
      </c>
      <c r="H31" s="50" t="str">
        <f t="shared" si="2"/>
        <v/>
      </c>
      <c r="I31" s="276"/>
      <c r="J31" s="276" t="s">
        <v>255</v>
      </c>
    </row>
    <row r="32" ht="15.75" customHeight="1">
      <c r="A32" s="281"/>
      <c r="B32" s="121"/>
      <c r="C32" s="121"/>
      <c r="D32" s="121"/>
      <c r="E32" s="121"/>
      <c r="F32" s="121"/>
      <c r="G32" s="121" t="str">
        <f t="shared" si="1"/>
        <v/>
      </c>
      <c r="H32" s="50" t="str">
        <f t="shared" si="2"/>
        <v/>
      </c>
      <c r="I32" s="276"/>
      <c r="J32" s="276" t="s">
        <v>251</v>
      </c>
    </row>
    <row r="33" ht="15.75" customHeight="1">
      <c r="A33" s="281"/>
      <c r="B33" s="121"/>
      <c r="C33" s="121"/>
      <c r="D33" s="121"/>
      <c r="E33" s="121"/>
      <c r="F33" s="121"/>
      <c r="G33" s="121" t="str">
        <f t="shared" si="1"/>
        <v/>
      </c>
      <c r="H33" s="50" t="str">
        <f t="shared" si="2"/>
        <v/>
      </c>
      <c r="I33" s="276"/>
      <c r="J33" s="276" t="s">
        <v>258</v>
      </c>
    </row>
    <row r="34" ht="15.75" customHeight="1">
      <c r="A34" s="281"/>
      <c r="B34" s="121"/>
      <c r="C34" s="121"/>
      <c r="D34" s="121"/>
      <c r="E34" s="121"/>
      <c r="F34" s="121"/>
      <c r="G34" s="121" t="str">
        <f t="shared" si="1"/>
        <v/>
      </c>
      <c r="H34" s="50" t="str">
        <f t="shared" si="2"/>
        <v/>
      </c>
      <c r="I34" s="276"/>
      <c r="J34" s="276" t="s">
        <v>259</v>
      </c>
    </row>
    <row r="35" ht="15.75" customHeight="1">
      <c r="A35" s="281"/>
      <c r="B35" s="121"/>
      <c r="C35" s="121"/>
      <c r="D35" s="121"/>
      <c r="E35" s="121"/>
      <c r="F35" s="121"/>
      <c r="G35" s="121" t="str">
        <f t="shared" si="1"/>
        <v/>
      </c>
      <c r="H35" s="50" t="str">
        <f t="shared" si="2"/>
        <v/>
      </c>
      <c r="I35" s="276"/>
      <c r="J35" s="276" t="s">
        <v>262</v>
      </c>
    </row>
    <row r="36" ht="15.75" customHeight="1">
      <c r="A36" s="281"/>
      <c r="B36" s="121"/>
      <c r="C36" s="121"/>
      <c r="D36" s="121"/>
      <c r="E36" s="121"/>
      <c r="F36" s="121"/>
      <c r="G36" s="121" t="str">
        <f t="shared" si="1"/>
        <v/>
      </c>
      <c r="H36" s="50" t="str">
        <f t="shared" si="2"/>
        <v/>
      </c>
      <c r="I36" s="276"/>
      <c r="J36" s="276" t="s">
        <v>263</v>
      </c>
    </row>
    <row r="37" ht="15.75" customHeight="1">
      <c r="A37" s="281"/>
      <c r="B37" s="121"/>
      <c r="C37" s="121"/>
      <c r="D37" s="121"/>
      <c r="E37" s="121"/>
      <c r="F37" s="121"/>
      <c r="G37" s="121" t="str">
        <f t="shared" si="1"/>
        <v/>
      </c>
      <c r="H37" s="50" t="str">
        <f t="shared" si="2"/>
        <v/>
      </c>
      <c r="I37" s="276"/>
      <c r="J37" s="276" t="s">
        <v>244</v>
      </c>
    </row>
    <row r="38" ht="15.75" customHeight="1">
      <c r="A38" s="281"/>
      <c r="B38" s="121"/>
      <c r="C38" s="121"/>
      <c r="D38" s="121"/>
      <c r="E38" s="121"/>
      <c r="F38" s="121"/>
      <c r="G38" s="121" t="str">
        <f t="shared" si="1"/>
        <v/>
      </c>
      <c r="H38" s="50" t="str">
        <f t="shared" si="2"/>
        <v/>
      </c>
      <c r="I38" s="276"/>
      <c r="J38" s="276" t="s">
        <v>266</v>
      </c>
    </row>
    <row r="39" ht="15.75" customHeight="1">
      <c r="A39" s="281"/>
      <c r="B39" s="121"/>
      <c r="C39" s="121"/>
      <c r="D39" s="121"/>
      <c r="E39" s="121"/>
      <c r="F39" s="121"/>
      <c r="G39" s="121" t="str">
        <f t="shared" si="1"/>
        <v/>
      </c>
      <c r="H39" s="50" t="str">
        <f t="shared" si="2"/>
        <v/>
      </c>
      <c r="I39" s="276"/>
      <c r="J39" s="276" t="s">
        <v>268</v>
      </c>
    </row>
    <row r="40" ht="15.75" customHeight="1">
      <c r="A40" s="281"/>
      <c r="B40" s="121"/>
      <c r="C40" s="121"/>
      <c r="D40" s="121"/>
      <c r="E40" s="121"/>
      <c r="F40" s="121"/>
      <c r="G40" s="121" t="str">
        <f t="shared" si="1"/>
        <v/>
      </c>
      <c r="H40" s="50" t="str">
        <f t="shared" si="2"/>
        <v/>
      </c>
      <c r="I40" s="276"/>
      <c r="J40" s="276" t="s">
        <v>277</v>
      </c>
    </row>
    <row r="41" ht="15.75" customHeight="1">
      <c r="A41" s="281"/>
      <c r="B41" s="121"/>
      <c r="C41" s="121"/>
      <c r="D41" s="121"/>
      <c r="E41" s="121"/>
      <c r="F41" s="121"/>
      <c r="G41" s="121" t="str">
        <f t="shared" si="1"/>
        <v/>
      </c>
      <c r="H41" s="50" t="str">
        <f t="shared" si="2"/>
        <v/>
      </c>
      <c r="I41" s="276"/>
      <c r="J41" s="276"/>
    </row>
    <row r="42" ht="15.75" customHeight="1">
      <c r="A42" s="281"/>
      <c r="B42" s="121"/>
      <c r="C42" s="121"/>
      <c r="D42" s="121"/>
      <c r="E42" s="121"/>
      <c r="F42" s="121"/>
      <c r="G42" s="121" t="str">
        <f t="shared" si="1"/>
        <v/>
      </c>
      <c r="H42" s="50" t="str">
        <f t="shared" si="2"/>
        <v/>
      </c>
      <c r="I42" s="276"/>
      <c r="J42" s="276"/>
    </row>
    <row r="43" ht="15.75" customHeight="1">
      <c r="A43" s="281"/>
      <c r="B43" s="121"/>
      <c r="C43" s="121"/>
      <c r="D43" s="121"/>
      <c r="E43" s="121"/>
      <c r="F43" s="121"/>
      <c r="G43" s="121" t="str">
        <f t="shared" si="1"/>
        <v/>
      </c>
      <c r="H43" s="50" t="str">
        <f t="shared" si="2"/>
        <v/>
      </c>
      <c r="I43" s="276"/>
      <c r="J43" s="276"/>
    </row>
    <row r="44" ht="15.75" customHeight="1">
      <c r="A44" s="281"/>
      <c r="B44" s="121"/>
      <c r="C44" s="121"/>
      <c r="D44" s="121"/>
      <c r="E44" s="121"/>
      <c r="F44" s="121"/>
      <c r="G44" s="121" t="str">
        <f t="shared" si="1"/>
        <v/>
      </c>
      <c r="H44" s="50" t="str">
        <f t="shared" si="2"/>
        <v/>
      </c>
      <c r="I44" s="276"/>
      <c r="J44" s="276"/>
    </row>
    <row r="45" ht="15.75" customHeight="1">
      <c r="A45" s="281"/>
      <c r="B45" s="121"/>
      <c r="C45" s="121"/>
      <c r="D45" s="121"/>
      <c r="E45" s="121"/>
      <c r="F45" s="121"/>
      <c r="G45" s="121" t="str">
        <f t="shared" si="1"/>
        <v/>
      </c>
      <c r="H45" s="50" t="str">
        <f t="shared" si="2"/>
        <v/>
      </c>
      <c r="I45" s="276"/>
      <c r="J45" s="276"/>
    </row>
    <row r="46" ht="15.75" customHeight="1">
      <c r="A46" s="281"/>
      <c r="B46" s="121"/>
      <c r="C46" s="121"/>
      <c r="D46" s="121"/>
      <c r="E46" s="121"/>
      <c r="F46" s="121"/>
      <c r="G46" s="121" t="str">
        <f t="shared" si="1"/>
        <v/>
      </c>
      <c r="H46" s="50" t="str">
        <f t="shared" si="2"/>
        <v/>
      </c>
      <c r="I46" s="276"/>
      <c r="J46" s="276"/>
    </row>
    <row r="47" ht="15.75" customHeight="1">
      <c r="A47" s="281"/>
      <c r="B47" s="121"/>
      <c r="C47" s="121"/>
      <c r="D47" s="121"/>
      <c r="E47" s="121"/>
      <c r="F47" s="121"/>
      <c r="G47" s="121" t="str">
        <f t="shared" si="1"/>
        <v/>
      </c>
      <c r="H47" s="50" t="str">
        <f t="shared" si="2"/>
        <v/>
      </c>
      <c r="I47" s="276"/>
      <c r="J47" s="276"/>
    </row>
    <row r="48" ht="15.75" customHeight="1">
      <c r="A48" s="281"/>
      <c r="B48" s="121"/>
      <c r="C48" s="121"/>
      <c r="D48" s="121"/>
      <c r="E48" s="121"/>
      <c r="F48" s="121"/>
      <c r="G48" s="121" t="str">
        <f t="shared" si="1"/>
        <v/>
      </c>
      <c r="H48" s="50" t="str">
        <f t="shared" si="2"/>
        <v/>
      </c>
      <c r="I48" s="276"/>
      <c r="J48" s="276"/>
    </row>
    <row r="49" ht="15.75" customHeight="1">
      <c r="A49" s="281"/>
      <c r="B49" s="121"/>
      <c r="C49" s="121"/>
      <c r="D49" s="121"/>
      <c r="E49" s="121"/>
      <c r="F49" s="121"/>
      <c r="G49" s="121" t="str">
        <f t="shared" si="1"/>
        <v/>
      </c>
      <c r="H49" s="50" t="str">
        <f t="shared" si="2"/>
        <v/>
      </c>
      <c r="I49" s="276"/>
      <c r="J49" s="276"/>
    </row>
    <row r="50" ht="15.75" customHeight="1">
      <c r="A50" s="281"/>
      <c r="B50" s="121"/>
      <c r="C50" s="121"/>
      <c r="D50" s="121"/>
      <c r="E50" s="121"/>
      <c r="F50" s="121"/>
      <c r="G50" s="121" t="str">
        <f t="shared" si="1"/>
        <v/>
      </c>
      <c r="H50" s="50" t="str">
        <f t="shared" si="2"/>
        <v/>
      </c>
      <c r="I50" s="276"/>
      <c r="J50" s="276"/>
    </row>
    <row r="51" ht="15.75" customHeight="1">
      <c r="A51" s="281"/>
      <c r="B51" s="121"/>
      <c r="C51" s="121"/>
      <c r="D51" s="121"/>
      <c r="E51" s="121"/>
      <c r="F51" s="121"/>
      <c r="G51" s="121" t="str">
        <f t="shared" si="1"/>
        <v/>
      </c>
      <c r="H51" s="50" t="str">
        <f t="shared" si="2"/>
        <v/>
      </c>
      <c r="I51" s="276"/>
      <c r="J51" s="276"/>
    </row>
    <row r="52" ht="15.75" customHeight="1">
      <c r="A52" s="281"/>
      <c r="B52" s="121"/>
      <c r="C52" s="121"/>
      <c r="D52" s="121"/>
      <c r="E52" s="121"/>
      <c r="F52" s="121"/>
      <c r="G52" s="121" t="str">
        <f t="shared" si="1"/>
        <v/>
      </c>
      <c r="H52" s="50" t="str">
        <f t="shared" si="2"/>
        <v/>
      </c>
      <c r="I52" s="276"/>
      <c r="J52" s="276"/>
    </row>
    <row r="53" ht="15.75" customHeight="1">
      <c r="A53" s="281"/>
      <c r="B53" s="121"/>
      <c r="C53" s="121"/>
      <c r="D53" s="121"/>
      <c r="E53" s="121"/>
      <c r="F53" s="121"/>
      <c r="G53" s="121" t="str">
        <f t="shared" si="1"/>
        <v/>
      </c>
      <c r="H53" s="50" t="str">
        <f t="shared" si="2"/>
        <v/>
      </c>
      <c r="I53" s="276"/>
      <c r="J53" s="276"/>
    </row>
    <row r="54" ht="15.75" customHeight="1">
      <c r="A54" s="281"/>
      <c r="B54" s="121"/>
      <c r="C54" s="121"/>
      <c r="D54" s="121"/>
      <c r="E54" s="121"/>
      <c r="F54" s="121"/>
      <c r="G54" s="121" t="str">
        <f t="shared" si="1"/>
        <v/>
      </c>
      <c r="H54" s="50" t="str">
        <f t="shared" si="2"/>
        <v/>
      </c>
      <c r="I54" s="276"/>
      <c r="J54" s="276"/>
    </row>
    <row r="55" ht="15.75" customHeight="1">
      <c r="A55" s="281"/>
      <c r="B55" s="121"/>
      <c r="C55" s="121"/>
      <c r="D55" s="121"/>
      <c r="E55" s="121"/>
      <c r="F55" s="121"/>
      <c r="G55" s="121" t="str">
        <f t="shared" si="1"/>
        <v/>
      </c>
      <c r="H55" s="50" t="str">
        <f t="shared" si="2"/>
        <v/>
      </c>
      <c r="I55" s="276"/>
      <c r="J55" s="276"/>
    </row>
    <row r="56" ht="15.75" customHeight="1">
      <c r="A56" s="281"/>
      <c r="B56" s="121"/>
      <c r="C56" s="121"/>
      <c r="D56" s="121"/>
      <c r="E56" s="121"/>
      <c r="F56" s="121"/>
      <c r="G56" s="121" t="str">
        <f t="shared" si="1"/>
        <v/>
      </c>
      <c r="H56" s="50" t="str">
        <f t="shared" si="2"/>
        <v/>
      </c>
      <c r="I56" s="276"/>
      <c r="J56" s="276"/>
    </row>
    <row r="57" ht="15.75" customHeight="1">
      <c r="A57" s="281"/>
      <c r="B57" s="121"/>
      <c r="C57" s="121"/>
      <c r="D57" s="121"/>
      <c r="E57" s="121"/>
      <c r="F57" s="121"/>
      <c r="G57" s="121" t="str">
        <f t="shared" si="1"/>
        <v/>
      </c>
      <c r="H57" s="50" t="str">
        <f t="shared" si="2"/>
        <v/>
      </c>
      <c r="I57" s="276"/>
      <c r="J57" s="276"/>
    </row>
    <row r="58" ht="15.75" customHeight="1">
      <c r="A58" s="281"/>
      <c r="B58" s="121"/>
      <c r="C58" s="121"/>
      <c r="D58" s="121"/>
      <c r="E58" s="121"/>
      <c r="F58" s="121"/>
      <c r="G58" s="121" t="str">
        <f t="shared" si="1"/>
        <v/>
      </c>
      <c r="H58" s="50" t="str">
        <f t="shared" si="2"/>
        <v/>
      </c>
      <c r="I58" s="276"/>
      <c r="J58" s="276"/>
    </row>
    <row r="59" ht="15.75" customHeight="1">
      <c r="A59" s="281"/>
      <c r="B59" s="121"/>
      <c r="C59" s="121"/>
      <c r="D59" s="121"/>
      <c r="E59" s="121"/>
      <c r="F59" s="121"/>
      <c r="G59" s="121" t="str">
        <f t="shared" si="1"/>
        <v/>
      </c>
      <c r="H59" s="50" t="str">
        <f t="shared" si="2"/>
        <v/>
      </c>
      <c r="I59" s="276"/>
      <c r="J59" s="276"/>
    </row>
    <row r="60" ht="15.75" customHeight="1">
      <c r="A60" s="281"/>
      <c r="B60" s="121"/>
      <c r="C60" s="121"/>
      <c r="D60" s="121"/>
      <c r="E60" s="121"/>
      <c r="F60" s="121"/>
      <c r="G60" s="121" t="str">
        <f t="shared" si="1"/>
        <v/>
      </c>
      <c r="H60" s="50" t="str">
        <f t="shared" si="2"/>
        <v/>
      </c>
      <c r="I60" s="276"/>
      <c r="J60" s="276"/>
    </row>
    <row r="61" ht="15.75" customHeight="1">
      <c r="A61" s="281"/>
      <c r="B61" s="121"/>
      <c r="C61" s="121"/>
      <c r="D61" s="121"/>
      <c r="E61" s="121"/>
      <c r="F61" s="121"/>
      <c r="G61" s="121" t="str">
        <f t="shared" si="1"/>
        <v/>
      </c>
      <c r="H61" s="50" t="str">
        <f t="shared" si="2"/>
        <v/>
      </c>
      <c r="I61" s="276"/>
      <c r="J61" s="276"/>
    </row>
    <row r="62" ht="15.75" customHeight="1">
      <c r="A62" s="281"/>
      <c r="B62" s="121"/>
      <c r="C62" s="121"/>
      <c r="D62" s="121"/>
      <c r="E62" s="121"/>
      <c r="F62" s="121"/>
      <c r="G62" s="121" t="str">
        <f t="shared" si="1"/>
        <v/>
      </c>
      <c r="H62" s="50" t="str">
        <f t="shared" si="2"/>
        <v/>
      </c>
      <c r="I62" s="276"/>
      <c r="J62" s="276"/>
    </row>
    <row r="63" ht="15.75" customHeight="1">
      <c r="A63" s="281"/>
      <c r="B63" s="121"/>
      <c r="C63" s="121"/>
      <c r="D63" s="121"/>
      <c r="E63" s="121"/>
      <c r="F63" s="121"/>
      <c r="G63" s="121" t="str">
        <f t="shared" si="1"/>
        <v/>
      </c>
      <c r="H63" s="50" t="str">
        <f t="shared" si="2"/>
        <v/>
      </c>
      <c r="I63" s="276"/>
      <c r="J63" s="276"/>
    </row>
    <row r="64" ht="15.75" customHeight="1">
      <c r="A64" s="281"/>
      <c r="B64" s="121"/>
      <c r="C64" s="121"/>
      <c r="D64" s="121"/>
      <c r="E64" s="121"/>
      <c r="F64" s="121"/>
      <c r="G64" s="121" t="str">
        <f t="shared" si="1"/>
        <v/>
      </c>
      <c r="H64" s="50" t="str">
        <f t="shared" si="2"/>
        <v/>
      </c>
      <c r="I64" s="276"/>
      <c r="J64" s="276"/>
    </row>
    <row r="65" ht="15.75" customHeight="1">
      <c r="A65" s="281"/>
      <c r="B65" s="121"/>
      <c r="C65" s="121"/>
      <c r="D65" s="121"/>
      <c r="E65" s="121"/>
      <c r="F65" s="121"/>
      <c r="G65" s="121" t="str">
        <f t="shared" si="1"/>
        <v/>
      </c>
      <c r="H65" s="50" t="str">
        <f t="shared" si="2"/>
        <v/>
      </c>
      <c r="I65" s="276"/>
      <c r="J65" s="276"/>
    </row>
    <row r="66" ht="15.75" customHeight="1">
      <c r="A66" s="281"/>
      <c r="B66" s="121"/>
      <c r="C66" s="121"/>
      <c r="D66" s="121"/>
      <c r="E66" s="121"/>
      <c r="F66" s="121"/>
      <c r="G66" s="121" t="str">
        <f t="shared" si="1"/>
        <v/>
      </c>
      <c r="H66" s="50" t="str">
        <f t="shared" si="2"/>
        <v/>
      </c>
      <c r="I66" s="276"/>
      <c r="J66" s="276"/>
    </row>
    <row r="67" ht="15.75" customHeight="1">
      <c r="A67" s="281"/>
      <c r="B67" s="121"/>
      <c r="C67" s="121"/>
      <c r="D67" s="121"/>
      <c r="E67" s="121"/>
      <c r="F67" s="121"/>
      <c r="G67" s="121" t="str">
        <f t="shared" si="1"/>
        <v/>
      </c>
      <c r="H67" s="50" t="str">
        <f t="shared" si="2"/>
        <v/>
      </c>
      <c r="I67" s="276"/>
      <c r="J67" s="276"/>
    </row>
    <row r="68" ht="15.75" customHeight="1">
      <c r="A68" s="281"/>
      <c r="B68" s="121"/>
      <c r="C68" s="121"/>
      <c r="D68" s="121"/>
      <c r="E68" s="121"/>
      <c r="F68" s="121"/>
      <c r="G68" s="121" t="str">
        <f t="shared" si="1"/>
        <v/>
      </c>
      <c r="H68" s="50" t="str">
        <f t="shared" si="2"/>
        <v/>
      </c>
      <c r="I68" s="276"/>
      <c r="J68" s="276"/>
    </row>
    <row r="69" ht="15.75" customHeight="1">
      <c r="A69" s="281"/>
      <c r="B69" s="121"/>
      <c r="C69" s="121"/>
      <c r="D69" s="121"/>
      <c r="E69" s="121"/>
      <c r="F69" s="121"/>
      <c r="G69" s="121" t="str">
        <f t="shared" si="1"/>
        <v/>
      </c>
      <c r="H69" s="50" t="str">
        <f t="shared" si="2"/>
        <v/>
      </c>
      <c r="I69" s="276"/>
      <c r="J69" s="276"/>
    </row>
    <row r="70" ht="15.75" customHeight="1">
      <c r="A70" s="281"/>
      <c r="B70" s="121"/>
      <c r="C70" s="121"/>
      <c r="D70" s="121"/>
      <c r="E70" s="121"/>
      <c r="F70" s="121"/>
      <c r="G70" s="121" t="str">
        <f t="shared" si="1"/>
        <v/>
      </c>
      <c r="H70" s="50" t="str">
        <f t="shared" si="2"/>
        <v/>
      </c>
      <c r="I70" s="276"/>
      <c r="J70" s="276"/>
    </row>
    <row r="71" ht="15.75" customHeight="1">
      <c r="A71" s="281"/>
      <c r="B71" s="121"/>
      <c r="C71" s="121"/>
      <c r="D71" s="121"/>
      <c r="E71" s="121"/>
      <c r="F71" s="121"/>
      <c r="G71" s="121" t="str">
        <f t="shared" si="1"/>
        <v/>
      </c>
      <c r="H71" s="50" t="str">
        <f t="shared" si="2"/>
        <v/>
      </c>
      <c r="I71" s="276"/>
      <c r="J71" s="276"/>
    </row>
    <row r="72" ht="15.75" customHeight="1">
      <c r="A72" s="281"/>
      <c r="B72" s="121"/>
      <c r="C72" s="121"/>
      <c r="D72" s="121"/>
      <c r="E72" s="121"/>
      <c r="F72" s="121"/>
      <c r="G72" s="121" t="str">
        <f t="shared" si="1"/>
        <v/>
      </c>
      <c r="H72" s="50" t="str">
        <f t="shared" si="2"/>
        <v/>
      </c>
      <c r="I72" s="276"/>
      <c r="J72" s="276"/>
    </row>
    <row r="73" ht="15.75" customHeight="1">
      <c r="A73" s="281"/>
      <c r="B73" s="121"/>
      <c r="C73" s="121"/>
      <c r="D73" s="121"/>
      <c r="E73" s="121"/>
      <c r="F73" s="121"/>
      <c r="G73" s="121" t="str">
        <f t="shared" si="1"/>
        <v/>
      </c>
      <c r="H73" s="50" t="str">
        <f t="shared" si="2"/>
        <v/>
      </c>
      <c r="I73" s="276"/>
      <c r="J73" s="276"/>
    </row>
    <row r="74" ht="15.75" customHeight="1">
      <c r="A74" s="281"/>
      <c r="B74" s="121"/>
      <c r="C74" s="121"/>
      <c r="D74" s="121"/>
      <c r="E74" s="121"/>
      <c r="F74" s="121"/>
      <c r="G74" s="121" t="str">
        <f t="shared" si="1"/>
        <v/>
      </c>
      <c r="H74" s="50" t="str">
        <f t="shared" si="2"/>
        <v/>
      </c>
      <c r="I74" s="276"/>
      <c r="J74" s="276"/>
    </row>
    <row r="75" ht="15.75" customHeight="1">
      <c r="A75" s="281"/>
      <c r="B75" s="121"/>
      <c r="C75" s="121"/>
      <c r="D75" s="121"/>
      <c r="E75" s="121"/>
      <c r="F75" s="121"/>
      <c r="G75" s="121" t="str">
        <f t="shared" si="1"/>
        <v/>
      </c>
      <c r="H75" s="50" t="str">
        <f t="shared" si="2"/>
        <v/>
      </c>
      <c r="I75" s="276"/>
      <c r="J75" s="276"/>
    </row>
    <row r="76" ht="15.75" customHeight="1">
      <c r="A76" s="281"/>
      <c r="B76" s="121"/>
      <c r="C76" s="121"/>
      <c r="D76" s="121"/>
      <c r="E76" s="121"/>
      <c r="F76" s="121"/>
      <c r="G76" s="121" t="str">
        <f t="shared" si="1"/>
        <v/>
      </c>
      <c r="H76" s="50" t="str">
        <f t="shared" si="2"/>
        <v/>
      </c>
      <c r="I76" s="276"/>
      <c r="J76" s="276"/>
    </row>
    <row r="77" ht="15.75" customHeight="1">
      <c r="A77" s="281"/>
      <c r="B77" s="121"/>
      <c r="C77" s="121"/>
      <c r="D77" s="121"/>
      <c r="E77" s="121"/>
      <c r="F77" s="121"/>
      <c r="G77" s="121" t="str">
        <f t="shared" si="1"/>
        <v/>
      </c>
      <c r="H77" s="50" t="str">
        <f t="shared" si="2"/>
        <v/>
      </c>
      <c r="I77" s="276"/>
      <c r="J77" s="276"/>
    </row>
    <row r="78" ht="15.75" customHeight="1">
      <c r="A78" s="281"/>
      <c r="B78" s="121"/>
      <c r="C78" s="121"/>
      <c r="D78" s="121"/>
      <c r="E78" s="121"/>
      <c r="F78" s="121"/>
      <c r="G78" s="121" t="str">
        <f t="shared" si="1"/>
        <v/>
      </c>
      <c r="H78" s="50" t="str">
        <f t="shared" si="2"/>
        <v/>
      </c>
      <c r="I78" s="276"/>
      <c r="J78" s="276"/>
    </row>
    <row r="79" ht="15.75" customHeight="1">
      <c r="A79" s="281"/>
      <c r="B79" s="121"/>
      <c r="C79" s="121"/>
      <c r="D79" s="121"/>
      <c r="E79" s="121"/>
      <c r="F79" s="121"/>
      <c r="G79" s="121" t="str">
        <f t="shared" si="1"/>
        <v/>
      </c>
      <c r="H79" s="50" t="str">
        <f t="shared" si="2"/>
        <v/>
      </c>
      <c r="I79" s="276"/>
      <c r="J79" s="276"/>
    </row>
    <row r="80" ht="15.75" customHeight="1">
      <c r="A80" s="281"/>
      <c r="B80" s="121"/>
      <c r="C80" s="121"/>
      <c r="D80" s="121"/>
      <c r="E80" s="121"/>
      <c r="F80" s="121"/>
      <c r="G80" s="121" t="str">
        <f t="shared" si="1"/>
        <v/>
      </c>
      <c r="H80" s="50" t="str">
        <f t="shared" si="2"/>
        <v/>
      </c>
      <c r="I80" s="276"/>
      <c r="J80" s="276"/>
    </row>
    <row r="81" ht="15.75" customHeight="1">
      <c r="A81" s="281"/>
      <c r="B81" s="121"/>
      <c r="C81" s="121"/>
      <c r="D81" s="121"/>
      <c r="E81" s="121"/>
      <c r="F81" s="121"/>
      <c r="G81" s="121" t="str">
        <f t="shared" si="1"/>
        <v/>
      </c>
      <c r="H81" s="50" t="str">
        <f t="shared" si="2"/>
        <v/>
      </c>
      <c r="I81" s="276"/>
      <c r="J81" s="276"/>
    </row>
    <row r="82" ht="15.75" customHeight="1">
      <c r="A82" s="281"/>
      <c r="B82" s="121"/>
      <c r="C82" s="121"/>
      <c r="D82" s="121"/>
      <c r="E82" s="121"/>
      <c r="F82" s="121"/>
      <c r="G82" s="121" t="str">
        <f t="shared" si="1"/>
        <v/>
      </c>
      <c r="H82" s="50" t="str">
        <f t="shared" si="2"/>
        <v/>
      </c>
      <c r="I82" s="276"/>
      <c r="J82" s="276"/>
    </row>
    <row r="83" ht="15.75" customHeight="1">
      <c r="A83" s="281"/>
      <c r="B83" s="121"/>
      <c r="C83" s="121"/>
      <c r="D83" s="121"/>
      <c r="E83" s="121"/>
      <c r="F83" s="121"/>
      <c r="G83" s="121" t="str">
        <f t="shared" si="1"/>
        <v/>
      </c>
      <c r="H83" s="50" t="str">
        <f t="shared" si="2"/>
        <v/>
      </c>
      <c r="I83" s="276"/>
      <c r="J83" s="276"/>
    </row>
    <row r="84" ht="15.75" customHeight="1">
      <c r="A84" s="281"/>
      <c r="B84" s="121"/>
      <c r="C84" s="121"/>
      <c r="D84" s="121"/>
      <c r="E84" s="121"/>
      <c r="F84" s="121"/>
      <c r="G84" s="121" t="str">
        <f t="shared" si="1"/>
        <v/>
      </c>
      <c r="H84" s="50" t="str">
        <f t="shared" si="2"/>
        <v/>
      </c>
      <c r="I84" s="276"/>
      <c r="J84" s="276"/>
    </row>
    <row r="85" ht="15.75" customHeight="1">
      <c r="A85" s="281"/>
      <c r="B85" s="121"/>
      <c r="C85" s="121"/>
      <c r="D85" s="121"/>
      <c r="E85" s="121"/>
      <c r="F85" s="121"/>
      <c r="G85" s="121" t="str">
        <f t="shared" si="1"/>
        <v/>
      </c>
      <c r="H85" s="50" t="str">
        <f t="shared" si="2"/>
        <v/>
      </c>
      <c r="I85" s="276"/>
      <c r="J85" s="276"/>
    </row>
    <row r="86" ht="15.75" customHeight="1">
      <c r="A86" s="281"/>
      <c r="B86" s="121"/>
      <c r="C86" s="121"/>
      <c r="D86" s="121"/>
      <c r="E86" s="121"/>
      <c r="F86" s="121"/>
      <c r="G86" s="121" t="str">
        <f t="shared" si="1"/>
        <v/>
      </c>
      <c r="H86" s="50" t="str">
        <f t="shared" si="2"/>
        <v/>
      </c>
      <c r="I86" s="276"/>
      <c r="J86" s="276"/>
    </row>
    <row r="87" ht="15.75" customHeight="1">
      <c r="A87" s="281"/>
      <c r="B87" s="121"/>
      <c r="C87" s="121"/>
      <c r="D87" s="121"/>
      <c r="E87" s="121"/>
      <c r="F87" s="121"/>
      <c r="G87" s="121" t="str">
        <f t="shared" si="1"/>
        <v/>
      </c>
      <c r="H87" s="50" t="str">
        <f t="shared" si="2"/>
        <v/>
      </c>
      <c r="I87" s="276"/>
      <c r="J87" s="276"/>
    </row>
    <row r="88" ht="15.75" customHeight="1">
      <c r="A88" s="281"/>
      <c r="B88" s="121"/>
      <c r="C88" s="121"/>
      <c r="D88" s="121"/>
      <c r="E88" s="121"/>
      <c r="F88" s="121"/>
      <c r="G88" s="121" t="str">
        <f t="shared" si="1"/>
        <v/>
      </c>
      <c r="H88" s="50" t="str">
        <f t="shared" si="2"/>
        <v/>
      </c>
      <c r="I88" s="276"/>
      <c r="J88" s="276"/>
    </row>
    <row r="89" ht="15.75" customHeight="1">
      <c r="A89" s="281"/>
      <c r="B89" s="121"/>
      <c r="C89" s="121"/>
      <c r="D89" s="121"/>
      <c r="E89" s="121"/>
      <c r="F89" s="121"/>
      <c r="G89" s="121" t="str">
        <f t="shared" si="1"/>
        <v/>
      </c>
      <c r="H89" s="50" t="str">
        <f t="shared" si="2"/>
        <v/>
      </c>
      <c r="I89" s="276"/>
      <c r="J89" s="276"/>
    </row>
    <row r="90" ht="15.75" customHeight="1">
      <c r="A90" s="281"/>
      <c r="B90" s="121"/>
      <c r="C90" s="121"/>
      <c r="D90" s="121"/>
      <c r="E90" s="121"/>
      <c r="F90" s="121"/>
      <c r="G90" s="121" t="str">
        <f t="shared" si="1"/>
        <v/>
      </c>
      <c r="H90" s="50" t="str">
        <f t="shared" si="2"/>
        <v/>
      </c>
      <c r="I90" s="276"/>
      <c r="J90" s="276"/>
    </row>
    <row r="91" ht="15.75" customHeight="1">
      <c r="A91" s="281"/>
      <c r="B91" s="121"/>
      <c r="C91" s="121"/>
      <c r="D91" s="121"/>
      <c r="E91" s="121"/>
      <c r="F91" s="121"/>
      <c r="G91" s="121" t="str">
        <f t="shared" si="1"/>
        <v/>
      </c>
      <c r="H91" s="50" t="str">
        <f t="shared" si="2"/>
        <v/>
      </c>
      <c r="I91" s="276"/>
      <c r="J91" s="276"/>
    </row>
    <row r="92" ht="15.75" customHeight="1">
      <c r="A92" s="281"/>
      <c r="B92" s="121"/>
      <c r="C92" s="121"/>
      <c r="D92" s="121"/>
      <c r="E92" s="121"/>
      <c r="F92" s="121"/>
      <c r="G92" s="121" t="str">
        <f t="shared" si="1"/>
        <v/>
      </c>
      <c r="H92" s="50" t="str">
        <f t="shared" si="2"/>
        <v/>
      </c>
      <c r="I92" s="276"/>
      <c r="J92" s="276"/>
    </row>
    <row r="93" ht="15.75" customHeight="1">
      <c r="A93" s="281"/>
      <c r="B93" s="121"/>
      <c r="C93" s="121"/>
      <c r="D93" s="121"/>
      <c r="E93" s="121"/>
      <c r="F93" s="121"/>
      <c r="G93" s="121" t="str">
        <f t="shared" si="1"/>
        <v/>
      </c>
      <c r="H93" s="50" t="str">
        <f t="shared" si="2"/>
        <v/>
      </c>
      <c r="I93" s="276"/>
      <c r="J93" s="276"/>
    </row>
    <row r="94" ht="15.75" customHeight="1">
      <c r="A94" s="281"/>
      <c r="B94" s="121"/>
      <c r="C94" s="121"/>
      <c r="D94" s="121"/>
      <c r="E94" s="121"/>
      <c r="F94" s="121"/>
      <c r="G94" s="121" t="str">
        <f t="shared" si="1"/>
        <v/>
      </c>
      <c r="H94" s="50" t="str">
        <f t="shared" si="2"/>
        <v/>
      </c>
      <c r="I94" s="276"/>
      <c r="J94" s="276"/>
    </row>
    <row r="95" ht="15.75" customHeight="1">
      <c r="A95" s="281"/>
      <c r="B95" s="121"/>
      <c r="C95" s="121"/>
      <c r="D95" s="121"/>
      <c r="E95" s="121"/>
      <c r="F95" s="121"/>
      <c r="G95" s="121" t="str">
        <f t="shared" si="1"/>
        <v/>
      </c>
      <c r="H95" s="50" t="str">
        <f t="shared" si="2"/>
        <v/>
      </c>
      <c r="I95" s="276"/>
      <c r="J95" s="276"/>
    </row>
    <row r="96" ht="15.75" customHeight="1">
      <c r="A96" s="281"/>
      <c r="B96" s="121"/>
      <c r="C96" s="121"/>
      <c r="D96" s="121"/>
      <c r="E96" s="121"/>
      <c r="F96" s="121"/>
      <c r="G96" s="121" t="str">
        <f t="shared" si="1"/>
        <v/>
      </c>
      <c r="H96" s="50" t="str">
        <f t="shared" si="2"/>
        <v/>
      </c>
      <c r="I96" s="276"/>
      <c r="J96" s="276"/>
    </row>
    <row r="97" ht="15.75" customHeight="1">
      <c r="A97" s="281"/>
      <c r="B97" s="121"/>
      <c r="C97" s="121"/>
      <c r="D97" s="121"/>
      <c r="E97" s="121"/>
      <c r="F97" s="121"/>
      <c r="G97" s="121" t="str">
        <f t="shared" si="1"/>
        <v/>
      </c>
      <c r="H97" s="50" t="str">
        <f t="shared" si="2"/>
        <v/>
      </c>
      <c r="I97" s="276"/>
      <c r="J97" s="276"/>
    </row>
    <row r="98" ht="15.75" customHeight="1">
      <c r="A98" s="281"/>
      <c r="B98" s="121"/>
      <c r="C98" s="121"/>
      <c r="D98" s="121"/>
      <c r="E98" s="121"/>
      <c r="F98" s="121"/>
      <c r="G98" s="121" t="str">
        <f t="shared" si="1"/>
        <v/>
      </c>
      <c r="H98" s="50" t="str">
        <f t="shared" si="2"/>
        <v/>
      </c>
      <c r="I98" s="276"/>
      <c r="J98" s="276"/>
    </row>
    <row r="99" ht="15.75" customHeight="1">
      <c r="A99" s="281"/>
      <c r="B99" s="121"/>
      <c r="C99" s="121"/>
      <c r="D99" s="121"/>
      <c r="E99" s="121"/>
      <c r="F99" s="121"/>
      <c r="G99" s="121" t="str">
        <f t="shared" si="1"/>
        <v/>
      </c>
      <c r="H99" s="50" t="str">
        <f t="shared" si="2"/>
        <v/>
      </c>
      <c r="I99" s="276"/>
      <c r="J99" s="276"/>
    </row>
    <row r="100" ht="15.75" customHeight="1">
      <c r="A100" s="281"/>
      <c r="B100" s="121"/>
      <c r="C100" s="121"/>
      <c r="D100" s="121"/>
      <c r="E100" s="121"/>
      <c r="F100" s="121"/>
      <c r="G100" s="121" t="str">
        <f t="shared" si="1"/>
        <v/>
      </c>
      <c r="H100" s="50" t="str">
        <f t="shared" si="2"/>
        <v/>
      </c>
      <c r="I100" s="276"/>
      <c r="J100" s="276"/>
    </row>
    <row r="101" ht="15.75" customHeight="1">
      <c r="A101" s="281"/>
      <c r="B101" s="121"/>
      <c r="C101" s="121"/>
      <c r="D101" s="121"/>
      <c r="E101" s="121"/>
      <c r="F101" s="121"/>
      <c r="G101" s="121" t="str">
        <f t="shared" si="1"/>
        <v/>
      </c>
      <c r="H101" s="50" t="str">
        <f t="shared" si="2"/>
        <v/>
      </c>
      <c r="I101" s="276"/>
      <c r="J101" s="276"/>
    </row>
    <row r="102" ht="15.75" customHeight="1">
      <c r="A102" s="281"/>
      <c r="B102" s="121"/>
      <c r="C102" s="121"/>
      <c r="D102" s="121"/>
      <c r="E102" s="121"/>
      <c r="F102" s="121"/>
      <c r="G102" s="121" t="str">
        <f t="shared" si="1"/>
        <v/>
      </c>
      <c r="H102" s="50" t="str">
        <f t="shared" si="2"/>
        <v/>
      </c>
      <c r="I102" s="276"/>
      <c r="J102" s="276"/>
    </row>
    <row r="103" ht="15.75" customHeight="1">
      <c r="A103" s="281"/>
      <c r="B103" s="121"/>
      <c r="C103" s="121"/>
      <c r="D103" s="121"/>
      <c r="E103" s="121"/>
      <c r="F103" s="121"/>
      <c r="G103" s="121" t="str">
        <f t="shared" si="1"/>
        <v/>
      </c>
      <c r="H103" s="50" t="str">
        <f t="shared" si="2"/>
        <v/>
      </c>
      <c r="I103" s="276"/>
      <c r="J103" s="276"/>
    </row>
    <row r="104" ht="15.75" customHeight="1">
      <c r="A104" s="281"/>
      <c r="B104" s="121"/>
      <c r="C104" s="121"/>
      <c r="D104" s="121"/>
      <c r="E104" s="121"/>
      <c r="F104" s="121"/>
      <c r="G104" s="121" t="str">
        <f t="shared" si="1"/>
        <v/>
      </c>
      <c r="H104" s="50" t="str">
        <f t="shared" si="2"/>
        <v/>
      </c>
      <c r="I104" s="276"/>
      <c r="J104" s="276"/>
    </row>
    <row r="105" ht="15.75" customHeight="1">
      <c r="A105" s="281"/>
      <c r="B105" s="121"/>
      <c r="C105" s="121"/>
      <c r="D105" s="121"/>
      <c r="E105" s="121"/>
      <c r="F105" s="121"/>
      <c r="G105" s="121" t="str">
        <f t="shared" si="1"/>
        <v/>
      </c>
      <c r="H105" s="50" t="str">
        <f t="shared" si="2"/>
        <v/>
      </c>
      <c r="I105" s="276"/>
      <c r="J105" s="276"/>
    </row>
    <row r="106" ht="15.75" customHeight="1">
      <c r="A106" s="281"/>
      <c r="B106" s="121"/>
      <c r="C106" s="121"/>
      <c r="D106" s="121"/>
      <c r="E106" s="121"/>
      <c r="F106" s="121"/>
      <c r="G106" s="121" t="str">
        <f t="shared" si="1"/>
        <v/>
      </c>
      <c r="H106" s="50" t="str">
        <f t="shared" si="2"/>
        <v/>
      </c>
      <c r="I106" s="276"/>
      <c r="J106" s="276"/>
    </row>
    <row r="107" ht="15.75" customHeight="1">
      <c r="A107" s="281"/>
      <c r="B107" s="121"/>
      <c r="C107" s="121"/>
      <c r="D107" s="121"/>
      <c r="E107" s="121"/>
      <c r="F107" s="121"/>
      <c r="G107" s="121" t="str">
        <f t="shared" si="1"/>
        <v/>
      </c>
      <c r="H107" s="50" t="str">
        <f t="shared" si="2"/>
        <v/>
      </c>
      <c r="I107" s="276"/>
      <c r="J107" s="276"/>
    </row>
    <row r="108" ht="15.75" customHeight="1">
      <c r="A108" s="281"/>
      <c r="B108" s="121"/>
      <c r="C108" s="121"/>
      <c r="D108" s="121"/>
      <c r="E108" s="121"/>
      <c r="F108" s="121"/>
      <c r="G108" s="121" t="str">
        <f t="shared" si="1"/>
        <v/>
      </c>
      <c r="H108" s="50" t="str">
        <f t="shared" si="2"/>
        <v/>
      </c>
      <c r="I108" s="276"/>
      <c r="J108" s="276"/>
    </row>
    <row r="109" ht="15.75" customHeight="1">
      <c r="A109" s="281"/>
      <c r="B109" s="121"/>
      <c r="C109" s="121"/>
      <c r="D109" s="121"/>
      <c r="E109" s="121"/>
      <c r="F109" s="121"/>
      <c r="G109" s="121" t="str">
        <f t="shared" si="1"/>
        <v/>
      </c>
      <c r="H109" s="50" t="str">
        <f t="shared" si="2"/>
        <v/>
      </c>
      <c r="I109" s="276"/>
      <c r="J109" s="276"/>
    </row>
    <row r="110" ht="15.75" customHeight="1">
      <c r="A110" s="281"/>
      <c r="B110" s="121"/>
      <c r="C110" s="121"/>
      <c r="D110" s="121"/>
      <c r="E110" s="121"/>
      <c r="F110" s="121"/>
      <c r="G110" s="121" t="str">
        <f t="shared" si="1"/>
        <v/>
      </c>
      <c r="H110" s="50" t="str">
        <f t="shared" si="2"/>
        <v/>
      </c>
      <c r="I110" s="276"/>
      <c r="J110" s="276"/>
    </row>
    <row r="111" ht="15.75" customHeight="1">
      <c r="A111" s="281"/>
      <c r="B111" s="121"/>
      <c r="C111" s="121"/>
      <c r="D111" s="121"/>
      <c r="E111" s="121"/>
      <c r="F111" s="121"/>
      <c r="G111" s="121" t="str">
        <f t="shared" si="1"/>
        <v/>
      </c>
      <c r="H111" s="50" t="str">
        <f t="shared" si="2"/>
        <v/>
      </c>
      <c r="I111" s="276"/>
      <c r="J111" s="276"/>
    </row>
    <row r="112" ht="15.75" customHeight="1">
      <c r="A112" s="281"/>
      <c r="B112" s="121"/>
      <c r="C112" s="121"/>
      <c r="D112" s="121"/>
      <c r="E112" s="121"/>
      <c r="F112" s="121"/>
      <c r="G112" s="121" t="str">
        <f t="shared" si="1"/>
        <v/>
      </c>
      <c r="H112" s="50" t="str">
        <f t="shared" si="2"/>
        <v/>
      </c>
      <c r="I112" s="276"/>
      <c r="J112" s="276"/>
    </row>
    <row r="113" ht="15.75" customHeight="1">
      <c r="A113" s="281"/>
      <c r="B113" s="121"/>
      <c r="C113" s="121"/>
      <c r="D113" s="121"/>
      <c r="E113" s="121"/>
      <c r="F113" s="121"/>
      <c r="G113" s="121" t="str">
        <f t="shared" si="1"/>
        <v/>
      </c>
      <c r="H113" s="50" t="str">
        <f t="shared" si="2"/>
        <v/>
      </c>
      <c r="I113" s="276"/>
      <c r="J113" s="276"/>
    </row>
    <row r="114" ht="15.75" customHeight="1">
      <c r="A114" s="281"/>
      <c r="B114" s="121"/>
      <c r="C114" s="121"/>
      <c r="D114" s="121"/>
      <c r="E114" s="121"/>
      <c r="F114" s="121"/>
      <c r="G114" s="121" t="str">
        <f t="shared" si="1"/>
        <v/>
      </c>
      <c r="H114" s="50" t="str">
        <f t="shared" si="2"/>
        <v/>
      </c>
      <c r="I114" s="276"/>
      <c r="J114" s="276"/>
    </row>
    <row r="115" ht="15.75" customHeight="1">
      <c r="A115" s="281"/>
      <c r="B115" s="121"/>
      <c r="C115" s="121"/>
      <c r="D115" s="121"/>
      <c r="E115" s="121"/>
      <c r="F115" s="121"/>
      <c r="G115" s="121" t="str">
        <f t="shared" si="1"/>
        <v/>
      </c>
      <c r="H115" s="50" t="str">
        <f t="shared" si="2"/>
        <v/>
      </c>
      <c r="I115" s="276"/>
      <c r="J115" s="276"/>
    </row>
    <row r="116" ht="15.75" customHeight="1">
      <c r="A116" s="281"/>
      <c r="B116" s="121"/>
      <c r="C116" s="121"/>
      <c r="D116" s="121"/>
      <c r="E116" s="121"/>
      <c r="F116" s="121"/>
      <c r="G116" s="121" t="str">
        <f t="shared" si="1"/>
        <v/>
      </c>
      <c r="H116" s="50" t="str">
        <f t="shared" si="2"/>
        <v/>
      </c>
      <c r="I116" s="276"/>
      <c r="J116" s="276"/>
    </row>
    <row r="117" ht="15.75" customHeight="1">
      <c r="A117" s="281"/>
      <c r="B117" s="121"/>
      <c r="C117" s="121"/>
      <c r="D117" s="121"/>
      <c r="E117" s="121"/>
      <c r="F117" s="121"/>
      <c r="G117" s="121" t="str">
        <f t="shared" si="1"/>
        <v/>
      </c>
      <c r="H117" s="50" t="str">
        <f t="shared" si="2"/>
        <v/>
      </c>
      <c r="I117" s="276"/>
      <c r="J117" s="276"/>
    </row>
    <row r="118" ht="15.75" customHeight="1">
      <c r="A118" s="281"/>
      <c r="B118" s="121"/>
      <c r="C118" s="121"/>
      <c r="D118" s="121"/>
      <c r="E118" s="121"/>
      <c r="F118" s="121"/>
      <c r="G118" s="121" t="str">
        <f t="shared" si="1"/>
        <v/>
      </c>
      <c r="H118" s="50" t="str">
        <f t="shared" si="2"/>
        <v/>
      </c>
      <c r="I118" s="276"/>
      <c r="J118" s="276"/>
    </row>
    <row r="119" ht="15.75" customHeight="1">
      <c r="A119" s="281"/>
      <c r="B119" s="121"/>
      <c r="C119" s="121"/>
      <c r="D119" s="121"/>
      <c r="E119" s="121"/>
      <c r="F119" s="121"/>
      <c r="G119" s="121" t="str">
        <f t="shared" si="1"/>
        <v/>
      </c>
      <c r="H119" s="50" t="str">
        <f t="shared" si="2"/>
        <v/>
      </c>
      <c r="I119" s="276"/>
      <c r="J119" s="276"/>
    </row>
    <row r="120" ht="15.75" customHeight="1">
      <c r="A120" s="281"/>
      <c r="B120" s="121"/>
      <c r="C120" s="121"/>
      <c r="D120" s="121"/>
      <c r="E120" s="121"/>
      <c r="F120" s="121"/>
      <c r="G120" s="121" t="str">
        <f t="shared" si="1"/>
        <v/>
      </c>
      <c r="H120" s="50" t="str">
        <f t="shared" si="2"/>
        <v/>
      </c>
      <c r="I120" s="276"/>
      <c r="J120" s="276"/>
    </row>
    <row r="121" ht="15.75" customHeight="1">
      <c r="A121" s="281"/>
      <c r="B121" s="121"/>
      <c r="C121" s="121"/>
      <c r="D121" s="121"/>
      <c r="E121" s="121"/>
      <c r="F121" s="121"/>
      <c r="G121" s="121" t="str">
        <f t="shared" si="1"/>
        <v/>
      </c>
      <c r="H121" s="50" t="str">
        <f t="shared" si="2"/>
        <v/>
      </c>
      <c r="I121" s="276"/>
      <c r="J121" s="276"/>
    </row>
    <row r="122" ht="15.75" customHeight="1">
      <c r="A122" s="281"/>
      <c r="B122" s="121"/>
      <c r="C122" s="121"/>
      <c r="D122" s="121"/>
      <c r="E122" s="121"/>
      <c r="F122" s="121"/>
      <c r="G122" s="121" t="str">
        <f t="shared" si="1"/>
        <v/>
      </c>
      <c r="H122" s="50" t="str">
        <f t="shared" si="2"/>
        <v/>
      </c>
      <c r="I122" s="276"/>
      <c r="J122" s="276"/>
    </row>
    <row r="123" ht="15.75" customHeight="1">
      <c r="A123" s="281"/>
      <c r="B123" s="121"/>
      <c r="C123" s="121"/>
      <c r="D123" s="121"/>
      <c r="E123" s="121"/>
      <c r="F123" s="121"/>
      <c r="G123" s="121" t="str">
        <f t="shared" si="1"/>
        <v/>
      </c>
      <c r="H123" s="50" t="str">
        <f t="shared" si="2"/>
        <v/>
      </c>
      <c r="I123" s="276"/>
      <c r="J123" s="276"/>
    </row>
    <row r="124" ht="15.75" customHeight="1">
      <c r="A124" s="281"/>
      <c r="B124" s="121"/>
      <c r="C124" s="121"/>
      <c r="D124" s="121"/>
      <c r="E124" s="121"/>
      <c r="F124" s="121"/>
      <c r="G124" s="121" t="str">
        <f t="shared" si="1"/>
        <v/>
      </c>
      <c r="H124" s="50" t="str">
        <f t="shared" si="2"/>
        <v/>
      </c>
      <c r="I124" s="276"/>
      <c r="J124" s="276"/>
    </row>
    <row r="125" ht="15.75" customHeight="1">
      <c r="A125" s="281"/>
      <c r="B125" s="121"/>
      <c r="C125" s="121"/>
      <c r="D125" s="121"/>
      <c r="E125" s="121"/>
      <c r="F125" s="121"/>
      <c r="G125" s="121" t="str">
        <f t="shared" si="1"/>
        <v/>
      </c>
      <c r="H125" s="50" t="str">
        <f t="shared" si="2"/>
        <v/>
      </c>
      <c r="I125" s="276"/>
      <c r="J125" s="276"/>
    </row>
    <row r="126" ht="15.75" customHeight="1">
      <c r="A126" s="281"/>
      <c r="B126" s="121"/>
      <c r="C126" s="121"/>
      <c r="D126" s="121"/>
      <c r="E126" s="121"/>
      <c r="F126" s="121"/>
      <c r="G126" s="121" t="str">
        <f t="shared" si="1"/>
        <v/>
      </c>
      <c r="H126" s="50" t="str">
        <f t="shared" si="2"/>
        <v/>
      </c>
      <c r="I126" s="276"/>
      <c r="J126" s="276"/>
    </row>
    <row r="127" ht="15.75" customHeight="1">
      <c r="A127" s="281"/>
      <c r="B127" s="121"/>
      <c r="C127" s="121"/>
      <c r="D127" s="121"/>
      <c r="E127" s="121"/>
      <c r="F127" s="121"/>
      <c r="G127" s="121" t="str">
        <f t="shared" si="1"/>
        <v/>
      </c>
      <c r="H127" s="50" t="str">
        <f t="shared" si="2"/>
        <v/>
      </c>
      <c r="I127" s="276"/>
      <c r="J127" s="276"/>
    </row>
    <row r="128" ht="15.75" customHeight="1">
      <c r="A128" s="281"/>
      <c r="B128" s="121"/>
      <c r="C128" s="121"/>
      <c r="D128" s="121"/>
      <c r="E128" s="121"/>
      <c r="F128" s="121"/>
      <c r="G128" s="121" t="str">
        <f t="shared" si="1"/>
        <v/>
      </c>
      <c r="H128" s="50" t="str">
        <f t="shared" si="2"/>
        <v/>
      </c>
      <c r="I128" s="276"/>
      <c r="J128" s="276"/>
    </row>
    <row r="129" ht="15.75" customHeight="1">
      <c r="A129" s="281"/>
      <c r="B129" s="121"/>
      <c r="C129" s="121"/>
      <c r="D129" s="121"/>
      <c r="E129" s="121"/>
      <c r="F129" s="121"/>
      <c r="G129" s="121" t="str">
        <f t="shared" si="1"/>
        <v/>
      </c>
      <c r="H129" s="50" t="str">
        <f t="shared" si="2"/>
        <v/>
      </c>
      <c r="I129" s="276"/>
      <c r="J129" s="276"/>
    </row>
    <row r="130" ht="15.75" customHeight="1">
      <c r="A130" s="281"/>
      <c r="B130" s="121"/>
      <c r="C130" s="121"/>
      <c r="D130" s="121"/>
      <c r="E130" s="121"/>
      <c r="F130" s="121"/>
      <c r="G130" s="121" t="str">
        <f t="shared" si="1"/>
        <v/>
      </c>
      <c r="H130" s="50" t="str">
        <f t="shared" si="2"/>
        <v/>
      </c>
      <c r="I130" s="276"/>
      <c r="J130" s="276"/>
    </row>
    <row r="131" ht="15.75" customHeight="1">
      <c r="A131" s="281"/>
      <c r="B131" s="121"/>
      <c r="C131" s="121"/>
      <c r="D131" s="121"/>
      <c r="E131" s="121"/>
      <c r="F131" s="121"/>
      <c r="G131" s="121" t="str">
        <f t="shared" si="1"/>
        <v/>
      </c>
      <c r="H131" s="50" t="str">
        <f t="shared" si="2"/>
        <v/>
      </c>
      <c r="I131" s="276"/>
      <c r="J131" s="276"/>
    </row>
    <row r="132" ht="15.75" customHeight="1">
      <c r="A132" s="281"/>
      <c r="B132" s="121"/>
      <c r="C132" s="121"/>
      <c r="D132" s="121"/>
      <c r="E132" s="121"/>
      <c r="F132" s="121"/>
      <c r="G132" s="121" t="str">
        <f t="shared" si="1"/>
        <v/>
      </c>
      <c r="H132" s="50" t="str">
        <f t="shared" si="2"/>
        <v/>
      </c>
      <c r="I132" s="276"/>
      <c r="J132" s="276"/>
    </row>
    <row r="133" ht="15.75" customHeight="1">
      <c r="A133" s="281"/>
      <c r="B133" s="121"/>
      <c r="C133" s="121"/>
      <c r="D133" s="121"/>
      <c r="E133" s="121"/>
      <c r="F133" s="121"/>
      <c r="G133" s="121" t="str">
        <f t="shared" si="1"/>
        <v/>
      </c>
      <c r="H133" s="50" t="str">
        <f t="shared" si="2"/>
        <v/>
      </c>
      <c r="I133" s="276"/>
      <c r="J133" s="276"/>
    </row>
    <row r="134" ht="15.75" customHeight="1">
      <c r="A134" s="281"/>
      <c r="B134" s="121"/>
      <c r="C134" s="121"/>
      <c r="D134" s="121"/>
      <c r="E134" s="121"/>
      <c r="F134" s="121"/>
      <c r="G134" s="121" t="str">
        <f t="shared" si="1"/>
        <v/>
      </c>
      <c r="H134" s="50" t="str">
        <f t="shared" si="2"/>
        <v/>
      </c>
      <c r="I134" s="276"/>
      <c r="J134" s="276"/>
    </row>
    <row r="135" ht="15.75" customHeight="1">
      <c r="A135" s="281"/>
      <c r="B135" s="121"/>
      <c r="C135" s="121"/>
      <c r="D135" s="121"/>
      <c r="E135" s="121"/>
      <c r="F135" s="121"/>
      <c r="G135" s="121" t="str">
        <f t="shared" si="1"/>
        <v/>
      </c>
      <c r="H135" s="50" t="str">
        <f t="shared" si="2"/>
        <v/>
      </c>
      <c r="I135" s="276"/>
      <c r="J135" s="276"/>
    </row>
    <row r="136" ht="15.75" customHeight="1">
      <c r="A136" s="281"/>
      <c r="B136" s="121"/>
      <c r="C136" s="121"/>
      <c r="D136" s="121"/>
      <c r="E136" s="121"/>
      <c r="F136" s="121"/>
      <c r="G136" s="121" t="str">
        <f t="shared" si="1"/>
        <v/>
      </c>
      <c r="H136" s="50" t="str">
        <f t="shared" si="2"/>
        <v/>
      </c>
      <c r="I136" s="276"/>
      <c r="J136" s="276"/>
    </row>
    <row r="137" ht="15.75" customHeight="1">
      <c r="A137" s="281"/>
      <c r="B137" s="121"/>
      <c r="C137" s="121"/>
      <c r="D137" s="121"/>
      <c r="E137" s="121"/>
      <c r="F137" s="121"/>
      <c r="G137" s="121" t="str">
        <f t="shared" si="1"/>
        <v/>
      </c>
      <c r="H137" s="50" t="str">
        <f t="shared" si="2"/>
        <v/>
      </c>
      <c r="I137" s="276"/>
      <c r="J137" s="276"/>
    </row>
    <row r="138" ht="15.75" customHeight="1">
      <c r="A138" s="281"/>
      <c r="B138" s="121"/>
      <c r="C138" s="121"/>
      <c r="D138" s="121"/>
      <c r="E138" s="121"/>
      <c r="F138" s="121"/>
      <c r="G138" s="121" t="str">
        <f t="shared" si="1"/>
        <v/>
      </c>
      <c r="H138" s="50" t="str">
        <f t="shared" si="2"/>
        <v/>
      </c>
      <c r="I138" s="276"/>
      <c r="J138" s="276"/>
    </row>
    <row r="139" ht="15.75" customHeight="1">
      <c r="A139" s="281"/>
      <c r="B139" s="121"/>
      <c r="C139" s="121"/>
      <c r="D139" s="121"/>
      <c r="E139" s="121"/>
      <c r="F139" s="121"/>
      <c r="G139" s="121" t="str">
        <f t="shared" si="1"/>
        <v/>
      </c>
      <c r="H139" s="50" t="str">
        <f t="shared" si="2"/>
        <v/>
      </c>
      <c r="I139" s="276"/>
      <c r="J139" s="276"/>
    </row>
    <row r="140" ht="15.75" customHeight="1">
      <c r="A140" s="281"/>
      <c r="B140" s="121"/>
      <c r="C140" s="121"/>
      <c r="D140" s="121"/>
      <c r="E140" s="121"/>
      <c r="F140" s="121"/>
      <c r="G140" s="121" t="str">
        <f t="shared" si="1"/>
        <v/>
      </c>
      <c r="H140" s="50" t="str">
        <f t="shared" si="2"/>
        <v/>
      </c>
      <c r="I140" s="276"/>
      <c r="J140" s="276"/>
    </row>
    <row r="141" ht="15.75" customHeight="1">
      <c r="A141" s="281"/>
      <c r="B141" s="121"/>
      <c r="C141" s="121"/>
      <c r="D141" s="121"/>
      <c r="E141" s="121"/>
      <c r="F141" s="121"/>
      <c r="G141" s="121" t="str">
        <f t="shared" si="1"/>
        <v/>
      </c>
      <c r="H141" s="50" t="str">
        <f t="shared" si="2"/>
        <v/>
      </c>
      <c r="I141" s="276"/>
      <c r="J141" s="276"/>
    </row>
    <row r="142" ht="15.75" customHeight="1">
      <c r="A142" s="281"/>
      <c r="B142" s="121"/>
      <c r="C142" s="121"/>
      <c r="D142" s="121"/>
      <c r="E142" s="121"/>
      <c r="F142" s="121"/>
      <c r="G142" s="121" t="str">
        <f t="shared" si="1"/>
        <v/>
      </c>
      <c r="H142" s="50" t="str">
        <f t="shared" si="2"/>
        <v/>
      </c>
      <c r="I142" s="276"/>
      <c r="J142" s="276"/>
    </row>
    <row r="143" ht="15.75" customHeight="1">
      <c r="A143" s="281"/>
      <c r="B143" s="121"/>
      <c r="C143" s="121"/>
      <c r="D143" s="121"/>
      <c r="E143" s="121"/>
      <c r="F143" s="121"/>
      <c r="G143" s="121" t="str">
        <f t="shared" si="1"/>
        <v/>
      </c>
      <c r="H143" s="50" t="str">
        <f t="shared" si="2"/>
        <v/>
      </c>
      <c r="I143" s="276"/>
      <c r="J143" s="276"/>
    </row>
    <row r="144" ht="15.75" customHeight="1">
      <c r="A144" s="281"/>
      <c r="B144" s="121"/>
      <c r="C144" s="121"/>
      <c r="D144" s="121"/>
      <c r="E144" s="121"/>
      <c r="F144" s="121"/>
      <c r="G144" s="121" t="str">
        <f t="shared" si="1"/>
        <v/>
      </c>
      <c r="H144" s="50" t="str">
        <f t="shared" si="2"/>
        <v/>
      </c>
      <c r="I144" s="276"/>
      <c r="J144" s="276"/>
    </row>
    <row r="145" ht="15.75" customHeight="1">
      <c r="A145" s="281"/>
      <c r="B145" s="121"/>
      <c r="C145" s="121"/>
      <c r="D145" s="121"/>
      <c r="E145" s="121"/>
      <c r="F145" s="121"/>
      <c r="G145" s="121" t="str">
        <f t="shared" si="1"/>
        <v/>
      </c>
      <c r="H145" s="50" t="str">
        <f t="shared" si="2"/>
        <v/>
      </c>
      <c r="I145" s="276"/>
      <c r="J145" s="276"/>
    </row>
    <row r="146" ht="15.75" customHeight="1">
      <c r="A146" s="281"/>
      <c r="B146" s="121"/>
      <c r="C146" s="121"/>
      <c r="D146" s="121"/>
      <c r="E146" s="121"/>
      <c r="F146" s="121"/>
      <c r="G146" s="121" t="str">
        <f t="shared" si="1"/>
        <v/>
      </c>
      <c r="H146" s="50" t="str">
        <f t="shared" si="2"/>
        <v/>
      </c>
      <c r="I146" s="276"/>
      <c r="J146" s="276"/>
    </row>
    <row r="147" ht="15.75" customHeight="1">
      <c r="A147" s="281"/>
      <c r="B147" s="121"/>
      <c r="C147" s="121"/>
      <c r="D147" s="121"/>
      <c r="E147" s="121"/>
      <c r="F147" s="121"/>
      <c r="G147" s="121" t="str">
        <f t="shared" si="1"/>
        <v/>
      </c>
      <c r="H147" s="50" t="str">
        <f t="shared" si="2"/>
        <v/>
      </c>
      <c r="I147" s="276"/>
      <c r="J147" s="276"/>
    </row>
    <row r="148" ht="15.75" customHeight="1">
      <c r="A148" s="281"/>
      <c r="B148" s="121"/>
      <c r="C148" s="121"/>
      <c r="D148" s="121"/>
      <c r="E148" s="121"/>
      <c r="F148" s="121"/>
      <c r="G148" s="121" t="str">
        <f t="shared" si="1"/>
        <v/>
      </c>
      <c r="H148" s="50" t="str">
        <f t="shared" si="2"/>
        <v/>
      </c>
      <c r="I148" s="276"/>
      <c r="J148" s="276"/>
    </row>
    <row r="149" ht="15.75" customHeight="1">
      <c r="A149" s="281"/>
      <c r="B149" s="121"/>
      <c r="C149" s="121"/>
      <c r="D149" s="121"/>
      <c r="E149" s="121"/>
      <c r="F149" s="121"/>
      <c r="G149" s="121" t="str">
        <f t="shared" si="1"/>
        <v/>
      </c>
      <c r="H149" s="50" t="str">
        <f t="shared" si="2"/>
        <v/>
      </c>
      <c r="I149" s="276"/>
      <c r="J149" s="276"/>
    </row>
    <row r="150" ht="15.75" customHeight="1">
      <c r="A150" s="281"/>
      <c r="B150" s="121"/>
      <c r="C150" s="121"/>
      <c r="D150" s="121"/>
      <c r="E150" s="121"/>
      <c r="F150" s="121"/>
      <c r="G150" s="121" t="str">
        <f t="shared" si="1"/>
        <v/>
      </c>
      <c r="H150" s="50" t="str">
        <f t="shared" si="2"/>
        <v/>
      </c>
      <c r="I150" s="276"/>
      <c r="J150" s="276"/>
    </row>
    <row r="151" ht="15.75" customHeight="1">
      <c r="A151" s="281"/>
      <c r="B151" s="121"/>
      <c r="C151" s="121"/>
      <c r="D151" s="121"/>
      <c r="E151" s="121"/>
      <c r="F151" s="121"/>
      <c r="G151" s="121" t="str">
        <f t="shared" si="1"/>
        <v/>
      </c>
      <c r="H151" s="50" t="str">
        <f t="shared" si="2"/>
        <v/>
      </c>
      <c r="I151" s="276"/>
      <c r="J151" s="276"/>
    </row>
    <row r="152" ht="15.75" customHeight="1">
      <c r="A152" s="281"/>
      <c r="B152" s="121"/>
      <c r="C152" s="121"/>
      <c r="D152" s="121"/>
      <c r="E152" s="121"/>
      <c r="F152" s="121"/>
      <c r="G152" s="121" t="str">
        <f t="shared" si="1"/>
        <v/>
      </c>
      <c r="H152" s="50" t="str">
        <f t="shared" si="2"/>
        <v/>
      </c>
      <c r="I152" s="276"/>
      <c r="J152" s="276"/>
    </row>
    <row r="153" ht="15.75" customHeight="1">
      <c r="A153" s="281"/>
      <c r="B153" s="121"/>
      <c r="C153" s="121"/>
      <c r="D153" s="121"/>
      <c r="E153" s="121"/>
      <c r="F153" s="121"/>
      <c r="G153" s="121" t="str">
        <f t="shared" si="1"/>
        <v/>
      </c>
      <c r="H153" s="50" t="str">
        <f t="shared" si="2"/>
        <v/>
      </c>
      <c r="I153" s="276"/>
      <c r="J153" s="276"/>
    </row>
    <row r="154" ht="15.75" customHeight="1">
      <c r="A154" s="281"/>
      <c r="B154" s="121"/>
      <c r="C154" s="121"/>
      <c r="D154" s="121"/>
      <c r="E154" s="121"/>
      <c r="F154" s="121"/>
      <c r="G154" s="121" t="str">
        <f t="shared" si="1"/>
        <v/>
      </c>
      <c r="H154" s="50" t="str">
        <f t="shared" si="2"/>
        <v/>
      </c>
      <c r="I154" s="276"/>
      <c r="J154" s="276"/>
    </row>
    <row r="155" ht="15.75" customHeight="1">
      <c r="A155" s="281"/>
      <c r="B155" s="121"/>
      <c r="C155" s="121"/>
      <c r="D155" s="121"/>
      <c r="E155" s="121"/>
      <c r="F155" s="121"/>
      <c r="G155" s="121" t="str">
        <f t="shared" si="1"/>
        <v/>
      </c>
      <c r="H155" s="50" t="str">
        <f t="shared" si="2"/>
        <v/>
      </c>
      <c r="I155" s="276"/>
      <c r="J155" s="276"/>
    </row>
    <row r="156" ht="15.75" customHeight="1">
      <c r="A156" s="281"/>
      <c r="B156" s="121"/>
      <c r="C156" s="121"/>
      <c r="D156" s="121"/>
      <c r="E156" s="121"/>
      <c r="F156" s="121"/>
      <c r="G156" s="121" t="str">
        <f t="shared" si="1"/>
        <v/>
      </c>
      <c r="H156" s="50" t="str">
        <f t="shared" si="2"/>
        <v/>
      </c>
      <c r="I156" s="276"/>
      <c r="J156" s="276"/>
    </row>
    <row r="157" ht="15.75" customHeight="1">
      <c r="A157" s="281"/>
      <c r="B157" s="121"/>
      <c r="C157" s="121"/>
      <c r="D157" s="121"/>
      <c r="E157" s="121"/>
      <c r="F157" s="121"/>
      <c r="G157" s="121" t="str">
        <f t="shared" si="1"/>
        <v/>
      </c>
      <c r="H157" s="50" t="str">
        <f t="shared" si="2"/>
        <v/>
      </c>
      <c r="I157" s="276"/>
      <c r="J157" s="276"/>
    </row>
    <row r="158" ht="15.75" customHeight="1">
      <c r="A158" s="281"/>
      <c r="B158" s="121"/>
      <c r="C158" s="121"/>
      <c r="D158" s="121"/>
      <c r="E158" s="121"/>
      <c r="F158" s="121"/>
      <c r="G158" s="121" t="str">
        <f t="shared" si="1"/>
        <v/>
      </c>
      <c r="H158" s="50" t="str">
        <f t="shared" si="2"/>
        <v/>
      </c>
      <c r="I158" s="276"/>
      <c r="J158" s="276"/>
    </row>
    <row r="159" ht="15.75" customHeight="1">
      <c r="A159" s="281"/>
      <c r="B159" s="121"/>
      <c r="C159" s="121"/>
      <c r="D159" s="121"/>
      <c r="E159" s="121"/>
      <c r="F159" s="121"/>
      <c r="G159" s="121" t="str">
        <f t="shared" si="1"/>
        <v/>
      </c>
      <c r="H159" s="50" t="str">
        <f t="shared" si="2"/>
        <v/>
      </c>
      <c r="I159" s="276"/>
      <c r="J159" s="276"/>
    </row>
    <row r="160" ht="15.75" customHeight="1">
      <c r="A160" s="281"/>
      <c r="B160" s="121"/>
      <c r="C160" s="121"/>
      <c r="D160" s="121"/>
      <c r="E160" s="121"/>
      <c r="F160" s="121"/>
      <c r="G160" s="121" t="str">
        <f t="shared" si="1"/>
        <v/>
      </c>
      <c r="H160" s="50" t="str">
        <f t="shared" si="2"/>
        <v/>
      </c>
      <c r="I160" s="276"/>
      <c r="J160" s="276"/>
    </row>
    <row r="161" ht="15.75" customHeight="1">
      <c r="A161" s="281"/>
      <c r="B161" s="121"/>
      <c r="C161" s="121"/>
      <c r="D161" s="121"/>
      <c r="E161" s="121"/>
      <c r="F161" s="121"/>
      <c r="G161" s="121" t="str">
        <f t="shared" si="1"/>
        <v/>
      </c>
      <c r="H161" s="50" t="str">
        <f t="shared" si="2"/>
        <v/>
      </c>
      <c r="I161" s="276"/>
      <c r="J161" s="276"/>
    </row>
    <row r="162" ht="15.75" customHeight="1">
      <c r="A162" s="281"/>
      <c r="B162" s="121"/>
      <c r="C162" s="121"/>
      <c r="D162" s="121"/>
      <c r="E162" s="121"/>
      <c r="F162" s="121"/>
      <c r="G162" s="121" t="str">
        <f t="shared" si="1"/>
        <v/>
      </c>
      <c r="H162" s="50" t="str">
        <f t="shared" si="2"/>
        <v/>
      </c>
      <c r="I162" s="276"/>
      <c r="J162" s="276"/>
    </row>
    <row r="163" ht="15.75" customHeight="1">
      <c r="A163" s="281"/>
      <c r="B163" s="121"/>
      <c r="C163" s="121"/>
      <c r="D163" s="121"/>
      <c r="E163" s="121"/>
      <c r="F163" s="121"/>
      <c r="G163" s="121" t="str">
        <f t="shared" si="1"/>
        <v/>
      </c>
      <c r="H163" s="50" t="str">
        <f t="shared" si="2"/>
        <v/>
      </c>
      <c r="I163" s="276"/>
      <c r="J163" s="276"/>
    </row>
    <row r="164" ht="15.75" customHeight="1">
      <c r="A164" s="281"/>
      <c r="B164" s="121"/>
      <c r="C164" s="121"/>
      <c r="D164" s="121"/>
      <c r="E164" s="121"/>
      <c r="F164" s="121"/>
      <c r="G164" s="121" t="str">
        <f t="shared" si="1"/>
        <v/>
      </c>
      <c r="H164" s="50" t="str">
        <f t="shared" si="2"/>
        <v/>
      </c>
      <c r="I164" s="276"/>
      <c r="J164" s="276"/>
    </row>
    <row r="165" ht="15.75" customHeight="1">
      <c r="A165" s="281"/>
      <c r="B165" s="121"/>
      <c r="C165" s="121"/>
      <c r="D165" s="121"/>
      <c r="E165" s="121"/>
      <c r="F165" s="121"/>
      <c r="G165" s="121" t="str">
        <f t="shared" si="1"/>
        <v/>
      </c>
      <c r="H165" s="50" t="str">
        <f t="shared" si="2"/>
        <v/>
      </c>
      <c r="I165" s="276"/>
      <c r="J165" s="276"/>
    </row>
    <row r="166" ht="15.75" customHeight="1">
      <c r="A166" s="281"/>
      <c r="B166" s="121"/>
      <c r="C166" s="121"/>
      <c r="D166" s="121"/>
      <c r="E166" s="121"/>
      <c r="F166" s="121"/>
      <c r="G166" s="121" t="str">
        <f t="shared" si="1"/>
        <v/>
      </c>
      <c r="H166" s="50" t="str">
        <f t="shared" si="2"/>
        <v/>
      </c>
      <c r="I166" s="276"/>
      <c r="J166" s="276"/>
    </row>
    <row r="167" ht="15.75" customHeight="1">
      <c r="A167" s="281"/>
      <c r="B167" s="121"/>
      <c r="C167" s="121"/>
      <c r="D167" s="121"/>
      <c r="E167" s="121"/>
      <c r="F167" s="121"/>
      <c r="G167" s="121" t="str">
        <f t="shared" si="1"/>
        <v/>
      </c>
      <c r="H167" s="50" t="str">
        <f t="shared" si="2"/>
        <v/>
      </c>
      <c r="I167" s="276"/>
      <c r="J167" s="276"/>
    </row>
    <row r="168" ht="15.75" customHeight="1">
      <c r="A168" s="281"/>
      <c r="B168" s="121"/>
      <c r="C168" s="121"/>
      <c r="D168" s="121"/>
      <c r="E168" s="121"/>
      <c r="F168" s="121"/>
      <c r="G168" s="121" t="str">
        <f t="shared" si="1"/>
        <v/>
      </c>
      <c r="H168" s="50" t="str">
        <f t="shared" si="2"/>
        <v/>
      </c>
      <c r="I168" s="276"/>
      <c r="J168" s="276"/>
    </row>
    <row r="169" ht="15.75" customHeight="1">
      <c r="A169" s="281"/>
      <c r="B169" s="121"/>
      <c r="C169" s="121"/>
      <c r="D169" s="121"/>
      <c r="E169" s="121"/>
      <c r="F169" s="121"/>
      <c r="G169" s="121" t="str">
        <f t="shared" si="1"/>
        <v/>
      </c>
      <c r="H169" s="50" t="str">
        <f t="shared" si="2"/>
        <v/>
      </c>
      <c r="I169" s="276"/>
      <c r="J169" s="276"/>
    </row>
    <row r="170" ht="15.75" customHeight="1">
      <c r="A170" s="281"/>
      <c r="B170" s="121"/>
      <c r="C170" s="121"/>
      <c r="D170" s="121"/>
      <c r="E170" s="121"/>
      <c r="F170" s="121"/>
      <c r="G170" s="121" t="str">
        <f t="shared" si="1"/>
        <v/>
      </c>
      <c r="H170" s="50" t="str">
        <f t="shared" si="2"/>
        <v/>
      </c>
      <c r="I170" s="276"/>
      <c r="J170" s="276"/>
    </row>
    <row r="171" ht="15.75" customHeight="1">
      <c r="A171" s="281"/>
      <c r="B171" s="121"/>
      <c r="C171" s="121"/>
      <c r="D171" s="121"/>
      <c r="E171" s="121"/>
      <c r="F171" s="121"/>
      <c r="G171" s="121" t="str">
        <f t="shared" si="1"/>
        <v/>
      </c>
      <c r="H171" s="50" t="str">
        <f t="shared" si="2"/>
        <v/>
      </c>
      <c r="I171" s="276"/>
      <c r="J171" s="276"/>
    </row>
    <row r="172" ht="15.75" customHeight="1">
      <c r="A172" s="281"/>
      <c r="B172" s="121"/>
      <c r="C172" s="121"/>
      <c r="D172" s="121"/>
      <c r="E172" s="121"/>
      <c r="F172" s="121"/>
      <c r="G172" s="121" t="str">
        <f t="shared" si="1"/>
        <v/>
      </c>
      <c r="H172" s="50" t="str">
        <f t="shared" si="2"/>
        <v/>
      </c>
      <c r="I172" s="276"/>
      <c r="J172" s="276"/>
    </row>
    <row r="173" ht="15.75" customHeight="1">
      <c r="A173" s="281"/>
      <c r="B173" s="121"/>
      <c r="C173" s="121"/>
      <c r="D173" s="121"/>
      <c r="E173" s="121"/>
      <c r="F173" s="121"/>
      <c r="G173" s="121" t="str">
        <f t="shared" si="1"/>
        <v/>
      </c>
      <c r="H173" s="50" t="str">
        <f t="shared" si="2"/>
        <v/>
      </c>
      <c r="I173" s="276"/>
      <c r="J173" s="276"/>
    </row>
    <row r="174" ht="15.75" customHeight="1">
      <c r="A174" s="281"/>
      <c r="B174" s="121"/>
      <c r="C174" s="121"/>
      <c r="D174" s="121"/>
      <c r="E174" s="121"/>
      <c r="F174" s="121"/>
      <c r="G174" s="121" t="str">
        <f t="shared" si="1"/>
        <v/>
      </c>
      <c r="H174" s="50" t="str">
        <f t="shared" si="2"/>
        <v/>
      </c>
      <c r="I174" s="276"/>
      <c r="J174" s="276"/>
    </row>
    <row r="175" ht="15.75" customHeight="1">
      <c r="A175" s="281"/>
      <c r="B175" s="121"/>
      <c r="C175" s="121"/>
      <c r="D175" s="121"/>
      <c r="E175" s="121"/>
      <c r="F175" s="121"/>
      <c r="G175" s="121" t="str">
        <f t="shared" si="1"/>
        <v/>
      </c>
      <c r="H175" s="50" t="str">
        <f t="shared" si="2"/>
        <v/>
      </c>
      <c r="I175" s="276"/>
      <c r="J175" s="276"/>
    </row>
    <row r="176" ht="15.75" customHeight="1">
      <c r="A176" s="281"/>
      <c r="B176" s="121"/>
      <c r="C176" s="121"/>
      <c r="D176" s="121"/>
      <c r="E176" s="121"/>
      <c r="F176" s="121"/>
      <c r="G176" s="121" t="str">
        <f t="shared" si="1"/>
        <v/>
      </c>
      <c r="H176" s="50" t="str">
        <f t="shared" si="2"/>
        <v/>
      </c>
      <c r="I176" s="276"/>
      <c r="J176" s="276"/>
    </row>
    <row r="177" ht="15.75" customHeight="1">
      <c r="A177" s="281"/>
      <c r="B177" s="121"/>
      <c r="C177" s="121"/>
      <c r="D177" s="121"/>
      <c r="E177" s="121"/>
      <c r="F177" s="121"/>
      <c r="G177" s="121" t="str">
        <f t="shared" si="1"/>
        <v/>
      </c>
      <c r="H177" s="50" t="str">
        <f t="shared" si="2"/>
        <v/>
      </c>
      <c r="I177" s="276"/>
      <c r="J177" s="276"/>
    </row>
    <row r="178" ht="15.75" customHeight="1">
      <c r="A178" s="281"/>
      <c r="B178" s="121"/>
      <c r="C178" s="121"/>
      <c r="D178" s="121"/>
      <c r="E178" s="121"/>
      <c r="F178" s="121"/>
      <c r="G178" s="121" t="str">
        <f t="shared" si="1"/>
        <v/>
      </c>
      <c r="H178" s="50" t="str">
        <f t="shared" si="2"/>
        <v/>
      </c>
      <c r="I178" s="276"/>
      <c r="J178" s="276"/>
    </row>
    <row r="179" ht="15.75" customHeight="1">
      <c r="A179" s="281"/>
      <c r="B179" s="121"/>
      <c r="C179" s="121"/>
      <c r="D179" s="121"/>
      <c r="E179" s="121"/>
      <c r="F179" s="121"/>
      <c r="G179" s="121" t="str">
        <f t="shared" si="1"/>
        <v/>
      </c>
      <c r="H179" s="50" t="str">
        <f t="shared" si="2"/>
        <v/>
      </c>
      <c r="I179" s="276"/>
      <c r="J179" s="276"/>
    </row>
    <row r="180" ht="15.75" customHeight="1">
      <c r="A180" s="281"/>
      <c r="B180" s="121"/>
      <c r="C180" s="121"/>
      <c r="D180" s="121"/>
      <c r="E180" s="121"/>
      <c r="F180" s="121"/>
      <c r="G180" s="121" t="str">
        <f t="shared" si="1"/>
        <v/>
      </c>
      <c r="H180" s="50" t="str">
        <f t="shared" si="2"/>
        <v/>
      </c>
      <c r="I180" s="276"/>
      <c r="J180" s="276"/>
    </row>
    <row r="181" ht="15.75" customHeight="1">
      <c r="A181" s="281"/>
      <c r="B181" s="121"/>
      <c r="C181" s="121"/>
      <c r="D181" s="121"/>
      <c r="E181" s="121"/>
      <c r="F181" s="121"/>
      <c r="G181" s="121" t="str">
        <f t="shared" si="1"/>
        <v/>
      </c>
      <c r="H181" s="50" t="str">
        <f t="shared" si="2"/>
        <v/>
      </c>
      <c r="I181" s="276"/>
      <c r="J181" s="276"/>
    </row>
    <row r="182" ht="15.75" customHeight="1">
      <c r="A182" s="281"/>
      <c r="B182" s="121"/>
      <c r="C182" s="121"/>
      <c r="D182" s="121"/>
      <c r="E182" s="121"/>
      <c r="F182" s="121"/>
      <c r="G182" s="121" t="str">
        <f t="shared" si="1"/>
        <v/>
      </c>
      <c r="H182" s="50" t="str">
        <f t="shared" si="2"/>
        <v/>
      </c>
      <c r="I182" s="276"/>
      <c r="J182" s="276"/>
    </row>
    <row r="183" ht="15.75" customHeight="1">
      <c r="A183" s="281"/>
      <c r="B183" s="121"/>
      <c r="C183" s="121"/>
      <c r="D183" s="121"/>
      <c r="E183" s="121"/>
      <c r="F183" s="121"/>
      <c r="G183" s="121" t="str">
        <f t="shared" si="1"/>
        <v/>
      </c>
      <c r="H183" s="50" t="str">
        <f t="shared" si="2"/>
        <v/>
      </c>
      <c r="I183" s="276"/>
      <c r="J183" s="276"/>
    </row>
    <row r="184" ht="15.75" customHeight="1">
      <c r="A184" s="281"/>
      <c r="B184" s="121"/>
      <c r="C184" s="121"/>
      <c r="D184" s="121"/>
      <c r="E184" s="121"/>
      <c r="F184" s="121"/>
      <c r="G184" s="121" t="str">
        <f t="shared" si="1"/>
        <v/>
      </c>
      <c r="H184" s="50" t="str">
        <f t="shared" si="2"/>
        <v/>
      </c>
      <c r="I184" s="276"/>
      <c r="J184" s="276"/>
    </row>
    <row r="185" ht="15.75" customHeight="1">
      <c r="A185" s="281"/>
      <c r="B185" s="121"/>
      <c r="C185" s="121"/>
      <c r="D185" s="121"/>
      <c r="E185" s="121"/>
      <c r="F185" s="121"/>
      <c r="G185" s="121" t="str">
        <f t="shared" si="1"/>
        <v/>
      </c>
      <c r="H185" s="50" t="str">
        <f t="shared" si="2"/>
        <v/>
      </c>
      <c r="I185" s="276"/>
      <c r="J185" s="276"/>
    </row>
    <row r="186" ht="15.75" customHeight="1">
      <c r="A186" s="281"/>
      <c r="B186" s="121"/>
      <c r="C186" s="121"/>
      <c r="D186" s="121"/>
      <c r="E186" s="121"/>
      <c r="F186" s="121"/>
      <c r="G186" s="121" t="str">
        <f t="shared" si="1"/>
        <v/>
      </c>
      <c r="H186" s="50" t="str">
        <f t="shared" si="2"/>
        <v/>
      </c>
      <c r="I186" s="276"/>
      <c r="J186" s="276"/>
    </row>
    <row r="187" ht="15.75" customHeight="1">
      <c r="A187" s="281"/>
      <c r="B187" s="121"/>
      <c r="C187" s="121"/>
      <c r="D187" s="121"/>
      <c r="E187" s="121"/>
      <c r="F187" s="121"/>
      <c r="G187" s="121" t="str">
        <f t="shared" si="1"/>
        <v/>
      </c>
      <c r="H187" s="50" t="str">
        <f t="shared" si="2"/>
        <v/>
      </c>
      <c r="I187" s="276"/>
      <c r="J187" s="276"/>
    </row>
    <row r="188" ht="15.75" customHeight="1">
      <c r="A188" s="281"/>
      <c r="B188" s="121"/>
      <c r="C188" s="121"/>
      <c r="D188" s="121"/>
      <c r="E188" s="121"/>
      <c r="F188" s="121"/>
      <c r="G188" s="121" t="str">
        <f t="shared" si="1"/>
        <v/>
      </c>
      <c r="H188" s="50" t="str">
        <f t="shared" si="2"/>
        <v/>
      </c>
      <c r="I188" s="276"/>
      <c r="J188" s="276"/>
    </row>
    <row r="189" ht="15.75" customHeight="1">
      <c r="A189" s="281"/>
      <c r="B189" s="121"/>
      <c r="C189" s="121"/>
      <c r="D189" s="121"/>
      <c r="E189" s="121"/>
      <c r="F189" s="121"/>
      <c r="G189" s="121" t="str">
        <f t="shared" si="1"/>
        <v/>
      </c>
      <c r="H189" s="50" t="str">
        <f t="shared" si="2"/>
        <v/>
      </c>
      <c r="I189" s="276"/>
      <c r="J189" s="276"/>
    </row>
    <row r="190" ht="15.75" customHeight="1">
      <c r="A190" s="281"/>
      <c r="B190" s="121"/>
      <c r="C190" s="121"/>
      <c r="D190" s="121"/>
      <c r="E190" s="121"/>
      <c r="F190" s="121"/>
      <c r="G190" s="121" t="str">
        <f t="shared" si="1"/>
        <v/>
      </c>
      <c r="H190" s="50" t="str">
        <f t="shared" si="2"/>
        <v/>
      </c>
      <c r="I190" s="276"/>
      <c r="J190" s="276"/>
    </row>
    <row r="191" ht="15.75" customHeight="1">
      <c r="A191" s="281"/>
      <c r="B191" s="121"/>
      <c r="C191" s="121"/>
      <c r="D191" s="121"/>
      <c r="E191" s="121"/>
      <c r="F191" s="121"/>
      <c r="G191" s="121" t="str">
        <f t="shared" si="1"/>
        <v/>
      </c>
      <c r="H191" s="50" t="str">
        <f t="shared" si="2"/>
        <v/>
      </c>
      <c r="I191" s="276"/>
      <c r="J191" s="276"/>
    </row>
    <row r="192" ht="15.75" customHeight="1">
      <c r="A192" s="281"/>
      <c r="B192" s="121"/>
      <c r="C192" s="121"/>
      <c r="D192" s="121"/>
      <c r="E192" s="121"/>
      <c r="F192" s="121"/>
      <c r="G192" s="121" t="str">
        <f t="shared" si="1"/>
        <v/>
      </c>
      <c r="H192" s="50" t="str">
        <f t="shared" si="2"/>
        <v/>
      </c>
      <c r="I192" s="276"/>
      <c r="J192" s="276"/>
    </row>
    <row r="193" ht="15.75" customHeight="1">
      <c r="A193" s="281"/>
      <c r="B193" s="121"/>
      <c r="C193" s="121"/>
      <c r="D193" s="121"/>
      <c r="E193" s="121"/>
      <c r="F193" s="121"/>
      <c r="G193" s="121" t="str">
        <f t="shared" si="1"/>
        <v/>
      </c>
      <c r="H193" s="50" t="str">
        <f t="shared" si="2"/>
        <v/>
      </c>
      <c r="I193" s="276"/>
      <c r="J193" s="276"/>
    </row>
    <row r="194" ht="15.75" customHeight="1">
      <c r="A194" s="281"/>
      <c r="B194" s="121"/>
      <c r="C194" s="121"/>
      <c r="D194" s="121"/>
      <c r="E194" s="121"/>
      <c r="F194" s="121"/>
      <c r="G194" s="121" t="str">
        <f t="shared" si="1"/>
        <v/>
      </c>
      <c r="H194" s="50" t="str">
        <f t="shared" si="2"/>
        <v/>
      </c>
      <c r="I194" s="276"/>
      <c r="J194" s="276"/>
    </row>
    <row r="195" ht="15.75" customHeight="1">
      <c r="A195" s="281"/>
      <c r="B195" s="121"/>
      <c r="C195" s="121"/>
      <c r="D195" s="121"/>
      <c r="E195" s="121"/>
      <c r="F195" s="121"/>
      <c r="G195" s="121" t="str">
        <f t="shared" si="1"/>
        <v/>
      </c>
      <c r="H195" s="50" t="str">
        <f t="shared" si="2"/>
        <v/>
      </c>
      <c r="I195" s="276"/>
      <c r="J195" s="276"/>
    </row>
    <row r="196" ht="15.75" customHeight="1">
      <c r="A196" s="281"/>
      <c r="B196" s="121"/>
      <c r="C196" s="121"/>
      <c r="D196" s="121"/>
      <c r="E196" s="121"/>
      <c r="F196" s="121"/>
      <c r="G196" s="121" t="str">
        <f t="shared" si="1"/>
        <v/>
      </c>
      <c r="H196" s="50" t="str">
        <f t="shared" si="2"/>
        <v/>
      </c>
      <c r="I196" s="276"/>
      <c r="J196" s="276"/>
    </row>
    <row r="197" ht="15.75" customHeight="1">
      <c r="A197" s="281"/>
      <c r="B197" s="121"/>
      <c r="C197" s="121"/>
      <c r="D197" s="121"/>
      <c r="E197" s="121"/>
      <c r="F197" s="121"/>
      <c r="G197" s="121" t="str">
        <f t="shared" si="1"/>
        <v/>
      </c>
      <c r="H197" s="50" t="str">
        <f t="shared" si="2"/>
        <v/>
      </c>
      <c r="I197" s="276"/>
      <c r="J197" s="276"/>
    </row>
    <row r="198" ht="15.75" customHeight="1">
      <c r="A198" s="281"/>
      <c r="B198" s="121"/>
      <c r="C198" s="121"/>
      <c r="D198" s="121"/>
      <c r="E198" s="121"/>
      <c r="F198" s="121"/>
      <c r="G198" s="121" t="str">
        <f t="shared" si="1"/>
        <v/>
      </c>
      <c r="H198" s="50" t="str">
        <f t="shared" si="2"/>
        <v/>
      </c>
      <c r="I198" s="276"/>
      <c r="J198" s="276"/>
    </row>
    <row r="199" ht="15.75" customHeight="1">
      <c r="A199" s="281"/>
      <c r="B199" s="121"/>
      <c r="C199" s="121"/>
      <c r="D199" s="121"/>
      <c r="E199" s="121"/>
      <c r="F199" s="121"/>
      <c r="G199" s="121" t="str">
        <f t="shared" si="1"/>
        <v/>
      </c>
      <c r="H199" s="50" t="str">
        <f t="shared" si="2"/>
        <v/>
      </c>
      <c r="I199" s="276"/>
      <c r="J199" s="276"/>
    </row>
    <row r="200" ht="15.75" customHeight="1">
      <c r="A200" s="281"/>
      <c r="B200" s="121"/>
      <c r="C200" s="121"/>
      <c r="D200" s="121"/>
      <c r="E200" s="121"/>
      <c r="F200" s="121"/>
      <c r="G200" s="121" t="str">
        <f t="shared" si="1"/>
        <v/>
      </c>
      <c r="H200" s="50" t="str">
        <f t="shared" si="2"/>
        <v/>
      </c>
      <c r="I200" s="276"/>
      <c r="J200" s="276"/>
    </row>
    <row r="201" ht="15.75" customHeight="1">
      <c r="A201" s="281"/>
      <c r="B201" s="121"/>
      <c r="C201" s="121"/>
      <c r="D201" s="121"/>
      <c r="E201" s="121"/>
      <c r="F201" s="121"/>
      <c r="G201" s="121" t="str">
        <f t="shared" si="1"/>
        <v/>
      </c>
      <c r="H201" s="50" t="str">
        <f t="shared" si="2"/>
        <v/>
      </c>
      <c r="I201" s="276"/>
      <c r="J201" s="276"/>
    </row>
    <row r="202" ht="15.75" customHeight="1">
      <c r="A202" s="281"/>
      <c r="B202" s="121"/>
      <c r="C202" s="121"/>
      <c r="D202" s="121"/>
      <c r="E202" s="121"/>
      <c r="F202" s="121"/>
      <c r="G202" s="121" t="str">
        <f t="shared" si="1"/>
        <v/>
      </c>
      <c r="H202" s="50" t="str">
        <f t="shared" si="2"/>
        <v/>
      </c>
      <c r="I202" s="276"/>
      <c r="J202" s="276"/>
    </row>
    <row r="203" ht="15.75" customHeight="1">
      <c r="A203" s="281"/>
      <c r="B203" s="121"/>
      <c r="C203" s="121"/>
      <c r="D203" s="121"/>
      <c r="E203" s="121"/>
      <c r="F203" s="121"/>
      <c r="G203" s="121" t="str">
        <f t="shared" si="1"/>
        <v/>
      </c>
      <c r="H203" s="50" t="str">
        <f t="shared" si="2"/>
        <v/>
      </c>
      <c r="I203" s="276"/>
      <c r="J203" s="276"/>
    </row>
    <row r="204" ht="15.75" customHeight="1">
      <c r="A204" s="281"/>
      <c r="B204" s="121"/>
      <c r="C204" s="121"/>
      <c r="D204" s="121"/>
      <c r="E204" s="121"/>
      <c r="F204" s="121"/>
      <c r="G204" s="121" t="str">
        <f t="shared" si="1"/>
        <v/>
      </c>
      <c r="H204" s="50" t="str">
        <f t="shared" si="2"/>
        <v/>
      </c>
      <c r="I204" s="276"/>
      <c r="J204" s="276"/>
    </row>
    <row r="205" ht="15.75" customHeight="1">
      <c r="A205" s="281"/>
      <c r="B205" s="121"/>
      <c r="C205" s="121"/>
      <c r="D205" s="121"/>
      <c r="E205" s="121"/>
      <c r="F205" s="121"/>
      <c r="G205" s="121" t="str">
        <f t="shared" si="1"/>
        <v/>
      </c>
      <c r="H205" s="50" t="str">
        <f t="shared" si="2"/>
        <v/>
      </c>
      <c r="I205" s="276"/>
      <c r="J205" s="276"/>
    </row>
    <row r="206" ht="15.75" customHeight="1">
      <c r="A206" s="281"/>
      <c r="B206" s="121"/>
      <c r="C206" s="121"/>
      <c r="D206" s="121"/>
      <c r="E206" s="121"/>
      <c r="F206" s="121"/>
      <c r="G206" s="121" t="str">
        <f t="shared" si="1"/>
        <v/>
      </c>
      <c r="H206" s="50" t="str">
        <f t="shared" si="2"/>
        <v/>
      </c>
      <c r="I206" s="276"/>
      <c r="J206" s="276"/>
    </row>
    <row r="207" ht="15.75" customHeight="1">
      <c r="A207" s="281"/>
      <c r="B207" s="121"/>
      <c r="C207" s="121"/>
      <c r="D207" s="121"/>
      <c r="E207" s="121"/>
      <c r="F207" s="121"/>
      <c r="G207" s="121" t="str">
        <f t="shared" si="1"/>
        <v/>
      </c>
      <c r="H207" s="50" t="str">
        <f t="shared" si="2"/>
        <v/>
      </c>
      <c r="I207" s="276"/>
      <c r="J207" s="276"/>
    </row>
    <row r="208" ht="15.75" customHeight="1">
      <c r="A208" s="281"/>
      <c r="B208" s="121"/>
      <c r="C208" s="121"/>
      <c r="D208" s="121"/>
      <c r="E208" s="121"/>
      <c r="F208" s="121"/>
      <c r="G208" s="121" t="str">
        <f t="shared" si="1"/>
        <v/>
      </c>
      <c r="H208" s="50" t="str">
        <f t="shared" si="2"/>
        <v/>
      </c>
      <c r="I208" s="276"/>
      <c r="J208" s="276"/>
    </row>
    <row r="209" ht="15.75" customHeight="1">
      <c r="A209" s="281"/>
      <c r="B209" s="121"/>
      <c r="C209" s="121"/>
      <c r="D209" s="121"/>
      <c r="E209" s="121"/>
      <c r="F209" s="121"/>
      <c r="G209" s="121" t="str">
        <f t="shared" si="1"/>
        <v/>
      </c>
      <c r="H209" s="50" t="str">
        <f t="shared" si="2"/>
        <v/>
      </c>
      <c r="I209" s="276"/>
      <c r="J209" s="276"/>
    </row>
    <row r="210" ht="15.75" customHeight="1">
      <c r="A210" s="281"/>
      <c r="B210" s="121"/>
      <c r="C210" s="121"/>
      <c r="D210" s="121"/>
      <c r="E210" s="121"/>
      <c r="F210" s="121"/>
      <c r="G210" s="121" t="str">
        <f t="shared" si="1"/>
        <v/>
      </c>
      <c r="H210" s="50" t="str">
        <f t="shared" si="2"/>
        <v/>
      </c>
      <c r="I210" s="276"/>
      <c r="J210" s="276"/>
    </row>
    <row r="211" ht="15.75" customHeight="1">
      <c r="A211" s="281"/>
      <c r="B211" s="121"/>
      <c r="C211" s="121"/>
      <c r="D211" s="121"/>
      <c r="E211" s="121"/>
      <c r="F211" s="121"/>
      <c r="G211" s="121" t="str">
        <f t="shared" si="1"/>
        <v/>
      </c>
      <c r="H211" s="50" t="str">
        <f t="shared" si="2"/>
        <v/>
      </c>
      <c r="I211" s="276"/>
      <c r="J211" s="276"/>
    </row>
    <row r="212" ht="15.75" customHeight="1">
      <c r="A212" s="281"/>
      <c r="B212" s="121"/>
      <c r="C212" s="121"/>
      <c r="D212" s="121"/>
      <c r="E212" s="121"/>
      <c r="F212" s="121"/>
      <c r="G212" s="121" t="str">
        <f t="shared" si="1"/>
        <v/>
      </c>
      <c r="H212" s="50" t="str">
        <f t="shared" si="2"/>
        <v/>
      </c>
      <c r="I212" s="276"/>
      <c r="J212" s="276"/>
    </row>
    <row r="213" ht="15.75" customHeight="1">
      <c r="A213" s="281"/>
      <c r="B213" s="121"/>
      <c r="C213" s="121"/>
      <c r="D213" s="121"/>
      <c r="E213" s="121"/>
      <c r="F213" s="121"/>
      <c r="G213" s="121" t="str">
        <f t="shared" si="1"/>
        <v/>
      </c>
      <c r="H213" s="50" t="str">
        <f t="shared" si="2"/>
        <v/>
      </c>
      <c r="I213" s="276"/>
      <c r="J213" s="276"/>
    </row>
    <row r="214" ht="15.75" customHeight="1">
      <c r="A214" s="281"/>
      <c r="B214" s="121"/>
      <c r="C214" s="121"/>
      <c r="D214" s="121"/>
      <c r="E214" s="121"/>
      <c r="F214" s="121"/>
      <c r="G214" s="121" t="str">
        <f t="shared" si="1"/>
        <v/>
      </c>
      <c r="H214" s="50" t="str">
        <f t="shared" si="2"/>
        <v/>
      </c>
      <c r="I214" s="276"/>
      <c r="J214" s="276"/>
    </row>
    <row r="215" ht="15.75" customHeight="1">
      <c r="A215" s="281"/>
      <c r="B215" s="121"/>
      <c r="C215" s="121"/>
      <c r="D215" s="121"/>
      <c r="E215" s="121"/>
      <c r="F215" s="121"/>
      <c r="G215" s="121" t="str">
        <f t="shared" si="1"/>
        <v/>
      </c>
      <c r="H215" s="50" t="str">
        <f t="shared" si="2"/>
        <v/>
      </c>
      <c r="I215" s="276"/>
      <c r="J215" s="276"/>
    </row>
    <row r="216" ht="15.75" customHeight="1">
      <c r="A216" s="281"/>
      <c r="B216" s="121"/>
      <c r="C216" s="121"/>
      <c r="D216" s="121"/>
      <c r="E216" s="121"/>
      <c r="F216" s="121"/>
      <c r="G216" s="121" t="str">
        <f t="shared" si="1"/>
        <v/>
      </c>
      <c r="H216" s="50" t="str">
        <f t="shared" si="2"/>
        <v/>
      </c>
      <c r="I216" s="276"/>
      <c r="J216" s="276"/>
    </row>
    <row r="217" ht="15.75" customHeight="1">
      <c r="A217" s="281"/>
      <c r="B217" s="121"/>
      <c r="C217" s="121"/>
      <c r="D217" s="121"/>
      <c r="E217" s="121"/>
      <c r="F217" s="121"/>
      <c r="G217" s="121" t="str">
        <f t="shared" si="1"/>
        <v/>
      </c>
      <c r="H217" s="50" t="str">
        <f t="shared" si="2"/>
        <v/>
      </c>
      <c r="I217" s="276"/>
      <c r="J217" s="276"/>
    </row>
    <row r="218" ht="15.75" customHeight="1">
      <c r="A218" s="281"/>
      <c r="B218" s="121"/>
      <c r="C218" s="121"/>
      <c r="D218" s="121"/>
      <c r="E218" s="121"/>
      <c r="F218" s="121"/>
      <c r="G218" s="121" t="str">
        <f t="shared" si="1"/>
        <v/>
      </c>
      <c r="H218" s="50" t="str">
        <f t="shared" si="2"/>
        <v/>
      </c>
      <c r="I218" s="276"/>
      <c r="J218" s="276"/>
    </row>
    <row r="219" ht="15.75" customHeight="1">
      <c r="A219" s="281"/>
      <c r="B219" s="121"/>
      <c r="C219" s="121"/>
      <c r="D219" s="121"/>
      <c r="E219" s="121"/>
      <c r="F219" s="121"/>
      <c r="G219" s="121" t="str">
        <f t="shared" si="1"/>
        <v/>
      </c>
      <c r="H219" s="50" t="str">
        <f t="shared" si="2"/>
        <v/>
      </c>
      <c r="I219" s="276"/>
      <c r="J219" s="276"/>
    </row>
    <row r="220" ht="15.75" customHeight="1">
      <c r="A220" s="281"/>
      <c r="B220" s="121"/>
      <c r="C220" s="121"/>
      <c r="D220" s="121"/>
      <c r="E220" s="121"/>
      <c r="F220" s="121"/>
      <c r="G220" s="121" t="str">
        <f t="shared" si="1"/>
        <v/>
      </c>
      <c r="H220" s="50" t="str">
        <f t="shared" si="2"/>
        <v/>
      </c>
      <c r="I220" s="276"/>
      <c r="J220" s="276"/>
    </row>
    <row r="221" ht="15.75" customHeight="1">
      <c r="A221" s="281"/>
      <c r="B221" s="121"/>
      <c r="C221" s="121"/>
      <c r="D221" s="121"/>
      <c r="E221" s="121"/>
      <c r="F221" s="121"/>
      <c r="G221" s="121" t="str">
        <f t="shared" si="1"/>
        <v/>
      </c>
      <c r="H221" s="50" t="str">
        <f t="shared" si="2"/>
        <v/>
      </c>
      <c r="I221" s="276"/>
      <c r="J221" s="276"/>
    </row>
    <row r="222" ht="15.75" customHeight="1">
      <c r="A222" s="281"/>
      <c r="B222" s="121"/>
      <c r="C222" s="121"/>
      <c r="D222" s="121"/>
      <c r="E222" s="121"/>
      <c r="F222" s="121"/>
      <c r="G222" s="121" t="str">
        <f t="shared" si="1"/>
        <v/>
      </c>
      <c r="H222" s="50" t="str">
        <f t="shared" si="2"/>
        <v/>
      </c>
      <c r="I222" s="276"/>
      <c r="J222" s="276"/>
    </row>
    <row r="223" ht="15.75" customHeight="1">
      <c r="A223" s="321"/>
      <c r="B223" s="322"/>
      <c r="C223" s="322"/>
      <c r="D223" s="322"/>
      <c r="E223" s="322"/>
      <c r="F223" s="322"/>
      <c r="G223" s="322" t="str">
        <f t="shared" si="1"/>
        <v/>
      </c>
      <c r="H223" s="50" t="str">
        <f t="shared" si="2"/>
        <v/>
      </c>
      <c r="I223" s="276"/>
      <c r="J223" s="276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3"/>
    <mergeCell ref="A22:G22"/>
  </mergeCells>
  <dataValidations>
    <dataValidation type="list" allowBlank="1" showInputMessage="1" showErrorMessage="1" prompt="Choose an unused Form IV strand for Jeremiah." sqref="C28">
      <formula1>"Form IV / Language Arts — Composition / Essays,Form IV / Language Arts — Grammar / Analysis,Form IV / Literature — Literature,Form IV / History — Ancient History,Form IV / Geography — Geography,Form IV / Citizenship — Government,Form IV / Foreign Language"&amp;" — Modern Language / Latin"</formula1>
    </dataValidation>
    <dataValidation type="list" allowBlank="1" showInputMessage="1" showErrorMessage="1" prompt="Choose an unused Form IV strand for Jeremiah." sqref="C27">
      <formula1>"Form IV / Language Arts — Composition / Essays,Form IV / Language Arts — Grammar / Analysis,Form IV / History — World / American History,Form IV / History — Ancient History,Form IV / Geography — Geography,Form IV / Citizenship — Government,Form IV / Forei"&amp;"gn Language — Modern Language / Latin"</formula1>
    </dataValidation>
    <dataValidation type="list" allowBlank="1" sqref="D24:D223">
      <formula1>Setup!$P$6:$P$10</formula1>
    </dataValidation>
    <dataValidation type="list" allowBlank="1" showInputMessage="1" showErrorMessage="1" prompt="Choose an active strand for Charis, Form I." sqref="C29:C30">
      <formula1>"Form I / Language Arts — Reading Practice / Phonics,Form I / Language Arts — Copywork,Form I / Language Arts — Oral Narration,Form I / Literature — Tales / Fairy Tales / Myths,Form I / Literature — Reader / Phonics,Form I / History — Picture Books,Form I "&amp;"/ History — Early History Stories,Form I / Geography — Map / Place Stories,Form I / Science / Nature — Object Lessons / Natural History,Form I / Math — Math,Form I / Beauty + Hands — Drawing / Brush Drawing,Form I / Beauty + Hands — Handicraft / Work"</formula1>
    </dataValidation>
    <dataValidation type="list" allowBlank="1" showInputMessage="1" showErrorMessage="1" prompt="Choose where this individual work belongs." sqref="B24:B223">
      <formula1>"Table Work with Mom,Independent Work"</formula1>
    </dataValidation>
    <dataValidation type="list" allowBlank="1" showInputMessage="1" showErrorMessage="1" prompt="Choose an unused Form IV strand for Jeremiah." sqref="C26">
      <formula1>"Form IV / Language Arts — Composition / Essays,Form IV / Language Arts — Grammar / Analysis,Form IV / History — Ancient History,Form IV / Geography — Geography,Form IV / Citizenship — Government,Form IV / Math — Upper Math,Form IV / Foreign Language — Mod"&amp;"ern Language / Latin"</formula1>
    </dataValidation>
    <dataValidation type="list" allowBlank="1" showInputMessage="1" showErrorMessage="1" prompt="Choose an active student." sqref="A24:A223">
      <formula1>'Student Work'!$A$5:$A$19</formula1>
    </dataValidation>
    <dataValidation type="list" allowBlank="1" showInputMessage="1" showErrorMessage="1" prompt="Choose an unused Form III strand for Lucy." sqref="C24">
      <formula1>"Form III / Language Arts — Dictation,Form III / Language Arts — Grammar / Analysis,Form III / Language Arts — Composition,Form III / Literature — Literature,Form III / History — World / American History,Form III / History — Book of Centuries,Form III / Ci"&amp;"tizenship — Current Events,Form III / Science / Nature — Science,Form III / Science / Nature — Natural History,Form III / Math — Algebra / Geometry,Form III / Foreign Language — Modern Language,Form III / Foreign Language — Latin"</formula1>
    </dataValidation>
    <dataValidation type="list" allowBlank="1" showInputMessage="1" showErrorMessage="1" prompt="Choose how often this student touches this strand." sqref="E24:E223">
      <formula1>"Daily,4x/week,3x/week,2x/week,1x/week,Every other week,Custom"</formula1>
    </dataValidation>
    <dataValidation type="list" allowBlank="1" showInputMessage="1" showErrorMessage="1" prompt="Choose an unused Form IV strand for Jeremiah." sqref="C25">
      <formula1>"Form IV / Language Arts — Composition / Essays,Form IV / Language Arts — Grammar / Analysis,Form IV / History — Ancient History,Form IV / Geography — Geography,Form IV / Citizenship — Government,Form IV / Citizenship — Current Events,Form IV / Foreign Lan"&amp;"guage — Modern Language / Latin"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4349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hidden="1" min="1" max="1" width="4.63"/>
    <col customWidth="1" hidden="1" min="2" max="3" width="15.13"/>
    <col customWidth="1" min="4" max="5" width="23.88"/>
    <col customWidth="1" min="6" max="10" width="12.63"/>
    <col customWidth="1" hidden="1" min="11" max="11" width="15.75"/>
    <col customWidth="1" hidden="1" min="12" max="12" width="12.63"/>
    <col customWidth="1" min="13" max="13" width="12.63"/>
    <col customWidth="1" hidden="1" min="14" max="14" width="12.63"/>
    <col customWidth="1" hidden="1" min="15" max="15" width="21.38"/>
    <col customWidth="1" min="16" max="16" width="9.38"/>
    <col customWidth="1" hidden="1" min="17" max="17" width="12.63"/>
    <col customWidth="1" min="18" max="18" width="11.75"/>
    <col customWidth="1" min="19" max="19" width="9.63"/>
    <col customWidth="1" hidden="1" min="20" max="20" width="12.25"/>
    <col customWidth="1" min="21" max="21" width="15.13"/>
    <col customWidth="1" hidden="1" min="22" max="22" width="12.25"/>
    <col customWidth="1" hidden="1" min="23" max="23" width="12.38"/>
    <col customWidth="1" hidden="1" min="24" max="24" width="11.63"/>
    <col customWidth="1" hidden="1" min="25" max="25" width="10.38"/>
    <col customWidth="1" hidden="1" min="26" max="26" width="11.25"/>
    <col customWidth="1" hidden="1" min="27" max="27" width="8.25"/>
    <col customWidth="1" hidden="1" min="28" max="28" width="8.75"/>
    <col customWidth="1" hidden="1" min="29" max="29" width="10.88"/>
    <col customWidth="1" hidden="1" min="30" max="34" width="12.38"/>
  </cols>
  <sheetData>
    <row r="1" ht="15.75" customHeight="1">
      <c r="A1" s="212" t="s">
        <v>314</v>
      </c>
      <c r="B1" s="213"/>
      <c r="C1" s="213"/>
      <c r="D1" s="212" t="s">
        <v>314</v>
      </c>
      <c r="E1" s="213"/>
      <c r="F1" s="213"/>
      <c r="G1" s="213"/>
      <c r="H1" s="213"/>
      <c r="I1" s="213"/>
      <c r="J1" s="213"/>
      <c r="K1" s="213"/>
      <c r="L1" s="213"/>
      <c r="M1" s="213"/>
      <c r="N1" s="288"/>
      <c r="O1" s="214"/>
      <c r="P1" s="214"/>
      <c r="Q1" s="214"/>
      <c r="R1" s="214"/>
      <c r="S1" s="214"/>
      <c r="T1" s="214"/>
      <c r="U1" s="214"/>
      <c r="V1" s="214"/>
      <c r="W1" s="214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ht="15.75" customHeight="1">
      <c r="A2" s="289" t="s">
        <v>315</v>
      </c>
      <c r="B2" s="290"/>
      <c r="C2" s="290"/>
      <c r="D2" s="289" t="s">
        <v>316</v>
      </c>
      <c r="E2" s="290"/>
      <c r="F2" s="290"/>
      <c r="G2" s="290"/>
      <c r="H2" s="290"/>
      <c r="I2" s="290"/>
      <c r="J2" s="290"/>
      <c r="K2" s="290"/>
      <c r="L2" s="290"/>
      <c r="M2" s="290"/>
      <c r="N2" s="216"/>
      <c r="O2" s="218"/>
      <c r="P2" s="218"/>
      <c r="Q2" s="218"/>
      <c r="R2" s="218"/>
      <c r="S2" s="218"/>
      <c r="T2" s="218"/>
      <c r="U2" s="218"/>
      <c r="V2" s="218"/>
      <c r="W2" s="21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ht="21.0" customHeight="1">
      <c r="A3" s="219"/>
      <c r="B3" s="8"/>
      <c r="C3" s="8"/>
      <c r="D3" s="291" t="s">
        <v>317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t="22.5" customHeight="1">
      <c r="A4" s="292" t="s">
        <v>318</v>
      </c>
      <c r="B4" s="223"/>
      <c r="C4" s="223"/>
      <c r="D4" s="293" t="s">
        <v>197</v>
      </c>
      <c r="E4" s="293" t="s">
        <v>319</v>
      </c>
      <c r="F4" s="293" t="s">
        <v>320</v>
      </c>
      <c r="G4" s="238"/>
      <c r="H4" s="238"/>
      <c r="I4" s="293" t="s">
        <v>321</v>
      </c>
      <c r="J4" s="294"/>
      <c r="K4" s="234"/>
      <c r="L4" s="234"/>
      <c r="M4" s="234"/>
      <c r="N4" s="29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229" t="s">
        <v>323</v>
      </c>
      <c r="AF4" s="229" t="s">
        <v>324</v>
      </c>
      <c r="AG4" s="229" t="s">
        <v>325</v>
      </c>
      <c r="AH4" s="229" t="s">
        <v>326</v>
      </c>
    </row>
    <row r="5" ht="25.5" customHeight="1">
      <c r="A5" s="296" t="s">
        <v>327</v>
      </c>
      <c r="B5" s="297"/>
      <c r="C5" s="297"/>
      <c r="D5" s="298" t="s">
        <v>223</v>
      </c>
      <c r="E5" s="299" t="s">
        <v>223</v>
      </c>
      <c r="F5" s="300" t="s">
        <v>223</v>
      </c>
      <c r="G5" s="301"/>
      <c r="H5" s="301"/>
      <c r="I5" s="299" t="s">
        <v>223</v>
      </c>
      <c r="J5" s="302"/>
      <c r="K5" s="302"/>
      <c r="L5" s="302"/>
      <c r="M5" s="302"/>
      <c r="N5" s="3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229" t="s">
        <v>223</v>
      </c>
      <c r="AF5" s="229" t="s">
        <v>223</v>
      </c>
      <c r="AG5" s="229" t="s">
        <v>223</v>
      </c>
      <c r="AH5" s="229" t="s">
        <v>223</v>
      </c>
    </row>
    <row r="6" ht="22.5" customHeight="1">
      <c r="A6" s="303"/>
      <c r="B6" s="304"/>
      <c r="C6" s="304"/>
      <c r="D6" s="305" t="s">
        <v>328</v>
      </c>
      <c r="E6" s="306">
        <f>IF(OR($F$5="",$F$5="All"),COUNTIF($E$10:$E$69,"&lt;&gt;"),COUNTIFS($D$10:$D$69,$F$5,$E$10:$E$69,"&lt;&gt;"))</f>
        <v>13</v>
      </c>
      <c r="F6" s="305" t="s">
        <v>329</v>
      </c>
      <c r="G6" s="306" t="str">
        <f>IFERROR(__xludf.DUMMYFUNCTION("IF(OR($F$5="""",$F$5=""All""),"""",IFERROR(MAX(FILTER($P$10:$P$69,$D$10:$D$69=$F$5,$E$10:$E$69&lt;&gt;""""))+1,1))"),"")</f>
        <v/>
      </c>
      <c r="H6" s="305" t="s">
        <v>330</v>
      </c>
      <c r="I6" s="307" t="str">
        <f>IFERROR(__xludf.DUMMYFUNCTION("IF(OR($F$5="""",$F$5=""All""),"""",IFERROR(MAX(FILTER($S$10:$S$69,$D$10:$D$69=$F$5,$E$10:$E$69&lt;&gt;"""")),""""))"),"")</f>
        <v/>
      </c>
      <c r="J6" s="305" t="s">
        <v>331</v>
      </c>
      <c r="K6" s="304"/>
      <c r="L6" s="304"/>
      <c r="M6" s="304"/>
      <c r="N6" s="3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229" t="s">
        <v>173</v>
      </c>
      <c r="AF6" s="229" t="s">
        <v>25</v>
      </c>
      <c r="AG6" s="229" t="s">
        <v>333</v>
      </c>
      <c r="AH6" s="229" t="s">
        <v>334</v>
      </c>
    </row>
    <row r="7" ht="21.0" customHeight="1">
      <c r="A7" s="250"/>
      <c r="B7" s="304"/>
      <c r="C7" s="304"/>
      <c r="D7" s="308" t="s">
        <v>335</v>
      </c>
      <c r="K7" s="304"/>
      <c r="L7" s="304"/>
      <c r="M7" s="304"/>
      <c r="N7" s="81"/>
      <c r="O7" s="8"/>
      <c r="P7" s="8"/>
      <c r="Q7" s="8"/>
      <c r="R7" s="8"/>
      <c r="S7" s="8"/>
      <c r="T7" s="8"/>
      <c r="U7" s="8"/>
      <c r="V7" s="309" t="s">
        <v>336</v>
      </c>
      <c r="W7" s="310"/>
      <c r="X7" s="309" t="s">
        <v>337</v>
      </c>
      <c r="Y7" s="310"/>
      <c r="Z7" s="310"/>
      <c r="AA7" s="310"/>
      <c r="AB7" s="310"/>
      <c r="AC7" s="8"/>
      <c r="AD7" s="8"/>
      <c r="AE7" s="229" t="s">
        <v>116</v>
      </c>
      <c r="AF7" s="229" t="s">
        <v>14</v>
      </c>
      <c r="AG7" s="229" t="s">
        <v>338</v>
      </c>
      <c r="AH7" s="8"/>
    </row>
    <row r="8" ht="6.0" customHeight="1">
      <c r="A8" s="311"/>
      <c r="B8" s="304"/>
      <c r="C8" s="304"/>
      <c r="D8" s="304"/>
      <c r="E8" s="304"/>
      <c r="F8" s="304"/>
      <c r="G8" s="304"/>
      <c r="H8" s="304"/>
      <c r="I8" s="304"/>
      <c r="J8" s="304"/>
      <c r="K8" s="304"/>
      <c r="L8" s="304"/>
      <c r="M8" s="304"/>
      <c r="N8" s="3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29" t="s">
        <v>170</v>
      </c>
      <c r="AF8" s="229" t="s">
        <v>20</v>
      </c>
      <c r="AG8" s="229" t="s">
        <v>263</v>
      </c>
      <c r="AH8" s="8"/>
    </row>
    <row r="9" ht="27.0" customHeight="1">
      <c r="A9" s="312" t="s">
        <v>339</v>
      </c>
      <c r="B9" s="313" t="s">
        <v>340</v>
      </c>
      <c r="C9" s="313" t="s">
        <v>341</v>
      </c>
      <c r="D9" s="312" t="s">
        <v>281</v>
      </c>
      <c r="E9" s="312" t="s">
        <v>342</v>
      </c>
      <c r="F9" s="312" t="s">
        <v>343</v>
      </c>
      <c r="G9" s="312" t="s">
        <v>344</v>
      </c>
      <c r="H9" s="312" t="s">
        <v>345</v>
      </c>
      <c r="I9" s="312" t="s">
        <v>346</v>
      </c>
      <c r="J9" s="313" t="s">
        <v>347</v>
      </c>
      <c r="K9" s="313" t="s">
        <v>348</v>
      </c>
      <c r="L9" s="312" t="s">
        <v>349</v>
      </c>
      <c r="M9" s="314" t="s">
        <v>66</v>
      </c>
      <c r="N9" s="315" t="s">
        <v>350</v>
      </c>
      <c r="O9" s="316" t="s">
        <v>351</v>
      </c>
      <c r="P9" s="317" t="s">
        <v>352</v>
      </c>
      <c r="Q9" s="317" t="s">
        <v>353</v>
      </c>
      <c r="R9" s="317" t="s">
        <v>354</v>
      </c>
      <c r="S9" s="317" t="s">
        <v>355</v>
      </c>
      <c r="T9" s="317" t="s">
        <v>356</v>
      </c>
      <c r="U9" s="318" t="s">
        <v>74</v>
      </c>
      <c r="V9" s="319" t="s">
        <v>357</v>
      </c>
      <c r="W9" s="319" t="s">
        <v>358</v>
      </c>
      <c r="X9" s="319" t="s">
        <v>359</v>
      </c>
      <c r="Y9" s="319" t="s">
        <v>360</v>
      </c>
      <c r="Z9" s="319" t="s">
        <v>361</v>
      </c>
      <c r="AA9" s="319" t="s">
        <v>362</v>
      </c>
      <c r="AB9" s="319" t="s">
        <v>363</v>
      </c>
      <c r="AC9" s="319" t="s">
        <v>364</v>
      </c>
      <c r="AD9" s="319" t="s">
        <v>365</v>
      </c>
      <c r="AE9" s="320" t="s">
        <v>130</v>
      </c>
      <c r="AF9" s="320" t="s">
        <v>26</v>
      </c>
      <c r="AG9" s="320" t="s">
        <v>366</v>
      </c>
      <c r="AH9" s="320"/>
    </row>
    <row r="10" ht="15.75" customHeight="1">
      <c r="A10" s="197" t="str">
        <f t="shared" ref="A10:A69" si="1">IF(AND($D10&lt;&gt;"",$E10&lt;&gt;""),"☑","")</f>
        <v>☑</v>
      </c>
      <c r="B10" s="246" t="str">
        <f t="array" ref="B10">IF($D10="","",IF($X10&lt;&gt;"",$X10,IF(COUNTIF('Student Work'!$C$24:$C$223,$D10)&gt;0,XLOOKUP($D10,'Student Work'!$C$24:$C$223,'Student Work'!$B$24:$B$223,""),SWITCH(TRUE,COUNTIF('Strand Placement'!$B$21:$B$26,$D10)&gt;0,'Strand Placement'!$A$19,COUNTIF('Strand Placement'!$B$30:$B$35,$D10)&gt;0,'Strand Placement'!$A$28,COUNTIF('Strand Placement'!$B$39:$B$44,$D10)&gt;0,'Strand Placement'!$A$37,COUNTIF('Strand Placement'!$B$48:$B$53,$D10)&gt;0,'Strand Placement'!$A$46,COUNTIF('Strand Placement'!$B$57:$B$62,$D10)&gt;0,'Strand Placement'!$A$55,COUNTIF('Strand Placement'!$B$66:$B$71,$D10)&gt;0,'Strand Placement'!$A$64,COUNTIF('Strand Placement'!$B$75:$B$80,$D10)&gt;0,'Strand Placement'!$A$73,COUNTIF('Strand Placement'!$B$84:$B$89,$D10)&gt;0,'Strand Placement'!$A$82,""))))</f>
        <v>Reading Loop</v>
      </c>
      <c r="C10" s="246" t="str">
        <f t="array" ref="C10">IF($D10="","",IF($Y10&lt;&gt;"",$Y10,IF(COUNTIF('Student Work'!$C$24:$C$223,$D10)&gt;0,XLOOKUP($D10,'Student Work'!$C$24:$C$223,'Student Work'!$A$24:$A$223,""),LET(rowWho,XLOOKUP($D10,'Strand Placement'!$B$21:$B$89,'Strand Placement'!$C$21:$C$89,""),blockWho,SWITCH(TRUE,COUNTIF('Strand Placement'!$B$21:$B$26,$D10)&gt;0,'Strand Placement'!$C$6,COUNTIF('Strand Placement'!$B$30:$B$35,$D10)&gt;0,'Strand Placement'!$C$7,COUNTIF('Strand Placement'!$B$39:$B$44,$D10)&gt;0,'Strand Placement'!$C$8,COUNTIF('Strand Placement'!$B$48:$B$53,$D10)&gt;0,'Strand Placement'!$C$9,COUNTIF('Strand Placement'!$B$57:$B$62,$D10)&gt;0,'Strand Placement'!$C$10,COUNTIF('Strand Placement'!$B$66:$B$71,$D10)&gt;0,'Strand Placement'!$C$11,COUNTIF('Strand Placement'!$B$75:$B$80,$D10)&gt;0,'Strand Placement'!$C$12,COUNTIF('Strand Placement'!$B$84:$B$89,$D10)&gt;0,'Strand Placement'!$C$13,""),IF(rowWho&lt;&gt;"",rowWho,blockWho)))))</f>
        <v>Everyone</v>
      </c>
      <c r="D10" s="227" t="s">
        <v>248</v>
      </c>
      <c r="E10" s="227" t="s">
        <v>367</v>
      </c>
      <c r="F10" s="197" t="s">
        <v>101</v>
      </c>
      <c r="G10" s="197">
        <v>1.0</v>
      </c>
      <c r="H10" s="197">
        <v>28.0</v>
      </c>
      <c r="I10" s="197">
        <v>2.0</v>
      </c>
      <c r="J10" s="323">
        <v>46251.0</v>
      </c>
      <c r="K10" s="246" t="str">
        <f t="shared" ref="K10:K69" si="2">IF($D10="","",IF($Z10&lt;&gt;"",$Z10,$AC10))</f>
        <v>3x/week</v>
      </c>
      <c r="L10" s="197">
        <v>2.0</v>
      </c>
      <c r="M10" s="324" t="s">
        <v>368</v>
      </c>
      <c r="N10" s="8">
        <f t="shared" ref="N10:N69" si="3">IF(A10="☑",ROUNDUP((H10-G10+1)/I10,0),"")</f>
        <v>14</v>
      </c>
      <c r="O10" s="325" t="str">
        <f t="shared" ref="O10:O69" si="4">IF($D10="","",IF($AA10&lt;&gt;"",$AA10,$AD10))</f>
        <v>Everyone | All Together / Literature — Family Read-Aloud</v>
      </c>
      <c r="P10" s="326"/>
      <c r="Q10" s="327" t="str">
        <f t="shared" ref="Q10:Q69" si="5">IF(OR($D10="",$E10=""),"",IF(IFERROR(VALUE($P10),0)&gt;1,"After Previous in Resource Stream","Manual Start"))</f>
        <v>Manual Start</v>
      </c>
      <c r="R10" s="328">
        <f>IF(A10&lt;&gt;"☑","",IF(OR(Q10="",Q10="Manual Start"),J10,""))</f>
        <v>46251</v>
      </c>
      <c r="S10" s="329">
        <f>IFERROR(__xludf.DUMMYFUNCTION("IF(OR(A10&lt;&gt;""☑"",R10="""",N10=""""),"""",IFERROR(LET(st,R10,n,N10,pace,K10,gap,MAX(1,L10),calDates,'School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week"",10*(n-1),""Custom"",gap*(n-1),n-1),INDEX(eligibleDates,startPos+offset)),""""))"),46280.0)</f>
        <v>46280</v>
      </c>
      <c r="T10" s="330"/>
      <c r="U10" s="331" t="str">
        <f>IF(A10&lt;&gt;"☑","",IFS(D10="","Add strand",E10="","Add resource",AND(OR(Q10="",Q10="Manual Start"),J10=""),"Add start date",AND(OR(Q10="After Previous in Resource Stream",Q10="After Previous in Sequence"),O10=""),"Resource stream missing",OR(Q10="After Previous in Resource Stream",Q10="After Previous in Sequence"),"No earlier resource found in this strand. Use 1 if this is the first resource.",COUNTA(X10:AB10)&gt;0,"Override in use",TRUE,""))</f>
        <v/>
      </c>
      <c r="V10" s="332" t="str">
        <f>IF($D10="","",IF(COUNTIF('Student Work'!$C$24:$C$223,$D10)&gt;0,"Individual",SWITCH(TRUE,COUNTIF('Strand Placement'!$B$21:$B$26,$D10)&gt;0,'Strand Placement'!$D$6,COUNTIF('Strand Placement'!$B$30:$B$35,$D10)&gt;0,'Strand Placement'!$D$7,COUNTIF('Strand Placement'!$B$39:$B$44,$D10)&gt;0,'Strand Placement'!$D$8,COUNTIF('Strand Placement'!$B$48:$B$53,$D10)&gt;0,'Strand Placement'!$D$9,COUNTIF('Strand Placement'!$B$57:$B$62,$D10)&gt;0,'Strand Placement'!$D$10,COUNTIF('Strand Placement'!$B$66:$B$71,$D10)&gt;0,'Strand Placement'!$D$11,COUNTIF('Strand Placement'!$B$75:$B$80,$D10)&gt;0,'Strand Placement'!$D$12,COUNTIF('Strand Placement'!$B$84:$B$89,$D10)&gt;0,'Strand Placement'!$D$13,"")))</f>
        <v>Group</v>
      </c>
      <c r="W10" s="332" t="str">
        <f t="array" ref="W10">IF($D10="","",IF($AB10&lt;&gt;"",$AB10,IF(COUNTIF('Student Work'!$C$24:$C$223,$D10)&gt;0,XLOOKUP($D10,'Student Work'!$C$24:$C$223,'Student Work'!$D$24:$D$223,""),LET(rowRole,XLOOKUP($D10,'Strand Placement'!$B$21:$B$89,'Strand Placement'!$D$21:$D$89,""),blockRole,SWITCH(TRUE,COUNTIF('Strand Placement'!$B$21:$B$26,$D10)&gt;0,'Strand Placement'!$E$6,COUNTIF('Strand Placement'!$B$30:$B$35,$D10)&gt;0,'Strand Placement'!$E$7,COUNTIF('Strand Placement'!$B$39:$B$44,$D10)&gt;0,'Strand Placement'!$E$8,COUNTIF('Strand Placement'!$B$48:$B$53,$D10)&gt;0,'Strand Placement'!$E$9,COUNTIF('Strand Placement'!$B$57:$B$62,$D10)&gt;0,'Strand Placement'!$E$10,COUNTIF('Strand Placement'!$B$66:$B$71,$D10)&gt;0,'Strand Placement'!$E$11,COUNTIF('Strand Placement'!$B$75:$B$80,$D10)&gt;0,'Strand Placement'!$E$12,COUNTIF('Strand Placement'!$B$84:$B$89,$D10)&gt;0,'Strand Placement'!$E$13,""),IF(rowRole&lt;&gt;"",rowRole,blockRole)))))</f>
        <v>Mom-led</v>
      </c>
      <c r="X10" s="335"/>
      <c r="Y10" s="335"/>
      <c r="Z10" s="335"/>
      <c r="AA10" s="335"/>
      <c r="AB10" s="335"/>
      <c r="AC10" s="336" t="str">
        <f t="array" ref="AC10">IF($D10="","",IF(COUNTIF('Student Work'!$C$24:$C$223,$D10)&gt;0,XLOOKUP($D10,'Student Work'!$C$24:$C$223,'Student Work'!$E$24:$E$223,""),XLOOKUP($D10,'Strand Placement'!$B$21:$B$89,'Strand Placement'!$K$21:$K$89,"")))</f>
        <v>3x/week</v>
      </c>
      <c r="AD10" s="336" t="str">
        <f t="array" ref="AD10">IF($D10="","",IF(COUNTIF('Student Work'!$C$24:$C$223,$D10)&gt;0,XLOOKUP($D10,'Student Work'!$C$24:$C$223,'Student Work'!$H$24:$H$223,""),XLOOKUP($D10,'Strand Placement'!$B$21:$B$89,'Strand Placement'!$L$21:$L$89,"")))</f>
        <v>Everyone | All Together / Literature — Family Read-Aloud</v>
      </c>
      <c r="AE10" s="339" t="s">
        <v>104</v>
      </c>
      <c r="AF10" s="339" t="s">
        <v>19</v>
      </c>
      <c r="AG10" s="339" t="s">
        <v>374</v>
      </c>
      <c r="AH10" s="336"/>
    </row>
    <row r="11" ht="15.75" customHeight="1">
      <c r="A11" s="197" t="str">
        <f t="shared" si="1"/>
        <v>☑</v>
      </c>
      <c r="B11" s="246" t="str">
        <f t="array" ref="B11">IF($D11="","",IF($X11&lt;&gt;"",$X11,IF(COUNTIF('Student Work'!$C$24:$C$223,$D11)&gt;0,XLOOKUP($D11,'Student Work'!$C$24:$C$223,'Student Work'!$B$24:$B$223,""),SWITCH(TRUE,COUNTIF('Strand Placement'!$B$21:$B$26,$D11)&gt;0,'Strand Placement'!$A$19,COUNTIF('Strand Placement'!$B$30:$B$35,$D11)&gt;0,'Strand Placement'!$A$28,COUNTIF('Strand Placement'!$B$39:$B$44,$D11)&gt;0,'Strand Placement'!$A$37,COUNTIF('Strand Placement'!$B$48:$B$53,$D11)&gt;0,'Strand Placement'!$A$46,COUNTIF('Strand Placement'!$B$57:$B$62,$D11)&gt;0,'Strand Placement'!$A$55,COUNTIF('Strand Placement'!$B$66:$B$71,$D11)&gt;0,'Strand Placement'!$A$64,COUNTIF('Strand Placement'!$B$75:$B$80,$D11)&gt;0,'Strand Placement'!$A$73,COUNTIF('Strand Placement'!$B$84:$B$89,$D11)&gt;0,'Strand Placement'!$A$82,""))))</f>
        <v>Hands + Beauty Loop</v>
      </c>
      <c r="C11" s="246" t="str">
        <f t="array" ref="C11">IF($D11="","",IF($Y11&lt;&gt;"",$Y11,IF(COUNTIF('Student Work'!$C$24:$C$223,$D11)&gt;0,XLOOKUP($D11,'Student Work'!$C$24:$C$223,'Student Work'!$A$24:$A$223,""),LET(rowWho,XLOOKUP($D11,'Strand Placement'!$B$21:$B$89,'Strand Placement'!$C$21:$C$89,""),blockWho,SWITCH(TRUE,COUNTIF('Strand Placement'!$B$21:$B$26,$D11)&gt;0,'Strand Placement'!$C$6,COUNTIF('Strand Placement'!$B$30:$B$35,$D11)&gt;0,'Strand Placement'!$C$7,COUNTIF('Strand Placement'!$B$39:$B$44,$D11)&gt;0,'Strand Placement'!$C$8,COUNTIF('Strand Placement'!$B$48:$B$53,$D11)&gt;0,'Strand Placement'!$C$9,COUNTIF('Strand Placement'!$B$57:$B$62,$D11)&gt;0,'Strand Placement'!$C$10,COUNTIF('Strand Placement'!$B$66:$B$71,$D11)&gt;0,'Strand Placement'!$C$11,COUNTIF('Strand Placement'!$B$75:$B$80,$D11)&gt;0,'Strand Placement'!$C$12,COUNTIF('Strand Placement'!$B$84:$B$89,$D11)&gt;0,'Strand Placement'!$C$13,""),IF(rowWho&lt;&gt;"",rowWho,blockWho)))))</f>
        <v>Little Girls</v>
      </c>
      <c r="D11" s="227" t="s">
        <v>262</v>
      </c>
      <c r="E11" s="227" t="s">
        <v>378</v>
      </c>
      <c r="F11" s="197" t="s">
        <v>101</v>
      </c>
      <c r="G11" s="197">
        <v>1.0</v>
      </c>
      <c r="H11" s="197">
        <v>12.0</v>
      </c>
      <c r="I11" s="197">
        <v>1.0</v>
      </c>
      <c r="J11" s="323">
        <v>46251.0</v>
      </c>
      <c r="K11" s="246" t="str">
        <f t="shared" si="2"/>
        <v>1x/week</v>
      </c>
      <c r="L11" s="197">
        <v>7.0</v>
      </c>
      <c r="M11" s="324" t="s">
        <v>368</v>
      </c>
      <c r="N11" s="8">
        <f t="shared" si="3"/>
        <v>12</v>
      </c>
      <c r="O11" s="325" t="str">
        <f t="shared" si="4"/>
        <v>Little Girls | All Together / Science / Nature — Nature Walk</v>
      </c>
      <c r="P11" s="326"/>
      <c r="Q11" s="327" t="str">
        <f t="shared" si="5"/>
        <v>Manual Start</v>
      </c>
      <c r="R11" s="328">
        <f>IFERROR(__xludf.DUMMYFUNCTION("IF(A11&lt;&gt;""☑"","""",IF(OR(Q11="""",Q11=""Manual Start""),J11,IF(OR(Q11=""After Previous in Resource Stream"",Q11=""After Previous in Sequence""),IFERROR(LET(prevfinish,IF(P11&lt;&gt;"""",SUMIFS($S$10:S10,$O$10:O10,O11,$P$10:P10,P11-1),LOOKUP(2,1/($O$10:O10=O11),"&amp;"$S$10:S10)),IF(prevfinish=0,"""",MIN(FILTER('School Calendar'!$A$44:$A$408,('School Calendar'!$A$44:$A$408&gt;prevfinish)*('School Calendar'!$I$44:$I$408&gt;0))))),""""),J11)))"),46251.0)</f>
        <v>46251</v>
      </c>
      <c r="S11" s="329">
        <f>IFERROR(__xludf.DUMMYFUNCTION("IF(OR(A11&lt;&gt;""☑"",R11="""",N11=""""),"""",IFERROR(LET(st,R11,n,N11,pace,K11,gap,MAX(1,L11),calDates,'School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week"",10*(n-1),""Custom"",gap*(n-1),n-1),INDEX(eligibleDates,startPos+offset)),""""))"),46335.0)</f>
        <v>46335</v>
      </c>
      <c r="T11" s="330"/>
      <c r="U11" s="346" t="str">
        <f t="shared" ref="U11:U69" si="6">IF(A11&lt;&gt;"☑","",IFS(D11="","Add strand",E11="","Add resource",AND(OR(Q11="",Q11="Manual Start"),J11=""),"Add start date",AND(OR(Q11="After Previous in Resource Stream",Q11="After Previous in Sequence"),O11=""),"Resource stream missing",AND(OR(Q11="After Previous in Resource Stream",Q11="After Previous in Sequence"),IF(P11&lt;&gt;"",COUNTIFS($O$10:O10,O11,$P$10:P10,P11-1)=0,COUNTIF($O$10:O10,O11)=0)),"No earlier resource found in this strand. Use 1 if this is the first resource.",COUNTA(X11:AB11)&gt;0,"Override in use",TRUE,""))</f>
        <v/>
      </c>
      <c r="V11" s="332" t="str">
        <f>IF($D11="","",IF(COUNTIF('Student Work'!$C$24:$C$223,$D11)&gt;0,"Individual",SWITCH(TRUE,COUNTIF('Strand Placement'!$B$21:$B$26,$D11)&gt;0,'Strand Placement'!$D$6,COUNTIF('Strand Placement'!$B$30:$B$35,$D11)&gt;0,'Strand Placement'!$D$7,COUNTIF('Strand Placement'!$B$39:$B$44,$D11)&gt;0,'Strand Placement'!$D$8,COUNTIF('Strand Placement'!$B$48:$B$53,$D11)&gt;0,'Strand Placement'!$D$9,COUNTIF('Strand Placement'!$B$57:$B$62,$D11)&gt;0,'Strand Placement'!$D$10,COUNTIF('Strand Placement'!$B$66:$B$71,$D11)&gt;0,'Strand Placement'!$D$11,COUNTIF('Strand Placement'!$B$75:$B$80,$D11)&gt;0,'Strand Placement'!$D$12,COUNTIF('Strand Placement'!$B$84:$B$89,$D11)&gt;0,'Strand Placement'!$D$13,"")))</f>
        <v>Group</v>
      </c>
      <c r="W11" s="332" t="str">
        <f t="array" ref="W11">IF($D11="","",IF($AB11&lt;&gt;"",$AB11,IF(COUNTIF('Student Work'!$C$24:$C$223,$D11)&gt;0,XLOOKUP($D11,'Student Work'!$C$24:$C$223,'Student Work'!$D$24:$D$223,""),LET(rowRole,XLOOKUP($D11,'Strand Placement'!$B$21:$B$89,'Strand Placement'!$D$21:$D$89,""),blockRole,SWITCH(TRUE,COUNTIF('Strand Placement'!$B$21:$B$26,$D11)&gt;0,'Strand Placement'!$E$6,COUNTIF('Strand Placement'!$B$30:$B$35,$D11)&gt;0,'Strand Placement'!$E$7,COUNTIF('Strand Placement'!$B$39:$B$44,$D11)&gt;0,'Strand Placement'!$E$8,COUNTIF('Strand Placement'!$B$48:$B$53,$D11)&gt;0,'Strand Placement'!$E$9,COUNTIF('Strand Placement'!$B$57:$B$62,$D11)&gt;0,'Strand Placement'!$E$10,COUNTIF('Strand Placement'!$B$66:$B$71,$D11)&gt;0,'Strand Placement'!$E$11,COUNTIF('Strand Placement'!$B$75:$B$80,$D11)&gt;0,'Strand Placement'!$E$12,COUNTIF('Strand Placement'!$B$84:$B$89,$D11)&gt;0,'Strand Placement'!$E$13,""),IF(rowRole&lt;&gt;"",rowRole,blockRole)))))</f>
        <v>Mom-led</v>
      </c>
      <c r="X11" s="335"/>
      <c r="Y11" s="335"/>
      <c r="Z11" s="335"/>
      <c r="AA11" s="335"/>
      <c r="AB11" s="335"/>
      <c r="AC11" s="336" t="str">
        <f t="array" ref="AC11">IF($D11="","",IF(COUNTIF('Student Work'!$C$24:$C$223,$D11)&gt;0,XLOOKUP($D11,'Student Work'!$C$24:$C$223,'Student Work'!$E$24:$E$223,""),XLOOKUP($D11,'Strand Placement'!$B$21:$B$89,'Strand Placement'!$K$21:$K$89,"")))</f>
        <v>1x/week</v>
      </c>
      <c r="AD11" s="336" t="str">
        <f t="array" ref="AD11">IF($D11="","",IF(COUNTIF('Student Work'!$C$24:$C$223,$D11)&gt;0,XLOOKUP($D11,'Student Work'!$C$24:$C$223,'Student Work'!$H$24:$H$223,""),XLOOKUP($D11,'Strand Placement'!$B$21:$B$89,'Strand Placement'!$L$21:$L$89,"")))</f>
        <v>Little Girls | All Together / Science / Nature — Nature Walk</v>
      </c>
      <c r="AE11" s="339" t="s">
        <v>172</v>
      </c>
      <c r="AF11" s="339" t="s">
        <v>18</v>
      </c>
      <c r="AG11" s="339" t="s">
        <v>245</v>
      </c>
      <c r="AH11" s="336"/>
    </row>
    <row r="12" ht="15.75" customHeight="1">
      <c r="A12" s="197" t="str">
        <f t="shared" si="1"/>
        <v>☑</v>
      </c>
      <c r="B12" s="246" t="str">
        <f t="array" ref="B12">IF($D12="","",IF($X12&lt;&gt;"",$X12,IF(COUNTIF('Student Work'!$C$24:$C$223,$D12)&gt;0,XLOOKUP($D12,'Student Work'!$C$24:$C$223,'Student Work'!$B$24:$B$223,""),SWITCH(TRUE,COUNTIF('Strand Placement'!$B$21:$B$26,$D12)&gt;0,'Strand Placement'!$A$19,COUNTIF('Strand Placement'!$B$30:$B$35,$D12)&gt;0,'Strand Placement'!$A$28,COUNTIF('Strand Placement'!$B$39:$B$44,$D12)&gt;0,'Strand Placement'!$A$37,COUNTIF('Strand Placement'!$B$48:$B$53,$D12)&gt;0,'Strand Placement'!$A$46,COUNTIF('Strand Placement'!$B$57:$B$62,$D12)&gt;0,'Strand Placement'!$A$55,COUNTIF('Strand Placement'!$B$66:$B$71,$D12)&gt;0,'Strand Placement'!$A$64,COUNTIF('Strand Placement'!$B$75:$B$80,$D12)&gt;0,'Strand Placement'!$A$73,COUNTIF('Strand Placement'!$B$84:$B$89,$D12)&gt;0,'Strand Placement'!$A$82,""))))</f>
        <v>Outside / Co-op</v>
      </c>
      <c r="C12" s="246" t="str">
        <f t="array" ref="C12">IF($D12="","",IF($Y12&lt;&gt;"",$Y12,IF(COUNTIF('Student Work'!$C$24:$C$223,$D12)&gt;0,XLOOKUP($D12,'Student Work'!$C$24:$C$223,'Student Work'!$A$24:$A$223,""),LET(rowWho,XLOOKUP($D12,'Strand Placement'!$B$21:$B$89,'Strand Placement'!$C$21:$C$89,""),blockWho,SWITCH(TRUE,COUNTIF('Strand Placement'!$B$21:$B$26,$D12)&gt;0,'Strand Placement'!$C$6,COUNTIF('Strand Placement'!$B$30:$B$35,$D12)&gt;0,'Strand Placement'!$C$7,COUNTIF('Strand Placement'!$B$39:$B$44,$D12)&gt;0,'Strand Placement'!$C$8,COUNTIF('Strand Placement'!$B$48:$B$53,$D12)&gt;0,'Strand Placement'!$C$9,COUNTIF('Strand Placement'!$B$57:$B$62,$D12)&gt;0,'Strand Placement'!$C$10,COUNTIF('Strand Placement'!$B$66:$B$71,$D12)&gt;0,'Strand Placement'!$C$11,COUNTIF('Strand Placement'!$B$75:$B$80,$D12)&gt;0,'Strand Placement'!$C$12,COUNTIF('Strand Placement'!$B$84:$B$89,$D12)&gt;0,'Strand Placement'!$C$13,""),IF(rowWho&lt;&gt;"",rowWho,blockWho)))))</f>
        <v>Jeremiah</v>
      </c>
      <c r="D12" s="227" t="s">
        <v>277</v>
      </c>
      <c r="E12" s="227" t="s">
        <v>395</v>
      </c>
      <c r="F12" s="197" t="s">
        <v>113</v>
      </c>
      <c r="G12" s="197">
        <v>1.0</v>
      </c>
      <c r="H12" s="197">
        <v>20.0</v>
      </c>
      <c r="I12" s="197">
        <v>1.0</v>
      </c>
      <c r="J12" s="323">
        <v>46252.0</v>
      </c>
      <c r="K12" s="246" t="str">
        <f t="shared" si="2"/>
        <v>1x/week</v>
      </c>
      <c r="L12" s="197">
        <v>7.0</v>
      </c>
      <c r="M12" s="324" t="s">
        <v>368</v>
      </c>
      <c r="N12" s="8">
        <f t="shared" si="3"/>
        <v>20</v>
      </c>
      <c r="O12" s="325" t="str">
        <f t="shared" si="4"/>
        <v>Jeremiah | Form IV / Science / Nature — Science</v>
      </c>
      <c r="P12" s="326"/>
      <c r="Q12" s="327" t="str">
        <f t="shared" si="5"/>
        <v>Manual Start</v>
      </c>
      <c r="R12" s="328">
        <f>IFERROR(__xludf.DUMMYFUNCTION("IF(A12&lt;&gt;""☑"","""",IF(OR(Q12="""",Q12=""Manual Start""),J12,IF(OR(Q12=""After Previous in Resource Stream"",Q12=""After Previous in Sequence""),IFERROR(LET(prevfinish,IF(P12&lt;&gt;"""",SUMIFS($S$10:S11,$O$10:O11,O12,$P$10:P11,P12-1),LOOKUP(2,1/($O$10:O11=O12),"&amp;"$S$10:S11)),IF(prevfinish=0,"""",MIN(FILTER('School Calendar'!$A$44:$A$408,('School Calendar'!$A$44:$A$408&gt;prevfinish)*('School Calendar'!$I$44:$I$408&gt;0))))),""""),J12)))"),46252.0)</f>
        <v>46252</v>
      </c>
      <c r="S12" s="329">
        <f>IFERROR(__xludf.DUMMYFUNCTION("IF(OR(A12&lt;&gt;""☑"",R12="""",N12=""""),"""",IFERROR(LET(st,R12,n,N12,pace,K12,gap,MAX(1,L12),calDates,'School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week"",10*(n-1),""Custom"",gap*(n-1),n-1),INDEX(eligibleDates,startPos+offset)),""""))"),46392.0)</f>
        <v>46392</v>
      </c>
      <c r="T12" s="330"/>
      <c r="U12" s="346" t="str">
        <f t="shared" si="6"/>
        <v/>
      </c>
      <c r="V12" s="332" t="str">
        <f>IF($D12="","",IF(COUNTIF('Student Work'!$C$24:$C$223,$D12)&gt;0,"Individual",SWITCH(TRUE,COUNTIF('Strand Placement'!$B$21:$B$26,$D12)&gt;0,'Strand Placement'!$D$6,COUNTIF('Strand Placement'!$B$30:$B$35,$D12)&gt;0,'Strand Placement'!$D$7,COUNTIF('Strand Placement'!$B$39:$B$44,$D12)&gt;0,'Strand Placement'!$D$8,COUNTIF('Strand Placement'!$B$48:$B$53,$D12)&gt;0,'Strand Placement'!$D$9,COUNTIF('Strand Placement'!$B$57:$B$62,$D12)&gt;0,'Strand Placement'!$D$10,COUNTIF('Strand Placement'!$B$66:$B$71,$D12)&gt;0,'Strand Placement'!$D$11,COUNTIF('Strand Placement'!$B$75:$B$80,$D12)&gt;0,'Strand Placement'!$D$12,COUNTIF('Strand Placement'!$B$84:$B$89,$D12)&gt;0,'Strand Placement'!$D$13,"")))</f>
        <v>Outside / Co-op</v>
      </c>
      <c r="W12" s="332" t="str">
        <f t="array" ref="W12">IF($D12="","",IF($AB12&lt;&gt;"",$AB12,IF(COUNTIF('Student Work'!$C$24:$C$223,$D12)&gt;0,XLOOKUP($D12,'Student Work'!$C$24:$C$223,'Student Work'!$D$24:$D$223,""),LET(rowRole,XLOOKUP($D12,'Strand Placement'!$B$21:$B$89,'Strand Placement'!$D$21:$D$89,""),blockRole,SWITCH(TRUE,COUNTIF('Strand Placement'!$B$21:$B$26,$D12)&gt;0,'Strand Placement'!$E$6,COUNTIF('Strand Placement'!$B$30:$B$35,$D12)&gt;0,'Strand Placement'!$E$7,COUNTIF('Strand Placement'!$B$39:$B$44,$D12)&gt;0,'Strand Placement'!$E$8,COUNTIF('Strand Placement'!$B$48:$B$53,$D12)&gt;0,'Strand Placement'!$E$9,COUNTIF('Strand Placement'!$B$57:$B$62,$D12)&gt;0,'Strand Placement'!$E$10,COUNTIF('Strand Placement'!$B$66:$B$71,$D12)&gt;0,'Strand Placement'!$E$11,COUNTIF('Strand Placement'!$B$75:$B$80,$D12)&gt;0,'Strand Placement'!$E$12,COUNTIF('Strand Placement'!$B$84:$B$89,$D12)&gt;0,'Strand Placement'!$E$13,""),IF(rowRole&lt;&gt;"",rowRole,blockRole)))))</f>
        <v>Outside teacher</v>
      </c>
      <c r="X12" s="335"/>
      <c r="Y12" s="335"/>
      <c r="Z12" s="335"/>
      <c r="AA12" s="335"/>
      <c r="AB12" s="335"/>
      <c r="AC12" s="336" t="str">
        <f t="array" ref="AC12">IF($D12="","",IF(COUNTIF('Student Work'!$C$24:$C$223,$D12)&gt;0,XLOOKUP($D12,'Student Work'!$C$24:$C$223,'Student Work'!$E$24:$E$223,""),XLOOKUP($D12,'Strand Placement'!$B$21:$B$89,'Strand Placement'!$K$21:$K$89,"")))</f>
        <v>1x/week</v>
      </c>
      <c r="AD12" s="336" t="str">
        <f t="array" ref="AD12">IF($D12="","",IF(COUNTIF('Student Work'!$C$24:$C$223,$D12)&gt;0,XLOOKUP($D12,'Student Work'!$C$24:$C$223,'Student Work'!$H$24:$H$223,""),XLOOKUP($D12,'Strand Placement'!$B$21:$B$89,'Strand Placement'!$L$21:$L$89,"")))</f>
        <v>Jeremiah | Form IV / Science / Nature — Science</v>
      </c>
      <c r="AE12" s="339" t="s">
        <v>85</v>
      </c>
      <c r="AF12" s="339" t="s">
        <v>16</v>
      </c>
      <c r="AG12" s="339" t="s">
        <v>241</v>
      </c>
      <c r="AH12" s="336"/>
    </row>
    <row r="13" ht="15.75" customHeight="1">
      <c r="A13" s="197" t="str">
        <f t="shared" si="1"/>
        <v>☑</v>
      </c>
      <c r="B13" s="246" t="str">
        <f t="array" ref="B13">IF($D13="","",IF($X13&lt;&gt;"",$X13,IF(COUNTIF('Student Work'!$C$24:$C$223,$D13)&gt;0,XLOOKUP($D13,'Student Work'!$C$24:$C$223,'Student Work'!$B$24:$B$223,""),SWITCH(TRUE,COUNTIF('Strand Placement'!$B$21:$B$26,$D13)&gt;0,'Strand Placement'!$A$19,COUNTIF('Strand Placement'!$B$30:$B$35,$D13)&gt;0,'Strand Placement'!$A$28,COUNTIF('Strand Placement'!$B$39:$B$44,$D13)&gt;0,'Strand Placement'!$A$37,COUNTIF('Strand Placement'!$B$48:$B$53,$D13)&gt;0,'Strand Placement'!$A$46,COUNTIF('Strand Placement'!$B$57:$B$62,$D13)&gt;0,'Strand Placement'!$A$55,COUNTIF('Strand Placement'!$B$66:$B$71,$D13)&gt;0,'Strand Placement'!$A$64,COUNTIF('Strand Placement'!$B$75:$B$80,$D13)&gt;0,'Strand Placement'!$A$73,COUNTIF('Strand Placement'!$B$84:$B$89,$D13)&gt;0,'Strand Placement'!$A$82,""))))</f>
        <v>Reading Loop</v>
      </c>
      <c r="C13" s="246" t="str">
        <f t="array" ref="C13">IF($D13="","",IF($Y13&lt;&gt;"",$Y13,IF(COUNTIF('Student Work'!$C$24:$C$223,$D13)&gt;0,XLOOKUP($D13,'Student Work'!$C$24:$C$223,'Student Work'!$A$24:$A$223,""),LET(rowWho,XLOOKUP($D13,'Strand Placement'!$B$21:$B$89,'Strand Placement'!$C$21:$C$89,""),blockWho,SWITCH(TRUE,COUNTIF('Strand Placement'!$B$21:$B$26,$D13)&gt;0,'Strand Placement'!$C$6,COUNTIF('Strand Placement'!$B$30:$B$35,$D13)&gt;0,'Strand Placement'!$C$7,COUNTIF('Strand Placement'!$B$39:$B$44,$D13)&gt;0,'Strand Placement'!$C$8,COUNTIF('Strand Placement'!$B$48:$B$53,$D13)&gt;0,'Strand Placement'!$C$9,COUNTIF('Strand Placement'!$B$57:$B$62,$D13)&gt;0,'Strand Placement'!$C$10,COUNTIF('Strand Placement'!$B$66:$B$71,$D13)&gt;0,'Strand Placement'!$C$11,COUNTIF('Strand Placement'!$B$75:$B$80,$D13)&gt;0,'Strand Placement'!$C$12,COUNTIF('Strand Placement'!$B$84:$B$89,$D13)&gt;0,'Strand Placement'!$C$13,""),IF(rowWho&lt;&gt;"",rowWho,blockWho)))))</f>
        <v>Everyone</v>
      </c>
      <c r="D13" s="227" t="s">
        <v>253</v>
      </c>
      <c r="E13" s="227" t="s">
        <v>398</v>
      </c>
      <c r="F13" s="197" t="s">
        <v>126</v>
      </c>
      <c r="G13" s="197">
        <v>1.0</v>
      </c>
      <c r="H13" s="197">
        <v>211.0</v>
      </c>
      <c r="I13" s="197">
        <v>15.0</v>
      </c>
      <c r="J13" s="323">
        <v>46252.0</v>
      </c>
      <c r="K13" s="246" t="str">
        <f t="shared" si="2"/>
        <v>1x/week</v>
      </c>
      <c r="L13" s="197">
        <v>3.0</v>
      </c>
      <c r="M13" s="324" t="s">
        <v>368</v>
      </c>
      <c r="N13" s="8">
        <f t="shared" si="3"/>
        <v>15</v>
      </c>
      <c r="O13" s="325" t="str">
        <f t="shared" si="4"/>
        <v>Everyone | Form I / Literature — Tales / Fairy Tales / Myths</v>
      </c>
      <c r="P13" s="326"/>
      <c r="Q13" s="327" t="str">
        <f t="shared" si="5"/>
        <v>Manual Start</v>
      </c>
      <c r="R13" s="328">
        <f>IFERROR(__xludf.DUMMYFUNCTION("IF(A13&lt;&gt;""☑"","""",IF(OR(Q13="""",Q13=""Manual Start""),J13,IF(OR(Q13=""After Previous in Resource Stream"",Q13=""After Previous in Sequence""),IFERROR(LET(prevfinish,IF(P13&lt;&gt;"""",SUMIFS($S$10:S12,$O$10:O12,O13,$P$10:P12,P13-1),LOOKUP(2,1/($O$10:O12=O13),"&amp;"$S$10:S12)),IF(prevfinish=0,"""",MIN(FILTER('School Calendar'!$A$44:$A$408,('School Calendar'!$A$44:$A$408&gt;prevfinish)*('School Calendar'!$I$44:$I$408&gt;0))))),""""),J13)))"),46252.0)</f>
        <v>46252</v>
      </c>
      <c r="S13" s="329">
        <f>IFERROR(__xludf.DUMMYFUNCTION("IF(OR(A13&lt;&gt;""☑"",R13="""",N13=""""),"""",IFERROR(LET(st,R13,n,N13,pace,K13,gap,MAX(1,L13),calDates,'School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week"",10*(n-1),""Custom"",gap*(n-1),n-1),INDEX(eligibleDates,startPos+offset)),""""))"),46357.0)</f>
        <v>46357</v>
      </c>
      <c r="T13" s="330"/>
      <c r="U13" s="346" t="str">
        <f t="shared" si="6"/>
        <v/>
      </c>
      <c r="V13" s="332" t="str">
        <f>IF($D13="","",IF(COUNTIF('Student Work'!$C$24:$C$223,$D13)&gt;0,"Individual",SWITCH(TRUE,COUNTIF('Strand Placement'!$B$21:$B$26,$D13)&gt;0,'Strand Placement'!$D$6,COUNTIF('Strand Placement'!$B$30:$B$35,$D13)&gt;0,'Strand Placement'!$D$7,COUNTIF('Strand Placement'!$B$39:$B$44,$D13)&gt;0,'Strand Placement'!$D$8,COUNTIF('Strand Placement'!$B$48:$B$53,$D13)&gt;0,'Strand Placement'!$D$9,COUNTIF('Strand Placement'!$B$57:$B$62,$D13)&gt;0,'Strand Placement'!$D$10,COUNTIF('Strand Placement'!$B$66:$B$71,$D13)&gt;0,'Strand Placement'!$D$11,COUNTIF('Strand Placement'!$B$75:$B$80,$D13)&gt;0,'Strand Placement'!$D$12,COUNTIF('Strand Placement'!$B$84:$B$89,$D13)&gt;0,'Strand Placement'!$D$13,"")))</f>
        <v>Group</v>
      </c>
      <c r="W13" s="332" t="str">
        <f t="array" ref="W13">IF($D13="","",IF($AB13&lt;&gt;"",$AB13,IF(COUNTIF('Student Work'!$C$24:$C$223,$D13)&gt;0,XLOOKUP($D13,'Student Work'!$C$24:$C$223,'Student Work'!$D$24:$D$223,""),LET(rowRole,XLOOKUP($D13,'Strand Placement'!$B$21:$B$89,'Strand Placement'!$D$21:$D$89,""),blockRole,SWITCH(TRUE,COUNTIF('Strand Placement'!$B$21:$B$26,$D13)&gt;0,'Strand Placement'!$E$6,COUNTIF('Strand Placement'!$B$30:$B$35,$D13)&gt;0,'Strand Placement'!$E$7,COUNTIF('Strand Placement'!$B$39:$B$44,$D13)&gt;0,'Strand Placement'!$E$8,COUNTIF('Strand Placement'!$B$48:$B$53,$D13)&gt;0,'Strand Placement'!$E$9,COUNTIF('Strand Placement'!$B$57:$B$62,$D13)&gt;0,'Strand Placement'!$E$10,COUNTIF('Strand Placement'!$B$66:$B$71,$D13)&gt;0,'Strand Placement'!$E$11,COUNTIF('Strand Placement'!$B$75:$B$80,$D13)&gt;0,'Strand Placement'!$E$12,COUNTIF('Strand Placement'!$B$84:$B$89,$D13)&gt;0,'Strand Placement'!$E$13,""),IF(rowRole&lt;&gt;"",rowRole,blockRole)))))</f>
        <v>Mom-led</v>
      </c>
      <c r="X13" s="335"/>
      <c r="Y13" s="335"/>
      <c r="Z13" s="335"/>
      <c r="AA13" s="335"/>
      <c r="AB13" s="335"/>
      <c r="AC13" s="336" t="str">
        <f t="array" ref="AC13">IF($D13="","",IF(COUNTIF('Student Work'!$C$24:$C$223,$D13)&gt;0,XLOOKUP($D13,'Student Work'!$C$24:$C$223,'Student Work'!$E$24:$E$223,""),XLOOKUP($D13,'Strand Placement'!$B$21:$B$89,'Strand Placement'!$K$21:$K$89,"")))</f>
        <v>1x/week</v>
      </c>
      <c r="AD13" s="336" t="str">
        <f t="array" ref="AD13">IF($D13="","",IF(COUNTIF('Student Work'!$C$24:$C$223,$D13)&gt;0,XLOOKUP($D13,'Student Work'!$C$24:$C$223,'Student Work'!$H$24:$H$223,""),XLOOKUP($D13,'Strand Placement'!$B$21:$B$89,'Strand Placement'!$L$21:$L$89,"")))</f>
        <v>Everyone | Form I / Literature — Tales / Fairy Tales / Myths</v>
      </c>
      <c r="AE13" s="339" t="s">
        <v>174</v>
      </c>
      <c r="AF13" s="339" t="s">
        <v>17</v>
      </c>
      <c r="AG13" s="339" t="s">
        <v>246</v>
      </c>
      <c r="AH13" s="336"/>
    </row>
    <row r="14" ht="15.75" customHeight="1">
      <c r="A14" s="197" t="str">
        <f t="shared" si="1"/>
        <v>☑</v>
      </c>
      <c r="B14" s="246" t="str">
        <f t="array" ref="B14">IF($D14="","",IF($X14&lt;&gt;"",$X14,IF(COUNTIF('Student Work'!$C$24:$C$223,$D14)&gt;0,XLOOKUP($D14,'Student Work'!$C$24:$C$223,'Student Work'!$B$24:$B$223,""),SWITCH(TRUE,COUNTIF('Strand Placement'!$B$21:$B$26,$D14)&gt;0,'Strand Placement'!$A$19,COUNTIF('Strand Placement'!$B$30:$B$35,$D14)&gt;0,'Strand Placement'!$A$28,COUNTIF('Strand Placement'!$B$39:$B$44,$D14)&gt;0,'Strand Placement'!$A$37,COUNTIF('Strand Placement'!$B$48:$B$53,$D14)&gt;0,'Strand Placement'!$A$46,COUNTIF('Strand Placement'!$B$57:$B$62,$D14)&gt;0,'Strand Placement'!$A$55,COUNTIF('Strand Placement'!$B$66:$B$71,$D14)&gt;0,'Strand Placement'!$A$64,COUNTIF('Strand Placement'!$B$75:$B$80,$D14)&gt;0,'Strand Placement'!$A$73,COUNTIF('Strand Placement'!$B$84:$B$89,$D14)&gt;0,'Strand Placement'!$A$82,""))))</f>
        <v>Faith</v>
      </c>
      <c r="C14" s="246" t="str">
        <f t="array" ref="C14">IF($D14="","",IF($Y14&lt;&gt;"",$Y14,IF(COUNTIF('Student Work'!$C$24:$C$223,$D14)&gt;0,XLOOKUP($D14,'Student Work'!$C$24:$C$223,'Student Work'!$A$24:$A$223,""),LET(rowWho,XLOOKUP($D14,'Strand Placement'!$B$21:$B$89,'Strand Placement'!$C$21:$C$89,""),blockWho,SWITCH(TRUE,COUNTIF('Strand Placement'!$B$21:$B$26,$D14)&gt;0,'Strand Placement'!$C$6,COUNTIF('Strand Placement'!$B$30:$B$35,$D14)&gt;0,'Strand Placement'!$C$7,COUNTIF('Strand Placement'!$B$39:$B$44,$D14)&gt;0,'Strand Placement'!$C$8,COUNTIF('Strand Placement'!$B$48:$B$53,$D14)&gt;0,'Strand Placement'!$C$9,COUNTIF('Strand Placement'!$B$57:$B$62,$D14)&gt;0,'Strand Placement'!$C$10,COUNTIF('Strand Placement'!$B$66:$B$71,$D14)&gt;0,'Strand Placement'!$C$11,COUNTIF('Strand Placement'!$B$75:$B$80,$D14)&gt;0,'Strand Placement'!$C$12,COUNTIF('Strand Placement'!$B$84:$B$89,$D14)&gt;0,'Strand Placement'!$C$13,""),IF(rowWho&lt;&gt;"",rowWho,blockWho)))))</f>
        <v>Everyone</v>
      </c>
      <c r="D14" s="210" t="s">
        <v>244</v>
      </c>
      <c r="E14" s="210" t="s">
        <v>399</v>
      </c>
      <c r="F14" s="246" t="s">
        <v>135</v>
      </c>
      <c r="G14" s="246">
        <v>1.0</v>
      </c>
      <c r="H14" s="246">
        <v>24.0</v>
      </c>
      <c r="I14" s="246">
        <v>1.0</v>
      </c>
      <c r="J14" s="323">
        <v>46252.0</v>
      </c>
      <c r="K14" s="246" t="str">
        <f t="shared" si="2"/>
        <v>1x/week</v>
      </c>
      <c r="L14" s="197">
        <v>3.0</v>
      </c>
      <c r="M14" s="324"/>
      <c r="N14" s="8">
        <f t="shared" si="3"/>
        <v>24</v>
      </c>
      <c r="O14" s="325" t="str">
        <f t="shared" si="4"/>
        <v>Everyone | All Together / Bible — Scripture Memory</v>
      </c>
      <c r="P14" s="326"/>
      <c r="Q14" s="327" t="str">
        <f t="shared" si="5"/>
        <v>Manual Start</v>
      </c>
      <c r="R14" s="328">
        <f>IFERROR(__xludf.DUMMYFUNCTION("IF(A14&lt;&gt;""☑"","""",IF(OR(Q14="""",Q14=""Manual Start""),J14,IF(OR(Q14=""After Previous in Resource Stream"",Q14=""After Previous in Sequence""),IFERROR(LET(prevfinish,IF(P14&lt;&gt;"""",SUMIFS($S$10:S13,$O$10:O13,O14,$P$10:P13,P14-1),LOOKUP(2,1/($O$10:O13=O14),"&amp;"$S$10:S13)),IF(prevfinish=0,"""",MIN(FILTER('School Calendar'!$A$44:$A$408,('School Calendar'!$A$44:$A$408&gt;prevfinish)*('School Calendar'!$I$44:$I$408&gt;0))))),""""),J14)))"),46252.0)</f>
        <v>46252</v>
      </c>
      <c r="S14" s="329">
        <f>IFERROR(__xludf.DUMMYFUNCTION("IF(OR(A14&lt;&gt;""☑"",R14="""",N14=""""),"""",IFERROR(LET(st,R14,n,N14,pace,K14,gap,MAX(1,L14),calDates,'School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week"",10*(n-1),""Custom"",gap*(n-1),n-1),INDEX(eligibleDates,startPos+offset)),""""))"),46427.0)</f>
        <v>46427</v>
      </c>
      <c r="T14" s="330"/>
      <c r="U14" s="346" t="str">
        <f t="shared" si="6"/>
        <v/>
      </c>
      <c r="V14" s="332" t="str">
        <f>IF($D14="","",IF(COUNTIF('Student Work'!$C$24:$C$223,$D14)&gt;0,"Individual",SWITCH(TRUE,COUNTIF('Strand Placement'!$B$21:$B$26,$D14)&gt;0,'Strand Placement'!$D$6,COUNTIF('Strand Placement'!$B$30:$B$35,$D14)&gt;0,'Strand Placement'!$D$7,COUNTIF('Strand Placement'!$B$39:$B$44,$D14)&gt;0,'Strand Placement'!$D$8,COUNTIF('Strand Placement'!$B$48:$B$53,$D14)&gt;0,'Strand Placement'!$D$9,COUNTIF('Strand Placement'!$B$57:$B$62,$D14)&gt;0,'Strand Placement'!$D$10,COUNTIF('Strand Placement'!$B$66:$B$71,$D14)&gt;0,'Strand Placement'!$D$11,COUNTIF('Strand Placement'!$B$75:$B$80,$D14)&gt;0,'Strand Placement'!$D$12,COUNTIF('Strand Placement'!$B$84:$B$89,$D14)&gt;0,'Strand Placement'!$D$13,"")))</f>
        <v>Group</v>
      </c>
      <c r="W14" s="332" t="str">
        <f t="array" ref="W14">IF($D14="","",IF($AB14&lt;&gt;"",$AB14,IF(COUNTIF('Student Work'!$C$24:$C$223,$D14)&gt;0,XLOOKUP($D14,'Student Work'!$C$24:$C$223,'Student Work'!$D$24:$D$223,""),LET(rowRole,XLOOKUP($D14,'Strand Placement'!$B$21:$B$89,'Strand Placement'!$D$21:$D$89,""),blockRole,SWITCH(TRUE,COUNTIF('Strand Placement'!$B$21:$B$26,$D14)&gt;0,'Strand Placement'!$E$6,COUNTIF('Strand Placement'!$B$30:$B$35,$D14)&gt;0,'Strand Placement'!$E$7,COUNTIF('Strand Placement'!$B$39:$B$44,$D14)&gt;0,'Strand Placement'!$E$8,COUNTIF('Strand Placement'!$B$48:$B$53,$D14)&gt;0,'Strand Placement'!$E$9,COUNTIF('Strand Placement'!$B$57:$B$62,$D14)&gt;0,'Strand Placement'!$E$10,COUNTIF('Strand Placement'!$B$66:$B$71,$D14)&gt;0,'Strand Placement'!$E$11,COUNTIF('Strand Placement'!$B$75:$B$80,$D14)&gt;0,'Strand Placement'!$E$12,COUNTIF('Strand Placement'!$B$84:$B$89,$D14)&gt;0,'Strand Placement'!$E$13,""),IF(rowRole&lt;&gt;"",rowRole,blockRole)))))</f>
        <v>Mom-led</v>
      </c>
      <c r="X14" s="335"/>
      <c r="Y14" s="335"/>
      <c r="Z14" s="335"/>
      <c r="AA14" s="335"/>
      <c r="AB14" s="335"/>
      <c r="AC14" s="336" t="str">
        <f t="array" ref="AC14">IF($D14="","",IF(COUNTIF('Student Work'!$C$24:$C$223,$D14)&gt;0,XLOOKUP($D14,'Student Work'!$C$24:$C$223,'Student Work'!$E$24:$E$223,""),XLOOKUP($D14,'Strand Placement'!$B$21:$B$89,'Strand Placement'!$K$21:$K$89,"")))</f>
        <v>1x/week</v>
      </c>
      <c r="AD14" s="336" t="str">
        <f t="array" ref="AD14">IF($D14="","",IF(COUNTIF('Student Work'!$C$24:$C$223,$D14)&gt;0,XLOOKUP($D14,'Student Work'!$C$24:$C$223,'Student Work'!$H$24:$H$223,""),XLOOKUP($D14,'Strand Placement'!$B$21:$B$89,'Strand Placement'!$L$21:$L$89,"")))</f>
        <v>Everyone | All Together / Bible — Scripture Memory</v>
      </c>
      <c r="AE14" s="336"/>
      <c r="AF14" s="339" t="s">
        <v>24</v>
      </c>
      <c r="AG14" s="339" t="s">
        <v>244</v>
      </c>
      <c r="AH14" s="336"/>
    </row>
    <row r="15" ht="15.75" customHeight="1">
      <c r="A15" s="197" t="str">
        <f t="shared" si="1"/>
        <v>☑</v>
      </c>
      <c r="B15" s="246" t="str">
        <f t="array" ref="B15">IF($D15="","",IF($X15&lt;&gt;"",$X15,IF(COUNTIF('Student Work'!$C$24:$C$223,$D15)&gt;0,XLOOKUP($D15,'Student Work'!$C$24:$C$223,'Student Work'!$B$24:$B$223,""),SWITCH(TRUE,COUNTIF('Strand Placement'!$B$21:$B$26,$D15)&gt;0,'Strand Placement'!$A$19,COUNTIF('Strand Placement'!$B$30:$B$35,$D15)&gt;0,'Strand Placement'!$A$28,COUNTIF('Strand Placement'!$B$39:$B$44,$D15)&gt;0,'Strand Placement'!$A$37,COUNTIF('Strand Placement'!$B$48:$B$53,$D15)&gt;0,'Strand Placement'!$A$46,COUNTIF('Strand Placement'!$B$57:$B$62,$D15)&gt;0,'Strand Placement'!$A$55,COUNTIF('Strand Placement'!$B$66:$B$71,$D15)&gt;0,'Strand Placement'!$A$64,COUNTIF('Strand Placement'!$B$75:$B$80,$D15)&gt;0,'Strand Placement'!$A$73,COUNTIF('Strand Placement'!$B$84:$B$89,$D15)&gt;0,'Strand Placement'!$A$82,""))))</f>
        <v/>
      </c>
      <c r="C15" s="246" t="str">
        <f t="array" ref="C15">IF($D15="","",IF($Y15&lt;&gt;"",$Y15,IF(COUNTIF('Student Work'!$C$24:$C$223,$D15)&gt;0,XLOOKUP($D15,'Student Work'!$C$24:$C$223,'Student Work'!$A$24:$A$223,""),LET(rowWho,XLOOKUP($D15,'Strand Placement'!$B$21:$B$89,'Strand Placement'!$C$21:$C$89,""),blockWho,SWITCH(TRUE,COUNTIF('Strand Placement'!$B$21:$B$26,$D15)&gt;0,'Strand Placement'!$C$6,COUNTIF('Strand Placement'!$B$30:$B$35,$D15)&gt;0,'Strand Placement'!$C$7,COUNTIF('Strand Placement'!$B$39:$B$44,$D15)&gt;0,'Strand Placement'!$C$8,COUNTIF('Strand Placement'!$B$48:$B$53,$D15)&gt;0,'Strand Placement'!$C$9,COUNTIF('Strand Placement'!$B$57:$B$62,$D15)&gt;0,'Strand Placement'!$C$10,COUNTIF('Strand Placement'!$B$66:$B$71,$D15)&gt;0,'Strand Placement'!$C$11,COUNTIF('Strand Placement'!$B$75:$B$80,$D15)&gt;0,'Strand Placement'!$C$12,COUNTIF('Strand Placement'!$B$84:$B$89,$D15)&gt;0,'Strand Placement'!$C$13,""),IF(rowWho&lt;&gt;"",rowWho,blockWho)))))</f>
        <v/>
      </c>
      <c r="D15" s="210" t="s">
        <v>402</v>
      </c>
      <c r="E15" s="210" t="s">
        <v>403</v>
      </c>
      <c r="F15" s="197" t="s">
        <v>101</v>
      </c>
      <c r="G15" s="246">
        <v>1.0</v>
      </c>
      <c r="H15" s="246">
        <v>17.0</v>
      </c>
      <c r="I15" s="246">
        <v>2.0</v>
      </c>
      <c r="J15" s="323">
        <v>46252.0</v>
      </c>
      <c r="K15" s="246" t="str">
        <f t="shared" si="2"/>
        <v/>
      </c>
      <c r="L15" s="197">
        <v>3.0</v>
      </c>
      <c r="M15" s="324"/>
      <c r="N15" s="8">
        <f t="shared" si="3"/>
        <v>9</v>
      </c>
      <c r="O15" s="325" t="str">
        <f t="shared" si="4"/>
        <v/>
      </c>
      <c r="P15" s="326"/>
      <c r="Q15" s="327" t="str">
        <f t="shared" si="5"/>
        <v>Manual Start</v>
      </c>
      <c r="R15" s="328">
        <f>IFERROR(__xludf.DUMMYFUNCTION("IF(A15&lt;&gt;""☑"","""",IF(OR(Q15="""",Q15=""Manual Start""),J15,IF(OR(Q15=""After Previous in Resource Stream"",Q15=""After Previous in Sequence""),IFERROR(LET(prevfinish,IF(P15&lt;&gt;"""",SUMIFS($S$10:S14,$O$10:O14,O15,$P$10:P14,P15-1),LOOKUP(2,1/($O$10:O14=O15),"&amp;"$S$10:S14)),IF(prevfinish=0,"""",MIN(FILTER('School Calendar'!$A$44:$A$408,('School Calendar'!$A$44:$A$408&gt;prevfinish)*('School Calendar'!$I$44:$I$408&gt;0))))),""""),J15)))"),46252.0)</f>
        <v>46252</v>
      </c>
      <c r="S15" s="329">
        <f>IFERROR(__xludf.DUMMYFUNCTION("IF(OR(A15&lt;&gt;""☑"",R15="""",N15=""""),"""",IFERROR(LET(st,R15,n,N15,pace,K15,gap,MAX(1,L15),calDates,'School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week"",10*(n-1),""Custom"",gap*(n-1),n-1),INDEX(eligibleDates,startPos+offset)),""""))"),46262.0)</f>
        <v>46262</v>
      </c>
      <c r="T15" s="330"/>
      <c r="U15" s="346" t="str">
        <f t="shared" si="6"/>
        <v/>
      </c>
      <c r="V15" s="332" t="str">
        <f>IF($D15="","",IF(COUNTIF('Student Work'!$C$24:$C$223,$D15)&gt;0,"Individual",SWITCH(TRUE,COUNTIF('Strand Placement'!$B$21:$B$26,$D15)&gt;0,'Strand Placement'!$D$6,COUNTIF('Strand Placement'!$B$30:$B$35,$D15)&gt;0,'Strand Placement'!$D$7,COUNTIF('Strand Placement'!$B$39:$B$44,$D15)&gt;0,'Strand Placement'!$D$8,COUNTIF('Strand Placement'!$B$48:$B$53,$D15)&gt;0,'Strand Placement'!$D$9,COUNTIF('Strand Placement'!$B$57:$B$62,$D15)&gt;0,'Strand Placement'!$D$10,COUNTIF('Strand Placement'!$B$66:$B$71,$D15)&gt;0,'Strand Placement'!$D$11,COUNTIF('Strand Placement'!$B$75:$B$80,$D15)&gt;0,'Strand Placement'!$D$12,COUNTIF('Strand Placement'!$B$84:$B$89,$D15)&gt;0,'Strand Placement'!$D$13,"")))</f>
        <v/>
      </c>
      <c r="W15" s="332" t="str">
        <f t="array" ref="W15">IF($D15="","",IF($AB15&lt;&gt;"",$AB15,IF(COUNTIF('Student Work'!$C$24:$C$223,$D15)&gt;0,XLOOKUP($D15,'Student Work'!$C$24:$C$223,'Student Work'!$D$24:$D$223,""),LET(rowRole,XLOOKUP($D15,'Strand Placement'!$B$21:$B$89,'Strand Placement'!$D$21:$D$89,""),blockRole,SWITCH(TRUE,COUNTIF('Strand Placement'!$B$21:$B$26,$D15)&gt;0,'Strand Placement'!$E$6,COUNTIF('Strand Placement'!$B$30:$B$35,$D15)&gt;0,'Strand Placement'!$E$7,COUNTIF('Strand Placement'!$B$39:$B$44,$D15)&gt;0,'Strand Placement'!$E$8,COUNTIF('Strand Placement'!$B$48:$B$53,$D15)&gt;0,'Strand Placement'!$E$9,COUNTIF('Strand Placement'!$B$57:$B$62,$D15)&gt;0,'Strand Placement'!$E$10,COUNTIF('Strand Placement'!$B$66:$B$71,$D15)&gt;0,'Strand Placement'!$E$11,COUNTIF('Strand Placement'!$B$75:$B$80,$D15)&gt;0,'Strand Placement'!$E$12,COUNTIF('Strand Placement'!$B$84:$B$89,$D15)&gt;0,'Strand Placement'!$E$13,""),IF(rowRole&lt;&gt;"",rowRole,blockRole)))))</f>
        <v/>
      </c>
      <c r="X15" s="335"/>
      <c r="Y15" s="335"/>
      <c r="Z15" s="335"/>
      <c r="AA15" s="335"/>
      <c r="AB15" s="335"/>
      <c r="AC15" s="336" t="str">
        <f t="array" ref="AC15">IF($D15="","",IF(COUNTIF('Student Work'!$C$24:$C$223,$D15)&gt;0,XLOOKUP($D15,'Student Work'!$C$24:$C$223,'Student Work'!$E$24:$E$223,""),XLOOKUP($D15,'Strand Placement'!$B$21:$B$89,'Strand Placement'!$K$21:$K$89,"")))</f>
        <v/>
      </c>
      <c r="AD15" s="336" t="str">
        <f t="array" ref="AD15">IF($D15="","",IF(COUNTIF('Student Work'!$C$24:$C$223,$D15)&gt;0,XLOOKUP($D15,'Student Work'!$C$24:$C$223,'Student Work'!$H$24:$H$223,""),XLOOKUP($D15,'Strand Placement'!$B$21:$B$89,'Strand Placement'!$L$21:$L$89,"")))</f>
        <v/>
      </c>
      <c r="AE15" s="336"/>
      <c r="AF15" s="339" t="s">
        <v>21</v>
      </c>
      <c r="AG15" s="339" t="s">
        <v>259</v>
      </c>
      <c r="AH15" s="336"/>
    </row>
    <row r="16" ht="15.75" customHeight="1">
      <c r="A16" s="197" t="str">
        <f t="shared" si="1"/>
        <v>☑</v>
      </c>
      <c r="B16" s="246" t="str">
        <f t="array" ref="B16">IF($D16="","",IF($X16&lt;&gt;"",$X16,IF(COUNTIF('Student Work'!$C$24:$C$223,$D16)&gt;0,XLOOKUP($D16,'Student Work'!$C$24:$C$223,'Student Work'!$B$24:$B$223,""),SWITCH(TRUE,COUNTIF('Strand Placement'!$B$21:$B$26,$D16)&gt;0,'Strand Placement'!$A$19,COUNTIF('Strand Placement'!$B$30:$B$35,$D16)&gt;0,'Strand Placement'!$A$28,COUNTIF('Strand Placement'!$B$39:$B$44,$D16)&gt;0,'Strand Placement'!$A$37,COUNTIF('Strand Placement'!$B$48:$B$53,$D16)&gt;0,'Strand Placement'!$A$46,COUNTIF('Strand Placement'!$B$57:$B$62,$D16)&gt;0,'Strand Placement'!$A$55,COUNTIF('Strand Placement'!$B$66:$B$71,$D16)&gt;0,'Strand Placement'!$A$64,COUNTIF('Strand Placement'!$B$75:$B$80,$D16)&gt;0,'Strand Placement'!$A$73,COUNTIF('Strand Placement'!$B$84:$B$89,$D16)&gt;0,'Strand Placement'!$A$82,""))))</f>
        <v>Reading Loop</v>
      </c>
      <c r="C16" s="246" t="str">
        <f t="array" ref="C16">IF($D16="","",IF($Y16&lt;&gt;"",$Y16,IF(COUNTIF('Student Work'!$C$24:$C$223,$D16)&gt;0,XLOOKUP($D16,'Student Work'!$C$24:$C$223,'Student Work'!$A$24:$A$223,""),LET(rowWho,XLOOKUP($D16,'Strand Placement'!$B$21:$B$89,'Strand Placement'!$C$21:$C$89,""),blockWho,SWITCH(TRUE,COUNTIF('Strand Placement'!$B$21:$B$26,$D16)&gt;0,'Strand Placement'!$C$6,COUNTIF('Strand Placement'!$B$30:$B$35,$D16)&gt;0,'Strand Placement'!$C$7,COUNTIF('Strand Placement'!$B$39:$B$44,$D16)&gt;0,'Strand Placement'!$C$8,COUNTIF('Strand Placement'!$B$48:$B$53,$D16)&gt;0,'Strand Placement'!$C$9,COUNTIF('Strand Placement'!$B$57:$B$62,$D16)&gt;0,'Strand Placement'!$C$10,COUNTIF('Strand Placement'!$B$66:$B$71,$D16)&gt;0,'Strand Placement'!$C$11,COUNTIF('Strand Placement'!$B$75:$B$80,$D16)&gt;0,'Strand Placement'!$C$12,COUNTIF('Strand Placement'!$B$84:$B$89,$D16)&gt;0,'Strand Placement'!$C$13,""),IF(rowWho&lt;&gt;"",rowWho,blockWho)))))</f>
        <v>Everyone</v>
      </c>
      <c r="D16" s="210" t="s">
        <v>248</v>
      </c>
      <c r="E16" s="210" t="s">
        <v>404</v>
      </c>
      <c r="F16" s="246" t="s">
        <v>101</v>
      </c>
      <c r="G16" s="246">
        <v>1.0</v>
      </c>
      <c r="H16" s="246">
        <v>22.0</v>
      </c>
      <c r="I16" s="246">
        <v>2.0</v>
      </c>
      <c r="J16" s="353">
        <v>46251.0</v>
      </c>
      <c r="K16" s="246" t="str">
        <f t="shared" si="2"/>
        <v>3x/week</v>
      </c>
      <c r="L16" s="246">
        <v>2.0</v>
      </c>
      <c r="M16" s="354" t="s">
        <v>405</v>
      </c>
      <c r="N16" s="8">
        <f t="shared" si="3"/>
        <v>11</v>
      </c>
      <c r="O16" s="325" t="str">
        <f t="shared" si="4"/>
        <v>Everyone | All Together / Literature — Family Read-Aloud</v>
      </c>
      <c r="P16" s="355">
        <v>1.0</v>
      </c>
      <c r="Q16" s="327" t="str">
        <f t="shared" si="5"/>
        <v>Manual Start</v>
      </c>
      <c r="R16" s="328">
        <f>IFERROR(__xludf.DUMMYFUNCTION("IF(A16&lt;&gt;""☑"","""",IF(OR(Q16="""",Q16=""Manual Start""),J16,IF(OR(Q16=""After Previous in Resource Stream"",Q16=""After Previous in Sequence""),IFERROR(LET(prevfinish,IF(P16&lt;&gt;"""",SUMIFS($S$10:S15,$O$10:O15,O16,$P$10:P15,P16-1),LOOKUP(2,1/($O$10:O15=O16),"&amp;"$S$10:S15)),IF(prevfinish=0,"""",MIN(FILTER('School Calendar'!$A$44:$A$408,('School Calendar'!$A$44:$A$408&gt;prevfinish)*('School Calendar'!$I$44:$I$408&gt;0))))),""""),J16)))"),46251.0)</f>
        <v>46251</v>
      </c>
      <c r="S16" s="329">
        <f>IFERROR(__xludf.DUMMYFUNCTION("IF(OR(A16&lt;&gt;""☑"",R16="""",N16=""""),"""",IFERROR(LET(st,R16,n,N16,pace,K16,gap,MAX(1,L16),calDates,'School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week"",10*(n-1),""Custom"",gap*(n-1),n-1),INDEX(eligibleDates,startPos+offset)),""""))"),46273.0)</f>
        <v>46273</v>
      </c>
      <c r="T16" s="356" t="s">
        <v>407</v>
      </c>
      <c r="U16" s="346" t="str">
        <f t="shared" si="6"/>
        <v/>
      </c>
      <c r="V16" s="332" t="str">
        <f>IF($D16="","",IF(COUNTIF('Student Work'!$C$24:$C$223,$D16)&gt;0,"Individual",SWITCH(TRUE,COUNTIF('Strand Placement'!$B$21:$B$26,$D16)&gt;0,'Strand Placement'!$D$6,COUNTIF('Strand Placement'!$B$30:$B$35,$D16)&gt;0,'Strand Placement'!$D$7,COUNTIF('Strand Placement'!$B$39:$B$44,$D16)&gt;0,'Strand Placement'!$D$8,COUNTIF('Strand Placement'!$B$48:$B$53,$D16)&gt;0,'Strand Placement'!$D$9,COUNTIF('Strand Placement'!$B$57:$B$62,$D16)&gt;0,'Strand Placement'!$D$10,COUNTIF('Strand Placement'!$B$66:$B$71,$D16)&gt;0,'Strand Placement'!$D$11,COUNTIF('Strand Placement'!$B$75:$B$80,$D16)&gt;0,'Strand Placement'!$D$12,COUNTIF('Strand Placement'!$B$84:$B$89,$D16)&gt;0,'Strand Placement'!$D$13,"")))</f>
        <v>Group</v>
      </c>
      <c r="W16" s="332" t="str">
        <f t="array" ref="W16">IF($D16="","",IF($AB16&lt;&gt;"",$AB16,IF(COUNTIF('Student Work'!$C$24:$C$223,$D16)&gt;0,XLOOKUP($D16,'Student Work'!$C$24:$C$223,'Student Work'!$D$24:$D$223,""),LET(rowRole,XLOOKUP($D16,'Strand Placement'!$B$21:$B$89,'Strand Placement'!$D$21:$D$89,""),blockRole,SWITCH(TRUE,COUNTIF('Strand Placement'!$B$21:$B$26,$D16)&gt;0,'Strand Placement'!$E$6,COUNTIF('Strand Placement'!$B$30:$B$35,$D16)&gt;0,'Strand Placement'!$E$7,COUNTIF('Strand Placement'!$B$39:$B$44,$D16)&gt;0,'Strand Placement'!$E$8,COUNTIF('Strand Placement'!$B$48:$B$53,$D16)&gt;0,'Strand Placement'!$E$9,COUNTIF('Strand Placement'!$B$57:$B$62,$D16)&gt;0,'Strand Placement'!$E$10,COUNTIF('Strand Placement'!$B$66:$B$71,$D16)&gt;0,'Strand Placement'!$E$11,COUNTIF('Strand Placement'!$B$75:$B$80,$D16)&gt;0,'Strand Placement'!$E$12,COUNTIF('Strand Placement'!$B$84:$B$89,$D16)&gt;0,'Strand Placement'!$E$13,""),IF(rowRole&lt;&gt;"",rowRole,blockRole)))))</f>
        <v>Mom-led</v>
      </c>
      <c r="X16" s="335"/>
      <c r="Y16" s="335"/>
      <c r="Z16" s="335"/>
      <c r="AA16" s="335"/>
      <c r="AB16" s="335"/>
      <c r="AC16" s="336" t="str">
        <f t="array" ref="AC16">IF($D16="","",IF(COUNTIF('Student Work'!$C$24:$C$223,$D16)&gt;0,XLOOKUP($D16,'Student Work'!$C$24:$C$223,'Student Work'!$E$24:$E$223,""),XLOOKUP($D16,'Strand Placement'!$B$21:$B$89,'Strand Placement'!$K$21:$K$89,"")))</f>
        <v>3x/week</v>
      </c>
      <c r="AD16" s="336" t="str">
        <f t="array" ref="AD16">IF($D16="","",IF(COUNTIF('Student Work'!$C$24:$C$223,$D16)&gt;0,XLOOKUP($D16,'Student Work'!$C$24:$C$223,'Student Work'!$H$24:$H$223,""),XLOOKUP($D16,'Strand Placement'!$B$21:$B$89,'Strand Placement'!$L$21:$L$89,"")))</f>
        <v>Everyone | All Together / Literature — Family Read-Aloud</v>
      </c>
      <c r="AE16" s="336"/>
      <c r="AF16" s="336"/>
      <c r="AG16" s="339" t="s">
        <v>248</v>
      </c>
      <c r="AH16" s="336"/>
    </row>
    <row r="17" ht="15.75" customHeight="1">
      <c r="A17" s="197" t="str">
        <f t="shared" si="1"/>
        <v>☑</v>
      </c>
      <c r="B17" s="246" t="str">
        <f t="array" ref="B17">IF($D17="","",IF($X17&lt;&gt;"",$X17,IF(COUNTIF('Student Work'!$C$24:$C$223,$D17)&gt;0,XLOOKUP($D17,'Student Work'!$C$24:$C$223,'Student Work'!$B$24:$B$223,""),SWITCH(TRUE,COUNTIF('Strand Placement'!$B$21:$B$26,$D17)&gt;0,'Strand Placement'!$A$19,COUNTIF('Strand Placement'!$B$30:$B$35,$D17)&gt;0,'Strand Placement'!$A$28,COUNTIF('Strand Placement'!$B$39:$B$44,$D17)&gt;0,'Strand Placement'!$A$37,COUNTIF('Strand Placement'!$B$48:$B$53,$D17)&gt;0,'Strand Placement'!$A$46,COUNTIF('Strand Placement'!$B$57:$B$62,$D17)&gt;0,'Strand Placement'!$A$55,COUNTIF('Strand Placement'!$B$66:$B$71,$D17)&gt;0,'Strand Placement'!$A$64,COUNTIF('Strand Placement'!$B$75:$B$80,$D17)&gt;0,'Strand Placement'!$A$73,COUNTIF('Strand Placement'!$B$84:$B$89,$D17)&gt;0,'Strand Placement'!$A$82,""))))</f>
        <v>Reading Loop</v>
      </c>
      <c r="C17" s="246" t="str">
        <f t="array" ref="C17">IF($D17="","",IF($Y17&lt;&gt;"",$Y17,IF(COUNTIF('Student Work'!$C$24:$C$223,$D17)&gt;0,XLOOKUP($D17,'Student Work'!$C$24:$C$223,'Student Work'!$A$24:$A$223,""),LET(rowWho,XLOOKUP($D17,'Strand Placement'!$B$21:$B$89,'Strand Placement'!$C$21:$C$89,""),blockWho,SWITCH(TRUE,COUNTIF('Strand Placement'!$B$21:$B$26,$D17)&gt;0,'Strand Placement'!$C$6,COUNTIF('Strand Placement'!$B$30:$B$35,$D17)&gt;0,'Strand Placement'!$C$7,COUNTIF('Strand Placement'!$B$39:$B$44,$D17)&gt;0,'Strand Placement'!$C$8,COUNTIF('Strand Placement'!$B$48:$B$53,$D17)&gt;0,'Strand Placement'!$C$9,COUNTIF('Strand Placement'!$B$57:$B$62,$D17)&gt;0,'Strand Placement'!$C$10,COUNTIF('Strand Placement'!$B$66:$B$71,$D17)&gt;0,'Strand Placement'!$C$11,COUNTIF('Strand Placement'!$B$75:$B$80,$D17)&gt;0,'Strand Placement'!$C$12,COUNTIF('Strand Placement'!$B$84:$B$89,$D17)&gt;0,'Strand Placement'!$C$13,""),IF(rowWho&lt;&gt;"",rowWho,blockWho)))))</f>
        <v>Everyone</v>
      </c>
      <c r="D17" s="210" t="s">
        <v>248</v>
      </c>
      <c r="E17" s="210" t="s">
        <v>410</v>
      </c>
      <c r="F17" s="246" t="s">
        <v>101</v>
      </c>
      <c r="G17" s="246">
        <v>1.0</v>
      </c>
      <c r="H17" s="246">
        <v>36.0</v>
      </c>
      <c r="I17" s="246">
        <v>2.0</v>
      </c>
      <c r="J17" s="323"/>
      <c r="K17" s="246" t="str">
        <f t="shared" si="2"/>
        <v>3x/week</v>
      </c>
      <c r="L17" s="246">
        <v>2.0</v>
      </c>
      <c r="M17" s="354" t="s">
        <v>405</v>
      </c>
      <c r="N17" s="8">
        <f t="shared" si="3"/>
        <v>18</v>
      </c>
      <c r="O17" s="325" t="str">
        <f t="shared" si="4"/>
        <v>Everyone | All Together / Literature — Family Read-Aloud</v>
      </c>
      <c r="P17" s="355">
        <v>2.0</v>
      </c>
      <c r="Q17" s="327" t="str">
        <f t="shared" si="5"/>
        <v>After Previous in Resource Stream</v>
      </c>
      <c r="R17" s="328">
        <f>IFERROR(__xludf.DUMMYFUNCTION("IF(A17&lt;&gt;""☑"","""",IF(OR(Q17="""",Q17=""Manual Start""),J17,IF(OR(Q17=""After Previous in Resource Stream"",Q17=""After Previous in Sequence""),IFERROR(LET(prevfinish,IF(P17&lt;&gt;"""",SUMIFS($S$10:S16,$O$10:O16,O17,$P$10:P16,P17-1),LOOKUP(2,1/($O$10:O16=O17),"&amp;"$S$10:S16)),IF(prevfinish=0,"""",MIN(FILTER('School Calendar'!$A$44:$A$408,('School Calendar'!$A$44:$A$408&gt;prevfinish)*('School Calendar'!$I$44:$I$408&gt;0))))),""""),J17)))"),46274.0)</f>
        <v>46274</v>
      </c>
      <c r="S17" s="329">
        <f>IFERROR(__xludf.DUMMYFUNCTION("IF(OR(A17&lt;&gt;""☑"",R17="""",N17=""""),"""",IFERROR(LET(st,R17,n,N17,pace,K17,gap,MAX(1,L17),calDates,'School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week"",10*(n-1),""Custom"",gap*(n-1),n-1),INDEX(eligibleDates,startPos+offset)),""""))"),46311.0)</f>
        <v>46311</v>
      </c>
      <c r="T17" s="356" t="s">
        <v>411</v>
      </c>
      <c r="U17" s="346" t="str">
        <f t="shared" si="6"/>
        <v/>
      </c>
      <c r="V17" s="332" t="str">
        <f>IF($D17="","",IF(COUNTIF('Student Work'!$C$24:$C$223,$D17)&gt;0,"Individual",SWITCH(TRUE,COUNTIF('Strand Placement'!$B$21:$B$26,$D17)&gt;0,'Strand Placement'!$D$6,COUNTIF('Strand Placement'!$B$30:$B$35,$D17)&gt;0,'Strand Placement'!$D$7,COUNTIF('Strand Placement'!$B$39:$B$44,$D17)&gt;0,'Strand Placement'!$D$8,COUNTIF('Strand Placement'!$B$48:$B$53,$D17)&gt;0,'Strand Placement'!$D$9,COUNTIF('Strand Placement'!$B$57:$B$62,$D17)&gt;0,'Strand Placement'!$D$10,COUNTIF('Strand Placement'!$B$66:$B$71,$D17)&gt;0,'Strand Placement'!$D$11,COUNTIF('Strand Placement'!$B$75:$B$80,$D17)&gt;0,'Strand Placement'!$D$12,COUNTIF('Strand Placement'!$B$84:$B$89,$D17)&gt;0,'Strand Placement'!$D$13,"")))</f>
        <v>Group</v>
      </c>
      <c r="W17" s="332" t="str">
        <f t="array" ref="W17">IF($D17="","",IF($AB17&lt;&gt;"",$AB17,IF(COUNTIF('Student Work'!$C$24:$C$223,$D17)&gt;0,XLOOKUP($D17,'Student Work'!$C$24:$C$223,'Student Work'!$D$24:$D$223,""),LET(rowRole,XLOOKUP($D17,'Strand Placement'!$B$21:$B$89,'Strand Placement'!$D$21:$D$89,""),blockRole,SWITCH(TRUE,COUNTIF('Strand Placement'!$B$21:$B$26,$D17)&gt;0,'Strand Placement'!$E$6,COUNTIF('Strand Placement'!$B$30:$B$35,$D17)&gt;0,'Strand Placement'!$E$7,COUNTIF('Strand Placement'!$B$39:$B$44,$D17)&gt;0,'Strand Placement'!$E$8,COUNTIF('Strand Placement'!$B$48:$B$53,$D17)&gt;0,'Strand Placement'!$E$9,COUNTIF('Strand Placement'!$B$57:$B$62,$D17)&gt;0,'Strand Placement'!$E$10,COUNTIF('Strand Placement'!$B$66:$B$71,$D17)&gt;0,'Strand Placement'!$E$11,COUNTIF('Strand Placement'!$B$75:$B$80,$D17)&gt;0,'Strand Placement'!$E$12,COUNTIF('Strand Placement'!$B$84:$B$89,$D17)&gt;0,'Strand Placement'!$E$13,""),IF(rowRole&lt;&gt;"",rowRole,blockRole)))))</f>
        <v>Mom-led</v>
      </c>
      <c r="X17" s="335"/>
      <c r="Y17" s="335"/>
      <c r="Z17" s="335"/>
      <c r="AA17" s="335"/>
      <c r="AB17" s="335"/>
      <c r="AC17" s="336" t="str">
        <f t="array" ref="AC17">IF($D17="","",IF(COUNTIF('Student Work'!$C$24:$C$223,$D17)&gt;0,XLOOKUP($D17,'Student Work'!$C$24:$C$223,'Student Work'!$E$24:$E$223,""),XLOOKUP($D17,'Strand Placement'!$B$21:$B$89,'Strand Placement'!$K$21:$K$89,"")))</f>
        <v>3x/week</v>
      </c>
      <c r="AD17" s="336" t="str">
        <f t="array" ref="AD17">IF($D17="","",IF(COUNTIF('Student Work'!$C$24:$C$223,$D17)&gt;0,XLOOKUP($D17,'Student Work'!$C$24:$C$223,'Student Work'!$H$24:$H$223,""),XLOOKUP($D17,'Strand Placement'!$B$21:$B$89,'Strand Placement'!$L$21:$L$89,"")))</f>
        <v>Everyone | All Together / Literature — Family Read-Aloud</v>
      </c>
      <c r="AE17" s="336"/>
      <c r="AF17" s="336"/>
      <c r="AG17" s="339" t="s">
        <v>412</v>
      </c>
      <c r="AH17" s="336"/>
    </row>
    <row r="18" ht="15.75" customHeight="1">
      <c r="A18" s="197" t="str">
        <f t="shared" si="1"/>
        <v>☑</v>
      </c>
      <c r="B18" s="246" t="str">
        <f t="array" ref="B18">IF($D18="","",IF($X18&lt;&gt;"",$X18,IF(COUNTIF('Student Work'!$C$24:$C$223,$D18)&gt;0,XLOOKUP($D18,'Student Work'!$C$24:$C$223,'Student Work'!$B$24:$B$223,""),SWITCH(TRUE,COUNTIF('Strand Placement'!$B$21:$B$26,$D18)&gt;0,'Strand Placement'!$A$19,COUNTIF('Strand Placement'!$B$30:$B$35,$D18)&gt;0,'Strand Placement'!$A$28,COUNTIF('Strand Placement'!$B$39:$B$44,$D18)&gt;0,'Strand Placement'!$A$37,COUNTIF('Strand Placement'!$B$48:$B$53,$D18)&gt;0,'Strand Placement'!$A$46,COUNTIF('Strand Placement'!$B$57:$B$62,$D18)&gt;0,'Strand Placement'!$A$55,COUNTIF('Strand Placement'!$B$66:$B$71,$D18)&gt;0,'Strand Placement'!$A$64,COUNTIF('Strand Placement'!$B$75:$B$80,$D18)&gt;0,'Strand Placement'!$A$73,COUNTIF('Strand Placement'!$B$84:$B$89,$D18)&gt;0,'Strand Placement'!$A$82,""))))</f>
        <v>Hands + Beauty Loop</v>
      </c>
      <c r="C18" s="246" t="str">
        <f t="array" ref="C18">IF($D18="","",IF($Y18&lt;&gt;"",$Y18,IF(COUNTIF('Student Work'!$C$24:$C$223,$D18)&gt;0,XLOOKUP($D18,'Student Work'!$C$24:$C$223,'Student Work'!$A$24:$A$223,""),LET(rowWho,XLOOKUP($D18,'Strand Placement'!$B$21:$B$89,'Strand Placement'!$C$21:$C$89,""),blockWho,SWITCH(TRUE,COUNTIF('Strand Placement'!$B$21:$B$26,$D18)&gt;0,'Strand Placement'!$C$6,COUNTIF('Strand Placement'!$B$30:$B$35,$D18)&gt;0,'Strand Placement'!$C$7,COUNTIF('Strand Placement'!$B$39:$B$44,$D18)&gt;0,'Strand Placement'!$C$8,COUNTIF('Strand Placement'!$B$48:$B$53,$D18)&gt;0,'Strand Placement'!$C$9,COUNTIF('Strand Placement'!$B$57:$B$62,$D18)&gt;0,'Strand Placement'!$C$10,COUNTIF('Strand Placement'!$B$66:$B$71,$D18)&gt;0,'Strand Placement'!$C$11,COUNTIF('Strand Placement'!$B$75:$B$80,$D18)&gt;0,'Strand Placement'!$C$12,COUNTIF('Strand Placement'!$B$84:$B$89,$D18)&gt;0,'Strand Placement'!$C$13,""),IF(rowWho&lt;&gt;"",rowWho,blockWho)))))</f>
        <v>Everyone</v>
      </c>
      <c r="D18" s="210" t="s">
        <v>263</v>
      </c>
      <c r="E18" s="210" t="s">
        <v>414</v>
      </c>
      <c r="F18" s="246" t="s">
        <v>135</v>
      </c>
      <c r="G18" s="246">
        <v>1.0</v>
      </c>
      <c r="H18" s="246">
        <v>6.0</v>
      </c>
      <c r="I18" s="246">
        <v>1.0</v>
      </c>
      <c r="J18" s="353">
        <v>46251.0</v>
      </c>
      <c r="K18" s="246" t="str">
        <f t="shared" si="2"/>
        <v>1x/week</v>
      </c>
      <c r="L18" s="197">
        <v>3.0</v>
      </c>
      <c r="M18" s="324"/>
      <c r="N18" s="8">
        <f t="shared" si="3"/>
        <v>6</v>
      </c>
      <c r="O18" s="325" t="str">
        <f t="shared" si="4"/>
        <v>Everyone | All Together / Beauty + Hands — Hymn</v>
      </c>
      <c r="P18" s="355">
        <v>1.0</v>
      </c>
      <c r="Q18" s="327" t="str">
        <f t="shared" si="5"/>
        <v>Manual Start</v>
      </c>
      <c r="R18" s="328">
        <f>IFERROR(__xludf.DUMMYFUNCTION("IF(A18&lt;&gt;""☑"","""",IF(OR(Q18="""",Q18=""Manual Start""),J18,IF(OR(Q18=""After Previous in Resource Stream"",Q18=""After Previous in Sequence""),IFERROR(LET(prevfinish,IF(P18&lt;&gt;"""",SUMIFS($S$10:S17,$O$10:O17,O18,$P$10:P17,P18-1),LOOKUP(2,1/($O$10:O17=O18),"&amp;"$S$10:S17)),IF(prevfinish=0,"""",MIN(FILTER('School Calendar'!$A$44:$A$408,('School Calendar'!$A$44:$A$408&gt;prevfinish)*('School Calendar'!$I$44:$I$408&gt;0))))),""""),J18)))"),46251.0)</f>
        <v>46251</v>
      </c>
      <c r="S18" s="329">
        <f>IFERROR(__xludf.DUMMYFUNCTION("IF(OR(A18&lt;&gt;""☑"",R18="""",N18=""""),"""",IFERROR(LET(st,R18,n,N18,pace,K18,gap,MAX(1,L18),calDates,'School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week"",10*(n-1),""Custom"",gap*(n-1),n-1),INDEX(eligibleDates,startPos+offset)),""""))"),46286.0)</f>
        <v>46286</v>
      </c>
      <c r="T18" s="330"/>
      <c r="U18" s="346" t="str">
        <f t="shared" si="6"/>
        <v/>
      </c>
      <c r="V18" s="332" t="str">
        <f>IF($D18="","",IF(COUNTIF('Student Work'!$C$24:$C$223,$D18)&gt;0,"Individual",SWITCH(TRUE,COUNTIF('Strand Placement'!$B$21:$B$26,$D18)&gt;0,'Strand Placement'!$D$6,COUNTIF('Strand Placement'!$B$30:$B$35,$D18)&gt;0,'Strand Placement'!$D$7,COUNTIF('Strand Placement'!$B$39:$B$44,$D18)&gt;0,'Strand Placement'!$D$8,COUNTIF('Strand Placement'!$B$48:$B$53,$D18)&gt;0,'Strand Placement'!$D$9,COUNTIF('Strand Placement'!$B$57:$B$62,$D18)&gt;0,'Strand Placement'!$D$10,COUNTIF('Strand Placement'!$B$66:$B$71,$D18)&gt;0,'Strand Placement'!$D$11,COUNTIF('Strand Placement'!$B$75:$B$80,$D18)&gt;0,'Strand Placement'!$D$12,COUNTIF('Strand Placement'!$B$84:$B$89,$D18)&gt;0,'Strand Placement'!$D$13,"")))</f>
        <v>Group</v>
      </c>
      <c r="W18" s="332" t="str">
        <f t="array" ref="W18">IF($D18="","",IF($AB18&lt;&gt;"",$AB18,IF(COUNTIF('Student Work'!$C$24:$C$223,$D18)&gt;0,XLOOKUP($D18,'Student Work'!$C$24:$C$223,'Student Work'!$D$24:$D$223,""),LET(rowRole,XLOOKUP($D18,'Strand Placement'!$B$21:$B$89,'Strand Placement'!$D$21:$D$89,""),blockRole,SWITCH(TRUE,COUNTIF('Strand Placement'!$B$21:$B$26,$D18)&gt;0,'Strand Placement'!$E$6,COUNTIF('Strand Placement'!$B$30:$B$35,$D18)&gt;0,'Strand Placement'!$E$7,COUNTIF('Strand Placement'!$B$39:$B$44,$D18)&gt;0,'Strand Placement'!$E$8,COUNTIF('Strand Placement'!$B$48:$B$53,$D18)&gt;0,'Strand Placement'!$E$9,COUNTIF('Strand Placement'!$B$57:$B$62,$D18)&gt;0,'Strand Placement'!$E$10,COUNTIF('Strand Placement'!$B$66:$B$71,$D18)&gt;0,'Strand Placement'!$E$11,COUNTIF('Strand Placement'!$B$75:$B$80,$D18)&gt;0,'Strand Placement'!$E$12,COUNTIF('Strand Placement'!$B$84:$B$89,$D18)&gt;0,'Strand Placement'!$E$13,""),IF(rowRole&lt;&gt;"",rowRole,blockRole)))))</f>
        <v>Mom-led</v>
      </c>
      <c r="X18" s="335"/>
      <c r="Y18" s="335"/>
      <c r="Z18" s="335"/>
      <c r="AA18" s="335"/>
      <c r="AB18" s="335"/>
      <c r="AC18" s="336" t="str">
        <f t="array" ref="AC18">IF($D18="","",IF(COUNTIF('Student Work'!$C$24:$C$223,$D18)&gt;0,XLOOKUP($D18,'Student Work'!$C$24:$C$223,'Student Work'!$E$24:$E$223,""),XLOOKUP($D18,'Strand Placement'!$B$21:$B$89,'Strand Placement'!$K$21:$K$89,"")))</f>
        <v>1x/week</v>
      </c>
      <c r="AD18" s="336" t="str">
        <f t="array" ref="AD18">IF($D18="","",IF(COUNTIF('Student Work'!$C$24:$C$223,$D18)&gt;0,XLOOKUP($D18,'Student Work'!$C$24:$C$223,'Student Work'!$H$24:$H$223,""),XLOOKUP($D18,'Strand Placement'!$B$21:$B$89,'Strand Placement'!$L$21:$L$89,"")))</f>
        <v>Everyone | All Together / Beauty + Hands — Hymn</v>
      </c>
      <c r="AE18" s="336"/>
      <c r="AF18" s="336"/>
      <c r="AG18" s="339" t="s">
        <v>258</v>
      </c>
      <c r="AH18" s="336"/>
    </row>
    <row r="19" ht="15.75" customHeight="1">
      <c r="A19" s="197" t="str">
        <f t="shared" si="1"/>
        <v>☑</v>
      </c>
      <c r="B19" s="246" t="str">
        <f t="array" ref="B19">IF($D19="","",IF($X19&lt;&gt;"",$X19,IF(COUNTIF('Student Work'!$C$24:$C$223,$D19)&gt;0,XLOOKUP($D19,'Student Work'!$C$24:$C$223,'Student Work'!$B$24:$B$223,""),SWITCH(TRUE,COUNTIF('Strand Placement'!$B$21:$B$26,$D19)&gt;0,'Strand Placement'!$A$19,COUNTIF('Strand Placement'!$B$30:$B$35,$D19)&gt;0,'Strand Placement'!$A$28,COUNTIF('Strand Placement'!$B$39:$B$44,$D19)&gt;0,'Strand Placement'!$A$37,COUNTIF('Strand Placement'!$B$48:$B$53,$D19)&gt;0,'Strand Placement'!$A$46,COUNTIF('Strand Placement'!$B$57:$B$62,$D19)&gt;0,'Strand Placement'!$A$55,COUNTIF('Strand Placement'!$B$66:$B$71,$D19)&gt;0,'Strand Placement'!$A$64,COUNTIF('Strand Placement'!$B$75:$B$80,$D19)&gt;0,'Strand Placement'!$A$73,COUNTIF('Strand Placement'!$B$84:$B$89,$D19)&gt;0,'Strand Placement'!$A$82,""))))</f>
        <v>Hands + Beauty Loop</v>
      </c>
      <c r="C19" s="246" t="str">
        <f t="array" ref="C19">IF($D19="","",IF($Y19&lt;&gt;"",$Y19,IF(COUNTIF('Student Work'!$C$24:$C$223,$D19)&gt;0,XLOOKUP($D19,'Student Work'!$C$24:$C$223,'Student Work'!$A$24:$A$223,""),LET(rowWho,XLOOKUP($D19,'Strand Placement'!$B$21:$B$89,'Strand Placement'!$C$21:$C$89,""),blockWho,SWITCH(TRUE,COUNTIF('Strand Placement'!$B$21:$B$26,$D19)&gt;0,'Strand Placement'!$C$6,COUNTIF('Strand Placement'!$B$30:$B$35,$D19)&gt;0,'Strand Placement'!$C$7,COUNTIF('Strand Placement'!$B$39:$B$44,$D19)&gt;0,'Strand Placement'!$C$8,COUNTIF('Strand Placement'!$B$48:$B$53,$D19)&gt;0,'Strand Placement'!$C$9,COUNTIF('Strand Placement'!$B$57:$B$62,$D19)&gt;0,'Strand Placement'!$C$10,COUNTIF('Strand Placement'!$B$66:$B$71,$D19)&gt;0,'Strand Placement'!$C$11,COUNTIF('Strand Placement'!$B$75:$B$80,$D19)&gt;0,'Strand Placement'!$C$12,COUNTIF('Strand Placement'!$B$84:$B$89,$D19)&gt;0,'Strand Placement'!$C$13,""),IF(rowWho&lt;&gt;"",rowWho,blockWho)))))</f>
        <v>Everyone</v>
      </c>
      <c r="D19" s="210" t="s">
        <v>263</v>
      </c>
      <c r="E19" s="210" t="s">
        <v>416</v>
      </c>
      <c r="F19" s="246" t="s">
        <v>135</v>
      </c>
      <c r="G19" s="246">
        <v>1.0</v>
      </c>
      <c r="H19" s="246">
        <v>6.0</v>
      </c>
      <c r="I19" s="246">
        <v>1.0</v>
      </c>
      <c r="J19" s="323"/>
      <c r="K19" s="246" t="str">
        <f t="shared" si="2"/>
        <v>1x/week</v>
      </c>
      <c r="L19" s="197">
        <v>3.0</v>
      </c>
      <c r="M19" s="324"/>
      <c r="N19" s="8">
        <f t="shared" si="3"/>
        <v>6</v>
      </c>
      <c r="O19" s="325" t="str">
        <f t="shared" si="4"/>
        <v>Everyone | All Together / Beauty + Hands — Hymn</v>
      </c>
      <c r="P19" s="355">
        <v>2.0</v>
      </c>
      <c r="Q19" s="327" t="str">
        <f t="shared" si="5"/>
        <v>After Previous in Resource Stream</v>
      </c>
      <c r="R19" s="328">
        <f>IFERROR(__xludf.DUMMYFUNCTION("IF(A19&lt;&gt;""☑"","""",IF(OR(Q19="""",Q19=""Manual Start""),J19,IF(OR(Q19=""After Previous in Resource Stream"",Q19=""After Previous in Sequence""),IFERROR(LET(prevfinish,IF(P19&lt;&gt;"""",SUMIFS($S$10:S18,$O$10:O18,O19,$P$10:P18,P19-1),LOOKUP(2,1/($O$10:O18=O19),"&amp;"$S$10:S18)),IF(prevfinish=0,"""",MIN(FILTER('School Calendar'!$A$44:$A$408,('School Calendar'!$A$44:$A$408&gt;prevfinish)*('School Calendar'!$I$44:$I$408&gt;0))))),""""),J19)))"),46287.0)</f>
        <v>46287</v>
      </c>
      <c r="S19" s="329">
        <f>IFERROR(__xludf.DUMMYFUNCTION("IF(OR(A19&lt;&gt;""☑"",R19="""",N19=""""),"""",IFERROR(LET(st,R19,n,N19,pace,K19,gap,MAX(1,L19),calDates,'School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week"",10*(n-1),""Custom"",gap*(n-1),n-1),INDEX(eligibleDates,startPos+offset)),""""))"),46329.0)</f>
        <v>46329</v>
      </c>
      <c r="T19" s="330"/>
      <c r="U19" s="346" t="str">
        <f t="shared" si="6"/>
        <v/>
      </c>
      <c r="V19" s="332" t="str">
        <f>IF($D19="","",IF(COUNTIF('Student Work'!$C$24:$C$223,$D19)&gt;0,"Individual",SWITCH(TRUE,COUNTIF('Strand Placement'!$B$21:$B$26,$D19)&gt;0,'Strand Placement'!$D$6,COUNTIF('Strand Placement'!$B$30:$B$35,$D19)&gt;0,'Strand Placement'!$D$7,COUNTIF('Strand Placement'!$B$39:$B$44,$D19)&gt;0,'Strand Placement'!$D$8,COUNTIF('Strand Placement'!$B$48:$B$53,$D19)&gt;0,'Strand Placement'!$D$9,COUNTIF('Strand Placement'!$B$57:$B$62,$D19)&gt;0,'Strand Placement'!$D$10,COUNTIF('Strand Placement'!$B$66:$B$71,$D19)&gt;0,'Strand Placement'!$D$11,COUNTIF('Strand Placement'!$B$75:$B$80,$D19)&gt;0,'Strand Placement'!$D$12,COUNTIF('Strand Placement'!$B$84:$B$89,$D19)&gt;0,'Strand Placement'!$D$13,"")))</f>
        <v>Group</v>
      </c>
      <c r="W19" s="332" t="str">
        <f t="array" ref="W19">IF($D19="","",IF($AB19&lt;&gt;"",$AB19,IF(COUNTIF('Student Work'!$C$24:$C$223,$D19)&gt;0,XLOOKUP($D19,'Student Work'!$C$24:$C$223,'Student Work'!$D$24:$D$223,""),LET(rowRole,XLOOKUP($D19,'Strand Placement'!$B$21:$B$89,'Strand Placement'!$D$21:$D$89,""),blockRole,SWITCH(TRUE,COUNTIF('Strand Placement'!$B$21:$B$26,$D19)&gt;0,'Strand Placement'!$E$6,COUNTIF('Strand Placement'!$B$30:$B$35,$D19)&gt;0,'Strand Placement'!$E$7,COUNTIF('Strand Placement'!$B$39:$B$44,$D19)&gt;0,'Strand Placement'!$E$8,COUNTIF('Strand Placement'!$B$48:$B$53,$D19)&gt;0,'Strand Placement'!$E$9,COUNTIF('Strand Placement'!$B$57:$B$62,$D19)&gt;0,'Strand Placement'!$E$10,COUNTIF('Strand Placement'!$B$66:$B$71,$D19)&gt;0,'Strand Placement'!$E$11,COUNTIF('Strand Placement'!$B$75:$B$80,$D19)&gt;0,'Strand Placement'!$E$12,COUNTIF('Strand Placement'!$B$84:$B$89,$D19)&gt;0,'Strand Placement'!$E$13,""),IF(rowRole&lt;&gt;"",rowRole,blockRole)))))</f>
        <v>Mom-led</v>
      </c>
      <c r="X19" s="335"/>
      <c r="Y19" s="335"/>
      <c r="Z19" s="335"/>
      <c r="AA19" s="335"/>
      <c r="AB19" s="335"/>
      <c r="AC19" s="336" t="str">
        <f t="array" ref="AC19">IF($D19="","",IF(COUNTIF('Student Work'!$C$24:$C$223,$D19)&gt;0,XLOOKUP($D19,'Student Work'!$C$24:$C$223,'Student Work'!$E$24:$E$223,""),XLOOKUP($D19,'Strand Placement'!$B$21:$B$89,'Strand Placement'!$K$21:$K$89,"")))</f>
        <v>1x/week</v>
      </c>
      <c r="AD19" s="336" t="str">
        <f t="array" ref="AD19">IF($D19="","",IF(COUNTIF('Student Work'!$C$24:$C$223,$D19)&gt;0,XLOOKUP($D19,'Student Work'!$C$24:$C$223,'Student Work'!$H$24:$H$223,""),XLOOKUP($D19,'Strand Placement'!$B$21:$B$89,'Strand Placement'!$L$21:$L$89,"")))</f>
        <v>Everyone | All Together / Beauty + Hands — Hymn</v>
      </c>
      <c r="AE19" s="336"/>
      <c r="AF19" s="336"/>
      <c r="AG19" s="339" t="s">
        <v>251</v>
      </c>
      <c r="AH19" s="336"/>
    </row>
    <row r="20" ht="15.75" customHeight="1">
      <c r="A20" s="197" t="str">
        <f t="shared" si="1"/>
        <v>☑</v>
      </c>
      <c r="B20" s="246" t="str">
        <f t="array" ref="B20">IF($D20="","",IF($X20&lt;&gt;"",$X20,IF(COUNTIF('Student Work'!$C$24:$C$223,$D20)&gt;0,XLOOKUP($D20,'Student Work'!$C$24:$C$223,'Student Work'!$B$24:$B$223,""),SWITCH(TRUE,COUNTIF('Strand Placement'!$B$21:$B$26,$D20)&gt;0,'Strand Placement'!$A$19,COUNTIF('Strand Placement'!$B$30:$B$35,$D20)&gt;0,'Strand Placement'!$A$28,COUNTIF('Strand Placement'!$B$39:$B$44,$D20)&gt;0,'Strand Placement'!$A$37,COUNTIF('Strand Placement'!$B$48:$B$53,$D20)&gt;0,'Strand Placement'!$A$46,COUNTIF('Strand Placement'!$B$57:$B$62,$D20)&gt;0,'Strand Placement'!$A$55,COUNTIF('Strand Placement'!$B$66:$B$71,$D20)&gt;0,'Strand Placement'!$A$64,COUNTIF('Strand Placement'!$B$75:$B$80,$D20)&gt;0,'Strand Placement'!$A$73,COUNTIF('Strand Placement'!$B$84:$B$89,$D20)&gt;0,'Strand Placement'!$A$82,""))))</f>
        <v>Faith</v>
      </c>
      <c r="C20" s="246" t="str">
        <f t="array" ref="C20">IF($D20="","",IF($Y20&lt;&gt;"",$Y20,IF(COUNTIF('Student Work'!$C$24:$C$223,$D20)&gt;0,XLOOKUP($D20,'Student Work'!$C$24:$C$223,'Student Work'!$A$24:$A$223,""),LET(rowWho,XLOOKUP($D20,'Strand Placement'!$B$21:$B$89,'Strand Placement'!$C$21:$C$89,""),blockWho,SWITCH(TRUE,COUNTIF('Strand Placement'!$B$21:$B$26,$D20)&gt;0,'Strand Placement'!$C$6,COUNTIF('Strand Placement'!$B$30:$B$35,$D20)&gt;0,'Strand Placement'!$C$7,COUNTIF('Strand Placement'!$B$39:$B$44,$D20)&gt;0,'Strand Placement'!$C$8,COUNTIF('Strand Placement'!$B$48:$B$53,$D20)&gt;0,'Strand Placement'!$C$9,COUNTIF('Strand Placement'!$B$57:$B$62,$D20)&gt;0,'Strand Placement'!$C$10,COUNTIF('Strand Placement'!$B$66:$B$71,$D20)&gt;0,'Strand Placement'!$C$11,COUNTIF('Strand Placement'!$B$75:$B$80,$D20)&gt;0,'Strand Placement'!$C$12,COUNTIF('Strand Placement'!$B$84:$B$89,$D20)&gt;0,'Strand Placement'!$C$13,""),IF(rowWho&lt;&gt;"",rowWho,blockWho)))))</f>
        <v>Everyone</v>
      </c>
      <c r="D20" s="210" t="s">
        <v>241</v>
      </c>
      <c r="E20" s="210" t="s">
        <v>418</v>
      </c>
      <c r="F20" s="197" t="s">
        <v>101</v>
      </c>
      <c r="G20" s="246">
        <v>1.0</v>
      </c>
      <c r="H20" s="246">
        <v>55.0</v>
      </c>
      <c r="I20" s="246">
        <v>3.0</v>
      </c>
      <c r="J20" s="353">
        <v>46251.0</v>
      </c>
      <c r="K20" s="246" t="str">
        <f t="shared" si="2"/>
        <v>1x/week</v>
      </c>
      <c r="L20" s="197">
        <v>3.0</v>
      </c>
      <c r="M20" s="324"/>
      <c r="N20" s="8">
        <f t="shared" si="3"/>
        <v>19</v>
      </c>
      <c r="O20" s="325" t="str">
        <f t="shared" si="4"/>
        <v>Everyone | All Together / Bible — Old Testament</v>
      </c>
      <c r="P20" s="355">
        <v>1.0</v>
      </c>
      <c r="Q20" s="327" t="str">
        <f t="shared" si="5"/>
        <v>Manual Start</v>
      </c>
      <c r="R20" s="328">
        <f>IFERROR(__xludf.DUMMYFUNCTION("IF(A20&lt;&gt;""☑"","""",IF(OR(Q20="""",Q20=""Manual Start""),J20,IF(OR(Q20=""After Previous in Resource Stream"",Q20=""After Previous in Sequence""),IFERROR(LET(prevfinish,IF(P20&lt;&gt;"""",SUMIFS($S$10:S19,$O$10:O19,O20,$P$10:P19,P20-1),LOOKUP(2,1/($O$10:O19=O20),"&amp;"$S$10:S19)),IF(prevfinish=0,"""",MIN(FILTER('School Calendar'!$A$44:$A$408,('School Calendar'!$A$44:$A$408&gt;prevfinish)*('School Calendar'!$I$44:$I$408&gt;0))))),""""),J20)))"),46251.0)</f>
        <v>46251</v>
      </c>
      <c r="S20" s="329">
        <f>IFERROR(__xludf.DUMMYFUNCTION("IF(OR(A20&lt;&gt;""☑"",R20="""",N20=""""),"""",IFERROR(LET(st,R20,n,N20,pace,K20,gap,MAX(1,L20),calDates,'School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week"",10*(n-1),""Custom"",gap*(n-1),n-1),INDEX(eligibleDates,startPos+offset)),""""))"),46384.0)</f>
        <v>46384</v>
      </c>
      <c r="T20" s="330"/>
      <c r="U20" s="346" t="str">
        <f t="shared" si="6"/>
        <v/>
      </c>
      <c r="V20" s="332" t="str">
        <f>IF($D20="","",IF(COUNTIF('Student Work'!$C$24:$C$223,$D20)&gt;0,"Individual",SWITCH(TRUE,COUNTIF('Strand Placement'!$B$21:$B$26,$D20)&gt;0,'Strand Placement'!$D$6,COUNTIF('Strand Placement'!$B$30:$B$35,$D20)&gt;0,'Strand Placement'!$D$7,COUNTIF('Strand Placement'!$B$39:$B$44,$D20)&gt;0,'Strand Placement'!$D$8,COUNTIF('Strand Placement'!$B$48:$B$53,$D20)&gt;0,'Strand Placement'!$D$9,COUNTIF('Strand Placement'!$B$57:$B$62,$D20)&gt;0,'Strand Placement'!$D$10,COUNTIF('Strand Placement'!$B$66:$B$71,$D20)&gt;0,'Strand Placement'!$D$11,COUNTIF('Strand Placement'!$B$75:$B$80,$D20)&gt;0,'Strand Placement'!$D$12,COUNTIF('Strand Placement'!$B$84:$B$89,$D20)&gt;0,'Strand Placement'!$D$13,"")))</f>
        <v>Group</v>
      </c>
      <c r="W20" s="332" t="str">
        <f t="array" ref="W20">IF($D20="","",IF($AB20&lt;&gt;"",$AB20,IF(COUNTIF('Student Work'!$C$24:$C$223,$D20)&gt;0,XLOOKUP($D20,'Student Work'!$C$24:$C$223,'Student Work'!$D$24:$D$223,""),LET(rowRole,XLOOKUP($D20,'Strand Placement'!$B$21:$B$89,'Strand Placement'!$D$21:$D$89,""),blockRole,SWITCH(TRUE,COUNTIF('Strand Placement'!$B$21:$B$26,$D20)&gt;0,'Strand Placement'!$E$6,COUNTIF('Strand Placement'!$B$30:$B$35,$D20)&gt;0,'Strand Placement'!$E$7,COUNTIF('Strand Placement'!$B$39:$B$44,$D20)&gt;0,'Strand Placement'!$E$8,COUNTIF('Strand Placement'!$B$48:$B$53,$D20)&gt;0,'Strand Placement'!$E$9,COUNTIF('Strand Placement'!$B$57:$B$62,$D20)&gt;0,'Strand Placement'!$E$10,COUNTIF('Strand Placement'!$B$66:$B$71,$D20)&gt;0,'Strand Placement'!$E$11,COUNTIF('Strand Placement'!$B$75:$B$80,$D20)&gt;0,'Strand Placement'!$E$12,COUNTIF('Strand Placement'!$B$84:$B$89,$D20)&gt;0,'Strand Placement'!$E$13,""),IF(rowRole&lt;&gt;"",rowRole,blockRole)))))</f>
        <v>Mom-led</v>
      </c>
      <c r="X20" s="335"/>
      <c r="Y20" s="335"/>
      <c r="Z20" s="335"/>
      <c r="AA20" s="335"/>
      <c r="AB20" s="335"/>
      <c r="AC20" s="336" t="str">
        <f t="array" ref="AC20">IF($D20="","",IF(COUNTIF('Student Work'!$C$24:$C$223,$D20)&gt;0,XLOOKUP($D20,'Student Work'!$C$24:$C$223,'Student Work'!$E$24:$E$223,""),XLOOKUP($D20,'Strand Placement'!$B$21:$B$89,'Strand Placement'!$K$21:$K$89,"")))</f>
        <v>1x/week</v>
      </c>
      <c r="AD20" s="336" t="str">
        <f t="array" ref="AD20">IF($D20="","",IF(COUNTIF('Student Work'!$C$24:$C$223,$D20)&gt;0,XLOOKUP($D20,'Student Work'!$C$24:$C$223,'Student Work'!$H$24:$H$223,""),XLOOKUP($D20,'Strand Placement'!$B$21:$B$89,'Strand Placement'!$L$21:$L$89,"")))</f>
        <v>Everyone | All Together / Bible — Old Testament</v>
      </c>
      <c r="AE20" s="336"/>
      <c r="AF20" s="336"/>
      <c r="AG20" s="339" t="s">
        <v>419</v>
      </c>
      <c r="AH20" s="336"/>
    </row>
    <row r="21" ht="15.75" customHeight="1">
      <c r="A21" s="197" t="str">
        <f t="shared" si="1"/>
        <v>☑</v>
      </c>
      <c r="B21" s="246" t="str">
        <f t="array" ref="B21">IF($D21="","",IF($X21&lt;&gt;"",$X21,IF(COUNTIF('Student Work'!$C$24:$C$223,$D21)&gt;0,XLOOKUP($D21,'Student Work'!$C$24:$C$223,'Student Work'!$B$24:$B$223,""),SWITCH(TRUE,COUNTIF('Strand Placement'!$B$21:$B$26,$D21)&gt;0,'Strand Placement'!$A$19,COUNTIF('Strand Placement'!$B$30:$B$35,$D21)&gt;0,'Strand Placement'!$A$28,COUNTIF('Strand Placement'!$B$39:$B$44,$D21)&gt;0,'Strand Placement'!$A$37,COUNTIF('Strand Placement'!$B$48:$B$53,$D21)&gt;0,'Strand Placement'!$A$46,COUNTIF('Strand Placement'!$B$57:$B$62,$D21)&gt;0,'Strand Placement'!$A$55,COUNTIF('Strand Placement'!$B$66:$B$71,$D21)&gt;0,'Strand Placement'!$A$64,COUNTIF('Strand Placement'!$B$75:$B$80,$D21)&gt;0,'Strand Placement'!$A$73,COUNTIF('Strand Placement'!$B$84:$B$89,$D21)&gt;0,'Strand Placement'!$A$82,""))))</f>
        <v>Faith</v>
      </c>
      <c r="C21" s="246" t="str">
        <f t="array" ref="C21">IF($D21="","",IF($Y21&lt;&gt;"",$Y21,IF(COUNTIF('Student Work'!$C$24:$C$223,$D21)&gt;0,XLOOKUP($D21,'Student Work'!$C$24:$C$223,'Student Work'!$A$24:$A$223,""),LET(rowWho,XLOOKUP($D21,'Strand Placement'!$B$21:$B$89,'Strand Placement'!$C$21:$C$89,""),blockWho,SWITCH(TRUE,COUNTIF('Strand Placement'!$B$21:$B$26,$D21)&gt;0,'Strand Placement'!$C$6,COUNTIF('Strand Placement'!$B$30:$B$35,$D21)&gt;0,'Strand Placement'!$C$7,COUNTIF('Strand Placement'!$B$39:$B$44,$D21)&gt;0,'Strand Placement'!$C$8,COUNTIF('Strand Placement'!$B$48:$B$53,$D21)&gt;0,'Strand Placement'!$C$9,COUNTIF('Strand Placement'!$B$57:$B$62,$D21)&gt;0,'Strand Placement'!$C$10,COUNTIF('Strand Placement'!$B$66:$B$71,$D21)&gt;0,'Strand Placement'!$C$11,COUNTIF('Strand Placement'!$B$75:$B$80,$D21)&gt;0,'Strand Placement'!$C$12,COUNTIF('Strand Placement'!$B$84:$B$89,$D21)&gt;0,'Strand Placement'!$C$13,""),IF(rowWho&lt;&gt;"",rowWho,blockWho)))))</f>
        <v>Everyone</v>
      </c>
      <c r="D21" s="210" t="s">
        <v>241</v>
      </c>
      <c r="E21" s="210" t="s">
        <v>420</v>
      </c>
      <c r="F21" s="197" t="s">
        <v>101</v>
      </c>
      <c r="G21" s="246">
        <v>1.0</v>
      </c>
      <c r="H21" s="246">
        <v>25.0</v>
      </c>
      <c r="I21" s="246">
        <v>1.0</v>
      </c>
      <c r="J21" s="353"/>
      <c r="K21" s="246" t="str">
        <f t="shared" si="2"/>
        <v>1x/week</v>
      </c>
      <c r="L21" s="197">
        <v>3.0</v>
      </c>
      <c r="M21" s="324"/>
      <c r="N21" s="8">
        <f t="shared" si="3"/>
        <v>25</v>
      </c>
      <c r="O21" s="325" t="str">
        <f t="shared" si="4"/>
        <v>Everyone | All Together / Bible — Old Testament</v>
      </c>
      <c r="P21" s="355">
        <v>2.0</v>
      </c>
      <c r="Q21" s="327" t="str">
        <f t="shared" si="5"/>
        <v>After Previous in Resource Stream</v>
      </c>
      <c r="R21" s="328">
        <f>IFERROR(__xludf.DUMMYFUNCTION("IF(A21&lt;&gt;""☑"","""",IF(OR(Q21="""",Q21=""Manual Start""),J21,IF(OR(Q21=""After Previous in Resource Stream"",Q21=""After Previous in Sequence""),IFERROR(LET(prevfinish,IF(P21&lt;&gt;"""",SUMIFS($S$10:S20,$O$10:O20,O21,$P$10:P20,P21-1),LOOKUP(2,1/($O$10:O20=O21),"&amp;"$S$10:S20)),IF(prevfinish=0,"""",MIN(FILTER('School Calendar'!$A$44:$A$408,('School Calendar'!$A$44:$A$408&gt;prevfinish)*('School Calendar'!$I$44:$I$408&gt;0))))),""""),J21)))"),46385.0)</f>
        <v>46385</v>
      </c>
      <c r="S21" s="329">
        <f>IFERROR(__xludf.DUMMYFUNCTION("IF(OR(A21&lt;&gt;""☑"",R21="""",N21=""""),"""",IFERROR(LET(st,R21,n,N21,pace,K21,gap,MAX(1,L21),calDates,'School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week"",10*(n-1),""Custom"",gap*(n-1),n-1),INDEX(eligibleDates,startPos+offset)),""""))"),46567.0)</f>
        <v>46567</v>
      </c>
      <c r="T21" s="330"/>
      <c r="U21" s="346" t="str">
        <f t="shared" si="6"/>
        <v/>
      </c>
      <c r="V21" s="332" t="str">
        <f>IF($D21="","",IF(COUNTIF('Student Work'!$C$24:$C$223,$D21)&gt;0,"Individual",SWITCH(TRUE,COUNTIF('Strand Placement'!$B$21:$B$26,$D21)&gt;0,'Strand Placement'!$D$6,COUNTIF('Strand Placement'!$B$30:$B$35,$D21)&gt;0,'Strand Placement'!$D$7,COUNTIF('Strand Placement'!$B$39:$B$44,$D21)&gt;0,'Strand Placement'!$D$8,COUNTIF('Strand Placement'!$B$48:$B$53,$D21)&gt;0,'Strand Placement'!$D$9,COUNTIF('Strand Placement'!$B$57:$B$62,$D21)&gt;0,'Strand Placement'!$D$10,COUNTIF('Strand Placement'!$B$66:$B$71,$D21)&gt;0,'Strand Placement'!$D$11,COUNTIF('Strand Placement'!$B$75:$B$80,$D21)&gt;0,'Strand Placement'!$D$12,COUNTIF('Strand Placement'!$B$84:$B$89,$D21)&gt;0,'Strand Placement'!$D$13,"")))</f>
        <v>Group</v>
      </c>
      <c r="W21" s="332" t="str">
        <f t="array" ref="W21">IF($D21="","",IF($AB21&lt;&gt;"",$AB21,IF(COUNTIF('Student Work'!$C$24:$C$223,$D21)&gt;0,XLOOKUP($D21,'Student Work'!$C$24:$C$223,'Student Work'!$D$24:$D$223,""),LET(rowRole,XLOOKUP($D21,'Strand Placement'!$B$21:$B$89,'Strand Placement'!$D$21:$D$89,""),blockRole,SWITCH(TRUE,COUNTIF('Strand Placement'!$B$21:$B$26,$D21)&gt;0,'Strand Placement'!$E$6,COUNTIF('Strand Placement'!$B$30:$B$35,$D21)&gt;0,'Strand Placement'!$E$7,COUNTIF('Strand Placement'!$B$39:$B$44,$D21)&gt;0,'Strand Placement'!$E$8,COUNTIF('Strand Placement'!$B$48:$B$53,$D21)&gt;0,'Strand Placement'!$E$9,COUNTIF('Strand Placement'!$B$57:$B$62,$D21)&gt;0,'Strand Placement'!$E$10,COUNTIF('Strand Placement'!$B$66:$B$71,$D21)&gt;0,'Strand Placement'!$E$11,COUNTIF('Strand Placement'!$B$75:$B$80,$D21)&gt;0,'Strand Placement'!$E$12,COUNTIF('Strand Placement'!$B$84:$B$89,$D21)&gt;0,'Strand Placement'!$E$13,""),IF(rowRole&lt;&gt;"",rowRole,blockRole)))))</f>
        <v>Mom-led</v>
      </c>
      <c r="X21" s="335"/>
      <c r="Y21" s="335"/>
      <c r="Z21" s="335"/>
      <c r="AA21" s="335"/>
      <c r="AB21" s="335"/>
      <c r="AC21" s="336" t="str">
        <f t="array" ref="AC21">IF($D21="","",IF(COUNTIF('Student Work'!$C$24:$C$223,$D21)&gt;0,XLOOKUP($D21,'Student Work'!$C$24:$C$223,'Student Work'!$E$24:$E$223,""),XLOOKUP($D21,'Strand Placement'!$B$21:$B$89,'Strand Placement'!$K$21:$K$89,"")))</f>
        <v>1x/week</v>
      </c>
      <c r="AD21" s="336" t="str">
        <f t="array" ref="AD21">IF($D21="","",IF(COUNTIF('Student Work'!$C$24:$C$223,$D21)&gt;0,XLOOKUP($D21,'Student Work'!$C$24:$C$223,'Student Work'!$H$24:$H$223,""),XLOOKUP($D21,'Strand Placement'!$B$21:$B$89,'Strand Placement'!$L$21:$L$89,"")))</f>
        <v>Everyone | All Together / Bible — Old Testament</v>
      </c>
      <c r="AE21" s="336"/>
      <c r="AF21" s="336"/>
      <c r="AG21" s="339" t="s">
        <v>421</v>
      </c>
      <c r="AH21" s="336"/>
    </row>
    <row r="22" ht="15.75" customHeight="1">
      <c r="A22" s="197" t="str">
        <f t="shared" si="1"/>
        <v>☑</v>
      </c>
      <c r="B22" s="246" t="str">
        <f t="array" ref="B22">IF($D22="","",IF($X22&lt;&gt;"",$X22,IF(COUNTIF('Student Work'!$C$24:$C$223,$D22)&gt;0,XLOOKUP($D22,'Student Work'!$C$24:$C$223,'Student Work'!$B$24:$B$223,""),SWITCH(TRUE,COUNTIF('Strand Placement'!$B$21:$B$26,$D22)&gt;0,'Strand Placement'!$A$19,COUNTIF('Strand Placement'!$B$30:$B$35,$D22)&gt;0,'Strand Placement'!$A$28,COUNTIF('Strand Placement'!$B$39:$B$44,$D22)&gt;0,'Strand Placement'!$A$37,COUNTIF('Strand Placement'!$B$48:$B$53,$D22)&gt;0,'Strand Placement'!$A$46,COUNTIF('Strand Placement'!$B$57:$B$62,$D22)&gt;0,'Strand Placement'!$A$55,COUNTIF('Strand Placement'!$B$66:$B$71,$D22)&gt;0,'Strand Placement'!$A$64,COUNTIF('Strand Placement'!$B$75:$B$80,$D22)&gt;0,'Strand Placement'!$A$73,COUNTIF('Strand Placement'!$B$84:$B$89,$D22)&gt;0,'Strand Placement'!$A$82,""))))</f>
        <v>Faith</v>
      </c>
      <c r="C22" s="246" t="str">
        <f t="array" ref="C22">IF($D22="","",IF($Y22&lt;&gt;"",$Y22,IF(COUNTIF('Student Work'!$C$24:$C$223,$D22)&gt;0,XLOOKUP($D22,'Student Work'!$C$24:$C$223,'Student Work'!$A$24:$A$223,""),LET(rowWho,XLOOKUP($D22,'Strand Placement'!$B$21:$B$89,'Strand Placement'!$C$21:$C$89,""),blockWho,SWITCH(TRUE,COUNTIF('Strand Placement'!$B$21:$B$26,$D22)&gt;0,'Strand Placement'!$C$6,COUNTIF('Strand Placement'!$B$30:$B$35,$D22)&gt;0,'Strand Placement'!$C$7,COUNTIF('Strand Placement'!$B$39:$B$44,$D22)&gt;0,'Strand Placement'!$C$8,COUNTIF('Strand Placement'!$B$48:$B$53,$D22)&gt;0,'Strand Placement'!$C$9,COUNTIF('Strand Placement'!$B$57:$B$62,$D22)&gt;0,'Strand Placement'!$C$10,COUNTIF('Strand Placement'!$B$66:$B$71,$D22)&gt;0,'Strand Placement'!$C$11,COUNTIF('Strand Placement'!$B$75:$B$80,$D22)&gt;0,'Strand Placement'!$C$12,COUNTIF('Strand Placement'!$B$84:$B$89,$D22)&gt;0,'Strand Placement'!$C$13,""),IF(rowWho&lt;&gt;"",rowWho,blockWho)))))</f>
        <v>Everyone</v>
      </c>
      <c r="D22" s="210" t="s">
        <v>245</v>
      </c>
      <c r="E22" s="210" t="s">
        <v>422</v>
      </c>
      <c r="F22" s="197" t="s">
        <v>101</v>
      </c>
      <c r="G22" s="246">
        <v>1.0</v>
      </c>
      <c r="H22" s="246">
        <v>30.0</v>
      </c>
      <c r="I22" s="246">
        <v>1.0</v>
      </c>
      <c r="J22" s="353">
        <v>46251.0</v>
      </c>
      <c r="K22" s="246" t="str">
        <f t="shared" si="2"/>
        <v>1x/week</v>
      </c>
      <c r="L22" s="197">
        <v>3.0</v>
      </c>
      <c r="M22" s="324"/>
      <c r="N22" s="8">
        <f t="shared" si="3"/>
        <v>30</v>
      </c>
      <c r="O22" s="325" t="str">
        <f t="shared" si="4"/>
        <v>Everyone | All Together / Bible — New Testament</v>
      </c>
      <c r="P22" s="355">
        <v>1.0</v>
      </c>
      <c r="Q22" s="327" t="str">
        <f t="shared" si="5"/>
        <v>Manual Start</v>
      </c>
      <c r="R22" s="358">
        <v>46251.0</v>
      </c>
      <c r="S22" s="329">
        <f>IFERROR(__xludf.DUMMYFUNCTION("IF(OR(A22&lt;&gt;""☑"",R22="""",N22=""""),"""",IFERROR(LET(st,R22,n,N22,pace,K22,gap,MAX(1,L22),calDates,'School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week"",10*(n-1),""Custom"",gap*(n-1),n-1),INDEX(eligibleDates,startPos+offset)),""""))"),46468.0)</f>
        <v>46468</v>
      </c>
      <c r="T22" s="330"/>
      <c r="U22" s="346" t="str">
        <f t="shared" si="6"/>
        <v/>
      </c>
      <c r="V22" s="332" t="str">
        <f>IF($D22="","",IF(COUNTIF('Student Work'!$C$24:$C$223,$D22)&gt;0,"Individual",SWITCH(TRUE,COUNTIF('Strand Placement'!$B$21:$B$26,$D22)&gt;0,'Strand Placement'!$D$6,COUNTIF('Strand Placement'!$B$30:$B$35,$D22)&gt;0,'Strand Placement'!$D$7,COUNTIF('Strand Placement'!$B$39:$B$44,$D22)&gt;0,'Strand Placement'!$D$8,COUNTIF('Strand Placement'!$B$48:$B$53,$D22)&gt;0,'Strand Placement'!$D$9,COUNTIF('Strand Placement'!$B$57:$B$62,$D22)&gt;0,'Strand Placement'!$D$10,COUNTIF('Strand Placement'!$B$66:$B$71,$D22)&gt;0,'Strand Placement'!$D$11,COUNTIF('Strand Placement'!$B$75:$B$80,$D22)&gt;0,'Strand Placement'!$D$12,COUNTIF('Strand Placement'!$B$84:$B$89,$D22)&gt;0,'Strand Placement'!$D$13,"")))</f>
        <v>Group</v>
      </c>
      <c r="W22" s="332" t="str">
        <f t="array" ref="W22">IF($D22="","",IF($AB22&lt;&gt;"",$AB22,IF(COUNTIF('Student Work'!$C$24:$C$223,$D22)&gt;0,XLOOKUP($D22,'Student Work'!$C$24:$C$223,'Student Work'!$D$24:$D$223,""),LET(rowRole,XLOOKUP($D22,'Strand Placement'!$B$21:$B$89,'Strand Placement'!$D$21:$D$89,""),blockRole,SWITCH(TRUE,COUNTIF('Strand Placement'!$B$21:$B$26,$D22)&gt;0,'Strand Placement'!$E$6,COUNTIF('Strand Placement'!$B$30:$B$35,$D22)&gt;0,'Strand Placement'!$E$7,COUNTIF('Strand Placement'!$B$39:$B$44,$D22)&gt;0,'Strand Placement'!$E$8,COUNTIF('Strand Placement'!$B$48:$B$53,$D22)&gt;0,'Strand Placement'!$E$9,COUNTIF('Strand Placement'!$B$57:$B$62,$D22)&gt;0,'Strand Placement'!$E$10,COUNTIF('Strand Placement'!$B$66:$B$71,$D22)&gt;0,'Strand Placement'!$E$11,COUNTIF('Strand Placement'!$B$75:$B$80,$D22)&gt;0,'Strand Placement'!$E$12,COUNTIF('Strand Placement'!$B$84:$B$89,$D22)&gt;0,'Strand Placement'!$E$13,""),IF(rowRole&lt;&gt;"",rowRole,blockRole)))))</f>
        <v>Mom-led</v>
      </c>
      <c r="X22" s="335"/>
      <c r="Y22" s="335"/>
      <c r="Z22" s="335"/>
      <c r="AA22" s="335"/>
      <c r="AB22" s="335"/>
      <c r="AC22" s="336" t="str">
        <f t="array" ref="AC22">IF($D22="","",IF(COUNTIF('Student Work'!$C$24:$C$223,$D22)&gt;0,XLOOKUP($D22,'Student Work'!$C$24:$C$223,'Student Work'!$E$24:$E$223,""),XLOOKUP($D22,'Strand Placement'!$B$21:$B$89,'Strand Placement'!$K$21:$K$89,"")))</f>
        <v>1x/week</v>
      </c>
      <c r="AD22" s="336" t="str">
        <f t="array" ref="AD22">IF($D22="","",IF(COUNTIF('Student Work'!$C$24:$C$223,$D22)&gt;0,XLOOKUP($D22,'Student Work'!$C$24:$C$223,'Student Work'!$H$24:$H$223,""),XLOOKUP($D22,'Strand Placement'!$B$21:$B$89,'Strand Placement'!$L$21:$L$89,"")))</f>
        <v>Everyone | All Together / Bible — New Testament</v>
      </c>
      <c r="AE22" s="336"/>
      <c r="AF22" s="336"/>
      <c r="AG22" s="339" t="s">
        <v>423</v>
      </c>
      <c r="AH22" s="336"/>
    </row>
    <row r="23" ht="15.75" customHeight="1">
      <c r="A23" s="197" t="str">
        <f t="shared" si="1"/>
        <v/>
      </c>
      <c r="B23" s="246" t="str">
        <f t="array" ref="B23">IF($D23="","",IF($X23&lt;&gt;"",$X23,IF(COUNTIF('Student Work'!$C$24:$C$223,$D23)&gt;0,XLOOKUP($D23,'Student Work'!$C$24:$C$223,'Student Work'!$B$24:$B$223,""),SWITCH(TRUE,COUNTIF('Strand Placement'!$B$21:$B$26,$D23)&gt;0,'Strand Placement'!$A$19,COUNTIF('Strand Placement'!$B$30:$B$35,$D23)&gt;0,'Strand Placement'!$A$28,COUNTIF('Strand Placement'!$B$39:$B$44,$D23)&gt;0,'Strand Placement'!$A$37,COUNTIF('Strand Placement'!$B$48:$B$53,$D23)&gt;0,'Strand Placement'!$A$46,COUNTIF('Strand Placement'!$B$57:$B$62,$D23)&gt;0,'Strand Placement'!$A$55,COUNTIF('Strand Placement'!$B$66:$B$71,$D23)&gt;0,'Strand Placement'!$A$64,COUNTIF('Strand Placement'!$B$75:$B$80,$D23)&gt;0,'Strand Placement'!$A$73,COUNTIF('Strand Placement'!$B$84:$B$89,$D23)&gt;0,'Strand Placement'!$A$82,""))))</f>
        <v/>
      </c>
      <c r="C23" s="246" t="str">
        <f t="array" ref="C23">IF($D23="","",IF($Y23&lt;&gt;"",$Y23,IF(COUNTIF('Student Work'!$C$24:$C$223,$D23)&gt;0,XLOOKUP($D23,'Student Work'!$C$24:$C$223,'Student Work'!$A$24:$A$223,""),LET(rowWho,XLOOKUP($D23,'Strand Placement'!$B$21:$B$89,'Strand Placement'!$C$21:$C$89,""),blockWho,SWITCH(TRUE,COUNTIF('Strand Placement'!$B$21:$B$26,$D23)&gt;0,'Strand Placement'!$C$6,COUNTIF('Strand Placement'!$B$30:$B$35,$D23)&gt;0,'Strand Placement'!$C$7,COUNTIF('Strand Placement'!$B$39:$B$44,$D23)&gt;0,'Strand Placement'!$C$8,COUNTIF('Strand Placement'!$B$48:$B$53,$D23)&gt;0,'Strand Placement'!$C$9,COUNTIF('Strand Placement'!$B$57:$B$62,$D23)&gt;0,'Strand Placement'!$C$10,COUNTIF('Strand Placement'!$B$66:$B$71,$D23)&gt;0,'Strand Placement'!$C$11,COUNTIF('Strand Placement'!$B$75:$B$80,$D23)&gt;0,'Strand Placement'!$C$12,COUNTIF('Strand Placement'!$B$84:$B$89,$D23)&gt;0,'Strand Placement'!$C$13,""),IF(rowWho&lt;&gt;"",rowWho,blockWho)))))</f>
        <v/>
      </c>
      <c r="D23" s="197"/>
      <c r="E23" s="197"/>
      <c r="F23" s="197" t="s">
        <v>101</v>
      </c>
      <c r="G23" s="197"/>
      <c r="H23" s="197"/>
      <c r="I23" s="197"/>
      <c r="J23" s="323"/>
      <c r="K23" s="246" t="str">
        <f t="shared" si="2"/>
        <v/>
      </c>
      <c r="L23" s="197">
        <v>3.0</v>
      </c>
      <c r="M23" s="324"/>
      <c r="N23" s="8" t="str">
        <f t="shared" si="3"/>
        <v/>
      </c>
      <c r="O23" s="325" t="str">
        <f t="shared" si="4"/>
        <v/>
      </c>
      <c r="P23" s="326"/>
      <c r="Q23" s="327" t="str">
        <f t="shared" si="5"/>
        <v/>
      </c>
      <c r="R23" s="328" t="str">
        <f>IFERROR(__xludf.DUMMYFUNCTION("IF(A23&lt;&gt;""☑"","""",IF(OR(Q23="""",Q23=""Manual Start""),J23,IF(OR(Q23=""After Previous in Resource Stream"",Q23=""After Previous in Sequence""),IFERROR(LET(prevfinish,IF(P23&lt;&gt;"""",SUMIFS($S$10:S22,$O$10:O22,O23,$P$10:P22,P23-1),LOOKUP(2,1/($O$10:O22=O23),"&amp;"$S$10:S22)),IF(prevfinish=0,"""",MIN(FILTER('School Calendar'!$A$44:$A$408,('School Calendar'!$A$44:$A$408&gt;prevfinish)*('School Calendar'!$I$44:$I$408&gt;0))))),""""),J23)))"),"")</f>
        <v/>
      </c>
      <c r="S23" s="329" t="str">
        <f>IFERROR(__xludf.DUMMYFUNCTION("IF(OR(A23&lt;&gt;""☑"",R23="""",N23=""""),"""",IFERROR(LET(st,R23,n,N23,pace,K23,gap,MAX(1,L23),calDates,'School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23" s="330"/>
      <c r="U23" s="346" t="str">
        <f t="shared" si="6"/>
        <v/>
      </c>
      <c r="V23" s="332" t="str">
        <f>IF($D23="","",IF(COUNTIF('Student Work'!$C$24:$C$223,$D23)&gt;0,"Individual",SWITCH(TRUE,COUNTIF('Strand Placement'!$B$21:$B$26,$D23)&gt;0,'Strand Placement'!$D$6,COUNTIF('Strand Placement'!$B$30:$B$35,$D23)&gt;0,'Strand Placement'!$D$7,COUNTIF('Strand Placement'!$B$39:$B$44,$D23)&gt;0,'Strand Placement'!$D$8,COUNTIF('Strand Placement'!$B$48:$B$53,$D23)&gt;0,'Strand Placement'!$D$9,COUNTIF('Strand Placement'!$B$57:$B$62,$D23)&gt;0,'Strand Placement'!$D$10,COUNTIF('Strand Placement'!$B$66:$B$71,$D23)&gt;0,'Strand Placement'!$D$11,COUNTIF('Strand Placement'!$B$75:$B$80,$D23)&gt;0,'Strand Placement'!$D$12,COUNTIF('Strand Placement'!$B$84:$B$89,$D23)&gt;0,'Strand Placement'!$D$13,"")))</f>
        <v/>
      </c>
      <c r="W23" s="332" t="str">
        <f t="array" ref="W23">IF($D23="","",IF($AB23&lt;&gt;"",$AB23,IF(COUNTIF('Student Work'!$C$24:$C$223,$D23)&gt;0,XLOOKUP($D23,'Student Work'!$C$24:$C$223,'Student Work'!$D$24:$D$223,""),LET(rowRole,XLOOKUP($D23,'Strand Placement'!$B$21:$B$89,'Strand Placement'!$D$21:$D$89,""),blockRole,SWITCH(TRUE,COUNTIF('Strand Placement'!$B$21:$B$26,$D23)&gt;0,'Strand Placement'!$E$6,COUNTIF('Strand Placement'!$B$30:$B$35,$D23)&gt;0,'Strand Placement'!$E$7,COUNTIF('Strand Placement'!$B$39:$B$44,$D23)&gt;0,'Strand Placement'!$E$8,COUNTIF('Strand Placement'!$B$48:$B$53,$D23)&gt;0,'Strand Placement'!$E$9,COUNTIF('Strand Placement'!$B$57:$B$62,$D23)&gt;0,'Strand Placement'!$E$10,COUNTIF('Strand Placement'!$B$66:$B$71,$D23)&gt;0,'Strand Placement'!$E$11,COUNTIF('Strand Placement'!$B$75:$B$80,$D23)&gt;0,'Strand Placement'!$E$12,COUNTIF('Strand Placement'!$B$84:$B$89,$D23)&gt;0,'Strand Placement'!$E$13,""),IF(rowRole&lt;&gt;"",rowRole,blockRole)))))</f>
        <v/>
      </c>
      <c r="X23" s="335"/>
      <c r="Y23" s="335"/>
      <c r="Z23" s="335"/>
      <c r="AA23" s="335"/>
      <c r="AB23" s="335"/>
      <c r="AC23" s="336" t="str">
        <f t="array" ref="AC23">IF($D23="","",IF(COUNTIF('Student Work'!$C$24:$C$223,$D23)&gt;0,XLOOKUP($D23,'Student Work'!$C$24:$C$223,'Student Work'!$E$24:$E$223,""),XLOOKUP($D23,'Strand Placement'!$B$21:$B$89,'Strand Placement'!$K$21:$K$89,"")))</f>
        <v/>
      </c>
      <c r="AD23" s="336" t="str">
        <f t="array" ref="AD23">IF($D23="","",IF(COUNTIF('Student Work'!$C$24:$C$223,$D23)&gt;0,XLOOKUP($D23,'Student Work'!$C$24:$C$223,'Student Work'!$H$24:$H$223,""),XLOOKUP($D23,'Strand Placement'!$B$21:$B$89,'Strand Placement'!$L$21:$L$89,"")))</f>
        <v/>
      </c>
      <c r="AE23" s="336"/>
      <c r="AF23" s="336"/>
      <c r="AG23" s="339" t="s">
        <v>424</v>
      </c>
      <c r="AH23" s="336"/>
    </row>
    <row r="24" ht="15.75" customHeight="1">
      <c r="A24" s="197" t="str">
        <f t="shared" si="1"/>
        <v/>
      </c>
      <c r="B24" s="246" t="str">
        <f t="array" ref="B24">IF($D24="","",IF($X24&lt;&gt;"",$X24,IF(COUNTIF('Student Work'!$C$24:$C$223,$D24)&gt;0,XLOOKUP($D24,'Student Work'!$C$24:$C$223,'Student Work'!$B$24:$B$223,""),SWITCH(TRUE,COUNTIF('Strand Placement'!$B$21:$B$26,$D24)&gt;0,'Strand Placement'!$A$19,COUNTIF('Strand Placement'!$B$30:$B$35,$D24)&gt;0,'Strand Placement'!$A$28,COUNTIF('Strand Placement'!$B$39:$B$44,$D24)&gt;0,'Strand Placement'!$A$37,COUNTIF('Strand Placement'!$B$48:$B$53,$D24)&gt;0,'Strand Placement'!$A$46,COUNTIF('Strand Placement'!$B$57:$B$62,$D24)&gt;0,'Strand Placement'!$A$55,COUNTIF('Strand Placement'!$B$66:$B$71,$D24)&gt;0,'Strand Placement'!$A$64,COUNTIF('Strand Placement'!$B$75:$B$80,$D24)&gt;0,'Strand Placement'!$A$73,COUNTIF('Strand Placement'!$B$84:$B$89,$D24)&gt;0,'Strand Placement'!$A$82,""))))</f>
        <v/>
      </c>
      <c r="C24" s="246" t="str">
        <f t="array" ref="C24">IF($D24="","",IF($Y24&lt;&gt;"",$Y24,IF(COUNTIF('Student Work'!$C$24:$C$223,$D24)&gt;0,XLOOKUP($D24,'Student Work'!$C$24:$C$223,'Student Work'!$A$24:$A$223,""),LET(rowWho,XLOOKUP($D24,'Strand Placement'!$B$21:$B$89,'Strand Placement'!$C$21:$C$89,""),blockWho,SWITCH(TRUE,COUNTIF('Strand Placement'!$B$21:$B$26,$D24)&gt;0,'Strand Placement'!$C$6,COUNTIF('Strand Placement'!$B$30:$B$35,$D24)&gt;0,'Strand Placement'!$C$7,COUNTIF('Strand Placement'!$B$39:$B$44,$D24)&gt;0,'Strand Placement'!$C$8,COUNTIF('Strand Placement'!$B$48:$B$53,$D24)&gt;0,'Strand Placement'!$C$9,COUNTIF('Strand Placement'!$B$57:$B$62,$D24)&gt;0,'Strand Placement'!$C$10,COUNTIF('Strand Placement'!$B$66:$B$71,$D24)&gt;0,'Strand Placement'!$C$11,COUNTIF('Strand Placement'!$B$75:$B$80,$D24)&gt;0,'Strand Placement'!$C$12,COUNTIF('Strand Placement'!$B$84:$B$89,$D24)&gt;0,'Strand Placement'!$C$13,""),IF(rowWho&lt;&gt;"",rowWho,blockWho)))))</f>
        <v/>
      </c>
      <c r="D24" s="197"/>
      <c r="E24" s="197"/>
      <c r="F24" s="197" t="s">
        <v>101</v>
      </c>
      <c r="G24" s="197"/>
      <c r="H24" s="197"/>
      <c r="I24" s="197"/>
      <c r="J24" s="323"/>
      <c r="K24" s="246" t="str">
        <f t="shared" si="2"/>
        <v/>
      </c>
      <c r="L24" s="197">
        <v>3.0</v>
      </c>
      <c r="M24" s="324"/>
      <c r="N24" s="8" t="str">
        <f t="shared" si="3"/>
        <v/>
      </c>
      <c r="O24" s="325" t="str">
        <f t="shared" si="4"/>
        <v/>
      </c>
      <c r="P24" s="326"/>
      <c r="Q24" s="327" t="str">
        <f t="shared" si="5"/>
        <v/>
      </c>
      <c r="R24" s="328" t="str">
        <f>IFERROR(__xludf.DUMMYFUNCTION("IF(A24&lt;&gt;""☑"","""",IF(OR(Q24="""",Q24=""Manual Start""),J24,IF(OR(Q24=""After Previous in Resource Stream"",Q24=""After Previous in Sequence""),IFERROR(LET(prevfinish,IF(P24&lt;&gt;"""",SUMIFS($S$10:S23,$O$10:O23,O24,$P$10:P23,P24-1),LOOKUP(2,1/($O$10:O23=O24),"&amp;"$S$10:S23)),IF(prevfinish=0,"""",MIN(FILTER('School Calendar'!$A$44:$A$408,('School Calendar'!$A$44:$A$408&gt;prevfinish)*('School Calendar'!$I$44:$I$408&gt;0))))),""""),J24)))"),"")</f>
        <v/>
      </c>
      <c r="S24" s="329" t="str">
        <f>IFERROR(__xludf.DUMMYFUNCTION("IF(OR(A24&lt;&gt;""☑"",R24="""",N24=""""),"""",IFERROR(LET(st,R24,n,N24,pace,K24,gap,MAX(1,L24),calDates,'School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24" s="330"/>
      <c r="U24" s="346" t="str">
        <f t="shared" si="6"/>
        <v/>
      </c>
      <c r="V24" s="332" t="str">
        <f>IF($D24="","",IF(COUNTIF('Student Work'!$C$24:$C$223,$D24)&gt;0,"Individual",SWITCH(TRUE,COUNTIF('Strand Placement'!$B$21:$B$26,$D24)&gt;0,'Strand Placement'!$D$6,COUNTIF('Strand Placement'!$B$30:$B$35,$D24)&gt;0,'Strand Placement'!$D$7,COUNTIF('Strand Placement'!$B$39:$B$44,$D24)&gt;0,'Strand Placement'!$D$8,COUNTIF('Strand Placement'!$B$48:$B$53,$D24)&gt;0,'Strand Placement'!$D$9,COUNTIF('Strand Placement'!$B$57:$B$62,$D24)&gt;0,'Strand Placement'!$D$10,COUNTIF('Strand Placement'!$B$66:$B$71,$D24)&gt;0,'Strand Placement'!$D$11,COUNTIF('Strand Placement'!$B$75:$B$80,$D24)&gt;0,'Strand Placement'!$D$12,COUNTIF('Strand Placement'!$B$84:$B$89,$D24)&gt;0,'Strand Placement'!$D$13,"")))</f>
        <v/>
      </c>
      <c r="W24" s="332" t="str">
        <f t="array" ref="W24">IF($D24="","",IF($AB24&lt;&gt;"",$AB24,IF(COUNTIF('Student Work'!$C$24:$C$223,$D24)&gt;0,XLOOKUP($D24,'Student Work'!$C$24:$C$223,'Student Work'!$D$24:$D$223,""),LET(rowRole,XLOOKUP($D24,'Strand Placement'!$B$21:$B$89,'Strand Placement'!$D$21:$D$89,""),blockRole,SWITCH(TRUE,COUNTIF('Strand Placement'!$B$21:$B$26,$D24)&gt;0,'Strand Placement'!$E$6,COUNTIF('Strand Placement'!$B$30:$B$35,$D24)&gt;0,'Strand Placement'!$E$7,COUNTIF('Strand Placement'!$B$39:$B$44,$D24)&gt;0,'Strand Placement'!$E$8,COUNTIF('Strand Placement'!$B$48:$B$53,$D24)&gt;0,'Strand Placement'!$E$9,COUNTIF('Strand Placement'!$B$57:$B$62,$D24)&gt;0,'Strand Placement'!$E$10,COUNTIF('Strand Placement'!$B$66:$B$71,$D24)&gt;0,'Strand Placement'!$E$11,COUNTIF('Strand Placement'!$B$75:$B$80,$D24)&gt;0,'Strand Placement'!$E$12,COUNTIF('Strand Placement'!$B$84:$B$89,$D24)&gt;0,'Strand Placement'!$E$13,""),IF(rowRole&lt;&gt;"",rowRole,blockRole)))))</f>
        <v/>
      </c>
      <c r="X24" s="335"/>
      <c r="Y24" s="335"/>
      <c r="Z24" s="335"/>
      <c r="AA24" s="335"/>
      <c r="AB24" s="335"/>
      <c r="AC24" s="336" t="str">
        <f t="array" ref="AC24">IF($D24="","",IF(COUNTIF('Student Work'!$C$24:$C$223,$D24)&gt;0,XLOOKUP($D24,'Student Work'!$C$24:$C$223,'Student Work'!$E$24:$E$223,""),XLOOKUP($D24,'Strand Placement'!$B$21:$B$89,'Strand Placement'!$K$21:$K$89,"")))</f>
        <v/>
      </c>
      <c r="AD24" s="336" t="str">
        <f t="array" ref="AD24">IF($D24="","",IF(COUNTIF('Student Work'!$C$24:$C$223,$D24)&gt;0,XLOOKUP($D24,'Student Work'!$C$24:$C$223,'Student Work'!$H$24:$H$223,""),XLOOKUP($D24,'Strand Placement'!$B$21:$B$89,'Strand Placement'!$L$21:$L$89,"")))</f>
        <v/>
      </c>
      <c r="AE24" s="336"/>
      <c r="AF24" s="336"/>
      <c r="AG24" s="339" t="s">
        <v>425</v>
      </c>
      <c r="AH24" s="336"/>
    </row>
    <row r="25" ht="15.75" customHeight="1">
      <c r="A25" s="197" t="str">
        <f t="shared" si="1"/>
        <v/>
      </c>
      <c r="B25" s="246" t="str">
        <f t="array" ref="B25">IF($D25="","",IF($X25&lt;&gt;"",$X25,IF(COUNTIF('Student Work'!$C$24:$C$223,$D25)&gt;0,XLOOKUP($D25,'Student Work'!$C$24:$C$223,'Student Work'!$B$24:$B$223,""),SWITCH(TRUE,COUNTIF('Strand Placement'!$B$21:$B$26,$D25)&gt;0,'Strand Placement'!$A$19,COUNTIF('Strand Placement'!$B$30:$B$35,$D25)&gt;0,'Strand Placement'!$A$28,COUNTIF('Strand Placement'!$B$39:$B$44,$D25)&gt;0,'Strand Placement'!$A$37,COUNTIF('Strand Placement'!$B$48:$B$53,$D25)&gt;0,'Strand Placement'!$A$46,COUNTIF('Strand Placement'!$B$57:$B$62,$D25)&gt;0,'Strand Placement'!$A$55,COUNTIF('Strand Placement'!$B$66:$B$71,$D25)&gt;0,'Strand Placement'!$A$64,COUNTIF('Strand Placement'!$B$75:$B$80,$D25)&gt;0,'Strand Placement'!$A$73,COUNTIF('Strand Placement'!$B$84:$B$89,$D25)&gt;0,'Strand Placement'!$A$82,""))))</f>
        <v/>
      </c>
      <c r="C25" s="246" t="str">
        <f t="array" ref="C25">IF($D25="","",IF($Y25&lt;&gt;"",$Y25,IF(COUNTIF('Student Work'!$C$24:$C$223,$D25)&gt;0,XLOOKUP($D25,'Student Work'!$C$24:$C$223,'Student Work'!$A$24:$A$223,""),LET(rowWho,XLOOKUP($D25,'Strand Placement'!$B$21:$B$89,'Strand Placement'!$C$21:$C$89,""),blockWho,SWITCH(TRUE,COUNTIF('Strand Placement'!$B$21:$B$26,$D25)&gt;0,'Strand Placement'!$C$6,COUNTIF('Strand Placement'!$B$30:$B$35,$D25)&gt;0,'Strand Placement'!$C$7,COUNTIF('Strand Placement'!$B$39:$B$44,$D25)&gt;0,'Strand Placement'!$C$8,COUNTIF('Strand Placement'!$B$48:$B$53,$D25)&gt;0,'Strand Placement'!$C$9,COUNTIF('Strand Placement'!$B$57:$B$62,$D25)&gt;0,'Strand Placement'!$C$10,COUNTIF('Strand Placement'!$B$66:$B$71,$D25)&gt;0,'Strand Placement'!$C$11,COUNTIF('Strand Placement'!$B$75:$B$80,$D25)&gt;0,'Strand Placement'!$C$12,COUNTIF('Strand Placement'!$B$84:$B$89,$D25)&gt;0,'Strand Placement'!$C$13,""),IF(rowWho&lt;&gt;"",rowWho,blockWho)))))</f>
        <v/>
      </c>
      <c r="D25" s="197"/>
      <c r="E25" s="197"/>
      <c r="F25" s="197" t="s">
        <v>101</v>
      </c>
      <c r="G25" s="197"/>
      <c r="H25" s="197"/>
      <c r="I25" s="197"/>
      <c r="J25" s="323"/>
      <c r="K25" s="246" t="str">
        <f t="shared" si="2"/>
        <v/>
      </c>
      <c r="L25" s="197">
        <v>3.0</v>
      </c>
      <c r="M25" s="324"/>
      <c r="N25" s="8" t="str">
        <f t="shared" si="3"/>
        <v/>
      </c>
      <c r="O25" s="325" t="str">
        <f t="shared" si="4"/>
        <v/>
      </c>
      <c r="P25" s="326"/>
      <c r="Q25" s="327" t="str">
        <f t="shared" si="5"/>
        <v/>
      </c>
      <c r="R25" s="328" t="str">
        <f>IFERROR(__xludf.DUMMYFUNCTION("IF(A25&lt;&gt;""☑"","""",IF(OR(Q25="""",Q25=""Manual Start""),J25,IF(OR(Q25=""After Previous in Resource Stream"",Q25=""After Previous in Sequence""),IFERROR(LET(prevfinish,IF(P25&lt;&gt;"""",SUMIFS($S$10:S24,$O$10:O24,O25,$P$10:P24,P25-1),LOOKUP(2,1/($O$10:O24=O25),"&amp;"$S$10:S24)),IF(prevfinish=0,"""",MIN(FILTER('School Calendar'!$A$44:$A$408,('School Calendar'!$A$44:$A$408&gt;prevfinish)*('School Calendar'!$I$44:$I$408&gt;0))))),""""),J25)))"),"")</f>
        <v/>
      </c>
      <c r="S25" s="329" t="str">
        <f>IFERROR(__xludf.DUMMYFUNCTION("IF(OR(A25&lt;&gt;""☑"",R25="""",N25=""""),"""",IFERROR(LET(st,R25,n,N25,pace,K25,gap,MAX(1,L25),calDates,'School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25" s="330"/>
      <c r="U25" s="346" t="str">
        <f t="shared" si="6"/>
        <v/>
      </c>
      <c r="V25" s="332" t="str">
        <f>IF($D25="","",IF(COUNTIF('Student Work'!$C$24:$C$223,$D25)&gt;0,"Individual",SWITCH(TRUE,COUNTIF('Strand Placement'!$B$21:$B$26,$D25)&gt;0,'Strand Placement'!$D$6,COUNTIF('Strand Placement'!$B$30:$B$35,$D25)&gt;0,'Strand Placement'!$D$7,COUNTIF('Strand Placement'!$B$39:$B$44,$D25)&gt;0,'Strand Placement'!$D$8,COUNTIF('Strand Placement'!$B$48:$B$53,$D25)&gt;0,'Strand Placement'!$D$9,COUNTIF('Strand Placement'!$B$57:$B$62,$D25)&gt;0,'Strand Placement'!$D$10,COUNTIF('Strand Placement'!$B$66:$B$71,$D25)&gt;0,'Strand Placement'!$D$11,COUNTIF('Strand Placement'!$B$75:$B$80,$D25)&gt;0,'Strand Placement'!$D$12,COUNTIF('Strand Placement'!$B$84:$B$89,$D25)&gt;0,'Strand Placement'!$D$13,"")))</f>
        <v/>
      </c>
      <c r="W25" s="332" t="str">
        <f t="array" ref="W25">IF($D25="","",IF($AB25&lt;&gt;"",$AB25,IF(COUNTIF('Student Work'!$C$24:$C$223,$D25)&gt;0,XLOOKUP($D25,'Student Work'!$C$24:$C$223,'Student Work'!$D$24:$D$223,""),LET(rowRole,XLOOKUP($D25,'Strand Placement'!$B$21:$B$89,'Strand Placement'!$D$21:$D$89,""),blockRole,SWITCH(TRUE,COUNTIF('Strand Placement'!$B$21:$B$26,$D25)&gt;0,'Strand Placement'!$E$6,COUNTIF('Strand Placement'!$B$30:$B$35,$D25)&gt;0,'Strand Placement'!$E$7,COUNTIF('Strand Placement'!$B$39:$B$44,$D25)&gt;0,'Strand Placement'!$E$8,COUNTIF('Strand Placement'!$B$48:$B$53,$D25)&gt;0,'Strand Placement'!$E$9,COUNTIF('Strand Placement'!$B$57:$B$62,$D25)&gt;0,'Strand Placement'!$E$10,COUNTIF('Strand Placement'!$B$66:$B$71,$D25)&gt;0,'Strand Placement'!$E$11,COUNTIF('Strand Placement'!$B$75:$B$80,$D25)&gt;0,'Strand Placement'!$E$12,COUNTIF('Strand Placement'!$B$84:$B$89,$D25)&gt;0,'Strand Placement'!$E$13,""),IF(rowRole&lt;&gt;"",rowRole,blockRole)))))</f>
        <v/>
      </c>
      <c r="X25" s="335"/>
      <c r="Y25" s="335"/>
      <c r="Z25" s="335"/>
      <c r="AA25" s="335"/>
      <c r="AB25" s="335"/>
      <c r="AC25" s="336" t="str">
        <f t="array" ref="AC25">IF($D25="","",IF(COUNTIF('Student Work'!$C$24:$C$223,$D25)&gt;0,XLOOKUP($D25,'Student Work'!$C$24:$C$223,'Student Work'!$E$24:$E$223,""),XLOOKUP($D25,'Strand Placement'!$B$21:$B$89,'Strand Placement'!$K$21:$K$89,"")))</f>
        <v/>
      </c>
      <c r="AD25" s="336" t="str">
        <f t="array" ref="AD25">IF($D25="","",IF(COUNTIF('Student Work'!$C$24:$C$223,$D25)&gt;0,XLOOKUP($D25,'Student Work'!$C$24:$C$223,'Student Work'!$H$24:$H$223,""),XLOOKUP($D25,'Strand Placement'!$B$21:$B$89,'Strand Placement'!$L$21:$L$89,"")))</f>
        <v/>
      </c>
      <c r="AE25" s="336"/>
      <c r="AF25" s="336"/>
      <c r="AG25" s="339" t="s">
        <v>426</v>
      </c>
      <c r="AH25" s="336"/>
    </row>
    <row r="26" ht="15.75" customHeight="1">
      <c r="A26" s="197" t="str">
        <f t="shared" si="1"/>
        <v/>
      </c>
      <c r="B26" s="246" t="str">
        <f t="array" ref="B26">IF($D26="","",IF($X26&lt;&gt;"",$X26,IF(COUNTIF('Student Work'!$C$24:$C$223,$D26)&gt;0,XLOOKUP($D26,'Student Work'!$C$24:$C$223,'Student Work'!$B$24:$B$223,""),SWITCH(TRUE,COUNTIF('Strand Placement'!$B$21:$B$26,$D26)&gt;0,'Strand Placement'!$A$19,COUNTIF('Strand Placement'!$B$30:$B$35,$D26)&gt;0,'Strand Placement'!$A$28,COUNTIF('Strand Placement'!$B$39:$B$44,$D26)&gt;0,'Strand Placement'!$A$37,COUNTIF('Strand Placement'!$B$48:$B$53,$D26)&gt;0,'Strand Placement'!$A$46,COUNTIF('Strand Placement'!$B$57:$B$62,$D26)&gt;0,'Strand Placement'!$A$55,COUNTIF('Strand Placement'!$B$66:$B$71,$D26)&gt;0,'Strand Placement'!$A$64,COUNTIF('Strand Placement'!$B$75:$B$80,$D26)&gt;0,'Strand Placement'!$A$73,COUNTIF('Strand Placement'!$B$84:$B$89,$D26)&gt;0,'Strand Placement'!$A$82,""))))</f>
        <v/>
      </c>
      <c r="C26" s="246" t="str">
        <f t="array" ref="C26">IF($D26="","",IF($Y26&lt;&gt;"",$Y26,IF(COUNTIF('Student Work'!$C$24:$C$223,$D26)&gt;0,XLOOKUP($D26,'Student Work'!$C$24:$C$223,'Student Work'!$A$24:$A$223,""),LET(rowWho,XLOOKUP($D26,'Strand Placement'!$B$21:$B$89,'Strand Placement'!$C$21:$C$89,""),blockWho,SWITCH(TRUE,COUNTIF('Strand Placement'!$B$21:$B$26,$D26)&gt;0,'Strand Placement'!$C$6,COUNTIF('Strand Placement'!$B$30:$B$35,$D26)&gt;0,'Strand Placement'!$C$7,COUNTIF('Strand Placement'!$B$39:$B$44,$D26)&gt;0,'Strand Placement'!$C$8,COUNTIF('Strand Placement'!$B$48:$B$53,$D26)&gt;0,'Strand Placement'!$C$9,COUNTIF('Strand Placement'!$B$57:$B$62,$D26)&gt;0,'Strand Placement'!$C$10,COUNTIF('Strand Placement'!$B$66:$B$71,$D26)&gt;0,'Strand Placement'!$C$11,COUNTIF('Strand Placement'!$B$75:$B$80,$D26)&gt;0,'Strand Placement'!$C$12,COUNTIF('Strand Placement'!$B$84:$B$89,$D26)&gt;0,'Strand Placement'!$C$13,""),IF(rowWho&lt;&gt;"",rowWho,blockWho)))))</f>
        <v/>
      </c>
      <c r="D26" s="197"/>
      <c r="E26" s="197"/>
      <c r="F26" s="197" t="s">
        <v>101</v>
      </c>
      <c r="G26" s="197"/>
      <c r="H26" s="197"/>
      <c r="I26" s="197"/>
      <c r="J26" s="323"/>
      <c r="K26" s="246" t="str">
        <f t="shared" si="2"/>
        <v/>
      </c>
      <c r="L26" s="197">
        <v>3.0</v>
      </c>
      <c r="M26" s="324"/>
      <c r="N26" s="8" t="str">
        <f t="shared" si="3"/>
        <v/>
      </c>
      <c r="O26" s="325" t="str">
        <f t="shared" si="4"/>
        <v/>
      </c>
      <c r="P26" s="326"/>
      <c r="Q26" s="327" t="str">
        <f t="shared" si="5"/>
        <v/>
      </c>
      <c r="R26" s="328" t="str">
        <f>IFERROR(__xludf.DUMMYFUNCTION("IF(A26&lt;&gt;""☑"","""",IF(OR(Q26="""",Q26=""Manual Start""),J26,IF(OR(Q26=""After Previous in Resource Stream"",Q26=""After Previous in Sequence""),IFERROR(LET(prevfinish,IF(P26&lt;&gt;"""",SUMIFS($S$10:S25,$O$10:O25,O26,$P$10:P25,P26-1),LOOKUP(2,1/($O$10:O25=O26),"&amp;"$S$10:S25)),IF(prevfinish=0,"""",MIN(FILTER('School Calendar'!$A$44:$A$408,('School Calendar'!$A$44:$A$408&gt;prevfinish)*('School Calendar'!$I$44:$I$408&gt;0))))),""""),J26)))"),"")</f>
        <v/>
      </c>
      <c r="S26" s="329" t="str">
        <f>IFERROR(__xludf.DUMMYFUNCTION("IF(OR(A26&lt;&gt;""☑"",R26="""",N26=""""),"""",IFERROR(LET(st,R26,n,N26,pace,K26,gap,MAX(1,L26),calDates,'School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26" s="330"/>
      <c r="U26" s="346" t="str">
        <f t="shared" si="6"/>
        <v/>
      </c>
      <c r="V26" s="332" t="str">
        <f>IF($D26="","",IF(COUNTIF('Student Work'!$C$24:$C$223,$D26)&gt;0,"Individual",SWITCH(TRUE,COUNTIF('Strand Placement'!$B$21:$B$26,$D26)&gt;0,'Strand Placement'!$D$6,COUNTIF('Strand Placement'!$B$30:$B$35,$D26)&gt;0,'Strand Placement'!$D$7,COUNTIF('Strand Placement'!$B$39:$B$44,$D26)&gt;0,'Strand Placement'!$D$8,COUNTIF('Strand Placement'!$B$48:$B$53,$D26)&gt;0,'Strand Placement'!$D$9,COUNTIF('Strand Placement'!$B$57:$B$62,$D26)&gt;0,'Strand Placement'!$D$10,COUNTIF('Strand Placement'!$B$66:$B$71,$D26)&gt;0,'Strand Placement'!$D$11,COUNTIF('Strand Placement'!$B$75:$B$80,$D26)&gt;0,'Strand Placement'!$D$12,COUNTIF('Strand Placement'!$B$84:$B$89,$D26)&gt;0,'Strand Placement'!$D$13,"")))</f>
        <v/>
      </c>
      <c r="W26" s="332" t="str">
        <f t="array" ref="W26">IF($D26="","",IF($AB26&lt;&gt;"",$AB26,IF(COUNTIF('Student Work'!$C$24:$C$223,$D26)&gt;0,XLOOKUP($D26,'Student Work'!$C$24:$C$223,'Student Work'!$D$24:$D$223,""),LET(rowRole,XLOOKUP($D26,'Strand Placement'!$B$21:$B$89,'Strand Placement'!$D$21:$D$89,""),blockRole,SWITCH(TRUE,COUNTIF('Strand Placement'!$B$21:$B$26,$D26)&gt;0,'Strand Placement'!$E$6,COUNTIF('Strand Placement'!$B$30:$B$35,$D26)&gt;0,'Strand Placement'!$E$7,COUNTIF('Strand Placement'!$B$39:$B$44,$D26)&gt;0,'Strand Placement'!$E$8,COUNTIF('Strand Placement'!$B$48:$B$53,$D26)&gt;0,'Strand Placement'!$E$9,COUNTIF('Strand Placement'!$B$57:$B$62,$D26)&gt;0,'Strand Placement'!$E$10,COUNTIF('Strand Placement'!$B$66:$B$71,$D26)&gt;0,'Strand Placement'!$E$11,COUNTIF('Strand Placement'!$B$75:$B$80,$D26)&gt;0,'Strand Placement'!$E$12,COUNTIF('Strand Placement'!$B$84:$B$89,$D26)&gt;0,'Strand Placement'!$E$13,""),IF(rowRole&lt;&gt;"",rowRole,blockRole)))))</f>
        <v/>
      </c>
      <c r="X26" s="335"/>
      <c r="Y26" s="335"/>
      <c r="Z26" s="335"/>
      <c r="AA26" s="335"/>
      <c r="AB26" s="335"/>
      <c r="AC26" s="336" t="str">
        <f t="array" ref="AC26">IF($D26="","",IF(COUNTIF('Student Work'!$C$24:$C$223,$D26)&gt;0,XLOOKUP($D26,'Student Work'!$C$24:$C$223,'Student Work'!$E$24:$E$223,""),XLOOKUP($D26,'Strand Placement'!$B$21:$B$89,'Strand Placement'!$K$21:$K$89,"")))</f>
        <v/>
      </c>
      <c r="AD26" s="336" t="str">
        <f t="array" ref="AD26">IF($D26="","",IF(COUNTIF('Student Work'!$C$24:$C$223,$D26)&gt;0,XLOOKUP($D26,'Student Work'!$C$24:$C$223,'Student Work'!$H$24:$H$223,""),XLOOKUP($D26,'Strand Placement'!$B$21:$B$89,'Strand Placement'!$L$21:$L$89,"")))</f>
        <v/>
      </c>
      <c r="AE26" s="336"/>
      <c r="AF26" s="336"/>
      <c r="AG26" s="339" t="s">
        <v>427</v>
      </c>
      <c r="AH26" s="336"/>
    </row>
    <row r="27" ht="15.75" customHeight="1">
      <c r="A27" s="197" t="str">
        <f t="shared" si="1"/>
        <v/>
      </c>
      <c r="B27" s="246" t="str">
        <f t="array" ref="B27">IF($D27="","",IF($X27&lt;&gt;"",$X27,IF(COUNTIF('Student Work'!$C$24:$C$223,$D27)&gt;0,XLOOKUP($D27,'Student Work'!$C$24:$C$223,'Student Work'!$B$24:$B$223,""),SWITCH(TRUE,COUNTIF('Strand Placement'!$B$21:$B$26,$D27)&gt;0,'Strand Placement'!$A$19,COUNTIF('Strand Placement'!$B$30:$B$35,$D27)&gt;0,'Strand Placement'!$A$28,COUNTIF('Strand Placement'!$B$39:$B$44,$D27)&gt;0,'Strand Placement'!$A$37,COUNTIF('Strand Placement'!$B$48:$B$53,$D27)&gt;0,'Strand Placement'!$A$46,COUNTIF('Strand Placement'!$B$57:$B$62,$D27)&gt;0,'Strand Placement'!$A$55,COUNTIF('Strand Placement'!$B$66:$B$71,$D27)&gt;0,'Strand Placement'!$A$64,COUNTIF('Strand Placement'!$B$75:$B$80,$D27)&gt;0,'Strand Placement'!$A$73,COUNTIF('Strand Placement'!$B$84:$B$89,$D27)&gt;0,'Strand Placement'!$A$82,""))))</f>
        <v/>
      </c>
      <c r="C27" s="246" t="str">
        <f t="array" ref="C27">IF($D27="","",IF($Y27&lt;&gt;"",$Y27,IF(COUNTIF('Student Work'!$C$24:$C$223,$D27)&gt;0,XLOOKUP($D27,'Student Work'!$C$24:$C$223,'Student Work'!$A$24:$A$223,""),LET(rowWho,XLOOKUP($D27,'Strand Placement'!$B$21:$B$89,'Strand Placement'!$C$21:$C$89,""),blockWho,SWITCH(TRUE,COUNTIF('Strand Placement'!$B$21:$B$26,$D27)&gt;0,'Strand Placement'!$C$6,COUNTIF('Strand Placement'!$B$30:$B$35,$D27)&gt;0,'Strand Placement'!$C$7,COUNTIF('Strand Placement'!$B$39:$B$44,$D27)&gt;0,'Strand Placement'!$C$8,COUNTIF('Strand Placement'!$B$48:$B$53,$D27)&gt;0,'Strand Placement'!$C$9,COUNTIF('Strand Placement'!$B$57:$B$62,$D27)&gt;0,'Strand Placement'!$C$10,COUNTIF('Strand Placement'!$B$66:$B$71,$D27)&gt;0,'Strand Placement'!$C$11,COUNTIF('Strand Placement'!$B$75:$B$80,$D27)&gt;0,'Strand Placement'!$C$12,COUNTIF('Strand Placement'!$B$84:$B$89,$D27)&gt;0,'Strand Placement'!$C$13,""),IF(rowWho&lt;&gt;"",rowWho,blockWho)))))</f>
        <v/>
      </c>
      <c r="D27" s="197"/>
      <c r="E27" s="197"/>
      <c r="F27" s="197" t="s">
        <v>101</v>
      </c>
      <c r="G27" s="197"/>
      <c r="H27" s="197"/>
      <c r="I27" s="197"/>
      <c r="J27" s="323"/>
      <c r="K27" s="246" t="str">
        <f t="shared" si="2"/>
        <v/>
      </c>
      <c r="L27" s="197">
        <v>3.0</v>
      </c>
      <c r="M27" s="324"/>
      <c r="N27" s="8" t="str">
        <f t="shared" si="3"/>
        <v/>
      </c>
      <c r="O27" s="325" t="str">
        <f t="shared" si="4"/>
        <v/>
      </c>
      <c r="P27" s="326"/>
      <c r="Q27" s="327" t="str">
        <f t="shared" si="5"/>
        <v/>
      </c>
      <c r="R27" s="328" t="str">
        <f>IFERROR(__xludf.DUMMYFUNCTION("IF(A27&lt;&gt;""☑"","""",IF(OR(Q27="""",Q27=""Manual Start""),J27,IF(OR(Q27=""After Previous in Resource Stream"",Q27=""After Previous in Sequence""),IFERROR(LET(prevfinish,IF(P27&lt;&gt;"""",SUMIFS($S$10:S26,$O$10:O26,O27,$P$10:P26,P27-1),LOOKUP(2,1/($O$10:O26=O27),"&amp;"$S$10:S26)),IF(prevfinish=0,"""",MIN(FILTER('School Calendar'!$A$44:$A$408,('School Calendar'!$A$44:$A$408&gt;prevfinish)*('School Calendar'!$I$44:$I$408&gt;0))))),""""),J27)))"),"")</f>
        <v/>
      </c>
      <c r="S27" s="329" t="str">
        <f>IFERROR(__xludf.DUMMYFUNCTION("IF(OR(A27&lt;&gt;""☑"",R27="""",N27=""""),"""",IFERROR(LET(st,R27,n,N27,pace,K27,gap,MAX(1,L27),calDates,'School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27" s="330"/>
      <c r="U27" s="346" t="str">
        <f t="shared" si="6"/>
        <v/>
      </c>
      <c r="V27" s="332" t="str">
        <f>IF($D27="","",IF(COUNTIF('Student Work'!$C$24:$C$223,$D27)&gt;0,"Individual",SWITCH(TRUE,COUNTIF('Strand Placement'!$B$21:$B$26,$D27)&gt;0,'Strand Placement'!$D$6,COUNTIF('Strand Placement'!$B$30:$B$35,$D27)&gt;0,'Strand Placement'!$D$7,COUNTIF('Strand Placement'!$B$39:$B$44,$D27)&gt;0,'Strand Placement'!$D$8,COUNTIF('Strand Placement'!$B$48:$B$53,$D27)&gt;0,'Strand Placement'!$D$9,COUNTIF('Strand Placement'!$B$57:$B$62,$D27)&gt;0,'Strand Placement'!$D$10,COUNTIF('Strand Placement'!$B$66:$B$71,$D27)&gt;0,'Strand Placement'!$D$11,COUNTIF('Strand Placement'!$B$75:$B$80,$D27)&gt;0,'Strand Placement'!$D$12,COUNTIF('Strand Placement'!$B$84:$B$89,$D27)&gt;0,'Strand Placement'!$D$13,"")))</f>
        <v/>
      </c>
      <c r="W27" s="332" t="str">
        <f t="array" ref="W27">IF($D27="","",IF($AB27&lt;&gt;"",$AB27,IF(COUNTIF('Student Work'!$C$24:$C$223,$D27)&gt;0,XLOOKUP($D27,'Student Work'!$C$24:$C$223,'Student Work'!$D$24:$D$223,""),LET(rowRole,XLOOKUP($D27,'Strand Placement'!$B$21:$B$89,'Strand Placement'!$D$21:$D$89,""),blockRole,SWITCH(TRUE,COUNTIF('Strand Placement'!$B$21:$B$26,$D27)&gt;0,'Strand Placement'!$E$6,COUNTIF('Strand Placement'!$B$30:$B$35,$D27)&gt;0,'Strand Placement'!$E$7,COUNTIF('Strand Placement'!$B$39:$B$44,$D27)&gt;0,'Strand Placement'!$E$8,COUNTIF('Strand Placement'!$B$48:$B$53,$D27)&gt;0,'Strand Placement'!$E$9,COUNTIF('Strand Placement'!$B$57:$B$62,$D27)&gt;0,'Strand Placement'!$E$10,COUNTIF('Strand Placement'!$B$66:$B$71,$D27)&gt;0,'Strand Placement'!$E$11,COUNTIF('Strand Placement'!$B$75:$B$80,$D27)&gt;0,'Strand Placement'!$E$12,COUNTIF('Strand Placement'!$B$84:$B$89,$D27)&gt;0,'Strand Placement'!$E$13,""),IF(rowRole&lt;&gt;"",rowRole,blockRole)))))</f>
        <v/>
      </c>
      <c r="X27" s="335"/>
      <c r="Y27" s="335"/>
      <c r="Z27" s="335"/>
      <c r="AA27" s="335"/>
      <c r="AB27" s="335"/>
      <c r="AC27" s="336" t="str">
        <f t="array" ref="AC27">IF($D27="","",IF(COUNTIF('Student Work'!$C$24:$C$223,$D27)&gt;0,XLOOKUP($D27,'Student Work'!$C$24:$C$223,'Student Work'!$E$24:$E$223,""),XLOOKUP($D27,'Strand Placement'!$B$21:$B$89,'Strand Placement'!$K$21:$K$89,"")))</f>
        <v/>
      </c>
      <c r="AD27" s="336" t="str">
        <f t="array" ref="AD27">IF($D27="","",IF(COUNTIF('Student Work'!$C$24:$C$223,$D27)&gt;0,XLOOKUP($D27,'Student Work'!$C$24:$C$223,'Student Work'!$H$24:$H$223,""),XLOOKUP($D27,'Strand Placement'!$B$21:$B$89,'Strand Placement'!$L$21:$L$89,"")))</f>
        <v/>
      </c>
      <c r="AE27" s="336"/>
      <c r="AF27" s="336"/>
      <c r="AG27" s="339" t="s">
        <v>428</v>
      </c>
      <c r="AH27" s="336"/>
    </row>
    <row r="28" ht="15.75" customHeight="1">
      <c r="A28" s="197" t="str">
        <f t="shared" si="1"/>
        <v/>
      </c>
      <c r="B28" s="246" t="str">
        <f t="array" ref="B28">IF($D28="","",IF($X28&lt;&gt;"",$X28,IF(COUNTIF('Student Work'!$C$24:$C$223,$D28)&gt;0,XLOOKUP($D28,'Student Work'!$C$24:$C$223,'Student Work'!$B$24:$B$223,""),SWITCH(TRUE,COUNTIF('Strand Placement'!$B$21:$B$26,$D28)&gt;0,'Strand Placement'!$A$19,COUNTIF('Strand Placement'!$B$30:$B$35,$D28)&gt;0,'Strand Placement'!$A$28,COUNTIF('Strand Placement'!$B$39:$B$44,$D28)&gt;0,'Strand Placement'!$A$37,COUNTIF('Strand Placement'!$B$48:$B$53,$D28)&gt;0,'Strand Placement'!$A$46,COUNTIF('Strand Placement'!$B$57:$B$62,$D28)&gt;0,'Strand Placement'!$A$55,COUNTIF('Strand Placement'!$B$66:$B$71,$D28)&gt;0,'Strand Placement'!$A$64,COUNTIF('Strand Placement'!$B$75:$B$80,$D28)&gt;0,'Strand Placement'!$A$73,COUNTIF('Strand Placement'!$B$84:$B$89,$D28)&gt;0,'Strand Placement'!$A$82,""))))</f>
        <v/>
      </c>
      <c r="C28" s="246" t="str">
        <f t="array" ref="C28">IF($D28="","",IF($Y28&lt;&gt;"",$Y28,IF(COUNTIF('Student Work'!$C$24:$C$223,$D28)&gt;0,XLOOKUP($D28,'Student Work'!$C$24:$C$223,'Student Work'!$A$24:$A$223,""),LET(rowWho,XLOOKUP($D28,'Strand Placement'!$B$21:$B$89,'Strand Placement'!$C$21:$C$89,""),blockWho,SWITCH(TRUE,COUNTIF('Strand Placement'!$B$21:$B$26,$D28)&gt;0,'Strand Placement'!$C$6,COUNTIF('Strand Placement'!$B$30:$B$35,$D28)&gt;0,'Strand Placement'!$C$7,COUNTIF('Strand Placement'!$B$39:$B$44,$D28)&gt;0,'Strand Placement'!$C$8,COUNTIF('Strand Placement'!$B$48:$B$53,$D28)&gt;0,'Strand Placement'!$C$9,COUNTIF('Strand Placement'!$B$57:$B$62,$D28)&gt;0,'Strand Placement'!$C$10,COUNTIF('Strand Placement'!$B$66:$B$71,$D28)&gt;0,'Strand Placement'!$C$11,COUNTIF('Strand Placement'!$B$75:$B$80,$D28)&gt;0,'Strand Placement'!$C$12,COUNTIF('Strand Placement'!$B$84:$B$89,$D28)&gt;0,'Strand Placement'!$C$13,""),IF(rowWho&lt;&gt;"",rowWho,blockWho)))))</f>
        <v/>
      </c>
      <c r="D28" s="197"/>
      <c r="E28" s="197"/>
      <c r="F28" s="197" t="s">
        <v>101</v>
      </c>
      <c r="G28" s="197"/>
      <c r="H28" s="197"/>
      <c r="I28" s="197"/>
      <c r="J28" s="323"/>
      <c r="K28" s="246" t="str">
        <f t="shared" si="2"/>
        <v/>
      </c>
      <c r="L28" s="197">
        <v>3.0</v>
      </c>
      <c r="M28" s="324"/>
      <c r="N28" s="8" t="str">
        <f t="shared" si="3"/>
        <v/>
      </c>
      <c r="O28" s="325" t="str">
        <f t="shared" si="4"/>
        <v/>
      </c>
      <c r="P28" s="326"/>
      <c r="Q28" s="327" t="str">
        <f t="shared" si="5"/>
        <v/>
      </c>
      <c r="R28" s="328" t="str">
        <f>IFERROR(__xludf.DUMMYFUNCTION("IF(A28&lt;&gt;""☑"","""",IF(OR(Q28="""",Q28=""Manual Start""),J28,IF(OR(Q28=""After Previous in Resource Stream"",Q28=""After Previous in Sequence""),IFERROR(LET(prevfinish,IF(P28&lt;&gt;"""",SUMIFS($S$10:S27,$O$10:O27,O28,$P$10:P27,P28-1),LOOKUP(2,1/($O$10:O27=O28),"&amp;"$S$10:S27)),IF(prevfinish=0,"""",MIN(FILTER('School Calendar'!$A$44:$A$408,('School Calendar'!$A$44:$A$408&gt;prevfinish)*('School Calendar'!$I$44:$I$408&gt;0))))),""""),J28)))"),"")</f>
        <v/>
      </c>
      <c r="S28" s="329" t="str">
        <f>IFERROR(__xludf.DUMMYFUNCTION("IF(OR(A28&lt;&gt;""☑"",R28="""",N28=""""),"""",IFERROR(LET(st,R28,n,N28,pace,K28,gap,MAX(1,L28),calDates,'School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28" s="330"/>
      <c r="U28" s="346" t="str">
        <f t="shared" si="6"/>
        <v/>
      </c>
      <c r="V28" s="332" t="str">
        <f>IF($D28="","",IF(COUNTIF('Student Work'!$C$24:$C$223,$D28)&gt;0,"Individual",SWITCH(TRUE,COUNTIF('Strand Placement'!$B$21:$B$26,$D28)&gt;0,'Strand Placement'!$D$6,COUNTIF('Strand Placement'!$B$30:$B$35,$D28)&gt;0,'Strand Placement'!$D$7,COUNTIF('Strand Placement'!$B$39:$B$44,$D28)&gt;0,'Strand Placement'!$D$8,COUNTIF('Strand Placement'!$B$48:$B$53,$D28)&gt;0,'Strand Placement'!$D$9,COUNTIF('Strand Placement'!$B$57:$B$62,$D28)&gt;0,'Strand Placement'!$D$10,COUNTIF('Strand Placement'!$B$66:$B$71,$D28)&gt;0,'Strand Placement'!$D$11,COUNTIF('Strand Placement'!$B$75:$B$80,$D28)&gt;0,'Strand Placement'!$D$12,COUNTIF('Strand Placement'!$B$84:$B$89,$D28)&gt;0,'Strand Placement'!$D$13,"")))</f>
        <v/>
      </c>
      <c r="W28" s="332" t="str">
        <f t="array" ref="W28">IF($D28="","",IF($AB28&lt;&gt;"",$AB28,IF(COUNTIF('Student Work'!$C$24:$C$223,$D28)&gt;0,XLOOKUP($D28,'Student Work'!$C$24:$C$223,'Student Work'!$D$24:$D$223,""),LET(rowRole,XLOOKUP($D28,'Strand Placement'!$B$21:$B$89,'Strand Placement'!$D$21:$D$89,""),blockRole,SWITCH(TRUE,COUNTIF('Strand Placement'!$B$21:$B$26,$D28)&gt;0,'Strand Placement'!$E$6,COUNTIF('Strand Placement'!$B$30:$B$35,$D28)&gt;0,'Strand Placement'!$E$7,COUNTIF('Strand Placement'!$B$39:$B$44,$D28)&gt;0,'Strand Placement'!$E$8,COUNTIF('Strand Placement'!$B$48:$B$53,$D28)&gt;0,'Strand Placement'!$E$9,COUNTIF('Strand Placement'!$B$57:$B$62,$D28)&gt;0,'Strand Placement'!$E$10,COUNTIF('Strand Placement'!$B$66:$B$71,$D28)&gt;0,'Strand Placement'!$E$11,COUNTIF('Strand Placement'!$B$75:$B$80,$D28)&gt;0,'Strand Placement'!$E$12,COUNTIF('Strand Placement'!$B$84:$B$89,$D28)&gt;0,'Strand Placement'!$E$13,""),IF(rowRole&lt;&gt;"",rowRole,blockRole)))))</f>
        <v/>
      </c>
      <c r="X28" s="335"/>
      <c r="Y28" s="335"/>
      <c r="Z28" s="335"/>
      <c r="AA28" s="335"/>
      <c r="AB28" s="335"/>
      <c r="AC28" s="336" t="str">
        <f t="array" ref="AC28">IF($D28="","",IF(COUNTIF('Student Work'!$C$24:$C$223,$D28)&gt;0,XLOOKUP($D28,'Student Work'!$C$24:$C$223,'Student Work'!$E$24:$E$223,""),XLOOKUP($D28,'Strand Placement'!$B$21:$B$89,'Strand Placement'!$K$21:$K$89,"")))</f>
        <v/>
      </c>
      <c r="AD28" s="336" t="str">
        <f t="array" ref="AD28">IF($D28="","",IF(COUNTIF('Student Work'!$C$24:$C$223,$D28)&gt;0,XLOOKUP($D28,'Student Work'!$C$24:$C$223,'Student Work'!$H$24:$H$223,""),XLOOKUP($D28,'Strand Placement'!$B$21:$B$89,'Strand Placement'!$L$21:$L$89,"")))</f>
        <v/>
      </c>
      <c r="AE28" s="336"/>
      <c r="AF28" s="336"/>
      <c r="AG28" s="339" t="s">
        <v>430</v>
      </c>
      <c r="AH28" s="336"/>
    </row>
    <row r="29" ht="15.75" customHeight="1">
      <c r="A29" s="197" t="str">
        <f t="shared" si="1"/>
        <v/>
      </c>
      <c r="B29" s="246" t="str">
        <f t="array" ref="B29">IF($D29="","",IF($X29&lt;&gt;"",$X29,IF(COUNTIF('Student Work'!$C$24:$C$223,$D29)&gt;0,XLOOKUP($D29,'Student Work'!$C$24:$C$223,'Student Work'!$B$24:$B$223,""),SWITCH(TRUE,COUNTIF('Strand Placement'!$B$21:$B$26,$D29)&gt;0,'Strand Placement'!$A$19,COUNTIF('Strand Placement'!$B$30:$B$35,$D29)&gt;0,'Strand Placement'!$A$28,COUNTIF('Strand Placement'!$B$39:$B$44,$D29)&gt;0,'Strand Placement'!$A$37,COUNTIF('Strand Placement'!$B$48:$B$53,$D29)&gt;0,'Strand Placement'!$A$46,COUNTIF('Strand Placement'!$B$57:$B$62,$D29)&gt;0,'Strand Placement'!$A$55,COUNTIF('Strand Placement'!$B$66:$B$71,$D29)&gt;0,'Strand Placement'!$A$64,COUNTIF('Strand Placement'!$B$75:$B$80,$D29)&gt;0,'Strand Placement'!$A$73,COUNTIF('Strand Placement'!$B$84:$B$89,$D29)&gt;0,'Strand Placement'!$A$82,""))))</f>
        <v/>
      </c>
      <c r="C29" s="246" t="str">
        <f t="array" ref="C29">IF($D29="","",IF($Y29&lt;&gt;"",$Y29,IF(COUNTIF('Student Work'!$C$24:$C$223,$D29)&gt;0,XLOOKUP($D29,'Student Work'!$C$24:$C$223,'Student Work'!$A$24:$A$223,""),LET(rowWho,XLOOKUP($D29,'Strand Placement'!$B$21:$B$89,'Strand Placement'!$C$21:$C$89,""),blockWho,SWITCH(TRUE,COUNTIF('Strand Placement'!$B$21:$B$26,$D29)&gt;0,'Strand Placement'!$C$6,COUNTIF('Strand Placement'!$B$30:$B$35,$D29)&gt;0,'Strand Placement'!$C$7,COUNTIF('Strand Placement'!$B$39:$B$44,$D29)&gt;0,'Strand Placement'!$C$8,COUNTIF('Strand Placement'!$B$48:$B$53,$D29)&gt;0,'Strand Placement'!$C$9,COUNTIF('Strand Placement'!$B$57:$B$62,$D29)&gt;0,'Strand Placement'!$C$10,COUNTIF('Strand Placement'!$B$66:$B$71,$D29)&gt;0,'Strand Placement'!$C$11,COUNTIF('Strand Placement'!$B$75:$B$80,$D29)&gt;0,'Strand Placement'!$C$12,COUNTIF('Strand Placement'!$B$84:$B$89,$D29)&gt;0,'Strand Placement'!$C$13,""),IF(rowWho&lt;&gt;"",rowWho,blockWho)))))</f>
        <v/>
      </c>
      <c r="D29" s="197"/>
      <c r="E29" s="197"/>
      <c r="F29" s="197" t="s">
        <v>101</v>
      </c>
      <c r="G29" s="197"/>
      <c r="H29" s="197"/>
      <c r="I29" s="197"/>
      <c r="J29" s="323"/>
      <c r="K29" s="246" t="str">
        <f t="shared" si="2"/>
        <v/>
      </c>
      <c r="L29" s="197">
        <v>3.0</v>
      </c>
      <c r="M29" s="324"/>
      <c r="N29" s="8" t="str">
        <f t="shared" si="3"/>
        <v/>
      </c>
      <c r="O29" s="325" t="str">
        <f t="shared" si="4"/>
        <v/>
      </c>
      <c r="P29" s="326"/>
      <c r="Q29" s="327" t="str">
        <f t="shared" si="5"/>
        <v/>
      </c>
      <c r="R29" s="328" t="str">
        <f>IFERROR(__xludf.DUMMYFUNCTION("IF(A29&lt;&gt;""☑"","""",IF(OR(Q29="""",Q29=""Manual Start""),J29,IF(OR(Q29=""After Previous in Resource Stream"",Q29=""After Previous in Sequence""),IFERROR(LET(prevfinish,IF(P29&lt;&gt;"""",SUMIFS($S$10:S28,$O$10:O28,O29,$P$10:P28,P29-1),LOOKUP(2,1/($O$10:O28=O29),"&amp;"$S$10:S28)),IF(prevfinish=0,"""",MIN(FILTER('School Calendar'!$A$44:$A$408,('School Calendar'!$A$44:$A$408&gt;prevfinish)*('School Calendar'!$I$44:$I$408&gt;0))))),""""),J29)))"),"")</f>
        <v/>
      </c>
      <c r="S29" s="329" t="str">
        <f>IFERROR(__xludf.DUMMYFUNCTION("IF(OR(A29&lt;&gt;""☑"",R29="""",N29=""""),"""",IFERROR(LET(st,R29,n,N29,pace,K29,gap,MAX(1,L29),calDates,'School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29" s="330"/>
      <c r="U29" s="346" t="str">
        <f t="shared" si="6"/>
        <v/>
      </c>
      <c r="V29" s="332" t="str">
        <f>IF($D29="","",IF(COUNTIF('Student Work'!$C$24:$C$223,$D29)&gt;0,"Individual",SWITCH(TRUE,COUNTIF('Strand Placement'!$B$21:$B$26,$D29)&gt;0,'Strand Placement'!$D$6,COUNTIF('Strand Placement'!$B$30:$B$35,$D29)&gt;0,'Strand Placement'!$D$7,COUNTIF('Strand Placement'!$B$39:$B$44,$D29)&gt;0,'Strand Placement'!$D$8,COUNTIF('Strand Placement'!$B$48:$B$53,$D29)&gt;0,'Strand Placement'!$D$9,COUNTIF('Strand Placement'!$B$57:$B$62,$D29)&gt;0,'Strand Placement'!$D$10,COUNTIF('Strand Placement'!$B$66:$B$71,$D29)&gt;0,'Strand Placement'!$D$11,COUNTIF('Strand Placement'!$B$75:$B$80,$D29)&gt;0,'Strand Placement'!$D$12,COUNTIF('Strand Placement'!$B$84:$B$89,$D29)&gt;0,'Strand Placement'!$D$13,"")))</f>
        <v/>
      </c>
      <c r="W29" s="332" t="str">
        <f t="array" ref="W29">IF($D29="","",IF($AB29&lt;&gt;"",$AB29,IF(COUNTIF('Student Work'!$C$24:$C$223,$D29)&gt;0,XLOOKUP($D29,'Student Work'!$C$24:$C$223,'Student Work'!$D$24:$D$223,""),LET(rowRole,XLOOKUP($D29,'Strand Placement'!$B$21:$B$89,'Strand Placement'!$D$21:$D$89,""),blockRole,SWITCH(TRUE,COUNTIF('Strand Placement'!$B$21:$B$26,$D29)&gt;0,'Strand Placement'!$E$6,COUNTIF('Strand Placement'!$B$30:$B$35,$D29)&gt;0,'Strand Placement'!$E$7,COUNTIF('Strand Placement'!$B$39:$B$44,$D29)&gt;0,'Strand Placement'!$E$8,COUNTIF('Strand Placement'!$B$48:$B$53,$D29)&gt;0,'Strand Placement'!$E$9,COUNTIF('Strand Placement'!$B$57:$B$62,$D29)&gt;0,'Strand Placement'!$E$10,COUNTIF('Strand Placement'!$B$66:$B$71,$D29)&gt;0,'Strand Placement'!$E$11,COUNTIF('Strand Placement'!$B$75:$B$80,$D29)&gt;0,'Strand Placement'!$E$12,COUNTIF('Strand Placement'!$B$84:$B$89,$D29)&gt;0,'Strand Placement'!$E$13,""),IF(rowRole&lt;&gt;"",rowRole,blockRole)))))</f>
        <v/>
      </c>
      <c r="X29" s="335"/>
      <c r="Y29" s="335"/>
      <c r="Z29" s="335"/>
      <c r="AA29" s="335"/>
      <c r="AB29" s="335"/>
      <c r="AC29" s="336" t="str">
        <f t="array" ref="AC29">IF($D29="","",IF(COUNTIF('Student Work'!$C$24:$C$223,$D29)&gt;0,XLOOKUP($D29,'Student Work'!$C$24:$C$223,'Student Work'!$E$24:$E$223,""),XLOOKUP($D29,'Strand Placement'!$B$21:$B$89,'Strand Placement'!$K$21:$K$89,"")))</f>
        <v/>
      </c>
      <c r="AD29" s="336" t="str">
        <f t="array" ref="AD29">IF($D29="","",IF(COUNTIF('Student Work'!$C$24:$C$223,$D29)&gt;0,XLOOKUP($D29,'Student Work'!$C$24:$C$223,'Student Work'!$H$24:$H$223,""),XLOOKUP($D29,'Strand Placement'!$B$21:$B$89,'Strand Placement'!$L$21:$L$89,"")))</f>
        <v/>
      </c>
      <c r="AE29" s="336"/>
      <c r="AF29" s="336"/>
      <c r="AG29" s="339" t="s">
        <v>431</v>
      </c>
      <c r="AH29" s="336"/>
    </row>
    <row r="30" ht="15.75" customHeight="1">
      <c r="A30" s="197" t="str">
        <f t="shared" si="1"/>
        <v/>
      </c>
      <c r="B30" s="246" t="str">
        <f t="array" ref="B30">IF($D30="","",IF($X30&lt;&gt;"",$X30,IF(COUNTIF('Student Work'!$C$24:$C$223,$D30)&gt;0,XLOOKUP($D30,'Student Work'!$C$24:$C$223,'Student Work'!$B$24:$B$223,""),SWITCH(TRUE,COUNTIF('Strand Placement'!$B$21:$B$26,$D30)&gt;0,'Strand Placement'!$A$19,COUNTIF('Strand Placement'!$B$30:$B$35,$D30)&gt;0,'Strand Placement'!$A$28,COUNTIF('Strand Placement'!$B$39:$B$44,$D30)&gt;0,'Strand Placement'!$A$37,COUNTIF('Strand Placement'!$B$48:$B$53,$D30)&gt;0,'Strand Placement'!$A$46,COUNTIF('Strand Placement'!$B$57:$B$62,$D30)&gt;0,'Strand Placement'!$A$55,COUNTIF('Strand Placement'!$B$66:$B$71,$D30)&gt;0,'Strand Placement'!$A$64,COUNTIF('Strand Placement'!$B$75:$B$80,$D30)&gt;0,'Strand Placement'!$A$73,COUNTIF('Strand Placement'!$B$84:$B$89,$D30)&gt;0,'Strand Placement'!$A$82,""))))</f>
        <v/>
      </c>
      <c r="C30" s="246" t="str">
        <f t="array" ref="C30">IF($D30="","",IF($Y30&lt;&gt;"",$Y30,IF(COUNTIF('Student Work'!$C$24:$C$223,$D30)&gt;0,XLOOKUP($D30,'Student Work'!$C$24:$C$223,'Student Work'!$A$24:$A$223,""),LET(rowWho,XLOOKUP($D30,'Strand Placement'!$B$21:$B$89,'Strand Placement'!$C$21:$C$89,""),blockWho,SWITCH(TRUE,COUNTIF('Strand Placement'!$B$21:$B$26,$D30)&gt;0,'Strand Placement'!$C$6,COUNTIF('Strand Placement'!$B$30:$B$35,$D30)&gt;0,'Strand Placement'!$C$7,COUNTIF('Strand Placement'!$B$39:$B$44,$D30)&gt;0,'Strand Placement'!$C$8,COUNTIF('Strand Placement'!$B$48:$B$53,$D30)&gt;0,'Strand Placement'!$C$9,COUNTIF('Strand Placement'!$B$57:$B$62,$D30)&gt;0,'Strand Placement'!$C$10,COUNTIF('Strand Placement'!$B$66:$B$71,$D30)&gt;0,'Strand Placement'!$C$11,COUNTIF('Strand Placement'!$B$75:$B$80,$D30)&gt;0,'Strand Placement'!$C$12,COUNTIF('Strand Placement'!$B$84:$B$89,$D30)&gt;0,'Strand Placement'!$C$13,""),IF(rowWho&lt;&gt;"",rowWho,blockWho)))))</f>
        <v/>
      </c>
      <c r="D30" s="197"/>
      <c r="E30" s="197"/>
      <c r="F30" s="197" t="s">
        <v>101</v>
      </c>
      <c r="G30" s="197"/>
      <c r="H30" s="197"/>
      <c r="I30" s="197"/>
      <c r="J30" s="323"/>
      <c r="K30" s="246" t="str">
        <f t="shared" si="2"/>
        <v/>
      </c>
      <c r="L30" s="197">
        <v>3.0</v>
      </c>
      <c r="M30" s="324"/>
      <c r="N30" s="8" t="str">
        <f t="shared" si="3"/>
        <v/>
      </c>
      <c r="O30" s="325" t="str">
        <f t="shared" si="4"/>
        <v/>
      </c>
      <c r="P30" s="326"/>
      <c r="Q30" s="327" t="str">
        <f t="shared" si="5"/>
        <v/>
      </c>
      <c r="R30" s="328" t="str">
        <f>IFERROR(__xludf.DUMMYFUNCTION("IF(A30&lt;&gt;""☑"","""",IF(OR(Q30="""",Q30=""Manual Start""),J30,IF(OR(Q30=""After Previous in Resource Stream"",Q30=""After Previous in Sequence""),IFERROR(LET(prevfinish,IF(P30&lt;&gt;"""",SUMIFS($S$10:S29,$O$10:O29,O30,$P$10:P29,P30-1),LOOKUP(2,1/($O$10:O29=O30),"&amp;"$S$10:S29)),IF(prevfinish=0,"""",MIN(FILTER('School Calendar'!$A$44:$A$408,('School Calendar'!$A$44:$A$408&gt;prevfinish)*('School Calendar'!$I$44:$I$408&gt;0))))),""""),J30)))"),"")</f>
        <v/>
      </c>
      <c r="S30" s="329" t="str">
        <f>IFERROR(__xludf.DUMMYFUNCTION("IF(OR(A30&lt;&gt;""☑"",R30="""",N30=""""),"""",IFERROR(LET(st,R30,n,N30,pace,K30,gap,MAX(1,L30),calDates,'School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0" s="330"/>
      <c r="U30" s="346" t="str">
        <f t="shared" si="6"/>
        <v/>
      </c>
      <c r="V30" s="332" t="str">
        <f>IF($D30="","",IF(COUNTIF('Student Work'!$C$24:$C$223,$D30)&gt;0,"Individual",SWITCH(TRUE,COUNTIF('Strand Placement'!$B$21:$B$26,$D30)&gt;0,'Strand Placement'!$D$6,COUNTIF('Strand Placement'!$B$30:$B$35,$D30)&gt;0,'Strand Placement'!$D$7,COUNTIF('Strand Placement'!$B$39:$B$44,$D30)&gt;0,'Strand Placement'!$D$8,COUNTIF('Strand Placement'!$B$48:$B$53,$D30)&gt;0,'Strand Placement'!$D$9,COUNTIF('Strand Placement'!$B$57:$B$62,$D30)&gt;0,'Strand Placement'!$D$10,COUNTIF('Strand Placement'!$B$66:$B$71,$D30)&gt;0,'Strand Placement'!$D$11,COUNTIF('Strand Placement'!$B$75:$B$80,$D30)&gt;0,'Strand Placement'!$D$12,COUNTIF('Strand Placement'!$B$84:$B$89,$D30)&gt;0,'Strand Placement'!$D$13,"")))</f>
        <v/>
      </c>
      <c r="W30" s="332" t="str">
        <f t="array" ref="W30">IF($D30="","",IF($AB30&lt;&gt;"",$AB30,IF(COUNTIF('Student Work'!$C$24:$C$223,$D30)&gt;0,XLOOKUP($D30,'Student Work'!$C$24:$C$223,'Student Work'!$D$24:$D$223,""),LET(rowRole,XLOOKUP($D30,'Strand Placement'!$B$21:$B$89,'Strand Placement'!$D$21:$D$89,""),blockRole,SWITCH(TRUE,COUNTIF('Strand Placement'!$B$21:$B$26,$D30)&gt;0,'Strand Placement'!$E$6,COUNTIF('Strand Placement'!$B$30:$B$35,$D30)&gt;0,'Strand Placement'!$E$7,COUNTIF('Strand Placement'!$B$39:$B$44,$D30)&gt;0,'Strand Placement'!$E$8,COUNTIF('Strand Placement'!$B$48:$B$53,$D30)&gt;0,'Strand Placement'!$E$9,COUNTIF('Strand Placement'!$B$57:$B$62,$D30)&gt;0,'Strand Placement'!$E$10,COUNTIF('Strand Placement'!$B$66:$B$71,$D30)&gt;0,'Strand Placement'!$E$11,COUNTIF('Strand Placement'!$B$75:$B$80,$D30)&gt;0,'Strand Placement'!$E$12,COUNTIF('Strand Placement'!$B$84:$B$89,$D30)&gt;0,'Strand Placement'!$E$13,""),IF(rowRole&lt;&gt;"",rowRole,blockRole)))))</f>
        <v/>
      </c>
      <c r="X30" s="335"/>
      <c r="Y30" s="335"/>
      <c r="Z30" s="335"/>
      <c r="AA30" s="335"/>
      <c r="AB30" s="335"/>
      <c r="AC30" s="336" t="str">
        <f t="array" ref="AC30">IF($D30="","",IF(COUNTIF('Student Work'!$C$24:$C$223,$D30)&gt;0,XLOOKUP($D30,'Student Work'!$C$24:$C$223,'Student Work'!$E$24:$E$223,""),XLOOKUP($D30,'Strand Placement'!$B$21:$B$89,'Strand Placement'!$K$21:$K$89,"")))</f>
        <v/>
      </c>
      <c r="AD30" s="336" t="str">
        <f t="array" ref="AD30">IF($D30="","",IF(COUNTIF('Student Work'!$C$24:$C$223,$D30)&gt;0,XLOOKUP($D30,'Student Work'!$C$24:$C$223,'Student Work'!$H$24:$H$223,""),XLOOKUP($D30,'Strand Placement'!$B$21:$B$89,'Strand Placement'!$L$21:$L$89,"")))</f>
        <v/>
      </c>
      <c r="AE30" s="336"/>
      <c r="AF30" s="336"/>
      <c r="AG30" s="339" t="s">
        <v>432</v>
      </c>
      <c r="AH30" s="336"/>
    </row>
    <row r="31" ht="15.75" customHeight="1">
      <c r="A31" s="197" t="str">
        <f t="shared" si="1"/>
        <v/>
      </c>
      <c r="B31" s="246" t="str">
        <f t="array" ref="B31">IF($D31="","",IF($X31&lt;&gt;"",$X31,IF(COUNTIF('Student Work'!$C$24:$C$223,$D31)&gt;0,XLOOKUP($D31,'Student Work'!$C$24:$C$223,'Student Work'!$B$24:$B$223,""),SWITCH(TRUE,COUNTIF('Strand Placement'!$B$21:$B$26,$D31)&gt;0,'Strand Placement'!$A$19,COUNTIF('Strand Placement'!$B$30:$B$35,$D31)&gt;0,'Strand Placement'!$A$28,COUNTIF('Strand Placement'!$B$39:$B$44,$D31)&gt;0,'Strand Placement'!$A$37,COUNTIF('Strand Placement'!$B$48:$B$53,$D31)&gt;0,'Strand Placement'!$A$46,COUNTIF('Strand Placement'!$B$57:$B$62,$D31)&gt;0,'Strand Placement'!$A$55,COUNTIF('Strand Placement'!$B$66:$B$71,$D31)&gt;0,'Strand Placement'!$A$64,COUNTIF('Strand Placement'!$B$75:$B$80,$D31)&gt;0,'Strand Placement'!$A$73,COUNTIF('Strand Placement'!$B$84:$B$89,$D31)&gt;0,'Strand Placement'!$A$82,""))))</f>
        <v/>
      </c>
      <c r="C31" s="246" t="str">
        <f t="array" ref="C31">IF($D31="","",IF($Y31&lt;&gt;"",$Y31,IF(COUNTIF('Student Work'!$C$24:$C$223,$D31)&gt;0,XLOOKUP($D31,'Student Work'!$C$24:$C$223,'Student Work'!$A$24:$A$223,""),LET(rowWho,XLOOKUP($D31,'Strand Placement'!$B$21:$B$89,'Strand Placement'!$C$21:$C$89,""),blockWho,SWITCH(TRUE,COUNTIF('Strand Placement'!$B$21:$B$26,$D31)&gt;0,'Strand Placement'!$C$6,COUNTIF('Strand Placement'!$B$30:$B$35,$D31)&gt;0,'Strand Placement'!$C$7,COUNTIF('Strand Placement'!$B$39:$B$44,$D31)&gt;0,'Strand Placement'!$C$8,COUNTIF('Strand Placement'!$B$48:$B$53,$D31)&gt;0,'Strand Placement'!$C$9,COUNTIF('Strand Placement'!$B$57:$B$62,$D31)&gt;0,'Strand Placement'!$C$10,COUNTIF('Strand Placement'!$B$66:$B$71,$D31)&gt;0,'Strand Placement'!$C$11,COUNTIF('Strand Placement'!$B$75:$B$80,$D31)&gt;0,'Strand Placement'!$C$12,COUNTIF('Strand Placement'!$B$84:$B$89,$D31)&gt;0,'Strand Placement'!$C$13,""),IF(rowWho&lt;&gt;"",rowWho,blockWho)))))</f>
        <v/>
      </c>
      <c r="D31" s="197"/>
      <c r="E31" s="197"/>
      <c r="F31" s="197" t="s">
        <v>101</v>
      </c>
      <c r="G31" s="197"/>
      <c r="H31" s="197"/>
      <c r="I31" s="197"/>
      <c r="J31" s="323"/>
      <c r="K31" s="246" t="str">
        <f t="shared" si="2"/>
        <v/>
      </c>
      <c r="L31" s="197">
        <v>3.0</v>
      </c>
      <c r="M31" s="324"/>
      <c r="N31" s="8" t="str">
        <f t="shared" si="3"/>
        <v/>
      </c>
      <c r="O31" s="325" t="str">
        <f t="shared" si="4"/>
        <v/>
      </c>
      <c r="P31" s="326"/>
      <c r="Q31" s="327" t="str">
        <f t="shared" si="5"/>
        <v/>
      </c>
      <c r="R31" s="328" t="str">
        <f>IFERROR(__xludf.DUMMYFUNCTION("IF(A31&lt;&gt;""☑"","""",IF(OR(Q31="""",Q31=""Manual Start""),J31,IF(OR(Q31=""After Previous in Resource Stream"",Q31=""After Previous in Sequence""),IFERROR(LET(prevfinish,IF(P31&lt;&gt;"""",SUMIFS($S$10:S30,$O$10:O30,O31,$P$10:P30,P31-1),LOOKUP(2,1/($O$10:O30=O31),"&amp;"$S$10:S30)),IF(prevfinish=0,"""",MIN(FILTER('School Calendar'!$A$44:$A$408,('School Calendar'!$A$44:$A$408&gt;prevfinish)*('School Calendar'!$I$44:$I$408&gt;0))))),""""),J31)))"),"")</f>
        <v/>
      </c>
      <c r="S31" s="329" t="str">
        <f>IFERROR(__xludf.DUMMYFUNCTION("IF(OR(A31&lt;&gt;""☑"",R31="""",N31=""""),"""",IFERROR(LET(st,R31,n,N31,pace,K31,gap,MAX(1,L31),calDates,'School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1" s="330"/>
      <c r="U31" s="346" t="str">
        <f t="shared" si="6"/>
        <v/>
      </c>
      <c r="V31" s="332" t="str">
        <f>IF($D31="","",IF(COUNTIF('Student Work'!$C$24:$C$223,$D31)&gt;0,"Individual",SWITCH(TRUE,COUNTIF('Strand Placement'!$B$21:$B$26,$D31)&gt;0,'Strand Placement'!$D$6,COUNTIF('Strand Placement'!$B$30:$B$35,$D31)&gt;0,'Strand Placement'!$D$7,COUNTIF('Strand Placement'!$B$39:$B$44,$D31)&gt;0,'Strand Placement'!$D$8,COUNTIF('Strand Placement'!$B$48:$B$53,$D31)&gt;0,'Strand Placement'!$D$9,COUNTIF('Strand Placement'!$B$57:$B$62,$D31)&gt;0,'Strand Placement'!$D$10,COUNTIF('Strand Placement'!$B$66:$B$71,$D31)&gt;0,'Strand Placement'!$D$11,COUNTIF('Strand Placement'!$B$75:$B$80,$D31)&gt;0,'Strand Placement'!$D$12,COUNTIF('Strand Placement'!$B$84:$B$89,$D31)&gt;0,'Strand Placement'!$D$13,"")))</f>
        <v/>
      </c>
      <c r="W31" s="332" t="str">
        <f t="array" ref="W31">IF($D31="","",IF($AB31&lt;&gt;"",$AB31,IF(COUNTIF('Student Work'!$C$24:$C$223,$D31)&gt;0,XLOOKUP($D31,'Student Work'!$C$24:$C$223,'Student Work'!$D$24:$D$223,""),LET(rowRole,XLOOKUP($D31,'Strand Placement'!$B$21:$B$89,'Strand Placement'!$D$21:$D$89,""),blockRole,SWITCH(TRUE,COUNTIF('Strand Placement'!$B$21:$B$26,$D31)&gt;0,'Strand Placement'!$E$6,COUNTIF('Strand Placement'!$B$30:$B$35,$D31)&gt;0,'Strand Placement'!$E$7,COUNTIF('Strand Placement'!$B$39:$B$44,$D31)&gt;0,'Strand Placement'!$E$8,COUNTIF('Strand Placement'!$B$48:$B$53,$D31)&gt;0,'Strand Placement'!$E$9,COUNTIF('Strand Placement'!$B$57:$B$62,$D31)&gt;0,'Strand Placement'!$E$10,COUNTIF('Strand Placement'!$B$66:$B$71,$D31)&gt;0,'Strand Placement'!$E$11,COUNTIF('Strand Placement'!$B$75:$B$80,$D31)&gt;0,'Strand Placement'!$E$12,COUNTIF('Strand Placement'!$B$84:$B$89,$D31)&gt;0,'Strand Placement'!$E$13,""),IF(rowRole&lt;&gt;"",rowRole,blockRole)))))</f>
        <v/>
      </c>
      <c r="X31" s="335"/>
      <c r="Y31" s="335"/>
      <c r="Z31" s="335"/>
      <c r="AA31" s="335"/>
      <c r="AB31" s="335"/>
      <c r="AC31" s="336" t="str">
        <f t="array" ref="AC31">IF($D31="","",IF(COUNTIF('Student Work'!$C$24:$C$223,$D31)&gt;0,XLOOKUP($D31,'Student Work'!$C$24:$C$223,'Student Work'!$E$24:$E$223,""),XLOOKUP($D31,'Strand Placement'!$B$21:$B$89,'Strand Placement'!$K$21:$K$89,"")))</f>
        <v/>
      </c>
      <c r="AD31" s="336" t="str">
        <f t="array" ref="AD31">IF($D31="","",IF(COUNTIF('Student Work'!$C$24:$C$223,$D31)&gt;0,XLOOKUP($D31,'Student Work'!$C$24:$C$223,'Student Work'!$H$24:$H$223,""),XLOOKUP($D31,'Strand Placement'!$B$21:$B$89,'Strand Placement'!$L$21:$L$89,"")))</f>
        <v/>
      </c>
      <c r="AE31" s="336"/>
      <c r="AF31" s="336"/>
      <c r="AG31" s="339" t="s">
        <v>453</v>
      </c>
      <c r="AH31" s="336"/>
    </row>
    <row r="32" ht="15.75" customHeight="1">
      <c r="A32" s="197" t="str">
        <f t="shared" si="1"/>
        <v/>
      </c>
      <c r="B32" s="246" t="str">
        <f t="array" ref="B32">IF($D32="","",IF($X32&lt;&gt;"",$X32,IF(COUNTIF('Student Work'!$C$24:$C$223,$D32)&gt;0,XLOOKUP($D32,'Student Work'!$C$24:$C$223,'Student Work'!$B$24:$B$223,""),SWITCH(TRUE,COUNTIF('Strand Placement'!$B$21:$B$26,$D32)&gt;0,'Strand Placement'!$A$19,COUNTIF('Strand Placement'!$B$30:$B$35,$D32)&gt;0,'Strand Placement'!$A$28,COUNTIF('Strand Placement'!$B$39:$B$44,$D32)&gt;0,'Strand Placement'!$A$37,COUNTIF('Strand Placement'!$B$48:$B$53,$D32)&gt;0,'Strand Placement'!$A$46,COUNTIF('Strand Placement'!$B$57:$B$62,$D32)&gt;0,'Strand Placement'!$A$55,COUNTIF('Strand Placement'!$B$66:$B$71,$D32)&gt;0,'Strand Placement'!$A$64,COUNTIF('Strand Placement'!$B$75:$B$80,$D32)&gt;0,'Strand Placement'!$A$73,COUNTIF('Strand Placement'!$B$84:$B$89,$D32)&gt;0,'Strand Placement'!$A$82,""))))</f>
        <v/>
      </c>
      <c r="C32" s="246" t="str">
        <f t="array" ref="C32">IF($D32="","",IF($Y32&lt;&gt;"",$Y32,IF(COUNTIF('Student Work'!$C$24:$C$223,$D32)&gt;0,XLOOKUP($D32,'Student Work'!$C$24:$C$223,'Student Work'!$A$24:$A$223,""),LET(rowWho,XLOOKUP($D32,'Strand Placement'!$B$21:$B$89,'Strand Placement'!$C$21:$C$89,""),blockWho,SWITCH(TRUE,COUNTIF('Strand Placement'!$B$21:$B$26,$D32)&gt;0,'Strand Placement'!$C$6,COUNTIF('Strand Placement'!$B$30:$B$35,$D32)&gt;0,'Strand Placement'!$C$7,COUNTIF('Strand Placement'!$B$39:$B$44,$D32)&gt;0,'Strand Placement'!$C$8,COUNTIF('Strand Placement'!$B$48:$B$53,$D32)&gt;0,'Strand Placement'!$C$9,COUNTIF('Strand Placement'!$B$57:$B$62,$D32)&gt;0,'Strand Placement'!$C$10,COUNTIF('Strand Placement'!$B$66:$B$71,$D32)&gt;0,'Strand Placement'!$C$11,COUNTIF('Strand Placement'!$B$75:$B$80,$D32)&gt;0,'Strand Placement'!$C$12,COUNTIF('Strand Placement'!$B$84:$B$89,$D32)&gt;0,'Strand Placement'!$C$13,""),IF(rowWho&lt;&gt;"",rowWho,blockWho)))))</f>
        <v/>
      </c>
      <c r="D32" s="197"/>
      <c r="E32" s="197"/>
      <c r="F32" s="197" t="s">
        <v>101</v>
      </c>
      <c r="G32" s="197"/>
      <c r="H32" s="197"/>
      <c r="I32" s="197"/>
      <c r="J32" s="323"/>
      <c r="K32" s="246" t="str">
        <f t="shared" si="2"/>
        <v/>
      </c>
      <c r="L32" s="197">
        <v>3.0</v>
      </c>
      <c r="M32" s="324"/>
      <c r="N32" s="8" t="str">
        <f t="shared" si="3"/>
        <v/>
      </c>
      <c r="O32" s="325" t="str">
        <f t="shared" si="4"/>
        <v/>
      </c>
      <c r="P32" s="326"/>
      <c r="Q32" s="327" t="str">
        <f t="shared" si="5"/>
        <v/>
      </c>
      <c r="R32" s="328" t="str">
        <f>IFERROR(__xludf.DUMMYFUNCTION("IF(A32&lt;&gt;""☑"","""",IF(OR(Q32="""",Q32=""Manual Start""),J32,IF(OR(Q32=""After Previous in Resource Stream"",Q32=""After Previous in Sequence""),IFERROR(LET(prevfinish,IF(P32&lt;&gt;"""",SUMIFS($S$10:S31,$O$10:O31,O32,$P$10:P31,P32-1),LOOKUP(2,1/($O$10:O31=O32),"&amp;"$S$10:S31)),IF(prevfinish=0,"""",MIN(FILTER('School Calendar'!$A$44:$A$408,('School Calendar'!$A$44:$A$408&gt;prevfinish)*('School Calendar'!$I$44:$I$408&gt;0))))),""""),J32)))"),"")</f>
        <v/>
      </c>
      <c r="S32" s="329" t="str">
        <f>IFERROR(__xludf.DUMMYFUNCTION("IF(OR(A32&lt;&gt;""☑"",R32="""",N32=""""),"""",IFERROR(LET(st,R32,n,N32,pace,K32,gap,MAX(1,L32),calDates,'School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2" s="330"/>
      <c r="U32" s="346" t="str">
        <f t="shared" si="6"/>
        <v/>
      </c>
      <c r="V32" s="332" t="str">
        <f>IF($D32="","",IF(COUNTIF('Student Work'!$C$24:$C$223,$D32)&gt;0,"Individual",SWITCH(TRUE,COUNTIF('Strand Placement'!$B$21:$B$26,$D32)&gt;0,'Strand Placement'!$D$6,COUNTIF('Strand Placement'!$B$30:$B$35,$D32)&gt;0,'Strand Placement'!$D$7,COUNTIF('Strand Placement'!$B$39:$B$44,$D32)&gt;0,'Strand Placement'!$D$8,COUNTIF('Strand Placement'!$B$48:$B$53,$D32)&gt;0,'Strand Placement'!$D$9,COUNTIF('Strand Placement'!$B$57:$B$62,$D32)&gt;0,'Strand Placement'!$D$10,COUNTIF('Strand Placement'!$B$66:$B$71,$D32)&gt;0,'Strand Placement'!$D$11,COUNTIF('Strand Placement'!$B$75:$B$80,$D32)&gt;0,'Strand Placement'!$D$12,COUNTIF('Strand Placement'!$B$84:$B$89,$D32)&gt;0,'Strand Placement'!$D$13,"")))</f>
        <v/>
      </c>
      <c r="W32" s="332" t="str">
        <f t="array" ref="W32">IF($D32="","",IF($AB32&lt;&gt;"",$AB32,IF(COUNTIF('Student Work'!$C$24:$C$223,$D32)&gt;0,XLOOKUP($D32,'Student Work'!$C$24:$C$223,'Student Work'!$D$24:$D$223,""),LET(rowRole,XLOOKUP($D32,'Strand Placement'!$B$21:$B$89,'Strand Placement'!$D$21:$D$89,""),blockRole,SWITCH(TRUE,COUNTIF('Strand Placement'!$B$21:$B$26,$D32)&gt;0,'Strand Placement'!$E$6,COUNTIF('Strand Placement'!$B$30:$B$35,$D32)&gt;0,'Strand Placement'!$E$7,COUNTIF('Strand Placement'!$B$39:$B$44,$D32)&gt;0,'Strand Placement'!$E$8,COUNTIF('Strand Placement'!$B$48:$B$53,$D32)&gt;0,'Strand Placement'!$E$9,COUNTIF('Strand Placement'!$B$57:$B$62,$D32)&gt;0,'Strand Placement'!$E$10,COUNTIF('Strand Placement'!$B$66:$B$71,$D32)&gt;0,'Strand Placement'!$E$11,COUNTIF('Strand Placement'!$B$75:$B$80,$D32)&gt;0,'Strand Placement'!$E$12,COUNTIF('Strand Placement'!$B$84:$B$89,$D32)&gt;0,'Strand Placement'!$E$13,""),IF(rowRole&lt;&gt;"",rowRole,blockRole)))))</f>
        <v/>
      </c>
      <c r="X32" s="335"/>
      <c r="Y32" s="335"/>
      <c r="Z32" s="335"/>
      <c r="AA32" s="335"/>
      <c r="AB32" s="335"/>
      <c r="AC32" s="336" t="str">
        <f t="array" ref="AC32">IF($D32="","",IF(COUNTIF('Student Work'!$C$24:$C$223,$D32)&gt;0,XLOOKUP($D32,'Student Work'!$C$24:$C$223,'Student Work'!$E$24:$E$223,""),XLOOKUP($D32,'Strand Placement'!$B$21:$B$89,'Strand Placement'!$K$21:$K$89,"")))</f>
        <v/>
      </c>
      <c r="AD32" s="336" t="str">
        <f t="array" ref="AD32">IF($D32="","",IF(COUNTIF('Student Work'!$C$24:$C$223,$D32)&gt;0,XLOOKUP($D32,'Student Work'!$C$24:$C$223,'Student Work'!$H$24:$H$223,""),XLOOKUP($D32,'Strand Placement'!$B$21:$B$89,'Strand Placement'!$L$21:$L$89,"")))</f>
        <v/>
      </c>
      <c r="AE32" s="336"/>
      <c r="AF32" s="336"/>
      <c r="AG32" s="339" t="s">
        <v>471</v>
      </c>
      <c r="AH32" s="336"/>
    </row>
    <row r="33" ht="15.75" customHeight="1">
      <c r="A33" s="197" t="str">
        <f t="shared" si="1"/>
        <v/>
      </c>
      <c r="B33" s="246" t="str">
        <f t="array" ref="B33">IF($D33="","",IF($X33&lt;&gt;"",$X33,IF(COUNTIF('Student Work'!$C$24:$C$223,$D33)&gt;0,XLOOKUP($D33,'Student Work'!$C$24:$C$223,'Student Work'!$B$24:$B$223,""),SWITCH(TRUE,COUNTIF('Strand Placement'!$B$21:$B$26,$D33)&gt;0,'Strand Placement'!$A$19,COUNTIF('Strand Placement'!$B$30:$B$35,$D33)&gt;0,'Strand Placement'!$A$28,COUNTIF('Strand Placement'!$B$39:$B$44,$D33)&gt;0,'Strand Placement'!$A$37,COUNTIF('Strand Placement'!$B$48:$B$53,$D33)&gt;0,'Strand Placement'!$A$46,COUNTIF('Strand Placement'!$B$57:$B$62,$D33)&gt;0,'Strand Placement'!$A$55,COUNTIF('Strand Placement'!$B$66:$B$71,$D33)&gt;0,'Strand Placement'!$A$64,COUNTIF('Strand Placement'!$B$75:$B$80,$D33)&gt;0,'Strand Placement'!$A$73,COUNTIF('Strand Placement'!$B$84:$B$89,$D33)&gt;0,'Strand Placement'!$A$82,""))))</f>
        <v/>
      </c>
      <c r="C33" s="246" t="str">
        <f t="array" ref="C33">IF($D33="","",IF($Y33&lt;&gt;"",$Y33,IF(COUNTIF('Student Work'!$C$24:$C$223,$D33)&gt;0,XLOOKUP($D33,'Student Work'!$C$24:$C$223,'Student Work'!$A$24:$A$223,""),LET(rowWho,XLOOKUP($D33,'Strand Placement'!$B$21:$B$89,'Strand Placement'!$C$21:$C$89,""),blockWho,SWITCH(TRUE,COUNTIF('Strand Placement'!$B$21:$B$26,$D33)&gt;0,'Strand Placement'!$C$6,COUNTIF('Strand Placement'!$B$30:$B$35,$D33)&gt;0,'Strand Placement'!$C$7,COUNTIF('Strand Placement'!$B$39:$B$44,$D33)&gt;0,'Strand Placement'!$C$8,COUNTIF('Strand Placement'!$B$48:$B$53,$D33)&gt;0,'Strand Placement'!$C$9,COUNTIF('Strand Placement'!$B$57:$B$62,$D33)&gt;0,'Strand Placement'!$C$10,COUNTIF('Strand Placement'!$B$66:$B$71,$D33)&gt;0,'Strand Placement'!$C$11,COUNTIF('Strand Placement'!$B$75:$B$80,$D33)&gt;0,'Strand Placement'!$C$12,COUNTIF('Strand Placement'!$B$84:$B$89,$D33)&gt;0,'Strand Placement'!$C$13,""),IF(rowWho&lt;&gt;"",rowWho,blockWho)))))</f>
        <v/>
      </c>
      <c r="D33" s="197"/>
      <c r="E33" s="197"/>
      <c r="F33" s="197" t="s">
        <v>101</v>
      </c>
      <c r="G33" s="197"/>
      <c r="H33" s="197"/>
      <c r="I33" s="197"/>
      <c r="J33" s="323"/>
      <c r="K33" s="246" t="str">
        <f t="shared" si="2"/>
        <v/>
      </c>
      <c r="L33" s="197">
        <v>3.0</v>
      </c>
      <c r="M33" s="324"/>
      <c r="N33" s="8" t="str">
        <f t="shared" si="3"/>
        <v/>
      </c>
      <c r="O33" s="325" t="str">
        <f t="shared" si="4"/>
        <v/>
      </c>
      <c r="P33" s="326"/>
      <c r="Q33" s="327" t="str">
        <f t="shared" si="5"/>
        <v/>
      </c>
      <c r="R33" s="328" t="str">
        <f>IFERROR(__xludf.DUMMYFUNCTION("IF(A33&lt;&gt;""☑"","""",IF(OR(Q33="""",Q33=""Manual Start""),J33,IF(OR(Q33=""After Previous in Resource Stream"",Q33=""After Previous in Sequence""),IFERROR(LET(prevfinish,IF(P33&lt;&gt;"""",SUMIFS($S$10:S32,$O$10:O32,O33,$P$10:P32,P33-1),LOOKUP(2,1/($O$10:O32=O33),"&amp;"$S$10:S32)),IF(prevfinish=0,"""",MIN(FILTER('School Calendar'!$A$44:$A$408,('School Calendar'!$A$44:$A$408&gt;prevfinish)*('School Calendar'!$I$44:$I$408&gt;0))))),""""),J33)))"),"")</f>
        <v/>
      </c>
      <c r="S33" s="329" t="str">
        <f>IFERROR(__xludf.DUMMYFUNCTION("IF(OR(A33&lt;&gt;""☑"",R33="""",N33=""""),"""",IFERROR(LET(st,R33,n,N33,pace,K33,gap,MAX(1,L33),calDates,'School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3" s="330"/>
      <c r="U33" s="346" t="str">
        <f t="shared" si="6"/>
        <v/>
      </c>
      <c r="V33" s="332" t="str">
        <f>IF($D33="","",IF(COUNTIF('Student Work'!$C$24:$C$223,$D33)&gt;0,"Individual",SWITCH(TRUE,COUNTIF('Strand Placement'!$B$21:$B$26,$D33)&gt;0,'Strand Placement'!$D$6,COUNTIF('Strand Placement'!$B$30:$B$35,$D33)&gt;0,'Strand Placement'!$D$7,COUNTIF('Strand Placement'!$B$39:$B$44,$D33)&gt;0,'Strand Placement'!$D$8,COUNTIF('Strand Placement'!$B$48:$B$53,$D33)&gt;0,'Strand Placement'!$D$9,COUNTIF('Strand Placement'!$B$57:$B$62,$D33)&gt;0,'Strand Placement'!$D$10,COUNTIF('Strand Placement'!$B$66:$B$71,$D33)&gt;0,'Strand Placement'!$D$11,COUNTIF('Strand Placement'!$B$75:$B$80,$D33)&gt;0,'Strand Placement'!$D$12,COUNTIF('Strand Placement'!$B$84:$B$89,$D33)&gt;0,'Strand Placement'!$D$13,"")))</f>
        <v/>
      </c>
      <c r="W33" s="332" t="str">
        <f t="array" ref="W33">IF($D33="","",IF($AB33&lt;&gt;"",$AB33,IF(COUNTIF('Student Work'!$C$24:$C$223,$D33)&gt;0,XLOOKUP($D33,'Student Work'!$C$24:$C$223,'Student Work'!$D$24:$D$223,""),LET(rowRole,XLOOKUP($D33,'Strand Placement'!$B$21:$B$89,'Strand Placement'!$D$21:$D$89,""),blockRole,SWITCH(TRUE,COUNTIF('Strand Placement'!$B$21:$B$26,$D33)&gt;0,'Strand Placement'!$E$6,COUNTIF('Strand Placement'!$B$30:$B$35,$D33)&gt;0,'Strand Placement'!$E$7,COUNTIF('Strand Placement'!$B$39:$B$44,$D33)&gt;0,'Strand Placement'!$E$8,COUNTIF('Strand Placement'!$B$48:$B$53,$D33)&gt;0,'Strand Placement'!$E$9,COUNTIF('Strand Placement'!$B$57:$B$62,$D33)&gt;0,'Strand Placement'!$E$10,COUNTIF('Strand Placement'!$B$66:$B$71,$D33)&gt;0,'Strand Placement'!$E$11,COUNTIF('Strand Placement'!$B$75:$B$80,$D33)&gt;0,'Strand Placement'!$E$12,COUNTIF('Strand Placement'!$B$84:$B$89,$D33)&gt;0,'Strand Placement'!$E$13,""),IF(rowRole&lt;&gt;"",rowRole,blockRole)))))</f>
        <v/>
      </c>
      <c r="X33" s="335"/>
      <c r="Y33" s="335"/>
      <c r="Z33" s="335"/>
      <c r="AA33" s="335"/>
      <c r="AB33" s="335"/>
      <c r="AC33" s="336" t="str">
        <f t="array" ref="AC33">IF($D33="","",IF(COUNTIF('Student Work'!$C$24:$C$223,$D33)&gt;0,XLOOKUP($D33,'Student Work'!$C$24:$C$223,'Student Work'!$E$24:$E$223,""),XLOOKUP($D33,'Strand Placement'!$B$21:$B$89,'Strand Placement'!$K$21:$K$89,"")))</f>
        <v/>
      </c>
      <c r="AD33" s="336" t="str">
        <f t="array" ref="AD33">IF($D33="","",IF(COUNTIF('Student Work'!$C$24:$C$223,$D33)&gt;0,XLOOKUP($D33,'Student Work'!$C$24:$C$223,'Student Work'!$H$24:$H$223,""),XLOOKUP($D33,'Strand Placement'!$B$21:$B$89,'Strand Placement'!$L$21:$L$89,"")))</f>
        <v/>
      </c>
      <c r="AE33" s="336"/>
      <c r="AF33" s="336"/>
      <c r="AG33" s="339" t="s">
        <v>479</v>
      </c>
      <c r="AH33" s="336"/>
    </row>
    <row r="34" ht="15.75" customHeight="1">
      <c r="A34" s="197" t="str">
        <f t="shared" si="1"/>
        <v/>
      </c>
      <c r="B34" s="246" t="str">
        <f t="array" ref="B34">IF($D34="","",IF($X34&lt;&gt;"",$X34,IF(COUNTIF('Student Work'!$C$24:$C$223,$D34)&gt;0,XLOOKUP($D34,'Student Work'!$C$24:$C$223,'Student Work'!$B$24:$B$223,""),SWITCH(TRUE,COUNTIF('Strand Placement'!$B$21:$B$26,$D34)&gt;0,'Strand Placement'!$A$19,COUNTIF('Strand Placement'!$B$30:$B$35,$D34)&gt;0,'Strand Placement'!$A$28,COUNTIF('Strand Placement'!$B$39:$B$44,$D34)&gt;0,'Strand Placement'!$A$37,COUNTIF('Strand Placement'!$B$48:$B$53,$D34)&gt;0,'Strand Placement'!$A$46,COUNTIF('Strand Placement'!$B$57:$B$62,$D34)&gt;0,'Strand Placement'!$A$55,COUNTIF('Strand Placement'!$B$66:$B$71,$D34)&gt;0,'Strand Placement'!$A$64,COUNTIF('Strand Placement'!$B$75:$B$80,$D34)&gt;0,'Strand Placement'!$A$73,COUNTIF('Strand Placement'!$B$84:$B$89,$D34)&gt;0,'Strand Placement'!$A$82,""))))</f>
        <v/>
      </c>
      <c r="C34" s="246" t="str">
        <f t="array" ref="C34">IF($D34="","",IF($Y34&lt;&gt;"",$Y34,IF(COUNTIF('Student Work'!$C$24:$C$223,$D34)&gt;0,XLOOKUP($D34,'Student Work'!$C$24:$C$223,'Student Work'!$A$24:$A$223,""),LET(rowWho,XLOOKUP($D34,'Strand Placement'!$B$21:$B$89,'Strand Placement'!$C$21:$C$89,""),blockWho,SWITCH(TRUE,COUNTIF('Strand Placement'!$B$21:$B$26,$D34)&gt;0,'Strand Placement'!$C$6,COUNTIF('Strand Placement'!$B$30:$B$35,$D34)&gt;0,'Strand Placement'!$C$7,COUNTIF('Strand Placement'!$B$39:$B$44,$D34)&gt;0,'Strand Placement'!$C$8,COUNTIF('Strand Placement'!$B$48:$B$53,$D34)&gt;0,'Strand Placement'!$C$9,COUNTIF('Strand Placement'!$B$57:$B$62,$D34)&gt;0,'Strand Placement'!$C$10,COUNTIF('Strand Placement'!$B$66:$B$71,$D34)&gt;0,'Strand Placement'!$C$11,COUNTIF('Strand Placement'!$B$75:$B$80,$D34)&gt;0,'Strand Placement'!$C$12,COUNTIF('Strand Placement'!$B$84:$B$89,$D34)&gt;0,'Strand Placement'!$C$13,""),IF(rowWho&lt;&gt;"",rowWho,blockWho)))))</f>
        <v/>
      </c>
      <c r="D34" s="197"/>
      <c r="E34" s="197"/>
      <c r="F34" s="197" t="s">
        <v>101</v>
      </c>
      <c r="G34" s="197"/>
      <c r="H34" s="197"/>
      <c r="I34" s="197"/>
      <c r="J34" s="323"/>
      <c r="K34" s="246" t="str">
        <f t="shared" si="2"/>
        <v/>
      </c>
      <c r="L34" s="197">
        <v>3.0</v>
      </c>
      <c r="M34" s="324"/>
      <c r="N34" s="8" t="str">
        <f t="shared" si="3"/>
        <v/>
      </c>
      <c r="O34" s="325" t="str">
        <f t="shared" si="4"/>
        <v/>
      </c>
      <c r="P34" s="326"/>
      <c r="Q34" s="327" t="str">
        <f t="shared" si="5"/>
        <v/>
      </c>
      <c r="R34" s="328" t="str">
        <f>IFERROR(__xludf.DUMMYFUNCTION("IF(A34&lt;&gt;""☑"","""",IF(OR(Q34="""",Q34=""Manual Start""),J34,IF(OR(Q34=""After Previous in Resource Stream"",Q34=""After Previous in Sequence""),IFERROR(LET(prevfinish,IF(P34&lt;&gt;"""",SUMIFS($S$10:S33,$O$10:O33,O34,$P$10:P33,P34-1),LOOKUP(2,1/($O$10:O33=O34),"&amp;"$S$10:S33)),IF(prevfinish=0,"""",MIN(FILTER('School Calendar'!$A$44:$A$408,('School Calendar'!$A$44:$A$408&gt;prevfinish)*('School Calendar'!$I$44:$I$408&gt;0))))),""""),J34)))"),"")</f>
        <v/>
      </c>
      <c r="S34" s="329" t="str">
        <f>IFERROR(__xludf.DUMMYFUNCTION("IF(OR(A34&lt;&gt;""☑"",R34="""",N34=""""),"""",IFERROR(LET(st,R34,n,N34,pace,K34,gap,MAX(1,L34),calDates,'School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4" s="330"/>
      <c r="U34" s="346" t="str">
        <f t="shared" si="6"/>
        <v/>
      </c>
      <c r="V34" s="332" t="str">
        <f>IF($D34="","",IF(COUNTIF('Student Work'!$C$24:$C$223,$D34)&gt;0,"Individual",SWITCH(TRUE,COUNTIF('Strand Placement'!$B$21:$B$26,$D34)&gt;0,'Strand Placement'!$D$6,COUNTIF('Strand Placement'!$B$30:$B$35,$D34)&gt;0,'Strand Placement'!$D$7,COUNTIF('Strand Placement'!$B$39:$B$44,$D34)&gt;0,'Strand Placement'!$D$8,COUNTIF('Strand Placement'!$B$48:$B$53,$D34)&gt;0,'Strand Placement'!$D$9,COUNTIF('Strand Placement'!$B$57:$B$62,$D34)&gt;0,'Strand Placement'!$D$10,COUNTIF('Strand Placement'!$B$66:$B$71,$D34)&gt;0,'Strand Placement'!$D$11,COUNTIF('Strand Placement'!$B$75:$B$80,$D34)&gt;0,'Strand Placement'!$D$12,COUNTIF('Strand Placement'!$B$84:$B$89,$D34)&gt;0,'Strand Placement'!$D$13,"")))</f>
        <v/>
      </c>
      <c r="W34" s="332" t="str">
        <f t="array" ref="W34">IF($D34="","",IF($AB34&lt;&gt;"",$AB34,IF(COUNTIF('Student Work'!$C$24:$C$223,$D34)&gt;0,XLOOKUP($D34,'Student Work'!$C$24:$C$223,'Student Work'!$D$24:$D$223,""),LET(rowRole,XLOOKUP($D34,'Strand Placement'!$B$21:$B$89,'Strand Placement'!$D$21:$D$89,""),blockRole,SWITCH(TRUE,COUNTIF('Strand Placement'!$B$21:$B$26,$D34)&gt;0,'Strand Placement'!$E$6,COUNTIF('Strand Placement'!$B$30:$B$35,$D34)&gt;0,'Strand Placement'!$E$7,COUNTIF('Strand Placement'!$B$39:$B$44,$D34)&gt;0,'Strand Placement'!$E$8,COUNTIF('Strand Placement'!$B$48:$B$53,$D34)&gt;0,'Strand Placement'!$E$9,COUNTIF('Strand Placement'!$B$57:$B$62,$D34)&gt;0,'Strand Placement'!$E$10,COUNTIF('Strand Placement'!$B$66:$B$71,$D34)&gt;0,'Strand Placement'!$E$11,COUNTIF('Strand Placement'!$B$75:$B$80,$D34)&gt;0,'Strand Placement'!$E$12,COUNTIF('Strand Placement'!$B$84:$B$89,$D34)&gt;0,'Strand Placement'!$E$13,""),IF(rowRole&lt;&gt;"",rowRole,blockRole)))))</f>
        <v/>
      </c>
      <c r="X34" s="335"/>
      <c r="Y34" s="335"/>
      <c r="Z34" s="335"/>
      <c r="AA34" s="335"/>
      <c r="AB34" s="335"/>
      <c r="AC34" s="336" t="str">
        <f t="array" ref="AC34">IF($D34="","",IF(COUNTIF('Student Work'!$C$24:$C$223,$D34)&gt;0,XLOOKUP($D34,'Student Work'!$C$24:$C$223,'Student Work'!$E$24:$E$223,""),XLOOKUP($D34,'Strand Placement'!$B$21:$B$89,'Strand Placement'!$K$21:$K$89,"")))</f>
        <v/>
      </c>
      <c r="AD34" s="336" t="str">
        <f t="array" ref="AD34">IF($D34="","",IF(COUNTIF('Student Work'!$C$24:$C$223,$D34)&gt;0,XLOOKUP($D34,'Student Work'!$C$24:$C$223,'Student Work'!$H$24:$H$223,""),XLOOKUP($D34,'Strand Placement'!$B$21:$B$89,'Strand Placement'!$L$21:$L$89,"")))</f>
        <v/>
      </c>
      <c r="AE34" s="336"/>
      <c r="AF34" s="336"/>
      <c r="AG34" s="339" t="s">
        <v>266</v>
      </c>
      <c r="AH34" s="336"/>
    </row>
    <row r="35" ht="15.75" customHeight="1">
      <c r="A35" s="197" t="str">
        <f t="shared" si="1"/>
        <v/>
      </c>
      <c r="B35" s="246" t="str">
        <f t="array" ref="B35">IF($D35="","",IF($X35&lt;&gt;"",$X35,IF(COUNTIF('Student Work'!$C$24:$C$223,$D35)&gt;0,XLOOKUP($D35,'Student Work'!$C$24:$C$223,'Student Work'!$B$24:$B$223,""),SWITCH(TRUE,COUNTIF('Strand Placement'!$B$21:$B$26,$D35)&gt;0,'Strand Placement'!$A$19,COUNTIF('Strand Placement'!$B$30:$B$35,$D35)&gt;0,'Strand Placement'!$A$28,COUNTIF('Strand Placement'!$B$39:$B$44,$D35)&gt;0,'Strand Placement'!$A$37,COUNTIF('Strand Placement'!$B$48:$B$53,$D35)&gt;0,'Strand Placement'!$A$46,COUNTIF('Strand Placement'!$B$57:$B$62,$D35)&gt;0,'Strand Placement'!$A$55,COUNTIF('Strand Placement'!$B$66:$B$71,$D35)&gt;0,'Strand Placement'!$A$64,COUNTIF('Strand Placement'!$B$75:$B$80,$D35)&gt;0,'Strand Placement'!$A$73,COUNTIF('Strand Placement'!$B$84:$B$89,$D35)&gt;0,'Strand Placement'!$A$82,""))))</f>
        <v/>
      </c>
      <c r="C35" s="246" t="str">
        <f t="array" ref="C35">IF($D35="","",IF($Y35&lt;&gt;"",$Y35,IF(COUNTIF('Student Work'!$C$24:$C$223,$D35)&gt;0,XLOOKUP($D35,'Student Work'!$C$24:$C$223,'Student Work'!$A$24:$A$223,""),LET(rowWho,XLOOKUP($D35,'Strand Placement'!$B$21:$B$89,'Strand Placement'!$C$21:$C$89,""),blockWho,SWITCH(TRUE,COUNTIF('Strand Placement'!$B$21:$B$26,$D35)&gt;0,'Strand Placement'!$C$6,COUNTIF('Strand Placement'!$B$30:$B$35,$D35)&gt;0,'Strand Placement'!$C$7,COUNTIF('Strand Placement'!$B$39:$B$44,$D35)&gt;0,'Strand Placement'!$C$8,COUNTIF('Strand Placement'!$B$48:$B$53,$D35)&gt;0,'Strand Placement'!$C$9,COUNTIF('Strand Placement'!$B$57:$B$62,$D35)&gt;0,'Strand Placement'!$C$10,COUNTIF('Strand Placement'!$B$66:$B$71,$D35)&gt;0,'Strand Placement'!$C$11,COUNTIF('Strand Placement'!$B$75:$B$80,$D35)&gt;0,'Strand Placement'!$C$12,COUNTIF('Strand Placement'!$B$84:$B$89,$D35)&gt;0,'Strand Placement'!$C$13,""),IF(rowWho&lt;&gt;"",rowWho,blockWho)))))</f>
        <v/>
      </c>
      <c r="D35" s="197"/>
      <c r="E35" s="197"/>
      <c r="F35" s="197" t="s">
        <v>101</v>
      </c>
      <c r="G35" s="197"/>
      <c r="H35" s="197"/>
      <c r="I35" s="197"/>
      <c r="J35" s="323"/>
      <c r="K35" s="246" t="str">
        <f t="shared" si="2"/>
        <v/>
      </c>
      <c r="L35" s="197">
        <v>3.0</v>
      </c>
      <c r="M35" s="324"/>
      <c r="N35" s="8" t="str">
        <f t="shared" si="3"/>
        <v/>
      </c>
      <c r="O35" s="325" t="str">
        <f t="shared" si="4"/>
        <v/>
      </c>
      <c r="P35" s="326"/>
      <c r="Q35" s="327" t="str">
        <f t="shared" si="5"/>
        <v/>
      </c>
      <c r="R35" s="328" t="str">
        <f>IFERROR(__xludf.DUMMYFUNCTION("IF(A35&lt;&gt;""☑"","""",IF(OR(Q35="""",Q35=""Manual Start""),J35,IF(OR(Q35=""After Previous in Resource Stream"",Q35=""After Previous in Sequence""),IFERROR(LET(prevfinish,IF(P35&lt;&gt;"""",SUMIFS($S$10:S34,$O$10:O34,O35,$P$10:P34,P35-1),LOOKUP(2,1/($O$10:O34=O35),"&amp;"$S$10:S34)),IF(prevfinish=0,"""",MIN(FILTER('School Calendar'!$A$44:$A$408,('School Calendar'!$A$44:$A$408&gt;prevfinish)*('School Calendar'!$I$44:$I$408&gt;0))))),""""),J35)))"),"")</f>
        <v/>
      </c>
      <c r="S35" s="329" t="str">
        <f>IFERROR(__xludf.DUMMYFUNCTION("IF(OR(A35&lt;&gt;""☑"",R35="""",N35=""""),"""",IFERROR(LET(st,R35,n,N35,pace,K35,gap,MAX(1,L35),calDates,'School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5" s="330"/>
      <c r="U35" s="346" t="str">
        <f t="shared" si="6"/>
        <v/>
      </c>
      <c r="V35" s="332" t="str">
        <f>IF($D35="","",IF(COUNTIF('Student Work'!$C$24:$C$223,$D35)&gt;0,"Individual",SWITCH(TRUE,COUNTIF('Strand Placement'!$B$21:$B$26,$D35)&gt;0,'Strand Placement'!$D$6,COUNTIF('Strand Placement'!$B$30:$B$35,$D35)&gt;0,'Strand Placement'!$D$7,COUNTIF('Strand Placement'!$B$39:$B$44,$D35)&gt;0,'Strand Placement'!$D$8,COUNTIF('Strand Placement'!$B$48:$B$53,$D35)&gt;0,'Strand Placement'!$D$9,COUNTIF('Strand Placement'!$B$57:$B$62,$D35)&gt;0,'Strand Placement'!$D$10,COUNTIF('Strand Placement'!$B$66:$B$71,$D35)&gt;0,'Strand Placement'!$D$11,COUNTIF('Strand Placement'!$B$75:$B$80,$D35)&gt;0,'Strand Placement'!$D$12,COUNTIF('Strand Placement'!$B$84:$B$89,$D35)&gt;0,'Strand Placement'!$D$13,"")))</f>
        <v/>
      </c>
      <c r="W35" s="332" t="str">
        <f t="array" ref="W35">IF($D35="","",IF($AB35&lt;&gt;"",$AB35,IF(COUNTIF('Student Work'!$C$24:$C$223,$D35)&gt;0,XLOOKUP($D35,'Student Work'!$C$24:$C$223,'Student Work'!$D$24:$D$223,""),LET(rowRole,XLOOKUP($D35,'Strand Placement'!$B$21:$B$89,'Strand Placement'!$D$21:$D$89,""),blockRole,SWITCH(TRUE,COUNTIF('Strand Placement'!$B$21:$B$26,$D35)&gt;0,'Strand Placement'!$E$6,COUNTIF('Strand Placement'!$B$30:$B$35,$D35)&gt;0,'Strand Placement'!$E$7,COUNTIF('Strand Placement'!$B$39:$B$44,$D35)&gt;0,'Strand Placement'!$E$8,COUNTIF('Strand Placement'!$B$48:$B$53,$D35)&gt;0,'Strand Placement'!$E$9,COUNTIF('Strand Placement'!$B$57:$B$62,$D35)&gt;0,'Strand Placement'!$E$10,COUNTIF('Strand Placement'!$B$66:$B$71,$D35)&gt;0,'Strand Placement'!$E$11,COUNTIF('Strand Placement'!$B$75:$B$80,$D35)&gt;0,'Strand Placement'!$E$12,COUNTIF('Strand Placement'!$B$84:$B$89,$D35)&gt;0,'Strand Placement'!$E$13,""),IF(rowRole&lt;&gt;"",rowRole,blockRole)))))</f>
        <v/>
      </c>
      <c r="X35" s="335"/>
      <c r="Y35" s="335"/>
      <c r="Z35" s="335"/>
      <c r="AA35" s="335"/>
      <c r="AB35" s="335"/>
      <c r="AC35" s="336" t="str">
        <f t="array" ref="AC35">IF($D35="","",IF(COUNTIF('Student Work'!$C$24:$C$223,$D35)&gt;0,XLOOKUP($D35,'Student Work'!$C$24:$C$223,'Student Work'!$E$24:$E$223,""),XLOOKUP($D35,'Strand Placement'!$B$21:$B$89,'Strand Placement'!$K$21:$K$89,"")))</f>
        <v/>
      </c>
      <c r="AD35" s="336" t="str">
        <f t="array" ref="AD35">IF($D35="","",IF(COUNTIF('Student Work'!$C$24:$C$223,$D35)&gt;0,XLOOKUP($D35,'Student Work'!$C$24:$C$223,'Student Work'!$H$24:$H$223,""),XLOOKUP($D35,'Strand Placement'!$B$21:$B$89,'Strand Placement'!$L$21:$L$89,"")))</f>
        <v/>
      </c>
      <c r="AE35" s="336"/>
      <c r="AF35" s="336"/>
      <c r="AG35" s="339" t="s">
        <v>484</v>
      </c>
      <c r="AH35" s="336"/>
    </row>
    <row r="36" ht="15.75" customHeight="1">
      <c r="A36" s="197" t="str">
        <f t="shared" si="1"/>
        <v/>
      </c>
      <c r="B36" s="246" t="str">
        <f t="array" ref="B36">IF($D36="","",IF($X36&lt;&gt;"",$X36,IF(COUNTIF('Student Work'!$C$24:$C$223,$D36)&gt;0,XLOOKUP($D36,'Student Work'!$C$24:$C$223,'Student Work'!$B$24:$B$223,""),SWITCH(TRUE,COUNTIF('Strand Placement'!$B$21:$B$26,$D36)&gt;0,'Strand Placement'!$A$19,COUNTIF('Strand Placement'!$B$30:$B$35,$D36)&gt;0,'Strand Placement'!$A$28,COUNTIF('Strand Placement'!$B$39:$B$44,$D36)&gt;0,'Strand Placement'!$A$37,COUNTIF('Strand Placement'!$B$48:$B$53,$D36)&gt;0,'Strand Placement'!$A$46,COUNTIF('Strand Placement'!$B$57:$B$62,$D36)&gt;0,'Strand Placement'!$A$55,COUNTIF('Strand Placement'!$B$66:$B$71,$D36)&gt;0,'Strand Placement'!$A$64,COUNTIF('Strand Placement'!$B$75:$B$80,$D36)&gt;0,'Strand Placement'!$A$73,COUNTIF('Strand Placement'!$B$84:$B$89,$D36)&gt;0,'Strand Placement'!$A$82,""))))</f>
        <v/>
      </c>
      <c r="C36" s="246" t="str">
        <f t="array" ref="C36">IF($D36="","",IF($Y36&lt;&gt;"",$Y36,IF(COUNTIF('Student Work'!$C$24:$C$223,$D36)&gt;0,XLOOKUP($D36,'Student Work'!$C$24:$C$223,'Student Work'!$A$24:$A$223,""),LET(rowWho,XLOOKUP($D36,'Strand Placement'!$B$21:$B$89,'Strand Placement'!$C$21:$C$89,""),blockWho,SWITCH(TRUE,COUNTIF('Strand Placement'!$B$21:$B$26,$D36)&gt;0,'Strand Placement'!$C$6,COUNTIF('Strand Placement'!$B$30:$B$35,$D36)&gt;0,'Strand Placement'!$C$7,COUNTIF('Strand Placement'!$B$39:$B$44,$D36)&gt;0,'Strand Placement'!$C$8,COUNTIF('Strand Placement'!$B$48:$B$53,$D36)&gt;0,'Strand Placement'!$C$9,COUNTIF('Strand Placement'!$B$57:$B$62,$D36)&gt;0,'Strand Placement'!$C$10,COUNTIF('Strand Placement'!$B$66:$B$71,$D36)&gt;0,'Strand Placement'!$C$11,COUNTIF('Strand Placement'!$B$75:$B$80,$D36)&gt;0,'Strand Placement'!$C$12,COUNTIF('Strand Placement'!$B$84:$B$89,$D36)&gt;0,'Strand Placement'!$C$13,""),IF(rowWho&lt;&gt;"",rowWho,blockWho)))))</f>
        <v/>
      </c>
      <c r="D36" s="197"/>
      <c r="E36" s="197"/>
      <c r="F36" s="197" t="s">
        <v>101</v>
      </c>
      <c r="G36" s="197"/>
      <c r="H36" s="197"/>
      <c r="I36" s="197"/>
      <c r="J36" s="323"/>
      <c r="K36" s="246" t="str">
        <f t="shared" si="2"/>
        <v/>
      </c>
      <c r="L36" s="197">
        <v>3.0</v>
      </c>
      <c r="M36" s="324"/>
      <c r="N36" s="8" t="str">
        <f t="shared" si="3"/>
        <v/>
      </c>
      <c r="O36" s="325" t="str">
        <f t="shared" si="4"/>
        <v/>
      </c>
      <c r="P36" s="326"/>
      <c r="Q36" s="327" t="str">
        <f t="shared" si="5"/>
        <v/>
      </c>
      <c r="R36" s="328" t="str">
        <f>IFERROR(__xludf.DUMMYFUNCTION("IF(A36&lt;&gt;""☑"","""",IF(OR(Q36="""",Q36=""Manual Start""),J36,IF(OR(Q36=""After Previous in Resource Stream"",Q36=""After Previous in Sequence""),IFERROR(LET(prevfinish,IF(P36&lt;&gt;"""",SUMIFS($S$10:S35,$O$10:O35,O36,$P$10:P35,P36-1),LOOKUP(2,1/($O$10:O35=O36),"&amp;"$S$10:S35)),IF(prevfinish=0,"""",MIN(FILTER('School Calendar'!$A$44:$A$408,('School Calendar'!$A$44:$A$408&gt;prevfinish)*('School Calendar'!$I$44:$I$408&gt;0))))),""""),J36)))"),"")</f>
        <v/>
      </c>
      <c r="S36" s="329" t="str">
        <f>IFERROR(__xludf.DUMMYFUNCTION("IF(OR(A36&lt;&gt;""☑"",R36="""",N36=""""),"""",IFERROR(LET(st,R36,n,N36,pace,K36,gap,MAX(1,L36),calDates,'School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6" s="330"/>
      <c r="U36" s="346" t="str">
        <f t="shared" si="6"/>
        <v/>
      </c>
      <c r="V36" s="332" t="str">
        <f>IF($D36="","",IF(COUNTIF('Student Work'!$C$24:$C$223,$D36)&gt;0,"Individual",SWITCH(TRUE,COUNTIF('Strand Placement'!$B$21:$B$26,$D36)&gt;0,'Strand Placement'!$D$6,COUNTIF('Strand Placement'!$B$30:$B$35,$D36)&gt;0,'Strand Placement'!$D$7,COUNTIF('Strand Placement'!$B$39:$B$44,$D36)&gt;0,'Strand Placement'!$D$8,COUNTIF('Strand Placement'!$B$48:$B$53,$D36)&gt;0,'Strand Placement'!$D$9,COUNTIF('Strand Placement'!$B$57:$B$62,$D36)&gt;0,'Strand Placement'!$D$10,COUNTIF('Strand Placement'!$B$66:$B$71,$D36)&gt;0,'Strand Placement'!$D$11,COUNTIF('Strand Placement'!$B$75:$B$80,$D36)&gt;0,'Strand Placement'!$D$12,COUNTIF('Strand Placement'!$B$84:$B$89,$D36)&gt;0,'Strand Placement'!$D$13,"")))</f>
        <v/>
      </c>
      <c r="W36" s="332" t="str">
        <f t="array" ref="W36">IF($D36="","",IF($AB36&lt;&gt;"",$AB36,IF(COUNTIF('Student Work'!$C$24:$C$223,$D36)&gt;0,XLOOKUP($D36,'Student Work'!$C$24:$C$223,'Student Work'!$D$24:$D$223,""),LET(rowRole,XLOOKUP($D36,'Strand Placement'!$B$21:$B$89,'Strand Placement'!$D$21:$D$89,""),blockRole,SWITCH(TRUE,COUNTIF('Strand Placement'!$B$21:$B$26,$D36)&gt;0,'Strand Placement'!$E$6,COUNTIF('Strand Placement'!$B$30:$B$35,$D36)&gt;0,'Strand Placement'!$E$7,COUNTIF('Strand Placement'!$B$39:$B$44,$D36)&gt;0,'Strand Placement'!$E$8,COUNTIF('Strand Placement'!$B$48:$B$53,$D36)&gt;0,'Strand Placement'!$E$9,COUNTIF('Strand Placement'!$B$57:$B$62,$D36)&gt;0,'Strand Placement'!$E$10,COUNTIF('Strand Placement'!$B$66:$B$71,$D36)&gt;0,'Strand Placement'!$E$11,COUNTIF('Strand Placement'!$B$75:$B$80,$D36)&gt;0,'Strand Placement'!$E$12,COUNTIF('Strand Placement'!$B$84:$B$89,$D36)&gt;0,'Strand Placement'!$E$13,""),IF(rowRole&lt;&gt;"",rowRole,blockRole)))))</f>
        <v/>
      </c>
      <c r="X36" s="335"/>
      <c r="Y36" s="335"/>
      <c r="Z36" s="335"/>
      <c r="AA36" s="335"/>
      <c r="AB36" s="335"/>
      <c r="AC36" s="336" t="str">
        <f t="array" ref="AC36">IF($D36="","",IF(COUNTIF('Student Work'!$C$24:$C$223,$D36)&gt;0,XLOOKUP($D36,'Student Work'!$C$24:$C$223,'Student Work'!$E$24:$E$223,""),XLOOKUP($D36,'Strand Placement'!$B$21:$B$89,'Strand Placement'!$K$21:$K$89,"")))</f>
        <v/>
      </c>
      <c r="AD36" s="336" t="str">
        <f t="array" ref="AD36">IF($D36="","",IF(COUNTIF('Student Work'!$C$24:$C$223,$D36)&gt;0,XLOOKUP($D36,'Student Work'!$C$24:$C$223,'Student Work'!$H$24:$H$223,""),XLOOKUP($D36,'Strand Placement'!$B$21:$B$89,'Strand Placement'!$L$21:$L$89,"")))</f>
        <v/>
      </c>
      <c r="AE36" s="336"/>
      <c r="AF36" s="336"/>
      <c r="AG36" s="339" t="s">
        <v>485</v>
      </c>
      <c r="AH36" s="336"/>
    </row>
    <row r="37" ht="15.75" customHeight="1">
      <c r="A37" s="197" t="str">
        <f t="shared" si="1"/>
        <v/>
      </c>
      <c r="B37" s="246" t="str">
        <f t="array" ref="B37">IF($D37="","",IF($X37&lt;&gt;"",$X37,IF(COUNTIF('Student Work'!$C$24:$C$223,$D37)&gt;0,XLOOKUP($D37,'Student Work'!$C$24:$C$223,'Student Work'!$B$24:$B$223,""),SWITCH(TRUE,COUNTIF('Strand Placement'!$B$21:$B$26,$D37)&gt;0,'Strand Placement'!$A$19,COUNTIF('Strand Placement'!$B$30:$B$35,$D37)&gt;0,'Strand Placement'!$A$28,COUNTIF('Strand Placement'!$B$39:$B$44,$D37)&gt;0,'Strand Placement'!$A$37,COUNTIF('Strand Placement'!$B$48:$B$53,$D37)&gt;0,'Strand Placement'!$A$46,COUNTIF('Strand Placement'!$B$57:$B$62,$D37)&gt;0,'Strand Placement'!$A$55,COUNTIF('Strand Placement'!$B$66:$B$71,$D37)&gt;0,'Strand Placement'!$A$64,COUNTIF('Strand Placement'!$B$75:$B$80,$D37)&gt;0,'Strand Placement'!$A$73,COUNTIF('Strand Placement'!$B$84:$B$89,$D37)&gt;0,'Strand Placement'!$A$82,""))))</f>
        <v/>
      </c>
      <c r="C37" s="246" t="str">
        <f t="array" ref="C37">IF($D37="","",IF($Y37&lt;&gt;"",$Y37,IF(COUNTIF('Student Work'!$C$24:$C$223,$D37)&gt;0,XLOOKUP($D37,'Student Work'!$C$24:$C$223,'Student Work'!$A$24:$A$223,""),LET(rowWho,XLOOKUP($D37,'Strand Placement'!$B$21:$B$89,'Strand Placement'!$C$21:$C$89,""),blockWho,SWITCH(TRUE,COUNTIF('Strand Placement'!$B$21:$B$26,$D37)&gt;0,'Strand Placement'!$C$6,COUNTIF('Strand Placement'!$B$30:$B$35,$D37)&gt;0,'Strand Placement'!$C$7,COUNTIF('Strand Placement'!$B$39:$B$44,$D37)&gt;0,'Strand Placement'!$C$8,COUNTIF('Strand Placement'!$B$48:$B$53,$D37)&gt;0,'Strand Placement'!$C$9,COUNTIF('Strand Placement'!$B$57:$B$62,$D37)&gt;0,'Strand Placement'!$C$10,COUNTIF('Strand Placement'!$B$66:$B$71,$D37)&gt;0,'Strand Placement'!$C$11,COUNTIF('Strand Placement'!$B$75:$B$80,$D37)&gt;0,'Strand Placement'!$C$12,COUNTIF('Strand Placement'!$B$84:$B$89,$D37)&gt;0,'Strand Placement'!$C$13,""),IF(rowWho&lt;&gt;"",rowWho,blockWho)))))</f>
        <v/>
      </c>
      <c r="D37" s="197"/>
      <c r="E37" s="197"/>
      <c r="F37" s="197" t="s">
        <v>101</v>
      </c>
      <c r="G37" s="197"/>
      <c r="H37" s="197"/>
      <c r="I37" s="197"/>
      <c r="J37" s="323"/>
      <c r="K37" s="246" t="str">
        <f t="shared" si="2"/>
        <v/>
      </c>
      <c r="L37" s="197">
        <v>3.0</v>
      </c>
      <c r="M37" s="324"/>
      <c r="N37" s="8" t="str">
        <f t="shared" si="3"/>
        <v/>
      </c>
      <c r="O37" s="325" t="str">
        <f t="shared" si="4"/>
        <v/>
      </c>
      <c r="P37" s="326"/>
      <c r="Q37" s="327" t="str">
        <f t="shared" si="5"/>
        <v/>
      </c>
      <c r="R37" s="328" t="str">
        <f>IFERROR(__xludf.DUMMYFUNCTION("IF(A37&lt;&gt;""☑"","""",IF(OR(Q37="""",Q37=""Manual Start""),J37,IF(OR(Q37=""After Previous in Resource Stream"",Q37=""After Previous in Sequence""),IFERROR(LET(prevfinish,IF(P37&lt;&gt;"""",SUMIFS($S$10:S36,$O$10:O36,O37,$P$10:P36,P37-1),LOOKUP(2,1/($O$10:O36=O37),"&amp;"$S$10:S36)),IF(prevfinish=0,"""",MIN(FILTER('School Calendar'!$A$44:$A$408,('School Calendar'!$A$44:$A$408&gt;prevfinish)*('School Calendar'!$I$44:$I$408&gt;0))))),""""),J37)))"),"")</f>
        <v/>
      </c>
      <c r="S37" s="329" t="str">
        <f>IFERROR(__xludf.DUMMYFUNCTION("IF(OR(A37&lt;&gt;""☑"",R37="""",N37=""""),"""",IFERROR(LET(st,R37,n,N37,pace,K37,gap,MAX(1,L37),calDates,'School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7" s="330"/>
      <c r="U37" s="346" t="str">
        <f t="shared" si="6"/>
        <v/>
      </c>
      <c r="V37" s="332" t="str">
        <f>IF($D37="","",IF(COUNTIF('Student Work'!$C$24:$C$223,$D37)&gt;0,"Individual",SWITCH(TRUE,COUNTIF('Strand Placement'!$B$21:$B$26,$D37)&gt;0,'Strand Placement'!$D$6,COUNTIF('Strand Placement'!$B$30:$B$35,$D37)&gt;0,'Strand Placement'!$D$7,COUNTIF('Strand Placement'!$B$39:$B$44,$D37)&gt;0,'Strand Placement'!$D$8,COUNTIF('Strand Placement'!$B$48:$B$53,$D37)&gt;0,'Strand Placement'!$D$9,COUNTIF('Strand Placement'!$B$57:$B$62,$D37)&gt;0,'Strand Placement'!$D$10,COUNTIF('Strand Placement'!$B$66:$B$71,$D37)&gt;0,'Strand Placement'!$D$11,COUNTIF('Strand Placement'!$B$75:$B$80,$D37)&gt;0,'Strand Placement'!$D$12,COUNTIF('Strand Placement'!$B$84:$B$89,$D37)&gt;0,'Strand Placement'!$D$13,"")))</f>
        <v/>
      </c>
      <c r="W37" s="332" t="str">
        <f t="array" ref="W37">IF($D37="","",IF($AB37&lt;&gt;"",$AB37,IF(COUNTIF('Student Work'!$C$24:$C$223,$D37)&gt;0,XLOOKUP($D37,'Student Work'!$C$24:$C$223,'Student Work'!$D$24:$D$223,""),LET(rowRole,XLOOKUP($D37,'Strand Placement'!$B$21:$B$89,'Strand Placement'!$D$21:$D$89,""),blockRole,SWITCH(TRUE,COUNTIF('Strand Placement'!$B$21:$B$26,$D37)&gt;0,'Strand Placement'!$E$6,COUNTIF('Strand Placement'!$B$30:$B$35,$D37)&gt;0,'Strand Placement'!$E$7,COUNTIF('Strand Placement'!$B$39:$B$44,$D37)&gt;0,'Strand Placement'!$E$8,COUNTIF('Strand Placement'!$B$48:$B$53,$D37)&gt;0,'Strand Placement'!$E$9,COUNTIF('Strand Placement'!$B$57:$B$62,$D37)&gt;0,'Strand Placement'!$E$10,COUNTIF('Strand Placement'!$B$66:$B$71,$D37)&gt;0,'Strand Placement'!$E$11,COUNTIF('Strand Placement'!$B$75:$B$80,$D37)&gt;0,'Strand Placement'!$E$12,COUNTIF('Strand Placement'!$B$84:$B$89,$D37)&gt;0,'Strand Placement'!$E$13,""),IF(rowRole&lt;&gt;"",rowRole,blockRole)))))</f>
        <v/>
      </c>
      <c r="X37" s="335"/>
      <c r="Y37" s="335"/>
      <c r="Z37" s="335"/>
      <c r="AA37" s="335"/>
      <c r="AB37" s="335"/>
      <c r="AC37" s="336" t="str">
        <f t="array" ref="AC37">IF($D37="","",IF(COUNTIF('Student Work'!$C$24:$C$223,$D37)&gt;0,XLOOKUP($D37,'Student Work'!$C$24:$C$223,'Student Work'!$E$24:$E$223,""),XLOOKUP($D37,'Strand Placement'!$B$21:$B$89,'Strand Placement'!$K$21:$K$89,"")))</f>
        <v/>
      </c>
      <c r="AD37" s="336" t="str">
        <f t="array" ref="AD37">IF($D37="","",IF(COUNTIF('Student Work'!$C$24:$C$223,$D37)&gt;0,XLOOKUP($D37,'Student Work'!$C$24:$C$223,'Student Work'!$H$24:$H$223,""),XLOOKUP($D37,'Strand Placement'!$B$21:$B$89,'Strand Placement'!$L$21:$L$89,"")))</f>
        <v/>
      </c>
      <c r="AE37" s="336"/>
      <c r="AF37" s="336"/>
      <c r="AG37" s="339" t="s">
        <v>486</v>
      </c>
      <c r="AH37" s="336"/>
    </row>
    <row r="38" ht="15.75" customHeight="1">
      <c r="A38" s="197" t="str">
        <f t="shared" si="1"/>
        <v/>
      </c>
      <c r="B38" s="246" t="str">
        <f t="array" ref="B38">IF($D38="","",IF($X38&lt;&gt;"",$X38,IF(COUNTIF('Student Work'!$C$24:$C$223,$D38)&gt;0,XLOOKUP($D38,'Student Work'!$C$24:$C$223,'Student Work'!$B$24:$B$223,""),SWITCH(TRUE,COUNTIF('Strand Placement'!$B$21:$B$26,$D38)&gt;0,'Strand Placement'!$A$19,COUNTIF('Strand Placement'!$B$30:$B$35,$D38)&gt;0,'Strand Placement'!$A$28,COUNTIF('Strand Placement'!$B$39:$B$44,$D38)&gt;0,'Strand Placement'!$A$37,COUNTIF('Strand Placement'!$B$48:$B$53,$D38)&gt;0,'Strand Placement'!$A$46,COUNTIF('Strand Placement'!$B$57:$B$62,$D38)&gt;0,'Strand Placement'!$A$55,COUNTIF('Strand Placement'!$B$66:$B$71,$D38)&gt;0,'Strand Placement'!$A$64,COUNTIF('Strand Placement'!$B$75:$B$80,$D38)&gt;0,'Strand Placement'!$A$73,COUNTIF('Strand Placement'!$B$84:$B$89,$D38)&gt;0,'Strand Placement'!$A$82,""))))</f>
        <v/>
      </c>
      <c r="C38" s="246" t="str">
        <f t="array" ref="C38">IF($D38="","",IF($Y38&lt;&gt;"",$Y38,IF(COUNTIF('Student Work'!$C$24:$C$223,$D38)&gt;0,XLOOKUP($D38,'Student Work'!$C$24:$C$223,'Student Work'!$A$24:$A$223,""),LET(rowWho,XLOOKUP($D38,'Strand Placement'!$B$21:$B$89,'Strand Placement'!$C$21:$C$89,""),blockWho,SWITCH(TRUE,COUNTIF('Strand Placement'!$B$21:$B$26,$D38)&gt;0,'Strand Placement'!$C$6,COUNTIF('Strand Placement'!$B$30:$B$35,$D38)&gt;0,'Strand Placement'!$C$7,COUNTIF('Strand Placement'!$B$39:$B$44,$D38)&gt;0,'Strand Placement'!$C$8,COUNTIF('Strand Placement'!$B$48:$B$53,$D38)&gt;0,'Strand Placement'!$C$9,COUNTIF('Strand Placement'!$B$57:$B$62,$D38)&gt;0,'Strand Placement'!$C$10,COUNTIF('Strand Placement'!$B$66:$B$71,$D38)&gt;0,'Strand Placement'!$C$11,COUNTIF('Strand Placement'!$B$75:$B$80,$D38)&gt;0,'Strand Placement'!$C$12,COUNTIF('Strand Placement'!$B$84:$B$89,$D38)&gt;0,'Strand Placement'!$C$13,""),IF(rowWho&lt;&gt;"",rowWho,blockWho)))))</f>
        <v/>
      </c>
      <c r="D38" s="197"/>
      <c r="E38" s="197"/>
      <c r="F38" s="197" t="s">
        <v>101</v>
      </c>
      <c r="G38" s="197"/>
      <c r="H38" s="197"/>
      <c r="I38" s="197"/>
      <c r="J38" s="323"/>
      <c r="K38" s="246" t="str">
        <f t="shared" si="2"/>
        <v/>
      </c>
      <c r="L38" s="197">
        <v>3.0</v>
      </c>
      <c r="M38" s="324"/>
      <c r="N38" s="8" t="str">
        <f t="shared" si="3"/>
        <v/>
      </c>
      <c r="O38" s="325" t="str">
        <f t="shared" si="4"/>
        <v/>
      </c>
      <c r="P38" s="326"/>
      <c r="Q38" s="327" t="str">
        <f t="shared" si="5"/>
        <v/>
      </c>
      <c r="R38" s="328" t="str">
        <f>IFERROR(__xludf.DUMMYFUNCTION("IF(A38&lt;&gt;""☑"","""",IF(OR(Q38="""",Q38=""Manual Start""),J38,IF(OR(Q38=""After Previous in Resource Stream"",Q38=""After Previous in Sequence""),IFERROR(LET(prevfinish,IF(P38&lt;&gt;"""",SUMIFS($S$10:S37,$O$10:O37,O38,$P$10:P37,P38-1),LOOKUP(2,1/($O$10:O37=O38),"&amp;"$S$10:S37)),IF(prevfinish=0,"""",MIN(FILTER('School Calendar'!$A$44:$A$408,('School Calendar'!$A$44:$A$408&gt;prevfinish)*('School Calendar'!$I$44:$I$408&gt;0))))),""""),J38)))"),"")</f>
        <v/>
      </c>
      <c r="S38" s="329" t="str">
        <f>IFERROR(__xludf.DUMMYFUNCTION("IF(OR(A38&lt;&gt;""☑"",R38="""",N38=""""),"""",IFERROR(LET(st,R38,n,N38,pace,K38,gap,MAX(1,L38),calDates,'School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8" s="330"/>
      <c r="U38" s="346" t="str">
        <f t="shared" si="6"/>
        <v/>
      </c>
      <c r="V38" s="332" t="str">
        <f>IF($D38="","",IF(COUNTIF('Student Work'!$C$24:$C$223,$D38)&gt;0,"Individual",SWITCH(TRUE,COUNTIF('Strand Placement'!$B$21:$B$26,$D38)&gt;0,'Strand Placement'!$D$6,COUNTIF('Strand Placement'!$B$30:$B$35,$D38)&gt;0,'Strand Placement'!$D$7,COUNTIF('Strand Placement'!$B$39:$B$44,$D38)&gt;0,'Strand Placement'!$D$8,COUNTIF('Strand Placement'!$B$48:$B$53,$D38)&gt;0,'Strand Placement'!$D$9,COUNTIF('Strand Placement'!$B$57:$B$62,$D38)&gt;0,'Strand Placement'!$D$10,COUNTIF('Strand Placement'!$B$66:$B$71,$D38)&gt;0,'Strand Placement'!$D$11,COUNTIF('Strand Placement'!$B$75:$B$80,$D38)&gt;0,'Strand Placement'!$D$12,COUNTIF('Strand Placement'!$B$84:$B$89,$D38)&gt;0,'Strand Placement'!$D$13,"")))</f>
        <v/>
      </c>
      <c r="W38" s="332" t="str">
        <f t="array" ref="W38">IF($D38="","",IF($AB38&lt;&gt;"",$AB38,IF(COUNTIF('Student Work'!$C$24:$C$223,$D38)&gt;0,XLOOKUP($D38,'Student Work'!$C$24:$C$223,'Student Work'!$D$24:$D$223,""),LET(rowRole,XLOOKUP($D38,'Strand Placement'!$B$21:$B$89,'Strand Placement'!$D$21:$D$89,""),blockRole,SWITCH(TRUE,COUNTIF('Strand Placement'!$B$21:$B$26,$D38)&gt;0,'Strand Placement'!$E$6,COUNTIF('Strand Placement'!$B$30:$B$35,$D38)&gt;0,'Strand Placement'!$E$7,COUNTIF('Strand Placement'!$B$39:$B$44,$D38)&gt;0,'Strand Placement'!$E$8,COUNTIF('Strand Placement'!$B$48:$B$53,$D38)&gt;0,'Strand Placement'!$E$9,COUNTIF('Strand Placement'!$B$57:$B$62,$D38)&gt;0,'Strand Placement'!$E$10,COUNTIF('Strand Placement'!$B$66:$B$71,$D38)&gt;0,'Strand Placement'!$E$11,COUNTIF('Strand Placement'!$B$75:$B$80,$D38)&gt;0,'Strand Placement'!$E$12,COUNTIF('Strand Placement'!$B$84:$B$89,$D38)&gt;0,'Strand Placement'!$E$13,""),IF(rowRole&lt;&gt;"",rowRole,blockRole)))))</f>
        <v/>
      </c>
      <c r="X38" s="335"/>
      <c r="Y38" s="335"/>
      <c r="Z38" s="335"/>
      <c r="AA38" s="335"/>
      <c r="AB38" s="335"/>
      <c r="AC38" s="336" t="str">
        <f t="array" ref="AC38">IF($D38="","",IF(COUNTIF('Student Work'!$C$24:$C$223,$D38)&gt;0,XLOOKUP($D38,'Student Work'!$C$24:$C$223,'Student Work'!$E$24:$E$223,""),XLOOKUP($D38,'Strand Placement'!$B$21:$B$89,'Strand Placement'!$K$21:$K$89,"")))</f>
        <v/>
      </c>
      <c r="AD38" s="336" t="str">
        <f t="array" ref="AD38">IF($D38="","",IF(COUNTIF('Student Work'!$C$24:$C$223,$D38)&gt;0,XLOOKUP($D38,'Student Work'!$C$24:$C$223,'Student Work'!$H$24:$H$223,""),XLOOKUP($D38,'Strand Placement'!$B$21:$B$89,'Strand Placement'!$L$21:$L$89,"")))</f>
        <v/>
      </c>
      <c r="AE38" s="336"/>
      <c r="AF38" s="336"/>
      <c r="AG38" s="339" t="s">
        <v>487</v>
      </c>
      <c r="AH38" s="336"/>
    </row>
    <row r="39" ht="15.75" customHeight="1">
      <c r="A39" s="197" t="str">
        <f t="shared" si="1"/>
        <v/>
      </c>
      <c r="B39" s="246" t="str">
        <f t="array" ref="B39">IF($D39="","",IF($X39&lt;&gt;"",$X39,IF(COUNTIF('Student Work'!$C$24:$C$223,$D39)&gt;0,XLOOKUP($D39,'Student Work'!$C$24:$C$223,'Student Work'!$B$24:$B$223,""),SWITCH(TRUE,COUNTIF('Strand Placement'!$B$21:$B$26,$D39)&gt;0,'Strand Placement'!$A$19,COUNTIF('Strand Placement'!$B$30:$B$35,$D39)&gt;0,'Strand Placement'!$A$28,COUNTIF('Strand Placement'!$B$39:$B$44,$D39)&gt;0,'Strand Placement'!$A$37,COUNTIF('Strand Placement'!$B$48:$B$53,$D39)&gt;0,'Strand Placement'!$A$46,COUNTIF('Strand Placement'!$B$57:$B$62,$D39)&gt;0,'Strand Placement'!$A$55,COUNTIF('Strand Placement'!$B$66:$B$71,$D39)&gt;0,'Strand Placement'!$A$64,COUNTIF('Strand Placement'!$B$75:$B$80,$D39)&gt;0,'Strand Placement'!$A$73,COUNTIF('Strand Placement'!$B$84:$B$89,$D39)&gt;0,'Strand Placement'!$A$82,""))))</f>
        <v/>
      </c>
      <c r="C39" s="246" t="str">
        <f t="array" ref="C39">IF($D39="","",IF($Y39&lt;&gt;"",$Y39,IF(COUNTIF('Student Work'!$C$24:$C$223,$D39)&gt;0,XLOOKUP($D39,'Student Work'!$C$24:$C$223,'Student Work'!$A$24:$A$223,""),LET(rowWho,XLOOKUP($D39,'Strand Placement'!$B$21:$B$89,'Strand Placement'!$C$21:$C$89,""),blockWho,SWITCH(TRUE,COUNTIF('Strand Placement'!$B$21:$B$26,$D39)&gt;0,'Strand Placement'!$C$6,COUNTIF('Strand Placement'!$B$30:$B$35,$D39)&gt;0,'Strand Placement'!$C$7,COUNTIF('Strand Placement'!$B$39:$B$44,$D39)&gt;0,'Strand Placement'!$C$8,COUNTIF('Strand Placement'!$B$48:$B$53,$D39)&gt;0,'Strand Placement'!$C$9,COUNTIF('Strand Placement'!$B$57:$B$62,$D39)&gt;0,'Strand Placement'!$C$10,COUNTIF('Strand Placement'!$B$66:$B$71,$D39)&gt;0,'Strand Placement'!$C$11,COUNTIF('Strand Placement'!$B$75:$B$80,$D39)&gt;0,'Strand Placement'!$C$12,COUNTIF('Strand Placement'!$B$84:$B$89,$D39)&gt;0,'Strand Placement'!$C$13,""),IF(rowWho&lt;&gt;"",rowWho,blockWho)))))</f>
        <v/>
      </c>
      <c r="D39" s="197"/>
      <c r="E39" s="197"/>
      <c r="F39" s="197" t="s">
        <v>101</v>
      </c>
      <c r="G39" s="197"/>
      <c r="H39" s="197"/>
      <c r="I39" s="197"/>
      <c r="J39" s="323"/>
      <c r="K39" s="246" t="str">
        <f t="shared" si="2"/>
        <v/>
      </c>
      <c r="L39" s="197">
        <v>3.0</v>
      </c>
      <c r="M39" s="324"/>
      <c r="N39" s="8" t="str">
        <f t="shared" si="3"/>
        <v/>
      </c>
      <c r="O39" s="325" t="str">
        <f t="shared" si="4"/>
        <v/>
      </c>
      <c r="P39" s="326"/>
      <c r="Q39" s="327" t="str">
        <f t="shared" si="5"/>
        <v/>
      </c>
      <c r="R39" s="328" t="str">
        <f>IFERROR(__xludf.DUMMYFUNCTION("IF(A39&lt;&gt;""☑"","""",IF(OR(Q39="""",Q39=""Manual Start""),J39,IF(OR(Q39=""After Previous in Resource Stream"",Q39=""After Previous in Sequence""),IFERROR(LET(prevfinish,IF(P39&lt;&gt;"""",SUMIFS($S$10:S38,$O$10:O38,O39,$P$10:P38,P39-1),LOOKUP(2,1/($O$10:O38=O39),"&amp;"$S$10:S38)),IF(prevfinish=0,"""",MIN(FILTER('School Calendar'!$A$44:$A$408,('School Calendar'!$A$44:$A$408&gt;prevfinish)*('School Calendar'!$I$44:$I$408&gt;0))))),""""),J39)))"),"")</f>
        <v/>
      </c>
      <c r="S39" s="329" t="str">
        <f>IFERROR(__xludf.DUMMYFUNCTION("IF(OR(A39&lt;&gt;""☑"",R39="""",N39=""""),"""",IFERROR(LET(st,R39,n,N39,pace,K39,gap,MAX(1,L39),calDates,'School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39" s="330"/>
      <c r="U39" s="346" t="str">
        <f t="shared" si="6"/>
        <v/>
      </c>
      <c r="V39" s="332" t="str">
        <f>IF($D39="","",IF(COUNTIF('Student Work'!$C$24:$C$223,$D39)&gt;0,"Individual",SWITCH(TRUE,COUNTIF('Strand Placement'!$B$21:$B$26,$D39)&gt;0,'Strand Placement'!$D$6,COUNTIF('Strand Placement'!$B$30:$B$35,$D39)&gt;0,'Strand Placement'!$D$7,COUNTIF('Strand Placement'!$B$39:$B$44,$D39)&gt;0,'Strand Placement'!$D$8,COUNTIF('Strand Placement'!$B$48:$B$53,$D39)&gt;0,'Strand Placement'!$D$9,COUNTIF('Strand Placement'!$B$57:$B$62,$D39)&gt;0,'Strand Placement'!$D$10,COUNTIF('Strand Placement'!$B$66:$B$71,$D39)&gt;0,'Strand Placement'!$D$11,COUNTIF('Strand Placement'!$B$75:$B$80,$D39)&gt;0,'Strand Placement'!$D$12,COUNTIF('Strand Placement'!$B$84:$B$89,$D39)&gt;0,'Strand Placement'!$D$13,"")))</f>
        <v/>
      </c>
      <c r="W39" s="332" t="str">
        <f t="array" ref="W39">IF($D39="","",IF($AB39&lt;&gt;"",$AB39,IF(COUNTIF('Student Work'!$C$24:$C$223,$D39)&gt;0,XLOOKUP($D39,'Student Work'!$C$24:$C$223,'Student Work'!$D$24:$D$223,""),LET(rowRole,XLOOKUP($D39,'Strand Placement'!$B$21:$B$89,'Strand Placement'!$D$21:$D$89,""),blockRole,SWITCH(TRUE,COUNTIF('Strand Placement'!$B$21:$B$26,$D39)&gt;0,'Strand Placement'!$E$6,COUNTIF('Strand Placement'!$B$30:$B$35,$D39)&gt;0,'Strand Placement'!$E$7,COUNTIF('Strand Placement'!$B$39:$B$44,$D39)&gt;0,'Strand Placement'!$E$8,COUNTIF('Strand Placement'!$B$48:$B$53,$D39)&gt;0,'Strand Placement'!$E$9,COUNTIF('Strand Placement'!$B$57:$B$62,$D39)&gt;0,'Strand Placement'!$E$10,COUNTIF('Strand Placement'!$B$66:$B$71,$D39)&gt;0,'Strand Placement'!$E$11,COUNTIF('Strand Placement'!$B$75:$B$80,$D39)&gt;0,'Strand Placement'!$E$12,COUNTIF('Strand Placement'!$B$84:$B$89,$D39)&gt;0,'Strand Placement'!$E$13,""),IF(rowRole&lt;&gt;"",rowRole,blockRole)))))</f>
        <v/>
      </c>
      <c r="X39" s="335"/>
      <c r="Y39" s="335"/>
      <c r="Z39" s="335"/>
      <c r="AA39" s="335"/>
      <c r="AB39" s="335"/>
      <c r="AC39" s="336" t="str">
        <f t="array" ref="AC39">IF($D39="","",IF(COUNTIF('Student Work'!$C$24:$C$223,$D39)&gt;0,XLOOKUP($D39,'Student Work'!$C$24:$C$223,'Student Work'!$E$24:$E$223,""),XLOOKUP($D39,'Strand Placement'!$B$21:$B$89,'Strand Placement'!$K$21:$K$89,"")))</f>
        <v/>
      </c>
      <c r="AD39" s="336" t="str">
        <f t="array" ref="AD39">IF($D39="","",IF(COUNTIF('Student Work'!$C$24:$C$223,$D39)&gt;0,XLOOKUP($D39,'Student Work'!$C$24:$C$223,'Student Work'!$H$24:$H$223,""),XLOOKUP($D39,'Strand Placement'!$B$21:$B$89,'Strand Placement'!$L$21:$L$89,"")))</f>
        <v/>
      </c>
      <c r="AE39" s="336"/>
      <c r="AF39" s="336"/>
      <c r="AG39" s="339" t="s">
        <v>488</v>
      </c>
      <c r="AH39" s="336"/>
    </row>
    <row r="40" ht="15.75" customHeight="1">
      <c r="A40" s="197" t="str">
        <f t="shared" si="1"/>
        <v/>
      </c>
      <c r="B40" s="246" t="str">
        <f t="array" ref="B40">IF($D40="","",IF($X40&lt;&gt;"",$X40,IF(COUNTIF('Student Work'!$C$24:$C$223,$D40)&gt;0,XLOOKUP($D40,'Student Work'!$C$24:$C$223,'Student Work'!$B$24:$B$223,""),SWITCH(TRUE,COUNTIF('Strand Placement'!$B$21:$B$26,$D40)&gt;0,'Strand Placement'!$A$19,COUNTIF('Strand Placement'!$B$30:$B$35,$D40)&gt;0,'Strand Placement'!$A$28,COUNTIF('Strand Placement'!$B$39:$B$44,$D40)&gt;0,'Strand Placement'!$A$37,COUNTIF('Strand Placement'!$B$48:$B$53,$D40)&gt;0,'Strand Placement'!$A$46,COUNTIF('Strand Placement'!$B$57:$B$62,$D40)&gt;0,'Strand Placement'!$A$55,COUNTIF('Strand Placement'!$B$66:$B$71,$D40)&gt;0,'Strand Placement'!$A$64,COUNTIF('Strand Placement'!$B$75:$B$80,$D40)&gt;0,'Strand Placement'!$A$73,COUNTIF('Strand Placement'!$B$84:$B$89,$D40)&gt;0,'Strand Placement'!$A$82,""))))</f>
        <v/>
      </c>
      <c r="C40" s="246" t="str">
        <f t="array" ref="C40">IF($D40="","",IF($Y40&lt;&gt;"",$Y40,IF(COUNTIF('Student Work'!$C$24:$C$223,$D40)&gt;0,XLOOKUP($D40,'Student Work'!$C$24:$C$223,'Student Work'!$A$24:$A$223,""),LET(rowWho,XLOOKUP($D40,'Strand Placement'!$B$21:$B$89,'Strand Placement'!$C$21:$C$89,""),blockWho,SWITCH(TRUE,COUNTIF('Strand Placement'!$B$21:$B$26,$D40)&gt;0,'Strand Placement'!$C$6,COUNTIF('Strand Placement'!$B$30:$B$35,$D40)&gt;0,'Strand Placement'!$C$7,COUNTIF('Strand Placement'!$B$39:$B$44,$D40)&gt;0,'Strand Placement'!$C$8,COUNTIF('Strand Placement'!$B$48:$B$53,$D40)&gt;0,'Strand Placement'!$C$9,COUNTIF('Strand Placement'!$B$57:$B$62,$D40)&gt;0,'Strand Placement'!$C$10,COUNTIF('Strand Placement'!$B$66:$B$71,$D40)&gt;0,'Strand Placement'!$C$11,COUNTIF('Strand Placement'!$B$75:$B$80,$D40)&gt;0,'Strand Placement'!$C$12,COUNTIF('Strand Placement'!$B$84:$B$89,$D40)&gt;0,'Strand Placement'!$C$13,""),IF(rowWho&lt;&gt;"",rowWho,blockWho)))))</f>
        <v/>
      </c>
      <c r="D40" s="197"/>
      <c r="E40" s="197"/>
      <c r="F40" s="197" t="s">
        <v>101</v>
      </c>
      <c r="G40" s="197"/>
      <c r="H40" s="197"/>
      <c r="I40" s="197"/>
      <c r="J40" s="323"/>
      <c r="K40" s="246" t="str">
        <f t="shared" si="2"/>
        <v/>
      </c>
      <c r="L40" s="197">
        <v>3.0</v>
      </c>
      <c r="M40" s="324"/>
      <c r="N40" s="8" t="str">
        <f t="shared" si="3"/>
        <v/>
      </c>
      <c r="O40" s="325" t="str">
        <f t="shared" si="4"/>
        <v/>
      </c>
      <c r="P40" s="326"/>
      <c r="Q40" s="327" t="str">
        <f t="shared" si="5"/>
        <v/>
      </c>
      <c r="R40" s="328" t="str">
        <f>IFERROR(__xludf.DUMMYFUNCTION("IF(A40&lt;&gt;""☑"","""",IF(OR(Q40="""",Q40=""Manual Start""),J40,IF(OR(Q40=""After Previous in Resource Stream"",Q40=""After Previous in Sequence""),IFERROR(LET(prevfinish,IF(P40&lt;&gt;"""",SUMIFS($S$10:S39,$O$10:O39,O40,$P$10:P39,P40-1),LOOKUP(2,1/($O$10:O39=O40),"&amp;"$S$10:S39)),IF(prevfinish=0,"""",MIN(FILTER('School Calendar'!$A$44:$A$408,('School Calendar'!$A$44:$A$408&gt;prevfinish)*('School Calendar'!$I$44:$I$408&gt;0))))),""""),J40)))"),"")</f>
        <v/>
      </c>
      <c r="S40" s="329" t="str">
        <f>IFERROR(__xludf.DUMMYFUNCTION("IF(OR(A40&lt;&gt;""☑"",R40="""",N40=""""),"""",IFERROR(LET(st,R40,n,N40,pace,K40,gap,MAX(1,L40),calDates,'School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0" s="330"/>
      <c r="U40" s="346" t="str">
        <f t="shared" si="6"/>
        <v/>
      </c>
      <c r="V40" s="332" t="str">
        <f>IF($D40="","",IF(COUNTIF('Student Work'!$C$24:$C$223,$D40)&gt;0,"Individual",SWITCH(TRUE,COUNTIF('Strand Placement'!$B$21:$B$26,$D40)&gt;0,'Strand Placement'!$D$6,COUNTIF('Strand Placement'!$B$30:$B$35,$D40)&gt;0,'Strand Placement'!$D$7,COUNTIF('Strand Placement'!$B$39:$B$44,$D40)&gt;0,'Strand Placement'!$D$8,COUNTIF('Strand Placement'!$B$48:$B$53,$D40)&gt;0,'Strand Placement'!$D$9,COUNTIF('Strand Placement'!$B$57:$B$62,$D40)&gt;0,'Strand Placement'!$D$10,COUNTIF('Strand Placement'!$B$66:$B$71,$D40)&gt;0,'Strand Placement'!$D$11,COUNTIF('Strand Placement'!$B$75:$B$80,$D40)&gt;0,'Strand Placement'!$D$12,COUNTIF('Strand Placement'!$B$84:$B$89,$D40)&gt;0,'Strand Placement'!$D$13,"")))</f>
        <v/>
      </c>
      <c r="W40" s="332" t="str">
        <f t="array" ref="W40">IF($D40="","",IF($AB40&lt;&gt;"",$AB40,IF(COUNTIF('Student Work'!$C$24:$C$223,$D40)&gt;0,XLOOKUP($D40,'Student Work'!$C$24:$C$223,'Student Work'!$D$24:$D$223,""),LET(rowRole,XLOOKUP($D40,'Strand Placement'!$B$21:$B$89,'Strand Placement'!$D$21:$D$89,""),blockRole,SWITCH(TRUE,COUNTIF('Strand Placement'!$B$21:$B$26,$D40)&gt;0,'Strand Placement'!$E$6,COUNTIF('Strand Placement'!$B$30:$B$35,$D40)&gt;0,'Strand Placement'!$E$7,COUNTIF('Strand Placement'!$B$39:$B$44,$D40)&gt;0,'Strand Placement'!$E$8,COUNTIF('Strand Placement'!$B$48:$B$53,$D40)&gt;0,'Strand Placement'!$E$9,COUNTIF('Strand Placement'!$B$57:$B$62,$D40)&gt;0,'Strand Placement'!$E$10,COUNTIF('Strand Placement'!$B$66:$B$71,$D40)&gt;0,'Strand Placement'!$E$11,COUNTIF('Strand Placement'!$B$75:$B$80,$D40)&gt;0,'Strand Placement'!$E$12,COUNTIF('Strand Placement'!$B$84:$B$89,$D40)&gt;0,'Strand Placement'!$E$13,""),IF(rowRole&lt;&gt;"",rowRole,blockRole)))))</f>
        <v/>
      </c>
      <c r="X40" s="335"/>
      <c r="Y40" s="335"/>
      <c r="Z40" s="335"/>
      <c r="AA40" s="335"/>
      <c r="AB40" s="335"/>
      <c r="AC40" s="336" t="str">
        <f t="array" ref="AC40">IF($D40="","",IF(COUNTIF('Student Work'!$C$24:$C$223,$D40)&gt;0,XLOOKUP($D40,'Student Work'!$C$24:$C$223,'Student Work'!$E$24:$E$223,""),XLOOKUP($D40,'Strand Placement'!$B$21:$B$89,'Strand Placement'!$K$21:$K$89,"")))</f>
        <v/>
      </c>
      <c r="AD40" s="336" t="str">
        <f t="array" ref="AD40">IF($D40="","",IF(COUNTIF('Student Work'!$C$24:$C$223,$D40)&gt;0,XLOOKUP($D40,'Student Work'!$C$24:$C$223,'Student Work'!$H$24:$H$223,""),XLOOKUP($D40,'Strand Placement'!$B$21:$B$89,'Strand Placement'!$L$21:$L$89,"")))</f>
        <v/>
      </c>
      <c r="AE40" s="336"/>
      <c r="AF40" s="336"/>
      <c r="AG40" s="339" t="s">
        <v>489</v>
      </c>
      <c r="AH40" s="336"/>
    </row>
    <row r="41" ht="15.75" customHeight="1">
      <c r="A41" s="197" t="str">
        <f t="shared" si="1"/>
        <v/>
      </c>
      <c r="B41" s="246" t="str">
        <f t="array" ref="B41">IF($D41="","",IF($X41&lt;&gt;"",$X41,IF(COUNTIF('Student Work'!$C$24:$C$223,$D41)&gt;0,XLOOKUP($D41,'Student Work'!$C$24:$C$223,'Student Work'!$B$24:$B$223,""),SWITCH(TRUE,COUNTIF('Strand Placement'!$B$21:$B$26,$D41)&gt;0,'Strand Placement'!$A$19,COUNTIF('Strand Placement'!$B$30:$B$35,$D41)&gt;0,'Strand Placement'!$A$28,COUNTIF('Strand Placement'!$B$39:$B$44,$D41)&gt;0,'Strand Placement'!$A$37,COUNTIF('Strand Placement'!$B$48:$B$53,$D41)&gt;0,'Strand Placement'!$A$46,COUNTIF('Strand Placement'!$B$57:$B$62,$D41)&gt;0,'Strand Placement'!$A$55,COUNTIF('Strand Placement'!$B$66:$B$71,$D41)&gt;0,'Strand Placement'!$A$64,COUNTIF('Strand Placement'!$B$75:$B$80,$D41)&gt;0,'Strand Placement'!$A$73,COUNTIF('Strand Placement'!$B$84:$B$89,$D41)&gt;0,'Strand Placement'!$A$82,""))))</f>
        <v/>
      </c>
      <c r="C41" s="246" t="str">
        <f t="array" ref="C41">IF($D41="","",IF($Y41&lt;&gt;"",$Y41,IF(COUNTIF('Student Work'!$C$24:$C$223,$D41)&gt;0,XLOOKUP($D41,'Student Work'!$C$24:$C$223,'Student Work'!$A$24:$A$223,""),LET(rowWho,XLOOKUP($D41,'Strand Placement'!$B$21:$B$89,'Strand Placement'!$C$21:$C$89,""),blockWho,SWITCH(TRUE,COUNTIF('Strand Placement'!$B$21:$B$26,$D41)&gt;0,'Strand Placement'!$C$6,COUNTIF('Strand Placement'!$B$30:$B$35,$D41)&gt;0,'Strand Placement'!$C$7,COUNTIF('Strand Placement'!$B$39:$B$44,$D41)&gt;0,'Strand Placement'!$C$8,COUNTIF('Strand Placement'!$B$48:$B$53,$D41)&gt;0,'Strand Placement'!$C$9,COUNTIF('Strand Placement'!$B$57:$B$62,$D41)&gt;0,'Strand Placement'!$C$10,COUNTIF('Strand Placement'!$B$66:$B$71,$D41)&gt;0,'Strand Placement'!$C$11,COUNTIF('Strand Placement'!$B$75:$B$80,$D41)&gt;0,'Strand Placement'!$C$12,COUNTIF('Strand Placement'!$B$84:$B$89,$D41)&gt;0,'Strand Placement'!$C$13,""),IF(rowWho&lt;&gt;"",rowWho,blockWho)))))</f>
        <v/>
      </c>
      <c r="D41" s="197"/>
      <c r="E41" s="197"/>
      <c r="F41" s="197" t="s">
        <v>101</v>
      </c>
      <c r="G41" s="197"/>
      <c r="H41" s="197"/>
      <c r="I41" s="197"/>
      <c r="J41" s="323"/>
      <c r="K41" s="246" t="str">
        <f t="shared" si="2"/>
        <v/>
      </c>
      <c r="L41" s="197">
        <v>3.0</v>
      </c>
      <c r="M41" s="324"/>
      <c r="N41" s="8" t="str">
        <f t="shared" si="3"/>
        <v/>
      </c>
      <c r="O41" s="325" t="str">
        <f t="shared" si="4"/>
        <v/>
      </c>
      <c r="P41" s="326"/>
      <c r="Q41" s="327" t="str">
        <f t="shared" si="5"/>
        <v/>
      </c>
      <c r="R41" s="328" t="str">
        <f>IFERROR(__xludf.DUMMYFUNCTION("IF(A41&lt;&gt;""☑"","""",IF(OR(Q41="""",Q41=""Manual Start""),J41,IF(OR(Q41=""After Previous in Resource Stream"",Q41=""After Previous in Sequence""),IFERROR(LET(prevfinish,IF(P41&lt;&gt;"""",SUMIFS($S$10:S40,$O$10:O40,O41,$P$10:P40,P41-1),LOOKUP(2,1/($O$10:O40=O41),"&amp;"$S$10:S40)),IF(prevfinish=0,"""",MIN(FILTER('School Calendar'!$A$44:$A$408,('School Calendar'!$A$44:$A$408&gt;prevfinish)*('School Calendar'!$I$44:$I$408&gt;0))))),""""),J41)))"),"")</f>
        <v/>
      </c>
      <c r="S41" s="329" t="str">
        <f>IFERROR(__xludf.DUMMYFUNCTION("IF(OR(A41&lt;&gt;""☑"",R41="""",N41=""""),"""",IFERROR(LET(st,R41,n,N41,pace,K41,gap,MAX(1,L41),calDates,'School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1" s="330"/>
      <c r="U41" s="346" t="str">
        <f t="shared" si="6"/>
        <v/>
      </c>
      <c r="V41" s="332" t="str">
        <f>IF($D41="","",IF(COUNTIF('Student Work'!$C$24:$C$223,$D41)&gt;0,"Individual",SWITCH(TRUE,COUNTIF('Strand Placement'!$B$21:$B$26,$D41)&gt;0,'Strand Placement'!$D$6,COUNTIF('Strand Placement'!$B$30:$B$35,$D41)&gt;0,'Strand Placement'!$D$7,COUNTIF('Strand Placement'!$B$39:$B$44,$D41)&gt;0,'Strand Placement'!$D$8,COUNTIF('Strand Placement'!$B$48:$B$53,$D41)&gt;0,'Strand Placement'!$D$9,COUNTIF('Strand Placement'!$B$57:$B$62,$D41)&gt;0,'Strand Placement'!$D$10,COUNTIF('Strand Placement'!$B$66:$B$71,$D41)&gt;0,'Strand Placement'!$D$11,COUNTIF('Strand Placement'!$B$75:$B$80,$D41)&gt;0,'Strand Placement'!$D$12,COUNTIF('Strand Placement'!$B$84:$B$89,$D41)&gt;0,'Strand Placement'!$D$13,"")))</f>
        <v/>
      </c>
      <c r="W41" s="332" t="str">
        <f t="array" ref="W41">IF($D41="","",IF($AB41&lt;&gt;"",$AB41,IF(COUNTIF('Student Work'!$C$24:$C$223,$D41)&gt;0,XLOOKUP($D41,'Student Work'!$C$24:$C$223,'Student Work'!$D$24:$D$223,""),LET(rowRole,XLOOKUP($D41,'Strand Placement'!$B$21:$B$89,'Strand Placement'!$D$21:$D$89,""),blockRole,SWITCH(TRUE,COUNTIF('Strand Placement'!$B$21:$B$26,$D41)&gt;0,'Strand Placement'!$E$6,COUNTIF('Strand Placement'!$B$30:$B$35,$D41)&gt;0,'Strand Placement'!$E$7,COUNTIF('Strand Placement'!$B$39:$B$44,$D41)&gt;0,'Strand Placement'!$E$8,COUNTIF('Strand Placement'!$B$48:$B$53,$D41)&gt;0,'Strand Placement'!$E$9,COUNTIF('Strand Placement'!$B$57:$B$62,$D41)&gt;0,'Strand Placement'!$E$10,COUNTIF('Strand Placement'!$B$66:$B$71,$D41)&gt;0,'Strand Placement'!$E$11,COUNTIF('Strand Placement'!$B$75:$B$80,$D41)&gt;0,'Strand Placement'!$E$12,COUNTIF('Strand Placement'!$B$84:$B$89,$D41)&gt;0,'Strand Placement'!$E$13,""),IF(rowRole&lt;&gt;"",rowRole,blockRole)))))</f>
        <v/>
      </c>
      <c r="X41" s="335"/>
      <c r="Y41" s="335"/>
      <c r="Z41" s="335"/>
      <c r="AA41" s="335"/>
      <c r="AB41" s="335"/>
      <c r="AC41" s="336" t="str">
        <f t="array" ref="AC41">IF($D41="","",IF(COUNTIF('Student Work'!$C$24:$C$223,$D41)&gt;0,XLOOKUP($D41,'Student Work'!$C$24:$C$223,'Student Work'!$E$24:$E$223,""),XLOOKUP($D41,'Strand Placement'!$B$21:$B$89,'Strand Placement'!$K$21:$K$89,"")))</f>
        <v/>
      </c>
      <c r="AD41" s="336" t="str">
        <f t="array" ref="AD41">IF($D41="","",IF(COUNTIF('Student Work'!$C$24:$C$223,$D41)&gt;0,XLOOKUP($D41,'Student Work'!$C$24:$C$223,'Student Work'!$H$24:$H$223,""),XLOOKUP($D41,'Strand Placement'!$B$21:$B$89,'Strand Placement'!$L$21:$L$89,"")))</f>
        <v/>
      </c>
      <c r="AE41" s="336"/>
      <c r="AF41" s="336"/>
      <c r="AG41" s="339" t="s">
        <v>490</v>
      </c>
      <c r="AH41" s="336"/>
    </row>
    <row r="42" ht="15.75" customHeight="1">
      <c r="A42" s="197" t="str">
        <f t="shared" si="1"/>
        <v/>
      </c>
      <c r="B42" s="246" t="str">
        <f t="array" ref="B42">IF($D42="","",IF($X42&lt;&gt;"",$X42,IF(COUNTIF('Student Work'!$C$24:$C$223,$D42)&gt;0,XLOOKUP($D42,'Student Work'!$C$24:$C$223,'Student Work'!$B$24:$B$223,""),SWITCH(TRUE,COUNTIF('Strand Placement'!$B$21:$B$26,$D42)&gt;0,'Strand Placement'!$A$19,COUNTIF('Strand Placement'!$B$30:$B$35,$D42)&gt;0,'Strand Placement'!$A$28,COUNTIF('Strand Placement'!$B$39:$B$44,$D42)&gt;0,'Strand Placement'!$A$37,COUNTIF('Strand Placement'!$B$48:$B$53,$D42)&gt;0,'Strand Placement'!$A$46,COUNTIF('Strand Placement'!$B$57:$B$62,$D42)&gt;0,'Strand Placement'!$A$55,COUNTIF('Strand Placement'!$B$66:$B$71,$D42)&gt;0,'Strand Placement'!$A$64,COUNTIF('Strand Placement'!$B$75:$B$80,$D42)&gt;0,'Strand Placement'!$A$73,COUNTIF('Strand Placement'!$B$84:$B$89,$D42)&gt;0,'Strand Placement'!$A$82,""))))</f>
        <v/>
      </c>
      <c r="C42" s="246" t="str">
        <f t="array" ref="C42">IF($D42="","",IF($Y42&lt;&gt;"",$Y42,IF(COUNTIF('Student Work'!$C$24:$C$223,$D42)&gt;0,XLOOKUP($D42,'Student Work'!$C$24:$C$223,'Student Work'!$A$24:$A$223,""),LET(rowWho,XLOOKUP($D42,'Strand Placement'!$B$21:$B$89,'Strand Placement'!$C$21:$C$89,""),blockWho,SWITCH(TRUE,COUNTIF('Strand Placement'!$B$21:$B$26,$D42)&gt;0,'Strand Placement'!$C$6,COUNTIF('Strand Placement'!$B$30:$B$35,$D42)&gt;0,'Strand Placement'!$C$7,COUNTIF('Strand Placement'!$B$39:$B$44,$D42)&gt;0,'Strand Placement'!$C$8,COUNTIF('Strand Placement'!$B$48:$B$53,$D42)&gt;0,'Strand Placement'!$C$9,COUNTIF('Strand Placement'!$B$57:$B$62,$D42)&gt;0,'Strand Placement'!$C$10,COUNTIF('Strand Placement'!$B$66:$B$71,$D42)&gt;0,'Strand Placement'!$C$11,COUNTIF('Strand Placement'!$B$75:$B$80,$D42)&gt;0,'Strand Placement'!$C$12,COUNTIF('Strand Placement'!$B$84:$B$89,$D42)&gt;0,'Strand Placement'!$C$13,""),IF(rowWho&lt;&gt;"",rowWho,blockWho)))))</f>
        <v/>
      </c>
      <c r="D42" s="197"/>
      <c r="E42" s="197"/>
      <c r="F42" s="197" t="s">
        <v>101</v>
      </c>
      <c r="G42" s="197"/>
      <c r="H42" s="197"/>
      <c r="I42" s="197"/>
      <c r="J42" s="323"/>
      <c r="K42" s="246" t="str">
        <f t="shared" si="2"/>
        <v/>
      </c>
      <c r="L42" s="197">
        <v>3.0</v>
      </c>
      <c r="M42" s="324"/>
      <c r="N42" s="8" t="str">
        <f t="shared" si="3"/>
        <v/>
      </c>
      <c r="O42" s="325" t="str">
        <f t="shared" si="4"/>
        <v/>
      </c>
      <c r="P42" s="326"/>
      <c r="Q42" s="327" t="str">
        <f t="shared" si="5"/>
        <v/>
      </c>
      <c r="R42" s="328" t="str">
        <f>IFERROR(__xludf.DUMMYFUNCTION("IF(A42&lt;&gt;""☑"","""",IF(OR(Q42="""",Q42=""Manual Start""),J42,IF(OR(Q42=""After Previous in Resource Stream"",Q42=""After Previous in Sequence""),IFERROR(LET(prevfinish,IF(P42&lt;&gt;"""",SUMIFS($S$10:S41,$O$10:O41,O42,$P$10:P41,P42-1),LOOKUP(2,1/($O$10:O41=O42),"&amp;"$S$10:S41)),IF(prevfinish=0,"""",MIN(FILTER('School Calendar'!$A$44:$A$408,('School Calendar'!$A$44:$A$408&gt;prevfinish)*('School Calendar'!$I$44:$I$408&gt;0))))),""""),J42)))"),"")</f>
        <v/>
      </c>
      <c r="S42" s="329" t="str">
        <f>IFERROR(__xludf.DUMMYFUNCTION("IF(OR(A42&lt;&gt;""☑"",R42="""",N42=""""),"""",IFERROR(LET(st,R42,n,N42,pace,K42,gap,MAX(1,L42),calDates,'School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2" s="330"/>
      <c r="U42" s="346" t="str">
        <f t="shared" si="6"/>
        <v/>
      </c>
      <c r="V42" s="332" t="str">
        <f>IF($D42="","",IF(COUNTIF('Student Work'!$C$24:$C$223,$D42)&gt;0,"Individual",SWITCH(TRUE,COUNTIF('Strand Placement'!$B$21:$B$26,$D42)&gt;0,'Strand Placement'!$D$6,COUNTIF('Strand Placement'!$B$30:$B$35,$D42)&gt;0,'Strand Placement'!$D$7,COUNTIF('Strand Placement'!$B$39:$B$44,$D42)&gt;0,'Strand Placement'!$D$8,COUNTIF('Strand Placement'!$B$48:$B$53,$D42)&gt;0,'Strand Placement'!$D$9,COUNTIF('Strand Placement'!$B$57:$B$62,$D42)&gt;0,'Strand Placement'!$D$10,COUNTIF('Strand Placement'!$B$66:$B$71,$D42)&gt;0,'Strand Placement'!$D$11,COUNTIF('Strand Placement'!$B$75:$B$80,$D42)&gt;0,'Strand Placement'!$D$12,COUNTIF('Strand Placement'!$B$84:$B$89,$D42)&gt;0,'Strand Placement'!$D$13,"")))</f>
        <v/>
      </c>
      <c r="W42" s="332" t="str">
        <f t="array" ref="W42">IF($D42="","",IF($AB42&lt;&gt;"",$AB42,IF(COUNTIF('Student Work'!$C$24:$C$223,$D42)&gt;0,XLOOKUP($D42,'Student Work'!$C$24:$C$223,'Student Work'!$D$24:$D$223,""),LET(rowRole,XLOOKUP($D42,'Strand Placement'!$B$21:$B$89,'Strand Placement'!$D$21:$D$89,""),blockRole,SWITCH(TRUE,COUNTIF('Strand Placement'!$B$21:$B$26,$D42)&gt;0,'Strand Placement'!$E$6,COUNTIF('Strand Placement'!$B$30:$B$35,$D42)&gt;0,'Strand Placement'!$E$7,COUNTIF('Strand Placement'!$B$39:$B$44,$D42)&gt;0,'Strand Placement'!$E$8,COUNTIF('Strand Placement'!$B$48:$B$53,$D42)&gt;0,'Strand Placement'!$E$9,COUNTIF('Strand Placement'!$B$57:$B$62,$D42)&gt;0,'Strand Placement'!$E$10,COUNTIF('Strand Placement'!$B$66:$B$71,$D42)&gt;0,'Strand Placement'!$E$11,COUNTIF('Strand Placement'!$B$75:$B$80,$D42)&gt;0,'Strand Placement'!$E$12,COUNTIF('Strand Placement'!$B$84:$B$89,$D42)&gt;0,'Strand Placement'!$E$13,""),IF(rowRole&lt;&gt;"",rowRole,blockRole)))))</f>
        <v/>
      </c>
      <c r="X42" s="335"/>
      <c r="Y42" s="335"/>
      <c r="Z42" s="335"/>
      <c r="AA42" s="335"/>
      <c r="AB42" s="335"/>
      <c r="AC42" s="336" t="str">
        <f t="array" ref="AC42">IF($D42="","",IF(COUNTIF('Student Work'!$C$24:$C$223,$D42)&gt;0,XLOOKUP($D42,'Student Work'!$C$24:$C$223,'Student Work'!$E$24:$E$223,""),XLOOKUP($D42,'Strand Placement'!$B$21:$B$89,'Strand Placement'!$K$21:$K$89,"")))</f>
        <v/>
      </c>
      <c r="AD42" s="336" t="str">
        <f t="array" ref="AD42">IF($D42="","",IF(COUNTIF('Student Work'!$C$24:$C$223,$D42)&gt;0,XLOOKUP($D42,'Student Work'!$C$24:$C$223,'Student Work'!$H$24:$H$223,""),XLOOKUP($D42,'Strand Placement'!$B$21:$B$89,'Strand Placement'!$L$21:$L$89,"")))</f>
        <v/>
      </c>
      <c r="AE42" s="336"/>
      <c r="AF42" s="336"/>
      <c r="AG42" s="339" t="s">
        <v>491</v>
      </c>
      <c r="AH42" s="336"/>
    </row>
    <row r="43" ht="15.75" customHeight="1">
      <c r="A43" s="197" t="str">
        <f t="shared" si="1"/>
        <v/>
      </c>
      <c r="B43" s="246" t="str">
        <f t="array" ref="B43">IF($D43="","",IF($X43&lt;&gt;"",$X43,IF(COUNTIF('Student Work'!$C$24:$C$223,$D43)&gt;0,XLOOKUP($D43,'Student Work'!$C$24:$C$223,'Student Work'!$B$24:$B$223,""),SWITCH(TRUE,COUNTIF('Strand Placement'!$B$21:$B$26,$D43)&gt;0,'Strand Placement'!$A$19,COUNTIF('Strand Placement'!$B$30:$B$35,$D43)&gt;0,'Strand Placement'!$A$28,COUNTIF('Strand Placement'!$B$39:$B$44,$D43)&gt;0,'Strand Placement'!$A$37,COUNTIF('Strand Placement'!$B$48:$B$53,$D43)&gt;0,'Strand Placement'!$A$46,COUNTIF('Strand Placement'!$B$57:$B$62,$D43)&gt;0,'Strand Placement'!$A$55,COUNTIF('Strand Placement'!$B$66:$B$71,$D43)&gt;0,'Strand Placement'!$A$64,COUNTIF('Strand Placement'!$B$75:$B$80,$D43)&gt;0,'Strand Placement'!$A$73,COUNTIF('Strand Placement'!$B$84:$B$89,$D43)&gt;0,'Strand Placement'!$A$82,""))))</f>
        <v/>
      </c>
      <c r="C43" s="246" t="str">
        <f t="array" ref="C43">IF($D43="","",IF($Y43&lt;&gt;"",$Y43,IF(COUNTIF('Student Work'!$C$24:$C$223,$D43)&gt;0,XLOOKUP($D43,'Student Work'!$C$24:$C$223,'Student Work'!$A$24:$A$223,""),LET(rowWho,XLOOKUP($D43,'Strand Placement'!$B$21:$B$89,'Strand Placement'!$C$21:$C$89,""),blockWho,SWITCH(TRUE,COUNTIF('Strand Placement'!$B$21:$B$26,$D43)&gt;0,'Strand Placement'!$C$6,COUNTIF('Strand Placement'!$B$30:$B$35,$D43)&gt;0,'Strand Placement'!$C$7,COUNTIF('Strand Placement'!$B$39:$B$44,$D43)&gt;0,'Strand Placement'!$C$8,COUNTIF('Strand Placement'!$B$48:$B$53,$D43)&gt;0,'Strand Placement'!$C$9,COUNTIF('Strand Placement'!$B$57:$B$62,$D43)&gt;0,'Strand Placement'!$C$10,COUNTIF('Strand Placement'!$B$66:$B$71,$D43)&gt;0,'Strand Placement'!$C$11,COUNTIF('Strand Placement'!$B$75:$B$80,$D43)&gt;0,'Strand Placement'!$C$12,COUNTIF('Strand Placement'!$B$84:$B$89,$D43)&gt;0,'Strand Placement'!$C$13,""),IF(rowWho&lt;&gt;"",rowWho,blockWho)))))</f>
        <v/>
      </c>
      <c r="D43" s="197"/>
      <c r="E43" s="197"/>
      <c r="F43" s="197" t="s">
        <v>101</v>
      </c>
      <c r="G43" s="197"/>
      <c r="H43" s="197"/>
      <c r="I43" s="197"/>
      <c r="J43" s="323"/>
      <c r="K43" s="246" t="str">
        <f t="shared" si="2"/>
        <v/>
      </c>
      <c r="L43" s="197">
        <v>3.0</v>
      </c>
      <c r="M43" s="324"/>
      <c r="N43" s="8" t="str">
        <f t="shared" si="3"/>
        <v/>
      </c>
      <c r="O43" s="325" t="str">
        <f t="shared" si="4"/>
        <v/>
      </c>
      <c r="P43" s="326"/>
      <c r="Q43" s="327" t="str">
        <f t="shared" si="5"/>
        <v/>
      </c>
      <c r="R43" s="328" t="str">
        <f>IFERROR(__xludf.DUMMYFUNCTION("IF(A43&lt;&gt;""☑"","""",IF(OR(Q43="""",Q43=""Manual Start""),J43,IF(OR(Q43=""After Previous in Resource Stream"",Q43=""After Previous in Sequence""),IFERROR(LET(prevfinish,IF(P43&lt;&gt;"""",SUMIFS($S$10:S42,$O$10:O42,O43,$P$10:P42,P43-1),LOOKUP(2,1/($O$10:O42=O43),"&amp;"$S$10:S42)),IF(prevfinish=0,"""",MIN(FILTER('School Calendar'!$A$44:$A$408,('School Calendar'!$A$44:$A$408&gt;prevfinish)*('School Calendar'!$I$44:$I$408&gt;0))))),""""),J43)))"),"")</f>
        <v/>
      </c>
      <c r="S43" s="329" t="str">
        <f>IFERROR(__xludf.DUMMYFUNCTION("IF(OR(A43&lt;&gt;""☑"",R43="""",N43=""""),"""",IFERROR(LET(st,R43,n,N43,pace,K43,gap,MAX(1,L43),calDates,'School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3" s="330"/>
      <c r="U43" s="346" t="str">
        <f t="shared" si="6"/>
        <v/>
      </c>
      <c r="V43" s="332" t="str">
        <f>IF($D43="","",IF(COUNTIF('Student Work'!$C$24:$C$223,$D43)&gt;0,"Individual",SWITCH(TRUE,COUNTIF('Strand Placement'!$B$21:$B$26,$D43)&gt;0,'Strand Placement'!$D$6,COUNTIF('Strand Placement'!$B$30:$B$35,$D43)&gt;0,'Strand Placement'!$D$7,COUNTIF('Strand Placement'!$B$39:$B$44,$D43)&gt;0,'Strand Placement'!$D$8,COUNTIF('Strand Placement'!$B$48:$B$53,$D43)&gt;0,'Strand Placement'!$D$9,COUNTIF('Strand Placement'!$B$57:$B$62,$D43)&gt;0,'Strand Placement'!$D$10,COUNTIF('Strand Placement'!$B$66:$B$71,$D43)&gt;0,'Strand Placement'!$D$11,COUNTIF('Strand Placement'!$B$75:$B$80,$D43)&gt;0,'Strand Placement'!$D$12,COUNTIF('Strand Placement'!$B$84:$B$89,$D43)&gt;0,'Strand Placement'!$D$13,"")))</f>
        <v/>
      </c>
      <c r="W43" s="332" t="str">
        <f t="array" ref="W43">IF($D43="","",IF($AB43&lt;&gt;"",$AB43,IF(COUNTIF('Student Work'!$C$24:$C$223,$D43)&gt;0,XLOOKUP($D43,'Student Work'!$C$24:$C$223,'Student Work'!$D$24:$D$223,""),LET(rowRole,XLOOKUP($D43,'Strand Placement'!$B$21:$B$89,'Strand Placement'!$D$21:$D$89,""),blockRole,SWITCH(TRUE,COUNTIF('Strand Placement'!$B$21:$B$26,$D43)&gt;0,'Strand Placement'!$E$6,COUNTIF('Strand Placement'!$B$30:$B$35,$D43)&gt;0,'Strand Placement'!$E$7,COUNTIF('Strand Placement'!$B$39:$B$44,$D43)&gt;0,'Strand Placement'!$E$8,COUNTIF('Strand Placement'!$B$48:$B$53,$D43)&gt;0,'Strand Placement'!$E$9,COUNTIF('Strand Placement'!$B$57:$B$62,$D43)&gt;0,'Strand Placement'!$E$10,COUNTIF('Strand Placement'!$B$66:$B$71,$D43)&gt;0,'Strand Placement'!$E$11,COUNTIF('Strand Placement'!$B$75:$B$80,$D43)&gt;0,'Strand Placement'!$E$12,COUNTIF('Strand Placement'!$B$84:$B$89,$D43)&gt;0,'Strand Placement'!$E$13,""),IF(rowRole&lt;&gt;"",rowRole,blockRole)))))</f>
        <v/>
      </c>
      <c r="X43" s="335"/>
      <c r="Y43" s="335"/>
      <c r="Z43" s="335"/>
      <c r="AA43" s="335"/>
      <c r="AB43" s="335"/>
      <c r="AC43" s="336" t="str">
        <f t="array" ref="AC43">IF($D43="","",IF(COUNTIF('Student Work'!$C$24:$C$223,$D43)&gt;0,XLOOKUP($D43,'Student Work'!$C$24:$C$223,'Student Work'!$E$24:$E$223,""),XLOOKUP($D43,'Strand Placement'!$B$21:$B$89,'Strand Placement'!$K$21:$K$89,"")))</f>
        <v/>
      </c>
      <c r="AD43" s="336" t="str">
        <f t="array" ref="AD43">IF($D43="","",IF(COUNTIF('Student Work'!$C$24:$C$223,$D43)&gt;0,XLOOKUP($D43,'Student Work'!$C$24:$C$223,'Student Work'!$H$24:$H$223,""),XLOOKUP($D43,'Strand Placement'!$B$21:$B$89,'Strand Placement'!$L$21:$L$89,"")))</f>
        <v/>
      </c>
      <c r="AE43" s="336"/>
      <c r="AF43" s="336"/>
      <c r="AG43" s="339" t="s">
        <v>495</v>
      </c>
      <c r="AH43" s="336"/>
    </row>
    <row r="44" ht="15.75" customHeight="1">
      <c r="A44" s="197" t="str">
        <f t="shared" si="1"/>
        <v/>
      </c>
      <c r="B44" s="246" t="str">
        <f t="array" ref="B44">IF($D44="","",IF($X44&lt;&gt;"",$X44,IF(COUNTIF('Student Work'!$C$24:$C$223,$D44)&gt;0,XLOOKUP($D44,'Student Work'!$C$24:$C$223,'Student Work'!$B$24:$B$223,""),SWITCH(TRUE,COUNTIF('Strand Placement'!$B$21:$B$26,$D44)&gt;0,'Strand Placement'!$A$19,COUNTIF('Strand Placement'!$B$30:$B$35,$D44)&gt;0,'Strand Placement'!$A$28,COUNTIF('Strand Placement'!$B$39:$B$44,$D44)&gt;0,'Strand Placement'!$A$37,COUNTIF('Strand Placement'!$B$48:$B$53,$D44)&gt;0,'Strand Placement'!$A$46,COUNTIF('Strand Placement'!$B$57:$B$62,$D44)&gt;0,'Strand Placement'!$A$55,COUNTIF('Strand Placement'!$B$66:$B$71,$D44)&gt;0,'Strand Placement'!$A$64,COUNTIF('Strand Placement'!$B$75:$B$80,$D44)&gt;0,'Strand Placement'!$A$73,COUNTIF('Strand Placement'!$B$84:$B$89,$D44)&gt;0,'Strand Placement'!$A$82,""))))</f>
        <v/>
      </c>
      <c r="C44" s="246" t="str">
        <f t="array" ref="C44">IF($D44="","",IF($Y44&lt;&gt;"",$Y44,IF(COUNTIF('Student Work'!$C$24:$C$223,$D44)&gt;0,XLOOKUP($D44,'Student Work'!$C$24:$C$223,'Student Work'!$A$24:$A$223,""),LET(rowWho,XLOOKUP($D44,'Strand Placement'!$B$21:$B$89,'Strand Placement'!$C$21:$C$89,""),blockWho,SWITCH(TRUE,COUNTIF('Strand Placement'!$B$21:$B$26,$D44)&gt;0,'Strand Placement'!$C$6,COUNTIF('Strand Placement'!$B$30:$B$35,$D44)&gt;0,'Strand Placement'!$C$7,COUNTIF('Strand Placement'!$B$39:$B$44,$D44)&gt;0,'Strand Placement'!$C$8,COUNTIF('Strand Placement'!$B$48:$B$53,$D44)&gt;0,'Strand Placement'!$C$9,COUNTIF('Strand Placement'!$B$57:$B$62,$D44)&gt;0,'Strand Placement'!$C$10,COUNTIF('Strand Placement'!$B$66:$B$71,$D44)&gt;0,'Strand Placement'!$C$11,COUNTIF('Strand Placement'!$B$75:$B$80,$D44)&gt;0,'Strand Placement'!$C$12,COUNTIF('Strand Placement'!$B$84:$B$89,$D44)&gt;0,'Strand Placement'!$C$13,""),IF(rowWho&lt;&gt;"",rowWho,blockWho)))))</f>
        <v/>
      </c>
      <c r="D44" s="197"/>
      <c r="E44" s="197"/>
      <c r="F44" s="197" t="s">
        <v>101</v>
      </c>
      <c r="G44" s="197"/>
      <c r="H44" s="197"/>
      <c r="I44" s="197"/>
      <c r="J44" s="323"/>
      <c r="K44" s="246" t="str">
        <f t="shared" si="2"/>
        <v/>
      </c>
      <c r="L44" s="197">
        <v>3.0</v>
      </c>
      <c r="M44" s="324"/>
      <c r="N44" s="8" t="str">
        <f t="shared" si="3"/>
        <v/>
      </c>
      <c r="O44" s="325" t="str">
        <f t="shared" si="4"/>
        <v/>
      </c>
      <c r="P44" s="326"/>
      <c r="Q44" s="327" t="str">
        <f t="shared" si="5"/>
        <v/>
      </c>
      <c r="R44" s="328" t="str">
        <f>IFERROR(__xludf.DUMMYFUNCTION("IF(A44&lt;&gt;""☑"","""",IF(OR(Q44="""",Q44=""Manual Start""),J44,IF(OR(Q44=""After Previous in Resource Stream"",Q44=""After Previous in Sequence""),IFERROR(LET(prevfinish,IF(P44&lt;&gt;"""",SUMIFS($S$10:S43,$O$10:O43,O44,$P$10:P43,P44-1),LOOKUP(2,1/($O$10:O43=O44),"&amp;"$S$10:S43)),IF(prevfinish=0,"""",MIN(FILTER('School Calendar'!$A$44:$A$408,('School Calendar'!$A$44:$A$408&gt;prevfinish)*('School Calendar'!$I$44:$I$408&gt;0))))),""""),J44)))"),"")</f>
        <v/>
      </c>
      <c r="S44" s="329" t="str">
        <f>IFERROR(__xludf.DUMMYFUNCTION("IF(OR(A44&lt;&gt;""☑"",R44="""",N44=""""),"""",IFERROR(LET(st,R44,n,N44,pace,K44,gap,MAX(1,L44),calDates,'School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4" s="330"/>
      <c r="U44" s="346" t="str">
        <f t="shared" si="6"/>
        <v/>
      </c>
      <c r="V44" s="332" t="str">
        <f>IF($D44="","",IF(COUNTIF('Student Work'!$C$24:$C$223,$D44)&gt;0,"Individual",SWITCH(TRUE,COUNTIF('Strand Placement'!$B$21:$B$26,$D44)&gt;0,'Strand Placement'!$D$6,COUNTIF('Strand Placement'!$B$30:$B$35,$D44)&gt;0,'Strand Placement'!$D$7,COUNTIF('Strand Placement'!$B$39:$B$44,$D44)&gt;0,'Strand Placement'!$D$8,COUNTIF('Strand Placement'!$B$48:$B$53,$D44)&gt;0,'Strand Placement'!$D$9,COUNTIF('Strand Placement'!$B$57:$B$62,$D44)&gt;0,'Strand Placement'!$D$10,COUNTIF('Strand Placement'!$B$66:$B$71,$D44)&gt;0,'Strand Placement'!$D$11,COUNTIF('Strand Placement'!$B$75:$B$80,$D44)&gt;0,'Strand Placement'!$D$12,COUNTIF('Strand Placement'!$B$84:$B$89,$D44)&gt;0,'Strand Placement'!$D$13,"")))</f>
        <v/>
      </c>
      <c r="W44" s="332" t="str">
        <f t="array" ref="W44">IF($D44="","",IF($AB44&lt;&gt;"",$AB44,IF(COUNTIF('Student Work'!$C$24:$C$223,$D44)&gt;0,XLOOKUP($D44,'Student Work'!$C$24:$C$223,'Student Work'!$D$24:$D$223,""),LET(rowRole,XLOOKUP($D44,'Strand Placement'!$B$21:$B$89,'Strand Placement'!$D$21:$D$89,""),blockRole,SWITCH(TRUE,COUNTIF('Strand Placement'!$B$21:$B$26,$D44)&gt;0,'Strand Placement'!$E$6,COUNTIF('Strand Placement'!$B$30:$B$35,$D44)&gt;0,'Strand Placement'!$E$7,COUNTIF('Strand Placement'!$B$39:$B$44,$D44)&gt;0,'Strand Placement'!$E$8,COUNTIF('Strand Placement'!$B$48:$B$53,$D44)&gt;0,'Strand Placement'!$E$9,COUNTIF('Strand Placement'!$B$57:$B$62,$D44)&gt;0,'Strand Placement'!$E$10,COUNTIF('Strand Placement'!$B$66:$B$71,$D44)&gt;0,'Strand Placement'!$E$11,COUNTIF('Strand Placement'!$B$75:$B$80,$D44)&gt;0,'Strand Placement'!$E$12,COUNTIF('Strand Placement'!$B$84:$B$89,$D44)&gt;0,'Strand Placement'!$E$13,""),IF(rowRole&lt;&gt;"",rowRole,blockRole)))))</f>
        <v/>
      </c>
      <c r="X44" s="335"/>
      <c r="Y44" s="335"/>
      <c r="Z44" s="335"/>
      <c r="AA44" s="335"/>
      <c r="AB44" s="335"/>
      <c r="AC44" s="336" t="str">
        <f t="array" ref="AC44">IF($D44="","",IF(COUNTIF('Student Work'!$C$24:$C$223,$D44)&gt;0,XLOOKUP($D44,'Student Work'!$C$24:$C$223,'Student Work'!$E$24:$E$223,""),XLOOKUP($D44,'Strand Placement'!$B$21:$B$89,'Strand Placement'!$K$21:$K$89,"")))</f>
        <v/>
      </c>
      <c r="AD44" s="336" t="str">
        <f t="array" ref="AD44">IF($D44="","",IF(COUNTIF('Student Work'!$C$24:$C$223,$D44)&gt;0,XLOOKUP($D44,'Student Work'!$C$24:$C$223,'Student Work'!$H$24:$H$223,""),XLOOKUP($D44,'Strand Placement'!$B$21:$B$89,'Strand Placement'!$L$21:$L$89,"")))</f>
        <v/>
      </c>
      <c r="AE44" s="336"/>
      <c r="AF44" s="336"/>
      <c r="AG44" s="339" t="s">
        <v>502</v>
      </c>
      <c r="AH44" s="336"/>
    </row>
    <row r="45" ht="15.75" customHeight="1">
      <c r="A45" s="197" t="str">
        <f t="shared" si="1"/>
        <v/>
      </c>
      <c r="B45" s="246" t="str">
        <f t="array" ref="B45">IF($D45="","",IF($X45&lt;&gt;"",$X45,IF(COUNTIF('Student Work'!$C$24:$C$223,$D45)&gt;0,XLOOKUP($D45,'Student Work'!$C$24:$C$223,'Student Work'!$B$24:$B$223,""),SWITCH(TRUE,COUNTIF('Strand Placement'!$B$21:$B$26,$D45)&gt;0,'Strand Placement'!$A$19,COUNTIF('Strand Placement'!$B$30:$B$35,$D45)&gt;0,'Strand Placement'!$A$28,COUNTIF('Strand Placement'!$B$39:$B$44,$D45)&gt;0,'Strand Placement'!$A$37,COUNTIF('Strand Placement'!$B$48:$B$53,$D45)&gt;0,'Strand Placement'!$A$46,COUNTIF('Strand Placement'!$B$57:$B$62,$D45)&gt;0,'Strand Placement'!$A$55,COUNTIF('Strand Placement'!$B$66:$B$71,$D45)&gt;0,'Strand Placement'!$A$64,COUNTIF('Strand Placement'!$B$75:$B$80,$D45)&gt;0,'Strand Placement'!$A$73,COUNTIF('Strand Placement'!$B$84:$B$89,$D45)&gt;0,'Strand Placement'!$A$82,""))))</f>
        <v/>
      </c>
      <c r="C45" s="246" t="str">
        <f t="array" ref="C45">IF($D45="","",IF($Y45&lt;&gt;"",$Y45,IF(COUNTIF('Student Work'!$C$24:$C$223,$D45)&gt;0,XLOOKUP($D45,'Student Work'!$C$24:$C$223,'Student Work'!$A$24:$A$223,""),LET(rowWho,XLOOKUP($D45,'Strand Placement'!$B$21:$B$89,'Strand Placement'!$C$21:$C$89,""),blockWho,SWITCH(TRUE,COUNTIF('Strand Placement'!$B$21:$B$26,$D45)&gt;0,'Strand Placement'!$C$6,COUNTIF('Strand Placement'!$B$30:$B$35,$D45)&gt;0,'Strand Placement'!$C$7,COUNTIF('Strand Placement'!$B$39:$B$44,$D45)&gt;0,'Strand Placement'!$C$8,COUNTIF('Strand Placement'!$B$48:$B$53,$D45)&gt;0,'Strand Placement'!$C$9,COUNTIF('Strand Placement'!$B$57:$B$62,$D45)&gt;0,'Strand Placement'!$C$10,COUNTIF('Strand Placement'!$B$66:$B$71,$D45)&gt;0,'Strand Placement'!$C$11,COUNTIF('Strand Placement'!$B$75:$B$80,$D45)&gt;0,'Strand Placement'!$C$12,COUNTIF('Strand Placement'!$B$84:$B$89,$D45)&gt;0,'Strand Placement'!$C$13,""),IF(rowWho&lt;&gt;"",rowWho,blockWho)))))</f>
        <v/>
      </c>
      <c r="D45" s="197"/>
      <c r="E45" s="197"/>
      <c r="F45" s="197" t="s">
        <v>101</v>
      </c>
      <c r="G45" s="197"/>
      <c r="H45" s="197"/>
      <c r="I45" s="197"/>
      <c r="J45" s="323"/>
      <c r="K45" s="246" t="str">
        <f t="shared" si="2"/>
        <v/>
      </c>
      <c r="L45" s="197">
        <v>3.0</v>
      </c>
      <c r="M45" s="324"/>
      <c r="N45" s="8" t="str">
        <f t="shared" si="3"/>
        <v/>
      </c>
      <c r="O45" s="325" t="str">
        <f t="shared" si="4"/>
        <v/>
      </c>
      <c r="P45" s="326"/>
      <c r="Q45" s="327" t="str">
        <f t="shared" si="5"/>
        <v/>
      </c>
      <c r="R45" s="328" t="str">
        <f>IFERROR(__xludf.DUMMYFUNCTION("IF(A45&lt;&gt;""☑"","""",IF(OR(Q45="""",Q45=""Manual Start""),J45,IF(OR(Q45=""After Previous in Resource Stream"",Q45=""After Previous in Sequence""),IFERROR(LET(prevfinish,IF(P45&lt;&gt;"""",SUMIFS($S$10:S44,$O$10:O44,O45,$P$10:P44,P45-1),LOOKUP(2,1/($O$10:O44=O45),"&amp;"$S$10:S44)),IF(prevfinish=0,"""",MIN(FILTER('School Calendar'!$A$44:$A$408,('School Calendar'!$A$44:$A$408&gt;prevfinish)*('School Calendar'!$I$44:$I$408&gt;0))))),""""),J45)))"),"")</f>
        <v/>
      </c>
      <c r="S45" s="329" t="str">
        <f>IFERROR(__xludf.DUMMYFUNCTION("IF(OR(A45&lt;&gt;""☑"",R45="""",N45=""""),"""",IFERROR(LET(st,R45,n,N45,pace,K45,gap,MAX(1,L45),calDates,'School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5" s="330"/>
      <c r="U45" s="346" t="str">
        <f t="shared" si="6"/>
        <v/>
      </c>
      <c r="V45" s="332" t="str">
        <f>IF($D45="","",IF(COUNTIF('Student Work'!$C$24:$C$223,$D45)&gt;0,"Individual",SWITCH(TRUE,COUNTIF('Strand Placement'!$B$21:$B$26,$D45)&gt;0,'Strand Placement'!$D$6,COUNTIF('Strand Placement'!$B$30:$B$35,$D45)&gt;0,'Strand Placement'!$D$7,COUNTIF('Strand Placement'!$B$39:$B$44,$D45)&gt;0,'Strand Placement'!$D$8,COUNTIF('Strand Placement'!$B$48:$B$53,$D45)&gt;0,'Strand Placement'!$D$9,COUNTIF('Strand Placement'!$B$57:$B$62,$D45)&gt;0,'Strand Placement'!$D$10,COUNTIF('Strand Placement'!$B$66:$B$71,$D45)&gt;0,'Strand Placement'!$D$11,COUNTIF('Strand Placement'!$B$75:$B$80,$D45)&gt;0,'Strand Placement'!$D$12,COUNTIF('Strand Placement'!$B$84:$B$89,$D45)&gt;0,'Strand Placement'!$D$13,"")))</f>
        <v/>
      </c>
      <c r="W45" s="332" t="str">
        <f t="array" ref="W45">IF($D45="","",IF($AB45&lt;&gt;"",$AB45,IF(COUNTIF('Student Work'!$C$24:$C$223,$D45)&gt;0,XLOOKUP($D45,'Student Work'!$C$24:$C$223,'Student Work'!$D$24:$D$223,""),LET(rowRole,XLOOKUP($D45,'Strand Placement'!$B$21:$B$89,'Strand Placement'!$D$21:$D$89,""),blockRole,SWITCH(TRUE,COUNTIF('Strand Placement'!$B$21:$B$26,$D45)&gt;0,'Strand Placement'!$E$6,COUNTIF('Strand Placement'!$B$30:$B$35,$D45)&gt;0,'Strand Placement'!$E$7,COUNTIF('Strand Placement'!$B$39:$B$44,$D45)&gt;0,'Strand Placement'!$E$8,COUNTIF('Strand Placement'!$B$48:$B$53,$D45)&gt;0,'Strand Placement'!$E$9,COUNTIF('Strand Placement'!$B$57:$B$62,$D45)&gt;0,'Strand Placement'!$E$10,COUNTIF('Strand Placement'!$B$66:$B$71,$D45)&gt;0,'Strand Placement'!$E$11,COUNTIF('Strand Placement'!$B$75:$B$80,$D45)&gt;0,'Strand Placement'!$E$12,COUNTIF('Strand Placement'!$B$84:$B$89,$D45)&gt;0,'Strand Placement'!$E$13,""),IF(rowRole&lt;&gt;"",rowRole,blockRole)))))</f>
        <v/>
      </c>
      <c r="X45" s="335"/>
      <c r="Y45" s="335"/>
      <c r="Z45" s="335"/>
      <c r="AA45" s="335"/>
      <c r="AB45" s="335"/>
      <c r="AC45" s="336" t="str">
        <f t="array" ref="AC45">IF($D45="","",IF(COUNTIF('Student Work'!$C$24:$C$223,$D45)&gt;0,XLOOKUP($D45,'Student Work'!$C$24:$C$223,'Student Work'!$E$24:$E$223,""),XLOOKUP($D45,'Strand Placement'!$B$21:$B$89,'Strand Placement'!$K$21:$K$89,"")))</f>
        <v/>
      </c>
      <c r="AD45" s="336" t="str">
        <f t="array" ref="AD45">IF($D45="","",IF(COUNTIF('Student Work'!$C$24:$C$223,$D45)&gt;0,XLOOKUP($D45,'Student Work'!$C$24:$C$223,'Student Work'!$H$24:$H$223,""),XLOOKUP($D45,'Strand Placement'!$B$21:$B$89,'Strand Placement'!$L$21:$L$89,"")))</f>
        <v/>
      </c>
      <c r="AE45" s="336"/>
      <c r="AF45" s="336"/>
      <c r="AG45" s="339" t="s">
        <v>503</v>
      </c>
      <c r="AH45" s="336"/>
    </row>
    <row r="46" ht="15.75" customHeight="1">
      <c r="A46" s="197" t="str">
        <f t="shared" si="1"/>
        <v/>
      </c>
      <c r="B46" s="246" t="str">
        <f t="array" ref="B46">IF($D46="","",IF($X46&lt;&gt;"",$X46,IF(COUNTIF('Student Work'!$C$24:$C$223,$D46)&gt;0,XLOOKUP($D46,'Student Work'!$C$24:$C$223,'Student Work'!$B$24:$B$223,""),SWITCH(TRUE,COUNTIF('Strand Placement'!$B$21:$B$26,$D46)&gt;0,'Strand Placement'!$A$19,COUNTIF('Strand Placement'!$B$30:$B$35,$D46)&gt;0,'Strand Placement'!$A$28,COUNTIF('Strand Placement'!$B$39:$B$44,$D46)&gt;0,'Strand Placement'!$A$37,COUNTIF('Strand Placement'!$B$48:$B$53,$D46)&gt;0,'Strand Placement'!$A$46,COUNTIF('Strand Placement'!$B$57:$B$62,$D46)&gt;0,'Strand Placement'!$A$55,COUNTIF('Strand Placement'!$B$66:$B$71,$D46)&gt;0,'Strand Placement'!$A$64,COUNTIF('Strand Placement'!$B$75:$B$80,$D46)&gt;0,'Strand Placement'!$A$73,COUNTIF('Strand Placement'!$B$84:$B$89,$D46)&gt;0,'Strand Placement'!$A$82,""))))</f>
        <v/>
      </c>
      <c r="C46" s="246" t="str">
        <f t="array" ref="C46">IF($D46="","",IF($Y46&lt;&gt;"",$Y46,IF(COUNTIF('Student Work'!$C$24:$C$223,$D46)&gt;0,XLOOKUP($D46,'Student Work'!$C$24:$C$223,'Student Work'!$A$24:$A$223,""),LET(rowWho,XLOOKUP($D46,'Strand Placement'!$B$21:$B$89,'Strand Placement'!$C$21:$C$89,""),blockWho,SWITCH(TRUE,COUNTIF('Strand Placement'!$B$21:$B$26,$D46)&gt;0,'Strand Placement'!$C$6,COUNTIF('Strand Placement'!$B$30:$B$35,$D46)&gt;0,'Strand Placement'!$C$7,COUNTIF('Strand Placement'!$B$39:$B$44,$D46)&gt;0,'Strand Placement'!$C$8,COUNTIF('Strand Placement'!$B$48:$B$53,$D46)&gt;0,'Strand Placement'!$C$9,COUNTIF('Strand Placement'!$B$57:$B$62,$D46)&gt;0,'Strand Placement'!$C$10,COUNTIF('Strand Placement'!$B$66:$B$71,$D46)&gt;0,'Strand Placement'!$C$11,COUNTIF('Strand Placement'!$B$75:$B$80,$D46)&gt;0,'Strand Placement'!$C$12,COUNTIF('Strand Placement'!$B$84:$B$89,$D46)&gt;0,'Strand Placement'!$C$13,""),IF(rowWho&lt;&gt;"",rowWho,blockWho)))))</f>
        <v/>
      </c>
      <c r="D46" s="197"/>
      <c r="E46" s="197"/>
      <c r="F46" s="197" t="s">
        <v>101</v>
      </c>
      <c r="G46" s="197"/>
      <c r="H46" s="197"/>
      <c r="I46" s="197"/>
      <c r="J46" s="323"/>
      <c r="K46" s="246" t="str">
        <f t="shared" si="2"/>
        <v/>
      </c>
      <c r="L46" s="197">
        <v>3.0</v>
      </c>
      <c r="M46" s="324"/>
      <c r="N46" s="8" t="str">
        <f t="shared" si="3"/>
        <v/>
      </c>
      <c r="O46" s="325" t="str">
        <f t="shared" si="4"/>
        <v/>
      </c>
      <c r="P46" s="326"/>
      <c r="Q46" s="327" t="str">
        <f t="shared" si="5"/>
        <v/>
      </c>
      <c r="R46" s="328" t="str">
        <f>IFERROR(__xludf.DUMMYFUNCTION("IF(A46&lt;&gt;""☑"","""",IF(OR(Q46="""",Q46=""Manual Start""),J46,IF(OR(Q46=""After Previous in Resource Stream"",Q46=""After Previous in Sequence""),IFERROR(LET(prevfinish,IF(P46&lt;&gt;"""",SUMIFS($S$10:S45,$O$10:O45,O46,$P$10:P45,P46-1),LOOKUP(2,1/($O$10:O45=O46),"&amp;"$S$10:S45)),IF(prevfinish=0,"""",MIN(FILTER('School Calendar'!$A$44:$A$408,('School Calendar'!$A$44:$A$408&gt;prevfinish)*('School Calendar'!$I$44:$I$408&gt;0))))),""""),J46)))"),"")</f>
        <v/>
      </c>
      <c r="S46" s="329" t="str">
        <f>IFERROR(__xludf.DUMMYFUNCTION("IF(OR(A46&lt;&gt;""☑"",R46="""",N46=""""),"""",IFERROR(LET(st,R46,n,N46,pace,K46,gap,MAX(1,L46),calDates,'School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6" s="330"/>
      <c r="U46" s="346" t="str">
        <f t="shared" si="6"/>
        <v/>
      </c>
      <c r="V46" s="332" t="str">
        <f>IF($D46="","",IF(COUNTIF('Student Work'!$C$24:$C$223,$D46)&gt;0,"Individual",SWITCH(TRUE,COUNTIF('Strand Placement'!$B$21:$B$26,$D46)&gt;0,'Strand Placement'!$D$6,COUNTIF('Strand Placement'!$B$30:$B$35,$D46)&gt;0,'Strand Placement'!$D$7,COUNTIF('Strand Placement'!$B$39:$B$44,$D46)&gt;0,'Strand Placement'!$D$8,COUNTIF('Strand Placement'!$B$48:$B$53,$D46)&gt;0,'Strand Placement'!$D$9,COUNTIF('Strand Placement'!$B$57:$B$62,$D46)&gt;0,'Strand Placement'!$D$10,COUNTIF('Strand Placement'!$B$66:$B$71,$D46)&gt;0,'Strand Placement'!$D$11,COUNTIF('Strand Placement'!$B$75:$B$80,$D46)&gt;0,'Strand Placement'!$D$12,COUNTIF('Strand Placement'!$B$84:$B$89,$D46)&gt;0,'Strand Placement'!$D$13,"")))</f>
        <v/>
      </c>
      <c r="W46" s="332" t="str">
        <f t="array" ref="W46">IF($D46="","",IF($AB46&lt;&gt;"",$AB46,IF(COUNTIF('Student Work'!$C$24:$C$223,$D46)&gt;0,XLOOKUP($D46,'Student Work'!$C$24:$C$223,'Student Work'!$D$24:$D$223,""),LET(rowRole,XLOOKUP($D46,'Strand Placement'!$B$21:$B$89,'Strand Placement'!$D$21:$D$89,""),blockRole,SWITCH(TRUE,COUNTIF('Strand Placement'!$B$21:$B$26,$D46)&gt;0,'Strand Placement'!$E$6,COUNTIF('Strand Placement'!$B$30:$B$35,$D46)&gt;0,'Strand Placement'!$E$7,COUNTIF('Strand Placement'!$B$39:$B$44,$D46)&gt;0,'Strand Placement'!$E$8,COUNTIF('Strand Placement'!$B$48:$B$53,$D46)&gt;0,'Strand Placement'!$E$9,COUNTIF('Strand Placement'!$B$57:$B$62,$D46)&gt;0,'Strand Placement'!$E$10,COUNTIF('Strand Placement'!$B$66:$B$71,$D46)&gt;0,'Strand Placement'!$E$11,COUNTIF('Strand Placement'!$B$75:$B$80,$D46)&gt;0,'Strand Placement'!$E$12,COUNTIF('Strand Placement'!$B$84:$B$89,$D46)&gt;0,'Strand Placement'!$E$13,""),IF(rowRole&lt;&gt;"",rowRole,blockRole)))))</f>
        <v/>
      </c>
      <c r="X46" s="335"/>
      <c r="Y46" s="335"/>
      <c r="Z46" s="335"/>
      <c r="AA46" s="335"/>
      <c r="AB46" s="335"/>
      <c r="AC46" s="336" t="str">
        <f t="array" ref="AC46">IF($D46="","",IF(COUNTIF('Student Work'!$C$24:$C$223,$D46)&gt;0,XLOOKUP($D46,'Student Work'!$C$24:$C$223,'Student Work'!$E$24:$E$223,""),XLOOKUP($D46,'Strand Placement'!$B$21:$B$89,'Strand Placement'!$K$21:$K$89,"")))</f>
        <v/>
      </c>
      <c r="AD46" s="336" t="str">
        <f t="array" ref="AD46">IF($D46="","",IF(COUNTIF('Student Work'!$C$24:$C$223,$D46)&gt;0,XLOOKUP($D46,'Student Work'!$C$24:$C$223,'Student Work'!$H$24:$H$223,""),XLOOKUP($D46,'Strand Placement'!$B$21:$B$89,'Strand Placement'!$L$21:$L$89,"")))</f>
        <v/>
      </c>
      <c r="AE46" s="336"/>
      <c r="AF46" s="336"/>
      <c r="AG46" s="339" t="s">
        <v>504</v>
      </c>
      <c r="AH46" s="336"/>
    </row>
    <row r="47" ht="15.75" customHeight="1">
      <c r="A47" s="197" t="str">
        <f t="shared" si="1"/>
        <v/>
      </c>
      <c r="B47" s="246" t="str">
        <f t="array" ref="B47">IF($D47="","",IF($X47&lt;&gt;"",$X47,IF(COUNTIF('Student Work'!$C$24:$C$223,$D47)&gt;0,XLOOKUP($D47,'Student Work'!$C$24:$C$223,'Student Work'!$B$24:$B$223,""),SWITCH(TRUE,COUNTIF('Strand Placement'!$B$21:$B$26,$D47)&gt;0,'Strand Placement'!$A$19,COUNTIF('Strand Placement'!$B$30:$B$35,$D47)&gt;0,'Strand Placement'!$A$28,COUNTIF('Strand Placement'!$B$39:$B$44,$D47)&gt;0,'Strand Placement'!$A$37,COUNTIF('Strand Placement'!$B$48:$B$53,$D47)&gt;0,'Strand Placement'!$A$46,COUNTIF('Strand Placement'!$B$57:$B$62,$D47)&gt;0,'Strand Placement'!$A$55,COUNTIF('Strand Placement'!$B$66:$B$71,$D47)&gt;0,'Strand Placement'!$A$64,COUNTIF('Strand Placement'!$B$75:$B$80,$D47)&gt;0,'Strand Placement'!$A$73,COUNTIF('Strand Placement'!$B$84:$B$89,$D47)&gt;0,'Strand Placement'!$A$82,""))))</f>
        <v/>
      </c>
      <c r="C47" s="246" t="str">
        <f t="array" ref="C47">IF($D47="","",IF($Y47&lt;&gt;"",$Y47,IF(COUNTIF('Student Work'!$C$24:$C$223,$D47)&gt;0,XLOOKUP($D47,'Student Work'!$C$24:$C$223,'Student Work'!$A$24:$A$223,""),LET(rowWho,XLOOKUP($D47,'Strand Placement'!$B$21:$B$89,'Strand Placement'!$C$21:$C$89,""),blockWho,SWITCH(TRUE,COUNTIF('Strand Placement'!$B$21:$B$26,$D47)&gt;0,'Strand Placement'!$C$6,COUNTIF('Strand Placement'!$B$30:$B$35,$D47)&gt;0,'Strand Placement'!$C$7,COUNTIF('Strand Placement'!$B$39:$B$44,$D47)&gt;0,'Strand Placement'!$C$8,COUNTIF('Strand Placement'!$B$48:$B$53,$D47)&gt;0,'Strand Placement'!$C$9,COUNTIF('Strand Placement'!$B$57:$B$62,$D47)&gt;0,'Strand Placement'!$C$10,COUNTIF('Strand Placement'!$B$66:$B$71,$D47)&gt;0,'Strand Placement'!$C$11,COUNTIF('Strand Placement'!$B$75:$B$80,$D47)&gt;0,'Strand Placement'!$C$12,COUNTIF('Strand Placement'!$B$84:$B$89,$D47)&gt;0,'Strand Placement'!$C$13,""),IF(rowWho&lt;&gt;"",rowWho,blockWho)))))</f>
        <v/>
      </c>
      <c r="D47" s="197"/>
      <c r="E47" s="197"/>
      <c r="F47" s="197" t="s">
        <v>101</v>
      </c>
      <c r="G47" s="197"/>
      <c r="H47" s="197"/>
      <c r="I47" s="197"/>
      <c r="J47" s="323"/>
      <c r="K47" s="246" t="str">
        <f t="shared" si="2"/>
        <v/>
      </c>
      <c r="L47" s="197">
        <v>3.0</v>
      </c>
      <c r="M47" s="324"/>
      <c r="N47" s="8" t="str">
        <f t="shared" si="3"/>
        <v/>
      </c>
      <c r="O47" s="325" t="str">
        <f t="shared" si="4"/>
        <v/>
      </c>
      <c r="P47" s="326"/>
      <c r="Q47" s="327" t="str">
        <f t="shared" si="5"/>
        <v/>
      </c>
      <c r="R47" s="328" t="str">
        <f>IFERROR(__xludf.DUMMYFUNCTION("IF(A47&lt;&gt;""☑"","""",IF(OR(Q47="""",Q47=""Manual Start""),J47,IF(OR(Q47=""After Previous in Resource Stream"",Q47=""After Previous in Sequence""),IFERROR(LET(prevfinish,IF(P47&lt;&gt;"""",SUMIFS($S$10:S46,$O$10:O46,O47,$P$10:P46,P47-1),LOOKUP(2,1/($O$10:O46=O47),"&amp;"$S$10:S46)),IF(prevfinish=0,"""",MIN(FILTER('School Calendar'!$A$44:$A$408,('School Calendar'!$A$44:$A$408&gt;prevfinish)*('School Calendar'!$I$44:$I$408&gt;0))))),""""),J47)))"),"")</f>
        <v/>
      </c>
      <c r="S47" s="329" t="str">
        <f>IFERROR(__xludf.DUMMYFUNCTION("IF(OR(A47&lt;&gt;""☑"",R47="""",N47=""""),"""",IFERROR(LET(st,R47,n,N47,pace,K47,gap,MAX(1,L47),calDates,'School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7" s="330"/>
      <c r="U47" s="346" t="str">
        <f t="shared" si="6"/>
        <v/>
      </c>
      <c r="V47" s="332" t="str">
        <f>IF($D47="","",IF(COUNTIF('Student Work'!$C$24:$C$223,$D47)&gt;0,"Individual",SWITCH(TRUE,COUNTIF('Strand Placement'!$B$21:$B$26,$D47)&gt;0,'Strand Placement'!$D$6,COUNTIF('Strand Placement'!$B$30:$B$35,$D47)&gt;0,'Strand Placement'!$D$7,COUNTIF('Strand Placement'!$B$39:$B$44,$D47)&gt;0,'Strand Placement'!$D$8,COUNTIF('Strand Placement'!$B$48:$B$53,$D47)&gt;0,'Strand Placement'!$D$9,COUNTIF('Strand Placement'!$B$57:$B$62,$D47)&gt;0,'Strand Placement'!$D$10,COUNTIF('Strand Placement'!$B$66:$B$71,$D47)&gt;0,'Strand Placement'!$D$11,COUNTIF('Strand Placement'!$B$75:$B$80,$D47)&gt;0,'Strand Placement'!$D$12,COUNTIF('Strand Placement'!$B$84:$B$89,$D47)&gt;0,'Strand Placement'!$D$13,"")))</f>
        <v/>
      </c>
      <c r="W47" s="332" t="str">
        <f t="array" ref="W47">IF($D47="","",IF($AB47&lt;&gt;"",$AB47,IF(COUNTIF('Student Work'!$C$24:$C$223,$D47)&gt;0,XLOOKUP($D47,'Student Work'!$C$24:$C$223,'Student Work'!$D$24:$D$223,""),LET(rowRole,XLOOKUP($D47,'Strand Placement'!$B$21:$B$89,'Strand Placement'!$D$21:$D$89,""),blockRole,SWITCH(TRUE,COUNTIF('Strand Placement'!$B$21:$B$26,$D47)&gt;0,'Strand Placement'!$E$6,COUNTIF('Strand Placement'!$B$30:$B$35,$D47)&gt;0,'Strand Placement'!$E$7,COUNTIF('Strand Placement'!$B$39:$B$44,$D47)&gt;0,'Strand Placement'!$E$8,COUNTIF('Strand Placement'!$B$48:$B$53,$D47)&gt;0,'Strand Placement'!$E$9,COUNTIF('Strand Placement'!$B$57:$B$62,$D47)&gt;0,'Strand Placement'!$E$10,COUNTIF('Strand Placement'!$B$66:$B$71,$D47)&gt;0,'Strand Placement'!$E$11,COUNTIF('Strand Placement'!$B$75:$B$80,$D47)&gt;0,'Strand Placement'!$E$12,COUNTIF('Strand Placement'!$B$84:$B$89,$D47)&gt;0,'Strand Placement'!$E$13,""),IF(rowRole&lt;&gt;"",rowRole,blockRole)))))</f>
        <v/>
      </c>
      <c r="X47" s="335"/>
      <c r="Y47" s="335"/>
      <c r="Z47" s="335"/>
      <c r="AA47" s="335"/>
      <c r="AB47" s="335"/>
      <c r="AC47" s="336" t="str">
        <f t="array" ref="AC47">IF($D47="","",IF(COUNTIF('Student Work'!$C$24:$C$223,$D47)&gt;0,XLOOKUP($D47,'Student Work'!$C$24:$C$223,'Student Work'!$E$24:$E$223,""),XLOOKUP($D47,'Strand Placement'!$B$21:$B$89,'Strand Placement'!$K$21:$K$89,"")))</f>
        <v/>
      </c>
      <c r="AD47" s="336" t="str">
        <f t="array" ref="AD47">IF($D47="","",IF(COUNTIF('Student Work'!$C$24:$C$223,$D47)&gt;0,XLOOKUP($D47,'Student Work'!$C$24:$C$223,'Student Work'!$H$24:$H$223,""),XLOOKUP($D47,'Strand Placement'!$B$21:$B$89,'Strand Placement'!$L$21:$L$89,"")))</f>
        <v/>
      </c>
      <c r="AE47" s="336"/>
      <c r="AF47" s="336"/>
      <c r="AG47" s="339" t="s">
        <v>505</v>
      </c>
      <c r="AH47" s="336"/>
    </row>
    <row r="48" ht="15.75" customHeight="1">
      <c r="A48" s="197" t="str">
        <f t="shared" si="1"/>
        <v/>
      </c>
      <c r="B48" s="246" t="str">
        <f t="array" ref="B48">IF($D48="","",IF($X48&lt;&gt;"",$X48,IF(COUNTIF('Student Work'!$C$24:$C$223,$D48)&gt;0,XLOOKUP($D48,'Student Work'!$C$24:$C$223,'Student Work'!$B$24:$B$223,""),SWITCH(TRUE,COUNTIF('Strand Placement'!$B$21:$B$26,$D48)&gt;0,'Strand Placement'!$A$19,COUNTIF('Strand Placement'!$B$30:$B$35,$D48)&gt;0,'Strand Placement'!$A$28,COUNTIF('Strand Placement'!$B$39:$B$44,$D48)&gt;0,'Strand Placement'!$A$37,COUNTIF('Strand Placement'!$B$48:$B$53,$D48)&gt;0,'Strand Placement'!$A$46,COUNTIF('Strand Placement'!$B$57:$B$62,$D48)&gt;0,'Strand Placement'!$A$55,COUNTIF('Strand Placement'!$B$66:$B$71,$D48)&gt;0,'Strand Placement'!$A$64,COUNTIF('Strand Placement'!$B$75:$B$80,$D48)&gt;0,'Strand Placement'!$A$73,COUNTIF('Strand Placement'!$B$84:$B$89,$D48)&gt;0,'Strand Placement'!$A$82,""))))</f>
        <v/>
      </c>
      <c r="C48" s="246" t="str">
        <f t="array" ref="C48">IF($D48="","",IF($Y48&lt;&gt;"",$Y48,IF(COUNTIF('Student Work'!$C$24:$C$223,$D48)&gt;0,XLOOKUP($D48,'Student Work'!$C$24:$C$223,'Student Work'!$A$24:$A$223,""),LET(rowWho,XLOOKUP($D48,'Strand Placement'!$B$21:$B$89,'Strand Placement'!$C$21:$C$89,""),blockWho,SWITCH(TRUE,COUNTIF('Strand Placement'!$B$21:$B$26,$D48)&gt;0,'Strand Placement'!$C$6,COUNTIF('Strand Placement'!$B$30:$B$35,$D48)&gt;0,'Strand Placement'!$C$7,COUNTIF('Strand Placement'!$B$39:$B$44,$D48)&gt;0,'Strand Placement'!$C$8,COUNTIF('Strand Placement'!$B$48:$B$53,$D48)&gt;0,'Strand Placement'!$C$9,COUNTIF('Strand Placement'!$B$57:$B$62,$D48)&gt;0,'Strand Placement'!$C$10,COUNTIF('Strand Placement'!$B$66:$B$71,$D48)&gt;0,'Strand Placement'!$C$11,COUNTIF('Strand Placement'!$B$75:$B$80,$D48)&gt;0,'Strand Placement'!$C$12,COUNTIF('Strand Placement'!$B$84:$B$89,$D48)&gt;0,'Strand Placement'!$C$13,""),IF(rowWho&lt;&gt;"",rowWho,blockWho)))))</f>
        <v/>
      </c>
      <c r="D48" s="197"/>
      <c r="E48" s="197"/>
      <c r="F48" s="197" t="s">
        <v>101</v>
      </c>
      <c r="G48" s="197"/>
      <c r="H48" s="197"/>
      <c r="I48" s="197"/>
      <c r="J48" s="323"/>
      <c r="K48" s="246" t="str">
        <f t="shared" si="2"/>
        <v/>
      </c>
      <c r="L48" s="197">
        <v>3.0</v>
      </c>
      <c r="M48" s="324"/>
      <c r="N48" s="8" t="str">
        <f t="shared" si="3"/>
        <v/>
      </c>
      <c r="O48" s="325" t="str">
        <f t="shared" si="4"/>
        <v/>
      </c>
      <c r="P48" s="326"/>
      <c r="Q48" s="327" t="str">
        <f t="shared" si="5"/>
        <v/>
      </c>
      <c r="R48" s="328" t="str">
        <f>IFERROR(__xludf.DUMMYFUNCTION("IF(A48&lt;&gt;""☑"","""",IF(OR(Q48="""",Q48=""Manual Start""),J48,IF(OR(Q48=""After Previous in Resource Stream"",Q48=""After Previous in Sequence""),IFERROR(LET(prevfinish,IF(P48&lt;&gt;"""",SUMIFS($S$10:S47,$O$10:O47,O48,$P$10:P47,P48-1),LOOKUP(2,1/($O$10:O47=O48),"&amp;"$S$10:S47)),IF(prevfinish=0,"""",MIN(FILTER('School Calendar'!$A$44:$A$408,('School Calendar'!$A$44:$A$408&gt;prevfinish)*('School Calendar'!$I$44:$I$408&gt;0))))),""""),J48)))"),"")</f>
        <v/>
      </c>
      <c r="S48" s="329" t="str">
        <f>IFERROR(__xludf.DUMMYFUNCTION("IF(OR(A48&lt;&gt;""☑"",R48="""",N48=""""),"""",IFERROR(LET(st,R48,n,N48,pace,K48,gap,MAX(1,L48),calDates,'School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8" s="330"/>
      <c r="U48" s="346" t="str">
        <f t="shared" si="6"/>
        <v/>
      </c>
      <c r="V48" s="332" t="str">
        <f>IF($D48="","",IF(COUNTIF('Student Work'!$C$24:$C$223,$D48)&gt;0,"Individual",SWITCH(TRUE,COUNTIF('Strand Placement'!$B$21:$B$26,$D48)&gt;0,'Strand Placement'!$D$6,COUNTIF('Strand Placement'!$B$30:$B$35,$D48)&gt;0,'Strand Placement'!$D$7,COUNTIF('Strand Placement'!$B$39:$B$44,$D48)&gt;0,'Strand Placement'!$D$8,COUNTIF('Strand Placement'!$B$48:$B$53,$D48)&gt;0,'Strand Placement'!$D$9,COUNTIF('Strand Placement'!$B$57:$B$62,$D48)&gt;0,'Strand Placement'!$D$10,COUNTIF('Strand Placement'!$B$66:$B$71,$D48)&gt;0,'Strand Placement'!$D$11,COUNTIF('Strand Placement'!$B$75:$B$80,$D48)&gt;0,'Strand Placement'!$D$12,COUNTIF('Strand Placement'!$B$84:$B$89,$D48)&gt;0,'Strand Placement'!$D$13,"")))</f>
        <v/>
      </c>
      <c r="W48" s="332" t="str">
        <f t="array" ref="W48">IF($D48="","",IF($AB48&lt;&gt;"",$AB48,IF(COUNTIF('Student Work'!$C$24:$C$223,$D48)&gt;0,XLOOKUP($D48,'Student Work'!$C$24:$C$223,'Student Work'!$D$24:$D$223,""),LET(rowRole,XLOOKUP($D48,'Strand Placement'!$B$21:$B$89,'Strand Placement'!$D$21:$D$89,""),blockRole,SWITCH(TRUE,COUNTIF('Strand Placement'!$B$21:$B$26,$D48)&gt;0,'Strand Placement'!$E$6,COUNTIF('Strand Placement'!$B$30:$B$35,$D48)&gt;0,'Strand Placement'!$E$7,COUNTIF('Strand Placement'!$B$39:$B$44,$D48)&gt;0,'Strand Placement'!$E$8,COUNTIF('Strand Placement'!$B$48:$B$53,$D48)&gt;0,'Strand Placement'!$E$9,COUNTIF('Strand Placement'!$B$57:$B$62,$D48)&gt;0,'Strand Placement'!$E$10,COUNTIF('Strand Placement'!$B$66:$B$71,$D48)&gt;0,'Strand Placement'!$E$11,COUNTIF('Strand Placement'!$B$75:$B$80,$D48)&gt;0,'Strand Placement'!$E$12,COUNTIF('Strand Placement'!$B$84:$B$89,$D48)&gt;0,'Strand Placement'!$E$13,""),IF(rowRole&lt;&gt;"",rowRole,blockRole)))))</f>
        <v/>
      </c>
      <c r="X48" s="335"/>
      <c r="Y48" s="335"/>
      <c r="Z48" s="335"/>
      <c r="AA48" s="335"/>
      <c r="AB48" s="335"/>
      <c r="AC48" s="336" t="str">
        <f t="array" ref="AC48">IF($D48="","",IF(COUNTIF('Student Work'!$C$24:$C$223,$D48)&gt;0,XLOOKUP($D48,'Student Work'!$C$24:$C$223,'Student Work'!$E$24:$E$223,""),XLOOKUP($D48,'Strand Placement'!$B$21:$B$89,'Strand Placement'!$K$21:$K$89,"")))</f>
        <v/>
      </c>
      <c r="AD48" s="336" t="str">
        <f t="array" ref="AD48">IF($D48="","",IF(COUNTIF('Student Work'!$C$24:$C$223,$D48)&gt;0,XLOOKUP($D48,'Student Work'!$C$24:$C$223,'Student Work'!$H$24:$H$223,""),XLOOKUP($D48,'Strand Placement'!$B$21:$B$89,'Strand Placement'!$L$21:$L$89,"")))</f>
        <v/>
      </c>
      <c r="AE48" s="336"/>
      <c r="AF48" s="336"/>
      <c r="AG48" s="339" t="s">
        <v>255</v>
      </c>
      <c r="AH48" s="336"/>
    </row>
    <row r="49" ht="15.75" customHeight="1">
      <c r="A49" s="197" t="str">
        <f t="shared" si="1"/>
        <v/>
      </c>
      <c r="B49" s="246" t="str">
        <f t="array" ref="B49">IF($D49="","",IF($X49&lt;&gt;"",$X49,IF(COUNTIF('Student Work'!$C$24:$C$223,$D49)&gt;0,XLOOKUP($D49,'Student Work'!$C$24:$C$223,'Student Work'!$B$24:$B$223,""),SWITCH(TRUE,COUNTIF('Strand Placement'!$B$21:$B$26,$D49)&gt;0,'Strand Placement'!$A$19,COUNTIF('Strand Placement'!$B$30:$B$35,$D49)&gt;0,'Strand Placement'!$A$28,COUNTIF('Strand Placement'!$B$39:$B$44,$D49)&gt;0,'Strand Placement'!$A$37,COUNTIF('Strand Placement'!$B$48:$B$53,$D49)&gt;0,'Strand Placement'!$A$46,COUNTIF('Strand Placement'!$B$57:$B$62,$D49)&gt;0,'Strand Placement'!$A$55,COUNTIF('Strand Placement'!$B$66:$B$71,$D49)&gt;0,'Strand Placement'!$A$64,COUNTIF('Strand Placement'!$B$75:$B$80,$D49)&gt;0,'Strand Placement'!$A$73,COUNTIF('Strand Placement'!$B$84:$B$89,$D49)&gt;0,'Strand Placement'!$A$82,""))))</f>
        <v/>
      </c>
      <c r="C49" s="246" t="str">
        <f t="array" ref="C49">IF($D49="","",IF($Y49&lt;&gt;"",$Y49,IF(COUNTIF('Student Work'!$C$24:$C$223,$D49)&gt;0,XLOOKUP($D49,'Student Work'!$C$24:$C$223,'Student Work'!$A$24:$A$223,""),LET(rowWho,XLOOKUP($D49,'Strand Placement'!$B$21:$B$89,'Strand Placement'!$C$21:$C$89,""),blockWho,SWITCH(TRUE,COUNTIF('Strand Placement'!$B$21:$B$26,$D49)&gt;0,'Strand Placement'!$C$6,COUNTIF('Strand Placement'!$B$30:$B$35,$D49)&gt;0,'Strand Placement'!$C$7,COUNTIF('Strand Placement'!$B$39:$B$44,$D49)&gt;0,'Strand Placement'!$C$8,COUNTIF('Strand Placement'!$B$48:$B$53,$D49)&gt;0,'Strand Placement'!$C$9,COUNTIF('Strand Placement'!$B$57:$B$62,$D49)&gt;0,'Strand Placement'!$C$10,COUNTIF('Strand Placement'!$B$66:$B$71,$D49)&gt;0,'Strand Placement'!$C$11,COUNTIF('Strand Placement'!$B$75:$B$80,$D49)&gt;0,'Strand Placement'!$C$12,COUNTIF('Strand Placement'!$B$84:$B$89,$D49)&gt;0,'Strand Placement'!$C$13,""),IF(rowWho&lt;&gt;"",rowWho,blockWho)))))</f>
        <v/>
      </c>
      <c r="D49" s="197"/>
      <c r="E49" s="197"/>
      <c r="F49" s="197" t="s">
        <v>101</v>
      </c>
      <c r="G49" s="197"/>
      <c r="H49" s="197"/>
      <c r="I49" s="197"/>
      <c r="J49" s="323"/>
      <c r="K49" s="246" t="str">
        <f t="shared" si="2"/>
        <v/>
      </c>
      <c r="L49" s="197">
        <v>3.0</v>
      </c>
      <c r="M49" s="324"/>
      <c r="N49" s="8" t="str">
        <f t="shared" si="3"/>
        <v/>
      </c>
      <c r="O49" s="325" t="str">
        <f t="shared" si="4"/>
        <v/>
      </c>
      <c r="P49" s="326"/>
      <c r="Q49" s="327" t="str">
        <f t="shared" si="5"/>
        <v/>
      </c>
      <c r="R49" s="328" t="str">
        <f>IFERROR(__xludf.DUMMYFUNCTION("IF(A49&lt;&gt;""☑"","""",IF(OR(Q49="""",Q49=""Manual Start""),J49,IF(OR(Q49=""After Previous in Resource Stream"",Q49=""After Previous in Sequence""),IFERROR(LET(prevfinish,IF(P49&lt;&gt;"""",SUMIFS($S$10:S48,$O$10:O48,O49,$P$10:P48,P49-1),LOOKUP(2,1/($O$10:O48=O49),"&amp;"$S$10:S48)),IF(prevfinish=0,"""",MIN(FILTER('School Calendar'!$A$44:$A$408,('School Calendar'!$A$44:$A$408&gt;prevfinish)*('School Calendar'!$I$44:$I$408&gt;0))))),""""),J49)))"),"")</f>
        <v/>
      </c>
      <c r="S49" s="329" t="str">
        <f>IFERROR(__xludf.DUMMYFUNCTION("IF(OR(A49&lt;&gt;""☑"",R49="""",N49=""""),"""",IFERROR(LET(st,R49,n,N49,pace,K49,gap,MAX(1,L49),calDates,'School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49" s="330"/>
      <c r="U49" s="346" t="str">
        <f t="shared" si="6"/>
        <v/>
      </c>
      <c r="V49" s="332" t="str">
        <f>IF($D49="","",IF(COUNTIF('Student Work'!$C$24:$C$223,$D49)&gt;0,"Individual",SWITCH(TRUE,COUNTIF('Strand Placement'!$B$21:$B$26,$D49)&gt;0,'Strand Placement'!$D$6,COUNTIF('Strand Placement'!$B$30:$B$35,$D49)&gt;0,'Strand Placement'!$D$7,COUNTIF('Strand Placement'!$B$39:$B$44,$D49)&gt;0,'Strand Placement'!$D$8,COUNTIF('Strand Placement'!$B$48:$B$53,$D49)&gt;0,'Strand Placement'!$D$9,COUNTIF('Strand Placement'!$B$57:$B$62,$D49)&gt;0,'Strand Placement'!$D$10,COUNTIF('Strand Placement'!$B$66:$B$71,$D49)&gt;0,'Strand Placement'!$D$11,COUNTIF('Strand Placement'!$B$75:$B$80,$D49)&gt;0,'Strand Placement'!$D$12,COUNTIF('Strand Placement'!$B$84:$B$89,$D49)&gt;0,'Strand Placement'!$D$13,"")))</f>
        <v/>
      </c>
      <c r="W49" s="332" t="str">
        <f t="array" ref="W49">IF($D49="","",IF($AB49&lt;&gt;"",$AB49,IF(COUNTIF('Student Work'!$C$24:$C$223,$D49)&gt;0,XLOOKUP($D49,'Student Work'!$C$24:$C$223,'Student Work'!$D$24:$D$223,""),LET(rowRole,XLOOKUP($D49,'Strand Placement'!$B$21:$B$89,'Strand Placement'!$D$21:$D$89,""),blockRole,SWITCH(TRUE,COUNTIF('Strand Placement'!$B$21:$B$26,$D49)&gt;0,'Strand Placement'!$E$6,COUNTIF('Strand Placement'!$B$30:$B$35,$D49)&gt;0,'Strand Placement'!$E$7,COUNTIF('Strand Placement'!$B$39:$B$44,$D49)&gt;0,'Strand Placement'!$E$8,COUNTIF('Strand Placement'!$B$48:$B$53,$D49)&gt;0,'Strand Placement'!$E$9,COUNTIF('Strand Placement'!$B$57:$B$62,$D49)&gt;0,'Strand Placement'!$E$10,COUNTIF('Strand Placement'!$B$66:$B$71,$D49)&gt;0,'Strand Placement'!$E$11,COUNTIF('Strand Placement'!$B$75:$B$80,$D49)&gt;0,'Strand Placement'!$E$12,COUNTIF('Strand Placement'!$B$84:$B$89,$D49)&gt;0,'Strand Placement'!$E$13,""),IF(rowRole&lt;&gt;"",rowRole,blockRole)))))</f>
        <v/>
      </c>
      <c r="X49" s="335"/>
      <c r="Y49" s="335"/>
      <c r="Z49" s="335"/>
      <c r="AA49" s="335"/>
      <c r="AB49" s="335"/>
      <c r="AC49" s="336" t="str">
        <f t="array" ref="AC49">IF($D49="","",IF(COUNTIF('Student Work'!$C$24:$C$223,$D49)&gt;0,XLOOKUP($D49,'Student Work'!$C$24:$C$223,'Student Work'!$E$24:$E$223,""),XLOOKUP($D49,'Strand Placement'!$B$21:$B$89,'Strand Placement'!$K$21:$K$89,"")))</f>
        <v/>
      </c>
      <c r="AD49" s="336" t="str">
        <f t="array" ref="AD49">IF($D49="","",IF(COUNTIF('Student Work'!$C$24:$C$223,$D49)&gt;0,XLOOKUP($D49,'Student Work'!$C$24:$C$223,'Student Work'!$H$24:$H$223,""),XLOOKUP($D49,'Strand Placement'!$B$21:$B$89,'Strand Placement'!$L$21:$L$89,"")))</f>
        <v/>
      </c>
      <c r="AE49" s="336"/>
      <c r="AF49" s="336"/>
      <c r="AG49" s="339" t="s">
        <v>506</v>
      </c>
      <c r="AH49" s="336"/>
    </row>
    <row r="50" ht="15.75" customHeight="1">
      <c r="A50" s="197" t="str">
        <f t="shared" si="1"/>
        <v/>
      </c>
      <c r="B50" s="246" t="str">
        <f t="array" ref="B50">IF($D50="","",IF($X50&lt;&gt;"",$X50,IF(COUNTIF('Student Work'!$C$24:$C$223,$D50)&gt;0,XLOOKUP($D50,'Student Work'!$C$24:$C$223,'Student Work'!$B$24:$B$223,""),SWITCH(TRUE,COUNTIF('Strand Placement'!$B$21:$B$26,$D50)&gt;0,'Strand Placement'!$A$19,COUNTIF('Strand Placement'!$B$30:$B$35,$D50)&gt;0,'Strand Placement'!$A$28,COUNTIF('Strand Placement'!$B$39:$B$44,$D50)&gt;0,'Strand Placement'!$A$37,COUNTIF('Strand Placement'!$B$48:$B$53,$D50)&gt;0,'Strand Placement'!$A$46,COUNTIF('Strand Placement'!$B$57:$B$62,$D50)&gt;0,'Strand Placement'!$A$55,COUNTIF('Strand Placement'!$B$66:$B$71,$D50)&gt;0,'Strand Placement'!$A$64,COUNTIF('Strand Placement'!$B$75:$B$80,$D50)&gt;0,'Strand Placement'!$A$73,COUNTIF('Strand Placement'!$B$84:$B$89,$D50)&gt;0,'Strand Placement'!$A$82,""))))</f>
        <v/>
      </c>
      <c r="C50" s="246" t="str">
        <f t="array" ref="C50">IF($D50="","",IF($Y50&lt;&gt;"",$Y50,IF(COUNTIF('Student Work'!$C$24:$C$223,$D50)&gt;0,XLOOKUP($D50,'Student Work'!$C$24:$C$223,'Student Work'!$A$24:$A$223,""),LET(rowWho,XLOOKUP($D50,'Strand Placement'!$B$21:$B$89,'Strand Placement'!$C$21:$C$89,""),blockWho,SWITCH(TRUE,COUNTIF('Strand Placement'!$B$21:$B$26,$D50)&gt;0,'Strand Placement'!$C$6,COUNTIF('Strand Placement'!$B$30:$B$35,$D50)&gt;0,'Strand Placement'!$C$7,COUNTIF('Strand Placement'!$B$39:$B$44,$D50)&gt;0,'Strand Placement'!$C$8,COUNTIF('Strand Placement'!$B$48:$B$53,$D50)&gt;0,'Strand Placement'!$C$9,COUNTIF('Strand Placement'!$B$57:$B$62,$D50)&gt;0,'Strand Placement'!$C$10,COUNTIF('Strand Placement'!$B$66:$B$71,$D50)&gt;0,'Strand Placement'!$C$11,COUNTIF('Strand Placement'!$B$75:$B$80,$D50)&gt;0,'Strand Placement'!$C$12,COUNTIF('Strand Placement'!$B$84:$B$89,$D50)&gt;0,'Strand Placement'!$C$13,""),IF(rowWho&lt;&gt;"",rowWho,blockWho)))))</f>
        <v/>
      </c>
      <c r="D50" s="197"/>
      <c r="E50" s="197"/>
      <c r="F50" s="197" t="s">
        <v>101</v>
      </c>
      <c r="G50" s="197"/>
      <c r="H50" s="197"/>
      <c r="I50" s="197"/>
      <c r="J50" s="323"/>
      <c r="K50" s="246" t="str">
        <f t="shared" si="2"/>
        <v/>
      </c>
      <c r="L50" s="197">
        <v>3.0</v>
      </c>
      <c r="M50" s="324"/>
      <c r="N50" s="8" t="str">
        <f t="shared" si="3"/>
        <v/>
      </c>
      <c r="O50" s="325" t="str">
        <f t="shared" si="4"/>
        <v/>
      </c>
      <c r="P50" s="326"/>
      <c r="Q50" s="327" t="str">
        <f t="shared" si="5"/>
        <v/>
      </c>
      <c r="R50" s="328" t="str">
        <f>IFERROR(__xludf.DUMMYFUNCTION("IF(A50&lt;&gt;""☑"","""",IF(OR(Q50="""",Q50=""Manual Start""),J50,IF(OR(Q50=""After Previous in Resource Stream"",Q50=""After Previous in Sequence""),IFERROR(LET(prevfinish,IF(P50&lt;&gt;"""",SUMIFS($S$10:S49,$O$10:O49,O50,$P$10:P49,P50-1),LOOKUP(2,1/($O$10:O49=O50),"&amp;"$S$10:S49)),IF(prevfinish=0,"""",MIN(FILTER('School Calendar'!$A$44:$A$408,('School Calendar'!$A$44:$A$408&gt;prevfinish)*('School Calendar'!$I$44:$I$408&gt;0))))),""""),J50)))"),"")</f>
        <v/>
      </c>
      <c r="S50" s="329" t="str">
        <f>IFERROR(__xludf.DUMMYFUNCTION("IF(OR(A50&lt;&gt;""☑"",R50="""",N50=""""),"""",IFERROR(LET(st,R50,n,N50,pace,K50,gap,MAX(1,L50),calDates,'School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0" s="330"/>
      <c r="U50" s="346" t="str">
        <f t="shared" si="6"/>
        <v/>
      </c>
      <c r="V50" s="332" t="str">
        <f>IF($D50="","",IF(COUNTIF('Student Work'!$C$24:$C$223,$D50)&gt;0,"Individual",SWITCH(TRUE,COUNTIF('Strand Placement'!$B$21:$B$26,$D50)&gt;0,'Strand Placement'!$D$6,COUNTIF('Strand Placement'!$B$30:$B$35,$D50)&gt;0,'Strand Placement'!$D$7,COUNTIF('Strand Placement'!$B$39:$B$44,$D50)&gt;0,'Strand Placement'!$D$8,COUNTIF('Strand Placement'!$B$48:$B$53,$D50)&gt;0,'Strand Placement'!$D$9,COUNTIF('Strand Placement'!$B$57:$B$62,$D50)&gt;0,'Strand Placement'!$D$10,COUNTIF('Strand Placement'!$B$66:$B$71,$D50)&gt;0,'Strand Placement'!$D$11,COUNTIF('Strand Placement'!$B$75:$B$80,$D50)&gt;0,'Strand Placement'!$D$12,COUNTIF('Strand Placement'!$B$84:$B$89,$D50)&gt;0,'Strand Placement'!$D$13,"")))</f>
        <v/>
      </c>
      <c r="W50" s="332" t="str">
        <f t="array" ref="W50">IF($D50="","",IF($AB50&lt;&gt;"",$AB50,IF(COUNTIF('Student Work'!$C$24:$C$223,$D50)&gt;0,XLOOKUP($D50,'Student Work'!$C$24:$C$223,'Student Work'!$D$24:$D$223,""),LET(rowRole,XLOOKUP($D50,'Strand Placement'!$B$21:$B$89,'Strand Placement'!$D$21:$D$89,""),blockRole,SWITCH(TRUE,COUNTIF('Strand Placement'!$B$21:$B$26,$D50)&gt;0,'Strand Placement'!$E$6,COUNTIF('Strand Placement'!$B$30:$B$35,$D50)&gt;0,'Strand Placement'!$E$7,COUNTIF('Strand Placement'!$B$39:$B$44,$D50)&gt;0,'Strand Placement'!$E$8,COUNTIF('Strand Placement'!$B$48:$B$53,$D50)&gt;0,'Strand Placement'!$E$9,COUNTIF('Strand Placement'!$B$57:$B$62,$D50)&gt;0,'Strand Placement'!$E$10,COUNTIF('Strand Placement'!$B$66:$B$71,$D50)&gt;0,'Strand Placement'!$E$11,COUNTIF('Strand Placement'!$B$75:$B$80,$D50)&gt;0,'Strand Placement'!$E$12,COUNTIF('Strand Placement'!$B$84:$B$89,$D50)&gt;0,'Strand Placement'!$E$13,""),IF(rowRole&lt;&gt;"",rowRole,blockRole)))))</f>
        <v/>
      </c>
      <c r="X50" s="335"/>
      <c r="Y50" s="335"/>
      <c r="Z50" s="335"/>
      <c r="AA50" s="335"/>
      <c r="AB50" s="335"/>
      <c r="AC50" s="336" t="str">
        <f t="array" ref="AC50">IF($D50="","",IF(COUNTIF('Student Work'!$C$24:$C$223,$D50)&gt;0,XLOOKUP($D50,'Student Work'!$C$24:$C$223,'Student Work'!$E$24:$E$223,""),XLOOKUP($D50,'Strand Placement'!$B$21:$B$89,'Strand Placement'!$K$21:$K$89,"")))</f>
        <v/>
      </c>
      <c r="AD50" s="336" t="str">
        <f t="array" ref="AD50">IF($D50="","",IF(COUNTIF('Student Work'!$C$24:$C$223,$D50)&gt;0,XLOOKUP($D50,'Student Work'!$C$24:$C$223,'Student Work'!$H$24:$H$223,""),XLOOKUP($D50,'Strand Placement'!$B$21:$B$89,'Strand Placement'!$L$21:$L$89,"")))</f>
        <v/>
      </c>
      <c r="AE50" s="336"/>
      <c r="AF50" s="336"/>
      <c r="AG50" s="339" t="s">
        <v>507</v>
      </c>
      <c r="AH50" s="336"/>
    </row>
    <row r="51" ht="15.75" customHeight="1">
      <c r="A51" s="197" t="str">
        <f t="shared" si="1"/>
        <v/>
      </c>
      <c r="B51" s="246" t="str">
        <f t="array" ref="B51">IF($D51="","",IF($X51&lt;&gt;"",$X51,IF(COUNTIF('Student Work'!$C$24:$C$223,$D51)&gt;0,XLOOKUP($D51,'Student Work'!$C$24:$C$223,'Student Work'!$B$24:$B$223,""),SWITCH(TRUE,COUNTIF('Strand Placement'!$B$21:$B$26,$D51)&gt;0,'Strand Placement'!$A$19,COUNTIF('Strand Placement'!$B$30:$B$35,$D51)&gt;0,'Strand Placement'!$A$28,COUNTIF('Strand Placement'!$B$39:$B$44,$D51)&gt;0,'Strand Placement'!$A$37,COUNTIF('Strand Placement'!$B$48:$B$53,$D51)&gt;0,'Strand Placement'!$A$46,COUNTIF('Strand Placement'!$B$57:$B$62,$D51)&gt;0,'Strand Placement'!$A$55,COUNTIF('Strand Placement'!$B$66:$B$71,$D51)&gt;0,'Strand Placement'!$A$64,COUNTIF('Strand Placement'!$B$75:$B$80,$D51)&gt;0,'Strand Placement'!$A$73,COUNTIF('Strand Placement'!$B$84:$B$89,$D51)&gt;0,'Strand Placement'!$A$82,""))))</f>
        <v/>
      </c>
      <c r="C51" s="246" t="str">
        <f t="array" ref="C51">IF($D51="","",IF($Y51&lt;&gt;"",$Y51,IF(COUNTIF('Student Work'!$C$24:$C$223,$D51)&gt;0,XLOOKUP($D51,'Student Work'!$C$24:$C$223,'Student Work'!$A$24:$A$223,""),LET(rowWho,XLOOKUP($D51,'Strand Placement'!$B$21:$B$89,'Strand Placement'!$C$21:$C$89,""),blockWho,SWITCH(TRUE,COUNTIF('Strand Placement'!$B$21:$B$26,$D51)&gt;0,'Strand Placement'!$C$6,COUNTIF('Strand Placement'!$B$30:$B$35,$D51)&gt;0,'Strand Placement'!$C$7,COUNTIF('Strand Placement'!$B$39:$B$44,$D51)&gt;0,'Strand Placement'!$C$8,COUNTIF('Strand Placement'!$B$48:$B$53,$D51)&gt;0,'Strand Placement'!$C$9,COUNTIF('Strand Placement'!$B$57:$B$62,$D51)&gt;0,'Strand Placement'!$C$10,COUNTIF('Strand Placement'!$B$66:$B$71,$D51)&gt;0,'Strand Placement'!$C$11,COUNTIF('Strand Placement'!$B$75:$B$80,$D51)&gt;0,'Strand Placement'!$C$12,COUNTIF('Strand Placement'!$B$84:$B$89,$D51)&gt;0,'Strand Placement'!$C$13,""),IF(rowWho&lt;&gt;"",rowWho,blockWho)))))</f>
        <v/>
      </c>
      <c r="D51" s="197"/>
      <c r="E51" s="197"/>
      <c r="F51" s="197" t="s">
        <v>101</v>
      </c>
      <c r="G51" s="197"/>
      <c r="H51" s="197"/>
      <c r="I51" s="197"/>
      <c r="J51" s="323"/>
      <c r="K51" s="246" t="str">
        <f t="shared" si="2"/>
        <v/>
      </c>
      <c r="L51" s="197">
        <v>3.0</v>
      </c>
      <c r="M51" s="324"/>
      <c r="N51" s="8" t="str">
        <f t="shared" si="3"/>
        <v/>
      </c>
      <c r="O51" s="325" t="str">
        <f t="shared" si="4"/>
        <v/>
      </c>
      <c r="P51" s="326"/>
      <c r="Q51" s="327" t="str">
        <f t="shared" si="5"/>
        <v/>
      </c>
      <c r="R51" s="328" t="str">
        <f>IFERROR(__xludf.DUMMYFUNCTION("IF(A51&lt;&gt;""☑"","""",IF(OR(Q51="""",Q51=""Manual Start""),J51,IF(OR(Q51=""After Previous in Resource Stream"",Q51=""After Previous in Sequence""),IFERROR(LET(prevfinish,IF(P51&lt;&gt;"""",SUMIFS($S$10:S50,$O$10:O50,O51,$P$10:P50,P51-1),LOOKUP(2,1/($O$10:O50=O51),"&amp;"$S$10:S50)),IF(prevfinish=0,"""",MIN(FILTER('School Calendar'!$A$44:$A$408,('School Calendar'!$A$44:$A$408&gt;prevfinish)*('School Calendar'!$I$44:$I$408&gt;0))))),""""),J51)))"),"")</f>
        <v/>
      </c>
      <c r="S51" s="329" t="str">
        <f>IFERROR(__xludf.DUMMYFUNCTION("IF(OR(A51&lt;&gt;""☑"",R51="""",N51=""""),"""",IFERROR(LET(st,R51,n,N51,pace,K51,gap,MAX(1,L51),calDates,'School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1" s="330"/>
      <c r="U51" s="346" t="str">
        <f t="shared" si="6"/>
        <v/>
      </c>
      <c r="V51" s="332" t="str">
        <f>IF($D51="","",IF(COUNTIF('Student Work'!$C$24:$C$223,$D51)&gt;0,"Individual",SWITCH(TRUE,COUNTIF('Strand Placement'!$B$21:$B$26,$D51)&gt;0,'Strand Placement'!$D$6,COUNTIF('Strand Placement'!$B$30:$B$35,$D51)&gt;0,'Strand Placement'!$D$7,COUNTIF('Strand Placement'!$B$39:$B$44,$D51)&gt;0,'Strand Placement'!$D$8,COUNTIF('Strand Placement'!$B$48:$B$53,$D51)&gt;0,'Strand Placement'!$D$9,COUNTIF('Strand Placement'!$B$57:$B$62,$D51)&gt;0,'Strand Placement'!$D$10,COUNTIF('Strand Placement'!$B$66:$B$71,$D51)&gt;0,'Strand Placement'!$D$11,COUNTIF('Strand Placement'!$B$75:$B$80,$D51)&gt;0,'Strand Placement'!$D$12,COUNTIF('Strand Placement'!$B$84:$B$89,$D51)&gt;0,'Strand Placement'!$D$13,"")))</f>
        <v/>
      </c>
      <c r="W51" s="332" t="str">
        <f t="array" ref="W51">IF($D51="","",IF($AB51&lt;&gt;"",$AB51,IF(COUNTIF('Student Work'!$C$24:$C$223,$D51)&gt;0,XLOOKUP($D51,'Student Work'!$C$24:$C$223,'Student Work'!$D$24:$D$223,""),LET(rowRole,XLOOKUP($D51,'Strand Placement'!$B$21:$B$89,'Strand Placement'!$D$21:$D$89,""),blockRole,SWITCH(TRUE,COUNTIF('Strand Placement'!$B$21:$B$26,$D51)&gt;0,'Strand Placement'!$E$6,COUNTIF('Strand Placement'!$B$30:$B$35,$D51)&gt;0,'Strand Placement'!$E$7,COUNTIF('Strand Placement'!$B$39:$B$44,$D51)&gt;0,'Strand Placement'!$E$8,COUNTIF('Strand Placement'!$B$48:$B$53,$D51)&gt;0,'Strand Placement'!$E$9,COUNTIF('Strand Placement'!$B$57:$B$62,$D51)&gt;0,'Strand Placement'!$E$10,COUNTIF('Strand Placement'!$B$66:$B$71,$D51)&gt;0,'Strand Placement'!$E$11,COUNTIF('Strand Placement'!$B$75:$B$80,$D51)&gt;0,'Strand Placement'!$E$12,COUNTIF('Strand Placement'!$B$84:$B$89,$D51)&gt;0,'Strand Placement'!$E$13,""),IF(rowRole&lt;&gt;"",rowRole,blockRole)))))</f>
        <v/>
      </c>
      <c r="X51" s="335"/>
      <c r="Y51" s="335"/>
      <c r="Z51" s="335"/>
      <c r="AA51" s="335"/>
      <c r="AB51" s="335"/>
      <c r="AC51" s="336" t="str">
        <f t="array" ref="AC51">IF($D51="","",IF(COUNTIF('Student Work'!$C$24:$C$223,$D51)&gt;0,XLOOKUP($D51,'Student Work'!$C$24:$C$223,'Student Work'!$E$24:$E$223,""),XLOOKUP($D51,'Strand Placement'!$B$21:$B$89,'Strand Placement'!$K$21:$K$89,"")))</f>
        <v/>
      </c>
      <c r="AD51" s="336" t="str">
        <f t="array" ref="AD51">IF($D51="","",IF(COUNTIF('Student Work'!$C$24:$C$223,$D51)&gt;0,XLOOKUP($D51,'Student Work'!$C$24:$C$223,'Student Work'!$H$24:$H$223,""),XLOOKUP($D51,'Strand Placement'!$B$21:$B$89,'Strand Placement'!$L$21:$L$89,"")))</f>
        <v/>
      </c>
      <c r="AE51" s="336"/>
      <c r="AF51" s="336"/>
      <c r="AG51" s="339" t="s">
        <v>268</v>
      </c>
      <c r="AH51" s="336"/>
    </row>
    <row r="52" ht="15.75" customHeight="1">
      <c r="A52" s="197" t="str">
        <f t="shared" si="1"/>
        <v/>
      </c>
      <c r="B52" s="246" t="str">
        <f t="array" ref="B52">IF($D52="","",IF($X52&lt;&gt;"",$X52,IF(COUNTIF('Student Work'!$C$24:$C$223,$D52)&gt;0,XLOOKUP($D52,'Student Work'!$C$24:$C$223,'Student Work'!$B$24:$B$223,""),SWITCH(TRUE,COUNTIF('Strand Placement'!$B$21:$B$26,$D52)&gt;0,'Strand Placement'!$A$19,COUNTIF('Strand Placement'!$B$30:$B$35,$D52)&gt;0,'Strand Placement'!$A$28,COUNTIF('Strand Placement'!$B$39:$B$44,$D52)&gt;0,'Strand Placement'!$A$37,COUNTIF('Strand Placement'!$B$48:$B$53,$D52)&gt;0,'Strand Placement'!$A$46,COUNTIF('Strand Placement'!$B$57:$B$62,$D52)&gt;0,'Strand Placement'!$A$55,COUNTIF('Strand Placement'!$B$66:$B$71,$D52)&gt;0,'Strand Placement'!$A$64,COUNTIF('Strand Placement'!$B$75:$B$80,$D52)&gt;0,'Strand Placement'!$A$73,COUNTIF('Strand Placement'!$B$84:$B$89,$D52)&gt;0,'Strand Placement'!$A$82,""))))</f>
        <v/>
      </c>
      <c r="C52" s="246" t="str">
        <f t="array" ref="C52">IF($D52="","",IF($Y52&lt;&gt;"",$Y52,IF(COUNTIF('Student Work'!$C$24:$C$223,$D52)&gt;0,XLOOKUP($D52,'Student Work'!$C$24:$C$223,'Student Work'!$A$24:$A$223,""),LET(rowWho,XLOOKUP($D52,'Strand Placement'!$B$21:$B$89,'Strand Placement'!$C$21:$C$89,""),blockWho,SWITCH(TRUE,COUNTIF('Strand Placement'!$B$21:$B$26,$D52)&gt;0,'Strand Placement'!$C$6,COUNTIF('Strand Placement'!$B$30:$B$35,$D52)&gt;0,'Strand Placement'!$C$7,COUNTIF('Strand Placement'!$B$39:$B$44,$D52)&gt;0,'Strand Placement'!$C$8,COUNTIF('Strand Placement'!$B$48:$B$53,$D52)&gt;0,'Strand Placement'!$C$9,COUNTIF('Strand Placement'!$B$57:$B$62,$D52)&gt;0,'Strand Placement'!$C$10,COUNTIF('Strand Placement'!$B$66:$B$71,$D52)&gt;0,'Strand Placement'!$C$11,COUNTIF('Strand Placement'!$B$75:$B$80,$D52)&gt;0,'Strand Placement'!$C$12,COUNTIF('Strand Placement'!$B$84:$B$89,$D52)&gt;0,'Strand Placement'!$C$13,""),IF(rowWho&lt;&gt;"",rowWho,blockWho)))))</f>
        <v/>
      </c>
      <c r="D52" s="197"/>
      <c r="E52" s="197"/>
      <c r="F52" s="197" t="s">
        <v>101</v>
      </c>
      <c r="G52" s="197"/>
      <c r="H52" s="197"/>
      <c r="I52" s="197"/>
      <c r="J52" s="323"/>
      <c r="K52" s="246" t="str">
        <f t="shared" si="2"/>
        <v/>
      </c>
      <c r="L52" s="197">
        <v>3.0</v>
      </c>
      <c r="M52" s="324"/>
      <c r="N52" s="8" t="str">
        <f t="shared" si="3"/>
        <v/>
      </c>
      <c r="O52" s="325" t="str">
        <f t="shared" si="4"/>
        <v/>
      </c>
      <c r="P52" s="326"/>
      <c r="Q52" s="327" t="str">
        <f t="shared" si="5"/>
        <v/>
      </c>
      <c r="R52" s="328" t="str">
        <f>IFERROR(__xludf.DUMMYFUNCTION("IF(A52&lt;&gt;""☑"","""",IF(OR(Q52="""",Q52=""Manual Start""),J52,IF(OR(Q52=""After Previous in Resource Stream"",Q52=""After Previous in Sequence""),IFERROR(LET(prevfinish,IF(P52&lt;&gt;"""",SUMIFS($S$10:S51,$O$10:O51,O52,$P$10:P51,P52-1),LOOKUP(2,1/($O$10:O51=O52),"&amp;"$S$10:S51)),IF(prevfinish=0,"""",MIN(FILTER('School Calendar'!$A$44:$A$408,('School Calendar'!$A$44:$A$408&gt;prevfinish)*('School Calendar'!$I$44:$I$408&gt;0))))),""""),J52)))"),"")</f>
        <v/>
      </c>
      <c r="S52" s="329" t="str">
        <f>IFERROR(__xludf.DUMMYFUNCTION("IF(OR(A52&lt;&gt;""☑"",R52="""",N52=""""),"""",IFERROR(LET(st,R52,n,N52,pace,K52,gap,MAX(1,L52),calDates,'School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2" s="330"/>
      <c r="U52" s="346" t="str">
        <f t="shared" si="6"/>
        <v/>
      </c>
      <c r="V52" s="332" t="str">
        <f>IF($D52="","",IF(COUNTIF('Student Work'!$C$24:$C$223,$D52)&gt;0,"Individual",SWITCH(TRUE,COUNTIF('Strand Placement'!$B$21:$B$26,$D52)&gt;0,'Strand Placement'!$D$6,COUNTIF('Strand Placement'!$B$30:$B$35,$D52)&gt;0,'Strand Placement'!$D$7,COUNTIF('Strand Placement'!$B$39:$B$44,$D52)&gt;0,'Strand Placement'!$D$8,COUNTIF('Strand Placement'!$B$48:$B$53,$D52)&gt;0,'Strand Placement'!$D$9,COUNTIF('Strand Placement'!$B$57:$B$62,$D52)&gt;0,'Strand Placement'!$D$10,COUNTIF('Strand Placement'!$B$66:$B$71,$D52)&gt;0,'Strand Placement'!$D$11,COUNTIF('Strand Placement'!$B$75:$B$80,$D52)&gt;0,'Strand Placement'!$D$12,COUNTIF('Strand Placement'!$B$84:$B$89,$D52)&gt;0,'Strand Placement'!$D$13,"")))</f>
        <v/>
      </c>
      <c r="W52" s="332" t="str">
        <f t="array" ref="W52">IF($D52="","",IF($AB52&lt;&gt;"",$AB52,IF(COUNTIF('Student Work'!$C$24:$C$223,$D52)&gt;0,XLOOKUP($D52,'Student Work'!$C$24:$C$223,'Student Work'!$D$24:$D$223,""),LET(rowRole,XLOOKUP($D52,'Strand Placement'!$B$21:$B$89,'Strand Placement'!$D$21:$D$89,""),blockRole,SWITCH(TRUE,COUNTIF('Strand Placement'!$B$21:$B$26,$D52)&gt;0,'Strand Placement'!$E$6,COUNTIF('Strand Placement'!$B$30:$B$35,$D52)&gt;0,'Strand Placement'!$E$7,COUNTIF('Strand Placement'!$B$39:$B$44,$D52)&gt;0,'Strand Placement'!$E$8,COUNTIF('Strand Placement'!$B$48:$B$53,$D52)&gt;0,'Strand Placement'!$E$9,COUNTIF('Strand Placement'!$B$57:$B$62,$D52)&gt;0,'Strand Placement'!$E$10,COUNTIF('Strand Placement'!$B$66:$B$71,$D52)&gt;0,'Strand Placement'!$E$11,COUNTIF('Strand Placement'!$B$75:$B$80,$D52)&gt;0,'Strand Placement'!$E$12,COUNTIF('Strand Placement'!$B$84:$B$89,$D52)&gt;0,'Strand Placement'!$E$13,""),IF(rowRole&lt;&gt;"",rowRole,blockRole)))))</f>
        <v/>
      </c>
      <c r="X52" s="335"/>
      <c r="Y52" s="335"/>
      <c r="Z52" s="335"/>
      <c r="AA52" s="335"/>
      <c r="AB52" s="335"/>
      <c r="AC52" s="336" t="str">
        <f t="array" ref="AC52">IF($D52="","",IF(COUNTIF('Student Work'!$C$24:$C$223,$D52)&gt;0,XLOOKUP($D52,'Student Work'!$C$24:$C$223,'Student Work'!$E$24:$E$223,""),XLOOKUP($D52,'Strand Placement'!$B$21:$B$89,'Strand Placement'!$K$21:$K$89,"")))</f>
        <v/>
      </c>
      <c r="AD52" s="336" t="str">
        <f t="array" ref="AD52">IF($D52="","",IF(COUNTIF('Student Work'!$C$24:$C$223,$D52)&gt;0,XLOOKUP($D52,'Student Work'!$C$24:$C$223,'Student Work'!$H$24:$H$223,""),XLOOKUP($D52,'Strand Placement'!$B$21:$B$89,'Strand Placement'!$L$21:$L$89,"")))</f>
        <v/>
      </c>
      <c r="AE52" s="336"/>
      <c r="AF52" s="336"/>
      <c r="AG52" s="339" t="s">
        <v>510</v>
      </c>
      <c r="AH52" s="336"/>
    </row>
    <row r="53" ht="15.75" customHeight="1">
      <c r="A53" s="197" t="str">
        <f t="shared" si="1"/>
        <v/>
      </c>
      <c r="B53" s="246" t="str">
        <f t="array" ref="B53">IF($D53="","",IF($X53&lt;&gt;"",$X53,IF(COUNTIF('Student Work'!$C$24:$C$223,$D53)&gt;0,XLOOKUP($D53,'Student Work'!$C$24:$C$223,'Student Work'!$B$24:$B$223,""),SWITCH(TRUE,COUNTIF('Strand Placement'!$B$21:$B$26,$D53)&gt;0,'Strand Placement'!$A$19,COUNTIF('Strand Placement'!$B$30:$B$35,$D53)&gt;0,'Strand Placement'!$A$28,COUNTIF('Strand Placement'!$B$39:$B$44,$D53)&gt;0,'Strand Placement'!$A$37,COUNTIF('Strand Placement'!$B$48:$B$53,$D53)&gt;0,'Strand Placement'!$A$46,COUNTIF('Strand Placement'!$B$57:$B$62,$D53)&gt;0,'Strand Placement'!$A$55,COUNTIF('Strand Placement'!$B$66:$B$71,$D53)&gt;0,'Strand Placement'!$A$64,COUNTIF('Strand Placement'!$B$75:$B$80,$D53)&gt;0,'Strand Placement'!$A$73,COUNTIF('Strand Placement'!$B$84:$B$89,$D53)&gt;0,'Strand Placement'!$A$82,""))))</f>
        <v/>
      </c>
      <c r="C53" s="246" t="str">
        <f t="array" ref="C53">IF($D53="","",IF($Y53&lt;&gt;"",$Y53,IF(COUNTIF('Student Work'!$C$24:$C$223,$D53)&gt;0,XLOOKUP($D53,'Student Work'!$C$24:$C$223,'Student Work'!$A$24:$A$223,""),LET(rowWho,XLOOKUP($D53,'Strand Placement'!$B$21:$B$89,'Strand Placement'!$C$21:$C$89,""),blockWho,SWITCH(TRUE,COUNTIF('Strand Placement'!$B$21:$B$26,$D53)&gt;0,'Strand Placement'!$C$6,COUNTIF('Strand Placement'!$B$30:$B$35,$D53)&gt;0,'Strand Placement'!$C$7,COUNTIF('Strand Placement'!$B$39:$B$44,$D53)&gt;0,'Strand Placement'!$C$8,COUNTIF('Strand Placement'!$B$48:$B$53,$D53)&gt;0,'Strand Placement'!$C$9,COUNTIF('Strand Placement'!$B$57:$B$62,$D53)&gt;0,'Strand Placement'!$C$10,COUNTIF('Strand Placement'!$B$66:$B$71,$D53)&gt;0,'Strand Placement'!$C$11,COUNTIF('Strand Placement'!$B$75:$B$80,$D53)&gt;0,'Strand Placement'!$C$12,COUNTIF('Strand Placement'!$B$84:$B$89,$D53)&gt;0,'Strand Placement'!$C$13,""),IF(rowWho&lt;&gt;"",rowWho,blockWho)))))</f>
        <v/>
      </c>
      <c r="D53" s="197"/>
      <c r="E53" s="197"/>
      <c r="F53" s="197" t="s">
        <v>101</v>
      </c>
      <c r="G53" s="197"/>
      <c r="H53" s="197"/>
      <c r="I53" s="197"/>
      <c r="J53" s="323"/>
      <c r="K53" s="246" t="str">
        <f t="shared" si="2"/>
        <v/>
      </c>
      <c r="L53" s="197">
        <v>3.0</v>
      </c>
      <c r="M53" s="324"/>
      <c r="N53" s="8" t="str">
        <f t="shared" si="3"/>
        <v/>
      </c>
      <c r="O53" s="325" t="str">
        <f t="shared" si="4"/>
        <v/>
      </c>
      <c r="P53" s="326"/>
      <c r="Q53" s="327" t="str">
        <f t="shared" si="5"/>
        <v/>
      </c>
      <c r="R53" s="328" t="str">
        <f>IFERROR(__xludf.DUMMYFUNCTION("IF(A53&lt;&gt;""☑"","""",IF(OR(Q53="""",Q53=""Manual Start""),J53,IF(OR(Q53=""After Previous in Resource Stream"",Q53=""After Previous in Sequence""),IFERROR(LET(prevfinish,IF(P53&lt;&gt;"""",SUMIFS($S$10:S52,$O$10:O52,O53,$P$10:P52,P53-1),LOOKUP(2,1/($O$10:O52=O53),"&amp;"$S$10:S52)),IF(prevfinish=0,"""",MIN(FILTER('School Calendar'!$A$44:$A$408,('School Calendar'!$A$44:$A$408&gt;prevfinish)*('School Calendar'!$I$44:$I$408&gt;0))))),""""),J53)))"),"")</f>
        <v/>
      </c>
      <c r="S53" s="329" t="str">
        <f>IFERROR(__xludf.DUMMYFUNCTION("IF(OR(A53&lt;&gt;""☑"",R53="""",N53=""""),"""",IFERROR(LET(st,R53,n,N53,pace,K53,gap,MAX(1,L53),calDates,'School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3" s="330"/>
      <c r="U53" s="346" t="str">
        <f t="shared" si="6"/>
        <v/>
      </c>
      <c r="V53" s="332" t="str">
        <f>IF($D53="","",IF(COUNTIF('Student Work'!$C$24:$C$223,$D53)&gt;0,"Individual",SWITCH(TRUE,COUNTIF('Strand Placement'!$B$21:$B$26,$D53)&gt;0,'Strand Placement'!$D$6,COUNTIF('Strand Placement'!$B$30:$B$35,$D53)&gt;0,'Strand Placement'!$D$7,COUNTIF('Strand Placement'!$B$39:$B$44,$D53)&gt;0,'Strand Placement'!$D$8,COUNTIF('Strand Placement'!$B$48:$B$53,$D53)&gt;0,'Strand Placement'!$D$9,COUNTIF('Strand Placement'!$B$57:$B$62,$D53)&gt;0,'Strand Placement'!$D$10,COUNTIF('Strand Placement'!$B$66:$B$71,$D53)&gt;0,'Strand Placement'!$D$11,COUNTIF('Strand Placement'!$B$75:$B$80,$D53)&gt;0,'Strand Placement'!$D$12,COUNTIF('Strand Placement'!$B$84:$B$89,$D53)&gt;0,'Strand Placement'!$D$13,"")))</f>
        <v/>
      </c>
      <c r="W53" s="332" t="str">
        <f t="array" ref="W53">IF($D53="","",IF($AB53&lt;&gt;"",$AB53,IF(COUNTIF('Student Work'!$C$24:$C$223,$D53)&gt;0,XLOOKUP($D53,'Student Work'!$C$24:$C$223,'Student Work'!$D$24:$D$223,""),LET(rowRole,XLOOKUP($D53,'Strand Placement'!$B$21:$B$89,'Strand Placement'!$D$21:$D$89,""),blockRole,SWITCH(TRUE,COUNTIF('Strand Placement'!$B$21:$B$26,$D53)&gt;0,'Strand Placement'!$E$6,COUNTIF('Strand Placement'!$B$30:$B$35,$D53)&gt;0,'Strand Placement'!$E$7,COUNTIF('Strand Placement'!$B$39:$B$44,$D53)&gt;0,'Strand Placement'!$E$8,COUNTIF('Strand Placement'!$B$48:$B$53,$D53)&gt;0,'Strand Placement'!$E$9,COUNTIF('Strand Placement'!$B$57:$B$62,$D53)&gt;0,'Strand Placement'!$E$10,COUNTIF('Strand Placement'!$B$66:$B$71,$D53)&gt;0,'Strand Placement'!$E$11,COUNTIF('Strand Placement'!$B$75:$B$80,$D53)&gt;0,'Strand Placement'!$E$12,COUNTIF('Strand Placement'!$B$84:$B$89,$D53)&gt;0,'Strand Placement'!$E$13,""),IF(rowRole&lt;&gt;"",rowRole,blockRole)))))</f>
        <v/>
      </c>
      <c r="X53" s="335"/>
      <c r="Y53" s="335"/>
      <c r="Z53" s="335"/>
      <c r="AA53" s="335"/>
      <c r="AB53" s="335"/>
      <c r="AC53" s="336" t="str">
        <f t="array" ref="AC53">IF($D53="","",IF(COUNTIF('Student Work'!$C$24:$C$223,$D53)&gt;0,XLOOKUP($D53,'Student Work'!$C$24:$C$223,'Student Work'!$E$24:$E$223,""),XLOOKUP($D53,'Strand Placement'!$B$21:$B$89,'Strand Placement'!$K$21:$K$89,"")))</f>
        <v/>
      </c>
      <c r="AD53" s="336" t="str">
        <f t="array" ref="AD53">IF($D53="","",IF(COUNTIF('Student Work'!$C$24:$C$223,$D53)&gt;0,XLOOKUP($D53,'Student Work'!$C$24:$C$223,'Student Work'!$H$24:$H$223,""),XLOOKUP($D53,'Strand Placement'!$B$21:$B$89,'Strand Placement'!$L$21:$L$89,"")))</f>
        <v/>
      </c>
      <c r="AE53" s="336"/>
      <c r="AF53" s="336"/>
      <c r="AG53" s="339" t="s">
        <v>511</v>
      </c>
      <c r="AH53" s="336"/>
    </row>
    <row r="54" ht="15.75" customHeight="1">
      <c r="A54" s="197" t="str">
        <f t="shared" si="1"/>
        <v/>
      </c>
      <c r="B54" s="246" t="str">
        <f t="array" ref="B54">IF($D54="","",IF($X54&lt;&gt;"",$X54,IF(COUNTIF('Student Work'!$C$24:$C$223,$D54)&gt;0,XLOOKUP($D54,'Student Work'!$C$24:$C$223,'Student Work'!$B$24:$B$223,""),SWITCH(TRUE,COUNTIF('Strand Placement'!$B$21:$B$26,$D54)&gt;0,'Strand Placement'!$A$19,COUNTIF('Strand Placement'!$B$30:$B$35,$D54)&gt;0,'Strand Placement'!$A$28,COUNTIF('Strand Placement'!$B$39:$B$44,$D54)&gt;0,'Strand Placement'!$A$37,COUNTIF('Strand Placement'!$B$48:$B$53,$D54)&gt;0,'Strand Placement'!$A$46,COUNTIF('Strand Placement'!$B$57:$B$62,$D54)&gt;0,'Strand Placement'!$A$55,COUNTIF('Strand Placement'!$B$66:$B$71,$D54)&gt;0,'Strand Placement'!$A$64,COUNTIF('Strand Placement'!$B$75:$B$80,$D54)&gt;0,'Strand Placement'!$A$73,COUNTIF('Strand Placement'!$B$84:$B$89,$D54)&gt;0,'Strand Placement'!$A$82,""))))</f>
        <v/>
      </c>
      <c r="C54" s="246" t="str">
        <f t="array" ref="C54">IF($D54="","",IF($Y54&lt;&gt;"",$Y54,IF(COUNTIF('Student Work'!$C$24:$C$223,$D54)&gt;0,XLOOKUP($D54,'Student Work'!$C$24:$C$223,'Student Work'!$A$24:$A$223,""),LET(rowWho,XLOOKUP($D54,'Strand Placement'!$B$21:$B$89,'Strand Placement'!$C$21:$C$89,""),blockWho,SWITCH(TRUE,COUNTIF('Strand Placement'!$B$21:$B$26,$D54)&gt;0,'Strand Placement'!$C$6,COUNTIF('Strand Placement'!$B$30:$B$35,$D54)&gt;0,'Strand Placement'!$C$7,COUNTIF('Strand Placement'!$B$39:$B$44,$D54)&gt;0,'Strand Placement'!$C$8,COUNTIF('Strand Placement'!$B$48:$B$53,$D54)&gt;0,'Strand Placement'!$C$9,COUNTIF('Strand Placement'!$B$57:$B$62,$D54)&gt;0,'Strand Placement'!$C$10,COUNTIF('Strand Placement'!$B$66:$B$71,$D54)&gt;0,'Strand Placement'!$C$11,COUNTIF('Strand Placement'!$B$75:$B$80,$D54)&gt;0,'Strand Placement'!$C$12,COUNTIF('Strand Placement'!$B$84:$B$89,$D54)&gt;0,'Strand Placement'!$C$13,""),IF(rowWho&lt;&gt;"",rowWho,blockWho)))))</f>
        <v/>
      </c>
      <c r="D54" s="197"/>
      <c r="E54" s="197"/>
      <c r="F54" s="197" t="s">
        <v>101</v>
      </c>
      <c r="G54" s="197"/>
      <c r="H54" s="197"/>
      <c r="I54" s="197"/>
      <c r="J54" s="323"/>
      <c r="K54" s="246" t="str">
        <f t="shared" si="2"/>
        <v/>
      </c>
      <c r="L54" s="197">
        <v>3.0</v>
      </c>
      <c r="M54" s="324"/>
      <c r="N54" s="8" t="str">
        <f t="shared" si="3"/>
        <v/>
      </c>
      <c r="O54" s="325" t="str">
        <f t="shared" si="4"/>
        <v/>
      </c>
      <c r="P54" s="326"/>
      <c r="Q54" s="327" t="str">
        <f t="shared" si="5"/>
        <v/>
      </c>
      <c r="R54" s="328" t="str">
        <f>IFERROR(__xludf.DUMMYFUNCTION("IF(A54&lt;&gt;""☑"","""",IF(OR(Q54="""",Q54=""Manual Start""),J54,IF(OR(Q54=""After Previous in Resource Stream"",Q54=""After Previous in Sequence""),IFERROR(LET(prevfinish,IF(P54&lt;&gt;"""",SUMIFS($S$10:S53,$O$10:O53,O54,$P$10:P53,P54-1),LOOKUP(2,1/($O$10:O53=O54),"&amp;"$S$10:S53)),IF(prevfinish=0,"""",MIN(FILTER('School Calendar'!$A$44:$A$408,('School Calendar'!$A$44:$A$408&gt;prevfinish)*('School Calendar'!$I$44:$I$408&gt;0))))),""""),J54)))"),"")</f>
        <v/>
      </c>
      <c r="S54" s="329" t="str">
        <f>IFERROR(__xludf.DUMMYFUNCTION("IF(OR(A54&lt;&gt;""☑"",R54="""",N54=""""),"""",IFERROR(LET(st,R54,n,N54,pace,K54,gap,MAX(1,L54),calDates,'School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4" s="330"/>
      <c r="U54" s="346" t="str">
        <f t="shared" si="6"/>
        <v/>
      </c>
      <c r="V54" s="332" t="str">
        <f>IF($D54="","",IF(COUNTIF('Student Work'!$C$24:$C$223,$D54)&gt;0,"Individual",SWITCH(TRUE,COUNTIF('Strand Placement'!$B$21:$B$26,$D54)&gt;0,'Strand Placement'!$D$6,COUNTIF('Strand Placement'!$B$30:$B$35,$D54)&gt;0,'Strand Placement'!$D$7,COUNTIF('Strand Placement'!$B$39:$B$44,$D54)&gt;0,'Strand Placement'!$D$8,COUNTIF('Strand Placement'!$B$48:$B$53,$D54)&gt;0,'Strand Placement'!$D$9,COUNTIF('Strand Placement'!$B$57:$B$62,$D54)&gt;0,'Strand Placement'!$D$10,COUNTIF('Strand Placement'!$B$66:$B$71,$D54)&gt;0,'Strand Placement'!$D$11,COUNTIF('Strand Placement'!$B$75:$B$80,$D54)&gt;0,'Strand Placement'!$D$12,COUNTIF('Strand Placement'!$B$84:$B$89,$D54)&gt;0,'Strand Placement'!$D$13,"")))</f>
        <v/>
      </c>
      <c r="W54" s="332" t="str">
        <f t="array" ref="W54">IF($D54="","",IF($AB54&lt;&gt;"",$AB54,IF(COUNTIF('Student Work'!$C$24:$C$223,$D54)&gt;0,XLOOKUP($D54,'Student Work'!$C$24:$C$223,'Student Work'!$D$24:$D$223,""),LET(rowRole,XLOOKUP($D54,'Strand Placement'!$B$21:$B$89,'Strand Placement'!$D$21:$D$89,""),blockRole,SWITCH(TRUE,COUNTIF('Strand Placement'!$B$21:$B$26,$D54)&gt;0,'Strand Placement'!$E$6,COUNTIF('Strand Placement'!$B$30:$B$35,$D54)&gt;0,'Strand Placement'!$E$7,COUNTIF('Strand Placement'!$B$39:$B$44,$D54)&gt;0,'Strand Placement'!$E$8,COUNTIF('Strand Placement'!$B$48:$B$53,$D54)&gt;0,'Strand Placement'!$E$9,COUNTIF('Strand Placement'!$B$57:$B$62,$D54)&gt;0,'Strand Placement'!$E$10,COUNTIF('Strand Placement'!$B$66:$B$71,$D54)&gt;0,'Strand Placement'!$E$11,COUNTIF('Strand Placement'!$B$75:$B$80,$D54)&gt;0,'Strand Placement'!$E$12,COUNTIF('Strand Placement'!$B$84:$B$89,$D54)&gt;0,'Strand Placement'!$E$13,""),IF(rowRole&lt;&gt;"",rowRole,blockRole)))))</f>
        <v/>
      </c>
      <c r="X54" s="335"/>
      <c r="Y54" s="335"/>
      <c r="Z54" s="335"/>
      <c r="AA54" s="335"/>
      <c r="AB54" s="335"/>
      <c r="AC54" s="336" t="str">
        <f t="array" ref="AC54">IF($D54="","",IF(COUNTIF('Student Work'!$C$24:$C$223,$D54)&gt;0,XLOOKUP($D54,'Student Work'!$C$24:$C$223,'Student Work'!$E$24:$E$223,""),XLOOKUP($D54,'Strand Placement'!$B$21:$B$89,'Strand Placement'!$K$21:$K$89,"")))</f>
        <v/>
      </c>
      <c r="AD54" s="336" t="str">
        <f t="array" ref="AD54">IF($D54="","",IF(COUNTIF('Student Work'!$C$24:$C$223,$D54)&gt;0,XLOOKUP($D54,'Student Work'!$C$24:$C$223,'Student Work'!$H$24:$H$223,""),XLOOKUP($D54,'Strand Placement'!$B$21:$B$89,'Strand Placement'!$L$21:$L$89,"")))</f>
        <v/>
      </c>
      <c r="AE54" s="336"/>
      <c r="AF54" s="336"/>
      <c r="AG54" s="339" t="s">
        <v>282</v>
      </c>
      <c r="AH54" s="336"/>
    </row>
    <row r="55" ht="15.75" customHeight="1">
      <c r="A55" s="197" t="str">
        <f t="shared" si="1"/>
        <v/>
      </c>
      <c r="B55" s="246" t="str">
        <f t="array" ref="B55">IF($D55="","",IF($X55&lt;&gt;"",$X55,IF(COUNTIF('Student Work'!$C$24:$C$223,$D55)&gt;0,XLOOKUP($D55,'Student Work'!$C$24:$C$223,'Student Work'!$B$24:$B$223,""),SWITCH(TRUE,COUNTIF('Strand Placement'!$B$21:$B$26,$D55)&gt;0,'Strand Placement'!$A$19,COUNTIF('Strand Placement'!$B$30:$B$35,$D55)&gt;0,'Strand Placement'!$A$28,COUNTIF('Strand Placement'!$B$39:$B$44,$D55)&gt;0,'Strand Placement'!$A$37,COUNTIF('Strand Placement'!$B$48:$B$53,$D55)&gt;0,'Strand Placement'!$A$46,COUNTIF('Strand Placement'!$B$57:$B$62,$D55)&gt;0,'Strand Placement'!$A$55,COUNTIF('Strand Placement'!$B$66:$B$71,$D55)&gt;0,'Strand Placement'!$A$64,COUNTIF('Strand Placement'!$B$75:$B$80,$D55)&gt;0,'Strand Placement'!$A$73,COUNTIF('Strand Placement'!$B$84:$B$89,$D55)&gt;0,'Strand Placement'!$A$82,""))))</f>
        <v/>
      </c>
      <c r="C55" s="246" t="str">
        <f t="array" ref="C55">IF($D55="","",IF($Y55&lt;&gt;"",$Y55,IF(COUNTIF('Student Work'!$C$24:$C$223,$D55)&gt;0,XLOOKUP($D55,'Student Work'!$C$24:$C$223,'Student Work'!$A$24:$A$223,""),LET(rowWho,XLOOKUP($D55,'Strand Placement'!$B$21:$B$89,'Strand Placement'!$C$21:$C$89,""),blockWho,SWITCH(TRUE,COUNTIF('Strand Placement'!$B$21:$B$26,$D55)&gt;0,'Strand Placement'!$C$6,COUNTIF('Strand Placement'!$B$30:$B$35,$D55)&gt;0,'Strand Placement'!$C$7,COUNTIF('Strand Placement'!$B$39:$B$44,$D55)&gt;0,'Strand Placement'!$C$8,COUNTIF('Strand Placement'!$B$48:$B$53,$D55)&gt;0,'Strand Placement'!$C$9,COUNTIF('Strand Placement'!$B$57:$B$62,$D55)&gt;0,'Strand Placement'!$C$10,COUNTIF('Strand Placement'!$B$66:$B$71,$D55)&gt;0,'Strand Placement'!$C$11,COUNTIF('Strand Placement'!$B$75:$B$80,$D55)&gt;0,'Strand Placement'!$C$12,COUNTIF('Strand Placement'!$B$84:$B$89,$D55)&gt;0,'Strand Placement'!$C$13,""),IF(rowWho&lt;&gt;"",rowWho,blockWho)))))</f>
        <v/>
      </c>
      <c r="D55" s="197"/>
      <c r="E55" s="197"/>
      <c r="F55" s="197" t="s">
        <v>101</v>
      </c>
      <c r="G55" s="197"/>
      <c r="H55" s="197"/>
      <c r="I55" s="197"/>
      <c r="J55" s="323"/>
      <c r="K55" s="246" t="str">
        <f t="shared" si="2"/>
        <v/>
      </c>
      <c r="L55" s="197">
        <v>3.0</v>
      </c>
      <c r="M55" s="324"/>
      <c r="N55" s="8" t="str">
        <f t="shared" si="3"/>
        <v/>
      </c>
      <c r="O55" s="325" t="str">
        <f t="shared" si="4"/>
        <v/>
      </c>
      <c r="P55" s="326"/>
      <c r="Q55" s="327" t="str">
        <f t="shared" si="5"/>
        <v/>
      </c>
      <c r="R55" s="328" t="str">
        <f>IFERROR(__xludf.DUMMYFUNCTION("IF(A55&lt;&gt;""☑"","""",IF(OR(Q55="""",Q55=""Manual Start""),J55,IF(OR(Q55=""After Previous in Resource Stream"",Q55=""After Previous in Sequence""),IFERROR(LET(prevfinish,IF(P55&lt;&gt;"""",SUMIFS($S$10:S54,$O$10:O54,O55,$P$10:P54,P55-1),LOOKUP(2,1/($O$10:O54=O55),"&amp;"$S$10:S54)),IF(prevfinish=0,"""",MIN(FILTER('School Calendar'!$A$44:$A$408,('School Calendar'!$A$44:$A$408&gt;prevfinish)*('School Calendar'!$I$44:$I$408&gt;0))))),""""),J55)))"),"")</f>
        <v/>
      </c>
      <c r="S55" s="329" t="str">
        <f>IFERROR(__xludf.DUMMYFUNCTION("IF(OR(A55&lt;&gt;""☑"",R55="""",N55=""""),"""",IFERROR(LET(st,R55,n,N55,pace,K55,gap,MAX(1,L55),calDates,'School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5" s="330"/>
      <c r="U55" s="346" t="str">
        <f t="shared" si="6"/>
        <v/>
      </c>
      <c r="V55" s="332" t="str">
        <f>IF($D55="","",IF(COUNTIF('Student Work'!$C$24:$C$223,$D55)&gt;0,"Individual",SWITCH(TRUE,COUNTIF('Strand Placement'!$B$21:$B$26,$D55)&gt;0,'Strand Placement'!$D$6,COUNTIF('Strand Placement'!$B$30:$B$35,$D55)&gt;0,'Strand Placement'!$D$7,COUNTIF('Strand Placement'!$B$39:$B$44,$D55)&gt;0,'Strand Placement'!$D$8,COUNTIF('Strand Placement'!$B$48:$B$53,$D55)&gt;0,'Strand Placement'!$D$9,COUNTIF('Strand Placement'!$B$57:$B$62,$D55)&gt;0,'Strand Placement'!$D$10,COUNTIF('Strand Placement'!$B$66:$B$71,$D55)&gt;0,'Strand Placement'!$D$11,COUNTIF('Strand Placement'!$B$75:$B$80,$D55)&gt;0,'Strand Placement'!$D$12,COUNTIF('Strand Placement'!$B$84:$B$89,$D55)&gt;0,'Strand Placement'!$D$13,"")))</f>
        <v/>
      </c>
      <c r="W55" s="332" t="str">
        <f t="array" ref="W55">IF($D55="","",IF($AB55&lt;&gt;"",$AB55,IF(COUNTIF('Student Work'!$C$24:$C$223,$D55)&gt;0,XLOOKUP($D55,'Student Work'!$C$24:$C$223,'Student Work'!$D$24:$D$223,""),LET(rowRole,XLOOKUP($D55,'Strand Placement'!$B$21:$B$89,'Strand Placement'!$D$21:$D$89,""),blockRole,SWITCH(TRUE,COUNTIF('Strand Placement'!$B$21:$B$26,$D55)&gt;0,'Strand Placement'!$E$6,COUNTIF('Strand Placement'!$B$30:$B$35,$D55)&gt;0,'Strand Placement'!$E$7,COUNTIF('Strand Placement'!$B$39:$B$44,$D55)&gt;0,'Strand Placement'!$E$8,COUNTIF('Strand Placement'!$B$48:$B$53,$D55)&gt;0,'Strand Placement'!$E$9,COUNTIF('Strand Placement'!$B$57:$B$62,$D55)&gt;0,'Strand Placement'!$E$10,COUNTIF('Strand Placement'!$B$66:$B$71,$D55)&gt;0,'Strand Placement'!$E$11,COUNTIF('Strand Placement'!$B$75:$B$80,$D55)&gt;0,'Strand Placement'!$E$12,COUNTIF('Strand Placement'!$B$84:$B$89,$D55)&gt;0,'Strand Placement'!$E$13,""),IF(rowRole&lt;&gt;"",rowRole,blockRole)))))</f>
        <v/>
      </c>
      <c r="X55" s="335"/>
      <c r="Y55" s="335"/>
      <c r="Z55" s="335"/>
      <c r="AA55" s="335"/>
      <c r="AB55" s="335"/>
      <c r="AC55" s="336" t="str">
        <f t="array" ref="AC55">IF($D55="","",IF(COUNTIF('Student Work'!$C$24:$C$223,$D55)&gt;0,XLOOKUP($D55,'Student Work'!$C$24:$C$223,'Student Work'!$E$24:$E$223,""),XLOOKUP($D55,'Strand Placement'!$B$21:$B$89,'Strand Placement'!$K$21:$K$89,"")))</f>
        <v/>
      </c>
      <c r="AD55" s="336" t="str">
        <f t="array" ref="AD55">IF($D55="","",IF(COUNTIF('Student Work'!$C$24:$C$223,$D55)&gt;0,XLOOKUP($D55,'Student Work'!$C$24:$C$223,'Student Work'!$H$24:$H$223,""),XLOOKUP($D55,'Strand Placement'!$B$21:$B$89,'Strand Placement'!$L$21:$L$89,"")))</f>
        <v/>
      </c>
      <c r="AE55" s="336"/>
      <c r="AF55" s="336"/>
      <c r="AG55" s="339" t="s">
        <v>512</v>
      </c>
      <c r="AH55" s="336"/>
    </row>
    <row r="56" ht="15.75" customHeight="1">
      <c r="A56" s="197" t="str">
        <f t="shared" si="1"/>
        <v/>
      </c>
      <c r="B56" s="246" t="str">
        <f t="array" ref="B56">IF($D56="","",IF($X56&lt;&gt;"",$X56,IF(COUNTIF('Student Work'!$C$24:$C$223,$D56)&gt;0,XLOOKUP($D56,'Student Work'!$C$24:$C$223,'Student Work'!$B$24:$B$223,""),SWITCH(TRUE,COUNTIF('Strand Placement'!$B$21:$B$26,$D56)&gt;0,'Strand Placement'!$A$19,COUNTIF('Strand Placement'!$B$30:$B$35,$D56)&gt;0,'Strand Placement'!$A$28,COUNTIF('Strand Placement'!$B$39:$B$44,$D56)&gt;0,'Strand Placement'!$A$37,COUNTIF('Strand Placement'!$B$48:$B$53,$D56)&gt;0,'Strand Placement'!$A$46,COUNTIF('Strand Placement'!$B$57:$B$62,$D56)&gt;0,'Strand Placement'!$A$55,COUNTIF('Strand Placement'!$B$66:$B$71,$D56)&gt;0,'Strand Placement'!$A$64,COUNTIF('Strand Placement'!$B$75:$B$80,$D56)&gt;0,'Strand Placement'!$A$73,COUNTIF('Strand Placement'!$B$84:$B$89,$D56)&gt;0,'Strand Placement'!$A$82,""))))</f>
        <v/>
      </c>
      <c r="C56" s="246" t="str">
        <f t="array" ref="C56">IF($D56="","",IF($Y56&lt;&gt;"",$Y56,IF(COUNTIF('Student Work'!$C$24:$C$223,$D56)&gt;0,XLOOKUP($D56,'Student Work'!$C$24:$C$223,'Student Work'!$A$24:$A$223,""),LET(rowWho,XLOOKUP($D56,'Strand Placement'!$B$21:$B$89,'Strand Placement'!$C$21:$C$89,""),blockWho,SWITCH(TRUE,COUNTIF('Strand Placement'!$B$21:$B$26,$D56)&gt;0,'Strand Placement'!$C$6,COUNTIF('Strand Placement'!$B$30:$B$35,$D56)&gt;0,'Strand Placement'!$C$7,COUNTIF('Strand Placement'!$B$39:$B$44,$D56)&gt;0,'Strand Placement'!$C$8,COUNTIF('Strand Placement'!$B$48:$B$53,$D56)&gt;0,'Strand Placement'!$C$9,COUNTIF('Strand Placement'!$B$57:$B$62,$D56)&gt;0,'Strand Placement'!$C$10,COUNTIF('Strand Placement'!$B$66:$B$71,$D56)&gt;0,'Strand Placement'!$C$11,COUNTIF('Strand Placement'!$B$75:$B$80,$D56)&gt;0,'Strand Placement'!$C$12,COUNTIF('Strand Placement'!$B$84:$B$89,$D56)&gt;0,'Strand Placement'!$C$13,""),IF(rowWho&lt;&gt;"",rowWho,blockWho)))))</f>
        <v/>
      </c>
      <c r="D56" s="197"/>
      <c r="E56" s="197"/>
      <c r="F56" s="197" t="s">
        <v>101</v>
      </c>
      <c r="G56" s="197"/>
      <c r="H56" s="197"/>
      <c r="I56" s="197"/>
      <c r="J56" s="323"/>
      <c r="K56" s="246" t="str">
        <f t="shared" si="2"/>
        <v/>
      </c>
      <c r="L56" s="197">
        <v>3.0</v>
      </c>
      <c r="M56" s="324"/>
      <c r="N56" s="8" t="str">
        <f t="shared" si="3"/>
        <v/>
      </c>
      <c r="O56" s="325" t="str">
        <f t="shared" si="4"/>
        <v/>
      </c>
      <c r="P56" s="326"/>
      <c r="Q56" s="327" t="str">
        <f t="shared" si="5"/>
        <v/>
      </c>
      <c r="R56" s="328" t="str">
        <f>IFERROR(__xludf.DUMMYFUNCTION("IF(A56&lt;&gt;""☑"","""",IF(OR(Q56="""",Q56=""Manual Start""),J56,IF(OR(Q56=""After Previous in Resource Stream"",Q56=""After Previous in Sequence""),IFERROR(LET(prevfinish,IF(P56&lt;&gt;"""",SUMIFS($S$10:S55,$O$10:O55,O56,$P$10:P55,P56-1),LOOKUP(2,1/($O$10:O55=O56),"&amp;"$S$10:S55)),IF(prevfinish=0,"""",MIN(FILTER('School Calendar'!$A$44:$A$408,('School Calendar'!$A$44:$A$408&gt;prevfinish)*('School Calendar'!$I$44:$I$408&gt;0))))),""""),J56)))"),"")</f>
        <v/>
      </c>
      <c r="S56" s="329" t="str">
        <f>IFERROR(__xludf.DUMMYFUNCTION("IF(OR(A56&lt;&gt;""☑"",R56="""",N56=""""),"""",IFERROR(LET(st,R56,n,N56,pace,K56,gap,MAX(1,L56),calDates,'School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6" s="330"/>
      <c r="U56" s="346" t="str">
        <f t="shared" si="6"/>
        <v/>
      </c>
      <c r="V56" s="332" t="str">
        <f>IF($D56="","",IF(COUNTIF('Student Work'!$C$24:$C$223,$D56)&gt;0,"Individual",SWITCH(TRUE,COUNTIF('Strand Placement'!$B$21:$B$26,$D56)&gt;0,'Strand Placement'!$D$6,COUNTIF('Strand Placement'!$B$30:$B$35,$D56)&gt;0,'Strand Placement'!$D$7,COUNTIF('Strand Placement'!$B$39:$B$44,$D56)&gt;0,'Strand Placement'!$D$8,COUNTIF('Strand Placement'!$B$48:$B$53,$D56)&gt;0,'Strand Placement'!$D$9,COUNTIF('Strand Placement'!$B$57:$B$62,$D56)&gt;0,'Strand Placement'!$D$10,COUNTIF('Strand Placement'!$B$66:$B$71,$D56)&gt;0,'Strand Placement'!$D$11,COUNTIF('Strand Placement'!$B$75:$B$80,$D56)&gt;0,'Strand Placement'!$D$12,COUNTIF('Strand Placement'!$B$84:$B$89,$D56)&gt;0,'Strand Placement'!$D$13,"")))</f>
        <v/>
      </c>
      <c r="W56" s="332" t="str">
        <f t="array" ref="W56">IF($D56="","",IF($AB56&lt;&gt;"",$AB56,IF(COUNTIF('Student Work'!$C$24:$C$223,$D56)&gt;0,XLOOKUP($D56,'Student Work'!$C$24:$C$223,'Student Work'!$D$24:$D$223,""),LET(rowRole,XLOOKUP($D56,'Strand Placement'!$B$21:$B$89,'Strand Placement'!$D$21:$D$89,""),blockRole,SWITCH(TRUE,COUNTIF('Strand Placement'!$B$21:$B$26,$D56)&gt;0,'Strand Placement'!$E$6,COUNTIF('Strand Placement'!$B$30:$B$35,$D56)&gt;0,'Strand Placement'!$E$7,COUNTIF('Strand Placement'!$B$39:$B$44,$D56)&gt;0,'Strand Placement'!$E$8,COUNTIF('Strand Placement'!$B$48:$B$53,$D56)&gt;0,'Strand Placement'!$E$9,COUNTIF('Strand Placement'!$B$57:$B$62,$D56)&gt;0,'Strand Placement'!$E$10,COUNTIF('Strand Placement'!$B$66:$B$71,$D56)&gt;0,'Strand Placement'!$E$11,COUNTIF('Strand Placement'!$B$75:$B$80,$D56)&gt;0,'Strand Placement'!$E$12,COUNTIF('Strand Placement'!$B$84:$B$89,$D56)&gt;0,'Strand Placement'!$E$13,""),IF(rowRole&lt;&gt;"",rowRole,blockRole)))))</f>
        <v/>
      </c>
      <c r="X56" s="335"/>
      <c r="Y56" s="335"/>
      <c r="Z56" s="335"/>
      <c r="AA56" s="335"/>
      <c r="AB56" s="335"/>
      <c r="AC56" s="336" t="str">
        <f t="array" ref="AC56">IF($D56="","",IF(COUNTIF('Student Work'!$C$24:$C$223,$D56)&gt;0,XLOOKUP($D56,'Student Work'!$C$24:$C$223,'Student Work'!$E$24:$E$223,""),XLOOKUP($D56,'Strand Placement'!$B$21:$B$89,'Strand Placement'!$K$21:$K$89,"")))</f>
        <v/>
      </c>
      <c r="AD56" s="336" t="str">
        <f t="array" ref="AD56">IF($D56="","",IF(COUNTIF('Student Work'!$C$24:$C$223,$D56)&gt;0,XLOOKUP($D56,'Student Work'!$C$24:$C$223,'Student Work'!$H$24:$H$223,""),XLOOKUP($D56,'Strand Placement'!$B$21:$B$89,'Strand Placement'!$L$21:$L$89,"")))</f>
        <v/>
      </c>
      <c r="AE56" s="336"/>
      <c r="AF56" s="336"/>
      <c r="AG56" s="339" t="s">
        <v>533</v>
      </c>
      <c r="AH56" s="336"/>
    </row>
    <row r="57" ht="15.75" customHeight="1">
      <c r="A57" s="197" t="str">
        <f t="shared" si="1"/>
        <v/>
      </c>
      <c r="B57" s="246" t="str">
        <f t="array" ref="B57">IF($D57="","",IF($X57&lt;&gt;"",$X57,IF(COUNTIF('Student Work'!$C$24:$C$223,$D57)&gt;0,XLOOKUP($D57,'Student Work'!$C$24:$C$223,'Student Work'!$B$24:$B$223,""),SWITCH(TRUE,COUNTIF('Strand Placement'!$B$21:$B$26,$D57)&gt;0,'Strand Placement'!$A$19,COUNTIF('Strand Placement'!$B$30:$B$35,$D57)&gt;0,'Strand Placement'!$A$28,COUNTIF('Strand Placement'!$B$39:$B$44,$D57)&gt;0,'Strand Placement'!$A$37,COUNTIF('Strand Placement'!$B$48:$B$53,$D57)&gt;0,'Strand Placement'!$A$46,COUNTIF('Strand Placement'!$B$57:$B$62,$D57)&gt;0,'Strand Placement'!$A$55,COUNTIF('Strand Placement'!$B$66:$B$71,$D57)&gt;0,'Strand Placement'!$A$64,COUNTIF('Strand Placement'!$B$75:$B$80,$D57)&gt;0,'Strand Placement'!$A$73,COUNTIF('Strand Placement'!$B$84:$B$89,$D57)&gt;0,'Strand Placement'!$A$82,""))))</f>
        <v/>
      </c>
      <c r="C57" s="246" t="str">
        <f t="array" ref="C57">IF($D57="","",IF($Y57&lt;&gt;"",$Y57,IF(COUNTIF('Student Work'!$C$24:$C$223,$D57)&gt;0,XLOOKUP($D57,'Student Work'!$C$24:$C$223,'Student Work'!$A$24:$A$223,""),LET(rowWho,XLOOKUP($D57,'Strand Placement'!$B$21:$B$89,'Strand Placement'!$C$21:$C$89,""),blockWho,SWITCH(TRUE,COUNTIF('Strand Placement'!$B$21:$B$26,$D57)&gt;0,'Strand Placement'!$C$6,COUNTIF('Strand Placement'!$B$30:$B$35,$D57)&gt;0,'Strand Placement'!$C$7,COUNTIF('Strand Placement'!$B$39:$B$44,$D57)&gt;0,'Strand Placement'!$C$8,COUNTIF('Strand Placement'!$B$48:$B$53,$D57)&gt;0,'Strand Placement'!$C$9,COUNTIF('Strand Placement'!$B$57:$B$62,$D57)&gt;0,'Strand Placement'!$C$10,COUNTIF('Strand Placement'!$B$66:$B$71,$D57)&gt;0,'Strand Placement'!$C$11,COUNTIF('Strand Placement'!$B$75:$B$80,$D57)&gt;0,'Strand Placement'!$C$12,COUNTIF('Strand Placement'!$B$84:$B$89,$D57)&gt;0,'Strand Placement'!$C$13,""),IF(rowWho&lt;&gt;"",rowWho,blockWho)))))</f>
        <v/>
      </c>
      <c r="D57" s="197"/>
      <c r="E57" s="197"/>
      <c r="F57" s="197" t="s">
        <v>101</v>
      </c>
      <c r="G57" s="197"/>
      <c r="H57" s="197"/>
      <c r="I57" s="197"/>
      <c r="J57" s="323"/>
      <c r="K57" s="246" t="str">
        <f t="shared" si="2"/>
        <v/>
      </c>
      <c r="L57" s="197">
        <v>3.0</v>
      </c>
      <c r="M57" s="324"/>
      <c r="N57" s="8" t="str">
        <f t="shared" si="3"/>
        <v/>
      </c>
      <c r="O57" s="325" t="str">
        <f t="shared" si="4"/>
        <v/>
      </c>
      <c r="P57" s="326"/>
      <c r="Q57" s="327" t="str">
        <f t="shared" si="5"/>
        <v/>
      </c>
      <c r="R57" s="328" t="str">
        <f>IFERROR(__xludf.DUMMYFUNCTION("IF(A57&lt;&gt;""☑"","""",IF(OR(Q57="""",Q57=""Manual Start""),J57,IF(OR(Q57=""After Previous in Resource Stream"",Q57=""After Previous in Sequence""),IFERROR(LET(prevfinish,IF(P57&lt;&gt;"""",SUMIFS($S$10:S56,$O$10:O56,O57,$P$10:P56,P57-1),LOOKUP(2,1/($O$10:O56=O57),"&amp;"$S$10:S56)),IF(prevfinish=0,"""",MIN(FILTER('School Calendar'!$A$44:$A$408,('School Calendar'!$A$44:$A$408&gt;prevfinish)*('School Calendar'!$I$44:$I$408&gt;0))))),""""),J57)))"),"")</f>
        <v/>
      </c>
      <c r="S57" s="329" t="str">
        <f>IFERROR(__xludf.DUMMYFUNCTION("IF(OR(A57&lt;&gt;""☑"",R57="""",N57=""""),"""",IFERROR(LET(st,R57,n,N57,pace,K57,gap,MAX(1,L57),calDates,'School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7" s="330"/>
      <c r="U57" s="346" t="str">
        <f t="shared" si="6"/>
        <v/>
      </c>
      <c r="V57" s="332" t="str">
        <f>IF($D57="","",IF(COUNTIF('Student Work'!$C$24:$C$223,$D57)&gt;0,"Individual",SWITCH(TRUE,COUNTIF('Strand Placement'!$B$21:$B$26,$D57)&gt;0,'Strand Placement'!$D$6,COUNTIF('Strand Placement'!$B$30:$B$35,$D57)&gt;0,'Strand Placement'!$D$7,COUNTIF('Strand Placement'!$B$39:$B$44,$D57)&gt;0,'Strand Placement'!$D$8,COUNTIF('Strand Placement'!$B$48:$B$53,$D57)&gt;0,'Strand Placement'!$D$9,COUNTIF('Strand Placement'!$B$57:$B$62,$D57)&gt;0,'Strand Placement'!$D$10,COUNTIF('Strand Placement'!$B$66:$B$71,$D57)&gt;0,'Strand Placement'!$D$11,COUNTIF('Strand Placement'!$B$75:$B$80,$D57)&gt;0,'Strand Placement'!$D$12,COUNTIF('Strand Placement'!$B$84:$B$89,$D57)&gt;0,'Strand Placement'!$D$13,"")))</f>
        <v/>
      </c>
      <c r="W57" s="332" t="str">
        <f t="array" ref="W57">IF($D57="","",IF($AB57&lt;&gt;"",$AB57,IF(COUNTIF('Student Work'!$C$24:$C$223,$D57)&gt;0,XLOOKUP($D57,'Student Work'!$C$24:$C$223,'Student Work'!$D$24:$D$223,""),LET(rowRole,XLOOKUP($D57,'Strand Placement'!$B$21:$B$89,'Strand Placement'!$D$21:$D$89,""),blockRole,SWITCH(TRUE,COUNTIF('Strand Placement'!$B$21:$B$26,$D57)&gt;0,'Strand Placement'!$E$6,COUNTIF('Strand Placement'!$B$30:$B$35,$D57)&gt;0,'Strand Placement'!$E$7,COUNTIF('Strand Placement'!$B$39:$B$44,$D57)&gt;0,'Strand Placement'!$E$8,COUNTIF('Strand Placement'!$B$48:$B$53,$D57)&gt;0,'Strand Placement'!$E$9,COUNTIF('Strand Placement'!$B$57:$B$62,$D57)&gt;0,'Strand Placement'!$E$10,COUNTIF('Strand Placement'!$B$66:$B$71,$D57)&gt;0,'Strand Placement'!$E$11,COUNTIF('Strand Placement'!$B$75:$B$80,$D57)&gt;0,'Strand Placement'!$E$12,COUNTIF('Strand Placement'!$B$84:$B$89,$D57)&gt;0,'Strand Placement'!$E$13,""),IF(rowRole&lt;&gt;"",rowRole,blockRole)))))</f>
        <v/>
      </c>
      <c r="X57" s="335"/>
      <c r="Y57" s="335"/>
      <c r="Z57" s="335"/>
      <c r="AA57" s="335"/>
      <c r="AB57" s="335"/>
      <c r="AC57" s="336" t="str">
        <f t="array" ref="AC57">IF($D57="","",IF(COUNTIF('Student Work'!$C$24:$C$223,$D57)&gt;0,XLOOKUP($D57,'Student Work'!$C$24:$C$223,'Student Work'!$E$24:$E$223,""),XLOOKUP($D57,'Strand Placement'!$B$21:$B$89,'Strand Placement'!$K$21:$K$89,"")))</f>
        <v/>
      </c>
      <c r="AD57" s="336" t="str">
        <f t="array" ref="AD57">IF($D57="","",IF(COUNTIF('Student Work'!$C$24:$C$223,$D57)&gt;0,XLOOKUP($D57,'Student Work'!$C$24:$C$223,'Student Work'!$H$24:$H$223,""),XLOOKUP($D57,'Strand Placement'!$B$21:$B$89,'Strand Placement'!$L$21:$L$89,"")))</f>
        <v/>
      </c>
      <c r="AE57" s="336"/>
      <c r="AF57" s="336"/>
      <c r="AG57" s="339" t="s">
        <v>402</v>
      </c>
      <c r="AH57" s="336"/>
    </row>
    <row r="58" ht="15.75" customHeight="1">
      <c r="A58" s="197" t="str">
        <f t="shared" si="1"/>
        <v/>
      </c>
      <c r="B58" s="246" t="str">
        <f t="array" ref="B58">IF($D58="","",IF($X58&lt;&gt;"",$X58,IF(COUNTIF('Student Work'!$C$24:$C$223,$D58)&gt;0,XLOOKUP($D58,'Student Work'!$C$24:$C$223,'Student Work'!$B$24:$B$223,""),SWITCH(TRUE,COUNTIF('Strand Placement'!$B$21:$B$26,$D58)&gt;0,'Strand Placement'!$A$19,COUNTIF('Strand Placement'!$B$30:$B$35,$D58)&gt;0,'Strand Placement'!$A$28,COUNTIF('Strand Placement'!$B$39:$B$44,$D58)&gt;0,'Strand Placement'!$A$37,COUNTIF('Strand Placement'!$B$48:$B$53,$D58)&gt;0,'Strand Placement'!$A$46,COUNTIF('Strand Placement'!$B$57:$B$62,$D58)&gt;0,'Strand Placement'!$A$55,COUNTIF('Strand Placement'!$B$66:$B$71,$D58)&gt;0,'Strand Placement'!$A$64,COUNTIF('Strand Placement'!$B$75:$B$80,$D58)&gt;0,'Strand Placement'!$A$73,COUNTIF('Strand Placement'!$B$84:$B$89,$D58)&gt;0,'Strand Placement'!$A$82,""))))</f>
        <v/>
      </c>
      <c r="C58" s="246" t="str">
        <f t="array" ref="C58">IF($D58="","",IF($Y58&lt;&gt;"",$Y58,IF(COUNTIF('Student Work'!$C$24:$C$223,$D58)&gt;0,XLOOKUP($D58,'Student Work'!$C$24:$C$223,'Student Work'!$A$24:$A$223,""),LET(rowWho,XLOOKUP($D58,'Strand Placement'!$B$21:$B$89,'Strand Placement'!$C$21:$C$89,""),blockWho,SWITCH(TRUE,COUNTIF('Strand Placement'!$B$21:$B$26,$D58)&gt;0,'Strand Placement'!$C$6,COUNTIF('Strand Placement'!$B$30:$B$35,$D58)&gt;0,'Strand Placement'!$C$7,COUNTIF('Strand Placement'!$B$39:$B$44,$D58)&gt;0,'Strand Placement'!$C$8,COUNTIF('Strand Placement'!$B$48:$B$53,$D58)&gt;0,'Strand Placement'!$C$9,COUNTIF('Strand Placement'!$B$57:$B$62,$D58)&gt;0,'Strand Placement'!$C$10,COUNTIF('Strand Placement'!$B$66:$B$71,$D58)&gt;0,'Strand Placement'!$C$11,COUNTIF('Strand Placement'!$B$75:$B$80,$D58)&gt;0,'Strand Placement'!$C$12,COUNTIF('Strand Placement'!$B$84:$B$89,$D58)&gt;0,'Strand Placement'!$C$13,""),IF(rowWho&lt;&gt;"",rowWho,blockWho)))))</f>
        <v/>
      </c>
      <c r="D58" s="197"/>
      <c r="E58" s="197"/>
      <c r="F58" s="197" t="s">
        <v>101</v>
      </c>
      <c r="G58" s="197"/>
      <c r="H58" s="197"/>
      <c r="I58" s="197"/>
      <c r="J58" s="323"/>
      <c r="K58" s="246" t="str">
        <f t="shared" si="2"/>
        <v/>
      </c>
      <c r="L58" s="197">
        <v>3.0</v>
      </c>
      <c r="M58" s="324"/>
      <c r="N58" s="8" t="str">
        <f t="shared" si="3"/>
        <v/>
      </c>
      <c r="O58" s="325" t="str">
        <f t="shared" si="4"/>
        <v/>
      </c>
      <c r="P58" s="326"/>
      <c r="Q58" s="327" t="str">
        <f t="shared" si="5"/>
        <v/>
      </c>
      <c r="R58" s="328" t="str">
        <f>IFERROR(__xludf.DUMMYFUNCTION("IF(A58&lt;&gt;""☑"","""",IF(OR(Q58="""",Q58=""Manual Start""),J58,IF(OR(Q58=""After Previous in Resource Stream"",Q58=""After Previous in Sequence""),IFERROR(LET(prevfinish,IF(P58&lt;&gt;"""",SUMIFS($S$10:S57,$O$10:O57,O58,$P$10:P57,P58-1),LOOKUP(2,1/($O$10:O57=O58),"&amp;"$S$10:S57)),IF(prevfinish=0,"""",MIN(FILTER('School Calendar'!$A$44:$A$408,('School Calendar'!$A$44:$A$408&gt;prevfinish)*('School Calendar'!$I$44:$I$408&gt;0))))),""""),J58)))"),"")</f>
        <v/>
      </c>
      <c r="S58" s="329" t="str">
        <f>IFERROR(__xludf.DUMMYFUNCTION("IF(OR(A58&lt;&gt;""☑"",R58="""",N58=""""),"""",IFERROR(LET(st,R58,n,N58,pace,K58,gap,MAX(1,L58),calDates,'School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8" s="330"/>
      <c r="U58" s="346" t="str">
        <f t="shared" si="6"/>
        <v/>
      </c>
      <c r="V58" s="332" t="str">
        <f>IF($D58="","",IF(COUNTIF('Student Work'!$C$24:$C$223,$D58)&gt;0,"Individual",SWITCH(TRUE,COUNTIF('Strand Placement'!$B$21:$B$26,$D58)&gt;0,'Strand Placement'!$D$6,COUNTIF('Strand Placement'!$B$30:$B$35,$D58)&gt;0,'Strand Placement'!$D$7,COUNTIF('Strand Placement'!$B$39:$B$44,$D58)&gt;0,'Strand Placement'!$D$8,COUNTIF('Strand Placement'!$B$48:$B$53,$D58)&gt;0,'Strand Placement'!$D$9,COUNTIF('Strand Placement'!$B$57:$B$62,$D58)&gt;0,'Strand Placement'!$D$10,COUNTIF('Strand Placement'!$B$66:$B$71,$D58)&gt;0,'Strand Placement'!$D$11,COUNTIF('Strand Placement'!$B$75:$B$80,$D58)&gt;0,'Strand Placement'!$D$12,COUNTIF('Strand Placement'!$B$84:$B$89,$D58)&gt;0,'Strand Placement'!$D$13,"")))</f>
        <v/>
      </c>
      <c r="W58" s="332" t="str">
        <f t="array" ref="W58">IF($D58="","",IF($AB58&lt;&gt;"",$AB58,IF(COUNTIF('Student Work'!$C$24:$C$223,$D58)&gt;0,XLOOKUP($D58,'Student Work'!$C$24:$C$223,'Student Work'!$D$24:$D$223,""),LET(rowRole,XLOOKUP($D58,'Strand Placement'!$B$21:$B$89,'Strand Placement'!$D$21:$D$89,""),blockRole,SWITCH(TRUE,COUNTIF('Strand Placement'!$B$21:$B$26,$D58)&gt;0,'Strand Placement'!$E$6,COUNTIF('Strand Placement'!$B$30:$B$35,$D58)&gt;0,'Strand Placement'!$E$7,COUNTIF('Strand Placement'!$B$39:$B$44,$D58)&gt;0,'Strand Placement'!$E$8,COUNTIF('Strand Placement'!$B$48:$B$53,$D58)&gt;0,'Strand Placement'!$E$9,COUNTIF('Strand Placement'!$B$57:$B$62,$D58)&gt;0,'Strand Placement'!$E$10,COUNTIF('Strand Placement'!$B$66:$B$71,$D58)&gt;0,'Strand Placement'!$E$11,COUNTIF('Strand Placement'!$B$75:$B$80,$D58)&gt;0,'Strand Placement'!$E$12,COUNTIF('Strand Placement'!$B$84:$B$89,$D58)&gt;0,'Strand Placement'!$E$13,""),IF(rowRole&lt;&gt;"",rowRole,blockRole)))))</f>
        <v/>
      </c>
      <c r="X58" s="335"/>
      <c r="Y58" s="335"/>
      <c r="Z58" s="335"/>
      <c r="AA58" s="335"/>
      <c r="AB58" s="335"/>
      <c r="AC58" s="336" t="str">
        <f t="array" ref="AC58">IF($D58="","",IF(COUNTIF('Student Work'!$C$24:$C$223,$D58)&gt;0,XLOOKUP($D58,'Student Work'!$C$24:$C$223,'Student Work'!$E$24:$E$223,""),XLOOKUP($D58,'Strand Placement'!$B$21:$B$89,'Strand Placement'!$K$21:$K$89,"")))</f>
        <v/>
      </c>
      <c r="AD58" s="336" t="str">
        <f t="array" ref="AD58">IF($D58="","",IF(COUNTIF('Student Work'!$C$24:$C$223,$D58)&gt;0,XLOOKUP($D58,'Student Work'!$C$24:$C$223,'Student Work'!$H$24:$H$223,""),XLOOKUP($D58,'Strand Placement'!$B$21:$B$89,'Strand Placement'!$L$21:$L$89,"")))</f>
        <v/>
      </c>
      <c r="AE58" s="336"/>
      <c r="AF58" s="336"/>
      <c r="AG58" s="339" t="s">
        <v>534</v>
      </c>
      <c r="AH58" s="336"/>
    </row>
    <row r="59" ht="15.75" customHeight="1">
      <c r="A59" s="197" t="str">
        <f t="shared" si="1"/>
        <v/>
      </c>
      <c r="B59" s="246" t="str">
        <f t="array" ref="B59">IF($D59="","",IF($X59&lt;&gt;"",$X59,IF(COUNTIF('Student Work'!$C$24:$C$223,$D59)&gt;0,XLOOKUP($D59,'Student Work'!$C$24:$C$223,'Student Work'!$B$24:$B$223,""),SWITCH(TRUE,COUNTIF('Strand Placement'!$B$21:$B$26,$D59)&gt;0,'Strand Placement'!$A$19,COUNTIF('Strand Placement'!$B$30:$B$35,$D59)&gt;0,'Strand Placement'!$A$28,COUNTIF('Strand Placement'!$B$39:$B$44,$D59)&gt;0,'Strand Placement'!$A$37,COUNTIF('Strand Placement'!$B$48:$B$53,$D59)&gt;0,'Strand Placement'!$A$46,COUNTIF('Strand Placement'!$B$57:$B$62,$D59)&gt;0,'Strand Placement'!$A$55,COUNTIF('Strand Placement'!$B$66:$B$71,$D59)&gt;0,'Strand Placement'!$A$64,COUNTIF('Strand Placement'!$B$75:$B$80,$D59)&gt;0,'Strand Placement'!$A$73,COUNTIF('Strand Placement'!$B$84:$B$89,$D59)&gt;0,'Strand Placement'!$A$82,""))))</f>
        <v/>
      </c>
      <c r="C59" s="246" t="str">
        <f t="array" ref="C59">IF($D59="","",IF($Y59&lt;&gt;"",$Y59,IF(COUNTIF('Student Work'!$C$24:$C$223,$D59)&gt;0,XLOOKUP($D59,'Student Work'!$C$24:$C$223,'Student Work'!$A$24:$A$223,""),LET(rowWho,XLOOKUP($D59,'Strand Placement'!$B$21:$B$89,'Strand Placement'!$C$21:$C$89,""),blockWho,SWITCH(TRUE,COUNTIF('Strand Placement'!$B$21:$B$26,$D59)&gt;0,'Strand Placement'!$C$6,COUNTIF('Strand Placement'!$B$30:$B$35,$D59)&gt;0,'Strand Placement'!$C$7,COUNTIF('Strand Placement'!$B$39:$B$44,$D59)&gt;0,'Strand Placement'!$C$8,COUNTIF('Strand Placement'!$B$48:$B$53,$D59)&gt;0,'Strand Placement'!$C$9,COUNTIF('Strand Placement'!$B$57:$B$62,$D59)&gt;0,'Strand Placement'!$C$10,COUNTIF('Strand Placement'!$B$66:$B$71,$D59)&gt;0,'Strand Placement'!$C$11,COUNTIF('Strand Placement'!$B$75:$B$80,$D59)&gt;0,'Strand Placement'!$C$12,COUNTIF('Strand Placement'!$B$84:$B$89,$D59)&gt;0,'Strand Placement'!$C$13,""),IF(rowWho&lt;&gt;"",rowWho,blockWho)))))</f>
        <v/>
      </c>
      <c r="D59" s="197"/>
      <c r="E59" s="197"/>
      <c r="F59" s="197" t="s">
        <v>101</v>
      </c>
      <c r="G59" s="197"/>
      <c r="H59" s="197"/>
      <c r="I59" s="197"/>
      <c r="J59" s="323"/>
      <c r="K59" s="246" t="str">
        <f t="shared" si="2"/>
        <v/>
      </c>
      <c r="L59" s="197">
        <v>3.0</v>
      </c>
      <c r="M59" s="324"/>
      <c r="N59" s="8" t="str">
        <f t="shared" si="3"/>
        <v/>
      </c>
      <c r="O59" s="325" t="str">
        <f t="shared" si="4"/>
        <v/>
      </c>
      <c r="P59" s="326"/>
      <c r="Q59" s="327" t="str">
        <f t="shared" si="5"/>
        <v/>
      </c>
      <c r="R59" s="328" t="str">
        <f>IFERROR(__xludf.DUMMYFUNCTION("IF(A59&lt;&gt;""☑"","""",IF(OR(Q59="""",Q59=""Manual Start""),J59,IF(OR(Q59=""After Previous in Resource Stream"",Q59=""After Previous in Sequence""),IFERROR(LET(prevfinish,IF(P59&lt;&gt;"""",SUMIFS($S$10:S58,$O$10:O58,O59,$P$10:P58,P59-1),LOOKUP(2,1/($O$10:O58=O59),"&amp;"$S$10:S58)),IF(prevfinish=0,"""",MIN(FILTER('School Calendar'!$A$44:$A$408,('School Calendar'!$A$44:$A$408&gt;prevfinish)*('School Calendar'!$I$44:$I$408&gt;0))))),""""),J59)))"),"")</f>
        <v/>
      </c>
      <c r="S59" s="329" t="str">
        <f>IFERROR(__xludf.DUMMYFUNCTION("IF(OR(A59&lt;&gt;""☑"",R59="""",N59=""""),"""",IFERROR(LET(st,R59,n,N59,pace,K59,gap,MAX(1,L59),calDates,'School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59" s="330"/>
      <c r="U59" s="346" t="str">
        <f t="shared" si="6"/>
        <v/>
      </c>
      <c r="V59" s="332" t="str">
        <f>IF($D59="","",IF(COUNTIF('Student Work'!$C$24:$C$223,$D59)&gt;0,"Individual",SWITCH(TRUE,COUNTIF('Strand Placement'!$B$21:$B$26,$D59)&gt;0,'Strand Placement'!$D$6,COUNTIF('Strand Placement'!$B$30:$B$35,$D59)&gt;0,'Strand Placement'!$D$7,COUNTIF('Strand Placement'!$B$39:$B$44,$D59)&gt;0,'Strand Placement'!$D$8,COUNTIF('Strand Placement'!$B$48:$B$53,$D59)&gt;0,'Strand Placement'!$D$9,COUNTIF('Strand Placement'!$B$57:$B$62,$D59)&gt;0,'Strand Placement'!$D$10,COUNTIF('Strand Placement'!$B$66:$B$71,$D59)&gt;0,'Strand Placement'!$D$11,COUNTIF('Strand Placement'!$B$75:$B$80,$D59)&gt;0,'Strand Placement'!$D$12,COUNTIF('Strand Placement'!$B$84:$B$89,$D59)&gt;0,'Strand Placement'!$D$13,"")))</f>
        <v/>
      </c>
      <c r="W59" s="332" t="str">
        <f t="array" ref="W59">IF($D59="","",IF($AB59&lt;&gt;"",$AB59,IF(COUNTIF('Student Work'!$C$24:$C$223,$D59)&gt;0,XLOOKUP($D59,'Student Work'!$C$24:$C$223,'Student Work'!$D$24:$D$223,""),LET(rowRole,XLOOKUP($D59,'Strand Placement'!$B$21:$B$89,'Strand Placement'!$D$21:$D$89,""),blockRole,SWITCH(TRUE,COUNTIF('Strand Placement'!$B$21:$B$26,$D59)&gt;0,'Strand Placement'!$E$6,COUNTIF('Strand Placement'!$B$30:$B$35,$D59)&gt;0,'Strand Placement'!$E$7,COUNTIF('Strand Placement'!$B$39:$B$44,$D59)&gt;0,'Strand Placement'!$E$8,COUNTIF('Strand Placement'!$B$48:$B$53,$D59)&gt;0,'Strand Placement'!$E$9,COUNTIF('Strand Placement'!$B$57:$B$62,$D59)&gt;0,'Strand Placement'!$E$10,COUNTIF('Strand Placement'!$B$66:$B$71,$D59)&gt;0,'Strand Placement'!$E$11,COUNTIF('Strand Placement'!$B$75:$B$80,$D59)&gt;0,'Strand Placement'!$E$12,COUNTIF('Strand Placement'!$B$84:$B$89,$D59)&gt;0,'Strand Placement'!$E$13,""),IF(rowRole&lt;&gt;"",rowRole,blockRole)))))</f>
        <v/>
      </c>
      <c r="X59" s="335"/>
      <c r="Y59" s="335"/>
      <c r="Z59" s="335"/>
      <c r="AA59" s="335"/>
      <c r="AB59" s="335"/>
      <c r="AC59" s="336" t="str">
        <f t="array" ref="AC59">IF($D59="","",IF(COUNTIF('Student Work'!$C$24:$C$223,$D59)&gt;0,XLOOKUP($D59,'Student Work'!$C$24:$C$223,'Student Work'!$E$24:$E$223,""),XLOOKUP($D59,'Strand Placement'!$B$21:$B$89,'Strand Placement'!$K$21:$K$89,"")))</f>
        <v/>
      </c>
      <c r="AD59" s="336" t="str">
        <f t="array" ref="AD59">IF($D59="","",IF(COUNTIF('Student Work'!$C$24:$C$223,$D59)&gt;0,XLOOKUP($D59,'Student Work'!$C$24:$C$223,'Student Work'!$H$24:$H$223,""),XLOOKUP($D59,'Strand Placement'!$B$21:$B$89,'Strand Placement'!$L$21:$L$89,"")))</f>
        <v/>
      </c>
      <c r="AE59" s="336"/>
      <c r="AF59" s="336"/>
      <c r="AG59" s="339" t="s">
        <v>537</v>
      </c>
      <c r="AH59" s="336"/>
    </row>
    <row r="60" ht="15.75" customHeight="1">
      <c r="A60" s="197" t="str">
        <f t="shared" si="1"/>
        <v/>
      </c>
      <c r="B60" s="246" t="str">
        <f t="array" ref="B60">IF($D60="","",IF($X60&lt;&gt;"",$X60,IF(COUNTIF('Student Work'!$C$24:$C$223,$D60)&gt;0,XLOOKUP($D60,'Student Work'!$C$24:$C$223,'Student Work'!$B$24:$B$223,""),SWITCH(TRUE,COUNTIF('Strand Placement'!$B$21:$B$26,$D60)&gt;0,'Strand Placement'!$A$19,COUNTIF('Strand Placement'!$B$30:$B$35,$D60)&gt;0,'Strand Placement'!$A$28,COUNTIF('Strand Placement'!$B$39:$B$44,$D60)&gt;0,'Strand Placement'!$A$37,COUNTIF('Strand Placement'!$B$48:$B$53,$D60)&gt;0,'Strand Placement'!$A$46,COUNTIF('Strand Placement'!$B$57:$B$62,$D60)&gt;0,'Strand Placement'!$A$55,COUNTIF('Strand Placement'!$B$66:$B$71,$D60)&gt;0,'Strand Placement'!$A$64,COUNTIF('Strand Placement'!$B$75:$B$80,$D60)&gt;0,'Strand Placement'!$A$73,COUNTIF('Strand Placement'!$B$84:$B$89,$D60)&gt;0,'Strand Placement'!$A$82,""))))</f>
        <v/>
      </c>
      <c r="C60" s="246" t="str">
        <f t="array" ref="C60">IF($D60="","",IF($Y60&lt;&gt;"",$Y60,IF(COUNTIF('Student Work'!$C$24:$C$223,$D60)&gt;0,XLOOKUP($D60,'Student Work'!$C$24:$C$223,'Student Work'!$A$24:$A$223,""),LET(rowWho,XLOOKUP($D60,'Strand Placement'!$B$21:$B$89,'Strand Placement'!$C$21:$C$89,""),blockWho,SWITCH(TRUE,COUNTIF('Strand Placement'!$B$21:$B$26,$D60)&gt;0,'Strand Placement'!$C$6,COUNTIF('Strand Placement'!$B$30:$B$35,$D60)&gt;0,'Strand Placement'!$C$7,COUNTIF('Strand Placement'!$B$39:$B$44,$D60)&gt;0,'Strand Placement'!$C$8,COUNTIF('Strand Placement'!$B$48:$B$53,$D60)&gt;0,'Strand Placement'!$C$9,COUNTIF('Strand Placement'!$B$57:$B$62,$D60)&gt;0,'Strand Placement'!$C$10,COUNTIF('Strand Placement'!$B$66:$B$71,$D60)&gt;0,'Strand Placement'!$C$11,COUNTIF('Strand Placement'!$B$75:$B$80,$D60)&gt;0,'Strand Placement'!$C$12,COUNTIF('Strand Placement'!$B$84:$B$89,$D60)&gt;0,'Strand Placement'!$C$13,""),IF(rowWho&lt;&gt;"",rowWho,blockWho)))))</f>
        <v/>
      </c>
      <c r="D60" s="197"/>
      <c r="E60" s="197"/>
      <c r="F60" s="197" t="s">
        <v>101</v>
      </c>
      <c r="G60" s="197"/>
      <c r="H60" s="197"/>
      <c r="I60" s="197"/>
      <c r="J60" s="323"/>
      <c r="K60" s="246" t="str">
        <f t="shared" si="2"/>
        <v/>
      </c>
      <c r="L60" s="197">
        <v>3.0</v>
      </c>
      <c r="M60" s="324"/>
      <c r="N60" s="8" t="str">
        <f t="shared" si="3"/>
        <v/>
      </c>
      <c r="O60" s="325" t="str">
        <f t="shared" si="4"/>
        <v/>
      </c>
      <c r="P60" s="326"/>
      <c r="Q60" s="327" t="str">
        <f t="shared" si="5"/>
        <v/>
      </c>
      <c r="R60" s="328" t="str">
        <f>IFERROR(__xludf.DUMMYFUNCTION("IF(A60&lt;&gt;""☑"","""",IF(OR(Q60="""",Q60=""Manual Start""),J60,IF(OR(Q60=""After Previous in Resource Stream"",Q60=""After Previous in Sequence""),IFERROR(LET(prevfinish,IF(P60&lt;&gt;"""",SUMIFS($S$10:S59,$O$10:O59,O60,$P$10:P59,P60-1),LOOKUP(2,1/($O$10:O59=O60),"&amp;"$S$10:S59)),IF(prevfinish=0,"""",MIN(FILTER('School Calendar'!$A$44:$A$408,('School Calendar'!$A$44:$A$408&gt;prevfinish)*('School Calendar'!$I$44:$I$408&gt;0))))),""""),J60)))"),"")</f>
        <v/>
      </c>
      <c r="S60" s="329" t="str">
        <f>IFERROR(__xludf.DUMMYFUNCTION("IF(OR(A60&lt;&gt;""☑"",R60="""",N60=""""),"""",IFERROR(LET(st,R60,n,N60,pace,K60,gap,MAX(1,L60),calDates,'School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0" s="330"/>
      <c r="U60" s="346" t="str">
        <f t="shared" si="6"/>
        <v/>
      </c>
      <c r="V60" s="332" t="str">
        <f>IF($D60="","",IF(COUNTIF('Student Work'!$C$24:$C$223,$D60)&gt;0,"Individual",SWITCH(TRUE,COUNTIF('Strand Placement'!$B$21:$B$26,$D60)&gt;0,'Strand Placement'!$D$6,COUNTIF('Strand Placement'!$B$30:$B$35,$D60)&gt;0,'Strand Placement'!$D$7,COUNTIF('Strand Placement'!$B$39:$B$44,$D60)&gt;0,'Strand Placement'!$D$8,COUNTIF('Strand Placement'!$B$48:$B$53,$D60)&gt;0,'Strand Placement'!$D$9,COUNTIF('Strand Placement'!$B$57:$B$62,$D60)&gt;0,'Strand Placement'!$D$10,COUNTIF('Strand Placement'!$B$66:$B$71,$D60)&gt;0,'Strand Placement'!$D$11,COUNTIF('Strand Placement'!$B$75:$B$80,$D60)&gt;0,'Strand Placement'!$D$12,COUNTIF('Strand Placement'!$B$84:$B$89,$D60)&gt;0,'Strand Placement'!$D$13,"")))</f>
        <v/>
      </c>
      <c r="W60" s="332" t="str">
        <f t="array" ref="W60">IF($D60="","",IF($AB60&lt;&gt;"",$AB60,IF(COUNTIF('Student Work'!$C$24:$C$223,$D60)&gt;0,XLOOKUP($D60,'Student Work'!$C$24:$C$223,'Student Work'!$D$24:$D$223,""),LET(rowRole,XLOOKUP($D60,'Strand Placement'!$B$21:$B$89,'Strand Placement'!$D$21:$D$89,""),blockRole,SWITCH(TRUE,COUNTIF('Strand Placement'!$B$21:$B$26,$D60)&gt;0,'Strand Placement'!$E$6,COUNTIF('Strand Placement'!$B$30:$B$35,$D60)&gt;0,'Strand Placement'!$E$7,COUNTIF('Strand Placement'!$B$39:$B$44,$D60)&gt;0,'Strand Placement'!$E$8,COUNTIF('Strand Placement'!$B$48:$B$53,$D60)&gt;0,'Strand Placement'!$E$9,COUNTIF('Strand Placement'!$B$57:$B$62,$D60)&gt;0,'Strand Placement'!$E$10,COUNTIF('Strand Placement'!$B$66:$B$71,$D60)&gt;0,'Strand Placement'!$E$11,COUNTIF('Strand Placement'!$B$75:$B$80,$D60)&gt;0,'Strand Placement'!$E$12,COUNTIF('Strand Placement'!$B$84:$B$89,$D60)&gt;0,'Strand Placement'!$E$13,""),IF(rowRole&lt;&gt;"",rowRole,blockRole)))))</f>
        <v/>
      </c>
      <c r="X60" s="335"/>
      <c r="Y60" s="335"/>
      <c r="Z60" s="335"/>
      <c r="AA60" s="335"/>
      <c r="AB60" s="335"/>
      <c r="AC60" s="336" t="str">
        <f t="array" ref="AC60">IF($D60="","",IF(COUNTIF('Student Work'!$C$24:$C$223,$D60)&gt;0,XLOOKUP($D60,'Student Work'!$C$24:$C$223,'Student Work'!$E$24:$E$223,""),XLOOKUP($D60,'Strand Placement'!$B$21:$B$89,'Strand Placement'!$K$21:$K$89,"")))</f>
        <v/>
      </c>
      <c r="AD60" s="336" t="str">
        <f t="array" ref="AD60">IF($D60="","",IF(COUNTIF('Student Work'!$C$24:$C$223,$D60)&gt;0,XLOOKUP($D60,'Student Work'!$C$24:$C$223,'Student Work'!$H$24:$H$223,""),XLOOKUP($D60,'Strand Placement'!$B$21:$B$89,'Strand Placement'!$L$21:$L$89,"")))</f>
        <v/>
      </c>
      <c r="AE60" s="336"/>
      <c r="AF60" s="336"/>
      <c r="AG60" s="339" t="s">
        <v>585</v>
      </c>
      <c r="AH60" s="336"/>
    </row>
    <row r="61" ht="15.75" customHeight="1">
      <c r="A61" s="197" t="str">
        <f t="shared" si="1"/>
        <v/>
      </c>
      <c r="B61" s="246" t="str">
        <f t="array" ref="B61">IF($D61="","",IF($X61&lt;&gt;"",$X61,IF(COUNTIF('Student Work'!$C$24:$C$223,$D61)&gt;0,XLOOKUP($D61,'Student Work'!$C$24:$C$223,'Student Work'!$B$24:$B$223,""),SWITCH(TRUE,COUNTIF('Strand Placement'!$B$21:$B$26,$D61)&gt;0,'Strand Placement'!$A$19,COUNTIF('Strand Placement'!$B$30:$B$35,$D61)&gt;0,'Strand Placement'!$A$28,COUNTIF('Strand Placement'!$B$39:$B$44,$D61)&gt;0,'Strand Placement'!$A$37,COUNTIF('Strand Placement'!$B$48:$B$53,$D61)&gt;0,'Strand Placement'!$A$46,COUNTIF('Strand Placement'!$B$57:$B$62,$D61)&gt;0,'Strand Placement'!$A$55,COUNTIF('Strand Placement'!$B$66:$B$71,$D61)&gt;0,'Strand Placement'!$A$64,COUNTIF('Strand Placement'!$B$75:$B$80,$D61)&gt;0,'Strand Placement'!$A$73,COUNTIF('Strand Placement'!$B$84:$B$89,$D61)&gt;0,'Strand Placement'!$A$82,""))))</f>
        <v/>
      </c>
      <c r="C61" s="246" t="str">
        <f t="array" ref="C61">IF($D61="","",IF($Y61&lt;&gt;"",$Y61,IF(COUNTIF('Student Work'!$C$24:$C$223,$D61)&gt;0,XLOOKUP($D61,'Student Work'!$C$24:$C$223,'Student Work'!$A$24:$A$223,""),LET(rowWho,XLOOKUP($D61,'Strand Placement'!$B$21:$B$89,'Strand Placement'!$C$21:$C$89,""),blockWho,SWITCH(TRUE,COUNTIF('Strand Placement'!$B$21:$B$26,$D61)&gt;0,'Strand Placement'!$C$6,COUNTIF('Strand Placement'!$B$30:$B$35,$D61)&gt;0,'Strand Placement'!$C$7,COUNTIF('Strand Placement'!$B$39:$B$44,$D61)&gt;0,'Strand Placement'!$C$8,COUNTIF('Strand Placement'!$B$48:$B$53,$D61)&gt;0,'Strand Placement'!$C$9,COUNTIF('Strand Placement'!$B$57:$B$62,$D61)&gt;0,'Strand Placement'!$C$10,COUNTIF('Strand Placement'!$B$66:$B$71,$D61)&gt;0,'Strand Placement'!$C$11,COUNTIF('Strand Placement'!$B$75:$B$80,$D61)&gt;0,'Strand Placement'!$C$12,COUNTIF('Strand Placement'!$B$84:$B$89,$D61)&gt;0,'Strand Placement'!$C$13,""),IF(rowWho&lt;&gt;"",rowWho,blockWho)))))</f>
        <v/>
      </c>
      <c r="D61" s="197"/>
      <c r="E61" s="197"/>
      <c r="F61" s="197" t="s">
        <v>101</v>
      </c>
      <c r="G61" s="197"/>
      <c r="H61" s="197"/>
      <c r="I61" s="197"/>
      <c r="J61" s="323"/>
      <c r="K61" s="246" t="str">
        <f t="shared" si="2"/>
        <v/>
      </c>
      <c r="L61" s="197">
        <v>3.0</v>
      </c>
      <c r="M61" s="324"/>
      <c r="N61" s="8" t="str">
        <f t="shared" si="3"/>
        <v/>
      </c>
      <c r="O61" s="325" t="str">
        <f t="shared" si="4"/>
        <v/>
      </c>
      <c r="P61" s="326"/>
      <c r="Q61" s="327" t="str">
        <f t="shared" si="5"/>
        <v/>
      </c>
      <c r="R61" s="328" t="str">
        <f>IFERROR(__xludf.DUMMYFUNCTION("IF(A61&lt;&gt;""☑"","""",IF(OR(Q61="""",Q61=""Manual Start""),J61,IF(OR(Q61=""After Previous in Resource Stream"",Q61=""After Previous in Sequence""),IFERROR(LET(prevfinish,IF(P61&lt;&gt;"""",SUMIFS($S$10:S60,$O$10:O60,O61,$P$10:P60,P61-1),LOOKUP(2,1/($O$10:O60=O61),"&amp;"$S$10:S60)),IF(prevfinish=0,"""",MIN(FILTER('School Calendar'!$A$44:$A$408,('School Calendar'!$A$44:$A$408&gt;prevfinish)*('School Calendar'!$I$44:$I$408&gt;0))))),""""),J61)))"),"")</f>
        <v/>
      </c>
      <c r="S61" s="329" t="str">
        <f>IFERROR(__xludf.DUMMYFUNCTION("IF(OR(A61&lt;&gt;""☑"",R61="""",N61=""""),"""",IFERROR(LET(st,R61,n,N61,pace,K61,gap,MAX(1,L61),calDates,'School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1" s="330"/>
      <c r="U61" s="346" t="str">
        <f t="shared" si="6"/>
        <v/>
      </c>
      <c r="V61" s="332" t="str">
        <f>IF($D61="","",IF(COUNTIF('Student Work'!$C$24:$C$223,$D61)&gt;0,"Individual",SWITCH(TRUE,COUNTIF('Strand Placement'!$B$21:$B$26,$D61)&gt;0,'Strand Placement'!$D$6,COUNTIF('Strand Placement'!$B$30:$B$35,$D61)&gt;0,'Strand Placement'!$D$7,COUNTIF('Strand Placement'!$B$39:$B$44,$D61)&gt;0,'Strand Placement'!$D$8,COUNTIF('Strand Placement'!$B$48:$B$53,$D61)&gt;0,'Strand Placement'!$D$9,COUNTIF('Strand Placement'!$B$57:$B$62,$D61)&gt;0,'Strand Placement'!$D$10,COUNTIF('Strand Placement'!$B$66:$B$71,$D61)&gt;0,'Strand Placement'!$D$11,COUNTIF('Strand Placement'!$B$75:$B$80,$D61)&gt;0,'Strand Placement'!$D$12,COUNTIF('Strand Placement'!$B$84:$B$89,$D61)&gt;0,'Strand Placement'!$D$13,"")))</f>
        <v/>
      </c>
      <c r="W61" s="332" t="str">
        <f t="array" ref="W61">IF($D61="","",IF($AB61&lt;&gt;"",$AB61,IF(COUNTIF('Student Work'!$C$24:$C$223,$D61)&gt;0,XLOOKUP($D61,'Student Work'!$C$24:$C$223,'Student Work'!$D$24:$D$223,""),LET(rowRole,XLOOKUP($D61,'Strand Placement'!$B$21:$B$89,'Strand Placement'!$D$21:$D$89,""),blockRole,SWITCH(TRUE,COUNTIF('Strand Placement'!$B$21:$B$26,$D61)&gt;0,'Strand Placement'!$E$6,COUNTIF('Strand Placement'!$B$30:$B$35,$D61)&gt;0,'Strand Placement'!$E$7,COUNTIF('Strand Placement'!$B$39:$B$44,$D61)&gt;0,'Strand Placement'!$E$8,COUNTIF('Strand Placement'!$B$48:$B$53,$D61)&gt;0,'Strand Placement'!$E$9,COUNTIF('Strand Placement'!$B$57:$B$62,$D61)&gt;0,'Strand Placement'!$E$10,COUNTIF('Strand Placement'!$B$66:$B$71,$D61)&gt;0,'Strand Placement'!$E$11,COUNTIF('Strand Placement'!$B$75:$B$80,$D61)&gt;0,'Strand Placement'!$E$12,COUNTIF('Strand Placement'!$B$84:$B$89,$D61)&gt;0,'Strand Placement'!$E$13,""),IF(rowRole&lt;&gt;"",rowRole,blockRole)))))</f>
        <v/>
      </c>
      <c r="X61" s="335"/>
      <c r="Y61" s="335"/>
      <c r="Z61" s="335"/>
      <c r="AA61" s="335"/>
      <c r="AB61" s="335"/>
      <c r="AC61" s="336" t="str">
        <f t="array" ref="AC61">IF($D61="","",IF(COUNTIF('Student Work'!$C$24:$C$223,$D61)&gt;0,XLOOKUP($D61,'Student Work'!$C$24:$C$223,'Student Work'!$E$24:$E$223,""),XLOOKUP($D61,'Strand Placement'!$B$21:$B$89,'Strand Placement'!$K$21:$K$89,"")))</f>
        <v/>
      </c>
      <c r="AD61" s="336" t="str">
        <f t="array" ref="AD61">IF($D61="","",IF(COUNTIF('Student Work'!$C$24:$C$223,$D61)&gt;0,XLOOKUP($D61,'Student Work'!$C$24:$C$223,'Student Work'!$H$24:$H$223,""),XLOOKUP($D61,'Strand Placement'!$B$21:$B$89,'Strand Placement'!$L$21:$L$89,"")))</f>
        <v/>
      </c>
      <c r="AE61" s="336"/>
      <c r="AF61" s="336"/>
      <c r="AG61" s="339" t="s">
        <v>285</v>
      </c>
      <c r="AH61" s="336"/>
    </row>
    <row r="62" ht="15.75" customHeight="1">
      <c r="A62" s="197" t="str">
        <f t="shared" si="1"/>
        <v/>
      </c>
      <c r="B62" s="246" t="str">
        <f t="array" ref="B62">IF($D62="","",IF($X62&lt;&gt;"",$X62,IF(COUNTIF('Student Work'!$C$24:$C$223,$D62)&gt;0,XLOOKUP($D62,'Student Work'!$C$24:$C$223,'Student Work'!$B$24:$B$223,""),SWITCH(TRUE,COUNTIF('Strand Placement'!$B$21:$B$26,$D62)&gt;0,'Strand Placement'!$A$19,COUNTIF('Strand Placement'!$B$30:$B$35,$D62)&gt;0,'Strand Placement'!$A$28,COUNTIF('Strand Placement'!$B$39:$B$44,$D62)&gt;0,'Strand Placement'!$A$37,COUNTIF('Strand Placement'!$B$48:$B$53,$D62)&gt;0,'Strand Placement'!$A$46,COUNTIF('Strand Placement'!$B$57:$B$62,$D62)&gt;0,'Strand Placement'!$A$55,COUNTIF('Strand Placement'!$B$66:$B$71,$D62)&gt;0,'Strand Placement'!$A$64,COUNTIF('Strand Placement'!$B$75:$B$80,$D62)&gt;0,'Strand Placement'!$A$73,COUNTIF('Strand Placement'!$B$84:$B$89,$D62)&gt;0,'Strand Placement'!$A$82,""))))</f>
        <v/>
      </c>
      <c r="C62" s="246" t="str">
        <f t="array" ref="C62">IF($D62="","",IF($Y62&lt;&gt;"",$Y62,IF(COUNTIF('Student Work'!$C$24:$C$223,$D62)&gt;0,XLOOKUP($D62,'Student Work'!$C$24:$C$223,'Student Work'!$A$24:$A$223,""),LET(rowWho,XLOOKUP($D62,'Strand Placement'!$B$21:$B$89,'Strand Placement'!$C$21:$C$89,""),blockWho,SWITCH(TRUE,COUNTIF('Strand Placement'!$B$21:$B$26,$D62)&gt;0,'Strand Placement'!$C$6,COUNTIF('Strand Placement'!$B$30:$B$35,$D62)&gt;0,'Strand Placement'!$C$7,COUNTIF('Strand Placement'!$B$39:$B$44,$D62)&gt;0,'Strand Placement'!$C$8,COUNTIF('Strand Placement'!$B$48:$B$53,$D62)&gt;0,'Strand Placement'!$C$9,COUNTIF('Strand Placement'!$B$57:$B$62,$D62)&gt;0,'Strand Placement'!$C$10,COUNTIF('Strand Placement'!$B$66:$B$71,$D62)&gt;0,'Strand Placement'!$C$11,COUNTIF('Strand Placement'!$B$75:$B$80,$D62)&gt;0,'Strand Placement'!$C$12,COUNTIF('Strand Placement'!$B$84:$B$89,$D62)&gt;0,'Strand Placement'!$C$13,""),IF(rowWho&lt;&gt;"",rowWho,blockWho)))))</f>
        <v/>
      </c>
      <c r="D62" s="197"/>
      <c r="E62" s="197"/>
      <c r="F62" s="197" t="s">
        <v>101</v>
      </c>
      <c r="G62" s="197"/>
      <c r="H62" s="197"/>
      <c r="I62" s="197"/>
      <c r="J62" s="323"/>
      <c r="K62" s="246" t="str">
        <f t="shared" si="2"/>
        <v/>
      </c>
      <c r="L62" s="197">
        <v>3.0</v>
      </c>
      <c r="M62" s="324"/>
      <c r="N62" s="8" t="str">
        <f t="shared" si="3"/>
        <v/>
      </c>
      <c r="O62" s="325" t="str">
        <f t="shared" si="4"/>
        <v/>
      </c>
      <c r="P62" s="326"/>
      <c r="Q62" s="327" t="str">
        <f t="shared" si="5"/>
        <v/>
      </c>
      <c r="R62" s="328" t="str">
        <f>IFERROR(__xludf.DUMMYFUNCTION("IF(A62&lt;&gt;""☑"","""",IF(OR(Q62="""",Q62=""Manual Start""),J62,IF(OR(Q62=""After Previous in Resource Stream"",Q62=""After Previous in Sequence""),IFERROR(LET(prevfinish,IF(P62&lt;&gt;"""",SUMIFS($S$10:S61,$O$10:O61,O62,$P$10:P61,P62-1),LOOKUP(2,1/($O$10:O61=O62),"&amp;"$S$10:S61)),IF(prevfinish=0,"""",MIN(FILTER('School Calendar'!$A$44:$A$408,('School Calendar'!$A$44:$A$408&gt;prevfinish)*('School Calendar'!$I$44:$I$408&gt;0))))),""""),J62)))"),"")</f>
        <v/>
      </c>
      <c r="S62" s="329" t="str">
        <f>IFERROR(__xludf.DUMMYFUNCTION("IF(OR(A62&lt;&gt;""☑"",R62="""",N62=""""),"""",IFERROR(LET(st,R62,n,N62,pace,K62,gap,MAX(1,L62),calDates,'School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2" s="330"/>
      <c r="U62" s="346" t="str">
        <f t="shared" si="6"/>
        <v/>
      </c>
      <c r="V62" s="332" t="str">
        <f>IF($D62="","",IF(COUNTIF('Student Work'!$C$24:$C$223,$D62)&gt;0,"Individual",SWITCH(TRUE,COUNTIF('Strand Placement'!$B$21:$B$26,$D62)&gt;0,'Strand Placement'!$D$6,COUNTIF('Strand Placement'!$B$30:$B$35,$D62)&gt;0,'Strand Placement'!$D$7,COUNTIF('Strand Placement'!$B$39:$B$44,$D62)&gt;0,'Strand Placement'!$D$8,COUNTIF('Strand Placement'!$B$48:$B$53,$D62)&gt;0,'Strand Placement'!$D$9,COUNTIF('Strand Placement'!$B$57:$B$62,$D62)&gt;0,'Strand Placement'!$D$10,COUNTIF('Strand Placement'!$B$66:$B$71,$D62)&gt;0,'Strand Placement'!$D$11,COUNTIF('Strand Placement'!$B$75:$B$80,$D62)&gt;0,'Strand Placement'!$D$12,COUNTIF('Strand Placement'!$B$84:$B$89,$D62)&gt;0,'Strand Placement'!$D$13,"")))</f>
        <v/>
      </c>
      <c r="W62" s="332" t="str">
        <f t="array" ref="W62">IF($D62="","",IF($AB62&lt;&gt;"",$AB62,IF(COUNTIF('Student Work'!$C$24:$C$223,$D62)&gt;0,XLOOKUP($D62,'Student Work'!$C$24:$C$223,'Student Work'!$D$24:$D$223,""),LET(rowRole,XLOOKUP($D62,'Strand Placement'!$B$21:$B$89,'Strand Placement'!$D$21:$D$89,""),blockRole,SWITCH(TRUE,COUNTIF('Strand Placement'!$B$21:$B$26,$D62)&gt;0,'Strand Placement'!$E$6,COUNTIF('Strand Placement'!$B$30:$B$35,$D62)&gt;0,'Strand Placement'!$E$7,COUNTIF('Strand Placement'!$B$39:$B$44,$D62)&gt;0,'Strand Placement'!$E$8,COUNTIF('Strand Placement'!$B$48:$B$53,$D62)&gt;0,'Strand Placement'!$E$9,COUNTIF('Strand Placement'!$B$57:$B$62,$D62)&gt;0,'Strand Placement'!$E$10,COUNTIF('Strand Placement'!$B$66:$B$71,$D62)&gt;0,'Strand Placement'!$E$11,COUNTIF('Strand Placement'!$B$75:$B$80,$D62)&gt;0,'Strand Placement'!$E$12,COUNTIF('Strand Placement'!$B$84:$B$89,$D62)&gt;0,'Strand Placement'!$E$13,""),IF(rowRole&lt;&gt;"",rowRole,blockRole)))))</f>
        <v/>
      </c>
      <c r="X62" s="335"/>
      <c r="Y62" s="335"/>
      <c r="Z62" s="335"/>
      <c r="AA62" s="335"/>
      <c r="AB62" s="335"/>
      <c r="AC62" s="336" t="str">
        <f t="array" ref="AC62">IF($D62="","",IF(COUNTIF('Student Work'!$C$24:$C$223,$D62)&gt;0,XLOOKUP($D62,'Student Work'!$C$24:$C$223,'Student Work'!$E$24:$E$223,""),XLOOKUP($D62,'Strand Placement'!$B$21:$B$89,'Strand Placement'!$K$21:$K$89,"")))</f>
        <v/>
      </c>
      <c r="AD62" s="336" t="str">
        <f t="array" ref="AD62">IF($D62="","",IF(COUNTIF('Student Work'!$C$24:$C$223,$D62)&gt;0,XLOOKUP($D62,'Student Work'!$C$24:$C$223,'Student Work'!$H$24:$H$223,""),XLOOKUP($D62,'Strand Placement'!$B$21:$B$89,'Strand Placement'!$L$21:$L$89,"")))</f>
        <v/>
      </c>
      <c r="AE62" s="336"/>
      <c r="AF62" s="336"/>
      <c r="AG62" s="339" t="s">
        <v>596</v>
      </c>
      <c r="AH62" s="336"/>
    </row>
    <row r="63" ht="15.75" customHeight="1">
      <c r="A63" s="197" t="str">
        <f t="shared" si="1"/>
        <v/>
      </c>
      <c r="B63" s="246" t="str">
        <f t="array" ref="B63">IF($D63="","",IF($X63&lt;&gt;"",$X63,IF(COUNTIF('Student Work'!$C$24:$C$223,$D63)&gt;0,XLOOKUP($D63,'Student Work'!$C$24:$C$223,'Student Work'!$B$24:$B$223,""),SWITCH(TRUE,COUNTIF('Strand Placement'!$B$21:$B$26,$D63)&gt;0,'Strand Placement'!$A$19,COUNTIF('Strand Placement'!$B$30:$B$35,$D63)&gt;0,'Strand Placement'!$A$28,COUNTIF('Strand Placement'!$B$39:$B$44,$D63)&gt;0,'Strand Placement'!$A$37,COUNTIF('Strand Placement'!$B$48:$B$53,$D63)&gt;0,'Strand Placement'!$A$46,COUNTIF('Strand Placement'!$B$57:$B$62,$D63)&gt;0,'Strand Placement'!$A$55,COUNTIF('Strand Placement'!$B$66:$B$71,$D63)&gt;0,'Strand Placement'!$A$64,COUNTIF('Strand Placement'!$B$75:$B$80,$D63)&gt;0,'Strand Placement'!$A$73,COUNTIF('Strand Placement'!$B$84:$B$89,$D63)&gt;0,'Strand Placement'!$A$82,""))))</f>
        <v/>
      </c>
      <c r="C63" s="246" t="str">
        <f t="array" ref="C63">IF($D63="","",IF($Y63&lt;&gt;"",$Y63,IF(COUNTIF('Student Work'!$C$24:$C$223,$D63)&gt;0,XLOOKUP($D63,'Student Work'!$C$24:$C$223,'Student Work'!$A$24:$A$223,""),LET(rowWho,XLOOKUP($D63,'Strand Placement'!$B$21:$B$89,'Strand Placement'!$C$21:$C$89,""),blockWho,SWITCH(TRUE,COUNTIF('Strand Placement'!$B$21:$B$26,$D63)&gt;0,'Strand Placement'!$C$6,COUNTIF('Strand Placement'!$B$30:$B$35,$D63)&gt;0,'Strand Placement'!$C$7,COUNTIF('Strand Placement'!$B$39:$B$44,$D63)&gt;0,'Strand Placement'!$C$8,COUNTIF('Strand Placement'!$B$48:$B$53,$D63)&gt;0,'Strand Placement'!$C$9,COUNTIF('Strand Placement'!$B$57:$B$62,$D63)&gt;0,'Strand Placement'!$C$10,COUNTIF('Strand Placement'!$B$66:$B$71,$D63)&gt;0,'Strand Placement'!$C$11,COUNTIF('Strand Placement'!$B$75:$B$80,$D63)&gt;0,'Strand Placement'!$C$12,COUNTIF('Strand Placement'!$B$84:$B$89,$D63)&gt;0,'Strand Placement'!$C$13,""),IF(rowWho&lt;&gt;"",rowWho,blockWho)))))</f>
        <v/>
      </c>
      <c r="D63" s="197"/>
      <c r="E63" s="197"/>
      <c r="F63" s="197" t="s">
        <v>101</v>
      </c>
      <c r="G63" s="197"/>
      <c r="H63" s="197"/>
      <c r="I63" s="197"/>
      <c r="J63" s="323"/>
      <c r="K63" s="246" t="str">
        <f t="shared" si="2"/>
        <v/>
      </c>
      <c r="L63" s="197">
        <v>3.0</v>
      </c>
      <c r="M63" s="324"/>
      <c r="N63" s="8" t="str">
        <f t="shared" si="3"/>
        <v/>
      </c>
      <c r="O63" s="325" t="str">
        <f t="shared" si="4"/>
        <v/>
      </c>
      <c r="P63" s="326"/>
      <c r="Q63" s="327" t="str">
        <f t="shared" si="5"/>
        <v/>
      </c>
      <c r="R63" s="328" t="str">
        <f>IFERROR(__xludf.DUMMYFUNCTION("IF(A63&lt;&gt;""☑"","""",IF(OR(Q63="""",Q63=""Manual Start""),J63,IF(OR(Q63=""After Previous in Resource Stream"",Q63=""After Previous in Sequence""),IFERROR(LET(prevfinish,IF(P63&lt;&gt;"""",SUMIFS($S$10:S62,$O$10:O62,O63,$P$10:P62,P63-1),LOOKUP(2,1/($O$10:O62=O63),"&amp;"$S$10:S62)),IF(prevfinish=0,"""",MIN(FILTER('School Calendar'!$A$44:$A$408,('School Calendar'!$A$44:$A$408&gt;prevfinish)*('School Calendar'!$I$44:$I$408&gt;0))))),""""),J63)))"),"")</f>
        <v/>
      </c>
      <c r="S63" s="329" t="str">
        <f>IFERROR(__xludf.DUMMYFUNCTION("IF(OR(A63&lt;&gt;""☑"",R63="""",N63=""""),"""",IFERROR(LET(st,R63,n,N63,pace,K63,gap,MAX(1,L63),calDates,'School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3" s="330"/>
      <c r="U63" s="346" t="str">
        <f t="shared" si="6"/>
        <v/>
      </c>
      <c r="V63" s="332" t="str">
        <f>IF($D63="","",IF(COUNTIF('Student Work'!$C$24:$C$223,$D63)&gt;0,"Individual",SWITCH(TRUE,COUNTIF('Strand Placement'!$B$21:$B$26,$D63)&gt;0,'Strand Placement'!$D$6,COUNTIF('Strand Placement'!$B$30:$B$35,$D63)&gt;0,'Strand Placement'!$D$7,COUNTIF('Strand Placement'!$B$39:$B$44,$D63)&gt;0,'Strand Placement'!$D$8,COUNTIF('Strand Placement'!$B$48:$B$53,$D63)&gt;0,'Strand Placement'!$D$9,COUNTIF('Strand Placement'!$B$57:$B$62,$D63)&gt;0,'Strand Placement'!$D$10,COUNTIF('Strand Placement'!$B$66:$B$71,$D63)&gt;0,'Strand Placement'!$D$11,COUNTIF('Strand Placement'!$B$75:$B$80,$D63)&gt;0,'Strand Placement'!$D$12,COUNTIF('Strand Placement'!$B$84:$B$89,$D63)&gt;0,'Strand Placement'!$D$13,"")))</f>
        <v/>
      </c>
      <c r="W63" s="332" t="str">
        <f t="array" ref="W63">IF($D63="","",IF($AB63&lt;&gt;"",$AB63,IF(COUNTIF('Student Work'!$C$24:$C$223,$D63)&gt;0,XLOOKUP($D63,'Student Work'!$C$24:$C$223,'Student Work'!$D$24:$D$223,""),LET(rowRole,XLOOKUP($D63,'Strand Placement'!$B$21:$B$89,'Strand Placement'!$D$21:$D$89,""),blockRole,SWITCH(TRUE,COUNTIF('Strand Placement'!$B$21:$B$26,$D63)&gt;0,'Strand Placement'!$E$6,COUNTIF('Strand Placement'!$B$30:$B$35,$D63)&gt;0,'Strand Placement'!$E$7,COUNTIF('Strand Placement'!$B$39:$B$44,$D63)&gt;0,'Strand Placement'!$E$8,COUNTIF('Strand Placement'!$B$48:$B$53,$D63)&gt;0,'Strand Placement'!$E$9,COUNTIF('Strand Placement'!$B$57:$B$62,$D63)&gt;0,'Strand Placement'!$E$10,COUNTIF('Strand Placement'!$B$66:$B$71,$D63)&gt;0,'Strand Placement'!$E$11,COUNTIF('Strand Placement'!$B$75:$B$80,$D63)&gt;0,'Strand Placement'!$E$12,COUNTIF('Strand Placement'!$B$84:$B$89,$D63)&gt;0,'Strand Placement'!$E$13,""),IF(rowRole&lt;&gt;"",rowRole,blockRole)))))</f>
        <v/>
      </c>
      <c r="X63" s="335"/>
      <c r="Y63" s="335"/>
      <c r="Z63" s="335"/>
      <c r="AA63" s="335"/>
      <c r="AB63" s="335"/>
      <c r="AC63" s="336" t="str">
        <f t="array" ref="AC63">IF($D63="","",IF(COUNTIF('Student Work'!$C$24:$C$223,$D63)&gt;0,XLOOKUP($D63,'Student Work'!$C$24:$C$223,'Student Work'!$E$24:$E$223,""),XLOOKUP($D63,'Strand Placement'!$B$21:$B$89,'Strand Placement'!$K$21:$K$89,"")))</f>
        <v/>
      </c>
      <c r="AD63" s="336" t="str">
        <f t="array" ref="AD63">IF($D63="","",IF(COUNTIF('Student Work'!$C$24:$C$223,$D63)&gt;0,XLOOKUP($D63,'Student Work'!$C$24:$C$223,'Student Work'!$H$24:$H$223,""),XLOOKUP($D63,'Strand Placement'!$B$21:$B$89,'Strand Placement'!$L$21:$L$89,"")))</f>
        <v/>
      </c>
      <c r="AE63" s="336"/>
      <c r="AF63" s="336"/>
      <c r="AG63" s="339" t="s">
        <v>601</v>
      </c>
      <c r="AH63" s="336"/>
    </row>
    <row r="64" ht="15.75" customHeight="1">
      <c r="A64" s="197" t="str">
        <f t="shared" si="1"/>
        <v/>
      </c>
      <c r="B64" s="246" t="str">
        <f t="array" ref="B64">IF($D64="","",IF($X64&lt;&gt;"",$X64,IF(COUNTIF('Student Work'!$C$24:$C$223,$D64)&gt;0,XLOOKUP($D64,'Student Work'!$C$24:$C$223,'Student Work'!$B$24:$B$223,""),SWITCH(TRUE,COUNTIF('Strand Placement'!$B$21:$B$26,$D64)&gt;0,'Strand Placement'!$A$19,COUNTIF('Strand Placement'!$B$30:$B$35,$D64)&gt;0,'Strand Placement'!$A$28,COUNTIF('Strand Placement'!$B$39:$B$44,$D64)&gt;0,'Strand Placement'!$A$37,COUNTIF('Strand Placement'!$B$48:$B$53,$D64)&gt;0,'Strand Placement'!$A$46,COUNTIF('Strand Placement'!$B$57:$B$62,$D64)&gt;0,'Strand Placement'!$A$55,COUNTIF('Strand Placement'!$B$66:$B$71,$D64)&gt;0,'Strand Placement'!$A$64,COUNTIF('Strand Placement'!$B$75:$B$80,$D64)&gt;0,'Strand Placement'!$A$73,COUNTIF('Strand Placement'!$B$84:$B$89,$D64)&gt;0,'Strand Placement'!$A$82,""))))</f>
        <v/>
      </c>
      <c r="C64" s="246" t="str">
        <f t="array" ref="C64">IF($D64="","",IF($Y64&lt;&gt;"",$Y64,IF(COUNTIF('Student Work'!$C$24:$C$223,$D64)&gt;0,XLOOKUP($D64,'Student Work'!$C$24:$C$223,'Student Work'!$A$24:$A$223,""),LET(rowWho,XLOOKUP($D64,'Strand Placement'!$B$21:$B$89,'Strand Placement'!$C$21:$C$89,""),blockWho,SWITCH(TRUE,COUNTIF('Strand Placement'!$B$21:$B$26,$D64)&gt;0,'Strand Placement'!$C$6,COUNTIF('Strand Placement'!$B$30:$B$35,$D64)&gt;0,'Strand Placement'!$C$7,COUNTIF('Strand Placement'!$B$39:$B$44,$D64)&gt;0,'Strand Placement'!$C$8,COUNTIF('Strand Placement'!$B$48:$B$53,$D64)&gt;0,'Strand Placement'!$C$9,COUNTIF('Strand Placement'!$B$57:$B$62,$D64)&gt;0,'Strand Placement'!$C$10,COUNTIF('Strand Placement'!$B$66:$B$71,$D64)&gt;0,'Strand Placement'!$C$11,COUNTIF('Strand Placement'!$B$75:$B$80,$D64)&gt;0,'Strand Placement'!$C$12,COUNTIF('Strand Placement'!$B$84:$B$89,$D64)&gt;0,'Strand Placement'!$C$13,""),IF(rowWho&lt;&gt;"",rowWho,blockWho)))))</f>
        <v/>
      </c>
      <c r="D64" s="197"/>
      <c r="E64" s="197"/>
      <c r="F64" s="197" t="s">
        <v>101</v>
      </c>
      <c r="G64" s="197"/>
      <c r="H64" s="197"/>
      <c r="I64" s="197"/>
      <c r="J64" s="323"/>
      <c r="K64" s="246" t="str">
        <f t="shared" si="2"/>
        <v/>
      </c>
      <c r="L64" s="197">
        <v>3.0</v>
      </c>
      <c r="M64" s="324"/>
      <c r="N64" s="8" t="str">
        <f t="shared" si="3"/>
        <v/>
      </c>
      <c r="O64" s="325" t="str">
        <f t="shared" si="4"/>
        <v/>
      </c>
      <c r="P64" s="326"/>
      <c r="Q64" s="327" t="str">
        <f t="shared" si="5"/>
        <v/>
      </c>
      <c r="R64" s="328" t="str">
        <f>IFERROR(__xludf.DUMMYFUNCTION("IF(A64&lt;&gt;""☑"","""",IF(OR(Q64="""",Q64=""Manual Start""),J64,IF(OR(Q64=""After Previous in Resource Stream"",Q64=""After Previous in Sequence""),IFERROR(LET(prevfinish,IF(P64&lt;&gt;"""",SUMIFS($S$10:S63,$O$10:O63,O64,$P$10:P63,P64-1),LOOKUP(2,1/($O$10:O63=O64),"&amp;"$S$10:S63)),IF(prevfinish=0,"""",MIN(FILTER('School Calendar'!$A$44:$A$408,('School Calendar'!$A$44:$A$408&gt;prevfinish)*('School Calendar'!$I$44:$I$408&gt;0))))),""""),J64)))"),"")</f>
        <v/>
      </c>
      <c r="S64" s="329" t="str">
        <f>IFERROR(__xludf.DUMMYFUNCTION("IF(OR(A64&lt;&gt;""☑"",R64="""",N64=""""),"""",IFERROR(LET(st,R64,n,N64,pace,K64,gap,MAX(1,L64),calDates,'School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4" s="330"/>
      <c r="U64" s="346" t="str">
        <f t="shared" si="6"/>
        <v/>
      </c>
      <c r="V64" s="332" t="str">
        <f>IF($D64="","",IF(COUNTIF('Student Work'!$C$24:$C$223,$D64)&gt;0,"Individual",SWITCH(TRUE,COUNTIF('Strand Placement'!$B$21:$B$26,$D64)&gt;0,'Strand Placement'!$D$6,COUNTIF('Strand Placement'!$B$30:$B$35,$D64)&gt;0,'Strand Placement'!$D$7,COUNTIF('Strand Placement'!$B$39:$B$44,$D64)&gt;0,'Strand Placement'!$D$8,COUNTIF('Strand Placement'!$B$48:$B$53,$D64)&gt;0,'Strand Placement'!$D$9,COUNTIF('Strand Placement'!$B$57:$B$62,$D64)&gt;0,'Strand Placement'!$D$10,COUNTIF('Strand Placement'!$B$66:$B$71,$D64)&gt;0,'Strand Placement'!$D$11,COUNTIF('Strand Placement'!$B$75:$B$80,$D64)&gt;0,'Strand Placement'!$D$12,COUNTIF('Strand Placement'!$B$84:$B$89,$D64)&gt;0,'Strand Placement'!$D$13,"")))</f>
        <v/>
      </c>
      <c r="W64" s="332" t="str">
        <f t="array" ref="W64">IF($D64="","",IF($AB64&lt;&gt;"",$AB64,IF(COUNTIF('Student Work'!$C$24:$C$223,$D64)&gt;0,XLOOKUP($D64,'Student Work'!$C$24:$C$223,'Student Work'!$D$24:$D$223,""),LET(rowRole,XLOOKUP($D64,'Strand Placement'!$B$21:$B$89,'Strand Placement'!$D$21:$D$89,""),blockRole,SWITCH(TRUE,COUNTIF('Strand Placement'!$B$21:$B$26,$D64)&gt;0,'Strand Placement'!$E$6,COUNTIF('Strand Placement'!$B$30:$B$35,$D64)&gt;0,'Strand Placement'!$E$7,COUNTIF('Strand Placement'!$B$39:$B$44,$D64)&gt;0,'Strand Placement'!$E$8,COUNTIF('Strand Placement'!$B$48:$B$53,$D64)&gt;0,'Strand Placement'!$E$9,COUNTIF('Strand Placement'!$B$57:$B$62,$D64)&gt;0,'Strand Placement'!$E$10,COUNTIF('Strand Placement'!$B$66:$B$71,$D64)&gt;0,'Strand Placement'!$E$11,COUNTIF('Strand Placement'!$B$75:$B$80,$D64)&gt;0,'Strand Placement'!$E$12,COUNTIF('Strand Placement'!$B$84:$B$89,$D64)&gt;0,'Strand Placement'!$E$13,""),IF(rowRole&lt;&gt;"",rowRole,blockRole)))))</f>
        <v/>
      </c>
      <c r="X64" s="335"/>
      <c r="Y64" s="335"/>
      <c r="Z64" s="335"/>
      <c r="AA64" s="335"/>
      <c r="AB64" s="335"/>
      <c r="AC64" s="336" t="str">
        <f t="array" ref="AC64">IF($D64="","",IF(COUNTIF('Student Work'!$C$24:$C$223,$D64)&gt;0,XLOOKUP($D64,'Student Work'!$C$24:$C$223,'Student Work'!$E$24:$E$223,""),XLOOKUP($D64,'Strand Placement'!$B$21:$B$89,'Strand Placement'!$K$21:$K$89,"")))</f>
        <v/>
      </c>
      <c r="AD64" s="336" t="str">
        <f t="array" ref="AD64">IF($D64="","",IF(COUNTIF('Student Work'!$C$24:$C$223,$D64)&gt;0,XLOOKUP($D64,'Student Work'!$C$24:$C$223,'Student Work'!$H$24:$H$223,""),XLOOKUP($D64,'Strand Placement'!$B$21:$B$89,'Strand Placement'!$L$21:$L$89,"")))</f>
        <v/>
      </c>
      <c r="AE64" s="336"/>
      <c r="AF64" s="336"/>
      <c r="AG64" s="339" t="s">
        <v>608</v>
      </c>
      <c r="AH64" s="336"/>
    </row>
    <row r="65" ht="15.75" customHeight="1">
      <c r="A65" s="197" t="str">
        <f t="shared" si="1"/>
        <v/>
      </c>
      <c r="B65" s="246" t="str">
        <f t="array" ref="B65">IF($D65="","",IF($X65&lt;&gt;"",$X65,IF(COUNTIF('Student Work'!$C$24:$C$223,$D65)&gt;0,XLOOKUP($D65,'Student Work'!$C$24:$C$223,'Student Work'!$B$24:$B$223,""),SWITCH(TRUE,COUNTIF('Strand Placement'!$B$21:$B$26,$D65)&gt;0,'Strand Placement'!$A$19,COUNTIF('Strand Placement'!$B$30:$B$35,$D65)&gt;0,'Strand Placement'!$A$28,COUNTIF('Strand Placement'!$B$39:$B$44,$D65)&gt;0,'Strand Placement'!$A$37,COUNTIF('Strand Placement'!$B$48:$B$53,$D65)&gt;0,'Strand Placement'!$A$46,COUNTIF('Strand Placement'!$B$57:$B$62,$D65)&gt;0,'Strand Placement'!$A$55,COUNTIF('Strand Placement'!$B$66:$B$71,$D65)&gt;0,'Strand Placement'!$A$64,COUNTIF('Strand Placement'!$B$75:$B$80,$D65)&gt;0,'Strand Placement'!$A$73,COUNTIF('Strand Placement'!$B$84:$B$89,$D65)&gt;0,'Strand Placement'!$A$82,""))))</f>
        <v/>
      </c>
      <c r="C65" s="246" t="str">
        <f t="array" ref="C65">IF($D65="","",IF($Y65&lt;&gt;"",$Y65,IF(COUNTIF('Student Work'!$C$24:$C$223,$D65)&gt;0,XLOOKUP($D65,'Student Work'!$C$24:$C$223,'Student Work'!$A$24:$A$223,""),LET(rowWho,XLOOKUP($D65,'Strand Placement'!$B$21:$B$89,'Strand Placement'!$C$21:$C$89,""),blockWho,SWITCH(TRUE,COUNTIF('Strand Placement'!$B$21:$B$26,$D65)&gt;0,'Strand Placement'!$C$6,COUNTIF('Strand Placement'!$B$30:$B$35,$D65)&gt;0,'Strand Placement'!$C$7,COUNTIF('Strand Placement'!$B$39:$B$44,$D65)&gt;0,'Strand Placement'!$C$8,COUNTIF('Strand Placement'!$B$48:$B$53,$D65)&gt;0,'Strand Placement'!$C$9,COUNTIF('Strand Placement'!$B$57:$B$62,$D65)&gt;0,'Strand Placement'!$C$10,COUNTIF('Strand Placement'!$B$66:$B$71,$D65)&gt;0,'Strand Placement'!$C$11,COUNTIF('Strand Placement'!$B$75:$B$80,$D65)&gt;0,'Strand Placement'!$C$12,COUNTIF('Strand Placement'!$B$84:$B$89,$D65)&gt;0,'Strand Placement'!$C$13,""),IF(rowWho&lt;&gt;"",rowWho,blockWho)))))</f>
        <v/>
      </c>
      <c r="D65" s="197"/>
      <c r="E65" s="197"/>
      <c r="F65" s="197" t="s">
        <v>101</v>
      </c>
      <c r="G65" s="197"/>
      <c r="H65" s="197"/>
      <c r="I65" s="197"/>
      <c r="J65" s="323"/>
      <c r="K65" s="246" t="str">
        <f t="shared" si="2"/>
        <v/>
      </c>
      <c r="L65" s="197">
        <v>3.0</v>
      </c>
      <c r="M65" s="324"/>
      <c r="N65" s="8" t="str">
        <f t="shared" si="3"/>
        <v/>
      </c>
      <c r="O65" s="325" t="str">
        <f t="shared" si="4"/>
        <v/>
      </c>
      <c r="P65" s="326"/>
      <c r="Q65" s="327" t="str">
        <f t="shared" si="5"/>
        <v/>
      </c>
      <c r="R65" s="328" t="str">
        <f>IFERROR(__xludf.DUMMYFUNCTION("IF(A65&lt;&gt;""☑"","""",IF(OR(Q65="""",Q65=""Manual Start""),J65,IF(OR(Q65=""After Previous in Resource Stream"",Q65=""After Previous in Sequence""),IFERROR(LET(prevfinish,IF(P65&lt;&gt;"""",SUMIFS($S$10:S64,$O$10:O64,O65,$P$10:P64,P65-1),LOOKUP(2,1/($O$10:O64=O65),"&amp;"$S$10:S64)),IF(prevfinish=0,"""",MIN(FILTER('School Calendar'!$A$44:$A$408,('School Calendar'!$A$44:$A$408&gt;prevfinish)*('School Calendar'!$I$44:$I$408&gt;0))))),""""),J65)))"),"")</f>
        <v/>
      </c>
      <c r="S65" s="329" t="str">
        <f>IFERROR(__xludf.DUMMYFUNCTION("IF(OR(A65&lt;&gt;""☑"",R65="""",N65=""""),"""",IFERROR(LET(st,R65,n,N65,pace,K65,gap,MAX(1,L65),calDates,'School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5" s="330"/>
      <c r="U65" s="346" t="str">
        <f t="shared" si="6"/>
        <v/>
      </c>
      <c r="V65" s="332" t="str">
        <f>IF($D65="","",IF(COUNTIF('Student Work'!$C$24:$C$223,$D65)&gt;0,"Individual",SWITCH(TRUE,COUNTIF('Strand Placement'!$B$21:$B$26,$D65)&gt;0,'Strand Placement'!$D$6,COUNTIF('Strand Placement'!$B$30:$B$35,$D65)&gt;0,'Strand Placement'!$D$7,COUNTIF('Strand Placement'!$B$39:$B$44,$D65)&gt;0,'Strand Placement'!$D$8,COUNTIF('Strand Placement'!$B$48:$B$53,$D65)&gt;0,'Strand Placement'!$D$9,COUNTIF('Strand Placement'!$B$57:$B$62,$D65)&gt;0,'Strand Placement'!$D$10,COUNTIF('Strand Placement'!$B$66:$B$71,$D65)&gt;0,'Strand Placement'!$D$11,COUNTIF('Strand Placement'!$B$75:$B$80,$D65)&gt;0,'Strand Placement'!$D$12,COUNTIF('Strand Placement'!$B$84:$B$89,$D65)&gt;0,'Strand Placement'!$D$13,"")))</f>
        <v/>
      </c>
      <c r="W65" s="332" t="str">
        <f t="array" ref="W65">IF($D65="","",IF($AB65&lt;&gt;"",$AB65,IF(COUNTIF('Student Work'!$C$24:$C$223,$D65)&gt;0,XLOOKUP($D65,'Student Work'!$C$24:$C$223,'Student Work'!$D$24:$D$223,""),LET(rowRole,XLOOKUP($D65,'Strand Placement'!$B$21:$B$89,'Strand Placement'!$D$21:$D$89,""),blockRole,SWITCH(TRUE,COUNTIF('Strand Placement'!$B$21:$B$26,$D65)&gt;0,'Strand Placement'!$E$6,COUNTIF('Strand Placement'!$B$30:$B$35,$D65)&gt;0,'Strand Placement'!$E$7,COUNTIF('Strand Placement'!$B$39:$B$44,$D65)&gt;0,'Strand Placement'!$E$8,COUNTIF('Strand Placement'!$B$48:$B$53,$D65)&gt;0,'Strand Placement'!$E$9,COUNTIF('Strand Placement'!$B$57:$B$62,$D65)&gt;0,'Strand Placement'!$E$10,COUNTIF('Strand Placement'!$B$66:$B$71,$D65)&gt;0,'Strand Placement'!$E$11,COUNTIF('Strand Placement'!$B$75:$B$80,$D65)&gt;0,'Strand Placement'!$E$12,COUNTIF('Strand Placement'!$B$84:$B$89,$D65)&gt;0,'Strand Placement'!$E$13,""),IF(rowRole&lt;&gt;"",rowRole,blockRole)))))</f>
        <v/>
      </c>
      <c r="X65" s="335"/>
      <c r="Y65" s="335"/>
      <c r="Z65" s="335"/>
      <c r="AA65" s="335"/>
      <c r="AB65" s="335"/>
      <c r="AC65" s="336" t="str">
        <f t="array" ref="AC65">IF($D65="","",IF(COUNTIF('Student Work'!$C$24:$C$223,$D65)&gt;0,XLOOKUP($D65,'Student Work'!$C$24:$C$223,'Student Work'!$E$24:$E$223,""),XLOOKUP($D65,'Strand Placement'!$B$21:$B$89,'Strand Placement'!$K$21:$K$89,"")))</f>
        <v/>
      </c>
      <c r="AD65" s="336" t="str">
        <f t="array" ref="AD65">IF($D65="","",IF(COUNTIF('Student Work'!$C$24:$C$223,$D65)&gt;0,XLOOKUP($D65,'Student Work'!$C$24:$C$223,'Student Work'!$H$24:$H$223,""),XLOOKUP($D65,'Strand Placement'!$B$21:$B$89,'Strand Placement'!$L$21:$L$89,"")))</f>
        <v/>
      </c>
      <c r="AE65" s="336"/>
      <c r="AF65" s="336"/>
      <c r="AG65" s="339" t="s">
        <v>613</v>
      </c>
      <c r="AH65" s="336"/>
    </row>
    <row r="66" ht="15.75" customHeight="1">
      <c r="A66" s="197" t="str">
        <f t="shared" si="1"/>
        <v/>
      </c>
      <c r="B66" s="246" t="str">
        <f t="array" ref="B66">IF($D66="","",IF($X66&lt;&gt;"",$X66,IF(COUNTIF('Student Work'!$C$24:$C$223,$D66)&gt;0,XLOOKUP($D66,'Student Work'!$C$24:$C$223,'Student Work'!$B$24:$B$223,""),SWITCH(TRUE,COUNTIF('Strand Placement'!$B$21:$B$26,$D66)&gt;0,'Strand Placement'!$A$19,COUNTIF('Strand Placement'!$B$30:$B$35,$D66)&gt;0,'Strand Placement'!$A$28,COUNTIF('Strand Placement'!$B$39:$B$44,$D66)&gt;0,'Strand Placement'!$A$37,COUNTIF('Strand Placement'!$B$48:$B$53,$D66)&gt;0,'Strand Placement'!$A$46,COUNTIF('Strand Placement'!$B$57:$B$62,$D66)&gt;0,'Strand Placement'!$A$55,COUNTIF('Strand Placement'!$B$66:$B$71,$D66)&gt;0,'Strand Placement'!$A$64,COUNTIF('Strand Placement'!$B$75:$B$80,$D66)&gt;0,'Strand Placement'!$A$73,COUNTIF('Strand Placement'!$B$84:$B$89,$D66)&gt;0,'Strand Placement'!$A$82,""))))</f>
        <v/>
      </c>
      <c r="C66" s="246" t="str">
        <f t="array" ref="C66">IF($D66="","",IF($Y66&lt;&gt;"",$Y66,IF(COUNTIF('Student Work'!$C$24:$C$223,$D66)&gt;0,XLOOKUP($D66,'Student Work'!$C$24:$C$223,'Student Work'!$A$24:$A$223,""),LET(rowWho,XLOOKUP($D66,'Strand Placement'!$B$21:$B$89,'Strand Placement'!$C$21:$C$89,""),blockWho,SWITCH(TRUE,COUNTIF('Strand Placement'!$B$21:$B$26,$D66)&gt;0,'Strand Placement'!$C$6,COUNTIF('Strand Placement'!$B$30:$B$35,$D66)&gt;0,'Strand Placement'!$C$7,COUNTIF('Strand Placement'!$B$39:$B$44,$D66)&gt;0,'Strand Placement'!$C$8,COUNTIF('Strand Placement'!$B$48:$B$53,$D66)&gt;0,'Strand Placement'!$C$9,COUNTIF('Strand Placement'!$B$57:$B$62,$D66)&gt;0,'Strand Placement'!$C$10,COUNTIF('Strand Placement'!$B$66:$B$71,$D66)&gt;0,'Strand Placement'!$C$11,COUNTIF('Strand Placement'!$B$75:$B$80,$D66)&gt;0,'Strand Placement'!$C$12,COUNTIF('Strand Placement'!$B$84:$B$89,$D66)&gt;0,'Strand Placement'!$C$13,""),IF(rowWho&lt;&gt;"",rowWho,blockWho)))))</f>
        <v/>
      </c>
      <c r="D66" s="197"/>
      <c r="E66" s="197"/>
      <c r="F66" s="197" t="s">
        <v>101</v>
      </c>
      <c r="G66" s="197"/>
      <c r="H66" s="197"/>
      <c r="I66" s="197"/>
      <c r="J66" s="323"/>
      <c r="K66" s="246" t="str">
        <f t="shared" si="2"/>
        <v/>
      </c>
      <c r="L66" s="197">
        <v>3.0</v>
      </c>
      <c r="M66" s="324"/>
      <c r="N66" s="8" t="str">
        <f t="shared" si="3"/>
        <v/>
      </c>
      <c r="O66" s="325" t="str">
        <f t="shared" si="4"/>
        <v/>
      </c>
      <c r="P66" s="326"/>
      <c r="Q66" s="327" t="str">
        <f t="shared" si="5"/>
        <v/>
      </c>
      <c r="R66" s="328" t="str">
        <f>IFERROR(__xludf.DUMMYFUNCTION("IF(A66&lt;&gt;""☑"","""",IF(OR(Q66="""",Q66=""Manual Start""),J66,IF(OR(Q66=""After Previous in Resource Stream"",Q66=""After Previous in Sequence""),IFERROR(LET(prevfinish,IF(P66&lt;&gt;"""",SUMIFS($S$10:S65,$O$10:O65,O66,$P$10:P65,P66-1),LOOKUP(2,1/($O$10:O65=O66),"&amp;"$S$10:S65)),IF(prevfinish=0,"""",MIN(FILTER('School Calendar'!$A$44:$A$408,('School Calendar'!$A$44:$A$408&gt;prevfinish)*('School Calendar'!$I$44:$I$408&gt;0))))),""""),J66)))"),"")</f>
        <v/>
      </c>
      <c r="S66" s="329" t="str">
        <f>IFERROR(__xludf.DUMMYFUNCTION("IF(OR(A66&lt;&gt;""☑"",R66="""",N66=""""),"""",IFERROR(LET(st,R66,n,N66,pace,K66,gap,MAX(1,L66),calDates,'School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6" s="330"/>
      <c r="U66" s="346" t="str">
        <f t="shared" si="6"/>
        <v/>
      </c>
      <c r="V66" s="332" t="str">
        <f>IF($D66="","",IF(COUNTIF('Student Work'!$C$24:$C$223,$D66)&gt;0,"Individual",SWITCH(TRUE,COUNTIF('Strand Placement'!$B$21:$B$26,$D66)&gt;0,'Strand Placement'!$D$6,COUNTIF('Strand Placement'!$B$30:$B$35,$D66)&gt;0,'Strand Placement'!$D$7,COUNTIF('Strand Placement'!$B$39:$B$44,$D66)&gt;0,'Strand Placement'!$D$8,COUNTIF('Strand Placement'!$B$48:$B$53,$D66)&gt;0,'Strand Placement'!$D$9,COUNTIF('Strand Placement'!$B$57:$B$62,$D66)&gt;0,'Strand Placement'!$D$10,COUNTIF('Strand Placement'!$B$66:$B$71,$D66)&gt;0,'Strand Placement'!$D$11,COUNTIF('Strand Placement'!$B$75:$B$80,$D66)&gt;0,'Strand Placement'!$D$12,COUNTIF('Strand Placement'!$B$84:$B$89,$D66)&gt;0,'Strand Placement'!$D$13,"")))</f>
        <v/>
      </c>
      <c r="W66" s="332" t="str">
        <f t="array" ref="W66">IF($D66="","",IF($AB66&lt;&gt;"",$AB66,IF(COUNTIF('Student Work'!$C$24:$C$223,$D66)&gt;0,XLOOKUP($D66,'Student Work'!$C$24:$C$223,'Student Work'!$D$24:$D$223,""),LET(rowRole,XLOOKUP($D66,'Strand Placement'!$B$21:$B$89,'Strand Placement'!$D$21:$D$89,""),blockRole,SWITCH(TRUE,COUNTIF('Strand Placement'!$B$21:$B$26,$D66)&gt;0,'Strand Placement'!$E$6,COUNTIF('Strand Placement'!$B$30:$B$35,$D66)&gt;0,'Strand Placement'!$E$7,COUNTIF('Strand Placement'!$B$39:$B$44,$D66)&gt;0,'Strand Placement'!$E$8,COUNTIF('Strand Placement'!$B$48:$B$53,$D66)&gt;0,'Strand Placement'!$E$9,COUNTIF('Strand Placement'!$B$57:$B$62,$D66)&gt;0,'Strand Placement'!$E$10,COUNTIF('Strand Placement'!$B$66:$B$71,$D66)&gt;0,'Strand Placement'!$E$11,COUNTIF('Strand Placement'!$B$75:$B$80,$D66)&gt;0,'Strand Placement'!$E$12,COUNTIF('Strand Placement'!$B$84:$B$89,$D66)&gt;0,'Strand Placement'!$E$13,""),IF(rowRole&lt;&gt;"",rowRole,blockRole)))))</f>
        <v/>
      </c>
      <c r="X66" s="335"/>
      <c r="Y66" s="335"/>
      <c r="Z66" s="335"/>
      <c r="AA66" s="335"/>
      <c r="AB66" s="335"/>
      <c r="AC66" s="336" t="str">
        <f t="array" ref="AC66">IF($D66="","",IF(COUNTIF('Student Work'!$C$24:$C$223,$D66)&gt;0,XLOOKUP($D66,'Student Work'!$C$24:$C$223,'Student Work'!$E$24:$E$223,""),XLOOKUP($D66,'Strand Placement'!$B$21:$B$89,'Strand Placement'!$K$21:$K$89,"")))</f>
        <v/>
      </c>
      <c r="AD66" s="336" t="str">
        <f t="array" ref="AD66">IF($D66="","",IF(COUNTIF('Student Work'!$C$24:$C$223,$D66)&gt;0,XLOOKUP($D66,'Student Work'!$C$24:$C$223,'Student Work'!$H$24:$H$223,""),XLOOKUP($D66,'Strand Placement'!$B$21:$B$89,'Strand Placement'!$L$21:$L$89,"")))</f>
        <v/>
      </c>
      <c r="AE66" s="336"/>
      <c r="AF66" s="336"/>
      <c r="AG66" s="339" t="s">
        <v>287</v>
      </c>
      <c r="AH66" s="336"/>
    </row>
    <row r="67" ht="15.75" customHeight="1">
      <c r="A67" s="197" t="str">
        <f t="shared" si="1"/>
        <v/>
      </c>
      <c r="B67" s="246" t="str">
        <f t="array" ref="B67">IF($D67="","",IF($X67&lt;&gt;"",$X67,IF(COUNTIF('Student Work'!$C$24:$C$223,$D67)&gt;0,XLOOKUP($D67,'Student Work'!$C$24:$C$223,'Student Work'!$B$24:$B$223,""),SWITCH(TRUE,COUNTIF('Strand Placement'!$B$21:$B$26,$D67)&gt;0,'Strand Placement'!$A$19,COUNTIF('Strand Placement'!$B$30:$B$35,$D67)&gt;0,'Strand Placement'!$A$28,COUNTIF('Strand Placement'!$B$39:$B$44,$D67)&gt;0,'Strand Placement'!$A$37,COUNTIF('Strand Placement'!$B$48:$B$53,$D67)&gt;0,'Strand Placement'!$A$46,COUNTIF('Strand Placement'!$B$57:$B$62,$D67)&gt;0,'Strand Placement'!$A$55,COUNTIF('Strand Placement'!$B$66:$B$71,$D67)&gt;0,'Strand Placement'!$A$64,COUNTIF('Strand Placement'!$B$75:$B$80,$D67)&gt;0,'Strand Placement'!$A$73,COUNTIF('Strand Placement'!$B$84:$B$89,$D67)&gt;0,'Strand Placement'!$A$82,""))))</f>
        <v/>
      </c>
      <c r="C67" s="246" t="str">
        <f t="array" ref="C67">IF($D67="","",IF($Y67&lt;&gt;"",$Y67,IF(COUNTIF('Student Work'!$C$24:$C$223,$D67)&gt;0,XLOOKUP($D67,'Student Work'!$C$24:$C$223,'Student Work'!$A$24:$A$223,""),LET(rowWho,XLOOKUP($D67,'Strand Placement'!$B$21:$B$89,'Strand Placement'!$C$21:$C$89,""),blockWho,SWITCH(TRUE,COUNTIF('Strand Placement'!$B$21:$B$26,$D67)&gt;0,'Strand Placement'!$C$6,COUNTIF('Strand Placement'!$B$30:$B$35,$D67)&gt;0,'Strand Placement'!$C$7,COUNTIF('Strand Placement'!$B$39:$B$44,$D67)&gt;0,'Strand Placement'!$C$8,COUNTIF('Strand Placement'!$B$48:$B$53,$D67)&gt;0,'Strand Placement'!$C$9,COUNTIF('Strand Placement'!$B$57:$B$62,$D67)&gt;0,'Strand Placement'!$C$10,COUNTIF('Strand Placement'!$B$66:$B$71,$D67)&gt;0,'Strand Placement'!$C$11,COUNTIF('Strand Placement'!$B$75:$B$80,$D67)&gt;0,'Strand Placement'!$C$12,COUNTIF('Strand Placement'!$B$84:$B$89,$D67)&gt;0,'Strand Placement'!$C$13,""),IF(rowWho&lt;&gt;"",rowWho,blockWho)))))</f>
        <v/>
      </c>
      <c r="D67" s="197"/>
      <c r="E67" s="197"/>
      <c r="F67" s="197" t="s">
        <v>101</v>
      </c>
      <c r="G67" s="197"/>
      <c r="H67" s="197"/>
      <c r="I67" s="197"/>
      <c r="J67" s="323"/>
      <c r="K67" s="246" t="str">
        <f t="shared" si="2"/>
        <v/>
      </c>
      <c r="L67" s="197">
        <v>3.0</v>
      </c>
      <c r="M67" s="324"/>
      <c r="N67" s="8" t="str">
        <f t="shared" si="3"/>
        <v/>
      </c>
      <c r="O67" s="325" t="str">
        <f t="shared" si="4"/>
        <v/>
      </c>
      <c r="P67" s="326"/>
      <c r="Q67" s="327" t="str">
        <f t="shared" si="5"/>
        <v/>
      </c>
      <c r="R67" s="328" t="str">
        <f>IFERROR(__xludf.DUMMYFUNCTION("IF(A67&lt;&gt;""☑"","""",IF(OR(Q67="""",Q67=""Manual Start""),J67,IF(OR(Q67=""After Previous in Resource Stream"",Q67=""After Previous in Sequence""),IFERROR(LET(prevfinish,IF(P67&lt;&gt;"""",SUMIFS($S$10:S66,$O$10:O66,O67,$P$10:P66,P67-1),LOOKUP(2,1/($O$10:O66=O67),"&amp;"$S$10:S66)),IF(prevfinish=0,"""",MIN(FILTER('School Calendar'!$A$44:$A$408,('School Calendar'!$A$44:$A$408&gt;prevfinish)*('School Calendar'!$I$44:$I$408&gt;0))))),""""),J67)))"),"")</f>
        <v/>
      </c>
      <c r="S67" s="329" t="str">
        <f>IFERROR(__xludf.DUMMYFUNCTION("IF(OR(A67&lt;&gt;""☑"",R67="""",N67=""""),"""",IFERROR(LET(st,R67,n,N67,pace,K67,gap,MAX(1,L67),calDates,'School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7" s="330"/>
      <c r="U67" s="346" t="str">
        <f t="shared" si="6"/>
        <v/>
      </c>
      <c r="V67" s="332" t="str">
        <f>IF($D67="","",IF(COUNTIF('Student Work'!$C$24:$C$223,$D67)&gt;0,"Individual",SWITCH(TRUE,COUNTIF('Strand Placement'!$B$21:$B$26,$D67)&gt;0,'Strand Placement'!$D$6,COUNTIF('Strand Placement'!$B$30:$B$35,$D67)&gt;0,'Strand Placement'!$D$7,COUNTIF('Strand Placement'!$B$39:$B$44,$D67)&gt;0,'Strand Placement'!$D$8,COUNTIF('Strand Placement'!$B$48:$B$53,$D67)&gt;0,'Strand Placement'!$D$9,COUNTIF('Strand Placement'!$B$57:$B$62,$D67)&gt;0,'Strand Placement'!$D$10,COUNTIF('Strand Placement'!$B$66:$B$71,$D67)&gt;0,'Strand Placement'!$D$11,COUNTIF('Strand Placement'!$B$75:$B$80,$D67)&gt;0,'Strand Placement'!$D$12,COUNTIF('Strand Placement'!$B$84:$B$89,$D67)&gt;0,'Strand Placement'!$D$13,"")))</f>
        <v/>
      </c>
      <c r="W67" s="332" t="str">
        <f t="array" ref="W67">IF($D67="","",IF($AB67&lt;&gt;"",$AB67,IF(COUNTIF('Student Work'!$C$24:$C$223,$D67)&gt;0,XLOOKUP($D67,'Student Work'!$C$24:$C$223,'Student Work'!$D$24:$D$223,""),LET(rowRole,XLOOKUP($D67,'Strand Placement'!$B$21:$B$89,'Strand Placement'!$D$21:$D$89,""),blockRole,SWITCH(TRUE,COUNTIF('Strand Placement'!$B$21:$B$26,$D67)&gt;0,'Strand Placement'!$E$6,COUNTIF('Strand Placement'!$B$30:$B$35,$D67)&gt;0,'Strand Placement'!$E$7,COUNTIF('Strand Placement'!$B$39:$B$44,$D67)&gt;0,'Strand Placement'!$E$8,COUNTIF('Strand Placement'!$B$48:$B$53,$D67)&gt;0,'Strand Placement'!$E$9,COUNTIF('Strand Placement'!$B$57:$B$62,$D67)&gt;0,'Strand Placement'!$E$10,COUNTIF('Strand Placement'!$B$66:$B$71,$D67)&gt;0,'Strand Placement'!$E$11,COUNTIF('Strand Placement'!$B$75:$B$80,$D67)&gt;0,'Strand Placement'!$E$12,COUNTIF('Strand Placement'!$B$84:$B$89,$D67)&gt;0,'Strand Placement'!$E$13,""),IF(rowRole&lt;&gt;"",rowRole,blockRole)))))</f>
        <v/>
      </c>
      <c r="X67" s="335"/>
      <c r="Y67" s="335"/>
      <c r="Z67" s="335"/>
      <c r="AA67" s="335"/>
      <c r="AB67" s="335"/>
      <c r="AC67" s="336" t="str">
        <f t="array" ref="AC67">IF($D67="","",IF(COUNTIF('Student Work'!$C$24:$C$223,$D67)&gt;0,XLOOKUP($D67,'Student Work'!$C$24:$C$223,'Student Work'!$E$24:$E$223,""),XLOOKUP($D67,'Strand Placement'!$B$21:$B$89,'Strand Placement'!$K$21:$K$89,"")))</f>
        <v/>
      </c>
      <c r="AD67" s="336" t="str">
        <f t="array" ref="AD67">IF($D67="","",IF(COUNTIF('Student Work'!$C$24:$C$223,$D67)&gt;0,XLOOKUP($D67,'Student Work'!$C$24:$C$223,'Student Work'!$H$24:$H$223,""),XLOOKUP($D67,'Strand Placement'!$B$21:$B$89,'Strand Placement'!$L$21:$L$89,"")))</f>
        <v/>
      </c>
      <c r="AE67" s="336"/>
      <c r="AF67" s="336"/>
      <c r="AG67" s="339" t="s">
        <v>622</v>
      </c>
      <c r="AH67" s="336"/>
    </row>
    <row r="68" ht="15.75" customHeight="1">
      <c r="A68" s="197" t="str">
        <f t="shared" si="1"/>
        <v/>
      </c>
      <c r="B68" s="246" t="str">
        <f t="array" ref="B68">IF($D68="","",IF($X68&lt;&gt;"",$X68,IF(COUNTIF('Student Work'!$C$24:$C$223,$D68)&gt;0,XLOOKUP($D68,'Student Work'!$C$24:$C$223,'Student Work'!$B$24:$B$223,""),SWITCH(TRUE,COUNTIF('Strand Placement'!$B$21:$B$26,$D68)&gt;0,'Strand Placement'!$A$19,COUNTIF('Strand Placement'!$B$30:$B$35,$D68)&gt;0,'Strand Placement'!$A$28,COUNTIF('Strand Placement'!$B$39:$B$44,$D68)&gt;0,'Strand Placement'!$A$37,COUNTIF('Strand Placement'!$B$48:$B$53,$D68)&gt;0,'Strand Placement'!$A$46,COUNTIF('Strand Placement'!$B$57:$B$62,$D68)&gt;0,'Strand Placement'!$A$55,COUNTIF('Strand Placement'!$B$66:$B$71,$D68)&gt;0,'Strand Placement'!$A$64,COUNTIF('Strand Placement'!$B$75:$B$80,$D68)&gt;0,'Strand Placement'!$A$73,COUNTIF('Strand Placement'!$B$84:$B$89,$D68)&gt;0,'Strand Placement'!$A$82,""))))</f>
        <v/>
      </c>
      <c r="C68" s="246" t="str">
        <f t="array" ref="C68">IF($D68="","",IF($Y68&lt;&gt;"",$Y68,IF(COUNTIF('Student Work'!$C$24:$C$223,$D68)&gt;0,XLOOKUP($D68,'Student Work'!$C$24:$C$223,'Student Work'!$A$24:$A$223,""),LET(rowWho,XLOOKUP($D68,'Strand Placement'!$B$21:$B$89,'Strand Placement'!$C$21:$C$89,""),blockWho,SWITCH(TRUE,COUNTIF('Strand Placement'!$B$21:$B$26,$D68)&gt;0,'Strand Placement'!$C$6,COUNTIF('Strand Placement'!$B$30:$B$35,$D68)&gt;0,'Strand Placement'!$C$7,COUNTIF('Strand Placement'!$B$39:$B$44,$D68)&gt;0,'Strand Placement'!$C$8,COUNTIF('Strand Placement'!$B$48:$B$53,$D68)&gt;0,'Strand Placement'!$C$9,COUNTIF('Strand Placement'!$B$57:$B$62,$D68)&gt;0,'Strand Placement'!$C$10,COUNTIF('Strand Placement'!$B$66:$B$71,$D68)&gt;0,'Strand Placement'!$C$11,COUNTIF('Strand Placement'!$B$75:$B$80,$D68)&gt;0,'Strand Placement'!$C$12,COUNTIF('Strand Placement'!$B$84:$B$89,$D68)&gt;0,'Strand Placement'!$C$13,""),IF(rowWho&lt;&gt;"",rowWho,blockWho)))))</f>
        <v/>
      </c>
      <c r="D68" s="197"/>
      <c r="E68" s="197"/>
      <c r="F68" s="197" t="s">
        <v>101</v>
      </c>
      <c r="G68" s="197"/>
      <c r="H68" s="197"/>
      <c r="I68" s="197"/>
      <c r="J68" s="323"/>
      <c r="K68" s="246" t="str">
        <f t="shared" si="2"/>
        <v/>
      </c>
      <c r="L68" s="197">
        <v>3.0</v>
      </c>
      <c r="M68" s="324"/>
      <c r="N68" s="8" t="str">
        <f t="shared" si="3"/>
        <v/>
      </c>
      <c r="O68" s="325" t="str">
        <f t="shared" si="4"/>
        <v/>
      </c>
      <c r="P68" s="326"/>
      <c r="Q68" s="327" t="str">
        <f t="shared" si="5"/>
        <v/>
      </c>
      <c r="R68" s="328" t="str">
        <f>IFERROR(__xludf.DUMMYFUNCTION("IF(A68&lt;&gt;""☑"","""",IF(OR(Q68="""",Q68=""Manual Start""),J68,IF(OR(Q68=""After Previous in Resource Stream"",Q68=""After Previous in Sequence""),IFERROR(LET(prevfinish,IF(P68&lt;&gt;"""",SUMIFS($S$10:S67,$O$10:O67,O68,$P$10:P67,P68-1),LOOKUP(2,1/($O$10:O67=O68),"&amp;"$S$10:S67)),IF(prevfinish=0,"""",MIN(FILTER('School Calendar'!$A$44:$A$408,('School Calendar'!$A$44:$A$408&gt;prevfinish)*('School Calendar'!$I$44:$I$408&gt;0))))),""""),J68)))"),"")</f>
        <v/>
      </c>
      <c r="S68" s="329" t="str">
        <f>IFERROR(__xludf.DUMMYFUNCTION("IF(OR(A68&lt;&gt;""☑"",R68="""",N68=""""),"""",IFERROR(LET(st,R68,n,N68,pace,K68,gap,MAX(1,L68),calDates,'School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8" s="330"/>
      <c r="U68" s="346" t="str">
        <f t="shared" si="6"/>
        <v/>
      </c>
      <c r="V68" s="332" t="str">
        <f>IF($D68="","",IF(COUNTIF('Student Work'!$C$24:$C$223,$D68)&gt;0,"Individual",SWITCH(TRUE,COUNTIF('Strand Placement'!$B$21:$B$26,$D68)&gt;0,'Strand Placement'!$D$6,COUNTIF('Strand Placement'!$B$30:$B$35,$D68)&gt;0,'Strand Placement'!$D$7,COUNTIF('Strand Placement'!$B$39:$B$44,$D68)&gt;0,'Strand Placement'!$D$8,COUNTIF('Strand Placement'!$B$48:$B$53,$D68)&gt;0,'Strand Placement'!$D$9,COUNTIF('Strand Placement'!$B$57:$B$62,$D68)&gt;0,'Strand Placement'!$D$10,COUNTIF('Strand Placement'!$B$66:$B$71,$D68)&gt;0,'Strand Placement'!$D$11,COUNTIF('Strand Placement'!$B$75:$B$80,$D68)&gt;0,'Strand Placement'!$D$12,COUNTIF('Strand Placement'!$B$84:$B$89,$D68)&gt;0,'Strand Placement'!$D$13,"")))</f>
        <v/>
      </c>
      <c r="W68" s="332" t="str">
        <f t="array" ref="W68">IF($D68="","",IF($AB68&lt;&gt;"",$AB68,IF(COUNTIF('Student Work'!$C$24:$C$223,$D68)&gt;0,XLOOKUP($D68,'Student Work'!$C$24:$C$223,'Student Work'!$D$24:$D$223,""),LET(rowRole,XLOOKUP($D68,'Strand Placement'!$B$21:$B$89,'Strand Placement'!$D$21:$D$89,""),blockRole,SWITCH(TRUE,COUNTIF('Strand Placement'!$B$21:$B$26,$D68)&gt;0,'Strand Placement'!$E$6,COUNTIF('Strand Placement'!$B$30:$B$35,$D68)&gt;0,'Strand Placement'!$E$7,COUNTIF('Strand Placement'!$B$39:$B$44,$D68)&gt;0,'Strand Placement'!$E$8,COUNTIF('Strand Placement'!$B$48:$B$53,$D68)&gt;0,'Strand Placement'!$E$9,COUNTIF('Strand Placement'!$B$57:$B$62,$D68)&gt;0,'Strand Placement'!$E$10,COUNTIF('Strand Placement'!$B$66:$B$71,$D68)&gt;0,'Strand Placement'!$E$11,COUNTIF('Strand Placement'!$B$75:$B$80,$D68)&gt;0,'Strand Placement'!$E$12,COUNTIF('Strand Placement'!$B$84:$B$89,$D68)&gt;0,'Strand Placement'!$E$13,""),IF(rowRole&lt;&gt;"",rowRole,blockRole)))))</f>
        <v/>
      </c>
      <c r="X68" s="335"/>
      <c r="Y68" s="335"/>
      <c r="Z68" s="335"/>
      <c r="AA68" s="335"/>
      <c r="AB68" s="335"/>
      <c r="AC68" s="336" t="str">
        <f t="array" ref="AC68">IF($D68="","",IF(COUNTIF('Student Work'!$C$24:$C$223,$D68)&gt;0,XLOOKUP($D68,'Student Work'!$C$24:$C$223,'Student Work'!$E$24:$E$223,""),XLOOKUP($D68,'Strand Placement'!$B$21:$B$89,'Strand Placement'!$K$21:$K$89,"")))</f>
        <v/>
      </c>
      <c r="AD68" s="336" t="str">
        <f t="array" ref="AD68">IF($D68="","",IF(COUNTIF('Student Work'!$C$24:$C$223,$D68)&gt;0,XLOOKUP($D68,'Student Work'!$C$24:$C$223,'Student Work'!$H$24:$H$223,""),XLOOKUP($D68,'Strand Placement'!$B$21:$B$89,'Strand Placement'!$L$21:$L$89,"")))</f>
        <v/>
      </c>
      <c r="AE68" s="336"/>
      <c r="AF68" s="336"/>
      <c r="AG68" s="339" t="s">
        <v>627</v>
      </c>
      <c r="AH68" s="336"/>
    </row>
    <row r="69" ht="15.75" customHeight="1">
      <c r="A69" s="197" t="str">
        <f t="shared" si="1"/>
        <v/>
      </c>
      <c r="B69" s="246" t="str">
        <f t="array" ref="B69">IF($D69="","",IF($X69&lt;&gt;"",$X69,IF(COUNTIF('Student Work'!$C$24:$C$223,$D69)&gt;0,XLOOKUP($D69,'Student Work'!$C$24:$C$223,'Student Work'!$B$24:$B$223,""),SWITCH(TRUE,COUNTIF('Strand Placement'!$B$21:$B$26,$D69)&gt;0,'Strand Placement'!$A$19,COUNTIF('Strand Placement'!$B$30:$B$35,$D69)&gt;0,'Strand Placement'!$A$28,COUNTIF('Strand Placement'!$B$39:$B$44,$D69)&gt;0,'Strand Placement'!$A$37,COUNTIF('Strand Placement'!$B$48:$B$53,$D69)&gt;0,'Strand Placement'!$A$46,COUNTIF('Strand Placement'!$B$57:$B$62,$D69)&gt;0,'Strand Placement'!$A$55,COUNTIF('Strand Placement'!$B$66:$B$71,$D69)&gt;0,'Strand Placement'!$A$64,COUNTIF('Strand Placement'!$B$75:$B$80,$D69)&gt;0,'Strand Placement'!$A$73,COUNTIF('Strand Placement'!$B$84:$B$89,$D69)&gt;0,'Strand Placement'!$A$82,""))))</f>
        <v/>
      </c>
      <c r="C69" s="246" t="str">
        <f t="array" ref="C69">IF($D69="","",IF($Y69&lt;&gt;"",$Y69,IF(COUNTIF('Student Work'!$C$24:$C$223,$D69)&gt;0,XLOOKUP($D69,'Student Work'!$C$24:$C$223,'Student Work'!$A$24:$A$223,""),LET(rowWho,XLOOKUP($D69,'Strand Placement'!$B$21:$B$89,'Strand Placement'!$C$21:$C$89,""),blockWho,SWITCH(TRUE,COUNTIF('Strand Placement'!$B$21:$B$26,$D69)&gt;0,'Strand Placement'!$C$6,COUNTIF('Strand Placement'!$B$30:$B$35,$D69)&gt;0,'Strand Placement'!$C$7,COUNTIF('Strand Placement'!$B$39:$B$44,$D69)&gt;0,'Strand Placement'!$C$8,COUNTIF('Strand Placement'!$B$48:$B$53,$D69)&gt;0,'Strand Placement'!$C$9,COUNTIF('Strand Placement'!$B$57:$B$62,$D69)&gt;0,'Strand Placement'!$C$10,COUNTIF('Strand Placement'!$B$66:$B$71,$D69)&gt;0,'Strand Placement'!$C$11,COUNTIF('Strand Placement'!$B$75:$B$80,$D69)&gt;0,'Strand Placement'!$C$12,COUNTIF('Strand Placement'!$B$84:$B$89,$D69)&gt;0,'Strand Placement'!$C$13,""),IF(rowWho&lt;&gt;"",rowWho,blockWho)))))</f>
        <v/>
      </c>
      <c r="D69" s="197"/>
      <c r="E69" s="197"/>
      <c r="F69" s="197" t="s">
        <v>101</v>
      </c>
      <c r="G69" s="197"/>
      <c r="H69" s="197"/>
      <c r="I69" s="197"/>
      <c r="J69" s="323"/>
      <c r="K69" s="246" t="str">
        <f t="shared" si="2"/>
        <v/>
      </c>
      <c r="L69" s="197">
        <v>3.0</v>
      </c>
      <c r="M69" s="324"/>
      <c r="N69" s="8" t="str">
        <f t="shared" si="3"/>
        <v/>
      </c>
      <c r="O69" s="325" t="str">
        <f t="shared" si="4"/>
        <v/>
      </c>
      <c r="P69" s="453"/>
      <c r="Q69" s="327" t="str">
        <f t="shared" si="5"/>
        <v/>
      </c>
      <c r="R69" s="454" t="str">
        <f>IFERROR(__xludf.DUMMYFUNCTION("IF(A69&lt;&gt;""☑"","""",IF(OR(Q69="""",Q69=""Manual Start""),J69,IF(OR(Q69=""After Previous in Resource Stream"",Q69=""After Previous in Sequence""),IFERROR(LET(prevfinish,IF(P69&lt;&gt;"""",SUMIFS($S$10:S68,$O$10:O68,O69,$P$10:P68,P69-1),LOOKUP(2,1/($O$10:O68=O69),"&amp;"$S$10:S68)),IF(prevfinish=0,"""",MIN(FILTER('School Calendar'!$A$44:$A$408,('School Calendar'!$A$44:$A$408&gt;prevfinish)*('School Calendar'!$I$44:$I$408&gt;0))))),""""),J69)))"),"")</f>
        <v/>
      </c>
      <c r="S69" s="329" t="str">
        <f>IFERROR(__xludf.DUMMYFUNCTION("IF(OR(A69&lt;&gt;""☑"",R69="""",N69=""""),"""",IFERROR(LET(st,R69,n,N69,pace,K69,gap,MAX(1,L69),calDates,'School Calendar'!$A$44:$A$408,calSchool,'School Calendar'!$H$44:$H$408,exam,'School Calendar'!$M$44:$M$408,useExam,'School Calendar'!$B$9=""Yes"",eligibleD"&amp;"ates,FILTER(calDates,(calSchool=TRUE)*(1-useExam*exam)),startDate,MIN(FILTER(eligibleDates,eligibleDates&gt;=st)),startPos,MATCH(startDate,eligibleDates,0),offset,SWITCH(pace,""4x/week"",5*INT((n-1)/4)+MOD(n-1,4),""3x/week"",5*INT((n-1)/3)+MOD(n-1,3),""2x/we"&amp;"ek"",5*INT((n-1)/2)+MOD(n-1,2),""1x/week"",5*(n-1),""Every other week"",10*(n-1),""Custom"",gap*(n-1),n-1),INDEX(eligibleDates,startPos+offset)),""""))"),"")</f>
        <v/>
      </c>
      <c r="T69" s="455"/>
      <c r="U69" s="346" t="str">
        <f t="shared" si="6"/>
        <v/>
      </c>
      <c r="V69" s="332" t="str">
        <f>IF($D69="","",IF(COUNTIF('Student Work'!$C$24:$C$223,$D69)&gt;0,"Individual",SWITCH(TRUE,COUNTIF('Strand Placement'!$B$21:$B$26,$D69)&gt;0,'Strand Placement'!$D$6,COUNTIF('Strand Placement'!$B$30:$B$35,$D69)&gt;0,'Strand Placement'!$D$7,COUNTIF('Strand Placement'!$B$39:$B$44,$D69)&gt;0,'Strand Placement'!$D$8,COUNTIF('Strand Placement'!$B$48:$B$53,$D69)&gt;0,'Strand Placement'!$D$9,COUNTIF('Strand Placement'!$B$57:$B$62,$D69)&gt;0,'Strand Placement'!$D$10,COUNTIF('Strand Placement'!$B$66:$B$71,$D69)&gt;0,'Strand Placement'!$D$11,COUNTIF('Strand Placement'!$B$75:$B$80,$D69)&gt;0,'Strand Placement'!$D$12,COUNTIF('Strand Placement'!$B$84:$B$89,$D69)&gt;0,'Strand Placement'!$D$13,"")))</f>
        <v/>
      </c>
      <c r="W69" s="332" t="str">
        <f t="array" ref="W69">IF($D69="","",IF($AB69&lt;&gt;"",$AB69,IF(COUNTIF('Student Work'!$C$24:$C$223,$D69)&gt;0,XLOOKUP($D69,'Student Work'!$C$24:$C$223,'Student Work'!$D$24:$D$223,""),LET(rowRole,XLOOKUP($D69,'Strand Placement'!$B$21:$B$89,'Strand Placement'!$D$21:$D$89,""),blockRole,SWITCH(TRUE,COUNTIF('Strand Placement'!$B$21:$B$26,$D69)&gt;0,'Strand Placement'!$E$6,COUNTIF('Strand Placement'!$B$30:$B$35,$D69)&gt;0,'Strand Placement'!$E$7,COUNTIF('Strand Placement'!$B$39:$B$44,$D69)&gt;0,'Strand Placement'!$E$8,COUNTIF('Strand Placement'!$B$48:$B$53,$D69)&gt;0,'Strand Placement'!$E$9,COUNTIF('Strand Placement'!$B$57:$B$62,$D69)&gt;0,'Strand Placement'!$E$10,COUNTIF('Strand Placement'!$B$66:$B$71,$D69)&gt;0,'Strand Placement'!$E$11,COUNTIF('Strand Placement'!$B$75:$B$80,$D69)&gt;0,'Strand Placement'!$E$12,COUNTIF('Strand Placement'!$B$84:$B$89,$D69)&gt;0,'Strand Placement'!$E$13,""),IF(rowRole&lt;&gt;"",rowRole,blockRole)))))</f>
        <v/>
      </c>
      <c r="X69" s="456"/>
      <c r="Y69" s="456"/>
      <c r="Z69" s="456"/>
      <c r="AA69" s="456"/>
      <c r="AB69" s="456"/>
      <c r="AC69" s="336" t="str">
        <f t="array" ref="AC69">IF($D69="","",IF(COUNTIF('Student Work'!$C$24:$C$223,$D69)&gt;0,XLOOKUP($D69,'Student Work'!$C$24:$C$223,'Student Work'!$E$24:$E$223,""),XLOOKUP($D69,'Strand Placement'!$B$21:$B$89,'Strand Placement'!$K$21:$K$89,"")))</f>
        <v/>
      </c>
      <c r="AD69" s="336" t="str">
        <f t="array" ref="AD69">IF($D69="","",IF(COUNTIF('Student Work'!$C$24:$C$223,$D69)&gt;0,XLOOKUP($D69,'Student Work'!$C$24:$C$223,'Student Work'!$H$24:$H$223,""),XLOOKUP($D69,'Strand Placement'!$B$21:$B$89,'Strand Placement'!$L$21:$L$89,"")))</f>
        <v/>
      </c>
      <c r="AE69" s="336"/>
      <c r="AF69" s="336"/>
      <c r="AG69" s="339" t="s">
        <v>288</v>
      </c>
      <c r="AH69" s="336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229" t="s">
        <v>286</v>
      </c>
      <c r="AH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229" t="s">
        <v>277</v>
      </c>
      <c r="AH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229"/>
      <c r="AH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229"/>
      <c r="AH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3:J3"/>
    <mergeCell ref="F4:H4"/>
    <mergeCell ref="F5:H5"/>
    <mergeCell ref="D7:J7"/>
  </mergeCells>
  <dataValidations>
    <dataValidation type="list" allowBlank="1" sqref="B10:B69">
      <formula1>'Strand Placement'!$B$6:$B$13</formula1>
    </dataValidation>
    <dataValidation type="list" allowBlank="1" showErrorMessage="1" sqref="I5">
      <formula1>'Resource Planner'!$AH$5:$AH$10</formula1>
    </dataValidation>
    <dataValidation type="list" allowBlank="1" sqref="D10:D69">
      <formula1>'Helper Data'!$F$5:$F$300</formula1>
    </dataValidation>
    <dataValidation type="list" allowBlank="1" showErrorMessage="1" sqref="D5">
      <formula1>'Resource Planner'!$AE$5:$AE$100</formula1>
    </dataValidation>
    <dataValidation type="list" allowBlank="1" showErrorMessage="1" sqref="E5">
      <formula1>'Resource Planner'!$AF$5:$AF$100</formula1>
    </dataValidation>
    <dataValidation type="list" allowBlank="1" showErrorMessage="1" sqref="F5">
      <formula1>'Resource Planner'!$AG$5:$AG$200</formula1>
    </dataValidation>
    <dataValidation type="list" allowBlank="1" sqref="C10:C69">
      <formula1>Setup!$S$6:$S$35</formula1>
    </dataValidation>
    <dataValidation type="list" allowBlank="1" sqref="A10:A69">
      <formula1>"☑,☐"</formula1>
    </dataValidation>
    <dataValidation type="list" allowBlank="1" sqref="F10:F69">
      <formula1>Setup!$Q$6:$Q$13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B6B6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2.63"/>
    <col customWidth="1" min="2" max="7" width="17.0"/>
    <col customWidth="1" min="8" max="13" width="15.75"/>
    <col customWidth="1" min="14" max="37" width="11.13"/>
    <col customWidth="1" hidden="1" min="38" max="45" width="8.63"/>
  </cols>
  <sheetData>
    <row r="1" ht="15.75" customHeight="1">
      <c r="A1" s="333" t="s">
        <v>371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81"/>
      <c r="AM1" s="81"/>
      <c r="AN1" s="81"/>
      <c r="AO1" s="81"/>
      <c r="AP1" s="81"/>
      <c r="AQ1" s="81"/>
      <c r="AR1" s="81"/>
      <c r="AS1" s="81"/>
    </row>
    <row r="2" ht="15.75" customHeight="1">
      <c r="A2" s="337" t="s">
        <v>373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81"/>
      <c r="AM2" s="81"/>
      <c r="AN2" s="81"/>
      <c r="AO2" s="81"/>
      <c r="AP2" s="81"/>
      <c r="AQ2" s="81"/>
      <c r="AR2" s="81"/>
      <c r="AS2" s="81"/>
    </row>
    <row r="3" ht="15.75" customHeight="1">
      <c r="A3" s="152" t="s">
        <v>375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</row>
    <row r="4" ht="15.75" customHeight="1">
      <c r="A4" s="340" t="s">
        <v>197</v>
      </c>
      <c r="B4" s="341" t="s">
        <v>376</v>
      </c>
      <c r="C4" s="341" t="s">
        <v>319</v>
      </c>
      <c r="D4" s="341" t="s">
        <v>281</v>
      </c>
      <c r="E4" s="341" t="s">
        <v>342</v>
      </c>
      <c r="F4" s="341" t="s">
        <v>164</v>
      </c>
      <c r="G4" s="342" t="s">
        <v>185</v>
      </c>
      <c r="H4" s="33"/>
      <c r="I4" s="33"/>
      <c r="J4" s="33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</row>
    <row r="5" ht="15.75" customHeight="1">
      <c r="A5" s="343" t="s">
        <v>223</v>
      </c>
      <c r="B5" s="344" t="s">
        <v>223</v>
      </c>
      <c r="C5" s="344" t="s">
        <v>223</v>
      </c>
      <c r="D5" s="344" t="s">
        <v>223</v>
      </c>
      <c r="E5" s="344" t="s">
        <v>223</v>
      </c>
      <c r="F5" s="344" t="s">
        <v>379</v>
      </c>
      <c r="G5" s="345" t="s">
        <v>380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ht="15.7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</row>
    <row r="7" ht="15.75" customHeight="1">
      <c r="A7" s="347" t="s">
        <v>382</v>
      </c>
      <c r="B7" s="348" t="s">
        <v>383</v>
      </c>
      <c r="C7" s="348" t="s">
        <v>384</v>
      </c>
      <c r="D7" s="348" t="s">
        <v>385</v>
      </c>
      <c r="E7" s="348" t="s">
        <v>386</v>
      </c>
      <c r="F7" s="348" t="s">
        <v>387</v>
      </c>
      <c r="G7" s="348" t="s">
        <v>388</v>
      </c>
      <c r="H7" s="348" t="s">
        <v>389</v>
      </c>
      <c r="I7" s="348" t="s">
        <v>390</v>
      </c>
      <c r="J7" s="348" t="s">
        <v>391</v>
      </c>
      <c r="K7" s="348" t="s">
        <v>392</v>
      </c>
      <c r="L7" s="348" t="s">
        <v>393</v>
      </c>
      <c r="M7" s="349" t="str">
        <f>IF('School Calendar'!$B$9="Yes","Week 12 / Exam Week","Week 12")</f>
        <v>Week 12 / Exam Week</v>
      </c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</row>
    <row r="8" ht="15.75" customHeight="1">
      <c r="A8" s="350" t="str">
        <f>IFERROR(__xludf.DUMMYFUNCTION("IFERROR(LET(who,$A$5,blk,$B$5,subj,$C$5,sf,$D$5,rf,$E$5,tf,$F$5,stat,$G$5,d,'Generated Plan'!$A$5:$A$3004,w,'Generated Plan'!$B$5:$B$3004,b,'Generated Plan'!$C$5:$C$3004,st,'Generated Plan'!$D$5:$D$3004,re,'Generated Plan'!$E$5:$E$3004,done,'Generated Pla"&amp;"n'!$G$5:$G$3004,subjectCol,ARRAYFORMULA(IF(st="""","""",IFERROR(VLOOKUP(st,CHOOSECOLS('Helper Data'!$C$5:$F$304,4,1),2,FALSE),""""))),termCol,ARRAYFORMULA(IF(d="""","""",IFERROR(VLOOKUP(d,'School Calendar'!$A$44:$K$408,11,FALSE),""""))),doneFlag,((done="""&amp;"☑"")+(done=TRUE))&gt;0,SORT(UNIQUE(FILTER(re&amp;"" / ""&amp;st,(d&lt;&gt;"""")*(((who="""")+(who=""All"")+(w=who))&gt;0)*(((blk="""")+(blk=""All"")+(b=blk))&gt;0)*(((subj="""")+(subj=""All"")+(subjectCol=subj))&gt;0)*(((sf="""")+(sf=""All"")+(st=sf))&gt;0)*(((rf="""")+(rf=""All"")+("&amp;"re=rf))&gt;0)*(((tf="""")+(tf=""All"")+(termCol=tf))&gt;0)*(((stat="""")+(stat=""All"")+((stat=""Done"")*doneFlag)+((stat=""Not Done"")*(1-doneFlag)))&gt;0))))),"""")"),"AGF / All Together / Bible — Scripture Memory")</f>
        <v>AGF / All Together / Bible — Scripture Memory</v>
      </c>
      <c r="B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Done"")*(1-doneFlag)))&gt;0)))),""""))"),"")</f>
        <v/>
      </c>
      <c r="C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Done"")*(1-doneFlag)))&gt;0)))),""""))"),"8/18 — Week 1")</f>
        <v>8/18 — Week 1</v>
      </c>
      <c r="D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Done"")*(1-doneFlag)))&gt;0)))),""""))"),"8/25 — Week 2")</f>
        <v>8/25 — Week 2</v>
      </c>
      <c r="E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Done"")*(1-doneFlag)))&gt;0)))),""""))"),"9/1 — Week 3")</f>
        <v>9/1 — Week 3</v>
      </c>
      <c r="F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Done"")*(1-doneFlag)))&gt;0)))),""""))"),"9/8 — Week 4")</f>
        <v>9/8 — Week 4</v>
      </c>
      <c r="G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Done"")*(1-doneFlag)))&gt;0)))),""""))"),"9/15 — Week 5")</f>
        <v>9/15 — Week 5</v>
      </c>
      <c r="H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Done"")*(1-doneFlag)))&gt;0)))),""""))"),"9/22 — Week 6")</f>
        <v>9/22 — Week 6</v>
      </c>
      <c r="I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Done"")*(1-doneFlag)))&gt;0)))),""""))"),"9/29 — Week 7")</f>
        <v>9/29 — Week 7</v>
      </c>
      <c r="J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Done"")*(1-doneFlag)))&gt;0)))),""""))"),"10/6 — Week 8")</f>
        <v>10/6 — Week 8</v>
      </c>
      <c r="K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Done"")*(1-doneFlag)))&gt;0)))),""""))"),"10/13 — Week 9")</f>
        <v>10/13 — Week 9</v>
      </c>
      <c r="L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Done"")*(1-doneFlag)))&gt;0)))),""""))"),"10/20 — Week 10")</f>
        <v>10/20 — Week 10</v>
      </c>
      <c r="M8" s="351" t="str">
        <f>IFERROR(__xludf.DUMMYFUNCTION("IF(OR($A8="""",$A8=""No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8)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Done"")*(1-doneFlag)))&gt;0)))),""""))"),"")</f>
        <v/>
      </c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</row>
    <row r="9" ht="15.75" customHeight="1">
      <c r="A9" s="352" t="str">
        <f>IFERROR(__xludf.DUMMYFUNCTION("""COMPUTED_VALUE"""),"Biology Course / Form IV / Science / Nature — Science")</f>
        <v>Biology Course / Form IV / Science / Nature — Science</v>
      </c>
      <c r="B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Done"")*(1-doneFlag)))&gt;0)))),""""))"),"")</f>
        <v/>
      </c>
      <c r="C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Done"")*(1-doneFlag)))&gt;0)))),""""))"),"8/18 — Lesson 1")</f>
        <v>8/18 — Lesson 1</v>
      </c>
      <c r="D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Done"")*(1-doneFlag)))&gt;0)))),""""))"),"8/25 — Lesson 2")</f>
        <v>8/25 — Lesson 2</v>
      </c>
      <c r="E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Done"")*(1-doneFlag)))&gt;0)))),""""))"),"9/1 — Lesson 3")</f>
        <v>9/1 — Lesson 3</v>
      </c>
      <c r="F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Done"")*(1-doneFlag)))&gt;0)))),""""))"),"9/8 — Lesson 4")</f>
        <v>9/8 — Lesson 4</v>
      </c>
      <c r="G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Done"")*(1-doneFlag)))&gt;0)))),""""))"),"9/15 — Lesson 5")</f>
        <v>9/15 — Lesson 5</v>
      </c>
      <c r="H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Done"")*(1-doneFlag)))&gt;0)))),""""))"),"9/22 — Lesson 6")</f>
        <v>9/22 — Lesson 6</v>
      </c>
      <c r="I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Done"")*(1-doneFlag)))&gt;0)))),""""))"),"9/29 — Lesson 7")</f>
        <v>9/29 — Lesson 7</v>
      </c>
      <c r="J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Done"")*(1-doneFlag)))&gt;0)))),""""))"),"10/6 — Lesson 8")</f>
        <v>10/6 — Lesson 8</v>
      </c>
      <c r="K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Done"")*(1-doneFlag)))&gt;0)))),""""))"),"10/13 — Lesson 9")</f>
        <v>10/13 — Lesson 9</v>
      </c>
      <c r="L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Done"")*(1-doneFlag)))&gt;0)))),""""))"),"10/20 — Lesson 10")</f>
        <v>10/20 — Lesson 10</v>
      </c>
      <c r="M9" s="351" t="str">
        <f>IFERROR(__xludf.DUMMYFUNCTION("IF(OR($A9="""",$A9=""No resources match these filters.""),"""",IFERROR(LET(who,$A$5,blk,$B$5,subj,$C$5,sf,$D$5,rf,$E$5,tf,$F$5,stat,$G$5,wk,COLUMN()-1,d,'Generated Plan'!$A$5:$A$3004,w,'Generated Plan'!$B$5:$B$3004,b,'Generated Plan'!$C$5:$C$3004,st,'Gene"&amp;"rated Plan'!$D$5:$D$3004,re,'Generated Plan'!$E$5:$E$3004,a,'Generated Plan'!$F$5:$F$3004,done,'Generated Plan'!$G$5:$G$3004,subjectCol,ARRAYFORMULA(IF(st="""","""",IFERROR(VLOOKUP(st,CHOOSECOLS('Helper Data'!$C$5:$F$304,4,1),2,FALSE),""""))),termCol,ARRA"&amp;"YFORMULA(IF(d="""","""",IFERROR(VLOOKUP(d,'School Calendar'!$A$44:$L$408,11,FALSE),""""))),weekCol,ARRAYFORMULA(IF(d="""","""",IFERROR(VLOOKUP(d,'School Calendar'!$A$44:$L$408,12,FALSE),""""))),doneFlag,((done=""☑"")+(done=TRUE))&gt;0,TEXTJOIN(CHAR(10),TRUE,"&amp;"FILTER(TEXT(d,""m/d"")&amp;"" — ""&amp;a,(re&amp;"" / ""&amp;st=$A9)*(d&lt;&gt;"""")*(weekCol=wk)*(((who="""")+(who=""All"")+(w=who))&gt;0)*(((blk="""")+(blk=""All"")+(b=blk))&gt;0)*(((subj="""")+(subj=""All"")+(subjectCol=subj))&gt;0)*(((sf="""")+(sf=""All"")+(st=sf))&gt;0)*(((rf="""")+("&amp;"rf=""All"")+(re=rf))&gt;0)*(((tf="""")+(tf=""All"")+(termCol=tf))&gt;0)*(((stat="""")+(stat=""All"")+((stat=""Done"")*doneFlag)+((stat=""Not Done"")*(1-doneFlag)))&gt;0)))),""""))"),"")</f>
        <v/>
      </c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</row>
    <row r="10" ht="15.75" customHeight="1">
      <c r="A10" s="352" t="str">
        <f>IFERROR(__xludf.DUMMYFUNCTION("""COMPUTED_VALUE"""),"Charlotte’s Web / All Together / Literature — Family Read-Aloud")</f>
        <v>Charlotte’s Web / All Together / Literature — Family Read-Aloud</v>
      </c>
      <c r="B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Done"")*(1-doneFlag)))&gt;0)))),""""))"),"8/17 — Chapter 1–2
8/18 — Chapter 3–4
8/19 — Chapter 5–6")</f>
        <v>8/17 — Chapter 1–2
8/18 — Chapter 3–4
8/19 — Chapter 5–6</v>
      </c>
      <c r="D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Done"")*(1-doneFlag)))&gt;0)))),""""))"),"8/24 — Chapter 7–8
8/25 — Chapter 9–10
8/26 — Chapter 11–12")</f>
        <v>8/24 — Chapter 7–8
8/25 — Chapter 9–10
8/26 — Chapter 11–12</v>
      </c>
      <c r="E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Done"")*(1-doneFlag)))&gt;0)))),""""))"),"8/31 — Chapter 13–14
9/1 — Chapter 15–16
9/2 — Chapter 17–18")</f>
        <v>8/31 — Chapter 13–14
9/1 — Chapter 15–16
9/2 — Chapter 17–18</v>
      </c>
      <c r="F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Done"")*(1-doneFlag)))&gt;0)))),""""))"),"9/7 — Chapter 19–20
9/8 — Chapter 21–22")</f>
        <v>9/7 — Chapter 19–20
9/8 — Chapter 21–22</v>
      </c>
      <c r="G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10" s="351" t="str">
        <f>IFERROR(__xludf.DUMMYFUNCTION("IF(OR($A10="""",$A10=""No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</row>
    <row r="11" ht="15.75" customHeight="1">
      <c r="A11" s="352" t="str">
        <f>IFERROR(__xludf.DUMMYFUNCTION("""COMPUTED_VALUE"""),"Come Thou Fount / All Together / Beauty + Hands — Hymn")</f>
        <v>Come Thou Fount / All Together / Beauty + Hands — Hymn</v>
      </c>
      <c r="B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Done"")*(1-doneFlag)))&gt;0)))),""""))"),"9/22 — Week 1")</f>
        <v>9/22 — Week 1</v>
      </c>
      <c r="I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Done"")*(1-doneFlag)))&gt;0)))),""""))"),"9/29 — Week 2")</f>
        <v>9/29 — Week 2</v>
      </c>
      <c r="J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Done"")*(1-doneFlag)))&gt;0)))),""""))"),"10/6 — Week 3")</f>
        <v>10/6 — Week 3</v>
      </c>
      <c r="K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Done"")*(1-doneFlag)))&gt;0)))),""""))"),"10/13 — Week 4")</f>
        <v>10/13 — Week 4</v>
      </c>
      <c r="L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Done"")*(1-doneFlag)))&gt;0)))),""""))"),"10/20 — Week 5")</f>
        <v>10/20 — Week 5</v>
      </c>
      <c r="M11" s="351" t="str">
        <f>IFERROR(__xludf.DUMMYFUNCTION("IF(OR($A11="""",$A11=""No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</row>
    <row r="12" ht="15.75" customHeight="1">
      <c r="A12" s="352" t="str">
        <f>IFERROR(__xludf.DUMMYFUNCTION("""COMPUTED_VALUE"""),"Genesis / All Together / Bible — Old Testament")</f>
        <v>Genesis / All Together / Bible — Old Testament</v>
      </c>
      <c r="B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Done"")*(1-doneFlag)))&gt;0)))),""""))"),"8/17 — Chapter 1–3")</f>
        <v>8/17 — Chapter 1–3</v>
      </c>
      <c r="D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Done"")*(1-doneFlag)))&gt;0)))),""""))"),"8/24 — Chapter 4–6")</f>
        <v>8/24 — Chapter 4–6</v>
      </c>
      <c r="E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Done"")*(1-doneFlag)))&gt;0)))),""""))"),"8/31 — Chapter 7–9")</f>
        <v>8/31 — Chapter 7–9</v>
      </c>
      <c r="F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Done"")*(1-doneFlag)))&gt;0)))),""""))"),"9/7 — Chapter 10–12")</f>
        <v>9/7 — Chapter 10–12</v>
      </c>
      <c r="G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Done"")*(1-doneFlag)))&gt;0)))),""""))"),"9/14 — Chapter 13–15")</f>
        <v>9/14 — Chapter 13–15</v>
      </c>
      <c r="H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Done"")*(1-doneFlag)))&gt;0)))),""""))"),"9/21 — Chapter 16–18")</f>
        <v>9/21 — Chapter 16–18</v>
      </c>
      <c r="I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Done"")*(1-doneFlag)))&gt;0)))),""""))"),"9/28 — Chapter 19–21")</f>
        <v>9/28 — Chapter 19–21</v>
      </c>
      <c r="J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Done"")*(1-doneFlag)))&gt;0)))),""""))"),"10/5 — Chapter 22–24")</f>
        <v>10/5 — Chapter 22–24</v>
      </c>
      <c r="K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Done"")*(1-doneFlag)))&gt;0)))),""""))"),"10/12 — Chapter 25–27")</f>
        <v>10/12 — Chapter 25–27</v>
      </c>
      <c r="L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Done"")*(1-doneFlag)))&gt;0)))),""""))"),"10/19 — Chapter 28–30")</f>
        <v>10/19 — Chapter 28–30</v>
      </c>
      <c r="M12" s="351" t="str">
        <f>IFERROR(__xludf.DUMMYFUNCTION("IF(OR($A12="""",$A12=""No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</row>
    <row r="13" ht="15.75" customHeight="1">
      <c r="A13" s="352" t="str">
        <f>IFERROR(__xludf.DUMMYFUNCTION("""COMPUTED_VALUE"""),"Goobers / Form I / Literature — Tales / Fairy Tales / Myths")</f>
        <v>Goobers / Form I / Literature — Tales / Fairy Tales / Myths</v>
      </c>
      <c r="B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Done"")*(1-doneFlag)))&gt;0)))),""""))"),"8/18 — Page 1–15")</f>
        <v>8/18 — Page 1–15</v>
      </c>
      <c r="D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Done"")*(1-doneFlag)))&gt;0)))),""""))"),"8/25 — Page 16–30")</f>
        <v>8/25 — Page 16–30</v>
      </c>
      <c r="E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Done"")*(1-doneFlag)))&gt;0)))),""""))"),"9/1 — Page 31–45")</f>
        <v>9/1 — Page 31–45</v>
      </c>
      <c r="F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Done"")*(1-doneFlag)))&gt;0)))),""""))"),"9/8 — Page 46–60")</f>
        <v>9/8 — Page 46–60</v>
      </c>
      <c r="G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Done"")*(1-doneFlag)))&gt;0)))),""""))"),"9/15 — Page 61–75")</f>
        <v>9/15 — Page 61–75</v>
      </c>
      <c r="H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Done"")*(1-doneFlag)))&gt;0)))),""""))"),"9/22 — Page 76–90")</f>
        <v>9/22 — Page 76–90</v>
      </c>
      <c r="I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Done"")*(1-doneFlag)))&gt;0)))),""""))"),"9/29 — Page 91–105")</f>
        <v>9/29 — Page 91–105</v>
      </c>
      <c r="J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Done"")*(1-doneFlag)))&gt;0)))),""""))"),"10/6 — Page 106–120")</f>
        <v>10/6 — Page 106–120</v>
      </c>
      <c r="K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Done"")*(1-doneFlag)))&gt;0)))),""""))"),"10/13 — Page 121–135")</f>
        <v>10/13 — Page 121–135</v>
      </c>
      <c r="L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Done"")*(1-doneFlag)))&gt;0)))),""""))"),"10/20 — Page 136–150")</f>
        <v>10/20 — Page 136–150</v>
      </c>
      <c r="M13" s="351" t="str">
        <f>IFERROR(__xludf.DUMMYFUNCTION("IF(OR($A13="""",$A13=""No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</row>
    <row r="14" ht="15.75" customHeight="1">
      <c r="A14" s="352" t="str">
        <f>IFERROR(__xludf.DUMMYFUNCTION("""COMPUTED_VALUE"""),"How Great Thou Art / All Together / Beauty + Hands — Hymn")</f>
        <v>How Great Thou Art / All Together / Beauty + Hands — Hymn</v>
      </c>
      <c r="B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Done"")*(1-doneFlag)))&gt;0)))),""""))"),"8/17 — Week 1")</f>
        <v>8/17 — Week 1</v>
      </c>
      <c r="D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Done"")*(1-doneFlag)))&gt;0)))),""""))"),"8/24 — Week 2")</f>
        <v>8/24 — Week 2</v>
      </c>
      <c r="E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Done"")*(1-doneFlag)))&gt;0)))),""""))"),"8/31 — Week 3")</f>
        <v>8/31 — Week 3</v>
      </c>
      <c r="F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Done"")*(1-doneFlag)))&gt;0)))),""""))"),"9/7 — Week 4")</f>
        <v>9/7 — Week 4</v>
      </c>
      <c r="G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Done"")*(1-doneFlag)))&gt;0)))),""""))"),"9/14 — Week 5")</f>
        <v>9/14 — Week 5</v>
      </c>
      <c r="H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Done"")*(1-doneFlag)))&gt;0)))),""""))"),"9/21 — Week 6")</f>
        <v>9/21 — Week 6</v>
      </c>
      <c r="I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14" s="351" t="str">
        <f>IFERROR(__xludf.DUMMYFUNCTION("IF(OR($A14="""",$A14=""No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</row>
    <row r="15" ht="15.75" customHeight="1">
      <c r="A15" s="352" t="str">
        <f>IFERROR(__xludf.DUMMYFUNCTION("""COMPUTED_VALUE"""),"Matthew / All Together / Bible — New Testament")</f>
        <v>Matthew / All Together / Bible — New Testament</v>
      </c>
      <c r="B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Done"")*(1-doneFlag)))&gt;0)))),""""))"),"8/17 — Chapter 1")</f>
        <v>8/17 — Chapter 1</v>
      </c>
      <c r="D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Done"")*(1-doneFlag)))&gt;0)))),""""))"),"8/24 — Chapter 2")</f>
        <v>8/24 — Chapter 2</v>
      </c>
      <c r="E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Done"")*(1-doneFlag)))&gt;0)))),""""))"),"8/31 — Chapter 3")</f>
        <v>8/31 — Chapter 3</v>
      </c>
      <c r="F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Done"")*(1-doneFlag)))&gt;0)))),""""))"),"9/7 — Chapter 4")</f>
        <v>9/7 — Chapter 4</v>
      </c>
      <c r="G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Done"")*(1-doneFlag)))&gt;0)))),""""))"),"9/14 — Chapter 5")</f>
        <v>9/14 — Chapter 5</v>
      </c>
      <c r="H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Done"")*(1-doneFlag)))&gt;0)))),""""))"),"9/21 — Chapter 6")</f>
        <v>9/21 — Chapter 6</v>
      </c>
      <c r="I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Done"")*(1-doneFlag)))&gt;0)))),""""))"),"9/28 — Chapter 7")</f>
        <v>9/28 — Chapter 7</v>
      </c>
      <c r="J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Done"")*(1-doneFlag)))&gt;0)))),""""))"),"10/5 — Chapter 8")</f>
        <v>10/5 — Chapter 8</v>
      </c>
      <c r="K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Done"")*(1-doneFlag)))&gt;0)))),""""))"),"10/12 — Chapter 9")</f>
        <v>10/12 — Chapter 9</v>
      </c>
      <c r="L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Done"")*(1-doneFlag)))&gt;0)))),""""))"),"10/19 — Chapter 10")</f>
        <v>10/19 — Chapter 10</v>
      </c>
      <c r="M15" s="351" t="str">
        <f>IFERROR(__xludf.DUMMYFUNCTION("IF(OR($A15="""",$A15=""No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</row>
    <row r="16" ht="15.75" customHeight="1">
      <c r="A16" s="352" t="str">
        <f>IFERROR(__xludf.DUMMYFUNCTION("""COMPUTED_VALUE"""),"Nature Reader / All Together / Science / Nature — Nature Walk")</f>
        <v>Nature Reader / All Together / Science / Nature — Nature Walk</v>
      </c>
      <c r="B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Done"")*(1-doneFlag)))&gt;0)))),""""))"),"8/17 — Chapter 1")</f>
        <v>8/17 — Chapter 1</v>
      </c>
      <c r="D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Done"")*(1-doneFlag)))&gt;0)))),""""))"),"8/24 — Chapter 2")</f>
        <v>8/24 — Chapter 2</v>
      </c>
      <c r="E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Done"")*(1-doneFlag)))&gt;0)))),""""))"),"8/31 — Chapter 3")</f>
        <v>8/31 — Chapter 3</v>
      </c>
      <c r="F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Done"")*(1-doneFlag)))&gt;0)))),""""))"),"9/7 — Chapter 4")</f>
        <v>9/7 — Chapter 4</v>
      </c>
      <c r="G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Done"")*(1-doneFlag)))&gt;0)))),""""))"),"9/14 — Chapter 5")</f>
        <v>9/14 — Chapter 5</v>
      </c>
      <c r="H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Done"")*(1-doneFlag)))&gt;0)))),""""))"),"9/21 — Chapter 6")</f>
        <v>9/21 — Chapter 6</v>
      </c>
      <c r="I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Done"")*(1-doneFlag)))&gt;0)))),""""))"),"9/28 — Chapter 7")</f>
        <v>9/28 — Chapter 7</v>
      </c>
      <c r="J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Done"")*(1-doneFlag)))&gt;0)))),""""))"),"10/5 — Chapter 8")</f>
        <v>10/5 — Chapter 8</v>
      </c>
      <c r="K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Done"")*(1-doneFlag)))&gt;0)))),""""))"),"10/12 — Chapter 9")</f>
        <v>10/12 — Chapter 9</v>
      </c>
      <c r="L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Done"")*(1-doneFlag)))&gt;0)))),""""))"),"10/19 — Chapter 10")</f>
        <v>10/19 — Chapter 10</v>
      </c>
      <c r="M16" s="351" t="str">
        <f>IFERROR(__xludf.DUMMYFUNCTION("IF(OR($A16="""",$A16=""No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</row>
    <row r="17" ht="15.75" customHeight="1">
      <c r="A17" s="352" t="str">
        <f>IFERROR(__xludf.DUMMYFUNCTION("""COMPUTED_VALUE"""),"Pay Attention, Carter Jones / All Together / Literature — Family Read-Aloud")</f>
        <v>Pay Attention, Carter Jones / All Together / Literature — Family Read-Aloud</v>
      </c>
      <c r="B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Done"")*(1-doneFlag)))&gt;0)))),""""))"),"8/17 — Chapter 1–2
8/19 — Chapter 3–4
8/21 — Chapter 5–6")</f>
        <v>8/17 — Chapter 1–2
8/19 — Chapter 3–4
8/21 — Chapter 5–6</v>
      </c>
      <c r="D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Done"")*(1-doneFlag)))&gt;0)))),""""))"),"8/24 — Chapter 7–8
8/26 — Chapter 9–10
8/28 — Chapter 11–12")</f>
        <v>8/24 — Chapter 7–8
8/26 — Chapter 9–10
8/28 — Chapter 11–12</v>
      </c>
      <c r="E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Done"")*(1-doneFlag)))&gt;0)))),""""))"),"8/31 — Chapter 13–14
9/2 — Chapter 15–16
9/4 — Chapter 17–18")</f>
        <v>8/31 — Chapter 13–14
9/2 — Chapter 15–16
9/4 — Chapter 17–18</v>
      </c>
      <c r="F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Done"")*(1-doneFlag)))&gt;0)))),""""))"),"9/7 — Chapter 19–20
9/9 — Chapter 21–22
9/11 — Chapter 23–24")</f>
        <v>9/7 — Chapter 19–20
9/9 — Chapter 21–22
9/11 — Chapter 23–24</v>
      </c>
      <c r="G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Done"")*(1-doneFlag)))&gt;0)))),""""))"),"9/14 — Chapter 25–26
9/16 — Chapter 27–28")</f>
        <v>9/14 — Chapter 25–26
9/16 — Chapter 27–28</v>
      </c>
      <c r="H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17" s="351" t="str">
        <f>IFERROR(__xludf.DUMMYFUNCTION("IF(OR($A17="""",$A17=""No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</row>
    <row r="18" ht="15.75" customHeight="1">
      <c r="A18" s="352" t="str">
        <f>IFERROR(__xludf.DUMMYFUNCTION("""COMPUTED_VALUE"""),"Peter Pan / Form III / Literature — Literature")</f>
        <v>Peter Pan / Form III / Literature — Literature</v>
      </c>
      <c r="B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Done"")*(1-doneFlag)))&gt;0)))),""""))"),"8/18 — Chapter 1–2
8/19 — Chapter 3–4
8/20 — Chapter 5–6
8/21 — Chapter 7–8")</f>
        <v>8/18 — Chapter 1–2
8/19 — Chapter 3–4
8/20 — Chapter 5–6
8/21 — Chapter 7–8</v>
      </c>
      <c r="D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Done"")*(1-doneFlag)))&gt;0)))),""""))"),"8/24 — Chapter 9–10
8/25 — Chapter 11–12
8/26 — Chapter 13–14
8/27 — Chapter 15–16
8/28 — Chapter 17")</f>
        <v>8/24 — Chapter 9–10
8/25 — Chapter 11–12
8/26 — Chapter 13–14
8/27 — Chapter 15–16
8/28 — Chapter 17</v>
      </c>
      <c r="E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18" s="351" t="str">
        <f>IFERROR(__xludf.DUMMYFUNCTION("IF(OR($A18="""",$A18=""No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</row>
    <row r="19" ht="15.75" customHeight="1">
      <c r="A19" s="352" t="str">
        <f>IFERROR(__xludf.DUMMYFUNCTION("""COMPUTED_VALUE"""),"Pinocchio / All Together / Literature — Family Read-Aloud")</f>
        <v>Pinocchio / All Together / Literature — Family Read-Aloud</v>
      </c>
      <c r="B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Done"")*(1-doneFlag)))&gt;0)))),""""))"),"9/9 — Chapter 1–2
9/10 — Chapter 3–4
9/11 — Chapter 5–6")</f>
        <v>9/9 — Chapter 1–2
9/10 — Chapter 3–4
9/11 — Chapter 5–6</v>
      </c>
      <c r="G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Done"")*(1-doneFlag)))&gt;0)))),""""))"),"9/16 — Chapter 7–8
9/17 — Chapter 9–10
9/18 — Chapter 11–12")</f>
        <v>9/16 — Chapter 7–8
9/17 — Chapter 9–10
9/18 — Chapter 11–12</v>
      </c>
      <c r="H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Done"")*(1-doneFlag)))&gt;0)))),""""))"),"9/23 — Chapter 13–14
9/24 — Chapter 15–16
9/25 — Chapter 17–18")</f>
        <v>9/23 — Chapter 13–14
9/24 — Chapter 15–16
9/25 — Chapter 17–18</v>
      </c>
      <c r="I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Done"")*(1-doneFlag)))&gt;0)))),""""))"),"9/30 — Chapter 19–20
10/1 — Chapter 21–22
10/2 — Chapter 23–24")</f>
        <v>9/30 — Chapter 19–20
10/1 — Chapter 21–22
10/2 — Chapter 23–24</v>
      </c>
      <c r="J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Done"")*(1-doneFlag)))&gt;0)))),""""))"),"10/7 — Chapter 25–26
10/8 — Chapter 27–28
10/9 — Chapter 29–30")</f>
        <v>10/7 — Chapter 25–26
10/8 — Chapter 27–28
10/9 — Chapter 29–30</v>
      </c>
      <c r="K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Done"")*(1-doneFlag)))&gt;0)))),""""))"),"10/14 — Chapter 31–32
10/15 — Chapter 33–34
10/16 — Chapter 35–36")</f>
        <v>10/14 — Chapter 31–32
10/15 — Chapter 33–34
10/16 — Chapter 35–36</v>
      </c>
      <c r="L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19" s="351" t="str">
        <f>IFERROR(__xludf.DUMMYFUNCTION("IF(OR($A19="""",$A19=""No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19)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</row>
    <row r="20" ht="15.75" customHeight="1">
      <c r="A20" s="352"/>
      <c r="B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0" s="351" t="str">
        <f>IFERROR(__xludf.DUMMYFUNCTION("IF(OR($A20="""",$A20=""No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</row>
    <row r="21" ht="15.75" customHeight="1">
      <c r="A21" s="352"/>
      <c r="B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1" s="351" t="str">
        <f>IFERROR(__xludf.DUMMYFUNCTION("IF(OR($A21="""",$A21=""No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</row>
    <row r="22" ht="15.75" customHeight="1">
      <c r="A22" s="352"/>
      <c r="B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2" s="351" t="str">
        <f>IFERROR(__xludf.DUMMYFUNCTION("IF(OR($A22="""",$A22=""No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</row>
    <row r="23" ht="15.75" customHeight="1">
      <c r="A23" s="352"/>
      <c r="B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3" s="351" t="str">
        <f>IFERROR(__xludf.DUMMYFUNCTION("IF(OR($A23="""",$A23=""No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</row>
    <row r="24" ht="15.75" customHeight="1">
      <c r="A24" s="352"/>
      <c r="B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4" s="351" t="str">
        <f>IFERROR(__xludf.DUMMYFUNCTION("IF(OR($A24="""",$A24=""No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</row>
    <row r="25" ht="15.75" customHeight="1">
      <c r="A25" s="352"/>
      <c r="B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5" s="351" t="str">
        <f>IFERROR(__xludf.DUMMYFUNCTION("IF(OR($A25="""",$A25=""No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</row>
    <row r="26" ht="15.75" customHeight="1">
      <c r="A26" s="352"/>
      <c r="B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6" s="351" t="str">
        <f>IFERROR(__xludf.DUMMYFUNCTION("IF(OR($A26="""",$A26=""No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</row>
    <row r="27" ht="15.75" customHeight="1">
      <c r="A27" s="352"/>
      <c r="B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7" s="351" t="str">
        <f>IFERROR(__xludf.DUMMYFUNCTION("IF(OR($A27="""",$A27=""No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27)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</row>
    <row r="28" ht="15.75" customHeight="1">
      <c r="A28" s="352"/>
      <c r="B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8" s="351" t="str">
        <f>IFERROR(__xludf.DUMMYFUNCTION("IF(OR($A28="""",$A28=""No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28)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</row>
    <row r="29" ht="15.75" customHeight="1">
      <c r="A29" s="352"/>
      <c r="B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29" s="351" t="str">
        <f>IFERROR(__xludf.DUMMYFUNCTION("IF(OR($A29="""",$A29=""No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29)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</row>
    <row r="30" ht="15.75" customHeight="1">
      <c r="A30" s="352"/>
      <c r="B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30" s="351" t="str">
        <f>IFERROR(__xludf.DUMMYFUNCTION("IF(OR($A30="""",$A30=""No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30)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</row>
    <row r="31" ht="15.75" customHeight="1">
      <c r="A31" s="352"/>
      <c r="B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31" s="351" t="str">
        <f>IFERROR(__xludf.DUMMYFUNCTION("IF(OR($A31="""",$A31=""No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31)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</row>
    <row r="32" ht="15.75" customHeight="1">
      <c r="A32" s="352"/>
      <c r="B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32" s="351" t="str">
        <f>IFERROR(__xludf.DUMMYFUNCTION("IF(OR($A32="""",$A32=""No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32)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</row>
    <row r="33" ht="15.75" customHeight="1">
      <c r="A33" s="352"/>
      <c r="B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33" s="351" t="str">
        <f>IFERROR(__xludf.DUMMYFUNCTION("IF(OR($A33="""",$A33=""No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33)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</row>
    <row r="34" ht="15.75" customHeight="1">
      <c r="A34" s="352"/>
      <c r="B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34" s="351" t="str">
        <f>IFERROR(__xludf.DUMMYFUNCTION("IF(OR($A34="""",$A34=""No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34)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</row>
    <row r="35" ht="15.75" customHeight="1">
      <c r="A35" s="352"/>
      <c r="B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35" s="351" t="str">
        <f>IFERROR(__xludf.DUMMYFUNCTION("IF(OR($A35="""",$A35=""No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35)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</row>
    <row r="36" ht="15.75" customHeight="1">
      <c r="A36" s="411"/>
      <c r="B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C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D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E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F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G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H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I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J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K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L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M36" s="412" t="str">
        <f>IFERROR(__xludf.DUMMYFUNCTION("IF(OR($A36="""",$A36=""No resources match these filters.""),"""",IFERROR(LET(who,$A$5,blk,$B$5,subj,$C$5,sf,$D$5,rf,$E$5,tf,$F$5,stat,$G$5,wk,COLUMN()-1,d,'Generated Plan'!$A$5:$A$3004,w,'Generated Plan'!$B$5:$B$3004,b,'Generated Plan'!$C$5:$C$3004,st,'Ge"&amp;"nerated Plan'!$D$5:$D$3004,re,'Generated Plan'!$E$5:$E$3004,a,'Generated Plan'!$F$5:$F$3004,done,'Generated Plan'!$G$5:$G$3004,subjectCol,ARRAYFORMULA(IF(st="""","""",IFERROR(VLOOKUP(st,CHOOSECOLS('Helper Data'!$C$5:$F$304,4,1),2,FALSE),""""))),termCol,AR"&amp;"RAYFORMULA(IF(d="""","""",IFERROR(VLOOKUP(d,'School Calendar'!$A$44:$L$408,11,FALSE),""""))),weekCol,ARRAYFORMULA(IF(d="""","""",IFERROR(VLOOKUP(d,'School Calendar'!$A$44:$L$408,12,FALSE),""""))),doneFlag,((done=""☑"")+(done=TRUE))&gt;0,TEXTJOIN(CHAR(10),TRU"&amp;"E,FILTER(TEXT(d,""m/d"")&amp;"" — ""&amp;a,(re&amp;"" / ""&amp;st=$A36)*(d&lt;&gt;"""")*(weekCol=wk)*(((who="""")+(who=""All"")+(w=who))&gt;0)*(((blk="""")+(blk=""All"")+(b=blk))&gt;0)*(((subj="""")+(subj=""All"")+(subjectCol=subj))&gt;0)*(((sf="""")+(sf=""All"")+(st=sf))&gt;0)*(((rf="""""&amp;")+(rf=""All"")+(re=rf))&gt;0)*(((tf="""")+(tf=""All"")+(termCol=tf))&gt;0)*(((stat="""")+(stat=""All"")+((stat=""Done"")*doneFlag)+((stat=""Not Done"")*(1-doneFlag)))&gt;0)))),""""))"),"")</f>
        <v/>
      </c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5">
      <formula1>'Custom Views'!$J$5:$J$104</formula1>
    </dataValidation>
    <dataValidation type="list" allowBlank="1" showErrorMessage="1" sqref="G5">
      <formula1>'Custom Views'!$P$5:$P$104</formula1>
    </dataValidation>
    <dataValidation type="list" allowBlank="1" showErrorMessage="1" sqref="C5">
      <formula1>'Custom Views'!$L$5:$L$104</formula1>
    </dataValidation>
    <dataValidation type="list" allowBlank="1" showErrorMessage="1" sqref="F5">
      <formula1>"Term 1,Term 2,Term 3"</formula1>
    </dataValidation>
    <dataValidation type="list" allowBlank="1" showErrorMessage="1" sqref="D5">
      <formula1>'Custom Views'!$M$5:$M$104</formula1>
    </dataValidation>
    <dataValidation type="list" allowBlank="1" showErrorMessage="1" sqref="E5">
      <formula1>'Custom Views'!$O$5:$O$104</formula1>
    </dataValidation>
    <dataValidation type="list" allowBlank="1" showErrorMessage="1" sqref="B5">
      <formula1>'Custom Views'!$K$5:$K$104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B6B6"/>
    <pageSetUpPr/>
  </sheetPr>
  <sheetViews>
    <sheetView workbookViewId="0"/>
  </sheetViews>
  <sheetFormatPr customHeight="1" defaultColWidth="12.63" defaultRowHeight="15.0"/>
  <cols>
    <col customWidth="1" min="1" max="30" width="12.63"/>
  </cols>
  <sheetData>
    <row r="1" ht="15.75" customHeight="1">
      <c r="A1" s="364" t="s">
        <v>433</v>
      </c>
      <c r="B1" s="364"/>
      <c r="C1" s="364"/>
      <c r="D1" s="364"/>
      <c r="E1" s="364"/>
      <c r="F1" s="364"/>
      <c r="G1" s="364"/>
      <c r="H1" s="364"/>
      <c r="I1" s="365"/>
      <c r="J1" s="365"/>
      <c r="K1" s="365"/>
      <c r="L1" s="365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21.0" customHeight="1">
      <c r="A2" s="366" t="s">
        <v>434</v>
      </c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8.0" customHeight="1">
      <c r="A4" s="368" t="s">
        <v>435</v>
      </c>
      <c r="B4" s="368" t="s">
        <v>436</v>
      </c>
      <c r="C4" s="368" t="s">
        <v>437</v>
      </c>
      <c r="D4" s="368" t="s">
        <v>438</v>
      </c>
      <c r="E4" s="368" t="s">
        <v>439</v>
      </c>
      <c r="F4" s="368" t="s">
        <v>440</v>
      </c>
      <c r="G4" s="368" t="s">
        <v>441</v>
      </c>
      <c r="H4" s="368" t="s">
        <v>442</v>
      </c>
      <c r="I4" s="369" t="s">
        <v>443</v>
      </c>
      <c r="J4" s="369" t="s">
        <v>444</v>
      </c>
      <c r="K4" s="369" t="s">
        <v>445</v>
      </c>
      <c r="L4" s="369" t="s">
        <v>66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8.0" customHeight="1">
      <c r="A5" s="370">
        <v>1.0</v>
      </c>
      <c r="B5" s="371" t="s">
        <v>446</v>
      </c>
      <c r="C5" s="371" t="s">
        <v>170</v>
      </c>
      <c r="D5" s="372" t="s">
        <v>170</v>
      </c>
      <c r="E5" s="372" t="s">
        <v>447</v>
      </c>
      <c r="F5" s="373"/>
      <c r="G5" s="373"/>
      <c r="H5" s="373"/>
      <c r="I5" s="217"/>
      <c r="J5" s="217"/>
      <c r="K5" s="217"/>
      <c r="L5" s="21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8.0" customHeight="1">
      <c r="A6" s="374">
        <v>2.0</v>
      </c>
      <c r="B6" s="209" t="s">
        <v>221</v>
      </c>
      <c r="C6" s="209" t="s">
        <v>172</v>
      </c>
      <c r="D6" s="256" t="s">
        <v>172</v>
      </c>
      <c r="E6" s="256" t="s">
        <v>448</v>
      </c>
      <c r="F6" s="256" t="s">
        <v>174</v>
      </c>
      <c r="G6" s="256" t="s">
        <v>24</v>
      </c>
      <c r="H6" s="256" t="s">
        <v>130</v>
      </c>
      <c r="I6" s="256" t="s">
        <v>134</v>
      </c>
      <c r="J6" s="256"/>
      <c r="K6" s="256"/>
      <c r="L6" s="21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8.0" customHeight="1">
      <c r="A7" s="374">
        <v>3.0</v>
      </c>
      <c r="B7" s="209" t="s">
        <v>449</v>
      </c>
      <c r="C7" s="209" t="s">
        <v>174</v>
      </c>
      <c r="D7" s="256" t="s">
        <v>172</v>
      </c>
      <c r="E7" s="256" t="s">
        <v>450</v>
      </c>
      <c r="F7" s="256" t="s">
        <v>174</v>
      </c>
      <c r="G7" s="256" t="s">
        <v>451</v>
      </c>
      <c r="H7" s="256" t="s">
        <v>130</v>
      </c>
      <c r="I7" s="256" t="s">
        <v>452</v>
      </c>
      <c r="J7" s="217"/>
      <c r="K7" s="217"/>
      <c r="L7" s="21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8.0" customHeight="1">
      <c r="A8" s="370">
        <v>4.0</v>
      </c>
      <c r="B8" s="371" t="s">
        <v>146</v>
      </c>
      <c r="C8" s="371" t="s">
        <v>170</v>
      </c>
      <c r="D8" s="372" t="s">
        <v>170</v>
      </c>
      <c r="E8" s="372" t="s">
        <v>215</v>
      </c>
      <c r="F8" s="372"/>
      <c r="G8" s="372"/>
      <c r="H8" s="373"/>
      <c r="I8" s="217"/>
      <c r="J8" s="217"/>
      <c r="K8" s="217"/>
      <c r="L8" s="21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8.0" customHeight="1">
      <c r="A9" s="370">
        <v>5.0</v>
      </c>
      <c r="B9" s="371" t="s">
        <v>454</v>
      </c>
      <c r="C9" s="371" t="s">
        <v>455</v>
      </c>
      <c r="D9" s="372" t="s">
        <v>170</v>
      </c>
      <c r="E9" s="372" t="s">
        <v>215</v>
      </c>
      <c r="F9" s="372" t="s">
        <v>174</v>
      </c>
      <c r="G9" s="372" t="s">
        <v>217</v>
      </c>
      <c r="H9" s="372" t="s">
        <v>172</v>
      </c>
      <c r="I9" s="256" t="s">
        <v>218</v>
      </c>
      <c r="J9" s="217"/>
      <c r="K9" s="217"/>
      <c r="L9" s="21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8.0" customHeight="1">
      <c r="A10" s="374">
        <v>6.0</v>
      </c>
      <c r="B10" s="209" t="s">
        <v>456</v>
      </c>
      <c r="C10" s="209" t="s">
        <v>457</v>
      </c>
      <c r="D10" s="256" t="s">
        <v>170</v>
      </c>
      <c r="E10" s="256" t="s">
        <v>458</v>
      </c>
      <c r="F10" s="256"/>
      <c r="G10" s="217"/>
      <c r="H10" s="217"/>
      <c r="I10" s="217"/>
      <c r="J10" s="217"/>
      <c r="K10" s="217"/>
      <c r="L10" s="21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8.0" customHeight="1">
      <c r="A11" s="375">
        <v>7.0</v>
      </c>
      <c r="B11" s="376" t="s">
        <v>459</v>
      </c>
      <c r="C11" s="377" t="s">
        <v>460</v>
      </c>
      <c r="D11" s="378"/>
      <c r="E11" s="379"/>
      <c r="F11" s="378"/>
      <c r="G11" s="379"/>
      <c r="H11" s="378"/>
      <c r="I11" s="379"/>
      <c r="J11" s="378"/>
      <c r="K11" s="379"/>
      <c r="L11" s="380" t="s">
        <v>461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381" t="s">
        <v>462</v>
      </c>
      <c r="B14" s="382"/>
      <c r="C14" s="382"/>
      <c r="D14" s="382"/>
      <c r="E14" s="382"/>
      <c r="F14" s="382"/>
      <c r="G14" s="382"/>
      <c r="H14" s="382"/>
      <c r="I14" s="382"/>
      <c r="J14" s="382"/>
      <c r="K14" s="382"/>
      <c r="L14" s="382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369" t="s">
        <v>463</v>
      </c>
      <c r="B15" s="369" t="s">
        <v>464</v>
      </c>
      <c r="C15" s="369" t="s">
        <v>465</v>
      </c>
      <c r="D15" s="369" t="s">
        <v>66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209" t="s">
        <v>54</v>
      </c>
      <c r="B16" s="209" t="s">
        <v>466</v>
      </c>
      <c r="C16" s="209" t="s">
        <v>467</v>
      </c>
      <c r="D16" s="2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209" t="s">
        <v>83</v>
      </c>
      <c r="B17" s="209" t="s">
        <v>468</v>
      </c>
      <c r="C17" s="209" t="s">
        <v>87</v>
      </c>
      <c r="D17" s="211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376" t="s">
        <v>91</v>
      </c>
      <c r="B18" s="376" t="s">
        <v>469</v>
      </c>
      <c r="C18" s="376" t="s">
        <v>470</v>
      </c>
      <c r="D18" s="38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384"/>
      <c r="B20" s="384"/>
      <c r="C20" s="384"/>
      <c r="D20" s="384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15"/>
      <c r="B21" s="15"/>
      <c r="C21" s="15"/>
      <c r="D21" s="1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10:B16">
      <formula1>'Strand Placement'!$B$6:$B$13</formula1>
    </dataValidation>
    <dataValidation type="list" allowBlank="1" sqref="A6:E6 C10:C16">
      <formula1>Setup!$S$6:$S$35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B6B6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3.25"/>
    <col customWidth="1" min="2" max="2" width="15.75"/>
    <col customWidth="1" min="3" max="5" width="13.25"/>
    <col customWidth="1" min="6" max="8" width="18.88"/>
    <col customWidth="1" min="9" max="26" width="8.63"/>
  </cols>
  <sheetData>
    <row r="1" ht="15.75" customHeight="1">
      <c r="A1" s="385" t="s">
        <v>472</v>
      </c>
      <c r="B1" s="364"/>
      <c r="C1" s="364"/>
      <c r="D1" s="364"/>
      <c r="E1" s="364"/>
      <c r="F1" s="364"/>
      <c r="G1" s="364"/>
      <c r="H1" s="364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386" t="s">
        <v>473</v>
      </c>
      <c r="B2" s="387"/>
      <c r="C2" s="387"/>
      <c r="D2" s="387"/>
      <c r="E2" s="387"/>
      <c r="F2" s="338"/>
      <c r="G2" s="337"/>
      <c r="H2" s="38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56" t="s">
        <v>474</v>
      </c>
      <c r="B3" s="217"/>
      <c r="C3" s="217"/>
      <c r="D3" s="217"/>
      <c r="E3" s="217"/>
      <c r="F3" s="217"/>
      <c r="G3" s="217"/>
      <c r="H3" s="21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88" t="s">
        <v>197</v>
      </c>
      <c r="B4" s="389" t="s">
        <v>319</v>
      </c>
      <c r="C4" s="389" t="s">
        <v>185</v>
      </c>
      <c r="D4" s="389" t="s">
        <v>475</v>
      </c>
      <c r="E4" s="389" t="s">
        <v>476</v>
      </c>
      <c r="F4" s="390" t="s">
        <v>477</v>
      </c>
      <c r="G4" s="391"/>
      <c r="H4" s="392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 ht="15.75" customHeight="1">
      <c r="A5" s="393" t="s">
        <v>223</v>
      </c>
      <c r="B5" s="394" t="s">
        <v>14</v>
      </c>
      <c r="C5" s="395" t="s">
        <v>223</v>
      </c>
      <c r="D5" s="396"/>
      <c r="E5" s="397"/>
      <c r="F5" s="398" t="s">
        <v>478</v>
      </c>
      <c r="G5" s="399"/>
      <c r="H5" s="40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401" t="s">
        <v>480</v>
      </c>
      <c r="B6" s="401"/>
      <c r="C6" s="401"/>
      <c r="D6" s="402"/>
      <c r="E6" s="402"/>
      <c r="F6" s="402"/>
      <c r="G6" s="402"/>
      <c r="H6" s="40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403" t="s">
        <v>376</v>
      </c>
      <c r="B7" s="403" t="s">
        <v>281</v>
      </c>
      <c r="C7" s="403" t="s">
        <v>342</v>
      </c>
      <c r="D7" s="404"/>
      <c r="E7" s="404"/>
      <c r="F7" s="404"/>
      <c r="G7" s="404"/>
      <c r="H7" s="40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405" t="s">
        <v>212</v>
      </c>
      <c r="B8" s="406" t="s">
        <v>223</v>
      </c>
      <c r="C8" s="407" t="s">
        <v>223</v>
      </c>
      <c r="D8" s="404"/>
      <c r="E8" s="404"/>
      <c r="F8" s="404"/>
      <c r="G8" s="404"/>
      <c r="H8" s="40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408" t="s">
        <v>157</v>
      </c>
      <c r="B9" s="408" t="s">
        <v>197</v>
      </c>
      <c r="C9" s="408" t="s">
        <v>481</v>
      </c>
      <c r="D9" s="409" t="s">
        <v>281</v>
      </c>
      <c r="E9" s="409" t="s">
        <v>342</v>
      </c>
      <c r="F9" s="409" t="s">
        <v>482</v>
      </c>
      <c r="G9" s="409" t="s">
        <v>483</v>
      </c>
      <c r="H9" s="409" t="s">
        <v>66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410">
        <f>IFERROR(__xludf.DUMMYFUNCTION("IFERROR(LET(who,$A$5,subj,$B$5,stat,$C$5,fromDate,$D$5,toDate,$E$5,blk,$A$8,strd,$B$8,res,$C$8,d,'Generated Plan'!$A$5:$A$3004,w,'Generated Plan'!$B$5:$B$3004,b,'Generated Plan'!$C$5:$C$3004,st,'Generated Plan'!$D$5:$D$3004,re,'Generated Plan'!$E$5:$E$300"&amp;"4,a,'Generated Plan'!$F$5:$F$3004,done,'Generated Plan'!$G$5:$G$3004,notes,'Generated Plan'!$H$5:$H$3004,subjectCol,ARRAYFORMULA(IF(st="""","""",IFERROR(VLOOKUP(st,CHOOSECOLS('Helper Data'!$C$5:$F$304,4,1),2,FALSE),""""))),doneFlag,((done=""☑"")+(done=TRU"&amp;"E))&gt;0,FILTER(HSTACK(d,w,b,st,re,a,done,notes),(d&lt;&gt;"""")*(((who="""")+(who=""All"")+(w=who))&gt;0)*(((blk="""")+(blk=""All"")+(b=blk))&gt;0)*(((subj="""")+(subj=""All"")+(subjectCol=subj))&gt;0)*(((strd="""")+(strd=""All"")+(st=strd))&gt;0)*(((res="""")+(res=""All"")+"&amp;"(re=res))&gt;0)*(((stat="""")+(stat=""All"")+((stat=""Done"")*doneFlag)+((stat=""Not Done"")*(1-doneFlag)))&gt;0)*(((fromDate="""")+(d&gt;=fromDate))&gt;0)*(((toDate="""")+(d&lt;=toDate))&gt;0))),""No assignments match these filters."")"),46252.0)</f>
        <v>46252</v>
      </c>
      <c r="B10" s="217" t="str">
        <f>IFERROR(__xludf.DUMMYFUNCTION("""COMPUTED_VALUE"""),"Everyone")</f>
        <v>Everyone</v>
      </c>
      <c r="C10" s="217" t="str">
        <f>IFERROR(__xludf.DUMMYFUNCTION("""COMPUTED_VALUE"""),"Faith")</f>
        <v>Faith</v>
      </c>
      <c r="D10" s="217" t="str">
        <f>IFERROR(__xludf.DUMMYFUNCTION("""COMPUTED_VALUE"""),"All Together / Bible — Scripture Memory")</f>
        <v>All Together / Bible — Scripture Memory</v>
      </c>
      <c r="E10" s="217" t="str">
        <f>IFERROR(__xludf.DUMMYFUNCTION("""COMPUTED_VALUE"""),"AGF")</f>
        <v>AGF</v>
      </c>
      <c r="F10" s="217" t="str">
        <f>IFERROR(__xludf.DUMMYFUNCTION("""COMPUTED_VALUE"""),"Week 1")</f>
        <v>Week 1</v>
      </c>
      <c r="G10" s="217"/>
      <c r="H10" s="21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410">
        <f>IFERROR(__xludf.DUMMYFUNCTION("""COMPUTED_VALUE"""),46259.0)</f>
        <v>46259</v>
      </c>
      <c r="B11" s="217" t="str">
        <f>IFERROR(__xludf.DUMMYFUNCTION("""COMPUTED_VALUE"""),"Everyone")</f>
        <v>Everyone</v>
      </c>
      <c r="C11" s="217" t="str">
        <f>IFERROR(__xludf.DUMMYFUNCTION("""COMPUTED_VALUE"""),"Faith")</f>
        <v>Faith</v>
      </c>
      <c r="D11" s="217" t="str">
        <f>IFERROR(__xludf.DUMMYFUNCTION("""COMPUTED_VALUE"""),"All Together / Bible — Scripture Memory")</f>
        <v>All Together / Bible — Scripture Memory</v>
      </c>
      <c r="E11" s="217" t="str">
        <f>IFERROR(__xludf.DUMMYFUNCTION("""COMPUTED_VALUE"""),"AGF")</f>
        <v>AGF</v>
      </c>
      <c r="F11" s="217" t="str">
        <f>IFERROR(__xludf.DUMMYFUNCTION("""COMPUTED_VALUE"""),"Week 2")</f>
        <v>Week 2</v>
      </c>
      <c r="G11" s="217"/>
      <c r="H11" s="21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410">
        <f>IFERROR(__xludf.DUMMYFUNCTION("""COMPUTED_VALUE"""),46266.0)</f>
        <v>46266</v>
      </c>
      <c r="B12" s="217" t="str">
        <f>IFERROR(__xludf.DUMMYFUNCTION("""COMPUTED_VALUE"""),"Everyone")</f>
        <v>Everyone</v>
      </c>
      <c r="C12" s="217" t="str">
        <f>IFERROR(__xludf.DUMMYFUNCTION("""COMPUTED_VALUE"""),"Faith")</f>
        <v>Faith</v>
      </c>
      <c r="D12" s="217" t="str">
        <f>IFERROR(__xludf.DUMMYFUNCTION("""COMPUTED_VALUE"""),"All Together / Bible — Scripture Memory")</f>
        <v>All Together / Bible — Scripture Memory</v>
      </c>
      <c r="E12" s="217" t="str">
        <f>IFERROR(__xludf.DUMMYFUNCTION("""COMPUTED_VALUE"""),"AGF")</f>
        <v>AGF</v>
      </c>
      <c r="F12" s="217" t="str">
        <f>IFERROR(__xludf.DUMMYFUNCTION("""COMPUTED_VALUE"""),"Week 3")</f>
        <v>Week 3</v>
      </c>
      <c r="G12" s="217"/>
      <c r="H12" s="21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410">
        <f>IFERROR(__xludf.DUMMYFUNCTION("""COMPUTED_VALUE"""),46273.0)</f>
        <v>46273</v>
      </c>
      <c r="B13" s="217" t="str">
        <f>IFERROR(__xludf.DUMMYFUNCTION("""COMPUTED_VALUE"""),"Everyone")</f>
        <v>Everyone</v>
      </c>
      <c r="C13" s="217" t="str">
        <f>IFERROR(__xludf.DUMMYFUNCTION("""COMPUTED_VALUE"""),"Faith")</f>
        <v>Faith</v>
      </c>
      <c r="D13" s="217" t="str">
        <f>IFERROR(__xludf.DUMMYFUNCTION("""COMPUTED_VALUE"""),"All Together / Bible — Scripture Memory")</f>
        <v>All Together / Bible — Scripture Memory</v>
      </c>
      <c r="E13" s="217" t="str">
        <f>IFERROR(__xludf.DUMMYFUNCTION("""COMPUTED_VALUE"""),"AGF")</f>
        <v>AGF</v>
      </c>
      <c r="F13" s="217" t="str">
        <f>IFERROR(__xludf.DUMMYFUNCTION("""COMPUTED_VALUE"""),"Week 4")</f>
        <v>Week 4</v>
      </c>
      <c r="G13" s="217"/>
      <c r="H13" s="21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410">
        <f>IFERROR(__xludf.DUMMYFUNCTION("""COMPUTED_VALUE"""),46280.0)</f>
        <v>46280</v>
      </c>
      <c r="B14" s="217" t="str">
        <f>IFERROR(__xludf.DUMMYFUNCTION("""COMPUTED_VALUE"""),"Everyone")</f>
        <v>Everyone</v>
      </c>
      <c r="C14" s="217" t="str">
        <f>IFERROR(__xludf.DUMMYFUNCTION("""COMPUTED_VALUE"""),"Faith")</f>
        <v>Faith</v>
      </c>
      <c r="D14" s="217" t="str">
        <f>IFERROR(__xludf.DUMMYFUNCTION("""COMPUTED_VALUE"""),"All Together / Bible — Scripture Memory")</f>
        <v>All Together / Bible — Scripture Memory</v>
      </c>
      <c r="E14" s="217" t="str">
        <f>IFERROR(__xludf.DUMMYFUNCTION("""COMPUTED_VALUE"""),"AGF")</f>
        <v>AGF</v>
      </c>
      <c r="F14" s="217" t="str">
        <f>IFERROR(__xludf.DUMMYFUNCTION("""COMPUTED_VALUE"""),"Week 5")</f>
        <v>Week 5</v>
      </c>
      <c r="G14" s="217"/>
      <c r="H14" s="21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410">
        <f>IFERROR(__xludf.DUMMYFUNCTION("""COMPUTED_VALUE"""),46287.0)</f>
        <v>46287</v>
      </c>
      <c r="B15" s="217" t="str">
        <f>IFERROR(__xludf.DUMMYFUNCTION("""COMPUTED_VALUE"""),"Everyone")</f>
        <v>Everyone</v>
      </c>
      <c r="C15" s="217" t="str">
        <f>IFERROR(__xludf.DUMMYFUNCTION("""COMPUTED_VALUE"""),"Faith")</f>
        <v>Faith</v>
      </c>
      <c r="D15" s="217" t="str">
        <f>IFERROR(__xludf.DUMMYFUNCTION("""COMPUTED_VALUE"""),"All Together / Bible — Scripture Memory")</f>
        <v>All Together / Bible — Scripture Memory</v>
      </c>
      <c r="E15" s="217" t="str">
        <f>IFERROR(__xludf.DUMMYFUNCTION("""COMPUTED_VALUE"""),"AGF")</f>
        <v>AGF</v>
      </c>
      <c r="F15" s="217" t="str">
        <f>IFERROR(__xludf.DUMMYFUNCTION("""COMPUTED_VALUE"""),"Week 6")</f>
        <v>Week 6</v>
      </c>
      <c r="G15" s="217"/>
      <c r="H15" s="217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410">
        <f>IFERROR(__xludf.DUMMYFUNCTION("""COMPUTED_VALUE"""),46294.0)</f>
        <v>46294</v>
      </c>
      <c r="B16" s="217" t="str">
        <f>IFERROR(__xludf.DUMMYFUNCTION("""COMPUTED_VALUE"""),"Everyone")</f>
        <v>Everyone</v>
      </c>
      <c r="C16" s="217" t="str">
        <f>IFERROR(__xludf.DUMMYFUNCTION("""COMPUTED_VALUE"""),"Faith")</f>
        <v>Faith</v>
      </c>
      <c r="D16" s="217" t="str">
        <f>IFERROR(__xludf.DUMMYFUNCTION("""COMPUTED_VALUE"""),"All Together / Bible — Scripture Memory")</f>
        <v>All Together / Bible — Scripture Memory</v>
      </c>
      <c r="E16" s="217" t="str">
        <f>IFERROR(__xludf.DUMMYFUNCTION("""COMPUTED_VALUE"""),"AGF")</f>
        <v>AGF</v>
      </c>
      <c r="F16" s="217" t="str">
        <f>IFERROR(__xludf.DUMMYFUNCTION("""COMPUTED_VALUE"""),"Week 7")</f>
        <v>Week 7</v>
      </c>
      <c r="G16" s="217"/>
      <c r="H16" s="21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410">
        <f>IFERROR(__xludf.DUMMYFUNCTION("""COMPUTED_VALUE"""),46301.0)</f>
        <v>46301</v>
      </c>
      <c r="B17" s="217" t="str">
        <f>IFERROR(__xludf.DUMMYFUNCTION("""COMPUTED_VALUE"""),"Everyone")</f>
        <v>Everyone</v>
      </c>
      <c r="C17" s="217" t="str">
        <f>IFERROR(__xludf.DUMMYFUNCTION("""COMPUTED_VALUE"""),"Faith")</f>
        <v>Faith</v>
      </c>
      <c r="D17" s="217" t="str">
        <f>IFERROR(__xludf.DUMMYFUNCTION("""COMPUTED_VALUE"""),"All Together / Bible — Scripture Memory")</f>
        <v>All Together / Bible — Scripture Memory</v>
      </c>
      <c r="E17" s="217" t="str">
        <f>IFERROR(__xludf.DUMMYFUNCTION("""COMPUTED_VALUE"""),"AGF")</f>
        <v>AGF</v>
      </c>
      <c r="F17" s="217" t="str">
        <f>IFERROR(__xludf.DUMMYFUNCTION("""COMPUTED_VALUE"""),"Week 8")</f>
        <v>Week 8</v>
      </c>
      <c r="G17" s="217"/>
      <c r="H17" s="21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410">
        <f>IFERROR(__xludf.DUMMYFUNCTION("""COMPUTED_VALUE"""),46308.0)</f>
        <v>46308</v>
      </c>
      <c r="B18" s="217" t="str">
        <f>IFERROR(__xludf.DUMMYFUNCTION("""COMPUTED_VALUE"""),"Everyone")</f>
        <v>Everyone</v>
      </c>
      <c r="C18" s="217" t="str">
        <f>IFERROR(__xludf.DUMMYFUNCTION("""COMPUTED_VALUE"""),"Faith")</f>
        <v>Faith</v>
      </c>
      <c r="D18" s="217" t="str">
        <f>IFERROR(__xludf.DUMMYFUNCTION("""COMPUTED_VALUE"""),"All Together / Bible — Scripture Memory")</f>
        <v>All Together / Bible — Scripture Memory</v>
      </c>
      <c r="E18" s="217" t="str">
        <f>IFERROR(__xludf.DUMMYFUNCTION("""COMPUTED_VALUE"""),"AGF")</f>
        <v>AGF</v>
      </c>
      <c r="F18" s="217" t="str">
        <f>IFERROR(__xludf.DUMMYFUNCTION("""COMPUTED_VALUE"""),"Week 9")</f>
        <v>Week 9</v>
      </c>
      <c r="G18" s="217"/>
      <c r="H18" s="21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410">
        <f>IFERROR(__xludf.DUMMYFUNCTION("""COMPUTED_VALUE"""),46315.0)</f>
        <v>46315</v>
      </c>
      <c r="B19" s="217" t="str">
        <f>IFERROR(__xludf.DUMMYFUNCTION("""COMPUTED_VALUE"""),"Everyone")</f>
        <v>Everyone</v>
      </c>
      <c r="C19" s="217" t="str">
        <f>IFERROR(__xludf.DUMMYFUNCTION("""COMPUTED_VALUE"""),"Faith")</f>
        <v>Faith</v>
      </c>
      <c r="D19" s="217" t="str">
        <f>IFERROR(__xludf.DUMMYFUNCTION("""COMPUTED_VALUE"""),"All Together / Bible — Scripture Memory")</f>
        <v>All Together / Bible — Scripture Memory</v>
      </c>
      <c r="E19" s="217" t="str">
        <f>IFERROR(__xludf.DUMMYFUNCTION("""COMPUTED_VALUE"""),"AGF")</f>
        <v>AGF</v>
      </c>
      <c r="F19" s="217" t="str">
        <f>IFERROR(__xludf.DUMMYFUNCTION("""COMPUTED_VALUE"""),"Week 10")</f>
        <v>Week 10</v>
      </c>
      <c r="G19" s="217"/>
      <c r="H19" s="21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410">
        <f>IFERROR(__xludf.DUMMYFUNCTION("""COMPUTED_VALUE"""),46329.0)</f>
        <v>46329</v>
      </c>
      <c r="B20" s="217" t="str">
        <f>IFERROR(__xludf.DUMMYFUNCTION("""COMPUTED_VALUE"""),"Everyone")</f>
        <v>Everyone</v>
      </c>
      <c r="C20" s="217" t="str">
        <f>IFERROR(__xludf.DUMMYFUNCTION("""COMPUTED_VALUE"""),"Faith")</f>
        <v>Faith</v>
      </c>
      <c r="D20" s="217" t="str">
        <f>IFERROR(__xludf.DUMMYFUNCTION("""COMPUTED_VALUE"""),"All Together / Bible — Scripture Memory")</f>
        <v>All Together / Bible — Scripture Memory</v>
      </c>
      <c r="E20" s="217" t="str">
        <f>IFERROR(__xludf.DUMMYFUNCTION("""COMPUTED_VALUE"""),"AGF")</f>
        <v>AGF</v>
      </c>
      <c r="F20" s="217" t="str">
        <f>IFERROR(__xludf.DUMMYFUNCTION("""COMPUTED_VALUE"""),"Week 11")</f>
        <v>Week 11</v>
      </c>
      <c r="G20" s="217"/>
      <c r="H20" s="21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10">
        <f>IFERROR(__xludf.DUMMYFUNCTION("""COMPUTED_VALUE"""),46336.0)</f>
        <v>46336</v>
      </c>
      <c r="B21" s="217" t="str">
        <f>IFERROR(__xludf.DUMMYFUNCTION("""COMPUTED_VALUE"""),"Everyone")</f>
        <v>Everyone</v>
      </c>
      <c r="C21" s="217" t="str">
        <f>IFERROR(__xludf.DUMMYFUNCTION("""COMPUTED_VALUE"""),"Faith")</f>
        <v>Faith</v>
      </c>
      <c r="D21" s="217" t="str">
        <f>IFERROR(__xludf.DUMMYFUNCTION("""COMPUTED_VALUE"""),"All Together / Bible — Scripture Memory")</f>
        <v>All Together / Bible — Scripture Memory</v>
      </c>
      <c r="E21" s="217" t="str">
        <f>IFERROR(__xludf.DUMMYFUNCTION("""COMPUTED_VALUE"""),"AGF")</f>
        <v>AGF</v>
      </c>
      <c r="F21" s="217" t="str">
        <f>IFERROR(__xludf.DUMMYFUNCTION("""COMPUTED_VALUE"""),"Week 12")</f>
        <v>Week 12</v>
      </c>
      <c r="G21" s="217"/>
      <c r="H21" s="21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410">
        <f>IFERROR(__xludf.DUMMYFUNCTION("""COMPUTED_VALUE"""),46343.0)</f>
        <v>46343</v>
      </c>
      <c r="B22" s="217" t="str">
        <f>IFERROR(__xludf.DUMMYFUNCTION("""COMPUTED_VALUE"""),"Everyone")</f>
        <v>Everyone</v>
      </c>
      <c r="C22" s="217" t="str">
        <f>IFERROR(__xludf.DUMMYFUNCTION("""COMPUTED_VALUE"""),"Faith")</f>
        <v>Faith</v>
      </c>
      <c r="D22" s="217" t="str">
        <f>IFERROR(__xludf.DUMMYFUNCTION("""COMPUTED_VALUE"""),"All Together / Bible — Scripture Memory")</f>
        <v>All Together / Bible — Scripture Memory</v>
      </c>
      <c r="E22" s="217" t="str">
        <f>IFERROR(__xludf.DUMMYFUNCTION("""COMPUTED_VALUE"""),"AGF")</f>
        <v>AGF</v>
      </c>
      <c r="F22" s="217" t="str">
        <f>IFERROR(__xludf.DUMMYFUNCTION("""COMPUTED_VALUE"""),"Week 13")</f>
        <v>Week 13</v>
      </c>
      <c r="G22" s="217"/>
      <c r="H22" s="21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410">
        <f>IFERROR(__xludf.DUMMYFUNCTION("""COMPUTED_VALUE"""),46350.0)</f>
        <v>46350</v>
      </c>
      <c r="B23" s="217" t="str">
        <f>IFERROR(__xludf.DUMMYFUNCTION("""COMPUTED_VALUE"""),"Everyone")</f>
        <v>Everyone</v>
      </c>
      <c r="C23" s="217" t="str">
        <f>IFERROR(__xludf.DUMMYFUNCTION("""COMPUTED_VALUE"""),"Faith")</f>
        <v>Faith</v>
      </c>
      <c r="D23" s="217" t="str">
        <f>IFERROR(__xludf.DUMMYFUNCTION("""COMPUTED_VALUE"""),"All Together / Bible — Scripture Memory")</f>
        <v>All Together / Bible — Scripture Memory</v>
      </c>
      <c r="E23" s="217" t="str">
        <f>IFERROR(__xludf.DUMMYFUNCTION("""COMPUTED_VALUE"""),"AGF")</f>
        <v>AGF</v>
      </c>
      <c r="F23" s="217" t="str">
        <f>IFERROR(__xludf.DUMMYFUNCTION("""COMPUTED_VALUE"""),"Week 14")</f>
        <v>Week 14</v>
      </c>
      <c r="G23" s="217"/>
      <c r="H23" s="21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410">
        <f>IFERROR(__xludf.DUMMYFUNCTION("""COMPUTED_VALUE"""),46357.0)</f>
        <v>46357</v>
      </c>
      <c r="B24" s="217" t="str">
        <f>IFERROR(__xludf.DUMMYFUNCTION("""COMPUTED_VALUE"""),"Everyone")</f>
        <v>Everyone</v>
      </c>
      <c r="C24" s="217" t="str">
        <f>IFERROR(__xludf.DUMMYFUNCTION("""COMPUTED_VALUE"""),"Faith")</f>
        <v>Faith</v>
      </c>
      <c r="D24" s="217" t="str">
        <f>IFERROR(__xludf.DUMMYFUNCTION("""COMPUTED_VALUE"""),"All Together / Bible — Scripture Memory")</f>
        <v>All Together / Bible — Scripture Memory</v>
      </c>
      <c r="E24" s="217" t="str">
        <f>IFERROR(__xludf.DUMMYFUNCTION("""COMPUTED_VALUE"""),"AGF")</f>
        <v>AGF</v>
      </c>
      <c r="F24" s="217" t="str">
        <f>IFERROR(__xludf.DUMMYFUNCTION("""COMPUTED_VALUE"""),"Week 15")</f>
        <v>Week 15</v>
      </c>
      <c r="G24" s="217"/>
      <c r="H24" s="21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410">
        <f>IFERROR(__xludf.DUMMYFUNCTION("""COMPUTED_VALUE"""),46364.0)</f>
        <v>46364</v>
      </c>
      <c r="B25" s="217" t="str">
        <f>IFERROR(__xludf.DUMMYFUNCTION("""COMPUTED_VALUE"""),"Everyone")</f>
        <v>Everyone</v>
      </c>
      <c r="C25" s="217" t="str">
        <f>IFERROR(__xludf.DUMMYFUNCTION("""COMPUTED_VALUE"""),"Faith")</f>
        <v>Faith</v>
      </c>
      <c r="D25" s="217" t="str">
        <f>IFERROR(__xludf.DUMMYFUNCTION("""COMPUTED_VALUE"""),"All Together / Bible — Scripture Memory")</f>
        <v>All Together / Bible — Scripture Memory</v>
      </c>
      <c r="E25" s="217" t="str">
        <f>IFERROR(__xludf.DUMMYFUNCTION("""COMPUTED_VALUE"""),"AGF")</f>
        <v>AGF</v>
      </c>
      <c r="F25" s="217" t="str">
        <f>IFERROR(__xludf.DUMMYFUNCTION("""COMPUTED_VALUE"""),"Week 16")</f>
        <v>Week 16</v>
      </c>
      <c r="G25" s="217"/>
      <c r="H25" s="2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10">
        <f>IFERROR(__xludf.DUMMYFUNCTION("""COMPUTED_VALUE"""),46371.0)</f>
        <v>46371</v>
      </c>
      <c r="B26" s="217" t="str">
        <f>IFERROR(__xludf.DUMMYFUNCTION("""COMPUTED_VALUE"""),"Everyone")</f>
        <v>Everyone</v>
      </c>
      <c r="C26" s="217" t="str">
        <f>IFERROR(__xludf.DUMMYFUNCTION("""COMPUTED_VALUE"""),"Faith")</f>
        <v>Faith</v>
      </c>
      <c r="D26" s="217" t="str">
        <f>IFERROR(__xludf.DUMMYFUNCTION("""COMPUTED_VALUE"""),"All Together / Bible — Scripture Memory")</f>
        <v>All Together / Bible — Scripture Memory</v>
      </c>
      <c r="E26" s="217" t="str">
        <f>IFERROR(__xludf.DUMMYFUNCTION("""COMPUTED_VALUE"""),"AGF")</f>
        <v>AGF</v>
      </c>
      <c r="F26" s="217" t="str">
        <f>IFERROR(__xludf.DUMMYFUNCTION("""COMPUTED_VALUE"""),"Week 17")</f>
        <v>Week 17</v>
      </c>
      <c r="G26" s="217"/>
      <c r="H26" s="21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10">
        <f>IFERROR(__xludf.DUMMYFUNCTION("""COMPUTED_VALUE"""),46378.0)</f>
        <v>46378</v>
      </c>
      <c r="B27" s="217" t="str">
        <f>IFERROR(__xludf.DUMMYFUNCTION("""COMPUTED_VALUE"""),"Everyone")</f>
        <v>Everyone</v>
      </c>
      <c r="C27" s="217" t="str">
        <f>IFERROR(__xludf.DUMMYFUNCTION("""COMPUTED_VALUE"""),"Faith")</f>
        <v>Faith</v>
      </c>
      <c r="D27" s="217" t="str">
        <f>IFERROR(__xludf.DUMMYFUNCTION("""COMPUTED_VALUE"""),"All Together / Bible — Scripture Memory")</f>
        <v>All Together / Bible — Scripture Memory</v>
      </c>
      <c r="E27" s="217" t="str">
        <f>IFERROR(__xludf.DUMMYFUNCTION("""COMPUTED_VALUE"""),"AGF")</f>
        <v>AGF</v>
      </c>
      <c r="F27" s="217" t="str">
        <f>IFERROR(__xludf.DUMMYFUNCTION("""COMPUTED_VALUE"""),"Week 18")</f>
        <v>Week 18</v>
      </c>
      <c r="G27" s="217"/>
      <c r="H27" s="21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10">
        <f>IFERROR(__xludf.DUMMYFUNCTION("""COMPUTED_VALUE"""),46385.0)</f>
        <v>46385</v>
      </c>
      <c r="B28" s="217" t="str">
        <f>IFERROR(__xludf.DUMMYFUNCTION("""COMPUTED_VALUE"""),"Everyone")</f>
        <v>Everyone</v>
      </c>
      <c r="C28" s="217" t="str">
        <f>IFERROR(__xludf.DUMMYFUNCTION("""COMPUTED_VALUE"""),"Faith")</f>
        <v>Faith</v>
      </c>
      <c r="D28" s="217" t="str">
        <f>IFERROR(__xludf.DUMMYFUNCTION("""COMPUTED_VALUE"""),"All Together / Bible — Scripture Memory")</f>
        <v>All Together / Bible — Scripture Memory</v>
      </c>
      <c r="E28" s="217" t="str">
        <f>IFERROR(__xludf.DUMMYFUNCTION("""COMPUTED_VALUE"""),"AGF")</f>
        <v>AGF</v>
      </c>
      <c r="F28" s="217" t="str">
        <f>IFERROR(__xludf.DUMMYFUNCTION("""COMPUTED_VALUE"""),"Week 19")</f>
        <v>Week 19</v>
      </c>
      <c r="G28" s="217"/>
      <c r="H28" s="21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410">
        <f>IFERROR(__xludf.DUMMYFUNCTION("""COMPUTED_VALUE"""),46392.0)</f>
        <v>46392</v>
      </c>
      <c r="B29" s="217" t="str">
        <f>IFERROR(__xludf.DUMMYFUNCTION("""COMPUTED_VALUE"""),"Everyone")</f>
        <v>Everyone</v>
      </c>
      <c r="C29" s="217" t="str">
        <f>IFERROR(__xludf.DUMMYFUNCTION("""COMPUTED_VALUE"""),"Faith")</f>
        <v>Faith</v>
      </c>
      <c r="D29" s="217" t="str">
        <f>IFERROR(__xludf.DUMMYFUNCTION("""COMPUTED_VALUE"""),"All Together / Bible — Scripture Memory")</f>
        <v>All Together / Bible — Scripture Memory</v>
      </c>
      <c r="E29" s="217" t="str">
        <f>IFERROR(__xludf.DUMMYFUNCTION("""COMPUTED_VALUE"""),"AGF")</f>
        <v>AGF</v>
      </c>
      <c r="F29" s="217" t="str">
        <f>IFERROR(__xludf.DUMMYFUNCTION("""COMPUTED_VALUE"""),"Week 20")</f>
        <v>Week 20</v>
      </c>
      <c r="G29" s="217"/>
      <c r="H29" s="21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10">
        <f>IFERROR(__xludf.DUMMYFUNCTION("""COMPUTED_VALUE"""),46399.0)</f>
        <v>46399</v>
      </c>
      <c r="B30" s="217" t="str">
        <f>IFERROR(__xludf.DUMMYFUNCTION("""COMPUTED_VALUE"""),"Everyone")</f>
        <v>Everyone</v>
      </c>
      <c r="C30" s="217" t="str">
        <f>IFERROR(__xludf.DUMMYFUNCTION("""COMPUTED_VALUE"""),"Faith")</f>
        <v>Faith</v>
      </c>
      <c r="D30" s="217" t="str">
        <f>IFERROR(__xludf.DUMMYFUNCTION("""COMPUTED_VALUE"""),"All Together / Bible — Scripture Memory")</f>
        <v>All Together / Bible — Scripture Memory</v>
      </c>
      <c r="E30" s="217" t="str">
        <f>IFERROR(__xludf.DUMMYFUNCTION("""COMPUTED_VALUE"""),"AGF")</f>
        <v>AGF</v>
      </c>
      <c r="F30" s="217" t="str">
        <f>IFERROR(__xludf.DUMMYFUNCTION("""COMPUTED_VALUE"""),"Week 21")</f>
        <v>Week 21</v>
      </c>
      <c r="G30" s="217"/>
      <c r="H30" s="21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10">
        <f>IFERROR(__xludf.DUMMYFUNCTION("""COMPUTED_VALUE"""),46413.0)</f>
        <v>46413</v>
      </c>
      <c r="B31" s="217" t="str">
        <f>IFERROR(__xludf.DUMMYFUNCTION("""COMPUTED_VALUE"""),"Everyone")</f>
        <v>Everyone</v>
      </c>
      <c r="C31" s="217" t="str">
        <f>IFERROR(__xludf.DUMMYFUNCTION("""COMPUTED_VALUE"""),"Faith")</f>
        <v>Faith</v>
      </c>
      <c r="D31" s="217" t="str">
        <f>IFERROR(__xludf.DUMMYFUNCTION("""COMPUTED_VALUE"""),"All Together / Bible — Scripture Memory")</f>
        <v>All Together / Bible — Scripture Memory</v>
      </c>
      <c r="E31" s="217" t="str">
        <f>IFERROR(__xludf.DUMMYFUNCTION("""COMPUTED_VALUE"""),"AGF")</f>
        <v>AGF</v>
      </c>
      <c r="F31" s="217" t="str">
        <f>IFERROR(__xludf.DUMMYFUNCTION("""COMPUTED_VALUE"""),"Week 22")</f>
        <v>Week 22</v>
      </c>
      <c r="G31" s="217"/>
      <c r="H31" s="21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410">
        <f>IFERROR(__xludf.DUMMYFUNCTION("""COMPUTED_VALUE"""),46420.0)</f>
        <v>46420</v>
      </c>
      <c r="B32" s="217" t="str">
        <f>IFERROR(__xludf.DUMMYFUNCTION("""COMPUTED_VALUE"""),"Everyone")</f>
        <v>Everyone</v>
      </c>
      <c r="C32" s="217" t="str">
        <f>IFERROR(__xludf.DUMMYFUNCTION("""COMPUTED_VALUE"""),"Faith")</f>
        <v>Faith</v>
      </c>
      <c r="D32" s="217" t="str">
        <f>IFERROR(__xludf.DUMMYFUNCTION("""COMPUTED_VALUE"""),"All Together / Bible — Scripture Memory")</f>
        <v>All Together / Bible — Scripture Memory</v>
      </c>
      <c r="E32" s="217" t="str">
        <f>IFERROR(__xludf.DUMMYFUNCTION("""COMPUTED_VALUE"""),"AGF")</f>
        <v>AGF</v>
      </c>
      <c r="F32" s="217" t="str">
        <f>IFERROR(__xludf.DUMMYFUNCTION("""COMPUTED_VALUE"""),"Week 23")</f>
        <v>Week 23</v>
      </c>
      <c r="G32" s="217"/>
      <c r="H32" s="21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410">
        <f>IFERROR(__xludf.DUMMYFUNCTION("""COMPUTED_VALUE"""),46427.0)</f>
        <v>46427</v>
      </c>
      <c r="B33" s="217" t="str">
        <f>IFERROR(__xludf.DUMMYFUNCTION("""COMPUTED_VALUE"""),"Everyone")</f>
        <v>Everyone</v>
      </c>
      <c r="C33" s="217" t="str">
        <f>IFERROR(__xludf.DUMMYFUNCTION("""COMPUTED_VALUE"""),"Faith")</f>
        <v>Faith</v>
      </c>
      <c r="D33" s="217" t="str">
        <f>IFERROR(__xludf.DUMMYFUNCTION("""COMPUTED_VALUE"""),"All Together / Bible — Scripture Memory")</f>
        <v>All Together / Bible — Scripture Memory</v>
      </c>
      <c r="E33" s="217" t="str">
        <f>IFERROR(__xludf.DUMMYFUNCTION("""COMPUTED_VALUE"""),"AGF")</f>
        <v>AGF</v>
      </c>
      <c r="F33" s="217" t="str">
        <f>IFERROR(__xludf.DUMMYFUNCTION("""COMPUTED_VALUE"""),"Week 24")</f>
        <v>Week 24</v>
      </c>
      <c r="G33" s="217"/>
      <c r="H33" s="21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410">
        <f>IFERROR(__xludf.DUMMYFUNCTION("""COMPUTED_VALUE"""),46251.0)</f>
        <v>46251</v>
      </c>
      <c r="B34" s="217" t="str">
        <f>IFERROR(__xludf.DUMMYFUNCTION("""COMPUTED_VALUE"""),"Everyone")</f>
        <v>Everyone</v>
      </c>
      <c r="C34" s="217" t="str">
        <f>IFERROR(__xludf.DUMMYFUNCTION("""COMPUTED_VALUE"""),"Faith")</f>
        <v>Faith</v>
      </c>
      <c r="D34" s="217" t="str">
        <f>IFERROR(__xludf.DUMMYFUNCTION("""COMPUTED_VALUE"""),"All Together / Bible — Old Testament")</f>
        <v>All Together / Bible — Old Testament</v>
      </c>
      <c r="E34" s="217" t="str">
        <f>IFERROR(__xludf.DUMMYFUNCTION("""COMPUTED_VALUE"""),"Genesis")</f>
        <v>Genesis</v>
      </c>
      <c r="F34" s="217" t="str">
        <f>IFERROR(__xludf.DUMMYFUNCTION("""COMPUTED_VALUE"""),"Chapter 1–3")</f>
        <v>Chapter 1–3</v>
      </c>
      <c r="G34" s="217"/>
      <c r="H34" s="21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410">
        <f>IFERROR(__xludf.DUMMYFUNCTION("""COMPUTED_VALUE"""),46258.0)</f>
        <v>46258</v>
      </c>
      <c r="B35" s="217" t="str">
        <f>IFERROR(__xludf.DUMMYFUNCTION("""COMPUTED_VALUE"""),"Everyone")</f>
        <v>Everyone</v>
      </c>
      <c r="C35" s="217" t="str">
        <f>IFERROR(__xludf.DUMMYFUNCTION("""COMPUTED_VALUE"""),"Faith")</f>
        <v>Faith</v>
      </c>
      <c r="D35" s="217" t="str">
        <f>IFERROR(__xludf.DUMMYFUNCTION("""COMPUTED_VALUE"""),"All Together / Bible — Old Testament")</f>
        <v>All Together / Bible — Old Testament</v>
      </c>
      <c r="E35" s="217" t="str">
        <f>IFERROR(__xludf.DUMMYFUNCTION("""COMPUTED_VALUE"""),"Genesis")</f>
        <v>Genesis</v>
      </c>
      <c r="F35" s="217" t="str">
        <f>IFERROR(__xludf.DUMMYFUNCTION("""COMPUTED_VALUE"""),"Chapter 4–6")</f>
        <v>Chapter 4–6</v>
      </c>
      <c r="G35" s="217"/>
      <c r="H35" s="21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410">
        <f>IFERROR(__xludf.DUMMYFUNCTION("""COMPUTED_VALUE"""),46265.0)</f>
        <v>46265</v>
      </c>
      <c r="B36" s="217" t="str">
        <f>IFERROR(__xludf.DUMMYFUNCTION("""COMPUTED_VALUE"""),"Everyone")</f>
        <v>Everyone</v>
      </c>
      <c r="C36" s="217" t="str">
        <f>IFERROR(__xludf.DUMMYFUNCTION("""COMPUTED_VALUE"""),"Faith")</f>
        <v>Faith</v>
      </c>
      <c r="D36" s="217" t="str">
        <f>IFERROR(__xludf.DUMMYFUNCTION("""COMPUTED_VALUE"""),"All Together / Bible — Old Testament")</f>
        <v>All Together / Bible — Old Testament</v>
      </c>
      <c r="E36" s="217" t="str">
        <f>IFERROR(__xludf.DUMMYFUNCTION("""COMPUTED_VALUE"""),"Genesis")</f>
        <v>Genesis</v>
      </c>
      <c r="F36" s="217" t="str">
        <f>IFERROR(__xludf.DUMMYFUNCTION("""COMPUTED_VALUE"""),"Chapter 7–9")</f>
        <v>Chapter 7–9</v>
      </c>
      <c r="G36" s="217"/>
      <c r="H36" s="21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410">
        <f>IFERROR(__xludf.DUMMYFUNCTION("""COMPUTED_VALUE"""),46272.0)</f>
        <v>46272</v>
      </c>
      <c r="B37" s="217" t="str">
        <f>IFERROR(__xludf.DUMMYFUNCTION("""COMPUTED_VALUE"""),"Everyone")</f>
        <v>Everyone</v>
      </c>
      <c r="C37" s="217" t="str">
        <f>IFERROR(__xludf.DUMMYFUNCTION("""COMPUTED_VALUE"""),"Faith")</f>
        <v>Faith</v>
      </c>
      <c r="D37" s="217" t="str">
        <f>IFERROR(__xludf.DUMMYFUNCTION("""COMPUTED_VALUE"""),"All Together / Bible — Old Testament")</f>
        <v>All Together / Bible — Old Testament</v>
      </c>
      <c r="E37" s="217" t="str">
        <f>IFERROR(__xludf.DUMMYFUNCTION("""COMPUTED_VALUE"""),"Genesis")</f>
        <v>Genesis</v>
      </c>
      <c r="F37" s="217" t="str">
        <f>IFERROR(__xludf.DUMMYFUNCTION("""COMPUTED_VALUE"""),"Chapter 10–12")</f>
        <v>Chapter 10–12</v>
      </c>
      <c r="G37" s="217"/>
      <c r="H37" s="21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410">
        <f>IFERROR(__xludf.DUMMYFUNCTION("""COMPUTED_VALUE"""),46279.0)</f>
        <v>46279</v>
      </c>
      <c r="B38" s="217" t="str">
        <f>IFERROR(__xludf.DUMMYFUNCTION("""COMPUTED_VALUE"""),"Everyone")</f>
        <v>Everyone</v>
      </c>
      <c r="C38" s="217" t="str">
        <f>IFERROR(__xludf.DUMMYFUNCTION("""COMPUTED_VALUE"""),"Faith")</f>
        <v>Faith</v>
      </c>
      <c r="D38" s="217" t="str">
        <f>IFERROR(__xludf.DUMMYFUNCTION("""COMPUTED_VALUE"""),"All Together / Bible — Old Testament")</f>
        <v>All Together / Bible — Old Testament</v>
      </c>
      <c r="E38" s="217" t="str">
        <f>IFERROR(__xludf.DUMMYFUNCTION("""COMPUTED_VALUE"""),"Genesis")</f>
        <v>Genesis</v>
      </c>
      <c r="F38" s="217" t="str">
        <f>IFERROR(__xludf.DUMMYFUNCTION("""COMPUTED_VALUE"""),"Chapter 13–15")</f>
        <v>Chapter 13–15</v>
      </c>
      <c r="G38" s="217"/>
      <c r="H38" s="21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10">
        <f>IFERROR(__xludf.DUMMYFUNCTION("""COMPUTED_VALUE"""),46286.0)</f>
        <v>46286</v>
      </c>
      <c r="B39" s="217" t="str">
        <f>IFERROR(__xludf.DUMMYFUNCTION("""COMPUTED_VALUE"""),"Everyone")</f>
        <v>Everyone</v>
      </c>
      <c r="C39" s="217" t="str">
        <f>IFERROR(__xludf.DUMMYFUNCTION("""COMPUTED_VALUE"""),"Faith")</f>
        <v>Faith</v>
      </c>
      <c r="D39" s="217" t="str">
        <f>IFERROR(__xludf.DUMMYFUNCTION("""COMPUTED_VALUE"""),"All Together / Bible — Old Testament")</f>
        <v>All Together / Bible — Old Testament</v>
      </c>
      <c r="E39" s="217" t="str">
        <f>IFERROR(__xludf.DUMMYFUNCTION("""COMPUTED_VALUE"""),"Genesis")</f>
        <v>Genesis</v>
      </c>
      <c r="F39" s="217" t="str">
        <f>IFERROR(__xludf.DUMMYFUNCTION("""COMPUTED_VALUE"""),"Chapter 16–18")</f>
        <v>Chapter 16–18</v>
      </c>
      <c r="G39" s="217"/>
      <c r="H39" s="21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10">
        <f>IFERROR(__xludf.DUMMYFUNCTION("""COMPUTED_VALUE"""),46293.0)</f>
        <v>46293</v>
      </c>
      <c r="B40" s="217" t="str">
        <f>IFERROR(__xludf.DUMMYFUNCTION("""COMPUTED_VALUE"""),"Everyone")</f>
        <v>Everyone</v>
      </c>
      <c r="C40" s="217" t="str">
        <f>IFERROR(__xludf.DUMMYFUNCTION("""COMPUTED_VALUE"""),"Faith")</f>
        <v>Faith</v>
      </c>
      <c r="D40" s="217" t="str">
        <f>IFERROR(__xludf.DUMMYFUNCTION("""COMPUTED_VALUE"""),"All Together / Bible — Old Testament")</f>
        <v>All Together / Bible — Old Testament</v>
      </c>
      <c r="E40" s="217" t="str">
        <f>IFERROR(__xludf.DUMMYFUNCTION("""COMPUTED_VALUE"""),"Genesis")</f>
        <v>Genesis</v>
      </c>
      <c r="F40" s="217" t="str">
        <f>IFERROR(__xludf.DUMMYFUNCTION("""COMPUTED_VALUE"""),"Chapter 19–21")</f>
        <v>Chapter 19–21</v>
      </c>
      <c r="G40" s="217"/>
      <c r="H40" s="21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410">
        <f>IFERROR(__xludf.DUMMYFUNCTION("""COMPUTED_VALUE"""),46300.0)</f>
        <v>46300</v>
      </c>
      <c r="B41" s="217" t="str">
        <f>IFERROR(__xludf.DUMMYFUNCTION("""COMPUTED_VALUE"""),"Everyone")</f>
        <v>Everyone</v>
      </c>
      <c r="C41" s="217" t="str">
        <f>IFERROR(__xludf.DUMMYFUNCTION("""COMPUTED_VALUE"""),"Faith")</f>
        <v>Faith</v>
      </c>
      <c r="D41" s="217" t="str">
        <f>IFERROR(__xludf.DUMMYFUNCTION("""COMPUTED_VALUE"""),"All Together / Bible — Old Testament")</f>
        <v>All Together / Bible — Old Testament</v>
      </c>
      <c r="E41" s="217" t="str">
        <f>IFERROR(__xludf.DUMMYFUNCTION("""COMPUTED_VALUE"""),"Genesis")</f>
        <v>Genesis</v>
      </c>
      <c r="F41" s="217" t="str">
        <f>IFERROR(__xludf.DUMMYFUNCTION("""COMPUTED_VALUE"""),"Chapter 22–24")</f>
        <v>Chapter 22–24</v>
      </c>
      <c r="G41" s="217"/>
      <c r="H41" s="21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410">
        <f>IFERROR(__xludf.DUMMYFUNCTION("""COMPUTED_VALUE"""),46307.0)</f>
        <v>46307</v>
      </c>
      <c r="B42" s="217" t="str">
        <f>IFERROR(__xludf.DUMMYFUNCTION("""COMPUTED_VALUE"""),"Everyone")</f>
        <v>Everyone</v>
      </c>
      <c r="C42" s="217" t="str">
        <f>IFERROR(__xludf.DUMMYFUNCTION("""COMPUTED_VALUE"""),"Faith")</f>
        <v>Faith</v>
      </c>
      <c r="D42" s="217" t="str">
        <f>IFERROR(__xludf.DUMMYFUNCTION("""COMPUTED_VALUE"""),"All Together / Bible — Old Testament")</f>
        <v>All Together / Bible — Old Testament</v>
      </c>
      <c r="E42" s="217" t="str">
        <f>IFERROR(__xludf.DUMMYFUNCTION("""COMPUTED_VALUE"""),"Genesis")</f>
        <v>Genesis</v>
      </c>
      <c r="F42" s="217" t="str">
        <f>IFERROR(__xludf.DUMMYFUNCTION("""COMPUTED_VALUE"""),"Chapter 25–27")</f>
        <v>Chapter 25–27</v>
      </c>
      <c r="G42" s="217"/>
      <c r="H42" s="21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410">
        <f>IFERROR(__xludf.DUMMYFUNCTION("""COMPUTED_VALUE"""),46314.0)</f>
        <v>46314</v>
      </c>
      <c r="B43" s="217" t="str">
        <f>IFERROR(__xludf.DUMMYFUNCTION("""COMPUTED_VALUE"""),"Everyone")</f>
        <v>Everyone</v>
      </c>
      <c r="C43" s="217" t="str">
        <f>IFERROR(__xludf.DUMMYFUNCTION("""COMPUTED_VALUE"""),"Faith")</f>
        <v>Faith</v>
      </c>
      <c r="D43" s="217" t="str">
        <f>IFERROR(__xludf.DUMMYFUNCTION("""COMPUTED_VALUE"""),"All Together / Bible — Old Testament")</f>
        <v>All Together / Bible — Old Testament</v>
      </c>
      <c r="E43" s="217" t="str">
        <f>IFERROR(__xludf.DUMMYFUNCTION("""COMPUTED_VALUE"""),"Genesis")</f>
        <v>Genesis</v>
      </c>
      <c r="F43" s="217" t="str">
        <f>IFERROR(__xludf.DUMMYFUNCTION("""COMPUTED_VALUE"""),"Chapter 28–30")</f>
        <v>Chapter 28–30</v>
      </c>
      <c r="G43" s="217"/>
      <c r="H43" s="21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410">
        <f>IFERROR(__xludf.DUMMYFUNCTION("""COMPUTED_VALUE"""),46328.0)</f>
        <v>46328</v>
      </c>
      <c r="B44" s="217" t="str">
        <f>IFERROR(__xludf.DUMMYFUNCTION("""COMPUTED_VALUE"""),"Everyone")</f>
        <v>Everyone</v>
      </c>
      <c r="C44" s="217" t="str">
        <f>IFERROR(__xludf.DUMMYFUNCTION("""COMPUTED_VALUE"""),"Faith")</f>
        <v>Faith</v>
      </c>
      <c r="D44" s="217" t="str">
        <f>IFERROR(__xludf.DUMMYFUNCTION("""COMPUTED_VALUE"""),"All Together / Bible — Old Testament")</f>
        <v>All Together / Bible — Old Testament</v>
      </c>
      <c r="E44" s="217" t="str">
        <f>IFERROR(__xludf.DUMMYFUNCTION("""COMPUTED_VALUE"""),"Genesis")</f>
        <v>Genesis</v>
      </c>
      <c r="F44" s="217" t="str">
        <f>IFERROR(__xludf.DUMMYFUNCTION("""COMPUTED_VALUE"""),"Chapter 31–33")</f>
        <v>Chapter 31–33</v>
      </c>
      <c r="G44" s="217"/>
      <c r="H44" s="21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410">
        <f>IFERROR(__xludf.DUMMYFUNCTION("""COMPUTED_VALUE"""),46335.0)</f>
        <v>46335</v>
      </c>
      <c r="B45" s="217" t="str">
        <f>IFERROR(__xludf.DUMMYFUNCTION("""COMPUTED_VALUE"""),"Everyone")</f>
        <v>Everyone</v>
      </c>
      <c r="C45" s="217" t="str">
        <f>IFERROR(__xludf.DUMMYFUNCTION("""COMPUTED_VALUE"""),"Faith")</f>
        <v>Faith</v>
      </c>
      <c r="D45" s="217" t="str">
        <f>IFERROR(__xludf.DUMMYFUNCTION("""COMPUTED_VALUE"""),"All Together / Bible — Old Testament")</f>
        <v>All Together / Bible — Old Testament</v>
      </c>
      <c r="E45" s="217" t="str">
        <f>IFERROR(__xludf.DUMMYFUNCTION("""COMPUTED_VALUE"""),"Genesis")</f>
        <v>Genesis</v>
      </c>
      <c r="F45" s="217" t="str">
        <f>IFERROR(__xludf.DUMMYFUNCTION("""COMPUTED_VALUE"""),"Chapter 34–36")</f>
        <v>Chapter 34–36</v>
      </c>
      <c r="G45" s="217"/>
      <c r="H45" s="21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410">
        <f>IFERROR(__xludf.DUMMYFUNCTION("""COMPUTED_VALUE"""),46342.0)</f>
        <v>46342</v>
      </c>
      <c r="B46" s="217" t="str">
        <f>IFERROR(__xludf.DUMMYFUNCTION("""COMPUTED_VALUE"""),"Everyone")</f>
        <v>Everyone</v>
      </c>
      <c r="C46" s="217" t="str">
        <f>IFERROR(__xludf.DUMMYFUNCTION("""COMPUTED_VALUE"""),"Faith")</f>
        <v>Faith</v>
      </c>
      <c r="D46" s="217" t="str">
        <f>IFERROR(__xludf.DUMMYFUNCTION("""COMPUTED_VALUE"""),"All Together / Bible — Old Testament")</f>
        <v>All Together / Bible — Old Testament</v>
      </c>
      <c r="E46" s="217" t="str">
        <f>IFERROR(__xludf.DUMMYFUNCTION("""COMPUTED_VALUE"""),"Genesis")</f>
        <v>Genesis</v>
      </c>
      <c r="F46" s="217" t="str">
        <f>IFERROR(__xludf.DUMMYFUNCTION("""COMPUTED_VALUE"""),"Chapter 37–39")</f>
        <v>Chapter 37–39</v>
      </c>
      <c r="G46" s="217"/>
      <c r="H46" s="21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410">
        <f>IFERROR(__xludf.DUMMYFUNCTION("""COMPUTED_VALUE"""),46349.0)</f>
        <v>46349</v>
      </c>
      <c r="B47" s="217" t="str">
        <f>IFERROR(__xludf.DUMMYFUNCTION("""COMPUTED_VALUE"""),"Everyone")</f>
        <v>Everyone</v>
      </c>
      <c r="C47" s="217" t="str">
        <f>IFERROR(__xludf.DUMMYFUNCTION("""COMPUTED_VALUE"""),"Faith")</f>
        <v>Faith</v>
      </c>
      <c r="D47" s="217" t="str">
        <f>IFERROR(__xludf.DUMMYFUNCTION("""COMPUTED_VALUE"""),"All Together / Bible — Old Testament")</f>
        <v>All Together / Bible — Old Testament</v>
      </c>
      <c r="E47" s="217" t="str">
        <f>IFERROR(__xludf.DUMMYFUNCTION("""COMPUTED_VALUE"""),"Genesis")</f>
        <v>Genesis</v>
      </c>
      <c r="F47" s="217" t="str">
        <f>IFERROR(__xludf.DUMMYFUNCTION("""COMPUTED_VALUE"""),"Chapter 40–42")</f>
        <v>Chapter 40–42</v>
      </c>
      <c r="G47" s="217"/>
      <c r="H47" s="21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410">
        <f>IFERROR(__xludf.DUMMYFUNCTION("""COMPUTED_VALUE"""),46356.0)</f>
        <v>46356</v>
      </c>
      <c r="B48" s="217" t="str">
        <f>IFERROR(__xludf.DUMMYFUNCTION("""COMPUTED_VALUE"""),"Everyone")</f>
        <v>Everyone</v>
      </c>
      <c r="C48" s="217" t="str">
        <f>IFERROR(__xludf.DUMMYFUNCTION("""COMPUTED_VALUE"""),"Faith")</f>
        <v>Faith</v>
      </c>
      <c r="D48" s="217" t="str">
        <f>IFERROR(__xludf.DUMMYFUNCTION("""COMPUTED_VALUE"""),"All Together / Bible — Old Testament")</f>
        <v>All Together / Bible — Old Testament</v>
      </c>
      <c r="E48" s="217" t="str">
        <f>IFERROR(__xludf.DUMMYFUNCTION("""COMPUTED_VALUE"""),"Genesis")</f>
        <v>Genesis</v>
      </c>
      <c r="F48" s="217" t="str">
        <f>IFERROR(__xludf.DUMMYFUNCTION("""COMPUTED_VALUE"""),"Chapter 43–45")</f>
        <v>Chapter 43–45</v>
      </c>
      <c r="G48" s="217"/>
      <c r="H48" s="21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410">
        <f>IFERROR(__xludf.DUMMYFUNCTION("""COMPUTED_VALUE"""),46363.0)</f>
        <v>46363</v>
      </c>
      <c r="B49" s="217" t="str">
        <f>IFERROR(__xludf.DUMMYFUNCTION("""COMPUTED_VALUE"""),"Everyone")</f>
        <v>Everyone</v>
      </c>
      <c r="C49" s="217" t="str">
        <f>IFERROR(__xludf.DUMMYFUNCTION("""COMPUTED_VALUE"""),"Faith")</f>
        <v>Faith</v>
      </c>
      <c r="D49" s="217" t="str">
        <f>IFERROR(__xludf.DUMMYFUNCTION("""COMPUTED_VALUE"""),"All Together / Bible — Old Testament")</f>
        <v>All Together / Bible — Old Testament</v>
      </c>
      <c r="E49" s="217" t="str">
        <f>IFERROR(__xludf.DUMMYFUNCTION("""COMPUTED_VALUE"""),"Genesis")</f>
        <v>Genesis</v>
      </c>
      <c r="F49" s="217" t="str">
        <f>IFERROR(__xludf.DUMMYFUNCTION("""COMPUTED_VALUE"""),"Chapter 46–48")</f>
        <v>Chapter 46–48</v>
      </c>
      <c r="G49" s="217"/>
      <c r="H49" s="21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410">
        <f>IFERROR(__xludf.DUMMYFUNCTION("""COMPUTED_VALUE"""),46370.0)</f>
        <v>46370</v>
      </c>
      <c r="B50" s="217" t="str">
        <f>IFERROR(__xludf.DUMMYFUNCTION("""COMPUTED_VALUE"""),"Everyone")</f>
        <v>Everyone</v>
      </c>
      <c r="C50" s="217" t="str">
        <f>IFERROR(__xludf.DUMMYFUNCTION("""COMPUTED_VALUE"""),"Faith")</f>
        <v>Faith</v>
      </c>
      <c r="D50" s="217" t="str">
        <f>IFERROR(__xludf.DUMMYFUNCTION("""COMPUTED_VALUE"""),"All Together / Bible — Old Testament")</f>
        <v>All Together / Bible — Old Testament</v>
      </c>
      <c r="E50" s="217" t="str">
        <f>IFERROR(__xludf.DUMMYFUNCTION("""COMPUTED_VALUE"""),"Genesis")</f>
        <v>Genesis</v>
      </c>
      <c r="F50" s="217" t="str">
        <f>IFERROR(__xludf.DUMMYFUNCTION("""COMPUTED_VALUE"""),"Chapter 49–51")</f>
        <v>Chapter 49–51</v>
      </c>
      <c r="G50" s="217"/>
      <c r="H50" s="21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410">
        <f>IFERROR(__xludf.DUMMYFUNCTION("""COMPUTED_VALUE"""),46377.0)</f>
        <v>46377</v>
      </c>
      <c r="B51" s="217" t="str">
        <f>IFERROR(__xludf.DUMMYFUNCTION("""COMPUTED_VALUE"""),"Everyone")</f>
        <v>Everyone</v>
      </c>
      <c r="C51" s="217" t="str">
        <f>IFERROR(__xludf.DUMMYFUNCTION("""COMPUTED_VALUE"""),"Faith")</f>
        <v>Faith</v>
      </c>
      <c r="D51" s="217" t="str">
        <f>IFERROR(__xludf.DUMMYFUNCTION("""COMPUTED_VALUE"""),"All Together / Bible — Old Testament")</f>
        <v>All Together / Bible — Old Testament</v>
      </c>
      <c r="E51" s="217" t="str">
        <f>IFERROR(__xludf.DUMMYFUNCTION("""COMPUTED_VALUE"""),"Genesis")</f>
        <v>Genesis</v>
      </c>
      <c r="F51" s="217" t="str">
        <f>IFERROR(__xludf.DUMMYFUNCTION("""COMPUTED_VALUE"""),"Chapter 52–54")</f>
        <v>Chapter 52–54</v>
      </c>
      <c r="G51" s="217"/>
      <c r="H51" s="21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410">
        <f>IFERROR(__xludf.DUMMYFUNCTION("""COMPUTED_VALUE"""),46384.0)</f>
        <v>46384</v>
      </c>
      <c r="B52" s="217" t="str">
        <f>IFERROR(__xludf.DUMMYFUNCTION("""COMPUTED_VALUE"""),"Everyone")</f>
        <v>Everyone</v>
      </c>
      <c r="C52" s="217" t="str">
        <f>IFERROR(__xludf.DUMMYFUNCTION("""COMPUTED_VALUE"""),"Faith")</f>
        <v>Faith</v>
      </c>
      <c r="D52" s="217" t="str">
        <f>IFERROR(__xludf.DUMMYFUNCTION("""COMPUTED_VALUE"""),"All Together / Bible — Old Testament")</f>
        <v>All Together / Bible — Old Testament</v>
      </c>
      <c r="E52" s="217" t="str">
        <f>IFERROR(__xludf.DUMMYFUNCTION("""COMPUTED_VALUE"""),"Genesis")</f>
        <v>Genesis</v>
      </c>
      <c r="F52" s="217" t="str">
        <f>IFERROR(__xludf.DUMMYFUNCTION("""COMPUTED_VALUE"""),"Chapter 55")</f>
        <v>Chapter 55</v>
      </c>
      <c r="G52" s="217"/>
      <c r="H52" s="21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10">
        <f>IFERROR(__xludf.DUMMYFUNCTION("""COMPUTED_VALUE"""),46385.0)</f>
        <v>46385</v>
      </c>
      <c r="B53" s="217" t="str">
        <f>IFERROR(__xludf.DUMMYFUNCTION("""COMPUTED_VALUE"""),"Everyone")</f>
        <v>Everyone</v>
      </c>
      <c r="C53" s="217" t="str">
        <f>IFERROR(__xludf.DUMMYFUNCTION("""COMPUTED_VALUE"""),"Faith")</f>
        <v>Faith</v>
      </c>
      <c r="D53" s="217" t="str">
        <f>IFERROR(__xludf.DUMMYFUNCTION("""COMPUTED_VALUE"""),"All Together / Bible — Old Testament")</f>
        <v>All Together / Bible — Old Testament</v>
      </c>
      <c r="E53" s="217" t="str">
        <f>IFERROR(__xludf.DUMMYFUNCTION("""COMPUTED_VALUE"""),"Exodus")</f>
        <v>Exodus</v>
      </c>
      <c r="F53" s="217" t="str">
        <f>IFERROR(__xludf.DUMMYFUNCTION("""COMPUTED_VALUE"""),"Chapter 1")</f>
        <v>Chapter 1</v>
      </c>
      <c r="G53" s="217"/>
      <c r="H53" s="21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10">
        <f>IFERROR(__xludf.DUMMYFUNCTION("""COMPUTED_VALUE"""),46392.0)</f>
        <v>46392</v>
      </c>
      <c r="B54" s="217" t="str">
        <f>IFERROR(__xludf.DUMMYFUNCTION("""COMPUTED_VALUE"""),"Everyone")</f>
        <v>Everyone</v>
      </c>
      <c r="C54" s="217" t="str">
        <f>IFERROR(__xludf.DUMMYFUNCTION("""COMPUTED_VALUE"""),"Faith")</f>
        <v>Faith</v>
      </c>
      <c r="D54" s="217" t="str">
        <f>IFERROR(__xludf.DUMMYFUNCTION("""COMPUTED_VALUE"""),"All Together / Bible — Old Testament")</f>
        <v>All Together / Bible — Old Testament</v>
      </c>
      <c r="E54" s="217" t="str">
        <f>IFERROR(__xludf.DUMMYFUNCTION("""COMPUTED_VALUE"""),"Exodus")</f>
        <v>Exodus</v>
      </c>
      <c r="F54" s="217" t="str">
        <f>IFERROR(__xludf.DUMMYFUNCTION("""COMPUTED_VALUE"""),"Chapter 2")</f>
        <v>Chapter 2</v>
      </c>
      <c r="G54" s="217"/>
      <c r="H54" s="21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10">
        <f>IFERROR(__xludf.DUMMYFUNCTION("""COMPUTED_VALUE"""),46399.0)</f>
        <v>46399</v>
      </c>
      <c r="B55" s="217" t="str">
        <f>IFERROR(__xludf.DUMMYFUNCTION("""COMPUTED_VALUE"""),"Everyone")</f>
        <v>Everyone</v>
      </c>
      <c r="C55" s="217" t="str">
        <f>IFERROR(__xludf.DUMMYFUNCTION("""COMPUTED_VALUE"""),"Faith")</f>
        <v>Faith</v>
      </c>
      <c r="D55" s="217" t="str">
        <f>IFERROR(__xludf.DUMMYFUNCTION("""COMPUTED_VALUE"""),"All Together / Bible — Old Testament")</f>
        <v>All Together / Bible — Old Testament</v>
      </c>
      <c r="E55" s="217" t="str">
        <f>IFERROR(__xludf.DUMMYFUNCTION("""COMPUTED_VALUE"""),"Exodus")</f>
        <v>Exodus</v>
      </c>
      <c r="F55" s="217" t="str">
        <f>IFERROR(__xludf.DUMMYFUNCTION("""COMPUTED_VALUE"""),"Chapter 3")</f>
        <v>Chapter 3</v>
      </c>
      <c r="G55" s="217"/>
      <c r="H55" s="21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410">
        <f>IFERROR(__xludf.DUMMYFUNCTION("""COMPUTED_VALUE"""),46413.0)</f>
        <v>46413</v>
      </c>
      <c r="B56" s="217" t="str">
        <f>IFERROR(__xludf.DUMMYFUNCTION("""COMPUTED_VALUE"""),"Everyone")</f>
        <v>Everyone</v>
      </c>
      <c r="C56" s="217" t="str">
        <f>IFERROR(__xludf.DUMMYFUNCTION("""COMPUTED_VALUE"""),"Faith")</f>
        <v>Faith</v>
      </c>
      <c r="D56" s="217" t="str">
        <f>IFERROR(__xludf.DUMMYFUNCTION("""COMPUTED_VALUE"""),"All Together / Bible — Old Testament")</f>
        <v>All Together / Bible — Old Testament</v>
      </c>
      <c r="E56" s="217" t="str">
        <f>IFERROR(__xludf.DUMMYFUNCTION("""COMPUTED_VALUE"""),"Exodus")</f>
        <v>Exodus</v>
      </c>
      <c r="F56" s="217" t="str">
        <f>IFERROR(__xludf.DUMMYFUNCTION("""COMPUTED_VALUE"""),"Chapter 4")</f>
        <v>Chapter 4</v>
      </c>
      <c r="G56" s="217"/>
      <c r="H56" s="21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410">
        <f>IFERROR(__xludf.DUMMYFUNCTION("""COMPUTED_VALUE"""),46420.0)</f>
        <v>46420</v>
      </c>
      <c r="B57" s="217" t="str">
        <f>IFERROR(__xludf.DUMMYFUNCTION("""COMPUTED_VALUE"""),"Everyone")</f>
        <v>Everyone</v>
      </c>
      <c r="C57" s="217" t="str">
        <f>IFERROR(__xludf.DUMMYFUNCTION("""COMPUTED_VALUE"""),"Faith")</f>
        <v>Faith</v>
      </c>
      <c r="D57" s="217" t="str">
        <f>IFERROR(__xludf.DUMMYFUNCTION("""COMPUTED_VALUE"""),"All Together / Bible — Old Testament")</f>
        <v>All Together / Bible — Old Testament</v>
      </c>
      <c r="E57" s="217" t="str">
        <f>IFERROR(__xludf.DUMMYFUNCTION("""COMPUTED_VALUE"""),"Exodus")</f>
        <v>Exodus</v>
      </c>
      <c r="F57" s="217" t="str">
        <f>IFERROR(__xludf.DUMMYFUNCTION("""COMPUTED_VALUE"""),"Chapter 5")</f>
        <v>Chapter 5</v>
      </c>
      <c r="G57" s="217"/>
      <c r="H57" s="21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10">
        <f>IFERROR(__xludf.DUMMYFUNCTION("""COMPUTED_VALUE"""),46427.0)</f>
        <v>46427</v>
      </c>
      <c r="B58" s="217" t="str">
        <f>IFERROR(__xludf.DUMMYFUNCTION("""COMPUTED_VALUE"""),"Everyone")</f>
        <v>Everyone</v>
      </c>
      <c r="C58" s="217" t="str">
        <f>IFERROR(__xludf.DUMMYFUNCTION("""COMPUTED_VALUE"""),"Faith")</f>
        <v>Faith</v>
      </c>
      <c r="D58" s="217" t="str">
        <f>IFERROR(__xludf.DUMMYFUNCTION("""COMPUTED_VALUE"""),"All Together / Bible — Old Testament")</f>
        <v>All Together / Bible — Old Testament</v>
      </c>
      <c r="E58" s="217" t="str">
        <f>IFERROR(__xludf.DUMMYFUNCTION("""COMPUTED_VALUE"""),"Exodus")</f>
        <v>Exodus</v>
      </c>
      <c r="F58" s="217" t="str">
        <f>IFERROR(__xludf.DUMMYFUNCTION("""COMPUTED_VALUE"""),"Chapter 6")</f>
        <v>Chapter 6</v>
      </c>
      <c r="G58" s="217"/>
      <c r="H58" s="21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10">
        <f>IFERROR(__xludf.DUMMYFUNCTION("""COMPUTED_VALUE"""),46434.0)</f>
        <v>46434</v>
      </c>
      <c r="B59" s="217" t="str">
        <f>IFERROR(__xludf.DUMMYFUNCTION("""COMPUTED_VALUE"""),"Everyone")</f>
        <v>Everyone</v>
      </c>
      <c r="C59" s="217" t="str">
        <f>IFERROR(__xludf.DUMMYFUNCTION("""COMPUTED_VALUE"""),"Faith")</f>
        <v>Faith</v>
      </c>
      <c r="D59" s="217" t="str">
        <f>IFERROR(__xludf.DUMMYFUNCTION("""COMPUTED_VALUE"""),"All Together / Bible — Old Testament")</f>
        <v>All Together / Bible — Old Testament</v>
      </c>
      <c r="E59" s="217" t="str">
        <f>IFERROR(__xludf.DUMMYFUNCTION("""COMPUTED_VALUE"""),"Exodus")</f>
        <v>Exodus</v>
      </c>
      <c r="F59" s="217" t="str">
        <f>IFERROR(__xludf.DUMMYFUNCTION("""COMPUTED_VALUE"""),"Chapter 7")</f>
        <v>Chapter 7</v>
      </c>
      <c r="G59" s="217"/>
      <c r="H59" s="21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410">
        <f>IFERROR(__xludf.DUMMYFUNCTION("""COMPUTED_VALUE"""),46441.0)</f>
        <v>46441</v>
      </c>
      <c r="B60" s="217" t="str">
        <f>IFERROR(__xludf.DUMMYFUNCTION("""COMPUTED_VALUE"""),"Everyone")</f>
        <v>Everyone</v>
      </c>
      <c r="C60" s="217" t="str">
        <f>IFERROR(__xludf.DUMMYFUNCTION("""COMPUTED_VALUE"""),"Faith")</f>
        <v>Faith</v>
      </c>
      <c r="D60" s="217" t="str">
        <f>IFERROR(__xludf.DUMMYFUNCTION("""COMPUTED_VALUE"""),"All Together / Bible — Old Testament")</f>
        <v>All Together / Bible — Old Testament</v>
      </c>
      <c r="E60" s="217" t="str">
        <f>IFERROR(__xludf.DUMMYFUNCTION("""COMPUTED_VALUE"""),"Exodus")</f>
        <v>Exodus</v>
      </c>
      <c r="F60" s="217" t="str">
        <f>IFERROR(__xludf.DUMMYFUNCTION("""COMPUTED_VALUE"""),"Chapter 8")</f>
        <v>Chapter 8</v>
      </c>
      <c r="G60" s="217"/>
      <c r="H60" s="21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410">
        <f>IFERROR(__xludf.DUMMYFUNCTION("""COMPUTED_VALUE"""),46448.0)</f>
        <v>46448</v>
      </c>
      <c r="B61" s="217" t="str">
        <f>IFERROR(__xludf.DUMMYFUNCTION("""COMPUTED_VALUE"""),"Everyone")</f>
        <v>Everyone</v>
      </c>
      <c r="C61" s="217" t="str">
        <f>IFERROR(__xludf.DUMMYFUNCTION("""COMPUTED_VALUE"""),"Faith")</f>
        <v>Faith</v>
      </c>
      <c r="D61" s="217" t="str">
        <f>IFERROR(__xludf.DUMMYFUNCTION("""COMPUTED_VALUE"""),"All Together / Bible — Old Testament")</f>
        <v>All Together / Bible — Old Testament</v>
      </c>
      <c r="E61" s="217" t="str">
        <f>IFERROR(__xludf.DUMMYFUNCTION("""COMPUTED_VALUE"""),"Exodus")</f>
        <v>Exodus</v>
      </c>
      <c r="F61" s="217" t="str">
        <f>IFERROR(__xludf.DUMMYFUNCTION("""COMPUTED_VALUE"""),"Chapter 9")</f>
        <v>Chapter 9</v>
      </c>
      <c r="G61" s="217"/>
      <c r="H61" s="21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10">
        <f>IFERROR(__xludf.DUMMYFUNCTION("""COMPUTED_VALUE"""),46455.0)</f>
        <v>46455</v>
      </c>
      <c r="B62" s="217" t="str">
        <f>IFERROR(__xludf.DUMMYFUNCTION("""COMPUTED_VALUE"""),"Everyone")</f>
        <v>Everyone</v>
      </c>
      <c r="C62" s="217" t="str">
        <f>IFERROR(__xludf.DUMMYFUNCTION("""COMPUTED_VALUE"""),"Faith")</f>
        <v>Faith</v>
      </c>
      <c r="D62" s="217" t="str">
        <f>IFERROR(__xludf.DUMMYFUNCTION("""COMPUTED_VALUE"""),"All Together / Bible — Old Testament")</f>
        <v>All Together / Bible — Old Testament</v>
      </c>
      <c r="E62" s="217" t="str">
        <f>IFERROR(__xludf.DUMMYFUNCTION("""COMPUTED_VALUE"""),"Exodus")</f>
        <v>Exodus</v>
      </c>
      <c r="F62" s="217" t="str">
        <f>IFERROR(__xludf.DUMMYFUNCTION("""COMPUTED_VALUE"""),"Chapter 10")</f>
        <v>Chapter 10</v>
      </c>
      <c r="G62" s="217"/>
      <c r="H62" s="21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10">
        <f>IFERROR(__xludf.DUMMYFUNCTION("""COMPUTED_VALUE"""),46462.0)</f>
        <v>46462</v>
      </c>
      <c r="B63" s="217" t="str">
        <f>IFERROR(__xludf.DUMMYFUNCTION("""COMPUTED_VALUE"""),"Everyone")</f>
        <v>Everyone</v>
      </c>
      <c r="C63" s="217" t="str">
        <f>IFERROR(__xludf.DUMMYFUNCTION("""COMPUTED_VALUE"""),"Faith")</f>
        <v>Faith</v>
      </c>
      <c r="D63" s="217" t="str">
        <f>IFERROR(__xludf.DUMMYFUNCTION("""COMPUTED_VALUE"""),"All Together / Bible — Old Testament")</f>
        <v>All Together / Bible — Old Testament</v>
      </c>
      <c r="E63" s="217" t="str">
        <f>IFERROR(__xludf.DUMMYFUNCTION("""COMPUTED_VALUE"""),"Exodus")</f>
        <v>Exodus</v>
      </c>
      <c r="F63" s="217" t="str">
        <f>IFERROR(__xludf.DUMMYFUNCTION("""COMPUTED_VALUE"""),"Chapter 11")</f>
        <v>Chapter 11</v>
      </c>
      <c r="G63" s="217"/>
      <c r="H63" s="21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10">
        <f>IFERROR(__xludf.DUMMYFUNCTION("""COMPUTED_VALUE"""),46469.0)</f>
        <v>46469</v>
      </c>
      <c r="B64" s="217" t="str">
        <f>IFERROR(__xludf.DUMMYFUNCTION("""COMPUTED_VALUE"""),"Everyone")</f>
        <v>Everyone</v>
      </c>
      <c r="C64" s="217" t="str">
        <f>IFERROR(__xludf.DUMMYFUNCTION("""COMPUTED_VALUE"""),"Faith")</f>
        <v>Faith</v>
      </c>
      <c r="D64" s="217" t="str">
        <f>IFERROR(__xludf.DUMMYFUNCTION("""COMPUTED_VALUE"""),"All Together / Bible — Old Testament")</f>
        <v>All Together / Bible — Old Testament</v>
      </c>
      <c r="E64" s="217" t="str">
        <f>IFERROR(__xludf.DUMMYFUNCTION("""COMPUTED_VALUE"""),"Exodus")</f>
        <v>Exodus</v>
      </c>
      <c r="F64" s="217" t="str">
        <f>IFERROR(__xludf.DUMMYFUNCTION("""COMPUTED_VALUE"""),"Chapter 12")</f>
        <v>Chapter 12</v>
      </c>
      <c r="G64" s="217"/>
      <c r="H64" s="21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410">
        <f>IFERROR(__xludf.DUMMYFUNCTION("""COMPUTED_VALUE"""),46476.0)</f>
        <v>46476</v>
      </c>
      <c r="B65" s="217" t="str">
        <f>IFERROR(__xludf.DUMMYFUNCTION("""COMPUTED_VALUE"""),"Everyone")</f>
        <v>Everyone</v>
      </c>
      <c r="C65" s="217" t="str">
        <f>IFERROR(__xludf.DUMMYFUNCTION("""COMPUTED_VALUE"""),"Faith")</f>
        <v>Faith</v>
      </c>
      <c r="D65" s="217" t="str">
        <f>IFERROR(__xludf.DUMMYFUNCTION("""COMPUTED_VALUE"""),"All Together / Bible — Old Testament")</f>
        <v>All Together / Bible — Old Testament</v>
      </c>
      <c r="E65" s="217" t="str">
        <f>IFERROR(__xludf.DUMMYFUNCTION("""COMPUTED_VALUE"""),"Exodus")</f>
        <v>Exodus</v>
      </c>
      <c r="F65" s="217" t="str">
        <f>IFERROR(__xludf.DUMMYFUNCTION("""COMPUTED_VALUE"""),"Chapter 13")</f>
        <v>Chapter 13</v>
      </c>
      <c r="G65" s="217"/>
      <c r="H65" s="21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10">
        <f>IFERROR(__xludf.DUMMYFUNCTION("""COMPUTED_VALUE"""),46483.0)</f>
        <v>46483</v>
      </c>
      <c r="B66" s="217" t="str">
        <f>IFERROR(__xludf.DUMMYFUNCTION("""COMPUTED_VALUE"""),"Everyone")</f>
        <v>Everyone</v>
      </c>
      <c r="C66" s="217" t="str">
        <f>IFERROR(__xludf.DUMMYFUNCTION("""COMPUTED_VALUE"""),"Faith")</f>
        <v>Faith</v>
      </c>
      <c r="D66" s="217" t="str">
        <f>IFERROR(__xludf.DUMMYFUNCTION("""COMPUTED_VALUE"""),"All Together / Bible — Old Testament")</f>
        <v>All Together / Bible — Old Testament</v>
      </c>
      <c r="E66" s="217" t="str">
        <f>IFERROR(__xludf.DUMMYFUNCTION("""COMPUTED_VALUE"""),"Exodus")</f>
        <v>Exodus</v>
      </c>
      <c r="F66" s="217" t="str">
        <f>IFERROR(__xludf.DUMMYFUNCTION("""COMPUTED_VALUE"""),"Chapter 14")</f>
        <v>Chapter 14</v>
      </c>
      <c r="G66" s="217"/>
      <c r="H66" s="21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10">
        <f>IFERROR(__xludf.DUMMYFUNCTION("""COMPUTED_VALUE"""),46497.0)</f>
        <v>46497</v>
      </c>
      <c r="B67" s="217" t="str">
        <f>IFERROR(__xludf.DUMMYFUNCTION("""COMPUTED_VALUE"""),"Everyone")</f>
        <v>Everyone</v>
      </c>
      <c r="C67" s="217" t="str">
        <f>IFERROR(__xludf.DUMMYFUNCTION("""COMPUTED_VALUE"""),"Faith")</f>
        <v>Faith</v>
      </c>
      <c r="D67" s="217" t="str">
        <f>IFERROR(__xludf.DUMMYFUNCTION("""COMPUTED_VALUE"""),"All Together / Bible — Old Testament")</f>
        <v>All Together / Bible — Old Testament</v>
      </c>
      <c r="E67" s="217" t="str">
        <f>IFERROR(__xludf.DUMMYFUNCTION("""COMPUTED_VALUE"""),"Exodus")</f>
        <v>Exodus</v>
      </c>
      <c r="F67" s="217" t="str">
        <f>IFERROR(__xludf.DUMMYFUNCTION("""COMPUTED_VALUE"""),"Chapter 15")</f>
        <v>Chapter 15</v>
      </c>
      <c r="G67" s="217"/>
      <c r="H67" s="21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10">
        <f>IFERROR(__xludf.DUMMYFUNCTION("""COMPUTED_VALUE"""),46504.0)</f>
        <v>46504</v>
      </c>
      <c r="B68" s="217" t="str">
        <f>IFERROR(__xludf.DUMMYFUNCTION("""COMPUTED_VALUE"""),"Everyone")</f>
        <v>Everyone</v>
      </c>
      <c r="C68" s="217" t="str">
        <f>IFERROR(__xludf.DUMMYFUNCTION("""COMPUTED_VALUE"""),"Faith")</f>
        <v>Faith</v>
      </c>
      <c r="D68" s="217" t="str">
        <f>IFERROR(__xludf.DUMMYFUNCTION("""COMPUTED_VALUE"""),"All Together / Bible — Old Testament")</f>
        <v>All Together / Bible — Old Testament</v>
      </c>
      <c r="E68" s="217" t="str">
        <f>IFERROR(__xludf.DUMMYFUNCTION("""COMPUTED_VALUE"""),"Exodus")</f>
        <v>Exodus</v>
      </c>
      <c r="F68" s="217" t="str">
        <f>IFERROR(__xludf.DUMMYFUNCTION("""COMPUTED_VALUE"""),"Chapter 16")</f>
        <v>Chapter 16</v>
      </c>
      <c r="G68" s="217"/>
      <c r="H68" s="21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10">
        <f>IFERROR(__xludf.DUMMYFUNCTION("""COMPUTED_VALUE"""),46511.0)</f>
        <v>46511</v>
      </c>
      <c r="B69" s="217" t="str">
        <f>IFERROR(__xludf.DUMMYFUNCTION("""COMPUTED_VALUE"""),"Everyone")</f>
        <v>Everyone</v>
      </c>
      <c r="C69" s="217" t="str">
        <f>IFERROR(__xludf.DUMMYFUNCTION("""COMPUTED_VALUE"""),"Faith")</f>
        <v>Faith</v>
      </c>
      <c r="D69" s="217" t="str">
        <f>IFERROR(__xludf.DUMMYFUNCTION("""COMPUTED_VALUE"""),"All Together / Bible — Old Testament")</f>
        <v>All Together / Bible — Old Testament</v>
      </c>
      <c r="E69" s="217" t="str">
        <f>IFERROR(__xludf.DUMMYFUNCTION("""COMPUTED_VALUE"""),"Exodus")</f>
        <v>Exodus</v>
      </c>
      <c r="F69" s="217" t="str">
        <f>IFERROR(__xludf.DUMMYFUNCTION("""COMPUTED_VALUE"""),"Chapter 17")</f>
        <v>Chapter 17</v>
      </c>
      <c r="G69" s="217"/>
      <c r="H69" s="21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10">
        <f>IFERROR(__xludf.DUMMYFUNCTION("""COMPUTED_VALUE"""),46518.0)</f>
        <v>46518</v>
      </c>
      <c r="B70" s="217" t="str">
        <f>IFERROR(__xludf.DUMMYFUNCTION("""COMPUTED_VALUE"""),"Everyone")</f>
        <v>Everyone</v>
      </c>
      <c r="C70" s="217" t="str">
        <f>IFERROR(__xludf.DUMMYFUNCTION("""COMPUTED_VALUE"""),"Faith")</f>
        <v>Faith</v>
      </c>
      <c r="D70" s="217" t="str">
        <f>IFERROR(__xludf.DUMMYFUNCTION("""COMPUTED_VALUE"""),"All Together / Bible — Old Testament")</f>
        <v>All Together / Bible — Old Testament</v>
      </c>
      <c r="E70" s="217" t="str">
        <f>IFERROR(__xludf.DUMMYFUNCTION("""COMPUTED_VALUE"""),"Exodus")</f>
        <v>Exodus</v>
      </c>
      <c r="F70" s="217" t="str">
        <f>IFERROR(__xludf.DUMMYFUNCTION("""COMPUTED_VALUE"""),"Chapter 18")</f>
        <v>Chapter 18</v>
      </c>
      <c r="G70" s="217"/>
      <c r="H70" s="21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10">
        <f>IFERROR(__xludf.DUMMYFUNCTION("""COMPUTED_VALUE"""),46525.0)</f>
        <v>46525</v>
      </c>
      <c r="B71" s="217" t="str">
        <f>IFERROR(__xludf.DUMMYFUNCTION("""COMPUTED_VALUE"""),"Everyone")</f>
        <v>Everyone</v>
      </c>
      <c r="C71" s="217" t="str">
        <f>IFERROR(__xludf.DUMMYFUNCTION("""COMPUTED_VALUE"""),"Faith")</f>
        <v>Faith</v>
      </c>
      <c r="D71" s="217" t="str">
        <f>IFERROR(__xludf.DUMMYFUNCTION("""COMPUTED_VALUE"""),"All Together / Bible — Old Testament")</f>
        <v>All Together / Bible — Old Testament</v>
      </c>
      <c r="E71" s="217" t="str">
        <f>IFERROR(__xludf.DUMMYFUNCTION("""COMPUTED_VALUE"""),"Exodus")</f>
        <v>Exodus</v>
      </c>
      <c r="F71" s="217" t="str">
        <f>IFERROR(__xludf.DUMMYFUNCTION("""COMPUTED_VALUE"""),"Chapter 19")</f>
        <v>Chapter 19</v>
      </c>
      <c r="G71" s="217"/>
      <c r="H71" s="21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410">
        <f>IFERROR(__xludf.DUMMYFUNCTION("""COMPUTED_VALUE"""),46532.0)</f>
        <v>46532</v>
      </c>
      <c r="B72" s="217" t="str">
        <f>IFERROR(__xludf.DUMMYFUNCTION("""COMPUTED_VALUE"""),"Everyone")</f>
        <v>Everyone</v>
      </c>
      <c r="C72" s="217" t="str">
        <f>IFERROR(__xludf.DUMMYFUNCTION("""COMPUTED_VALUE"""),"Faith")</f>
        <v>Faith</v>
      </c>
      <c r="D72" s="217" t="str">
        <f>IFERROR(__xludf.DUMMYFUNCTION("""COMPUTED_VALUE"""),"All Together / Bible — Old Testament")</f>
        <v>All Together / Bible — Old Testament</v>
      </c>
      <c r="E72" s="217" t="str">
        <f>IFERROR(__xludf.DUMMYFUNCTION("""COMPUTED_VALUE"""),"Exodus")</f>
        <v>Exodus</v>
      </c>
      <c r="F72" s="217" t="str">
        <f>IFERROR(__xludf.DUMMYFUNCTION("""COMPUTED_VALUE"""),"Chapter 20")</f>
        <v>Chapter 20</v>
      </c>
      <c r="G72" s="217"/>
      <c r="H72" s="21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410">
        <f>IFERROR(__xludf.DUMMYFUNCTION("""COMPUTED_VALUE"""),46539.0)</f>
        <v>46539</v>
      </c>
      <c r="B73" s="217" t="str">
        <f>IFERROR(__xludf.DUMMYFUNCTION("""COMPUTED_VALUE"""),"Everyone")</f>
        <v>Everyone</v>
      </c>
      <c r="C73" s="217" t="str">
        <f>IFERROR(__xludf.DUMMYFUNCTION("""COMPUTED_VALUE"""),"Faith")</f>
        <v>Faith</v>
      </c>
      <c r="D73" s="217" t="str">
        <f>IFERROR(__xludf.DUMMYFUNCTION("""COMPUTED_VALUE"""),"All Together / Bible — Old Testament")</f>
        <v>All Together / Bible — Old Testament</v>
      </c>
      <c r="E73" s="217" t="str">
        <f>IFERROR(__xludf.DUMMYFUNCTION("""COMPUTED_VALUE"""),"Exodus")</f>
        <v>Exodus</v>
      </c>
      <c r="F73" s="217" t="str">
        <f>IFERROR(__xludf.DUMMYFUNCTION("""COMPUTED_VALUE"""),"Chapter 21")</f>
        <v>Chapter 21</v>
      </c>
      <c r="G73" s="217"/>
      <c r="H73" s="21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10">
        <f>IFERROR(__xludf.DUMMYFUNCTION("""COMPUTED_VALUE"""),46546.0)</f>
        <v>46546</v>
      </c>
      <c r="B74" s="217" t="str">
        <f>IFERROR(__xludf.DUMMYFUNCTION("""COMPUTED_VALUE"""),"Everyone")</f>
        <v>Everyone</v>
      </c>
      <c r="C74" s="217" t="str">
        <f>IFERROR(__xludf.DUMMYFUNCTION("""COMPUTED_VALUE"""),"Faith")</f>
        <v>Faith</v>
      </c>
      <c r="D74" s="217" t="str">
        <f>IFERROR(__xludf.DUMMYFUNCTION("""COMPUTED_VALUE"""),"All Together / Bible — Old Testament")</f>
        <v>All Together / Bible — Old Testament</v>
      </c>
      <c r="E74" s="217" t="str">
        <f>IFERROR(__xludf.DUMMYFUNCTION("""COMPUTED_VALUE"""),"Exodus")</f>
        <v>Exodus</v>
      </c>
      <c r="F74" s="217" t="str">
        <f>IFERROR(__xludf.DUMMYFUNCTION("""COMPUTED_VALUE"""),"Chapter 22")</f>
        <v>Chapter 22</v>
      </c>
      <c r="G74" s="217"/>
      <c r="H74" s="21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10">
        <f>IFERROR(__xludf.DUMMYFUNCTION("""COMPUTED_VALUE"""),46553.0)</f>
        <v>46553</v>
      </c>
      <c r="B75" s="217" t="str">
        <f>IFERROR(__xludf.DUMMYFUNCTION("""COMPUTED_VALUE"""),"Everyone")</f>
        <v>Everyone</v>
      </c>
      <c r="C75" s="217" t="str">
        <f>IFERROR(__xludf.DUMMYFUNCTION("""COMPUTED_VALUE"""),"Faith")</f>
        <v>Faith</v>
      </c>
      <c r="D75" s="217" t="str">
        <f>IFERROR(__xludf.DUMMYFUNCTION("""COMPUTED_VALUE"""),"All Together / Bible — Old Testament")</f>
        <v>All Together / Bible — Old Testament</v>
      </c>
      <c r="E75" s="217" t="str">
        <f>IFERROR(__xludf.DUMMYFUNCTION("""COMPUTED_VALUE"""),"Exodus")</f>
        <v>Exodus</v>
      </c>
      <c r="F75" s="217" t="str">
        <f>IFERROR(__xludf.DUMMYFUNCTION("""COMPUTED_VALUE"""),"Chapter 23")</f>
        <v>Chapter 23</v>
      </c>
      <c r="G75" s="217"/>
      <c r="H75" s="21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10">
        <f>IFERROR(__xludf.DUMMYFUNCTION("""COMPUTED_VALUE"""),46560.0)</f>
        <v>46560</v>
      </c>
      <c r="B76" s="217" t="str">
        <f>IFERROR(__xludf.DUMMYFUNCTION("""COMPUTED_VALUE"""),"Everyone")</f>
        <v>Everyone</v>
      </c>
      <c r="C76" s="217" t="str">
        <f>IFERROR(__xludf.DUMMYFUNCTION("""COMPUTED_VALUE"""),"Faith")</f>
        <v>Faith</v>
      </c>
      <c r="D76" s="217" t="str">
        <f>IFERROR(__xludf.DUMMYFUNCTION("""COMPUTED_VALUE"""),"All Together / Bible — Old Testament")</f>
        <v>All Together / Bible — Old Testament</v>
      </c>
      <c r="E76" s="217" t="str">
        <f>IFERROR(__xludf.DUMMYFUNCTION("""COMPUTED_VALUE"""),"Exodus")</f>
        <v>Exodus</v>
      </c>
      <c r="F76" s="217" t="str">
        <f>IFERROR(__xludf.DUMMYFUNCTION("""COMPUTED_VALUE"""),"Chapter 24")</f>
        <v>Chapter 24</v>
      </c>
      <c r="G76" s="217"/>
      <c r="H76" s="21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410">
        <f>IFERROR(__xludf.DUMMYFUNCTION("""COMPUTED_VALUE"""),46567.0)</f>
        <v>46567</v>
      </c>
      <c r="B77" s="217" t="str">
        <f>IFERROR(__xludf.DUMMYFUNCTION("""COMPUTED_VALUE"""),"Everyone")</f>
        <v>Everyone</v>
      </c>
      <c r="C77" s="217" t="str">
        <f>IFERROR(__xludf.DUMMYFUNCTION("""COMPUTED_VALUE"""),"Faith")</f>
        <v>Faith</v>
      </c>
      <c r="D77" s="217" t="str">
        <f>IFERROR(__xludf.DUMMYFUNCTION("""COMPUTED_VALUE"""),"All Together / Bible — Old Testament")</f>
        <v>All Together / Bible — Old Testament</v>
      </c>
      <c r="E77" s="217" t="str">
        <f>IFERROR(__xludf.DUMMYFUNCTION("""COMPUTED_VALUE"""),"Exodus")</f>
        <v>Exodus</v>
      </c>
      <c r="F77" s="217" t="str">
        <f>IFERROR(__xludf.DUMMYFUNCTION("""COMPUTED_VALUE"""),"Chapter 25")</f>
        <v>Chapter 25</v>
      </c>
      <c r="G77" s="217"/>
      <c r="H77" s="21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10">
        <f>IFERROR(__xludf.DUMMYFUNCTION("""COMPUTED_VALUE"""),46251.0)</f>
        <v>46251</v>
      </c>
      <c r="B78" s="217" t="str">
        <f>IFERROR(__xludf.DUMMYFUNCTION("""COMPUTED_VALUE"""),"Everyone")</f>
        <v>Everyone</v>
      </c>
      <c r="C78" s="217" t="str">
        <f>IFERROR(__xludf.DUMMYFUNCTION("""COMPUTED_VALUE"""),"Faith")</f>
        <v>Faith</v>
      </c>
      <c r="D78" s="217" t="str">
        <f>IFERROR(__xludf.DUMMYFUNCTION("""COMPUTED_VALUE"""),"All Together / Bible — New Testament")</f>
        <v>All Together / Bible — New Testament</v>
      </c>
      <c r="E78" s="217" t="str">
        <f>IFERROR(__xludf.DUMMYFUNCTION("""COMPUTED_VALUE"""),"Matthew")</f>
        <v>Matthew</v>
      </c>
      <c r="F78" s="217" t="str">
        <f>IFERROR(__xludf.DUMMYFUNCTION("""COMPUTED_VALUE"""),"Chapter 1")</f>
        <v>Chapter 1</v>
      </c>
      <c r="G78" s="217"/>
      <c r="H78" s="21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10">
        <f>IFERROR(__xludf.DUMMYFUNCTION("""COMPUTED_VALUE"""),46258.0)</f>
        <v>46258</v>
      </c>
      <c r="B79" s="217" t="str">
        <f>IFERROR(__xludf.DUMMYFUNCTION("""COMPUTED_VALUE"""),"Everyone")</f>
        <v>Everyone</v>
      </c>
      <c r="C79" s="217" t="str">
        <f>IFERROR(__xludf.DUMMYFUNCTION("""COMPUTED_VALUE"""),"Faith")</f>
        <v>Faith</v>
      </c>
      <c r="D79" s="217" t="str">
        <f>IFERROR(__xludf.DUMMYFUNCTION("""COMPUTED_VALUE"""),"All Together / Bible — New Testament")</f>
        <v>All Together / Bible — New Testament</v>
      </c>
      <c r="E79" s="217" t="str">
        <f>IFERROR(__xludf.DUMMYFUNCTION("""COMPUTED_VALUE"""),"Matthew")</f>
        <v>Matthew</v>
      </c>
      <c r="F79" s="217" t="str">
        <f>IFERROR(__xludf.DUMMYFUNCTION("""COMPUTED_VALUE"""),"Chapter 2")</f>
        <v>Chapter 2</v>
      </c>
      <c r="G79" s="217"/>
      <c r="H79" s="21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10">
        <f>IFERROR(__xludf.DUMMYFUNCTION("""COMPUTED_VALUE"""),46265.0)</f>
        <v>46265</v>
      </c>
      <c r="B80" s="217" t="str">
        <f>IFERROR(__xludf.DUMMYFUNCTION("""COMPUTED_VALUE"""),"Everyone")</f>
        <v>Everyone</v>
      </c>
      <c r="C80" s="217" t="str">
        <f>IFERROR(__xludf.DUMMYFUNCTION("""COMPUTED_VALUE"""),"Faith")</f>
        <v>Faith</v>
      </c>
      <c r="D80" s="217" t="str">
        <f>IFERROR(__xludf.DUMMYFUNCTION("""COMPUTED_VALUE"""),"All Together / Bible — New Testament")</f>
        <v>All Together / Bible — New Testament</v>
      </c>
      <c r="E80" s="217" t="str">
        <f>IFERROR(__xludf.DUMMYFUNCTION("""COMPUTED_VALUE"""),"Matthew")</f>
        <v>Matthew</v>
      </c>
      <c r="F80" s="217" t="str">
        <f>IFERROR(__xludf.DUMMYFUNCTION("""COMPUTED_VALUE"""),"Chapter 3")</f>
        <v>Chapter 3</v>
      </c>
      <c r="G80" s="217"/>
      <c r="H80" s="21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10">
        <f>IFERROR(__xludf.DUMMYFUNCTION("""COMPUTED_VALUE"""),46272.0)</f>
        <v>46272</v>
      </c>
      <c r="B81" s="217" t="str">
        <f>IFERROR(__xludf.DUMMYFUNCTION("""COMPUTED_VALUE"""),"Everyone")</f>
        <v>Everyone</v>
      </c>
      <c r="C81" s="217" t="str">
        <f>IFERROR(__xludf.DUMMYFUNCTION("""COMPUTED_VALUE"""),"Faith")</f>
        <v>Faith</v>
      </c>
      <c r="D81" s="217" t="str">
        <f>IFERROR(__xludf.DUMMYFUNCTION("""COMPUTED_VALUE"""),"All Together / Bible — New Testament")</f>
        <v>All Together / Bible — New Testament</v>
      </c>
      <c r="E81" s="217" t="str">
        <f>IFERROR(__xludf.DUMMYFUNCTION("""COMPUTED_VALUE"""),"Matthew")</f>
        <v>Matthew</v>
      </c>
      <c r="F81" s="217" t="str">
        <f>IFERROR(__xludf.DUMMYFUNCTION("""COMPUTED_VALUE"""),"Chapter 4")</f>
        <v>Chapter 4</v>
      </c>
      <c r="G81" s="217"/>
      <c r="H81" s="21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410">
        <f>IFERROR(__xludf.DUMMYFUNCTION("""COMPUTED_VALUE"""),46279.0)</f>
        <v>46279</v>
      </c>
      <c r="B82" s="217" t="str">
        <f>IFERROR(__xludf.DUMMYFUNCTION("""COMPUTED_VALUE"""),"Everyone")</f>
        <v>Everyone</v>
      </c>
      <c r="C82" s="217" t="str">
        <f>IFERROR(__xludf.DUMMYFUNCTION("""COMPUTED_VALUE"""),"Faith")</f>
        <v>Faith</v>
      </c>
      <c r="D82" s="217" t="str">
        <f>IFERROR(__xludf.DUMMYFUNCTION("""COMPUTED_VALUE"""),"All Together / Bible — New Testament")</f>
        <v>All Together / Bible — New Testament</v>
      </c>
      <c r="E82" s="217" t="str">
        <f>IFERROR(__xludf.DUMMYFUNCTION("""COMPUTED_VALUE"""),"Matthew")</f>
        <v>Matthew</v>
      </c>
      <c r="F82" s="217" t="str">
        <f>IFERROR(__xludf.DUMMYFUNCTION("""COMPUTED_VALUE"""),"Chapter 5")</f>
        <v>Chapter 5</v>
      </c>
      <c r="G82" s="217"/>
      <c r="H82" s="21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10">
        <f>IFERROR(__xludf.DUMMYFUNCTION("""COMPUTED_VALUE"""),46286.0)</f>
        <v>46286</v>
      </c>
      <c r="B83" s="217" t="str">
        <f>IFERROR(__xludf.DUMMYFUNCTION("""COMPUTED_VALUE"""),"Everyone")</f>
        <v>Everyone</v>
      </c>
      <c r="C83" s="217" t="str">
        <f>IFERROR(__xludf.DUMMYFUNCTION("""COMPUTED_VALUE"""),"Faith")</f>
        <v>Faith</v>
      </c>
      <c r="D83" s="217" t="str">
        <f>IFERROR(__xludf.DUMMYFUNCTION("""COMPUTED_VALUE"""),"All Together / Bible — New Testament")</f>
        <v>All Together / Bible — New Testament</v>
      </c>
      <c r="E83" s="217" t="str">
        <f>IFERROR(__xludf.DUMMYFUNCTION("""COMPUTED_VALUE"""),"Matthew")</f>
        <v>Matthew</v>
      </c>
      <c r="F83" s="217" t="str">
        <f>IFERROR(__xludf.DUMMYFUNCTION("""COMPUTED_VALUE"""),"Chapter 6")</f>
        <v>Chapter 6</v>
      </c>
      <c r="G83" s="217"/>
      <c r="H83" s="21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10">
        <f>IFERROR(__xludf.DUMMYFUNCTION("""COMPUTED_VALUE"""),46293.0)</f>
        <v>46293</v>
      </c>
      <c r="B84" s="217" t="str">
        <f>IFERROR(__xludf.DUMMYFUNCTION("""COMPUTED_VALUE"""),"Everyone")</f>
        <v>Everyone</v>
      </c>
      <c r="C84" s="217" t="str">
        <f>IFERROR(__xludf.DUMMYFUNCTION("""COMPUTED_VALUE"""),"Faith")</f>
        <v>Faith</v>
      </c>
      <c r="D84" s="217" t="str">
        <f>IFERROR(__xludf.DUMMYFUNCTION("""COMPUTED_VALUE"""),"All Together / Bible — New Testament")</f>
        <v>All Together / Bible — New Testament</v>
      </c>
      <c r="E84" s="217" t="str">
        <f>IFERROR(__xludf.DUMMYFUNCTION("""COMPUTED_VALUE"""),"Matthew")</f>
        <v>Matthew</v>
      </c>
      <c r="F84" s="217" t="str">
        <f>IFERROR(__xludf.DUMMYFUNCTION("""COMPUTED_VALUE"""),"Chapter 7")</f>
        <v>Chapter 7</v>
      </c>
      <c r="G84" s="217"/>
      <c r="H84" s="21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10">
        <f>IFERROR(__xludf.DUMMYFUNCTION("""COMPUTED_VALUE"""),46300.0)</f>
        <v>46300</v>
      </c>
      <c r="B85" s="217" t="str">
        <f>IFERROR(__xludf.DUMMYFUNCTION("""COMPUTED_VALUE"""),"Everyone")</f>
        <v>Everyone</v>
      </c>
      <c r="C85" s="217" t="str">
        <f>IFERROR(__xludf.DUMMYFUNCTION("""COMPUTED_VALUE"""),"Faith")</f>
        <v>Faith</v>
      </c>
      <c r="D85" s="217" t="str">
        <f>IFERROR(__xludf.DUMMYFUNCTION("""COMPUTED_VALUE"""),"All Together / Bible — New Testament")</f>
        <v>All Together / Bible — New Testament</v>
      </c>
      <c r="E85" s="217" t="str">
        <f>IFERROR(__xludf.DUMMYFUNCTION("""COMPUTED_VALUE"""),"Matthew")</f>
        <v>Matthew</v>
      </c>
      <c r="F85" s="217" t="str">
        <f>IFERROR(__xludf.DUMMYFUNCTION("""COMPUTED_VALUE"""),"Chapter 8")</f>
        <v>Chapter 8</v>
      </c>
      <c r="G85" s="217"/>
      <c r="H85" s="21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10">
        <f>IFERROR(__xludf.DUMMYFUNCTION("""COMPUTED_VALUE"""),46307.0)</f>
        <v>46307</v>
      </c>
      <c r="B86" s="217" t="str">
        <f>IFERROR(__xludf.DUMMYFUNCTION("""COMPUTED_VALUE"""),"Everyone")</f>
        <v>Everyone</v>
      </c>
      <c r="C86" s="217" t="str">
        <f>IFERROR(__xludf.DUMMYFUNCTION("""COMPUTED_VALUE"""),"Faith")</f>
        <v>Faith</v>
      </c>
      <c r="D86" s="217" t="str">
        <f>IFERROR(__xludf.DUMMYFUNCTION("""COMPUTED_VALUE"""),"All Together / Bible — New Testament")</f>
        <v>All Together / Bible — New Testament</v>
      </c>
      <c r="E86" s="217" t="str">
        <f>IFERROR(__xludf.DUMMYFUNCTION("""COMPUTED_VALUE"""),"Matthew")</f>
        <v>Matthew</v>
      </c>
      <c r="F86" s="217" t="str">
        <f>IFERROR(__xludf.DUMMYFUNCTION("""COMPUTED_VALUE"""),"Chapter 9")</f>
        <v>Chapter 9</v>
      </c>
      <c r="G86" s="217"/>
      <c r="H86" s="21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10">
        <f>IFERROR(__xludf.DUMMYFUNCTION("""COMPUTED_VALUE"""),46314.0)</f>
        <v>46314</v>
      </c>
      <c r="B87" s="217" t="str">
        <f>IFERROR(__xludf.DUMMYFUNCTION("""COMPUTED_VALUE"""),"Everyone")</f>
        <v>Everyone</v>
      </c>
      <c r="C87" s="217" t="str">
        <f>IFERROR(__xludf.DUMMYFUNCTION("""COMPUTED_VALUE"""),"Faith")</f>
        <v>Faith</v>
      </c>
      <c r="D87" s="217" t="str">
        <f>IFERROR(__xludf.DUMMYFUNCTION("""COMPUTED_VALUE"""),"All Together / Bible — New Testament")</f>
        <v>All Together / Bible — New Testament</v>
      </c>
      <c r="E87" s="217" t="str">
        <f>IFERROR(__xludf.DUMMYFUNCTION("""COMPUTED_VALUE"""),"Matthew")</f>
        <v>Matthew</v>
      </c>
      <c r="F87" s="217" t="str">
        <f>IFERROR(__xludf.DUMMYFUNCTION("""COMPUTED_VALUE"""),"Chapter 10")</f>
        <v>Chapter 10</v>
      </c>
      <c r="G87" s="217"/>
      <c r="H87" s="21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10">
        <f>IFERROR(__xludf.DUMMYFUNCTION("""COMPUTED_VALUE"""),46328.0)</f>
        <v>46328</v>
      </c>
      <c r="B88" s="217" t="str">
        <f>IFERROR(__xludf.DUMMYFUNCTION("""COMPUTED_VALUE"""),"Everyone")</f>
        <v>Everyone</v>
      </c>
      <c r="C88" s="217" t="str">
        <f>IFERROR(__xludf.DUMMYFUNCTION("""COMPUTED_VALUE"""),"Faith")</f>
        <v>Faith</v>
      </c>
      <c r="D88" s="217" t="str">
        <f>IFERROR(__xludf.DUMMYFUNCTION("""COMPUTED_VALUE"""),"All Together / Bible — New Testament")</f>
        <v>All Together / Bible — New Testament</v>
      </c>
      <c r="E88" s="217" t="str">
        <f>IFERROR(__xludf.DUMMYFUNCTION("""COMPUTED_VALUE"""),"Matthew")</f>
        <v>Matthew</v>
      </c>
      <c r="F88" s="217" t="str">
        <f>IFERROR(__xludf.DUMMYFUNCTION("""COMPUTED_VALUE"""),"Chapter 11")</f>
        <v>Chapter 11</v>
      </c>
      <c r="G88" s="217"/>
      <c r="H88" s="21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10">
        <f>IFERROR(__xludf.DUMMYFUNCTION("""COMPUTED_VALUE"""),46335.0)</f>
        <v>46335</v>
      </c>
      <c r="B89" s="217" t="str">
        <f>IFERROR(__xludf.DUMMYFUNCTION("""COMPUTED_VALUE"""),"Everyone")</f>
        <v>Everyone</v>
      </c>
      <c r="C89" s="217" t="str">
        <f>IFERROR(__xludf.DUMMYFUNCTION("""COMPUTED_VALUE"""),"Faith")</f>
        <v>Faith</v>
      </c>
      <c r="D89" s="217" t="str">
        <f>IFERROR(__xludf.DUMMYFUNCTION("""COMPUTED_VALUE"""),"All Together / Bible — New Testament")</f>
        <v>All Together / Bible — New Testament</v>
      </c>
      <c r="E89" s="217" t="str">
        <f>IFERROR(__xludf.DUMMYFUNCTION("""COMPUTED_VALUE"""),"Matthew")</f>
        <v>Matthew</v>
      </c>
      <c r="F89" s="217" t="str">
        <f>IFERROR(__xludf.DUMMYFUNCTION("""COMPUTED_VALUE"""),"Chapter 12")</f>
        <v>Chapter 12</v>
      </c>
      <c r="G89" s="217"/>
      <c r="H89" s="21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10">
        <f>IFERROR(__xludf.DUMMYFUNCTION("""COMPUTED_VALUE"""),46342.0)</f>
        <v>46342</v>
      </c>
      <c r="B90" s="217" t="str">
        <f>IFERROR(__xludf.DUMMYFUNCTION("""COMPUTED_VALUE"""),"Everyone")</f>
        <v>Everyone</v>
      </c>
      <c r="C90" s="217" t="str">
        <f>IFERROR(__xludf.DUMMYFUNCTION("""COMPUTED_VALUE"""),"Faith")</f>
        <v>Faith</v>
      </c>
      <c r="D90" s="217" t="str">
        <f>IFERROR(__xludf.DUMMYFUNCTION("""COMPUTED_VALUE"""),"All Together / Bible — New Testament")</f>
        <v>All Together / Bible — New Testament</v>
      </c>
      <c r="E90" s="217" t="str">
        <f>IFERROR(__xludf.DUMMYFUNCTION("""COMPUTED_VALUE"""),"Matthew")</f>
        <v>Matthew</v>
      </c>
      <c r="F90" s="217" t="str">
        <f>IFERROR(__xludf.DUMMYFUNCTION("""COMPUTED_VALUE"""),"Chapter 13")</f>
        <v>Chapter 13</v>
      </c>
      <c r="G90" s="217"/>
      <c r="H90" s="21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10">
        <f>IFERROR(__xludf.DUMMYFUNCTION("""COMPUTED_VALUE"""),46349.0)</f>
        <v>46349</v>
      </c>
      <c r="B91" s="217" t="str">
        <f>IFERROR(__xludf.DUMMYFUNCTION("""COMPUTED_VALUE"""),"Everyone")</f>
        <v>Everyone</v>
      </c>
      <c r="C91" s="217" t="str">
        <f>IFERROR(__xludf.DUMMYFUNCTION("""COMPUTED_VALUE"""),"Faith")</f>
        <v>Faith</v>
      </c>
      <c r="D91" s="217" t="str">
        <f>IFERROR(__xludf.DUMMYFUNCTION("""COMPUTED_VALUE"""),"All Together / Bible — New Testament")</f>
        <v>All Together / Bible — New Testament</v>
      </c>
      <c r="E91" s="217" t="str">
        <f>IFERROR(__xludf.DUMMYFUNCTION("""COMPUTED_VALUE"""),"Matthew")</f>
        <v>Matthew</v>
      </c>
      <c r="F91" s="217" t="str">
        <f>IFERROR(__xludf.DUMMYFUNCTION("""COMPUTED_VALUE"""),"Chapter 14")</f>
        <v>Chapter 14</v>
      </c>
      <c r="G91" s="217"/>
      <c r="H91" s="21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410">
        <f>IFERROR(__xludf.DUMMYFUNCTION("""COMPUTED_VALUE"""),46356.0)</f>
        <v>46356</v>
      </c>
      <c r="B92" s="217" t="str">
        <f>IFERROR(__xludf.DUMMYFUNCTION("""COMPUTED_VALUE"""),"Everyone")</f>
        <v>Everyone</v>
      </c>
      <c r="C92" s="217" t="str">
        <f>IFERROR(__xludf.DUMMYFUNCTION("""COMPUTED_VALUE"""),"Faith")</f>
        <v>Faith</v>
      </c>
      <c r="D92" s="217" t="str">
        <f>IFERROR(__xludf.DUMMYFUNCTION("""COMPUTED_VALUE"""),"All Together / Bible — New Testament")</f>
        <v>All Together / Bible — New Testament</v>
      </c>
      <c r="E92" s="217" t="str">
        <f>IFERROR(__xludf.DUMMYFUNCTION("""COMPUTED_VALUE"""),"Matthew")</f>
        <v>Matthew</v>
      </c>
      <c r="F92" s="217" t="str">
        <f>IFERROR(__xludf.DUMMYFUNCTION("""COMPUTED_VALUE"""),"Chapter 15")</f>
        <v>Chapter 15</v>
      </c>
      <c r="G92" s="217"/>
      <c r="H92" s="21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10">
        <f>IFERROR(__xludf.DUMMYFUNCTION("""COMPUTED_VALUE"""),46363.0)</f>
        <v>46363</v>
      </c>
      <c r="B93" s="217" t="str">
        <f>IFERROR(__xludf.DUMMYFUNCTION("""COMPUTED_VALUE"""),"Everyone")</f>
        <v>Everyone</v>
      </c>
      <c r="C93" s="217" t="str">
        <f>IFERROR(__xludf.DUMMYFUNCTION("""COMPUTED_VALUE"""),"Faith")</f>
        <v>Faith</v>
      </c>
      <c r="D93" s="217" t="str">
        <f>IFERROR(__xludf.DUMMYFUNCTION("""COMPUTED_VALUE"""),"All Together / Bible — New Testament")</f>
        <v>All Together / Bible — New Testament</v>
      </c>
      <c r="E93" s="217" t="str">
        <f>IFERROR(__xludf.DUMMYFUNCTION("""COMPUTED_VALUE"""),"Matthew")</f>
        <v>Matthew</v>
      </c>
      <c r="F93" s="217" t="str">
        <f>IFERROR(__xludf.DUMMYFUNCTION("""COMPUTED_VALUE"""),"Chapter 16")</f>
        <v>Chapter 16</v>
      </c>
      <c r="G93" s="217"/>
      <c r="H93" s="21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10">
        <f>IFERROR(__xludf.DUMMYFUNCTION("""COMPUTED_VALUE"""),46370.0)</f>
        <v>46370</v>
      </c>
      <c r="B94" s="217" t="str">
        <f>IFERROR(__xludf.DUMMYFUNCTION("""COMPUTED_VALUE"""),"Everyone")</f>
        <v>Everyone</v>
      </c>
      <c r="C94" s="217" t="str">
        <f>IFERROR(__xludf.DUMMYFUNCTION("""COMPUTED_VALUE"""),"Faith")</f>
        <v>Faith</v>
      </c>
      <c r="D94" s="217" t="str">
        <f>IFERROR(__xludf.DUMMYFUNCTION("""COMPUTED_VALUE"""),"All Together / Bible — New Testament")</f>
        <v>All Together / Bible — New Testament</v>
      </c>
      <c r="E94" s="217" t="str">
        <f>IFERROR(__xludf.DUMMYFUNCTION("""COMPUTED_VALUE"""),"Matthew")</f>
        <v>Matthew</v>
      </c>
      <c r="F94" s="217" t="str">
        <f>IFERROR(__xludf.DUMMYFUNCTION("""COMPUTED_VALUE"""),"Chapter 17")</f>
        <v>Chapter 17</v>
      </c>
      <c r="G94" s="217"/>
      <c r="H94" s="21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10">
        <f>IFERROR(__xludf.DUMMYFUNCTION("""COMPUTED_VALUE"""),46377.0)</f>
        <v>46377</v>
      </c>
      <c r="B95" s="217" t="str">
        <f>IFERROR(__xludf.DUMMYFUNCTION("""COMPUTED_VALUE"""),"Everyone")</f>
        <v>Everyone</v>
      </c>
      <c r="C95" s="217" t="str">
        <f>IFERROR(__xludf.DUMMYFUNCTION("""COMPUTED_VALUE"""),"Faith")</f>
        <v>Faith</v>
      </c>
      <c r="D95" s="217" t="str">
        <f>IFERROR(__xludf.DUMMYFUNCTION("""COMPUTED_VALUE"""),"All Together / Bible — New Testament")</f>
        <v>All Together / Bible — New Testament</v>
      </c>
      <c r="E95" s="217" t="str">
        <f>IFERROR(__xludf.DUMMYFUNCTION("""COMPUTED_VALUE"""),"Matthew")</f>
        <v>Matthew</v>
      </c>
      <c r="F95" s="217" t="str">
        <f>IFERROR(__xludf.DUMMYFUNCTION("""COMPUTED_VALUE"""),"Chapter 18")</f>
        <v>Chapter 18</v>
      </c>
      <c r="G95" s="217"/>
      <c r="H95" s="21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10">
        <f>IFERROR(__xludf.DUMMYFUNCTION("""COMPUTED_VALUE"""),46384.0)</f>
        <v>46384</v>
      </c>
      <c r="B96" s="217" t="str">
        <f>IFERROR(__xludf.DUMMYFUNCTION("""COMPUTED_VALUE"""),"Everyone")</f>
        <v>Everyone</v>
      </c>
      <c r="C96" s="217" t="str">
        <f>IFERROR(__xludf.DUMMYFUNCTION("""COMPUTED_VALUE"""),"Faith")</f>
        <v>Faith</v>
      </c>
      <c r="D96" s="217" t="str">
        <f>IFERROR(__xludf.DUMMYFUNCTION("""COMPUTED_VALUE"""),"All Together / Bible — New Testament")</f>
        <v>All Together / Bible — New Testament</v>
      </c>
      <c r="E96" s="217" t="str">
        <f>IFERROR(__xludf.DUMMYFUNCTION("""COMPUTED_VALUE"""),"Matthew")</f>
        <v>Matthew</v>
      </c>
      <c r="F96" s="217" t="str">
        <f>IFERROR(__xludf.DUMMYFUNCTION("""COMPUTED_VALUE"""),"Chapter 19")</f>
        <v>Chapter 19</v>
      </c>
      <c r="G96" s="217"/>
      <c r="H96" s="21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410">
        <f>IFERROR(__xludf.DUMMYFUNCTION("""COMPUTED_VALUE"""),46391.0)</f>
        <v>46391</v>
      </c>
      <c r="B97" s="217" t="str">
        <f>IFERROR(__xludf.DUMMYFUNCTION("""COMPUTED_VALUE"""),"Everyone")</f>
        <v>Everyone</v>
      </c>
      <c r="C97" s="217" t="str">
        <f>IFERROR(__xludf.DUMMYFUNCTION("""COMPUTED_VALUE"""),"Faith")</f>
        <v>Faith</v>
      </c>
      <c r="D97" s="217" t="str">
        <f>IFERROR(__xludf.DUMMYFUNCTION("""COMPUTED_VALUE"""),"All Together / Bible — New Testament")</f>
        <v>All Together / Bible — New Testament</v>
      </c>
      <c r="E97" s="217" t="str">
        <f>IFERROR(__xludf.DUMMYFUNCTION("""COMPUTED_VALUE"""),"Matthew")</f>
        <v>Matthew</v>
      </c>
      <c r="F97" s="217" t="str">
        <f>IFERROR(__xludf.DUMMYFUNCTION("""COMPUTED_VALUE"""),"Chapter 20")</f>
        <v>Chapter 20</v>
      </c>
      <c r="G97" s="217"/>
      <c r="H97" s="21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10">
        <f>IFERROR(__xludf.DUMMYFUNCTION("""COMPUTED_VALUE"""),46398.0)</f>
        <v>46398</v>
      </c>
      <c r="B98" s="217" t="str">
        <f>IFERROR(__xludf.DUMMYFUNCTION("""COMPUTED_VALUE"""),"Everyone")</f>
        <v>Everyone</v>
      </c>
      <c r="C98" s="217" t="str">
        <f>IFERROR(__xludf.DUMMYFUNCTION("""COMPUTED_VALUE"""),"Faith")</f>
        <v>Faith</v>
      </c>
      <c r="D98" s="217" t="str">
        <f>IFERROR(__xludf.DUMMYFUNCTION("""COMPUTED_VALUE"""),"All Together / Bible — New Testament")</f>
        <v>All Together / Bible — New Testament</v>
      </c>
      <c r="E98" s="217" t="str">
        <f>IFERROR(__xludf.DUMMYFUNCTION("""COMPUTED_VALUE"""),"Matthew")</f>
        <v>Matthew</v>
      </c>
      <c r="F98" s="217" t="str">
        <f>IFERROR(__xludf.DUMMYFUNCTION("""COMPUTED_VALUE"""),"Chapter 21")</f>
        <v>Chapter 21</v>
      </c>
      <c r="G98" s="217"/>
      <c r="H98" s="21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10">
        <f>IFERROR(__xludf.DUMMYFUNCTION("""COMPUTED_VALUE"""),46412.0)</f>
        <v>46412</v>
      </c>
      <c r="B99" s="217" t="str">
        <f>IFERROR(__xludf.DUMMYFUNCTION("""COMPUTED_VALUE"""),"Everyone")</f>
        <v>Everyone</v>
      </c>
      <c r="C99" s="217" t="str">
        <f>IFERROR(__xludf.DUMMYFUNCTION("""COMPUTED_VALUE"""),"Faith")</f>
        <v>Faith</v>
      </c>
      <c r="D99" s="217" t="str">
        <f>IFERROR(__xludf.DUMMYFUNCTION("""COMPUTED_VALUE"""),"All Together / Bible — New Testament")</f>
        <v>All Together / Bible — New Testament</v>
      </c>
      <c r="E99" s="217" t="str">
        <f>IFERROR(__xludf.DUMMYFUNCTION("""COMPUTED_VALUE"""),"Matthew")</f>
        <v>Matthew</v>
      </c>
      <c r="F99" s="217" t="str">
        <f>IFERROR(__xludf.DUMMYFUNCTION("""COMPUTED_VALUE"""),"Chapter 22")</f>
        <v>Chapter 22</v>
      </c>
      <c r="G99" s="217"/>
      <c r="H99" s="21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10">
        <f>IFERROR(__xludf.DUMMYFUNCTION("""COMPUTED_VALUE"""),46419.0)</f>
        <v>46419</v>
      </c>
      <c r="B100" s="217" t="str">
        <f>IFERROR(__xludf.DUMMYFUNCTION("""COMPUTED_VALUE"""),"Everyone")</f>
        <v>Everyone</v>
      </c>
      <c r="C100" s="217" t="str">
        <f>IFERROR(__xludf.DUMMYFUNCTION("""COMPUTED_VALUE"""),"Faith")</f>
        <v>Faith</v>
      </c>
      <c r="D100" s="217" t="str">
        <f>IFERROR(__xludf.DUMMYFUNCTION("""COMPUTED_VALUE"""),"All Together / Bible — New Testament")</f>
        <v>All Together / Bible — New Testament</v>
      </c>
      <c r="E100" s="217" t="str">
        <f>IFERROR(__xludf.DUMMYFUNCTION("""COMPUTED_VALUE"""),"Matthew")</f>
        <v>Matthew</v>
      </c>
      <c r="F100" s="217" t="str">
        <f>IFERROR(__xludf.DUMMYFUNCTION("""COMPUTED_VALUE"""),"Chapter 23")</f>
        <v>Chapter 23</v>
      </c>
      <c r="G100" s="217"/>
      <c r="H100" s="21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10">
        <f>IFERROR(__xludf.DUMMYFUNCTION("""COMPUTED_VALUE"""),46426.0)</f>
        <v>46426</v>
      </c>
      <c r="B101" s="217" t="str">
        <f>IFERROR(__xludf.DUMMYFUNCTION("""COMPUTED_VALUE"""),"Everyone")</f>
        <v>Everyone</v>
      </c>
      <c r="C101" s="217" t="str">
        <f>IFERROR(__xludf.DUMMYFUNCTION("""COMPUTED_VALUE"""),"Faith")</f>
        <v>Faith</v>
      </c>
      <c r="D101" s="217" t="str">
        <f>IFERROR(__xludf.DUMMYFUNCTION("""COMPUTED_VALUE"""),"All Together / Bible — New Testament")</f>
        <v>All Together / Bible — New Testament</v>
      </c>
      <c r="E101" s="217" t="str">
        <f>IFERROR(__xludf.DUMMYFUNCTION("""COMPUTED_VALUE"""),"Matthew")</f>
        <v>Matthew</v>
      </c>
      <c r="F101" s="217" t="str">
        <f>IFERROR(__xludf.DUMMYFUNCTION("""COMPUTED_VALUE"""),"Chapter 24")</f>
        <v>Chapter 24</v>
      </c>
      <c r="G101" s="217"/>
      <c r="H101" s="21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10">
        <f>IFERROR(__xludf.DUMMYFUNCTION("""COMPUTED_VALUE"""),46433.0)</f>
        <v>46433</v>
      </c>
      <c r="B102" s="217" t="str">
        <f>IFERROR(__xludf.DUMMYFUNCTION("""COMPUTED_VALUE"""),"Everyone")</f>
        <v>Everyone</v>
      </c>
      <c r="C102" s="217" t="str">
        <f>IFERROR(__xludf.DUMMYFUNCTION("""COMPUTED_VALUE"""),"Faith")</f>
        <v>Faith</v>
      </c>
      <c r="D102" s="217" t="str">
        <f>IFERROR(__xludf.DUMMYFUNCTION("""COMPUTED_VALUE"""),"All Together / Bible — New Testament")</f>
        <v>All Together / Bible — New Testament</v>
      </c>
      <c r="E102" s="217" t="str">
        <f>IFERROR(__xludf.DUMMYFUNCTION("""COMPUTED_VALUE"""),"Matthew")</f>
        <v>Matthew</v>
      </c>
      <c r="F102" s="217" t="str">
        <f>IFERROR(__xludf.DUMMYFUNCTION("""COMPUTED_VALUE"""),"Chapter 25")</f>
        <v>Chapter 25</v>
      </c>
      <c r="G102" s="217"/>
      <c r="H102" s="21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10">
        <f>IFERROR(__xludf.DUMMYFUNCTION("""COMPUTED_VALUE"""),46440.0)</f>
        <v>46440</v>
      </c>
      <c r="B103" s="217" t="str">
        <f>IFERROR(__xludf.DUMMYFUNCTION("""COMPUTED_VALUE"""),"Everyone")</f>
        <v>Everyone</v>
      </c>
      <c r="C103" s="217" t="str">
        <f>IFERROR(__xludf.DUMMYFUNCTION("""COMPUTED_VALUE"""),"Faith")</f>
        <v>Faith</v>
      </c>
      <c r="D103" s="217" t="str">
        <f>IFERROR(__xludf.DUMMYFUNCTION("""COMPUTED_VALUE"""),"All Together / Bible — New Testament")</f>
        <v>All Together / Bible — New Testament</v>
      </c>
      <c r="E103" s="217" t="str">
        <f>IFERROR(__xludf.DUMMYFUNCTION("""COMPUTED_VALUE"""),"Matthew")</f>
        <v>Matthew</v>
      </c>
      <c r="F103" s="217" t="str">
        <f>IFERROR(__xludf.DUMMYFUNCTION("""COMPUTED_VALUE"""),"Chapter 26")</f>
        <v>Chapter 26</v>
      </c>
      <c r="G103" s="217"/>
      <c r="H103" s="21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10">
        <f>IFERROR(__xludf.DUMMYFUNCTION("""COMPUTED_VALUE"""),46447.0)</f>
        <v>46447</v>
      </c>
      <c r="B104" s="217" t="str">
        <f>IFERROR(__xludf.DUMMYFUNCTION("""COMPUTED_VALUE"""),"Everyone")</f>
        <v>Everyone</v>
      </c>
      <c r="C104" s="217" t="str">
        <f>IFERROR(__xludf.DUMMYFUNCTION("""COMPUTED_VALUE"""),"Faith")</f>
        <v>Faith</v>
      </c>
      <c r="D104" s="217" t="str">
        <f>IFERROR(__xludf.DUMMYFUNCTION("""COMPUTED_VALUE"""),"All Together / Bible — New Testament")</f>
        <v>All Together / Bible — New Testament</v>
      </c>
      <c r="E104" s="217" t="str">
        <f>IFERROR(__xludf.DUMMYFUNCTION("""COMPUTED_VALUE"""),"Matthew")</f>
        <v>Matthew</v>
      </c>
      <c r="F104" s="217" t="str">
        <f>IFERROR(__xludf.DUMMYFUNCTION("""COMPUTED_VALUE"""),"Chapter 27")</f>
        <v>Chapter 27</v>
      </c>
      <c r="G104" s="217"/>
      <c r="H104" s="21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10">
        <f>IFERROR(__xludf.DUMMYFUNCTION("""COMPUTED_VALUE"""),46454.0)</f>
        <v>46454</v>
      </c>
      <c r="B105" s="217" t="str">
        <f>IFERROR(__xludf.DUMMYFUNCTION("""COMPUTED_VALUE"""),"Everyone")</f>
        <v>Everyone</v>
      </c>
      <c r="C105" s="217" t="str">
        <f>IFERROR(__xludf.DUMMYFUNCTION("""COMPUTED_VALUE"""),"Faith")</f>
        <v>Faith</v>
      </c>
      <c r="D105" s="217" t="str">
        <f>IFERROR(__xludf.DUMMYFUNCTION("""COMPUTED_VALUE"""),"All Together / Bible — New Testament")</f>
        <v>All Together / Bible — New Testament</v>
      </c>
      <c r="E105" s="217" t="str">
        <f>IFERROR(__xludf.DUMMYFUNCTION("""COMPUTED_VALUE"""),"Matthew")</f>
        <v>Matthew</v>
      </c>
      <c r="F105" s="217" t="str">
        <f>IFERROR(__xludf.DUMMYFUNCTION("""COMPUTED_VALUE"""),"Chapter 28")</f>
        <v>Chapter 28</v>
      </c>
      <c r="G105" s="217"/>
      <c r="H105" s="21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410">
        <f>IFERROR(__xludf.DUMMYFUNCTION("""COMPUTED_VALUE"""),46461.0)</f>
        <v>46461</v>
      </c>
      <c r="B106" s="217" t="str">
        <f>IFERROR(__xludf.DUMMYFUNCTION("""COMPUTED_VALUE"""),"Everyone")</f>
        <v>Everyone</v>
      </c>
      <c r="C106" s="217" t="str">
        <f>IFERROR(__xludf.DUMMYFUNCTION("""COMPUTED_VALUE"""),"Faith")</f>
        <v>Faith</v>
      </c>
      <c r="D106" s="217" t="str">
        <f>IFERROR(__xludf.DUMMYFUNCTION("""COMPUTED_VALUE"""),"All Together / Bible — New Testament")</f>
        <v>All Together / Bible — New Testament</v>
      </c>
      <c r="E106" s="217" t="str">
        <f>IFERROR(__xludf.DUMMYFUNCTION("""COMPUTED_VALUE"""),"Matthew")</f>
        <v>Matthew</v>
      </c>
      <c r="F106" s="217" t="str">
        <f>IFERROR(__xludf.DUMMYFUNCTION("""COMPUTED_VALUE"""),"Chapter 29")</f>
        <v>Chapter 29</v>
      </c>
      <c r="G106" s="217"/>
      <c r="H106" s="21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13">
        <f>IFERROR(__xludf.DUMMYFUNCTION("""COMPUTED_VALUE"""),46468.0)</f>
        <v>46468</v>
      </c>
      <c r="B107" s="414" t="str">
        <f>IFERROR(__xludf.DUMMYFUNCTION("""COMPUTED_VALUE"""),"Everyone")</f>
        <v>Everyone</v>
      </c>
      <c r="C107" s="414" t="str">
        <f>IFERROR(__xludf.DUMMYFUNCTION("""COMPUTED_VALUE"""),"Faith")</f>
        <v>Faith</v>
      </c>
      <c r="D107" s="414" t="str">
        <f>IFERROR(__xludf.DUMMYFUNCTION("""COMPUTED_VALUE"""),"All Together / Bible — New Testament")</f>
        <v>All Together / Bible — New Testament</v>
      </c>
      <c r="E107" s="414" t="str">
        <f>IFERROR(__xludf.DUMMYFUNCTION("""COMPUTED_VALUE"""),"Matthew")</f>
        <v>Matthew</v>
      </c>
      <c r="F107" s="414" t="str">
        <f>IFERROR(__xludf.DUMMYFUNCTION("""COMPUTED_VALUE"""),"Chapter 30")</f>
        <v>Chapter 30</v>
      </c>
      <c r="G107" s="414"/>
      <c r="H107" s="41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15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15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15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15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15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15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15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15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15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15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415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15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415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15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15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15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15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15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15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15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415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15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15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15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415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415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415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15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15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15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415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15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15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15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15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15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415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415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15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415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415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15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415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15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15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415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15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15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415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15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415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415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15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15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415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415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15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15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415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415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415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15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15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15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415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415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15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415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15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415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415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15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15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415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15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415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415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15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15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415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415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15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415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15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15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415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15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15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415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415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415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415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15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15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415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424"/>
    </row>
    <row r="204" ht="15.75" customHeight="1">
      <c r="A204" s="424"/>
    </row>
    <row r="205" ht="15.75" customHeight="1">
      <c r="A205" s="424"/>
    </row>
    <row r="206" ht="15.75" customHeight="1">
      <c r="A206" s="424"/>
    </row>
    <row r="207" ht="15.75" customHeight="1">
      <c r="A207" s="424"/>
    </row>
    <row r="208" ht="15.75" customHeight="1">
      <c r="A208" s="424"/>
    </row>
    <row r="209" ht="15.75" customHeight="1">
      <c r="A209" s="424"/>
    </row>
    <row r="210" ht="15.75" customHeight="1">
      <c r="A210" s="424"/>
    </row>
    <row r="211" ht="15.75" customHeight="1">
      <c r="A211" s="424"/>
    </row>
    <row r="212" ht="15.75" customHeight="1">
      <c r="A212" s="424"/>
    </row>
    <row r="213" ht="15.75" customHeight="1">
      <c r="A213" s="424"/>
    </row>
    <row r="214" ht="15.75" customHeight="1">
      <c r="A214" s="424"/>
    </row>
    <row r="215" ht="15.75" customHeight="1">
      <c r="A215" s="424"/>
    </row>
    <row r="216" ht="15.75" customHeight="1">
      <c r="A216" s="424"/>
    </row>
    <row r="217" ht="15.75" customHeight="1">
      <c r="A217" s="424"/>
    </row>
    <row r="218" ht="15.75" customHeight="1">
      <c r="A218" s="424"/>
    </row>
    <row r="219" ht="15.75" customHeight="1">
      <c r="A219" s="424"/>
    </row>
    <row r="220" ht="15.75" customHeight="1">
      <c r="A220" s="424"/>
    </row>
    <row r="221" ht="15.75" customHeight="1">
      <c r="A221" s="424"/>
    </row>
    <row r="222" ht="15.75" customHeight="1">
      <c r="A222" s="424"/>
    </row>
    <row r="223" ht="15.75" customHeight="1">
      <c r="A223" s="424"/>
    </row>
    <row r="224" ht="15.75" customHeight="1">
      <c r="A224" s="424"/>
    </row>
    <row r="225" ht="15.75" customHeight="1">
      <c r="A225" s="424"/>
    </row>
    <row r="226" ht="15.75" customHeight="1">
      <c r="A226" s="424"/>
    </row>
    <row r="227" ht="15.75" customHeight="1">
      <c r="A227" s="424"/>
    </row>
    <row r="228" ht="15.75" customHeight="1">
      <c r="A228" s="424"/>
    </row>
    <row r="229" ht="15.75" customHeight="1">
      <c r="A229" s="424"/>
    </row>
    <row r="230" ht="15.75" customHeight="1">
      <c r="A230" s="424"/>
    </row>
    <row r="231" ht="15.75" customHeight="1">
      <c r="A231" s="424"/>
    </row>
    <row r="232" ht="15.75" customHeight="1">
      <c r="A232" s="424"/>
    </row>
    <row r="233" ht="15.75" customHeight="1">
      <c r="A233" s="424"/>
    </row>
    <row r="234" ht="15.75" customHeight="1">
      <c r="A234" s="424"/>
    </row>
    <row r="235" ht="15.75" customHeight="1">
      <c r="A235" s="424"/>
    </row>
    <row r="236" ht="15.75" customHeight="1">
      <c r="A236" s="424"/>
    </row>
    <row r="237" ht="15.75" customHeight="1">
      <c r="A237" s="424"/>
    </row>
    <row r="238" ht="15.75" customHeight="1">
      <c r="A238" s="424"/>
    </row>
    <row r="239" ht="15.75" customHeight="1">
      <c r="A239" s="424"/>
    </row>
    <row r="240" ht="15.75" customHeight="1">
      <c r="A240" s="424"/>
    </row>
    <row r="241" ht="15.75" customHeight="1">
      <c r="A241" s="424"/>
    </row>
    <row r="242" ht="15.75" customHeight="1">
      <c r="A242" s="424"/>
    </row>
    <row r="243" ht="15.75" customHeight="1">
      <c r="A243" s="424"/>
    </row>
    <row r="244" ht="15.75" customHeight="1">
      <c r="A244" s="424"/>
    </row>
    <row r="245" ht="15.75" customHeight="1">
      <c r="A245" s="424"/>
    </row>
    <row r="246" ht="15.75" customHeight="1">
      <c r="A246" s="424"/>
    </row>
    <row r="247" ht="15.75" customHeight="1">
      <c r="A247" s="424"/>
    </row>
    <row r="248" ht="15.75" customHeight="1">
      <c r="A248" s="424"/>
    </row>
    <row r="249" ht="15.75" customHeight="1">
      <c r="A249" s="424"/>
    </row>
    <row r="250" ht="15.75" customHeight="1">
      <c r="A250" s="424"/>
    </row>
    <row r="251" ht="15.75" customHeight="1">
      <c r="A251" s="424"/>
    </row>
    <row r="252" ht="15.75" customHeight="1">
      <c r="A252" s="424"/>
    </row>
    <row r="253" ht="15.75" customHeight="1">
      <c r="A253" s="424"/>
    </row>
    <row r="254" ht="15.75" customHeight="1">
      <c r="A254" s="424"/>
    </row>
    <row r="255" ht="15.75" customHeight="1">
      <c r="A255" s="424"/>
    </row>
    <row r="256" ht="15.75" customHeight="1">
      <c r="A256" s="424"/>
    </row>
    <row r="257" ht="15.75" customHeight="1">
      <c r="A257" s="424"/>
    </row>
    <row r="258" ht="15.75" customHeight="1">
      <c r="A258" s="424"/>
    </row>
    <row r="259" ht="15.75" customHeight="1">
      <c r="A259" s="424"/>
    </row>
    <row r="260" ht="15.75" customHeight="1">
      <c r="A260" s="424"/>
    </row>
    <row r="261" ht="15.75" customHeight="1">
      <c r="A261" s="424"/>
    </row>
    <row r="262" ht="15.75" customHeight="1">
      <c r="A262" s="424"/>
    </row>
    <row r="263" ht="15.75" customHeight="1">
      <c r="A263" s="424"/>
    </row>
    <row r="264" ht="15.75" customHeight="1">
      <c r="A264" s="424"/>
    </row>
    <row r="265" ht="15.75" customHeight="1">
      <c r="A265" s="424"/>
    </row>
    <row r="266" ht="15.75" customHeight="1">
      <c r="A266" s="424"/>
    </row>
    <row r="267" ht="15.75" customHeight="1">
      <c r="A267" s="424"/>
    </row>
    <row r="268" ht="15.75" customHeight="1">
      <c r="A268" s="424"/>
    </row>
    <row r="269" ht="15.75" customHeight="1">
      <c r="A269" s="424"/>
    </row>
    <row r="270" ht="15.75" customHeight="1">
      <c r="A270" s="424"/>
    </row>
    <row r="271" ht="15.75" customHeight="1">
      <c r="A271" s="424"/>
    </row>
    <row r="272" ht="15.75" customHeight="1">
      <c r="A272" s="424"/>
    </row>
    <row r="273" ht="15.75" customHeight="1">
      <c r="A273" s="424"/>
    </row>
    <row r="274" ht="15.75" customHeight="1">
      <c r="A274" s="424"/>
    </row>
    <row r="275" ht="15.75" customHeight="1">
      <c r="A275" s="424"/>
    </row>
    <row r="276" ht="15.75" customHeight="1">
      <c r="A276" s="424"/>
    </row>
    <row r="277" ht="15.75" customHeight="1">
      <c r="A277" s="424"/>
    </row>
    <row r="278" ht="15.75" customHeight="1">
      <c r="A278" s="424"/>
    </row>
    <row r="279" ht="15.75" customHeight="1">
      <c r="A279" s="424"/>
    </row>
    <row r="280" ht="15.75" customHeight="1">
      <c r="A280" s="424"/>
    </row>
    <row r="281" ht="15.75" customHeight="1">
      <c r="A281" s="424"/>
    </row>
    <row r="282" ht="15.75" customHeight="1">
      <c r="A282" s="424"/>
    </row>
    <row r="283" ht="15.75" customHeight="1">
      <c r="A283" s="424"/>
    </row>
    <row r="284" ht="15.75" customHeight="1">
      <c r="A284" s="424"/>
    </row>
    <row r="285" ht="15.75" customHeight="1">
      <c r="A285" s="424"/>
    </row>
    <row r="286" ht="15.75" customHeight="1">
      <c r="A286" s="424"/>
    </row>
    <row r="287" ht="15.75" customHeight="1">
      <c r="A287" s="424"/>
    </row>
    <row r="288" ht="15.75" customHeight="1">
      <c r="A288" s="424"/>
    </row>
    <row r="289" ht="15.75" customHeight="1">
      <c r="A289" s="424"/>
    </row>
    <row r="290" ht="15.75" customHeight="1">
      <c r="A290" s="424"/>
    </row>
    <row r="291" ht="15.75" customHeight="1">
      <c r="A291" s="424"/>
    </row>
    <row r="292" ht="15.75" customHeight="1">
      <c r="A292" s="424"/>
    </row>
    <row r="293" ht="15.75" customHeight="1">
      <c r="A293" s="424"/>
    </row>
    <row r="294" ht="15.75" customHeight="1">
      <c r="A294" s="424"/>
    </row>
    <row r="295" ht="15.75" customHeight="1">
      <c r="A295" s="424"/>
    </row>
    <row r="296" ht="15.75" customHeight="1">
      <c r="A296" s="424"/>
    </row>
    <row r="297" ht="15.75" customHeight="1">
      <c r="A297" s="424"/>
    </row>
    <row r="298" ht="15.75" customHeight="1">
      <c r="A298" s="424"/>
    </row>
    <row r="299" ht="15.75" customHeight="1">
      <c r="A299" s="424"/>
    </row>
    <row r="300" ht="15.75" customHeight="1">
      <c r="A300" s="424"/>
    </row>
    <row r="301" ht="15.75" customHeight="1">
      <c r="A301" s="424"/>
    </row>
    <row r="302" ht="15.75" customHeight="1">
      <c r="A302" s="424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A5">
      <formula1>'Custom Views'!$J$5:$J$104</formula1>
    </dataValidation>
    <dataValidation type="list" allowBlank="1" showErrorMessage="1" sqref="C5">
      <formula1>'Custom Views'!$P$5:$P$104</formula1>
    </dataValidation>
    <dataValidation type="list" allowBlank="1" showErrorMessage="1" sqref="B5">
      <formula1>'Custom Views'!$L$5:$L$104</formula1>
    </dataValidation>
    <dataValidation type="list" allowBlank="1" showErrorMessage="1" sqref="B8">
      <formula1>'Custom Views'!$M$5:$M$104</formula1>
    </dataValidation>
    <dataValidation type="list" allowBlank="1" showErrorMessage="1" sqref="C8">
      <formula1>'Custom Views'!$O$5:$O$104</formula1>
    </dataValidation>
    <dataValidation type="list" allowBlank="1" showErrorMessage="1" sqref="A8">
      <formula1>'Custom Views'!$K$5:$K$104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B6B6"/>
    <pageSetUpPr/>
  </sheetPr>
  <sheetViews>
    <sheetView workbookViewId="0"/>
  </sheetViews>
  <sheetFormatPr customHeight="1" defaultColWidth="12.63" defaultRowHeight="15.0"/>
  <cols>
    <col customWidth="1" min="1" max="1" width="99.63"/>
    <col customWidth="1" min="2" max="2" width="12.25"/>
    <col customWidth="1" min="3" max="3" width="30.13"/>
    <col customWidth="1" min="4" max="4" width="29.5"/>
    <col customWidth="1" min="5" max="5" width="8.63"/>
    <col customWidth="1" hidden="1" min="6" max="11" width="8.63"/>
    <col customWidth="1" min="12" max="26" width="8.63"/>
  </cols>
  <sheetData>
    <row r="1" ht="15.75" customHeight="1">
      <c r="A1" s="385" t="s">
        <v>492</v>
      </c>
      <c r="B1" s="364"/>
      <c r="C1" s="364"/>
      <c r="D1" s="364"/>
      <c r="E1" s="416"/>
      <c r="F1" s="416"/>
      <c r="G1" s="416"/>
      <c r="H1" s="416"/>
      <c r="I1" s="416"/>
      <c r="J1" s="416"/>
      <c r="K1" s="41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386" t="s">
        <v>493</v>
      </c>
      <c r="B2" s="387"/>
      <c r="C2" s="387"/>
      <c r="D2" s="387"/>
      <c r="E2" s="417"/>
      <c r="F2" s="417"/>
      <c r="G2" s="417"/>
      <c r="H2" s="417"/>
      <c r="I2" s="417"/>
      <c r="J2" s="417"/>
      <c r="K2" s="41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418" t="s">
        <v>494</v>
      </c>
      <c r="B4" s="419" t="s">
        <v>496</v>
      </c>
      <c r="C4" s="420" t="s">
        <v>497</v>
      </c>
      <c r="D4" s="421" t="str">
        <f>IFERROR(__xludf.DUMMYFUNCTION("IFERROR(TEXTJOIN("", "",TRUE,FILTER('Custom Views'!$B$5:$B$24,(('Custom Views'!$A$5:$A$24=""☑"")+('Custom Views'!$A$5:$A$24=TRUE))&gt;0,'Custom Views'!$C$5:$C$24=""What's Next"")),"""")"),"")</f>
        <v/>
      </c>
      <c r="E4" s="8"/>
      <c r="F4" s="8" t="str">
        <f t="array" ref="F4">IFERROR(INDEX('Custom Views'!$D$5:$D$24,MATCH($B$4,'Custom Views'!$B$5:$B$24,0)),"All")</f>
        <v>All</v>
      </c>
      <c r="G4" s="8" t="str">
        <f t="array" ref="G4">IFERROR(INDEX('Custom Views'!$E$5:$E$24,MATCH($B$4,'Custom Views'!$B$5:$B$24,0)),"All")</f>
        <v>All</v>
      </c>
      <c r="H4" s="8" t="str">
        <f t="array" ref="H4">IFERROR(INDEX('Custom Views'!$F$5:$F$24,MATCH($B$4,'Custom Views'!$B$5:$B$24,0)),"All")</f>
        <v>All</v>
      </c>
      <c r="I4" s="8" t="str">
        <f t="array" ref="I4">IFERROR(INDEX('Custom Views'!$G$5:$G$24,MATCH($B$4,'Custom Views'!$B$5:$B$24,0)),"All")</f>
        <v>All</v>
      </c>
      <c r="J4" s="8" t="str">
        <f t="array" ref="J4">IFERROR(INDEX('Custom Views'!$H$5:$H$24,MATCH($B$4,'Custom Views'!$B$5:$B$24,0)),"All")</f>
        <v>All</v>
      </c>
      <c r="K4" s="8" t="str">
        <f t="array" ref="K4">IFERROR(INDEX('Custom Views'!$I$5:$I$24,MATCH($B$4,'Custom Views'!$B$5:$B$24,0)),"Not Done")</f>
        <v>Not Done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/>
      <c r="B5" s="422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423" t="s">
        <v>498</v>
      </c>
      <c r="B6" s="423" t="s">
        <v>499</v>
      </c>
      <c r="C6" s="423" t="s">
        <v>500</v>
      </c>
      <c r="D6" s="423" t="s">
        <v>501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217" t="str">
        <f>IF(OR(Setup!S6="",AND($F$4&lt;&gt;"",$F$4&lt;&gt;"All",Setup!S6&lt;&gt;$F$4)),"",Setup!S6)</f>
        <v>Lucy</v>
      </c>
      <c r="B7" s="410" t="str">
        <f>IFERROR(__xludf.DUMMYFUNCTION("IF($A7="""","""",IFERROR(MIN(FILTER('Generated Plan'!$A$5:$A$3004,'Generated Plan'!$A$5:$A$3004&lt;&gt;"""",'Generated Plan'!$B$5:$B$3004=$A7,(($G$4=""All"")+($G$4="""")+('Generated Plan'!$C$5:$C$3004=$G$4))&gt;0,(($H$4=""All"")+($H$4="""")+ISNUMBER(SEARCH("" / """&amp;"&amp;$H$4&amp;"" —"",'Generated Plan'!$D$5:$D$3004)))&gt;0,(($I$4=""All"")+($I$4="""")+('Generated Plan'!$D$5:$D$3004=$I$4))&gt;0,(($J$4=""All"")+($J$4="""")+('Generated Plan'!$E$5:$E$3004=$J$4))&gt;0,(($K$4=""All"")+($K$4="""")+(($K$4=""Done"")*((('Generated Plan'!$G$5:$"&amp;"G$3004=""☑"")+('Generated Plan'!$G$5:$G$3004=TRUE))&gt;0))+(($K$4=""Not Done"")*('Generated Plan'!$G$5:$G$3004&lt;&gt;""☑"")*('Generated Plan'!$G$5:$G$3004&lt;&gt;TRUE)))&gt;0)),""""))"),"")</f>
        <v/>
      </c>
      <c r="C7" s="217" t="str">
        <f>IFERROR(__xludf.DUMMYFUNCTION("IF($B7="""","""",IFERROR(INDEX(FILTER('Generated Plan'!$E$5:$E$3004&amp;"" — ""&amp;'Generated Plan'!$F$5:$F$3004,'Generated Plan'!$B$5:$B$3004=$A7,'Generated Plan'!$A$5:$A$3004=$B7,(($G$4=""All"")+($G$4="""")+('Generated Plan'!$C$5:$C$3004=$G$4))&gt;0,(($H$4=""All"&amp;""")+($H$4="""")+ISNUMBER(SEARCH("" / ""&amp;$H$4&amp;"" —"",'Generated Plan'!$D$5:$D$3004)))&gt;0,(($I$4=""All"")+($I$4="""")+('Generated Plan'!$D$5:$D$3004=$I$4))&gt;0,(($J$4=""All"")+($J$4="""")+('Generated Plan'!$E$5:$E$3004=$J$4))&gt;0,(($K$4=""All"")+($K$4="""")+(($K"&amp;"$4=""Done"")*((('Generated Plan'!$G$5:$G$3004=""☑"")+('Generated Plan'!$G$5:$G$3004=TRUE))&gt;0))+(($K$4=""Not Done"")*('Generated Plan'!$G$5:$G$3004&lt;&gt;""☑"")*('Generated Plan'!$G$5:$G$3004&lt;&gt;TRUE)))&gt;0),1),""""))"),"")</f>
        <v/>
      </c>
      <c r="D7" s="217" t="str">
        <f>IFERROR(__xludf.DUMMYFUNCTION("IF($B7="""","""",IFERROR(INDEX(FILTER('Generated Plan'!$C$5:$C$3004&amp;"" / ""&amp;'Generated Plan'!$D$5:$D$3004,'Generated Plan'!$B$5:$B$3004=$A7,'Generated Plan'!$A$5:$A$3004=$B7,(($G$4=""All"")+($G$4="""")+('Generated Plan'!$C$5:$C$3004=$G$4))&gt;0,(($H$4=""All"&amp;""")+($H$4="""")+ISNUMBER(SEARCH("" / ""&amp;$H$4&amp;"" —"",'Generated Plan'!$D$5:$D$3004)))&gt;0,(($I$4=""All"")+($I$4="""")+('Generated Plan'!$D$5:$D$3004=$I$4))&gt;0,(($J$4=""All"")+($J$4="""")+('Generated Plan'!$E$5:$E$3004=$J$4))&gt;0,(($K$4=""All"")+($K$4="""")+(($K"&amp;"$4=""Done"")*((('Generated Plan'!$G$5:$G$3004=""☑"")+('Generated Plan'!$G$5:$G$3004=TRUE))&gt;0))+(($K$4=""Not Done"")*('Generated Plan'!$G$5:$G$3004&lt;&gt;""☑"")*('Generated Plan'!$G$5:$G$3004&lt;&gt;TRUE)))&gt;0),1),""""))"),"")</f>
        <v/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217" t="str">
        <f>IF(OR(Setup!S7="",AND($F$4&lt;&gt;"",$F$4&lt;&gt;"All",Setup!S7&lt;&gt;$F$4)),"",Setup!S7)</f>
        <v>Kayla</v>
      </c>
      <c r="B8" s="410" t="str">
        <f>IFERROR(__xludf.DUMMYFUNCTION("IF($A8="""","""",IFERROR(MIN(FILTER('Generated Plan'!$A$5:$A$3004,'Generated Plan'!$A$5:$A$3004&lt;&gt;"""",'Generated Plan'!$B$5:$B$3004=$A8,(($G$4=""All"")+($G$4="""")+('Generated Plan'!$C$5:$C$3004=$G$4))&gt;0,(($H$4=""All"")+($H$4="""")+ISNUMBER(SEARCH("" / """&amp;"&amp;$H$4&amp;"" —"",'Generated Plan'!$D$5:$D$3004)))&gt;0,(($I$4=""All"")+($I$4="""")+('Generated Plan'!$D$5:$D$3004=$I$4))&gt;0,(($J$4=""All"")+($J$4="""")+('Generated Plan'!$E$5:$E$3004=$J$4))&gt;0,(($K$4=""All"")+($K$4="""")+(($K$4=""Done"")*((('Generated Plan'!$G$5:$"&amp;"G$3004=""☑"")+('Generated Plan'!$G$5:$G$3004=TRUE))&gt;0))+(($K$4=""Not Done"")*('Generated Plan'!$G$5:$G$3004&lt;&gt;""☑"")*('Generated Plan'!$G$5:$G$3004&lt;&gt;TRUE)))&gt;0)),""""))"),"")</f>
        <v/>
      </c>
      <c r="C8" s="217" t="str">
        <f>IFERROR(__xludf.DUMMYFUNCTION("IF($B8="""","""",IFERROR(INDEX(FILTER('Generated Plan'!$E$5:$E$3004&amp;"" — ""&amp;'Generated Plan'!$F$5:$F$3004,'Generated Plan'!$B$5:$B$3004=$A8,'Generated Plan'!$A$5:$A$3004=$B8,(($G$4=""All"")+($G$4="""")+('Generated Plan'!$C$5:$C$3004=$G$4))&gt;0,(($H$4=""All"&amp;""")+($H$4="""")+ISNUMBER(SEARCH("" / ""&amp;$H$4&amp;"" —"",'Generated Plan'!$D$5:$D$3004)))&gt;0,(($I$4=""All"")+($I$4="""")+('Generated Plan'!$D$5:$D$3004=$I$4))&gt;0,(($J$4=""All"")+($J$4="""")+('Generated Plan'!$E$5:$E$3004=$J$4))&gt;0,(($K$4=""All"")+($K$4="""")+(($K"&amp;"$4=""Done"")*((('Generated Plan'!$G$5:$G$3004=""☑"")+('Generated Plan'!$G$5:$G$3004=TRUE))&gt;0))+(($K$4=""Not Done"")*('Generated Plan'!$G$5:$G$3004&lt;&gt;""☑"")*('Generated Plan'!$G$5:$G$3004&lt;&gt;TRUE)))&gt;0),1),""""))"),"")</f>
        <v/>
      </c>
      <c r="D8" s="217" t="str">
        <f>IFERROR(__xludf.DUMMYFUNCTION("IF($B8="""","""",IFERROR(INDEX(FILTER('Generated Plan'!$C$5:$C$3004&amp;"" / ""&amp;'Generated Plan'!$D$5:$D$3004,'Generated Plan'!$B$5:$B$3004=$A8,'Generated Plan'!$A$5:$A$3004=$B8,(($G$4=""All"")+($G$4="""")+('Generated Plan'!$C$5:$C$3004=$G$4))&gt;0,(($H$4=""All"&amp;""")+($H$4="""")+ISNUMBER(SEARCH("" / ""&amp;$H$4&amp;"" —"",'Generated Plan'!$D$5:$D$3004)))&gt;0,(($I$4=""All"")+($I$4="""")+('Generated Plan'!$D$5:$D$3004=$I$4))&gt;0,(($J$4=""All"")+($J$4="""")+('Generated Plan'!$E$5:$E$3004=$J$4))&gt;0,(($K$4=""All"")+($K$4="""")+(($K"&amp;"$4=""Done"")*((('Generated Plan'!$G$5:$G$3004=""☑"")+('Generated Plan'!$G$5:$G$3004=TRUE))&gt;0))+(($K$4=""Not Done"")*('Generated Plan'!$G$5:$G$3004&lt;&gt;""☑"")*('Generated Plan'!$G$5:$G$3004&lt;&gt;TRUE)))&gt;0),1),""""))"),"")</f>
        <v/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217" t="str">
        <f>IF(OR(Setup!S8="",AND($F$4&lt;&gt;"",$F$4&lt;&gt;"All",Setup!S8&lt;&gt;$F$4)),"",Setup!S8)</f>
        <v>Charis</v>
      </c>
      <c r="B9" s="410" t="str">
        <f>IFERROR(__xludf.DUMMYFUNCTION("IF($A9="""","""",IFERROR(MIN(FILTER('Generated Plan'!$A$5:$A$3004,'Generated Plan'!$A$5:$A$3004&lt;&gt;"""",'Generated Plan'!$B$5:$B$3004=$A9,(($G$4=""All"")+($G$4="""")+('Generated Plan'!$C$5:$C$3004=$G$4))&gt;0,(($H$4=""All"")+($H$4="""")+ISNUMBER(SEARCH("" / """&amp;"&amp;$H$4&amp;"" —"",'Generated Plan'!$D$5:$D$3004)))&gt;0,(($I$4=""All"")+($I$4="""")+('Generated Plan'!$D$5:$D$3004=$I$4))&gt;0,(($J$4=""All"")+($J$4="""")+('Generated Plan'!$E$5:$E$3004=$J$4))&gt;0,(($K$4=""All"")+($K$4="""")+(($K$4=""Done"")*((('Generated Plan'!$G$5:$"&amp;"G$3004=""☑"")+('Generated Plan'!$G$5:$G$3004=TRUE))&gt;0))+(($K$4=""Not Done"")*('Generated Plan'!$G$5:$G$3004&lt;&gt;""☑"")*('Generated Plan'!$G$5:$G$3004&lt;&gt;TRUE)))&gt;0)),""""))"),"")</f>
        <v/>
      </c>
      <c r="C9" s="217" t="str">
        <f>IFERROR(__xludf.DUMMYFUNCTION("IF($B9="""","""",IFERROR(INDEX(FILTER('Generated Plan'!$E$5:$E$3004&amp;"" — ""&amp;'Generated Plan'!$F$5:$F$3004,'Generated Plan'!$B$5:$B$3004=$A9,'Generated Plan'!$A$5:$A$3004=$B9,(($G$4=""All"")+($G$4="""")+('Generated Plan'!$C$5:$C$3004=$G$4))&gt;0,(($H$4=""All"&amp;""")+($H$4="""")+ISNUMBER(SEARCH("" / ""&amp;$H$4&amp;"" —"",'Generated Plan'!$D$5:$D$3004)))&gt;0,(($I$4=""All"")+($I$4="""")+('Generated Plan'!$D$5:$D$3004=$I$4))&gt;0,(($J$4=""All"")+($J$4="""")+('Generated Plan'!$E$5:$E$3004=$J$4))&gt;0,(($K$4=""All"")+($K$4="""")+(($K"&amp;"$4=""Done"")*((('Generated Plan'!$G$5:$G$3004=""☑"")+('Generated Plan'!$G$5:$G$3004=TRUE))&gt;0))+(($K$4=""Not Done"")*('Generated Plan'!$G$5:$G$3004&lt;&gt;""☑"")*('Generated Plan'!$G$5:$G$3004&lt;&gt;TRUE)))&gt;0),1),""""))"),"")</f>
        <v/>
      </c>
      <c r="D9" s="217" t="str">
        <f>IFERROR(__xludf.DUMMYFUNCTION("IF($B9="""","""",IFERROR(INDEX(FILTER('Generated Plan'!$C$5:$C$3004&amp;"" / ""&amp;'Generated Plan'!$D$5:$D$3004,'Generated Plan'!$B$5:$B$3004=$A9,'Generated Plan'!$A$5:$A$3004=$B9,(($G$4=""All"")+($G$4="""")+('Generated Plan'!$C$5:$C$3004=$G$4))&gt;0,(($H$4=""All"&amp;""")+($H$4="""")+ISNUMBER(SEARCH("" / ""&amp;$H$4&amp;"" —"",'Generated Plan'!$D$5:$D$3004)))&gt;0,(($I$4=""All"")+($I$4="""")+('Generated Plan'!$D$5:$D$3004=$I$4))&gt;0,(($J$4=""All"")+($J$4="""")+('Generated Plan'!$E$5:$E$3004=$J$4))&gt;0,(($K$4=""All"")+($K$4="""")+(($K"&amp;"$4=""Done"")*((('Generated Plan'!$G$5:$G$3004=""☑"")+('Generated Plan'!$G$5:$G$3004=TRUE))&gt;0))+(($K$4=""Not Done"")*('Generated Plan'!$G$5:$G$3004&lt;&gt;""☑"")*('Generated Plan'!$G$5:$G$3004&lt;&gt;TRUE)))&gt;0),1),""""))"),"")</f>
        <v/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217" t="str">
        <f>IF(OR(Setup!S9="",AND($F$4&lt;&gt;"",$F$4&lt;&gt;"All",Setup!S9&lt;&gt;$F$4)),"",Setup!S9)</f>
        <v>Jeremiah</v>
      </c>
      <c r="B10" s="410">
        <f>IFERROR(__xludf.DUMMYFUNCTION("IF($A10="""","""",IFERROR(MIN(FILTER('Generated Plan'!$A$5:$A$3004,'Generated Plan'!$A$5:$A$3004&lt;&gt;"""",'Generated Plan'!$B$5:$B$3004=$A10,(($G$4=""All"")+($G$4="""")+('Generated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Plan'!$G$5:$G$3004&lt;&gt;TRUE)))&gt;0)),""""))"),46252.0)</f>
        <v>46252</v>
      </c>
      <c r="C10" s="217" t="str">
        <f>IFERROR(__xludf.DUMMYFUNCTION("IF($B10="""","""",IFERROR(INDEX(FILTER('Generated Plan'!$E$5:$E$3004&amp;"" — ""&amp;'Generated Plan'!$F$5:$F$3004,'Generated Plan'!$B$5:$B$3004=$A10,'Generated Plan'!$A$5:$A$3004=$B10,(($G$4=""All"")+($G$4="""")+('Generated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Plan'!$G$5:$G$3004&lt;&gt;TRUE)))&gt;0),1),""""))"),"Biology Course — Lesson 1")</f>
        <v>Biology Course — Lesson 1</v>
      </c>
      <c r="D10" s="217" t="str">
        <f>IFERROR(__xludf.DUMMYFUNCTION("IF($B10="""","""",IFERROR(INDEX(FILTER('Generated Plan'!$C$5:$C$3004&amp;"" / ""&amp;'Generated Plan'!$D$5:$D$3004,'Generated Plan'!$B$5:$B$3004=$A10,'Generated Plan'!$A$5:$A$3004=$B10,(($G$4=""All"")+($G$4="""")+('Generated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Plan'!$G$5:$G$3004&lt;&gt;TRUE)))&gt;0),1),""""))"),"Outside / Co-op / Form IV / Science / Nature — Science")</f>
        <v>Outside / Co-op / Form IV / Science / Nature — Science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217" t="str">
        <f>IF(OR(Setup!S10="",AND($F$4&lt;&gt;"",$F$4&lt;&gt;"All",Setup!S10&lt;&gt;$F$4)),"",Setup!S10)</f>
        <v/>
      </c>
      <c r="B11" s="410" t="str">
        <f>IFERROR(__xludf.DUMMYFUNCTION("IF($A11="""","""",IFERROR(MIN(FILTER('Generated Plan'!$A$5:$A$3004,'Generated Plan'!$A$5:$A$3004&lt;&gt;"""",'Generated Plan'!$B$5:$B$3004=$A11,(($G$4=""All"")+($G$4="""")+('Generated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11" s="217" t="str">
        <f>IFERROR(__xludf.DUMMYFUNCTION("IF($B11="""","""",IFERROR(INDEX(FILTER('Generated Plan'!$E$5:$E$3004&amp;"" — ""&amp;'Generated Plan'!$F$5:$F$3004,'Generated Plan'!$B$5:$B$3004=$A11,'Generated Plan'!$A$5:$A$3004=$B11,(($G$4=""All"")+($G$4="""")+('Generated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11" s="217" t="str">
        <f>IFERROR(__xludf.DUMMYFUNCTION("IF($B11="""","""",IFERROR(INDEX(FILTER('Generated Plan'!$C$5:$C$3004&amp;"" / ""&amp;'Generated Plan'!$D$5:$D$3004,'Generated Plan'!$B$5:$B$3004=$A11,'Generated Plan'!$A$5:$A$3004=$B11,(($G$4=""All"")+($G$4="""")+('Generated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217" t="str">
        <f>IF(OR(Setup!S11="",AND($F$4&lt;&gt;"",$F$4&lt;&gt;"All",Setup!S11&lt;&gt;$F$4)),"",Setup!S11)</f>
        <v/>
      </c>
      <c r="B12" s="410" t="str">
        <f>IFERROR(__xludf.DUMMYFUNCTION("IF($A12="""","""",IFERROR(MIN(FILTER('Generated Plan'!$A$5:$A$3004,'Generated Plan'!$A$5:$A$3004&lt;&gt;"""",'Generated Plan'!$B$5:$B$3004=$A12,(($G$4=""All"")+($G$4="""")+('Generated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12" s="217" t="str">
        <f>IFERROR(__xludf.DUMMYFUNCTION("IF($B12="""","""",IFERROR(INDEX(FILTER('Generated Plan'!$E$5:$E$3004&amp;"" — ""&amp;'Generated Plan'!$F$5:$F$3004,'Generated Plan'!$B$5:$B$3004=$A12,'Generated Plan'!$A$5:$A$3004=$B12,(($G$4=""All"")+($G$4="""")+('Generated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12" s="217" t="str">
        <f>IFERROR(__xludf.DUMMYFUNCTION("IF($B12="""","""",IFERROR(INDEX(FILTER('Generated Plan'!$C$5:$C$3004&amp;"" / ""&amp;'Generated Plan'!$D$5:$D$3004,'Generated Plan'!$B$5:$B$3004=$A12,'Generated Plan'!$A$5:$A$3004=$B12,(($G$4=""All"")+($G$4="""")+('Generated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17" t="str">
        <f>IF(OR(Setup!S12="",AND($F$4&lt;&gt;"",$F$4&lt;&gt;"All",Setup!S12&lt;&gt;$F$4)),"",Setup!S12)</f>
        <v/>
      </c>
      <c r="B13" s="410" t="str">
        <f>IFERROR(__xludf.DUMMYFUNCTION("IF($A13="""","""",IFERROR(MIN(FILTER('Generated Plan'!$A$5:$A$3004,'Generated Plan'!$A$5:$A$3004&lt;&gt;"""",'Generated Plan'!$B$5:$B$3004=$A13,(($G$4=""All"")+($G$4="""")+('Generated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13" s="217" t="str">
        <f>IFERROR(__xludf.DUMMYFUNCTION("IF($B13="""","""",IFERROR(INDEX(FILTER('Generated Plan'!$E$5:$E$3004&amp;"" — ""&amp;'Generated Plan'!$F$5:$F$3004,'Generated Plan'!$B$5:$B$3004=$A13,'Generated Plan'!$A$5:$A$3004=$B13,(($G$4=""All"")+($G$4="""")+('Generated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13" s="217" t="str">
        <f>IFERROR(__xludf.DUMMYFUNCTION("IF($B13="""","""",IFERROR(INDEX(FILTER('Generated Plan'!$C$5:$C$3004&amp;"" / ""&amp;'Generated Plan'!$D$5:$D$3004,'Generated Plan'!$B$5:$B$3004=$A13,'Generated Plan'!$A$5:$A$3004=$B13,(($G$4=""All"")+($G$4="""")+('Generated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217" t="str">
        <f>IF(OR(Setup!S13="",AND($F$4&lt;&gt;"",$F$4&lt;&gt;"All",Setup!S13&lt;&gt;$F$4)),"",Setup!S13)</f>
        <v/>
      </c>
      <c r="B14" s="410" t="str">
        <f>IFERROR(__xludf.DUMMYFUNCTION("IF($A14="""","""",IFERROR(MIN(FILTER('Generated Plan'!$A$5:$A$3004,'Generated Plan'!$A$5:$A$3004&lt;&gt;"""",'Generated Plan'!$B$5:$B$3004=$A14,(($G$4=""All"")+($G$4="""")+('Generated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14" s="217" t="str">
        <f>IFERROR(__xludf.DUMMYFUNCTION("IF($B14="""","""",IFERROR(INDEX(FILTER('Generated Plan'!$E$5:$E$3004&amp;"" — ""&amp;'Generated Plan'!$F$5:$F$3004,'Generated Plan'!$B$5:$B$3004=$A14,'Generated Plan'!$A$5:$A$3004=$B14,(($G$4=""All"")+($G$4="""")+('Generated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14" s="217" t="str">
        <f>IFERROR(__xludf.DUMMYFUNCTION("IF($B14="""","""",IFERROR(INDEX(FILTER('Generated Plan'!$C$5:$C$3004&amp;"" / ""&amp;'Generated Plan'!$D$5:$D$3004,'Generated Plan'!$B$5:$B$3004=$A14,'Generated Plan'!$A$5:$A$3004=$B14,(($G$4=""All"")+($G$4="""")+('Generated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217" t="str">
        <f>IF(OR(Setup!S14="",AND($F$4&lt;&gt;"",$F$4&lt;&gt;"All",Setup!S14&lt;&gt;$F$4)),"",Setup!S14)</f>
        <v/>
      </c>
      <c r="B15" s="410" t="str">
        <f>IFERROR(__xludf.DUMMYFUNCTION("IF($A15="""","""",IFERROR(MIN(FILTER('Generated Plan'!$A$5:$A$3004,'Generated Plan'!$A$5:$A$3004&lt;&gt;"""",'Generated Plan'!$B$5:$B$3004=$A15,(($G$4=""All"")+($G$4="""")+('Generated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15" s="217" t="str">
        <f>IFERROR(__xludf.DUMMYFUNCTION("IF($B15="""","""",IFERROR(INDEX(FILTER('Generated Plan'!$E$5:$E$3004&amp;"" — ""&amp;'Generated Plan'!$F$5:$F$3004,'Generated Plan'!$B$5:$B$3004=$A15,'Generated Plan'!$A$5:$A$3004=$B15,(($G$4=""All"")+($G$4="""")+('Generated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15" s="217" t="str">
        <f>IFERROR(__xludf.DUMMYFUNCTION("IF($B15="""","""",IFERROR(INDEX(FILTER('Generated Plan'!$C$5:$C$3004&amp;"" / ""&amp;'Generated Plan'!$D$5:$D$3004,'Generated Plan'!$B$5:$B$3004=$A15,'Generated Plan'!$A$5:$A$3004=$B15,(($G$4=""All"")+($G$4="""")+('Generated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217" t="str">
        <f>IF(OR(Setup!S15="",AND($F$4&lt;&gt;"",$F$4&lt;&gt;"All",Setup!S15&lt;&gt;$F$4)),"",Setup!S15)</f>
        <v/>
      </c>
      <c r="B16" s="410" t="str">
        <f>IFERROR(__xludf.DUMMYFUNCTION("IF($A16="""","""",IFERROR(MIN(FILTER('Generated Plan'!$A$5:$A$3004,'Generated Plan'!$A$5:$A$3004&lt;&gt;"""",'Generated Plan'!$B$5:$B$3004=$A16,(($G$4=""All"")+($G$4="""")+('Generated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16" s="217" t="str">
        <f>IFERROR(__xludf.DUMMYFUNCTION("IF($B16="""","""",IFERROR(INDEX(FILTER('Generated Plan'!$E$5:$E$3004&amp;"" — ""&amp;'Generated Plan'!$F$5:$F$3004,'Generated Plan'!$B$5:$B$3004=$A16,'Generated Plan'!$A$5:$A$3004=$B16,(($G$4=""All"")+($G$4="""")+('Generated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16" s="217" t="str">
        <f>IFERROR(__xludf.DUMMYFUNCTION("IF($B16="""","""",IFERROR(INDEX(FILTER('Generated Plan'!$C$5:$C$3004&amp;"" / ""&amp;'Generated Plan'!$D$5:$D$3004,'Generated Plan'!$B$5:$B$3004=$A16,'Generated Plan'!$A$5:$A$3004=$B16,(($G$4=""All"")+($G$4="""")+('Generated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217" t="str">
        <f>IF(OR(Setup!S16="",AND($F$4&lt;&gt;"",$F$4&lt;&gt;"All",Setup!S16&lt;&gt;$F$4)),"",Setup!S16)</f>
        <v>Everyone</v>
      </c>
      <c r="B17" s="410">
        <f>IFERROR(__xludf.DUMMYFUNCTION("IF($A17="""","""",IFERROR(MIN(FILTER('Generated Plan'!$A$5:$A$3004,'Generated Plan'!$A$5:$A$3004&lt;&gt;"""",'Generated Plan'!$B$5:$B$3004=$A17,(($G$4=""All"")+($G$4="""")+('Generated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Plan'!$G$5:$G$3004&lt;&gt;TRUE)))&gt;0)),""""))"),46251.0)</f>
        <v>46251</v>
      </c>
      <c r="C17" s="217" t="str">
        <f>IFERROR(__xludf.DUMMYFUNCTION("IF($B17="""","""",IFERROR(INDEX(FILTER('Generated Plan'!$E$5:$E$3004&amp;"" — ""&amp;'Generated Plan'!$F$5:$F$3004,'Generated Plan'!$B$5:$B$3004=$A17,'Generated Plan'!$A$5:$A$3004=$B17,(($G$4=""All"")+($G$4="""")+('Generated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Plan'!$G$5:$G$3004&lt;&gt;TRUE)))&gt;0),1),""""))"),"Pay Attention, Carter Jones — Chapter 1–2")</f>
        <v>Pay Attention, Carter Jones — Chapter 1–2</v>
      </c>
      <c r="D17" s="217" t="str">
        <f>IFERROR(__xludf.DUMMYFUNCTION("IF($B17="""","""",IFERROR(INDEX(FILTER('Generated Plan'!$C$5:$C$3004&amp;"" / ""&amp;'Generated Plan'!$D$5:$D$3004,'Generated Plan'!$B$5:$B$3004=$A17,'Generated Plan'!$A$5:$A$3004=$B17,(($G$4=""All"")+($G$4="""")+('Generated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Plan'!$G$5:$G$3004&lt;&gt;TRUE)))&gt;0),1),""""))"),"Reading Loop / All Together / Literature — Family Read-Aloud")</f>
        <v>Reading Loop / All Together / Literature — Family Read-Aloud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217" t="str">
        <f>IF(OR(Setup!S17="",AND($F$4&lt;&gt;"",$F$4&lt;&gt;"All",Setup!S17&lt;&gt;$F$4)),"",Setup!S17)</f>
        <v>Little Girls</v>
      </c>
      <c r="B18" s="410">
        <f>IFERROR(__xludf.DUMMYFUNCTION("IF($A18="""","""",IFERROR(MIN(FILTER('Generated Plan'!$A$5:$A$3004,'Generated Plan'!$A$5:$A$3004&lt;&gt;"""",'Generated Plan'!$B$5:$B$3004=$A18,(($G$4=""All"")+($G$4="""")+('Generated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Plan'!$G$5:$G$3004&lt;&gt;TRUE)))&gt;0)),""""))"),46251.0)</f>
        <v>46251</v>
      </c>
      <c r="C18" s="217" t="str">
        <f>IFERROR(__xludf.DUMMYFUNCTION("IF($B18="""","""",IFERROR(INDEX(FILTER('Generated Plan'!$E$5:$E$3004&amp;"" — ""&amp;'Generated Plan'!$F$5:$F$3004,'Generated Plan'!$B$5:$B$3004=$A18,'Generated Plan'!$A$5:$A$3004=$B18,(($G$4=""All"")+($G$4="""")+('Generated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Plan'!$G$5:$G$3004&lt;&gt;TRUE)))&gt;0),1),""""))"),"Nature Reader — Chapter 1")</f>
        <v>Nature Reader — Chapter 1</v>
      </c>
      <c r="D18" s="217" t="str">
        <f>IFERROR(__xludf.DUMMYFUNCTION("IF($B18="""","""",IFERROR(INDEX(FILTER('Generated Plan'!$C$5:$C$3004&amp;"" / ""&amp;'Generated Plan'!$D$5:$D$3004,'Generated Plan'!$B$5:$B$3004=$A18,'Generated Plan'!$A$5:$A$3004=$B18,(($G$4=""All"")+($G$4="""")+('Generated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Plan'!$G$5:$G$3004&lt;&gt;TRUE)))&gt;0),1),""""))"),"Hands + Beauty Loop / All Together / Science / Nature — Nature Walk")</f>
        <v>Hands + Beauty Loop / All Together / Science / Nature — Nature Walk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217" t="str">
        <f>IF(OR(Setup!S18="",AND($F$4&lt;&gt;"",$F$4&lt;&gt;"All",Setup!S18&lt;&gt;$F$4)),"",Setup!S18)</f>
        <v>All the Girls</v>
      </c>
      <c r="B19" s="410" t="str">
        <f>IFERROR(__xludf.DUMMYFUNCTION("IF($A19="""","""",IFERROR(MIN(FILTER('Generated Plan'!$A$5:$A$3004,'Generated Plan'!$A$5:$A$3004&lt;&gt;"""",'Generated Plan'!$B$5:$B$3004=$A19,(($G$4=""All"")+($G$4="""")+('Generated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19" s="217" t="str">
        <f>IFERROR(__xludf.DUMMYFUNCTION("IF($B19="""","""",IFERROR(INDEX(FILTER('Generated Plan'!$E$5:$E$3004&amp;"" — ""&amp;'Generated Plan'!$F$5:$F$3004,'Generated Plan'!$B$5:$B$3004=$A19,'Generated Plan'!$A$5:$A$3004=$B19,(($G$4=""All"")+($G$4="""")+('Generated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19" s="217" t="str">
        <f>IFERROR(__xludf.DUMMYFUNCTION("IF($B19="""","""",IFERROR(INDEX(FILTER('Generated Plan'!$C$5:$C$3004&amp;"" / ""&amp;'Generated Plan'!$D$5:$D$3004,'Generated Plan'!$B$5:$B$3004=$A19,'Generated Plan'!$A$5:$A$3004=$B19,(($G$4=""All"")+($G$4="""")+('Generated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217" t="str">
        <f>IF(OR(Setup!S19="",AND($F$4&lt;&gt;"",$F$4&lt;&gt;"All",Setup!S19&lt;&gt;$F$4)),"",Setup!S19)</f>
        <v>Older Students</v>
      </c>
      <c r="B20" s="410" t="str">
        <f>IFERROR(__xludf.DUMMYFUNCTION("IF($A20="""","""",IFERROR(MIN(FILTER('Generated Plan'!$A$5:$A$3004,'Generated Plan'!$A$5:$A$3004&lt;&gt;"""",'Generated Plan'!$B$5:$B$3004=$A20,(($G$4=""All"")+($G$4="""")+('Generated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20" s="217" t="str">
        <f>IFERROR(__xludf.DUMMYFUNCTION("IF($B20="""","""",IFERROR(INDEX(FILTER('Generated Plan'!$E$5:$E$3004&amp;"" — ""&amp;'Generated Plan'!$F$5:$F$3004,'Generated Plan'!$B$5:$B$3004=$A20,'Generated Plan'!$A$5:$A$3004=$B20,(($G$4=""All"")+($G$4="""")+('Generated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20" s="217" t="str">
        <f>IFERROR(__xludf.DUMMYFUNCTION("IF($B20="""","""",IFERROR(INDEX(FILTER('Generated Plan'!$C$5:$C$3004&amp;"" / ""&amp;'Generated Plan'!$D$5:$D$3004,'Generated Plan'!$B$5:$B$3004=$A20,'Generated Plan'!$A$5:$A$3004=$B20,(($G$4=""All"")+($G$4="""")+('Generated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17" t="str">
        <f>IF(OR(Setup!S20="",AND($F$4&lt;&gt;"",$F$4&lt;&gt;"All",Setup!S20&lt;&gt;$F$4)),"",Setup!S20)</f>
        <v/>
      </c>
      <c r="B21" s="410" t="str">
        <f>IFERROR(__xludf.DUMMYFUNCTION("IF($A21="""","""",IFERROR(MIN(FILTER('Generated Plan'!$A$5:$A$3004,'Generated Plan'!$A$5:$A$3004&lt;&gt;"""",'Generated Plan'!$B$5:$B$3004=$A21,(($G$4=""All"")+($G$4="""")+('Generated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21" s="217" t="str">
        <f>IFERROR(__xludf.DUMMYFUNCTION("IF($B21="""","""",IFERROR(INDEX(FILTER('Generated Plan'!$E$5:$E$3004&amp;"" — ""&amp;'Generated Plan'!$F$5:$F$3004,'Generated Plan'!$B$5:$B$3004=$A21,'Generated Plan'!$A$5:$A$3004=$B21,(($G$4=""All"")+($G$4="""")+('Generated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21" s="217" t="str">
        <f>IFERROR(__xludf.DUMMYFUNCTION("IF($B21="""","""",IFERROR(INDEX(FILTER('Generated Plan'!$C$5:$C$3004&amp;"" / ""&amp;'Generated Plan'!$D$5:$D$3004,'Generated Plan'!$B$5:$B$3004=$A21,'Generated Plan'!$A$5:$A$3004=$B21,(($G$4=""All"")+($G$4="""")+('Generated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17" t="str">
        <f>IF(OR(Setup!S21="",AND($F$4&lt;&gt;"",$F$4&lt;&gt;"All",Setup!S21&lt;&gt;$F$4)),"",Setup!S21)</f>
        <v/>
      </c>
      <c r="B22" s="410" t="str">
        <f>IFERROR(__xludf.DUMMYFUNCTION("IF($A22="""","""",IFERROR(MIN(FILTER('Generated Plan'!$A$5:$A$3004,'Generated Plan'!$A$5:$A$3004&lt;&gt;"""",'Generated Plan'!$B$5:$B$3004=$A22,(($G$4=""All"")+($G$4="""")+('Generated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22" s="217" t="str">
        <f>IFERROR(__xludf.DUMMYFUNCTION("IF($B22="""","""",IFERROR(INDEX(FILTER('Generated Plan'!$E$5:$E$3004&amp;"" — ""&amp;'Generated Plan'!$F$5:$F$3004,'Generated Plan'!$B$5:$B$3004=$A22,'Generated Plan'!$A$5:$A$3004=$B22,(($G$4=""All"")+($G$4="""")+('Generated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22" s="217" t="str">
        <f>IFERROR(__xludf.DUMMYFUNCTION("IF($B22="""","""",IFERROR(INDEX(FILTER('Generated Plan'!$C$5:$C$3004&amp;"" / ""&amp;'Generated Plan'!$D$5:$D$3004,'Generated Plan'!$B$5:$B$3004=$A22,'Generated Plan'!$A$5:$A$3004=$B22,(($G$4=""All"")+($G$4="""")+('Generated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17" t="str">
        <f>IF(OR(Setup!S22="",AND($F$4&lt;&gt;"",$F$4&lt;&gt;"All",Setup!S22&lt;&gt;$F$4)),"",Setup!S22)</f>
        <v/>
      </c>
      <c r="B23" s="410" t="str">
        <f>IFERROR(__xludf.DUMMYFUNCTION("IF($A23="""","""",IFERROR(MIN(FILTER('Generated Plan'!$A$5:$A$3004,'Generated Plan'!$A$5:$A$3004&lt;&gt;"""",'Generated Plan'!$B$5:$B$3004=$A23,(($G$4=""All"")+($G$4="""")+('Generated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23" s="217" t="str">
        <f>IFERROR(__xludf.DUMMYFUNCTION("IF($B23="""","""",IFERROR(INDEX(FILTER('Generated Plan'!$E$5:$E$3004&amp;"" — ""&amp;'Generated Plan'!$F$5:$F$3004,'Generated Plan'!$B$5:$B$3004=$A23,'Generated Plan'!$A$5:$A$3004=$B23,(($G$4=""All"")+($G$4="""")+('Generated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23" s="217" t="str">
        <f>IFERROR(__xludf.DUMMYFUNCTION("IF($B23="""","""",IFERROR(INDEX(FILTER('Generated Plan'!$C$5:$C$3004&amp;"" / ""&amp;'Generated Plan'!$D$5:$D$3004,'Generated Plan'!$B$5:$B$3004=$A23,'Generated Plan'!$A$5:$A$3004=$B23,(($G$4=""All"")+($G$4="""")+('Generated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17" t="str">
        <f>IF(OR(Setup!S23="",AND($F$4&lt;&gt;"",$F$4&lt;&gt;"All",Setup!S23&lt;&gt;$F$4)),"",Setup!S23)</f>
        <v/>
      </c>
      <c r="B24" s="410" t="str">
        <f>IFERROR(__xludf.DUMMYFUNCTION("IF($A24="""","""",IFERROR(MIN(FILTER('Generated Plan'!$A$5:$A$3004,'Generated Plan'!$A$5:$A$3004&lt;&gt;"""",'Generated Plan'!$B$5:$B$3004=$A24,(($G$4=""All"")+($G$4="""")+('Generated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24" s="217" t="str">
        <f>IFERROR(__xludf.DUMMYFUNCTION("IF($B24="""","""",IFERROR(INDEX(FILTER('Generated Plan'!$E$5:$E$3004&amp;"" — ""&amp;'Generated Plan'!$F$5:$F$3004,'Generated Plan'!$B$5:$B$3004=$A24,'Generated Plan'!$A$5:$A$3004=$B24,(($G$4=""All"")+($G$4="""")+('Generated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24" s="217" t="str">
        <f>IFERROR(__xludf.DUMMYFUNCTION("IF($B24="""","""",IFERROR(INDEX(FILTER('Generated Plan'!$C$5:$C$3004&amp;"" / ""&amp;'Generated Plan'!$D$5:$D$3004,'Generated Plan'!$B$5:$B$3004=$A24,'Generated Plan'!$A$5:$A$3004=$B24,(($G$4=""All"")+($G$4="""")+('Generated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17" t="str">
        <f>IF(OR(Setup!S24="",AND($F$4&lt;&gt;"",$F$4&lt;&gt;"All",Setup!S24&lt;&gt;$F$4)),"",Setup!S24)</f>
        <v/>
      </c>
      <c r="B25" s="410" t="str">
        <f>IFERROR(__xludf.DUMMYFUNCTION("IF($A25="""","""",IFERROR(MIN(FILTER('Generated Plan'!$A$5:$A$3004,'Generated Plan'!$A$5:$A$3004&lt;&gt;"""",'Generated Plan'!$B$5:$B$3004=$A25,(($G$4=""All"")+($G$4="""")+('Generated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25" s="217" t="str">
        <f>IFERROR(__xludf.DUMMYFUNCTION("IF($B25="""","""",IFERROR(INDEX(FILTER('Generated Plan'!$E$5:$E$3004&amp;"" — ""&amp;'Generated Plan'!$F$5:$F$3004,'Generated Plan'!$B$5:$B$3004=$A25,'Generated Plan'!$A$5:$A$3004=$B25,(($G$4=""All"")+($G$4="""")+('Generated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25" s="217" t="str">
        <f>IFERROR(__xludf.DUMMYFUNCTION("IF($B25="""","""",IFERROR(INDEX(FILTER('Generated Plan'!$C$5:$C$3004&amp;"" / ""&amp;'Generated Plan'!$D$5:$D$3004,'Generated Plan'!$B$5:$B$3004=$A25,'Generated Plan'!$A$5:$A$3004=$B25,(($G$4=""All"")+($G$4="""")+('Generated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17" t="str">
        <f>IF(OR(Setup!S25="",AND($F$4&lt;&gt;"",$F$4&lt;&gt;"All",Setup!S25&lt;&gt;$F$4)),"",Setup!S25)</f>
        <v/>
      </c>
      <c r="B26" s="410" t="str">
        <f>IFERROR(__xludf.DUMMYFUNCTION("IF($A26="""","""",IFERROR(MIN(FILTER('Generated Plan'!$A$5:$A$3004,'Generated Plan'!$A$5:$A$3004&lt;&gt;"""",'Generated Plan'!$B$5:$B$3004=$A26,(($G$4=""All"")+($G$4="""")+('Generated Plan'!$C$5:$C$3004=$G$4))&gt;0,(($H$4=""All"")+($H$4="""")+ISNUMBER(SEARCH("" / "&amp;"""&amp;$H$4&amp;"" —"",'Generated Plan'!$D$5:$D$3004)))&gt;0,(($I$4=""All"")+($I$4="""")+('Generated Plan'!$D$5:$D$3004=$I$4))&gt;0,(($J$4=""All"")+($J$4="""")+('Generated Plan'!$E$5:$E$3004=$J$4))&gt;0,(($K$4=""All"")+($K$4="""")+(($K$4=""Done"")*((('Generated Plan'!$G$5"&amp;":$G$3004=""☑"")+('Generated Plan'!$G$5:$G$3004=TRUE))&gt;0))+(($K$4=""Not Done"")*('Generated Plan'!$G$5:$G$3004&lt;&gt;""☑"")*('Generated Plan'!$G$5:$G$3004&lt;&gt;TRUE)))&gt;0)),""""))"),"")</f>
        <v/>
      </c>
      <c r="C26" s="217" t="str">
        <f>IFERROR(__xludf.DUMMYFUNCTION("IF($B26="""","""",IFERROR(INDEX(FILTER('Generated Plan'!$E$5:$E$3004&amp;"" — ""&amp;'Generated Plan'!$F$5:$F$3004,'Generated Plan'!$B$5:$B$3004=$A26,'Generated Plan'!$A$5:$A$3004=$B26,(($G$4=""All"")+($G$4="""")+('Generated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D26" s="217" t="str">
        <f>IFERROR(__xludf.DUMMYFUNCTION("IF($B26="""","""",IFERROR(INDEX(FILTER('Generated Plan'!$C$5:$C$3004&amp;"" / ""&amp;'Generated Plan'!$D$5:$D$3004,'Generated Plan'!$B$5:$B$3004=$A26,'Generated Plan'!$A$5:$A$3004=$B26,(($G$4=""All"")+($G$4="""")+('Generated Plan'!$C$5:$C$3004=$G$4))&gt;0,(($H$4=""A"&amp;"ll"")+($H$4="""")+ISNUMBER(SEARCH("" / ""&amp;$H$4&amp;"" —"",'Generated Plan'!$D$5:$D$3004)))&gt;0,(($I$4=""All"")+($I$4="""")+('Generated Plan'!$D$5:$D$3004=$I$4))&gt;0,(($J$4=""All"")+($J$4="""")+('Generated Plan'!$E$5:$E$3004=$J$4))&gt;0,(($K$4=""All"")+($K$4="""")+(("&amp;"$K$4=""Done"")*((('Generated Plan'!$G$5:$G$3004=""☑"")+('Generated Plan'!$G$5:$G$3004=TRUE))&gt;0))+(($K$4=""Not Done"")*('Generated Plan'!$G$5:$G$3004&lt;&gt;""☑"")*('Generated Plan'!$G$5:$G$3004&lt;&gt;TRUE)))&gt;0),1),""""))"),"")</f>
        <v/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4CC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0"/>
    <col customWidth="1" min="2" max="2" width="20.0"/>
    <col customWidth="1" min="3" max="3" width="22.0"/>
    <col customWidth="1" min="4" max="4" width="55.0"/>
    <col customWidth="1" min="5" max="5" width="35.0"/>
    <col customWidth="1" min="6" max="6" width="22.0"/>
    <col customWidth="1" min="7" max="7" width="10.0"/>
    <col customWidth="1" min="8" max="8" width="28.0"/>
    <col customWidth="1" min="9" max="26" width="8.63"/>
  </cols>
  <sheetData>
    <row r="1">
      <c r="A1" s="425" t="s">
        <v>508</v>
      </c>
      <c r="B1" s="425"/>
      <c r="C1" s="425"/>
      <c r="D1" s="425"/>
      <c r="E1" s="425"/>
      <c r="F1" s="425"/>
      <c r="G1" s="425"/>
      <c r="H1" s="425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</row>
    <row r="2">
      <c r="A2" s="426" t="s">
        <v>509</v>
      </c>
      <c r="B2" s="427"/>
      <c r="C2" s="427"/>
      <c r="D2" s="427"/>
      <c r="E2" s="427"/>
      <c r="F2" s="427"/>
      <c r="G2" s="427"/>
      <c r="H2" s="427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28" t="s">
        <v>157</v>
      </c>
      <c r="B4" s="428" t="s">
        <v>197</v>
      </c>
      <c r="C4" s="428" t="s">
        <v>481</v>
      </c>
      <c r="D4" s="428" t="s">
        <v>281</v>
      </c>
      <c r="E4" s="428" t="s">
        <v>342</v>
      </c>
      <c r="F4" s="428" t="s">
        <v>482</v>
      </c>
      <c r="G4" s="428" t="s">
        <v>483</v>
      </c>
      <c r="H4" s="428" t="s">
        <v>66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Helper'!$F$5:$F$3004,"""")&lt;&gt;""""),ROWS(A$5:A5)),"""")"),46251.0)</f>
        <v>46251</v>
      </c>
      <c r="B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Helper'!$F$5:$F$3004,"""")&lt;&gt;""""),ROWS(B$5:B5)),"""")"),"Everyone")</f>
        <v>Everyone</v>
      </c>
      <c r="C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Helper'!$F$5:$F$3004,"""")&lt;&gt;""""),ROWS(C$5:C5)),"""")"),"Reading Loop")</f>
        <v>Reading Loop</v>
      </c>
      <c r="D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Helper'!$F$5:$F$3004,"""")&lt;&gt;""""),ROWS(D$5:D5)),"""")"),"All Together / Literature — Family Read-Aloud")</f>
        <v>All Together / Literature — Family Read-Aloud</v>
      </c>
      <c r="E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Helper'!$F$5:$F$3004,"""")&lt;&gt;""""),ROWS(E$5:E5)),"""")"),"Pay Attention, Carter Jones")</f>
        <v>Pay Attention, Carter Jones</v>
      </c>
      <c r="F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Helper'!$F$5:$F$3004,"""")&lt;&gt;""""),ROWS(F$5:F5)),IF(AND(LEFT(x,5)=""Page "&amp;""",ISERROR(SEARCH(""–"",x))),x&amp;""–""&amp;REGEXEXTRACT(x,""[0-9]+$""),x)),"""")"),"Chapter 1–2")</f>
        <v>Chapter 1–2</v>
      </c>
      <c r="G5" s="229" t="s">
        <v>109</v>
      </c>
      <c r="H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Helper'!$F$5:$F$3004,"""")&lt;&gt;""""),ROWS(H$5:H5)),"""")"),"sample")</f>
        <v>sample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Helper'!$F$5:$F$3004,"""")&lt;&gt;""""),ROWS(A$5:A6)),"""")"),46253.0)</f>
        <v>46253</v>
      </c>
      <c r="B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Helper'!$F$5:$F$3004,"""")&lt;&gt;""""),ROWS(B$5:B6)),"""")"),"Everyone")</f>
        <v>Everyone</v>
      </c>
      <c r="C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Helper'!$F$5:$F$3004,"""")&lt;&gt;""""),ROWS(C$5:C6)),"""")"),"Reading Loop")</f>
        <v>Reading Loop</v>
      </c>
      <c r="D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Helper'!$F$5:$F$3004,"""")&lt;&gt;""""),ROWS(D$5:D6)),"""")"),"All Together / Literature — Family Read-Aloud")</f>
        <v>All Together / Literature — Family Read-Aloud</v>
      </c>
      <c r="E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Helper'!$F$5:$F$3004,"""")&lt;&gt;""""),ROWS(E$5:E6)),"""")"),"Pay Attention, Carter Jones")</f>
        <v>Pay Attention, Carter Jones</v>
      </c>
      <c r="F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Helper'!$F$5:$F$3004,"""")&lt;&gt;""""),ROWS(F$5:F6)),IF(AND(LEFT(x,5)=""Page "&amp;""",ISERROR(SEARCH(""–"",x))),x&amp;""–""&amp;REGEXEXTRACT(x,""[0-9]+$""),x)),"""")"),"Chapter 3–4")</f>
        <v>Chapter 3–4</v>
      </c>
      <c r="G6" s="8" t="s">
        <v>109</v>
      </c>
      <c r="H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Helper'!$F$5:$F$3004,"""")&lt;&gt;""""),ROWS(H$5:H6)),"""")"),"sample")</f>
        <v>sample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Helper'!$F$5:$F$3004,"""")&lt;&gt;""""),ROWS(A$5:A7)),"""")"),46255.0)</f>
        <v>46255</v>
      </c>
      <c r="B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Helper'!$F$5:$F$3004,"""")&lt;&gt;""""),ROWS(B$5:B7)),"""")"),"Everyone")</f>
        <v>Everyone</v>
      </c>
      <c r="C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Helper'!$F$5:$F$3004,"""")&lt;&gt;""""),ROWS(C$5:C7)),"""")"),"Reading Loop")</f>
        <v>Reading Loop</v>
      </c>
      <c r="D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Helper'!$F$5:$F$3004,"""")&lt;&gt;""""),ROWS(D$5:D7)),"""")"),"All Together / Literature — Family Read-Aloud")</f>
        <v>All Together / Literature — Family Read-Aloud</v>
      </c>
      <c r="E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Helper'!$F$5:$F$3004,"""")&lt;&gt;""""),ROWS(E$5:E7)),"""")"),"Pay Attention, Carter Jones")</f>
        <v>Pay Attention, Carter Jones</v>
      </c>
      <c r="F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Helper'!$F$5:$F$3004,"""")&lt;&gt;""""),ROWS(F$5:F7)),IF(AND(LEFT(x,5)=""Page "&amp;""",ISERROR(SEARCH(""–"",x))),x&amp;""–""&amp;REGEXEXTRACT(x,""[0-9]+$""),x)),"""")"),"Chapter 5–6")</f>
        <v>Chapter 5–6</v>
      </c>
      <c r="G7" s="8" t="s">
        <v>109</v>
      </c>
      <c r="H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Helper'!$F$5:$F$3004,"""")&lt;&gt;""""),ROWS(H$5:H7)),"""")"),"sample")</f>
        <v>sample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Helper'!$F$5:$F$3004,"""")&lt;&gt;""""),ROWS(A$5:A8)),"""")"),46258.0)</f>
        <v>46258</v>
      </c>
      <c r="B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Helper'!$F$5:$F$3004,"""")&lt;&gt;""""),ROWS(B$5:B8)),"""")"),"Everyone")</f>
        <v>Everyone</v>
      </c>
      <c r="C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Helper'!$F$5:$F$3004,"""")&lt;&gt;""""),ROWS(C$5:C8)),"""")"),"Reading Loop")</f>
        <v>Reading Loop</v>
      </c>
      <c r="D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Helper'!$F$5:$F$3004,"""")&lt;&gt;""""),ROWS(D$5:D8)),"""")"),"All Together / Literature — Family Read-Aloud")</f>
        <v>All Together / Literature — Family Read-Aloud</v>
      </c>
      <c r="E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Helper'!$F$5:$F$3004,"""")&lt;&gt;""""),ROWS(E$5:E8)),"""")"),"Pay Attention, Carter Jones")</f>
        <v>Pay Attention, Carter Jones</v>
      </c>
      <c r="F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Helper'!$F$5:$F$3004,"""")&lt;&gt;""""),ROWS(F$5:F8)),IF(AND(LEFT(x,5)=""Page "&amp;""",ISERROR(SEARCH(""–"",x))),x&amp;""–""&amp;REGEXEXTRACT(x,""[0-9]+$""),x)),"""")"),"Chapter 7–8")</f>
        <v>Chapter 7–8</v>
      </c>
      <c r="G8" s="8" t="s">
        <v>109</v>
      </c>
      <c r="H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Helper'!$F$5:$F$3004,"""")&lt;&gt;""""),ROWS(H$5:H8)),"""")"),"sample")</f>
        <v>sample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Helper'!$F$5:$F$3004,"""")&lt;&gt;""""),ROWS(A$5:A9)),"""")"),46260.0)</f>
        <v>46260</v>
      </c>
      <c r="B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Helper'!$F$5:$F$3004,"""")&lt;&gt;""""),ROWS(B$5:B9)),"""")"),"Everyone")</f>
        <v>Everyone</v>
      </c>
      <c r="C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Helper'!$F$5:$F$3004,"""")&lt;&gt;""""),ROWS(C$5:C9)),"""")"),"Reading Loop")</f>
        <v>Reading Loop</v>
      </c>
      <c r="D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Helper'!$F$5:$F$3004,"""")&lt;&gt;""""),ROWS(D$5:D9)),"""")"),"All Together / Literature — Family Read-Aloud")</f>
        <v>All Together / Literature — Family Read-Aloud</v>
      </c>
      <c r="E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Helper'!$F$5:$F$3004,"""")&lt;&gt;""""),ROWS(E$5:E9)),"""")"),"Pay Attention, Carter Jones")</f>
        <v>Pay Attention, Carter Jones</v>
      </c>
      <c r="F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Helper'!$F$5:$F$3004,"""")&lt;&gt;""""),ROWS(F$5:F9)),IF(AND(LEFT(x,5)=""Page "&amp;""",ISERROR(SEARCH(""–"",x))),x&amp;""–""&amp;REGEXEXTRACT(x,""[0-9]+$""),x)),"""")"),"Chapter 9–10")</f>
        <v>Chapter 9–10</v>
      </c>
      <c r="G9" s="8" t="s">
        <v>109</v>
      </c>
      <c r="H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Helper'!$F$5:$F$3004,"""")&lt;&gt;""""),ROWS(H$5:H9)),"""")"),"sample")</f>
        <v>sample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Helper'!$F$5:$F$3004,"""")&lt;&gt;""""),ROWS(A$5:A10)),"""")"),46262.0)</f>
        <v>46262</v>
      </c>
      <c r="B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Helper'!$F$5:$F$3004,"""")&lt;&gt;""""),ROWS(B$5:B10)),"""")"),"Everyone")</f>
        <v>Everyone</v>
      </c>
      <c r="C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Helper'!$F$5:$F$3004,"""")&lt;&gt;""""),ROWS(C$5:C10)),"""")"),"Reading Loop")</f>
        <v>Reading Loop</v>
      </c>
      <c r="D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Helper'!$F$5:$F$3004,"""")&lt;&gt;""""),ROWS(D$5:D10)),"""")"),"All Together / Literature — Family Read-Aloud")</f>
        <v>All Together / Literature — Family Read-Aloud</v>
      </c>
      <c r="E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Helper'!$F$5:$F$3004,"""")&lt;&gt;""""),ROWS(E$5:E10)),"""")"),"Pay Attention, Carter Jones")</f>
        <v>Pay Attention, Carter Jones</v>
      </c>
      <c r="F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Helper'!$F$5:$F$3004,"""")&lt;&gt;""""),ROWS(F$5:F10)),IF(AND(LEFT(x,5)=""Page "&amp;""",ISERROR(SEARCH(""–"",x))),x&amp;""–""&amp;REGEXEXTRACT(x,""[0-9]+$""),x)),"""")"),"Chapter 11–12")</f>
        <v>Chapter 11–12</v>
      </c>
      <c r="G10" s="8" t="s">
        <v>109</v>
      </c>
      <c r="H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Helper'!$F$5:$F$3004,"""")&lt;&gt;""""),ROWS(H$5:H10)),"""")"),"sample")</f>
        <v>sample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Helper'!$F$5:$F$3004,"""")&lt;&gt;""""),ROWS(A$5:A11)),"""")"),46265.0)</f>
        <v>46265</v>
      </c>
      <c r="B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Helper'!$F$5:$F$3004,"""")&lt;&gt;""""),ROWS(B$5:B11)),"""")"),"Everyone")</f>
        <v>Everyone</v>
      </c>
      <c r="C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Helper'!$F$5:$F$3004,"""")&lt;&gt;""""),ROWS(C$5:C11)),"""")"),"Reading Loop")</f>
        <v>Reading Loop</v>
      </c>
      <c r="D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Helper'!$F$5:$F$3004,"""")&lt;&gt;""""),ROWS(D$5:D11)),"""")"),"All Together / Literature — Family Read-Aloud")</f>
        <v>All Together / Literature — Family Read-Aloud</v>
      </c>
      <c r="E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Helper'!$F$5:$F$3004,"""")&lt;&gt;""""),ROWS(E$5:E11)),"""")"),"Pay Attention, Carter Jones")</f>
        <v>Pay Attention, Carter Jones</v>
      </c>
      <c r="F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Helper'!$F$5:$F$3004,"""")&lt;&gt;""""),ROWS(F$5:F11)),IF(AND(LEFT(x,5)=""Page "&amp;""",ISERROR(SEARCH(""–"",x))),x&amp;""–""&amp;REGEXEXTRACT(x,""[0-9]+$""),x)),"""")"),"Chapter 13–14")</f>
        <v>Chapter 13–14</v>
      </c>
      <c r="G11" s="8" t="s">
        <v>109</v>
      </c>
      <c r="H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Helper'!$F$5:$F$3004,"""")&lt;&gt;""""),ROWS(H$5:H11)),"""")"),"sample")</f>
        <v>sample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Helper'!$F$5:$F$3004,"""")&lt;&gt;""""),ROWS(A$5:A12)),"""")"),46267.0)</f>
        <v>46267</v>
      </c>
      <c r="B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Helper'!$F$5:$F$3004,"""")&lt;&gt;""""),ROWS(B$5:B12)),"""")"),"Everyone")</f>
        <v>Everyone</v>
      </c>
      <c r="C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Helper'!$F$5:$F$3004,"""")&lt;&gt;""""),ROWS(C$5:C12)),"""")"),"Reading Loop")</f>
        <v>Reading Loop</v>
      </c>
      <c r="D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Helper'!$F$5:$F$3004,"""")&lt;&gt;""""),ROWS(D$5:D12)),"""")"),"All Together / Literature — Family Read-Aloud")</f>
        <v>All Together / Literature — Family Read-Aloud</v>
      </c>
      <c r="E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Helper'!$F$5:$F$3004,"""")&lt;&gt;""""),ROWS(E$5:E12)),"""")"),"Pay Attention, Carter Jones")</f>
        <v>Pay Attention, Carter Jones</v>
      </c>
      <c r="F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Helper'!$F$5:$F$3004,"""")&lt;&gt;""""),ROWS(F$5:F12)),IF(AND(LEFT(x,5)=""Page "&amp;""",ISERROR(SEARCH(""–"",x))),x&amp;""–""&amp;REGEXEXTRACT(x,""[0-9]+$""),x)),"""")"),"Chapter 15–16")</f>
        <v>Chapter 15–16</v>
      </c>
      <c r="G12" s="8" t="s">
        <v>109</v>
      </c>
      <c r="H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Helper'!$F$5:$F$3004,"""")&lt;&gt;""""),ROWS(H$5:H12)),"""")"),"sample")</f>
        <v>sample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Helper'!$F$5:$F$3004,"""")&lt;&gt;""""),ROWS(A$5:A13)),"""")"),46269.0)</f>
        <v>46269</v>
      </c>
      <c r="B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Helper'!$F$5:$F$3004,"""")&lt;&gt;""""),ROWS(B$5:B13)),"""")"),"Everyone")</f>
        <v>Everyone</v>
      </c>
      <c r="C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Helper'!$F$5:$F$3004,"""")&lt;&gt;""""),ROWS(C$5:C13)),"""")"),"Reading Loop")</f>
        <v>Reading Loop</v>
      </c>
      <c r="D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Helper'!$F$5:$F$3004,"""")&lt;&gt;""""),ROWS(D$5:D13)),"""")"),"All Together / Literature — Family Read-Aloud")</f>
        <v>All Together / Literature — Family Read-Aloud</v>
      </c>
      <c r="E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Helper'!$F$5:$F$3004,"""")&lt;&gt;""""),ROWS(E$5:E13)),"""")"),"Pay Attention, Carter Jones")</f>
        <v>Pay Attention, Carter Jones</v>
      </c>
      <c r="F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Helper'!$F$5:$F$3004,"""")&lt;&gt;""""),ROWS(F$5:F13)),IF(AND(LEFT(x,5)=""Page "&amp;""",ISERROR(SEARCH(""–"",x))),x&amp;""–""&amp;REGEXEXTRACT(x,""[0-9]+$""),x)),"""")"),"Chapter 17–18")</f>
        <v>Chapter 17–18</v>
      </c>
      <c r="G13" s="8" t="s">
        <v>109</v>
      </c>
      <c r="H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Helper'!$F$5:$F$3004,"""")&lt;&gt;""""),ROWS(H$5:H13)),"""")"),"sample")</f>
        <v>sample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Helper'!$F$5:$F$3004,"""")&lt;&gt;""""),ROWS(A$5:A14)),"""")"),46272.0)</f>
        <v>46272</v>
      </c>
      <c r="B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Helper'!$F$5:$F$3004,"""")&lt;&gt;""""),ROWS(B$5:B14)),"""")"),"Everyone")</f>
        <v>Everyone</v>
      </c>
      <c r="C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Helper'!$F$5:$F$3004,"""")&lt;&gt;""""),ROWS(C$5:C14)),"""")"),"Reading Loop")</f>
        <v>Reading Loop</v>
      </c>
      <c r="D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Helper'!$F$5:$F$3004,"""")&lt;&gt;""""),ROWS(D$5:D14)),"""")"),"All Together / Literature — Family Read-Aloud")</f>
        <v>All Together / Literature — Family Read-Aloud</v>
      </c>
      <c r="E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Helper'!$F$5:$F$3004,"""")&lt;&gt;""""),ROWS(E$5:E14)),"""")"),"Pay Attention, Carter Jones")</f>
        <v>Pay Attention, Carter Jones</v>
      </c>
      <c r="F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Helper'!$F$5:$F$3004,"""")&lt;&gt;""""),ROWS(F$5:F14)),IF(AND(LEFT(x,5)=""Page "&amp;""",ISERROR(SEARCH(""–"",x))),x&amp;""–""&amp;REGEXEXTRACT(x,""[0-9]+$""),x)),"""")"),"Chapter 19–20")</f>
        <v>Chapter 19–20</v>
      </c>
      <c r="G14" s="8" t="s">
        <v>109</v>
      </c>
      <c r="H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Helper'!$F$5:$F$3004,"""")&lt;&gt;""""),ROWS(H$5:H14)),"""")"),"sample")</f>
        <v>sample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Helper'!$F$5:$F$3004,"""")&lt;&gt;""""),ROWS(A$5:A15)),"""")"),46274.0)</f>
        <v>46274</v>
      </c>
      <c r="B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Helper'!$F$5:$F$3004,"""")&lt;&gt;""""),ROWS(B$5:B15)),"""")"),"Everyone")</f>
        <v>Everyone</v>
      </c>
      <c r="C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Helper'!$F$5:$F$3004,"""")&lt;&gt;""""),ROWS(C$5:C15)),"""")"),"Reading Loop")</f>
        <v>Reading Loop</v>
      </c>
      <c r="D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Helper'!$F$5:$F$3004,"""")&lt;&gt;""""),ROWS(D$5:D15)),"""")"),"All Together / Literature — Family Read-Aloud")</f>
        <v>All Together / Literature — Family Read-Aloud</v>
      </c>
      <c r="E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Helper'!$F$5:$F$3004,"""")&lt;&gt;""""),ROWS(E$5:E15)),"""")"),"Pay Attention, Carter Jones")</f>
        <v>Pay Attention, Carter Jones</v>
      </c>
      <c r="F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Helper'!$F$5:$F$3004,"""")&lt;&gt;""""),ROWS(F$5:F15)),IF(AND(LEFT(x,5)=""Page "&amp;""",ISERROR(SEARCH(""–"",x))),x&amp;""–""&amp;REGEXEXTRACT(x,""[0-9]+$""),x)),"""")"),"Chapter 21–22")</f>
        <v>Chapter 21–22</v>
      </c>
      <c r="G15" s="8" t="s">
        <v>109</v>
      </c>
      <c r="H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Helper'!$F$5:$F$3004,"""")&lt;&gt;""""),ROWS(H$5:H15)),"""")"),"sample")</f>
        <v>sample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Helper'!$F$5:$F$3004,"""")&lt;&gt;""""),ROWS(A$5:A16)),"""")"),46276.0)</f>
        <v>46276</v>
      </c>
      <c r="B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Helper'!$F$5:$F$3004,"""")&lt;&gt;""""),ROWS(B$5:B16)),"""")"),"Everyone")</f>
        <v>Everyone</v>
      </c>
      <c r="C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Helper'!$F$5:$F$3004,"""")&lt;&gt;""""),ROWS(C$5:C16)),"""")"),"Reading Loop")</f>
        <v>Reading Loop</v>
      </c>
      <c r="D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Helper'!$F$5:$F$3004,"""")&lt;&gt;""""),ROWS(D$5:D16)),"""")"),"All Together / Literature — Family Read-Aloud")</f>
        <v>All Together / Literature — Family Read-Aloud</v>
      </c>
      <c r="E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Helper'!$F$5:$F$3004,"""")&lt;&gt;""""),ROWS(E$5:E16)),"""")"),"Pay Attention, Carter Jones")</f>
        <v>Pay Attention, Carter Jones</v>
      </c>
      <c r="F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Helper'!$F$5:$F$3004,"""")&lt;&gt;""""),ROWS(F$5:F16)),IF(AND(LEFT(x,5)=""Page "&amp;""",ISERROR(SEARCH(""–"",x))),x&amp;""–""&amp;REGEXEXTRACT(x,""[0-9]+$""),x)),"""")"),"Chapter 23–24")</f>
        <v>Chapter 23–24</v>
      </c>
      <c r="G16" s="8" t="s">
        <v>109</v>
      </c>
      <c r="H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Helper'!$F$5:$F$3004,"""")&lt;&gt;""""),ROWS(H$5:H16)),"""")"),"sample")</f>
        <v>sample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Helper'!$F$5:$F$3004,"""")&lt;&gt;""""),ROWS(A$5:A17)),"""")"),46279.0)</f>
        <v>46279</v>
      </c>
      <c r="B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Helper'!$F$5:$F$3004,"""")&lt;&gt;""""),ROWS(B$5:B17)),"""")"),"Everyone")</f>
        <v>Everyone</v>
      </c>
      <c r="C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Helper'!$F$5:$F$3004,"""")&lt;&gt;""""),ROWS(C$5:C17)),"""")"),"Reading Loop")</f>
        <v>Reading Loop</v>
      </c>
      <c r="D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Helper'!$F$5:$F$3004,"""")&lt;&gt;""""),ROWS(D$5:D17)),"""")"),"All Together / Literature — Family Read-Aloud")</f>
        <v>All Together / Literature — Family Read-Aloud</v>
      </c>
      <c r="E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Helper'!$F$5:$F$3004,"""")&lt;&gt;""""),ROWS(E$5:E17)),"""")"),"Pay Attention, Carter Jones")</f>
        <v>Pay Attention, Carter Jones</v>
      </c>
      <c r="F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Helper'!$F$5:$F$3004,"""")&lt;&gt;""""),ROWS(F$5:F17)),IF(AND(LEFT(x,5)=""Page "&amp;""",ISERROR(SEARCH(""–"",x))),x&amp;""–""&amp;REGEXEXTRACT(x,""[0-9]+$""),x)),"""")"),"Chapter 25–26")</f>
        <v>Chapter 25–26</v>
      </c>
      <c r="G17" s="8" t="s">
        <v>109</v>
      </c>
      <c r="H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Helper'!$F$5:$F$3004,"""")&lt;&gt;""""),ROWS(H$5:H17)),"""")"),"sample")</f>
        <v>sample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Helper'!$F$5:$F$3004,"""")&lt;&gt;""""),ROWS(A$5:A18)),"""")"),46281.0)</f>
        <v>46281</v>
      </c>
      <c r="B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Helper'!$F$5:$F$3004,"""")&lt;&gt;""""),ROWS(B$5:B18)),"""")"),"Everyone")</f>
        <v>Everyone</v>
      </c>
      <c r="C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Helper'!$F$5:$F$3004,"""")&lt;&gt;""""),ROWS(C$5:C18)),"""")"),"Reading Loop")</f>
        <v>Reading Loop</v>
      </c>
      <c r="D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Helper'!$F$5:$F$3004,"""")&lt;&gt;""""),ROWS(D$5:D18)),"""")"),"All Together / Literature — Family Read-Aloud")</f>
        <v>All Together / Literature — Family Read-Aloud</v>
      </c>
      <c r="E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Helper'!$F$5:$F$3004,"""")&lt;&gt;""""),ROWS(E$5:E18)),"""")"),"Pay Attention, Carter Jones")</f>
        <v>Pay Attention, Carter Jones</v>
      </c>
      <c r="F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Helper'!$F$5:$F$3004,"""")&lt;&gt;""""),ROWS(F$5:F18)),IF(AND(LEFT(x,5)=""Page "&amp;""",ISERROR(SEARCH(""–"",x))),x&amp;""–""&amp;REGEXEXTRACT(x,""[0-9]+$""),x)),"""")"),"Chapter 27–28")</f>
        <v>Chapter 27–28</v>
      </c>
      <c r="G18" s="8" t="s">
        <v>109</v>
      </c>
      <c r="H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Helper'!$F$5:$F$3004,"""")&lt;&gt;""""),ROWS(H$5:H18)),"""")"),"sample")</f>
        <v>sample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Helper'!$F$5:$F$3004,"""")&lt;&gt;""""),ROWS(A$5:A19)),"""")"),46251.0)</f>
        <v>46251</v>
      </c>
      <c r="B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Helper'!$F$5:$F$3004,"""")&lt;&gt;""""),ROWS(B$5:B19)),"""")"),"Little Girls")</f>
        <v>Little Girls</v>
      </c>
      <c r="C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Helper'!$F$5:$F$3004,"""")&lt;&gt;""""),ROWS(C$5:C19)),"""")"),"Hands + Beauty Loop")</f>
        <v>Hands + Beauty Loop</v>
      </c>
      <c r="D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Helper'!$F$5:$F$3004,"""")&lt;&gt;""""),ROWS(D$5:D19)),"""")"),"All Together / Science / Nature — Nature Walk")</f>
        <v>All Together / Science / Nature — Nature Walk</v>
      </c>
      <c r="E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Helper'!$F$5:$F$3004,"""")&lt;&gt;""""),ROWS(E$5:E19)),"""")"),"Nature Reader")</f>
        <v>Nature Reader</v>
      </c>
      <c r="F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Helper'!$F$5:$F$3004,"""")&lt;&gt;""""),ROWS(F$5:F19)),IF(AND(LEFT(x,5)=""Page "&amp;""",ISERROR(SEARCH(""–"",x))),x&amp;""–""&amp;REGEXEXTRACT(x,""[0-9]+$""),x)),"""")"),"Chapter 1")</f>
        <v>Chapter 1</v>
      </c>
      <c r="G19" s="8" t="s">
        <v>109</v>
      </c>
      <c r="H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Helper'!$F$5:$F$3004,"""")&lt;&gt;""""),ROWS(H$5:H19)),"""")"),"sample")</f>
        <v>sample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Helper'!$F$5:$F$3004,"""")&lt;&gt;""""),ROWS(A$5:A20)),"""")"),46258.0)</f>
        <v>46258</v>
      </c>
      <c r="B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Helper'!$F$5:$F$3004,"""")&lt;&gt;""""),ROWS(B$5:B20)),"""")"),"Little Girls")</f>
        <v>Little Girls</v>
      </c>
      <c r="C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Helper'!$F$5:$F$3004,"""")&lt;&gt;""""),ROWS(C$5:C20)),"""")"),"Hands + Beauty Loop")</f>
        <v>Hands + Beauty Loop</v>
      </c>
      <c r="D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Helper'!$F$5:$F$3004,"""")&lt;&gt;""""),ROWS(D$5:D20)),"""")"),"All Together / Science / Nature — Nature Walk")</f>
        <v>All Together / Science / Nature — Nature Walk</v>
      </c>
      <c r="E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Helper'!$F$5:$F$3004,"""")&lt;&gt;""""),ROWS(E$5:E20)),"""")"),"Nature Reader")</f>
        <v>Nature Reader</v>
      </c>
      <c r="F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Helper'!$F$5:$F$3004,"""")&lt;&gt;""""),ROWS(F$5:F20)),IF(AND(LEFT(x,5)=""Page "&amp;""",ISERROR(SEARCH(""–"",x))),x&amp;""–""&amp;REGEXEXTRACT(x,""[0-9]+$""),x)),"""")"),"Chapter 2")</f>
        <v>Chapter 2</v>
      </c>
      <c r="G20" s="8" t="s">
        <v>109</v>
      </c>
      <c r="H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Helper'!$F$5:$F$3004,"""")&lt;&gt;""""),ROWS(H$5:H20)),"""")"),"sample")</f>
        <v>sample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Helper'!$F$5:$F$3004,"""")&lt;&gt;""""),ROWS(A$5:A21)),"""")"),46265.0)</f>
        <v>46265</v>
      </c>
      <c r="B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Helper'!$F$5:$F$3004,"""")&lt;&gt;""""),ROWS(B$5:B21)),"""")"),"Little Girls")</f>
        <v>Little Girls</v>
      </c>
      <c r="C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Helper'!$F$5:$F$3004,"""")&lt;&gt;""""),ROWS(C$5:C21)),"""")"),"Hands + Beauty Loop")</f>
        <v>Hands + Beauty Loop</v>
      </c>
      <c r="D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Helper'!$F$5:$F$3004,"""")&lt;&gt;""""),ROWS(D$5:D21)),"""")"),"All Together / Science / Nature — Nature Walk")</f>
        <v>All Together / Science / Nature — Nature Walk</v>
      </c>
      <c r="E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Helper'!$F$5:$F$3004,"""")&lt;&gt;""""),ROWS(E$5:E21)),"""")"),"Nature Reader")</f>
        <v>Nature Reader</v>
      </c>
      <c r="F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Helper'!$F$5:$F$3004,"""")&lt;&gt;""""),ROWS(F$5:F21)),IF(AND(LEFT(x,5)=""Page "&amp;""",ISERROR(SEARCH(""–"",x))),x&amp;""–""&amp;REGEXEXTRACT(x,""[0-9]+$""),x)),"""")"),"Chapter 3")</f>
        <v>Chapter 3</v>
      </c>
      <c r="G21" s="8" t="s">
        <v>109</v>
      </c>
      <c r="H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Helper'!$F$5:$F$3004,"""")&lt;&gt;""""),ROWS(H$5:H21)),"""")"),"sample")</f>
        <v>sample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Helper'!$F$5:$F$3004,"""")&lt;&gt;""""),ROWS(A$5:A22)),"""")"),46272.0)</f>
        <v>46272</v>
      </c>
      <c r="B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Helper'!$F$5:$F$3004,"""")&lt;&gt;""""),ROWS(B$5:B22)),"""")"),"Little Girls")</f>
        <v>Little Girls</v>
      </c>
      <c r="C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Helper'!$F$5:$F$3004,"""")&lt;&gt;""""),ROWS(C$5:C22)),"""")"),"Hands + Beauty Loop")</f>
        <v>Hands + Beauty Loop</v>
      </c>
      <c r="D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Helper'!$F$5:$F$3004,"""")&lt;&gt;""""),ROWS(D$5:D22)),"""")"),"All Together / Science / Nature — Nature Walk")</f>
        <v>All Together / Science / Nature — Nature Walk</v>
      </c>
      <c r="E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Helper'!$F$5:$F$3004,"""")&lt;&gt;""""),ROWS(E$5:E22)),"""")"),"Nature Reader")</f>
        <v>Nature Reader</v>
      </c>
      <c r="F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Helper'!$F$5:$F$3004,"""")&lt;&gt;""""),ROWS(F$5:F22)),IF(AND(LEFT(x,5)=""Page "&amp;""",ISERROR(SEARCH(""–"",x))),x&amp;""–""&amp;REGEXEXTRACT(x,""[0-9]+$""),x)),"""")"),"Chapter 4")</f>
        <v>Chapter 4</v>
      </c>
      <c r="G22" s="8" t="s">
        <v>109</v>
      </c>
      <c r="H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Helper'!$F$5:$F$3004,"""")&lt;&gt;""""),ROWS(H$5:H22)),"""")"),"sample")</f>
        <v>sample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Helper'!$F$5:$F$3004,"""")&lt;&gt;""""),ROWS(A$5:A23)),"""")"),46279.0)</f>
        <v>46279</v>
      </c>
      <c r="B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Helper'!$F$5:$F$3004,"""")&lt;&gt;""""),ROWS(B$5:B23)),"""")"),"Little Girls")</f>
        <v>Little Girls</v>
      </c>
      <c r="C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Helper'!$F$5:$F$3004,"""")&lt;&gt;""""),ROWS(C$5:C23)),"""")"),"Hands + Beauty Loop")</f>
        <v>Hands + Beauty Loop</v>
      </c>
      <c r="D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Helper'!$F$5:$F$3004,"""")&lt;&gt;""""),ROWS(D$5:D23)),"""")"),"All Together / Science / Nature — Nature Walk")</f>
        <v>All Together / Science / Nature — Nature Walk</v>
      </c>
      <c r="E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Helper'!$F$5:$F$3004,"""")&lt;&gt;""""),ROWS(E$5:E23)),"""")"),"Nature Reader")</f>
        <v>Nature Reader</v>
      </c>
      <c r="F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Helper'!$F$5:$F$3004,"""")&lt;&gt;""""),ROWS(F$5:F23)),IF(AND(LEFT(x,5)=""Page "&amp;""",ISERROR(SEARCH(""–"",x))),x&amp;""–""&amp;REGEXEXTRACT(x,""[0-9]+$""),x)),"""")"),"Chapter 5")</f>
        <v>Chapter 5</v>
      </c>
      <c r="G23" s="8" t="s">
        <v>109</v>
      </c>
      <c r="H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Helper'!$F$5:$F$3004,"""")&lt;&gt;""""),ROWS(H$5:H23)),"""")"),"sample")</f>
        <v>sample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Helper'!$F$5:$F$3004,"""")&lt;&gt;""""),ROWS(A$5:A24)),"""")"),46286.0)</f>
        <v>46286</v>
      </c>
      <c r="B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Helper'!$F$5:$F$3004,"""")&lt;&gt;""""),ROWS(B$5:B24)),"""")"),"Little Girls")</f>
        <v>Little Girls</v>
      </c>
      <c r="C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Helper'!$F$5:$F$3004,"""")&lt;&gt;""""),ROWS(C$5:C24)),"""")"),"Hands + Beauty Loop")</f>
        <v>Hands + Beauty Loop</v>
      </c>
      <c r="D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Helper'!$F$5:$F$3004,"""")&lt;&gt;""""),ROWS(D$5:D24)),"""")"),"All Together / Science / Nature — Nature Walk")</f>
        <v>All Together / Science / Nature — Nature Walk</v>
      </c>
      <c r="E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Helper'!$F$5:$F$3004,"""")&lt;&gt;""""),ROWS(E$5:E24)),"""")"),"Nature Reader")</f>
        <v>Nature Reader</v>
      </c>
      <c r="F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Helper'!$F$5:$F$3004,"""")&lt;&gt;""""),ROWS(F$5:F24)),IF(AND(LEFT(x,5)=""Page "&amp;""",ISERROR(SEARCH(""–"",x))),x&amp;""–""&amp;REGEXEXTRACT(x,""[0-9]+$""),x)),"""")"),"Chapter 6")</f>
        <v>Chapter 6</v>
      </c>
      <c r="G24" s="8" t="s">
        <v>109</v>
      </c>
      <c r="H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Helper'!$F$5:$F$3004,"""")&lt;&gt;""""),ROWS(H$5:H24)),"""")"),"sample")</f>
        <v>sample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Helper'!$F$5:$F$3004,"""")&lt;&gt;""""),ROWS(A$5:A25)),"""")"),46293.0)</f>
        <v>46293</v>
      </c>
      <c r="B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Helper'!$F$5:$F$3004,"""")&lt;&gt;""""),ROWS(B$5:B25)),"""")"),"Little Girls")</f>
        <v>Little Girls</v>
      </c>
      <c r="C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Helper'!$F$5:$F$3004,"""")&lt;&gt;""""),ROWS(C$5:C25)),"""")"),"Hands + Beauty Loop")</f>
        <v>Hands + Beauty Loop</v>
      </c>
      <c r="D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Helper'!$F$5:$F$3004,"""")&lt;&gt;""""),ROWS(D$5:D25)),"""")"),"All Together / Science / Nature — Nature Walk")</f>
        <v>All Together / Science / Nature — Nature Walk</v>
      </c>
      <c r="E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Helper'!$F$5:$F$3004,"""")&lt;&gt;""""),ROWS(E$5:E25)),"""")"),"Nature Reader")</f>
        <v>Nature Reader</v>
      </c>
      <c r="F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Helper'!$F$5:$F$3004,"""")&lt;&gt;""""),ROWS(F$5:F25)),IF(AND(LEFT(x,5)=""Page "&amp;""",ISERROR(SEARCH(""–"",x))),x&amp;""–""&amp;REGEXEXTRACT(x,""[0-9]+$""),x)),"""")"),"Chapter 7")</f>
        <v>Chapter 7</v>
      </c>
      <c r="G25" s="8" t="s">
        <v>109</v>
      </c>
      <c r="H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Helper'!$F$5:$F$3004,"""")&lt;&gt;""""),ROWS(H$5:H25)),"""")"),"sample")</f>
        <v>sample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Helper'!$F$5:$F$3004,"""")&lt;&gt;""""),ROWS(A$5:A26)),"""")"),46300.0)</f>
        <v>46300</v>
      </c>
      <c r="B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Helper'!$F$5:$F$3004,"""")&lt;&gt;""""),ROWS(B$5:B26)),"""")"),"Little Girls")</f>
        <v>Little Girls</v>
      </c>
      <c r="C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Helper'!$F$5:$F$3004,"""")&lt;&gt;""""),ROWS(C$5:C26)),"""")"),"Hands + Beauty Loop")</f>
        <v>Hands + Beauty Loop</v>
      </c>
      <c r="D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Helper'!$F$5:$F$3004,"""")&lt;&gt;""""),ROWS(D$5:D26)),"""")"),"All Together / Science / Nature — Nature Walk")</f>
        <v>All Together / Science / Nature — Nature Walk</v>
      </c>
      <c r="E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Helper'!$F$5:$F$3004,"""")&lt;&gt;""""),ROWS(E$5:E26)),"""")"),"Nature Reader")</f>
        <v>Nature Reader</v>
      </c>
      <c r="F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Helper'!$F$5:$F$3004,"""")&lt;&gt;""""),ROWS(F$5:F26)),IF(AND(LEFT(x,5)=""Page "&amp;""",ISERROR(SEARCH(""–"",x))),x&amp;""–""&amp;REGEXEXTRACT(x,""[0-9]+$""),x)),"""")"),"Chapter 8")</f>
        <v>Chapter 8</v>
      </c>
      <c r="G26" s="8" t="s">
        <v>109</v>
      </c>
      <c r="H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Helper'!$F$5:$F$3004,"""")&lt;&gt;""""),ROWS(H$5:H26)),"""")"),"sample")</f>
        <v>sample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Helper'!$F$5:$F$3004,"""")&lt;&gt;""""),ROWS(A$5:A27)),"""")"),46307.0)</f>
        <v>46307</v>
      </c>
      <c r="B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Helper'!$F$5:$F$3004,"""")&lt;&gt;""""),ROWS(B$5:B27)),"""")"),"Little Girls")</f>
        <v>Little Girls</v>
      </c>
      <c r="C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Helper'!$F$5:$F$3004,"""")&lt;&gt;""""),ROWS(C$5:C27)),"""")"),"Hands + Beauty Loop")</f>
        <v>Hands + Beauty Loop</v>
      </c>
      <c r="D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Helper'!$F$5:$F$3004,"""")&lt;&gt;""""),ROWS(D$5:D27)),"""")"),"All Together / Science / Nature — Nature Walk")</f>
        <v>All Together / Science / Nature — Nature Walk</v>
      </c>
      <c r="E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Helper'!$F$5:$F$3004,"""")&lt;&gt;""""),ROWS(E$5:E27)),"""")"),"Nature Reader")</f>
        <v>Nature Reader</v>
      </c>
      <c r="F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Helper'!$F$5:$F$3004,"""")&lt;&gt;""""),ROWS(F$5:F27)),IF(AND(LEFT(x,5)=""Page "&amp;""",ISERROR(SEARCH(""–"",x))),x&amp;""–""&amp;REGEXEXTRACT(x,""[0-9]+$""),x)),"""")"),"Chapter 9")</f>
        <v>Chapter 9</v>
      </c>
      <c r="G27" s="8" t="s">
        <v>109</v>
      </c>
      <c r="H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Helper'!$F$5:$F$3004,"""")&lt;&gt;""""),ROWS(H$5:H27)),"""")"),"sample")</f>
        <v>sample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Helper'!$F$5:$F$3004,"""")&lt;&gt;""""),ROWS(A$5:A28)),"""")"),46314.0)</f>
        <v>46314</v>
      </c>
      <c r="B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Helper'!$F$5:$F$3004,"""")&lt;&gt;""""),ROWS(B$5:B28)),"""")"),"Little Girls")</f>
        <v>Little Girls</v>
      </c>
      <c r="C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Helper'!$F$5:$F$3004,"""")&lt;&gt;""""),ROWS(C$5:C28)),"""")"),"Hands + Beauty Loop")</f>
        <v>Hands + Beauty Loop</v>
      </c>
      <c r="D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Helper'!$F$5:$F$3004,"""")&lt;&gt;""""),ROWS(D$5:D28)),"""")"),"All Together / Science / Nature — Nature Walk")</f>
        <v>All Together / Science / Nature — Nature Walk</v>
      </c>
      <c r="E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Helper'!$F$5:$F$3004,"""")&lt;&gt;""""),ROWS(E$5:E28)),"""")"),"Nature Reader")</f>
        <v>Nature Reader</v>
      </c>
      <c r="F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Helper'!$F$5:$F$3004,"""")&lt;&gt;""""),ROWS(F$5:F28)),IF(AND(LEFT(x,5)=""Page "&amp;""",ISERROR(SEARCH(""–"",x))),x&amp;""–""&amp;REGEXEXTRACT(x,""[0-9]+$""),x)),"""")"),"Chapter 10")</f>
        <v>Chapter 10</v>
      </c>
      <c r="G28" s="8" t="s">
        <v>109</v>
      </c>
      <c r="H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Helper'!$F$5:$F$3004,"""")&lt;&gt;""""),ROWS(H$5:H28)),"""")"),"sample")</f>
        <v>sample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Helper'!$F$5:$F$3004,"""")&lt;&gt;""""),ROWS(A$5:A29)),"""")"),46328.0)</f>
        <v>46328</v>
      </c>
      <c r="B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Helper'!$F$5:$F$3004,"""")&lt;&gt;""""),ROWS(B$5:B29)),"""")"),"Little Girls")</f>
        <v>Little Girls</v>
      </c>
      <c r="C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Helper'!$F$5:$F$3004,"""")&lt;&gt;""""),ROWS(C$5:C29)),"""")"),"Hands + Beauty Loop")</f>
        <v>Hands + Beauty Loop</v>
      </c>
      <c r="D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Helper'!$F$5:$F$3004,"""")&lt;&gt;""""),ROWS(D$5:D29)),"""")"),"All Together / Science / Nature — Nature Walk")</f>
        <v>All Together / Science / Nature — Nature Walk</v>
      </c>
      <c r="E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Helper'!$F$5:$F$3004,"""")&lt;&gt;""""),ROWS(E$5:E29)),"""")"),"Nature Reader")</f>
        <v>Nature Reader</v>
      </c>
      <c r="F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Helper'!$F$5:$F$3004,"""")&lt;&gt;""""),ROWS(F$5:F29)),IF(AND(LEFT(x,5)=""Page "&amp;""",ISERROR(SEARCH(""–"",x))),x&amp;""–""&amp;REGEXEXTRACT(x,""[0-9]+$""),x)),"""")"),"Chapter 11")</f>
        <v>Chapter 11</v>
      </c>
      <c r="G29" s="8" t="s">
        <v>109</v>
      </c>
      <c r="H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Helper'!$F$5:$F$3004,"""")&lt;&gt;""""),ROWS(H$5:H29)),"""")"),"sample")</f>
        <v>sample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Helper'!$F$5:$F$3004,"""")&lt;&gt;""""),ROWS(A$5:A30)),"""")"),46335.0)</f>
        <v>46335</v>
      </c>
      <c r="B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Helper'!$F$5:$F$3004,"""")&lt;&gt;""""),ROWS(B$5:B30)),"""")"),"Little Girls")</f>
        <v>Little Girls</v>
      </c>
      <c r="C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Helper'!$F$5:$F$3004,"""")&lt;&gt;""""),ROWS(C$5:C30)),"""")"),"Hands + Beauty Loop")</f>
        <v>Hands + Beauty Loop</v>
      </c>
      <c r="D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Helper'!$F$5:$F$3004,"""")&lt;&gt;""""),ROWS(D$5:D30)),"""")"),"All Together / Science / Nature — Nature Walk")</f>
        <v>All Together / Science / Nature — Nature Walk</v>
      </c>
      <c r="E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Helper'!$F$5:$F$3004,"""")&lt;&gt;""""),ROWS(E$5:E30)),"""")"),"Nature Reader")</f>
        <v>Nature Reader</v>
      </c>
      <c r="F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Helper'!$F$5:$F$3004,"""")&lt;&gt;""""),ROWS(F$5:F30)),IF(AND(LEFT(x,5)=""Page "&amp;""",ISERROR(SEARCH(""–"",x))),x&amp;""–""&amp;REGEXEXTRACT(x,""[0-9]+$""),x)),"""")"),"Chapter 12")</f>
        <v>Chapter 12</v>
      </c>
      <c r="G30" s="8" t="s">
        <v>109</v>
      </c>
      <c r="H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Helper'!$F$5:$F$3004,"""")&lt;&gt;""""),ROWS(H$5:H30)),"""")"),"sample")</f>
        <v>sample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Helper'!$F$5:$F$3004,"""")&lt;&gt;""""),ROWS(A$5:A31)),"""")"),46252.0)</f>
        <v>46252</v>
      </c>
      <c r="B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Helper'!$F$5:$F$3004,"""")&lt;&gt;""""),ROWS(B$5:B31)),"""")"),"Jeremiah")</f>
        <v>Jeremiah</v>
      </c>
      <c r="C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Helper'!$F$5:$F$3004,"""")&lt;&gt;""""),ROWS(C$5:C31)),"""")"),"Outside / Co-op")</f>
        <v>Outside / Co-op</v>
      </c>
      <c r="D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Helper'!$F$5:$F$3004,"""")&lt;&gt;""""),ROWS(D$5:D31)),"""")"),"Form IV / Science / Nature — Science")</f>
        <v>Form IV / Science / Nature — Science</v>
      </c>
      <c r="E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Helper'!$F$5:$F$3004,"""")&lt;&gt;""""),ROWS(E$5:E31)),"""")"),"Biology Course")</f>
        <v>Biology Course</v>
      </c>
      <c r="F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Helper'!$F$5:$F$3004,"""")&lt;&gt;""""),ROWS(F$5:F31)),IF(AND(LEFT(x,5)=""Page "&amp;""",ISERROR(SEARCH(""–"",x))),x&amp;""–""&amp;REGEXEXTRACT(x,""[0-9]+$""),x)),"""")"),"Lesson 1")</f>
        <v>Lesson 1</v>
      </c>
      <c r="G31" s="8" t="s">
        <v>109</v>
      </c>
      <c r="H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Helper'!$F$5:$F$3004,"""")&lt;&gt;""""),ROWS(H$5:H31)),"""")"),"sample")</f>
        <v>sample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Helper'!$F$5:$F$3004,"""")&lt;&gt;""""),ROWS(A$5:A32)),"""")"),46259.0)</f>
        <v>46259</v>
      </c>
      <c r="B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Helper'!$F$5:$F$3004,"""")&lt;&gt;""""),ROWS(B$5:B32)),"""")"),"Jeremiah")</f>
        <v>Jeremiah</v>
      </c>
      <c r="C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Helper'!$F$5:$F$3004,"""")&lt;&gt;""""),ROWS(C$5:C32)),"""")"),"Outside / Co-op")</f>
        <v>Outside / Co-op</v>
      </c>
      <c r="D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Helper'!$F$5:$F$3004,"""")&lt;&gt;""""),ROWS(D$5:D32)),"""")"),"Form IV / Science / Nature — Science")</f>
        <v>Form IV / Science / Nature — Science</v>
      </c>
      <c r="E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Helper'!$F$5:$F$3004,"""")&lt;&gt;""""),ROWS(E$5:E32)),"""")"),"Biology Course")</f>
        <v>Biology Course</v>
      </c>
      <c r="F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Helper'!$F$5:$F$3004,"""")&lt;&gt;""""),ROWS(F$5:F32)),IF(AND(LEFT(x,5)=""Page "&amp;""",ISERROR(SEARCH(""–"",x))),x&amp;""–""&amp;REGEXEXTRACT(x,""[0-9]+$""),x)),"""")"),"Lesson 2")</f>
        <v>Lesson 2</v>
      </c>
      <c r="G32" s="8" t="s">
        <v>109</v>
      </c>
      <c r="H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Helper'!$F$5:$F$3004,"""")&lt;&gt;""""),ROWS(H$5:H32)),"""")"),"sample")</f>
        <v>sample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Helper'!$F$5:$F$3004,"""")&lt;&gt;""""),ROWS(A$5:A33)),"""")"),46266.0)</f>
        <v>46266</v>
      </c>
      <c r="B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Helper'!$F$5:$F$3004,"""")&lt;&gt;""""),ROWS(B$5:B33)),"""")"),"Jeremiah")</f>
        <v>Jeremiah</v>
      </c>
      <c r="C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Helper'!$F$5:$F$3004,"""")&lt;&gt;""""),ROWS(C$5:C33)),"""")"),"Outside / Co-op")</f>
        <v>Outside / Co-op</v>
      </c>
      <c r="D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Helper'!$F$5:$F$3004,"""")&lt;&gt;""""),ROWS(D$5:D33)),"""")"),"Form IV / Science / Nature — Science")</f>
        <v>Form IV / Science / Nature — Science</v>
      </c>
      <c r="E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Helper'!$F$5:$F$3004,"""")&lt;&gt;""""),ROWS(E$5:E33)),"""")"),"Biology Course")</f>
        <v>Biology Course</v>
      </c>
      <c r="F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Helper'!$F$5:$F$3004,"""")&lt;&gt;""""),ROWS(F$5:F33)),IF(AND(LEFT(x,5)=""Page "&amp;""",ISERROR(SEARCH(""–"",x))),x&amp;""–""&amp;REGEXEXTRACT(x,""[0-9]+$""),x)),"""")"),"Lesson 3")</f>
        <v>Lesson 3</v>
      </c>
      <c r="G33" s="8" t="s">
        <v>109</v>
      </c>
      <c r="H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Helper'!$F$5:$F$3004,"""")&lt;&gt;""""),ROWS(H$5:H33)),"""")"),"sample")</f>
        <v>sample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Helper'!$F$5:$F$3004,"""")&lt;&gt;""""),ROWS(A$5:A34)),"""")"),46273.0)</f>
        <v>46273</v>
      </c>
      <c r="B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Helper'!$F$5:$F$3004,"""")&lt;&gt;""""),ROWS(B$5:B34)),"""")"),"Jeremiah")</f>
        <v>Jeremiah</v>
      </c>
      <c r="C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Helper'!$F$5:$F$3004,"""")&lt;&gt;""""),ROWS(C$5:C34)),"""")"),"Outside / Co-op")</f>
        <v>Outside / Co-op</v>
      </c>
      <c r="D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Helper'!$F$5:$F$3004,"""")&lt;&gt;""""),ROWS(D$5:D34)),"""")"),"Form IV / Science / Nature — Science")</f>
        <v>Form IV / Science / Nature — Science</v>
      </c>
      <c r="E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Helper'!$F$5:$F$3004,"""")&lt;&gt;""""),ROWS(E$5:E34)),"""")"),"Biology Course")</f>
        <v>Biology Course</v>
      </c>
      <c r="F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Helper'!$F$5:$F$3004,"""")&lt;&gt;""""),ROWS(F$5:F34)),IF(AND(LEFT(x,5)=""Page "&amp;""",ISERROR(SEARCH(""–"",x))),x&amp;""–""&amp;REGEXEXTRACT(x,""[0-9]+$""),x)),"""")"),"Lesson 4")</f>
        <v>Lesson 4</v>
      </c>
      <c r="G34" s="8" t="s">
        <v>109</v>
      </c>
      <c r="H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Helper'!$F$5:$F$3004,"""")&lt;&gt;""""),ROWS(H$5:H34)),"""")"),"sample")</f>
        <v>sample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Helper'!$F$5:$F$3004,"""")&lt;&gt;""""),ROWS(A$5:A35)),"""")"),46280.0)</f>
        <v>46280</v>
      </c>
      <c r="B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Helper'!$F$5:$F$3004,"""")&lt;&gt;""""),ROWS(B$5:B35)),"""")"),"Jeremiah")</f>
        <v>Jeremiah</v>
      </c>
      <c r="C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Helper'!$F$5:$F$3004,"""")&lt;&gt;""""),ROWS(C$5:C35)),"""")"),"Outside / Co-op")</f>
        <v>Outside / Co-op</v>
      </c>
      <c r="D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Helper'!$F$5:$F$3004,"""")&lt;&gt;""""),ROWS(D$5:D35)),"""")"),"Form IV / Science / Nature — Science")</f>
        <v>Form IV / Science / Nature — Science</v>
      </c>
      <c r="E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Helper'!$F$5:$F$3004,"""")&lt;&gt;""""),ROWS(E$5:E35)),"""")"),"Biology Course")</f>
        <v>Biology Course</v>
      </c>
      <c r="F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Helper'!$F$5:$F$3004,"""")&lt;&gt;""""),ROWS(F$5:F35)),IF(AND(LEFT(x,5)=""Page "&amp;""",ISERROR(SEARCH(""–"",x))),x&amp;""–""&amp;REGEXEXTRACT(x,""[0-9]+$""),x)),"""")"),"Lesson 5")</f>
        <v>Lesson 5</v>
      </c>
      <c r="G35" s="8" t="s">
        <v>109</v>
      </c>
      <c r="H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Helper'!$F$5:$F$3004,"""")&lt;&gt;""""),ROWS(H$5:H35)),"""")"),"sample")</f>
        <v>sample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Helper'!$F$5:$F$3004,"""")&lt;&gt;""""),ROWS(A$5:A36)),"""")"),46287.0)</f>
        <v>46287</v>
      </c>
      <c r="B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Helper'!$F$5:$F$3004,"""")&lt;&gt;""""),ROWS(B$5:B36)),"""")"),"Jeremiah")</f>
        <v>Jeremiah</v>
      </c>
      <c r="C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Helper'!$F$5:$F$3004,"""")&lt;&gt;""""),ROWS(C$5:C36)),"""")"),"Outside / Co-op")</f>
        <v>Outside / Co-op</v>
      </c>
      <c r="D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Helper'!$F$5:$F$3004,"""")&lt;&gt;""""),ROWS(D$5:D36)),"""")"),"Form IV / Science / Nature — Science")</f>
        <v>Form IV / Science / Nature — Science</v>
      </c>
      <c r="E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Helper'!$F$5:$F$3004,"""")&lt;&gt;""""),ROWS(E$5:E36)),"""")"),"Biology Course")</f>
        <v>Biology Course</v>
      </c>
      <c r="F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Helper'!$F$5:$F$3004,"""")&lt;&gt;""""),ROWS(F$5:F36)),IF(AND(LEFT(x,5)=""Page "&amp;""",ISERROR(SEARCH(""–"",x))),x&amp;""–""&amp;REGEXEXTRACT(x,""[0-9]+$""),x)),"""")"),"Lesson 6")</f>
        <v>Lesson 6</v>
      </c>
      <c r="G36" s="8" t="s">
        <v>109</v>
      </c>
      <c r="H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Helper'!$F$5:$F$3004,"""")&lt;&gt;""""),ROWS(H$5:H36)),"""")"),"sample")</f>
        <v>sample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Helper'!$F$5:$F$3004,"""")&lt;&gt;""""),ROWS(A$5:A37)),"""")"),46294.0)</f>
        <v>46294</v>
      </c>
      <c r="B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Helper'!$F$5:$F$3004,"""")&lt;&gt;""""),ROWS(B$5:B37)),"""")"),"Jeremiah")</f>
        <v>Jeremiah</v>
      </c>
      <c r="C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Helper'!$F$5:$F$3004,"""")&lt;&gt;""""),ROWS(C$5:C37)),"""")"),"Outside / Co-op")</f>
        <v>Outside / Co-op</v>
      </c>
      <c r="D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Helper'!$F$5:$F$3004,"""")&lt;&gt;""""),ROWS(D$5:D37)),"""")"),"Form IV / Science / Nature — Science")</f>
        <v>Form IV / Science / Nature — Science</v>
      </c>
      <c r="E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Helper'!$F$5:$F$3004,"""")&lt;&gt;""""),ROWS(E$5:E37)),"""")"),"Biology Course")</f>
        <v>Biology Course</v>
      </c>
      <c r="F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Helper'!$F$5:$F$3004,"""")&lt;&gt;""""),ROWS(F$5:F37)),IF(AND(LEFT(x,5)=""Page "&amp;""",ISERROR(SEARCH(""–"",x))),x&amp;""–""&amp;REGEXEXTRACT(x,""[0-9]+$""),x)),"""")"),"Lesson 7")</f>
        <v>Lesson 7</v>
      </c>
      <c r="G37" s="8" t="s">
        <v>109</v>
      </c>
      <c r="H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Helper'!$F$5:$F$3004,"""")&lt;&gt;""""),ROWS(H$5:H37)),"""")"),"sample")</f>
        <v>sample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Helper'!$F$5:$F$3004,"""")&lt;&gt;""""),ROWS(A$5:A38)),"""")"),46301.0)</f>
        <v>46301</v>
      </c>
      <c r="B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Helper'!$F$5:$F$3004,"""")&lt;&gt;""""),ROWS(B$5:B38)),"""")"),"Jeremiah")</f>
        <v>Jeremiah</v>
      </c>
      <c r="C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Helper'!$F$5:$F$3004,"""")&lt;&gt;""""),ROWS(C$5:C38)),"""")"),"Outside / Co-op")</f>
        <v>Outside / Co-op</v>
      </c>
      <c r="D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Helper'!$F$5:$F$3004,"""")&lt;&gt;""""),ROWS(D$5:D38)),"""")"),"Form IV / Science / Nature — Science")</f>
        <v>Form IV / Science / Nature — Science</v>
      </c>
      <c r="E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Helper'!$F$5:$F$3004,"""")&lt;&gt;""""),ROWS(E$5:E38)),"""")"),"Biology Course")</f>
        <v>Biology Course</v>
      </c>
      <c r="F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Helper'!$F$5:$F$3004,"""")&lt;&gt;""""),ROWS(F$5:F38)),IF(AND(LEFT(x,5)=""Page "&amp;""",ISERROR(SEARCH(""–"",x))),x&amp;""–""&amp;REGEXEXTRACT(x,""[0-9]+$""),x)),"""")"),"Lesson 8")</f>
        <v>Lesson 8</v>
      </c>
      <c r="G38" s="8" t="s">
        <v>109</v>
      </c>
      <c r="H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Helper'!$F$5:$F$3004,"""")&lt;&gt;""""),ROWS(H$5:H38)),"""")"),"sample")</f>
        <v>sample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Helper'!$F$5:$F$3004,"""")&lt;&gt;""""),ROWS(A$5:A39)),"""")"),46308.0)</f>
        <v>46308</v>
      </c>
      <c r="B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Helper'!$F$5:$F$3004,"""")&lt;&gt;""""),ROWS(B$5:B39)),"""")"),"Jeremiah")</f>
        <v>Jeremiah</v>
      </c>
      <c r="C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Helper'!$F$5:$F$3004,"""")&lt;&gt;""""),ROWS(C$5:C39)),"""")"),"Outside / Co-op")</f>
        <v>Outside / Co-op</v>
      </c>
      <c r="D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Helper'!$F$5:$F$3004,"""")&lt;&gt;""""),ROWS(D$5:D39)),"""")"),"Form IV / Science / Nature — Science")</f>
        <v>Form IV / Science / Nature — Science</v>
      </c>
      <c r="E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Helper'!$F$5:$F$3004,"""")&lt;&gt;""""),ROWS(E$5:E39)),"""")"),"Biology Course")</f>
        <v>Biology Course</v>
      </c>
      <c r="F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Helper'!$F$5:$F$3004,"""")&lt;&gt;""""),ROWS(F$5:F39)),IF(AND(LEFT(x,5)=""Page "&amp;""",ISERROR(SEARCH(""–"",x))),x&amp;""–""&amp;REGEXEXTRACT(x,""[0-9]+$""),x)),"""")"),"Lesson 9")</f>
        <v>Lesson 9</v>
      </c>
      <c r="G39" s="8" t="s">
        <v>109</v>
      </c>
      <c r="H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Helper'!$F$5:$F$3004,"""")&lt;&gt;""""),ROWS(H$5:H39)),"""")"),"sample")</f>
        <v>sample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Helper'!$F$5:$F$3004,"""")&lt;&gt;""""),ROWS(A$5:A40)),"""")"),46315.0)</f>
        <v>46315</v>
      </c>
      <c r="B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Helper'!$F$5:$F$3004,"""")&lt;&gt;""""),ROWS(B$5:B40)),"""")"),"Jeremiah")</f>
        <v>Jeremiah</v>
      </c>
      <c r="C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Helper'!$F$5:$F$3004,"""")&lt;&gt;""""),ROWS(C$5:C40)),"""")"),"Outside / Co-op")</f>
        <v>Outside / Co-op</v>
      </c>
      <c r="D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Helper'!$F$5:$F$3004,"""")&lt;&gt;""""),ROWS(D$5:D40)),"""")"),"Form IV / Science / Nature — Science")</f>
        <v>Form IV / Science / Nature — Science</v>
      </c>
      <c r="E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Helper'!$F$5:$F$3004,"""")&lt;&gt;""""),ROWS(E$5:E40)),"""")"),"Biology Course")</f>
        <v>Biology Course</v>
      </c>
      <c r="F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Helper'!$F$5:$F$3004,"""")&lt;&gt;""""),ROWS(F$5:F40)),IF(AND(LEFT(x,5)=""Page "&amp;""",ISERROR(SEARCH(""–"",x))),x&amp;""–""&amp;REGEXEXTRACT(x,""[0-9]+$""),x)),"""")"),"Lesson 10")</f>
        <v>Lesson 10</v>
      </c>
      <c r="G40" s="8" t="s">
        <v>109</v>
      </c>
      <c r="H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Helper'!$F$5:$F$3004,"""")&lt;&gt;""""),ROWS(H$5:H40)),"""")"),"sample")</f>
        <v>sample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Helper'!$F$5:$F$3004,"""")&lt;&gt;""""),ROWS(A$5:A41)),"""")"),46329.0)</f>
        <v>46329</v>
      </c>
      <c r="B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Helper'!$F$5:$F$3004,"""")&lt;&gt;""""),ROWS(B$5:B41)),"""")"),"Jeremiah")</f>
        <v>Jeremiah</v>
      </c>
      <c r="C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Helper'!$F$5:$F$3004,"""")&lt;&gt;""""),ROWS(C$5:C41)),"""")"),"Outside / Co-op")</f>
        <v>Outside / Co-op</v>
      </c>
      <c r="D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Helper'!$F$5:$F$3004,"""")&lt;&gt;""""),ROWS(D$5:D41)),"""")"),"Form IV / Science / Nature — Science")</f>
        <v>Form IV / Science / Nature — Science</v>
      </c>
      <c r="E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Helper'!$F$5:$F$3004,"""")&lt;&gt;""""),ROWS(E$5:E41)),"""")"),"Biology Course")</f>
        <v>Biology Course</v>
      </c>
      <c r="F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Helper'!$F$5:$F$3004,"""")&lt;&gt;""""),ROWS(F$5:F41)),IF(AND(LEFT(x,5)=""Page "&amp;""",ISERROR(SEARCH(""–"",x))),x&amp;""–""&amp;REGEXEXTRACT(x,""[0-9]+$""),x)),"""")"),"Lesson 11")</f>
        <v>Lesson 11</v>
      </c>
      <c r="G41" s="8" t="s">
        <v>109</v>
      </c>
      <c r="H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Helper'!$F$5:$F$3004,"""")&lt;&gt;""""),ROWS(H$5:H41)),"""")"),"sample")</f>
        <v>sample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Helper'!$F$5:$F$3004,"""")&lt;&gt;""""),ROWS(A$5:A42)),"""")"),46336.0)</f>
        <v>46336</v>
      </c>
      <c r="B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Helper'!$F$5:$F$3004,"""")&lt;&gt;""""),ROWS(B$5:B42)),"""")"),"Jeremiah")</f>
        <v>Jeremiah</v>
      </c>
      <c r="C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Helper'!$F$5:$F$3004,"""")&lt;&gt;""""),ROWS(C$5:C42)),"""")"),"Outside / Co-op")</f>
        <v>Outside / Co-op</v>
      </c>
      <c r="D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Helper'!$F$5:$F$3004,"""")&lt;&gt;""""),ROWS(D$5:D42)),"""")"),"Form IV / Science / Nature — Science")</f>
        <v>Form IV / Science / Nature — Science</v>
      </c>
      <c r="E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Helper'!$F$5:$F$3004,"""")&lt;&gt;""""),ROWS(E$5:E42)),"""")"),"Biology Course")</f>
        <v>Biology Course</v>
      </c>
      <c r="F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Helper'!$F$5:$F$3004,"""")&lt;&gt;""""),ROWS(F$5:F42)),IF(AND(LEFT(x,5)=""Page "&amp;""",ISERROR(SEARCH(""–"",x))),x&amp;""–""&amp;REGEXEXTRACT(x,""[0-9]+$""),x)),"""")"),"Lesson 12")</f>
        <v>Lesson 12</v>
      </c>
      <c r="G42" s="8" t="s">
        <v>109</v>
      </c>
      <c r="H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Helper'!$F$5:$F$3004,"""")&lt;&gt;""""),ROWS(H$5:H42)),"""")"),"sample")</f>
        <v>sample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Helper'!$F$5:$F$3004,"""")&lt;&gt;""""),ROWS(A$5:A43)),"""")"),46343.0)</f>
        <v>46343</v>
      </c>
      <c r="B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Helper'!$F$5:$F$3004,"""")&lt;&gt;""""),ROWS(B$5:B43)),"""")"),"Jeremiah")</f>
        <v>Jeremiah</v>
      </c>
      <c r="C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Helper'!$F$5:$F$3004,"""")&lt;&gt;""""),ROWS(C$5:C43)),"""")"),"Outside / Co-op")</f>
        <v>Outside / Co-op</v>
      </c>
      <c r="D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Helper'!$F$5:$F$3004,"""")&lt;&gt;""""),ROWS(D$5:D43)),"""")"),"Form IV / Science / Nature — Science")</f>
        <v>Form IV / Science / Nature — Science</v>
      </c>
      <c r="E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Helper'!$F$5:$F$3004,"""")&lt;&gt;""""),ROWS(E$5:E43)),"""")"),"Biology Course")</f>
        <v>Biology Course</v>
      </c>
      <c r="F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Helper'!$F$5:$F$3004,"""")&lt;&gt;""""),ROWS(F$5:F43)),IF(AND(LEFT(x,5)=""Page "&amp;""",ISERROR(SEARCH(""–"",x))),x&amp;""–""&amp;REGEXEXTRACT(x,""[0-9]+$""),x)),"""")"),"Lesson 13")</f>
        <v>Lesson 13</v>
      </c>
      <c r="G43" s="8" t="s">
        <v>109</v>
      </c>
      <c r="H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Helper'!$F$5:$F$3004,"""")&lt;&gt;""""),ROWS(H$5:H43)),"""")"),"sample")</f>
        <v>sample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Helper'!$F$5:$F$3004,"""")&lt;&gt;""""),ROWS(A$5:A44)),"""")"),46350.0)</f>
        <v>46350</v>
      </c>
      <c r="B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Helper'!$F$5:$F$3004,"""")&lt;&gt;""""),ROWS(B$5:B44)),"""")"),"Jeremiah")</f>
        <v>Jeremiah</v>
      </c>
      <c r="C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Helper'!$F$5:$F$3004,"""")&lt;&gt;""""),ROWS(C$5:C44)),"""")"),"Outside / Co-op")</f>
        <v>Outside / Co-op</v>
      </c>
      <c r="D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Helper'!$F$5:$F$3004,"""")&lt;&gt;""""),ROWS(D$5:D44)),"""")"),"Form IV / Science / Nature — Science")</f>
        <v>Form IV / Science / Nature — Science</v>
      </c>
      <c r="E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Helper'!$F$5:$F$3004,"""")&lt;&gt;""""),ROWS(E$5:E44)),"""")"),"Biology Course")</f>
        <v>Biology Course</v>
      </c>
      <c r="F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Helper'!$F$5:$F$3004,"""")&lt;&gt;""""),ROWS(F$5:F44)),IF(AND(LEFT(x,5)=""Page "&amp;""",ISERROR(SEARCH(""–"",x))),x&amp;""–""&amp;REGEXEXTRACT(x,""[0-9]+$""),x)),"""")"),"Lesson 14")</f>
        <v>Lesson 14</v>
      </c>
      <c r="G44" s="8" t="s">
        <v>109</v>
      </c>
      <c r="H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Helper'!$F$5:$F$3004,"""")&lt;&gt;""""),ROWS(H$5:H44)),"""")"),"sample")</f>
        <v>sample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Helper'!$F$5:$F$3004,"""")&lt;&gt;""""),ROWS(A$5:A45)),"""")"),46357.0)</f>
        <v>46357</v>
      </c>
      <c r="B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Helper'!$F$5:$F$3004,"""")&lt;&gt;""""),ROWS(B$5:B45)),"""")"),"Jeremiah")</f>
        <v>Jeremiah</v>
      </c>
      <c r="C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Helper'!$F$5:$F$3004,"""")&lt;&gt;""""),ROWS(C$5:C45)),"""")"),"Outside / Co-op")</f>
        <v>Outside / Co-op</v>
      </c>
      <c r="D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Helper'!$F$5:$F$3004,"""")&lt;&gt;""""),ROWS(D$5:D45)),"""")"),"Form IV / Science / Nature — Science")</f>
        <v>Form IV / Science / Nature — Science</v>
      </c>
      <c r="E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Helper'!$F$5:$F$3004,"""")&lt;&gt;""""),ROWS(E$5:E45)),"""")"),"Biology Course")</f>
        <v>Biology Course</v>
      </c>
      <c r="F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Helper'!$F$5:$F$3004,"""")&lt;&gt;""""),ROWS(F$5:F45)),IF(AND(LEFT(x,5)=""Page "&amp;""",ISERROR(SEARCH(""–"",x))),x&amp;""–""&amp;REGEXEXTRACT(x,""[0-9]+$""),x)),"""")"),"Lesson 15")</f>
        <v>Lesson 15</v>
      </c>
      <c r="G45" s="8" t="s">
        <v>109</v>
      </c>
      <c r="H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Helper'!$F$5:$F$3004,"""")&lt;&gt;""""),ROWS(H$5:H45)),"""")"),"sample")</f>
        <v>sample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Helper'!$F$5:$F$3004,"""")&lt;&gt;""""),ROWS(A$5:A46)),"""")"),46364.0)</f>
        <v>46364</v>
      </c>
      <c r="B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Helper'!$F$5:$F$3004,"""")&lt;&gt;""""),ROWS(B$5:B46)),"""")"),"Jeremiah")</f>
        <v>Jeremiah</v>
      </c>
      <c r="C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Helper'!$F$5:$F$3004,"""")&lt;&gt;""""),ROWS(C$5:C46)),"""")"),"Outside / Co-op")</f>
        <v>Outside / Co-op</v>
      </c>
      <c r="D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Helper'!$F$5:$F$3004,"""")&lt;&gt;""""),ROWS(D$5:D46)),"""")"),"Form IV / Science / Nature — Science")</f>
        <v>Form IV / Science / Nature — Science</v>
      </c>
      <c r="E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Helper'!$F$5:$F$3004,"""")&lt;&gt;""""),ROWS(E$5:E46)),"""")"),"Biology Course")</f>
        <v>Biology Course</v>
      </c>
      <c r="F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Helper'!$F$5:$F$3004,"""")&lt;&gt;""""),ROWS(F$5:F46)),IF(AND(LEFT(x,5)=""Page "&amp;""",ISERROR(SEARCH(""–"",x))),x&amp;""–""&amp;REGEXEXTRACT(x,""[0-9]+$""),x)),"""")"),"Lesson 16")</f>
        <v>Lesson 16</v>
      </c>
      <c r="G46" s="8" t="s">
        <v>109</v>
      </c>
      <c r="H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Helper'!$F$5:$F$3004,"""")&lt;&gt;""""),ROWS(H$5:H46)),"""")"),"sample")</f>
        <v>sample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Helper'!$F$5:$F$3004,"""")&lt;&gt;""""),ROWS(A$5:A47)),"""")"),46371.0)</f>
        <v>46371</v>
      </c>
      <c r="B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Helper'!$F$5:$F$3004,"""")&lt;&gt;""""),ROWS(B$5:B47)),"""")"),"Jeremiah")</f>
        <v>Jeremiah</v>
      </c>
      <c r="C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Helper'!$F$5:$F$3004,"""")&lt;&gt;""""),ROWS(C$5:C47)),"""")"),"Outside / Co-op")</f>
        <v>Outside / Co-op</v>
      </c>
      <c r="D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Helper'!$F$5:$F$3004,"""")&lt;&gt;""""),ROWS(D$5:D47)),"""")"),"Form IV / Science / Nature — Science")</f>
        <v>Form IV / Science / Nature — Science</v>
      </c>
      <c r="E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Helper'!$F$5:$F$3004,"""")&lt;&gt;""""),ROWS(E$5:E47)),"""")"),"Biology Course")</f>
        <v>Biology Course</v>
      </c>
      <c r="F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Helper'!$F$5:$F$3004,"""")&lt;&gt;""""),ROWS(F$5:F47)),IF(AND(LEFT(x,5)=""Page "&amp;""",ISERROR(SEARCH(""–"",x))),x&amp;""–""&amp;REGEXEXTRACT(x,""[0-9]+$""),x)),"""")"),"Lesson 17")</f>
        <v>Lesson 17</v>
      </c>
      <c r="G47" s="8" t="s">
        <v>109</v>
      </c>
      <c r="H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Helper'!$F$5:$F$3004,"""")&lt;&gt;""""),ROWS(H$5:H47)),"""")"),"sample")</f>
        <v>sample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Helper'!$F$5:$F$3004,"""")&lt;&gt;""""),ROWS(A$5:A48)),"""")"),46378.0)</f>
        <v>46378</v>
      </c>
      <c r="B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Helper'!$F$5:$F$3004,"""")&lt;&gt;""""),ROWS(B$5:B48)),"""")"),"Jeremiah")</f>
        <v>Jeremiah</v>
      </c>
      <c r="C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Helper'!$F$5:$F$3004,"""")&lt;&gt;""""),ROWS(C$5:C48)),"""")"),"Outside / Co-op")</f>
        <v>Outside / Co-op</v>
      </c>
      <c r="D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Helper'!$F$5:$F$3004,"""")&lt;&gt;""""),ROWS(D$5:D48)),"""")"),"Form IV / Science / Nature — Science")</f>
        <v>Form IV / Science / Nature — Science</v>
      </c>
      <c r="E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Helper'!$F$5:$F$3004,"""")&lt;&gt;""""),ROWS(E$5:E48)),"""")"),"Biology Course")</f>
        <v>Biology Course</v>
      </c>
      <c r="F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Helper'!$F$5:$F$3004,"""")&lt;&gt;""""),ROWS(F$5:F48)),IF(AND(LEFT(x,5)=""Page "&amp;""",ISERROR(SEARCH(""–"",x))),x&amp;""–""&amp;REGEXEXTRACT(x,""[0-9]+$""),x)),"""")"),"Lesson 18")</f>
        <v>Lesson 18</v>
      </c>
      <c r="G48" s="8" t="s">
        <v>109</v>
      </c>
      <c r="H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Helper'!$F$5:$F$3004,"""")&lt;&gt;""""),ROWS(H$5:H48)),"""")"),"sample")</f>
        <v>sample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Helper'!$F$5:$F$3004,"""")&lt;&gt;""""),ROWS(A$5:A49)),"""")"),46385.0)</f>
        <v>46385</v>
      </c>
      <c r="B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Helper'!$F$5:$F$3004,"""")&lt;&gt;""""),ROWS(B$5:B49)),"""")"),"Jeremiah")</f>
        <v>Jeremiah</v>
      </c>
      <c r="C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Helper'!$F$5:$F$3004,"""")&lt;&gt;""""),ROWS(C$5:C49)),"""")"),"Outside / Co-op")</f>
        <v>Outside / Co-op</v>
      </c>
      <c r="D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Helper'!$F$5:$F$3004,"""")&lt;&gt;""""),ROWS(D$5:D49)),"""")"),"Form IV / Science / Nature — Science")</f>
        <v>Form IV / Science / Nature — Science</v>
      </c>
      <c r="E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Helper'!$F$5:$F$3004,"""")&lt;&gt;""""),ROWS(E$5:E49)),"""")"),"Biology Course")</f>
        <v>Biology Course</v>
      </c>
      <c r="F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Helper'!$F$5:$F$3004,"""")&lt;&gt;""""),ROWS(F$5:F49)),IF(AND(LEFT(x,5)=""Page "&amp;""",ISERROR(SEARCH(""–"",x))),x&amp;""–""&amp;REGEXEXTRACT(x,""[0-9]+$""),x)),"""")"),"Lesson 19")</f>
        <v>Lesson 19</v>
      </c>
      <c r="G49" s="8" t="s">
        <v>109</v>
      </c>
      <c r="H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Helper'!$F$5:$F$3004,"""")&lt;&gt;""""),ROWS(H$5:H49)),"""")"),"sample")</f>
        <v>sample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Helper'!$F$5:$F$3004,"""")&lt;&gt;""""),ROWS(A$5:A50)),"""")"),46392.0)</f>
        <v>46392</v>
      </c>
      <c r="B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Helper'!$F$5:$F$3004,"""")&lt;&gt;""""),ROWS(B$5:B50)),"""")"),"Jeremiah")</f>
        <v>Jeremiah</v>
      </c>
      <c r="C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Helper'!$F$5:$F$3004,"""")&lt;&gt;""""),ROWS(C$5:C50)),"""")"),"Outside / Co-op")</f>
        <v>Outside / Co-op</v>
      </c>
      <c r="D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Helper'!$F$5:$F$3004,"""")&lt;&gt;""""),ROWS(D$5:D50)),"""")"),"Form IV / Science / Nature — Science")</f>
        <v>Form IV / Science / Nature — Science</v>
      </c>
      <c r="E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Helper'!$F$5:$F$3004,"""")&lt;&gt;""""),ROWS(E$5:E50)),"""")"),"Biology Course")</f>
        <v>Biology Course</v>
      </c>
      <c r="F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Helper'!$F$5:$F$3004,"""")&lt;&gt;""""),ROWS(F$5:F50)),IF(AND(LEFT(x,5)=""Page "&amp;""",ISERROR(SEARCH(""–"",x))),x&amp;""–""&amp;REGEXEXTRACT(x,""[0-9]+$""),x)),"""")"),"Lesson 20")</f>
        <v>Lesson 20</v>
      </c>
      <c r="G50" s="8" t="s">
        <v>109</v>
      </c>
      <c r="H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Helper'!$F$5:$F$3004,"""")&lt;&gt;""""),ROWS(H$5:H50)),"""")"),"sample")</f>
        <v>sample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Helper'!$F$5:$F$3004,"""")&lt;&gt;""""),ROWS(A$5:A51)),"""")"),46252.0)</f>
        <v>46252</v>
      </c>
      <c r="B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Helper'!$F$5:$F$3004,"""")&lt;&gt;""""),ROWS(B$5:B51)),"""")"),"Everyone")</f>
        <v>Everyone</v>
      </c>
      <c r="C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Helper'!$F$5:$F$3004,"""")&lt;&gt;""""),ROWS(C$5:C51)),"""")"),"Reading Loop")</f>
        <v>Reading Loop</v>
      </c>
      <c r="D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Helper'!$F$5:$F$3004,"""")&lt;&gt;""""),ROWS(D$5:D51)),"""")"),"Form I / Literature — Tales / Fairy Tales / Myths")</f>
        <v>Form I / Literature — Tales / Fairy Tales / Myths</v>
      </c>
      <c r="E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Helper'!$F$5:$F$3004,"""")&lt;&gt;""""),ROWS(E$5:E51)),"""")"),"Goobers")</f>
        <v>Goobers</v>
      </c>
      <c r="F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Helper'!$F$5:$F$3004,"""")&lt;&gt;""""),ROWS(F$5:F51)),IF(AND(LEFT(x,5)=""Page "&amp;""",ISERROR(SEARCH(""–"",x))),x&amp;""–""&amp;REGEXEXTRACT(x,""[0-9]+$""),x)),"""")"),"Page 1–15")</f>
        <v>Page 1–15</v>
      </c>
      <c r="G51" s="8" t="s">
        <v>109</v>
      </c>
      <c r="H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Helper'!$F$5:$F$3004,"""")&lt;&gt;""""),ROWS(H$5:H51)),"""")"),"sample")</f>
        <v>sample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Helper'!$F$5:$F$3004,"""")&lt;&gt;""""),ROWS(A$5:A52)),"""")"),46259.0)</f>
        <v>46259</v>
      </c>
      <c r="B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Helper'!$F$5:$F$3004,"""")&lt;&gt;""""),ROWS(B$5:B52)),"""")"),"Everyone")</f>
        <v>Everyone</v>
      </c>
      <c r="C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Helper'!$F$5:$F$3004,"""")&lt;&gt;""""),ROWS(C$5:C52)),"""")"),"Reading Loop")</f>
        <v>Reading Loop</v>
      </c>
      <c r="D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Helper'!$F$5:$F$3004,"""")&lt;&gt;""""),ROWS(D$5:D52)),"""")"),"Form I / Literature — Tales / Fairy Tales / Myths")</f>
        <v>Form I / Literature — Tales / Fairy Tales / Myths</v>
      </c>
      <c r="E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Helper'!$F$5:$F$3004,"""")&lt;&gt;""""),ROWS(E$5:E52)),"""")"),"Goobers")</f>
        <v>Goobers</v>
      </c>
      <c r="F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Helper'!$F$5:$F$3004,"""")&lt;&gt;""""),ROWS(F$5:F52)),IF(AND(LEFT(x,5)=""Page "&amp;""",ISERROR(SEARCH(""–"",x))),x&amp;""–""&amp;REGEXEXTRACT(x,""[0-9]+$""),x)),"""")"),"Page 16–30")</f>
        <v>Page 16–30</v>
      </c>
      <c r="G52" s="8" t="s">
        <v>109</v>
      </c>
      <c r="H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Helper'!$F$5:$F$3004,"""")&lt;&gt;""""),ROWS(H$5:H52)),"""")"),"sample")</f>
        <v>sample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Helper'!$F$5:$F$3004,"""")&lt;&gt;""""),ROWS(A$5:A53)),"""")"),46266.0)</f>
        <v>46266</v>
      </c>
      <c r="B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Helper'!$F$5:$F$3004,"""")&lt;&gt;""""),ROWS(B$5:B53)),"""")"),"Everyone")</f>
        <v>Everyone</v>
      </c>
      <c r="C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Helper'!$F$5:$F$3004,"""")&lt;&gt;""""),ROWS(C$5:C53)),"""")"),"Reading Loop")</f>
        <v>Reading Loop</v>
      </c>
      <c r="D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Helper'!$F$5:$F$3004,"""")&lt;&gt;""""),ROWS(D$5:D53)),"""")"),"Form I / Literature — Tales / Fairy Tales / Myths")</f>
        <v>Form I / Literature — Tales / Fairy Tales / Myths</v>
      </c>
      <c r="E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Helper'!$F$5:$F$3004,"""")&lt;&gt;""""),ROWS(E$5:E53)),"""")"),"Goobers")</f>
        <v>Goobers</v>
      </c>
      <c r="F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Helper'!$F$5:$F$3004,"""")&lt;&gt;""""),ROWS(F$5:F53)),IF(AND(LEFT(x,5)=""Page "&amp;""",ISERROR(SEARCH(""–"",x))),x&amp;""–""&amp;REGEXEXTRACT(x,""[0-9]+$""),x)),"""")"),"Page 31–45")</f>
        <v>Page 31–45</v>
      </c>
      <c r="G53" s="8" t="s">
        <v>109</v>
      </c>
      <c r="H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Helper'!$F$5:$F$3004,"""")&lt;&gt;""""),ROWS(H$5:H53)),"""")"),"sample")</f>
        <v>sample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Helper'!$F$5:$F$3004,"""")&lt;&gt;""""),ROWS(A$5:A54)),"""")"),46273.0)</f>
        <v>46273</v>
      </c>
      <c r="B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Helper'!$F$5:$F$3004,"""")&lt;&gt;""""),ROWS(B$5:B54)),"""")"),"Everyone")</f>
        <v>Everyone</v>
      </c>
      <c r="C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Helper'!$F$5:$F$3004,"""")&lt;&gt;""""),ROWS(C$5:C54)),"""")"),"Reading Loop")</f>
        <v>Reading Loop</v>
      </c>
      <c r="D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Helper'!$F$5:$F$3004,"""")&lt;&gt;""""),ROWS(D$5:D54)),"""")"),"Form I / Literature — Tales / Fairy Tales / Myths")</f>
        <v>Form I / Literature — Tales / Fairy Tales / Myths</v>
      </c>
      <c r="E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Helper'!$F$5:$F$3004,"""")&lt;&gt;""""),ROWS(E$5:E54)),"""")"),"Goobers")</f>
        <v>Goobers</v>
      </c>
      <c r="F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Helper'!$F$5:$F$3004,"""")&lt;&gt;""""),ROWS(F$5:F54)),IF(AND(LEFT(x,5)=""Page "&amp;""",ISERROR(SEARCH(""–"",x))),x&amp;""–""&amp;REGEXEXTRACT(x,""[0-9]+$""),x)),"""")"),"Page 46–60")</f>
        <v>Page 46–60</v>
      </c>
      <c r="G54" s="8" t="s">
        <v>109</v>
      </c>
      <c r="H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Helper'!$F$5:$F$3004,"""")&lt;&gt;""""),ROWS(H$5:H54)),"""")"),"sample")</f>
        <v>sample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Helper'!$F$5:$F$3004,"""")&lt;&gt;""""),ROWS(A$5:A55)),"""")"),46280.0)</f>
        <v>46280</v>
      </c>
      <c r="B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Helper'!$F$5:$F$3004,"""")&lt;&gt;""""),ROWS(B$5:B55)),"""")"),"Everyone")</f>
        <v>Everyone</v>
      </c>
      <c r="C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Helper'!$F$5:$F$3004,"""")&lt;&gt;""""),ROWS(C$5:C55)),"""")"),"Reading Loop")</f>
        <v>Reading Loop</v>
      </c>
      <c r="D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Helper'!$F$5:$F$3004,"""")&lt;&gt;""""),ROWS(D$5:D55)),"""")"),"Form I / Literature — Tales / Fairy Tales / Myths")</f>
        <v>Form I / Literature — Tales / Fairy Tales / Myths</v>
      </c>
      <c r="E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Helper'!$F$5:$F$3004,"""")&lt;&gt;""""),ROWS(E$5:E55)),"""")"),"Goobers")</f>
        <v>Goobers</v>
      </c>
      <c r="F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Helper'!$F$5:$F$3004,"""")&lt;&gt;""""),ROWS(F$5:F55)),IF(AND(LEFT(x,5)=""Page "&amp;""",ISERROR(SEARCH(""–"",x))),x&amp;""–""&amp;REGEXEXTRACT(x,""[0-9]+$""),x)),"""")"),"Page 61–75")</f>
        <v>Page 61–75</v>
      </c>
      <c r="G55" s="8" t="s">
        <v>109</v>
      </c>
      <c r="H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Helper'!$F$5:$F$3004,"""")&lt;&gt;""""),ROWS(H$5:H55)),"""")"),"sample")</f>
        <v>sample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Helper'!$F$5:$F$3004,"""")&lt;&gt;""""),ROWS(A$5:A56)),"""")"),46287.0)</f>
        <v>46287</v>
      </c>
      <c r="B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Helper'!$F$5:$F$3004,"""")&lt;&gt;""""),ROWS(B$5:B56)),"""")"),"Everyone")</f>
        <v>Everyone</v>
      </c>
      <c r="C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Helper'!$F$5:$F$3004,"""")&lt;&gt;""""),ROWS(C$5:C56)),"""")"),"Reading Loop")</f>
        <v>Reading Loop</v>
      </c>
      <c r="D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Helper'!$F$5:$F$3004,"""")&lt;&gt;""""),ROWS(D$5:D56)),"""")"),"Form I / Literature — Tales / Fairy Tales / Myths")</f>
        <v>Form I / Literature — Tales / Fairy Tales / Myths</v>
      </c>
      <c r="E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Helper'!$F$5:$F$3004,"""")&lt;&gt;""""),ROWS(E$5:E56)),"""")"),"Goobers")</f>
        <v>Goobers</v>
      </c>
      <c r="F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Helper'!$F$5:$F$3004,"""")&lt;&gt;""""),ROWS(F$5:F56)),IF(AND(LEFT(x,5)=""Page "&amp;""",ISERROR(SEARCH(""–"",x))),x&amp;""–""&amp;REGEXEXTRACT(x,""[0-9]+$""),x)),"""")"),"Page 76–90")</f>
        <v>Page 76–90</v>
      </c>
      <c r="G56" s="8" t="s">
        <v>109</v>
      </c>
      <c r="H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Helper'!$F$5:$F$3004,"""")&lt;&gt;""""),ROWS(H$5:H56)),"""")"),"sample")</f>
        <v>sample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Helper'!$F$5:$F$3004,"""")&lt;&gt;""""),ROWS(A$5:A57)),"""")"),46294.0)</f>
        <v>46294</v>
      </c>
      <c r="B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Helper'!$F$5:$F$3004,"""")&lt;&gt;""""),ROWS(B$5:B57)),"""")"),"Everyone")</f>
        <v>Everyone</v>
      </c>
      <c r="C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Helper'!$F$5:$F$3004,"""")&lt;&gt;""""),ROWS(C$5:C57)),"""")"),"Reading Loop")</f>
        <v>Reading Loop</v>
      </c>
      <c r="D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Helper'!$F$5:$F$3004,"""")&lt;&gt;""""),ROWS(D$5:D57)),"""")"),"Form I / Literature — Tales / Fairy Tales / Myths")</f>
        <v>Form I / Literature — Tales / Fairy Tales / Myths</v>
      </c>
      <c r="E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Helper'!$F$5:$F$3004,"""")&lt;&gt;""""),ROWS(E$5:E57)),"""")"),"Goobers")</f>
        <v>Goobers</v>
      </c>
      <c r="F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Helper'!$F$5:$F$3004,"""")&lt;&gt;""""),ROWS(F$5:F57)),IF(AND(LEFT(x,5)=""Page "&amp;""",ISERROR(SEARCH(""–"",x))),x&amp;""–""&amp;REGEXEXTRACT(x,""[0-9]+$""),x)),"""")"),"Page 91–105")</f>
        <v>Page 91–105</v>
      </c>
      <c r="G57" s="8" t="s">
        <v>109</v>
      </c>
      <c r="H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Helper'!$F$5:$F$3004,"""")&lt;&gt;""""),ROWS(H$5:H57)),"""")"),"sample")</f>
        <v>sample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Helper'!$F$5:$F$3004,"""")&lt;&gt;""""),ROWS(A$5:A58)),"""")"),46301.0)</f>
        <v>46301</v>
      </c>
      <c r="B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Helper'!$F$5:$F$3004,"""")&lt;&gt;""""),ROWS(B$5:B58)),"""")"),"Everyone")</f>
        <v>Everyone</v>
      </c>
      <c r="C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Helper'!$F$5:$F$3004,"""")&lt;&gt;""""),ROWS(C$5:C58)),"""")"),"Reading Loop")</f>
        <v>Reading Loop</v>
      </c>
      <c r="D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Helper'!$F$5:$F$3004,"""")&lt;&gt;""""),ROWS(D$5:D58)),"""")"),"Form I / Literature — Tales / Fairy Tales / Myths")</f>
        <v>Form I / Literature — Tales / Fairy Tales / Myths</v>
      </c>
      <c r="E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Helper'!$F$5:$F$3004,"""")&lt;&gt;""""),ROWS(E$5:E58)),"""")"),"Goobers")</f>
        <v>Goobers</v>
      </c>
      <c r="F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Helper'!$F$5:$F$3004,"""")&lt;&gt;""""),ROWS(F$5:F58)),IF(AND(LEFT(x,5)=""Page "&amp;""",ISERROR(SEARCH(""–"",x))),x&amp;""–""&amp;REGEXEXTRACT(x,""[0-9]+$""),x)),"""")"),"Page 106–120")</f>
        <v>Page 106–120</v>
      </c>
      <c r="G58" s="8" t="s">
        <v>109</v>
      </c>
      <c r="H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Helper'!$F$5:$F$3004,"""")&lt;&gt;""""),ROWS(H$5:H58)),"""")"),"sample")</f>
        <v>sample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Helper'!$F$5:$F$3004,"""")&lt;&gt;""""),ROWS(A$5:A59)),"""")"),46308.0)</f>
        <v>46308</v>
      </c>
      <c r="B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Helper'!$F$5:$F$3004,"""")&lt;&gt;""""),ROWS(B$5:B59)),"""")"),"Everyone")</f>
        <v>Everyone</v>
      </c>
      <c r="C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Helper'!$F$5:$F$3004,"""")&lt;&gt;""""),ROWS(C$5:C59)),"""")"),"Reading Loop")</f>
        <v>Reading Loop</v>
      </c>
      <c r="D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Helper'!$F$5:$F$3004,"""")&lt;&gt;""""),ROWS(D$5:D59)),"""")"),"Form I / Literature — Tales / Fairy Tales / Myths")</f>
        <v>Form I / Literature — Tales / Fairy Tales / Myths</v>
      </c>
      <c r="E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Helper'!$F$5:$F$3004,"""")&lt;&gt;""""),ROWS(E$5:E59)),"""")"),"Goobers")</f>
        <v>Goobers</v>
      </c>
      <c r="F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Helper'!$F$5:$F$3004,"""")&lt;&gt;""""),ROWS(F$5:F59)),IF(AND(LEFT(x,5)=""Page "&amp;""",ISERROR(SEARCH(""–"",x))),x&amp;""–""&amp;REGEXEXTRACT(x,""[0-9]+$""),x)),"""")"),"Page 121–135")</f>
        <v>Page 121–135</v>
      </c>
      <c r="G59" s="8" t="s">
        <v>109</v>
      </c>
      <c r="H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Helper'!$F$5:$F$3004,"""")&lt;&gt;""""),ROWS(H$5:H59)),"""")"),"sample")</f>
        <v>sample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Helper'!$F$5:$F$3004,"""")&lt;&gt;""""),ROWS(A$5:A60)),"""")"),46315.0)</f>
        <v>46315</v>
      </c>
      <c r="B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Helper'!$F$5:$F$3004,"""")&lt;&gt;""""),ROWS(B$5:B60)),"""")"),"Everyone")</f>
        <v>Everyone</v>
      </c>
      <c r="C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Helper'!$F$5:$F$3004,"""")&lt;&gt;""""),ROWS(C$5:C60)),"""")"),"Reading Loop")</f>
        <v>Reading Loop</v>
      </c>
      <c r="D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Helper'!$F$5:$F$3004,"""")&lt;&gt;""""),ROWS(D$5:D60)),"""")"),"Form I / Literature — Tales / Fairy Tales / Myths")</f>
        <v>Form I / Literature — Tales / Fairy Tales / Myths</v>
      </c>
      <c r="E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Helper'!$F$5:$F$3004,"""")&lt;&gt;""""),ROWS(E$5:E60)),"""")"),"Goobers")</f>
        <v>Goobers</v>
      </c>
      <c r="F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Helper'!$F$5:$F$3004,"""")&lt;&gt;""""),ROWS(F$5:F60)),IF(AND(LEFT(x,5)=""Page "&amp;""",ISERROR(SEARCH(""–"",x))),x&amp;""–""&amp;REGEXEXTRACT(x,""[0-9]+$""),x)),"""")"),"Page 136–150")</f>
        <v>Page 136–150</v>
      </c>
      <c r="G60" s="8" t="s">
        <v>109</v>
      </c>
      <c r="H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Helper'!$F$5:$F$3004,"""")&lt;&gt;""""),ROWS(H$5:H60)),"""")"),"sample")</f>
        <v>sample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Helper'!$F$5:$F$3004,"""")&lt;&gt;""""),ROWS(A$5:A61)),"""")"),46329.0)</f>
        <v>46329</v>
      </c>
      <c r="B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Helper'!$F$5:$F$3004,"""")&lt;&gt;""""),ROWS(B$5:B61)),"""")"),"Everyone")</f>
        <v>Everyone</v>
      </c>
      <c r="C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Helper'!$F$5:$F$3004,"""")&lt;&gt;""""),ROWS(C$5:C61)),"""")"),"Reading Loop")</f>
        <v>Reading Loop</v>
      </c>
      <c r="D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Helper'!$F$5:$F$3004,"""")&lt;&gt;""""),ROWS(D$5:D61)),"""")"),"Form I / Literature — Tales / Fairy Tales / Myths")</f>
        <v>Form I / Literature — Tales / Fairy Tales / Myths</v>
      </c>
      <c r="E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Helper'!$F$5:$F$3004,"""")&lt;&gt;""""),ROWS(E$5:E61)),"""")"),"Goobers")</f>
        <v>Goobers</v>
      </c>
      <c r="F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Helper'!$F$5:$F$3004,"""")&lt;&gt;""""),ROWS(F$5:F61)),IF(AND(LEFT(x,5)=""Page "&amp;""",ISERROR(SEARCH(""–"",x))),x&amp;""–""&amp;REGEXEXTRACT(x,""[0-9]+$""),x)),"""")"),"Page 151–165")</f>
        <v>Page 151–165</v>
      </c>
      <c r="G61" s="8" t="s">
        <v>109</v>
      </c>
      <c r="H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Helper'!$F$5:$F$3004,"""")&lt;&gt;""""),ROWS(H$5:H61)),"""")"),"sample")</f>
        <v>sample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Helper'!$F$5:$F$3004,"""")&lt;&gt;""""),ROWS(A$5:A62)),"""")"),46336.0)</f>
        <v>46336</v>
      </c>
      <c r="B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Helper'!$F$5:$F$3004,"""")&lt;&gt;""""),ROWS(B$5:B62)),"""")"),"Everyone")</f>
        <v>Everyone</v>
      </c>
      <c r="C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Helper'!$F$5:$F$3004,"""")&lt;&gt;""""),ROWS(C$5:C62)),"""")"),"Reading Loop")</f>
        <v>Reading Loop</v>
      </c>
      <c r="D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Helper'!$F$5:$F$3004,"""")&lt;&gt;""""),ROWS(D$5:D62)),"""")"),"Form I / Literature — Tales / Fairy Tales / Myths")</f>
        <v>Form I / Literature — Tales / Fairy Tales / Myths</v>
      </c>
      <c r="E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Helper'!$F$5:$F$3004,"""")&lt;&gt;""""),ROWS(E$5:E62)),"""")"),"Goobers")</f>
        <v>Goobers</v>
      </c>
      <c r="F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Helper'!$F$5:$F$3004,"""")&lt;&gt;""""),ROWS(F$5:F62)),IF(AND(LEFT(x,5)=""Page "&amp;""",ISERROR(SEARCH(""–"",x))),x&amp;""–""&amp;REGEXEXTRACT(x,""[0-9]+$""),x)),"""")"),"Page 166–180")</f>
        <v>Page 166–180</v>
      </c>
      <c r="G62" s="8" t="s">
        <v>109</v>
      </c>
      <c r="H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Helper'!$F$5:$F$3004,"""")&lt;&gt;""""),ROWS(H$5:H62)),"""")"),"sample")</f>
        <v>sample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Helper'!$F$5:$F$3004,"""")&lt;&gt;""""),ROWS(A$5:A63)),"""")"),46343.0)</f>
        <v>46343</v>
      </c>
      <c r="B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Helper'!$F$5:$F$3004,"""")&lt;&gt;""""),ROWS(B$5:B63)),"""")"),"Everyone")</f>
        <v>Everyone</v>
      </c>
      <c r="C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Helper'!$F$5:$F$3004,"""")&lt;&gt;""""),ROWS(C$5:C63)),"""")"),"Reading Loop")</f>
        <v>Reading Loop</v>
      </c>
      <c r="D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Helper'!$F$5:$F$3004,"""")&lt;&gt;""""),ROWS(D$5:D63)),"""")"),"Form I / Literature — Tales / Fairy Tales / Myths")</f>
        <v>Form I / Literature — Tales / Fairy Tales / Myths</v>
      </c>
      <c r="E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Helper'!$F$5:$F$3004,"""")&lt;&gt;""""),ROWS(E$5:E63)),"""")"),"Goobers")</f>
        <v>Goobers</v>
      </c>
      <c r="F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Helper'!$F$5:$F$3004,"""")&lt;&gt;""""),ROWS(F$5:F63)),IF(AND(LEFT(x,5)=""Page "&amp;""",ISERROR(SEARCH(""–"",x))),x&amp;""–""&amp;REGEXEXTRACT(x,""[0-9]+$""),x)),"""")"),"Page 181–195")</f>
        <v>Page 181–195</v>
      </c>
      <c r="G63" s="8" t="s">
        <v>109</v>
      </c>
      <c r="H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Helper'!$F$5:$F$3004,"""")&lt;&gt;""""),ROWS(H$5:H63)),"""")"),"sample")</f>
        <v>sample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Helper'!$F$5:$F$3004,"""")&lt;&gt;""""),ROWS(A$5:A64)),"""")"),46350.0)</f>
        <v>46350</v>
      </c>
      <c r="B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Helper'!$F$5:$F$3004,"""")&lt;&gt;""""),ROWS(B$5:B64)),"""")"),"Everyone")</f>
        <v>Everyone</v>
      </c>
      <c r="C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Helper'!$F$5:$F$3004,"""")&lt;&gt;""""),ROWS(C$5:C64)),"""")"),"Reading Loop")</f>
        <v>Reading Loop</v>
      </c>
      <c r="D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Helper'!$F$5:$F$3004,"""")&lt;&gt;""""),ROWS(D$5:D64)),"""")"),"Form I / Literature — Tales / Fairy Tales / Myths")</f>
        <v>Form I / Literature — Tales / Fairy Tales / Myths</v>
      </c>
      <c r="E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Helper'!$F$5:$F$3004,"""")&lt;&gt;""""),ROWS(E$5:E64)),"""")"),"Goobers")</f>
        <v>Goobers</v>
      </c>
      <c r="F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Helper'!$F$5:$F$3004,"""")&lt;&gt;""""),ROWS(F$5:F64)),IF(AND(LEFT(x,5)=""Page "&amp;""",ISERROR(SEARCH(""–"",x))),x&amp;""–""&amp;REGEXEXTRACT(x,""[0-9]+$""),x)),"""")"),"Page 196–210")</f>
        <v>Page 196–210</v>
      </c>
      <c r="G64" s="8" t="s">
        <v>109</v>
      </c>
      <c r="H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Helper'!$F$5:$F$3004,"""")&lt;&gt;""""),ROWS(H$5:H64)),"""")"),"sample")</f>
        <v>sample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Helper'!$F$5:$F$3004,"""")&lt;&gt;""""),ROWS(A$5:A65)),"""")"),46357.0)</f>
        <v>46357</v>
      </c>
      <c r="B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Helper'!$F$5:$F$3004,"""")&lt;&gt;""""),ROWS(B$5:B65)),"""")"),"Everyone")</f>
        <v>Everyone</v>
      </c>
      <c r="C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Helper'!$F$5:$F$3004,"""")&lt;&gt;""""),ROWS(C$5:C65)),"""")"),"Reading Loop")</f>
        <v>Reading Loop</v>
      </c>
      <c r="D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Helper'!$F$5:$F$3004,"""")&lt;&gt;""""),ROWS(D$5:D65)),"""")"),"Form I / Literature — Tales / Fairy Tales / Myths")</f>
        <v>Form I / Literature — Tales / Fairy Tales / Myths</v>
      </c>
      <c r="E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Helper'!$F$5:$F$3004,"""")&lt;&gt;""""),ROWS(E$5:E65)),"""")"),"Goobers")</f>
        <v>Goobers</v>
      </c>
      <c r="F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Helper'!$F$5:$F$3004,"""")&lt;&gt;""""),ROWS(F$5:F65)),IF(AND(LEFT(x,5)=""Page "&amp;""",ISERROR(SEARCH(""–"",x))),x&amp;""–""&amp;REGEXEXTRACT(x,""[0-9]+$""),x)),"""")"),"Page 211–211")</f>
        <v>Page 211–211</v>
      </c>
      <c r="G65" s="8" t="s">
        <v>109</v>
      </c>
      <c r="H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Helper'!$F$5:$F$3004,"""")&lt;&gt;""""),ROWS(H$5:H65)),"""")"),"sample")</f>
        <v>sample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Helper'!$F$5:$F$3004,"""")&lt;&gt;""""),ROWS(A$5:A66)),"""")"),46252.0)</f>
        <v>46252</v>
      </c>
      <c r="B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Helper'!$F$5:$F$3004,"""")&lt;&gt;""""),ROWS(B$5:B66)),"""")"),"Everyone")</f>
        <v>Everyone</v>
      </c>
      <c r="C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Helper'!$F$5:$F$3004,"""")&lt;&gt;""""),ROWS(C$5:C66)),"""")"),"Faith")</f>
        <v>Faith</v>
      </c>
      <c r="D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Helper'!$F$5:$F$3004,"""")&lt;&gt;""""),ROWS(D$5:D66)),"""")"),"All Together / Bible — Scripture Memory")</f>
        <v>All Together / Bible — Scripture Memory</v>
      </c>
      <c r="E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Helper'!$F$5:$F$3004,"""")&lt;&gt;""""),ROWS(E$5:E66)),"""")"),"AGF")</f>
        <v>AGF</v>
      </c>
      <c r="F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Helper'!$F$5:$F$3004,"""")&lt;&gt;""""),ROWS(F$5:F66)),IF(AND(LEFT(x,5)=""Page "&amp;""",ISERROR(SEARCH(""–"",x))),x&amp;""–""&amp;REGEXEXTRACT(x,""[0-9]+$""),x)),"""")"),"Week 1")</f>
        <v>Week 1</v>
      </c>
      <c r="G66" s="8"/>
      <c r="H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Helper'!$F$5:$F$3004,"""")&lt;&gt;""""),ROWS(H$5:H66)),"""")"),"")</f>
        <v/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Helper'!$F$5:$F$3004,"""")&lt;&gt;""""),ROWS(A$5:A67)),"""")"),46259.0)</f>
        <v>46259</v>
      </c>
      <c r="B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Helper'!$F$5:$F$3004,"""")&lt;&gt;""""),ROWS(B$5:B67)),"""")"),"Everyone")</f>
        <v>Everyone</v>
      </c>
      <c r="C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Helper'!$F$5:$F$3004,"""")&lt;&gt;""""),ROWS(C$5:C67)),"""")"),"Faith")</f>
        <v>Faith</v>
      </c>
      <c r="D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Helper'!$F$5:$F$3004,"""")&lt;&gt;""""),ROWS(D$5:D67)),"""")"),"All Together / Bible — Scripture Memory")</f>
        <v>All Together / Bible — Scripture Memory</v>
      </c>
      <c r="E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Helper'!$F$5:$F$3004,"""")&lt;&gt;""""),ROWS(E$5:E67)),"""")"),"AGF")</f>
        <v>AGF</v>
      </c>
      <c r="F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Helper'!$F$5:$F$3004,"""")&lt;&gt;""""),ROWS(F$5:F67)),IF(AND(LEFT(x,5)=""Page "&amp;""",ISERROR(SEARCH(""–"",x))),x&amp;""–""&amp;REGEXEXTRACT(x,""[0-9]+$""),x)),"""")"),"Week 2")</f>
        <v>Week 2</v>
      </c>
      <c r="G67" s="8"/>
      <c r="H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Helper'!$F$5:$F$3004,"""")&lt;&gt;""""),ROWS(H$5:H67)),"""")"),"")</f>
        <v/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Helper'!$F$5:$F$3004,"""")&lt;&gt;""""),ROWS(A$5:A68)),"""")"),46266.0)</f>
        <v>46266</v>
      </c>
      <c r="B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Helper'!$F$5:$F$3004,"""")&lt;&gt;""""),ROWS(B$5:B68)),"""")"),"Everyone")</f>
        <v>Everyone</v>
      </c>
      <c r="C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Helper'!$F$5:$F$3004,"""")&lt;&gt;""""),ROWS(C$5:C68)),"""")"),"Faith")</f>
        <v>Faith</v>
      </c>
      <c r="D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Helper'!$F$5:$F$3004,"""")&lt;&gt;""""),ROWS(D$5:D68)),"""")"),"All Together / Bible — Scripture Memory")</f>
        <v>All Together / Bible — Scripture Memory</v>
      </c>
      <c r="E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Helper'!$F$5:$F$3004,"""")&lt;&gt;""""),ROWS(E$5:E68)),"""")"),"AGF")</f>
        <v>AGF</v>
      </c>
      <c r="F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Helper'!$F$5:$F$3004,"""")&lt;&gt;""""),ROWS(F$5:F68)),IF(AND(LEFT(x,5)=""Page "&amp;""",ISERROR(SEARCH(""–"",x))),x&amp;""–""&amp;REGEXEXTRACT(x,""[0-9]+$""),x)),"""")"),"Week 3")</f>
        <v>Week 3</v>
      </c>
      <c r="G68" s="8"/>
      <c r="H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Helper'!$F$5:$F$3004,"""")&lt;&gt;""""),ROWS(H$5:H68)),"""")"),"")</f>
        <v/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Helper'!$F$5:$F$3004,"""")&lt;&gt;""""),ROWS(A$5:A69)),"""")"),46273.0)</f>
        <v>46273</v>
      </c>
      <c r="B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Helper'!$F$5:$F$3004,"""")&lt;&gt;""""),ROWS(B$5:B69)),"""")"),"Everyone")</f>
        <v>Everyone</v>
      </c>
      <c r="C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Helper'!$F$5:$F$3004,"""")&lt;&gt;""""),ROWS(C$5:C69)),"""")"),"Faith")</f>
        <v>Faith</v>
      </c>
      <c r="D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Helper'!$F$5:$F$3004,"""")&lt;&gt;""""),ROWS(D$5:D69)),"""")"),"All Together / Bible — Scripture Memory")</f>
        <v>All Together / Bible — Scripture Memory</v>
      </c>
      <c r="E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Helper'!$F$5:$F$3004,"""")&lt;&gt;""""),ROWS(E$5:E69)),"""")"),"AGF")</f>
        <v>AGF</v>
      </c>
      <c r="F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Helper'!$F$5:$F$3004,"""")&lt;&gt;""""),ROWS(F$5:F69)),IF(AND(LEFT(x,5)=""Page "&amp;""",ISERROR(SEARCH(""–"",x))),x&amp;""–""&amp;REGEXEXTRACT(x,""[0-9]+$""),x)),"""")"),"Week 4")</f>
        <v>Week 4</v>
      </c>
      <c r="G69" s="8"/>
      <c r="H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Helper'!$F$5:$F$3004,"""")&lt;&gt;""""),ROWS(H$5:H69)),"""")"),"")</f>
        <v/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Helper'!$F$5:$F$3004,"""")&lt;&gt;""""),ROWS(A$5:A70)),"""")"),46280.0)</f>
        <v>46280</v>
      </c>
      <c r="B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Helper'!$F$5:$F$3004,"""")&lt;&gt;""""),ROWS(B$5:B70)),"""")"),"Everyone")</f>
        <v>Everyone</v>
      </c>
      <c r="C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Helper'!$F$5:$F$3004,"""")&lt;&gt;""""),ROWS(C$5:C70)),"""")"),"Faith")</f>
        <v>Faith</v>
      </c>
      <c r="D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Helper'!$F$5:$F$3004,"""")&lt;&gt;""""),ROWS(D$5:D70)),"""")"),"All Together / Bible — Scripture Memory")</f>
        <v>All Together / Bible — Scripture Memory</v>
      </c>
      <c r="E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Helper'!$F$5:$F$3004,"""")&lt;&gt;""""),ROWS(E$5:E70)),"""")"),"AGF")</f>
        <v>AGF</v>
      </c>
      <c r="F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Helper'!$F$5:$F$3004,"""")&lt;&gt;""""),ROWS(F$5:F70)),IF(AND(LEFT(x,5)=""Page "&amp;""",ISERROR(SEARCH(""–"",x))),x&amp;""–""&amp;REGEXEXTRACT(x,""[0-9]+$""),x)),"""")"),"Week 5")</f>
        <v>Week 5</v>
      </c>
      <c r="G70" s="8"/>
      <c r="H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Helper'!$F$5:$F$3004,"""")&lt;&gt;""""),ROWS(H$5:H70)),"""")"),"")</f>
        <v/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Helper'!$F$5:$F$3004,"""")&lt;&gt;""""),ROWS(A$5:A71)),"""")"),46287.0)</f>
        <v>46287</v>
      </c>
      <c r="B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Helper'!$F$5:$F$3004,"""")&lt;&gt;""""),ROWS(B$5:B71)),"""")"),"Everyone")</f>
        <v>Everyone</v>
      </c>
      <c r="C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Helper'!$F$5:$F$3004,"""")&lt;&gt;""""),ROWS(C$5:C71)),"""")"),"Faith")</f>
        <v>Faith</v>
      </c>
      <c r="D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Helper'!$F$5:$F$3004,"""")&lt;&gt;""""),ROWS(D$5:D71)),"""")"),"All Together / Bible — Scripture Memory")</f>
        <v>All Together / Bible — Scripture Memory</v>
      </c>
      <c r="E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Helper'!$F$5:$F$3004,"""")&lt;&gt;""""),ROWS(E$5:E71)),"""")"),"AGF")</f>
        <v>AGF</v>
      </c>
      <c r="F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Helper'!$F$5:$F$3004,"""")&lt;&gt;""""),ROWS(F$5:F71)),IF(AND(LEFT(x,5)=""Page "&amp;""",ISERROR(SEARCH(""–"",x))),x&amp;""–""&amp;REGEXEXTRACT(x,""[0-9]+$""),x)),"""")"),"Week 6")</f>
        <v>Week 6</v>
      </c>
      <c r="G71" s="8"/>
      <c r="H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Helper'!$F$5:$F$3004,"""")&lt;&gt;""""),ROWS(H$5:H71)),"""")"),"")</f>
        <v/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Helper'!$F$5:$F$3004,"""")&lt;&gt;""""),ROWS(A$5:A72)),"""")"),46294.0)</f>
        <v>46294</v>
      </c>
      <c r="B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Helper'!$F$5:$F$3004,"""")&lt;&gt;""""),ROWS(B$5:B72)),"""")"),"Everyone")</f>
        <v>Everyone</v>
      </c>
      <c r="C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Helper'!$F$5:$F$3004,"""")&lt;&gt;""""),ROWS(C$5:C72)),"""")"),"Faith")</f>
        <v>Faith</v>
      </c>
      <c r="D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Helper'!$F$5:$F$3004,"""")&lt;&gt;""""),ROWS(D$5:D72)),"""")"),"All Together / Bible — Scripture Memory")</f>
        <v>All Together / Bible — Scripture Memory</v>
      </c>
      <c r="E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Helper'!$F$5:$F$3004,"""")&lt;&gt;""""),ROWS(E$5:E72)),"""")"),"AGF")</f>
        <v>AGF</v>
      </c>
      <c r="F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Helper'!$F$5:$F$3004,"""")&lt;&gt;""""),ROWS(F$5:F72)),IF(AND(LEFT(x,5)=""Page "&amp;""",ISERROR(SEARCH(""–"",x))),x&amp;""–""&amp;REGEXEXTRACT(x,""[0-9]+$""),x)),"""")"),"Week 7")</f>
        <v>Week 7</v>
      </c>
      <c r="G72" s="8"/>
      <c r="H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Helper'!$F$5:$F$3004,"""")&lt;&gt;""""),ROWS(H$5:H72)),"""")"),"")</f>
        <v/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Helper'!$F$5:$F$3004,"""")&lt;&gt;""""),ROWS(A$5:A73)),"""")"),46301.0)</f>
        <v>46301</v>
      </c>
      <c r="B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Helper'!$F$5:$F$3004,"""")&lt;&gt;""""),ROWS(B$5:B73)),"""")"),"Everyone")</f>
        <v>Everyone</v>
      </c>
      <c r="C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Helper'!$F$5:$F$3004,"""")&lt;&gt;""""),ROWS(C$5:C73)),"""")"),"Faith")</f>
        <v>Faith</v>
      </c>
      <c r="D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Helper'!$F$5:$F$3004,"""")&lt;&gt;""""),ROWS(D$5:D73)),"""")"),"All Together / Bible — Scripture Memory")</f>
        <v>All Together / Bible — Scripture Memory</v>
      </c>
      <c r="E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Helper'!$F$5:$F$3004,"""")&lt;&gt;""""),ROWS(E$5:E73)),"""")"),"AGF")</f>
        <v>AGF</v>
      </c>
      <c r="F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Helper'!$F$5:$F$3004,"""")&lt;&gt;""""),ROWS(F$5:F73)),IF(AND(LEFT(x,5)=""Page "&amp;""",ISERROR(SEARCH(""–"",x))),x&amp;""–""&amp;REGEXEXTRACT(x,""[0-9]+$""),x)),"""")"),"Week 8")</f>
        <v>Week 8</v>
      </c>
      <c r="G73" s="8"/>
      <c r="H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Helper'!$F$5:$F$3004,"""")&lt;&gt;""""),ROWS(H$5:H73)),"""")"),"")</f>
        <v/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Helper'!$F$5:$F$3004,"""")&lt;&gt;""""),ROWS(A$5:A74)),"""")"),46308.0)</f>
        <v>46308</v>
      </c>
      <c r="B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Helper'!$F$5:$F$3004,"""")&lt;&gt;""""),ROWS(B$5:B74)),"""")"),"Everyone")</f>
        <v>Everyone</v>
      </c>
      <c r="C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Helper'!$F$5:$F$3004,"""")&lt;&gt;""""),ROWS(C$5:C74)),"""")"),"Faith")</f>
        <v>Faith</v>
      </c>
      <c r="D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Helper'!$F$5:$F$3004,"""")&lt;&gt;""""),ROWS(D$5:D74)),"""")"),"All Together / Bible — Scripture Memory")</f>
        <v>All Together / Bible — Scripture Memory</v>
      </c>
      <c r="E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Helper'!$F$5:$F$3004,"""")&lt;&gt;""""),ROWS(E$5:E74)),"""")"),"AGF")</f>
        <v>AGF</v>
      </c>
      <c r="F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Helper'!$F$5:$F$3004,"""")&lt;&gt;""""),ROWS(F$5:F74)),IF(AND(LEFT(x,5)=""Page "&amp;""",ISERROR(SEARCH(""–"",x))),x&amp;""–""&amp;REGEXEXTRACT(x,""[0-9]+$""),x)),"""")"),"Week 9")</f>
        <v>Week 9</v>
      </c>
      <c r="G74" s="8"/>
      <c r="H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Helper'!$F$5:$F$3004,"""")&lt;&gt;""""),ROWS(H$5:H74)),"""")"),"")</f>
        <v/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Helper'!$F$5:$F$3004,"""")&lt;&gt;""""),ROWS(A$5:A75)),"""")"),46315.0)</f>
        <v>46315</v>
      </c>
      <c r="B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Helper'!$F$5:$F$3004,"""")&lt;&gt;""""),ROWS(B$5:B75)),"""")"),"Everyone")</f>
        <v>Everyone</v>
      </c>
      <c r="C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Helper'!$F$5:$F$3004,"""")&lt;&gt;""""),ROWS(C$5:C75)),"""")"),"Faith")</f>
        <v>Faith</v>
      </c>
      <c r="D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Helper'!$F$5:$F$3004,"""")&lt;&gt;""""),ROWS(D$5:D75)),"""")"),"All Together / Bible — Scripture Memory")</f>
        <v>All Together / Bible — Scripture Memory</v>
      </c>
      <c r="E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Helper'!$F$5:$F$3004,"""")&lt;&gt;""""),ROWS(E$5:E75)),"""")"),"AGF")</f>
        <v>AGF</v>
      </c>
      <c r="F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Helper'!$F$5:$F$3004,"""")&lt;&gt;""""),ROWS(F$5:F75)),IF(AND(LEFT(x,5)=""Page "&amp;""",ISERROR(SEARCH(""–"",x))),x&amp;""–""&amp;REGEXEXTRACT(x,""[0-9]+$""),x)),"""")"),"Week 10")</f>
        <v>Week 10</v>
      </c>
      <c r="G75" s="8"/>
      <c r="H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Helper'!$F$5:$F$3004,"""")&lt;&gt;""""),ROWS(H$5:H75)),"""")"),"")</f>
        <v/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Helper'!$F$5:$F$3004,"""")&lt;&gt;""""),ROWS(A$5:A76)),"""")"),46329.0)</f>
        <v>46329</v>
      </c>
      <c r="B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Helper'!$F$5:$F$3004,"""")&lt;&gt;""""),ROWS(B$5:B76)),"""")"),"Everyone")</f>
        <v>Everyone</v>
      </c>
      <c r="C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Helper'!$F$5:$F$3004,"""")&lt;&gt;""""),ROWS(C$5:C76)),"""")"),"Faith")</f>
        <v>Faith</v>
      </c>
      <c r="D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Helper'!$F$5:$F$3004,"""")&lt;&gt;""""),ROWS(D$5:D76)),"""")"),"All Together / Bible — Scripture Memory")</f>
        <v>All Together / Bible — Scripture Memory</v>
      </c>
      <c r="E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Helper'!$F$5:$F$3004,"""")&lt;&gt;""""),ROWS(E$5:E76)),"""")"),"AGF")</f>
        <v>AGF</v>
      </c>
      <c r="F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Helper'!$F$5:$F$3004,"""")&lt;&gt;""""),ROWS(F$5:F76)),IF(AND(LEFT(x,5)=""Page "&amp;""",ISERROR(SEARCH(""–"",x))),x&amp;""–""&amp;REGEXEXTRACT(x,""[0-9]+$""),x)),"""")"),"Week 11")</f>
        <v>Week 11</v>
      </c>
      <c r="G76" s="8"/>
      <c r="H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Helper'!$F$5:$F$3004,"""")&lt;&gt;""""),ROWS(H$5:H76)),"""")"),"")</f>
        <v/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Helper'!$F$5:$F$3004,"""")&lt;&gt;""""),ROWS(A$5:A77)),"""")"),46336.0)</f>
        <v>46336</v>
      </c>
      <c r="B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Helper'!$F$5:$F$3004,"""")&lt;&gt;""""),ROWS(B$5:B77)),"""")"),"Everyone")</f>
        <v>Everyone</v>
      </c>
      <c r="C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Helper'!$F$5:$F$3004,"""")&lt;&gt;""""),ROWS(C$5:C77)),"""")"),"Faith")</f>
        <v>Faith</v>
      </c>
      <c r="D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Helper'!$F$5:$F$3004,"""")&lt;&gt;""""),ROWS(D$5:D77)),"""")"),"All Together / Bible — Scripture Memory")</f>
        <v>All Together / Bible — Scripture Memory</v>
      </c>
      <c r="E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Helper'!$F$5:$F$3004,"""")&lt;&gt;""""),ROWS(E$5:E77)),"""")"),"AGF")</f>
        <v>AGF</v>
      </c>
      <c r="F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Helper'!$F$5:$F$3004,"""")&lt;&gt;""""),ROWS(F$5:F77)),IF(AND(LEFT(x,5)=""Page "&amp;""",ISERROR(SEARCH(""–"",x))),x&amp;""–""&amp;REGEXEXTRACT(x,""[0-9]+$""),x)),"""")"),"Week 12")</f>
        <v>Week 12</v>
      </c>
      <c r="G77" s="8"/>
      <c r="H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Helper'!$F$5:$F$3004,"""")&lt;&gt;""""),ROWS(H$5:H77)),"""")"),"")</f>
        <v/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Helper'!$F$5:$F$3004,"""")&lt;&gt;""""),ROWS(A$5:A78)),"""")"),46343.0)</f>
        <v>46343</v>
      </c>
      <c r="B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Helper'!$F$5:$F$3004,"""")&lt;&gt;""""),ROWS(B$5:B78)),"""")"),"Everyone")</f>
        <v>Everyone</v>
      </c>
      <c r="C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Helper'!$F$5:$F$3004,"""")&lt;&gt;""""),ROWS(C$5:C78)),"""")"),"Faith")</f>
        <v>Faith</v>
      </c>
      <c r="D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Helper'!$F$5:$F$3004,"""")&lt;&gt;""""),ROWS(D$5:D78)),"""")"),"All Together / Bible — Scripture Memory")</f>
        <v>All Together / Bible — Scripture Memory</v>
      </c>
      <c r="E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Helper'!$F$5:$F$3004,"""")&lt;&gt;""""),ROWS(E$5:E78)),"""")"),"AGF")</f>
        <v>AGF</v>
      </c>
      <c r="F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Helper'!$F$5:$F$3004,"""")&lt;&gt;""""),ROWS(F$5:F78)),IF(AND(LEFT(x,5)=""Page "&amp;""",ISERROR(SEARCH(""–"",x))),x&amp;""–""&amp;REGEXEXTRACT(x,""[0-9]+$""),x)),"""")"),"Week 13")</f>
        <v>Week 13</v>
      </c>
      <c r="G78" s="8"/>
      <c r="H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Helper'!$F$5:$F$3004,"""")&lt;&gt;""""),ROWS(H$5:H78)),"""")"),"")</f>
        <v/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Helper'!$F$5:$F$3004,"""")&lt;&gt;""""),ROWS(A$5:A79)),"""")"),46350.0)</f>
        <v>46350</v>
      </c>
      <c r="B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Helper'!$F$5:$F$3004,"""")&lt;&gt;""""),ROWS(B$5:B79)),"""")"),"Everyone")</f>
        <v>Everyone</v>
      </c>
      <c r="C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Helper'!$F$5:$F$3004,"""")&lt;&gt;""""),ROWS(C$5:C79)),"""")"),"Faith")</f>
        <v>Faith</v>
      </c>
      <c r="D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Helper'!$F$5:$F$3004,"""")&lt;&gt;""""),ROWS(D$5:D79)),"""")"),"All Together / Bible — Scripture Memory")</f>
        <v>All Together / Bible — Scripture Memory</v>
      </c>
      <c r="E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Helper'!$F$5:$F$3004,"""")&lt;&gt;""""),ROWS(E$5:E79)),"""")"),"AGF")</f>
        <v>AGF</v>
      </c>
      <c r="F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Helper'!$F$5:$F$3004,"""")&lt;&gt;""""),ROWS(F$5:F79)),IF(AND(LEFT(x,5)=""Page "&amp;""",ISERROR(SEARCH(""–"",x))),x&amp;""–""&amp;REGEXEXTRACT(x,""[0-9]+$""),x)),"""")"),"Week 14")</f>
        <v>Week 14</v>
      </c>
      <c r="G79" s="8"/>
      <c r="H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Helper'!$F$5:$F$3004,"""")&lt;&gt;""""),ROWS(H$5:H79)),"""")"),"")</f>
        <v/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Helper'!$F$5:$F$3004,"""")&lt;&gt;""""),ROWS(A$5:A80)),"""")"),46357.0)</f>
        <v>46357</v>
      </c>
      <c r="B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Helper'!$F$5:$F$3004,"""")&lt;&gt;""""),ROWS(B$5:B80)),"""")"),"Everyone")</f>
        <v>Everyone</v>
      </c>
      <c r="C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Helper'!$F$5:$F$3004,"""")&lt;&gt;""""),ROWS(C$5:C80)),"""")"),"Faith")</f>
        <v>Faith</v>
      </c>
      <c r="D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Helper'!$F$5:$F$3004,"""")&lt;&gt;""""),ROWS(D$5:D80)),"""")"),"All Together / Bible — Scripture Memory")</f>
        <v>All Together / Bible — Scripture Memory</v>
      </c>
      <c r="E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Helper'!$F$5:$F$3004,"""")&lt;&gt;""""),ROWS(E$5:E80)),"""")"),"AGF")</f>
        <v>AGF</v>
      </c>
      <c r="F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Helper'!$F$5:$F$3004,"""")&lt;&gt;""""),ROWS(F$5:F80)),IF(AND(LEFT(x,5)=""Page "&amp;""",ISERROR(SEARCH(""–"",x))),x&amp;""–""&amp;REGEXEXTRACT(x,""[0-9]+$""),x)),"""")"),"Week 15")</f>
        <v>Week 15</v>
      </c>
      <c r="G80" s="8"/>
      <c r="H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Helper'!$F$5:$F$3004,"""")&lt;&gt;""""),ROWS(H$5:H80)),"""")"),"")</f>
        <v/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Helper'!$F$5:$F$3004,"""")&lt;&gt;""""),ROWS(A$5:A81)),"""")"),46364.0)</f>
        <v>46364</v>
      </c>
      <c r="B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Helper'!$F$5:$F$3004,"""")&lt;&gt;""""),ROWS(B$5:B81)),"""")"),"Everyone")</f>
        <v>Everyone</v>
      </c>
      <c r="C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Helper'!$F$5:$F$3004,"""")&lt;&gt;""""),ROWS(C$5:C81)),"""")"),"Faith")</f>
        <v>Faith</v>
      </c>
      <c r="D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Helper'!$F$5:$F$3004,"""")&lt;&gt;""""),ROWS(D$5:D81)),"""")"),"All Together / Bible — Scripture Memory")</f>
        <v>All Together / Bible — Scripture Memory</v>
      </c>
      <c r="E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Helper'!$F$5:$F$3004,"""")&lt;&gt;""""),ROWS(E$5:E81)),"""")"),"AGF")</f>
        <v>AGF</v>
      </c>
      <c r="F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Helper'!$F$5:$F$3004,"""")&lt;&gt;""""),ROWS(F$5:F81)),IF(AND(LEFT(x,5)=""Page "&amp;""",ISERROR(SEARCH(""–"",x))),x&amp;""–""&amp;REGEXEXTRACT(x,""[0-9]+$""),x)),"""")"),"Week 16")</f>
        <v>Week 16</v>
      </c>
      <c r="G81" s="8"/>
      <c r="H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Helper'!$F$5:$F$3004,"""")&lt;&gt;""""),ROWS(H$5:H81)),"""")"),"")</f>
        <v/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Helper'!$F$5:$F$3004,"""")&lt;&gt;""""),ROWS(A$5:A82)),"""")"),46371.0)</f>
        <v>46371</v>
      </c>
      <c r="B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Helper'!$F$5:$F$3004,"""")&lt;&gt;""""),ROWS(B$5:B82)),"""")"),"Everyone")</f>
        <v>Everyone</v>
      </c>
      <c r="C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Helper'!$F$5:$F$3004,"""")&lt;&gt;""""),ROWS(C$5:C82)),"""")"),"Faith")</f>
        <v>Faith</v>
      </c>
      <c r="D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Helper'!$F$5:$F$3004,"""")&lt;&gt;""""),ROWS(D$5:D82)),"""")"),"All Together / Bible — Scripture Memory")</f>
        <v>All Together / Bible — Scripture Memory</v>
      </c>
      <c r="E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Helper'!$F$5:$F$3004,"""")&lt;&gt;""""),ROWS(E$5:E82)),"""")"),"AGF")</f>
        <v>AGF</v>
      </c>
      <c r="F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Helper'!$F$5:$F$3004,"""")&lt;&gt;""""),ROWS(F$5:F82)),IF(AND(LEFT(x,5)=""Page "&amp;""",ISERROR(SEARCH(""–"",x))),x&amp;""–""&amp;REGEXEXTRACT(x,""[0-9]+$""),x)),"""")"),"Week 17")</f>
        <v>Week 17</v>
      </c>
      <c r="G82" s="8"/>
      <c r="H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Helper'!$F$5:$F$3004,"""")&lt;&gt;""""),ROWS(H$5:H82)),"""")"),"")</f>
        <v/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Helper'!$F$5:$F$3004,"""")&lt;&gt;""""),ROWS(A$5:A83)),"""")"),46378.0)</f>
        <v>46378</v>
      </c>
      <c r="B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Helper'!$F$5:$F$3004,"""")&lt;&gt;""""),ROWS(B$5:B83)),"""")"),"Everyone")</f>
        <v>Everyone</v>
      </c>
      <c r="C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Helper'!$F$5:$F$3004,"""")&lt;&gt;""""),ROWS(C$5:C83)),"""")"),"Faith")</f>
        <v>Faith</v>
      </c>
      <c r="D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Helper'!$F$5:$F$3004,"""")&lt;&gt;""""),ROWS(D$5:D83)),"""")"),"All Together / Bible — Scripture Memory")</f>
        <v>All Together / Bible — Scripture Memory</v>
      </c>
      <c r="E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Helper'!$F$5:$F$3004,"""")&lt;&gt;""""),ROWS(E$5:E83)),"""")"),"AGF")</f>
        <v>AGF</v>
      </c>
      <c r="F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Helper'!$F$5:$F$3004,"""")&lt;&gt;""""),ROWS(F$5:F83)),IF(AND(LEFT(x,5)=""Page "&amp;""",ISERROR(SEARCH(""–"",x))),x&amp;""–""&amp;REGEXEXTRACT(x,""[0-9]+$""),x)),"""")"),"Week 18")</f>
        <v>Week 18</v>
      </c>
      <c r="G83" s="8"/>
      <c r="H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Helper'!$F$5:$F$3004,"""")&lt;&gt;""""),ROWS(H$5:H83)),"""")"),"")</f>
        <v/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Helper'!$F$5:$F$3004,"""")&lt;&gt;""""),ROWS(A$5:A84)),"""")"),46385.0)</f>
        <v>46385</v>
      </c>
      <c r="B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Helper'!$F$5:$F$3004,"""")&lt;&gt;""""),ROWS(B$5:B84)),"""")"),"Everyone")</f>
        <v>Everyone</v>
      </c>
      <c r="C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Helper'!$F$5:$F$3004,"""")&lt;&gt;""""),ROWS(C$5:C84)),"""")"),"Faith")</f>
        <v>Faith</v>
      </c>
      <c r="D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Helper'!$F$5:$F$3004,"""")&lt;&gt;""""),ROWS(D$5:D84)),"""")"),"All Together / Bible — Scripture Memory")</f>
        <v>All Together / Bible — Scripture Memory</v>
      </c>
      <c r="E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Helper'!$F$5:$F$3004,"""")&lt;&gt;""""),ROWS(E$5:E84)),"""")"),"AGF")</f>
        <v>AGF</v>
      </c>
      <c r="F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Helper'!$F$5:$F$3004,"""")&lt;&gt;""""),ROWS(F$5:F84)),IF(AND(LEFT(x,5)=""Page "&amp;""",ISERROR(SEARCH(""–"",x))),x&amp;""–""&amp;REGEXEXTRACT(x,""[0-9]+$""),x)),"""")"),"Week 19")</f>
        <v>Week 19</v>
      </c>
      <c r="G84" s="8"/>
      <c r="H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Helper'!$F$5:$F$3004,"""")&lt;&gt;""""),ROWS(H$5:H84)),"""")"),"")</f>
        <v/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Helper'!$F$5:$F$3004,"""")&lt;&gt;""""),ROWS(A$5:A85)),"""")"),46392.0)</f>
        <v>46392</v>
      </c>
      <c r="B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Helper'!$F$5:$F$3004,"""")&lt;&gt;""""),ROWS(B$5:B85)),"""")"),"Everyone")</f>
        <v>Everyone</v>
      </c>
      <c r="C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Helper'!$F$5:$F$3004,"""")&lt;&gt;""""),ROWS(C$5:C85)),"""")"),"Faith")</f>
        <v>Faith</v>
      </c>
      <c r="D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Helper'!$F$5:$F$3004,"""")&lt;&gt;""""),ROWS(D$5:D85)),"""")"),"All Together / Bible — Scripture Memory")</f>
        <v>All Together / Bible — Scripture Memory</v>
      </c>
      <c r="E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Helper'!$F$5:$F$3004,"""")&lt;&gt;""""),ROWS(E$5:E85)),"""")"),"AGF")</f>
        <v>AGF</v>
      </c>
      <c r="F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Helper'!$F$5:$F$3004,"""")&lt;&gt;""""),ROWS(F$5:F85)),IF(AND(LEFT(x,5)=""Page "&amp;""",ISERROR(SEARCH(""–"",x))),x&amp;""–""&amp;REGEXEXTRACT(x,""[0-9]+$""),x)),"""")"),"Week 20")</f>
        <v>Week 20</v>
      </c>
      <c r="G85" s="8"/>
      <c r="H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Helper'!$F$5:$F$3004,"""")&lt;&gt;""""),ROWS(H$5:H85)),"""")"),"")</f>
        <v/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Helper'!$F$5:$F$3004,"""")&lt;&gt;""""),ROWS(A$5:A86)),"""")"),46399.0)</f>
        <v>46399</v>
      </c>
      <c r="B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Helper'!$F$5:$F$3004,"""")&lt;&gt;""""),ROWS(B$5:B86)),"""")"),"Everyone")</f>
        <v>Everyone</v>
      </c>
      <c r="C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Helper'!$F$5:$F$3004,"""")&lt;&gt;""""),ROWS(C$5:C86)),"""")"),"Faith")</f>
        <v>Faith</v>
      </c>
      <c r="D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Helper'!$F$5:$F$3004,"""")&lt;&gt;""""),ROWS(D$5:D86)),"""")"),"All Together / Bible — Scripture Memory")</f>
        <v>All Together / Bible — Scripture Memory</v>
      </c>
      <c r="E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Helper'!$F$5:$F$3004,"""")&lt;&gt;""""),ROWS(E$5:E86)),"""")"),"AGF")</f>
        <v>AGF</v>
      </c>
      <c r="F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Helper'!$F$5:$F$3004,"""")&lt;&gt;""""),ROWS(F$5:F86)),IF(AND(LEFT(x,5)=""Page "&amp;""",ISERROR(SEARCH(""–"",x))),x&amp;""–""&amp;REGEXEXTRACT(x,""[0-9]+$""),x)),"""")"),"Week 21")</f>
        <v>Week 21</v>
      </c>
      <c r="G86" s="8"/>
      <c r="H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Helper'!$F$5:$F$3004,"""")&lt;&gt;""""),ROWS(H$5:H86)),"""")"),"")</f>
        <v/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Helper'!$F$5:$F$3004,"""")&lt;&gt;""""),ROWS(A$5:A87)),"""")"),46413.0)</f>
        <v>46413</v>
      </c>
      <c r="B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Helper'!$F$5:$F$3004,"""")&lt;&gt;""""),ROWS(B$5:B87)),"""")"),"Everyone")</f>
        <v>Everyone</v>
      </c>
      <c r="C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Helper'!$F$5:$F$3004,"""")&lt;&gt;""""),ROWS(C$5:C87)),"""")"),"Faith")</f>
        <v>Faith</v>
      </c>
      <c r="D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Helper'!$F$5:$F$3004,"""")&lt;&gt;""""),ROWS(D$5:D87)),"""")"),"All Together / Bible — Scripture Memory")</f>
        <v>All Together / Bible — Scripture Memory</v>
      </c>
      <c r="E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Helper'!$F$5:$F$3004,"""")&lt;&gt;""""),ROWS(E$5:E87)),"""")"),"AGF")</f>
        <v>AGF</v>
      </c>
      <c r="F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Helper'!$F$5:$F$3004,"""")&lt;&gt;""""),ROWS(F$5:F87)),IF(AND(LEFT(x,5)=""Page "&amp;""",ISERROR(SEARCH(""–"",x))),x&amp;""–""&amp;REGEXEXTRACT(x,""[0-9]+$""),x)),"""")"),"Week 22")</f>
        <v>Week 22</v>
      </c>
      <c r="G87" s="8"/>
      <c r="H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Helper'!$F$5:$F$3004,"""")&lt;&gt;""""),ROWS(H$5:H87)),"""")"),"")</f>
        <v/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Helper'!$F$5:$F$3004,"""")&lt;&gt;""""),ROWS(A$5:A88)),"""")"),46420.0)</f>
        <v>46420</v>
      </c>
      <c r="B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Helper'!$F$5:$F$3004,"""")&lt;&gt;""""),ROWS(B$5:B88)),"""")"),"Everyone")</f>
        <v>Everyone</v>
      </c>
      <c r="C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Helper'!$F$5:$F$3004,"""")&lt;&gt;""""),ROWS(C$5:C88)),"""")"),"Faith")</f>
        <v>Faith</v>
      </c>
      <c r="D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Helper'!$F$5:$F$3004,"""")&lt;&gt;""""),ROWS(D$5:D88)),"""")"),"All Together / Bible — Scripture Memory")</f>
        <v>All Together / Bible — Scripture Memory</v>
      </c>
      <c r="E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Helper'!$F$5:$F$3004,"""")&lt;&gt;""""),ROWS(E$5:E88)),"""")"),"AGF")</f>
        <v>AGF</v>
      </c>
      <c r="F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Helper'!$F$5:$F$3004,"""")&lt;&gt;""""),ROWS(F$5:F88)),IF(AND(LEFT(x,5)=""Page "&amp;""",ISERROR(SEARCH(""–"",x))),x&amp;""–""&amp;REGEXEXTRACT(x,""[0-9]+$""),x)),"""")"),"Week 23")</f>
        <v>Week 23</v>
      </c>
      <c r="G88" s="8"/>
      <c r="H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Helper'!$F$5:$F$3004,"""")&lt;&gt;""""),ROWS(H$5:H88)),"""")"),"")</f>
        <v/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Helper'!$F$5:$F$3004,"""")&lt;&gt;""""),ROWS(A$5:A89)),"""")"),46427.0)</f>
        <v>46427</v>
      </c>
      <c r="B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Helper'!$F$5:$F$3004,"""")&lt;&gt;""""),ROWS(B$5:B89)),"""")"),"Everyone")</f>
        <v>Everyone</v>
      </c>
      <c r="C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Helper'!$F$5:$F$3004,"""")&lt;&gt;""""),ROWS(C$5:C89)),"""")"),"Faith")</f>
        <v>Faith</v>
      </c>
      <c r="D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Helper'!$F$5:$F$3004,"""")&lt;&gt;""""),ROWS(D$5:D89)),"""")"),"All Together / Bible — Scripture Memory")</f>
        <v>All Together / Bible — Scripture Memory</v>
      </c>
      <c r="E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Helper'!$F$5:$F$3004,"""")&lt;&gt;""""),ROWS(E$5:E89)),"""")"),"AGF")</f>
        <v>AGF</v>
      </c>
      <c r="F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Helper'!$F$5:$F$3004,"""")&lt;&gt;""""),ROWS(F$5:F89)),IF(AND(LEFT(x,5)=""Page "&amp;""",ISERROR(SEARCH(""–"",x))),x&amp;""–""&amp;REGEXEXTRACT(x,""[0-9]+$""),x)),"""")"),"Week 24")</f>
        <v>Week 24</v>
      </c>
      <c r="G89" s="8"/>
      <c r="H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Helper'!$F$5:$F$3004,"""")&lt;&gt;""""),ROWS(H$5:H89)),"""")"),"")</f>
        <v/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Helper'!$F$5:$F$3004,"""")&lt;&gt;""""),ROWS(A$5:A90)),"""")"),46252.0)</f>
        <v>46252</v>
      </c>
      <c r="B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Helper'!$F$5:$F$3004,"""")&lt;&gt;""""),ROWS(B$5:B90)),"""")"),"")</f>
        <v/>
      </c>
      <c r="C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Helper'!$F$5:$F$3004,"""")&lt;&gt;""""),ROWS(C$5:C90)),"""")"),"")</f>
        <v/>
      </c>
      <c r="D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Helper'!$F$5:$F$3004,"""")&lt;&gt;""""),ROWS(D$5:D90)),"""")"),"Form III / Literature — Literature")</f>
        <v>Form III / Literature — Literature</v>
      </c>
      <c r="E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Helper'!$F$5:$F$3004,"""")&lt;&gt;""""),ROWS(E$5:E90)),"""")"),"Peter Pan")</f>
        <v>Peter Pan</v>
      </c>
      <c r="F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Helper'!$F$5:$F$3004,"""")&lt;&gt;""""),ROWS(F$5:F90)),IF(AND(LEFT(x,5)=""Page "&amp;""",ISERROR(SEARCH(""–"",x))),x&amp;""–""&amp;REGEXEXTRACT(x,""[0-9]+$""),x)),"""")"),"Chapter 1–2")</f>
        <v>Chapter 1–2</v>
      </c>
      <c r="G90" s="8"/>
      <c r="H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Helper'!$F$5:$F$3004,"""")&lt;&gt;""""),ROWS(H$5:H90)),"""")"),"")</f>
        <v/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Helper'!$F$5:$F$3004,"""")&lt;&gt;""""),ROWS(A$5:A91)),"""")"),46253.0)</f>
        <v>46253</v>
      </c>
      <c r="B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Helper'!$F$5:$F$3004,"""")&lt;&gt;""""),ROWS(B$5:B91)),"""")"),"")</f>
        <v/>
      </c>
      <c r="C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Helper'!$F$5:$F$3004,"""")&lt;&gt;""""),ROWS(C$5:C91)),"""")"),"")</f>
        <v/>
      </c>
      <c r="D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Helper'!$F$5:$F$3004,"""")&lt;&gt;""""),ROWS(D$5:D91)),"""")"),"Form III / Literature — Literature")</f>
        <v>Form III / Literature — Literature</v>
      </c>
      <c r="E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Helper'!$F$5:$F$3004,"""")&lt;&gt;""""),ROWS(E$5:E91)),"""")"),"Peter Pan")</f>
        <v>Peter Pan</v>
      </c>
      <c r="F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Helper'!$F$5:$F$3004,"""")&lt;&gt;""""),ROWS(F$5:F91)),IF(AND(LEFT(x,5)=""Page "&amp;""",ISERROR(SEARCH(""–"",x))),x&amp;""–""&amp;REGEXEXTRACT(x,""[0-9]+$""),x)),"""")"),"Chapter 3–4")</f>
        <v>Chapter 3–4</v>
      </c>
      <c r="G91" s="8"/>
      <c r="H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Helper'!$F$5:$F$3004,"""")&lt;&gt;""""),ROWS(H$5:H91)),"""")"),"")</f>
        <v/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Helper'!$F$5:$F$3004,"""")&lt;&gt;""""),ROWS(A$5:A92)),"""")"),46254.0)</f>
        <v>46254</v>
      </c>
      <c r="B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Helper'!$F$5:$F$3004,"""")&lt;&gt;""""),ROWS(B$5:B92)),"""")"),"")</f>
        <v/>
      </c>
      <c r="C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Helper'!$F$5:$F$3004,"""")&lt;&gt;""""),ROWS(C$5:C92)),"""")"),"")</f>
        <v/>
      </c>
      <c r="D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Helper'!$F$5:$F$3004,"""")&lt;&gt;""""),ROWS(D$5:D92)),"""")"),"Form III / Literature — Literature")</f>
        <v>Form III / Literature — Literature</v>
      </c>
      <c r="E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Helper'!$F$5:$F$3004,"""")&lt;&gt;""""),ROWS(E$5:E92)),"""")"),"Peter Pan")</f>
        <v>Peter Pan</v>
      </c>
      <c r="F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Helper'!$F$5:$F$3004,"""")&lt;&gt;""""),ROWS(F$5:F92)),IF(AND(LEFT(x,5)=""Page "&amp;""",ISERROR(SEARCH(""–"",x))),x&amp;""–""&amp;REGEXEXTRACT(x,""[0-9]+$""),x)),"""")"),"Chapter 5–6")</f>
        <v>Chapter 5–6</v>
      </c>
      <c r="G92" s="8"/>
      <c r="H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Helper'!$F$5:$F$3004,"""")&lt;&gt;""""),ROWS(H$5:H92)),"""")"),"")</f>
        <v/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Helper'!$F$5:$F$3004,"""")&lt;&gt;""""),ROWS(A$5:A93)),"""")"),46255.0)</f>
        <v>46255</v>
      </c>
      <c r="B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Helper'!$F$5:$F$3004,"""")&lt;&gt;""""),ROWS(B$5:B93)),"""")"),"")</f>
        <v/>
      </c>
      <c r="C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Helper'!$F$5:$F$3004,"""")&lt;&gt;""""),ROWS(C$5:C93)),"""")"),"")</f>
        <v/>
      </c>
      <c r="D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Helper'!$F$5:$F$3004,"""")&lt;&gt;""""),ROWS(D$5:D93)),"""")"),"Form III / Literature — Literature")</f>
        <v>Form III / Literature — Literature</v>
      </c>
      <c r="E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Helper'!$F$5:$F$3004,"""")&lt;&gt;""""),ROWS(E$5:E93)),"""")"),"Peter Pan")</f>
        <v>Peter Pan</v>
      </c>
      <c r="F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Helper'!$F$5:$F$3004,"""")&lt;&gt;""""),ROWS(F$5:F93)),IF(AND(LEFT(x,5)=""Page "&amp;""",ISERROR(SEARCH(""–"",x))),x&amp;""–""&amp;REGEXEXTRACT(x,""[0-9]+$""),x)),"""")"),"Chapter 7–8")</f>
        <v>Chapter 7–8</v>
      </c>
      <c r="G93" s="8"/>
      <c r="H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Helper'!$F$5:$F$3004,"""")&lt;&gt;""""),ROWS(H$5:H93)),"""")"),"")</f>
        <v/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Helper'!$F$5:$F$3004,"""")&lt;&gt;""""),ROWS(A$5:A94)),"""")"),46258.0)</f>
        <v>46258</v>
      </c>
      <c r="B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Helper'!$F$5:$F$3004,"""")&lt;&gt;""""),ROWS(B$5:B94)),"""")"),"")</f>
        <v/>
      </c>
      <c r="C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Helper'!$F$5:$F$3004,"""")&lt;&gt;""""),ROWS(C$5:C94)),"""")"),"")</f>
        <v/>
      </c>
      <c r="D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Helper'!$F$5:$F$3004,"""")&lt;&gt;""""),ROWS(D$5:D94)),"""")"),"Form III / Literature — Literature")</f>
        <v>Form III / Literature — Literature</v>
      </c>
      <c r="E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Helper'!$F$5:$F$3004,"""")&lt;&gt;""""),ROWS(E$5:E94)),"""")"),"Peter Pan")</f>
        <v>Peter Pan</v>
      </c>
      <c r="F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Helper'!$F$5:$F$3004,"""")&lt;&gt;""""),ROWS(F$5:F94)),IF(AND(LEFT(x,5)=""Page "&amp;""",ISERROR(SEARCH(""–"",x))),x&amp;""–""&amp;REGEXEXTRACT(x,""[0-9]+$""),x)),"""")"),"Chapter 9–10")</f>
        <v>Chapter 9–10</v>
      </c>
      <c r="G94" s="8"/>
      <c r="H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Helper'!$F$5:$F$3004,"""")&lt;&gt;""""),ROWS(H$5:H94)),"""")"),"")</f>
        <v/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Helper'!$F$5:$F$3004,"""")&lt;&gt;""""),ROWS(A$5:A95)),"""")"),46259.0)</f>
        <v>46259</v>
      </c>
      <c r="B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Helper'!$F$5:$F$3004,"""")&lt;&gt;""""),ROWS(B$5:B95)),"""")"),"")</f>
        <v/>
      </c>
      <c r="C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Helper'!$F$5:$F$3004,"""")&lt;&gt;""""),ROWS(C$5:C95)),"""")"),"")</f>
        <v/>
      </c>
      <c r="D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Helper'!$F$5:$F$3004,"""")&lt;&gt;""""),ROWS(D$5:D95)),"""")"),"Form III / Literature — Literature")</f>
        <v>Form III / Literature — Literature</v>
      </c>
      <c r="E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Helper'!$F$5:$F$3004,"""")&lt;&gt;""""),ROWS(E$5:E95)),"""")"),"Peter Pan")</f>
        <v>Peter Pan</v>
      </c>
      <c r="F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Helper'!$F$5:$F$3004,"""")&lt;&gt;""""),ROWS(F$5:F95)),IF(AND(LEFT(x,5)=""Page "&amp;""",ISERROR(SEARCH(""–"",x))),x&amp;""–""&amp;REGEXEXTRACT(x,""[0-9]+$""),x)),"""")"),"Chapter 11–12")</f>
        <v>Chapter 11–12</v>
      </c>
      <c r="G95" s="8"/>
      <c r="H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Helper'!$F$5:$F$3004,"""")&lt;&gt;""""),ROWS(H$5:H95)),"""")"),"")</f>
        <v/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Helper'!$F$5:$F$3004,"""")&lt;&gt;""""),ROWS(A$5:A96)),"""")"),46260.0)</f>
        <v>46260</v>
      </c>
      <c r="B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Helper'!$F$5:$F$3004,"""")&lt;&gt;""""),ROWS(B$5:B96)),"""")"),"")</f>
        <v/>
      </c>
      <c r="C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Helper'!$F$5:$F$3004,"""")&lt;&gt;""""),ROWS(C$5:C96)),"""")"),"")</f>
        <v/>
      </c>
      <c r="D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Helper'!$F$5:$F$3004,"""")&lt;&gt;""""),ROWS(D$5:D96)),"""")"),"Form III / Literature — Literature")</f>
        <v>Form III / Literature — Literature</v>
      </c>
      <c r="E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Helper'!$F$5:$F$3004,"""")&lt;&gt;""""),ROWS(E$5:E96)),"""")"),"Peter Pan")</f>
        <v>Peter Pan</v>
      </c>
      <c r="F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Helper'!$F$5:$F$3004,"""")&lt;&gt;""""),ROWS(F$5:F96)),IF(AND(LEFT(x,5)=""Page "&amp;""",ISERROR(SEARCH(""–"",x))),x&amp;""–""&amp;REGEXEXTRACT(x,""[0-9]+$""),x)),"""")"),"Chapter 13–14")</f>
        <v>Chapter 13–14</v>
      </c>
      <c r="G96" s="8"/>
      <c r="H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Helper'!$F$5:$F$3004,"""")&lt;&gt;""""),ROWS(H$5:H96)),"""")"),"")</f>
        <v/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Helper'!$F$5:$F$3004,"""")&lt;&gt;""""),ROWS(A$5:A97)),"""")"),46261.0)</f>
        <v>46261</v>
      </c>
      <c r="B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Helper'!$F$5:$F$3004,"""")&lt;&gt;""""),ROWS(B$5:B97)),"""")"),"")</f>
        <v/>
      </c>
      <c r="C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Helper'!$F$5:$F$3004,"""")&lt;&gt;""""),ROWS(C$5:C97)),"""")"),"")</f>
        <v/>
      </c>
      <c r="D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Helper'!$F$5:$F$3004,"""")&lt;&gt;""""),ROWS(D$5:D97)),"""")"),"Form III / Literature — Literature")</f>
        <v>Form III / Literature — Literature</v>
      </c>
      <c r="E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Helper'!$F$5:$F$3004,"""")&lt;&gt;""""),ROWS(E$5:E97)),"""")"),"Peter Pan")</f>
        <v>Peter Pan</v>
      </c>
      <c r="F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Helper'!$F$5:$F$3004,"""")&lt;&gt;""""),ROWS(F$5:F97)),IF(AND(LEFT(x,5)=""Page "&amp;""",ISERROR(SEARCH(""–"",x))),x&amp;""–""&amp;REGEXEXTRACT(x,""[0-9]+$""),x)),"""")"),"Chapter 15–16")</f>
        <v>Chapter 15–16</v>
      </c>
      <c r="G97" s="8"/>
      <c r="H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Helper'!$F$5:$F$3004,"""")&lt;&gt;""""),ROWS(H$5:H97)),"""")"),"")</f>
        <v/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Helper'!$F$5:$F$3004,"""")&lt;&gt;""""),ROWS(A$5:A98)),"""")"),46262.0)</f>
        <v>46262</v>
      </c>
      <c r="B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Helper'!$F$5:$F$3004,"""")&lt;&gt;""""),ROWS(B$5:B98)),"""")"),"")</f>
        <v/>
      </c>
      <c r="C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Helper'!$F$5:$F$3004,"""")&lt;&gt;""""),ROWS(C$5:C98)),"""")"),"")</f>
        <v/>
      </c>
      <c r="D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Helper'!$F$5:$F$3004,"""")&lt;&gt;""""),ROWS(D$5:D98)),"""")"),"Form III / Literature — Literature")</f>
        <v>Form III / Literature — Literature</v>
      </c>
      <c r="E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Helper'!$F$5:$F$3004,"""")&lt;&gt;""""),ROWS(E$5:E98)),"""")"),"Peter Pan")</f>
        <v>Peter Pan</v>
      </c>
      <c r="F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Helper'!$F$5:$F$3004,"""")&lt;&gt;""""),ROWS(F$5:F98)),IF(AND(LEFT(x,5)=""Page "&amp;""",ISERROR(SEARCH(""–"",x))),x&amp;""–""&amp;REGEXEXTRACT(x,""[0-9]+$""),x)),"""")"),"Chapter 17")</f>
        <v>Chapter 17</v>
      </c>
      <c r="G98" s="8"/>
      <c r="H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Helper'!$F$5:$F$3004,"""")&lt;&gt;""""),ROWS(H$5:H98)),"""")"),"")</f>
        <v/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Helper'!$F$5:$F$3004,"""")&lt;&gt;""""),ROWS(A$5:A99)),"""")"),46251.0)</f>
        <v>46251</v>
      </c>
      <c r="B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Helper'!$F$5:$F$3004,"""")&lt;&gt;""""),ROWS(B$5:B99)),"""")"),"Everyone")</f>
        <v>Everyone</v>
      </c>
      <c r="C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Helper'!$F$5:$F$3004,"""")&lt;&gt;""""),ROWS(C$5:C99)),"""")"),"Reading Loop")</f>
        <v>Reading Loop</v>
      </c>
      <c r="D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Helper'!$F$5:$F$3004,"""")&lt;&gt;""""),ROWS(D$5:D99)),"""")"),"All Together / Literature — Family Read-Aloud")</f>
        <v>All Together / Literature — Family Read-Aloud</v>
      </c>
      <c r="E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Helper'!$F$5:$F$3004,"""")&lt;&gt;""""),ROWS(E$5:E99)),"""")"),"Charlotte’s Web")</f>
        <v>Charlotte’s Web</v>
      </c>
      <c r="F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Helper'!$F$5:$F$3004,"""")&lt;&gt;""""),ROWS(F$5:F99)),IF(AND(LEFT(x,5)=""Page "&amp;""",ISERROR(SEARCH(""–"",x))),x&amp;""–""&amp;REGEXEXTRACT(x,""[0-9]+$""),x)),"""")"),"Chapter 1–2")</f>
        <v>Chapter 1–2</v>
      </c>
      <c r="G99" s="8"/>
      <c r="H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Helper'!$F$5:$F$3004,"""")&lt;&gt;""""),ROWS(H$5:H99)),"""")"),"sequencing sample")</f>
        <v>sequencing sample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Helper'!$F$5:$F$3004,"""")&lt;&gt;""""),ROWS(A$5:A100)),"""")"),46252.0)</f>
        <v>46252</v>
      </c>
      <c r="B1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Helper'!$F$5:$F$3004,"""")&lt;&gt;""""),ROWS(B$5:B100)),"""")"),"Everyone")</f>
        <v>Everyone</v>
      </c>
      <c r="C1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Helper'!$F$5:$F$3004,"""")&lt;&gt;""""),ROWS(C$5:C100)),"""")"),"Reading Loop")</f>
        <v>Reading Loop</v>
      </c>
      <c r="D1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Helper'!$F$5:$F$3004,"""")&lt;&gt;""""),ROWS(D$5:D100)),"""")"),"All Together / Literature — Family Read-Aloud")</f>
        <v>All Together / Literature — Family Read-Aloud</v>
      </c>
      <c r="E1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Helper'!$F$5:$F$3004,"""")&lt;&gt;""""),ROWS(E$5:E100)),"""")"),"Charlotte’s Web")</f>
        <v>Charlotte’s Web</v>
      </c>
      <c r="F1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Helper'!$F$5:$F$3004,"""")&lt;&gt;""""),ROWS(F$5:F100)),IF(AND(LEFT(x,5)=""Page"&amp;" "",ISERROR(SEARCH(""–"",x))),x&amp;""–""&amp;REGEXEXTRACT(x,""[0-9]+$""),x)),"""")"),"Chapter 3–4")</f>
        <v>Chapter 3–4</v>
      </c>
      <c r="G100" s="8"/>
      <c r="H1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Helper'!$F$5:$F$3004,"""")&lt;&gt;""""),ROWS(H$5:H100)),"""")"),"sequencing sample")</f>
        <v>sequencing sample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Helper'!$F$5:$F$3004,"""")&lt;&gt;""""),ROWS(A$5:A101)),"""")"),46253.0)</f>
        <v>46253</v>
      </c>
      <c r="B1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Helper'!$F$5:$F$3004,"""")&lt;&gt;""""),ROWS(B$5:B101)),"""")"),"Everyone")</f>
        <v>Everyone</v>
      </c>
      <c r="C1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Helper'!$F$5:$F$3004,"""")&lt;&gt;""""),ROWS(C$5:C101)),"""")"),"Reading Loop")</f>
        <v>Reading Loop</v>
      </c>
      <c r="D1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Helper'!$F$5:$F$3004,"""")&lt;&gt;""""),ROWS(D$5:D101)),"""")"),"All Together / Literature — Family Read-Aloud")</f>
        <v>All Together / Literature — Family Read-Aloud</v>
      </c>
      <c r="E1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Helper'!$F$5:$F$3004,"""")&lt;&gt;""""),ROWS(E$5:E101)),"""")"),"Charlotte’s Web")</f>
        <v>Charlotte’s Web</v>
      </c>
      <c r="F1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Helper'!$F$5:$F$3004,"""")&lt;&gt;""""),ROWS(F$5:F101)),IF(AND(LEFT(x,5)=""Page"&amp;" "",ISERROR(SEARCH(""–"",x))),x&amp;""–""&amp;REGEXEXTRACT(x,""[0-9]+$""),x)),"""")"),"Chapter 5–6")</f>
        <v>Chapter 5–6</v>
      </c>
      <c r="G101" s="8"/>
      <c r="H1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Helper'!$F$5:$F$3004,"""")&lt;&gt;""""),ROWS(H$5:H101)),"""")"),"sequencing sample")</f>
        <v>sequencing sample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Helper'!$F$5:$F$3004,"""")&lt;&gt;""""),ROWS(A$5:A102)),"""")"),46258.0)</f>
        <v>46258</v>
      </c>
      <c r="B1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Helper'!$F$5:$F$3004,"""")&lt;&gt;""""),ROWS(B$5:B102)),"""")"),"Everyone")</f>
        <v>Everyone</v>
      </c>
      <c r="C1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Helper'!$F$5:$F$3004,"""")&lt;&gt;""""),ROWS(C$5:C102)),"""")"),"Reading Loop")</f>
        <v>Reading Loop</v>
      </c>
      <c r="D1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Helper'!$F$5:$F$3004,"""")&lt;&gt;""""),ROWS(D$5:D102)),"""")"),"All Together / Literature — Family Read-Aloud")</f>
        <v>All Together / Literature — Family Read-Aloud</v>
      </c>
      <c r="E1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Helper'!$F$5:$F$3004,"""")&lt;&gt;""""),ROWS(E$5:E102)),"""")"),"Charlotte’s Web")</f>
        <v>Charlotte’s Web</v>
      </c>
      <c r="F1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Helper'!$F$5:$F$3004,"""")&lt;&gt;""""),ROWS(F$5:F102)),IF(AND(LEFT(x,5)=""Page"&amp;" "",ISERROR(SEARCH(""–"",x))),x&amp;""–""&amp;REGEXEXTRACT(x,""[0-9]+$""),x)),"""")"),"Chapter 7–8")</f>
        <v>Chapter 7–8</v>
      </c>
      <c r="G102" s="8"/>
      <c r="H1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Helper'!$F$5:$F$3004,"""")&lt;&gt;""""),ROWS(H$5:H102)),"""")"),"sequencing sample")</f>
        <v>sequencing sample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Helper'!$F$5:$F$3004,"""")&lt;&gt;""""),ROWS(A$5:A103)),"""")"),46259.0)</f>
        <v>46259</v>
      </c>
      <c r="B1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Helper'!$F$5:$F$3004,"""")&lt;&gt;""""),ROWS(B$5:B103)),"""")"),"Everyone")</f>
        <v>Everyone</v>
      </c>
      <c r="C1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Helper'!$F$5:$F$3004,"""")&lt;&gt;""""),ROWS(C$5:C103)),"""")"),"Reading Loop")</f>
        <v>Reading Loop</v>
      </c>
      <c r="D1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Helper'!$F$5:$F$3004,"""")&lt;&gt;""""),ROWS(D$5:D103)),"""")"),"All Together / Literature — Family Read-Aloud")</f>
        <v>All Together / Literature — Family Read-Aloud</v>
      </c>
      <c r="E1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Helper'!$F$5:$F$3004,"""")&lt;&gt;""""),ROWS(E$5:E103)),"""")"),"Charlotte’s Web")</f>
        <v>Charlotte’s Web</v>
      </c>
      <c r="F1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Helper'!$F$5:$F$3004,"""")&lt;&gt;""""),ROWS(F$5:F103)),IF(AND(LEFT(x,5)=""Page"&amp;" "",ISERROR(SEARCH(""–"",x))),x&amp;""–""&amp;REGEXEXTRACT(x,""[0-9]+$""),x)),"""")"),"Chapter 9–10")</f>
        <v>Chapter 9–10</v>
      </c>
      <c r="G103" s="8"/>
      <c r="H1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Helper'!$F$5:$F$3004,"""")&lt;&gt;""""),ROWS(H$5:H103)),"""")"),"sequencing sample")</f>
        <v>sequencing sample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Helper'!$F$5:$F$3004,"""")&lt;&gt;""""),ROWS(A$5:A104)),"""")"),46260.0)</f>
        <v>46260</v>
      </c>
      <c r="B1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Helper'!$F$5:$F$3004,"""")&lt;&gt;""""),ROWS(B$5:B104)),"""")"),"Everyone")</f>
        <v>Everyone</v>
      </c>
      <c r="C1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Helper'!$F$5:$F$3004,"""")&lt;&gt;""""),ROWS(C$5:C104)),"""")"),"Reading Loop")</f>
        <v>Reading Loop</v>
      </c>
      <c r="D1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Helper'!$F$5:$F$3004,"""")&lt;&gt;""""),ROWS(D$5:D104)),"""")"),"All Together / Literature — Family Read-Aloud")</f>
        <v>All Together / Literature — Family Read-Aloud</v>
      </c>
      <c r="E1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Helper'!$F$5:$F$3004,"""")&lt;&gt;""""),ROWS(E$5:E104)),"""")"),"Charlotte’s Web")</f>
        <v>Charlotte’s Web</v>
      </c>
      <c r="F1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Helper'!$F$5:$F$3004,"""")&lt;&gt;""""),ROWS(F$5:F104)),IF(AND(LEFT(x,5)=""Page"&amp;" "",ISERROR(SEARCH(""–"",x))),x&amp;""–""&amp;REGEXEXTRACT(x,""[0-9]+$""),x)),"""")"),"Chapter 11–12")</f>
        <v>Chapter 11–12</v>
      </c>
      <c r="G104" s="8"/>
      <c r="H1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Helper'!$F$5:$F$3004,"""")&lt;&gt;""""),ROWS(H$5:H104)),"""")"),"sequencing sample")</f>
        <v>sequencing sample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Helper'!$F$5:$F$3004,"""")&lt;&gt;""""),ROWS(A$5:A105)),"""")"),46265.0)</f>
        <v>46265</v>
      </c>
      <c r="B1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Helper'!$F$5:$F$3004,"""")&lt;&gt;""""),ROWS(B$5:B105)),"""")"),"Everyone")</f>
        <v>Everyone</v>
      </c>
      <c r="C1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Helper'!$F$5:$F$3004,"""")&lt;&gt;""""),ROWS(C$5:C105)),"""")"),"Reading Loop")</f>
        <v>Reading Loop</v>
      </c>
      <c r="D1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Helper'!$F$5:$F$3004,"""")&lt;&gt;""""),ROWS(D$5:D105)),"""")"),"All Together / Literature — Family Read-Aloud")</f>
        <v>All Together / Literature — Family Read-Aloud</v>
      </c>
      <c r="E1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Helper'!$F$5:$F$3004,"""")&lt;&gt;""""),ROWS(E$5:E105)),"""")"),"Charlotte’s Web")</f>
        <v>Charlotte’s Web</v>
      </c>
      <c r="F1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Helper'!$F$5:$F$3004,"""")&lt;&gt;""""),ROWS(F$5:F105)),IF(AND(LEFT(x,5)=""Page"&amp;" "",ISERROR(SEARCH(""–"",x))),x&amp;""–""&amp;REGEXEXTRACT(x,""[0-9]+$""),x)),"""")"),"Chapter 13–14")</f>
        <v>Chapter 13–14</v>
      </c>
      <c r="G105" s="8"/>
      <c r="H1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Helper'!$F$5:$F$3004,"""")&lt;&gt;""""),ROWS(H$5:H105)),"""")"),"sequencing sample")</f>
        <v>sequencing sample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Helper'!$F$5:$F$3004,"""")&lt;&gt;""""),ROWS(A$5:A106)),"""")"),46266.0)</f>
        <v>46266</v>
      </c>
      <c r="B1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Helper'!$F$5:$F$3004,"""")&lt;&gt;""""),ROWS(B$5:B106)),"""")"),"Everyone")</f>
        <v>Everyone</v>
      </c>
      <c r="C1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Helper'!$F$5:$F$3004,"""")&lt;&gt;""""),ROWS(C$5:C106)),"""")"),"Reading Loop")</f>
        <v>Reading Loop</v>
      </c>
      <c r="D1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Helper'!$F$5:$F$3004,"""")&lt;&gt;""""),ROWS(D$5:D106)),"""")"),"All Together / Literature — Family Read-Aloud")</f>
        <v>All Together / Literature — Family Read-Aloud</v>
      </c>
      <c r="E1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Helper'!$F$5:$F$3004,"""")&lt;&gt;""""),ROWS(E$5:E106)),"""")"),"Charlotte’s Web")</f>
        <v>Charlotte’s Web</v>
      </c>
      <c r="F1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Helper'!$F$5:$F$3004,"""")&lt;&gt;""""),ROWS(F$5:F106)),IF(AND(LEFT(x,5)=""Page"&amp;" "",ISERROR(SEARCH(""–"",x))),x&amp;""–""&amp;REGEXEXTRACT(x,""[0-9]+$""),x)),"""")"),"Chapter 15–16")</f>
        <v>Chapter 15–16</v>
      </c>
      <c r="G106" s="8"/>
      <c r="H1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Helper'!$F$5:$F$3004,"""")&lt;&gt;""""),ROWS(H$5:H106)),"""")"),"sequencing sample")</f>
        <v>sequencing sample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Helper'!$F$5:$F$3004,"""")&lt;&gt;""""),ROWS(A$5:A107)),"""")"),46267.0)</f>
        <v>46267</v>
      </c>
      <c r="B1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Helper'!$F$5:$F$3004,"""")&lt;&gt;""""),ROWS(B$5:B107)),"""")"),"Everyone")</f>
        <v>Everyone</v>
      </c>
      <c r="C1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Helper'!$F$5:$F$3004,"""")&lt;&gt;""""),ROWS(C$5:C107)),"""")"),"Reading Loop")</f>
        <v>Reading Loop</v>
      </c>
      <c r="D1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Helper'!$F$5:$F$3004,"""")&lt;&gt;""""),ROWS(D$5:D107)),"""")"),"All Together / Literature — Family Read-Aloud")</f>
        <v>All Together / Literature — Family Read-Aloud</v>
      </c>
      <c r="E1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Helper'!$F$5:$F$3004,"""")&lt;&gt;""""),ROWS(E$5:E107)),"""")"),"Charlotte’s Web")</f>
        <v>Charlotte’s Web</v>
      </c>
      <c r="F1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Helper'!$F$5:$F$3004,"""")&lt;&gt;""""),ROWS(F$5:F107)),IF(AND(LEFT(x,5)=""Page"&amp;" "",ISERROR(SEARCH(""–"",x))),x&amp;""–""&amp;REGEXEXTRACT(x,""[0-9]+$""),x)),"""")"),"Chapter 17–18")</f>
        <v>Chapter 17–18</v>
      </c>
      <c r="G107" s="8"/>
      <c r="H1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Helper'!$F$5:$F$3004,"""")&lt;&gt;""""),ROWS(H$5:H107)),"""")"),"sequencing sample")</f>
        <v>sequencing sample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Helper'!$F$5:$F$3004,"""")&lt;&gt;""""),ROWS(A$5:A108)),"""")"),46272.0)</f>
        <v>46272</v>
      </c>
      <c r="B1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Helper'!$F$5:$F$3004,"""")&lt;&gt;""""),ROWS(B$5:B108)),"""")"),"Everyone")</f>
        <v>Everyone</v>
      </c>
      <c r="C1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Helper'!$F$5:$F$3004,"""")&lt;&gt;""""),ROWS(C$5:C108)),"""")"),"Reading Loop")</f>
        <v>Reading Loop</v>
      </c>
      <c r="D1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Helper'!$F$5:$F$3004,"""")&lt;&gt;""""),ROWS(D$5:D108)),"""")"),"All Together / Literature — Family Read-Aloud")</f>
        <v>All Together / Literature — Family Read-Aloud</v>
      </c>
      <c r="E1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Helper'!$F$5:$F$3004,"""")&lt;&gt;""""),ROWS(E$5:E108)),"""")"),"Charlotte’s Web")</f>
        <v>Charlotte’s Web</v>
      </c>
      <c r="F1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Helper'!$F$5:$F$3004,"""")&lt;&gt;""""),ROWS(F$5:F108)),IF(AND(LEFT(x,5)=""Page"&amp;" "",ISERROR(SEARCH(""–"",x))),x&amp;""–""&amp;REGEXEXTRACT(x,""[0-9]+$""),x)),"""")"),"Chapter 19–20")</f>
        <v>Chapter 19–20</v>
      </c>
      <c r="G108" s="8"/>
      <c r="H1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Helper'!$F$5:$F$3004,"""")&lt;&gt;""""),ROWS(H$5:H108)),"""")"),"sequencing sample")</f>
        <v>sequencing sample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Helper'!$F$5:$F$3004,"""")&lt;&gt;""""),ROWS(A$5:A109)),"""")"),46273.0)</f>
        <v>46273</v>
      </c>
      <c r="B1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Helper'!$F$5:$F$3004,"""")&lt;&gt;""""),ROWS(B$5:B109)),"""")"),"Everyone")</f>
        <v>Everyone</v>
      </c>
      <c r="C1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Helper'!$F$5:$F$3004,"""")&lt;&gt;""""),ROWS(C$5:C109)),"""")"),"Reading Loop")</f>
        <v>Reading Loop</v>
      </c>
      <c r="D1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Helper'!$F$5:$F$3004,"""")&lt;&gt;""""),ROWS(D$5:D109)),"""")"),"All Together / Literature — Family Read-Aloud")</f>
        <v>All Together / Literature — Family Read-Aloud</v>
      </c>
      <c r="E1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Helper'!$F$5:$F$3004,"""")&lt;&gt;""""),ROWS(E$5:E109)),"""")"),"Charlotte’s Web")</f>
        <v>Charlotte’s Web</v>
      </c>
      <c r="F1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Helper'!$F$5:$F$3004,"""")&lt;&gt;""""),ROWS(F$5:F109)),IF(AND(LEFT(x,5)=""Page"&amp;" "",ISERROR(SEARCH(""–"",x))),x&amp;""–""&amp;REGEXEXTRACT(x,""[0-9]+$""),x)),"""")"),"Chapter 21–22")</f>
        <v>Chapter 21–22</v>
      </c>
      <c r="G109" s="8"/>
      <c r="H1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Helper'!$F$5:$F$3004,"""")&lt;&gt;""""),ROWS(H$5:H109)),"""")"),"sequencing sample")</f>
        <v>sequencing sample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Helper'!$F$5:$F$3004,"""")&lt;&gt;""""),ROWS(A$5:A110)),"""")"),46274.0)</f>
        <v>46274</v>
      </c>
      <c r="B1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Helper'!$F$5:$F$3004,"""")&lt;&gt;""""),ROWS(B$5:B110)),"""")"),"Everyone")</f>
        <v>Everyone</v>
      </c>
      <c r="C1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Helper'!$F$5:$F$3004,"""")&lt;&gt;""""),ROWS(C$5:C110)),"""")"),"Reading Loop")</f>
        <v>Reading Loop</v>
      </c>
      <c r="D1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Helper'!$F$5:$F$3004,"""")&lt;&gt;""""),ROWS(D$5:D110)),"""")"),"All Together / Literature — Family Read-Aloud")</f>
        <v>All Together / Literature — Family Read-Aloud</v>
      </c>
      <c r="E1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Helper'!$F$5:$F$3004,"""")&lt;&gt;""""),ROWS(E$5:E110)),"""")"),"Pinocchio")</f>
        <v>Pinocchio</v>
      </c>
      <c r="F1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Helper'!$F$5:$F$3004,"""")&lt;&gt;""""),ROWS(F$5:F110)),IF(AND(LEFT(x,5)=""Page"&amp;" "",ISERROR(SEARCH(""–"",x))),x&amp;""–""&amp;REGEXEXTRACT(x,""[0-9]+$""),x)),"""")"),"Chapter 1–2")</f>
        <v>Chapter 1–2</v>
      </c>
      <c r="G110" s="8"/>
      <c r="H1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Helper'!$F$5:$F$3004,"""")&lt;&gt;""""),ROWS(H$5:H110)),"""")"),"sequencing sample")</f>
        <v>sequencing sample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Helper'!$F$5:$F$3004,"""")&lt;&gt;""""),ROWS(A$5:A111)),"""")"),46275.0)</f>
        <v>46275</v>
      </c>
      <c r="B1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Helper'!$F$5:$F$3004,"""")&lt;&gt;""""),ROWS(B$5:B111)),"""")"),"Everyone")</f>
        <v>Everyone</v>
      </c>
      <c r="C1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Helper'!$F$5:$F$3004,"""")&lt;&gt;""""),ROWS(C$5:C111)),"""")"),"Reading Loop")</f>
        <v>Reading Loop</v>
      </c>
      <c r="D1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Helper'!$F$5:$F$3004,"""")&lt;&gt;""""),ROWS(D$5:D111)),"""")"),"All Together / Literature — Family Read-Aloud")</f>
        <v>All Together / Literature — Family Read-Aloud</v>
      </c>
      <c r="E1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Helper'!$F$5:$F$3004,"""")&lt;&gt;""""),ROWS(E$5:E111)),"""")"),"Pinocchio")</f>
        <v>Pinocchio</v>
      </c>
      <c r="F1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Helper'!$F$5:$F$3004,"""")&lt;&gt;""""),ROWS(F$5:F111)),IF(AND(LEFT(x,5)=""Page"&amp;" "",ISERROR(SEARCH(""–"",x))),x&amp;""–""&amp;REGEXEXTRACT(x,""[0-9]+$""),x)),"""")"),"Chapter 3–4")</f>
        <v>Chapter 3–4</v>
      </c>
      <c r="G111" s="8"/>
      <c r="H1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Helper'!$F$5:$F$3004,"""")&lt;&gt;""""),ROWS(H$5:H111)),"""")"),"sequencing sample")</f>
        <v>sequencing sample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Helper'!$F$5:$F$3004,"""")&lt;&gt;""""),ROWS(A$5:A112)),"""")"),46276.0)</f>
        <v>46276</v>
      </c>
      <c r="B1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Helper'!$F$5:$F$3004,"""")&lt;&gt;""""),ROWS(B$5:B112)),"""")"),"Everyone")</f>
        <v>Everyone</v>
      </c>
      <c r="C1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Helper'!$F$5:$F$3004,"""")&lt;&gt;""""),ROWS(C$5:C112)),"""")"),"Reading Loop")</f>
        <v>Reading Loop</v>
      </c>
      <c r="D1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Helper'!$F$5:$F$3004,"""")&lt;&gt;""""),ROWS(D$5:D112)),"""")"),"All Together / Literature — Family Read-Aloud")</f>
        <v>All Together / Literature — Family Read-Aloud</v>
      </c>
      <c r="E1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Helper'!$F$5:$F$3004,"""")&lt;&gt;""""),ROWS(E$5:E112)),"""")"),"Pinocchio")</f>
        <v>Pinocchio</v>
      </c>
      <c r="F1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Helper'!$F$5:$F$3004,"""")&lt;&gt;""""),ROWS(F$5:F112)),IF(AND(LEFT(x,5)=""Page"&amp;" "",ISERROR(SEARCH(""–"",x))),x&amp;""–""&amp;REGEXEXTRACT(x,""[0-9]+$""),x)),"""")"),"Chapter 5–6")</f>
        <v>Chapter 5–6</v>
      </c>
      <c r="G112" s="8"/>
      <c r="H1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Helper'!$F$5:$F$3004,"""")&lt;&gt;""""),ROWS(H$5:H112)),"""")"),"sequencing sample")</f>
        <v>sequencing sample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Helper'!$F$5:$F$3004,"""")&lt;&gt;""""),ROWS(A$5:A113)),"""")"),46281.0)</f>
        <v>46281</v>
      </c>
      <c r="B1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Helper'!$F$5:$F$3004,"""")&lt;&gt;""""),ROWS(B$5:B113)),"""")"),"Everyone")</f>
        <v>Everyone</v>
      </c>
      <c r="C1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Helper'!$F$5:$F$3004,"""")&lt;&gt;""""),ROWS(C$5:C113)),"""")"),"Reading Loop")</f>
        <v>Reading Loop</v>
      </c>
      <c r="D1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Helper'!$F$5:$F$3004,"""")&lt;&gt;""""),ROWS(D$5:D113)),"""")"),"All Together / Literature — Family Read-Aloud")</f>
        <v>All Together / Literature — Family Read-Aloud</v>
      </c>
      <c r="E1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Helper'!$F$5:$F$3004,"""")&lt;&gt;""""),ROWS(E$5:E113)),"""")"),"Pinocchio")</f>
        <v>Pinocchio</v>
      </c>
      <c r="F1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Helper'!$F$5:$F$3004,"""")&lt;&gt;""""),ROWS(F$5:F113)),IF(AND(LEFT(x,5)=""Page"&amp;" "",ISERROR(SEARCH(""–"",x))),x&amp;""–""&amp;REGEXEXTRACT(x,""[0-9]+$""),x)),"""")"),"Chapter 7–8")</f>
        <v>Chapter 7–8</v>
      </c>
      <c r="G113" s="8"/>
      <c r="H1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Helper'!$F$5:$F$3004,"""")&lt;&gt;""""),ROWS(H$5:H113)),"""")"),"sequencing sample")</f>
        <v>sequencing sample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Helper'!$F$5:$F$3004,"""")&lt;&gt;""""),ROWS(A$5:A114)),"""")"),46282.0)</f>
        <v>46282</v>
      </c>
      <c r="B1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Helper'!$F$5:$F$3004,"""")&lt;&gt;""""),ROWS(B$5:B114)),"""")"),"Everyone")</f>
        <v>Everyone</v>
      </c>
      <c r="C1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Helper'!$F$5:$F$3004,"""")&lt;&gt;""""),ROWS(C$5:C114)),"""")"),"Reading Loop")</f>
        <v>Reading Loop</v>
      </c>
      <c r="D1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Helper'!$F$5:$F$3004,"""")&lt;&gt;""""),ROWS(D$5:D114)),"""")"),"All Together / Literature — Family Read-Aloud")</f>
        <v>All Together / Literature — Family Read-Aloud</v>
      </c>
      <c r="E1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Helper'!$F$5:$F$3004,"""")&lt;&gt;""""),ROWS(E$5:E114)),"""")"),"Pinocchio")</f>
        <v>Pinocchio</v>
      </c>
      <c r="F1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Helper'!$F$5:$F$3004,"""")&lt;&gt;""""),ROWS(F$5:F114)),IF(AND(LEFT(x,5)=""Page"&amp;" "",ISERROR(SEARCH(""–"",x))),x&amp;""–""&amp;REGEXEXTRACT(x,""[0-9]+$""),x)),"""")"),"Chapter 9–10")</f>
        <v>Chapter 9–10</v>
      </c>
      <c r="G114" s="8"/>
      <c r="H1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Helper'!$F$5:$F$3004,"""")&lt;&gt;""""),ROWS(H$5:H114)),"""")"),"sequencing sample")</f>
        <v>sequencing sample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Helper'!$F$5:$F$3004,"""")&lt;&gt;""""),ROWS(A$5:A115)),"""")"),46283.0)</f>
        <v>46283</v>
      </c>
      <c r="B1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Helper'!$F$5:$F$3004,"""")&lt;&gt;""""),ROWS(B$5:B115)),"""")"),"Everyone")</f>
        <v>Everyone</v>
      </c>
      <c r="C1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Helper'!$F$5:$F$3004,"""")&lt;&gt;""""),ROWS(C$5:C115)),"""")"),"Reading Loop")</f>
        <v>Reading Loop</v>
      </c>
      <c r="D1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Helper'!$F$5:$F$3004,"""")&lt;&gt;""""),ROWS(D$5:D115)),"""")"),"All Together / Literature — Family Read-Aloud")</f>
        <v>All Together / Literature — Family Read-Aloud</v>
      </c>
      <c r="E1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Helper'!$F$5:$F$3004,"""")&lt;&gt;""""),ROWS(E$5:E115)),"""")"),"Pinocchio")</f>
        <v>Pinocchio</v>
      </c>
      <c r="F1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Helper'!$F$5:$F$3004,"""")&lt;&gt;""""),ROWS(F$5:F115)),IF(AND(LEFT(x,5)=""Page"&amp;" "",ISERROR(SEARCH(""–"",x))),x&amp;""–""&amp;REGEXEXTRACT(x,""[0-9]+$""),x)),"""")"),"Chapter 11–12")</f>
        <v>Chapter 11–12</v>
      </c>
      <c r="G115" s="8"/>
      <c r="H1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Helper'!$F$5:$F$3004,"""")&lt;&gt;""""),ROWS(H$5:H115)),"""")"),"sequencing sample")</f>
        <v>sequencing sample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Helper'!$F$5:$F$3004,"""")&lt;&gt;""""),ROWS(A$5:A116)),"""")"),46288.0)</f>
        <v>46288</v>
      </c>
      <c r="B1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Helper'!$F$5:$F$3004,"""")&lt;&gt;""""),ROWS(B$5:B116)),"""")"),"Everyone")</f>
        <v>Everyone</v>
      </c>
      <c r="C1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Helper'!$F$5:$F$3004,"""")&lt;&gt;""""),ROWS(C$5:C116)),"""")"),"Reading Loop")</f>
        <v>Reading Loop</v>
      </c>
      <c r="D1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Helper'!$F$5:$F$3004,"""")&lt;&gt;""""),ROWS(D$5:D116)),"""")"),"All Together / Literature — Family Read-Aloud")</f>
        <v>All Together / Literature — Family Read-Aloud</v>
      </c>
      <c r="E1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Helper'!$F$5:$F$3004,"""")&lt;&gt;""""),ROWS(E$5:E116)),"""")"),"Pinocchio")</f>
        <v>Pinocchio</v>
      </c>
      <c r="F1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Helper'!$F$5:$F$3004,"""")&lt;&gt;""""),ROWS(F$5:F116)),IF(AND(LEFT(x,5)=""Page"&amp;" "",ISERROR(SEARCH(""–"",x))),x&amp;""–""&amp;REGEXEXTRACT(x,""[0-9]+$""),x)),"""")"),"Chapter 13–14")</f>
        <v>Chapter 13–14</v>
      </c>
      <c r="G116" s="8"/>
      <c r="H1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Helper'!$F$5:$F$3004,"""")&lt;&gt;""""),ROWS(H$5:H116)),"""")"),"sequencing sample")</f>
        <v>sequencing sample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Helper'!$F$5:$F$3004,"""")&lt;&gt;""""),ROWS(A$5:A117)),"""")"),46289.0)</f>
        <v>46289</v>
      </c>
      <c r="B1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Helper'!$F$5:$F$3004,"""")&lt;&gt;""""),ROWS(B$5:B117)),"""")"),"Everyone")</f>
        <v>Everyone</v>
      </c>
      <c r="C1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Helper'!$F$5:$F$3004,"""")&lt;&gt;""""),ROWS(C$5:C117)),"""")"),"Reading Loop")</f>
        <v>Reading Loop</v>
      </c>
      <c r="D1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Helper'!$F$5:$F$3004,"""")&lt;&gt;""""),ROWS(D$5:D117)),"""")"),"All Together / Literature — Family Read-Aloud")</f>
        <v>All Together / Literature — Family Read-Aloud</v>
      </c>
      <c r="E1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Helper'!$F$5:$F$3004,"""")&lt;&gt;""""),ROWS(E$5:E117)),"""")"),"Pinocchio")</f>
        <v>Pinocchio</v>
      </c>
      <c r="F1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Helper'!$F$5:$F$3004,"""")&lt;&gt;""""),ROWS(F$5:F117)),IF(AND(LEFT(x,5)=""Page"&amp;" "",ISERROR(SEARCH(""–"",x))),x&amp;""–""&amp;REGEXEXTRACT(x,""[0-9]+$""),x)),"""")"),"Chapter 15–16")</f>
        <v>Chapter 15–16</v>
      </c>
      <c r="G117" s="8"/>
      <c r="H1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Helper'!$F$5:$F$3004,"""")&lt;&gt;""""),ROWS(H$5:H117)),"""")"),"sequencing sample")</f>
        <v>sequencing sample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Helper'!$F$5:$F$3004,"""")&lt;&gt;""""),ROWS(A$5:A118)),"""")"),46290.0)</f>
        <v>46290</v>
      </c>
      <c r="B1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Helper'!$F$5:$F$3004,"""")&lt;&gt;""""),ROWS(B$5:B118)),"""")"),"Everyone")</f>
        <v>Everyone</v>
      </c>
      <c r="C1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Helper'!$F$5:$F$3004,"""")&lt;&gt;""""),ROWS(C$5:C118)),"""")"),"Reading Loop")</f>
        <v>Reading Loop</v>
      </c>
      <c r="D1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Helper'!$F$5:$F$3004,"""")&lt;&gt;""""),ROWS(D$5:D118)),"""")"),"All Together / Literature — Family Read-Aloud")</f>
        <v>All Together / Literature — Family Read-Aloud</v>
      </c>
      <c r="E1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Helper'!$F$5:$F$3004,"""")&lt;&gt;""""),ROWS(E$5:E118)),"""")"),"Pinocchio")</f>
        <v>Pinocchio</v>
      </c>
      <c r="F1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Helper'!$F$5:$F$3004,"""")&lt;&gt;""""),ROWS(F$5:F118)),IF(AND(LEFT(x,5)=""Page"&amp;" "",ISERROR(SEARCH(""–"",x))),x&amp;""–""&amp;REGEXEXTRACT(x,""[0-9]+$""),x)),"""")"),"Chapter 17–18")</f>
        <v>Chapter 17–18</v>
      </c>
      <c r="G118" s="8"/>
      <c r="H1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Helper'!$F$5:$F$3004,"""")&lt;&gt;""""),ROWS(H$5:H118)),"""")"),"sequencing sample")</f>
        <v>sequencing sample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Helper'!$F$5:$F$3004,"""")&lt;&gt;""""),ROWS(A$5:A119)),"""")"),46295.0)</f>
        <v>46295</v>
      </c>
      <c r="B1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Helper'!$F$5:$F$3004,"""")&lt;&gt;""""),ROWS(B$5:B119)),"""")"),"Everyone")</f>
        <v>Everyone</v>
      </c>
      <c r="C1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Helper'!$F$5:$F$3004,"""")&lt;&gt;""""),ROWS(C$5:C119)),"""")"),"Reading Loop")</f>
        <v>Reading Loop</v>
      </c>
      <c r="D1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Helper'!$F$5:$F$3004,"""")&lt;&gt;""""),ROWS(D$5:D119)),"""")"),"All Together / Literature — Family Read-Aloud")</f>
        <v>All Together / Literature — Family Read-Aloud</v>
      </c>
      <c r="E1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Helper'!$F$5:$F$3004,"""")&lt;&gt;""""),ROWS(E$5:E119)),"""")"),"Pinocchio")</f>
        <v>Pinocchio</v>
      </c>
      <c r="F1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Helper'!$F$5:$F$3004,"""")&lt;&gt;""""),ROWS(F$5:F119)),IF(AND(LEFT(x,5)=""Page"&amp;" "",ISERROR(SEARCH(""–"",x))),x&amp;""–""&amp;REGEXEXTRACT(x,""[0-9]+$""),x)),"""")"),"Chapter 19–20")</f>
        <v>Chapter 19–20</v>
      </c>
      <c r="G119" s="8"/>
      <c r="H1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Helper'!$F$5:$F$3004,"""")&lt;&gt;""""),ROWS(H$5:H119)),"""")"),"sequencing sample")</f>
        <v>sequencing sample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Helper'!$F$5:$F$3004,"""")&lt;&gt;""""),ROWS(A$5:A120)),"""")"),46296.0)</f>
        <v>46296</v>
      </c>
      <c r="B1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Helper'!$F$5:$F$3004,"""")&lt;&gt;""""),ROWS(B$5:B120)),"""")"),"Everyone")</f>
        <v>Everyone</v>
      </c>
      <c r="C1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Helper'!$F$5:$F$3004,"""")&lt;&gt;""""),ROWS(C$5:C120)),"""")"),"Reading Loop")</f>
        <v>Reading Loop</v>
      </c>
      <c r="D1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Helper'!$F$5:$F$3004,"""")&lt;&gt;""""),ROWS(D$5:D120)),"""")"),"All Together / Literature — Family Read-Aloud")</f>
        <v>All Together / Literature — Family Read-Aloud</v>
      </c>
      <c r="E1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Helper'!$F$5:$F$3004,"""")&lt;&gt;""""),ROWS(E$5:E120)),"""")"),"Pinocchio")</f>
        <v>Pinocchio</v>
      </c>
      <c r="F1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Helper'!$F$5:$F$3004,"""")&lt;&gt;""""),ROWS(F$5:F120)),IF(AND(LEFT(x,5)=""Page"&amp;" "",ISERROR(SEARCH(""–"",x))),x&amp;""–""&amp;REGEXEXTRACT(x,""[0-9]+$""),x)),"""")"),"Chapter 21–22")</f>
        <v>Chapter 21–22</v>
      </c>
      <c r="G120" s="8"/>
      <c r="H1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Helper'!$F$5:$F$3004,"""")&lt;&gt;""""),ROWS(H$5:H120)),"""")"),"sequencing sample")</f>
        <v>sequencing sample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Helper'!$F$5:$F$3004,"""")&lt;&gt;""""),ROWS(A$5:A121)),"""")"),46297.0)</f>
        <v>46297</v>
      </c>
      <c r="B1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Helper'!$F$5:$F$3004,"""")&lt;&gt;""""),ROWS(B$5:B121)),"""")"),"Everyone")</f>
        <v>Everyone</v>
      </c>
      <c r="C1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Helper'!$F$5:$F$3004,"""")&lt;&gt;""""),ROWS(C$5:C121)),"""")"),"Reading Loop")</f>
        <v>Reading Loop</v>
      </c>
      <c r="D1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Helper'!$F$5:$F$3004,"""")&lt;&gt;""""),ROWS(D$5:D121)),"""")"),"All Together / Literature — Family Read-Aloud")</f>
        <v>All Together / Literature — Family Read-Aloud</v>
      </c>
      <c r="E1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Helper'!$F$5:$F$3004,"""")&lt;&gt;""""),ROWS(E$5:E121)),"""")"),"Pinocchio")</f>
        <v>Pinocchio</v>
      </c>
      <c r="F1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Helper'!$F$5:$F$3004,"""")&lt;&gt;""""),ROWS(F$5:F121)),IF(AND(LEFT(x,5)=""Page"&amp;" "",ISERROR(SEARCH(""–"",x))),x&amp;""–""&amp;REGEXEXTRACT(x,""[0-9]+$""),x)),"""")"),"Chapter 23–24")</f>
        <v>Chapter 23–24</v>
      </c>
      <c r="G121" s="8"/>
      <c r="H1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Helper'!$F$5:$F$3004,"""")&lt;&gt;""""),ROWS(H$5:H121)),"""")"),"sequencing sample")</f>
        <v>sequencing sample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Helper'!$F$5:$F$3004,"""")&lt;&gt;""""),ROWS(A$5:A122)),"""")"),46302.0)</f>
        <v>46302</v>
      </c>
      <c r="B1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Helper'!$F$5:$F$3004,"""")&lt;&gt;""""),ROWS(B$5:B122)),"""")"),"Everyone")</f>
        <v>Everyone</v>
      </c>
      <c r="C1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Helper'!$F$5:$F$3004,"""")&lt;&gt;""""),ROWS(C$5:C122)),"""")"),"Reading Loop")</f>
        <v>Reading Loop</v>
      </c>
      <c r="D1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Helper'!$F$5:$F$3004,"""")&lt;&gt;""""),ROWS(D$5:D122)),"""")"),"All Together / Literature — Family Read-Aloud")</f>
        <v>All Together / Literature — Family Read-Aloud</v>
      </c>
      <c r="E1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Helper'!$F$5:$F$3004,"""")&lt;&gt;""""),ROWS(E$5:E122)),"""")"),"Pinocchio")</f>
        <v>Pinocchio</v>
      </c>
      <c r="F1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Helper'!$F$5:$F$3004,"""")&lt;&gt;""""),ROWS(F$5:F122)),IF(AND(LEFT(x,5)=""Page"&amp;" "",ISERROR(SEARCH(""–"",x))),x&amp;""–""&amp;REGEXEXTRACT(x,""[0-9]+$""),x)),"""")"),"Chapter 25–26")</f>
        <v>Chapter 25–26</v>
      </c>
      <c r="G122" s="8"/>
      <c r="H1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Helper'!$F$5:$F$3004,"""")&lt;&gt;""""),ROWS(H$5:H122)),"""")"),"sequencing sample")</f>
        <v>sequencing sample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Helper'!$F$5:$F$3004,"""")&lt;&gt;""""),ROWS(A$5:A123)),"""")"),46303.0)</f>
        <v>46303</v>
      </c>
      <c r="B1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Helper'!$F$5:$F$3004,"""")&lt;&gt;""""),ROWS(B$5:B123)),"""")"),"Everyone")</f>
        <v>Everyone</v>
      </c>
      <c r="C1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Helper'!$F$5:$F$3004,"""")&lt;&gt;""""),ROWS(C$5:C123)),"""")"),"Reading Loop")</f>
        <v>Reading Loop</v>
      </c>
      <c r="D1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Helper'!$F$5:$F$3004,"""")&lt;&gt;""""),ROWS(D$5:D123)),"""")"),"All Together / Literature — Family Read-Aloud")</f>
        <v>All Together / Literature — Family Read-Aloud</v>
      </c>
      <c r="E1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Helper'!$F$5:$F$3004,"""")&lt;&gt;""""),ROWS(E$5:E123)),"""")"),"Pinocchio")</f>
        <v>Pinocchio</v>
      </c>
      <c r="F1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Helper'!$F$5:$F$3004,"""")&lt;&gt;""""),ROWS(F$5:F123)),IF(AND(LEFT(x,5)=""Page"&amp;" "",ISERROR(SEARCH(""–"",x))),x&amp;""–""&amp;REGEXEXTRACT(x,""[0-9]+$""),x)),"""")"),"Chapter 27–28")</f>
        <v>Chapter 27–28</v>
      </c>
      <c r="G123" s="8"/>
      <c r="H1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Helper'!$F$5:$F$3004,"""")&lt;&gt;""""),ROWS(H$5:H123)),"""")"),"sequencing sample")</f>
        <v>sequencing sample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Helper'!$F$5:$F$3004,"""")&lt;&gt;""""),ROWS(A$5:A124)),"""")"),46304.0)</f>
        <v>46304</v>
      </c>
      <c r="B1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Helper'!$F$5:$F$3004,"""")&lt;&gt;""""),ROWS(B$5:B124)),"""")"),"Everyone")</f>
        <v>Everyone</v>
      </c>
      <c r="C1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Helper'!$F$5:$F$3004,"""")&lt;&gt;""""),ROWS(C$5:C124)),"""")"),"Reading Loop")</f>
        <v>Reading Loop</v>
      </c>
      <c r="D1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Helper'!$F$5:$F$3004,"""")&lt;&gt;""""),ROWS(D$5:D124)),"""")"),"All Together / Literature — Family Read-Aloud")</f>
        <v>All Together / Literature — Family Read-Aloud</v>
      </c>
      <c r="E1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Helper'!$F$5:$F$3004,"""")&lt;&gt;""""),ROWS(E$5:E124)),"""")"),"Pinocchio")</f>
        <v>Pinocchio</v>
      </c>
      <c r="F1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Helper'!$F$5:$F$3004,"""")&lt;&gt;""""),ROWS(F$5:F124)),IF(AND(LEFT(x,5)=""Page"&amp;" "",ISERROR(SEARCH(""–"",x))),x&amp;""–""&amp;REGEXEXTRACT(x,""[0-9]+$""),x)),"""")"),"Chapter 29–30")</f>
        <v>Chapter 29–30</v>
      </c>
      <c r="G124" s="8"/>
      <c r="H1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Helper'!$F$5:$F$3004,"""")&lt;&gt;""""),ROWS(H$5:H124)),"""")"),"sequencing sample")</f>
        <v>sequencing sample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Helper'!$F$5:$F$3004,"""")&lt;&gt;""""),ROWS(A$5:A125)),"""")"),46309.0)</f>
        <v>46309</v>
      </c>
      <c r="B1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Helper'!$F$5:$F$3004,"""")&lt;&gt;""""),ROWS(B$5:B125)),"""")"),"Everyone")</f>
        <v>Everyone</v>
      </c>
      <c r="C1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Helper'!$F$5:$F$3004,"""")&lt;&gt;""""),ROWS(C$5:C125)),"""")"),"Reading Loop")</f>
        <v>Reading Loop</v>
      </c>
      <c r="D1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Helper'!$F$5:$F$3004,"""")&lt;&gt;""""),ROWS(D$5:D125)),"""")"),"All Together / Literature — Family Read-Aloud")</f>
        <v>All Together / Literature — Family Read-Aloud</v>
      </c>
      <c r="E1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Helper'!$F$5:$F$3004,"""")&lt;&gt;""""),ROWS(E$5:E125)),"""")"),"Pinocchio")</f>
        <v>Pinocchio</v>
      </c>
      <c r="F1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Helper'!$F$5:$F$3004,"""")&lt;&gt;""""),ROWS(F$5:F125)),IF(AND(LEFT(x,5)=""Page"&amp;" "",ISERROR(SEARCH(""–"",x))),x&amp;""–""&amp;REGEXEXTRACT(x,""[0-9]+$""),x)),"""")"),"Chapter 31–32")</f>
        <v>Chapter 31–32</v>
      </c>
      <c r="G125" s="8"/>
      <c r="H1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Helper'!$F$5:$F$3004,"""")&lt;&gt;""""),ROWS(H$5:H125)),"""")"),"sequencing sample")</f>
        <v>sequencing sample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Helper'!$F$5:$F$3004,"""")&lt;&gt;""""),ROWS(A$5:A126)),"""")"),46310.0)</f>
        <v>46310</v>
      </c>
      <c r="B1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Helper'!$F$5:$F$3004,"""")&lt;&gt;""""),ROWS(B$5:B126)),"""")"),"Everyone")</f>
        <v>Everyone</v>
      </c>
      <c r="C1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Helper'!$F$5:$F$3004,"""")&lt;&gt;""""),ROWS(C$5:C126)),"""")"),"Reading Loop")</f>
        <v>Reading Loop</v>
      </c>
      <c r="D1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Helper'!$F$5:$F$3004,"""")&lt;&gt;""""),ROWS(D$5:D126)),"""")"),"All Together / Literature — Family Read-Aloud")</f>
        <v>All Together / Literature — Family Read-Aloud</v>
      </c>
      <c r="E1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Helper'!$F$5:$F$3004,"""")&lt;&gt;""""),ROWS(E$5:E126)),"""")"),"Pinocchio")</f>
        <v>Pinocchio</v>
      </c>
      <c r="F1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Helper'!$F$5:$F$3004,"""")&lt;&gt;""""),ROWS(F$5:F126)),IF(AND(LEFT(x,5)=""Page"&amp;" "",ISERROR(SEARCH(""–"",x))),x&amp;""–""&amp;REGEXEXTRACT(x,""[0-9]+$""),x)),"""")"),"Chapter 33–34")</f>
        <v>Chapter 33–34</v>
      </c>
      <c r="G126" s="8"/>
      <c r="H1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Helper'!$F$5:$F$3004,"""")&lt;&gt;""""),ROWS(H$5:H126)),"""")"),"sequencing sample")</f>
        <v>sequencing sample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Helper'!$F$5:$F$3004,"""")&lt;&gt;""""),ROWS(A$5:A127)),"""")"),46311.0)</f>
        <v>46311</v>
      </c>
      <c r="B1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Helper'!$F$5:$F$3004,"""")&lt;&gt;""""),ROWS(B$5:B127)),"""")"),"Everyone")</f>
        <v>Everyone</v>
      </c>
      <c r="C1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Helper'!$F$5:$F$3004,"""")&lt;&gt;""""),ROWS(C$5:C127)),"""")"),"Reading Loop")</f>
        <v>Reading Loop</v>
      </c>
      <c r="D1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Helper'!$F$5:$F$3004,"""")&lt;&gt;""""),ROWS(D$5:D127)),"""")"),"All Together / Literature — Family Read-Aloud")</f>
        <v>All Together / Literature — Family Read-Aloud</v>
      </c>
      <c r="E1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Helper'!$F$5:$F$3004,"""")&lt;&gt;""""),ROWS(E$5:E127)),"""")"),"Pinocchio")</f>
        <v>Pinocchio</v>
      </c>
      <c r="F1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Helper'!$F$5:$F$3004,"""")&lt;&gt;""""),ROWS(F$5:F127)),IF(AND(LEFT(x,5)=""Page"&amp;" "",ISERROR(SEARCH(""–"",x))),x&amp;""–""&amp;REGEXEXTRACT(x,""[0-9]+$""),x)),"""")"),"Chapter 35–36")</f>
        <v>Chapter 35–36</v>
      </c>
      <c r="G127" s="8"/>
      <c r="H1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Helper'!$F$5:$F$3004,"""")&lt;&gt;""""),ROWS(H$5:H127)),"""")"),"sequencing sample")</f>
        <v>sequencing sample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Helper'!$F$5:$F$3004,"""")&lt;&gt;""""),ROWS(A$5:A128)),"""")"),46251.0)</f>
        <v>46251</v>
      </c>
      <c r="B1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Helper'!$F$5:$F$3004,"""")&lt;&gt;""""),ROWS(B$5:B128)),"""")"),"Everyone")</f>
        <v>Everyone</v>
      </c>
      <c r="C1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Helper'!$F$5:$F$3004,"""")&lt;&gt;""""),ROWS(C$5:C128)),"""")"),"Hands + Beauty Loop")</f>
        <v>Hands + Beauty Loop</v>
      </c>
      <c r="D1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Helper'!$F$5:$F$3004,"""")&lt;&gt;""""),ROWS(D$5:D128)),"""")"),"All Together / Beauty + Hands — Hymn")</f>
        <v>All Together / Beauty + Hands — Hymn</v>
      </c>
      <c r="E1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Helper'!$F$5:$F$3004,"""")&lt;&gt;""""),ROWS(E$5:E128)),"""")"),"How Great Thou Art")</f>
        <v>How Great Thou Art</v>
      </c>
      <c r="F1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Helper'!$F$5:$F$3004,"""")&lt;&gt;""""),ROWS(F$5:F128)),IF(AND(LEFT(x,5)=""Page"&amp;" "",ISERROR(SEARCH(""–"",x))),x&amp;""–""&amp;REGEXEXTRACT(x,""[0-9]+$""),x)),"""")"),"Week 1")</f>
        <v>Week 1</v>
      </c>
      <c r="G128" s="8"/>
      <c r="H1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Helper'!$F$5:$F$3004,"""")&lt;&gt;""""),ROWS(H$5:H128)),"""")"),"")</f>
        <v/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Helper'!$F$5:$F$3004,"""")&lt;&gt;""""),ROWS(A$5:A129)),"""")"),46258.0)</f>
        <v>46258</v>
      </c>
      <c r="B1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Helper'!$F$5:$F$3004,"""")&lt;&gt;""""),ROWS(B$5:B129)),"""")"),"Everyone")</f>
        <v>Everyone</v>
      </c>
      <c r="C1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Helper'!$F$5:$F$3004,"""")&lt;&gt;""""),ROWS(C$5:C129)),"""")"),"Hands + Beauty Loop")</f>
        <v>Hands + Beauty Loop</v>
      </c>
      <c r="D1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Helper'!$F$5:$F$3004,"""")&lt;&gt;""""),ROWS(D$5:D129)),"""")"),"All Together / Beauty + Hands — Hymn")</f>
        <v>All Together / Beauty + Hands — Hymn</v>
      </c>
      <c r="E1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Helper'!$F$5:$F$3004,"""")&lt;&gt;""""),ROWS(E$5:E129)),"""")"),"How Great Thou Art")</f>
        <v>How Great Thou Art</v>
      </c>
      <c r="F1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Helper'!$F$5:$F$3004,"""")&lt;&gt;""""),ROWS(F$5:F129)),IF(AND(LEFT(x,5)=""Page"&amp;" "",ISERROR(SEARCH(""–"",x))),x&amp;""–""&amp;REGEXEXTRACT(x,""[0-9]+$""),x)),"""")"),"Week 2")</f>
        <v>Week 2</v>
      </c>
      <c r="G129" s="8"/>
      <c r="H1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Helper'!$F$5:$F$3004,"""")&lt;&gt;""""),ROWS(H$5:H129)),"""")"),"")</f>
        <v/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Helper'!$F$5:$F$3004,"""")&lt;&gt;""""),ROWS(A$5:A130)),"""")"),46265.0)</f>
        <v>46265</v>
      </c>
      <c r="B1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Helper'!$F$5:$F$3004,"""")&lt;&gt;""""),ROWS(B$5:B130)),"""")"),"Everyone")</f>
        <v>Everyone</v>
      </c>
      <c r="C1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Helper'!$F$5:$F$3004,"""")&lt;&gt;""""),ROWS(C$5:C130)),"""")"),"Hands + Beauty Loop")</f>
        <v>Hands + Beauty Loop</v>
      </c>
      <c r="D1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Helper'!$F$5:$F$3004,"""")&lt;&gt;""""),ROWS(D$5:D130)),"""")"),"All Together / Beauty + Hands — Hymn")</f>
        <v>All Together / Beauty + Hands — Hymn</v>
      </c>
      <c r="E1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Helper'!$F$5:$F$3004,"""")&lt;&gt;""""),ROWS(E$5:E130)),"""")"),"How Great Thou Art")</f>
        <v>How Great Thou Art</v>
      </c>
      <c r="F1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Helper'!$F$5:$F$3004,"""")&lt;&gt;""""),ROWS(F$5:F130)),IF(AND(LEFT(x,5)=""Page"&amp;" "",ISERROR(SEARCH(""–"",x))),x&amp;""–""&amp;REGEXEXTRACT(x,""[0-9]+$""),x)),"""")"),"Week 3")</f>
        <v>Week 3</v>
      </c>
      <c r="G130" s="8"/>
      <c r="H1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Helper'!$F$5:$F$3004,"""")&lt;&gt;""""),ROWS(H$5:H130)),"""")"),"")</f>
        <v/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Helper'!$F$5:$F$3004,"""")&lt;&gt;""""),ROWS(A$5:A131)),"""")"),46272.0)</f>
        <v>46272</v>
      </c>
      <c r="B1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Helper'!$F$5:$F$3004,"""")&lt;&gt;""""),ROWS(B$5:B131)),"""")"),"Everyone")</f>
        <v>Everyone</v>
      </c>
      <c r="C1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Helper'!$F$5:$F$3004,"""")&lt;&gt;""""),ROWS(C$5:C131)),"""")"),"Hands + Beauty Loop")</f>
        <v>Hands + Beauty Loop</v>
      </c>
      <c r="D1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Helper'!$F$5:$F$3004,"""")&lt;&gt;""""),ROWS(D$5:D131)),"""")"),"All Together / Beauty + Hands — Hymn")</f>
        <v>All Together / Beauty + Hands — Hymn</v>
      </c>
      <c r="E1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Helper'!$F$5:$F$3004,"""")&lt;&gt;""""),ROWS(E$5:E131)),"""")"),"How Great Thou Art")</f>
        <v>How Great Thou Art</v>
      </c>
      <c r="F1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Helper'!$F$5:$F$3004,"""")&lt;&gt;""""),ROWS(F$5:F131)),IF(AND(LEFT(x,5)=""Page"&amp;" "",ISERROR(SEARCH(""–"",x))),x&amp;""–""&amp;REGEXEXTRACT(x,""[0-9]+$""),x)),"""")"),"Week 4")</f>
        <v>Week 4</v>
      </c>
      <c r="G131" s="8"/>
      <c r="H1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Helper'!$F$5:$F$3004,"""")&lt;&gt;""""),ROWS(H$5:H131)),"""")"),"")</f>
        <v/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Helper'!$F$5:$F$3004,"""")&lt;&gt;""""),ROWS(A$5:A132)),"""")"),46279.0)</f>
        <v>46279</v>
      </c>
      <c r="B1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Helper'!$F$5:$F$3004,"""")&lt;&gt;""""),ROWS(B$5:B132)),"""")"),"Everyone")</f>
        <v>Everyone</v>
      </c>
      <c r="C1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Helper'!$F$5:$F$3004,"""")&lt;&gt;""""),ROWS(C$5:C132)),"""")"),"Hands + Beauty Loop")</f>
        <v>Hands + Beauty Loop</v>
      </c>
      <c r="D1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Helper'!$F$5:$F$3004,"""")&lt;&gt;""""),ROWS(D$5:D132)),"""")"),"All Together / Beauty + Hands — Hymn")</f>
        <v>All Together / Beauty + Hands — Hymn</v>
      </c>
      <c r="E1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Helper'!$F$5:$F$3004,"""")&lt;&gt;""""),ROWS(E$5:E132)),"""")"),"How Great Thou Art")</f>
        <v>How Great Thou Art</v>
      </c>
      <c r="F1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Helper'!$F$5:$F$3004,"""")&lt;&gt;""""),ROWS(F$5:F132)),IF(AND(LEFT(x,5)=""Page"&amp;" "",ISERROR(SEARCH(""–"",x))),x&amp;""–""&amp;REGEXEXTRACT(x,""[0-9]+$""),x)),"""")"),"Week 5")</f>
        <v>Week 5</v>
      </c>
      <c r="G132" s="8"/>
      <c r="H1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Helper'!$F$5:$F$3004,"""")&lt;&gt;""""),ROWS(H$5:H132)),"""")"),"")</f>
        <v/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Helper'!$F$5:$F$3004,"""")&lt;&gt;""""),ROWS(A$5:A133)),"""")"),46286.0)</f>
        <v>46286</v>
      </c>
      <c r="B1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Helper'!$F$5:$F$3004,"""")&lt;&gt;""""),ROWS(B$5:B133)),"""")"),"Everyone")</f>
        <v>Everyone</v>
      </c>
      <c r="C1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Helper'!$F$5:$F$3004,"""")&lt;&gt;""""),ROWS(C$5:C133)),"""")"),"Hands + Beauty Loop")</f>
        <v>Hands + Beauty Loop</v>
      </c>
      <c r="D1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Helper'!$F$5:$F$3004,"""")&lt;&gt;""""),ROWS(D$5:D133)),"""")"),"All Together / Beauty + Hands — Hymn")</f>
        <v>All Together / Beauty + Hands — Hymn</v>
      </c>
      <c r="E1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Helper'!$F$5:$F$3004,"""")&lt;&gt;""""),ROWS(E$5:E133)),"""")"),"How Great Thou Art")</f>
        <v>How Great Thou Art</v>
      </c>
      <c r="F1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Helper'!$F$5:$F$3004,"""")&lt;&gt;""""),ROWS(F$5:F133)),IF(AND(LEFT(x,5)=""Page"&amp;" "",ISERROR(SEARCH(""–"",x))),x&amp;""–""&amp;REGEXEXTRACT(x,""[0-9]+$""),x)),"""")"),"Week 6")</f>
        <v>Week 6</v>
      </c>
      <c r="G133" s="8"/>
      <c r="H1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Helper'!$F$5:$F$3004,"""")&lt;&gt;""""),ROWS(H$5:H133)),"""")"),"")</f>
        <v/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Helper'!$F$5:$F$3004,"""")&lt;&gt;""""),ROWS(A$5:A134)),"""")"),46287.0)</f>
        <v>46287</v>
      </c>
      <c r="B1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Helper'!$F$5:$F$3004,"""")&lt;&gt;""""),ROWS(B$5:B134)),"""")"),"Everyone")</f>
        <v>Everyone</v>
      </c>
      <c r="C1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Helper'!$F$5:$F$3004,"""")&lt;&gt;""""),ROWS(C$5:C134)),"""")"),"Hands + Beauty Loop")</f>
        <v>Hands + Beauty Loop</v>
      </c>
      <c r="D1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Helper'!$F$5:$F$3004,"""")&lt;&gt;""""),ROWS(D$5:D134)),"""")"),"All Together / Beauty + Hands — Hymn")</f>
        <v>All Together / Beauty + Hands — Hymn</v>
      </c>
      <c r="E1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Helper'!$F$5:$F$3004,"""")&lt;&gt;""""),ROWS(E$5:E134)),"""")"),"Come Thou Fount")</f>
        <v>Come Thou Fount</v>
      </c>
      <c r="F1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Helper'!$F$5:$F$3004,"""")&lt;&gt;""""),ROWS(F$5:F134)),IF(AND(LEFT(x,5)=""Page"&amp;" "",ISERROR(SEARCH(""–"",x))),x&amp;""–""&amp;REGEXEXTRACT(x,""[0-9]+$""),x)),"""")"),"Week 1")</f>
        <v>Week 1</v>
      </c>
      <c r="G134" s="8"/>
      <c r="H1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Helper'!$F$5:$F$3004,"""")&lt;&gt;""""),ROWS(H$5:H134)),"""")"),"")</f>
        <v/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Helper'!$F$5:$F$3004,"""")&lt;&gt;""""),ROWS(A$5:A135)),"""")"),46294.0)</f>
        <v>46294</v>
      </c>
      <c r="B1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Helper'!$F$5:$F$3004,"""")&lt;&gt;""""),ROWS(B$5:B135)),"""")"),"Everyone")</f>
        <v>Everyone</v>
      </c>
      <c r="C1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Helper'!$F$5:$F$3004,"""")&lt;&gt;""""),ROWS(C$5:C135)),"""")"),"Hands + Beauty Loop")</f>
        <v>Hands + Beauty Loop</v>
      </c>
      <c r="D1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Helper'!$F$5:$F$3004,"""")&lt;&gt;""""),ROWS(D$5:D135)),"""")"),"All Together / Beauty + Hands — Hymn")</f>
        <v>All Together / Beauty + Hands — Hymn</v>
      </c>
      <c r="E1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Helper'!$F$5:$F$3004,"""")&lt;&gt;""""),ROWS(E$5:E135)),"""")"),"Come Thou Fount")</f>
        <v>Come Thou Fount</v>
      </c>
      <c r="F1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Helper'!$F$5:$F$3004,"""")&lt;&gt;""""),ROWS(F$5:F135)),IF(AND(LEFT(x,5)=""Page"&amp;" "",ISERROR(SEARCH(""–"",x))),x&amp;""–""&amp;REGEXEXTRACT(x,""[0-9]+$""),x)),"""")"),"Week 2")</f>
        <v>Week 2</v>
      </c>
      <c r="G135" s="8"/>
      <c r="H1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Helper'!$F$5:$F$3004,"""")&lt;&gt;""""),ROWS(H$5:H135)),"""")"),"")</f>
        <v/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Helper'!$F$5:$F$3004,"""")&lt;&gt;""""),ROWS(A$5:A136)),"""")"),46301.0)</f>
        <v>46301</v>
      </c>
      <c r="B1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Helper'!$F$5:$F$3004,"""")&lt;&gt;""""),ROWS(B$5:B136)),"""")"),"Everyone")</f>
        <v>Everyone</v>
      </c>
      <c r="C1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Helper'!$F$5:$F$3004,"""")&lt;&gt;""""),ROWS(C$5:C136)),"""")"),"Hands + Beauty Loop")</f>
        <v>Hands + Beauty Loop</v>
      </c>
      <c r="D1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Helper'!$F$5:$F$3004,"""")&lt;&gt;""""),ROWS(D$5:D136)),"""")"),"All Together / Beauty + Hands — Hymn")</f>
        <v>All Together / Beauty + Hands — Hymn</v>
      </c>
      <c r="E1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Helper'!$F$5:$F$3004,"""")&lt;&gt;""""),ROWS(E$5:E136)),"""")"),"Come Thou Fount")</f>
        <v>Come Thou Fount</v>
      </c>
      <c r="F1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Helper'!$F$5:$F$3004,"""")&lt;&gt;""""),ROWS(F$5:F136)),IF(AND(LEFT(x,5)=""Page"&amp;" "",ISERROR(SEARCH(""–"",x))),x&amp;""–""&amp;REGEXEXTRACT(x,""[0-9]+$""),x)),"""")"),"Week 3")</f>
        <v>Week 3</v>
      </c>
      <c r="G136" s="8"/>
      <c r="H1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Helper'!$F$5:$F$3004,"""")&lt;&gt;""""),ROWS(H$5:H136)),"""")"),"")</f>
        <v/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Helper'!$F$5:$F$3004,"""")&lt;&gt;""""),ROWS(A$5:A137)),"""")"),46308.0)</f>
        <v>46308</v>
      </c>
      <c r="B1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Helper'!$F$5:$F$3004,"""")&lt;&gt;""""),ROWS(B$5:B137)),"""")"),"Everyone")</f>
        <v>Everyone</v>
      </c>
      <c r="C1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Helper'!$F$5:$F$3004,"""")&lt;&gt;""""),ROWS(C$5:C137)),"""")"),"Hands + Beauty Loop")</f>
        <v>Hands + Beauty Loop</v>
      </c>
      <c r="D1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Helper'!$F$5:$F$3004,"""")&lt;&gt;""""),ROWS(D$5:D137)),"""")"),"All Together / Beauty + Hands — Hymn")</f>
        <v>All Together / Beauty + Hands — Hymn</v>
      </c>
      <c r="E1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Helper'!$F$5:$F$3004,"""")&lt;&gt;""""),ROWS(E$5:E137)),"""")"),"Come Thou Fount")</f>
        <v>Come Thou Fount</v>
      </c>
      <c r="F1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Helper'!$F$5:$F$3004,"""")&lt;&gt;""""),ROWS(F$5:F137)),IF(AND(LEFT(x,5)=""Page"&amp;" "",ISERROR(SEARCH(""–"",x))),x&amp;""–""&amp;REGEXEXTRACT(x,""[0-9]+$""),x)),"""")"),"Week 4")</f>
        <v>Week 4</v>
      </c>
      <c r="G137" s="8"/>
      <c r="H1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Helper'!$F$5:$F$3004,"""")&lt;&gt;""""),ROWS(H$5:H137)),"""")"),"")</f>
        <v/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Helper'!$F$5:$F$3004,"""")&lt;&gt;""""),ROWS(A$5:A138)),"""")"),46315.0)</f>
        <v>46315</v>
      </c>
      <c r="B1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Helper'!$F$5:$F$3004,"""")&lt;&gt;""""),ROWS(B$5:B138)),"""")"),"Everyone")</f>
        <v>Everyone</v>
      </c>
      <c r="C1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Helper'!$F$5:$F$3004,"""")&lt;&gt;""""),ROWS(C$5:C138)),"""")"),"Hands + Beauty Loop")</f>
        <v>Hands + Beauty Loop</v>
      </c>
      <c r="D1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Helper'!$F$5:$F$3004,"""")&lt;&gt;""""),ROWS(D$5:D138)),"""")"),"All Together / Beauty + Hands — Hymn")</f>
        <v>All Together / Beauty + Hands — Hymn</v>
      </c>
      <c r="E1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Helper'!$F$5:$F$3004,"""")&lt;&gt;""""),ROWS(E$5:E138)),"""")"),"Come Thou Fount")</f>
        <v>Come Thou Fount</v>
      </c>
      <c r="F1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Helper'!$F$5:$F$3004,"""")&lt;&gt;""""),ROWS(F$5:F138)),IF(AND(LEFT(x,5)=""Page"&amp;" "",ISERROR(SEARCH(""–"",x))),x&amp;""–""&amp;REGEXEXTRACT(x,""[0-9]+$""),x)),"""")"),"Week 5")</f>
        <v>Week 5</v>
      </c>
      <c r="G138" s="8"/>
      <c r="H1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Helper'!$F$5:$F$3004,"""")&lt;&gt;""""),ROWS(H$5:H138)),"""")"),"")</f>
        <v/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Helper'!$F$5:$F$3004,"""")&lt;&gt;""""),ROWS(A$5:A139)),"""")"),46329.0)</f>
        <v>46329</v>
      </c>
      <c r="B1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Helper'!$F$5:$F$3004,"""")&lt;&gt;""""),ROWS(B$5:B139)),"""")"),"Everyone")</f>
        <v>Everyone</v>
      </c>
      <c r="C1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Helper'!$F$5:$F$3004,"""")&lt;&gt;""""),ROWS(C$5:C139)),"""")"),"Hands + Beauty Loop")</f>
        <v>Hands + Beauty Loop</v>
      </c>
      <c r="D1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Helper'!$F$5:$F$3004,"""")&lt;&gt;""""),ROWS(D$5:D139)),"""")"),"All Together / Beauty + Hands — Hymn")</f>
        <v>All Together / Beauty + Hands — Hymn</v>
      </c>
      <c r="E1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Helper'!$F$5:$F$3004,"""")&lt;&gt;""""),ROWS(E$5:E139)),"""")"),"Come Thou Fount")</f>
        <v>Come Thou Fount</v>
      </c>
      <c r="F1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Helper'!$F$5:$F$3004,"""")&lt;&gt;""""),ROWS(F$5:F139)),IF(AND(LEFT(x,5)=""Page"&amp;" "",ISERROR(SEARCH(""–"",x))),x&amp;""–""&amp;REGEXEXTRACT(x,""[0-9]+$""),x)),"""")"),"Week 6")</f>
        <v>Week 6</v>
      </c>
      <c r="G139" s="8"/>
      <c r="H1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Helper'!$F$5:$F$3004,"""")&lt;&gt;""""),ROWS(H$5:H139)),"""")"),"")</f>
        <v/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Helper'!$F$5:$F$3004,"""")&lt;&gt;""""),ROWS(A$5:A140)),"""")"),46251.0)</f>
        <v>46251</v>
      </c>
      <c r="B1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Helper'!$F$5:$F$3004,"""")&lt;&gt;""""),ROWS(B$5:B140)),"""")"),"Everyone")</f>
        <v>Everyone</v>
      </c>
      <c r="C1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Helper'!$F$5:$F$3004,"""")&lt;&gt;""""),ROWS(C$5:C140)),"""")"),"Faith")</f>
        <v>Faith</v>
      </c>
      <c r="D1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Helper'!$F$5:$F$3004,"""")&lt;&gt;""""),ROWS(D$5:D140)),"""")"),"All Together / Bible — Old Testament")</f>
        <v>All Together / Bible — Old Testament</v>
      </c>
      <c r="E1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Helper'!$F$5:$F$3004,"""")&lt;&gt;""""),ROWS(E$5:E140)),"""")"),"Genesis")</f>
        <v>Genesis</v>
      </c>
      <c r="F1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Helper'!$F$5:$F$3004,"""")&lt;&gt;""""),ROWS(F$5:F140)),IF(AND(LEFT(x,5)=""Page"&amp;" "",ISERROR(SEARCH(""–"",x))),x&amp;""–""&amp;REGEXEXTRACT(x,""[0-9]+$""),x)),"""")"),"Chapter 1–3")</f>
        <v>Chapter 1–3</v>
      </c>
      <c r="G140" s="8"/>
      <c r="H1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Helper'!$F$5:$F$3004,"""")&lt;&gt;""""),ROWS(H$5:H140)),"""")"),"")</f>
        <v/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Helper'!$F$5:$F$3004,"""")&lt;&gt;""""),ROWS(A$5:A141)),"""")"),46258.0)</f>
        <v>46258</v>
      </c>
      <c r="B1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Helper'!$F$5:$F$3004,"""")&lt;&gt;""""),ROWS(B$5:B141)),"""")"),"Everyone")</f>
        <v>Everyone</v>
      </c>
      <c r="C1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Helper'!$F$5:$F$3004,"""")&lt;&gt;""""),ROWS(C$5:C141)),"""")"),"Faith")</f>
        <v>Faith</v>
      </c>
      <c r="D1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Helper'!$F$5:$F$3004,"""")&lt;&gt;""""),ROWS(D$5:D141)),"""")"),"All Together / Bible — Old Testament")</f>
        <v>All Together / Bible — Old Testament</v>
      </c>
      <c r="E1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Helper'!$F$5:$F$3004,"""")&lt;&gt;""""),ROWS(E$5:E141)),"""")"),"Genesis")</f>
        <v>Genesis</v>
      </c>
      <c r="F1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Helper'!$F$5:$F$3004,"""")&lt;&gt;""""),ROWS(F$5:F141)),IF(AND(LEFT(x,5)=""Page"&amp;" "",ISERROR(SEARCH(""–"",x))),x&amp;""–""&amp;REGEXEXTRACT(x,""[0-9]+$""),x)),"""")"),"Chapter 4–6")</f>
        <v>Chapter 4–6</v>
      </c>
      <c r="G141" s="8"/>
      <c r="H1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Helper'!$F$5:$F$3004,"""")&lt;&gt;""""),ROWS(H$5:H141)),"""")"),"")</f>
        <v/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Helper'!$F$5:$F$3004,"""")&lt;&gt;""""),ROWS(A$5:A142)),"""")"),46265.0)</f>
        <v>46265</v>
      </c>
      <c r="B1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Helper'!$F$5:$F$3004,"""")&lt;&gt;""""),ROWS(B$5:B142)),"""")"),"Everyone")</f>
        <v>Everyone</v>
      </c>
      <c r="C1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Helper'!$F$5:$F$3004,"""")&lt;&gt;""""),ROWS(C$5:C142)),"""")"),"Faith")</f>
        <v>Faith</v>
      </c>
      <c r="D1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Helper'!$F$5:$F$3004,"""")&lt;&gt;""""),ROWS(D$5:D142)),"""")"),"All Together / Bible — Old Testament")</f>
        <v>All Together / Bible — Old Testament</v>
      </c>
      <c r="E1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Helper'!$F$5:$F$3004,"""")&lt;&gt;""""),ROWS(E$5:E142)),"""")"),"Genesis")</f>
        <v>Genesis</v>
      </c>
      <c r="F1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Helper'!$F$5:$F$3004,"""")&lt;&gt;""""),ROWS(F$5:F142)),IF(AND(LEFT(x,5)=""Page"&amp;" "",ISERROR(SEARCH(""–"",x))),x&amp;""–""&amp;REGEXEXTRACT(x,""[0-9]+$""),x)),"""")"),"Chapter 7–9")</f>
        <v>Chapter 7–9</v>
      </c>
      <c r="G142" s="8"/>
      <c r="H1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Helper'!$F$5:$F$3004,"""")&lt;&gt;""""),ROWS(H$5:H142)),"""")"),"")</f>
        <v/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Helper'!$F$5:$F$3004,"""")&lt;&gt;""""),ROWS(A$5:A143)),"""")"),46272.0)</f>
        <v>46272</v>
      </c>
      <c r="B1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Helper'!$F$5:$F$3004,"""")&lt;&gt;""""),ROWS(B$5:B143)),"""")"),"Everyone")</f>
        <v>Everyone</v>
      </c>
      <c r="C1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Helper'!$F$5:$F$3004,"""")&lt;&gt;""""),ROWS(C$5:C143)),"""")"),"Faith")</f>
        <v>Faith</v>
      </c>
      <c r="D1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Helper'!$F$5:$F$3004,"""")&lt;&gt;""""),ROWS(D$5:D143)),"""")"),"All Together / Bible — Old Testament")</f>
        <v>All Together / Bible — Old Testament</v>
      </c>
      <c r="E1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Helper'!$F$5:$F$3004,"""")&lt;&gt;""""),ROWS(E$5:E143)),"""")"),"Genesis")</f>
        <v>Genesis</v>
      </c>
      <c r="F1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Helper'!$F$5:$F$3004,"""")&lt;&gt;""""),ROWS(F$5:F143)),IF(AND(LEFT(x,5)=""Page"&amp;" "",ISERROR(SEARCH(""–"",x))),x&amp;""–""&amp;REGEXEXTRACT(x,""[0-9]+$""),x)),"""")"),"Chapter 10–12")</f>
        <v>Chapter 10–12</v>
      </c>
      <c r="G143" s="8"/>
      <c r="H1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Helper'!$F$5:$F$3004,"""")&lt;&gt;""""),ROWS(H$5:H143)),"""")"),"")</f>
        <v/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Helper'!$F$5:$F$3004,"""")&lt;&gt;""""),ROWS(A$5:A144)),"""")"),46279.0)</f>
        <v>46279</v>
      </c>
      <c r="B1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Helper'!$F$5:$F$3004,"""")&lt;&gt;""""),ROWS(B$5:B144)),"""")"),"Everyone")</f>
        <v>Everyone</v>
      </c>
      <c r="C1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Helper'!$F$5:$F$3004,"""")&lt;&gt;""""),ROWS(C$5:C144)),"""")"),"Faith")</f>
        <v>Faith</v>
      </c>
      <c r="D1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Helper'!$F$5:$F$3004,"""")&lt;&gt;""""),ROWS(D$5:D144)),"""")"),"All Together / Bible — Old Testament")</f>
        <v>All Together / Bible — Old Testament</v>
      </c>
      <c r="E1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Helper'!$F$5:$F$3004,"""")&lt;&gt;""""),ROWS(E$5:E144)),"""")"),"Genesis")</f>
        <v>Genesis</v>
      </c>
      <c r="F1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Helper'!$F$5:$F$3004,"""")&lt;&gt;""""),ROWS(F$5:F144)),IF(AND(LEFT(x,5)=""Page"&amp;" "",ISERROR(SEARCH(""–"",x))),x&amp;""–""&amp;REGEXEXTRACT(x,""[0-9]+$""),x)),"""")"),"Chapter 13–15")</f>
        <v>Chapter 13–15</v>
      </c>
      <c r="G144" s="8"/>
      <c r="H1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Helper'!$F$5:$F$3004,"""")&lt;&gt;""""),ROWS(H$5:H144)),"""")"),"")</f>
        <v/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Helper'!$F$5:$F$3004,"""")&lt;&gt;""""),ROWS(A$5:A145)),"""")"),46286.0)</f>
        <v>46286</v>
      </c>
      <c r="B1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Helper'!$F$5:$F$3004,"""")&lt;&gt;""""),ROWS(B$5:B145)),"""")"),"Everyone")</f>
        <v>Everyone</v>
      </c>
      <c r="C1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Helper'!$F$5:$F$3004,"""")&lt;&gt;""""),ROWS(C$5:C145)),"""")"),"Faith")</f>
        <v>Faith</v>
      </c>
      <c r="D1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Helper'!$F$5:$F$3004,"""")&lt;&gt;""""),ROWS(D$5:D145)),"""")"),"All Together / Bible — Old Testament")</f>
        <v>All Together / Bible — Old Testament</v>
      </c>
      <c r="E1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Helper'!$F$5:$F$3004,"""")&lt;&gt;""""),ROWS(E$5:E145)),"""")"),"Genesis")</f>
        <v>Genesis</v>
      </c>
      <c r="F1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Helper'!$F$5:$F$3004,"""")&lt;&gt;""""),ROWS(F$5:F145)),IF(AND(LEFT(x,5)=""Page"&amp;" "",ISERROR(SEARCH(""–"",x))),x&amp;""–""&amp;REGEXEXTRACT(x,""[0-9]+$""),x)),"""")"),"Chapter 16–18")</f>
        <v>Chapter 16–18</v>
      </c>
      <c r="G145" s="8"/>
      <c r="H1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Helper'!$F$5:$F$3004,"""")&lt;&gt;""""),ROWS(H$5:H145)),"""")"),"")</f>
        <v/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Helper'!$F$5:$F$3004,"""")&lt;&gt;""""),ROWS(A$5:A146)),"""")"),46293.0)</f>
        <v>46293</v>
      </c>
      <c r="B1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Helper'!$F$5:$F$3004,"""")&lt;&gt;""""),ROWS(B$5:B146)),"""")"),"Everyone")</f>
        <v>Everyone</v>
      </c>
      <c r="C1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Helper'!$F$5:$F$3004,"""")&lt;&gt;""""),ROWS(C$5:C146)),"""")"),"Faith")</f>
        <v>Faith</v>
      </c>
      <c r="D1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Helper'!$F$5:$F$3004,"""")&lt;&gt;""""),ROWS(D$5:D146)),"""")"),"All Together / Bible — Old Testament")</f>
        <v>All Together / Bible — Old Testament</v>
      </c>
      <c r="E1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Helper'!$F$5:$F$3004,"""")&lt;&gt;""""),ROWS(E$5:E146)),"""")"),"Genesis")</f>
        <v>Genesis</v>
      </c>
      <c r="F1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Helper'!$F$5:$F$3004,"""")&lt;&gt;""""),ROWS(F$5:F146)),IF(AND(LEFT(x,5)=""Page"&amp;" "",ISERROR(SEARCH(""–"",x))),x&amp;""–""&amp;REGEXEXTRACT(x,""[0-9]+$""),x)),"""")"),"Chapter 19–21")</f>
        <v>Chapter 19–21</v>
      </c>
      <c r="G146" s="8"/>
      <c r="H1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Helper'!$F$5:$F$3004,"""")&lt;&gt;""""),ROWS(H$5:H146)),"""")"),"")</f>
        <v/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Helper'!$F$5:$F$3004,"""")&lt;&gt;""""),ROWS(A$5:A147)),"""")"),46300.0)</f>
        <v>46300</v>
      </c>
      <c r="B1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Helper'!$F$5:$F$3004,"""")&lt;&gt;""""),ROWS(B$5:B147)),"""")"),"Everyone")</f>
        <v>Everyone</v>
      </c>
      <c r="C1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Helper'!$F$5:$F$3004,"""")&lt;&gt;""""),ROWS(C$5:C147)),"""")"),"Faith")</f>
        <v>Faith</v>
      </c>
      <c r="D1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Helper'!$F$5:$F$3004,"""")&lt;&gt;""""),ROWS(D$5:D147)),"""")"),"All Together / Bible — Old Testament")</f>
        <v>All Together / Bible — Old Testament</v>
      </c>
      <c r="E1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Helper'!$F$5:$F$3004,"""")&lt;&gt;""""),ROWS(E$5:E147)),"""")"),"Genesis")</f>
        <v>Genesis</v>
      </c>
      <c r="F1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Helper'!$F$5:$F$3004,"""")&lt;&gt;""""),ROWS(F$5:F147)),IF(AND(LEFT(x,5)=""Page"&amp;" "",ISERROR(SEARCH(""–"",x))),x&amp;""–""&amp;REGEXEXTRACT(x,""[0-9]+$""),x)),"""")"),"Chapter 22–24")</f>
        <v>Chapter 22–24</v>
      </c>
      <c r="G147" s="8"/>
      <c r="H1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Helper'!$F$5:$F$3004,"""")&lt;&gt;""""),ROWS(H$5:H147)),"""")"),"")</f>
        <v/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Helper'!$F$5:$F$3004,"""")&lt;&gt;""""),ROWS(A$5:A148)),"""")"),46307.0)</f>
        <v>46307</v>
      </c>
      <c r="B1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Helper'!$F$5:$F$3004,"""")&lt;&gt;""""),ROWS(B$5:B148)),"""")"),"Everyone")</f>
        <v>Everyone</v>
      </c>
      <c r="C1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Helper'!$F$5:$F$3004,"""")&lt;&gt;""""),ROWS(C$5:C148)),"""")"),"Faith")</f>
        <v>Faith</v>
      </c>
      <c r="D1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Helper'!$F$5:$F$3004,"""")&lt;&gt;""""),ROWS(D$5:D148)),"""")"),"All Together / Bible — Old Testament")</f>
        <v>All Together / Bible — Old Testament</v>
      </c>
      <c r="E1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Helper'!$F$5:$F$3004,"""")&lt;&gt;""""),ROWS(E$5:E148)),"""")"),"Genesis")</f>
        <v>Genesis</v>
      </c>
      <c r="F1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Helper'!$F$5:$F$3004,"""")&lt;&gt;""""),ROWS(F$5:F148)),IF(AND(LEFT(x,5)=""Page"&amp;" "",ISERROR(SEARCH(""–"",x))),x&amp;""–""&amp;REGEXEXTRACT(x,""[0-9]+$""),x)),"""")"),"Chapter 25–27")</f>
        <v>Chapter 25–27</v>
      </c>
      <c r="G148" s="8"/>
      <c r="H1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Helper'!$F$5:$F$3004,"""")&lt;&gt;""""),ROWS(H$5:H148)),"""")"),"")</f>
        <v/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Helper'!$F$5:$F$3004,"""")&lt;&gt;""""),ROWS(A$5:A149)),"""")"),46314.0)</f>
        <v>46314</v>
      </c>
      <c r="B1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Helper'!$F$5:$F$3004,"""")&lt;&gt;""""),ROWS(B$5:B149)),"""")"),"Everyone")</f>
        <v>Everyone</v>
      </c>
      <c r="C1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Helper'!$F$5:$F$3004,"""")&lt;&gt;""""),ROWS(C$5:C149)),"""")"),"Faith")</f>
        <v>Faith</v>
      </c>
      <c r="D1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Helper'!$F$5:$F$3004,"""")&lt;&gt;""""),ROWS(D$5:D149)),"""")"),"All Together / Bible — Old Testament")</f>
        <v>All Together / Bible — Old Testament</v>
      </c>
      <c r="E1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Helper'!$F$5:$F$3004,"""")&lt;&gt;""""),ROWS(E$5:E149)),"""")"),"Genesis")</f>
        <v>Genesis</v>
      </c>
      <c r="F1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Helper'!$F$5:$F$3004,"""")&lt;&gt;""""),ROWS(F$5:F149)),IF(AND(LEFT(x,5)=""Page"&amp;" "",ISERROR(SEARCH(""–"",x))),x&amp;""–""&amp;REGEXEXTRACT(x,""[0-9]+$""),x)),"""")"),"Chapter 28–30")</f>
        <v>Chapter 28–30</v>
      </c>
      <c r="G149" s="8"/>
      <c r="H1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Helper'!$F$5:$F$3004,"""")&lt;&gt;""""),ROWS(H$5:H149)),"""")"),"")</f>
        <v/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Helper'!$F$5:$F$3004,"""")&lt;&gt;""""),ROWS(A$5:A150)),"""")"),46328.0)</f>
        <v>46328</v>
      </c>
      <c r="B1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Helper'!$F$5:$F$3004,"""")&lt;&gt;""""),ROWS(B$5:B150)),"""")"),"Everyone")</f>
        <v>Everyone</v>
      </c>
      <c r="C1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Helper'!$F$5:$F$3004,"""")&lt;&gt;""""),ROWS(C$5:C150)),"""")"),"Faith")</f>
        <v>Faith</v>
      </c>
      <c r="D1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Helper'!$F$5:$F$3004,"""")&lt;&gt;""""),ROWS(D$5:D150)),"""")"),"All Together / Bible — Old Testament")</f>
        <v>All Together / Bible — Old Testament</v>
      </c>
      <c r="E1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Helper'!$F$5:$F$3004,"""")&lt;&gt;""""),ROWS(E$5:E150)),"""")"),"Genesis")</f>
        <v>Genesis</v>
      </c>
      <c r="F1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Helper'!$F$5:$F$3004,"""")&lt;&gt;""""),ROWS(F$5:F150)),IF(AND(LEFT(x,5)=""Page"&amp;" "",ISERROR(SEARCH(""–"",x))),x&amp;""–""&amp;REGEXEXTRACT(x,""[0-9]+$""),x)),"""")"),"Chapter 31–33")</f>
        <v>Chapter 31–33</v>
      </c>
      <c r="G150" s="8"/>
      <c r="H1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Helper'!$F$5:$F$3004,"""")&lt;&gt;""""),ROWS(H$5:H150)),"""")"),"")</f>
        <v/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Helper'!$F$5:$F$3004,"""")&lt;&gt;""""),ROWS(A$5:A151)),"""")"),46335.0)</f>
        <v>46335</v>
      </c>
      <c r="B1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Helper'!$F$5:$F$3004,"""")&lt;&gt;""""),ROWS(B$5:B151)),"""")"),"Everyone")</f>
        <v>Everyone</v>
      </c>
      <c r="C1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Helper'!$F$5:$F$3004,"""")&lt;&gt;""""),ROWS(C$5:C151)),"""")"),"Faith")</f>
        <v>Faith</v>
      </c>
      <c r="D1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Helper'!$F$5:$F$3004,"""")&lt;&gt;""""),ROWS(D$5:D151)),"""")"),"All Together / Bible — Old Testament")</f>
        <v>All Together / Bible — Old Testament</v>
      </c>
      <c r="E1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Helper'!$F$5:$F$3004,"""")&lt;&gt;""""),ROWS(E$5:E151)),"""")"),"Genesis")</f>
        <v>Genesis</v>
      </c>
      <c r="F1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Helper'!$F$5:$F$3004,"""")&lt;&gt;""""),ROWS(F$5:F151)),IF(AND(LEFT(x,5)=""Page"&amp;" "",ISERROR(SEARCH(""–"",x))),x&amp;""–""&amp;REGEXEXTRACT(x,""[0-9]+$""),x)),"""")"),"Chapter 34–36")</f>
        <v>Chapter 34–36</v>
      </c>
      <c r="G151" s="8"/>
      <c r="H1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Helper'!$F$5:$F$3004,"""")&lt;&gt;""""),ROWS(H$5:H151)),"""")"),"")</f>
        <v/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Helper'!$F$5:$F$3004,"""")&lt;&gt;""""),ROWS(A$5:A152)),"""")"),46342.0)</f>
        <v>46342</v>
      </c>
      <c r="B1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Helper'!$F$5:$F$3004,"""")&lt;&gt;""""),ROWS(B$5:B152)),"""")"),"Everyone")</f>
        <v>Everyone</v>
      </c>
      <c r="C1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Helper'!$F$5:$F$3004,"""")&lt;&gt;""""),ROWS(C$5:C152)),"""")"),"Faith")</f>
        <v>Faith</v>
      </c>
      <c r="D1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Helper'!$F$5:$F$3004,"""")&lt;&gt;""""),ROWS(D$5:D152)),"""")"),"All Together / Bible — Old Testament")</f>
        <v>All Together / Bible — Old Testament</v>
      </c>
      <c r="E1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Helper'!$F$5:$F$3004,"""")&lt;&gt;""""),ROWS(E$5:E152)),"""")"),"Genesis")</f>
        <v>Genesis</v>
      </c>
      <c r="F1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Helper'!$F$5:$F$3004,"""")&lt;&gt;""""),ROWS(F$5:F152)),IF(AND(LEFT(x,5)=""Page"&amp;" "",ISERROR(SEARCH(""–"",x))),x&amp;""–""&amp;REGEXEXTRACT(x,""[0-9]+$""),x)),"""")"),"Chapter 37–39")</f>
        <v>Chapter 37–39</v>
      </c>
      <c r="G152" s="8"/>
      <c r="H1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Helper'!$F$5:$F$3004,"""")&lt;&gt;""""),ROWS(H$5:H152)),"""")"),"")</f>
        <v/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Helper'!$F$5:$F$3004,"""")&lt;&gt;""""),ROWS(A$5:A153)),"""")"),46349.0)</f>
        <v>46349</v>
      </c>
      <c r="B1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Helper'!$F$5:$F$3004,"""")&lt;&gt;""""),ROWS(B$5:B153)),"""")"),"Everyone")</f>
        <v>Everyone</v>
      </c>
      <c r="C1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Helper'!$F$5:$F$3004,"""")&lt;&gt;""""),ROWS(C$5:C153)),"""")"),"Faith")</f>
        <v>Faith</v>
      </c>
      <c r="D1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Helper'!$F$5:$F$3004,"""")&lt;&gt;""""),ROWS(D$5:D153)),"""")"),"All Together / Bible — Old Testament")</f>
        <v>All Together / Bible — Old Testament</v>
      </c>
      <c r="E1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Helper'!$F$5:$F$3004,"""")&lt;&gt;""""),ROWS(E$5:E153)),"""")"),"Genesis")</f>
        <v>Genesis</v>
      </c>
      <c r="F1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Helper'!$F$5:$F$3004,"""")&lt;&gt;""""),ROWS(F$5:F153)),IF(AND(LEFT(x,5)=""Page"&amp;" "",ISERROR(SEARCH(""–"",x))),x&amp;""–""&amp;REGEXEXTRACT(x,""[0-9]+$""),x)),"""")"),"Chapter 40–42")</f>
        <v>Chapter 40–42</v>
      </c>
      <c r="G153" s="8"/>
      <c r="H1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Helper'!$F$5:$F$3004,"""")&lt;&gt;""""),ROWS(H$5:H153)),"""")"),"")</f>
        <v/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Helper'!$F$5:$F$3004,"""")&lt;&gt;""""),ROWS(A$5:A154)),"""")"),46356.0)</f>
        <v>46356</v>
      </c>
      <c r="B1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Helper'!$F$5:$F$3004,"""")&lt;&gt;""""),ROWS(B$5:B154)),"""")"),"Everyone")</f>
        <v>Everyone</v>
      </c>
      <c r="C1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Helper'!$F$5:$F$3004,"""")&lt;&gt;""""),ROWS(C$5:C154)),"""")"),"Faith")</f>
        <v>Faith</v>
      </c>
      <c r="D1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Helper'!$F$5:$F$3004,"""")&lt;&gt;""""),ROWS(D$5:D154)),"""")"),"All Together / Bible — Old Testament")</f>
        <v>All Together / Bible — Old Testament</v>
      </c>
      <c r="E1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Helper'!$F$5:$F$3004,"""")&lt;&gt;""""),ROWS(E$5:E154)),"""")"),"Genesis")</f>
        <v>Genesis</v>
      </c>
      <c r="F1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Helper'!$F$5:$F$3004,"""")&lt;&gt;""""),ROWS(F$5:F154)),IF(AND(LEFT(x,5)=""Page"&amp;" "",ISERROR(SEARCH(""–"",x))),x&amp;""–""&amp;REGEXEXTRACT(x,""[0-9]+$""),x)),"""")"),"Chapter 43–45")</f>
        <v>Chapter 43–45</v>
      </c>
      <c r="G154" s="8"/>
      <c r="H1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Helper'!$F$5:$F$3004,"""")&lt;&gt;""""),ROWS(H$5:H154)),"""")"),"")</f>
        <v/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Helper'!$F$5:$F$3004,"""")&lt;&gt;""""),ROWS(A$5:A155)),"""")"),46363.0)</f>
        <v>46363</v>
      </c>
      <c r="B1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Helper'!$F$5:$F$3004,"""")&lt;&gt;""""),ROWS(B$5:B155)),"""")"),"Everyone")</f>
        <v>Everyone</v>
      </c>
      <c r="C1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Helper'!$F$5:$F$3004,"""")&lt;&gt;""""),ROWS(C$5:C155)),"""")"),"Faith")</f>
        <v>Faith</v>
      </c>
      <c r="D1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Helper'!$F$5:$F$3004,"""")&lt;&gt;""""),ROWS(D$5:D155)),"""")"),"All Together / Bible — Old Testament")</f>
        <v>All Together / Bible — Old Testament</v>
      </c>
      <c r="E1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Helper'!$F$5:$F$3004,"""")&lt;&gt;""""),ROWS(E$5:E155)),"""")"),"Genesis")</f>
        <v>Genesis</v>
      </c>
      <c r="F1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Helper'!$F$5:$F$3004,"""")&lt;&gt;""""),ROWS(F$5:F155)),IF(AND(LEFT(x,5)=""Page"&amp;" "",ISERROR(SEARCH(""–"",x))),x&amp;""–""&amp;REGEXEXTRACT(x,""[0-9]+$""),x)),"""")"),"Chapter 46–48")</f>
        <v>Chapter 46–48</v>
      </c>
      <c r="G155" s="8"/>
      <c r="H1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Helper'!$F$5:$F$3004,"""")&lt;&gt;""""),ROWS(H$5:H155)),"""")"),"")</f>
        <v/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Helper'!$F$5:$F$3004,"""")&lt;&gt;""""),ROWS(A$5:A156)),"""")"),46370.0)</f>
        <v>46370</v>
      </c>
      <c r="B1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Helper'!$F$5:$F$3004,"""")&lt;&gt;""""),ROWS(B$5:B156)),"""")"),"Everyone")</f>
        <v>Everyone</v>
      </c>
      <c r="C1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Helper'!$F$5:$F$3004,"""")&lt;&gt;""""),ROWS(C$5:C156)),"""")"),"Faith")</f>
        <v>Faith</v>
      </c>
      <c r="D1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Helper'!$F$5:$F$3004,"""")&lt;&gt;""""),ROWS(D$5:D156)),"""")"),"All Together / Bible — Old Testament")</f>
        <v>All Together / Bible — Old Testament</v>
      </c>
      <c r="E1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Helper'!$F$5:$F$3004,"""")&lt;&gt;""""),ROWS(E$5:E156)),"""")"),"Genesis")</f>
        <v>Genesis</v>
      </c>
      <c r="F1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Helper'!$F$5:$F$3004,"""")&lt;&gt;""""),ROWS(F$5:F156)),IF(AND(LEFT(x,5)=""Page"&amp;" "",ISERROR(SEARCH(""–"",x))),x&amp;""–""&amp;REGEXEXTRACT(x,""[0-9]+$""),x)),"""")"),"Chapter 49–51")</f>
        <v>Chapter 49–51</v>
      </c>
      <c r="G156" s="8"/>
      <c r="H1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Helper'!$F$5:$F$3004,"""")&lt;&gt;""""),ROWS(H$5:H156)),"""")"),"")</f>
        <v/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Helper'!$F$5:$F$3004,"""")&lt;&gt;""""),ROWS(A$5:A157)),"""")"),46377.0)</f>
        <v>46377</v>
      </c>
      <c r="B1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Helper'!$F$5:$F$3004,"""")&lt;&gt;""""),ROWS(B$5:B157)),"""")"),"Everyone")</f>
        <v>Everyone</v>
      </c>
      <c r="C1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Helper'!$F$5:$F$3004,"""")&lt;&gt;""""),ROWS(C$5:C157)),"""")"),"Faith")</f>
        <v>Faith</v>
      </c>
      <c r="D1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Helper'!$F$5:$F$3004,"""")&lt;&gt;""""),ROWS(D$5:D157)),"""")"),"All Together / Bible — Old Testament")</f>
        <v>All Together / Bible — Old Testament</v>
      </c>
      <c r="E1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Helper'!$F$5:$F$3004,"""")&lt;&gt;""""),ROWS(E$5:E157)),"""")"),"Genesis")</f>
        <v>Genesis</v>
      </c>
      <c r="F1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Helper'!$F$5:$F$3004,"""")&lt;&gt;""""),ROWS(F$5:F157)),IF(AND(LEFT(x,5)=""Page"&amp;" "",ISERROR(SEARCH(""–"",x))),x&amp;""–""&amp;REGEXEXTRACT(x,""[0-9]+$""),x)),"""")"),"Chapter 52–54")</f>
        <v>Chapter 52–54</v>
      </c>
      <c r="G157" s="8"/>
      <c r="H1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Helper'!$F$5:$F$3004,"""")&lt;&gt;""""),ROWS(H$5:H157)),"""")"),"")</f>
        <v/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Helper'!$F$5:$F$3004,"""")&lt;&gt;""""),ROWS(A$5:A158)),"""")"),46384.0)</f>
        <v>46384</v>
      </c>
      <c r="B1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Helper'!$F$5:$F$3004,"""")&lt;&gt;""""),ROWS(B$5:B158)),"""")"),"Everyone")</f>
        <v>Everyone</v>
      </c>
      <c r="C1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Helper'!$F$5:$F$3004,"""")&lt;&gt;""""),ROWS(C$5:C158)),"""")"),"Faith")</f>
        <v>Faith</v>
      </c>
      <c r="D1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Helper'!$F$5:$F$3004,"""")&lt;&gt;""""),ROWS(D$5:D158)),"""")"),"All Together / Bible — Old Testament")</f>
        <v>All Together / Bible — Old Testament</v>
      </c>
      <c r="E1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Helper'!$F$5:$F$3004,"""")&lt;&gt;""""),ROWS(E$5:E158)),"""")"),"Genesis")</f>
        <v>Genesis</v>
      </c>
      <c r="F1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Helper'!$F$5:$F$3004,"""")&lt;&gt;""""),ROWS(F$5:F158)),IF(AND(LEFT(x,5)=""Page"&amp;" "",ISERROR(SEARCH(""–"",x))),x&amp;""–""&amp;REGEXEXTRACT(x,""[0-9]+$""),x)),"""")"),"Chapter 55")</f>
        <v>Chapter 55</v>
      </c>
      <c r="G158" s="8"/>
      <c r="H1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Helper'!$F$5:$F$3004,"""")&lt;&gt;""""),ROWS(H$5:H158)),"""")"),"")</f>
        <v/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Helper'!$F$5:$F$3004,"""")&lt;&gt;""""),ROWS(A$5:A159)),"""")"),46385.0)</f>
        <v>46385</v>
      </c>
      <c r="B1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Helper'!$F$5:$F$3004,"""")&lt;&gt;""""),ROWS(B$5:B159)),"""")"),"Everyone")</f>
        <v>Everyone</v>
      </c>
      <c r="C1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Helper'!$F$5:$F$3004,"""")&lt;&gt;""""),ROWS(C$5:C159)),"""")"),"Faith")</f>
        <v>Faith</v>
      </c>
      <c r="D1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Helper'!$F$5:$F$3004,"""")&lt;&gt;""""),ROWS(D$5:D159)),"""")"),"All Together / Bible — Old Testament")</f>
        <v>All Together / Bible — Old Testament</v>
      </c>
      <c r="E1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Helper'!$F$5:$F$3004,"""")&lt;&gt;""""),ROWS(E$5:E159)),"""")"),"Exodus")</f>
        <v>Exodus</v>
      </c>
      <c r="F1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Helper'!$F$5:$F$3004,"""")&lt;&gt;""""),ROWS(F$5:F159)),IF(AND(LEFT(x,5)=""Page"&amp;" "",ISERROR(SEARCH(""–"",x))),x&amp;""–""&amp;REGEXEXTRACT(x,""[0-9]+$""),x)),"""")"),"Chapter 1")</f>
        <v>Chapter 1</v>
      </c>
      <c r="G159" s="8"/>
      <c r="H1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Helper'!$F$5:$F$3004,"""")&lt;&gt;""""),ROWS(H$5:H159)),"""")"),"")</f>
        <v/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Helper'!$F$5:$F$3004,"""")&lt;&gt;""""),ROWS(A$5:A160)),"""")"),46392.0)</f>
        <v>46392</v>
      </c>
      <c r="B1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Helper'!$F$5:$F$3004,"""")&lt;&gt;""""),ROWS(B$5:B160)),"""")"),"Everyone")</f>
        <v>Everyone</v>
      </c>
      <c r="C1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Helper'!$F$5:$F$3004,"""")&lt;&gt;""""),ROWS(C$5:C160)),"""")"),"Faith")</f>
        <v>Faith</v>
      </c>
      <c r="D1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Helper'!$F$5:$F$3004,"""")&lt;&gt;""""),ROWS(D$5:D160)),"""")"),"All Together / Bible — Old Testament")</f>
        <v>All Together / Bible — Old Testament</v>
      </c>
      <c r="E1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Helper'!$F$5:$F$3004,"""")&lt;&gt;""""),ROWS(E$5:E160)),"""")"),"Exodus")</f>
        <v>Exodus</v>
      </c>
      <c r="F1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Helper'!$F$5:$F$3004,"""")&lt;&gt;""""),ROWS(F$5:F160)),IF(AND(LEFT(x,5)=""Page"&amp;" "",ISERROR(SEARCH(""–"",x))),x&amp;""–""&amp;REGEXEXTRACT(x,""[0-9]+$""),x)),"""")"),"Chapter 2")</f>
        <v>Chapter 2</v>
      </c>
      <c r="G160" s="8"/>
      <c r="H1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Helper'!$F$5:$F$3004,"""")&lt;&gt;""""),ROWS(H$5:H160)),"""")"),"")</f>
        <v/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Helper'!$F$5:$F$3004,"""")&lt;&gt;""""),ROWS(A$5:A161)),"""")"),46399.0)</f>
        <v>46399</v>
      </c>
      <c r="B1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Helper'!$F$5:$F$3004,"""")&lt;&gt;""""),ROWS(B$5:B161)),"""")"),"Everyone")</f>
        <v>Everyone</v>
      </c>
      <c r="C1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Helper'!$F$5:$F$3004,"""")&lt;&gt;""""),ROWS(C$5:C161)),"""")"),"Faith")</f>
        <v>Faith</v>
      </c>
      <c r="D1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Helper'!$F$5:$F$3004,"""")&lt;&gt;""""),ROWS(D$5:D161)),"""")"),"All Together / Bible — Old Testament")</f>
        <v>All Together / Bible — Old Testament</v>
      </c>
      <c r="E1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Helper'!$F$5:$F$3004,"""")&lt;&gt;""""),ROWS(E$5:E161)),"""")"),"Exodus")</f>
        <v>Exodus</v>
      </c>
      <c r="F1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Helper'!$F$5:$F$3004,"""")&lt;&gt;""""),ROWS(F$5:F161)),IF(AND(LEFT(x,5)=""Page"&amp;" "",ISERROR(SEARCH(""–"",x))),x&amp;""–""&amp;REGEXEXTRACT(x,""[0-9]+$""),x)),"""")"),"Chapter 3")</f>
        <v>Chapter 3</v>
      </c>
      <c r="G161" s="8"/>
      <c r="H1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Helper'!$F$5:$F$3004,"""")&lt;&gt;""""),ROWS(H$5:H161)),"""")"),"")</f>
        <v/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Helper'!$F$5:$F$3004,"""")&lt;&gt;""""),ROWS(A$5:A162)),"""")"),46413.0)</f>
        <v>46413</v>
      </c>
      <c r="B1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Helper'!$F$5:$F$3004,"""")&lt;&gt;""""),ROWS(B$5:B162)),"""")"),"Everyone")</f>
        <v>Everyone</v>
      </c>
      <c r="C1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Helper'!$F$5:$F$3004,"""")&lt;&gt;""""),ROWS(C$5:C162)),"""")"),"Faith")</f>
        <v>Faith</v>
      </c>
      <c r="D1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Helper'!$F$5:$F$3004,"""")&lt;&gt;""""),ROWS(D$5:D162)),"""")"),"All Together / Bible — Old Testament")</f>
        <v>All Together / Bible — Old Testament</v>
      </c>
      <c r="E1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Helper'!$F$5:$F$3004,"""")&lt;&gt;""""),ROWS(E$5:E162)),"""")"),"Exodus")</f>
        <v>Exodus</v>
      </c>
      <c r="F1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Helper'!$F$5:$F$3004,"""")&lt;&gt;""""),ROWS(F$5:F162)),IF(AND(LEFT(x,5)=""Page"&amp;" "",ISERROR(SEARCH(""–"",x))),x&amp;""–""&amp;REGEXEXTRACT(x,""[0-9]+$""),x)),"""")"),"Chapter 4")</f>
        <v>Chapter 4</v>
      </c>
      <c r="G162" s="8"/>
      <c r="H1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Helper'!$F$5:$F$3004,"""")&lt;&gt;""""),ROWS(H$5:H162)),"""")"),"")</f>
        <v/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Helper'!$F$5:$F$3004,"""")&lt;&gt;""""),ROWS(A$5:A163)),"""")"),46420.0)</f>
        <v>46420</v>
      </c>
      <c r="B1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Helper'!$F$5:$F$3004,"""")&lt;&gt;""""),ROWS(B$5:B163)),"""")"),"Everyone")</f>
        <v>Everyone</v>
      </c>
      <c r="C1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Helper'!$F$5:$F$3004,"""")&lt;&gt;""""),ROWS(C$5:C163)),"""")"),"Faith")</f>
        <v>Faith</v>
      </c>
      <c r="D1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Helper'!$F$5:$F$3004,"""")&lt;&gt;""""),ROWS(D$5:D163)),"""")"),"All Together / Bible — Old Testament")</f>
        <v>All Together / Bible — Old Testament</v>
      </c>
      <c r="E1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Helper'!$F$5:$F$3004,"""")&lt;&gt;""""),ROWS(E$5:E163)),"""")"),"Exodus")</f>
        <v>Exodus</v>
      </c>
      <c r="F1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Helper'!$F$5:$F$3004,"""")&lt;&gt;""""),ROWS(F$5:F163)),IF(AND(LEFT(x,5)=""Page"&amp;" "",ISERROR(SEARCH(""–"",x))),x&amp;""–""&amp;REGEXEXTRACT(x,""[0-9]+$""),x)),"""")"),"Chapter 5")</f>
        <v>Chapter 5</v>
      </c>
      <c r="G163" s="8"/>
      <c r="H1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Helper'!$F$5:$F$3004,"""")&lt;&gt;""""),ROWS(H$5:H163)),"""")"),"")</f>
        <v/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Helper'!$F$5:$F$3004,"""")&lt;&gt;""""),ROWS(A$5:A164)),"""")"),46427.0)</f>
        <v>46427</v>
      </c>
      <c r="B1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Helper'!$F$5:$F$3004,"""")&lt;&gt;""""),ROWS(B$5:B164)),"""")"),"Everyone")</f>
        <v>Everyone</v>
      </c>
      <c r="C1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Helper'!$F$5:$F$3004,"""")&lt;&gt;""""),ROWS(C$5:C164)),"""")"),"Faith")</f>
        <v>Faith</v>
      </c>
      <c r="D1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Helper'!$F$5:$F$3004,"""")&lt;&gt;""""),ROWS(D$5:D164)),"""")"),"All Together / Bible — Old Testament")</f>
        <v>All Together / Bible — Old Testament</v>
      </c>
      <c r="E1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Helper'!$F$5:$F$3004,"""")&lt;&gt;""""),ROWS(E$5:E164)),"""")"),"Exodus")</f>
        <v>Exodus</v>
      </c>
      <c r="F1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Helper'!$F$5:$F$3004,"""")&lt;&gt;""""),ROWS(F$5:F164)),IF(AND(LEFT(x,5)=""Page"&amp;" "",ISERROR(SEARCH(""–"",x))),x&amp;""–""&amp;REGEXEXTRACT(x,""[0-9]+$""),x)),"""")"),"Chapter 6")</f>
        <v>Chapter 6</v>
      </c>
      <c r="G164" s="8"/>
      <c r="H1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Helper'!$F$5:$F$3004,"""")&lt;&gt;""""),ROWS(H$5:H164)),"""")"),"")</f>
        <v/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Helper'!$F$5:$F$3004,"""")&lt;&gt;""""),ROWS(A$5:A165)),"""")"),46434.0)</f>
        <v>46434</v>
      </c>
      <c r="B1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Helper'!$F$5:$F$3004,"""")&lt;&gt;""""),ROWS(B$5:B165)),"""")"),"Everyone")</f>
        <v>Everyone</v>
      </c>
      <c r="C1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Helper'!$F$5:$F$3004,"""")&lt;&gt;""""),ROWS(C$5:C165)),"""")"),"Faith")</f>
        <v>Faith</v>
      </c>
      <c r="D1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Helper'!$F$5:$F$3004,"""")&lt;&gt;""""),ROWS(D$5:D165)),"""")"),"All Together / Bible — Old Testament")</f>
        <v>All Together / Bible — Old Testament</v>
      </c>
      <c r="E1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Helper'!$F$5:$F$3004,"""")&lt;&gt;""""),ROWS(E$5:E165)),"""")"),"Exodus")</f>
        <v>Exodus</v>
      </c>
      <c r="F1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Helper'!$F$5:$F$3004,"""")&lt;&gt;""""),ROWS(F$5:F165)),IF(AND(LEFT(x,5)=""Page"&amp;" "",ISERROR(SEARCH(""–"",x))),x&amp;""–""&amp;REGEXEXTRACT(x,""[0-9]+$""),x)),"""")"),"Chapter 7")</f>
        <v>Chapter 7</v>
      </c>
      <c r="G165" s="8"/>
      <c r="H1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Helper'!$F$5:$F$3004,"""")&lt;&gt;""""),ROWS(H$5:H165)),"""")"),"")</f>
        <v/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Helper'!$F$5:$F$3004,"""")&lt;&gt;""""),ROWS(A$5:A166)),"""")"),46441.0)</f>
        <v>46441</v>
      </c>
      <c r="B1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Helper'!$F$5:$F$3004,"""")&lt;&gt;""""),ROWS(B$5:B166)),"""")"),"Everyone")</f>
        <v>Everyone</v>
      </c>
      <c r="C1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Helper'!$F$5:$F$3004,"""")&lt;&gt;""""),ROWS(C$5:C166)),"""")"),"Faith")</f>
        <v>Faith</v>
      </c>
      <c r="D1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Helper'!$F$5:$F$3004,"""")&lt;&gt;""""),ROWS(D$5:D166)),"""")"),"All Together / Bible — Old Testament")</f>
        <v>All Together / Bible — Old Testament</v>
      </c>
      <c r="E1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Helper'!$F$5:$F$3004,"""")&lt;&gt;""""),ROWS(E$5:E166)),"""")"),"Exodus")</f>
        <v>Exodus</v>
      </c>
      <c r="F1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Helper'!$F$5:$F$3004,"""")&lt;&gt;""""),ROWS(F$5:F166)),IF(AND(LEFT(x,5)=""Page"&amp;" "",ISERROR(SEARCH(""–"",x))),x&amp;""–""&amp;REGEXEXTRACT(x,""[0-9]+$""),x)),"""")"),"Chapter 8")</f>
        <v>Chapter 8</v>
      </c>
      <c r="G166" s="8"/>
      <c r="H1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Helper'!$F$5:$F$3004,"""")&lt;&gt;""""),ROWS(H$5:H166)),"""")"),"")</f>
        <v/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Helper'!$F$5:$F$3004,"""")&lt;&gt;""""),ROWS(A$5:A167)),"""")"),46448.0)</f>
        <v>46448</v>
      </c>
      <c r="B1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Helper'!$F$5:$F$3004,"""")&lt;&gt;""""),ROWS(B$5:B167)),"""")"),"Everyone")</f>
        <v>Everyone</v>
      </c>
      <c r="C1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Helper'!$F$5:$F$3004,"""")&lt;&gt;""""),ROWS(C$5:C167)),"""")"),"Faith")</f>
        <v>Faith</v>
      </c>
      <c r="D1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Helper'!$F$5:$F$3004,"""")&lt;&gt;""""),ROWS(D$5:D167)),"""")"),"All Together / Bible — Old Testament")</f>
        <v>All Together / Bible — Old Testament</v>
      </c>
      <c r="E1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Helper'!$F$5:$F$3004,"""")&lt;&gt;""""),ROWS(E$5:E167)),"""")"),"Exodus")</f>
        <v>Exodus</v>
      </c>
      <c r="F1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Helper'!$F$5:$F$3004,"""")&lt;&gt;""""),ROWS(F$5:F167)),IF(AND(LEFT(x,5)=""Page"&amp;" "",ISERROR(SEARCH(""–"",x))),x&amp;""–""&amp;REGEXEXTRACT(x,""[0-9]+$""),x)),"""")"),"Chapter 9")</f>
        <v>Chapter 9</v>
      </c>
      <c r="G167" s="8"/>
      <c r="H1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Helper'!$F$5:$F$3004,"""")&lt;&gt;""""),ROWS(H$5:H167)),"""")"),"")</f>
        <v/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Helper'!$F$5:$F$3004,"""")&lt;&gt;""""),ROWS(A$5:A168)),"""")"),46455.0)</f>
        <v>46455</v>
      </c>
      <c r="B1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Helper'!$F$5:$F$3004,"""")&lt;&gt;""""),ROWS(B$5:B168)),"""")"),"Everyone")</f>
        <v>Everyone</v>
      </c>
      <c r="C1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Helper'!$F$5:$F$3004,"""")&lt;&gt;""""),ROWS(C$5:C168)),"""")"),"Faith")</f>
        <v>Faith</v>
      </c>
      <c r="D1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Helper'!$F$5:$F$3004,"""")&lt;&gt;""""),ROWS(D$5:D168)),"""")"),"All Together / Bible — Old Testament")</f>
        <v>All Together / Bible — Old Testament</v>
      </c>
      <c r="E1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Helper'!$F$5:$F$3004,"""")&lt;&gt;""""),ROWS(E$5:E168)),"""")"),"Exodus")</f>
        <v>Exodus</v>
      </c>
      <c r="F1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Helper'!$F$5:$F$3004,"""")&lt;&gt;""""),ROWS(F$5:F168)),IF(AND(LEFT(x,5)=""Page"&amp;" "",ISERROR(SEARCH(""–"",x))),x&amp;""–""&amp;REGEXEXTRACT(x,""[0-9]+$""),x)),"""")"),"Chapter 10")</f>
        <v>Chapter 10</v>
      </c>
      <c r="G168" s="8"/>
      <c r="H1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Helper'!$F$5:$F$3004,"""")&lt;&gt;""""),ROWS(H$5:H168)),"""")"),"")</f>
        <v/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Helper'!$F$5:$F$3004,"""")&lt;&gt;""""),ROWS(A$5:A169)),"""")"),46462.0)</f>
        <v>46462</v>
      </c>
      <c r="B1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Helper'!$F$5:$F$3004,"""")&lt;&gt;""""),ROWS(B$5:B169)),"""")"),"Everyone")</f>
        <v>Everyone</v>
      </c>
      <c r="C1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Helper'!$F$5:$F$3004,"""")&lt;&gt;""""),ROWS(C$5:C169)),"""")"),"Faith")</f>
        <v>Faith</v>
      </c>
      <c r="D1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Helper'!$F$5:$F$3004,"""")&lt;&gt;""""),ROWS(D$5:D169)),"""")"),"All Together / Bible — Old Testament")</f>
        <v>All Together / Bible — Old Testament</v>
      </c>
      <c r="E1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Helper'!$F$5:$F$3004,"""")&lt;&gt;""""),ROWS(E$5:E169)),"""")"),"Exodus")</f>
        <v>Exodus</v>
      </c>
      <c r="F1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Helper'!$F$5:$F$3004,"""")&lt;&gt;""""),ROWS(F$5:F169)),IF(AND(LEFT(x,5)=""Page"&amp;" "",ISERROR(SEARCH(""–"",x))),x&amp;""–""&amp;REGEXEXTRACT(x,""[0-9]+$""),x)),"""")"),"Chapter 11")</f>
        <v>Chapter 11</v>
      </c>
      <c r="G169" s="8"/>
      <c r="H1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Helper'!$F$5:$F$3004,"""")&lt;&gt;""""),ROWS(H$5:H169)),"""")"),"")</f>
        <v/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Helper'!$F$5:$F$3004,"""")&lt;&gt;""""),ROWS(A$5:A170)),"""")"),46469.0)</f>
        <v>46469</v>
      </c>
      <c r="B1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Helper'!$F$5:$F$3004,"""")&lt;&gt;""""),ROWS(B$5:B170)),"""")"),"Everyone")</f>
        <v>Everyone</v>
      </c>
      <c r="C1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Helper'!$F$5:$F$3004,"""")&lt;&gt;""""),ROWS(C$5:C170)),"""")"),"Faith")</f>
        <v>Faith</v>
      </c>
      <c r="D1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Helper'!$F$5:$F$3004,"""")&lt;&gt;""""),ROWS(D$5:D170)),"""")"),"All Together / Bible — Old Testament")</f>
        <v>All Together / Bible — Old Testament</v>
      </c>
      <c r="E1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Helper'!$F$5:$F$3004,"""")&lt;&gt;""""),ROWS(E$5:E170)),"""")"),"Exodus")</f>
        <v>Exodus</v>
      </c>
      <c r="F1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Helper'!$F$5:$F$3004,"""")&lt;&gt;""""),ROWS(F$5:F170)),IF(AND(LEFT(x,5)=""Page"&amp;" "",ISERROR(SEARCH(""–"",x))),x&amp;""–""&amp;REGEXEXTRACT(x,""[0-9]+$""),x)),"""")"),"Chapter 12")</f>
        <v>Chapter 12</v>
      </c>
      <c r="G170" s="8"/>
      <c r="H1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Helper'!$F$5:$F$3004,"""")&lt;&gt;""""),ROWS(H$5:H170)),"""")"),"")</f>
        <v/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Helper'!$F$5:$F$3004,"""")&lt;&gt;""""),ROWS(A$5:A171)),"""")"),46476.0)</f>
        <v>46476</v>
      </c>
      <c r="B1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Helper'!$F$5:$F$3004,"""")&lt;&gt;""""),ROWS(B$5:B171)),"""")"),"Everyone")</f>
        <v>Everyone</v>
      </c>
      <c r="C1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Helper'!$F$5:$F$3004,"""")&lt;&gt;""""),ROWS(C$5:C171)),"""")"),"Faith")</f>
        <v>Faith</v>
      </c>
      <c r="D1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Helper'!$F$5:$F$3004,"""")&lt;&gt;""""),ROWS(D$5:D171)),"""")"),"All Together / Bible — Old Testament")</f>
        <v>All Together / Bible — Old Testament</v>
      </c>
      <c r="E1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Helper'!$F$5:$F$3004,"""")&lt;&gt;""""),ROWS(E$5:E171)),"""")"),"Exodus")</f>
        <v>Exodus</v>
      </c>
      <c r="F1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Helper'!$F$5:$F$3004,"""")&lt;&gt;""""),ROWS(F$5:F171)),IF(AND(LEFT(x,5)=""Page"&amp;" "",ISERROR(SEARCH(""–"",x))),x&amp;""–""&amp;REGEXEXTRACT(x,""[0-9]+$""),x)),"""")"),"Chapter 13")</f>
        <v>Chapter 13</v>
      </c>
      <c r="G171" s="8"/>
      <c r="H1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Helper'!$F$5:$F$3004,"""")&lt;&gt;""""),ROWS(H$5:H171)),"""")"),"")</f>
        <v/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Helper'!$F$5:$F$3004,"""")&lt;&gt;""""),ROWS(A$5:A172)),"""")"),46483.0)</f>
        <v>46483</v>
      </c>
      <c r="B1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Helper'!$F$5:$F$3004,"""")&lt;&gt;""""),ROWS(B$5:B172)),"""")"),"Everyone")</f>
        <v>Everyone</v>
      </c>
      <c r="C1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Helper'!$F$5:$F$3004,"""")&lt;&gt;""""),ROWS(C$5:C172)),"""")"),"Faith")</f>
        <v>Faith</v>
      </c>
      <c r="D1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Helper'!$F$5:$F$3004,"""")&lt;&gt;""""),ROWS(D$5:D172)),"""")"),"All Together / Bible — Old Testament")</f>
        <v>All Together / Bible — Old Testament</v>
      </c>
      <c r="E1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Helper'!$F$5:$F$3004,"""")&lt;&gt;""""),ROWS(E$5:E172)),"""")"),"Exodus")</f>
        <v>Exodus</v>
      </c>
      <c r="F1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Helper'!$F$5:$F$3004,"""")&lt;&gt;""""),ROWS(F$5:F172)),IF(AND(LEFT(x,5)=""Page"&amp;" "",ISERROR(SEARCH(""–"",x))),x&amp;""–""&amp;REGEXEXTRACT(x,""[0-9]+$""),x)),"""")"),"Chapter 14")</f>
        <v>Chapter 14</v>
      </c>
      <c r="G172" s="8"/>
      <c r="H1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Helper'!$F$5:$F$3004,"""")&lt;&gt;""""),ROWS(H$5:H172)),"""")"),"")</f>
        <v/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Helper'!$F$5:$F$3004,"""")&lt;&gt;""""),ROWS(A$5:A173)),"""")"),46497.0)</f>
        <v>46497</v>
      </c>
      <c r="B1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Helper'!$F$5:$F$3004,"""")&lt;&gt;""""),ROWS(B$5:B173)),"""")"),"Everyone")</f>
        <v>Everyone</v>
      </c>
      <c r="C1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Helper'!$F$5:$F$3004,"""")&lt;&gt;""""),ROWS(C$5:C173)),"""")"),"Faith")</f>
        <v>Faith</v>
      </c>
      <c r="D1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Helper'!$F$5:$F$3004,"""")&lt;&gt;""""),ROWS(D$5:D173)),"""")"),"All Together / Bible — Old Testament")</f>
        <v>All Together / Bible — Old Testament</v>
      </c>
      <c r="E1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Helper'!$F$5:$F$3004,"""")&lt;&gt;""""),ROWS(E$5:E173)),"""")"),"Exodus")</f>
        <v>Exodus</v>
      </c>
      <c r="F1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Helper'!$F$5:$F$3004,"""")&lt;&gt;""""),ROWS(F$5:F173)),IF(AND(LEFT(x,5)=""Page"&amp;" "",ISERROR(SEARCH(""–"",x))),x&amp;""–""&amp;REGEXEXTRACT(x,""[0-9]+$""),x)),"""")"),"Chapter 15")</f>
        <v>Chapter 15</v>
      </c>
      <c r="G173" s="8"/>
      <c r="H1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Helper'!$F$5:$F$3004,"""")&lt;&gt;""""),ROWS(H$5:H173)),"""")"),"")</f>
        <v/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Helper'!$F$5:$F$3004,"""")&lt;&gt;""""),ROWS(A$5:A174)),"""")"),46504.0)</f>
        <v>46504</v>
      </c>
      <c r="B1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Helper'!$F$5:$F$3004,"""")&lt;&gt;""""),ROWS(B$5:B174)),"""")"),"Everyone")</f>
        <v>Everyone</v>
      </c>
      <c r="C1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Helper'!$F$5:$F$3004,"""")&lt;&gt;""""),ROWS(C$5:C174)),"""")"),"Faith")</f>
        <v>Faith</v>
      </c>
      <c r="D1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Helper'!$F$5:$F$3004,"""")&lt;&gt;""""),ROWS(D$5:D174)),"""")"),"All Together / Bible — Old Testament")</f>
        <v>All Together / Bible — Old Testament</v>
      </c>
      <c r="E1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Helper'!$F$5:$F$3004,"""")&lt;&gt;""""),ROWS(E$5:E174)),"""")"),"Exodus")</f>
        <v>Exodus</v>
      </c>
      <c r="F1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Helper'!$F$5:$F$3004,"""")&lt;&gt;""""),ROWS(F$5:F174)),IF(AND(LEFT(x,5)=""Page"&amp;" "",ISERROR(SEARCH(""–"",x))),x&amp;""–""&amp;REGEXEXTRACT(x,""[0-9]+$""),x)),"""")"),"Chapter 16")</f>
        <v>Chapter 16</v>
      </c>
      <c r="G174" s="8"/>
      <c r="H1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Helper'!$F$5:$F$3004,"""")&lt;&gt;""""),ROWS(H$5:H174)),"""")"),"")</f>
        <v/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Helper'!$F$5:$F$3004,"""")&lt;&gt;""""),ROWS(A$5:A175)),"""")"),46511.0)</f>
        <v>46511</v>
      </c>
      <c r="B1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Helper'!$F$5:$F$3004,"""")&lt;&gt;""""),ROWS(B$5:B175)),"""")"),"Everyone")</f>
        <v>Everyone</v>
      </c>
      <c r="C1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Helper'!$F$5:$F$3004,"""")&lt;&gt;""""),ROWS(C$5:C175)),"""")"),"Faith")</f>
        <v>Faith</v>
      </c>
      <c r="D1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Helper'!$F$5:$F$3004,"""")&lt;&gt;""""),ROWS(D$5:D175)),"""")"),"All Together / Bible — Old Testament")</f>
        <v>All Together / Bible — Old Testament</v>
      </c>
      <c r="E1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Helper'!$F$5:$F$3004,"""")&lt;&gt;""""),ROWS(E$5:E175)),"""")"),"Exodus")</f>
        <v>Exodus</v>
      </c>
      <c r="F1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Helper'!$F$5:$F$3004,"""")&lt;&gt;""""),ROWS(F$5:F175)),IF(AND(LEFT(x,5)=""Page"&amp;" "",ISERROR(SEARCH(""–"",x))),x&amp;""–""&amp;REGEXEXTRACT(x,""[0-9]+$""),x)),"""")"),"Chapter 17")</f>
        <v>Chapter 17</v>
      </c>
      <c r="G175" s="8"/>
      <c r="H1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Helper'!$F$5:$F$3004,"""")&lt;&gt;""""),ROWS(H$5:H175)),"""")"),"")</f>
        <v/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Helper'!$F$5:$F$3004,"""")&lt;&gt;""""),ROWS(A$5:A176)),"""")"),46518.0)</f>
        <v>46518</v>
      </c>
      <c r="B1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Helper'!$F$5:$F$3004,"""")&lt;&gt;""""),ROWS(B$5:B176)),"""")"),"Everyone")</f>
        <v>Everyone</v>
      </c>
      <c r="C1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Helper'!$F$5:$F$3004,"""")&lt;&gt;""""),ROWS(C$5:C176)),"""")"),"Faith")</f>
        <v>Faith</v>
      </c>
      <c r="D1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Helper'!$F$5:$F$3004,"""")&lt;&gt;""""),ROWS(D$5:D176)),"""")"),"All Together / Bible — Old Testament")</f>
        <v>All Together / Bible — Old Testament</v>
      </c>
      <c r="E1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Helper'!$F$5:$F$3004,"""")&lt;&gt;""""),ROWS(E$5:E176)),"""")"),"Exodus")</f>
        <v>Exodus</v>
      </c>
      <c r="F1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Helper'!$F$5:$F$3004,"""")&lt;&gt;""""),ROWS(F$5:F176)),IF(AND(LEFT(x,5)=""Page"&amp;" "",ISERROR(SEARCH(""–"",x))),x&amp;""–""&amp;REGEXEXTRACT(x,""[0-9]+$""),x)),"""")"),"Chapter 18")</f>
        <v>Chapter 18</v>
      </c>
      <c r="G176" s="8"/>
      <c r="H1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Helper'!$F$5:$F$3004,"""")&lt;&gt;""""),ROWS(H$5:H176)),"""")"),"")</f>
        <v/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Helper'!$F$5:$F$3004,"""")&lt;&gt;""""),ROWS(A$5:A177)),"""")"),46525.0)</f>
        <v>46525</v>
      </c>
      <c r="B1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Helper'!$F$5:$F$3004,"""")&lt;&gt;""""),ROWS(B$5:B177)),"""")"),"Everyone")</f>
        <v>Everyone</v>
      </c>
      <c r="C1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Helper'!$F$5:$F$3004,"""")&lt;&gt;""""),ROWS(C$5:C177)),"""")"),"Faith")</f>
        <v>Faith</v>
      </c>
      <c r="D1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Helper'!$F$5:$F$3004,"""")&lt;&gt;""""),ROWS(D$5:D177)),"""")"),"All Together / Bible — Old Testament")</f>
        <v>All Together / Bible — Old Testament</v>
      </c>
      <c r="E1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Helper'!$F$5:$F$3004,"""")&lt;&gt;""""),ROWS(E$5:E177)),"""")"),"Exodus")</f>
        <v>Exodus</v>
      </c>
      <c r="F1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Helper'!$F$5:$F$3004,"""")&lt;&gt;""""),ROWS(F$5:F177)),IF(AND(LEFT(x,5)=""Page"&amp;" "",ISERROR(SEARCH(""–"",x))),x&amp;""–""&amp;REGEXEXTRACT(x,""[0-9]+$""),x)),"""")"),"Chapter 19")</f>
        <v>Chapter 19</v>
      </c>
      <c r="G177" s="8"/>
      <c r="H1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Helper'!$F$5:$F$3004,"""")&lt;&gt;""""),ROWS(H$5:H177)),"""")"),"")</f>
        <v/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Helper'!$F$5:$F$3004,"""")&lt;&gt;""""),ROWS(A$5:A178)),"""")"),46532.0)</f>
        <v>46532</v>
      </c>
      <c r="B1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Helper'!$F$5:$F$3004,"""")&lt;&gt;""""),ROWS(B$5:B178)),"""")"),"Everyone")</f>
        <v>Everyone</v>
      </c>
      <c r="C1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Helper'!$F$5:$F$3004,"""")&lt;&gt;""""),ROWS(C$5:C178)),"""")"),"Faith")</f>
        <v>Faith</v>
      </c>
      <c r="D1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Helper'!$F$5:$F$3004,"""")&lt;&gt;""""),ROWS(D$5:D178)),"""")"),"All Together / Bible — Old Testament")</f>
        <v>All Together / Bible — Old Testament</v>
      </c>
      <c r="E1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Helper'!$F$5:$F$3004,"""")&lt;&gt;""""),ROWS(E$5:E178)),"""")"),"Exodus")</f>
        <v>Exodus</v>
      </c>
      <c r="F1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Helper'!$F$5:$F$3004,"""")&lt;&gt;""""),ROWS(F$5:F178)),IF(AND(LEFT(x,5)=""Page"&amp;" "",ISERROR(SEARCH(""–"",x))),x&amp;""–""&amp;REGEXEXTRACT(x,""[0-9]+$""),x)),"""")"),"Chapter 20")</f>
        <v>Chapter 20</v>
      </c>
      <c r="G178" s="8"/>
      <c r="H1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Helper'!$F$5:$F$3004,"""")&lt;&gt;""""),ROWS(H$5:H178)),"""")"),"")</f>
        <v/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Helper'!$F$5:$F$3004,"""")&lt;&gt;""""),ROWS(A$5:A179)),"""")"),46539.0)</f>
        <v>46539</v>
      </c>
      <c r="B1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Helper'!$F$5:$F$3004,"""")&lt;&gt;""""),ROWS(B$5:B179)),"""")"),"Everyone")</f>
        <v>Everyone</v>
      </c>
      <c r="C1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Helper'!$F$5:$F$3004,"""")&lt;&gt;""""),ROWS(C$5:C179)),"""")"),"Faith")</f>
        <v>Faith</v>
      </c>
      <c r="D1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Helper'!$F$5:$F$3004,"""")&lt;&gt;""""),ROWS(D$5:D179)),"""")"),"All Together / Bible — Old Testament")</f>
        <v>All Together / Bible — Old Testament</v>
      </c>
      <c r="E1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Helper'!$F$5:$F$3004,"""")&lt;&gt;""""),ROWS(E$5:E179)),"""")"),"Exodus")</f>
        <v>Exodus</v>
      </c>
      <c r="F1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Helper'!$F$5:$F$3004,"""")&lt;&gt;""""),ROWS(F$5:F179)),IF(AND(LEFT(x,5)=""Page"&amp;" "",ISERROR(SEARCH(""–"",x))),x&amp;""–""&amp;REGEXEXTRACT(x,""[0-9]+$""),x)),"""")"),"Chapter 21")</f>
        <v>Chapter 21</v>
      </c>
      <c r="G179" s="8"/>
      <c r="H1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Helper'!$F$5:$F$3004,"""")&lt;&gt;""""),ROWS(H$5:H179)),"""")"),"")</f>
        <v/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Helper'!$F$5:$F$3004,"""")&lt;&gt;""""),ROWS(A$5:A180)),"""")"),46546.0)</f>
        <v>46546</v>
      </c>
      <c r="B1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Helper'!$F$5:$F$3004,"""")&lt;&gt;""""),ROWS(B$5:B180)),"""")"),"Everyone")</f>
        <v>Everyone</v>
      </c>
      <c r="C1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Helper'!$F$5:$F$3004,"""")&lt;&gt;""""),ROWS(C$5:C180)),"""")"),"Faith")</f>
        <v>Faith</v>
      </c>
      <c r="D1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Helper'!$F$5:$F$3004,"""")&lt;&gt;""""),ROWS(D$5:D180)),"""")"),"All Together / Bible — Old Testament")</f>
        <v>All Together / Bible — Old Testament</v>
      </c>
      <c r="E1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Helper'!$F$5:$F$3004,"""")&lt;&gt;""""),ROWS(E$5:E180)),"""")"),"Exodus")</f>
        <v>Exodus</v>
      </c>
      <c r="F1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Helper'!$F$5:$F$3004,"""")&lt;&gt;""""),ROWS(F$5:F180)),IF(AND(LEFT(x,5)=""Page"&amp;" "",ISERROR(SEARCH(""–"",x))),x&amp;""–""&amp;REGEXEXTRACT(x,""[0-9]+$""),x)),"""")"),"Chapter 22")</f>
        <v>Chapter 22</v>
      </c>
      <c r="G180" s="8"/>
      <c r="H1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Helper'!$F$5:$F$3004,"""")&lt;&gt;""""),ROWS(H$5:H180)),"""")"),"")</f>
        <v/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Helper'!$F$5:$F$3004,"""")&lt;&gt;""""),ROWS(A$5:A181)),"""")"),46553.0)</f>
        <v>46553</v>
      </c>
      <c r="B1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Helper'!$F$5:$F$3004,"""")&lt;&gt;""""),ROWS(B$5:B181)),"""")"),"Everyone")</f>
        <v>Everyone</v>
      </c>
      <c r="C1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Helper'!$F$5:$F$3004,"""")&lt;&gt;""""),ROWS(C$5:C181)),"""")"),"Faith")</f>
        <v>Faith</v>
      </c>
      <c r="D1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Helper'!$F$5:$F$3004,"""")&lt;&gt;""""),ROWS(D$5:D181)),"""")"),"All Together / Bible — Old Testament")</f>
        <v>All Together / Bible — Old Testament</v>
      </c>
      <c r="E1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Helper'!$F$5:$F$3004,"""")&lt;&gt;""""),ROWS(E$5:E181)),"""")"),"Exodus")</f>
        <v>Exodus</v>
      </c>
      <c r="F1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Helper'!$F$5:$F$3004,"""")&lt;&gt;""""),ROWS(F$5:F181)),IF(AND(LEFT(x,5)=""Page"&amp;" "",ISERROR(SEARCH(""–"",x))),x&amp;""–""&amp;REGEXEXTRACT(x,""[0-9]+$""),x)),"""")"),"Chapter 23")</f>
        <v>Chapter 23</v>
      </c>
      <c r="G181" s="8"/>
      <c r="H1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Helper'!$F$5:$F$3004,"""")&lt;&gt;""""),ROWS(H$5:H181)),"""")"),"")</f>
        <v/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Helper'!$F$5:$F$3004,"""")&lt;&gt;""""),ROWS(A$5:A182)),"""")"),46560.0)</f>
        <v>46560</v>
      </c>
      <c r="B1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Helper'!$F$5:$F$3004,"""")&lt;&gt;""""),ROWS(B$5:B182)),"""")"),"Everyone")</f>
        <v>Everyone</v>
      </c>
      <c r="C1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Helper'!$F$5:$F$3004,"""")&lt;&gt;""""),ROWS(C$5:C182)),"""")"),"Faith")</f>
        <v>Faith</v>
      </c>
      <c r="D1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Helper'!$F$5:$F$3004,"""")&lt;&gt;""""),ROWS(D$5:D182)),"""")"),"All Together / Bible — Old Testament")</f>
        <v>All Together / Bible — Old Testament</v>
      </c>
      <c r="E1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Helper'!$F$5:$F$3004,"""")&lt;&gt;""""),ROWS(E$5:E182)),"""")"),"Exodus")</f>
        <v>Exodus</v>
      </c>
      <c r="F1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Helper'!$F$5:$F$3004,"""")&lt;&gt;""""),ROWS(F$5:F182)),IF(AND(LEFT(x,5)=""Page"&amp;" "",ISERROR(SEARCH(""–"",x))),x&amp;""–""&amp;REGEXEXTRACT(x,""[0-9]+$""),x)),"""")"),"Chapter 24")</f>
        <v>Chapter 24</v>
      </c>
      <c r="G182" s="8"/>
      <c r="H1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Helper'!$F$5:$F$3004,"""")&lt;&gt;""""),ROWS(H$5:H182)),"""")"),"")</f>
        <v/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Helper'!$F$5:$F$3004,"""")&lt;&gt;""""),ROWS(A$5:A183)),"""")"),46567.0)</f>
        <v>46567</v>
      </c>
      <c r="B1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Helper'!$F$5:$F$3004,"""")&lt;&gt;""""),ROWS(B$5:B183)),"""")"),"Everyone")</f>
        <v>Everyone</v>
      </c>
      <c r="C1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Helper'!$F$5:$F$3004,"""")&lt;&gt;""""),ROWS(C$5:C183)),"""")"),"Faith")</f>
        <v>Faith</v>
      </c>
      <c r="D1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Helper'!$F$5:$F$3004,"""")&lt;&gt;""""),ROWS(D$5:D183)),"""")"),"All Together / Bible — Old Testament")</f>
        <v>All Together / Bible — Old Testament</v>
      </c>
      <c r="E1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Helper'!$F$5:$F$3004,"""")&lt;&gt;""""),ROWS(E$5:E183)),"""")"),"Exodus")</f>
        <v>Exodus</v>
      </c>
      <c r="F1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Helper'!$F$5:$F$3004,"""")&lt;&gt;""""),ROWS(F$5:F183)),IF(AND(LEFT(x,5)=""Page"&amp;" "",ISERROR(SEARCH(""–"",x))),x&amp;""–""&amp;REGEXEXTRACT(x,""[0-9]+$""),x)),"""")"),"Chapter 25")</f>
        <v>Chapter 25</v>
      </c>
      <c r="G183" s="8"/>
      <c r="H1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Helper'!$F$5:$F$3004,"""")&lt;&gt;""""),ROWS(H$5:H183)),"""")"),"")</f>
        <v/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Helper'!$F$5:$F$3004,"""")&lt;&gt;""""),ROWS(A$5:A184)),"""")"),46251.0)</f>
        <v>46251</v>
      </c>
      <c r="B1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Helper'!$F$5:$F$3004,"""")&lt;&gt;""""),ROWS(B$5:B184)),"""")"),"Everyone")</f>
        <v>Everyone</v>
      </c>
      <c r="C1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Helper'!$F$5:$F$3004,"""")&lt;&gt;""""),ROWS(C$5:C184)),"""")"),"Faith")</f>
        <v>Faith</v>
      </c>
      <c r="D1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Helper'!$F$5:$F$3004,"""")&lt;&gt;""""),ROWS(D$5:D184)),"""")"),"All Together / Bible — New Testament")</f>
        <v>All Together / Bible — New Testament</v>
      </c>
      <c r="E1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Helper'!$F$5:$F$3004,"""")&lt;&gt;""""),ROWS(E$5:E184)),"""")"),"Matthew")</f>
        <v>Matthew</v>
      </c>
      <c r="F1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Helper'!$F$5:$F$3004,"""")&lt;&gt;""""),ROWS(F$5:F184)),IF(AND(LEFT(x,5)=""Page"&amp;" "",ISERROR(SEARCH(""–"",x))),x&amp;""–""&amp;REGEXEXTRACT(x,""[0-9]+$""),x)),"""")"),"Chapter 1")</f>
        <v>Chapter 1</v>
      </c>
      <c r="G184" s="8"/>
      <c r="H1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Helper'!$F$5:$F$3004,"""")&lt;&gt;""""),ROWS(H$5:H184)),"""")"),"")</f>
        <v/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Helper'!$F$5:$F$3004,"""")&lt;&gt;""""),ROWS(A$5:A185)),"""")"),46258.0)</f>
        <v>46258</v>
      </c>
      <c r="B1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Helper'!$F$5:$F$3004,"""")&lt;&gt;""""),ROWS(B$5:B185)),"""")"),"Everyone")</f>
        <v>Everyone</v>
      </c>
      <c r="C1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Helper'!$F$5:$F$3004,"""")&lt;&gt;""""),ROWS(C$5:C185)),"""")"),"Faith")</f>
        <v>Faith</v>
      </c>
      <c r="D1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Helper'!$F$5:$F$3004,"""")&lt;&gt;""""),ROWS(D$5:D185)),"""")"),"All Together / Bible — New Testament")</f>
        <v>All Together / Bible — New Testament</v>
      </c>
      <c r="E1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Helper'!$F$5:$F$3004,"""")&lt;&gt;""""),ROWS(E$5:E185)),"""")"),"Matthew")</f>
        <v>Matthew</v>
      </c>
      <c r="F1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Helper'!$F$5:$F$3004,"""")&lt;&gt;""""),ROWS(F$5:F185)),IF(AND(LEFT(x,5)=""Page"&amp;" "",ISERROR(SEARCH(""–"",x))),x&amp;""–""&amp;REGEXEXTRACT(x,""[0-9]+$""),x)),"""")"),"Chapter 2")</f>
        <v>Chapter 2</v>
      </c>
      <c r="G185" s="8"/>
      <c r="H1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Helper'!$F$5:$F$3004,"""")&lt;&gt;""""),ROWS(H$5:H185)),"""")"),"")</f>
        <v/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Helper'!$F$5:$F$3004,"""")&lt;&gt;""""),ROWS(A$5:A186)),"""")"),46265.0)</f>
        <v>46265</v>
      </c>
      <c r="B1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Helper'!$F$5:$F$3004,"""")&lt;&gt;""""),ROWS(B$5:B186)),"""")"),"Everyone")</f>
        <v>Everyone</v>
      </c>
      <c r="C1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Helper'!$F$5:$F$3004,"""")&lt;&gt;""""),ROWS(C$5:C186)),"""")"),"Faith")</f>
        <v>Faith</v>
      </c>
      <c r="D1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Helper'!$F$5:$F$3004,"""")&lt;&gt;""""),ROWS(D$5:D186)),"""")"),"All Together / Bible — New Testament")</f>
        <v>All Together / Bible — New Testament</v>
      </c>
      <c r="E1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Helper'!$F$5:$F$3004,"""")&lt;&gt;""""),ROWS(E$5:E186)),"""")"),"Matthew")</f>
        <v>Matthew</v>
      </c>
      <c r="F1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Helper'!$F$5:$F$3004,"""")&lt;&gt;""""),ROWS(F$5:F186)),IF(AND(LEFT(x,5)=""Page"&amp;" "",ISERROR(SEARCH(""–"",x))),x&amp;""–""&amp;REGEXEXTRACT(x,""[0-9]+$""),x)),"""")"),"Chapter 3")</f>
        <v>Chapter 3</v>
      </c>
      <c r="G186" s="8"/>
      <c r="H1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Helper'!$F$5:$F$3004,"""")&lt;&gt;""""),ROWS(H$5:H186)),"""")"),"")</f>
        <v/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Helper'!$F$5:$F$3004,"""")&lt;&gt;""""),ROWS(A$5:A187)),"""")"),46272.0)</f>
        <v>46272</v>
      </c>
      <c r="B1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Helper'!$F$5:$F$3004,"""")&lt;&gt;""""),ROWS(B$5:B187)),"""")"),"Everyone")</f>
        <v>Everyone</v>
      </c>
      <c r="C1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Helper'!$F$5:$F$3004,"""")&lt;&gt;""""),ROWS(C$5:C187)),"""")"),"Faith")</f>
        <v>Faith</v>
      </c>
      <c r="D1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Helper'!$F$5:$F$3004,"""")&lt;&gt;""""),ROWS(D$5:D187)),"""")"),"All Together / Bible — New Testament")</f>
        <v>All Together / Bible — New Testament</v>
      </c>
      <c r="E1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Helper'!$F$5:$F$3004,"""")&lt;&gt;""""),ROWS(E$5:E187)),"""")"),"Matthew")</f>
        <v>Matthew</v>
      </c>
      <c r="F1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Helper'!$F$5:$F$3004,"""")&lt;&gt;""""),ROWS(F$5:F187)),IF(AND(LEFT(x,5)=""Page"&amp;" "",ISERROR(SEARCH(""–"",x))),x&amp;""–""&amp;REGEXEXTRACT(x,""[0-9]+$""),x)),"""")"),"Chapter 4")</f>
        <v>Chapter 4</v>
      </c>
      <c r="G187" s="8"/>
      <c r="H1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Helper'!$F$5:$F$3004,"""")&lt;&gt;""""),ROWS(H$5:H187)),"""")"),"")</f>
        <v/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Helper'!$F$5:$F$3004,"""")&lt;&gt;""""),ROWS(A$5:A188)),"""")"),46279.0)</f>
        <v>46279</v>
      </c>
      <c r="B1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Helper'!$F$5:$F$3004,"""")&lt;&gt;""""),ROWS(B$5:B188)),"""")"),"Everyone")</f>
        <v>Everyone</v>
      </c>
      <c r="C1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Helper'!$F$5:$F$3004,"""")&lt;&gt;""""),ROWS(C$5:C188)),"""")"),"Faith")</f>
        <v>Faith</v>
      </c>
      <c r="D1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Helper'!$F$5:$F$3004,"""")&lt;&gt;""""),ROWS(D$5:D188)),"""")"),"All Together / Bible — New Testament")</f>
        <v>All Together / Bible — New Testament</v>
      </c>
      <c r="E1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Helper'!$F$5:$F$3004,"""")&lt;&gt;""""),ROWS(E$5:E188)),"""")"),"Matthew")</f>
        <v>Matthew</v>
      </c>
      <c r="F1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Helper'!$F$5:$F$3004,"""")&lt;&gt;""""),ROWS(F$5:F188)),IF(AND(LEFT(x,5)=""Page"&amp;" "",ISERROR(SEARCH(""–"",x))),x&amp;""–""&amp;REGEXEXTRACT(x,""[0-9]+$""),x)),"""")"),"Chapter 5")</f>
        <v>Chapter 5</v>
      </c>
      <c r="G188" s="8"/>
      <c r="H1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Helper'!$F$5:$F$3004,"""")&lt;&gt;""""),ROWS(H$5:H188)),"""")"),"")</f>
        <v/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Helper'!$F$5:$F$3004,"""")&lt;&gt;""""),ROWS(A$5:A189)),"""")"),46286.0)</f>
        <v>46286</v>
      </c>
      <c r="B1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Helper'!$F$5:$F$3004,"""")&lt;&gt;""""),ROWS(B$5:B189)),"""")"),"Everyone")</f>
        <v>Everyone</v>
      </c>
      <c r="C1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Helper'!$F$5:$F$3004,"""")&lt;&gt;""""),ROWS(C$5:C189)),"""")"),"Faith")</f>
        <v>Faith</v>
      </c>
      <c r="D1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Helper'!$F$5:$F$3004,"""")&lt;&gt;""""),ROWS(D$5:D189)),"""")"),"All Together / Bible — New Testament")</f>
        <v>All Together / Bible — New Testament</v>
      </c>
      <c r="E1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Helper'!$F$5:$F$3004,"""")&lt;&gt;""""),ROWS(E$5:E189)),"""")"),"Matthew")</f>
        <v>Matthew</v>
      </c>
      <c r="F1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Helper'!$F$5:$F$3004,"""")&lt;&gt;""""),ROWS(F$5:F189)),IF(AND(LEFT(x,5)=""Page"&amp;" "",ISERROR(SEARCH(""–"",x))),x&amp;""–""&amp;REGEXEXTRACT(x,""[0-9]+$""),x)),"""")"),"Chapter 6")</f>
        <v>Chapter 6</v>
      </c>
      <c r="G189" s="8"/>
      <c r="H1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Helper'!$F$5:$F$3004,"""")&lt;&gt;""""),ROWS(H$5:H189)),"""")"),"")</f>
        <v/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Helper'!$F$5:$F$3004,"""")&lt;&gt;""""),ROWS(A$5:A190)),"""")"),46293.0)</f>
        <v>46293</v>
      </c>
      <c r="B1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Helper'!$F$5:$F$3004,"""")&lt;&gt;""""),ROWS(B$5:B190)),"""")"),"Everyone")</f>
        <v>Everyone</v>
      </c>
      <c r="C1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Helper'!$F$5:$F$3004,"""")&lt;&gt;""""),ROWS(C$5:C190)),"""")"),"Faith")</f>
        <v>Faith</v>
      </c>
      <c r="D1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Helper'!$F$5:$F$3004,"""")&lt;&gt;""""),ROWS(D$5:D190)),"""")"),"All Together / Bible — New Testament")</f>
        <v>All Together / Bible — New Testament</v>
      </c>
      <c r="E1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Helper'!$F$5:$F$3004,"""")&lt;&gt;""""),ROWS(E$5:E190)),"""")"),"Matthew")</f>
        <v>Matthew</v>
      </c>
      <c r="F1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Helper'!$F$5:$F$3004,"""")&lt;&gt;""""),ROWS(F$5:F190)),IF(AND(LEFT(x,5)=""Page"&amp;" "",ISERROR(SEARCH(""–"",x))),x&amp;""–""&amp;REGEXEXTRACT(x,""[0-9]+$""),x)),"""")"),"Chapter 7")</f>
        <v>Chapter 7</v>
      </c>
      <c r="G190" s="8"/>
      <c r="H1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Helper'!$F$5:$F$3004,"""")&lt;&gt;""""),ROWS(H$5:H190)),"""")"),"")</f>
        <v/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Helper'!$F$5:$F$3004,"""")&lt;&gt;""""),ROWS(A$5:A191)),"""")"),46300.0)</f>
        <v>46300</v>
      </c>
      <c r="B1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Helper'!$F$5:$F$3004,"""")&lt;&gt;""""),ROWS(B$5:B191)),"""")"),"Everyone")</f>
        <v>Everyone</v>
      </c>
      <c r="C1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Helper'!$F$5:$F$3004,"""")&lt;&gt;""""),ROWS(C$5:C191)),"""")"),"Faith")</f>
        <v>Faith</v>
      </c>
      <c r="D1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Helper'!$F$5:$F$3004,"""")&lt;&gt;""""),ROWS(D$5:D191)),"""")"),"All Together / Bible — New Testament")</f>
        <v>All Together / Bible — New Testament</v>
      </c>
      <c r="E1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Helper'!$F$5:$F$3004,"""")&lt;&gt;""""),ROWS(E$5:E191)),"""")"),"Matthew")</f>
        <v>Matthew</v>
      </c>
      <c r="F1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Helper'!$F$5:$F$3004,"""")&lt;&gt;""""),ROWS(F$5:F191)),IF(AND(LEFT(x,5)=""Page"&amp;" "",ISERROR(SEARCH(""–"",x))),x&amp;""–""&amp;REGEXEXTRACT(x,""[0-9]+$""),x)),"""")"),"Chapter 8")</f>
        <v>Chapter 8</v>
      </c>
      <c r="G191" s="8"/>
      <c r="H1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Helper'!$F$5:$F$3004,"""")&lt;&gt;""""),ROWS(H$5:H191)),"""")"),"")</f>
        <v/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Helper'!$F$5:$F$3004,"""")&lt;&gt;""""),ROWS(A$5:A192)),"""")"),46307.0)</f>
        <v>46307</v>
      </c>
      <c r="B1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Helper'!$F$5:$F$3004,"""")&lt;&gt;""""),ROWS(B$5:B192)),"""")"),"Everyone")</f>
        <v>Everyone</v>
      </c>
      <c r="C1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Helper'!$F$5:$F$3004,"""")&lt;&gt;""""),ROWS(C$5:C192)),"""")"),"Faith")</f>
        <v>Faith</v>
      </c>
      <c r="D1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Helper'!$F$5:$F$3004,"""")&lt;&gt;""""),ROWS(D$5:D192)),"""")"),"All Together / Bible — New Testament")</f>
        <v>All Together / Bible — New Testament</v>
      </c>
      <c r="E1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Helper'!$F$5:$F$3004,"""")&lt;&gt;""""),ROWS(E$5:E192)),"""")"),"Matthew")</f>
        <v>Matthew</v>
      </c>
      <c r="F1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Helper'!$F$5:$F$3004,"""")&lt;&gt;""""),ROWS(F$5:F192)),IF(AND(LEFT(x,5)=""Page"&amp;" "",ISERROR(SEARCH(""–"",x))),x&amp;""–""&amp;REGEXEXTRACT(x,""[0-9]+$""),x)),"""")"),"Chapter 9")</f>
        <v>Chapter 9</v>
      </c>
      <c r="G192" s="8"/>
      <c r="H1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Helper'!$F$5:$F$3004,"""")&lt;&gt;""""),ROWS(H$5:H192)),"""")"),"")</f>
        <v/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Helper'!$F$5:$F$3004,"""")&lt;&gt;""""),ROWS(A$5:A193)),"""")"),46314.0)</f>
        <v>46314</v>
      </c>
      <c r="B1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Helper'!$F$5:$F$3004,"""")&lt;&gt;""""),ROWS(B$5:B193)),"""")"),"Everyone")</f>
        <v>Everyone</v>
      </c>
      <c r="C1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Helper'!$F$5:$F$3004,"""")&lt;&gt;""""),ROWS(C$5:C193)),"""")"),"Faith")</f>
        <v>Faith</v>
      </c>
      <c r="D1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Helper'!$F$5:$F$3004,"""")&lt;&gt;""""),ROWS(D$5:D193)),"""")"),"All Together / Bible — New Testament")</f>
        <v>All Together / Bible — New Testament</v>
      </c>
      <c r="E1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Helper'!$F$5:$F$3004,"""")&lt;&gt;""""),ROWS(E$5:E193)),"""")"),"Matthew")</f>
        <v>Matthew</v>
      </c>
      <c r="F1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Helper'!$F$5:$F$3004,"""")&lt;&gt;""""),ROWS(F$5:F193)),IF(AND(LEFT(x,5)=""Page"&amp;" "",ISERROR(SEARCH(""–"",x))),x&amp;""–""&amp;REGEXEXTRACT(x,""[0-9]+$""),x)),"""")"),"Chapter 10")</f>
        <v>Chapter 10</v>
      </c>
      <c r="G193" s="8"/>
      <c r="H1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Helper'!$F$5:$F$3004,"""")&lt;&gt;""""),ROWS(H$5:H193)),"""")"),"")</f>
        <v/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Helper'!$F$5:$F$3004,"""")&lt;&gt;""""),ROWS(A$5:A194)),"""")"),46328.0)</f>
        <v>46328</v>
      </c>
      <c r="B1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Helper'!$F$5:$F$3004,"""")&lt;&gt;""""),ROWS(B$5:B194)),"""")"),"Everyone")</f>
        <v>Everyone</v>
      </c>
      <c r="C1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Helper'!$F$5:$F$3004,"""")&lt;&gt;""""),ROWS(C$5:C194)),"""")"),"Faith")</f>
        <v>Faith</v>
      </c>
      <c r="D1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Helper'!$F$5:$F$3004,"""")&lt;&gt;""""),ROWS(D$5:D194)),"""")"),"All Together / Bible — New Testament")</f>
        <v>All Together / Bible — New Testament</v>
      </c>
      <c r="E1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Helper'!$F$5:$F$3004,"""")&lt;&gt;""""),ROWS(E$5:E194)),"""")"),"Matthew")</f>
        <v>Matthew</v>
      </c>
      <c r="F1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Helper'!$F$5:$F$3004,"""")&lt;&gt;""""),ROWS(F$5:F194)),IF(AND(LEFT(x,5)=""Page"&amp;" "",ISERROR(SEARCH(""–"",x))),x&amp;""–""&amp;REGEXEXTRACT(x,""[0-9]+$""),x)),"""")"),"Chapter 11")</f>
        <v>Chapter 11</v>
      </c>
      <c r="G194" s="8"/>
      <c r="H1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Helper'!$F$5:$F$3004,"""")&lt;&gt;""""),ROWS(H$5:H194)),"""")"),"")</f>
        <v/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Helper'!$F$5:$F$3004,"""")&lt;&gt;""""),ROWS(A$5:A195)),"""")"),46335.0)</f>
        <v>46335</v>
      </c>
      <c r="B1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Helper'!$F$5:$F$3004,"""")&lt;&gt;""""),ROWS(B$5:B195)),"""")"),"Everyone")</f>
        <v>Everyone</v>
      </c>
      <c r="C1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Helper'!$F$5:$F$3004,"""")&lt;&gt;""""),ROWS(C$5:C195)),"""")"),"Faith")</f>
        <v>Faith</v>
      </c>
      <c r="D1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Helper'!$F$5:$F$3004,"""")&lt;&gt;""""),ROWS(D$5:D195)),"""")"),"All Together / Bible — New Testament")</f>
        <v>All Together / Bible — New Testament</v>
      </c>
      <c r="E1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Helper'!$F$5:$F$3004,"""")&lt;&gt;""""),ROWS(E$5:E195)),"""")"),"Matthew")</f>
        <v>Matthew</v>
      </c>
      <c r="F1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Helper'!$F$5:$F$3004,"""")&lt;&gt;""""),ROWS(F$5:F195)),IF(AND(LEFT(x,5)=""Page"&amp;" "",ISERROR(SEARCH(""–"",x))),x&amp;""–""&amp;REGEXEXTRACT(x,""[0-9]+$""),x)),"""")"),"Chapter 12")</f>
        <v>Chapter 12</v>
      </c>
      <c r="G195" s="8"/>
      <c r="H1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Helper'!$F$5:$F$3004,"""")&lt;&gt;""""),ROWS(H$5:H195)),"""")"),"")</f>
        <v/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Helper'!$F$5:$F$3004,"""")&lt;&gt;""""),ROWS(A$5:A196)),"""")"),46342.0)</f>
        <v>46342</v>
      </c>
      <c r="B1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Helper'!$F$5:$F$3004,"""")&lt;&gt;""""),ROWS(B$5:B196)),"""")"),"Everyone")</f>
        <v>Everyone</v>
      </c>
      <c r="C1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Helper'!$F$5:$F$3004,"""")&lt;&gt;""""),ROWS(C$5:C196)),"""")"),"Faith")</f>
        <v>Faith</v>
      </c>
      <c r="D1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Helper'!$F$5:$F$3004,"""")&lt;&gt;""""),ROWS(D$5:D196)),"""")"),"All Together / Bible — New Testament")</f>
        <v>All Together / Bible — New Testament</v>
      </c>
      <c r="E1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Helper'!$F$5:$F$3004,"""")&lt;&gt;""""),ROWS(E$5:E196)),"""")"),"Matthew")</f>
        <v>Matthew</v>
      </c>
      <c r="F1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Helper'!$F$5:$F$3004,"""")&lt;&gt;""""),ROWS(F$5:F196)),IF(AND(LEFT(x,5)=""Page"&amp;" "",ISERROR(SEARCH(""–"",x))),x&amp;""–""&amp;REGEXEXTRACT(x,""[0-9]+$""),x)),"""")"),"Chapter 13")</f>
        <v>Chapter 13</v>
      </c>
      <c r="G196" s="8"/>
      <c r="H1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Helper'!$F$5:$F$3004,"""")&lt;&gt;""""),ROWS(H$5:H196)),"""")"),"")</f>
        <v/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Helper'!$F$5:$F$3004,"""")&lt;&gt;""""),ROWS(A$5:A197)),"""")"),46349.0)</f>
        <v>46349</v>
      </c>
      <c r="B1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Helper'!$F$5:$F$3004,"""")&lt;&gt;""""),ROWS(B$5:B197)),"""")"),"Everyone")</f>
        <v>Everyone</v>
      </c>
      <c r="C1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Helper'!$F$5:$F$3004,"""")&lt;&gt;""""),ROWS(C$5:C197)),"""")"),"Faith")</f>
        <v>Faith</v>
      </c>
      <c r="D1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Helper'!$F$5:$F$3004,"""")&lt;&gt;""""),ROWS(D$5:D197)),"""")"),"All Together / Bible — New Testament")</f>
        <v>All Together / Bible — New Testament</v>
      </c>
      <c r="E1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Helper'!$F$5:$F$3004,"""")&lt;&gt;""""),ROWS(E$5:E197)),"""")"),"Matthew")</f>
        <v>Matthew</v>
      </c>
      <c r="F1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Helper'!$F$5:$F$3004,"""")&lt;&gt;""""),ROWS(F$5:F197)),IF(AND(LEFT(x,5)=""Page"&amp;" "",ISERROR(SEARCH(""–"",x))),x&amp;""–""&amp;REGEXEXTRACT(x,""[0-9]+$""),x)),"""")"),"Chapter 14")</f>
        <v>Chapter 14</v>
      </c>
      <c r="G197" s="8"/>
      <c r="H1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Helper'!$F$5:$F$3004,"""")&lt;&gt;""""),ROWS(H$5:H197)),"""")"),"")</f>
        <v/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Helper'!$F$5:$F$3004,"""")&lt;&gt;""""),ROWS(A$5:A198)),"""")"),46356.0)</f>
        <v>46356</v>
      </c>
      <c r="B1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Helper'!$F$5:$F$3004,"""")&lt;&gt;""""),ROWS(B$5:B198)),"""")"),"Everyone")</f>
        <v>Everyone</v>
      </c>
      <c r="C1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Helper'!$F$5:$F$3004,"""")&lt;&gt;""""),ROWS(C$5:C198)),"""")"),"Faith")</f>
        <v>Faith</v>
      </c>
      <c r="D1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Helper'!$F$5:$F$3004,"""")&lt;&gt;""""),ROWS(D$5:D198)),"""")"),"All Together / Bible — New Testament")</f>
        <v>All Together / Bible — New Testament</v>
      </c>
      <c r="E1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Helper'!$F$5:$F$3004,"""")&lt;&gt;""""),ROWS(E$5:E198)),"""")"),"Matthew")</f>
        <v>Matthew</v>
      </c>
      <c r="F1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Helper'!$F$5:$F$3004,"""")&lt;&gt;""""),ROWS(F$5:F198)),IF(AND(LEFT(x,5)=""Page"&amp;" "",ISERROR(SEARCH(""–"",x))),x&amp;""–""&amp;REGEXEXTRACT(x,""[0-9]+$""),x)),"""")"),"Chapter 15")</f>
        <v>Chapter 15</v>
      </c>
      <c r="G198" s="8"/>
      <c r="H1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Helper'!$F$5:$F$3004,"""")&lt;&gt;""""),ROWS(H$5:H198)),"""")"),"")</f>
        <v/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Helper'!$F$5:$F$3004,"""")&lt;&gt;""""),ROWS(A$5:A199)),"""")"),46363.0)</f>
        <v>46363</v>
      </c>
      <c r="B1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Helper'!$F$5:$F$3004,"""")&lt;&gt;""""),ROWS(B$5:B199)),"""")"),"Everyone")</f>
        <v>Everyone</v>
      </c>
      <c r="C1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Helper'!$F$5:$F$3004,"""")&lt;&gt;""""),ROWS(C$5:C199)),"""")"),"Faith")</f>
        <v>Faith</v>
      </c>
      <c r="D1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Helper'!$F$5:$F$3004,"""")&lt;&gt;""""),ROWS(D$5:D199)),"""")"),"All Together / Bible — New Testament")</f>
        <v>All Together / Bible — New Testament</v>
      </c>
      <c r="E1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Helper'!$F$5:$F$3004,"""")&lt;&gt;""""),ROWS(E$5:E199)),"""")"),"Matthew")</f>
        <v>Matthew</v>
      </c>
      <c r="F1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Helper'!$F$5:$F$3004,"""")&lt;&gt;""""),ROWS(F$5:F199)),IF(AND(LEFT(x,5)=""Page"&amp;" "",ISERROR(SEARCH(""–"",x))),x&amp;""–""&amp;REGEXEXTRACT(x,""[0-9]+$""),x)),"""")"),"Chapter 16")</f>
        <v>Chapter 16</v>
      </c>
      <c r="G199" s="8"/>
      <c r="H1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Helper'!$F$5:$F$3004,"""")&lt;&gt;""""),ROWS(H$5:H199)),"""")"),"")</f>
        <v/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Helper'!$F$5:$F$3004,"""")&lt;&gt;""""),ROWS(A$5:A200)),"""")"),46370.0)</f>
        <v>46370</v>
      </c>
      <c r="B2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Helper'!$F$5:$F$3004,"""")&lt;&gt;""""),ROWS(B$5:B200)),"""")"),"Everyone")</f>
        <v>Everyone</v>
      </c>
      <c r="C2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Helper'!$F$5:$F$3004,"""")&lt;&gt;""""),ROWS(C$5:C200)),"""")"),"Faith")</f>
        <v>Faith</v>
      </c>
      <c r="D2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Helper'!$F$5:$F$3004,"""")&lt;&gt;""""),ROWS(D$5:D200)),"""")"),"All Together / Bible — New Testament")</f>
        <v>All Together / Bible — New Testament</v>
      </c>
      <c r="E2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Helper'!$F$5:$F$3004,"""")&lt;&gt;""""),ROWS(E$5:E200)),"""")"),"Matthew")</f>
        <v>Matthew</v>
      </c>
      <c r="F2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Helper'!$F$5:$F$3004,"""")&lt;&gt;""""),ROWS(F$5:F200)),IF(AND(LEFT(x,5)=""Page"&amp;" "",ISERROR(SEARCH(""–"",x))),x&amp;""–""&amp;REGEXEXTRACT(x,""[0-9]+$""),x)),"""")"),"Chapter 17")</f>
        <v>Chapter 17</v>
      </c>
      <c r="G200" s="8"/>
      <c r="H2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Helper'!$F$5:$F$3004,"""")&lt;&gt;""""),ROWS(H$5:H200)),"""")"),"")</f>
        <v/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Helper'!$F$5:$F$3004,"""")&lt;&gt;""""),ROWS(A$5:A201)),"""")"),46377.0)</f>
        <v>46377</v>
      </c>
      <c r="B2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Helper'!$F$5:$F$3004,"""")&lt;&gt;""""),ROWS(B$5:B201)),"""")"),"Everyone")</f>
        <v>Everyone</v>
      </c>
      <c r="C2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Helper'!$F$5:$F$3004,"""")&lt;&gt;""""),ROWS(C$5:C201)),"""")"),"Faith")</f>
        <v>Faith</v>
      </c>
      <c r="D2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Helper'!$F$5:$F$3004,"""")&lt;&gt;""""),ROWS(D$5:D201)),"""")"),"All Together / Bible — New Testament")</f>
        <v>All Together / Bible — New Testament</v>
      </c>
      <c r="E2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Helper'!$F$5:$F$3004,"""")&lt;&gt;""""),ROWS(E$5:E201)),"""")"),"Matthew")</f>
        <v>Matthew</v>
      </c>
      <c r="F2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Helper'!$F$5:$F$3004,"""")&lt;&gt;""""),ROWS(F$5:F201)),IF(AND(LEFT(x,5)=""Page"&amp;" "",ISERROR(SEARCH(""–"",x))),x&amp;""–""&amp;REGEXEXTRACT(x,""[0-9]+$""),x)),"""")"),"Chapter 18")</f>
        <v>Chapter 18</v>
      </c>
      <c r="G201" s="163"/>
      <c r="H2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Helper'!$F$5:$F$3004,"""")&lt;&gt;""""),ROWS(H$5:H201)),"""")"),"")</f>
        <v/>
      </c>
    </row>
    <row r="202" ht="15.75" customHeight="1">
      <c r="A20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Helper'!$F$5:$F$3004,"""")&lt;&gt;""""),ROWS(A$5:A202)),"""")"),46384.0)</f>
        <v>46384</v>
      </c>
      <c r="B2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Helper'!$F$5:$F$3004,"""")&lt;&gt;""""),ROWS(B$5:B202)),"""")"),"Everyone")</f>
        <v>Everyone</v>
      </c>
      <c r="C2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Helper'!$F$5:$F$3004,"""")&lt;&gt;""""),ROWS(C$5:C202)),"""")"),"Faith")</f>
        <v>Faith</v>
      </c>
      <c r="D2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Helper'!$F$5:$F$3004,"""")&lt;&gt;""""),ROWS(D$5:D202)),"""")"),"All Together / Bible — New Testament")</f>
        <v>All Together / Bible — New Testament</v>
      </c>
      <c r="E2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Helper'!$F$5:$F$3004,"""")&lt;&gt;""""),ROWS(E$5:E202)),"""")"),"Matthew")</f>
        <v>Matthew</v>
      </c>
      <c r="F2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Helper'!$F$5:$F$3004,"""")&lt;&gt;""""),ROWS(F$5:F202)),IF(AND(LEFT(x,5)=""Page"&amp;" "",ISERROR(SEARCH(""–"",x))),x&amp;""–""&amp;REGEXEXTRACT(x,""[0-9]+$""),x)),"""")"),"Chapter 19")</f>
        <v>Chapter 19</v>
      </c>
      <c r="G202" s="163"/>
      <c r="H2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Helper'!$F$5:$F$3004,"""")&lt;&gt;""""),ROWS(H$5:H202)),"""")"),"")</f>
        <v/>
      </c>
    </row>
    <row r="203" ht="15.75" customHeight="1">
      <c r="A20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Helper'!$F$5:$F$3004,"""")&lt;&gt;""""),ROWS(A$5:A203)),"""")"),46391.0)</f>
        <v>46391</v>
      </c>
      <c r="B2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Helper'!$F$5:$F$3004,"""")&lt;&gt;""""),ROWS(B$5:B203)),"""")"),"Everyone")</f>
        <v>Everyone</v>
      </c>
      <c r="C2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Helper'!$F$5:$F$3004,"""")&lt;&gt;""""),ROWS(C$5:C203)),"""")"),"Faith")</f>
        <v>Faith</v>
      </c>
      <c r="D2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Helper'!$F$5:$F$3004,"""")&lt;&gt;""""),ROWS(D$5:D203)),"""")"),"All Together / Bible — New Testament")</f>
        <v>All Together / Bible — New Testament</v>
      </c>
      <c r="E2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Helper'!$F$5:$F$3004,"""")&lt;&gt;""""),ROWS(E$5:E203)),"""")"),"Matthew")</f>
        <v>Matthew</v>
      </c>
      <c r="F2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Helper'!$F$5:$F$3004,"""")&lt;&gt;""""),ROWS(F$5:F203)),IF(AND(LEFT(x,5)=""Page"&amp;" "",ISERROR(SEARCH(""–"",x))),x&amp;""–""&amp;REGEXEXTRACT(x,""[0-9]+$""),x)),"""")"),"Chapter 20")</f>
        <v>Chapter 20</v>
      </c>
      <c r="G203" s="163"/>
      <c r="H2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Helper'!$F$5:$F$3004,"""")&lt;&gt;""""),ROWS(H$5:H203)),"""")"),"")</f>
        <v/>
      </c>
    </row>
    <row r="204" ht="15.75" customHeight="1">
      <c r="A204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Helper'!$F$5:$F$3004,"""")&lt;&gt;""""),ROWS(A$5:A204)),"""")"),46398.0)</f>
        <v>46398</v>
      </c>
      <c r="B2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Helper'!$F$5:$F$3004,"""")&lt;&gt;""""),ROWS(B$5:B204)),"""")"),"Everyone")</f>
        <v>Everyone</v>
      </c>
      <c r="C2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Helper'!$F$5:$F$3004,"""")&lt;&gt;""""),ROWS(C$5:C204)),"""")"),"Faith")</f>
        <v>Faith</v>
      </c>
      <c r="D2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Helper'!$F$5:$F$3004,"""")&lt;&gt;""""),ROWS(D$5:D204)),"""")"),"All Together / Bible — New Testament")</f>
        <v>All Together / Bible — New Testament</v>
      </c>
      <c r="E2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Helper'!$F$5:$F$3004,"""")&lt;&gt;""""),ROWS(E$5:E204)),"""")"),"Matthew")</f>
        <v>Matthew</v>
      </c>
      <c r="F2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Helper'!$F$5:$F$3004,"""")&lt;&gt;""""),ROWS(F$5:F204)),IF(AND(LEFT(x,5)=""Page"&amp;" "",ISERROR(SEARCH(""–"",x))),x&amp;""–""&amp;REGEXEXTRACT(x,""[0-9]+$""),x)),"""")"),"Chapter 21")</f>
        <v>Chapter 21</v>
      </c>
      <c r="G204" s="163"/>
      <c r="H2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Helper'!$F$5:$F$3004,"""")&lt;&gt;""""),ROWS(H$5:H204)),"""")"),"")</f>
        <v/>
      </c>
    </row>
    <row r="205" ht="15.75" customHeight="1">
      <c r="A205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Helper'!$F$5:$F$3004,"""")&lt;&gt;""""),ROWS(A$5:A205)),"""")"),46412.0)</f>
        <v>46412</v>
      </c>
      <c r="B2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Helper'!$F$5:$F$3004,"""")&lt;&gt;""""),ROWS(B$5:B205)),"""")"),"Everyone")</f>
        <v>Everyone</v>
      </c>
      <c r="C2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Helper'!$F$5:$F$3004,"""")&lt;&gt;""""),ROWS(C$5:C205)),"""")"),"Faith")</f>
        <v>Faith</v>
      </c>
      <c r="D2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Helper'!$F$5:$F$3004,"""")&lt;&gt;""""),ROWS(D$5:D205)),"""")"),"All Together / Bible — New Testament")</f>
        <v>All Together / Bible — New Testament</v>
      </c>
      <c r="E2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Helper'!$F$5:$F$3004,"""")&lt;&gt;""""),ROWS(E$5:E205)),"""")"),"Matthew")</f>
        <v>Matthew</v>
      </c>
      <c r="F2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Helper'!$F$5:$F$3004,"""")&lt;&gt;""""),ROWS(F$5:F205)),IF(AND(LEFT(x,5)=""Page"&amp;" "",ISERROR(SEARCH(""–"",x))),x&amp;""–""&amp;REGEXEXTRACT(x,""[0-9]+$""),x)),"""")"),"Chapter 22")</f>
        <v>Chapter 22</v>
      </c>
      <c r="G205" s="163"/>
      <c r="H2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Helper'!$F$5:$F$3004,"""")&lt;&gt;""""),ROWS(H$5:H205)),"""")"),"")</f>
        <v/>
      </c>
    </row>
    <row r="206" ht="15.75" customHeight="1">
      <c r="A206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Helper'!$F$5:$F$3004,"""")&lt;&gt;""""),ROWS(A$5:A206)),"""")"),46419.0)</f>
        <v>46419</v>
      </c>
      <c r="B2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Helper'!$F$5:$F$3004,"""")&lt;&gt;""""),ROWS(B$5:B206)),"""")"),"Everyone")</f>
        <v>Everyone</v>
      </c>
      <c r="C2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Helper'!$F$5:$F$3004,"""")&lt;&gt;""""),ROWS(C$5:C206)),"""")"),"Faith")</f>
        <v>Faith</v>
      </c>
      <c r="D2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Helper'!$F$5:$F$3004,"""")&lt;&gt;""""),ROWS(D$5:D206)),"""")"),"All Together / Bible — New Testament")</f>
        <v>All Together / Bible — New Testament</v>
      </c>
      <c r="E2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Helper'!$F$5:$F$3004,"""")&lt;&gt;""""),ROWS(E$5:E206)),"""")"),"Matthew")</f>
        <v>Matthew</v>
      </c>
      <c r="F2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Helper'!$F$5:$F$3004,"""")&lt;&gt;""""),ROWS(F$5:F206)),IF(AND(LEFT(x,5)=""Page"&amp;" "",ISERROR(SEARCH(""–"",x))),x&amp;""–""&amp;REGEXEXTRACT(x,""[0-9]+$""),x)),"""")"),"Chapter 23")</f>
        <v>Chapter 23</v>
      </c>
      <c r="G206" s="163"/>
      <c r="H2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Helper'!$F$5:$F$3004,"""")&lt;&gt;""""),ROWS(H$5:H206)),"""")"),"")</f>
        <v/>
      </c>
    </row>
    <row r="207" ht="15.75" customHeight="1">
      <c r="A207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Helper'!$F$5:$F$3004,"""")&lt;&gt;""""),ROWS(A$5:A207)),"""")"),46426.0)</f>
        <v>46426</v>
      </c>
      <c r="B2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Helper'!$F$5:$F$3004,"""")&lt;&gt;""""),ROWS(B$5:B207)),"""")"),"Everyone")</f>
        <v>Everyone</v>
      </c>
      <c r="C2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Helper'!$F$5:$F$3004,"""")&lt;&gt;""""),ROWS(C$5:C207)),"""")"),"Faith")</f>
        <v>Faith</v>
      </c>
      <c r="D2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Helper'!$F$5:$F$3004,"""")&lt;&gt;""""),ROWS(D$5:D207)),"""")"),"All Together / Bible — New Testament")</f>
        <v>All Together / Bible — New Testament</v>
      </c>
      <c r="E2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Helper'!$F$5:$F$3004,"""")&lt;&gt;""""),ROWS(E$5:E207)),"""")"),"Matthew")</f>
        <v>Matthew</v>
      </c>
      <c r="F2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Helper'!$F$5:$F$3004,"""")&lt;&gt;""""),ROWS(F$5:F207)),IF(AND(LEFT(x,5)=""Page"&amp;" "",ISERROR(SEARCH(""–"",x))),x&amp;""–""&amp;REGEXEXTRACT(x,""[0-9]+$""),x)),"""")"),"Chapter 24")</f>
        <v>Chapter 24</v>
      </c>
      <c r="G207" s="163"/>
      <c r="H2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Helper'!$F$5:$F$3004,"""")&lt;&gt;""""),ROWS(H$5:H207)),"""")"),"")</f>
        <v/>
      </c>
    </row>
    <row r="208" ht="15.75" customHeight="1">
      <c r="A208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Helper'!$F$5:$F$3004,"""")&lt;&gt;""""),ROWS(A$5:A208)),"""")"),46433.0)</f>
        <v>46433</v>
      </c>
      <c r="B2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Helper'!$F$5:$F$3004,"""")&lt;&gt;""""),ROWS(B$5:B208)),"""")"),"Everyone")</f>
        <v>Everyone</v>
      </c>
      <c r="C2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Helper'!$F$5:$F$3004,"""")&lt;&gt;""""),ROWS(C$5:C208)),"""")"),"Faith")</f>
        <v>Faith</v>
      </c>
      <c r="D2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Helper'!$F$5:$F$3004,"""")&lt;&gt;""""),ROWS(D$5:D208)),"""")"),"All Together / Bible — New Testament")</f>
        <v>All Together / Bible — New Testament</v>
      </c>
      <c r="E2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Helper'!$F$5:$F$3004,"""")&lt;&gt;""""),ROWS(E$5:E208)),"""")"),"Matthew")</f>
        <v>Matthew</v>
      </c>
      <c r="F2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Helper'!$F$5:$F$3004,"""")&lt;&gt;""""),ROWS(F$5:F208)),IF(AND(LEFT(x,5)=""Page"&amp;" "",ISERROR(SEARCH(""–"",x))),x&amp;""–""&amp;REGEXEXTRACT(x,""[0-9]+$""),x)),"""")"),"Chapter 25")</f>
        <v>Chapter 25</v>
      </c>
      <c r="G208" s="163"/>
      <c r="H2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Helper'!$F$5:$F$3004,"""")&lt;&gt;""""),ROWS(H$5:H208)),"""")"),"")</f>
        <v/>
      </c>
    </row>
    <row r="209" ht="15.75" customHeight="1">
      <c r="A209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Helper'!$F$5:$F$3004,"""")&lt;&gt;""""),ROWS(A$5:A209)),"""")"),46440.0)</f>
        <v>46440</v>
      </c>
      <c r="B2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Helper'!$F$5:$F$3004,"""")&lt;&gt;""""),ROWS(B$5:B209)),"""")"),"Everyone")</f>
        <v>Everyone</v>
      </c>
      <c r="C2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Helper'!$F$5:$F$3004,"""")&lt;&gt;""""),ROWS(C$5:C209)),"""")"),"Faith")</f>
        <v>Faith</v>
      </c>
      <c r="D2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Helper'!$F$5:$F$3004,"""")&lt;&gt;""""),ROWS(D$5:D209)),"""")"),"All Together / Bible — New Testament")</f>
        <v>All Together / Bible — New Testament</v>
      </c>
      <c r="E2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Helper'!$F$5:$F$3004,"""")&lt;&gt;""""),ROWS(E$5:E209)),"""")"),"Matthew")</f>
        <v>Matthew</v>
      </c>
      <c r="F2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Helper'!$F$5:$F$3004,"""")&lt;&gt;""""),ROWS(F$5:F209)),IF(AND(LEFT(x,5)=""Page"&amp;" "",ISERROR(SEARCH(""–"",x))),x&amp;""–""&amp;REGEXEXTRACT(x,""[0-9]+$""),x)),"""")"),"Chapter 26")</f>
        <v>Chapter 26</v>
      </c>
      <c r="G209" s="163"/>
      <c r="H2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Helper'!$F$5:$F$3004,"""")&lt;&gt;""""),ROWS(H$5:H209)),"""")"),"")</f>
        <v/>
      </c>
    </row>
    <row r="210" ht="15.75" customHeight="1">
      <c r="A210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Helper'!$F$5:$F$3004,"""")&lt;&gt;""""),ROWS(A$5:A210)),"""")"),46447.0)</f>
        <v>46447</v>
      </c>
      <c r="B2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Helper'!$F$5:$F$3004,"""")&lt;&gt;""""),ROWS(B$5:B210)),"""")"),"Everyone")</f>
        <v>Everyone</v>
      </c>
      <c r="C2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Helper'!$F$5:$F$3004,"""")&lt;&gt;""""),ROWS(C$5:C210)),"""")"),"Faith")</f>
        <v>Faith</v>
      </c>
      <c r="D2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Helper'!$F$5:$F$3004,"""")&lt;&gt;""""),ROWS(D$5:D210)),"""")"),"All Together / Bible — New Testament")</f>
        <v>All Together / Bible — New Testament</v>
      </c>
      <c r="E2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Helper'!$F$5:$F$3004,"""")&lt;&gt;""""),ROWS(E$5:E210)),"""")"),"Matthew")</f>
        <v>Matthew</v>
      </c>
      <c r="F2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Helper'!$F$5:$F$3004,"""")&lt;&gt;""""),ROWS(F$5:F210)),IF(AND(LEFT(x,5)=""Page"&amp;" "",ISERROR(SEARCH(""–"",x))),x&amp;""–""&amp;REGEXEXTRACT(x,""[0-9]+$""),x)),"""")"),"Chapter 27")</f>
        <v>Chapter 27</v>
      </c>
      <c r="G210" s="163"/>
      <c r="H2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Helper'!$F$5:$F$3004,"""")&lt;&gt;""""),ROWS(H$5:H210)),"""")"),"")</f>
        <v/>
      </c>
    </row>
    <row r="211" ht="15.75" customHeight="1">
      <c r="A211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Helper'!$F$5:$F$3004,"""")&lt;&gt;""""),ROWS(A$5:A211)),"""")"),46454.0)</f>
        <v>46454</v>
      </c>
      <c r="B2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Helper'!$F$5:$F$3004,"""")&lt;&gt;""""),ROWS(B$5:B211)),"""")"),"Everyone")</f>
        <v>Everyone</v>
      </c>
      <c r="C2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Helper'!$F$5:$F$3004,"""")&lt;&gt;""""),ROWS(C$5:C211)),"""")"),"Faith")</f>
        <v>Faith</v>
      </c>
      <c r="D2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Helper'!$F$5:$F$3004,"""")&lt;&gt;""""),ROWS(D$5:D211)),"""")"),"All Together / Bible — New Testament")</f>
        <v>All Together / Bible — New Testament</v>
      </c>
      <c r="E2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Helper'!$F$5:$F$3004,"""")&lt;&gt;""""),ROWS(E$5:E211)),"""")"),"Matthew")</f>
        <v>Matthew</v>
      </c>
      <c r="F2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Helper'!$F$5:$F$3004,"""")&lt;&gt;""""),ROWS(F$5:F211)),IF(AND(LEFT(x,5)=""Page"&amp;" "",ISERROR(SEARCH(""–"",x))),x&amp;""–""&amp;REGEXEXTRACT(x,""[0-9]+$""),x)),"""")"),"Chapter 28")</f>
        <v>Chapter 28</v>
      </c>
      <c r="G211" s="163"/>
      <c r="H2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Helper'!$F$5:$F$3004,"""")&lt;&gt;""""),ROWS(H$5:H211)),"""")"),"")</f>
        <v/>
      </c>
    </row>
    <row r="212" ht="15.75" customHeight="1">
      <c r="A212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Helper'!$F$5:$F$3004,"""")&lt;&gt;""""),ROWS(A$5:A212)),"""")"),46461.0)</f>
        <v>46461</v>
      </c>
      <c r="B2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Helper'!$F$5:$F$3004,"""")&lt;&gt;""""),ROWS(B$5:B212)),"""")"),"Everyone")</f>
        <v>Everyone</v>
      </c>
      <c r="C2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Helper'!$F$5:$F$3004,"""")&lt;&gt;""""),ROWS(C$5:C212)),"""")"),"Faith")</f>
        <v>Faith</v>
      </c>
      <c r="D2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Helper'!$F$5:$F$3004,"""")&lt;&gt;""""),ROWS(D$5:D212)),"""")"),"All Together / Bible — New Testament")</f>
        <v>All Together / Bible — New Testament</v>
      </c>
      <c r="E2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Helper'!$F$5:$F$3004,"""")&lt;&gt;""""),ROWS(E$5:E212)),"""")"),"Matthew")</f>
        <v>Matthew</v>
      </c>
      <c r="F2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Helper'!$F$5:$F$3004,"""")&lt;&gt;""""),ROWS(F$5:F212)),IF(AND(LEFT(x,5)=""Page"&amp;" "",ISERROR(SEARCH(""–"",x))),x&amp;""–""&amp;REGEXEXTRACT(x,""[0-9]+$""),x)),"""")"),"Chapter 29")</f>
        <v>Chapter 29</v>
      </c>
      <c r="G212" s="163"/>
      <c r="H2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Helper'!$F$5:$F$3004,"""")&lt;&gt;""""),ROWS(H$5:H212)),"""")"),"")</f>
        <v/>
      </c>
    </row>
    <row r="213" ht="15.75" customHeight="1">
      <c r="A213" s="422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Helper'!$F$5:$F$3004,"""")&lt;&gt;""""),ROWS(A$5:A213)),"""")"),46468.0)</f>
        <v>46468</v>
      </c>
      <c r="B2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Helper'!$F$5:$F$3004,"""")&lt;&gt;""""),ROWS(B$5:B213)),"""")"),"Everyone")</f>
        <v>Everyone</v>
      </c>
      <c r="C2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Helper'!$F$5:$F$3004,"""")&lt;&gt;""""),ROWS(C$5:C213)),"""")"),"Faith")</f>
        <v>Faith</v>
      </c>
      <c r="D2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Helper'!$F$5:$F$3004,"""")&lt;&gt;""""),ROWS(D$5:D213)),"""")"),"All Together / Bible — New Testament")</f>
        <v>All Together / Bible — New Testament</v>
      </c>
      <c r="E2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Helper'!$F$5:$F$3004,"""")&lt;&gt;""""),ROWS(E$5:E213)),"""")"),"Matthew")</f>
        <v>Matthew</v>
      </c>
      <c r="F2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Helper'!$F$5:$F$3004,"""")&lt;&gt;""""),ROWS(F$5:F213)),IF(AND(LEFT(x,5)=""Page"&amp;" "",ISERROR(SEARCH(""–"",x))),x&amp;""–""&amp;REGEXEXTRACT(x,""[0-9]+$""),x)),"""")"),"Chapter 30")</f>
        <v>Chapter 30</v>
      </c>
      <c r="G213" s="163"/>
      <c r="H2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Helper'!$F$5:$F$3004,"""")&lt;&gt;""""),ROWS(H$5:H213)),"""")"),"")</f>
        <v/>
      </c>
    </row>
    <row r="214" ht="15.75" customHeight="1">
      <c r="A2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Helper'!$F$5:$F$3004,"""")&lt;&gt;""""),ROWS(A$5:A214)),"""")"),"")</f>
        <v/>
      </c>
      <c r="B2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Helper'!$F$5:$F$3004,"""")&lt;&gt;""""),ROWS(B$5:B214)),"""")"),"")</f>
        <v/>
      </c>
      <c r="C2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Helper'!$F$5:$F$3004,"""")&lt;&gt;""""),ROWS(C$5:C214)),"""")"),"")</f>
        <v/>
      </c>
      <c r="D2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Helper'!$F$5:$F$3004,"""")&lt;&gt;""""),ROWS(D$5:D214)),"""")"),"")</f>
        <v/>
      </c>
      <c r="E2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Helper'!$F$5:$F$3004,"""")&lt;&gt;""""),ROWS(E$5:E214)),"""")"),"")</f>
        <v/>
      </c>
      <c r="F2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Helper'!$F$5:$F$3004,"""")&lt;&gt;""""),ROWS(F$5:F214)),IF(AND(LEFT(x,5)=""Page"&amp;" "",ISERROR(SEARCH(""–"",x))),x&amp;""–""&amp;REGEXEXTRACT(x,""[0-9]+$""),x)),"""")"),"")</f>
        <v/>
      </c>
      <c r="G214" s="163"/>
      <c r="H2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Helper'!$F$5:$F$3004,"""")&lt;&gt;""""),ROWS(H$5:H214)),"""")"),"")</f>
        <v/>
      </c>
    </row>
    <row r="215" ht="15.75" customHeight="1">
      <c r="A2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Helper'!$F$5:$F$3004,"""")&lt;&gt;""""),ROWS(A$5:A215)),"""")"),"")</f>
        <v/>
      </c>
      <c r="B2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Helper'!$F$5:$F$3004,"""")&lt;&gt;""""),ROWS(B$5:B215)),"""")"),"")</f>
        <v/>
      </c>
      <c r="C2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Helper'!$F$5:$F$3004,"""")&lt;&gt;""""),ROWS(C$5:C215)),"""")"),"")</f>
        <v/>
      </c>
      <c r="D2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Helper'!$F$5:$F$3004,"""")&lt;&gt;""""),ROWS(D$5:D215)),"""")"),"")</f>
        <v/>
      </c>
      <c r="E2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Helper'!$F$5:$F$3004,"""")&lt;&gt;""""),ROWS(E$5:E215)),"""")"),"")</f>
        <v/>
      </c>
      <c r="F2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Helper'!$F$5:$F$3004,"""")&lt;&gt;""""),ROWS(F$5:F215)),IF(AND(LEFT(x,5)=""Page"&amp;" "",ISERROR(SEARCH(""–"",x))),x&amp;""–""&amp;REGEXEXTRACT(x,""[0-9]+$""),x)),"""")"),"")</f>
        <v/>
      </c>
      <c r="G215" s="163"/>
      <c r="H2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Helper'!$F$5:$F$3004,"""")&lt;&gt;""""),ROWS(H$5:H215)),"""")"),"")</f>
        <v/>
      </c>
    </row>
    <row r="216" ht="15.75" customHeight="1">
      <c r="A2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Helper'!$F$5:$F$3004,"""")&lt;&gt;""""),ROWS(A$5:A216)),"""")"),"")</f>
        <v/>
      </c>
      <c r="B2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Helper'!$F$5:$F$3004,"""")&lt;&gt;""""),ROWS(B$5:B216)),"""")"),"")</f>
        <v/>
      </c>
      <c r="C2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Helper'!$F$5:$F$3004,"""")&lt;&gt;""""),ROWS(C$5:C216)),"""")"),"")</f>
        <v/>
      </c>
      <c r="D2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Helper'!$F$5:$F$3004,"""")&lt;&gt;""""),ROWS(D$5:D216)),"""")"),"")</f>
        <v/>
      </c>
      <c r="E2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Helper'!$F$5:$F$3004,"""")&lt;&gt;""""),ROWS(E$5:E216)),"""")"),"")</f>
        <v/>
      </c>
      <c r="F2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Helper'!$F$5:$F$3004,"""")&lt;&gt;""""),ROWS(F$5:F216)),IF(AND(LEFT(x,5)=""Page"&amp;" "",ISERROR(SEARCH(""–"",x))),x&amp;""–""&amp;REGEXEXTRACT(x,""[0-9]+$""),x)),"""")"),"")</f>
        <v/>
      </c>
      <c r="G216" s="163"/>
      <c r="H2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Helper'!$F$5:$F$3004,"""")&lt;&gt;""""),ROWS(H$5:H216)),"""")"),"")</f>
        <v/>
      </c>
    </row>
    <row r="217" ht="15.75" customHeight="1">
      <c r="A2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Helper'!$F$5:$F$3004,"""")&lt;&gt;""""),ROWS(A$5:A217)),"""")"),"")</f>
        <v/>
      </c>
      <c r="B2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Helper'!$F$5:$F$3004,"""")&lt;&gt;""""),ROWS(B$5:B217)),"""")"),"")</f>
        <v/>
      </c>
      <c r="C2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Helper'!$F$5:$F$3004,"""")&lt;&gt;""""),ROWS(C$5:C217)),"""")"),"")</f>
        <v/>
      </c>
      <c r="D2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Helper'!$F$5:$F$3004,"""")&lt;&gt;""""),ROWS(D$5:D217)),"""")"),"")</f>
        <v/>
      </c>
      <c r="E2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Helper'!$F$5:$F$3004,"""")&lt;&gt;""""),ROWS(E$5:E217)),"""")"),"")</f>
        <v/>
      </c>
      <c r="F2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Helper'!$F$5:$F$3004,"""")&lt;&gt;""""),ROWS(F$5:F217)),IF(AND(LEFT(x,5)=""Page"&amp;" "",ISERROR(SEARCH(""–"",x))),x&amp;""–""&amp;REGEXEXTRACT(x,""[0-9]+$""),x)),"""")"),"")</f>
        <v/>
      </c>
      <c r="G217" s="163"/>
      <c r="H2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Helper'!$F$5:$F$3004,"""")&lt;&gt;""""),ROWS(H$5:H217)),"""")"),"")</f>
        <v/>
      </c>
    </row>
    <row r="218" ht="15.75" customHeight="1">
      <c r="A2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Helper'!$F$5:$F$3004,"""")&lt;&gt;""""),ROWS(A$5:A218)),"""")"),"")</f>
        <v/>
      </c>
      <c r="B2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Helper'!$F$5:$F$3004,"""")&lt;&gt;""""),ROWS(B$5:B218)),"""")"),"")</f>
        <v/>
      </c>
      <c r="C2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Helper'!$F$5:$F$3004,"""")&lt;&gt;""""),ROWS(C$5:C218)),"""")"),"")</f>
        <v/>
      </c>
      <c r="D2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Helper'!$F$5:$F$3004,"""")&lt;&gt;""""),ROWS(D$5:D218)),"""")"),"")</f>
        <v/>
      </c>
      <c r="E2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Helper'!$F$5:$F$3004,"""")&lt;&gt;""""),ROWS(E$5:E218)),"""")"),"")</f>
        <v/>
      </c>
      <c r="F2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Helper'!$F$5:$F$3004,"""")&lt;&gt;""""),ROWS(F$5:F218)),IF(AND(LEFT(x,5)=""Page"&amp;" "",ISERROR(SEARCH(""–"",x))),x&amp;""–""&amp;REGEXEXTRACT(x,""[0-9]+$""),x)),"""")"),"")</f>
        <v/>
      </c>
      <c r="G218" s="163"/>
      <c r="H2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Helper'!$F$5:$F$3004,"""")&lt;&gt;""""),ROWS(H$5:H218)),"""")"),"")</f>
        <v/>
      </c>
    </row>
    <row r="219" ht="15.75" customHeight="1">
      <c r="A2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Helper'!$F$5:$F$3004,"""")&lt;&gt;""""),ROWS(A$5:A219)),"""")"),"")</f>
        <v/>
      </c>
      <c r="B2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Helper'!$F$5:$F$3004,"""")&lt;&gt;""""),ROWS(B$5:B219)),"""")"),"")</f>
        <v/>
      </c>
      <c r="C2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Helper'!$F$5:$F$3004,"""")&lt;&gt;""""),ROWS(C$5:C219)),"""")"),"")</f>
        <v/>
      </c>
      <c r="D2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Helper'!$F$5:$F$3004,"""")&lt;&gt;""""),ROWS(D$5:D219)),"""")"),"")</f>
        <v/>
      </c>
      <c r="E2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Helper'!$F$5:$F$3004,"""")&lt;&gt;""""),ROWS(E$5:E219)),"""")"),"")</f>
        <v/>
      </c>
      <c r="F2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Helper'!$F$5:$F$3004,"""")&lt;&gt;""""),ROWS(F$5:F219)),IF(AND(LEFT(x,5)=""Page"&amp;" "",ISERROR(SEARCH(""–"",x))),x&amp;""–""&amp;REGEXEXTRACT(x,""[0-9]+$""),x)),"""")"),"")</f>
        <v/>
      </c>
      <c r="G219" s="163"/>
      <c r="H2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Helper'!$F$5:$F$3004,"""")&lt;&gt;""""),ROWS(H$5:H219)),"""")"),"")</f>
        <v/>
      </c>
    </row>
    <row r="220" ht="15.75" customHeight="1">
      <c r="A2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Helper'!$F$5:$F$3004,"""")&lt;&gt;""""),ROWS(A$5:A220)),"""")"),"")</f>
        <v/>
      </c>
      <c r="B2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Helper'!$F$5:$F$3004,"""")&lt;&gt;""""),ROWS(B$5:B220)),"""")"),"")</f>
        <v/>
      </c>
      <c r="C2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Helper'!$F$5:$F$3004,"""")&lt;&gt;""""),ROWS(C$5:C220)),"""")"),"")</f>
        <v/>
      </c>
      <c r="D2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Helper'!$F$5:$F$3004,"""")&lt;&gt;""""),ROWS(D$5:D220)),"""")"),"")</f>
        <v/>
      </c>
      <c r="E2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Helper'!$F$5:$F$3004,"""")&lt;&gt;""""),ROWS(E$5:E220)),"""")"),"")</f>
        <v/>
      </c>
      <c r="F2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Helper'!$F$5:$F$3004,"""")&lt;&gt;""""),ROWS(F$5:F220)),IF(AND(LEFT(x,5)=""Page"&amp;" "",ISERROR(SEARCH(""–"",x))),x&amp;""–""&amp;REGEXEXTRACT(x,""[0-9]+$""),x)),"""")"),"")</f>
        <v/>
      </c>
      <c r="G220" s="163"/>
      <c r="H2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Helper'!$F$5:$F$3004,"""")&lt;&gt;""""),ROWS(H$5:H220)),"""")"),"")</f>
        <v/>
      </c>
    </row>
    <row r="221" ht="15.75" customHeight="1">
      <c r="A2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Helper'!$F$5:$F$3004,"""")&lt;&gt;""""),ROWS(A$5:A221)),"""")"),"")</f>
        <v/>
      </c>
      <c r="B2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Helper'!$F$5:$F$3004,"""")&lt;&gt;""""),ROWS(B$5:B221)),"""")"),"")</f>
        <v/>
      </c>
      <c r="C2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Helper'!$F$5:$F$3004,"""")&lt;&gt;""""),ROWS(C$5:C221)),"""")"),"")</f>
        <v/>
      </c>
      <c r="D2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Helper'!$F$5:$F$3004,"""")&lt;&gt;""""),ROWS(D$5:D221)),"""")"),"")</f>
        <v/>
      </c>
      <c r="E2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Helper'!$F$5:$F$3004,"""")&lt;&gt;""""),ROWS(E$5:E221)),"""")"),"")</f>
        <v/>
      </c>
      <c r="F2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Helper'!$F$5:$F$3004,"""")&lt;&gt;""""),ROWS(F$5:F221)),IF(AND(LEFT(x,5)=""Page"&amp;" "",ISERROR(SEARCH(""–"",x))),x&amp;""–""&amp;REGEXEXTRACT(x,""[0-9]+$""),x)),"""")"),"")</f>
        <v/>
      </c>
      <c r="G221" s="163"/>
      <c r="H2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Helper'!$F$5:$F$3004,"""")&lt;&gt;""""),ROWS(H$5:H221)),"""")"),"")</f>
        <v/>
      </c>
    </row>
    <row r="222" ht="15.75" customHeight="1">
      <c r="A2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Helper'!$F$5:$F$3004,"""")&lt;&gt;""""),ROWS(A$5:A222)),"""")"),"")</f>
        <v/>
      </c>
      <c r="B2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Helper'!$F$5:$F$3004,"""")&lt;&gt;""""),ROWS(B$5:B222)),"""")"),"")</f>
        <v/>
      </c>
      <c r="C2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Helper'!$F$5:$F$3004,"""")&lt;&gt;""""),ROWS(C$5:C222)),"""")"),"")</f>
        <v/>
      </c>
      <c r="D2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Helper'!$F$5:$F$3004,"""")&lt;&gt;""""),ROWS(D$5:D222)),"""")"),"")</f>
        <v/>
      </c>
      <c r="E2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Helper'!$F$5:$F$3004,"""")&lt;&gt;""""),ROWS(E$5:E222)),"""")"),"")</f>
        <v/>
      </c>
      <c r="F2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Helper'!$F$5:$F$3004,"""")&lt;&gt;""""),ROWS(F$5:F222)),IF(AND(LEFT(x,5)=""Page"&amp;" "",ISERROR(SEARCH(""–"",x))),x&amp;""–""&amp;REGEXEXTRACT(x,""[0-9]+$""),x)),"""")"),"")</f>
        <v/>
      </c>
      <c r="G222" s="163"/>
      <c r="H2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Helper'!$F$5:$F$3004,"""")&lt;&gt;""""),ROWS(H$5:H222)),"""")"),"")</f>
        <v/>
      </c>
    </row>
    <row r="223" ht="15.75" customHeight="1">
      <c r="A2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Helper'!$F$5:$F$3004,"""")&lt;&gt;""""),ROWS(A$5:A223)),"""")"),"")</f>
        <v/>
      </c>
      <c r="B2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Helper'!$F$5:$F$3004,"""")&lt;&gt;""""),ROWS(B$5:B223)),"""")"),"")</f>
        <v/>
      </c>
      <c r="C2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Helper'!$F$5:$F$3004,"""")&lt;&gt;""""),ROWS(C$5:C223)),"""")"),"")</f>
        <v/>
      </c>
      <c r="D2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Helper'!$F$5:$F$3004,"""")&lt;&gt;""""),ROWS(D$5:D223)),"""")"),"")</f>
        <v/>
      </c>
      <c r="E2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Helper'!$F$5:$F$3004,"""")&lt;&gt;""""),ROWS(E$5:E223)),"""")"),"")</f>
        <v/>
      </c>
      <c r="F2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Helper'!$F$5:$F$3004,"""")&lt;&gt;""""),ROWS(F$5:F223)),IF(AND(LEFT(x,5)=""Page"&amp;" "",ISERROR(SEARCH(""–"",x))),x&amp;""–""&amp;REGEXEXTRACT(x,""[0-9]+$""),x)),"""")"),"")</f>
        <v/>
      </c>
      <c r="G223" s="163"/>
      <c r="H2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Helper'!$F$5:$F$3004,"""")&lt;&gt;""""),ROWS(H$5:H223)),"""")"),"")</f>
        <v/>
      </c>
    </row>
    <row r="224" ht="15.75" customHeight="1">
      <c r="A2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Helper'!$F$5:$F$3004,"""")&lt;&gt;""""),ROWS(A$5:A224)),"""")"),"")</f>
        <v/>
      </c>
      <c r="B2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Helper'!$F$5:$F$3004,"""")&lt;&gt;""""),ROWS(B$5:B224)),"""")"),"")</f>
        <v/>
      </c>
      <c r="C2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Helper'!$F$5:$F$3004,"""")&lt;&gt;""""),ROWS(C$5:C224)),"""")"),"")</f>
        <v/>
      </c>
      <c r="D2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Helper'!$F$5:$F$3004,"""")&lt;&gt;""""),ROWS(D$5:D224)),"""")"),"")</f>
        <v/>
      </c>
      <c r="E2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Helper'!$F$5:$F$3004,"""")&lt;&gt;""""),ROWS(E$5:E224)),"""")"),"")</f>
        <v/>
      </c>
      <c r="F2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Helper'!$F$5:$F$3004,"""")&lt;&gt;""""),ROWS(F$5:F224)),IF(AND(LEFT(x,5)=""Page"&amp;" "",ISERROR(SEARCH(""–"",x))),x&amp;""–""&amp;REGEXEXTRACT(x,""[0-9]+$""),x)),"""")"),"")</f>
        <v/>
      </c>
      <c r="G224" s="163"/>
      <c r="H2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Helper'!$F$5:$F$3004,"""")&lt;&gt;""""),ROWS(H$5:H224)),"""")"),"")</f>
        <v/>
      </c>
    </row>
    <row r="225" ht="15.75" customHeight="1">
      <c r="A2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Helper'!$F$5:$F$3004,"""")&lt;&gt;""""),ROWS(A$5:A225)),"""")"),"")</f>
        <v/>
      </c>
      <c r="B2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Helper'!$F$5:$F$3004,"""")&lt;&gt;""""),ROWS(B$5:B225)),"""")"),"")</f>
        <v/>
      </c>
      <c r="C2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Helper'!$F$5:$F$3004,"""")&lt;&gt;""""),ROWS(C$5:C225)),"""")"),"")</f>
        <v/>
      </c>
      <c r="D2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Helper'!$F$5:$F$3004,"""")&lt;&gt;""""),ROWS(D$5:D225)),"""")"),"")</f>
        <v/>
      </c>
      <c r="E2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Helper'!$F$5:$F$3004,"""")&lt;&gt;""""),ROWS(E$5:E225)),"""")"),"")</f>
        <v/>
      </c>
      <c r="F2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Helper'!$F$5:$F$3004,"""")&lt;&gt;""""),ROWS(F$5:F225)),IF(AND(LEFT(x,5)=""Page"&amp;" "",ISERROR(SEARCH(""–"",x))),x&amp;""–""&amp;REGEXEXTRACT(x,""[0-9]+$""),x)),"""")"),"")</f>
        <v/>
      </c>
      <c r="G225" s="163"/>
      <c r="H2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Helper'!$F$5:$F$3004,"""")&lt;&gt;""""),ROWS(H$5:H225)),"""")"),"")</f>
        <v/>
      </c>
    </row>
    <row r="226" ht="15.75" customHeight="1">
      <c r="A2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Helper'!$F$5:$F$3004,"""")&lt;&gt;""""),ROWS(A$5:A226)),"""")"),"")</f>
        <v/>
      </c>
      <c r="B2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Helper'!$F$5:$F$3004,"""")&lt;&gt;""""),ROWS(B$5:B226)),"""")"),"")</f>
        <v/>
      </c>
      <c r="C2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Helper'!$F$5:$F$3004,"""")&lt;&gt;""""),ROWS(C$5:C226)),"""")"),"")</f>
        <v/>
      </c>
      <c r="D2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Helper'!$F$5:$F$3004,"""")&lt;&gt;""""),ROWS(D$5:D226)),"""")"),"")</f>
        <v/>
      </c>
      <c r="E2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Helper'!$F$5:$F$3004,"""")&lt;&gt;""""),ROWS(E$5:E226)),"""")"),"")</f>
        <v/>
      </c>
      <c r="F2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Helper'!$F$5:$F$3004,"""")&lt;&gt;""""),ROWS(F$5:F226)),IF(AND(LEFT(x,5)=""Page"&amp;" "",ISERROR(SEARCH(""–"",x))),x&amp;""–""&amp;REGEXEXTRACT(x,""[0-9]+$""),x)),"""")"),"")</f>
        <v/>
      </c>
      <c r="G226" s="163"/>
      <c r="H2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Helper'!$F$5:$F$3004,"""")&lt;&gt;""""),ROWS(H$5:H226)),"""")"),"")</f>
        <v/>
      </c>
    </row>
    <row r="227" ht="15.75" customHeight="1">
      <c r="A2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Helper'!$F$5:$F$3004,"""")&lt;&gt;""""),ROWS(A$5:A227)),"""")"),"")</f>
        <v/>
      </c>
      <c r="B2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Helper'!$F$5:$F$3004,"""")&lt;&gt;""""),ROWS(B$5:B227)),"""")"),"")</f>
        <v/>
      </c>
      <c r="C2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Helper'!$F$5:$F$3004,"""")&lt;&gt;""""),ROWS(C$5:C227)),"""")"),"")</f>
        <v/>
      </c>
      <c r="D2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Helper'!$F$5:$F$3004,"""")&lt;&gt;""""),ROWS(D$5:D227)),"""")"),"")</f>
        <v/>
      </c>
      <c r="E2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Helper'!$F$5:$F$3004,"""")&lt;&gt;""""),ROWS(E$5:E227)),"""")"),"")</f>
        <v/>
      </c>
      <c r="F2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Helper'!$F$5:$F$3004,"""")&lt;&gt;""""),ROWS(F$5:F227)),IF(AND(LEFT(x,5)=""Page"&amp;" "",ISERROR(SEARCH(""–"",x))),x&amp;""–""&amp;REGEXEXTRACT(x,""[0-9]+$""),x)),"""")"),"")</f>
        <v/>
      </c>
      <c r="G227" s="163"/>
      <c r="H2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Helper'!$F$5:$F$3004,"""")&lt;&gt;""""),ROWS(H$5:H227)),"""")"),"")</f>
        <v/>
      </c>
    </row>
    <row r="228" ht="15.75" customHeight="1">
      <c r="A2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Helper'!$F$5:$F$3004,"""")&lt;&gt;""""),ROWS(A$5:A228)),"""")"),"")</f>
        <v/>
      </c>
      <c r="B2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Helper'!$F$5:$F$3004,"""")&lt;&gt;""""),ROWS(B$5:B228)),"""")"),"")</f>
        <v/>
      </c>
      <c r="C2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Helper'!$F$5:$F$3004,"""")&lt;&gt;""""),ROWS(C$5:C228)),"""")"),"")</f>
        <v/>
      </c>
      <c r="D2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Helper'!$F$5:$F$3004,"""")&lt;&gt;""""),ROWS(D$5:D228)),"""")"),"")</f>
        <v/>
      </c>
      <c r="E2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Helper'!$F$5:$F$3004,"""")&lt;&gt;""""),ROWS(E$5:E228)),"""")"),"")</f>
        <v/>
      </c>
      <c r="F2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Helper'!$F$5:$F$3004,"""")&lt;&gt;""""),ROWS(F$5:F228)),IF(AND(LEFT(x,5)=""Page"&amp;" "",ISERROR(SEARCH(""–"",x))),x&amp;""–""&amp;REGEXEXTRACT(x,""[0-9]+$""),x)),"""")"),"")</f>
        <v/>
      </c>
      <c r="G228" s="163"/>
      <c r="H2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Helper'!$F$5:$F$3004,"""")&lt;&gt;""""),ROWS(H$5:H228)),"""")"),"")</f>
        <v/>
      </c>
    </row>
    <row r="229" ht="15.75" customHeight="1">
      <c r="A2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Helper'!$F$5:$F$3004,"""")&lt;&gt;""""),ROWS(A$5:A229)),"""")"),"")</f>
        <v/>
      </c>
      <c r="B2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Helper'!$F$5:$F$3004,"""")&lt;&gt;""""),ROWS(B$5:B229)),"""")"),"")</f>
        <v/>
      </c>
      <c r="C2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Helper'!$F$5:$F$3004,"""")&lt;&gt;""""),ROWS(C$5:C229)),"""")"),"")</f>
        <v/>
      </c>
      <c r="D2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Helper'!$F$5:$F$3004,"""")&lt;&gt;""""),ROWS(D$5:D229)),"""")"),"")</f>
        <v/>
      </c>
      <c r="E2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Helper'!$F$5:$F$3004,"""")&lt;&gt;""""),ROWS(E$5:E229)),"""")"),"")</f>
        <v/>
      </c>
      <c r="F2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Helper'!$F$5:$F$3004,"""")&lt;&gt;""""),ROWS(F$5:F229)),IF(AND(LEFT(x,5)=""Page"&amp;" "",ISERROR(SEARCH(""–"",x))),x&amp;""–""&amp;REGEXEXTRACT(x,""[0-9]+$""),x)),"""")"),"")</f>
        <v/>
      </c>
      <c r="G229" s="163"/>
      <c r="H2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Helper'!$F$5:$F$3004,"""")&lt;&gt;""""),ROWS(H$5:H229)),"""")"),"")</f>
        <v/>
      </c>
    </row>
    <row r="230" ht="15.75" customHeight="1">
      <c r="A2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Helper'!$F$5:$F$3004,"""")&lt;&gt;""""),ROWS(A$5:A230)),"""")"),"")</f>
        <v/>
      </c>
      <c r="B2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Helper'!$F$5:$F$3004,"""")&lt;&gt;""""),ROWS(B$5:B230)),"""")"),"")</f>
        <v/>
      </c>
      <c r="C2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Helper'!$F$5:$F$3004,"""")&lt;&gt;""""),ROWS(C$5:C230)),"""")"),"")</f>
        <v/>
      </c>
      <c r="D2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Helper'!$F$5:$F$3004,"""")&lt;&gt;""""),ROWS(D$5:D230)),"""")"),"")</f>
        <v/>
      </c>
      <c r="E2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Helper'!$F$5:$F$3004,"""")&lt;&gt;""""),ROWS(E$5:E230)),"""")"),"")</f>
        <v/>
      </c>
      <c r="F2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Helper'!$F$5:$F$3004,"""")&lt;&gt;""""),ROWS(F$5:F230)),IF(AND(LEFT(x,5)=""Page"&amp;" "",ISERROR(SEARCH(""–"",x))),x&amp;""–""&amp;REGEXEXTRACT(x,""[0-9]+$""),x)),"""")"),"")</f>
        <v/>
      </c>
      <c r="G230" s="163"/>
      <c r="H2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Helper'!$F$5:$F$3004,"""")&lt;&gt;""""),ROWS(H$5:H230)),"""")"),"")</f>
        <v/>
      </c>
    </row>
    <row r="231" ht="15.75" customHeight="1">
      <c r="A2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Helper'!$F$5:$F$3004,"""")&lt;&gt;""""),ROWS(A$5:A231)),"""")"),"")</f>
        <v/>
      </c>
      <c r="B2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Helper'!$F$5:$F$3004,"""")&lt;&gt;""""),ROWS(B$5:B231)),"""")"),"")</f>
        <v/>
      </c>
      <c r="C2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Helper'!$F$5:$F$3004,"""")&lt;&gt;""""),ROWS(C$5:C231)),"""")"),"")</f>
        <v/>
      </c>
      <c r="D2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Helper'!$F$5:$F$3004,"""")&lt;&gt;""""),ROWS(D$5:D231)),"""")"),"")</f>
        <v/>
      </c>
      <c r="E2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Helper'!$F$5:$F$3004,"""")&lt;&gt;""""),ROWS(E$5:E231)),"""")"),"")</f>
        <v/>
      </c>
      <c r="F2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Helper'!$F$5:$F$3004,"""")&lt;&gt;""""),ROWS(F$5:F231)),IF(AND(LEFT(x,5)=""Page"&amp;" "",ISERROR(SEARCH(""–"",x))),x&amp;""–""&amp;REGEXEXTRACT(x,""[0-9]+$""),x)),"""")"),"")</f>
        <v/>
      </c>
      <c r="G231" s="163"/>
      <c r="H2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Helper'!$F$5:$F$3004,"""")&lt;&gt;""""),ROWS(H$5:H231)),"""")"),"")</f>
        <v/>
      </c>
    </row>
    <row r="232" ht="15.75" customHeight="1">
      <c r="A2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Helper'!$F$5:$F$3004,"""")&lt;&gt;""""),ROWS(A$5:A232)),"""")"),"")</f>
        <v/>
      </c>
      <c r="B2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Helper'!$F$5:$F$3004,"""")&lt;&gt;""""),ROWS(B$5:B232)),"""")"),"")</f>
        <v/>
      </c>
      <c r="C2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Helper'!$F$5:$F$3004,"""")&lt;&gt;""""),ROWS(C$5:C232)),"""")"),"")</f>
        <v/>
      </c>
      <c r="D2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Helper'!$F$5:$F$3004,"""")&lt;&gt;""""),ROWS(D$5:D232)),"""")"),"")</f>
        <v/>
      </c>
      <c r="E2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Helper'!$F$5:$F$3004,"""")&lt;&gt;""""),ROWS(E$5:E232)),"""")"),"")</f>
        <v/>
      </c>
      <c r="F2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Helper'!$F$5:$F$3004,"""")&lt;&gt;""""),ROWS(F$5:F232)),IF(AND(LEFT(x,5)=""Page"&amp;" "",ISERROR(SEARCH(""–"",x))),x&amp;""–""&amp;REGEXEXTRACT(x,""[0-9]+$""),x)),"""")"),"")</f>
        <v/>
      </c>
      <c r="G232" s="163"/>
      <c r="H2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Helper'!$F$5:$F$3004,"""")&lt;&gt;""""),ROWS(H$5:H232)),"""")"),"")</f>
        <v/>
      </c>
    </row>
    <row r="233" ht="15.75" customHeight="1">
      <c r="A2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Helper'!$F$5:$F$3004,"""")&lt;&gt;""""),ROWS(A$5:A233)),"""")"),"")</f>
        <v/>
      </c>
      <c r="B2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Helper'!$F$5:$F$3004,"""")&lt;&gt;""""),ROWS(B$5:B233)),"""")"),"")</f>
        <v/>
      </c>
      <c r="C2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Helper'!$F$5:$F$3004,"""")&lt;&gt;""""),ROWS(C$5:C233)),"""")"),"")</f>
        <v/>
      </c>
      <c r="D2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Helper'!$F$5:$F$3004,"""")&lt;&gt;""""),ROWS(D$5:D233)),"""")"),"")</f>
        <v/>
      </c>
      <c r="E2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Helper'!$F$5:$F$3004,"""")&lt;&gt;""""),ROWS(E$5:E233)),"""")"),"")</f>
        <v/>
      </c>
      <c r="F2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Helper'!$F$5:$F$3004,"""")&lt;&gt;""""),ROWS(F$5:F233)),IF(AND(LEFT(x,5)=""Page"&amp;" "",ISERROR(SEARCH(""–"",x))),x&amp;""–""&amp;REGEXEXTRACT(x,""[0-9]+$""),x)),"""")"),"")</f>
        <v/>
      </c>
      <c r="G233" s="163"/>
      <c r="H2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Helper'!$F$5:$F$3004,"""")&lt;&gt;""""),ROWS(H$5:H233)),"""")"),"")</f>
        <v/>
      </c>
    </row>
    <row r="234" ht="15.75" customHeight="1">
      <c r="A2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Helper'!$F$5:$F$3004,"""")&lt;&gt;""""),ROWS(A$5:A234)),"""")"),"")</f>
        <v/>
      </c>
      <c r="B2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Helper'!$F$5:$F$3004,"""")&lt;&gt;""""),ROWS(B$5:B234)),"""")"),"")</f>
        <v/>
      </c>
      <c r="C2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Helper'!$F$5:$F$3004,"""")&lt;&gt;""""),ROWS(C$5:C234)),"""")"),"")</f>
        <v/>
      </c>
      <c r="D2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Helper'!$F$5:$F$3004,"""")&lt;&gt;""""),ROWS(D$5:D234)),"""")"),"")</f>
        <v/>
      </c>
      <c r="E2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Helper'!$F$5:$F$3004,"""")&lt;&gt;""""),ROWS(E$5:E234)),"""")"),"")</f>
        <v/>
      </c>
      <c r="F2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Helper'!$F$5:$F$3004,"""")&lt;&gt;""""),ROWS(F$5:F234)),IF(AND(LEFT(x,5)=""Page"&amp;" "",ISERROR(SEARCH(""–"",x))),x&amp;""–""&amp;REGEXEXTRACT(x,""[0-9]+$""),x)),"""")"),"")</f>
        <v/>
      </c>
      <c r="G234" s="163"/>
      <c r="H2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Helper'!$F$5:$F$3004,"""")&lt;&gt;""""),ROWS(H$5:H234)),"""")"),"")</f>
        <v/>
      </c>
    </row>
    <row r="235" ht="15.75" customHeight="1">
      <c r="A2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Helper'!$F$5:$F$3004,"""")&lt;&gt;""""),ROWS(A$5:A235)),"""")"),"")</f>
        <v/>
      </c>
      <c r="B2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Helper'!$F$5:$F$3004,"""")&lt;&gt;""""),ROWS(B$5:B235)),"""")"),"")</f>
        <v/>
      </c>
      <c r="C2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Helper'!$F$5:$F$3004,"""")&lt;&gt;""""),ROWS(C$5:C235)),"""")"),"")</f>
        <v/>
      </c>
      <c r="D2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Helper'!$F$5:$F$3004,"""")&lt;&gt;""""),ROWS(D$5:D235)),"""")"),"")</f>
        <v/>
      </c>
      <c r="E2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Helper'!$F$5:$F$3004,"""")&lt;&gt;""""),ROWS(E$5:E235)),"""")"),"")</f>
        <v/>
      </c>
      <c r="F2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Helper'!$F$5:$F$3004,"""")&lt;&gt;""""),ROWS(F$5:F235)),IF(AND(LEFT(x,5)=""Page"&amp;" "",ISERROR(SEARCH(""–"",x))),x&amp;""–""&amp;REGEXEXTRACT(x,""[0-9]+$""),x)),"""")"),"")</f>
        <v/>
      </c>
      <c r="G235" s="163"/>
      <c r="H2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Helper'!$F$5:$F$3004,"""")&lt;&gt;""""),ROWS(H$5:H235)),"""")"),"")</f>
        <v/>
      </c>
    </row>
    <row r="236" ht="15.75" customHeight="1">
      <c r="A2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Helper'!$F$5:$F$3004,"""")&lt;&gt;""""),ROWS(A$5:A236)),"""")"),"")</f>
        <v/>
      </c>
      <c r="B2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Helper'!$F$5:$F$3004,"""")&lt;&gt;""""),ROWS(B$5:B236)),"""")"),"")</f>
        <v/>
      </c>
      <c r="C2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Helper'!$F$5:$F$3004,"""")&lt;&gt;""""),ROWS(C$5:C236)),"""")"),"")</f>
        <v/>
      </c>
      <c r="D2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Helper'!$F$5:$F$3004,"""")&lt;&gt;""""),ROWS(D$5:D236)),"""")"),"")</f>
        <v/>
      </c>
      <c r="E2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Helper'!$F$5:$F$3004,"""")&lt;&gt;""""),ROWS(E$5:E236)),"""")"),"")</f>
        <v/>
      </c>
      <c r="F2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Helper'!$F$5:$F$3004,"""")&lt;&gt;""""),ROWS(F$5:F236)),IF(AND(LEFT(x,5)=""Page"&amp;" "",ISERROR(SEARCH(""–"",x))),x&amp;""–""&amp;REGEXEXTRACT(x,""[0-9]+$""),x)),"""")"),"")</f>
        <v/>
      </c>
      <c r="G236" s="163"/>
      <c r="H2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Helper'!$F$5:$F$3004,"""")&lt;&gt;""""),ROWS(H$5:H236)),"""")"),"")</f>
        <v/>
      </c>
    </row>
    <row r="237" ht="15.75" customHeight="1">
      <c r="A2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Helper'!$F$5:$F$3004,"""")&lt;&gt;""""),ROWS(A$5:A237)),"""")"),"")</f>
        <v/>
      </c>
      <c r="B2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Helper'!$F$5:$F$3004,"""")&lt;&gt;""""),ROWS(B$5:B237)),"""")"),"")</f>
        <v/>
      </c>
      <c r="C2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Helper'!$F$5:$F$3004,"""")&lt;&gt;""""),ROWS(C$5:C237)),"""")"),"")</f>
        <v/>
      </c>
      <c r="D2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Helper'!$F$5:$F$3004,"""")&lt;&gt;""""),ROWS(D$5:D237)),"""")"),"")</f>
        <v/>
      </c>
      <c r="E2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Helper'!$F$5:$F$3004,"""")&lt;&gt;""""),ROWS(E$5:E237)),"""")"),"")</f>
        <v/>
      </c>
      <c r="F2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Helper'!$F$5:$F$3004,"""")&lt;&gt;""""),ROWS(F$5:F237)),IF(AND(LEFT(x,5)=""Page"&amp;" "",ISERROR(SEARCH(""–"",x))),x&amp;""–""&amp;REGEXEXTRACT(x,""[0-9]+$""),x)),"""")"),"")</f>
        <v/>
      </c>
      <c r="G237" s="163"/>
      <c r="H2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Helper'!$F$5:$F$3004,"""")&lt;&gt;""""),ROWS(H$5:H237)),"""")"),"")</f>
        <v/>
      </c>
    </row>
    <row r="238" ht="15.75" customHeight="1">
      <c r="A2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Helper'!$F$5:$F$3004,"""")&lt;&gt;""""),ROWS(A$5:A238)),"""")"),"")</f>
        <v/>
      </c>
      <c r="B2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Helper'!$F$5:$F$3004,"""")&lt;&gt;""""),ROWS(B$5:B238)),"""")"),"")</f>
        <v/>
      </c>
      <c r="C2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Helper'!$F$5:$F$3004,"""")&lt;&gt;""""),ROWS(C$5:C238)),"""")"),"")</f>
        <v/>
      </c>
      <c r="D2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Helper'!$F$5:$F$3004,"""")&lt;&gt;""""),ROWS(D$5:D238)),"""")"),"")</f>
        <v/>
      </c>
      <c r="E2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Helper'!$F$5:$F$3004,"""")&lt;&gt;""""),ROWS(E$5:E238)),"""")"),"")</f>
        <v/>
      </c>
      <c r="F2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Helper'!$F$5:$F$3004,"""")&lt;&gt;""""),ROWS(F$5:F238)),IF(AND(LEFT(x,5)=""Page"&amp;" "",ISERROR(SEARCH(""–"",x))),x&amp;""–""&amp;REGEXEXTRACT(x,""[0-9]+$""),x)),"""")"),"")</f>
        <v/>
      </c>
      <c r="G238" s="163"/>
      <c r="H2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Helper'!$F$5:$F$3004,"""")&lt;&gt;""""),ROWS(H$5:H238)),"""")"),"")</f>
        <v/>
      </c>
    </row>
    <row r="239" ht="15.75" customHeight="1">
      <c r="A2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Helper'!$F$5:$F$3004,"""")&lt;&gt;""""),ROWS(A$5:A239)),"""")"),"")</f>
        <v/>
      </c>
      <c r="B2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Helper'!$F$5:$F$3004,"""")&lt;&gt;""""),ROWS(B$5:B239)),"""")"),"")</f>
        <v/>
      </c>
      <c r="C2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Helper'!$F$5:$F$3004,"""")&lt;&gt;""""),ROWS(C$5:C239)),"""")"),"")</f>
        <v/>
      </c>
      <c r="D2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Helper'!$F$5:$F$3004,"""")&lt;&gt;""""),ROWS(D$5:D239)),"""")"),"")</f>
        <v/>
      </c>
      <c r="E2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Helper'!$F$5:$F$3004,"""")&lt;&gt;""""),ROWS(E$5:E239)),"""")"),"")</f>
        <v/>
      </c>
      <c r="F2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Helper'!$F$5:$F$3004,"""")&lt;&gt;""""),ROWS(F$5:F239)),IF(AND(LEFT(x,5)=""Page"&amp;" "",ISERROR(SEARCH(""–"",x))),x&amp;""–""&amp;REGEXEXTRACT(x,""[0-9]+$""),x)),"""")"),"")</f>
        <v/>
      </c>
      <c r="G239" s="163"/>
      <c r="H2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Helper'!$F$5:$F$3004,"""")&lt;&gt;""""),ROWS(H$5:H239)),"""")"),"")</f>
        <v/>
      </c>
    </row>
    <row r="240" ht="15.75" customHeight="1">
      <c r="A2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Helper'!$F$5:$F$3004,"""")&lt;&gt;""""),ROWS(A$5:A240)),"""")"),"")</f>
        <v/>
      </c>
      <c r="B2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Helper'!$F$5:$F$3004,"""")&lt;&gt;""""),ROWS(B$5:B240)),"""")"),"")</f>
        <v/>
      </c>
      <c r="C2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Helper'!$F$5:$F$3004,"""")&lt;&gt;""""),ROWS(C$5:C240)),"""")"),"")</f>
        <v/>
      </c>
      <c r="D2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Helper'!$F$5:$F$3004,"""")&lt;&gt;""""),ROWS(D$5:D240)),"""")"),"")</f>
        <v/>
      </c>
      <c r="E2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Helper'!$F$5:$F$3004,"""")&lt;&gt;""""),ROWS(E$5:E240)),"""")"),"")</f>
        <v/>
      </c>
      <c r="F2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Helper'!$F$5:$F$3004,"""")&lt;&gt;""""),ROWS(F$5:F240)),IF(AND(LEFT(x,5)=""Page"&amp;" "",ISERROR(SEARCH(""–"",x))),x&amp;""–""&amp;REGEXEXTRACT(x,""[0-9]+$""),x)),"""")"),"")</f>
        <v/>
      </c>
      <c r="G240" s="163"/>
      <c r="H2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Helper'!$F$5:$F$3004,"""")&lt;&gt;""""),ROWS(H$5:H240)),"""")"),"")</f>
        <v/>
      </c>
    </row>
    <row r="241" ht="15.75" customHeight="1">
      <c r="A2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Helper'!$F$5:$F$3004,"""")&lt;&gt;""""),ROWS(A$5:A241)),"""")"),"")</f>
        <v/>
      </c>
      <c r="B2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Helper'!$F$5:$F$3004,"""")&lt;&gt;""""),ROWS(B$5:B241)),"""")"),"")</f>
        <v/>
      </c>
      <c r="C2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Helper'!$F$5:$F$3004,"""")&lt;&gt;""""),ROWS(C$5:C241)),"""")"),"")</f>
        <v/>
      </c>
      <c r="D2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Helper'!$F$5:$F$3004,"""")&lt;&gt;""""),ROWS(D$5:D241)),"""")"),"")</f>
        <v/>
      </c>
      <c r="E2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Helper'!$F$5:$F$3004,"""")&lt;&gt;""""),ROWS(E$5:E241)),"""")"),"")</f>
        <v/>
      </c>
      <c r="F2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Helper'!$F$5:$F$3004,"""")&lt;&gt;""""),ROWS(F$5:F241)),IF(AND(LEFT(x,5)=""Page"&amp;" "",ISERROR(SEARCH(""–"",x))),x&amp;""–""&amp;REGEXEXTRACT(x,""[0-9]+$""),x)),"""")"),"")</f>
        <v/>
      </c>
      <c r="G241" s="163"/>
      <c r="H2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Helper'!$F$5:$F$3004,"""")&lt;&gt;""""),ROWS(H$5:H241)),"""")"),"")</f>
        <v/>
      </c>
    </row>
    <row r="242" ht="15.75" customHeight="1">
      <c r="A2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Helper'!$F$5:$F$3004,"""")&lt;&gt;""""),ROWS(A$5:A242)),"""")"),"")</f>
        <v/>
      </c>
      <c r="B2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Helper'!$F$5:$F$3004,"""")&lt;&gt;""""),ROWS(B$5:B242)),"""")"),"")</f>
        <v/>
      </c>
      <c r="C2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Helper'!$F$5:$F$3004,"""")&lt;&gt;""""),ROWS(C$5:C242)),"""")"),"")</f>
        <v/>
      </c>
      <c r="D2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Helper'!$F$5:$F$3004,"""")&lt;&gt;""""),ROWS(D$5:D242)),"""")"),"")</f>
        <v/>
      </c>
      <c r="E2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Helper'!$F$5:$F$3004,"""")&lt;&gt;""""),ROWS(E$5:E242)),"""")"),"")</f>
        <v/>
      </c>
      <c r="F2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Helper'!$F$5:$F$3004,"""")&lt;&gt;""""),ROWS(F$5:F242)),IF(AND(LEFT(x,5)=""Page"&amp;" "",ISERROR(SEARCH(""–"",x))),x&amp;""–""&amp;REGEXEXTRACT(x,""[0-9]+$""),x)),"""")"),"")</f>
        <v/>
      </c>
      <c r="G242" s="163"/>
      <c r="H2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Helper'!$F$5:$F$3004,"""")&lt;&gt;""""),ROWS(H$5:H242)),"""")"),"")</f>
        <v/>
      </c>
    </row>
    <row r="243" ht="15.75" customHeight="1">
      <c r="A2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Helper'!$F$5:$F$3004,"""")&lt;&gt;""""),ROWS(A$5:A243)),"""")"),"")</f>
        <v/>
      </c>
      <c r="B2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Helper'!$F$5:$F$3004,"""")&lt;&gt;""""),ROWS(B$5:B243)),"""")"),"")</f>
        <v/>
      </c>
      <c r="C2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Helper'!$F$5:$F$3004,"""")&lt;&gt;""""),ROWS(C$5:C243)),"""")"),"")</f>
        <v/>
      </c>
      <c r="D2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Helper'!$F$5:$F$3004,"""")&lt;&gt;""""),ROWS(D$5:D243)),"""")"),"")</f>
        <v/>
      </c>
      <c r="E2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Helper'!$F$5:$F$3004,"""")&lt;&gt;""""),ROWS(E$5:E243)),"""")"),"")</f>
        <v/>
      </c>
      <c r="F2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Helper'!$F$5:$F$3004,"""")&lt;&gt;""""),ROWS(F$5:F243)),IF(AND(LEFT(x,5)=""Page"&amp;" "",ISERROR(SEARCH(""–"",x))),x&amp;""–""&amp;REGEXEXTRACT(x,""[0-9]+$""),x)),"""")"),"")</f>
        <v/>
      </c>
      <c r="G243" s="163"/>
      <c r="H2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Helper'!$F$5:$F$3004,"""")&lt;&gt;""""),ROWS(H$5:H243)),"""")"),"")</f>
        <v/>
      </c>
    </row>
    <row r="244" ht="15.75" customHeight="1">
      <c r="A2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Helper'!$F$5:$F$3004,"""")&lt;&gt;""""),ROWS(A$5:A244)),"""")"),"")</f>
        <v/>
      </c>
      <c r="B2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Helper'!$F$5:$F$3004,"""")&lt;&gt;""""),ROWS(B$5:B244)),"""")"),"")</f>
        <v/>
      </c>
      <c r="C2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Helper'!$F$5:$F$3004,"""")&lt;&gt;""""),ROWS(C$5:C244)),"""")"),"")</f>
        <v/>
      </c>
      <c r="D2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Helper'!$F$5:$F$3004,"""")&lt;&gt;""""),ROWS(D$5:D244)),"""")"),"")</f>
        <v/>
      </c>
      <c r="E2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Helper'!$F$5:$F$3004,"""")&lt;&gt;""""),ROWS(E$5:E244)),"""")"),"")</f>
        <v/>
      </c>
      <c r="F2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Helper'!$F$5:$F$3004,"""")&lt;&gt;""""),ROWS(F$5:F244)),IF(AND(LEFT(x,5)=""Page"&amp;" "",ISERROR(SEARCH(""–"",x))),x&amp;""–""&amp;REGEXEXTRACT(x,""[0-9]+$""),x)),"""")"),"")</f>
        <v/>
      </c>
      <c r="G244" s="163"/>
      <c r="H2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Helper'!$F$5:$F$3004,"""")&lt;&gt;""""),ROWS(H$5:H244)),"""")"),"")</f>
        <v/>
      </c>
    </row>
    <row r="245" ht="15.75" customHeight="1">
      <c r="A2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Helper'!$F$5:$F$3004,"""")&lt;&gt;""""),ROWS(A$5:A245)),"""")"),"")</f>
        <v/>
      </c>
      <c r="B2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Helper'!$F$5:$F$3004,"""")&lt;&gt;""""),ROWS(B$5:B245)),"""")"),"")</f>
        <v/>
      </c>
      <c r="C2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Helper'!$F$5:$F$3004,"""")&lt;&gt;""""),ROWS(C$5:C245)),"""")"),"")</f>
        <v/>
      </c>
      <c r="D2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Helper'!$F$5:$F$3004,"""")&lt;&gt;""""),ROWS(D$5:D245)),"""")"),"")</f>
        <v/>
      </c>
      <c r="E2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Helper'!$F$5:$F$3004,"""")&lt;&gt;""""),ROWS(E$5:E245)),"""")"),"")</f>
        <v/>
      </c>
      <c r="F2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Helper'!$F$5:$F$3004,"""")&lt;&gt;""""),ROWS(F$5:F245)),IF(AND(LEFT(x,5)=""Page"&amp;" "",ISERROR(SEARCH(""–"",x))),x&amp;""–""&amp;REGEXEXTRACT(x,""[0-9]+$""),x)),"""")"),"")</f>
        <v/>
      </c>
      <c r="G245" s="163"/>
      <c r="H2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Helper'!$F$5:$F$3004,"""")&lt;&gt;""""),ROWS(H$5:H245)),"""")"),"")</f>
        <v/>
      </c>
    </row>
    <row r="246" ht="15.75" customHeight="1">
      <c r="A2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Helper'!$F$5:$F$3004,"""")&lt;&gt;""""),ROWS(A$5:A246)),"""")"),"")</f>
        <v/>
      </c>
      <c r="B2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Helper'!$F$5:$F$3004,"""")&lt;&gt;""""),ROWS(B$5:B246)),"""")"),"")</f>
        <v/>
      </c>
      <c r="C2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Helper'!$F$5:$F$3004,"""")&lt;&gt;""""),ROWS(C$5:C246)),"""")"),"")</f>
        <v/>
      </c>
      <c r="D2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Helper'!$F$5:$F$3004,"""")&lt;&gt;""""),ROWS(D$5:D246)),"""")"),"")</f>
        <v/>
      </c>
      <c r="E2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Helper'!$F$5:$F$3004,"""")&lt;&gt;""""),ROWS(E$5:E246)),"""")"),"")</f>
        <v/>
      </c>
      <c r="F2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Helper'!$F$5:$F$3004,"""")&lt;&gt;""""),ROWS(F$5:F246)),IF(AND(LEFT(x,5)=""Page"&amp;" "",ISERROR(SEARCH(""–"",x))),x&amp;""–""&amp;REGEXEXTRACT(x,""[0-9]+$""),x)),"""")"),"")</f>
        <v/>
      </c>
      <c r="G246" s="163"/>
      <c r="H2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Helper'!$F$5:$F$3004,"""")&lt;&gt;""""),ROWS(H$5:H246)),"""")"),"")</f>
        <v/>
      </c>
    </row>
    <row r="247" ht="15.75" customHeight="1">
      <c r="A2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Helper'!$F$5:$F$3004,"""")&lt;&gt;""""),ROWS(A$5:A247)),"""")"),"")</f>
        <v/>
      </c>
      <c r="B2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Helper'!$F$5:$F$3004,"""")&lt;&gt;""""),ROWS(B$5:B247)),"""")"),"")</f>
        <v/>
      </c>
      <c r="C2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Helper'!$F$5:$F$3004,"""")&lt;&gt;""""),ROWS(C$5:C247)),"""")"),"")</f>
        <v/>
      </c>
      <c r="D2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Helper'!$F$5:$F$3004,"""")&lt;&gt;""""),ROWS(D$5:D247)),"""")"),"")</f>
        <v/>
      </c>
      <c r="E2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Helper'!$F$5:$F$3004,"""")&lt;&gt;""""),ROWS(E$5:E247)),"""")"),"")</f>
        <v/>
      </c>
      <c r="F2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Helper'!$F$5:$F$3004,"""")&lt;&gt;""""),ROWS(F$5:F247)),IF(AND(LEFT(x,5)=""Page"&amp;" "",ISERROR(SEARCH(""–"",x))),x&amp;""–""&amp;REGEXEXTRACT(x,""[0-9]+$""),x)),"""")"),"")</f>
        <v/>
      </c>
      <c r="G247" s="163"/>
      <c r="H2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Helper'!$F$5:$F$3004,"""")&lt;&gt;""""),ROWS(H$5:H247)),"""")"),"")</f>
        <v/>
      </c>
    </row>
    <row r="248" ht="15.75" customHeight="1">
      <c r="A2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Helper'!$F$5:$F$3004,"""")&lt;&gt;""""),ROWS(A$5:A248)),"""")"),"")</f>
        <v/>
      </c>
      <c r="B2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Helper'!$F$5:$F$3004,"""")&lt;&gt;""""),ROWS(B$5:B248)),"""")"),"")</f>
        <v/>
      </c>
      <c r="C2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Helper'!$F$5:$F$3004,"""")&lt;&gt;""""),ROWS(C$5:C248)),"""")"),"")</f>
        <v/>
      </c>
      <c r="D2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Helper'!$F$5:$F$3004,"""")&lt;&gt;""""),ROWS(D$5:D248)),"""")"),"")</f>
        <v/>
      </c>
      <c r="E2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Helper'!$F$5:$F$3004,"""")&lt;&gt;""""),ROWS(E$5:E248)),"""")"),"")</f>
        <v/>
      </c>
      <c r="F2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Helper'!$F$5:$F$3004,"""")&lt;&gt;""""),ROWS(F$5:F248)),IF(AND(LEFT(x,5)=""Page"&amp;" "",ISERROR(SEARCH(""–"",x))),x&amp;""–""&amp;REGEXEXTRACT(x,""[0-9]+$""),x)),"""")"),"")</f>
        <v/>
      </c>
      <c r="G248" s="163"/>
      <c r="H2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Helper'!$F$5:$F$3004,"""")&lt;&gt;""""),ROWS(H$5:H248)),"""")"),"")</f>
        <v/>
      </c>
    </row>
    <row r="249" ht="15.75" customHeight="1">
      <c r="A2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Helper'!$F$5:$F$3004,"""")&lt;&gt;""""),ROWS(A$5:A249)),"""")"),"")</f>
        <v/>
      </c>
      <c r="B2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Helper'!$F$5:$F$3004,"""")&lt;&gt;""""),ROWS(B$5:B249)),"""")"),"")</f>
        <v/>
      </c>
      <c r="C2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Helper'!$F$5:$F$3004,"""")&lt;&gt;""""),ROWS(C$5:C249)),"""")"),"")</f>
        <v/>
      </c>
      <c r="D2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Helper'!$F$5:$F$3004,"""")&lt;&gt;""""),ROWS(D$5:D249)),"""")"),"")</f>
        <v/>
      </c>
      <c r="E2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Helper'!$F$5:$F$3004,"""")&lt;&gt;""""),ROWS(E$5:E249)),"""")"),"")</f>
        <v/>
      </c>
      <c r="F2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Helper'!$F$5:$F$3004,"""")&lt;&gt;""""),ROWS(F$5:F249)),IF(AND(LEFT(x,5)=""Page"&amp;" "",ISERROR(SEARCH(""–"",x))),x&amp;""–""&amp;REGEXEXTRACT(x,""[0-9]+$""),x)),"""")"),"")</f>
        <v/>
      </c>
      <c r="G249" s="163"/>
      <c r="H2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Helper'!$F$5:$F$3004,"""")&lt;&gt;""""),ROWS(H$5:H249)),"""")"),"")</f>
        <v/>
      </c>
    </row>
    <row r="250" ht="15.75" customHeight="1">
      <c r="A2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Helper'!$F$5:$F$3004,"""")&lt;&gt;""""),ROWS(A$5:A250)),"""")"),"")</f>
        <v/>
      </c>
      <c r="B2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Helper'!$F$5:$F$3004,"""")&lt;&gt;""""),ROWS(B$5:B250)),"""")"),"")</f>
        <v/>
      </c>
      <c r="C2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Helper'!$F$5:$F$3004,"""")&lt;&gt;""""),ROWS(C$5:C250)),"""")"),"")</f>
        <v/>
      </c>
      <c r="D2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Helper'!$F$5:$F$3004,"""")&lt;&gt;""""),ROWS(D$5:D250)),"""")"),"")</f>
        <v/>
      </c>
      <c r="E2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Helper'!$F$5:$F$3004,"""")&lt;&gt;""""),ROWS(E$5:E250)),"""")"),"")</f>
        <v/>
      </c>
      <c r="F2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Helper'!$F$5:$F$3004,"""")&lt;&gt;""""),ROWS(F$5:F250)),IF(AND(LEFT(x,5)=""Page"&amp;" "",ISERROR(SEARCH(""–"",x))),x&amp;""–""&amp;REGEXEXTRACT(x,""[0-9]+$""),x)),"""")"),"")</f>
        <v/>
      </c>
      <c r="G250" s="163"/>
      <c r="H2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Helper'!$F$5:$F$3004,"""")&lt;&gt;""""),ROWS(H$5:H250)),"""")"),"")</f>
        <v/>
      </c>
    </row>
    <row r="251" ht="15.75" customHeight="1">
      <c r="A2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Helper'!$F$5:$F$3004,"""")&lt;&gt;""""),ROWS(A$5:A251)),"""")"),"")</f>
        <v/>
      </c>
      <c r="B2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Helper'!$F$5:$F$3004,"""")&lt;&gt;""""),ROWS(B$5:B251)),"""")"),"")</f>
        <v/>
      </c>
      <c r="C2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Helper'!$F$5:$F$3004,"""")&lt;&gt;""""),ROWS(C$5:C251)),"""")"),"")</f>
        <v/>
      </c>
      <c r="D2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Helper'!$F$5:$F$3004,"""")&lt;&gt;""""),ROWS(D$5:D251)),"""")"),"")</f>
        <v/>
      </c>
      <c r="E2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Helper'!$F$5:$F$3004,"""")&lt;&gt;""""),ROWS(E$5:E251)),"""")"),"")</f>
        <v/>
      </c>
      <c r="F2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Helper'!$F$5:$F$3004,"""")&lt;&gt;""""),ROWS(F$5:F251)),IF(AND(LEFT(x,5)=""Page"&amp;" "",ISERROR(SEARCH(""–"",x))),x&amp;""–""&amp;REGEXEXTRACT(x,""[0-9]+$""),x)),"""")"),"")</f>
        <v/>
      </c>
      <c r="G251" s="163"/>
      <c r="H2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Helper'!$F$5:$F$3004,"""")&lt;&gt;""""),ROWS(H$5:H251)),"""")"),"")</f>
        <v/>
      </c>
    </row>
    <row r="252" ht="15.75" customHeight="1">
      <c r="A2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Helper'!$F$5:$F$3004,"""")&lt;&gt;""""),ROWS(A$5:A252)),"""")"),"")</f>
        <v/>
      </c>
      <c r="B2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Helper'!$F$5:$F$3004,"""")&lt;&gt;""""),ROWS(B$5:B252)),"""")"),"")</f>
        <v/>
      </c>
      <c r="C2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Helper'!$F$5:$F$3004,"""")&lt;&gt;""""),ROWS(C$5:C252)),"""")"),"")</f>
        <v/>
      </c>
      <c r="D2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Helper'!$F$5:$F$3004,"""")&lt;&gt;""""),ROWS(D$5:D252)),"""")"),"")</f>
        <v/>
      </c>
      <c r="E2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Helper'!$F$5:$F$3004,"""")&lt;&gt;""""),ROWS(E$5:E252)),"""")"),"")</f>
        <v/>
      </c>
      <c r="F2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Helper'!$F$5:$F$3004,"""")&lt;&gt;""""),ROWS(F$5:F252)),IF(AND(LEFT(x,5)=""Page"&amp;" "",ISERROR(SEARCH(""–"",x))),x&amp;""–""&amp;REGEXEXTRACT(x,""[0-9]+$""),x)),"""")"),"")</f>
        <v/>
      </c>
      <c r="G252" s="163"/>
      <c r="H2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Helper'!$F$5:$F$3004,"""")&lt;&gt;""""),ROWS(H$5:H252)),"""")"),"")</f>
        <v/>
      </c>
    </row>
    <row r="253" ht="15.75" customHeight="1">
      <c r="A2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Helper'!$F$5:$F$3004,"""")&lt;&gt;""""),ROWS(A$5:A253)),"""")"),"")</f>
        <v/>
      </c>
      <c r="B2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Helper'!$F$5:$F$3004,"""")&lt;&gt;""""),ROWS(B$5:B253)),"""")"),"")</f>
        <v/>
      </c>
      <c r="C2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Helper'!$F$5:$F$3004,"""")&lt;&gt;""""),ROWS(C$5:C253)),"""")"),"")</f>
        <v/>
      </c>
      <c r="D2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Helper'!$F$5:$F$3004,"""")&lt;&gt;""""),ROWS(D$5:D253)),"""")"),"")</f>
        <v/>
      </c>
      <c r="E2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Helper'!$F$5:$F$3004,"""")&lt;&gt;""""),ROWS(E$5:E253)),"""")"),"")</f>
        <v/>
      </c>
      <c r="F2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Helper'!$F$5:$F$3004,"""")&lt;&gt;""""),ROWS(F$5:F253)),IF(AND(LEFT(x,5)=""Page"&amp;" "",ISERROR(SEARCH(""–"",x))),x&amp;""–""&amp;REGEXEXTRACT(x,""[0-9]+$""),x)),"""")"),"")</f>
        <v/>
      </c>
      <c r="G253" s="163"/>
      <c r="H2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Helper'!$F$5:$F$3004,"""")&lt;&gt;""""),ROWS(H$5:H253)),"""")"),"")</f>
        <v/>
      </c>
    </row>
    <row r="254" ht="15.75" customHeight="1">
      <c r="A2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Helper'!$F$5:$F$3004,"""")&lt;&gt;""""),ROWS(A$5:A254)),"""")"),"")</f>
        <v/>
      </c>
      <c r="B2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Helper'!$F$5:$F$3004,"""")&lt;&gt;""""),ROWS(B$5:B254)),"""")"),"")</f>
        <v/>
      </c>
      <c r="C2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Helper'!$F$5:$F$3004,"""")&lt;&gt;""""),ROWS(C$5:C254)),"""")"),"")</f>
        <v/>
      </c>
      <c r="D2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Helper'!$F$5:$F$3004,"""")&lt;&gt;""""),ROWS(D$5:D254)),"""")"),"")</f>
        <v/>
      </c>
      <c r="E2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Helper'!$F$5:$F$3004,"""")&lt;&gt;""""),ROWS(E$5:E254)),"""")"),"")</f>
        <v/>
      </c>
      <c r="F2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Helper'!$F$5:$F$3004,"""")&lt;&gt;""""),ROWS(F$5:F254)),IF(AND(LEFT(x,5)=""Page"&amp;" "",ISERROR(SEARCH(""–"",x))),x&amp;""–""&amp;REGEXEXTRACT(x,""[0-9]+$""),x)),"""")"),"")</f>
        <v/>
      </c>
      <c r="G254" s="163"/>
      <c r="H2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Helper'!$F$5:$F$3004,"""")&lt;&gt;""""),ROWS(H$5:H254)),"""")"),"")</f>
        <v/>
      </c>
    </row>
    <row r="255" ht="15.75" customHeight="1">
      <c r="A2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Helper'!$F$5:$F$3004,"""")&lt;&gt;""""),ROWS(A$5:A255)),"""")"),"")</f>
        <v/>
      </c>
      <c r="B2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Helper'!$F$5:$F$3004,"""")&lt;&gt;""""),ROWS(B$5:B255)),"""")"),"")</f>
        <v/>
      </c>
      <c r="C2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Helper'!$F$5:$F$3004,"""")&lt;&gt;""""),ROWS(C$5:C255)),"""")"),"")</f>
        <v/>
      </c>
      <c r="D2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Helper'!$F$5:$F$3004,"""")&lt;&gt;""""),ROWS(D$5:D255)),"""")"),"")</f>
        <v/>
      </c>
      <c r="E2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Helper'!$F$5:$F$3004,"""")&lt;&gt;""""),ROWS(E$5:E255)),"""")"),"")</f>
        <v/>
      </c>
      <c r="F2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Helper'!$F$5:$F$3004,"""")&lt;&gt;""""),ROWS(F$5:F255)),IF(AND(LEFT(x,5)=""Page"&amp;" "",ISERROR(SEARCH(""–"",x))),x&amp;""–""&amp;REGEXEXTRACT(x,""[0-9]+$""),x)),"""")"),"")</f>
        <v/>
      </c>
      <c r="G255" s="163"/>
      <c r="H2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Helper'!$F$5:$F$3004,"""")&lt;&gt;""""),ROWS(H$5:H255)),"""")"),"")</f>
        <v/>
      </c>
    </row>
    <row r="256" ht="15.75" customHeight="1">
      <c r="A2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Helper'!$F$5:$F$3004,"""")&lt;&gt;""""),ROWS(A$5:A256)),"""")"),"")</f>
        <v/>
      </c>
      <c r="B2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Helper'!$F$5:$F$3004,"""")&lt;&gt;""""),ROWS(B$5:B256)),"""")"),"")</f>
        <v/>
      </c>
      <c r="C2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Helper'!$F$5:$F$3004,"""")&lt;&gt;""""),ROWS(C$5:C256)),"""")"),"")</f>
        <v/>
      </c>
      <c r="D2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Helper'!$F$5:$F$3004,"""")&lt;&gt;""""),ROWS(D$5:D256)),"""")"),"")</f>
        <v/>
      </c>
      <c r="E2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Helper'!$F$5:$F$3004,"""")&lt;&gt;""""),ROWS(E$5:E256)),"""")"),"")</f>
        <v/>
      </c>
      <c r="F2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Helper'!$F$5:$F$3004,"""")&lt;&gt;""""),ROWS(F$5:F256)),IF(AND(LEFT(x,5)=""Page"&amp;" "",ISERROR(SEARCH(""–"",x))),x&amp;""–""&amp;REGEXEXTRACT(x,""[0-9]+$""),x)),"""")"),"")</f>
        <v/>
      </c>
      <c r="G256" s="163"/>
      <c r="H2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Helper'!$F$5:$F$3004,"""")&lt;&gt;""""),ROWS(H$5:H256)),"""")"),"")</f>
        <v/>
      </c>
    </row>
    <row r="257" ht="15.75" customHeight="1">
      <c r="A2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Helper'!$F$5:$F$3004,"""")&lt;&gt;""""),ROWS(A$5:A257)),"""")"),"")</f>
        <v/>
      </c>
      <c r="B2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Helper'!$F$5:$F$3004,"""")&lt;&gt;""""),ROWS(B$5:B257)),"""")"),"")</f>
        <v/>
      </c>
      <c r="C2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Helper'!$F$5:$F$3004,"""")&lt;&gt;""""),ROWS(C$5:C257)),"""")"),"")</f>
        <v/>
      </c>
      <c r="D2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Helper'!$F$5:$F$3004,"""")&lt;&gt;""""),ROWS(D$5:D257)),"""")"),"")</f>
        <v/>
      </c>
      <c r="E2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Helper'!$F$5:$F$3004,"""")&lt;&gt;""""),ROWS(E$5:E257)),"""")"),"")</f>
        <v/>
      </c>
      <c r="F2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Helper'!$F$5:$F$3004,"""")&lt;&gt;""""),ROWS(F$5:F257)),IF(AND(LEFT(x,5)=""Page"&amp;" "",ISERROR(SEARCH(""–"",x))),x&amp;""–""&amp;REGEXEXTRACT(x,""[0-9]+$""),x)),"""")"),"")</f>
        <v/>
      </c>
      <c r="G257" s="163"/>
      <c r="H2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Helper'!$F$5:$F$3004,"""")&lt;&gt;""""),ROWS(H$5:H257)),"""")"),"")</f>
        <v/>
      </c>
    </row>
    <row r="258" ht="15.75" customHeight="1">
      <c r="A2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Helper'!$F$5:$F$3004,"""")&lt;&gt;""""),ROWS(A$5:A258)),"""")"),"")</f>
        <v/>
      </c>
      <c r="B2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Helper'!$F$5:$F$3004,"""")&lt;&gt;""""),ROWS(B$5:B258)),"""")"),"")</f>
        <v/>
      </c>
      <c r="C2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Helper'!$F$5:$F$3004,"""")&lt;&gt;""""),ROWS(C$5:C258)),"""")"),"")</f>
        <v/>
      </c>
      <c r="D2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Helper'!$F$5:$F$3004,"""")&lt;&gt;""""),ROWS(D$5:D258)),"""")"),"")</f>
        <v/>
      </c>
      <c r="E2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Helper'!$F$5:$F$3004,"""")&lt;&gt;""""),ROWS(E$5:E258)),"""")"),"")</f>
        <v/>
      </c>
      <c r="F2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Helper'!$F$5:$F$3004,"""")&lt;&gt;""""),ROWS(F$5:F258)),IF(AND(LEFT(x,5)=""Page"&amp;" "",ISERROR(SEARCH(""–"",x))),x&amp;""–""&amp;REGEXEXTRACT(x,""[0-9]+$""),x)),"""")"),"")</f>
        <v/>
      </c>
      <c r="G258" s="163"/>
      <c r="H2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Helper'!$F$5:$F$3004,"""")&lt;&gt;""""),ROWS(H$5:H258)),"""")"),"")</f>
        <v/>
      </c>
    </row>
    <row r="259" ht="15.75" customHeight="1">
      <c r="A2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Helper'!$F$5:$F$3004,"""")&lt;&gt;""""),ROWS(A$5:A259)),"""")"),"")</f>
        <v/>
      </c>
      <c r="B2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Helper'!$F$5:$F$3004,"""")&lt;&gt;""""),ROWS(B$5:B259)),"""")"),"")</f>
        <v/>
      </c>
      <c r="C2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Helper'!$F$5:$F$3004,"""")&lt;&gt;""""),ROWS(C$5:C259)),"""")"),"")</f>
        <v/>
      </c>
      <c r="D2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Helper'!$F$5:$F$3004,"""")&lt;&gt;""""),ROWS(D$5:D259)),"""")"),"")</f>
        <v/>
      </c>
      <c r="E2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Helper'!$F$5:$F$3004,"""")&lt;&gt;""""),ROWS(E$5:E259)),"""")"),"")</f>
        <v/>
      </c>
      <c r="F2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Helper'!$F$5:$F$3004,"""")&lt;&gt;""""),ROWS(F$5:F259)),IF(AND(LEFT(x,5)=""Page"&amp;" "",ISERROR(SEARCH(""–"",x))),x&amp;""–""&amp;REGEXEXTRACT(x,""[0-9]+$""),x)),"""")"),"")</f>
        <v/>
      </c>
      <c r="G259" s="163"/>
      <c r="H2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Helper'!$F$5:$F$3004,"""")&lt;&gt;""""),ROWS(H$5:H259)),"""")"),"")</f>
        <v/>
      </c>
    </row>
    <row r="260" ht="15.75" customHeight="1">
      <c r="A2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Helper'!$F$5:$F$3004,"""")&lt;&gt;""""),ROWS(A$5:A260)),"""")"),"")</f>
        <v/>
      </c>
      <c r="B2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Helper'!$F$5:$F$3004,"""")&lt;&gt;""""),ROWS(B$5:B260)),"""")"),"")</f>
        <v/>
      </c>
      <c r="C2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Helper'!$F$5:$F$3004,"""")&lt;&gt;""""),ROWS(C$5:C260)),"""")"),"")</f>
        <v/>
      </c>
      <c r="D2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Helper'!$F$5:$F$3004,"""")&lt;&gt;""""),ROWS(D$5:D260)),"""")"),"")</f>
        <v/>
      </c>
      <c r="E2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Helper'!$F$5:$F$3004,"""")&lt;&gt;""""),ROWS(E$5:E260)),"""")"),"")</f>
        <v/>
      </c>
      <c r="F2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Helper'!$F$5:$F$3004,"""")&lt;&gt;""""),ROWS(F$5:F260)),IF(AND(LEFT(x,5)=""Page"&amp;" "",ISERROR(SEARCH(""–"",x))),x&amp;""–""&amp;REGEXEXTRACT(x,""[0-9]+$""),x)),"""")"),"")</f>
        <v/>
      </c>
      <c r="G260" s="163"/>
      <c r="H2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Helper'!$F$5:$F$3004,"""")&lt;&gt;""""),ROWS(H$5:H260)),"""")"),"")</f>
        <v/>
      </c>
    </row>
    <row r="261" ht="15.75" customHeight="1">
      <c r="A2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Helper'!$F$5:$F$3004,"""")&lt;&gt;""""),ROWS(A$5:A261)),"""")"),"")</f>
        <v/>
      </c>
      <c r="B2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Helper'!$F$5:$F$3004,"""")&lt;&gt;""""),ROWS(B$5:B261)),"""")"),"")</f>
        <v/>
      </c>
      <c r="C2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Helper'!$F$5:$F$3004,"""")&lt;&gt;""""),ROWS(C$5:C261)),"""")"),"")</f>
        <v/>
      </c>
      <c r="D2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Helper'!$F$5:$F$3004,"""")&lt;&gt;""""),ROWS(D$5:D261)),"""")"),"")</f>
        <v/>
      </c>
      <c r="E2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Helper'!$F$5:$F$3004,"""")&lt;&gt;""""),ROWS(E$5:E261)),"""")"),"")</f>
        <v/>
      </c>
      <c r="F2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Helper'!$F$5:$F$3004,"""")&lt;&gt;""""),ROWS(F$5:F261)),IF(AND(LEFT(x,5)=""Page"&amp;" "",ISERROR(SEARCH(""–"",x))),x&amp;""–""&amp;REGEXEXTRACT(x,""[0-9]+$""),x)),"""")"),"")</f>
        <v/>
      </c>
      <c r="G261" s="163"/>
      <c r="H2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Helper'!$F$5:$F$3004,"""")&lt;&gt;""""),ROWS(H$5:H261)),"""")"),"")</f>
        <v/>
      </c>
    </row>
    <row r="262" ht="15.75" customHeight="1">
      <c r="A2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Helper'!$F$5:$F$3004,"""")&lt;&gt;""""),ROWS(A$5:A262)),"""")"),"")</f>
        <v/>
      </c>
      <c r="B2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Helper'!$F$5:$F$3004,"""")&lt;&gt;""""),ROWS(B$5:B262)),"""")"),"")</f>
        <v/>
      </c>
      <c r="C2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Helper'!$F$5:$F$3004,"""")&lt;&gt;""""),ROWS(C$5:C262)),"""")"),"")</f>
        <v/>
      </c>
      <c r="D2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Helper'!$F$5:$F$3004,"""")&lt;&gt;""""),ROWS(D$5:D262)),"""")"),"")</f>
        <v/>
      </c>
      <c r="E2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Helper'!$F$5:$F$3004,"""")&lt;&gt;""""),ROWS(E$5:E262)),"""")"),"")</f>
        <v/>
      </c>
      <c r="F2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Helper'!$F$5:$F$3004,"""")&lt;&gt;""""),ROWS(F$5:F262)),IF(AND(LEFT(x,5)=""Page"&amp;" "",ISERROR(SEARCH(""–"",x))),x&amp;""–""&amp;REGEXEXTRACT(x,""[0-9]+$""),x)),"""")"),"")</f>
        <v/>
      </c>
      <c r="G262" s="163"/>
      <c r="H2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Helper'!$F$5:$F$3004,"""")&lt;&gt;""""),ROWS(H$5:H262)),"""")"),"")</f>
        <v/>
      </c>
    </row>
    <row r="263" ht="15.75" customHeight="1">
      <c r="A2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Helper'!$F$5:$F$3004,"""")&lt;&gt;""""),ROWS(A$5:A263)),"""")"),"")</f>
        <v/>
      </c>
      <c r="B2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Helper'!$F$5:$F$3004,"""")&lt;&gt;""""),ROWS(B$5:B263)),"""")"),"")</f>
        <v/>
      </c>
      <c r="C2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Helper'!$F$5:$F$3004,"""")&lt;&gt;""""),ROWS(C$5:C263)),"""")"),"")</f>
        <v/>
      </c>
      <c r="D2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Helper'!$F$5:$F$3004,"""")&lt;&gt;""""),ROWS(D$5:D263)),"""")"),"")</f>
        <v/>
      </c>
      <c r="E2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Helper'!$F$5:$F$3004,"""")&lt;&gt;""""),ROWS(E$5:E263)),"""")"),"")</f>
        <v/>
      </c>
      <c r="F2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Helper'!$F$5:$F$3004,"""")&lt;&gt;""""),ROWS(F$5:F263)),IF(AND(LEFT(x,5)=""Page"&amp;" "",ISERROR(SEARCH(""–"",x))),x&amp;""–""&amp;REGEXEXTRACT(x,""[0-9]+$""),x)),"""")"),"")</f>
        <v/>
      </c>
      <c r="G263" s="163"/>
      <c r="H2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Helper'!$F$5:$F$3004,"""")&lt;&gt;""""),ROWS(H$5:H263)),"""")"),"")</f>
        <v/>
      </c>
    </row>
    <row r="264" ht="15.75" customHeight="1">
      <c r="A2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Helper'!$F$5:$F$3004,"""")&lt;&gt;""""),ROWS(A$5:A264)),"""")"),"")</f>
        <v/>
      </c>
      <c r="B2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Helper'!$F$5:$F$3004,"""")&lt;&gt;""""),ROWS(B$5:B264)),"""")"),"")</f>
        <v/>
      </c>
      <c r="C2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Helper'!$F$5:$F$3004,"""")&lt;&gt;""""),ROWS(C$5:C264)),"""")"),"")</f>
        <v/>
      </c>
      <c r="D2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Helper'!$F$5:$F$3004,"""")&lt;&gt;""""),ROWS(D$5:D264)),"""")"),"")</f>
        <v/>
      </c>
      <c r="E2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Helper'!$F$5:$F$3004,"""")&lt;&gt;""""),ROWS(E$5:E264)),"""")"),"")</f>
        <v/>
      </c>
      <c r="F2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Helper'!$F$5:$F$3004,"""")&lt;&gt;""""),ROWS(F$5:F264)),IF(AND(LEFT(x,5)=""Page"&amp;" "",ISERROR(SEARCH(""–"",x))),x&amp;""–""&amp;REGEXEXTRACT(x,""[0-9]+$""),x)),"""")"),"")</f>
        <v/>
      </c>
      <c r="G264" s="163"/>
      <c r="H2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Helper'!$F$5:$F$3004,"""")&lt;&gt;""""),ROWS(H$5:H264)),"""")"),"")</f>
        <v/>
      </c>
    </row>
    <row r="265" ht="15.75" customHeight="1">
      <c r="A2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Helper'!$F$5:$F$3004,"""")&lt;&gt;""""),ROWS(A$5:A265)),"""")"),"")</f>
        <v/>
      </c>
      <c r="B2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Helper'!$F$5:$F$3004,"""")&lt;&gt;""""),ROWS(B$5:B265)),"""")"),"")</f>
        <v/>
      </c>
      <c r="C2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Helper'!$F$5:$F$3004,"""")&lt;&gt;""""),ROWS(C$5:C265)),"""")"),"")</f>
        <v/>
      </c>
      <c r="D2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Helper'!$F$5:$F$3004,"""")&lt;&gt;""""),ROWS(D$5:D265)),"""")"),"")</f>
        <v/>
      </c>
      <c r="E2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Helper'!$F$5:$F$3004,"""")&lt;&gt;""""),ROWS(E$5:E265)),"""")"),"")</f>
        <v/>
      </c>
      <c r="F2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Helper'!$F$5:$F$3004,"""")&lt;&gt;""""),ROWS(F$5:F265)),IF(AND(LEFT(x,5)=""Page"&amp;" "",ISERROR(SEARCH(""–"",x))),x&amp;""–""&amp;REGEXEXTRACT(x,""[0-9]+$""),x)),"""")"),"")</f>
        <v/>
      </c>
      <c r="G265" s="163"/>
      <c r="H2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Helper'!$F$5:$F$3004,"""")&lt;&gt;""""),ROWS(H$5:H265)),"""")"),"")</f>
        <v/>
      </c>
    </row>
    <row r="266" ht="15.75" customHeight="1">
      <c r="A2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Helper'!$F$5:$F$3004,"""")&lt;&gt;""""),ROWS(A$5:A266)),"""")"),"")</f>
        <v/>
      </c>
      <c r="B2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Helper'!$F$5:$F$3004,"""")&lt;&gt;""""),ROWS(B$5:B266)),"""")"),"")</f>
        <v/>
      </c>
      <c r="C2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Helper'!$F$5:$F$3004,"""")&lt;&gt;""""),ROWS(C$5:C266)),"""")"),"")</f>
        <v/>
      </c>
      <c r="D2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Helper'!$F$5:$F$3004,"""")&lt;&gt;""""),ROWS(D$5:D266)),"""")"),"")</f>
        <v/>
      </c>
      <c r="E2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Helper'!$F$5:$F$3004,"""")&lt;&gt;""""),ROWS(E$5:E266)),"""")"),"")</f>
        <v/>
      </c>
      <c r="F2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Helper'!$F$5:$F$3004,"""")&lt;&gt;""""),ROWS(F$5:F266)),IF(AND(LEFT(x,5)=""Page"&amp;" "",ISERROR(SEARCH(""–"",x))),x&amp;""–""&amp;REGEXEXTRACT(x,""[0-9]+$""),x)),"""")"),"")</f>
        <v/>
      </c>
      <c r="G266" s="163"/>
      <c r="H2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Helper'!$F$5:$F$3004,"""")&lt;&gt;""""),ROWS(H$5:H266)),"""")"),"")</f>
        <v/>
      </c>
    </row>
    <row r="267" ht="15.75" customHeight="1">
      <c r="A2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Helper'!$F$5:$F$3004,"""")&lt;&gt;""""),ROWS(A$5:A267)),"""")"),"")</f>
        <v/>
      </c>
      <c r="B2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Helper'!$F$5:$F$3004,"""")&lt;&gt;""""),ROWS(B$5:B267)),"""")"),"")</f>
        <v/>
      </c>
      <c r="C2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Helper'!$F$5:$F$3004,"""")&lt;&gt;""""),ROWS(C$5:C267)),"""")"),"")</f>
        <v/>
      </c>
      <c r="D2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Helper'!$F$5:$F$3004,"""")&lt;&gt;""""),ROWS(D$5:D267)),"""")"),"")</f>
        <v/>
      </c>
      <c r="E2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Helper'!$F$5:$F$3004,"""")&lt;&gt;""""),ROWS(E$5:E267)),"""")"),"")</f>
        <v/>
      </c>
      <c r="F2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Helper'!$F$5:$F$3004,"""")&lt;&gt;""""),ROWS(F$5:F267)),IF(AND(LEFT(x,5)=""Page"&amp;" "",ISERROR(SEARCH(""–"",x))),x&amp;""–""&amp;REGEXEXTRACT(x,""[0-9]+$""),x)),"""")"),"")</f>
        <v/>
      </c>
      <c r="G267" s="163"/>
      <c r="H2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Helper'!$F$5:$F$3004,"""")&lt;&gt;""""),ROWS(H$5:H267)),"""")"),"")</f>
        <v/>
      </c>
    </row>
    <row r="268" ht="15.75" customHeight="1">
      <c r="A2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Helper'!$F$5:$F$3004,"""")&lt;&gt;""""),ROWS(A$5:A268)),"""")"),"")</f>
        <v/>
      </c>
      <c r="B2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Helper'!$F$5:$F$3004,"""")&lt;&gt;""""),ROWS(B$5:B268)),"""")"),"")</f>
        <v/>
      </c>
      <c r="C2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Helper'!$F$5:$F$3004,"""")&lt;&gt;""""),ROWS(C$5:C268)),"""")"),"")</f>
        <v/>
      </c>
      <c r="D2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Helper'!$F$5:$F$3004,"""")&lt;&gt;""""),ROWS(D$5:D268)),"""")"),"")</f>
        <v/>
      </c>
      <c r="E2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Helper'!$F$5:$F$3004,"""")&lt;&gt;""""),ROWS(E$5:E268)),"""")"),"")</f>
        <v/>
      </c>
      <c r="F2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Helper'!$F$5:$F$3004,"""")&lt;&gt;""""),ROWS(F$5:F268)),IF(AND(LEFT(x,5)=""Page"&amp;" "",ISERROR(SEARCH(""–"",x))),x&amp;""–""&amp;REGEXEXTRACT(x,""[0-9]+$""),x)),"""")"),"")</f>
        <v/>
      </c>
      <c r="G268" s="163"/>
      <c r="H2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Helper'!$F$5:$F$3004,"""")&lt;&gt;""""),ROWS(H$5:H268)),"""")"),"")</f>
        <v/>
      </c>
    </row>
    <row r="269" ht="15.75" customHeight="1">
      <c r="A2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Helper'!$F$5:$F$3004,"""")&lt;&gt;""""),ROWS(A$5:A269)),"""")"),"")</f>
        <v/>
      </c>
      <c r="B2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Helper'!$F$5:$F$3004,"""")&lt;&gt;""""),ROWS(B$5:B269)),"""")"),"")</f>
        <v/>
      </c>
      <c r="C2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Helper'!$F$5:$F$3004,"""")&lt;&gt;""""),ROWS(C$5:C269)),"""")"),"")</f>
        <v/>
      </c>
      <c r="D2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Helper'!$F$5:$F$3004,"""")&lt;&gt;""""),ROWS(D$5:D269)),"""")"),"")</f>
        <v/>
      </c>
      <c r="E2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Helper'!$F$5:$F$3004,"""")&lt;&gt;""""),ROWS(E$5:E269)),"""")"),"")</f>
        <v/>
      </c>
      <c r="F2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Helper'!$F$5:$F$3004,"""")&lt;&gt;""""),ROWS(F$5:F269)),IF(AND(LEFT(x,5)=""Page"&amp;" "",ISERROR(SEARCH(""–"",x))),x&amp;""–""&amp;REGEXEXTRACT(x,""[0-9]+$""),x)),"""")"),"")</f>
        <v/>
      </c>
      <c r="G269" s="163"/>
      <c r="H2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Helper'!$F$5:$F$3004,"""")&lt;&gt;""""),ROWS(H$5:H269)),"""")"),"")</f>
        <v/>
      </c>
    </row>
    <row r="270" ht="15.75" customHeight="1">
      <c r="A2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Helper'!$F$5:$F$3004,"""")&lt;&gt;""""),ROWS(A$5:A270)),"""")"),"")</f>
        <v/>
      </c>
      <c r="B2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Helper'!$F$5:$F$3004,"""")&lt;&gt;""""),ROWS(B$5:B270)),"""")"),"")</f>
        <v/>
      </c>
      <c r="C2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Helper'!$F$5:$F$3004,"""")&lt;&gt;""""),ROWS(C$5:C270)),"""")"),"")</f>
        <v/>
      </c>
      <c r="D2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Helper'!$F$5:$F$3004,"""")&lt;&gt;""""),ROWS(D$5:D270)),"""")"),"")</f>
        <v/>
      </c>
      <c r="E2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Helper'!$F$5:$F$3004,"""")&lt;&gt;""""),ROWS(E$5:E270)),"""")"),"")</f>
        <v/>
      </c>
      <c r="F2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Helper'!$F$5:$F$3004,"""")&lt;&gt;""""),ROWS(F$5:F270)),IF(AND(LEFT(x,5)=""Page"&amp;" "",ISERROR(SEARCH(""–"",x))),x&amp;""–""&amp;REGEXEXTRACT(x,""[0-9]+$""),x)),"""")"),"")</f>
        <v/>
      </c>
      <c r="G270" s="163"/>
      <c r="H2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Helper'!$F$5:$F$3004,"""")&lt;&gt;""""),ROWS(H$5:H270)),"""")"),"")</f>
        <v/>
      </c>
    </row>
    <row r="271" ht="15.75" customHeight="1">
      <c r="A2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Helper'!$F$5:$F$3004,"""")&lt;&gt;""""),ROWS(A$5:A271)),"""")"),"")</f>
        <v/>
      </c>
      <c r="B2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Helper'!$F$5:$F$3004,"""")&lt;&gt;""""),ROWS(B$5:B271)),"""")"),"")</f>
        <v/>
      </c>
      <c r="C2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Helper'!$F$5:$F$3004,"""")&lt;&gt;""""),ROWS(C$5:C271)),"""")"),"")</f>
        <v/>
      </c>
      <c r="D2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Helper'!$F$5:$F$3004,"""")&lt;&gt;""""),ROWS(D$5:D271)),"""")"),"")</f>
        <v/>
      </c>
      <c r="E2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Helper'!$F$5:$F$3004,"""")&lt;&gt;""""),ROWS(E$5:E271)),"""")"),"")</f>
        <v/>
      </c>
      <c r="F2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Helper'!$F$5:$F$3004,"""")&lt;&gt;""""),ROWS(F$5:F271)),IF(AND(LEFT(x,5)=""Page"&amp;" "",ISERROR(SEARCH(""–"",x))),x&amp;""–""&amp;REGEXEXTRACT(x,""[0-9]+$""),x)),"""")"),"")</f>
        <v/>
      </c>
      <c r="G271" s="163"/>
      <c r="H2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Helper'!$F$5:$F$3004,"""")&lt;&gt;""""),ROWS(H$5:H271)),"""")"),"")</f>
        <v/>
      </c>
    </row>
    <row r="272" ht="15.75" customHeight="1">
      <c r="A2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Helper'!$F$5:$F$3004,"""")&lt;&gt;""""),ROWS(A$5:A272)),"""")"),"")</f>
        <v/>
      </c>
      <c r="B2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Helper'!$F$5:$F$3004,"""")&lt;&gt;""""),ROWS(B$5:B272)),"""")"),"")</f>
        <v/>
      </c>
      <c r="C2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Helper'!$F$5:$F$3004,"""")&lt;&gt;""""),ROWS(C$5:C272)),"""")"),"")</f>
        <v/>
      </c>
      <c r="D2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Helper'!$F$5:$F$3004,"""")&lt;&gt;""""),ROWS(D$5:D272)),"""")"),"")</f>
        <v/>
      </c>
      <c r="E2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Helper'!$F$5:$F$3004,"""")&lt;&gt;""""),ROWS(E$5:E272)),"""")"),"")</f>
        <v/>
      </c>
      <c r="F2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Helper'!$F$5:$F$3004,"""")&lt;&gt;""""),ROWS(F$5:F272)),IF(AND(LEFT(x,5)=""Page"&amp;" "",ISERROR(SEARCH(""–"",x))),x&amp;""–""&amp;REGEXEXTRACT(x,""[0-9]+$""),x)),"""")"),"")</f>
        <v/>
      </c>
      <c r="G272" s="163"/>
      <c r="H2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Helper'!$F$5:$F$3004,"""")&lt;&gt;""""),ROWS(H$5:H272)),"""")"),"")</f>
        <v/>
      </c>
    </row>
    <row r="273" ht="15.75" customHeight="1">
      <c r="A2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Helper'!$F$5:$F$3004,"""")&lt;&gt;""""),ROWS(A$5:A273)),"""")"),"")</f>
        <v/>
      </c>
      <c r="B2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Helper'!$F$5:$F$3004,"""")&lt;&gt;""""),ROWS(B$5:B273)),"""")"),"")</f>
        <v/>
      </c>
      <c r="C2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Helper'!$F$5:$F$3004,"""")&lt;&gt;""""),ROWS(C$5:C273)),"""")"),"")</f>
        <v/>
      </c>
      <c r="D2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Helper'!$F$5:$F$3004,"""")&lt;&gt;""""),ROWS(D$5:D273)),"""")"),"")</f>
        <v/>
      </c>
      <c r="E2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Helper'!$F$5:$F$3004,"""")&lt;&gt;""""),ROWS(E$5:E273)),"""")"),"")</f>
        <v/>
      </c>
      <c r="F2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Helper'!$F$5:$F$3004,"""")&lt;&gt;""""),ROWS(F$5:F273)),IF(AND(LEFT(x,5)=""Page"&amp;" "",ISERROR(SEARCH(""–"",x))),x&amp;""–""&amp;REGEXEXTRACT(x,""[0-9]+$""),x)),"""")"),"")</f>
        <v/>
      </c>
      <c r="G273" s="163"/>
      <c r="H2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Helper'!$F$5:$F$3004,"""")&lt;&gt;""""),ROWS(H$5:H273)),"""")"),"")</f>
        <v/>
      </c>
    </row>
    <row r="274" ht="15.75" customHeight="1">
      <c r="A2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Helper'!$F$5:$F$3004,"""")&lt;&gt;""""),ROWS(A$5:A274)),"""")"),"")</f>
        <v/>
      </c>
      <c r="B2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Helper'!$F$5:$F$3004,"""")&lt;&gt;""""),ROWS(B$5:B274)),"""")"),"")</f>
        <v/>
      </c>
      <c r="C2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Helper'!$F$5:$F$3004,"""")&lt;&gt;""""),ROWS(C$5:C274)),"""")"),"")</f>
        <v/>
      </c>
      <c r="D2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Helper'!$F$5:$F$3004,"""")&lt;&gt;""""),ROWS(D$5:D274)),"""")"),"")</f>
        <v/>
      </c>
      <c r="E2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Helper'!$F$5:$F$3004,"""")&lt;&gt;""""),ROWS(E$5:E274)),"""")"),"")</f>
        <v/>
      </c>
      <c r="F2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Helper'!$F$5:$F$3004,"""")&lt;&gt;""""),ROWS(F$5:F274)),IF(AND(LEFT(x,5)=""Page"&amp;" "",ISERROR(SEARCH(""–"",x))),x&amp;""–""&amp;REGEXEXTRACT(x,""[0-9]+$""),x)),"""")"),"")</f>
        <v/>
      </c>
      <c r="G274" s="163"/>
      <c r="H2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Helper'!$F$5:$F$3004,"""")&lt;&gt;""""),ROWS(H$5:H274)),"""")"),"")</f>
        <v/>
      </c>
    </row>
    <row r="275" ht="15.75" customHeight="1">
      <c r="A2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Helper'!$F$5:$F$3004,"""")&lt;&gt;""""),ROWS(A$5:A275)),"""")"),"")</f>
        <v/>
      </c>
      <c r="B2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Helper'!$F$5:$F$3004,"""")&lt;&gt;""""),ROWS(B$5:B275)),"""")"),"")</f>
        <v/>
      </c>
      <c r="C2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Helper'!$F$5:$F$3004,"""")&lt;&gt;""""),ROWS(C$5:C275)),"""")"),"")</f>
        <v/>
      </c>
      <c r="D2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Helper'!$F$5:$F$3004,"""")&lt;&gt;""""),ROWS(D$5:D275)),"""")"),"")</f>
        <v/>
      </c>
      <c r="E2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Helper'!$F$5:$F$3004,"""")&lt;&gt;""""),ROWS(E$5:E275)),"""")"),"")</f>
        <v/>
      </c>
      <c r="F2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Helper'!$F$5:$F$3004,"""")&lt;&gt;""""),ROWS(F$5:F275)),IF(AND(LEFT(x,5)=""Page"&amp;" "",ISERROR(SEARCH(""–"",x))),x&amp;""–""&amp;REGEXEXTRACT(x,""[0-9]+$""),x)),"""")"),"")</f>
        <v/>
      </c>
      <c r="G275" s="163"/>
      <c r="H2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Helper'!$F$5:$F$3004,"""")&lt;&gt;""""),ROWS(H$5:H275)),"""")"),"")</f>
        <v/>
      </c>
    </row>
    <row r="276" ht="15.75" customHeight="1">
      <c r="A2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Helper'!$F$5:$F$3004,"""")&lt;&gt;""""),ROWS(A$5:A276)),"""")"),"")</f>
        <v/>
      </c>
      <c r="B2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Helper'!$F$5:$F$3004,"""")&lt;&gt;""""),ROWS(B$5:B276)),"""")"),"")</f>
        <v/>
      </c>
      <c r="C2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Helper'!$F$5:$F$3004,"""")&lt;&gt;""""),ROWS(C$5:C276)),"""")"),"")</f>
        <v/>
      </c>
      <c r="D2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Helper'!$F$5:$F$3004,"""")&lt;&gt;""""),ROWS(D$5:D276)),"""")"),"")</f>
        <v/>
      </c>
      <c r="E2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Helper'!$F$5:$F$3004,"""")&lt;&gt;""""),ROWS(E$5:E276)),"""")"),"")</f>
        <v/>
      </c>
      <c r="F2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Helper'!$F$5:$F$3004,"""")&lt;&gt;""""),ROWS(F$5:F276)),IF(AND(LEFT(x,5)=""Page"&amp;" "",ISERROR(SEARCH(""–"",x))),x&amp;""–""&amp;REGEXEXTRACT(x,""[0-9]+$""),x)),"""")"),"")</f>
        <v/>
      </c>
      <c r="G276" s="163"/>
      <c r="H2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Helper'!$F$5:$F$3004,"""")&lt;&gt;""""),ROWS(H$5:H276)),"""")"),"")</f>
        <v/>
      </c>
    </row>
    <row r="277" ht="15.75" customHeight="1">
      <c r="A2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Helper'!$F$5:$F$3004,"""")&lt;&gt;""""),ROWS(A$5:A277)),"""")"),"")</f>
        <v/>
      </c>
      <c r="B2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Helper'!$F$5:$F$3004,"""")&lt;&gt;""""),ROWS(B$5:B277)),"""")"),"")</f>
        <v/>
      </c>
      <c r="C2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Helper'!$F$5:$F$3004,"""")&lt;&gt;""""),ROWS(C$5:C277)),"""")"),"")</f>
        <v/>
      </c>
      <c r="D2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Helper'!$F$5:$F$3004,"""")&lt;&gt;""""),ROWS(D$5:D277)),"""")"),"")</f>
        <v/>
      </c>
      <c r="E2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Helper'!$F$5:$F$3004,"""")&lt;&gt;""""),ROWS(E$5:E277)),"""")"),"")</f>
        <v/>
      </c>
      <c r="F2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Helper'!$F$5:$F$3004,"""")&lt;&gt;""""),ROWS(F$5:F277)),IF(AND(LEFT(x,5)=""Page"&amp;" "",ISERROR(SEARCH(""–"",x))),x&amp;""–""&amp;REGEXEXTRACT(x,""[0-9]+$""),x)),"""")"),"")</f>
        <v/>
      </c>
      <c r="G277" s="163"/>
      <c r="H2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Helper'!$F$5:$F$3004,"""")&lt;&gt;""""),ROWS(H$5:H277)),"""")"),"")</f>
        <v/>
      </c>
    </row>
    <row r="278" ht="15.75" customHeight="1">
      <c r="A2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Helper'!$F$5:$F$3004,"""")&lt;&gt;""""),ROWS(A$5:A278)),"""")"),"")</f>
        <v/>
      </c>
      <c r="B2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Helper'!$F$5:$F$3004,"""")&lt;&gt;""""),ROWS(B$5:B278)),"""")"),"")</f>
        <v/>
      </c>
      <c r="C2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Helper'!$F$5:$F$3004,"""")&lt;&gt;""""),ROWS(C$5:C278)),"""")"),"")</f>
        <v/>
      </c>
      <c r="D2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Helper'!$F$5:$F$3004,"""")&lt;&gt;""""),ROWS(D$5:D278)),"""")"),"")</f>
        <v/>
      </c>
      <c r="E2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Helper'!$F$5:$F$3004,"""")&lt;&gt;""""),ROWS(E$5:E278)),"""")"),"")</f>
        <v/>
      </c>
      <c r="F2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Helper'!$F$5:$F$3004,"""")&lt;&gt;""""),ROWS(F$5:F278)),IF(AND(LEFT(x,5)=""Page"&amp;" "",ISERROR(SEARCH(""–"",x))),x&amp;""–""&amp;REGEXEXTRACT(x,""[0-9]+$""),x)),"""")"),"")</f>
        <v/>
      </c>
      <c r="G278" s="163"/>
      <c r="H2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Helper'!$F$5:$F$3004,"""")&lt;&gt;""""),ROWS(H$5:H278)),"""")"),"")</f>
        <v/>
      </c>
    </row>
    <row r="279" ht="15.75" customHeight="1">
      <c r="A2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Helper'!$F$5:$F$3004,"""")&lt;&gt;""""),ROWS(A$5:A279)),"""")"),"")</f>
        <v/>
      </c>
      <c r="B2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Helper'!$F$5:$F$3004,"""")&lt;&gt;""""),ROWS(B$5:B279)),"""")"),"")</f>
        <v/>
      </c>
      <c r="C2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Helper'!$F$5:$F$3004,"""")&lt;&gt;""""),ROWS(C$5:C279)),"""")"),"")</f>
        <v/>
      </c>
      <c r="D2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Helper'!$F$5:$F$3004,"""")&lt;&gt;""""),ROWS(D$5:D279)),"""")"),"")</f>
        <v/>
      </c>
      <c r="E2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Helper'!$F$5:$F$3004,"""")&lt;&gt;""""),ROWS(E$5:E279)),"""")"),"")</f>
        <v/>
      </c>
      <c r="F2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Helper'!$F$5:$F$3004,"""")&lt;&gt;""""),ROWS(F$5:F279)),IF(AND(LEFT(x,5)=""Page"&amp;" "",ISERROR(SEARCH(""–"",x))),x&amp;""–""&amp;REGEXEXTRACT(x,""[0-9]+$""),x)),"""")"),"")</f>
        <v/>
      </c>
      <c r="G279" s="163"/>
      <c r="H2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Helper'!$F$5:$F$3004,"""")&lt;&gt;""""),ROWS(H$5:H279)),"""")"),"")</f>
        <v/>
      </c>
    </row>
    <row r="280" ht="15.75" customHeight="1">
      <c r="A2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Helper'!$F$5:$F$3004,"""")&lt;&gt;""""),ROWS(A$5:A280)),"""")"),"")</f>
        <v/>
      </c>
      <c r="B2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Helper'!$F$5:$F$3004,"""")&lt;&gt;""""),ROWS(B$5:B280)),"""")"),"")</f>
        <v/>
      </c>
      <c r="C2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Helper'!$F$5:$F$3004,"""")&lt;&gt;""""),ROWS(C$5:C280)),"""")"),"")</f>
        <v/>
      </c>
      <c r="D2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Helper'!$F$5:$F$3004,"""")&lt;&gt;""""),ROWS(D$5:D280)),"""")"),"")</f>
        <v/>
      </c>
      <c r="E2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Helper'!$F$5:$F$3004,"""")&lt;&gt;""""),ROWS(E$5:E280)),"""")"),"")</f>
        <v/>
      </c>
      <c r="F2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Helper'!$F$5:$F$3004,"""")&lt;&gt;""""),ROWS(F$5:F280)),IF(AND(LEFT(x,5)=""Page"&amp;" "",ISERROR(SEARCH(""–"",x))),x&amp;""–""&amp;REGEXEXTRACT(x,""[0-9]+$""),x)),"""")"),"")</f>
        <v/>
      </c>
      <c r="G280" s="163"/>
      <c r="H2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Helper'!$F$5:$F$3004,"""")&lt;&gt;""""),ROWS(H$5:H280)),"""")"),"")</f>
        <v/>
      </c>
    </row>
    <row r="281" ht="15.75" customHeight="1">
      <c r="A2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Helper'!$F$5:$F$3004,"""")&lt;&gt;""""),ROWS(A$5:A281)),"""")"),"")</f>
        <v/>
      </c>
      <c r="B2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Helper'!$F$5:$F$3004,"""")&lt;&gt;""""),ROWS(B$5:B281)),"""")"),"")</f>
        <v/>
      </c>
      <c r="C2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Helper'!$F$5:$F$3004,"""")&lt;&gt;""""),ROWS(C$5:C281)),"""")"),"")</f>
        <v/>
      </c>
      <c r="D2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Helper'!$F$5:$F$3004,"""")&lt;&gt;""""),ROWS(D$5:D281)),"""")"),"")</f>
        <v/>
      </c>
      <c r="E2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Helper'!$F$5:$F$3004,"""")&lt;&gt;""""),ROWS(E$5:E281)),"""")"),"")</f>
        <v/>
      </c>
      <c r="F2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Helper'!$F$5:$F$3004,"""")&lt;&gt;""""),ROWS(F$5:F281)),IF(AND(LEFT(x,5)=""Page"&amp;" "",ISERROR(SEARCH(""–"",x))),x&amp;""–""&amp;REGEXEXTRACT(x,""[0-9]+$""),x)),"""")"),"")</f>
        <v/>
      </c>
      <c r="G281" s="163"/>
      <c r="H2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Helper'!$F$5:$F$3004,"""")&lt;&gt;""""),ROWS(H$5:H281)),"""")"),"")</f>
        <v/>
      </c>
    </row>
    <row r="282" ht="15.75" customHeight="1">
      <c r="A2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Helper'!$F$5:$F$3004,"""")&lt;&gt;""""),ROWS(A$5:A282)),"""")"),"")</f>
        <v/>
      </c>
      <c r="B2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Helper'!$F$5:$F$3004,"""")&lt;&gt;""""),ROWS(B$5:B282)),"""")"),"")</f>
        <v/>
      </c>
      <c r="C2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Helper'!$F$5:$F$3004,"""")&lt;&gt;""""),ROWS(C$5:C282)),"""")"),"")</f>
        <v/>
      </c>
      <c r="D2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Helper'!$F$5:$F$3004,"""")&lt;&gt;""""),ROWS(D$5:D282)),"""")"),"")</f>
        <v/>
      </c>
      <c r="E2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Helper'!$F$5:$F$3004,"""")&lt;&gt;""""),ROWS(E$5:E282)),"""")"),"")</f>
        <v/>
      </c>
      <c r="F2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Helper'!$F$5:$F$3004,"""")&lt;&gt;""""),ROWS(F$5:F282)),IF(AND(LEFT(x,5)=""Page"&amp;" "",ISERROR(SEARCH(""–"",x))),x&amp;""–""&amp;REGEXEXTRACT(x,""[0-9]+$""),x)),"""")"),"")</f>
        <v/>
      </c>
      <c r="G282" s="163"/>
      <c r="H2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Helper'!$F$5:$F$3004,"""")&lt;&gt;""""),ROWS(H$5:H282)),"""")"),"")</f>
        <v/>
      </c>
    </row>
    <row r="283" ht="15.75" customHeight="1">
      <c r="A2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Helper'!$F$5:$F$3004,"""")&lt;&gt;""""),ROWS(A$5:A283)),"""")"),"")</f>
        <v/>
      </c>
      <c r="B2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Helper'!$F$5:$F$3004,"""")&lt;&gt;""""),ROWS(B$5:B283)),"""")"),"")</f>
        <v/>
      </c>
      <c r="C2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Helper'!$F$5:$F$3004,"""")&lt;&gt;""""),ROWS(C$5:C283)),"""")"),"")</f>
        <v/>
      </c>
      <c r="D2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Helper'!$F$5:$F$3004,"""")&lt;&gt;""""),ROWS(D$5:D283)),"""")"),"")</f>
        <v/>
      </c>
      <c r="E2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Helper'!$F$5:$F$3004,"""")&lt;&gt;""""),ROWS(E$5:E283)),"""")"),"")</f>
        <v/>
      </c>
      <c r="F2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Helper'!$F$5:$F$3004,"""")&lt;&gt;""""),ROWS(F$5:F283)),IF(AND(LEFT(x,5)=""Page"&amp;" "",ISERROR(SEARCH(""–"",x))),x&amp;""–""&amp;REGEXEXTRACT(x,""[0-9]+$""),x)),"""")"),"")</f>
        <v/>
      </c>
      <c r="G283" s="163"/>
      <c r="H2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Helper'!$F$5:$F$3004,"""")&lt;&gt;""""),ROWS(H$5:H283)),"""")"),"")</f>
        <v/>
      </c>
    </row>
    <row r="284" ht="15.75" customHeight="1">
      <c r="A2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Helper'!$F$5:$F$3004,"""")&lt;&gt;""""),ROWS(A$5:A284)),"""")"),"")</f>
        <v/>
      </c>
      <c r="B2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Helper'!$F$5:$F$3004,"""")&lt;&gt;""""),ROWS(B$5:B284)),"""")"),"")</f>
        <v/>
      </c>
      <c r="C2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Helper'!$F$5:$F$3004,"""")&lt;&gt;""""),ROWS(C$5:C284)),"""")"),"")</f>
        <v/>
      </c>
      <c r="D2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Helper'!$F$5:$F$3004,"""")&lt;&gt;""""),ROWS(D$5:D284)),"""")"),"")</f>
        <v/>
      </c>
      <c r="E2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Helper'!$F$5:$F$3004,"""")&lt;&gt;""""),ROWS(E$5:E284)),"""")"),"")</f>
        <v/>
      </c>
      <c r="F2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Helper'!$F$5:$F$3004,"""")&lt;&gt;""""),ROWS(F$5:F284)),IF(AND(LEFT(x,5)=""Page"&amp;" "",ISERROR(SEARCH(""–"",x))),x&amp;""–""&amp;REGEXEXTRACT(x,""[0-9]+$""),x)),"""")"),"")</f>
        <v/>
      </c>
      <c r="G284" s="163"/>
      <c r="H2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Helper'!$F$5:$F$3004,"""")&lt;&gt;""""),ROWS(H$5:H284)),"""")"),"")</f>
        <v/>
      </c>
    </row>
    <row r="285" ht="15.75" customHeight="1">
      <c r="A2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Helper'!$F$5:$F$3004,"""")&lt;&gt;""""),ROWS(A$5:A285)),"""")"),"")</f>
        <v/>
      </c>
      <c r="B2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Helper'!$F$5:$F$3004,"""")&lt;&gt;""""),ROWS(B$5:B285)),"""")"),"")</f>
        <v/>
      </c>
      <c r="C2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Helper'!$F$5:$F$3004,"""")&lt;&gt;""""),ROWS(C$5:C285)),"""")"),"")</f>
        <v/>
      </c>
      <c r="D2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Helper'!$F$5:$F$3004,"""")&lt;&gt;""""),ROWS(D$5:D285)),"""")"),"")</f>
        <v/>
      </c>
      <c r="E2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Helper'!$F$5:$F$3004,"""")&lt;&gt;""""),ROWS(E$5:E285)),"""")"),"")</f>
        <v/>
      </c>
      <c r="F2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Helper'!$F$5:$F$3004,"""")&lt;&gt;""""),ROWS(F$5:F285)),IF(AND(LEFT(x,5)=""Page"&amp;" "",ISERROR(SEARCH(""–"",x))),x&amp;""–""&amp;REGEXEXTRACT(x,""[0-9]+$""),x)),"""")"),"")</f>
        <v/>
      </c>
      <c r="G285" s="163"/>
      <c r="H2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Helper'!$F$5:$F$3004,"""")&lt;&gt;""""),ROWS(H$5:H285)),"""")"),"")</f>
        <v/>
      </c>
    </row>
    <row r="286" ht="15.75" customHeight="1">
      <c r="A2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Helper'!$F$5:$F$3004,"""")&lt;&gt;""""),ROWS(A$5:A286)),"""")"),"")</f>
        <v/>
      </c>
      <c r="B2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Helper'!$F$5:$F$3004,"""")&lt;&gt;""""),ROWS(B$5:B286)),"""")"),"")</f>
        <v/>
      </c>
      <c r="C2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Helper'!$F$5:$F$3004,"""")&lt;&gt;""""),ROWS(C$5:C286)),"""")"),"")</f>
        <v/>
      </c>
      <c r="D2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Helper'!$F$5:$F$3004,"""")&lt;&gt;""""),ROWS(D$5:D286)),"""")"),"")</f>
        <v/>
      </c>
      <c r="E2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Helper'!$F$5:$F$3004,"""")&lt;&gt;""""),ROWS(E$5:E286)),"""")"),"")</f>
        <v/>
      </c>
      <c r="F2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Helper'!$F$5:$F$3004,"""")&lt;&gt;""""),ROWS(F$5:F286)),IF(AND(LEFT(x,5)=""Page"&amp;" "",ISERROR(SEARCH(""–"",x))),x&amp;""–""&amp;REGEXEXTRACT(x,""[0-9]+$""),x)),"""")"),"")</f>
        <v/>
      </c>
      <c r="G286" s="163"/>
      <c r="H2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Helper'!$F$5:$F$3004,"""")&lt;&gt;""""),ROWS(H$5:H286)),"""")"),"")</f>
        <v/>
      </c>
    </row>
    <row r="287" ht="15.75" customHeight="1">
      <c r="A2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Helper'!$F$5:$F$3004,"""")&lt;&gt;""""),ROWS(A$5:A287)),"""")"),"")</f>
        <v/>
      </c>
      <c r="B2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Helper'!$F$5:$F$3004,"""")&lt;&gt;""""),ROWS(B$5:B287)),"""")"),"")</f>
        <v/>
      </c>
      <c r="C2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Helper'!$F$5:$F$3004,"""")&lt;&gt;""""),ROWS(C$5:C287)),"""")"),"")</f>
        <v/>
      </c>
      <c r="D2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Helper'!$F$5:$F$3004,"""")&lt;&gt;""""),ROWS(D$5:D287)),"""")"),"")</f>
        <v/>
      </c>
      <c r="E2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Helper'!$F$5:$F$3004,"""")&lt;&gt;""""),ROWS(E$5:E287)),"""")"),"")</f>
        <v/>
      </c>
      <c r="F2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Helper'!$F$5:$F$3004,"""")&lt;&gt;""""),ROWS(F$5:F287)),IF(AND(LEFT(x,5)=""Page"&amp;" "",ISERROR(SEARCH(""–"",x))),x&amp;""–""&amp;REGEXEXTRACT(x,""[0-9]+$""),x)),"""")"),"")</f>
        <v/>
      </c>
      <c r="G287" s="163"/>
      <c r="H2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Helper'!$F$5:$F$3004,"""")&lt;&gt;""""),ROWS(H$5:H287)),"""")"),"")</f>
        <v/>
      </c>
    </row>
    <row r="288" ht="15.75" customHeight="1">
      <c r="A2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Helper'!$F$5:$F$3004,"""")&lt;&gt;""""),ROWS(A$5:A288)),"""")"),"")</f>
        <v/>
      </c>
      <c r="B2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Helper'!$F$5:$F$3004,"""")&lt;&gt;""""),ROWS(B$5:B288)),"""")"),"")</f>
        <v/>
      </c>
      <c r="C2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Helper'!$F$5:$F$3004,"""")&lt;&gt;""""),ROWS(C$5:C288)),"""")"),"")</f>
        <v/>
      </c>
      <c r="D2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Helper'!$F$5:$F$3004,"""")&lt;&gt;""""),ROWS(D$5:D288)),"""")"),"")</f>
        <v/>
      </c>
      <c r="E2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Helper'!$F$5:$F$3004,"""")&lt;&gt;""""),ROWS(E$5:E288)),"""")"),"")</f>
        <v/>
      </c>
      <c r="F2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Helper'!$F$5:$F$3004,"""")&lt;&gt;""""),ROWS(F$5:F288)),IF(AND(LEFT(x,5)=""Page"&amp;" "",ISERROR(SEARCH(""–"",x))),x&amp;""–""&amp;REGEXEXTRACT(x,""[0-9]+$""),x)),"""")"),"")</f>
        <v/>
      </c>
      <c r="G288" s="163"/>
      <c r="H2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Helper'!$F$5:$F$3004,"""")&lt;&gt;""""),ROWS(H$5:H288)),"""")"),"")</f>
        <v/>
      </c>
    </row>
    <row r="289" ht="15.75" customHeight="1">
      <c r="A2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Helper'!$F$5:$F$3004,"""")&lt;&gt;""""),ROWS(A$5:A289)),"""")"),"")</f>
        <v/>
      </c>
      <c r="B2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Helper'!$F$5:$F$3004,"""")&lt;&gt;""""),ROWS(B$5:B289)),"""")"),"")</f>
        <v/>
      </c>
      <c r="C2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Helper'!$F$5:$F$3004,"""")&lt;&gt;""""),ROWS(C$5:C289)),"""")"),"")</f>
        <v/>
      </c>
      <c r="D2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Helper'!$F$5:$F$3004,"""")&lt;&gt;""""),ROWS(D$5:D289)),"""")"),"")</f>
        <v/>
      </c>
      <c r="E2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Helper'!$F$5:$F$3004,"""")&lt;&gt;""""),ROWS(E$5:E289)),"""")"),"")</f>
        <v/>
      </c>
      <c r="F2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Helper'!$F$5:$F$3004,"""")&lt;&gt;""""),ROWS(F$5:F289)),IF(AND(LEFT(x,5)=""Page"&amp;" "",ISERROR(SEARCH(""–"",x))),x&amp;""–""&amp;REGEXEXTRACT(x,""[0-9]+$""),x)),"""")"),"")</f>
        <v/>
      </c>
      <c r="G289" s="163"/>
      <c r="H2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Helper'!$F$5:$F$3004,"""")&lt;&gt;""""),ROWS(H$5:H289)),"""")"),"")</f>
        <v/>
      </c>
    </row>
    <row r="290" ht="15.75" customHeight="1">
      <c r="A2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Helper'!$F$5:$F$3004,"""")&lt;&gt;""""),ROWS(A$5:A290)),"""")"),"")</f>
        <v/>
      </c>
      <c r="B2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Helper'!$F$5:$F$3004,"""")&lt;&gt;""""),ROWS(B$5:B290)),"""")"),"")</f>
        <v/>
      </c>
      <c r="C2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Helper'!$F$5:$F$3004,"""")&lt;&gt;""""),ROWS(C$5:C290)),"""")"),"")</f>
        <v/>
      </c>
      <c r="D2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Helper'!$F$5:$F$3004,"""")&lt;&gt;""""),ROWS(D$5:D290)),"""")"),"")</f>
        <v/>
      </c>
      <c r="E2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Helper'!$F$5:$F$3004,"""")&lt;&gt;""""),ROWS(E$5:E290)),"""")"),"")</f>
        <v/>
      </c>
      <c r="F2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Helper'!$F$5:$F$3004,"""")&lt;&gt;""""),ROWS(F$5:F290)),IF(AND(LEFT(x,5)=""Page"&amp;" "",ISERROR(SEARCH(""–"",x))),x&amp;""–""&amp;REGEXEXTRACT(x,""[0-9]+$""),x)),"""")"),"")</f>
        <v/>
      </c>
      <c r="G290" s="163"/>
      <c r="H2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Helper'!$F$5:$F$3004,"""")&lt;&gt;""""),ROWS(H$5:H290)),"""")"),"")</f>
        <v/>
      </c>
    </row>
    <row r="291" ht="15.75" customHeight="1">
      <c r="A2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Helper'!$F$5:$F$3004,"""")&lt;&gt;""""),ROWS(A$5:A291)),"""")"),"")</f>
        <v/>
      </c>
      <c r="B2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Helper'!$F$5:$F$3004,"""")&lt;&gt;""""),ROWS(B$5:B291)),"""")"),"")</f>
        <v/>
      </c>
      <c r="C2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Helper'!$F$5:$F$3004,"""")&lt;&gt;""""),ROWS(C$5:C291)),"""")"),"")</f>
        <v/>
      </c>
      <c r="D2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Helper'!$F$5:$F$3004,"""")&lt;&gt;""""),ROWS(D$5:D291)),"""")"),"")</f>
        <v/>
      </c>
      <c r="E2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Helper'!$F$5:$F$3004,"""")&lt;&gt;""""),ROWS(E$5:E291)),"""")"),"")</f>
        <v/>
      </c>
      <c r="F2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Helper'!$F$5:$F$3004,"""")&lt;&gt;""""),ROWS(F$5:F291)),IF(AND(LEFT(x,5)=""Page"&amp;" "",ISERROR(SEARCH(""–"",x))),x&amp;""–""&amp;REGEXEXTRACT(x,""[0-9]+$""),x)),"""")"),"")</f>
        <v/>
      </c>
      <c r="G291" s="163"/>
      <c r="H2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Helper'!$F$5:$F$3004,"""")&lt;&gt;""""),ROWS(H$5:H291)),"""")"),"")</f>
        <v/>
      </c>
    </row>
    <row r="292" ht="15.75" customHeight="1">
      <c r="A2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Helper'!$F$5:$F$3004,"""")&lt;&gt;""""),ROWS(A$5:A292)),"""")"),"")</f>
        <v/>
      </c>
      <c r="B2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Helper'!$F$5:$F$3004,"""")&lt;&gt;""""),ROWS(B$5:B292)),"""")"),"")</f>
        <v/>
      </c>
      <c r="C2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Helper'!$F$5:$F$3004,"""")&lt;&gt;""""),ROWS(C$5:C292)),"""")"),"")</f>
        <v/>
      </c>
      <c r="D2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Helper'!$F$5:$F$3004,"""")&lt;&gt;""""),ROWS(D$5:D292)),"""")"),"")</f>
        <v/>
      </c>
      <c r="E2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Helper'!$F$5:$F$3004,"""")&lt;&gt;""""),ROWS(E$5:E292)),"""")"),"")</f>
        <v/>
      </c>
      <c r="F2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Helper'!$F$5:$F$3004,"""")&lt;&gt;""""),ROWS(F$5:F292)),IF(AND(LEFT(x,5)=""Page"&amp;" "",ISERROR(SEARCH(""–"",x))),x&amp;""–""&amp;REGEXEXTRACT(x,""[0-9]+$""),x)),"""")"),"")</f>
        <v/>
      </c>
      <c r="G292" s="163"/>
      <c r="H2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Helper'!$F$5:$F$3004,"""")&lt;&gt;""""),ROWS(H$5:H292)),"""")"),"")</f>
        <v/>
      </c>
    </row>
    <row r="293" ht="15.75" customHeight="1">
      <c r="A2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Helper'!$F$5:$F$3004,"""")&lt;&gt;""""),ROWS(A$5:A293)),"""")"),"")</f>
        <v/>
      </c>
      <c r="B2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Helper'!$F$5:$F$3004,"""")&lt;&gt;""""),ROWS(B$5:B293)),"""")"),"")</f>
        <v/>
      </c>
      <c r="C2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Helper'!$F$5:$F$3004,"""")&lt;&gt;""""),ROWS(C$5:C293)),"""")"),"")</f>
        <v/>
      </c>
      <c r="D2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Helper'!$F$5:$F$3004,"""")&lt;&gt;""""),ROWS(D$5:D293)),"""")"),"")</f>
        <v/>
      </c>
      <c r="E2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Helper'!$F$5:$F$3004,"""")&lt;&gt;""""),ROWS(E$5:E293)),"""")"),"")</f>
        <v/>
      </c>
      <c r="F2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Helper'!$F$5:$F$3004,"""")&lt;&gt;""""),ROWS(F$5:F293)),IF(AND(LEFT(x,5)=""Page"&amp;" "",ISERROR(SEARCH(""–"",x))),x&amp;""–""&amp;REGEXEXTRACT(x,""[0-9]+$""),x)),"""")"),"")</f>
        <v/>
      </c>
      <c r="G293" s="163"/>
      <c r="H2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Helper'!$F$5:$F$3004,"""")&lt;&gt;""""),ROWS(H$5:H293)),"""")"),"")</f>
        <v/>
      </c>
    </row>
    <row r="294" ht="15.75" customHeight="1">
      <c r="A2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Helper'!$F$5:$F$3004,"""")&lt;&gt;""""),ROWS(A$5:A294)),"""")"),"")</f>
        <v/>
      </c>
      <c r="B2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Helper'!$F$5:$F$3004,"""")&lt;&gt;""""),ROWS(B$5:B294)),"""")"),"")</f>
        <v/>
      </c>
      <c r="C2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Helper'!$F$5:$F$3004,"""")&lt;&gt;""""),ROWS(C$5:C294)),"""")"),"")</f>
        <v/>
      </c>
      <c r="D2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Helper'!$F$5:$F$3004,"""")&lt;&gt;""""),ROWS(D$5:D294)),"""")"),"")</f>
        <v/>
      </c>
      <c r="E2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Helper'!$F$5:$F$3004,"""")&lt;&gt;""""),ROWS(E$5:E294)),"""")"),"")</f>
        <v/>
      </c>
      <c r="F2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Helper'!$F$5:$F$3004,"""")&lt;&gt;""""),ROWS(F$5:F294)),IF(AND(LEFT(x,5)=""Page"&amp;" "",ISERROR(SEARCH(""–"",x))),x&amp;""–""&amp;REGEXEXTRACT(x,""[0-9]+$""),x)),"""")"),"")</f>
        <v/>
      </c>
      <c r="G294" s="163"/>
      <c r="H2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Helper'!$F$5:$F$3004,"""")&lt;&gt;""""),ROWS(H$5:H294)),"""")"),"")</f>
        <v/>
      </c>
    </row>
    <row r="295" ht="15.75" customHeight="1">
      <c r="A2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Helper'!$F$5:$F$3004,"""")&lt;&gt;""""),ROWS(A$5:A295)),"""")"),"")</f>
        <v/>
      </c>
      <c r="B2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Helper'!$F$5:$F$3004,"""")&lt;&gt;""""),ROWS(B$5:B295)),"""")"),"")</f>
        <v/>
      </c>
      <c r="C2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Helper'!$F$5:$F$3004,"""")&lt;&gt;""""),ROWS(C$5:C295)),"""")"),"")</f>
        <v/>
      </c>
      <c r="D2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Helper'!$F$5:$F$3004,"""")&lt;&gt;""""),ROWS(D$5:D295)),"""")"),"")</f>
        <v/>
      </c>
      <c r="E2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Helper'!$F$5:$F$3004,"""")&lt;&gt;""""),ROWS(E$5:E295)),"""")"),"")</f>
        <v/>
      </c>
      <c r="F2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Helper'!$F$5:$F$3004,"""")&lt;&gt;""""),ROWS(F$5:F295)),IF(AND(LEFT(x,5)=""Page"&amp;" "",ISERROR(SEARCH(""–"",x))),x&amp;""–""&amp;REGEXEXTRACT(x,""[0-9]+$""),x)),"""")"),"")</f>
        <v/>
      </c>
      <c r="G295" s="163"/>
      <c r="H2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Helper'!$F$5:$F$3004,"""")&lt;&gt;""""),ROWS(H$5:H295)),"""")"),"")</f>
        <v/>
      </c>
    </row>
    <row r="296" ht="15.75" customHeight="1">
      <c r="A2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Helper'!$F$5:$F$3004,"""")&lt;&gt;""""),ROWS(A$5:A296)),"""")"),"")</f>
        <v/>
      </c>
      <c r="B2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Helper'!$F$5:$F$3004,"""")&lt;&gt;""""),ROWS(B$5:B296)),"""")"),"")</f>
        <v/>
      </c>
      <c r="C2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Helper'!$F$5:$F$3004,"""")&lt;&gt;""""),ROWS(C$5:C296)),"""")"),"")</f>
        <v/>
      </c>
      <c r="D2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Helper'!$F$5:$F$3004,"""")&lt;&gt;""""),ROWS(D$5:D296)),"""")"),"")</f>
        <v/>
      </c>
      <c r="E2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Helper'!$F$5:$F$3004,"""")&lt;&gt;""""),ROWS(E$5:E296)),"""")"),"")</f>
        <v/>
      </c>
      <c r="F2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Helper'!$F$5:$F$3004,"""")&lt;&gt;""""),ROWS(F$5:F296)),IF(AND(LEFT(x,5)=""Page"&amp;" "",ISERROR(SEARCH(""–"",x))),x&amp;""–""&amp;REGEXEXTRACT(x,""[0-9]+$""),x)),"""")"),"")</f>
        <v/>
      </c>
      <c r="G296" s="163"/>
      <c r="H2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Helper'!$F$5:$F$3004,"""")&lt;&gt;""""),ROWS(H$5:H296)),"""")"),"")</f>
        <v/>
      </c>
    </row>
    <row r="297" ht="15.75" customHeight="1">
      <c r="A2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Helper'!$F$5:$F$3004,"""")&lt;&gt;""""),ROWS(A$5:A297)),"""")"),"")</f>
        <v/>
      </c>
      <c r="B2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Helper'!$F$5:$F$3004,"""")&lt;&gt;""""),ROWS(B$5:B297)),"""")"),"")</f>
        <v/>
      </c>
      <c r="C2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Helper'!$F$5:$F$3004,"""")&lt;&gt;""""),ROWS(C$5:C297)),"""")"),"")</f>
        <v/>
      </c>
      <c r="D2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Helper'!$F$5:$F$3004,"""")&lt;&gt;""""),ROWS(D$5:D297)),"""")"),"")</f>
        <v/>
      </c>
      <c r="E2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Helper'!$F$5:$F$3004,"""")&lt;&gt;""""),ROWS(E$5:E297)),"""")"),"")</f>
        <v/>
      </c>
      <c r="F2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Helper'!$F$5:$F$3004,"""")&lt;&gt;""""),ROWS(F$5:F297)),IF(AND(LEFT(x,5)=""Page"&amp;" "",ISERROR(SEARCH(""–"",x))),x&amp;""–""&amp;REGEXEXTRACT(x,""[0-9]+$""),x)),"""")"),"")</f>
        <v/>
      </c>
      <c r="G297" s="163"/>
      <c r="H2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Helper'!$F$5:$F$3004,"""")&lt;&gt;""""),ROWS(H$5:H297)),"""")"),"")</f>
        <v/>
      </c>
    </row>
    <row r="298" ht="15.75" customHeight="1">
      <c r="A2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Helper'!$F$5:$F$3004,"""")&lt;&gt;""""),ROWS(A$5:A298)),"""")"),"")</f>
        <v/>
      </c>
      <c r="B2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Helper'!$F$5:$F$3004,"""")&lt;&gt;""""),ROWS(B$5:B298)),"""")"),"")</f>
        <v/>
      </c>
      <c r="C2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Helper'!$F$5:$F$3004,"""")&lt;&gt;""""),ROWS(C$5:C298)),"""")"),"")</f>
        <v/>
      </c>
      <c r="D2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Helper'!$F$5:$F$3004,"""")&lt;&gt;""""),ROWS(D$5:D298)),"""")"),"")</f>
        <v/>
      </c>
      <c r="E2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Helper'!$F$5:$F$3004,"""")&lt;&gt;""""),ROWS(E$5:E298)),"""")"),"")</f>
        <v/>
      </c>
      <c r="F2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Helper'!$F$5:$F$3004,"""")&lt;&gt;""""),ROWS(F$5:F298)),IF(AND(LEFT(x,5)=""Page"&amp;" "",ISERROR(SEARCH(""–"",x))),x&amp;""–""&amp;REGEXEXTRACT(x,""[0-9]+$""),x)),"""")"),"")</f>
        <v/>
      </c>
      <c r="G298" s="163"/>
      <c r="H2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Helper'!$F$5:$F$3004,"""")&lt;&gt;""""),ROWS(H$5:H298)),"""")"),"")</f>
        <v/>
      </c>
    </row>
    <row r="299" ht="15.75" customHeight="1">
      <c r="A2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Helper'!$F$5:$F$3004,"""")&lt;&gt;""""),ROWS(A$5:A299)),"""")"),"")</f>
        <v/>
      </c>
      <c r="B2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Helper'!$F$5:$F$3004,"""")&lt;&gt;""""),ROWS(B$5:B299)),"""")"),"")</f>
        <v/>
      </c>
      <c r="C2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Helper'!$F$5:$F$3004,"""")&lt;&gt;""""),ROWS(C$5:C299)),"""")"),"")</f>
        <v/>
      </c>
      <c r="D2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Helper'!$F$5:$F$3004,"""")&lt;&gt;""""),ROWS(D$5:D299)),"""")"),"")</f>
        <v/>
      </c>
      <c r="E2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Helper'!$F$5:$F$3004,"""")&lt;&gt;""""),ROWS(E$5:E299)),"""")"),"")</f>
        <v/>
      </c>
      <c r="F2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Helper'!$F$5:$F$3004,"""")&lt;&gt;""""),ROWS(F$5:F299)),IF(AND(LEFT(x,5)=""Page"&amp;" "",ISERROR(SEARCH(""–"",x))),x&amp;""–""&amp;REGEXEXTRACT(x,""[0-9]+$""),x)),"""")"),"")</f>
        <v/>
      </c>
      <c r="G299" s="163"/>
      <c r="H2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Helper'!$F$5:$F$3004,"""")&lt;&gt;""""),ROWS(H$5:H299)),"""")"),"")</f>
        <v/>
      </c>
    </row>
    <row r="300" ht="15.75" customHeight="1">
      <c r="A3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Helper'!$F$5:$F$3004,"""")&lt;&gt;""""),ROWS(A$5:A300)),"""")"),"")</f>
        <v/>
      </c>
      <c r="B3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Helper'!$F$5:$F$3004,"""")&lt;&gt;""""),ROWS(B$5:B300)),"""")"),"")</f>
        <v/>
      </c>
      <c r="C3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Helper'!$F$5:$F$3004,"""")&lt;&gt;""""),ROWS(C$5:C300)),"""")"),"")</f>
        <v/>
      </c>
      <c r="D3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Helper'!$F$5:$F$3004,"""")&lt;&gt;""""),ROWS(D$5:D300)),"""")"),"")</f>
        <v/>
      </c>
      <c r="E3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Helper'!$F$5:$F$3004,"""")&lt;&gt;""""),ROWS(E$5:E300)),"""")"),"")</f>
        <v/>
      </c>
      <c r="F3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Helper'!$F$5:$F$3004,"""")&lt;&gt;""""),ROWS(F$5:F300)),IF(AND(LEFT(x,5)=""Page"&amp;" "",ISERROR(SEARCH(""–"",x))),x&amp;""–""&amp;REGEXEXTRACT(x,""[0-9]+$""),x)),"""")"),"")</f>
        <v/>
      </c>
      <c r="G300" s="163"/>
      <c r="H3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Helper'!$F$5:$F$3004,"""")&lt;&gt;""""),ROWS(H$5:H300)),"""")"),"")</f>
        <v/>
      </c>
    </row>
    <row r="301" ht="15.75" customHeight="1">
      <c r="A3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Helper'!$F$5:$F$3004,"""")&lt;&gt;""""),ROWS(A$5:A301)),"""")"),"")</f>
        <v/>
      </c>
      <c r="B3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Helper'!$F$5:$F$3004,"""")&lt;&gt;""""),ROWS(B$5:B301)),"""")"),"")</f>
        <v/>
      </c>
      <c r="C3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Helper'!$F$5:$F$3004,"""")&lt;&gt;""""),ROWS(C$5:C301)),"""")"),"")</f>
        <v/>
      </c>
      <c r="D3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Helper'!$F$5:$F$3004,"""")&lt;&gt;""""),ROWS(D$5:D301)),"""")"),"")</f>
        <v/>
      </c>
      <c r="E3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Helper'!$F$5:$F$3004,"""")&lt;&gt;""""),ROWS(E$5:E301)),"""")"),"")</f>
        <v/>
      </c>
      <c r="F3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Helper'!$F$5:$F$3004,"""")&lt;&gt;""""),ROWS(F$5:F301)),IF(AND(LEFT(x,5)=""Page"&amp;" "",ISERROR(SEARCH(""–"",x))),x&amp;""–""&amp;REGEXEXTRACT(x,""[0-9]+$""),x)),"""")"),"")</f>
        <v/>
      </c>
      <c r="G301" s="163"/>
      <c r="H3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Helper'!$F$5:$F$3004,"""")&lt;&gt;""""),ROWS(H$5:H301)),"""")"),"")</f>
        <v/>
      </c>
    </row>
    <row r="302" ht="15.75" customHeight="1">
      <c r="A3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Helper'!$F$5:$F$3004,"""")&lt;&gt;""""),ROWS(A$5:A302)),"""")"),"")</f>
        <v/>
      </c>
      <c r="B3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Helper'!$F$5:$F$3004,"""")&lt;&gt;""""),ROWS(B$5:B302)),"""")"),"")</f>
        <v/>
      </c>
      <c r="C3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Helper'!$F$5:$F$3004,"""")&lt;&gt;""""),ROWS(C$5:C302)),"""")"),"")</f>
        <v/>
      </c>
      <c r="D3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Helper'!$F$5:$F$3004,"""")&lt;&gt;""""),ROWS(D$5:D302)),"""")"),"")</f>
        <v/>
      </c>
      <c r="E3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Helper'!$F$5:$F$3004,"""")&lt;&gt;""""),ROWS(E$5:E302)),"""")"),"")</f>
        <v/>
      </c>
      <c r="F3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Helper'!$F$5:$F$3004,"""")&lt;&gt;""""),ROWS(F$5:F302)),IF(AND(LEFT(x,5)=""Page"&amp;" "",ISERROR(SEARCH(""–"",x))),x&amp;""–""&amp;REGEXEXTRACT(x,""[0-9]+$""),x)),"""")"),"")</f>
        <v/>
      </c>
      <c r="G302" s="163"/>
      <c r="H3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Helper'!$F$5:$F$3004,"""")&lt;&gt;""""),ROWS(H$5:H302)),"""")"),"")</f>
        <v/>
      </c>
    </row>
    <row r="303" ht="15.75" customHeight="1">
      <c r="A3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Helper'!$F$5:$F$3004,"""")&lt;&gt;""""),ROWS(A$5:A303)),"""")"),"")</f>
        <v/>
      </c>
      <c r="B3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Helper'!$F$5:$F$3004,"""")&lt;&gt;""""),ROWS(B$5:B303)),"""")"),"")</f>
        <v/>
      </c>
      <c r="C3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Helper'!$F$5:$F$3004,"""")&lt;&gt;""""),ROWS(C$5:C303)),"""")"),"")</f>
        <v/>
      </c>
      <c r="D3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Helper'!$F$5:$F$3004,"""")&lt;&gt;""""),ROWS(D$5:D303)),"""")"),"")</f>
        <v/>
      </c>
      <c r="E3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Helper'!$F$5:$F$3004,"""")&lt;&gt;""""),ROWS(E$5:E303)),"""")"),"")</f>
        <v/>
      </c>
      <c r="F3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Helper'!$F$5:$F$3004,"""")&lt;&gt;""""),ROWS(F$5:F303)),IF(AND(LEFT(x,5)=""Page"&amp;" "",ISERROR(SEARCH(""–"",x))),x&amp;""–""&amp;REGEXEXTRACT(x,""[0-9]+$""),x)),"""")"),"")</f>
        <v/>
      </c>
      <c r="G303" s="163"/>
      <c r="H3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Helper'!$F$5:$F$3004,"""")&lt;&gt;""""),ROWS(H$5:H303)),"""")"),"")</f>
        <v/>
      </c>
    </row>
    <row r="304" ht="15.75" customHeight="1">
      <c r="A3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Helper'!$F$5:$F$3004,"""")&lt;&gt;""""),ROWS(A$5:A304)),"""")"),"")</f>
        <v/>
      </c>
      <c r="B3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Helper'!$F$5:$F$3004,"""")&lt;&gt;""""),ROWS(B$5:B304)),"""")"),"")</f>
        <v/>
      </c>
      <c r="C3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Helper'!$F$5:$F$3004,"""")&lt;&gt;""""),ROWS(C$5:C304)),"""")"),"")</f>
        <v/>
      </c>
      <c r="D3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Helper'!$F$5:$F$3004,"""")&lt;&gt;""""),ROWS(D$5:D304)),"""")"),"")</f>
        <v/>
      </c>
      <c r="E3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Helper'!$F$5:$F$3004,"""")&lt;&gt;""""),ROWS(E$5:E304)),"""")"),"")</f>
        <v/>
      </c>
      <c r="F3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Helper'!$F$5:$F$3004,"""")&lt;&gt;""""),ROWS(F$5:F304)),IF(AND(LEFT(x,5)=""Page"&amp;" "",ISERROR(SEARCH(""–"",x))),x&amp;""–""&amp;REGEXEXTRACT(x,""[0-9]+$""),x)),"""")"),"")</f>
        <v/>
      </c>
      <c r="G304" s="163"/>
      <c r="H3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Helper'!$F$5:$F$3004,"""")&lt;&gt;""""),ROWS(H$5:H304)),"""")"),"")</f>
        <v/>
      </c>
    </row>
    <row r="305" ht="15.75" customHeight="1">
      <c r="A3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Helper'!$F$5:$F$3004,"""")&lt;&gt;""""),ROWS(A$5:A305)),"""")"),"")</f>
        <v/>
      </c>
      <c r="B3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Helper'!$F$5:$F$3004,"""")&lt;&gt;""""),ROWS(B$5:B305)),"""")"),"")</f>
        <v/>
      </c>
      <c r="C3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Helper'!$F$5:$F$3004,"""")&lt;&gt;""""),ROWS(C$5:C305)),"""")"),"")</f>
        <v/>
      </c>
      <c r="D3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Helper'!$F$5:$F$3004,"""")&lt;&gt;""""),ROWS(D$5:D305)),"""")"),"")</f>
        <v/>
      </c>
      <c r="E3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Helper'!$F$5:$F$3004,"""")&lt;&gt;""""),ROWS(E$5:E305)),"""")"),"")</f>
        <v/>
      </c>
      <c r="F3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Helper'!$F$5:$F$3004,"""")&lt;&gt;""""),ROWS(F$5:F305)),IF(AND(LEFT(x,5)=""Page"&amp;" "",ISERROR(SEARCH(""–"",x))),x&amp;""–""&amp;REGEXEXTRACT(x,""[0-9]+$""),x)),"""")"),"")</f>
        <v/>
      </c>
      <c r="G305" s="163"/>
      <c r="H3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Helper'!$F$5:$F$3004,"""")&lt;&gt;""""),ROWS(H$5:H305)),"""")"),"")</f>
        <v/>
      </c>
    </row>
    <row r="306" ht="15.75" customHeight="1">
      <c r="A3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Helper'!$F$5:$F$3004,"""")&lt;&gt;""""),ROWS(A$5:A306)),"""")"),"")</f>
        <v/>
      </c>
      <c r="B3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Helper'!$F$5:$F$3004,"""")&lt;&gt;""""),ROWS(B$5:B306)),"""")"),"")</f>
        <v/>
      </c>
      <c r="C3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Helper'!$F$5:$F$3004,"""")&lt;&gt;""""),ROWS(C$5:C306)),"""")"),"")</f>
        <v/>
      </c>
      <c r="D3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Helper'!$F$5:$F$3004,"""")&lt;&gt;""""),ROWS(D$5:D306)),"""")"),"")</f>
        <v/>
      </c>
      <c r="E3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Helper'!$F$5:$F$3004,"""")&lt;&gt;""""),ROWS(E$5:E306)),"""")"),"")</f>
        <v/>
      </c>
      <c r="F3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Helper'!$F$5:$F$3004,"""")&lt;&gt;""""),ROWS(F$5:F306)),IF(AND(LEFT(x,5)=""Page"&amp;" "",ISERROR(SEARCH(""–"",x))),x&amp;""–""&amp;REGEXEXTRACT(x,""[0-9]+$""),x)),"""")"),"")</f>
        <v/>
      </c>
      <c r="G306" s="163"/>
      <c r="H3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Helper'!$F$5:$F$3004,"""")&lt;&gt;""""),ROWS(H$5:H306)),"""")"),"")</f>
        <v/>
      </c>
    </row>
    <row r="307" ht="15.75" customHeight="1">
      <c r="A3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Helper'!$F$5:$F$3004,"""")&lt;&gt;""""),ROWS(A$5:A307)),"""")"),"")</f>
        <v/>
      </c>
      <c r="B3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Helper'!$F$5:$F$3004,"""")&lt;&gt;""""),ROWS(B$5:B307)),"""")"),"")</f>
        <v/>
      </c>
      <c r="C3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Helper'!$F$5:$F$3004,"""")&lt;&gt;""""),ROWS(C$5:C307)),"""")"),"")</f>
        <v/>
      </c>
      <c r="D3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Helper'!$F$5:$F$3004,"""")&lt;&gt;""""),ROWS(D$5:D307)),"""")"),"")</f>
        <v/>
      </c>
      <c r="E3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Helper'!$F$5:$F$3004,"""")&lt;&gt;""""),ROWS(E$5:E307)),"""")"),"")</f>
        <v/>
      </c>
      <c r="F3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Helper'!$F$5:$F$3004,"""")&lt;&gt;""""),ROWS(F$5:F307)),IF(AND(LEFT(x,5)=""Page"&amp;" "",ISERROR(SEARCH(""–"",x))),x&amp;""–""&amp;REGEXEXTRACT(x,""[0-9]+$""),x)),"""")"),"")</f>
        <v/>
      </c>
      <c r="G307" s="163"/>
      <c r="H3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Helper'!$F$5:$F$3004,"""")&lt;&gt;""""),ROWS(H$5:H307)),"""")"),"")</f>
        <v/>
      </c>
    </row>
    <row r="308" ht="15.75" customHeight="1">
      <c r="A3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Helper'!$F$5:$F$3004,"""")&lt;&gt;""""),ROWS(A$5:A308)),"""")"),"")</f>
        <v/>
      </c>
      <c r="B3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Helper'!$F$5:$F$3004,"""")&lt;&gt;""""),ROWS(B$5:B308)),"""")"),"")</f>
        <v/>
      </c>
      <c r="C3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Helper'!$F$5:$F$3004,"""")&lt;&gt;""""),ROWS(C$5:C308)),"""")"),"")</f>
        <v/>
      </c>
      <c r="D3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Helper'!$F$5:$F$3004,"""")&lt;&gt;""""),ROWS(D$5:D308)),"""")"),"")</f>
        <v/>
      </c>
      <c r="E3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Helper'!$F$5:$F$3004,"""")&lt;&gt;""""),ROWS(E$5:E308)),"""")"),"")</f>
        <v/>
      </c>
      <c r="F3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Helper'!$F$5:$F$3004,"""")&lt;&gt;""""),ROWS(F$5:F308)),IF(AND(LEFT(x,5)=""Page"&amp;" "",ISERROR(SEARCH(""–"",x))),x&amp;""–""&amp;REGEXEXTRACT(x,""[0-9]+$""),x)),"""")"),"")</f>
        <v/>
      </c>
      <c r="G308" s="163"/>
      <c r="H3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Helper'!$F$5:$F$3004,"""")&lt;&gt;""""),ROWS(H$5:H308)),"""")"),"")</f>
        <v/>
      </c>
    </row>
    <row r="309" ht="15.75" customHeight="1">
      <c r="A3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Helper'!$F$5:$F$3004,"""")&lt;&gt;""""),ROWS(A$5:A309)),"""")"),"")</f>
        <v/>
      </c>
      <c r="B3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Helper'!$F$5:$F$3004,"""")&lt;&gt;""""),ROWS(B$5:B309)),"""")"),"")</f>
        <v/>
      </c>
      <c r="C3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Helper'!$F$5:$F$3004,"""")&lt;&gt;""""),ROWS(C$5:C309)),"""")"),"")</f>
        <v/>
      </c>
      <c r="D3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Helper'!$F$5:$F$3004,"""")&lt;&gt;""""),ROWS(D$5:D309)),"""")"),"")</f>
        <v/>
      </c>
      <c r="E3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Helper'!$F$5:$F$3004,"""")&lt;&gt;""""),ROWS(E$5:E309)),"""")"),"")</f>
        <v/>
      </c>
      <c r="F3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Helper'!$F$5:$F$3004,"""")&lt;&gt;""""),ROWS(F$5:F309)),IF(AND(LEFT(x,5)=""Page"&amp;" "",ISERROR(SEARCH(""–"",x))),x&amp;""–""&amp;REGEXEXTRACT(x,""[0-9]+$""),x)),"""")"),"")</f>
        <v/>
      </c>
      <c r="G309" s="163"/>
      <c r="H3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Helper'!$F$5:$F$3004,"""")&lt;&gt;""""),ROWS(H$5:H309)),"""")"),"")</f>
        <v/>
      </c>
    </row>
    <row r="310" ht="15.75" customHeight="1">
      <c r="A3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Helper'!$F$5:$F$3004,"""")&lt;&gt;""""),ROWS(A$5:A310)),"""")"),"")</f>
        <v/>
      </c>
      <c r="B3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Helper'!$F$5:$F$3004,"""")&lt;&gt;""""),ROWS(B$5:B310)),"""")"),"")</f>
        <v/>
      </c>
      <c r="C3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Helper'!$F$5:$F$3004,"""")&lt;&gt;""""),ROWS(C$5:C310)),"""")"),"")</f>
        <v/>
      </c>
      <c r="D3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Helper'!$F$5:$F$3004,"""")&lt;&gt;""""),ROWS(D$5:D310)),"""")"),"")</f>
        <v/>
      </c>
      <c r="E3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Helper'!$F$5:$F$3004,"""")&lt;&gt;""""),ROWS(E$5:E310)),"""")"),"")</f>
        <v/>
      </c>
      <c r="F3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Helper'!$F$5:$F$3004,"""")&lt;&gt;""""),ROWS(F$5:F310)),IF(AND(LEFT(x,5)=""Page"&amp;" "",ISERROR(SEARCH(""–"",x))),x&amp;""–""&amp;REGEXEXTRACT(x,""[0-9]+$""),x)),"""")"),"")</f>
        <v/>
      </c>
      <c r="G310" s="163"/>
      <c r="H3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Helper'!$F$5:$F$3004,"""")&lt;&gt;""""),ROWS(H$5:H310)),"""")"),"")</f>
        <v/>
      </c>
    </row>
    <row r="311" ht="15.75" customHeight="1">
      <c r="A3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Helper'!$F$5:$F$3004,"""")&lt;&gt;""""),ROWS(A$5:A311)),"""")"),"")</f>
        <v/>
      </c>
      <c r="B3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Helper'!$F$5:$F$3004,"""")&lt;&gt;""""),ROWS(B$5:B311)),"""")"),"")</f>
        <v/>
      </c>
      <c r="C3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Helper'!$F$5:$F$3004,"""")&lt;&gt;""""),ROWS(C$5:C311)),"""")"),"")</f>
        <v/>
      </c>
      <c r="D3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Helper'!$F$5:$F$3004,"""")&lt;&gt;""""),ROWS(D$5:D311)),"""")"),"")</f>
        <v/>
      </c>
      <c r="E3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Helper'!$F$5:$F$3004,"""")&lt;&gt;""""),ROWS(E$5:E311)),"""")"),"")</f>
        <v/>
      </c>
      <c r="F3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Helper'!$F$5:$F$3004,"""")&lt;&gt;""""),ROWS(F$5:F311)),IF(AND(LEFT(x,5)=""Page"&amp;" "",ISERROR(SEARCH(""–"",x))),x&amp;""–""&amp;REGEXEXTRACT(x,""[0-9]+$""),x)),"""")"),"")</f>
        <v/>
      </c>
      <c r="G311" s="163"/>
      <c r="H3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Helper'!$F$5:$F$3004,"""")&lt;&gt;""""),ROWS(H$5:H311)),"""")"),"")</f>
        <v/>
      </c>
    </row>
    <row r="312" ht="15.75" customHeight="1">
      <c r="A3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Helper'!$F$5:$F$3004,"""")&lt;&gt;""""),ROWS(A$5:A312)),"""")"),"")</f>
        <v/>
      </c>
      <c r="B3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Helper'!$F$5:$F$3004,"""")&lt;&gt;""""),ROWS(B$5:B312)),"""")"),"")</f>
        <v/>
      </c>
      <c r="C3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Helper'!$F$5:$F$3004,"""")&lt;&gt;""""),ROWS(C$5:C312)),"""")"),"")</f>
        <v/>
      </c>
      <c r="D3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Helper'!$F$5:$F$3004,"""")&lt;&gt;""""),ROWS(D$5:D312)),"""")"),"")</f>
        <v/>
      </c>
      <c r="E3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Helper'!$F$5:$F$3004,"""")&lt;&gt;""""),ROWS(E$5:E312)),"""")"),"")</f>
        <v/>
      </c>
      <c r="F3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Helper'!$F$5:$F$3004,"""")&lt;&gt;""""),ROWS(F$5:F312)),IF(AND(LEFT(x,5)=""Page"&amp;" "",ISERROR(SEARCH(""–"",x))),x&amp;""–""&amp;REGEXEXTRACT(x,""[0-9]+$""),x)),"""")"),"")</f>
        <v/>
      </c>
      <c r="G312" s="163"/>
      <c r="H3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Helper'!$F$5:$F$3004,"""")&lt;&gt;""""),ROWS(H$5:H312)),"""")"),"")</f>
        <v/>
      </c>
    </row>
    <row r="313" ht="15.75" customHeight="1">
      <c r="A3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Helper'!$F$5:$F$3004,"""")&lt;&gt;""""),ROWS(A$5:A313)),"""")"),"")</f>
        <v/>
      </c>
      <c r="B3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Helper'!$F$5:$F$3004,"""")&lt;&gt;""""),ROWS(B$5:B313)),"""")"),"")</f>
        <v/>
      </c>
      <c r="C3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Helper'!$F$5:$F$3004,"""")&lt;&gt;""""),ROWS(C$5:C313)),"""")"),"")</f>
        <v/>
      </c>
      <c r="D3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Helper'!$F$5:$F$3004,"""")&lt;&gt;""""),ROWS(D$5:D313)),"""")"),"")</f>
        <v/>
      </c>
      <c r="E3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Helper'!$F$5:$F$3004,"""")&lt;&gt;""""),ROWS(E$5:E313)),"""")"),"")</f>
        <v/>
      </c>
      <c r="F3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Helper'!$F$5:$F$3004,"""")&lt;&gt;""""),ROWS(F$5:F313)),IF(AND(LEFT(x,5)=""Page"&amp;" "",ISERROR(SEARCH(""–"",x))),x&amp;""–""&amp;REGEXEXTRACT(x,""[0-9]+$""),x)),"""")"),"")</f>
        <v/>
      </c>
      <c r="G313" s="163"/>
      <c r="H3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Helper'!$F$5:$F$3004,"""")&lt;&gt;""""),ROWS(H$5:H313)),"""")"),"")</f>
        <v/>
      </c>
    </row>
    <row r="314" ht="15.75" customHeight="1">
      <c r="A3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Helper'!$F$5:$F$3004,"""")&lt;&gt;""""),ROWS(A$5:A314)),"""")"),"")</f>
        <v/>
      </c>
      <c r="B3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Helper'!$F$5:$F$3004,"""")&lt;&gt;""""),ROWS(B$5:B314)),"""")"),"")</f>
        <v/>
      </c>
      <c r="C3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Helper'!$F$5:$F$3004,"""")&lt;&gt;""""),ROWS(C$5:C314)),"""")"),"")</f>
        <v/>
      </c>
      <c r="D3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Helper'!$F$5:$F$3004,"""")&lt;&gt;""""),ROWS(D$5:D314)),"""")"),"")</f>
        <v/>
      </c>
      <c r="E3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Helper'!$F$5:$F$3004,"""")&lt;&gt;""""),ROWS(E$5:E314)),"""")"),"")</f>
        <v/>
      </c>
      <c r="F3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Helper'!$F$5:$F$3004,"""")&lt;&gt;""""),ROWS(F$5:F314)),IF(AND(LEFT(x,5)=""Page"&amp;" "",ISERROR(SEARCH(""–"",x))),x&amp;""–""&amp;REGEXEXTRACT(x,""[0-9]+$""),x)),"""")"),"")</f>
        <v/>
      </c>
      <c r="G314" s="163"/>
      <c r="H3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Helper'!$F$5:$F$3004,"""")&lt;&gt;""""),ROWS(H$5:H314)),"""")"),"")</f>
        <v/>
      </c>
    </row>
    <row r="315" ht="15.75" customHeight="1">
      <c r="A3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Helper'!$F$5:$F$3004,"""")&lt;&gt;""""),ROWS(A$5:A315)),"""")"),"")</f>
        <v/>
      </c>
      <c r="B3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Helper'!$F$5:$F$3004,"""")&lt;&gt;""""),ROWS(B$5:B315)),"""")"),"")</f>
        <v/>
      </c>
      <c r="C3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Helper'!$F$5:$F$3004,"""")&lt;&gt;""""),ROWS(C$5:C315)),"""")"),"")</f>
        <v/>
      </c>
      <c r="D3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Helper'!$F$5:$F$3004,"""")&lt;&gt;""""),ROWS(D$5:D315)),"""")"),"")</f>
        <v/>
      </c>
      <c r="E3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Helper'!$F$5:$F$3004,"""")&lt;&gt;""""),ROWS(E$5:E315)),"""")"),"")</f>
        <v/>
      </c>
      <c r="F3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Helper'!$F$5:$F$3004,"""")&lt;&gt;""""),ROWS(F$5:F315)),IF(AND(LEFT(x,5)=""Page"&amp;" "",ISERROR(SEARCH(""–"",x))),x&amp;""–""&amp;REGEXEXTRACT(x,""[0-9]+$""),x)),"""")"),"")</f>
        <v/>
      </c>
      <c r="G315" s="163"/>
      <c r="H3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Helper'!$F$5:$F$3004,"""")&lt;&gt;""""),ROWS(H$5:H315)),"""")"),"")</f>
        <v/>
      </c>
    </row>
    <row r="316" ht="15.75" customHeight="1">
      <c r="A3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Helper'!$F$5:$F$3004,"""")&lt;&gt;""""),ROWS(A$5:A316)),"""")"),"")</f>
        <v/>
      </c>
      <c r="B3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Helper'!$F$5:$F$3004,"""")&lt;&gt;""""),ROWS(B$5:B316)),"""")"),"")</f>
        <v/>
      </c>
      <c r="C3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Helper'!$F$5:$F$3004,"""")&lt;&gt;""""),ROWS(C$5:C316)),"""")"),"")</f>
        <v/>
      </c>
      <c r="D3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Helper'!$F$5:$F$3004,"""")&lt;&gt;""""),ROWS(D$5:D316)),"""")"),"")</f>
        <v/>
      </c>
      <c r="E3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Helper'!$F$5:$F$3004,"""")&lt;&gt;""""),ROWS(E$5:E316)),"""")"),"")</f>
        <v/>
      </c>
      <c r="F3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Helper'!$F$5:$F$3004,"""")&lt;&gt;""""),ROWS(F$5:F316)),IF(AND(LEFT(x,5)=""Page"&amp;" "",ISERROR(SEARCH(""–"",x))),x&amp;""–""&amp;REGEXEXTRACT(x,""[0-9]+$""),x)),"""")"),"")</f>
        <v/>
      </c>
      <c r="G316" s="163"/>
      <c r="H3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Helper'!$F$5:$F$3004,"""")&lt;&gt;""""),ROWS(H$5:H316)),"""")"),"")</f>
        <v/>
      </c>
    </row>
    <row r="317" ht="15.75" customHeight="1">
      <c r="A3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Helper'!$F$5:$F$3004,"""")&lt;&gt;""""),ROWS(A$5:A317)),"""")"),"")</f>
        <v/>
      </c>
      <c r="B3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Helper'!$F$5:$F$3004,"""")&lt;&gt;""""),ROWS(B$5:B317)),"""")"),"")</f>
        <v/>
      </c>
      <c r="C3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Helper'!$F$5:$F$3004,"""")&lt;&gt;""""),ROWS(C$5:C317)),"""")"),"")</f>
        <v/>
      </c>
      <c r="D3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Helper'!$F$5:$F$3004,"""")&lt;&gt;""""),ROWS(D$5:D317)),"""")"),"")</f>
        <v/>
      </c>
      <c r="E3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Helper'!$F$5:$F$3004,"""")&lt;&gt;""""),ROWS(E$5:E317)),"""")"),"")</f>
        <v/>
      </c>
      <c r="F3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Helper'!$F$5:$F$3004,"""")&lt;&gt;""""),ROWS(F$5:F317)),IF(AND(LEFT(x,5)=""Page"&amp;" "",ISERROR(SEARCH(""–"",x))),x&amp;""–""&amp;REGEXEXTRACT(x,""[0-9]+$""),x)),"""")"),"")</f>
        <v/>
      </c>
      <c r="G317" s="163"/>
      <c r="H3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Helper'!$F$5:$F$3004,"""")&lt;&gt;""""),ROWS(H$5:H317)),"""")"),"")</f>
        <v/>
      </c>
    </row>
    <row r="318" ht="15.75" customHeight="1">
      <c r="A3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Helper'!$F$5:$F$3004,"""")&lt;&gt;""""),ROWS(A$5:A318)),"""")"),"")</f>
        <v/>
      </c>
      <c r="B3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Helper'!$F$5:$F$3004,"""")&lt;&gt;""""),ROWS(B$5:B318)),"""")"),"")</f>
        <v/>
      </c>
      <c r="C3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Helper'!$F$5:$F$3004,"""")&lt;&gt;""""),ROWS(C$5:C318)),"""")"),"")</f>
        <v/>
      </c>
      <c r="D3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Helper'!$F$5:$F$3004,"""")&lt;&gt;""""),ROWS(D$5:D318)),"""")"),"")</f>
        <v/>
      </c>
      <c r="E3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Helper'!$F$5:$F$3004,"""")&lt;&gt;""""),ROWS(E$5:E318)),"""")"),"")</f>
        <v/>
      </c>
      <c r="F3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Helper'!$F$5:$F$3004,"""")&lt;&gt;""""),ROWS(F$5:F318)),IF(AND(LEFT(x,5)=""Page"&amp;" "",ISERROR(SEARCH(""–"",x))),x&amp;""–""&amp;REGEXEXTRACT(x,""[0-9]+$""),x)),"""")"),"")</f>
        <v/>
      </c>
      <c r="G318" s="163"/>
      <c r="H3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Helper'!$F$5:$F$3004,"""")&lt;&gt;""""),ROWS(H$5:H318)),"""")"),"")</f>
        <v/>
      </c>
    </row>
    <row r="319" ht="15.75" customHeight="1">
      <c r="A3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Helper'!$F$5:$F$3004,"""")&lt;&gt;""""),ROWS(A$5:A319)),"""")"),"")</f>
        <v/>
      </c>
      <c r="B3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Helper'!$F$5:$F$3004,"""")&lt;&gt;""""),ROWS(B$5:B319)),"""")"),"")</f>
        <v/>
      </c>
      <c r="C3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Helper'!$F$5:$F$3004,"""")&lt;&gt;""""),ROWS(C$5:C319)),"""")"),"")</f>
        <v/>
      </c>
      <c r="D3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Helper'!$F$5:$F$3004,"""")&lt;&gt;""""),ROWS(D$5:D319)),"""")"),"")</f>
        <v/>
      </c>
      <c r="E3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Helper'!$F$5:$F$3004,"""")&lt;&gt;""""),ROWS(E$5:E319)),"""")"),"")</f>
        <v/>
      </c>
      <c r="F3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Helper'!$F$5:$F$3004,"""")&lt;&gt;""""),ROWS(F$5:F319)),IF(AND(LEFT(x,5)=""Page"&amp;" "",ISERROR(SEARCH(""–"",x))),x&amp;""–""&amp;REGEXEXTRACT(x,""[0-9]+$""),x)),"""")"),"")</f>
        <v/>
      </c>
      <c r="G319" s="163"/>
      <c r="H3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Helper'!$F$5:$F$3004,"""")&lt;&gt;""""),ROWS(H$5:H319)),"""")"),"")</f>
        <v/>
      </c>
    </row>
    <row r="320" ht="15.75" customHeight="1">
      <c r="A3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Helper'!$F$5:$F$3004,"""")&lt;&gt;""""),ROWS(A$5:A320)),"""")"),"")</f>
        <v/>
      </c>
      <c r="B3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Helper'!$F$5:$F$3004,"""")&lt;&gt;""""),ROWS(B$5:B320)),"""")"),"")</f>
        <v/>
      </c>
      <c r="C3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Helper'!$F$5:$F$3004,"""")&lt;&gt;""""),ROWS(C$5:C320)),"""")"),"")</f>
        <v/>
      </c>
      <c r="D3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Helper'!$F$5:$F$3004,"""")&lt;&gt;""""),ROWS(D$5:D320)),"""")"),"")</f>
        <v/>
      </c>
      <c r="E3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Helper'!$F$5:$F$3004,"""")&lt;&gt;""""),ROWS(E$5:E320)),"""")"),"")</f>
        <v/>
      </c>
      <c r="F3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Helper'!$F$5:$F$3004,"""")&lt;&gt;""""),ROWS(F$5:F320)),IF(AND(LEFT(x,5)=""Page"&amp;" "",ISERROR(SEARCH(""–"",x))),x&amp;""–""&amp;REGEXEXTRACT(x,""[0-9]+$""),x)),"""")"),"")</f>
        <v/>
      </c>
      <c r="G320" s="163"/>
      <c r="H3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Helper'!$F$5:$F$3004,"""")&lt;&gt;""""),ROWS(H$5:H320)),"""")"),"")</f>
        <v/>
      </c>
    </row>
    <row r="321" ht="15.75" customHeight="1">
      <c r="A3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Helper'!$F$5:$F$3004,"""")&lt;&gt;""""),ROWS(A$5:A321)),"""")"),"")</f>
        <v/>
      </c>
      <c r="B3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Helper'!$F$5:$F$3004,"""")&lt;&gt;""""),ROWS(B$5:B321)),"""")"),"")</f>
        <v/>
      </c>
      <c r="C3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Helper'!$F$5:$F$3004,"""")&lt;&gt;""""),ROWS(C$5:C321)),"""")"),"")</f>
        <v/>
      </c>
      <c r="D3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Helper'!$F$5:$F$3004,"""")&lt;&gt;""""),ROWS(D$5:D321)),"""")"),"")</f>
        <v/>
      </c>
      <c r="E3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Helper'!$F$5:$F$3004,"""")&lt;&gt;""""),ROWS(E$5:E321)),"""")"),"")</f>
        <v/>
      </c>
      <c r="F3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Helper'!$F$5:$F$3004,"""")&lt;&gt;""""),ROWS(F$5:F321)),IF(AND(LEFT(x,5)=""Page"&amp;" "",ISERROR(SEARCH(""–"",x))),x&amp;""–""&amp;REGEXEXTRACT(x,""[0-9]+$""),x)),"""")"),"")</f>
        <v/>
      </c>
      <c r="G321" s="163"/>
      <c r="H3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Helper'!$F$5:$F$3004,"""")&lt;&gt;""""),ROWS(H$5:H321)),"""")"),"")</f>
        <v/>
      </c>
    </row>
    <row r="322" ht="15.75" customHeight="1">
      <c r="A3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Helper'!$F$5:$F$3004,"""")&lt;&gt;""""),ROWS(A$5:A322)),"""")"),"")</f>
        <v/>
      </c>
      <c r="B3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Helper'!$F$5:$F$3004,"""")&lt;&gt;""""),ROWS(B$5:B322)),"""")"),"")</f>
        <v/>
      </c>
      <c r="C3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Helper'!$F$5:$F$3004,"""")&lt;&gt;""""),ROWS(C$5:C322)),"""")"),"")</f>
        <v/>
      </c>
      <c r="D3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Helper'!$F$5:$F$3004,"""")&lt;&gt;""""),ROWS(D$5:D322)),"""")"),"")</f>
        <v/>
      </c>
      <c r="E3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Helper'!$F$5:$F$3004,"""")&lt;&gt;""""),ROWS(E$5:E322)),"""")"),"")</f>
        <v/>
      </c>
      <c r="F3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Helper'!$F$5:$F$3004,"""")&lt;&gt;""""),ROWS(F$5:F322)),IF(AND(LEFT(x,5)=""Page"&amp;" "",ISERROR(SEARCH(""–"",x))),x&amp;""–""&amp;REGEXEXTRACT(x,""[0-9]+$""),x)),"""")"),"")</f>
        <v/>
      </c>
      <c r="G322" s="163"/>
      <c r="H3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Helper'!$F$5:$F$3004,"""")&lt;&gt;""""),ROWS(H$5:H322)),"""")"),"")</f>
        <v/>
      </c>
    </row>
    <row r="323" ht="15.75" customHeight="1">
      <c r="A3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Helper'!$F$5:$F$3004,"""")&lt;&gt;""""),ROWS(A$5:A323)),"""")"),"")</f>
        <v/>
      </c>
      <c r="B3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Helper'!$F$5:$F$3004,"""")&lt;&gt;""""),ROWS(B$5:B323)),"""")"),"")</f>
        <v/>
      </c>
      <c r="C3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Helper'!$F$5:$F$3004,"""")&lt;&gt;""""),ROWS(C$5:C323)),"""")"),"")</f>
        <v/>
      </c>
      <c r="D3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Helper'!$F$5:$F$3004,"""")&lt;&gt;""""),ROWS(D$5:D323)),"""")"),"")</f>
        <v/>
      </c>
      <c r="E3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Helper'!$F$5:$F$3004,"""")&lt;&gt;""""),ROWS(E$5:E323)),"""")"),"")</f>
        <v/>
      </c>
      <c r="F3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Helper'!$F$5:$F$3004,"""")&lt;&gt;""""),ROWS(F$5:F323)),IF(AND(LEFT(x,5)=""Page"&amp;" "",ISERROR(SEARCH(""–"",x))),x&amp;""–""&amp;REGEXEXTRACT(x,""[0-9]+$""),x)),"""")"),"")</f>
        <v/>
      </c>
      <c r="G323" s="163"/>
      <c r="H3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Helper'!$F$5:$F$3004,"""")&lt;&gt;""""),ROWS(H$5:H323)),"""")"),"")</f>
        <v/>
      </c>
    </row>
    <row r="324" ht="15.75" customHeight="1">
      <c r="A3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Helper'!$F$5:$F$3004,"""")&lt;&gt;""""),ROWS(A$5:A324)),"""")"),"")</f>
        <v/>
      </c>
      <c r="B3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Helper'!$F$5:$F$3004,"""")&lt;&gt;""""),ROWS(B$5:B324)),"""")"),"")</f>
        <v/>
      </c>
      <c r="C3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Helper'!$F$5:$F$3004,"""")&lt;&gt;""""),ROWS(C$5:C324)),"""")"),"")</f>
        <v/>
      </c>
      <c r="D3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Helper'!$F$5:$F$3004,"""")&lt;&gt;""""),ROWS(D$5:D324)),"""")"),"")</f>
        <v/>
      </c>
      <c r="E3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Helper'!$F$5:$F$3004,"""")&lt;&gt;""""),ROWS(E$5:E324)),"""")"),"")</f>
        <v/>
      </c>
      <c r="F3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Helper'!$F$5:$F$3004,"""")&lt;&gt;""""),ROWS(F$5:F324)),IF(AND(LEFT(x,5)=""Page"&amp;" "",ISERROR(SEARCH(""–"",x))),x&amp;""–""&amp;REGEXEXTRACT(x,""[0-9]+$""),x)),"""")"),"")</f>
        <v/>
      </c>
      <c r="G324" s="163"/>
      <c r="H3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Helper'!$F$5:$F$3004,"""")&lt;&gt;""""),ROWS(H$5:H324)),"""")"),"")</f>
        <v/>
      </c>
    </row>
    <row r="325" ht="15.75" customHeight="1">
      <c r="A3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Helper'!$F$5:$F$3004,"""")&lt;&gt;""""),ROWS(A$5:A325)),"""")"),"")</f>
        <v/>
      </c>
      <c r="B3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Helper'!$F$5:$F$3004,"""")&lt;&gt;""""),ROWS(B$5:B325)),"""")"),"")</f>
        <v/>
      </c>
      <c r="C3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Helper'!$F$5:$F$3004,"""")&lt;&gt;""""),ROWS(C$5:C325)),"""")"),"")</f>
        <v/>
      </c>
      <c r="D3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Helper'!$F$5:$F$3004,"""")&lt;&gt;""""),ROWS(D$5:D325)),"""")"),"")</f>
        <v/>
      </c>
      <c r="E3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Helper'!$F$5:$F$3004,"""")&lt;&gt;""""),ROWS(E$5:E325)),"""")"),"")</f>
        <v/>
      </c>
      <c r="F3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Helper'!$F$5:$F$3004,"""")&lt;&gt;""""),ROWS(F$5:F325)),IF(AND(LEFT(x,5)=""Page"&amp;" "",ISERROR(SEARCH(""–"",x))),x&amp;""–""&amp;REGEXEXTRACT(x,""[0-9]+$""),x)),"""")"),"")</f>
        <v/>
      </c>
      <c r="G325" s="163"/>
      <c r="H3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Helper'!$F$5:$F$3004,"""")&lt;&gt;""""),ROWS(H$5:H325)),"""")"),"")</f>
        <v/>
      </c>
    </row>
    <row r="326" ht="15.75" customHeight="1">
      <c r="A3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Helper'!$F$5:$F$3004,"""")&lt;&gt;""""),ROWS(A$5:A326)),"""")"),"")</f>
        <v/>
      </c>
      <c r="B3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Helper'!$F$5:$F$3004,"""")&lt;&gt;""""),ROWS(B$5:B326)),"""")"),"")</f>
        <v/>
      </c>
      <c r="C3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Helper'!$F$5:$F$3004,"""")&lt;&gt;""""),ROWS(C$5:C326)),"""")"),"")</f>
        <v/>
      </c>
      <c r="D3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Helper'!$F$5:$F$3004,"""")&lt;&gt;""""),ROWS(D$5:D326)),"""")"),"")</f>
        <v/>
      </c>
      <c r="E3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Helper'!$F$5:$F$3004,"""")&lt;&gt;""""),ROWS(E$5:E326)),"""")"),"")</f>
        <v/>
      </c>
      <c r="F3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Helper'!$F$5:$F$3004,"""")&lt;&gt;""""),ROWS(F$5:F326)),IF(AND(LEFT(x,5)=""Page"&amp;" "",ISERROR(SEARCH(""–"",x))),x&amp;""–""&amp;REGEXEXTRACT(x,""[0-9]+$""),x)),"""")"),"")</f>
        <v/>
      </c>
      <c r="G326" s="163"/>
      <c r="H3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Helper'!$F$5:$F$3004,"""")&lt;&gt;""""),ROWS(H$5:H326)),"""")"),"")</f>
        <v/>
      </c>
    </row>
    <row r="327" ht="15.75" customHeight="1">
      <c r="A3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Helper'!$F$5:$F$3004,"""")&lt;&gt;""""),ROWS(A$5:A327)),"""")"),"")</f>
        <v/>
      </c>
      <c r="B3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Helper'!$F$5:$F$3004,"""")&lt;&gt;""""),ROWS(B$5:B327)),"""")"),"")</f>
        <v/>
      </c>
      <c r="C3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Helper'!$F$5:$F$3004,"""")&lt;&gt;""""),ROWS(C$5:C327)),"""")"),"")</f>
        <v/>
      </c>
      <c r="D3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Helper'!$F$5:$F$3004,"""")&lt;&gt;""""),ROWS(D$5:D327)),"""")"),"")</f>
        <v/>
      </c>
      <c r="E3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Helper'!$F$5:$F$3004,"""")&lt;&gt;""""),ROWS(E$5:E327)),"""")"),"")</f>
        <v/>
      </c>
      <c r="F3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Helper'!$F$5:$F$3004,"""")&lt;&gt;""""),ROWS(F$5:F327)),IF(AND(LEFT(x,5)=""Page"&amp;" "",ISERROR(SEARCH(""–"",x))),x&amp;""–""&amp;REGEXEXTRACT(x,""[0-9]+$""),x)),"""")"),"")</f>
        <v/>
      </c>
      <c r="G327" s="163"/>
      <c r="H3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Helper'!$F$5:$F$3004,"""")&lt;&gt;""""),ROWS(H$5:H327)),"""")"),"")</f>
        <v/>
      </c>
    </row>
    <row r="328" ht="15.75" customHeight="1">
      <c r="A3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Helper'!$F$5:$F$3004,"""")&lt;&gt;""""),ROWS(A$5:A328)),"""")"),"")</f>
        <v/>
      </c>
      <c r="B3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Helper'!$F$5:$F$3004,"""")&lt;&gt;""""),ROWS(B$5:B328)),"""")"),"")</f>
        <v/>
      </c>
      <c r="C3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Helper'!$F$5:$F$3004,"""")&lt;&gt;""""),ROWS(C$5:C328)),"""")"),"")</f>
        <v/>
      </c>
      <c r="D3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Helper'!$F$5:$F$3004,"""")&lt;&gt;""""),ROWS(D$5:D328)),"""")"),"")</f>
        <v/>
      </c>
      <c r="E3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Helper'!$F$5:$F$3004,"""")&lt;&gt;""""),ROWS(E$5:E328)),"""")"),"")</f>
        <v/>
      </c>
      <c r="F3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Helper'!$F$5:$F$3004,"""")&lt;&gt;""""),ROWS(F$5:F328)),IF(AND(LEFT(x,5)=""Page"&amp;" "",ISERROR(SEARCH(""–"",x))),x&amp;""–""&amp;REGEXEXTRACT(x,""[0-9]+$""),x)),"""")"),"")</f>
        <v/>
      </c>
      <c r="G328" s="163"/>
      <c r="H3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Helper'!$F$5:$F$3004,"""")&lt;&gt;""""),ROWS(H$5:H328)),"""")"),"")</f>
        <v/>
      </c>
    </row>
    <row r="329" ht="15.75" customHeight="1">
      <c r="A3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Helper'!$F$5:$F$3004,"""")&lt;&gt;""""),ROWS(A$5:A329)),"""")"),"")</f>
        <v/>
      </c>
      <c r="B3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Helper'!$F$5:$F$3004,"""")&lt;&gt;""""),ROWS(B$5:B329)),"""")"),"")</f>
        <v/>
      </c>
      <c r="C3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Helper'!$F$5:$F$3004,"""")&lt;&gt;""""),ROWS(C$5:C329)),"""")"),"")</f>
        <v/>
      </c>
      <c r="D3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Helper'!$F$5:$F$3004,"""")&lt;&gt;""""),ROWS(D$5:D329)),"""")"),"")</f>
        <v/>
      </c>
      <c r="E3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Helper'!$F$5:$F$3004,"""")&lt;&gt;""""),ROWS(E$5:E329)),"""")"),"")</f>
        <v/>
      </c>
      <c r="F3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Helper'!$F$5:$F$3004,"""")&lt;&gt;""""),ROWS(F$5:F329)),IF(AND(LEFT(x,5)=""Page"&amp;" "",ISERROR(SEARCH(""–"",x))),x&amp;""–""&amp;REGEXEXTRACT(x,""[0-9]+$""),x)),"""")"),"")</f>
        <v/>
      </c>
      <c r="G329" s="163"/>
      <c r="H3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Helper'!$F$5:$F$3004,"""")&lt;&gt;""""),ROWS(H$5:H329)),"""")"),"")</f>
        <v/>
      </c>
    </row>
    <row r="330" ht="15.75" customHeight="1">
      <c r="A3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Helper'!$F$5:$F$3004,"""")&lt;&gt;""""),ROWS(A$5:A330)),"""")"),"")</f>
        <v/>
      </c>
      <c r="B3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Helper'!$F$5:$F$3004,"""")&lt;&gt;""""),ROWS(B$5:B330)),"""")"),"")</f>
        <v/>
      </c>
      <c r="C3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Helper'!$F$5:$F$3004,"""")&lt;&gt;""""),ROWS(C$5:C330)),"""")"),"")</f>
        <v/>
      </c>
      <c r="D3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Helper'!$F$5:$F$3004,"""")&lt;&gt;""""),ROWS(D$5:D330)),"""")"),"")</f>
        <v/>
      </c>
      <c r="E3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Helper'!$F$5:$F$3004,"""")&lt;&gt;""""),ROWS(E$5:E330)),"""")"),"")</f>
        <v/>
      </c>
      <c r="F3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Helper'!$F$5:$F$3004,"""")&lt;&gt;""""),ROWS(F$5:F330)),IF(AND(LEFT(x,5)=""Page"&amp;" "",ISERROR(SEARCH(""–"",x))),x&amp;""–""&amp;REGEXEXTRACT(x,""[0-9]+$""),x)),"""")"),"")</f>
        <v/>
      </c>
      <c r="G330" s="163"/>
      <c r="H3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Helper'!$F$5:$F$3004,"""")&lt;&gt;""""),ROWS(H$5:H330)),"""")"),"")</f>
        <v/>
      </c>
    </row>
    <row r="331" ht="15.75" customHeight="1">
      <c r="A3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Helper'!$F$5:$F$3004,"""")&lt;&gt;""""),ROWS(A$5:A331)),"""")"),"")</f>
        <v/>
      </c>
      <c r="B3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Helper'!$F$5:$F$3004,"""")&lt;&gt;""""),ROWS(B$5:B331)),"""")"),"")</f>
        <v/>
      </c>
      <c r="C3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Helper'!$F$5:$F$3004,"""")&lt;&gt;""""),ROWS(C$5:C331)),"""")"),"")</f>
        <v/>
      </c>
      <c r="D3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Helper'!$F$5:$F$3004,"""")&lt;&gt;""""),ROWS(D$5:D331)),"""")"),"")</f>
        <v/>
      </c>
      <c r="E3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Helper'!$F$5:$F$3004,"""")&lt;&gt;""""),ROWS(E$5:E331)),"""")"),"")</f>
        <v/>
      </c>
      <c r="F3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Helper'!$F$5:$F$3004,"""")&lt;&gt;""""),ROWS(F$5:F331)),IF(AND(LEFT(x,5)=""Page"&amp;" "",ISERROR(SEARCH(""–"",x))),x&amp;""–""&amp;REGEXEXTRACT(x,""[0-9]+$""),x)),"""")"),"")</f>
        <v/>
      </c>
      <c r="G331" s="163"/>
      <c r="H3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Helper'!$F$5:$F$3004,"""")&lt;&gt;""""),ROWS(H$5:H331)),"""")"),"")</f>
        <v/>
      </c>
    </row>
    <row r="332" ht="15.75" customHeight="1">
      <c r="A3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Helper'!$F$5:$F$3004,"""")&lt;&gt;""""),ROWS(A$5:A332)),"""")"),"")</f>
        <v/>
      </c>
      <c r="B3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Helper'!$F$5:$F$3004,"""")&lt;&gt;""""),ROWS(B$5:B332)),"""")"),"")</f>
        <v/>
      </c>
      <c r="C3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Helper'!$F$5:$F$3004,"""")&lt;&gt;""""),ROWS(C$5:C332)),"""")"),"")</f>
        <v/>
      </c>
      <c r="D3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Helper'!$F$5:$F$3004,"""")&lt;&gt;""""),ROWS(D$5:D332)),"""")"),"")</f>
        <v/>
      </c>
      <c r="E3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Helper'!$F$5:$F$3004,"""")&lt;&gt;""""),ROWS(E$5:E332)),"""")"),"")</f>
        <v/>
      </c>
      <c r="F3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Helper'!$F$5:$F$3004,"""")&lt;&gt;""""),ROWS(F$5:F332)),IF(AND(LEFT(x,5)=""Page"&amp;" "",ISERROR(SEARCH(""–"",x))),x&amp;""–""&amp;REGEXEXTRACT(x,""[0-9]+$""),x)),"""")"),"")</f>
        <v/>
      </c>
      <c r="G332" s="163"/>
      <c r="H3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Helper'!$F$5:$F$3004,"""")&lt;&gt;""""),ROWS(H$5:H332)),"""")"),"")</f>
        <v/>
      </c>
    </row>
    <row r="333" ht="15.75" customHeight="1">
      <c r="A3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Helper'!$F$5:$F$3004,"""")&lt;&gt;""""),ROWS(A$5:A333)),"""")"),"")</f>
        <v/>
      </c>
      <c r="B3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Helper'!$F$5:$F$3004,"""")&lt;&gt;""""),ROWS(B$5:B333)),"""")"),"")</f>
        <v/>
      </c>
      <c r="C3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Helper'!$F$5:$F$3004,"""")&lt;&gt;""""),ROWS(C$5:C333)),"""")"),"")</f>
        <v/>
      </c>
      <c r="D3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Helper'!$F$5:$F$3004,"""")&lt;&gt;""""),ROWS(D$5:D333)),"""")"),"")</f>
        <v/>
      </c>
      <c r="E3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Helper'!$F$5:$F$3004,"""")&lt;&gt;""""),ROWS(E$5:E333)),"""")"),"")</f>
        <v/>
      </c>
      <c r="F3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Helper'!$F$5:$F$3004,"""")&lt;&gt;""""),ROWS(F$5:F333)),IF(AND(LEFT(x,5)=""Page"&amp;" "",ISERROR(SEARCH(""–"",x))),x&amp;""–""&amp;REGEXEXTRACT(x,""[0-9]+$""),x)),"""")"),"")</f>
        <v/>
      </c>
      <c r="G333" s="163"/>
      <c r="H3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Helper'!$F$5:$F$3004,"""")&lt;&gt;""""),ROWS(H$5:H333)),"""")"),"")</f>
        <v/>
      </c>
    </row>
    <row r="334" ht="15.75" customHeight="1">
      <c r="A3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Helper'!$F$5:$F$3004,"""")&lt;&gt;""""),ROWS(A$5:A334)),"""")"),"")</f>
        <v/>
      </c>
      <c r="B3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Helper'!$F$5:$F$3004,"""")&lt;&gt;""""),ROWS(B$5:B334)),"""")"),"")</f>
        <v/>
      </c>
      <c r="C3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Helper'!$F$5:$F$3004,"""")&lt;&gt;""""),ROWS(C$5:C334)),"""")"),"")</f>
        <v/>
      </c>
      <c r="D3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Helper'!$F$5:$F$3004,"""")&lt;&gt;""""),ROWS(D$5:D334)),"""")"),"")</f>
        <v/>
      </c>
      <c r="E3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Helper'!$F$5:$F$3004,"""")&lt;&gt;""""),ROWS(E$5:E334)),"""")"),"")</f>
        <v/>
      </c>
      <c r="F3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Helper'!$F$5:$F$3004,"""")&lt;&gt;""""),ROWS(F$5:F334)),IF(AND(LEFT(x,5)=""Page"&amp;" "",ISERROR(SEARCH(""–"",x))),x&amp;""–""&amp;REGEXEXTRACT(x,""[0-9]+$""),x)),"""")"),"")</f>
        <v/>
      </c>
      <c r="G334" s="163"/>
      <c r="H3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Helper'!$F$5:$F$3004,"""")&lt;&gt;""""),ROWS(H$5:H334)),"""")"),"")</f>
        <v/>
      </c>
    </row>
    <row r="335" ht="15.75" customHeight="1">
      <c r="A3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Helper'!$F$5:$F$3004,"""")&lt;&gt;""""),ROWS(A$5:A335)),"""")"),"")</f>
        <v/>
      </c>
      <c r="B3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Helper'!$F$5:$F$3004,"""")&lt;&gt;""""),ROWS(B$5:B335)),"""")"),"")</f>
        <v/>
      </c>
      <c r="C3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Helper'!$F$5:$F$3004,"""")&lt;&gt;""""),ROWS(C$5:C335)),"""")"),"")</f>
        <v/>
      </c>
      <c r="D3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Helper'!$F$5:$F$3004,"""")&lt;&gt;""""),ROWS(D$5:D335)),"""")"),"")</f>
        <v/>
      </c>
      <c r="E3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Helper'!$F$5:$F$3004,"""")&lt;&gt;""""),ROWS(E$5:E335)),"""")"),"")</f>
        <v/>
      </c>
      <c r="F3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Helper'!$F$5:$F$3004,"""")&lt;&gt;""""),ROWS(F$5:F335)),IF(AND(LEFT(x,5)=""Page"&amp;" "",ISERROR(SEARCH(""–"",x))),x&amp;""–""&amp;REGEXEXTRACT(x,""[0-9]+$""),x)),"""")"),"")</f>
        <v/>
      </c>
      <c r="G335" s="163"/>
      <c r="H3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Helper'!$F$5:$F$3004,"""")&lt;&gt;""""),ROWS(H$5:H335)),"""")"),"")</f>
        <v/>
      </c>
    </row>
    <row r="336" ht="15.75" customHeight="1">
      <c r="A3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Helper'!$F$5:$F$3004,"""")&lt;&gt;""""),ROWS(A$5:A336)),"""")"),"")</f>
        <v/>
      </c>
      <c r="B3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Helper'!$F$5:$F$3004,"""")&lt;&gt;""""),ROWS(B$5:B336)),"""")"),"")</f>
        <v/>
      </c>
      <c r="C3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Helper'!$F$5:$F$3004,"""")&lt;&gt;""""),ROWS(C$5:C336)),"""")"),"")</f>
        <v/>
      </c>
      <c r="D3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Helper'!$F$5:$F$3004,"""")&lt;&gt;""""),ROWS(D$5:D336)),"""")"),"")</f>
        <v/>
      </c>
      <c r="E3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Helper'!$F$5:$F$3004,"""")&lt;&gt;""""),ROWS(E$5:E336)),"""")"),"")</f>
        <v/>
      </c>
      <c r="F3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Helper'!$F$5:$F$3004,"""")&lt;&gt;""""),ROWS(F$5:F336)),IF(AND(LEFT(x,5)=""Page"&amp;" "",ISERROR(SEARCH(""–"",x))),x&amp;""–""&amp;REGEXEXTRACT(x,""[0-9]+$""),x)),"""")"),"")</f>
        <v/>
      </c>
      <c r="G336" s="163"/>
      <c r="H3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Helper'!$F$5:$F$3004,"""")&lt;&gt;""""),ROWS(H$5:H336)),"""")"),"")</f>
        <v/>
      </c>
    </row>
    <row r="337" ht="15.75" customHeight="1">
      <c r="A3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Helper'!$F$5:$F$3004,"""")&lt;&gt;""""),ROWS(A$5:A337)),"""")"),"")</f>
        <v/>
      </c>
      <c r="B3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Helper'!$F$5:$F$3004,"""")&lt;&gt;""""),ROWS(B$5:B337)),"""")"),"")</f>
        <v/>
      </c>
      <c r="C3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Helper'!$F$5:$F$3004,"""")&lt;&gt;""""),ROWS(C$5:C337)),"""")"),"")</f>
        <v/>
      </c>
      <c r="D3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Helper'!$F$5:$F$3004,"""")&lt;&gt;""""),ROWS(D$5:D337)),"""")"),"")</f>
        <v/>
      </c>
      <c r="E3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Helper'!$F$5:$F$3004,"""")&lt;&gt;""""),ROWS(E$5:E337)),"""")"),"")</f>
        <v/>
      </c>
      <c r="F3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Helper'!$F$5:$F$3004,"""")&lt;&gt;""""),ROWS(F$5:F337)),IF(AND(LEFT(x,5)=""Page"&amp;" "",ISERROR(SEARCH(""–"",x))),x&amp;""–""&amp;REGEXEXTRACT(x,""[0-9]+$""),x)),"""")"),"")</f>
        <v/>
      </c>
      <c r="G337" s="163"/>
      <c r="H3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Helper'!$F$5:$F$3004,"""")&lt;&gt;""""),ROWS(H$5:H337)),"""")"),"")</f>
        <v/>
      </c>
    </row>
    <row r="338" ht="15.75" customHeight="1">
      <c r="A3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Helper'!$F$5:$F$3004,"""")&lt;&gt;""""),ROWS(A$5:A338)),"""")"),"")</f>
        <v/>
      </c>
      <c r="B3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Helper'!$F$5:$F$3004,"""")&lt;&gt;""""),ROWS(B$5:B338)),"""")"),"")</f>
        <v/>
      </c>
      <c r="C3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Helper'!$F$5:$F$3004,"""")&lt;&gt;""""),ROWS(C$5:C338)),"""")"),"")</f>
        <v/>
      </c>
      <c r="D3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Helper'!$F$5:$F$3004,"""")&lt;&gt;""""),ROWS(D$5:D338)),"""")"),"")</f>
        <v/>
      </c>
      <c r="E3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Helper'!$F$5:$F$3004,"""")&lt;&gt;""""),ROWS(E$5:E338)),"""")"),"")</f>
        <v/>
      </c>
      <c r="F3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Helper'!$F$5:$F$3004,"""")&lt;&gt;""""),ROWS(F$5:F338)),IF(AND(LEFT(x,5)=""Page"&amp;" "",ISERROR(SEARCH(""–"",x))),x&amp;""–""&amp;REGEXEXTRACT(x,""[0-9]+$""),x)),"""")"),"")</f>
        <v/>
      </c>
      <c r="G338" s="163"/>
      <c r="H3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Helper'!$F$5:$F$3004,"""")&lt;&gt;""""),ROWS(H$5:H338)),"""")"),"")</f>
        <v/>
      </c>
    </row>
    <row r="339" ht="15.75" customHeight="1">
      <c r="A3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Helper'!$F$5:$F$3004,"""")&lt;&gt;""""),ROWS(A$5:A339)),"""")"),"")</f>
        <v/>
      </c>
      <c r="B3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Helper'!$F$5:$F$3004,"""")&lt;&gt;""""),ROWS(B$5:B339)),"""")"),"")</f>
        <v/>
      </c>
      <c r="C3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Helper'!$F$5:$F$3004,"""")&lt;&gt;""""),ROWS(C$5:C339)),"""")"),"")</f>
        <v/>
      </c>
      <c r="D3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Helper'!$F$5:$F$3004,"""")&lt;&gt;""""),ROWS(D$5:D339)),"""")"),"")</f>
        <v/>
      </c>
      <c r="E3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Helper'!$F$5:$F$3004,"""")&lt;&gt;""""),ROWS(E$5:E339)),"""")"),"")</f>
        <v/>
      </c>
      <c r="F3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Helper'!$F$5:$F$3004,"""")&lt;&gt;""""),ROWS(F$5:F339)),IF(AND(LEFT(x,5)=""Page"&amp;" "",ISERROR(SEARCH(""–"",x))),x&amp;""–""&amp;REGEXEXTRACT(x,""[0-9]+$""),x)),"""")"),"")</f>
        <v/>
      </c>
      <c r="G339" s="163"/>
      <c r="H3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Helper'!$F$5:$F$3004,"""")&lt;&gt;""""),ROWS(H$5:H339)),"""")"),"")</f>
        <v/>
      </c>
    </row>
    <row r="340" ht="15.75" customHeight="1">
      <c r="A3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Helper'!$F$5:$F$3004,"""")&lt;&gt;""""),ROWS(A$5:A340)),"""")"),"")</f>
        <v/>
      </c>
      <c r="B3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Helper'!$F$5:$F$3004,"""")&lt;&gt;""""),ROWS(B$5:B340)),"""")"),"")</f>
        <v/>
      </c>
      <c r="C3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Helper'!$F$5:$F$3004,"""")&lt;&gt;""""),ROWS(C$5:C340)),"""")"),"")</f>
        <v/>
      </c>
      <c r="D3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Helper'!$F$5:$F$3004,"""")&lt;&gt;""""),ROWS(D$5:D340)),"""")"),"")</f>
        <v/>
      </c>
      <c r="E3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Helper'!$F$5:$F$3004,"""")&lt;&gt;""""),ROWS(E$5:E340)),"""")"),"")</f>
        <v/>
      </c>
      <c r="F3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Helper'!$F$5:$F$3004,"""")&lt;&gt;""""),ROWS(F$5:F340)),IF(AND(LEFT(x,5)=""Page"&amp;" "",ISERROR(SEARCH(""–"",x))),x&amp;""–""&amp;REGEXEXTRACT(x,""[0-9]+$""),x)),"""")"),"")</f>
        <v/>
      </c>
      <c r="G340" s="163"/>
      <c r="H3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Helper'!$F$5:$F$3004,"""")&lt;&gt;""""),ROWS(H$5:H340)),"""")"),"")</f>
        <v/>
      </c>
    </row>
    <row r="341" ht="15.75" customHeight="1">
      <c r="A3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Helper'!$F$5:$F$3004,"""")&lt;&gt;""""),ROWS(A$5:A341)),"""")"),"")</f>
        <v/>
      </c>
      <c r="B3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Helper'!$F$5:$F$3004,"""")&lt;&gt;""""),ROWS(B$5:B341)),"""")"),"")</f>
        <v/>
      </c>
      <c r="C3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Helper'!$F$5:$F$3004,"""")&lt;&gt;""""),ROWS(C$5:C341)),"""")"),"")</f>
        <v/>
      </c>
      <c r="D3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Helper'!$F$5:$F$3004,"""")&lt;&gt;""""),ROWS(D$5:D341)),"""")"),"")</f>
        <v/>
      </c>
      <c r="E3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Helper'!$F$5:$F$3004,"""")&lt;&gt;""""),ROWS(E$5:E341)),"""")"),"")</f>
        <v/>
      </c>
      <c r="F3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Helper'!$F$5:$F$3004,"""")&lt;&gt;""""),ROWS(F$5:F341)),IF(AND(LEFT(x,5)=""Page"&amp;" "",ISERROR(SEARCH(""–"",x))),x&amp;""–""&amp;REGEXEXTRACT(x,""[0-9]+$""),x)),"""")"),"")</f>
        <v/>
      </c>
      <c r="G341" s="163"/>
      <c r="H3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Helper'!$F$5:$F$3004,"""")&lt;&gt;""""),ROWS(H$5:H341)),"""")"),"")</f>
        <v/>
      </c>
    </row>
    <row r="342" ht="15.75" customHeight="1">
      <c r="A3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Helper'!$F$5:$F$3004,"""")&lt;&gt;""""),ROWS(A$5:A342)),"""")"),"")</f>
        <v/>
      </c>
      <c r="B3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Helper'!$F$5:$F$3004,"""")&lt;&gt;""""),ROWS(B$5:B342)),"""")"),"")</f>
        <v/>
      </c>
      <c r="C3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Helper'!$F$5:$F$3004,"""")&lt;&gt;""""),ROWS(C$5:C342)),"""")"),"")</f>
        <v/>
      </c>
      <c r="D3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Helper'!$F$5:$F$3004,"""")&lt;&gt;""""),ROWS(D$5:D342)),"""")"),"")</f>
        <v/>
      </c>
      <c r="E3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Helper'!$F$5:$F$3004,"""")&lt;&gt;""""),ROWS(E$5:E342)),"""")"),"")</f>
        <v/>
      </c>
      <c r="F3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Helper'!$F$5:$F$3004,"""")&lt;&gt;""""),ROWS(F$5:F342)),IF(AND(LEFT(x,5)=""Page"&amp;" "",ISERROR(SEARCH(""–"",x))),x&amp;""–""&amp;REGEXEXTRACT(x,""[0-9]+$""),x)),"""")"),"")</f>
        <v/>
      </c>
      <c r="G342" s="163"/>
      <c r="H3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Helper'!$F$5:$F$3004,"""")&lt;&gt;""""),ROWS(H$5:H342)),"""")"),"")</f>
        <v/>
      </c>
    </row>
    <row r="343" ht="15.75" customHeight="1">
      <c r="A3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Helper'!$F$5:$F$3004,"""")&lt;&gt;""""),ROWS(A$5:A343)),"""")"),"")</f>
        <v/>
      </c>
      <c r="B3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Helper'!$F$5:$F$3004,"""")&lt;&gt;""""),ROWS(B$5:B343)),"""")"),"")</f>
        <v/>
      </c>
      <c r="C3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Helper'!$F$5:$F$3004,"""")&lt;&gt;""""),ROWS(C$5:C343)),"""")"),"")</f>
        <v/>
      </c>
      <c r="D3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Helper'!$F$5:$F$3004,"""")&lt;&gt;""""),ROWS(D$5:D343)),"""")"),"")</f>
        <v/>
      </c>
      <c r="E3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Helper'!$F$5:$F$3004,"""")&lt;&gt;""""),ROWS(E$5:E343)),"""")"),"")</f>
        <v/>
      </c>
      <c r="F3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Helper'!$F$5:$F$3004,"""")&lt;&gt;""""),ROWS(F$5:F343)),IF(AND(LEFT(x,5)=""Page"&amp;" "",ISERROR(SEARCH(""–"",x))),x&amp;""–""&amp;REGEXEXTRACT(x,""[0-9]+$""),x)),"""")"),"")</f>
        <v/>
      </c>
      <c r="G343" s="163"/>
      <c r="H3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Helper'!$F$5:$F$3004,"""")&lt;&gt;""""),ROWS(H$5:H343)),"""")"),"")</f>
        <v/>
      </c>
    </row>
    <row r="344" ht="15.75" customHeight="1">
      <c r="A3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Helper'!$F$5:$F$3004,"""")&lt;&gt;""""),ROWS(A$5:A344)),"""")"),"")</f>
        <v/>
      </c>
      <c r="B3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Helper'!$F$5:$F$3004,"""")&lt;&gt;""""),ROWS(B$5:B344)),"""")"),"")</f>
        <v/>
      </c>
      <c r="C3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Helper'!$F$5:$F$3004,"""")&lt;&gt;""""),ROWS(C$5:C344)),"""")"),"")</f>
        <v/>
      </c>
      <c r="D3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Helper'!$F$5:$F$3004,"""")&lt;&gt;""""),ROWS(D$5:D344)),"""")"),"")</f>
        <v/>
      </c>
      <c r="E3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Helper'!$F$5:$F$3004,"""")&lt;&gt;""""),ROWS(E$5:E344)),"""")"),"")</f>
        <v/>
      </c>
      <c r="F3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Helper'!$F$5:$F$3004,"""")&lt;&gt;""""),ROWS(F$5:F344)),IF(AND(LEFT(x,5)=""Page"&amp;" "",ISERROR(SEARCH(""–"",x))),x&amp;""–""&amp;REGEXEXTRACT(x,""[0-9]+$""),x)),"""")"),"")</f>
        <v/>
      </c>
      <c r="G344" s="163"/>
      <c r="H3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Helper'!$F$5:$F$3004,"""")&lt;&gt;""""),ROWS(H$5:H344)),"""")"),"")</f>
        <v/>
      </c>
    </row>
    <row r="345" ht="15.75" customHeight="1">
      <c r="A3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Helper'!$F$5:$F$3004,"""")&lt;&gt;""""),ROWS(A$5:A345)),"""")"),"")</f>
        <v/>
      </c>
      <c r="B3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Helper'!$F$5:$F$3004,"""")&lt;&gt;""""),ROWS(B$5:B345)),"""")"),"")</f>
        <v/>
      </c>
      <c r="C3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Helper'!$F$5:$F$3004,"""")&lt;&gt;""""),ROWS(C$5:C345)),"""")"),"")</f>
        <v/>
      </c>
      <c r="D3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Helper'!$F$5:$F$3004,"""")&lt;&gt;""""),ROWS(D$5:D345)),"""")"),"")</f>
        <v/>
      </c>
      <c r="E3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Helper'!$F$5:$F$3004,"""")&lt;&gt;""""),ROWS(E$5:E345)),"""")"),"")</f>
        <v/>
      </c>
      <c r="F3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Helper'!$F$5:$F$3004,"""")&lt;&gt;""""),ROWS(F$5:F345)),IF(AND(LEFT(x,5)=""Page"&amp;" "",ISERROR(SEARCH(""–"",x))),x&amp;""–""&amp;REGEXEXTRACT(x,""[0-9]+$""),x)),"""")"),"")</f>
        <v/>
      </c>
      <c r="G345" s="163"/>
      <c r="H3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Helper'!$F$5:$F$3004,"""")&lt;&gt;""""),ROWS(H$5:H345)),"""")"),"")</f>
        <v/>
      </c>
    </row>
    <row r="346" ht="15.75" customHeight="1">
      <c r="A3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Helper'!$F$5:$F$3004,"""")&lt;&gt;""""),ROWS(A$5:A346)),"""")"),"")</f>
        <v/>
      </c>
      <c r="B3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Helper'!$F$5:$F$3004,"""")&lt;&gt;""""),ROWS(B$5:B346)),"""")"),"")</f>
        <v/>
      </c>
      <c r="C3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Helper'!$F$5:$F$3004,"""")&lt;&gt;""""),ROWS(C$5:C346)),"""")"),"")</f>
        <v/>
      </c>
      <c r="D3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Helper'!$F$5:$F$3004,"""")&lt;&gt;""""),ROWS(D$5:D346)),"""")"),"")</f>
        <v/>
      </c>
      <c r="E3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Helper'!$F$5:$F$3004,"""")&lt;&gt;""""),ROWS(E$5:E346)),"""")"),"")</f>
        <v/>
      </c>
      <c r="F3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Helper'!$F$5:$F$3004,"""")&lt;&gt;""""),ROWS(F$5:F346)),IF(AND(LEFT(x,5)=""Page"&amp;" "",ISERROR(SEARCH(""–"",x))),x&amp;""–""&amp;REGEXEXTRACT(x,""[0-9]+$""),x)),"""")"),"")</f>
        <v/>
      </c>
      <c r="G346" s="163"/>
      <c r="H3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Helper'!$F$5:$F$3004,"""")&lt;&gt;""""),ROWS(H$5:H346)),"""")"),"")</f>
        <v/>
      </c>
    </row>
    <row r="347" ht="15.75" customHeight="1">
      <c r="A3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Helper'!$F$5:$F$3004,"""")&lt;&gt;""""),ROWS(A$5:A347)),"""")"),"")</f>
        <v/>
      </c>
      <c r="B3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Helper'!$F$5:$F$3004,"""")&lt;&gt;""""),ROWS(B$5:B347)),"""")"),"")</f>
        <v/>
      </c>
      <c r="C3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Helper'!$F$5:$F$3004,"""")&lt;&gt;""""),ROWS(C$5:C347)),"""")"),"")</f>
        <v/>
      </c>
      <c r="D3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Helper'!$F$5:$F$3004,"""")&lt;&gt;""""),ROWS(D$5:D347)),"""")"),"")</f>
        <v/>
      </c>
      <c r="E3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Helper'!$F$5:$F$3004,"""")&lt;&gt;""""),ROWS(E$5:E347)),"""")"),"")</f>
        <v/>
      </c>
      <c r="F3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Helper'!$F$5:$F$3004,"""")&lt;&gt;""""),ROWS(F$5:F347)),IF(AND(LEFT(x,5)=""Page"&amp;" "",ISERROR(SEARCH(""–"",x))),x&amp;""–""&amp;REGEXEXTRACT(x,""[0-9]+$""),x)),"""")"),"")</f>
        <v/>
      </c>
      <c r="G347" s="163"/>
      <c r="H3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Helper'!$F$5:$F$3004,"""")&lt;&gt;""""),ROWS(H$5:H347)),"""")"),"")</f>
        <v/>
      </c>
    </row>
    <row r="348" ht="15.75" customHeight="1">
      <c r="A3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Helper'!$F$5:$F$3004,"""")&lt;&gt;""""),ROWS(A$5:A348)),"""")"),"")</f>
        <v/>
      </c>
      <c r="B3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Helper'!$F$5:$F$3004,"""")&lt;&gt;""""),ROWS(B$5:B348)),"""")"),"")</f>
        <v/>
      </c>
      <c r="C3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Helper'!$F$5:$F$3004,"""")&lt;&gt;""""),ROWS(C$5:C348)),"""")"),"")</f>
        <v/>
      </c>
      <c r="D3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Helper'!$F$5:$F$3004,"""")&lt;&gt;""""),ROWS(D$5:D348)),"""")"),"")</f>
        <v/>
      </c>
      <c r="E3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Helper'!$F$5:$F$3004,"""")&lt;&gt;""""),ROWS(E$5:E348)),"""")"),"")</f>
        <v/>
      </c>
      <c r="F3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Helper'!$F$5:$F$3004,"""")&lt;&gt;""""),ROWS(F$5:F348)),IF(AND(LEFT(x,5)=""Page"&amp;" "",ISERROR(SEARCH(""–"",x))),x&amp;""–""&amp;REGEXEXTRACT(x,""[0-9]+$""),x)),"""")"),"")</f>
        <v/>
      </c>
      <c r="G348" s="163"/>
      <c r="H3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Helper'!$F$5:$F$3004,"""")&lt;&gt;""""),ROWS(H$5:H348)),"""")"),"")</f>
        <v/>
      </c>
    </row>
    <row r="349" ht="15.75" customHeight="1">
      <c r="A3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Helper'!$F$5:$F$3004,"""")&lt;&gt;""""),ROWS(A$5:A349)),"""")"),"")</f>
        <v/>
      </c>
      <c r="B3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Helper'!$F$5:$F$3004,"""")&lt;&gt;""""),ROWS(B$5:B349)),"""")"),"")</f>
        <v/>
      </c>
      <c r="C3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Helper'!$F$5:$F$3004,"""")&lt;&gt;""""),ROWS(C$5:C349)),"""")"),"")</f>
        <v/>
      </c>
      <c r="D3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Helper'!$F$5:$F$3004,"""")&lt;&gt;""""),ROWS(D$5:D349)),"""")"),"")</f>
        <v/>
      </c>
      <c r="E3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Helper'!$F$5:$F$3004,"""")&lt;&gt;""""),ROWS(E$5:E349)),"""")"),"")</f>
        <v/>
      </c>
      <c r="F3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Helper'!$F$5:$F$3004,"""")&lt;&gt;""""),ROWS(F$5:F349)),IF(AND(LEFT(x,5)=""Page"&amp;" "",ISERROR(SEARCH(""–"",x))),x&amp;""–""&amp;REGEXEXTRACT(x,""[0-9]+$""),x)),"""")"),"")</f>
        <v/>
      </c>
      <c r="G349" s="163"/>
      <c r="H3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Helper'!$F$5:$F$3004,"""")&lt;&gt;""""),ROWS(H$5:H349)),"""")"),"")</f>
        <v/>
      </c>
    </row>
    <row r="350" ht="15.75" customHeight="1">
      <c r="A3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Helper'!$F$5:$F$3004,"""")&lt;&gt;""""),ROWS(A$5:A350)),"""")"),"")</f>
        <v/>
      </c>
      <c r="B3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Helper'!$F$5:$F$3004,"""")&lt;&gt;""""),ROWS(B$5:B350)),"""")"),"")</f>
        <v/>
      </c>
      <c r="C3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Helper'!$F$5:$F$3004,"""")&lt;&gt;""""),ROWS(C$5:C350)),"""")"),"")</f>
        <v/>
      </c>
      <c r="D3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Helper'!$F$5:$F$3004,"""")&lt;&gt;""""),ROWS(D$5:D350)),"""")"),"")</f>
        <v/>
      </c>
      <c r="E3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Helper'!$F$5:$F$3004,"""")&lt;&gt;""""),ROWS(E$5:E350)),"""")"),"")</f>
        <v/>
      </c>
      <c r="F3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Helper'!$F$5:$F$3004,"""")&lt;&gt;""""),ROWS(F$5:F350)),IF(AND(LEFT(x,5)=""Page"&amp;" "",ISERROR(SEARCH(""–"",x))),x&amp;""–""&amp;REGEXEXTRACT(x,""[0-9]+$""),x)),"""")"),"")</f>
        <v/>
      </c>
      <c r="G350" s="163"/>
      <c r="H3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Helper'!$F$5:$F$3004,"""")&lt;&gt;""""),ROWS(H$5:H350)),"""")"),"")</f>
        <v/>
      </c>
    </row>
    <row r="351" ht="15.75" customHeight="1">
      <c r="A3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Helper'!$F$5:$F$3004,"""")&lt;&gt;""""),ROWS(A$5:A351)),"""")"),"")</f>
        <v/>
      </c>
      <c r="B3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Helper'!$F$5:$F$3004,"""")&lt;&gt;""""),ROWS(B$5:B351)),"""")"),"")</f>
        <v/>
      </c>
      <c r="C3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Helper'!$F$5:$F$3004,"""")&lt;&gt;""""),ROWS(C$5:C351)),"""")"),"")</f>
        <v/>
      </c>
      <c r="D3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Helper'!$F$5:$F$3004,"""")&lt;&gt;""""),ROWS(D$5:D351)),"""")"),"")</f>
        <v/>
      </c>
      <c r="E3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Helper'!$F$5:$F$3004,"""")&lt;&gt;""""),ROWS(E$5:E351)),"""")"),"")</f>
        <v/>
      </c>
      <c r="F3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Helper'!$F$5:$F$3004,"""")&lt;&gt;""""),ROWS(F$5:F351)),IF(AND(LEFT(x,5)=""Page"&amp;" "",ISERROR(SEARCH(""–"",x))),x&amp;""–""&amp;REGEXEXTRACT(x,""[0-9]+$""),x)),"""")"),"")</f>
        <v/>
      </c>
      <c r="G351" s="163"/>
      <c r="H3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Helper'!$F$5:$F$3004,"""")&lt;&gt;""""),ROWS(H$5:H351)),"""")"),"")</f>
        <v/>
      </c>
    </row>
    <row r="352" ht="15.75" customHeight="1">
      <c r="A3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Helper'!$F$5:$F$3004,"""")&lt;&gt;""""),ROWS(A$5:A352)),"""")"),"")</f>
        <v/>
      </c>
      <c r="B3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Helper'!$F$5:$F$3004,"""")&lt;&gt;""""),ROWS(B$5:B352)),"""")"),"")</f>
        <v/>
      </c>
      <c r="C3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Helper'!$F$5:$F$3004,"""")&lt;&gt;""""),ROWS(C$5:C352)),"""")"),"")</f>
        <v/>
      </c>
      <c r="D3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Helper'!$F$5:$F$3004,"""")&lt;&gt;""""),ROWS(D$5:D352)),"""")"),"")</f>
        <v/>
      </c>
      <c r="E3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Helper'!$F$5:$F$3004,"""")&lt;&gt;""""),ROWS(E$5:E352)),"""")"),"")</f>
        <v/>
      </c>
      <c r="F3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Helper'!$F$5:$F$3004,"""")&lt;&gt;""""),ROWS(F$5:F352)),IF(AND(LEFT(x,5)=""Page"&amp;" "",ISERROR(SEARCH(""–"",x))),x&amp;""–""&amp;REGEXEXTRACT(x,""[0-9]+$""),x)),"""")"),"")</f>
        <v/>
      </c>
      <c r="G352" s="163"/>
      <c r="H3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Helper'!$F$5:$F$3004,"""")&lt;&gt;""""),ROWS(H$5:H352)),"""")"),"")</f>
        <v/>
      </c>
    </row>
    <row r="353" ht="15.75" customHeight="1">
      <c r="A3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Helper'!$F$5:$F$3004,"""")&lt;&gt;""""),ROWS(A$5:A353)),"""")"),"")</f>
        <v/>
      </c>
      <c r="B3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Helper'!$F$5:$F$3004,"""")&lt;&gt;""""),ROWS(B$5:B353)),"""")"),"")</f>
        <v/>
      </c>
      <c r="C3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Helper'!$F$5:$F$3004,"""")&lt;&gt;""""),ROWS(C$5:C353)),"""")"),"")</f>
        <v/>
      </c>
      <c r="D3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Helper'!$F$5:$F$3004,"""")&lt;&gt;""""),ROWS(D$5:D353)),"""")"),"")</f>
        <v/>
      </c>
      <c r="E3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Helper'!$F$5:$F$3004,"""")&lt;&gt;""""),ROWS(E$5:E353)),"""")"),"")</f>
        <v/>
      </c>
      <c r="F3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Helper'!$F$5:$F$3004,"""")&lt;&gt;""""),ROWS(F$5:F353)),IF(AND(LEFT(x,5)=""Page"&amp;" "",ISERROR(SEARCH(""–"",x))),x&amp;""–""&amp;REGEXEXTRACT(x,""[0-9]+$""),x)),"""")"),"")</f>
        <v/>
      </c>
      <c r="G353" s="163"/>
      <c r="H3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Helper'!$F$5:$F$3004,"""")&lt;&gt;""""),ROWS(H$5:H353)),"""")"),"")</f>
        <v/>
      </c>
    </row>
    <row r="354" ht="15.75" customHeight="1">
      <c r="A3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Helper'!$F$5:$F$3004,"""")&lt;&gt;""""),ROWS(A$5:A354)),"""")"),"")</f>
        <v/>
      </c>
      <c r="B3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Helper'!$F$5:$F$3004,"""")&lt;&gt;""""),ROWS(B$5:B354)),"""")"),"")</f>
        <v/>
      </c>
      <c r="C3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Helper'!$F$5:$F$3004,"""")&lt;&gt;""""),ROWS(C$5:C354)),"""")"),"")</f>
        <v/>
      </c>
      <c r="D3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Helper'!$F$5:$F$3004,"""")&lt;&gt;""""),ROWS(D$5:D354)),"""")"),"")</f>
        <v/>
      </c>
      <c r="E3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Helper'!$F$5:$F$3004,"""")&lt;&gt;""""),ROWS(E$5:E354)),"""")"),"")</f>
        <v/>
      </c>
      <c r="F3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Helper'!$F$5:$F$3004,"""")&lt;&gt;""""),ROWS(F$5:F354)),IF(AND(LEFT(x,5)=""Page"&amp;" "",ISERROR(SEARCH(""–"",x))),x&amp;""–""&amp;REGEXEXTRACT(x,""[0-9]+$""),x)),"""")"),"")</f>
        <v/>
      </c>
      <c r="G354" s="163"/>
      <c r="H3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Helper'!$F$5:$F$3004,"""")&lt;&gt;""""),ROWS(H$5:H354)),"""")"),"")</f>
        <v/>
      </c>
    </row>
    <row r="355" ht="15.75" customHeight="1">
      <c r="A3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Helper'!$F$5:$F$3004,"""")&lt;&gt;""""),ROWS(A$5:A355)),"""")"),"")</f>
        <v/>
      </c>
      <c r="B3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Helper'!$F$5:$F$3004,"""")&lt;&gt;""""),ROWS(B$5:B355)),"""")"),"")</f>
        <v/>
      </c>
      <c r="C3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Helper'!$F$5:$F$3004,"""")&lt;&gt;""""),ROWS(C$5:C355)),"""")"),"")</f>
        <v/>
      </c>
      <c r="D3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Helper'!$F$5:$F$3004,"""")&lt;&gt;""""),ROWS(D$5:D355)),"""")"),"")</f>
        <v/>
      </c>
      <c r="E3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Helper'!$F$5:$F$3004,"""")&lt;&gt;""""),ROWS(E$5:E355)),"""")"),"")</f>
        <v/>
      </c>
      <c r="F3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Helper'!$F$5:$F$3004,"""")&lt;&gt;""""),ROWS(F$5:F355)),IF(AND(LEFT(x,5)=""Page"&amp;" "",ISERROR(SEARCH(""–"",x))),x&amp;""–""&amp;REGEXEXTRACT(x,""[0-9]+$""),x)),"""")"),"")</f>
        <v/>
      </c>
      <c r="G355" s="163"/>
      <c r="H3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Helper'!$F$5:$F$3004,"""")&lt;&gt;""""),ROWS(H$5:H355)),"""")"),"")</f>
        <v/>
      </c>
    </row>
    <row r="356" ht="15.75" customHeight="1">
      <c r="A3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Helper'!$F$5:$F$3004,"""")&lt;&gt;""""),ROWS(A$5:A356)),"""")"),"")</f>
        <v/>
      </c>
      <c r="B3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Helper'!$F$5:$F$3004,"""")&lt;&gt;""""),ROWS(B$5:B356)),"""")"),"")</f>
        <v/>
      </c>
      <c r="C3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Helper'!$F$5:$F$3004,"""")&lt;&gt;""""),ROWS(C$5:C356)),"""")"),"")</f>
        <v/>
      </c>
      <c r="D3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Helper'!$F$5:$F$3004,"""")&lt;&gt;""""),ROWS(D$5:D356)),"""")"),"")</f>
        <v/>
      </c>
      <c r="E3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Helper'!$F$5:$F$3004,"""")&lt;&gt;""""),ROWS(E$5:E356)),"""")"),"")</f>
        <v/>
      </c>
      <c r="F3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Helper'!$F$5:$F$3004,"""")&lt;&gt;""""),ROWS(F$5:F356)),IF(AND(LEFT(x,5)=""Page"&amp;" "",ISERROR(SEARCH(""–"",x))),x&amp;""–""&amp;REGEXEXTRACT(x,""[0-9]+$""),x)),"""")"),"")</f>
        <v/>
      </c>
      <c r="G356" s="163"/>
      <c r="H3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Helper'!$F$5:$F$3004,"""")&lt;&gt;""""),ROWS(H$5:H356)),"""")"),"")</f>
        <v/>
      </c>
    </row>
    <row r="357" ht="15.75" customHeight="1">
      <c r="A3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Helper'!$F$5:$F$3004,"""")&lt;&gt;""""),ROWS(A$5:A357)),"""")"),"")</f>
        <v/>
      </c>
      <c r="B3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Helper'!$F$5:$F$3004,"""")&lt;&gt;""""),ROWS(B$5:B357)),"""")"),"")</f>
        <v/>
      </c>
      <c r="C3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Helper'!$F$5:$F$3004,"""")&lt;&gt;""""),ROWS(C$5:C357)),"""")"),"")</f>
        <v/>
      </c>
      <c r="D3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Helper'!$F$5:$F$3004,"""")&lt;&gt;""""),ROWS(D$5:D357)),"""")"),"")</f>
        <v/>
      </c>
      <c r="E3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Helper'!$F$5:$F$3004,"""")&lt;&gt;""""),ROWS(E$5:E357)),"""")"),"")</f>
        <v/>
      </c>
      <c r="F3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Helper'!$F$5:$F$3004,"""")&lt;&gt;""""),ROWS(F$5:F357)),IF(AND(LEFT(x,5)=""Page"&amp;" "",ISERROR(SEARCH(""–"",x))),x&amp;""–""&amp;REGEXEXTRACT(x,""[0-9]+$""),x)),"""")"),"")</f>
        <v/>
      </c>
      <c r="G357" s="163"/>
      <c r="H3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Helper'!$F$5:$F$3004,"""")&lt;&gt;""""),ROWS(H$5:H357)),"""")"),"")</f>
        <v/>
      </c>
    </row>
    <row r="358" ht="15.75" customHeight="1">
      <c r="A3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Helper'!$F$5:$F$3004,"""")&lt;&gt;""""),ROWS(A$5:A358)),"""")"),"")</f>
        <v/>
      </c>
      <c r="B3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Helper'!$F$5:$F$3004,"""")&lt;&gt;""""),ROWS(B$5:B358)),"""")"),"")</f>
        <v/>
      </c>
      <c r="C3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Helper'!$F$5:$F$3004,"""")&lt;&gt;""""),ROWS(C$5:C358)),"""")"),"")</f>
        <v/>
      </c>
      <c r="D3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Helper'!$F$5:$F$3004,"""")&lt;&gt;""""),ROWS(D$5:D358)),"""")"),"")</f>
        <v/>
      </c>
      <c r="E3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Helper'!$F$5:$F$3004,"""")&lt;&gt;""""),ROWS(E$5:E358)),"""")"),"")</f>
        <v/>
      </c>
      <c r="F3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Helper'!$F$5:$F$3004,"""")&lt;&gt;""""),ROWS(F$5:F358)),IF(AND(LEFT(x,5)=""Page"&amp;" "",ISERROR(SEARCH(""–"",x))),x&amp;""–""&amp;REGEXEXTRACT(x,""[0-9]+$""),x)),"""")"),"")</f>
        <v/>
      </c>
      <c r="G358" s="163"/>
      <c r="H3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Helper'!$F$5:$F$3004,"""")&lt;&gt;""""),ROWS(H$5:H358)),"""")"),"")</f>
        <v/>
      </c>
    </row>
    <row r="359" ht="15.75" customHeight="1">
      <c r="A3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Helper'!$F$5:$F$3004,"""")&lt;&gt;""""),ROWS(A$5:A359)),"""")"),"")</f>
        <v/>
      </c>
      <c r="B3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Helper'!$F$5:$F$3004,"""")&lt;&gt;""""),ROWS(B$5:B359)),"""")"),"")</f>
        <v/>
      </c>
      <c r="C3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Helper'!$F$5:$F$3004,"""")&lt;&gt;""""),ROWS(C$5:C359)),"""")"),"")</f>
        <v/>
      </c>
      <c r="D3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Helper'!$F$5:$F$3004,"""")&lt;&gt;""""),ROWS(D$5:D359)),"""")"),"")</f>
        <v/>
      </c>
      <c r="E3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Helper'!$F$5:$F$3004,"""")&lt;&gt;""""),ROWS(E$5:E359)),"""")"),"")</f>
        <v/>
      </c>
      <c r="F3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Helper'!$F$5:$F$3004,"""")&lt;&gt;""""),ROWS(F$5:F359)),IF(AND(LEFT(x,5)=""Page"&amp;" "",ISERROR(SEARCH(""–"",x))),x&amp;""–""&amp;REGEXEXTRACT(x,""[0-9]+$""),x)),"""")"),"")</f>
        <v/>
      </c>
      <c r="G359" s="163"/>
      <c r="H3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Helper'!$F$5:$F$3004,"""")&lt;&gt;""""),ROWS(H$5:H359)),"""")"),"")</f>
        <v/>
      </c>
    </row>
    <row r="360" ht="15.75" customHeight="1">
      <c r="A3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Helper'!$F$5:$F$3004,"""")&lt;&gt;""""),ROWS(A$5:A360)),"""")"),"")</f>
        <v/>
      </c>
      <c r="B3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Helper'!$F$5:$F$3004,"""")&lt;&gt;""""),ROWS(B$5:B360)),"""")"),"")</f>
        <v/>
      </c>
      <c r="C3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Helper'!$F$5:$F$3004,"""")&lt;&gt;""""),ROWS(C$5:C360)),"""")"),"")</f>
        <v/>
      </c>
      <c r="D3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Helper'!$F$5:$F$3004,"""")&lt;&gt;""""),ROWS(D$5:D360)),"""")"),"")</f>
        <v/>
      </c>
      <c r="E3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Helper'!$F$5:$F$3004,"""")&lt;&gt;""""),ROWS(E$5:E360)),"""")"),"")</f>
        <v/>
      </c>
      <c r="F3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Helper'!$F$5:$F$3004,"""")&lt;&gt;""""),ROWS(F$5:F360)),IF(AND(LEFT(x,5)=""Page"&amp;" "",ISERROR(SEARCH(""–"",x))),x&amp;""–""&amp;REGEXEXTRACT(x,""[0-9]+$""),x)),"""")"),"")</f>
        <v/>
      </c>
      <c r="G360" s="163"/>
      <c r="H3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Helper'!$F$5:$F$3004,"""")&lt;&gt;""""),ROWS(H$5:H360)),"""")"),"")</f>
        <v/>
      </c>
    </row>
    <row r="361" ht="15.75" customHeight="1">
      <c r="A3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Helper'!$F$5:$F$3004,"""")&lt;&gt;""""),ROWS(A$5:A361)),"""")"),"")</f>
        <v/>
      </c>
      <c r="B3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Helper'!$F$5:$F$3004,"""")&lt;&gt;""""),ROWS(B$5:B361)),"""")"),"")</f>
        <v/>
      </c>
      <c r="C3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Helper'!$F$5:$F$3004,"""")&lt;&gt;""""),ROWS(C$5:C361)),"""")"),"")</f>
        <v/>
      </c>
      <c r="D3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Helper'!$F$5:$F$3004,"""")&lt;&gt;""""),ROWS(D$5:D361)),"""")"),"")</f>
        <v/>
      </c>
      <c r="E3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Helper'!$F$5:$F$3004,"""")&lt;&gt;""""),ROWS(E$5:E361)),"""")"),"")</f>
        <v/>
      </c>
      <c r="F3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Helper'!$F$5:$F$3004,"""")&lt;&gt;""""),ROWS(F$5:F361)),IF(AND(LEFT(x,5)=""Page"&amp;" "",ISERROR(SEARCH(""–"",x))),x&amp;""–""&amp;REGEXEXTRACT(x,""[0-9]+$""),x)),"""")"),"")</f>
        <v/>
      </c>
      <c r="G361" s="163"/>
      <c r="H3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Helper'!$F$5:$F$3004,"""")&lt;&gt;""""),ROWS(H$5:H361)),"""")"),"")</f>
        <v/>
      </c>
    </row>
    <row r="362" ht="15.75" customHeight="1">
      <c r="A3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Helper'!$F$5:$F$3004,"""")&lt;&gt;""""),ROWS(A$5:A362)),"""")"),"")</f>
        <v/>
      </c>
      <c r="B3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Helper'!$F$5:$F$3004,"""")&lt;&gt;""""),ROWS(B$5:B362)),"""")"),"")</f>
        <v/>
      </c>
      <c r="C3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Helper'!$F$5:$F$3004,"""")&lt;&gt;""""),ROWS(C$5:C362)),"""")"),"")</f>
        <v/>
      </c>
      <c r="D3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Helper'!$F$5:$F$3004,"""")&lt;&gt;""""),ROWS(D$5:D362)),"""")"),"")</f>
        <v/>
      </c>
      <c r="E3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Helper'!$F$5:$F$3004,"""")&lt;&gt;""""),ROWS(E$5:E362)),"""")"),"")</f>
        <v/>
      </c>
      <c r="F3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Helper'!$F$5:$F$3004,"""")&lt;&gt;""""),ROWS(F$5:F362)),IF(AND(LEFT(x,5)=""Page"&amp;" "",ISERROR(SEARCH(""–"",x))),x&amp;""–""&amp;REGEXEXTRACT(x,""[0-9]+$""),x)),"""")"),"")</f>
        <v/>
      </c>
      <c r="G362" s="163"/>
      <c r="H3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Helper'!$F$5:$F$3004,"""")&lt;&gt;""""),ROWS(H$5:H362)),"""")"),"")</f>
        <v/>
      </c>
    </row>
    <row r="363" ht="15.75" customHeight="1">
      <c r="A3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Helper'!$F$5:$F$3004,"""")&lt;&gt;""""),ROWS(A$5:A363)),"""")"),"")</f>
        <v/>
      </c>
      <c r="B3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Helper'!$F$5:$F$3004,"""")&lt;&gt;""""),ROWS(B$5:B363)),"""")"),"")</f>
        <v/>
      </c>
      <c r="C3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Helper'!$F$5:$F$3004,"""")&lt;&gt;""""),ROWS(C$5:C363)),"""")"),"")</f>
        <v/>
      </c>
      <c r="D3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Helper'!$F$5:$F$3004,"""")&lt;&gt;""""),ROWS(D$5:D363)),"""")"),"")</f>
        <v/>
      </c>
      <c r="E3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Helper'!$F$5:$F$3004,"""")&lt;&gt;""""),ROWS(E$5:E363)),"""")"),"")</f>
        <v/>
      </c>
      <c r="F3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Helper'!$F$5:$F$3004,"""")&lt;&gt;""""),ROWS(F$5:F363)),IF(AND(LEFT(x,5)=""Page"&amp;" "",ISERROR(SEARCH(""–"",x))),x&amp;""–""&amp;REGEXEXTRACT(x,""[0-9]+$""),x)),"""")"),"")</f>
        <v/>
      </c>
      <c r="G363" s="163"/>
      <c r="H3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Helper'!$F$5:$F$3004,"""")&lt;&gt;""""),ROWS(H$5:H363)),"""")"),"")</f>
        <v/>
      </c>
    </row>
    <row r="364" ht="15.75" customHeight="1">
      <c r="A3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Helper'!$F$5:$F$3004,"""")&lt;&gt;""""),ROWS(A$5:A364)),"""")"),"")</f>
        <v/>
      </c>
      <c r="B3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Helper'!$F$5:$F$3004,"""")&lt;&gt;""""),ROWS(B$5:B364)),"""")"),"")</f>
        <v/>
      </c>
      <c r="C3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Helper'!$F$5:$F$3004,"""")&lt;&gt;""""),ROWS(C$5:C364)),"""")"),"")</f>
        <v/>
      </c>
      <c r="D3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Helper'!$F$5:$F$3004,"""")&lt;&gt;""""),ROWS(D$5:D364)),"""")"),"")</f>
        <v/>
      </c>
      <c r="E3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Helper'!$F$5:$F$3004,"""")&lt;&gt;""""),ROWS(E$5:E364)),"""")"),"")</f>
        <v/>
      </c>
      <c r="F3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Helper'!$F$5:$F$3004,"""")&lt;&gt;""""),ROWS(F$5:F364)),IF(AND(LEFT(x,5)=""Page"&amp;" "",ISERROR(SEARCH(""–"",x))),x&amp;""–""&amp;REGEXEXTRACT(x,""[0-9]+$""),x)),"""")"),"")</f>
        <v/>
      </c>
      <c r="G364" s="163"/>
      <c r="H3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Helper'!$F$5:$F$3004,"""")&lt;&gt;""""),ROWS(H$5:H364)),"""")"),"")</f>
        <v/>
      </c>
    </row>
    <row r="365" ht="15.75" customHeight="1">
      <c r="A3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Helper'!$F$5:$F$3004,"""")&lt;&gt;""""),ROWS(A$5:A365)),"""")"),"")</f>
        <v/>
      </c>
      <c r="B3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Helper'!$F$5:$F$3004,"""")&lt;&gt;""""),ROWS(B$5:B365)),"""")"),"")</f>
        <v/>
      </c>
      <c r="C3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Helper'!$F$5:$F$3004,"""")&lt;&gt;""""),ROWS(C$5:C365)),"""")"),"")</f>
        <v/>
      </c>
      <c r="D3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Helper'!$F$5:$F$3004,"""")&lt;&gt;""""),ROWS(D$5:D365)),"""")"),"")</f>
        <v/>
      </c>
      <c r="E3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Helper'!$F$5:$F$3004,"""")&lt;&gt;""""),ROWS(E$5:E365)),"""")"),"")</f>
        <v/>
      </c>
      <c r="F3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Helper'!$F$5:$F$3004,"""")&lt;&gt;""""),ROWS(F$5:F365)),IF(AND(LEFT(x,5)=""Page"&amp;" "",ISERROR(SEARCH(""–"",x))),x&amp;""–""&amp;REGEXEXTRACT(x,""[0-9]+$""),x)),"""")"),"")</f>
        <v/>
      </c>
      <c r="G365" s="163"/>
      <c r="H3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Helper'!$F$5:$F$3004,"""")&lt;&gt;""""),ROWS(H$5:H365)),"""")"),"")</f>
        <v/>
      </c>
    </row>
    <row r="366" ht="15.75" customHeight="1">
      <c r="A3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Helper'!$F$5:$F$3004,"""")&lt;&gt;""""),ROWS(A$5:A366)),"""")"),"")</f>
        <v/>
      </c>
      <c r="B3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Helper'!$F$5:$F$3004,"""")&lt;&gt;""""),ROWS(B$5:B366)),"""")"),"")</f>
        <v/>
      </c>
      <c r="C3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Helper'!$F$5:$F$3004,"""")&lt;&gt;""""),ROWS(C$5:C366)),"""")"),"")</f>
        <v/>
      </c>
      <c r="D3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Helper'!$F$5:$F$3004,"""")&lt;&gt;""""),ROWS(D$5:D366)),"""")"),"")</f>
        <v/>
      </c>
      <c r="E3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Helper'!$F$5:$F$3004,"""")&lt;&gt;""""),ROWS(E$5:E366)),"""")"),"")</f>
        <v/>
      </c>
      <c r="F3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Helper'!$F$5:$F$3004,"""")&lt;&gt;""""),ROWS(F$5:F366)),IF(AND(LEFT(x,5)=""Page"&amp;" "",ISERROR(SEARCH(""–"",x))),x&amp;""–""&amp;REGEXEXTRACT(x,""[0-9]+$""),x)),"""")"),"")</f>
        <v/>
      </c>
      <c r="G366" s="163"/>
      <c r="H3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Helper'!$F$5:$F$3004,"""")&lt;&gt;""""),ROWS(H$5:H366)),"""")"),"")</f>
        <v/>
      </c>
    </row>
    <row r="367" ht="15.75" customHeight="1">
      <c r="A3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Helper'!$F$5:$F$3004,"""")&lt;&gt;""""),ROWS(A$5:A367)),"""")"),"")</f>
        <v/>
      </c>
      <c r="B3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Helper'!$F$5:$F$3004,"""")&lt;&gt;""""),ROWS(B$5:B367)),"""")"),"")</f>
        <v/>
      </c>
      <c r="C3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Helper'!$F$5:$F$3004,"""")&lt;&gt;""""),ROWS(C$5:C367)),"""")"),"")</f>
        <v/>
      </c>
      <c r="D3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Helper'!$F$5:$F$3004,"""")&lt;&gt;""""),ROWS(D$5:D367)),"""")"),"")</f>
        <v/>
      </c>
      <c r="E3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Helper'!$F$5:$F$3004,"""")&lt;&gt;""""),ROWS(E$5:E367)),"""")"),"")</f>
        <v/>
      </c>
      <c r="F3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Helper'!$F$5:$F$3004,"""")&lt;&gt;""""),ROWS(F$5:F367)),IF(AND(LEFT(x,5)=""Page"&amp;" "",ISERROR(SEARCH(""–"",x))),x&amp;""–""&amp;REGEXEXTRACT(x,""[0-9]+$""),x)),"""")"),"")</f>
        <v/>
      </c>
      <c r="G367" s="163"/>
      <c r="H3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Helper'!$F$5:$F$3004,"""")&lt;&gt;""""),ROWS(H$5:H367)),"""")"),"")</f>
        <v/>
      </c>
    </row>
    <row r="368" ht="15.75" customHeight="1">
      <c r="A3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Helper'!$F$5:$F$3004,"""")&lt;&gt;""""),ROWS(A$5:A368)),"""")"),"")</f>
        <v/>
      </c>
      <c r="B3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Helper'!$F$5:$F$3004,"""")&lt;&gt;""""),ROWS(B$5:B368)),"""")"),"")</f>
        <v/>
      </c>
      <c r="C3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Helper'!$F$5:$F$3004,"""")&lt;&gt;""""),ROWS(C$5:C368)),"""")"),"")</f>
        <v/>
      </c>
      <c r="D3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Helper'!$F$5:$F$3004,"""")&lt;&gt;""""),ROWS(D$5:D368)),"""")"),"")</f>
        <v/>
      </c>
      <c r="E3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Helper'!$F$5:$F$3004,"""")&lt;&gt;""""),ROWS(E$5:E368)),"""")"),"")</f>
        <v/>
      </c>
      <c r="F3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Helper'!$F$5:$F$3004,"""")&lt;&gt;""""),ROWS(F$5:F368)),IF(AND(LEFT(x,5)=""Page"&amp;" "",ISERROR(SEARCH(""–"",x))),x&amp;""–""&amp;REGEXEXTRACT(x,""[0-9]+$""),x)),"""")"),"")</f>
        <v/>
      </c>
      <c r="G368" s="163"/>
      <c r="H3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Helper'!$F$5:$F$3004,"""")&lt;&gt;""""),ROWS(H$5:H368)),"""")"),"")</f>
        <v/>
      </c>
    </row>
    <row r="369" ht="15.75" customHeight="1">
      <c r="A3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Helper'!$F$5:$F$3004,"""")&lt;&gt;""""),ROWS(A$5:A369)),"""")"),"")</f>
        <v/>
      </c>
      <c r="B3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Helper'!$F$5:$F$3004,"""")&lt;&gt;""""),ROWS(B$5:B369)),"""")"),"")</f>
        <v/>
      </c>
      <c r="C3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Helper'!$F$5:$F$3004,"""")&lt;&gt;""""),ROWS(C$5:C369)),"""")"),"")</f>
        <v/>
      </c>
      <c r="D3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Helper'!$F$5:$F$3004,"""")&lt;&gt;""""),ROWS(D$5:D369)),"""")"),"")</f>
        <v/>
      </c>
      <c r="E3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Helper'!$F$5:$F$3004,"""")&lt;&gt;""""),ROWS(E$5:E369)),"""")"),"")</f>
        <v/>
      </c>
      <c r="F3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Helper'!$F$5:$F$3004,"""")&lt;&gt;""""),ROWS(F$5:F369)),IF(AND(LEFT(x,5)=""Page"&amp;" "",ISERROR(SEARCH(""–"",x))),x&amp;""–""&amp;REGEXEXTRACT(x,""[0-9]+$""),x)),"""")"),"")</f>
        <v/>
      </c>
      <c r="G369" s="163"/>
      <c r="H3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Helper'!$F$5:$F$3004,"""")&lt;&gt;""""),ROWS(H$5:H369)),"""")"),"")</f>
        <v/>
      </c>
    </row>
    <row r="370" ht="15.75" customHeight="1">
      <c r="A3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Helper'!$F$5:$F$3004,"""")&lt;&gt;""""),ROWS(A$5:A370)),"""")"),"")</f>
        <v/>
      </c>
      <c r="B3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Helper'!$F$5:$F$3004,"""")&lt;&gt;""""),ROWS(B$5:B370)),"""")"),"")</f>
        <v/>
      </c>
      <c r="C3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Helper'!$F$5:$F$3004,"""")&lt;&gt;""""),ROWS(C$5:C370)),"""")"),"")</f>
        <v/>
      </c>
      <c r="D3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Helper'!$F$5:$F$3004,"""")&lt;&gt;""""),ROWS(D$5:D370)),"""")"),"")</f>
        <v/>
      </c>
      <c r="E3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Helper'!$F$5:$F$3004,"""")&lt;&gt;""""),ROWS(E$5:E370)),"""")"),"")</f>
        <v/>
      </c>
      <c r="F3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Helper'!$F$5:$F$3004,"""")&lt;&gt;""""),ROWS(F$5:F370)),IF(AND(LEFT(x,5)=""Page"&amp;" "",ISERROR(SEARCH(""–"",x))),x&amp;""–""&amp;REGEXEXTRACT(x,""[0-9]+$""),x)),"""")"),"")</f>
        <v/>
      </c>
      <c r="G370" s="163"/>
      <c r="H3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Helper'!$F$5:$F$3004,"""")&lt;&gt;""""),ROWS(H$5:H370)),"""")"),"")</f>
        <v/>
      </c>
    </row>
    <row r="371" ht="15.75" customHeight="1">
      <c r="A3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Helper'!$F$5:$F$3004,"""")&lt;&gt;""""),ROWS(A$5:A371)),"""")"),"")</f>
        <v/>
      </c>
      <c r="B3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Helper'!$F$5:$F$3004,"""")&lt;&gt;""""),ROWS(B$5:B371)),"""")"),"")</f>
        <v/>
      </c>
      <c r="C3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Helper'!$F$5:$F$3004,"""")&lt;&gt;""""),ROWS(C$5:C371)),"""")"),"")</f>
        <v/>
      </c>
      <c r="D3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Helper'!$F$5:$F$3004,"""")&lt;&gt;""""),ROWS(D$5:D371)),"""")"),"")</f>
        <v/>
      </c>
      <c r="E3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Helper'!$F$5:$F$3004,"""")&lt;&gt;""""),ROWS(E$5:E371)),"""")"),"")</f>
        <v/>
      </c>
      <c r="F3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Helper'!$F$5:$F$3004,"""")&lt;&gt;""""),ROWS(F$5:F371)),IF(AND(LEFT(x,5)=""Page"&amp;" "",ISERROR(SEARCH(""–"",x))),x&amp;""–""&amp;REGEXEXTRACT(x,""[0-9]+$""),x)),"""")"),"")</f>
        <v/>
      </c>
      <c r="G371" s="163"/>
      <c r="H3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Helper'!$F$5:$F$3004,"""")&lt;&gt;""""),ROWS(H$5:H371)),"""")"),"")</f>
        <v/>
      </c>
    </row>
    <row r="372" ht="15.75" customHeight="1">
      <c r="A3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Helper'!$F$5:$F$3004,"""")&lt;&gt;""""),ROWS(A$5:A372)),"""")"),"")</f>
        <v/>
      </c>
      <c r="B3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Helper'!$F$5:$F$3004,"""")&lt;&gt;""""),ROWS(B$5:B372)),"""")"),"")</f>
        <v/>
      </c>
      <c r="C3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Helper'!$F$5:$F$3004,"""")&lt;&gt;""""),ROWS(C$5:C372)),"""")"),"")</f>
        <v/>
      </c>
      <c r="D3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Helper'!$F$5:$F$3004,"""")&lt;&gt;""""),ROWS(D$5:D372)),"""")"),"")</f>
        <v/>
      </c>
      <c r="E3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Helper'!$F$5:$F$3004,"""")&lt;&gt;""""),ROWS(E$5:E372)),"""")"),"")</f>
        <v/>
      </c>
      <c r="F3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Helper'!$F$5:$F$3004,"""")&lt;&gt;""""),ROWS(F$5:F372)),IF(AND(LEFT(x,5)=""Page"&amp;" "",ISERROR(SEARCH(""–"",x))),x&amp;""–""&amp;REGEXEXTRACT(x,""[0-9]+$""),x)),"""")"),"")</f>
        <v/>
      </c>
      <c r="G372" s="163"/>
      <c r="H3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Helper'!$F$5:$F$3004,"""")&lt;&gt;""""),ROWS(H$5:H372)),"""")"),"")</f>
        <v/>
      </c>
    </row>
    <row r="373" ht="15.75" customHeight="1">
      <c r="A3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Helper'!$F$5:$F$3004,"""")&lt;&gt;""""),ROWS(A$5:A373)),"""")"),"")</f>
        <v/>
      </c>
      <c r="B3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Helper'!$F$5:$F$3004,"""")&lt;&gt;""""),ROWS(B$5:B373)),"""")"),"")</f>
        <v/>
      </c>
      <c r="C3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Helper'!$F$5:$F$3004,"""")&lt;&gt;""""),ROWS(C$5:C373)),"""")"),"")</f>
        <v/>
      </c>
      <c r="D3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Helper'!$F$5:$F$3004,"""")&lt;&gt;""""),ROWS(D$5:D373)),"""")"),"")</f>
        <v/>
      </c>
      <c r="E3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Helper'!$F$5:$F$3004,"""")&lt;&gt;""""),ROWS(E$5:E373)),"""")"),"")</f>
        <v/>
      </c>
      <c r="F3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Helper'!$F$5:$F$3004,"""")&lt;&gt;""""),ROWS(F$5:F373)),IF(AND(LEFT(x,5)=""Page"&amp;" "",ISERROR(SEARCH(""–"",x))),x&amp;""–""&amp;REGEXEXTRACT(x,""[0-9]+$""),x)),"""")"),"")</f>
        <v/>
      </c>
      <c r="G373" s="163"/>
      <c r="H3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Helper'!$F$5:$F$3004,"""")&lt;&gt;""""),ROWS(H$5:H373)),"""")"),"")</f>
        <v/>
      </c>
    </row>
    <row r="374" ht="15.75" customHeight="1">
      <c r="A3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Helper'!$F$5:$F$3004,"""")&lt;&gt;""""),ROWS(A$5:A374)),"""")"),"")</f>
        <v/>
      </c>
      <c r="B3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Helper'!$F$5:$F$3004,"""")&lt;&gt;""""),ROWS(B$5:B374)),"""")"),"")</f>
        <v/>
      </c>
      <c r="C3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Helper'!$F$5:$F$3004,"""")&lt;&gt;""""),ROWS(C$5:C374)),"""")"),"")</f>
        <v/>
      </c>
      <c r="D3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Helper'!$F$5:$F$3004,"""")&lt;&gt;""""),ROWS(D$5:D374)),"""")"),"")</f>
        <v/>
      </c>
      <c r="E3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Helper'!$F$5:$F$3004,"""")&lt;&gt;""""),ROWS(E$5:E374)),"""")"),"")</f>
        <v/>
      </c>
      <c r="F3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Helper'!$F$5:$F$3004,"""")&lt;&gt;""""),ROWS(F$5:F374)),IF(AND(LEFT(x,5)=""Page"&amp;" "",ISERROR(SEARCH(""–"",x))),x&amp;""–""&amp;REGEXEXTRACT(x,""[0-9]+$""),x)),"""")"),"")</f>
        <v/>
      </c>
      <c r="G374" s="163"/>
      <c r="H3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Helper'!$F$5:$F$3004,"""")&lt;&gt;""""),ROWS(H$5:H374)),"""")"),"")</f>
        <v/>
      </c>
    </row>
    <row r="375" ht="15.75" customHeight="1">
      <c r="A3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Helper'!$F$5:$F$3004,"""")&lt;&gt;""""),ROWS(A$5:A375)),"""")"),"")</f>
        <v/>
      </c>
      <c r="B3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Helper'!$F$5:$F$3004,"""")&lt;&gt;""""),ROWS(B$5:B375)),"""")"),"")</f>
        <v/>
      </c>
      <c r="C3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Helper'!$F$5:$F$3004,"""")&lt;&gt;""""),ROWS(C$5:C375)),"""")"),"")</f>
        <v/>
      </c>
      <c r="D3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Helper'!$F$5:$F$3004,"""")&lt;&gt;""""),ROWS(D$5:D375)),"""")"),"")</f>
        <v/>
      </c>
      <c r="E3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Helper'!$F$5:$F$3004,"""")&lt;&gt;""""),ROWS(E$5:E375)),"""")"),"")</f>
        <v/>
      </c>
      <c r="F3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Helper'!$F$5:$F$3004,"""")&lt;&gt;""""),ROWS(F$5:F375)),IF(AND(LEFT(x,5)=""Page"&amp;" "",ISERROR(SEARCH(""–"",x))),x&amp;""–""&amp;REGEXEXTRACT(x,""[0-9]+$""),x)),"""")"),"")</f>
        <v/>
      </c>
      <c r="G375" s="163"/>
      <c r="H3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Helper'!$F$5:$F$3004,"""")&lt;&gt;""""),ROWS(H$5:H375)),"""")"),"")</f>
        <v/>
      </c>
    </row>
    <row r="376" ht="15.75" customHeight="1">
      <c r="A3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Helper'!$F$5:$F$3004,"""")&lt;&gt;""""),ROWS(A$5:A376)),"""")"),"")</f>
        <v/>
      </c>
      <c r="B3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Helper'!$F$5:$F$3004,"""")&lt;&gt;""""),ROWS(B$5:B376)),"""")"),"")</f>
        <v/>
      </c>
      <c r="C3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Helper'!$F$5:$F$3004,"""")&lt;&gt;""""),ROWS(C$5:C376)),"""")"),"")</f>
        <v/>
      </c>
      <c r="D3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Helper'!$F$5:$F$3004,"""")&lt;&gt;""""),ROWS(D$5:D376)),"""")"),"")</f>
        <v/>
      </c>
      <c r="E3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Helper'!$F$5:$F$3004,"""")&lt;&gt;""""),ROWS(E$5:E376)),"""")"),"")</f>
        <v/>
      </c>
      <c r="F3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Helper'!$F$5:$F$3004,"""")&lt;&gt;""""),ROWS(F$5:F376)),IF(AND(LEFT(x,5)=""Page"&amp;" "",ISERROR(SEARCH(""–"",x))),x&amp;""–""&amp;REGEXEXTRACT(x,""[0-9]+$""),x)),"""")"),"")</f>
        <v/>
      </c>
      <c r="G376" s="163"/>
      <c r="H3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Helper'!$F$5:$F$3004,"""")&lt;&gt;""""),ROWS(H$5:H376)),"""")"),"")</f>
        <v/>
      </c>
    </row>
    <row r="377" ht="15.75" customHeight="1">
      <c r="A3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Helper'!$F$5:$F$3004,"""")&lt;&gt;""""),ROWS(A$5:A377)),"""")"),"")</f>
        <v/>
      </c>
      <c r="B3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Helper'!$F$5:$F$3004,"""")&lt;&gt;""""),ROWS(B$5:B377)),"""")"),"")</f>
        <v/>
      </c>
      <c r="C3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Helper'!$F$5:$F$3004,"""")&lt;&gt;""""),ROWS(C$5:C377)),"""")"),"")</f>
        <v/>
      </c>
      <c r="D3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Helper'!$F$5:$F$3004,"""")&lt;&gt;""""),ROWS(D$5:D377)),"""")"),"")</f>
        <v/>
      </c>
      <c r="E3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Helper'!$F$5:$F$3004,"""")&lt;&gt;""""),ROWS(E$5:E377)),"""")"),"")</f>
        <v/>
      </c>
      <c r="F3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Helper'!$F$5:$F$3004,"""")&lt;&gt;""""),ROWS(F$5:F377)),IF(AND(LEFT(x,5)=""Page"&amp;" "",ISERROR(SEARCH(""–"",x))),x&amp;""–""&amp;REGEXEXTRACT(x,""[0-9]+$""),x)),"""")"),"")</f>
        <v/>
      </c>
      <c r="G377" s="163"/>
      <c r="H3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Helper'!$F$5:$F$3004,"""")&lt;&gt;""""),ROWS(H$5:H377)),"""")"),"")</f>
        <v/>
      </c>
    </row>
    <row r="378" ht="15.75" customHeight="1">
      <c r="A3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Helper'!$F$5:$F$3004,"""")&lt;&gt;""""),ROWS(A$5:A378)),"""")"),"")</f>
        <v/>
      </c>
      <c r="B3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Helper'!$F$5:$F$3004,"""")&lt;&gt;""""),ROWS(B$5:B378)),"""")"),"")</f>
        <v/>
      </c>
      <c r="C3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Helper'!$F$5:$F$3004,"""")&lt;&gt;""""),ROWS(C$5:C378)),"""")"),"")</f>
        <v/>
      </c>
      <c r="D3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Helper'!$F$5:$F$3004,"""")&lt;&gt;""""),ROWS(D$5:D378)),"""")"),"")</f>
        <v/>
      </c>
      <c r="E3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Helper'!$F$5:$F$3004,"""")&lt;&gt;""""),ROWS(E$5:E378)),"""")"),"")</f>
        <v/>
      </c>
      <c r="F3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Helper'!$F$5:$F$3004,"""")&lt;&gt;""""),ROWS(F$5:F378)),IF(AND(LEFT(x,5)=""Page"&amp;" "",ISERROR(SEARCH(""–"",x))),x&amp;""–""&amp;REGEXEXTRACT(x,""[0-9]+$""),x)),"""")"),"")</f>
        <v/>
      </c>
      <c r="G378" s="163"/>
      <c r="H3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Helper'!$F$5:$F$3004,"""")&lt;&gt;""""),ROWS(H$5:H378)),"""")"),"")</f>
        <v/>
      </c>
    </row>
    <row r="379" ht="15.75" customHeight="1">
      <c r="A3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Helper'!$F$5:$F$3004,"""")&lt;&gt;""""),ROWS(A$5:A379)),"""")"),"")</f>
        <v/>
      </c>
      <c r="B3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Helper'!$F$5:$F$3004,"""")&lt;&gt;""""),ROWS(B$5:B379)),"""")"),"")</f>
        <v/>
      </c>
      <c r="C3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Helper'!$F$5:$F$3004,"""")&lt;&gt;""""),ROWS(C$5:C379)),"""")"),"")</f>
        <v/>
      </c>
      <c r="D3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Helper'!$F$5:$F$3004,"""")&lt;&gt;""""),ROWS(D$5:D379)),"""")"),"")</f>
        <v/>
      </c>
      <c r="E3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Helper'!$F$5:$F$3004,"""")&lt;&gt;""""),ROWS(E$5:E379)),"""")"),"")</f>
        <v/>
      </c>
      <c r="F3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Helper'!$F$5:$F$3004,"""")&lt;&gt;""""),ROWS(F$5:F379)),IF(AND(LEFT(x,5)=""Page"&amp;" "",ISERROR(SEARCH(""–"",x))),x&amp;""–""&amp;REGEXEXTRACT(x,""[0-9]+$""),x)),"""")"),"")</f>
        <v/>
      </c>
      <c r="G379" s="163"/>
      <c r="H3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Helper'!$F$5:$F$3004,"""")&lt;&gt;""""),ROWS(H$5:H379)),"""")"),"")</f>
        <v/>
      </c>
    </row>
    <row r="380" ht="15.75" customHeight="1">
      <c r="A3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Helper'!$F$5:$F$3004,"""")&lt;&gt;""""),ROWS(A$5:A380)),"""")"),"")</f>
        <v/>
      </c>
      <c r="B3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Helper'!$F$5:$F$3004,"""")&lt;&gt;""""),ROWS(B$5:B380)),"""")"),"")</f>
        <v/>
      </c>
      <c r="C3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Helper'!$F$5:$F$3004,"""")&lt;&gt;""""),ROWS(C$5:C380)),"""")"),"")</f>
        <v/>
      </c>
      <c r="D3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Helper'!$F$5:$F$3004,"""")&lt;&gt;""""),ROWS(D$5:D380)),"""")"),"")</f>
        <v/>
      </c>
      <c r="E3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Helper'!$F$5:$F$3004,"""")&lt;&gt;""""),ROWS(E$5:E380)),"""")"),"")</f>
        <v/>
      </c>
      <c r="F3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Helper'!$F$5:$F$3004,"""")&lt;&gt;""""),ROWS(F$5:F380)),IF(AND(LEFT(x,5)=""Page"&amp;" "",ISERROR(SEARCH(""–"",x))),x&amp;""–""&amp;REGEXEXTRACT(x,""[0-9]+$""),x)),"""")"),"")</f>
        <v/>
      </c>
      <c r="G380" s="163"/>
      <c r="H3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Helper'!$F$5:$F$3004,"""")&lt;&gt;""""),ROWS(H$5:H380)),"""")"),"")</f>
        <v/>
      </c>
    </row>
    <row r="381" ht="15.75" customHeight="1">
      <c r="A3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Helper'!$F$5:$F$3004,"""")&lt;&gt;""""),ROWS(A$5:A381)),"""")"),"")</f>
        <v/>
      </c>
      <c r="B3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Helper'!$F$5:$F$3004,"""")&lt;&gt;""""),ROWS(B$5:B381)),"""")"),"")</f>
        <v/>
      </c>
      <c r="C3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Helper'!$F$5:$F$3004,"""")&lt;&gt;""""),ROWS(C$5:C381)),"""")"),"")</f>
        <v/>
      </c>
      <c r="D3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Helper'!$F$5:$F$3004,"""")&lt;&gt;""""),ROWS(D$5:D381)),"""")"),"")</f>
        <v/>
      </c>
      <c r="E3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Helper'!$F$5:$F$3004,"""")&lt;&gt;""""),ROWS(E$5:E381)),"""")"),"")</f>
        <v/>
      </c>
      <c r="F3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Helper'!$F$5:$F$3004,"""")&lt;&gt;""""),ROWS(F$5:F381)),IF(AND(LEFT(x,5)=""Page"&amp;" "",ISERROR(SEARCH(""–"",x))),x&amp;""–""&amp;REGEXEXTRACT(x,""[0-9]+$""),x)),"""")"),"")</f>
        <v/>
      </c>
      <c r="G381" s="163"/>
      <c r="H3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Helper'!$F$5:$F$3004,"""")&lt;&gt;""""),ROWS(H$5:H381)),"""")"),"")</f>
        <v/>
      </c>
    </row>
    <row r="382" ht="15.75" customHeight="1">
      <c r="A3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Helper'!$F$5:$F$3004,"""")&lt;&gt;""""),ROWS(A$5:A382)),"""")"),"")</f>
        <v/>
      </c>
      <c r="B3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Helper'!$F$5:$F$3004,"""")&lt;&gt;""""),ROWS(B$5:B382)),"""")"),"")</f>
        <v/>
      </c>
      <c r="C3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Helper'!$F$5:$F$3004,"""")&lt;&gt;""""),ROWS(C$5:C382)),"""")"),"")</f>
        <v/>
      </c>
      <c r="D3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Helper'!$F$5:$F$3004,"""")&lt;&gt;""""),ROWS(D$5:D382)),"""")"),"")</f>
        <v/>
      </c>
      <c r="E3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Helper'!$F$5:$F$3004,"""")&lt;&gt;""""),ROWS(E$5:E382)),"""")"),"")</f>
        <v/>
      </c>
      <c r="F3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Helper'!$F$5:$F$3004,"""")&lt;&gt;""""),ROWS(F$5:F382)),IF(AND(LEFT(x,5)=""Page"&amp;" "",ISERROR(SEARCH(""–"",x))),x&amp;""–""&amp;REGEXEXTRACT(x,""[0-9]+$""),x)),"""")"),"")</f>
        <v/>
      </c>
      <c r="G382" s="163"/>
      <c r="H3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Helper'!$F$5:$F$3004,"""")&lt;&gt;""""),ROWS(H$5:H382)),"""")"),"")</f>
        <v/>
      </c>
    </row>
    <row r="383" ht="15.75" customHeight="1">
      <c r="A3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Helper'!$F$5:$F$3004,"""")&lt;&gt;""""),ROWS(A$5:A383)),"""")"),"")</f>
        <v/>
      </c>
      <c r="B3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Helper'!$F$5:$F$3004,"""")&lt;&gt;""""),ROWS(B$5:B383)),"""")"),"")</f>
        <v/>
      </c>
      <c r="C3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Helper'!$F$5:$F$3004,"""")&lt;&gt;""""),ROWS(C$5:C383)),"""")"),"")</f>
        <v/>
      </c>
      <c r="D3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Helper'!$F$5:$F$3004,"""")&lt;&gt;""""),ROWS(D$5:D383)),"""")"),"")</f>
        <v/>
      </c>
      <c r="E3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Helper'!$F$5:$F$3004,"""")&lt;&gt;""""),ROWS(E$5:E383)),"""")"),"")</f>
        <v/>
      </c>
      <c r="F3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Helper'!$F$5:$F$3004,"""")&lt;&gt;""""),ROWS(F$5:F383)),IF(AND(LEFT(x,5)=""Page"&amp;" "",ISERROR(SEARCH(""–"",x))),x&amp;""–""&amp;REGEXEXTRACT(x,""[0-9]+$""),x)),"""")"),"")</f>
        <v/>
      </c>
      <c r="G383" s="163"/>
      <c r="H3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Helper'!$F$5:$F$3004,"""")&lt;&gt;""""),ROWS(H$5:H383)),"""")"),"")</f>
        <v/>
      </c>
    </row>
    <row r="384" ht="15.75" customHeight="1">
      <c r="A3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Helper'!$F$5:$F$3004,"""")&lt;&gt;""""),ROWS(A$5:A384)),"""")"),"")</f>
        <v/>
      </c>
      <c r="B3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Helper'!$F$5:$F$3004,"""")&lt;&gt;""""),ROWS(B$5:B384)),"""")"),"")</f>
        <v/>
      </c>
      <c r="C3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Helper'!$F$5:$F$3004,"""")&lt;&gt;""""),ROWS(C$5:C384)),"""")"),"")</f>
        <v/>
      </c>
      <c r="D3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Helper'!$F$5:$F$3004,"""")&lt;&gt;""""),ROWS(D$5:D384)),"""")"),"")</f>
        <v/>
      </c>
      <c r="E3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Helper'!$F$5:$F$3004,"""")&lt;&gt;""""),ROWS(E$5:E384)),"""")"),"")</f>
        <v/>
      </c>
      <c r="F3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Helper'!$F$5:$F$3004,"""")&lt;&gt;""""),ROWS(F$5:F384)),IF(AND(LEFT(x,5)=""Page"&amp;" "",ISERROR(SEARCH(""–"",x))),x&amp;""–""&amp;REGEXEXTRACT(x,""[0-9]+$""),x)),"""")"),"")</f>
        <v/>
      </c>
      <c r="G384" s="163"/>
      <c r="H3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Helper'!$F$5:$F$3004,"""")&lt;&gt;""""),ROWS(H$5:H384)),"""")"),"")</f>
        <v/>
      </c>
    </row>
    <row r="385" ht="15.75" customHeight="1">
      <c r="A3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Helper'!$F$5:$F$3004,"""")&lt;&gt;""""),ROWS(A$5:A385)),"""")"),"")</f>
        <v/>
      </c>
      <c r="B3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Helper'!$F$5:$F$3004,"""")&lt;&gt;""""),ROWS(B$5:B385)),"""")"),"")</f>
        <v/>
      </c>
      <c r="C3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Helper'!$F$5:$F$3004,"""")&lt;&gt;""""),ROWS(C$5:C385)),"""")"),"")</f>
        <v/>
      </c>
      <c r="D3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Helper'!$F$5:$F$3004,"""")&lt;&gt;""""),ROWS(D$5:D385)),"""")"),"")</f>
        <v/>
      </c>
      <c r="E3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Helper'!$F$5:$F$3004,"""")&lt;&gt;""""),ROWS(E$5:E385)),"""")"),"")</f>
        <v/>
      </c>
      <c r="F3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Helper'!$F$5:$F$3004,"""")&lt;&gt;""""),ROWS(F$5:F385)),IF(AND(LEFT(x,5)=""Page"&amp;" "",ISERROR(SEARCH(""–"",x))),x&amp;""–""&amp;REGEXEXTRACT(x,""[0-9]+$""),x)),"""")"),"")</f>
        <v/>
      </c>
      <c r="G385" s="163"/>
      <c r="H3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Helper'!$F$5:$F$3004,"""")&lt;&gt;""""),ROWS(H$5:H385)),"""")"),"")</f>
        <v/>
      </c>
    </row>
    <row r="386" ht="15.75" customHeight="1">
      <c r="A3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Helper'!$F$5:$F$3004,"""")&lt;&gt;""""),ROWS(A$5:A386)),"""")"),"")</f>
        <v/>
      </c>
      <c r="B3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Helper'!$F$5:$F$3004,"""")&lt;&gt;""""),ROWS(B$5:B386)),"""")"),"")</f>
        <v/>
      </c>
      <c r="C3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Helper'!$F$5:$F$3004,"""")&lt;&gt;""""),ROWS(C$5:C386)),"""")"),"")</f>
        <v/>
      </c>
      <c r="D3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Helper'!$F$5:$F$3004,"""")&lt;&gt;""""),ROWS(D$5:D386)),"""")"),"")</f>
        <v/>
      </c>
      <c r="E3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Helper'!$F$5:$F$3004,"""")&lt;&gt;""""),ROWS(E$5:E386)),"""")"),"")</f>
        <v/>
      </c>
      <c r="F3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Helper'!$F$5:$F$3004,"""")&lt;&gt;""""),ROWS(F$5:F386)),IF(AND(LEFT(x,5)=""Page"&amp;" "",ISERROR(SEARCH(""–"",x))),x&amp;""–""&amp;REGEXEXTRACT(x,""[0-9]+$""),x)),"""")"),"")</f>
        <v/>
      </c>
      <c r="G386" s="163"/>
      <c r="H3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Helper'!$F$5:$F$3004,"""")&lt;&gt;""""),ROWS(H$5:H386)),"""")"),"")</f>
        <v/>
      </c>
    </row>
    <row r="387" ht="15.75" customHeight="1">
      <c r="A3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Helper'!$F$5:$F$3004,"""")&lt;&gt;""""),ROWS(A$5:A387)),"""")"),"")</f>
        <v/>
      </c>
      <c r="B3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Helper'!$F$5:$F$3004,"""")&lt;&gt;""""),ROWS(B$5:B387)),"""")"),"")</f>
        <v/>
      </c>
      <c r="C3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Helper'!$F$5:$F$3004,"""")&lt;&gt;""""),ROWS(C$5:C387)),"""")"),"")</f>
        <v/>
      </c>
      <c r="D3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Helper'!$F$5:$F$3004,"""")&lt;&gt;""""),ROWS(D$5:D387)),"""")"),"")</f>
        <v/>
      </c>
      <c r="E3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Helper'!$F$5:$F$3004,"""")&lt;&gt;""""),ROWS(E$5:E387)),"""")"),"")</f>
        <v/>
      </c>
      <c r="F3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Helper'!$F$5:$F$3004,"""")&lt;&gt;""""),ROWS(F$5:F387)),IF(AND(LEFT(x,5)=""Page"&amp;" "",ISERROR(SEARCH(""–"",x))),x&amp;""–""&amp;REGEXEXTRACT(x,""[0-9]+$""),x)),"""")"),"")</f>
        <v/>
      </c>
      <c r="G387" s="163"/>
      <c r="H3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Helper'!$F$5:$F$3004,"""")&lt;&gt;""""),ROWS(H$5:H387)),"""")"),"")</f>
        <v/>
      </c>
    </row>
    <row r="388" ht="15.75" customHeight="1">
      <c r="A3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Helper'!$F$5:$F$3004,"""")&lt;&gt;""""),ROWS(A$5:A388)),"""")"),"")</f>
        <v/>
      </c>
      <c r="B3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Helper'!$F$5:$F$3004,"""")&lt;&gt;""""),ROWS(B$5:B388)),"""")"),"")</f>
        <v/>
      </c>
      <c r="C3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Helper'!$F$5:$F$3004,"""")&lt;&gt;""""),ROWS(C$5:C388)),"""")"),"")</f>
        <v/>
      </c>
      <c r="D3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Helper'!$F$5:$F$3004,"""")&lt;&gt;""""),ROWS(D$5:D388)),"""")"),"")</f>
        <v/>
      </c>
      <c r="E3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Helper'!$F$5:$F$3004,"""")&lt;&gt;""""),ROWS(E$5:E388)),"""")"),"")</f>
        <v/>
      </c>
      <c r="F3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Helper'!$F$5:$F$3004,"""")&lt;&gt;""""),ROWS(F$5:F388)),IF(AND(LEFT(x,5)=""Page"&amp;" "",ISERROR(SEARCH(""–"",x))),x&amp;""–""&amp;REGEXEXTRACT(x,""[0-9]+$""),x)),"""")"),"")</f>
        <v/>
      </c>
      <c r="G388" s="163"/>
      <c r="H3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Helper'!$F$5:$F$3004,"""")&lt;&gt;""""),ROWS(H$5:H388)),"""")"),"")</f>
        <v/>
      </c>
    </row>
    <row r="389" ht="15.75" customHeight="1">
      <c r="A3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Helper'!$F$5:$F$3004,"""")&lt;&gt;""""),ROWS(A$5:A389)),"""")"),"")</f>
        <v/>
      </c>
      <c r="B3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Helper'!$F$5:$F$3004,"""")&lt;&gt;""""),ROWS(B$5:B389)),"""")"),"")</f>
        <v/>
      </c>
      <c r="C3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Helper'!$F$5:$F$3004,"""")&lt;&gt;""""),ROWS(C$5:C389)),"""")"),"")</f>
        <v/>
      </c>
      <c r="D3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Helper'!$F$5:$F$3004,"""")&lt;&gt;""""),ROWS(D$5:D389)),"""")"),"")</f>
        <v/>
      </c>
      <c r="E3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Helper'!$F$5:$F$3004,"""")&lt;&gt;""""),ROWS(E$5:E389)),"""")"),"")</f>
        <v/>
      </c>
      <c r="F3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Helper'!$F$5:$F$3004,"""")&lt;&gt;""""),ROWS(F$5:F389)),IF(AND(LEFT(x,5)=""Page"&amp;" "",ISERROR(SEARCH(""–"",x))),x&amp;""–""&amp;REGEXEXTRACT(x,""[0-9]+$""),x)),"""")"),"")</f>
        <v/>
      </c>
      <c r="G389" s="163"/>
      <c r="H3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Helper'!$F$5:$F$3004,"""")&lt;&gt;""""),ROWS(H$5:H389)),"""")"),"")</f>
        <v/>
      </c>
    </row>
    <row r="390" ht="15.75" customHeight="1">
      <c r="A3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Helper'!$F$5:$F$3004,"""")&lt;&gt;""""),ROWS(A$5:A390)),"""")"),"")</f>
        <v/>
      </c>
      <c r="B3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Helper'!$F$5:$F$3004,"""")&lt;&gt;""""),ROWS(B$5:B390)),"""")"),"")</f>
        <v/>
      </c>
      <c r="C3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Helper'!$F$5:$F$3004,"""")&lt;&gt;""""),ROWS(C$5:C390)),"""")"),"")</f>
        <v/>
      </c>
      <c r="D3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Helper'!$F$5:$F$3004,"""")&lt;&gt;""""),ROWS(D$5:D390)),"""")"),"")</f>
        <v/>
      </c>
      <c r="E3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Helper'!$F$5:$F$3004,"""")&lt;&gt;""""),ROWS(E$5:E390)),"""")"),"")</f>
        <v/>
      </c>
      <c r="F3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Helper'!$F$5:$F$3004,"""")&lt;&gt;""""),ROWS(F$5:F390)),IF(AND(LEFT(x,5)=""Page"&amp;" "",ISERROR(SEARCH(""–"",x))),x&amp;""–""&amp;REGEXEXTRACT(x,""[0-9]+$""),x)),"""")"),"")</f>
        <v/>
      </c>
      <c r="G390" s="163"/>
      <c r="H3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Helper'!$F$5:$F$3004,"""")&lt;&gt;""""),ROWS(H$5:H390)),"""")"),"")</f>
        <v/>
      </c>
    </row>
    <row r="391" ht="15.75" customHeight="1">
      <c r="A3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Helper'!$F$5:$F$3004,"""")&lt;&gt;""""),ROWS(A$5:A391)),"""")"),"")</f>
        <v/>
      </c>
      <c r="B3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Helper'!$F$5:$F$3004,"""")&lt;&gt;""""),ROWS(B$5:B391)),"""")"),"")</f>
        <v/>
      </c>
      <c r="C3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Helper'!$F$5:$F$3004,"""")&lt;&gt;""""),ROWS(C$5:C391)),"""")"),"")</f>
        <v/>
      </c>
      <c r="D3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Helper'!$F$5:$F$3004,"""")&lt;&gt;""""),ROWS(D$5:D391)),"""")"),"")</f>
        <v/>
      </c>
      <c r="E3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Helper'!$F$5:$F$3004,"""")&lt;&gt;""""),ROWS(E$5:E391)),"""")"),"")</f>
        <v/>
      </c>
      <c r="F3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Helper'!$F$5:$F$3004,"""")&lt;&gt;""""),ROWS(F$5:F391)),IF(AND(LEFT(x,5)=""Page"&amp;" "",ISERROR(SEARCH(""–"",x))),x&amp;""–""&amp;REGEXEXTRACT(x,""[0-9]+$""),x)),"""")"),"")</f>
        <v/>
      </c>
      <c r="G391" s="163"/>
      <c r="H3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Helper'!$F$5:$F$3004,"""")&lt;&gt;""""),ROWS(H$5:H391)),"""")"),"")</f>
        <v/>
      </c>
    </row>
    <row r="392" ht="15.75" customHeight="1">
      <c r="A3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Helper'!$F$5:$F$3004,"""")&lt;&gt;""""),ROWS(A$5:A392)),"""")"),"")</f>
        <v/>
      </c>
      <c r="B3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Helper'!$F$5:$F$3004,"""")&lt;&gt;""""),ROWS(B$5:B392)),"""")"),"")</f>
        <v/>
      </c>
      <c r="C3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Helper'!$F$5:$F$3004,"""")&lt;&gt;""""),ROWS(C$5:C392)),"""")"),"")</f>
        <v/>
      </c>
      <c r="D3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Helper'!$F$5:$F$3004,"""")&lt;&gt;""""),ROWS(D$5:D392)),"""")"),"")</f>
        <v/>
      </c>
      <c r="E3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Helper'!$F$5:$F$3004,"""")&lt;&gt;""""),ROWS(E$5:E392)),"""")"),"")</f>
        <v/>
      </c>
      <c r="F3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Helper'!$F$5:$F$3004,"""")&lt;&gt;""""),ROWS(F$5:F392)),IF(AND(LEFT(x,5)=""Page"&amp;" "",ISERROR(SEARCH(""–"",x))),x&amp;""–""&amp;REGEXEXTRACT(x,""[0-9]+$""),x)),"""")"),"")</f>
        <v/>
      </c>
      <c r="G392" s="163"/>
      <c r="H3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Helper'!$F$5:$F$3004,"""")&lt;&gt;""""),ROWS(H$5:H392)),"""")"),"")</f>
        <v/>
      </c>
    </row>
    <row r="393" ht="15.75" customHeight="1">
      <c r="A3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Helper'!$F$5:$F$3004,"""")&lt;&gt;""""),ROWS(A$5:A393)),"""")"),"")</f>
        <v/>
      </c>
      <c r="B3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Helper'!$F$5:$F$3004,"""")&lt;&gt;""""),ROWS(B$5:B393)),"""")"),"")</f>
        <v/>
      </c>
      <c r="C3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Helper'!$F$5:$F$3004,"""")&lt;&gt;""""),ROWS(C$5:C393)),"""")"),"")</f>
        <v/>
      </c>
      <c r="D3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Helper'!$F$5:$F$3004,"""")&lt;&gt;""""),ROWS(D$5:D393)),"""")"),"")</f>
        <v/>
      </c>
      <c r="E3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Helper'!$F$5:$F$3004,"""")&lt;&gt;""""),ROWS(E$5:E393)),"""")"),"")</f>
        <v/>
      </c>
      <c r="F3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Helper'!$F$5:$F$3004,"""")&lt;&gt;""""),ROWS(F$5:F393)),IF(AND(LEFT(x,5)=""Page"&amp;" "",ISERROR(SEARCH(""–"",x))),x&amp;""–""&amp;REGEXEXTRACT(x,""[0-9]+$""),x)),"""")"),"")</f>
        <v/>
      </c>
      <c r="G393" s="163"/>
      <c r="H3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Helper'!$F$5:$F$3004,"""")&lt;&gt;""""),ROWS(H$5:H393)),"""")"),"")</f>
        <v/>
      </c>
    </row>
    <row r="394" ht="15.75" customHeight="1">
      <c r="A3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Helper'!$F$5:$F$3004,"""")&lt;&gt;""""),ROWS(A$5:A394)),"""")"),"")</f>
        <v/>
      </c>
      <c r="B3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Helper'!$F$5:$F$3004,"""")&lt;&gt;""""),ROWS(B$5:B394)),"""")"),"")</f>
        <v/>
      </c>
      <c r="C3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Helper'!$F$5:$F$3004,"""")&lt;&gt;""""),ROWS(C$5:C394)),"""")"),"")</f>
        <v/>
      </c>
      <c r="D3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Helper'!$F$5:$F$3004,"""")&lt;&gt;""""),ROWS(D$5:D394)),"""")"),"")</f>
        <v/>
      </c>
      <c r="E3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Helper'!$F$5:$F$3004,"""")&lt;&gt;""""),ROWS(E$5:E394)),"""")"),"")</f>
        <v/>
      </c>
      <c r="F3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Helper'!$F$5:$F$3004,"""")&lt;&gt;""""),ROWS(F$5:F394)),IF(AND(LEFT(x,5)=""Page"&amp;" "",ISERROR(SEARCH(""–"",x))),x&amp;""–""&amp;REGEXEXTRACT(x,""[0-9]+$""),x)),"""")"),"")</f>
        <v/>
      </c>
      <c r="G394" s="163"/>
      <c r="H3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Helper'!$F$5:$F$3004,"""")&lt;&gt;""""),ROWS(H$5:H394)),"""")"),"")</f>
        <v/>
      </c>
    </row>
    <row r="395" ht="15.75" customHeight="1">
      <c r="A3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Helper'!$F$5:$F$3004,"""")&lt;&gt;""""),ROWS(A$5:A395)),"""")"),"")</f>
        <v/>
      </c>
      <c r="B3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Helper'!$F$5:$F$3004,"""")&lt;&gt;""""),ROWS(B$5:B395)),"""")"),"")</f>
        <v/>
      </c>
      <c r="C3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Helper'!$F$5:$F$3004,"""")&lt;&gt;""""),ROWS(C$5:C395)),"""")"),"")</f>
        <v/>
      </c>
      <c r="D3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Helper'!$F$5:$F$3004,"""")&lt;&gt;""""),ROWS(D$5:D395)),"""")"),"")</f>
        <v/>
      </c>
      <c r="E3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Helper'!$F$5:$F$3004,"""")&lt;&gt;""""),ROWS(E$5:E395)),"""")"),"")</f>
        <v/>
      </c>
      <c r="F3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Helper'!$F$5:$F$3004,"""")&lt;&gt;""""),ROWS(F$5:F395)),IF(AND(LEFT(x,5)=""Page"&amp;" "",ISERROR(SEARCH(""–"",x))),x&amp;""–""&amp;REGEXEXTRACT(x,""[0-9]+$""),x)),"""")"),"")</f>
        <v/>
      </c>
      <c r="G395" s="163"/>
      <c r="H3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Helper'!$F$5:$F$3004,"""")&lt;&gt;""""),ROWS(H$5:H395)),"""")"),"")</f>
        <v/>
      </c>
    </row>
    <row r="396" ht="15.75" customHeight="1">
      <c r="A3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Helper'!$F$5:$F$3004,"""")&lt;&gt;""""),ROWS(A$5:A396)),"""")"),"")</f>
        <v/>
      </c>
      <c r="B3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Helper'!$F$5:$F$3004,"""")&lt;&gt;""""),ROWS(B$5:B396)),"""")"),"")</f>
        <v/>
      </c>
      <c r="C3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Helper'!$F$5:$F$3004,"""")&lt;&gt;""""),ROWS(C$5:C396)),"""")"),"")</f>
        <v/>
      </c>
      <c r="D3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Helper'!$F$5:$F$3004,"""")&lt;&gt;""""),ROWS(D$5:D396)),"""")"),"")</f>
        <v/>
      </c>
      <c r="E3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Helper'!$F$5:$F$3004,"""")&lt;&gt;""""),ROWS(E$5:E396)),"""")"),"")</f>
        <v/>
      </c>
      <c r="F3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Helper'!$F$5:$F$3004,"""")&lt;&gt;""""),ROWS(F$5:F396)),IF(AND(LEFT(x,5)=""Page"&amp;" "",ISERROR(SEARCH(""–"",x))),x&amp;""–""&amp;REGEXEXTRACT(x,""[0-9]+$""),x)),"""")"),"")</f>
        <v/>
      </c>
      <c r="G396" s="163"/>
      <c r="H3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Helper'!$F$5:$F$3004,"""")&lt;&gt;""""),ROWS(H$5:H396)),"""")"),"")</f>
        <v/>
      </c>
    </row>
    <row r="397" ht="15.75" customHeight="1">
      <c r="A3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Helper'!$F$5:$F$3004,"""")&lt;&gt;""""),ROWS(A$5:A397)),"""")"),"")</f>
        <v/>
      </c>
      <c r="B3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Helper'!$F$5:$F$3004,"""")&lt;&gt;""""),ROWS(B$5:B397)),"""")"),"")</f>
        <v/>
      </c>
      <c r="C3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Helper'!$F$5:$F$3004,"""")&lt;&gt;""""),ROWS(C$5:C397)),"""")"),"")</f>
        <v/>
      </c>
      <c r="D3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Helper'!$F$5:$F$3004,"""")&lt;&gt;""""),ROWS(D$5:D397)),"""")"),"")</f>
        <v/>
      </c>
      <c r="E3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Helper'!$F$5:$F$3004,"""")&lt;&gt;""""),ROWS(E$5:E397)),"""")"),"")</f>
        <v/>
      </c>
      <c r="F3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Helper'!$F$5:$F$3004,"""")&lt;&gt;""""),ROWS(F$5:F397)),IF(AND(LEFT(x,5)=""Page"&amp;" "",ISERROR(SEARCH(""–"",x))),x&amp;""–""&amp;REGEXEXTRACT(x,""[0-9]+$""),x)),"""")"),"")</f>
        <v/>
      </c>
      <c r="G397" s="163"/>
      <c r="H3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Helper'!$F$5:$F$3004,"""")&lt;&gt;""""),ROWS(H$5:H397)),"""")"),"")</f>
        <v/>
      </c>
    </row>
    <row r="398" ht="15.75" customHeight="1">
      <c r="A3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Helper'!$F$5:$F$3004,"""")&lt;&gt;""""),ROWS(A$5:A398)),"""")"),"")</f>
        <v/>
      </c>
      <c r="B3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Helper'!$F$5:$F$3004,"""")&lt;&gt;""""),ROWS(B$5:B398)),"""")"),"")</f>
        <v/>
      </c>
      <c r="C3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Helper'!$F$5:$F$3004,"""")&lt;&gt;""""),ROWS(C$5:C398)),"""")"),"")</f>
        <v/>
      </c>
      <c r="D3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Helper'!$F$5:$F$3004,"""")&lt;&gt;""""),ROWS(D$5:D398)),"""")"),"")</f>
        <v/>
      </c>
      <c r="E3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Helper'!$F$5:$F$3004,"""")&lt;&gt;""""),ROWS(E$5:E398)),"""")"),"")</f>
        <v/>
      </c>
      <c r="F3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Helper'!$F$5:$F$3004,"""")&lt;&gt;""""),ROWS(F$5:F398)),IF(AND(LEFT(x,5)=""Page"&amp;" "",ISERROR(SEARCH(""–"",x))),x&amp;""–""&amp;REGEXEXTRACT(x,""[0-9]+$""),x)),"""")"),"")</f>
        <v/>
      </c>
      <c r="G398" s="163"/>
      <c r="H3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Helper'!$F$5:$F$3004,"""")&lt;&gt;""""),ROWS(H$5:H398)),"""")"),"")</f>
        <v/>
      </c>
    </row>
    <row r="399" ht="15.75" customHeight="1">
      <c r="A3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Helper'!$F$5:$F$3004,"""")&lt;&gt;""""),ROWS(A$5:A399)),"""")"),"")</f>
        <v/>
      </c>
      <c r="B3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Helper'!$F$5:$F$3004,"""")&lt;&gt;""""),ROWS(B$5:B399)),"""")"),"")</f>
        <v/>
      </c>
      <c r="C3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Helper'!$F$5:$F$3004,"""")&lt;&gt;""""),ROWS(C$5:C399)),"""")"),"")</f>
        <v/>
      </c>
      <c r="D3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Helper'!$F$5:$F$3004,"""")&lt;&gt;""""),ROWS(D$5:D399)),"""")"),"")</f>
        <v/>
      </c>
      <c r="E3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Helper'!$F$5:$F$3004,"""")&lt;&gt;""""),ROWS(E$5:E399)),"""")"),"")</f>
        <v/>
      </c>
      <c r="F3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Helper'!$F$5:$F$3004,"""")&lt;&gt;""""),ROWS(F$5:F399)),IF(AND(LEFT(x,5)=""Page"&amp;" "",ISERROR(SEARCH(""–"",x))),x&amp;""–""&amp;REGEXEXTRACT(x,""[0-9]+$""),x)),"""")"),"")</f>
        <v/>
      </c>
      <c r="G399" s="163"/>
      <c r="H3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Helper'!$F$5:$F$3004,"""")&lt;&gt;""""),ROWS(H$5:H399)),"""")"),"")</f>
        <v/>
      </c>
    </row>
    <row r="400" ht="15.75" customHeight="1">
      <c r="A4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Helper'!$F$5:$F$3004,"""")&lt;&gt;""""),ROWS(A$5:A400)),"""")"),"")</f>
        <v/>
      </c>
      <c r="B4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Helper'!$F$5:$F$3004,"""")&lt;&gt;""""),ROWS(B$5:B400)),"""")"),"")</f>
        <v/>
      </c>
      <c r="C4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Helper'!$F$5:$F$3004,"""")&lt;&gt;""""),ROWS(C$5:C400)),"""")"),"")</f>
        <v/>
      </c>
      <c r="D4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Helper'!$F$5:$F$3004,"""")&lt;&gt;""""),ROWS(D$5:D400)),"""")"),"")</f>
        <v/>
      </c>
      <c r="E4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Helper'!$F$5:$F$3004,"""")&lt;&gt;""""),ROWS(E$5:E400)),"""")"),"")</f>
        <v/>
      </c>
      <c r="F4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Helper'!$F$5:$F$3004,"""")&lt;&gt;""""),ROWS(F$5:F400)),IF(AND(LEFT(x,5)=""Page"&amp;" "",ISERROR(SEARCH(""–"",x))),x&amp;""–""&amp;REGEXEXTRACT(x,""[0-9]+$""),x)),"""")"),"")</f>
        <v/>
      </c>
      <c r="G400" s="163"/>
      <c r="H4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Helper'!$F$5:$F$3004,"""")&lt;&gt;""""),ROWS(H$5:H400)),"""")"),"")</f>
        <v/>
      </c>
    </row>
    <row r="401" ht="15.75" customHeight="1">
      <c r="A4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Helper'!$F$5:$F$3004,"""")&lt;&gt;""""),ROWS(A$5:A401)),"""")"),"")</f>
        <v/>
      </c>
      <c r="B4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Helper'!$F$5:$F$3004,"""")&lt;&gt;""""),ROWS(B$5:B401)),"""")"),"")</f>
        <v/>
      </c>
      <c r="C4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Helper'!$F$5:$F$3004,"""")&lt;&gt;""""),ROWS(C$5:C401)),"""")"),"")</f>
        <v/>
      </c>
      <c r="D4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Helper'!$F$5:$F$3004,"""")&lt;&gt;""""),ROWS(D$5:D401)),"""")"),"")</f>
        <v/>
      </c>
      <c r="E4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Helper'!$F$5:$F$3004,"""")&lt;&gt;""""),ROWS(E$5:E401)),"""")"),"")</f>
        <v/>
      </c>
      <c r="F4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Helper'!$F$5:$F$3004,"""")&lt;&gt;""""),ROWS(F$5:F401)),IF(AND(LEFT(x,5)=""Page"&amp;" "",ISERROR(SEARCH(""–"",x))),x&amp;""–""&amp;REGEXEXTRACT(x,""[0-9]+$""),x)),"""")"),"")</f>
        <v/>
      </c>
      <c r="G401" s="163"/>
      <c r="H4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Helper'!$F$5:$F$3004,"""")&lt;&gt;""""),ROWS(H$5:H401)),"""")"),"")</f>
        <v/>
      </c>
    </row>
    <row r="402" ht="15.75" customHeight="1">
      <c r="A4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Helper'!$F$5:$F$3004,"""")&lt;&gt;""""),ROWS(A$5:A402)),"""")"),"")</f>
        <v/>
      </c>
      <c r="B4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Helper'!$F$5:$F$3004,"""")&lt;&gt;""""),ROWS(B$5:B402)),"""")"),"")</f>
        <v/>
      </c>
      <c r="C4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Helper'!$F$5:$F$3004,"""")&lt;&gt;""""),ROWS(C$5:C402)),"""")"),"")</f>
        <v/>
      </c>
      <c r="D4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Helper'!$F$5:$F$3004,"""")&lt;&gt;""""),ROWS(D$5:D402)),"""")"),"")</f>
        <v/>
      </c>
      <c r="E4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Helper'!$F$5:$F$3004,"""")&lt;&gt;""""),ROWS(E$5:E402)),"""")"),"")</f>
        <v/>
      </c>
      <c r="F4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Helper'!$F$5:$F$3004,"""")&lt;&gt;""""),ROWS(F$5:F402)),IF(AND(LEFT(x,5)=""Page"&amp;" "",ISERROR(SEARCH(""–"",x))),x&amp;""–""&amp;REGEXEXTRACT(x,""[0-9]+$""),x)),"""")"),"")</f>
        <v/>
      </c>
      <c r="G402" s="163"/>
      <c r="H4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Helper'!$F$5:$F$3004,"""")&lt;&gt;""""),ROWS(H$5:H402)),"""")"),"")</f>
        <v/>
      </c>
    </row>
    <row r="403" ht="15.75" customHeight="1">
      <c r="A4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Helper'!$F$5:$F$3004,"""")&lt;&gt;""""),ROWS(A$5:A403)),"""")"),"")</f>
        <v/>
      </c>
      <c r="B4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Helper'!$F$5:$F$3004,"""")&lt;&gt;""""),ROWS(B$5:B403)),"""")"),"")</f>
        <v/>
      </c>
      <c r="C4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Helper'!$F$5:$F$3004,"""")&lt;&gt;""""),ROWS(C$5:C403)),"""")"),"")</f>
        <v/>
      </c>
      <c r="D4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Helper'!$F$5:$F$3004,"""")&lt;&gt;""""),ROWS(D$5:D403)),"""")"),"")</f>
        <v/>
      </c>
      <c r="E4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Helper'!$F$5:$F$3004,"""")&lt;&gt;""""),ROWS(E$5:E403)),"""")"),"")</f>
        <v/>
      </c>
      <c r="F4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Helper'!$F$5:$F$3004,"""")&lt;&gt;""""),ROWS(F$5:F403)),IF(AND(LEFT(x,5)=""Page"&amp;" "",ISERROR(SEARCH(""–"",x))),x&amp;""–""&amp;REGEXEXTRACT(x,""[0-9]+$""),x)),"""")"),"")</f>
        <v/>
      </c>
      <c r="G403" s="163"/>
      <c r="H4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Helper'!$F$5:$F$3004,"""")&lt;&gt;""""),ROWS(H$5:H403)),"""")"),"")</f>
        <v/>
      </c>
    </row>
    <row r="404" ht="15.75" customHeight="1">
      <c r="A4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Helper'!$F$5:$F$3004,"""")&lt;&gt;""""),ROWS(A$5:A404)),"""")"),"")</f>
        <v/>
      </c>
      <c r="B4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Helper'!$F$5:$F$3004,"""")&lt;&gt;""""),ROWS(B$5:B404)),"""")"),"")</f>
        <v/>
      </c>
      <c r="C4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Helper'!$F$5:$F$3004,"""")&lt;&gt;""""),ROWS(C$5:C404)),"""")"),"")</f>
        <v/>
      </c>
      <c r="D4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Helper'!$F$5:$F$3004,"""")&lt;&gt;""""),ROWS(D$5:D404)),"""")"),"")</f>
        <v/>
      </c>
      <c r="E4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Helper'!$F$5:$F$3004,"""")&lt;&gt;""""),ROWS(E$5:E404)),"""")"),"")</f>
        <v/>
      </c>
      <c r="F4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Helper'!$F$5:$F$3004,"""")&lt;&gt;""""),ROWS(F$5:F404)),IF(AND(LEFT(x,5)=""Page"&amp;" "",ISERROR(SEARCH(""–"",x))),x&amp;""–""&amp;REGEXEXTRACT(x,""[0-9]+$""),x)),"""")"),"")</f>
        <v/>
      </c>
      <c r="G404" s="163"/>
      <c r="H4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Helper'!$F$5:$F$3004,"""")&lt;&gt;""""),ROWS(H$5:H404)),"""")"),"")</f>
        <v/>
      </c>
    </row>
    <row r="405" ht="15.75" customHeight="1">
      <c r="A4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Helper'!$F$5:$F$3004,"""")&lt;&gt;""""),ROWS(A$5:A405)),"""")"),"")</f>
        <v/>
      </c>
      <c r="B4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Helper'!$F$5:$F$3004,"""")&lt;&gt;""""),ROWS(B$5:B405)),"""")"),"")</f>
        <v/>
      </c>
      <c r="C4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Helper'!$F$5:$F$3004,"""")&lt;&gt;""""),ROWS(C$5:C405)),"""")"),"")</f>
        <v/>
      </c>
      <c r="D4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Helper'!$F$5:$F$3004,"""")&lt;&gt;""""),ROWS(D$5:D405)),"""")"),"")</f>
        <v/>
      </c>
      <c r="E4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Helper'!$F$5:$F$3004,"""")&lt;&gt;""""),ROWS(E$5:E405)),"""")"),"")</f>
        <v/>
      </c>
      <c r="F4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Helper'!$F$5:$F$3004,"""")&lt;&gt;""""),ROWS(F$5:F405)),IF(AND(LEFT(x,5)=""Page"&amp;" "",ISERROR(SEARCH(""–"",x))),x&amp;""–""&amp;REGEXEXTRACT(x,""[0-9]+$""),x)),"""")"),"")</f>
        <v/>
      </c>
      <c r="G405" s="163"/>
      <c r="H4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Helper'!$F$5:$F$3004,"""")&lt;&gt;""""),ROWS(H$5:H405)),"""")"),"")</f>
        <v/>
      </c>
    </row>
    <row r="406" ht="15.75" customHeight="1">
      <c r="A4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Helper'!$F$5:$F$3004,"""")&lt;&gt;""""),ROWS(A$5:A406)),"""")"),"")</f>
        <v/>
      </c>
      <c r="B4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Helper'!$F$5:$F$3004,"""")&lt;&gt;""""),ROWS(B$5:B406)),"""")"),"")</f>
        <v/>
      </c>
      <c r="C4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Helper'!$F$5:$F$3004,"""")&lt;&gt;""""),ROWS(C$5:C406)),"""")"),"")</f>
        <v/>
      </c>
      <c r="D4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Helper'!$F$5:$F$3004,"""")&lt;&gt;""""),ROWS(D$5:D406)),"""")"),"")</f>
        <v/>
      </c>
      <c r="E4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Helper'!$F$5:$F$3004,"""")&lt;&gt;""""),ROWS(E$5:E406)),"""")"),"")</f>
        <v/>
      </c>
      <c r="F4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Helper'!$F$5:$F$3004,"""")&lt;&gt;""""),ROWS(F$5:F406)),IF(AND(LEFT(x,5)=""Page"&amp;" "",ISERROR(SEARCH(""–"",x))),x&amp;""–""&amp;REGEXEXTRACT(x,""[0-9]+$""),x)),"""")"),"")</f>
        <v/>
      </c>
      <c r="G406" s="163"/>
      <c r="H4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Helper'!$F$5:$F$3004,"""")&lt;&gt;""""),ROWS(H$5:H406)),"""")"),"")</f>
        <v/>
      </c>
    </row>
    <row r="407" ht="15.75" customHeight="1">
      <c r="A4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Helper'!$F$5:$F$3004,"""")&lt;&gt;""""),ROWS(A$5:A407)),"""")"),"")</f>
        <v/>
      </c>
      <c r="B4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Helper'!$F$5:$F$3004,"""")&lt;&gt;""""),ROWS(B$5:B407)),"""")"),"")</f>
        <v/>
      </c>
      <c r="C4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Helper'!$F$5:$F$3004,"""")&lt;&gt;""""),ROWS(C$5:C407)),"""")"),"")</f>
        <v/>
      </c>
      <c r="D4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Helper'!$F$5:$F$3004,"""")&lt;&gt;""""),ROWS(D$5:D407)),"""")"),"")</f>
        <v/>
      </c>
      <c r="E4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Helper'!$F$5:$F$3004,"""")&lt;&gt;""""),ROWS(E$5:E407)),"""")"),"")</f>
        <v/>
      </c>
      <c r="F4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Helper'!$F$5:$F$3004,"""")&lt;&gt;""""),ROWS(F$5:F407)),IF(AND(LEFT(x,5)=""Page"&amp;" "",ISERROR(SEARCH(""–"",x))),x&amp;""–""&amp;REGEXEXTRACT(x,""[0-9]+$""),x)),"""")"),"")</f>
        <v/>
      </c>
      <c r="G407" s="163"/>
      <c r="H4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Helper'!$F$5:$F$3004,"""")&lt;&gt;""""),ROWS(H$5:H407)),"""")"),"")</f>
        <v/>
      </c>
    </row>
    <row r="408" ht="15.75" customHeight="1">
      <c r="A4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Helper'!$F$5:$F$3004,"""")&lt;&gt;""""),ROWS(A$5:A408)),"""")"),"")</f>
        <v/>
      </c>
      <c r="B4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Helper'!$F$5:$F$3004,"""")&lt;&gt;""""),ROWS(B$5:B408)),"""")"),"")</f>
        <v/>
      </c>
      <c r="C4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Helper'!$F$5:$F$3004,"""")&lt;&gt;""""),ROWS(C$5:C408)),"""")"),"")</f>
        <v/>
      </c>
      <c r="D4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Helper'!$F$5:$F$3004,"""")&lt;&gt;""""),ROWS(D$5:D408)),"""")"),"")</f>
        <v/>
      </c>
      <c r="E4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Helper'!$F$5:$F$3004,"""")&lt;&gt;""""),ROWS(E$5:E408)),"""")"),"")</f>
        <v/>
      </c>
      <c r="F4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Helper'!$F$5:$F$3004,"""")&lt;&gt;""""),ROWS(F$5:F408)),IF(AND(LEFT(x,5)=""Page"&amp;" "",ISERROR(SEARCH(""–"",x))),x&amp;""–""&amp;REGEXEXTRACT(x,""[0-9]+$""),x)),"""")"),"")</f>
        <v/>
      </c>
      <c r="G408" s="163"/>
      <c r="H4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Helper'!$F$5:$F$3004,"""")&lt;&gt;""""),ROWS(H$5:H408)),"""")"),"")</f>
        <v/>
      </c>
    </row>
    <row r="409" ht="15.75" customHeight="1">
      <c r="A4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Helper'!$F$5:$F$3004,"""")&lt;&gt;""""),ROWS(A$5:A409)),"""")"),"")</f>
        <v/>
      </c>
      <c r="B4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Helper'!$F$5:$F$3004,"""")&lt;&gt;""""),ROWS(B$5:B409)),"""")"),"")</f>
        <v/>
      </c>
      <c r="C4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Helper'!$F$5:$F$3004,"""")&lt;&gt;""""),ROWS(C$5:C409)),"""")"),"")</f>
        <v/>
      </c>
      <c r="D4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Helper'!$F$5:$F$3004,"""")&lt;&gt;""""),ROWS(D$5:D409)),"""")"),"")</f>
        <v/>
      </c>
      <c r="E4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Helper'!$F$5:$F$3004,"""")&lt;&gt;""""),ROWS(E$5:E409)),"""")"),"")</f>
        <v/>
      </c>
      <c r="F4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Helper'!$F$5:$F$3004,"""")&lt;&gt;""""),ROWS(F$5:F409)),IF(AND(LEFT(x,5)=""Page"&amp;" "",ISERROR(SEARCH(""–"",x))),x&amp;""–""&amp;REGEXEXTRACT(x,""[0-9]+$""),x)),"""")"),"")</f>
        <v/>
      </c>
      <c r="G409" s="163"/>
      <c r="H4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Helper'!$F$5:$F$3004,"""")&lt;&gt;""""),ROWS(H$5:H409)),"""")"),"")</f>
        <v/>
      </c>
    </row>
    <row r="410" ht="15.75" customHeight="1">
      <c r="A4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Helper'!$F$5:$F$3004,"""")&lt;&gt;""""),ROWS(A$5:A410)),"""")"),"")</f>
        <v/>
      </c>
      <c r="B4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Helper'!$F$5:$F$3004,"""")&lt;&gt;""""),ROWS(B$5:B410)),"""")"),"")</f>
        <v/>
      </c>
      <c r="C4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Helper'!$F$5:$F$3004,"""")&lt;&gt;""""),ROWS(C$5:C410)),"""")"),"")</f>
        <v/>
      </c>
      <c r="D4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Helper'!$F$5:$F$3004,"""")&lt;&gt;""""),ROWS(D$5:D410)),"""")"),"")</f>
        <v/>
      </c>
      <c r="E4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Helper'!$F$5:$F$3004,"""")&lt;&gt;""""),ROWS(E$5:E410)),"""")"),"")</f>
        <v/>
      </c>
      <c r="F4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Helper'!$F$5:$F$3004,"""")&lt;&gt;""""),ROWS(F$5:F410)),IF(AND(LEFT(x,5)=""Page"&amp;" "",ISERROR(SEARCH(""–"",x))),x&amp;""–""&amp;REGEXEXTRACT(x,""[0-9]+$""),x)),"""")"),"")</f>
        <v/>
      </c>
      <c r="G410" s="163"/>
      <c r="H4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Helper'!$F$5:$F$3004,"""")&lt;&gt;""""),ROWS(H$5:H410)),"""")"),"")</f>
        <v/>
      </c>
    </row>
    <row r="411" ht="15.75" customHeight="1">
      <c r="A4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Helper'!$F$5:$F$3004,"""")&lt;&gt;""""),ROWS(A$5:A411)),"""")"),"")</f>
        <v/>
      </c>
      <c r="B4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Helper'!$F$5:$F$3004,"""")&lt;&gt;""""),ROWS(B$5:B411)),"""")"),"")</f>
        <v/>
      </c>
      <c r="C4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Helper'!$F$5:$F$3004,"""")&lt;&gt;""""),ROWS(C$5:C411)),"""")"),"")</f>
        <v/>
      </c>
      <c r="D4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Helper'!$F$5:$F$3004,"""")&lt;&gt;""""),ROWS(D$5:D411)),"""")"),"")</f>
        <v/>
      </c>
      <c r="E4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Helper'!$F$5:$F$3004,"""")&lt;&gt;""""),ROWS(E$5:E411)),"""")"),"")</f>
        <v/>
      </c>
      <c r="F4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Helper'!$F$5:$F$3004,"""")&lt;&gt;""""),ROWS(F$5:F411)),IF(AND(LEFT(x,5)=""Page"&amp;" "",ISERROR(SEARCH(""–"",x))),x&amp;""–""&amp;REGEXEXTRACT(x,""[0-9]+$""),x)),"""")"),"")</f>
        <v/>
      </c>
      <c r="G411" s="163"/>
      <c r="H4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Helper'!$F$5:$F$3004,"""")&lt;&gt;""""),ROWS(H$5:H411)),"""")"),"")</f>
        <v/>
      </c>
    </row>
    <row r="412" ht="15.75" customHeight="1">
      <c r="A4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Helper'!$F$5:$F$3004,"""")&lt;&gt;""""),ROWS(A$5:A412)),"""")"),"")</f>
        <v/>
      </c>
      <c r="B4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Helper'!$F$5:$F$3004,"""")&lt;&gt;""""),ROWS(B$5:B412)),"""")"),"")</f>
        <v/>
      </c>
      <c r="C4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Helper'!$F$5:$F$3004,"""")&lt;&gt;""""),ROWS(C$5:C412)),"""")"),"")</f>
        <v/>
      </c>
      <c r="D4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Helper'!$F$5:$F$3004,"""")&lt;&gt;""""),ROWS(D$5:D412)),"""")"),"")</f>
        <v/>
      </c>
      <c r="E4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Helper'!$F$5:$F$3004,"""")&lt;&gt;""""),ROWS(E$5:E412)),"""")"),"")</f>
        <v/>
      </c>
      <c r="F4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Helper'!$F$5:$F$3004,"""")&lt;&gt;""""),ROWS(F$5:F412)),IF(AND(LEFT(x,5)=""Page"&amp;" "",ISERROR(SEARCH(""–"",x))),x&amp;""–""&amp;REGEXEXTRACT(x,""[0-9]+$""),x)),"""")"),"")</f>
        <v/>
      </c>
      <c r="G412" s="163"/>
      <c r="H4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Helper'!$F$5:$F$3004,"""")&lt;&gt;""""),ROWS(H$5:H412)),"""")"),"")</f>
        <v/>
      </c>
    </row>
    <row r="413" ht="15.75" customHeight="1">
      <c r="A4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Helper'!$F$5:$F$3004,"""")&lt;&gt;""""),ROWS(A$5:A413)),"""")"),"")</f>
        <v/>
      </c>
      <c r="B4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Helper'!$F$5:$F$3004,"""")&lt;&gt;""""),ROWS(B$5:B413)),"""")"),"")</f>
        <v/>
      </c>
      <c r="C4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Helper'!$F$5:$F$3004,"""")&lt;&gt;""""),ROWS(C$5:C413)),"""")"),"")</f>
        <v/>
      </c>
      <c r="D4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Helper'!$F$5:$F$3004,"""")&lt;&gt;""""),ROWS(D$5:D413)),"""")"),"")</f>
        <v/>
      </c>
      <c r="E4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Helper'!$F$5:$F$3004,"""")&lt;&gt;""""),ROWS(E$5:E413)),"""")"),"")</f>
        <v/>
      </c>
      <c r="F4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Helper'!$F$5:$F$3004,"""")&lt;&gt;""""),ROWS(F$5:F413)),IF(AND(LEFT(x,5)=""Page"&amp;" "",ISERROR(SEARCH(""–"",x))),x&amp;""–""&amp;REGEXEXTRACT(x,""[0-9]+$""),x)),"""")"),"")</f>
        <v/>
      </c>
      <c r="G413" s="163"/>
      <c r="H4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Helper'!$F$5:$F$3004,"""")&lt;&gt;""""),ROWS(H$5:H413)),"""")"),"")</f>
        <v/>
      </c>
    </row>
    <row r="414" ht="15.75" customHeight="1">
      <c r="A4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Helper'!$F$5:$F$3004,"""")&lt;&gt;""""),ROWS(A$5:A414)),"""")"),"")</f>
        <v/>
      </c>
      <c r="B4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Helper'!$F$5:$F$3004,"""")&lt;&gt;""""),ROWS(B$5:B414)),"""")"),"")</f>
        <v/>
      </c>
      <c r="C4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Helper'!$F$5:$F$3004,"""")&lt;&gt;""""),ROWS(C$5:C414)),"""")"),"")</f>
        <v/>
      </c>
      <c r="D4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Helper'!$F$5:$F$3004,"""")&lt;&gt;""""),ROWS(D$5:D414)),"""")"),"")</f>
        <v/>
      </c>
      <c r="E4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Helper'!$F$5:$F$3004,"""")&lt;&gt;""""),ROWS(E$5:E414)),"""")"),"")</f>
        <v/>
      </c>
      <c r="F4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Helper'!$F$5:$F$3004,"""")&lt;&gt;""""),ROWS(F$5:F414)),IF(AND(LEFT(x,5)=""Page"&amp;" "",ISERROR(SEARCH(""–"",x))),x&amp;""–""&amp;REGEXEXTRACT(x,""[0-9]+$""),x)),"""")"),"")</f>
        <v/>
      </c>
      <c r="G414" s="163"/>
      <c r="H4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Helper'!$F$5:$F$3004,"""")&lt;&gt;""""),ROWS(H$5:H414)),"""")"),"")</f>
        <v/>
      </c>
    </row>
    <row r="415" ht="15.75" customHeight="1">
      <c r="A4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Helper'!$F$5:$F$3004,"""")&lt;&gt;""""),ROWS(A$5:A415)),"""")"),"")</f>
        <v/>
      </c>
      <c r="B4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Helper'!$F$5:$F$3004,"""")&lt;&gt;""""),ROWS(B$5:B415)),"""")"),"")</f>
        <v/>
      </c>
      <c r="C4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Helper'!$F$5:$F$3004,"""")&lt;&gt;""""),ROWS(C$5:C415)),"""")"),"")</f>
        <v/>
      </c>
      <c r="D4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Helper'!$F$5:$F$3004,"""")&lt;&gt;""""),ROWS(D$5:D415)),"""")"),"")</f>
        <v/>
      </c>
      <c r="E4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Helper'!$F$5:$F$3004,"""")&lt;&gt;""""),ROWS(E$5:E415)),"""")"),"")</f>
        <v/>
      </c>
      <c r="F4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Helper'!$F$5:$F$3004,"""")&lt;&gt;""""),ROWS(F$5:F415)),IF(AND(LEFT(x,5)=""Page"&amp;" "",ISERROR(SEARCH(""–"",x))),x&amp;""–""&amp;REGEXEXTRACT(x,""[0-9]+$""),x)),"""")"),"")</f>
        <v/>
      </c>
      <c r="G415" s="163"/>
      <c r="H4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Helper'!$F$5:$F$3004,"""")&lt;&gt;""""),ROWS(H$5:H415)),"""")"),"")</f>
        <v/>
      </c>
    </row>
    <row r="416" ht="15.75" customHeight="1">
      <c r="A4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Helper'!$F$5:$F$3004,"""")&lt;&gt;""""),ROWS(A$5:A416)),"""")"),"")</f>
        <v/>
      </c>
      <c r="B4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Helper'!$F$5:$F$3004,"""")&lt;&gt;""""),ROWS(B$5:B416)),"""")"),"")</f>
        <v/>
      </c>
      <c r="C4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Helper'!$F$5:$F$3004,"""")&lt;&gt;""""),ROWS(C$5:C416)),"""")"),"")</f>
        <v/>
      </c>
      <c r="D4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Helper'!$F$5:$F$3004,"""")&lt;&gt;""""),ROWS(D$5:D416)),"""")"),"")</f>
        <v/>
      </c>
      <c r="E4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Helper'!$F$5:$F$3004,"""")&lt;&gt;""""),ROWS(E$5:E416)),"""")"),"")</f>
        <v/>
      </c>
      <c r="F4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Helper'!$F$5:$F$3004,"""")&lt;&gt;""""),ROWS(F$5:F416)),IF(AND(LEFT(x,5)=""Page"&amp;" "",ISERROR(SEARCH(""–"",x))),x&amp;""–""&amp;REGEXEXTRACT(x,""[0-9]+$""),x)),"""")"),"")</f>
        <v/>
      </c>
      <c r="G416" s="163"/>
      <c r="H4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Helper'!$F$5:$F$3004,"""")&lt;&gt;""""),ROWS(H$5:H416)),"""")"),"")</f>
        <v/>
      </c>
    </row>
    <row r="417" ht="15.75" customHeight="1">
      <c r="A4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Helper'!$F$5:$F$3004,"""")&lt;&gt;""""),ROWS(A$5:A417)),"""")"),"")</f>
        <v/>
      </c>
      <c r="B4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Helper'!$F$5:$F$3004,"""")&lt;&gt;""""),ROWS(B$5:B417)),"""")"),"")</f>
        <v/>
      </c>
      <c r="C4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Helper'!$F$5:$F$3004,"""")&lt;&gt;""""),ROWS(C$5:C417)),"""")"),"")</f>
        <v/>
      </c>
      <c r="D4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Helper'!$F$5:$F$3004,"""")&lt;&gt;""""),ROWS(D$5:D417)),"""")"),"")</f>
        <v/>
      </c>
      <c r="E4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Helper'!$F$5:$F$3004,"""")&lt;&gt;""""),ROWS(E$5:E417)),"""")"),"")</f>
        <v/>
      </c>
      <c r="F4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Helper'!$F$5:$F$3004,"""")&lt;&gt;""""),ROWS(F$5:F417)),IF(AND(LEFT(x,5)=""Page"&amp;" "",ISERROR(SEARCH(""–"",x))),x&amp;""–""&amp;REGEXEXTRACT(x,""[0-9]+$""),x)),"""")"),"")</f>
        <v/>
      </c>
      <c r="G417" s="163"/>
      <c r="H4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Helper'!$F$5:$F$3004,"""")&lt;&gt;""""),ROWS(H$5:H417)),"""")"),"")</f>
        <v/>
      </c>
    </row>
    <row r="418" ht="15.75" customHeight="1">
      <c r="A4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Helper'!$F$5:$F$3004,"""")&lt;&gt;""""),ROWS(A$5:A418)),"""")"),"")</f>
        <v/>
      </c>
      <c r="B4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Helper'!$F$5:$F$3004,"""")&lt;&gt;""""),ROWS(B$5:B418)),"""")"),"")</f>
        <v/>
      </c>
      <c r="C4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Helper'!$F$5:$F$3004,"""")&lt;&gt;""""),ROWS(C$5:C418)),"""")"),"")</f>
        <v/>
      </c>
      <c r="D4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Helper'!$F$5:$F$3004,"""")&lt;&gt;""""),ROWS(D$5:D418)),"""")"),"")</f>
        <v/>
      </c>
      <c r="E4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Helper'!$F$5:$F$3004,"""")&lt;&gt;""""),ROWS(E$5:E418)),"""")"),"")</f>
        <v/>
      </c>
      <c r="F4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Helper'!$F$5:$F$3004,"""")&lt;&gt;""""),ROWS(F$5:F418)),IF(AND(LEFT(x,5)=""Page"&amp;" "",ISERROR(SEARCH(""–"",x))),x&amp;""–""&amp;REGEXEXTRACT(x,""[0-9]+$""),x)),"""")"),"")</f>
        <v/>
      </c>
      <c r="G418" s="163"/>
      <c r="H4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Helper'!$F$5:$F$3004,"""")&lt;&gt;""""),ROWS(H$5:H418)),"""")"),"")</f>
        <v/>
      </c>
    </row>
    <row r="419" ht="15.75" customHeight="1">
      <c r="A4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Helper'!$F$5:$F$3004,"""")&lt;&gt;""""),ROWS(A$5:A419)),"""")"),"")</f>
        <v/>
      </c>
      <c r="B4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Helper'!$F$5:$F$3004,"""")&lt;&gt;""""),ROWS(B$5:B419)),"""")"),"")</f>
        <v/>
      </c>
      <c r="C4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Helper'!$F$5:$F$3004,"""")&lt;&gt;""""),ROWS(C$5:C419)),"""")"),"")</f>
        <v/>
      </c>
      <c r="D4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Helper'!$F$5:$F$3004,"""")&lt;&gt;""""),ROWS(D$5:D419)),"""")"),"")</f>
        <v/>
      </c>
      <c r="E4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Helper'!$F$5:$F$3004,"""")&lt;&gt;""""),ROWS(E$5:E419)),"""")"),"")</f>
        <v/>
      </c>
      <c r="F4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Helper'!$F$5:$F$3004,"""")&lt;&gt;""""),ROWS(F$5:F419)),IF(AND(LEFT(x,5)=""Page"&amp;" "",ISERROR(SEARCH(""–"",x))),x&amp;""–""&amp;REGEXEXTRACT(x,""[0-9]+$""),x)),"""")"),"")</f>
        <v/>
      </c>
      <c r="G419" s="163"/>
      <c r="H4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Helper'!$F$5:$F$3004,"""")&lt;&gt;""""),ROWS(H$5:H419)),"""")"),"")</f>
        <v/>
      </c>
    </row>
    <row r="420" ht="15.75" customHeight="1">
      <c r="A4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Helper'!$F$5:$F$3004,"""")&lt;&gt;""""),ROWS(A$5:A420)),"""")"),"")</f>
        <v/>
      </c>
      <c r="B4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Helper'!$F$5:$F$3004,"""")&lt;&gt;""""),ROWS(B$5:B420)),"""")"),"")</f>
        <v/>
      </c>
      <c r="C4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Helper'!$F$5:$F$3004,"""")&lt;&gt;""""),ROWS(C$5:C420)),"""")"),"")</f>
        <v/>
      </c>
      <c r="D4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Helper'!$F$5:$F$3004,"""")&lt;&gt;""""),ROWS(D$5:D420)),"""")"),"")</f>
        <v/>
      </c>
      <c r="E4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Helper'!$F$5:$F$3004,"""")&lt;&gt;""""),ROWS(E$5:E420)),"""")"),"")</f>
        <v/>
      </c>
      <c r="F4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Helper'!$F$5:$F$3004,"""")&lt;&gt;""""),ROWS(F$5:F420)),IF(AND(LEFT(x,5)=""Page"&amp;" "",ISERROR(SEARCH(""–"",x))),x&amp;""–""&amp;REGEXEXTRACT(x,""[0-9]+$""),x)),"""")"),"")</f>
        <v/>
      </c>
      <c r="G420" s="163"/>
      <c r="H4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Helper'!$F$5:$F$3004,"""")&lt;&gt;""""),ROWS(H$5:H420)),"""")"),"")</f>
        <v/>
      </c>
    </row>
    <row r="421" ht="15.75" customHeight="1">
      <c r="A4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Helper'!$F$5:$F$3004,"""")&lt;&gt;""""),ROWS(A$5:A421)),"""")"),"")</f>
        <v/>
      </c>
      <c r="B4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Helper'!$F$5:$F$3004,"""")&lt;&gt;""""),ROWS(B$5:B421)),"""")"),"")</f>
        <v/>
      </c>
      <c r="C4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Helper'!$F$5:$F$3004,"""")&lt;&gt;""""),ROWS(C$5:C421)),"""")"),"")</f>
        <v/>
      </c>
      <c r="D4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Helper'!$F$5:$F$3004,"""")&lt;&gt;""""),ROWS(D$5:D421)),"""")"),"")</f>
        <v/>
      </c>
      <c r="E4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Helper'!$F$5:$F$3004,"""")&lt;&gt;""""),ROWS(E$5:E421)),"""")"),"")</f>
        <v/>
      </c>
      <c r="F4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Helper'!$F$5:$F$3004,"""")&lt;&gt;""""),ROWS(F$5:F421)),IF(AND(LEFT(x,5)=""Page"&amp;" "",ISERROR(SEARCH(""–"",x))),x&amp;""–""&amp;REGEXEXTRACT(x,""[0-9]+$""),x)),"""")"),"")</f>
        <v/>
      </c>
      <c r="G421" s="163"/>
      <c r="H4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Helper'!$F$5:$F$3004,"""")&lt;&gt;""""),ROWS(H$5:H421)),"""")"),"")</f>
        <v/>
      </c>
    </row>
    <row r="422" ht="15.75" customHeight="1">
      <c r="A4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Helper'!$F$5:$F$3004,"""")&lt;&gt;""""),ROWS(A$5:A422)),"""")"),"")</f>
        <v/>
      </c>
      <c r="B4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Helper'!$F$5:$F$3004,"""")&lt;&gt;""""),ROWS(B$5:B422)),"""")"),"")</f>
        <v/>
      </c>
      <c r="C4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Helper'!$F$5:$F$3004,"""")&lt;&gt;""""),ROWS(C$5:C422)),"""")"),"")</f>
        <v/>
      </c>
      <c r="D4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Helper'!$F$5:$F$3004,"""")&lt;&gt;""""),ROWS(D$5:D422)),"""")"),"")</f>
        <v/>
      </c>
      <c r="E4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Helper'!$F$5:$F$3004,"""")&lt;&gt;""""),ROWS(E$5:E422)),"""")"),"")</f>
        <v/>
      </c>
      <c r="F4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Helper'!$F$5:$F$3004,"""")&lt;&gt;""""),ROWS(F$5:F422)),IF(AND(LEFT(x,5)=""Page"&amp;" "",ISERROR(SEARCH(""–"",x))),x&amp;""–""&amp;REGEXEXTRACT(x,""[0-9]+$""),x)),"""")"),"")</f>
        <v/>
      </c>
      <c r="G422" s="163"/>
      <c r="H4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Helper'!$F$5:$F$3004,"""")&lt;&gt;""""),ROWS(H$5:H422)),"""")"),"")</f>
        <v/>
      </c>
    </row>
    <row r="423" ht="15.75" customHeight="1">
      <c r="A4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Helper'!$F$5:$F$3004,"""")&lt;&gt;""""),ROWS(A$5:A423)),"""")"),"")</f>
        <v/>
      </c>
      <c r="B4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Helper'!$F$5:$F$3004,"""")&lt;&gt;""""),ROWS(B$5:B423)),"""")"),"")</f>
        <v/>
      </c>
      <c r="C4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Helper'!$F$5:$F$3004,"""")&lt;&gt;""""),ROWS(C$5:C423)),"""")"),"")</f>
        <v/>
      </c>
      <c r="D4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Helper'!$F$5:$F$3004,"""")&lt;&gt;""""),ROWS(D$5:D423)),"""")"),"")</f>
        <v/>
      </c>
      <c r="E4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Helper'!$F$5:$F$3004,"""")&lt;&gt;""""),ROWS(E$5:E423)),"""")"),"")</f>
        <v/>
      </c>
      <c r="F4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Helper'!$F$5:$F$3004,"""")&lt;&gt;""""),ROWS(F$5:F423)),IF(AND(LEFT(x,5)=""Page"&amp;" "",ISERROR(SEARCH(""–"",x))),x&amp;""–""&amp;REGEXEXTRACT(x,""[0-9]+$""),x)),"""")"),"")</f>
        <v/>
      </c>
      <c r="G423" s="163"/>
      <c r="H4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Helper'!$F$5:$F$3004,"""")&lt;&gt;""""),ROWS(H$5:H423)),"""")"),"")</f>
        <v/>
      </c>
    </row>
    <row r="424" ht="15.75" customHeight="1">
      <c r="A4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Helper'!$F$5:$F$3004,"""")&lt;&gt;""""),ROWS(A$5:A424)),"""")"),"")</f>
        <v/>
      </c>
      <c r="B4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Helper'!$F$5:$F$3004,"""")&lt;&gt;""""),ROWS(B$5:B424)),"""")"),"")</f>
        <v/>
      </c>
      <c r="C4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Helper'!$F$5:$F$3004,"""")&lt;&gt;""""),ROWS(C$5:C424)),"""")"),"")</f>
        <v/>
      </c>
      <c r="D4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Helper'!$F$5:$F$3004,"""")&lt;&gt;""""),ROWS(D$5:D424)),"""")"),"")</f>
        <v/>
      </c>
      <c r="E4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Helper'!$F$5:$F$3004,"""")&lt;&gt;""""),ROWS(E$5:E424)),"""")"),"")</f>
        <v/>
      </c>
      <c r="F4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Helper'!$F$5:$F$3004,"""")&lt;&gt;""""),ROWS(F$5:F424)),IF(AND(LEFT(x,5)=""Page"&amp;" "",ISERROR(SEARCH(""–"",x))),x&amp;""–""&amp;REGEXEXTRACT(x,""[0-9]+$""),x)),"""")"),"")</f>
        <v/>
      </c>
      <c r="G424" s="163"/>
      <c r="H4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Helper'!$F$5:$F$3004,"""")&lt;&gt;""""),ROWS(H$5:H424)),"""")"),"")</f>
        <v/>
      </c>
    </row>
    <row r="425" ht="15.75" customHeight="1">
      <c r="A4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Helper'!$F$5:$F$3004,"""")&lt;&gt;""""),ROWS(A$5:A425)),"""")"),"")</f>
        <v/>
      </c>
      <c r="B4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Helper'!$F$5:$F$3004,"""")&lt;&gt;""""),ROWS(B$5:B425)),"""")"),"")</f>
        <v/>
      </c>
      <c r="C4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Helper'!$F$5:$F$3004,"""")&lt;&gt;""""),ROWS(C$5:C425)),"""")"),"")</f>
        <v/>
      </c>
      <c r="D4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Helper'!$F$5:$F$3004,"""")&lt;&gt;""""),ROWS(D$5:D425)),"""")"),"")</f>
        <v/>
      </c>
      <c r="E4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Helper'!$F$5:$F$3004,"""")&lt;&gt;""""),ROWS(E$5:E425)),"""")"),"")</f>
        <v/>
      </c>
      <c r="F4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Helper'!$F$5:$F$3004,"""")&lt;&gt;""""),ROWS(F$5:F425)),IF(AND(LEFT(x,5)=""Page"&amp;" "",ISERROR(SEARCH(""–"",x))),x&amp;""–""&amp;REGEXEXTRACT(x,""[0-9]+$""),x)),"""")"),"")</f>
        <v/>
      </c>
      <c r="G425" s="163"/>
      <c r="H4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Helper'!$F$5:$F$3004,"""")&lt;&gt;""""),ROWS(H$5:H425)),"""")"),"")</f>
        <v/>
      </c>
    </row>
    <row r="426" ht="15.75" customHeight="1">
      <c r="A4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Helper'!$F$5:$F$3004,"""")&lt;&gt;""""),ROWS(A$5:A426)),"""")"),"")</f>
        <v/>
      </c>
      <c r="B4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Helper'!$F$5:$F$3004,"""")&lt;&gt;""""),ROWS(B$5:B426)),"""")"),"")</f>
        <v/>
      </c>
      <c r="C4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Helper'!$F$5:$F$3004,"""")&lt;&gt;""""),ROWS(C$5:C426)),"""")"),"")</f>
        <v/>
      </c>
      <c r="D4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Helper'!$F$5:$F$3004,"""")&lt;&gt;""""),ROWS(D$5:D426)),"""")"),"")</f>
        <v/>
      </c>
      <c r="E4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Helper'!$F$5:$F$3004,"""")&lt;&gt;""""),ROWS(E$5:E426)),"""")"),"")</f>
        <v/>
      </c>
      <c r="F4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Helper'!$F$5:$F$3004,"""")&lt;&gt;""""),ROWS(F$5:F426)),IF(AND(LEFT(x,5)=""Page"&amp;" "",ISERROR(SEARCH(""–"",x))),x&amp;""–""&amp;REGEXEXTRACT(x,""[0-9]+$""),x)),"""")"),"")</f>
        <v/>
      </c>
      <c r="G426" s="163"/>
      <c r="H4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Helper'!$F$5:$F$3004,"""")&lt;&gt;""""),ROWS(H$5:H426)),"""")"),"")</f>
        <v/>
      </c>
    </row>
    <row r="427" ht="15.75" customHeight="1">
      <c r="A4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Helper'!$F$5:$F$3004,"""")&lt;&gt;""""),ROWS(A$5:A427)),"""")"),"")</f>
        <v/>
      </c>
      <c r="B4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Helper'!$F$5:$F$3004,"""")&lt;&gt;""""),ROWS(B$5:B427)),"""")"),"")</f>
        <v/>
      </c>
      <c r="C4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Helper'!$F$5:$F$3004,"""")&lt;&gt;""""),ROWS(C$5:C427)),"""")"),"")</f>
        <v/>
      </c>
      <c r="D4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Helper'!$F$5:$F$3004,"""")&lt;&gt;""""),ROWS(D$5:D427)),"""")"),"")</f>
        <v/>
      </c>
      <c r="E4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Helper'!$F$5:$F$3004,"""")&lt;&gt;""""),ROWS(E$5:E427)),"""")"),"")</f>
        <v/>
      </c>
      <c r="F4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Helper'!$F$5:$F$3004,"""")&lt;&gt;""""),ROWS(F$5:F427)),IF(AND(LEFT(x,5)=""Page"&amp;" "",ISERROR(SEARCH(""–"",x))),x&amp;""–""&amp;REGEXEXTRACT(x,""[0-9]+$""),x)),"""")"),"")</f>
        <v/>
      </c>
      <c r="G427" s="163"/>
      <c r="H4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Helper'!$F$5:$F$3004,"""")&lt;&gt;""""),ROWS(H$5:H427)),"""")"),"")</f>
        <v/>
      </c>
    </row>
    <row r="428" ht="15.75" customHeight="1">
      <c r="A4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Helper'!$F$5:$F$3004,"""")&lt;&gt;""""),ROWS(A$5:A428)),"""")"),"")</f>
        <v/>
      </c>
      <c r="B4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Helper'!$F$5:$F$3004,"""")&lt;&gt;""""),ROWS(B$5:B428)),"""")"),"")</f>
        <v/>
      </c>
      <c r="C4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Helper'!$F$5:$F$3004,"""")&lt;&gt;""""),ROWS(C$5:C428)),"""")"),"")</f>
        <v/>
      </c>
      <c r="D4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Helper'!$F$5:$F$3004,"""")&lt;&gt;""""),ROWS(D$5:D428)),"""")"),"")</f>
        <v/>
      </c>
      <c r="E4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Helper'!$F$5:$F$3004,"""")&lt;&gt;""""),ROWS(E$5:E428)),"""")"),"")</f>
        <v/>
      </c>
      <c r="F4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Helper'!$F$5:$F$3004,"""")&lt;&gt;""""),ROWS(F$5:F428)),IF(AND(LEFT(x,5)=""Page"&amp;" "",ISERROR(SEARCH(""–"",x))),x&amp;""–""&amp;REGEXEXTRACT(x,""[0-9]+$""),x)),"""")"),"")</f>
        <v/>
      </c>
      <c r="G428" s="163"/>
      <c r="H4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Helper'!$F$5:$F$3004,"""")&lt;&gt;""""),ROWS(H$5:H428)),"""")"),"")</f>
        <v/>
      </c>
    </row>
    <row r="429" ht="15.75" customHeight="1">
      <c r="A4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Helper'!$F$5:$F$3004,"""")&lt;&gt;""""),ROWS(A$5:A429)),"""")"),"")</f>
        <v/>
      </c>
      <c r="B4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Helper'!$F$5:$F$3004,"""")&lt;&gt;""""),ROWS(B$5:B429)),"""")"),"")</f>
        <v/>
      </c>
      <c r="C4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Helper'!$F$5:$F$3004,"""")&lt;&gt;""""),ROWS(C$5:C429)),"""")"),"")</f>
        <v/>
      </c>
      <c r="D4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Helper'!$F$5:$F$3004,"""")&lt;&gt;""""),ROWS(D$5:D429)),"""")"),"")</f>
        <v/>
      </c>
      <c r="E4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Helper'!$F$5:$F$3004,"""")&lt;&gt;""""),ROWS(E$5:E429)),"""")"),"")</f>
        <v/>
      </c>
      <c r="F4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Helper'!$F$5:$F$3004,"""")&lt;&gt;""""),ROWS(F$5:F429)),IF(AND(LEFT(x,5)=""Page"&amp;" "",ISERROR(SEARCH(""–"",x))),x&amp;""–""&amp;REGEXEXTRACT(x,""[0-9]+$""),x)),"""")"),"")</f>
        <v/>
      </c>
      <c r="G429" s="163"/>
      <c r="H4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Helper'!$F$5:$F$3004,"""")&lt;&gt;""""),ROWS(H$5:H429)),"""")"),"")</f>
        <v/>
      </c>
    </row>
    <row r="430" ht="15.75" customHeight="1">
      <c r="A4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Helper'!$F$5:$F$3004,"""")&lt;&gt;""""),ROWS(A$5:A430)),"""")"),"")</f>
        <v/>
      </c>
      <c r="B4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Helper'!$F$5:$F$3004,"""")&lt;&gt;""""),ROWS(B$5:B430)),"""")"),"")</f>
        <v/>
      </c>
      <c r="C4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Helper'!$F$5:$F$3004,"""")&lt;&gt;""""),ROWS(C$5:C430)),"""")"),"")</f>
        <v/>
      </c>
      <c r="D4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Helper'!$F$5:$F$3004,"""")&lt;&gt;""""),ROWS(D$5:D430)),"""")"),"")</f>
        <v/>
      </c>
      <c r="E4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Helper'!$F$5:$F$3004,"""")&lt;&gt;""""),ROWS(E$5:E430)),"""")"),"")</f>
        <v/>
      </c>
      <c r="F4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Helper'!$F$5:$F$3004,"""")&lt;&gt;""""),ROWS(F$5:F430)),IF(AND(LEFT(x,5)=""Page"&amp;" "",ISERROR(SEARCH(""–"",x))),x&amp;""–""&amp;REGEXEXTRACT(x,""[0-9]+$""),x)),"""")"),"")</f>
        <v/>
      </c>
      <c r="G430" s="163"/>
      <c r="H4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Helper'!$F$5:$F$3004,"""")&lt;&gt;""""),ROWS(H$5:H430)),"""")"),"")</f>
        <v/>
      </c>
    </row>
    <row r="431" ht="15.75" customHeight="1">
      <c r="A4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Helper'!$F$5:$F$3004,"""")&lt;&gt;""""),ROWS(A$5:A431)),"""")"),"")</f>
        <v/>
      </c>
      <c r="B4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Helper'!$F$5:$F$3004,"""")&lt;&gt;""""),ROWS(B$5:B431)),"""")"),"")</f>
        <v/>
      </c>
      <c r="C4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Helper'!$F$5:$F$3004,"""")&lt;&gt;""""),ROWS(C$5:C431)),"""")"),"")</f>
        <v/>
      </c>
      <c r="D4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Helper'!$F$5:$F$3004,"""")&lt;&gt;""""),ROWS(D$5:D431)),"""")"),"")</f>
        <v/>
      </c>
      <c r="E4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Helper'!$F$5:$F$3004,"""")&lt;&gt;""""),ROWS(E$5:E431)),"""")"),"")</f>
        <v/>
      </c>
      <c r="F4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Helper'!$F$5:$F$3004,"""")&lt;&gt;""""),ROWS(F$5:F431)),IF(AND(LEFT(x,5)=""Page"&amp;" "",ISERROR(SEARCH(""–"",x))),x&amp;""–""&amp;REGEXEXTRACT(x,""[0-9]+$""),x)),"""")"),"")</f>
        <v/>
      </c>
      <c r="G431" s="163"/>
      <c r="H4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Helper'!$F$5:$F$3004,"""")&lt;&gt;""""),ROWS(H$5:H431)),"""")"),"")</f>
        <v/>
      </c>
    </row>
    <row r="432" ht="15.75" customHeight="1">
      <c r="A4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Helper'!$F$5:$F$3004,"""")&lt;&gt;""""),ROWS(A$5:A432)),"""")"),"")</f>
        <v/>
      </c>
      <c r="B4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Helper'!$F$5:$F$3004,"""")&lt;&gt;""""),ROWS(B$5:B432)),"""")"),"")</f>
        <v/>
      </c>
      <c r="C4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Helper'!$F$5:$F$3004,"""")&lt;&gt;""""),ROWS(C$5:C432)),"""")"),"")</f>
        <v/>
      </c>
      <c r="D4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Helper'!$F$5:$F$3004,"""")&lt;&gt;""""),ROWS(D$5:D432)),"""")"),"")</f>
        <v/>
      </c>
      <c r="E4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Helper'!$F$5:$F$3004,"""")&lt;&gt;""""),ROWS(E$5:E432)),"""")"),"")</f>
        <v/>
      </c>
      <c r="F4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Helper'!$F$5:$F$3004,"""")&lt;&gt;""""),ROWS(F$5:F432)),IF(AND(LEFT(x,5)=""Page"&amp;" "",ISERROR(SEARCH(""–"",x))),x&amp;""–""&amp;REGEXEXTRACT(x,""[0-9]+$""),x)),"""")"),"")</f>
        <v/>
      </c>
      <c r="G432" s="163"/>
      <c r="H4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Helper'!$F$5:$F$3004,"""")&lt;&gt;""""),ROWS(H$5:H432)),"""")"),"")</f>
        <v/>
      </c>
    </row>
    <row r="433" ht="15.75" customHeight="1">
      <c r="A4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Helper'!$F$5:$F$3004,"""")&lt;&gt;""""),ROWS(A$5:A433)),"""")"),"")</f>
        <v/>
      </c>
      <c r="B4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Helper'!$F$5:$F$3004,"""")&lt;&gt;""""),ROWS(B$5:B433)),"""")"),"")</f>
        <v/>
      </c>
      <c r="C4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Helper'!$F$5:$F$3004,"""")&lt;&gt;""""),ROWS(C$5:C433)),"""")"),"")</f>
        <v/>
      </c>
      <c r="D4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Helper'!$F$5:$F$3004,"""")&lt;&gt;""""),ROWS(D$5:D433)),"""")"),"")</f>
        <v/>
      </c>
      <c r="E4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Helper'!$F$5:$F$3004,"""")&lt;&gt;""""),ROWS(E$5:E433)),"""")"),"")</f>
        <v/>
      </c>
      <c r="F4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Helper'!$F$5:$F$3004,"""")&lt;&gt;""""),ROWS(F$5:F433)),IF(AND(LEFT(x,5)=""Page"&amp;" "",ISERROR(SEARCH(""–"",x))),x&amp;""–""&amp;REGEXEXTRACT(x,""[0-9]+$""),x)),"""")"),"")</f>
        <v/>
      </c>
      <c r="G433" s="163"/>
      <c r="H4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Helper'!$F$5:$F$3004,"""")&lt;&gt;""""),ROWS(H$5:H433)),"""")"),"")</f>
        <v/>
      </c>
    </row>
    <row r="434" ht="15.75" customHeight="1">
      <c r="A4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Helper'!$F$5:$F$3004,"""")&lt;&gt;""""),ROWS(A$5:A434)),"""")"),"")</f>
        <v/>
      </c>
      <c r="B4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Helper'!$F$5:$F$3004,"""")&lt;&gt;""""),ROWS(B$5:B434)),"""")"),"")</f>
        <v/>
      </c>
      <c r="C4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Helper'!$F$5:$F$3004,"""")&lt;&gt;""""),ROWS(C$5:C434)),"""")"),"")</f>
        <v/>
      </c>
      <c r="D4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Helper'!$F$5:$F$3004,"""")&lt;&gt;""""),ROWS(D$5:D434)),"""")"),"")</f>
        <v/>
      </c>
      <c r="E4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Helper'!$F$5:$F$3004,"""")&lt;&gt;""""),ROWS(E$5:E434)),"""")"),"")</f>
        <v/>
      </c>
      <c r="F4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Helper'!$F$5:$F$3004,"""")&lt;&gt;""""),ROWS(F$5:F434)),IF(AND(LEFT(x,5)=""Page"&amp;" "",ISERROR(SEARCH(""–"",x))),x&amp;""–""&amp;REGEXEXTRACT(x,""[0-9]+$""),x)),"""")"),"")</f>
        <v/>
      </c>
      <c r="G434" s="163"/>
      <c r="H4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Helper'!$F$5:$F$3004,"""")&lt;&gt;""""),ROWS(H$5:H434)),"""")"),"")</f>
        <v/>
      </c>
    </row>
    <row r="435" ht="15.75" customHeight="1">
      <c r="A4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Helper'!$F$5:$F$3004,"""")&lt;&gt;""""),ROWS(A$5:A435)),"""")"),"")</f>
        <v/>
      </c>
      <c r="B4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Helper'!$F$5:$F$3004,"""")&lt;&gt;""""),ROWS(B$5:B435)),"""")"),"")</f>
        <v/>
      </c>
      <c r="C4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Helper'!$F$5:$F$3004,"""")&lt;&gt;""""),ROWS(C$5:C435)),"""")"),"")</f>
        <v/>
      </c>
      <c r="D4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Helper'!$F$5:$F$3004,"""")&lt;&gt;""""),ROWS(D$5:D435)),"""")"),"")</f>
        <v/>
      </c>
      <c r="E4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Helper'!$F$5:$F$3004,"""")&lt;&gt;""""),ROWS(E$5:E435)),"""")"),"")</f>
        <v/>
      </c>
      <c r="F4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Helper'!$F$5:$F$3004,"""")&lt;&gt;""""),ROWS(F$5:F435)),IF(AND(LEFT(x,5)=""Page"&amp;" "",ISERROR(SEARCH(""–"",x))),x&amp;""–""&amp;REGEXEXTRACT(x,""[0-9]+$""),x)),"""")"),"")</f>
        <v/>
      </c>
      <c r="G435" s="163"/>
      <c r="H4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Helper'!$F$5:$F$3004,"""")&lt;&gt;""""),ROWS(H$5:H435)),"""")"),"")</f>
        <v/>
      </c>
    </row>
    <row r="436" ht="15.75" customHeight="1">
      <c r="A4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Helper'!$F$5:$F$3004,"""")&lt;&gt;""""),ROWS(A$5:A436)),"""")"),"")</f>
        <v/>
      </c>
      <c r="B4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Helper'!$F$5:$F$3004,"""")&lt;&gt;""""),ROWS(B$5:B436)),"""")"),"")</f>
        <v/>
      </c>
      <c r="C4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Helper'!$F$5:$F$3004,"""")&lt;&gt;""""),ROWS(C$5:C436)),"""")"),"")</f>
        <v/>
      </c>
      <c r="D4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Helper'!$F$5:$F$3004,"""")&lt;&gt;""""),ROWS(D$5:D436)),"""")"),"")</f>
        <v/>
      </c>
      <c r="E4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Helper'!$F$5:$F$3004,"""")&lt;&gt;""""),ROWS(E$5:E436)),"""")"),"")</f>
        <v/>
      </c>
      <c r="F4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Helper'!$F$5:$F$3004,"""")&lt;&gt;""""),ROWS(F$5:F436)),IF(AND(LEFT(x,5)=""Page"&amp;" "",ISERROR(SEARCH(""–"",x))),x&amp;""–""&amp;REGEXEXTRACT(x,""[0-9]+$""),x)),"""")"),"")</f>
        <v/>
      </c>
      <c r="G436" s="163"/>
      <c r="H4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Helper'!$F$5:$F$3004,"""")&lt;&gt;""""),ROWS(H$5:H436)),"""")"),"")</f>
        <v/>
      </c>
    </row>
    <row r="437" ht="15.75" customHeight="1">
      <c r="A4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Helper'!$F$5:$F$3004,"""")&lt;&gt;""""),ROWS(A$5:A437)),"""")"),"")</f>
        <v/>
      </c>
      <c r="B4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Helper'!$F$5:$F$3004,"""")&lt;&gt;""""),ROWS(B$5:B437)),"""")"),"")</f>
        <v/>
      </c>
      <c r="C4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Helper'!$F$5:$F$3004,"""")&lt;&gt;""""),ROWS(C$5:C437)),"""")"),"")</f>
        <v/>
      </c>
      <c r="D4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Helper'!$F$5:$F$3004,"""")&lt;&gt;""""),ROWS(D$5:D437)),"""")"),"")</f>
        <v/>
      </c>
      <c r="E4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Helper'!$F$5:$F$3004,"""")&lt;&gt;""""),ROWS(E$5:E437)),"""")"),"")</f>
        <v/>
      </c>
      <c r="F4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Helper'!$F$5:$F$3004,"""")&lt;&gt;""""),ROWS(F$5:F437)),IF(AND(LEFT(x,5)=""Page"&amp;" "",ISERROR(SEARCH(""–"",x))),x&amp;""–""&amp;REGEXEXTRACT(x,""[0-9]+$""),x)),"""")"),"")</f>
        <v/>
      </c>
      <c r="G437" s="163"/>
      <c r="H4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Helper'!$F$5:$F$3004,"""")&lt;&gt;""""),ROWS(H$5:H437)),"""")"),"")</f>
        <v/>
      </c>
    </row>
    <row r="438" ht="15.75" customHeight="1">
      <c r="A4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Helper'!$F$5:$F$3004,"""")&lt;&gt;""""),ROWS(A$5:A438)),"""")"),"")</f>
        <v/>
      </c>
      <c r="B4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Helper'!$F$5:$F$3004,"""")&lt;&gt;""""),ROWS(B$5:B438)),"""")"),"")</f>
        <v/>
      </c>
      <c r="C4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Helper'!$F$5:$F$3004,"""")&lt;&gt;""""),ROWS(C$5:C438)),"""")"),"")</f>
        <v/>
      </c>
      <c r="D4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Helper'!$F$5:$F$3004,"""")&lt;&gt;""""),ROWS(D$5:D438)),"""")"),"")</f>
        <v/>
      </c>
      <c r="E4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Helper'!$F$5:$F$3004,"""")&lt;&gt;""""),ROWS(E$5:E438)),"""")"),"")</f>
        <v/>
      </c>
      <c r="F4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Helper'!$F$5:$F$3004,"""")&lt;&gt;""""),ROWS(F$5:F438)),IF(AND(LEFT(x,5)=""Page"&amp;" "",ISERROR(SEARCH(""–"",x))),x&amp;""–""&amp;REGEXEXTRACT(x,""[0-9]+$""),x)),"""")"),"")</f>
        <v/>
      </c>
      <c r="G438" s="163"/>
      <c r="H4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Helper'!$F$5:$F$3004,"""")&lt;&gt;""""),ROWS(H$5:H438)),"""")"),"")</f>
        <v/>
      </c>
    </row>
    <row r="439" ht="15.75" customHeight="1">
      <c r="A4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Helper'!$F$5:$F$3004,"""")&lt;&gt;""""),ROWS(A$5:A439)),"""")"),"")</f>
        <v/>
      </c>
      <c r="B4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Helper'!$F$5:$F$3004,"""")&lt;&gt;""""),ROWS(B$5:B439)),"""")"),"")</f>
        <v/>
      </c>
      <c r="C4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Helper'!$F$5:$F$3004,"""")&lt;&gt;""""),ROWS(C$5:C439)),"""")"),"")</f>
        <v/>
      </c>
      <c r="D4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Helper'!$F$5:$F$3004,"""")&lt;&gt;""""),ROWS(D$5:D439)),"""")"),"")</f>
        <v/>
      </c>
      <c r="E4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Helper'!$F$5:$F$3004,"""")&lt;&gt;""""),ROWS(E$5:E439)),"""")"),"")</f>
        <v/>
      </c>
      <c r="F4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Helper'!$F$5:$F$3004,"""")&lt;&gt;""""),ROWS(F$5:F439)),IF(AND(LEFT(x,5)=""Page"&amp;" "",ISERROR(SEARCH(""–"",x))),x&amp;""–""&amp;REGEXEXTRACT(x,""[0-9]+$""),x)),"""")"),"")</f>
        <v/>
      </c>
      <c r="G439" s="163"/>
      <c r="H4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Helper'!$F$5:$F$3004,"""")&lt;&gt;""""),ROWS(H$5:H439)),"""")"),"")</f>
        <v/>
      </c>
    </row>
    <row r="440" ht="15.75" customHeight="1">
      <c r="A4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Helper'!$F$5:$F$3004,"""")&lt;&gt;""""),ROWS(A$5:A440)),"""")"),"")</f>
        <v/>
      </c>
      <c r="B4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Helper'!$F$5:$F$3004,"""")&lt;&gt;""""),ROWS(B$5:B440)),"""")"),"")</f>
        <v/>
      </c>
      <c r="C4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Helper'!$F$5:$F$3004,"""")&lt;&gt;""""),ROWS(C$5:C440)),"""")"),"")</f>
        <v/>
      </c>
      <c r="D4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Helper'!$F$5:$F$3004,"""")&lt;&gt;""""),ROWS(D$5:D440)),"""")"),"")</f>
        <v/>
      </c>
      <c r="E4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Helper'!$F$5:$F$3004,"""")&lt;&gt;""""),ROWS(E$5:E440)),"""")"),"")</f>
        <v/>
      </c>
      <c r="F4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Helper'!$F$5:$F$3004,"""")&lt;&gt;""""),ROWS(F$5:F440)),IF(AND(LEFT(x,5)=""Page"&amp;" "",ISERROR(SEARCH(""–"",x))),x&amp;""–""&amp;REGEXEXTRACT(x,""[0-9]+$""),x)),"""")"),"")</f>
        <v/>
      </c>
      <c r="G440" s="163"/>
      <c r="H4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Helper'!$F$5:$F$3004,"""")&lt;&gt;""""),ROWS(H$5:H440)),"""")"),"")</f>
        <v/>
      </c>
    </row>
    <row r="441" ht="15.75" customHeight="1">
      <c r="A4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Helper'!$F$5:$F$3004,"""")&lt;&gt;""""),ROWS(A$5:A441)),"""")"),"")</f>
        <v/>
      </c>
      <c r="B4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Helper'!$F$5:$F$3004,"""")&lt;&gt;""""),ROWS(B$5:B441)),"""")"),"")</f>
        <v/>
      </c>
      <c r="C4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Helper'!$F$5:$F$3004,"""")&lt;&gt;""""),ROWS(C$5:C441)),"""")"),"")</f>
        <v/>
      </c>
      <c r="D4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Helper'!$F$5:$F$3004,"""")&lt;&gt;""""),ROWS(D$5:D441)),"""")"),"")</f>
        <v/>
      </c>
      <c r="E4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Helper'!$F$5:$F$3004,"""")&lt;&gt;""""),ROWS(E$5:E441)),"""")"),"")</f>
        <v/>
      </c>
      <c r="F4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Helper'!$F$5:$F$3004,"""")&lt;&gt;""""),ROWS(F$5:F441)),IF(AND(LEFT(x,5)=""Page"&amp;" "",ISERROR(SEARCH(""–"",x))),x&amp;""–""&amp;REGEXEXTRACT(x,""[0-9]+$""),x)),"""")"),"")</f>
        <v/>
      </c>
      <c r="G441" s="163"/>
      <c r="H4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Helper'!$F$5:$F$3004,"""")&lt;&gt;""""),ROWS(H$5:H441)),"""")"),"")</f>
        <v/>
      </c>
    </row>
    <row r="442" ht="15.75" customHeight="1">
      <c r="A4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Helper'!$F$5:$F$3004,"""")&lt;&gt;""""),ROWS(A$5:A442)),"""")"),"")</f>
        <v/>
      </c>
      <c r="B4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Helper'!$F$5:$F$3004,"""")&lt;&gt;""""),ROWS(B$5:B442)),"""")"),"")</f>
        <v/>
      </c>
      <c r="C4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Helper'!$F$5:$F$3004,"""")&lt;&gt;""""),ROWS(C$5:C442)),"""")"),"")</f>
        <v/>
      </c>
      <c r="D4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Helper'!$F$5:$F$3004,"""")&lt;&gt;""""),ROWS(D$5:D442)),"""")"),"")</f>
        <v/>
      </c>
      <c r="E4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Helper'!$F$5:$F$3004,"""")&lt;&gt;""""),ROWS(E$5:E442)),"""")"),"")</f>
        <v/>
      </c>
      <c r="F4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Helper'!$F$5:$F$3004,"""")&lt;&gt;""""),ROWS(F$5:F442)),IF(AND(LEFT(x,5)=""Page"&amp;" "",ISERROR(SEARCH(""–"",x))),x&amp;""–""&amp;REGEXEXTRACT(x,""[0-9]+$""),x)),"""")"),"")</f>
        <v/>
      </c>
      <c r="G442" s="163"/>
      <c r="H4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Helper'!$F$5:$F$3004,"""")&lt;&gt;""""),ROWS(H$5:H442)),"""")"),"")</f>
        <v/>
      </c>
    </row>
    <row r="443" ht="15.75" customHeight="1">
      <c r="A4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Helper'!$F$5:$F$3004,"""")&lt;&gt;""""),ROWS(A$5:A443)),"""")"),"")</f>
        <v/>
      </c>
      <c r="B4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Helper'!$F$5:$F$3004,"""")&lt;&gt;""""),ROWS(B$5:B443)),"""")"),"")</f>
        <v/>
      </c>
      <c r="C4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Helper'!$F$5:$F$3004,"""")&lt;&gt;""""),ROWS(C$5:C443)),"""")"),"")</f>
        <v/>
      </c>
      <c r="D4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Helper'!$F$5:$F$3004,"""")&lt;&gt;""""),ROWS(D$5:D443)),"""")"),"")</f>
        <v/>
      </c>
      <c r="E4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Helper'!$F$5:$F$3004,"""")&lt;&gt;""""),ROWS(E$5:E443)),"""")"),"")</f>
        <v/>
      </c>
      <c r="F4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Helper'!$F$5:$F$3004,"""")&lt;&gt;""""),ROWS(F$5:F443)),IF(AND(LEFT(x,5)=""Page"&amp;" "",ISERROR(SEARCH(""–"",x))),x&amp;""–""&amp;REGEXEXTRACT(x,""[0-9]+$""),x)),"""")"),"")</f>
        <v/>
      </c>
      <c r="G443" s="163"/>
      <c r="H4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Helper'!$F$5:$F$3004,"""")&lt;&gt;""""),ROWS(H$5:H443)),"""")"),"")</f>
        <v/>
      </c>
    </row>
    <row r="444" ht="15.75" customHeight="1">
      <c r="A4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Helper'!$F$5:$F$3004,"""")&lt;&gt;""""),ROWS(A$5:A444)),"""")"),"")</f>
        <v/>
      </c>
      <c r="B4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Helper'!$F$5:$F$3004,"""")&lt;&gt;""""),ROWS(B$5:B444)),"""")"),"")</f>
        <v/>
      </c>
      <c r="C4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Helper'!$F$5:$F$3004,"""")&lt;&gt;""""),ROWS(C$5:C444)),"""")"),"")</f>
        <v/>
      </c>
      <c r="D4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Helper'!$F$5:$F$3004,"""")&lt;&gt;""""),ROWS(D$5:D444)),"""")"),"")</f>
        <v/>
      </c>
      <c r="E4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Helper'!$F$5:$F$3004,"""")&lt;&gt;""""),ROWS(E$5:E444)),"""")"),"")</f>
        <v/>
      </c>
      <c r="F4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Helper'!$F$5:$F$3004,"""")&lt;&gt;""""),ROWS(F$5:F444)),IF(AND(LEFT(x,5)=""Page"&amp;" "",ISERROR(SEARCH(""–"",x))),x&amp;""–""&amp;REGEXEXTRACT(x,""[0-9]+$""),x)),"""")"),"")</f>
        <v/>
      </c>
      <c r="G444" s="163"/>
      <c r="H4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Helper'!$F$5:$F$3004,"""")&lt;&gt;""""),ROWS(H$5:H444)),"""")"),"")</f>
        <v/>
      </c>
    </row>
    <row r="445" ht="15.75" customHeight="1">
      <c r="A4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Helper'!$F$5:$F$3004,"""")&lt;&gt;""""),ROWS(A$5:A445)),"""")"),"")</f>
        <v/>
      </c>
      <c r="B4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Helper'!$F$5:$F$3004,"""")&lt;&gt;""""),ROWS(B$5:B445)),"""")"),"")</f>
        <v/>
      </c>
      <c r="C4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Helper'!$F$5:$F$3004,"""")&lt;&gt;""""),ROWS(C$5:C445)),"""")"),"")</f>
        <v/>
      </c>
      <c r="D4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Helper'!$F$5:$F$3004,"""")&lt;&gt;""""),ROWS(D$5:D445)),"""")"),"")</f>
        <v/>
      </c>
      <c r="E4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Helper'!$F$5:$F$3004,"""")&lt;&gt;""""),ROWS(E$5:E445)),"""")"),"")</f>
        <v/>
      </c>
      <c r="F4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Helper'!$F$5:$F$3004,"""")&lt;&gt;""""),ROWS(F$5:F445)),IF(AND(LEFT(x,5)=""Page"&amp;" "",ISERROR(SEARCH(""–"",x))),x&amp;""–""&amp;REGEXEXTRACT(x,""[0-9]+$""),x)),"""")"),"")</f>
        <v/>
      </c>
      <c r="G445" s="163"/>
      <c r="H4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Helper'!$F$5:$F$3004,"""")&lt;&gt;""""),ROWS(H$5:H445)),"""")"),"")</f>
        <v/>
      </c>
    </row>
    <row r="446" ht="15.75" customHeight="1">
      <c r="A4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Helper'!$F$5:$F$3004,"""")&lt;&gt;""""),ROWS(A$5:A446)),"""")"),"")</f>
        <v/>
      </c>
      <c r="B4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Helper'!$F$5:$F$3004,"""")&lt;&gt;""""),ROWS(B$5:B446)),"""")"),"")</f>
        <v/>
      </c>
      <c r="C4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Helper'!$F$5:$F$3004,"""")&lt;&gt;""""),ROWS(C$5:C446)),"""")"),"")</f>
        <v/>
      </c>
      <c r="D4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Helper'!$F$5:$F$3004,"""")&lt;&gt;""""),ROWS(D$5:D446)),"""")"),"")</f>
        <v/>
      </c>
      <c r="E4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Helper'!$F$5:$F$3004,"""")&lt;&gt;""""),ROWS(E$5:E446)),"""")"),"")</f>
        <v/>
      </c>
      <c r="F4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Helper'!$F$5:$F$3004,"""")&lt;&gt;""""),ROWS(F$5:F446)),IF(AND(LEFT(x,5)=""Page"&amp;" "",ISERROR(SEARCH(""–"",x))),x&amp;""–""&amp;REGEXEXTRACT(x,""[0-9]+$""),x)),"""")"),"")</f>
        <v/>
      </c>
      <c r="G446" s="163"/>
      <c r="H4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Helper'!$F$5:$F$3004,"""")&lt;&gt;""""),ROWS(H$5:H446)),"""")"),"")</f>
        <v/>
      </c>
    </row>
    <row r="447" ht="15.75" customHeight="1">
      <c r="A4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Helper'!$F$5:$F$3004,"""")&lt;&gt;""""),ROWS(A$5:A447)),"""")"),"")</f>
        <v/>
      </c>
      <c r="B4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Helper'!$F$5:$F$3004,"""")&lt;&gt;""""),ROWS(B$5:B447)),"""")"),"")</f>
        <v/>
      </c>
      <c r="C4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Helper'!$F$5:$F$3004,"""")&lt;&gt;""""),ROWS(C$5:C447)),"""")"),"")</f>
        <v/>
      </c>
      <c r="D4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Helper'!$F$5:$F$3004,"""")&lt;&gt;""""),ROWS(D$5:D447)),"""")"),"")</f>
        <v/>
      </c>
      <c r="E4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Helper'!$F$5:$F$3004,"""")&lt;&gt;""""),ROWS(E$5:E447)),"""")"),"")</f>
        <v/>
      </c>
      <c r="F4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Helper'!$F$5:$F$3004,"""")&lt;&gt;""""),ROWS(F$5:F447)),IF(AND(LEFT(x,5)=""Page"&amp;" "",ISERROR(SEARCH(""–"",x))),x&amp;""–""&amp;REGEXEXTRACT(x,""[0-9]+$""),x)),"""")"),"")</f>
        <v/>
      </c>
      <c r="G447" s="163"/>
      <c r="H4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Helper'!$F$5:$F$3004,"""")&lt;&gt;""""),ROWS(H$5:H447)),"""")"),"")</f>
        <v/>
      </c>
    </row>
    <row r="448" ht="15.75" customHeight="1">
      <c r="A4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Helper'!$F$5:$F$3004,"""")&lt;&gt;""""),ROWS(A$5:A448)),"""")"),"")</f>
        <v/>
      </c>
      <c r="B4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Helper'!$F$5:$F$3004,"""")&lt;&gt;""""),ROWS(B$5:B448)),"""")"),"")</f>
        <v/>
      </c>
      <c r="C4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Helper'!$F$5:$F$3004,"""")&lt;&gt;""""),ROWS(C$5:C448)),"""")"),"")</f>
        <v/>
      </c>
      <c r="D4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Helper'!$F$5:$F$3004,"""")&lt;&gt;""""),ROWS(D$5:D448)),"""")"),"")</f>
        <v/>
      </c>
      <c r="E4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Helper'!$F$5:$F$3004,"""")&lt;&gt;""""),ROWS(E$5:E448)),"""")"),"")</f>
        <v/>
      </c>
      <c r="F4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Helper'!$F$5:$F$3004,"""")&lt;&gt;""""),ROWS(F$5:F448)),IF(AND(LEFT(x,5)=""Page"&amp;" "",ISERROR(SEARCH(""–"",x))),x&amp;""–""&amp;REGEXEXTRACT(x,""[0-9]+$""),x)),"""")"),"")</f>
        <v/>
      </c>
      <c r="G448" s="163"/>
      <c r="H4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Helper'!$F$5:$F$3004,"""")&lt;&gt;""""),ROWS(H$5:H448)),"""")"),"")</f>
        <v/>
      </c>
    </row>
    <row r="449" ht="15.75" customHeight="1">
      <c r="A4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Helper'!$F$5:$F$3004,"""")&lt;&gt;""""),ROWS(A$5:A449)),"""")"),"")</f>
        <v/>
      </c>
      <c r="B4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Helper'!$F$5:$F$3004,"""")&lt;&gt;""""),ROWS(B$5:B449)),"""")"),"")</f>
        <v/>
      </c>
      <c r="C4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Helper'!$F$5:$F$3004,"""")&lt;&gt;""""),ROWS(C$5:C449)),"""")"),"")</f>
        <v/>
      </c>
      <c r="D4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Helper'!$F$5:$F$3004,"""")&lt;&gt;""""),ROWS(D$5:D449)),"""")"),"")</f>
        <v/>
      </c>
      <c r="E4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Helper'!$F$5:$F$3004,"""")&lt;&gt;""""),ROWS(E$5:E449)),"""")"),"")</f>
        <v/>
      </c>
      <c r="F4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Helper'!$F$5:$F$3004,"""")&lt;&gt;""""),ROWS(F$5:F449)),IF(AND(LEFT(x,5)=""Page"&amp;" "",ISERROR(SEARCH(""–"",x))),x&amp;""–""&amp;REGEXEXTRACT(x,""[0-9]+$""),x)),"""")"),"")</f>
        <v/>
      </c>
      <c r="G449" s="163"/>
      <c r="H4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Helper'!$F$5:$F$3004,"""")&lt;&gt;""""),ROWS(H$5:H449)),"""")"),"")</f>
        <v/>
      </c>
    </row>
    <row r="450" ht="15.75" customHeight="1">
      <c r="A4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Helper'!$F$5:$F$3004,"""")&lt;&gt;""""),ROWS(A$5:A450)),"""")"),"")</f>
        <v/>
      </c>
      <c r="B4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Helper'!$F$5:$F$3004,"""")&lt;&gt;""""),ROWS(B$5:B450)),"""")"),"")</f>
        <v/>
      </c>
      <c r="C4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Helper'!$F$5:$F$3004,"""")&lt;&gt;""""),ROWS(C$5:C450)),"""")"),"")</f>
        <v/>
      </c>
      <c r="D4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Helper'!$F$5:$F$3004,"""")&lt;&gt;""""),ROWS(D$5:D450)),"""")"),"")</f>
        <v/>
      </c>
      <c r="E4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Helper'!$F$5:$F$3004,"""")&lt;&gt;""""),ROWS(E$5:E450)),"""")"),"")</f>
        <v/>
      </c>
      <c r="F4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Helper'!$F$5:$F$3004,"""")&lt;&gt;""""),ROWS(F$5:F450)),IF(AND(LEFT(x,5)=""Page"&amp;" "",ISERROR(SEARCH(""–"",x))),x&amp;""–""&amp;REGEXEXTRACT(x,""[0-9]+$""),x)),"""")"),"")</f>
        <v/>
      </c>
      <c r="G450" s="163"/>
      <c r="H4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Helper'!$F$5:$F$3004,"""")&lt;&gt;""""),ROWS(H$5:H450)),"""")"),"")</f>
        <v/>
      </c>
    </row>
    <row r="451" ht="15.75" customHeight="1">
      <c r="A4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Helper'!$F$5:$F$3004,"""")&lt;&gt;""""),ROWS(A$5:A451)),"""")"),"")</f>
        <v/>
      </c>
      <c r="B4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Helper'!$F$5:$F$3004,"""")&lt;&gt;""""),ROWS(B$5:B451)),"""")"),"")</f>
        <v/>
      </c>
      <c r="C4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Helper'!$F$5:$F$3004,"""")&lt;&gt;""""),ROWS(C$5:C451)),"""")"),"")</f>
        <v/>
      </c>
      <c r="D4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Helper'!$F$5:$F$3004,"""")&lt;&gt;""""),ROWS(D$5:D451)),"""")"),"")</f>
        <v/>
      </c>
      <c r="E4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Helper'!$F$5:$F$3004,"""")&lt;&gt;""""),ROWS(E$5:E451)),"""")"),"")</f>
        <v/>
      </c>
      <c r="F4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Helper'!$F$5:$F$3004,"""")&lt;&gt;""""),ROWS(F$5:F451)),IF(AND(LEFT(x,5)=""Page"&amp;" "",ISERROR(SEARCH(""–"",x))),x&amp;""–""&amp;REGEXEXTRACT(x,""[0-9]+$""),x)),"""")"),"")</f>
        <v/>
      </c>
      <c r="G451" s="163"/>
      <c r="H4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Helper'!$F$5:$F$3004,"""")&lt;&gt;""""),ROWS(H$5:H451)),"""")"),"")</f>
        <v/>
      </c>
    </row>
    <row r="452" ht="15.75" customHeight="1">
      <c r="A4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Helper'!$F$5:$F$3004,"""")&lt;&gt;""""),ROWS(A$5:A452)),"""")"),"")</f>
        <v/>
      </c>
      <c r="B4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Helper'!$F$5:$F$3004,"""")&lt;&gt;""""),ROWS(B$5:B452)),"""")"),"")</f>
        <v/>
      </c>
      <c r="C4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Helper'!$F$5:$F$3004,"""")&lt;&gt;""""),ROWS(C$5:C452)),"""")"),"")</f>
        <v/>
      </c>
      <c r="D4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Helper'!$F$5:$F$3004,"""")&lt;&gt;""""),ROWS(D$5:D452)),"""")"),"")</f>
        <v/>
      </c>
      <c r="E4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Helper'!$F$5:$F$3004,"""")&lt;&gt;""""),ROWS(E$5:E452)),"""")"),"")</f>
        <v/>
      </c>
      <c r="F4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Helper'!$F$5:$F$3004,"""")&lt;&gt;""""),ROWS(F$5:F452)),IF(AND(LEFT(x,5)=""Page"&amp;" "",ISERROR(SEARCH(""–"",x))),x&amp;""–""&amp;REGEXEXTRACT(x,""[0-9]+$""),x)),"""")"),"")</f>
        <v/>
      </c>
      <c r="G452" s="163"/>
      <c r="H4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Helper'!$F$5:$F$3004,"""")&lt;&gt;""""),ROWS(H$5:H452)),"""")"),"")</f>
        <v/>
      </c>
    </row>
    <row r="453" ht="15.75" customHeight="1">
      <c r="A4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Helper'!$F$5:$F$3004,"""")&lt;&gt;""""),ROWS(A$5:A453)),"""")"),"")</f>
        <v/>
      </c>
      <c r="B4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Helper'!$F$5:$F$3004,"""")&lt;&gt;""""),ROWS(B$5:B453)),"""")"),"")</f>
        <v/>
      </c>
      <c r="C4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Helper'!$F$5:$F$3004,"""")&lt;&gt;""""),ROWS(C$5:C453)),"""")"),"")</f>
        <v/>
      </c>
      <c r="D4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Helper'!$F$5:$F$3004,"""")&lt;&gt;""""),ROWS(D$5:D453)),"""")"),"")</f>
        <v/>
      </c>
      <c r="E4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Helper'!$F$5:$F$3004,"""")&lt;&gt;""""),ROWS(E$5:E453)),"""")"),"")</f>
        <v/>
      </c>
      <c r="F4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Helper'!$F$5:$F$3004,"""")&lt;&gt;""""),ROWS(F$5:F453)),IF(AND(LEFT(x,5)=""Page"&amp;" "",ISERROR(SEARCH(""–"",x))),x&amp;""–""&amp;REGEXEXTRACT(x,""[0-9]+$""),x)),"""")"),"")</f>
        <v/>
      </c>
      <c r="G453" s="163"/>
      <c r="H4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Helper'!$F$5:$F$3004,"""")&lt;&gt;""""),ROWS(H$5:H453)),"""")"),"")</f>
        <v/>
      </c>
    </row>
    <row r="454" ht="15.75" customHeight="1">
      <c r="A4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Helper'!$F$5:$F$3004,"""")&lt;&gt;""""),ROWS(A$5:A454)),"""")"),"")</f>
        <v/>
      </c>
      <c r="B4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Helper'!$F$5:$F$3004,"""")&lt;&gt;""""),ROWS(B$5:B454)),"""")"),"")</f>
        <v/>
      </c>
      <c r="C4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Helper'!$F$5:$F$3004,"""")&lt;&gt;""""),ROWS(C$5:C454)),"""")"),"")</f>
        <v/>
      </c>
      <c r="D4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Helper'!$F$5:$F$3004,"""")&lt;&gt;""""),ROWS(D$5:D454)),"""")"),"")</f>
        <v/>
      </c>
      <c r="E4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Helper'!$F$5:$F$3004,"""")&lt;&gt;""""),ROWS(E$5:E454)),"""")"),"")</f>
        <v/>
      </c>
      <c r="F4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Helper'!$F$5:$F$3004,"""")&lt;&gt;""""),ROWS(F$5:F454)),IF(AND(LEFT(x,5)=""Page"&amp;" "",ISERROR(SEARCH(""–"",x))),x&amp;""–""&amp;REGEXEXTRACT(x,""[0-9]+$""),x)),"""")"),"")</f>
        <v/>
      </c>
      <c r="G454" s="163"/>
      <c r="H4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Helper'!$F$5:$F$3004,"""")&lt;&gt;""""),ROWS(H$5:H454)),"""")"),"")</f>
        <v/>
      </c>
    </row>
    <row r="455" ht="15.75" customHeight="1">
      <c r="A4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Helper'!$F$5:$F$3004,"""")&lt;&gt;""""),ROWS(A$5:A455)),"""")"),"")</f>
        <v/>
      </c>
      <c r="B4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Helper'!$F$5:$F$3004,"""")&lt;&gt;""""),ROWS(B$5:B455)),"""")"),"")</f>
        <v/>
      </c>
      <c r="C4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Helper'!$F$5:$F$3004,"""")&lt;&gt;""""),ROWS(C$5:C455)),"""")"),"")</f>
        <v/>
      </c>
      <c r="D4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Helper'!$F$5:$F$3004,"""")&lt;&gt;""""),ROWS(D$5:D455)),"""")"),"")</f>
        <v/>
      </c>
      <c r="E4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Helper'!$F$5:$F$3004,"""")&lt;&gt;""""),ROWS(E$5:E455)),"""")"),"")</f>
        <v/>
      </c>
      <c r="F4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Helper'!$F$5:$F$3004,"""")&lt;&gt;""""),ROWS(F$5:F455)),IF(AND(LEFT(x,5)=""Page"&amp;" "",ISERROR(SEARCH(""–"",x))),x&amp;""–""&amp;REGEXEXTRACT(x,""[0-9]+$""),x)),"""")"),"")</f>
        <v/>
      </c>
      <c r="G455" s="163"/>
      <c r="H4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Helper'!$F$5:$F$3004,"""")&lt;&gt;""""),ROWS(H$5:H455)),"""")"),"")</f>
        <v/>
      </c>
    </row>
    <row r="456" ht="15.75" customHeight="1">
      <c r="A4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Helper'!$F$5:$F$3004,"""")&lt;&gt;""""),ROWS(A$5:A456)),"""")"),"")</f>
        <v/>
      </c>
      <c r="B4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Helper'!$F$5:$F$3004,"""")&lt;&gt;""""),ROWS(B$5:B456)),"""")"),"")</f>
        <v/>
      </c>
      <c r="C4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Helper'!$F$5:$F$3004,"""")&lt;&gt;""""),ROWS(C$5:C456)),"""")"),"")</f>
        <v/>
      </c>
      <c r="D4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Helper'!$F$5:$F$3004,"""")&lt;&gt;""""),ROWS(D$5:D456)),"""")"),"")</f>
        <v/>
      </c>
      <c r="E4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Helper'!$F$5:$F$3004,"""")&lt;&gt;""""),ROWS(E$5:E456)),"""")"),"")</f>
        <v/>
      </c>
      <c r="F4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Helper'!$F$5:$F$3004,"""")&lt;&gt;""""),ROWS(F$5:F456)),IF(AND(LEFT(x,5)=""Page"&amp;" "",ISERROR(SEARCH(""–"",x))),x&amp;""–""&amp;REGEXEXTRACT(x,""[0-9]+$""),x)),"""")"),"")</f>
        <v/>
      </c>
      <c r="G456" s="163"/>
      <c r="H4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Helper'!$F$5:$F$3004,"""")&lt;&gt;""""),ROWS(H$5:H456)),"""")"),"")</f>
        <v/>
      </c>
    </row>
    <row r="457" ht="15.75" customHeight="1">
      <c r="A4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Helper'!$F$5:$F$3004,"""")&lt;&gt;""""),ROWS(A$5:A457)),"""")"),"")</f>
        <v/>
      </c>
      <c r="B4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Helper'!$F$5:$F$3004,"""")&lt;&gt;""""),ROWS(B$5:B457)),"""")"),"")</f>
        <v/>
      </c>
      <c r="C4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Helper'!$F$5:$F$3004,"""")&lt;&gt;""""),ROWS(C$5:C457)),"""")"),"")</f>
        <v/>
      </c>
      <c r="D4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Helper'!$F$5:$F$3004,"""")&lt;&gt;""""),ROWS(D$5:D457)),"""")"),"")</f>
        <v/>
      </c>
      <c r="E4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Helper'!$F$5:$F$3004,"""")&lt;&gt;""""),ROWS(E$5:E457)),"""")"),"")</f>
        <v/>
      </c>
      <c r="F4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Helper'!$F$5:$F$3004,"""")&lt;&gt;""""),ROWS(F$5:F457)),IF(AND(LEFT(x,5)=""Page"&amp;" "",ISERROR(SEARCH(""–"",x))),x&amp;""–""&amp;REGEXEXTRACT(x,""[0-9]+$""),x)),"""")"),"")</f>
        <v/>
      </c>
      <c r="G457" s="163"/>
      <c r="H4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Helper'!$F$5:$F$3004,"""")&lt;&gt;""""),ROWS(H$5:H457)),"""")"),"")</f>
        <v/>
      </c>
    </row>
    <row r="458" ht="15.75" customHeight="1">
      <c r="A4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Helper'!$F$5:$F$3004,"""")&lt;&gt;""""),ROWS(A$5:A458)),"""")"),"")</f>
        <v/>
      </c>
      <c r="B4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Helper'!$F$5:$F$3004,"""")&lt;&gt;""""),ROWS(B$5:B458)),"""")"),"")</f>
        <v/>
      </c>
      <c r="C4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Helper'!$F$5:$F$3004,"""")&lt;&gt;""""),ROWS(C$5:C458)),"""")"),"")</f>
        <v/>
      </c>
      <c r="D4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Helper'!$F$5:$F$3004,"""")&lt;&gt;""""),ROWS(D$5:D458)),"""")"),"")</f>
        <v/>
      </c>
      <c r="E4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Helper'!$F$5:$F$3004,"""")&lt;&gt;""""),ROWS(E$5:E458)),"""")"),"")</f>
        <v/>
      </c>
      <c r="F4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Helper'!$F$5:$F$3004,"""")&lt;&gt;""""),ROWS(F$5:F458)),IF(AND(LEFT(x,5)=""Page"&amp;" "",ISERROR(SEARCH(""–"",x))),x&amp;""–""&amp;REGEXEXTRACT(x,""[0-9]+$""),x)),"""")"),"")</f>
        <v/>
      </c>
      <c r="G458" s="163"/>
      <c r="H4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Helper'!$F$5:$F$3004,"""")&lt;&gt;""""),ROWS(H$5:H458)),"""")"),"")</f>
        <v/>
      </c>
    </row>
    <row r="459" ht="15.75" customHeight="1">
      <c r="A4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Helper'!$F$5:$F$3004,"""")&lt;&gt;""""),ROWS(A$5:A459)),"""")"),"")</f>
        <v/>
      </c>
      <c r="B4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Helper'!$F$5:$F$3004,"""")&lt;&gt;""""),ROWS(B$5:B459)),"""")"),"")</f>
        <v/>
      </c>
      <c r="C4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Helper'!$F$5:$F$3004,"""")&lt;&gt;""""),ROWS(C$5:C459)),"""")"),"")</f>
        <v/>
      </c>
      <c r="D4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Helper'!$F$5:$F$3004,"""")&lt;&gt;""""),ROWS(D$5:D459)),"""")"),"")</f>
        <v/>
      </c>
      <c r="E4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Helper'!$F$5:$F$3004,"""")&lt;&gt;""""),ROWS(E$5:E459)),"""")"),"")</f>
        <v/>
      </c>
      <c r="F4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Helper'!$F$5:$F$3004,"""")&lt;&gt;""""),ROWS(F$5:F459)),IF(AND(LEFT(x,5)=""Page"&amp;" "",ISERROR(SEARCH(""–"",x))),x&amp;""–""&amp;REGEXEXTRACT(x,""[0-9]+$""),x)),"""")"),"")</f>
        <v/>
      </c>
      <c r="G459" s="163"/>
      <c r="H4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Helper'!$F$5:$F$3004,"""")&lt;&gt;""""),ROWS(H$5:H459)),"""")"),"")</f>
        <v/>
      </c>
    </row>
    <row r="460" ht="15.75" customHeight="1">
      <c r="A4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Helper'!$F$5:$F$3004,"""")&lt;&gt;""""),ROWS(A$5:A460)),"""")"),"")</f>
        <v/>
      </c>
      <c r="B4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Helper'!$F$5:$F$3004,"""")&lt;&gt;""""),ROWS(B$5:B460)),"""")"),"")</f>
        <v/>
      </c>
      <c r="C4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Helper'!$F$5:$F$3004,"""")&lt;&gt;""""),ROWS(C$5:C460)),"""")"),"")</f>
        <v/>
      </c>
      <c r="D4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Helper'!$F$5:$F$3004,"""")&lt;&gt;""""),ROWS(D$5:D460)),"""")"),"")</f>
        <v/>
      </c>
      <c r="E4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Helper'!$F$5:$F$3004,"""")&lt;&gt;""""),ROWS(E$5:E460)),"""")"),"")</f>
        <v/>
      </c>
      <c r="F4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Helper'!$F$5:$F$3004,"""")&lt;&gt;""""),ROWS(F$5:F460)),IF(AND(LEFT(x,5)=""Page"&amp;" "",ISERROR(SEARCH(""–"",x))),x&amp;""–""&amp;REGEXEXTRACT(x,""[0-9]+$""),x)),"""")"),"")</f>
        <v/>
      </c>
      <c r="G460" s="163"/>
      <c r="H4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Helper'!$F$5:$F$3004,"""")&lt;&gt;""""),ROWS(H$5:H460)),"""")"),"")</f>
        <v/>
      </c>
    </row>
    <row r="461" ht="15.75" customHeight="1">
      <c r="A4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Helper'!$F$5:$F$3004,"""")&lt;&gt;""""),ROWS(A$5:A461)),"""")"),"")</f>
        <v/>
      </c>
      <c r="B4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Helper'!$F$5:$F$3004,"""")&lt;&gt;""""),ROWS(B$5:B461)),"""")"),"")</f>
        <v/>
      </c>
      <c r="C4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Helper'!$F$5:$F$3004,"""")&lt;&gt;""""),ROWS(C$5:C461)),"""")"),"")</f>
        <v/>
      </c>
      <c r="D4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Helper'!$F$5:$F$3004,"""")&lt;&gt;""""),ROWS(D$5:D461)),"""")"),"")</f>
        <v/>
      </c>
      <c r="E4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Helper'!$F$5:$F$3004,"""")&lt;&gt;""""),ROWS(E$5:E461)),"""")"),"")</f>
        <v/>
      </c>
      <c r="F4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Helper'!$F$5:$F$3004,"""")&lt;&gt;""""),ROWS(F$5:F461)),IF(AND(LEFT(x,5)=""Page"&amp;" "",ISERROR(SEARCH(""–"",x))),x&amp;""–""&amp;REGEXEXTRACT(x,""[0-9]+$""),x)),"""")"),"")</f>
        <v/>
      </c>
      <c r="G461" s="163"/>
      <c r="H4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Helper'!$F$5:$F$3004,"""")&lt;&gt;""""),ROWS(H$5:H461)),"""")"),"")</f>
        <v/>
      </c>
    </row>
    <row r="462" ht="15.75" customHeight="1">
      <c r="A4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Helper'!$F$5:$F$3004,"""")&lt;&gt;""""),ROWS(A$5:A462)),"""")"),"")</f>
        <v/>
      </c>
      <c r="B4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Helper'!$F$5:$F$3004,"""")&lt;&gt;""""),ROWS(B$5:B462)),"""")"),"")</f>
        <v/>
      </c>
      <c r="C4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Helper'!$F$5:$F$3004,"""")&lt;&gt;""""),ROWS(C$5:C462)),"""")"),"")</f>
        <v/>
      </c>
      <c r="D4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Helper'!$F$5:$F$3004,"""")&lt;&gt;""""),ROWS(D$5:D462)),"""")"),"")</f>
        <v/>
      </c>
      <c r="E4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Helper'!$F$5:$F$3004,"""")&lt;&gt;""""),ROWS(E$5:E462)),"""")"),"")</f>
        <v/>
      </c>
      <c r="F4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Helper'!$F$5:$F$3004,"""")&lt;&gt;""""),ROWS(F$5:F462)),IF(AND(LEFT(x,5)=""Page"&amp;" "",ISERROR(SEARCH(""–"",x))),x&amp;""–""&amp;REGEXEXTRACT(x,""[0-9]+$""),x)),"""")"),"")</f>
        <v/>
      </c>
      <c r="G462" s="163"/>
      <c r="H4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Helper'!$F$5:$F$3004,"""")&lt;&gt;""""),ROWS(H$5:H462)),"""")"),"")</f>
        <v/>
      </c>
    </row>
    <row r="463" ht="15.75" customHeight="1">
      <c r="A4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Helper'!$F$5:$F$3004,"""")&lt;&gt;""""),ROWS(A$5:A463)),"""")"),"")</f>
        <v/>
      </c>
      <c r="B4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Helper'!$F$5:$F$3004,"""")&lt;&gt;""""),ROWS(B$5:B463)),"""")"),"")</f>
        <v/>
      </c>
      <c r="C4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Helper'!$F$5:$F$3004,"""")&lt;&gt;""""),ROWS(C$5:C463)),"""")"),"")</f>
        <v/>
      </c>
      <c r="D4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Helper'!$F$5:$F$3004,"""")&lt;&gt;""""),ROWS(D$5:D463)),"""")"),"")</f>
        <v/>
      </c>
      <c r="E4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Helper'!$F$5:$F$3004,"""")&lt;&gt;""""),ROWS(E$5:E463)),"""")"),"")</f>
        <v/>
      </c>
      <c r="F4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Helper'!$F$5:$F$3004,"""")&lt;&gt;""""),ROWS(F$5:F463)),IF(AND(LEFT(x,5)=""Page"&amp;" "",ISERROR(SEARCH(""–"",x))),x&amp;""–""&amp;REGEXEXTRACT(x,""[0-9]+$""),x)),"""")"),"")</f>
        <v/>
      </c>
      <c r="G463" s="163"/>
      <c r="H4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Helper'!$F$5:$F$3004,"""")&lt;&gt;""""),ROWS(H$5:H463)),"""")"),"")</f>
        <v/>
      </c>
    </row>
    <row r="464" ht="15.75" customHeight="1">
      <c r="A4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Helper'!$F$5:$F$3004,"""")&lt;&gt;""""),ROWS(A$5:A464)),"""")"),"")</f>
        <v/>
      </c>
      <c r="B4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Helper'!$F$5:$F$3004,"""")&lt;&gt;""""),ROWS(B$5:B464)),"""")"),"")</f>
        <v/>
      </c>
      <c r="C4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Helper'!$F$5:$F$3004,"""")&lt;&gt;""""),ROWS(C$5:C464)),"""")"),"")</f>
        <v/>
      </c>
      <c r="D4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Helper'!$F$5:$F$3004,"""")&lt;&gt;""""),ROWS(D$5:D464)),"""")"),"")</f>
        <v/>
      </c>
      <c r="E4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Helper'!$F$5:$F$3004,"""")&lt;&gt;""""),ROWS(E$5:E464)),"""")"),"")</f>
        <v/>
      </c>
      <c r="F4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Helper'!$F$5:$F$3004,"""")&lt;&gt;""""),ROWS(F$5:F464)),IF(AND(LEFT(x,5)=""Page"&amp;" "",ISERROR(SEARCH(""–"",x))),x&amp;""–""&amp;REGEXEXTRACT(x,""[0-9]+$""),x)),"""")"),"")</f>
        <v/>
      </c>
      <c r="G464" s="163"/>
      <c r="H4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Helper'!$F$5:$F$3004,"""")&lt;&gt;""""),ROWS(H$5:H464)),"""")"),"")</f>
        <v/>
      </c>
    </row>
    <row r="465" ht="15.75" customHeight="1">
      <c r="A4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Helper'!$F$5:$F$3004,"""")&lt;&gt;""""),ROWS(A$5:A465)),"""")"),"")</f>
        <v/>
      </c>
      <c r="B4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Helper'!$F$5:$F$3004,"""")&lt;&gt;""""),ROWS(B$5:B465)),"""")"),"")</f>
        <v/>
      </c>
      <c r="C4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Helper'!$F$5:$F$3004,"""")&lt;&gt;""""),ROWS(C$5:C465)),"""")"),"")</f>
        <v/>
      </c>
      <c r="D4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Helper'!$F$5:$F$3004,"""")&lt;&gt;""""),ROWS(D$5:D465)),"""")"),"")</f>
        <v/>
      </c>
      <c r="E4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Helper'!$F$5:$F$3004,"""")&lt;&gt;""""),ROWS(E$5:E465)),"""")"),"")</f>
        <v/>
      </c>
      <c r="F4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Helper'!$F$5:$F$3004,"""")&lt;&gt;""""),ROWS(F$5:F465)),IF(AND(LEFT(x,5)=""Page"&amp;" "",ISERROR(SEARCH(""–"",x))),x&amp;""–""&amp;REGEXEXTRACT(x,""[0-9]+$""),x)),"""")"),"")</f>
        <v/>
      </c>
      <c r="G465" s="163"/>
      <c r="H4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Helper'!$F$5:$F$3004,"""")&lt;&gt;""""),ROWS(H$5:H465)),"""")"),"")</f>
        <v/>
      </c>
    </row>
    <row r="466" ht="15.75" customHeight="1">
      <c r="A4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Helper'!$F$5:$F$3004,"""")&lt;&gt;""""),ROWS(A$5:A466)),"""")"),"")</f>
        <v/>
      </c>
      <c r="B4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Helper'!$F$5:$F$3004,"""")&lt;&gt;""""),ROWS(B$5:B466)),"""")"),"")</f>
        <v/>
      </c>
      <c r="C4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Helper'!$F$5:$F$3004,"""")&lt;&gt;""""),ROWS(C$5:C466)),"""")"),"")</f>
        <v/>
      </c>
      <c r="D4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Helper'!$F$5:$F$3004,"""")&lt;&gt;""""),ROWS(D$5:D466)),"""")"),"")</f>
        <v/>
      </c>
      <c r="E4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Helper'!$F$5:$F$3004,"""")&lt;&gt;""""),ROWS(E$5:E466)),"""")"),"")</f>
        <v/>
      </c>
      <c r="F4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Helper'!$F$5:$F$3004,"""")&lt;&gt;""""),ROWS(F$5:F466)),IF(AND(LEFT(x,5)=""Page"&amp;" "",ISERROR(SEARCH(""–"",x))),x&amp;""–""&amp;REGEXEXTRACT(x,""[0-9]+$""),x)),"""")"),"")</f>
        <v/>
      </c>
      <c r="G466" s="163"/>
      <c r="H4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Helper'!$F$5:$F$3004,"""")&lt;&gt;""""),ROWS(H$5:H466)),"""")"),"")</f>
        <v/>
      </c>
    </row>
    <row r="467" ht="15.75" customHeight="1">
      <c r="A4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Helper'!$F$5:$F$3004,"""")&lt;&gt;""""),ROWS(A$5:A467)),"""")"),"")</f>
        <v/>
      </c>
      <c r="B4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Helper'!$F$5:$F$3004,"""")&lt;&gt;""""),ROWS(B$5:B467)),"""")"),"")</f>
        <v/>
      </c>
      <c r="C4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Helper'!$F$5:$F$3004,"""")&lt;&gt;""""),ROWS(C$5:C467)),"""")"),"")</f>
        <v/>
      </c>
      <c r="D4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Helper'!$F$5:$F$3004,"""")&lt;&gt;""""),ROWS(D$5:D467)),"""")"),"")</f>
        <v/>
      </c>
      <c r="E4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Helper'!$F$5:$F$3004,"""")&lt;&gt;""""),ROWS(E$5:E467)),"""")"),"")</f>
        <v/>
      </c>
      <c r="F4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Helper'!$F$5:$F$3004,"""")&lt;&gt;""""),ROWS(F$5:F467)),IF(AND(LEFT(x,5)=""Page"&amp;" "",ISERROR(SEARCH(""–"",x))),x&amp;""–""&amp;REGEXEXTRACT(x,""[0-9]+$""),x)),"""")"),"")</f>
        <v/>
      </c>
      <c r="G467" s="163"/>
      <c r="H4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Helper'!$F$5:$F$3004,"""")&lt;&gt;""""),ROWS(H$5:H467)),"""")"),"")</f>
        <v/>
      </c>
    </row>
    <row r="468" ht="15.75" customHeight="1">
      <c r="A4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Helper'!$F$5:$F$3004,"""")&lt;&gt;""""),ROWS(A$5:A468)),"""")"),"")</f>
        <v/>
      </c>
      <c r="B4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Helper'!$F$5:$F$3004,"""")&lt;&gt;""""),ROWS(B$5:B468)),"""")"),"")</f>
        <v/>
      </c>
      <c r="C4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Helper'!$F$5:$F$3004,"""")&lt;&gt;""""),ROWS(C$5:C468)),"""")"),"")</f>
        <v/>
      </c>
      <c r="D4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Helper'!$F$5:$F$3004,"""")&lt;&gt;""""),ROWS(D$5:D468)),"""")"),"")</f>
        <v/>
      </c>
      <c r="E4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Helper'!$F$5:$F$3004,"""")&lt;&gt;""""),ROWS(E$5:E468)),"""")"),"")</f>
        <v/>
      </c>
      <c r="F4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Helper'!$F$5:$F$3004,"""")&lt;&gt;""""),ROWS(F$5:F468)),IF(AND(LEFT(x,5)=""Page"&amp;" "",ISERROR(SEARCH(""–"",x))),x&amp;""–""&amp;REGEXEXTRACT(x,""[0-9]+$""),x)),"""")"),"")</f>
        <v/>
      </c>
      <c r="G468" s="163"/>
      <c r="H4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Helper'!$F$5:$F$3004,"""")&lt;&gt;""""),ROWS(H$5:H468)),"""")"),"")</f>
        <v/>
      </c>
    </row>
    <row r="469" ht="15.75" customHeight="1">
      <c r="A4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Helper'!$F$5:$F$3004,"""")&lt;&gt;""""),ROWS(A$5:A469)),"""")"),"")</f>
        <v/>
      </c>
      <c r="B4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Helper'!$F$5:$F$3004,"""")&lt;&gt;""""),ROWS(B$5:B469)),"""")"),"")</f>
        <v/>
      </c>
      <c r="C4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Helper'!$F$5:$F$3004,"""")&lt;&gt;""""),ROWS(C$5:C469)),"""")"),"")</f>
        <v/>
      </c>
      <c r="D4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Helper'!$F$5:$F$3004,"""")&lt;&gt;""""),ROWS(D$5:D469)),"""")"),"")</f>
        <v/>
      </c>
      <c r="E4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Helper'!$F$5:$F$3004,"""")&lt;&gt;""""),ROWS(E$5:E469)),"""")"),"")</f>
        <v/>
      </c>
      <c r="F4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Helper'!$F$5:$F$3004,"""")&lt;&gt;""""),ROWS(F$5:F469)),IF(AND(LEFT(x,5)=""Page"&amp;" "",ISERROR(SEARCH(""–"",x))),x&amp;""–""&amp;REGEXEXTRACT(x,""[0-9]+$""),x)),"""")"),"")</f>
        <v/>
      </c>
      <c r="G469" s="163"/>
      <c r="H4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Helper'!$F$5:$F$3004,"""")&lt;&gt;""""),ROWS(H$5:H469)),"""")"),"")</f>
        <v/>
      </c>
    </row>
    <row r="470" ht="15.75" customHeight="1">
      <c r="A4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Helper'!$F$5:$F$3004,"""")&lt;&gt;""""),ROWS(A$5:A470)),"""")"),"")</f>
        <v/>
      </c>
      <c r="B4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Helper'!$F$5:$F$3004,"""")&lt;&gt;""""),ROWS(B$5:B470)),"""")"),"")</f>
        <v/>
      </c>
      <c r="C4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Helper'!$F$5:$F$3004,"""")&lt;&gt;""""),ROWS(C$5:C470)),"""")"),"")</f>
        <v/>
      </c>
      <c r="D4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Helper'!$F$5:$F$3004,"""")&lt;&gt;""""),ROWS(D$5:D470)),"""")"),"")</f>
        <v/>
      </c>
      <c r="E4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Helper'!$F$5:$F$3004,"""")&lt;&gt;""""),ROWS(E$5:E470)),"""")"),"")</f>
        <v/>
      </c>
      <c r="F4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Helper'!$F$5:$F$3004,"""")&lt;&gt;""""),ROWS(F$5:F470)),IF(AND(LEFT(x,5)=""Page"&amp;" "",ISERROR(SEARCH(""–"",x))),x&amp;""–""&amp;REGEXEXTRACT(x,""[0-9]+$""),x)),"""")"),"")</f>
        <v/>
      </c>
      <c r="G470" s="163"/>
      <c r="H4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Helper'!$F$5:$F$3004,"""")&lt;&gt;""""),ROWS(H$5:H470)),"""")"),"")</f>
        <v/>
      </c>
    </row>
    <row r="471" ht="15.75" customHeight="1">
      <c r="A4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Helper'!$F$5:$F$3004,"""")&lt;&gt;""""),ROWS(A$5:A471)),"""")"),"")</f>
        <v/>
      </c>
      <c r="B4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Helper'!$F$5:$F$3004,"""")&lt;&gt;""""),ROWS(B$5:B471)),"""")"),"")</f>
        <v/>
      </c>
      <c r="C4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Helper'!$F$5:$F$3004,"""")&lt;&gt;""""),ROWS(C$5:C471)),"""")"),"")</f>
        <v/>
      </c>
      <c r="D4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Helper'!$F$5:$F$3004,"""")&lt;&gt;""""),ROWS(D$5:D471)),"""")"),"")</f>
        <v/>
      </c>
      <c r="E4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Helper'!$F$5:$F$3004,"""")&lt;&gt;""""),ROWS(E$5:E471)),"""")"),"")</f>
        <v/>
      </c>
      <c r="F4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Helper'!$F$5:$F$3004,"""")&lt;&gt;""""),ROWS(F$5:F471)),IF(AND(LEFT(x,5)=""Page"&amp;" "",ISERROR(SEARCH(""–"",x))),x&amp;""–""&amp;REGEXEXTRACT(x,""[0-9]+$""),x)),"""")"),"")</f>
        <v/>
      </c>
      <c r="G471" s="163"/>
      <c r="H4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Helper'!$F$5:$F$3004,"""")&lt;&gt;""""),ROWS(H$5:H471)),"""")"),"")</f>
        <v/>
      </c>
    </row>
    <row r="472" ht="15.75" customHeight="1">
      <c r="A4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Helper'!$F$5:$F$3004,"""")&lt;&gt;""""),ROWS(A$5:A472)),"""")"),"")</f>
        <v/>
      </c>
      <c r="B4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Helper'!$F$5:$F$3004,"""")&lt;&gt;""""),ROWS(B$5:B472)),"""")"),"")</f>
        <v/>
      </c>
      <c r="C4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Helper'!$F$5:$F$3004,"""")&lt;&gt;""""),ROWS(C$5:C472)),"""")"),"")</f>
        <v/>
      </c>
      <c r="D4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Helper'!$F$5:$F$3004,"""")&lt;&gt;""""),ROWS(D$5:D472)),"""")"),"")</f>
        <v/>
      </c>
      <c r="E4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Helper'!$F$5:$F$3004,"""")&lt;&gt;""""),ROWS(E$5:E472)),"""")"),"")</f>
        <v/>
      </c>
      <c r="F4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Helper'!$F$5:$F$3004,"""")&lt;&gt;""""),ROWS(F$5:F472)),IF(AND(LEFT(x,5)=""Page"&amp;" "",ISERROR(SEARCH(""–"",x))),x&amp;""–""&amp;REGEXEXTRACT(x,""[0-9]+$""),x)),"""")"),"")</f>
        <v/>
      </c>
      <c r="G472" s="163"/>
      <c r="H4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Helper'!$F$5:$F$3004,"""")&lt;&gt;""""),ROWS(H$5:H472)),"""")"),"")</f>
        <v/>
      </c>
    </row>
    <row r="473" ht="15.75" customHeight="1">
      <c r="A4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Helper'!$F$5:$F$3004,"""")&lt;&gt;""""),ROWS(A$5:A473)),"""")"),"")</f>
        <v/>
      </c>
      <c r="B4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Helper'!$F$5:$F$3004,"""")&lt;&gt;""""),ROWS(B$5:B473)),"""")"),"")</f>
        <v/>
      </c>
      <c r="C4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Helper'!$F$5:$F$3004,"""")&lt;&gt;""""),ROWS(C$5:C473)),"""")"),"")</f>
        <v/>
      </c>
      <c r="D4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Helper'!$F$5:$F$3004,"""")&lt;&gt;""""),ROWS(D$5:D473)),"""")"),"")</f>
        <v/>
      </c>
      <c r="E4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Helper'!$F$5:$F$3004,"""")&lt;&gt;""""),ROWS(E$5:E473)),"""")"),"")</f>
        <v/>
      </c>
      <c r="F4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Helper'!$F$5:$F$3004,"""")&lt;&gt;""""),ROWS(F$5:F473)),IF(AND(LEFT(x,5)=""Page"&amp;" "",ISERROR(SEARCH(""–"",x))),x&amp;""–""&amp;REGEXEXTRACT(x,""[0-9]+$""),x)),"""")"),"")</f>
        <v/>
      </c>
      <c r="G473" s="163"/>
      <c r="H4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Helper'!$F$5:$F$3004,"""")&lt;&gt;""""),ROWS(H$5:H473)),"""")"),"")</f>
        <v/>
      </c>
    </row>
    <row r="474" ht="15.75" customHeight="1">
      <c r="A4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Helper'!$F$5:$F$3004,"""")&lt;&gt;""""),ROWS(A$5:A474)),"""")"),"")</f>
        <v/>
      </c>
      <c r="B4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Helper'!$F$5:$F$3004,"""")&lt;&gt;""""),ROWS(B$5:B474)),"""")"),"")</f>
        <v/>
      </c>
      <c r="C4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Helper'!$F$5:$F$3004,"""")&lt;&gt;""""),ROWS(C$5:C474)),"""")"),"")</f>
        <v/>
      </c>
      <c r="D4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Helper'!$F$5:$F$3004,"""")&lt;&gt;""""),ROWS(D$5:D474)),"""")"),"")</f>
        <v/>
      </c>
      <c r="E4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Helper'!$F$5:$F$3004,"""")&lt;&gt;""""),ROWS(E$5:E474)),"""")"),"")</f>
        <v/>
      </c>
      <c r="F4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Helper'!$F$5:$F$3004,"""")&lt;&gt;""""),ROWS(F$5:F474)),IF(AND(LEFT(x,5)=""Page"&amp;" "",ISERROR(SEARCH(""–"",x))),x&amp;""–""&amp;REGEXEXTRACT(x,""[0-9]+$""),x)),"""")"),"")</f>
        <v/>
      </c>
      <c r="G474" s="163"/>
      <c r="H4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Helper'!$F$5:$F$3004,"""")&lt;&gt;""""),ROWS(H$5:H474)),"""")"),"")</f>
        <v/>
      </c>
    </row>
    <row r="475" ht="15.75" customHeight="1">
      <c r="A4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Helper'!$F$5:$F$3004,"""")&lt;&gt;""""),ROWS(A$5:A475)),"""")"),"")</f>
        <v/>
      </c>
      <c r="B4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Helper'!$F$5:$F$3004,"""")&lt;&gt;""""),ROWS(B$5:B475)),"""")"),"")</f>
        <v/>
      </c>
      <c r="C4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Helper'!$F$5:$F$3004,"""")&lt;&gt;""""),ROWS(C$5:C475)),"""")"),"")</f>
        <v/>
      </c>
      <c r="D4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Helper'!$F$5:$F$3004,"""")&lt;&gt;""""),ROWS(D$5:D475)),"""")"),"")</f>
        <v/>
      </c>
      <c r="E4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Helper'!$F$5:$F$3004,"""")&lt;&gt;""""),ROWS(E$5:E475)),"""")"),"")</f>
        <v/>
      </c>
      <c r="F4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Helper'!$F$5:$F$3004,"""")&lt;&gt;""""),ROWS(F$5:F475)),IF(AND(LEFT(x,5)=""Page"&amp;" "",ISERROR(SEARCH(""–"",x))),x&amp;""–""&amp;REGEXEXTRACT(x,""[0-9]+$""),x)),"""")"),"")</f>
        <v/>
      </c>
      <c r="G475" s="163"/>
      <c r="H4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Helper'!$F$5:$F$3004,"""")&lt;&gt;""""),ROWS(H$5:H475)),"""")"),"")</f>
        <v/>
      </c>
    </row>
    <row r="476" ht="15.75" customHeight="1">
      <c r="A4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Helper'!$F$5:$F$3004,"""")&lt;&gt;""""),ROWS(A$5:A476)),"""")"),"")</f>
        <v/>
      </c>
      <c r="B4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Helper'!$F$5:$F$3004,"""")&lt;&gt;""""),ROWS(B$5:B476)),"""")"),"")</f>
        <v/>
      </c>
      <c r="C4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Helper'!$F$5:$F$3004,"""")&lt;&gt;""""),ROWS(C$5:C476)),"""")"),"")</f>
        <v/>
      </c>
      <c r="D4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Helper'!$F$5:$F$3004,"""")&lt;&gt;""""),ROWS(D$5:D476)),"""")"),"")</f>
        <v/>
      </c>
      <c r="E4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Helper'!$F$5:$F$3004,"""")&lt;&gt;""""),ROWS(E$5:E476)),"""")"),"")</f>
        <v/>
      </c>
      <c r="F4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Helper'!$F$5:$F$3004,"""")&lt;&gt;""""),ROWS(F$5:F476)),IF(AND(LEFT(x,5)=""Page"&amp;" "",ISERROR(SEARCH(""–"",x))),x&amp;""–""&amp;REGEXEXTRACT(x,""[0-9]+$""),x)),"""")"),"")</f>
        <v/>
      </c>
      <c r="G476" s="163"/>
      <c r="H4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Helper'!$F$5:$F$3004,"""")&lt;&gt;""""),ROWS(H$5:H476)),"""")"),"")</f>
        <v/>
      </c>
    </row>
    <row r="477" ht="15.75" customHeight="1">
      <c r="A4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Helper'!$F$5:$F$3004,"""")&lt;&gt;""""),ROWS(A$5:A477)),"""")"),"")</f>
        <v/>
      </c>
      <c r="B4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Helper'!$F$5:$F$3004,"""")&lt;&gt;""""),ROWS(B$5:B477)),"""")"),"")</f>
        <v/>
      </c>
      <c r="C4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Helper'!$F$5:$F$3004,"""")&lt;&gt;""""),ROWS(C$5:C477)),"""")"),"")</f>
        <v/>
      </c>
      <c r="D4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Helper'!$F$5:$F$3004,"""")&lt;&gt;""""),ROWS(D$5:D477)),"""")"),"")</f>
        <v/>
      </c>
      <c r="E4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Helper'!$F$5:$F$3004,"""")&lt;&gt;""""),ROWS(E$5:E477)),"""")"),"")</f>
        <v/>
      </c>
      <c r="F4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Helper'!$F$5:$F$3004,"""")&lt;&gt;""""),ROWS(F$5:F477)),IF(AND(LEFT(x,5)=""Page"&amp;" "",ISERROR(SEARCH(""–"",x))),x&amp;""–""&amp;REGEXEXTRACT(x,""[0-9]+$""),x)),"""")"),"")</f>
        <v/>
      </c>
      <c r="G477" s="163"/>
      <c r="H4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Helper'!$F$5:$F$3004,"""")&lt;&gt;""""),ROWS(H$5:H477)),"""")"),"")</f>
        <v/>
      </c>
    </row>
    <row r="478" ht="15.75" customHeight="1">
      <c r="A4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Helper'!$F$5:$F$3004,"""")&lt;&gt;""""),ROWS(A$5:A478)),"""")"),"")</f>
        <v/>
      </c>
      <c r="B4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Helper'!$F$5:$F$3004,"""")&lt;&gt;""""),ROWS(B$5:B478)),"""")"),"")</f>
        <v/>
      </c>
      <c r="C4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Helper'!$F$5:$F$3004,"""")&lt;&gt;""""),ROWS(C$5:C478)),"""")"),"")</f>
        <v/>
      </c>
      <c r="D4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Helper'!$F$5:$F$3004,"""")&lt;&gt;""""),ROWS(D$5:D478)),"""")"),"")</f>
        <v/>
      </c>
      <c r="E4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Helper'!$F$5:$F$3004,"""")&lt;&gt;""""),ROWS(E$5:E478)),"""")"),"")</f>
        <v/>
      </c>
      <c r="F4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Helper'!$F$5:$F$3004,"""")&lt;&gt;""""),ROWS(F$5:F478)),IF(AND(LEFT(x,5)=""Page"&amp;" "",ISERROR(SEARCH(""–"",x))),x&amp;""–""&amp;REGEXEXTRACT(x,""[0-9]+$""),x)),"""")"),"")</f>
        <v/>
      </c>
      <c r="G478" s="163"/>
      <c r="H4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Helper'!$F$5:$F$3004,"""")&lt;&gt;""""),ROWS(H$5:H478)),"""")"),"")</f>
        <v/>
      </c>
    </row>
    <row r="479" ht="15.75" customHeight="1">
      <c r="A4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Helper'!$F$5:$F$3004,"""")&lt;&gt;""""),ROWS(A$5:A479)),"""")"),"")</f>
        <v/>
      </c>
      <c r="B4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Helper'!$F$5:$F$3004,"""")&lt;&gt;""""),ROWS(B$5:B479)),"""")"),"")</f>
        <v/>
      </c>
      <c r="C4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Helper'!$F$5:$F$3004,"""")&lt;&gt;""""),ROWS(C$5:C479)),"""")"),"")</f>
        <v/>
      </c>
      <c r="D4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Helper'!$F$5:$F$3004,"""")&lt;&gt;""""),ROWS(D$5:D479)),"""")"),"")</f>
        <v/>
      </c>
      <c r="E4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Helper'!$F$5:$F$3004,"""")&lt;&gt;""""),ROWS(E$5:E479)),"""")"),"")</f>
        <v/>
      </c>
      <c r="F4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Helper'!$F$5:$F$3004,"""")&lt;&gt;""""),ROWS(F$5:F479)),IF(AND(LEFT(x,5)=""Page"&amp;" "",ISERROR(SEARCH(""–"",x))),x&amp;""–""&amp;REGEXEXTRACT(x,""[0-9]+$""),x)),"""")"),"")</f>
        <v/>
      </c>
      <c r="G479" s="163"/>
      <c r="H4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Helper'!$F$5:$F$3004,"""")&lt;&gt;""""),ROWS(H$5:H479)),"""")"),"")</f>
        <v/>
      </c>
    </row>
    <row r="480" ht="15.75" customHeight="1">
      <c r="A4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Helper'!$F$5:$F$3004,"""")&lt;&gt;""""),ROWS(A$5:A480)),"""")"),"")</f>
        <v/>
      </c>
      <c r="B4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Helper'!$F$5:$F$3004,"""")&lt;&gt;""""),ROWS(B$5:B480)),"""")"),"")</f>
        <v/>
      </c>
      <c r="C4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Helper'!$F$5:$F$3004,"""")&lt;&gt;""""),ROWS(C$5:C480)),"""")"),"")</f>
        <v/>
      </c>
      <c r="D4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Helper'!$F$5:$F$3004,"""")&lt;&gt;""""),ROWS(D$5:D480)),"""")"),"")</f>
        <v/>
      </c>
      <c r="E4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Helper'!$F$5:$F$3004,"""")&lt;&gt;""""),ROWS(E$5:E480)),"""")"),"")</f>
        <v/>
      </c>
      <c r="F4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Helper'!$F$5:$F$3004,"""")&lt;&gt;""""),ROWS(F$5:F480)),IF(AND(LEFT(x,5)=""Page"&amp;" "",ISERROR(SEARCH(""–"",x))),x&amp;""–""&amp;REGEXEXTRACT(x,""[0-9]+$""),x)),"""")"),"")</f>
        <v/>
      </c>
      <c r="G480" s="163"/>
      <c r="H4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Helper'!$F$5:$F$3004,"""")&lt;&gt;""""),ROWS(H$5:H480)),"""")"),"")</f>
        <v/>
      </c>
    </row>
    <row r="481" ht="15.75" customHeight="1">
      <c r="A4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Helper'!$F$5:$F$3004,"""")&lt;&gt;""""),ROWS(A$5:A481)),"""")"),"")</f>
        <v/>
      </c>
      <c r="B4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Helper'!$F$5:$F$3004,"""")&lt;&gt;""""),ROWS(B$5:B481)),"""")"),"")</f>
        <v/>
      </c>
      <c r="C4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Helper'!$F$5:$F$3004,"""")&lt;&gt;""""),ROWS(C$5:C481)),"""")"),"")</f>
        <v/>
      </c>
      <c r="D4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Helper'!$F$5:$F$3004,"""")&lt;&gt;""""),ROWS(D$5:D481)),"""")"),"")</f>
        <v/>
      </c>
      <c r="E4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Helper'!$F$5:$F$3004,"""")&lt;&gt;""""),ROWS(E$5:E481)),"""")"),"")</f>
        <v/>
      </c>
      <c r="F4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Helper'!$F$5:$F$3004,"""")&lt;&gt;""""),ROWS(F$5:F481)),IF(AND(LEFT(x,5)=""Page"&amp;" "",ISERROR(SEARCH(""–"",x))),x&amp;""–""&amp;REGEXEXTRACT(x,""[0-9]+$""),x)),"""")"),"")</f>
        <v/>
      </c>
      <c r="G481" s="163"/>
      <c r="H4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Helper'!$F$5:$F$3004,"""")&lt;&gt;""""),ROWS(H$5:H481)),"""")"),"")</f>
        <v/>
      </c>
    </row>
    <row r="482" ht="15.75" customHeight="1">
      <c r="A4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Helper'!$F$5:$F$3004,"""")&lt;&gt;""""),ROWS(A$5:A482)),"""")"),"")</f>
        <v/>
      </c>
      <c r="B4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Helper'!$F$5:$F$3004,"""")&lt;&gt;""""),ROWS(B$5:B482)),"""")"),"")</f>
        <v/>
      </c>
      <c r="C4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Helper'!$F$5:$F$3004,"""")&lt;&gt;""""),ROWS(C$5:C482)),"""")"),"")</f>
        <v/>
      </c>
      <c r="D4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Helper'!$F$5:$F$3004,"""")&lt;&gt;""""),ROWS(D$5:D482)),"""")"),"")</f>
        <v/>
      </c>
      <c r="E4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Helper'!$F$5:$F$3004,"""")&lt;&gt;""""),ROWS(E$5:E482)),"""")"),"")</f>
        <v/>
      </c>
      <c r="F4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Helper'!$F$5:$F$3004,"""")&lt;&gt;""""),ROWS(F$5:F482)),IF(AND(LEFT(x,5)=""Page"&amp;" "",ISERROR(SEARCH(""–"",x))),x&amp;""–""&amp;REGEXEXTRACT(x,""[0-9]+$""),x)),"""")"),"")</f>
        <v/>
      </c>
      <c r="G482" s="163"/>
      <c r="H4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Helper'!$F$5:$F$3004,"""")&lt;&gt;""""),ROWS(H$5:H482)),"""")"),"")</f>
        <v/>
      </c>
    </row>
    <row r="483" ht="15.75" customHeight="1">
      <c r="A4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Helper'!$F$5:$F$3004,"""")&lt;&gt;""""),ROWS(A$5:A483)),"""")"),"")</f>
        <v/>
      </c>
      <c r="B4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Helper'!$F$5:$F$3004,"""")&lt;&gt;""""),ROWS(B$5:B483)),"""")"),"")</f>
        <v/>
      </c>
      <c r="C4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Helper'!$F$5:$F$3004,"""")&lt;&gt;""""),ROWS(C$5:C483)),"""")"),"")</f>
        <v/>
      </c>
      <c r="D4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Helper'!$F$5:$F$3004,"""")&lt;&gt;""""),ROWS(D$5:D483)),"""")"),"")</f>
        <v/>
      </c>
      <c r="E4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Helper'!$F$5:$F$3004,"""")&lt;&gt;""""),ROWS(E$5:E483)),"""")"),"")</f>
        <v/>
      </c>
      <c r="F4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Helper'!$F$5:$F$3004,"""")&lt;&gt;""""),ROWS(F$5:F483)),IF(AND(LEFT(x,5)=""Page"&amp;" "",ISERROR(SEARCH(""–"",x))),x&amp;""–""&amp;REGEXEXTRACT(x,""[0-9]+$""),x)),"""")"),"")</f>
        <v/>
      </c>
      <c r="G483" s="163"/>
      <c r="H4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Helper'!$F$5:$F$3004,"""")&lt;&gt;""""),ROWS(H$5:H483)),"""")"),"")</f>
        <v/>
      </c>
    </row>
    <row r="484" ht="15.75" customHeight="1">
      <c r="A4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Helper'!$F$5:$F$3004,"""")&lt;&gt;""""),ROWS(A$5:A484)),"""")"),"")</f>
        <v/>
      </c>
      <c r="B4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Helper'!$F$5:$F$3004,"""")&lt;&gt;""""),ROWS(B$5:B484)),"""")"),"")</f>
        <v/>
      </c>
      <c r="C4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Helper'!$F$5:$F$3004,"""")&lt;&gt;""""),ROWS(C$5:C484)),"""")"),"")</f>
        <v/>
      </c>
      <c r="D4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Helper'!$F$5:$F$3004,"""")&lt;&gt;""""),ROWS(D$5:D484)),"""")"),"")</f>
        <v/>
      </c>
      <c r="E4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Helper'!$F$5:$F$3004,"""")&lt;&gt;""""),ROWS(E$5:E484)),"""")"),"")</f>
        <v/>
      </c>
      <c r="F4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Helper'!$F$5:$F$3004,"""")&lt;&gt;""""),ROWS(F$5:F484)),IF(AND(LEFT(x,5)=""Page"&amp;" "",ISERROR(SEARCH(""–"",x))),x&amp;""–""&amp;REGEXEXTRACT(x,""[0-9]+$""),x)),"""")"),"")</f>
        <v/>
      </c>
      <c r="G484" s="163"/>
      <c r="H4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Helper'!$F$5:$F$3004,"""")&lt;&gt;""""),ROWS(H$5:H484)),"""")"),"")</f>
        <v/>
      </c>
    </row>
    <row r="485" ht="15.75" customHeight="1">
      <c r="A4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Helper'!$F$5:$F$3004,"""")&lt;&gt;""""),ROWS(A$5:A485)),"""")"),"")</f>
        <v/>
      </c>
      <c r="B4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Helper'!$F$5:$F$3004,"""")&lt;&gt;""""),ROWS(B$5:B485)),"""")"),"")</f>
        <v/>
      </c>
      <c r="C4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Helper'!$F$5:$F$3004,"""")&lt;&gt;""""),ROWS(C$5:C485)),"""")"),"")</f>
        <v/>
      </c>
      <c r="D4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Helper'!$F$5:$F$3004,"""")&lt;&gt;""""),ROWS(D$5:D485)),"""")"),"")</f>
        <v/>
      </c>
      <c r="E4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Helper'!$F$5:$F$3004,"""")&lt;&gt;""""),ROWS(E$5:E485)),"""")"),"")</f>
        <v/>
      </c>
      <c r="F4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Helper'!$F$5:$F$3004,"""")&lt;&gt;""""),ROWS(F$5:F485)),IF(AND(LEFT(x,5)=""Page"&amp;" "",ISERROR(SEARCH(""–"",x))),x&amp;""–""&amp;REGEXEXTRACT(x,""[0-9]+$""),x)),"""")"),"")</f>
        <v/>
      </c>
      <c r="G485" s="163"/>
      <c r="H4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Helper'!$F$5:$F$3004,"""")&lt;&gt;""""),ROWS(H$5:H485)),"""")"),"")</f>
        <v/>
      </c>
    </row>
    <row r="486" ht="15.75" customHeight="1">
      <c r="A4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Helper'!$F$5:$F$3004,"""")&lt;&gt;""""),ROWS(A$5:A486)),"""")"),"")</f>
        <v/>
      </c>
      <c r="B4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Helper'!$F$5:$F$3004,"""")&lt;&gt;""""),ROWS(B$5:B486)),"""")"),"")</f>
        <v/>
      </c>
      <c r="C4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Helper'!$F$5:$F$3004,"""")&lt;&gt;""""),ROWS(C$5:C486)),"""")"),"")</f>
        <v/>
      </c>
      <c r="D4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Helper'!$F$5:$F$3004,"""")&lt;&gt;""""),ROWS(D$5:D486)),"""")"),"")</f>
        <v/>
      </c>
      <c r="E4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Helper'!$F$5:$F$3004,"""")&lt;&gt;""""),ROWS(E$5:E486)),"""")"),"")</f>
        <v/>
      </c>
      <c r="F4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Helper'!$F$5:$F$3004,"""")&lt;&gt;""""),ROWS(F$5:F486)),IF(AND(LEFT(x,5)=""Page"&amp;" "",ISERROR(SEARCH(""–"",x))),x&amp;""–""&amp;REGEXEXTRACT(x,""[0-9]+$""),x)),"""")"),"")</f>
        <v/>
      </c>
      <c r="G486" s="163"/>
      <c r="H4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Helper'!$F$5:$F$3004,"""")&lt;&gt;""""),ROWS(H$5:H486)),"""")"),"")</f>
        <v/>
      </c>
    </row>
    <row r="487" ht="15.75" customHeight="1">
      <c r="A4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Helper'!$F$5:$F$3004,"""")&lt;&gt;""""),ROWS(A$5:A487)),"""")"),"")</f>
        <v/>
      </c>
      <c r="B4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Helper'!$F$5:$F$3004,"""")&lt;&gt;""""),ROWS(B$5:B487)),"""")"),"")</f>
        <v/>
      </c>
      <c r="C4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Helper'!$F$5:$F$3004,"""")&lt;&gt;""""),ROWS(C$5:C487)),"""")"),"")</f>
        <v/>
      </c>
      <c r="D4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Helper'!$F$5:$F$3004,"""")&lt;&gt;""""),ROWS(D$5:D487)),"""")"),"")</f>
        <v/>
      </c>
      <c r="E4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Helper'!$F$5:$F$3004,"""")&lt;&gt;""""),ROWS(E$5:E487)),"""")"),"")</f>
        <v/>
      </c>
      <c r="F4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Helper'!$F$5:$F$3004,"""")&lt;&gt;""""),ROWS(F$5:F487)),IF(AND(LEFT(x,5)=""Page"&amp;" "",ISERROR(SEARCH(""–"",x))),x&amp;""–""&amp;REGEXEXTRACT(x,""[0-9]+$""),x)),"""")"),"")</f>
        <v/>
      </c>
      <c r="G487" s="163"/>
      <c r="H4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Helper'!$F$5:$F$3004,"""")&lt;&gt;""""),ROWS(H$5:H487)),"""")"),"")</f>
        <v/>
      </c>
    </row>
    <row r="488" ht="15.75" customHeight="1">
      <c r="A4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Helper'!$F$5:$F$3004,"""")&lt;&gt;""""),ROWS(A$5:A488)),"""")"),"")</f>
        <v/>
      </c>
      <c r="B4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Helper'!$F$5:$F$3004,"""")&lt;&gt;""""),ROWS(B$5:B488)),"""")"),"")</f>
        <v/>
      </c>
      <c r="C4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Helper'!$F$5:$F$3004,"""")&lt;&gt;""""),ROWS(C$5:C488)),"""")"),"")</f>
        <v/>
      </c>
      <c r="D4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Helper'!$F$5:$F$3004,"""")&lt;&gt;""""),ROWS(D$5:D488)),"""")"),"")</f>
        <v/>
      </c>
      <c r="E4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Helper'!$F$5:$F$3004,"""")&lt;&gt;""""),ROWS(E$5:E488)),"""")"),"")</f>
        <v/>
      </c>
      <c r="F4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Helper'!$F$5:$F$3004,"""")&lt;&gt;""""),ROWS(F$5:F488)),IF(AND(LEFT(x,5)=""Page"&amp;" "",ISERROR(SEARCH(""–"",x))),x&amp;""–""&amp;REGEXEXTRACT(x,""[0-9]+$""),x)),"""")"),"")</f>
        <v/>
      </c>
      <c r="G488" s="163"/>
      <c r="H4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Helper'!$F$5:$F$3004,"""")&lt;&gt;""""),ROWS(H$5:H488)),"""")"),"")</f>
        <v/>
      </c>
    </row>
    <row r="489" ht="15.75" customHeight="1">
      <c r="A4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Helper'!$F$5:$F$3004,"""")&lt;&gt;""""),ROWS(A$5:A489)),"""")"),"")</f>
        <v/>
      </c>
      <c r="B4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Helper'!$F$5:$F$3004,"""")&lt;&gt;""""),ROWS(B$5:B489)),"""")"),"")</f>
        <v/>
      </c>
      <c r="C4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Helper'!$F$5:$F$3004,"""")&lt;&gt;""""),ROWS(C$5:C489)),"""")"),"")</f>
        <v/>
      </c>
      <c r="D4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Helper'!$F$5:$F$3004,"""")&lt;&gt;""""),ROWS(D$5:D489)),"""")"),"")</f>
        <v/>
      </c>
      <c r="E4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Helper'!$F$5:$F$3004,"""")&lt;&gt;""""),ROWS(E$5:E489)),"""")"),"")</f>
        <v/>
      </c>
      <c r="F4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Helper'!$F$5:$F$3004,"""")&lt;&gt;""""),ROWS(F$5:F489)),IF(AND(LEFT(x,5)=""Page"&amp;" "",ISERROR(SEARCH(""–"",x))),x&amp;""–""&amp;REGEXEXTRACT(x,""[0-9]+$""),x)),"""")"),"")</f>
        <v/>
      </c>
      <c r="G489" s="163"/>
      <c r="H4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Helper'!$F$5:$F$3004,"""")&lt;&gt;""""),ROWS(H$5:H489)),"""")"),"")</f>
        <v/>
      </c>
    </row>
    <row r="490" ht="15.75" customHeight="1">
      <c r="A4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Helper'!$F$5:$F$3004,"""")&lt;&gt;""""),ROWS(A$5:A490)),"""")"),"")</f>
        <v/>
      </c>
      <c r="B4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Helper'!$F$5:$F$3004,"""")&lt;&gt;""""),ROWS(B$5:B490)),"""")"),"")</f>
        <v/>
      </c>
      <c r="C4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Helper'!$F$5:$F$3004,"""")&lt;&gt;""""),ROWS(C$5:C490)),"""")"),"")</f>
        <v/>
      </c>
      <c r="D4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Helper'!$F$5:$F$3004,"""")&lt;&gt;""""),ROWS(D$5:D490)),"""")"),"")</f>
        <v/>
      </c>
      <c r="E4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Helper'!$F$5:$F$3004,"""")&lt;&gt;""""),ROWS(E$5:E490)),"""")"),"")</f>
        <v/>
      </c>
      <c r="F4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Helper'!$F$5:$F$3004,"""")&lt;&gt;""""),ROWS(F$5:F490)),IF(AND(LEFT(x,5)=""Page"&amp;" "",ISERROR(SEARCH(""–"",x))),x&amp;""–""&amp;REGEXEXTRACT(x,""[0-9]+$""),x)),"""")"),"")</f>
        <v/>
      </c>
      <c r="G490" s="163"/>
      <c r="H4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Helper'!$F$5:$F$3004,"""")&lt;&gt;""""),ROWS(H$5:H490)),"""")"),"")</f>
        <v/>
      </c>
    </row>
    <row r="491" ht="15.75" customHeight="1">
      <c r="A4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Helper'!$F$5:$F$3004,"""")&lt;&gt;""""),ROWS(A$5:A491)),"""")"),"")</f>
        <v/>
      </c>
      <c r="B4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Helper'!$F$5:$F$3004,"""")&lt;&gt;""""),ROWS(B$5:B491)),"""")"),"")</f>
        <v/>
      </c>
      <c r="C4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Helper'!$F$5:$F$3004,"""")&lt;&gt;""""),ROWS(C$5:C491)),"""")"),"")</f>
        <v/>
      </c>
      <c r="D4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Helper'!$F$5:$F$3004,"""")&lt;&gt;""""),ROWS(D$5:D491)),"""")"),"")</f>
        <v/>
      </c>
      <c r="E4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Helper'!$F$5:$F$3004,"""")&lt;&gt;""""),ROWS(E$5:E491)),"""")"),"")</f>
        <v/>
      </c>
      <c r="F4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Helper'!$F$5:$F$3004,"""")&lt;&gt;""""),ROWS(F$5:F491)),IF(AND(LEFT(x,5)=""Page"&amp;" "",ISERROR(SEARCH(""–"",x))),x&amp;""–""&amp;REGEXEXTRACT(x,""[0-9]+$""),x)),"""")"),"")</f>
        <v/>
      </c>
      <c r="G491" s="163"/>
      <c r="H4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Helper'!$F$5:$F$3004,"""")&lt;&gt;""""),ROWS(H$5:H491)),"""")"),"")</f>
        <v/>
      </c>
    </row>
    <row r="492" ht="15.75" customHeight="1">
      <c r="A4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Helper'!$F$5:$F$3004,"""")&lt;&gt;""""),ROWS(A$5:A492)),"""")"),"")</f>
        <v/>
      </c>
      <c r="B4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Helper'!$F$5:$F$3004,"""")&lt;&gt;""""),ROWS(B$5:B492)),"""")"),"")</f>
        <v/>
      </c>
      <c r="C4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Helper'!$F$5:$F$3004,"""")&lt;&gt;""""),ROWS(C$5:C492)),"""")"),"")</f>
        <v/>
      </c>
      <c r="D4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Helper'!$F$5:$F$3004,"""")&lt;&gt;""""),ROWS(D$5:D492)),"""")"),"")</f>
        <v/>
      </c>
      <c r="E4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Helper'!$F$5:$F$3004,"""")&lt;&gt;""""),ROWS(E$5:E492)),"""")"),"")</f>
        <v/>
      </c>
      <c r="F4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Helper'!$F$5:$F$3004,"""")&lt;&gt;""""),ROWS(F$5:F492)),IF(AND(LEFT(x,5)=""Page"&amp;" "",ISERROR(SEARCH(""–"",x))),x&amp;""–""&amp;REGEXEXTRACT(x,""[0-9]+$""),x)),"""")"),"")</f>
        <v/>
      </c>
      <c r="G492" s="163"/>
      <c r="H4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Helper'!$F$5:$F$3004,"""")&lt;&gt;""""),ROWS(H$5:H492)),"""")"),"")</f>
        <v/>
      </c>
    </row>
    <row r="493" ht="15.75" customHeight="1">
      <c r="A4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Helper'!$F$5:$F$3004,"""")&lt;&gt;""""),ROWS(A$5:A493)),"""")"),"")</f>
        <v/>
      </c>
      <c r="B4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Helper'!$F$5:$F$3004,"""")&lt;&gt;""""),ROWS(B$5:B493)),"""")"),"")</f>
        <v/>
      </c>
      <c r="C4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Helper'!$F$5:$F$3004,"""")&lt;&gt;""""),ROWS(C$5:C493)),"""")"),"")</f>
        <v/>
      </c>
      <c r="D4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Helper'!$F$5:$F$3004,"""")&lt;&gt;""""),ROWS(D$5:D493)),"""")"),"")</f>
        <v/>
      </c>
      <c r="E4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Helper'!$F$5:$F$3004,"""")&lt;&gt;""""),ROWS(E$5:E493)),"""")"),"")</f>
        <v/>
      </c>
      <c r="F4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Helper'!$F$5:$F$3004,"""")&lt;&gt;""""),ROWS(F$5:F493)),IF(AND(LEFT(x,5)=""Page"&amp;" "",ISERROR(SEARCH(""–"",x))),x&amp;""–""&amp;REGEXEXTRACT(x,""[0-9]+$""),x)),"""")"),"")</f>
        <v/>
      </c>
      <c r="G493" s="163"/>
      <c r="H4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Helper'!$F$5:$F$3004,"""")&lt;&gt;""""),ROWS(H$5:H493)),"""")"),"")</f>
        <v/>
      </c>
    </row>
    <row r="494" ht="15.75" customHeight="1">
      <c r="A4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Helper'!$F$5:$F$3004,"""")&lt;&gt;""""),ROWS(A$5:A494)),"""")"),"")</f>
        <v/>
      </c>
      <c r="B4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Helper'!$F$5:$F$3004,"""")&lt;&gt;""""),ROWS(B$5:B494)),"""")"),"")</f>
        <v/>
      </c>
      <c r="C4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Helper'!$F$5:$F$3004,"""")&lt;&gt;""""),ROWS(C$5:C494)),"""")"),"")</f>
        <v/>
      </c>
      <c r="D4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Helper'!$F$5:$F$3004,"""")&lt;&gt;""""),ROWS(D$5:D494)),"""")"),"")</f>
        <v/>
      </c>
      <c r="E4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Helper'!$F$5:$F$3004,"""")&lt;&gt;""""),ROWS(E$5:E494)),"""")"),"")</f>
        <v/>
      </c>
      <c r="F4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Helper'!$F$5:$F$3004,"""")&lt;&gt;""""),ROWS(F$5:F494)),IF(AND(LEFT(x,5)=""Page"&amp;" "",ISERROR(SEARCH(""–"",x))),x&amp;""–""&amp;REGEXEXTRACT(x,""[0-9]+$""),x)),"""")"),"")</f>
        <v/>
      </c>
      <c r="G494" s="163"/>
      <c r="H4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Helper'!$F$5:$F$3004,"""")&lt;&gt;""""),ROWS(H$5:H494)),"""")"),"")</f>
        <v/>
      </c>
    </row>
    <row r="495" ht="15.75" customHeight="1">
      <c r="A4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Helper'!$F$5:$F$3004,"""")&lt;&gt;""""),ROWS(A$5:A495)),"""")"),"")</f>
        <v/>
      </c>
      <c r="B4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Helper'!$F$5:$F$3004,"""")&lt;&gt;""""),ROWS(B$5:B495)),"""")"),"")</f>
        <v/>
      </c>
      <c r="C4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Helper'!$F$5:$F$3004,"""")&lt;&gt;""""),ROWS(C$5:C495)),"""")"),"")</f>
        <v/>
      </c>
      <c r="D4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Helper'!$F$5:$F$3004,"""")&lt;&gt;""""),ROWS(D$5:D495)),"""")"),"")</f>
        <v/>
      </c>
      <c r="E4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Helper'!$F$5:$F$3004,"""")&lt;&gt;""""),ROWS(E$5:E495)),"""")"),"")</f>
        <v/>
      </c>
      <c r="F4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Helper'!$F$5:$F$3004,"""")&lt;&gt;""""),ROWS(F$5:F495)),IF(AND(LEFT(x,5)=""Page"&amp;" "",ISERROR(SEARCH(""–"",x))),x&amp;""–""&amp;REGEXEXTRACT(x,""[0-9]+$""),x)),"""")"),"")</f>
        <v/>
      </c>
      <c r="G495" s="163"/>
      <c r="H4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Helper'!$F$5:$F$3004,"""")&lt;&gt;""""),ROWS(H$5:H495)),"""")"),"")</f>
        <v/>
      </c>
    </row>
    <row r="496" ht="15.75" customHeight="1">
      <c r="A4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Helper'!$F$5:$F$3004,"""")&lt;&gt;""""),ROWS(A$5:A496)),"""")"),"")</f>
        <v/>
      </c>
      <c r="B4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Helper'!$F$5:$F$3004,"""")&lt;&gt;""""),ROWS(B$5:B496)),"""")"),"")</f>
        <v/>
      </c>
      <c r="C4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Helper'!$F$5:$F$3004,"""")&lt;&gt;""""),ROWS(C$5:C496)),"""")"),"")</f>
        <v/>
      </c>
      <c r="D4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Helper'!$F$5:$F$3004,"""")&lt;&gt;""""),ROWS(D$5:D496)),"""")"),"")</f>
        <v/>
      </c>
      <c r="E4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Helper'!$F$5:$F$3004,"""")&lt;&gt;""""),ROWS(E$5:E496)),"""")"),"")</f>
        <v/>
      </c>
      <c r="F4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Helper'!$F$5:$F$3004,"""")&lt;&gt;""""),ROWS(F$5:F496)),IF(AND(LEFT(x,5)=""Page"&amp;" "",ISERROR(SEARCH(""–"",x))),x&amp;""–""&amp;REGEXEXTRACT(x,""[0-9]+$""),x)),"""")"),"")</f>
        <v/>
      </c>
      <c r="G496" s="163"/>
      <c r="H4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Helper'!$F$5:$F$3004,"""")&lt;&gt;""""),ROWS(H$5:H496)),"""")"),"")</f>
        <v/>
      </c>
    </row>
    <row r="497" ht="15.75" customHeight="1">
      <c r="A4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Helper'!$F$5:$F$3004,"""")&lt;&gt;""""),ROWS(A$5:A497)),"""")"),"")</f>
        <v/>
      </c>
      <c r="B4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Helper'!$F$5:$F$3004,"""")&lt;&gt;""""),ROWS(B$5:B497)),"""")"),"")</f>
        <v/>
      </c>
      <c r="C4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Helper'!$F$5:$F$3004,"""")&lt;&gt;""""),ROWS(C$5:C497)),"""")"),"")</f>
        <v/>
      </c>
      <c r="D4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Helper'!$F$5:$F$3004,"""")&lt;&gt;""""),ROWS(D$5:D497)),"""")"),"")</f>
        <v/>
      </c>
      <c r="E4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Helper'!$F$5:$F$3004,"""")&lt;&gt;""""),ROWS(E$5:E497)),"""")"),"")</f>
        <v/>
      </c>
      <c r="F4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Helper'!$F$5:$F$3004,"""")&lt;&gt;""""),ROWS(F$5:F497)),IF(AND(LEFT(x,5)=""Page"&amp;" "",ISERROR(SEARCH(""–"",x))),x&amp;""–""&amp;REGEXEXTRACT(x,""[0-9]+$""),x)),"""")"),"")</f>
        <v/>
      </c>
      <c r="G497" s="163"/>
      <c r="H4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Helper'!$F$5:$F$3004,"""")&lt;&gt;""""),ROWS(H$5:H497)),"""")"),"")</f>
        <v/>
      </c>
    </row>
    <row r="498" ht="15.75" customHeight="1">
      <c r="A4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Helper'!$F$5:$F$3004,"""")&lt;&gt;""""),ROWS(A$5:A498)),"""")"),"")</f>
        <v/>
      </c>
      <c r="B4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Helper'!$F$5:$F$3004,"""")&lt;&gt;""""),ROWS(B$5:B498)),"""")"),"")</f>
        <v/>
      </c>
      <c r="C4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Helper'!$F$5:$F$3004,"""")&lt;&gt;""""),ROWS(C$5:C498)),"""")"),"")</f>
        <v/>
      </c>
      <c r="D4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Helper'!$F$5:$F$3004,"""")&lt;&gt;""""),ROWS(D$5:D498)),"""")"),"")</f>
        <v/>
      </c>
      <c r="E4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Helper'!$F$5:$F$3004,"""")&lt;&gt;""""),ROWS(E$5:E498)),"""")"),"")</f>
        <v/>
      </c>
      <c r="F4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Helper'!$F$5:$F$3004,"""")&lt;&gt;""""),ROWS(F$5:F498)),IF(AND(LEFT(x,5)=""Page"&amp;" "",ISERROR(SEARCH(""–"",x))),x&amp;""–""&amp;REGEXEXTRACT(x,""[0-9]+$""),x)),"""")"),"")</f>
        <v/>
      </c>
      <c r="G498" s="163"/>
      <c r="H4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Helper'!$F$5:$F$3004,"""")&lt;&gt;""""),ROWS(H$5:H498)),"""")"),"")</f>
        <v/>
      </c>
    </row>
    <row r="499" ht="15.75" customHeight="1">
      <c r="A4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Helper'!$F$5:$F$3004,"""")&lt;&gt;""""),ROWS(A$5:A499)),"""")"),"")</f>
        <v/>
      </c>
      <c r="B4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Helper'!$F$5:$F$3004,"""")&lt;&gt;""""),ROWS(B$5:B499)),"""")"),"")</f>
        <v/>
      </c>
      <c r="C4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Helper'!$F$5:$F$3004,"""")&lt;&gt;""""),ROWS(C$5:C499)),"""")"),"")</f>
        <v/>
      </c>
      <c r="D4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Helper'!$F$5:$F$3004,"""")&lt;&gt;""""),ROWS(D$5:D499)),"""")"),"")</f>
        <v/>
      </c>
      <c r="E4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Helper'!$F$5:$F$3004,"""")&lt;&gt;""""),ROWS(E$5:E499)),"""")"),"")</f>
        <v/>
      </c>
      <c r="F4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Helper'!$F$5:$F$3004,"""")&lt;&gt;""""),ROWS(F$5:F499)),IF(AND(LEFT(x,5)=""Page"&amp;" "",ISERROR(SEARCH(""–"",x))),x&amp;""–""&amp;REGEXEXTRACT(x,""[0-9]+$""),x)),"""")"),"")</f>
        <v/>
      </c>
      <c r="G499" s="163"/>
      <c r="H4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Helper'!$F$5:$F$3004,"""")&lt;&gt;""""),ROWS(H$5:H499)),"""")"),"")</f>
        <v/>
      </c>
    </row>
    <row r="500" ht="15.75" customHeight="1">
      <c r="A5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Helper'!$F$5:$F$3004,"""")&lt;&gt;""""),ROWS(A$5:A500)),"""")"),"")</f>
        <v/>
      </c>
      <c r="B5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Helper'!$F$5:$F$3004,"""")&lt;&gt;""""),ROWS(B$5:B500)),"""")"),"")</f>
        <v/>
      </c>
      <c r="C5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Helper'!$F$5:$F$3004,"""")&lt;&gt;""""),ROWS(C$5:C500)),"""")"),"")</f>
        <v/>
      </c>
      <c r="D5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Helper'!$F$5:$F$3004,"""")&lt;&gt;""""),ROWS(D$5:D500)),"""")"),"")</f>
        <v/>
      </c>
      <c r="E5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Helper'!$F$5:$F$3004,"""")&lt;&gt;""""),ROWS(E$5:E500)),"""")"),"")</f>
        <v/>
      </c>
      <c r="F5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Helper'!$F$5:$F$3004,"""")&lt;&gt;""""),ROWS(F$5:F500)),IF(AND(LEFT(x,5)=""Page"&amp;" "",ISERROR(SEARCH(""–"",x))),x&amp;""–""&amp;REGEXEXTRACT(x,""[0-9]+$""),x)),"""")"),"")</f>
        <v/>
      </c>
      <c r="G500" s="163"/>
      <c r="H5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Helper'!$F$5:$F$3004,"""")&lt;&gt;""""),ROWS(H$5:H500)),"""")"),"")</f>
        <v/>
      </c>
    </row>
    <row r="501" ht="15.75" customHeight="1">
      <c r="A5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Helper'!$F$5:$F$3004,"""")&lt;&gt;""""),ROWS(A$5:A501)),"""")"),"")</f>
        <v/>
      </c>
      <c r="B5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Helper'!$F$5:$F$3004,"""")&lt;&gt;""""),ROWS(B$5:B501)),"""")"),"")</f>
        <v/>
      </c>
      <c r="C5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Helper'!$F$5:$F$3004,"""")&lt;&gt;""""),ROWS(C$5:C501)),"""")"),"")</f>
        <v/>
      </c>
      <c r="D5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Helper'!$F$5:$F$3004,"""")&lt;&gt;""""),ROWS(D$5:D501)),"""")"),"")</f>
        <v/>
      </c>
      <c r="E5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Helper'!$F$5:$F$3004,"""")&lt;&gt;""""),ROWS(E$5:E501)),"""")"),"")</f>
        <v/>
      </c>
      <c r="F5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Helper'!$F$5:$F$3004,"""")&lt;&gt;""""),ROWS(F$5:F501)),IF(AND(LEFT(x,5)=""Page"&amp;" "",ISERROR(SEARCH(""–"",x))),x&amp;""–""&amp;REGEXEXTRACT(x,""[0-9]+$""),x)),"""")"),"")</f>
        <v/>
      </c>
      <c r="G501" s="163"/>
      <c r="H5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Helper'!$F$5:$F$3004,"""")&lt;&gt;""""),ROWS(H$5:H501)),"""")"),"")</f>
        <v/>
      </c>
    </row>
    <row r="502" ht="15.75" customHeight="1">
      <c r="A5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Helper'!$F$5:$F$3004,"""")&lt;&gt;""""),ROWS(A$5:A502)),"""")"),"")</f>
        <v/>
      </c>
      <c r="B5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Helper'!$F$5:$F$3004,"""")&lt;&gt;""""),ROWS(B$5:B502)),"""")"),"")</f>
        <v/>
      </c>
      <c r="C5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Helper'!$F$5:$F$3004,"""")&lt;&gt;""""),ROWS(C$5:C502)),"""")"),"")</f>
        <v/>
      </c>
      <c r="D5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Helper'!$F$5:$F$3004,"""")&lt;&gt;""""),ROWS(D$5:D502)),"""")"),"")</f>
        <v/>
      </c>
      <c r="E5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Helper'!$F$5:$F$3004,"""")&lt;&gt;""""),ROWS(E$5:E502)),"""")"),"")</f>
        <v/>
      </c>
      <c r="F5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Helper'!$F$5:$F$3004,"""")&lt;&gt;""""),ROWS(F$5:F502)),IF(AND(LEFT(x,5)=""Page"&amp;" "",ISERROR(SEARCH(""–"",x))),x&amp;""–""&amp;REGEXEXTRACT(x,""[0-9]+$""),x)),"""")"),"")</f>
        <v/>
      </c>
      <c r="G502" s="163"/>
      <c r="H5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Helper'!$F$5:$F$3004,"""")&lt;&gt;""""),ROWS(H$5:H502)),"""")"),"")</f>
        <v/>
      </c>
    </row>
    <row r="503" ht="15.75" customHeight="1">
      <c r="A5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Helper'!$F$5:$F$3004,"""")&lt;&gt;""""),ROWS(A$5:A503)),"""")"),"")</f>
        <v/>
      </c>
      <c r="B5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Helper'!$F$5:$F$3004,"""")&lt;&gt;""""),ROWS(B$5:B503)),"""")"),"")</f>
        <v/>
      </c>
      <c r="C5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Helper'!$F$5:$F$3004,"""")&lt;&gt;""""),ROWS(C$5:C503)),"""")"),"")</f>
        <v/>
      </c>
      <c r="D5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Helper'!$F$5:$F$3004,"""")&lt;&gt;""""),ROWS(D$5:D503)),"""")"),"")</f>
        <v/>
      </c>
      <c r="E5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Helper'!$F$5:$F$3004,"""")&lt;&gt;""""),ROWS(E$5:E503)),"""")"),"")</f>
        <v/>
      </c>
      <c r="F5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Helper'!$F$5:$F$3004,"""")&lt;&gt;""""),ROWS(F$5:F503)),IF(AND(LEFT(x,5)=""Page"&amp;" "",ISERROR(SEARCH(""–"",x))),x&amp;""–""&amp;REGEXEXTRACT(x,""[0-9]+$""),x)),"""")"),"")</f>
        <v/>
      </c>
      <c r="G503" s="163"/>
      <c r="H5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Helper'!$F$5:$F$3004,"""")&lt;&gt;""""),ROWS(H$5:H503)),"""")"),"")</f>
        <v/>
      </c>
    </row>
    <row r="504" ht="15.75" customHeight="1">
      <c r="A5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Helper'!$F$5:$F$3004,"""")&lt;&gt;""""),ROWS(A$5:A504)),"""")"),"")</f>
        <v/>
      </c>
      <c r="B5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Helper'!$F$5:$F$3004,"""")&lt;&gt;""""),ROWS(B$5:B504)),"""")"),"")</f>
        <v/>
      </c>
      <c r="C5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Helper'!$F$5:$F$3004,"""")&lt;&gt;""""),ROWS(C$5:C504)),"""")"),"")</f>
        <v/>
      </c>
      <c r="D5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Helper'!$F$5:$F$3004,"""")&lt;&gt;""""),ROWS(D$5:D504)),"""")"),"")</f>
        <v/>
      </c>
      <c r="E5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Helper'!$F$5:$F$3004,"""")&lt;&gt;""""),ROWS(E$5:E504)),"""")"),"")</f>
        <v/>
      </c>
      <c r="F5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Helper'!$F$5:$F$3004,"""")&lt;&gt;""""),ROWS(F$5:F504)),IF(AND(LEFT(x,5)=""Page"&amp;" "",ISERROR(SEARCH(""–"",x))),x&amp;""–""&amp;REGEXEXTRACT(x,""[0-9]+$""),x)),"""")"),"")</f>
        <v/>
      </c>
      <c r="G504" s="163"/>
      <c r="H5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Helper'!$F$5:$F$3004,"""")&lt;&gt;""""),ROWS(H$5:H504)),"""")"),"")</f>
        <v/>
      </c>
    </row>
    <row r="505" ht="15.75" customHeight="1">
      <c r="A5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Helper'!$F$5:$F$3004,"""")&lt;&gt;""""),ROWS(A$5:A505)),"""")"),"")</f>
        <v/>
      </c>
      <c r="B5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Helper'!$F$5:$F$3004,"""")&lt;&gt;""""),ROWS(B$5:B505)),"""")"),"")</f>
        <v/>
      </c>
      <c r="C5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Helper'!$F$5:$F$3004,"""")&lt;&gt;""""),ROWS(C$5:C505)),"""")"),"")</f>
        <v/>
      </c>
      <c r="D5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Helper'!$F$5:$F$3004,"""")&lt;&gt;""""),ROWS(D$5:D505)),"""")"),"")</f>
        <v/>
      </c>
      <c r="E5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Helper'!$F$5:$F$3004,"""")&lt;&gt;""""),ROWS(E$5:E505)),"""")"),"")</f>
        <v/>
      </c>
      <c r="F5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Helper'!$F$5:$F$3004,"""")&lt;&gt;""""),ROWS(F$5:F505)),IF(AND(LEFT(x,5)=""Page"&amp;" "",ISERROR(SEARCH(""–"",x))),x&amp;""–""&amp;REGEXEXTRACT(x,""[0-9]+$""),x)),"""")"),"")</f>
        <v/>
      </c>
      <c r="G505" s="163"/>
      <c r="H5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Helper'!$F$5:$F$3004,"""")&lt;&gt;""""),ROWS(H$5:H505)),"""")"),"")</f>
        <v/>
      </c>
    </row>
    <row r="506" ht="15.75" customHeight="1">
      <c r="A5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Helper'!$F$5:$F$3004,"""")&lt;&gt;""""),ROWS(A$5:A506)),"""")"),"")</f>
        <v/>
      </c>
      <c r="B5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Helper'!$F$5:$F$3004,"""")&lt;&gt;""""),ROWS(B$5:B506)),"""")"),"")</f>
        <v/>
      </c>
      <c r="C5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Helper'!$F$5:$F$3004,"""")&lt;&gt;""""),ROWS(C$5:C506)),"""")"),"")</f>
        <v/>
      </c>
      <c r="D5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Helper'!$F$5:$F$3004,"""")&lt;&gt;""""),ROWS(D$5:D506)),"""")"),"")</f>
        <v/>
      </c>
      <c r="E5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Helper'!$F$5:$F$3004,"""")&lt;&gt;""""),ROWS(E$5:E506)),"""")"),"")</f>
        <v/>
      </c>
      <c r="F5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Helper'!$F$5:$F$3004,"""")&lt;&gt;""""),ROWS(F$5:F506)),IF(AND(LEFT(x,5)=""Page"&amp;" "",ISERROR(SEARCH(""–"",x))),x&amp;""–""&amp;REGEXEXTRACT(x,""[0-9]+$""),x)),"""")"),"")</f>
        <v/>
      </c>
      <c r="G506" s="163"/>
      <c r="H5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Helper'!$F$5:$F$3004,"""")&lt;&gt;""""),ROWS(H$5:H506)),"""")"),"")</f>
        <v/>
      </c>
    </row>
    <row r="507" ht="15.75" customHeight="1">
      <c r="A5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Helper'!$F$5:$F$3004,"""")&lt;&gt;""""),ROWS(A$5:A507)),"""")"),"")</f>
        <v/>
      </c>
      <c r="B5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Helper'!$F$5:$F$3004,"""")&lt;&gt;""""),ROWS(B$5:B507)),"""")"),"")</f>
        <v/>
      </c>
      <c r="C5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Helper'!$F$5:$F$3004,"""")&lt;&gt;""""),ROWS(C$5:C507)),"""")"),"")</f>
        <v/>
      </c>
      <c r="D5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Helper'!$F$5:$F$3004,"""")&lt;&gt;""""),ROWS(D$5:D507)),"""")"),"")</f>
        <v/>
      </c>
      <c r="E5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Helper'!$F$5:$F$3004,"""")&lt;&gt;""""),ROWS(E$5:E507)),"""")"),"")</f>
        <v/>
      </c>
      <c r="F5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Helper'!$F$5:$F$3004,"""")&lt;&gt;""""),ROWS(F$5:F507)),IF(AND(LEFT(x,5)=""Page"&amp;" "",ISERROR(SEARCH(""–"",x))),x&amp;""–""&amp;REGEXEXTRACT(x,""[0-9]+$""),x)),"""")"),"")</f>
        <v/>
      </c>
      <c r="G507" s="163"/>
      <c r="H5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Helper'!$F$5:$F$3004,"""")&lt;&gt;""""),ROWS(H$5:H507)),"""")"),"")</f>
        <v/>
      </c>
    </row>
    <row r="508" ht="15.75" customHeight="1">
      <c r="A5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Helper'!$F$5:$F$3004,"""")&lt;&gt;""""),ROWS(A$5:A508)),"""")"),"")</f>
        <v/>
      </c>
      <c r="B5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Helper'!$F$5:$F$3004,"""")&lt;&gt;""""),ROWS(B$5:B508)),"""")"),"")</f>
        <v/>
      </c>
      <c r="C5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Helper'!$F$5:$F$3004,"""")&lt;&gt;""""),ROWS(C$5:C508)),"""")"),"")</f>
        <v/>
      </c>
      <c r="D5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Helper'!$F$5:$F$3004,"""")&lt;&gt;""""),ROWS(D$5:D508)),"""")"),"")</f>
        <v/>
      </c>
      <c r="E5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Helper'!$F$5:$F$3004,"""")&lt;&gt;""""),ROWS(E$5:E508)),"""")"),"")</f>
        <v/>
      </c>
      <c r="F5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Helper'!$F$5:$F$3004,"""")&lt;&gt;""""),ROWS(F$5:F508)),IF(AND(LEFT(x,5)=""Page"&amp;" "",ISERROR(SEARCH(""–"",x))),x&amp;""–""&amp;REGEXEXTRACT(x,""[0-9]+$""),x)),"""")"),"")</f>
        <v/>
      </c>
      <c r="G508" s="163"/>
      <c r="H5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Helper'!$F$5:$F$3004,"""")&lt;&gt;""""),ROWS(H$5:H508)),"""")"),"")</f>
        <v/>
      </c>
    </row>
    <row r="509" ht="15.75" customHeight="1">
      <c r="A5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Helper'!$F$5:$F$3004,"""")&lt;&gt;""""),ROWS(A$5:A509)),"""")"),"")</f>
        <v/>
      </c>
      <c r="B5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Helper'!$F$5:$F$3004,"""")&lt;&gt;""""),ROWS(B$5:B509)),"""")"),"")</f>
        <v/>
      </c>
      <c r="C5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Helper'!$F$5:$F$3004,"""")&lt;&gt;""""),ROWS(C$5:C509)),"""")"),"")</f>
        <v/>
      </c>
      <c r="D5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Helper'!$F$5:$F$3004,"""")&lt;&gt;""""),ROWS(D$5:D509)),"""")"),"")</f>
        <v/>
      </c>
      <c r="E5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Helper'!$F$5:$F$3004,"""")&lt;&gt;""""),ROWS(E$5:E509)),"""")"),"")</f>
        <v/>
      </c>
      <c r="F5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Helper'!$F$5:$F$3004,"""")&lt;&gt;""""),ROWS(F$5:F509)),IF(AND(LEFT(x,5)=""Page"&amp;" "",ISERROR(SEARCH(""–"",x))),x&amp;""–""&amp;REGEXEXTRACT(x,""[0-9]+$""),x)),"""")"),"")</f>
        <v/>
      </c>
      <c r="G509" s="163"/>
      <c r="H5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Helper'!$F$5:$F$3004,"""")&lt;&gt;""""),ROWS(H$5:H509)),"""")"),"")</f>
        <v/>
      </c>
    </row>
    <row r="510" ht="15.75" customHeight="1">
      <c r="A5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Helper'!$F$5:$F$3004,"""")&lt;&gt;""""),ROWS(A$5:A510)),"""")"),"")</f>
        <v/>
      </c>
      <c r="B5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Helper'!$F$5:$F$3004,"""")&lt;&gt;""""),ROWS(B$5:B510)),"""")"),"")</f>
        <v/>
      </c>
      <c r="C5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Helper'!$F$5:$F$3004,"""")&lt;&gt;""""),ROWS(C$5:C510)),"""")"),"")</f>
        <v/>
      </c>
      <c r="D5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Helper'!$F$5:$F$3004,"""")&lt;&gt;""""),ROWS(D$5:D510)),"""")"),"")</f>
        <v/>
      </c>
      <c r="E5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Helper'!$F$5:$F$3004,"""")&lt;&gt;""""),ROWS(E$5:E510)),"""")"),"")</f>
        <v/>
      </c>
      <c r="F5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Helper'!$F$5:$F$3004,"""")&lt;&gt;""""),ROWS(F$5:F510)),IF(AND(LEFT(x,5)=""Page"&amp;" "",ISERROR(SEARCH(""–"",x))),x&amp;""–""&amp;REGEXEXTRACT(x,""[0-9]+$""),x)),"""")"),"")</f>
        <v/>
      </c>
      <c r="G510" s="163"/>
      <c r="H5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Helper'!$F$5:$F$3004,"""")&lt;&gt;""""),ROWS(H$5:H510)),"""")"),"")</f>
        <v/>
      </c>
    </row>
    <row r="511" ht="15.75" customHeight="1">
      <c r="A5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Helper'!$F$5:$F$3004,"""")&lt;&gt;""""),ROWS(A$5:A511)),"""")"),"")</f>
        <v/>
      </c>
      <c r="B5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Helper'!$F$5:$F$3004,"""")&lt;&gt;""""),ROWS(B$5:B511)),"""")"),"")</f>
        <v/>
      </c>
      <c r="C5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Helper'!$F$5:$F$3004,"""")&lt;&gt;""""),ROWS(C$5:C511)),"""")"),"")</f>
        <v/>
      </c>
      <c r="D5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Helper'!$F$5:$F$3004,"""")&lt;&gt;""""),ROWS(D$5:D511)),"""")"),"")</f>
        <v/>
      </c>
      <c r="E5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Helper'!$F$5:$F$3004,"""")&lt;&gt;""""),ROWS(E$5:E511)),"""")"),"")</f>
        <v/>
      </c>
      <c r="F5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Helper'!$F$5:$F$3004,"""")&lt;&gt;""""),ROWS(F$5:F511)),IF(AND(LEFT(x,5)=""Page"&amp;" "",ISERROR(SEARCH(""–"",x))),x&amp;""–""&amp;REGEXEXTRACT(x,""[0-9]+$""),x)),"""")"),"")</f>
        <v/>
      </c>
      <c r="G511" s="163"/>
      <c r="H5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Helper'!$F$5:$F$3004,"""")&lt;&gt;""""),ROWS(H$5:H511)),"""")"),"")</f>
        <v/>
      </c>
    </row>
    <row r="512" ht="15.75" customHeight="1">
      <c r="A5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Helper'!$F$5:$F$3004,"""")&lt;&gt;""""),ROWS(A$5:A512)),"""")"),"")</f>
        <v/>
      </c>
      <c r="B5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Helper'!$F$5:$F$3004,"""")&lt;&gt;""""),ROWS(B$5:B512)),"""")"),"")</f>
        <v/>
      </c>
      <c r="C5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Helper'!$F$5:$F$3004,"""")&lt;&gt;""""),ROWS(C$5:C512)),"""")"),"")</f>
        <v/>
      </c>
      <c r="D5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Helper'!$F$5:$F$3004,"""")&lt;&gt;""""),ROWS(D$5:D512)),"""")"),"")</f>
        <v/>
      </c>
      <c r="E5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Helper'!$F$5:$F$3004,"""")&lt;&gt;""""),ROWS(E$5:E512)),"""")"),"")</f>
        <v/>
      </c>
      <c r="F5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Helper'!$F$5:$F$3004,"""")&lt;&gt;""""),ROWS(F$5:F512)),IF(AND(LEFT(x,5)=""Page"&amp;" "",ISERROR(SEARCH(""–"",x))),x&amp;""–""&amp;REGEXEXTRACT(x,""[0-9]+$""),x)),"""")"),"")</f>
        <v/>
      </c>
      <c r="G512" s="163"/>
      <c r="H5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Helper'!$F$5:$F$3004,"""")&lt;&gt;""""),ROWS(H$5:H512)),"""")"),"")</f>
        <v/>
      </c>
    </row>
    <row r="513" ht="15.75" customHeight="1">
      <c r="A5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Helper'!$F$5:$F$3004,"""")&lt;&gt;""""),ROWS(A$5:A513)),"""")"),"")</f>
        <v/>
      </c>
      <c r="B5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Helper'!$F$5:$F$3004,"""")&lt;&gt;""""),ROWS(B$5:B513)),"""")"),"")</f>
        <v/>
      </c>
      <c r="C5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Helper'!$F$5:$F$3004,"""")&lt;&gt;""""),ROWS(C$5:C513)),"""")"),"")</f>
        <v/>
      </c>
      <c r="D5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Helper'!$F$5:$F$3004,"""")&lt;&gt;""""),ROWS(D$5:D513)),"""")"),"")</f>
        <v/>
      </c>
      <c r="E5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Helper'!$F$5:$F$3004,"""")&lt;&gt;""""),ROWS(E$5:E513)),"""")"),"")</f>
        <v/>
      </c>
      <c r="F5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Helper'!$F$5:$F$3004,"""")&lt;&gt;""""),ROWS(F$5:F513)),IF(AND(LEFT(x,5)=""Page"&amp;" "",ISERROR(SEARCH(""–"",x))),x&amp;""–""&amp;REGEXEXTRACT(x,""[0-9]+$""),x)),"""")"),"")</f>
        <v/>
      </c>
      <c r="G513" s="163"/>
      <c r="H5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Helper'!$F$5:$F$3004,"""")&lt;&gt;""""),ROWS(H$5:H513)),"""")"),"")</f>
        <v/>
      </c>
    </row>
    <row r="514" ht="15.75" customHeight="1">
      <c r="A5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Helper'!$F$5:$F$3004,"""")&lt;&gt;""""),ROWS(A$5:A514)),"""")"),"")</f>
        <v/>
      </c>
      <c r="B5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Helper'!$F$5:$F$3004,"""")&lt;&gt;""""),ROWS(B$5:B514)),"""")"),"")</f>
        <v/>
      </c>
      <c r="C5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Helper'!$F$5:$F$3004,"""")&lt;&gt;""""),ROWS(C$5:C514)),"""")"),"")</f>
        <v/>
      </c>
      <c r="D5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Helper'!$F$5:$F$3004,"""")&lt;&gt;""""),ROWS(D$5:D514)),"""")"),"")</f>
        <v/>
      </c>
      <c r="E5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Helper'!$F$5:$F$3004,"""")&lt;&gt;""""),ROWS(E$5:E514)),"""")"),"")</f>
        <v/>
      </c>
      <c r="F5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Helper'!$F$5:$F$3004,"""")&lt;&gt;""""),ROWS(F$5:F514)),IF(AND(LEFT(x,5)=""Page"&amp;" "",ISERROR(SEARCH(""–"",x))),x&amp;""–""&amp;REGEXEXTRACT(x,""[0-9]+$""),x)),"""")"),"")</f>
        <v/>
      </c>
      <c r="G514" s="163"/>
      <c r="H5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Helper'!$F$5:$F$3004,"""")&lt;&gt;""""),ROWS(H$5:H514)),"""")"),"")</f>
        <v/>
      </c>
    </row>
    <row r="515" ht="15.75" customHeight="1">
      <c r="A5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Helper'!$F$5:$F$3004,"""")&lt;&gt;""""),ROWS(A$5:A515)),"""")"),"")</f>
        <v/>
      </c>
      <c r="B5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Helper'!$F$5:$F$3004,"""")&lt;&gt;""""),ROWS(B$5:B515)),"""")"),"")</f>
        <v/>
      </c>
      <c r="C5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Helper'!$F$5:$F$3004,"""")&lt;&gt;""""),ROWS(C$5:C515)),"""")"),"")</f>
        <v/>
      </c>
      <c r="D5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Helper'!$F$5:$F$3004,"""")&lt;&gt;""""),ROWS(D$5:D515)),"""")"),"")</f>
        <v/>
      </c>
      <c r="E5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Helper'!$F$5:$F$3004,"""")&lt;&gt;""""),ROWS(E$5:E515)),"""")"),"")</f>
        <v/>
      </c>
      <c r="F5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Helper'!$F$5:$F$3004,"""")&lt;&gt;""""),ROWS(F$5:F515)),IF(AND(LEFT(x,5)=""Page"&amp;" "",ISERROR(SEARCH(""–"",x))),x&amp;""–""&amp;REGEXEXTRACT(x,""[0-9]+$""),x)),"""")"),"")</f>
        <v/>
      </c>
      <c r="G515" s="163"/>
      <c r="H5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Helper'!$F$5:$F$3004,"""")&lt;&gt;""""),ROWS(H$5:H515)),"""")"),"")</f>
        <v/>
      </c>
    </row>
    <row r="516" ht="15.75" customHeight="1">
      <c r="A5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Helper'!$F$5:$F$3004,"""")&lt;&gt;""""),ROWS(A$5:A516)),"""")"),"")</f>
        <v/>
      </c>
      <c r="B5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Helper'!$F$5:$F$3004,"""")&lt;&gt;""""),ROWS(B$5:B516)),"""")"),"")</f>
        <v/>
      </c>
      <c r="C5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Helper'!$F$5:$F$3004,"""")&lt;&gt;""""),ROWS(C$5:C516)),"""")"),"")</f>
        <v/>
      </c>
      <c r="D5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Helper'!$F$5:$F$3004,"""")&lt;&gt;""""),ROWS(D$5:D516)),"""")"),"")</f>
        <v/>
      </c>
      <c r="E5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Helper'!$F$5:$F$3004,"""")&lt;&gt;""""),ROWS(E$5:E516)),"""")"),"")</f>
        <v/>
      </c>
      <c r="F5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Helper'!$F$5:$F$3004,"""")&lt;&gt;""""),ROWS(F$5:F516)),IF(AND(LEFT(x,5)=""Page"&amp;" "",ISERROR(SEARCH(""–"",x))),x&amp;""–""&amp;REGEXEXTRACT(x,""[0-9]+$""),x)),"""")"),"")</f>
        <v/>
      </c>
      <c r="G516" s="163"/>
      <c r="H5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Helper'!$F$5:$F$3004,"""")&lt;&gt;""""),ROWS(H$5:H516)),"""")"),"")</f>
        <v/>
      </c>
    </row>
    <row r="517" ht="15.75" customHeight="1">
      <c r="A5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Helper'!$F$5:$F$3004,"""")&lt;&gt;""""),ROWS(A$5:A517)),"""")"),"")</f>
        <v/>
      </c>
      <c r="B5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Helper'!$F$5:$F$3004,"""")&lt;&gt;""""),ROWS(B$5:B517)),"""")"),"")</f>
        <v/>
      </c>
      <c r="C5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Helper'!$F$5:$F$3004,"""")&lt;&gt;""""),ROWS(C$5:C517)),"""")"),"")</f>
        <v/>
      </c>
      <c r="D5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Helper'!$F$5:$F$3004,"""")&lt;&gt;""""),ROWS(D$5:D517)),"""")"),"")</f>
        <v/>
      </c>
      <c r="E5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Helper'!$F$5:$F$3004,"""")&lt;&gt;""""),ROWS(E$5:E517)),"""")"),"")</f>
        <v/>
      </c>
      <c r="F5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Helper'!$F$5:$F$3004,"""")&lt;&gt;""""),ROWS(F$5:F517)),IF(AND(LEFT(x,5)=""Page"&amp;" "",ISERROR(SEARCH(""–"",x))),x&amp;""–""&amp;REGEXEXTRACT(x,""[0-9]+$""),x)),"""")"),"")</f>
        <v/>
      </c>
      <c r="G517" s="163"/>
      <c r="H5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Helper'!$F$5:$F$3004,"""")&lt;&gt;""""),ROWS(H$5:H517)),"""")"),"")</f>
        <v/>
      </c>
    </row>
    <row r="518" ht="15.75" customHeight="1">
      <c r="A5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Helper'!$F$5:$F$3004,"""")&lt;&gt;""""),ROWS(A$5:A518)),"""")"),"")</f>
        <v/>
      </c>
      <c r="B5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Helper'!$F$5:$F$3004,"""")&lt;&gt;""""),ROWS(B$5:B518)),"""")"),"")</f>
        <v/>
      </c>
      <c r="C5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Helper'!$F$5:$F$3004,"""")&lt;&gt;""""),ROWS(C$5:C518)),"""")"),"")</f>
        <v/>
      </c>
      <c r="D5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Helper'!$F$5:$F$3004,"""")&lt;&gt;""""),ROWS(D$5:D518)),"""")"),"")</f>
        <v/>
      </c>
      <c r="E5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Helper'!$F$5:$F$3004,"""")&lt;&gt;""""),ROWS(E$5:E518)),"""")"),"")</f>
        <v/>
      </c>
      <c r="F5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Helper'!$F$5:$F$3004,"""")&lt;&gt;""""),ROWS(F$5:F518)),IF(AND(LEFT(x,5)=""Page"&amp;" "",ISERROR(SEARCH(""–"",x))),x&amp;""–""&amp;REGEXEXTRACT(x,""[0-9]+$""),x)),"""")"),"")</f>
        <v/>
      </c>
      <c r="G518" s="163"/>
      <c r="H5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Helper'!$F$5:$F$3004,"""")&lt;&gt;""""),ROWS(H$5:H518)),"""")"),"")</f>
        <v/>
      </c>
    </row>
    <row r="519" ht="15.75" customHeight="1">
      <c r="A5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Helper'!$F$5:$F$3004,"""")&lt;&gt;""""),ROWS(A$5:A519)),"""")"),"")</f>
        <v/>
      </c>
      <c r="B5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Helper'!$F$5:$F$3004,"""")&lt;&gt;""""),ROWS(B$5:B519)),"""")"),"")</f>
        <v/>
      </c>
      <c r="C5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Helper'!$F$5:$F$3004,"""")&lt;&gt;""""),ROWS(C$5:C519)),"""")"),"")</f>
        <v/>
      </c>
      <c r="D5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Helper'!$F$5:$F$3004,"""")&lt;&gt;""""),ROWS(D$5:D519)),"""")"),"")</f>
        <v/>
      </c>
      <c r="E5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Helper'!$F$5:$F$3004,"""")&lt;&gt;""""),ROWS(E$5:E519)),"""")"),"")</f>
        <v/>
      </c>
      <c r="F5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Helper'!$F$5:$F$3004,"""")&lt;&gt;""""),ROWS(F$5:F519)),IF(AND(LEFT(x,5)=""Page"&amp;" "",ISERROR(SEARCH(""–"",x))),x&amp;""–""&amp;REGEXEXTRACT(x,""[0-9]+$""),x)),"""")"),"")</f>
        <v/>
      </c>
      <c r="G519" s="163"/>
      <c r="H5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Helper'!$F$5:$F$3004,"""")&lt;&gt;""""),ROWS(H$5:H519)),"""")"),"")</f>
        <v/>
      </c>
    </row>
    <row r="520" ht="15.75" customHeight="1">
      <c r="A5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Helper'!$F$5:$F$3004,"""")&lt;&gt;""""),ROWS(A$5:A520)),"""")"),"")</f>
        <v/>
      </c>
      <c r="B5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Helper'!$F$5:$F$3004,"""")&lt;&gt;""""),ROWS(B$5:B520)),"""")"),"")</f>
        <v/>
      </c>
      <c r="C5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Helper'!$F$5:$F$3004,"""")&lt;&gt;""""),ROWS(C$5:C520)),"""")"),"")</f>
        <v/>
      </c>
      <c r="D5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Helper'!$F$5:$F$3004,"""")&lt;&gt;""""),ROWS(D$5:D520)),"""")"),"")</f>
        <v/>
      </c>
      <c r="E5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Helper'!$F$5:$F$3004,"""")&lt;&gt;""""),ROWS(E$5:E520)),"""")"),"")</f>
        <v/>
      </c>
      <c r="F5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Helper'!$F$5:$F$3004,"""")&lt;&gt;""""),ROWS(F$5:F520)),IF(AND(LEFT(x,5)=""Page"&amp;" "",ISERROR(SEARCH(""–"",x))),x&amp;""–""&amp;REGEXEXTRACT(x,""[0-9]+$""),x)),"""")"),"")</f>
        <v/>
      </c>
      <c r="G520" s="163"/>
      <c r="H5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Helper'!$F$5:$F$3004,"""")&lt;&gt;""""),ROWS(H$5:H520)),"""")"),"")</f>
        <v/>
      </c>
    </row>
    <row r="521" ht="15.75" customHeight="1">
      <c r="A5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Helper'!$F$5:$F$3004,"""")&lt;&gt;""""),ROWS(A$5:A521)),"""")"),"")</f>
        <v/>
      </c>
      <c r="B5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Helper'!$F$5:$F$3004,"""")&lt;&gt;""""),ROWS(B$5:B521)),"""")"),"")</f>
        <v/>
      </c>
      <c r="C5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Helper'!$F$5:$F$3004,"""")&lt;&gt;""""),ROWS(C$5:C521)),"""")"),"")</f>
        <v/>
      </c>
      <c r="D5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Helper'!$F$5:$F$3004,"""")&lt;&gt;""""),ROWS(D$5:D521)),"""")"),"")</f>
        <v/>
      </c>
      <c r="E5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Helper'!$F$5:$F$3004,"""")&lt;&gt;""""),ROWS(E$5:E521)),"""")"),"")</f>
        <v/>
      </c>
      <c r="F5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Helper'!$F$5:$F$3004,"""")&lt;&gt;""""),ROWS(F$5:F521)),IF(AND(LEFT(x,5)=""Page"&amp;" "",ISERROR(SEARCH(""–"",x))),x&amp;""–""&amp;REGEXEXTRACT(x,""[0-9]+$""),x)),"""")"),"")</f>
        <v/>
      </c>
      <c r="G521" s="163"/>
      <c r="H5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Helper'!$F$5:$F$3004,"""")&lt;&gt;""""),ROWS(H$5:H521)),"""")"),"")</f>
        <v/>
      </c>
    </row>
    <row r="522" ht="15.75" customHeight="1">
      <c r="A5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Helper'!$F$5:$F$3004,"""")&lt;&gt;""""),ROWS(A$5:A522)),"""")"),"")</f>
        <v/>
      </c>
      <c r="B5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Helper'!$F$5:$F$3004,"""")&lt;&gt;""""),ROWS(B$5:B522)),"""")"),"")</f>
        <v/>
      </c>
      <c r="C5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Helper'!$F$5:$F$3004,"""")&lt;&gt;""""),ROWS(C$5:C522)),"""")"),"")</f>
        <v/>
      </c>
      <c r="D5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Helper'!$F$5:$F$3004,"""")&lt;&gt;""""),ROWS(D$5:D522)),"""")"),"")</f>
        <v/>
      </c>
      <c r="E5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Helper'!$F$5:$F$3004,"""")&lt;&gt;""""),ROWS(E$5:E522)),"""")"),"")</f>
        <v/>
      </c>
      <c r="F5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Helper'!$F$5:$F$3004,"""")&lt;&gt;""""),ROWS(F$5:F522)),IF(AND(LEFT(x,5)=""Page"&amp;" "",ISERROR(SEARCH(""–"",x))),x&amp;""–""&amp;REGEXEXTRACT(x,""[0-9]+$""),x)),"""")"),"")</f>
        <v/>
      </c>
      <c r="G522" s="163"/>
      <c r="H5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Helper'!$F$5:$F$3004,"""")&lt;&gt;""""),ROWS(H$5:H522)),"""")"),"")</f>
        <v/>
      </c>
    </row>
    <row r="523" ht="15.75" customHeight="1">
      <c r="A5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Helper'!$F$5:$F$3004,"""")&lt;&gt;""""),ROWS(A$5:A523)),"""")"),"")</f>
        <v/>
      </c>
      <c r="B5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Helper'!$F$5:$F$3004,"""")&lt;&gt;""""),ROWS(B$5:B523)),"""")"),"")</f>
        <v/>
      </c>
      <c r="C5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Helper'!$F$5:$F$3004,"""")&lt;&gt;""""),ROWS(C$5:C523)),"""")"),"")</f>
        <v/>
      </c>
      <c r="D5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Helper'!$F$5:$F$3004,"""")&lt;&gt;""""),ROWS(D$5:D523)),"""")"),"")</f>
        <v/>
      </c>
      <c r="E5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Helper'!$F$5:$F$3004,"""")&lt;&gt;""""),ROWS(E$5:E523)),"""")"),"")</f>
        <v/>
      </c>
      <c r="F5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Helper'!$F$5:$F$3004,"""")&lt;&gt;""""),ROWS(F$5:F523)),IF(AND(LEFT(x,5)=""Page"&amp;" "",ISERROR(SEARCH(""–"",x))),x&amp;""–""&amp;REGEXEXTRACT(x,""[0-9]+$""),x)),"""")"),"")</f>
        <v/>
      </c>
      <c r="G523" s="163"/>
      <c r="H5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Helper'!$F$5:$F$3004,"""")&lt;&gt;""""),ROWS(H$5:H523)),"""")"),"")</f>
        <v/>
      </c>
    </row>
    <row r="524" ht="15.75" customHeight="1">
      <c r="A5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Helper'!$F$5:$F$3004,"""")&lt;&gt;""""),ROWS(A$5:A524)),"""")"),"")</f>
        <v/>
      </c>
      <c r="B5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Helper'!$F$5:$F$3004,"""")&lt;&gt;""""),ROWS(B$5:B524)),"""")"),"")</f>
        <v/>
      </c>
      <c r="C5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Helper'!$F$5:$F$3004,"""")&lt;&gt;""""),ROWS(C$5:C524)),"""")"),"")</f>
        <v/>
      </c>
      <c r="D5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Helper'!$F$5:$F$3004,"""")&lt;&gt;""""),ROWS(D$5:D524)),"""")"),"")</f>
        <v/>
      </c>
      <c r="E5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Helper'!$F$5:$F$3004,"""")&lt;&gt;""""),ROWS(E$5:E524)),"""")"),"")</f>
        <v/>
      </c>
      <c r="F5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Helper'!$F$5:$F$3004,"""")&lt;&gt;""""),ROWS(F$5:F524)),IF(AND(LEFT(x,5)=""Page"&amp;" "",ISERROR(SEARCH(""–"",x))),x&amp;""–""&amp;REGEXEXTRACT(x,""[0-9]+$""),x)),"""")"),"")</f>
        <v/>
      </c>
      <c r="G524" s="163"/>
      <c r="H5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Helper'!$F$5:$F$3004,"""")&lt;&gt;""""),ROWS(H$5:H524)),"""")"),"")</f>
        <v/>
      </c>
    </row>
    <row r="525" ht="15.75" customHeight="1">
      <c r="A5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Helper'!$F$5:$F$3004,"""")&lt;&gt;""""),ROWS(A$5:A525)),"""")"),"")</f>
        <v/>
      </c>
      <c r="B5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Helper'!$F$5:$F$3004,"""")&lt;&gt;""""),ROWS(B$5:B525)),"""")"),"")</f>
        <v/>
      </c>
      <c r="C5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Helper'!$F$5:$F$3004,"""")&lt;&gt;""""),ROWS(C$5:C525)),"""")"),"")</f>
        <v/>
      </c>
      <c r="D5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Helper'!$F$5:$F$3004,"""")&lt;&gt;""""),ROWS(D$5:D525)),"""")"),"")</f>
        <v/>
      </c>
      <c r="E5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Helper'!$F$5:$F$3004,"""")&lt;&gt;""""),ROWS(E$5:E525)),"""")"),"")</f>
        <v/>
      </c>
      <c r="F5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Helper'!$F$5:$F$3004,"""")&lt;&gt;""""),ROWS(F$5:F525)),IF(AND(LEFT(x,5)=""Page"&amp;" "",ISERROR(SEARCH(""–"",x))),x&amp;""–""&amp;REGEXEXTRACT(x,""[0-9]+$""),x)),"""")"),"")</f>
        <v/>
      </c>
      <c r="G525" s="163"/>
      <c r="H5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Helper'!$F$5:$F$3004,"""")&lt;&gt;""""),ROWS(H$5:H525)),"""")"),"")</f>
        <v/>
      </c>
    </row>
    <row r="526" ht="15.75" customHeight="1">
      <c r="A5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Helper'!$F$5:$F$3004,"""")&lt;&gt;""""),ROWS(A$5:A526)),"""")"),"")</f>
        <v/>
      </c>
      <c r="B5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Helper'!$F$5:$F$3004,"""")&lt;&gt;""""),ROWS(B$5:B526)),"""")"),"")</f>
        <v/>
      </c>
      <c r="C5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Helper'!$F$5:$F$3004,"""")&lt;&gt;""""),ROWS(C$5:C526)),"""")"),"")</f>
        <v/>
      </c>
      <c r="D5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Helper'!$F$5:$F$3004,"""")&lt;&gt;""""),ROWS(D$5:D526)),"""")"),"")</f>
        <v/>
      </c>
      <c r="E5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Helper'!$F$5:$F$3004,"""")&lt;&gt;""""),ROWS(E$5:E526)),"""")"),"")</f>
        <v/>
      </c>
      <c r="F5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Helper'!$F$5:$F$3004,"""")&lt;&gt;""""),ROWS(F$5:F526)),IF(AND(LEFT(x,5)=""Page"&amp;" "",ISERROR(SEARCH(""–"",x))),x&amp;""–""&amp;REGEXEXTRACT(x,""[0-9]+$""),x)),"""")"),"")</f>
        <v/>
      </c>
      <c r="G526" s="163"/>
      <c r="H5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Helper'!$F$5:$F$3004,"""")&lt;&gt;""""),ROWS(H$5:H526)),"""")"),"")</f>
        <v/>
      </c>
    </row>
    <row r="527" ht="15.75" customHeight="1">
      <c r="A5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Helper'!$F$5:$F$3004,"""")&lt;&gt;""""),ROWS(A$5:A527)),"""")"),"")</f>
        <v/>
      </c>
      <c r="B5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Helper'!$F$5:$F$3004,"""")&lt;&gt;""""),ROWS(B$5:B527)),"""")"),"")</f>
        <v/>
      </c>
      <c r="C5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Helper'!$F$5:$F$3004,"""")&lt;&gt;""""),ROWS(C$5:C527)),"""")"),"")</f>
        <v/>
      </c>
      <c r="D5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Helper'!$F$5:$F$3004,"""")&lt;&gt;""""),ROWS(D$5:D527)),"""")"),"")</f>
        <v/>
      </c>
      <c r="E5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Helper'!$F$5:$F$3004,"""")&lt;&gt;""""),ROWS(E$5:E527)),"""")"),"")</f>
        <v/>
      </c>
      <c r="F5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Helper'!$F$5:$F$3004,"""")&lt;&gt;""""),ROWS(F$5:F527)),IF(AND(LEFT(x,5)=""Page"&amp;" "",ISERROR(SEARCH(""–"",x))),x&amp;""–""&amp;REGEXEXTRACT(x,""[0-9]+$""),x)),"""")"),"")</f>
        <v/>
      </c>
      <c r="G527" s="163"/>
      <c r="H5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Helper'!$F$5:$F$3004,"""")&lt;&gt;""""),ROWS(H$5:H527)),"""")"),"")</f>
        <v/>
      </c>
    </row>
    <row r="528" ht="15.75" customHeight="1">
      <c r="A5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Helper'!$F$5:$F$3004,"""")&lt;&gt;""""),ROWS(A$5:A528)),"""")"),"")</f>
        <v/>
      </c>
      <c r="B5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Helper'!$F$5:$F$3004,"""")&lt;&gt;""""),ROWS(B$5:B528)),"""")"),"")</f>
        <v/>
      </c>
      <c r="C5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Helper'!$F$5:$F$3004,"""")&lt;&gt;""""),ROWS(C$5:C528)),"""")"),"")</f>
        <v/>
      </c>
      <c r="D5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Helper'!$F$5:$F$3004,"""")&lt;&gt;""""),ROWS(D$5:D528)),"""")"),"")</f>
        <v/>
      </c>
      <c r="E5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Helper'!$F$5:$F$3004,"""")&lt;&gt;""""),ROWS(E$5:E528)),"""")"),"")</f>
        <v/>
      </c>
      <c r="F5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Helper'!$F$5:$F$3004,"""")&lt;&gt;""""),ROWS(F$5:F528)),IF(AND(LEFT(x,5)=""Page"&amp;" "",ISERROR(SEARCH(""–"",x))),x&amp;""–""&amp;REGEXEXTRACT(x,""[0-9]+$""),x)),"""")"),"")</f>
        <v/>
      </c>
      <c r="G528" s="163"/>
      <c r="H5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Helper'!$F$5:$F$3004,"""")&lt;&gt;""""),ROWS(H$5:H528)),"""")"),"")</f>
        <v/>
      </c>
    </row>
    <row r="529" ht="15.75" customHeight="1">
      <c r="A5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Helper'!$F$5:$F$3004,"""")&lt;&gt;""""),ROWS(A$5:A529)),"""")"),"")</f>
        <v/>
      </c>
      <c r="B5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Helper'!$F$5:$F$3004,"""")&lt;&gt;""""),ROWS(B$5:B529)),"""")"),"")</f>
        <v/>
      </c>
      <c r="C5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Helper'!$F$5:$F$3004,"""")&lt;&gt;""""),ROWS(C$5:C529)),"""")"),"")</f>
        <v/>
      </c>
      <c r="D5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Helper'!$F$5:$F$3004,"""")&lt;&gt;""""),ROWS(D$5:D529)),"""")"),"")</f>
        <v/>
      </c>
      <c r="E5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Helper'!$F$5:$F$3004,"""")&lt;&gt;""""),ROWS(E$5:E529)),"""")"),"")</f>
        <v/>
      </c>
      <c r="F5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Helper'!$F$5:$F$3004,"""")&lt;&gt;""""),ROWS(F$5:F529)),IF(AND(LEFT(x,5)=""Page"&amp;" "",ISERROR(SEARCH(""–"",x))),x&amp;""–""&amp;REGEXEXTRACT(x,""[0-9]+$""),x)),"""")"),"")</f>
        <v/>
      </c>
      <c r="G529" s="163"/>
      <c r="H5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Helper'!$F$5:$F$3004,"""")&lt;&gt;""""),ROWS(H$5:H529)),"""")"),"")</f>
        <v/>
      </c>
    </row>
    <row r="530" ht="15.75" customHeight="1">
      <c r="A5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Helper'!$F$5:$F$3004,"""")&lt;&gt;""""),ROWS(A$5:A530)),"""")"),"")</f>
        <v/>
      </c>
      <c r="B5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Helper'!$F$5:$F$3004,"""")&lt;&gt;""""),ROWS(B$5:B530)),"""")"),"")</f>
        <v/>
      </c>
      <c r="C5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Helper'!$F$5:$F$3004,"""")&lt;&gt;""""),ROWS(C$5:C530)),"""")"),"")</f>
        <v/>
      </c>
      <c r="D5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Helper'!$F$5:$F$3004,"""")&lt;&gt;""""),ROWS(D$5:D530)),"""")"),"")</f>
        <v/>
      </c>
      <c r="E5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Helper'!$F$5:$F$3004,"""")&lt;&gt;""""),ROWS(E$5:E530)),"""")"),"")</f>
        <v/>
      </c>
      <c r="F5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Helper'!$F$5:$F$3004,"""")&lt;&gt;""""),ROWS(F$5:F530)),IF(AND(LEFT(x,5)=""Page"&amp;" "",ISERROR(SEARCH(""–"",x))),x&amp;""–""&amp;REGEXEXTRACT(x,""[0-9]+$""),x)),"""")"),"")</f>
        <v/>
      </c>
      <c r="G530" s="163"/>
      <c r="H5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Helper'!$F$5:$F$3004,"""")&lt;&gt;""""),ROWS(H$5:H530)),"""")"),"")</f>
        <v/>
      </c>
    </row>
    <row r="531" ht="15.75" customHeight="1">
      <c r="A5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Helper'!$F$5:$F$3004,"""")&lt;&gt;""""),ROWS(A$5:A531)),"""")"),"")</f>
        <v/>
      </c>
      <c r="B5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Helper'!$F$5:$F$3004,"""")&lt;&gt;""""),ROWS(B$5:B531)),"""")"),"")</f>
        <v/>
      </c>
      <c r="C5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Helper'!$F$5:$F$3004,"""")&lt;&gt;""""),ROWS(C$5:C531)),"""")"),"")</f>
        <v/>
      </c>
      <c r="D5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Helper'!$F$5:$F$3004,"""")&lt;&gt;""""),ROWS(D$5:D531)),"""")"),"")</f>
        <v/>
      </c>
      <c r="E5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Helper'!$F$5:$F$3004,"""")&lt;&gt;""""),ROWS(E$5:E531)),"""")"),"")</f>
        <v/>
      </c>
      <c r="F5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Helper'!$F$5:$F$3004,"""")&lt;&gt;""""),ROWS(F$5:F531)),IF(AND(LEFT(x,5)=""Page"&amp;" "",ISERROR(SEARCH(""–"",x))),x&amp;""–""&amp;REGEXEXTRACT(x,""[0-9]+$""),x)),"""")"),"")</f>
        <v/>
      </c>
      <c r="G531" s="163"/>
      <c r="H5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Helper'!$F$5:$F$3004,"""")&lt;&gt;""""),ROWS(H$5:H531)),"""")"),"")</f>
        <v/>
      </c>
    </row>
    <row r="532" ht="15.75" customHeight="1">
      <c r="A5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Helper'!$F$5:$F$3004,"""")&lt;&gt;""""),ROWS(A$5:A532)),"""")"),"")</f>
        <v/>
      </c>
      <c r="B5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Helper'!$F$5:$F$3004,"""")&lt;&gt;""""),ROWS(B$5:B532)),"""")"),"")</f>
        <v/>
      </c>
      <c r="C5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Helper'!$F$5:$F$3004,"""")&lt;&gt;""""),ROWS(C$5:C532)),"""")"),"")</f>
        <v/>
      </c>
      <c r="D5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Helper'!$F$5:$F$3004,"""")&lt;&gt;""""),ROWS(D$5:D532)),"""")"),"")</f>
        <v/>
      </c>
      <c r="E5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Helper'!$F$5:$F$3004,"""")&lt;&gt;""""),ROWS(E$5:E532)),"""")"),"")</f>
        <v/>
      </c>
      <c r="F5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Helper'!$F$5:$F$3004,"""")&lt;&gt;""""),ROWS(F$5:F532)),IF(AND(LEFT(x,5)=""Page"&amp;" "",ISERROR(SEARCH(""–"",x))),x&amp;""–""&amp;REGEXEXTRACT(x,""[0-9]+$""),x)),"""")"),"")</f>
        <v/>
      </c>
      <c r="G532" s="163"/>
      <c r="H5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Helper'!$F$5:$F$3004,"""")&lt;&gt;""""),ROWS(H$5:H532)),"""")"),"")</f>
        <v/>
      </c>
    </row>
    <row r="533" ht="15.75" customHeight="1">
      <c r="A5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Helper'!$F$5:$F$3004,"""")&lt;&gt;""""),ROWS(A$5:A533)),"""")"),"")</f>
        <v/>
      </c>
      <c r="B5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Helper'!$F$5:$F$3004,"""")&lt;&gt;""""),ROWS(B$5:B533)),"""")"),"")</f>
        <v/>
      </c>
      <c r="C5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Helper'!$F$5:$F$3004,"""")&lt;&gt;""""),ROWS(C$5:C533)),"""")"),"")</f>
        <v/>
      </c>
      <c r="D5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Helper'!$F$5:$F$3004,"""")&lt;&gt;""""),ROWS(D$5:D533)),"""")"),"")</f>
        <v/>
      </c>
      <c r="E5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Helper'!$F$5:$F$3004,"""")&lt;&gt;""""),ROWS(E$5:E533)),"""")"),"")</f>
        <v/>
      </c>
      <c r="F5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Helper'!$F$5:$F$3004,"""")&lt;&gt;""""),ROWS(F$5:F533)),IF(AND(LEFT(x,5)=""Page"&amp;" "",ISERROR(SEARCH(""–"",x))),x&amp;""–""&amp;REGEXEXTRACT(x,""[0-9]+$""),x)),"""")"),"")</f>
        <v/>
      </c>
      <c r="G533" s="163"/>
      <c r="H5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Helper'!$F$5:$F$3004,"""")&lt;&gt;""""),ROWS(H$5:H533)),"""")"),"")</f>
        <v/>
      </c>
    </row>
    <row r="534" ht="15.75" customHeight="1">
      <c r="A5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Helper'!$F$5:$F$3004,"""")&lt;&gt;""""),ROWS(A$5:A534)),"""")"),"")</f>
        <v/>
      </c>
      <c r="B5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Helper'!$F$5:$F$3004,"""")&lt;&gt;""""),ROWS(B$5:B534)),"""")"),"")</f>
        <v/>
      </c>
      <c r="C5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Helper'!$F$5:$F$3004,"""")&lt;&gt;""""),ROWS(C$5:C534)),"""")"),"")</f>
        <v/>
      </c>
      <c r="D5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Helper'!$F$5:$F$3004,"""")&lt;&gt;""""),ROWS(D$5:D534)),"""")"),"")</f>
        <v/>
      </c>
      <c r="E5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Helper'!$F$5:$F$3004,"""")&lt;&gt;""""),ROWS(E$5:E534)),"""")"),"")</f>
        <v/>
      </c>
      <c r="F5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Helper'!$F$5:$F$3004,"""")&lt;&gt;""""),ROWS(F$5:F534)),IF(AND(LEFT(x,5)=""Page"&amp;" "",ISERROR(SEARCH(""–"",x))),x&amp;""–""&amp;REGEXEXTRACT(x,""[0-9]+$""),x)),"""")"),"")</f>
        <v/>
      </c>
      <c r="G534" s="163"/>
      <c r="H5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Helper'!$F$5:$F$3004,"""")&lt;&gt;""""),ROWS(H$5:H534)),"""")"),"")</f>
        <v/>
      </c>
    </row>
    <row r="535" ht="15.75" customHeight="1">
      <c r="A5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Helper'!$F$5:$F$3004,"""")&lt;&gt;""""),ROWS(A$5:A535)),"""")"),"")</f>
        <v/>
      </c>
      <c r="B5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Helper'!$F$5:$F$3004,"""")&lt;&gt;""""),ROWS(B$5:B535)),"""")"),"")</f>
        <v/>
      </c>
      <c r="C5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Helper'!$F$5:$F$3004,"""")&lt;&gt;""""),ROWS(C$5:C535)),"""")"),"")</f>
        <v/>
      </c>
      <c r="D5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Helper'!$F$5:$F$3004,"""")&lt;&gt;""""),ROWS(D$5:D535)),"""")"),"")</f>
        <v/>
      </c>
      <c r="E5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Helper'!$F$5:$F$3004,"""")&lt;&gt;""""),ROWS(E$5:E535)),"""")"),"")</f>
        <v/>
      </c>
      <c r="F5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Helper'!$F$5:$F$3004,"""")&lt;&gt;""""),ROWS(F$5:F535)),IF(AND(LEFT(x,5)=""Page"&amp;" "",ISERROR(SEARCH(""–"",x))),x&amp;""–""&amp;REGEXEXTRACT(x,""[0-9]+$""),x)),"""")"),"")</f>
        <v/>
      </c>
      <c r="G535" s="163"/>
      <c r="H5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Helper'!$F$5:$F$3004,"""")&lt;&gt;""""),ROWS(H$5:H535)),"""")"),"")</f>
        <v/>
      </c>
    </row>
    <row r="536" ht="15.75" customHeight="1">
      <c r="A5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Helper'!$F$5:$F$3004,"""")&lt;&gt;""""),ROWS(A$5:A536)),"""")"),"")</f>
        <v/>
      </c>
      <c r="B5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Helper'!$F$5:$F$3004,"""")&lt;&gt;""""),ROWS(B$5:B536)),"""")"),"")</f>
        <v/>
      </c>
      <c r="C5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Helper'!$F$5:$F$3004,"""")&lt;&gt;""""),ROWS(C$5:C536)),"""")"),"")</f>
        <v/>
      </c>
      <c r="D5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Helper'!$F$5:$F$3004,"""")&lt;&gt;""""),ROWS(D$5:D536)),"""")"),"")</f>
        <v/>
      </c>
      <c r="E5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Helper'!$F$5:$F$3004,"""")&lt;&gt;""""),ROWS(E$5:E536)),"""")"),"")</f>
        <v/>
      </c>
      <c r="F5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Helper'!$F$5:$F$3004,"""")&lt;&gt;""""),ROWS(F$5:F536)),IF(AND(LEFT(x,5)=""Page"&amp;" "",ISERROR(SEARCH(""–"",x))),x&amp;""–""&amp;REGEXEXTRACT(x,""[0-9]+$""),x)),"""")"),"")</f>
        <v/>
      </c>
      <c r="G536" s="163"/>
      <c r="H5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Helper'!$F$5:$F$3004,"""")&lt;&gt;""""),ROWS(H$5:H536)),"""")"),"")</f>
        <v/>
      </c>
    </row>
    <row r="537" ht="15.75" customHeight="1">
      <c r="A5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Helper'!$F$5:$F$3004,"""")&lt;&gt;""""),ROWS(A$5:A537)),"""")"),"")</f>
        <v/>
      </c>
      <c r="B5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Helper'!$F$5:$F$3004,"""")&lt;&gt;""""),ROWS(B$5:B537)),"""")"),"")</f>
        <v/>
      </c>
      <c r="C5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Helper'!$F$5:$F$3004,"""")&lt;&gt;""""),ROWS(C$5:C537)),"""")"),"")</f>
        <v/>
      </c>
      <c r="D5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Helper'!$F$5:$F$3004,"""")&lt;&gt;""""),ROWS(D$5:D537)),"""")"),"")</f>
        <v/>
      </c>
      <c r="E5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Helper'!$F$5:$F$3004,"""")&lt;&gt;""""),ROWS(E$5:E537)),"""")"),"")</f>
        <v/>
      </c>
      <c r="F5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Helper'!$F$5:$F$3004,"""")&lt;&gt;""""),ROWS(F$5:F537)),IF(AND(LEFT(x,5)=""Page"&amp;" "",ISERROR(SEARCH(""–"",x))),x&amp;""–""&amp;REGEXEXTRACT(x,""[0-9]+$""),x)),"""")"),"")</f>
        <v/>
      </c>
      <c r="G537" s="163"/>
      <c r="H5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Helper'!$F$5:$F$3004,"""")&lt;&gt;""""),ROWS(H$5:H537)),"""")"),"")</f>
        <v/>
      </c>
    </row>
    <row r="538" ht="15.75" customHeight="1">
      <c r="A5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Helper'!$F$5:$F$3004,"""")&lt;&gt;""""),ROWS(A$5:A538)),"""")"),"")</f>
        <v/>
      </c>
      <c r="B5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Helper'!$F$5:$F$3004,"""")&lt;&gt;""""),ROWS(B$5:B538)),"""")"),"")</f>
        <v/>
      </c>
      <c r="C5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Helper'!$F$5:$F$3004,"""")&lt;&gt;""""),ROWS(C$5:C538)),"""")"),"")</f>
        <v/>
      </c>
      <c r="D5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Helper'!$F$5:$F$3004,"""")&lt;&gt;""""),ROWS(D$5:D538)),"""")"),"")</f>
        <v/>
      </c>
      <c r="E5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Helper'!$F$5:$F$3004,"""")&lt;&gt;""""),ROWS(E$5:E538)),"""")"),"")</f>
        <v/>
      </c>
      <c r="F5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Helper'!$F$5:$F$3004,"""")&lt;&gt;""""),ROWS(F$5:F538)),IF(AND(LEFT(x,5)=""Page"&amp;" "",ISERROR(SEARCH(""–"",x))),x&amp;""–""&amp;REGEXEXTRACT(x,""[0-9]+$""),x)),"""")"),"")</f>
        <v/>
      </c>
      <c r="G538" s="163"/>
      <c r="H5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Helper'!$F$5:$F$3004,"""")&lt;&gt;""""),ROWS(H$5:H538)),"""")"),"")</f>
        <v/>
      </c>
    </row>
    <row r="539" ht="15.75" customHeight="1">
      <c r="A5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Helper'!$F$5:$F$3004,"""")&lt;&gt;""""),ROWS(A$5:A539)),"""")"),"")</f>
        <v/>
      </c>
      <c r="B5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Helper'!$F$5:$F$3004,"""")&lt;&gt;""""),ROWS(B$5:B539)),"""")"),"")</f>
        <v/>
      </c>
      <c r="C5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Helper'!$F$5:$F$3004,"""")&lt;&gt;""""),ROWS(C$5:C539)),"""")"),"")</f>
        <v/>
      </c>
      <c r="D5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Helper'!$F$5:$F$3004,"""")&lt;&gt;""""),ROWS(D$5:D539)),"""")"),"")</f>
        <v/>
      </c>
      <c r="E5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Helper'!$F$5:$F$3004,"""")&lt;&gt;""""),ROWS(E$5:E539)),"""")"),"")</f>
        <v/>
      </c>
      <c r="F5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Helper'!$F$5:$F$3004,"""")&lt;&gt;""""),ROWS(F$5:F539)),IF(AND(LEFT(x,5)=""Page"&amp;" "",ISERROR(SEARCH(""–"",x))),x&amp;""–""&amp;REGEXEXTRACT(x,""[0-9]+$""),x)),"""")"),"")</f>
        <v/>
      </c>
      <c r="G539" s="163"/>
      <c r="H5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Helper'!$F$5:$F$3004,"""")&lt;&gt;""""),ROWS(H$5:H539)),"""")"),"")</f>
        <v/>
      </c>
    </row>
    <row r="540" ht="15.75" customHeight="1">
      <c r="A5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Helper'!$F$5:$F$3004,"""")&lt;&gt;""""),ROWS(A$5:A540)),"""")"),"")</f>
        <v/>
      </c>
      <c r="B5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Helper'!$F$5:$F$3004,"""")&lt;&gt;""""),ROWS(B$5:B540)),"""")"),"")</f>
        <v/>
      </c>
      <c r="C5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Helper'!$F$5:$F$3004,"""")&lt;&gt;""""),ROWS(C$5:C540)),"""")"),"")</f>
        <v/>
      </c>
      <c r="D5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Helper'!$F$5:$F$3004,"""")&lt;&gt;""""),ROWS(D$5:D540)),"""")"),"")</f>
        <v/>
      </c>
      <c r="E5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Helper'!$F$5:$F$3004,"""")&lt;&gt;""""),ROWS(E$5:E540)),"""")"),"")</f>
        <v/>
      </c>
      <c r="F5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Helper'!$F$5:$F$3004,"""")&lt;&gt;""""),ROWS(F$5:F540)),IF(AND(LEFT(x,5)=""Page"&amp;" "",ISERROR(SEARCH(""–"",x))),x&amp;""–""&amp;REGEXEXTRACT(x,""[0-9]+$""),x)),"""")"),"")</f>
        <v/>
      </c>
      <c r="G540" s="163"/>
      <c r="H5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Helper'!$F$5:$F$3004,"""")&lt;&gt;""""),ROWS(H$5:H540)),"""")"),"")</f>
        <v/>
      </c>
    </row>
    <row r="541" ht="15.75" customHeight="1">
      <c r="A5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Helper'!$F$5:$F$3004,"""")&lt;&gt;""""),ROWS(A$5:A541)),"""")"),"")</f>
        <v/>
      </c>
      <c r="B5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Helper'!$F$5:$F$3004,"""")&lt;&gt;""""),ROWS(B$5:B541)),"""")"),"")</f>
        <v/>
      </c>
      <c r="C5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Helper'!$F$5:$F$3004,"""")&lt;&gt;""""),ROWS(C$5:C541)),"""")"),"")</f>
        <v/>
      </c>
      <c r="D5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Helper'!$F$5:$F$3004,"""")&lt;&gt;""""),ROWS(D$5:D541)),"""")"),"")</f>
        <v/>
      </c>
      <c r="E5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Helper'!$F$5:$F$3004,"""")&lt;&gt;""""),ROWS(E$5:E541)),"""")"),"")</f>
        <v/>
      </c>
      <c r="F5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Helper'!$F$5:$F$3004,"""")&lt;&gt;""""),ROWS(F$5:F541)),IF(AND(LEFT(x,5)=""Page"&amp;" "",ISERROR(SEARCH(""–"",x))),x&amp;""–""&amp;REGEXEXTRACT(x,""[0-9]+$""),x)),"""")"),"")</f>
        <v/>
      </c>
      <c r="G541" s="163"/>
      <c r="H5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Helper'!$F$5:$F$3004,"""")&lt;&gt;""""),ROWS(H$5:H541)),"""")"),"")</f>
        <v/>
      </c>
    </row>
    <row r="542" ht="15.75" customHeight="1">
      <c r="A5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Helper'!$F$5:$F$3004,"""")&lt;&gt;""""),ROWS(A$5:A542)),"""")"),"")</f>
        <v/>
      </c>
      <c r="B5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Helper'!$F$5:$F$3004,"""")&lt;&gt;""""),ROWS(B$5:B542)),"""")"),"")</f>
        <v/>
      </c>
      <c r="C5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Helper'!$F$5:$F$3004,"""")&lt;&gt;""""),ROWS(C$5:C542)),"""")"),"")</f>
        <v/>
      </c>
      <c r="D5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Helper'!$F$5:$F$3004,"""")&lt;&gt;""""),ROWS(D$5:D542)),"""")"),"")</f>
        <v/>
      </c>
      <c r="E5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Helper'!$F$5:$F$3004,"""")&lt;&gt;""""),ROWS(E$5:E542)),"""")"),"")</f>
        <v/>
      </c>
      <c r="F5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Helper'!$F$5:$F$3004,"""")&lt;&gt;""""),ROWS(F$5:F542)),IF(AND(LEFT(x,5)=""Page"&amp;" "",ISERROR(SEARCH(""–"",x))),x&amp;""–""&amp;REGEXEXTRACT(x,""[0-9]+$""),x)),"""")"),"")</f>
        <v/>
      </c>
      <c r="G542" s="163"/>
      <c r="H5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Helper'!$F$5:$F$3004,"""")&lt;&gt;""""),ROWS(H$5:H542)),"""")"),"")</f>
        <v/>
      </c>
    </row>
    <row r="543" ht="15.75" customHeight="1">
      <c r="A5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Helper'!$F$5:$F$3004,"""")&lt;&gt;""""),ROWS(A$5:A543)),"""")"),"")</f>
        <v/>
      </c>
      <c r="B5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Helper'!$F$5:$F$3004,"""")&lt;&gt;""""),ROWS(B$5:B543)),"""")"),"")</f>
        <v/>
      </c>
      <c r="C5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Helper'!$F$5:$F$3004,"""")&lt;&gt;""""),ROWS(C$5:C543)),"""")"),"")</f>
        <v/>
      </c>
      <c r="D5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Helper'!$F$5:$F$3004,"""")&lt;&gt;""""),ROWS(D$5:D543)),"""")"),"")</f>
        <v/>
      </c>
      <c r="E5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Helper'!$F$5:$F$3004,"""")&lt;&gt;""""),ROWS(E$5:E543)),"""")"),"")</f>
        <v/>
      </c>
      <c r="F5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Helper'!$F$5:$F$3004,"""")&lt;&gt;""""),ROWS(F$5:F543)),IF(AND(LEFT(x,5)=""Page"&amp;" "",ISERROR(SEARCH(""–"",x))),x&amp;""–""&amp;REGEXEXTRACT(x,""[0-9]+$""),x)),"""")"),"")</f>
        <v/>
      </c>
      <c r="G543" s="163"/>
      <c r="H5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Helper'!$F$5:$F$3004,"""")&lt;&gt;""""),ROWS(H$5:H543)),"""")"),"")</f>
        <v/>
      </c>
    </row>
    <row r="544" ht="15.75" customHeight="1">
      <c r="A5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Helper'!$F$5:$F$3004,"""")&lt;&gt;""""),ROWS(A$5:A544)),"""")"),"")</f>
        <v/>
      </c>
      <c r="B5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Helper'!$F$5:$F$3004,"""")&lt;&gt;""""),ROWS(B$5:B544)),"""")"),"")</f>
        <v/>
      </c>
      <c r="C5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Helper'!$F$5:$F$3004,"""")&lt;&gt;""""),ROWS(C$5:C544)),"""")"),"")</f>
        <v/>
      </c>
      <c r="D5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Helper'!$F$5:$F$3004,"""")&lt;&gt;""""),ROWS(D$5:D544)),"""")"),"")</f>
        <v/>
      </c>
      <c r="E5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Helper'!$F$5:$F$3004,"""")&lt;&gt;""""),ROWS(E$5:E544)),"""")"),"")</f>
        <v/>
      </c>
      <c r="F5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Helper'!$F$5:$F$3004,"""")&lt;&gt;""""),ROWS(F$5:F544)),IF(AND(LEFT(x,5)=""Page"&amp;" "",ISERROR(SEARCH(""–"",x))),x&amp;""–""&amp;REGEXEXTRACT(x,""[0-9]+$""),x)),"""")"),"")</f>
        <v/>
      </c>
      <c r="G544" s="163"/>
      <c r="H5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Helper'!$F$5:$F$3004,"""")&lt;&gt;""""),ROWS(H$5:H544)),"""")"),"")</f>
        <v/>
      </c>
    </row>
    <row r="545" ht="15.75" customHeight="1">
      <c r="A5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Helper'!$F$5:$F$3004,"""")&lt;&gt;""""),ROWS(A$5:A545)),"""")"),"")</f>
        <v/>
      </c>
      <c r="B5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Helper'!$F$5:$F$3004,"""")&lt;&gt;""""),ROWS(B$5:B545)),"""")"),"")</f>
        <v/>
      </c>
      <c r="C5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Helper'!$F$5:$F$3004,"""")&lt;&gt;""""),ROWS(C$5:C545)),"""")"),"")</f>
        <v/>
      </c>
      <c r="D5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Helper'!$F$5:$F$3004,"""")&lt;&gt;""""),ROWS(D$5:D545)),"""")"),"")</f>
        <v/>
      </c>
      <c r="E5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Helper'!$F$5:$F$3004,"""")&lt;&gt;""""),ROWS(E$5:E545)),"""")"),"")</f>
        <v/>
      </c>
      <c r="F5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Helper'!$F$5:$F$3004,"""")&lt;&gt;""""),ROWS(F$5:F545)),IF(AND(LEFT(x,5)=""Page"&amp;" "",ISERROR(SEARCH(""–"",x))),x&amp;""–""&amp;REGEXEXTRACT(x,""[0-9]+$""),x)),"""")"),"")</f>
        <v/>
      </c>
      <c r="G545" s="163"/>
      <c r="H5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Helper'!$F$5:$F$3004,"""")&lt;&gt;""""),ROWS(H$5:H545)),"""")"),"")</f>
        <v/>
      </c>
    </row>
    <row r="546" ht="15.75" customHeight="1">
      <c r="A5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Helper'!$F$5:$F$3004,"""")&lt;&gt;""""),ROWS(A$5:A546)),"""")"),"")</f>
        <v/>
      </c>
      <c r="B5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Helper'!$F$5:$F$3004,"""")&lt;&gt;""""),ROWS(B$5:B546)),"""")"),"")</f>
        <v/>
      </c>
      <c r="C5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Helper'!$F$5:$F$3004,"""")&lt;&gt;""""),ROWS(C$5:C546)),"""")"),"")</f>
        <v/>
      </c>
      <c r="D5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Helper'!$F$5:$F$3004,"""")&lt;&gt;""""),ROWS(D$5:D546)),"""")"),"")</f>
        <v/>
      </c>
      <c r="E5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Helper'!$F$5:$F$3004,"""")&lt;&gt;""""),ROWS(E$5:E546)),"""")"),"")</f>
        <v/>
      </c>
      <c r="F5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Helper'!$F$5:$F$3004,"""")&lt;&gt;""""),ROWS(F$5:F546)),IF(AND(LEFT(x,5)=""Page"&amp;" "",ISERROR(SEARCH(""–"",x))),x&amp;""–""&amp;REGEXEXTRACT(x,""[0-9]+$""),x)),"""")"),"")</f>
        <v/>
      </c>
      <c r="G546" s="163"/>
      <c r="H5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Helper'!$F$5:$F$3004,"""")&lt;&gt;""""),ROWS(H$5:H546)),"""")"),"")</f>
        <v/>
      </c>
    </row>
    <row r="547" ht="15.75" customHeight="1">
      <c r="A5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Helper'!$F$5:$F$3004,"""")&lt;&gt;""""),ROWS(A$5:A547)),"""")"),"")</f>
        <v/>
      </c>
      <c r="B5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Helper'!$F$5:$F$3004,"""")&lt;&gt;""""),ROWS(B$5:B547)),"""")"),"")</f>
        <v/>
      </c>
      <c r="C5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Helper'!$F$5:$F$3004,"""")&lt;&gt;""""),ROWS(C$5:C547)),"""")"),"")</f>
        <v/>
      </c>
      <c r="D5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Helper'!$F$5:$F$3004,"""")&lt;&gt;""""),ROWS(D$5:D547)),"""")"),"")</f>
        <v/>
      </c>
      <c r="E5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Helper'!$F$5:$F$3004,"""")&lt;&gt;""""),ROWS(E$5:E547)),"""")"),"")</f>
        <v/>
      </c>
      <c r="F5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Helper'!$F$5:$F$3004,"""")&lt;&gt;""""),ROWS(F$5:F547)),IF(AND(LEFT(x,5)=""Page"&amp;" "",ISERROR(SEARCH(""–"",x))),x&amp;""–""&amp;REGEXEXTRACT(x,""[0-9]+$""),x)),"""")"),"")</f>
        <v/>
      </c>
      <c r="G547" s="163"/>
      <c r="H5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Helper'!$F$5:$F$3004,"""")&lt;&gt;""""),ROWS(H$5:H547)),"""")"),"")</f>
        <v/>
      </c>
    </row>
    <row r="548" ht="15.75" customHeight="1">
      <c r="A5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Helper'!$F$5:$F$3004,"""")&lt;&gt;""""),ROWS(A$5:A548)),"""")"),"")</f>
        <v/>
      </c>
      <c r="B5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Helper'!$F$5:$F$3004,"""")&lt;&gt;""""),ROWS(B$5:B548)),"""")"),"")</f>
        <v/>
      </c>
      <c r="C5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Helper'!$F$5:$F$3004,"""")&lt;&gt;""""),ROWS(C$5:C548)),"""")"),"")</f>
        <v/>
      </c>
      <c r="D5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Helper'!$F$5:$F$3004,"""")&lt;&gt;""""),ROWS(D$5:D548)),"""")"),"")</f>
        <v/>
      </c>
      <c r="E5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Helper'!$F$5:$F$3004,"""")&lt;&gt;""""),ROWS(E$5:E548)),"""")"),"")</f>
        <v/>
      </c>
      <c r="F5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Helper'!$F$5:$F$3004,"""")&lt;&gt;""""),ROWS(F$5:F548)),IF(AND(LEFT(x,5)=""Page"&amp;" "",ISERROR(SEARCH(""–"",x))),x&amp;""–""&amp;REGEXEXTRACT(x,""[0-9]+$""),x)),"""")"),"")</f>
        <v/>
      </c>
      <c r="G548" s="163"/>
      <c r="H5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Helper'!$F$5:$F$3004,"""")&lt;&gt;""""),ROWS(H$5:H548)),"""")"),"")</f>
        <v/>
      </c>
    </row>
    <row r="549" ht="15.75" customHeight="1">
      <c r="A5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Helper'!$F$5:$F$3004,"""")&lt;&gt;""""),ROWS(A$5:A549)),"""")"),"")</f>
        <v/>
      </c>
      <c r="B5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Helper'!$F$5:$F$3004,"""")&lt;&gt;""""),ROWS(B$5:B549)),"""")"),"")</f>
        <v/>
      </c>
      <c r="C5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Helper'!$F$5:$F$3004,"""")&lt;&gt;""""),ROWS(C$5:C549)),"""")"),"")</f>
        <v/>
      </c>
      <c r="D5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Helper'!$F$5:$F$3004,"""")&lt;&gt;""""),ROWS(D$5:D549)),"""")"),"")</f>
        <v/>
      </c>
      <c r="E5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Helper'!$F$5:$F$3004,"""")&lt;&gt;""""),ROWS(E$5:E549)),"""")"),"")</f>
        <v/>
      </c>
      <c r="F5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Helper'!$F$5:$F$3004,"""")&lt;&gt;""""),ROWS(F$5:F549)),IF(AND(LEFT(x,5)=""Page"&amp;" "",ISERROR(SEARCH(""–"",x))),x&amp;""–""&amp;REGEXEXTRACT(x,""[0-9]+$""),x)),"""")"),"")</f>
        <v/>
      </c>
      <c r="G549" s="163"/>
      <c r="H5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Helper'!$F$5:$F$3004,"""")&lt;&gt;""""),ROWS(H$5:H549)),"""")"),"")</f>
        <v/>
      </c>
    </row>
    <row r="550" ht="15.75" customHeight="1">
      <c r="A5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Helper'!$F$5:$F$3004,"""")&lt;&gt;""""),ROWS(A$5:A550)),"""")"),"")</f>
        <v/>
      </c>
      <c r="B5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Helper'!$F$5:$F$3004,"""")&lt;&gt;""""),ROWS(B$5:B550)),"""")"),"")</f>
        <v/>
      </c>
      <c r="C5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Helper'!$F$5:$F$3004,"""")&lt;&gt;""""),ROWS(C$5:C550)),"""")"),"")</f>
        <v/>
      </c>
      <c r="D5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Helper'!$F$5:$F$3004,"""")&lt;&gt;""""),ROWS(D$5:D550)),"""")"),"")</f>
        <v/>
      </c>
      <c r="E5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Helper'!$F$5:$F$3004,"""")&lt;&gt;""""),ROWS(E$5:E550)),"""")"),"")</f>
        <v/>
      </c>
      <c r="F5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Helper'!$F$5:$F$3004,"""")&lt;&gt;""""),ROWS(F$5:F550)),IF(AND(LEFT(x,5)=""Page"&amp;" "",ISERROR(SEARCH(""–"",x))),x&amp;""–""&amp;REGEXEXTRACT(x,""[0-9]+$""),x)),"""")"),"")</f>
        <v/>
      </c>
      <c r="G550" s="163"/>
      <c r="H5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Helper'!$F$5:$F$3004,"""")&lt;&gt;""""),ROWS(H$5:H550)),"""")"),"")</f>
        <v/>
      </c>
    </row>
    <row r="551" ht="15.75" customHeight="1">
      <c r="A5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Helper'!$F$5:$F$3004,"""")&lt;&gt;""""),ROWS(A$5:A551)),"""")"),"")</f>
        <v/>
      </c>
      <c r="B5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Helper'!$F$5:$F$3004,"""")&lt;&gt;""""),ROWS(B$5:B551)),"""")"),"")</f>
        <v/>
      </c>
      <c r="C5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Helper'!$F$5:$F$3004,"""")&lt;&gt;""""),ROWS(C$5:C551)),"""")"),"")</f>
        <v/>
      </c>
      <c r="D5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Helper'!$F$5:$F$3004,"""")&lt;&gt;""""),ROWS(D$5:D551)),"""")"),"")</f>
        <v/>
      </c>
      <c r="E5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Helper'!$F$5:$F$3004,"""")&lt;&gt;""""),ROWS(E$5:E551)),"""")"),"")</f>
        <v/>
      </c>
      <c r="F5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Helper'!$F$5:$F$3004,"""")&lt;&gt;""""),ROWS(F$5:F551)),IF(AND(LEFT(x,5)=""Page"&amp;" "",ISERROR(SEARCH(""–"",x))),x&amp;""–""&amp;REGEXEXTRACT(x,""[0-9]+$""),x)),"""")"),"")</f>
        <v/>
      </c>
      <c r="G551" s="163"/>
      <c r="H5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Helper'!$F$5:$F$3004,"""")&lt;&gt;""""),ROWS(H$5:H551)),"""")"),"")</f>
        <v/>
      </c>
    </row>
    <row r="552" ht="15.75" customHeight="1">
      <c r="A5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Helper'!$F$5:$F$3004,"""")&lt;&gt;""""),ROWS(A$5:A552)),"""")"),"")</f>
        <v/>
      </c>
      <c r="B5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Helper'!$F$5:$F$3004,"""")&lt;&gt;""""),ROWS(B$5:B552)),"""")"),"")</f>
        <v/>
      </c>
      <c r="C5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Helper'!$F$5:$F$3004,"""")&lt;&gt;""""),ROWS(C$5:C552)),"""")"),"")</f>
        <v/>
      </c>
      <c r="D5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Helper'!$F$5:$F$3004,"""")&lt;&gt;""""),ROWS(D$5:D552)),"""")"),"")</f>
        <v/>
      </c>
      <c r="E5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Helper'!$F$5:$F$3004,"""")&lt;&gt;""""),ROWS(E$5:E552)),"""")"),"")</f>
        <v/>
      </c>
      <c r="F5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Helper'!$F$5:$F$3004,"""")&lt;&gt;""""),ROWS(F$5:F552)),IF(AND(LEFT(x,5)=""Page"&amp;" "",ISERROR(SEARCH(""–"",x))),x&amp;""–""&amp;REGEXEXTRACT(x,""[0-9]+$""),x)),"""")"),"")</f>
        <v/>
      </c>
      <c r="G552" s="163"/>
      <c r="H5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Helper'!$F$5:$F$3004,"""")&lt;&gt;""""),ROWS(H$5:H552)),"""")"),"")</f>
        <v/>
      </c>
    </row>
    <row r="553" ht="15.75" customHeight="1">
      <c r="A5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Helper'!$F$5:$F$3004,"""")&lt;&gt;""""),ROWS(A$5:A553)),"""")"),"")</f>
        <v/>
      </c>
      <c r="B5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Helper'!$F$5:$F$3004,"""")&lt;&gt;""""),ROWS(B$5:B553)),"""")"),"")</f>
        <v/>
      </c>
      <c r="C5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Helper'!$F$5:$F$3004,"""")&lt;&gt;""""),ROWS(C$5:C553)),"""")"),"")</f>
        <v/>
      </c>
      <c r="D5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Helper'!$F$5:$F$3004,"""")&lt;&gt;""""),ROWS(D$5:D553)),"""")"),"")</f>
        <v/>
      </c>
      <c r="E5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Helper'!$F$5:$F$3004,"""")&lt;&gt;""""),ROWS(E$5:E553)),"""")"),"")</f>
        <v/>
      </c>
      <c r="F5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Helper'!$F$5:$F$3004,"""")&lt;&gt;""""),ROWS(F$5:F553)),IF(AND(LEFT(x,5)=""Page"&amp;" "",ISERROR(SEARCH(""–"",x))),x&amp;""–""&amp;REGEXEXTRACT(x,""[0-9]+$""),x)),"""")"),"")</f>
        <v/>
      </c>
      <c r="G553" s="163"/>
      <c r="H5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Helper'!$F$5:$F$3004,"""")&lt;&gt;""""),ROWS(H$5:H553)),"""")"),"")</f>
        <v/>
      </c>
    </row>
    <row r="554" ht="15.75" customHeight="1">
      <c r="A5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Helper'!$F$5:$F$3004,"""")&lt;&gt;""""),ROWS(A$5:A554)),"""")"),"")</f>
        <v/>
      </c>
      <c r="B5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Helper'!$F$5:$F$3004,"""")&lt;&gt;""""),ROWS(B$5:B554)),"""")"),"")</f>
        <v/>
      </c>
      <c r="C5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Helper'!$F$5:$F$3004,"""")&lt;&gt;""""),ROWS(C$5:C554)),"""")"),"")</f>
        <v/>
      </c>
      <c r="D5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Helper'!$F$5:$F$3004,"""")&lt;&gt;""""),ROWS(D$5:D554)),"""")"),"")</f>
        <v/>
      </c>
      <c r="E5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Helper'!$F$5:$F$3004,"""")&lt;&gt;""""),ROWS(E$5:E554)),"""")"),"")</f>
        <v/>
      </c>
      <c r="F5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Helper'!$F$5:$F$3004,"""")&lt;&gt;""""),ROWS(F$5:F554)),IF(AND(LEFT(x,5)=""Page"&amp;" "",ISERROR(SEARCH(""–"",x))),x&amp;""–""&amp;REGEXEXTRACT(x,""[0-9]+$""),x)),"""")"),"")</f>
        <v/>
      </c>
      <c r="G554" s="163"/>
      <c r="H5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Helper'!$F$5:$F$3004,"""")&lt;&gt;""""),ROWS(H$5:H554)),"""")"),"")</f>
        <v/>
      </c>
    </row>
    <row r="555" ht="15.75" customHeight="1">
      <c r="A5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Helper'!$F$5:$F$3004,"""")&lt;&gt;""""),ROWS(A$5:A555)),"""")"),"")</f>
        <v/>
      </c>
      <c r="B5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Helper'!$F$5:$F$3004,"""")&lt;&gt;""""),ROWS(B$5:B555)),"""")"),"")</f>
        <v/>
      </c>
      <c r="C5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Helper'!$F$5:$F$3004,"""")&lt;&gt;""""),ROWS(C$5:C555)),"""")"),"")</f>
        <v/>
      </c>
      <c r="D5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Helper'!$F$5:$F$3004,"""")&lt;&gt;""""),ROWS(D$5:D555)),"""")"),"")</f>
        <v/>
      </c>
      <c r="E5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Helper'!$F$5:$F$3004,"""")&lt;&gt;""""),ROWS(E$5:E555)),"""")"),"")</f>
        <v/>
      </c>
      <c r="F5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Helper'!$F$5:$F$3004,"""")&lt;&gt;""""),ROWS(F$5:F555)),IF(AND(LEFT(x,5)=""Page"&amp;" "",ISERROR(SEARCH(""–"",x))),x&amp;""–""&amp;REGEXEXTRACT(x,""[0-9]+$""),x)),"""")"),"")</f>
        <v/>
      </c>
      <c r="G555" s="163"/>
      <c r="H5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Helper'!$F$5:$F$3004,"""")&lt;&gt;""""),ROWS(H$5:H555)),"""")"),"")</f>
        <v/>
      </c>
    </row>
    <row r="556" ht="15.75" customHeight="1">
      <c r="A5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Helper'!$F$5:$F$3004,"""")&lt;&gt;""""),ROWS(A$5:A556)),"""")"),"")</f>
        <v/>
      </c>
      <c r="B5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Helper'!$F$5:$F$3004,"""")&lt;&gt;""""),ROWS(B$5:B556)),"""")"),"")</f>
        <v/>
      </c>
      <c r="C5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Helper'!$F$5:$F$3004,"""")&lt;&gt;""""),ROWS(C$5:C556)),"""")"),"")</f>
        <v/>
      </c>
      <c r="D5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Helper'!$F$5:$F$3004,"""")&lt;&gt;""""),ROWS(D$5:D556)),"""")"),"")</f>
        <v/>
      </c>
      <c r="E5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Helper'!$F$5:$F$3004,"""")&lt;&gt;""""),ROWS(E$5:E556)),"""")"),"")</f>
        <v/>
      </c>
      <c r="F5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Helper'!$F$5:$F$3004,"""")&lt;&gt;""""),ROWS(F$5:F556)),IF(AND(LEFT(x,5)=""Page"&amp;" "",ISERROR(SEARCH(""–"",x))),x&amp;""–""&amp;REGEXEXTRACT(x,""[0-9]+$""),x)),"""")"),"")</f>
        <v/>
      </c>
      <c r="G556" s="163"/>
      <c r="H5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Helper'!$F$5:$F$3004,"""")&lt;&gt;""""),ROWS(H$5:H556)),"""")"),"")</f>
        <v/>
      </c>
    </row>
    <row r="557" ht="15.75" customHeight="1">
      <c r="A5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Helper'!$F$5:$F$3004,"""")&lt;&gt;""""),ROWS(A$5:A557)),"""")"),"")</f>
        <v/>
      </c>
      <c r="B5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Helper'!$F$5:$F$3004,"""")&lt;&gt;""""),ROWS(B$5:B557)),"""")"),"")</f>
        <v/>
      </c>
      <c r="C5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Helper'!$F$5:$F$3004,"""")&lt;&gt;""""),ROWS(C$5:C557)),"""")"),"")</f>
        <v/>
      </c>
      <c r="D5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Helper'!$F$5:$F$3004,"""")&lt;&gt;""""),ROWS(D$5:D557)),"""")"),"")</f>
        <v/>
      </c>
      <c r="E5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Helper'!$F$5:$F$3004,"""")&lt;&gt;""""),ROWS(E$5:E557)),"""")"),"")</f>
        <v/>
      </c>
      <c r="F5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Helper'!$F$5:$F$3004,"""")&lt;&gt;""""),ROWS(F$5:F557)),IF(AND(LEFT(x,5)=""Page"&amp;" "",ISERROR(SEARCH(""–"",x))),x&amp;""–""&amp;REGEXEXTRACT(x,""[0-9]+$""),x)),"""")"),"")</f>
        <v/>
      </c>
      <c r="G557" s="163"/>
      <c r="H5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Helper'!$F$5:$F$3004,"""")&lt;&gt;""""),ROWS(H$5:H557)),"""")"),"")</f>
        <v/>
      </c>
    </row>
    <row r="558" ht="15.75" customHeight="1">
      <c r="A5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Helper'!$F$5:$F$3004,"""")&lt;&gt;""""),ROWS(A$5:A558)),"""")"),"")</f>
        <v/>
      </c>
      <c r="B5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Helper'!$F$5:$F$3004,"""")&lt;&gt;""""),ROWS(B$5:B558)),"""")"),"")</f>
        <v/>
      </c>
      <c r="C5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Helper'!$F$5:$F$3004,"""")&lt;&gt;""""),ROWS(C$5:C558)),"""")"),"")</f>
        <v/>
      </c>
      <c r="D5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Helper'!$F$5:$F$3004,"""")&lt;&gt;""""),ROWS(D$5:D558)),"""")"),"")</f>
        <v/>
      </c>
      <c r="E5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Helper'!$F$5:$F$3004,"""")&lt;&gt;""""),ROWS(E$5:E558)),"""")"),"")</f>
        <v/>
      </c>
      <c r="F5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Helper'!$F$5:$F$3004,"""")&lt;&gt;""""),ROWS(F$5:F558)),IF(AND(LEFT(x,5)=""Page"&amp;" "",ISERROR(SEARCH(""–"",x))),x&amp;""–""&amp;REGEXEXTRACT(x,""[0-9]+$""),x)),"""")"),"")</f>
        <v/>
      </c>
      <c r="G558" s="163"/>
      <c r="H5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Helper'!$F$5:$F$3004,"""")&lt;&gt;""""),ROWS(H$5:H558)),"""")"),"")</f>
        <v/>
      </c>
    </row>
    <row r="559" ht="15.75" customHeight="1">
      <c r="A5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Helper'!$F$5:$F$3004,"""")&lt;&gt;""""),ROWS(A$5:A559)),"""")"),"")</f>
        <v/>
      </c>
      <c r="B5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Helper'!$F$5:$F$3004,"""")&lt;&gt;""""),ROWS(B$5:B559)),"""")"),"")</f>
        <v/>
      </c>
      <c r="C5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Helper'!$F$5:$F$3004,"""")&lt;&gt;""""),ROWS(C$5:C559)),"""")"),"")</f>
        <v/>
      </c>
      <c r="D5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Helper'!$F$5:$F$3004,"""")&lt;&gt;""""),ROWS(D$5:D559)),"""")"),"")</f>
        <v/>
      </c>
      <c r="E5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Helper'!$F$5:$F$3004,"""")&lt;&gt;""""),ROWS(E$5:E559)),"""")"),"")</f>
        <v/>
      </c>
      <c r="F5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Helper'!$F$5:$F$3004,"""")&lt;&gt;""""),ROWS(F$5:F559)),IF(AND(LEFT(x,5)=""Page"&amp;" "",ISERROR(SEARCH(""–"",x))),x&amp;""–""&amp;REGEXEXTRACT(x,""[0-9]+$""),x)),"""")"),"")</f>
        <v/>
      </c>
      <c r="G559" s="163"/>
      <c r="H5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Helper'!$F$5:$F$3004,"""")&lt;&gt;""""),ROWS(H$5:H559)),"""")"),"")</f>
        <v/>
      </c>
    </row>
    <row r="560" ht="15.75" customHeight="1">
      <c r="A5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Helper'!$F$5:$F$3004,"""")&lt;&gt;""""),ROWS(A$5:A560)),"""")"),"")</f>
        <v/>
      </c>
      <c r="B5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Helper'!$F$5:$F$3004,"""")&lt;&gt;""""),ROWS(B$5:B560)),"""")"),"")</f>
        <v/>
      </c>
      <c r="C5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Helper'!$F$5:$F$3004,"""")&lt;&gt;""""),ROWS(C$5:C560)),"""")"),"")</f>
        <v/>
      </c>
      <c r="D5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Helper'!$F$5:$F$3004,"""")&lt;&gt;""""),ROWS(D$5:D560)),"""")"),"")</f>
        <v/>
      </c>
      <c r="E5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Helper'!$F$5:$F$3004,"""")&lt;&gt;""""),ROWS(E$5:E560)),"""")"),"")</f>
        <v/>
      </c>
      <c r="F5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Helper'!$F$5:$F$3004,"""")&lt;&gt;""""),ROWS(F$5:F560)),IF(AND(LEFT(x,5)=""Page"&amp;" "",ISERROR(SEARCH(""–"",x))),x&amp;""–""&amp;REGEXEXTRACT(x,""[0-9]+$""),x)),"""")"),"")</f>
        <v/>
      </c>
      <c r="G560" s="163"/>
      <c r="H5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Helper'!$F$5:$F$3004,"""")&lt;&gt;""""),ROWS(H$5:H560)),"""")"),"")</f>
        <v/>
      </c>
    </row>
    <row r="561" ht="15.75" customHeight="1">
      <c r="A5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Helper'!$F$5:$F$3004,"""")&lt;&gt;""""),ROWS(A$5:A561)),"""")"),"")</f>
        <v/>
      </c>
      <c r="B5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Helper'!$F$5:$F$3004,"""")&lt;&gt;""""),ROWS(B$5:B561)),"""")"),"")</f>
        <v/>
      </c>
      <c r="C5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Helper'!$F$5:$F$3004,"""")&lt;&gt;""""),ROWS(C$5:C561)),"""")"),"")</f>
        <v/>
      </c>
      <c r="D5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Helper'!$F$5:$F$3004,"""")&lt;&gt;""""),ROWS(D$5:D561)),"""")"),"")</f>
        <v/>
      </c>
      <c r="E5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Helper'!$F$5:$F$3004,"""")&lt;&gt;""""),ROWS(E$5:E561)),"""")"),"")</f>
        <v/>
      </c>
      <c r="F5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Helper'!$F$5:$F$3004,"""")&lt;&gt;""""),ROWS(F$5:F561)),IF(AND(LEFT(x,5)=""Page"&amp;" "",ISERROR(SEARCH(""–"",x))),x&amp;""–""&amp;REGEXEXTRACT(x,""[0-9]+$""),x)),"""")"),"")</f>
        <v/>
      </c>
      <c r="G561" s="163"/>
      <c r="H5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Helper'!$F$5:$F$3004,"""")&lt;&gt;""""),ROWS(H$5:H561)),"""")"),"")</f>
        <v/>
      </c>
    </row>
    <row r="562" ht="15.75" customHeight="1">
      <c r="A5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Helper'!$F$5:$F$3004,"""")&lt;&gt;""""),ROWS(A$5:A562)),"""")"),"")</f>
        <v/>
      </c>
      <c r="B5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Helper'!$F$5:$F$3004,"""")&lt;&gt;""""),ROWS(B$5:B562)),"""")"),"")</f>
        <v/>
      </c>
      <c r="C5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Helper'!$F$5:$F$3004,"""")&lt;&gt;""""),ROWS(C$5:C562)),"""")"),"")</f>
        <v/>
      </c>
      <c r="D5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Helper'!$F$5:$F$3004,"""")&lt;&gt;""""),ROWS(D$5:D562)),"""")"),"")</f>
        <v/>
      </c>
      <c r="E5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Helper'!$F$5:$F$3004,"""")&lt;&gt;""""),ROWS(E$5:E562)),"""")"),"")</f>
        <v/>
      </c>
      <c r="F5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Helper'!$F$5:$F$3004,"""")&lt;&gt;""""),ROWS(F$5:F562)),IF(AND(LEFT(x,5)=""Page"&amp;" "",ISERROR(SEARCH(""–"",x))),x&amp;""–""&amp;REGEXEXTRACT(x,""[0-9]+$""),x)),"""")"),"")</f>
        <v/>
      </c>
      <c r="G562" s="163"/>
      <c r="H5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Helper'!$F$5:$F$3004,"""")&lt;&gt;""""),ROWS(H$5:H562)),"""")"),"")</f>
        <v/>
      </c>
    </row>
    <row r="563" ht="15.75" customHeight="1">
      <c r="A5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Helper'!$F$5:$F$3004,"""")&lt;&gt;""""),ROWS(A$5:A563)),"""")"),"")</f>
        <v/>
      </c>
      <c r="B5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Helper'!$F$5:$F$3004,"""")&lt;&gt;""""),ROWS(B$5:B563)),"""")"),"")</f>
        <v/>
      </c>
      <c r="C5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Helper'!$F$5:$F$3004,"""")&lt;&gt;""""),ROWS(C$5:C563)),"""")"),"")</f>
        <v/>
      </c>
      <c r="D5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Helper'!$F$5:$F$3004,"""")&lt;&gt;""""),ROWS(D$5:D563)),"""")"),"")</f>
        <v/>
      </c>
      <c r="E5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Helper'!$F$5:$F$3004,"""")&lt;&gt;""""),ROWS(E$5:E563)),"""")"),"")</f>
        <v/>
      </c>
      <c r="F5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Helper'!$F$5:$F$3004,"""")&lt;&gt;""""),ROWS(F$5:F563)),IF(AND(LEFT(x,5)=""Page"&amp;" "",ISERROR(SEARCH(""–"",x))),x&amp;""–""&amp;REGEXEXTRACT(x,""[0-9]+$""),x)),"""")"),"")</f>
        <v/>
      </c>
      <c r="G563" s="163"/>
      <c r="H5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Helper'!$F$5:$F$3004,"""")&lt;&gt;""""),ROWS(H$5:H563)),"""")"),"")</f>
        <v/>
      </c>
    </row>
    <row r="564" ht="15.75" customHeight="1">
      <c r="A5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Helper'!$F$5:$F$3004,"""")&lt;&gt;""""),ROWS(A$5:A564)),"""")"),"")</f>
        <v/>
      </c>
      <c r="B5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Helper'!$F$5:$F$3004,"""")&lt;&gt;""""),ROWS(B$5:B564)),"""")"),"")</f>
        <v/>
      </c>
      <c r="C5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Helper'!$F$5:$F$3004,"""")&lt;&gt;""""),ROWS(C$5:C564)),"""")"),"")</f>
        <v/>
      </c>
      <c r="D5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Helper'!$F$5:$F$3004,"""")&lt;&gt;""""),ROWS(D$5:D564)),"""")"),"")</f>
        <v/>
      </c>
      <c r="E5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Helper'!$F$5:$F$3004,"""")&lt;&gt;""""),ROWS(E$5:E564)),"""")"),"")</f>
        <v/>
      </c>
      <c r="F5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Helper'!$F$5:$F$3004,"""")&lt;&gt;""""),ROWS(F$5:F564)),IF(AND(LEFT(x,5)=""Page"&amp;" "",ISERROR(SEARCH(""–"",x))),x&amp;""–""&amp;REGEXEXTRACT(x,""[0-9]+$""),x)),"""")"),"")</f>
        <v/>
      </c>
      <c r="G564" s="163"/>
      <c r="H5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Helper'!$F$5:$F$3004,"""")&lt;&gt;""""),ROWS(H$5:H564)),"""")"),"")</f>
        <v/>
      </c>
    </row>
    <row r="565" ht="15.75" customHeight="1">
      <c r="A5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Helper'!$F$5:$F$3004,"""")&lt;&gt;""""),ROWS(A$5:A565)),"""")"),"")</f>
        <v/>
      </c>
      <c r="B5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Helper'!$F$5:$F$3004,"""")&lt;&gt;""""),ROWS(B$5:B565)),"""")"),"")</f>
        <v/>
      </c>
      <c r="C5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Helper'!$F$5:$F$3004,"""")&lt;&gt;""""),ROWS(C$5:C565)),"""")"),"")</f>
        <v/>
      </c>
      <c r="D5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Helper'!$F$5:$F$3004,"""")&lt;&gt;""""),ROWS(D$5:D565)),"""")"),"")</f>
        <v/>
      </c>
      <c r="E5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Helper'!$F$5:$F$3004,"""")&lt;&gt;""""),ROWS(E$5:E565)),"""")"),"")</f>
        <v/>
      </c>
      <c r="F5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Helper'!$F$5:$F$3004,"""")&lt;&gt;""""),ROWS(F$5:F565)),IF(AND(LEFT(x,5)=""Page"&amp;" "",ISERROR(SEARCH(""–"",x))),x&amp;""–""&amp;REGEXEXTRACT(x,""[0-9]+$""),x)),"""")"),"")</f>
        <v/>
      </c>
      <c r="G565" s="163"/>
      <c r="H5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Helper'!$F$5:$F$3004,"""")&lt;&gt;""""),ROWS(H$5:H565)),"""")"),"")</f>
        <v/>
      </c>
    </row>
    <row r="566" ht="15.75" customHeight="1">
      <c r="A5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Helper'!$F$5:$F$3004,"""")&lt;&gt;""""),ROWS(A$5:A566)),"""")"),"")</f>
        <v/>
      </c>
      <c r="B5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Helper'!$F$5:$F$3004,"""")&lt;&gt;""""),ROWS(B$5:B566)),"""")"),"")</f>
        <v/>
      </c>
      <c r="C5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Helper'!$F$5:$F$3004,"""")&lt;&gt;""""),ROWS(C$5:C566)),"""")"),"")</f>
        <v/>
      </c>
      <c r="D5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Helper'!$F$5:$F$3004,"""")&lt;&gt;""""),ROWS(D$5:D566)),"""")"),"")</f>
        <v/>
      </c>
      <c r="E5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Helper'!$F$5:$F$3004,"""")&lt;&gt;""""),ROWS(E$5:E566)),"""")"),"")</f>
        <v/>
      </c>
      <c r="F5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Helper'!$F$5:$F$3004,"""")&lt;&gt;""""),ROWS(F$5:F566)),IF(AND(LEFT(x,5)=""Page"&amp;" "",ISERROR(SEARCH(""–"",x))),x&amp;""–""&amp;REGEXEXTRACT(x,""[0-9]+$""),x)),"""")"),"")</f>
        <v/>
      </c>
      <c r="G566" s="163"/>
      <c r="H5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Helper'!$F$5:$F$3004,"""")&lt;&gt;""""),ROWS(H$5:H566)),"""")"),"")</f>
        <v/>
      </c>
    </row>
    <row r="567" ht="15.75" customHeight="1">
      <c r="A5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Helper'!$F$5:$F$3004,"""")&lt;&gt;""""),ROWS(A$5:A567)),"""")"),"")</f>
        <v/>
      </c>
      <c r="B5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Helper'!$F$5:$F$3004,"""")&lt;&gt;""""),ROWS(B$5:B567)),"""")"),"")</f>
        <v/>
      </c>
      <c r="C5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Helper'!$F$5:$F$3004,"""")&lt;&gt;""""),ROWS(C$5:C567)),"""")"),"")</f>
        <v/>
      </c>
      <c r="D5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Helper'!$F$5:$F$3004,"""")&lt;&gt;""""),ROWS(D$5:D567)),"""")"),"")</f>
        <v/>
      </c>
      <c r="E5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Helper'!$F$5:$F$3004,"""")&lt;&gt;""""),ROWS(E$5:E567)),"""")"),"")</f>
        <v/>
      </c>
      <c r="F5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Helper'!$F$5:$F$3004,"""")&lt;&gt;""""),ROWS(F$5:F567)),IF(AND(LEFT(x,5)=""Page"&amp;" "",ISERROR(SEARCH(""–"",x))),x&amp;""–""&amp;REGEXEXTRACT(x,""[0-9]+$""),x)),"""")"),"")</f>
        <v/>
      </c>
      <c r="G567" s="163"/>
      <c r="H5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Helper'!$F$5:$F$3004,"""")&lt;&gt;""""),ROWS(H$5:H567)),"""")"),"")</f>
        <v/>
      </c>
    </row>
    <row r="568" ht="15.75" customHeight="1">
      <c r="A5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Helper'!$F$5:$F$3004,"""")&lt;&gt;""""),ROWS(A$5:A568)),"""")"),"")</f>
        <v/>
      </c>
      <c r="B5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Helper'!$F$5:$F$3004,"""")&lt;&gt;""""),ROWS(B$5:B568)),"""")"),"")</f>
        <v/>
      </c>
      <c r="C5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Helper'!$F$5:$F$3004,"""")&lt;&gt;""""),ROWS(C$5:C568)),"""")"),"")</f>
        <v/>
      </c>
      <c r="D5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Helper'!$F$5:$F$3004,"""")&lt;&gt;""""),ROWS(D$5:D568)),"""")"),"")</f>
        <v/>
      </c>
      <c r="E5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Helper'!$F$5:$F$3004,"""")&lt;&gt;""""),ROWS(E$5:E568)),"""")"),"")</f>
        <v/>
      </c>
      <c r="F5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Helper'!$F$5:$F$3004,"""")&lt;&gt;""""),ROWS(F$5:F568)),IF(AND(LEFT(x,5)=""Page"&amp;" "",ISERROR(SEARCH(""–"",x))),x&amp;""–""&amp;REGEXEXTRACT(x,""[0-9]+$""),x)),"""")"),"")</f>
        <v/>
      </c>
      <c r="G568" s="163"/>
      <c r="H5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Helper'!$F$5:$F$3004,"""")&lt;&gt;""""),ROWS(H$5:H568)),"""")"),"")</f>
        <v/>
      </c>
    </row>
    <row r="569" ht="15.75" customHeight="1">
      <c r="A5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Helper'!$F$5:$F$3004,"""")&lt;&gt;""""),ROWS(A$5:A569)),"""")"),"")</f>
        <v/>
      </c>
      <c r="B5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Helper'!$F$5:$F$3004,"""")&lt;&gt;""""),ROWS(B$5:B569)),"""")"),"")</f>
        <v/>
      </c>
      <c r="C5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Helper'!$F$5:$F$3004,"""")&lt;&gt;""""),ROWS(C$5:C569)),"""")"),"")</f>
        <v/>
      </c>
      <c r="D5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Helper'!$F$5:$F$3004,"""")&lt;&gt;""""),ROWS(D$5:D569)),"""")"),"")</f>
        <v/>
      </c>
      <c r="E5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Helper'!$F$5:$F$3004,"""")&lt;&gt;""""),ROWS(E$5:E569)),"""")"),"")</f>
        <v/>
      </c>
      <c r="F5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Helper'!$F$5:$F$3004,"""")&lt;&gt;""""),ROWS(F$5:F569)),IF(AND(LEFT(x,5)=""Page"&amp;" "",ISERROR(SEARCH(""–"",x))),x&amp;""–""&amp;REGEXEXTRACT(x,""[0-9]+$""),x)),"""")"),"")</f>
        <v/>
      </c>
      <c r="G569" s="163"/>
      <c r="H5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Helper'!$F$5:$F$3004,"""")&lt;&gt;""""),ROWS(H$5:H569)),"""")"),"")</f>
        <v/>
      </c>
    </row>
    <row r="570" ht="15.75" customHeight="1">
      <c r="A5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Helper'!$F$5:$F$3004,"""")&lt;&gt;""""),ROWS(A$5:A570)),"""")"),"")</f>
        <v/>
      </c>
      <c r="B5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Helper'!$F$5:$F$3004,"""")&lt;&gt;""""),ROWS(B$5:B570)),"""")"),"")</f>
        <v/>
      </c>
      <c r="C5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Helper'!$F$5:$F$3004,"""")&lt;&gt;""""),ROWS(C$5:C570)),"""")"),"")</f>
        <v/>
      </c>
      <c r="D5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Helper'!$F$5:$F$3004,"""")&lt;&gt;""""),ROWS(D$5:D570)),"""")"),"")</f>
        <v/>
      </c>
      <c r="E5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Helper'!$F$5:$F$3004,"""")&lt;&gt;""""),ROWS(E$5:E570)),"""")"),"")</f>
        <v/>
      </c>
      <c r="F5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Helper'!$F$5:$F$3004,"""")&lt;&gt;""""),ROWS(F$5:F570)),IF(AND(LEFT(x,5)=""Page"&amp;" "",ISERROR(SEARCH(""–"",x))),x&amp;""–""&amp;REGEXEXTRACT(x,""[0-9]+$""),x)),"""")"),"")</f>
        <v/>
      </c>
      <c r="G570" s="163"/>
      <c r="H5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Helper'!$F$5:$F$3004,"""")&lt;&gt;""""),ROWS(H$5:H570)),"""")"),"")</f>
        <v/>
      </c>
    </row>
    <row r="571" ht="15.75" customHeight="1">
      <c r="A5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Helper'!$F$5:$F$3004,"""")&lt;&gt;""""),ROWS(A$5:A571)),"""")"),"")</f>
        <v/>
      </c>
      <c r="B5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Helper'!$F$5:$F$3004,"""")&lt;&gt;""""),ROWS(B$5:B571)),"""")"),"")</f>
        <v/>
      </c>
      <c r="C5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Helper'!$F$5:$F$3004,"""")&lt;&gt;""""),ROWS(C$5:C571)),"""")"),"")</f>
        <v/>
      </c>
      <c r="D5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Helper'!$F$5:$F$3004,"""")&lt;&gt;""""),ROWS(D$5:D571)),"""")"),"")</f>
        <v/>
      </c>
      <c r="E5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Helper'!$F$5:$F$3004,"""")&lt;&gt;""""),ROWS(E$5:E571)),"""")"),"")</f>
        <v/>
      </c>
      <c r="F5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Helper'!$F$5:$F$3004,"""")&lt;&gt;""""),ROWS(F$5:F571)),IF(AND(LEFT(x,5)=""Page"&amp;" "",ISERROR(SEARCH(""–"",x))),x&amp;""–""&amp;REGEXEXTRACT(x,""[0-9]+$""),x)),"""")"),"")</f>
        <v/>
      </c>
      <c r="G571" s="163"/>
      <c r="H5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Helper'!$F$5:$F$3004,"""")&lt;&gt;""""),ROWS(H$5:H571)),"""")"),"")</f>
        <v/>
      </c>
    </row>
    <row r="572" ht="15.75" customHeight="1">
      <c r="A5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Helper'!$F$5:$F$3004,"""")&lt;&gt;""""),ROWS(A$5:A572)),"""")"),"")</f>
        <v/>
      </c>
      <c r="B5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Helper'!$F$5:$F$3004,"""")&lt;&gt;""""),ROWS(B$5:B572)),"""")"),"")</f>
        <v/>
      </c>
      <c r="C5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Helper'!$F$5:$F$3004,"""")&lt;&gt;""""),ROWS(C$5:C572)),"""")"),"")</f>
        <v/>
      </c>
      <c r="D5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Helper'!$F$5:$F$3004,"""")&lt;&gt;""""),ROWS(D$5:D572)),"""")"),"")</f>
        <v/>
      </c>
      <c r="E5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Helper'!$F$5:$F$3004,"""")&lt;&gt;""""),ROWS(E$5:E572)),"""")"),"")</f>
        <v/>
      </c>
      <c r="F5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Helper'!$F$5:$F$3004,"""")&lt;&gt;""""),ROWS(F$5:F572)),IF(AND(LEFT(x,5)=""Page"&amp;" "",ISERROR(SEARCH(""–"",x))),x&amp;""–""&amp;REGEXEXTRACT(x,""[0-9]+$""),x)),"""")"),"")</f>
        <v/>
      </c>
      <c r="G572" s="163"/>
      <c r="H5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Helper'!$F$5:$F$3004,"""")&lt;&gt;""""),ROWS(H$5:H572)),"""")"),"")</f>
        <v/>
      </c>
    </row>
    <row r="573" ht="15.75" customHeight="1">
      <c r="A5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Helper'!$F$5:$F$3004,"""")&lt;&gt;""""),ROWS(A$5:A573)),"""")"),"")</f>
        <v/>
      </c>
      <c r="B5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Helper'!$F$5:$F$3004,"""")&lt;&gt;""""),ROWS(B$5:B573)),"""")"),"")</f>
        <v/>
      </c>
      <c r="C5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Helper'!$F$5:$F$3004,"""")&lt;&gt;""""),ROWS(C$5:C573)),"""")"),"")</f>
        <v/>
      </c>
      <c r="D5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Helper'!$F$5:$F$3004,"""")&lt;&gt;""""),ROWS(D$5:D573)),"""")"),"")</f>
        <v/>
      </c>
      <c r="E5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Helper'!$F$5:$F$3004,"""")&lt;&gt;""""),ROWS(E$5:E573)),"""")"),"")</f>
        <v/>
      </c>
      <c r="F5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Helper'!$F$5:$F$3004,"""")&lt;&gt;""""),ROWS(F$5:F573)),IF(AND(LEFT(x,5)=""Page"&amp;" "",ISERROR(SEARCH(""–"",x))),x&amp;""–""&amp;REGEXEXTRACT(x,""[0-9]+$""),x)),"""")"),"")</f>
        <v/>
      </c>
      <c r="G573" s="163"/>
      <c r="H5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Helper'!$F$5:$F$3004,"""")&lt;&gt;""""),ROWS(H$5:H573)),"""")"),"")</f>
        <v/>
      </c>
    </row>
    <row r="574" ht="15.75" customHeight="1">
      <c r="A5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Helper'!$F$5:$F$3004,"""")&lt;&gt;""""),ROWS(A$5:A574)),"""")"),"")</f>
        <v/>
      </c>
      <c r="B5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Helper'!$F$5:$F$3004,"""")&lt;&gt;""""),ROWS(B$5:B574)),"""")"),"")</f>
        <v/>
      </c>
      <c r="C5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Helper'!$F$5:$F$3004,"""")&lt;&gt;""""),ROWS(C$5:C574)),"""")"),"")</f>
        <v/>
      </c>
      <c r="D5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Helper'!$F$5:$F$3004,"""")&lt;&gt;""""),ROWS(D$5:D574)),"""")"),"")</f>
        <v/>
      </c>
      <c r="E5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Helper'!$F$5:$F$3004,"""")&lt;&gt;""""),ROWS(E$5:E574)),"""")"),"")</f>
        <v/>
      </c>
      <c r="F5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Helper'!$F$5:$F$3004,"""")&lt;&gt;""""),ROWS(F$5:F574)),IF(AND(LEFT(x,5)=""Page"&amp;" "",ISERROR(SEARCH(""–"",x))),x&amp;""–""&amp;REGEXEXTRACT(x,""[0-9]+$""),x)),"""")"),"")</f>
        <v/>
      </c>
      <c r="G574" s="163"/>
      <c r="H5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Helper'!$F$5:$F$3004,"""")&lt;&gt;""""),ROWS(H$5:H574)),"""")"),"")</f>
        <v/>
      </c>
    </row>
    <row r="575" ht="15.75" customHeight="1">
      <c r="A5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Helper'!$F$5:$F$3004,"""")&lt;&gt;""""),ROWS(A$5:A575)),"""")"),"")</f>
        <v/>
      </c>
      <c r="B5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Helper'!$F$5:$F$3004,"""")&lt;&gt;""""),ROWS(B$5:B575)),"""")"),"")</f>
        <v/>
      </c>
      <c r="C5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Helper'!$F$5:$F$3004,"""")&lt;&gt;""""),ROWS(C$5:C575)),"""")"),"")</f>
        <v/>
      </c>
      <c r="D5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Helper'!$F$5:$F$3004,"""")&lt;&gt;""""),ROWS(D$5:D575)),"""")"),"")</f>
        <v/>
      </c>
      <c r="E5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Helper'!$F$5:$F$3004,"""")&lt;&gt;""""),ROWS(E$5:E575)),"""")"),"")</f>
        <v/>
      </c>
      <c r="F5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Helper'!$F$5:$F$3004,"""")&lt;&gt;""""),ROWS(F$5:F575)),IF(AND(LEFT(x,5)=""Page"&amp;" "",ISERROR(SEARCH(""–"",x))),x&amp;""–""&amp;REGEXEXTRACT(x,""[0-9]+$""),x)),"""")"),"")</f>
        <v/>
      </c>
      <c r="G575" s="163"/>
      <c r="H5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Helper'!$F$5:$F$3004,"""")&lt;&gt;""""),ROWS(H$5:H575)),"""")"),"")</f>
        <v/>
      </c>
    </row>
    <row r="576" ht="15.75" customHeight="1">
      <c r="A5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Helper'!$F$5:$F$3004,"""")&lt;&gt;""""),ROWS(A$5:A576)),"""")"),"")</f>
        <v/>
      </c>
      <c r="B5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Helper'!$F$5:$F$3004,"""")&lt;&gt;""""),ROWS(B$5:B576)),"""")"),"")</f>
        <v/>
      </c>
      <c r="C5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Helper'!$F$5:$F$3004,"""")&lt;&gt;""""),ROWS(C$5:C576)),"""")"),"")</f>
        <v/>
      </c>
      <c r="D5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Helper'!$F$5:$F$3004,"""")&lt;&gt;""""),ROWS(D$5:D576)),"""")"),"")</f>
        <v/>
      </c>
      <c r="E5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Helper'!$F$5:$F$3004,"""")&lt;&gt;""""),ROWS(E$5:E576)),"""")"),"")</f>
        <v/>
      </c>
      <c r="F5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Helper'!$F$5:$F$3004,"""")&lt;&gt;""""),ROWS(F$5:F576)),IF(AND(LEFT(x,5)=""Page"&amp;" "",ISERROR(SEARCH(""–"",x))),x&amp;""–""&amp;REGEXEXTRACT(x,""[0-9]+$""),x)),"""")"),"")</f>
        <v/>
      </c>
      <c r="G576" s="163"/>
      <c r="H5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Helper'!$F$5:$F$3004,"""")&lt;&gt;""""),ROWS(H$5:H576)),"""")"),"")</f>
        <v/>
      </c>
    </row>
    <row r="577" ht="15.75" customHeight="1">
      <c r="A5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Helper'!$F$5:$F$3004,"""")&lt;&gt;""""),ROWS(A$5:A577)),"""")"),"")</f>
        <v/>
      </c>
      <c r="B5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Helper'!$F$5:$F$3004,"""")&lt;&gt;""""),ROWS(B$5:B577)),"""")"),"")</f>
        <v/>
      </c>
      <c r="C5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Helper'!$F$5:$F$3004,"""")&lt;&gt;""""),ROWS(C$5:C577)),"""")"),"")</f>
        <v/>
      </c>
      <c r="D5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Helper'!$F$5:$F$3004,"""")&lt;&gt;""""),ROWS(D$5:D577)),"""")"),"")</f>
        <v/>
      </c>
      <c r="E5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Helper'!$F$5:$F$3004,"""")&lt;&gt;""""),ROWS(E$5:E577)),"""")"),"")</f>
        <v/>
      </c>
      <c r="F5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Helper'!$F$5:$F$3004,"""")&lt;&gt;""""),ROWS(F$5:F577)),IF(AND(LEFT(x,5)=""Page"&amp;" "",ISERROR(SEARCH(""–"",x))),x&amp;""–""&amp;REGEXEXTRACT(x,""[0-9]+$""),x)),"""")"),"")</f>
        <v/>
      </c>
      <c r="G577" s="163"/>
      <c r="H5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Helper'!$F$5:$F$3004,"""")&lt;&gt;""""),ROWS(H$5:H577)),"""")"),"")</f>
        <v/>
      </c>
    </row>
    <row r="578" ht="15.75" customHeight="1">
      <c r="A5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Helper'!$F$5:$F$3004,"""")&lt;&gt;""""),ROWS(A$5:A578)),"""")"),"")</f>
        <v/>
      </c>
      <c r="B5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Helper'!$F$5:$F$3004,"""")&lt;&gt;""""),ROWS(B$5:B578)),"""")"),"")</f>
        <v/>
      </c>
      <c r="C5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Helper'!$F$5:$F$3004,"""")&lt;&gt;""""),ROWS(C$5:C578)),"""")"),"")</f>
        <v/>
      </c>
      <c r="D5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Helper'!$F$5:$F$3004,"""")&lt;&gt;""""),ROWS(D$5:D578)),"""")"),"")</f>
        <v/>
      </c>
      <c r="E5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Helper'!$F$5:$F$3004,"""")&lt;&gt;""""),ROWS(E$5:E578)),"""")"),"")</f>
        <v/>
      </c>
      <c r="F5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Helper'!$F$5:$F$3004,"""")&lt;&gt;""""),ROWS(F$5:F578)),IF(AND(LEFT(x,5)=""Page"&amp;" "",ISERROR(SEARCH(""–"",x))),x&amp;""–""&amp;REGEXEXTRACT(x,""[0-9]+$""),x)),"""")"),"")</f>
        <v/>
      </c>
      <c r="G578" s="163"/>
      <c r="H5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Helper'!$F$5:$F$3004,"""")&lt;&gt;""""),ROWS(H$5:H578)),"""")"),"")</f>
        <v/>
      </c>
    </row>
    <row r="579" ht="15.75" customHeight="1">
      <c r="A5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Helper'!$F$5:$F$3004,"""")&lt;&gt;""""),ROWS(A$5:A579)),"""")"),"")</f>
        <v/>
      </c>
      <c r="B5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Helper'!$F$5:$F$3004,"""")&lt;&gt;""""),ROWS(B$5:B579)),"""")"),"")</f>
        <v/>
      </c>
      <c r="C5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Helper'!$F$5:$F$3004,"""")&lt;&gt;""""),ROWS(C$5:C579)),"""")"),"")</f>
        <v/>
      </c>
      <c r="D5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Helper'!$F$5:$F$3004,"""")&lt;&gt;""""),ROWS(D$5:D579)),"""")"),"")</f>
        <v/>
      </c>
      <c r="E5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Helper'!$F$5:$F$3004,"""")&lt;&gt;""""),ROWS(E$5:E579)),"""")"),"")</f>
        <v/>
      </c>
      <c r="F5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Helper'!$F$5:$F$3004,"""")&lt;&gt;""""),ROWS(F$5:F579)),IF(AND(LEFT(x,5)=""Page"&amp;" "",ISERROR(SEARCH(""–"",x))),x&amp;""–""&amp;REGEXEXTRACT(x,""[0-9]+$""),x)),"""")"),"")</f>
        <v/>
      </c>
      <c r="G579" s="163"/>
      <c r="H5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Helper'!$F$5:$F$3004,"""")&lt;&gt;""""),ROWS(H$5:H579)),"""")"),"")</f>
        <v/>
      </c>
    </row>
    <row r="580" ht="15.75" customHeight="1">
      <c r="A5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Helper'!$F$5:$F$3004,"""")&lt;&gt;""""),ROWS(A$5:A580)),"""")"),"")</f>
        <v/>
      </c>
      <c r="B5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Helper'!$F$5:$F$3004,"""")&lt;&gt;""""),ROWS(B$5:B580)),"""")"),"")</f>
        <v/>
      </c>
      <c r="C5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Helper'!$F$5:$F$3004,"""")&lt;&gt;""""),ROWS(C$5:C580)),"""")"),"")</f>
        <v/>
      </c>
      <c r="D5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Helper'!$F$5:$F$3004,"""")&lt;&gt;""""),ROWS(D$5:D580)),"""")"),"")</f>
        <v/>
      </c>
      <c r="E5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Helper'!$F$5:$F$3004,"""")&lt;&gt;""""),ROWS(E$5:E580)),"""")"),"")</f>
        <v/>
      </c>
      <c r="F5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Helper'!$F$5:$F$3004,"""")&lt;&gt;""""),ROWS(F$5:F580)),IF(AND(LEFT(x,5)=""Page"&amp;" "",ISERROR(SEARCH(""–"",x))),x&amp;""–""&amp;REGEXEXTRACT(x,""[0-9]+$""),x)),"""")"),"")</f>
        <v/>
      </c>
      <c r="G580" s="163"/>
      <c r="H5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Helper'!$F$5:$F$3004,"""")&lt;&gt;""""),ROWS(H$5:H580)),"""")"),"")</f>
        <v/>
      </c>
    </row>
    <row r="581" ht="15.75" customHeight="1">
      <c r="A5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Helper'!$F$5:$F$3004,"""")&lt;&gt;""""),ROWS(A$5:A581)),"""")"),"")</f>
        <v/>
      </c>
      <c r="B5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Helper'!$F$5:$F$3004,"""")&lt;&gt;""""),ROWS(B$5:B581)),"""")"),"")</f>
        <v/>
      </c>
      <c r="C5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Helper'!$F$5:$F$3004,"""")&lt;&gt;""""),ROWS(C$5:C581)),"""")"),"")</f>
        <v/>
      </c>
      <c r="D5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Helper'!$F$5:$F$3004,"""")&lt;&gt;""""),ROWS(D$5:D581)),"""")"),"")</f>
        <v/>
      </c>
      <c r="E5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Helper'!$F$5:$F$3004,"""")&lt;&gt;""""),ROWS(E$5:E581)),"""")"),"")</f>
        <v/>
      </c>
      <c r="F5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Helper'!$F$5:$F$3004,"""")&lt;&gt;""""),ROWS(F$5:F581)),IF(AND(LEFT(x,5)=""Page"&amp;" "",ISERROR(SEARCH(""–"",x))),x&amp;""–""&amp;REGEXEXTRACT(x,""[0-9]+$""),x)),"""")"),"")</f>
        <v/>
      </c>
      <c r="G581" s="163"/>
      <c r="H5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Helper'!$F$5:$F$3004,"""")&lt;&gt;""""),ROWS(H$5:H581)),"""")"),"")</f>
        <v/>
      </c>
    </row>
    <row r="582" ht="15.75" customHeight="1">
      <c r="A5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Helper'!$F$5:$F$3004,"""")&lt;&gt;""""),ROWS(A$5:A582)),"""")"),"")</f>
        <v/>
      </c>
      <c r="B5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Helper'!$F$5:$F$3004,"""")&lt;&gt;""""),ROWS(B$5:B582)),"""")"),"")</f>
        <v/>
      </c>
      <c r="C5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Helper'!$F$5:$F$3004,"""")&lt;&gt;""""),ROWS(C$5:C582)),"""")"),"")</f>
        <v/>
      </c>
      <c r="D5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Helper'!$F$5:$F$3004,"""")&lt;&gt;""""),ROWS(D$5:D582)),"""")"),"")</f>
        <v/>
      </c>
      <c r="E5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Helper'!$F$5:$F$3004,"""")&lt;&gt;""""),ROWS(E$5:E582)),"""")"),"")</f>
        <v/>
      </c>
      <c r="F5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Helper'!$F$5:$F$3004,"""")&lt;&gt;""""),ROWS(F$5:F582)),IF(AND(LEFT(x,5)=""Page"&amp;" "",ISERROR(SEARCH(""–"",x))),x&amp;""–""&amp;REGEXEXTRACT(x,""[0-9]+$""),x)),"""")"),"")</f>
        <v/>
      </c>
      <c r="G582" s="163"/>
      <c r="H5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Helper'!$F$5:$F$3004,"""")&lt;&gt;""""),ROWS(H$5:H582)),"""")"),"")</f>
        <v/>
      </c>
    </row>
    <row r="583" ht="15.75" customHeight="1">
      <c r="A5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Helper'!$F$5:$F$3004,"""")&lt;&gt;""""),ROWS(A$5:A583)),"""")"),"")</f>
        <v/>
      </c>
      <c r="B5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Helper'!$F$5:$F$3004,"""")&lt;&gt;""""),ROWS(B$5:B583)),"""")"),"")</f>
        <v/>
      </c>
      <c r="C5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Helper'!$F$5:$F$3004,"""")&lt;&gt;""""),ROWS(C$5:C583)),"""")"),"")</f>
        <v/>
      </c>
      <c r="D5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Helper'!$F$5:$F$3004,"""")&lt;&gt;""""),ROWS(D$5:D583)),"""")"),"")</f>
        <v/>
      </c>
      <c r="E5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Helper'!$F$5:$F$3004,"""")&lt;&gt;""""),ROWS(E$5:E583)),"""")"),"")</f>
        <v/>
      </c>
      <c r="F5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Helper'!$F$5:$F$3004,"""")&lt;&gt;""""),ROWS(F$5:F583)),IF(AND(LEFT(x,5)=""Page"&amp;" "",ISERROR(SEARCH(""–"",x))),x&amp;""–""&amp;REGEXEXTRACT(x,""[0-9]+$""),x)),"""")"),"")</f>
        <v/>
      </c>
      <c r="G583" s="163"/>
      <c r="H5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Helper'!$F$5:$F$3004,"""")&lt;&gt;""""),ROWS(H$5:H583)),"""")"),"")</f>
        <v/>
      </c>
    </row>
    <row r="584" ht="15.75" customHeight="1">
      <c r="A5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Helper'!$F$5:$F$3004,"""")&lt;&gt;""""),ROWS(A$5:A584)),"""")"),"")</f>
        <v/>
      </c>
      <c r="B5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Helper'!$F$5:$F$3004,"""")&lt;&gt;""""),ROWS(B$5:B584)),"""")"),"")</f>
        <v/>
      </c>
      <c r="C5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Helper'!$F$5:$F$3004,"""")&lt;&gt;""""),ROWS(C$5:C584)),"""")"),"")</f>
        <v/>
      </c>
      <c r="D5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Helper'!$F$5:$F$3004,"""")&lt;&gt;""""),ROWS(D$5:D584)),"""")"),"")</f>
        <v/>
      </c>
      <c r="E5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Helper'!$F$5:$F$3004,"""")&lt;&gt;""""),ROWS(E$5:E584)),"""")"),"")</f>
        <v/>
      </c>
      <c r="F5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Helper'!$F$5:$F$3004,"""")&lt;&gt;""""),ROWS(F$5:F584)),IF(AND(LEFT(x,5)=""Page"&amp;" "",ISERROR(SEARCH(""–"",x))),x&amp;""–""&amp;REGEXEXTRACT(x,""[0-9]+$""),x)),"""")"),"")</f>
        <v/>
      </c>
      <c r="G584" s="163"/>
      <c r="H5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Helper'!$F$5:$F$3004,"""")&lt;&gt;""""),ROWS(H$5:H584)),"""")"),"")</f>
        <v/>
      </c>
    </row>
    <row r="585" ht="15.75" customHeight="1">
      <c r="A5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Helper'!$F$5:$F$3004,"""")&lt;&gt;""""),ROWS(A$5:A585)),"""")"),"")</f>
        <v/>
      </c>
      <c r="B5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Helper'!$F$5:$F$3004,"""")&lt;&gt;""""),ROWS(B$5:B585)),"""")"),"")</f>
        <v/>
      </c>
      <c r="C5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Helper'!$F$5:$F$3004,"""")&lt;&gt;""""),ROWS(C$5:C585)),"""")"),"")</f>
        <v/>
      </c>
      <c r="D5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Helper'!$F$5:$F$3004,"""")&lt;&gt;""""),ROWS(D$5:D585)),"""")"),"")</f>
        <v/>
      </c>
      <c r="E5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Helper'!$F$5:$F$3004,"""")&lt;&gt;""""),ROWS(E$5:E585)),"""")"),"")</f>
        <v/>
      </c>
      <c r="F5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Helper'!$F$5:$F$3004,"""")&lt;&gt;""""),ROWS(F$5:F585)),IF(AND(LEFT(x,5)=""Page"&amp;" "",ISERROR(SEARCH(""–"",x))),x&amp;""–""&amp;REGEXEXTRACT(x,""[0-9]+$""),x)),"""")"),"")</f>
        <v/>
      </c>
      <c r="G585" s="163"/>
      <c r="H5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Helper'!$F$5:$F$3004,"""")&lt;&gt;""""),ROWS(H$5:H585)),"""")"),"")</f>
        <v/>
      </c>
    </row>
    <row r="586" ht="15.75" customHeight="1">
      <c r="A5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Helper'!$F$5:$F$3004,"""")&lt;&gt;""""),ROWS(A$5:A586)),"""")"),"")</f>
        <v/>
      </c>
      <c r="B5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Helper'!$F$5:$F$3004,"""")&lt;&gt;""""),ROWS(B$5:B586)),"""")"),"")</f>
        <v/>
      </c>
      <c r="C5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Helper'!$F$5:$F$3004,"""")&lt;&gt;""""),ROWS(C$5:C586)),"""")"),"")</f>
        <v/>
      </c>
      <c r="D5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Helper'!$F$5:$F$3004,"""")&lt;&gt;""""),ROWS(D$5:D586)),"""")"),"")</f>
        <v/>
      </c>
      <c r="E5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Helper'!$F$5:$F$3004,"""")&lt;&gt;""""),ROWS(E$5:E586)),"""")"),"")</f>
        <v/>
      </c>
      <c r="F5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Helper'!$F$5:$F$3004,"""")&lt;&gt;""""),ROWS(F$5:F586)),IF(AND(LEFT(x,5)=""Page"&amp;" "",ISERROR(SEARCH(""–"",x))),x&amp;""–""&amp;REGEXEXTRACT(x,""[0-9]+$""),x)),"""")"),"")</f>
        <v/>
      </c>
      <c r="G586" s="163"/>
      <c r="H5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Helper'!$F$5:$F$3004,"""")&lt;&gt;""""),ROWS(H$5:H586)),"""")"),"")</f>
        <v/>
      </c>
    </row>
    <row r="587" ht="15.75" customHeight="1">
      <c r="A5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Helper'!$F$5:$F$3004,"""")&lt;&gt;""""),ROWS(A$5:A587)),"""")"),"")</f>
        <v/>
      </c>
      <c r="B5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Helper'!$F$5:$F$3004,"""")&lt;&gt;""""),ROWS(B$5:B587)),"""")"),"")</f>
        <v/>
      </c>
      <c r="C5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Helper'!$F$5:$F$3004,"""")&lt;&gt;""""),ROWS(C$5:C587)),"""")"),"")</f>
        <v/>
      </c>
      <c r="D5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Helper'!$F$5:$F$3004,"""")&lt;&gt;""""),ROWS(D$5:D587)),"""")"),"")</f>
        <v/>
      </c>
      <c r="E5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Helper'!$F$5:$F$3004,"""")&lt;&gt;""""),ROWS(E$5:E587)),"""")"),"")</f>
        <v/>
      </c>
      <c r="F5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Helper'!$F$5:$F$3004,"""")&lt;&gt;""""),ROWS(F$5:F587)),IF(AND(LEFT(x,5)=""Page"&amp;" "",ISERROR(SEARCH(""–"",x))),x&amp;""–""&amp;REGEXEXTRACT(x,""[0-9]+$""),x)),"""")"),"")</f>
        <v/>
      </c>
      <c r="G587" s="163"/>
      <c r="H5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Helper'!$F$5:$F$3004,"""")&lt;&gt;""""),ROWS(H$5:H587)),"""")"),"")</f>
        <v/>
      </c>
    </row>
    <row r="588" ht="15.75" customHeight="1">
      <c r="A5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Helper'!$F$5:$F$3004,"""")&lt;&gt;""""),ROWS(A$5:A588)),"""")"),"")</f>
        <v/>
      </c>
      <c r="B5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Helper'!$F$5:$F$3004,"""")&lt;&gt;""""),ROWS(B$5:B588)),"""")"),"")</f>
        <v/>
      </c>
      <c r="C5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Helper'!$F$5:$F$3004,"""")&lt;&gt;""""),ROWS(C$5:C588)),"""")"),"")</f>
        <v/>
      </c>
      <c r="D5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Helper'!$F$5:$F$3004,"""")&lt;&gt;""""),ROWS(D$5:D588)),"""")"),"")</f>
        <v/>
      </c>
      <c r="E5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Helper'!$F$5:$F$3004,"""")&lt;&gt;""""),ROWS(E$5:E588)),"""")"),"")</f>
        <v/>
      </c>
      <c r="F5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Helper'!$F$5:$F$3004,"""")&lt;&gt;""""),ROWS(F$5:F588)),IF(AND(LEFT(x,5)=""Page"&amp;" "",ISERROR(SEARCH(""–"",x))),x&amp;""–""&amp;REGEXEXTRACT(x,""[0-9]+$""),x)),"""")"),"")</f>
        <v/>
      </c>
      <c r="G588" s="163"/>
      <c r="H5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Helper'!$F$5:$F$3004,"""")&lt;&gt;""""),ROWS(H$5:H588)),"""")"),"")</f>
        <v/>
      </c>
    </row>
    <row r="589" ht="15.75" customHeight="1">
      <c r="A5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Helper'!$F$5:$F$3004,"""")&lt;&gt;""""),ROWS(A$5:A589)),"""")"),"")</f>
        <v/>
      </c>
      <c r="B5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Helper'!$F$5:$F$3004,"""")&lt;&gt;""""),ROWS(B$5:B589)),"""")"),"")</f>
        <v/>
      </c>
      <c r="C5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Helper'!$F$5:$F$3004,"""")&lt;&gt;""""),ROWS(C$5:C589)),"""")"),"")</f>
        <v/>
      </c>
      <c r="D5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Helper'!$F$5:$F$3004,"""")&lt;&gt;""""),ROWS(D$5:D589)),"""")"),"")</f>
        <v/>
      </c>
      <c r="E5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Helper'!$F$5:$F$3004,"""")&lt;&gt;""""),ROWS(E$5:E589)),"""")"),"")</f>
        <v/>
      </c>
      <c r="F5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Helper'!$F$5:$F$3004,"""")&lt;&gt;""""),ROWS(F$5:F589)),IF(AND(LEFT(x,5)=""Page"&amp;" "",ISERROR(SEARCH(""–"",x))),x&amp;""–""&amp;REGEXEXTRACT(x,""[0-9]+$""),x)),"""")"),"")</f>
        <v/>
      </c>
      <c r="G589" s="163"/>
      <c r="H5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Helper'!$F$5:$F$3004,"""")&lt;&gt;""""),ROWS(H$5:H589)),"""")"),"")</f>
        <v/>
      </c>
    </row>
    <row r="590" ht="15.75" customHeight="1">
      <c r="A5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Helper'!$F$5:$F$3004,"""")&lt;&gt;""""),ROWS(A$5:A590)),"""")"),"")</f>
        <v/>
      </c>
      <c r="B5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Helper'!$F$5:$F$3004,"""")&lt;&gt;""""),ROWS(B$5:B590)),"""")"),"")</f>
        <v/>
      </c>
      <c r="C5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Helper'!$F$5:$F$3004,"""")&lt;&gt;""""),ROWS(C$5:C590)),"""")"),"")</f>
        <v/>
      </c>
      <c r="D5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Helper'!$F$5:$F$3004,"""")&lt;&gt;""""),ROWS(D$5:D590)),"""")"),"")</f>
        <v/>
      </c>
      <c r="E5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Helper'!$F$5:$F$3004,"""")&lt;&gt;""""),ROWS(E$5:E590)),"""")"),"")</f>
        <v/>
      </c>
      <c r="F5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Helper'!$F$5:$F$3004,"""")&lt;&gt;""""),ROWS(F$5:F590)),IF(AND(LEFT(x,5)=""Page"&amp;" "",ISERROR(SEARCH(""–"",x))),x&amp;""–""&amp;REGEXEXTRACT(x,""[0-9]+$""),x)),"""")"),"")</f>
        <v/>
      </c>
      <c r="G590" s="163"/>
      <c r="H5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Helper'!$F$5:$F$3004,"""")&lt;&gt;""""),ROWS(H$5:H590)),"""")"),"")</f>
        <v/>
      </c>
    </row>
    <row r="591" ht="15.75" customHeight="1">
      <c r="A5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Helper'!$F$5:$F$3004,"""")&lt;&gt;""""),ROWS(A$5:A591)),"""")"),"")</f>
        <v/>
      </c>
      <c r="B5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Helper'!$F$5:$F$3004,"""")&lt;&gt;""""),ROWS(B$5:B591)),"""")"),"")</f>
        <v/>
      </c>
      <c r="C5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Helper'!$F$5:$F$3004,"""")&lt;&gt;""""),ROWS(C$5:C591)),"""")"),"")</f>
        <v/>
      </c>
      <c r="D5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Helper'!$F$5:$F$3004,"""")&lt;&gt;""""),ROWS(D$5:D591)),"""")"),"")</f>
        <v/>
      </c>
      <c r="E5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Helper'!$F$5:$F$3004,"""")&lt;&gt;""""),ROWS(E$5:E591)),"""")"),"")</f>
        <v/>
      </c>
      <c r="F5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Helper'!$F$5:$F$3004,"""")&lt;&gt;""""),ROWS(F$5:F591)),IF(AND(LEFT(x,5)=""Page"&amp;" "",ISERROR(SEARCH(""–"",x))),x&amp;""–""&amp;REGEXEXTRACT(x,""[0-9]+$""),x)),"""")"),"")</f>
        <v/>
      </c>
      <c r="G591" s="163"/>
      <c r="H5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Helper'!$F$5:$F$3004,"""")&lt;&gt;""""),ROWS(H$5:H591)),"""")"),"")</f>
        <v/>
      </c>
    </row>
    <row r="592" ht="15.75" customHeight="1">
      <c r="A5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Helper'!$F$5:$F$3004,"""")&lt;&gt;""""),ROWS(A$5:A592)),"""")"),"")</f>
        <v/>
      </c>
      <c r="B5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Helper'!$F$5:$F$3004,"""")&lt;&gt;""""),ROWS(B$5:B592)),"""")"),"")</f>
        <v/>
      </c>
      <c r="C5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Helper'!$F$5:$F$3004,"""")&lt;&gt;""""),ROWS(C$5:C592)),"""")"),"")</f>
        <v/>
      </c>
      <c r="D5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Helper'!$F$5:$F$3004,"""")&lt;&gt;""""),ROWS(D$5:D592)),"""")"),"")</f>
        <v/>
      </c>
      <c r="E5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Helper'!$F$5:$F$3004,"""")&lt;&gt;""""),ROWS(E$5:E592)),"""")"),"")</f>
        <v/>
      </c>
      <c r="F5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Helper'!$F$5:$F$3004,"""")&lt;&gt;""""),ROWS(F$5:F592)),IF(AND(LEFT(x,5)=""Page"&amp;" "",ISERROR(SEARCH(""–"",x))),x&amp;""–""&amp;REGEXEXTRACT(x,""[0-9]+$""),x)),"""")"),"")</f>
        <v/>
      </c>
      <c r="G592" s="163"/>
      <c r="H5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Helper'!$F$5:$F$3004,"""")&lt;&gt;""""),ROWS(H$5:H592)),"""")"),"")</f>
        <v/>
      </c>
    </row>
    <row r="593" ht="15.75" customHeight="1">
      <c r="A5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Helper'!$F$5:$F$3004,"""")&lt;&gt;""""),ROWS(A$5:A593)),"""")"),"")</f>
        <v/>
      </c>
      <c r="B5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Helper'!$F$5:$F$3004,"""")&lt;&gt;""""),ROWS(B$5:B593)),"""")"),"")</f>
        <v/>
      </c>
      <c r="C5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Helper'!$F$5:$F$3004,"""")&lt;&gt;""""),ROWS(C$5:C593)),"""")"),"")</f>
        <v/>
      </c>
      <c r="D5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Helper'!$F$5:$F$3004,"""")&lt;&gt;""""),ROWS(D$5:D593)),"""")"),"")</f>
        <v/>
      </c>
      <c r="E5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Helper'!$F$5:$F$3004,"""")&lt;&gt;""""),ROWS(E$5:E593)),"""")"),"")</f>
        <v/>
      </c>
      <c r="F5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Helper'!$F$5:$F$3004,"""")&lt;&gt;""""),ROWS(F$5:F593)),IF(AND(LEFT(x,5)=""Page"&amp;" "",ISERROR(SEARCH(""–"",x))),x&amp;""–""&amp;REGEXEXTRACT(x,""[0-9]+$""),x)),"""")"),"")</f>
        <v/>
      </c>
      <c r="G593" s="163"/>
      <c r="H5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Helper'!$F$5:$F$3004,"""")&lt;&gt;""""),ROWS(H$5:H593)),"""")"),"")</f>
        <v/>
      </c>
    </row>
    <row r="594" ht="15.75" customHeight="1">
      <c r="A5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Helper'!$F$5:$F$3004,"""")&lt;&gt;""""),ROWS(A$5:A594)),"""")"),"")</f>
        <v/>
      </c>
      <c r="B5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Helper'!$F$5:$F$3004,"""")&lt;&gt;""""),ROWS(B$5:B594)),"""")"),"")</f>
        <v/>
      </c>
      <c r="C5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Helper'!$F$5:$F$3004,"""")&lt;&gt;""""),ROWS(C$5:C594)),"""")"),"")</f>
        <v/>
      </c>
      <c r="D5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Helper'!$F$5:$F$3004,"""")&lt;&gt;""""),ROWS(D$5:D594)),"""")"),"")</f>
        <v/>
      </c>
      <c r="E5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Helper'!$F$5:$F$3004,"""")&lt;&gt;""""),ROWS(E$5:E594)),"""")"),"")</f>
        <v/>
      </c>
      <c r="F5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Helper'!$F$5:$F$3004,"""")&lt;&gt;""""),ROWS(F$5:F594)),IF(AND(LEFT(x,5)=""Page"&amp;" "",ISERROR(SEARCH(""–"",x))),x&amp;""–""&amp;REGEXEXTRACT(x,""[0-9]+$""),x)),"""")"),"")</f>
        <v/>
      </c>
      <c r="G594" s="163"/>
      <c r="H5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Helper'!$F$5:$F$3004,"""")&lt;&gt;""""),ROWS(H$5:H594)),"""")"),"")</f>
        <v/>
      </c>
    </row>
    <row r="595" ht="15.75" customHeight="1">
      <c r="A5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Helper'!$F$5:$F$3004,"""")&lt;&gt;""""),ROWS(A$5:A595)),"""")"),"")</f>
        <v/>
      </c>
      <c r="B5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Helper'!$F$5:$F$3004,"""")&lt;&gt;""""),ROWS(B$5:B595)),"""")"),"")</f>
        <v/>
      </c>
      <c r="C5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Helper'!$F$5:$F$3004,"""")&lt;&gt;""""),ROWS(C$5:C595)),"""")"),"")</f>
        <v/>
      </c>
      <c r="D5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Helper'!$F$5:$F$3004,"""")&lt;&gt;""""),ROWS(D$5:D595)),"""")"),"")</f>
        <v/>
      </c>
      <c r="E5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Helper'!$F$5:$F$3004,"""")&lt;&gt;""""),ROWS(E$5:E595)),"""")"),"")</f>
        <v/>
      </c>
      <c r="F5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Helper'!$F$5:$F$3004,"""")&lt;&gt;""""),ROWS(F$5:F595)),IF(AND(LEFT(x,5)=""Page"&amp;" "",ISERROR(SEARCH(""–"",x))),x&amp;""–""&amp;REGEXEXTRACT(x,""[0-9]+$""),x)),"""")"),"")</f>
        <v/>
      </c>
      <c r="G595" s="163"/>
      <c r="H5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Helper'!$F$5:$F$3004,"""")&lt;&gt;""""),ROWS(H$5:H595)),"""")"),"")</f>
        <v/>
      </c>
    </row>
    <row r="596" ht="15.75" customHeight="1">
      <c r="A5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Helper'!$F$5:$F$3004,"""")&lt;&gt;""""),ROWS(A$5:A596)),"""")"),"")</f>
        <v/>
      </c>
      <c r="B5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Helper'!$F$5:$F$3004,"""")&lt;&gt;""""),ROWS(B$5:B596)),"""")"),"")</f>
        <v/>
      </c>
      <c r="C5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Helper'!$F$5:$F$3004,"""")&lt;&gt;""""),ROWS(C$5:C596)),"""")"),"")</f>
        <v/>
      </c>
      <c r="D5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Helper'!$F$5:$F$3004,"""")&lt;&gt;""""),ROWS(D$5:D596)),"""")"),"")</f>
        <v/>
      </c>
      <c r="E5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Helper'!$F$5:$F$3004,"""")&lt;&gt;""""),ROWS(E$5:E596)),"""")"),"")</f>
        <v/>
      </c>
      <c r="F5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Helper'!$F$5:$F$3004,"""")&lt;&gt;""""),ROWS(F$5:F596)),IF(AND(LEFT(x,5)=""Page"&amp;" "",ISERROR(SEARCH(""–"",x))),x&amp;""–""&amp;REGEXEXTRACT(x,""[0-9]+$""),x)),"""")"),"")</f>
        <v/>
      </c>
      <c r="G596" s="163"/>
      <c r="H5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Helper'!$F$5:$F$3004,"""")&lt;&gt;""""),ROWS(H$5:H596)),"""")"),"")</f>
        <v/>
      </c>
    </row>
    <row r="597" ht="15.75" customHeight="1">
      <c r="A5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Helper'!$F$5:$F$3004,"""")&lt;&gt;""""),ROWS(A$5:A597)),"""")"),"")</f>
        <v/>
      </c>
      <c r="B5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Helper'!$F$5:$F$3004,"""")&lt;&gt;""""),ROWS(B$5:B597)),"""")"),"")</f>
        <v/>
      </c>
      <c r="C5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Helper'!$F$5:$F$3004,"""")&lt;&gt;""""),ROWS(C$5:C597)),"""")"),"")</f>
        <v/>
      </c>
      <c r="D5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Helper'!$F$5:$F$3004,"""")&lt;&gt;""""),ROWS(D$5:D597)),"""")"),"")</f>
        <v/>
      </c>
      <c r="E5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Helper'!$F$5:$F$3004,"""")&lt;&gt;""""),ROWS(E$5:E597)),"""")"),"")</f>
        <v/>
      </c>
      <c r="F5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Helper'!$F$5:$F$3004,"""")&lt;&gt;""""),ROWS(F$5:F597)),IF(AND(LEFT(x,5)=""Page"&amp;" "",ISERROR(SEARCH(""–"",x))),x&amp;""–""&amp;REGEXEXTRACT(x,""[0-9]+$""),x)),"""")"),"")</f>
        <v/>
      </c>
      <c r="G597" s="163"/>
      <c r="H5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Helper'!$F$5:$F$3004,"""")&lt;&gt;""""),ROWS(H$5:H597)),"""")"),"")</f>
        <v/>
      </c>
    </row>
    <row r="598" ht="15.75" customHeight="1">
      <c r="A5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Helper'!$F$5:$F$3004,"""")&lt;&gt;""""),ROWS(A$5:A598)),"""")"),"")</f>
        <v/>
      </c>
      <c r="B5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Helper'!$F$5:$F$3004,"""")&lt;&gt;""""),ROWS(B$5:B598)),"""")"),"")</f>
        <v/>
      </c>
      <c r="C5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Helper'!$F$5:$F$3004,"""")&lt;&gt;""""),ROWS(C$5:C598)),"""")"),"")</f>
        <v/>
      </c>
      <c r="D5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Helper'!$F$5:$F$3004,"""")&lt;&gt;""""),ROWS(D$5:D598)),"""")"),"")</f>
        <v/>
      </c>
      <c r="E5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Helper'!$F$5:$F$3004,"""")&lt;&gt;""""),ROWS(E$5:E598)),"""")"),"")</f>
        <v/>
      </c>
      <c r="F5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Helper'!$F$5:$F$3004,"""")&lt;&gt;""""),ROWS(F$5:F598)),IF(AND(LEFT(x,5)=""Page"&amp;" "",ISERROR(SEARCH(""–"",x))),x&amp;""–""&amp;REGEXEXTRACT(x,""[0-9]+$""),x)),"""")"),"")</f>
        <v/>
      </c>
      <c r="G598" s="163"/>
      <c r="H5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Helper'!$F$5:$F$3004,"""")&lt;&gt;""""),ROWS(H$5:H598)),"""")"),"")</f>
        <v/>
      </c>
    </row>
    <row r="599" ht="15.75" customHeight="1">
      <c r="A5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Helper'!$F$5:$F$3004,"""")&lt;&gt;""""),ROWS(A$5:A599)),"""")"),"")</f>
        <v/>
      </c>
      <c r="B5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Helper'!$F$5:$F$3004,"""")&lt;&gt;""""),ROWS(B$5:B599)),"""")"),"")</f>
        <v/>
      </c>
      <c r="C5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Helper'!$F$5:$F$3004,"""")&lt;&gt;""""),ROWS(C$5:C599)),"""")"),"")</f>
        <v/>
      </c>
      <c r="D5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Helper'!$F$5:$F$3004,"""")&lt;&gt;""""),ROWS(D$5:D599)),"""")"),"")</f>
        <v/>
      </c>
      <c r="E5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Helper'!$F$5:$F$3004,"""")&lt;&gt;""""),ROWS(E$5:E599)),"""")"),"")</f>
        <v/>
      </c>
      <c r="F5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Helper'!$F$5:$F$3004,"""")&lt;&gt;""""),ROWS(F$5:F599)),IF(AND(LEFT(x,5)=""Page"&amp;" "",ISERROR(SEARCH(""–"",x))),x&amp;""–""&amp;REGEXEXTRACT(x,""[0-9]+$""),x)),"""")"),"")</f>
        <v/>
      </c>
      <c r="G599" s="163"/>
      <c r="H5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Helper'!$F$5:$F$3004,"""")&lt;&gt;""""),ROWS(H$5:H599)),"""")"),"")</f>
        <v/>
      </c>
    </row>
    <row r="600" ht="15.75" customHeight="1">
      <c r="A6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Helper'!$F$5:$F$3004,"""")&lt;&gt;""""),ROWS(A$5:A600)),"""")"),"")</f>
        <v/>
      </c>
      <c r="B6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Helper'!$F$5:$F$3004,"""")&lt;&gt;""""),ROWS(B$5:B600)),"""")"),"")</f>
        <v/>
      </c>
      <c r="C6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Helper'!$F$5:$F$3004,"""")&lt;&gt;""""),ROWS(C$5:C600)),"""")"),"")</f>
        <v/>
      </c>
      <c r="D6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Helper'!$F$5:$F$3004,"""")&lt;&gt;""""),ROWS(D$5:D600)),"""")"),"")</f>
        <v/>
      </c>
      <c r="E6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Helper'!$F$5:$F$3004,"""")&lt;&gt;""""),ROWS(E$5:E600)),"""")"),"")</f>
        <v/>
      </c>
      <c r="F6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Helper'!$F$5:$F$3004,"""")&lt;&gt;""""),ROWS(F$5:F600)),IF(AND(LEFT(x,5)=""Page"&amp;" "",ISERROR(SEARCH(""–"",x))),x&amp;""–""&amp;REGEXEXTRACT(x,""[0-9]+$""),x)),"""")"),"")</f>
        <v/>
      </c>
      <c r="G600" s="163"/>
      <c r="H6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Helper'!$F$5:$F$3004,"""")&lt;&gt;""""),ROWS(H$5:H600)),"""")"),"")</f>
        <v/>
      </c>
    </row>
    <row r="601" ht="15.75" customHeight="1">
      <c r="A6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Helper'!$F$5:$F$3004,"""")&lt;&gt;""""),ROWS(A$5:A601)),"""")"),"")</f>
        <v/>
      </c>
      <c r="B6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Helper'!$F$5:$F$3004,"""")&lt;&gt;""""),ROWS(B$5:B601)),"""")"),"")</f>
        <v/>
      </c>
      <c r="C6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Helper'!$F$5:$F$3004,"""")&lt;&gt;""""),ROWS(C$5:C601)),"""")"),"")</f>
        <v/>
      </c>
      <c r="D6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Helper'!$F$5:$F$3004,"""")&lt;&gt;""""),ROWS(D$5:D601)),"""")"),"")</f>
        <v/>
      </c>
      <c r="E6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Helper'!$F$5:$F$3004,"""")&lt;&gt;""""),ROWS(E$5:E601)),"""")"),"")</f>
        <v/>
      </c>
      <c r="F6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Helper'!$F$5:$F$3004,"""")&lt;&gt;""""),ROWS(F$5:F601)),IF(AND(LEFT(x,5)=""Page"&amp;" "",ISERROR(SEARCH(""–"",x))),x&amp;""–""&amp;REGEXEXTRACT(x,""[0-9]+$""),x)),"""")"),"")</f>
        <v/>
      </c>
      <c r="G601" s="163"/>
      <c r="H6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Helper'!$F$5:$F$3004,"""")&lt;&gt;""""),ROWS(H$5:H601)),"""")"),"")</f>
        <v/>
      </c>
    </row>
    <row r="602" ht="15.75" customHeight="1">
      <c r="A6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Helper'!$F$5:$F$3004,"""")&lt;&gt;""""),ROWS(A$5:A602)),"""")"),"")</f>
        <v/>
      </c>
      <c r="B6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Helper'!$F$5:$F$3004,"""")&lt;&gt;""""),ROWS(B$5:B602)),"""")"),"")</f>
        <v/>
      </c>
      <c r="C6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Helper'!$F$5:$F$3004,"""")&lt;&gt;""""),ROWS(C$5:C602)),"""")"),"")</f>
        <v/>
      </c>
      <c r="D6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Helper'!$F$5:$F$3004,"""")&lt;&gt;""""),ROWS(D$5:D602)),"""")"),"")</f>
        <v/>
      </c>
      <c r="E6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Helper'!$F$5:$F$3004,"""")&lt;&gt;""""),ROWS(E$5:E602)),"""")"),"")</f>
        <v/>
      </c>
      <c r="F6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Helper'!$F$5:$F$3004,"""")&lt;&gt;""""),ROWS(F$5:F602)),IF(AND(LEFT(x,5)=""Page"&amp;" "",ISERROR(SEARCH(""–"",x))),x&amp;""–""&amp;REGEXEXTRACT(x,""[0-9]+$""),x)),"""")"),"")</f>
        <v/>
      </c>
      <c r="G602" s="163"/>
      <c r="H6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Helper'!$F$5:$F$3004,"""")&lt;&gt;""""),ROWS(H$5:H602)),"""")"),"")</f>
        <v/>
      </c>
    </row>
    <row r="603" ht="15.75" customHeight="1">
      <c r="A6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Helper'!$F$5:$F$3004,"""")&lt;&gt;""""),ROWS(A$5:A603)),"""")"),"")</f>
        <v/>
      </c>
      <c r="B6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Helper'!$F$5:$F$3004,"""")&lt;&gt;""""),ROWS(B$5:B603)),"""")"),"")</f>
        <v/>
      </c>
      <c r="C6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Helper'!$F$5:$F$3004,"""")&lt;&gt;""""),ROWS(C$5:C603)),"""")"),"")</f>
        <v/>
      </c>
      <c r="D6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Helper'!$F$5:$F$3004,"""")&lt;&gt;""""),ROWS(D$5:D603)),"""")"),"")</f>
        <v/>
      </c>
      <c r="E6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Helper'!$F$5:$F$3004,"""")&lt;&gt;""""),ROWS(E$5:E603)),"""")"),"")</f>
        <v/>
      </c>
      <c r="F6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Helper'!$F$5:$F$3004,"""")&lt;&gt;""""),ROWS(F$5:F603)),IF(AND(LEFT(x,5)=""Page"&amp;" "",ISERROR(SEARCH(""–"",x))),x&amp;""–""&amp;REGEXEXTRACT(x,""[0-9]+$""),x)),"""")"),"")</f>
        <v/>
      </c>
      <c r="G603" s="163"/>
      <c r="H6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Helper'!$F$5:$F$3004,"""")&lt;&gt;""""),ROWS(H$5:H603)),"""")"),"")</f>
        <v/>
      </c>
    </row>
    <row r="604" ht="15.75" customHeight="1">
      <c r="A6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Helper'!$F$5:$F$3004,"""")&lt;&gt;""""),ROWS(A$5:A604)),"""")"),"")</f>
        <v/>
      </c>
      <c r="B6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Helper'!$F$5:$F$3004,"""")&lt;&gt;""""),ROWS(B$5:B604)),"""")"),"")</f>
        <v/>
      </c>
      <c r="C6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Helper'!$F$5:$F$3004,"""")&lt;&gt;""""),ROWS(C$5:C604)),"""")"),"")</f>
        <v/>
      </c>
      <c r="D6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Helper'!$F$5:$F$3004,"""")&lt;&gt;""""),ROWS(D$5:D604)),"""")"),"")</f>
        <v/>
      </c>
      <c r="E6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Helper'!$F$5:$F$3004,"""")&lt;&gt;""""),ROWS(E$5:E604)),"""")"),"")</f>
        <v/>
      </c>
      <c r="F6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Helper'!$F$5:$F$3004,"""")&lt;&gt;""""),ROWS(F$5:F604)),IF(AND(LEFT(x,5)=""Page"&amp;" "",ISERROR(SEARCH(""–"",x))),x&amp;""–""&amp;REGEXEXTRACT(x,""[0-9]+$""),x)),"""")"),"")</f>
        <v/>
      </c>
      <c r="G604" s="163"/>
      <c r="H6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Helper'!$F$5:$F$3004,"""")&lt;&gt;""""),ROWS(H$5:H604)),"""")"),"")</f>
        <v/>
      </c>
    </row>
    <row r="605" ht="15.75" customHeight="1">
      <c r="A6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Helper'!$F$5:$F$3004,"""")&lt;&gt;""""),ROWS(A$5:A605)),"""")"),"")</f>
        <v/>
      </c>
      <c r="B6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Helper'!$F$5:$F$3004,"""")&lt;&gt;""""),ROWS(B$5:B605)),"""")"),"")</f>
        <v/>
      </c>
      <c r="C6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Helper'!$F$5:$F$3004,"""")&lt;&gt;""""),ROWS(C$5:C605)),"""")"),"")</f>
        <v/>
      </c>
      <c r="D6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Helper'!$F$5:$F$3004,"""")&lt;&gt;""""),ROWS(D$5:D605)),"""")"),"")</f>
        <v/>
      </c>
      <c r="E6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Helper'!$F$5:$F$3004,"""")&lt;&gt;""""),ROWS(E$5:E605)),"""")"),"")</f>
        <v/>
      </c>
      <c r="F6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Helper'!$F$5:$F$3004,"""")&lt;&gt;""""),ROWS(F$5:F605)),IF(AND(LEFT(x,5)=""Page"&amp;" "",ISERROR(SEARCH(""–"",x))),x&amp;""–""&amp;REGEXEXTRACT(x,""[0-9]+$""),x)),"""")"),"")</f>
        <v/>
      </c>
      <c r="G605" s="163"/>
      <c r="H6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Helper'!$F$5:$F$3004,"""")&lt;&gt;""""),ROWS(H$5:H605)),"""")"),"")</f>
        <v/>
      </c>
    </row>
    <row r="606" ht="15.75" customHeight="1">
      <c r="A6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Helper'!$F$5:$F$3004,"""")&lt;&gt;""""),ROWS(A$5:A606)),"""")"),"")</f>
        <v/>
      </c>
      <c r="B6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Helper'!$F$5:$F$3004,"""")&lt;&gt;""""),ROWS(B$5:B606)),"""")"),"")</f>
        <v/>
      </c>
      <c r="C6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Helper'!$F$5:$F$3004,"""")&lt;&gt;""""),ROWS(C$5:C606)),"""")"),"")</f>
        <v/>
      </c>
      <c r="D6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Helper'!$F$5:$F$3004,"""")&lt;&gt;""""),ROWS(D$5:D606)),"""")"),"")</f>
        <v/>
      </c>
      <c r="E6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Helper'!$F$5:$F$3004,"""")&lt;&gt;""""),ROWS(E$5:E606)),"""")"),"")</f>
        <v/>
      </c>
      <c r="F6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Helper'!$F$5:$F$3004,"""")&lt;&gt;""""),ROWS(F$5:F606)),IF(AND(LEFT(x,5)=""Page"&amp;" "",ISERROR(SEARCH(""–"",x))),x&amp;""–""&amp;REGEXEXTRACT(x,""[0-9]+$""),x)),"""")"),"")</f>
        <v/>
      </c>
      <c r="G606" s="163"/>
      <c r="H6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Helper'!$F$5:$F$3004,"""")&lt;&gt;""""),ROWS(H$5:H606)),"""")"),"")</f>
        <v/>
      </c>
    </row>
    <row r="607" ht="15.75" customHeight="1">
      <c r="A6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Helper'!$F$5:$F$3004,"""")&lt;&gt;""""),ROWS(A$5:A607)),"""")"),"")</f>
        <v/>
      </c>
      <c r="B6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Helper'!$F$5:$F$3004,"""")&lt;&gt;""""),ROWS(B$5:B607)),"""")"),"")</f>
        <v/>
      </c>
      <c r="C6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Helper'!$F$5:$F$3004,"""")&lt;&gt;""""),ROWS(C$5:C607)),"""")"),"")</f>
        <v/>
      </c>
      <c r="D6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Helper'!$F$5:$F$3004,"""")&lt;&gt;""""),ROWS(D$5:D607)),"""")"),"")</f>
        <v/>
      </c>
      <c r="E6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Helper'!$F$5:$F$3004,"""")&lt;&gt;""""),ROWS(E$5:E607)),"""")"),"")</f>
        <v/>
      </c>
      <c r="F6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Helper'!$F$5:$F$3004,"""")&lt;&gt;""""),ROWS(F$5:F607)),IF(AND(LEFT(x,5)=""Page"&amp;" "",ISERROR(SEARCH(""–"",x))),x&amp;""–""&amp;REGEXEXTRACT(x,""[0-9]+$""),x)),"""")"),"")</f>
        <v/>
      </c>
      <c r="G607" s="163"/>
      <c r="H6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Helper'!$F$5:$F$3004,"""")&lt;&gt;""""),ROWS(H$5:H607)),"""")"),"")</f>
        <v/>
      </c>
    </row>
    <row r="608" ht="15.75" customHeight="1">
      <c r="A6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Helper'!$F$5:$F$3004,"""")&lt;&gt;""""),ROWS(A$5:A608)),"""")"),"")</f>
        <v/>
      </c>
      <c r="B6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Helper'!$F$5:$F$3004,"""")&lt;&gt;""""),ROWS(B$5:B608)),"""")"),"")</f>
        <v/>
      </c>
      <c r="C6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Helper'!$F$5:$F$3004,"""")&lt;&gt;""""),ROWS(C$5:C608)),"""")"),"")</f>
        <v/>
      </c>
      <c r="D6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Helper'!$F$5:$F$3004,"""")&lt;&gt;""""),ROWS(D$5:D608)),"""")"),"")</f>
        <v/>
      </c>
      <c r="E6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Helper'!$F$5:$F$3004,"""")&lt;&gt;""""),ROWS(E$5:E608)),"""")"),"")</f>
        <v/>
      </c>
      <c r="F6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Helper'!$F$5:$F$3004,"""")&lt;&gt;""""),ROWS(F$5:F608)),IF(AND(LEFT(x,5)=""Page"&amp;" "",ISERROR(SEARCH(""–"",x))),x&amp;""–""&amp;REGEXEXTRACT(x,""[0-9]+$""),x)),"""")"),"")</f>
        <v/>
      </c>
      <c r="G608" s="163"/>
      <c r="H6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Helper'!$F$5:$F$3004,"""")&lt;&gt;""""),ROWS(H$5:H608)),"""")"),"")</f>
        <v/>
      </c>
    </row>
    <row r="609" ht="15.75" customHeight="1">
      <c r="A6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Helper'!$F$5:$F$3004,"""")&lt;&gt;""""),ROWS(A$5:A609)),"""")"),"")</f>
        <v/>
      </c>
      <c r="B6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Helper'!$F$5:$F$3004,"""")&lt;&gt;""""),ROWS(B$5:B609)),"""")"),"")</f>
        <v/>
      </c>
      <c r="C6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Helper'!$F$5:$F$3004,"""")&lt;&gt;""""),ROWS(C$5:C609)),"""")"),"")</f>
        <v/>
      </c>
      <c r="D6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Helper'!$F$5:$F$3004,"""")&lt;&gt;""""),ROWS(D$5:D609)),"""")"),"")</f>
        <v/>
      </c>
      <c r="E6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Helper'!$F$5:$F$3004,"""")&lt;&gt;""""),ROWS(E$5:E609)),"""")"),"")</f>
        <v/>
      </c>
      <c r="F6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Helper'!$F$5:$F$3004,"""")&lt;&gt;""""),ROWS(F$5:F609)),IF(AND(LEFT(x,5)=""Page"&amp;" "",ISERROR(SEARCH(""–"",x))),x&amp;""–""&amp;REGEXEXTRACT(x,""[0-9]+$""),x)),"""")"),"")</f>
        <v/>
      </c>
      <c r="G609" s="163"/>
      <c r="H6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Helper'!$F$5:$F$3004,"""")&lt;&gt;""""),ROWS(H$5:H609)),"""")"),"")</f>
        <v/>
      </c>
    </row>
    <row r="610" ht="15.75" customHeight="1">
      <c r="A6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Helper'!$F$5:$F$3004,"""")&lt;&gt;""""),ROWS(A$5:A610)),"""")"),"")</f>
        <v/>
      </c>
      <c r="B6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Helper'!$F$5:$F$3004,"""")&lt;&gt;""""),ROWS(B$5:B610)),"""")"),"")</f>
        <v/>
      </c>
      <c r="C6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Helper'!$F$5:$F$3004,"""")&lt;&gt;""""),ROWS(C$5:C610)),"""")"),"")</f>
        <v/>
      </c>
      <c r="D6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Helper'!$F$5:$F$3004,"""")&lt;&gt;""""),ROWS(D$5:D610)),"""")"),"")</f>
        <v/>
      </c>
      <c r="E6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Helper'!$F$5:$F$3004,"""")&lt;&gt;""""),ROWS(E$5:E610)),"""")"),"")</f>
        <v/>
      </c>
      <c r="F6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Helper'!$F$5:$F$3004,"""")&lt;&gt;""""),ROWS(F$5:F610)),IF(AND(LEFT(x,5)=""Page"&amp;" "",ISERROR(SEARCH(""–"",x))),x&amp;""–""&amp;REGEXEXTRACT(x,""[0-9]+$""),x)),"""")"),"")</f>
        <v/>
      </c>
      <c r="G610" s="163"/>
      <c r="H6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Helper'!$F$5:$F$3004,"""")&lt;&gt;""""),ROWS(H$5:H610)),"""")"),"")</f>
        <v/>
      </c>
    </row>
    <row r="611" ht="15.75" customHeight="1">
      <c r="A6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Helper'!$F$5:$F$3004,"""")&lt;&gt;""""),ROWS(A$5:A611)),"""")"),"")</f>
        <v/>
      </c>
      <c r="B6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Helper'!$F$5:$F$3004,"""")&lt;&gt;""""),ROWS(B$5:B611)),"""")"),"")</f>
        <v/>
      </c>
      <c r="C6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Helper'!$F$5:$F$3004,"""")&lt;&gt;""""),ROWS(C$5:C611)),"""")"),"")</f>
        <v/>
      </c>
      <c r="D6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Helper'!$F$5:$F$3004,"""")&lt;&gt;""""),ROWS(D$5:D611)),"""")"),"")</f>
        <v/>
      </c>
      <c r="E6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Helper'!$F$5:$F$3004,"""")&lt;&gt;""""),ROWS(E$5:E611)),"""")"),"")</f>
        <v/>
      </c>
      <c r="F6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Helper'!$F$5:$F$3004,"""")&lt;&gt;""""),ROWS(F$5:F611)),IF(AND(LEFT(x,5)=""Page"&amp;" "",ISERROR(SEARCH(""–"",x))),x&amp;""–""&amp;REGEXEXTRACT(x,""[0-9]+$""),x)),"""")"),"")</f>
        <v/>
      </c>
      <c r="G611" s="163"/>
      <c r="H6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Helper'!$F$5:$F$3004,"""")&lt;&gt;""""),ROWS(H$5:H611)),"""")"),"")</f>
        <v/>
      </c>
    </row>
    <row r="612" ht="15.75" customHeight="1">
      <c r="A6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Helper'!$F$5:$F$3004,"""")&lt;&gt;""""),ROWS(A$5:A612)),"""")"),"")</f>
        <v/>
      </c>
      <c r="B6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Helper'!$F$5:$F$3004,"""")&lt;&gt;""""),ROWS(B$5:B612)),"""")"),"")</f>
        <v/>
      </c>
      <c r="C6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Helper'!$F$5:$F$3004,"""")&lt;&gt;""""),ROWS(C$5:C612)),"""")"),"")</f>
        <v/>
      </c>
      <c r="D6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Helper'!$F$5:$F$3004,"""")&lt;&gt;""""),ROWS(D$5:D612)),"""")"),"")</f>
        <v/>
      </c>
      <c r="E6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Helper'!$F$5:$F$3004,"""")&lt;&gt;""""),ROWS(E$5:E612)),"""")"),"")</f>
        <v/>
      </c>
      <c r="F6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Helper'!$F$5:$F$3004,"""")&lt;&gt;""""),ROWS(F$5:F612)),IF(AND(LEFT(x,5)=""Page"&amp;" "",ISERROR(SEARCH(""–"",x))),x&amp;""–""&amp;REGEXEXTRACT(x,""[0-9]+$""),x)),"""")"),"")</f>
        <v/>
      </c>
      <c r="G612" s="163"/>
      <c r="H6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Helper'!$F$5:$F$3004,"""")&lt;&gt;""""),ROWS(H$5:H612)),"""")"),"")</f>
        <v/>
      </c>
    </row>
    <row r="613" ht="15.75" customHeight="1">
      <c r="A6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Helper'!$F$5:$F$3004,"""")&lt;&gt;""""),ROWS(A$5:A613)),"""")"),"")</f>
        <v/>
      </c>
      <c r="B6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Helper'!$F$5:$F$3004,"""")&lt;&gt;""""),ROWS(B$5:B613)),"""")"),"")</f>
        <v/>
      </c>
      <c r="C6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Helper'!$F$5:$F$3004,"""")&lt;&gt;""""),ROWS(C$5:C613)),"""")"),"")</f>
        <v/>
      </c>
      <c r="D6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Helper'!$F$5:$F$3004,"""")&lt;&gt;""""),ROWS(D$5:D613)),"""")"),"")</f>
        <v/>
      </c>
      <c r="E6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Helper'!$F$5:$F$3004,"""")&lt;&gt;""""),ROWS(E$5:E613)),"""")"),"")</f>
        <v/>
      </c>
      <c r="F6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Helper'!$F$5:$F$3004,"""")&lt;&gt;""""),ROWS(F$5:F613)),IF(AND(LEFT(x,5)=""Page"&amp;" "",ISERROR(SEARCH(""–"",x))),x&amp;""–""&amp;REGEXEXTRACT(x,""[0-9]+$""),x)),"""")"),"")</f>
        <v/>
      </c>
      <c r="G613" s="163"/>
      <c r="H6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Helper'!$F$5:$F$3004,"""")&lt;&gt;""""),ROWS(H$5:H613)),"""")"),"")</f>
        <v/>
      </c>
    </row>
    <row r="614" ht="15.75" customHeight="1">
      <c r="A6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Helper'!$F$5:$F$3004,"""")&lt;&gt;""""),ROWS(A$5:A614)),"""")"),"")</f>
        <v/>
      </c>
      <c r="B6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Helper'!$F$5:$F$3004,"""")&lt;&gt;""""),ROWS(B$5:B614)),"""")"),"")</f>
        <v/>
      </c>
      <c r="C6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Helper'!$F$5:$F$3004,"""")&lt;&gt;""""),ROWS(C$5:C614)),"""")"),"")</f>
        <v/>
      </c>
      <c r="D6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Helper'!$F$5:$F$3004,"""")&lt;&gt;""""),ROWS(D$5:D614)),"""")"),"")</f>
        <v/>
      </c>
      <c r="E6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Helper'!$F$5:$F$3004,"""")&lt;&gt;""""),ROWS(E$5:E614)),"""")"),"")</f>
        <v/>
      </c>
      <c r="F6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Helper'!$F$5:$F$3004,"""")&lt;&gt;""""),ROWS(F$5:F614)),IF(AND(LEFT(x,5)=""Page"&amp;" "",ISERROR(SEARCH(""–"",x))),x&amp;""–""&amp;REGEXEXTRACT(x,""[0-9]+$""),x)),"""")"),"")</f>
        <v/>
      </c>
      <c r="G614" s="163"/>
      <c r="H6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Helper'!$F$5:$F$3004,"""")&lt;&gt;""""),ROWS(H$5:H614)),"""")"),"")</f>
        <v/>
      </c>
    </row>
    <row r="615" ht="15.75" customHeight="1">
      <c r="A6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Helper'!$F$5:$F$3004,"""")&lt;&gt;""""),ROWS(A$5:A615)),"""")"),"")</f>
        <v/>
      </c>
      <c r="B6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Helper'!$F$5:$F$3004,"""")&lt;&gt;""""),ROWS(B$5:B615)),"""")"),"")</f>
        <v/>
      </c>
      <c r="C6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Helper'!$F$5:$F$3004,"""")&lt;&gt;""""),ROWS(C$5:C615)),"""")"),"")</f>
        <v/>
      </c>
      <c r="D6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Helper'!$F$5:$F$3004,"""")&lt;&gt;""""),ROWS(D$5:D615)),"""")"),"")</f>
        <v/>
      </c>
      <c r="E6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Helper'!$F$5:$F$3004,"""")&lt;&gt;""""),ROWS(E$5:E615)),"""")"),"")</f>
        <v/>
      </c>
      <c r="F6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Helper'!$F$5:$F$3004,"""")&lt;&gt;""""),ROWS(F$5:F615)),IF(AND(LEFT(x,5)=""Page"&amp;" "",ISERROR(SEARCH(""–"",x))),x&amp;""–""&amp;REGEXEXTRACT(x,""[0-9]+$""),x)),"""")"),"")</f>
        <v/>
      </c>
      <c r="G615" s="163"/>
      <c r="H6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Helper'!$F$5:$F$3004,"""")&lt;&gt;""""),ROWS(H$5:H615)),"""")"),"")</f>
        <v/>
      </c>
    </row>
    <row r="616" ht="15.75" customHeight="1">
      <c r="A6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Helper'!$F$5:$F$3004,"""")&lt;&gt;""""),ROWS(A$5:A616)),"""")"),"")</f>
        <v/>
      </c>
      <c r="B6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Helper'!$F$5:$F$3004,"""")&lt;&gt;""""),ROWS(B$5:B616)),"""")"),"")</f>
        <v/>
      </c>
      <c r="C6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Helper'!$F$5:$F$3004,"""")&lt;&gt;""""),ROWS(C$5:C616)),"""")"),"")</f>
        <v/>
      </c>
      <c r="D6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Helper'!$F$5:$F$3004,"""")&lt;&gt;""""),ROWS(D$5:D616)),"""")"),"")</f>
        <v/>
      </c>
      <c r="E6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Helper'!$F$5:$F$3004,"""")&lt;&gt;""""),ROWS(E$5:E616)),"""")"),"")</f>
        <v/>
      </c>
      <c r="F6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Helper'!$F$5:$F$3004,"""")&lt;&gt;""""),ROWS(F$5:F616)),IF(AND(LEFT(x,5)=""Page"&amp;" "",ISERROR(SEARCH(""–"",x))),x&amp;""–""&amp;REGEXEXTRACT(x,""[0-9]+$""),x)),"""")"),"")</f>
        <v/>
      </c>
      <c r="G616" s="163"/>
      <c r="H6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Helper'!$F$5:$F$3004,"""")&lt;&gt;""""),ROWS(H$5:H616)),"""")"),"")</f>
        <v/>
      </c>
    </row>
    <row r="617" ht="15.75" customHeight="1">
      <c r="A6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Helper'!$F$5:$F$3004,"""")&lt;&gt;""""),ROWS(A$5:A617)),"""")"),"")</f>
        <v/>
      </c>
      <c r="B6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Helper'!$F$5:$F$3004,"""")&lt;&gt;""""),ROWS(B$5:B617)),"""")"),"")</f>
        <v/>
      </c>
      <c r="C6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Helper'!$F$5:$F$3004,"""")&lt;&gt;""""),ROWS(C$5:C617)),"""")"),"")</f>
        <v/>
      </c>
      <c r="D6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Helper'!$F$5:$F$3004,"""")&lt;&gt;""""),ROWS(D$5:D617)),"""")"),"")</f>
        <v/>
      </c>
      <c r="E6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Helper'!$F$5:$F$3004,"""")&lt;&gt;""""),ROWS(E$5:E617)),"""")"),"")</f>
        <v/>
      </c>
      <c r="F6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Helper'!$F$5:$F$3004,"""")&lt;&gt;""""),ROWS(F$5:F617)),IF(AND(LEFT(x,5)=""Page"&amp;" "",ISERROR(SEARCH(""–"",x))),x&amp;""–""&amp;REGEXEXTRACT(x,""[0-9]+$""),x)),"""")"),"")</f>
        <v/>
      </c>
      <c r="G617" s="163"/>
      <c r="H6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Helper'!$F$5:$F$3004,"""")&lt;&gt;""""),ROWS(H$5:H617)),"""")"),"")</f>
        <v/>
      </c>
    </row>
    <row r="618" ht="15.75" customHeight="1">
      <c r="A6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Helper'!$F$5:$F$3004,"""")&lt;&gt;""""),ROWS(A$5:A618)),"""")"),"")</f>
        <v/>
      </c>
      <c r="B6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Helper'!$F$5:$F$3004,"""")&lt;&gt;""""),ROWS(B$5:B618)),"""")"),"")</f>
        <v/>
      </c>
      <c r="C6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Helper'!$F$5:$F$3004,"""")&lt;&gt;""""),ROWS(C$5:C618)),"""")"),"")</f>
        <v/>
      </c>
      <c r="D6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Helper'!$F$5:$F$3004,"""")&lt;&gt;""""),ROWS(D$5:D618)),"""")"),"")</f>
        <v/>
      </c>
      <c r="E6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Helper'!$F$5:$F$3004,"""")&lt;&gt;""""),ROWS(E$5:E618)),"""")"),"")</f>
        <v/>
      </c>
      <c r="F6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Helper'!$F$5:$F$3004,"""")&lt;&gt;""""),ROWS(F$5:F618)),IF(AND(LEFT(x,5)=""Page"&amp;" "",ISERROR(SEARCH(""–"",x))),x&amp;""–""&amp;REGEXEXTRACT(x,""[0-9]+$""),x)),"""")"),"")</f>
        <v/>
      </c>
      <c r="G618" s="163"/>
      <c r="H6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Helper'!$F$5:$F$3004,"""")&lt;&gt;""""),ROWS(H$5:H618)),"""")"),"")</f>
        <v/>
      </c>
    </row>
    <row r="619" ht="15.75" customHeight="1">
      <c r="A6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Helper'!$F$5:$F$3004,"""")&lt;&gt;""""),ROWS(A$5:A619)),"""")"),"")</f>
        <v/>
      </c>
      <c r="B6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Helper'!$F$5:$F$3004,"""")&lt;&gt;""""),ROWS(B$5:B619)),"""")"),"")</f>
        <v/>
      </c>
      <c r="C6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Helper'!$F$5:$F$3004,"""")&lt;&gt;""""),ROWS(C$5:C619)),"""")"),"")</f>
        <v/>
      </c>
      <c r="D6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Helper'!$F$5:$F$3004,"""")&lt;&gt;""""),ROWS(D$5:D619)),"""")"),"")</f>
        <v/>
      </c>
      <c r="E6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Helper'!$F$5:$F$3004,"""")&lt;&gt;""""),ROWS(E$5:E619)),"""")"),"")</f>
        <v/>
      </c>
      <c r="F6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Helper'!$F$5:$F$3004,"""")&lt;&gt;""""),ROWS(F$5:F619)),IF(AND(LEFT(x,5)=""Page"&amp;" "",ISERROR(SEARCH(""–"",x))),x&amp;""–""&amp;REGEXEXTRACT(x,""[0-9]+$""),x)),"""")"),"")</f>
        <v/>
      </c>
      <c r="G619" s="163"/>
      <c r="H6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Helper'!$F$5:$F$3004,"""")&lt;&gt;""""),ROWS(H$5:H619)),"""")"),"")</f>
        <v/>
      </c>
    </row>
    <row r="620" ht="15.75" customHeight="1">
      <c r="A6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Helper'!$F$5:$F$3004,"""")&lt;&gt;""""),ROWS(A$5:A620)),"""")"),"")</f>
        <v/>
      </c>
      <c r="B6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Helper'!$F$5:$F$3004,"""")&lt;&gt;""""),ROWS(B$5:B620)),"""")"),"")</f>
        <v/>
      </c>
      <c r="C6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Helper'!$F$5:$F$3004,"""")&lt;&gt;""""),ROWS(C$5:C620)),"""")"),"")</f>
        <v/>
      </c>
      <c r="D6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Helper'!$F$5:$F$3004,"""")&lt;&gt;""""),ROWS(D$5:D620)),"""")"),"")</f>
        <v/>
      </c>
      <c r="E6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Helper'!$F$5:$F$3004,"""")&lt;&gt;""""),ROWS(E$5:E620)),"""")"),"")</f>
        <v/>
      </c>
      <c r="F6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Helper'!$F$5:$F$3004,"""")&lt;&gt;""""),ROWS(F$5:F620)),IF(AND(LEFT(x,5)=""Page"&amp;" "",ISERROR(SEARCH(""–"",x))),x&amp;""–""&amp;REGEXEXTRACT(x,""[0-9]+$""),x)),"""")"),"")</f>
        <v/>
      </c>
      <c r="G620" s="163"/>
      <c r="H6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Helper'!$F$5:$F$3004,"""")&lt;&gt;""""),ROWS(H$5:H620)),"""")"),"")</f>
        <v/>
      </c>
    </row>
    <row r="621" ht="15.75" customHeight="1">
      <c r="A6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Helper'!$F$5:$F$3004,"""")&lt;&gt;""""),ROWS(A$5:A621)),"""")"),"")</f>
        <v/>
      </c>
      <c r="B6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Helper'!$F$5:$F$3004,"""")&lt;&gt;""""),ROWS(B$5:B621)),"""")"),"")</f>
        <v/>
      </c>
      <c r="C6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Helper'!$F$5:$F$3004,"""")&lt;&gt;""""),ROWS(C$5:C621)),"""")"),"")</f>
        <v/>
      </c>
      <c r="D6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Helper'!$F$5:$F$3004,"""")&lt;&gt;""""),ROWS(D$5:D621)),"""")"),"")</f>
        <v/>
      </c>
      <c r="E6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Helper'!$F$5:$F$3004,"""")&lt;&gt;""""),ROWS(E$5:E621)),"""")"),"")</f>
        <v/>
      </c>
      <c r="F6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Helper'!$F$5:$F$3004,"""")&lt;&gt;""""),ROWS(F$5:F621)),IF(AND(LEFT(x,5)=""Page"&amp;" "",ISERROR(SEARCH(""–"",x))),x&amp;""–""&amp;REGEXEXTRACT(x,""[0-9]+$""),x)),"""")"),"")</f>
        <v/>
      </c>
      <c r="G621" s="163"/>
      <c r="H6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Helper'!$F$5:$F$3004,"""")&lt;&gt;""""),ROWS(H$5:H621)),"""")"),"")</f>
        <v/>
      </c>
    </row>
    <row r="622" ht="15.75" customHeight="1">
      <c r="A6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Helper'!$F$5:$F$3004,"""")&lt;&gt;""""),ROWS(A$5:A622)),"""")"),"")</f>
        <v/>
      </c>
      <c r="B6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Helper'!$F$5:$F$3004,"""")&lt;&gt;""""),ROWS(B$5:B622)),"""")"),"")</f>
        <v/>
      </c>
      <c r="C6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Helper'!$F$5:$F$3004,"""")&lt;&gt;""""),ROWS(C$5:C622)),"""")"),"")</f>
        <v/>
      </c>
      <c r="D6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Helper'!$F$5:$F$3004,"""")&lt;&gt;""""),ROWS(D$5:D622)),"""")"),"")</f>
        <v/>
      </c>
      <c r="E6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Helper'!$F$5:$F$3004,"""")&lt;&gt;""""),ROWS(E$5:E622)),"""")"),"")</f>
        <v/>
      </c>
      <c r="F6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Helper'!$F$5:$F$3004,"""")&lt;&gt;""""),ROWS(F$5:F622)),IF(AND(LEFT(x,5)=""Page"&amp;" "",ISERROR(SEARCH(""–"",x))),x&amp;""–""&amp;REGEXEXTRACT(x,""[0-9]+$""),x)),"""")"),"")</f>
        <v/>
      </c>
      <c r="G622" s="163"/>
      <c r="H6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Helper'!$F$5:$F$3004,"""")&lt;&gt;""""),ROWS(H$5:H622)),"""")"),"")</f>
        <v/>
      </c>
    </row>
    <row r="623" ht="15.75" customHeight="1">
      <c r="A6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Helper'!$F$5:$F$3004,"""")&lt;&gt;""""),ROWS(A$5:A623)),"""")"),"")</f>
        <v/>
      </c>
      <c r="B6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Helper'!$F$5:$F$3004,"""")&lt;&gt;""""),ROWS(B$5:B623)),"""")"),"")</f>
        <v/>
      </c>
      <c r="C6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Helper'!$F$5:$F$3004,"""")&lt;&gt;""""),ROWS(C$5:C623)),"""")"),"")</f>
        <v/>
      </c>
      <c r="D6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Helper'!$F$5:$F$3004,"""")&lt;&gt;""""),ROWS(D$5:D623)),"""")"),"")</f>
        <v/>
      </c>
      <c r="E6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Helper'!$F$5:$F$3004,"""")&lt;&gt;""""),ROWS(E$5:E623)),"""")"),"")</f>
        <v/>
      </c>
      <c r="F6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Helper'!$F$5:$F$3004,"""")&lt;&gt;""""),ROWS(F$5:F623)),IF(AND(LEFT(x,5)=""Page"&amp;" "",ISERROR(SEARCH(""–"",x))),x&amp;""–""&amp;REGEXEXTRACT(x,""[0-9]+$""),x)),"""")"),"")</f>
        <v/>
      </c>
      <c r="G623" s="163"/>
      <c r="H6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Helper'!$F$5:$F$3004,"""")&lt;&gt;""""),ROWS(H$5:H623)),"""")"),"")</f>
        <v/>
      </c>
    </row>
    <row r="624" ht="15.75" customHeight="1">
      <c r="A6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Helper'!$F$5:$F$3004,"""")&lt;&gt;""""),ROWS(A$5:A624)),"""")"),"")</f>
        <v/>
      </c>
      <c r="B6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Helper'!$F$5:$F$3004,"""")&lt;&gt;""""),ROWS(B$5:B624)),"""")"),"")</f>
        <v/>
      </c>
      <c r="C6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Helper'!$F$5:$F$3004,"""")&lt;&gt;""""),ROWS(C$5:C624)),"""")"),"")</f>
        <v/>
      </c>
      <c r="D6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Helper'!$F$5:$F$3004,"""")&lt;&gt;""""),ROWS(D$5:D624)),"""")"),"")</f>
        <v/>
      </c>
      <c r="E6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Helper'!$F$5:$F$3004,"""")&lt;&gt;""""),ROWS(E$5:E624)),"""")"),"")</f>
        <v/>
      </c>
      <c r="F6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Helper'!$F$5:$F$3004,"""")&lt;&gt;""""),ROWS(F$5:F624)),IF(AND(LEFT(x,5)=""Page"&amp;" "",ISERROR(SEARCH(""–"",x))),x&amp;""–""&amp;REGEXEXTRACT(x,""[0-9]+$""),x)),"""")"),"")</f>
        <v/>
      </c>
      <c r="G624" s="163"/>
      <c r="H6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Helper'!$F$5:$F$3004,"""")&lt;&gt;""""),ROWS(H$5:H624)),"""")"),"")</f>
        <v/>
      </c>
    </row>
    <row r="625" ht="15.75" customHeight="1">
      <c r="A6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Helper'!$F$5:$F$3004,"""")&lt;&gt;""""),ROWS(A$5:A625)),"""")"),"")</f>
        <v/>
      </c>
      <c r="B6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Helper'!$F$5:$F$3004,"""")&lt;&gt;""""),ROWS(B$5:B625)),"""")"),"")</f>
        <v/>
      </c>
      <c r="C6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Helper'!$F$5:$F$3004,"""")&lt;&gt;""""),ROWS(C$5:C625)),"""")"),"")</f>
        <v/>
      </c>
      <c r="D6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Helper'!$F$5:$F$3004,"""")&lt;&gt;""""),ROWS(D$5:D625)),"""")"),"")</f>
        <v/>
      </c>
      <c r="E6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Helper'!$F$5:$F$3004,"""")&lt;&gt;""""),ROWS(E$5:E625)),"""")"),"")</f>
        <v/>
      </c>
      <c r="F6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Helper'!$F$5:$F$3004,"""")&lt;&gt;""""),ROWS(F$5:F625)),IF(AND(LEFT(x,5)=""Page"&amp;" "",ISERROR(SEARCH(""–"",x))),x&amp;""–""&amp;REGEXEXTRACT(x,""[0-9]+$""),x)),"""")"),"")</f>
        <v/>
      </c>
      <c r="G625" s="163"/>
      <c r="H6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Helper'!$F$5:$F$3004,"""")&lt;&gt;""""),ROWS(H$5:H625)),"""")"),"")</f>
        <v/>
      </c>
    </row>
    <row r="626" ht="15.75" customHeight="1">
      <c r="A6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Helper'!$F$5:$F$3004,"""")&lt;&gt;""""),ROWS(A$5:A626)),"""")"),"")</f>
        <v/>
      </c>
      <c r="B6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Helper'!$F$5:$F$3004,"""")&lt;&gt;""""),ROWS(B$5:B626)),"""")"),"")</f>
        <v/>
      </c>
      <c r="C6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Helper'!$F$5:$F$3004,"""")&lt;&gt;""""),ROWS(C$5:C626)),"""")"),"")</f>
        <v/>
      </c>
      <c r="D6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Helper'!$F$5:$F$3004,"""")&lt;&gt;""""),ROWS(D$5:D626)),"""")"),"")</f>
        <v/>
      </c>
      <c r="E6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Helper'!$F$5:$F$3004,"""")&lt;&gt;""""),ROWS(E$5:E626)),"""")"),"")</f>
        <v/>
      </c>
      <c r="F6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Helper'!$F$5:$F$3004,"""")&lt;&gt;""""),ROWS(F$5:F626)),IF(AND(LEFT(x,5)=""Page"&amp;" "",ISERROR(SEARCH(""–"",x))),x&amp;""–""&amp;REGEXEXTRACT(x,""[0-9]+$""),x)),"""")"),"")</f>
        <v/>
      </c>
      <c r="G626" s="163"/>
      <c r="H6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Helper'!$F$5:$F$3004,"""")&lt;&gt;""""),ROWS(H$5:H626)),"""")"),"")</f>
        <v/>
      </c>
    </row>
    <row r="627" ht="15.75" customHeight="1">
      <c r="A6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Helper'!$F$5:$F$3004,"""")&lt;&gt;""""),ROWS(A$5:A627)),"""")"),"")</f>
        <v/>
      </c>
      <c r="B6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Helper'!$F$5:$F$3004,"""")&lt;&gt;""""),ROWS(B$5:B627)),"""")"),"")</f>
        <v/>
      </c>
      <c r="C6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Helper'!$F$5:$F$3004,"""")&lt;&gt;""""),ROWS(C$5:C627)),"""")"),"")</f>
        <v/>
      </c>
      <c r="D6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Helper'!$F$5:$F$3004,"""")&lt;&gt;""""),ROWS(D$5:D627)),"""")"),"")</f>
        <v/>
      </c>
      <c r="E6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Helper'!$F$5:$F$3004,"""")&lt;&gt;""""),ROWS(E$5:E627)),"""")"),"")</f>
        <v/>
      </c>
      <c r="F6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Helper'!$F$5:$F$3004,"""")&lt;&gt;""""),ROWS(F$5:F627)),IF(AND(LEFT(x,5)=""Page"&amp;" "",ISERROR(SEARCH(""–"",x))),x&amp;""–""&amp;REGEXEXTRACT(x,""[0-9]+$""),x)),"""")"),"")</f>
        <v/>
      </c>
      <c r="G627" s="163"/>
      <c r="H6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Helper'!$F$5:$F$3004,"""")&lt;&gt;""""),ROWS(H$5:H627)),"""")"),"")</f>
        <v/>
      </c>
    </row>
    <row r="628" ht="15.75" customHeight="1">
      <c r="A6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Helper'!$F$5:$F$3004,"""")&lt;&gt;""""),ROWS(A$5:A628)),"""")"),"")</f>
        <v/>
      </c>
      <c r="B6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Helper'!$F$5:$F$3004,"""")&lt;&gt;""""),ROWS(B$5:B628)),"""")"),"")</f>
        <v/>
      </c>
      <c r="C6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Helper'!$F$5:$F$3004,"""")&lt;&gt;""""),ROWS(C$5:C628)),"""")"),"")</f>
        <v/>
      </c>
      <c r="D6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Helper'!$F$5:$F$3004,"""")&lt;&gt;""""),ROWS(D$5:D628)),"""")"),"")</f>
        <v/>
      </c>
      <c r="E6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Helper'!$F$5:$F$3004,"""")&lt;&gt;""""),ROWS(E$5:E628)),"""")"),"")</f>
        <v/>
      </c>
      <c r="F6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Helper'!$F$5:$F$3004,"""")&lt;&gt;""""),ROWS(F$5:F628)),IF(AND(LEFT(x,5)=""Page"&amp;" "",ISERROR(SEARCH(""–"",x))),x&amp;""–""&amp;REGEXEXTRACT(x,""[0-9]+$""),x)),"""")"),"")</f>
        <v/>
      </c>
      <c r="G628" s="163"/>
      <c r="H6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Helper'!$F$5:$F$3004,"""")&lt;&gt;""""),ROWS(H$5:H628)),"""")"),"")</f>
        <v/>
      </c>
    </row>
    <row r="629" ht="15.75" customHeight="1">
      <c r="A6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Helper'!$F$5:$F$3004,"""")&lt;&gt;""""),ROWS(A$5:A629)),"""")"),"")</f>
        <v/>
      </c>
      <c r="B6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Helper'!$F$5:$F$3004,"""")&lt;&gt;""""),ROWS(B$5:B629)),"""")"),"")</f>
        <v/>
      </c>
      <c r="C6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Helper'!$F$5:$F$3004,"""")&lt;&gt;""""),ROWS(C$5:C629)),"""")"),"")</f>
        <v/>
      </c>
      <c r="D6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Helper'!$F$5:$F$3004,"""")&lt;&gt;""""),ROWS(D$5:D629)),"""")"),"")</f>
        <v/>
      </c>
      <c r="E6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Helper'!$F$5:$F$3004,"""")&lt;&gt;""""),ROWS(E$5:E629)),"""")"),"")</f>
        <v/>
      </c>
      <c r="F6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Helper'!$F$5:$F$3004,"""")&lt;&gt;""""),ROWS(F$5:F629)),IF(AND(LEFT(x,5)=""Page"&amp;" "",ISERROR(SEARCH(""–"",x))),x&amp;""–""&amp;REGEXEXTRACT(x,""[0-9]+$""),x)),"""")"),"")</f>
        <v/>
      </c>
      <c r="G629" s="163"/>
      <c r="H6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Helper'!$F$5:$F$3004,"""")&lt;&gt;""""),ROWS(H$5:H629)),"""")"),"")</f>
        <v/>
      </c>
    </row>
    <row r="630" ht="15.75" customHeight="1">
      <c r="A6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Helper'!$F$5:$F$3004,"""")&lt;&gt;""""),ROWS(A$5:A630)),"""")"),"")</f>
        <v/>
      </c>
      <c r="B6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Helper'!$F$5:$F$3004,"""")&lt;&gt;""""),ROWS(B$5:B630)),"""")"),"")</f>
        <v/>
      </c>
      <c r="C6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Helper'!$F$5:$F$3004,"""")&lt;&gt;""""),ROWS(C$5:C630)),"""")"),"")</f>
        <v/>
      </c>
      <c r="D6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Helper'!$F$5:$F$3004,"""")&lt;&gt;""""),ROWS(D$5:D630)),"""")"),"")</f>
        <v/>
      </c>
      <c r="E6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Helper'!$F$5:$F$3004,"""")&lt;&gt;""""),ROWS(E$5:E630)),"""")"),"")</f>
        <v/>
      </c>
      <c r="F6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Helper'!$F$5:$F$3004,"""")&lt;&gt;""""),ROWS(F$5:F630)),IF(AND(LEFT(x,5)=""Page"&amp;" "",ISERROR(SEARCH(""–"",x))),x&amp;""–""&amp;REGEXEXTRACT(x,""[0-9]+$""),x)),"""")"),"")</f>
        <v/>
      </c>
      <c r="G630" s="163"/>
      <c r="H6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Helper'!$F$5:$F$3004,"""")&lt;&gt;""""),ROWS(H$5:H630)),"""")"),"")</f>
        <v/>
      </c>
    </row>
    <row r="631" ht="15.75" customHeight="1">
      <c r="A6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Helper'!$F$5:$F$3004,"""")&lt;&gt;""""),ROWS(A$5:A631)),"""")"),"")</f>
        <v/>
      </c>
      <c r="B6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Helper'!$F$5:$F$3004,"""")&lt;&gt;""""),ROWS(B$5:B631)),"""")"),"")</f>
        <v/>
      </c>
      <c r="C6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Helper'!$F$5:$F$3004,"""")&lt;&gt;""""),ROWS(C$5:C631)),"""")"),"")</f>
        <v/>
      </c>
      <c r="D6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Helper'!$F$5:$F$3004,"""")&lt;&gt;""""),ROWS(D$5:D631)),"""")"),"")</f>
        <v/>
      </c>
      <c r="E6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Helper'!$F$5:$F$3004,"""")&lt;&gt;""""),ROWS(E$5:E631)),"""")"),"")</f>
        <v/>
      </c>
      <c r="F6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Helper'!$F$5:$F$3004,"""")&lt;&gt;""""),ROWS(F$5:F631)),IF(AND(LEFT(x,5)=""Page"&amp;" "",ISERROR(SEARCH(""–"",x))),x&amp;""–""&amp;REGEXEXTRACT(x,""[0-9]+$""),x)),"""")"),"")</f>
        <v/>
      </c>
      <c r="G631" s="163"/>
      <c r="H6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Helper'!$F$5:$F$3004,"""")&lt;&gt;""""),ROWS(H$5:H631)),"""")"),"")</f>
        <v/>
      </c>
    </row>
    <row r="632" ht="15.75" customHeight="1">
      <c r="A6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Helper'!$F$5:$F$3004,"""")&lt;&gt;""""),ROWS(A$5:A632)),"""")"),"")</f>
        <v/>
      </c>
      <c r="B6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Helper'!$F$5:$F$3004,"""")&lt;&gt;""""),ROWS(B$5:B632)),"""")"),"")</f>
        <v/>
      </c>
      <c r="C6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Helper'!$F$5:$F$3004,"""")&lt;&gt;""""),ROWS(C$5:C632)),"""")"),"")</f>
        <v/>
      </c>
      <c r="D6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Helper'!$F$5:$F$3004,"""")&lt;&gt;""""),ROWS(D$5:D632)),"""")"),"")</f>
        <v/>
      </c>
      <c r="E6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Helper'!$F$5:$F$3004,"""")&lt;&gt;""""),ROWS(E$5:E632)),"""")"),"")</f>
        <v/>
      </c>
      <c r="F6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Helper'!$F$5:$F$3004,"""")&lt;&gt;""""),ROWS(F$5:F632)),IF(AND(LEFT(x,5)=""Page"&amp;" "",ISERROR(SEARCH(""–"",x))),x&amp;""–""&amp;REGEXEXTRACT(x,""[0-9]+$""),x)),"""")"),"")</f>
        <v/>
      </c>
      <c r="G632" s="163"/>
      <c r="H6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Helper'!$F$5:$F$3004,"""")&lt;&gt;""""),ROWS(H$5:H632)),"""")"),"")</f>
        <v/>
      </c>
    </row>
    <row r="633" ht="15.75" customHeight="1">
      <c r="A6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Helper'!$F$5:$F$3004,"""")&lt;&gt;""""),ROWS(A$5:A633)),"""")"),"")</f>
        <v/>
      </c>
      <c r="B6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Helper'!$F$5:$F$3004,"""")&lt;&gt;""""),ROWS(B$5:B633)),"""")"),"")</f>
        <v/>
      </c>
      <c r="C6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Helper'!$F$5:$F$3004,"""")&lt;&gt;""""),ROWS(C$5:C633)),"""")"),"")</f>
        <v/>
      </c>
      <c r="D6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Helper'!$F$5:$F$3004,"""")&lt;&gt;""""),ROWS(D$5:D633)),"""")"),"")</f>
        <v/>
      </c>
      <c r="E6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Helper'!$F$5:$F$3004,"""")&lt;&gt;""""),ROWS(E$5:E633)),"""")"),"")</f>
        <v/>
      </c>
      <c r="F6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Helper'!$F$5:$F$3004,"""")&lt;&gt;""""),ROWS(F$5:F633)),IF(AND(LEFT(x,5)=""Page"&amp;" "",ISERROR(SEARCH(""–"",x))),x&amp;""–""&amp;REGEXEXTRACT(x,""[0-9]+$""),x)),"""")"),"")</f>
        <v/>
      </c>
      <c r="G633" s="163"/>
      <c r="H6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Helper'!$F$5:$F$3004,"""")&lt;&gt;""""),ROWS(H$5:H633)),"""")"),"")</f>
        <v/>
      </c>
    </row>
    <row r="634" ht="15.75" customHeight="1">
      <c r="A6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Helper'!$F$5:$F$3004,"""")&lt;&gt;""""),ROWS(A$5:A634)),"""")"),"")</f>
        <v/>
      </c>
      <c r="B6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Helper'!$F$5:$F$3004,"""")&lt;&gt;""""),ROWS(B$5:B634)),"""")"),"")</f>
        <v/>
      </c>
      <c r="C6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Helper'!$F$5:$F$3004,"""")&lt;&gt;""""),ROWS(C$5:C634)),"""")"),"")</f>
        <v/>
      </c>
      <c r="D6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Helper'!$F$5:$F$3004,"""")&lt;&gt;""""),ROWS(D$5:D634)),"""")"),"")</f>
        <v/>
      </c>
      <c r="E6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Helper'!$F$5:$F$3004,"""")&lt;&gt;""""),ROWS(E$5:E634)),"""")"),"")</f>
        <v/>
      </c>
      <c r="F6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Helper'!$F$5:$F$3004,"""")&lt;&gt;""""),ROWS(F$5:F634)),IF(AND(LEFT(x,5)=""Page"&amp;" "",ISERROR(SEARCH(""–"",x))),x&amp;""–""&amp;REGEXEXTRACT(x,""[0-9]+$""),x)),"""")"),"")</f>
        <v/>
      </c>
      <c r="G634" s="163"/>
      <c r="H6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Helper'!$F$5:$F$3004,"""")&lt;&gt;""""),ROWS(H$5:H634)),"""")"),"")</f>
        <v/>
      </c>
    </row>
    <row r="635" ht="15.75" customHeight="1">
      <c r="A6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Helper'!$F$5:$F$3004,"""")&lt;&gt;""""),ROWS(A$5:A635)),"""")"),"")</f>
        <v/>
      </c>
      <c r="B6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Helper'!$F$5:$F$3004,"""")&lt;&gt;""""),ROWS(B$5:B635)),"""")"),"")</f>
        <v/>
      </c>
      <c r="C6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Helper'!$F$5:$F$3004,"""")&lt;&gt;""""),ROWS(C$5:C635)),"""")"),"")</f>
        <v/>
      </c>
      <c r="D6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Helper'!$F$5:$F$3004,"""")&lt;&gt;""""),ROWS(D$5:D635)),"""")"),"")</f>
        <v/>
      </c>
      <c r="E6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Helper'!$F$5:$F$3004,"""")&lt;&gt;""""),ROWS(E$5:E635)),"""")"),"")</f>
        <v/>
      </c>
      <c r="F6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Helper'!$F$5:$F$3004,"""")&lt;&gt;""""),ROWS(F$5:F635)),IF(AND(LEFT(x,5)=""Page"&amp;" "",ISERROR(SEARCH(""–"",x))),x&amp;""–""&amp;REGEXEXTRACT(x,""[0-9]+$""),x)),"""")"),"")</f>
        <v/>
      </c>
      <c r="G635" s="163"/>
      <c r="H6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Helper'!$F$5:$F$3004,"""")&lt;&gt;""""),ROWS(H$5:H635)),"""")"),"")</f>
        <v/>
      </c>
    </row>
    <row r="636" ht="15.75" customHeight="1">
      <c r="A6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Helper'!$F$5:$F$3004,"""")&lt;&gt;""""),ROWS(A$5:A636)),"""")"),"")</f>
        <v/>
      </c>
      <c r="B6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Helper'!$F$5:$F$3004,"""")&lt;&gt;""""),ROWS(B$5:B636)),"""")"),"")</f>
        <v/>
      </c>
      <c r="C6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Helper'!$F$5:$F$3004,"""")&lt;&gt;""""),ROWS(C$5:C636)),"""")"),"")</f>
        <v/>
      </c>
      <c r="D6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Helper'!$F$5:$F$3004,"""")&lt;&gt;""""),ROWS(D$5:D636)),"""")"),"")</f>
        <v/>
      </c>
      <c r="E6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Helper'!$F$5:$F$3004,"""")&lt;&gt;""""),ROWS(E$5:E636)),"""")"),"")</f>
        <v/>
      </c>
      <c r="F6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Helper'!$F$5:$F$3004,"""")&lt;&gt;""""),ROWS(F$5:F636)),IF(AND(LEFT(x,5)=""Page"&amp;" "",ISERROR(SEARCH(""–"",x))),x&amp;""–""&amp;REGEXEXTRACT(x,""[0-9]+$""),x)),"""")"),"")</f>
        <v/>
      </c>
      <c r="G636" s="163"/>
      <c r="H6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Helper'!$F$5:$F$3004,"""")&lt;&gt;""""),ROWS(H$5:H636)),"""")"),"")</f>
        <v/>
      </c>
    </row>
    <row r="637" ht="15.75" customHeight="1">
      <c r="A6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Helper'!$F$5:$F$3004,"""")&lt;&gt;""""),ROWS(A$5:A637)),"""")"),"")</f>
        <v/>
      </c>
      <c r="B6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Helper'!$F$5:$F$3004,"""")&lt;&gt;""""),ROWS(B$5:B637)),"""")"),"")</f>
        <v/>
      </c>
      <c r="C6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Helper'!$F$5:$F$3004,"""")&lt;&gt;""""),ROWS(C$5:C637)),"""")"),"")</f>
        <v/>
      </c>
      <c r="D6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Helper'!$F$5:$F$3004,"""")&lt;&gt;""""),ROWS(D$5:D637)),"""")"),"")</f>
        <v/>
      </c>
      <c r="E6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Helper'!$F$5:$F$3004,"""")&lt;&gt;""""),ROWS(E$5:E637)),"""")"),"")</f>
        <v/>
      </c>
      <c r="F6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Helper'!$F$5:$F$3004,"""")&lt;&gt;""""),ROWS(F$5:F637)),IF(AND(LEFT(x,5)=""Page"&amp;" "",ISERROR(SEARCH(""–"",x))),x&amp;""–""&amp;REGEXEXTRACT(x,""[0-9]+$""),x)),"""")"),"")</f>
        <v/>
      </c>
      <c r="G637" s="163"/>
      <c r="H6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Helper'!$F$5:$F$3004,"""")&lt;&gt;""""),ROWS(H$5:H637)),"""")"),"")</f>
        <v/>
      </c>
    </row>
    <row r="638" ht="15.75" customHeight="1">
      <c r="A6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Helper'!$F$5:$F$3004,"""")&lt;&gt;""""),ROWS(A$5:A638)),"""")"),"")</f>
        <v/>
      </c>
      <c r="B6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Helper'!$F$5:$F$3004,"""")&lt;&gt;""""),ROWS(B$5:B638)),"""")"),"")</f>
        <v/>
      </c>
      <c r="C6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Helper'!$F$5:$F$3004,"""")&lt;&gt;""""),ROWS(C$5:C638)),"""")"),"")</f>
        <v/>
      </c>
      <c r="D6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Helper'!$F$5:$F$3004,"""")&lt;&gt;""""),ROWS(D$5:D638)),"""")"),"")</f>
        <v/>
      </c>
      <c r="E6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Helper'!$F$5:$F$3004,"""")&lt;&gt;""""),ROWS(E$5:E638)),"""")"),"")</f>
        <v/>
      </c>
      <c r="F6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Helper'!$F$5:$F$3004,"""")&lt;&gt;""""),ROWS(F$5:F638)),IF(AND(LEFT(x,5)=""Page"&amp;" "",ISERROR(SEARCH(""–"",x))),x&amp;""–""&amp;REGEXEXTRACT(x,""[0-9]+$""),x)),"""")"),"")</f>
        <v/>
      </c>
      <c r="G638" s="163"/>
      <c r="H6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Helper'!$F$5:$F$3004,"""")&lt;&gt;""""),ROWS(H$5:H638)),"""")"),"")</f>
        <v/>
      </c>
    </row>
    <row r="639" ht="15.75" customHeight="1">
      <c r="A6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Helper'!$F$5:$F$3004,"""")&lt;&gt;""""),ROWS(A$5:A639)),"""")"),"")</f>
        <v/>
      </c>
      <c r="B6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Helper'!$F$5:$F$3004,"""")&lt;&gt;""""),ROWS(B$5:B639)),"""")"),"")</f>
        <v/>
      </c>
      <c r="C6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Helper'!$F$5:$F$3004,"""")&lt;&gt;""""),ROWS(C$5:C639)),"""")"),"")</f>
        <v/>
      </c>
      <c r="D6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Helper'!$F$5:$F$3004,"""")&lt;&gt;""""),ROWS(D$5:D639)),"""")"),"")</f>
        <v/>
      </c>
      <c r="E6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Helper'!$F$5:$F$3004,"""")&lt;&gt;""""),ROWS(E$5:E639)),"""")"),"")</f>
        <v/>
      </c>
      <c r="F6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Helper'!$F$5:$F$3004,"""")&lt;&gt;""""),ROWS(F$5:F639)),IF(AND(LEFT(x,5)=""Page"&amp;" "",ISERROR(SEARCH(""–"",x))),x&amp;""–""&amp;REGEXEXTRACT(x,""[0-9]+$""),x)),"""")"),"")</f>
        <v/>
      </c>
      <c r="G639" s="163"/>
      <c r="H6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Helper'!$F$5:$F$3004,"""")&lt;&gt;""""),ROWS(H$5:H639)),"""")"),"")</f>
        <v/>
      </c>
    </row>
    <row r="640" ht="15.75" customHeight="1">
      <c r="A6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Helper'!$F$5:$F$3004,"""")&lt;&gt;""""),ROWS(A$5:A640)),"""")"),"")</f>
        <v/>
      </c>
      <c r="B6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Helper'!$F$5:$F$3004,"""")&lt;&gt;""""),ROWS(B$5:B640)),"""")"),"")</f>
        <v/>
      </c>
      <c r="C6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Helper'!$F$5:$F$3004,"""")&lt;&gt;""""),ROWS(C$5:C640)),"""")"),"")</f>
        <v/>
      </c>
      <c r="D6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Helper'!$F$5:$F$3004,"""")&lt;&gt;""""),ROWS(D$5:D640)),"""")"),"")</f>
        <v/>
      </c>
      <c r="E6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Helper'!$F$5:$F$3004,"""")&lt;&gt;""""),ROWS(E$5:E640)),"""")"),"")</f>
        <v/>
      </c>
      <c r="F6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Helper'!$F$5:$F$3004,"""")&lt;&gt;""""),ROWS(F$5:F640)),IF(AND(LEFT(x,5)=""Page"&amp;" "",ISERROR(SEARCH(""–"",x))),x&amp;""–""&amp;REGEXEXTRACT(x,""[0-9]+$""),x)),"""")"),"")</f>
        <v/>
      </c>
      <c r="G640" s="163"/>
      <c r="H6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Helper'!$F$5:$F$3004,"""")&lt;&gt;""""),ROWS(H$5:H640)),"""")"),"")</f>
        <v/>
      </c>
    </row>
    <row r="641" ht="15.75" customHeight="1">
      <c r="A6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Helper'!$F$5:$F$3004,"""")&lt;&gt;""""),ROWS(A$5:A641)),"""")"),"")</f>
        <v/>
      </c>
      <c r="B6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Helper'!$F$5:$F$3004,"""")&lt;&gt;""""),ROWS(B$5:B641)),"""")"),"")</f>
        <v/>
      </c>
      <c r="C6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Helper'!$F$5:$F$3004,"""")&lt;&gt;""""),ROWS(C$5:C641)),"""")"),"")</f>
        <v/>
      </c>
      <c r="D6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Helper'!$F$5:$F$3004,"""")&lt;&gt;""""),ROWS(D$5:D641)),"""")"),"")</f>
        <v/>
      </c>
      <c r="E6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Helper'!$F$5:$F$3004,"""")&lt;&gt;""""),ROWS(E$5:E641)),"""")"),"")</f>
        <v/>
      </c>
      <c r="F6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Helper'!$F$5:$F$3004,"""")&lt;&gt;""""),ROWS(F$5:F641)),IF(AND(LEFT(x,5)=""Page"&amp;" "",ISERROR(SEARCH(""–"",x))),x&amp;""–""&amp;REGEXEXTRACT(x,""[0-9]+$""),x)),"""")"),"")</f>
        <v/>
      </c>
      <c r="G641" s="163"/>
      <c r="H6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Helper'!$F$5:$F$3004,"""")&lt;&gt;""""),ROWS(H$5:H641)),"""")"),"")</f>
        <v/>
      </c>
    </row>
    <row r="642" ht="15.75" customHeight="1">
      <c r="A6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Helper'!$F$5:$F$3004,"""")&lt;&gt;""""),ROWS(A$5:A642)),"""")"),"")</f>
        <v/>
      </c>
      <c r="B6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Helper'!$F$5:$F$3004,"""")&lt;&gt;""""),ROWS(B$5:B642)),"""")"),"")</f>
        <v/>
      </c>
      <c r="C6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Helper'!$F$5:$F$3004,"""")&lt;&gt;""""),ROWS(C$5:C642)),"""")"),"")</f>
        <v/>
      </c>
      <c r="D6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Helper'!$F$5:$F$3004,"""")&lt;&gt;""""),ROWS(D$5:D642)),"""")"),"")</f>
        <v/>
      </c>
      <c r="E6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Helper'!$F$5:$F$3004,"""")&lt;&gt;""""),ROWS(E$5:E642)),"""")"),"")</f>
        <v/>
      </c>
      <c r="F6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Helper'!$F$5:$F$3004,"""")&lt;&gt;""""),ROWS(F$5:F642)),IF(AND(LEFT(x,5)=""Page"&amp;" "",ISERROR(SEARCH(""–"",x))),x&amp;""–""&amp;REGEXEXTRACT(x,""[0-9]+$""),x)),"""")"),"")</f>
        <v/>
      </c>
      <c r="G642" s="163"/>
      <c r="H6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Helper'!$F$5:$F$3004,"""")&lt;&gt;""""),ROWS(H$5:H642)),"""")"),"")</f>
        <v/>
      </c>
    </row>
    <row r="643" ht="15.75" customHeight="1">
      <c r="A6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Helper'!$F$5:$F$3004,"""")&lt;&gt;""""),ROWS(A$5:A643)),"""")"),"")</f>
        <v/>
      </c>
      <c r="B6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Helper'!$F$5:$F$3004,"""")&lt;&gt;""""),ROWS(B$5:B643)),"""")"),"")</f>
        <v/>
      </c>
      <c r="C6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Helper'!$F$5:$F$3004,"""")&lt;&gt;""""),ROWS(C$5:C643)),"""")"),"")</f>
        <v/>
      </c>
      <c r="D6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Helper'!$F$5:$F$3004,"""")&lt;&gt;""""),ROWS(D$5:D643)),"""")"),"")</f>
        <v/>
      </c>
      <c r="E6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Helper'!$F$5:$F$3004,"""")&lt;&gt;""""),ROWS(E$5:E643)),"""")"),"")</f>
        <v/>
      </c>
      <c r="F6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Helper'!$F$5:$F$3004,"""")&lt;&gt;""""),ROWS(F$5:F643)),IF(AND(LEFT(x,5)=""Page"&amp;" "",ISERROR(SEARCH(""–"",x))),x&amp;""–""&amp;REGEXEXTRACT(x,""[0-9]+$""),x)),"""")"),"")</f>
        <v/>
      </c>
      <c r="G643" s="163"/>
      <c r="H6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Helper'!$F$5:$F$3004,"""")&lt;&gt;""""),ROWS(H$5:H643)),"""")"),"")</f>
        <v/>
      </c>
    </row>
    <row r="644" ht="15.75" customHeight="1">
      <c r="A6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Helper'!$F$5:$F$3004,"""")&lt;&gt;""""),ROWS(A$5:A644)),"""")"),"")</f>
        <v/>
      </c>
      <c r="B6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Helper'!$F$5:$F$3004,"""")&lt;&gt;""""),ROWS(B$5:B644)),"""")"),"")</f>
        <v/>
      </c>
      <c r="C6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Helper'!$F$5:$F$3004,"""")&lt;&gt;""""),ROWS(C$5:C644)),"""")"),"")</f>
        <v/>
      </c>
      <c r="D6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Helper'!$F$5:$F$3004,"""")&lt;&gt;""""),ROWS(D$5:D644)),"""")"),"")</f>
        <v/>
      </c>
      <c r="E6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Helper'!$F$5:$F$3004,"""")&lt;&gt;""""),ROWS(E$5:E644)),"""")"),"")</f>
        <v/>
      </c>
      <c r="F6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Helper'!$F$5:$F$3004,"""")&lt;&gt;""""),ROWS(F$5:F644)),IF(AND(LEFT(x,5)=""Page"&amp;" "",ISERROR(SEARCH(""–"",x))),x&amp;""–""&amp;REGEXEXTRACT(x,""[0-9]+$""),x)),"""")"),"")</f>
        <v/>
      </c>
      <c r="G644" s="163"/>
      <c r="H6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Helper'!$F$5:$F$3004,"""")&lt;&gt;""""),ROWS(H$5:H644)),"""")"),"")</f>
        <v/>
      </c>
    </row>
    <row r="645" ht="15.75" customHeight="1">
      <c r="A6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Helper'!$F$5:$F$3004,"""")&lt;&gt;""""),ROWS(A$5:A645)),"""")"),"")</f>
        <v/>
      </c>
      <c r="B6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Helper'!$F$5:$F$3004,"""")&lt;&gt;""""),ROWS(B$5:B645)),"""")"),"")</f>
        <v/>
      </c>
      <c r="C6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Helper'!$F$5:$F$3004,"""")&lt;&gt;""""),ROWS(C$5:C645)),"""")"),"")</f>
        <v/>
      </c>
      <c r="D6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Helper'!$F$5:$F$3004,"""")&lt;&gt;""""),ROWS(D$5:D645)),"""")"),"")</f>
        <v/>
      </c>
      <c r="E6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Helper'!$F$5:$F$3004,"""")&lt;&gt;""""),ROWS(E$5:E645)),"""")"),"")</f>
        <v/>
      </c>
      <c r="F6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Helper'!$F$5:$F$3004,"""")&lt;&gt;""""),ROWS(F$5:F645)),IF(AND(LEFT(x,5)=""Page"&amp;" "",ISERROR(SEARCH(""–"",x))),x&amp;""–""&amp;REGEXEXTRACT(x,""[0-9]+$""),x)),"""")"),"")</f>
        <v/>
      </c>
      <c r="G645" s="163"/>
      <c r="H6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Helper'!$F$5:$F$3004,"""")&lt;&gt;""""),ROWS(H$5:H645)),"""")"),"")</f>
        <v/>
      </c>
    </row>
    <row r="646" ht="15.75" customHeight="1">
      <c r="A6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Helper'!$F$5:$F$3004,"""")&lt;&gt;""""),ROWS(A$5:A646)),"""")"),"")</f>
        <v/>
      </c>
      <c r="B6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Helper'!$F$5:$F$3004,"""")&lt;&gt;""""),ROWS(B$5:B646)),"""")"),"")</f>
        <v/>
      </c>
      <c r="C6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Helper'!$F$5:$F$3004,"""")&lt;&gt;""""),ROWS(C$5:C646)),"""")"),"")</f>
        <v/>
      </c>
      <c r="D6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Helper'!$F$5:$F$3004,"""")&lt;&gt;""""),ROWS(D$5:D646)),"""")"),"")</f>
        <v/>
      </c>
      <c r="E6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Helper'!$F$5:$F$3004,"""")&lt;&gt;""""),ROWS(E$5:E646)),"""")"),"")</f>
        <v/>
      </c>
      <c r="F6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Helper'!$F$5:$F$3004,"""")&lt;&gt;""""),ROWS(F$5:F646)),IF(AND(LEFT(x,5)=""Page"&amp;" "",ISERROR(SEARCH(""–"",x))),x&amp;""–""&amp;REGEXEXTRACT(x,""[0-9]+$""),x)),"""")"),"")</f>
        <v/>
      </c>
      <c r="G646" s="163"/>
      <c r="H6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Helper'!$F$5:$F$3004,"""")&lt;&gt;""""),ROWS(H$5:H646)),"""")"),"")</f>
        <v/>
      </c>
    </row>
    <row r="647" ht="15.75" customHeight="1">
      <c r="A6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Helper'!$F$5:$F$3004,"""")&lt;&gt;""""),ROWS(A$5:A647)),"""")"),"")</f>
        <v/>
      </c>
      <c r="B6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Helper'!$F$5:$F$3004,"""")&lt;&gt;""""),ROWS(B$5:B647)),"""")"),"")</f>
        <v/>
      </c>
      <c r="C6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Helper'!$F$5:$F$3004,"""")&lt;&gt;""""),ROWS(C$5:C647)),"""")"),"")</f>
        <v/>
      </c>
      <c r="D6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Helper'!$F$5:$F$3004,"""")&lt;&gt;""""),ROWS(D$5:D647)),"""")"),"")</f>
        <v/>
      </c>
      <c r="E6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Helper'!$F$5:$F$3004,"""")&lt;&gt;""""),ROWS(E$5:E647)),"""")"),"")</f>
        <v/>
      </c>
      <c r="F6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Helper'!$F$5:$F$3004,"""")&lt;&gt;""""),ROWS(F$5:F647)),IF(AND(LEFT(x,5)=""Page"&amp;" "",ISERROR(SEARCH(""–"",x))),x&amp;""–""&amp;REGEXEXTRACT(x,""[0-9]+$""),x)),"""")"),"")</f>
        <v/>
      </c>
      <c r="G647" s="163"/>
      <c r="H6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Helper'!$F$5:$F$3004,"""")&lt;&gt;""""),ROWS(H$5:H647)),"""")"),"")</f>
        <v/>
      </c>
    </row>
    <row r="648" ht="15.75" customHeight="1">
      <c r="A6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Helper'!$F$5:$F$3004,"""")&lt;&gt;""""),ROWS(A$5:A648)),"""")"),"")</f>
        <v/>
      </c>
      <c r="B6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Helper'!$F$5:$F$3004,"""")&lt;&gt;""""),ROWS(B$5:B648)),"""")"),"")</f>
        <v/>
      </c>
      <c r="C6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Helper'!$F$5:$F$3004,"""")&lt;&gt;""""),ROWS(C$5:C648)),"""")"),"")</f>
        <v/>
      </c>
      <c r="D6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Helper'!$F$5:$F$3004,"""")&lt;&gt;""""),ROWS(D$5:D648)),"""")"),"")</f>
        <v/>
      </c>
      <c r="E6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Helper'!$F$5:$F$3004,"""")&lt;&gt;""""),ROWS(E$5:E648)),"""")"),"")</f>
        <v/>
      </c>
      <c r="F6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Helper'!$F$5:$F$3004,"""")&lt;&gt;""""),ROWS(F$5:F648)),IF(AND(LEFT(x,5)=""Page"&amp;" "",ISERROR(SEARCH(""–"",x))),x&amp;""–""&amp;REGEXEXTRACT(x,""[0-9]+$""),x)),"""")"),"")</f>
        <v/>
      </c>
      <c r="G648" s="163"/>
      <c r="H6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Helper'!$F$5:$F$3004,"""")&lt;&gt;""""),ROWS(H$5:H648)),"""")"),"")</f>
        <v/>
      </c>
    </row>
    <row r="649" ht="15.75" customHeight="1">
      <c r="A6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Helper'!$F$5:$F$3004,"""")&lt;&gt;""""),ROWS(A$5:A649)),"""")"),"")</f>
        <v/>
      </c>
      <c r="B6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Helper'!$F$5:$F$3004,"""")&lt;&gt;""""),ROWS(B$5:B649)),"""")"),"")</f>
        <v/>
      </c>
      <c r="C6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Helper'!$F$5:$F$3004,"""")&lt;&gt;""""),ROWS(C$5:C649)),"""")"),"")</f>
        <v/>
      </c>
      <c r="D6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Helper'!$F$5:$F$3004,"""")&lt;&gt;""""),ROWS(D$5:D649)),"""")"),"")</f>
        <v/>
      </c>
      <c r="E6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Helper'!$F$5:$F$3004,"""")&lt;&gt;""""),ROWS(E$5:E649)),"""")"),"")</f>
        <v/>
      </c>
      <c r="F6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Helper'!$F$5:$F$3004,"""")&lt;&gt;""""),ROWS(F$5:F649)),IF(AND(LEFT(x,5)=""Page"&amp;" "",ISERROR(SEARCH(""–"",x))),x&amp;""–""&amp;REGEXEXTRACT(x,""[0-9]+$""),x)),"""")"),"")</f>
        <v/>
      </c>
      <c r="G649" s="163"/>
      <c r="H6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Helper'!$F$5:$F$3004,"""")&lt;&gt;""""),ROWS(H$5:H649)),"""")"),"")</f>
        <v/>
      </c>
    </row>
    <row r="650" ht="15.75" customHeight="1">
      <c r="A6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Helper'!$F$5:$F$3004,"""")&lt;&gt;""""),ROWS(A$5:A650)),"""")"),"")</f>
        <v/>
      </c>
      <c r="B6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Helper'!$F$5:$F$3004,"""")&lt;&gt;""""),ROWS(B$5:B650)),"""")"),"")</f>
        <v/>
      </c>
      <c r="C6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Helper'!$F$5:$F$3004,"""")&lt;&gt;""""),ROWS(C$5:C650)),"""")"),"")</f>
        <v/>
      </c>
      <c r="D6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Helper'!$F$5:$F$3004,"""")&lt;&gt;""""),ROWS(D$5:D650)),"""")"),"")</f>
        <v/>
      </c>
      <c r="E6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Helper'!$F$5:$F$3004,"""")&lt;&gt;""""),ROWS(E$5:E650)),"""")"),"")</f>
        <v/>
      </c>
      <c r="F6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Helper'!$F$5:$F$3004,"""")&lt;&gt;""""),ROWS(F$5:F650)),IF(AND(LEFT(x,5)=""Page"&amp;" "",ISERROR(SEARCH(""–"",x))),x&amp;""–""&amp;REGEXEXTRACT(x,""[0-9]+$""),x)),"""")"),"")</f>
        <v/>
      </c>
      <c r="G650" s="163"/>
      <c r="H6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Helper'!$F$5:$F$3004,"""")&lt;&gt;""""),ROWS(H$5:H650)),"""")"),"")</f>
        <v/>
      </c>
    </row>
    <row r="651" ht="15.75" customHeight="1">
      <c r="A6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Helper'!$F$5:$F$3004,"""")&lt;&gt;""""),ROWS(A$5:A651)),"""")"),"")</f>
        <v/>
      </c>
      <c r="B6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Helper'!$F$5:$F$3004,"""")&lt;&gt;""""),ROWS(B$5:B651)),"""")"),"")</f>
        <v/>
      </c>
      <c r="C6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Helper'!$F$5:$F$3004,"""")&lt;&gt;""""),ROWS(C$5:C651)),"""")"),"")</f>
        <v/>
      </c>
      <c r="D6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Helper'!$F$5:$F$3004,"""")&lt;&gt;""""),ROWS(D$5:D651)),"""")"),"")</f>
        <v/>
      </c>
      <c r="E6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Helper'!$F$5:$F$3004,"""")&lt;&gt;""""),ROWS(E$5:E651)),"""")"),"")</f>
        <v/>
      </c>
      <c r="F6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Helper'!$F$5:$F$3004,"""")&lt;&gt;""""),ROWS(F$5:F651)),IF(AND(LEFT(x,5)=""Page"&amp;" "",ISERROR(SEARCH(""–"",x))),x&amp;""–""&amp;REGEXEXTRACT(x,""[0-9]+$""),x)),"""")"),"")</f>
        <v/>
      </c>
      <c r="G651" s="163"/>
      <c r="H6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Helper'!$F$5:$F$3004,"""")&lt;&gt;""""),ROWS(H$5:H651)),"""")"),"")</f>
        <v/>
      </c>
    </row>
    <row r="652" ht="15.75" customHeight="1">
      <c r="A6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Helper'!$F$5:$F$3004,"""")&lt;&gt;""""),ROWS(A$5:A652)),"""")"),"")</f>
        <v/>
      </c>
      <c r="B6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Helper'!$F$5:$F$3004,"""")&lt;&gt;""""),ROWS(B$5:B652)),"""")"),"")</f>
        <v/>
      </c>
      <c r="C6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Helper'!$F$5:$F$3004,"""")&lt;&gt;""""),ROWS(C$5:C652)),"""")"),"")</f>
        <v/>
      </c>
      <c r="D6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Helper'!$F$5:$F$3004,"""")&lt;&gt;""""),ROWS(D$5:D652)),"""")"),"")</f>
        <v/>
      </c>
      <c r="E6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Helper'!$F$5:$F$3004,"""")&lt;&gt;""""),ROWS(E$5:E652)),"""")"),"")</f>
        <v/>
      </c>
      <c r="F6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Helper'!$F$5:$F$3004,"""")&lt;&gt;""""),ROWS(F$5:F652)),IF(AND(LEFT(x,5)=""Page"&amp;" "",ISERROR(SEARCH(""–"",x))),x&amp;""–""&amp;REGEXEXTRACT(x,""[0-9]+$""),x)),"""")"),"")</f>
        <v/>
      </c>
      <c r="G652" s="163"/>
      <c r="H6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Helper'!$F$5:$F$3004,"""")&lt;&gt;""""),ROWS(H$5:H652)),"""")"),"")</f>
        <v/>
      </c>
    </row>
    <row r="653" ht="15.75" customHeight="1">
      <c r="A6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Helper'!$F$5:$F$3004,"""")&lt;&gt;""""),ROWS(A$5:A653)),"""")"),"")</f>
        <v/>
      </c>
      <c r="B6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Helper'!$F$5:$F$3004,"""")&lt;&gt;""""),ROWS(B$5:B653)),"""")"),"")</f>
        <v/>
      </c>
      <c r="C6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Helper'!$F$5:$F$3004,"""")&lt;&gt;""""),ROWS(C$5:C653)),"""")"),"")</f>
        <v/>
      </c>
      <c r="D6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Helper'!$F$5:$F$3004,"""")&lt;&gt;""""),ROWS(D$5:D653)),"""")"),"")</f>
        <v/>
      </c>
      <c r="E6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Helper'!$F$5:$F$3004,"""")&lt;&gt;""""),ROWS(E$5:E653)),"""")"),"")</f>
        <v/>
      </c>
      <c r="F6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Helper'!$F$5:$F$3004,"""")&lt;&gt;""""),ROWS(F$5:F653)),IF(AND(LEFT(x,5)=""Page"&amp;" "",ISERROR(SEARCH(""–"",x))),x&amp;""–""&amp;REGEXEXTRACT(x,""[0-9]+$""),x)),"""")"),"")</f>
        <v/>
      </c>
      <c r="G653" s="163"/>
      <c r="H6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Helper'!$F$5:$F$3004,"""")&lt;&gt;""""),ROWS(H$5:H653)),"""")"),"")</f>
        <v/>
      </c>
    </row>
    <row r="654" ht="15.75" customHeight="1">
      <c r="A6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Helper'!$F$5:$F$3004,"""")&lt;&gt;""""),ROWS(A$5:A654)),"""")"),"")</f>
        <v/>
      </c>
      <c r="B6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Helper'!$F$5:$F$3004,"""")&lt;&gt;""""),ROWS(B$5:B654)),"""")"),"")</f>
        <v/>
      </c>
      <c r="C6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Helper'!$F$5:$F$3004,"""")&lt;&gt;""""),ROWS(C$5:C654)),"""")"),"")</f>
        <v/>
      </c>
      <c r="D6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Helper'!$F$5:$F$3004,"""")&lt;&gt;""""),ROWS(D$5:D654)),"""")"),"")</f>
        <v/>
      </c>
      <c r="E6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Helper'!$F$5:$F$3004,"""")&lt;&gt;""""),ROWS(E$5:E654)),"""")"),"")</f>
        <v/>
      </c>
      <c r="F6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Helper'!$F$5:$F$3004,"""")&lt;&gt;""""),ROWS(F$5:F654)),IF(AND(LEFT(x,5)=""Page"&amp;" "",ISERROR(SEARCH(""–"",x))),x&amp;""–""&amp;REGEXEXTRACT(x,""[0-9]+$""),x)),"""")"),"")</f>
        <v/>
      </c>
      <c r="G654" s="163"/>
      <c r="H6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Helper'!$F$5:$F$3004,"""")&lt;&gt;""""),ROWS(H$5:H654)),"""")"),"")</f>
        <v/>
      </c>
    </row>
    <row r="655" ht="15.75" customHeight="1">
      <c r="A6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Helper'!$F$5:$F$3004,"""")&lt;&gt;""""),ROWS(A$5:A655)),"""")"),"")</f>
        <v/>
      </c>
      <c r="B6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Helper'!$F$5:$F$3004,"""")&lt;&gt;""""),ROWS(B$5:B655)),"""")"),"")</f>
        <v/>
      </c>
      <c r="C6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Helper'!$F$5:$F$3004,"""")&lt;&gt;""""),ROWS(C$5:C655)),"""")"),"")</f>
        <v/>
      </c>
      <c r="D6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Helper'!$F$5:$F$3004,"""")&lt;&gt;""""),ROWS(D$5:D655)),"""")"),"")</f>
        <v/>
      </c>
      <c r="E6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Helper'!$F$5:$F$3004,"""")&lt;&gt;""""),ROWS(E$5:E655)),"""")"),"")</f>
        <v/>
      </c>
      <c r="F6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Helper'!$F$5:$F$3004,"""")&lt;&gt;""""),ROWS(F$5:F655)),IF(AND(LEFT(x,5)=""Page"&amp;" "",ISERROR(SEARCH(""–"",x))),x&amp;""–""&amp;REGEXEXTRACT(x,""[0-9]+$""),x)),"""")"),"")</f>
        <v/>
      </c>
      <c r="G655" s="163"/>
      <c r="H6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Helper'!$F$5:$F$3004,"""")&lt;&gt;""""),ROWS(H$5:H655)),"""")"),"")</f>
        <v/>
      </c>
    </row>
    <row r="656" ht="15.75" customHeight="1">
      <c r="A6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Helper'!$F$5:$F$3004,"""")&lt;&gt;""""),ROWS(A$5:A656)),"""")"),"")</f>
        <v/>
      </c>
      <c r="B6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Helper'!$F$5:$F$3004,"""")&lt;&gt;""""),ROWS(B$5:B656)),"""")"),"")</f>
        <v/>
      </c>
      <c r="C6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Helper'!$F$5:$F$3004,"""")&lt;&gt;""""),ROWS(C$5:C656)),"""")"),"")</f>
        <v/>
      </c>
      <c r="D6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Helper'!$F$5:$F$3004,"""")&lt;&gt;""""),ROWS(D$5:D656)),"""")"),"")</f>
        <v/>
      </c>
      <c r="E6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Helper'!$F$5:$F$3004,"""")&lt;&gt;""""),ROWS(E$5:E656)),"""")"),"")</f>
        <v/>
      </c>
      <c r="F6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Helper'!$F$5:$F$3004,"""")&lt;&gt;""""),ROWS(F$5:F656)),IF(AND(LEFT(x,5)=""Page"&amp;" "",ISERROR(SEARCH(""–"",x))),x&amp;""–""&amp;REGEXEXTRACT(x,""[0-9]+$""),x)),"""")"),"")</f>
        <v/>
      </c>
      <c r="G656" s="163"/>
      <c r="H6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Helper'!$F$5:$F$3004,"""")&lt;&gt;""""),ROWS(H$5:H656)),"""")"),"")</f>
        <v/>
      </c>
    </row>
    <row r="657" ht="15.75" customHeight="1">
      <c r="A6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Helper'!$F$5:$F$3004,"""")&lt;&gt;""""),ROWS(A$5:A657)),"""")"),"")</f>
        <v/>
      </c>
      <c r="B6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Helper'!$F$5:$F$3004,"""")&lt;&gt;""""),ROWS(B$5:B657)),"""")"),"")</f>
        <v/>
      </c>
      <c r="C6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Helper'!$F$5:$F$3004,"""")&lt;&gt;""""),ROWS(C$5:C657)),"""")"),"")</f>
        <v/>
      </c>
      <c r="D6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Helper'!$F$5:$F$3004,"""")&lt;&gt;""""),ROWS(D$5:D657)),"""")"),"")</f>
        <v/>
      </c>
      <c r="E6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Helper'!$F$5:$F$3004,"""")&lt;&gt;""""),ROWS(E$5:E657)),"""")"),"")</f>
        <v/>
      </c>
      <c r="F6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Helper'!$F$5:$F$3004,"""")&lt;&gt;""""),ROWS(F$5:F657)),IF(AND(LEFT(x,5)=""Page"&amp;" "",ISERROR(SEARCH(""–"",x))),x&amp;""–""&amp;REGEXEXTRACT(x,""[0-9]+$""),x)),"""")"),"")</f>
        <v/>
      </c>
      <c r="G657" s="163"/>
      <c r="H6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Helper'!$F$5:$F$3004,"""")&lt;&gt;""""),ROWS(H$5:H657)),"""")"),"")</f>
        <v/>
      </c>
    </row>
    <row r="658" ht="15.75" customHeight="1">
      <c r="A6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Helper'!$F$5:$F$3004,"""")&lt;&gt;""""),ROWS(A$5:A658)),"""")"),"")</f>
        <v/>
      </c>
      <c r="B6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Helper'!$F$5:$F$3004,"""")&lt;&gt;""""),ROWS(B$5:B658)),"""")"),"")</f>
        <v/>
      </c>
      <c r="C6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Helper'!$F$5:$F$3004,"""")&lt;&gt;""""),ROWS(C$5:C658)),"""")"),"")</f>
        <v/>
      </c>
      <c r="D6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Helper'!$F$5:$F$3004,"""")&lt;&gt;""""),ROWS(D$5:D658)),"""")"),"")</f>
        <v/>
      </c>
      <c r="E6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Helper'!$F$5:$F$3004,"""")&lt;&gt;""""),ROWS(E$5:E658)),"""")"),"")</f>
        <v/>
      </c>
      <c r="F6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Helper'!$F$5:$F$3004,"""")&lt;&gt;""""),ROWS(F$5:F658)),IF(AND(LEFT(x,5)=""Page"&amp;" "",ISERROR(SEARCH(""–"",x))),x&amp;""–""&amp;REGEXEXTRACT(x,""[0-9]+$""),x)),"""")"),"")</f>
        <v/>
      </c>
      <c r="G658" s="163"/>
      <c r="H6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Helper'!$F$5:$F$3004,"""")&lt;&gt;""""),ROWS(H$5:H658)),"""")"),"")</f>
        <v/>
      </c>
    </row>
    <row r="659" ht="15.75" customHeight="1">
      <c r="A6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Helper'!$F$5:$F$3004,"""")&lt;&gt;""""),ROWS(A$5:A659)),"""")"),"")</f>
        <v/>
      </c>
      <c r="B6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Helper'!$F$5:$F$3004,"""")&lt;&gt;""""),ROWS(B$5:B659)),"""")"),"")</f>
        <v/>
      </c>
      <c r="C6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Helper'!$F$5:$F$3004,"""")&lt;&gt;""""),ROWS(C$5:C659)),"""")"),"")</f>
        <v/>
      </c>
      <c r="D6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Helper'!$F$5:$F$3004,"""")&lt;&gt;""""),ROWS(D$5:D659)),"""")"),"")</f>
        <v/>
      </c>
      <c r="E6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Helper'!$F$5:$F$3004,"""")&lt;&gt;""""),ROWS(E$5:E659)),"""")"),"")</f>
        <v/>
      </c>
      <c r="F6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Helper'!$F$5:$F$3004,"""")&lt;&gt;""""),ROWS(F$5:F659)),IF(AND(LEFT(x,5)=""Page"&amp;" "",ISERROR(SEARCH(""–"",x))),x&amp;""–""&amp;REGEXEXTRACT(x,""[0-9]+$""),x)),"""")"),"")</f>
        <v/>
      </c>
      <c r="G659" s="163"/>
      <c r="H6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Helper'!$F$5:$F$3004,"""")&lt;&gt;""""),ROWS(H$5:H659)),"""")"),"")</f>
        <v/>
      </c>
    </row>
    <row r="660" ht="15.75" customHeight="1">
      <c r="A6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Helper'!$F$5:$F$3004,"""")&lt;&gt;""""),ROWS(A$5:A660)),"""")"),"")</f>
        <v/>
      </c>
      <c r="B6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Helper'!$F$5:$F$3004,"""")&lt;&gt;""""),ROWS(B$5:B660)),"""")"),"")</f>
        <v/>
      </c>
      <c r="C6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Helper'!$F$5:$F$3004,"""")&lt;&gt;""""),ROWS(C$5:C660)),"""")"),"")</f>
        <v/>
      </c>
      <c r="D6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Helper'!$F$5:$F$3004,"""")&lt;&gt;""""),ROWS(D$5:D660)),"""")"),"")</f>
        <v/>
      </c>
      <c r="E6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Helper'!$F$5:$F$3004,"""")&lt;&gt;""""),ROWS(E$5:E660)),"""")"),"")</f>
        <v/>
      </c>
      <c r="F6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Helper'!$F$5:$F$3004,"""")&lt;&gt;""""),ROWS(F$5:F660)),IF(AND(LEFT(x,5)=""Page"&amp;" "",ISERROR(SEARCH(""–"",x))),x&amp;""–""&amp;REGEXEXTRACT(x,""[0-9]+$""),x)),"""")"),"")</f>
        <v/>
      </c>
      <c r="G660" s="163"/>
      <c r="H6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Helper'!$F$5:$F$3004,"""")&lt;&gt;""""),ROWS(H$5:H660)),"""")"),"")</f>
        <v/>
      </c>
    </row>
    <row r="661" ht="15.75" customHeight="1">
      <c r="A6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Helper'!$F$5:$F$3004,"""")&lt;&gt;""""),ROWS(A$5:A661)),"""")"),"")</f>
        <v/>
      </c>
      <c r="B6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Helper'!$F$5:$F$3004,"""")&lt;&gt;""""),ROWS(B$5:B661)),"""")"),"")</f>
        <v/>
      </c>
      <c r="C6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Helper'!$F$5:$F$3004,"""")&lt;&gt;""""),ROWS(C$5:C661)),"""")"),"")</f>
        <v/>
      </c>
      <c r="D6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Helper'!$F$5:$F$3004,"""")&lt;&gt;""""),ROWS(D$5:D661)),"""")"),"")</f>
        <v/>
      </c>
      <c r="E6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Helper'!$F$5:$F$3004,"""")&lt;&gt;""""),ROWS(E$5:E661)),"""")"),"")</f>
        <v/>
      </c>
      <c r="F6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Helper'!$F$5:$F$3004,"""")&lt;&gt;""""),ROWS(F$5:F661)),IF(AND(LEFT(x,5)=""Page"&amp;" "",ISERROR(SEARCH(""–"",x))),x&amp;""–""&amp;REGEXEXTRACT(x,""[0-9]+$""),x)),"""")"),"")</f>
        <v/>
      </c>
      <c r="G661" s="163"/>
      <c r="H6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Helper'!$F$5:$F$3004,"""")&lt;&gt;""""),ROWS(H$5:H661)),"""")"),"")</f>
        <v/>
      </c>
    </row>
    <row r="662" ht="15.75" customHeight="1">
      <c r="A6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Helper'!$F$5:$F$3004,"""")&lt;&gt;""""),ROWS(A$5:A662)),"""")"),"")</f>
        <v/>
      </c>
      <c r="B6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Helper'!$F$5:$F$3004,"""")&lt;&gt;""""),ROWS(B$5:B662)),"""")"),"")</f>
        <v/>
      </c>
      <c r="C6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Helper'!$F$5:$F$3004,"""")&lt;&gt;""""),ROWS(C$5:C662)),"""")"),"")</f>
        <v/>
      </c>
      <c r="D6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Helper'!$F$5:$F$3004,"""")&lt;&gt;""""),ROWS(D$5:D662)),"""")"),"")</f>
        <v/>
      </c>
      <c r="E6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Helper'!$F$5:$F$3004,"""")&lt;&gt;""""),ROWS(E$5:E662)),"""")"),"")</f>
        <v/>
      </c>
      <c r="F6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Helper'!$F$5:$F$3004,"""")&lt;&gt;""""),ROWS(F$5:F662)),IF(AND(LEFT(x,5)=""Page"&amp;" "",ISERROR(SEARCH(""–"",x))),x&amp;""–""&amp;REGEXEXTRACT(x,""[0-9]+$""),x)),"""")"),"")</f>
        <v/>
      </c>
      <c r="G662" s="163"/>
      <c r="H6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Helper'!$F$5:$F$3004,"""")&lt;&gt;""""),ROWS(H$5:H662)),"""")"),"")</f>
        <v/>
      </c>
    </row>
    <row r="663" ht="15.75" customHeight="1">
      <c r="A6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Helper'!$F$5:$F$3004,"""")&lt;&gt;""""),ROWS(A$5:A663)),"""")"),"")</f>
        <v/>
      </c>
      <c r="B6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Helper'!$F$5:$F$3004,"""")&lt;&gt;""""),ROWS(B$5:B663)),"""")"),"")</f>
        <v/>
      </c>
      <c r="C6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Helper'!$F$5:$F$3004,"""")&lt;&gt;""""),ROWS(C$5:C663)),"""")"),"")</f>
        <v/>
      </c>
      <c r="D6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Helper'!$F$5:$F$3004,"""")&lt;&gt;""""),ROWS(D$5:D663)),"""")"),"")</f>
        <v/>
      </c>
      <c r="E6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Helper'!$F$5:$F$3004,"""")&lt;&gt;""""),ROWS(E$5:E663)),"""")"),"")</f>
        <v/>
      </c>
      <c r="F6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Helper'!$F$5:$F$3004,"""")&lt;&gt;""""),ROWS(F$5:F663)),IF(AND(LEFT(x,5)=""Page"&amp;" "",ISERROR(SEARCH(""–"",x))),x&amp;""–""&amp;REGEXEXTRACT(x,""[0-9]+$""),x)),"""")"),"")</f>
        <v/>
      </c>
      <c r="G663" s="163"/>
      <c r="H6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Helper'!$F$5:$F$3004,"""")&lt;&gt;""""),ROWS(H$5:H663)),"""")"),"")</f>
        <v/>
      </c>
    </row>
    <row r="664" ht="15.75" customHeight="1">
      <c r="A6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Helper'!$F$5:$F$3004,"""")&lt;&gt;""""),ROWS(A$5:A664)),"""")"),"")</f>
        <v/>
      </c>
      <c r="B6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Helper'!$F$5:$F$3004,"""")&lt;&gt;""""),ROWS(B$5:B664)),"""")"),"")</f>
        <v/>
      </c>
      <c r="C6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Helper'!$F$5:$F$3004,"""")&lt;&gt;""""),ROWS(C$5:C664)),"""")"),"")</f>
        <v/>
      </c>
      <c r="D6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Helper'!$F$5:$F$3004,"""")&lt;&gt;""""),ROWS(D$5:D664)),"""")"),"")</f>
        <v/>
      </c>
      <c r="E6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Helper'!$F$5:$F$3004,"""")&lt;&gt;""""),ROWS(E$5:E664)),"""")"),"")</f>
        <v/>
      </c>
      <c r="F6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Helper'!$F$5:$F$3004,"""")&lt;&gt;""""),ROWS(F$5:F664)),IF(AND(LEFT(x,5)=""Page"&amp;" "",ISERROR(SEARCH(""–"",x))),x&amp;""–""&amp;REGEXEXTRACT(x,""[0-9]+$""),x)),"""")"),"")</f>
        <v/>
      </c>
      <c r="G664" s="163"/>
      <c r="H6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Helper'!$F$5:$F$3004,"""")&lt;&gt;""""),ROWS(H$5:H664)),"""")"),"")</f>
        <v/>
      </c>
    </row>
    <row r="665" ht="15.75" customHeight="1">
      <c r="A6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Helper'!$F$5:$F$3004,"""")&lt;&gt;""""),ROWS(A$5:A665)),"""")"),"")</f>
        <v/>
      </c>
      <c r="B6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Helper'!$F$5:$F$3004,"""")&lt;&gt;""""),ROWS(B$5:B665)),"""")"),"")</f>
        <v/>
      </c>
      <c r="C6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Helper'!$F$5:$F$3004,"""")&lt;&gt;""""),ROWS(C$5:C665)),"""")"),"")</f>
        <v/>
      </c>
      <c r="D6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Helper'!$F$5:$F$3004,"""")&lt;&gt;""""),ROWS(D$5:D665)),"""")"),"")</f>
        <v/>
      </c>
      <c r="E6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Helper'!$F$5:$F$3004,"""")&lt;&gt;""""),ROWS(E$5:E665)),"""")"),"")</f>
        <v/>
      </c>
      <c r="F6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Helper'!$F$5:$F$3004,"""")&lt;&gt;""""),ROWS(F$5:F665)),IF(AND(LEFT(x,5)=""Page"&amp;" "",ISERROR(SEARCH(""–"",x))),x&amp;""–""&amp;REGEXEXTRACT(x,""[0-9]+$""),x)),"""")"),"")</f>
        <v/>
      </c>
      <c r="G665" s="163"/>
      <c r="H6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Helper'!$F$5:$F$3004,"""")&lt;&gt;""""),ROWS(H$5:H665)),"""")"),"")</f>
        <v/>
      </c>
    </row>
    <row r="666" ht="15.75" customHeight="1">
      <c r="A6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Helper'!$F$5:$F$3004,"""")&lt;&gt;""""),ROWS(A$5:A666)),"""")"),"")</f>
        <v/>
      </c>
      <c r="B6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Helper'!$F$5:$F$3004,"""")&lt;&gt;""""),ROWS(B$5:B666)),"""")"),"")</f>
        <v/>
      </c>
      <c r="C6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Helper'!$F$5:$F$3004,"""")&lt;&gt;""""),ROWS(C$5:C666)),"""")"),"")</f>
        <v/>
      </c>
      <c r="D6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Helper'!$F$5:$F$3004,"""")&lt;&gt;""""),ROWS(D$5:D666)),"""")"),"")</f>
        <v/>
      </c>
      <c r="E6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Helper'!$F$5:$F$3004,"""")&lt;&gt;""""),ROWS(E$5:E666)),"""")"),"")</f>
        <v/>
      </c>
      <c r="F6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Helper'!$F$5:$F$3004,"""")&lt;&gt;""""),ROWS(F$5:F666)),IF(AND(LEFT(x,5)=""Page"&amp;" "",ISERROR(SEARCH(""–"",x))),x&amp;""–""&amp;REGEXEXTRACT(x,""[0-9]+$""),x)),"""")"),"")</f>
        <v/>
      </c>
      <c r="G666" s="163"/>
      <c r="H6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Helper'!$F$5:$F$3004,"""")&lt;&gt;""""),ROWS(H$5:H666)),"""")"),"")</f>
        <v/>
      </c>
    </row>
    <row r="667" ht="15.75" customHeight="1">
      <c r="A6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Helper'!$F$5:$F$3004,"""")&lt;&gt;""""),ROWS(A$5:A667)),"""")"),"")</f>
        <v/>
      </c>
      <c r="B6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Helper'!$F$5:$F$3004,"""")&lt;&gt;""""),ROWS(B$5:B667)),"""")"),"")</f>
        <v/>
      </c>
      <c r="C6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Helper'!$F$5:$F$3004,"""")&lt;&gt;""""),ROWS(C$5:C667)),"""")"),"")</f>
        <v/>
      </c>
      <c r="D6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Helper'!$F$5:$F$3004,"""")&lt;&gt;""""),ROWS(D$5:D667)),"""")"),"")</f>
        <v/>
      </c>
      <c r="E6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Helper'!$F$5:$F$3004,"""")&lt;&gt;""""),ROWS(E$5:E667)),"""")"),"")</f>
        <v/>
      </c>
      <c r="F6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Helper'!$F$5:$F$3004,"""")&lt;&gt;""""),ROWS(F$5:F667)),IF(AND(LEFT(x,5)=""Page"&amp;" "",ISERROR(SEARCH(""–"",x))),x&amp;""–""&amp;REGEXEXTRACT(x,""[0-9]+$""),x)),"""")"),"")</f>
        <v/>
      </c>
      <c r="G667" s="163"/>
      <c r="H6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Helper'!$F$5:$F$3004,"""")&lt;&gt;""""),ROWS(H$5:H667)),"""")"),"")</f>
        <v/>
      </c>
    </row>
    <row r="668" ht="15.75" customHeight="1">
      <c r="A6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Helper'!$F$5:$F$3004,"""")&lt;&gt;""""),ROWS(A$5:A668)),"""")"),"")</f>
        <v/>
      </c>
      <c r="B6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Helper'!$F$5:$F$3004,"""")&lt;&gt;""""),ROWS(B$5:B668)),"""")"),"")</f>
        <v/>
      </c>
      <c r="C6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Helper'!$F$5:$F$3004,"""")&lt;&gt;""""),ROWS(C$5:C668)),"""")"),"")</f>
        <v/>
      </c>
      <c r="D6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Helper'!$F$5:$F$3004,"""")&lt;&gt;""""),ROWS(D$5:D668)),"""")"),"")</f>
        <v/>
      </c>
      <c r="E6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Helper'!$F$5:$F$3004,"""")&lt;&gt;""""),ROWS(E$5:E668)),"""")"),"")</f>
        <v/>
      </c>
      <c r="F6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Helper'!$F$5:$F$3004,"""")&lt;&gt;""""),ROWS(F$5:F668)),IF(AND(LEFT(x,5)=""Page"&amp;" "",ISERROR(SEARCH(""–"",x))),x&amp;""–""&amp;REGEXEXTRACT(x,""[0-9]+$""),x)),"""")"),"")</f>
        <v/>
      </c>
      <c r="G668" s="163"/>
      <c r="H6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Helper'!$F$5:$F$3004,"""")&lt;&gt;""""),ROWS(H$5:H668)),"""")"),"")</f>
        <v/>
      </c>
    </row>
    <row r="669" ht="15.75" customHeight="1">
      <c r="A6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Helper'!$F$5:$F$3004,"""")&lt;&gt;""""),ROWS(A$5:A669)),"""")"),"")</f>
        <v/>
      </c>
      <c r="B6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Helper'!$F$5:$F$3004,"""")&lt;&gt;""""),ROWS(B$5:B669)),"""")"),"")</f>
        <v/>
      </c>
      <c r="C6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Helper'!$F$5:$F$3004,"""")&lt;&gt;""""),ROWS(C$5:C669)),"""")"),"")</f>
        <v/>
      </c>
      <c r="D6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Helper'!$F$5:$F$3004,"""")&lt;&gt;""""),ROWS(D$5:D669)),"""")"),"")</f>
        <v/>
      </c>
      <c r="E6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Helper'!$F$5:$F$3004,"""")&lt;&gt;""""),ROWS(E$5:E669)),"""")"),"")</f>
        <v/>
      </c>
      <c r="F6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Helper'!$F$5:$F$3004,"""")&lt;&gt;""""),ROWS(F$5:F669)),IF(AND(LEFT(x,5)=""Page"&amp;" "",ISERROR(SEARCH(""–"",x))),x&amp;""–""&amp;REGEXEXTRACT(x,""[0-9]+$""),x)),"""")"),"")</f>
        <v/>
      </c>
      <c r="G669" s="163"/>
      <c r="H6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Helper'!$F$5:$F$3004,"""")&lt;&gt;""""),ROWS(H$5:H669)),"""")"),"")</f>
        <v/>
      </c>
    </row>
    <row r="670" ht="15.75" customHeight="1">
      <c r="A6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Helper'!$F$5:$F$3004,"""")&lt;&gt;""""),ROWS(A$5:A670)),"""")"),"")</f>
        <v/>
      </c>
      <c r="B6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Helper'!$F$5:$F$3004,"""")&lt;&gt;""""),ROWS(B$5:B670)),"""")"),"")</f>
        <v/>
      </c>
      <c r="C6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Helper'!$F$5:$F$3004,"""")&lt;&gt;""""),ROWS(C$5:C670)),"""")"),"")</f>
        <v/>
      </c>
      <c r="D6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Helper'!$F$5:$F$3004,"""")&lt;&gt;""""),ROWS(D$5:D670)),"""")"),"")</f>
        <v/>
      </c>
      <c r="E6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Helper'!$F$5:$F$3004,"""")&lt;&gt;""""),ROWS(E$5:E670)),"""")"),"")</f>
        <v/>
      </c>
      <c r="F6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Helper'!$F$5:$F$3004,"""")&lt;&gt;""""),ROWS(F$5:F670)),IF(AND(LEFT(x,5)=""Page"&amp;" "",ISERROR(SEARCH(""–"",x))),x&amp;""–""&amp;REGEXEXTRACT(x,""[0-9]+$""),x)),"""")"),"")</f>
        <v/>
      </c>
      <c r="G670" s="163"/>
      <c r="H6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Helper'!$F$5:$F$3004,"""")&lt;&gt;""""),ROWS(H$5:H670)),"""")"),"")</f>
        <v/>
      </c>
    </row>
    <row r="671" ht="15.75" customHeight="1">
      <c r="A6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Helper'!$F$5:$F$3004,"""")&lt;&gt;""""),ROWS(A$5:A671)),"""")"),"")</f>
        <v/>
      </c>
      <c r="B6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Helper'!$F$5:$F$3004,"""")&lt;&gt;""""),ROWS(B$5:B671)),"""")"),"")</f>
        <v/>
      </c>
      <c r="C6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Helper'!$F$5:$F$3004,"""")&lt;&gt;""""),ROWS(C$5:C671)),"""")"),"")</f>
        <v/>
      </c>
      <c r="D6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Helper'!$F$5:$F$3004,"""")&lt;&gt;""""),ROWS(D$5:D671)),"""")"),"")</f>
        <v/>
      </c>
      <c r="E6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Helper'!$F$5:$F$3004,"""")&lt;&gt;""""),ROWS(E$5:E671)),"""")"),"")</f>
        <v/>
      </c>
      <c r="F6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Helper'!$F$5:$F$3004,"""")&lt;&gt;""""),ROWS(F$5:F671)),IF(AND(LEFT(x,5)=""Page"&amp;" "",ISERROR(SEARCH(""–"",x))),x&amp;""–""&amp;REGEXEXTRACT(x,""[0-9]+$""),x)),"""")"),"")</f>
        <v/>
      </c>
      <c r="G671" s="163"/>
      <c r="H6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Helper'!$F$5:$F$3004,"""")&lt;&gt;""""),ROWS(H$5:H671)),"""")"),"")</f>
        <v/>
      </c>
    </row>
    <row r="672" ht="15.75" customHeight="1">
      <c r="A6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Helper'!$F$5:$F$3004,"""")&lt;&gt;""""),ROWS(A$5:A672)),"""")"),"")</f>
        <v/>
      </c>
      <c r="B6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Helper'!$F$5:$F$3004,"""")&lt;&gt;""""),ROWS(B$5:B672)),"""")"),"")</f>
        <v/>
      </c>
      <c r="C6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Helper'!$F$5:$F$3004,"""")&lt;&gt;""""),ROWS(C$5:C672)),"""")"),"")</f>
        <v/>
      </c>
      <c r="D6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Helper'!$F$5:$F$3004,"""")&lt;&gt;""""),ROWS(D$5:D672)),"""")"),"")</f>
        <v/>
      </c>
      <c r="E6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Helper'!$F$5:$F$3004,"""")&lt;&gt;""""),ROWS(E$5:E672)),"""")"),"")</f>
        <v/>
      </c>
      <c r="F6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Helper'!$F$5:$F$3004,"""")&lt;&gt;""""),ROWS(F$5:F672)),IF(AND(LEFT(x,5)=""Page"&amp;" "",ISERROR(SEARCH(""–"",x))),x&amp;""–""&amp;REGEXEXTRACT(x,""[0-9]+$""),x)),"""")"),"")</f>
        <v/>
      </c>
      <c r="G672" s="163"/>
      <c r="H6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Helper'!$F$5:$F$3004,"""")&lt;&gt;""""),ROWS(H$5:H672)),"""")"),"")</f>
        <v/>
      </c>
    </row>
    <row r="673" ht="15.75" customHeight="1">
      <c r="A6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Helper'!$F$5:$F$3004,"""")&lt;&gt;""""),ROWS(A$5:A673)),"""")"),"")</f>
        <v/>
      </c>
      <c r="B6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Helper'!$F$5:$F$3004,"""")&lt;&gt;""""),ROWS(B$5:B673)),"""")"),"")</f>
        <v/>
      </c>
      <c r="C6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Helper'!$F$5:$F$3004,"""")&lt;&gt;""""),ROWS(C$5:C673)),"""")"),"")</f>
        <v/>
      </c>
      <c r="D6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Helper'!$F$5:$F$3004,"""")&lt;&gt;""""),ROWS(D$5:D673)),"""")"),"")</f>
        <v/>
      </c>
      <c r="E6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Helper'!$F$5:$F$3004,"""")&lt;&gt;""""),ROWS(E$5:E673)),"""")"),"")</f>
        <v/>
      </c>
      <c r="F6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Helper'!$F$5:$F$3004,"""")&lt;&gt;""""),ROWS(F$5:F673)),IF(AND(LEFT(x,5)=""Page"&amp;" "",ISERROR(SEARCH(""–"",x))),x&amp;""–""&amp;REGEXEXTRACT(x,""[0-9]+$""),x)),"""")"),"")</f>
        <v/>
      </c>
      <c r="G673" s="163"/>
      <c r="H6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Helper'!$F$5:$F$3004,"""")&lt;&gt;""""),ROWS(H$5:H673)),"""")"),"")</f>
        <v/>
      </c>
    </row>
    <row r="674" ht="15.75" customHeight="1">
      <c r="A6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Helper'!$F$5:$F$3004,"""")&lt;&gt;""""),ROWS(A$5:A674)),"""")"),"")</f>
        <v/>
      </c>
      <c r="B6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Helper'!$F$5:$F$3004,"""")&lt;&gt;""""),ROWS(B$5:B674)),"""")"),"")</f>
        <v/>
      </c>
      <c r="C6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Helper'!$F$5:$F$3004,"""")&lt;&gt;""""),ROWS(C$5:C674)),"""")"),"")</f>
        <v/>
      </c>
      <c r="D6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Helper'!$F$5:$F$3004,"""")&lt;&gt;""""),ROWS(D$5:D674)),"""")"),"")</f>
        <v/>
      </c>
      <c r="E6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Helper'!$F$5:$F$3004,"""")&lt;&gt;""""),ROWS(E$5:E674)),"""")"),"")</f>
        <v/>
      </c>
      <c r="F6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Helper'!$F$5:$F$3004,"""")&lt;&gt;""""),ROWS(F$5:F674)),IF(AND(LEFT(x,5)=""Page"&amp;" "",ISERROR(SEARCH(""–"",x))),x&amp;""–""&amp;REGEXEXTRACT(x,""[0-9]+$""),x)),"""")"),"")</f>
        <v/>
      </c>
      <c r="G674" s="163"/>
      <c r="H6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Helper'!$F$5:$F$3004,"""")&lt;&gt;""""),ROWS(H$5:H674)),"""")"),"")</f>
        <v/>
      </c>
    </row>
    <row r="675" ht="15.75" customHeight="1">
      <c r="A6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Helper'!$F$5:$F$3004,"""")&lt;&gt;""""),ROWS(A$5:A675)),"""")"),"")</f>
        <v/>
      </c>
      <c r="B6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Helper'!$F$5:$F$3004,"""")&lt;&gt;""""),ROWS(B$5:B675)),"""")"),"")</f>
        <v/>
      </c>
      <c r="C6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Helper'!$F$5:$F$3004,"""")&lt;&gt;""""),ROWS(C$5:C675)),"""")"),"")</f>
        <v/>
      </c>
      <c r="D6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Helper'!$F$5:$F$3004,"""")&lt;&gt;""""),ROWS(D$5:D675)),"""")"),"")</f>
        <v/>
      </c>
      <c r="E6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Helper'!$F$5:$F$3004,"""")&lt;&gt;""""),ROWS(E$5:E675)),"""")"),"")</f>
        <v/>
      </c>
      <c r="F6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Helper'!$F$5:$F$3004,"""")&lt;&gt;""""),ROWS(F$5:F675)),IF(AND(LEFT(x,5)=""Page"&amp;" "",ISERROR(SEARCH(""–"",x))),x&amp;""–""&amp;REGEXEXTRACT(x,""[0-9]+$""),x)),"""")"),"")</f>
        <v/>
      </c>
      <c r="G675" s="163"/>
      <c r="H6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Helper'!$F$5:$F$3004,"""")&lt;&gt;""""),ROWS(H$5:H675)),"""")"),"")</f>
        <v/>
      </c>
    </row>
    <row r="676" ht="15.75" customHeight="1">
      <c r="A6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Helper'!$F$5:$F$3004,"""")&lt;&gt;""""),ROWS(A$5:A676)),"""")"),"")</f>
        <v/>
      </c>
      <c r="B6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Helper'!$F$5:$F$3004,"""")&lt;&gt;""""),ROWS(B$5:B676)),"""")"),"")</f>
        <v/>
      </c>
      <c r="C6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Helper'!$F$5:$F$3004,"""")&lt;&gt;""""),ROWS(C$5:C676)),"""")"),"")</f>
        <v/>
      </c>
      <c r="D6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Helper'!$F$5:$F$3004,"""")&lt;&gt;""""),ROWS(D$5:D676)),"""")"),"")</f>
        <v/>
      </c>
      <c r="E6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Helper'!$F$5:$F$3004,"""")&lt;&gt;""""),ROWS(E$5:E676)),"""")"),"")</f>
        <v/>
      </c>
      <c r="F6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Helper'!$F$5:$F$3004,"""")&lt;&gt;""""),ROWS(F$5:F676)),IF(AND(LEFT(x,5)=""Page"&amp;" "",ISERROR(SEARCH(""–"",x))),x&amp;""–""&amp;REGEXEXTRACT(x,""[0-9]+$""),x)),"""")"),"")</f>
        <v/>
      </c>
      <c r="G676" s="163"/>
      <c r="H6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Helper'!$F$5:$F$3004,"""")&lt;&gt;""""),ROWS(H$5:H676)),"""")"),"")</f>
        <v/>
      </c>
    </row>
    <row r="677" ht="15.75" customHeight="1">
      <c r="A6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Helper'!$F$5:$F$3004,"""")&lt;&gt;""""),ROWS(A$5:A677)),"""")"),"")</f>
        <v/>
      </c>
      <c r="B6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Helper'!$F$5:$F$3004,"""")&lt;&gt;""""),ROWS(B$5:B677)),"""")"),"")</f>
        <v/>
      </c>
      <c r="C6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Helper'!$F$5:$F$3004,"""")&lt;&gt;""""),ROWS(C$5:C677)),"""")"),"")</f>
        <v/>
      </c>
      <c r="D6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Helper'!$F$5:$F$3004,"""")&lt;&gt;""""),ROWS(D$5:D677)),"""")"),"")</f>
        <v/>
      </c>
      <c r="E6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Helper'!$F$5:$F$3004,"""")&lt;&gt;""""),ROWS(E$5:E677)),"""")"),"")</f>
        <v/>
      </c>
      <c r="F6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Helper'!$F$5:$F$3004,"""")&lt;&gt;""""),ROWS(F$5:F677)),IF(AND(LEFT(x,5)=""Page"&amp;" "",ISERROR(SEARCH(""–"",x))),x&amp;""–""&amp;REGEXEXTRACT(x,""[0-9]+$""),x)),"""")"),"")</f>
        <v/>
      </c>
      <c r="G677" s="163"/>
      <c r="H6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Helper'!$F$5:$F$3004,"""")&lt;&gt;""""),ROWS(H$5:H677)),"""")"),"")</f>
        <v/>
      </c>
    </row>
    <row r="678" ht="15.75" customHeight="1">
      <c r="A6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Helper'!$F$5:$F$3004,"""")&lt;&gt;""""),ROWS(A$5:A678)),"""")"),"")</f>
        <v/>
      </c>
      <c r="B6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Helper'!$F$5:$F$3004,"""")&lt;&gt;""""),ROWS(B$5:B678)),"""")"),"")</f>
        <v/>
      </c>
      <c r="C6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Helper'!$F$5:$F$3004,"""")&lt;&gt;""""),ROWS(C$5:C678)),"""")"),"")</f>
        <v/>
      </c>
      <c r="D6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Helper'!$F$5:$F$3004,"""")&lt;&gt;""""),ROWS(D$5:D678)),"""")"),"")</f>
        <v/>
      </c>
      <c r="E6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Helper'!$F$5:$F$3004,"""")&lt;&gt;""""),ROWS(E$5:E678)),"""")"),"")</f>
        <v/>
      </c>
      <c r="F6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Helper'!$F$5:$F$3004,"""")&lt;&gt;""""),ROWS(F$5:F678)),IF(AND(LEFT(x,5)=""Page"&amp;" "",ISERROR(SEARCH(""–"",x))),x&amp;""–""&amp;REGEXEXTRACT(x,""[0-9]+$""),x)),"""")"),"")</f>
        <v/>
      </c>
      <c r="G678" s="163"/>
      <c r="H6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Helper'!$F$5:$F$3004,"""")&lt;&gt;""""),ROWS(H$5:H678)),"""")"),"")</f>
        <v/>
      </c>
    </row>
    <row r="679" ht="15.75" customHeight="1">
      <c r="A6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Helper'!$F$5:$F$3004,"""")&lt;&gt;""""),ROWS(A$5:A679)),"""")"),"")</f>
        <v/>
      </c>
      <c r="B6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Helper'!$F$5:$F$3004,"""")&lt;&gt;""""),ROWS(B$5:B679)),"""")"),"")</f>
        <v/>
      </c>
      <c r="C6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Helper'!$F$5:$F$3004,"""")&lt;&gt;""""),ROWS(C$5:C679)),"""")"),"")</f>
        <v/>
      </c>
      <c r="D6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Helper'!$F$5:$F$3004,"""")&lt;&gt;""""),ROWS(D$5:D679)),"""")"),"")</f>
        <v/>
      </c>
      <c r="E6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Helper'!$F$5:$F$3004,"""")&lt;&gt;""""),ROWS(E$5:E679)),"""")"),"")</f>
        <v/>
      </c>
      <c r="F6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Helper'!$F$5:$F$3004,"""")&lt;&gt;""""),ROWS(F$5:F679)),IF(AND(LEFT(x,5)=""Page"&amp;" "",ISERROR(SEARCH(""–"",x))),x&amp;""–""&amp;REGEXEXTRACT(x,""[0-9]+$""),x)),"""")"),"")</f>
        <v/>
      </c>
      <c r="G679" s="163"/>
      <c r="H6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Helper'!$F$5:$F$3004,"""")&lt;&gt;""""),ROWS(H$5:H679)),"""")"),"")</f>
        <v/>
      </c>
    </row>
    <row r="680" ht="15.75" customHeight="1">
      <c r="A6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Helper'!$F$5:$F$3004,"""")&lt;&gt;""""),ROWS(A$5:A680)),"""")"),"")</f>
        <v/>
      </c>
      <c r="B6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Helper'!$F$5:$F$3004,"""")&lt;&gt;""""),ROWS(B$5:B680)),"""")"),"")</f>
        <v/>
      </c>
      <c r="C6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Helper'!$F$5:$F$3004,"""")&lt;&gt;""""),ROWS(C$5:C680)),"""")"),"")</f>
        <v/>
      </c>
      <c r="D6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Helper'!$F$5:$F$3004,"""")&lt;&gt;""""),ROWS(D$5:D680)),"""")"),"")</f>
        <v/>
      </c>
      <c r="E6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Helper'!$F$5:$F$3004,"""")&lt;&gt;""""),ROWS(E$5:E680)),"""")"),"")</f>
        <v/>
      </c>
      <c r="F6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Helper'!$F$5:$F$3004,"""")&lt;&gt;""""),ROWS(F$5:F680)),IF(AND(LEFT(x,5)=""Page"&amp;" "",ISERROR(SEARCH(""–"",x))),x&amp;""–""&amp;REGEXEXTRACT(x,""[0-9]+$""),x)),"""")"),"")</f>
        <v/>
      </c>
      <c r="G680" s="163"/>
      <c r="H6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Helper'!$F$5:$F$3004,"""")&lt;&gt;""""),ROWS(H$5:H680)),"""")"),"")</f>
        <v/>
      </c>
    </row>
    <row r="681" ht="15.75" customHeight="1">
      <c r="A6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Helper'!$F$5:$F$3004,"""")&lt;&gt;""""),ROWS(A$5:A681)),"""")"),"")</f>
        <v/>
      </c>
      <c r="B6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Helper'!$F$5:$F$3004,"""")&lt;&gt;""""),ROWS(B$5:B681)),"""")"),"")</f>
        <v/>
      </c>
      <c r="C6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Helper'!$F$5:$F$3004,"""")&lt;&gt;""""),ROWS(C$5:C681)),"""")"),"")</f>
        <v/>
      </c>
      <c r="D6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Helper'!$F$5:$F$3004,"""")&lt;&gt;""""),ROWS(D$5:D681)),"""")"),"")</f>
        <v/>
      </c>
      <c r="E6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Helper'!$F$5:$F$3004,"""")&lt;&gt;""""),ROWS(E$5:E681)),"""")"),"")</f>
        <v/>
      </c>
      <c r="F6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Helper'!$F$5:$F$3004,"""")&lt;&gt;""""),ROWS(F$5:F681)),IF(AND(LEFT(x,5)=""Page"&amp;" "",ISERROR(SEARCH(""–"",x))),x&amp;""–""&amp;REGEXEXTRACT(x,""[0-9]+$""),x)),"""")"),"")</f>
        <v/>
      </c>
      <c r="G681" s="163"/>
      <c r="H6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Helper'!$F$5:$F$3004,"""")&lt;&gt;""""),ROWS(H$5:H681)),"""")"),"")</f>
        <v/>
      </c>
    </row>
    <row r="682" ht="15.75" customHeight="1">
      <c r="A6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Helper'!$F$5:$F$3004,"""")&lt;&gt;""""),ROWS(A$5:A682)),"""")"),"")</f>
        <v/>
      </c>
      <c r="B6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Helper'!$F$5:$F$3004,"""")&lt;&gt;""""),ROWS(B$5:B682)),"""")"),"")</f>
        <v/>
      </c>
      <c r="C6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Helper'!$F$5:$F$3004,"""")&lt;&gt;""""),ROWS(C$5:C682)),"""")"),"")</f>
        <v/>
      </c>
      <c r="D6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Helper'!$F$5:$F$3004,"""")&lt;&gt;""""),ROWS(D$5:D682)),"""")"),"")</f>
        <v/>
      </c>
      <c r="E6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Helper'!$F$5:$F$3004,"""")&lt;&gt;""""),ROWS(E$5:E682)),"""")"),"")</f>
        <v/>
      </c>
      <c r="F6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Helper'!$F$5:$F$3004,"""")&lt;&gt;""""),ROWS(F$5:F682)),IF(AND(LEFT(x,5)=""Page"&amp;" "",ISERROR(SEARCH(""–"",x))),x&amp;""–""&amp;REGEXEXTRACT(x,""[0-9]+$""),x)),"""")"),"")</f>
        <v/>
      </c>
      <c r="G682" s="163"/>
      <c r="H6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Helper'!$F$5:$F$3004,"""")&lt;&gt;""""),ROWS(H$5:H682)),"""")"),"")</f>
        <v/>
      </c>
    </row>
    <row r="683" ht="15.75" customHeight="1">
      <c r="A6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Helper'!$F$5:$F$3004,"""")&lt;&gt;""""),ROWS(A$5:A683)),"""")"),"")</f>
        <v/>
      </c>
      <c r="B6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Helper'!$F$5:$F$3004,"""")&lt;&gt;""""),ROWS(B$5:B683)),"""")"),"")</f>
        <v/>
      </c>
      <c r="C6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Helper'!$F$5:$F$3004,"""")&lt;&gt;""""),ROWS(C$5:C683)),"""")"),"")</f>
        <v/>
      </c>
      <c r="D6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Helper'!$F$5:$F$3004,"""")&lt;&gt;""""),ROWS(D$5:D683)),"""")"),"")</f>
        <v/>
      </c>
      <c r="E6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Helper'!$F$5:$F$3004,"""")&lt;&gt;""""),ROWS(E$5:E683)),"""")"),"")</f>
        <v/>
      </c>
      <c r="F6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Helper'!$F$5:$F$3004,"""")&lt;&gt;""""),ROWS(F$5:F683)),IF(AND(LEFT(x,5)=""Page"&amp;" "",ISERROR(SEARCH(""–"",x))),x&amp;""–""&amp;REGEXEXTRACT(x,""[0-9]+$""),x)),"""")"),"")</f>
        <v/>
      </c>
      <c r="G683" s="163"/>
      <c r="H6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Helper'!$F$5:$F$3004,"""")&lt;&gt;""""),ROWS(H$5:H683)),"""")"),"")</f>
        <v/>
      </c>
    </row>
    <row r="684" ht="15.75" customHeight="1">
      <c r="A6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Helper'!$F$5:$F$3004,"""")&lt;&gt;""""),ROWS(A$5:A684)),"""")"),"")</f>
        <v/>
      </c>
      <c r="B6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Helper'!$F$5:$F$3004,"""")&lt;&gt;""""),ROWS(B$5:B684)),"""")"),"")</f>
        <v/>
      </c>
      <c r="C6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Helper'!$F$5:$F$3004,"""")&lt;&gt;""""),ROWS(C$5:C684)),"""")"),"")</f>
        <v/>
      </c>
      <c r="D6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Helper'!$F$5:$F$3004,"""")&lt;&gt;""""),ROWS(D$5:D684)),"""")"),"")</f>
        <v/>
      </c>
      <c r="E6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Helper'!$F$5:$F$3004,"""")&lt;&gt;""""),ROWS(E$5:E684)),"""")"),"")</f>
        <v/>
      </c>
      <c r="F6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Helper'!$F$5:$F$3004,"""")&lt;&gt;""""),ROWS(F$5:F684)),IF(AND(LEFT(x,5)=""Page"&amp;" "",ISERROR(SEARCH(""–"",x))),x&amp;""–""&amp;REGEXEXTRACT(x,""[0-9]+$""),x)),"""")"),"")</f>
        <v/>
      </c>
      <c r="G684" s="163"/>
      <c r="H6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Helper'!$F$5:$F$3004,"""")&lt;&gt;""""),ROWS(H$5:H684)),"""")"),"")</f>
        <v/>
      </c>
    </row>
    <row r="685" ht="15.75" customHeight="1">
      <c r="A6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Helper'!$F$5:$F$3004,"""")&lt;&gt;""""),ROWS(A$5:A685)),"""")"),"")</f>
        <v/>
      </c>
      <c r="B6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Helper'!$F$5:$F$3004,"""")&lt;&gt;""""),ROWS(B$5:B685)),"""")"),"")</f>
        <v/>
      </c>
      <c r="C6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Helper'!$F$5:$F$3004,"""")&lt;&gt;""""),ROWS(C$5:C685)),"""")"),"")</f>
        <v/>
      </c>
      <c r="D6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Helper'!$F$5:$F$3004,"""")&lt;&gt;""""),ROWS(D$5:D685)),"""")"),"")</f>
        <v/>
      </c>
      <c r="E6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Helper'!$F$5:$F$3004,"""")&lt;&gt;""""),ROWS(E$5:E685)),"""")"),"")</f>
        <v/>
      </c>
      <c r="F6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Helper'!$F$5:$F$3004,"""")&lt;&gt;""""),ROWS(F$5:F685)),IF(AND(LEFT(x,5)=""Page"&amp;" "",ISERROR(SEARCH(""–"",x))),x&amp;""–""&amp;REGEXEXTRACT(x,""[0-9]+$""),x)),"""")"),"")</f>
        <v/>
      </c>
      <c r="G685" s="163"/>
      <c r="H6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Helper'!$F$5:$F$3004,"""")&lt;&gt;""""),ROWS(H$5:H685)),"""")"),"")</f>
        <v/>
      </c>
    </row>
    <row r="686" ht="15.75" customHeight="1">
      <c r="A6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Helper'!$F$5:$F$3004,"""")&lt;&gt;""""),ROWS(A$5:A686)),"""")"),"")</f>
        <v/>
      </c>
      <c r="B6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Helper'!$F$5:$F$3004,"""")&lt;&gt;""""),ROWS(B$5:B686)),"""")"),"")</f>
        <v/>
      </c>
      <c r="C6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Helper'!$F$5:$F$3004,"""")&lt;&gt;""""),ROWS(C$5:C686)),"""")"),"")</f>
        <v/>
      </c>
      <c r="D6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Helper'!$F$5:$F$3004,"""")&lt;&gt;""""),ROWS(D$5:D686)),"""")"),"")</f>
        <v/>
      </c>
      <c r="E6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Helper'!$F$5:$F$3004,"""")&lt;&gt;""""),ROWS(E$5:E686)),"""")"),"")</f>
        <v/>
      </c>
      <c r="F6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Helper'!$F$5:$F$3004,"""")&lt;&gt;""""),ROWS(F$5:F686)),IF(AND(LEFT(x,5)=""Page"&amp;" "",ISERROR(SEARCH(""–"",x))),x&amp;""–""&amp;REGEXEXTRACT(x,""[0-9]+$""),x)),"""")"),"")</f>
        <v/>
      </c>
      <c r="G686" s="163"/>
      <c r="H6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Helper'!$F$5:$F$3004,"""")&lt;&gt;""""),ROWS(H$5:H686)),"""")"),"")</f>
        <v/>
      </c>
    </row>
    <row r="687" ht="15.75" customHeight="1">
      <c r="A6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Helper'!$F$5:$F$3004,"""")&lt;&gt;""""),ROWS(A$5:A687)),"""")"),"")</f>
        <v/>
      </c>
      <c r="B6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Helper'!$F$5:$F$3004,"""")&lt;&gt;""""),ROWS(B$5:B687)),"""")"),"")</f>
        <v/>
      </c>
      <c r="C6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Helper'!$F$5:$F$3004,"""")&lt;&gt;""""),ROWS(C$5:C687)),"""")"),"")</f>
        <v/>
      </c>
      <c r="D6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Helper'!$F$5:$F$3004,"""")&lt;&gt;""""),ROWS(D$5:D687)),"""")"),"")</f>
        <v/>
      </c>
      <c r="E6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Helper'!$F$5:$F$3004,"""")&lt;&gt;""""),ROWS(E$5:E687)),"""")"),"")</f>
        <v/>
      </c>
      <c r="F6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Helper'!$F$5:$F$3004,"""")&lt;&gt;""""),ROWS(F$5:F687)),IF(AND(LEFT(x,5)=""Page"&amp;" "",ISERROR(SEARCH(""–"",x))),x&amp;""–""&amp;REGEXEXTRACT(x,""[0-9]+$""),x)),"""")"),"")</f>
        <v/>
      </c>
      <c r="G687" s="163"/>
      <c r="H6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Helper'!$F$5:$F$3004,"""")&lt;&gt;""""),ROWS(H$5:H687)),"""")"),"")</f>
        <v/>
      </c>
    </row>
    <row r="688" ht="15.75" customHeight="1">
      <c r="A6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Helper'!$F$5:$F$3004,"""")&lt;&gt;""""),ROWS(A$5:A688)),"""")"),"")</f>
        <v/>
      </c>
      <c r="B6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Helper'!$F$5:$F$3004,"""")&lt;&gt;""""),ROWS(B$5:B688)),"""")"),"")</f>
        <v/>
      </c>
      <c r="C6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Helper'!$F$5:$F$3004,"""")&lt;&gt;""""),ROWS(C$5:C688)),"""")"),"")</f>
        <v/>
      </c>
      <c r="D6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Helper'!$F$5:$F$3004,"""")&lt;&gt;""""),ROWS(D$5:D688)),"""")"),"")</f>
        <v/>
      </c>
      <c r="E6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Helper'!$F$5:$F$3004,"""")&lt;&gt;""""),ROWS(E$5:E688)),"""")"),"")</f>
        <v/>
      </c>
      <c r="F6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Helper'!$F$5:$F$3004,"""")&lt;&gt;""""),ROWS(F$5:F688)),IF(AND(LEFT(x,5)=""Page"&amp;" "",ISERROR(SEARCH(""–"",x))),x&amp;""–""&amp;REGEXEXTRACT(x,""[0-9]+$""),x)),"""")"),"")</f>
        <v/>
      </c>
      <c r="G688" s="163"/>
      <c r="H6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Helper'!$F$5:$F$3004,"""")&lt;&gt;""""),ROWS(H$5:H688)),"""")"),"")</f>
        <v/>
      </c>
    </row>
    <row r="689" ht="15.75" customHeight="1">
      <c r="A6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Helper'!$F$5:$F$3004,"""")&lt;&gt;""""),ROWS(A$5:A689)),"""")"),"")</f>
        <v/>
      </c>
      <c r="B6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Helper'!$F$5:$F$3004,"""")&lt;&gt;""""),ROWS(B$5:B689)),"""")"),"")</f>
        <v/>
      </c>
      <c r="C6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Helper'!$F$5:$F$3004,"""")&lt;&gt;""""),ROWS(C$5:C689)),"""")"),"")</f>
        <v/>
      </c>
      <c r="D6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Helper'!$F$5:$F$3004,"""")&lt;&gt;""""),ROWS(D$5:D689)),"""")"),"")</f>
        <v/>
      </c>
      <c r="E6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Helper'!$F$5:$F$3004,"""")&lt;&gt;""""),ROWS(E$5:E689)),"""")"),"")</f>
        <v/>
      </c>
      <c r="F6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Helper'!$F$5:$F$3004,"""")&lt;&gt;""""),ROWS(F$5:F689)),IF(AND(LEFT(x,5)=""Page"&amp;" "",ISERROR(SEARCH(""–"",x))),x&amp;""–""&amp;REGEXEXTRACT(x,""[0-9]+$""),x)),"""")"),"")</f>
        <v/>
      </c>
      <c r="G689" s="163"/>
      <c r="H6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Helper'!$F$5:$F$3004,"""")&lt;&gt;""""),ROWS(H$5:H689)),"""")"),"")</f>
        <v/>
      </c>
    </row>
    <row r="690" ht="15.75" customHeight="1">
      <c r="A6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Helper'!$F$5:$F$3004,"""")&lt;&gt;""""),ROWS(A$5:A690)),"""")"),"")</f>
        <v/>
      </c>
      <c r="B6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Helper'!$F$5:$F$3004,"""")&lt;&gt;""""),ROWS(B$5:B690)),"""")"),"")</f>
        <v/>
      </c>
      <c r="C6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Helper'!$F$5:$F$3004,"""")&lt;&gt;""""),ROWS(C$5:C690)),"""")"),"")</f>
        <v/>
      </c>
      <c r="D6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Helper'!$F$5:$F$3004,"""")&lt;&gt;""""),ROWS(D$5:D690)),"""")"),"")</f>
        <v/>
      </c>
      <c r="E6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Helper'!$F$5:$F$3004,"""")&lt;&gt;""""),ROWS(E$5:E690)),"""")"),"")</f>
        <v/>
      </c>
      <c r="F6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Helper'!$F$5:$F$3004,"""")&lt;&gt;""""),ROWS(F$5:F690)),IF(AND(LEFT(x,5)=""Page"&amp;" "",ISERROR(SEARCH(""–"",x))),x&amp;""–""&amp;REGEXEXTRACT(x,""[0-9]+$""),x)),"""")"),"")</f>
        <v/>
      </c>
      <c r="G690" s="163"/>
      <c r="H6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Helper'!$F$5:$F$3004,"""")&lt;&gt;""""),ROWS(H$5:H690)),"""")"),"")</f>
        <v/>
      </c>
    </row>
    <row r="691" ht="15.75" customHeight="1">
      <c r="A6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Helper'!$F$5:$F$3004,"""")&lt;&gt;""""),ROWS(A$5:A691)),"""")"),"")</f>
        <v/>
      </c>
      <c r="B6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Helper'!$F$5:$F$3004,"""")&lt;&gt;""""),ROWS(B$5:B691)),"""")"),"")</f>
        <v/>
      </c>
      <c r="C6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Helper'!$F$5:$F$3004,"""")&lt;&gt;""""),ROWS(C$5:C691)),"""")"),"")</f>
        <v/>
      </c>
      <c r="D6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Helper'!$F$5:$F$3004,"""")&lt;&gt;""""),ROWS(D$5:D691)),"""")"),"")</f>
        <v/>
      </c>
      <c r="E6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Helper'!$F$5:$F$3004,"""")&lt;&gt;""""),ROWS(E$5:E691)),"""")"),"")</f>
        <v/>
      </c>
      <c r="F6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Helper'!$F$5:$F$3004,"""")&lt;&gt;""""),ROWS(F$5:F691)),IF(AND(LEFT(x,5)=""Page"&amp;" "",ISERROR(SEARCH(""–"",x))),x&amp;""–""&amp;REGEXEXTRACT(x,""[0-9]+$""),x)),"""")"),"")</f>
        <v/>
      </c>
      <c r="G691" s="163"/>
      <c r="H6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Helper'!$F$5:$F$3004,"""")&lt;&gt;""""),ROWS(H$5:H691)),"""")"),"")</f>
        <v/>
      </c>
    </row>
    <row r="692" ht="15.75" customHeight="1">
      <c r="A6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Helper'!$F$5:$F$3004,"""")&lt;&gt;""""),ROWS(A$5:A692)),"""")"),"")</f>
        <v/>
      </c>
      <c r="B6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Helper'!$F$5:$F$3004,"""")&lt;&gt;""""),ROWS(B$5:B692)),"""")"),"")</f>
        <v/>
      </c>
      <c r="C6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Helper'!$F$5:$F$3004,"""")&lt;&gt;""""),ROWS(C$5:C692)),"""")"),"")</f>
        <v/>
      </c>
      <c r="D6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Helper'!$F$5:$F$3004,"""")&lt;&gt;""""),ROWS(D$5:D692)),"""")"),"")</f>
        <v/>
      </c>
      <c r="E6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Helper'!$F$5:$F$3004,"""")&lt;&gt;""""),ROWS(E$5:E692)),"""")"),"")</f>
        <v/>
      </c>
      <c r="F6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Helper'!$F$5:$F$3004,"""")&lt;&gt;""""),ROWS(F$5:F692)),IF(AND(LEFT(x,5)=""Page"&amp;" "",ISERROR(SEARCH(""–"",x))),x&amp;""–""&amp;REGEXEXTRACT(x,""[0-9]+$""),x)),"""")"),"")</f>
        <v/>
      </c>
      <c r="G692" s="163"/>
      <c r="H6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Helper'!$F$5:$F$3004,"""")&lt;&gt;""""),ROWS(H$5:H692)),"""")"),"")</f>
        <v/>
      </c>
    </row>
    <row r="693" ht="15.75" customHeight="1">
      <c r="A6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Helper'!$F$5:$F$3004,"""")&lt;&gt;""""),ROWS(A$5:A693)),"""")"),"")</f>
        <v/>
      </c>
      <c r="B6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Helper'!$F$5:$F$3004,"""")&lt;&gt;""""),ROWS(B$5:B693)),"""")"),"")</f>
        <v/>
      </c>
      <c r="C6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Helper'!$F$5:$F$3004,"""")&lt;&gt;""""),ROWS(C$5:C693)),"""")"),"")</f>
        <v/>
      </c>
      <c r="D6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Helper'!$F$5:$F$3004,"""")&lt;&gt;""""),ROWS(D$5:D693)),"""")"),"")</f>
        <v/>
      </c>
      <c r="E6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Helper'!$F$5:$F$3004,"""")&lt;&gt;""""),ROWS(E$5:E693)),"""")"),"")</f>
        <v/>
      </c>
      <c r="F6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Helper'!$F$5:$F$3004,"""")&lt;&gt;""""),ROWS(F$5:F693)),IF(AND(LEFT(x,5)=""Page"&amp;" "",ISERROR(SEARCH(""–"",x))),x&amp;""–""&amp;REGEXEXTRACT(x,""[0-9]+$""),x)),"""")"),"")</f>
        <v/>
      </c>
      <c r="G693" s="163"/>
      <c r="H6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Helper'!$F$5:$F$3004,"""")&lt;&gt;""""),ROWS(H$5:H693)),"""")"),"")</f>
        <v/>
      </c>
    </row>
    <row r="694" ht="15.75" customHeight="1">
      <c r="A6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Helper'!$F$5:$F$3004,"""")&lt;&gt;""""),ROWS(A$5:A694)),"""")"),"")</f>
        <v/>
      </c>
      <c r="B6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Helper'!$F$5:$F$3004,"""")&lt;&gt;""""),ROWS(B$5:B694)),"""")"),"")</f>
        <v/>
      </c>
      <c r="C6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Helper'!$F$5:$F$3004,"""")&lt;&gt;""""),ROWS(C$5:C694)),"""")"),"")</f>
        <v/>
      </c>
      <c r="D6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Helper'!$F$5:$F$3004,"""")&lt;&gt;""""),ROWS(D$5:D694)),"""")"),"")</f>
        <v/>
      </c>
      <c r="E6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Helper'!$F$5:$F$3004,"""")&lt;&gt;""""),ROWS(E$5:E694)),"""")"),"")</f>
        <v/>
      </c>
      <c r="F6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Helper'!$F$5:$F$3004,"""")&lt;&gt;""""),ROWS(F$5:F694)),IF(AND(LEFT(x,5)=""Page"&amp;" "",ISERROR(SEARCH(""–"",x))),x&amp;""–""&amp;REGEXEXTRACT(x,""[0-9]+$""),x)),"""")"),"")</f>
        <v/>
      </c>
      <c r="G694" s="163"/>
      <c r="H6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Helper'!$F$5:$F$3004,"""")&lt;&gt;""""),ROWS(H$5:H694)),"""")"),"")</f>
        <v/>
      </c>
    </row>
    <row r="695" ht="15.75" customHeight="1">
      <c r="A6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Helper'!$F$5:$F$3004,"""")&lt;&gt;""""),ROWS(A$5:A695)),"""")"),"")</f>
        <v/>
      </c>
      <c r="B6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Helper'!$F$5:$F$3004,"""")&lt;&gt;""""),ROWS(B$5:B695)),"""")"),"")</f>
        <v/>
      </c>
      <c r="C6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Helper'!$F$5:$F$3004,"""")&lt;&gt;""""),ROWS(C$5:C695)),"""")"),"")</f>
        <v/>
      </c>
      <c r="D6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Helper'!$F$5:$F$3004,"""")&lt;&gt;""""),ROWS(D$5:D695)),"""")"),"")</f>
        <v/>
      </c>
      <c r="E6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Helper'!$F$5:$F$3004,"""")&lt;&gt;""""),ROWS(E$5:E695)),"""")"),"")</f>
        <v/>
      </c>
      <c r="F6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Helper'!$F$5:$F$3004,"""")&lt;&gt;""""),ROWS(F$5:F695)),IF(AND(LEFT(x,5)=""Page"&amp;" "",ISERROR(SEARCH(""–"",x))),x&amp;""–""&amp;REGEXEXTRACT(x,""[0-9]+$""),x)),"""")"),"")</f>
        <v/>
      </c>
      <c r="G695" s="163"/>
      <c r="H6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Helper'!$F$5:$F$3004,"""")&lt;&gt;""""),ROWS(H$5:H695)),"""")"),"")</f>
        <v/>
      </c>
    </row>
    <row r="696" ht="15.75" customHeight="1">
      <c r="A6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Helper'!$F$5:$F$3004,"""")&lt;&gt;""""),ROWS(A$5:A696)),"""")"),"")</f>
        <v/>
      </c>
      <c r="B6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Helper'!$F$5:$F$3004,"""")&lt;&gt;""""),ROWS(B$5:B696)),"""")"),"")</f>
        <v/>
      </c>
      <c r="C6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Helper'!$F$5:$F$3004,"""")&lt;&gt;""""),ROWS(C$5:C696)),"""")"),"")</f>
        <v/>
      </c>
      <c r="D6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Helper'!$F$5:$F$3004,"""")&lt;&gt;""""),ROWS(D$5:D696)),"""")"),"")</f>
        <v/>
      </c>
      <c r="E6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Helper'!$F$5:$F$3004,"""")&lt;&gt;""""),ROWS(E$5:E696)),"""")"),"")</f>
        <v/>
      </c>
      <c r="F6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Helper'!$F$5:$F$3004,"""")&lt;&gt;""""),ROWS(F$5:F696)),IF(AND(LEFT(x,5)=""Page"&amp;" "",ISERROR(SEARCH(""–"",x))),x&amp;""–""&amp;REGEXEXTRACT(x,""[0-9]+$""),x)),"""")"),"")</f>
        <v/>
      </c>
      <c r="G696" s="163"/>
      <c r="H6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Helper'!$F$5:$F$3004,"""")&lt;&gt;""""),ROWS(H$5:H696)),"""")"),"")</f>
        <v/>
      </c>
    </row>
    <row r="697" ht="15.75" customHeight="1">
      <c r="A6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Helper'!$F$5:$F$3004,"""")&lt;&gt;""""),ROWS(A$5:A697)),"""")"),"")</f>
        <v/>
      </c>
      <c r="B6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Helper'!$F$5:$F$3004,"""")&lt;&gt;""""),ROWS(B$5:B697)),"""")"),"")</f>
        <v/>
      </c>
      <c r="C6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Helper'!$F$5:$F$3004,"""")&lt;&gt;""""),ROWS(C$5:C697)),"""")"),"")</f>
        <v/>
      </c>
      <c r="D6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Helper'!$F$5:$F$3004,"""")&lt;&gt;""""),ROWS(D$5:D697)),"""")"),"")</f>
        <v/>
      </c>
      <c r="E6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Helper'!$F$5:$F$3004,"""")&lt;&gt;""""),ROWS(E$5:E697)),"""")"),"")</f>
        <v/>
      </c>
      <c r="F6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Helper'!$F$5:$F$3004,"""")&lt;&gt;""""),ROWS(F$5:F697)),IF(AND(LEFT(x,5)=""Page"&amp;" "",ISERROR(SEARCH(""–"",x))),x&amp;""–""&amp;REGEXEXTRACT(x,""[0-9]+$""),x)),"""")"),"")</f>
        <v/>
      </c>
      <c r="G697" s="163"/>
      <c r="H6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Helper'!$F$5:$F$3004,"""")&lt;&gt;""""),ROWS(H$5:H697)),"""")"),"")</f>
        <v/>
      </c>
    </row>
    <row r="698" ht="15.75" customHeight="1">
      <c r="A6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Helper'!$F$5:$F$3004,"""")&lt;&gt;""""),ROWS(A$5:A698)),"""")"),"")</f>
        <v/>
      </c>
      <c r="B6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Helper'!$F$5:$F$3004,"""")&lt;&gt;""""),ROWS(B$5:B698)),"""")"),"")</f>
        <v/>
      </c>
      <c r="C6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Helper'!$F$5:$F$3004,"""")&lt;&gt;""""),ROWS(C$5:C698)),"""")"),"")</f>
        <v/>
      </c>
      <c r="D6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Helper'!$F$5:$F$3004,"""")&lt;&gt;""""),ROWS(D$5:D698)),"""")"),"")</f>
        <v/>
      </c>
      <c r="E6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Helper'!$F$5:$F$3004,"""")&lt;&gt;""""),ROWS(E$5:E698)),"""")"),"")</f>
        <v/>
      </c>
      <c r="F6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Helper'!$F$5:$F$3004,"""")&lt;&gt;""""),ROWS(F$5:F698)),IF(AND(LEFT(x,5)=""Page"&amp;" "",ISERROR(SEARCH(""–"",x))),x&amp;""–""&amp;REGEXEXTRACT(x,""[0-9]+$""),x)),"""")"),"")</f>
        <v/>
      </c>
      <c r="G698" s="163"/>
      <c r="H6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Helper'!$F$5:$F$3004,"""")&lt;&gt;""""),ROWS(H$5:H698)),"""")"),"")</f>
        <v/>
      </c>
    </row>
    <row r="699" ht="15.75" customHeight="1">
      <c r="A6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Helper'!$F$5:$F$3004,"""")&lt;&gt;""""),ROWS(A$5:A699)),"""")"),"")</f>
        <v/>
      </c>
      <c r="B6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Helper'!$F$5:$F$3004,"""")&lt;&gt;""""),ROWS(B$5:B699)),"""")"),"")</f>
        <v/>
      </c>
      <c r="C6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Helper'!$F$5:$F$3004,"""")&lt;&gt;""""),ROWS(C$5:C699)),"""")"),"")</f>
        <v/>
      </c>
      <c r="D6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Helper'!$F$5:$F$3004,"""")&lt;&gt;""""),ROWS(D$5:D699)),"""")"),"")</f>
        <v/>
      </c>
      <c r="E6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Helper'!$F$5:$F$3004,"""")&lt;&gt;""""),ROWS(E$5:E699)),"""")"),"")</f>
        <v/>
      </c>
      <c r="F6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Helper'!$F$5:$F$3004,"""")&lt;&gt;""""),ROWS(F$5:F699)),IF(AND(LEFT(x,5)=""Page"&amp;" "",ISERROR(SEARCH(""–"",x))),x&amp;""–""&amp;REGEXEXTRACT(x,""[0-9]+$""),x)),"""")"),"")</f>
        <v/>
      </c>
      <c r="G699" s="163"/>
      <c r="H6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Helper'!$F$5:$F$3004,"""")&lt;&gt;""""),ROWS(H$5:H699)),"""")"),"")</f>
        <v/>
      </c>
    </row>
    <row r="700" ht="15.75" customHeight="1">
      <c r="A7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Helper'!$F$5:$F$3004,"""")&lt;&gt;""""),ROWS(A$5:A700)),"""")"),"")</f>
        <v/>
      </c>
      <c r="B7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Helper'!$F$5:$F$3004,"""")&lt;&gt;""""),ROWS(B$5:B700)),"""")"),"")</f>
        <v/>
      </c>
      <c r="C7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Helper'!$F$5:$F$3004,"""")&lt;&gt;""""),ROWS(C$5:C700)),"""")"),"")</f>
        <v/>
      </c>
      <c r="D7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Helper'!$F$5:$F$3004,"""")&lt;&gt;""""),ROWS(D$5:D700)),"""")"),"")</f>
        <v/>
      </c>
      <c r="E7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Helper'!$F$5:$F$3004,"""")&lt;&gt;""""),ROWS(E$5:E700)),"""")"),"")</f>
        <v/>
      </c>
      <c r="F7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Helper'!$F$5:$F$3004,"""")&lt;&gt;""""),ROWS(F$5:F700)),IF(AND(LEFT(x,5)=""Page"&amp;" "",ISERROR(SEARCH(""–"",x))),x&amp;""–""&amp;REGEXEXTRACT(x,""[0-9]+$""),x)),"""")"),"")</f>
        <v/>
      </c>
      <c r="G700" s="163"/>
      <c r="H7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Helper'!$F$5:$F$3004,"""")&lt;&gt;""""),ROWS(H$5:H700)),"""")"),"")</f>
        <v/>
      </c>
    </row>
    <row r="701" ht="15.75" customHeight="1">
      <c r="A7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Helper'!$F$5:$F$3004,"""")&lt;&gt;""""),ROWS(A$5:A701)),"""")"),"")</f>
        <v/>
      </c>
      <c r="B7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Helper'!$F$5:$F$3004,"""")&lt;&gt;""""),ROWS(B$5:B701)),"""")"),"")</f>
        <v/>
      </c>
      <c r="C7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Helper'!$F$5:$F$3004,"""")&lt;&gt;""""),ROWS(C$5:C701)),"""")"),"")</f>
        <v/>
      </c>
      <c r="D7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Helper'!$F$5:$F$3004,"""")&lt;&gt;""""),ROWS(D$5:D701)),"""")"),"")</f>
        <v/>
      </c>
      <c r="E7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Helper'!$F$5:$F$3004,"""")&lt;&gt;""""),ROWS(E$5:E701)),"""")"),"")</f>
        <v/>
      </c>
      <c r="F7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Helper'!$F$5:$F$3004,"""")&lt;&gt;""""),ROWS(F$5:F701)),IF(AND(LEFT(x,5)=""Page"&amp;" "",ISERROR(SEARCH(""–"",x))),x&amp;""–""&amp;REGEXEXTRACT(x,""[0-9]+$""),x)),"""")"),"")</f>
        <v/>
      </c>
      <c r="G701" s="163"/>
      <c r="H7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Helper'!$F$5:$F$3004,"""")&lt;&gt;""""),ROWS(H$5:H701)),"""")"),"")</f>
        <v/>
      </c>
    </row>
    <row r="702" ht="15.75" customHeight="1">
      <c r="A7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Helper'!$F$5:$F$3004,"""")&lt;&gt;""""),ROWS(A$5:A702)),"""")"),"")</f>
        <v/>
      </c>
      <c r="B7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Helper'!$F$5:$F$3004,"""")&lt;&gt;""""),ROWS(B$5:B702)),"""")"),"")</f>
        <v/>
      </c>
      <c r="C7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Helper'!$F$5:$F$3004,"""")&lt;&gt;""""),ROWS(C$5:C702)),"""")"),"")</f>
        <v/>
      </c>
      <c r="D7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Helper'!$F$5:$F$3004,"""")&lt;&gt;""""),ROWS(D$5:D702)),"""")"),"")</f>
        <v/>
      </c>
      <c r="E7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Helper'!$F$5:$F$3004,"""")&lt;&gt;""""),ROWS(E$5:E702)),"""")"),"")</f>
        <v/>
      </c>
      <c r="F7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Helper'!$F$5:$F$3004,"""")&lt;&gt;""""),ROWS(F$5:F702)),IF(AND(LEFT(x,5)=""Page"&amp;" "",ISERROR(SEARCH(""–"",x))),x&amp;""–""&amp;REGEXEXTRACT(x,""[0-9]+$""),x)),"""")"),"")</f>
        <v/>
      </c>
      <c r="G702" s="163"/>
      <c r="H7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Helper'!$F$5:$F$3004,"""")&lt;&gt;""""),ROWS(H$5:H702)),"""")"),"")</f>
        <v/>
      </c>
    </row>
    <row r="703" ht="15.75" customHeight="1">
      <c r="A7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Helper'!$F$5:$F$3004,"""")&lt;&gt;""""),ROWS(A$5:A703)),"""")"),"")</f>
        <v/>
      </c>
      <c r="B7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Helper'!$F$5:$F$3004,"""")&lt;&gt;""""),ROWS(B$5:B703)),"""")"),"")</f>
        <v/>
      </c>
      <c r="C7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Helper'!$F$5:$F$3004,"""")&lt;&gt;""""),ROWS(C$5:C703)),"""")"),"")</f>
        <v/>
      </c>
      <c r="D7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Helper'!$F$5:$F$3004,"""")&lt;&gt;""""),ROWS(D$5:D703)),"""")"),"")</f>
        <v/>
      </c>
      <c r="E7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Helper'!$F$5:$F$3004,"""")&lt;&gt;""""),ROWS(E$5:E703)),"""")"),"")</f>
        <v/>
      </c>
      <c r="F7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Helper'!$F$5:$F$3004,"""")&lt;&gt;""""),ROWS(F$5:F703)),IF(AND(LEFT(x,5)=""Page"&amp;" "",ISERROR(SEARCH(""–"",x))),x&amp;""–""&amp;REGEXEXTRACT(x,""[0-9]+$""),x)),"""")"),"")</f>
        <v/>
      </c>
      <c r="G703" s="163"/>
      <c r="H7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Helper'!$F$5:$F$3004,"""")&lt;&gt;""""),ROWS(H$5:H703)),"""")"),"")</f>
        <v/>
      </c>
    </row>
    <row r="704" ht="15.75" customHeight="1">
      <c r="A7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Helper'!$F$5:$F$3004,"""")&lt;&gt;""""),ROWS(A$5:A704)),"""")"),"")</f>
        <v/>
      </c>
      <c r="B7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Helper'!$F$5:$F$3004,"""")&lt;&gt;""""),ROWS(B$5:B704)),"""")"),"")</f>
        <v/>
      </c>
      <c r="C7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Helper'!$F$5:$F$3004,"""")&lt;&gt;""""),ROWS(C$5:C704)),"""")"),"")</f>
        <v/>
      </c>
      <c r="D7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Helper'!$F$5:$F$3004,"""")&lt;&gt;""""),ROWS(D$5:D704)),"""")"),"")</f>
        <v/>
      </c>
      <c r="E7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Helper'!$F$5:$F$3004,"""")&lt;&gt;""""),ROWS(E$5:E704)),"""")"),"")</f>
        <v/>
      </c>
      <c r="F7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Helper'!$F$5:$F$3004,"""")&lt;&gt;""""),ROWS(F$5:F704)),IF(AND(LEFT(x,5)=""Page"&amp;" "",ISERROR(SEARCH(""–"",x))),x&amp;""–""&amp;REGEXEXTRACT(x,""[0-9]+$""),x)),"""")"),"")</f>
        <v/>
      </c>
      <c r="G704" s="163"/>
      <c r="H7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Helper'!$F$5:$F$3004,"""")&lt;&gt;""""),ROWS(H$5:H704)),"""")"),"")</f>
        <v/>
      </c>
    </row>
    <row r="705" ht="15.75" customHeight="1">
      <c r="A7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Helper'!$F$5:$F$3004,"""")&lt;&gt;""""),ROWS(A$5:A705)),"""")"),"")</f>
        <v/>
      </c>
      <c r="B7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Helper'!$F$5:$F$3004,"""")&lt;&gt;""""),ROWS(B$5:B705)),"""")"),"")</f>
        <v/>
      </c>
      <c r="C7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Helper'!$F$5:$F$3004,"""")&lt;&gt;""""),ROWS(C$5:C705)),"""")"),"")</f>
        <v/>
      </c>
      <c r="D7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Helper'!$F$5:$F$3004,"""")&lt;&gt;""""),ROWS(D$5:D705)),"""")"),"")</f>
        <v/>
      </c>
      <c r="E7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Helper'!$F$5:$F$3004,"""")&lt;&gt;""""),ROWS(E$5:E705)),"""")"),"")</f>
        <v/>
      </c>
      <c r="F7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Helper'!$F$5:$F$3004,"""")&lt;&gt;""""),ROWS(F$5:F705)),IF(AND(LEFT(x,5)=""Page"&amp;" "",ISERROR(SEARCH(""–"",x))),x&amp;""–""&amp;REGEXEXTRACT(x,""[0-9]+$""),x)),"""")"),"")</f>
        <v/>
      </c>
      <c r="G705" s="163"/>
      <c r="H7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Helper'!$F$5:$F$3004,"""")&lt;&gt;""""),ROWS(H$5:H705)),"""")"),"")</f>
        <v/>
      </c>
    </row>
    <row r="706" ht="15.75" customHeight="1">
      <c r="A7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Helper'!$F$5:$F$3004,"""")&lt;&gt;""""),ROWS(A$5:A706)),"""")"),"")</f>
        <v/>
      </c>
      <c r="B7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Helper'!$F$5:$F$3004,"""")&lt;&gt;""""),ROWS(B$5:B706)),"""")"),"")</f>
        <v/>
      </c>
      <c r="C7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Helper'!$F$5:$F$3004,"""")&lt;&gt;""""),ROWS(C$5:C706)),"""")"),"")</f>
        <v/>
      </c>
      <c r="D7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Helper'!$F$5:$F$3004,"""")&lt;&gt;""""),ROWS(D$5:D706)),"""")"),"")</f>
        <v/>
      </c>
      <c r="E7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Helper'!$F$5:$F$3004,"""")&lt;&gt;""""),ROWS(E$5:E706)),"""")"),"")</f>
        <v/>
      </c>
      <c r="F7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Helper'!$F$5:$F$3004,"""")&lt;&gt;""""),ROWS(F$5:F706)),IF(AND(LEFT(x,5)=""Page"&amp;" "",ISERROR(SEARCH(""–"",x))),x&amp;""–""&amp;REGEXEXTRACT(x,""[0-9]+$""),x)),"""")"),"")</f>
        <v/>
      </c>
      <c r="G706" s="163"/>
      <c r="H7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Helper'!$F$5:$F$3004,"""")&lt;&gt;""""),ROWS(H$5:H706)),"""")"),"")</f>
        <v/>
      </c>
    </row>
    <row r="707" ht="15.75" customHeight="1">
      <c r="A7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Helper'!$F$5:$F$3004,"""")&lt;&gt;""""),ROWS(A$5:A707)),"""")"),"")</f>
        <v/>
      </c>
      <c r="B7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Helper'!$F$5:$F$3004,"""")&lt;&gt;""""),ROWS(B$5:B707)),"""")"),"")</f>
        <v/>
      </c>
      <c r="C7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Helper'!$F$5:$F$3004,"""")&lt;&gt;""""),ROWS(C$5:C707)),"""")"),"")</f>
        <v/>
      </c>
      <c r="D7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Helper'!$F$5:$F$3004,"""")&lt;&gt;""""),ROWS(D$5:D707)),"""")"),"")</f>
        <v/>
      </c>
      <c r="E7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Helper'!$F$5:$F$3004,"""")&lt;&gt;""""),ROWS(E$5:E707)),"""")"),"")</f>
        <v/>
      </c>
      <c r="F7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Helper'!$F$5:$F$3004,"""")&lt;&gt;""""),ROWS(F$5:F707)),IF(AND(LEFT(x,5)=""Page"&amp;" "",ISERROR(SEARCH(""–"",x))),x&amp;""–""&amp;REGEXEXTRACT(x,""[0-9]+$""),x)),"""")"),"")</f>
        <v/>
      </c>
      <c r="G707" s="163"/>
      <c r="H7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Helper'!$F$5:$F$3004,"""")&lt;&gt;""""),ROWS(H$5:H707)),"""")"),"")</f>
        <v/>
      </c>
    </row>
    <row r="708" ht="15.75" customHeight="1">
      <c r="A7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Helper'!$F$5:$F$3004,"""")&lt;&gt;""""),ROWS(A$5:A708)),"""")"),"")</f>
        <v/>
      </c>
      <c r="B7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Helper'!$F$5:$F$3004,"""")&lt;&gt;""""),ROWS(B$5:B708)),"""")"),"")</f>
        <v/>
      </c>
      <c r="C7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Helper'!$F$5:$F$3004,"""")&lt;&gt;""""),ROWS(C$5:C708)),"""")"),"")</f>
        <v/>
      </c>
      <c r="D7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Helper'!$F$5:$F$3004,"""")&lt;&gt;""""),ROWS(D$5:D708)),"""")"),"")</f>
        <v/>
      </c>
      <c r="E7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Helper'!$F$5:$F$3004,"""")&lt;&gt;""""),ROWS(E$5:E708)),"""")"),"")</f>
        <v/>
      </c>
      <c r="F7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Helper'!$F$5:$F$3004,"""")&lt;&gt;""""),ROWS(F$5:F708)),IF(AND(LEFT(x,5)=""Page"&amp;" "",ISERROR(SEARCH(""–"",x))),x&amp;""–""&amp;REGEXEXTRACT(x,""[0-9]+$""),x)),"""")"),"")</f>
        <v/>
      </c>
      <c r="G708" s="163"/>
      <c r="H7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Helper'!$F$5:$F$3004,"""")&lt;&gt;""""),ROWS(H$5:H708)),"""")"),"")</f>
        <v/>
      </c>
    </row>
    <row r="709" ht="15.75" customHeight="1">
      <c r="A7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Helper'!$F$5:$F$3004,"""")&lt;&gt;""""),ROWS(A$5:A709)),"""")"),"")</f>
        <v/>
      </c>
      <c r="B7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Helper'!$F$5:$F$3004,"""")&lt;&gt;""""),ROWS(B$5:B709)),"""")"),"")</f>
        <v/>
      </c>
      <c r="C7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Helper'!$F$5:$F$3004,"""")&lt;&gt;""""),ROWS(C$5:C709)),"""")"),"")</f>
        <v/>
      </c>
      <c r="D7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Helper'!$F$5:$F$3004,"""")&lt;&gt;""""),ROWS(D$5:D709)),"""")"),"")</f>
        <v/>
      </c>
      <c r="E7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Helper'!$F$5:$F$3004,"""")&lt;&gt;""""),ROWS(E$5:E709)),"""")"),"")</f>
        <v/>
      </c>
      <c r="F7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Helper'!$F$5:$F$3004,"""")&lt;&gt;""""),ROWS(F$5:F709)),IF(AND(LEFT(x,5)=""Page"&amp;" "",ISERROR(SEARCH(""–"",x))),x&amp;""–""&amp;REGEXEXTRACT(x,""[0-9]+$""),x)),"""")"),"")</f>
        <v/>
      </c>
      <c r="G709" s="163"/>
      <c r="H7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Helper'!$F$5:$F$3004,"""")&lt;&gt;""""),ROWS(H$5:H709)),"""")"),"")</f>
        <v/>
      </c>
    </row>
    <row r="710" ht="15.75" customHeight="1">
      <c r="A7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Helper'!$F$5:$F$3004,"""")&lt;&gt;""""),ROWS(A$5:A710)),"""")"),"")</f>
        <v/>
      </c>
      <c r="B7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Helper'!$F$5:$F$3004,"""")&lt;&gt;""""),ROWS(B$5:B710)),"""")"),"")</f>
        <v/>
      </c>
      <c r="C7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Helper'!$F$5:$F$3004,"""")&lt;&gt;""""),ROWS(C$5:C710)),"""")"),"")</f>
        <v/>
      </c>
      <c r="D7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Helper'!$F$5:$F$3004,"""")&lt;&gt;""""),ROWS(D$5:D710)),"""")"),"")</f>
        <v/>
      </c>
      <c r="E7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Helper'!$F$5:$F$3004,"""")&lt;&gt;""""),ROWS(E$5:E710)),"""")"),"")</f>
        <v/>
      </c>
      <c r="F7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Helper'!$F$5:$F$3004,"""")&lt;&gt;""""),ROWS(F$5:F710)),IF(AND(LEFT(x,5)=""Page"&amp;" "",ISERROR(SEARCH(""–"",x))),x&amp;""–""&amp;REGEXEXTRACT(x,""[0-9]+$""),x)),"""")"),"")</f>
        <v/>
      </c>
      <c r="G710" s="163"/>
      <c r="H7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Helper'!$F$5:$F$3004,"""")&lt;&gt;""""),ROWS(H$5:H710)),"""")"),"")</f>
        <v/>
      </c>
    </row>
    <row r="711" ht="15.75" customHeight="1">
      <c r="A7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Helper'!$F$5:$F$3004,"""")&lt;&gt;""""),ROWS(A$5:A711)),"""")"),"")</f>
        <v/>
      </c>
      <c r="B7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Helper'!$F$5:$F$3004,"""")&lt;&gt;""""),ROWS(B$5:B711)),"""")"),"")</f>
        <v/>
      </c>
      <c r="C7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Helper'!$F$5:$F$3004,"""")&lt;&gt;""""),ROWS(C$5:C711)),"""")"),"")</f>
        <v/>
      </c>
      <c r="D7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Helper'!$F$5:$F$3004,"""")&lt;&gt;""""),ROWS(D$5:D711)),"""")"),"")</f>
        <v/>
      </c>
      <c r="E7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Helper'!$F$5:$F$3004,"""")&lt;&gt;""""),ROWS(E$5:E711)),"""")"),"")</f>
        <v/>
      </c>
      <c r="F7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Helper'!$F$5:$F$3004,"""")&lt;&gt;""""),ROWS(F$5:F711)),IF(AND(LEFT(x,5)=""Page"&amp;" "",ISERROR(SEARCH(""–"",x))),x&amp;""–""&amp;REGEXEXTRACT(x,""[0-9]+$""),x)),"""")"),"")</f>
        <v/>
      </c>
      <c r="G711" s="163"/>
      <c r="H7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Helper'!$F$5:$F$3004,"""")&lt;&gt;""""),ROWS(H$5:H711)),"""")"),"")</f>
        <v/>
      </c>
    </row>
    <row r="712" ht="15.75" customHeight="1">
      <c r="A7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Helper'!$F$5:$F$3004,"""")&lt;&gt;""""),ROWS(A$5:A712)),"""")"),"")</f>
        <v/>
      </c>
      <c r="B7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Helper'!$F$5:$F$3004,"""")&lt;&gt;""""),ROWS(B$5:B712)),"""")"),"")</f>
        <v/>
      </c>
      <c r="C7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Helper'!$F$5:$F$3004,"""")&lt;&gt;""""),ROWS(C$5:C712)),"""")"),"")</f>
        <v/>
      </c>
      <c r="D7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Helper'!$F$5:$F$3004,"""")&lt;&gt;""""),ROWS(D$5:D712)),"""")"),"")</f>
        <v/>
      </c>
      <c r="E7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Helper'!$F$5:$F$3004,"""")&lt;&gt;""""),ROWS(E$5:E712)),"""")"),"")</f>
        <v/>
      </c>
      <c r="F7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Helper'!$F$5:$F$3004,"""")&lt;&gt;""""),ROWS(F$5:F712)),IF(AND(LEFT(x,5)=""Page"&amp;" "",ISERROR(SEARCH(""–"",x))),x&amp;""–""&amp;REGEXEXTRACT(x,""[0-9]+$""),x)),"""")"),"")</f>
        <v/>
      </c>
      <c r="G712" s="163"/>
      <c r="H7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Helper'!$F$5:$F$3004,"""")&lt;&gt;""""),ROWS(H$5:H712)),"""")"),"")</f>
        <v/>
      </c>
    </row>
    <row r="713" ht="15.75" customHeight="1">
      <c r="A7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Helper'!$F$5:$F$3004,"""")&lt;&gt;""""),ROWS(A$5:A713)),"""")"),"")</f>
        <v/>
      </c>
      <c r="B7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Helper'!$F$5:$F$3004,"""")&lt;&gt;""""),ROWS(B$5:B713)),"""")"),"")</f>
        <v/>
      </c>
      <c r="C7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Helper'!$F$5:$F$3004,"""")&lt;&gt;""""),ROWS(C$5:C713)),"""")"),"")</f>
        <v/>
      </c>
      <c r="D7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Helper'!$F$5:$F$3004,"""")&lt;&gt;""""),ROWS(D$5:D713)),"""")"),"")</f>
        <v/>
      </c>
      <c r="E7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Helper'!$F$5:$F$3004,"""")&lt;&gt;""""),ROWS(E$5:E713)),"""")"),"")</f>
        <v/>
      </c>
      <c r="F7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Helper'!$F$5:$F$3004,"""")&lt;&gt;""""),ROWS(F$5:F713)),IF(AND(LEFT(x,5)=""Page"&amp;" "",ISERROR(SEARCH(""–"",x))),x&amp;""–""&amp;REGEXEXTRACT(x,""[0-9]+$""),x)),"""")"),"")</f>
        <v/>
      </c>
      <c r="G713" s="163"/>
      <c r="H7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Helper'!$F$5:$F$3004,"""")&lt;&gt;""""),ROWS(H$5:H713)),"""")"),"")</f>
        <v/>
      </c>
    </row>
    <row r="714" ht="15.75" customHeight="1">
      <c r="A7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Helper'!$F$5:$F$3004,"""")&lt;&gt;""""),ROWS(A$5:A714)),"""")"),"")</f>
        <v/>
      </c>
      <c r="B7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Helper'!$F$5:$F$3004,"""")&lt;&gt;""""),ROWS(B$5:B714)),"""")"),"")</f>
        <v/>
      </c>
      <c r="C7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Helper'!$F$5:$F$3004,"""")&lt;&gt;""""),ROWS(C$5:C714)),"""")"),"")</f>
        <v/>
      </c>
      <c r="D7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Helper'!$F$5:$F$3004,"""")&lt;&gt;""""),ROWS(D$5:D714)),"""")"),"")</f>
        <v/>
      </c>
      <c r="E7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Helper'!$F$5:$F$3004,"""")&lt;&gt;""""),ROWS(E$5:E714)),"""")"),"")</f>
        <v/>
      </c>
      <c r="F7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Helper'!$F$5:$F$3004,"""")&lt;&gt;""""),ROWS(F$5:F714)),IF(AND(LEFT(x,5)=""Page"&amp;" "",ISERROR(SEARCH(""–"",x))),x&amp;""–""&amp;REGEXEXTRACT(x,""[0-9]+$""),x)),"""")"),"")</f>
        <v/>
      </c>
      <c r="G714" s="163"/>
      <c r="H7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Helper'!$F$5:$F$3004,"""")&lt;&gt;""""),ROWS(H$5:H714)),"""")"),"")</f>
        <v/>
      </c>
    </row>
    <row r="715" ht="15.75" customHeight="1">
      <c r="A7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Helper'!$F$5:$F$3004,"""")&lt;&gt;""""),ROWS(A$5:A715)),"""")"),"")</f>
        <v/>
      </c>
      <c r="B7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Helper'!$F$5:$F$3004,"""")&lt;&gt;""""),ROWS(B$5:B715)),"""")"),"")</f>
        <v/>
      </c>
      <c r="C7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Helper'!$F$5:$F$3004,"""")&lt;&gt;""""),ROWS(C$5:C715)),"""")"),"")</f>
        <v/>
      </c>
      <c r="D7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Helper'!$F$5:$F$3004,"""")&lt;&gt;""""),ROWS(D$5:D715)),"""")"),"")</f>
        <v/>
      </c>
      <c r="E7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Helper'!$F$5:$F$3004,"""")&lt;&gt;""""),ROWS(E$5:E715)),"""")"),"")</f>
        <v/>
      </c>
      <c r="F7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Helper'!$F$5:$F$3004,"""")&lt;&gt;""""),ROWS(F$5:F715)),IF(AND(LEFT(x,5)=""Page"&amp;" "",ISERROR(SEARCH(""–"",x))),x&amp;""–""&amp;REGEXEXTRACT(x,""[0-9]+$""),x)),"""")"),"")</f>
        <v/>
      </c>
      <c r="G715" s="163"/>
      <c r="H7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Helper'!$F$5:$F$3004,"""")&lt;&gt;""""),ROWS(H$5:H715)),"""")"),"")</f>
        <v/>
      </c>
    </row>
    <row r="716" ht="15.75" customHeight="1">
      <c r="A7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Helper'!$F$5:$F$3004,"""")&lt;&gt;""""),ROWS(A$5:A716)),"""")"),"")</f>
        <v/>
      </c>
      <c r="B7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Helper'!$F$5:$F$3004,"""")&lt;&gt;""""),ROWS(B$5:B716)),"""")"),"")</f>
        <v/>
      </c>
      <c r="C7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Helper'!$F$5:$F$3004,"""")&lt;&gt;""""),ROWS(C$5:C716)),"""")"),"")</f>
        <v/>
      </c>
      <c r="D7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Helper'!$F$5:$F$3004,"""")&lt;&gt;""""),ROWS(D$5:D716)),"""")"),"")</f>
        <v/>
      </c>
      <c r="E7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Helper'!$F$5:$F$3004,"""")&lt;&gt;""""),ROWS(E$5:E716)),"""")"),"")</f>
        <v/>
      </c>
      <c r="F7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Helper'!$F$5:$F$3004,"""")&lt;&gt;""""),ROWS(F$5:F716)),IF(AND(LEFT(x,5)=""Page"&amp;" "",ISERROR(SEARCH(""–"",x))),x&amp;""–""&amp;REGEXEXTRACT(x,""[0-9]+$""),x)),"""")"),"")</f>
        <v/>
      </c>
      <c r="G716" s="163"/>
      <c r="H7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Helper'!$F$5:$F$3004,"""")&lt;&gt;""""),ROWS(H$5:H716)),"""")"),"")</f>
        <v/>
      </c>
    </row>
    <row r="717" ht="15.75" customHeight="1">
      <c r="A7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Helper'!$F$5:$F$3004,"""")&lt;&gt;""""),ROWS(A$5:A717)),"""")"),"")</f>
        <v/>
      </c>
      <c r="B7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Helper'!$F$5:$F$3004,"""")&lt;&gt;""""),ROWS(B$5:B717)),"""")"),"")</f>
        <v/>
      </c>
      <c r="C7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Helper'!$F$5:$F$3004,"""")&lt;&gt;""""),ROWS(C$5:C717)),"""")"),"")</f>
        <v/>
      </c>
      <c r="D7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Helper'!$F$5:$F$3004,"""")&lt;&gt;""""),ROWS(D$5:D717)),"""")"),"")</f>
        <v/>
      </c>
      <c r="E7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Helper'!$F$5:$F$3004,"""")&lt;&gt;""""),ROWS(E$5:E717)),"""")"),"")</f>
        <v/>
      </c>
      <c r="F7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Helper'!$F$5:$F$3004,"""")&lt;&gt;""""),ROWS(F$5:F717)),IF(AND(LEFT(x,5)=""Page"&amp;" "",ISERROR(SEARCH(""–"",x))),x&amp;""–""&amp;REGEXEXTRACT(x,""[0-9]+$""),x)),"""")"),"")</f>
        <v/>
      </c>
      <c r="G717" s="163"/>
      <c r="H7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Helper'!$F$5:$F$3004,"""")&lt;&gt;""""),ROWS(H$5:H717)),"""")"),"")</f>
        <v/>
      </c>
    </row>
    <row r="718" ht="15.75" customHeight="1">
      <c r="A7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Helper'!$F$5:$F$3004,"""")&lt;&gt;""""),ROWS(A$5:A718)),"""")"),"")</f>
        <v/>
      </c>
      <c r="B7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Helper'!$F$5:$F$3004,"""")&lt;&gt;""""),ROWS(B$5:B718)),"""")"),"")</f>
        <v/>
      </c>
      <c r="C7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Helper'!$F$5:$F$3004,"""")&lt;&gt;""""),ROWS(C$5:C718)),"""")"),"")</f>
        <v/>
      </c>
      <c r="D7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Helper'!$F$5:$F$3004,"""")&lt;&gt;""""),ROWS(D$5:D718)),"""")"),"")</f>
        <v/>
      </c>
      <c r="E7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Helper'!$F$5:$F$3004,"""")&lt;&gt;""""),ROWS(E$5:E718)),"""")"),"")</f>
        <v/>
      </c>
      <c r="F7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Helper'!$F$5:$F$3004,"""")&lt;&gt;""""),ROWS(F$5:F718)),IF(AND(LEFT(x,5)=""Page"&amp;" "",ISERROR(SEARCH(""–"",x))),x&amp;""–""&amp;REGEXEXTRACT(x,""[0-9]+$""),x)),"""")"),"")</f>
        <v/>
      </c>
      <c r="G718" s="163"/>
      <c r="H7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Helper'!$F$5:$F$3004,"""")&lt;&gt;""""),ROWS(H$5:H718)),"""")"),"")</f>
        <v/>
      </c>
    </row>
    <row r="719" ht="15.75" customHeight="1">
      <c r="A7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Helper'!$F$5:$F$3004,"""")&lt;&gt;""""),ROWS(A$5:A719)),"""")"),"")</f>
        <v/>
      </c>
      <c r="B7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Helper'!$F$5:$F$3004,"""")&lt;&gt;""""),ROWS(B$5:B719)),"""")"),"")</f>
        <v/>
      </c>
      <c r="C7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Helper'!$F$5:$F$3004,"""")&lt;&gt;""""),ROWS(C$5:C719)),"""")"),"")</f>
        <v/>
      </c>
      <c r="D7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Helper'!$F$5:$F$3004,"""")&lt;&gt;""""),ROWS(D$5:D719)),"""")"),"")</f>
        <v/>
      </c>
      <c r="E7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Helper'!$F$5:$F$3004,"""")&lt;&gt;""""),ROWS(E$5:E719)),"""")"),"")</f>
        <v/>
      </c>
      <c r="F7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Helper'!$F$5:$F$3004,"""")&lt;&gt;""""),ROWS(F$5:F719)),IF(AND(LEFT(x,5)=""Page"&amp;" "",ISERROR(SEARCH(""–"",x))),x&amp;""–""&amp;REGEXEXTRACT(x,""[0-9]+$""),x)),"""")"),"")</f>
        <v/>
      </c>
      <c r="G719" s="163"/>
      <c r="H7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Helper'!$F$5:$F$3004,"""")&lt;&gt;""""),ROWS(H$5:H719)),"""")"),"")</f>
        <v/>
      </c>
    </row>
    <row r="720" ht="15.75" customHeight="1">
      <c r="A7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Helper'!$F$5:$F$3004,"""")&lt;&gt;""""),ROWS(A$5:A720)),"""")"),"")</f>
        <v/>
      </c>
      <c r="B7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Helper'!$F$5:$F$3004,"""")&lt;&gt;""""),ROWS(B$5:B720)),"""")"),"")</f>
        <v/>
      </c>
      <c r="C7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Helper'!$F$5:$F$3004,"""")&lt;&gt;""""),ROWS(C$5:C720)),"""")"),"")</f>
        <v/>
      </c>
      <c r="D7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Helper'!$F$5:$F$3004,"""")&lt;&gt;""""),ROWS(D$5:D720)),"""")"),"")</f>
        <v/>
      </c>
      <c r="E7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Helper'!$F$5:$F$3004,"""")&lt;&gt;""""),ROWS(E$5:E720)),"""")"),"")</f>
        <v/>
      </c>
      <c r="F7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Helper'!$F$5:$F$3004,"""")&lt;&gt;""""),ROWS(F$5:F720)),IF(AND(LEFT(x,5)=""Page"&amp;" "",ISERROR(SEARCH(""–"",x))),x&amp;""–""&amp;REGEXEXTRACT(x,""[0-9]+$""),x)),"""")"),"")</f>
        <v/>
      </c>
      <c r="G720" s="163"/>
      <c r="H7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Helper'!$F$5:$F$3004,"""")&lt;&gt;""""),ROWS(H$5:H720)),"""")"),"")</f>
        <v/>
      </c>
    </row>
    <row r="721" ht="15.75" customHeight="1">
      <c r="A7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Helper'!$F$5:$F$3004,"""")&lt;&gt;""""),ROWS(A$5:A721)),"""")"),"")</f>
        <v/>
      </c>
      <c r="B7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Helper'!$F$5:$F$3004,"""")&lt;&gt;""""),ROWS(B$5:B721)),"""")"),"")</f>
        <v/>
      </c>
      <c r="C7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Helper'!$F$5:$F$3004,"""")&lt;&gt;""""),ROWS(C$5:C721)),"""")"),"")</f>
        <v/>
      </c>
      <c r="D7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Helper'!$F$5:$F$3004,"""")&lt;&gt;""""),ROWS(D$5:D721)),"""")"),"")</f>
        <v/>
      </c>
      <c r="E7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Helper'!$F$5:$F$3004,"""")&lt;&gt;""""),ROWS(E$5:E721)),"""")"),"")</f>
        <v/>
      </c>
      <c r="F7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Helper'!$F$5:$F$3004,"""")&lt;&gt;""""),ROWS(F$5:F721)),IF(AND(LEFT(x,5)=""Page"&amp;" "",ISERROR(SEARCH(""–"",x))),x&amp;""–""&amp;REGEXEXTRACT(x,""[0-9]+$""),x)),"""")"),"")</f>
        <v/>
      </c>
      <c r="G721" s="163"/>
      <c r="H7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Helper'!$F$5:$F$3004,"""")&lt;&gt;""""),ROWS(H$5:H721)),"""")"),"")</f>
        <v/>
      </c>
    </row>
    <row r="722" ht="15.75" customHeight="1">
      <c r="A7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Helper'!$F$5:$F$3004,"""")&lt;&gt;""""),ROWS(A$5:A722)),"""")"),"")</f>
        <v/>
      </c>
      <c r="B7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Helper'!$F$5:$F$3004,"""")&lt;&gt;""""),ROWS(B$5:B722)),"""")"),"")</f>
        <v/>
      </c>
      <c r="C7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Helper'!$F$5:$F$3004,"""")&lt;&gt;""""),ROWS(C$5:C722)),"""")"),"")</f>
        <v/>
      </c>
      <c r="D7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Helper'!$F$5:$F$3004,"""")&lt;&gt;""""),ROWS(D$5:D722)),"""")"),"")</f>
        <v/>
      </c>
      <c r="E7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Helper'!$F$5:$F$3004,"""")&lt;&gt;""""),ROWS(E$5:E722)),"""")"),"")</f>
        <v/>
      </c>
      <c r="F7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Helper'!$F$5:$F$3004,"""")&lt;&gt;""""),ROWS(F$5:F722)),IF(AND(LEFT(x,5)=""Page"&amp;" "",ISERROR(SEARCH(""–"",x))),x&amp;""–""&amp;REGEXEXTRACT(x,""[0-9]+$""),x)),"""")"),"")</f>
        <v/>
      </c>
      <c r="G722" s="163"/>
      <c r="H7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Helper'!$F$5:$F$3004,"""")&lt;&gt;""""),ROWS(H$5:H722)),"""")"),"")</f>
        <v/>
      </c>
    </row>
    <row r="723" ht="15.75" customHeight="1">
      <c r="A7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Helper'!$F$5:$F$3004,"""")&lt;&gt;""""),ROWS(A$5:A723)),"""")"),"")</f>
        <v/>
      </c>
      <c r="B7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Helper'!$F$5:$F$3004,"""")&lt;&gt;""""),ROWS(B$5:B723)),"""")"),"")</f>
        <v/>
      </c>
      <c r="C7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Helper'!$F$5:$F$3004,"""")&lt;&gt;""""),ROWS(C$5:C723)),"""")"),"")</f>
        <v/>
      </c>
      <c r="D7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Helper'!$F$5:$F$3004,"""")&lt;&gt;""""),ROWS(D$5:D723)),"""")"),"")</f>
        <v/>
      </c>
      <c r="E7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Helper'!$F$5:$F$3004,"""")&lt;&gt;""""),ROWS(E$5:E723)),"""")"),"")</f>
        <v/>
      </c>
      <c r="F7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Helper'!$F$5:$F$3004,"""")&lt;&gt;""""),ROWS(F$5:F723)),IF(AND(LEFT(x,5)=""Page"&amp;" "",ISERROR(SEARCH(""–"",x))),x&amp;""–""&amp;REGEXEXTRACT(x,""[0-9]+$""),x)),"""")"),"")</f>
        <v/>
      </c>
      <c r="G723" s="163"/>
      <c r="H7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Helper'!$F$5:$F$3004,"""")&lt;&gt;""""),ROWS(H$5:H723)),"""")"),"")</f>
        <v/>
      </c>
    </row>
    <row r="724" ht="15.75" customHeight="1">
      <c r="A7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Helper'!$F$5:$F$3004,"""")&lt;&gt;""""),ROWS(A$5:A724)),"""")"),"")</f>
        <v/>
      </c>
      <c r="B7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Helper'!$F$5:$F$3004,"""")&lt;&gt;""""),ROWS(B$5:B724)),"""")"),"")</f>
        <v/>
      </c>
      <c r="C7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Helper'!$F$5:$F$3004,"""")&lt;&gt;""""),ROWS(C$5:C724)),"""")"),"")</f>
        <v/>
      </c>
      <c r="D7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Helper'!$F$5:$F$3004,"""")&lt;&gt;""""),ROWS(D$5:D724)),"""")"),"")</f>
        <v/>
      </c>
      <c r="E7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Helper'!$F$5:$F$3004,"""")&lt;&gt;""""),ROWS(E$5:E724)),"""")"),"")</f>
        <v/>
      </c>
      <c r="F7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Helper'!$F$5:$F$3004,"""")&lt;&gt;""""),ROWS(F$5:F724)),IF(AND(LEFT(x,5)=""Page"&amp;" "",ISERROR(SEARCH(""–"",x))),x&amp;""–""&amp;REGEXEXTRACT(x,""[0-9]+$""),x)),"""")"),"")</f>
        <v/>
      </c>
      <c r="G724" s="163"/>
      <c r="H7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Helper'!$F$5:$F$3004,"""")&lt;&gt;""""),ROWS(H$5:H724)),"""")"),"")</f>
        <v/>
      </c>
    </row>
    <row r="725" ht="15.75" customHeight="1">
      <c r="A7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Helper'!$F$5:$F$3004,"""")&lt;&gt;""""),ROWS(A$5:A725)),"""")"),"")</f>
        <v/>
      </c>
      <c r="B7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Helper'!$F$5:$F$3004,"""")&lt;&gt;""""),ROWS(B$5:B725)),"""")"),"")</f>
        <v/>
      </c>
      <c r="C7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Helper'!$F$5:$F$3004,"""")&lt;&gt;""""),ROWS(C$5:C725)),"""")"),"")</f>
        <v/>
      </c>
      <c r="D7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Helper'!$F$5:$F$3004,"""")&lt;&gt;""""),ROWS(D$5:D725)),"""")"),"")</f>
        <v/>
      </c>
      <c r="E7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Helper'!$F$5:$F$3004,"""")&lt;&gt;""""),ROWS(E$5:E725)),"""")"),"")</f>
        <v/>
      </c>
      <c r="F7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Helper'!$F$5:$F$3004,"""")&lt;&gt;""""),ROWS(F$5:F725)),IF(AND(LEFT(x,5)=""Page"&amp;" "",ISERROR(SEARCH(""–"",x))),x&amp;""–""&amp;REGEXEXTRACT(x,""[0-9]+$""),x)),"""")"),"")</f>
        <v/>
      </c>
      <c r="G725" s="163"/>
      <c r="H7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Helper'!$F$5:$F$3004,"""")&lt;&gt;""""),ROWS(H$5:H725)),"""")"),"")</f>
        <v/>
      </c>
    </row>
    <row r="726" ht="15.75" customHeight="1">
      <c r="A7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Helper'!$F$5:$F$3004,"""")&lt;&gt;""""),ROWS(A$5:A726)),"""")"),"")</f>
        <v/>
      </c>
      <c r="B7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Helper'!$F$5:$F$3004,"""")&lt;&gt;""""),ROWS(B$5:B726)),"""")"),"")</f>
        <v/>
      </c>
      <c r="C7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Helper'!$F$5:$F$3004,"""")&lt;&gt;""""),ROWS(C$5:C726)),"""")"),"")</f>
        <v/>
      </c>
      <c r="D7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Helper'!$F$5:$F$3004,"""")&lt;&gt;""""),ROWS(D$5:D726)),"""")"),"")</f>
        <v/>
      </c>
      <c r="E7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Helper'!$F$5:$F$3004,"""")&lt;&gt;""""),ROWS(E$5:E726)),"""")"),"")</f>
        <v/>
      </c>
      <c r="F7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Helper'!$F$5:$F$3004,"""")&lt;&gt;""""),ROWS(F$5:F726)),IF(AND(LEFT(x,5)=""Page"&amp;" "",ISERROR(SEARCH(""–"",x))),x&amp;""–""&amp;REGEXEXTRACT(x,""[0-9]+$""),x)),"""")"),"")</f>
        <v/>
      </c>
      <c r="G726" s="163"/>
      <c r="H7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Helper'!$F$5:$F$3004,"""")&lt;&gt;""""),ROWS(H$5:H726)),"""")"),"")</f>
        <v/>
      </c>
    </row>
    <row r="727" ht="15.75" customHeight="1">
      <c r="A7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Helper'!$F$5:$F$3004,"""")&lt;&gt;""""),ROWS(A$5:A727)),"""")"),"")</f>
        <v/>
      </c>
      <c r="B7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Helper'!$F$5:$F$3004,"""")&lt;&gt;""""),ROWS(B$5:B727)),"""")"),"")</f>
        <v/>
      </c>
      <c r="C7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Helper'!$F$5:$F$3004,"""")&lt;&gt;""""),ROWS(C$5:C727)),"""")"),"")</f>
        <v/>
      </c>
      <c r="D7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Helper'!$F$5:$F$3004,"""")&lt;&gt;""""),ROWS(D$5:D727)),"""")"),"")</f>
        <v/>
      </c>
      <c r="E7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Helper'!$F$5:$F$3004,"""")&lt;&gt;""""),ROWS(E$5:E727)),"""")"),"")</f>
        <v/>
      </c>
      <c r="F7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Helper'!$F$5:$F$3004,"""")&lt;&gt;""""),ROWS(F$5:F727)),IF(AND(LEFT(x,5)=""Page"&amp;" "",ISERROR(SEARCH(""–"",x))),x&amp;""–""&amp;REGEXEXTRACT(x,""[0-9]+$""),x)),"""")"),"")</f>
        <v/>
      </c>
      <c r="G727" s="163"/>
      <c r="H7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Helper'!$F$5:$F$3004,"""")&lt;&gt;""""),ROWS(H$5:H727)),"""")"),"")</f>
        <v/>
      </c>
    </row>
    <row r="728" ht="15.75" customHeight="1">
      <c r="A7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Helper'!$F$5:$F$3004,"""")&lt;&gt;""""),ROWS(A$5:A728)),"""")"),"")</f>
        <v/>
      </c>
      <c r="B7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Helper'!$F$5:$F$3004,"""")&lt;&gt;""""),ROWS(B$5:B728)),"""")"),"")</f>
        <v/>
      </c>
      <c r="C7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Helper'!$F$5:$F$3004,"""")&lt;&gt;""""),ROWS(C$5:C728)),"""")"),"")</f>
        <v/>
      </c>
      <c r="D7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Helper'!$F$5:$F$3004,"""")&lt;&gt;""""),ROWS(D$5:D728)),"""")"),"")</f>
        <v/>
      </c>
      <c r="E7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Helper'!$F$5:$F$3004,"""")&lt;&gt;""""),ROWS(E$5:E728)),"""")"),"")</f>
        <v/>
      </c>
      <c r="F7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Helper'!$F$5:$F$3004,"""")&lt;&gt;""""),ROWS(F$5:F728)),IF(AND(LEFT(x,5)=""Page"&amp;" "",ISERROR(SEARCH(""–"",x))),x&amp;""–""&amp;REGEXEXTRACT(x,""[0-9]+$""),x)),"""")"),"")</f>
        <v/>
      </c>
      <c r="G728" s="163"/>
      <c r="H7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Helper'!$F$5:$F$3004,"""")&lt;&gt;""""),ROWS(H$5:H728)),"""")"),"")</f>
        <v/>
      </c>
    </row>
    <row r="729" ht="15.75" customHeight="1">
      <c r="A7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Helper'!$F$5:$F$3004,"""")&lt;&gt;""""),ROWS(A$5:A729)),"""")"),"")</f>
        <v/>
      </c>
      <c r="B7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Helper'!$F$5:$F$3004,"""")&lt;&gt;""""),ROWS(B$5:B729)),"""")"),"")</f>
        <v/>
      </c>
      <c r="C7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Helper'!$F$5:$F$3004,"""")&lt;&gt;""""),ROWS(C$5:C729)),"""")"),"")</f>
        <v/>
      </c>
      <c r="D7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Helper'!$F$5:$F$3004,"""")&lt;&gt;""""),ROWS(D$5:D729)),"""")"),"")</f>
        <v/>
      </c>
      <c r="E7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Helper'!$F$5:$F$3004,"""")&lt;&gt;""""),ROWS(E$5:E729)),"""")"),"")</f>
        <v/>
      </c>
      <c r="F7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Helper'!$F$5:$F$3004,"""")&lt;&gt;""""),ROWS(F$5:F729)),IF(AND(LEFT(x,5)=""Page"&amp;" "",ISERROR(SEARCH(""–"",x))),x&amp;""–""&amp;REGEXEXTRACT(x,""[0-9]+$""),x)),"""")"),"")</f>
        <v/>
      </c>
      <c r="G729" s="163"/>
      <c r="H7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Helper'!$F$5:$F$3004,"""")&lt;&gt;""""),ROWS(H$5:H729)),"""")"),"")</f>
        <v/>
      </c>
    </row>
    <row r="730" ht="15.75" customHeight="1">
      <c r="A7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Helper'!$F$5:$F$3004,"""")&lt;&gt;""""),ROWS(A$5:A730)),"""")"),"")</f>
        <v/>
      </c>
      <c r="B7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Helper'!$F$5:$F$3004,"""")&lt;&gt;""""),ROWS(B$5:B730)),"""")"),"")</f>
        <v/>
      </c>
      <c r="C7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Helper'!$F$5:$F$3004,"""")&lt;&gt;""""),ROWS(C$5:C730)),"""")"),"")</f>
        <v/>
      </c>
      <c r="D7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Helper'!$F$5:$F$3004,"""")&lt;&gt;""""),ROWS(D$5:D730)),"""")"),"")</f>
        <v/>
      </c>
      <c r="E7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Helper'!$F$5:$F$3004,"""")&lt;&gt;""""),ROWS(E$5:E730)),"""")"),"")</f>
        <v/>
      </c>
      <c r="F7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Helper'!$F$5:$F$3004,"""")&lt;&gt;""""),ROWS(F$5:F730)),IF(AND(LEFT(x,5)=""Page"&amp;" "",ISERROR(SEARCH(""–"",x))),x&amp;""–""&amp;REGEXEXTRACT(x,""[0-9]+$""),x)),"""")"),"")</f>
        <v/>
      </c>
      <c r="G730" s="163"/>
      <c r="H7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Helper'!$F$5:$F$3004,"""")&lt;&gt;""""),ROWS(H$5:H730)),"""")"),"")</f>
        <v/>
      </c>
    </row>
    <row r="731" ht="15.75" customHeight="1">
      <c r="A7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Helper'!$F$5:$F$3004,"""")&lt;&gt;""""),ROWS(A$5:A731)),"""")"),"")</f>
        <v/>
      </c>
      <c r="B7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Helper'!$F$5:$F$3004,"""")&lt;&gt;""""),ROWS(B$5:B731)),"""")"),"")</f>
        <v/>
      </c>
      <c r="C7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Helper'!$F$5:$F$3004,"""")&lt;&gt;""""),ROWS(C$5:C731)),"""")"),"")</f>
        <v/>
      </c>
      <c r="D7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Helper'!$F$5:$F$3004,"""")&lt;&gt;""""),ROWS(D$5:D731)),"""")"),"")</f>
        <v/>
      </c>
      <c r="E7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Helper'!$F$5:$F$3004,"""")&lt;&gt;""""),ROWS(E$5:E731)),"""")"),"")</f>
        <v/>
      </c>
      <c r="F7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Helper'!$F$5:$F$3004,"""")&lt;&gt;""""),ROWS(F$5:F731)),IF(AND(LEFT(x,5)=""Page"&amp;" "",ISERROR(SEARCH(""–"",x))),x&amp;""–""&amp;REGEXEXTRACT(x,""[0-9]+$""),x)),"""")"),"")</f>
        <v/>
      </c>
      <c r="G731" s="163"/>
      <c r="H7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Helper'!$F$5:$F$3004,"""")&lt;&gt;""""),ROWS(H$5:H731)),"""")"),"")</f>
        <v/>
      </c>
    </row>
    <row r="732" ht="15.75" customHeight="1">
      <c r="A7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Helper'!$F$5:$F$3004,"""")&lt;&gt;""""),ROWS(A$5:A732)),"""")"),"")</f>
        <v/>
      </c>
      <c r="B7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Helper'!$F$5:$F$3004,"""")&lt;&gt;""""),ROWS(B$5:B732)),"""")"),"")</f>
        <v/>
      </c>
      <c r="C7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Helper'!$F$5:$F$3004,"""")&lt;&gt;""""),ROWS(C$5:C732)),"""")"),"")</f>
        <v/>
      </c>
      <c r="D7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Helper'!$F$5:$F$3004,"""")&lt;&gt;""""),ROWS(D$5:D732)),"""")"),"")</f>
        <v/>
      </c>
      <c r="E7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Helper'!$F$5:$F$3004,"""")&lt;&gt;""""),ROWS(E$5:E732)),"""")"),"")</f>
        <v/>
      </c>
      <c r="F7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Helper'!$F$5:$F$3004,"""")&lt;&gt;""""),ROWS(F$5:F732)),IF(AND(LEFT(x,5)=""Page"&amp;" "",ISERROR(SEARCH(""–"",x))),x&amp;""–""&amp;REGEXEXTRACT(x,""[0-9]+$""),x)),"""")"),"")</f>
        <v/>
      </c>
      <c r="G732" s="163"/>
      <c r="H7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Helper'!$F$5:$F$3004,"""")&lt;&gt;""""),ROWS(H$5:H732)),"""")"),"")</f>
        <v/>
      </c>
    </row>
    <row r="733" ht="15.75" customHeight="1">
      <c r="A7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Helper'!$F$5:$F$3004,"""")&lt;&gt;""""),ROWS(A$5:A733)),"""")"),"")</f>
        <v/>
      </c>
      <c r="B7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Helper'!$F$5:$F$3004,"""")&lt;&gt;""""),ROWS(B$5:B733)),"""")"),"")</f>
        <v/>
      </c>
      <c r="C7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Helper'!$F$5:$F$3004,"""")&lt;&gt;""""),ROWS(C$5:C733)),"""")"),"")</f>
        <v/>
      </c>
      <c r="D7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Helper'!$F$5:$F$3004,"""")&lt;&gt;""""),ROWS(D$5:D733)),"""")"),"")</f>
        <v/>
      </c>
      <c r="E7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Helper'!$F$5:$F$3004,"""")&lt;&gt;""""),ROWS(E$5:E733)),"""")"),"")</f>
        <v/>
      </c>
      <c r="F7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Helper'!$F$5:$F$3004,"""")&lt;&gt;""""),ROWS(F$5:F733)),IF(AND(LEFT(x,5)=""Page"&amp;" "",ISERROR(SEARCH(""–"",x))),x&amp;""–""&amp;REGEXEXTRACT(x,""[0-9]+$""),x)),"""")"),"")</f>
        <v/>
      </c>
      <c r="G733" s="163"/>
      <c r="H7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Helper'!$F$5:$F$3004,"""")&lt;&gt;""""),ROWS(H$5:H733)),"""")"),"")</f>
        <v/>
      </c>
    </row>
    <row r="734" ht="15.75" customHeight="1">
      <c r="A7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Helper'!$F$5:$F$3004,"""")&lt;&gt;""""),ROWS(A$5:A734)),"""")"),"")</f>
        <v/>
      </c>
      <c r="B7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Helper'!$F$5:$F$3004,"""")&lt;&gt;""""),ROWS(B$5:B734)),"""")"),"")</f>
        <v/>
      </c>
      <c r="C7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Helper'!$F$5:$F$3004,"""")&lt;&gt;""""),ROWS(C$5:C734)),"""")"),"")</f>
        <v/>
      </c>
      <c r="D7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Helper'!$F$5:$F$3004,"""")&lt;&gt;""""),ROWS(D$5:D734)),"""")"),"")</f>
        <v/>
      </c>
      <c r="E7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Helper'!$F$5:$F$3004,"""")&lt;&gt;""""),ROWS(E$5:E734)),"""")"),"")</f>
        <v/>
      </c>
      <c r="F7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Helper'!$F$5:$F$3004,"""")&lt;&gt;""""),ROWS(F$5:F734)),IF(AND(LEFT(x,5)=""Page"&amp;" "",ISERROR(SEARCH(""–"",x))),x&amp;""–""&amp;REGEXEXTRACT(x,""[0-9]+$""),x)),"""")"),"")</f>
        <v/>
      </c>
      <c r="G734" s="163"/>
      <c r="H7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Helper'!$F$5:$F$3004,"""")&lt;&gt;""""),ROWS(H$5:H734)),"""")"),"")</f>
        <v/>
      </c>
    </row>
    <row r="735" ht="15.75" customHeight="1">
      <c r="A7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Helper'!$F$5:$F$3004,"""")&lt;&gt;""""),ROWS(A$5:A735)),"""")"),"")</f>
        <v/>
      </c>
      <c r="B7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Helper'!$F$5:$F$3004,"""")&lt;&gt;""""),ROWS(B$5:B735)),"""")"),"")</f>
        <v/>
      </c>
      <c r="C7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Helper'!$F$5:$F$3004,"""")&lt;&gt;""""),ROWS(C$5:C735)),"""")"),"")</f>
        <v/>
      </c>
      <c r="D7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Helper'!$F$5:$F$3004,"""")&lt;&gt;""""),ROWS(D$5:D735)),"""")"),"")</f>
        <v/>
      </c>
      <c r="E7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Helper'!$F$5:$F$3004,"""")&lt;&gt;""""),ROWS(E$5:E735)),"""")"),"")</f>
        <v/>
      </c>
      <c r="F7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Helper'!$F$5:$F$3004,"""")&lt;&gt;""""),ROWS(F$5:F735)),IF(AND(LEFT(x,5)=""Page"&amp;" "",ISERROR(SEARCH(""–"",x))),x&amp;""–""&amp;REGEXEXTRACT(x,""[0-9]+$""),x)),"""")"),"")</f>
        <v/>
      </c>
      <c r="G735" s="163"/>
      <c r="H7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Helper'!$F$5:$F$3004,"""")&lt;&gt;""""),ROWS(H$5:H735)),"""")"),"")</f>
        <v/>
      </c>
    </row>
    <row r="736" ht="15.75" customHeight="1">
      <c r="A7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Helper'!$F$5:$F$3004,"""")&lt;&gt;""""),ROWS(A$5:A736)),"""")"),"")</f>
        <v/>
      </c>
      <c r="B7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Helper'!$F$5:$F$3004,"""")&lt;&gt;""""),ROWS(B$5:B736)),"""")"),"")</f>
        <v/>
      </c>
      <c r="C7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Helper'!$F$5:$F$3004,"""")&lt;&gt;""""),ROWS(C$5:C736)),"""")"),"")</f>
        <v/>
      </c>
      <c r="D7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Helper'!$F$5:$F$3004,"""")&lt;&gt;""""),ROWS(D$5:D736)),"""")"),"")</f>
        <v/>
      </c>
      <c r="E7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Helper'!$F$5:$F$3004,"""")&lt;&gt;""""),ROWS(E$5:E736)),"""")"),"")</f>
        <v/>
      </c>
      <c r="F7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Helper'!$F$5:$F$3004,"""")&lt;&gt;""""),ROWS(F$5:F736)),IF(AND(LEFT(x,5)=""Page"&amp;" "",ISERROR(SEARCH(""–"",x))),x&amp;""–""&amp;REGEXEXTRACT(x,""[0-9]+$""),x)),"""")"),"")</f>
        <v/>
      </c>
      <c r="G736" s="163"/>
      <c r="H7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Helper'!$F$5:$F$3004,"""")&lt;&gt;""""),ROWS(H$5:H736)),"""")"),"")</f>
        <v/>
      </c>
    </row>
    <row r="737" ht="15.75" customHeight="1">
      <c r="A7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Helper'!$F$5:$F$3004,"""")&lt;&gt;""""),ROWS(A$5:A737)),"""")"),"")</f>
        <v/>
      </c>
      <c r="B7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Helper'!$F$5:$F$3004,"""")&lt;&gt;""""),ROWS(B$5:B737)),"""")"),"")</f>
        <v/>
      </c>
      <c r="C7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Helper'!$F$5:$F$3004,"""")&lt;&gt;""""),ROWS(C$5:C737)),"""")"),"")</f>
        <v/>
      </c>
      <c r="D7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Helper'!$F$5:$F$3004,"""")&lt;&gt;""""),ROWS(D$5:D737)),"""")"),"")</f>
        <v/>
      </c>
      <c r="E7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Helper'!$F$5:$F$3004,"""")&lt;&gt;""""),ROWS(E$5:E737)),"""")"),"")</f>
        <v/>
      </c>
      <c r="F7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Helper'!$F$5:$F$3004,"""")&lt;&gt;""""),ROWS(F$5:F737)),IF(AND(LEFT(x,5)=""Page"&amp;" "",ISERROR(SEARCH(""–"",x))),x&amp;""–""&amp;REGEXEXTRACT(x,""[0-9]+$""),x)),"""")"),"")</f>
        <v/>
      </c>
      <c r="G737" s="163"/>
      <c r="H7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Helper'!$F$5:$F$3004,"""")&lt;&gt;""""),ROWS(H$5:H737)),"""")"),"")</f>
        <v/>
      </c>
    </row>
    <row r="738" ht="15.75" customHeight="1">
      <c r="A7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Helper'!$F$5:$F$3004,"""")&lt;&gt;""""),ROWS(A$5:A738)),"""")"),"")</f>
        <v/>
      </c>
      <c r="B7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Helper'!$F$5:$F$3004,"""")&lt;&gt;""""),ROWS(B$5:B738)),"""")"),"")</f>
        <v/>
      </c>
      <c r="C7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Helper'!$F$5:$F$3004,"""")&lt;&gt;""""),ROWS(C$5:C738)),"""")"),"")</f>
        <v/>
      </c>
      <c r="D7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Helper'!$F$5:$F$3004,"""")&lt;&gt;""""),ROWS(D$5:D738)),"""")"),"")</f>
        <v/>
      </c>
      <c r="E7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Helper'!$F$5:$F$3004,"""")&lt;&gt;""""),ROWS(E$5:E738)),"""")"),"")</f>
        <v/>
      </c>
      <c r="F7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Helper'!$F$5:$F$3004,"""")&lt;&gt;""""),ROWS(F$5:F738)),IF(AND(LEFT(x,5)=""Page"&amp;" "",ISERROR(SEARCH(""–"",x))),x&amp;""–""&amp;REGEXEXTRACT(x,""[0-9]+$""),x)),"""")"),"")</f>
        <v/>
      </c>
      <c r="G738" s="163"/>
      <c r="H7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Helper'!$F$5:$F$3004,"""")&lt;&gt;""""),ROWS(H$5:H738)),"""")"),"")</f>
        <v/>
      </c>
    </row>
    <row r="739" ht="15.75" customHeight="1">
      <c r="A7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Helper'!$F$5:$F$3004,"""")&lt;&gt;""""),ROWS(A$5:A739)),"""")"),"")</f>
        <v/>
      </c>
      <c r="B7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Helper'!$F$5:$F$3004,"""")&lt;&gt;""""),ROWS(B$5:B739)),"""")"),"")</f>
        <v/>
      </c>
      <c r="C7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Helper'!$F$5:$F$3004,"""")&lt;&gt;""""),ROWS(C$5:C739)),"""")"),"")</f>
        <v/>
      </c>
      <c r="D7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Helper'!$F$5:$F$3004,"""")&lt;&gt;""""),ROWS(D$5:D739)),"""")"),"")</f>
        <v/>
      </c>
      <c r="E7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Helper'!$F$5:$F$3004,"""")&lt;&gt;""""),ROWS(E$5:E739)),"""")"),"")</f>
        <v/>
      </c>
      <c r="F7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Helper'!$F$5:$F$3004,"""")&lt;&gt;""""),ROWS(F$5:F739)),IF(AND(LEFT(x,5)=""Page"&amp;" "",ISERROR(SEARCH(""–"",x))),x&amp;""–""&amp;REGEXEXTRACT(x,""[0-9]+$""),x)),"""")"),"")</f>
        <v/>
      </c>
      <c r="G739" s="163"/>
      <c r="H7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Helper'!$F$5:$F$3004,"""")&lt;&gt;""""),ROWS(H$5:H739)),"""")"),"")</f>
        <v/>
      </c>
    </row>
    <row r="740" ht="15.75" customHeight="1">
      <c r="A7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Helper'!$F$5:$F$3004,"""")&lt;&gt;""""),ROWS(A$5:A740)),"""")"),"")</f>
        <v/>
      </c>
      <c r="B7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Helper'!$F$5:$F$3004,"""")&lt;&gt;""""),ROWS(B$5:B740)),"""")"),"")</f>
        <v/>
      </c>
      <c r="C7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Helper'!$F$5:$F$3004,"""")&lt;&gt;""""),ROWS(C$5:C740)),"""")"),"")</f>
        <v/>
      </c>
      <c r="D7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Helper'!$F$5:$F$3004,"""")&lt;&gt;""""),ROWS(D$5:D740)),"""")"),"")</f>
        <v/>
      </c>
      <c r="E7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Helper'!$F$5:$F$3004,"""")&lt;&gt;""""),ROWS(E$5:E740)),"""")"),"")</f>
        <v/>
      </c>
      <c r="F7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Helper'!$F$5:$F$3004,"""")&lt;&gt;""""),ROWS(F$5:F740)),IF(AND(LEFT(x,5)=""Page"&amp;" "",ISERROR(SEARCH(""–"",x))),x&amp;""–""&amp;REGEXEXTRACT(x,""[0-9]+$""),x)),"""")"),"")</f>
        <v/>
      </c>
      <c r="G740" s="163"/>
      <c r="H7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Helper'!$F$5:$F$3004,"""")&lt;&gt;""""),ROWS(H$5:H740)),"""")"),"")</f>
        <v/>
      </c>
    </row>
    <row r="741" ht="15.75" customHeight="1">
      <c r="A7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Helper'!$F$5:$F$3004,"""")&lt;&gt;""""),ROWS(A$5:A741)),"""")"),"")</f>
        <v/>
      </c>
      <c r="B7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Helper'!$F$5:$F$3004,"""")&lt;&gt;""""),ROWS(B$5:B741)),"""")"),"")</f>
        <v/>
      </c>
      <c r="C7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Helper'!$F$5:$F$3004,"""")&lt;&gt;""""),ROWS(C$5:C741)),"""")"),"")</f>
        <v/>
      </c>
      <c r="D7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Helper'!$F$5:$F$3004,"""")&lt;&gt;""""),ROWS(D$5:D741)),"""")"),"")</f>
        <v/>
      </c>
      <c r="E7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Helper'!$F$5:$F$3004,"""")&lt;&gt;""""),ROWS(E$5:E741)),"""")"),"")</f>
        <v/>
      </c>
      <c r="F7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Helper'!$F$5:$F$3004,"""")&lt;&gt;""""),ROWS(F$5:F741)),IF(AND(LEFT(x,5)=""Page"&amp;" "",ISERROR(SEARCH(""–"",x))),x&amp;""–""&amp;REGEXEXTRACT(x,""[0-9]+$""),x)),"""")"),"")</f>
        <v/>
      </c>
      <c r="G741" s="163"/>
      <c r="H7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Helper'!$F$5:$F$3004,"""")&lt;&gt;""""),ROWS(H$5:H741)),"""")"),"")</f>
        <v/>
      </c>
    </row>
    <row r="742" ht="15.75" customHeight="1">
      <c r="A7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Helper'!$F$5:$F$3004,"""")&lt;&gt;""""),ROWS(A$5:A742)),"""")"),"")</f>
        <v/>
      </c>
      <c r="B7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Helper'!$F$5:$F$3004,"""")&lt;&gt;""""),ROWS(B$5:B742)),"""")"),"")</f>
        <v/>
      </c>
      <c r="C7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Helper'!$F$5:$F$3004,"""")&lt;&gt;""""),ROWS(C$5:C742)),"""")"),"")</f>
        <v/>
      </c>
      <c r="D7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Helper'!$F$5:$F$3004,"""")&lt;&gt;""""),ROWS(D$5:D742)),"""")"),"")</f>
        <v/>
      </c>
      <c r="E7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Helper'!$F$5:$F$3004,"""")&lt;&gt;""""),ROWS(E$5:E742)),"""")"),"")</f>
        <v/>
      </c>
      <c r="F7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Helper'!$F$5:$F$3004,"""")&lt;&gt;""""),ROWS(F$5:F742)),IF(AND(LEFT(x,5)=""Page"&amp;" "",ISERROR(SEARCH(""–"",x))),x&amp;""–""&amp;REGEXEXTRACT(x,""[0-9]+$""),x)),"""")"),"")</f>
        <v/>
      </c>
      <c r="G742" s="163"/>
      <c r="H7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Helper'!$F$5:$F$3004,"""")&lt;&gt;""""),ROWS(H$5:H742)),"""")"),"")</f>
        <v/>
      </c>
    </row>
    <row r="743" ht="15.75" customHeight="1">
      <c r="A7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Helper'!$F$5:$F$3004,"""")&lt;&gt;""""),ROWS(A$5:A743)),"""")"),"")</f>
        <v/>
      </c>
      <c r="B7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Helper'!$F$5:$F$3004,"""")&lt;&gt;""""),ROWS(B$5:B743)),"""")"),"")</f>
        <v/>
      </c>
      <c r="C7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Helper'!$F$5:$F$3004,"""")&lt;&gt;""""),ROWS(C$5:C743)),"""")"),"")</f>
        <v/>
      </c>
      <c r="D7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Helper'!$F$5:$F$3004,"""")&lt;&gt;""""),ROWS(D$5:D743)),"""")"),"")</f>
        <v/>
      </c>
      <c r="E7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Helper'!$F$5:$F$3004,"""")&lt;&gt;""""),ROWS(E$5:E743)),"""")"),"")</f>
        <v/>
      </c>
      <c r="F7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Helper'!$F$5:$F$3004,"""")&lt;&gt;""""),ROWS(F$5:F743)),IF(AND(LEFT(x,5)=""Page"&amp;" "",ISERROR(SEARCH(""–"",x))),x&amp;""–""&amp;REGEXEXTRACT(x,""[0-9]+$""),x)),"""")"),"")</f>
        <v/>
      </c>
      <c r="G743" s="163"/>
      <c r="H7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Helper'!$F$5:$F$3004,"""")&lt;&gt;""""),ROWS(H$5:H743)),"""")"),"")</f>
        <v/>
      </c>
    </row>
    <row r="744" ht="15.75" customHeight="1">
      <c r="A7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Helper'!$F$5:$F$3004,"""")&lt;&gt;""""),ROWS(A$5:A744)),"""")"),"")</f>
        <v/>
      </c>
      <c r="B7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Helper'!$F$5:$F$3004,"""")&lt;&gt;""""),ROWS(B$5:B744)),"""")"),"")</f>
        <v/>
      </c>
      <c r="C7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Helper'!$F$5:$F$3004,"""")&lt;&gt;""""),ROWS(C$5:C744)),"""")"),"")</f>
        <v/>
      </c>
      <c r="D7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Helper'!$F$5:$F$3004,"""")&lt;&gt;""""),ROWS(D$5:D744)),"""")"),"")</f>
        <v/>
      </c>
      <c r="E7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Helper'!$F$5:$F$3004,"""")&lt;&gt;""""),ROWS(E$5:E744)),"""")"),"")</f>
        <v/>
      </c>
      <c r="F7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Helper'!$F$5:$F$3004,"""")&lt;&gt;""""),ROWS(F$5:F744)),IF(AND(LEFT(x,5)=""Page"&amp;" "",ISERROR(SEARCH(""–"",x))),x&amp;""–""&amp;REGEXEXTRACT(x,""[0-9]+$""),x)),"""")"),"")</f>
        <v/>
      </c>
      <c r="G744" s="163"/>
      <c r="H7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Helper'!$F$5:$F$3004,"""")&lt;&gt;""""),ROWS(H$5:H744)),"""")"),"")</f>
        <v/>
      </c>
    </row>
    <row r="745" ht="15.75" customHeight="1">
      <c r="A7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Helper'!$F$5:$F$3004,"""")&lt;&gt;""""),ROWS(A$5:A745)),"""")"),"")</f>
        <v/>
      </c>
      <c r="B7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Helper'!$F$5:$F$3004,"""")&lt;&gt;""""),ROWS(B$5:B745)),"""")"),"")</f>
        <v/>
      </c>
      <c r="C7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Helper'!$F$5:$F$3004,"""")&lt;&gt;""""),ROWS(C$5:C745)),"""")"),"")</f>
        <v/>
      </c>
      <c r="D7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Helper'!$F$5:$F$3004,"""")&lt;&gt;""""),ROWS(D$5:D745)),"""")"),"")</f>
        <v/>
      </c>
      <c r="E7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Helper'!$F$5:$F$3004,"""")&lt;&gt;""""),ROWS(E$5:E745)),"""")"),"")</f>
        <v/>
      </c>
      <c r="F7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Helper'!$F$5:$F$3004,"""")&lt;&gt;""""),ROWS(F$5:F745)),IF(AND(LEFT(x,5)=""Page"&amp;" "",ISERROR(SEARCH(""–"",x))),x&amp;""–""&amp;REGEXEXTRACT(x,""[0-9]+$""),x)),"""")"),"")</f>
        <v/>
      </c>
      <c r="G745" s="163"/>
      <c r="H7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Helper'!$F$5:$F$3004,"""")&lt;&gt;""""),ROWS(H$5:H745)),"""")"),"")</f>
        <v/>
      </c>
    </row>
    <row r="746" ht="15.75" customHeight="1">
      <c r="A7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Helper'!$F$5:$F$3004,"""")&lt;&gt;""""),ROWS(A$5:A746)),"""")"),"")</f>
        <v/>
      </c>
      <c r="B7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Helper'!$F$5:$F$3004,"""")&lt;&gt;""""),ROWS(B$5:B746)),"""")"),"")</f>
        <v/>
      </c>
      <c r="C7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Helper'!$F$5:$F$3004,"""")&lt;&gt;""""),ROWS(C$5:C746)),"""")"),"")</f>
        <v/>
      </c>
      <c r="D7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Helper'!$F$5:$F$3004,"""")&lt;&gt;""""),ROWS(D$5:D746)),"""")"),"")</f>
        <v/>
      </c>
      <c r="E7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Helper'!$F$5:$F$3004,"""")&lt;&gt;""""),ROWS(E$5:E746)),"""")"),"")</f>
        <v/>
      </c>
      <c r="F7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Helper'!$F$5:$F$3004,"""")&lt;&gt;""""),ROWS(F$5:F746)),IF(AND(LEFT(x,5)=""Page"&amp;" "",ISERROR(SEARCH(""–"",x))),x&amp;""–""&amp;REGEXEXTRACT(x,""[0-9]+$""),x)),"""")"),"")</f>
        <v/>
      </c>
      <c r="G746" s="163"/>
      <c r="H7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Helper'!$F$5:$F$3004,"""")&lt;&gt;""""),ROWS(H$5:H746)),"""")"),"")</f>
        <v/>
      </c>
    </row>
    <row r="747" ht="15.75" customHeight="1">
      <c r="A7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Helper'!$F$5:$F$3004,"""")&lt;&gt;""""),ROWS(A$5:A747)),"""")"),"")</f>
        <v/>
      </c>
      <c r="B7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Helper'!$F$5:$F$3004,"""")&lt;&gt;""""),ROWS(B$5:B747)),"""")"),"")</f>
        <v/>
      </c>
      <c r="C7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Helper'!$F$5:$F$3004,"""")&lt;&gt;""""),ROWS(C$5:C747)),"""")"),"")</f>
        <v/>
      </c>
      <c r="D7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Helper'!$F$5:$F$3004,"""")&lt;&gt;""""),ROWS(D$5:D747)),"""")"),"")</f>
        <v/>
      </c>
      <c r="E7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Helper'!$F$5:$F$3004,"""")&lt;&gt;""""),ROWS(E$5:E747)),"""")"),"")</f>
        <v/>
      </c>
      <c r="F7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Helper'!$F$5:$F$3004,"""")&lt;&gt;""""),ROWS(F$5:F747)),IF(AND(LEFT(x,5)=""Page"&amp;" "",ISERROR(SEARCH(""–"",x))),x&amp;""–""&amp;REGEXEXTRACT(x,""[0-9]+$""),x)),"""")"),"")</f>
        <v/>
      </c>
      <c r="G747" s="163"/>
      <c r="H7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Helper'!$F$5:$F$3004,"""")&lt;&gt;""""),ROWS(H$5:H747)),"""")"),"")</f>
        <v/>
      </c>
    </row>
    <row r="748" ht="15.75" customHeight="1">
      <c r="A7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Helper'!$F$5:$F$3004,"""")&lt;&gt;""""),ROWS(A$5:A748)),"""")"),"")</f>
        <v/>
      </c>
      <c r="B7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Helper'!$F$5:$F$3004,"""")&lt;&gt;""""),ROWS(B$5:B748)),"""")"),"")</f>
        <v/>
      </c>
      <c r="C7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Helper'!$F$5:$F$3004,"""")&lt;&gt;""""),ROWS(C$5:C748)),"""")"),"")</f>
        <v/>
      </c>
      <c r="D7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Helper'!$F$5:$F$3004,"""")&lt;&gt;""""),ROWS(D$5:D748)),"""")"),"")</f>
        <v/>
      </c>
      <c r="E7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Helper'!$F$5:$F$3004,"""")&lt;&gt;""""),ROWS(E$5:E748)),"""")"),"")</f>
        <v/>
      </c>
      <c r="F7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Helper'!$F$5:$F$3004,"""")&lt;&gt;""""),ROWS(F$5:F748)),IF(AND(LEFT(x,5)=""Page"&amp;" "",ISERROR(SEARCH(""–"",x))),x&amp;""–""&amp;REGEXEXTRACT(x,""[0-9]+$""),x)),"""")"),"")</f>
        <v/>
      </c>
      <c r="G748" s="163"/>
      <c r="H7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Helper'!$F$5:$F$3004,"""")&lt;&gt;""""),ROWS(H$5:H748)),"""")"),"")</f>
        <v/>
      </c>
    </row>
    <row r="749" ht="15.75" customHeight="1">
      <c r="A7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Helper'!$F$5:$F$3004,"""")&lt;&gt;""""),ROWS(A$5:A749)),"""")"),"")</f>
        <v/>
      </c>
      <c r="B7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Helper'!$F$5:$F$3004,"""")&lt;&gt;""""),ROWS(B$5:B749)),"""")"),"")</f>
        <v/>
      </c>
      <c r="C7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Helper'!$F$5:$F$3004,"""")&lt;&gt;""""),ROWS(C$5:C749)),"""")"),"")</f>
        <v/>
      </c>
      <c r="D7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Helper'!$F$5:$F$3004,"""")&lt;&gt;""""),ROWS(D$5:D749)),"""")"),"")</f>
        <v/>
      </c>
      <c r="E7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Helper'!$F$5:$F$3004,"""")&lt;&gt;""""),ROWS(E$5:E749)),"""")"),"")</f>
        <v/>
      </c>
      <c r="F7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Helper'!$F$5:$F$3004,"""")&lt;&gt;""""),ROWS(F$5:F749)),IF(AND(LEFT(x,5)=""Page"&amp;" "",ISERROR(SEARCH(""–"",x))),x&amp;""–""&amp;REGEXEXTRACT(x,""[0-9]+$""),x)),"""")"),"")</f>
        <v/>
      </c>
      <c r="G749" s="163"/>
      <c r="H7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Helper'!$F$5:$F$3004,"""")&lt;&gt;""""),ROWS(H$5:H749)),"""")"),"")</f>
        <v/>
      </c>
    </row>
    <row r="750" ht="15.75" customHeight="1">
      <c r="A7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Helper'!$F$5:$F$3004,"""")&lt;&gt;""""),ROWS(A$5:A750)),"""")"),"")</f>
        <v/>
      </c>
      <c r="B7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Helper'!$F$5:$F$3004,"""")&lt;&gt;""""),ROWS(B$5:B750)),"""")"),"")</f>
        <v/>
      </c>
      <c r="C7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Helper'!$F$5:$F$3004,"""")&lt;&gt;""""),ROWS(C$5:C750)),"""")"),"")</f>
        <v/>
      </c>
      <c r="D7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Helper'!$F$5:$F$3004,"""")&lt;&gt;""""),ROWS(D$5:D750)),"""")"),"")</f>
        <v/>
      </c>
      <c r="E7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Helper'!$F$5:$F$3004,"""")&lt;&gt;""""),ROWS(E$5:E750)),"""")"),"")</f>
        <v/>
      </c>
      <c r="F7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Helper'!$F$5:$F$3004,"""")&lt;&gt;""""),ROWS(F$5:F750)),IF(AND(LEFT(x,5)=""Page"&amp;" "",ISERROR(SEARCH(""–"",x))),x&amp;""–""&amp;REGEXEXTRACT(x,""[0-9]+$""),x)),"""")"),"")</f>
        <v/>
      </c>
      <c r="G750" s="163"/>
      <c r="H7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Helper'!$F$5:$F$3004,"""")&lt;&gt;""""),ROWS(H$5:H750)),"""")"),"")</f>
        <v/>
      </c>
    </row>
    <row r="751" ht="15.75" customHeight="1">
      <c r="A7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Helper'!$F$5:$F$3004,"""")&lt;&gt;""""),ROWS(A$5:A751)),"""")"),"")</f>
        <v/>
      </c>
      <c r="B7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Helper'!$F$5:$F$3004,"""")&lt;&gt;""""),ROWS(B$5:B751)),"""")"),"")</f>
        <v/>
      </c>
      <c r="C7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Helper'!$F$5:$F$3004,"""")&lt;&gt;""""),ROWS(C$5:C751)),"""")"),"")</f>
        <v/>
      </c>
      <c r="D7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Helper'!$F$5:$F$3004,"""")&lt;&gt;""""),ROWS(D$5:D751)),"""")"),"")</f>
        <v/>
      </c>
      <c r="E7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Helper'!$F$5:$F$3004,"""")&lt;&gt;""""),ROWS(E$5:E751)),"""")"),"")</f>
        <v/>
      </c>
      <c r="F7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Helper'!$F$5:$F$3004,"""")&lt;&gt;""""),ROWS(F$5:F751)),IF(AND(LEFT(x,5)=""Page"&amp;" "",ISERROR(SEARCH(""–"",x))),x&amp;""–""&amp;REGEXEXTRACT(x,""[0-9]+$""),x)),"""")"),"")</f>
        <v/>
      </c>
      <c r="G751" s="163"/>
      <c r="H7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Helper'!$F$5:$F$3004,"""")&lt;&gt;""""),ROWS(H$5:H751)),"""")"),"")</f>
        <v/>
      </c>
    </row>
    <row r="752" ht="15.75" customHeight="1">
      <c r="A7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Helper'!$F$5:$F$3004,"""")&lt;&gt;""""),ROWS(A$5:A752)),"""")"),"")</f>
        <v/>
      </c>
      <c r="B7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Helper'!$F$5:$F$3004,"""")&lt;&gt;""""),ROWS(B$5:B752)),"""")"),"")</f>
        <v/>
      </c>
      <c r="C7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Helper'!$F$5:$F$3004,"""")&lt;&gt;""""),ROWS(C$5:C752)),"""")"),"")</f>
        <v/>
      </c>
      <c r="D7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Helper'!$F$5:$F$3004,"""")&lt;&gt;""""),ROWS(D$5:D752)),"""")"),"")</f>
        <v/>
      </c>
      <c r="E7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Helper'!$F$5:$F$3004,"""")&lt;&gt;""""),ROWS(E$5:E752)),"""")"),"")</f>
        <v/>
      </c>
      <c r="F7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Helper'!$F$5:$F$3004,"""")&lt;&gt;""""),ROWS(F$5:F752)),IF(AND(LEFT(x,5)=""Page"&amp;" "",ISERROR(SEARCH(""–"",x))),x&amp;""–""&amp;REGEXEXTRACT(x,""[0-9]+$""),x)),"""")"),"")</f>
        <v/>
      </c>
      <c r="G752" s="163"/>
      <c r="H7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Helper'!$F$5:$F$3004,"""")&lt;&gt;""""),ROWS(H$5:H752)),"""")"),"")</f>
        <v/>
      </c>
    </row>
    <row r="753" ht="15.75" customHeight="1">
      <c r="A7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Helper'!$F$5:$F$3004,"""")&lt;&gt;""""),ROWS(A$5:A753)),"""")"),"")</f>
        <v/>
      </c>
      <c r="B7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Helper'!$F$5:$F$3004,"""")&lt;&gt;""""),ROWS(B$5:B753)),"""")"),"")</f>
        <v/>
      </c>
      <c r="C7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Helper'!$F$5:$F$3004,"""")&lt;&gt;""""),ROWS(C$5:C753)),"""")"),"")</f>
        <v/>
      </c>
      <c r="D7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Helper'!$F$5:$F$3004,"""")&lt;&gt;""""),ROWS(D$5:D753)),"""")"),"")</f>
        <v/>
      </c>
      <c r="E7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Helper'!$F$5:$F$3004,"""")&lt;&gt;""""),ROWS(E$5:E753)),"""")"),"")</f>
        <v/>
      </c>
      <c r="F7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Helper'!$F$5:$F$3004,"""")&lt;&gt;""""),ROWS(F$5:F753)),IF(AND(LEFT(x,5)=""Page"&amp;" "",ISERROR(SEARCH(""–"",x))),x&amp;""–""&amp;REGEXEXTRACT(x,""[0-9]+$""),x)),"""")"),"")</f>
        <v/>
      </c>
      <c r="G753" s="163"/>
      <c r="H7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Helper'!$F$5:$F$3004,"""")&lt;&gt;""""),ROWS(H$5:H753)),"""")"),"")</f>
        <v/>
      </c>
    </row>
    <row r="754" ht="15.75" customHeight="1">
      <c r="A7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Helper'!$F$5:$F$3004,"""")&lt;&gt;""""),ROWS(A$5:A754)),"""")"),"")</f>
        <v/>
      </c>
      <c r="B7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Helper'!$F$5:$F$3004,"""")&lt;&gt;""""),ROWS(B$5:B754)),"""")"),"")</f>
        <v/>
      </c>
      <c r="C7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Helper'!$F$5:$F$3004,"""")&lt;&gt;""""),ROWS(C$5:C754)),"""")"),"")</f>
        <v/>
      </c>
      <c r="D7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Helper'!$F$5:$F$3004,"""")&lt;&gt;""""),ROWS(D$5:D754)),"""")"),"")</f>
        <v/>
      </c>
      <c r="E7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Helper'!$F$5:$F$3004,"""")&lt;&gt;""""),ROWS(E$5:E754)),"""")"),"")</f>
        <v/>
      </c>
      <c r="F7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Helper'!$F$5:$F$3004,"""")&lt;&gt;""""),ROWS(F$5:F754)),IF(AND(LEFT(x,5)=""Page"&amp;" "",ISERROR(SEARCH(""–"",x))),x&amp;""–""&amp;REGEXEXTRACT(x,""[0-9]+$""),x)),"""")"),"")</f>
        <v/>
      </c>
      <c r="G754" s="163"/>
      <c r="H7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Helper'!$F$5:$F$3004,"""")&lt;&gt;""""),ROWS(H$5:H754)),"""")"),"")</f>
        <v/>
      </c>
    </row>
    <row r="755" ht="15.75" customHeight="1">
      <c r="A7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Helper'!$F$5:$F$3004,"""")&lt;&gt;""""),ROWS(A$5:A755)),"""")"),"")</f>
        <v/>
      </c>
      <c r="B7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Helper'!$F$5:$F$3004,"""")&lt;&gt;""""),ROWS(B$5:B755)),"""")"),"")</f>
        <v/>
      </c>
      <c r="C7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Helper'!$F$5:$F$3004,"""")&lt;&gt;""""),ROWS(C$5:C755)),"""")"),"")</f>
        <v/>
      </c>
      <c r="D7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Helper'!$F$5:$F$3004,"""")&lt;&gt;""""),ROWS(D$5:D755)),"""")"),"")</f>
        <v/>
      </c>
      <c r="E7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Helper'!$F$5:$F$3004,"""")&lt;&gt;""""),ROWS(E$5:E755)),"""")"),"")</f>
        <v/>
      </c>
      <c r="F7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Helper'!$F$5:$F$3004,"""")&lt;&gt;""""),ROWS(F$5:F755)),IF(AND(LEFT(x,5)=""Page"&amp;" "",ISERROR(SEARCH(""–"",x))),x&amp;""–""&amp;REGEXEXTRACT(x,""[0-9]+$""),x)),"""")"),"")</f>
        <v/>
      </c>
      <c r="G755" s="163"/>
      <c r="H7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Helper'!$F$5:$F$3004,"""")&lt;&gt;""""),ROWS(H$5:H755)),"""")"),"")</f>
        <v/>
      </c>
    </row>
    <row r="756" ht="15.75" customHeight="1">
      <c r="A7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Helper'!$F$5:$F$3004,"""")&lt;&gt;""""),ROWS(A$5:A756)),"""")"),"")</f>
        <v/>
      </c>
      <c r="B7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Helper'!$F$5:$F$3004,"""")&lt;&gt;""""),ROWS(B$5:B756)),"""")"),"")</f>
        <v/>
      </c>
      <c r="C7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Helper'!$F$5:$F$3004,"""")&lt;&gt;""""),ROWS(C$5:C756)),"""")"),"")</f>
        <v/>
      </c>
      <c r="D7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Helper'!$F$5:$F$3004,"""")&lt;&gt;""""),ROWS(D$5:D756)),"""")"),"")</f>
        <v/>
      </c>
      <c r="E7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Helper'!$F$5:$F$3004,"""")&lt;&gt;""""),ROWS(E$5:E756)),"""")"),"")</f>
        <v/>
      </c>
      <c r="F7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Helper'!$F$5:$F$3004,"""")&lt;&gt;""""),ROWS(F$5:F756)),IF(AND(LEFT(x,5)=""Page"&amp;" "",ISERROR(SEARCH(""–"",x))),x&amp;""–""&amp;REGEXEXTRACT(x,""[0-9]+$""),x)),"""")"),"")</f>
        <v/>
      </c>
      <c r="G756" s="163"/>
      <c r="H7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Helper'!$F$5:$F$3004,"""")&lt;&gt;""""),ROWS(H$5:H756)),"""")"),"")</f>
        <v/>
      </c>
    </row>
    <row r="757" ht="15.75" customHeight="1">
      <c r="A7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Helper'!$F$5:$F$3004,"""")&lt;&gt;""""),ROWS(A$5:A757)),"""")"),"")</f>
        <v/>
      </c>
      <c r="B7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Helper'!$F$5:$F$3004,"""")&lt;&gt;""""),ROWS(B$5:B757)),"""")"),"")</f>
        <v/>
      </c>
      <c r="C7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Helper'!$F$5:$F$3004,"""")&lt;&gt;""""),ROWS(C$5:C757)),"""")"),"")</f>
        <v/>
      </c>
      <c r="D7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Helper'!$F$5:$F$3004,"""")&lt;&gt;""""),ROWS(D$5:D757)),"""")"),"")</f>
        <v/>
      </c>
      <c r="E7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Helper'!$F$5:$F$3004,"""")&lt;&gt;""""),ROWS(E$5:E757)),"""")"),"")</f>
        <v/>
      </c>
      <c r="F7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Helper'!$F$5:$F$3004,"""")&lt;&gt;""""),ROWS(F$5:F757)),IF(AND(LEFT(x,5)=""Page"&amp;" "",ISERROR(SEARCH(""–"",x))),x&amp;""–""&amp;REGEXEXTRACT(x,""[0-9]+$""),x)),"""")"),"")</f>
        <v/>
      </c>
      <c r="G757" s="163"/>
      <c r="H7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Helper'!$F$5:$F$3004,"""")&lt;&gt;""""),ROWS(H$5:H757)),"""")"),"")</f>
        <v/>
      </c>
    </row>
    <row r="758" ht="15.75" customHeight="1">
      <c r="A7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Helper'!$F$5:$F$3004,"""")&lt;&gt;""""),ROWS(A$5:A758)),"""")"),"")</f>
        <v/>
      </c>
      <c r="B7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Helper'!$F$5:$F$3004,"""")&lt;&gt;""""),ROWS(B$5:B758)),"""")"),"")</f>
        <v/>
      </c>
      <c r="C7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Helper'!$F$5:$F$3004,"""")&lt;&gt;""""),ROWS(C$5:C758)),"""")"),"")</f>
        <v/>
      </c>
      <c r="D7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Helper'!$F$5:$F$3004,"""")&lt;&gt;""""),ROWS(D$5:D758)),"""")"),"")</f>
        <v/>
      </c>
      <c r="E7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Helper'!$F$5:$F$3004,"""")&lt;&gt;""""),ROWS(E$5:E758)),"""")"),"")</f>
        <v/>
      </c>
      <c r="F7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Helper'!$F$5:$F$3004,"""")&lt;&gt;""""),ROWS(F$5:F758)),IF(AND(LEFT(x,5)=""Page"&amp;" "",ISERROR(SEARCH(""–"",x))),x&amp;""–""&amp;REGEXEXTRACT(x,""[0-9]+$""),x)),"""")"),"")</f>
        <v/>
      </c>
      <c r="G758" s="163"/>
      <c r="H7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Helper'!$F$5:$F$3004,"""")&lt;&gt;""""),ROWS(H$5:H758)),"""")"),"")</f>
        <v/>
      </c>
    </row>
    <row r="759" ht="15.75" customHeight="1">
      <c r="A7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Helper'!$F$5:$F$3004,"""")&lt;&gt;""""),ROWS(A$5:A759)),"""")"),"")</f>
        <v/>
      </c>
      <c r="B7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Helper'!$F$5:$F$3004,"""")&lt;&gt;""""),ROWS(B$5:B759)),"""")"),"")</f>
        <v/>
      </c>
      <c r="C7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Helper'!$F$5:$F$3004,"""")&lt;&gt;""""),ROWS(C$5:C759)),"""")"),"")</f>
        <v/>
      </c>
      <c r="D7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Helper'!$F$5:$F$3004,"""")&lt;&gt;""""),ROWS(D$5:D759)),"""")"),"")</f>
        <v/>
      </c>
      <c r="E7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Helper'!$F$5:$F$3004,"""")&lt;&gt;""""),ROWS(E$5:E759)),"""")"),"")</f>
        <v/>
      </c>
      <c r="F7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Helper'!$F$5:$F$3004,"""")&lt;&gt;""""),ROWS(F$5:F759)),IF(AND(LEFT(x,5)=""Page"&amp;" "",ISERROR(SEARCH(""–"",x))),x&amp;""–""&amp;REGEXEXTRACT(x,""[0-9]+$""),x)),"""")"),"")</f>
        <v/>
      </c>
      <c r="G759" s="163"/>
      <c r="H7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Helper'!$F$5:$F$3004,"""")&lt;&gt;""""),ROWS(H$5:H759)),"""")"),"")</f>
        <v/>
      </c>
    </row>
    <row r="760" ht="15.75" customHeight="1">
      <c r="A7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Helper'!$F$5:$F$3004,"""")&lt;&gt;""""),ROWS(A$5:A760)),"""")"),"")</f>
        <v/>
      </c>
      <c r="B7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Helper'!$F$5:$F$3004,"""")&lt;&gt;""""),ROWS(B$5:B760)),"""")"),"")</f>
        <v/>
      </c>
      <c r="C7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Helper'!$F$5:$F$3004,"""")&lt;&gt;""""),ROWS(C$5:C760)),"""")"),"")</f>
        <v/>
      </c>
      <c r="D7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Helper'!$F$5:$F$3004,"""")&lt;&gt;""""),ROWS(D$5:D760)),"""")"),"")</f>
        <v/>
      </c>
      <c r="E7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Helper'!$F$5:$F$3004,"""")&lt;&gt;""""),ROWS(E$5:E760)),"""")"),"")</f>
        <v/>
      </c>
      <c r="F7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Helper'!$F$5:$F$3004,"""")&lt;&gt;""""),ROWS(F$5:F760)),IF(AND(LEFT(x,5)=""Page"&amp;" "",ISERROR(SEARCH(""–"",x))),x&amp;""–""&amp;REGEXEXTRACT(x,""[0-9]+$""),x)),"""")"),"")</f>
        <v/>
      </c>
      <c r="G760" s="163"/>
      <c r="H7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Helper'!$F$5:$F$3004,"""")&lt;&gt;""""),ROWS(H$5:H760)),"""")"),"")</f>
        <v/>
      </c>
    </row>
    <row r="761" ht="15.75" customHeight="1">
      <c r="A7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Helper'!$F$5:$F$3004,"""")&lt;&gt;""""),ROWS(A$5:A761)),"""")"),"")</f>
        <v/>
      </c>
      <c r="B7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Helper'!$F$5:$F$3004,"""")&lt;&gt;""""),ROWS(B$5:B761)),"""")"),"")</f>
        <v/>
      </c>
      <c r="C7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Helper'!$F$5:$F$3004,"""")&lt;&gt;""""),ROWS(C$5:C761)),"""")"),"")</f>
        <v/>
      </c>
      <c r="D7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Helper'!$F$5:$F$3004,"""")&lt;&gt;""""),ROWS(D$5:D761)),"""")"),"")</f>
        <v/>
      </c>
      <c r="E7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Helper'!$F$5:$F$3004,"""")&lt;&gt;""""),ROWS(E$5:E761)),"""")"),"")</f>
        <v/>
      </c>
      <c r="F7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Helper'!$F$5:$F$3004,"""")&lt;&gt;""""),ROWS(F$5:F761)),IF(AND(LEFT(x,5)=""Page"&amp;" "",ISERROR(SEARCH(""–"",x))),x&amp;""–""&amp;REGEXEXTRACT(x,""[0-9]+$""),x)),"""")"),"")</f>
        <v/>
      </c>
      <c r="G761" s="163"/>
      <c r="H7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Helper'!$F$5:$F$3004,"""")&lt;&gt;""""),ROWS(H$5:H761)),"""")"),"")</f>
        <v/>
      </c>
    </row>
    <row r="762" ht="15.75" customHeight="1">
      <c r="A7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Helper'!$F$5:$F$3004,"""")&lt;&gt;""""),ROWS(A$5:A762)),"""")"),"")</f>
        <v/>
      </c>
      <c r="B7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Helper'!$F$5:$F$3004,"""")&lt;&gt;""""),ROWS(B$5:B762)),"""")"),"")</f>
        <v/>
      </c>
      <c r="C7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Helper'!$F$5:$F$3004,"""")&lt;&gt;""""),ROWS(C$5:C762)),"""")"),"")</f>
        <v/>
      </c>
      <c r="D7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Helper'!$F$5:$F$3004,"""")&lt;&gt;""""),ROWS(D$5:D762)),"""")"),"")</f>
        <v/>
      </c>
      <c r="E7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Helper'!$F$5:$F$3004,"""")&lt;&gt;""""),ROWS(E$5:E762)),"""")"),"")</f>
        <v/>
      </c>
      <c r="F7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Helper'!$F$5:$F$3004,"""")&lt;&gt;""""),ROWS(F$5:F762)),IF(AND(LEFT(x,5)=""Page"&amp;" "",ISERROR(SEARCH(""–"",x))),x&amp;""–""&amp;REGEXEXTRACT(x,""[0-9]+$""),x)),"""")"),"")</f>
        <v/>
      </c>
      <c r="G762" s="163"/>
      <c r="H7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Helper'!$F$5:$F$3004,"""")&lt;&gt;""""),ROWS(H$5:H762)),"""")"),"")</f>
        <v/>
      </c>
    </row>
    <row r="763" ht="15.75" customHeight="1">
      <c r="A7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Helper'!$F$5:$F$3004,"""")&lt;&gt;""""),ROWS(A$5:A763)),"""")"),"")</f>
        <v/>
      </c>
      <c r="B7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Helper'!$F$5:$F$3004,"""")&lt;&gt;""""),ROWS(B$5:B763)),"""")"),"")</f>
        <v/>
      </c>
      <c r="C7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Helper'!$F$5:$F$3004,"""")&lt;&gt;""""),ROWS(C$5:C763)),"""")"),"")</f>
        <v/>
      </c>
      <c r="D7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Helper'!$F$5:$F$3004,"""")&lt;&gt;""""),ROWS(D$5:D763)),"""")"),"")</f>
        <v/>
      </c>
      <c r="E7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Helper'!$F$5:$F$3004,"""")&lt;&gt;""""),ROWS(E$5:E763)),"""")"),"")</f>
        <v/>
      </c>
      <c r="F7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Helper'!$F$5:$F$3004,"""")&lt;&gt;""""),ROWS(F$5:F763)),IF(AND(LEFT(x,5)=""Page"&amp;" "",ISERROR(SEARCH(""–"",x))),x&amp;""–""&amp;REGEXEXTRACT(x,""[0-9]+$""),x)),"""")"),"")</f>
        <v/>
      </c>
      <c r="G763" s="163"/>
      <c r="H7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Helper'!$F$5:$F$3004,"""")&lt;&gt;""""),ROWS(H$5:H763)),"""")"),"")</f>
        <v/>
      </c>
    </row>
    <row r="764" ht="15.75" customHeight="1">
      <c r="A7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Helper'!$F$5:$F$3004,"""")&lt;&gt;""""),ROWS(A$5:A764)),"""")"),"")</f>
        <v/>
      </c>
      <c r="B7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Helper'!$F$5:$F$3004,"""")&lt;&gt;""""),ROWS(B$5:B764)),"""")"),"")</f>
        <v/>
      </c>
      <c r="C7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Helper'!$F$5:$F$3004,"""")&lt;&gt;""""),ROWS(C$5:C764)),"""")"),"")</f>
        <v/>
      </c>
      <c r="D7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Helper'!$F$5:$F$3004,"""")&lt;&gt;""""),ROWS(D$5:D764)),"""")"),"")</f>
        <v/>
      </c>
      <c r="E7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Helper'!$F$5:$F$3004,"""")&lt;&gt;""""),ROWS(E$5:E764)),"""")"),"")</f>
        <v/>
      </c>
      <c r="F7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Helper'!$F$5:$F$3004,"""")&lt;&gt;""""),ROWS(F$5:F764)),IF(AND(LEFT(x,5)=""Page"&amp;" "",ISERROR(SEARCH(""–"",x))),x&amp;""–""&amp;REGEXEXTRACT(x,""[0-9]+$""),x)),"""")"),"")</f>
        <v/>
      </c>
      <c r="G764" s="163"/>
      <c r="H7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Helper'!$F$5:$F$3004,"""")&lt;&gt;""""),ROWS(H$5:H764)),"""")"),"")</f>
        <v/>
      </c>
    </row>
    <row r="765" ht="15.75" customHeight="1">
      <c r="A7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Helper'!$F$5:$F$3004,"""")&lt;&gt;""""),ROWS(A$5:A765)),"""")"),"")</f>
        <v/>
      </c>
      <c r="B7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Helper'!$F$5:$F$3004,"""")&lt;&gt;""""),ROWS(B$5:B765)),"""")"),"")</f>
        <v/>
      </c>
      <c r="C7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Helper'!$F$5:$F$3004,"""")&lt;&gt;""""),ROWS(C$5:C765)),"""")"),"")</f>
        <v/>
      </c>
      <c r="D7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Helper'!$F$5:$F$3004,"""")&lt;&gt;""""),ROWS(D$5:D765)),"""")"),"")</f>
        <v/>
      </c>
      <c r="E7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Helper'!$F$5:$F$3004,"""")&lt;&gt;""""),ROWS(E$5:E765)),"""")"),"")</f>
        <v/>
      </c>
      <c r="F7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Helper'!$F$5:$F$3004,"""")&lt;&gt;""""),ROWS(F$5:F765)),IF(AND(LEFT(x,5)=""Page"&amp;" "",ISERROR(SEARCH(""–"",x))),x&amp;""–""&amp;REGEXEXTRACT(x,""[0-9]+$""),x)),"""")"),"")</f>
        <v/>
      </c>
      <c r="G765" s="163"/>
      <c r="H7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Helper'!$F$5:$F$3004,"""")&lt;&gt;""""),ROWS(H$5:H765)),"""")"),"")</f>
        <v/>
      </c>
    </row>
    <row r="766" ht="15.75" customHeight="1">
      <c r="A7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Helper'!$F$5:$F$3004,"""")&lt;&gt;""""),ROWS(A$5:A766)),"""")"),"")</f>
        <v/>
      </c>
      <c r="B7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Helper'!$F$5:$F$3004,"""")&lt;&gt;""""),ROWS(B$5:B766)),"""")"),"")</f>
        <v/>
      </c>
      <c r="C7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Helper'!$F$5:$F$3004,"""")&lt;&gt;""""),ROWS(C$5:C766)),"""")"),"")</f>
        <v/>
      </c>
      <c r="D7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Helper'!$F$5:$F$3004,"""")&lt;&gt;""""),ROWS(D$5:D766)),"""")"),"")</f>
        <v/>
      </c>
      <c r="E7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Helper'!$F$5:$F$3004,"""")&lt;&gt;""""),ROWS(E$5:E766)),"""")"),"")</f>
        <v/>
      </c>
      <c r="F7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Helper'!$F$5:$F$3004,"""")&lt;&gt;""""),ROWS(F$5:F766)),IF(AND(LEFT(x,5)=""Page"&amp;" "",ISERROR(SEARCH(""–"",x))),x&amp;""–""&amp;REGEXEXTRACT(x,""[0-9]+$""),x)),"""")"),"")</f>
        <v/>
      </c>
      <c r="G766" s="163"/>
      <c r="H7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Helper'!$F$5:$F$3004,"""")&lt;&gt;""""),ROWS(H$5:H766)),"""")"),"")</f>
        <v/>
      </c>
    </row>
    <row r="767" ht="15.75" customHeight="1">
      <c r="A7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Helper'!$F$5:$F$3004,"""")&lt;&gt;""""),ROWS(A$5:A767)),"""")"),"")</f>
        <v/>
      </c>
      <c r="B7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Helper'!$F$5:$F$3004,"""")&lt;&gt;""""),ROWS(B$5:B767)),"""")"),"")</f>
        <v/>
      </c>
      <c r="C7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Helper'!$F$5:$F$3004,"""")&lt;&gt;""""),ROWS(C$5:C767)),"""")"),"")</f>
        <v/>
      </c>
      <c r="D7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Helper'!$F$5:$F$3004,"""")&lt;&gt;""""),ROWS(D$5:D767)),"""")"),"")</f>
        <v/>
      </c>
      <c r="E7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Helper'!$F$5:$F$3004,"""")&lt;&gt;""""),ROWS(E$5:E767)),"""")"),"")</f>
        <v/>
      </c>
      <c r="F7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Helper'!$F$5:$F$3004,"""")&lt;&gt;""""),ROWS(F$5:F767)),IF(AND(LEFT(x,5)=""Page"&amp;" "",ISERROR(SEARCH(""–"",x))),x&amp;""–""&amp;REGEXEXTRACT(x,""[0-9]+$""),x)),"""")"),"")</f>
        <v/>
      </c>
      <c r="G767" s="163"/>
      <c r="H7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Helper'!$F$5:$F$3004,"""")&lt;&gt;""""),ROWS(H$5:H767)),"""")"),"")</f>
        <v/>
      </c>
    </row>
    <row r="768" ht="15.75" customHeight="1">
      <c r="A7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Helper'!$F$5:$F$3004,"""")&lt;&gt;""""),ROWS(A$5:A768)),"""")"),"")</f>
        <v/>
      </c>
      <c r="B7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Helper'!$F$5:$F$3004,"""")&lt;&gt;""""),ROWS(B$5:B768)),"""")"),"")</f>
        <v/>
      </c>
      <c r="C7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Helper'!$F$5:$F$3004,"""")&lt;&gt;""""),ROWS(C$5:C768)),"""")"),"")</f>
        <v/>
      </c>
      <c r="D7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Helper'!$F$5:$F$3004,"""")&lt;&gt;""""),ROWS(D$5:D768)),"""")"),"")</f>
        <v/>
      </c>
      <c r="E7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Helper'!$F$5:$F$3004,"""")&lt;&gt;""""),ROWS(E$5:E768)),"""")"),"")</f>
        <v/>
      </c>
      <c r="F7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Helper'!$F$5:$F$3004,"""")&lt;&gt;""""),ROWS(F$5:F768)),IF(AND(LEFT(x,5)=""Page"&amp;" "",ISERROR(SEARCH(""–"",x))),x&amp;""–""&amp;REGEXEXTRACT(x,""[0-9]+$""),x)),"""")"),"")</f>
        <v/>
      </c>
      <c r="G768" s="163"/>
      <c r="H7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Helper'!$F$5:$F$3004,"""")&lt;&gt;""""),ROWS(H$5:H768)),"""")"),"")</f>
        <v/>
      </c>
    </row>
    <row r="769" ht="15.75" customHeight="1">
      <c r="A7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Helper'!$F$5:$F$3004,"""")&lt;&gt;""""),ROWS(A$5:A769)),"""")"),"")</f>
        <v/>
      </c>
      <c r="B7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Helper'!$F$5:$F$3004,"""")&lt;&gt;""""),ROWS(B$5:B769)),"""")"),"")</f>
        <v/>
      </c>
      <c r="C7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Helper'!$F$5:$F$3004,"""")&lt;&gt;""""),ROWS(C$5:C769)),"""")"),"")</f>
        <v/>
      </c>
      <c r="D7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Helper'!$F$5:$F$3004,"""")&lt;&gt;""""),ROWS(D$5:D769)),"""")"),"")</f>
        <v/>
      </c>
      <c r="E7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Helper'!$F$5:$F$3004,"""")&lt;&gt;""""),ROWS(E$5:E769)),"""")"),"")</f>
        <v/>
      </c>
      <c r="F7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Helper'!$F$5:$F$3004,"""")&lt;&gt;""""),ROWS(F$5:F769)),IF(AND(LEFT(x,5)=""Page"&amp;" "",ISERROR(SEARCH(""–"",x))),x&amp;""–""&amp;REGEXEXTRACT(x,""[0-9]+$""),x)),"""")"),"")</f>
        <v/>
      </c>
      <c r="G769" s="163"/>
      <c r="H7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Helper'!$F$5:$F$3004,"""")&lt;&gt;""""),ROWS(H$5:H769)),"""")"),"")</f>
        <v/>
      </c>
    </row>
    <row r="770" ht="15.75" customHeight="1">
      <c r="A7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Helper'!$F$5:$F$3004,"""")&lt;&gt;""""),ROWS(A$5:A770)),"""")"),"")</f>
        <v/>
      </c>
      <c r="B7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Helper'!$F$5:$F$3004,"""")&lt;&gt;""""),ROWS(B$5:B770)),"""")"),"")</f>
        <v/>
      </c>
      <c r="C7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Helper'!$F$5:$F$3004,"""")&lt;&gt;""""),ROWS(C$5:C770)),"""")"),"")</f>
        <v/>
      </c>
      <c r="D7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Helper'!$F$5:$F$3004,"""")&lt;&gt;""""),ROWS(D$5:D770)),"""")"),"")</f>
        <v/>
      </c>
      <c r="E7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Helper'!$F$5:$F$3004,"""")&lt;&gt;""""),ROWS(E$5:E770)),"""")"),"")</f>
        <v/>
      </c>
      <c r="F7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Helper'!$F$5:$F$3004,"""")&lt;&gt;""""),ROWS(F$5:F770)),IF(AND(LEFT(x,5)=""Page"&amp;" "",ISERROR(SEARCH(""–"",x))),x&amp;""–""&amp;REGEXEXTRACT(x,""[0-9]+$""),x)),"""")"),"")</f>
        <v/>
      </c>
      <c r="G770" s="163"/>
      <c r="H7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Helper'!$F$5:$F$3004,"""")&lt;&gt;""""),ROWS(H$5:H770)),"""")"),"")</f>
        <v/>
      </c>
    </row>
    <row r="771" ht="15.75" customHeight="1">
      <c r="A7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Helper'!$F$5:$F$3004,"""")&lt;&gt;""""),ROWS(A$5:A771)),"""")"),"")</f>
        <v/>
      </c>
      <c r="B7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Helper'!$F$5:$F$3004,"""")&lt;&gt;""""),ROWS(B$5:B771)),"""")"),"")</f>
        <v/>
      </c>
      <c r="C7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Helper'!$F$5:$F$3004,"""")&lt;&gt;""""),ROWS(C$5:C771)),"""")"),"")</f>
        <v/>
      </c>
      <c r="D7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Helper'!$F$5:$F$3004,"""")&lt;&gt;""""),ROWS(D$5:D771)),"""")"),"")</f>
        <v/>
      </c>
      <c r="E7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Helper'!$F$5:$F$3004,"""")&lt;&gt;""""),ROWS(E$5:E771)),"""")"),"")</f>
        <v/>
      </c>
      <c r="F7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Helper'!$F$5:$F$3004,"""")&lt;&gt;""""),ROWS(F$5:F771)),IF(AND(LEFT(x,5)=""Page"&amp;" "",ISERROR(SEARCH(""–"",x))),x&amp;""–""&amp;REGEXEXTRACT(x,""[0-9]+$""),x)),"""")"),"")</f>
        <v/>
      </c>
      <c r="G771" s="163"/>
      <c r="H7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Helper'!$F$5:$F$3004,"""")&lt;&gt;""""),ROWS(H$5:H771)),"""")"),"")</f>
        <v/>
      </c>
    </row>
    <row r="772" ht="15.75" customHeight="1">
      <c r="A7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Helper'!$F$5:$F$3004,"""")&lt;&gt;""""),ROWS(A$5:A772)),"""")"),"")</f>
        <v/>
      </c>
      <c r="B7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Helper'!$F$5:$F$3004,"""")&lt;&gt;""""),ROWS(B$5:B772)),"""")"),"")</f>
        <v/>
      </c>
      <c r="C7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Helper'!$F$5:$F$3004,"""")&lt;&gt;""""),ROWS(C$5:C772)),"""")"),"")</f>
        <v/>
      </c>
      <c r="D7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Helper'!$F$5:$F$3004,"""")&lt;&gt;""""),ROWS(D$5:D772)),"""")"),"")</f>
        <v/>
      </c>
      <c r="E7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Helper'!$F$5:$F$3004,"""")&lt;&gt;""""),ROWS(E$5:E772)),"""")"),"")</f>
        <v/>
      </c>
      <c r="F7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Helper'!$F$5:$F$3004,"""")&lt;&gt;""""),ROWS(F$5:F772)),IF(AND(LEFT(x,5)=""Page"&amp;" "",ISERROR(SEARCH(""–"",x))),x&amp;""–""&amp;REGEXEXTRACT(x,""[0-9]+$""),x)),"""")"),"")</f>
        <v/>
      </c>
      <c r="G772" s="163"/>
      <c r="H7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Helper'!$F$5:$F$3004,"""")&lt;&gt;""""),ROWS(H$5:H772)),"""")"),"")</f>
        <v/>
      </c>
    </row>
    <row r="773" ht="15.75" customHeight="1">
      <c r="A7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Helper'!$F$5:$F$3004,"""")&lt;&gt;""""),ROWS(A$5:A773)),"""")"),"")</f>
        <v/>
      </c>
      <c r="B7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Helper'!$F$5:$F$3004,"""")&lt;&gt;""""),ROWS(B$5:B773)),"""")"),"")</f>
        <v/>
      </c>
      <c r="C7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Helper'!$F$5:$F$3004,"""")&lt;&gt;""""),ROWS(C$5:C773)),"""")"),"")</f>
        <v/>
      </c>
      <c r="D7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Helper'!$F$5:$F$3004,"""")&lt;&gt;""""),ROWS(D$5:D773)),"""")"),"")</f>
        <v/>
      </c>
      <c r="E7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Helper'!$F$5:$F$3004,"""")&lt;&gt;""""),ROWS(E$5:E773)),"""")"),"")</f>
        <v/>
      </c>
      <c r="F7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Helper'!$F$5:$F$3004,"""")&lt;&gt;""""),ROWS(F$5:F773)),IF(AND(LEFT(x,5)=""Page"&amp;" "",ISERROR(SEARCH(""–"",x))),x&amp;""–""&amp;REGEXEXTRACT(x,""[0-9]+$""),x)),"""")"),"")</f>
        <v/>
      </c>
      <c r="G773" s="163"/>
      <c r="H7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Helper'!$F$5:$F$3004,"""")&lt;&gt;""""),ROWS(H$5:H773)),"""")"),"")</f>
        <v/>
      </c>
    </row>
    <row r="774" ht="15.75" customHeight="1">
      <c r="A7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Helper'!$F$5:$F$3004,"""")&lt;&gt;""""),ROWS(A$5:A774)),"""")"),"")</f>
        <v/>
      </c>
      <c r="B7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Helper'!$F$5:$F$3004,"""")&lt;&gt;""""),ROWS(B$5:B774)),"""")"),"")</f>
        <v/>
      </c>
      <c r="C7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Helper'!$F$5:$F$3004,"""")&lt;&gt;""""),ROWS(C$5:C774)),"""")"),"")</f>
        <v/>
      </c>
      <c r="D7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Helper'!$F$5:$F$3004,"""")&lt;&gt;""""),ROWS(D$5:D774)),"""")"),"")</f>
        <v/>
      </c>
      <c r="E7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Helper'!$F$5:$F$3004,"""")&lt;&gt;""""),ROWS(E$5:E774)),"""")"),"")</f>
        <v/>
      </c>
      <c r="F7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Helper'!$F$5:$F$3004,"""")&lt;&gt;""""),ROWS(F$5:F774)),IF(AND(LEFT(x,5)=""Page"&amp;" "",ISERROR(SEARCH(""–"",x))),x&amp;""–""&amp;REGEXEXTRACT(x,""[0-9]+$""),x)),"""")"),"")</f>
        <v/>
      </c>
      <c r="G774" s="163"/>
      <c r="H7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Helper'!$F$5:$F$3004,"""")&lt;&gt;""""),ROWS(H$5:H774)),"""")"),"")</f>
        <v/>
      </c>
    </row>
    <row r="775" ht="15.75" customHeight="1">
      <c r="A7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Helper'!$F$5:$F$3004,"""")&lt;&gt;""""),ROWS(A$5:A775)),"""")"),"")</f>
        <v/>
      </c>
      <c r="B7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Helper'!$F$5:$F$3004,"""")&lt;&gt;""""),ROWS(B$5:B775)),"""")"),"")</f>
        <v/>
      </c>
      <c r="C7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Helper'!$F$5:$F$3004,"""")&lt;&gt;""""),ROWS(C$5:C775)),"""")"),"")</f>
        <v/>
      </c>
      <c r="D7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Helper'!$F$5:$F$3004,"""")&lt;&gt;""""),ROWS(D$5:D775)),"""")"),"")</f>
        <v/>
      </c>
      <c r="E7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Helper'!$F$5:$F$3004,"""")&lt;&gt;""""),ROWS(E$5:E775)),"""")"),"")</f>
        <v/>
      </c>
      <c r="F7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Helper'!$F$5:$F$3004,"""")&lt;&gt;""""),ROWS(F$5:F775)),IF(AND(LEFT(x,5)=""Page"&amp;" "",ISERROR(SEARCH(""–"",x))),x&amp;""–""&amp;REGEXEXTRACT(x,""[0-9]+$""),x)),"""")"),"")</f>
        <v/>
      </c>
      <c r="G775" s="163"/>
      <c r="H7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Helper'!$F$5:$F$3004,"""")&lt;&gt;""""),ROWS(H$5:H775)),"""")"),"")</f>
        <v/>
      </c>
    </row>
    <row r="776" ht="15.75" customHeight="1">
      <c r="A7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Helper'!$F$5:$F$3004,"""")&lt;&gt;""""),ROWS(A$5:A776)),"""")"),"")</f>
        <v/>
      </c>
      <c r="B7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Helper'!$F$5:$F$3004,"""")&lt;&gt;""""),ROWS(B$5:B776)),"""")"),"")</f>
        <v/>
      </c>
      <c r="C7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Helper'!$F$5:$F$3004,"""")&lt;&gt;""""),ROWS(C$5:C776)),"""")"),"")</f>
        <v/>
      </c>
      <c r="D7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Helper'!$F$5:$F$3004,"""")&lt;&gt;""""),ROWS(D$5:D776)),"""")"),"")</f>
        <v/>
      </c>
      <c r="E7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Helper'!$F$5:$F$3004,"""")&lt;&gt;""""),ROWS(E$5:E776)),"""")"),"")</f>
        <v/>
      </c>
      <c r="F7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Helper'!$F$5:$F$3004,"""")&lt;&gt;""""),ROWS(F$5:F776)),IF(AND(LEFT(x,5)=""Page"&amp;" "",ISERROR(SEARCH(""–"",x))),x&amp;""–""&amp;REGEXEXTRACT(x,""[0-9]+$""),x)),"""")"),"")</f>
        <v/>
      </c>
      <c r="G776" s="163"/>
      <c r="H7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Helper'!$F$5:$F$3004,"""")&lt;&gt;""""),ROWS(H$5:H776)),"""")"),"")</f>
        <v/>
      </c>
    </row>
    <row r="777" ht="15.75" customHeight="1">
      <c r="A7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Helper'!$F$5:$F$3004,"""")&lt;&gt;""""),ROWS(A$5:A777)),"""")"),"")</f>
        <v/>
      </c>
      <c r="B7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Helper'!$F$5:$F$3004,"""")&lt;&gt;""""),ROWS(B$5:B777)),"""")"),"")</f>
        <v/>
      </c>
      <c r="C7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Helper'!$F$5:$F$3004,"""")&lt;&gt;""""),ROWS(C$5:C777)),"""")"),"")</f>
        <v/>
      </c>
      <c r="D7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Helper'!$F$5:$F$3004,"""")&lt;&gt;""""),ROWS(D$5:D777)),"""")"),"")</f>
        <v/>
      </c>
      <c r="E7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Helper'!$F$5:$F$3004,"""")&lt;&gt;""""),ROWS(E$5:E777)),"""")"),"")</f>
        <v/>
      </c>
      <c r="F7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Helper'!$F$5:$F$3004,"""")&lt;&gt;""""),ROWS(F$5:F777)),IF(AND(LEFT(x,5)=""Page"&amp;" "",ISERROR(SEARCH(""–"",x))),x&amp;""–""&amp;REGEXEXTRACT(x,""[0-9]+$""),x)),"""")"),"")</f>
        <v/>
      </c>
      <c r="G777" s="163"/>
      <c r="H7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Helper'!$F$5:$F$3004,"""")&lt;&gt;""""),ROWS(H$5:H777)),"""")"),"")</f>
        <v/>
      </c>
    </row>
    <row r="778" ht="15.75" customHeight="1">
      <c r="A7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Helper'!$F$5:$F$3004,"""")&lt;&gt;""""),ROWS(A$5:A778)),"""")"),"")</f>
        <v/>
      </c>
      <c r="B7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Helper'!$F$5:$F$3004,"""")&lt;&gt;""""),ROWS(B$5:B778)),"""")"),"")</f>
        <v/>
      </c>
      <c r="C7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Helper'!$F$5:$F$3004,"""")&lt;&gt;""""),ROWS(C$5:C778)),"""")"),"")</f>
        <v/>
      </c>
      <c r="D7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Helper'!$F$5:$F$3004,"""")&lt;&gt;""""),ROWS(D$5:D778)),"""")"),"")</f>
        <v/>
      </c>
      <c r="E7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Helper'!$F$5:$F$3004,"""")&lt;&gt;""""),ROWS(E$5:E778)),"""")"),"")</f>
        <v/>
      </c>
      <c r="F7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Helper'!$F$5:$F$3004,"""")&lt;&gt;""""),ROWS(F$5:F778)),IF(AND(LEFT(x,5)=""Page"&amp;" "",ISERROR(SEARCH(""–"",x))),x&amp;""–""&amp;REGEXEXTRACT(x,""[0-9]+$""),x)),"""")"),"")</f>
        <v/>
      </c>
      <c r="G778" s="163"/>
      <c r="H7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Helper'!$F$5:$F$3004,"""")&lt;&gt;""""),ROWS(H$5:H778)),"""")"),"")</f>
        <v/>
      </c>
    </row>
    <row r="779" ht="15.75" customHeight="1">
      <c r="A7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Helper'!$F$5:$F$3004,"""")&lt;&gt;""""),ROWS(A$5:A779)),"""")"),"")</f>
        <v/>
      </c>
      <c r="B7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Helper'!$F$5:$F$3004,"""")&lt;&gt;""""),ROWS(B$5:B779)),"""")"),"")</f>
        <v/>
      </c>
      <c r="C7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Helper'!$F$5:$F$3004,"""")&lt;&gt;""""),ROWS(C$5:C779)),"""")"),"")</f>
        <v/>
      </c>
      <c r="D7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Helper'!$F$5:$F$3004,"""")&lt;&gt;""""),ROWS(D$5:D779)),"""")"),"")</f>
        <v/>
      </c>
      <c r="E7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Helper'!$F$5:$F$3004,"""")&lt;&gt;""""),ROWS(E$5:E779)),"""")"),"")</f>
        <v/>
      </c>
      <c r="F7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Helper'!$F$5:$F$3004,"""")&lt;&gt;""""),ROWS(F$5:F779)),IF(AND(LEFT(x,5)=""Page"&amp;" "",ISERROR(SEARCH(""–"",x))),x&amp;""–""&amp;REGEXEXTRACT(x,""[0-9]+$""),x)),"""")"),"")</f>
        <v/>
      </c>
      <c r="G779" s="163"/>
      <c r="H7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Helper'!$F$5:$F$3004,"""")&lt;&gt;""""),ROWS(H$5:H779)),"""")"),"")</f>
        <v/>
      </c>
    </row>
    <row r="780" ht="15.75" customHeight="1">
      <c r="A7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Helper'!$F$5:$F$3004,"""")&lt;&gt;""""),ROWS(A$5:A780)),"""")"),"")</f>
        <v/>
      </c>
      <c r="B7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Helper'!$F$5:$F$3004,"""")&lt;&gt;""""),ROWS(B$5:B780)),"""")"),"")</f>
        <v/>
      </c>
      <c r="C7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Helper'!$F$5:$F$3004,"""")&lt;&gt;""""),ROWS(C$5:C780)),"""")"),"")</f>
        <v/>
      </c>
      <c r="D7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Helper'!$F$5:$F$3004,"""")&lt;&gt;""""),ROWS(D$5:D780)),"""")"),"")</f>
        <v/>
      </c>
      <c r="E7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Helper'!$F$5:$F$3004,"""")&lt;&gt;""""),ROWS(E$5:E780)),"""")"),"")</f>
        <v/>
      </c>
      <c r="F7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Helper'!$F$5:$F$3004,"""")&lt;&gt;""""),ROWS(F$5:F780)),IF(AND(LEFT(x,5)=""Page"&amp;" "",ISERROR(SEARCH(""–"",x))),x&amp;""–""&amp;REGEXEXTRACT(x,""[0-9]+$""),x)),"""")"),"")</f>
        <v/>
      </c>
      <c r="G780" s="163"/>
      <c r="H7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Helper'!$F$5:$F$3004,"""")&lt;&gt;""""),ROWS(H$5:H780)),"""")"),"")</f>
        <v/>
      </c>
    </row>
    <row r="781" ht="15.75" customHeight="1">
      <c r="A7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Helper'!$F$5:$F$3004,"""")&lt;&gt;""""),ROWS(A$5:A781)),"""")"),"")</f>
        <v/>
      </c>
      <c r="B7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Helper'!$F$5:$F$3004,"""")&lt;&gt;""""),ROWS(B$5:B781)),"""")"),"")</f>
        <v/>
      </c>
      <c r="C7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Helper'!$F$5:$F$3004,"""")&lt;&gt;""""),ROWS(C$5:C781)),"""")"),"")</f>
        <v/>
      </c>
      <c r="D7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Helper'!$F$5:$F$3004,"""")&lt;&gt;""""),ROWS(D$5:D781)),"""")"),"")</f>
        <v/>
      </c>
      <c r="E7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Helper'!$F$5:$F$3004,"""")&lt;&gt;""""),ROWS(E$5:E781)),"""")"),"")</f>
        <v/>
      </c>
      <c r="F7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Helper'!$F$5:$F$3004,"""")&lt;&gt;""""),ROWS(F$5:F781)),IF(AND(LEFT(x,5)=""Page"&amp;" "",ISERROR(SEARCH(""–"",x))),x&amp;""–""&amp;REGEXEXTRACT(x,""[0-9]+$""),x)),"""")"),"")</f>
        <v/>
      </c>
      <c r="G781" s="163"/>
      <c r="H7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Helper'!$F$5:$F$3004,"""")&lt;&gt;""""),ROWS(H$5:H781)),"""")"),"")</f>
        <v/>
      </c>
    </row>
    <row r="782" ht="15.75" customHeight="1">
      <c r="A7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Helper'!$F$5:$F$3004,"""")&lt;&gt;""""),ROWS(A$5:A782)),"""")"),"")</f>
        <v/>
      </c>
      <c r="B7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Helper'!$F$5:$F$3004,"""")&lt;&gt;""""),ROWS(B$5:B782)),"""")"),"")</f>
        <v/>
      </c>
      <c r="C7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Helper'!$F$5:$F$3004,"""")&lt;&gt;""""),ROWS(C$5:C782)),"""")"),"")</f>
        <v/>
      </c>
      <c r="D7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Helper'!$F$5:$F$3004,"""")&lt;&gt;""""),ROWS(D$5:D782)),"""")"),"")</f>
        <v/>
      </c>
      <c r="E7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Helper'!$F$5:$F$3004,"""")&lt;&gt;""""),ROWS(E$5:E782)),"""")"),"")</f>
        <v/>
      </c>
      <c r="F7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Helper'!$F$5:$F$3004,"""")&lt;&gt;""""),ROWS(F$5:F782)),IF(AND(LEFT(x,5)=""Page"&amp;" "",ISERROR(SEARCH(""–"",x))),x&amp;""–""&amp;REGEXEXTRACT(x,""[0-9]+$""),x)),"""")"),"")</f>
        <v/>
      </c>
      <c r="G782" s="163"/>
      <c r="H7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Helper'!$F$5:$F$3004,"""")&lt;&gt;""""),ROWS(H$5:H782)),"""")"),"")</f>
        <v/>
      </c>
    </row>
    <row r="783" ht="15.75" customHeight="1">
      <c r="A7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Helper'!$F$5:$F$3004,"""")&lt;&gt;""""),ROWS(A$5:A783)),"""")"),"")</f>
        <v/>
      </c>
      <c r="B7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Helper'!$F$5:$F$3004,"""")&lt;&gt;""""),ROWS(B$5:B783)),"""")"),"")</f>
        <v/>
      </c>
      <c r="C7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Helper'!$F$5:$F$3004,"""")&lt;&gt;""""),ROWS(C$5:C783)),"""")"),"")</f>
        <v/>
      </c>
      <c r="D7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Helper'!$F$5:$F$3004,"""")&lt;&gt;""""),ROWS(D$5:D783)),"""")"),"")</f>
        <v/>
      </c>
      <c r="E7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Helper'!$F$5:$F$3004,"""")&lt;&gt;""""),ROWS(E$5:E783)),"""")"),"")</f>
        <v/>
      </c>
      <c r="F7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Helper'!$F$5:$F$3004,"""")&lt;&gt;""""),ROWS(F$5:F783)),IF(AND(LEFT(x,5)=""Page"&amp;" "",ISERROR(SEARCH(""–"",x))),x&amp;""–""&amp;REGEXEXTRACT(x,""[0-9]+$""),x)),"""")"),"")</f>
        <v/>
      </c>
      <c r="G783" s="163"/>
      <c r="H7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Helper'!$F$5:$F$3004,"""")&lt;&gt;""""),ROWS(H$5:H783)),"""")"),"")</f>
        <v/>
      </c>
    </row>
    <row r="784" ht="15.75" customHeight="1">
      <c r="A7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Helper'!$F$5:$F$3004,"""")&lt;&gt;""""),ROWS(A$5:A784)),"""")"),"")</f>
        <v/>
      </c>
      <c r="B7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Helper'!$F$5:$F$3004,"""")&lt;&gt;""""),ROWS(B$5:B784)),"""")"),"")</f>
        <v/>
      </c>
      <c r="C7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Helper'!$F$5:$F$3004,"""")&lt;&gt;""""),ROWS(C$5:C784)),"""")"),"")</f>
        <v/>
      </c>
      <c r="D7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Helper'!$F$5:$F$3004,"""")&lt;&gt;""""),ROWS(D$5:D784)),"""")"),"")</f>
        <v/>
      </c>
      <c r="E7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Helper'!$F$5:$F$3004,"""")&lt;&gt;""""),ROWS(E$5:E784)),"""")"),"")</f>
        <v/>
      </c>
      <c r="F7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Helper'!$F$5:$F$3004,"""")&lt;&gt;""""),ROWS(F$5:F784)),IF(AND(LEFT(x,5)=""Page"&amp;" "",ISERROR(SEARCH(""–"",x))),x&amp;""–""&amp;REGEXEXTRACT(x,""[0-9]+$""),x)),"""")"),"")</f>
        <v/>
      </c>
      <c r="G784" s="163"/>
      <c r="H7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Helper'!$F$5:$F$3004,"""")&lt;&gt;""""),ROWS(H$5:H784)),"""")"),"")</f>
        <v/>
      </c>
    </row>
    <row r="785" ht="15.75" customHeight="1">
      <c r="A7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Helper'!$F$5:$F$3004,"""")&lt;&gt;""""),ROWS(A$5:A785)),"""")"),"")</f>
        <v/>
      </c>
      <c r="B7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Helper'!$F$5:$F$3004,"""")&lt;&gt;""""),ROWS(B$5:B785)),"""")"),"")</f>
        <v/>
      </c>
      <c r="C7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Helper'!$F$5:$F$3004,"""")&lt;&gt;""""),ROWS(C$5:C785)),"""")"),"")</f>
        <v/>
      </c>
      <c r="D7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Helper'!$F$5:$F$3004,"""")&lt;&gt;""""),ROWS(D$5:D785)),"""")"),"")</f>
        <v/>
      </c>
      <c r="E7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Helper'!$F$5:$F$3004,"""")&lt;&gt;""""),ROWS(E$5:E785)),"""")"),"")</f>
        <v/>
      </c>
      <c r="F7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Helper'!$F$5:$F$3004,"""")&lt;&gt;""""),ROWS(F$5:F785)),IF(AND(LEFT(x,5)=""Page"&amp;" "",ISERROR(SEARCH(""–"",x))),x&amp;""–""&amp;REGEXEXTRACT(x,""[0-9]+$""),x)),"""")"),"")</f>
        <v/>
      </c>
      <c r="G785" s="163"/>
      <c r="H7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Helper'!$F$5:$F$3004,"""")&lt;&gt;""""),ROWS(H$5:H785)),"""")"),"")</f>
        <v/>
      </c>
    </row>
    <row r="786" ht="15.75" customHeight="1">
      <c r="A7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Helper'!$F$5:$F$3004,"""")&lt;&gt;""""),ROWS(A$5:A786)),"""")"),"")</f>
        <v/>
      </c>
      <c r="B7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Helper'!$F$5:$F$3004,"""")&lt;&gt;""""),ROWS(B$5:B786)),"""")"),"")</f>
        <v/>
      </c>
      <c r="C7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Helper'!$F$5:$F$3004,"""")&lt;&gt;""""),ROWS(C$5:C786)),"""")"),"")</f>
        <v/>
      </c>
      <c r="D7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Helper'!$F$5:$F$3004,"""")&lt;&gt;""""),ROWS(D$5:D786)),"""")"),"")</f>
        <v/>
      </c>
      <c r="E7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Helper'!$F$5:$F$3004,"""")&lt;&gt;""""),ROWS(E$5:E786)),"""")"),"")</f>
        <v/>
      </c>
      <c r="F7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Helper'!$F$5:$F$3004,"""")&lt;&gt;""""),ROWS(F$5:F786)),IF(AND(LEFT(x,5)=""Page"&amp;" "",ISERROR(SEARCH(""–"",x))),x&amp;""–""&amp;REGEXEXTRACT(x,""[0-9]+$""),x)),"""")"),"")</f>
        <v/>
      </c>
      <c r="G786" s="163"/>
      <c r="H7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Helper'!$F$5:$F$3004,"""")&lt;&gt;""""),ROWS(H$5:H786)),"""")"),"")</f>
        <v/>
      </c>
    </row>
    <row r="787" ht="15.75" customHeight="1">
      <c r="A7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Helper'!$F$5:$F$3004,"""")&lt;&gt;""""),ROWS(A$5:A787)),"""")"),"")</f>
        <v/>
      </c>
      <c r="B7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Helper'!$F$5:$F$3004,"""")&lt;&gt;""""),ROWS(B$5:B787)),"""")"),"")</f>
        <v/>
      </c>
      <c r="C7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Helper'!$F$5:$F$3004,"""")&lt;&gt;""""),ROWS(C$5:C787)),"""")"),"")</f>
        <v/>
      </c>
      <c r="D7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Helper'!$F$5:$F$3004,"""")&lt;&gt;""""),ROWS(D$5:D787)),"""")"),"")</f>
        <v/>
      </c>
      <c r="E7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Helper'!$F$5:$F$3004,"""")&lt;&gt;""""),ROWS(E$5:E787)),"""")"),"")</f>
        <v/>
      </c>
      <c r="F7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Helper'!$F$5:$F$3004,"""")&lt;&gt;""""),ROWS(F$5:F787)),IF(AND(LEFT(x,5)=""Page"&amp;" "",ISERROR(SEARCH(""–"",x))),x&amp;""–""&amp;REGEXEXTRACT(x,""[0-9]+$""),x)),"""")"),"")</f>
        <v/>
      </c>
      <c r="G787" s="163"/>
      <c r="H7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Helper'!$F$5:$F$3004,"""")&lt;&gt;""""),ROWS(H$5:H787)),"""")"),"")</f>
        <v/>
      </c>
    </row>
    <row r="788" ht="15.75" customHeight="1">
      <c r="A7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Helper'!$F$5:$F$3004,"""")&lt;&gt;""""),ROWS(A$5:A788)),"""")"),"")</f>
        <v/>
      </c>
      <c r="B7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Helper'!$F$5:$F$3004,"""")&lt;&gt;""""),ROWS(B$5:B788)),"""")"),"")</f>
        <v/>
      </c>
      <c r="C7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Helper'!$F$5:$F$3004,"""")&lt;&gt;""""),ROWS(C$5:C788)),"""")"),"")</f>
        <v/>
      </c>
      <c r="D7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Helper'!$F$5:$F$3004,"""")&lt;&gt;""""),ROWS(D$5:D788)),"""")"),"")</f>
        <v/>
      </c>
      <c r="E7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Helper'!$F$5:$F$3004,"""")&lt;&gt;""""),ROWS(E$5:E788)),"""")"),"")</f>
        <v/>
      </c>
      <c r="F7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Helper'!$F$5:$F$3004,"""")&lt;&gt;""""),ROWS(F$5:F788)),IF(AND(LEFT(x,5)=""Page"&amp;" "",ISERROR(SEARCH(""–"",x))),x&amp;""–""&amp;REGEXEXTRACT(x,""[0-9]+$""),x)),"""")"),"")</f>
        <v/>
      </c>
      <c r="G788" s="163"/>
      <c r="H7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Helper'!$F$5:$F$3004,"""")&lt;&gt;""""),ROWS(H$5:H788)),"""")"),"")</f>
        <v/>
      </c>
    </row>
    <row r="789" ht="15.75" customHeight="1">
      <c r="A7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Helper'!$F$5:$F$3004,"""")&lt;&gt;""""),ROWS(A$5:A789)),"""")"),"")</f>
        <v/>
      </c>
      <c r="B7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Helper'!$F$5:$F$3004,"""")&lt;&gt;""""),ROWS(B$5:B789)),"""")"),"")</f>
        <v/>
      </c>
      <c r="C7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Helper'!$F$5:$F$3004,"""")&lt;&gt;""""),ROWS(C$5:C789)),"""")"),"")</f>
        <v/>
      </c>
      <c r="D7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Helper'!$F$5:$F$3004,"""")&lt;&gt;""""),ROWS(D$5:D789)),"""")"),"")</f>
        <v/>
      </c>
      <c r="E7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Helper'!$F$5:$F$3004,"""")&lt;&gt;""""),ROWS(E$5:E789)),"""")"),"")</f>
        <v/>
      </c>
      <c r="F7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Helper'!$F$5:$F$3004,"""")&lt;&gt;""""),ROWS(F$5:F789)),IF(AND(LEFT(x,5)=""Page"&amp;" "",ISERROR(SEARCH(""–"",x))),x&amp;""–""&amp;REGEXEXTRACT(x,""[0-9]+$""),x)),"""")"),"")</f>
        <v/>
      </c>
      <c r="G789" s="163"/>
      <c r="H7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Helper'!$F$5:$F$3004,"""")&lt;&gt;""""),ROWS(H$5:H789)),"""")"),"")</f>
        <v/>
      </c>
    </row>
    <row r="790" ht="15.75" customHeight="1">
      <c r="A7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Helper'!$F$5:$F$3004,"""")&lt;&gt;""""),ROWS(A$5:A790)),"""")"),"")</f>
        <v/>
      </c>
      <c r="B7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Helper'!$F$5:$F$3004,"""")&lt;&gt;""""),ROWS(B$5:B790)),"""")"),"")</f>
        <v/>
      </c>
      <c r="C7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Helper'!$F$5:$F$3004,"""")&lt;&gt;""""),ROWS(C$5:C790)),"""")"),"")</f>
        <v/>
      </c>
      <c r="D7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Helper'!$F$5:$F$3004,"""")&lt;&gt;""""),ROWS(D$5:D790)),"""")"),"")</f>
        <v/>
      </c>
      <c r="E7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Helper'!$F$5:$F$3004,"""")&lt;&gt;""""),ROWS(E$5:E790)),"""")"),"")</f>
        <v/>
      </c>
      <c r="F7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Helper'!$F$5:$F$3004,"""")&lt;&gt;""""),ROWS(F$5:F790)),IF(AND(LEFT(x,5)=""Page"&amp;" "",ISERROR(SEARCH(""–"",x))),x&amp;""–""&amp;REGEXEXTRACT(x,""[0-9]+$""),x)),"""")"),"")</f>
        <v/>
      </c>
      <c r="G790" s="163"/>
      <c r="H7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Helper'!$F$5:$F$3004,"""")&lt;&gt;""""),ROWS(H$5:H790)),"""")"),"")</f>
        <v/>
      </c>
    </row>
    <row r="791" ht="15.75" customHeight="1">
      <c r="A7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Helper'!$F$5:$F$3004,"""")&lt;&gt;""""),ROWS(A$5:A791)),"""")"),"")</f>
        <v/>
      </c>
      <c r="B7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Helper'!$F$5:$F$3004,"""")&lt;&gt;""""),ROWS(B$5:B791)),"""")"),"")</f>
        <v/>
      </c>
      <c r="C7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Helper'!$F$5:$F$3004,"""")&lt;&gt;""""),ROWS(C$5:C791)),"""")"),"")</f>
        <v/>
      </c>
      <c r="D7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Helper'!$F$5:$F$3004,"""")&lt;&gt;""""),ROWS(D$5:D791)),"""")"),"")</f>
        <v/>
      </c>
      <c r="E7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Helper'!$F$5:$F$3004,"""")&lt;&gt;""""),ROWS(E$5:E791)),"""")"),"")</f>
        <v/>
      </c>
      <c r="F7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Helper'!$F$5:$F$3004,"""")&lt;&gt;""""),ROWS(F$5:F791)),IF(AND(LEFT(x,5)=""Page"&amp;" "",ISERROR(SEARCH(""–"",x))),x&amp;""–""&amp;REGEXEXTRACT(x,""[0-9]+$""),x)),"""")"),"")</f>
        <v/>
      </c>
      <c r="G791" s="163"/>
      <c r="H7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Helper'!$F$5:$F$3004,"""")&lt;&gt;""""),ROWS(H$5:H791)),"""")"),"")</f>
        <v/>
      </c>
    </row>
    <row r="792" ht="15.75" customHeight="1">
      <c r="A7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Helper'!$F$5:$F$3004,"""")&lt;&gt;""""),ROWS(A$5:A792)),"""")"),"")</f>
        <v/>
      </c>
      <c r="B7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Helper'!$F$5:$F$3004,"""")&lt;&gt;""""),ROWS(B$5:B792)),"""")"),"")</f>
        <v/>
      </c>
      <c r="C7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Helper'!$F$5:$F$3004,"""")&lt;&gt;""""),ROWS(C$5:C792)),"""")"),"")</f>
        <v/>
      </c>
      <c r="D7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Helper'!$F$5:$F$3004,"""")&lt;&gt;""""),ROWS(D$5:D792)),"""")"),"")</f>
        <v/>
      </c>
      <c r="E7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Helper'!$F$5:$F$3004,"""")&lt;&gt;""""),ROWS(E$5:E792)),"""")"),"")</f>
        <v/>
      </c>
      <c r="F7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Helper'!$F$5:$F$3004,"""")&lt;&gt;""""),ROWS(F$5:F792)),IF(AND(LEFT(x,5)=""Page"&amp;" "",ISERROR(SEARCH(""–"",x))),x&amp;""–""&amp;REGEXEXTRACT(x,""[0-9]+$""),x)),"""")"),"")</f>
        <v/>
      </c>
      <c r="G792" s="163"/>
      <c r="H7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Helper'!$F$5:$F$3004,"""")&lt;&gt;""""),ROWS(H$5:H792)),"""")"),"")</f>
        <v/>
      </c>
    </row>
    <row r="793" ht="15.75" customHeight="1">
      <c r="A7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Helper'!$F$5:$F$3004,"""")&lt;&gt;""""),ROWS(A$5:A793)),"""")"),"")</f>
        <v/>
      </c>
      <c r="B7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Helper'!$F$5:$F$3004,"""")&lt;&gt;""""),ROWS(B$5:B793)),"""")"),"")</f>
        <v/>
      </c>
      <c r="C7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Helper'!$F$5:$F$3004,"""")&lt;&gt;""""),ROWS(C$5:C793)),"""")"),"")</f>
        <v/>
      </c>
      <c r="D7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Helper'!$F$5:$F$3004,"""")&lt;&gt;""""),ROWS(D$5:D793)),"""")"),"")</f>
        <v/>
      </c>
      <c r="E7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Helper'!$F$5:$F$3004,"""")&lt;&gt;""""),ROWS(E$5:E793)),"""")"),"")</f>
        <v/>
      </c>
      <c r="F7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Helper'!$F$5:$F$3004,"""")&lt;&gt;""""),ROWS(F$5:F793)),IF(AND(LEFT(x,5)=""Page"&amp;" "",ISERROR(SEARCH(""–"",x))),x&amp;""–""&amp;REGEXEXTRACT(x,""[0-9]+$""),x)),"""")"),"")</f>
        <v/>
      </c>
      <c r="G793" s="163"/>
      <c r="H7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Helper'!$F$5:$F$3004,"""")&lt;&gt;""""),ROWS(H$5:H793)),"""")"),"")</f>
        <v/>
      </c>
    </row>
    <row r="794" ht="15.75" customHeight="1">
      <c r="A7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Helper'!$F$5:$F$3004,"""")&lt;&gt;""""),ROWS(A$5:A794)),"""")"),"")</f>
        <v/>
      </c>
      <c r="B7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Helper'!$F$5:$F$3004,"""")&lt;&gt;""""),ROWS(B$5:B794)),"""")"),"")</f>
        <v/>
      </c>
      <c r="C7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Helper'!$F$5:$F$3004,"""")&lt;&gt;""""),ROWS(C$5:C794)),"""")"),"")</f>
        <v/>
      </c>
      <c r="D7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Helper'!$F$5:$F$3004,"""")&lt;&gt;""""),ROWS(D$5:D794)),"""")"),"")</f>
        <v/>
      </c>
      <c r="E7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Helper'!$F$5:$F$3004,"""")&lt;&gt;""""),ROWS(E$5:E794)),"""")"),"")</f>
        <v/>
      </c>
      <c r="F7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Helper'!$F$5:$F$3004,"""")&lt;&gt;""""),ROWS(F$5:F794)),IF(AND(LEFT(x,5)=""Page"&amp;" "",ISERROR(SEARCH(""–"",x))),x&amp;""–""&amp;REGEXEXTRACT(x,""[0-9]+$""),x)),"""")"),"")</f>
        <v/>
      </c>
      <c r="G794" s="163"/>
      <c r="H7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Helper'!$F$5:$F$3004,"""")&lt;&gt;""""),ROWS(H$5:H794)),"""")"),"")</f>
        <v/>
      </c>
    </row>
    <row r="795" ht="15.75" customHeight="1">
      <c r="A7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Helper'!$F$5:$F$3004,"""")&lt;&gt;""""),ROWS(A$5:A795)),"""")"),"")</f>
        <v/>
      </c>
      <c r="B7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Helper'!$F$5:$F$3004,"""")&lt;&gt;""""),ROWS(B$5:B795)),"""")"),"")</f>
        <v/>
      </c>
      <c r="C7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Helper'!$F$5:$F$3004,"""")&lt;&gt;""""),ROWS(C$5:C795)),"""")"),"")</f>
        <v/>
      </c>
      <c r="D7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Helper'!$F$5:$F$3004,"""")&lt;&gt;""""),ROWS(D$5:D795)),"""")"),"")</f>
        <v/>
      </c>
      <c r="E7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Helper'!$F$5:$F$3004,"""")&lt;&gt;""""),ROWS(E$5:E795)),"""")"),"")</f>
        <v/>
      </c>
      <c r="F7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Helper'!$F$5:$F$3004,"""")&lt;&gt;""""),ROWS(F$5:F795)),IF(AND(LEFT(x,5)=""Page"&amp;" "",ISERROR(SEARCH(""–"",x))),x&amp;""–""&amp;REGEXEXTRACT(x,""[0-9]+$""),x)),"""")"),"")</f>
        <v/>
      </c>
      <c r="G795" s="163"/>
      <c r="H7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Helper'!$F$5:$F$3004,"""")&lt;&gt;""""),ROWS(H$5:H795)),"""")"),"")</f>
        <v/>
      </c>
    </row>
    <row r="796" ht="15.75" customHeight="1">
      <c r="A7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Helper'!$F$5:$F$3004,"""")&lt;&gt;""""),ROWS(A$5:A796)),"""")"),"")</f>
        <v/>
      </c>
      <c r="B7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Helper'!$F$5:$F$3004,"""")&lt;&gt;""""),ROWS(B$5:B796)),"""")"),"")</f>
        <v/>
      </c>
      <c r="C7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Helper'!$F$5:$F$3004,"""")&lt;&gt;""""),ROWS(C$5:C796)),"""")"),"")</f>
        <v/>
      </c>
      <c r="D7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Helper'!$F$5:$F$3004,"""")&lt;&gt;""""),ROWS(D$5:D796)),"""")"),"")</f>
        <v/>
      </c>
      <c r="E7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Helper'!$F$5:$F$3004,"""")&lt;&gt;""""),ROWS(E$5:E796)),"""")"),"")</f>
        <v/>
      </c>
      <c r="F7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Helper'!$F$5:$F$3004,"""")&lt;&gt;""""),ROWS(F$5:F796)),IF(AND(LEFT(x,5)=""Page"&amp;" "",ISERROR(SEARCH(""–"",x))),x&amp;""–""&amp;REGEXEXTRACT(x,""[0-9]+$""),x)),"""")"),"")</f>
        <v/>
      </c>
      <c r="G796" s="163"/>
      <c r="H7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Helper'!$F$5:$F$3004,"""")&lt;&gt;""""),ROWS(H$5:H796)),"""")"),"")</f>
        <v/>
      </c>
    </row>
    <row r="797" ht="15.75" customHeight="1">
      <c r="A7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Helper'!$F$5:$F$3004,"""")&lt;&gt;""""),ROWS(A$5:A797)),"""")"),"")</f>
        <v/>
      </c>
      <c r="B7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Helper'!$F$5:$F$3004,"""")&lt;&gt;""""),ROWS(B$5:B797)),"""")"),"")</f>
        <v/>
      </c>
      <c r="C7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Helper'!$F$5:$F$3004,"""")&lt;&gt;""""),ROWS(C$5:C797)),"""")"),"")</f>
        <v/>
      </c>
      <c r="D7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Helper'!$F$5:$F$3004,"""")&lt;&gt;""""),ROWS(D$5:D797)),"""")"),"")</f>
        <v/>
      </c>
      <c r="E7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Helper'!$F$5:$F$3004,"""")&lt;&gt;""""),ROWS(E$5:E797)),"""")"),"")</f>
        <v/>
      </c>
      <c r="F7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Helper'!$F$5:$F$3004,"""")&lt;&gt;""""),ROWS(F$5:F797)),IF(AND(LEFT(x,5)=""Page"&amp;" "",ISERROR(SEARCH(""–"",x))),x&amp;""–""&amp;REGEXEXTRACT(x,""[0-9]+$""),x)),"""")"),"")</f>
        <v/>
      </c>
      <c r="G797" s="163"/>
      <c r="H7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Helper'!$F$5:$F$3004,"""")&lt;&gt;""""),ROWS(H$5:H797)),"""")"),"")</f>
        <v/>
      </c>
    </row>
    <row r="798" ht="15.75" customHeight="1">
      <c r="A7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Helper'!$F$5:$F$3004,"""")&lt;&gt;""""),ROWS(A$5:A798)),"""")"),"")</f>
        <v/>
      </c>
      <c r="B7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Helper'!$F$5:$F$3004,"""")&lt;&gt;""""),ROWS(B$5:B798)),"""")"),"")</f>
        <v/>
      </c>
      <c r="C7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Helper'!$F$5:$F$3004,"""")&lt;&gt;""""),ROWS(C$5:C798)),"""")"),"")</f>
        <v/>
      </c>
      <c r="D7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Helper'!$F$5:$F$3004,"""")&lt;&gt;""""),ROWS(D$5:D798)),"""")"),"")</f>
        <v/>
      </c>
      <c r="E7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Helper'!$F$5:$F$3004,"""")&lt;&gt;""""),ROWS(E$5:E798)),"""")"),"")</f>
        <v/>
      </c>
      <c r="F7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Helper'!$F$5:$F$3004,"""")&lt;&gt;""""),ROWS(F$5:F798)),IF(AND(LEFT(x,5)=""Page"&amp;" "",ISERROR(SEARCH(""–"",x))),x&amp;""–""&amp;REGEXEXTRACT(x,""[0-9]+$""),x)),"""")"),"")</f>
        <v/>
      </c>
      <c r="G798" s="163"/>
      <c r="H7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Helper'!$F$5:$F$3004,"""")&lt;&gt;""""),ROWS(H$5:H798)),"""")"),"")</f>
        <v/>
      </c>
    </row>
    <row r="799" ht="15.75" customHeight="1">
      <c r="A7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Helper'!$F$5:$F$3004,"""")&lt;&gt;""""),ROWS(A$5:A799)),"""")"),"")</f>
        <v/>
      </c>
      <c r="B7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Helper'!$F$5:$F$3004,"""")&lt;&gt;""""),ROWS(B$5:B799)),"""")"),"")</f>
        <v/>
      </c>
      <c r="C7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Helper'!$F$5:$F$3004,"""")&lt;&gt;""""),ROWS(C$5:C799)),"""")"),"")</f>
        <v/>
      </c>
      <c r="D7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Helper'!$F$5:$F$3004,"""")&lt;&gt;""""),ROWS(D$5:D799)),"""")"),"")</f>
        <v/>
      </c>
      <c r="E7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Helper'!$F$5:$F$3004,"""")&lt;&gt;""""),ROWS(E$5:E799)),"""")"),"")</f>
        <v/>
      </c>
      <c r="F7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Helper'!$F$5:$F$3004,"""")&lt;&gt;""""),ROWS(F$5:F799)),IF(AND(LEFT(x,5)=""Page"&amp;" "",ISERROR(SEARCH(""–"",x))),x&amp;""–""&amp;REGEXEXTRACT(x,""[0-9]+$""),x)),"""")"),"")</f>
        <v/>
      </c>
      <c r="G799" s="163"/>
      <c r="H7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Helper'!$F$5:$F$3004,"""")&lt;&gt;""""),ROWS(H$5:H799)),"""")"),"")</f>
        <v/>
      </c>
    </row>
    <row r="800" ht="15.75" customHeight="1">
      <c r="A8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Helper'!$F$5:$F$3004,"""")&lt;&gt;""""),ROWS(A$5:A800)),"""")"),"")</f>
        <v/>
      </c>
      <c r="B8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Helper'!$F$5:$F$3004,"""")&lt;&gt;""""),ROWS(B$5:B800)),"""")"),"")</f>
        <v/>
      </c>
      <c r="C8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Helper'!$F$5:$F$3004,"""")&lt;&gt;""""),ROWS(C$5:C800)),"""")"),"")</f>
        <v/>
      </c>
      <c r="D8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Helper'!$F$5:$F$3004,"""")&lt;&gt;""""),ROWS(D$5:D800)),"""")"),"")</f>
        <v/>
      </c>
      <c r="E8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Helper'!$F$5:$F$3004,"""")&lt;&gt;""""),ROWS(E$5:E800)),"""")"),"")</f>
        <v/>
      </c>
      <c r="F8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Helper'!$F$5:$F$3004,"""")&lt;&gt;""""),ROWS(F$5:F800)),IF(AND(LEFT(x,5)=""Page"&amp;" "",ISERROR(SEARCH(""–"",x))),x&amp;""–""&amp;REGEXEXTRACT(x,""[0-9]+$""),x)),"""")"),"")</f>
        <v/>
      </c>
      <c r="G800" s="163"/>
      <c r="H8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Helper'!$F$5:$F$3004,"""")&lt;&gt;""""),ROWS(H$5:H800)),"""")"),"")</f>
        <v/>
      </c>
    </row>
    <row r="801" ht="15.75" customHeight="1">
      <c r="A8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Helper'!$F$5:$F$3004,"""")&lt;&gt;""""),ROWS(A$5:A801)),"""")"),"")</f>
        <v/>
      </c>
      <c r="B8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Helper'!$F$5:$F$3004,"""")&lt;&gt;""""),ROWS(B$5:B801)),"""")"),"")</f>
        <v/>
      </c>
      <c r="C8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Helper'!$F$5:$F$3004,"""")&lt;&gt;""""),ROWS(C$5:C801)),"""")"),"")</f>
        <v/>
      </c>
      <c r="D8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Helper'!$F$5:$F$3004,"""")&lt;&gt;""""),ROWS(D$5:D801)),"""")"),"")</f>
        <v/>
      </c>
      <c r="E8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Helper'!$F$5:$F$3004,"""")&lt;&gt;""""),ROWS(E$5:E801)),"""")"),"")</f>
        <v/>
      </c>
      <c r="F8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Helper'!$F$5:$F$3004,"""")&lt;&gt;""""),ROWS(F$5:F801)),IF(AND(LEFT(x,5)=""Page"&amp;" "",ISERROR(SEARCH(""–"",x))),x&amp;""–""&amp;REGEXEXTRACT(x,""[0-9]+$""),x)),"""")"),"")</f>
        <v/>
      </c>
      <c r="G801" s="163"/>
      <c r="H8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Helper'!$F$5:$F$3004,"""")&lt;&gt;""""),ROWS(H$5:H801)),"""")"),"")</f>
        <v/>
      </c>
    </row>
    <row r="802" ht="15.75" customHeight="1">
      <c r="A8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Helper'!$F$5:$F$3004,"""")&lt;&gt;""""),ROWS(A$5:A802)),"""")"),"")</f>
        <v/>
      </c>
      <c r="B8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Helper'!$F$5:$F$3004,"""")&lt;&gt;""""),ROWS(B$5:B802)),"""")"),"")</f>
        <v/>
      </c>
      <c r="C8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Helper'!$F$5:$F$3004,"""")&lt;&gt;""""),ROWS(C$5:C802)),"""")"),"")</f>
        <v/>
      </c>
      <c r="D8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Helper'!$F$5:$F$3004,"""")&lt;&gt;""""),ROWS(D$5:D802)),"""")"),"")</f>
        <v/>
      </c>
      <c r="E8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Helper'!$F$5:$F$3004,"""")&lt;&gt;""""),ROWS(E$5:E802)),"""")"),"")</f>
        <v/>
      </c>
      <c r="F8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Helper'!$F$5:$F$3004,"""")&lt;&gt;""""),ROWS(F$5:F802)),IF(AND(LEFT(x,5)=""Page"&amp;" "",ISERROR(SEARCH(""–"",x))),x&amp;""–""&amp;REGEXEXTRACT(x,""[0-9]+$""),x)),"""")"),"")</f>
        <v/>
      </c>
      <c r="G802" s="163"/>
      <c r="H8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Helper'!$F$5:$F$3004,"""")&lt;&gt;""""),ROWS(H$5:H802)),"""")"),"")</f>
        <v/>
      </c>
    </row>
    <row r="803" ht="15.75" customHeight="1">
      <c r="A8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Helper'!$F$5:$F$3004,"""")&lt;&gt;""""),ROWS(A$5:A803)),"""")"),"")</f>
        <v/>
      </c>
      <c r="B8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Helper'!$F$5:$F$3004,"""")&lt;&gt;""""),ROWS(B$5:B803)),"""")"),"")</f>
        <v/>
      </c>
      <c r="C8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Helper'!$F$5:$F$3004,"""")&lt;&gt;""""),ROWS(C$5:C803)),"""")"),"")</f>
        <v/>
      </c>
      <c r="D8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Helper'!$F$5:$F$3004,"""")&lt;&gt;""""),ROWS(D$5:D803)),"""")"),"")</f>
        <v/>
      </c>
      <c r="E8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Helper'!$F$5:$F$3004,"""")&lt;&gt;""""),ROWS(E$5:E803)),"""")"),"")</f>
        <v/>
      </c>
      <c r="F8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Helper'!$F$5:$F$3004,"""")&lt;&gt;""""),ROWS(F$5:F803)),IF(AND(LEFT(x,5)=""Page"&amp;" "",ISERROR(SEARCH(""–"",x))),x&amp;""–""&amp;REGEXEXTRACT(x,""[0-9]+$""),x)),"""")"),"")</f>
        <v/>
      </c>
      <c r="G803" s="163"/>
      <c r="H8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Helper'!$F$5:$F$3004,"""")&lt;&gt;""""),ROWS(H$5:H803)),"""")"),"")</f>
        <v/>
      </c>
    </row>
    <row r="804" ht="15.75" customHeight="1">
      <c r="A8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Helper'!$F$5:$F$3004,"""")&lt;&gt;""""),ROWS(A$5:A804)),"""")"),"")</f>
        <v/>
      </c>
      <c r="B8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Helper'!$F$5:$F$3004,"""")&lt;&gt;""""),ROWS(B$5:B804)),"""")"),"")</f>
        <v/>
      </c>
      <c r="C8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Helper'!$F$5:$F$3004,"""")&lt;&gt;""""),ROWS(C$5:C804)),"""")"),"")</f>
        <v/>
      </c>
      <c r="D8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Helper'!$F$5:$F$3004,"""")&lt;&gt;""""),ROWS(D$5:D804)),"""")"),"")</f>
        <v/>
      </c>
      <c r="E8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Helper'!$F$5:$F$3004,"""")&lt;&gt;""""),ROWS(E$5:E804)),"""")"),"")</f>
        <v/>
      </c>
      <c r="F8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Helper'!$F$5:$F$3004,"""")&lt;&gt;""""),ROWS(F$5:F804)),IF(AND(LEFT(x,5)=""Page"&amp;" "",ISERROR(SEARCH(""–"",x))),x&amp;""–""&amp;REGEXEXTRACT(x,""[0-9]+$""),x)),"""")"),"")</f>
        <v/>
      </c>
      <c r="G804" s="163"/>
      <c r="H8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Helper'!$F$5:$F$3004,"""")&lt;&gt;""""),ROWS(H$5:H804)),"""")"),"")</f>
        <v/>
      </c>
    </row>
    <row r="805" ht="15.75" customHeight="1">
      <c r="A8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Helper'!$F$5:$F$3004,"""")&lt;&gt;""""),ROWS(A$5:A805)),"""")"),"")</f>
        <v/>
      </c>
      <c r="B8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Helper'!$F$5:$F$3004,"""")&lt;&gt;""""),ROWS(B$5:B805)),"""")"),"")</f>
        <v/>
      </c>
      <c r="C8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Helper'!$F$5:$F$3004,"""")&lt;&gt;""""),ROWS(C$5:C805)),"""")"),"")</f>
        <v/>
      </c>
      <c r="D8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Helper'!$F$5:$F$3004,"""")&lt;&gt;""""),ROWS(D$5:D805)),"""")"),"")</f>
        <v/>
      </c>
      <c r="E8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Helper'!$F$5:$F$3004,"""")&lt;&gt;""""),ROWS(E$5:E805)),"""")"),"")</f>
        <v/>
      </c>
      <c r="F8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Helper'!$F$5:$F$3004,"""")&lt;&gt;""""),ROWS(F$5:F805)),IF(AND(LEFT(x,5)=""Page"&amp;" "",ISERROR(SEARCH(""–"",x))),x&amp;""–""&amp;REGEXEXTRACT(x,""[0-9]+$""),x)),"""")"),"")</f>
        <v/>
      </c>
      <c r="G805" s="163"/>
      <c r="H8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Helper'!$F$5:$F$3004,"""")&lt;&gt;""""),ROWS(H$5:H805)),"""")"),"")</f>
        <v/>
      </c>
    </row>
    <row r="806" ht="15.75" customHeight="1">
      <c r="A8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Helper'!$F$5:$F$3004,"""")&lt;&gt;""""),ROWS(A$5:A806)),"""")"),"")</f>
        <v/>
      </c>
      <c r="B8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Helper'!$F$5:$F$3004,"""")&lt;&gt;""""),ROWS(B$5:B806)),"""")"),"")</f>
        <v/>
      </c>
      <c r="C8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Helper'!$F$5:$F$3004,"""")&lt;&gt;""""),ROWS(C$5:C806)),"""")"),"")</f>
        <v/>
      </c>
      <c r="D8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Helper'!$F$5:$F$3004,"""")&lt;&gt;""""),ROWS(D$5:D806)),"""")"),"")</f>
        <v/>
      </c>
      <c r="E8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Helper'!$F$5:$F$3004,"""")&lt;&gt;""""),ROWS(E$5:E806)),"""")"),"")</f>
        <v/>
      </c>
      <c r="F8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Helper'!$F$5:$F$3004,"""")&lt;&gt;""""),ROWS(F$5:F806)),IF(AND(LEFT(x,5)=""Page"&amp;" "",ISERROR(SEARCH(""–"",x))),x&amp;""–""&amp;REGEXEXTRACT(x,""[0-9]+$""),x)),"""")"),"")</f>
        <v/>
      </c>
      <c r="G806" s="163"/>
      <c r="H8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Helper'!$F$5:$F$3004,"""")&lt;&gt;""""),ROWS(H$5:H806)),"""")"),"")</f>
        <v/>
      </c>
    </row>
    <row r="807" ht="15.75" customHeight="1">
      <c r="A8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Helper'!$F$5:$F$3004,"""")&lt;&gt;""""),ROWS(A$5:A807)),"""")"),"")</f>
        <v/>
      </c>
      <c r="B8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Helper'!$F$5:$F$3004,"""")&lt;&gt;""""),ROWS(B$5:B807)),"""")"),"")</f>
        <v/>
      </c>
      <c r="C8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Helper'!$F$5:$F$3004,"""")&lt;&gt;""""),ROWS(C$5:C807)),"""")"),"")</f>
        <v/>
      </c>
      <c r="D8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Helper'!$F$5:$F$3004,"""")&lt;&gt;""""),ROWS(D$5:D807)),"""")"),"")</f>
        <v/>
      </c>
      <c r="E8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Helper'!$F$5:$F$3004,"""")&lt;&gt;""""),ROWS(E$5:E807)),"""")"),"")</f>
        <v/>
      </c>
      <c r="F8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Helper'!$F$5:$F$3004,"""")&lt;&gt;""""),ROWS(F$5:F807)),IF(AND(LEFT(x,5)=""Page"&amp;" "",ISERROR(SEARCH(""–"",x))),x&amp;""–""&amp;REGEXEXTRACT(x,""[0-9]+$""),x)),"""")"),"")</f>
        <v/>
      </c>
      <c r="G807" s="163"/>
      <c r="H8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Helper'!$F$5:$F$3004,"""")&lt;&gt;""""),ROWS(H$5:H807)),"""")"),"")</f>
        <v/>
      </c>
    </row>
    <row r="808" ht="15.75" customHeight="1">
      <c r="A8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Helper'!$F$5:$F$3004,"""")&lt;&gt;""""),ROWS(A$5:A808)),"""")"),"")</f>
        <v/>
      </c>
      <c r="B8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Helper'!$F$5:$F$3004,"""")&lt;&gt;""""),ROWS(B$5:B808)),"""")"),"")</f>
        <v/>
      </c>
      <c r="C8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Helper'!$F$5:$F$3004,"""")&lt;&gt;""""),ROWS(C$5:C808)),"""")"),"")</f>
        <v/>
      </c>
      <c r="D8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Helper'!$F$5:$F$3004,"""")&lt;&gt;""""),ROWS(D$5:D808)),"""")"),"")</f>
        <v/>
      </c>
      <c r="E8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Helper'!$F$5:$F$3004,"""")&lt;&gt;""""),ROWS(E$5:E808)),"""")"),"")</f>
        <v/>
      </c>
      <c r="F8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Helper'!$F$5:$F$3004,"""")&lt;&gt;""""),ROWS(F$5:F808)),IF(AND(LEFT(x,5)=""Page"&amp;" "",ISERROR(SEARCH(""–"",x))),x&amp;""–""&amp;REGEXEXTRACT(x,""[0-9]+$""),x)),"""")"),"")</f>
        <v/>
      </c>
      <c r="G808" s="163"/>
      <c r="H8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Helper'!$F$5:$F$3004,"""")&lt;&gt;""""),ROWS(H$5:H808)),"""")"),"")</f>
        <v/>
      </c>
    </row>
    <row r="809" ht="15.75" customHeight="1">
      <c r="A8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Helper'!$F$5:$F$3004,"""")&lt;&gt;""""),ROWS(A$5:A809)),"""")"),"")</f>
        <v/>
      </c>
      <c r="B8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Helper'!$F$5:$F$3004,"""")&lt;&gt;""""),ROWS(B$5:B809)),"""")"),"")</f>
        <v/>
      </c>
      <c r="C8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Helper'!$F$5:$F$3004,"""")&lt;&gt;""""),ROWS(C$5:C809)),"""")"),"")</f>
        <v/>
      </c>
      <c r="D8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Helper'!$F$5:$F$3004,"""")&lt;&gt;""""),ROWS(D$5:D809)),"""")"),"")</f>
        <v/>
      </c>
      <c r="E8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Helper'!$F$5:$F$3004,"""")&lt;&gt;""""),ROWS(E$5:E809)),"""")"),"")</f>
        <v/>
      </c>
      <c r="F8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Helper'!$F$5:$F$3004,"""")&lt;&gt;""""),ROWS(F$5:F809)),IF(AND(LEFT(x,5)=""Page"&amp;" "",ISERROR(SEARCH(""–"",x))),x&amp;""–""&amp;REGEXEXTRACT(x,""[0-9]+$""),x)),"""")"),"")</f>
        <v/>
      </c>
      <c r="G809" s="163"/>
      <c r="H8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Helper'!$F$5:$F$3004,"""")&lt;&gt;""""),ROWS(H$5:H809)),"""")"),"")</f>
        <v/>
      </c>
    </row>
    <row r="810" ht="15.75" customHeight="1">
      <c r="A8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Helper'!$F$5:$F$3004,"""")&lt;&gt;""""),ROWS(A$5:A810)),"""")"),"")</f>
        <v/>
      </c>
      <c r="B8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Helper'!$F$5:$F$3004,"""")&lt;&gt;""""),ROWS(B$5:B810)),"""")"),"")</f>
        <v/>
      </c>
      <c r="C8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Helper'!$F$5:$F$3004,"""")&lt;&gt;""""),ROWS(C$5:C810)),"""")"),"")</f>
        <v/>
      </c>
      <c r="D8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Helper'!$F$5:$F$3004,"""")&lt;&gt;""""),ROWS(D$5:D810)),"""")"),"")</f>
        <v/>
      </c>
      <c r="E8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Helper'!$F$5:$F$3004,"""")&lt;&gt;""""),ROWS(E$5:E810)),"""")"),"")</f>
        <v/>
      </c>
      <c r="F8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Helper'!$F$5:$F$3004,"""")&lt;&gt;""""),ROWS(F$5:F810)),IF(AND(LEFT(x,5)=""Page"&amp;" "",ISERROR(SEARCH(""–"",x))),x&amp;""–""&amp;REGEXEXTRACT(x,""[0-9]+$""),x)),"""")"),"")</f>
        <v/>
      </c>
      <c r="G810" s="163"/>
      <c r="H8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Helper'!$F$5:$F$3004,"""")&lt;&gt;""""),ROWS(H$5:H810)),"""")"),"")</f>
        <v/>
      </c>
    </row>
    <row r="811" ht="15.75" customHeight="1">
      <c r="A8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Helper'!$F$5:$F$3004,"""")&lt;&gt;""""),ROWS(A$5:A811)),"""")"),"")</f>
        <v/>
      </c>
      <c r="B8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Helper'!$F$5:$F$3004,"""")&lt;&gt;""""),ROWS(B$5:B811)),"""")"),"")</f>
        <v/>
      </c>
      <c r="C8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Helper'!$F$5:$F$3004,"""")&lt;&gt;""""),ROWS(C$5:C811)),"""")"),"")</f>
        <v/>
      </c>
      <c r="D8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Helper'!$F$5:$F$3004,"""")&lt;&gt;""""),ROWS(D$5:D811)),"""")"),"")</f>
        <v/>
      </c>
      <c r="E8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Helper'!$F$5:$F$3004,"""")&lt;&gt;""""),ROWS(E$5:E811)),"""")"),"")</f>
        <v/>
      </c>
      <c r="F8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Helper'!$F$5:$F$3004,"""")&lt;&gt;""""),ROWS(F$5:F811)),IF(AND(LEFT(x,5)=""Page"&amp;" "",ISERROR(SEARCH(""–"",x))),x&amp;""–""&amp;REGEXEXTRACT(x,""[0-9]+$""),x)),"""")"),"")</f>
        <v/>
      </c>
      <c r="G811" s="163"/>
      <c r="H8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Helper'!$F$5:$F$3004,"""")&lt;&gt;""""),ROWS(H$5:H811)),"""")"),"")</f>
        <v/>
      </c>
    </row>
    <row r="812" ht="15.75" customHeight="1">
      <c r="A8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Helper'!$F$5:$F$3004,"""")&lt;&gt;""""),ROWS(A$5:A812)),"""")"),"")</f>
        <v/>
      </c>
      <c r="B8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Helper'!$F$5:$F$3004,"""")&lt;&gt;""""),ROWS(B$5:B812)),"""")"),"")</f>
        <v/>
      </c>
      <c r="C8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Helper'!$F$5:$F$3004,"""")&lt;&gt;""""),ROWS(C$5:C812)),"""")"),"")</f>
        <v/>
      </c>
      <c r="D8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Helper'!$F$5:$F$3004,"""")&lt;&gt;""""),ROWS(D$5:D812)),"""")"),"")</f>
        <v/>
      </c>
      <c r="E8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Helper'!$F$5:$F$3004,"""")&lt;&gt;""""),ROWS(E$5:E812)),"""")"),"")</f>
        <v/>
      </c>
      <c r="F8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Helper'!$F$5:$F$3004,"""")&lt;&gt;""""),ROWS(F$5:F812)),IF(AND(LEFT(x,5)=""Page"&amp;" "",ISERROR(SEARCH(""–"",x))),x&amp;""–""&amp;REGEXEXTRACT(x,""[0-9]+$""),x)),"""")"),"")</f>
        <v/>
      </c>
      <c r="G812" s="163"/>
      <c r="H8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Helper'!$F$5:$F$3004,"""")&lt;&gt;""""),ROWS(H$5:H812)),"""")"),"")</f>
        <v/>
      </c>
    </row>
    <row r="813" ht="15.75" customHeight="1">
      <c r="A8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Helper'!$F$5:$F$3004,"""")&lt;&gt;""""),ROWS(A$5:A813)),"""")"),"")</f>
        <v/>
      </c>
      <c r="B8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Helper'!$F$5:$F$3004,"""")&lt;&gt;""""),ROWS(B$5:B813)),"""")"),"")</f>
        <v/>
      </c>
      <c r="C8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Helper'!$F$5:$F$3004,"""")&lt;&gt;""""),ROWS(C$5:C813)),"""")"),"")</f>
        <v/>
      </c>
      <c r="D8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Helper'!$F$5:$F$3004,"""")&lt;&gt;""""),ROWS(D$5:D813)),"""")"),"")</f>
        <v/>
      </c>
      <c r="E8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Helper'!$F$5:$F$3004,"""")&lt;&gt;""""),ROWS(E$5:E813)),"""")"),"")</f>
        <v/>
      </c>
      <c r="F8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Helper'!$F$5:$F$3004,"""")&lt;&gt;""""),ROWS(F$5:F813)),IF(AND(LEFT(x,5)=""Page"&amp;" "",ISERROR(SEARCH(""–"",x))),x&amp;""–""&amp;REGEXEXTRACT(x,""[0-9]+$""),x)),"""")"),"")</f>
        <v/>
      </c>
      <c r="G813" s="163"/>
      <c r="H8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Helper'!$F$5:$F$3004,"""")&lt;&gt;""""),ROWS(H$5:H813)),"""")"),"")</f>
        <v/>
      </c>
    </row>
    <row r="814" ht="15.75" customHeight="1">
      <c r="A8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Helper'!$F$5:$F$3004,"""")&lt;&gt;""""),ROWS(A$5:A814)),"""")"),"")</f>
        <v/>
      </c>
      <c r="B8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Helper'!$F$5:$F$3004,"""")&lt;&gt;""""),ROWS(B$5:B814)),"""")"),"")</f>
        <v/>
      </c>
      <c r="C8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Helper'!$F$5:$F$3004,"""")&lt;&gt;""""),ROWS(C$5:C814)),"""")"),"")</f>
        <v/>
      </c>
      <c r="D8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Helper'!$F$5:$F$3004,"""")&lt;&gt;""""),ROWS(D$5:D814)),"""")"),"")</f>
        <v/>
      </c>
      <c r="E8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Helper'!$F$5:$F$3004,"""")&lt;&gt;""""),ROWS(E$5:E814)),"""")"),"")</f>
        <v/>
      </c>
      <c r="F8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Helper'!$F$5:$F$3004,"""")&lt;&gt;""""),ROWS(F$5:F814)),IF(AND(LEFT(x,5)=""Page"&amp;" "",ISERROR(SEARCH(""–"",x))),x&amp;""–""&amp;REGEXEXTRACT(x,""[0-9]+$""),x)),"""")"),"")</f>
        <v/>
      </c>
      <c r="G814" s="163"/>
      <c r="H8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Helper'!$F$5:$F$3004,"""")&lt;&gt;""""),ROWS(H$5:H814)),"""")"),"")</f>
        <v/>
      </c>
    </row>
    <row r="815" ht="15.75" customHeight="1">
      <c r="A8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Helper'!$F$5:$F$3004,"""")&lt;&gt;""""),ROWS(A$5:A815)),"""")"),"")</f>
        <v/>
      </c>
      <c r="B8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Helper'!$F$5:$F$3004,"""")&lt;&gt;""""),ROWS(B$5:B815)),"""")"),"")</f>
        <v/>
      </c>
      <c r="C8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Helper'!$F$5:$F$3004,"""")&lt;&gt;""""),ROWS(C$5:C815)),"""")"),"")</f>
        <v/>
      </c>
      <c r="D8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Helper'!$F$5:$F$3004,"""")&lt;&gt;""""),ROWS(D$5:D815)),"""")"),"")</f>
        <v/>
      </c>
      <c r="E8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Helper'!$F$5:$F$3004,"""")&lt;&gt;""""),ROWS(E$5:E815)),"""")"),"")</f>
        <v/>
      </c>
      <c r="F8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Helper'!$F$5:$F$3004,"""")&lt;&gt;""""),ROWS(F$5:F815)),IF(AND(LEFT(x,5)=""Page"&amp;" "",ISERROR(SEARCH(""–"",x))),x&amp;""–""&amp;REGEXEXTRACT(x,""[0-9]+$""),x)),"""")"),"")</f>
        <v/>
      </c>
      <c r="G815" s="163"/>
      <c r="H8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Helper'!$F$5:$F$3004,"""")&lt;&gt;""""),ROWS(H$5:H815)),"""")"),"")</f>
        <v/>
      </c>
    </row>
    <row r="816" ht="15.75" customHeight="1">
      <c r="A8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Helper'!$F$5:$F$3004,"""")&lt;&gt;""""),ROWS(A$5:A816)),"""")"),"")</f>
        <v/>
      </c>
      <c r="B8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Helper'!$F$5:$F$3004,"""")&lt;&gt;""""),ROWS(B$5:B816)),"""")"),"")</f>
        <v/>
      </c>
      <c r="C8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Helper'!$F$5:$F$3004,"""")&lt;&gt;""""),ROWS(C$5:C816)),"""")"),"")</f>
        <v/>
      </c>
      <c r="D8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Helper'!$F$5:$F$3004,"""")&lt;&gt;""""),ROWS(D$5:D816)),"""")"),"")</f>
        <v/>
      </c>
      <c r="E8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Helper'!$F$5:$F$3004,"""")&lt;&gt;""""),ROWS(E$5:E816)),"""")"),"")</f>
        <v/>
      </c>
      <c r="F8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Helper'!$F$5:$F$3004,"""")&lt;&gt;""""),ROWS(F$5:F816)),IF(AND(LEFT(x,5)=""Page"&amp;" "",ISERROR(SEARCH(""–"",x))),x&amp;""–""&amp;REGEXEXTRACT(x,""[0-9]+$""),x)),"""")"),"")</f>
        <v/>
      </c>
      <c r="G816" s="163"/>
      <c r="H8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Helper'!$F$5:$F$3004,"""")&lt;&gt;""""),ROWS(H$5:H816)),"""")"),"")</f>
        <v/>
      </c>
    </row>
    <row r="817" ht="15.75" customHeight="1">
      <c r="A8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Helper'!$F$5:$F$3004,"""")&lt;&gt;""""),ROWS(A$5:A817)),"""")"),"")</f>
        <v/>
      </c>
      <c r="B8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Helper'!$F$5:$F$3004,"""")&lt;&gt;""""),ROWS(B$5:B817)),"""")"),"")</f>
        <v/>
      </c>
      <c r="C8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Helper'!$F$5:$F$3004,"""")&lt;&gt;""""),ROWS(C$5:C817)),"""")"),"")</f>
        <v/>
      </c>
      <c r="D8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Helper'!$F$5:$F$3004,"""")&lt;&gt;""""),ROWS(D$5:D817)),"""")"),"")</f>
        <v/>
      </c>
      <c r="E8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Helper'!$F$5:$F$3004,"""")&lt;&gt;""""),ROWS(E$5:E817)),"""")"),"")</f>
        <v/>
      </c>
      <c r="F8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Helper'!$F$5:$F$3004,"""")&lt;&gt;""""),ROWS(F$5:F817)),IF(AND(LEFT(x,5)=""Page"&amp;" "",ISERROR(SEARCH(""–"",x))),x&amp;""–""&amp;REGEXEXTRACT(x,""[0-9]+$""),x)),"""")"),"")</f>
        <v/>
      </c>
      <c r="G817" s="163"/>
      <c r="H8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Helper'!$F$5:$F$3004,"""")&lt;&gt;""""),ROWS(H$5:H817)),"""")"),"")</f>
        <v/>
      </c>
    </row>
    <row r="818" ht="15.75" customHeight="1">
      <c r="A8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Helper'!$F$5:$F$3004,"""")&lt;&gt;""""),ROWS(A$5:A818)),"""")"),"")</f>
        <v/>
      </c>
      <c r="B8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Helper'!$F$5:$F$3004,"""")&lt;&gt;""""),ROWS(B$5:B818)),"""")"),"")</f>
        <v/>
      </c>
      <c r="C8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Helper'!$F$5:$F$3004,"""")&lt;&gt;""""),ROWS(C$5:C818)),"""")"),"")</f>
        <v/>
      </c>
      <c r="D8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Helper'!$F$5:$F$3004,"""")&lt;&gt;""""),ROWS(D$5:D818)),"""")"),"")</f>
        <v/>
      </c>
      <c r="E8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Helper'!$F$5:$F$3004,"""")&lt;&gt;""""),ROWS(E$5:E818)),"""")"),"")</f>
        <v/>
      </c>
      <c r="F8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Helper'!$F$5:$F$3004,"""")&lt;&gt;""""),ROWS(F$5:F818)),IF(AND(LEFT(x,5)=""Page"&amp;" "",ISERROR(SEARCH(""–"",x))),x&amp;""–""&amp;REGEXEXTRACT(x,""[0-9]+$""),x)),"""")"),"")</f>
        <v/>
      </c>
      <c r="G818" s="163"/>
      <c r="H8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Helper'!$F$5:$F$3004,"""")&lt;&gt;""""),ROWS(H$5:H818)),"""")"),"")</f>
        <v/>
      </c>
    </row>
    <row r="819" ht="15.75" customHeight="1">
      <c r="A8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Helper'!$F$5:$F$3004,"""")&lt;&gt;""""),ROWS(A$5:A819)),"""")"),"")</f>
        <v/>
      </c>
      <c r="B8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Helper'!$F$5:$F$3004,"""")&lt;&gt;""""),ROWS(B$5:B819)),"""")"),"")</f>
        <v/>
      </c>
      <c r="C8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Helper'!$F$5:$F$3004,"""")&lt;&gt;""""),ROWS(C$5:C819)),"""")"),"")</f>
        <v/>
      </c>
      <c r="D8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Helper'!$F$5:$F$3004,"""")&lt;&gt;""""),ROWS(D$5:D819)),"""")"),"")</f>
        <v/>
      </c>
      <c r="E8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Helper'!$F$5:$F$3004,"""")&lt;&gt;""""),ROWS(E$5:E819)),"""")"),"")</f>
        <v/>
      </c>
      <c r="F8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Helper'!$F$5:$F$3004,"""")&lt;&gt;""""),ROWS(F$5:F819)),IF(AND(LEFT(x,5)=""Page"&amp;" "",ISERROR(SEARCH(""–"",x))),x&amp;""–""&amp;REGEXEXTRACT(x,""[0-9]+$""),x)),"""")"),"")</f>
        <v/>
      </c>
      <c r="G819" s="163"/>
      <c r="H8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Helper'!$F$5:$F$3004,"""")&lt;&gt;""""),ROWS(H$5:H819)),"""")"),"")</f>
        <v/>
      </c>
    </row>
    <row r="820" ht="15.75" customHeight="1">
      <c r="A8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Helper'!$F$5:$F$3004,"""")&lt;&gt;""""),ROWS(A$5:A820)),"""")"),"")</f>
        <v/>
      </c>
      <c r="B8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Helper'!$F$5:$F$3004,"""")&lt;&gt;""""),ROWS(B$5:B820)),"""")"),"")</f>
        <v/>
      </c>
      <c r="C8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Helper'!$F$5:$F$3004,"""")&lt;&gt;""""),ROWS(C$5:C820)),"""")"),"")</f>
        <v/>
      </c>
      <c r="D8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Helper'!$F$5:$F$3004,"""")&lt;&gt;""""),ROWS(D$5:D820)),"""")"),"")</f>
        <v/>
      </c>
      <c r="E8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Helper'!$F$5:$F$3004,"""")&lt;&gt;""""),ROWS(E$5:E820)),"""")"),"")</f>
        <v/>
      </c>
      <c r="F8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Helper'!$F$5:$F$3004,"""")&lt;&gt;""""),ROWS(F$5:F820)),IF(AND(LEFT(x,5)=""Page"&amp;" "",ISERROR(SEARCH(""–"",x))),x&amp;""–""&amp;REGEXEXTRACT(x,""[0-9]+$""),x)),"""")"),"")</f>
        <v/>
      </c>
      <c r="G820" s="163"/>
      <c r="H8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Helper'!$F$5:$F$3004,"""")&lt;&gt;""""),ROWS(H$5:H820)),"""")"),"")</f>
        <v/>
      </c>
    </row>
    <row r="821" ht="15.75" customHeight="1">
      <c r="A8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Helper'!$F$5:$F$3004,"""")&lt;&gt;""""),ROWS(A$5:A821)),"""")"),"")</f>
        <v/>
      </c>
      <c r="B8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Helper'!$F$5:$F$3004,"""")&lt;&gt;""""),ROWS(B$5:B821)),"""")"),"")</f>
        <v/>
      </c>
      <c r="C8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Helper'!$F$5:$F$3004,"""")&lt;&gt;""""),ROWS(C$5:C821)),"""")"),"")</f>
        <v/>
      </c>
      <c r="D8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Helper'!$F$5:$F$3004,"""")&lt;&gt;""""),ROWS(D$5:D821)),"""")"),"")</f>
        <v/>
      </c>
      <c r="E8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Helper'!$F$5:$F$3004,"""")&lt;&gt;""""),ROWS(E$5:E821)),"""")"),"")</f>
        <v/>
      </c>
      <c r="F8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Helper'!$F$5:$F$3004,"""")&lt;&gt;""""),ROWS(F$5:F821)),IF(AND(LEFT(x,5)=""Page"&amp;" "",ISERROR(SEARCH(""–"",x))),x&amp;""–""&amp;REGEXEXTRACT(x,""[0-9]+$""),x)),"""")"),"")</f>
        <v/>
      </c>
      <c r="G821" s="163"/>
      <c r="H8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Helper'!$F$5:$F$3004,"""")&lt;&gt;""""),ROWS(H$5:H821)),"""")"),"")</f>
        <v/>
      </c>
    </row>
    <row r="822" ht="15.75" customHeight="1">
      <c r="A8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Helper'!$F$5:$F$3004,"""")&lt;&gt;""""),ROWS(A$5:A822)),"""")"),"")</f>
        <v/>
      </c>
      <c r="B8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Helper'!$F$5:$F$3004,"""")&lt;&gt;""""),ROWS(B$5:B822)),"""")"),"")</f>
        <v/>
      </c>
      <c r="C8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Helper'!$F$5:$F$3004,"""")&lt;&gt;""""),ROWS(C$5:C822)),"""")"),"")</f>
        <v/>
      </c>
      <c r="D8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Helper'!$F$5:$F$3004,"""")&lt;&gt;""""),ROWS(D$5:D822)),"""")"),"")</f>
        <v/>
      </c>
      <c r="E8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Helper'!$F$5:$F$3004,"""")&lt;&gt;""""),ROWS(E$5:E822)),"""")"),"")</f>
        <v/>
      </c>
      <c r="F8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Helper'!$F$5:$F$3004,"""")&lt;&gt;""""),ROWS(F$5:F822)),IF(AND(LEFT(x,5)=""Page"&amp;" "",ISERROR(SEARCH(""–"",x))),x&amp;""–""&amp;REGEXEXTRACT(x,""[0-9]+$""),x)),"""")"),"")</f>
        <v/>
      </c>
      <c r="G822" s="163"/>
      <c r="H8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Helper'!$F$5:$F$3004,"""")&lt;&gt;""""),ROWS(H$5:H822)),"""")"),"")</f>
        <v/>
      </c>
    </row>
    <row r="823" ht="15.75" customHeight="1">
      <c r="A8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Helper'!$F$5:$F$3004,"""")&lt;&gt;""""),ROWS(A$5:A823)),"""")"),"")</f>
        <v/>
      </c>
      <c r="B8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Helper'!$F$5:$F$3004,"""")&lt;&gt;""""),ROWS(B$5:B823)),"""")"),"")</f>
        <v/>
      </c>
      <c r="C8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Helper'!$F$5:$F$3004,"""")&lt;&gt;""""),ROWS(C$5:C823)),"""")"),"")</f>
        <v/>
      </c>
      <c r="D8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Helper'!$F$5:$F$3004,"""")&lt;&gt;""""),ROWS(D$5:D823)),"""")"),"")</f>
        <v/>
      </c>
      <c r="E8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Helper'!$F$5:$F$3004,"""")&lt;&gt;""""),ROWS(E$5:E823)),"""")"),"")</f>
        <v/>
      </c>
      <c r="F8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Helper'!$F$5:$F$3004,"""")&lt;&gt;""""),ROWS(F$5:F823)),IF(AND(LEFT(x,5)=""Page"&amp;" "",ISERROR(SEARCH(""–"",x))),x&amp;""–""&amp;REGEXEXTRACT(x,""[0-9]+$""),x)),"""")"),"")</f>
        <v/>
      </c>
      <c r="G823" s="163"/>
      <c r="H8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Helper'!$F$5:$F$3004,"""")&lt;&gt;""""),ROWS(H$5:H823)),"""")"),"")</f>
        <v/>
      </c>
    </row>
    <row r="824" ht="15.75" customHeight="1">
      <c r="A8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Helper'!$F$5:$F$3004,"""")&lt;&gt;""""),ROWS(A$5:A824)),"""")"),"")</f>
        <v/>
      </c>
      <c r="B8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Helper'!$F$5:$F$3004,"""")&lt;&gt;""""),ROWS(B$5:B824)),"""")"),"")</f>
        <v/>
      </c>
      <c r="C8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Helper'!$F$5:$F$3004,"""")&lt;&gt;""""),ROWS(C$5:C824)),"""")"),"")</f>
        <v/>
      </c>
      <c r="D8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Helper'!$F$5:$F$3004,"""")&lt;&gt;""""),ROWS(D$5:D824)),"""")"),"")</f>
        <v/>
      </c>
      <c r="E8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Helper'!$F$5:$F$3004,"""")&lt;&gt;""""),ROWS(E$5:E824)),"""")"),"")</f>
        <v/>
      </c>
      <c r="F8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Helper'!$F$5:$F$3004,"""")&lt;&gt;""""),ROWS(F$5:F824)),IF(AND(LEFT(x,5)=""Page"&amp;" "",ISERROR(SEARCH(""–"",x))),x&amp;""–""&amp;REGEXEXTRACT(x,""[0-9]+$""),x)),"""")"),"")</f>
        <v/>
      </c>
      <c r="G824" s="163"/>
      <c r="H8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Helper'!$F$5:$F$3004,"""")&lt;&gt;""""),ROWS(H$5:H824)),"""")"),"")</f>
        <v/>
      </c>
    </row>
    <row r="825" ht="15.75" customHeight="1">
      <c r="A8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Helper'!$F$5:$F$3004,"""")&lt;&gt;""""),ROWS(A$5:A825)),"""")"),"")</f>
        <v/>
      </c>
      <c r="B8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Helper'!$F$5:$F$3004,"""")&lt;&gt;""""),ROWS(B$5:B825)),"""")"),"")</f>
        <v/>
      </c>
      <c r="C8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Helper'!$F$5:$F$3004,"""")&lt;&gt;""""),ROWS(C$5:C825)),"""")"),"")</f>
        <v/>
      </c>
      <c r="D8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Helper'!$F$5:$F$3004,"""")&lt;&gt;""""),ROWS(D$5:D825)),"""")"),"")</f>
        <v/>
      </c>
      <c r="E8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Helper'!$F$5:$F$3004,"""")&lt;&gt;""""),ROWS(E$5:E825)),"""")"),"")</f>
        <v/>
      </c>
      <c r="F8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Helper'!$F$5:$F$3004,"""")&lt;&gt;""""),ROWS(F$5:F825)),IF(AND(LEFT(x,5)=""Page"&amp;" "",ISERROR(SEARCH(""–"",x))),x&amp;""–""&amp;REGEXEXTRACT(x,""[0-9]+$""),x)),"""")"),"")</f>
        <v/>
      </c>
      <c r="G825" s="163"/>
      <c r="H8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Helper'!$F$5:$F$3004,"""")&lt;&gt;""""),ROWS(H$5:H825)),"""")"),"")</f>
        <v/>
      </c>
    </row>
    <row r="826" ht="15.75" customHeight="1">
      <c r="A8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Helper'!$F$5:$F$3004,"""")&lt;&gt;""""),ROWS(A$5:A826)),"""")"),"")</f>
        <v/>
      </c>
      <c r="B8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Helper'!$F$5:$F$3004,"""")&lt;&gt;""""),ROWS(B$5:B826)),"""")"),"")</f>
        <v/>
      </c>
      <c r="C8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Helper'!$F$5:$F$3004,"""")&lt;&gt;""""),ROWS(C$5:C826)),"""")"),"")</f>
        <v/>
      </c>
      <c r="D8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Helper'!$F$5:$F$3004,"""")&lt;&gt;""""),ROWS(D$5:D826)),"""")"),"")</f>
        <v/>
      </c>
      <c r="E8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Helper'!$F$5:$F$3004,"""")&lt;&gt;""""),ROWS(E$5:E826)),"""")"),"")</f>
        <v/>
      </c>
      <c r="F8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Helper'!$F$5:$F$3004,"""")&lt;&gt;""""),ROWS(F$5:F826)),IF(AND(LEFT(x,5)=""Page"&amp;" "",ISERROR(SEARCH(""–"",x))),x&amp;""–""&amp;REGEXEXTRACT(x,""[0-9]+$""),x)),"""")"),"")</f>
        <v/>
      </c>
      <c r="G826" s="163"/>
      <c r="H8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Helper'!$F$5:$F$3004,"""")&lt;&gt;""""),ROWS(H$5:H826)),"""")"),"")</f>
        <v/>
      </c>
    </row>
    <row r="827" ht="15.75" customHeight="1">
      <c r="A8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Helper'!$F$5:$F$3004,"""")&lt;&gt;""""),ROWS(A$5:A827)),"""")"),"")</f>
        <v/>
      </c>
      <c r="B8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Helper'!$F$5:$F$3004,"""")&lt;&gt;""""),ROWS(B$5:B827)),"""")"),"")</f>
        <v/>
      </c>
      <c r="C8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Helper'!$F$5:$F$3004,"""")&lt;&gt;""""),ROWS(C$5:C827)),"""")"),"")</f>
        <v/>
      </c>
      <c r="D8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Helper'!$F$5:$F$3004,"""")&lt;&gt;""""),ROWS(D$5:D827)),"""")"),"")</f>
        <v/>
      </c>
      <c r="E8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Helper'!$F$5:$F$3004,"""")&lt;&gt;""""),ROWS(E$5:E827)),"""")"),"")</f>
        <v/>
      </c>
      <c r="F8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Helper'!$F$5:$F$3004,"""")&lt;&gt;""""),ROWS(F$5:F827)),IF(AND(LEFT(x,5)=""Page"&amp;" "",ISERROR(SEARCH(""–"",x))),x&amp;""–""&amp;REGEXEXTRACT(x,""[0-9]+$""),x)),"""")"),"")</f>
        <v/>
      </c>
      <c r="G827" s="163"/>
      <c r="H8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Helper'!$F$5:$F$3004,"""")&lt;&gt;""""),ROWS(H$5:H827)),"""")"),"")</f>
        <v/>
      </c>
    </row>
    <row r="828" ht="15.75" customHeight="1">
      <c r="A8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Helper'!$F$5:$F$3004,"""")&lt;&gt;""""),ROWS(A$5:A828)),"""")"),"")</f>
        <v/>
      </c>
      <c r="B8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Helper'!$F$5:$F$3004,"""")&lt;&gt;""""),ROWS(B$5:B828)),"""")"),"")</f>
        <v/>
      </c>
      <c r="C8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Helper'!$F$5:$F$3004,"""")&lt;&gt;""""),ROWS(C$5:C828)),"""")"),"")</f>
        <v/>
      </c>
      <c r="D8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Helper'!$F$5:$F$3004,"""")&lt;&gt;""""),ROWS(D$5:D828)),"""")"),"")</f>
        <v/>
      </c>
      <c r="E8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Helper'!$F$5:$F$3004,"""")&lt;&gt;""""),ROWS(E$5:E828)),"""")"),"")</f>
        <v/>
      </c>
      <c r="F8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Helper'!$F$5:$F$3004,"""")&lt;&gt;""""),ROWS(F$5:F828)),IF(AND(LEFT(x,5)=""Page"&amp;" "",ISERROR(SEARCH(""–"",x))),x&amp;""–""&amp;REGEXEXTRACT(x,""[0-9]+$""),x)),"""")"),"")</f>
        <v/>
      </c>
      <c r="G828" s="163"/>
      <c r="H8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Helper'!$F$5:$F$3004,"""")&lt;&gt;""""),ROWS(H$5:H828)),"""")"),"")</f>
        <v/>
      </c>
    </row>
    <row r="829" ht="15.75" customHeight="1">
      <c r="A8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Helper'!$F$5:$F$3004,"""")&lt;&gt;""""),ROWS(A$5:A829)),"""")"),"")</f>
        <v/>
      </c>
      <c r="B8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Helper'!$F$5:$F$3004,"""")&lt;&gt;""""),ROWS(B$5:B829)),"""")"),"")</f>
        <v/>
      </c>
      <c r="C8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Helper'!$F$5:$F$3004,"""")&lt;&gt;""""),ROWS(C$5:C829)),"""")"),"")</f>
        <v/>
      </c>
      <c r="D8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Helper'!$F$5:$F$3004,"""")&lt;&gt;""""),ROWS(D$5:D829)),"""")"),"")</f>
        <v/>
      </c>
      <c r="E8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Helper'!$F$5:$F$3004,"""")&lt;&gt;""""),ROWS(E$5:E829)),"""")"),"")</f>
        <v/>
      </c>
      <c r="F8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Helper'!$F$5:$F$3004,"""")&lt;&gt;""""),ROWS(F$5:F829)),IF(AND(LEFT(x,5)=""Page"&amp;" "",ISERROR(SEARCH(""–"",x))),x&amp;""–""&amp;REGEXEXTRACT(x,""[0-9]+$""),x)),"""")"),"")</f>
        <v/>
      </c>
      <c r="G829" s="163"/>
      <c r="H8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Helper'!$F$5:$F$3004,"""")&lt;&gt;""""),ROWS(H$5:H829)),"""")"),"")</f>
        <v/>
      </c>
    </row>
    <row r="830" ht="15.75" customHeight="1">
      <c r="A8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Helper'!$F$5:$F$3004,"""")&lt;&gt;""""),ROWS(A$5:A830)),"""")"),"")</f>
        <v/>
      </c>
      <c r="B8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Helper'!$F$5:$F$3004,"""")&lt;&gt;""""),ROWS(B$5:B830)),"""")"),"")</f>
        <v/>
      </c>
      <c r="C8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Helper'!$F$5:$F$3004,"""")&lt;&gt;""""),ROWS(C$5:C830)),"""")"),"")</f>
        <v/>
      </c>
      <c r="D8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Helper'!$F$5:$F$3004,"""")&lt;&gt;""""),ROWS(D$5:D830)),"""")"),"")</f>
        <v/>
      </c>
      <c r="E8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Helper'!$F$5:$F$3004,"""")&lt;&gt;""""),ROWS(E$5:E830)),"""")"),"")</f>
        <v/>
      </c>
      <c r="F8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Helper'!$F$5:$F$3004,"""")&lt;&gt;""""),ROWS(F$5:F830)),IF(AND(LEFT(x,5)=""Page"&amp;" "",ISERROR(SEARCH(""–"",x))),x&amp;""–""&amp;REGEXEXTRACT(x,""[0-9]+$""),x)),"""")"),"")</f>
        <v/>
      </c>
      <c r="G830" s="163"/>
      <c r="H8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Helper'!$F$5:$F$3004,"""")&lt;&gt;""""),ROWS(H$5:H830)),"""")"),"")</f>
        <v/>
      </c>
    </row>
    <row r="831" ht="15.75" customHeight="1">
      <c r="A8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Helper'!$F$5:$F$3004,"""")&lt;&gt;""""),ROWS(A$5:A831)),"""")"),"")</f>
        <v/>
      </c>
      <c r="B8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Helper'!$F$5:$F$3004,"""")&lt;&gt;""""),ROWS(B$5:B831)),"""")"),"")</f>
        <v/>
      </c>
      <c r="C8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Helper'!$F$5:$F$3004,"""")&lt;&gt;""""),ROWS(C$5:C831)),"""")"),"")</f>
        <v/>
      </c>
      <c r="D8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Helper'!$F$5:$F$3004,"""")&lt;&gt;""""),ROWS(D$5:D831)),"""")"),"")</f>
        <v/>
      </c>
      <c r="E8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Helper'!$F$5:$F$3004,"""")&lt;&gt;""""),ROWS(E$5:E831)),"""")"),"")</f>
        <v/>
      </c>
      <c r="F8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Helper'!$F$5:$F$3004,"""")&lt;&gt;""""),ROWS(F$5:F831)),IF(AND(LEFT(x,5)=""Page"&amp;" "",ISERROR(SEARCH(""–"",x))),x&amp;""–""&amp;REGEXEXTRACT(x,""[0-9]+$""),x)),"""")"),"")</f>
        <v/>
      </c>
      <c r="G831" s="163"/>
      <c r="H8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Helper'!$F$5:$F$3004,"""")&lt;&gt;""""),ROWS(H$5:H831)),"""")"),"")</f>
        <v/>
      </c>
    </row>
    <row r="832" ht="15.75" customHeight="1">
      <c r="A8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Helper'!$F$5:$F$3004,"""")&lt;&gt;""""),ROWS(A$5:A832)),"""")"),"")</f>
        <v/>
      </c>
      <c r="B8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Helper'!$F$5:$F$3004,"""")&lt;&gt;""""),ROWS(B$5:B832)),"""")"),"")</f>
        <v/>
      </c>
      <c r="C8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Helper'!$F$5:$F$3004,"""")&lt;&gt;""""),ROWS(C$5:C832)),"""")"),"")</f>
        <v/>
      </c>
      <c r="D8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Helper'!$F$5:$F$3004,"""")&lt;&gt;""""),ROWS(D$5:D832)),"""")"),"")</f>
        <v/>
      </c>
      <c r="E8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Helper'!$F$5:$F$3004,"""")&lt;&gt;""""),ROWS(E$5:E832)),"""")"),"")</f>
        <v/>
      </c>
      <c r="F8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Helper'!$F$5:$F$3004,"""")&lt;&gt;""""),ROWS(F$5:F832)),IF(AND(LEFT(x,5)=""Page"&amp;" "",ISERROR(SEARCH(""–"",x))),x&amp;""–""&amp;REGEXEXTRACT(x,""[0-9]+$""),x)),"""")"),"")</f>
        <v/>
      </c>
      <c r="G832" s="163"/>
      <c r="H8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Helper'!$F$5:$F$3004,"""")&lt;&gt;""""),ROWS(H$5:H832)),"""")"),"")</f>
        <v/>
      </c>
    </row>
    <row r="833" ht="15.75" customHeight="1">
      <c r="A8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Helper'!$F$5:$F$3004,"""")&lt;&gt;""""),ROWS(A$5:A833)),"""")"),"")</f>
        <v/>
      </c>
      <c r="B8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Helper'!$F$5:$F$3004,"""")&lt;&gt;""""),ROWS(B$5:B833)),"""")"),"")</f>
        <v/>
      </c>
      <c r="C8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Helper'!$F$5:$F$3004,"""")&lt;&gt;""""),ROWS(C$5:C833)),"""")"),"")</f>
        <v/>
      </c>
      <c r="D8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Helper'!$F$5:$F$3004,"""")&lt;&gt;""""),ROWS(D$5:D833)),"""")"),"")</f>
        <v/>
      </c>
      <c r="E8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Helper'!$F$5:$F$3004,"""")&lt;&gt;""""),ROWS(E$5:E833)),"""")"),"")</f>
        <v/>
      </c>
      <c r="F8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Helper'!$F$5:$F$3004,"""")&lt;&gt;""""),ROWS(F$5:F833)),IF(AND(LEFT(x,5)=""Page"&amp;" "",ISERROR(SEARCH(""–"",x))),x&amp;""–""&amp;REGEXEXTRACT(x,""[0-9]+$""),x)),"""")"),"")</f>
        <v/>
      </c>
      <c r="G833" s="163"/>
      <c r="H8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Helper'!$F$5:$F$3004,"""")&lt;&gt;""""),ROWS(H$5:H833)),"""")"),"")</f>
        <v/>
      </c>
    </row>
    <row r="834" ht="15.75" customHeight="1">
      <c r="A8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Helper'!$F$5:$F$3004,"""")&lt;&gt;""""),ROWS(A$5:A834)),"""")"),"")</f>
        <v/>
      </c>
      <c r="B8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Helper'!$F$5:$F$3004,"""")&lt;&gt;""""),ROWS(B$5:B834)),"""")"),"")</f>
        <v/>
      </c>
      <c r="C8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Helper'!$F$5:$F$3004,"""")&lt;&gt;""""),ROWS(C$5:C834)),"""")"),"")</f>
        <v/>
      </c>
      <c r="D8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Helper'!$F$5:$F$3004,"""")&lt;&gt;""""),ROWS(D$5:D834)),"""")"),"")</f>
        <v/>
      </c>
      <c r="E8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Helper'!$F$5:$F$3004,"""")&lt;&gt;""""),ROWS(E$5:E834)),"""")"),"")</f>
        <v/>
      </c>
      <c r="F8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Helper'!$F$5:$F$3004,"""")&lt;&gt;""""),ROWS(F$5:F834)),IF(AND(LEFT(x,5)=""Page"&amp;" "",ISERROR(SEARCH(""–"",x))),x&amp;""–""&amp;REGEXEXTRACT(x,""[0-9]+$""),x)),"""")"),"")</f>
        <v/>
      </c>
      <c r="G834" s="163"/>
      <c r="H8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Helper'!$F$5:$F$3004,"""")&lt;&gt;""""),ROWS(H$5:H834)),"""")"),"")</f>
        <v/>
      </c>
    </row>
    <row r="835" ht="15.75" customHeight="1">
      <c r="A8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Helper'!$F$5:$F$3004,"""")&lt;&gt;""""),ROWS(A$5:A835)),"""")"),"")</f>
        <v/>
      </c>
      <c r="B8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Helper'!$F$5:$F$3004,"""")&lt;&gt;""""),ROWS(B$5:B835)),"""")"),"")</f>
        <v/>
      </c>
      <c r="C8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Helper'!$F$5:$F$3004,"""")&lt;&gt;""""),ROWS(C$5:C835)),"""")"),"")</f>
        <v/>
      </c>
      <c r="D8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Helper'!$F$5:$F$3004,"""")&lt;&gt;""""),ROWS(D$5:D835)),"""")"),"")</f>
        <v/>
      </c>
      <c r="E8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Helper'!$F$5:$F$3004,"""")&lt;&gt;""""),ROWS(E$5:E835)),"""")"),"")</f>
        <v/>
      </c>
      <c r="F8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Helper'!$F$5:$F$3004,"""")&lt;&gt;""""),ROWS(F$5:F835)),IF(AND(LEFT(x,5)=""Page"&amp;" "",ISERROR(SEARCH(""–"",x))),x&amp;""–""&amp;REGEXEXTRACT(x,""[0-9]+$""),x)),"""")"),"")</f>
        <v/>
      </c>
      <c r="G835" s="163"/>
      <c r="H8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Helper'!$F$5:$F$3004,"""")&lt;&gt;""""),ROWS(H$5:H835)),"""")"),"")</f>
        <v/>
      </c>
    </row>
    <row r="836" ht="15.75" customHeight="1">
      <c r="A8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Helper'!$F$5:$F$3004,"""")&lt;&gt;""""),ROWS(A$5:A836)),"""")"),"")</f>
        <v/>
      </c>
      <c r="B8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Helper'!$F$5:$F$3004,"""")&lt;&gt;""""),ROWS(B$5:B836)),"""")"),"")</f>
        <v/>
      </c>
      <c r="C8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Helper'!$F$5:$F$3004,"""")&lt;&gt;""""),ROWS(C$5:C836)),"""")"),"")</f>
        <v/>
      </c>
      <c r="D8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Helper'!$F$5:$F$3004,"""")&lt;&gt;""""),ROWS(D$5:D836)),"""")"),"")</f>
        <v/>
      </c>
      <c r="E8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Helper'!$F$5:$F$3004,"""")&lt;&gt;""""),ROWS(E$5:E836)),"""")"),"")</f>
        <v/>
      </c>
      <c r="F8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Helper'!$F$5:$F$3004,"""")&lt;&gt;""""),ROWS(F$5:F836)),IF(AND(LEFT(x,5)=""Page"&amp;" "",ISERROR(SEARCH(""–"",x))),x&amp;""–""&amp;REGEXEXTRACT(x,""[0-9]+$""),x)),"""")"),"")</f>
        <v/>
      </c>
      <c r="G836" s="163"/>
      <c r="H8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Helper'!$F$5:$F$3004,"""")&lt;&gt;""""),ROWS(H$5:H836)),"""")"),"")</f>
        <v/>
      </c>
    </row>
    <row r="837" ht="15.75" customHeight="1">
      <c r="A8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Helper'!$F$5:$F$3004,"""")&lt;&gt;""""),ROWS(A$5:A837)),"""")"),"")</f>
        <v/>
      </c>
      <c r="B8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Helper'!$F$5:$F$3004,"""")&lt;&gt;""""),ROWS(B$5:B837)),"""")"),"")</f>
        <v/>
      </c>
      <c r="C8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Helper'!$F$5:$F$3004,"""")&lt;&gt;""""),ROWS(C$5:C837)),"""")"),"")</f>
        <v/>
      </c>
      <c r="D8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Helper'!$F$5:$F$3004,"""")&lt;&gt;""""),ROWS(D$5:D837)),"""")"),"")</f>
        <v/>
      </c>
      <c r="E8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Helper'!$F$5:$F$3004,"""")&lt;&gt;""""),ROWS(E$5:E837)),"""")"),"")</f>
        <v/>
      </c>
      <c r="F8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Helper'!$F$5:$F$3004,"""")&lt;&gt;""""),ROWS(F$5:F837)),IF(AND(LEFT(x,5)=""Page"&amp;" "",ISERROR(SEARCH(""–"",x))),x&amp;""–""&amp;REGEXEXTRACT(x,""[0-9]+$""),x)),"""")"),"")</f>
        <v/>
      </c>
      <c r="G837" s="163"/>
      <c r="H8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Helper'!$F$5:$F$3004,"""")&lt;&gt;""""),ROWS(H$5:H837)),"""")"),"")</f>
        <v/>
      </c>
    </row>
    <row r="838" ht="15.75" customHeight="1">
      <c r="A8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Helper'!$F$5:$F$3004,"""")&lt;&gt;""""),ROWS(A$5:A838)),"""")"),"")</f>
        <v/>
      </c>
      <c r="B8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Helper'!$F$5:$F$3004,"""")&lt;&gt;""""),ROWS(B$5:B838)),"""")"),"")</f>
        <v/>
      </c>
      <c r="C8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Helper'!$F$5:$F$3004,"""")&lt;&gt;""""),ROWS(C$5:C838)),"""")"),"")</f>
        <v/>
      </c>
      <c r="D8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Helper'!$F$5:$F$3004,"""")&lt;&gt;""""),ROWS(D$5:D838)),"""")"),"")</f>
        <v/>
      </c>
      <c r="E8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Helper'!$F$5:$F$3004,"""")&lt;&gt;""""),ROWS(E$5:E838)),"""")"),"")</f>
        <v/>
      </c>
      <c r="F8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Helper'!$F$5:$F$3004,"""")&lt;&gt;""""),ROWS(F$5:F838)),IF(AND(LEFT(x,5)=""Page"&amp;" "",ISERROR(SEARCH(""–"",x))),x&amp;""–""&amp;REGEXEXTRACT(x,""[0-9]+$""),x)),"""")"),"")</f>
        <v/>
      </c>
      <c r="G838" s="163"/>
      <c r="H8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Helper'!$F$5:$F$3004,"""")&lt;&gt;""""),ROWS(H$5:H838)),"""")"),"")</f>
        <v/>
      </c>
    </row>
    <row r="839" ht="15.75" customHeight="1">
      <c r="A8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Helper'!$F$5:$F$3004,"""")&lt;&gt;""""),ROWS(A$5:A839)),"""")"),"")</f>
        <v/>
      </c>
      <c r="B8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Helper'!$F$5:$F$3004,"""")&lt;&gt;""""),ROWS(B$5:B839)),"""")"),"")</f>
        <v/>
      </c>
      <c r="C8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Helper'!$F$5:$F$3004,"""")&lt;&gt;""""),ROWS(C$5:C839)),"""")"),"")</f>
        <v/>
      </c>
      <c r="D8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Helper'!$F$5:$F$3004,"""")&lt;&gt;""""),ROWS(D$5:D839)),"""")"),"")</f>
        <v/>
      </c>
      <c r="E8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Helper'!$F$5:$F$3004,"""")&lt;&gt;""""),ROWS(E$5:E839)),"""")"),"")</f>
        <v/>
      </c>
      <c r="F8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Helper'!$F$5:$F$3004,"""")&lt;&gt;""""),ROWS(F$5:F839)),IF(AND(LEFT(x,5)=""Page"&amp;" "",ISERROR(SEARCH(""–"",x))),x&amp;""–""&amp;REGEXEXTRACT(x,""[0-9]+$""),x)),"""")"),"")</f>
        <v/>
      </c>
      <c r="G839" s="163"/>
      <c r="H8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Helper'!$F$5:$F$3004,"""")&lt;&gt;""""),ROWS(H$5:H839)),"""")"),"")</f>
        <v/>
      </c>
    </row>
    <row r="840" ht="15.75" customHeight="1">
      <c r="A8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Helper'!$F$5:$F$3004,"""")&lt;&gt;""""),ROWS(A$5:A840)),"""")"),"")</f>
        <v/>
      </c>
      <c r="B8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Helper'!$F$5:$F$3004,"""")&lt;&gt;""""),ROWS(B$5:B840)),"""")"),"")</f>
        <v/>
      </c>
      <c r="C8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Helper'!$F$5:$F$3004,"""")&lt;&gt;""""),ROWS(C$5:C840)),"""")"),"")</f>
        <v/>
      </c>
      <c r="D8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Helper'!$F$5:$F$3004,"""")&lt;&gt;""""),ROWS(D$5:D840)),"""")"),"")</f>
        <v/>
      </c>
      <c r="E8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Helper'!$F$5:$F$3004,"""")&lt;&gt;""""),ROWS(E$5:E840)),"""")"),"")</f>
        <v/>
      </c>
      <c r="F8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Helper'!$F$5:$F$3004,"""")&lt;&gt;""""),ROWS(F$5:F840)),IF(AND(LEFT(x,5)=""Page"&amp;" "",ISERROR(SEARCH(""–"",x))),x&amp;""–""&amp;REGEXEXTRACT(x,""[0-9]+$""),x)),"""")"),"")</f>
        <v/>
      </c>
      <c r="G840" s="163"/>
      <c r="H8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Helper'!$F$5:$F$3004,"""")&lt;&gt;""""),ROWS(H$5:H840)),"""")"),"")</f>
        <v/>
      </c>
    </row>
    <row r="841" ht="15.75" customHeight="1">
      <c r="A8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Helper'!$F$5:$F$3004,"""")&lt;&gt;""""),ROWS(A$5:A841)),"""")"),"")</f>
        <v/>
      </c>
      <c r="B8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Helper'!$F$5:$F$3004,"""")&lt;&gt;""""),ROWS(B$5:B841)),"""")"),"")</f>
        <v/>
      </c>
      <c r="C8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Helper'!$F$5:$F$3004,"""")&lt;&gt;""""),ROWS(C$5:C841)),"""")"),"")</f>
        <v/>
      </c>
      <c r="D8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Helper'!$F$5:$F$3004,"""")&lt;&gt;""""),ROWS(D$5:D841)),"""")"),"")</f>
        <v/>
      </c>
      <c r="E8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Helper'!$F$5:$F$3004,"""")&lt;&gt;""""),ROWS(E$5:E841)),"""")"),"")</f>
        <v/>
      </c>
      <c r="F8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Helper'!$F$5:$F$3004,"""")&lt;&gt;""""),ROWS(F$5:F841)),IF(AND(LEFT(x,5)=""Page"&amp;" "",ISERROR(SEARCH(""–"",x))),x&amp;""–""&amp;REGEXEXTRACT(x,""[0-9]+$""),x)),"""")"),"")</f>
        <v/>
      </c>
      <c r="G841" s="163"/>
      <c r="H8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Helper'!$F$5:$F$3004,"""")&lt;&gt;""""),ROWS(H$5:H841)),"""")"),"")</f>
        <v/>
      </c>
    </row>
    <row r="842" ht="15.75" customHeight="1">
      <c r="A8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Helper'!$F$5:$F$3004,"""")&lt;&gt;""""),ROWS(A$5:A842)),"""")"),"")</f>
        <v/>
      </c>
      <c r="B8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Helper'!$F$5:$F$3004,"""")&lt;&gt;""""),ROWS(B$5:B842)),"""")"),"")</f>
        <v/>
      </c>
      <c r="C8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Helper'!$F$5:$F$3004,"""")&lt;&gt;""""),ROWS(C$5:C842)),"""")"),"")</f>
        <v/>
      </c>
      <c r="D8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Helper'!$F$5:$F$3004,"""")&lt;&gt;""""),ROWS(D$5:D842)),"""")"),"")</f>
        <v/>
      </c>
      <c r="E8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Helper'!$F$5:$F$3004,"""")&lt;&gt;""""),ROWS(E$5:E842)),"""")"),"")</f>
        <v/>
      </c>
      <c r="F8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Helper'!$F$5:$F$3004,"""")&lt;&gt;""""),ROWS(F$5:F842)),IF(AND(LEFT(x,5)=""Page"&amp;" "",ISERROR(SEARCH(""–"",x))),x&amp;""–""&amp;REGEXEXTRACT(x,""[0-9]+$""),x)),"""")"),"")</f>
        <v/>
      </c>
      <c r="G842" s="163"/>
      <c r="H8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Helper'!$F$5:$F$3004,"""")&lt;&gt;""""),ROWS(H$5:H842)),"""")"),"")</f>
        <v/>
      </c>
    </row>
    <row r="843" ht="15.75" customHeight="1">
      <c r="A8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Helper'!$F$5:$F$3004,"""")&lt;&gt;""""),ROWS(A$5:A843)),"""")"),"")</f>
        <v/>
      </c>
      <c r="B8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Helper'!$F$5:$F$3004,"""")&lt;&gt;""""),ROWS(B$5:B843)),"""")"),"")</f>
        <v/>
      </c>
      <c r="C8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Helper'!$F$5:$F$3004,"""")&lt;&gt;""""),ROWS(C$5:C843)),"""")"),"")</f>
        <v/>
      </c>
      <c r="D8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Helper'!$F$5:$F$3004,"""")&lt;&gt;""""),ROWS(D$5:D843)),"""")"),"")</f>
        <v/>
      </c>
      <c r="E8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Helper'!$F$5:$F$3004,"""")&lt;&gt;""""),ROWS(E$5:E843)),"""")"),"")</f>
        <v/>
      </c>
      <c r="F8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Helper'!$F$5:$F$3004,"""")&lt;&gt;""""),ROWS(F$5:F843)),IF(AND(LEFT(x,5)=""Page"&amp;" "",ISERROR(SEARCH(""–"",x))),x&amp;""–""&amp;REGEXEXTRACT(x,""[0-9]+$""),x)),"""")"),"")</f>
        <v/>
      </c>
      <c r="G843" s="163"/>
      <c r="H8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Helper'!$F$5:$F$3004,"""")&lt;&gt;""""),ROWS(H$5:H843)),"""")"),"")</f>
        <v/>
      </c>
    </row>
    <row r="844" ht="15.75" customHeight="1">
      <c r="A8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Helper'!$F$5:$F$3004,"""")&lt;&gt;""""),ROWS(A$5:A844)),"""")"),"")</f>
        <v/>
      </c>
      <c r="B8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Helper'!$F$5:$F$3004,"""")&lt;&gt;""""),ROWS(B$5:B844)),"""")"),"")</f>
        <v/>
      </c>
      <c r="C8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Helper'!$F$5:$F$3004,"""")&lt;&gt;""""),ROWS(C$5:C844)),"""")"),"")</f>
        <v/>
      </c>
      <c r="D8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Helper'!$F$5:$F$3004,"""")&lt;&gt;""""),ROWS(D$5:D844)),"""")"),"")</f>
        <v/>
      </c>
      <c r="E8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Helper'!$F$5:$F$3004,"""")&lt;&gt;""""),ROWS(E$5:E844)),"""")"),"")</f>
        <v/>
      </c>
      <c r="F8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Helper'!$F$5:$F$3004,"""")&lt;&gt;""""),ROWS(F$5:F844)),IF(AND(LEFT(x,5)=""Page"&amp;" "",ISERROR(SEARCH(""–"",x))),x&amp;""–""&amp;REGEXEXTRACT(x,""[0-9]+$""),x)),"""")"),"")</f>
        <v/>
      </c>
      <c r="G844" s="163"/>
      <c r="H8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Helper'!$F$5:$F$3004,"""")&lt;&gt;""""),ROWS(H$5:H844)),"""")"),"")</f>
        <v/>
      </c>
    </row>
    <row r="845" ht="15.75" customHeight="1">
      <c r="A8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Helper'!$F$5:$F$3004,"""")&lt;&gt;""""),ROWS(A$5:A845)),"""")"),"")</f>
        <v/>
      </c>
      <c r="B8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Helper'!$F$5:$F$3004,"""")&lt;&gt;""""),ROWS(B$5:B845)),"""")"),"")</f>
        <v/>
      </c>
      <c r="C8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Helper'!$F$5:$F$3004,"""")&lt;&gt;""""),ROWS(C$5:C845)),"""")"),"")</f>
        <v/>
      </c>
      <c r="D8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Helper'!$F$5:$F$3004,"""")&lt;&gt;""""),ROWS(D$5:D845)),"""")"),"")</f>
        <v/>
      </c>
      <c r="E8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Helper'!$F$5:$F$3004,"""")&lt;&gt;""""),ROWS(E$5:E845)),"""")"),"")</f>
        <v/>
      </c>
      <c r="F8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Helper'!$F$5:$F$3004,"""")&lt;&gt;""""),ROWS(F$5:F845)),IF(AND(LEFT(x,5)=""Page"&amp;" "",ISERROR(SEARCH(""–"",x))),x&amp;""–""&amp;REGEXEXTRACT(x,""[0-9]+$""),x)),"""")"),"")</f>
        <v/>
      </c>
      <c r="G845" s="163"/>
      <c r="H8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Helper'!$F$5:$F$3004,"""")&lt;&gt;""""),ROWS(H$5:H845)),"""")"),"")</f>
        <v/>
      </c>
    </row>
    <row r="846" ht="15.75" customHeight="1">
      <c r="A8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Helper'!$F$5:$F$3004,"""")&lt;&gt;""""),ROWS(A$5:A846)),"""")"),"")</f>
        <v/>
      </c>
      <c r="B8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Helper'!$F$5:$F$3004,"""")&lt;&gt;""""),ROWS(B$5:B846)),"""")"),"")</f>
        <v/>
      </c>
      <c r="C8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Helper'!$F$5:$F$3004,"""")&lt;&gt;""""),ROWS(C$5:C846)),"""")"),"")</f>
        <v/>
      </c>
      <c r="D8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Helper'!$F$5:$F$3004,"""")&lt;&gt;""""),ROWS(D$5:D846)),"""")"),"")</f>
        <v/>
      </c>
      <c r="E8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Helper'!$F$5:$F$3004,"""")&lt;&gt;""""),ROWS(E$5:E846)),"""")"),"")</f>
        <v/>
      </c>
      <c r="F8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Helper'!$F$5:$F$3004,"""")&lt;&gt;""""),ROWS(F$5:F846)),IF(AND(LEFT(x,5)=""Page"&amp;" "",ISERROR(SEARCH(""–"",x))),x&amp;""–""&amp;REGEXEXTRACT(x,""[0-9]+$""),x)),"""")"),"")</f>
        <v/>
      </c>
      <c r="G846" s="163"/>
      <c r="H8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Helper'!$F$5:$F$3004,"""")&lt;&gt;""""),ROWS(H$5:H846)),"""")"),"")</f>
        <v/>
      </c>
    </row>
    <row r="847" ht="15.75" customHeight="1">
      <c r="A8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Helper'!$F$5:$F$3004,"""")&lt;&gt;""""),ROWS(A$5:A847)),"""")"),"")</f>
        <v/>
      </c>
      <c r="B8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Helper'!$F$5:$F$3004,"""")&lt;&gt;""""),ROWS(B$5:B847)),"""")"),"")</f>
        <v/>
      </c>
      <c r="C8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Helper'!$F$5:$F$3004,"""")&lt;&gt;""""),ROWS(C$5:C847)),"""")"),"")</f>
        <v/>
      </c>
      <c r="D8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Helper'!$F$5:$F$3004,"""")&lt;&gt;""""),ROWS(D$5:D847)),"""")"),"")</f>
        <v/>
      </c>
      <c r="E8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Helper'!$F$5:$F$3004,"""")&lt;&gt;""""),ROWS(E$5:E847)),"""")"),"")</f>
        <v/>
      </c>
      <c r="F8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Helper'!$F$5:$F$3004,"""")&lt;&gt;""""),ROWS(F$5:F847)),IF(AND(LEFT(x,5)=""Page"&amp;" "",ISERROR(SEARCH(""–"",x))),x&amp;""–""&amp;REGEXEXTRACT(x,""[0-9]+$""),x)),"""")"),"")</f>
        <v/>
      </c>
      <c r="G847" s="163"/>
      <c r="H8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Helper'!$F$5:$F$3004,"""")&lt;&gt;""""),ROWS(H$5:H847)),"""")"),"")</f>
        <v/>
      </c>
    </row>
    <row r="848" ht="15.75" customHeight="1">
      <c r="A8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Helper'!$F$5:$F$3004,"""")&lt;&gt;""""),ROWS(A$5:A848)),"""")"),"")</f>
        <v/>
      </c>
      <c r="B8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Helper'!$F$5:$F$3004,"""")&lt;&gt;""""),ROWS(B$5:B848)),"""")"),"")</f>
        <v/>
      </c>
      <c r="C8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Helper'!$F$5:$F$3004,"""")&lt;&gt;""""),ROWS(C$5:C848)),"""")"),"")</f>
        <v/>
      </c>
      <c r="D8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Helper'!$F$5:$F$3004,"""")&lt;&gt;""""),ROWS(D$5:D848)),"""")"),"")</f>
        <v/>
      </c>
      <c r="E8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Helper'!$F$5:$F$3004,"""")&lt;&gt;""""),ROWS(E$5:E848)),"""")"),"")</f>
        <v/>
      </c>
      <c r="F8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Helper'!$F$5:$F$3004,"""")&lt;&gt;""""),ROWS(F$5:F848)),IF(AND(LEFT(x,5)=""Page"&amp;" "",ISERROR(SEARCH(""–"",x))),x&amp;""–""&amp;REGEXEXTRACT(x,""[0-9]+$""),x)),"""")"),"")</f>
        <v/>
      </c>
      <c r="G848" s="163"/>
      <c r="H8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Helper'!$F$5:$F$3004,"""")&lt;&gt;""""),ROWS(H$5:H848)),"""")"),"")</f>
        <v/>
      </c>
    </row>
    <row r="849" ht="15.75" customHeight="1">
      <c r="A8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Helper'!$F$5:$F$3004,"""")&lt;&gt;""""),ROWS(A$5:A849)),"""")"),"")</f>
        <v/>
      </c>
      <c r="B8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Helper'!$F$5:$F$3004,"""")&lt;&gt;""""),ROWS(B$5:B849)),"""")"),"")</f>
        <v/>
      </c>
      <c r="C8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Helper'!$F$5:$F$3004,"""")&lt;&gt;""""),ROWS(C$5:C849)),"""")"),"")</f>
        <v/>
      </c>
      <c r="D8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Helper'!$F$5:$F$3004,"""")&lt;&gt;""""),ROWS(D$5:D849)),"""")"),"")</f>
        <v/>
      </c>
      <c r="E8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Helper'!$F$5:$F$3004,"""")&lt;&gt;""""),ROWS(E$5:E849)),"""")"),"")</f>
        <v/>
      </c>
      <c r="F8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Helper'!$F$5:$F$3004,"""")&lt;&gt;""""),ROWS(F$5:F849)),IF(AND(LEFT(x,5)=""Page"&amp;" "",ISERROR(SEARCH(""–"",x))),x&amp;""–""&amp;REGEXEXTRACT(x,""[0-9]+$""),x)),"""")"),"")</f>
        <v/>
      </c>
      <c r="G849" s="163"/>
      <c r="H8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Helper'!$F$5:$F$3004,"""")&lt;&gt;""""),ROWS(H$5:H849)),"""")"),"")</f>
        <v/>
      </c>
    </row>
    <row r="850" ht="15.75" customHeight="1">
      <c r="A8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Helper'!$F$5:$F$3004,"""")&lt;&gt;""""),ROWS(A$5:A850)),"""")"),"")</f>
        <v/>
      </c>
      <c r="B8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Helper'!$F$5:$F$3004,"""")&lt;&gt;""""),ROWS(B$5:B850)),"""")"),"")</f>
        <v/>
      </c>
      <c r="C8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Helper'!$F$5:$F$3004,"""")&lt;&gt;""""),ROWS(C$5:C850)),"""")"),"")</f>
        <v/>
      </c>
      <c r="D8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Helper'!$F$5:$F$3004,"""")&lt;&gt;""""),ROWS(D$5:D850)),"""")"),"")</f>
        <v/>
      </c>
      <c r="E8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Helper'!$F$5:$F$3004,"""")&lt;&gt;""""),ROWS(E$5:E850)),"""")"),"")</f>
        <v/>
      </c>
      <c r="F8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Helper'!$F$5:$F$3004,"""")&lt;&gt;""""),ROWS(F$5:F850)),IF(AND(LEFT(x,5)=""Page"&amp;" "",ISERROR(SEARCH(""–"",x))),x&amp;""–""&amp;REGEXEXTRACT(x,""[0-9]+$""),x)),"""")"),"")</f>
        <v/>
      </c>
      <c r="G850" s="163"/>
      <c r="H8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Helper'!$F$5:$F$3004,"""")&lt;&gt;""""),ROWS(H$5:H850)),"""")"),"")</f>
        <v/>
      </c>
    </row>
    <row r="851" ht="15.75" customHeight="1">
      <c r="A8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Helper'!$F$5:$F$3004,"""")&lt;&gt;""""),ROWS(A$5:A851)),"""")"),"")</f>
        <v/>
      </c>
      <c r="B8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Helper'!$F$5:$F$3004,"""")&lt;&gt;""""),ROWS(B$5:B851)),"""")"),"")</f>
        <v/>
      </c>
      <c r="C8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Helper'!$F$5:$F$3004,"""")&lt;&gt;""""),ROWS(C$5:C851)),"""")"),"")</f>
        <v/>
      </c>
      <c r="D8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Helper'!$F$5:$F$3004,"""")&lt;&gt;""""),ROWS(D$5:D851)),"""")"),"")</f>
        <v/>
      </c>
      <c r="E8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Helper'!$F$5:$F$3004,"""")&lt;&gt;""""),ROWS(E$5:E851)),"""")"),"")</f>
        <v/>
      </c>
      <c r="F8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Helper'!$F$5:$F$3004,"""")&lt;&gt;""""),ROWS(F$5:F851)),IF(AND(LEFT(x,5)=""Page"&amp;" "",ISERROR(SEARCH(""–"",x))),x&amp;""–""&amp;REGEXEXTRACT(x,""[0-9]+$""),x)),"""")"),"")</f>
        <v/>
      </c>
      <c r="G851" s="163"/>
      <c r="H8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Helper'!$F$5:$F$3004,"""")&lt;&gt;""""),ROWS(H$5:H851)),"""")"),"")</f>
        <v/>
      </c>
    </row>
    <row r="852" ht="15.75" customHeight="1">
      <c r="A8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Helper'!$F$5:$F$3004,"""")&lt;&gt;""""),ROWS(A$5:A852)),"""")"),"")</f>
        <v/>
      </c>
      <c r="B8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Helper'!$F$5:$F$3004,"""")&lt;&gt;""""),ROWS(B$5:B852)),"""")"),"")</f>
        <v/>
      </c>
      <c r="C8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Helper'!$F$5:$F$3004,"""")&lt;&gt;""""),ROWS(C$5:C852)),"""")"),"")</f>
        <v/>
      </c>
      <c r="D8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Helper'!$F$5:$F$3004,"""")&lt;&gt;""""),ROWS(D$5:D852)),"""")"),"")</f>
        <v/>
      </c>
      <c r="E8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Helper'!$F$5:$F$3004,"""")&lt;&gt;""""),ROWS(E$5:E852)),"""")"),"")</f>
        <v/>
      </c>
      <c r="F8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Helper'!$F$5:$F$3004,"""")&lt;&gt;""""),ROWS(F$5:F852)),IF(AND(LEFT(x,5)=""Page"&amp;" "",ISERROR(SEARCH(""–"",x))),x&amp;""–""&amp;REGEXEXTRACT(x,""[0-9]+$""),x)),"""")"),"")</f>
        <v/>
      </c>
      <c r="G852" s="163"/>
      <c r="H8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Helper'!$F$5:$F$3004,"""")&lt;&gt;""""),ROWS(H$5:H852)),"""")"),"")</f>
        <v/>
      </c>
    </row>
    <row r="853" ht="15.75" customHeight="1">
      <c r="A8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Helper'!$F$5:$F$3004,"""")&lt;&gt;""""),ROWS(A$5:A853)),"""")"),"")</f>
        <v/>
      </c>
      <c r="B8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Helper'!$F$5:$F$3004,"""")&lt;&gt;""""),ROWS(B$5:B853)),"""")"),"")</f>
        <v/>
      </c>
      <c r="C8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Helper'!$F$5:$F$3004,"""")&lt;&gt;""""),ROWS(C$5:C853)),"""")"),"")</f>
        <v/>
      </c>
      <c r="D8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Helper'!$F$5:$F$3004,"""")&lt;&gt;""""),ROWS(D$5:D853)),"""")"),"")</f>
        <v/>
      </c>
      <c r="E8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Helper'!$F$5:$F$3004,"""")&lt;&gt;""""),ROWS(E$5:E853)),"""")"),"")</f>
        <v/>
      </c>
      <c r="F8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Helper'!$F$5:$F$3004,"""")&lt;&gt;""""),ROWS(F$5:F853)),IF(AND(LEFT(x,5)=""Page"&amp;" "",ISERROR(SEARCH(""–"",x))),x&amp;""–""&amp;REGEXEXTRACT(x,""[0-9]+$""),x)),"""")"),"")</f>
        <v/>
      </c>
      <c r="G853" s="163"/>
      <c r="H8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Helper'!$F$5:$F$3004,"""")&lt;&gt;""""),ROWS(H$5:H853)),"""")"),"")</f>
        <v/>
      </c>
    </row>
    <row r="854" ht="15.75" customHeight="1">
      <c r="A8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Helper'!$F$5:$F$3004,"""")&lt;&gt;""""),ROWS(A$5:A854)),"""")"),"")</f>
        <v/>
      </c>
      <c r="B8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Helper'!$F$5:$F$3004,"""")&lt;&gt;""""),ROWS(B$5:B854)),"""")"),"")</f>
        <v/>
      </c>
      <c r="C8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Helper'!$F$5:$F$3004,"""")&lt;&gt;""""),ROWS(C$5:C854)),"""")"),"")</f>
        <v/>
      </c>
      <c r="D8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Helper'!$F$5:$F$3004,"""")&lt;&gt;""""),ROWS(D$5:D854)),"""")"),"")</f>
        <v/>
      </c>
      <c r="E8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Helper'!$F$5:$F$3004,"""")&lt;&gt;""""),ROWS(E$5:E854)),"""")"),"")</f>
        <v/>
      </c>
      <c r="F8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Helper'!$F$5:$F$3004,"""")&lt;&gt;""""),ROWS(F$5:F854)),IF(AND(LEFT(x,5)=""Page"&amp;" "",ISERROR(SEARCH(""–"",x))),x&amp;""–""&amp;REGEXEXTRACT(x,""[0-9]+$""),x)),"""")"),"")</f>
        <v/>
      </c>
      <c r="G854" s="163"/>
      <c r="H8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Helper'!$F$5:$F$3004,"""")&lt;&gt;""""),ROWS(H$5:H854)),"""")"),"")</f>
        <v/>
      </c>
    </row>
    <row r="855" ht="15.75" customHeight="1">
      <c r="A8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Helper'!$F$5:$F$3004,"""")&lt;&gt;""""),ROWS(A$5:A855)),"""")"),"")</f>
        <v/>
      </c>
      <c r="B8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Helper'!$F$5:$F$3004,"""")&lt;&gt;""""),ROWS(B$5:B855)),"""")"),"")</f>
        <v/>
      </c>
      <c r="C8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Helper'!$F$5:$F$3004,"""")&lt;&gt;""""),ROWS(C$5:C855)),"""")"),"")</f>
        <v/>
      </c>
      <c r="D8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Helper'!$F$5:$F$3004,"""")&lt;&gt;""""),ROWS(D$5:D855)),"""")"),"")</f>
        <v/>
      </c>
      <c r="E8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Helper'!$F$5:$F$3004,"""")&lt;&gt;""""),ROWS(E$5:E855)),"""")"),"")</f>
        <v/>
      </c>
      <c r="F8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Helper'!$F$5:$F$3004,"""")&lt;&gt;""""),ROWS(F$5:F855)),IF(AND(LEFT(x,5)=""Page"&amp;" "",ISERROR(SEARCH(""–"",x))),x&amp;""–""&amp;REGEXEXTRACT(x,""[0-9]+$""),x)),"""")"),"")</f>
        <v/>
      </c>
      <c r="G855" s="163"/>
      <c r="H8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Helper'!$F$5:$F$3004,"""")&lt;&gt;""""),ROWS(H$5:H855)),"""")"),"")</f>
        <v/>
      </c>
    </row>
    <row r="856" ht="15.75" customHeight="1">
      <c r="A8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Helper'!$F$5:$F$3004,"""")&lt;&gt;""""),ROWS(A$5:A856)),"""")"),"")</f>
        <v/>
      </c>
      <c r="B8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Helper'!$F$5:$F$3004,"""")&lt;&gt;""""),ROWS(B$5:B856)),"""")"),"")</f>
        <v/>
      </c>
      <c r="C8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Helper'!$F$5:$F$3004,"""")&lt;&gt;""""),ROWS(C$5:C856)),"""")"),"")</f>
        <v/>
      </c>
      <c r="D8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Helper'!$F$5:$F$3004,"""")&lt;&gt;""""),ROWS(D$5:D856)),"""")"),"")</f>
        <v/>
      </c>
      <c r="E8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Helper'!$F$5:$F$3004,"""")&lt;&gt;""""),ROWS(E$5:E856)),"""")"),"")</f>
        <v/>
      </c>
      <c r="F8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Helper'!$F$5:$F$3004,"""")&lt;&gt;""""),ROWS(F$5:F856)),IF(AND(LEFT(x,5)=""Page"&amp;" "",ISERROR(SEARCH(""–"",x))),x&amp;""–""&amp;REGEXEXTRACT(x,""[0-9]+$""),x)),"""")"),"")</f>
        <v/>
      </c>
      <c r="G856" s="163"/>
      <c r="H8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Helper'!$F$5:$F$3004,"""")&lt;&gt;""""),ROWS(H$5:H856)),"""")"),"")</f>
        <v/>
      </c>
    </row>
    <row r="857" ht="15.75" customHeight="1">
      <c r="A8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Helper'!$F$5:$F$3004,"""")&lt;&gt;""""),ROWS(A$5:A857)),"""")"),"")</f>
        <v/>
      </c>
      <c r="B8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Helper'!$F$5:$F$3004,"""")&lt;&gt;""""),ROWS(B$5:B857)),"""")"),"")</f>
        <v/>
      </c>
      <c r="C8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Helper'!$F$5:$F$3004,"""")&lt;&gt;""""),ROWS(C$5:C857)),"""")"),"")</f>
        <v/>
      </c>
      <c r="D8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Helper'!$F$5:$F$3004,"""")&lt;&gt;""""),ROWS(D$5:D857)),"""")"),"")</f>
        <v/>
      </c>
      <c r="E8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Helper'!$F$5:$F$3004,"""")&lt;&gt;""""),ROWS(E$5:E857)),"""")"),"")</f>
        <v/>
      </c>
      <c r="F8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Helper'!$F$5:$F$3004,"""")&lt;&gt;""""),ROWS(F$5:F857)),IF(AND(LEFT(x,5)=""Page"&amp;" "",ISERROR(SEARCH(""–"",x))),x&amp;""–""&amp;REGEXEXTRACT(x,""[0-9]+$""),x)),"""")"),"")</f>
        <v/>
      </c>
      <c r="G857" s="163"/>
      <c r="H8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Helper'!$F$5:$F$3004,"""")&lt;&gt;""""),ROWS(H$5:H857)),"""")"),"")</f>
        <v/>
      </c>
    </row>
    <row r="858" ht="15.75" customHeight="1">
      <c r="A8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Helper'!$F$5:$F$3004,"""")&lt;&gt;""""),ROWS(A$5:A858)),"""")"),"")</f>
        <v/>
      </c>
      <c r="B8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Helper'!$F$5:$F$3004,"""")&lt;&gt;""""),ROWS(B$5:B858)),"""")"),"")</f>
        <v/>
      </c>
      <c r="C8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Helper'!$F$5:$F$3004,"""")&lt;&gt;""""),ROWS(C$5:C858)),"""")"),"")</f>
        <v/>
      </c>
      <c r="D8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Helper'!$F$5:$F$3004,"""")&lt;&gt;""""),ROWS(D$5:D858)),"""")"),"")</f>
        <v/>
      </c>
      <c r="E8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Helper'!$F$5:$F$3004,"""")&lt;&gt;""""),ROWS(E$5:E858)),"""")"),"")</f>
        <v/>
      </c>
      <c r="F8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Helper'!$F$5:$F$3004,"""")&lt;&gt;""""),ROWS(F$5:F858)),IF(AND(LEFT(x,5)=""Page"&amp;" "",ISERROR(SEARCH(""–"",x))),x&amp;""–""&amp;REGEXEXTRACT(x,""[0-9]+$""),x)),"""")"),"")</f>
        <v/>
      </c>
      <c r="G858" s="163"/>
      <c r="H8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Helper'!$F$5:$F$3004,"""")&lt;&gt;""""),ROWS(H$5:H858)),"""")"),"")</f>
        <v/>
      </c>
    </row>
    <row r="859" ht="15.75" customHeight="1">
      <c r="A8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Helper'!$F$5:$F$3004,"""")&lt;&gt;""""),ROWS(A$5:A859)),"""")"),"")</f>
        <v/>
      </c>
      <c r="B8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Helper'!$F$5:$F$3004,"""")&lt;&gt;""""),ROWS(B$5:B859)),"""")"),"")</f>
        <v/>
      </c>
      <c r="C8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Helper'!$F$5:$F$3004,"""")&lt;&gt;""""),ROWS(C$5:C859)),"""")"),"")</f>
        <v/>
      </c>
      <c r="D8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Helper'!$F$5:$F$3004,"""")&lt;&gt;""""),ROWS(D$5:D859)),"""")"),"")</f>
        <v/>
      </c>
      <c r="E8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Helper'!$F$5:$F$3004,"""")&lt;&gt;""""),ROWS(E$5:E859)),"""")"),"")</f>
        <v/>
      </c>
      <c r="F8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Helper'!$F$5:$F$3004,"""")&lt;&gt;""""),ROWS(F$5:F859)),IF(AND(LEFT(x,5)=""Page"&amp;" "",ISERROR(SEARCH(""–"",x))),x&amp;""–""&amp;REGEXEXTRACT(x,""[0-9]+$""),x)),"""")"),"")</f>
        <v/>
      </c>
      <c r="G859" s="163"/>
      <c r="H8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Helper'!$F$5:$F$3004,"""")&lt;&gt;""""),ROWS(H$5:H859)),"""")"),"")</f>
        <v/>
      </c>
    </row>
    <row r="860" ht="15.75" customHeight="1">
      <c r="A8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Helper'!$F$5:$F$3004,"""")&lt;&gt;""""),ROWS(A$5:A860)),"""")"),"")</f>
        <v/>
      </c>
      <c r="B8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Helper'!$F$5:$F$3004,"""")&lt;&gt;""""),ROWS(B$5:B860)),"""")"),"")</f>
        <v/>
      </c>
      <c r="C8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Helper'!$F$5:$F$3004,"""")&lt;&gt;""""),ROWS(C$5:C860)),"""")"),"")</f>
        <v/>
      </c>
      <c r="D8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Helper'!$F$5:$F$3004,"""")&lt;&gt;""""),ROWS(D$5:D860)),"""")"),"")</f>
        <v/>
      </c>
      <c r="E8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Helper'!$F$5:$F$3004,"""")&lt;&gt;""""),ROWS(E$5:E860)),"""")"),"")</f>
        <v/>
      </c>
      <c r="F8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Helper'!$F$5:$F$3004,"""")&lt;&gt;""""),ROWS(F$5:F860)),IF(AND(LEFT(x,5)=""Page"&amp;" "",ISERROR(SEARCH(""–"",x))),x&amp;""–""&amp;REGEXEXTRACT(x,""[0-9]+$""),x)),"""")"),"")</f>
        <v/>
      </c>
      <c r="G860" s="163"/>
      <c r="H8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Helper'!$F$5:$F$3004,"""")&lt;&gt;""""),ROWS(H$5:H860)),"""")"),"")</f>
        <v/>
      </c>
    </row>
    <row r="861" ht="15.75" customHeight="1">
      <c r="A8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Helper'!$F$5:$F$3004,"""")&lt;&gt;""""),ROWS(A$5:A861)),"""")"),"")</f>
        <v/>
      </c>
      <c r="B8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Helper'!$F$5:$F$3004,"""")&lt;&gt;""""),ROWS(B$5:B861)),"""")"),"")</f>
        <v/>
      </c>
      <c r="C8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Helper'!$F$5:$F$3004,"""")&lt;&gt;""""),ROWS(C$5:C861)),"""")"),"")</f>
        <v/>
      </c>
      <c r="D8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Helper'!$F$5:$F$3004,"""")&lt;&gt;""""),ROWS(D$5:D861)),"""")"),"")</f>
        <v/>
      </c>
      <c r="E8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Helper'!$F$5:$F$3004,"""")&lt;&gt;""""),ROWS(E$5:E861)),"""")"),"")</f>
        <v/>
      </c>
      <c r="F8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Helper'!$F$5:$F$3004,"""")&lt;&gt;""""),ROWS(F$5:F861)),IF(AND(LEFT(x,5)=""Page"&amp;" "",ISERROR(SEARCH(""–"",x))),x&amp;""–""&amp;REGEXEXTRACT(x,""[0-9]+$""),x)),"""")"),"")</f>
        <v/>
      </c>
      <c r="G861" s="163"/>
      <c r="H8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Helper'!$F$5:$F$3004,"""")&lt;&gt;""""),ROWS(H$5:H861)),"""")"),"")</f>
        <v/>
      </c>
    </row>
    <row r="862" ht="15.75" customHeight="1">
      <c r="A8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Helper'!$F$5:$F$3004,"""")&lt;&gt;""""),ROWS(A$5:A862)),"""")"),"")</f>
        <v/>
      </c>
      <c r="B8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Helper'!$F$5:$F$3004,"""")&lt;&gt;""""),ROWS(B$5:B862)),"""")"),"")</f>
        <v/>
      </c>
      <c r="C8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Helper'!$F$5:$F$3004,"""")&lt;&gt;""""),ROWS(C$5:C862)),"""")"),"")</f>
        <v/>
      </c>
      <c r="D8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Helper'!$F$5:$F$3004,"""")&lt;&gt;""""),ROWS(D$5:D862)),"""")"),"")</f>
        <v/>
      </c>
      <c r="E8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Helper'!$F$5:$F$3004,"""")&lt;&gt;""""),ROWS(E$5:E862)),"""")"),"")</f>
        <v/>
      </c>
      <c r="F8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Helper'!$F$5:$F$3004,"""")&lt;&gt;""""),ROWS(F$5:F862)),IF(AND(LEFT(x,5)=""Page"&amp;" "",ISERROR(SEARCH(""–"",x))),x&amp;""–""&amp;REGEXEXTRACT(x,""[0-9]+$""),x)),"""")"),"")</f>
        <v/>
      </c>
      <c r="G862" s="163"/>
      <c r="H8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Helper'!$F$5:$F$3004,"""")&lt;&gt;""""),ROWS(H$5:H862)),"""")"),"")</f>
        <v/>
      </c>
    </row>
    <row r="863" ht="15.75" customHeight="1">
      <c r="A8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Helper'!$F$5:$F$3004,"""")&lt;&gt;""""),ROWS(A$5:A863)),"""")"),"")</f>
        <v/>
      </c>
      <c r="B8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Helper'!$F$5:$F$3004,"""")&lt;&gt;""""),ROWS(B$5:B863)),"""")"),"")</f>
        <v/>
      </c>
      <c r="C8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Helper'!$F$5:$F$3004,"""")&lt;&gt;""""),ROWS(C$5:C863)),"""")"),"")</f>
        <v/>
      </c>
      <c r="D8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Helper'!$F$5:$F$3004,"""")&lt;&gt;""""),ROWS(D$5:D863)),"""")"),"")</f>
        <v/>
      </c>
      <c r="E8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Helper'!$F$5:$F$3004,"""")&lt;&gt;""""),ROWS(E$5:E863)),"""")"),"")</f>
        <v/>
      </c>
      <c r="F8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Helper'!$F$5:$F$3004,"""")&lt;&gt;""""),ROWS(F$5:F863)),IF(AND(LEFT(x,5)=""Page"&amp;" "",ISERROR(SEARCH(""–"",x))),x&amp;""–""&amp;REGEXEXTRACT(x,""[0-9]+$""),x)),"""")"),"")</f>
        <v/>
      </c>
      <c r="G863" s="163"/>
      <c r="H8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Helper'!$F$5:$F$3004,"""")&lt;&gt;""""),ROWS(H$5:H863)),"""")"),"")</f>
        <v/>
      </c>
    </row>
    <row r="864" ht="15.75" customHeight="1">
      <c r="A8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Helper'!$F$5:$F$3004,"""")&lt;&gt;""""),ROWS(A$5:A864)),"""")"),"")</f>
        <v/>
      </c>
      <c r="B8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Helper'!$F$5:$F$3004,"""")&lt;&gt;""""),ROWS(B$5:B864)),"""")"),"")</f>
        <v/>
      </c>
      <c r="C8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Helper'!$F$5:$F$3004,"""")&lt;&gt;""""),ROWS(C$5:C864)),"""")"),"")</f>
        <v/>
      </c>
      <c r="D8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Helper'!$F$5:$F$3004,"""")&lt;&gt;""""),ROWS(D$5:D864)),"""")"),"")</f>
        <v/>
      </c>
      <c r="E8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Helper'!$F$5:$F$3004,"""")&lt;&gt;""""),ROWS(E$5:E864)),"""")"),"")</f>
        <v/>
      </c>
      <c r="F8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Helper'!$F$5:$F$3004,"""")&lt;&gt;""""),ROWS(F$5:F864)),IF(AND(LEFT(x,5)=""Page"&amp;" "",ISERROR(SEARCH(""–"",x))),x&amp;""–""&amp;REGEXEXTRACT(x,""[0-9]+$""),x)),"""")"),"")</f>
        <v/>
      </c>
      <c r="G864" s="163"/>
      <c r="H8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Helper'!$F$5:$F$3004,"""")&lt;&gt;""""),ROWS(H$5:H864)),"""")"),"")</f>
        <v/>
      </c>
    </row>
    <row r="865" ht="15.75" customHeight="1">
      <c r="A8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Helper'!$F$5:$F$3004,"""")&lt;&gt;""""),ROWS(A$5:A865)),"""")"),"")</f>
        <v/>
      </c>
      <c r="B8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Helper'!$F$5:$F$3004,"""")&lt;&gt;""""),ROWS(B$5:B865)),"""")"),"")</f>
        <v/>
      </c>
      <c r="C8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Helper'!$F$5:$F$3004,"""")&lt;&gt;""""),ROWS(C$5:C865)),"""")"),"")</f>
        <v/>
      </c>
      <c r="D8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Helper'!$F$5:$F$3004,"""")&lt;&gt;""""),ROWS(D$5:D865)),"""")"),"")</f>
        <v/>
      </c>
      <c r="E8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Helper'!$F$5:$F$3004,"""")&lt;&gt;""""),ROWS(E$5:E865)),"""")"),"")</f>
        <v/>
      </c>
      <c r="F8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Helper'!$F$5:$F$3004,"""")&lt;&gt;""""),ROWS(F$5:F865)),IF(AND(LEFT(x,5)=""Page"&amp;" "",ISERROR(SEARCH(""–"",x))),x&amp;""–""&amp;REGEXEXTRACT(x,""[0-9]+$""),x)),"""")"),"")</f>
        <v/>
      </c>
      <c r="G865" s="163"/>
      <c r="H8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Helper'!$F$5:$F$3004,"""")&lt;&gt;""""),ROWS(H$5:H865)),"""")"),"")</f>
        <v/>
      </c>
    </row>
    <row r="866" ht="15.75" customHeight="1">
      <c r="A8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Helper'!$F$5:$F$3004,"""")&lt;&gt;""""),ROWS(A$5:A866)),"""")"),"")</f>
        <v/>
      </c>
      <c r="B8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Helper'!$F$5:$F$3004,"""")&lt;&gt;""""),ROWS(B$5:B866)),"""")"),"")</f>
        <v/>
      </c>
      <c r="C8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Helper'!$F$5:$F$3004,"""")&lt;&gt;""""),ROWS(C$5:C866)),"""")"),"")</f>
        <v/>
      </c>
      <c r="D8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Helper'!$F$5:$F$3004,"""")&lt;&gt;""""),ROWS(D$5:D866)),"""")"),"")</f>
        <v/>
      </c>
      <c r="E8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Helper'!$F$5:$F$3004,"""")&lt;&gt;""""),ROWS(E$5:E866)),"""")"),"")</f>
        <v/>
      </c>
      <c r="F8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Helper'!$F$5:$F$3004,"""")&lt;&gt;""""),ROWS(F$5:F866)),IF(AND(LEFT(x,5)=""Page"&amp;" "",ISERROR(SEARCH(""–"",x))),x&amp;""–""&amp;REGEXEXTRACT(x,""[0-9]+$""),x)),"""")"),"")</f>
        <v/>
      </c>
      <c r="G866" s="163"/>
      <c r="H8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Helper'!$F$5:$F$3004,"""")&lt;&gt;""""),ROWS(H$5:H866)),"""")"),"")</f>
        <v/>
      </c>
    </row>
    <row r="867" ht="15.75" customHeight="1">
      <c r="A8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Helper'!$F$5:$F$3004,"""")&lt;&gt;""""),ROWS(A$5:A867)),"""")"),"")</f>
        <v/>
      </c>
      <c r="B8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Helper'!$F$5:$F$3004,"""")&lt;&gt;""""),ROWS(B$5:B867)),"""")"),"")</f>
        <v/>
      </c>
      <c r="C8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Helper'!$F$5:$F$3004,"""")&lt;&gt;""""),ROWS(C$5:C867)),"""")"),"")</f>
        <v/>
      </c>
      <c r="D8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Helper'!$F$5:$F$3004,"""")&lt;&gt;""""),ROWS(D$5:D867)),"""")"),"")</f>
        <v/>
      </c>
      <c r="E8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Helper'!$F$5:$F$3004,"""")&lt;&gt;""""),ROWS(E$5:E867)),"""")"),"")</f>
        <v/>
      </c>
      <c r="F8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Helper'!$F$5:$F$3004,"""")&lt;&gt;""""),ROWS(F$5:F867)),IF(AND(LEFT(x,5)=""Page"&amp;" "",ISERROR(SEARCH(""–"",x))),x&amp;""–""&amp;REGEXEXTRACT(x,""[0-9]+$""),x)),"""")"),"")</f>
        <v/>
      </c>
      <c r="G867" s="163"/>
      <c r="H8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Helper'!$F$5:$F$3004,"""")&lt;&gt;""""),ROWS(H$5:H867)),"""")"),"")</f>
        <v/>
      </c>
    </row>
    <row r="868" ht="15.75" customHeight="1">
      <c r="A8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Helper'!$F$5:$F$3004,"""")&lt;&gt;""""),ROWS(A$5:A868)),"""")"),"")</f>
        <v/>
      </c>
      <c r="B8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Helper'!$F$5:$F$3004,"""")&lt;&gt;""""),ROWS(B$5:B868)),"""")"),"")</f>
        <v/>
      </c>
      <c r="C8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Helper'!$F$5:$F$3004,"""")&lt;&gt;""""),ROWS(C$5:C868)),"""")"),"")</f>
        <v/>
      </c>
      <c r="D8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Helper'!$F$5:$F$3004,"""")&lt;&gt;""""),ROWS(D$5:D868)),"""")"),"")</f>
        <v/>
      </c>
      <c r="E8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Helper'!$F$5:$F$3004,"""")&lt;&gt;""""),ROWS(E$5:E868)),"""")"),"")</f>
        <v/>
      </c>
      <c r="F8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Helper'!$F$5:$F$3004,"""")&lt;&gt;""""),ROWS(F$5:F868)),IF(AND(LEFT(x,5)=""Page"&amp;" "",ISERROR(SEARCH(""–"",x))),x&amp;""–""&amp;REGEXEXTRACT(x,""[0-9]+$""),x)),"""")"),"")</f>
        <v/>
      </c>
      <c r="G868" s="163"/>
      <c r="H8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Helper'!$F$5:$F$3004,"""")&lt;&gt;""""),ROWS(H$5:H868)),"""")"),"")</f>
        <v/>
      </c>
    </row>
    <row r="869" ht="15.75" customHeight="1">
      <c r="A8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Helper'!$F$5:$F$3004,"""")&lt;&gt;""""),ROWS(A$5:A869)),"""")"),"")</f>
        <v/>
      </c>
      <c r="B8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Helper'!$F$5:$F$3004,"""")&lt;&gt;""""),ROWS(B$5:B869)),"""")"),"")</f>
        <v/>
      </c>
      <c r="C8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Helper'!$F$5:$F$3004,"""")&lt;&gt;""""),ROWS(C$5:C869)),"""")"),"")</f>
        <v/>
      </c>
      <c r="D8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Helper'!$F$5:$F$3004,"""")&lt;&gt;""""),ROWS(D$5:D869)),"""")"),"")</f>
        <v/>
      </c>
      <c r="E8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Helper'!$F$5:$F$3004,"""")&lt;&gt;""""),ROWS(E$5:E869)),"""")"),"")</f>
        <v/>
      </c>
      <c r="F8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Helper'!$F$5:$F$3004,"""")&lt;&gt;""""),ROWS(F$5:F869)),IF(AND(LEFT(x,5)=""Page"&amp;" "",ISERROR(SEARCH(""–"",x))),x&amp;""–""&amp;REGEXEXTRACT(x,""[0-9]+$""),x)),"""")"),"")</f>
        <v/>
      </c>
      <c r="G869" s="163"/>
      <c r="H8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Helper'!$F$5:$F$3004,"""")&lt;&gt;""""),ROWS(H$5:H869)),"""")"),"")</f>
        <v/>
      </c>
    </row>
    <row r="870" ht="15.75" customHeight="1">
      <c r="A8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Helper'!$F$5:$F$3004,"""")&lt;&gt;""""),ROWS(A$5:A870)),"""")"),"")</f>
        <v/>
      </c>
      <c r="B8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Helper'!$F$5:$F$3004,"""")&lt;&gt;""""),ROWS(B$5:B870)),"""")"),"")</f>
        <v/>
      </c>
      <c r="C8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Helper'!$F$5:$F$3004,"""")&lt;&gt;""""),ROWS(C$5:C870)),"""")"),"")</f>
        <v/>
      </c>
      <c r="D8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Helper'!$F$5:$F$3004,"""")&lt;&gt;""""),ROWS(D$5:D870)),"""")"),"")</f>
        <v/>
      </c>
      <c r="E8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Helper'!$F$5:$F$3004,"""")&lt;&gt;""""),ROWS(E$5:E870)),"""")"),"")</f>
        <v/>
      </c>
      <c r="F8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Helper'!$F$5:$F$3004,"""")&lt;&gt;""""),ROWS(F$5:F870)),IF(AND(LEFT(x,5)=""Page"&amp;" "",ISERROR(SEARCH(""–"",x))),x&amp;""–""&amp;REGEXEXTRACT(x,""[0-9]+$""),x)),"""")"),"")</f>
        <v/>
      </c>
      <c r="G870" s="163"/>
      <c r="H8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Helper'!$F$5:$F$3004,"""")&lt;&gt;""""),ROWS(H$5:H870)),"""")"),"")</f>
        <v/>
      </c>
    </row>
    <row r="871" ht="15.75" customHeight="1">
      <c r="A8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Helper'!$F$5:$F$3004,"""")&lt;&gt;""""),ROWS(A$5:A871)),"""")"),"")</f>
        <v/>
      </c>
      <c r="B8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Helper'!$F$5:$F$3004,"""")&lt;&gt;""""),ROWS(B$5:B871)),"""")"),"")</f>
        <v/>
      </c>
      <c r="C8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Helper'!$F$5:$F$3004,"""")&lt;&gt;""""),ROWS(C$5:C871)),"""")"),"")</f>
        <v/>
      </c>
      <c r="D8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Helper'!$F$5:$F$3004,"""")&lt;&gt;""""),ROWS(D$5:D871)),"""")"),"")</f>
        <v/>
      </c>
      <c r="E8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Helper'!$F$5:$F$3004,"""")&lt;&gt;""""),ROWS(E$5:E871)),"""")"),"")</f>
        <v/>
      </c>
      <c r="F8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Helper'!$F$5:$F$3004,"""")&lt;&gt;""""),ROWS(F$5:F871)),IF(AND(LEFT(x,5)=""Page"&amp;" "",ISERROR(SEARCH(""–"",x))),x&amp;""–""&amp;REGEXEXTRACT(x,""[0-9]+$""),x)),"""")"),"")</f>
        <v/>
      </c>
      <c r="G871" s="163"/>
      <c r="H8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Helper'!$F$5:$F$3004,"""")&lt;&gt;""""),ROWS(H$5:H871)),"""")"),"")</f>
        <v/>
      </c>
    </row>
    <row r="872" ht="15.75" customHeight="1">
      <c r="A8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Helper'!$F$5:$F$3004,"""")&lt;&gt;""""),ROWS(A$5:A872)),"""")"),"")</f>
        <v/>
      </c>
      <c r="B8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Helper'!$F$5:$F$3004,"""")&lt;&gt;""""),ROWS(B$5:B872)),"""")"),"")</f>
        <v/>
      </c>
      <c r="C8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Helper'!$F$5:$F$3004,"""")&lt;&gt;""""),ROWS(C$5:C872)),"""")"),"")</f>
        <v/>
      </c>
      <c r="D8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Helper'!$F$5:$F$3004,"""")&lt;&gt;""""),ROWS(D$5:D872)),"""")"),"")</f>
        <v/>
      </c>
      <c r="E8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Helper'!$F$5:$F$3004,"""")&lt;&gt;""""),ROWS(E$5:E872)),"""")"),"")</f>
        <v/>
      </c>
      <c r="F8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Helper'!$F$5:$F$3004,"""")&lt;&gt;""""),ROWS(F$5:F872)),IF(AND(LEFT(x,5)=""Page"&amp;" "",ISERROR(SEARCH(""–"",x))),x&amp;""–""&amp;REGEXEXTRACT(x,""[0-9]+$""),x)),"""")"),"")</f>
        <v/>
      </c>
      <c r="G872" s="163"/>
      <c r="H8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Helper'!$F$5:$F$3004,"""")&lt;&gt;""""),ROWS(H$5:H872)),"""")"),"")</f>
        <v/>
      </c>
    </row>
    <row r="873" ht="15.75" customHeight="1">
      <c r="A8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Helper'!$F$5:$F$3004,"""")&lt;&gt;""""),ROWS(A$5:A873)),"""")"),"")</f>
        <v/>
      </c>
      <c r="B8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Helper'!$F$5:$F$3004,"""")&lt;&gt;""""),ROWS(B$5:B873)),"""")"),"")</f>
        <v/>
      </c>
      <c r="C8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Helper'!$F$5:$F$3004,"""")&lt;&gt;""""),ROWS(C$5:C873)),"""")"),"")</f>
        <v/>
      </c>
      <c r="D8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Helper'!$F$5:$F$3004,"""")&lt;&gt;""""),ROWS(D$5:D873)),"""")"),"")</f>
        <v/>
      </c>
      <c r="E8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Helper'!$F$5:$F$3004,"""")&lt;&gt;""""),ROWS(E$5:E873)),"""")"),"")</f>
        <v/>
      </c>
      <c r="F8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Helper'!$F$5:$F$3004,"""")&lt;&gt;""""),ROWS(F$5:F873)),IF(AND(LEFT(x,5)=""Page"&amp;" "",ISERROR(SEARCH(""–"",x))),x&amp;""–""&amp;REGEXEXTRACT(x,""[0-9]+$""),x)),"""")"),"")</f>
        <v/>
      </c>
      <c r="G873" s="163"/>
      <c r="H8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Helper'!$F$5:$F$3004,"""")&lt;&gt;""""),ROWS(H$5:H873)),"""")"),"")</f>
        <v/>
      </c>
    </row>
    <row r="874" ht="15.75" customHeight="1">
      <c r="A8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Helper'!$F$5:$F$3004,"""")&lt;&gt;""""),ROWS(A$5:A874)),"""")"),"")</f>
        <v/>
      </c>
      <c r="B8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Helper'!$F$5:$F$3004,"""")&lt;&gt;""""),ROWS(B$5:B874)),"""")"),"")</f>
        <v/>
      </c>
      <c r="C8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Helper'!$F$5:$F$3004,"""")&lt;&gt;""""),ROWS(C$5:C874)),"""")"),"")</f>
        <v/>
      </c>
      <c r="D8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Helper'!$F$5:$F$3004,"""")&lt;&gt;""""),ROWS(D$5:D874)),"""")"),"")</f>
        <v/>
      </c>
      <c r="E8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Helper'!$F$5:$F$3004,"""")&lt;&gt;""""),ROWS(E$5:E874)),"""")"),"")</f>
        <v/>
      </c>
      <c r="F8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Helper'!$F$5:$F$3004,"""")&lt;&gt;""""),ROWS(F$5:F874)),IF(AND(LEFT(x,5)=""Page"&amp;" "",ISERROR(SEARCH(""–"",x))),x&amp;""–""&amp;REGEXEXTRACT(x,""[0-9]+$""),x)),"""")"),"")</f>
        <v/>
      </c>
      <c r="G874" s="163"/>
      <c r="H8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Helper'!$F$5:$F$3004,"""")&lt;&gt;""""),ROWS(H$5:H874)),"""")"),"")</f>
        <v/>
      </c>
    </row>
    <row r="875" ht="15.75" customHeight="1">
      <c r="A8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Helper'!$F$5:$F$3004,"""")&lt;&gt;""""),ROWS(A$5:A875)),"""")"),"")</f>
        <v/>
      </c>
      <c r="B8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Helper'!$F$5:$F$3004,"""")&lt;&gt;""""),ROWS(B$5:B875)),"""")"),"")</f>
        <v/>
      </c>
      <c r="C8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Helper'!$F$5:$F$3004,"""")&lt;&gt;""""),ROWS(C$5:C875)),"""")"),"")</f>
        <v/>
      </c>
      <c r="D8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Helper'!$F$5:$F$3004,"""")&lt;&gt;""""),ROWS(D$5:D875)),"""")"),"")</f>
        <v/>
      </c>
      <c r="E8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Helper'!$F$5:$F$3004,"""")&lt;&gt;""""),ROWS(E$5:E875)),"""")"),"")</f>
        <v/>
      </c>
      <c r="F8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Helper'!$F$5:$F$3004,"""")&lt;&gt;""""),ROWS(F$5:F875)),IF(AND(LEFT(x,5)=""Page"&amp;" "",ISERROR(SEARCH(""–"",x))),x&amp;""–""&amp;REGEXEXTRACT(x,""[0-9]+$""),x)),"""")"),"")</f>
        <v/>
      </c>
      <c r="G875" s="163"/>
      <c r="H8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Helper'!$F$5:$F$3004,"""")&lt;&gt;""""),ROWS(H$5:H875)),"""")"),"")</f>
        <v/>
      </c>
    </row>
    <row r="876" ht="15.75" customHeight="1">
      <c r="A8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Helper'!$F$5:$F$3004,"""")&lt;&gt;""""),ROWS(A$5:A876)),"""")"),"")</f>
        <v/>
      </c>
      <c r="B8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Helper'!$F$5:$F$3004,"""")&lt;&gt;""""),ROWS(B$5:B876)),"""")"),"")</f>
        <v/>
      </c>
      <c r="C8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Helper'!$F$5:$F$3004,"""")&lt;&gt;""""),ROWS(C$5:C876)),"""")"),"")</f>
        <v/>
      </c>
      <c r="D8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Helper'!$F$5:$F$3004,"""")&lt;&gt;""""),ROWS(D$5:D876)),"""")"),"")</f>
        <v/>
      </c>
      <c r="E8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Helper'!$F$5:$F$3004,"""")&lt;&gt;""""),ROWS(E$5:E876)),"""")"),"")</f>
        <v/>
      </c>
      <c r="F8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Helper'!$F$5:$F$3004,"""")&lt;&gt;""""),ROWS(F$5:F876)),IF(AND(LEFT(x,5)=""Page"&amp;" "",ISERROR(SEARCH(""–"",x))),x&amp;""–""&amp;REGEXEXTRACT(x,""[0-9]+$""),x)),"""")"),"")</f>
        <v/>
      </c>
      <c r="G876" s="163"/>
      <c r="H8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Helper'!$F$5:$F$3004,"""")&lt;&gt;""""),ROWS(H$5:H876)),"""")"),"")</f>
        <v/>
      </c>
    </row>
    <row r="877" ht="15.75" customHeight="1">
      <c r="A8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Helper'!$F$5:$F$3004,"""")&lt;&gt;""""),ROWS(A$5:A877)),"""")"),"")</f>
        <v/>
      </c>
      <c r="B8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Helper'!$F$5:$F$3004,"""")&lt;&gt;""""),ROWS(B$5:B877)),"""")"),"")</f>
        <v/>
      </c>
      <c r="C8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Helper'!$F$5:$F$3004,"""")&lt;&gt;""""),ROWS(C$5:C877)),"""")"),"")</f>
        <v/>
      </c>
      <c r="D8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Helper'!$F$5:$F$3004,"""")&lt;&gt;""""),ROWS(D$5:D877)),"""")"),"")</f>
        <v/>
      </c>
      <c r="E8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Helper'!$F$5:$F$3004,"""")&lt;&gt;""""),ROWS(E$5:E877)),"""")"),"")</f>
        <v/>
      </c>
      <c r="F8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Helper'!$F$5:$F$3004,"""")&lt;&gt;""""),ROWS(F$5:F877)),IF(AND(LEFT(x,5)=""Page"&amp;" "",ISERROR(SEARCH(""–"",x))),x&amp;""–""&amp;REGEXEXTRACT(x,""[0-9]+$""),x)),"""")"),"")</f>
        <v/>
      </c>
      <c r="G877" s="163"/>
      <c r="H8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Helper'!$F$5:$F$3004,"""")&lt;&gt;""""),ROWS(H$5:H877)),"""")"),"")</f>
        <v/>
      </c>
    </row>
    <row r="878" ht="15.75" customHeight="1">
      <c r="A8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Helper'!$F$5:$F$3004,"""")&lt;&gt;""""),ROWS(A$5:A878)),"""")"),"")</f>
        <v/>
      </c>
      <c r="B8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Helper'!$F$5:$F$3004,"""")&lt;&gt;""""),ROWS(B$5:B878)),"""")"),"")</f>
        <v/>
      </c>
      <c r="C8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Helper'!$F$5:$F$3004,"""")&lt;&gt;""""),ROWS(C$5:C878)),"""")"),"")</f>
        <v/>
      </c>
      <c r="D8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Helper'!$F$5:$F$3004,"""")&lt;&gt;""""),ROWS(D$5:D878)),"""")"),"")</f>
        <v/>
      </c>
      <c r="E8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Helper'!$F$5:$F$3004,"""")&lt;&gt;""""),ROWS(E$5:E878)),"""")"),"")</f>
        <v/>
      </c>
      <c r="F8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Helper'!$F$5:$F$3004,"""")&lt;&gt;""""),ROWS(F$5:F878)),IF(AND(LEFT(x,5)=""Page"&amp;" "",ISERROR(SEARCH(""–"",x))),x&amp;""–""&amp;REGEXEXTRACT(x,""[0-9]+$""),x)),"""")"),"")</f>
        <v/>
      </c>
      <c r="G878" s="163"/>
      <c r="H8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Helper'!$F$5:$F$3004,"""")&lt;&gt;""""),ROWS(H$5:H878)),"""")"),"")</f>
        <v/>
      </c>
    </row>
    <row r="879" ht="15.75" customHeight="1">
      <c r="A8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Helper'!$F$5:$F$3004,"""")&lt;&gt;""""),ROWS(A$5:A879)),"""")"),"")</f>
        <v/>
      </c>
      <c r="B8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Helper'!$F$5:$F$3004,"""")&lt;&gt;""""),ROWS(B$5:B879)),"""")"),"")</f>
        <v/>
      </c>
      <c r="C8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Helper'!$F$5:$F$3004,"""")&lt;&gt;""""),ROWS(C$5:C879)),"""")"),"")</f>
        <v/>
      </c>
      <c r="D8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Helper'!$F$5:$F$3004,"""")&lt;&gt;""""),ROWS(D$5:D879)),"""")"),"")</f>
        <v/>
      </c>
      <c r="E8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Helper'!$F$5:$F$3004,"""")&lt;&gt;""""),ROWS(E$5:E879)),"""")"),"")</f>
        <v/>
      </c>
      <c r="F8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Helper'!$F$5:$F$3004,"""")&lt;&gt;""""),ROWS(F$5:F879)),IF(AND(LEFT(x,5)=""Page"&amp;" "",ISERROR(SEARCH(""–"",x))),x&amp;""–""&amp;REGEXEXTRACT(x,""[0-9]+$""),x)),"""")"),"")</f>
        <v/>
      </c>
      <c r="G879" s="163"/>
      <c r="H8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Helper'!$F$5:$F$3004,"""")&lt;&gt;""""),ROWS(H$5:H879)),"""")"),"")</f>
        <v/>
      </c>
    </row>
    <row r="880" ht="15.75" customHeight="1">
      <c r="A8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Helper'!$F$5:$F$3004,"""")&lt;&gt;""""),ROWS(A$5:A880)),"""")"),"")</f>
        <v/>
      </c>
      <c r="B8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Helper'!$F$5:$F$3004,"""")&lt;&gt;""""),ROWS(B$5:B880)),"""")"),"")</f>
        <v/>
      </c>
      <c r="C8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Helper'!$F$5:$F$3004,"""")&lt;&gt;""""),ROWS(C$5:C880)),"""")"),"")</f>
        <v/>
      </c>
      <c r="D8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Helper'!$F$5:$F$3004,"""")&lt;&gt;""""),ROWS(D$5:D880)),"""")"),"")</f>
        <v/>
      </c>
      <c r="E8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Helper'!$F$5:$F$3004,"""")&lt;&gt;""""),ROWS(E$5:E880)),"""")"),"")</f>
        <v/>
      </c>
      <c r="F8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Helper'!$F$5:$F$3004,"""")&lt;&gt;""""),ROWS(F$5:F880)),IF(AND(LEFT(x,5)=""Page"&amp;" "",ISERROR(SEARCH(""–"",x))),x&amp;""–""&amp;REGEXEXTRACT(x,""[0-9]+$""),x)),"""")"),"")</f>
        <v/>
      </c>
      <c r="G880" s="163"/>
      <c r="H8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Helper'!$F$5:$F$3004,"""")&lt;&gt;""""),ROWS(H$5:H880)),"""")"),"")</f>
        <v/>
      </c>
    </row>
    <row r="881" ht="15.75" customHeight="1">
      <c r="A8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Helper'!$F$5:$F$3004,"""")&lt;&gt;""""),ROWS(A$5:A881)),"""")"),"")</f>
        <v/>
      </c>
      <c r="B8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Helper'!$F$5:$F$3004,"""")&lt;&gt;""""),ROWS(B$5:B881)),"""")"),"")</f>
        <v/>
      </c>
      <c r="C8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Helper'!$F$5:$F$3004,"""")&lt;&gt;""""),ROWS(C$5:C881)),"""")"),"")</f>
        <v/>
      </c>
      <c r="D8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Helper'!$F$5:$F$3004,"""")&lt;&gt;""""),ROWS(D$5:D881)),"""")"),"")</f>
        <v/>
      </c>
      <c r="E8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Helper'!$F$5:$F$3004,"""")&lt;&gt;""""),ROWS(E$5:E881)),"""")"),"")</f>
        <v/>
      </c>
      <c r="F8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Helper'!$F$5:$F$3004,"""")&lt;&gt;""""),ROWS(F$5:F881)),IF(AND(LEFT(x,5)=""Page"&amp;" "",ISERROR(SEARCH(""–"",x))),x&amp;""–""&amp;REGEXEXTRACT(x,""[0-9]+$""),x)),"""")"),"")</f>
        <v/>
      </c>
      <c r="G881" s="163"/>
      <c r="H8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Helper'!$F$5:$F$3004,"""")&lt;&gt;""""),ROWS(H$5:H881)),"""")"),"")</f>
        <v/>
      </c>
    </row>
    <row r="882" ht="15.75" customHeight="1">
      <c r="A8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Helper'!$F$5:$F$3004,"""")&lt;&gt;""""),ROWS(A$5:A882)),"""")"),"")</f>
        <v/>
      </c>
      <c r="B8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Helper'!$F$5:$F$3004,"""")&lt;&gt;""""),ROWS(B$5:B882)),"""")"),"")</f>
        <v/>
      </c>
      <c r="C8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Helper'!$F$5:$F$3004,"""")&lt;&gt;""""),ROWS(C$5:C882)),"""")"),"")</f>
        <v/>
      </c>
      <c r="D8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Helper'!$F$5:$F$3004,"""")&lt;&gt;""""),ROWS(D$5:D882)),"""")"),"")</f>
        <v/>
      </c>
      <c r="E8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Helper'!$F$5:$F$3004,"""")&lt;&gt;""""),ROWS(E$5:E882)),"""")"),"")</f>
        <v/>
      </c>
      <c r="F8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Helper'!$F$5:$F$3004,"""")&lt;&gt;""""),ROWS(F$5:F882)),IF(AND(LEFT(x,5)=""Page"&amp;" "",ISERROR(SEARCH(""–"",x))),x&amp;""–""&amp;REGEXEXTRACT(x,""[0-9]+$""),x)),"""")"),"")</f>
        <v/>
      </c>
      <c r="G882" s="163"/>
      <c r="H8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Helper'!$F$5:$F$3004,"""")&lt;&gt;""""),ROWS(H$5:H882)),"""")"),"")</f>
        <v/>
      </c>
    </row>
    <row r="883" ht="15.75" customHeight="1">
      <c r="A8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Helper'!$F$5:$F$3004,"""")&lt;&gt;""""),ROWS(A$5:A883)),"""")"),"")</f>
        <v/>
      </c>
      <c r="B8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Helper'!$F$5:$F$3004,"""")&lt;&gt;""""),ROWS(B$5:B883)),"""")"),"")</f>
        <v/>
      </c>
      <c r="C8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Helper'!$F$5:$F$3004,"""")&lt;&gt;""""),ROWS(C$5:C883)),"""")"),"")</f>
        <v/>
      </c>
      <c r="D8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Helper'!$F$5:$F$3004,"""")&lt;&gt;""""),ROWS(D$5:D883)),"""")"),"")</f>
        <v/>
      </c>
      <c r="E8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Helper'!$F$5:$F$3004,"""")&lt;&gt;""""),ROWS(E$5:E883)),"""")"),"")</f>
        <v/>
      </c>
      <c r="F8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Helper'!$F$5:$F$3004,"""")&lt;&gt;""""),ROWS(F$5:F883)),IF(AND(LEFT(x,5)=""Page"&amp;" "",ISERROR(SEARCH(""–"",x))),x&amp;""–""&amp;REGEXEXTRACT(x,""[0-9]+$""),x)),"""")"),"")</f>
        <v/>
      </c>
      <c r="G883" s="163"/>
      <c r="H8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Helper'!$F$5:$F$3004,"""")&lt;&gt;""""),ROWS(H$5:H883)),"""")"),"")</f>
        <v/>
      </c>
    </row>
    <row r="884" ht="15.75" customHeight="1">
      <c r="A8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Helper'!$F$5:$F$3004,"""")&lt;&gt;""""),ROWS(A$5:A884)),"""")"),"")</f>
        <v/>
      </c>
      <c r="B8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Helper'!$F$5:$F$3004,"""")&lt;&gt;""""),ROWS(B$5:B884)),"""")"),"")</f>
        <v/>
      </c>
      <c r="C8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Helper'!$F$5:$F$3004,"""")&lt;&gt;""""),ROWS(C$5:C884)),"""")"),"")</f>
        <v/>
      </c>
      <c r="D8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Helper'!$F$5:$F$3004,"""")&lt;&gt;""""),ROWS(D$5:D884)),"""")"),"")</f>
        <v/>
      </c>
      <c r="E8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Helper'!$F$5:$F$3004,"""")&lt;&gt;""""),ROWS(E$5:E884)),"""")"),"")</f>
        <v/>
      </c>
      <c r="F8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Helper'!$F$5:$F$3004,"""")&lt;&gt;""""),ROWS(F$5:F884)),IF(AND(LEFT(x,5)=""Page"&amp;" "",ISERROR(SEARCH(""–"",x))),x&amp;""–""&amp;REGEXEXTRACT(x,""[0-9]+$""),x)),"""")"),"")</f>
        <v/>
      </c>
      <c r="G884" s="163"/>
      <c r="H8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Helper'!$F$5:$F$3004,"""")&lt;&gt;""""),ROWS(H$5:H884)),"""")"),"")</f>
        <v/>
      </c>
    </row>
    <row r="885" ht="15.75" customHeight="1">
      <c r="A8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Helper'!$F$5:$F$3004,"""")&lt;&gt;""""),ROWS(A$5:A885)),"""")"),"")</f>
        <v/>
      </c>
      <c r="B8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Helper'!$F$5:$F$3004,"""")&lt;&gt;""""),ROWS(B$5:B885)),"""")"),"")</f>
        <v/>
      </c>
      <c r="C8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Helper'!$F$5:$F$3004,"""")&lt;&gt;""""),ROWS(C$5:C885)),"""")"),"")</f>
        <v/>
      </c>
      <c r="D8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Helper'!$F$5:$F$3004,"""")&lt;&gt;""""),ROWS(D$5:D885)),"""")"),"")</f>
        <v/>
      </c>
      <c r="E8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Helper'!$F$5:$F$3004,"""")&lt;&gt;""""),ROWS(E$5:E885)),"""")"),"")</f>
        <v/>
      </c>
      <c r="F8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Helper'!$F$5:$F$3004,"""")&lt;&gt;""""),ROWS(F$5:F885)),IF(AND(LEFT(x,5)=""Page"&amp;" "",ISERROR(SEARCH(""–"",x))),x&amp;""–""&amp;REGEXEXTRACT(x,""[0-9]+$""),x)),"""")"),"")</f>
        <v/>
      </c>
      <c r="G885" s="163"/>
      <c r="H8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Helper'!$F$5:$F$3004,"""")&lt;&gt;""""),ROWS(H$5:H885)),"""")"),"")</f>
        <v/>
      </c>
    </row>
    <row r="886" ht="15.75" customHeight="1">
      <c r="A8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Helper'!$F$5:$F$3004,"""")&lt;&gt;""""),ROWS(A$5:A886)),"""")"),"")</f>
        <v/>
      </c>
      <c r="B8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Helper'!$F$5:$F$3004,"""")&lt;&gt;""""),ROWS(B$5:B886)),"""")"),"")</f>
        <v/>
      </c>
      <c r="C8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Helper'!$F$5:$F$3004,"""")&lt;&gt;""""),ROWS(C$5:C886)),"""")"),"")</f>
        <v/>
      </c>
      <c r="D8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Helper'!$F$5:$F$3004,"""")&lt;&gt;""""),ROWS(D$5:D886)),"""")"),"")</f>
        <v/>
      </c>
      <c r="E8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Helper'!$F$5:$F$3004,"""")&lt;&gt;""""),ROWS(E$5:E886)),"""")"),"")</f>
        <v/>
      </c>
      <c r="F8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Helper'!$F$5:$F$3004,"""")&lt;&gt;""""),ROWS(F$5:F886)),IF(AND(LEFT(x,5)=""Page"&amp;" "",ISERROR(SEARCH(""–"",x))),x&amp;""–""&amp;REGEXEXTRACT(x,""[0-9]+$""),x)),"""")"),"")</f>
        <v/>
      </c>
      <c r="G886" s="163"/>
      <c r="H8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Helper'!$F$5:$F$3004,"""")&lt;&gt;""""),ROWS(H$5:H886)),"""")"),"")</f>
        <v/>
      </c>
    </row>
    <row r="887" ht="15.75" customHeight="1">
      <c r="A8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Helper'!$F$5:$F$3004,"""")&lt;&gt;""""),ROWS(A$5:A887)),"""")"),"")</f>
        <v/>
      </c>
      <c r="B8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Helper'!$F$5:$F$3004,"""")&lt;&gt;""""),ROWS(B$5:B887)),"""")"),"")</f>
        <v/>
      </c>
      <c r="C8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Helper'!$F$5:$F$3004,"""")&lt;&gt;""""),ROWS(C$5:C887)),"""")"),"")</f>
        <v/>
      </c>
      <c r="D8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Helper'!$F$5:$F$3004,"""")&lt;&gt;""""),ROWS(D$5:D887)),"""")"),"")</f>
        <v/>
      </c>
      <c r="E8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Helper'!$F$5:$F$3004,"""")&lt;&gt;""""),ROWS(E$5:E887)),"""")"),"")</f>
        <v/>
      </c>
      <c r="F8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Helper'!$F$5:$F$3004,"""")&lt;&gt;""""),ROWS(F$5:F887)),IF(AND(LEFT(x,5)=""Page"&amp;" "",ISERROR(SEARCH(""–"",x))),x&amp;""–""&amp;REGEXEXTRACT(x,""[0-9]+$""),x)),"""")"),"")</f>
        <v/>
      </c>
      <c r="G887" s="163"/>
      <c r="H8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Helper'!$F$5:$F$3004,"""")&lt;&gt;""""),ROWS(H$5:H887)),"""")"),"")</f>
        <v/>
      </c>
    </row>
    <row r="888" ht="15.75" customHeight="1">
      <c r="A8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Helper'!$F$5:$F$3004,"""")&lt;&gt;""""),ROWS(A$5:A888)),"""")"),"")</f>
        <v/>
      </c>
      <c r="B8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Helper'!$F$5:$F$3004,"""")&lt;&gt;""""),ROWS(B$5:B888)),"""")"),"")</f>
        <v/>
      </c>
      <c r="C8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Helper'!$F$5:$F$3004,"""")&lt;&gt;""""),ROWS(C$5:C888)),"""")"),"")</f>
        <v/>
      </c>
      <c r="D8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Helper'!$F$5:$F$3004,"""")&lt;&gt;""""),ROWS(D$5:D888)),"""")"),"")</f>
        <v/>
      </c>
      <c r="E8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Helper'!$F$5:$F$3004,"""")&lt;&gt;""""),ROWS(E$5:E888)),"""")"),"")</f>
        <v/>
      </c>
      <c r="F8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Helper'!$F$5:$F$3004,"""")&lt;&gt;""""),ROWS(F$5:F888)),IF(AND(LEFT(x,5)=""Page"&amp;" "",ISERROR(SEARCH(""–"",x))),x&amp;""–""&amp;REGEXEXTRACT(x,""[0-9]+$""),x)),"""")"),"")</f>
        <v/>
      </c>
      <c r="G888" s="163"/>
      <c r="H8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Helper'!$F$5:$F$3004,"""")&lt;&gt;""""),ROWS(H$5:H888)),"""")"),"")</f>
        <v/>
      </c>
    </row>
    <row r="889" ht="15.75" customHeight="1">
      <c r="A8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Helper'!$F$5:$F$3004,"""")&lt;&gt;""""),ROWS(A$5:A889)),"""")"),"")</f>
        <v/>
      </c>
      <c r="B8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Helper'!$F$5:$F$3004,"""")&lt;&gt;""""),ROWS(B$5:B889)),"""")"),"")</f>
        <v/>
      </c>
      <c r="C8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Helper'!$F$5:$F$3004,"""")&lt;&gt;""""),ROWS(C$5:C889)),"""")"),"")</f>
        <v/>
      </c>
      <c r="D8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Helper'!$F$5:$F$3004,"""")&lt;&gt;""""),ROWS(D$5:D889)),"""")"),"")</f>
        <v/>
      </c>
      <c r="E8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Helper'!$F$5:$F$3004,"""")&lt;&gt;""""),ROWS(E$5:E889)),"""")"),"")</f>
        <v/>
      </c>
      <c r="F8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Helper'!$F$5:$F$3004,"""")&lt;&gt;""""),ROWS(F$5:F889)),IF(AND(LEFT(x,5)=""Page"&amp;" "",ISERROR(SEARCH(""–"",x))),x&amp;""–""&amp;REGEXEXTRACT(x,""[0-9]+$""),x)),"""")"),"")</f>
        <v/>
      </c>
      <c r="G889" s="163"/>
      <c r="H8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Helper'!$F$5:$F$3004,"""")&lt;&gt;""""),ROWS(H$5:H889)),"""")"),"")</f>
        <v/>
      </c>
    </row>
    <row r="890" ht="15.75" customHeight="1">
      <c r="A8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Helper'!$F$5:$F$3004,"""")&lt;&gt;""""),ROWS(A$5:A890)),"""")"),"")</f>
        <v/>
      </c>
      <c r="B8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Helper'!$F$5:$F$3004,"""")&lt;&gt;""""),ROWS(B$5:B890)),"""")"),"")</f>
        <v/>
      </c>
      <c r="C8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Helper'!$F$5:$F$3004,"""")&lt;&gt;""""),ROWS(C$5:C890)),"""")"),"")</f>
        <v/>
      </c>
      <c r="D8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Helper'!$F$5:$F$3004,"""")&lt;&gt;""""),ROWS(D$5:D890)),"""")"),"")</f>
        <v/>
      </c>
      <c r="E8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Helper'!$F$5:$F$3004,"""")&lt;&gt;""""),ROWS(E$5:E890)),"""")"),"")</f>
        <v/>
      </c>
      <c r="F8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Helper'!$F$5:$F$3004,"""")&lt;&gt;""""),ROWS(F$5:F890)),IF(AND(LEFT(x,5)=""Page"&amp;" "",ISERROR(SEARCH(""–"",x))),x&amp;""–""&amp;REGEXEXTRACT(x,""[0-9]+$""),x)),"""")"),"")</f>
        <v/>
      </c>
      <c r="G890" s="163"/>
      <c r="H8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Helper'!$F$5:$F$3004,"""")&lt;&gt;""""),ROWS(H$5:H890)),"""")"),"")</f>
        <v/>
      </c>
    </row>
    <row r="891" ht="15.75" customHeight="1">
      <c r="A8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Helper'!$F$5:$F$3004,"""")&lt;&gt;""""),ROWS(A$5:A891)),"""")"),"")</f>
        <v/>
      </c>
      <c r="B8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Helper'!$F$5:$F$3004,"""")&lt;&gt;""""),ROWS(B$5:B891)),"""")"),"")</f>
        <v/>
      </c>
      <c r="C8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Helper'!$F$5:$F$3004,"""")&lt;&gt;""""),ROWS(C$5:C891)),"""")"),"")</f>
        <v/>
      </c>
      <c r="D8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Helper'!$F$5:$F$3004,"""")&lt;&gt;""""),ROWS(D$5:D891)),"""")"),"")</f>
        <v/>
      </c>
      <c r="E8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Helper'!$F$5:$F$3004,"""")&lt;&gt;""""),ROWS(E$5:E891)),"""")"),"")</f>
        <v/>
      </c>
      <c r="F8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Helper'!$F$5:$F$3004,"""")&lt;&gt;""""),ROWS(F$5:F891)),IF(AND(LEFT(x,5)=""Page"&amp;" "",ISERROR(SEARCH(""–"",x))),x&amp;""–""&amp;REGEXEXTRACT(x,""[0-9]+$""),x)),"""")"),"")</f>
        <v/>
      </c>
      <c r="G891" s="163"/>
      <c r="H8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Helper'!$F$5:$F$3004,"""")&lt;&gt;""""),ROWS(H$5:H891)),"""")"),"")</f>
        <v/>
      </c>
    </row>
    <row r="892" ht="15.75" customHeight="1">
      <c r="A8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Helper'!$F$5:$F$3004,"""")&lt;&gt;""""),ROWS(A$5:A892)),"""")"),"")</f>
        <v/>
      </c>
      <c r="B8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Helper'!$F$5:$F$3004,"""")&lt;&gt;""""),ROWS(B$5:B892)),"""")"),"")</f>
        <v/>
      </c>
      <c r="C8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Helper'!$F$5:$F$3004,"""")&lt;&gt;""""),ROWS(C$5:C892)),"""")"),"")</f>
        <v/>
      </c>
      <c r="D8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Helper'!$F$5:$F$3004,"""")&lt;&gt;""""),ROWS(D$5:D892)),"""")"),"")</f>
        <v/>
      </c>
      <c r="E8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Helper'!$F$5:$F$3004,"""")&lt;&gt;""""),ROWS(E$5:E892)),"""")"),"")</f>
        <v/>
      </c>
      <c r="F8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Helper'!$F$5:$F$3004,"""")&lt;&gt;""""),ROWS(F$5:F892)),IF(AND(LEFT(x,5)=""Page"&amp;" "",ISERROR(SEARCH(""–"",x))),x&amp;""–""&amp;REGEXEXTRACT(x,""[0-9]+$""),x)),"""")"),"")</f>
        <v/>
      </c>
      <c r="G892" s="163"/>
      <c r="H8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Helper'!$F$5:$F$3004,"""")&lt;&gt;""""),ROWS(H$5:H892)),"""")"),"")</f>
        <v/>
      </c>
    </row>
    <row r="893" ht="15.75" customHeight="1">
      <c r="A8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Helper'!$F$5:$F$3004,"""")&lt;&gt;""""),ROWS(A$5:A893)),"""")"),"")</f>
        <v/>
      </c>
      <c r="B8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Helper'!$F$5:$F$3004,"""")&lt;&gt;""""),ROWS(B$5:B893)),"""")"),"")</f>
        <v/>
      </c>
      <c r="C8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Helper'!$F$5:$F$3004,"""")&lt;&gt;""""),ROWS(C$5:C893)),"""")"),"")</f>
        <v/>
      </c>
      <c r="D8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Helper'!$F$5:$F$3004,"""")&lt;&gt;""""),ROWS(D$5:D893)),"""")"),"")</f>
        <v/>
      </c>
      <c r="E8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Helper'!$F$5:$F$3004,"""")&lt;&gt;""""),ROWS(E$5:E893)),"""")"),"")</f>
        <v/>
      </c>
      <c r="F8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Helper'!$F$5:$F$3004,"""")&lt;&gt;""""),ROWS(F$5:F893)),IF(AND(LEFT(x,5)=""Page"&amp;" "",ISERROR(SEARCH(""–"",x))),x&amp;""–""&amp;REGEXEXTRACT(x,""[0-9]+$""),x)),"""")"),"")</f>
        <v/>
      </c>
      <c r="G893" s="163"/>
      <c r="H8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Helper'!$F$5:$F$3004,"""")&lt;&gt;""""),ROWS(H$5:H893)),"""")"),"")</f>
        <v/>
      </c>
    </row>
    <row r="894" ht="15.75" customHeight="1">
      <c r="A8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Helper'!$F$5:$F$3004,"""")&lt;&gt;""""),ROWS(A$5:A894)),"""")"),"")</f>
        <v/>
      </c>
      <c r="B8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Helper'!$F$5:$F$3004,"""")&lt;&gt;""""),ROWS(B$5:B894)),"""")"),"")</f>
        <v/>
      </c>
      <c r="C8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Helper'!$F$5:$F$3004,"""")&lt;&gt;""""),ROWS(C$5:C894)),"""")"),"")</f>
        <v/>
      </c>
      <c r="D8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Helper'!$F$5:$F$3004,"""")&lt;&gt;""""),ROWS(D$5:D894)),"""")"),"")</f>
        <v/>
      </c>
      <c r="E8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Helper'!$F$5:$F$3004,"""")&lt;&gt;""""),ROWS(E$5:E894)),"""")"),"")</f>
        <v/>
      </c>
      <c r="F8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Helper'!$F$5:$F$3004,"""")&lt;&gt;""""),ROWS(F$5:F894)),IF(AND(LEFT(x,5)=""Page"&amp;" "",ISERROR(SEARCH(""–"",x))),x&amp;""–""&amp;REGEXEXTRACT(x,""[0-9]+$""),x)),"""")"),"")</f>
        <v/>
      </c>
      <c r="G894" s="163"/>
      <c r="H8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Helper'!$F$5:$F$3004,"""")&lt;&gt;""""),ROWS(H$5:H894)),"""")"),"")</f>
        <v/>
      </c>
    </row>
    <row r="895" ht="15.75" customHeight="1">
      <c r="A8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Helper'!$F$5:$F$3004,"""")&lt;&gt;""""),ROWS(A$5:A895)),"""")"),"")</f>
        <v/>
      </c>
      <c r="B8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Helper'!$F$5:$F$3004,"""")&lt;&gt;""""),ROWS(B$5:B895)),"""")"),"")</f>
        <v/>
      </c>
      <c r="C8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Helper'!$F$5:$F$3004,"""")&lt;&gt;""""),ROWS(C$5:C895)),"""")"),"")</f>
        <v/>
      </c>
      <c r="D8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Helper'!$F$5:$F$3004,"""")&lt;&gt;""""),ROWS(D$5:D895)),"""")"),"")</f>
        <v/>
      </c>
      <c r="E8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Helper'!$F$5:$F$3004,"""")&lt;&gt;""""),ROWS(E$5:E895)),"""")"),"")</f>
        <v/>
      </c>
      <c r="F8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Helper'!$F$5:$F$3004,"""")&lt;&gt;""""),ROWS(F$5:F895)),IF(AND(LEFT(x,5)=""Page"&amp;" "",ISERROR(SEARCH(""–"",x))),x&amp;""–""&amp;REGEXEXTRACT(x,""[0-9]+$""),x)),"""")"),"")</f>
        <v/>
      </c>
      <c r="G895" s="163"/>
      <c r="H8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Helper'!$F$5:$F$3004,"""")&lt;&gt;""""),ROWS(H$5:H895)),"""")"),"")</f>
        <v/>
      </c>
    </row>
    <row r="896" ht="15.75" customHeight="1">
      <c r="A8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Helper'!$F$5:$F$3004,"""")&lt;&gt;""""),ROWS(A$5:A896)),"""")"),"")</f>
        <v/>
      </c>
      <c r="B8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Helper'!$F$5:$F$3004,"""")&lt;&gt;""""),ROWS(B$5:B896)),"""")"),"")</f>
        <v/>
      </c>
      <c r="C8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Helper'!$F$5:$F$3004,"""")&lt;&gt;""""),ROWS(C$5:C896)),"""")"),"")</f>
        <v/>
      </c>
      <c r="D8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Helper'!$F$5:$F$3004,"""")&lt;&gt;""""),ROWS(D$5:D896)),"""")"),"")</f>
        <v/>
      </c>
      <c r="E8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Helper'!$F$5:$F$3004,"""")&lt;&gt;""""),ROWS(E$5:E896)),"""")"),"")</f>
        <v/>
      </c>
      <c r="F8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Helper'!$F$5:$F$3004,"""")&lt;&gt;""""),ROWS(F$5:F896)),IF(AND(LEFT(x,5)=""Page"&amp;" "",ISERROR(SEARCH(""–"",x))),x&amp;""–""&amp;REGEXEXTRACT(x,""[0-9]+$""),x)),"""")"),"")</f>
        <v/>
      </c>
      <c r="G896" s="163"/>
      <c r="H8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Helper'!$F$5:$F$3004,"""")&lt;&gt;""""),ROWS(H$5:H896)),"""")"),"")</f>
        <v/>
      </c>
    </row>
    <row r="897" ht="15.75" customHeight="1">
      <c r="A8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Helper'!$F$5:$F$3004,"""")&lt;&gt;""""),ROWS(A$5:A897)),"""")"),"")</f>
        <v/>
      </c>
      <c r="B8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Helper'!$F$5:$F$3004,"""")&lt;&gt;""""),ROWS(B$5:B897)),"""")"),"")</f>
        <v/>
      </c>
      <c r="C8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Helper'!$F$5:$F$3004,"""")&lt;&gt;""""),ROWS(C$5:C897)),"""")"),"")</f>
        <v/>
      </c>
      <c r="D8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Helper'!$F$5:$F$3004,"""")&lt;&gt;""""),ROWS(D$5:D897)),"""")"),"")</f>
        <v/>
      </c>
      <c r="E8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Helper'!$F$5:$F$3004,"""")&lt;&gt;""""),ROWS(E$5:E897)),"""")"),"")</f>
        <v/>
      </c>
      <c r="F8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Helper'!$F$5:$F$3004,"""")&lt;&gt;""""),ROWS(F$5:F897)),IF(AND(LEFT(x,5)=""Page"&amp;" "",ISERROR(SEARCH(""–"",x))),x&amp;""–""&amp;REGEXEXTRACT(x,""[0-9]+$""),x)),"""")"),"")</f>
        <v/>
      </c>
      <c r="G897" s="163"/>
      <c r="H8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Helper'!$F$5:$F$3004,"""")&lt;&gt;""""),ROWS(H$5:H897)),"""")"),"")</f>
        <v/>
      </c>
    </row>
    <row r="898" ht="15.75" customHeight="1">
      <c r="A8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Helper'!$F$5:$F$3004,"""")&lt;&gt;""""),ROWS(A$5:A898)),"""")"),"")</f>
        <v/>
      </c>
      <c r="B8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Helper'!$F$5:$F$3004,"""")&lt;&gt;""""),ROWS(B$5:B898)),"""")"),"")</f>
        <v/>
      </c>
      <c r="C8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Helper'!$F$5:$F$3004,"""")&lt;&gt;""""),ROWS(C$5:C898)),"""")"),"")</f>
        <v/>
      </c>
      <c r="D8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Helper'!$F$5:$F$3004,"""")&lt;&gt;""""),ROWS(D$5:D898)),"""")"),"")</f>
        <v/>
      </c>
      <c r="E8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Helper'!$F$5:$F$3004,"""")&lt;&gt;""""),ROWS(E$5:E898)),"""")"),"")</f>
        <v/>
      </c>
      <c r="F8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Helper'!$F$5:$F$3004,"""")&lt;&gt;""""),ROWS(F$5:F898)),IF(AND(LEFT(x,5)=""Page"&amp;" "",ISERROR(SEARCH(""–"",x))),x&amp;""–""&amp;REGEXEXTRACT(x,""[0-9]+$""),x)),"""")"),"")</f>
        <v/>
      </c>
      <c r="G898" s="163"/>
      <c r="H8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Helper'!$F$5:$F$3004,"""")&lt;&gt;""""),ROWS(H$5:H898)),"""")"),"")</f>
        <v/>
      </c>
    </row>
    <row r="899" ht="15.75" customHeight="1">
      <c r="A8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Helper'!$F$5:$F$3004,"""")&lt;&gt;""""),ROWS(A$5:A899)),"""")"),"")</f>
        <v/>
      </c>
      <c r="B8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Helper'!$F$5:$F$3004,"""")&lt;&gt;""""),ROWS(B$5:B899)),"""")"),"")</f>
        <v/>
      </c>
      <c r="C8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Helper'!$F$5:$F$3004,"""")&lt;&gt;""""),ROWS(C$5:C899)),"""")"),"")</f>
        <v/>
      </c>
      <c r="D8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Helper'!$F$5:$F$3004,"""")&lt;&gt;""""),ROWS(D$5:D899)),"""")"),"")</f>
        <v/>
      </c>
      <c r="E8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Helper'!$F$5:$F$3004,"""")&lt;&gt;""""),ROWS(E$5:E899)),"""")"),"")</f>
        <v/>
      </c>
      <c r="F8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Helper'!$F$5:$F$3004,"""")&lt;&gt;""""),ROWS(F$5:F899)),IF(AND(LEFT(x,5)=""Page"&amp;" "",ISERROR(SEARCH(""–"",x))),x&amp;""–""&amp;REGEXEXTRACT(x,""[0-9]+$""),x)),"""")"),"")</f>
        <v/>
      </c>
      <c r="G899" s="163"/>
      <c r="H8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Helper'!$F$5:$F$3004,"""")&lt;&gt;""""),ROWS(H$5:H899)),"""")"),"")</f>
        <v/>
      </c>
    </row>
    <row r="900" ht="15.75" customHeight="1">
      <c r="A9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Helper'!$F$5:$F$3004,"""")&lt;&gt;""""),ROWS(A$5:A900)),"""")"),"")</f>
        <v/>
      </c>
      <c r="B9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Helper'!$F$5:$F$3004,"""")&lt;&gt;""""),ROWS(B$5:B900)),"""")"),"")</f>
        <v/>
      </c>
      <c r="C9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Helper'!$F$5:$F$3004,"""")&lt;&gt;""""),ROWS(C$5:C900)),"""")"),"")</f>
        <v/>
      </c>
      <c r="D9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Helper'!$F$5:$F$3004,"""")&lt;&gt;""""),ROWS(D$5:D900)),"""")"),"")</f>
        <v/>
      </c>
      <c r="E9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Helper'!$F$5:$F$3004,"""")&lt;&gt;""""),ROWS(E$5:E900)),"""")"),"")</f>
        <v/>
      </c>
      <c r="F9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Helper'!$F$5:$F$3004,"""")&lt;&gt;""""),ROWS(F$5:F900)),IF(AND(LEFT(x,5)=""Page"&amp;" "",ISERROR(SEARCH(""–"",x))),x&amp;""–""&amp;REGEXEXTRACT(x,""[0-9]+$""),x)),"""")"),"")</f>
        <v/>
      </c>
      <c r="G900" s="163"/>
      <c r="H9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Helper'!$F$5:$F$3004,"""")&lt;&gt;""""),ROWS(H$5:H900)),"""")"),"")</f>
        <v/>
      </c>
    </row>
    <row r="901" ht="15.75" customHeight="1">
      <c r="A9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Helper'!$F$5:$F$3004,"""")&lt;&gt;""""),ROWS(A$5:A901)),"""")"),"")</f>
        <v/>
      </c>
      <c r="B9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Helper'!$F$5:$F$3004,"""")&lt;&gt;""""),ROWS(B$5:B901)),"""")"),"")</f>
        <v/>
      </c>
      <c r="C9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Helper'!$F$5:$F$3004,"""")&lt;&gt;""""),ROWS(C$5:C901)),"""")"),"")</f>
        <v/>
      </c>
      <c r="D9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Helper'!$F$5:$F$3004,"""")&lt;&gt;""""),ROWS(D$5:D901)),"""")"),"")</f>
        <v/>
      </c>
      <c r="E9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Helper'!$F$5:$F$3004,"""")&lt;&gt;""""),ROWS(E$5:E901)),"""")"),"")</f>
        <v/>
      </c>
      <c r="F9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Helper'!$F$5:$F$3004,"""")&lt;&gt;""""),ROWS(F$5:F901)),IF(AND(LEFT(x,5)=""Page"&amp;" "",ISERROR(SEARCH(""–"",x))),x&amp;""–""&amp;REGEXEXTRACT(x,""[0-9]+$""),x)),"""")"),"")</f>
        <v/>
      </c>
      <c r="G901" s="163"/>
      <c r="H9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Helper'!$F$5:$F$3004,"""")&lt;&gt;""""),ROWS(H$5:H901)),"""")"),"")</f>
        <v/>
      </c>
    </row>
    <row r="902" ht="15.75" customHeight="1">
      <c r="A9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Helper'!$F$5:$F$3004,"""")&lt;&gt;""""),ROWS(A$5:A902)),"""")"),"")</f>
        <v/>
      </c>
      <c r="B9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Helper'!$F$5:$F$3004,"""")&lt;&gt;""""),ROWS(B$5:B902)),"""")"),"")</f>
        <v/>
      </c>
      <c r="C9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Helper'!$F$5:$F$3004,"""")&lt;&gt;""""),ROWS(C$5:C902)),"""")"),"")</f>
        <v/>
      </c>
      <c r="D9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Helper'!$F$5:$F$3004,"""")&lt;&gt;""""),ROWS(D$5:D902)),"""")"),"")</f>
        <v/>
      </c>
      <c r="E9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Helper'!$F$5:$F$3004,"""")&lt;&gt;""""),ROWS(E$5:E902)),"""")"),"")</f>
        <v/>
      </c>
      <c r="F9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Helper'!$F$5:$F$3004,"""")&lt;&gt;""""),ROWS(F$5:F902)),IF(AND(LEFT(x,5)=""Page"&amp;" "",ISERROR(SEARCH(""–"",x))),x&amp;""–""&amp;REGEXEXTRACT(x,""[0-9]+$""),x)),"""")"),"")</f>
        <v/>
      </c>
      <c r="G902" s="163"/>
      <c r="H9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Helper'!$F$5:$F$3004,"""")&lt;&gt;""""),ROWS(H$5:H902)),"""")"),"")</f>
        <v/>
      </c>
    </row>
    <row r="903" ht="15.75" customHeight="1">
      <c r="A9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Helper'!$F$5:$F$3004,"""")&lt;&gt;""""),ROWS(A$5:A903)),"""")"),"")</f>
        <v/>
      </c>
      <c r="B9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Helper'!$F$5:$F$3004,"""")&lt;&gt;""""),ROWS(B$5:B903)),"""")"),"")</f>
        <v/>
      </c>
      <c r="C9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Helper'!$F$5:$F$3004,"""")&lt;&gt;""""),ROWS(C$5:C903)),"""")"),"")</f>
        <v/>
      </c>
      <c r="D9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Helper'!$F$5:$F$3004,"""")&lt;&gt;""""),ROWS(D$5:D903)),"""")"),"")</f>
        <v/>
      </c>
      <c r="E9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Helper'!$F$5:$F$3004,"""")&lt;&gt;""""),ROWS(E$5:E903)),"""")"),"")</f>
        <v/>
      </c>
      <c r="F9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Helper'!$F$5:$F$3004,"""")&lt;&gt;""""),ROWS(F$5:F903)),IF(AND(LEFT(x,5)=""Page"&amp;" "",ISERROR(SEARCH(""–"",x))),x&amp;""–""&amp;REGEXEXTRACT(x,""[0-9]+$""),x)),"""")"),"")</f>
        <v/>
      </c>
      <c r="G903" s="163"/>
      <c r="H9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Helper'!$F$5:$F$3004,"""")&lt;&gt;""""),ROWS(H$5:H903)),"""")"),"")</f>
        <v/>
      </c>
    </row>
    <row r="904" ht="15.75" customHeight="1">
      <c r="A9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Helper'!$F$5:$F$3004,"""")&lt;&gt;""""),ROWS(A$5:A904)),"""")"),"")</f>
        <v/>
      </c>
      <c r="B9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Helper'!$F$5:$F$3004,"""")&lt;&gt;""""),ROWS(B$5:B904)),"""")"),"")</f>
        <v/>
      </c>
      <c r="C9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Helper'!$F$5:$F$3004,"""")&lt;&gt;""""),ROWS(C$5:C904)),"""")"),"")</f>
        <v/>
      </c>
      <c r="D9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Helper'!$F$5:$F$3004,"""")&lt;&gt;""""),ROWS(D$5:D904)),"""")"),"")</f>
        <v/>
      </c>
      <c r="E9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Helper'!$F$5:$F$3004,"""")&lt;&gt;""""),ROWS(E$5:E904)),"""")"),"")</f>
        <v/>
      </c>
      <c r="F9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Helper'!$F$5:$F$3004,"""")&lt;&gt;""""),ROWS(F$5:F904)),IF(AND(LEFT(x,5)=""Page"&amp;" "",ISERROR(SEARCH(""–"",x))),x&amp;""–""&amp;REGEXEXTRACT(x,""[0-9]+$""),x)),"""")"),"")</f>
        <v/>
      </c>
      <c r="G904" s="163"/>
      <c r="H9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Helper'!$F$5:$F$3004,"""")&lt;&gt;""""),ROWS(H$5:H904)),"""")"),"")</f>
        <v/>
      </c>
    </row>
    <row r="905" ht="15.75" customHeight="1">
      <c r="A9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Helper'!$F$5:$F$3004,"""")&lt;&gt;""""),ROWS(A$5:A905)),"""")"),"")</f>
        <v/>
      </c>
      <c r="B9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Helper'!$F$5:$F$3004,"""")&lt;&gt;""""),ROWS(B$5:B905)),"""")"),"")</f>
        <v/>
      </c>
      <c r="C9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Helper'!$F$5:$F$3004,"""")&lt;&gt;""""),ROWS(C$5:C905)),"""")"),"")</f>
        <v/>
      </c>
      <c r="D9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Helper'!$F$5:$F$3004,"""")&lt;&gt;""""),ROWS(D$5:D905)),"""")"),"")</f>
        <v/>
      </c>
      <c r="E9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Helper'!$F$5:$F$3004,"""")&lt;&gt;""""),ROWS(E$5:E905)),"""")"),"")</f>
        <v/>
      </c>
      <c r="F9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Helper'!$F$5:$F$3004,"""")&lt;&gt;""""),ROWS(F$5:F905)),IF(AND(LEFT(x,5)=""Page"&amp;" "",ISERROR(SEARCH(""–"",x))),x&amp;""–""&amp;REGEXEXTRACT(x,""[0-9]+$""),x)),"""")"),"")</f>
        <v/>
      </c>
      <c r="G905" s="163"/>
      <c r="H9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Helper'!$F$5:$F$3004,"""")&lt;&gt;""""),ROWS(H$5:H905)),"""")"),"")</f>
        <v/>
      </c>
    </row>
    <row r="906" ht="15.75" customHeight="1">
      <c r="A9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Helper'!$F$5:$F$3004,"""")&lt;&gt;""""),ROWS(A$5:A906)),"""")"),"")</f>
        <v/>
      </c>
      <c r="B9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Helper'!$F$5:$F$3004,"""")&lt;&gt;""""),ROWS(B$5:B906)),"""")"),"")</f>
        <v/>
      </c>
      <c r="C9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Helper'!$F$5:$F$3004,"""")&lt;&gt;""""),ROWS(C$5:C906)),"""")"),"")</f>
        <v/>
      </c>
      <c r="D9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Helper'!$F$5:$F$3004,"""")&lt;&gt;""""),ROWS(D$5:D906)),"""")"),"")</f>
        <v/>
      </c>
      <c r="E9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Helper'!$F$5:$F$3004,"""")&lt;&gt;""""),ROWS(E$5:E906)),"""")"),"")</f>
        <v/>
      </c>
      <c r="F9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Helper'!$F$5:$F$3004,"""")&lt;&gt;""""),ROWS(F$5:F906)),IF(AND(LEFT(x,5)=""Page"&amp;" "",ISERROR(SEARCH(""–"",x))),x&amp;""–""&amp;REGEXEXTRACT(x,""[0-9]+$""),x)),"""")"),"")</f>
        <v/>
      </c>
      <c r="G906" s="163"/>
      <c r="H9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Helper'!$F$5:$F$3004,"""")&lt;&gt;""""),ROWS(H$5:H906)),"""")"),"")</f>
        <v/>
      </c>
    </row>
    <row r="907" ht="15.75" customHeight="1">
      <c r="A9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Helper'!$F$5:$F$3004,"""")&lt;&gt;""""),ROWS(A$5:A907)),"""")"),"")</f>
        <v/>
      </c>
      <c r="B9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Helper'!$F$5:$F$3004,"""")&lt;&gt;""""),ROWS(B$5:B907)),"""")"),"")</f>
        <v/>
      </c>
      <c r="C9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Helper'!$F$5:$F$3004,"""")&lt;&gt;""""),ROWS(C$5:C907)),"""")"),"")</f>
        <v/>
      </c>
      <c r="D9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Helper'!$F$5:$F$3004,"""")&lt;&gt;""""),ROWS(D$5:D907)),"""")"),"")</f>
        <v/>
      </c>
      <c r="E9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Helper'!$F$5:$F$3004,"""")&lt;&gt;""""),ROWS(E$5:E907)),"""")"),"")</f>
        <v/>
      </c>
      <c r="F9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Helper'!$F$5:$F$3004,"""")&lt;&gt;""""),ROWS(F$5:F907)),IF(AND(LEFT(x,5)=""Page"&amp;" "",ISERROR(SEARCH(""–"",x))),x&amp;""–""&amp;REGEXEXTRACT(x,""[0-9]+$""),x)),"""")"),"")</f>
        <v/>
      </c>
      <c r="G907" s="163"/>
      <c r="H9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Helper'!$F$5:$F$3004,"""")&lt;&gt;""""),ROWS(H$5:H907)),"""")"),"")</f>
        <v/>
      </c>
    </row>
    <row r="908" ht="15.75" customHeight="1">
      <c r="A9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Helper'!$F$5:$F$3004,"""")&lt;&gt;""""),ROWS(A$5:A908)),"""")"),"")</f>
        <v/>
      </c>
      <c r="B9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Helper'!$F$5:$F$3004,"""")&lt;&gt;""""),ROWS(B$5:B908)),"""")"),"")</f>
        <v/>
      </c>
      <c r="C9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Helper'!$F$5:$F$3004,"""")&lt;&gt;""""),ROWS(C$5:C908)),"""")"),"")</f>
        <v/>
      </c>
      <c r="D9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Helper'!$F$5:$F$3004,"""")&lt;&gt;""""),ROWS(D$5:D908)),"""")"),"")</f>
        <v/>
      </c>
      <c r="E9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Helper'!$F$5:$F$3004,"""")&lt;&gt;""""),ROWS(E$5:E908)),"""")"),"")</f>
        <v/>
      </c>
      <c r="F9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Helper'!$F$5:$F$3004,"""")&lt;&gt;""""),ROWS(F$5:F908)),IF(AND(LEFT(x,5)=""Page"&amp;" "",ISERROR(SEARCH(""–"",x))),x&amp;""–""&amp;REGEXEXTRACT(x,""[0-9]+$""),x)),"""")"),"")</f>
        <v/>
      </c>
      <c r="G908" s="163"/>
      <c r="H9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Helper'!$F$5:$F$3004,"""")&lt;&gt;""""),ROWS(H$5:H908)),"""")"),"")</f>
        <v/>
      </c>
    </row>
    <row r="909" ht="15.75" customHeight="1">
      <c r="A9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Helper'!$F$5:$F$3004,"""")&lt;&gt;""""),ROWS(A$5:A909)),"""")"),"")</f>
        <v/>
      </c>
      <c r="B9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Helper'!$F$5:$F$3004,"""")&lt;&gt;""""),ROWS(B$5:B909)),"""")"),"")</f>
        <v/>
      </c>
      <c r="C9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Helper'!$F$5:$F$3004,"""")&lt;&gt;""""),ROWS(C$5:C909)),"""")"),"")</f>
        <v/>
      </c>
      <c r="D9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Helper'!$F$5:$F$3004,"""")&lt;&gt;""""),ROWS(D$5:D909)),"""")"),"")</f>
        <v/>
      </c>
      <c r="E9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Helper'!$F$5:$F$3004,"""")&lt;&gt;""""),ROWS(E$5:E909)),"""")"),"")</f>
        <v/>
      </c>
      <c r="F9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Helper'!$F$5:$F$3004,"""")&lt;&gt;""""),ROWS(F$5:F909)),IF(AND(LEFT(x,5)=""Page"&amp;" "",ISERROR(SEARCH(""–"",x))),x&amp;""–""&amp;REGEXEXTRACT(x,""[0-9]+$""),x)),"""")"),"")</f>
        <v/>
      </c>
      <c r="G909" s="163"/>
      <c r="H9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Helper'!$F$5:$F$3004,"""")&lt;&gt;""""),ROWS(H$5:H909)),"""")"),"")</f>
        <v/>
      </c>
    </row>
    <row r="910" ht="15.75" customHeight="1">
      <c r="A9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Helper'!$F$5:$F$3004,"""")&lt;&gt;""""),ROWS(A$5:A910)),"""")"),"")</f>
        <v/>
      </c>
      <c r="B9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Helper'!$F$5:$F$3004,"""")&lt;&gt;""""),ROWS(B$5:B910)),"""")"),"")</f>
        <v/>
      </c>
      <c r="C9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Helper'!$F$5:$F$3004,"""")&lt;&gt;""""),ROWS(C$5:C910)),"""")"),"")</f>
        <v/>
      </c>
      <c r="D9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Helper'!$F$5:$F$3004,"""")&lt;&gt;""""),ROWS(D$5:D910)),"""")"),"")</f>
        <v/>
      </c>
      <c r="E9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Helper'!$F$5:$F$3004,"""")&lt;&gt;""""),ROWS(E$5:E910)),"""")"),"")</f>
        <v/>
      </c>
      <c r="F9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Helper'!$F$5:$F$3004,"""")&lt;&gt;""""),ROWS(F$5:F910)),IF(AND(LEFT(x,5)=""Page"&amp;" "",ISERROR(SEARCH(""–"",x))),x&amp;""–""&amp;REGEXEXTRACT(x,""[0-9]+$""),x)),"""")"),"")</f>
        <v/>
      </c>
      <c r="G910" s="163"/>
      <c r="H9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Helper'!$F$5:$F$3004,"""")&lt;&gt;""""),ROWS(H$5:H910)),"""")"),"")</f>
        <v/>
      </c>
    </row>
    <row r="911" ht="15.75" customHeight="1">
      <c r="A9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Helper'!$F$5:$F$3004,"""")&lt;&gt;""""),ROWS(A$5:A911)),"""")"),"")</f>
        <v/>
      </c>
      <c r="B9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Helper'!$F$5:$F$3004,"""")&lt;&gt;""""),ROWS(B$5:B911)),"""")"),"")</f>
        <v/>
      </c>
      <c r="C9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Helper'!$F$5:$F$3004,"""")&lt;&gt;""""),ROWS(C$5:C911)),"""")"),"")</f>
        <v/>
      </c>
      <c r="D9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Helper'!$F$5:$F$3004,"""")&lt;&gt;""""),ROWS(D$5:D911)),"""")"),"")</f>
        <v/>
      </c>
      <c r="E9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Helper'!$F$5:$F$3004,"""")&lt;&gt;""""),ROWS(E$5:E911)),"""")"),"")</f>
        <v/>
      </c>
      <c r="F9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Helper'!$F$5:$F$3004,"""")&lt;&gt;""""),ROWS(F$5:F911)),IF(AND(LEFT(x,5)=""Page"&amp;" "",ISERROR(SEARCH(""–"",x))),x&amp;""–""&amp;REGEXEXTRACT(x,""[0-9]+$""),x)),"""")"),"")</f>
        <v/>
      </c>
      <c r="G911" s="163"/>
      <c r="H9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Helper'!$F$5:$F$3004,"""")&lt;&gt;""""),ROWS(H$5:H911)),"""")"),"")</f>
        <v/>
      </c>
    </row>
    <row r="912" ht="15.75" customHeight="1">
      <c r="A9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Helper'!$F$5:$F$3004,"""")&lt;&gt;""""),ROWS(A$5:A912)),"""")"),"")</f>
        <v/>
      </c>
      <c r="B9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Helper'!$F$5:$F$3004,"""")&lt;&gt;""""),ROWS(B$5:B912)),"""")"),"")</f>
        <v/>
      </c>
      <c r="C9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Helper'!$F$5:$F$3004,"""")&lt;&gt;""""),ROWS(C$5:C912)),"""")"),"")</f>
        <v/>
      </c>
      <c r="D9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Helper'!$F$5:$F$3004,"""")&lt;&gt;""""),ROWS(D$5:D912)),"""")"),"")</f>
        <v/>
      </c>
      <c r="E9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Helper'!$F$5:$F$3004,"""")&lt;&gt;""""),ROWS(E$5:E912)),"""")"),"")</f>
        <v/>
      </c>
      <c r="F9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Helper'!$F$5:$F$3004,"""")&lt;&gt;""""),ROWS(F$5:F912)),IF(AND(LEFT(x,5)=""Page"&amp;" "",ISERROR(SEARCH(""–"",x))),x&amp;""–""&amp;REGEXEXTRACT(x,""[0-9]+$""),x)),"""")"),"")</f>
        <v/>
      </c>
      <c r="G912" s="163"/>
      <c r="H9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Helper'!$F$5:$F$3004,"""")&lt;&gt;""""),ROWS(H$5:H912)),"""")"),"")</f>
        <v/>
      </c>
    </row>
    <row r="913" ht="15.75" customHeight="1">
      <c r="A9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Helper'!$F$5:$F$3004,"""")&lt;&gt;""""),ROWS(A$5:A913)),"""")"),"")</f>
        <v/>
      </c>
      <c r="B9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Helper'!$F$5:$F$3004,"""")&lt;&gt;""""),ROWS(B$5:B913)),"""")"),"")</f>
        <v/>
      </c>
      <c r="C9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Helper'!$F$5:$F$3004,"""")&lt;&gt;""""),ROWS(C$5:C913)),"""")"),"")</f>
        <v/>
      </c>
      <c r="D9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Helper'!$F$5:$F$3004,"""")&lt;&gt;""""),ROWS(D$5:D913)),"""")"),"")</f>
        <v/>
      </c>
      <c r="E9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Helper'!$F$5:$F$3004,"""")&lt;&gt;""""),ROWS(E$5:E913)),"""")"),"")</f>
        <v/>
      </c>
      <c r="F9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Helper'!$F$5:$F$3004,"""")&lt;&gt;""""),ROWS(F$5:F913)),IF(AND(LEFT(x,5)=""Page"&amp;" "",ISERROR(SEARCH(""–"",x))),x&amp;""–""&amp;REGEXEXTRACT(x,""[0-9]+$""),x)),"""")"),"")</f>
        <v/>
      </c>
      <c r="G913" s="163"/>
      <c r="H9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Helper'!$F$5:$F$3004,"""")&lt;&gt;""""),ROWS(H$5:H913)),"""")"),"")</f>
        <v/>
      </c>
    </row>
    <row r="914" ht="15.75" customHeight="1">
      <c r="A9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Helper'!$F$5:$F$3004,"""")&lt;&gt;""""),ROWS(A$5:A914)),"""")"),"")</f>
        <v/>
      </c>
      <c r="B9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Helper'!$F$5:$F$3004,"""")&lt;&gt;""""),ROWS(B$5:B914)),"""")"),"")</f>
        <v/>
      </c>
      <c r="C9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Helper'!$F$5:$F$3004,"""")&lt;&gt;""""),ROWS(C$5:C914)),"""")"),"")</f>
        <v/>
      </c>
      <c r="D9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Helper'!$F$5:$F$3004,"""")&lt;&gt;""""),ROWS(D$5:D914)),"""")"),"")</f>
        <v/>
      </c>
      <c r="E9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Helper'!$F$5:$F$3004,"""")&lt;&gt;""""),ROWS(E$5:E914)),"""")"),"")</f>
        <v/>
      </c>
      <c r="F9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Helper'!$F$5:$F$3004,"""")&lt;&gt;""""),ROWS(F$5:F914)),IF(AND(LEFT(x,5)=""Page"&amp;" "",ISERROR(SEARCH(""–"",x))),x&amp;""–""&amp;REGEXEXTRACT(x,""[0-9]+$""),x)),"""")"),"")</f>
        <v/>
      </c>
      <c r="G914" s="163"/>
      <c r="H9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Helper'!$F$5:$F$3004,"""")&lt;&gt;""""),ROWS(H$5:H914)),"""")"),"")</f>
        <v/>
      </c>
    </row>
    <row r="915" ht="15.75" customHeight="1">
      <c r="A9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Helper'!$F$5:$F$3004,"""")&lt;&gt;""""),ROWS(A$5:A915)),"""")"),"")</f>
        <v/>
      </c>
      <c r="B9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Helper'!$F$5:$F$3004,"""")&lt;&gt;""""),ROWS(B$5:B915)),"""")"),"")</f>
        <v/>
      </c>
      <c r="C9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Helper'!$F$5:$F$3004,"""")&lt;&gt;""""),ROWS(C$5:C915)),"""")"),"")</f>
        <v/>
      </c>
      <c r="D9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Helper'!$F$5:$F$3004,"""")&lt;&gt;""""),ROWS(D$5:D915)),"""")"),"")</f>
        <v/>
      </c>
      <c r="E9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Helper'!$F$5:$F$3004,"""")&lt;&gt;""""),ROWS(E$5:E915)),"""")"),"")</f>
        <v/>
      </c>
      <c r="F9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Helper'!$F$5:$F$3004,"""")&lt;&gt;""""),ROWS(F$5:F915)),IF(AND(LEFT(x,5)=""Page"&amp;" "",ISERROR(SEARCH(""–"",x))),x&amp;""–""&amp;REGEXEXTRACT(x,""[0-9]+$""),x)),"""")"),"")</f>
        <v/>
      </c>
      <c r="G915" s="163"/>
      <c r="H9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Helper'!$F$5:$F$3004,"""")&lt;&gt;""""),ROWS(H$5:H915)),"""")"),"")</f>
        <v/>
      </c>
    </row>
    <row r="916" ht="15.75" customHeight="1">
      <c r="A9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Helper'!$F$5:$F$3004,"""")&lt;&gt;""""),ROWS(A$5:A916)),"""")"),"")</f>
        <v/>
      </c>
      <c r="B9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Helper'!$F$5:$F$3004,"""")&lt;&gt;""""),ROWS(B$5:B916)),"""")"),"")</f>
        <v/>
      </c>
      <c r="C9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Helper'!$F$5:$F$3004,"""")&lt;&gt;""""),ROWS(C$5:C916)),"""")"),"")</f>
        <v/>
      </c>
      <c r="D9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Helper'!$F$5:$F$3004,"""")&lt;&gt;""""),ROWS(D$5:D916)),"""")"),"")</f>
        <v/>
      </c>
      <c r="E9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Helper'!$F$5:$F$3004,"""")&lt;&gt;""""),ROWS(E$5:E916)),"""")"),"")</f>
        <v/>
      </c>
      <c r="F9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Helper'!$F$5:$F$3004,"""")&lt;&gt;""""),ROWS(F$5:F916)),IF(AND(LEFT(x,5)=""Page"&amp;" "",ISERROR(SEARCH(""–"",x))),x&amp;""–""&amp;REGEXEXTRACT(x,""[0-9]+$""),x)),"""")"),"")</f>
        <v/>
      </c>
      <c r="G916" s="163"/>
      <c r="H9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Helper'!$F$5:$F$3004,"""")&lt;&gt;""""),ROWS(H$5:H916)),"""")"),"")</f>
        <v/>
      </c>
    </row>
    <row r="917" ht="15.75" customHeight="1">
      <c r="A9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Helper'!$F$5:$F$3004,"""")&lt;&gt;""""),ROWS(A$5:A917)),"""")"),"")</f>
        <v/>
      </c>
      <c r="B9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Helper'!$F$5:$F$3004,"""")&lt;&gt;""""),ROWS(B$5:B917)),"""")"),"")</f>
        <v/>
      </c>
      <c r="C9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Helper'!$F$5:$F$3004,"""")&lt;&gt;""""),ROWS(C$5:C917)),"""")"),"")</f>
        <v/>
      </c>
      <c r="D9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Helper'!$F$5:$F$3004,"""")&lt;&gt;""""),ROWS(D$5:D917)),"""")"),"")</f>
        <v/>
      </c>
      <c r="E9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Helper'!$F$5:$F$3004,"""")&lt;&gt;""""),ROWS(E$5:E917)),"""")"),"")</f>
        <v/>
      </c>
      <c r="F9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Helper'!$F$5:$F$3004,"""")&lt;&gt;""""),ROWS(F$5:F917)),IF(AND(LEFT(x,5)=""Page"&amp;" "",ISERROR(SEARCH(""–"",x))),x&amp;""–""&amp;REGEXEXTRACT(x,""[0-9]+$""),x)),"""")"),"")</f>
        <v/>
      </c>
      <c r="G917" s="163"/>
      <c r="H9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Helper'!$F$5:$F$3004,"""")&lt;&gt;""""),ROWS(H$5:H917)),"""")"),"")</f>
        <v/>
      </c>
    </row>
    <row r="918" ht="15.75" customHeight="1">
      <c r="A9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Helper'!$F$5:$F$3004,"""")&lt;&gt;""""),ROWS(A$5:A918)),"""")"),"")</f>
        <v/>
      </c>
      <c r="B9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Helper'!$F$5:$F$3004,"""")&lt;&gt;""""),ROWS(B$5:B918)),"""")"),"")</f>
        <v/>
      </c>
      <c r="C9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Helper'!$F$5:$F$3004,"""")&lt;&gt;""""),ROWS(C$5:C918)),"""")"),"")</f>
        <v/>
      </c>
      <c r="D9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Helper'!$F$5:$F$3004,"""")&lt;&gt;""""),ROWS(D$5:D918)),"""")"),"")</f>
        <v/>
      </c>
      <c r="E9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Helper'!$F$5:$F$3004,"""")&lt;&gt;""""),ROWS(E$5:E918)),"""")"),"")</f>
        <v/>
      </c>
      <c r="F9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Helper'!$F$5:$F$3004,"""")&lt;&gt;""""),ROWS(F$5:F918)),IF(AND(LEFT(x,5)=""Page"&amp;" "",ISERROR(SEARCH(""–"",x))),x&amp;""–""&amp;REGEXEXTRACT(x,""[0-9]+$""),x)),"""")"),"")</f>
        <v/>
      </c>
      <c r="G918" s="163"/>
      <c r="H9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Helper'!$F$5:$F$3004,"""")&lt;&gt;""""),ROWS(H$5:H918)),"""")"),"")</f>
        <v/>
      </c>
    </row>
    <row r="919" ht="15.75" customHeight="1">
      <c r="A9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Helper'!$F$5:$F$3004,"""")&lt;&gt;""""),ROWS(A$5:A919)),"""")"),"")</f>
        <v/>
      </c>
      <c r="B9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Helper'!$F$5:$F$3004,"""")&lt;&gt;""""),ROWS(B$5:B919)),"""")"),"")</f>
        <v/>
      </c>
      <c r="C9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Helper'!$F$5:$F$3004,"""")&lt;&gt;""""),ROWS(C$5:C919)),"""")"),"")</f>
        <v/>
      </c>
      <c r="D9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Helper'!$F$5:$F$3004,"""")&lt;&gt;""""),ROWS(D$5:D919)),"""")"),"")</f>
        <v/>
      </c>
      <c r="E9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Helper'!$F$5:$F$3004,"""")&lt;&gt;""""),ROWS(E$5:E919)),"""")"),"")</f>
        <v/>
      </c>
      <c r="F9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Helper'!$F$5:$F$3004,"""")&lt;&gt;""""),ROWS(F$5:F919)),IF(AND(LEFT(x,5)=""Page"&amp;" "",ISERROR(SEARCH(""–"",x))),x&amp;""–""&amp;REGEXEXTRACT(x,""[0-9]+$""),x)),"""")"),"")</f>
        <v/>
      </c>
      <c r="G919" s="163"/>
      <c r="H9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Helper'!$F$5:$F$3004,"""")&lt;&gt;""""),ROWS(H$5:H919)),"""")"),"")</f>
        <v/>
      </c>
    </row>
    <row r="920" ht="15.75" customHeight="1">
      <c r="A9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Helper'!$F$5:$F$3004,"""")&lt;&gt;""""),ROWS(A$5:A920)),"""")"),"")</f>
        <v/>
      </c>
      <c r="B9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Helper'!$F$5:$F$3004,"""")&lt;&gt;""""),ROWS(B$5:B920)),"""")"),"")</f>
        <v/>
      </c>
      <c r="C9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Helper'!$F$5:$F$3004,"""")&lt;&gt;""""),ROWS(C$5:C920)),"""")"),"")</f>
        <v/>
      </c>
      <c r="D9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Helper'!$F$5:$F$3004,"""")&lt;&gt;""""),ROWS(D$5:D920)),"""")"),"")</f>
        <v/>
      </c>
      <c r="E9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Helper'!$F$5:$F$3004,"""")&lt;&gt;""""),ROWS(E$5:E920)),"""")"),"")</f>
        <v/>
      </c>
      <c r="F9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Helper'!$F$5:$F$3004,"""")&lt;&gt;""""),ROWS(F$5:F920)),IF(AND(LEFT(x,5)=""Page"&amp;" "",ISERROR(SEARCH(""–"",x))),x&amp;""–""&amp;REGEXEXTRACT(x,""[0-9]+$""),x)),"""")"),"")</f>
        <v/>
      </c>
      <c r="G920" s="163"/>
      <c r="H9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Helper'!$F$5:$F$3004,"""")&lt;&gt;""""),ROWS(H$5:H920)),"""")"),"")</f>
        <v/>
      </c>
    </row>
    <row r="921" ht="15.75" customHeight="1">
      <c r="A9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Helper'!$F$5:$F$3004,"""")&lt;&gt;""""),ROWS(A$5:A921)),"""")"),"")</f>
        <v/>
      </c>
      <c r="B9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Helper'!$F$5:$F$3004,"""")&lt;&gt;""""),ROWS(B$5:B921)),"""")"),"")</f>
        <v/>
      </c>
      <c r="C9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Helper'!$F$5:$F$3004,"""")&lt;&gt;""""),ROWS(C$5:C921)),"""")"),"")</f>
        <v/>
      </c>
      <c r="D9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Helper'!$F$5:$F$3004,"""")&lt;&gt;""""),ROWS(D$5:D921)),"""")"),"")</f>
        <v/>
      </c>
      <c r="E9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Helper'!$F$5:$F$3004,"""")&lt;&gt;""""),ROWS(E$5:E921)),"""")"),"")</f>
        <v/>
      </c>
      <c r="F9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Helper'!$F$5:$F$3004,"""")&lt;&gt;""""),ROWS(F$5:F921)),IF(AND(LEFT(x,5)=""Page"&amp;" "",ISERROR(SEARCH(""–"",x))),x&amp;""–""&amp;REGEXEXTRACT(x,""[0-9]+$""),x)),"""")"),"")</f>
        <v/>
      </c>
      <c r="G921" s="163"/>
      <c r="H9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Helper'!$F$5:$F$3004,"""")&lt;&gt;""""),ROWS(H$5:H921)),"""")"),"")</f>
        <v/>
      </c>
    </row>
    <row r="922" ht="15.75" customHeight="1">
      <c r="A9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Helper'!$F$5:$F$3004,"""")&lt;&gt;""""),ROWS(A$5:A922)),"""")"),"")</f>
        <v/>
      </c>
      <c r="B9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Helper'!$F$5:$F$3004,"""")&lt;&gt;""""),ROWS(B$5:B922)),"""")"),"")</f>
        <v/>
      </c>
      <c r="C9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Helper'!$F$5:$F$3004,"""")&lt;&gt;""""),ROWS(C$5:C922)),"""")"),"")</f>
        <v/>
      </c>
      <c r="D9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Helper'!$F$5:$F$3004,"""")&lt;&gt;""""),ROWS(D$5:D922)),"""")"),"")</f>
        <v/>
      </c>
      <c r="E9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Helper'!$F$5:$F$3004,"""")&lt;&gt;""""),ROWS(E$5:E922)),"""")"),"")</f>
        <v/>
      </c>
      <c r="F9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Helper'!$F$5:$F$3004,"""")&lt;&gt;""""),ROWS(F$5:F922)),IF(AND(LEFT(x,5)=""Page"&amp;" "",ISERROR(SEARCH(""–"",x))),x&amp;""–""&amp;REGEXEXTRACT(x,""[0-9]+$""),x)),"""")"),"")</f>
        <v/>
      </c>
      <c r="G922" s="163"/>
      <c r="H9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Helper'!$F$5:$F$3004,"""")&lt;&gt;""""),ROWS(H$5:H922)),"""")"),"")</f>
        <v/>
      </c>
    </row>
    <row r="923" ht="15.75" customHeight="1">
      <c r="A9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Helper'!$F$5:$F$3004,"""")&lt;&gt;""""),ROWS(A$5:A923)),"""")"),"")</f>
        <v/>
      </c>
      <c r="B9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Helper'!$F$5:$F$3004,"""")&lt;&gt;""""),ROWS(B$5:B923)),"""")"),"")</f>
        <v/>
      </c>
      <c r="C9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Helper'!$F$5:$F$3004,"""")&lt;&gt;""""),ROWS(C$5:C923)),"""")"),"")</f>
        <v/>
      </c>
      <c r="D9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Helper'!$F$5:$F$3004,"""")&lt;&gt;""""),ROWS(D$5:D923)),"""")"),"")</f>
        <v/>
      </c>
      <c r="E9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Helper'!$F$5:$F$3004,"""")&lt;&gt;""""),ROWS(E$5:E923)),"""")"),"")</f>
        <v/>
      </c>
      <c r="F9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Helper'!$F$5:$F$3004,"""")&lt;&gt;""""),ROWS(F$5:F923)),IF(AND(LEFT(x,5)=""Page"&amp;" "",ISERROR(SEARCH(""–"",x))),x&amp;""–""&amp;REGEXEXTRACT(x,""[0-9]+$""),x)),"""")"),"")</f>
        <v/>
      </c>
      <c r="G923" s="163"/>
      <c r="H9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Helper'!$F$5:$F$3004,"""")&lt;&gt;""""),ROWS(H$5:H923)),"""")"),"")</f>
        <v/>
      </c>
    </row>
    <row r="924" ht="15.75" customHeight="1">
      <c r="A9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Helper'!$F$5:$F$3004,"""")&lt;&gt;""""),ROWS(A$5:A924)),"""")"),"")</f>
        <v/>
      </c>
      <c r="B9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Helper'!$F$5:$F$3004,"""")&lt;&gt;""""),ROWS(B$5:B924)),"""")"),"")</f>
        <v/>
      </c>
      <c r="C9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Helper'!$F$5:$F$3004,"""")&lt;&gt;""""),ROWS(C$5:C924)),"""")"),"")</f>
        <v/>
      </c>
      <c r="D9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Helper'!$F$5:$F$3004,"""")&lt;&gt;""""),ROWS(D$5:D924)),"""")"),"")</f>
        <v/>
      </c>
      <c r="E9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Helper'!$F$5:$F$3004,"""")&lt;&gt;""""),ROWS(E$5:E924)),"""")"),"")</f>
        <v/>
      </c>
      <c r="F9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Helper'!$F$5:$F$3004,"""")&lt;&gt;""""),ROWS(F$5:F924)),IF(AND(LEFT(x,5)=""Page"&amp;" "",ISERROR(SEARCH(""–"",x))),x&amp;""–""&amp;REGEXEXTRACT(x,""[0-9]+$""),x)),"""")"),"")</f>
        <v/>
      </c>
      <c r="G924" s="163"/>
      <c r="H9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Helper'!$F$5:$F$3004,"""")&lt;&gt;""""),ROWS(H$5:H924)),"""")"),"")</f>
        <v/>
      </c>
    </row>
    <row r="925" ht="15.75" customHeight="1">
      <c r="A9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Helper'!$F$5:$F$3004,"""")&lt;&gt;""""),ROWS(A$5:A925)),"""")"),"")</f>
        <v/>
      </c>
      <c r="B9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Helper'!$F$5:$F$3004,"""")&lt;&gt;""""),ROWS(B$5:B925)),"""")"),"")</f>
        <v/>
      </c>
      <c r="C9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Helper'!$F$5:$F$3004,"""")&lt;&gt;""""),ROWS(C$5:C925)),"""")"),"")</f>
        <v/>
      </c>
      <c r="D9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Helper'!$F$5:$F$3004,"""")&lt;&gt;""""),ROWS(D$5:D925)),"""")"),"")</f>
        <v/>
      </c>
      <c r="E9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Helper'!$F$5:$F$3004,"""")&lt;&gt;""""),ROWS(E$5:E925)),"""")"),"")</f>
        <v/>
      </c>
      <c r="F9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Helper'!$F$5:$F$3004,"""")&lt;&gt;""""),ROWS(F$5:F925)),IF(AND(LEFT(x,5)=""Page"&amp;" "",ISERROR(SEARCH(""–"",x))),x&amp;""–""&amp;REGEXEXTRACT(x,""[0-9]+$""),x)),"""")"),"")</f>
        <v/>
      </c>
      <c r="G925" s="163"/>
      <c r="H9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Helper'!$F$5:$F$3004,"""")&lt;&gt;""""),ROWS(H$5:H925)),"""")"),"")</f>
        <v/>
      </c>
    </row>
    <row r="926" ht="15.75" customHeight="1">
      <c r="A9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Helper'!$F$5:$F$3004,"""")&lt;&gt;""""),ROWS(A$5:A926)),"""")"),"")</f>
        <v/>
      </c>
      <c r="B9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Helper'!$F$5:$F$3004,"""")&lt;&gt;""""),ROWS(B$5:B926)),"""")"),"")</f>
        <v/>
      </c>
      <c r="C9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Helper'!$F$5:$F$3004,"""")&lt;&gt;""""),ROWS(C$5:C926)),"""")"),"")</f>
        <v/>
      </c>
      <c r="D9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Helper'!$F$5:$F$3004,"""")&lt;&gt;""""),ROWS(D$5:D926)),"""")"),"")</f>
        <v/>
      </c>
      <c r="E9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Helper'!$F$5:$F$3004,"""")&lt;&gt;""""),ROWS(E$5:E926)),"""")"),"")</f>
        <v/>
      </c>
      <c r="F9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Helper'!$F$5:$F$3004,"""")&lt;&gt;""""),ROWS(F$5:F926)),IF(AND(LEFT(x,5)=""Page"&amp;" "",ISERROR(SEARCH(""–"",x))),x&amp;""–""&amp;REGEXEXTRACT(x,""[0-9]+$""),x)),"""")"),"")</f>
        <v/>
      </c>
      <c r="G926" s="163"/>
      <c r="H9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Helper'!$F$5:$F$3004,"""")&lt;&gt;""""),ROWS(H$5:H926)),"""")"),"")</f>
        <v/>
      </c>
    </row>
    <row r="927" ht="15.75" customHeight="1">
      <c r="A9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Helper'!$F$5:$F$3004,"""")&lt;&gt;""""),ROWS(A$5:A927)),"""")"),"")</f>
        <v/>
      </c>
      <c r="B9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Helper'!$F$5:$F$3004,"""")&lt;&gt;""""),ROWS(B$5:B927)),"""")"),"")</f>
        <v/>
      </c>
      <c r="C9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Helper'!$F$5:$F$3004,"""")&lt;&gt;""""),ROWS(C$5:C927)),"""")"),"")</f>
        <v/>
      </c>
      <c r="D9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Helper'!$F$5:$F$3004,"""")&lt;&gt;""""),ROWS(D$5:D927)),"""")"),"")</f>
        <v/>
      </c>
      <c r="E9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Helper'!$F$5:$F$3004,"""")&lt;&gt;""""),ROWS(E$5:E927)),"""")"),"")</f>
        <v/>
      </c>
      <c r="F9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Helper'!$F$5:$F$3004,"""")&lt;&gt;""""),ROWS(F$5:F927)),IF(AND(LEFT(x,5)=""Page"&amp;" "",ISERROR(SEARCH(""–"",x))),x&amp;""–""&amp;REGEXEXTRACT(x,""[0-9]+$""),x)),"""")"),"")</f>
        <v/>
      </c>
      <c r="G927" s="163"/>
      <c r="H9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Helper'!$F$5:$F$3004,"""")&lt;&gt;""""),ROWS(H$5:H927)),"""")"),"")</f>
        <v/>
      </c>
    </row>
    <row r="928" ht="15.75" customHeight="1">
      <c r="A9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Helper'!$F$5:$F$3004,"""")&lt;&gt;""""),ROWS(A$5:A928)),"""")"),"")</f>
        <v/>
      </c>
      <c r="B9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Helper'!$F$5:$F$3004,"""")&lt;&gt;""""),ROWS(B$5:B928)),"""")"),"")</f>
        <v/>
      </c>
      <c r="C9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Helper'!$F$5:$F$3004,"""")&lt;&gt;""""),ROWS(C$5:C928)),"""")"),"")</f>
        <v/>
      </c>
      <c r="D9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Helper'!$F$5:$F$3004,"""")&lt;&gt;""""),ROWS(D$5:D928)),"""")"),"")</f>
        <v/>
      </c>
      <c r="E9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Helper'!$F$5:$F$3004,"""")&lt;&gt;""""),ROWS(E$5:E928)),"""")"),"")</f>
        <v/>
      </c>
      <c r="F9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Helper'!$F$5:$F$3004,"""")&lt;&gt;""""),ROWS(F$5:F928)),IF(AND(LEFT(x,5)=""Page"&amp;" "",ISERROR(SEARCH(""–"",x))),x&amp;""–""&amp;REGEXEXTRACT(x,""[0-9]+$""),x)),"""")"),"")</f>
        <v/>
      </c>
      <c r="G928" s="163"/>
      <c r="H9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Helper'!$F$5:$F$3004,"""")&lt;&gt;""""),ROWS(H$5:H928)),"""")"),"")</f>
        <v/>
      </c>
    </row>
    <row r="929" ht="15.75" customHeight="1">
      <c r="A9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Helper'!$F$5:$F$3004,"""")&lt;&gt;""""),ROWS(A$5:A929)),"""")"),"")</f>
        <v/>
      </c>
      <c r="B9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Helper'!$F$5:$F$3004,"""")&lt;&gt;""""),ROWS(B$5:B929)),"""")"),"")</f>
        <v/>
      </c>
      <c r="C9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Helper'!$F$5:$F$3004,"""")&lt;&gt;""""),ROWS(C$5:C929)),"""")"),"")</f>
        <v/>
      </c>
      <c r="D9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Helper'!$F$5:$F$3004,"""")&lt;&gt;""""),ROWS(D$5:D929)),"""")"),"")</f>
        <v/>
      </c>
      <c r="E9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Helper'!$F$5:$F$3004,"""")&lt;&gt;""""),ROWS(E$5:E929)),"""")"),"")</f>
        <v/>
      </c>
      <c r="F9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Helper'!$F$5:$F$3004,"""")&lt;&gt;""""),ROWS(F$5:F929)),IF(AND(LEFT(x,5)=""Page"&amp;" "",ISERROR(SEARCH(""–"",x))),x&amp;""–""&amp;REGEXEXTRACT(x,""[0-9]+$""),x)),"""")"),"")</f>
        <v/>
      </c>
      <c r="G929" s="163"/>
      <c r="H9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Helper'!$F$5:$F$3004,"""")&lt;&gt;""""),ROWS(H$5:H929)),"""")"),"")</f>
        <v/>
      </c>
    </row>
    <row r="930" ht="15.75" customHeight="1">
      <c r="A9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Helper'!$F$5:$F$3004,"""")&lt;&gt;""""),ROWS(A$5:A930)),"""")"),"")</f>
        <v/>
      </c>
      <c r="B9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Helper'!$F$5:$F$3004,"""")&lt;&gt;""""),ROWS(B$5:B930)),"""")"),"")</f>
        <v/>
      </c>
      <c r="C9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Helper'!$F$5:$F$3004,"""")&lt;&gt;""""),ROWS(C$5:C930)),"""")"),"")</f>
        <v/>
      </c>
      <c r="D9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Helper'!$F$5:$F$3004,"""")&lt;&gt;""""),ROWS(D$5:D930)),"""")"),"")</f>
        <v/>
      </c>
      <c r="E9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Helper'!$F$5:$F$3004,"""")&lt;&gt;""""),ROWS(E$5:E930)),"""")"),"")</f>
        <v/>
      </c>
      <c r="F9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Helper'!$F$5:$F$3004,"""")&lt;&gt;""""),ROWS(F$5:F930)),IF(AND(LEFT(x,5)=""Page"&amp;" "",ISERROR(SEARCH(""–"",x))),x&amp;""–""&amp;REGEXEXTRACT(x,""[0-9]+$""),x)),"""")"),"")</f>
        <v/>
      </c>
      <c r="G930" s="163"/>
      <c r="H9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Helper'!$F$5:$F$3004,"""")&lt;&gt;""""),ROWS(H$5:H930)),"""")"),"")</f>
        <v/>
      </c>
    </row>
    <row r="931" ht="15.75" customHeight="1">
      <c r="A9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Helper'!$F$5:$F$3004,"""")&lt;&gt;""""),ROWS(A$5:A931)),"""")"),"")</f>
        <v/>
      </c>
      <c r="B9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Helper'!$F$5:$F$3004,"""")&lt;&gt;""""),ROWS(B$5:B931)),"""")"),"")</f>
        <v/>
      </c>
      <c r="C9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Helper'!$F$5:$F$3004,"""")&lt;&gt;""""),ROWS(C$5:C931)),"""")"),"")</f>
        <v/>
      </c>
      <c r="D9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Helper'!$F$5:$F$3004,"""")&lt;&gt;""""),ROWS(D$5:D931)),"""")"),"")</f>
        <v/>
      </c>
      <c r="E9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Helper'!$F$5:$F$3004,"""")&lt;&gt;""""),ROWS(E$5:E931)),"""")"),"")</f>
        <v/>
      </c>
      <c r="F9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Helper'!$F$5:$F$3004,"""")&lt;&gt;""""),ROWS(F$5:F931)),IF(AND(LEFT(x,5)=""Page"&amp;" "",ISERROR(SEARCH(""–"",x))),x&amp;""–""&amp;REGEXEXTRACT(x,""[0-9]+$""),x)),"""")"),"")</f>
        <v/>
      </c>
      <c r="G931" s="163"/>
      <c r="H9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Helper'!$F$5:$F$3004,"""")&lt;&gt;""""),ROWS(H$5:H931)),"""")"),"")</f>
        <v/>
      </c>
    </row>
    <row r="932" ht="15.75" customHeight="1">
      <c r="A9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Helper'!$F$5:$F$3004,"""")&lt;&gt;""""),ROWS(A$5:A932)),"""")"),"")</f>
        <v/>
      </c>
      <c r="B9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Helper'!$F$5:$F$3004,"""")&lt;&gt;""""),ROWS(B$5:B932)),"""")"),"")</f>
        <v/>
      </c>
      <c r="C9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Helper'!$F$5:$F$3004,"""")&lt;&gt;""""),ROWS(C$5:C932)),"""")"),"")</f>
        <v/>
      </c>
      <c r="D9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Helper'!$F$5:$F$3004,"""")&lt;&gt;""""),ROWS(D$5:D932)),"""")"),"")</f>
        <v/>
      </c>
      <c r="E9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Helper'!$F$5:$F$3004,"""")&lt;&gt;""""),ROWS(E$5:E932)),"""")"),"")</f>
        <v/>
      </c>
      <c r="F9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Helper'!$F$5:$F$3004,"""")&lt;&gt;""""),ROWS(F$5:F932)),IF(AND(LEFT(x,5)=""Page"&amp;" "",ISERROR(SEARCH(""–"",x))),x&amp;""–""&amp;REGEXEXTRACT(x,""[0-9]+$""),x)),"""")"),"")</f>
        <v/>
      </c>
      <c r="G932" s="163"/>
      <c r="H9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Helper'!$F$5:$F$3004,"""")&lt;&gt;""""),ROWS(H$5:H932)),"""")"),"")</f>
        <v/>
      </c>
    </row>
    <row r="933" ht="15.75" customHeight="1">
      <c r="A9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Helper'!$F$5:$F$3004,"""")&lt;&gt;""""),ROWS(A$5:A933)),"""")"),"")</f>
        <v/>
      </c>
      <c r="B9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Helper'!$F$5:$F$3004,"""")&lt;&gt;""""),ROWS(B$5:B933)),"""")"),"")</f>
        <v/>
      </c>
      <c r="C9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Helper'!$F$5:$F$3004,"""")&lt;&gt;""""),ROWS(C$5:C933)),"""")"),"")</f>
        <v/>
      </c>
      <c r="D9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Helper'!$F$5:$F$3004,"""")&lt;&gt;""""),ROWS(D$5:D933)),"""")"),"")</f>
        <v/>
      </c>
      <c r="E9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Helper'!$F$5:$F$3004,"""")&lt;&gt;""""),ROWS(E$5:E933)),"""")"),"")</f>
        <v/>
      </c>
      <c r="F9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Helper'!$F$5:$F$3004,"""")&lt;&gt;""""),ROWS(F$5:F933)),IF(AND(LEFT(x,5)=""Page"&amp;" "",ISERROR(SEARCH(""–"",x))),x&amp;""–""&amp;REGEXEXTRACT(x,""[0-9]+$""),x)),"""")"),"")</f>
        <v/>
      </c>
      <c r="G933" s="163"/>
      <c r="H9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Helper'!$F$5:$F$3004,"""")&lt;&gt;""""),ROWS(H$5:H933)),"""")"),"")</f>
        <v/>
      </c>
    </row>
    <row r="934" ht="15.75" customHeight="1">
      <c r="A9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Helper'!$F$5:$F$3004,"""")&lt;&gt;""""),ROWS(A$5:A934)),"""")"),"")</f>
        <v/>
      </c>
      <c r="B9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Helper'!$F$5:$F$3004,"""")&lt;&gt;""""),ROWS(B$5:B934)),"""")"),"")</f>
        <v/>
      </c>
      <c r="C9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Helper'!$F$5:$F$3004,"""")&lt;&gt;""""),ROWS(C$5:C934)),"""")"),"")</f>
        <v/>
      </c>
      <c r="D9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Helper'!$F$5:$F$3004,"""")&lt;&gt;""""),ROWS(D$5:D934)),"""")"),"")</f>
        <v/>
      </c>
      <c r="E9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Helper'!$F$5:$F$3004,"""")&lt;&gt;""""),ROWS(E$5:E934)),"""")"),"")</f>
        <v/>
      </c>
      <c r="F9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Helper'!$F$5:$F$3004,"""")&lt;&gt;""""),ROWS(F$5:F934)),IF(AND(LEFT(x,5)=""Page"&amp;" "",ISERROR(SEARCH(""–"",x))),x&amp;""–""&amp;REGEXEXTRACT(x,""[0-9]+$""),x)),"""")"),"")</f>
        <v/>
      </c>
      <c r="G934" s="163"/>
      <c r="H9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Helper'!$F$5:$F$3004,"""")&lt;&gt;""""),ROWS(H$5:H934)),"""")"),"")</f>
        <v/>
      </c>
    </row>
    <row r="935" ht="15.75" customHeight="1">
      <c r="A9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Helper'!$F$5:$F$3004,"""")&lt;&gt;""""),ROWS(A$5:A935)),"""")"),"")</f>
        <v/>
      </c>
      <c r="B9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Helper'!$F$5:$F$3004,"""")&lt;&gt;""""),ROWS(B$5:B935)),"""")"),"")</f>
        <v/>
      </c>
      <c r="C9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Helper'!$F$5:$F$3004,"""")&lt;&gt;""""),ROWS(C$5:C935)),"""")"),"")</f>
        <v/>
      </c>
      <c r="D9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Helper'!$F$5:$F$3004,"""")&lt;&gt;""""),ROWS(D$5:D935)),"""")"),"")</f>
        <v/>
      </c>
      <c r="E9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Helper'!$F$5:$F$3004,"""")&lt;&gt;""""),ROWS(E$5:E935)),"""")"),"")</f>
        <v/>
      </c>
      <c r="F9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Helper'!$F$5:$F$3004,"""")&lt;&gt;""""),ROWS(F$5:F935)),IF(AND(LEFT(x,5)=""Page"&amp;" "",ISERROR(SEARCH(""–"",x))),x&amp;""–""&amp;REGEXEXTRACT(x,""[0-9]+$""),x)),"""")"),"")</f>
        <v/>
      </c>
      <c r="G935" s="163"/>
      <c r="H9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Helper'!$F$5:$F$3004,"""")&lt;&gt;""""),ROWS(H$5:H935)),"""")"),"")</f>
        <v/>
      </c>
    </row>
    <row r="936" ht="15.75" customHeight="1">
      <c r="A9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Helper'!$F$5:$F$3004,"""")&lt;&gt;""""),ROWS(A$5:A936)),"""")"),"")</f>
        <v/>
      </c>
      <c r="B9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Helper'!$F$5:$F$3004,"""")&lt;&gt;""""),ROWS(B$5:B936)),"""")"),"")</f>
        <v/>
      </c>
      <c r="C9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Helper'!$F$5:$F$3004,"""")&lt;&gt;""""),ROWS(C$5:C936)),"""")"),"")</f>
        <v/>
      </c>
      <c r="D9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Helper'!$F$5:$F$3004,"""")&lt;&gt;""""),ROWS(D$5:D936)),"""")"),"")</f>
        <v/>
      </c>
      <c r="E9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Helper'!$F$5:$F$3004,"""")&lt;&gt;""""),ROWS(E$5:E936)),"""")"),"")</f>
        <v/>
      </c>
      <c r="F9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Helper'!$F$5:$F$3004,"""")&lt;&gt;""""),ROWS(F$5:F936)),IF(AND(LEFT(x,5)=""Page"&amp;" "",ISERROR(SEARCH(""–"",x))),x&amp;""–""&amp;REGEXEXTRACT(x,""[0-9]+$""),x)),"""")"),"")</f>
        <v/>
      </c>
      <c r="G936" s="163"/>
      <c r="H9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Helper'!$F$5:$F$3004,"""")&lt;&gt;""""),ROWS(H$5:H936)),"""")"),"")</f>
        <v/>
      </c>
    </row>
    <row r="937" ht="15.75" customHeight="1">
      <c r="A9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Helper'!$F$5:$F$3004,"""")&lt;&gt;""""),ROWS(A$5:A937)),"""")"),"")</f>
        <v/>
      </c>
      <c r="B9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Helper'!$F$5:$F$3004,"""")&lt;&gt;""""),ROWS(B$5:B937)),"""")"),"")</f>
        <v/>
      </c>
      <c r="C9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Helper'!$F$5:$F$3004,"""")&lt;&gt;""""),ROWS(C$5:C937)),"""")"),"")</f>
        <v/>
      </c>
      <c r="D9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Helper'!$F$5:$F$3004,"""")&lt;&gt;""""),ROWS(D$5:D937)),"""")"),"")</f>
        <v/>
      </c>
      <c r="E9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Helper'!$F$5:$F$3004,"""")&lt;&gt;""""),ROWS(E$5:E937)),"""")"),"")</f>
        <v/>
      </c>
      <c r="F9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Helper'!$F$5:$F$3004,"""")&lt;&gt;""""),ROWS(F$5:F937)),IF(AND(LEFT(x,5)=""Page"&amp;" "",ISERROR(SEARCH(""–"",x))),x&amp;""–""&amp;REGEXEXTRACT(x,""[0-9]+$""),x)),"""")"),"")</f>
        <v/>
      </c>
      <c r="G937" s="163"/>
      <c r="H9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Helper'!$F$5:$F$3004,"""")&lt;&gt;""""),ROWS(H$5:H937)),"""")"),"")</f>
        <v/>
      </c>
    </row>
    <row r="938" ht="15.75" customHeight="1">
      <c r="A9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Helper'!$F$5:$F$3004,"""")&lt;&gt;""""),ROWS(A$5:A938)),"""")"),"")</f>
        <v/>
      </c>
      <c r="B9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Helper'!$F$5:$F$3004,"""")&lt;&gt;""""),ROWS(B$5:B938)),"""")"),"")</f>
        <v/>
      </c>
      <c r="C9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Helper'!$F$5:$F$3004,"""")&lt;&gt;""""),ROWS(C$5:C938)),"""")"),"")</f>
        <v/>
      </c>
      <c r="D9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Helper'!$F$5:$F$3004,"""")&lt;&gt;""""),ROWS(D$5:D938)),"""")"),"")</f>
        <v/>
      </c>
      <c r="E9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Helper'!$F$5:$F$3004,"""")&lt;&gt;""""),ROWS(E$5:E938)),"""")"),"")</f>
        <v/>
      </c>
      <c r="F9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Helper'!$F$5:$F$3004,"""")&lt;&gt;""""),ROWS(F$5:F938)),IF(AND(LEFT(x,5)=""Page"&amp;" "",ISERROR(SEARCH(""–"",x))),x&amp;""–""&amp;REGEXEXTRACT(x,""[0-9]+$""),x)),"""")"),"")</f>
        <v/>
      </c>
      <c r="G938" s="163"/>
      <c r="H9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Helper'!$F$5:$F$3004,"""")&lt;&gt;""""),ROWS(H$5:H938)),"""")"),"")</f>
        <v/>
      </c>
    </row>
    <row r="939" ht="15.75" customHeight="1">
      <c r="A9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Helper'!$F$5:$F$3004,"""")&lt;&gt;""""),ROWS(A$5:A939)),"""")"),"")</f>
        <v/>
      </c>
      <c r="B9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Helper'!$F$5:$F$3004,"""")&lt;&gt;""""),ROWS(B$5:B939)),"""")"),"")</f>
        <v/>
      </c>
      <c r="C9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Helper'!$F$5:$F$3004,"""")&lt;&gt;""""),ROWS(C$5:C939)),"""")"),"")</f>
        <v/>
      </c>
      <c r="D9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Helper'!$F$5:$F$3004,"""")&lt;&gt;""""),ROWS(D$5:D939)),"""")"),"")</f>
        <v/>
      </c>
      <c r="E9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Helper'!$F$5:$F$3004,"""")&lt;&gt;""""),ROWS(E$5:E939)),"""")"),"")</f>
        <v/>
      </c>
      <c r="F9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Helper'!$F$5:$F$3004,"""")&lt;&gt;""""),ROWS(F$5:F939)),IF(AND(LEFT(x,5)=""Page"&amp;" "",ISERROR(SEARCH(""–"",x))),x&amp;""–""&amp;REGEXEXTRACT(x,""[0-9]+$""),x)),"""")"),"")</f>
        <v/>
      </c>
      <c r="G939" s="163"/>
      <c r="H9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Helper'!$F$5:$F$3004,"""")&lt;&gt;""""),ROWS(H$5:H939)),"""")"),"")</f>
        <v/>
      </c>
    </row>
    <row r="940" ht="15.75" customHeight="1">
      <c r="A9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Helper'!$F$5:$F$3004,"""")&lt;&gt;""""),ROWS(A$5:A940)),"""")"),"")</f>
        <v/>
      </c>
      <c r="B9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Helper'!$F$5:$F$3004,"""")&lt;&gt;""""),ROWS(B$5:B940)),"""")"),"")</f>
        <v/>
      </c>
      <c r="C9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Helper'!$F$5:$F$3004,"""")&lt;&gt;""""),ROWS(C$5:C940)),"""")"),"")</f>
        <v/>
      </c>
      <c r="D9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Helper'!$F$5:$F$3004,"""")&lt;&gt;""""),ROWS(D$5:D940)),"""")"),"")</f>
        <v/>
      </c>
      <c r="E9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Helper'!$F$5:$F$3004,"""")&lt;&gt;""""),ROWS(E$5:E940)),"""")"),"")</f>
        <v/>
      </c>
      <c r="F9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Helper'!$F$5:$F$3004,"""")&lt;&gt;""""),ROWS(F$5:F940)),IF(AND(LEFT(x,5)=""Page"&amp;" "",ISERROR(SEARCH(""–"",x))),x&amp;""–""&amp;REGEXEXTRACT(x,""[0-9]+$""),x)),"""")"),"")</f>
        <v/>
      </c>
      <c r="G940" s="163"/>
      <c r="H9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Helper'!$F$5:$F$3004,"""")&lt;&gt;""""),ROWS(H$5:H940)),"""")"),"")</f>
        <v/>
      </c>
    </row>
    <row r="941" ht="15.75" customHeight="1">
      <c r="A9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Helper'!$F$5:$F$3004,"""")&lt;&gt;""""),ROWS(A$5:A941)),"""")"),"")</f>
        <v/>
      </c>
      <c r="B9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Helper'!$F$5:$F$3004,"""")&lt;&gt;""""),ROWS(B$5:B941)),"""")"),"")</f>
        <v/>
      </c>
      <c r="C9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Helper'!$F$5:$F$3004,"""")&lt;&gt;""""),ROWS(C$5:C941)),"""")"),"")</f>
        <v/>
      </c>
      <c r="D9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Helper'!$F$5:$F$3004,"""")&lt;&gt;""""),ROWS(D$5:D941)),"""")"),"")</f>
        <v/>
      </c>
      <c r="E9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Helper'!$F$5:$F$3004,"""")&lt;&gt;""""),ROWS(E$5:E941)),"""")"),"")</f>
        <v/>
      </c>
      <c r="F9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Helper'!$F$5:$F$3004,"""")&lt;&gt;""""),ROWS(F$5:F941)),IF(AND(LEFT(x,5)=""Page"&amp;" "",ISERROR(SEARCH(""–"",x))),x&amp;""–""&amp;REGEXEXTRACT(x,""[0-9]+$""),x)),"""")"),"")</f>
        <v/>
      </c>
      <c r="G941" s="163"/>
      <c r="H9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Helper'!$F$5:$F$3004,"""")&lt;&gt;""""),ROWS(H$5:H941)),"""")"),"")</f>
        <v/>
      </c>
    </row>
    <row r="942" ht="15.75" customHeight="1">
      <c r="A9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Helper'!$F$5:$F$3004,"""")&lt;&gt;""""),ROWS(A$5:A942)),"""")"),"")</f>
        <v/>
      </c>
      <c r="B9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Helper'!$F$5:$F$3004,"""")&lt;&gt;""""),ROWS(B$5:B942)),"""")"),"")</f>
        <v/>
      </c>
      <c r="C9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Helper'!$F$5:$F$3004,"""")&lt;&gt;""""),ROWS(C$5:C942)),"""")"),"")</f>
        <v/>
      </c>
      <c r="D9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Helper'!$F$5:$F$3004,"""")&lt;&gt;""""),ROWS(D$5:D942)),"""")"),"")</f>
        <v/>
      </c>
      <c r="E9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Helper'!$F$5:$F$3004,"""")&lt;&gt;""""),ROWS(E$5:E942)),"""")"),"")</f>
        <v/>
      </c>
      <c r="F9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Helper'!$F$5:$F$3004,"""")&lt;&gt;""""),ROWS(F$5:F942)),IF(AND(LEFT(x,5)=""Page"&amp;" "",ISERROR(SEARCH(""–"",x))),x&amp;""–""&amp;REGEXEXTRACT(x,""[0-9]+$""),x)),"""")"),"")</f>
        <v/>
      </c>
      <c r="G942" s="163"/>
      <c r="H9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Helper'!$F$5:$F$3004,"""")&lt;&gt;""""),ROWS(H$5:H942)),"""")"),"")</f>
        <v/>
      </c>
    </row>
    <row r="943" ht="15.75" customHeight="1">
      <c r="A9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Helper'!$F$5:$F$3004,"""")&lt;&gt;""""),ROWS(A$5:A943)),"""")"),"")</f>
        <v/>
      </c>
      <c r="B9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Helper'!$F$5:$F$3004,"""")&lt;&gt;""""),ROWS(B$5:B943)),"""")"),"")</f>
        <v/>
      </c>
      <c r="C9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Helper'!$F$5:$F$3004,"""")&lt;&gt;""""),ROWS(C$5:C943)),"""")"),"")</f>
        <v/>
      </c>
      <c r="D9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Helper'!$F$5:$F$3004,"""")&lt;&gt;""""),ROWS(D$5:D943)),"""")"),"")</f>
        <v/>
      </c>
      <c r="E9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Helper'!$F$5:$F$3004,"""")&lt;&gt;""""),ROWS(E$5:E943)),"""")"),"")</f>
        <v/>
      </c>
      <c r="F9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Helper'!$F$5:$F$3004,"""")&lt;&gt;""""),ROWS(F$5:F943)),IF(AND(LEFT(x,5)=""Page"&amp;" "",ISERROR(SEARCH(""–"",x))),x&amp;""–""&amp;REGEXEXTRACT(x,""[0-9]+$""),x)),"""")"),"")</f>
        <v/>
      </c>
      <c r="G943" s="163"/>
      <c r="H9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Helper'!$F$5:$F$3004,"""")&lt;&gt;""""),ROWS(H$5:H943)),"""")"),"")</f>
        <v/>
      </c>
    </row>
    <row r="944" ht="15.75" customHeight="1">
      <c r="A9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Helper'!$F$5:$F$3004,"""")&lt;&gt;""""),ROWS(A$5:A944)),"""")"),"")</f>
        <v/>
      </c>
      <c r="B9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Helper'!$F$5:$F$3004,"""")&lt;&gt;""""),ROWS(B$5:B944)),"""")"),"")</f>
        <v/>
      </c>
      <c r="C9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Helper'!$F$5:$F$3004,"""")&lt;&gt;""""),ROWS(C$5:C944)),"""")"),"")</f>
        <v/>
      </c>
      <c r="D9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Helper'!$F$5:$F$3004,"""")&lt;&gt;""""),ROWS(D$5:D944)),"""")"),"")</f>
        <v/>
      </c>
      <c r="E9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Helper'!$F$5:$F$3004,"""")&lt;&gt;""""),ROWS(E$5:E944)),"""")"),"")</f>
        <v/>
      </c>
      <c r="F9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Helper'!$F$5:$F$3004,"""")&lt;&gt;""""),ROWS(F$5:F944)),IF(AND(LEFT(x,5)=""Page"&amp;" "",ISERROR(SEARCH(""–"",x))),x&amp;""–""&amp;REGEXEXTRACT(x,""[0-9]+$""),x)),"""")"),"")</f>
        <v/>
      </c>
      <c r="G944" s="163"/>
      <c r="H9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Helper'!$F$5:$F$3004,"""")&lt;&gt;""""),ROWS(H$5:H944)),"""")"),"")</f>
        <v/>
      </c>
    </row>
    <row r="945" ht="15.75" customHeight="1">
      <c r="A9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Helper'!$F$5:$F$3004,"""")&lt;&gt;""""),ROWS(A$5:A945)),"""")"),"")</f>
        <v/>
      </c>
      <c r="B9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Helper'!$F$5:$F$3004,"""")&lt;&gt;""""),ROWS(B$5:B945)),"""")"),"")</f>
        <v/>
      </c>
      <c r="C9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Helper'!$F$5:$F$3004,"""")&lt;&gt;""""),ROWS(C$5:C945)),"""")"),"")</f>
        <v/>
      </c>
      <c r="D9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Helper'!$F$5:$F$3004,"""")&lt;&gt;""""),ROWS(D$5:D945)),"""")"),"")</f>
        <v/>
      </c>
      <c r="E9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Helper'!$F$5:$F$3004,"""")&lt;&gt;""""),ROWS(E$5:E945)),"""")"),"")</f>
        <v/>
      </c>
      <c r="F9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Helper'!$F$5:$F$3004,"""")&lt;&gt;""""),ROWS(F$5:F945)),IF(AND(LEFT(x,5)=""Page"&amp;" "",ISERROR(SEARCH(""–"",x))),x&amp;""–""&amp;REGEXEXTRACT(x,""[0-9]+$""),x)),"""")"),"")</f>
        <v/>
      </c>
      <c r="G945" s="163"/>
      <c r="H9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Helper'!$F$5:$F$3004,"""")&lt;&gt;""""),ROWS(H$5:H945)),"""")"),"")</f>
        <v/>
      </c>
    </row>
    <row r="946" ht="15.75" customHeight="1">
      <c r="A9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Helper'!$F$5:$F$3004,"""")&lt;&gt;""""),ROWS(A$5:A946)),"""")"),"")</f>
        <v/>
      </c>
      <c r="B9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Helper'!$F$5:$F$3004,"""")&lt;&gt;""""),ROWS(B$5:B946)),"""")"),"")</f>
        <v/>
      </c>
      <c r="C9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Helper'!$F$5:$F$3004,"""")&lt;&gt;""""),ROWS(C$5:C946)),"""")"),"")</f>
        <v/>
      </c>
      <c r="D9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Helper'!$F$5:$F$3004,"""")&lt;&gt;""""),ROWS(D$5:D946)),"""")"),"")</f>
        <v/>
      </c>
      <c r="E9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Helper'!$F$5:$F$3004,"""")&lt;&gt;""""),ROWS(E$5:E946)),"""")"),"")</f>
        <v/>
      </c>
      <c r="F9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Helper'!$F$5:$F$3004,"""")&lt;&gt;""""),ROWS(F$5:F946)),IF(AND(LEFT(x,5)=""Page"&amp;" "",ISERROR(SEARCH(""–"",x))),x&amp;""–""&amp;REGEXEXTRACT(x,""[0-9]+$""),x)),"""")"),"")</f>
        <v/>
      </c>
      <c r="G946" s="163"/>
      <c r="H9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Helper'!$F$5:$F$3004,"""")&lt;&gt;""""),ROWS(H$5:H946)),"""")"),"")</f>
        <v/>
      </c>
    </row>
    <row r="947" ht="15.75" customHeight="1">
      <c r="A9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Helper'!$F$5:$F$3004,"""")&lt;&gt;""""),ROWS(A$5:A947)),"""")"),"")</f>
        <v/>
      </c>
      <c r="B9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Helper'!$F$5:$F$3004,"""")&lt;&gt;""""),ROWS(B$5:B947)),"""")"),"")</f>
        <v/>
      </c>
      <c r="C9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Helper'!$F$5:$F$3004,"""")&lt;&gt;""""),ROWS(C$5:C947)),"""")"),"")</f>
        <v/>
      </c>
      <c r="D9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Helper'!$F$5:$F$3004,"""")&lt;&gt;""""),ROWS(D$5:D947)),"""")"),"")</f>
        <v/>
      </c>
      <c r="E9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Helper'!$F$5:$F$3004,"""")&lt;&gt;""""),ROWS(E$5:E947)),"""")"),"")</f>
        <v/>
      </c>
      <c r="F9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Helper'!$F$5:$F$3004,"""")&lt;&gt;""""),ROWS(F$5:F947)),IF(AND(LEFT(x,5)=""Page"&amp;" "",ISERROR(SEARCH(""–"",x))),x&amp;""–""&amp;REGEXEXTRACT(x,""[0-9]+$""),x)),"""")"),"")</f>
        <v/>
      </c>
      <c r="G947" s="163"/>
      <c r="H9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Helper'!$F$5:$F$3004,"""")&lt;&gt;""""),ROWS(H$5:H947)),"""")"),"")</f>
        <v/>
      </c>
    </row>
    <row r="948" ht="15.75" customHeight="1">
      <c r="A9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Helper'!$F$5:$F$3004,"""")&lt;&gt;""""),ROWS(A$5:A948)),"""")"),"")</f>
        <v/>
      </c>
      <c r="B9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Helper'!$F$5:$F$3004,"""")&lt;&gt;""""),ROWS(B$5:B948)),"""")"),"")</f>
        <v/>
      </c>
      <c r="C9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Helper'!$F$5:$F$3004,"""")&lt;&gt;""""),ROWS(C$5:C948)),"""")"),"")</f>
        <v/>
      </c>
      <c r="D9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Helper'!$F$5:$F$3004,"""")&lt;&gt;""""),ROWS(D$5:D948)),"""")"),"")</f>
        <v/>
      </c>
      <c r="E9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Helper'!$F$5:$F$3004,"""")&lt;&gt;""""),ROWS(E$5:E948)),"""")"),"")</f>
        <v/>
      </c>
      <c r="F9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Helper'!$F$5:$F$3004,"""")&lt;&gt;""""),ROWS(F$5:F948)),IF(AND(LEFT(x,5)=""Page"&amp;" "",ISERROR(SEARCH(""–"",x))),x&amp;""–""&amp;REGEXEXTRACT(x,""[0-9]+$""),x)),"""")"),"")</f>
        <v/>
      </c>
      <c r="G948" s="163"/>
      <c r="H9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Helper'!$F$5:$F$3004,"""")&lt;&gt;""""),ROWS(H$5:H948)),"""")"),"")</f>
        <v/>
      </c>
    </row>
    <row r="949" ht="15.75" customHeight="1">
      <c r="A9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Helper'!$F$5:$F$3004,"""")&lt;&gt;""""),ROWS(A$5:A949)),"""")"),"")</f>
        <v/>
      </c>
      <c r="B9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Helper'!$F$5:$F$3004,"""")&lt;&gt;""""),ROWS(B$5:B949)),"""")"),"")</f>
        <v/>
      </c>
      <c r="C9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Helper'!$F$5:$F$3004,"""")&lt;&gt;""""),ROWS(C$5:C949)),"""")"),"")</f>
        <v/>
      </c>
      <c r="D9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Helper'!$F$5:$F$3004,"""")&lt;&gt;""""),ROWS(D$5:D949)),"""")"),"")</f>
        <v/>
      </c>
      <c r="E9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Helper'!$F$5:$F$3004,"""")&lt;&gt;""""),ROWS(E$5:E949)),"""")"),"")</f>
        <v/>
      </c>
      <c r="F9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Helper'!$F$5:$F$3004,"""")&lt;&gt;""""),ROWS(F$5:F949)),IF(AND(LEFT(x,5)=""Page"&amp;" "",ISERROR(SEARCH(""–"",x))),x&amp;""–""&amp;REGEXEXTRACT(x,""[0-9]+$""),x)),"""")"),"")</f>
        <v/>
      </c>
      <c r="G949" s="163"/>
      <c r="H9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Helper'!$F$5:$F$3004,"""")&lt;&gt;""""),ROWS(H$5:H949)),"""")"),"")</f>
        <v/>
      </c>
    </row>
    <row r="950" ht="15.75" customHeight="1">
      <c r="A9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Helper'!$F$5:$F$3004,"""")&lt;&gt;""""),ROWS(A$5:A950)),"""")"),"")</f>
        <v/>
      </c>
      <c r="B9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Helper'!$F$5:$F$3004,"""")&lt;&gt;""""),ROWS(B$5:B950)),"""")"),"")</f>
        <v/>
      </c>
      <c r="C9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Helper'!$F$5:$F$3004,"""")&lt;&gt;""""),ROWS(C$5:C950)),"""")"),"")</f>
        <v/>
      </c>
      <c r="D9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Helper'!$F$5:$F$3004,"""")&lt;&gt;""""),ROWS(D$5:D950)),"""")"),"")</f>
        <v/>
      </c>
      <c r="E9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Helper'!$F$5:$F$3004,"""")&lt;&gt;""""),ROWS(E$5:E950)),"""")"),"")</f>
        <v/>
      </c>
      <c r="F9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Helper'!$F$5:$F$3004,"""")&lt;&gt;""""),ROWS(F$5:F950)),IF(AND(LEFT(x,5)=""Page"&amp;" "",ISERROR(SEARCH(""–"",x))),x&amp;""–""&amp;REGEXEXTRACT(x,""[0-9]+$""),x)),"""")"),"")</f>
        <v/>
      </c>
      <c r="G950" s="163"/>
      <c r="H9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Helper'!$F$5:$F$3004,"""")&lt;&gt;""""),ROWS(H$5:H950)),"""")"),"")</f>
        <v/>
      </c>
    </row>
    <row r="951" ht="15.75" customHeight="1">
      <c r="A9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Helper'!$F$5:$F$3004,"""")&lt;&gt;""""),ROWS(A$5:A951)),"""")"),"")</f>
        <v/>
      </c>
      <c r="B9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Helper'!$F$5:$F$3004,"""")&lt;&gt;""""),ROWS(B$5:B951)),"""")"),"")</f>
        <v/>
      </c>
      <c r="C9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Helper'!$F$5:$F$3004,"""")&lt;&gt;""""),ROWS(C$5:C951)),"""")"),"")</f>
        <v/>
      </c>
      <c r="D9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Helper'!$F$5:$F$3004,"""")&lt;&gt;""""),ROWS(D$5:D951)),"""")"),"")</f>
        <v/>
      </c>
      <c r="E9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Helper'!$F$5:$F$3004,"""")&lt;&gt;""""),ROWS(E$5:E951)),"""")"),"")</f>
        <v/>
      </c>
      <c r="F9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Helper'!$F$5:$F$3004,"""")&lt;&gt;""""),ROWS(F$5:F951)),IF(AND(LEFT(x,5)=""Page"&amp;" "",ISERROR(SEARCH(""–"",x))),x&amp;""–""&amp;REGEXEXTRACT(x,""[0-9]+$""),x)),"""")"),"")</f>
        <v/>
      </c>
      <c r="G951" s="163"/>
      <c r="H9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Helper'!$F$5:$F$3004,"""")&lt;&gt;""""),ROWS(H$5:H951)),"""")"),"")</f>
        <v/>
      </c>
    </row>
    <row r="952" ht="15.75" customHeight="1">
      <c r="A9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Helper'!$F$5:$F$3004,"""")&lt;&gt;""""),ROWS(A$5:A952)),"""")"),"")</f>
        <v/>
      </c>
      <c r="B9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Helper'!$F$5:$F$3004,"""")&lt;&gt;""""),ROWS(B$5:B952)),"""")"),"")</f>
        <v/>
      </c>
      <c r="C9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Helper'!$F$5:$F$3004,"""")&lt;&gt;""""),ROWS(C$5:C952)),"""")"),"")</f>
        <v/>
      </c>
      <c r="D9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Helper'!$F$5:$F$3004,"""")&lt;&gt;""""),ROWS(D$5:D952)),"""")"),"")</f>
        <v/>
      </c>
      <c r="E9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Helper'!$F$5:$F$3004,"""")&lt;&gt;""""),ROWS(E$5:E952)),"""")"),"")</f>
        <v/>
      </c>
      <c r="F9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Helper'!$F$5:$F$3004,"""")&lt;&gt;""""),ROWS(F$5:F952)),IF(AND(LEFT(x,5)=""Page"&amp;" "",ISERROR(SEARCH(""–"",x))),x&amp;""–""&amp;REGEXEXTRACT(x,""[0-9]+$""),x)),"""")"),"")</f>
        <v/>
      </c>
      <c r="G952" s="163"/>
      <c r="H9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Helper'!$F$5:$F$3004,"""")&lt;&gt;""""),ROWS(H$5:H952)),"""")"),"")</f>
        <v/>
      </c>
    </row>
    <row r="953" ht="15.75" customHeight="1">
      <c r="A9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Helper'!$F$5:$F$3004,"""")&lt;&gt;""""),ROWS(A$5:A953)),"""")"),"")</f>
        <v/>
      </c>
      <c r="B9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Helper'!$F$5:$F$3004,"""")&lt;&gt;""""),ROWS(B$5:B953)),"""")"),"")</f>
        <v/>
      </c>
      <c r="C9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Helper'!$F$5:$F$3004,"""")&lt;&gt;""""),ROWS(C$5:C953)),"""")"),"")</f>
        <v/>
      </c>
      <c r="D9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Helper'!$F$5:$F$3004,"""")&lt;&gt;""""),ROWS(D$5:D953)),"""")"),"")</f>
        <v/>
      </c>
      <c r="E9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Helper'!$F$5:$F$3004,"""")&lt;&gt;""""),ROWS(E$5:E953)),"""")"),"")</f>
        <v/>
      </c>
      <c r="F9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Helper'!$F$5:$F$3004,"""")&lt;&gt;""""),ROWS(F$5:F953)),IF(AND(LEFT(x,5)=""Page"&amp;" "",ISERROR(SEARCH(""–"",x))),x&amp;""–""&amp;REGEXEXTRACT(x,""[0-9]+$""),x)),"""")"),"")</f>
        <v/>
      </c>
      <c r="G953" s="163"/>
      <c r="H9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Helper'!$F$5:$F$3004,"""")&lt;&gt;""""),ROWS(H$5:H953)),"""")"),"")</f>
        <v/>
      </c>
    </row>
    <row r="954" ht="15.75" customHeight="1">
      <c r="A9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Helper'!$F$5:$F$3004,"""")&lt;&gt;""""),ROWS(A$5:A954)),"""")"),"")</f>
        <v/>
      </c>
      <c r="B9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Helper'!$F$5:$F$3004,"""")&lt;&gt;""""),ROWS(B$5:B954)),"""")"),"")</f>
        <v/>
      </c>
      <c r="C9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Helper'!$F$5:$F$3004,"""")&lt;&gt;""""),ROWS(C$5:C954)),"""")"),"")</f>
        <v/>
      </c>
      <c r="D9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Helper'!$F$5:$F$3004,"""")&lt;&gt;""""),ROWS(D$5:D954)),"""")"),"")</f>
        <v/>
      </c>
      <c r="E9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Helper'!$F$5:$F$3004,"""")&lt;&gt;""""),ROWS(E$5:E954)),"""")"),"")</f>
        <v/>
      </c>
      <c r="F9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Helper'!$F$5:$F$3004,"""")&lt;&gt;""""),ROWS(F$5:F954)),IF(AND(LEFT(x,5)=""Page"&amp;" "",ISERROR(SEARCH(""–"",x))),x&amp;""–""&amp;REGEXEXTRACT(x,""[0-9]+$""),x)),"""")"),"")</f>
        <v/>
      </c>
      <c r="G954" s="163"/>
      <c r="H9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Helper'!$F$5:$F$3004,"""")&lt;&gt;""""),ROWS(H$5:H954)),"""")"),"")</f>
        <v/>
      </c>
    </row>
    <row r="955" ht="15.75" customHeight="1">
      <c r="A9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Helper'!$F$5:$F$3004,"""")&lt;&gt;""""),ROWS(A$5:A955)),"""")"),"")</f>
        <v/>
      </c>
      <c r="B9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Helper'!$F$5:$F$3004,"""")&lt;&gt;""""),ROWS(B$5:B955)),"""")"),"")</f>
        <v/>
      </c>
      <c r="C9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Helper'!$F$5:$F$3004,"""")&lt;&gt;""""),ROWS(C$5:C955)),"""")"),"")</f>
        <v/>
      </c>
      <c r="D9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Helper'!$F$5:$F$3004,"""")&lt;&gt;""""),ROWS(D$5:D955)),"""")"),"")</f>
        <v/>
      </c>
      <c r="E9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Helper'!$F$5:$F$3004,"""")&lt;&gt;""""),ROWS(E$5:E955)),"""")"),"")</f>
        <v/>
      </c>
      <c r="F9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Helper'!$F$5:$F$3004,"""")&lt;&gt;""""),ROWS(F$5:F955)),IF(AND(LEFT(x,5)=""Page"&amp;" "",ISERROR(SEARCH(""–"",x))),x&amp;""–""&amp;REGEXEXTRACT(x,""[0-9]+$""),x)),"""")"),"")</f>
        <v/>
      </c>
      <c r="G955" s="163"/>
      <c r="H9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Helper'!$F$5:$F$3004,"""")&lt;&gt;""""),ROWS(H$5:H955)),"""")"),"")</f>
        <v/>
      </c>
    </row>
    <row r="956" ht="15.75" customHeight="1">
      <c r="A9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Helper'!$F$5:$F$3004,"""")&lt;&gt;""""),ROWS(A$5:A956)),"""")"),"")</f>
        <v/>
      </c>
      <c r="B9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Helper'!$F$5:$F$3004,"""")&lt;&gt;""""),ROWS(B$5:B956)),"""")"),"")</f>
        <v/>
      </c>
      <c r="C9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Helper'!$F$5:$F$3004,"""")&lt;&gt;""""),ROWS(C$5:C956)),"""")"),"")</f>
        <v/>
      </c>
      <c r="D9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Helper'!$F$5:$F$3004,"""")&lt;&gt;""""),ROWS(D$5:D956)),"""")"),"")</f>
        <v/>
      </c>
      <c r="E9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Helper'!$F$5:$F$3004,"""")&lt;&gt;""""),ROWS(E$5:E956)),"""")"),"")</f>
        <v/>
      </c>
      <c r="F9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Helper'!$F$5:$F$3004,"""")&lt;&gt;""""),ROWS(F$5:F956)),IF(AND(LEFT(x,5)=""Page"&amp;" "",ISERROR(SEARCH(""–"",x))),x&amp;""–""&amp;REGEXEXTRACT(x,""[0-9]+$""),x)),"""")"),"")</f>
        <v/>
      </c>
      <c r="G956" s="163"/>
      <c r="H9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Helper'!$F$5:$F$3004,"""")&lt;&gt;""""),ROWS(H$5:H956)),"""")"),"")</f>
        <v/>
      </c>
    </row>
    <row r="957" ht="15.75" customHeight="1">
      <c r="A9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Helper'!$F$5:$F$3004,"""")&lt;&gt;""""),ROWS(A$5:A957)),"""")"),"")</f>
        <v/>
      </c>
      <c r="B9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Helper'!$F$5:$F$3004,"""")&lt;&gt;""""),ROWS(B$5:B957)),"""")"),"")</f>
        <v/>
      </c>
      <c r="C9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Helper'!$F$5:$F$3004,"""")&lt;&gt;""""),ROWS(C$5:C957)),"""")"),"")</f>
        <v/>
      </c>
      <c r="D9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Helper'!$F$5:$F$3004,"""")&lt;&gt;""""),ROWS(D$5:D957)),"""")"),"")</f>
        <v/>
      </c>
      <c r="E9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Helper'!$F$5:$F$3004,"""")&lt;&gt;""""),ROWS(E$5:E957)),"""")"),"")</f>
        <v/>
      </c>
      <c r="F9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Helper'!$F$5:$F$3004,"""")&lt;&gt;""""),ROWS(F$5:F957)),IF(AND(LEFT(x,5)=""Page"&amp;" "",ISERROR(SEARCH(""–"",x))),x&amp;""–""&amp;REGEXEXTRACT(x,""[0-9]+$""),x)),"""")"),"")</f>
        <v/>
      </c>
      <c r="G957" s="163"/>
      <c r="H9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Helper'!$F$5:$F$3004,"""")&lt;&gt;""""),ROWS(H$5:H957)),"""")"),"")</f>
        <v/>
      </c>
    </row>
    <row r="958" ht="15.75" customHeight="1">
      <c r="A9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Helper'!$F$5:$F$3004,"""")&lt;&gt;""""),ROWS(A$5:A958)),"""")"),"")</f>
        <v/>
      </c>
      <c r="B9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Helper'!$F$5:$F$3004,"""")&lt;&gt;""""),ROWS(B$5:B958)),"""")"),"")</f>
        <v/>
      </c>
      <c r="C9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Helper'!$F$5:$F$3004,"""")&lt;&gt;""""),ROWS(C$5:C958)),"""")"),"")</f>
        <v/>
      </c>
      <c r="D9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Helper'!$F$5:$F$3004,"""")&lt;&gt;""""),ROWS(D$5:D958)),"""")"),"")</f>
        <v/>
      </c>
      <c r="E9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Helper'!$F$5:$F$3004,"""")&lt;&gt;""""),ROWS(E$5:E958)),"""")"),"")</f>
        <v/>
      </c>
      <c r="F9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Helper'!$F$5:$F$3004,"""")&lt;&gt;""""),ROWS(F$5:F958)),IF(AND(LEFT(x,5)=""Page"&amp;" "",ISERROR(SEARCH(""–"",x))),x&amp;""–""&amp;REGEXEXTRACT(x,""[0-9]+$""),x)),"""")"),"")</f>
        <v/>
      </c>
      <c r="G958" s="163"/>
      <c r="H9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Helper'!$F$5:$F$3004,"""")&lt;&gt;""""),ROWS(H$5:H958)),"""")"),"")</f>
        <v/>
      </c>
    </row>
    <row r="959" ht="15.75" customHeight="1">
      <c r="A9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Helper'!$F$5:$F$3004,"""")&lt;&gt;""""),ROWS(A$5:A959)),"""")"),"")</f>
        <v/>
      </c>
      <c r="B9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Helper'!$F$5:$F$3004,"""")&lt;&gt;""""),ROWS(B$5:B959)),"""")"),"")</f>
        <v/>
      </c>
      <c r="C9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Helper'!$F$5:$F$3004,"""")&lt;&gt;""""),ROWS(C$5:C959)),"""")"),"")</f>
        <v/>
      </c>
      <c r="D9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Helper'!$F$5:$F$3004,"""")&lt;&gt;""""),ROWS(D$5:D959)),"""")"),"")</f>
        <v/>
      </c>
      <c r="E9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Helper'!$F$5:$F$3004,"""")&lt;&gt;""""),ROWS(E$5:E959)),"""")"),"")</f>
        <v/>
      </c>
      <c r="F9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Helper'!$F$5:$F$3004,"""")&lt;&gt;""""),ROWS(F$5:F959)),IF(AND(LEFT(x,5)=""Page"&amp;" "",ISERROR(SEARCH(""–"",x))),x&amp;""–""&amp;REGEXEXTRACT(x,""[0-9]+$""),x)),"""")"),"")</f>
        <v/>
      </c>
      <c r="G959" s="163"/>
      <c r="H9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Helper'!$F$5:$F$3004,"""")&lt;&gt;""""),ROWS(H$5:H959)),"""")"),"")</f>
        <v/>
      </c>
    </row>
    <row r="960" ht="15.75" customHeight="1">
      <c r="A9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Helper'!$F$5:$F$3004,"""")&lt;&gt;""""),ROWS(A$5:A960)),"""")"),"")</f>
        <v/>
      </c>
      <c r="B9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Helper'!$F$5:$F$3004,"""")&lt;&gt;""""),ROWS(B$5:B960)),"""")"),"")</f>
        <v/>
      </c>
      <c r="C9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Helper'!$F$5:$F$3004,"""")&lt;&gt;""""),ROWS(C$5:C960)),"""")"),"")</f>
        <v/>
      </c>
      <c r="D9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Helper'!$F$5:$F$3004,"""")&lt;&gt;""""),ROWS(D$5:D960)),"""")"),"")</f>
        <v/>
      </c>
      <c r="E9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Helper'!$F$5:$F$3004,"""")&lt;&gt;""""),ROWS(E$5:E960)),"""")"),"")</f>
        <v/>
      </c>
      <c r="F9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Helper'!$F$5:$F$3004,"""")&lt;&gt;""""),ROWS(F$5:F960)),IF(AND(LEFT(x,5)=""Page"&amp;" "",ISERROR(SEARCH(""–"",x))),x&amp;""–""&amp;REGEXEXTRACT(x,""[0-9]+$""),x)),"""")"),"")</f>
        <v/>
      </c>
      <c r="G960" s="163"/>
      <c r="H9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Helper'!$F$5:$F$3004,"""")&lt;&gt;""""),ROWS(H$5:H960)),"""")"),"")</f>
        <v/>
      </c>
    </row>
    <row r="961" ht="15.75" customHeight="1">
      <c r="A9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Helper'!$F$5:$F$3004,"""")&lt;&gt;""""),ROWS(A$5:A961)),"""")"),"")</f>
        <v/>
      </c>
      <c r="B9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Helper'!$F$5:$F$3004,"""")&lt;&gt;""""),ROWS(B$5:B961)),"""")"),"")</f>
        <v/>
      </c>
      <c r="C9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Helper'!$F$5:$F$3004,"""")&lt;&gt;""""),ROWS(C$5:C961)),"""")"),"")</f>
        <v/>
      </c>
      <c r="D9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Helper'!$F$5:$F$3004,"""")&lt;&gt;""""),ROWS(D$5:D961)),"""")"),"")</f>
        <v/>
      </c>
      <c r="E9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Helper'!$F$5:$F$3004,"""")&lt;&gt;""""),ROWS(E$5:E961)),"""")"),"")</f>
        <v/>
      </c>
      <c r="F9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Helper'!$F$5:$F$3004,"""")&lt;&gt;""""),ROWS(F$5:F961)),IF(AND(LEFT(x,5)=""Page"&amp;" "",ISERROR(SEARCH(""–"",x))),x&amp;""–""&amp;REGEXEXTRACT(x,""[0-9]+$""),x)),"""")"),"")</f>
        <v/>
      </c>
      <c r="G961" s="163"/>
      <c r="H9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Helper'!$F$5:$F$3004,"""")&lt;&gt;""""),ROWS(H$5:H961)),"""")"),"")</f>
        <v/>
      </c>
    </row>
    <row r="962" ht="15.75" customHeight="1">
      <c r="A9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Helper'!$F$5:$F$3004,"""")&lt;&gt;""""),ROWS(A$5:A962)),"""")"),"")</f>
        <v/>
      </c>
      <c r="B9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Helper'!$F$5:$F$3004,"""")&lt;&gt;""""),ROWS(B$5:B962)),"""")"),"")</f>
        <v/>
      </c>
      <c r="C9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Helper'!$F$5:$F$3004,"""")&lt;&gt;""""),ROWS(C$5:C962)),"""")"),"")</f>
        <v/>
      </c>
      <c r="D9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Helper'!$F$5:$F$3004,"""")&lt;&gt;""""),ROWS(D$5:D962)),"""")"),"")</f>
        <v/>
      </c>
      <c r="E9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Helper'!$F$5:$F$3004,"""")&lt;&gt;""""),ROWS(E$5:E962)),"""")"),"")</f>
        <v/>
      </c>
      <c r="F9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Helper'!$F$5:$F$3004,"""")&lt;&gt;""""),ROWS(F$5:F962)),IF(AND(LEFT(x,5)=""Page"&amp;" "",ISERROR(SEARCH(""–"",x))),x&amp;""–""&amp;REGEXEXTRACT(x,""[0-9]+$""),x)),"""")"),"")</f>
        <v/>
      </c>
      <c r="G962" s="163"/>
      <c r="H9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Helper'!$F$5:$F$3004,"""")&lt;&gt;""""),ROWS(H$5:H962)),"""")"),"")</f>
        <v/>
      </c>
    </row>
    <row r="963" ht="15.75" customHeight="1">
      <c r="A9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Helper'!$F$5:$F$3004,"""")&lt;&gt;""""),ROWS(A$5:A963)),"""")"),"")</f>
        <v/>
      </c>
      <c r="B9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Helper'!$F$5:$F$3004,"""")&lt;&gt;""""),ROWS(B$5:B963)),"""")"),"")</f>
        <v/>
      </c>
      <c r="C9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Helper'!$F$5:$F$3004,"""")&lt;&gt;""""),ROWS(C$5:C963)),"""")"),"")</f>
        <v/>
      </c>
      <c r="D9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Helper'!$F$5:$F$3004,"""")&lt;&gt;""""),ROWS(D$5:D963)),"""")"),"")</f>
        <v/>
      </c>
      <c r="E9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Helper'!$F$5:$F$3004,"""")&lt;&gt;""""),ROWS(E$5:E963)),"""")"),"")</f>
        <v/>
      </c>
      <c r="F9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Helper'!$F$5:$F$3004,"""")&lt;&gt;""""),ROWS(F$5:F963)),IF(AND(LEFT(x,5)=""Page"&amp;" "",ISERROR(SEARCH(""–"",x))),x&amp;""–""&amp;REGEXEXTRACT(x,""[0-9]+$""),x)),"""")"),"")</f>
        <v/>
      </c>
      <c r="G963" s="163"/>
      <c r="H9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Helper'!$F$5:$F$3004,"""")&lt;&gt;""""),ROWS(H$5:H963)),"""")"),"")</f>
        <v/>
      </c>
    </row>
    <row r="964" ht="15.75" customHeight="1">
      <c r="A9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Helper'!$F$5:$F$3004,"""")&lt;&gt;""""),ROWS(A$5:A964)),"""")"),"")</f>
        <v/>
      </c>
      <c r="B9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Helper'!$F$5:$F$3004,"""")&lt;&gt;""""),ROWS(B$5:B964)),"""")"),"")</f>
        <v/>
      </c>
      <c r="C9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Helper'!$F$5:$F$3004,"""")&lt;&gt;""""),ROWS(C$5:C964)),"""")"),"")</f>
        <v/>
      </c>
      <c r="D9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Helper'!$F$5:$F$3004,"""")&lt;&gt;""""),ROWS(D$5:D964)),"""")"),"")</f>
        <v/>
      </c>
      <c r="E9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Helper'!$F$5:$F$3004,"""")&lt;&gt;""""),ROWS(E$5:E964)),"""")"),"")</f>
        <v/>
      </c>
      <c r="F9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Helper'!$F$5:$F$3004,"""")&lt;&gt;""""),ROWS(F$5:F964)),IF(AND(LEFT(x,5)=""Page"&amp;" "",ISERROR(SEARCH(""–"",x))),x&amp;""–""&amp;REGEXEXTRACT(x,""[0-9]+$""),x)),"""")"),"")</f>
        <v/>
      </c>
      <c r="G964" s="163"/>
      <c r="H9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Helper'!$F$5:$F$3004,"""")&lt;&gt;""""),ROWS(H$5:H964)),"""")"),"")</f>
        <v/>
      </c>
    </row>
    <row r="965" ht="15.75" customHeight="1">
      <c r="A9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Helper'!$F$5:$F$3004,"""")&lt;&gt;""""),ROWS(A$5:A965)),"""")"),"")</f>
        <v/>
      </c>
      <c r="B9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Helper'!$F$5:$F$3004,"""")&lt;&gt;""""),ROWS(B$5:B965)),"""")"),"")</f>
        <v/>
      </c>
      <c r="C9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Helper'!$F$5:$F$3004,"""")&lt;&gt;""""),ROWS(C$5:C965)),"""")"),"")</f>
        <v/>
      </c>
      <c r="D9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Helper'!$F$5:$F$3004,"""")&lt;&gt;""""),ROWS(D$5:D965)),"""")"),"")</f>
        <v/>
      </c>
      <c r="E9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Helper'!$F$5:$F$3004,"""")&lt;&gt;""""),ROWS(E$5:E965)),"""")"),"")</f>
        <v/>
      </c>
      <c r="F9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Helper'!$F$5:$F$3004,"""")&lt;&gt;""""),ROWS(F$5:F965)),IF(AND(LEFT(x,5)=""Page"&amp;" "",ISERROR(SEARCH(""–"",x))),x&amp;""–""&amp;REGEXEXTRACT(x,""[0-9]+$""),x)),"""")"),"")</f>
        <v/>
      </c>
      <c r="G965" s="163"/>
      <c r="H9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Helper'!$F$5:$F$3004,"""")&lt;&gt;""""),ROWS(H$5:H965)),"""")"),"")</f>
        <v/>
      </c>
    </row>
    <row r="966" ht="15.75" customHeight="1">
      <c r="A9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Helper'!$F$5:$F$3004,"""")&lt;&gt;""""),ROWS(A$5:A966)),"""")"),"")</f>
        <v/>
      </c>
      <c r="B9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Helper'!$F$5:$F$3004,"""")&lt;&gt;""""),ROWS(B$5:B966)),"""")"),"")</f>
        <v/>
      </c>
      <c r="C9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Helper'!$F$5:$F$3004,"""")&lt;&gt;""""),ROWS(C$5:C966)),"""")"),"")</f>
        <v/>
      </c>
      <c r="D9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Helper'!$F$5:$F$3004,"""")&lt;&gt;""""),ROWS(D$5:D966)),"""")"),"")</f>
        <v/>
      </c>
      <c r="E9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Helper'!$F$5:$F$3004,"""")&lt;&gt;""""),ROWS(E$5:E966)),"""")"),"")</f>
        <v/>
      </c>
      <c r="F9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Helper'!$F$5:$F$3004,"""")&lt;&gt;""""),ROWS(F$5:F966)),IF(AND(LEFT(x,5)=""Page"&amp;" "",ISERROR(SEARCH(""–"",x))),x&amp;""–""&amp;REGEXEXTRACT(x,""[0-9]+$""),x)),"""")"),"")</f>
        <v/>
      </c>
      <c r="G966" s="163"/>
      <c r="H9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Helper'!$F$5:$F$3004,"""")&lt;&gt;""""),ROWS(H$5:H966)),"""")"),"")</f>
        <v/>
      </c>
    </row>
    <row r="967" ht="15.75" customHeight="1">
      <c r="A9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Helper'!$F$5:$F$3004,"""")&lt;&gt;""""),ROWS(A$5:A967)),"""")"),"")</f>
        <v/>
      </c>
      <c r="B9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Helper'!$F$5:$F$3004,"""")&lt;&gt;""""),ROWS(B$5:B967)),"""")"),"")</f>
        <v/>
      </c>
      <c r="C9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Helper'!$F$5:$F$3004,"""")&lt;&gt;""""),ROWS(C$5:C967)),"""")"),"")</f>
        <v/>
      </c>
      <c r="D9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Helper'!$F$5:$F$3004,"""")&lt;&gt;""""),ROWS(D$5:D967)),"""")"),"")</f>
        <v/>
      </c>
      <c r="E9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Helper'!$F$5:$F$3004,"""")&lt;&gt;""""),ROWS(E$5:E967)),"""")"),"")</f>
        <v/>
      </c>
      <c r="F9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Helper'!$F$5:$F$3004,"""")&lt;&gt;""""),ROWS(F$5:F967)),IF(AND(LEFT(x,5)=""Page"&amp;" "",ISERROR(SEARCH(""–"",x))),x&amp;""–""&amp;REGEXEXTRACT(x,""[0-9]+$""),x)),"""")"),"")</f>
        <v/>
      </c>
      <c r="G967" s="163"/>
      <c r="H9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Helper'!$F$5:$F$3004,"""")&lt;&gt;""""),ROWS(H$5:H967)),"""")"),"")</f>
        <v/>
      </c>
    </row>
    <row r="968" ht="15.75" customHeight="1">
      <c r="A9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Helper'!$F$5:$F$3004,"""")&lt;&gt;""""),ROWS(A$5:A968)),"""")"),"")</f>
        <v/>
      </c>
      <c r="B9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Helper'!$F$5:$F$3004,"""")&lt;&gt;""""),ROWS(B$5:B968)),"""")"),"")</f>
        <v/>
      </c>
      <c r="C9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Helper'!$F$5:$F$3004,"""")&lt;&gt;""""),ROWS(C$5:C968)),"""")"),"")</f>
        <v/>
      </c>
      <c r="D9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Helper'!$F$5:$F$3004,"""")&lt;&gt;""""),ROWS(D$5:D968)),"""")"),"")</f>
        <v/>
      </c>
      <c r="E9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Helper'!$F$5:$F$3004,"""")&lt;&gt;""""),ROWS(E$5:E968)),"""")"),"")</f>
        <v/>
      </c>
      <c r="F9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Helper'!$F$5:$F$3004,"""")&lt;&gt;""""),ROWS(F$5:F968)),IF(AND(LEFT(x,5)=""Page"&amp;" "",ISERROR(SEARCH(""–"",x))),x&amp;""–""&amp;REGEXEXTRACT(x,""[0-9]+$""),x)),"""")"),"")</f>
        <v/>
      </c>
      <c r="G968" s="163"/>
      <c r="H9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Helper'!$F$5:$F$3004,"""")&lt;&gt;""""),ROWS(H$5:H968)),"""")"),"")</f>
        <v/>
      </c>
    </row>
    <row r="969" ht="15.75" customHeight="1">
      <c r="A9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Helper'!$F$5:$F$3004,"""")&lt;&gt;""""),ROWS(A$5:A969)),"""")"),"")</f>
        <v/>
      </c>
      <c r="B9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Helper'!$F$5:$F$3004,"""")&lt;&gt;""""),ROWS(B$5:B969)),"""")"),"")</f>
        <v/>
      </c>
      <c r="C9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Helper'!$F$5:$F$3004,"""")&lt;&gt;""""),ROWS(C$5:C969)),"""")"),"")</f>
        <v/>
      </c>
      <c r="D9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Helper'!$F$5:$F$3004,"""")&lt;&gt;""""),ROWS(D$5:D969)),"""")"),"")</f>
        <v/>
      </c>
      <c r="E9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Helper'!$F$5:$F$3004,"""")&lt;&gt;""""),ROWS(E$5:E969)),"""")"),"")</f>
        <v/>
      </c>
      <c r="F9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Helper'!$F$5:$F$3004,"""")&lt;&gt;""""),ROWS(F$5:F969)),IF(AND(LEFT(x,5)=""Page"&amp;" "",ISERROR(SEARCH(""–"",x))),x&amp;""–""&amp;REGEXEXTRACT(x,""[0-9]+$""),x)),"""")"),"")</f>
        <v/>
      </c>
      <c r="G969" s="163"/>
      <c r="H9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Helper'!$F$5:$F$3004,"""")&lt;&gt;""""),ROWS(H$5:H969)),"""")"),"")</f>
        <v/>
      </c>
    </row>
    <row r="970" ht="15.75" customHeight="1">
      <c r="A9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Helper'!$F$5:$F$3004,"""")&lt;&gt;""""),ROWS(A$5:A970)),"""")"),"")</f>
        <v/>
      </c>
      <c r="B9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Helper'!$F$5:$F$3004,"""")&lt;&gt;""""),ROWS(B$5:B970)),"""")"),"")</f>
        <v/>
      </c>
      <c r="C9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Helper'!$F$5:$F$3004,"""")&lt;&gt;""""),ROWS(C$5:C970)),"""")"),"")</f>
        <v/>
      </c>
      <c r="D9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Helper'!$F$5:$F$3004,"""")&lt;&gt;""""),ROWS(D$5:D970)),"""")"),"")</f>
        <v/>
      </c>
      <c r="E9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Helper'!$F$5:$F$3004,"""")&lt;&gt;""""),ROWS(E$5:E970)),"""")"),"")</f>
        <v/>
      </c>
      <c r="F9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Helper'!$F$5:$F$3004,"""")&lt;&gt;""""),ROWS(F$5:F970)),IF(AND(LEFT(x,5)=""Page"&amp;" "",ISERROR(SEARCH(""–"",x))),x&amp;""–""&amp;REGEXEXTRACT(x,""[0-9]+$""),x)),"""")"),"")</f>
        <v/>
      </c>
      <c r="G970" s="163"/>
      <c r="H9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Helper'!$F$5:$F$3004,"""")&lt;&gt;""""),ROWS(H$5:H970)),"""")"),"")</f>
        <v/>
      </c>
    </row>
    <row r="971" ht="15.75" customHeight="1">
      <c r="A9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Helper'!$F$5:$F$3004,"""")&lt;&gt;""""),ROWS(A$5:A971)),"""")"),"")</f>
        <v/>
      </c>
      <c r="B9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Helper'!$F$5:$F$3004,"""")&lt;&gt;""""),ROWS(B$5:B971)),"""")"),"")</f>
        <v/>
      </c>
      <c r="C9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Helper'!$F$5:$F$3004,"""")&lt;&gt;""""),ROWS(C$5:C971)),"""")"),"")</f>
        <v/>
      </c>
      <c r="D9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Helper'!$F$5:$F$3004,"""")&lt;&gt;""""),ROWS(D$5:D971)),"""")"),"")</f>
        <v/>
      </c>
      <c r="E9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Helper'!$F$5:$F$3004,"""")&lt;&gt;""""),ROWS(E$5:E971)),"""")"),"")</f>
        <v/>
      </c>
      <c r="F9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Helper'!$F$5:$F$3004,"""")&lt;&gt;""""),ROWS(F$5:F971)),IF(AND(LEFT(x,5)=""Page"&amp;" "",ISERROR(SEARCH(""–"",x))),x&amp;""–""&amp;REGEXEXTRACT(x,""[0-9]+$""),x)),"""")"),"")</f>
        <v/>
      </c>
      <c r="G971" s="163"/>
      <c r="H9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Helper'!$F$5:$F$3004,"""")&lt;&gt;""""),ROWS(H$5:H971)),"""")"),"")</f>
        <v/>
      </c>
    </row>
    <row r="972" ht="15.75" customHeight="1">
      <c r="A9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Helper'!$F$5:$F$3004,"""")&lt;&gt;""""),ROWS(A$5:A972)),"""")"),"")</f>
        <v/>
      </c>
      <c r="B9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Helper'!$F$5:$F$3004,"""")&lt;&gt;""""),ROWS(B$5:B972)),"""")"),"")</f>
        <v/>
      </c>
      <c r="C9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Helper'!$F$5:$F$3004,"""")&lt;&gt;""""),ROWS(C$5:C972)),"""")"),"")</f>
        <v/>
      </c>
      <c r="D9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Helper'!$F$5:$F$3004,"""")&lt;&gt;""""),ROWS(D$5:D972)),"""")"),"")</f>
        <v/>
      </c>
      <c r="E9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Helper'!$F$5:$F$3004,"""")&lt;&gt;""""),ROWS(E$5:E972)),"""")"),"")</f>
        <v/>
      </c>
      <c r="F9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Helper'!$F$5:$F$3004,"""")&lt;&gt;""""),ROWS(F$5:F972)),IF(AND(LEFT(x,5)=""Page"&amp;" "",ISERROR(SEARCH(""–"",x))),x&amp;""–""&amp;REGEXEXTRACT(x,""[0-9]+$""),x)),"""")"),"")</f>
        <v/>
      </c>
      <c r="G972" s="163"/>
      <c r="H9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Helper'!$F$5:$F$3004,"""")&lt;&gt;""""),ROWS(H$5:H972)),"""")"),"")</f>
        <v/>
      </c>
    </row>
    <row r="973" ht="15.75" customHeight="1">
      <c r="A9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Helper'!$F$5:$F$3004,"""")&lt;&gt;""""),ROWS(A$5:A973)),"""")"),"")</f>
        <v/>
      </c>
      <c r="B9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Helper'!$F$5:$F$3004,"""")&lt;&gt;""""),ROWS(B$5:B973)),"""")"),"")</f>
        <v/>
      </c>
      <c r="C9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Helper'!$F$5:$F$3004,"""")&lt;&gt;""""),ROWS(C$5:C973)),"""")"),"")</f>
        <v/>
      </c>
      <c r="D9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Helper'!$F$5:$F$3004,"""")&lt;&gt;""""),ROWS(D$5:D973)),"""")"),"")</f>
        <v/>
      </c>
      <c r="E9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Helper'!$F$5:$F$3004,"""")&lt;&gt;""""),ROWS(E$5:E973)),"""")"),"")</f>
        <v/>
      </c>
      <c r="F9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Helper'!$F$5:$F$3004,"""")&lt;&gt;""""),ROWS(F$5:F973)),IF(AND(LEFT(x,5)=""Page"&amp;" "",ISERROR(SEARCH(""–"",x))),x&amp;""–""&amp;REGEXEXTRACT(x,""[0-9]+$""),x)),"""")"),"")</f>
        <v/>
      </c>
      <c r="G973" s="163"/>
      <c r="H9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Helper'!$F$5:$F$3004,"""")&lt;&gt;""""),ROWS(H$5:H973)),"""")"),"")</f>
        <v/>
      </c>
    </row>
    <row r="974" ht="15.75" customHeight="1">
      <c r="A9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Helper'!$F$5:$F$3004,"""")&lt;&gt;""""),ROWS(A$5:A974)),"""")"),"")</f>
        <v/>
      </c>
      <c r="B9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Helper'!$F$5:$F$3004,"""")&lt;&gt;""""),ROWS(B$5:B974)),"""")"),"")</f>
        <v/>
      </c>
      <c r="C9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Helper'!$F$5:$F$3004,"""")&lt;&gt;""""),ROWS(C$5:C974)),"""")"),"")</f>
        <v/>
      </c>
      <c r="D9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Helper'!$F$5:$F$3004,"""")&lt;&gt;""""),ROWS(D$5:D974)),"""")"),"")</f>
        <v/>
      </c>
      <c r="E9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Helper'!$F$5:$F$3004,"""")&lt;&gt;""""),ROWS(E$5:E974)),"""")"),"")</f>
        <v/>
      </c>
      <c r="F9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Helper'!$F$5:$F$3004,"""")&lt;&gt;""""),ROWS(F$5:F974)),IF(AND(LEFT(x,5)=""Page"&amp;" "",ISERROR(SEARCH(""–"",x))),x&amp;""–""&amp;REGEXEXTRACT(x,""[0-9]+$""),x)),"""")"),"")</f>
        <v/>
      </c>
      <c r="G974" s="163"/>
      <c r="H9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Helper'!$F$5:$F$3004,"""")&lt;&gt;""""),ROWS(H$5:H974)),"""")"),"")</f>
        <v/>
      </c>
    </row>
    <row r="975" ht="15.75" customHeight="1">
      <c r="A9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Helper'!$F$5:$F$3004,"""")&lt;&gt;""""),ROWS(A$5:A975)),"""")"),"")</f>
        <v/>
      </c>
      <c r="B9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Helper'!$F$5:$F$3004,"""")&lt;&gt;""""),ROWS(B$5:B975)),"""")"),"")</f>
        <v/>
      </c>
      <c r="C9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Helper'!$F$5:$F$3004,"""")&lt;&gt;""""),ROWS(C$5:C975)),"""")"),"")</f>
        <v/>
      </c>
      <c r="D9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Helper'!$F$5:$F$3004,"""")&lt;&gt;""""),ROWS(D$5:D975)),"""")"),"")</f>
        <v/>
      </c>
      <c r="E9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Helper'!$F$5:$F$3004,"""")&lt;&gt;""""),ROWS(E$5:E975)),"""")"),"")</f>
        <v/>
      </c>
      <c r="F9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Helper'!$F$5:$F$3004,"""")&lt;&gt;""""),ROWS(F$5:F975)),IF(AND(LEFT(x,5)=""Page"&amp;" "",ISERROR(SEARCH(""–"",x))),x&amp;""–""&amp;REGEXEXTRACT(x,""[0-9]+$""),x)),"""")"),"")</f>
        <v/>
      </c>
      <c r="G975" s="163"/>
      <c r="H9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Helper'!$F$5:$F$3004,"""")&lt;&gt;""""),ROWS(H$5:H975)),"""")"),"")</f>
        <v/>
      </c>
    </row>
    <row r="976" ht="15.75" customHeight="1">
      <c r="A9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Helper'!$F$5:$F$3004,"""")&lt;&gt;""""),ROWS(A$5:A976)),"""")"),"")</f>
        <v/>
      </c>
      <c r="B9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Helper'!$F$5:$F$3004,"""")&lt;&gt;""""),ROWS(B$5:B976)),"""")"),"")</f>
        <v/>
      </c>
      <c r="C9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Helper'!$F$5:$F$3004,"""")&lt;&gt;""""),ROWS(C$5:C976)),"""")"),"")</f>
        <v/>
      </c>
      <c r="D9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Helper'!$F$5:$F$3004,"""")&lt;&gt;""""),ROWS(D$5:D976)),"""")"),"")</f>
        <v/>
      </c>
      <c r="E9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Helper'!$F$5:$F$3004,"""")&lt;&gt;""""),ROWS(E$5:E976)),"""")"),"")</f>
        <v/>
      </c>
      <c r="F9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Helper'!$F$5:$F$3004,"""")&lt;&gt;""""),ROWS(F$5:F976)),IF(AND(LEFT(x,5)=""Page"&amp;" "",ISERROR(SEARCH(""–"",x))),x&amp;""–""&amp;REGEXEXTRACT(x,""[0-9]+$""),x)),"""")"),"")</f>
        <v/>
      </c>
      <c r="G976" s="163"/>
      <c r="H9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Helper'!$F$5:$F$3004,"""")&lt;&gt;""""),ROWS(H$5:H976)),"""")"),"")</f>
        <v/>
      </c>
    </row>
    <row r="977" ht="15.75" customHeight="1">
      <c r="A9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Helper'!$F$5:$F$3004,"""")&lt;&gt;""""),ROWS(A$5:A977)),"""")"),"")</f>
        <v/>
      </c>
      <c r="B9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Helper'!$F$5:$F$3004,"""")&lt;&gt;""""),ROWS(B$5:B977)),"""")"),"")</f>
        <v/>
      </c>
      <c r="C9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Helper'!$F$5:$F$3004,"""")&lt;&gt;""""),ROWS(C$5:C977)),"""")"),"")</f>
        <v/>
      </c>
      <c r="D9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Helper'!$F$5:$F$3004,"""")&lt;&gt;""""),ROWS(D$5:D977)),"""")"),"")</f>
        <v/>
      </c>
      <c r="E9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Helper'!$F$5:$F$3004,"""")&lt;&gt;""""),ROWS(E$5:E977)),"""")"),"")</f>
        <v/>
      </c>
      <c r="F9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Helper'!$F$5:$F$3004,"""")&lt;&gt;""""),ROWS(F$5:F977)),IF(AND(LEFT(x,5)=""Page"&amp;" "",ISERROR(SEARCH(""–"",x))),x&amp;""–""&amp;REGEXEXTRACT(x,""[0-9]+$""),x)),"""")"),"")</f>
        <v/>
      </c>
      <c r="G977" s="163"/>
      <c r="H9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Helper'!$F$5:$F$3004,"""")&lt;&gt;""""),ROWS(H$5:H977)),"""")"),"")</f>
        <v/>
      </c>
    </row>
    <row r="978" ht="15.75" customHeight="1">
      <c r="A9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Helper'!$F$5:$F$3004,"""")&lt;&gt;""""),ROWS(A$5:A978)),"""")"),"")</f>
        <v/>
      </c>
      <c r="B9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Helper'!$F$5:$F$3004,"""")&lt;&gt;""""),ROWS(B$5:B978)),"""")"),"")</f>
        <v/>
      </c>
      <c r="C9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Helper'!$F$5:$F$3004,"""")&lt;&gt;""""),ROWS(C$5:C978)),"""")"),"")</f>
        <v/>
      </c>
      <c r="D9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Helper'!$F$5:$F$3004,"""")&lt;&gt;""""),ROWS(D$5:D978)),"""")"),"")</f>
        <v/>
      </c>
      <c r="E9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Helper'!$F$5:$F$3004,"""")&lt;&gt;""""),ROWS(E$5:E978)),"""")"),"")</f>
        <v/>
      </c>
      <c r="F9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Helper'!$F$5:$F$3004,"""")&lt;&gt;""""),ROWS(F$5:F978)),IF(AND(LEFT(x,5)=""Page"&amp;" "",ISERROR(SEARCH(""–"",x))),x&amp;""–""&amp;REGEXEXTRACT(x,""[0-9]+$""),x)),"""")"),"")</f>
        <v/>
      </c>
      <c r="G978" s="163"/>
      <c r="H9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Helper'!$F$5:$F$3004,"""")&lt;&gt;""""),ROWS(H$5:H978)),"""")"),"")</f>
        <v/>
      </c>
    </row>
    <row r="979" ht="15.75" customHeight="1">
      <c r="A9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Helper'!$F$5:$F$3004,"""")&lt;&gt;""""),ROWS(A$5:A979)),"""")"),"")</f>
        <v/>
      </c>
      <c r="B9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Helper'!$F$5:$F$3004,"""")&lt;&gt;""""),ROWS(B$5:B979)),"""")"),"")</f>
        <v/>
      </c>
      <c r="C9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Helper'!$F$5:$F$3004,"""")&lt;&gt;""""),ROWS(C$5:C979)),"""")"),"")</f>
        <v/>
      </c>
      <c r="D9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Helper'!$F$5:$F$3004,"""")&lt;&gt;""""),ROWS(D$5:D979)),"""")"),"")</f>
        <v/>
      </c>
      <c r="E9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Helper'!$F$5:$F$3004,"""")&lt;&gt;""""),ROWS(E$5:E979)),"""")"),"")</f>
        <v/>
      </c>
      <c r="F9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Helper'!$F$5:$F$3004,"""")&lt;&gt;""""),ROWS(F$5:F979)),IF(AND(LEFT(x,5)=""Page"&amp;" "",ISERROR(SEARCH(""–"",x))),x&amp;""–""&amp;REGEXEXTRACT(x,""[0-9]+$""),x)),"""")"),"")</f>
        <v/>
      </c>
      <c r="G979" s="163"/>
      <c r="H9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Helper'!$F$5:$F$3004,"""")&lt;&gt;""""),ROWS(H$5:H979)),"""")"),"")</f>
        <v/>
      </c>
    </row>
    <row r="980" ht="15.75" customHeight="1">
      <c r="A9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Helper'!$F$5:$F$3004,"""")&lt;&gt;""""),ROWS(A$5:A980)),"""")"),"")</f>
        <v/>
      </c>
      <c r="B9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Helper'!$F$5:$F$3004,"""")&lt;&gt;""""),ROWS(B$5:B980)),"""")"),"")</f>
        <v/>
      </c>
      <c r="C9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Helper'!$F$5:$F$3004,"""")&lt;&gt;""""),ROWS(C$5:C980)),"""")"),"")</f>
        <v/>
      </c>
      <c r="D9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Helper'!$F$5:$F$3004,"""")&lt;&gt;""""),ROWS(D$5:D980)),"""")"),"")</f>
        <v/>
      </c>
      <c r="E9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Helper'!$F$5:$F$3004,"""")&lt;&gt;""""),ROWS(E$5:E980)),"""")"),"")</f>
        <v/>
      </c>
      <c r="F9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Helper'!$F$5:$F$3004,"""")&lt;&gt;""""),ROWS(F$5:F980)),IF(AND(LEFT(x,5)=""Page"&amp;" "",ISERROR(SEARCH(""–"",x))),x&amp;""–""&amp;REGEXEXTRACT(x,""[0-9]+$""),x)),"""")"),"")</f>
        <v/>
      </c>
      <c r="G980" s="163"/>
      <c r="H9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Helper'!$F$5:$F$3004,"""")&lt;&gt;""""),ROWS(H$5:H980)),"""")"),"")</f>
        <v/>
      </c>
    </row>
    <row r="981" ht="15.75" customHeight="1">
      <c r="A9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Helper'!$F$5:$F$3004,"""")&lt;&gt;""""),ROWS(A$5:A981)),"""")"),"")</f>
        <v/>
      </c>
      <c r="B9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Helper'!$F$5:$F$3004,"""")&lt;&gt;""""),ROWS(B$5:B981)),"""")"),"")</f>
        <v/>
      </c>
      <c r="C9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Helper'!$F$5:$F$3004,"""")&lt;&gt;""""),ROWS(C$5:C981)),"""")"),"")</f>
        <v/>
      </c>
      <c r="D9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Helper'!$F$5:$F$3004,"""")&lt;&gt;""""),ROWS(D$5:D981)),"""")"),"")</f>
        <v/>
      </c>
      <c r="E9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Helper'!$F$5:$F$3004,"""")&lt;&gt;""""),ROWS(E$5:E981)),"""")"),"")</f>
        <v/>
      </c>
      <c r="F9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Helper'!$F$5:$F$3004,"""")&lt;&gt;""""),ROWS(F$5:F981)),IF(AND(LEFT(x,5)=""Page"&amp;" "",ISERROR(SEARCH(""–"",x))),x&amp;""–""&amp;REGEXEXTRACT(x,""[0-9]+$""),x)),"""")"),"")</f>
        <v/>
      </c>
      <c r="G981" s="163"/>
      <c r="H9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Helper'!$F$5:$F$3004,"""")&lt;&gt;""""),ROWS(H$5:H981)),"""")"),"")</f>
        <v/>
      </c>
    </row>
    <row r="982" ht="15.75" customHeight="1">
      <c r="A9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Helper'!$F$5:$F$3004,"""")&lt;&gt;""""),ROWS(A$5:A982)),"""")"),"")</f>
        <v/>
      </c>
      <c r="B9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Helper'!$F$5:$F$3004,"""")&lt;&gt;""""),ROWS(B$5:B982)),"""")"),"")</f>
        <v/>
      </c>
      <c r="C9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Helper'!$F$5:$F$3004,"""")&lt;&gt;""""),ROWS(C$5:C982)),"""")"),"")</f>
        <v/>
      </c>
      <c r="D9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Helper'!$F$5:$F$3004,"""")&lt;&gt;""""),ROWS(D$5:D982)),"""")"),"")</f>
        <v/>
      </c>
      <c r="E9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Helper'!$F$5:$F$3004,"""")&lt;&gt;""""),ROWS(E$5:E982)),"""")"),"")</f>
        <v/>
      </c>
      <c r="F9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Helper'!$F$5:$F$3004,"""")&lt;&gt;""""),ROWS(F$5:F982)),IF(AND(LEFT(x,5)=""Page"&amp;" "",ISERROR(SEARCH(""–"",x))),x&amp;""–""&amp;REGEXEXTRACT(x,""[0-9]+$""),x)),"""")"),"")</f>
        <v/>
      </c>
      <c r="G982" s="163"/>
      <c r="H9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Helper'!$F$5:$F$3004,"""")&lt;&gt;""""),ROWS(H$5:H982)),"""")"),"")</f>
        <v/>
      </c>
    </row>
    <row r="983" ht="15.75" customHeight="1">
      <c r="A9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Helper'!$F$5:$F$3004,"""")&lt;&gt;""""),ROWS(A$5:A983)),"""")"),"")</f>
        <v/>
      </c>
      <c r="B9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Helper'!$F$5:$F$3004,"""")&lt;&gt;""""),ROWS(B$5:B983)),"""")"),"")</f>
        <v/>
      </c>
      <c r="C9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Helper'!$F$5:$F$3004,"""")&lt;&gt;""""),ROWS(C$5:C983)),"""")"),"")</f>
        <v/>
      </c>
      <c r="D9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Helper'!$F$5:$F$3004,"""")&lt;&gt;""""),ROWS(D$5:D983)),"""")"),"")</f>
        <v/>
      </c>
      <c r="E9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Helper'!$F$5:$F$3004,"""")&lt;&gt;""""),ROWS(E$5:E983)),"""")"),"")</f>
        <v/>
      </c>
      <c r="F9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Helper'!$F$5:$F$3004,"""")&lt;&gt;""""),ROWS(F$5:F983)),IF(AND(LEFT(x,5)=""Page"&amp;" "",ISERROR(SEARCH(""–"",x))),x&amp;""–""&amp;REGEXEXTRACT(x,""[0-9]+$""),x)),"""")"),"")</f>
        <v/>
      </c>
      <c r="G983" s="163"/>
      <c r="H9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Helper'!$F$5:$F$3004,"""")&lt;&gt;""""),ROWS(H$5:H983)),"""")"),"")</f>
        <v/>
      </c>
    </row>
    <row r="984" ht="15.75" customHeight="1">
      <c r="A9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Helper'!$F$5:$F$3004,"""")&lt;&gt;""""),ROWS(A$5:A984)),"""")"),"")</f>
        <v/>
      </c>
      <c r="B9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Helper'!$F$5:$F$3004,"""")&lt;&gt;""""),ROWS(B$5:B984)),"""")"),"")</f>
        <v/>
      </c>
      <c r="C9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Helper'!$F$5:$F$3004,"""")&lt;&gt;""""),ROWS(C$5:C984)),"""")"),"")</f>
        <v/>
      </c>
      <c r="D9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Helper'!$F$5:$F$3004,"""")&lt;&gt;""""),ROWS(D$5:D984)),"""")"),"")</f>
        <v/>
      </c>
      <c r="E9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Helper'!$F$5:$F$3004,"""")&lt;&gt;""""),ROWS(E$5:E984)),"""")"),"")</f>
        <v/>
      </c>
      <c r="F9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Helper'!$F$5:$F$3004,"""")&lt;&gt;""""),ROWS(F$5:F984)),IF(AND(LEFT(x,5)=""Page"&amp;" "",ISERROR(SEARCH(""–"",x))),x&amp;""–""&amp;REGEXEXTRACT(x,""[0-9]+$""),x)),"""")"),"")</f>
        <v/>
      </c>
      <c r="G984" s="163"/>
      <c r="H9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Helper'!$F$5:$F$3004,"""")&lt;&gt;""""),ROWS(H$5:H984)),"""")"),"")</f>
        <v/>
      </c>
    </row>
    <row r="985" ht="15.75" customHeight="1">
      <c r="A9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Helper'!$F$5:$F$3004,"""")&lt;&gt;""""),ROWS(A$5:A985)),"""")"),"")</f>
        <v/>
      </c>
      <c r="B9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Helper'!$F$5:$F$3004,"""")&lt;&gt;""""),ROWS(B$5:B985)),"""")"),"")</f>
        <v/>
      </c>
      <c r="C9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Helper'!$F$5:$F$3004,"""")&lt;&gt;""""),ROWS(C$5:C985)),"""")"),"")</f>
        <v/>
      </c>
      <c r="D9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Helper'!$F$5:$F$3004,"""")&lt;&gt;""""),ROWS(D$5:D985)),"""")"),"")</f>
        <v/>
      </c>
      <c r="E9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Helper'!$F$5:$F$3004,"""")&lt;&gt;""""),ROWS(E$5:E985)),"""")"),"")</f>
        <v/>
      </c>
      <c r="F9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Helper'!$F$5:$F$3004,"""")&lt;&gt;""""),ROWS(F$5:F985)),IF(AND(LEFT(x,5)=""Page"&amp;" "",ISERROR(SEARCH(""–"",x))),x&amp;""–""&amp;REGEXEXTRACT(x,""[0-9]+$""),x)),"""")"),"")</f>
        <v/>
      </c>
      <c r="G985" s="163"/>
      <c r="H9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Helper'!$F$5:$F$3004,"""")&lt;&gt;""""),ROWS(H$5:H985)),"""")"),"")</f>
        <v/>
      </c>
    </row>
    <row r="986" ht="15.75" customHeight="1">
      <c r="A9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Helper'!$F$5:$F$3004,"""")&lt;&gt;""""),ROWS(A$5:A986)),"""")"),"")</f>
        <v/>
      </c>
      <c r="B9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Helper'!$F$5:$F$3004,"""")&lt;&gt;""""),ROWS(B$5:B986)),"""")"),"")</f>
        <v/>
      </c>
      <c r="C9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Helper'!$F$5:$F$3004,"""")&lt;&gt;""""),ROWS(C$5:C986)),"""")"),"")</f>
        <v/>
      </c>
      <c r="D9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Helper'!$F$5:$F$3004,"""")&lt;&gt;""""),ROWS(D$5:D986)),"""")"),"")</f>
        <v/>
      </c>
      <c r="E9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Helper'!$F$5:$F$3004,"""")&lt;&gt;""""),ROWS(E$5:E986)),"""")"),"")</f>
        <v/>
      </c>
      <c r="F9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Helper'!$F$5:$F$3004,"""")&lt;&gt;""""),ROWS(F$5:F986)),IF(AND(LEFT(x,5)=""Page"&amp;" "",ISERROR(SEARCH(""–"",x))),x&amp;""–""&amp;REGEXEXTRACT(x,""[0-9]+$""),x)),"""")"),"")</f>
        <v/>
      </c>
      <c r="G986" s="163"/>
      <c r="H9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Helper'!$F$5:$F$3004,"""")&lt;&gt;""""),ROWS(H$5:H986)),"""")"),"")</f>
        <v/>
      </c>
    </row>
    <row r="987" ht="15.75" customHeight="1">
      <c r="A9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Helper'!$F$5:$F$3004,"""")&lt;&gt;""""),ROWS(A$5:A987)),"""")"),"")</f>
        <v/>
      </c>
      <c r="B9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Helper'!$F$5:$F$3004,"""")&lt;&gt;""""),ROWS(B$5:B987)),"""")"),"")</f>
        <v/>
      </c>
      <c r="C9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Helper'!$F$5:$F$3004,"""")&lt;&gt;""""),ROWS(C$5:C987)),"""")"),"")</f>
        <v/>
      </c>
      <c r="D9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Helper'!$F$5:$F$3004,"""")&lt;&gt;""""),ROWS(D$5:D987)),"""")"),"")</f>
        <v/>
      </c>
      <c r="E9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Helper'!$F$5:$F$3004,"""")&lt;&gt;""""),ROWS(E$5:E987)),"""")"),"")</f>
        <v/>
      </c>
      <c r="F9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Helper'!$F$5:$F$3004,"""")&lt;&gt;""""),ROWS(F$5:F987)),IF(AND(LEFT(x,5)=""Page"&amp;" "",ISERROR(SEARCH(""–"",x))),x&amp;""–""&amp;REGEXEXTRACT(x,""[0-9]+$""),x)),"""")"),"")</f>
        <v/>
      </c>
      <c r="G987" s="163"/>
      <c r="H9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Helper'!$F$5:$F$3004,"""")&lt;&gt;""""),ROWS(H$5:H987)),"""")"),"")</f>
        <v/>
      </c>
    </row>
    <row r="988" ht="15.75" customHeight="1">
      <c r="A9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Helper'!$F$5:$F$3004,"""")&lt;&gt;""""),ROWS(A$5:A988)),"""")"),"")</f>
        <v/>
      </c>
      <c r="B9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Helper'!$F$5:$F$3004,"""")&lt;&gt;""""),ROWS(B$5:B988)),"""")"),"")</f>
        <v/>
      </c>
      <c r="C9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Helper'!$F$5:$F$3004,"""")&lt;&gt;""""),ROWS(C$5:C988)),"""")"),"")</f>
        <v/>
      </c>
      <c r="D9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Helper'!$F$5:$F$3004,"""")&lt;&gt;""""),ROWS(D$5:D988)),"""")"),"")</f>
        <v/>
      </c>
      <c r="E9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Helper'!$F$5:$F$3004,"""")&lt;&gt;""""),ROWS(E$5:E988)),"""")"),"")</f>
        <v/>
      </c>
      <c r="F9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Helper'!$F$5:$F$3004,"""")&lt;&gt;""""),ROWS(F$5:F988)),IF(AND(LEFT(x,5)=""Page"&amp;" "",ISERROR(SEARCH(""–"",x))),x&amp;""–""&amp;REGEXEXTRACT(x,""[0-9]+$""),x)),"""")"),"")</f>
        <v/>
      </c>
      <c r="G988" s="163"/>
      <c r="H9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Helper'!$F$5:$F$3004,"""")&lt;&gt;""""),ROWS(H$5:H988)),"""")"),"")</f>
        <v/>
      </c>
    </row>
    <row r="989" ht="15.75" customHeight="1">
      <c r="A9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Helper'!$F$5:$F$3004,"""")&lt;&gt;""""),ROWS(A$5:A989)),"""")"),"")</f>
        <v/>
      </c>
      <c r="B9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Helper'!$F$5:$F$3004,"""")&lt;&gt;""""),ROWS(B$5:B989)),"""")"),"")</f>
        <v/>
      </c>
      <c r="C9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Helper'!$F$5:$F$3004,"""")&lt;&gt;""""),ROWS(C$5:C989)),"""")"),"")</f>
        <v/>
      </c>
      <c r="D9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Helper'!$F$5:$F$3004,"""")&lt;&gt;""""),ROWS(D$5:D989)),"""")"),"")</f>
        <v/>
      </c>
      <c r="E9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Helper'!$F$5:$F$3004,"""")&lt;&gt;""""),ROWS(E$5:E989)),"""")"),"")</f>
        <v/>
      </c>
      <c r="F9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Helper'!$F$5:$F$3004,"""")&lt;&gt;""""),ROWS(F$5:F989)),IF(AND(LEFT(x,5)=""Page"&amp;" "",ISERROR(SEARCH(""–"",x))),x&amp;""–""&amp;REGEXEXTRACT(x,""[0-9]+$""),x)),"""")"),"")</f>
        <v/>
      </c>
      <c r="G989" s="163"/>
      <c r="H9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Helper'!$F$5:$F$3004,"""")&lt;&gt;""""),ROWS(H$5:H989)),"""")"),"")</f>
        <v/>
      </c>
    </row>
    <row r="990" ht="15.75" customHeight="1">
      <c r="A9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Helper'!$F$5:$F$3004,"""")&lt;&gt;""""),ROWS(A$5:A990)),"""")"),"")</f>
        <v/>
      </c>
      <c r="B9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Helper'!$F$5:$F$3004,"""")&lt;&gt;""""),ROWS(B$5:B990)),"""")"),"")</f>
        <v/>
      </c>
      <c r="C9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Helper'!$F$5:$F$3004,"""")&lt;&gt;""""),ROWS(C$5:C990)),"""")"),"")</f>
        <v/>
      </c>
      <c r="D9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Helper'!$F$5:$F$3004,"""")&lt;&gt;""""),ROWS(D$5:D990)),"""")"),"")</f>
        <v/>
      </c>
      <c r="E9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Helper'!$F$5:$F$3004,"""")&lt;&gt;""""),ROWS(E$5:E990)),"""")"),"")</f>
        <v/>
      </c>
      <c r="F9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Helper'!$F$5:$F$3004,"""")&lt;&gt;""""),ROWS(F$5:F990)),IF(AND(LEFT(x,5)=""Page"&amp;" "",ISERROR(SEARCH(""–"",x))),x&amp;""–""&amp;REGEXEXTRACT(x,""[0-9]+$""),x)),"""")"),"")</f>
        <v/>
      </c>
      <c r="G990" s="163"/>
      <c r="H9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Helper'!$F$5:$F$3004,"""")&lt;&gt;""""),ROWS(H$5:H990)),"""")"),"")</f>
        <v/>
      </c>
    </row>
    <row r="991" ht="15.75" customHeight="1">
      <c r="A9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Helper'!$F$5:$F$3004,"""")&lt;&gt;""""),ROWS(A$5:A991)),"""")"),"")</f>
        <v/>
      </c>
      <c r="B9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Helper'!$F$5:$F$3004,"""")&lt;&gt;""""),ROWS(B$5:B991)),"""")"),"")</f>
        <v/>
      </c>
      <c r="C9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Helper'!$F$5:$F$3004,"""")&lt;&gt;""""),ROWS(C$5:C991)),"""")"),"")</f>
        <v/>
      </c>
      <c r="D9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Helper'!$F$5:$F$3004,"""")&lt;&gt;""""),ROWS(D$5:D991)),"""")"),"")</f>
        <v/>
      </c>
      <c r="E9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Helper'!$F$5:$F$3004,"""")&lt;&gt;""""),ROWS(E$5:E991)),"""")"),"")</f>
        <v/>
      </c>
      <c r="F9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Helper'!$F$5:$F$3004,"""")&lt;&gt;""""),ROWS(F$5:F991)),IF(AND(LEFT(x,5)=""Page"&amp;" "",ISERROR(SEARCH(""–"",x))),x&amp;""–""&amp;REGEXEXTRACT(x,""[0-9]+$""),x)),"""")"),"")</f>
        <v/>
      </c>
      <c r="G991" s="163"/>
      <c r="H9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Helper'!$F$5:$F$3004,"""")&lt;&gt;""""),ROWS(H$5:H991)),"""")"),"")</f>
        <v/>
      </c>
    </row>
    <row r="992" ht="15.75" customHeight="1">
      <c r="A9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Helper'!$F$5:$F$3004,"""")&lt;&gt;""""),ROWS(A$5:A992)),"""")"),"")</f>
        <v/>
      </c>
      <c r="B9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Helper'!$F$5:$F$3004,"""")&lt;&gt;""""),ROWS(B$5:B992)),"""")"),"")</f>
        <v/>
      </c>
      <c r="C9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Helper'!$F$5:$F$3004,"""")&lt;&gt;""""),ROWS(C$5:C992)),"""")"),"")</f>
        <v/>
      </c>
      <c r="D9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Helper'!$F$5:$F$3004,"""")&lt;&gt;""""),ROWS(D$5:D992)),"""")"),"")</f>
        <v/>
      </c>
      <c r="E9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Helper'!$F$5:$F$3004,"""")&lt;&gt;""""),ROWS(E$5:E992)),"""")"),"")</f>
        <v/>
      </c>
      <c r="F9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Helper'!$F$5:$F$3004,"""")&lt;&gt;""""),ROWS(F$5:F992)),IF(AND(LEFT(x,5)=""Page"&amp;" "",ISERROR(SEARCH(""–"",x))),x&amp;""–""&amp;REGEXEXTRACT(x,""[0-9]+$""),x)),"""")"),"")</f>
        <v/>
      </c>
      <c r="G992" s="163"/>
      <c r="H9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Helper'!$F$5:$F$3004,"""")&lt;&gt;""""),ROWS(H$5:H992)),"""")"),"")</f>
        <v/>
      </c>
    </row>
    <row r="993" ht="15.75" customHeight="1">
      <c r="A9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Helper'!$F$5:$F$3004,"""")&lt;&gt;""""),ROWS(A$5:A993)),"""")"),"")</f>
        <v/>
      </c>
      <c r="B9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Helper'!$F$5:$F$3004,"""")&lt;&gt;""""),ROWS(B$5:B993)),"""")"),"")</f>
        <v/>
      </c>
      <c r="C9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Helper'!$F$5:$F$3004,"""")&lt;&gt;""""),ROWS(C$5:C993)),"""")"),"")</f>
        <v/>
      </c>
      <c r="D9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Helper'!$F$5:$F$3004,"""")&lt;&gt;""""),ROWS(D$5:D993)),"""")"),"")</f>
        <v/>
      </c>
      <c r="E9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Helper'!$F$5:$F$3004,"""")&lt;&gt;""""),ROWS(E$5:E993)),"""")"),"")</f>
        <v/>
      </c>
      <c r="F9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Helper'!$F$5:$F$3004,"""")&lt;&gt;""""),ROWS(F$5:F993)),IF(AND(LEFT(x,5)=""Page"&amp;" "",ISERROR(SEARCH(""–"",x))),x&amp;""–""&amp;REGEXEXTRACT(x,""[0-9]+$""),x)),"""")"),"")</f>
        <v/>
      </c>
      <c r="G993" s="163"/>
      <c r="H9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Helper'!$F$5:$F$3004,"""")&lt;&gt;""""),ROWS(H$5:H993)),"""")"),"")</f>
        <v/>
      </c>
    </row>
    <row r="994" ht="15.75" customHeight="1">
      <c r="A9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Helper'!$F$5:$F$3004,"""")&lt;&gt;""""),ROWS(A$5:A994)),"""")"),"")</f>
        <v/>
      </c>
      <c r="B9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Helper'!$F$5:$F$3004,"""")&lt;&gt;""""),ROWS(B$5:B994)),"""")"),"")</f>
        <v/>
      </c>
      <c r="C9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Helper'!$F$5:$F$3004,"""")&lt;&gt;""""),ROWS(C$5:C994)),"""")"),"")</f>
        <v/>
      </c>
      <c r="D9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Helper'!$F$5:$F$3004,"""")&lt;&gt;""""),ROWS(D$5:D994)),"""")"),"")</f>
        <v/>
      </c>
      <c r="E9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Helper'!$F$5:$F$3004,"""")&lt;&gt;""""),ROWS(E$5:E994)),"""")"),"")</f>
        <v/>
      </c>
      <c r="F9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Helper'!$F$5:$F$3004,"""")&lt;&gt;""""),ROWS(F$5:F994)),IF(AND(LEFT(x,5)=""Page"&amp;" "",ISERROR(SEARCH(""–"",x))),x&amp;""–""&amp;REGEXEXTRACT(x,""[0-9]+$""),x)),"""")"),"")</f>
        <v/>
      </c>
      <c r="G994" s="163"/>
      <c r="H9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Helper'!$F$5:$F$3004,"""")&lt;&gt;""""),ROWS(H$5:H994)),"""")"),"")</f>
        <v/>
      </c>
    </row>
    <row r="995" ht="15.75" customHeight="1">
      <c r="A9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Helper'!$F$5:$F$3004,"""")&lt;&gt;""""),ROWS(A$5:A995)),"""")"),"")</f>
        <v/>
      </c>
      <c r="B9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Helper'!$F$5:$F$3004,"""")&lt;&gt;""""),ROWS(B$5:B995)),"""")"),"")</f>
        <v/>
      </c>
      <c r="C9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Helper'!$F$5:$F$3004,"""")&lt;&gt;""""),ROWS(C$5:C995)),"""")"),"")</f>
        <v/>
      </c>
      <c r="D9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Helper'!$F$5:$F$3004,"""")&lt;&gt;""""),ROWS(D$5:D995)),"""")"),"")</f>
        <v/>
      </c>
      <c r="E9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Helper'!$F$5:$F$3004,"""")&lt;&gt;""""),ROWS(E$5:E995)),"""")"),"")</f>
        <v/>
      </c>
      <c r="F9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Helper'!$F$5:$F$3004,"""")&lt;&gt;""""),ROWS(F$5:F995)),IF(AND(LEFT(x,5)=""Page"&amp;" "",ISERROR(SEARCH(""–"",x))),x&amp;""–""&amp;REGEXEXTRACT(x,""[0-9]+$""),x)),"""")"),"")</f>
        <v/>
      </c>
      <c r="G995" s="163"/>
      <c r="H9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Helper'!$F$5:$F$3004,"""")&lt;&gt;""""),ROWS(H$5:H995)),"""")"),"")</f>
        <v/>
      </c>
    </row>
    <row r="996" ht="15.75" customHeight="1">
      <c r="A9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Helper'!$F$5:$F$3004,"""")&lt;&gt;""""),ROWS(A$5:A996)),"""")"),"")</f>
        <v/>
      </c>
      <c r="B9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Helper'!$F$5:$F$3004,"""")&lt;&gt;""""),ROWS(B$5:B996)),"""")"),"")</f>
        <v/>
      </c>
      <c r="C9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Helper'!$F$5:$F$3004,"""")&lt;&gt;""""),ROWS(C$5:C996)),"""")"),"")</f>
        <v/>
      </c>
      <c r="D9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Helper'!$F$5:$F$3004,"""")&lt;&gt;""""),ROWS(D$5:D996)),"""")"),"")</f>
        <v/>
      </c>
      <c r="E9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Helper'!$F$5:$F$3004,"""")&lt;&gt;""""),ROWS(E$5:E996)),"""")"),"")</f>
        <v/>
      </c>
      <c r="F9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Helper'!$F$5:$F$3004,"""")&lt;&gt;""""),ROWS(F$5:F996)),IF(AND(LEFT(x,5)=""Page"&amp;" "",ISERROR(SEARCH(""–"",x))),x&amp;""–""&amp;REGEXEXTRACT(x,""[0-9]+$""),x)),"""")"),"")</f>
        <v/>
      </c>
      <c r="G996" s="163"/>
      <c r="H9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Helper'!$F$5:$F$3004,"""")&lt;&gt;""""),ROWS(H$5:H996)),"""")"),"")</f>
        <v/>
      </c>
    </row>
    <row r="997" ht="15.75" customHeight="1">
      <c r="A9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Helper'!$F$5:$F$3004,"""")&lt;&gt;""""),ROWS(A$5:A997)),"""")"),"")</f>
        <v/>
      </c>
      <c r="B9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Helper'!$F$5:$F$3004,"""")&lt;&gt;""""),ROWS(B$5:B997)),"""")"),"")</f>
        <v/>
      </c>
      <c r="C9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Helper'!$F$5:$F$3004,"""")&lt;&gt;""""),ROWS(C$5:C997)),"""")"),"")</f>
        <v/>
      </c>
      <c r="D9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Helper'!$F$5:$F$3004,"""")&lt;&gt;""""),ROWS(D$5:D997)),"""")"),"")</f>
        <v/>
      </c>
      <c r="E9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Helper'!$F$5:$F$3004,"""")&lt;&gt;""""),ROWS(E$5:E997)),"""")"),"")</f>
        <v/>
      </c>
      <c r="F9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Helper'!$F$5:$F$3004,"""")&lt;&gt;""""),ROWS(F$5:F997)),IF(AND(LEFT(x,5)=""Page"&amp;" "",ISERROR(SEARCH(""–"",x))),x&amp;""–""&amp;REGEXEXTRACT(x,""[0-9]+$""),x)),"""")"),"")</f>
        <v/>
      </c>
      <c r="G997" s="163"/>
      <c r="H9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Helper'!$F$5:$F$3004,"""")&lt;&gt;""""),ROWS(H$5:H997)),"""")"),"")</f>
        <v/>
      </c>
    </row>
    <row r="998" ht="15.75" customHeight="1">
      <c r="A9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Helper'!$F$5:$F$3004,"""")&lt;&gt;""""),ROWS(A$5:A998)),"""")"),"")</f>
        <v/>
      </c>
      <c r="B9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Helper'!$F$5:$F$3004,"""")&lt;&gt;""""),ROWS(B$5:B998)),"""")"),"")</f>
        <v/>
      </c>
      <c r="C9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Helper'!$F$5:$F$3004,"""")&lt;&gt;""""),ROWS(C$5:C998)),"""")"),"")</f>
        <v/>
      </c>
      <c r="D9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Helper'!$F$5:$F$3004,"""")&lt;&gt;""""),ROWS(D$5:D998)),"""")"),"")</f>
        <v/>
      </c>
      <c r="E9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Helper'!$F$5:$F$3004,"""")&lt;&gt;""""),ROWS(E$5:E998)),"""")"),"")</f>
        <v/>
      </c>
      <c r="F9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Helper'!$F$5:$F$3004,"""")&lt;&gt;""""),ROWS(F$5:F998)),IF(AND(LEFT(x,5)=""Page"&amp;" "",ISERROR(SEARCH(""–"",x))),x&amp;""–""&amp;REGEXEXTRACT(x,""[0-9]+$""),x)),"""")"),"")</f>
        <v/>
      </c>
      <c r="G998" s="163"/>
      <c r="H9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Helper'!$F$5:$F$3004,"""")&lt;&gt;""""),ROWS(H$5:H998)),"""")"),"")</f>
        <v/>
      </c>
    </row>
    <row r="999" ht="15.75" customHeight="1">
      <c r="A9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Helper'!$F$5:$F$3004,"""")&lt;&gt;""""),ROWS(A$5:A999)),"""")"),"")</f>
        <v/>
      </c>
      <c r="B9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Helper'!$F$5:$F$3004,"""")&lt;&gt;""""),ROWS(B$5:B999)),"""")"),"")</f>
        <v/>
      </c>
      <c r="C9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Helper'!$F$5:$F$3004,"""")&lt;&gt;""""),ROWS(C$5:C999)),"""")"),"")</f>
        <v/>
      </c>
      <c r="D9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Helper'!$F$5:$F$3004,"""")&lt;&gt;""""),ROWS(D$5:D999)),"""")"),"")</f>
        <v/>
      </c>
      <c r="E9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Helper'!$F$5:$F$3004,"""")&lt;&gt;""""),ROWS(E$5:E999)),"""")"),"")</f>
        <v/>
      </c>
      <c r="F9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Helper'!$F$5:$F$3004,"""")&lt;&gt;""""),ROWS(F$5:F999)),IF(AND(LEFT(x,5)=""Page"&amp;" "",ISERROR(SEARCH(""–"",x))),x&amp;""–""&amp;REGEXEXTRACT(x,""[0-9]+$""),x)),"""")"),"")</f>
        <v/>
      </c>
      <c r="G999" s="163"/>
      <c r="H9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Helper'!$F$5:$F$3004,"""")&lt;&gt;""""),ROWS(H$5:H999)),"""")"),"")</f>
        <v/>
      </c>
    </row>
    <row r="1000" ht="15.75" customHeight="1">
      <c r="A10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Helper'!$F$5:$F$3004,"""")&lt;&gt;""""),ROWS(A$5:A1000)),"""")"),"")</f>
        <v/>
      </c>
      <c r="B10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Helper'!$F$5:$F$3004,"""")&lt;&gt;""""),ROWS(B$5:B1000)),"""")"),"")</f>
        <v/>
      </c>
      <c r="C10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Helper'!$F$5:$F$3004,"""")&lt;&gt;""""),ROWS(C$5:C1000)),"""")"),"")</f>
        <v/>
      </c>
      <c r="D10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Helper'!$F$5:$F$3004,"""")&lt;&gt;""""),ROWS(D$5:D1000)),"""")"),"")</f>
        <v/>
      </c>
      <c r="E10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Helper'!$F$5:$F$3004,"""")&lt;&gt;""""),ROWS(E$5:E1000)),"""")"),"")</f>
        <v/>
      </c>
      <c r="F10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Helper'!$F$5:$F$3004,"""")&lt;&gt;""""),ROWS(F$5:F1000)),IF(AND(LEFT(x,5)=""Pag"&amp;"e "",ISERROR(SEARCH(""–"",x))),x&amp;""–""&amp;REGEXEXTRACT(x,""[0-9]+$""),x)),"""")"),"")</f>
        <v/>
      </c>
      <c r="G1000" s="163"/>
      <c r="H10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Helper'!$F$5:$F$3004,"""")&lt;&gt;""""),ROWS(H$5:H1000)),"""")"),"")</f>
        <v/>
      </c>
    </row>
    <row r="1001" ht="15.75" customHeight="1">
      <c r="A10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Helper'!$F$5:$F$3004,"""")&lt;&gt;""""),ROWS(A$5:A1001)),"""")"),"")</f>
        <v/>
      </c>
      <c r="B10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Helper'!$F$5:$F$3004,"""")&lt;&gt;""""),ROWS(B$5:B1001)),"""")"),"")</f>
        <v/>
      </c>
      <c r="C10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Helper'!$F$5:$F$3004,"""")&lt;&gt;""""),ROWS(C$5:C1001)),"""")"),"")</f>
        <v/>
      </c>
      <c r="D10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Helper'!$F$5:$F$3004,"""")&lt;&gt;""""),ROWS(D$5:D1001)),"""")"),"")</f>
        <v/>
      </c>
      <c r="E10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Helper'!$F$5:$F$3004,"""")&lt;&gt;""""),ROWS(E$5:E1001)),"""")"),"")</f>
        <v/>
      </c>
      <c r="F10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Helper'!$F$5:$F$3004,"""")&lt;&gt;""""),ROWS(F$5:F1001)),IF(AND(LEFT(x,5)=""Pag"&amp;"e "",ISERROR(SEARCH(""–"",x))),x&amp;""–""&amp;REGEXEXTRACT(x,""[0-9]+$""),x)),"""")"),"")</f>
        <v/>
      </c>
      <c r="G1001" s="163"/>
      <c r="H10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Helper'!$F$5:$F$3004,"""")&lt;&gt;""""),ROWS(H$5:H1001)),"""")"),"")</f>
        <v/>
      </c>
    </row>
    <row r="1002" ht="15.75" customHeight="1">
      <c r="A10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Helper'!$F$5:$F$3004,"""")&lt;&gt;""""),ROWS(A$5:A1002)),"""")"),"")</f>
        <v/>
      </c>
      <c r="B10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Helper'!$F$5:$F$3004,"""")&lt;&gt;""""),ROWS(B$5:B1002)),"""")"),"")</f>
        <v/>
      </c>
      <c r="C10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Helper'!$F$5:$F$3004,"""")&lt;&gt;""""),ROWS(C$5:C1002)),"""")"),"")</f>
        <v/>
      </c>
      <c r="D10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Helper'!$F$5:$F$3004,"""")&lt;&gt;""""),ROWS(D$5:D1002)),"""")"),"")</f>
        <v/>
      </c>
      <c r="E10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Helper'!$F$5:$F$3004,"""")&lt;&gt;""""),ROWS(E$5:E1002)),"""")"),"")</f>
        <v/>
      </c>
      <c r="F10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Helper'!$F$5:$F$3004,"""")&lt;&gt;""""),ROWS(F$5:F1002)),IF(AND(LEFT(x,5)=""Pag"&amp;"e "",ISERROR(SEARCH(""–"",x))),x&amp;""–""&amp;REGEXEXTRACT(x,""[0-9]+$""),x)),"""")"),"")</f>
        <v/>
      </c>
      <c r="G1002" s="163"/>
      <c r="H10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Helper'!$F$5:$F$3004,"""")&lt;&gt;""""),ROWS(H$5:H1002)),"""")"),"")</f>
        <v/>
      </c>
    </row>
    <row r="1003" ht="15.75" customHeight="1">
      <c r="A10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Helper'!$F$5:$F$3004,"""")&lt;&gt;""""),ROWS(A$5:A1003)),"""")"),"")</f>
        <v/>
      </c>
      <c r="B10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Helper'!$F$5:$F$3004,"""")&lt;&gt;""""),ROWS(B$5:B1003)),"""")"),"")</f>
        <v/>
      </c>
      <c r="C10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Helper'!$F$5:$F$3004,"""")&lt;&gt;""""),ROWS(C$5:C1003)),"""")"),"")</f>
        <v/>
      </c>
      <c r="D10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Helper'!$F$5:$F$3004,"""")&lt;&gt;""""),ROWS(D$5:D1003)),"""")"),"")</f>
        <v/>
      </c>
      <c r="E10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Helper'!$F$5:$F$3004,"""")&lt;&gt;""""),ROWS(E$5:E1003)),"""")"),"")</f>
        <v/>
      </c>
      <c r="F10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Helper'!$F$5:$F$3004,"""")&lt;&gt;""""),ROWS(F$5:F1003)),IF(AND(LEFT(x,5)=""Pag"&amp;"e "",ISERROR(SEARCH(""–"",x))),x&amp;""–""&amp;REGEXEXTRACT(x,""[0-9]+$""),x)),"""")"),"")</f>
        <v/>
      </c>
      <c r="G1003" s="163"/>
      <c r="H10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Helper'!$F$5:$F$3004,"""")&lt;&gt;""""),ROWS(H$5:H1003)),"""")"),"")</f>
        <v/>
      </c>
    </row>
    <row r="1004" ht="15.75" customHeight="1">
      <c r="A10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Helper'!$F$5:$F$3004,"""")&lt;&gt;""""),ROWS(A$5:A1004)),"""")"),"")</f>
        <v/>
      </c>
      <c r="B10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Helper'!$F$5:$F$3004,"""")&lt;&gt;""""),ROWS(B$5:B1004)),"""")"),"")</f>
        <v/>
      </c>
      <c r="C10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Helper'!$F$5:$F$3004,"""")&lt;&gt;""""),ROWS(C$5:C1004)),"""")"),"")</f>
        <v/>
      </c>
      <c r="D10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Helper'!$F$5:$F$3004,"""")&lt;&gt;""""),ROWS(D$5:D1004)),"""")"),"")</f>
        <v/>
      </c>
      <c r="E10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Helper'!$F$5:$F$3004,"""")&lt;&gt;""""),ROWS(E$5:E1004)),"""")"),"")</f>
        <v/>
      </c>
      <c r="F10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Helper'!$F$5:$F$3004,"""")&lt;&gt;""""),ROWS(F$5:F1004)),IF(AND(LEFT(x,5)=""Pag"&amp;"e "",ISERROR(SEARCH(""–"",x))),x&amp;""–""&amp;REGEXEXTRACT(x,""[0-9]+$""),x)),"""")"),"")</f>
        <v/>
      </c>
      <c r="G1004" s="163"/>
      <c r="H10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Helper'!$F$5:$F$3004,"""")&lt;&gt;""""),ROWS(H$5:H1004)),"""")"),"")</f>
        <v/>
      </c>
    </row>
    <row r="1005" ht="15.75" customHeight="1">
      <c r="A10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Helper'!$F$5:$F$3004,"""")&lt;&gt;""""),ROWS(A$5:A1005)),"""")"),"")</f>
        <v/>
      </c>
      <c r="B10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Helper'!$F$5:$F$3004,"""")&lt;&gt;""""),ROWS(B$5:B1005)),"""")"),"")</f>
        <v/>
      </c>
      <c r="C10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Helper'!$F$5:$F$3004,"""")&lt;&gt;""""),ROWS(C$5:C1005)),"""")"),"")</f>
        <v/>
      </c>
      <c r="D10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Helper'!$F$5:$F$3004,"""")&lt;&gt;""""),ROWS(D$5:D1005)),"""")"),"")</f>
        <v/>
      </c>
      <c r="E10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Helper'!$F$5:$F$3004,"""")&lt;&gt;""""),ROWS(E$5:E1005)),"""")"),"")</f>
        <v/>
      </c>
      <c r="F10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Helper'!$F$5:$F$3004,"""")&lt;&gt;""""),ROWS(F$5:F1005)),IF(AND(LEFT(x,5)=""Pag"&amp;"e "",ISERROR(SEARCH(""–"",x))),x&amp;""–""&amp;REGEXEXTRACT(x,""[0-9]+$""),x)),"""")"),"")</f>
        <v/>
      </c>
      <c r="G1005" s="163"/>
      <c r="H10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Helper'!$F$5:$F$3004,"""")&lt;&gt;""""),ROWS(H$5:H1005)),"""")"),"")</f>
        <v/>
      </c>
    </row>
    <row r="1006" ht="15.75" customHeight="1">
      <c r="A10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Helper'!$F$5:$F$3004,"""")&lt;&gt;""""),ROWS(A$5:A1006)),"""")"),"")</f>
        <v/>
      </c>
      <c r="B10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Helper'!$F$5:$F$3004,"""")&lt;&gt;""""),ROWS(B$5:B1006)),"""")"),"")</f>
        <v/>
      </c>
      <c r="C10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Helper'!$F$5:$F$3004,"""")&lt;&gt;""""),ROWS(C$5:C1006)),"""")"),"")</f>
        <v/>
      </c>
      <c r="D10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Helper'!$F$5:$F$3004,"""")&lt;&gt;""""),ROWS(D$5:D1006)),"""")"),"")</f>
        <v/>
      </c>
      <c r="E10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Helper'!$F$5:$F$3004,"""")&lt;&gt;""""),ROWS(E$5:E1006)),"""")"),"")</f>
        <v/>
      </c>
      <c r="F10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Helper'!$F$5:$F$3004,"""")&lt;&gt;""""),ROWS(F$5:F1006)),IF(AND(LEFT(x,5)=""Pag"&amp;"e "",ISERROR(SEARCH(""–"",x))),x&amp;""–""&amp;REGEXEXTRACT(x,""[0-9]+$""),x)),"""")"),"")</f>
        <v/>
      </c>
      <c r="G1006" s="163"/>
      <c r="H10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Helper'!$F$5:$F$3004,"""")&lt;&gt;""""),ROWS(H$5:H1006)),"""")"),"")</f>
        <v/>
      </c>
    </row>
    <row r="1007" ht="15.75" customHeight="1">
      <c r="A10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Helper'!$F$5:$F$3004,"""")&lt;&gt;""""),ROWS(A$5:A1007)),"""")"),"")</f>
        <v/>
      </c>
      <c r="B10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Helper'!$F$5:$F$3004,"""")&lt;&gt;""""),ROWS(B$5:B1007)),"""")"),"")</f>
        <v/>
      </c>
      <c r="C10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Helper'!$F$5:$F$3004,"""")&lt;&gt;""""),ROWS(C$5:C1007)),"""")"),"")</f>
        <v/>
      </c>
      <c r="D10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Helper'!$F$5:$F$3004,"""")&lt;&gt;""""),ROWS(D$5:D1007)),"""")"),"")</f>
        <v/>
      </c>
      <c r="E10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Helper'!$F$5:$F$3004,"""")&lt;&gt;""""),ROWS(E$5:E1007)),"""")"),"")</f>
        <v/>
      </c>
      <c r="F10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Helper'!$F$5:$F$3004,"""")&lt;&gt;""""),ROWS(F$5:F1007)),IF(AND(LEFT(x,5)=""Pag"&amp;"e "",ISERROR(SEARCH(""–"",x))),x&amp;""–""&amp;REGEXEXTRACT(x,""[0-9]+$""),x)),"""")"),"")</f>
        <v/>
      </c>
      <c r="G1007" s="163"/>
      <c r="H10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Helper'!$F$5:$F$3004,"""")&lt;&gt;""""),ROWS(H$5:H1007)),"""")"),"")</f>
        <v/>
      </c>
    </row>
    <row r="1008" ht="15.75" customHeight="1">
      <c r="A10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Helper'!$F$5:$F$3004,"""")&lt;&gt;""""),ROWS(A$5:A1008)),"""")"),"")</f>
        <v/>
      </c>
      <c r="B10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Helper'!$F$5:$F$3004,"""")&lt;&gt;""""),ROWS(B$5:B1008)),"""")"),"")</f>
        <v/>
      </c>
      <c r="C10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Helper'!$F$5:$F$3004,"""")&lt;&gt;""""),ROWS(C$5:C1008)),"""")"),"")</f>
        <v/>
      </c>
      <c r="D10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Helper'!$F$5:$F$3004,"""")&lt;&gt;""""),ROWS(D$5:D1008)),"""")"),"")</f>
        <v/>
      </c>
      <c r="E10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Helper'!$F$5:$F$3004,"""")&lt;&gt;""""),ROWS(E$5:E1008)),"""")"),"")</f>
        <v/>
      </c>
      <c r="F10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Helper'!$F$5:$F$3004,"""")&lt;&gt;""""),ROWS(F$5:F1008)),IF(AND(LEFT(x,5)=""Pag"&amp;"e "",ISERROR(SEARCH(""–"",x))),x&amp;""–""&amp;REGEXEXTRACT(x,""[0-9]+$""),x)),"""")"),"")</f>
        <v/>
      </c>
      <c r="G1008" s="163"/>
      <c r="H10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Helper'!$F$5:$F$3004,"""")&lt;&gt;""""),ROWS(H$5:H1008)),"""")"),"")</f>
        <v/>
      </c>
    </row>
    <row r="1009" ht="15.75" customHeight="1">
      <c r="A10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Helper'!$F$5:$F$3004,"""")&lt;&gt;""""),ROWS(A$5:A1009)),"""")"),"")</f>
        <v/>
      </c>
      <c r="B10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Helper'!$F$5:$F$3004,"""")&lt;&gt;""""),ROWS(B$5:B1009)),"""")"),"")</f>
        <v/>
      </c>
      <c r="C10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Helper'!$F$5:$F$3004,"""")&lt;&gt;""""),ROWS(C$5:C1009)),"""")"),"")</f>
        <v/>
      </c>
      <c r="D10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Helper'!$F$5:$F$3004,"""")&lt;&gt;""""),ROWS(D$5:D1009)),"""")"),"")</f>
        <v/>
      </c>
      <c r="E10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Helper'!$F$5:$F$3004,"""")&lt;&gt;""""),ROWS(E$5:E1009)),"""")"),"")</f>
        <v/>
      </c>
      <c r="F10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Helper'!$F$5:$F$3004,"""")&lt;&gt;""""),ROWS(F$5:F1009)),IF(AND(LEFT(x,5)=""Pag"&amp;"e "",ISERROR(SEARCH(""–"",x))),x&amp;""–""&amp;REGEXEXTRACT(x,""[0-9]+$""),x)),"""")"),"")</f>
        <v/>
      </c>
      <c r="G1009" s="163"/>
      <c r="H10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Helper'!$F$5:$F$3004,"""")&lt;&gt;""""),ROWS(H$5:H1009)),"""")"),"")</f>
        <v/>
      </c>
    </row>
    <row r="1010" ht="15.75" customHeight="1">
      <c r="A10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Helper'!$F$5:$F$3004,"""")&lt;&gt;""""),ROWS(A$5:A1010)),"""")"),"")</f>
        <v/>
      </c>
      <c r="B10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Helper'!$F$5:$F$3004,"""")&lt;&gt;""""),ROWS(B$5:B1010)),"""")"),"")</f>
        <v/>
      </c>
      <c r="C10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Helper'!$F$5:$F$3004,"""")&lt;&gt;""""),ROWS(C$5:C1010)),"""")"),"")</f>
        <v/>
      </c>
      <c r="D10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Helper'!$F$5:$F$3004,"""")&lt;&gt;""""),ROWS(D$5:D1010)),"""")"),"")</f>
        <v/>
      </c>
      <c r="E10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Helper'!$F$5:$F$3004,"""")&lt;&gt;""""),ROWS(E$5:E1010)),"""")"),"")</f>
        <v/>
      </c>
      <c r="F10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Helper'!$F$5:$F$3004,"""")&lt;&gt;""""),ROWS(F$5:F1010)),IF(AND(LEFT(x,5)=""Pag"&amp;"e "",ISERROR(SEARCH(""–"",x))),x&amp;""–""&amp;REGEXEXTRACT(x,""[0-9]+$""),x)),"""")"),"")</f>
        <v/>
      </c>
      <c r="G1010" s="163"/>
      <c r="H10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Helper'!$F$5:$F$3004,"""")&lt;&gt;""""),ROWS(H$5:H1010)),"""")"),"")</f>
        <v/>
      </c>
    </row>
    <row r="1011" ht="15.75" customHeight="1">
      <c r="A10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Helper'!$F$5:$F$3004,"""")&lt;&gt;""""),ROWS(A$5:A1011)),"""")"),"")</f>
        <v/>
      </c>
      <c r="B10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Helper'!$F$5:$F$3004,"""")&lt;&gt;""""),ROWS(B$5:B1011)),"""")"),"")</f>
        <v/>
      </c>
      <c r="C10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Helper'!$F$5:$F$3004,"""")&lt;&gt;""""),ROWS(C$5:C1011)),"""")"),"")</f>
        <v/>
      </c>
      <c r="D10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Helper'!$F$5:$F$3004,"""")&lt;&gt;""""),ROWS(D$5:D1011)),"""")"),"")</f>
        <v/>
      </c>
      <c r="E10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Helper'!$F$5:$F$3004,"""")&lt;&gt;""""),ROWS(E$5:E1011)),"""")"),"")</f>
        <v/>
      </c>
      <c r="F10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Helper'!$F$5:$F$3004,"""")&lt;&gt;""""),ROWS(F$5:F1011)),IF(AND(LEFT(x,5)=""Pag"&amp;"e "",ISERROR(SEARCH(""–"",x))),x&amp;""–""&amp;REGEXEXTRACT(x,""[0-9]+$""),x)),"""")"),"")</f>
        <v/>
      </c>
      <c r="G1011" s="163"/>
      <c r="H10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Helper'!$F$5:$F$3004,"""")&lt;&gt;""""),ROWS(H$5:H1011)),"""")"),"")</f>
        <v/>
      </c>
    </row>
    <row r="1012" ht="15.75" customHeight="1">
      <c r="A10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Helper'!$F$5:$F$3004,"""")&lt;&gt;""""),ROWS(A$5:A1012)),"""")"),"")</f>
        <v/>
      </c>
      <c r="B10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Helper'!$F$5:$F$3004,"""")&lt;&gt;""""),ROWS(B$5:B1012)),"""")"),"")</f>
        <v/>
      </c>
      <c r="C10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Helper'!$F$5:$F$3004,"""")&lt;&gt;""""),ROWS(C$5:C1012)),"""")"),"")</f>
        <v/>
      </c>
      <c r="D10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Helper'!$F$5:$F$3004,"""")&lt;&gt;""""),ROWS(D$5:D1012)),"""")"),"")</f>
        <v/>
      </c>
      <c r="E10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Helper'!$F$5:$F$3004,"""")&lt;&gt;""""),ROWS(E$5:E1012)),"""")"),"")</f>
        <v/>
      </c>
      <c r="F10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Helper'!$F$5:$F$3004,"""")&lt;&gt;""""),ROWS(F$5:F1012)),IF(AND(LEFT(x,5)=""Pag"&amp;"e "",ISERROR(SEARCH(""–"",x))),x&amp;""–""&amp;REGEXEXTRACT(x,""[0-9]+$""),x)),"""")"),"")</f>
        <v/>
      </c>
      <c r="G1012" s="163"/>
      <c r="H10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Helper'!$F$5:$F$3004,"""")&lt;&gt;""""),ROWS(H$5:H1012)),"""")"),"")</f>
        <v/>
      </c>
    </row>
    <row r="1013" ht="15.75" customHeight="1">
      <c r="A10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Helper'!$F$5:$F$3004,"""")&lt;&gt;""""),ROWS(A$5:A1013)),"""")"),"")</f>
        <v/>
      </c>
      <c r="B10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Helper'!$F$5:$F$3004,"""")&lt;&gt;""""),ROWS(B$5:B1013)),"""")"),"")</f>
        <v/>
      </c>
      <c r="C10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Helper'!$F$5:$F$3004,"""")&lt;&gt;""""),ROWS(C$5:C1013)),"""")"),"")</f>
        <v/>
      </c>
      <c r="D10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Helper'!$F$5:$F$3004,"""")&lt;&gt;""""),ROWS(D$5:D1013)),"""")"),"")</f>
        <v/>
      </c>
      <c r="E10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Helper'!$F$5:$F$3004,"""")&lt;&gt;""""),ROWS(E$5:E1013)),"""")"),"")</f>
        <v/>
      </c>
      <c r="F10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Helper'!$F$5:$F$3004,"""")&lt;&gt;""""),ROWS(F$5:F1013)),IF(AND(LEFT(x,5)=""Pag"&amp;"e "",ISERROR(SEARCH(""–"",x))),x&amp;""–""&amp;REGEXEXTRACT(x,""[0-9]+$""),x)),"""")"),"")</f>
        <v/>
      </c>
      <c r="G1013" s="163"/>
      <c r="H10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Helper'!$F$5:$F$3004,"""")&lt;&gt;""""),ROWS(H$5:H1013)),"""")"),"")</f>
        <v/>
      </c>
    </row>
    <row r="1014" ht="15.75" customHeight="1">
      <c r="A10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Helper'!$F$5:$F$3004,"""")&lt;&gt;""""),ROWS(A$5:A1014)),"""")"),"")</f>
        <v/>
      </c>
      <c r="B10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Helper'!$F$5:$F$3004,"""")&lt;&gt;""""),ROWS(B$5:B1014)),"""")"),"")</f>
        <v/>
      </c>
      <c r="C10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Helper'!$F$5:$F$3004,"""")&lt;&gt;""""),ROWS(C$5:C1014)),"""")"),"")</f>
        <v/>
      </c>
      <c r="D10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Helper'!$F$5:$F$3004,"""")&lt;&gt;""""),ROWS(D$5:D1014)),"""")"),"")</f>
        <v/>
      </c>
      <c r="E10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Helper'!$F$5:$F$3004,"""")&lt;&gt;""""),ROWS(E$5:E1014)),"""")"),"")</f>
        <v/>
      </c>
      <c r="F10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Helper'!$F$5:$F$3004,"""")&lt;&gt;""""),ROWS(F$5:F1014)),IF(AND(LEFT(x,5)=""Pag"&amp;"e "",ISERROR(SEARCH(""–"",x))),x&amp;""–""&amp;REGEXEXTRACT(x,""[0-9]+$""),x)),"""")"),"")</f>
        <v/>
      </c>
      <c r="G1014" s="163"/>
      <c r="H10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Helper'!$F$5:$F$3004,"""")&lt;&gt;""""),ROWS(H$5:H1014)),"""")"),"")</f>
        <v/>
      </c>
    </row>
    <row r="1015" ht="15.75" customHeight="1">
      <c r="A10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Helper'!$F$5:$F$3004,"""")&lt;&gt;""""),ROWS(A$5:A1015)),"""")"),"")</f>
        <v/>
      </c>
      <c r="B10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Helper'!$F$5:$F$3004,"""")&lt;&gt;""""),ROWS(B$5:B1015)),"""")"),"")</f>
        <v/>
      </c>
      <c r="C10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Helper'!$F$5:$F$3004,"""")&lt;&gt;""""),ROWS(C$5:C1015)),"""")"),"")</f>
        <v/>
      </c>
      <c r="D10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Helper'!$F$5:$F$3004,"""")&lt;&gt;""""),ROWS(D$5:D1015)),"""")"),"")</f>
        <v/>
      </c>
      <c r="E10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Helper'!$F$5:$F$3004,"""")&lt;&gt;""""),ROWS(E$5:E1015)),"""")"),"")</f>
        <v/>
      </c>
      <c r="F10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Helper'!$F$5:$F$3004,"""")&lt;&gt;""""),ROWS(F$5:F1015)),IF(AND(LEFT(x,5)=""Pag"&amp;"e "",ISERROR(SEARCH(""–"",x))),x&amp;""–""&amp;REGEXEXTRACT(x,""[0-9]+$""),x)),"""")"),"")</f>
        <v/>
      </c>
      <c r="G1015" s="163"/>
      <c r="H10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Helper'!$F$5:$F$3004,"""")&lt;&gt;""""),ROWS(H$5:H1015)),"""")"),"")</f>
        <v/>
      </c>
    </row>
    <row r="1016" ht="15.75" customHeight="1">
      <c r="A10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Helper'!$F$5:$F$3004,"""")&lt;&gt;""""),ROWS(A$5:A1016)),"""")"),"")</f>
        <v/>
      </c>
      <c r="B10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Helper'!$F$5:$F$3004,"""")&lt;&gt;""""),ROWS(B$5:B1016)),"""")"),"")</f>
        <v/>
      </c>
      <c r="C10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Helper'!$F$5:$F$3004,"""")&lt;&gt;""""),ROWS(C$5:C1016)),"""")"),"")</f>
        <v/>
      </c>
      <c r="D10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Helper'!$F$5:$F$3004,"""")&lt;&gt;""""),ROWS(D$5:D1016)),"""")"),"")</f>
        <v/>
      </c>
      <c r="E10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Helper'!$F$5:$F$3004,"""")&lt;&gt;""""),ROWS(E$5:E1016)),"""")"),"")</f>
        <v/>
      </c>
      <c r="F10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Helper'!$F$5:$F$3004,"""")&lt;&gt;""""),ROWS(F$5:F1016)),IF(AND(LEFT(x,5)=""Pag"&amp;"e "",ISERROR(SEARCH(""–"",x))),x&amp;""–""&amp;REGEXEXTRACT(x,""[0-9]+$""),x)),"""")"),"")</f>
        <v/>
      </c>
      <c r="G1016" s="163"/>
      <c r="H10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Helper'!$F$5:$F$3004,"""")&lt;&gt;""""),ROWS(H$5:H1016)),"""")"),"")</f>
        <v/>
      </c>
    </row>
    <row r="1017" ht="15.75" customHeight="1">
      <c r="A10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Helper'!$F$5:$F$3004,"""")&lt;&gt;""""),ROWS(A$5:A1017)),"""")"),"")</f>
        <v/>
      </c>
      <c r="B10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Helper'!$F$5:$F$3004,"""")&lt;&gt;""""),ROWS(B$5:B1017)),"""")"),"")</f>
        <v/>
      </c>
      <c r="C10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Helper'!$F$5:$F$3004,"""")&lt;&gt;""""),ROWS(C$5:C1017)),"""")"),"")</f>
        <v/>
      </c>
      <c r="D10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Helper'!$F$5:$F$3004,"""")&lt;&gt;""""),ROWS(D$5:D1017)),"""")"),"")</f>
        <v/>
      </c>
      <c r="E10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Helper'!$F$5:$F$3004,"""")&lt;&gt;""""),ROWS(E$5:E1017)),"""")"),"")</f>
        <v/>
      </c>
      <c r="F10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Helper'!$F$5:$F$3004,"""")&lt;&gt;""""),ROWS(F$5:F1017)),IF(AND(LEFT(x,5)=""Pag"&amp;"e "",ISERROR(SEARCH(""–"",x))),x&amp;""–""&amp;REGEXEXTRACT(x,""[0-9]+$""),x)),"""")"),"")</f>
        <v/>
      </c>
      <c r="G1017" s="163"/>
      <c r="H10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Helper'!$F$5:$F$3004,"""")&lt;&gt;""""),ROWS(H$5:H1017)),"""")"),"")</f>
        <v/>
      </c>
    </row>
    <row r="1018" ht="15.75" customHeight="1">
      <c r="A10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Helper'!$F$5:$F$3004,"""")&lt;&gt;""""),ROWS(A$5:A1018)),"""")"),"")</f>
        <v/>
      </c>
      <c r="B10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Helper'!$F$5:$F$3004,"""")&lt;&gt;""""),ROWS(B$5:B1018)),"""")"),"")</f>
        <v/>
      </c>
      <c r="C10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Helper'!$F$5:$F$3004,"""")&lt;&gt;""""),ROWS(C$5:C1018)),"""")"),"")</f>
        <v/>
      </c>
      <c r="D10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Helper'!$F$5:$F$3004,"""")&lt;&gt;""""),ROWS(D$5:D1018)),"""")"),"")</f>
        <v/>
      </c>
      <c r="E10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Helper'!$F$5:$F$3004,"""")&lt;&gt;""""),ROWS(E$5:E1018)),"""")"),"")</f>
        <v/>
      </c>
      <c r="F10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Helper'!$F$5:$F$3004,"""")&lt;&gt;""""),ROWS(F$5:F1018)),IF(AND(LEFT(x,5)=""Pag"&amp;"e "",ISERROR(SEARCH(""–"",x))),x&amp;""–""&amp;REGEXEXTRACT(x,""[0-9]+$""),x)),"""")"),"")</f>
        <v/>
      </c>
      <c r="G1018" s="163"/>
      <c r="H10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Helper'!$F$5:$F$3004,"""")&lt;&gt;""""),ROWS(H$5:H1018)),"""")"),"")</f>
        <v/>
      </c>
    </row>
    <row r="1019" ht="15.75" customHeight="1">
      <c r="A10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Helper'!$F$5:$F$3004,"""")&lt;&gt;""""),ROWS(A$5:A1019)),"""")"),"")</f>
        <v/>
      </c>
      <c r="B10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Helper'!$F$5:$F$3004,"""")&lt;&gt;""""),ROWS(B$5:B1019)),"""")"),"")</f>
        <v/>
      </c>
      <c r="C10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Helper'!$F$5:$F$3004,"""")&lt;&gt;""""),ROWS(C$5:C1019)),"""")"),"")</f>
        <v/>
      </c>
      <c r="D10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Helper'!$F$5:$F$3004,"""")&lt;&gt;""""),ROWS(D$5:D1019)),"""")"),"")</f>
        <v/>
      </c>
      <c r="E10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Helper'!$F$5:$F$3004,"""")&lt;&gt;""""),ROWS(E$5:E1019)),"""")"),"")</f>
        <v/>
      </c>
      <c r="F10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Helper'!$F$5:$F$3004,"""")&lt;&gt;""""),ROWS(F$5:F1019)),IF(AND(LEFT(x,5)=""Pag"&amp;"e "",ISERROR(SEARCH(""–"",x))),x&amp;""–""&amp;REGEXEXTRACT(x,""[0-9]+$""),x)),"""")"),"")</f>
        <v/>
      </c>
      <c r="G1019" s="163"/>
      <c r="H10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Helper'!$F$5:$F$3004,"""")&lt;&gt;""""),ROWS(H$5:H1019)),"""")"),"")</f>
        <v/>
      </c>
    </row>
    <row r="1020" ht="15.75" customHeight="1">
      <c r="A10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Helper'!$F$5:$F$3004,"""")&lt;&gt;""""),ROWS(A$5:A1020)),"""")"),"")</f>
        <v/>
      </c>
      <c r="B10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Helper'!$F$5:$F$3004,"""")&lt;&gt;""""),ROWS(B$5:B1020)),"""")"),"")</f>
        <v/>
      </c>
      <c r="C10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Helper'!$F$5:$F$3004,"""")&lt;&gt;""""),ROWS(C$5:C1020)),"""")"),"")</f>
        <v/>
      </c>
      <c r="D10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Helper'!$F$5:$F$3004,"""")&lt;&gt;""""),ROWS(D$5:D1020)),"""")"),"")</f>
        <v/>
      </c>
      <c r="E10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Helper'!$F$5:$F$3004,"""")&lt;&gt;""""),ROWS(E$5:E1020)),"""")"),"")</f>
        <v/>
      </c>
      <c r="F10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Helper'!$F$5:$F$3004,"""")&lt;&gt;""""),ROWS(F$5:F1020)),IF(AND(LEFT(x,5)=""Pag"&amp;"e "",ISERROR(SEARCH(""–"",x))),x&amp;""–""&amp;REGEXEXTRACT(x,""[0-9]+$""),x)),"""")"),"")</f>
        <v/>
      </c>
      <c r="G1020" s="163"/>
      <c r="H10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Helper'!$F$5:$F$3004,"""")&lt;&gt;""""),ROWS(H$5:H1020)),"""")"),"")</f>
        <v/>
      </c>
    </row>
    <row r="1021" ht="15.75" customHeight="1">
      <c r="A10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Helper'!$F$5:$F$3004,"""")&lt;&gt;""""),ROWS(A$5:A1021)),"""")"),"")</f>
        <v/>
      </c>
      <c r="B10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Helper'!$F$5:$F$3004,"""")&lt;&gt;""""),ROWS(B$5:B1021)),"""")"),"")</f>
        <v/>
      </c>
      <c r="C10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Helper'!$F$5:$F$3004,"""")&lt;&gt;""""),ROWS(C$5:C1021)),"""")"),"")</f>
        <v/>
      </c>
      <c r="D10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Helper'!$F$5:$F$3004,"""")&lt;&gt;""""),ROWS(D$5:D1021)),"""")"),"")</f>
        <v/>
      </c>
      <c r="E10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Helper'!$F$5:$F$3004,"""")&lt;&gt;""""),ROWS(E$5:E1021)),"""")"),"")</f>
        <v/>
      </c>
      <c r="F10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Helper'!$F$5:$F$3004,"""")&lt;&gt;""""),ROWS(F$5:F1021)),IF(AND(LEFT(x,5)=""Pag"&amp;"e "",ISERROR(SEARCH(""–"",x))),x&amp;""–""&amp;REGEXEXTRACT(x,""[0-9]+$""),x)),"""")"),"")</f>
        <v/>
      </c>
      <c r="G1021" s="163"/>
      <c r="H10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Helper'!$F$5:$F$3004,"""")&lt;&gt;""""),ROWS(H$5:H1021)),"""")"),"")</f>
        <v/>
      </c>
    </row>
    <row r="1022" ht="15.75" customHeight="1">
      <c r="A10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Helper'!$F$5:$F$3004,"""")&lt;&gt;""""),ROWS(A$5:A1022)),"""")"),"")</f>
        <v/>
      </c>
      <c r="B10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Helper'!$F$5:$F$3004,"""")&lt;&gt;""""),ROWS(B$5:B1022)),"""")"),"")</f>
        <v/>
      </c>
      <c r="C10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Helper'!$F$5:$F$3004,"""")&lt;&gt;""""),ROWS(C$5:C1022)),"""")"),"")</f>
        <v/>
      </c>
      <c r="D10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Helper'!$F$5:$F$3004,"""")&lt;&gt;""""),ROWS(D$5:D1022)),"""")"),"")</f>
        <v/>
      </c>
      <c r="E10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Helper'!$F$5:$F$3004,"""")&lt;&gt;""""),ROWS(E$5:E1022)),"""")"),"")</f>
        <v/>
      </c>
      <c r="F10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Helper'!$F$5:$F$3004,"""")&lt;&gt;""""),ROWS(F$5:F1022)),IF(AND(LEFT(x,5)=""Pag"&amp;"e "",ISERROR(SEARCH(""–"",x))),x&amp;""–""&amp;REGEXEXTRACT(x,""[0-9]+$""),x)),"""")"),"")</f>
        <v/>
      </c>
      <c r="G1022" s="163"/>
      <c r="H10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Helper'!$F$5:$F$3004,"""")&lt;&gt;""""),ROWS(H$5:H1022)),"""")"),"")</f>
        <v/>
      </c>
    </row>
    <row r="1023" ht="15.75" customHeight="1">
      <c r="A10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Helper'!$F$5:$F$3004,"""")&lt;&gt;""""),ROWS(A$5:A1023)),"""")"),"")</f>
        <v/>
      </c>
      <c r="B10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Helper'!$F$5:$F$3004,"""")&lt;&gt;""""),ROWS(B$5:B1023)),"""")"),"")</f>
        <v/>
      </c>
      <c r="C10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Helper'!$F$5:$F$3004,"""")&lt;&gt;""""),ROWS(C$5:C1023)),"""")"),"")</f>
        <v/>
      </c>
      <c r="D10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Helper'!$F$5:$F$3004,"""")&lt;&gt;""""),ROWS(D$5:D1023)),"""")"),"")</f>
        <v/>
      </c>
      <c r="E10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Helper'!$F$5:$F$3004,"""")&lt;&gt;""""),ROWS(E$5:E1023)),"""")"),"")</f>
        <v/>
      </c>
      <c r="F10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Helper'!$F$5:$F$3004,"""")&lt;&gt;""""),ROWS(F$5:F1023)),IF(AND(LEFT(x,5)=""Pag"&amp;"e "",ISERROR(SEARCH(""–"",x))),x&amp;""–""&amp;REGEXEXTRACT(x,""[0-9]+$""),x)),"""")"),"")</f>
        <v/>
      </c>
      <c r="G1023" s="163"/>
      <c r="H10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Helper'!$F$5:$F$3004,"""")&lt;&gt;""""),ROWS(H$5:H1023)),"""")"),"")</f>
        <v/>
      </c>
    </row>
    <row r="1024" ht="15.75" customHeight="1">
      <c r="A10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Helper'!$F$5:$F$3004,"""")&lt;&gt;""""),ROWS(A$5:A1024)),"""")"),"")</f>
        <v/>
      </c>
      <c r="B10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Helper'!$F$5:$F$3004,"""")&lt;&gt;""""),ROWS(B$5:B1024)),"""")"),"")</f>
        <v/>
      </c>
      <c r="C10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Helper'!$F$5:$F$3004,"""")&lt;&gt;""""),ROWS(C$5:C1024)),"""")"),"")</f>
        <v/>
      </c>
      <c r="D10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Helper'!$F$5:$F$3004,"""")&lt;&gt;""""),ROWS(D$5:D1024)),"""")"),"")</f>
        <v/>
      </c>
      <c r="E10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Helper'!$F$5:$F$3004,"""")&lt;&gt;""""),ROWS(E$5:E1024)),"""")"),"")</f>
        <v/>
      </c>
      <c r="F10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Helper'!$F$5:$F$3004,"""")&lt;&gt;""""),ROWS(F$5:F1024)),IF(AND(LEFT(x,5)=""Pag"&amp;"e "",ISERROR(SEARCH(""–"",x))),x&amp;""–""&amp;REGEXEXTRACT(x,""[0-9]+$""),x)),"""")"),"")</f>
        <v/>
      </c>
      <c r="G1024" s="163"/>
      <c r="H10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Helper'!$F$5:$F$3004,"""")&lt;&gt;""""),ROWS(H$5:H1024)),"""")"),"")</f>
        <v/>
      </c>
    </row>
    <row r="1025" ht="15.75" customHeight="1">
      <c r="A10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Helper'!$F$5:$F$3004,"""")&lt;&gt;""""),ROWS(A$5:A1025)),"""")"),"")</f>
        <v/>
      </c>
      <c r="B10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Helper'!$F$5:$F$3004,"""")&lt;&gt;""""),ROWS(B$5:B1025)),"""")"),"")</f>
        <v/>
      </c>
      <c r="C10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Helper'!$F$5:$F$3004,"""")&lt;&gt;""""),ROWS(C$5:C1025)),"""")"),"")</f>
        <v/>
      </c>
      <c r="D10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Helper'!$F$5:$F$3004,"""")&lt;&gt;""""),ROWS(D$5:D1025)),"""")"),"")</f>
        <v/>
      </c>
      <c r="E10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Helper'!$F$5:$F$3004,"""")&lt;&gt;""""),ROWS(E$5:E1025)),"""")"),"")</f>
        <v/>
      </c>
      <c r="F10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Helper'!$F$5:$F$3004,"""")&lt;&gt;""""),ROWS(F$5:F1025)),IF(AND(LEFT(x,5)=""Pag"&amp;"e "",ISERROR(SEARCH(""–"",x))),x&amp;""–""&amp;REGEXEXTRACT(x,""[0-9]+$""),x)),"""")"),"")</f>
        <v/>
      </c>
      <c r="G1025" s="163"/>
      <c r="H10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Helper'!$F$5:$F$3004,"""")&lt;&gt;""""),ROWS(H$5:H1025)),"""")"),"")</f>
        <v/>
      </c>
    </row>
    <row r="1026" ht="15.75" customHeight="1">
      <c r="A10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Helper'!$F$5:$F$3004,"""")&lt;&gt;""""),ROWS(A$5:A1026)),"""")"),"")</f>
        <v/>
      </c>
      <c r="B10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Helper'!$F$5:$F$3004,"""")&lt;&gt;""""),ROWS(B$5:B1026)),"""")"),"")</f>
        <v/>
      </c>
      <c r="C10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Helper'!$F$5:$F$3004,"""")&lt;&gt;""""),ROWS(C$5:C1026)),"""")"),"")</f>
        <v/>
      </c>
      <c r="D10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Helper'!$F$5:$F$3004,"""")&lt;&gt;""""),ROWS(D$5:D1026)),"""")"),"")</f>
        <v/>
      </c>
      <c r="E10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Helper'!$F$5:$F$3004,"""")&lt;&gt;""""),ROWS(E$5:E1026)),"""")"),"")</f>
        <v/>
      </c>
      <c r="F10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Helper'!$F$5:$F$3004,"""")&lt;&gt;""""),ROWS(F$5:F1026)),IF(AND(LEFT(x,5)=""Pag"&amp;"e "",ISERROR(SEARCH(""–"",x))),x&amp;""–""&amp;REGEXEXTRACT(x,""[0-9]+$""),x)),"""")"),"")</f>
        <v/>
      </c>
      <c r="G1026" s="163"/>
      <c r="H10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Helper'!$F$5:$F$3004,"""")&lt;&gt;""""),ROWS(H$5:H1026)),"""")"),"")</f>
        <v/>
      </c>
    </row>
    <row r="1027" ht="15.75" customHeight="1">
      <c r="A10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Helper'!$F$5:$F$3004,"""")&lt;&gt;""""),ROWS(A$5:A1027)),"""")"),"")</f>
        <v/>
      </c>
      <c r="B10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Helper'!$F$5:$F$3004,"""")&lt;&gt;""""),ROWS(B$5:B1027)),"""")"),"")</f>
        <v/>
      </c>
      <c r="C10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Helper'!$F$5:$F$3004,"""")&lt;&gt;""""),ROWS(C$5:C1027)),"""")"),"")</f>
        <v/>
      </c>
      <c r="D10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Helper'!$F$5:$F$3004,"""")&lt;&gt;""""),ROWS(D$5:D1027)),"""")"),"")</f>
        <v/>
      </c>
      <c r="E10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Helper'!$F$5:$F$3004,"""")&lt;&gt;""""),ROWS(E$5:E1027)),"""")"),"")</f>
        <v/>
      </c>
      <c r="F10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Helper'!$F$5:$F$3004,"""")&lt;&gt;""""),ROWS(F$5:F1027)),IF(AND(LEFT(x,5)=""Pag"&amp;"e "",ISERROR(SEARCH(""–"",x))),x&amp;""–""&amp;REGEXEXTRACT(x,""[0-9]+$""),x)),"""")"),"")</f>
        <v/>
      </c>
      <c r="G1027" s="163"/>
      <c r="H10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Helper'!$F$5:$F$3004,"""")&lt;&gt;""""),ROWS(H$5:H1027)),"""")"),"")</f>
        <v/>
      </c>
    </row>
    <row r="1028" ht="15.75" customHeight="1">
      <c r="A10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Helper'!$F$5:$F$3004,"""")&lt;&gt;""""),ROWS(A$5:A1028)),"""")"),"")</f>
        <v/>
      </c>
      <c r="B10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Helper'!$F$5:$F$3004,"""")&lt;&gt;""""),ROWS(B$5:B1028)),"""")"),"")</f>
        <v/>
      </c>
      <c r="C10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Helper'!$F$5:$F$3004,"""")&lt;&gt;""""),ROWS(C$5:C1028)),"""")"),"")</f>
        <v/>
      </c>
      <c r="D10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Helper'!$F$5:$F$3004,"""")&lt;&gt;""""),ROWS(D$5:D1028)),"""")"),"")</f>
        <v/>
      </c>
      <c r="E10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Helper'!$F$5:$F$3004,"""")&lt;&gt;""""),ROWS(E$5:E1028)),"""")"),"")</f>
        <v/>
      </c>
      <c r="F10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Helper'!$F$5:$F$3004,"""")&lt;&gt;""""),ROWS(F$5:F1028)),IF(AND(LEFT(x,5)=""Pag"&amp;"e "",ISERROR(SEARCH(""–"",x))),x&amp;""–""&amp;REGEXEXTRACT(x,""[0-9]+$""),x)),"""")"),"")</f>
        <v/>
      </c>
      <c r="G1028" s="163"/>
      <c r="H10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Helper'!$F$5:$F$3004,"""")&lt;&gt;""""),ROWS(H$5:H1028)),"""")"),"")</f>
        <v/>
      </c>
    </row>
    <row r="1029" ht="15.75" customHeight="1">
      <c r="A10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Helper'!$F$5:$F$3004,"""")&lt;&gt;""""),ROWS(A$5:A1029)),"""")"),"")</f>
        <v/>
      </c>
      <c r="B10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Helper'!$F$5:$F$3004,"""")&lt;&gt;""""),ROWS(B$5:B1029)),"""")"),"")</f>
        <v/>
      </c>
      <c r="C10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Helper'!$F$5:$F$3004,"""")&lt;&gt;""""),ROWS(C$5:C1029)),"""")"),"")</f>
        <v/>
      </c>
      <c r="D10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Helper'!$F$5:$F$3004,"""")&lt;&gt;""""),ROWS(D$5:D1029)),"""")"),"")</f>
        <v/>
      </c>
      <c r="E10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Helper'!$F$5:$F$3004,"""")&lt;&gt;""""),ROWS(E$5:E1029)),"""")"),"")</f>
        <v/>
      </c>
      <c r="F10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Helper'!$F$5:$F$3004,"""")&lt;&gt;""""),ROWS(F$5:F1029)),IF(AND(LEFT(x,5)=""Pag"&amp;"e "",ISERROR(SEARCH(""–"",x))),x&amp;""–""&amp;REGEXEXTRACT(x,""[0-9]+$""),x)),"""")"),"")</f>
        <v/>
      </c>
      <c r="G1029" s="163"/>
      <c r="H10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Helper'!$F$5:$F$3004,"""")&lt;&gt;""""),ROWS(H$5:H1029)),"""")"),"")</f>
        <v/>
      </c>
    </row>
    <row r="1030" ht="15.75" customHeight="1">
      <c r="A10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Helper'!$F$5:$F$3004,"""")&lt;&gt;""""),ROWS(A$5:A1030)),"""")"),"")</f>
        <v/>
      </c>
      <c r="B10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Helper'!$F$5:$F$3004,"""")&lt;&gt;""""),ROWS(B$5:B1030)),"""")"),"")</f>
        <v/>
      </c>
      <c r="C10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Helper'!$F$5:$F$3004,"""")&lt;&gt;""""),ROWS(C$5:C1030)),"""")"),"")</f>
        <v/>
      </c>
      <c r="D10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Helper'!$F$5:$F$3004,"""")&lt;&gt;""""),ROWS(D$5:D1030)),"""")"),"")</f>
        <v/>
      </c>
      <c r="E10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Helper'!$F$5:$F$3004,"""")&lt;&gt;""""),ROWS(E$5:E1030)),"""")"),"")</f>
        <v/>
      </c>
      <c r="F10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Helper'!$F$5:$F$3004,"""")&lt;&gt;""""),ROWS(F$5:F1030)),IF(AND(LEFT(x,5)=""Pag"&amp;"e "",ISERROR(SEARCH(""–"",x))),x&amp;""–""&amp;REGEXEXTRACT(x,""[0-9]+$""),x)),"""")"),"")</f>
        <v/>
      </c>
      <c r="G1030" s="163"/>
      <c r="H10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Helper'!$F$5:$F$3004,"""")&lt;&gt;""""),ROWS(H$5:H1030)),"""")"),"")</f>
        <v/>
      </c>
    </row>
    <row r="1031" ht="15.75" customHeight="1">
      <c r="A10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Helper'!$F$5:$F$3004,"""")&lt;&gt;""""),ROWS(A$5:A1031)),"""")"),"")</f>
        <v/>
      </c>
      <c r="B10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Helper'!$F$5:$F$3004,"""")&lt;&gt;""""),ROWS(B$5:B1031)),"""")"),"")</f>
        <v/>
      </c>
      <c r="C10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Helper'!$F$5:$F$3004,"""")&lt;&gt;""""),ROWS(C$5:C1031)),"""")"),"")</f>
        <v/>
      </c>
      <c r="D10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Helper'!$F$5:$F$3004,"""")&lt;&gt;""""),ROWS(D$5:D1031)),"""")"),"")</f>
        <v/>
      </c>
      <c r="E10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Helper'!$F$5:$F$3004,"""")&lt;&gt;""""),ROWS(E$5:E1031)),"""")"),"")</f>
        <v/>
      </c>
      <c r="F10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Helper'!$F$5:$F$3004,"""")&lt;&gt;""""),ROWS(F$5:F1031)),IF(AND(LEFT(x,5)=""Pag"&amp;"e "",ISERROR(SEARCH(""–"",x))),x&amp;""–""&amp;REGEXEXTRACT(x,""[0-9]+$""),x)),"""")"),"")</f>
        <v/>
      </c>
      <c r="G1031" s="163"/>
      <c r="H10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Helper'!$F$5:$F$3004,"""")&lt;&gt;""""),ROWS(H$5:H1031)),"""")"),"")</f>
        <v/>
      </c>
    </row>
    <row r="1032" ht="15.75" customHeight="1">
      <c r="A10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Helper'!$F$5:$F$3004,"""")&lt;&gt;""""),ROWS(A$5:A1032)),"""")"),"")</f>
        <v/>
      </c>
      <c r="B10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Helper'!$F$5:$F$3004,"""")&lt;&gt;""""),ROWS(B$5:B1032)),"""")"),"")</f>
        <v/>
      </c>
      <c r="C10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Helper'!$F$5:$F$3004,"""")&lt;&gt;""""),ROWS(C$5:C1032)),"""")"),"")</f>
        <v/>
      </c>
      <c r="D10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Helper'!$F$5:$F$3004,"""")&lt;&gt;""""),ROWS(D$5:D1032)),"""")"),"")</f>
        <v/>
      </c>
      <c r="E10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Helper'!$F$5:$F$3004,"""")&lt;&gt;""""),ROWS(E$5:E1032)),"""")"),"")</f>
        <v/>
      </c>
      <c r="F10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Helper'!$F$5:$F$3004,"""")&lt;&gt;""""),ROWS(F$5:F1032)),IF(AND(LEFT(x,5)=""Pag"&amp;"e "",ISERROR(SEARCH(""–"",x))),x&amp;""–""&amp;REGEXEXTRACT(x,""[0-9]+$""),x)),"""")"),"")</f>
        <v/>
      </c>
      <c r="G1032" s="163"/>
      <c r="H10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Helper'!$F$5:$F$3004,"""")&lt;&gt;""""),ROWS(H$5:H1032)),"""")"),"")</f>
        <v/>
      </c>
    </row>
    <row r="1033" ht="15.75" customHeight="1">
      <c r="A10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Helper'!$F$5:$F$3004,"""")&lt;&gt;""""),ROWS(A$5:A1033)),"""")"),"")</f>
        <v/>
      </c>
      <c r="B10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Helper'!$F$5:$F$3004,"""")&lt;&gt;""""),ROWS(B$5:B1033)),"""")"),"")</f>
        <v/>
      </c>
      <c r="C10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Helper'!$F$5:$F$3004,"""")&lt;&gt;""""),ROWS(C$5:C1033)),"""")"),"")</f>
        <v/>
      </c>
      <c r="D10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Helper'!$F$5:$F$3004,"""")&lt;&gt;""""),ROWS(D$5:D1033)),"""")"),"")</f>
        <v/>
      </c>
      <c r="E10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Helper'!$F$5:$F$3004,"""")&lt;&gt;""""),ROWS(E$5:E1033)),"""")"),"")</f>
        <v/>
      </c>
      <c r="F10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Helper'!$F$5:$F$3004,"""")&lt;&gt;""""),ROWS(F$5:F1033)),IF(AND(LEFT(x,5)=""Pag"&amp;"e "",ISERROR(SEARCH(""–"",x))),x&amp;""–""&amp;REGEXEXTRACT(x,""[0-9]+$""),x)),"""")"),"")</f>
        <v/>
      </c>
      <c r="G1033" s="163"/>
      <c r="H10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Helper'!$F$5:$F$3004,"""")&lt;&gt;""""),ROWS(H$5:H1033)),"""")"),"")</f>
        <v/>
      </c>
    </row>
    <row r="1034" ht="15.75" customHeight="1">
      <c r="A10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Helper'!$F$5:$F$3004,"""")&lt;&gt;""""),ROWS(A$5:A1034)),"""")"),"")</f>
        <v/>
      </c>
      <c r="B10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Helper'!$F$5:$F$3004,"""")&lt;&gt;""""),ROWS(B$5:B1034)),"""")"),"")</f>
        <v/>
      </c>
      <c r="C10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Helper'!$F$5:$F$3004,"""")&lt;&gt;""""),ROWS(C$5:C1034)),"""")"),"")</f>
        <v/>
      </c>
      <c r="D10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Helper'!$F$5:$F$3004,"""")&lt;&gt;""""),ROWS(D$5:D1034)),"""")"),"")</f>
        <v/>
      </c>
      <c r="E10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Helper'!$F$5:$F$3004,"""")&lt;&gt;""""),ROWS(E$5:E1034)),"""")"),"")</f>
        <v/>
      </c>
      <c r="F10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Helper'!$F$5:$F$3004,"""")&lt;&gt;""""),ROWS(F$5:F1034)),IF(AND(LEFT(x,5)=""Pag"&amp;"e "",ISERROR(SEARCH(""–"",x))),x&amp;""–""&amp;REGEXEXTRACT(x,""[0-9]+$""),x)),"""")"),"")</f>
        <v/>
      </c>
      <c r="G1034" s="163"/>
      <c r="H10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Helper'!$F$5:$F$3004,"""")&lt;&gt;""""),ROWS(H$5:H1034)),"""")"),"")</f>
        <v/>
      </c>
    </row>
    <row r="1035" ht="15.75" customHeight="1">
      <c r="A10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Helper'!$F$5:$F$3004,"""")&lt;&gt;""""),ROWS(A$5:A1035)),"""")"),"")</f>
        <v/>
      </c>
      <c r="B10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Helper'!$F$5:$F$3004,"""")&lt;&gt;""""),ROWS(B$5:B1035)),"""")"),"")</f>
        <v/>
      </c>
      <c r="C10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Helper'!$F$5:$F$3004,"""")&lt;&gt;""""),ROWS(C$5:C1035)),"""")"),"")</f>
        <v/>
      </c>
      <c r="D10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Helper'!$F$5:$F$3004,"""")&lt;&gt;""""),ROWS(D$5:D1035)),"""")"),"")</f>
        <v/>
      </c>
      <c r="E10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Helper'!$F$5:$F$3004,"""")&lt;&gt;""""),ROWS(E$5:E1035)),"""")"),"")</f>
        <v/>
      </c>
      <c r="F10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Helper'!$F$5:$F$3004,"""")&lt;&gt;""""),ROWS(F$5:F1035)),IF(AND(LEFT(x,5)=""Pag"&amp;"e "",ISERROR(SEARCH(""–"",x))),x&amp;""–""&amp;REGEXEXTRACT(x,""[0-9]+$""),x)),"""")"),"")</f>
        <v/>
      </c>
      <c r="G1035" s="163"/>
      <c r="H10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Helper'!$F$5:$F$3004,"""")&lt;&gt;""""),ROWS(H$5:H1035)),"""")"),"")</f>
        <v/>
      </c>
    </row>
    <row r="1036" ht="15.75" customHeight="1">
      <c r="A10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Helper'!$F$5:$F$3004,"""")&lt;&gt;""""),ROWS(A$5:A1036)),"""")"),"")</f>
        <v/>
      </c>
      <c r="B10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Helper'!$F$5:$F$3004,"""")&lt;&gt;""""),ROWS(B$5:B1036)),"""")"),"")</f>
        <v/>
      </c>
      <c r="C10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Helper'!$F$5:$F$3004,"""")&lt;&gt;""""),ROWS(C$5:C1036)),"""")"),"")</f>
        <v/>
      </c>
      <c r="D10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Helper'!$F$5:$F$3004,"""")&lt;&gt;""""),ROWS(D$5:D1036)),"""")"),"")</f>
        <v/>
      </c>
      <c r="E10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Helper'!$F$5:$F$3004,"""")&lt;&gt;""""),ROWS(E$5:E1036)),"""")"),"")</f>
        <v/>
      </c>
      <c r="F10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Helper'!$F$5:$F$3004,"""")&lt;&gt;""""),ROWS(F$5:F1036)),IF(AND(LEFT(x,5)=""Pag"&amp;"e "",ISERROR(SEARCH(""–"",x))),x&amp;""–""&amp;REGEXEXTRACT(x,""[0-9]+$""),x)),"""")"),"")</f>
        <v/>
      </c>
      <c r="G1036" s="163"/>
      <c r="H10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Helper'!$F$5:$F$3004,"""")&lt;&gt;""""),ROWS(H$5:H1036)),"""")"),"")</f>
        <v/>
      </c>
    </row>
    <row r="1037" ht="15.75" customHeight="1">
      <c r="A10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Helper'!$F$5:$F$3004,"""")&lt;&gt;""""),ROWS(A$5:A1037)),"""")"),"")</f>
        <v/>
      </c>
      <c r="B10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Helper'!$F$5:$F$3004,"""")&lt;&gt;""""),ROWS(B$5:B1037)),"""")"),"")</f>
        <v/>
      </c>
      <c r="C10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Helper'!$F$5:$F$3004,"""")&lt;&gt;""""),ROWS(C$5:C1037)),"""")"),"")</f>
        <v/>
      </c>
      <c r="D10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Helper'!$F$5:$F$3004,"""")&lt;&gt;""""),ROWS(D$5:D1037)),"""")"),"")</f>
        <v/>
      </c>
      <c r="E10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Helper'!$F$5:$F$3004,"""")&lt;&gt;""""),ROWS(E$5:E1037)),"""")"),"")</f>
        <v/>
      </c>
      <c r="F10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Helper'!$F$5:$F$3004,"""")&lt;&gt;""""),ROWS(F$5:F1037)),IF(AND(LEFT(x,5)=""Pag"&amp;"e "",ISERROR(SEARCH(""–"",x))),x&amp;""–""&amp;REGEXEXTRACT(x,""[0-9]+$""),x)),"""")"),"")</f>
        <v/>
      </c>
      <c r="G1037" s="163"/>
      <c r="H10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Helper'!$F$5:$F$3004,"""")&lt;&gt;""""),ROWS(H$5:H1037)),"""")"),"")</f>
        <v/>
      </c>
    </row>
    <row r="1038" ht="15.75" customHeight="1">
      <c r="A10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Helper'!$F$5:$F$3004,"""")&lt;&gt;""""),ROWS(A$5:A1038)),"""")"),"")</f>
        <v/>
      </c>
      <c r="B10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Helper'!$F$5:$F$3004,"""")&lt;&gt;""""),ROWS(B$5:B1038)),"""")"),"")</f>
        <v/>
      </c>
      <c r="C10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Helper'!$F$5:$F$3004,"""")&lt;&gt;""""),ROWS(C$5:C1038)),"""")"),"")</f>
        <v/>
      </c>
      <c r="D10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Helper'!$F$5:$F$3004,"""")&lt;&gt;""""),ROWS(D$5:D1038)),"""")"),"")</f>
        <v/>
      </c>
      <c r="E10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Helper'!$F$5:$F$3004,"""")&lt;&gt;""""),ROWS(E$5:E1038)),"""")"),"")</f>
        <v/>
      </c>
      <c r="F10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Helper'!$F$5:$F$3004,"""")&lt;&gt;""""),ROWS(F$5:F1038)),IF(AND(LEFT(x,5)=""Pag"&amp;"e "",ISERROR(SEARCH(""–"",x))),x&amp;""–""&amp;REGEXEXTRACT(x,""[0-9]+$""),x)),"""")"),"")</f>
        <v/>
      </c>
      <c r="G1038" s="163"/>
      <c r="H10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Helper'!$F$5:$F$3004,"""")&lt;&gt;""""),ROWS(H$5:H1038)),"""")"),"")</f>
        <v/>
      </c>
    </row>
    <row r="1039" ht="15.75" customHeight="1">
      <c r="A10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Helper'!$F$5:$F$3004,"""")&lt;&gt;""""),ROWS(A$5:A1039)),"""")"),"")</f>
        <v/>
      </c>
      <c r="B10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Helper'!$F$5:$F$3004,"""")&lt;&gt;""""),ROWS(B$5:B1039)),"""")"),"")</f>
        <v/>
      </c>
      <c r="C10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Helper'!$F$5:$F$3004,"""")&lt;&gt;""""),ROWS(C$5:C1039)),"""")"),"")</f>
        <v/>
      </c>
      <c r="D10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Helper'!$F$5:$F$3004,"""")&lt;&gt;""""),ROWS(D$5:D1039)),"""")"),"")</f>
        <v/>
      </c>
      <c r="E10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Helper'!$F$5:$F$3004,"""")&lt;&gt;""""),ROWS(E$5:E1039)),"""")"),"")</f>
        <v/>
      </c>
      <c r="F10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Helper'!$F$5:$F$3004,"""")&lt;&gt;""""),ROWS(F$5:F1039)),IF(AND(LEFT(x,5)=""Pag"&amp;"e "",ISERROR(SEARCH(""–"",x))),x&amp;""–""&amp;REGEXEXTRACT(x,""[0-9]+$""),x)),"""")"),"")</f>
        <v/>
      </c>
      <c r="G1039" s="163"/>
      <c r="H10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Helper'!$F$5:$F$3004,"""")&lt;&gt;""""),ROWS(H$5:H1039)),"""")"),"")</f>
        <v/>
      </c>
    </row>
    <row r="1040" ht="15.75" customHeight="1">
      <c r="A10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Helper'!$F$5:$F$3004,"""")&lt;&gt;""""),ROWS(A$5:A1040)),"""")"),"")</f>
        <v/>
      </c>
      <c r="B10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Helper'!$F$5:$F$3004,"""")&lt;&gt;""""),ROWS(B$5:B1040)),"""")"),"")</f>
        <v/>
      </c>
      <c r="C10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Helper'!$F$5:$F$3004,"""")&lt;&gt;""""),ROWS(C$5:C1040)),"""")"),"")</f>
        <v/>
      </c>
      <c r="D10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Helper'!$F$5:$F$3004,"""")&lt;&gt;""""),ROWS(D$5:D1040)),"""")"),"")</f>
        <v/>
      </c>
      <c r="E10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Helper'!$F$5:$F$3004,"""")&lt;&gt;""""),ROWS(E$5:E1040)),"""")"),"")</f>
        <v/>
      </c>
      <c r="F10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Helper'!$F$5:$F$3004,"""")&lt;&gt;""""),ROWS(F$5:F1040)),IF(AND(LEFT(x,5)=""Pag"&amp;"e "",ISERROR(SEARCH(""–"",x))),x&amp;""–""&amp;REGEXEXTRACT(x,""[0-9]+$""),x)),"""")"),"")</f>
        <v/>
      </c>
      <c r="G1040" s="163"/>
      <c r="H10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Helper'!$F$5:$F$3004,"""")&lt;&gt;""""),ROWS(H$5:H1040)),"""")"),"")</f>
        <v/>
      </c>
    </row>
    <row r="1041" ht="15.75" customHeight="1">
      <c r="A10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Helper'!$F$5:$F$3004,"""")&lt;&gt;""""),ROWS(A$5:A1041)),"""")"),"")</f>
        <v/>
      </c>
      <c r="B10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Helper'!$F$5:$F$3004,"""")&lt;&gt;""""),ROWS(B$5:B1041)),"""")"),"")</f>
        <v/>
      </c>
      <c r="C10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Helper'!$F$5:$F$3004,"""")&lt;&gt;""""),ROWS(C$5:C1041)),"""")"),"")</f>
        <v/>
      </c>
      <c r="D10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Helper'!$F$5:$F$3004,"""")&lt;&gt;""""),ROWS(D$5:D1041)),"""")"),"")</f>
        <v/>
      </c>
      <c r="E10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Helper'!$F$5:$F$3004,"""")&lt;&gt;""""),ROWS(E$5:E1041)),"""")"),"")</f>
        <v/>
      </c>
      <c r="F10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Helper'!$F$5:$F$3004,"""")&lt;&gt;""""),ROWS(F$5:F1041)),IF(AND(LEFT(x,5)=""Pag"&amp;"e "",ISERROR(SEARCH(""–"",x))),x&amp;""–""&amp;REGEXEXTRACT(x,""[0-9]+$""),x)),"""")"),"")</f>
        <v/>
      </c>
      <c r="G1041" s="163"/>
      <c r="H10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Helper'!$F$5:$F$3004,"""")&lt;&gt;""""),ROWS(H$5:H1041)),"""")"),"")</f>
        <v/>
      </c>
    </row>
    <row r="1042" ht="15.75" customHeight="1">
      <c r="A10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Helper'!$F$5:$F$3004,"""")&lt;&gt;""""),ROWS(A$5:A1042)),"""")"),"")</f>
        <v/>
      </c>
      <c r="B10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Helper'!$F$5:$F$3004,"""")&lt;&gt;""""),ROWS(B$5:B1042)),"""")"),"")</f>
        <v/>
      </c>
      <c r="C10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Helper'!$F$5:$F$3004,"""")&lt;&gt;""""),ROWS(C$5:C1042)),"""")"),"")</f>
        <v/>
      </c>
      <c r="D10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Helper'!$F$5:$F$3004,"""")&lt;&gt;""""),ROWS(D$5:D1042)),"""")"),"")</f>
        <v/>
      </c>
      <c r="E10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Helper'!$F$5:$F$3004,"""")&lt;&gt;""""),ROWS(E$5:E1042)),"""")"),"")</f>
        <v/>
      </c>
      <c r="F10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Helper'!$F$5:$F$3004,"""")&lt;&gt;""""),ROWS(F$5:F1042)),IF(AND(LEFT(x,5)=""Pag"&amp;"e "",ISERROR(SEARCH(""–"",x))),x&amp;""–""&amp;REGEXEXTRACT(x,""[0-9]+$""),x)),"""")"),"")</f>
        <v/>
      </c>
      <c r="G1042" s="163"/>
      <c r="H10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Helper'!$F$5:$F$3004,"""")&lt;&gt;""""),ROWS(H$5:H1042)),"""")"),"")</f>
        <v/>
      </c>
    </row>
    <row r="1043" ht="15.75" customHeight="1">
      <c r="A10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Helper'!$F$5:$F$3004,"""")&lt;&gt;""""),ROWS(A$5:A1043)),"""")"),"")</f>
        <v/>
      </c>
      <c r="B10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Helper'!$F$5:$F$3004,"""")&lt;&gt;""""),ROWS(B$5:B1043)),"""")"),"")</f>
        <v/>
      </c>
      <c r="C10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Helper'!$F$5:$F$3004,"""")&lt;&gt;""""),ROWS(C$5:C1043)),"""")"),"")</f>
        <v/>
      </c>
      <c r="D10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Helper'!$F$5:$F$3004,"""")&lt;&gt;""""),ROWS(D$5:D1043)),"""")"),"")</f>
        <v/>
      </c>
      <c r="E10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Helper'!$F$5:$F$3004,"""")&lt;&gt;""""),ROWS(E$5:E1043)),"""")"),"")</f>
        <v/>
      </c>
      <c r="F10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Helper'!$F$5:$F$3004,"""")&lt;&gt;""""),ROWS(F$5:F1043)),IF(AND(LEFT(x,5)=""Pag"&amp;"e "",ISERROR(SEARCH(""–"",x))),x&amp;""–""&amp;REGEXEXTRACT(x,""[0-9]+$""),x)),"""")"),"")</f>
        <v/>
      </c>
      <c r="G1043" s="163"/>
      <c r="H10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Helper'!$F$5:$F$3004,"""")&lt;&gt;""""),ROWS(H$5:H1043)),"""")"),"")</f>
        <v/>
      </c>
    </row>
    <row r="1044" ht="15.75" customHeight="1">
      <c r="A10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Helper'!$F$5:$F$3004,"""")&lt;&gt;""""),ROWS(A$5:A1044)),"""")"),"")</f>
        <v/>
      </c>
      <c r="B10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Helper'!$F$5:$F$3004,"""")&lt;&gt;""""),ROWS(B$5:B1044)),"""")"),"")</f>
        <v/>
      </c>
      <c r="C10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Helper'!$F$5:$F$3004,"""")&lt;&gt;""""),ROWS(C$5:C1044)),"""")"),"")</f>
        <v/>
      </c>
      <c r="D10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Helper'!$F$5:$F$3004,"""")&lt;&gt;""""),ROWS(D$5:D1044)),"""")"),"")</f>
        <v/>
      </c>
      <c r="E10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Helper'!$F$5:$F$3004,"""")&lt;&gt;""""),ROWS(E$5:E1044)),"""")"),"")</f>
        <v/>
      </c>
      <c r="F10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Helper'!$F$5:$F$3004,"""")&lt;&gt;""""),ROWS(F$5:F1044)),IF(AND(LEFT(x,5)=""Pag"&amp;"e "",ISERROR(SEARCH(""–"",x))),x&amp;""–""&amp;REGEXEXTRACT(x,""[0-9]+$""),x)),"""")"),"")</f>
        <v/>
      </c>
      <c r="G1044" s="163"/>
      <c r="H10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Helper'!$F$5:$F$3004,"""")&lt;&gt;""""),ROWS(H$5:H1044)),"""")"),"")</f>
        <v/>
      </c>
    </row>
    <row r="1045" ht="15.75" customHeight="1">
      <c r="A10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Helper'!$F$5:$F$3004,"""")&lt;&gt;""""),ROWS(A$5:A1045)),"""")"),"")</f>
        <v/>
      </c>
      <c r="B10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Helper'!$F$5:$F$3004,"""")&lt;&gt;""""),ROWS(B$5:B1045)),"""")"),"")</f>
        <v/>
      </c>
      <c r="C10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Helper'!$F$5:$F$3004,"""")&lt;&gt;""""),ROWS(C$5:C1045)),"""")"),"")</f>
        <v/>
      </c>
      <c r="D10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Helper'!$F$5:$F$3004,"""")&lt;&gt;""""),ROWS(D$5:D1045)),"""")"),"")</f>
        <v/>
      </c>
      <c r="E10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Helper'!$F$5:$F$3004,"""")&lt;&gt;""""),ROWS(E$5:E1045)),"""")"),"")</f>
        <v/>
      </c>
      <c r="F10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Helper'!$F$5:$F$3004,"""")&lt;&gt;""""),ROWS(F$5:F1045)),IF(AND(LEFT(x,5)=""Pag"&amp;"e "",ISERROR(SEARCH(""–"",x))),x&amp;""–""&amp;REGEXEXTRACT(x,""[0-9]+$""),x)),"""")"),"")</f>
        <v/>
      </c>
      <c r="G1045" s="163"/>
      <c r="H10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Helper'!$F$5:$F$3004,"""")&lt;&gt;""""),ROWS(H$5:H1045)),"""")"),"")</f>
        <v/>
      </c>
    </row>
    <row r="1046" ht="15.75" customHeight="1">
      <c r="A10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Helper'!$F$5:$F$3004,"""")&lt;&gt;""""),ROWS(A$5:A1046)),"""")"),"")</f>
        <v/>
      </c>
      <c r="B10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Helper'!$F$5:$F$3004,"""")&lt;&gt;""""),ROWS(B$5:B1046)),"""")"),"")</f>
        <v/>
      </c>
      <c r="C10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Helper'!$F$5:$F$3004,"""")&lt;&gt;""""),ROWS(C$5:C1046)),"""")"),"")</f>
        <v/>
      </c>
      <c r="D10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Helper'!$F$5:$F$3004,"""")&lt;&gt;""""),ROWS(D$5:D1046)),"""")"),"")</f>
        <v/>
      </c>
      <c r="E10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Helper'!$F$5:$F$3004,"""")&lt;&gt;""""),ROWS(E$5:E1046)),"""")"),"")</f>
        <v/>
      </c>
      <c r="F10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Helper'!$F$5:$F$3004,"""")&lt;&gt;""""),ROWS(F$5:F1046)),IF(AND(LEFT(x,5)=""Pag"&amp;"e "",ISERROR(SEARCH(""–"",x))),x&amp;""–""&amp;REGEXEXTRACT(x,""[0-9]+$""),x)),"""")"),"")</f>
        <v/>
      </c>
      <c r="G1046" s="163"/>
      <c r="H10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Helper'!$F$5:$F$3004,"""")&lt;&gt;""""),ROWS(H$5:H1046)),"""")"),"")</f>
        <v/>
      </c>
    </row>
    <row r="1047" ht="15.75" customHeight="1">
      <c r="A10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Helper'!$F$5:$F$3004,"""")&lt;&gt;""""),ROWS(A$5:A1047)),"""")"),"")</f>
        <v/>
      </c>
      <c r="B10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Helper'!$F$5:$F$3004,"""")&lt;&gt;""""),ROWS(B$5:B1047)),"""")"),"")</f>
        <v/>
      </c>
      <c r="C10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Helper'!$F$5:$F$3004,"""")&lt;&gt;""""),ROWS(C$5:C1047)),"""")"),"")</f>
        <v/>
      </c>
      <c r="D10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Helper'!$F$5:$F$3004,"""")&lt;&gt;""""),ROWS(D$5:D1047)),"""")"),"")</f>
        <v/>
      </c>
      <c r="E10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Helper'!$F$5:$F$3004,"""")&lt;&gt;""""),ROWS(E$5:E1047)),"""")"),"")</f>
        <v/>
      </c>
      <c r="F10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Helper'!$F$5:$F$3004,"""")&lt;&gt;""""),ROWS(F$5:F1047)),IF(AND(LEFT(x,5)=""Pag"&amp;"e "",ISERROR(SEARCH(""–"",x))),x&amp;""–""&amp;REGEXEXTRACT(x,""[0-9]+$""),x)),"""")"),"")</f>
        <v/>
      </c>
      <c r="G1047" s="163"/>
      <c r="H10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Helper'!$F$5:$F$3004,"""")&lt;&gt;""""),ROWS(H$5:H1047)),"""")"),"")</f>
        <v/>
      </c>
    </row>
    <row r="1048" ht="15.75" customHeight="1">
      <c r="A10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Helper'!$F$5:$F$3004,"""")&lt;&gt;""""),ROWS(A$5:A1048)),"""")"),"")</f>
        <v/>
      </c>
      <c r="B10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Helper'!$F$5:$F$3004,"""")&lt;&gt;""""),ROWS(B$5:B1048)),"""")"),"")</f>
        <v/>
      </c>
      <c r="C10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Helper'!$F$5:$F$3004,"""")&lt;&gt;""""),ROWS(C$5:C1048)),"""")"),"")</f>
        <v/>
      </c>
      <c r="D10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Helper'!$F$5:$F$3004,"""")&lt;&gt;""""),ROWS(D$5:D1048)),"""")"),"")</f>
        <v/>
      </c>
      <c r="E10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Helper'!$F$5:$F$3004,"""")&lt;&gt;""""),ROWS(E$5:E1048)),"""")"),"")</f>
        <v/>
      </c>
      <c r="F10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Helper'!$F$5:$F$3004,"""")&lt;&gt;""""),ROWS(F$5:F1048)),IF(AND(LEFT(x,5)=""Pag"&amp;"e "",ISERROR(SEARCH(""–"",x))),x&amp;""–""&amp;REGEXEXTRACT(x,""[0-9]+$""),x)),"""")"),"")</f>
        <v/>
      </c>
      <c r="G1048" s="163"/>
      <c r="H10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Helper'!$F$5:$F$3004,"""")&lt;&gt;""""),ROWS(H$5:H1048)),"""")"),"")</f>
        <v/>
      </c>
    </row>
    <row r="1049" ht="15.75" customHeight="1">
      <c r="A10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Helper'!$F$5:$F$3004,"""")&lt;&gt;""""),ROWS(A$5:A1049)),"""")"),"")</f>
        <v/>
      </c>
      <c r="B10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Helper'!$F$5:$F$3004,"""")&lt;&gt;""""),ROWS(B$5:B1049)),"""")"),"")</f>
        <v/>
      </c>
      <c r="C10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Helper'!$F$5:$F$3004,"""")&lt;&gt;""""),ROWS(C$5:C1049)),"""")"),"")</f>
        <v/>
      </c>
      <c r="D10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Helper'!$F$5:$F$3004,"""")&lt;&gt;""""),ROWS(D$5:D1049)),"""")"),"")</f>
        <v/>
      </c>
      <c r="E10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Helper'!$F$5:$F$3004,"""")&lt;&gt;""""),ROWS(E$5:E1049)),"""")"),"")</f>
        <v/>
      </c>
      <c r="F10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Helper'!$F$5:$F$3004,"""")&lt;&gt;""""),ROWS(F$5:F1049)),IF(AND(LEFT(x,5)=""Pag"&amp;"e "",ISERROR(SEARCH(""–"",x))),x&amp;""–""&amp;REGEXEXTRACT(x,""[0-9]+$""),x)),"""")"),"")</f>
        <v/>
      </c>
      <c r="G1049" s="163"/>
      <c r="H10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Helper'!$F$5:$F$3004,"""")&lt;&gt;""""),ROWS(H$5:H1049)),"""")"),"")</f>
        <v/>
      </c>
    </row>
    <row r="1050" ht="15.75" customHeight="1">
      <c r="A10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Helper'!$F$5:$F$3004,"""")&lt;&gt;""""),ROWS(A$5:A1050)),"""")"),"")</f>
        <v/>
      </c>
      <c r="B10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Helper'!$F$5:$F$3004,"""")&lt;&gt;""""),ROWS(B$5:B1050)),"""")"),"")</f>
        <v/>
      </c>
      <c r="C10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Helper'!$F$5:$F$3004,"""")&lt;&gt;""""),ROWS(C$5:C1050)),"""")"),"")</f>
        <v/>
      </c>
      <c r="D10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Helper'!$F$5:$F$3004,"""")&lt;&gt;""""),ROWS(D$5:D1050)),"""")"),"")</f>
        <v/>
      </c>
      <c r="E10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Helper'!$F$5:$F$3004,"""")&lt;&gt;""""),ROWS(E$5:E1050)),"""")"),"")</f>
        <v/>
      </c>
      <c r="F10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Helper'!$F$5:$F$3004,"""")&lt;&gt;""""),ROWS(F$5:F1050)),IF(AND(LEFT(x,5)=""Pag"&amp;"e "",ISERROR(SEARCH(""–"",x))),x&amp;""–""&amp;REGEXEXTRACT(x,""[0-9]+$""),x)),"""")"),"")</f>
        <v/>
      </c>
      <c r="G1050" s="163"/>
      <c r="H10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Helper'!$F$5:$F$3004,"""")&lt;&gt;""""),ROWS(H$5:H1050)),"""")"),"")</f>
        <v/>
      </c>
    </row>
    <row r="1051" ht="15.75" customHeight="1">
      <c r="A10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Helper'!$F$5:$F$3004,"""")&lt;&gt;""""),ROWS(A$5:A1051)),"""")"),"")</f>
        <v/>
      </c>
      <c r="B10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Helper'!$F$5:$F$3004,"""")&lt;&gt;""""),ROWS(B$5:B1051)),"""")"),"")</f>
        <v/>
      </c>
      <c r="C10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Helper'!$F$5:$F$3004,"""")&lt;&gt;""""),ROWS(C$5:C1051)),"""")"),"")</f>
        <v/>
      </c>
      <c r="D10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Helper'!$F$5:$F$3004,"""")&lt;&gt;""""),ROWS(D$5:D1051)),"""")"),"")</f>
        <v/>
      </c>
      <c r="E10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Helper'!$F$5:$F$3004,"""")&lt;&gt;""""),ROWS(E$5:E1051)),"""")"),"")</f>
        <v/>
      </c>
      <c r="F10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Helper'!$F$5:$F$3004,"""")&lt;&gt;""""),ROWS(F$5:F1051)),IF(AND(LEFT(x,5)=""Pag"&amp;"e "",ISERROR(SEARCH(""–"",x))),x&amp;""–""&amp;REGEXEXTRACT(x,""[0-9]+$""),x)),"""")"),"")</f>
        <v/>
      </c>
      <c r="G1051" s="163"/>
      <c r="H10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Helper'!$F$5:$F$3004,"""")&lt;&gt;""""),ROWS(H$5:H1051)),"""")"),"")</f>
        <v/>
      </c>
    </row>
    <row r="1052" ht="15.75" customHeight="1">
      <c r="A10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Helper'!$F$5:$F$3004,"""")&lt;&gt;""""),ROWS(A$5:A1052)),"""")"),"")</f>
        <v/>
      </c>
      <c r="B10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Helper'!$F$5:$F$3004,"""")&lt;&gt;""""),ROWS(B$5:B1052)),"""")"),"")</f>
        <v/>
      </c>
      <c r="C10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Helper'!$F$5:$F$3004,"""")&lt;&gt;""""),ROWS(C$5:C1052)),"""")"),"")</f>
        <v/>
      </c>
      <c r="D10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Helper'!$F$5:$F$3004,"""")&lt;&gt;""""),ROWS(D$5:D1052)),"""")"),"")</f>
        <v/>
      </c>
      <c r="E10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Helper'!$F$5:$F$3004,"""")&lt;&gt;""""),ROWS(E$5:E1052)),"""")"),"")</f>
        <v/>
      </c>
      <c r="F10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Helper'!$F$5:$F$3004,"""")&lt;&gt;""""),ROWS(F$5:F1052)),IF(AND(LEFT(x,5)=""Pag"&amp;"e "",ISERROR(SEARCH(""–"",x))),x&amp;""–""&amp;REGEXEXTRACT(x,""[0-9]+$""),x)),"""")"),"")</f>
        <v/>
      </c>
      <c r="G1052" s="163"/>
      <c r="H10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Helper'!$F$5:$F$3004,"""")&lt;&gt;""""),ROWS(H$5:H1052)),"""")"),"")</f>
        <v/>
      </c>
    </row>
    <row r="1053" ht="15.75" customHeight="1">
      <c r="A10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Helper'!$F$5:$F$3004,"""")&lt;&gt;""""),ROWS(A$5:A1053)),"""")"),"")</f>
        <v/>
      </c>
      <c r="B10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Helper'!$F$5:$F$3004,"""")&lt;&gt;""""),ROWS(B$5:B1053)),"""")"),"")</f>
        <v/>
      </c>
      <c r="C10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Helper'!$F$5:$F$3004,"""")&lt;&gt;""""),ROWS(C$5:C1053)),"""")"),"")</f>
        <v/>
      </c>
      <c r="D10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Helper'!$F$5:$F$3004,"""")&lt;&gt;""""),ROWS(D$5:D1053)),"""")"),"")</f>
        <v/>
      </c>
      <c r="E10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Helper'!$F$5:$F$3004,"""")&lt;&gt;""""),ROWS(E$5:E1053)),"""")"),"")</f>
        <v/>
      </c>
      <c r="F10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Helper'!$F$5:$F$3004,"""")&lt;&gt;""""),ROWS(F$5:F1053)),IF(AND(LEFT(x,5)=""Pag"&amp;"e "",ISERROR(SEARCH(""–"",x))),x&amp;""–""&amp;REGEXEXTRACT(x,""[0-9]+$""),x)),"""")"),"")</f>
        <v/>
      </c>
      <c r="G1053" s="163"/>
      <c r="H10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Helper'!$F$5:$F$3004,"""")&lt;&gt;""""),ROWS(H$5:H1053)),"""")"),"")</f>
        <v/>
      </c>
    </row>
    <row r="1054" ht="15.75" customHeight="1">
      <c r="A10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Helper'!$F$5:$F$3004,"""")&lt;&gt;""""),ROWS(A$5:A1054)),"""")"),"")</f>
        <v/>
      </c>
      <c r="B10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Helper'!$F$5:$F$3004,"""")&lt;&gt;""""),ROWS(B$5:B1054)),"""")"),"")</f>
        <v/>
      </c>
      <c r="C10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Helper'!$F$5:$F$3004,"""")&lt;&gt;""""),ROWS(C$5:C1054)),"""")"),"")</f>
        <v/>
      </c>
      <c r="D10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Helper'!$F$5:$F$3004,"""")&lt;&gt;""""),ROWS(D$5:D1054)),"""")"),"")</f>
        <v/>
      </c>
      <c r="E10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Helper'!$F$5:$F$3004,"""")&lt;&gt;""""),ROWS(E$5:E1054)),"""")"),"")</f>
        <v/>
      </c>
      <c r="F10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Helper'!$F$5:$F$3004,"""")&lt;&gt;""""),ROWS(F$5:F1054)),IF(AND(LEFT(x,5)=""Pag"&amp;"e "",ISERROR(SEARCH(""–"",x))),x&amp;""–""&amp;REGEXEXTRACT(x,""[0-9]+$""),x)),"""")"),"")</f>
        <v/>
      </c>
      <c r="G1054" s="163"/>
      <c r="H10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Helper'!$F$5:$F$3004,"""")&lt;&gt;""""),ROWS(H$5:H1054)),"""")"),"")</f>
        <v/>
      </c>
    </row>
    <row r="1055" ht="15.75" customHeight="1">
      <c r="A10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Helper'!$F$5:$F$3004,"""")&lt;&gt;""""),ROWS(A$5:A1055)),"""")"),"")</f>
        <v/>
      </c>
      <c r="B10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Helper'!$F$5:$F$3004,"""")&lt;&gt;""""),ROWS(B$5:B1055)),"""")"),"")</f>
        <v/>
      </c>
      <c r="C10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Helper'!$F$5:$F$3004,"""")&lt;&gt;""""),ROWS(C$5:C1055)),"""")"),"")</f>
        <v/>
      </c>
      <c r="D10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Helper'!$F$5:$F$3004,"""")&lt;&gt;""""),ROWS(D$5:D1055)),"""")"),"")</f>
        <v/>
      </c>
      <c r="E10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Helper'!$F$5:$F$3004,"""")&lt;&gt;""""),ROWS(E$5:E1055)),"""")"),"")</f>
        <v/>
      </c>
      <c r="F10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Helper'!$F$5:$F$3004,"""")&lt;&gt;""""),ROWS(F$5:F1055)),IF(AND(LEFT(x,5)=""Pag"&amp;"e "",ISERROR(SEARCH(""–"",x))),x&amp;""–""&amp;REGEXEXTRACT(x,""[0-9]+$""),x)),"""")"),"")</f>
        <v/>
      </c>
      <c r="G1055" s="163"/>
      <c r="H10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Helper'!$F$5:$F$3004,"""")&lt;&gt;""""),ROWS(H$5:H1055)),"""")"),"")</f>
        <v/>
      </c>
    </row>
    <row r="1056" ht="15.75" customHeight="1">
      <c r="A10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Helper'!$F$5:$F$3004,"""")&lt;&gt;""""),ROWS(A$5:A1056)),"""")"),"")</f>
        <v/>
      </c>
      <c r="B10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Helper'!$F$5:$F$3004,"""")&lt;&gt;""""),ROWS(B$5:B1056)),"""")"),"")</f>
        <v/>
      </c>
      <c r="C10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Helper'!$F$5:$F$3004,"""")&lt;&gt;""""),ROWS(C$5:C1056)),"""")"),"")</f>
        <v/>
      </c>
      <c r="D10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Helper'!$F$5:$F$3004,"""")&lt;&gt;""""),ROWS(D$5:D1056)),"""")"),"")</f>
        <v/>
      </c>
      <c r="E10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Helper'!$F$5:$F$3004,"""")&lt;&gt;""""),ROWS(E$5:E1056)),"""")"),"")</f>
        <v/>
      </c>
      <c r="F10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Helper'!$F$5:$F$3004,"""")&lt;&gt;""""),ROWS(F$5:F1056)),IF(AND(LEFT(x,5)=""Pag"&amp;"e "",ISERROR(SEARCH(""–"",x))),x&amp;""–""&amp;REGEXEXTRACT(x,""[0-9]+$""),x)),"""")"),"")</f>
        <v/>
      </c>
      <c r="G1056" s="163"/>
      <c r="H10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Helper'!$F$5:$F$3004,"""")&lt;&gt;""""),ROWS(H$5:H1056)),"""")"),"")</f>
        <v/>
      </c>
    </row>
    <row r="1057" ht="15.75" customHeight="1">
      <c r="A10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Helper'!$F$5:$F$3004,"""")&lt;&gt;""""),ROWS(A$5:A1057)),"""")"),"")</f>
        <v/>
      </c>
      <c r="B10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Helper'!$F$5:$F$3004,"""")&lt;&gt;""""),ROWS(B$5:B1057)),"""")"),"")</f>
        <v/>
      </c>
      <c r="C10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Helper'!$F$5:$F$3004,"""")&lt;&gt;""""),ROWS(C$5:C1057)),"""")"),"")</f>
        <v/>
      </c>
      <c r="D10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Helper'!$F$5:$F$3004,"""")&lt;&gt;""""),ROWS(D$5:D1057)),"""")"),"")</f>
        <v/>
      </c>
      <c r="E10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Helper'!$F$5:$F$3004,"""")&lt;&gt;""""),ROWS(E$5:E1057)),"""")"),"")</f>
        <v/>
      </c>
      <c r="F10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Helper'!$F$5:$F$3004,"""")&lt;&gt;""""),ROWS(F$5:F1057)),IF(AND(LEFT(x,5)=""Pag"&amp;"e "",ISERROR(SEARCH(""–"",x))),x&amp;""–""&amp;REGEXEXTRACT(x,""[0-9]+$""),x)),"""")"),"")</f>
        <v/>
      </c>
      <c r="G1057" s="163"/>
      <c r="H10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Helper'!$F$5:$F$3004,"""")&lt;&gt;""""),ROWS(H$5:H1057)),"""")"),"")</f>
        <v/>
      </c>
    </row>
    <row r="1058" ht="15.75" customHeight="1">
      <c r="A10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Helper'!$F$5:$F$3004,"""")&lt;&gt;""""),ROWS(A$5:A1058)),"""")"),"")</f>
        <v/>
      </c>
      <c r="B10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Helper'!$F$5:$F$3004,"""")&lt;&gt;""""),ROWS(B$5:B1058)),"""")"),"")</f>
        <v/>
      </c>
      <c r="C10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Helper'!$F$5:$F$3004,"""")&lt;&gt;""""),ROWS(C$5:C1058)),"""")"),"")</f>
        <v/>
      </c>
      <c r="D10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Helper'!$F$5:$F$3004,"""")&lt;&gt;""""),ROWS(D$5:D1058)),"""")"),"")</f>
        <v/>
      </c>
      <c r="E10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Helper'!$F$5:$F$3004,"""")&lt;&gt;""""),ROWS(E$5:E1058)),"""")"),"")</f>
        <v/>
      </c>
      <c r="F10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Helper'!$F$5:$F$3004,"""")&lt;&gt;""""),ROWS(F$5:F1058)),IF(AND(LEFT(x,5)=""Pag"&amp;"e "",ISERROR(SEARCH(""–"",x))),x&amp;""–""&amp;REGEXEXTRACT(x,""[0-9]+$""),x)),"""")"),"")</f>
        <v/>
      </c>
      <c r="G1058" s="163"/>
      <c r="H10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Helper'!$F$5:$F$3004,"""")&lt;&gt;""""),ROWS(H$5:H1058)),"""")"),"")</f>
        <v/>
      </c>
    </row>
    <row r="1059" ht="15.75" customHeight="1">
      <c r="A10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Helper'!$F$5:$F$3004,"""")&lt;&gt;""""),ROWS(A$5:A1059)),"""")"),"")</f>
        <v/>
      </c>
      <c r="B10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Helper'!$F$5:$F$3004,"""")&lt;&gt;""""),ROWS(B$5:B1059)),"""")"),"")</f>
        <v/>
      </c>
      <c r="C10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Helper'!$F$5:$F$3004,"""")&lt;&gt;""""),ROWS(C$5:C1059)),"""")"),"")</f>
        <v/>
      </c>
      <c r="D10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Helper'!$F$5:$F$3004,"""")&lt;&gt;""""),ROWS(D$5:D1059)),"""")"),"")</f>
        <v/>
      </c>
      <c r="E10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Helper'!$F$5:$F$3004,"""")&lt;&gt;""""),ROWS(E$5:E1059)),"""")"),"")</f>
        <v/>
      </c>
      <c r="F10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Helper'!$F$5:$F$3004,"""")&lt;&gt;""""),ROWS(F$5:F1059)),IF(AND(LEFT(x,5)=""Pag"&amp;"e "",ISERROR(SEARCH(""–"",x))),x&amp;""–""&amp;REGEXEXTRACT(x,""[0-9]+$""),x)),"""")"),"")</f>
        <v/>
      </c>
      <c r="G1059" s="163"/>
      <c r="H10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Helper'!$F$5:$F$3004,"""")&lt;&gt;""""),ROWS(H$5:H1059)),"""")"),"")</f>
        <v/>
      </c>
    </row>
    <row r="1060" ht="15.75" customHeight="1">
      <c r="A10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Helper'!$F$5:$F$3004,"""")&lt;&gt;""""),ROWS(A$5:A1060)),"""")"),"")</f>
        <v/>
      </c>
      <c r="B10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Helper'!$F$5:$F$3004,"""")&lt;&gt;""""),ROWS(B$5:B1060)),"""")"),"")</f>
        <v/>
      </c>
      <c r="C10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Helper'!$F$5:$F$3004,"""")&lt;&gt;""""),ROWS(C$5:C1060)),"""")"),"")</f>
        <v/>
      </c>
      <c r="D10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Helper'!$F$5:$F$3004,"""")&lt;&gt;""""),ROWS(D$5:D1060)),"""")"),"")</f>
        <v/>
      </c>
      <c r="E10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Helper'!$F$5:$F$3004,"""")&lt;&gt;""""),ROWS(E$5:E1060)),"""")"),"")</f>
        <v/>
      </c>
      <c r="F10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Helper'!$F$5:$F$3004,"""")&lt;&gt;""""),ROWS(F$5:F1060)),IF(AND(LEFT(x,5)=""Pag"&amp;"e "",ISERROR(SEARCH(""–"",x))),x&amp;""–""&amp;REGEXEXTRACT(x,""[0-9]+$""),x)),"""")"),"")</f>
        <v/>
      </c>
      <c r="G1060" s="163"/>
      <c r="H10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Helper'!$F$5:$F$3004,"""")&lt;&gt;""""),ROWS(H$5:H1060)),"""")"),"")</f>
        <v/>
      </c>
    </row>
    <row r="1061" ht="15.75" customHeight="1">
      <c r="A10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Helper'!$F$5:$F$3004,"""")&lt;&gt;""""),ROWS(A$5:A1061)),"""")"),"")</f>
        <v/>
      </c>
      <c r="B10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Helper'!$F$5:$F$3004,"""")&lt;&gt;""""),ROWS(B$5:B1061)),"""")"),"")</f>
        <v/>
      </c>
      <c r="C10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Helper'!$F$5:$F$3004,"""")&lt;&gt;""""),ROWS(C$5:C1061)),"""")"),"")</f>
        <v/>
      </c>
      <c r="D10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Helper'!$F$5:$F$3004,"""")&lt;&gt;""""),ROWS(D$5:D1061)),"""")"),"")</f>
        <v/>
      </c>
      <c r="E10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Helper'!$F$5:$F$3004,"""")&lt;&gt;""""),ROWS(E$5:E1061)),"""")"),"")</f>
        <v/>
      </c>
      <c r="F10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Helper'!$F$5:$F$3004,"""")&lt;&gt;""""),ROWS(F$5:F1061)),IF(AND(LEFT(x,5)=""Pag"&amp;"e "",ISERROR(SEARCH(""–"",x))),x&amp;""–""&amp;REGEXEXTRACT(x,""[0-9]+$""),x)),"""")"),"")</f>
        <v/>
      </c>
      <c r="G1061" s="163"/>
      <c r="H10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Helper'!$F$5:$F$3004,"""")&lt;&gt;""""),ROWS(H$5:H1061)),"""")"),"")</f>
        <v/>
      </c>
    </row>
    <row r="1062" ht="15.75" customHeight="1">
      <c r="A10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Helper'!$F$5:$F$3004,"""")&lt;&gt;""""),ROWS(A$5:A1062)),"""")"),"")</f>
        <v/>
      </c>
      <c r="B10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Helper'!$F$5:$F$3004,"""")&lt;&gt;""""),ROWS(B$5:B1062)),"""")"),"")</f>
        <v/>
      </c>
      <c r="C10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Helper'!$F$5:$F$3004,"""")&lt;&gt;""""),ROWS(C$5:C1062)),"""")"),"")</f>
        <v/>
      </c>
      <c r="D10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Helper'!$F$5:$F$3004,"""")&lt;&gt;""""),ROWS(D$5:D1062)),"""")"),"")</f>
        <v/>
      </c>
      <c r="E10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Helper'!$F$5:$F$3004,"""")&lt;&gt;""""),ROWS(E$5:E1062)),"""")"),"")</f>
        <v/>
      </c>
      <c r="F10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Helper'!$F$5:$F$3004,"""")&lt;&gt;""""),ROWS(F$5:F1062)),IF(AND(LEFT(x,5)=""Pag"&amp;"e "",ISERROR(SEARCH(""–"",x))),x&amp;""–""&amp;REGEXEXTRACT(x,""[0-9]+$""),x)),"""")"),"")</f>
        <v/>
      </c>
      <c r="G1062" s="163"/>
      <c r="H10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Helper'!$F$5:$F$3004,"""")&lt;&gt;""""),ROWS(H$5:H1062)),"""")"),"")</f>
        <v/>
      </c>
    </row>
    <row r="1063" ht="15.75" customHeight="1">
      <c r="A10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Helper'!$F$5:$F$3004,"""")&lt;&gt;""""),ROWS(A$5:A1063)),"""")"),"")</f>
        <v/>
      </c>
      <c r="B10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Helper'!$F$5:$F$3004,"""")&lt;&gt;""""),ROWS(B$5:B1063)),"""")"),"")</f>
        <v/>
      </c>
      <c r="C10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Helper'!$F$5:$F$3004,"""")&lt;&gt;""""),ROWS(C$5:C1063)),"""")"),"")</f>
        <v/>
      </c>
      <c r="D10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Helper'!$F$5:$F$3004,"""")&lt;&gt;""""),ROWS(D$5:D1063)),"""")"),"")</f>
        <v/>
      </c>
      <c r="E10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Helper'!$F$5:$F$3004,"""")&lt;&gt;""""),ROWS(E$5:E1063)),"""")"),"")</f>
        <v/>
      </c>
      <c r="F10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Helper'!$F$5:$F$3004,"""")&lt;&gt;""""),ROWS(F$5:F1063)),IF(AND(LEFT(x,5)=""Pag"&amp;"e "",ISERROR(SEARCH(""–"",x))),x&amp;""–""&amp;REGEXEXTRACT(x,""[0-9]+$""),x)),"""")"),"")</f>
        <v/>
      </c>
      <c r="G1063" s="163"/>
      <c r="H10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Helper'!$F$5:$F$3004,"""")&lt;&gt;""""),ROWS(H$5:H1063)),"""")"),"")</f>
        <v/>
      </c>
    </row>
    <row r="1064" ht="15.75" customHeight="1">
      <c r="A10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Helper'!$F$5:$F$3004,"""")&lt;&gt;""""),ROWS(A$5:A1064)),"""")"),"")</f>
        <v/>
      </c>
      <c r="B10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Helper'!$F$5:$F$3004,"""")&lt;&gt;""""),ROWS(B$5:B1064)),"""")"),"")</f>
        <v/>
      </c>
      <c r="C10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Helper'!$F$5:$F$3004,"""")&lt;&gt;""""),ROWS(C$5:C1064)),"""")"),"")</f>
        <v/>
      </c>
      <c r="D10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Helper'!$F$5:$F$3004,"""")&lt;&gt;""""),ROWS(D$5:D1064)),"""")"),"")</f>
        <v/>
      </c>
      <c r="E10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Helper'!$F$5:$F$3004,"""")&lt;&gt;""""),ROWS(E$5:E1064)),"""")"),"")</f>
        <v/>
      </c>
      <c r="F10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Helper'!$F$5:$F$3004,"""")&lt;&gt;""""),ROWS(F$5:F1064)),IF(AND(LEFT(x,5)=""Pag"&amp;"e "",ISERROR(SEARCH(""–"",x))),x&amp;""–""&amp;REGEXEXTRACT(x,""[0-9]+$""),x)),"""")"),"")</f>
        <v/>
      </c>
      <c r="G1064" s="163"/>
      <c r="H10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Helper'!$F$5:$F$3004,"""")&lt;&gt;""""),ROWS(H$5:H1064)),"""")"),"")</f>
        <v/>
      </c>
    </row>
    <row r="1065" ht="15.75" customHeight="1">
      <c r="A10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Helper'!$F$5:$F$3004,"""")&lt;&gt;""""),ROWS(A$5:A1065)),"""")"),"")</f>
        <v/>
      </c>
      <c r="B10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Helper'!$F$5:$F$3004,"""")&lt;&gt;""""),ROWS(B$5:B1065)),"""")"),"")</f>
        <v/>
      </c>
      <c r="C10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Helper'!$F$5:$F$3004,"""")&lt;&gt;""""),ROWS(C$5:C1065)),"""")"),"")</f>
        <v/>
      </c>
      <c r="D10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Helper'!$F$5:$F$3004,"""")&lt;&gt;""""),ROWS(D$5:D1065)),"""")"),"")</f>
        <v/>
      </c>
      <c r="E10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Helper'!$F$5:$F$3004,"""")&lt;&gt;""""),ROWS(E$5:E1065)),"""")"),"")</f>
        <v/>
      </c>
      <c r="F10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Helper'!$F$5:$F$3004,"""")&lt;&gt;""""),ROWS(F$5:F1065)),IF(AND(LEFT(x,5)=""Pag"&amp;"e "",ISERROR(SEARCH(""–"",x))),x&amp;""–""&amp;REGEXEXTRACT(x,""[0-9]+$""),x)),"""")"),"")</f>
        <v/>
      </c>
      <c r="G1065" s="163"/>
      <c r="H10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Helper'!$F$5:$F$3004,"""")&lt;&gt;""""),ROWS(H$5:H1065)),"""")"),"")</f>
        <v/>
      </c>
    </row>
    <row r="1066" ht="15.75" customHeight="1">
      <c r="A10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Helper'!$F$5:$F$3004,"""")&lt;&gt;""""),ROWS(A$5:A1066)),"""")"),"")</f>
        <v/>
      </c>
      <c r="B10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Helper'!$F$5:$F$3004,"""")&lt;&gt;""""),ROWS(B$5:B1066)),"""")"),"")</f>
        <v/>
      </c>
      <c r="C10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Helper'!$F$5:$F$3004,"""")&lt;&gt;""""),ROWS(C$5:C1066)),"""")"),"")</f>
        <v/>
      </c>
      <c r="D10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Helper'!$F$5:$F$3004,"""")&lt;&gt;""""),ROWS(D$5:D1066)),"""")"),"")</f>
        <v/>
      </c>
      <c r="E10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Helper'!$F$5:$F$3004,"""")&lt;&gt;""""),ROWS(E$5:E1066)),"""")"),"")</f>
        <v/>
      </c>
      <c r="F10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Helper'!$F$5:$F$3004,"""")&lt;&gt;""""),ROWS(F$5:F1066)),IF(AND(LEFT(x,5)=""Pag"&amp;"e "",ISERROR(SEARCH(""–"",x))),x&amp;""–""&amp;REGEXEXTRACT(x,""[0-9]+$""),x)),"""")"),"")</f>
        <v/>
      </c>
      <c r="G1066" s="163"/>
      <c r="H10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Helper'!$F$5:$F$3004,"""")&lt;&gt;""""),ROWS(H$5:H1066)),"""")"),"")</f>
        <v/>
      </c>
    </row>
    <row r="1067" ht="15.75" customHeight="1">
      <c r="A10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Helper'!$F$5:$F$3004,"""")&lt;&gt;""""),ROWS(A$5:A1067)),"""")"),"")</f>
        <v/>
      </c>
      <c r="B10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Helper'!$F$5:$F$3004,"""")&lt;&gt;""""),ROWS(B$5:B1067)),"""")"),"")</f>
        <v/>
      </c>
      <c r="C10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Helper'!$F$5:$F$3004,"""")&lt;&gt;""""),ROWS(C$5:C1067)),"""")"),"")</f>
        <v/>
      </c>
      <c r="D10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Helper'!$F$5:$F$3004,"""")&lt;&gt;""""),ROWS(D$5:D1067)),"""")"),"")</f>
        <v/>
      </c>
      <c r="E10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Helper'!$F$5:$F$3004,"""")&lt;&gt;""""),ROWS(E$5:E1067)),"""")"),"")</f>
        <v/>
      </c>
      <c r="F10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Helper'!$F$5:$F$3004,"""")&lt;&gt;""""),ROWS(F$5:F1067)),IF(AND(LEFT(x,5)=""Pag"&amp;"e "",ISERROR(SEARCH(""–"",x))),x&amp;""–""&amp;REGEXEXTRACT(x,""[0-9]+$""),x)),"""")"),"")</f>
        <v/>
      </c>
      <c r="G1067" s="163"/>
      <c r="H10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Helper'!$F$5:$F$3004,"""")&lt;&gt;""""),ROWS(H$5:H1067)),"""")"),"")</f>
        <v/>
      </c>
    </row>
    <row r="1068" ht="15.75" customHeight="1">
      <c r="A10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Helper'!$F$5:$F$3004,"""")&lt;&gt;""""),ROWS(A$5:A1068)),"""")"),"")</f>
        <v/>
      </c>
      <c r="B10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Helper'!$F$5:$F$3004,"""")&lt;&gt;""""),ROWS(B$5:B1068)),"""")"),"")</f>
        <v/>
      </c>
      <c r="C10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Helper'!$F$5:$F$3004,"""")&lt;&gt;""""),ROWS(C$5:C1068)),"""")"),"")</f>
        <v/>
      </c>
      <c r="D10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Helper'!$F$5:$F$3004,"""")&lt;&gt;""""),ROWS(D$5:D1068)),"""")"),"")</f>
        <v/>
      </c>
      <c r="E10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Helper'!$F$5:$F$3004,"""")&lt;&gt;""""),ROWS(E$5:E1068)),"""")"),"")</f>
        <v/>
      </c>
      <c r="F10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Helper'!$F$5:$F$3004,"""")&lt;&gt;""""),ROWS(F$5:F1068)),IF(AND(LEFT(x,5)=""Pag"&amp;"e "",ISERROR(SEARCH(""–"",x))),x&amp;""–""&amp;REGEXEXTRACT(x,""[0-9]+$""),x)),"""")"),"")</f>
        <v/>
      </c>
      <c r="G1068" s="163"/>
      <c r="H10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Helper'!$F$5:$F$3004,"""")&lt;&gt;""""),ROWS(H$5:H1068)),"""")"),"")</f>
        <v/>
      </c>
    </row>
    <row r="1069" ht="15.75" customHeight="1">
      <c r="A10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Helper'!$F$5:$F$3004,"""")&lt;&gt;""""),ROWS(A$5:A1069)),"""")"),"")</f>
        <v/>
      </c>
      <c r="B10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Helper'!$F$5:$F$3004,"""")&lt;&gt;""""),ROWS(B$5:B1069)),"""")"),"")</f>
        <v/>
      </c>
      <c r="C10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Helper'!$F$5:$F$3004,"""")&lt;&gt;""""),ROWS(C$5:C1069)),"""")"),"")</f>
        <v/>
      </c>
      <c r="D10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Helper'!$F$5:$F$3004,"""")&lt;&gt;""""),ROWS(D$5:D1069)),"""")"),"")</f>
        <v/>
      </c>
      <c r="E10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Helper'!$F$5:$F$3004,"""")&lt;&gt;""""),ROWS(E$5:E1069)),"""")"),"")</f>
        <v/>
      </c>
      <c r="F10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Helper'!$F$5:$F$3004,"""")&lt;&gt;""""),ROWS(F$5:F1069)),IF(AND(LEFT(x,5)=""Pag"&amp;"e "",ISERROR(SEARCH(""–"",x))),x&amp;""–""&amp;REGEXEXTRACT(x,""[0-9]+$""),x)),"""")"),"")</f>
        <v/>
      </c>
      <c r="G1069" s="163"/>
      <c r="H10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Helper'!$F$5:$F$3004,"""")&lt;&gt;""""),ROWS(H$5:H1069)),"""")"),"")</f>
        <v/>
      </c>
    </row>
    <row r="1070" ht="15.75" customHeight="1">
      <c r="A10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Helper'!$F$5:$F$3004,"""")&lt;&gt;""""),ROWS(A$5:A1070)),"""")"),"")</f>
        <v/>
      </c>
      <c r="B10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Helper'!$F$5:$F$3004,"""")&lt;&gt;""""),ROWS(B$5:B1070)),"""")"),"")</f>
        <v/>
      </c>
      <c r="C10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Helper'!$F$5:$F$3004,"""")&lt;&gt;""""),ROWS(C$5:C1070)),"""")"),"")</f>
        <v/>
      </c>
      <c r="D10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Helper'!$F$5:$F$3004,"""")&lt;&gt;""""),ROWS(D$5:D1070)),"""")"),"")</f>
        <v/>
      </c>
      <c r="E10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Helper'!$F$5:$F$3004,"""")&lt;&gt;""""),ROWS(E$5:E1070)),"""")"),"")</f>
        <v/>
      </c>
      <c r="F10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Helper'!$F$5:$F$3004,"""")&lt;&gt;""""),ROWS(F$5:F1070)),IF(AND(LEFT(x,5)=""Pag"&amp;"e "",ISERROR(SEARCH(""–"",x))),x&amp;""–""&amp;REGEXEXTRACT(x,""[0-9]+$""),x)),"""")"),"")</f>
        <v/>
      </c>
      <c r="G1070" s="163"/>
      <c r="H10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Helper'!$F$5:$F$3004,"""")&lt;&gt;""""),ROWS(H$5:H1070)),"""")"),"")</f>
        <v/>
      </c>
    </row>
    <row r="1071" ht="15.75" customHeight="1">
      <c r="A10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Helper'!$F$5:$F$3004,"""")&lt;&gt;""""),ROWS(A$5:A1071)),"""")"),"")</f>
        <v/>
      </c>
      <c r="B10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Helper'!$F$5:$F$3004,"""")&lt;&gt;""""),ROWS(B$5:B1071)),"""")"),"")</f>
        <v/>
      </c>
      <c r="C10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Helper'!$F$5:$F$3004,"""")&lt;&gt;""""),ROWS(C$5:C1071)),"""")"),"")</f>
        <v/>
      </c>
      <c r="D10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Helper'!$F$5:$F$3004,"""")&lt;&gt;""""),ROWS(D$5:D1071)),"""")"),"")</f>
        <v/>
      </c>
      <c r="E10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Helper'!$F$5:$F$3004,"""")&lt;&gt;""""),ROWS(E$5:E1071)),"""")"),"")</f>
        <v/>
      </c>
      <c r="F10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Helper'!$F$5:$F$3004,"""")&lt;&gt;""""),ROWS(F$5:F1071)),IF(AND(LEFT(x,5)=""Pag"&amp;"e "",ISERROR(SEARCH(""–"",x))),x&amp;""–""&amp;REGEXEXTRACT(x,""[0-9]+$""),x)),"""")"),"")</f>
        <v/>
      </c>
      <c r="G1071" s="163"/>
      <c r="H10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Helper'!$F$5:$F$3004,"""")&lt;&gt;""""),ROWS(H$5:H1071)),"""")"),"")</f>
        <v/>
      </c>
    </row>
    <row r="1072" ht="15.75" customHeight="1">
      <c r="A10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Helper'!$F$5:$F$3004,"""")&lt;&gt;""""),ROWS(A$5:A1072)),"""")"),"")</f>
        <v/>
      </c>
      <c r="B10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Helper'!$F$5:$F$3004,"""")&lt;&gt;""""),ROWS(B$5:B1072)),"""")"),"")</f>
        <v/>
      </c>
      <c r="C10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Helper'!$F$5:$F$3004,"""")&lt;&gt;""""),ROWS(C$5:C1072)),"""")"),"")</f>
        <v/>
      </c>
      <c r="D10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Helper'!$F$5:$F$3004,"""")&lt;&gt;""""),ROWS(D$5:D1072)),"""")"),"")</f>
        <v/>
      </c>
      <c r="E10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Helper'!$F$5:$F$3004,"""")&lt;&gt;""""),ROWS(E$5:E1072)),"""")"),"")</f>
        <v/>
      </c>
      <c r="F10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Helper'!$F$5:$F$3004,"""")&lt;&gt;""""),ROWS(F$5:F1072)),IF(AND(LEFT(x,5)=""Pag"&amp;"e "",ISERROR(SEARCH(""–"",x))),x&amp;""–""&amp;REGEXEXTRACT(x,""[0-9]+$""),x)),"""")"),"")</f>
        <v/>
      </c>
      <c r="G1072" s="163"/>
      <c r="H10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Helper'!$F$5:$F$3004,"""")&lt;&gt;""""),ROWS(H$5:H1072)),"""")"),"")</f>
        <v/>
      </c>
    </row>
    <row r="1073" ht="15.75" customHeight="1">
      <c r="A10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Helper'!$F$5:$F$3004,"""")&lt;&gt;""""),ROWS(A$5:A1073)),"""")"),"")</f>
        <v/>
      </c>
      <c r="B10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Helper'!$F$5:$F$3004,"""")&lt;&gt;""""),ROWS(B$5:B1073)),"""")"),"")</f>
        <v/>
      </c>
      <c r="C10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Helper'!$F$5:$F$3004,"""")&lt;&gt;""""),ROWS(C$5:C1073)),"""")"),"")</f>
        <v/>
      </c>
      <c r="D10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Helper'!$F$5:$F$3004,"""")&lt;&gt;""""),ROWS(D$5:D1073)),"""")"),"")</f>
        <v/>
      </c>
      <c r="E10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Helper'!$F$5:$F$3004,"""")&lt;&gt;""""),ROWS(E$5:E1073)),"""")"),"")</f>
        <v/>
      </c>
      <c r="F10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Helper'!$F$5:$F$3004,"""")&lt;&gt;""""),ROWS(F$5:F1073)),IF(AND(LEFT(x,5)=""Pag"&amp;"e "",ISERROR(SEARCH(""–"",x))),x&amp;""–""&amp;REGEXEXTRACT(x,""[0-9]+$""),x)),"""")"),"")</f>
        <v/>
      </c>
      <c r="G1073" s="163"/>
      <c r="H10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Helper'!$F$5:$F$3004,"""")&lt;&gt;""""),ROWS(H$5:H1073)),"""")"),"")</f>
        <v/>
      </c>
    </row>
    <row r="1074" ht="15.75" customHeight="1">
      <c r="A10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Helper'!$F$5:$F$3004,"""")&lt;&gt;""""),ROWS(A$5:A1074)),"""")"),"")</f>
        <v/>
      </c>
      <c r="B10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Helper'!$F$5:$F$3004,"""")&lt;&gt;""""),ROWS(B$5:B1074)),"""")"),"")</f>
        <v/>
      </c>
      <c r="C10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Helper'!$F$5:$F$3004,"""")&lt;&gt;""""),ROWS(C$5:C1074)),"""")"),"")</f>
        <v/>
      </c>
      <c r="D10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Helper'!$F$5:$F$3004,"""")&lt;&gt;""""),ROWS(D$5:D1074)),"""")"),"")</f>
        <v/>
      </c>
      <c r="E10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Helper'!$F$5:$F$3004,"""")&lt;&gt;""""),ROWS(E$5:E1074)),"""")"),"")</f>
        <v/>
      </c>
      <c r="F10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Helper'!$F$5:$F$3004,"""")&lt;&gt;""""),ROWS(F$5:F1074)),IF(AND(LEFT(x,5)=""Pag"&amp;"e "",ISERROR(SEARCH(""–"",x))),x&amp;""–""&amp;REGEXEXTRACT(x,""[0-9]+$""),x)),"""")"),"")</f>
        <v/>
      </c>
      <c r="G1074" s="163"/>
      <c r="H10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Helper'!$F$5:$F$3004,"""")&lt;&gt;""""),ROWS(H$5:H1074)),"""")"),"")</f>
        <v/>
      </c>
    </row>
    <row r="1075" ht="15.75" customHeight="1">
      <c r="A10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Helper'!$F$5:$F$3004,"""")&lt;&gt;""""),ROWS(A$5:A1075)),"""")"),"")</f>
        <v/>
      </c>
      <c r="B10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Helper'!$F$5:$F$3004,"""")&lt;&gt;""""),ROWS(B$5:B1075)),"""")"),"")</f>
        <v/>
      </c>
      <c r="C10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Helper'!$F$5:$F$3004,"""")&lt;&gt;""""),ROWS(C$5:C1075)),"""")"),"")</f>
        <v/>
      </c>
      <c r="D10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Helper'!$F$5:$F$3004,"""")&lt;&gt;""""),ROWS(D$5:D1075)),"""")"),"")</f>
        <v/>
      </c>
      <c r="E10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Helper'!$F$5:$F$3004,"""")&lt;&gt;""""),ROWS(E$5:E1075)),"""")"),"")</f>
        <v/>
      </c>
      <c r="F10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Helper'!$F$5:$F$3004,"""")&lt;&gt;""""),ROWS(F$5:F1075)),IF(AND(LEFT(x,5)=""Pag"&amp;"e "",ISERROR(SEARCH(""–"",x))),x&amp;""–""&amp;REGEXEXTRACT(x,""[0-9]+$""),x)),"""")"),"")</f>
        <v/>
      </c>
      <c r="G1075" s="163"/>
      <c r="H10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Helper'!$F$5:$F$3004,"""")&lt;&gt;""""),ROWS(H$5:H1075)),"""")"),"")</f>
        <v/>
      </c>
    </row>
    <row r="1076" ht="15.75" customHeight="1">
      <c r="A10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Helper'!$F$5:$F$3004,"""")&lt;&gt;""""),ROWS(A$5:A1076)),"""")"),"")</f>
        <v/>
      </c>
      <c r="B10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Helper'!$F$5:$F$3004,"""")&lt;&gt;""""),ROWS(B$5:B1076)),"""")"),"")</f>
        <v/>
      </c>
      <c r="C10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Helper'!$F$5:$F$3004,"""")&lt;&gt;""""),ROWS(C$5:C1076)),"""")"),"")</f>
        <v/>
      </c>
      <c r="D10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Helper'!$F$5:$F$3004,"""")&lt;&gt;""""),ROWS(D$5:D1076)),"""")"),"")</f>
        <v/>
      </c>
      <c r="E10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Helper'!$F$5:$F$3004,"""")&lt;&gt;""""),ROWS(E$5:E1076)),"""")"),"")</f>
        <v/>
      </c>
      <c r="F10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Helper'!$F$5:$F$3004,"""")&lt;&gt;""""),ROWS(F$5:F1076)),IF(AND(LEFT(x,5)=""Pag"&amp;"e "",ISERROR(SEARCH(""–"",x))),x&amp;""–""&amp;REGEXEXTRACT(x,""[0-9]+$""),x)),"""")"),"")</f>
        <v/>
      </c>
      <c r="G1076" s="163"/>
      <c r="H10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Helper'!$F$5:$F$3004,"""")&lt;&gt;""""),ROWS(H$5:H1076)),"""")"),"")</f>
        <v/>
      </c>
    </row>
    <row r="1077" ht="15.75" customHeight="1">
      <c r="A10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Helper'!$F$5:$F$3004,"""")&lt;&gt;""""),ROWS(A$5:A1077)),"""")"),"")</f>
        <v/>
      </c>
      <c r="B10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Helper'!$F$5:$F$3004,"""")&lt;&gt;""""),ROWS(B$5:B1077)),"""")"),"")</f>
        <v/>
      </c>
      <c r="C10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Helper'!$F$5:$F$3004,"""")&lt;&gt;""""),ROWS(C$5:C1077)),"""")"),"")</f>
        <v/>
      </c>
      <c r="D10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Helper'!$F$5:$F$3004,"""")&lt;&gt;""""),ROWS(D$5:D1077)),"""")"),"")</f>
        <v/>
      </c>
      <c r="E10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Helper'!$F$5:$F$3004,"""")&lt;&gt;""""),ROWS(E$5:E1077)),"""")"),"")</f>
        <v/>
      </c>
      <c r="F10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Helper'!$F$5:$F$3004,"""")&lt;&gt;""""),ROWS(F$5:F1077)),IF(AND(LEFT(x,5)=""Pag"&amp;"e "",ISERROR(SEARCH(""–"",x))),x&amp;""–""&amp;REGEXEXTRACT(x,""[0-9]+$""),x)),"""")"),"")</f>
        <v/>
      </c>
      <c r="G1077" s="163"/>
      <c r="H10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Helper'!$F$5:$F$3004,"""")&lt;&gt;""""),ROWS(H$5:H1077)),"""")"),"")</f>
        <v/>
      </c>
    </row>
    <row r="1078" ht="15.75" customHeight="1">
      <c r="A10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Helper'!$F$5:$F$3004,"""")&lt;&gt;""""),ROWS(A$5:A1078)),"""")"),"")</f>
        <v/>
      </c>
      <c r="B10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Helper'!$F$5:$F$3004,"""")&lt;&gt;""""),ROWS(B$5:B1078)),"""")"),"")</f>
        <v/>
      </c>
      <c r="C10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Helper'!$F$5:$F$3004,"""")&lt;&gt;""""),ROWS(C$5:C1078)),"""")"),"")</f>
        <v/>
      </c>
      <c r="D10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Helper'!$F$5:$F$3004,"""")&lt;&gt;""""),ROWS(D$5:D1078)),"""")"),"")</f>
        <v/>
      </c>
      <c r="E10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Helper'!$F$5:$F$3004,"""")&lt;&gt;""""),ROWS(E$5:E1078)),"""")"),"")</f>
        <v/>
      </c>
      <c r="F10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Helper'!$F$5:$F$3004,"""")&lt;&gt;""""),ROWS(F$5:F1078)),IF(AND(LEFT(x,5)=""Pag"&amp;"e "",ISERROR(SEARCH(""–"",x))),x&amp;""–""&amp;REGEXEXTRACT(x,""[0-9]+$""),x)),"""")"),"")</f>
        <v/>
      </c>
      <c r="G1078" s="163"/>
      <c r="H10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Helper'!$F$5:$F$3004,"""")&lt;&gt;""""),ROWS(H$5:H1078)),"""")"),"")</f>
        <v/>
      </c>
    </row>
    <row r="1079" ht="15.75" customHeight="1">
      <c r="A10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Helper'!$F$5:$F$3004,"""")&lt;&gt;""""),ROWS(A$5:A1079)),"""")"),"")</f>
        <v/>
      </c>
      <c r="B10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Helper'!$F$5:$F$3004,"""")&lt;&gt;""""),ROWS(B$5:B1079)),"""")"),"")</f>
        <v/>
      </c>
      <c r="C10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Helper'!$F$5:$F$3004,"""")&lt;&gt;""""),ROWS(C$5:C1079)),"""")"),"")</f>
        <v/>
      </c>
      <c r="D10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Helper'!$F$5:$F$3004,"""")&lt;&gt;""""),ROWS(D$5:D1079)),"""")"),"")</f>
        <v/>
      </c>
      <c r="E10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Helper'!$F$5:$F$3004,"""")&lt;&gt;""""),ROWS(E$5:E1079)),"""")"),"")</f>
        <v/>
      </c>
      <c r="F10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Helper'!$F$5:$F$3004,"""")&lt;&gt;""""),ROWS(F$5:F1079)),IF(AND(LEFT(x,5)=""Pag"&amp;"e "",ISERROR(SEARCH(""–"",x))),x&amp;""–""&amp;REGEXEXTRACT(x,""[0-9]+$""),x)),"""")"),"")</f>
        <v/>
      </c>
      <c r="G1079" s="163"/>
      <c r="H10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Helper'!$F$5:$F$3004,"""")&lt;&gt;""""),ROWS(H$5:H1079)),"""")"),"")</f>
        <v/>
      </c>
    </row>
    <row r="1080" ht="15.75" customHeight="1">
      <c r="A10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Helper'!$F$5:$F$3004,"""")&lt;&gt;""""),ROWS(A$5:A1080)),"""")"),"")</f>
        <v/>
      </c>
      <c r="B10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Helper'!$F$5:$F$3004,"""")&lt;&gt;""""),ROWS(B$5:B1080)),"""")"),"")</f>
        <v/>
      </c>
      <c r="C10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Helper'!$F$5:$F$3004,"""")&lt;&gt;""""),ROWS(C$5:C1080)),"""")"),"")</f>
        <v/>
      </c>
      <c r="D10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Helper'!$F$5:$F$3004,"""")&lt;&gt;""""),ROWS(D$5:D1080)),"""")"),"")</f>
        <v/>
      </c>
      <c r="E10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Helper'!$F$5:$F$3004,"""")&lt;&gt;""""),ROWS(E$5:E1080)),"""")"),"")</f>
        <v/>
      </c>
      <c r="F10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Helper'!$F$5:$F$3004,"""")&lt;&gt;""""),ROWS(F$5:F1080)),IF(AND(LEFT(x,5)=""Pag"&amp;"e "",ISERROR(SEARCH(""–"",x))),x&amp;""–""&amp;REGEXEXTRACT(x,""[0-9]+$""),x)),"""")"),"")</f>
        <v/>
      </c>
      <c r="G1080" s="163"/>
      <c r="H10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Helper'!$F$5:$F$3004,"""")&lt;&gt;""""),ROWS(H$5:H1080)),"""")"),"")</f>
        <v/>
      </c>
    </row>
    <row r="1081" ht="15.75" customHeight="1">
      <c r="A10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Helper'!$F$5:$F$3004,"""")&lt;&gt;""""),ROWS(A$5:A1081)),"""")"),"")</f>
        <v/>
      </c>
      <c r="B10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Helper'!$F$5:$F$3004,"""")&lt;&gt;""""),ROWS(B$5:B1081)),"""")"),"")</f>
        <v/>
      </c>
      <c r="C10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Helper'!$F$5:$F$3004,"""")&lt;&gt;""""),ROWS(C$5:C1081)),"""")"),"")</f>
        <v/>
      </c>
      <c r="D10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Helper'!$F$5:$F$3004,"""")&lt;&gt;""""),ROWS(D$5:D1081)),"""")"),"")</f>
        <v/>
      </c>
      <c r="E10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Helper'!$F$5:$F$3004,"""")&lt;&gt;""""),ROWS(E$5:E1081)),"""")"),"")</f>
        <v/>
      </c>
      <c r="F10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Helper'!$F$5:$F$3004,"""")&lt;&gt;""""),ROWS(F$5:F1081)),IF(AND(LEFT(x,5)=""Pag"&amp;"e "",ISERROR(SEARCH(""–"",x))),x&amp;""–""&amp;REGEXEXTRACT(x,""[0-9]+$""),x)),"""")"),"")</f>
        <v/>
      </c>
      <c r="G1081" s="163"/>
      <c r="H10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Helper'!$F$5:$F$3004,"""")&lt;&gt;""""),ROWS(H$5:H1081)),"""")"),"")</f>
        <v/>
      </c>
    </row>
    <row r="1082" ht="15.75" customHeight="1">
      <c r="A10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Helper'!$F$5:$F$3004,"""")&lt;&gt;""""),ROWS(A$5:A1082)),"""")"),"")</f>
        <v/>
      </c>
      <c r="B10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Helper'!$F$5:$F$3004,"""")&lt;&gt;""""),ROWS(B$5:B1082)),"""")"),"")</f>
        <v/>
      </c>
      <c r="C10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Helper'!$F$5:$F$3004,"""")&lt;&gt;""""),ROWS(C$5:C1082)),"""")"),"")</f>
        <v/>
      </c>
      <c r="D10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Helper'!$F$5:$F$3004,"""")&lt;&gt;""""),ROWS(D$5:D1082)),"""")"),"")</f>
        <v/>
      </c>
      <c r="E10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Helper'!$F$5:$F$3004,"""")&lt;&gt;""""),ROWS(E$5:E1082)),"""")"),"")</f>
        <v/>
      </c>
      <c r="F10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Helper'!$F$5:$F$3004,"""")&lt;&gt;""""),ROWS(F$5:F1082)),IF(AND(LEFT(x,5)=""Pag"&amp;"e "",ISERROR(SEARCH(""–"",x))),x&amp;""–""&amp;REGEXEXTRACT(x,""[0-9]+$""),x)),"""")"),"")</f>
        <v/>
      </c>
      <c r="G1082" s="163"/>
      <c r="H10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Helper'!$F$5:$F$3004,"""")&lt;&gt;""""),ROWS(H$5:H1082)),"""")"),"")</f>
        <v/>
      </c>
    </row>
    <row r="1083" ht="15.75" customHeight="1">
      <c r="A10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Helper'!$F$5:$F$3004,"""")&lt;&gt;""""),ROWS(A$5:A1083)),"""")"),"")</f>
        <v/>
      </c>
      <c r="B10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Helper'!$F$5:$F$3004,"""")&lt;&gt;""""),ROWS(B$5:B1083)),"""")"),"")</f>
        <v/>
      </c>
      <c r="C10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Helper'!$F$5:$F$3004,"""")&lt;&gt;""""),ROWS(C$5:C1083)),"""")"),"")</f>
        <v/>
      </c>
      <c r="D10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Helper'!$F$5:$F$3004,"""")&lt;&gt;""""),ROWS(D$5:D1083)),"""")"),"")</f>
        <v/>
      </c>
      <c r="E10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Helper'!$F$5:$F$3004,"""")&lt;&gt;""""),ROWS(E$5:E1083)),"""")"),"")</f>
        <v/>
      </c>
      <c r="F10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Helper'!$F$5:$F$3004,"""")&lt;&gt;""""),ROWS(F$5:F1083)),IF(AND(LEFT(x,5)=""Pag"&amp;"e "",ISERROR(SEARCH(""–"",x))),x&amp;""–""&amp;REGEXEXTRACT(x,""[0-9]+$""),x)),"""")"),"")</f>
        <v/>
      </c>
      <c r="G1083" s="163"/>
      <c r="H10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Helper'!$F$5:$F$3004,"""")&lt;&gt;""""),ROWS(H$5:H1083)),"""")"),"")</f>
        <v/>
      </c>
    </row>
    <row r="1084" ht="15.75" customHeight="1">
      <c r="A10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Helper'!$F$5:$F$3004,"""")&lt;&gt;""""),ROWS(A$5:A1084)),"""")"),"")</f>
        <v/>
      </c>
      <c r="B10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Helper'!$F$5:$F$3004,"""")&lt;&gt;""""),ROWS(B$5:B1084)),"""")"),"")</f>
        <v/>
      </c>
      <c r="C10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Helper'!$F$5:$F$3004,"""")&lt;&gt;""""),ROWS(C$5:C1084)),"""")"),"")</f>
        <v/>
      </c>
      <c r="D10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Helper'!$F$5:$F$3004,"""")&lt;&gt;""""),ROWS(D$5:D1084)),"""")"),"")</f>
        <v/>
      </c>
      <c r="E10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Helper'!$F$5:$F$3004,"""")&lt;&gt;""""),ROWS(E$5:E1084)),"""")"),"")</f>
        <v/>
      </c>
      <c r="F10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Helper'!$F$5:$F$3004,"""")&lt;&gt;""""),ROWS(F$5:F1084)),IF(AND(LEFT(x,5)=""Pag"&amp;"e "",ISERROR(SEARCH(""–"",x))),x&amp;""–""&amp;REGEXEXTRACT(x,""[0-9]+$""),x)),"""")"),"")</f>
        <v/>
      </c>
      <c r="G1084" s="163"/>
      <c r="H10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Helper'!$F$5:$F$3004,"""")&lt;&gt;""""),ROWS(H$5:H1084)),"""")"),"")</f>
        <v/>
      </c>
    </row>
    <row r="1085" ht="15.75" customHeight="1">
      <c r="A10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Helper'!$F$5:$F$3004,"""")&lt;&gt;""""),ROWS(A$5:A1085)),"""")"),"")</f>
        <v/>
      </c>
      <c r="B10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Helper'!$F$5:$F$3004,"""")&lt;&gt;""""),ROWS(B$5:B1085)),"""")"),"")</f>
        <v/>
      </c>
      <c r="C10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Helper'!$F$5:$F$3004,"""")&lt;&gt;""""),ROWS(C$5:C1085)),"""")"),"")</f>
        <v/>
      </c>
      <c r="D10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Helper'!$F$5:$F$3004,"""")&lt;&gt;""""),ROWS(D$5:D1085)),"""")"),"")</f>
        <v/>
      </c>
      <c r="E10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Helper'!$F$5:$F$3004,"""")&lt;&gt;""""),ROWS(E$5:E1085)),"""")"),"")</f>
        <v/>
      </c>
      <c r="F10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Helper'!$F$5:$F$3004,"""")&lt;&gt;""""),ROWS(F$5:F1085)),IF(AND(LEFT(x,5)=""Pag"&amp;"e "",ISERROR(SEARCH(""–"",x))),x&amp;""–""&amp;REGEXEXTRACT(x,""[0-9]+$""),x)),"""")"),"")</f>
        <v/>
      </c>
      <c r="G1085" s="163"/>
      <c r="H10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Helper'!$F$5:$F$3004,"""")&lt;&gt;""""),ROWS(H$5:H1085)),"""")"),"")</f>
        <v/>
      </c>
    </row>
    <row r="1086" ht="15.75" customHeight="1">
      <c r="A10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Helper'!$F$5:$F$3004,"""")&lt;&gt;""""),ROWS(A$5:A1086)),"""")"),"")</f>
        <v/>
      </c>
      <c r="B10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Helper'!$F$5:$F$3004,"""")&lt;&gt;""""),ROWS(B$5:B1086)),"""")"),"")</f>
        <v/>
      </c>
      <c r="C10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Helper'!$F$5:$F$3004,"""")&lt;&gt;""""),ROWS(C$5:C1086)),"""")"),"")</f>
        <v/>
      </c>
      <c r="D10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Helper'!$F$5:$F$3004,"""")&lt;&gt;""""),ROWS(D$5:D1086)),"""")"),"")</f>
        <v/>
      </c>
      <c r="E10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Helper'!$F$5:$F$3004,"""")&lt;&gt;""""),ROWS(E$5:E1086)),"""")"),"")</f>
        <v/>
      </c>
      <c r="F10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Helper'!$F$5:$F$3004,"""")&lt;&gt;""""),ROWS(F$5:F1086)),IF(AND(LEFT(x,5)=""Pag"&amp;"e "",ISERROR(SEARCH(""–"",x))),x&amp;""–""&amp;REGEXEXTRACT(x,""[0-9]+$""),x)),"""")"),"")</f>
        <v/>
      </c>
      <c r="G1086" s="163"/>
      <c r="H10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Helper'!$F$5:$F$3004,"""")&lt;&gt;""""),ROWS(H$5:H1086)),"""")"),"")</f>
        <v/>
      </c>
    </row>
    <row r="1087" ht="15.75" customHeight="1">
      <c r="A10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Helper'!$F$5:$F$3004,"""")&lt;&gt;""""),ROWS(A$5:A1087)),"""")"),"")</f>
        <v/>
      </c>
      <c r="B10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Helper'!$F$5:$F$3004,"""")&lt;&gt;""""),ROWS(B$5:B1087)),"""")"),"")</f>
        <v/>
      </c>
      <c r="C10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Helper'!$F$5:$F$3004,"""")&lt;&gt;""""),ROWS(C$5:C1087)),"""")"),"")</f>
        <v/>
      </c>
      <c r="D10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Helper'!$F$5:$F$3004,"""")&lt;&gt;""""),ROWS(D$5:D1087)),"""")"),"")</f>
        <v/>
      </c>
      <c r="E10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Helper'!$F$5:$F$3004,"""")&lt;&gt;""""),ROWS(E$5:E1087)),"""")"),"")</f>
        <v/>
      </c>
      <c r="F10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Helper'!$F$5:$F$3004,"""")&lt;&gt;""""),ROWS(F$5:F1087)),IF(AND(LEFT(x,5)=""Pag"&amp;"e "",ISERROR(SEARCH(""–"",x))),x&amp;""–""&amp;REGEXEXTRACT(x,""[0-9]+$""),x)),"""")"),"")</f>
        <v/>
      </c>
      <c r="G1087" s="163"/>
      <c r="H10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Helper'!$F$5:$F$3004,"""")&lt;&gt;""""),ROWS(H$5:H1087)),"""")"),"")</f>
        <v/>
      </c>
    </row>
    <row r="1088" ht="15.75" customHeight="1">
      <c r="A10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Helper'!$F$5:$F$3004,"""")&lt;&gt;""""),ROWS(A$5:A1088)),"""")"),"")</f>
        <v/>
      </c>
      <c r="B10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Helper'!$F$5:$F$3004,"""")&lt;&gt;""""),ROWS(B$5:B1088)),"""")"),"")</f>
        <v/>
      </c>
      <c r="C10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Helper'!$F$5:$F$3004,"""")&lt;&gt;""""),ROWS(C$5:C1088)),"""")"),"")</f>
        <v/>
      </c>
      <c r="D10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Helper'!$F$5:$F$3004,"""")&lt;&gt;""""),ROWS(D$5:D1088)),"""")"),"")</f>
        <v/>
      </c>
      <c r="E10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Helper'!$F$5:$F$3004,"""")&lt;&gt;""""),ROWS(E$5:E1088)),"""")"),"")</f>
        <v/>
      </c>
      <c r="F10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Helper'!$F$5:$F$3004,"""")&lt;&gt;""""),ROWS(F$5:F1088)),IF(AND(LEFT(x,5)=""Pag"&amp;"e "",ISERROR(SEARCH(""–"",x))),x&amp;""–""&amp;REGEXEXTRACT(x,""[0-9]+$""),x)),"""")"),"")</f>
        <v/>
      </c>
      <c r="G1088" s="163"/>
      <c r="H10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Helper'!$F$5:$F$3004,"""")&lt;&gt;""""),ROWS(H$5:H1088)),"""")"),"")</f>
        <v/>
      </c>
    </row>
    <row r="1089" ht="15.75" customHeight="1">
      <c r="A10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Helper'!$F$5:$F$3004,"""")&lt;&gt;""""),ROWS(A$5:A1089)),"""")"),"")</f>
        <v/>
      </c>
      <c r="B10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Helper'!$F$5:$F$3004,"""")&lt;&gt;""""),ROWS(B$5:B1089)),"""")"),"")</f>
        <v/>
      </c>
      <c r="C10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Helper'!$F$5:$F$3004,"""")&lt;&gt;""""),ROWS(C$5:C1089)),"""")"),"")</f>
        <v/>
      </c>
      <c r="D10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Helper'!$F$5:$F$3004,"""")&lt;&gt;""""),ROWS(D$5:D1089)),"""")"),"")</f>
        <v/>
      </c>
      <c r="E10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Helper'!$F$5:$F$3004,"""")&lt;&gt;""""),ROWS(E$5:E1089)),"""")"),"")</f>
        <v/>
      </c>
      <c r="F10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Helper'!$F$5:$F$3004,"""")&lt;&gt;""""),ROWS(F$5:F1089)),IF(AND(LEFT(x,5)=""Pag"&amp;"e "",ISERROR(SEARCH(""–"",x))),x&amp;""–""&amp;REGEXEXTRACT(x,""[0-9]+$""),x)),"""")"),"")</f>
        <v/>
      </c>
      <c r="G1089" s="163"/>
      <c r="H10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Helper'!$F$5:$F$3004,"""")&lt;&gt;""""),ROWS(H$5:H1089)),"""")"),"")</f>
        <v/>
      </c>
    </row>
    <row r="1090" ht="15.75" customHeight="1">
      <c r="A10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Helper'!$F$5:$F$3004,"""")&lt;&gt;""""),ROWS(A$5:A1090)),"""")"),"")</f>
        <v/>
      </c>
      <c r="B10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Helper'!$F$5:$F$3004,"""")&lt;&gt;""""),ROWS(B$5:B1090)),"""")"),"")</f>
        <v/>
      </c>
      <c r="C10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Helper'!$F$5:$F$3004,"""")&lt;&gt;""""),ROWS(C$5:C1090)),"""")"),"")</f>
        <v/>
      </c>
      <c r="D10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Helper'!$F$5:$F$3004,"""")&lt;&gt;""""),ROWS(D$5:D1090)),"""")"),"")</f>
        <v/>
      </c>
      <c r="E10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Helper'!$F$5:$F$3004,"""")&lt;&gt;""""),ROWS(E$5:E1090)),"""")"),"")</f>
        <v/>
      </c>
      <c r="F10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Helper'!$F$5:$F$3004,"""")&lt;&gt;""""),ROWS(F$5:F1090)),IF(AND(LEFT(x,5)=""Pag"&amp;"e "",ISERROR(SEARCH(""–"",x))),x&amp;""–""&amp;REGEXEXTRACT(x,""[0-9]+$""),x)),"""")"),"")</f>
        <v/>
      </c>
      <c r="G1090" s="163"/>
      <c r="H10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Helper'!$F$5:$F$3004,"""")&lt;&gt;""""),ROWS(H$5:H1090)),"""")"),"")</f>
        <v/>
      </c>
    </row>
    <row r="1091" ht="15.75" customHeight="1">
      <c r="A10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Helper'!$F$5:$F$3004,"""")&lt;&gt;""""),ROWS(A$5:A1091)),"""")"),"")</f>
        <v/>
      </c>
      <c r="B10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Helper'!$F$5:$F$3004,"""")&lt;&gt;""""),ROWS(B$5:B1091)),"""")"),"")</f>
        <v/>
      </c>
      <c r="C10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Helper'!$F$5:$F$3004,"""")&lt;&gt;""""),ROWS(C$5:C1091)),"""")"),"")</f>
        <v/>
      </c>
      <c r="D10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Helper'!$F$5:$F$3004,"""")&lt;&gt;""""),ROWS(D$5:D1091)),"""")"),"")</f>
        <v/>
      </c>
      <c r="E10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Helper'!$F$5:$F$3004,"""")&lt;&gt;""""),ROWS(E$5:E1091)),"""")"),"")</f>
        <v/>
      </c>
      <c r="F10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Helper'!$F$5:$F$3004,"""")&lt;&gt;""""),ROWS(F$5:F1091)),IF(AND(LEFT(x,5)=""Pag"&amp;"e "",ISERROR(SEARCH(""–"",x))),x&amp;""–""&amp;REGEXEXTRACT(x,""[0-9]+$""),x)),"""")"),"")</f>
        <v/>
      </c>
      <c r="G1091" s="163"/>
      <c r="H10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Helper'!$F$5:$F$3004,"""")&lt;&gt;""""),ROWS(H$5:H1091)),"""")"),"")</f>
        <v/>
      </c>
    </row>
    <row r="1092" ht="15.75" customHeight="1">
      <c r="A10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Helper'!$F$5:$F$3004,"""")&lt;&gt;""""),ROWS(A$5:A1092)),"""")"),"")</f>
        <v/>
      </c>
      <c r="B10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Helper'!$F$5:$F$3004,"""")&lt;&gt;""""),ROWS(B$5:B1092)),"""")"),"")</f>
        <v/>
      </c>
      <c r="C10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Helper'!$F$5:$F$3004,"""")&lt;&gt;""""),ROWS(C$5:C1092)),"""")"),"")</f>
        <v/>
      </c>
      <c r="D10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Helper'!$F$5:$F$3004,"""")&lt;&gt;""""),ROWS(D$5:D1092)),"""")"),"")</f>
        <v/>
      </c>
      <c r="E10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Helper'!$F$5:$F$3004,"""")&lt;&gt;""""),ROWS(E$5:E1092)),"""")"),"")</f>
        <v/>
      </c>
      <c r="F10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Helper'!$F$5:$F$3004,"""")&lt;&gt;""""),ROWS(F$5:F1092)),IF(AND(LEFT(x,5)=""Pag"&amp;"e "",ISERROR(SEARCH(""–"",x))),x&amp;""–""&amp;REGEXEXTRACT(x,""[0-9]+$""),x)),"""")"),"")</f>
        <v/>
      </c>
      <c r="G1092" s="163"/>
      <c r="H10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Helper'!$F$5:$F$3004,"""")&lt;&gt;""""),ROWS(H$5:H1092)),"""")"),"")</f>
        <v/>
      </c>
    </row>
    <row r="1093" ht="15.75" customHeight="1">
      <c r="A10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Helper'!$F$5:$F$3004,"""")&lt;&gt;""""),ROWS(A$5:A1093)),"""")"),"")</f>
        <v/>
      </c>
      <c r="B10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Helper'!$F$5:$F$3004,"""")&lt;&gt;""""),ROWS(B$5:B1093)),"""")"),"")</f>
        <v/>
      </c>
      <c r="C10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Helper'!$F$5:$F$3004,"""")&lt;&gt;""""),ROWS(C$5:C1093)),"""")"),"")</f>
        <v/>
      </c>
      <c r="D10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Helper'!$F$5:$F$3004,"""")&lt;&gt;""""),ROWS(D$5:D1093)),"""")"),"")</f>
        <v/>
      </c>
      <c r="E10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Helper'!$F$5:$F$3004,"""")&lt;&gt;""""),ROWS(E$5:E1093)),"""")"),"")</f>
        <v/>
      </c>
      <c r="F10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Helper'!$F$5:$F$3004,"""")&lt;&gt;""""),ROWS(F$5:F1093)),IF(AND(LEFT(x,5)=""Pag"&amp;"e "",ISERROR(SEARCH(""–"",x))),x&amp;""–""&amp;REGEXEXTRACT(x,""[0-9]+$""),x)),"""")"),"")</f>
        <v/>
      </c>
      <c r="G1093" s="163"/>
      <c r="H10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Helper'!$F$5:$F$3004,"""")&lt;&gt;""""),ROWS(H$5:H1093)),"""")"),"")</f>
        <v/>
      </c>
    </row>
    <row r="1094" ht="15.75" customHeight="1">
      <c r="A10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Helper'!$F$5:$F$3004,"""")&lt;&gt;""""),ROWS(A$5:A1094)),"""")"),"")</f>
        <v/>
      </c>
      <c r="B10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Helper'!$F$5:$F$3004,"""")&lt;&gt;""""),ROWS(B$5:B1094)),"""")"),"")</f>
        <v/>
      </c>
      <c r="C10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Helper'!$F$5:$F$3004,"""")&lt;&gt;""""),ROWS(C$5:C1094)),"""")"),"")</f>
        <v/>
      </c>
      <c r="D10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Helper'!$F$5:$F$3004,"""")&lt;&gt;""""),ROWS(D$5:D1094)),"""")"),"")</f>
        <v/>
      </c>
      <c r="E10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Helper'!$F$5:$F$3004,"""")&lt;&gt;""""),ROWS(E$5:E1094)),"""")"),"")</f>
        <v/>
      </c>
      <c r="F10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Helper'!$F$5:$F$3004,"""")&lt;&gt;""""),ROWS(F$5:F1094)),IF(AND(LEFT(x,5)=""Pag"&amp;"e "",ISERROR(SEARCH(""–"",x))),x&amp;""–""&amp;REGEXEXTRACT(x,""[0-9]+$""),x)),"""")"),"")</f>
        <v/>
      </c>
      <c r="G1094" s="163"/>
      <c r="H10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Helper'!$F$5:$F$3004,"""")&lt;&gt;""""),ROWS(H$5:H1094)),"""")"),"")</f>
        <v/>
      </c>
    </row>
    <row r="1095" ht="15.75" customHeight="1">
      <c r="A10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Helper'!$F$5:$F$3004,"""")&lt;&gt;""""),ROWS(A$5:A1095)),"""")"),"")</f>
        <v/>
      </c>
      <c r="B10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Helper'!$F$5:$F$3004,"""")&lt;&gt;""""),ROWS(B$5:B1095)),"""")"),"")</f>
        <v/>
      </c>
      <c r="C10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Helper'!$F$5:$F$3004,"""")&lt;&gt;""""),ROWS(C$5:C1095)),"""")"),"")</f>
        <v/>
      </c>
      <c r="D10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Helper'!$F$5:$F$3004,"""")&lt;&gt;""""),ROWS(D$5:D1095)),"""")"),"")</f>
        <v/>
      </c>
      <c r="E10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Helper'!$F$5:$F$3004,"""")&lt;&gt;""""),ROWS(E$5:E1095)),"""")"),"")</f>
        <v/>
      </c>
      <c r="F10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Helper'!$F$5:$F$3004,"""")&lt;&gt;""""),ROWS(F$5:F1095)),IF(AND(LEFT(x,5)=""Pag"&amp;"e "",ISERROR(SEARCH(""–"",x))),x&amp;""–""&amp;REGEXEXTRACT(x,""[0-9]+$""),x)),"""")"),"")</f>
        <v/>
      </c>
      <c r="G1095" s="163"/>
      <c r="H10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Helper'!$F$5:$F$3004,"""")&lt;&gt;""""),ROWS(H$5:H1095)),"""")"),"")</f>
        <v/>
      </c>
    </row>
    <row r="1096" ht="15.75" customHeight="1">
      <c r="A10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Helper'!$F$5:$F$3004,"""")&lt;&gt;""""),ROWS(A$5:A1096)),"""")"),"")</f>
        <v/>
      </c>
      <c r="B10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Helper'!$F$5:$F$3004,"""")&lt;&gt;""""),ROWS(B$5:B1096)),"""")"),"")</f>
        <v/>
      </c>
      <c r="C10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Helper'!$F$5:$F$3004,"""")&lt;&gt;""""),ROWS(C$5:C1096)),"""")"),"")</f>
        <v/>
      </c>
      <c r="D10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Helper'!$F$5:$F$3004,"""")&lt;&gt;""""),ROWS(D$5:D1096)),"""")"),"")</f>
        <v/>
      </c>
      <c r="E10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Helper'!$F$5:$F$3004,"""")&lt;&gt;""""),ROWS(E$5:E1096)),"""")"),"")</f>
        <v/>
      </c>
      <c r="F10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Helper'!$F$5:$F$3004,"""")&lt;&gt;""""),ROWS(F$5:F1096)),IF(AND(LEFT(x,5)=""Pag"&amp;"e "",ISERROR(SEARCH(""–"",x))),x&amp;""–""&amp;REGEXEXTRACT(x,""[0-9]+$""),x)),"""")"),"")</f>
        <v/>
      </c>
      <c r="G1096" s="163"/>
      <c r="H10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Helper'!$F$5:$F$3004,"""")&lt;&gt;""""),ROWS(H$5:H1096)),"""")"),"")</f>
        <v/>
      </c>
    </row>
    <row r="1097" ht="15.75" customHeight="1">
      <c r="A10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Helper'!$F$5:$F$3004,"""")&lt;&gt;""""),ROWS(A$5:A1097)),"""")"),"")</f>
        <v/>
      </c>
      <c r="B10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Helper'!$F$5:$F$3004,"""")&lt;&gt;""""),ROWS(B$5:B1097)),"""")"),"")</f>
        <v/>
      </c>
      <c r="C10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Helper'!$F$5:$F$3004,"""")&lt;&gt;""""),ROWS(C$5:C1097)),"""")"),"")</f>
        <v/>
      </c>
      <c r="D10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Helper'!$F$5:$F$3004,"""")&lt;&gt;""""),ROWS(D$5:D1097)),"""")"),"")</f>
        <v/>
      </c>
      <c r="E10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Helper'!$F$5:$F$3004,"""")&lt;&gt;""""),ROWS(E$5:E1097)),"""")"),"")</f>
        <v/>
      </c>
      <c r="F10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Helper'!$F$5:$F$3004,"""")&lt;&gt;""""),ROWS(F$5:F1097)),IF(AND(LEFT(x,5)=""Pag"&amp;"e "",ISERROR(SEARCH(""–"",x))),x&amp;""–""&amp;REGEXEXTRACT(x,""[0-9]+$""),x)),"""")"),"")</f>
        <v/>
      </c>
      <c r="G1097" s="163"/>
      <c r="H10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Helper'!$F$5:$F$3004,"""")&lt;&gt;""""),ROWS(H$5:H1097)),"""")"),"")</f>
        <v/>
      </c>
    </row>
    <row r="1098" ht="15.75" customHeight="1">
      <c r="A10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Helper'!$F$5:$F$3004,"""")&lt;&gt;""""),ROWS(A$5:A1098)),"""")"),"")</f>
        <v/>
      </c>
      <c r="B10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Helper'!$F$5:$F$3004,"""")&lt;&gt;""""),ROWS(B$5:B1098)),"""")"),"")</f>
        <v/>
      </c>
      <c r="C10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Helper'!$F$5:$F$3004,"""")&lt;&gt;""""),ROWS(C$5:C1098)),"""")"),"")</f>
        <v/>
      </c>
      <c r="D10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Helper'!$F$5:$F$3004,"""")&lt;&gt;""""),ROWS(D$5:D1098)),"""")"),"")</f>
        <v/>
      </c>
      <c r="E10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Helper'!$F$5:$F$3004,"""")&lt;&gt;""""),ROWS(E$5:E1098)),"""")"),"")</f>
        <v/>
      </c>
      <c r="F10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Helper'!$F$5:$F$3004,"""")&lt;&gt;""""),ROWS(F$5:F1098)),IF(AND(LEFT(x,5)=""Pag"&amp;"e "",ISERROR(SEARCH(""–"",x))),x&amp;""–""&amp;REGEXEXTRACT(x,""[0-9]+$""),x)),"""")"),"")</f>
        <v/>
      </c>
      <c r="G1098" s="163"/>
      <c r="H10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Helper'!$F$5:$F$3004,"""")&lt;&gt;""""),ROWS(H$5:H1098)),"""")"),"")</f>
        <v/>
      </c>
    </row>
    <row r="1099" ht="15.75" customHeight="1">
      <c r="A10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Helper'!$F$5:$F$3004,"""")&lt;&gt;""""),ROWS(A$5:A1099)),"""")"),"")</f>
        <v/>
      </c>
      <c r="B10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Helper'!$F$5:$F$3004,"""")&lt;&gt;""""),ROWS(B$5:B1099)),"""")"),"")</f>
        <v/>
      </c>
      <c r="C10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Helper'!$F$5:$F$3004,"""")&lt;&gt;""""),ROWS(C$5:C1099)),"""")"),"")</f>
        <v/>
      </c>
      <c r="D10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Helper'!$F$5:$F$3004,"""")&lt;&gt;""""),ROWS(D$5:D1099)),"""")"),"")</f>
        <v/>
      </c>
      <c r="E10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Helper'!$F$5:$F$3004,"""")&lt;&gt;""""),ROWS(E$5:E1099)),"""")"),"")</f>
        <v/>
      </c>
      <c r="F10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Helper'!$F$5:$F$3004,"""")&lt;&gt;""""),ROWS(F$5:F1099)),IF(AND(LEFT(x,5)=""Pag"&amp;"e "",ISERROR(SEARCH(""–"",x))),x&amp;""–""&amp;REGEXEXTRACT(x,""[0-9]+$""),x)),"""")"),"")</f>
        <v/>
      </c>
      <c r="G1099" s="163"/>
      <c r="H10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Helper'!$F$5:$F$3004,"""")&lt;&gt;""""),ROWS(H$5:H1099)),"""")"),"")</f>
        <v/>
      </c>
    </row>
    <row r="1100" ht="15.75" customHeight="1">
      <c r="A11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Helper'!$F$5:$F$3004,"""")&lt;&gt;""""),ROWS(A$5:A1100)),"""")"),"")</f>
        <v/>
      </c>
      <c r="B11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Helper'!$F$5:$F$3004,"""")&lt;&gt;""""),ROWS(B$5:B1100)),"""")"),"")</f>
        <v/>
      </c>
      <c r="C11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Helper'!$F$5:$F$3004,"""")&lt;&gt;""""),ROWS(C$5:C1100)),"""")"),"")</f>
        <v/>
      </c>
      <c r="D11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Helper'!$F$5:$F$3004,"""")&lt;&gt;""""),ROWS(D$5:D1100)),"""")"),"")</f>
        <v/>
      </c>
      <c r="E11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Helper'!$F$5:$F$3004,"""")&lt;&gt;""""),ROWS(E$5:E1100)),"""")"),"")</f>
        <v/>
      </c>
      <c r="F11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Helper'!$F$5:$F$3004,"""")&lt;&gt;""""),ROWS(F$5:F1100)),IF(AND(LEFT(x,5)=""Pag"&amp;"e "",ISERROR(SEARCH(""–"",x))),x&amp;""–""&amp;REGEXEXTRACT(x,""[0-9]+$""),x)),"""")"),"")</f>
        <v/>
      </c>
      <c r="G1100" s="163"/>
      <c r="H11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Helper'!$F$5:$F$3004,"""")&lt;&gt;""""),ROWS(H$5:H1100)),"""")"),"")</f>
        <v/>
      </c>
    </row>
    <row r="1101" ht="15.75" customHeight="1">
      <c r="A11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Helper'!$F$5:$F$3004,"""")&lt;&gt;""""),ROWS(A$5:A1101)),"""")"),"")</f>
        <v/>
      </c>
      <c r="B11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Helper'!$F$5:$F$3004,"""")&lt;&gt;""""),ROWS(B$5:B1101)),"""")"),"")</f>
        <v/>
      </c>
      <c r="C11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Helper'!$F$5:$F$3004,"""")&lt;&gt;""""),ROWS(C$5:C1101)),"""")"),"")</f>
        <v/>
      </c>
      <c r="D11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Helper'!$F$5:$F$3004,"""")&lt;&gt;""""),ROWS(D$5:D1101)),"""")"),"")</f>
        <v/>
      </c>
      <c r="E11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Helper'!$F$5:$F$3004,"""")&lt;&gt;""""),ROWS(E$5:E1101)),"""")"),"")</f>
        <v/>
      </c>
      <c r="F11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Helper'!$F$5:$F$3004,"""")&lt;&gt;""""),ROWS(F$5:F1101)),IF(AND(LEFT(x,5)=""Pag"&amp;"e "",ISERROR(SEARCH(""–"",x))),x&amp;""–""&amp;REGEXEXTRACT(x,""[0-9]+$""),x)),"""")"),"")</f>
        <v/>
      </c>
      <c r="G1101" s="163"/>
      <c r="H11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Helper'!$F$5:$F$3004,"""")&lt;&gt;""""),ROWS(H$5:H1101)),"""")"),"")</f>
        <v/>
      </c>
    </row>
    <row r="1102" ht="15.75" customHeight="1">
      <c r="A11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Helper'!$F$5:$F$3004,"""")&lt;&gt;""""),ROWS(A$5:A1102)),"""")"),"")</f>
        <v/>
      </c>
      <c r="B11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Helper'!$F$5:$F$3004,"""")&lt;&gt;""""),ROWS(B$5:B1102)),"""")"),"")</f>
        <v/>
      </c>
      <c r="C11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Helper'!$F$5:$F$3004,"""")&lt;&gt;""""),ROWS(C$5:C1102)),"""")"),"")</f>
        <v/>
      </c>
      <c r="D11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Helper'!$F$5:$F$3004,"""")&lt;&gt;""""),ROWS(D$5:D1102)),"""")"),"")</f>
        <v/>
      </c>
      <c r="E11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Helper'!$F$5:$F$3004,"""")&lt;&gt;""""),ROWS(E$5:E1102)),"""")"),"")</f>
        <v/>
      </c>
      <c r="F11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Helper'!$F$5:$F$3004,"""")&lt;&gt;""""),ROWS(F$5:F1102)),IF(AND(LEFT(x,5)=""Pag"&amp;"e "",ISERROR(SEARCH(""–"",x))),x&amp;""–""&amp;REGEXEXTRACT(x,""[0-9]+$""),x)),"""")"),"")</f>
        <v/>
      </c>
      <c r="G1102" s="163"/>
      <c r="H11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Helper'!$F$5:$F$3004,"""")&lt;&gt;""""),ROWS(H$5:H1102)),"""")"),"")</f>
        <v/>
      </c>
    </row>
    <row r="1103" ht="15.75" customHeight="1">
      <c r="A11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Helper'!$F$5:$F$3004,"""")&lt;&gt;""""),ROWS(A$5:A1103)),"""")"),"")</f>
        <v/>
      </c>
      <c r="B11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Helper'!$F$5:$F$3004,"""")&lt;&gt;""""),ROWS(B$5:B1103)),"""")"),"")</f>
        <v/>
      </c>
      <c r="C11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Helper'!$F$5:$F$3004,"""")&lt;&gt;""""),ROWS(C$5:C1103)),"""")"),"")</f>
        <v/>
      </c>
      <c r="D11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Helper'!$F$5:$F$3004,"""")&lt;&gt;""""),ROWS(D$5:D1103)),"""")"),"")</f>
        <v/>
      </c>
      <c r="E11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Helper'!$F$5:$F$3004,"""")&lt;&gt;""""),ROWS(E$5:E1103)),"""")"),"")</f>
        <v/>
      </c>
      <c r="F11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Helper'!$F$5:$F$3004,"""")&lt;&gt;""""),ROWS(F$5:F1103)),IF(AND(LEFT(x,5)=""Pag"&amp;"e "",ISERROR(SEARCH(""–"",x))),x&amp;""–""&amp;REGEXEXTRACT(x,""[0-9]+$""),x)),"""")"),"")</f>
        <v/>
      </c>
      <c r="G1103" s="163"/>
      <c r="H11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Helper'!$F$5:$F$3004,"""")&lt;&gt;""""),ROWS(H$5:H1103)),"""")"),"")</f>
        <v/>
      </c>
    </row>
    <row r="1104" ht="15.75" customHeight="1">
      <c r="A11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Helper'!$F$5:$F$3004,"""")&lt;&gt;""""),ROWS(A$5:A1104)),"""")"),"")</f>
        <v/>
      </c>
      <c r="B11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Helper'!$F$5:$F$3004,"""")&lt;&gt;""""),ROWS(B$5:B1104)),"""")"),"")</f>
        <v/>
      </c>
      <c r="C11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Helper'!$F$5:$F$3004,"""")&lt;&gt;""""),ROWS(C$5:C1104)),"""")"),"")</f>
        <v/>
      </c>
      <c r="D11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Helper'!$F$5:$F$3004,"""")&lt;&gt;""""),ROWS(D$5:D1104)),"""")"),"")</f>
        <v/>
      </c>
      <c r="E11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Helper'!$F$5:$F$3004,"""")&lt;&gt;""""),ROWS(E$5:E1104)),"""")"),"")</f>
        <v/>
      </c>
      <c r="F11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Helper'!$F$5:$F$3004,"""")&lt;&gt;""""),ROWS(F$5:F1104)),IF(AND(LEFT(x,5)=""Pag"&amp;"e "",ISERROR(SEARCH(""–"",x))),x&amp;""–""&amp;REGEXEXTRACT(x,""[0-9]+$""),x)),"""")"),"")</f>
        <v/>
      </c>
      <c r="G1104" s="163"/>
      <c r="H11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Helper'!$F$5:$F$3004,"""")&lt;&gt;""""),ROWS(H$5:H1104)),"""")"),"")</f>
        <v/>
      </c>
    </row>
    <row r="1105" ht="15.75" customHeight="1">
      <c r="A11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Helper'!$F$5:$F$3004,"""")&lt;&gt;""""),ROWS(A$5:A1105)),"""")"),"")</f>
        <v/>
      </c>
      <c r="B11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Helper'!$F$5:$F$3004,"""")&lt;&gt;""""),ROWS(B$5:B1105)),"""")"),"")</f>
        <v/>
      </c>
      <c r="C11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Helper'!$F$5:$F$3004,"""")&lt;&gt;""""),ROWS(C$5:C1105)),"""")"),"")</f>
        <v/>
      </c>
      <c r="D11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Helper'!$F$5:$F$3004,"""")&lt;&gt;""""),ROWS(D$5:D1105)),"""")"),"")</f>
        <v/>
      </c>
      <c r="E11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Helper'!$F$5:$F$3004,"""")&lt;&gt;""""),ROWS(E$5:E1105)),"""")"),"")</f>
        <v/>
      </c>
      <c r="F11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Helper'!$F$5:$F$3004,"""")&lt;&gt;""""),ROWS(F$5:F1105)),IF(AND(LEFT(x,5)=""Pag"&amp;"e "",ISERROR(SEARCH(""–"",x))),x&amp;""–""&amp;REGEXEXTRACT(x,""[0-9]+$""),x)),"""")"),"")</f>
        <v/>
      </c>
      <c r="G1105" s="163"/>
      <c r="H11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Helper'!$F$5:$F$3004,"""")&lt;&gt;""""),ROWS(H$5:H1105)),"""")"),"")</f>
        <v/>
      </c>
    </row>
    <row r="1106" ht="15.75" customHeight="1">
      <c r="A11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Helper'!$F$5:$F$3004,"""")&lt;&gt;""""),ROWS(A$5:A1106)),"""")"),"")</f>
        <v/>
      </c>
      <c r="B11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Helper'!$F$5:$F$3004,"""")&lt;&gt;""""),ROWS(B$5:B1106)),"""")"),"")</f>
        <v/>
      </c>
      <c r="C11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Helper'!$F$5:$F$3004,"""")&lt;&gt;""""),ROWS(C$5:C1106)),"""")"),"")</f>
        <v/>
      </c>
      <c r="D11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Helper'!$F$5:$F$3004,"""")&lt;&gt;""""),ROWS(D$5:D1106)),"""")"),"")</f>
        <v/>
      </c>
      <c r="E11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Helper'!$F$5:$F$3004,"""")&lt;&gt;""""),ROWS(E$5:E1106)),"""")"),"")</f>
        <v/>
      </c>
      <c r="F11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Helper'!$F$5:$F$3004,"""")&lt;&gt;""""),ROWS(F$5:F1106)),IF(AND(LEFT(x,5)=""Pag"&amp;"e "",ISERROR(SEARCH(""–"",x))),x&amp;""–""&amp;REGEXEXTRACT(x,""[0-9]+$""),x)),"""")"),"")</f>
        <v/>
      </c>
      <c r="G1106" s="163"/>
      <c r="H11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Helper'!$F$5:$F$3004,"""")&lt;&gt;""""),ROWS(H$5:H1106)),"""")"),"")</f>
        <v/>
      </c>
    </row>
    <row r="1107" ht="15.75" customHeight="1">
      <c r="A11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Helper'!$F$5:$F$3004,"""")&lt;&gt;""""),ROWS(A$5:A1107)),"""")"),"")</f>
        <v/>
      </c>
      <c r="B11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Helper'!$F$5:$F$3004,"""")&lt;&gt;""""),ROWS(B$5:B1107)),"""")"),"")</f>
        <v/>
      </c>
      <c r="C11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Helper'!$F$5:$F$3004,"""")&lt;&gt;""""),ROWS(C$5:C1107)),"""")"),"")</f>
        <v/>
      </c>
      <c r="D11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Helper'!$F$5:$F$3004,"""")&lt;&gt;""""),ROWS(D$5:D1107)),"""")"),"")</f>
        <v/>
      </c>
      <c r="E11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Helper'!$F$5:$F$3004,"""")&lt;&gt;""""),ROWS(E$5:E1107)),"""")"),"")</f>
        <v/>
      </c>
      <c r="F11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Helper'!$F$5:$F$3004,"""")&lt;&gt;""""),ROWS(F$5:F1107)),IF(AND(LEFT(x,5)=""Pag"&amp;"e "",ISERROR(SEARCH(""–"",x))),x&amp;""–""&amp;REGEXEXTRACT(x,""[0-9]+$""),x)),"""")"),"")</f>
        <v/>
      </c>
      <c r="G1107" s="163"/>
      <c r="H11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Helper'!$F$5:$F$3004,"""")&lt;&gt;""""),ROWS(H$5:H1107)),"""")"),"")</f>
        <v/>
      </c>
    </row>
    <row r="1108" ht="15.75" customHeight="1">
      <c r="A11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Helper'!$F$5:$F$3004,"""")&lt;&gt;""""),ROWS(A$5:A1108)),"""")"),"")</f>
        <v/>
      </c>
      <c r="B11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Helper'!$F$5:$F$3004,"""")&lt;&gt;""""),ROWS(B$5:B1108)),"""")"),"")</f>
        <v/>
      </c>
      <c r="C11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Helper'!$F$5:$F$3004,"""")&lt;&gt;""""),ROWS(C$5:C1108)),"""")"),"")</f>
        <v/>
      </c>
      <c r="D11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Helper'!$F$5:$F$3004,"""")&lt;&gt;""""),ROWS(D$5:D1108)),"""")"),"")</f>
        <v/>
      </c>
      <c r="E11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Helper'!$F$5:$F$3004,"""")&lt;&gt;""""),ROWS(E$5:E1108)),"""")"),"")</f>
        <v/>
      </c>
      <c r="F11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Helper'!$F$5:$F$3004,"""")&lt;&gt;""""),ROWS(F$5:F1108)),IF(AND(LEFT(x,5)=""Pag"&amp;"e "",ISERROR(SEARCH(""–"",x))),x&amp;""–""&amp;REGEXEXTRACT(x,""[0-9]+$""),x)),"""")"),"")</f>
        <v/>
      </c>
      <c r="G1108" s="163"/>
      <c r="H11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Helper'!$F$5:$F$3004,"""")&lt;&gt;""""),ROWS(H$5:H1108)),"""")"),"")</f>
        <v/>
      </c>
    </row>
    <row r="1109" ht="15.75" customHeight="1">
      <c r="A11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Helper'!$F$5:$F$3004,"""")&lt;&gt;""""),ROWS(A$5:A1109)),"""")"),"")</f>
        <v/>
      </c>
      <c r="B11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Helper'!$F$5:$F$3004,"""")&lt;&gt;""""),ROWS(B$5:B1109)),"""")"),"")</f>
        <v/>
      </c>
      <c r="C11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Helper'!$F$5:$F$3004,"""")&lt;&gt;""""),ROWS(C$5:C1109)),"""")"),"")</f>
        <v/>
      </c>
      <c r="D11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Helper'!$F$5:$F$3004,"""")&lt;&gt;""""),ROWS(D$5:D1109)),"""")"),"")</f>
        <v/>
      </c>
      <c r="E11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Helper'!$F$5:$F$3004,"""")&lt;&gt;""""),ROWS(E$5:E1109)),"""")"),"")</f>
        <v/>
      </c>
      <c r="F11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Helper'!$F$5:$F$3004,"""")&lt;&gt;""""),ROWS(F$5:F1109)),IF(AND(LEFT(x,5)=""Pag"&amp;"e "",ISERROR(SEARCH(""–"",x))),x&amp;""–""&amp;REGEXEXTRACT(x,""[0-9]+$""),x)),"""")"),"")</f>
        <v/>
      </c>
      <c r="G1109" s="163"/>
      <c r="H11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Helper'!$F$5:$F$3004,"""")&lt;&gt;""""),ROWS(H$5:H1109)),"""")"),"")</f>
        <v/>
      </c>
    </row>
    <row r="1110" ht="15.75" customHeight="1">
      <c r="A11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Helper'!$F$5:$F$3004,"""")&lt;&gt;""""),ROWS(A$5:A1110)),"""")"),"")</f>
        <v/>
      </c>
      <c r="B11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Helper'!$F$5:$F$3004,"""")&lt;&gt;""""),ROWS(B$5:B1110)),"""")"),"")</f>
        <v/>
      </c>
      <c r="C11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Helper'!$F$5:$F$3004,"""")&lt;&gt;""""),ROWS(C$5:C1110)),"""")"),"")</f>
        <v/>
      </c>
      <c r="D11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Helper'!$F$5:$F$3004,"""")&lt;&gt;""""),ROWS(D$5:D1110)),"""")"),"")</f>
        <v/>
      </c>
      <c r="E11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Helper'!$F$5:$F$3004,"""")&lt;&gt;""""),ROWS(E$5:E1110)),"""")"),"")</f>
        <v/>
      </c>
      <c r="F11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Helper'!$F$5:$F$3004,"""")&lt;&gt;""""),ROWS(F$5:F1110)),IF(AND(LEFT(x,5)=""Pag"&amp;"e "",ISERROR(SEARCH(""–"",x))),x&amp;""–""&amp;REGEXEXTRACT(x,""[0-9]+$""),x)),"""")"),"")</f>
        <v/>
      </c>
      <c r="G1110" s="163"/>
      <c r="H11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Helper'!$F$5:$F$3004,"""")&lt;&gt;""""),ROWS(H$5:H1110)),"""")"),"")</f>
        <v/>
      </c>
    </row>
    <row r="1111" ht="15.75" customHeight="1">
      <c r="A11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Helper'!$F$5:$F$3004,"""")&lt;&gt;""""),ROWS(A$5:A1111)),"""")"),"")</f>
        <v/>
      </c>
      <c r="B11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Helper'!$F$5:$F$3004,"""")&lt;&gt;""""),ROWS(B$5:B1111)),"""")"),"")</f>
        <v/>
      </c>
      <c r="C11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Helper'!$F$5:$F$3004,"""")&lt;&gt;""""),ROWS(C$5:C1111)),"""")"),"")</f>
        <v/>
      </c>
      <c r="D11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Helper'!$F$5:$F$3004,"""")&lt;&gt;""""),ROWS(D$5:D1111)),"""")"),"")</f>
        <v/>
      </c>
      <c r="E11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Helper'!$F$5:$F$3004,"""")&lt;&gt;""""),ROWS(E$5:E1111)),"""")"),"")</f>
        <v/>
      </c>
      <c r="F11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Helper'!$F$5:$F$3004,"""")&lt;&gt;""""),ROWS(F$5:F1111)),IF(AND(LEFT(x,5)=""Pag"&amp;"e "",ISERROR(SEARCH(""–"",x))),x&amp;""–""&amp;REGEXEXTRACT(x,""[0-9]+$""),x)),"""")"),"")</f>
        <v/>
      </c>
      <c r="G1111" s="163"/>
      <c r="H11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Helper'!$F$5:$F$3004,"""")&lt;&gt;""""),ROWS(H$5:H1111)),"""")"),"")</f>
        <v/>
      </c>
    </row>
    <row r="1112" ht="15.75" customHeight="1">
      <c r="A11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Helper'!$F$5:$F$3004,"""")&lt;&gt;""""),ROWS(A$5:A1112)),"""")"),"")</f>
        <v/>
      </c>
      <c r="B11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Helper'!$F$5:$F$3004,"""")&lt;&gt;""""),ROWS(B$5:B1112)),"""")"),"")</f>
        <v/>
      </c>
      <c r="C11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Helper'!$F$5:$F$3004,"""")&lt;&gt;""""),ROWS(C$5:C1112)),"""")"),"")</f>
        <v/>
      </c>
      <c r="D11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Helper'!$F$5:$F$3004,"""")&lt;&gt;""""),ROWS(D$5:D1112)),"""")"),"")</f>
        <v/>
      </c>
      <c r="E11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Helper'!$F$5:$F$3004,"""")&lt;&gt;""""),ROWS(E$5:E1112)),"""")"),"")</f>
        <v/>
      </c>
      <c r="F11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Helper'!$F$5:$F$3004,"""")&lt;&gt;""""),ROWS(F$5:F1112)),IF(AND(LEFT(x,5)=""Pag"&amp;"e "",ISERROR(SEARCH(""–"",x))),x&amp;""–""&amp;REGEXEXTRACT(x,""[0-9]+$""),x)),"""")"),"")</f>
        <v/>
      </c>
      <c r="G1112" s="163"/>
      <c r="H11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Helper'!$F$5:$F$3004,"""")&lt;&gt;""""),ROWS(H$5:H1112)),"""")"),"")</f>
        <v/>
      </c>
    </row>
    <row r="1113" ht="15.75" customHeight="1">
      <c r="A11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Helper'!$F$5:$F$3004,"""")&lt;&gt;""""),ROWS(A$5:A1113)),"""")"),"")</f>
        <v/>
      </c>
      <c r="B11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Helper'!$F$5:$F$3004,"""")&lt;&gt;""""),ROWS(B$5:B1113)),"""")"),"")</f>
        <v/>
      </c>
      <c r="C11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Helper'!$F$5:$F$3004,"""")&lt;&gt;""""),ROWS(C$5:C1113)),"""")"),"")</f>
        <v/>
      </c>
      <c r="D11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Helper'!$F$5:$F$3004,"""")&lt;&gt;""""),ROWS(D$5:D1113)),"""")"),"")</f>
        <v/>
      </c>
      <c r="E11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Helper'!$F$5:$F$3004,"""")&lt;&gt;""""),ROWS(E$5:E1113)),"""")"),"")</f>
        <v/>
      </c>
      <c r="F11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Helper'!$F$5:$F$3004,"""")&lt;&gt;""""),ROWS(F$5:F1113)),IF(AND(LEFT(x,5)=""Pag"&amp;"e "",ISERROR(SEARCH(""–"",x))),x&amp;""–""&amp;REGEXEXTRACT(x,""[0-9]+$""),x)),"""")"),"")</f>
        <v/>
      </c>
      <c r="G1113" s="163"/>
      <c r="H11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Helper'!$F$5:$F$3004,"""")&lt;&gt;""""),ROWS(H$5:H1113)),"""")"),"")</f>
        <v/>
      </c>
    </row>
    <row r="1114" ht="15.75" customHeight="1">
      <c r="A11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Helper'!$F$5:$F$3004,"""")&lt;&gt;""""),ROWS(A$5:A1114)),"""")"),"")</f>
        <v/>
      </c>
      <c r="B11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Helper'!$F$5:$F$3004,"""")&lt;&gt;""""),ROWS(B$5:B1114)),"""")"),"")</f>
        <v/>
      </c>
      <c r="C11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Helper'!$F$5:$F$3004,"""")&lt;&gt;""""),ROWS(C$5:C1114)),"""")"),"")</f>
        <v/>
      </c>
      <c r="D11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Helper'!$F$5:$F$3004,"""")&lt;&gt;""""),ROWS(D$5:D1114)),"""")"),"")</f>
        <v/>
      </c>
      <c r="E11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Helper'!$F$5:$F$3004,"""")&lt;&gt;""""),ROWS(E$5:E1114)),"""")"),"")</f>
        <v/>
      </c>
      <c r="F11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Helper'!$F$5:$F$3004,"""")&lt;&gt;""""),ROWS(F$5:F1114)),IF(AND(LEFT(x,5)=""Pag"&amp;"e "",ISERROR(SEARCH(""–"",x))),x&amp;""–""&amp;REGEXEXTRACT(x,""[0-9]+$""),x)),"""")"),"")</f>
        <v/>
      </c>
      <c r="G1114" s="163"/>
      <c r="H11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Helper'!$F$5:$F$3004,"""")&lt;&gt;""""),ROWS(H$5:H1114)),"""")"),"")</f>
        <v/>
      </c>
    </row>
    <row r="1115" ht="15.75" customHeight="1">
      <c r="A11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Helper'!$F$5:$F$3004,"""")&lt;&gt;""""),ROWS(A$5:A1115)),"""")"),"")</f>
        <v/>
      </c>
      <c r="B11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Helper'!$F$5:$F$3004,"""")&lt;&gt;""""),ROWS(B$5:B1115)),"""")"),"")</f>
        <v/>
      </c>
      <c r="C11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Helper'!$F$5:$F$3004,"""")&lt;&gt;""""),ROWS(C$5:C1115)),"""")"),"")</f>
        <v/>
      </c>
      <c r="D11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Helper'!$F$5:$F$3004,"""")&lt;&gt;""""),ROWS(D$5:D1115)),"""")"),"")</f>
        <v/>
      </c>
      <c r="E11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Helper'!$F$5:$F$3004,"""")&lt;&gt;""""),ROWS(E$5:E1115)),"""")"),"")</f>
        <v/>
      </c>
      <c r="F11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Helper'!$F$5:$F$3004,"""")&lt;&gt;""""),ROWS(F$5:F1115)),IF(AND(LEFT(x,5)=""Pag"&amp;"e "",ISERROR(SEARCH(""–"",x))),x&amp;""–""&amp;REGEXEXTRACT(x,""[0-9]+$""),x)),"""")"),"")</f>
        <v/>
      </c>
      <c r="G1115" s="163"/>
      <c r="H11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Helper'!$F$5:$F$3004,"""")&lt;&gt;""""),ROWS(H$5:H1115)),"""")"),"")</f>
        <v/>
      </c>
    </row>
    <row r="1116" ht="15.75" customHeight="1">
      <c r="A11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Helper'!$F$5:$F$3004,"""")&lt;&gt;""""),ROWS(A$5:A1116)),"""")"),"")</f>
        <v/>
      </c>
      <c r="B11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Helper'!$F$5:$F$3004,"""")&lt;&gt;""""),ROWS(B$5:B1116)),"""")"),"")</f>
        <v/>
      </c>
      <c r="C11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Helper'!$F$5:$F$3004,"""")&lt;&gt;""""),ROWS(C$5:C1116)),"""")"),"")</f>
        <v/>
      </c>
      <c r="D11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Helper'!$F$5:$F$3004,"""")&lt;&gt;""""),ROWS(D$5:D1116)),"""")"),"")</f>
        <v/>
      </c>
      <c r="E11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Helper'!$F$5:$F$3004,"""")&lt;&gt;""""),ROWS(E$5:E1116)),"""")"),"")</f>
        <v/>
      </c>
      <c r="F11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Helper'!$F$5:$F$3004,"""")&lt;&gt;""""),ROWS(F$5:F1116)),IF(AND(LEFT(x,5)=""Pag"&amp;"e "",ISERROR(SEARCH(""–"",x))),x&amp;""–""&amp;REGEXEXTRACT(x,""[0-9]+$""),x)),"""")"),"")</f>
        <v/>
      </c>
      <c r="G1116" s="163"/>
      <c r="H11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Helper'!$F$5:$F$3004,"""")&lt;&gt;""""),ROWS(H$5:H1116)),"""")"),"")</f>
        <v/>
      </c>
    </row>
    <row r="1117" ht="15.75" customHeight="1">
      <c r="A11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Helper'!$F$5:$F$3004,"""")&lt;&gt;""""),ROWS(A$5:A1117)),"""")"),"")</f>
        <v/>
      </c>
      <c r="B11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Helper'!$F$5:$F$3004,"""")&lt;&gt;""""),ROWS(B$5:B1117)),"""")"),"")</f>
        <v/>
      </c>
      <c r="C11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Helper'!$F$5:$F$3004,"""")&lt;&gt;""""),ROWS(C$5:C1117)),"""")"),"")</f>
        <v/>
      </c>
      <c r="D11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Helper'!$F$5:$F$3004,"""")&lt;&gt;""""),ROWS(D$5:D1117)),"""")"),"")</f>
        <v/>
      </c>
      <c r="E11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Helper'!$F$5:$F$3004,"""")&lt;&gt;""""),ROWS(E$5:E1117)),"""")"),"")</f>
        <v/>
      </c>
      <c r="F11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Helper'!$F$5:$F$3004,"""")&lt;&gt;""""),ROWS(F$5:F1117)),IF(AND(LEFT(x,5)=""Pag"&amp;"e "",ISERROR(SEARCH(""–"",x))),x&amp;""–""&amp;REGEXEXTRACT(x,""[0-9]+$""),x)),"""")"),"")</f>
        <v/>
      </c>
      <c r="G1117" s="163"/>
      <c r="H11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Helper'!$F$5:$F$3004,"""")&lt;&gt;""""),ROWS(H$5:H1117)),"""")"),"")</f>
        <v/>
      </c>
    </row>
    <row r="1118" ht="15.75" customHeight="1">
      <c r="A11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Helper'!$F$5:$F$3004,"""")&lt;&gt;""""),ROWS(A$5:A1118)),"""")"),"")</f>
        <v/>
      </c>
      <c r="B11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Helper'!$F$5:$F$3004,"""")&lt;&gt;""""),ROWS(B$5:B1118)),"""")"),"")</f>
        <v/>
      </c>
      <c r="C11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Helper'!$F$5:$F$3004,"""")&lt;&gt;""""),ROWS(C$5:C1118)),"""")"),"")</f>
        <v/>
      </c>
      <c r="D11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Helper'!$F$5:$F$3004,"""")&lt;&gt;""""),ROWS(D$5:D1118)),"""")"),"")</f>
        <v/>
      </c>
      <c r="E11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Helper'!$F$5:$F$3004,"""")&lt;&gt;""""),ROWS(E$5:E1118)),"""")"),"")</f>
        <v/>
      </c>
      <c r="F11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Helper'!$F$5:$F$3004,"""")&lt;&gt;""""),ROWS(F$5:F1118)),IF(AND(LEFT(x,5)=""Pag"&amp;"e "",ISERROR(SEARCH(""–"",x))),x&amp;""–""&amp;REGEXEXTRACT(x,""[0-9]+$""),x)),"""")"),"")</f>
        <v/>
      </c>
      <c r="G1118" s="163"/>
      <c r="H11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Helper'!$F$5:$F$3004,"""")&lt;&gt;""""),ROWS(H$5:H1118)),"""")"),"")</f>
        <v/>
      </c>
    </row>
    <row r="1119" ht="15.75" customHeight="1">
      <c r="A11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Helper'!$F$5:$F$3004,"""")&lt;&gt;""""),ROWS(A$5:A1119)),"""")"),"")</f>
        <v/>
      </c>
      <c r="B11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Helper'!$F$5:$F$3004,"""")&lt;&gt;""""),ROWS(B$5:B1119)),"""")"),"")</f>
        <v/>
      </c>
      <c r="C11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Helper'!$F$5:$F$3004,"""")&lt;&gt;""""),ROWS(C$5:C1119)),"""")"),"")</f>
        <v/>
      </c>
      <c r="D11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Helper'!$F$5:$F$3004,"""")&lt;&gt;""""),ROWS(D$5:D1119)),"""")"),"")</f>
        <v/>
      </c>
      <c r="E11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Helper'!$F$5:$F$3004,"""")&lt;&gt;""""),ROWS(E$5:E1119)),"""")"),"")</f>
        <v/>
      </c>
      <c r="F11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Helper'!$F$5:$F$3004,"""")&lt;&gt;""""),ROWS(F$5:F1119)),IF(AND(LEFT(x,5)=""Pag"&amp;"e "",ISERROR(SEARCH(""–"",x))),x&amp;""–""&amp;REGEXEXTRACT(x,""[0-9]+$""),x)),"""")"),"")</f>
        <v/>
      </c>
      <c r="G1119" s="163"/>
      <c r="H11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Helper'!$F$5:$F$3004,"""")&lt;&gt;""""),ROWS(H$5:H1119)),"""")"),"")</f>
        <v/>
      </c>
    </row>
    <row r="1120" ht="15.75" customHeight="1">
      <c r="A11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Helper'!$F$5:$F$3004,"""")&lt;&gt;""""),ROWS(A$5:A1120)),"""")"),"")</f>
        <v/>
      </c>
      <c r="B11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Helper'!$F$5:$F$3004,"""")&lt;&gt;""""),ROWS(B$5:B1120)),"""")"),"")</f>
        <v/>
      </c>
      <c r="C11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Helper'!$F$5:$F$3004,"""")&lt;&gt;""""),ROWS(C$5:C1120)),"""")"),"")</f>
        <v/>
      </c>
      <c r="D11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Helper'!$F$5:$F$3004,"""")&lt;&gt;""""),ROWS(D$5:D1120)),"""")"),"")</f>
        <v/>
      </c>
      <c r="E11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Helper'!$F$5:$F$3004,"""")&lt;&gt;""""),ROWS(E$5:E1120)),"""")"),"")</f>
        <v/>
      </c>
      <c r="F11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Helper'!$F$5:$F$3004,"""")&lt;&gt;""""),ROWS(F$5:F1120)),IF(AND(LEFT(x,5)=""Pag"&amp;"e "",ISERROR(SEARCH(""–"",x))),x&amp;""–""&amp;REGEXEXTRACT(x,""[0-9]+$""),x)),"""")"),"")</f>
        <v/>
      </c>
      <c r="G1120" s="163"/>
      <c r="H11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Helper'!$F$5:$F$3004,"""")&lt;&gt;""""),ROWS(H$5:H1120)),"""")"),"")</f>
        <v/>
      </c>
    </row>
    <row r="1121" ht="15.75" customHeight="1">
      <c r="A11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Helper'!$F$5:$F$3004,"""")&lt;&gt;""""),ROWS(A$5:A1121)),"""")"),"")</f>
        <v/>
      </c>
      <c r="B11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Helper'!$F$5:$F$3004,"""")&lt;&gt;""""),ROWS(B$5:B1121)),"""")"),"")</f>
        <v/>
      </c>
      <c r="C11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Helper'!$F$5:$F$3004,"""")&lt;&gt;""""),ROWS(C$5:C1121)),"""")"),"")</f>
        <v/>
      </c>
      <c r="D11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Helper'!$F$5:$F$3004,"""")&lt;&gt;""""),ROWS(D$5:D1121)),"""")"),"")</f>
        <v/>
      </c>
      <c r="E11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Helper'!$F$5:$F$3004,"""")&lt;&gt;""""),ROWS(E$5:E1121)),"""")"),"")</f>
        <v/>
      </c>
      <c r="F11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Helper'!$F$5:$F$3004,"""")&lt;&gt;""""),ROWS(F$5:F1121)),IF(AND(LEFT(x,5)=""Pag"&amp;"e "",ISERROR(SEARCH(""–"",x))),x&amp;""–""&amp;REGEXEXTRACT(x,""[0-9]+$""),x)),"""")"),"")</f>
        <v/>
      </c>
      <c r="G1121" s="163"/>
      <c r="H11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Helper'!$F$5:$F$3004,"""")&lt;&gt;""""),ROWS(H$5:H1121)),"""")"),"")</f>
        <v/>
      </c>
    </row>
    <row r="1122" ht="15.75" customHeight="1">
      <c r="A11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Helper'!$F$5:$F$3004,"""")&lt;&gt;""""),ROWS(A$5:A1122)),"""")"),"")</f>
        <v/>
      </c>
      <c r="B11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Helper'!$F$5:$F$3004,"""")&lt;&gt;""""),ROWS(B$5:B1122)),"""")"),"")</f>
        <v/>
      </c>
      <c r="C11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Helper'!$F$5:$F$3004,"""")&lt;&gt;""""),ROWS(C$5:C1122)),"""")"),"")</f>
        <v/>
      </c>
      <c r="D11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Helper'!$F$5:$F$3004,"""")&lt;&gt;""""),ROWS(D$5:D1122)),"""")"),"")</f>
        <v/>
      </c>
      <c r="E11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Helper'!$F$5:$F$3004,"""")&lt;&gt;""""),ROWS(E$5:E1122)),"""")"),"")</f>
        <v/>
      </c>
      <c r="F11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Helper'!$F$5:$F$3004,"""")&lt;&gt;""""),ROWS(F$5:F1122)),IF(AND(LEFT(x,5)=""Pag"&amp;"e "",ISERROR(SEARCH(""–"",x))),x&amp;""–""&amp;REGEXEXTRACT(x,""[0-9]+$""),x)),"""")"),"")</f>
        <v/>
      </c>
      <c r="G1122" s="163"/>
      <c r="H11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Helper'!$F$5:$F$3004,"""")&lt;&gt;""""),ROWS(H$5:H1122)),"""")"),"")</f>
        <v/>
      </c>
    </row>
    <row r="1123" ht="15.75" customHeight="1">
      <c r="A11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Helper'!$F$5:$F$3004,"""")&lt;&gt;""""),ROWS(A$5:A1123)),"""")"),"")</f>
        <v/>
      </c>
      <c r="B11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Helper'!$F$5:$F$3004,"""")&lt;&gt;""""),ROWS(B$5:B1123)),"""")"),"")</f>
        <v/>
      </c>
      <c r="C11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Helper'!$F$5:$F$3004,"""")&lt;&gt;""""),ROWS(C$5:C1123)),"""")"),"")</f>
        <v/>
      </c>
      <c r="D11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Helper'!$F$5:$F$3004,"""")&lt;&gt;""""),ROWS(D$5:D1123)),"""")"),"")</f>
        <v/>
      </c>
      <c r="E11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Helper'!$F$5:$F$3004,"""")&lt;&gt;""""),ROWS(E$5:E1123)),"""")"),"")</f>
        <v/>
      </c>
      <c r="F11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Helper'!$F$5:$F$3004,"""")&lt;&gt;""""),ROWS(F$5:F1123)),IF(AND(LEFT(x,5)=""Pag"&amp;"e "",ISERROR(SEARCH(""–"",x))),x&amp;""–""&amp;REGEXEXTRACT(x,""[0-9]+$""),x)),"""")"),"")</f>
        <v/>
      </c>
      <c r="G1123" s="163"/>
      <c r="H11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Helper'!$F$5:$F$3004,"""")&lt;&gt;""""),ROWS(H$5:H1123)),"""")"),"")</f>
        <v/>
      </c>
    </row>
    <row r="1124" ht="15.75" customHeight="1">
      <c r="A11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Helper'!$F$5:$F$3004,"""")&lt;&gt;""""),ROWS(A$5:A1124)),"""")"),"")</f>
        <v/>
      </c>
      <c r="B11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Helper'!$F$5:$F$3004,"""")&lt;&gt;""""),ROWS(B$5:B1124)),"""")"),"")</f>
        <v/>
      </c>
      <c r="C11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Helper'!$F$5:$F$3004,"""")&lt;&gt;""""),ROWS(C$5:C1124)),"""")"),"")</f>
        <v/>
      </c>
      <c r="D11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Helper'!$F$5:$F$3004,"""")&lt;&gt;""""),ROWS(D$5:D1124)),"""")"),"")</f>
        <v/>
      </c>
      <c r="E11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Helper'!$F$5:$F$3004,"""")&lt;&gt;""""),ROWS(E$5:E1124)),"""")"),"")</f>
        <v/>
      </c>
      <c r="F11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Helper'!$F$5:$F$3004,"""")&lt;&gt;""""),ROWS(F$5:F1124)),IF(AND(LEFT(x,5)=""Pag"&amp;"e "",ISERROR(SEARCH(""–"",x))),x&amp;""–""&amp;REGEXEXTRACT(x,""[0-9]+$""),x)),"""")"),"")</f>
        <v/>
      </c>
      <c r="G1124" s="163"/>
      <c r="H11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Helper'!$F$5:$F$3004,"""")&lt;&gt;""""),ROWS(H$5:H1124)),"""")"),"")</f>
        <v/>
      </c>
    </row>
    <row r="1125" ht="15.75" customHeight="1">
      <c r="A11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Helper'!$F$5:$F$3004,"""")&lt;&gt;""""),ROWS(A$5:A1125)),"""")"),"")</f>
        <v/>
      </c>
      <c r="B11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Helper'!$F$5:$F$3004,"""")&lt;&gt;""""),ROWS(B$5:B1125)),"""")"),"")</f>
        <v/>
      </c>
      <c r="C11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Helper'!$F$5:$F$3004,"""")&lt;&gt;""""),ROWS(C$5:C1125)),"""")"),"")</f>
        <v/>
      </c>
      <c r="D11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Helper'!$F$5:$F$3004,"""")&lt;&gt;""""),ROWS(D$5:D1125)),"""")"),"")</f>
        <v/>
      </c>
      <c r="E11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Helper'!$F$5:$F$3004,"""")&lt;&gt;""""),ROWS(E$5:E1125)),"""")"),"")</f>
        <v/>
      </c>
      <c r="F11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Helper'!$F$5:$F$3004,"""")&lt;&gt;""""),ROWS(F$5:F1125)),IF(AND(LEFT(x,5)=""Pag"&amp;"e "",ISERROR(SEARCH(""–"",x))),x&amp;""–""&amp;REGEXEXTRACT(x,""[0-9]+$""),x)),"""")"),"")</f>
        <v/>
      </c>
      <c r="G1125" s="163"/>
      <c r="H11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Helper'!$F$5:$F$3004,"""")&lt;&gt;""""),ROWS(H$5:H1125)),"""")"),"")</f>
        <v/>
      </c>
    </row>
    <row r="1126" ht="15.75" customHeight="1">
      <c r="A11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Helper'!$F$5:$F$3004,"""")&lt;&gt;""""),ROWS(A$5:A1126)),"""")"),"")</f>
        <v/>
      </c>
      <c r="B11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Helper'!$F$5:$F$3004,"""")&lt;&gt;""""),ROWS(B$5:B1126)),"""")"),"")</f>
        <v/>
      </c>
      <c r="C11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Helper'!$F$5:$F$3004,"""")&lt;&gt;""""),ROWS(C$5:C1126)),"""")"),"")</f>
        <v/>
      </c>
      <c r="D11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Helper'!$F$5:$F$3004,"""")&lt;&gt;""""),ROWS(D$5:D1126)),"""")"),"")</f>
        <v/>
      </c>
      <c r="E11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Helper'!$F$5:$F$3004,"""")&lt;&gt;""""),ROWS(E$5:E1126)),"""")"),"")</f>
        <v/>
      </c>
      <c r="F11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Helper'!$F$5:$F$3004,"""")&lt;&gt;""""),ROWS(F$5:F1126)),IF(AND(LEFT(x,5)=""Pag"&amp;"e "",ISERROR(SEARCH(""–"",x))),x&amp;""–""&amp;REGEXEXTRACT(x,""[0-9]+$""),x)),"""")"),"")</f>
        <v/>
      </c>
      <c r="G1126" s="163"/>
      <c r="H11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Helper'!$F$5:$F$3004,"""")&lt;&gt;""""),ROWS(H$5:H1126)),"""")"),"")</f>
        <v/>
      </c>
    </row>
    <row r="1127" ht="15.75" customHeight="1">
      <c r="A11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Helper'!$F$5:$F$3004,"""")&lt;&gt;""""),ROWS(A$5:A1127)),"""")"),"")</f>
        <v/>
      </c>
      <c r="B11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Helper'!$F$5:$F$3004,"""")&lt;&gt;""""),ROWS(B$5:B1127)),"""")"),"")</f>
        <v/>
      </c>
      <c r="C11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Helper'!$F$5:$F$3004,"""")&lt;&gt;""""),ROWS(C$5:C1127)),"""")"),"")</f>
        <v/>
      </c>
      <c r="D11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Helper'!$F$5:$F$3004,"""")&lt;&gt;""""),ROWS(D$5:D1127)),"""")"),"")</f>
        <v/>
      </c>
      <c r="E11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Helper'!$F$5:$F$3004,"""")&lt;&gt;""""),ROWS(E$5:E1127)),"""")"),"")</f>
        <v/>
      </c>
      <c r="F11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Helper'!$F$5:$F$3004,"""")&lt;&gt;""""),ROWS(F$5:F1127)),IF(AND(LEFT(x,5)=""Pag"&amp;"e "",ISERROR(SEARCH(""–"",x))),x&amp;""–""&amp;REGEXEXTRACT(x,""[0-9]+$""),x)),"""")"),"")</f>
        <v/>
      </c>
      <c r="G1127" s="163"/>
      <c r="H11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Helper'!$F$5:$F$3004,"""")&lt;&gt;""""),ROWS(H$5:H1127)),"""")"),"")</f>
        <v/>
      </c>
    </row>
    <row r="1128" ht="15.75" customHeight="1">
      <c r="A11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Helper'!$F$5:$F$3004,"""")&lt;&gt;""""),ROWS(A$5:A1128)),"""")"),"")</f>
        <v/>
      </c>
      <c r="B11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Helper'!$F$5:$F$3004,"""")&lt;&gt;""""),ROWS(B$5:B1128)),"""")"),"")</f>
        <v/>
      </c>
      <c r="C11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Helper'!$F$5:$F$3004,"""")&lt;&gt;""""),ROWS(C$5:C1128)),"""")"),"")</f>
        <v/>
      </c>
      <c r="D11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Helper'!$F$5:$F$3004,"""")&lt;&gt;""""),ROWS(D$5:D1128)),"""")"),"")</f>
        <v/>
      </c>
      <c r="E11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Helper'!$F$5:$F$3004,"""")&lt;&gt;""""),ROWS(E$5:E1128)),"""")"),"")</f>
        <v/>
      </c>
      <c r="F11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Helper'!$F$5:$F$3004,"""")&lt;&gt;""""),ROWS(F$5:F1128)),IF(AND(LEFT(x,5)=""Pag"&amp;"e "",ISERROR(SEARCH(""–"",x))),x&amp;""–""&amp;REGEXEXTRACT(x,""[0-9]+$""),x)),"""")"),"")</f>
        <v/>
      </c>
      <c r="G1128" s="163"/>
      <c r="H11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Helper'!$F$5:$F$3004,"""")&lt;&gt;""""),ROWS(H$5:H1128)),"""")"),"")</f>
        <v/>
      </c>
    </row>
    <row r="1129" ht="15.75" customHeight="1">
      <c r="A11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Helper'!$F$5:$F$3004,"""")&lt;&gt;""""),ROWS(A$5:A1129)),"""")"),"")</f>
        <v/>
      </c>
      <c r="B11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Helper'!$F$5:$F$3004,"""")&lt;&gt;""""),ROWS(B$5:B1129)),"""")"),"")</f>
        <v/>
      </c>
      <c r="C11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Helper'!$F$5:$F$3004,"""")&lt;&gt;""""),ROWS(C$5:C1129)),"""")"),"")</f>
        <v/>
      </c>
      <c r="D11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Helper'!$F$5:$F$3004,"""")&lt;&gt;""""),ROWS(D$5:D1129)),"""")"),"")</f>
        <v/>
      </c>
      <c r="E11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Helper'!$F$5:$F$3004,"""")&lt;&gt;""""),ROWS(E$5:E1129)),"""")"),"")</f>
        <v/>
      </c>
      <c r="F11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Helper'!$F$5:$F$3004,"""")&lt;&gt;""""),ROWS(F$5:F1129)),IF(AND(LEFT(x,5)=""Pag"&amp;"e "",ISERROR(SEARCH(""–"",x))),x&amp;""–""&amp;REGEXEXTRACT(x,""[0-9]+$""),x)),"""")"),"")</f>
        <v/>
      </c>
      <c r="G1129" s="163"/>
      <c r="H11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Helper'!$F$5:$F$3004,"""")&lt;&gt;""""),ROWS(H$5:H1129)),"""")"),"")</f>
        <v/>
      </c>
    </row>
    <row r="1130" ht="15.75" customHeight="1">
      <c r="A11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Helper'!$F$5:$F$3004,"""")&lt;&gt;""""),ROWS(A$5:A1130)),"""")"),"")</f>
        <v/>
      </c>
      <c r="B11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Helper'!$F$5:$F$3004,"""")&lt;&gt;""""),ROWS(B$5:B1130)),"""")"),"")</f>
        <v/>
      </c>
      <c r="C11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Helper'!$F$5:$F$3004,"""")&lt;&gt;""""),ROWS(C$5:C1130)),"""")"),"")</f>
        <v/>
      </c>
      <c r="D11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Helper'!$F$5:$F$3004,"""")&lt;&gt;""""),ROWS(D$5:D1130)),"""")"),"")</f>
        <v/>
      </c>
      <c r="E11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Helper'!$F$5:$F$3004,"""")&lt;&gt;""""),ROWS(E$5:E1130)),"""")"),"")</f>
        <v/>
      </c>
      <c r="F11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Helper'!$F$5:$F$3004,"""")&lt;&gt;""""),ROWS(F$5:F1130)),IF(AND(LEFT(x,5)=""Pag"&amp;"e "",ISERROR(SEARCH(""–"",x))),x&amp;""–""&amp;REGEXEXTRACT(x,""[0-9]+$""),x)),"""")"),"")</f>
        <v/>
      </c>
      <c r="G1130" s="163"/>
      <c r="H11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Helper'!$F$5:$F$3004,"""")&lt;&gt;""""),ROWS(H$5:H1130)),"""")"),"")</f>
        <v/>
      </c>
    </row>
    <row r="1131" ht="15.75" customHeight="1">
      <c r="A11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Helper'!$F$5:$F$3004,"""")&lt;&gt;""""),ROWS(A$5:A1131)),"""")"),"")</f>
        <v/>
      </c>
      <c r="B11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Helper'!$F$5:$F$3004,"""")&lt;&gt;""""),ROWS(B$5:B1131)),"""")"),"")</f>
        <v/>
      </c>
      <c r="C11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Helper'!$F$5:$F$3004,"""")&lt;&gt;""""),ROWS(C$5:C1131)),"""")"),"")</f>
        <v/>
      </c>
      <c r="D11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Helper'!$F$5:$F$3004,"""")&lt;&gt;""""),ROWS(D$5:D1131)),"""")"),"")</f>
        <v/>
      </c>
      <c r="E11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Helper'!$F$5:$F$3004,"""")&lt;&gt;""""),ROWS(E$5:E1131)),"""")"),"")</f>
        <v/>
      </c>
      <c r="F11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Helper'!$F$5:$F$3004,"""")&lt;&gt;""""),ROWS(F$5:F1131)),IF(AND(LEFT(x,5)=""Pag"&amp;"e "",ISERROR(SEARCH(""–"",x))),x&amp;""–""&amp;REGEXEXTRACT(x,""[0-9]+$""),x)),"""")"),"")</f>
        <v/>
      </c>
      <c r="G1131" s="163"/>
      <c r="H11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Helper'!$F$5:$F$3004,"""")&lt;&gt;""""),ROWS(H$5:H1131)),"""")"),"")</f>
        <v/>
      </c>
    </row>
    <row r="1132" ht="15.75" customHeight="1">
      <c r="A11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Helper'!$F$5:$F$3004,"""")&lt;&gt;""""),ROWS(A$5:A1132)),"""")"),"")</f>
        <v/>
      </c>
      <c r="B11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Helper'!$F$5:$F$3004,"""")&lt;&gt;""""),ROWS(B$5:B1132)),"""")"),"")</f>
        <v/>
      </c>
      <c r="C11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Helper'!$F$5:$F$3004,"""")&lt;&gt;""""),ROWS(C$5:C1132)),"""")"),"")</f>
        <v/>
      </c>
      <c r="D11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Helper'!$F$5:$F$3004,"""")&lt;&gt;""""),ROWS(D$5:D1132)),"""")"),"")</f>
        <v/>
      </c>
      <c r="E11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Helper'!$F$5:$F$3004,"""")&lt;&gt;""""),ROWS(E$5:E1132)),"""")"),"")</f>
        <v/>
      </c>
      <c r="F11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Helper'!$F$5:$F$3004,"""")&lt;&gt;""""),ROWS(F$5:F1132)),IF(AND(LEFT(x,5)=""Pag"&amp;"e "",ISERROR(SEARCH(""–"",x))),x&amp;""–""&amp;REGEXEXTRACT(x,""[0-9]+$""),x)),"""")"),"")</f>
        <v/>
      </c>
      <c r="G1132" s="163"/>
      <c r="H11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Helper'!$F$5:$F$3004,"""")&lt;&gt;""""),ROWS(H$5:H1132)),"""")"),"")</f>
        <v/>
      </c>
    </row>
    <row r="1133" ht="15.75" customHeight="1">
      <c r="A11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Helper'!$F$5:$F$3004,"""")&lt;&gt;""""),ROWS(A$5:A1133)),"""")"),"")</f>
        <v/>
      </c>
      <c r="B11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Helper'!$F$5:$F$3004,"""")&lt;&gt;""""),ROWS(B$5:B1133)),"""")"),"")</f>
        <v/>
      </c>
      <c r="C11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Helper'!$F$5:$F$3004,"""")&lt;&gt;""""),ROWS(C$5:C1133)),"""")"),"")</f>
        <v/>
      </c>
      <c r="D11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Helper'!$F$5:$F$3004,"""")&lt;&gt;""""),ROWS(D$5:D1133)),"""")"),"")</f>
        <v/>
      </c>
      <c r="E11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Helper'!$F$5:$F$3004,"""")&lt;&gt;""""),ROWS(E$5:E1133)),"""")"),"")</f>
        <v/>
      </c>
      <c r="F11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Helper'!$F$5:$F$3004,"""")&lt;&gt;""""),ROWS(F$5:F1133)),IF(AND(LEFT(x,5)=""Pag"&amp;"e "",ISERROR(SEARCH(""–"",x))),x&amp;""–""&amp;REGEXEXTRACT(x,""[0-9]+$""),x)),"""")"),"")</f>
        <v/>
      </c>
      <c r="G1133" s="163"/>
      <c r="H11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Helper'!$F$5:$F$3004,"""")&lt;&gt;""""),ROWS(H$5:H1133)),"""")"),"")</f>
        <v/>
      </c>
    </row>
    <row r="1134" ht="15.75" customHeight="1">
      <c r="A11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Helper'!$F$5:$F$3004,"""")&lt;&gt;""""),ROWS(A$5:A1134)),"""")"),"")</f>
        <v/>
      </c>
      <c r="B11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Helper'!$F$5:$F$3004,"""")&lt;&gt;""""),ROWS(B$5:B1134)),"""")"),"")</f>
        <v/>
      </c>
      <c r="C11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Helper'!$F$5:$F$3004,"""")&lt;&gt;""""),ROWS(C$5:C1134)),"""")"),"")</f>
        <v/>
      </c>
      <c r="D11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Helper'!$F$5:$F$3004,"""")&lt;&gt;""""),ROWS(D$5:D1134)),"""")"),"")</f>
        <v/>
      </c>
      <c r="E11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Helper'!$F$5:$F$3004,"""")&lt;&gt;""""),ROWS(E$5:E1134)),"""")"),"")</f>
        <v/>
      </c>
      <c r="F11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Helper'!$F$5:$F$3004,"""")&lt;&gt;""""),ROWS(F$5:F1134)),IF(AND(LEFT(x,5)=""Pag"&amp;"e "",ISERROR(SEARCH(""–"",x))),x&amp;""–""&amp;REGEXEXTRACT(x,""[0-9]+$""),x)),"""")"),"")</f>
        <v/>
      </c>
      <c r="G1134" s="163"/>
      <c r="H11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Helper'!$F$5:$F$3004,"""")&lt;&gt;""""),ROWS(H$5:H1134)),"""")"),"")</f>
        <v/>
      </c>
    </row>
    <row r="1135" ht="15.75" customHeight="1">
      <c r="A11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Helper'!$F$5:$F$3004,"""")&lt;&gt;""""),ROWS(A$5:A1135)),"""")"),"")</f>
        <v/>
      </c>
      <c r="B11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Helper'!$F$5:$F$3004,"""")&lt;&gt;""""),ROWS(B$5:B1135)),"""")"),"")</f>
        <v/>
      </c>
      <c r="C11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Helper'!$F$5:$F$3004,"""")&lt;&gt;""""),ROWS(C$5:C1135)),"""")"),"")</f>
        <v/>
      </c>
      <c r="D11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Helper'!$F$5:$F$3004,"""")&lt;&gt;""""),ROWS(D$5:D1135)),"""")"),"")</f>
        <v/>
      </c>
      <c r="E11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Helper'!$F$5:$F$3004,"""")&lt;&gt;""""),ROWS(E$5:E1135)),"""")"),"")</f>
        <v/>
      </c>
      <c r="F11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Helper'!$F$5:$F$3004,"""")&lt;&gt;""""),ROWS(F$5:F1135)),IF(AND(LEFT(x,5)=""Pag"&amp;"e "",ISERROR(SEARCH(""–"",x))),x&amp;""–""&amp;REGEXEXTRACT(x,""[0-9]+$""),x)),"""")"),"")</f>
        <v/>
      </c>
      <c r="G1135" s="163"/>
      <c r="H11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Helper'!$F$5:$F$3004,"""")&lt;&gt;""""),ROWS(H$5:H1135)),"""")"),"")</f>
        <v/>
      </c>
    </row>
    <row r="1136" ht="15.75" customHeight="1">
      <c r="A11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Helper'!$F$5:$F$3004,"""")&lt;&gt;""""),ROWS(A$5:A1136)),"""")"),"")</f>
        <v/>
      </c>
      <c r="B11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Helper'!$F$5:$F$3004,"""")&lt;&gt;""""),ROWS(B$5:B1136)),"""")"),"")</f>
        <v/>
      </c>
      <c r="C11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Helper'!$F$5:$F$3004,"""")&lt;&gt;""""),ROWS(C$5:C1136)),"""")"),"")</f>
        <v/>
      </c>
      <c r="D11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Helper'!$F$5:$F$3004,"""")&lt;&gt;""""),ROWS(D$5:D1136)),"""")"),"")</f>
        <v/>
      </c>
      <c r="E11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Helper'!$F$5:$F$3004,"""")&lt;&gt;""""),ROWS(E$5:E1136)),"""")"),"")</f>
        <v/>
      </c>
      <c r="F11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Helper'!$F$5:$F$3004,"""")&lt;&gt;""""),ROWS(F$5:F1136)),IF(AND(LEFT(x,5)=""Pag"&amp;"e "",ISERROR(SEARCH(""–"",x))),x&amp;""–""&amp;REGEXEXTRACT(x,""[0-9]+$""),x)),"""")"),"")</f>
        <v/>
      </c>
      <c r="G1136" s="163"/>
      <c r="H11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Helper'!$F$5:$F$3004,"""")&lt;&gt;""""),ROWS(H$5:H1136)),"""")"),"")</f>
        <v/>
      </c>
    </row>
    <row r="1137" ht="15.75" customHeight="1">
      <c r="A11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Helper'!$F$5:$F$3004,"""")&lt;&gt;""""),ROWS(A$5:A1137)),"""")"),"")</f>
        <v/>
      </c>
      <c r="B11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Helper'!$F$5:$F$3004,"""")&lt;&gt;""""),ROWS(B$5:B1137)),"""")"),"")</f>
        <v/>
      </c>
      <c r="C11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Helper'!$F$5:$F$3004,"""")&lt;&gt;""""),ROWS(C$5:C1137)),"""")"),"")</f>
        <v/>
      </c>
      <c r="D11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Helper'!$F$5:$F$3004,"""")&lt;&gt;""""),ROWS(D$5:D1137)),"""")"),"")</f>
        <v/>
      </c>
      <c r="E11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Helper'!$F$5:$F$3004,"""")&lt;&gt;""""),ROWS(E$5:E1137)),"""")"),"")</f>
        <v/>
      </c>
      <c r="F11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Helper'!$F$5:$F$3004,"""")&lt;&gt;""""),ROWS(F$5:F1137)),IF(AND(LEFT(x,5)=""Pag"&amp;"e "",ISERROR(SEARCH(""–"",x))),x&amp;""–""&amp;REGEXEXTRACT(x,""[0-9]+$""),x)),"""")"),"")</f>
        <v/>
      </c>
      <c r="G1137" s="163"/>
      <c r="H11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Helper'!$F$5:$F$3004,"""")&lt;&gt;""""),ROWS(H$5:H1137)),"""")"),"")</f>
        <v/>
      </c>
    </row>
    <row r="1138" ht="15.75" customHeight="1">
      <c r="A11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Helper'!$F$5:$F$3004,"""")&lt;&gt;""""),ROWS(A$5:A1138)),"""")"),"")</f>
        <v/>
      </c>
      <c r="B11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Helper'!$F$5:$F$3004,"""")&lt;&gt;""""),ROWS(B$5:B1138)),"""")"),"")</f>
        <v/>
      </c>
      <c r="C11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Helper'!$F$5:$F$3004,"""")&lt;&gt;""""),ROWS(C$5:C1138)),"""")"),"")</f>
        <v/>
      </c>
      <c r="D11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Helper'!$F$5:$F$3004,"""")&lt;&gt;""""),ROWS(D$5:D1138)),"""")"),"")</f>
        <v/>
      </c>
      <c r="E11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Helper'!$F$5:$F$3004,"""")&lt;&gt;""""),ROWS(E$5:E1138)),"""")"),"")</f>
        <v/>
      </c>
      <c r="F11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Helper'!$F$5:$F$3004,"""")&lt;&gt;""""),ROWS(F$5:F1138)),IF(AND(LEFT(x,5)=""Pag"&amp;"e "",ISERROR(SEARCH(""–"",x))),x&amp;""–""&amp;REGEXEXTRACT(x,""[0-9]+$""),x)),"""")"),"")</f>
        <v/>
      </c>
      <c r="G1138" s="163"/>
      <c r="H11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Helper'!$F$5:$F$3004,"""")&lt;&gt;""""),ROWS(H$5:H1138)),"""")"),"")</f>
        <v/>
      </c>
    </row>
    <row r="1139" ht="15.75" customHeight="1">
      <c r="A11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Helper'!$F$5:$F$3004,"""")&lt;&gt;""""),ROWS(A$5:A1139)),"""")"),"")</f>
        <v/>
      </c>
      <c r="B11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Helper'!$F$5:$F$3004,"""")&lt;&gt;""""),ROWS(B$5:B1139)),"""")"),"")</f>
        <v/>
      </c>
      <c r="C11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Helper'!$F$5:$F$3004,"""")&lt;&gt;""""),ROWS(C$5:C1139)),"""")"),"")</f>
        <v/>
      </c>
      <c r="D11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Helper'!$F$5:$F$3004,"""")&lt;&gt;""""),ROWS(D$5:D1139)),"""")"),"")</f>
        <v/>
      </c>
      <c r="E11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Helper'!$F$5:$F$3004,"""")&lt;&gt;""""),ROWS(E$5:E1139)),"""")"),"")</f>
        <v/>
      </c>
      <c r="F11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Helper'!$F$5:$F$3004,"""")&lt;&gt;""""),ROWS(F$5:F1139)),IF(AND(LEFT(x,5)=""Pag"&amp;"e "",ISERROR(SEARCH(""–"",x))),x&amp;""–""&amp;REGEXEXTRACT(x,""[0-9]+$""),x)),"""")"),"")</f>
        <v/>
      </c>
      <c r="G1139" s="163"/>
      <c r="H11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Helper'!$F$5:$F$3004,"""")&lt;&gt;""""),ROWS(H$5:H1139)),"""")"),"")</f>
        <v/>
      </c>
    </row>
    <row r="1140" ht="15.75" customHeight="1">
      <c r="A11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Helper'!$F$5:$F$3004,"""")&lt;&gt;""""),ROWS(A$5:A1140)),"""")"),"")</f>
        <v/>
      </c>
      <c r="B11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Helper'!$F$5:$F$3004,"""")&lt;&gt;""""),ROWS(B$5:B1140)),"""")"),"")</f>
        <v/>
      </c>
      <c r="C11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Helper'!$F$5:$F$3004,"""")&lt;&gt;""""),ROWS(C$5:C1140)),"""")"),"")</f>
        <v/>
      </c>
      <c r="D11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Helper'!$F$5:$F$3004,"""")&lt;&gt;""""),ROWS(D$5:D1140)),"""")"),"")</f>
        <v/>
      </c>
      <c r="E11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Helper'!$F$5:$F$3004,"""")&lt;&gt;""""),ROWS(E$5:E1140)),"""")"),"")</f>
        <v/>
      </c>
      <c r="F11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Helper'!$F$5:$F$3004,"""")&lt;&gt;""""),ROWS(F$5:F1140)),IF(AND(LEFT(x,5)=""Pag"&amp;"e "",ISERROR(SEARCH(""–"",x))),x&amp;""–""&amp;REGEXEXTRACT(x,""[0-9]+$""),x)),"""")"),"")</f>
        <v/>
      </c>
      <c r="G1140" s="163"/>
      <c r="H11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Helper'!$F$5:$F$3004,"""")&lt;&gt;""""),ROWS(H$5:H1140)),"""")"),"")</f>
        <v/>
      </c>
    </row>
    <row r="1141" ht="15.75" customHeight="1">
      <c r="A11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Helper'!$F$5:$F$3004,"""")&lt;&gt;""""),ROWS(A$5:A1141)),"""")"),"")</f>
        <v/>
      </c>
      <c r="B11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Helper'!$F$5:$F$3004,"""")&lt;&gt;""""),ROWS(B$5:B1141)),"""")"),"")</f>
        <v/>
      </c>
      <c r="C11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Helper'!$F$5:$F$3004,"""")&lt;&gt;""""),ROWS(C$5:C1141)),"""")"),"")</f>
        <v/>
      </c>
      <c r="D11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Helper'!$F$5:$F$3004,"""")&lt;&gt;""""),ROWS(D$5:D1141)),"""")"),"")</f>
        <v/>
      </c>
      <c r="E11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Helper'!$F$5:$F$3004,"""")&lt;&gt;""""),ROWS(E$5:E1141)),"""")"),"")</f>
        <v/>
      </c>
      <c r="F11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Helper'!$F$5:$F$3004,"""")&lt;&gt;""""),ROWS(F$5:F1141)),IF(AND(LEFT(x,5)=""Pag"&amp;"e "",ISERROR(SEARCH(""–"",x))),x&amp;""–""&amp;REGEXEXTRACT(x,""[0-9]+$""),x)),"""")"),"")</f>
        <v/>
      </c>
      <c r="G1141" s="163"/>
      <c r="H11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Helper'!$F$5:$F$3004,"""")&lt;&gt;""""),ROWS(H$5:H1141)),"""")"),"")</f>
        <v/>
      </c>
    </row>
    <row r="1142" ht="15.75" customHeight="1">
      <c r="A11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Helper'!$F$5:$F$3004,"""")&lt;&gt;""""),ROWS(A$5:A1142)),"""")"),"")</f>
        <v/>
      </c>
      <c r="B11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Helper'!$F$5:$F$3004,"""")&lt;&gt;""""),ROWS(B$5:B1142)),"""")"),"")</f>
        <v/>
      </c>
      <c r="C11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Helper'!$F$5:$F$3004,"""")&lt;&gt;""""),ROWS(C$5:C1142)),"""")"),"")</f>
        <v/>
      </c>
      <c r="D11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Helper'!$F$5:$F$3004,"""")&lt;&gt;""""),ROWS(D$5:D1142)),"""")"),"")</f>
        <v/>
      </c>
      <c r="E11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Helper'!$F$5:$F$3004,"""")&lt;&gt;""""),ROWS(E$5:E1142)),"""")"),"")</f>
        <v/>
      </c>
      <c r="F11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Helper'!$F$5:$F$3004,"""")&lt;&gt;""""),ROWS(F$5:F1142)),IF(AND(LEFT(x,5)=""Pag"&amp;"e "",ISERROR(SEARCH(""–"",x))),x&amp;""–""&amp;REGEXEXTRACT(x,""[0-9]+$""),x)),"""")"),"")</f>
        <v/>
      </c>
      <c r="G1142" s="163"/>
      <c r="H11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Helper'!$F$5:$F$3004,"""")&lt;&gt;""""),ROWS(H$5:H1142)),"""")"),"")</f>
        <v/>
      </c>
    </row>
    <row r="1143" ht="15.75" customHeight="1">
      <c r="A11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Helper'!$F$5:$F$3004,"""")&lt;&gt;""""),ROWS(A$5:A1143)),"""")"),"")</f>
        <v/>
      </c>
      <c r="B11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Helper'!$F$5:$F$3004,"""")&lt;&gt;""""),ROWS(B$5:B1143)),"""")"),"")</f>
        <v/>
      </c>
      <c r="C11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Helper'!$F$5:$F$3004,"""")&lt;&gt;""""),ROWS(C$5:C1143)),"""")"),"")</f>
        <v/>
      </c>
      <c r="D11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Helper'!$F$5:$F$3004,"""")&lt;&gt;""""),ROWS(D$5:D1143)),"""")"),"")</f>
        <v/>
      </c>
      <c r="E11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Helper'!$F$5:$F$3004,"""")&lt;&gt;""""),ROWS(E$5:E1143)),"""")"),"")</f>
        <v/>
      </c>
      <c r="F11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Helper'!$F$5:$F$3004,"""")&lt;&gt;""""),ROWS(F$5:F1143)),IF(AND(LEFT(x,5)=""Pag"&amp;"e "",ISERROR(SEARCH(""–"",x))),x&amp;""–""&amp;REGEXEXTRACT(x,""[0-9]+$""),x)),"""")"),"")</f>
        <v/>
      </c>
      <c r="G1143" s="163"/>
      <c r="H11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Helper'!$F$5:$F$3004,"""")&lt;&gt;""""),ROWS(H$5:H1143)),"""")"),"")</f>
        <v/>
      </c>
    </row>
    <row r="1144" ht="15.75" customHeight="1">
      <c r="A11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Helper'!$F$5:$F$3004,"""")&lt;&gt;""""),ROWS(A$5:A1144)),"""")"),"")</f>
        <v/>
      </c>
      <c r="B11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Helper'!$F$5:$F$3004,"""")&lt;&gt;""""),ROWS(B$5:B1144)),"""")"),"")</f>
        <v/>
      </c>
      <c r="C11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Helper'!$F$5:$F$3004,"""")&lt;&gt;""""),ROWS(C$5:C1144)),"""")"),"")</f>
        <v/>
      </c>
      <c r="D11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Helper'!$F$5:$F$3004,"""")&lt;&gt;""""),ROWS(D$5:D1144)),"""")"),"")</f>
        <v/>
      </c>
      <c r="E11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Helper'!$F$5:$F$3004,"""")&lt;&gt;""""),ROWS(E$5:E1144)),"""")"),"")</f>
        <v/>
      </c>
      <c r="F11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Helper'!$F$5:$F$3004,"""")&lt;&gt;""""),ROWS(F$5:F1144)),IF(AND(LEFT(x,5)=""Pag"&amp;"e "",ISERROR(SEARCH(""–"",x))),x&amp;""–""&amp;REGEXEXTRACT(x,""[0-9]+$""),x)),"""")"),"")</f>
        <v/>
      </c>
      <c r="G1144" s="163"/>
      <c r="H11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Helper'!$F$5:$F$3004,"""")&lt;&gt;""""),ROWS(H$5:H1144)),"""")"),"")</f>
        <v/>
      </c>
    </row>
    <row r="1145" ht="15.75" customHeight="1">
      <c r="A11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Helper'!$F$5:$F$3004,"""")&lt;&gt;""""),ROWS(A$5:A1145)),"""")"),"")</f>
        <v/>
      </c>
      <c r="B11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Helper'!$F$5:$F$3004,"""")&lt;&gt;""""),ROWS(B$5:B1145)),"""")"),"")</f>
        <v/>
      </c>
      <c r="C11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Helper'!$F$5:$F$3004,"""")&lt;&gt;""""),ROWS(C$5:C1145)),"""")"),"")</f>
        <v/>
      </c>
      <c r="D11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Helper'!$F$5:$F$3004,"""")&lt;&gt;""""),ROWS(D$5:D1145)),"""")"),"")</f>
        <v/>
      </c>
      <c r="E11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Helper'!$F$5:$F$3004,"""")&lt;&gt;""""),ROWS(E$5:E1145)),"""")"),"")</f>
        <v/>
      </c>
      <c r="F11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Helper'!$F$5:$F$3004,"""")&lt;&gt;""""),ROWS(F$5:F1145)),IF(AND(LEFT(x,5)=""Pag"&amp;"e "",ISERROR(SEARCH(""–"",x))),x&amp;""–""&amp;REGEXEXTRACT(x,""[0-9]+$""),x)),"""")"),"")</f>
        <v/>
      </c>
      <c r="G1145" s="163"/>
      <c r="H11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Helper'!$F$5:$F$3004,"""")&lt;&gt;""""),ROWS(H$5:H1145)),"""")"),"")</f>
        <v/>
      </c>
    </row>
    <row r="1146" ht="15.75" customHeight="1">
      <c r="A11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Helper'!$F$5:$F$3004,"""")&lt;&gt;""""),ROWS(A$5:A1146)),"""")"),"")</f>
        <v/>
      </c>
      <c r="B11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Helper'!$F$5:$F$3004,"""")&lt;&gt;""""),ROWS(B$5:B1146)),"""")"),"")</f>
        <v/>
      </c>
      <c r="C11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Helper'!$F$5:$F$3004,"""")&lt;&gt;""""),ROWS(C$5:C1146)),"""")"),"")</f>
        <v/>
      </c>
      <c r="D11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Helper'!$F$5:$F$3004,"""")&lt;&gt;""""),ROWS(D$5:D1146)),"""")"),"")</f>
        <v/>
      </c>
      <c r="E11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Helper'!$F$5:$F$3004,"""")&lt;&gt;""""),ROWS(E$5:E1146)),"""")"),"")</f>
        <v/>
      </c>
      <c r="F11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Helper'!$F$5:$F$3004,"""")&lt;&gt;""""),ROWS(F$5:F1146)),IF(AND(LEFT(x,5)=""Pag"&amp;"e "",ISERROR(SEARCH(""–"",x))),x&amp;""–""&amp;REGEXEXTRACT(x,""[0-9]+$""),x)),"""")"),"")</f>
        <v/>
      </c>
      <c r="G1146" s="163"/>
      <c r="H11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Helper'!$F$5:$F$3004,"""")&lt;&gt;""""),ROWS(H$5:H1146)),"""")"),"")</f>
        <v/>
      </c>
    </row>
    <row r="1147" ht="15.75" customHeight="1">
      <c r="A11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Helper'!$F$5:$F$3004,"""")&lt;&gt;""""),ROWS(A$5:A1147)),"""")"),"")</f>
        <v/>
      </c>
      <c r="B11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Helper'!$F$5:$F$3004,"""")&lt;&gt;""""),ROWS(B$5:B1147)),"""")"),"")</f>
        <v/>
      </c>
      <c r="C11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Helper'!$F$5:$F$3004,"""")&lt;&gt;""""),ROWS(C$5:C1147)),"""")"),"")</f>
        <v/>
      </c>
      <c r="D11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Helper'!$F$5:$F$3004,"""")&lt;&gt;""""),ROWS(D$5:D1147)),"""")"),"")</f>
        <v/>
      </c>
      <c r="E11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Helper'!$F$5:$F$3004,"""")&lt;&gt;""""),ROWS(E$5:E1147)),"""")"),"")</f>
        <v/>
      </c>
      <c r="F11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Helper'!$F$5:$F$3004,"""")&lt;&gt;""""),ROWS(F$5:F1147)),IF(AND(LEFT(x,5)=""Pag"&amp;"e "",ISERROR(SEARCH(""–"",x))),x&amp;""–""&amp;REGEXEXTRACT(x,""[0-9]+$""),x)),"""")"),"")</f>
        <v/>
      </c>
      <c r="G1147" s="163"/>
      <c r="H11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Helper'!$F$5:$F$3004,"""")&lt;&gt;""""),ROWS(H$5:H1147)),"""")"),"")</f>
        <v/>
      </c>
    </row>
    <row r="1148" ht="15.75" customHeight="1">
      <c r="A11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Helper'!$F$5:$F$3004,"""")&lt;&gt;""""),ROWS(A$5:A1148)),"""")"),"")</f>
        <v/>
      </c>
      <c r="B11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Helper'!$F$5:$F$3004,"""")&lt;&gt;""""),ROWS(B$5:B1148)),"""")"),"")</f>
        <v/>
      </c>
      <c r="C11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Helper'!$F$5:$F$3004,"""")&lt;&gt;""""),ROWS(C$5:C1148)),"""")"),"")</f>
        <v/>
      </c>
      <c r="D11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Helper'!$F$5:$F$3004,"""")&lt;&gt;""""),ROWS(D$5:D1148)),"""")"),"")</f>
        <v/>
      </c>
      <c r="E11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Helper'!$F$5:$F$3004,"""")&lt;&gt;""""),ROWS(E$5:E1148)),"""")"),"")</f>
        <v/>
      </c>
      <c r="F11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Helper'!$F$5:$F$3004,"""")&lt;&gt;""""),ROWS(F$5:F1148)),IF(AND(LEFT(x,5)=""Pag"&amp;"e "",ISERROR(SEARCH(""–"",x))),x&amp;""–""&amp;REGEXEXTRACT(x,""[0-9]+$""),x)),"""")"),"")</f>
        <v/>
      </c>
      <c r="G1148" s="163"/>
      <c r="H11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Helper'!$F$5:$F$3004,"""")&lt;&gt;""""),ROWS(H$5:H1148)),"""")"),"")</f>
        <v/>
      </c>
    </row>
    <row r="1149" ht="15.75" customHeight="1">
      <c r="A11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Helper'!$F$5:$F$3004,"""")&lt;&gt;""""),ROWS(A$5:A1149)),"""")"),"")</f>
        <v/>
      </c>
      <c r="B11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Helper'!$F$5:$F$3004,"""")&lt;&gt;""""),ROWS(B$5:B1149)),"""")"),"")</f>
        <v/>
      </c>
      <c r="C11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Helper'!$F$5:$F$3004,"""")&lt;&gt;""""),ROWS(C$5:C1149)),"""")"),"")</f>
        <v/>
      </c>
      <c r="D11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Helper'!$F$5:$F$3004,"""")&lt;&gt;""""),ROWS(D$5:D1149)),"""")"),"")</f>
        <v/>
      </c>
      <c r="E11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Helper'!$F$5:$F$3004,"""")&lt;&gt;""""),ROWS(E$5:E1149)),"""")"),"")</f>
        <v/>
      </c>
      <c r="F11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Helper'!$F$5:$F$3004,"""")&lt;&gt;""""),ROWS(F$5:F1149)),IF(AND(LEFT(x,5)=""Pag"&amp;"e "",ISERROR(SEARCH(""–"",x))),x&amp;""–""&amp;REGEXEXTRACT(x,""[0-9]+$""),x)),"""")"),"")</f>
        <v/>
      </c>
      <c r="G1149" s="163"/>
      <c r="H11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Helper'!$F$5:$F$3004,"""")&lt;&gt;""""),ROWS(H$5:H1149)),"""")"),"")</f>
        <v/>
      </c>
    </row>
    <row r="1150" ht="15.75" customHeight="1">
      <c r="A11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Helper'!$F$5:$F$3004,"""")&lt;&gt;""""),ROWS(A$5:A1150)),"""")"),"")</f>
        <v/>
      </c>
      <c r="B11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Helper'!$F$5:$F$3004,"""")&lt;&gt;""""),ROWS(B$5:B1150)),"""")"),"")</f>
        <v/>
      </c>
      <c r="C11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Helper'!$F$5:$F$3004,"""")&lt;&gt;""""),ROWS(C$5:C1150)),"""")"),"")</f>
        <v/>
      </c>
      <c r="D11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Helper'!$F$5:$F$3004,"""")&lt;&gt;""""),ROWS(D$5:D1150)),"""")"),"")</f>
        <v/>
      </c>
      <c r="E11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Helper'!$F$5:$F$3004,"""")&lt;&gt;""""),ROWS(E$5:E1150)),"""")"),"")</f>
        <v/>
      </c>
      <c r="F11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Helper'!$F$5:$F$3004,"""")&lt;&gt;""""),ROWS(F$5:F1150)),IF(AND(LEFT(x,5)=""Pag"&amp;"e "",ISERROR(SEARCH(""–"",x))),x&amp;""–""&amp;REGEXEXTRACT(x,""[0-9]+$""),x)),"""")"),"")</f>
        <v/>
      </c>
      <c r="G1150" s="163"/>
      <c r="H11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Helper'!$F$5:$F$3004,"""")&lt;&gt;""""),ROWS(H$5:H1150)),"""")"),"")</f>
        <v/>
      </c>
    </row>
    <row r="1151" ht="15.75" customHeight="1">
      <c r="A11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Helper'!$F$5:$F$3004,"""")&lt;&gt;""""),ROWS(A$5:A1151)),"""")"),"")</f>
        <v/>
      </c>
      <c r="B11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Helper'!$F$5:$F$3004,"""")&lt;&gt;""""),ROWS(B$5:B1151)),"""")"),"")</f>
        <v/>
      </c>
      <c r="C11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Helper'!$F$5:$F$3004,"""")&lt;&gt;""""),ROWS(C$5:C1151)),"""")"),"")</f>
        <v/>
      </c>
      <c r="D11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Helper'!$F$5:$F$3004,"""")&lt;&gt;""""),ROWS(D$5:D1151)),"""")"),"")</f>
        <v/>
      </c>
      <c r="E11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Helper'!$F$5:$F$3004,"""")&lt;&gt;""""),ROWS(E$5:E1151)),"""")"),"")</f>
        <v/>
      </c>
      <c r="F11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Helper'!$F$5:$F$3004,"""")&lt;&gt;""""),ROWS(F$5:F1151)),IF(AND(LEFT(x,5)=""Pag"&amp;"e "",ISERROR(SEARCH(""–"",x))),x&amp;""–""&amp;REGEXEXTRACT(x,""[0-9]+$""),x)),"""")"),"")</f>
        <v/>
      </c>
      <c r="G1151" s="163"/>
      <c r="H11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Helper'!$F$5:$F$3004,"""")&lt;&gt;""""),ROWS(H$5:H1151)),"""")"),"")</f>
        <v/>
      </c>
    </row>
    <row r="1152" ht="15.75" customHeight="1">
      <c r="A11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Helper'!$F$5:$F$3004,"""")&lt;&gt;""""),ROWS(A$5:A1152)),"""")"),"")</f>
        <v/>
      </c>
      <c r="B11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Helper'!$F$5:$F$3004,"""")&lt;&gt;""""),ROWS(B$5:B1152)),"""")"),"")</f>
        <v/>
      </c>
      <c r="C11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Helper'!$F$5:$F$3004,"""")&lt;&gt;""""),ROWS(C$5:C1152)),"""")"),"")</f>
        <v/>
      </c>
      <c r="D11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Helper'!$F$5:$F$3004,"""")&lt;&gt;""""),ROWS(D$5:D1152)),"""")"),"")</f>
        <v/>
      </c>
      <c r="E11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Helper'!$F$5:$F$3004,"""")&lt;&gt;""""),ROWS(E$5:E1152)),"""")"),"")</f>
        <v/>
      </c>
      <c r="F11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Helper'!$F$5:$F$3004,"""")&lt;&gt;""""),ROWS(F$5:F1152)),IF(AND(LEFT(x,5)=""Pag"&amp;"e "",ISERROR(SEARCH(""–"",x))),x&amp;""–""&amp;REGEXEXTRACT(x,""[0-9]+$""),x)),"""")"),"")</f>
        <v/>
      </c>
      <c r="G1152" s="163"/>
      <c r="H11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Helper'!$F$5:$F$3004,"""")&lt;&gt;""""),ROWS(H$5:H1152)),"""")"),"")</f>
        <v/>
      </c>
    </row>
    <row r="1153" ht="15.75" customHeight="1">
      <c r="A11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Helper'!$F$5:$F$3004,"""")&lt;&gt;""""),ROWS(A$5:A1153)),"""")"),"")</f>
        <v/>
      </c>
      <c r="B11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Helper'!$F$5:$F$3004,"""")&lt;&gt;""""),ROWS(B$5:B1153)),"""")"),"")</f>
        <v/>
      </c>
      <c r="C11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Helper'!$F$5:$F$3004,"""")&lt;&gt;""""),ROWS(C$5:C1153)),"""")"),"")</f>
        <v/>
      </c>
      <c r="D11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Helper'!$F$5:$F$3004,"""")&lt;&gt;""""),ROWS(D$5:D1153)),"""")"),"")</f>
        <v/>
      </c>
      <c r="E11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Helper'!$F$5:$F$3004,"""")&lt;&gt;""""),ROWS(E$5:E1153)),"""")"),"")</f>
        <v/>
      </c>
      <c r="F11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Helper'!$F$5:$F$3004,"""")&lt;&gt;""""),ROWS(F$5:F1153)),IF(AND(LEFT(x,5)=""Pag"&amp;"e "",ISERROR(SEARCH(""–"",x))),x&amp;""–""&amp;REGEXEXTRACT(x,""[0-9]+$""),x)),"""")"),"")</f>
        <v/>
      </c>
      <c r="G1153" s="163"/>
      <c r="H11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Helper'!$F$5:$F$3004,"""")&lt;&gt;""""),ROWS(H$5:H1153)),"""")"),"")</f>
        <v/>
      </c>
    </row>
    <row r="1154" ht="15.75" customHeight="1">
      <c r="A11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Helper'!$F$5:$F$3004,"""")&lt;&gt;""""),ROWS(A$5:A1154)),"""")"),"")</f>
        <v/>
      </c>
      <c r="B11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Helper'!$F$5:$F$3004,"""")&lt;&gt;""""),ROWS(B$5:B1154)),"""")"),"")</f>
        <v/>
      </c>
      <c r="C11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Helper'!$F$5:$F$3004,"""")&lt;&gt;""""),ROWS(C$5:C1154)),"""")"),"")</f>
        <v/>
      </c>
      <c r="D11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Helper'!$F$5:$F$3004,"""")&lt;&gt;""""),ROWS(D$5:D1154)),"""")"),"")</f>
        <v/>
      </c>
      <c r="E11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Helper'!$F$5:$F$3004,"""")&lt;&gt;""""),ROWS(E$5:E1154)),"""")"),"")</f>
        <v/>
      </c>
      <c r="F11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Helper'!$F$5:$F$3004,"""")&lt;&gt;""""),ROWS(F$5:F1154)),IF(AND(LEFT(x,5)=""Pag"&amp;"e "",ISERROR(SEARCH(""–"",x))),x&amp;""–""&amp;REGEXEXTRACT(x,""[0-9]+$""),x)),"""")"),"")</f>
        <v/>
      </c>
      <c r="G1154" s="163"/>
      <c r="H11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Helper'!$F$5:$F$3004,"""")&lt;&gt;""""),ROWS(H$5:H1154)),"""")"),"")</f>
        <v/>
      </c>
    </row>
    <row r="1155" ht="15.75" customHeight="1">
      <c r="A11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Helper'!$F$5:$F$3004,"""")&lt;&gt;""""),ROWS(A$5:A1155)),"""")"),"")</f>
        <v/>
      </c>
      <c r="B11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Helper'!$F$5:$F$3004,"""")&lt;&gt;""""),ROWS(B$5:B1155)),"""")"),"")</f>
        <v/>
      </c>
      <c r="C11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Helper'!$F$5:$F$3004,"""")&lt;&gt;""""),ROWS(C$5:C1155)),"""")"),"")</f>
        <v/>
      </c>
      <c r="D11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Helper'!$F$5:$F$3004,"""")&lt;&gt;""""),ROWS(D$5:D1155)),"""")"),"")</f>
        <v/>
      </c>
      <c r="E11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Helper'!$F$5:$F$3004,"""")&lt;&gt;""""),ROWS(E$5:E1155)),"""")"),"")</f>
        <v/>
      </c>
      <c r="F11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Helper'!$F$5:$F$3004,"""")&lt;&gt;""""),ROWS(F$5:F1155)),IF(AND(LEFT(x,5)=""Pag"&amp;"e "",ISERROR(SEARCH(""–"",x))),x&amp;""–""&amp;REGEXEXTRACT(x,""[0-9]+$""),x)),"""")"),"")</f>
        <v/>
      </c>
      <c r="G1155" s="163"/>
      <c r="H11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Helper'!$F$5:$F$3004,"""")&lt;&gt;""""),ROWS(H$5:H1155)),"""")"),"")</f>
        <v/>
      </c>
    </row>
    <row r="1156" ht="15.75" customHeight="1">
      <c r="A11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Helper'!$F$5:$F$3004,"""")&lt;&gt;""""),ROWS(A$5:A1156)),"""")"),"")</f>
        <v/>
      </c>
      <c r="B11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Helper'!$F$5:$F$3004,"""")&lt;&gt;""""),ROWS(B$5:B1156)),"""")"),"")</f>
        <v/>
      </c>
      <c r="C11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Helper'!$F$5:$F$3004,"""")&lt;&gt;""""),ROWS(C$5:C1156)),"""")"),"")</f>
        <v/>
      </c>
      <c r="D11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Helper'!$F$5:$F$3004,"""")&lt;&gt;""""),ROWS(D$5:D1156)),"""")"),"")</f>
        <v/>
      </c>
      <c r="E11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Helper'!$F$5:$F$3004,"""")&lt;&gt;""""),ROWS(E$5:E1156)),"""")"),"")</f>
        <v/>
      </c>
      <c r="F11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Helper'!$F$5:$F$3004,"""")&lt;&gt;""""),ROWS(F$5:F1156)),IF(AND(LEFT(x,5)=""Pag"&amp;"e "",ISERROR(SEARCH(""–"",x))),x&amp;""–""&amp;REGEXEXTRACT(x,""[0-9]+$""),x)),"""")"),"")</f>
        <v/>
      </c>
      <c r="G1156" s="163"/>
      <c r="H11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Helper'!$F$5:$F$3004,"""")&lt;&gt;""""),ROWS(H$5:H1156)),"""")"),"")</f>
        <v/>
      </c>
    </row>
    <row r="1157" ht="15.75" customHeight="1">
      <c r="A11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Helper'!$F$5:$F$3004,"""")&lt;&gt;""""),ROWS(A$5:A1157)),"""")"),"")</f>
        <v/>
      </c>
      <c r="B11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Helper'!$F$5:$F$3004,"""")&lt;&gt;""""),ROWS(B$5:B1157)),"""")"),"")</f>
        <v/>
      </c>
      <c r="C11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Helper'!$F$5:$F$3004,"""")&lt;&gt;""""),ROWS(C$5:C1157)),"""")"),"")</f>
        <v/>
      </c>
      <c r="D11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Helper'!$F$5:$F$3004,"""")&lt;&gt;""""),ROWS(D$5:D1157)),"""")"),"")</f>
        <v/>
      </c>
      <c r="E11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Helper'!$F$5:$F$3004,"""")&lt;&gt;""""),ROWS(E$5:E1157)),"""")"),"")</f>
        <v/>
      </c>
      <c r="F11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Helper'!$F$5:$F$3004,"""")&lt;&gt;""""),ROWS(F$5:F1157)),IF(AND(LEFT(x,5)=""Pag"&amp;"e "",ISERROR(SEARCH(""–"",x))),x&amp;""–""&amp;REGEXEXTRACT(x,""[0-9]+$""),x)),"""")"),"")</f>
        <v/>
      </c>
      <c r="G1157" s="163"/>
      <c r="H11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Helper'!$F$5:$F$3004,"""")&lt;&gt;""""),ROWS(H$5:H1157)),"""")"),"")</f>
        <v/>
      </c>
    </row>
    <row r="1158" ht="15.75" customHeight="1">
      <c r="A11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Helper'!$F$5:$F$3004,"""")&lt;&gt;""""),ROWS(A$5:A1158)),"""")"),"")</f>
        <v/>
      </c>
      <c r="B11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Helper'!$F$5:$F$3004,"""")&lt;&gt;""""),ROWS(B$5:B1158)),"""")"),"")</f>
        <v/>
      </c>
      <c r="C11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Helper'!$F$5:$F$3004,"""")&lt;&gt;""""),ROWS(C$5:C1158)),"""")"),"")</f>
        <v/>
      </c>
      <c r="D11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Helper'!$F$5:$F$3004,"""")&lt;&gt;""""),ROWS(D$5:D1158)),"""")"),"")</f>
        <v/>
      </c>
      <c r="E11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Helper'!$F$5:$F$3004,"""")&lt;&gt;""""),ROWS(E$5:E1158)),"""")"),"")</f>
        <v/>
      </c>
      <c r="F11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Helper'!$F$5:$F$3004,"""")&lt;&gt;""""),ROWS(F$5:F1158)),IF(AND(LEFT(x,5)=""Pag"&amp;"e "",ISERROR(SEARCH(""–"",x))),x&amp;""–""&amp;REGEXEXTRACT(x,""[0-9]+$""),x)),"""")"),"")</f>
        <v/>
      </c>
      <c r="G1158" s="163"/>
      <c r="H11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Helper'!$F$5:$F$3004,"""")&lt;&gt;""""),ROWS(H$5:H1158)),"""")"),"")</f>
        <v/>
      </c>
    </row>
    <row r="1159" ht="15.75" customHeight="1">
      <c r="A11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Helper'!$F$5:$F$3004,"""")&lt;&gt;""""),ROWS(A$5:A1159)),"""")"),"")</f>
        <v/>
      </c>
      <c r="B11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Helper'!$F$5:$F$3004,"""")&lt;&gt;""""),ROWS(B$5:B1159)),"""")"),"")</f>
        <v/>
      </c>
      <c r="C11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Helper'!$F$5:$F$3004,"""")&lt;&gt;""""),ROWS(C$5:C1159)),"""")"),"")</f>
        <v/>
      </c>
      <c r="D11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Helper'!$F$5:$F$3004,"""")&lt;&gt;""""),ROWS(D$5:D1159)),"""")"),"")</f>
        <v/>
      </c>
      <c r="E11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Helper'!$F$5:$F$3004,"""")&lt;&gt;""""),ROWS(E$5:E1159)),"""")"),"")</f>
        <v/>
      </c>
      <c r="F11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Helper'!$F$5:$F$3004,"""")&lt;&gt;""""),ROWS(F$5:F1159)),IF(AND(LEFT(x,5)=""Pag"&amp;"e "",ISERROR(SEARCH(""–"",x))),x&amp;""–""&amp;REGEXEXTRACT(x,""[0-9]+$""),x)),"""")"),"")</f>
        <v/>
      </c>
      <c r="G1159" s="163"/>
      <c r="H11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Helper'!$F$5:$F$3004,"""")&lt;&gt;""""),ROWS(H$5:H1159)),"""")"),"")</f>
        <v/>
      </c>
    </row>
    <row r="1160" ht="15.75" customHeight="1">
      <c r="A11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Helper'!$F$5:$F$3004,"""")&lt;&gt;""""),ROWS(A$5:A1160)),"""")"),"")</f>
        <v/>
      </c>
      <c r="B11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Helper'!$F$5:$F$3004,"""")&lt;&gt;""""),ROWS(B$5:B1160)),"""")"),"")</f>
        <v/>
      </c>
      <c r="C11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Helper'!$F$5:$F$3004,"""")&lt;&gt;""""),ROWS(C$5:C1160)),"""")"),"")</f>
        <v/>
      </c>
      <c r="D11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Helper'!$F$5:$F$3004,"""")&lt;&gt;""""),ROWS(D$5:D1160)),"""")"),"")</f>
        <v/>
      </c>
      <c r="E11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Helper'!$F$5:$F$3004,"""")&lt;&gt;""""),ROWS(E$5:E1160)),"""")"),"")</f>
        <v/>
      </c>
      <c r="F11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Helper'!$F$5:$F$3004,"""")&lt;&gt;""""),ROWS(F$5:F1160)),IF(AND(LEFT(x,5)=""Pag"&amp;"e "",ISERROR(SEARCH(""–"",x))),x&amp;""–""&amp;REGEXEXTRACT(x,""[0-9]+$""),x)),"""")"),"")</f>
        <v/>
      </c>
      <c r="G1160" s="163"/>
      <c r="H11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Helper'!$F$5:$F$3004,"""")&lt;&gt;""""),ROWS(H$5:H1160)),"""")"),"")</f>
        <v/>
      </c>
    </row>
    <row r="1161" ht="15.75" customHeight="1">
      <c r="A11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Helper'!$F$5:$F$3004,"""")&lt;&gt;""""),ROWS(A$5:A1161)),"""")"),"")</f>
        <v/>
      </c>
      <c r="B11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Helper'!$F$5:$F$3004,"""")&lt;&gt;""""),ROWS(B$5:B1161)),"""")"),"")</f>
        <v/>
      </c>
      <c r="C11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Helper'!$F$5:$F$3004,"""")&lt;&gt;""""),ROWS(C$5:C1161)),"""")"),"")</f>
        <v/>
      </c>
      <c r="D11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Helper'!$F$5:$F$3004,"""")&lt;&gt;""""),ROWS(D$5:D1161)),"""")"),"")</f>
        <v/>
      </c>
      <c r="E11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Helper'!$F$5:$F$3004,"""")&lt;&gt;""""),ROWS(E$5:E1161)),"""")"),"")</f>
        <v/>
      </c>
      <c r="F11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Helper'!$F$5:$F$3004,"""")&lt;&gt;""""),ROWS(F$5:F1161)),IF(AND(LEFT(x,5)=""Pag"&amp;"e "",ISERROR(SEARCH(""–"",x))),x&amp;""–""&amp;REGEXEXTRACT(x,""[0-9]+$""),x)),"""")"),"")</f>
        <v/>
      </c>
      <c r="G1161" s="163"/>
      <c r="H11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Helper'!$F$5:$F$3004,"""")&lt;&gt;""""),ROWS(H$5:H1161)),"""")"),"")</f>
        <v/>
      </c>
    </row>
    <row r="1162" ht="15.75" customHeight="1">
      <c r="A11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Helper'!$F$5:$F$3004,"""")&lt;&gt;""""),ROWS(A$5:A1162)),"""")"),"")</f>
        <v/>
      </c>
      <c r="B11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Helper'!$F$5:$F$3004,"""")&lt;&gt;""""),ROWS(B$5:B1162)),"""")"),"")</f>
        <v/>
      </c>
      <c r="C11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Helper'!$F$5:$F$3004,"""")&lt;&gt;""""),ROWS(C$5:C1162)),"""")"),"")</f>
        <v/>
      </c>
      <c r="D11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Helper'!$F$5:$F$3004,"""")&lt;&gt;""""),ROWS(D$5:D1162)),"""")"),"")</f>
        <v/>
      </c>
      <c r="E11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Helper'!$F$5:$F$3004,"""")&lt;&gt;""""),ROWS(E$5:E1162)),"""")"),"")</f>
        <v/>
      </c>
      <c r="F11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Helper'!$F$5:$F$3004,"""")&lt;&gt;""""),ROWS(F$5:F1162)),IF(AND(LEFT(x,5)=""Pag"&amp;"e "",ISERROR(SEARCH(""–"",x))),x&amp;""–""&amp;REGEXEXTRACT(x,""[0-9]+$""),x)),"""")"),"")</f>
        <v/>
      </c>
      <c r="G1162" s="163"/>
      <c r="H11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Helper'!$F$5:$F$3004,"""")&lt;&gt;""""),ROWS(H$5:H1162)),"""")"),"")</f>
        <v/>
      </c>
    </row>
    <row r="1163" ht="15.75" customHeight="1">
      <c r="A11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Helper'!$F$5:$F$3004,"""")&lt;&gt;""""),ROWS(A$5:A1163)),"""")"),"")</f>
        <v/>
      </c>
      <c r="B11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Helper'!$F$5:$F$3004,"""")&lt;&gt;""""),ROWS(B$5:B1163)),"""")"),"")</f>
        <v/>
      </c>
      <c r="C11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Helper'!$F$5:$F$3004,"""")&lt;&gt;""""),ROWS(C$5:C1163)),"""")"),"")</f>
        <v/>
      </c>
      <c r="D11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Helper'!$F$5:$F$3004,"""")&lt;&gt;""""),ROWS(D$5:D1163)),"""")"),"")</f>
        <v/>
      </c>
      <c r="E11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Helper'!$F$5:$F$3004,"""")&lt;&gt;""""),ROWS(E$5:E1163)),"""")"),"")</f>
        <v/>
      </c>
      <c r="F11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Helper'!$F$5:$F$3004,"""")&lt;&gt;""""),ROWS(F$5:F1163)),IF(AND(LEFT(x,5)=""Pag"&amp;"e "",ISERROR(SEARCH(""–"",x))),x&amp;""–""&amp;REGEXEXTRACT(x,""[0-9]+$""),x)),"""")"),"")</f>
        <v/>
      </c>
      <c r="G1163" s="163"/>
      <c r="H11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Helper'!$F$5:$F$3004,"""")&lt;&gt;""""),ROWS(H$5:H1163)),"""")"),"")</f>
        <v/>
      </c>
    </row>
    <row r="1164" ht="15.75" customHeight="1">
      <c r="A11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Helper'!$F$5:$F$3004,"""")&lt;&gt;""""),ROWS(A$5:A1164)),"""")"),"")</f>
        <v/>
      </c>
      <c r="B11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Helper'!$F$5:$F$3004,"""")&lt;&gt;""""),ROWS(B$5:B1164)),"""")"),"")</f>
        <v/>
      </c>
      <c r="C11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Helper'!$F$5:$F$3004,"""")&lt;&gt;""""),ROWS(C$5:C1164)),"""")"),"")</f>
        <v/>
      </c>
      <c r="D11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Helper'!$F$5:$F$3004,"""")&lt;&gt;""""),ROWS(D$5:D1164)),"""")"),"")</f>
        <v/>
      </c>
      <c r="E11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Helper'!$F$5:$F$3004,"""")&lt;&gt;""""),ROWS(E$5:E1164)),"""")"),"")</f>
        <v/>
      </c>
      <c r="F11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Helper'!$F$5:$F$3004,"""")&lt;&gt;""""),ROWS(F$5:F1164)),IF(AND(LEFT(x,5)=""Pag"&amp;"e "",ISERROR(SEARCH(""–"",x))),x&amp;""–""&amp;REGEXEXTRACT(x,""[0-9]+$""),x)),"""")"),"")</f>
        <v/>
      </c>
      <c r="G1164" s="163"/>
      <c r="H11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Helper'!$F$5:$F$3004,"""")&lt;&gt;""""),ROWS(H$5:H1164)),"""")"),"")</f>
        <v/>
      </c>
    </row>
    <row r="1165" ht="15.75" customHeight="1">
      <c r="A11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Helper'!$F$5:$F$3004,"""")&lt;&gt;""""),ROWS(A$5:A1165)),"""")"),"")</f>
        <v/>
      </c>
      <c r="B11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Helper'!$F$5:$F$3004,"""")&lt;&gt;""""),ROWS(B$5:B1165)),"""")"),"")</f>
        <v/>
      </c>
      <c r="C11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Helper'!$F$5:$F$3004,"""")&lt;&gt;""""),ROWS(C$5:C1165)),"""")"),"")</f>
        <v/>
      </c>
      <c r="D11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Helper'!$F$5:$F$3004,"""")&lt;&gt;""""),ROWS(D$5:D1165)),"""")"),"")</f>
        <v/>
      </c>
      <c r="E11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Helper'!$F$5:$F$3004,"""")&lt;&gt;""""),ROWS(E$5:E1165)),"""")"),"")</f>
        <v/>
      </c>
      <c r="F11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Helper'!$F$5:$F$3004,"""")&lt;&gt;""""),ROWS(F$5:F1165)),IF(AND(LEFT(x,5)=""Pag"&amp;"e "",ISERROR(SEARCH(""–"",x))),x&amp;""–""&amp;REGEXEXTRACT(x,""[0-9]+$""),x)),"""")"),"")</f>
        <v/>
      </c>
      <c r="G1165" s="163"/>
      <c r="H11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Helper'!$F$5:$F$3004,"""")&lt;&gt;""""),ROWS(H$5:H1165)),"""")"),"")</f>
        <v/>
      </c>
    </row>
    <row r="1166" ht="15.75" customHeight="1">
      <c r="A11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Helper'!$F$5:$F$3004,"""")&lt;&gt;""""),ROWS(A$5:A1166)),"""")"),"")</f>
        <v/>
      </c>
      <c r="B11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Helper'!$F$5:$F$3004,"""")&lt;&gt;""""),ROWS(B$5:B1166)),"""")"),"")</f>
        <v/>
      </c>
      <c r="C11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Helper'!$F$5:$F$3004,"""")&lt;&gt;""""),ROWS(C$5:C1166)),"""")"),"")</f>
        <v/>
      </c>
      <c r="D11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Helper'!$F$5:$F$3004,"""")&lt;&gt;""""),ROWS(D$5:D1166)),"""")"),"")</f>
        <v/>
      </c>
      <c r="E11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Helper'!$F$5:$F$3004,"""")&lt;&gt;""""),ROWS(E$5:E1166)),"""")"),"")</f>
        <v/>
      </c>
      <c r="F11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Helper'!$F$5:$F$3004,"""")&lt;&gt;""""),ROWS(F$5:F1166)),IF(AND(LEFT(x,5)=""Pag"&amp;"e "",ISERROR(SEARCH(""–"",x))),x&amp;""–""&amp;REGEXEXTRACT(x,""[0-9]+$""),x)),"""")"),"")</f>
        <v/>
      </c>
      <c r="G1166" s="163"/>
      <c r="H11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Helper'!$F$5:$F$3004,"""")&lt;&gt;""""),ROWS(H$5:H1166)),"""")"),"")</f>
        <v/>
      </c>
    </row>
    <row r="1167" ht="15.75" customHeight="1">
      <c r="A11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Helper'!$F$5:$F$3004,"""")&lt;&gt;""""),ROWS(A$5:A1167)),"""")"),"")</f>
        <v/>
      </c>
      <c r="B11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Helper'!$F$5:$F$3004,"""")&lt;&gt;""""),ROWS(B$5:B1167)),"""")"),"")</f>
        <v/>
      </c>
      <c r="C11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Helper'!$F$5:$F$3004,"""")&lt;&gt;""""),ROWS(C$5:C1167)),"""")"),"")</f>
        <v/>
      </c>
      <c r="D11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Helper'!$F$5:$F$3004,"""")&lt;&gt;""""),ROWS(D$5:D1167)),"""")"),"")</f>
        <v/>
      </c>
      <c r="E11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Helper'!$F$5:$F$3004,"""")&lt;&gt;""""),ROWS(E$5:E1167)),"""")"),"")</f>
        <v/>
      </c>
      <c r="F11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Helper'!$F$5:$F$3004,"""")&lt;&gt;""""),ROWS(F$5:F1167)),IF(AND(LEFT(x,5)=""Pag"&amp;"e "",ISERROR(SEARCH(""–"",x))),x&amp;""–""&amp;REGEXEXTRACT(x,""[0-9]+$""),x)),"""")"),"")</f>
        <v/>
      </c>
      <c r="G1167" s="163"/>
      <c r="H11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Helper'!$F$5:$F$3004,"""")&lt;&gt;""""),ROWS(H$5:H1167)),"""")"),"")</f>
        <v/>
      </c>
    </row>
    <row r="1168" ht="15.75" customHeight="1">
      <c r="A11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Helper'!$F$5:$F$3004,"""")&lt;&gt;""""),ROWS(A$5:A1168)),"""")"),"")</f>
        <v/>
      </c>
      <c r="B11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Helper'!$F$5:$F$3004,"""")&lt;&gt;""""),ROWS(B$5:B1168)),"""")"),"")</f>
        <v/>
      </c>
      <c r="C11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Helper'!$F$5:$F$3004,"""")&lt;&gt;""""),ROWS(C$5:C1168)),"""")"),"")</f>
        <v/>
      </c>
      <c r="D11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Helper'!$F$5:$F$3004,"""")&lt;&gt;""""),ROWS(D$5:D1168)),"""")"),"")</f>
        <v/>
      </c>
      <c r="E11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Helper'!$F$5:$F$3004,"""")&lt;&gt;""""),ROWS(E$5:E1168)),"""")"),"")</f>
        <v/>
      </c>
      <c r="F11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Helper'!$F$5:$F$3004,"""")&lt;&gt;""""),ROWS(F$5:F1168)),IF(AND(LEFT(x,5)=""Pag"&amp;"e "",ISERROR(SEARCH(""–"",x))),x&amp;""–""&amp;REGEXEXTRACT(x,""[0-9]+$""),x)),"""")"),"")</f>
        <v/>
      </c>
      <c r="G1168" s="163"/>
      <c r="H11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Helper'!$F$5:$F$3004,"""")&lt;&gt;""""),ROWS(H$5:H1168)),"""")"),"")</f>
        <v/>
      </c>
    </row>
    <row r="1169" ht="15.75" customHeight="1">
      <c r="A11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Helper'!$F$5:$F$3004,"""")&lt;&gt;""""),ROWS(A$5:A1169)),"""")"),"")</f>
        <v/>
      </c>
      <c r="B11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Helper'!$F$5:$F$3004,"""")&lt;&gt;""""),ROWS(B$5:B1169)),"""")"),"")</f>
        <v/>
      </c>
      <c r="C11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Helper'!$F$5:$F$3004,"""")&lt;&gt;""""),ROWS(C$5:C1169)),"""")"),"")</f>
        <v/>
      </c>
      <c r="D11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Helper'!$F$5:$F$3004,"""")&lt;&gt;""""),ROWS(D$5:D1169)),"""")"),"")</f>
        <v/>
      </c>
      <c r="E11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Helper'!$F$5:$F$3004,"""")&lt;&gt;""""),ROWS(E$5:E1169)),"""")"),"")</f>
        <v/>
      </c>
      <c r="F11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Helper'!$F$5:$F$3004,"""")&lt;&gt;""""),ROWS(F$5:F1169)),IF(AND(LEFT(x,5)=""Pag"&amp;"e "",ISERROR(SEARCH(""–"",x))),x&amp;""–""&amp;REGEXEXTRACT(x,""[0-9]+$""),x)),"""")"),"")</f>
        <v/>
      </c>
      <c r="G1169" s="163"/>
      <c r="H11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Helper'!$F$5:$F$3004,"""")&lt;&gt;""""),ROWS(H$5:H1169)),"""")"),"")</f>
        <v/>
      </c>
    </row>
    <row r="1170" ht="15.75" customHeight="1">
      <c r="A11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Helper'!$F$5:$F$3004,"""")&lt;&gt;""""),ROWS(A$5:A1170)),"""")"),"")</f>
        <v/>
      </c>
      <c r="B11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Helper'!$F$5:$F$3004,"""")&lt;&gt;""""),ROWS(B$5:B1170)),"""")"),"")</f>
        <v/>
      </c>
      <c r="C11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Helper'!$F$5:$F$3004,"""")&lt;&gt;""""),ROWS(C$5:C1170)),"""")"),"")</f>
        <v/>
      </c>
      <c r="D11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Helper'!$F$5:$F$3004,"""")&lt;&gt;""""),ROWS(D$5:D1170)),"""")"),"")</f>
        <v/>
      </c>
      <c r="E11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Helper'!$F$5:$F$3004,"""")&lt;&gt;""""),ROWS(E$5:E1170)),"""")"),"")</f>
        <v/>
      </c>
      <c r="F11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Helper'!$F$5:$F$3004,"""")&lt;&gt;""""),ROWS(F$5:F1170)),IF(AND(LEFT(x,5)=""Pag"&amp;"e "",ISERROR(SEARCH(""–"",x))),x&amp;""–""&amp;REGEXEXTRACT(x,""[0-9]+$""),x)),"""")"),"")</f>
        <v/>
      </c>
      <c r="G1170" s="163"/>
      <c r="H11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Helper'!$F$5:$F$3004,"""")&lt;&gt;""""),ROWS(H$5:H1170)),"""")"),"")</f>
        <v/>
      </c>
    </row>
    <row r="1171" ht="15.75" customHeight="1">
      <c r="A11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Helper'!$F$5:$F$3004,"""")&lt;&gt;""""),ROWS(A$5:A1171)),"""")"),"")</f>
        <v/>
      </c>
      <c r="B11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Helper'!$F$5:$F$3004,"""")&lt;&gt;""""),ROWS(B$5:B1171)),"""")"),"")</f>
        <v/>
      </c>
      <c r="C11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Helper'!$F$5:$F$3004,"""")&lt;&gt;""""),ROWS(C$5:C1171)),"""")"),"")</f>
        <v/>
      </c>
      <c r="D11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Helper'!$F$5:$F$3004,"""")&lt;&gt;""""),ROWS(D$5:D1171)),"""")"),"")</f>
        <v/>
      </c>
      <c r="E11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Helper'!$F$5:$F$3004,"""")&lt;&gt;""""),ROWS(E$5:E1171)),"""")"),"")</f>
        <v/>
      </c>
      <c r="F11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Helper'!$F$5:$F$3004,"""")&lt;&gt;""""),ROWS(F$5:F1171)),IF(AND(LEFT(x,5)=""Pag"&amp;"e "",ISERROR(SEARCH(""–"",x))),x&amp;""–""&amp;REGEXEXTRACT(x,""[0-9]+$""),x)),"""")"),"")</f>
        <v/>
      </c>
      <c r="G1171" s="163"/>
      <c r="H11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Helper'!$F$5:$F$3004,"""")&lt;&gt;""""),ROWS(H$5:H1171)),"""")"),"")</f>
        <v/>
      </c>
    </row>
    <row r="1172" ht="15.75" customHeight="1">
      <c r="A11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Helper'!$F$5:$F$3004,"""")&lt;&gt;""""),ROWS(A$5:A1172)),"""")"),"")</f>
        <v/>
      </c>
      <c r="B11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Helper'!$F$5:$F$3004,"""")&lt;&gt;""""),ROWS(B$5:B1172)),"""")"),"")</f>
        <v/>
      </c>
      <c r="C11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Helper'!$F$5:$F$3004,"""")&lt;&gt;""""),ROWS(C$5:C1172)),"""")"),"")</f>
        <v/>
      </c>
      <c r="D11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Helper'!$F$5:$F$3004,"""")&lt;&gt;""""),ROWS(D$5:D1172)),"""")"),"")</f>
        <v/>
      </c>
      <c r="E11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Helper'!$F$5:$F$3004,"""")&lt;&gt;""""),ROWS(E$5:E1172)),"""")"),"")</f>
        <v/>
      </c>
      <c r="F11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Helper'!$F$5:$F$3004,"""")&lt;&gt;""""),ROWS(F$5:F1172)),IF(AND(LEFT(x,5)=""Pag"&amp;"e "",ISERROR(SEARCH(""–"",x))),x&amp;""–""&amp;REGEXEXTRACT(x,""[0-9]+$""),x)),"""")"),"")</f>
        <v/>
      </c>
      <c r="G1172" s="163"/>
      <c r="H11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Helper'!$F$5:$F$3004,"""")&lt;&gt;""""),ROWS(H$5:H1172)),"""")"),"")</f>
        <v/>
      </c>
    </row>
    <row r="1173" ht="15.75" customHeight="1">
      <c r="A11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Helper'!$F$5:$F$3004,"""")&lt;&gt;""""),ROWS(A$5:A1173)),"""")"),"")</f>
        <v/>
      </c>
      <c r="B11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Helper'!$F$5:$F$3004,"""")&lt;&gt;""""),ROWS(B$5:B1173)),"""")"),"")</f>
        <v/>
      </c>
      <c r="C11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Helper'!$F$5:$F$3004,"""")&lt;&gt;""""),ROWS(C$5:C1173)),"""")"),"")</f>
        <v/>
      </c>
      <c r="D11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Helper'!$F$5:$F$3004,"""")&lt;&gt;""""),ROWS(D$5:D1173)),"""")"),"")</f>
        <v/>
      </c>
      <c r="E11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Helper'!$F$5:$F$3004,"""")&lt;&gt;""""),ROWS(E$5:E1173)),"""")"),"")</f>
        <v/>
      </c>
      <c r="F11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Helper'!$F$5:$F$3004,"""")&lt;&gt;""""),ROWS(F$5:F1173)),IF(AND(LEFT(x,5)=""Pag"&amp;"e "",ISERROR(SEARCH(""–"",x))),x&amp;""–""&amp;REGEXEXTRACT(x,""[0-9]+$""),x)),"""")"),"")</f>
        <v/>
      </c>
      <c r="G1173" s="163"/>
      <c r="H11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Helper'!$F$5:$F$3004,"""")&lt;&gt;""""),ROWS(H$5:H1173)),"""")"),"")</f>
        <v/>
      </c>
    </row>
    <row r="1174" ht="15.75" customHeight="1">
      <c r="A11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Helper'!$F$5:$F$3004,"""")&lt;&gt;""""),ROWS(A$5:A1174)),"""")"),"")</f>
        <v/>
      </c>
      <c r="B11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Helper'!$F$5:$F$3004,"""")&lt;&gt;""""),ROWS(B$5:B1174)),"""")"),"")</f>
        <v/>
      </c>
      <c r="C11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Helper'!$F$5:$F$3004,"""")&lt;&gt;""""),ROWS(C$5:C1174)),"""")"),"")</f>
        <v/>
      </c>
      <c r="D11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Helper'!$F$5:$F$3004,"""")&lt;&gt;""""),ROWS(D$5:D1174)),"""")"),"")</f>
        <v/>
      </c>
      <c r="E11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Helper'!$F$5:$F$3004,"""")&lt;&gt;""""),ROWS(E$5:E1174)),"""")"),"")</f>
        <v/>
      </c>
      <c r="F11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Helper'!$F$5:$F$3004,"""")&lt;&gt;""""),ROWS(F$5:F1174)),IF(AND(LEFT(x,5)=""Pag"&amp;"e "",ISERROR(SEARCH(""–"",x))),x&amp;""–""&amp;REGEXEXTRACT(x,""[0-9]+$""),x)),"""")"),"")</f>
        <v/>
      </c>
      <c r="G1174" s="163"/>
      <c r="H11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Helper'!$F$5:$F$3004,"""")&lt;&gt;""""),ROWS(H$5:H1174)),"""")"),"")</f>
        <v/>
      </c>
    </row>
    <row r="1175" ht="15.75" customHeight="1">
      <c r="A11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Helper'!$F$5:$F$3004,"""")&lt;&gt;""""),ROWS(A$5:A1175)),"""")"),"")</f>
        <v/>
      </c>
      <c r="B11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Helper'!$F$5:$F$3004,"""")&lt;&gt;""""),ROWS(B$5:B1175)),"""")"),"")</f>
        <v/>
      </c>
      <c r="C11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Helper'!$F$5:$F$3004,"""")&lt;&gt;""""),ROWS(C$5:C1175)),"""")"),"")</f>
        <v/>
      </c>
      <c r="D11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Helper'!$F$5:$F$3004,"""")&lt;&gt;""""),ROWS(D$5:D1175)),"""")"),"")</f>
        <v/>
      </c>
      <c r="E11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Helper'!$F$5:$F$3004,"""")&lt;&gt;""""),ROWS(E$5:E1175)),"""")"),"")</f>
        <v/>
      </c>
      <c r="F11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Helper'!$F$5:$F$3004,"""")&lt;&gt;""""),ROWS(F$5:F1175)),IF(AND(LEFT(x,5)=""Pag"&amp;"e "",ISERROR(SEARCH(""–"",x))),x&amp;""–""&amp;REGEXEXTRACT(x,""[0-9]+$""),x)),"""")"),"")</f>
        <v/>
      </c>
      <c r="G1175" s="163"/>
      <c r="H11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Helper'!$F$5:$F$3004,"""")&lt;&gt;""""),ROWS(H$5:H1175)),"""")"),"")</f>
        <v/>
      </c>
    </row>
    <row r="1176" ht="15.75" customHeight="1">
      <c r="A11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Helper'!$F$5:$F$3004,"""")&lt;&gt;""""),ROWS(A$5:A1176)),"""")"),"")</f>
        <v/>
      </c>
      <c r="B11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Helper'!$F$5:$F$3004,"""")&lt;&gt;""""),ROWS(B$5:B1176)),"""")"),"")</f>
        <v/>
      </c>
      <c r="C11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Helper'!$F$5:$F$3004,"""")&lt;&gt;""""),ROWS(C$5:C1176)),"""")"),"")</f>
        <v/>
      </c>
      <c r="D11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Helper'!$F$5:$F$3004,"""")&lt;&gt;""""),ROWS(D$5:D1176)),"""")"),"")</f>
        <v/>
      </c>
      <c r="E11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Helper'!$F$5:$F$3004,"""")&lt;&gt;""""),ROWS(E$5:E1176)),"""")"),"")</f>
        <v/>
      </c>
      <c r="F11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Helper'!$F$5:$F$3004,"""")&lt;&gt;""""),ROWS(F$5:F1176)),IF(AND(LEFT(x,5)=""Pag"&amp;"e "",ISERROR(SEARCH(""–"",x))),x&amp;""–""&amp;REGEXEXTRACT(x,""[0-9]+$""),x)),"""")"),"")</f>
        <v/>
      </c>
      <c r="G1176" s="163"/>
      <c r="H11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Helper'!$F$5:$F$3004,"""")&lt;&gt;""""),ROWS(H$5:H1176)),"""")"),"")</f>
        <v/>
      </c>
    </row>
    <row r="1177" ht="15.75" customHeight="1">
      <c r="A11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Helper'!$F$5:$F$3004,"""")&lt;&gt;""""),ROWS(A$5:A1177)),"""")"),"")</f>
        <v/>
      </c>
      <c r="B11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Helper'!$F$5:$F$3004,"""")&lt;&gt;""""),ROWS(B$5:B1177)),"""")"),"")</f>
        <v/>
      </c>
      <c r="C11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Helper'!$F$5:$F$3004,"""")&lt;&gt;""""),ROWS(C$5:C1177)),"""")"),"")</f>
        <v/>
      </c>
      <c r="D11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Helper'!$F$5:$F$3004,"""")&lt;&gt;""""),ROWS(D$5:D1177)),"""")"),"")</f>
        <v/>
      </c>
      <c r="E11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Helper'!$F$5:$F$3004,"""")&lt;&gt;""""),ROWS(E$5:E1177)),"""")"),"")</f>
        <v/>
      </c>
      <c r="F11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Helper'!$F$5:$F$3004,"""")&lt;&gt;""""),ROWS(F$5:F1177)),IF(AND(LEFT(x,5)=""Pag"&amp;"e "",ISERROR(SEARCH(""–"",x))),x&amp;""–""&amp;REGEXEXTRACT(x,""[0-9]+$""),x)),"""")"),"")</f>
        <v/>
      </c>
      <c r="G1177" s="163"/>
      <c r="H11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Helper'!$F$5:$F$3004,"""")&lt;&gt;""""),ROWS(H$5:H1177)),"""")"),"")</f>
        <v/>
      </c>
    </row>
    <row r="1178" ht="15.75" customHeight="1">
      <c r="A11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Helper'!$F$5:$F$3004,"""")&lt;&gt;""""),ROWS(A$5:A1178)),"""")"),"")</f>
        <v/>
      </c>
      <c r="B11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Helper'!$F$5:$F$3004,"""")&lt;&gt;""""),ROWS(B$5:B1178)),"""")"),"")</f>
        <v/>
      </c>
      <c r="C11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Helper'!$F$5:$F$3004,"""")&lt;&gt;""""),ROWS(C$5:C1178)),"""")"),"")</f>
        <v/>
      </c>
      <c r="D11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Helper'!$F$5:$F$3004,"""")&lt;&gt;""""),ROWS(D$5:D1178)),"""")"),"")</f>
        <v/>
      </c>
      <c r="E11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Helper'!$F$5:$F$3004,"""")&lt;&gt;""""),ROWS(E$5:E1178)),"""")"),"")</f>
        <v/>
      </c>
      <c r="F11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Helper'!$F$5:$F$3004,"""")&lt;&gt;""""),ROWS(F$5:F1178)),IF(AND(LEFT(x,5)=""Pag"&amp;"e "",ISERROR(SEARCH(""–"",x))),x&amp;""–""&amp;REGEXEXTRACT(x,""[0-9]+$""),x)),"""")"),"")</f>
        <v/>
      </c>
      <c r="G1178" s="163"/>
      <c r="H11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Helper'!$F$5:$F$3004,"""")&lt;&gt;""""),ROWS(H$5:H1178)),"""")"),"")</f>
        <v/>
      </c>
    </row>
    <row r="1179" ht="15.75" customHeight="1">
      <c r="A11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Helper'!$F$5:$F$3004,"""")&lt;&gt;""""),ROWS(A$5:A1179)),"""")"),"")</f>
        <v/>
      </c>
      <c r="B11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Helper'!$F$5:$F$3004,"""")&lt;&gt;""""),ROWS(B$5:B1179)),"""")"),"")</f>
        <v/>
      </c>
      <c r="C11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Helper'!$F$5:$F$3004,"""")&lt;&gt;""""),ROWS(C$5:C1179)),"""")"),"")</f>
        <v/>
      </c>
      <c r="D11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Helper'!$F$5:$F$3004,"""")&lt;&gt;""""),ROWS(D$5:D1179)),"""")"),"")</f>
        <v/>
      </c>
      <c r="E11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Helper'!$F$5:$F$3004,"""")&lt;&gt;""""),ROWS(E$5:E1179)),"""")"),"")</f>
        <v/>
      </c>
      <c r="F11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Helper'!$F$5:$F$3004,"""")&lt;&gt;""""),ROWS(F$5:F1179)),IF(AND(LEFT(x,5)=""Pag"&amp;"e "",ISERROR(SEARCH(""–"",x))),x&amp;""–""&amp;REGEXEXTRACT(x,""[0-9]+$""),x)),"""")"),"")</f>
        <v/>
      </c>
      <c r="G1179" s="163"/>
      <c r="H11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Helper'!$F$5:$F$3004,"""")&lt;&gt;""""),ROWS(H$5:H1179)),"""")"),"")</f>
        <v/>
      </c>
    </row>
    <row r="1180" ht="15.75" customHeight="1">
      <c r="A11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Helper'!$F$5:$F$3004,"""")&lt;&gt;""""),ROWS(A$5:A1180)),"""")"),"")</f>
        <v/>
      </c>
      <c r="B11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Helper'!$F$5:$F$3004,"""")&lt;&gt;""""),ROWS(B$5:B1180)),"""")"),"")</f>
        <v/>
      </c>
      <c r="C11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Helper'!$F$5:$F$3004,"""")&lt;&gt;""""),ROWS(C$5:C1180)),"""")"),"")</f>
        <v/>
      </c>
      <c r="D11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Helper'!$F$5:$F$3004,"""")&lt;&gt;""""),ROWS(D$5:D1180)),"""")"),"")</f>
        <v/>
      </c>
      <c r="E11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Helper'!$F$5:$F$3004,"""")&lt;&gt;""""),ROWS(E$5:E1180)),"""")"),"")</f>
        <v/>
      </c>
      <c r="F11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Helper'!$F$5:$F$3004,"""")&lt;&gt;""""),ROWS(F$5:F1180)),IF(AND(LEFT(x,5)=""Pag"&amp;"e "",ISERROR(SEARCH(""–"",x))),x&amp;""–""&amp;REGEXEXTRACT(x,""[0-9]+$""),x)),"""")"),"")</f>
        <v/>
      </c>
      <c r="G1180" s="163"/>
      <c r="H11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Helper'!$F$5:$F$3004,"""")&lt;&gt;""""),ROWS(H$5:H1180)),"""")"),"")</f>
        <v/>
      </c>
    </row>
    <row r="1181" ht="15.75" customHeight="1">
      <c r="A11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Helper'!$F$5:$F$3004,"""")&lt;&gt;""""),ROWS(A$5:A1181)),"""")"),"")</f>
        <v/>
      </c>
      <c r="B11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Helper'!$F$5:$F$3004,"""")&lt;&gt;""""),ROWS(B$5:B1181)),"""")"),"")</f>
        <v/>
      </c>
      <c r="C11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Helper'!$F$5:$F$3004,"""")&lt;&gt;""""),ROWS(C$5:C1181)),"""")"),"")</f>
        <v/>
      </c>
      <c r="D11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Helper'!$F$5:$F$3004,"""")&lt;&gt;""""),ROWS(D$5:D1181)),"""")"),"")</f>
        <v/>
      </c>
      <c r="E11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Helper'!$F$5:$F$3004,"""")&lt;&gt;""""),ROWS(E$5:E1181)),"""")"),"")</f>
        <v/>
      </c>
      <c r="F11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Helper'!$F$5:$F$3004,"""")&lt;&gt;""""),ROWS(F$5:F1181)),IF(AND(LEFT(x,5)=""Pag"&amp;"e "",ISERROR(SEARCH(""–"",x))),x&amp;""–""&amp;REGEXEXTRACT(x,""[0-9]+$""),x)),"""")"),"")</f>
        <v/>
      </c>
      <c r="G1181" s="163"/>
      <c r="H11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Helper'!$F$5:$F$3004,"""")&lt;&gt;""""),ROWS(H$5:H1181)),"""")"),"")</f>
        <v/>
      </c>
    </row>
    <row r="1182" ht="15.75" customHeight="1">
      <c r="A11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Helper'!$F$5:$F$3004,"""")&lt;&gt;""""),ROWS(A$5:A1182)),"""")"),"")</f>
        <v/>
      </c>
      <c r="B11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Helper'!$F$5:$F$3004,"""")&lt;&gt;""""),ROWS(B$5:B1182)),"""")"),"")</f>
        <v/>
      </c>
      <c r="C11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Helper'!$F$5:$F$3004,"""")&lt;&gt;""""),ROWS(C$5:C1182)),"""")"),"")</f>
        <v/>
      </c>
      <c r="D11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Helper'!$F$5:$F$3004,"""")&lt;&gt;""""),ROWS(D$5:D1182)),"""")"),"")</f>
        <v/>
      </c>
      <c r="E11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Helper'!$F$5:$F$3004,"""")&lt;&gt;""""),ROWS(E$5:E1182)),"""")"),"")</f>
        <v/>
      </c>
      <c r="F11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Helper'!$F$5:$F$3004,"""")&lt;&gt;""""),ROWS(F$5:F1182)),IF(AND(LEFT(x,5)=""Pag"&amp;"e "",ISERROR(SEARCH(""–"",x))),x&amp;""–""&amp;REGEXEXTRACT(x,""[0-9]+$""),x)),"""")"),"")</f>
        <v/>
      </c>
      <c r="G1182" s="163"/>
      <c r="H11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Helper'!$F$5:$F$3004,"""")&lt;&gt;""""),ROWS(H$5:H1182)),"""")"),"")</f>
        <v/>
      </c>
    </row>
    <row r="1183" ht="15.75" customHeight="1">
      <c r="A11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Helper'!$F$5:$F$3004,"""")&lt;&gt;""""),ROWS(A$5:A1183)),"""")"),"")</f>
        <v/>
      </c>
      <c r="B11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Helper'!$F$5:$F$3004,"""")&lt;&gt;""""),ROWS(B$5:B1183)),"""")"),"")</f>
        <v/>
      </c>
      <c r="C11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Helper'!$F$5:$F$3004,"""")&lt;&gt;""""),ROWS(C$5:C1183)),"""")"),"")</f>
        <v/>
      </c>
      <c r="D11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Helper'!$F$5:$F$3004,"""")&lt;&gt;""""),ROWS(D$5:D1183)),"""")"),"")</f>
        <v/>
      </c>
      <c r="E11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Helper'!$F$5:$F$3004,"""")&lt;&gt;""""),ROWS(E$5:E1183)),"""")"),"")</f>
        <v/>
      </c>
      <c r="F11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Helper'!$F$5:$F$3004,"""")&lt;&gt;""""),ROWS(F$5:F1183)),IF(AND(LEFT(x,5)=""Pag"&amp;"e "",ISERROR(SEARCH(""–"",x))),x&amp;""–""&amp;REGEXEXTRACT(x,""[0-9]+$""),x)),"""")"),"")</f>
        <v/>
      </c>
      <c r="G1183" s="163"/>
      <c r="H11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Helper'!$F$5:$F$3004,"""")&lt;&gt;""""),ROWS(H$5:H1183)),"""")"),"")</f>
        <v/>
      </c>
    </row>
    <row r="1184" ht="15.75" customHeight="1">
      <c r="A11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Helper'!$F$5:$F$3004,"""")&lt;&gt;""""),ROWS(A$5:A1184)),"""")"),"")</f>
        <v/>
      </c>
      <c r="B11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Helper'!$F$5:$F$3004,"""")&lt;&gt;""""),ROWS(B$5:B1184)),"""")"),"")</f>
        <v/>
      </c>
      <c r="C11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Helper'!$F$5:$F$3004,"""")&lt;&gt;""""),ROWS(C$5:C1184)),"""")"),"")</f>
        <v/>
      </c>
      <c r="D11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Helper'!$F$5:$F$3004,"""")&lt;&gt;""""),ROWS(D$5:D1184)),"""")"),"")</f>
        <v/>
      </c>
      <c r="E11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Helper'!$F$5:$F$3004,"""")&lt;&gt;""""),ROWS(E$5:E1184)),"""")"),"")</f>
        <v/>
      </c>
      <c r="F11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Helper'!$F$5:$F$3004,"""")&lt;&gt;""""),ROWS(F$5:F1184)),IF(AND(LEFT(x,5)=""Pag"&amp;"e "",ISERROR(SEARCH(""–"",x))),x&amp;""–""&amp;REGEXEXTRACT(x,""[0-9]+$""),x)),"""")"),"")</f>
        <v/>
      </c>
      <c r="G1184" s="163"/>
      <c r="H11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Helper'!$F$5:$F$3004,"""")&lt;&gt;""""),ROWS(H$5:H1184)),"""")"),"")</f>
        <v/>
      </c>
    </row>
    <row r="1185" ht="15.75" customHeight="1">
      <c r="A11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Helper'!$F$5:$F$3004,"""")&lt;&gt;""""),ROWS(A$5:A1185)),"""")"),"")</f>
        <v/>
      </c>
      <c r="B11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Helper'!$F$5:$F$3004,"""")&lt;&gt;""""),ROWS(B$5:B1185)),"""")"),"")</f>
        <v/>
      </c>
      <c r="C11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Helper'!$F$5:$F$3004,"""")&lt;&gt;""""),ROWS(C$5:C1185)),"""")"),"")</f>
        <v/>
      </c>
      <c r="D11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Helper'!$F$5:$F$3004,"""")&lt;&gt;""""),ROWS(D$5:D1185)),"""")"),"")</f>
        <v/>
      </c>
      <c r="E11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Helper'!$F$5:$F$3004,"""")&lt;&gt;""""),ROWS(E$5:E1185)),"""")"),"")</f>
        <v/>
      </c>
      <c r="F11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Helper'!$F$5:$F$3004,"""")&lt;&gt;""""),ROWS(F$5:F1185)),IF(AND(LEFT(x,5)=""Pag"&amp;"e "",ISERROR(SEARCH(""–"",x))),x&amp;""–""&amp;REGEXEXTRACT(x,""[0-9]+$""),x)),"""")"),"")</f>
        <v/>
      </c>
      <c r="G1185" s="163"/>
      <c r="H11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Helper'!$F$5:$F$3004,"""")&lt;&gt;""""),ROWS(H$5:H1185)),"""")"),"")</f>
        <v/>
      </c>
    </row>
    <row r="1186" ht="15.75" customHeight="1">
      <c r="A11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Helper'!$F$5:$F$3004,"""")&lt;&gt;""""),ROWS(A$5:A1186)),"""")"),"")</f>
        <v/>
      </c>
      <c r="B11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Helper'!$F$5:$F$3004,"""")&lt;&gt;""""),ROWS(B$5:B1186)),"""")"),"")</f>
        <v/>
      </c>
      <c r="C11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Helper'!$F$5:$F$3004,"""")&lt;&gt;""""),ROWS(C$5:C1186)),"""")"),"")</f>
        <v/>
      </c>
      <c r="D11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Helper'!$F$5:$F$3004,"""")&lt;&gt;""""),ROWS(D$5:D1186)),"""")"),"")</f>
        <v/>
      </c>
      <c r="E11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Helper'!$F$5:$F$3004,"""")&lt;&gt;""""),ROWS(E$5:E1186)),"""")"),"")</f>
        <v/>
      </c>
      <c r="F11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Helper'!$F$5:$F$3004,"""")&lt;&gt;""""),ROWS(F$5:F1186)),IF(AND(LEFT(x,5)=""Pag"&amp;"e "",ISERROR(SEARCH(""–"",x))),x&amp;""–""&amp;REGEXEXTRACT(x,""[0-9]+$""),x)),"""")"),"")</f>
        <v/>
      </c>
      <c r="G1186" s="163"/>
      <c r="H11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Helper'!$F$5:$F$3004,"""")&lt;&gt;""""),ROWS(H$5:H1186)),"""")"),"")</f>
        <v/>
      </c>
    </row>
    <row r="1187" ht="15.75" customHeight="1">
      <c r="A11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Helper'!$F$5:$F$3004,"""")&lt;&gt;""""),ROWS(A$5:A1187)),"""")"),"")</f>
        <v/>
      </c>
      <c r="B11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Helper'!$F$5:$F$3004,"""")&lt;&gt;""""),ROWS(B$5:B1187)),"""")"),"")</f>
        <v/>
      </c>
      <c r="C11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Helper'!$F$5:$F$3004,"""")&lt;&gt;""""),ROWS(C$5:C1187)),"""")"),"")</f>
        <v/>
      </c>
      <c r="D11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Helper'!$F$5:$F$3004,"""")&lt;&gt;""""),ROWS(D$5:D1187)),"""")"),"")</f>
        <v/>
      </c>
      <c r="E11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Helper'!$F$5:$F$3004,"""")&lt;&gt;""""),ROWS(E$5:E1187)),"""")"),"")</f>
        <v/>
      </c>
      <c r="F11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Helper'!$F$5:$F$3004,"""")&lt;&gt;""""),ROWS(F$5:F1187)),IF(AND(LEFT(x,5)=""Pag"&amp;"e "",ISERROR(SEARCH(""–"",x))),x&amp;""–""&amp;REGEXEXTRACT(x,""[0-9]+$""),x)),"""")"),"")</f>
        <v/>
      </c>
      <c r="G1187" s="163"/>
      <c r="H11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Helper'!$F$5:$F$3004,"""")&lt;&gt;""""),ROWS(H$5:H1187)),"""")"),"")</f>
        <v/>
      </c>
    </row>
    <row r="1188" ht="15.75" customHeight="1">
      <c r="A11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Helper'!$F$5:$F$3004,"""")&lt;&gt;""""),ROWS(A$5:A1188)),"""")"),"")</f>
        <v/>
      </c>
      <c r="B11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Helper'!$F$5:$F$3004,"""")&lt;&gt;""""),ROWS(B$5:B1188)),"""")"),"")</f>
        <v/>
      </c>
      <c r="C11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Helper'!$F$5:$F$3004,"""")&lt;&gt;""""),ROWS(C$5:C1188)),"""")"),"")</f>
        <v/>
      </c>
      <c r="D11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Helper'!$F$5:$F$3004,"""")&lt;&gt;""""),ROWS(D$5:D1188)),"""")"),"")</f>
        <v/>
      </c>
      <c r="E11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Helper'!$F$5:$F$3004,"""")&lt;&gt;""""),ROWS(E$5:E1188)),"""")"),"")</f>
        <v/>
      </c>
      <c r="F11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Helper'!$F$5:$F$3004,"""")&lt;&gt;""""),ROWS(F$5:F1188)),IF(AND(LEFT(x,5)=""Pag"&amp;"e "",ISERROR(SEARCH(""–"",x))),x&amp;""–""&amp;REGEXEXTRACT(x,""[0-9]+$""),x)),"""")"),"")</f>
        <v/>
      </c>
      <c r="G1188" s="163"/>
      <c r="H11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Helper'!$F$5:$F$3004,"""")&lt;&gt;""""),ROWS(H$5:H1188)),"""")"),"")</f>
        <v/>
      </c>
    </row>
    <row r="1189" ht="15.75" customHeight="1">
      <c r="A11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Helper'!$F$5:$F$3004,"""")&lt;&gt;""""),ROWS(A$5:A1189)),"""")"),"")</f>
        <v/>
      </c>
      <c r="B11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Helper'!$F$5:$F$3004,"""")&lt;&gt;""""),ROWS(B$5:B1189)),"""")"),"")</f>
        <v/>
      </c>
      <c r="C11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Helper'!$F$5:$F$3004,"""")&lt;&gt;""""),ROWS(C$5:C1189)),"""")"),"")</f>
        <v/>
      </c>
      <c r="D11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Helper'!$F$5:$F$3004,"""")&lt;&gt;""""),ROWS(D$5:D1189)),"""")"),"")</f>
        <v/>
      </c>
      <c r="E11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Helper'!$F$5:$F$3004,"""")&lt;&gt;""""),ROWS(E$5:E1189)),"""")"),"")</f>
        <v/>
      </c>
      <c r="F11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Helper'!$F$5:$F$3004,"""")&lt;&gt;""""),ROWS(F$5:F1189)),IF(AND(LEFT(x,5)=""Pag"&amp;"e "",ISERROR(SEARCH(""–"",x))),x&amp;""–""&amp;REGEXEXTRACT(x,""[0-9]+$""),x)),"""")"),"")</f>
        <v/>
      </c>
      <c r="G1189" s="163"/>
      <c r="H11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Helper'!$F$5:$F$3004,"""")&lt;&gt;""""),ROWS(H$5:H1189)),"""")"),"")</f>
        <v/>
      </c>
    </row>
    <row r="1190" ht="15.75" customHeight="1">
      <c r="A11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Helper'!$F$5:$F$3004,"""")&lt;&gt;""""),ROWS(A$5:A1190)),"""")"),"")</f>
        <v/>
      </c>
      <c r="B11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Helper'!$F$5:$F$3004,"""")&lt;&gt;""""),ROWS(B$5:B1190)),"""")"),"")</f>
        <v/>
      </c>
      <c r="C11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Helper'!$F$5:$F$3004,"""")&lt;&gt;""""),ROWS(C$5:C1190)),"""")"),"")</f>
        <v/>
      </c>
      <c r="D11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Helper'!$F$5:$F$3004,"""")&lt;&gt;""""),ROWS(D$5:D1190)),"""")"),"")</f>
        <v/>
      </c>
      <c r="E11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Helper'!$F$5:$F$3004,"""")&lt;&gt;""""),ROWS(E$5:E1190)),"""")"),"")</f>
        <v/>
      </c>
      <c r="F11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Helper'!$F$5:$F$3004,"""")&lt;&gt;""""),ROWS(F$5:F1190)),IF(AND(LEFT(x,5)=""Pag"&amp;"e "",ISERROR(SEARCH(""–"",x))),x&amp;""–""&amp;REGEXEXTRACT(x,""[0-9]+$""),x)),"""")"),"")</f>
        <v/>
      </c>
      <c r="G1190" s="163"/>
      <c r="H11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Helper'!$F$5:$F$3004,"""")&lt;&gt;""""),ROWS(H$5:H1190)),"""")"),"")</f>
        <v/>
      </c>
    </row>
    <row r="1191" ht="15.75" customHeight="1">
      <c r="A11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Helper'!$F$5:$F$3004,"""")&lt;&gt;""""),ROWS(A$5:A1191)),"""")"),"")</f>
        <v/>
      </c>
      <c r="B11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Helper'!$F$5:$F$3004,"""")&lt;&gt;""""),ROWS(B$5:B1191)),"""")"),"")</f>
        <v/>
      </c>
      <c r="C11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Helper'!$F$5:$F$3004,"""")&lt;&gt;""""),ROWS(C$5:C1191)),"""")"),"")</f>
        <v/>
      </c>
      <c r="D11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Helper'!$F$5:$F$3004,"""")&lt;&gt;""""),ROWS(D$5:D1191)),"""")"),"")</f>
        <v/>
      </c>
      <c r="E11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Helper'!$F$5:$F$3004,"""")&lt;&gt;""""),ROWS(E$5:E1191)),"""")"),"")</f>
        <v/>
      </c>
      <c r="F11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Helper'!$F$5:$F$3004,"""")&lt;&gt;""""),ROWS(F$5:F1191)),IF(AND(LEFT(x,5)=""Pag"&amp;"e "",ISERROR(SEARCH(""–"",x))),x&amp;""–""&amp;REGEXEXTRACT(x,""[0-9]+$""),x)),"""")"),"")</f>
        <v/>
      </c>
      <c r="G1191" s="163"/>
      <c r="H11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Helper'!$F$5:$F$3004,"""")&lt;&gt;""""),ROWS(H$5:H1191)),"""")"),"")</f>
        <v/>
      </c>
    </row>
    <row r="1192" ht="15.75" customHeight="1">
      <c r="A11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Helper'!$F$5:$F$3004,"""")&lt;&gt;""""),ROWS(A$5:A1192)),"""")"),"")</f>
        <v/>
      </c>
      <c r="B11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Helper'!$F$5:$F$3004,"""")&lt;&gt;""""),ROWS(B$5:B1192)),"""")"),"")</f>
        <v/>
      </c>
      <c r="C11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Helper'!$F$5:$F$3004,"""")&lt;&gt;""""),ROWS(C$5:C1192)),"""")"),"")</f>
        <v/>
      </c>
      <c r="D11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Helper'!$F$5:$F$3004,"""")&lt;&gt;""""),ROWS(D$5:D1192)),"""")"),"")</f>
        <v/>
      </c>
      <c r="E11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Helper'!$F$5:$F$3004,"""")&lt;&gt;""""),ROWS(E$5:E1192)),"""")"),"")</f>
        <v/>
      </c>
      <c r="F11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Helper'!$F$5:$F$3004,"""")&lt;&gt;""""),ROWS(F$5:F1192)),IF(AND(LEFT(x,5)=""Pag"&amp;"e "",ISERROR(SEARCH(""–"",x))),x&amp;""–""&amp;REGEXEXTRACT(x,""[0-9]+$""),x)),"""")"),"")</f>
        <v/>
      </c>
      <c r="G1192" s="163"/>
      <c r="H11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Helper'!$F$5:$F$3004,"""")&lt;&gt;""""),ROWS(H$5:H1192)),"""")"),"")</f>
        <v/>
      </c>
    </row>
    <row r="1193" ht="15.75" customHeight="1">
      <c r="A11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Helper'!$F$5:$F$3004,"""")&lt;&gt;""""),ROWS(A$5:A1193)),"""")"),"")</f>
        <v/>
      </c>
      <c r="B11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Helper'!$F$5:$F$3004,"""")&lt;&gt;""""),ROWS(B$5:B1193)),"""")"),"")</f>
        <v/>
      </c>
      <c r="C11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Helper'!$F$5:$F$3004,"""")&lt;&gt;""""),ROWS(C$5:C1193)),"""")"),"")</f>
        <v/>
      </c>
      <c r="D11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Helper'!$F$5:$F$3004,"""")&lt;&gt;""""),ROWS(D$5:D1193)),"""")"),"")</f>
        <v/>
      </c>
      <c r="E11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Helper'!$F$5:$F$3004,"""")&lt;&gt;""""),ROWS(E$5:E1193)),"""")"),"")</f>
        <v/>
      </c>
      <c r="F11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Helper'!$F$5:$F$3004,"""")&lt;&gt;""""),ROWS(F$5:F1193)),IF(AND(LEFT(x,5)=""Pag"&amp;"e "",ISERROR(SEARCH(""–"",x))),x&amp;""–""&amp;REGEXEXTRACT(x,""[0-9]+$""),x)),"""")"),"")</f>
        <v/>
      </c>
      <c r="G1193" s="163"/>
      <c r="H11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Helper'!$F$5:$F$3004,"""")&lt;&gt;""""),ROWS(H$5:H1193)),"""")"),"")</f>
        <v/>
      </c>
    </row>
    <row r="1194" ht="15.75" customHeight="1">
      <c r="A11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Helper'!$F$5:$F$3004,"""")&lt;&gt;""""),ROWS(A$5:A1194)),"""")"),"")</f>
        <v/>
      </c>
      <c r="B11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Helper'!$F$5:$F$3004,"""")&lt;&gt;""""),ROWS(B$5:B1194)),"""")"),"")</f>
        <v/>
      </c>
      <c r="C11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Helper'!$F$5:$F$3004,"""")&lt;&gt;""""),ROWS(C$5:C1194)),"""")"),"")</f>
        <v/>
      </c>
      <c r="D11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Helper'!$F$5:$F$3004,"""")&lt;&gt;""""),ROWS(D$5:D1194)),"""")"),"")</f>
        <v/>
      </c>
      <c r="E11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Helper'!$F$5:$F$3004,"""")&lt;&gt;""""),ROWS(E$5:E1194)),"""")"),"")</f>
        <v/>
      </c>
      <c r="F11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Helper'!$F$5:$F$3004,"""")&lt;&gt;""""),ROWS(F$5:F1194)),IF(AND(LEFT(x,5)=""Pag"&amp;"e "",ISERROR(SEARCH(""–"",x))),x&amp;""–""&amp;REGEXEXTRACT(x,""[0-9]+$""),x)),"""")"),"")</f>
        <v/>
      </c>
      <c r="G1194" s="163"/>
      <c r="H11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Helper'!$F$5:$F$3004,"""")&lt;&gt;""""),ROWS(H$5:H1194)),"""")"),"")</f>
        <v/>
      </c>
    </row>
    <row r="1195" ht="15.75" customHeight="1">
      <c r="A11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Helper'!$F$5:$F$3004,"""")&lt;&gt;""""),ROWS(A$5:A1195)),"""")"),"")</f>
        <v/>
      </c>
      <c r="B11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Helper'!$F$5:$F$3004,"""")&lt;&gt;""""),ROWS(B$5:B1195)),"""")"),"")</f>
        <v/>
      </c>
      <c r="C11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Helper'!$F$5:$F$3004,"""")&lt;&gt;""""),ROWS(C$5:C1195)),"""")"),"")</f>
        <v/>
      </c>
      <c r="D11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Helper'!$F$5:$F$3004,"""")&lt;&gt;""""),ROWS(D$5:D1195)),"""")"),"")</f>
        <v/>
      </c>
      <c r="E11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Helper'!$F$5:$F$3004,"""")&lt;&gt;""""),ROWS(E$5:E1195)),"""")"),"")</f>
        <v/>
      </c>
      <c r="F11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Helper'!$F$5:$F$3004,"""")&lt;&gt;""""),ROWS(F$5:F1195)),IF(AND(LEFT(x,5)=""Pag"&amp;"e "",ISERROR(SEARCH(""–"",x))),x&amp;""–""&amp;REGEXEXTRACT(x,""[0-9]+$""),x)),"""")"),"")</f>
        <v/>
      </c>
      <c r="G1195" s="163"/>
      <c r="H11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Helper'!$F$5:$F$3004,"""")&lt;&gt;""""),ROWS(H$5:H1195)),"""")"),"")</f>
        <v/>
      </c>
    </row>
    <row r="1196" ht="15.75" customHeight="1">
      <c r="A11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Helper'!$F$5:$F$3004,"""")&lt;&gt;""""),ROWS(A$5:A1196)),"""")"),"")</f>
        <v/>
      </c>
      <c r="B11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Helper'!$F$5:$F$3004,"""")&lt;&gt;""""),ROWS(B$5:B1196)),"""")"),"")</f>
        <v/>
      </c>
      <c r="C11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Helper'!$F$5:$F$3004,"""")&lt;&gt;""""),ROWS(C$5:C1196)),"""")"),"")</f>
        <v/>
      </c>
      <c r="D11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Helper'!$F$5:$F$3004,"""")&lt;&gt;""""),ROWS(D$5:D1196)),"""")"),"")</f>
        <v/>
      </c>
      <c r="E11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Helper'!$F$5:$F$3004,"""")&lt;&gt;""""),ROWS(E$5:E1196)),"""")"),"")</f>
        <v/>
      </c>
      <c r="F11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Helper'!$F$5:$F$3004,"""")&lt;&gt;""""),ROWS(F$5:F1196)),IF(AND(LEFT(x,5)=""Pag"&amp;"e "",ISERROR(SEARCH(""–"",x))),x&amp;""–""&amp;REGEXEXTRACT(x,""[0-9]+$""),x)),"""")"),"")</f>
        <v/>
      </c>
      <c r="G1196" s="163"/>
      <c r="H11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Helper'!$F$5:$F$3004,"""")&lt;&gt;""""),ROWS(H$5:H1196)),"""")"),"")</f>
        <v/>
      </c>
    </row>
    <row r="1197" ht="15.75" customHeight="1">
      <c r="A11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Helper'!$F$5:$F$3004,"""")&lt;&gt;""""),ROWS(A$5:A1197)),"""")"),"")</f>
        <v/>
      </c>
      <c r="B11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Helper'!$F$5:$F$3004,"""")&lt;&gt;""""),ROWS(B$5:B1197)),"""")"),"")</f>
        <v/>
      </c>
      <c r="C11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Helper'!$F$5:$F$3004,"""")&lt;&gt;""""),ROWS(C$5:C1197)),"""")"),"")</f>
        <v/>
      </c>
      <c r="D11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Helper'!$F$5:$F$3004,"""")&lt;&gt;""""),ROWS(D$5:D1197)),"""")"),"")</f>
        <v/>
      </c>
      <c r="E11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Helper'!$F$5:$F$3004,"""")&lt;&gt;""""),ROWS(E$5:E1197)),"""")"),"")</f>
        <v/>
      </c>
      <c r="F11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Helper'!$F$5:$F$3004,"""")&lt;&gt;""""),ROWS(F$5:F1197)),IF(AND(LEFT(x,5)=""Pag"&amp;"e "",ISERROR(SEARCH(""–"",x))),x&amp;""–""&amp;REGEXEXTRACT(x,""[0-9]+$""),x)),"""")"),"")</f>
        <v/>
      </c>
      <c r="G1197" s="163"/>
      <c r="H11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Helper'!$F$5:$F$3004,"""")&lt;&gt;""""),ROWS(H$5:H1197)),"""")"),"")</f>
        <v/>
      </c>
    </row>
    <row r="1198" ht="15.75" customHeight="1">
      <c r="A11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Helper'!$F$5:$F$3004,"""")&lt;&gt;""""),ROWS(A$5:A1198)),"""")"),"")</f>
        <v/>
      </c>
      <c r="B11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Helper'!$F$5:$F$3004,"""")&lt;&gt;""""),ROWS(B$5:B1198)),"""")"),"")</f>
        <v/>
      </c>
      <c r="C11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Helper'!$F$5:$F$3004,"""")&lt;&gt;""""),ROWS(C$5:C1198)),"""")"),"")</f>
        <v/>
      </c>
      <c r="D11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Helper'!$F$5:$F$3004,"""")&lt;&gt;""""),ROWS(D$5:D1198)),"""")"),"")</f>
        <v/>
      </c>
      <c r="E11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Helper'!$F$5:$F$3004,"""")&lt;&gt;""""),ROWS(E$5:E1198)),"""")"),"")</f>
        <v/>
      </c>
      <c r="F11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Helper'!$F$5:$F$3004,"""")&lt;&gt;""""),ROWS(F$5:F1198)),IF(AND(LEFT(x,5)=""Pag"&amp;"e "",ISERROR(SEARCH(""–"",x))),x&amp;""–""&amp;REGEXEXTRACT(x,""[0-9]+$""),x)),"""")"),"")</f>
        <v/>
      </c>
      <c r="G1198" s="163"/>
      <c r="H11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Helper'!$F$5:$F$3004,"""")&lt;&gt;""""),ROWS(H$5:H1198)),"""")"),"")</f>
        <v/>
      </c>
    </row>
    <row r="1199" ht="15.75" customHeight="1">
      <c r="A11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Helper'!$F$5:$F$3004,"""")&lt;&gt;""""),ROWS(A$5:A1199)),"""")"),"")</f>
        <v/>
      </c>
      <c r="B11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Helper'!$F$5:$F$3004,"""")&lt;&gt;""""),ROWS(B$5:B1199)),"""")"),"")</f>
        <v/>
      </c>
      <c r="C11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Helper'!$F$5:$F$3004,"""")&lt;&gt;""""),ROWS(C$5:C1199)),"""")"),"")</f>
        <v/>
      </c>
      <c r="D11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Helper'!$F$5:$F$3004,"""")&lt;&gt;""""),ROWS(D$5:D1199)),"""")"),"")</f>
        <v/>
      </c>
      <c r="E11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Helper'!$F$5:$F$3004,"""")&lt;&gt;""""),ROWS(E$5:E1199)),"""")"),"")</f>
        <v/>
      </c>
      <c r="F11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Helper'!$F$5:$F$3004,"""")&lt;&gt;""""),ROWS(F$5:F1199)),IF(AND(LEFT(x,5)=""Pag"&amp;"e "",ISERROR(SEARCH(""–"",x))),x&amp;""–""&amp;REGEXEXTRACT(x,""[0-9]+$""),x)),"""")"),"")</f>
        <v/>
      </c>
      <c r="G1199" s="163"/>
      <c r="H11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Helper'!$F$5:$F$3004,"""")&lt;&gt;""""),ROWS(H$5:H1199)),"""")"),"")</f>
        <v/>
      </c>
    </row>
    <row r="1200" ht="15.75" customHeight="1">
      <c r="A12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Helper'!$F$5:$F$3004,"""")&lt;&gt;""""),ROWS(A$5:A1200)),"""")"),"")</f>
        <v/>
      </c>
      <c r="B12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Helper'!$F$5:$F$3004,"""")&lt;&gt;""""),ROWS(B$5:B1200)),"""")"),"")</f>
        <v/>
      </c>
      <c r="C12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Helper'!$F$5:$F$3004,"""")&lt;&gt;""""),ROWS(C$5:C1200)),"""")"),"")</f>
        <v/>
      </c>
      <c r="D12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Helper'!$F$5:$F$3004,"""")&lt;&gt;""""),ROWS(D$5:D1200)),"""")"),"")</f>
        <v/>
      </c>
      <c r="E12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Helper'!$F$5:$F$3004,"""")&lt;&gt;""""),ROWS(E$5:E1200)),"""")"),"")</f>
        <v/>
      </c>
      <c r="F12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Helper'!$F$5:$F$3004,"""")&lt;&gt;""""),ROWS(F$5:F1200)),IF(AND(LEFT(x,5)=""Pag"&amp;"e "",ISERROR(SEARCH(""–"",x))),x&amp;""–""&amp;REGEXEXTRACT(x,""[0-9]+$""),x)),"""")"),"")</f>
        <v/>
      </c>
      <c r="G1200" s="163"/>
      <c r="H12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Helper'!$F$5:$F$3004,"""")&lt;&gt;""""),ROWS(H$5:H1200)),"""")"),"")</f>
        <v/>
      </c>
    </row>
    <row r="1201" ht="15.75" customHeight="1">
      <c r="A12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Helper'!$F$5:$F$3004,"""")&lt;&gt;""""),ROWS(A$5:A1201)),"""")"),"")</f>
        <v/>
      </c>
      <c r="B12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Helper'!$F$5:$F$3004,"""")&lt;&gt;""""),ROWS(B$5:B1201)),"""")"),"")</f>
        <v/>
      </c>
      <c r="C12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Helper'!$F$5:$F$3004,"""")&lt;&gt;""""),ROWS(C$5:C1201)),"""")"),"")</f>
        <v/>
      </c>
      <c r="D12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Helper'!$F$5:$F$3004,"""")&lt;&gt;""""),ROWS(D$5:D1201)),"""")"),"")</f>
        <v/>
      </c>
      <c r="E12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Helper'!$F$5:$F$3004,"""")&lt;&gt;""""),ROWS(E$5:E1201)),"""")"),"")</f>
        <v/>
      </c>
      <c r="F12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Helper'!$F$5:$F$3004,"""")&lt;&gt;""""),ROWS(F$5:F1201)),IF(AND(LEFT(x,5)=""Pag"&amp;"e "",ISERROR(SEARCH(""–"",x))),x&amp;""–""&amp;REGEXEXTRACT(x,""[0-9]+$""),x)),"""")"),"")</f>
        <v/>
      </c>
      <c r="G1201" s="163"/>
      <c r="H12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Helper'!$F$5:$F$3004,"""")&lt;&gt;""""),ROWS(H$5:H1201)),"""")"),"")</f>
        <v/>
      </c>
    </row>
    <row r="1202" ht="15.75" customHeight="1">
      <c r="A12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Helper'!$F$5:$F$3004,"""")&lt;&gt;""""),ROWS(A$5:A1202)),"""")"),"")</f>
        <v/>
      </c>
      <c r="B12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Helper'!$F$5:$F$3004,"""")&lt;&gt;""""),ROWS(B$5:B1202)),"""")"),"")</f>
        <v/>
      </c>
      <c r="C12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Helper'!$F$5:$F$3004,"""")&lt;&gt;""""),ROWS(C$5:C1202)),"""")"),"")</f>
        <v/>
      </c>
      <c r="D12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Helper'!$F$5:$F$3004,"""")&lt;&gt;""""),ROWS(D$5:D1202)),"""")"),"")</f>
        <v/>
      </c>
      <c r="E12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Helper'!$F$5:$F$3004,"""")&lt;&gt;""""),ROWS(E$5:E1202)),"""")"),"")</f>
        <v/>
      </c>
      <c r="F12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Helper'!$F$5:$F$3004,"""")&lt;&gt;""""),ROWS(F$5:F1202)),IF(AND(LEFT(x,5)=""Pag"&amp;"e "",ISERROR(SEARCH(""–"",x))),x&amp;""–""&amp;REGEXEXTRACT(x,""[0-9]+$""),x)),"""")"),"")</f>
        <v/>
      </c>
      <c r="G1202" s="163"/>
      <c r="H12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Helper'!$F$5:$F$3004,"""")&lt;&gt;""""),ROWS(H$5:H1202)),"""")"),"")</f>
        <v/>
      </c>
    </row>
    <row r="1203" ht="15.75" customHeight="1">
      <c r="A12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Helper'!$F$5:$F$3004,"""")&lt;&gt;""""),ROWS(A$5:A1203)),"""")"),"")</f>
        <v/>
      </c>
      <c r="B12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Helper'!$F$5:$F$3004,"""")&lt;&gt;""""),ROWS(B$5:B1203)),"""")"),"")</f>
        <v/>
      </c>
      <c r="C12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Helper'!$F$5:$F$3004,"""")&lt;&gt;""""),ROWS(C$5:C1203)),"""")"),"")</f>
        <v/>
      </c>
      <c r="D12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Helper'!$F$5:$F$3004,"""")&lt;&gt;""""),ROWS(D$5:D1203)),"""")"),"")</f>
        <v/>
      </c>
      <c r="E12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Helper'!$F$5:$F$3004,"""")&lt;&gt;""""),ROWS(E$5:E1203)),"""")"),"")</f>
        <v/>
      </c>
      <c r="F12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Helper'!$F$5:$F$3004,"""")&lt;&gt;""""),ROWS(F$5:F1203)),IF(AND(LEFT(x,5)=""Pag"&amp;"e "",ISERROR(SEARCH(""–"",x))),x&amp;""–""&amp;REGEXEXTRACT(x,""[0-9]+$""),x)),"""")"),"")</f>
        <v/>
      </c>
      <c r="G1203" s="163"/>
      <c r="H12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Helper'!$F$5:$F$3004,"""")&lt;&gt;""""),ROWS(H$5:H1203)),"""")"),"")</f>
        <v/>
      </c>
    </row>
    <row r="1204" ht="15.75" customHeight="1">
      <c r="A12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Helper'!$F$5:$F$3004,"""")&lt;&gt;""""),ROWS(A$5:A1204)),"""")"),"")</f>
        <v/>
      </c>
      <c r="B12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Helper'!$F$5:$F$3004,"""")&lt;&gt;""""),ROWS(B$5:B1204)),"""")"),"")</f>
        <v/>
      </c>
      <c r="C12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Helper'!$F$5:$F$3004,"""")&lt;&gt;""""),ROWS(C$5:C1204)),"""")"),"")</f>
        <v/>
      </c>
      <c r="D12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Helper'!$F$5:$F$3004,"""")&lt;&gt;""""),ROWS(D$5:D1204)),"""")"),"")</f>
        <v/>
      </c>
      <c r="E12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Helper'!$F$5:$F$3004,"""")&lt;&gt;""""),ROWS(E$5:E1204)),"""")"),"")</f>
        <v/>
      </c>
      <c r="F12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Helper'!$F$5:$F$3004,"""")&lt;&gt;""""),ROWS(F$5:F1204)),IF(AND(LEFT(x,5)=""Pag"&amp;"e "",ISERROR(SEARCH(""–"",x))),x&amp;""–""&amp;REGEXEXTRACT(x,""[0-9]+$""),x)),"""")"),"")</f>
        <v/>
      </c>
      <c r="G1204" s="163"/>
      <c r="H12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Helper'!$F$5:$F$3004,"""")&lt;&gt;""""),ROWS(H$5:H1204)),"""")"),"")</f>
        <v/>
      </c>
    </row>
    <row r="1205" ht="15.75" customHeight="1">
      <c r="A12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Helper'!$F$5:$F$3004,"""")&lt;&gt;""""),ROWS(A$5:A1205)),"""")"),"")</f>
        <v/>
      </c>
      <c r="B12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Helper'!$F$5:$F$3004,"""")&lt;&gt;""""),ROWS(B$5:B1205)),"""")"),"")</f>
        <v/>
      </c>
      <c r="C12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Helper'!$F$5:$F$3004,"""")&lt;&gt;""""),ROWS(C$5:C1205)),"""")"),"")</f>
        <v/>
      </c>
      <c r="D12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Helper'!$F$5:$F$3004,"""")&lt;&gt;""""),ROWS(D$5:D1205)),"""")"),"")</f>
        <v/>
      </c>
      <c r="E12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Helper'!$F$5:$F$3004,"""")&lt;&gt;""""),ROWS(E$5:E1205)),"""")"),"")</f>
        <v/>
      </c>
      <c r="F12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Helper'!$F$5:$F$3004,"""")&lt;&gt;""""),ROWS(F$5:F1205)),IF(AND(LEFT(x,5)=""Pag"&amp;"e "",ISERROR(SEARCH(""–"",x))),x&amp;""–""&amp;REGEXEXTRACT(x,""[0-9]+$""),x)),"""")"),"")</f>
        <v/>
      </c>
      <c r="G1205" s="163"/>
      <c r="H12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Helper'!$F$5:$F$3004,"""")&lt;&gt;""""),ROWS(H$5:H1205)),"""")"),"")</f>
        <v/>
      </c>
    </row>
    <row r="1206" ht="15.75" customHeight="1">
      <c r="A12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Helper'!$F$5:$F$3004,"""")&lt;&gt;""""),ROWS(A$5:A1206)),"""")"),"")</f>
        <v/>
      </c>
      <c r="B12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Helper'!$F$5:$F$3004,"""")&lt;&gt;""""),ROWS(B$5:B1206)),"""")"),"")</f>
        <v/>
      </c>
      <c r="C12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Helper'!$F$5:$F$3004,"""")&lt;&gt;""""),ROWS(C$5:C1206)),"""")"),"")</f>
        <v/>
      </c>
      <c r="D12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Helper'!$F$5:$F$3004,"""")&lt;&gt;""""),ROWS(D$5:D1206)),"""")"),"")</f>
        <v/>
      </c>
      <c r="E12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Helper'!$F$5:$F$3004,"""")&lt;&gt;""""),ROWS(E$5:E1206)),"""")"),"")</f>
        <v/>
      </c>
      <c r="F12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Helper'!$F$5:$F$3004,"""")&lt;&gt;""""),ROWS(F$5:F1206)),IF(AND(LEFT(x,5)=""Pag"&amp;"e "",ISERROR(SEARCH(""–"",x))),x&amp;""–""&amp;REGEXEXTRACT(x,""[0-9]+$""),x)),"""")"),"")</f>
        <v/>
      </c>
      <c r="G1206" s="163"/>
      <c r="H12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Helper'!$F$5:$F$3004,"""")&lt;&gt;""""),ROWS(H$5:H1206)),"""")"),"")</f>
        <v/>
      </c>
    </row>
    <row r="1207" ht="15.75" customHeight="1">
      <c r="A12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Helper'!$F$5:$F$3004,"""")&lt;&gt;""""),ROWS(A$5:A1207)),"""")"),"")</f>
        <v/>
      </c>
      <c r="B12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Helper'!$F$5:$F$3004,"""")&lt;&gt;""""),ROWS(B$5:B1207)),"""")"),"")</f>
        <v/>
      </c>
      <c r="C12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Helper'!$F$5:$F$3004,"""")&lt;&gt;""""),ROWS(C$5:C1207)),"""")"),"")</f>
        <v/>
      </c>
      <c r="D12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Helper'!$F$5:$F$3004,"""")&lt;&gt;""""),ROWS(D$5:D1207)),"""")"),"")</f>
        <v/>
      </c>
      <c r="E12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Helper'!$F$5:$F$3004,"""")&lt;&gt;""""),ROWS(E$5:E1207)),"""")"),"")</f>
        <v/>
      </c>
      <c r="F12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Helper'!$F$5:$F$3004,"""")&lt;&gt;""""),ROWS(F$5:F1207)),IF(AND(LEFT(x,5)=""Pag"&amp;"e "",ISERROR(SEARCH(""–"",x))),x&amp;""–""&amp;REGEXEXTRACT(x,""[0-9]+$""),x)),"""")"),"")</f>
        <v/>
      </c>
      <c r="G1207" s="163"/>
      <c r="H12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Helper'!$F$5:$F$3004,"""")&lt;&gt;""""),ROWS(H$5:H1207)),"""")"),"")</f>
        <v/>
      </c>
    </row>
    <row r="1208" ht="15.75" customHeight="1">
      <c r="A12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Helper'!$F$5:$F$3004,"""")&lt;&gt;""""),ROWS(A$5:A1208)),"""")"),"")</f>
        <v/>
      </c>
      <c r="B12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Helper'!$F$5:$F$3004,"""")&lt;&gt;""""),ROWS(B$5:B1208)),"""")"),"")</f>
        <v/>
      </c>
      <c r="C12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Helper'!$F$5:$F$3004,"""")&lt;&gt;""""),ROWS(C$5:C1208)),"""")"),"")</f>
        <v/>
      </c>
      <c r="D12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Helper'!$F$5:$F$3004,"""")&lt;&gt;""""),ROWS(D$5:D1208)),"""")"),"")</f>
        <v/>
      </c>
      <c r="E12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Helper'!$F$5:$F$3004,"""")&lt;&gt;""""),ROWS(E$5:E1208)),"""")"),"")</f>
        <v/>
      </c>
      <c r="F12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Helper'!$F$5:$F$3004,"""")&lt;&gt;""""),ROWS(F$5:F1208)),IF(AND(LEFT(x,5)=""Pag"&amp;"e "",ISERROR(SEARCH(""–"",x))),x&amp;""–""&amp;REGEXEXTRACT(x,""[0-9]+$""),x)),"""")"),"")</f>
        <v/>
      </c>
      <c r="G1208" s="163"/>
      <c r="H12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Helper'!$F$5:$F$3004,"""")&lt;&gt;""""),ROWS(H$5:H1208)),"""")"),"")</f>
        <v/>
      </c>
    </row>
    <row r="1209" ht="15.75" customHeight="1">
      <c r="A12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Helper'!$F$5:$F$3004,"""")&lt;&gt;""""),ROWS(A$5:A1209)),"""")"),"")</f>
        <v/>
      </c>
      <c r="B12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Helper'!$F$5:$F$3004,"""")&lt;&gt;""""),ROWS(B$5:B1209)),"""")"),"")</f>
        <v/>
      </c>
      <c r="C12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Helper'!$F$5:$F$3004,"""")&lt;&gt;""""),ROWS(C$5:C1209)),"""")"),"")</f>
        <v/>
      </c>
      <c r="D12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Helper'!$F$5:$F$3004,"""")&lt;&gt;""""),ROWS(D$5:D1209)),"""")"),"")</f>
        <v/>
      </c>
      <c r="E12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Helper'!$F$5:$F$3004,"""")&lt;&gt;""""),ROWS(E$5:E1209)),"""")"),"")</f>
        <v/>
      </c>
      <c r="F12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Helper'!$F$5:$F$3004,"""")&lt;&gt;""""),ROWS(F$5:F1209)),IF(AND(LEFT(x,5)=""Pag"&amp;"e "",ISERROR(SEARCH(""–"",x))),x&amp;""–""&amp;REGEXEXTRACT(x,""[0-9]+$""),x)),"""")"),"")</f>
        <v/>
      </c>
      <c r="G1209" s="163"/>
      <c r="H12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Helper'!$F$5:$F$3004,"""")&lt;&gt;""""),ROWS(H$5:H1209)),"""")"),"")</f>
        <v/>
      </c>
    </row>
    <row r="1210" ht="15.75" customHeight="1">
      <c r="A12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Helper'!$F$5:$F$3004,"""")&lt;&gt;""""),ROWS(A$5:A1210)),"""")"),"")</f>
        <v/>
      </c>
      <c r="B12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Helper'!$F$5:$F$3004,"""")&lt;&gt;""""),ROWS(B$5:B1210)),"""")"),"")</f>
        <v/>
      </c>
      <c r="C12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Helper'!$F$5:$F$3004,"""")&lt;&gt;""""),ROWS(C$5:C1210)),"""")"),"")</f>
        <v/>
      </c>
      <c r="D12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Helper'!$F$5:$F$3004,"""")&lt;&gt;""""),ROWS(D$5:D1210)),"""")"),"")</f>
        <v/>
      </c>
      <c r="E12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Helper'!$F$5:$F$3004,"""")&lt;&gt;""""),ROWS(E$5:E1210)),"""")"),"")</f>
        <v/>
      </c>
      <c r="F12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Helper'!$F$5:$F$3004,"""")&lt;&gt;""""),ROWS(F$5:F1210)),IF(AND(LEFT(x,5)=""Pag"&amp;"e "",ISERROR(SEARCH(""–"",x))),x&amp;""–""&amp;REGEXEXTRACT(x,""[0-9]+$""),x)),"""")"),"")</f>
        <v/>
      </c>
      <c r="G1210" s="163"/>
      <c r="H12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Helper'!$F$5:$F$3004,"""")&lt;&gt;""""),ROWS(H$5:H1210)),"""")"),"")</f>
        <v/>
      </c>
    </row>
    <row r="1211" ht="15.75" customHeight="1">
      <c r="A12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Helper'!$F$5:$F$3004,"""")&lt;&gt;""""),ROWS(A$5:A1211)),"""")"),"")</f>
        <v/>
      </c>
      <c r="B12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Helper'!$F$5:$F$3004,"""")&lt;&gt;""""),ROWS(B$5:B1211)),"""")"),"")</f>
        <v/>
      </c>
      <c r="C12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Helper'!$F$5:$F$3004,"""")&lt;&gt;""""),ROWS(C$5:C1211)),"""")"),"")</f>
        <v/>
      </c>
      <c r="D12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Helper'!$F$5:$F$3004,"""")&lt;&gt;""""),ROWS(D$5:D1211)),"""")"),"")</f>
        <v/>
      </c>
      <c r="E12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Helper'!$F$5:$F$3004,"""")&lt;&gt;""""),ROWS(E$5:E1211)),"""")"),"")</f>
        <v/>
      </c>
      <c r="F12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Helper'!$F$5:$F$3004,"""")&lt;&gt;""""),ROWS(F$5:F1211)),IF(AND(LEFT(x,5)=""Pag"&amp;"e "",ISERROR(SEARCH(""–"",x))),x&amp;""–""&amp;REGEXEXTRACT(x,""[0-9]+$""),x)),"""")"),"")</f>
        <v/>
      </c>
      <c r="G1211" s="163"/>
      <c r="H12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Helper'!$F$5:$F$3004,"""")&lt;&gt;""""),ROWS(H$5:H1211)),"""")"),"")</f>
        <v/>
      </c>
    </row>
    <row r="1212" ht="15.75" customHeight="1">
      <c r="A12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Helper'!$F$5:$F$3004,"""")&lt;&gt;""""),ROWS(A$5:A1212)),"""")"),"")</f>
        <v/>
      </c>
      <c r="B12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Helper'!$F$5:$F$3004,"""")&lt;&gt;""""),ROWS(B$5:B1212)),"""")"),"")</f>
        <v/>
      </c>
      <c r="C12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Helper'!$F$5:$F$3004,"""")&lt;&gt;""""),ROWS(C$5:C1212)),"""")"),"")</f>
        <v/>
      </c>
      <c r="D12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Helper'!$F$5:$F$3004,"""")&lt;&gt;""""),ROWS(D$5:D1212)),"""")"),"")</f>
        <v/>
      </c>
      <c r="E12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Helper'!$F$5:$F$3004,"""")&lt;&gt;""""),ROWS(E$5:E1212)),"""")"),"")</f>
        <v/>
      </c>
      <c r="F12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Helper'!$F$5:$F$3004,"""")&lt;&gt;""""),ROWS(F$5:F1212)),IF(AND(LEFT(x,5)=""Pag"&amp;"e "",ISERROR(SEARCH(""–"",x))),x&amp;""–""&amp;REGEXEXTRACT(x,""[0-9]+$""),x)),"""")"),"")</f>
        <v/>
      </c>
      <c r="G1212" s="163"/>
      <c r="H12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Helper'!$F$5:$F$3004,"""")&lt;&gt;""""),ROWS(H$5:H1212)),"""")"),"")</f>
        <v/>
      </c>
    </row>
    <row r="1213" ht="15.75" customHeight="1">
      <c r="A12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Helper'!$F$5:$F$3004,"""")&lt;&gt;""""),ROWS(A$5:A1213)),"""")"),"")</f>
        <v/>
      </c>
      <c r="B12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Helper'!$F$5:$F$3004,"""")&lt;&gt;""""),ROWS(B$5:B1213)),"""")"),"")</f>
        <v/>
      </c>
      <c r="C12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Helper'!$F$5:$F$3004,"""")&lt;&gt;""""),ROWS(C$5:C1213)),"""")"),"")</f>
        <v/>
      </c>
      <c r="D12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Helper'!$F$5:$F$3004,"""")&lt;&gt;""""),ROWS(D$5:D1213)),"""")"),"")</f>
        <v/>
      </c>
      <c r="E12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Helper'!$F$5:$F$3004,"""")&lt;&gt;""""),ROWS(E$5:E1213)),"""")"),"")</f>
        <v/>
      </c>
      <c r="F12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Helper'!$F$5:$F$3004,"""")&lt;&gt;""""),ROWS(F$5:F1213)),IF(AND(LEFT(x,5)=""Pag"&amp;"e "",ISERROR(SEARCH(""–"",x))),x&amp;""–""&amp;REGEXEXTRACT(x,""[0-9]+$""),x)),"""")"),"")</f>
        <v/>
      </c>
      <c r="G1213" s="163"/>
      <c r="H12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Helper'!$F$5:$F$3004,"""")&lt;&gt;""""),ROWS(H$5:H1213)),"""")"),"")</f>
        <v/>
      </c>
    </row>
    <row r="1214" ht="15.75" customHeight="1">
      <c r="A12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Helper'!$F$5:$F$3004,"""")&lt;&gt;""""),ROWS(A$5:A1214)),"""")"),"")</f>
        <v/>
      </c>
      <c r="B12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Helper'!$F$5:$F$3004,"""")&lt;&gt;""""),ROWS(B$5:B1214)),"""")"),"")</f>
        <v/>
      </c>
      <c r="C12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Helper'!$F$5:$F$3004,"""")&lt;&gt;""""),ROWS(C$5:C1214)),"""")"),"")</f>
        <v/>
      </c>
      <c r="D12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Helper'!$F$5:$F$3004,"""")&lt;&gt;""""),ROWS(D$5:D1214)),"""")"),"")</f>
        <v/>
      </c>
      <c r="E12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Helper'!$F$5:$F$3004,"""")&lt;&gt;""""),ROWS(E$5:E1214)),"""")"),"")</f>
        <v/>
      </c>
      <c r="F12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Helper'!$F$5:$F$3004,"""")&lt;&gt;""""),ROWS(F$5:F1214)),IF(AND(LEFT(x,5)=""Pag"&amp;"e "",ISERROR(SEARCH(""–"",x))),x&amp;""–""&amp;REGEXEXTRACT(x,""[0-9]+$""),x)),"""")"),"")</f>
        <v/>
      </c>
      <c r="G1214" s="163"/>
      <c r="H12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Helper'!$F$5:$F$3004,"""")&lt;&gt;""""),ROWS(H$5:H1214)),"""")"),"")</f>
        <v/>
      </c>
    </row>
    <row r="1215" ht="15.75" customHeight="1">
      <c r="A12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Helper'!$F$5:$F$3004,"""")&lt;&gt;""""),ROWS(A$5:A1215)),"""")"),"")</f>
        <v/>
      </c>
      <c r="B12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Helper'!$F$5:$F$3004,"""")&lt;&gt;""""),ROWS(B$5:B1215)),"""")"),"")</f>
        <v/>
      </c>
      <c r="C12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Helper'!$F$5:$F$3004,"""")&lt;&gt;""""),ROWS(C$5:C1215)),"""")"),"")</f>
        <v/>
      </c>
      <c r="D12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Helper'!$F$5:$F$3004,"""")&lt;&gt;""""),ROWS(D$5:D1215)),"""")"),"")</f>
        <v/>
      </c>
      <c r="E12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Helper'!$F$5:$F$3004,"""")&lt;&gt;""""),ROWS(E$5:E1215)),"""")"),"")</f>
        <v/>
      </c>
      <c r="F12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Helper'!$F$5:$F$3004,"""")&lt;&gt;""""),ROWS(F$5:F1215)),IF(AND(LEFT(x,5)=""Pag"&amp;"e "",ISERROR(SEARCH(""–"",x))),x&amp;""–""&amp;REGEXEXTRACT(x,""[0-9]+$""),x)),"""")"),"")</f>
        <v/>
      </c>
      <c r="G1215" s="163"/>
      <c r="H12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Helper'!$F$5:$F$3004,"""")&lt;&gt;""""),ROWS(H$5:H1215)),"""")"),"")</f>
        <v/>
      </c>
    </row>
    <row r="1216" ht="15.75" customHeight="1">
      <c r="A12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Helper'!$F$5:$F$3004,"""")&lt;&gt;""""),ROWS(A$5:A1216)),"""")"),"")</f>
        <v/>
      </c>
      <c r="B12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Helper'!$F$5:$F$3004,"""")&lt;&gt;""""),ROWS(B$5:B1216)),"""")"),"")</f>
        <v/>
      </c>
      <c r="C12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Helper'!$F$5:$F$3004,"""")&lt;&gt;""""),ROWS(C$5:C1216)),"""")"),"")</f>
        <v/>
      </c>
      <c r="D12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Helper'!$F$5:$F$3004,"""")&lt;&gt;""""),ROWS(D$5:D1216)),"""")"),"")</f>
        <v/>
      </c>
      <c r="E12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Helper'!$F$5:$F$3004,"""")&lt;&gt;""""),ROWS(E$5:E1216)),"""")"),"")</f>
        <v/>
      </c>
      <c r="F12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Helper'!$F$5:$F$3004,"""")&lt;&gt;""""),ROWS(F$5:F1216)),IF(AND(LEFT(x,5)=""Pag"&amp;"e "",ISERROR(SEARCH(""–"",x))),x&amp;""–""&amp;REGEXEXTRACT(x,""[0-9]+$""),x)),"""")"),"")</f>
        <v/>
      </c>
      <c r="G1216" s="163"/>
      <c r="H12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Helper'!$F$5:$F$3004,"""")&lt;&gt;""""),ROWS(H$5:H1216)),"""")"),"")</f>
        <v/>
      </c>
    </row>
    <row r="1217" ht="15.75" customHeight="1">
      <c r="A12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Helper'!$F$5:$F$3004,"""")&lt;&gt;""""),ROWS(A$5:A1217)),"""")"),"")</f>
        <v/>
      </c>
      <c r="B12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Helper'!$F$5:$F$3004,"""")&lt;&gt;""""),ROWS(B$5:B1217)),"""")"),"")</f>
        <v/>
      </c>
      <c r="C12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Helper'!$F$5:$F$3004,"""")&lt;&gt;""""),ROWS(C$5:C1217)),"""")"),"")</f>
        <v/>
      </c>
      <c r="D12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Helper'!$F$5:$F$3004,"""")&lt;&gt;""""),ROWS(D$5:D1217)),"""")"),"")</f>
        <v/>
      </c>
      <c r="E12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Helper'!$F$5:$F$3004,"""")&lt;&gt;""""),ROWS(E$5:E1217)),"""")"),"")</f>
        <v/>
      </c>
      <c r="F12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Helper'!$F$5:$F$3004,"""")&lt;&gt;""""),ROWS(F$5:F1217)),IF(AND(LEFT(x,5)=""Pag"&amp;"e "",ISERROR(SEARCH(""–"",x))),x&amp;""–""&amp;REGEXEXTRACT(x,""[0-9]+$""),x)),"""")"),"")</f>
        <v/>
      </c>
      <c r="G1217" s="163"/>
      <c r="H12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Helper'!$F$5:$F$3004,"""")&lt;&gt;""""),ROWS(H$5:H1217)),"""")"),"")</f>
        <v/>
      </c>
    </row>
    <row r="1218" ht="15.75" customHeight="1">
      <c r="A12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Helper'!$F$5:$F$3004,"""")&lt;&gt;""""),ROWS(A$5:A1218)),"""")"),"")</f>
        <v/>
      </c>
      <c r="B12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Helper'!$F$5:$F$3004,"""")&lt;&gt;""""),ROWS(B$5:B1218)),"""")"),"")</f>
        <v/>
      </c>
      <c r="C12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Helper'!$F$5:$F$3004,"""")&lt;&gt;""""),ROWS(C$5:C1218)),"""")"),"")</f>
        <v/>
      </c>
      <c r="D12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Helper'!$F$5:$F$3004,"""")&lt;&gt;""""),ROWS(D$5:D1218)),"""")"),"")</f>
        <v/>
      </c>
      <c r="E12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Helper'!$F$5:$F$3004,"""")&lt;&gt;""""),ROWS(E$5:E1218)),"""")"),"")</f>
        <v/>
      </c>
      <c r="F12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Helper'!$F$5:$F$3004,"""")&lt;&gt;""""),ROWS(F$5:F1218)),IF(AND(LEFT(x,5)=""Pag"&amp;"e "",ISERROR(SEARCH(""–"",x))),x&amp;""–""&amp;REGEXEXTRACT(x,""[0-9]+$""),x)),"""")"),"")</f>
        <v/>
      </c>
      <c r="G1218" s="163"/>
      <c r="H12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Helper'!$F$5:$F$3004,"""")&lt;&gt;""""),ROWS(H$5:H1218)),"""")"),"")</f>
        <v/>
      </c>
    </row>
    <row r="1219" ht="15.75" customHeight="1">
      <c r="A12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Helper'!$F$5:$F$3004,"""")&lt;&gt;""""),ROWS(A$5:A1219)),"""")"),"")</f>
        <v/>
      </c>
      <c r="B12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Helper'!$F$5:$F$3004,"""")&lt;&gt;""""),ROWS(B$5:B1219)),"""")"),"")</f>
        <v/>
      </c>
      <c r="C12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Helper'!$F$5:$F$3004,"""")&lt;&gt;""""),ROWS(C$5:C1219)),"""")"),"")</f>
        <v/>
      </c>
      <c r="D12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Helper'!$F$5:$F$3004,"""")&lt;&gt;""""),ROWS(D$5:D1219)),"""")"),"")</f>
        <v/>
      </c>
      <c r="E12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Helper'!$F$5:$F$3004,"""")&lt;&gt;""""),ROWS(E$5:E1219)),"""")"),"")</f>
        <v/>
      </c>
      <c r="F12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Helper'!$F$5:$F$3004,"""")&lt;&gt;""""),ROWS(F$5:F1219)),IF(AND(LEFT(x,5)=""Pag"&amp;"e "",ISERROR(SEARCH(""–"",x))),x&amp;""–""&amp;REGEXEXTRACT(x,""[0-9]+$""),x)),"""")"),"")</f>
        <v/>
      </c>
      <c r="G1219" s="163"/>
      <c r="H12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Helper'!$F$5:$F$3004,"""")&lt;&gt;""""),ROWS(H$5:H1219)),"""")"),"")</f>
        <v/>
      </c>
    </row>
    <row r="1220" ht="15.75" customHeight="1">
      <c r="A12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Helper'!$F$5:$F$3004,"""")&lt;&gt;""""),ROWS(A$5:A1220)),"""")"),"")</f>
        <v/>
      </c>
      <c r="B12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Helper'!$F$5:$F$3004,"""")&lt;&gt;""""),ROWS(B$5:B1220)),"""")"),"")</f>
        <v/>
      </c>
      <c r="C12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Helper'!$F$5:$F$3004,"""")&lt;&gt;""""),ROWS(C$5:C1220)),"""")"),"")</f>
        <v/>
      </c>
      <c r="D12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Helper'!$F$5:$F$3004,"""")&lt;&gt;""""),ROWS(D$5:D1220)),"""")"),"")</f>
        <v/>
      </c>
      <c r="E12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Helper'!$F$5:$F$3004,"""")&lt;&gt;""""),ROWS(E$5:E1220)),"""")"),"")</f>
        <v/>
      </c>
      <c r="F12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Helper'!$F$5:$F$3004,"""")&lt;&gt;""""),ROWS(F$5:F1220)),IF(AND(LEFT(x,5)=""Pag"&amp;"e "",ISERROR(SEARCH(""–"",x))),x&amp;""–""&amp;REGEXEXTRACT(x,""[0-9]+$""),x)),"""")"),"")</f>
        <v/>
      </c>
      <c r="G1220" s="163"/>
      <c r="H12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Helper'!$F$5:$F$3004,"""")&lt;&gt;""""),ROWS(H$5:H1220)),"""")"),"")</f>
        <v/>
      </c>
    </row>
    <row r="1221" ht="15.75" customHeight="1">
      <c r="A12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Helper'!$F$5:$F$3004,"""")&lt;&gt;""""),ROWS(A$5:A1221)),"""")"),"")</f>
        <v/>
      </c>
      <c r="B12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Helper'!$F$5:$F$3004,"""")&lt;&gt;""""),ROWS(B$5:B1221)),"""")"),"")</f>
        <v/>
      </c>
      <c r="C12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Helper'!$F$5:$F$3004,"""")&lt;&gt;""""),ROWS(C$5:C1221)),"""")"),"")</f>
        <v/>
      </c>
      <c r="D12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Helper'!$F$5:$F$3004,"""")&lt;&gt;""""),ROWS(D$5:D1221)),"""")"),"")</f>
        <v/>
      </c>
      <c r="E12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Helper'!$F$5:$F$3004,"""")&lt;&gt;""""),ROWS(E$5:E1221)),"""")"),"")</f>
        <v/>
      </c>
      <c r="F12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Helper'!$F$5:$F$3004,"""")&lt;&gt;""""),ROWS(F$5:F1221)),IF(AND(LEFT(x,5)=""Pag"&amp;"e "",ISERROR(SEARCH(""–"",x))),x&amp;""–""&amp;REGEXEXTRACT(x,""[0-9]+$""),x)),"""")"),"")</f>
        <v/>
      </c>
      <c r="G1221" s="163"/>
      <c r="H12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Helper'!$F$5:$F$3004,"""")&lt;&gt;""""),ROWS(H$5:H1221)),"""")"),"")</f>
        <v/>
      </c>
    </row>
    <row r="1222" ht="15.75" customHeight="1">
      <c r="A12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Helper'!$F$5:$F$3004,"""")&lt;&gt;""""),ROWS(A$5:A1222)),"""")"),"")</f>
        <v/>
      </c>
      <c r="B12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Helper'!$F$5:$F$3004,"""")&lt;&gt;""""),ROWS(B$5:B1222)),"""")"),"")</f>
        <v/>
      </c>
      <c r="C12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Helper'!$F$5:$F$3004,"""")&lt;&gt;""""),ROWS(C$5:C1222)),"""")"),"")</f>
        <v/>
      </c>
      <c r="D12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Helper'!$F$5:$F$3004,"""")&lt;&gt;""""),ROWS(D$5:D1222)),"""")"),"")</f>
        <v/>
      </c>
      <c r="E12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Helper'!$F$5:$F$3004,"""")&lt;&gt;""""),ROWS(E$5:E1222)),"""")"),"")</f>
        <v/>
      </c>
      <c r="F12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Helper'!$F$5:$F$3004,"""")&lt;&gt;""""),ROWS(F$5:F1222)),IF(AND(LEFT(x,5)=""Pag"&amp;"e "",ISERROR(SEARCH(""–"",x))),x&amp;""–""&amp;REGEXEXTRACT(x,""[0-9]+$""),x)),"""")"),"")</f>
        <v/>
      </c>
      <c r="G1222" s="163"/>
      <c r="H12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Helper'!$F$5:$F$3004,"""")&lt;&gt;""""),ROWS(H$5:H1222)),"""")"),"")</f>
        <v/>
      </c>
    </row>
    <row r="1223" ht="15.75" customHeight="1">
      <c r="A12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Helper'!$F$5:$F$3004,"""")&lt;&gt;""""),ROWS(A$5:A1223)),"""")"),"")</f>
        <v/>
      </c>
      <c r="B12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Helper'!$F$5:$F$3004,"""")&lt;&gt;""""),ROWS(B$5:B1223)),"""")"),"")</f>
        <v/>
      </c>
      <c r="C12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Helper'!$F$5:$F$3004,"""")&lt;&gt;""""),ROWS(C$5:C1223)),"""")"),"")</f>
        <v/>
      </c>
      <c r="D12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Helper'!$F$5:$F$3004,"""")&lt;&gt;""""),ROWS(D$5:D1223)),"""")"),"")</f>
        <v/>
      </c>
      <c r="E12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Helper'!$F$5:$F$3004,"""")&lt;&gt;""""),ROWS(E$5:E1223)),"""")"),"")</f>
        <v/>
      </c>
      <c r="F12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Helper'!$F$5:$F$3004,"""")&lt;&gt;""""),ROWS(F$5:F1223)),IF(AND(LEFT(x,5)=""Pag"&amp;"e "",ISERROR(SEARCH(""–"",x))),x&amp;""–""&amp;REGEXEXTRACT(x,""[0-9]+$""),x)),"""")"),"")</f>
        <v/>
      </c>
      <c r="G1223" s="163"/>
      <c r="H12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Helper'!$F$5:$F$3004,"""")&lt;&gt;""""),ROWS(H$5:H1223)),"""")"),"")</f>
        <v/>
      </c>
    </row>
    <row r="1224" ht="15.75" customHeight="1">
      <c r="A12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Helper'!$F$5:$F$3004,"""")&lt;&gt;""""),ROWS(A$5:A1224)),"""")"),"")</f>
        <v/>
      </c>
      <c r="B12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Helper'!$F$5:$F$3004,"""")&lt;&gt;""""),ROWS(B$5:B1224)),"""")"),"")</f>
        <v/>
      </c>
      <c r="C12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Helper'!$F$5:$F$3004,"""")&lt;&gt;""""),ROWS(C$5:C1224)),"""")"),"")</f>
        <v/>
      </c>
      <c r="D12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Helper'!$F$5:$F$3004,"""")&lt;&gt;""""),ROWS(D$5:D1224)),"""")"),"")</f>
        <v/>
      </c>
      <c r="E12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Helper'!$F$5:$F$3004,"""")&lt;&gt;""""),ROWS(E$5:E1224)),"""")"),"")</f>
        <v/>
      </c>
      <c r="F12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Helper'!$F$5:$F$3004,"""")&lt;&gt;""""),ROWS(F$5:F1224)),IF(AND(LEFT(x,5)=""Pag"&amp;"e "",ISERROR(SEARCH(""–"",x))),x&amp;""–""&amp;REGEXEXTRACT(x,""[0-9]+$""),x)),"""")"),"")</f>
        <v/>
      </c>
      <c r="G1224" s="163"/>
      <c r="H12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Helper'!$F$5:$F$3004,"""")&lt;&gt;""""),ROWS(H$5:H1224)),"""")"),"")</f>
        <v/>
      </c>
    </row>
    <row r="1225" ht="15.75" customHeight="1">
      <c r="A12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Helper'!$F$5:$F$3004,"""")&lt;&gt;""""),ROWS(A$5:A1225)),"""")"),"")</f>
        <v/>
      </c>
      <c r="B12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Helper'!$F$5:$F$3004,"""")&lt;&gt;""""),ROWS(B$5:B1225)),"""")"),"")</f>
        <v/>
      </c>
      <c r="C12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Helper'!$F$5:$F$3004,"""")&lt;&gt;""""),ROWS(C$5:C1225)),"""")"),"")</f>
        <v/>
      </c>
      <c r="D12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Helper'!$F$5:$F$3004,"""")&lt;&gt;""""),ROWS(D$5:D1225)),"""")"),"")</f>
        <v/>
      </c>
      <c r="E12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Helper'!$F$5:$F$3004,"""")&lt;&gt;""""),ROWS(E$5:E1225)),"""")"),"")</f>
        <v/>
      </c>
      <c r="F12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Helper'!$F$5:$F$3004,"""")&lt;&gt;""""),ROWS(F$5:F1225)),IF(AND(LEFT(x,5)=""Pag"&amp;"e "",ISERROR(SEARCH(""–"",x))),x&amp;""–""&amp;REGEXEXTRACT(x,""[0-9]+$""),x)),"""")"),"")</f>
        <v/>
      </c>
      <c r="G1225" s="163"/>
      <c r="H12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Helper'!$F$5:$F$3004,"""")&lt;&gt;""""),ROWS(H$5:H1225)),"""")"),"")</f>
        <v/>
      </c>
    </row>
    <row r="1226" ht="15.75" customHeight="1">
      <c r="A12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Helper'!$F$5:$F$3004,"""")&lt;&gt;""""),ROWS(A$5:A1226)),"""")"),"")</f>
        <v/>
      </c>
      <c r="B12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Helper'!$F$5:$F$3004,"""")&lt;&gt;""""),ROWS(B$5:B1226)),"""")"),"")</f>
        <v/>
      </c>
      <c r="C12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Helper'!$F$5:$F$3004,"""")&lt;&gt;""""),ROWS(C$5:C1226)),"""")"),"")</f>
        <v/>
      </c>
      <c r="D12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Helper'!$F$5:$F$3004,"""")&lt;&gt;""""),ROWS(D$5:D1226)),"""")"),"")</f>
        <v/>
      </c>
      <c r="E12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Helper'!$F$5:$F$3004,"""")&lt;&gt;""""),ROWS(E$5:E1226)),"""")"),"")</f>
        <v/>
      </c>
      <c r="F12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Helper'!$F$5:$F$3004,"""")&lt;&gt;""""),ROWS(F$5:F1226)),IF(AND(LEFT(x,5)=""Pag"&amp;"e "",ISERROR(SEARCH(""–"",x))),x&amp;""–""&amp;REGEXEXTRACT(x,""[0-9]+$""),x)),"""")"),"")</f>
        <v/>
      </c>
      <c r="G1226" s="163"/>
      <c r="H12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Helper'!$F$5:$F$3004,"""")&lt;&gt;""""),ROWS(H$5:H1226)),"""")"),"")</f>
        <v/>
      </c>
    </row>
    <row r="1227" ht="15.75" customHeight="1">
      <c r="A12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Helper'!$F$5:$F$3004,"""")&lt;&gt;""""),ROWS(A$5:A1227)),"""")"),"")</f>
        <v/>
      </c>
      <c r="B12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Helper'!$F$5:$F$3004,"""")&lt;&gt;""""),ROWS(B$5:B1227)),"""")"),"")</f>
        <v/>
      </c>
      <c r="C12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Helper'!$F$5:$F$3004,"""")&lt;&gt;""""),ROWS(C$5:C1227)),"""")"),"")</f>
        <v/>
      </c>
      <c r="D12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Helper'!$F$5:$F$3004,"""")&lt;&gt;""""),ROWS(D$5:D1227)),"""")"),"")</f>
        <v/>
      </c>
      <c r="E12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Helper'!$F$5:$F$3004,"""")&lt;&gt;""""),ROWS(E$5:E1227)),"""")"),"")</f>
        <v/>
      </c>
      <c r="F12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Helper'!$F$5:$F$3004,"""")&lt;&gt;""""),ROWS(F$5:F1227)),IF(AND(LEFT(x,5)=""Pag"&amp;"e "",ISERROR(SEARCH(""–"",x))),x&amp;""–""&amp;REGEXEXTRACT(x,""[0-9]+$""),x)),"""")"),"")</f>
        <v/>
      </c>
      <c r="G1227" s="163"/>
      <c r="H12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Helper'!$F$5:$F$3004,"""")&lt;&gt;""""),ROWS(H$5:H1227)),"""")"),"")</f>
        <v/>
      </c>
    </row>
    <row r="1228" ht="15.75" customHeight="1">
      <c r="A12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Helper'!$F$5:$F$3004,"""")&lt;&gt;""""),ROWS(A$5:A1228)),"""")"),"")</f>
        <v/>
      </c>
      <c r="B12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Helper'!$F$5:$F$3004,"""")&lt;&gt;""""),ROWS(B$5:B1228)),"""")"),"")</f>
        <v/>
      </c>
      <c r="C12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Helper'!$F$5:$F$3004,"""")&lt;&gt;""""),ROWS(C$5:C1228)),"""")"),"")</f>
        <v/>
      </c>
      <c r="D12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Helper'!$F$5:$F$3004,"""")&lt;&gt;""""),ROWS(D$5:D1228)),"""")"),"")</f>
        <v/>
      </c>
      <c r="E12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Helper'!$F$5:$F$3004,"""")&lt;&gt;""""),ROWS(E$5:E1228)),"""")"),"")</f>
        <v/>
      </c>
      <c r="F12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Helper'!$F$5:$F$3004,"""")&lt;&gt;""""),ROWS(F$5:F1228)),IF(AND(LEFT(x,5)=""Pag"&amp;"e "",ISERROR(SEARCH(""–"",x))),x&amp;""–""&amp;REGEXEXTRACT(x,""[0-9]+$""),x)),"""")"),"")</f>
        <v/>
      </c>
      <c r="G1228" s="163"/>
      <c r="H12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Helper'!$F$5:$F$3004,"""")&lt;&gt;""""),ROWS(H$5:H1228)),"""")"),"")</f>
        <v/>
      </c>
    </row>
    <row r="1229" ht="15.75" customHeight="1">
      <c r="A12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Helper'!$F$5:$F$3004,"""")&lt;&gt;""""),ROWS(A$5:A1229)),"""")"),"")</f>
        <v/>
      </c>
      <c r="B12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Helper'!$F$5:$F$3004,"""")&lt;&gt;""""),ROWS(B$5:B1229)),"""")"),"")</f>
        <v/>
      </c>
      <c r="C12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Helper'!$F$5:$F$3004,"""")&lt;&gt;""""),ROWS(C$5:C1229)),"""")"),"")</f>
        <v/>
      </c>
      <c r="D12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Helper'!$F$5:$F$3004,"""")&lt;&gt;""""),ROWS(D$5:D1229)),"""")"),"")</f>
        <v/>
      </c>
      <c r="E12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Helper'!$F$5:$F$3004,"""")&lt;&gt;""""),ROWS(E$5:E1229)),"""")"),"")</f>
        <v/>
      </c>
      <c r="F12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Helper'!$F$5:$F$3004,"""")&lt;&gt;""""),ROWS(F$5:F1229)),IF(AND(LEFT(x,5)=""Pag"&amp;"e "",ISERROR(SEARCH(""–"",x))),x&amp;""–""&amp;REGEXEXTRACT(x,""[0-9]+$""),x)),"""")"),"")</f>
        <v/>
      </c>
      <c r="G1229" s="163"/>
      <c r="H12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Helper'!$F$5:$F$3004,"""")&lt;&gt;""""),ROWS(H$5:H1229)),"""")"),"")</f>
        <v/>
      </c>
    </row>
    <row r="1230" ht="15.75" customHeight="1">
      <c r="A12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Helper'!$F$5:$F$3004,"""")&lt;&gt;""""),ROWS(A$5:A1230)),"""")"),"")</f>
        <v/>
      </c>
      <c r="B12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Helper'!$F$5:$F$3004,"""")&lt;&gt;""""),ROWS(B$5:B1230)),"""")"),"")</f>
        <v/>
      </c>
      <c r="C12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Helper'!$F$5:$F$3004,"""")&lt;&gt;""""),ROWS(C$5:C1230)),"""")"),"")</f>
        <v/>
      </c>
      <c r="D12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Helper'!$F$5:$F$3004,"""")&lt;&gt;""""),ROWS(D$5:D1230)),"""")"),"")</f>
        <v/>
      </c>
      <c r="E12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Helper'!$F$5:$F$3004,"""")&lt;&gt;""""),ROWS(E$5:E1230)),"""")"),"")</f>
        <v/>
      </c>
      <c r="F12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Helper'!$F$5:$F$3004,"""")&lt;&gt;""""),ROWS(F$5:F1230)),IF(AND(LEFT(x,5)=""Pag"&amp;"e "",ISERROR(SEARCH(""–"",x))),x&amp;""–""&amp;REGEXEXTRACT(x,""[0-9]+$""),x)),"""")"),"")</f>
        <v/>
      </c>
      <c r="G1230" s="163"/>
      <c r="H12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Helper'!$F$5:$F$3004,"""")&lt;&gt;""""),ROWS(H$5:H1230)),"""")"),"")</f>
        <v/>
      </c>
    </row>
    <row r="1231" ht="15.75" customHeight="1">
      <c r="A12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Helper'!$F$5:$F$3004,"""")&lt;&gt;""""),ROWS(A$5:A1231)),"""")"),"")</f>
        <v/>
      </c>
      <c r="B12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Helper'!$F$5:$F$3004,"""")&lt;&gt;""""),ROWS(B$5:B1231)),"""")"),"")</f>
        <v/>
      </c>
      <c r="C12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Helper'!$F$5:$F$3004,"""")&lt;&gt;""""),ROWS(C$5:C1231)),"""")"),"")</f>
        <v/>
      </c>
      <c r="D12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Helper'!$F$5:$F$3004,"""")&lt;&gt;""""),ROWS(D$5:D1231)),"""")"),"")</f>
        <v/>
      </c>
      <c r="E12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Helper'!$F$5:$F$3004,"""")&lt;&gt;""""),ROWS(E$5:E1231)),"""")"),"")</f>
        <v/>
      </c>
      <c r="F12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Helper'!$F$5:$F$3004,"""")&lt;&gt;""""),ROWS(F$5:F1231)),IF(AND(LEFT(x,5)=""Pag"&amp;"e "",ISERROR(SEARCH(""–"",x))),x&amp;""–""&amp;REGEXEXTRACT(x,""[0-9]+$""),x)),"""")"),"")</f>
        <v/>
      </c>
      <c r="G1231" s="163"/>
      <c r="H12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Helper'!$F$5:$F$3004,"""")&lt;&gt;""""),ROWS(H$5:H1231)),"""")"),"")</f>
        <v/>
      </c>
    </row>
    <row r="1232" ht="15.75" customHeight="1">
      <c r="A12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Helper'!$F$5:$F$3004,"""")&lt;&gt;""""),ROWS(A$5:A1232)),"""")"),"")</f>
        <v/>
      </c>
      <c r="B12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Helper'!$F$5:$F$3004,"""")&lt;&gt;""""),ROWS(B$5:B1232)),"""")"),"")</f>
        <v/>
      </c>
      <c r="C12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Helper'!$F$5:$F$3004,"""")&lt;&gt;""""),ROWS(C$5:C1232)),"""")"),"")</f>
        <v/>
      </c>
      <c r="D12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Helper'!$F$5:$F$3004,"""")&lt;&gt;""""),ROWS(D$5:D1232)),"""")"),"")</f>
        <v/>
      </c>
      <c r="E12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Helper'!$F$5:$F$3004,"""")&lt;&gt;""""),ROWS(E$5:E1232)),"""")"),"")</f>
        <v/>
      </c>
      <c r="F12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Helper'!$F$5:$F$3004,"""")&lt;&gt;""""),ROWS(F$5:F1232)),IF(AND(LEFT(x,5)=""Pag"&amp;"e "",ISERROR(SEARCH(""–"",x))),x&amp;""–""&amp;REGEXEXTRACT(x,""[0-9]+$""),x)),"""")"),"")</f>
        <v/>
      </c>
      <c r="G1232" s="163"/>
      <c r="H12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Helper'!$F$5:$F$3004,"""")&lt;&gt;""""),ROWS(H$5:H1232)),"""")"),"")</f>
        <v/>
      </c>
    </row>
    <row r="1233" ht="15.75" customHeight="1">
      <c r="A12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Helper'!$F$5:$F$3004,"""")&lt;&gt;""""),ROWS(A$5:A1233)),"""")"),"")</f>
        <v/>
      </c>
      <c r="B12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Helper'!$F$5:$F$3004,"""")&lt;&gt;""""),ROWS(B$5:B1233)),"""")"),"")</f>
        <v/>
      </c>
      <c r="C12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Helper'!$F$5:$F$3004,"""")&lt;&gt;""""),ROWS(C$5:C1233)),"""")"),"")</f>
        <v/>
      </c>
      <c r="D12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Helper'!$F$5:$F$3004,"""")&lt;&gt;""""),ROWS(D$5:D1233)),"""")"),"")</f>
        <v/>
      </c>
      <c r="E12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Helper'!$F$5:$F$3004,"""")&lt;&gt;""""),ROWS(E$5:E1233)),"""")"),"")</f>
        <v/>
      </c>
      <c r="F12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Helper'!$F$5:$F$3004,"""")&lt;&gt;""""),ROWS(F$5:F1233)),IF(AND(LEFT(x,5)=""Pag"&amp;"e "",ISERROR(SEARCH(""–"",x))),x&amp;""–""&amp;REGEXEXTRACT(x,""[0-9]+$""),x)),"""")"),"")</f>
        <v/>
      </c>
      <c r="G1233" s="163"/>
      <c r="H12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Helper'!$F$5:$F$3004,"""")&lt;&gt;""""),ROWS(H$5:H1233)),"""")"),"")</f>
        <v/>
      </c>
    </row>
    <row r="1234" ht="15.75" customHeight="1">
      <c r="A12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Helper'!$F$5:$F$3004,"""")&lt;&gt;""""),ROWS(A$5:A1234)),"""")"),"")</f>
        <v/>
      </c>
      <c r="B12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Helper'!$F$5:$F$3004,"""")&lt;&gt;""""),ROWS(B$5:B1234)),"""")"),"")</f>
        <v/>
      </c>
      <c r="C12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Helper'!$F$5:$F$3004,"""")&lt;&gt;""""),ROWS(C$5:C1234)),"""")"),"")</f>
        <v/>
      </c>
      <c r="D12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Helper'!$F$5:$F$3004,"""")&lt;&gt;""""),ROWS(D$5:D1234)),"""")"),"")</f>
        <v/>
      </c>
      <c r="E12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Helper'!$F$5:$F$3004,"""")&lt;&gt;""""),ROWS(E$5:E1234)),"""")"),"")</f>
        <v/>
      </c>
      <c r="F12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Helper'!$F$5:$F$3004,"""")&lt;&gt;""""),ROWS(F$5:F1234)),IF(AND(LEFT(x,5)=""Pag"&amp;"e "",ISERROR(SEARCH(""–"",x))),x&amp;""–""&amp;REGEXEXTRACT(x,""[0-9]+$""),x)),"""")"),"")</f>
        <v/>
      </c>
      <c r="G1234" s="163"/>
      <c r="H12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Helper'!$F$5:$F$3004,"""")&lt;&gt;""""),ROWS(H$5:H1234)),"""")"),"")</f>
        <v/>
      </c>
    </row>
    <row r="1235" ht="15.75" customHeight="1">
      <c r="A12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Helper'!$F$5:$F$3004,"""")&lt;&gt;""""),ROWS(A$5:A1235)),"""")"),"")</f>
        <v/>
      </c>
      <c r="B12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Helper'!$F$5:$F$3004,"""")&lt;&gt;""""),ROWS(B$5:B1235)),"""")"),"")</f>
        <v/>
      </c>
      <c r="C12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Helper'!$F$5:$F$3004,"""")&lt;&gt;""""),ROWS(C$5:C1235)),"""")"),"")</f>
        <v/>
      </c>
      <c r="D12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Helper'!$F$5:$F$3004,"""")&lt;&gt;""""),ROWS(D$5:D1235)),"""")"),"")</f>
        <v/>
      </c>
      <c r="E12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Helper'!$F$5:$F$3004,"""")&lt;&gt;""""),ROWS(E$5:E1235)),"""")"),"")</f>
        <v/>
      </c>
      <c r="F12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Helper'!$F$5:$F$3004,"""")&lt;&gt;""""),ROWS(F$5:F1235)),IF(AND(LEFT(x,5)=""Pag"&amp;"e "",ISERROR(SEARCH(""–"",x))),x&amp;""–""&amp;REGEXEXTRACT(x,""[0-9]+$""),x)),"""")"),"")</f>
        <v/>
      </c>
      <c r="G1235" s="163"/>
      <c r="H12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Helper'!$F$5:$F$3004,"""")&lt;&gt;""""),ROWS(H$5:H1235)),"""")"),"")</f>
        <v/>
      </c>
    </row>
    <row r="1236" ht="15.75" customHeight="1">
      <c r="A12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Helper'!$F$5:$F$3004,"""")&lt;&gt;""""),ROWS(A$5:A1236)),"""")"),"")</f>
        <v/>
      </c>
      <c r="B12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Helper'!$F$5:$F$3004,"""")&lt;&gt;""""),ROWS(B$5:B1236)),"""")"),"")</f>
        <v/>
      </c>
      <c r="C12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Helper'!$F$5:$F$3004,"""")&lt;&gt;""""),ROWS(C$5:C1236)),"""")"),"")</f>
        <v/>
      </c>
      <c r="D12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Helper'!$F$5:$F$3004,"""")&lt;&gt;""""),ROWS(D$5:D1236)),"""")"),"")</f>
        <v/>
      </c>
      <c r="E12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Helper'!$F$5:$F$3004,"""")&lt;&gt;""""),ROWS(E$5:E1236)),"""")"),"")</f>
        <v/>
      </c>
      <c r="F12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Helper'!$F$5:$F$3004,"""")&lt;&gt;""""),ROWS(F$5:F1236)),IF(AND(LEFT(x,5)=""Pag"&amp;"e "",ISERROR(SEARCH(""–"",x))),x&amp;""–""&amp;REGEXEXTRACT(x,""[0-9]+$""),x)),"""")"),"")</f>
        <v/>
      </c>
      <c r="G1236" s="163"/>
      <c r="H12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Helper'!$F$5:$F$3004,"""")&lt;&gt;""""),ROWS(H$5:H1236)),"""")"),"")</f>
        <v/>
      </c>
    </row>
    <row r="1237" ht="15.75" customHeight="1">
      <c r="A12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Helper'!$F$5:$F$3004,"""")&lt;&gt;""""),ROWS(A$5:A1237)),"""")"),"")</f>
        <v/>
      </c>
      <c r="B12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Helper'!$F$5:$F$3004,"""")&lt;&gt;""""),ROWS(B$5:B1237)),"""")"),"")</f>
        <v/>
      </c>
      <c r="C12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Helper'!$F$5:$F$3004,"""")&lt;&gt;""""),ROWS(C$5:C1237)),"""")"),"")</f>
        <v/>
      </c>
      <c r="D12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Helper'!$F$5:$F$3004,"""")&lt;&gt;""""),ROWS(D$5:D1237)),"""")"),"")</f>
        <v/>
      </c>
      <c r="E12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Helper'!$F$5:$F$3004,"""")&lt;&gt;""""),ROWS(E$5:E1237)),"""")"),"")</f>
        <v/>
      </c>
      <c r="F12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Helper'!$F$5:$F$3004,"""")&lt;&gt;""""),ROWS(F$5:F1237)),IF(AND(LEFT(x,5)=""Pag"&amp;"e "",ISERROR(SEARCH(""–"",x))),x&amp;""–""&amp;REGEXEXTRACT(x,""[0-9]+$""),x)),"""")"),"")</f>
        <v/>
      </c>
      <c r="G1237" s="163"/>
      <c r="H12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Helper'!$F$5:$F$3004,"""")&lt;&gt;""""),ROWS(H$5:H1237)),"""")"),"")</f>
        <v/>
      </c>
    </row>
    <row r="1238" ht="15.75" customHeight="1">
      <c r="A12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Helper'!$F$5:$F$3004,"""")&lt;&gt;""""),ROWS(A$5:A1238)),"""")"),"")</f>
        <v/>
      </c>
      <c r="B12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Helper'!$F$5:$F$3004,"""")&lt;&gt;""""),ROWS(B$5:B1238)),"""")"),"")</f>
        <v/>
      </c>
      <c r="C12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Helper'!$F$5:$F$3004,"""")&lt;&gt;""""),ROWS(C$5:C1238)),"""")"),"")</f>
        <v/>
      </c>
      <c r="D12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Helper'!$F$5:$F$3004,"""")&lt;&gt;""""),ROWS(D$5:D1238)),"""")"),"")</f>
        <v/>
      </c>
      <c r="E12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Helper'!$F$5:$F$3004,"""")&lt;&gt;""""),ROWS(E$5:E1238)),"""")"),"")</f>
        <v/>
      </c>
      <c r="F12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Helper'!$F$5:$F$3004,"""")&lt;&gt;""""),ROWS(F$5:F1238)),IF(AND(LEFT(x,5)=""Pag"&amp;"e "",ISERROR(SEARCH(""–"",x))),x&amp;""–""&amp;REGEXEXTRACT(x,""[0-9]+$""),x)),"""")"),"")</f>
        <v/>
      </c>
      <c r="G1238" s="163"/>
      <c r="H12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Helper'!$F$5:$F$3004,"""")&lt;&gt;""""),ROWS(H$5:H1238)),"""")"),"")</f>
        <v/>
      </c>
    </row>
    <row r="1239" ht="15.75" customHeight="1">
      <c r="A12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Helper'!$F$5:$F$3004,"""")&lt;&gt;""""),ROWS(A$5:A1239)),"""")"),"")</f>
        <v/>
      </c>
      <c r="B12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Helper'!$F$5:$F$3004,"""")&lt;&gt;""""),ROWS(B$5:B1239)),"""")"),"")</f>
        <v/>
      </c>
      <c r="C12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Helper'!$F$5:$F$3004,"""")&lt;&gt;""""),ROWS(C$5:C1239)),"""")"),"")</f>
        <v/>
      </c>
      <c r="D12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Helper'!$F$5:$F$3004,"""")&lt;&gt;""""),ROWS(D$5:D1239)),"""")"),"")</f>
        <v/>
      </c>
      <c r="E12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Helper'!$F$5:$F$3004,"""")&lt;&gt;""""),ROWS(E$5:E1239)),"""")"),"")</f>
        <v/>
      </c>
      <c r="F12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Helper'!$F$5:$F$3004,"""")&lt;&gt;""""),ROWS(F$5:F1239)),IF(AND(LEFT(x,5)=""Pag"&amp;"e "",ISERROR(SEARCH(""–"",x))),x&amp;""–""&amp;REGEXEXTRACT(x,""[0-9]+$""),x)),"""")"),"")</f>
        <v/>
      </c>
      <c r="G1239" s="163"/>
      <c r="H12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Helper'!$F$5:$F$3004,"""")&lt;&gt;""""),ROWS(H$5:H1239)),"""")"),"")</f>
        <v/>
      </c>
    </row>
    <row r="1240" ht="15.75" customHeight="1">
      <c r="A12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Helper'!$F$5:$F$3004,"""")&lt;&gt;""""),ROWS(A$5:A1240)),"""")"),"")</f>
        <v/>
      </c>
      <c r="B12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Helper'!$F$5:$F$3004,"""")&lt;&gt;""""),ROWS(B$5:B1240)),"""")"),"")</f>
        <v/>
      </c>
      <c r="C12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Helper'!$F$5:$F$3004,"""")&lt;&gt;""""),ROWS(C$5:C1240)),"""")"),"")</f>
        <v/>
      </c>
      <c r="D12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Helper'!$F$5:$F$3004,"""")&lt;&gt;""""),ROWS(D$5:D1240)),"""")"),"")</f>
        <v/>
      </c>
      <c r="E12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Helper'!$F$5:$F$3004,"""")&lt;&gt;""""),ROWS(E$5:E1240)),"""")"),"")</f>
        <v/>
      </c>
      <c r="F12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Helper'!$F$5:$F$3004,"""")&lt;&gt;""""),ROWS(F$5:F1240)),IF(AND(LEFT(x,5)=""Pag"&amp;"e "",ISERROR(SEARCH(""–"",x))),x&amp;""–""&amp;REGEXEXTRACT(x,""[0-9]+$""),x)),"""")"),"")</f>
        <v/>
      </c>
      <c r="G1240" s="163"/>
      <c r="H12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Helper'!$F$5:$F$3004,"""")&lt;&gt;""""),ROWS(H$5:H1240)),"""")"),"")</f>
        <v/>
      </c>
    </row>
    <row r="1241" ht="15.75" customHeight="1">
      <c r="A12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Helper'!$F$5:$F$3004,"""")&lt;&gt;""""),ROWS(A$5:A1241)),"""")"),"")</f>
        <v/>
      </c>
      <c r="B12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Helper'!$F$5:$F$3004,"""")&lt;&gt;""""),ROWS(B$5:B1241)),"""")"),"")</f>
        <v/>
      </c>
      <c r="C12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Helper'!$F$5:$F$3004,"""")&lt;&gt;""""),ROWS(C$5:C1241)),"""")"),"")</f>
        <v/>
      </c>
      <c r="D12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Helper'!$F$5:$F$3004,"""")&lt;&gt;""""),ROWS(D$5:D1241)),"""")"),"")</f>
        <v/>
      </c>
      <c r="E12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Helper'!$F$5:$F$3004,"""")&lt;&gt;""""),ROWS(E$5:E1241)),"""")"),"")</f>
        <v/>
      </c>
      <c r="F12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Helper'!$F$5:$F$3004,"""")&lt;&gt;""""),ROWS(F$5:F1241)),IF(AND(LEFT(x,5)=""Pag"&amp;"e "",ISERROR(SEARCH(""–"",x))),x&amp;""–""&amp;REGEXEXTRACT(x,""[0-9]+$""),x)),"""")"),"")</f>
        <v/>
      </c>
      <c r="G1241" s="163"/>
      <c r="H12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Helper'!$F$5:$F$3004,"""")&lt;&gt;""""),ROWS(H$5:H1241)),"""")"),"")</f>
        <v/>
      </c>
    </row>
    <row r="1242" ht="15.75" customHeight="1">
      <c r="A12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Helper'!$F$5:$F$3004,"""")&lt;&gt;""""),ROWS(A$5:A1242)),"""")"),"")</f>
        <v/>
      </c>
      <c r="B12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Helper'!$F$5:$F$3004,"""")&lt;&gt;""""),ROWS(B$5:B1242)),"""")"),"")</f>
        <v/>
      </c>
      <c r="C12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Helper'!$F$5:$F$3004,"""")&lt;&gt;""""),ROWS(C$5:C1242)),"""")"),"")</f>
        <v/>
      </c>
      <c r="D12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Helper'!$F$5:$F$3004,"""")&lt;&gt;""""),ROWS(D$5:D1242)),"""")"),"")</f>
        <v/>
      </c>
      <c r="E12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Helper'!$F$5:$F$3004,"""")&lt;&gt;""""),ROWS(E$5:E1242)),"""")"),"")</f>
        <v/>
      </c>
      <c r="F12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Helper'!$F$5:$F$3004,"""")&lt;&gt;""""),ROWS(F$5:F1242)),IF(AND(LEFT(x,5)=""Pag"&amp;"e "",ISERROR(SEARCH(""–"",x))),x&amp;""–""&amp;REGEXEXTRACT(x,""[0-9]+$""),x)),"""")"),"")</f>
        <v/>
      </c>
      <c r="G1242" s="163"/>
      <c r="H12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Helper'!$F$5:$F$3004,"""")&lt;&gt;""""),ROWS(H$5:H1242)),"""")"),"")</f>
        <v/>
      </c>
    </row>
    <row r="1243" ht="15.75" customHeight="1">
      <c r="A12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Helper'!$F$5:$F$3004,"""")&lt;&gt;""""),ROWS(A$5:A1243)),"""")"),"")</f>
        <v/>
      </c>
      <c r="B12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Helper'!$F$5:$F$3004,"""")&lt;&gt;""""),ROWS(B$5:B1243)),"""")"),"")</f>
        <v/>
      </c>
      <c r="C12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Helper'!$F$5:$F$3004,"""")&lt;&gt;""""),ROWS(C$5:C1243)),"""")"),"")</f>
        <v/>
      </c>
      <c r="D12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Helper'!$F$5:$F$3004,"""")&lt;&gt;""""),ROWS(D$5:D1243)),"""")"),"")</f>
        <v/>
      </c>
      <c r="E12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Helper'!$F$5:$F$3004,"""")&lt;&gt;""""),ROWS(E$5:E1243)),"""")"),"")</f>
        <v/>
      </c>
      <c r="F12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Helper'!$F$5:$F$3004,"""")&lt;&gt;""""),ROWS(F$5:F1243)),IF(AND(LEFT(x,5)=""Pag"&amp;"e "",ISERROR(SEARCH(""–"",x))),x&amp;""–""&amp;REGEXEXTRACT(x,""[0-9]+$""),x)),"""")"),"")</f>
        <v/>
      </c>
      <c r="G1243" s="163"/>
      <c r="H12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Helper'!$F$5:$F$3004,"""")&lt;&gt;""""),ROWS(H$5:H1243)),"""")"),"")</f>
        <v/>
      </c>
    </row>
    <row r="1244" ht="15.75" customHeight="1">
      <c r="A12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Helper'!$F$5:$F$3004,"""")&lt;&gt;""""),ROWS(A$5:A1244)),"""")"),"")</f>
        <v/>
      </c>
      <c r="B12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Helper'!$F$5:$F$3004,"""")&lt;&gt;""""),ROWS(B$5:B1244)),"""")"),"")</f>
        <v/>
      </c>
      <c r="C12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Helper'!$F$5:$F$3004,"""")&lt;&gt;""""),ROWS(C$5:C1244)),"""")"),"")</f>
        <v/>
      </c>
      <c r="D12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Helper'!$F$5:$F$3004,"""")&lt;&gt;""""),ROWS(D$5:D1244)),"""")"),"")</f>
        <v/>
      </c>
      <c r="E12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Helper'!$F$5:$F$3004,"""")&lt;&gt;""""),ROWS(E$5:E1244)),"""")"),"")</f>
        <v/>
      </c>
      <c r="F12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Helper'!$F$5:$F$3004,"""")&lt;&gt;""""),ROWS(F$5:F1244)),IF(AND(LEFT(x,5)=""Pag"&amp;"e "",ISERROR(SEARCH(""–"",x))),x&amp;""–""&amp;REGEXEXTRACT(x,""[0-9]+$""),x)),"""")"),"")</f>
        <v/>
      </c>
      <c r="G1244" s="163"/>
      <c r="H12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Helper'!$F$5:$F$3004,"""")&lt;&gt;""""),ROWS(H$5:H1244)),"""")"),"")</f>
        <v/>
      </c>
    </row>
    <row r="1245" ht="15.75" customHeight="1">
      <c r="A12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Helper'!$F$5:$F$3004,"""")&lt;&gt;""""),ROWS(A$5:A1245)),"""")"),"")</f>
        <v/>
      </c>
      <c r="B12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Helper'!$F$5:$F$3004,"""")&lt;&gt;""""),ROWS(B$5:B1245)),"""")"),"")</f>
        <v/>
      </c>
      <c r="C12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Helper'!$F$5:$F$3004,"""")&lt;&gt;""""),ROWS(C$5:C1245)),"""")"),"")</f>
        <v/>
      </c>
      <c r="D12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Helper'!$F$5:$F$3004,"""")&lt;&gt;""""),ROWS(D$5:D1245)),"""")"),"")</f>
        <v/>
      </c>
      <c r="E12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Helper'!$F$5:$F$3004,"""")&lt;&gt;""""),ROWS(E$5:E1245)),"""")"),"")</f>
        <v/>
      </c>
      <c r="F12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Helper'!$F$5:$F$3004,"""")&lt;&gt;""""),ROWS(F$5:F1245)),IF(AND(LEFT(x,5)=""Pag"&amp;"e "",ISERROR(SEARCH(""–"",x))),x&amp;""–""&amp;REGEXEXTRACT(x,""[0-9]+$""),x)),"""")"),"")</f>
        <v/>
      </c>
      <c r="G1245" s="163"/>
      <c r="H12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Helper'!$F$5:$F$3004,"""")&lt;&gt;""""),ROWS(H$5:H1245)),"""")"),"")</f>
        <v/>
      </c>
    </row>
    <row r="1246" ht="15.75" customHeight="1">
      <c r="A12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Helper'!$F$5:$F$3004,"""")&lt;&gt;""""),ROWS(A$5:A1246)),"""")"),"")</f>
        <v/>
      </c>
      <c r="B12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Helper'!$F$5:$F$3004,"""")&lt;&gt;""""),ROWS(B$5:B1246)),"""")"),"")</f>
        <v/>
      </c>
      <c r="C12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Helper'!$F$5:$F$3004,"""")&lt;&gt;""""),ROWS(C$5:C1246)),"""")"),"")</f>
        <v/>
      </c>
      <c r="D12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Helper'!$F$5:$F$3004,"""")&lt;&gt;""""),ROWS(D$5:D1246)),"""")"),"")</f>
        <v/>
      </c>
      <c r="E12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Helper'!$F$5:$F$3004,"""")&lt;&gt;""""),ROWS(E$5:E1246)),"""")"),"")</f>
        <v/>
      </c>
      <c r="F12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Helper'!$F$5:$F$3004,"""")&lt;&gt;""""),ROWS(F$5:F1246)),IF(AND(LEFT(x,5)=""Pag"&amp;"e "",ISERROR(SEARCH(""–"",x))),x&amp;""–""&amp;REGEXEXTRACT(x,""[0-9]+$""),x)),"""")"),"")</f>
        <v/>
      </c>
      <c r="G1246" s="163"/>
      <c r="H12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Helper'!$F$5:$F$3004,"""")&lt;&gt;""""),ROWS(H$5:H1246)),"""")"),"")</f>
        <v/>
      </c>
    </row>
    <row r="1247" ht="15.75" customHeight="1">
      <c r="A12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Helper'!$F$5:$F$3004,"""")&lt;&gt;""""),ROWS(A$5:A1247)),"""")"),"")</f>
        <v/>
      </c>
      <c r="B12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Helper'!$F$5:$F$3004,"""")&lt;&gt;""""),ROWS(B$5:B1247)),"""")"),"")</f>
        <v/>
      </c>
      <c r="C12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Helper'!$F$5:$F$3004,"""")&lt;&gt;""""),ROWS(C$5:C1247)),"""")"),"")</f>
        <v/>
      </c>
      <c r="D12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Helper'!$F$5:$F$3004,"""")&lt;&gt;""""),ROWS(D$5:D1247)),"""")"),"")</f>
        <v/>
      </c>
      <c r="E12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Helper'!$F$5:$F$3004,"""")&lt;&gt;""""),ROWS(E$5:E1247)),"""")"),"")</f>
        <v/>
      </c>
      <c r="F12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Helper'!$F$5:$F$3004,"""")&lt;&gt;""""),ROWS(F$5:F1247)),IF(AND(LEFT(x,5)=""Pag"&amp;"e "",ISERROR(SEARCH(""–"",x))),x&amp;""–""&amp;REGEXEXTRACT(x,""[0-9]+$""),x)),"""")"),"")</f>
        <v/>
      </c>
      <c r="G1247" s="163"/>
      <c r="H12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Helper'!$F$5:$F$3004,"""")&lt;&gt;""""),ROWS(H$5:H1247)),"""")"),"")</f>
        <v/>
      </c>
    </row>
    <row r="1248" ht="15.75" customHeight="1">
      <c r="A12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Helper'!$F$5:$F$3004,"""")&lt;&gt;""""),ROWS(A$5:A1248)),"""")"),"")</f>
        <v/>
      </c>
      <c r="B12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Helper'!$F$5:$F$3004,"""")&lt;&gt;""""),ROWS(B$5:B1248)),"""")"),"")</f>
        <v/>
      </c>
      <c r="C12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Helper'!$F$5:$F$3004,"""")&lt;&gt;""""),ROWS(C$5:C1248)),"""")"),"")</f>
        <v/>
      </c>
      <c r="D12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Helper'!$F$5:$F$3004,"""")&lt;&gt;""""),ROWS(D$5:D1248)),"""")"),"")</f>
        <v/>
      </c>
      <c r="E12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Helper'!$F$5:$F$3004,"""")&lt;&gt;""""),ROWS(E$5:E1248)),"""")"),"")</f>
        <v/>
      </c>
      <c r="F12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Helper'!$F$5:$F$3004,"""")&lt;&gt;""""),ROWS(F$5:F1248)),IF(AND(LEFT(x,5)=""Pag"&amp;"e "",ISERROR(SEARCH(""–"",x))),x&amp;""–""&amp;REGEXEXTRACT(x,""[0-9]+$""),x)),"""")"),"")</f>
        <v/>
      </c>
      <c r="G1248" s="163"/>
      <c r="H12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Helper'!$F$5:$F$3004,"""")&lt;&gt;""""),ROWS(H$5:H1248)),"""")"),"")</f>
        <v/>
      </c>
    </row>
    <row r="1249" ht="15.75" customHeight="1">
      <c r="A12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Helper'!$F$5:$F$3004,"""")&lt;&gt;""""),ROWS(A$5:A1249)),"""")"),"")</f>
        <v/>
      </c>
      <c r="B12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Helper'!$F$5:$F$3004,"""")&lt;&gt;""""),ROWS(B$5:B1249)),"""")"),"")</f>
        <v/>
      </c>
      <c r="C12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Helper'!$F$5:$F$3004,"""")&lt;&gt;""""),ROWS(C$5:C1249)),"""")"),"")</f>
        <v/>
      </c>
      <c r="D12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Helper'!$F$5:$F$3004,"""")&lt;&gt;""""),ROWS(D$5:D1249)),"""")"),"")</f>
        <v/>
      </c>
      <c r="E12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Helper'!$F$5:$F$3004,"""")&lt;&gt;""""),ROWS(E$5:E1249)),"""")"),"")</f>
        <v/>
      </c>
      <c r="F12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Helper'!$F$5:$F$3004,"""")&lt;&gt;""""),ROWS(F$5:F1249)),IF(AND(LEFT(x,5)=""Pag"&amp;"e "",ISERROR(SEARCH(""–"",x))),x&amp;""–""&amp;REGEXEXTRACT(x,""[0-9]+$""),x)),"""")"),"")</f>
        <v/>
      </c>
      <c r="G1249" s="163"/>
      <c r="H12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Helper'!$F$5:$F$3004,"""")&lt;&gt;""""),ROWS(H$5:H1249)),"""")"),"")</f>
        <v/>
      </c>
    </row>
    <row r="1250" ht="15.75" customHeight="1">
      <c r="A12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Helper'!$F$5:$F$3004,"""")&lt;&gt;""""),ROWS(A$5:A1250)),"""")"),"")</f>
        <v/>
      </c>
      <c r="B12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Helper'!$F$5:$F$3004,"""")&lt;&gt;""""),ROWS(B$5:B1250)),"""")"),"")</f>
        <v/>
      </c>
      <c r="C12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Helper'!$F$5:$F$3004,"""")&lt;&gt;""""),ROWS(C$5:C1250)),"""")"),"")</f>
        <v/>
      </c>
      <c r="D12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Helper'!$F$5:$F$3004,"""")&lt;&gt;""""),ROWS(D$5:D1250)),"""")"),"")</f>
        <v/>
      </c>
      <c r="E12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Helper'!$F$5:$F$3004,"""")&lt;&gt;""""),ROWS(E$5:E1250)),"""")"),"")</f>
        <v/>
      </c>
      <c r="F12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Helper'!$F$5:$F$3004,"""")&lt;&gt;""""),ROWS(F$5:F1250)),IF(AND(LEFT(x,5)=""Pag"&amp;"e "",ISERROR(SEARCH(""–"",x))),x&amp;""–""&amp;REGEXEXTRACT(x,""[0-9]+$""),x)),"""")"),"")</f>
        <v/>
      </c>
      <c r="G1250" s="163"/>
      <c r="H12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Helper'!$F$5:$F$3004,"""")&lt;&gt;""""),ROWS(H$5:H1250)),"""")"),"")</f>
        <v/>
      </c>
    </row>
    <row r="1251" ht="15.75" customHeight="1">
      <c r="A12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Helper'!$F$5:$F$3004,"""")&lt;&gt;""""),ROWS(A$5:A1251)),"""")"),"")</f>
        <v/>
      </c>
      <c r="B12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Helper'!$F$5:$F$3004,"""")&lt;&gt;""""),ROWS(B$5:B1251)),"""")"),"")</f>
        <v/>
      </c>
      <c r="C12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Helper'!$F$5:$F$3004,"""")&lt;&gt;""""),ROWS(C$5:C1251)),"""")"),"")</f>
        <v/>
      </c>
      <c r="D12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Helper'!$F$5:$F$3004,"""")&lt;&gt;""""),ROWS(D$5:D1251)),"""")"),"")</f>
        <v/>
      </c>
      <c r="E12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Helper'!$F$5:$F$3004,"""")&lt;&gt;""""),ROWS(E$5:E1251)),"""")"),"")</f>
        <v/>
      </c>
      <c r="F12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Helper'!$F$5:$F$3004,"""")&lt;&gt;""""),ROWS(F$5:F1251)),IF(AND(LEFT(x,5)=""Pag"&amp;"e "",ISERROR(SEARCH(""–"",x))),x&amp;""–""&amp;REGEXEXTRACT(x,""[0-9]+$""),x)),"""")"),"")</f>
        <v/>
      </c>
      <c r="G1251" s="163"/>
      <c r="H12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Helper'!$F$5:$F$3004,"""")&lt;&gt;""""),ROWS(H$5:H1251)),"""")"),"")</f>
        <v/>
      </c>
    </row>
    <row r="1252" ht="15.75" customHeight="1">
      <c r="A12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Helper'!$F$5:$F$3004,"""")&lt;&gt;""""),ROWS(A$5:A1252)),"""")"),"")</f>
        <v/>
      </c>
      <c r="B12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Helper'!$F$5:$F$3004,"""")&lt;&gt;""""),ROWS(B$5:B1252)),"""")"),"")</f>
        <v/>
      </c>
      <c r="C12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Helper'!$F$5:$F$3004,"""")&lt;&gt;""""),ROWS(C$5:C1252)),"""")"),"")</f>
        <v/>
      </c>
      <c r="D12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Helper'!$F$5:$F$3004,"""")&lt;&gt;""""),ROWS(D$5:D1252)),"""")"),"")</f>
        <v/>
      </c>
      <c r="E12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Helper'!$F$5:$F$3004,"""")&lt;&gt;""""),ROWS(E$5:E1252)),"""")"),"")</f>
        <v/>
      </c>
      <c r="F12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Helper'!$F$5:$F$3004,"""")&lt;&gt;""""),ROWS(F$5:F1252)),IF(AND(LEFT(x,5)=""Pag"&amp;"e "",ISERROR(SEARCH(""–"",x))),x&amp;""–""&amp;REGEXEXTRACT(x,""[0-9]+$""),x)),"""")"),"")</f>
        <v/>
      </c>
      <c r="G1252" s="163"/>
      <c r="H12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Helper'!$F$5:$F$3004,"""")&lt;&gt;""""),ROWS(H$5:H1252)),"""")"),"")</f>
        <v/>
      </c>
    </row>
    <row r="1253" ht="15.75" customHeight="1">
      <c r="A12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Helper'!$F$5:$F$3004,"""")&lt;&gt;""""),ROWS(A$5:A1253)),"""")"),"")</f>
        <v/>
      </c>
      <c r="B12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Helper'!$F$5:$F$3004,"""")&lt;&gt;""""),ROWS(B$5:B1253)),"""")"),"")</f>
        <v/>
      </c>
      <c r="C12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Helper'!$F$5:$F$3004,"""")&lt;&gt;""""),ROWS(C$5:C1253)),"""")"),"")</f>
        <v/>
      </c>
      <c r="D12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Helper'!$F$5:$F$3004,"""")&lt;&gt;""""),ROWS(D$5:D1253)),"""")"),"")</f>
        <v/>
      </c>
      <c r="E12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Helper'!$F$5:$F$3004,"""")&lt;&gt;""""),ROWS(E$5:E1253)),"""")"),"")</f>
        <v/>
      </c>
      <c r="F12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Helper'!$F$5:$F$3004,"""")&lt;&gt;""""),ROWS(F$5:F1253)),IF(AND(LEFT(x,5)=""Pag"&amp;"e "",ISERROR(SEARCH(""–"",x))),x&amp;""–""&amp;REGEXEXTRACT(x,""[0-9]+$""),x)),"""")"),"")</f>
        <v/>
      </c>
      <c r="G1253" s="163"/>
      <c r="H12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Helper'!$F$5:$F$3004,"""")&lt;&gt;""""),ROWS(H$5:H1253)),"""")"),"")</f>
        <v/>
      </c>
    </row>
    <row r="1254" ht="15.75" customHeight="1">
      <c r="A12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Helper'!$F$5:$F$3004,"""")&lt;&gt;""""),ROWS(A$5:A1254)),"""")"),"")</f>
        <v/>
      </c>
      <c r="B12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Helper'!$F$5:$F$3004,"""")&lt;&gt;""""),ROWS(B$5:B1254)),"""")"),"")</f>
        <v/>
      </c>
      <c r="C12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Helper'!$F$5:$F$3004,"""")&lt;&gt;""""),ROWS(C$5:C1254)),"""")"),"")</f>
        <v/>
      </c>
      <c r="D12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Helper'!$F$5:$F$3004,"""")&lt;&gt;""""),ROWS(D$5:D1254)),"""")"),"")</f>
        <v/>
      </c>
      <c r="E12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Helper'!$F$5:$F$3004,"""")&lt;&gt;""""),ROWS(E$5:E1254)),"""")"),"")</f>
        <v/>
      </c>
      <c r="F12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Helper'!$F$5:$F$3004,"""")&lt;&gt;""""),ROWS(F$5:F1254)),IF(AND(LEFT(x,5)=""Pag"&amp;"e "",ISERROR(SEARCH(""–"",x))),x&amp;""–""&amp;REGEXEXTRACT(x,""[0-9]+$""),x)),"""")"),"")</f>
        <v/>
      </c>
      <c r="G1254" s="163"/>
      <c r="H12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Helper'!$F$5:$F$3004,"""")&lt;&gt;""""),ROWS(H$5:H1254)),"""")"),"")</f>
        <v/>
      </c>
    </row>
    <row r="1255" ht="15.75" customHeight="1">
      <c r="A12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Helper'!$F$5:$F$3004,"""")&lt;&gt;""""),ROWS(A$5:A1255)),"""")"),"")</f>
        <v/>
      </c>
      <c r="B12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Helper'!$F$5:$F$3004,"""")&lt;&gt;""""),ROWS(B$5:B1255)),"""")"),"")</f>
        <v/>
      </c>
      <c r="C12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Helper'!$F$5:$F$3004,"""")&lt;&gt;""""),ROWS(C$5:C1255)),"""")"),"")</f>
        <v/>
      </c>
      <c r="D12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Helper'!$F$5:$F$3004,"""")&lt;&gt;""""),ROWS(D$5:D1255)),"""")"),"")</f>
        <v/>
      </c>
      <c r="E12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Helper'!$F$5:$F$3004,"""")&lt;&gt;""""),ROWS(E$5:E1255)),"""")"),"")</f>
        <v/>
      </c>
      <c r="F12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Helper'!$F$5:$F$3004,"""")&lt;&gt;""""),ROWS(F$5:F1255)),IF(AND(LEFT(x,5)=""Pag"&amp;"e "",ISERROR(SEARCH(""–"",x))),x&amp;""–""&amp;REGEXEXTRACT(x,""[0-9]+$""),x)),"""")"),"")</f>
        <v/>
      </c>
      <c r="G1255" s="163"/>
      <c r="H12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Helper'!$F$5:$F$3004,"""")&lt;&gt;""""),ROWS(H$5:H1255)),"""")"),"")</f>
        <v/>
      </c>
    </row>
    <row r="1256" ht="15.75" customHeight="1">
      <c r="A12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Helper'!$F$5:$F$3004,"""")&lt;&gt;""""),ROWS(A$5:A1256)),"""")"),"")</f>
        <v/>
      </c>
      <c r="B12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Helper'!$F$5:$F$3004,"""")&lt;&gt;""""),ROWS(B$5:B1256)),"""")"),"")</f>
        <v/>
      </c>
      <c r="C12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Helper'!$F$5:$F$3004,"""")&lt;&gt;""""),ROWS(C$5:C1256)),"""")"),"")</f>
        <v/>
      </c>
      <c r="D12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Helper'!$F$5:$F$3004,"""")&lt;&gt;""""),ROWS(D$5:D1256)),"""")"),"")</f>
        <v/>
      </c>
      <c r="E12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Helper'!$F$5:$F$3004,"""")&lt;&gt;""""),ROWS(E$5:E1256)),"""")"),"")</f>
        <v/>
      </c>
      <c r="F12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Helper'!$F$5:$F$3004,"""")&lt;&gt;""""),ROWS(F$5:F1256)),IF(AND(LEFT(x,5)=""Pag"&amp;"e "",ISERROR(SEARCH(""–"",x))),x&amp;""–""&amp;REGEXEXTRACT(x,""[0-9]+$""),x)),"""")"),"")</f>
        <v/>
      </c>
      <c r="G1256" s="163"/>
      <c r="H12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Helper'!$F$5:$F$3004,"""")&lt;&gt;""""),ROWS(H$5:H1256)),"""")"),"")</f>
        <v/>
      </c>
    </row>
    <row r="1257" ht="15.75" customHeight="1">
      <c r="A12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Helper'!$F$5:$F$3004,"""")&lt;&gt;""""),ROWS(A$5:A1257)),"""")"),"")</f>
        <v/>
      </c>
      <c r="B12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Helper'!$F$5:$F$3004,"""")&lt;&gt;""""),ROWS(B$5:B1257)),"""")"),"")</f>
        <v/>
      </c>
      <c r="C12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Helper'!$F$5:$F$3004,"""")&lt;&gt;""""),ROWS(C$5:C1257)),"""")"),"")</f>
        <v/>
      </c>
      <c r="D12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Helper'!$F$5:$F$3004,"""")&lt;&gt;""""),ROWS(D$5:D1257)),"""")"),"")</f>
        <v/>
      </c>
      <c r="E12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Helper'!$F$5:$F$3004,"""")&lt;&gt;""""),ROWS(E$5:E1257)),"""")"),"")</f>
        <v/>
      </c>
      <c r="F12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Helper'!$F$5:$F$3004,"""")&lt;&gt;""""),ROWS(F$5:F1257)),IF(AND(LEFT(x,5)=""Pag"&amp;"e "",ISERROR(SEARCH(""–"",x))),x&amp;""–""&amp;REGEXEXTRACT(x,""[0-9]+$""),x)),"""")"),"")</f>
        <v/>
      </c>
      <c r="G1257" s="163"/>
      <c r="H12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Helper'!$F$5:$F$3004,"""")&lt;&gt;""""),ROWS(H$5:H1257)),"""")"),"")</f>
        <v/>
      </c>
    </row>
    <row r="1258" ht="15.75" customHeight="1">
      <c r="A12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Helper'!$F$5:$F$3004,"""")&lt;&gt;""""),ROWS(A$5:A1258)),"""")"),"")</f>
        <v/>
      </c>
      <c r="B12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Helper'!$F$5:$F$3004,"""")&lt;&gt;""""),ROWS(B$5:B1258)),"""")"),"")</f>
        <v/>
      </c>
      <c r="C12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Helper'!$F$5:$F$3004,"""")&lt;&gt;""""),ROWS(C$5:C1258)),"""")"),"")</f>
        <v/>
      </c>
      <c r="D12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Helper'!$F$5:$F$3004,"""")&lt;&gt;""""),ROWS(D$5:D1258)),"""")"),"")</f>
        <v/>
      </c>
      <c r="E12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Helper'!$F$5:$F$3004,"""")&lt;&gt;""""),ROWS(E$5:E1258)),"""")"),"")</f>
        <v/>
      </c>
      <c r="F12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Helper'!$F$5:$F$3004,"""")&lt;&gt;""""),ROWS(F$5:F1258)),IF(AND(LEFT(x,5)=""Pag"&amp;"e "",ISERROR(SEARCH(""–"",x))),x&amp;""–""&amp;REGEXEXTRACT(x,""[0-9]+$""),x)),"""")"),"")</f>
        <v/>
      </c>
      <c r="G1258" s="163"/>
      <c r="H12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Helper'!$F$5:$F$3004,"""")&lt;&gt;""""),ROWS(H$5:H1258)),"""")"),"")</f>
        <v/>
      </c>
    </row>
    <row r="1259" ht="15.75" customHeight="1">
      <c r="A12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Helper'!$F$5:$F$3004,"""")&lt;&gt;""""),ROWS(A$5:A1259)),"""")"),"")</f>
        <v/>
      </c>
      <c r="B12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Helper'!$F$5:$F$3004,"""")&lt;&gt;""""),ROWS(B$5:B1259)),"""")"),"")</f>
        <v/>
      </c>
      <c r="C12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Helper'!$F$5:$F$3004,"""")&lt;&gt;""""),ROWS(C$5:C1259)),"""")"),"")</f>
        <v/>
      </c>
      <c r="D12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Helper'!$F$5:$F$3004,"""")&lt;&gt;""""),ROWS(D$5:D1259)),"""")"),"")</f>
        <v/>
      </c>
      <c r="E12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Helper'!$F$5:$F$3004,"""")&lt;&gt;""""),ROWS(E$5:E1259)),"""")"),"")</f>
        <v/>
      </c>
      <c r="F12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Helper'!$F$5:$F$3004,"""")&lt;&gt;""""),ROWS(F$5:F1259)),IF(AND(LEFT(x,5)=""Pag"&amp;"e "",ISERROR(SEARCH(""–"",x))),x&amp;""–""&amp;REGEXEXTRACT(x,""[0-9]+$""),x)),"""")"),"")</f>
        <v/>
      </c>
      <c r="G1259" s="163"/>
      <c r="H12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Helper'!$F$5:$F$3004,"""")&lt;&gt;""""),ROWS(H$5:H1259)),"""")"),"")</f>
        <v/>
      </c>
    </row>
    <row r="1260" ht="15.75" customHeight="1">
      <c r="A12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Helper'!$F$5:$F$3004,"""")&lt;&gt;""""),ROWS(A$5:A1260)),"""")"),"")</f>
        <v/>
      </c>
      <c r="B12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Helper'!$F$5:$F$3004,"""")&lt;&gt;""""),ROWS(B$5:B1260)),"""")"),"")</f>
        <v/>
      </c>
      <c r="C12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Helper'!$F$5:$F$3004,"""")&lt;&gt;""""),ROWS(C$5:C1260)),"""")"),"")</f>
        <v/>
      </c>
      <c r="D12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Helper'!$F$5:$F$3004,"""")&lt;&gt;""""),ROWS(D$5:D1260)),"""")"),"")</f>
        <v/>
      </c>
      <c r="E12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Helper'!$F$5:$F$3004,"""")&lt;&gt;""""),ROWS(E$5:E1260)),"""")"),"")</f>
        <v/>
      </c>
      <c r="F12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Helper'!$F$5:$F$3004,"""")&lt;&gt;""""),ROWS(F$5:F1260)),IF(AND(LEFT(x,5)=""Pag"&amp;"e "",ISERROR(SEARCH(""–"",x))),x&amp;""–""&amp;REGEXEXTRACT(x,""[0-9]+$""),x)),"""")"),"")</f>
        <v/>
      </c>
      <c r="G1260" s="163"/>
      <c r="H12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Helper'!$F$5:$F$3004,"""")&lt;&gt;""""),ROWS(H$5:H1260)),"""")"),"")</f>
        <v/>
      </c>
    </row>
    <row r="1261" ht="15.75" customHeight="1">
      <c r="A12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Helper'!$F$5:$F$3004,"""")&lt;&gt;""""),ROWS(A$5:A1261)),"""")"),"")</f>
        <v/>
      </c>
      <c r="B12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Helper'!$F$5:$F$3004,"""")&lt;&gt;""""),ROWS(B$5:B1261)),"""")"),"")</f>
        <v/>
      </c>
      <c r="C12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Helper'!$F$5:$F$3004,"""")&lt;&gt;""""),ROWS(C$5:C1261)),"""")"),"")</f>
        <v/>
      </c>
      <c r="D12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Helper'!$F$5:$F$3004,"""")&lt;&gt;""""),ROWS(D$5:D1261)),"""")"),"")</f>
        <v/>
      </c>
      <c r="E12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Helper'!$F$5:$F$3004,"""")&lt;&gt;""""),ROWS(E$5:E1261)),"""")"),"")</f>
        <v/>
      </c>
      <c r="F12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Helper'!$F$5:$F$3004,"""")&lt;&gt;""""),ROWS(F$5:F1261)),IF(AND(LEFT(x,5)=""Pag"&amp;"e "",ISERROR(SEARCH(""–"",x))),x&amp;""–""&amp;REGEXEXTRACT(x,""[0-9]+$""),x)),"""")"),"")</f>
        <v/>
      </c>
      <c r="G1261" s="163"/>
      <c r="H12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Helper'!$F$5:$F$3004,"""")&lt;&gt;""""),ROWS(H$5:H1261)),"""")"),"")</f>
        <v/>
      </c>
    </row>
    <row r="1262" ht="15.75" customHeight="1">
      <c r="A12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Helper'!$F$5:$F$3004,"""")&lt;&gt;""""),ROWS(A$5:A1262)),"""")"),"")</f>
        <v/>
      </c>
      <c r="B12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Helper'!$F$5:$F$3004,"""")&lt;&gt;""""),ROWS(B$5:B1262)),"""")"),"")</f>
        <v/>
      </c>
      <c r="C12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Helper'!$F$5:$F$3004,"""")&lt;&gt;""""),ROWS(C$5:C1262)),"""")"),"")</f>
        <v/>
      </c>
      <c r="D12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Helper'!$F$5:$F$3004,"""")&lt;&gt;""""),ROWS(D$5:D1262)),"""")"),"")</f>
        <v/>
      </c>
      <c r="E12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Helper'!$F$5:$F$3004,"""")&lt;&gt;""""),ROWS(E$5:E1262)),"""")"),"")</f>
        <v/>
      </c>
      <c r="F12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Helper'!$F$5:$F$3004,"""")&lt;&gt;""""),ROWS(F$5:F1262)),IF(AND(LEFT(x,5)=""Pag"&amp;"e "",ISERROR(SEARCH(""–"",x))),x&amp;""–""&amp;REGEXEXTRACT(x,""[0-9]+$""),x)),"""")"),"")</f>
        <v/>
      </c>
      <c r="G1262" s="163"/>
      <c r="H12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Helper'!$F$5:$F$3004,"""")&lt;&gt;""""),ROWS(H$5:H1262)),"""")"),"")</f>
        <v/>
      </c>
    </row>
    <row r="1263" ht="15.75" customHeight="1">
      <c r="A12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Helper'!$F$5:$F$3004,"""")&lt;&gt;""""),ROWS(A$5:A1263)),"""")"),"")</f>
        <v/>
      </c>
      <c r="B12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Helper'!$F$5:$F$3004,"""")&lt;&gt;""""),ROWS(B$5:B1263)),"""")"),"")</f>
        <v/>
      </c>
      <c r="C12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Helper'!$F$5:$F$3004,"""")&lt;&gt;""""),ROWS(C$5:C1263)),"""")"),"")</f>
        <v/>
      </c>
      <c r="D12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Helper'!$F$5:$F$3004,"""")&lt;&gt;""""),ROWS(D$5:D1263)),"""")"),"")</f>
        <v/>
      </c>
      <c r="E12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Helper'!$F$5:$F$3004,"""")&lt;&gt;""""),ROWS(E$5:E1263)),"""")"),"")</f>
        <v/>
      </c>
      <c r="F12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Helper'!$F$5:$F$3004,"""")&lt;&gt;""""),ROWS(F$5:F1263)),IF(AND(LEFT(x,5)=""Pag"&amp;"e "",ISERROR(SEARCH(""–"",x))),x&amp;""–""&amp;REGEXEXTRACT(x,""[0-9]+$""),x)),"""")"),"")</f>
        <v/>
      </c>
      <c r="G1263" s="163"/>
      <c r="H12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Helper'!$F$5:$F$3004,"""")&lt;&gt;""""),ROWS(H$5:H1263)),"""")"),"")</f>
        <v/>
      </c>
    </row>
    <row r="1264" ht="15.75" customHeight="1">
      <c r="A12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Helper'!$F$5:$F$3004,"""")&lt;&gt;""""),ROWS(A$5:A1264)),"""")"),"")</f>
        <v/>
      </c>
      <c r="B12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Helper'!$F$5:$F$3004,"""")&lt;&gt;""""),ROWS(B$5:B1264)),"""")"),"")</f>
        <v/>
      </c>
      <c r="C12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Helper'!$F$5:$F$3004,"""")&lt;&gt;""""),ROWS(C$5:C1264)),"""")"),"")</f>
        <v/>
      </c>
      <c r="D12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Helper'!$F$5:$F$3004,"""")&lt;&gt;""""),ROWS(D$5:D1264)),"""")"),"")</f>
        <v/>
      </c>
      <c r="E12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Helper'!$F$5:$F$3004,"""")&lt;&gt;""""),ROWS(E$5:E1264)),"""")"),"")</f>
        <v/>
      </c>
      <c r="F12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Helper'!$F$5:$F$3004,"""")&lt;&gt;""""),ROWS(F$5:F1264)),IF(AND(LEFT(x,5)=""Pag"&amp;"e "",ISERROR(SEARCH(""–"",x))),x&amp;""–""&amp;REGEXEXTRACT(x,""[0-9]+$""),x)),"""")"),"")</f>
        <v/>
      </c>
      <c r="G1264" s="163"/>
      <c r="H12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Helper'!$F$5:$F$3004,"""")&lt;&gt;""""),ROWS(H$5:H1264)),"""")"),"")</f>
        <v/>
      </c>
    </row>
    <row r="1265" ht="15.75" customHeight="1">
      <c r="A12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Helper'!$F$5:$F$3004,"""")&lt;&gt;""""),ROWS(A$5:A1265)),"""")"),"")</f>
        <v/>
      </c>
      <c r="B12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Helper'!$F$5:$F$3004,"""")&lt;&gt;""""),ROWS(B$5:B1265)),"""")"),"")</f>
        <v/>
      </c>
      <c r="C12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Helper'!$F$5:$F$3004,"""")&lt;&gt;""""),ROWS(C$5:C1265)),"""")"),"")</f>
        <v/>
      </c>
      <c r="D12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Helper'!$F$5:$F$3004,"""")&lt;&gt;""""),ROWS(D$5:D1265)),"""")"),"")</f>
        <v/>
      </c>
      <c r="E12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Helper'!$F$5:$F$3004,"""")&lt;&gt;""""),ROWS(E$5:E1265)),"""")"),"")</f>
        <v/>
      </c>
      <c r="F12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Helper'!$F$5:$F$3004,"""")&lt;&gt;""""),ROWS(F$5:F1265)),IF(AND(LEFT(x,5)=""Pag"&amp;"e "",ISERROR(SEARCH(""–"",x))),x&amp;""–""&amp;REGEXEXTRACT(x,""[0-9]+$""),x)),"""")"),"")</f>
        <v/>
      </c>
      <c r="G1265" s="163"/>
      <c r="H12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Helper'!$F$5:$F$3004,"""")&lt;&gt;""""),ROWS(H$5:H1265)),"""")"),"")</f>
        <v/>
      </c>
    </row>
    <row r="1266" ht="15.75" customHeight="1">
      <c r="A12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Helper'!$F$5:$F$3004,"""")&lt;&gt;""""),ROWS(A$5:A1266)),"""")"),"")</f>
        <v/>
      </c>
      <c r="B12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Helper'!$F$5:$F$3004,"""")&lt;&gt;""""),ROWS(B$5:B1266)),"""")"),"")</f>
        <v/>
      </c>
      <c r="C12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Helper'!$F$5:$F$3004,"""")&lt;&gt;""""),ROWS(C$5:C1266)),"""")"),"")</f>
        <v/>
      </c>
      <c r="D12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Helper'!$F$5:$F$3004,"""")&lt;&gt;""""),ROWS(D$5:D1266)),"""")"),"")</f>
        <v/>
      </c>
      <c r="E12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Helper'!$F$5:$F$3004,"""")&lt;&gt;""""),ROWS(E$5:E1266)),"""")"),"")</f>
        <v/>
      </c>
      <c r="F12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Helper'!$F$5:$F$3004,"""")&lt;&gt;""""),ROWS(F$5:F1266)),IF(AND(LEFT(x,5)=""Pag"&amp;"e "",ISERROR(SEARCH(""–"",x))),x&amp;""–""&amp;REGEXEXTRACT(x,""[0-9]+$""),x)),"""")"),"")</f>
        <v/>
      </c>
      <c r="G1266" s="163"/>
      <c r="H12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Helper'!$F$5:$F$3004,"""")&lt;&gt;""""),ROWS(H$5:H1266)),"""")"),"")</f>
        <v/>
      </c>
    </row>
    <row r="1267" ht="15.75" customHeight="1">
      <c r="A12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Helper'!$F$5:$F$3004,"""")&lt;&gt;""""),ROWS(A$5:A1267)),"""")"),"")</f>
        <v/>
      </c>
      <c r="B12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Helper'!$F$5:$F$3004,"""")&lt;&gt;""""),ROWS(B$5:B1267)),"""")"),"")</f>
        <v/>
      </c>
      <c r="C12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Helper'!$F$5:$F$3004,"""")&lt;&gt;""""),ROWS(C$5:C1267)),"""")"),"")</f>
        <v/>
      </c>
      <c r="D12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Helper'!$F$5:$F$3004,"""")&lt;&gt;""""),ROWS(D$5:D1267)),"""")"),"")</f>
        <v/>
      </c>
      <c r="E12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Helper'!$F$5:$F$3004,"""")&lt;&gt;""""),ROWS(E$5:E1267)),"""")"),"")</f>
        <v/>
      </c>
      <c r="F12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Helper'!$F$5:$F$3004,"""")&lt;&gt;""""),ROWS(F$5:F1267)),IF(AND(LEFT(x,5)=""Pag"&amp;"e "",ISERROR(SEARCH(""–"",x))),x&amp;""–""&amp;REGEXEXTRACT(x,""[0-9]+$""),x)),"""")"),"")</f>
        <v/>
      </c>
      <c r="G1267" s="163"/>
      <c r="H12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Helper'!$F$5:$F$3004,"""")&lt;&gt;""""),ROWS(H$5:H1267)),"""")"),"")</f>
        <v/>
      </c>
    </row>
    <row r="1268" ht="15.75" customHeight="1">
      <c r="A12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Helper'!$F$5:$F$3004,"""")&lt;&gt;""""),ROWS(A$5:A1268)),"""")"),"")</f>
        <v/>
      </c>
      <c r="B12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Helper'!$F$5:$F$3004,"""")&lt;&gt;""""),ROWS(B$5:B1268)),"""")"),"")</f>
        <v/>
      </c>
      <c r="C12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Helper'!$F$5:$F$3004,"""")&lt;&gt;""""),ROWS(C$5:C1268)),"""")"),"")</f>
        <v/>
      </c>
      <c r="D12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Helper'!$F$5:$F$3004,"""")&lt;&gt;""""),ROWS(D$5:D1268)),"""")"),"")</f>
        <v/>
      </c>
      <c r="E12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Helper'!$F$5:$F$3004,"""")&lt;&gt;""""),ROWS(E$5:E1268)),"""")"),"")</f>
        <v/>
      </c>
      <c r="F12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Helper'!$F$5:$F$3004,"""")&lt;&gt;""""),ROWS(F$5:F1268)),IF(AND(LEFT(x,5)=""Pag"&amp;"e "",ISERROR(SEARCH(""–"",x))),x&amp;""–""&amp;REGEXEXTRACT(x,""[0-9]+$""),x)),"""")"),"")</f>
        <v/>
      </c>
      <c r="G1268" s="163"/>
      <c r="H12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Helper'!$F$5:$F$3004,"""")&lt;&gt;""""),ROWS(H$5:H1268)),"""")"),"")</f>
        <v/>
      </c>
    </row>
    <row r="1269" ht="15.75" customHeight="1">
      <c r="A12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Helper'!$F$5:$F$3004,"""")&lt;&gt;""""),ROWS(A$5:A1269)),"""")"),"")</f>
        <v/>
      </c>
      <c r="B12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Helper'!$F$5:$F$3004,"""")&lt;&gt;""""),ROWS(B$5:B1269)),"""")"),"")</f>
        <v/>
      </c>
      <c r="C12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Helper'!$F$5:$F$3004,"""")&lt;&gt;""""),ROWS(C$5:C1269)),"""")"),"")</f>
        <v/>
      </c>
      <c r="D12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Helper'!$F$5:$F$3004,"""")&lt;&gt;""""),ROWS(D$5:D1269)),"""")"),"")</f>
        <v/>
      </c>
      <c r="E12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Helper'!$F$5:$F$3004,"""")&lt;&gt;""""),ROWS(E$5:E1269)),"""")"),"")</f>
        <v/>
      </c>
      <c r="F12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Helper'!$F$5:$F$3004,"""")&lt;&gt;""""),ROWS(F$5:F1269)),IF(AND(LEFT(x,5)=""Pag"&amp;"e "",ISERROR(SEARCH(""–"",x))),x&amp;""–""&amp;REGEXEXTRACT(x,""[0-9]+$""),x)),"""")"),"")</f>
        <v/>
      </c>
      <c r="G1269" s="163"/>
      <c r="H12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Helper'!$F$5:$F$3004,"""")&lt;&gt;""""),ROWS(H$5:H1269)),"""")"),"")</f>
        <v/>
      </c>
    </row>
    <row r="1270" ht="15.75" customHeight="1">
      <c r="A12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Helper'!$F$5:$F$3004,"""")&lt;&gt;""""),ROWS(A$5:A1270)),"""")"),"")</f>
        <v/>
      </c>
      <c r="B12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Helper'!$F$5:$F$3004,"""")&lt;&gt;""""),ROWS(B$5:B1270)),"""")"),"")</f>
        <v/>
      </c>
      <c r="C12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Helper'!$F$5:$F$3004,"""")&lt;&gt;""""),ROWS(C$5:C1270)),"""")"),"")</f>
        <v/>
      </c>
      <c r="D12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Helper'!$F$5:$F$3004,"""")&lt;&gt;""""),ROWS(D$5:D1270)),"""")"),"")</f>
        <v/>
      </c>
      <c r="E12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Helper'!$F$5:$F$3004,"""")&lt;&gt;""""),ROWS(E$5:E1270)),"""")"),"")</f>
        <v/>
      </c>
      <c r="F12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Helper'!$F$5:$F$3004,"""")&lt;&gt;""""),ROWS(F$5:F1270)),IF(AND(LEFT(x,5)=""Pag"&amp;"e "",ISERROR(SEARCH(""–"",x))),x&amp;""–""&amp;REGEXEXTRACT(x,""[0-9]+$""),x)),"""")"),"")</f>
        <v/>
      </c>
      <c r="G1270" s="163"/>
      <c r="H12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Helper'!$F$5:$F$3004,"""")&lt;&gt;""""),ROWS(H$5:H1270)),"""")"),"")</f>
        <v/>
      </c>
    </row>
    <row r="1271" ht="15.75" customHeight="1">
      <c r="A12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Helper'!$F$5:$F$3004,"""")&lt;&gt;""""),ROWS(A$5:A1271)),"""")"),"")</f>
        <v/>
      </c>
      <c r="B12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Helper'!$F$5:$F$3004,"""")&lt;&gt;""""),ROWS(B$5:B1271)),"""")"),"")</f>
        <v/>
      </c>
      <c r="C12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Helper'!$F$5:$F$3004,"""")&lt;&gt;""""),ROWS(C$5:C1271)),"""")"),"")</f>
        <v/>
      </c>
      <c r="D12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Helper'!$F$5:$F$3004,"""")&lt;&gt;""""),ROWS(D$5:D1271)),"""")"),"")</f>
        <v/>
      </c>
      <c r="E12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Helper'!$F$5:$F$3004,"""")&lt;&gt;""""),ROWS(E$5:E1271)),"""")"),"")</f>
        <v/>
      </c>
      <c r="F12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Helper'!$F$5:$F$3004,"""")&lt;&gt;""""),ROWS(F$5:F1271)),IF(AND(LEFT(x,5)=""Pag"&amp;"e "",ISERROR(SEARCH(""–"",x))),x&amp;""–""&amp;REGEXEXTRACT(x,""[0-9]+$""),x)),"""")"),"")</f>
        <v/>
      </c>
      <c r="G1271" s="163"/>
      <c r="H12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Helper'!$F$5:$F$3004,"""")&lt;&gt;""""),ROWS(H$5:H1271)),"""")"),"")</f>
        <v/>
      </c>
    </row>
    <row r="1272" ht="15.75" customHeight="1">
      <c r="A12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Helper'!$F$5:$F$3004,"""")&lt;&gt;""""),ROWS(A$5:A1272)),"""")"),"")</f>
        <v/>
      </c>
      <c r="B12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Helper'!$F$5:$F$3004,"""")&lt;&gt;""""),ROWS(B$5:B1272)),"""")"),"")</f>
        <v/>
      </c>
      <c r="C12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Helper'!$F$5:$F$3004,"""")&lt;&gt;""""),ROWS(C$5:C1272)),"""")"),"")</f>
        <v/>
      </c>
      <c r="D12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Helper'!$F$5:$F$3004,"""")&lt;&gt;""""),ROWS(D$5:D1272)),"""")"),"")</f>
        <v/>
      </c>
      <c r="E12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Helper'!$F$5:$F$3004,"""")&lt;&gt;""""),ROWS(E$5:E1272)),"""")"),"")</f>
        <v/>
      </c>
      <c r="F12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Helper'!$F$5:$F$3004,"""")&lt;&gt;""""),ROWS(F$5:F1272)),IF(AND(LEFT(x,5)=""Pag"&amp;"e "",ISERROR(SEARCH(""–"",x))),x&amp;""–""&amp;REGEXEXTRACT(x,""[0-9]+$""),x)),"""")"),"")</f>
        <v/>
      </c>
      <c r="G1272" s="163"/>
      <c r="H12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Helper'!$F$5:$F$3004,"""")&lt;&gt;""""),ROWS(H$5:H1272)),"""")"),"")</f>
        <v/>
      </c>
    </row>
    <row r="1273" ht="15.75" customHeight="1">
      <c r="A12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Helper'!$F$5:$F$3004,"""")&lt;&gt;""""),ROWS(A$5:A1273)),"""")"),"")</f>
        <v/>
      </c>
      <c r="B12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Helper'!$F$5:$F$3004,"""")&lt;&gt;""""),ROWS(B$5:B1273)),"""")"),"")</f>
        <v/>
      </c>
      <c r="C12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Helper'!$F$5:$F$3004,"""")&lt;&gt;""""),ROWS(C$5:C1273)),"""")"),"")</f>
        <v/>
      </c>
      <c r="D12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Helper'!$F$5:$F$3004,"""")&lt;&gt;""""),ROWS(D$5:D1273)),"""")"),"")</f>
        <v/>
      </c>
      <c r="E12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Helper'!$F$5:$F$3004,"""")&lt;&gt;""""),ROWS(E$5:E1273)),"""")"),"")</f>
        <v/>
      </c>
      <c r="F12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Helper'!$F$5:$F$3004,"""")&lt;&gt;""""),ROWS(F$5:F1273)),IF(AND(LEFT(x,5)=""Pag"&amp;"e "",ISERROR(SEARCH(""–"",x))),x&amp;""–""&amp;REGEXEXTRACT(x,""[0-9]+$""),x)),"""")"),"")</f>
        <v/>
      </c>
      <c r="G1273" s="163"/>
      <c r="H12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Helper'!$F$5:$F$3004,"""")&lt;&gt;""""),ROWS(H$5:H1273)),"""")"),"")</f>
        <v/>
      </c>
    </row>
    <row r="1274" ht="15.75" customHeight="1">
      <c r="A12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Helper'!$F$5:$F$3004,"""")&lt;&gt;""""),ROWS(A$5:A1274)),"""")"),"")</f>
        <v/>
      </c>
      <c r="B12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Helper'!$F$5:$F$3004,"""")&lt;&gt;""""),ROWS(B$5:B1274)),"""")"),"")</f>
        <v/>
      </c>
      <c r="C12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Helper'!$F$5:$F$3004,"""")&lt;&gt;""""),ROWS(C$5:C1274)),"""")"),"")</f>
        <v/>
      </c>
      <c r="D12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Helper'!$F$5:$F$3004,"""")&lt;&gt;""""),ROWS(D$5:D1274)),"""")"),"")</f>
        <v/>
      </c>
      <c r="E12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Helper'!$F$5:$F$3004,"""")&lt;&gt;""""),ROWS(E$5:E1274)),"""")"),"")</f>
        <v/>
      </c>
      <c r="F12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Helper'!$F$5:$F$3004,"""")&lt;&gt;""""),ROWS(F$5:F1274)),IF(AND(LEFT(x,5)=""Pag"&amp;"e "",ISERROR(SEARCH(""–"",x))),x&amp;""–""&amp;REGEXEXTRACT(x,""[0-9]+$""),x)),"""")"),"")</f>
        <v/>
      </c>
      <c r="G1274" s="163"/>
      <c r="H12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Helper'!$F$5:$F$3004,"""")&lt;&gt;""""),ROWS(H$5:H1274)),"""")"),"")</f>
        <v/>
      </c>
    </row>
    <row r="1275" ht="15.75" customHeight="1">
      <c r="A12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Helper'!$F$5:$F$3004,"""")&lt;&gt;""""),ROWS(A$5:A1275)),"""")"),"")</f>
        <v/>
      </c>
      <c r="B12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Helper'!$F$5:$F$3004,"""")&lt;&gt;""""),ROWS(B$5:B1275)),"""")"),"")</f>
        <v/>
      </c>
      <c r="C12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Helper'!$F$5:$F$3004,"""")&lt;&gt;""""),ROWS(C$5:C1275)),"""")"),"")</f>
        <v/>
      </c>
      <c r="D12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Helper'!$F$5:$F$3004,"""")&lt;&gt;""""),ROWS(D$5:D1275)),"""")"),"")</f>
        <v/>
      </c>
      <c r="E12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Helper'!$F$5:$F$3004,"""")&lt;&gt;""""),ROWS(E$5:E1275)),"""")"),"")</f>
        <v/>
      </c>
      <c r="F12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Helper'!$F$5:$F$3004,"""")&lt;&gt;""""),ROWS(F$5:F1275)),IF(AND(LEFT(x,5)=""Pag"&amp;"e "",ISERROR(SEARCH(""–"",x))),x&amp;""–""&amp;REGEXEXTRACT(x,""[0-9]+$""),x)),"""")"),"")</f>
        <v/>
      </c>
      <c r="G1275" s="163"/>
      <c r="H12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Helper'!$F$5:$F$3004,"""")&lt;&gt;""""),ROWS(H$5:H1275)),"""")"),"")</f>
        <v/>
      </c>
    </row>
    <row r="1276" ht="15.75" customHeight="1">
      <c r="A12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Helper'!$F$5:$F$3004,"""")&lt;&gt;""""),ROWS(A$5:A1276)),"""")"),"")</f>
        <v/>
      </c>
      <c r="B12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Helper'!$F$5:$F$3004,"""")&lt;&gt;""""),ROWS(B$5:B1276)),"""")"),"")</f>
        <v/>
      </c>
      <c r="C12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Helper'!$F$5:$F$3004,"""")&lt;&gt;""""),ROWS(C$5:C1276)),"""")"),"")</f>
        <v/>
      </c>
      <c r="D12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Helper'!$F$5:$F$3004,"""")&lt;&gt;""""),ROWS(D$5:D1276)),"""")"),"")</f>
        <v/>
      </c>
      <c r="E12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Helper'!$F$5:$F$3004,"""")&lt;&gt;""""),ROWS(E$5:E1276)),"""")"),"")</f>
        <v/>
      </c>
      <c r="F12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Helper'!$F$5:$F$3004,"""")&lt;&gt;""""),ROWS(F$5:F1276)),IF(AND(LEFT(x,5)=""Pag"&amp;"e "",ISERROR(SEARCH(""–"",x))),x&amp;""–""&amp;REGEXEXTRACT(x,""[0-9]+$""),x)),"""")"),"")</f>
        <v/>
      </c>
      <c r="G1276" s="163"/>
      <c r="H12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Helper'!$F$5:$F$3004,"""")&lt;&gt;""""),ROWS(H$5:H1276)),"""")"),"")</f>
        <v/>
      </c>
    </row>
    <row r="1277" ht="15.75" customHeight="1">
      <c r="A12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Helper'!$F$5:$F$3004,"""")&lt;&gt;""""),ROWS(A$5:A1277)),"""")"),"")</f>
        <v/>
      </c>
      <c r="B12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Helper'!$F$5:$F$3004,"""")&lt;&gt;""""),ROWS(B$5:B1277)),"""")"),"")</f>
        <v/>
      </c>
      <c r="C12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Helper'!$F$5:$F$3004,"""")&lt;&gt;""""),ROWS(C$5:C1277)),"""")"),"")</f>
        <v/>
      </c>
      <c r="D12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Helper'!$F$5:$F$3004,"""")&lt;&gt;""""),ROWS(D$5:D1277)),"""")"),"")</f>
        <v/>
      </c>
      <c r="E12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Helper'!$F$5:$F$3004,"""")&lt;&gt;""""),ROWS(E$5:E1277)),"""")"),"")</f>
        <v/>
      </c>
      <c r="F12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Helper'!$F$5:$F$3004,"""")&lt;&gt;""""),ROWS(F$5:F1277)),IF(AND(LEFT(x,5)=""Pag"&amp;"e "",ISERROR(SEARCH(""–"",x))),x&amp;""–""&amp;REGEXEXTRACT(x,""[0-9]+$""),x)),"""")"),"")</f>
        <v/>
      </c>
      <c r="G1277" s="163"/>
      <c r="H12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Helper'!$F$5:$F$3004,"""")&lt;&gt;""""),ROWS(H$5:H1277)),"""")"),"")</f>
        <v/>
      </c>
    </row>
    <row r="1278" ht="15.75" customHeight="1">
      <c r="A12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Helper'!$F$5:$F$3004,"""")&lt;&gt;""""),ROWS(A$5:A1278)),"""")"),"")</f>
        <v/>
      </c>
      <c r="B12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Helper'!$F$5:$F$3004,"""")&lt;&gt;""""),ROWS(B$5:B1278)),"""")"),"")</f>
        <v/>
      </c>
      <c r="C12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Helper'!$F$5:$F$3004,"""")&lt;&gt;""""),ROWS(C$5:C1278)),"""")"),"")</f>
        <v/>
      </c>
      <c r="D12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Helper'!$F$5:$F$3004,"""")&lt;&gt;""""),ROWS(D$5:D1278)),"""")"),"")</f>
        <v/>
      </c>
      <c r="E12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Helper'!$F$5:$F$3004,"""")&lt;&gt;""""),ROWS(E$5:E1278)),"""")"),"")</f>
        <v/>
      </c>
      <c r="F12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Helper'!$F$5:$F$3004,"""")&lt;&gt;""""),ROWS(F$5:F1278)),IF(AND(LEFT(x,5)=""Pag"&amp;"e "",ISERROR(SEARCH(""–"",x))),x&amp;""–""&amp;REGEXEXTRACT(x,""[0-9]+$""),x)),"""")"),"")</f>
        <v/>
      </c>
      <c r="G1278" s="163"/>
      <c r="H12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Helper'!$F$5:$F$3004,"""")&lt;&gt;""""),ROWS(H$5:H1278)),"""")"),"")</f>
        <v/>
      </c>
    </row>
    <row r="1279" ht="15.75" customHeight="1">
      <c r="A12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Helper'!$F$5:$F$3004,"""")&lt;&gt;""""),ROWS(A$5:A1279)),"""")"),"")</f>
        <v/>
      </c>
      <c r="B12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Helper'!$F$5:$F$3004,"""")&lt;&gt;""""),ROWS(B$5:B1279)),"""")"),"")</f>
        <v/>
      </c>
      <c r="C12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Helper'!$F$5:$F$3004,"""")&lt;&gt;""""),ROWS(C$5:C1279)),"""")"),"")</f>
        <v/>
      </c>
      <c r="D12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Helper'!$F$5:$F$3004,"""")&lt;&gt;""""),ROWS(D$5:D1279)),"""")"),"")</f>
        <v/>
      </c>
      <c r="E12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Helper'!$F$5:$F$3004,"""")&lt;&gt;""""),ROWS(E$5:E1279)),"""")"),"")</f>
        <v/>
      </c>
      <c r="F12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Helper'!$F$5:$F$3004,"""")&lt;&gt;""""),ROWS(F$5:F1279)),IF(AND(LEFT(x,5)=""Pag"&amp;"e "",ISERROR(SEARCH(""–"",x))),x&amp;""–""&amp;REGEXEXTRACT(x,""[0-9]+$""),x)),"""")"),"")</f>
        <v/>
      </c>
      <c r="G1279" s="163"/>
      <c r="H12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Helper'!$F$5:$F$3004,"""")&lt;&gt;""""),ROWS(H$5:H1279)),"""")"),"")</f>
        <v/>
      </c>
    </row>
    <row r="1280" ht="15.75" customHeight="1">
      <c r="A12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Helper'!$F$5:$F$3004,"""")&lt;&gt;""""),ROWS(A$5:A1280)),"""")"),"")</f>
        <v/>
      </c>
      <c r="B12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Helper'!$F$5:$F$3004,"""")&lt;&gt;""""),ROWS(B$5:B1280)),"""")"),"")</f>
        <v/>
      </c>
      <c r="C12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Helper'!$F$5:$F$3004,"""")&lt;&gt;""""),ROWS(C$5:C1280)),"""")"),"")</f>
        <v/>
      </c>
      <c r="D12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Helper'!$F$5:$F$3004,"""")&lt;&gt;""""),ROWS(D$5:D1280)),"""")"),"")</f>
        <v/>
      </c>
      <c r="E12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Helper'!$F$5:$F$3004,"""")&lt;&gt;""""),ROWS(E$5:E1280)),"""")"),"")</f>
        <v/>
      </c>
      <c r="F12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Helper'!$F$5:$F$3004,"""")&lt;&gt;""""),ROWS(F$5:F1280)),IF(AND(LEFT(x,5)=""Pag"&amp;"e "",ISERROR(SEARCH(""–"",x))),x&amp;""–""&amp;REGEXEXTRACT(x,""[0-9]+$""),x)),"""")"),"")</f>
        <v/>
      </c>
      <c r="G1280" s="163"/>
      <c r="H12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Helper'!$F$5:$F$3004,"""")&lt;&gt;""""),ROWS(H$5:H1280)),"""")"),"")</f>
        <v/>
      </c>
    </row>
    <row r="1281" ht="15.75" customHeight="1">
      <c r="A12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Helper'!$F$5:$F$3004,"""")&lt;&gt;""""),ROWS(A$5:A1281)),"""")"),"")</f>
        <v/>
      </c>
      <c r="B12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Helper'!$F$5:$F$3004,"""")&lt;&gt;""""),ROWS(B$5:B1281)),"""")"),"")</f>
        <v/>
      </c>
      <c r="C12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Helper'!$F$5:$F$3004,"""")&lt;&gt;""""),ROWS(C$5:C1281)),"""")"),"")</f>
        <v/>
      </c>
      <c r="D12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Helper'!$F$5:$F$3004,"""")&lt;&gt;""""),ROWS(D$5:D1281)),"""")"),"")</f>
        <v/>
      </c>
      <c r="E12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Helper'!$F$5:$F$3004,"""")&lt;&gt;""""),ROWS(E$5:E1281)),"""")"),"")</f>
        <v/>
      </c>
      <c r="F12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Helper'!$F$5:$F$3004,"""")&lt;&gt;""""),ROWS(F$5:F1281)),IF(AND(LEFT(x,5)=""Pag"&amp;"e "",ISERROR(SEARCH(""–"",x))),x&amp;""–""&amp;REGEXEXTRACT(x,""[0-9]+$""),x)),"""")"),"")</f>
        <v/>
      </c>
      <c r="G1281" s="163"/>
      <c r="H12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Helper'!$F$5:$F$3004,"""")&lt;&gt;""""),ROWS(H$5:H1281)),"""")"),"")</f>
        <v/>
      </c>
    </row>
    <row r="1282" ht="15.75" customHeight="1">
      <c r="A12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Helper'!$F$5:$F$3004,"""")&lt;&gt;""""),ROWS(A$5:A1282)),"""")"),"")</f>
        <v/>
      </c>
      <c r="B12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Helper'!$F$5:$F$3004,"""")&lt;&gt;""""),ROWS(B$5:B1282)),"""")"),"")</f>
        <v/>
      </c>
      <c r="C12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Helper'!$F$5:$F$3004,"""")&lt;&gt;""""),ROWS(C$5:C1282)),"""")"),"")</f>
        <v/>
      </c>
      <c r="D12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Helper'!$F$5:$F$3004,"""")&lt;&gt;""""),ROWS(D$5:D1282)),"""")"),"")</f>
        <v/>
      </c>
      <c r="E12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Helper'!$F$5:$F$3004,"""")&lt;&gt;""""),ROWS(E$5:E1282)),"""")"),"")</f>
        <v/>
      </c>
      <c r="F12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Helper'!$F$5:$F$3004,"""")&lt;&gt;""""),ROWS(F$5:F1282)),IF(AND(LEFT(x,5)=""Pag"&amp;"e "",ISERROR(SEARCH(""–"",x))),x&amp;""–""&amp;REGEXEXTRACT(x,""[0-9]+$""),x)),"""")"),"")</f>
        <v/>
      </c>
      <c r="G1282" s="163"/>
      <c r="H12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Helper'!$F$5:$F$3004,"""")&lt;&gt;""""),ROWS(H$5:H1282)),"""")"),"")</f>
        <v/>
      </c>
    </row>
    <row r="1283" ht="15.75" customHeight="1">
      <c r="A12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Helper'!$F$5:$F$3004,"""")&lt;&gt;""""),ROWS(A$5:A1283)),"""")"),"")</f>
        <v/>
      </c>
      <c r="B12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Helper'!$F$5:$F$3004,"""")&lt;&gt;""""),ROWS(B$5:B1283)),"""")"),"")</f>
        <v/>
      </c>
      <c r="C12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Helper'!$F$5:$F$3004,"""")&lt;&gt;""""),ROWS(C$5:C1283)),"""")"),"")</f>
        <v/>
      </c>
      <c r="D12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Helper'!$F$5:$F$3004,"""")&lt;&gt;""""),ROWS(D$5:D1283)),"""")"),"")</f>
        <v/>
      </c>
      <c r="E12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Helper'!$F$5:$F$3004,"""")&lt;&gt;""""),ROWS(E$5:E1283)),"""")"),"")</f>
        <v/>
      </c>
      <c r="F12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Helper'!$F$5:$F$3004,"""")&lt;&gt;""""),ROWS(F$5:F1283)),IF(AND(LEFT(x,5)=""Pag"&amp;"e "",ISERROR(SEARCH(""–"",x))),x&amp;""–""&amp;REGEXEXTRACT(x,""[0-9]+$""),x)),"""")"),"")</f>
        <v/>
      </c>
      <c r="G1283" s="163"/>
      <c r="H12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Helper'!$F$5:$F$3004,"""")&lt;&gt;""""),ROWS(H$5:H1283)),"""")"),"")</f>
        <v/>
      </c>
    </row>
    <row r="1284" ht="15.75" customHeight="1">
      <c r="A12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Helper'!$F$5:$F$3004,"""")&lt;&gt;""""),ROWS(A$5:A1284)),"""")"),"")</f>
        <v/>
      </c>
      <c r="B12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Helper'!$F$5:$F$3004,"""")&lt;&gt;""""),ROWS(B$5:B1284)),"""")"),"")</f>
        <v/>
      </c>
      <c r="C12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Helper'!$F$5:$F$3004,"""")&lt;&gt;""""),ROWS(C$5:C1284)),"""")"),"")</f>
        <v/>
      </c>
      <c r="D12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Helper'!$F$5:$F$3004,"""")&lt;&gt;""""),ROWS(D$5:D1284)),"""")"),"")</f>
        <v/>
      </c>
      <c r="E12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Helper'!$F$5:$F$3004,"""")&lt;&gt;""""),ROWS(E$5:E1284)),"""")"),"")</f>
        <v/>
      </c>
      <c r="F12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Helper'!$F$5:$F$3004,"""")&lt;&gt;""""),ROWS(F$5:F1284)),IF(AND(LEFT(x,5)=""Pag"&amp;"e "",ISERROR(SEARCH(""–"",x))),x&amp;""–""&amp;REGEXEXTRACT(x,""[0-9]+$""),x)),"""")"),"")</f>
        <v/>
      </c>
      <c r="G1284" s="163"/>
      <c r="H12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Helper'!$F$5:$F$3004,"""")&lt;&gt;""""),ROWS(H$5:H1284)),"""")"),"")</f>
        <v/>
      </c>
    </row>
    <row r="1285" ht="15.75" customHeight="1">
      <c r="A12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Helper'!$F$5:$F$3004,"""")&lt;&gt;""""),ROWS(A$5:A1285)),"""")"),"")</f>
        <v/>
      </c>
      <c r="B12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Helper'!$F$5:$F$3004,"""")&lt;&gt;""""),ROWS(B$5:B1285)),"""")"),"")</f>
        <v/>
      </c>
      <c r="C12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Helper'!$F$5:$F$3004,"""")&lt;&gt;""""),ROWS(C$5:C1285)),"""")"),"")</f>
        <v/>
      </c>
      <c r="D12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Helper'!$F$5:$F$3004,"""")&lt;&gt;""""),ROWS(D$5:D1285)),"""")"),"")</f>
        <v/>
      </c>
      <c r="E12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Helper'!$F$5:$F$3004,"""")&lt;&gt;""""),ROWS(E$5:E1285)),"""")"),"")</f>
        <v/>
      </c>
      <c r="F12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Helper'!$F$5:$F$3004,"""")&lt;&gt;""""),ROWS(F$5:F1285)),IF(AND(LEFT(x,5)=""Pag"&amp;"e "",ISERROR(SEARCH(""–"",x))),x&amp;""–""&amp;REGEXEXTRACT(x,""[0-9]+$""),x)),"""")"),"")</f>
        <v/>
      </c>
      <c r="G1285" s="163"/>
      <c r="H12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Helper'!$F$5:$F$3004,"""")&lt;&gt;""""),ROWS(H$5:H1285)),"""")"),"")</f>
        <v/>
      </c>
    </row>
    <row r="1286" ht="15.75" customHeight="1">
      <c r="A12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Helper'!$F$5:$F$3004,"""")&lt;&gt;""""),ROWS(A$5:A1286)),"""")"),"")</f>
        <v/>
      </c>
      <c r="B12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Helper'!$F$5:$F$3004,"""")&lt;&gt;""""),ROWS(B$5:B1286)),"""")"),"")</f>
        <v/>
      </c>
      <c r="C12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Helper'!$F$5:$F$3004,"""")&lt;&gt;""""),ROWS(C$5:C1286)),"""")"),"")</f>
        <v/>
      </c>
      <c r="D12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Helper'!$F$5:$F$3004,"""")&lt;&gt;""""),ROWS(D$5:D1286)),"""")"),"")</f>
        <v/>
      </c>
      <c r="E12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Helper'!$F$5:$F$3004,"""")&lt;&gt;""""),ROWS(E$5:E1286)),"""")"),"")</f>
        <v/>
      </c>
      <c r="F12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Helper'!$F$5:$F$3004,"""")&lt;&gt;""""),ROWS(F$5:F1286)),IF(AND(LEFT(x,5)=""Pag"&amp;"e "",ISERROR(SEARCH(""–"",x))),x&amp;""–""&amp;REGEXEXTRACT(x,""[0-9]+$""),x)),"""")"),"")</f>
        <v/>
      </c>
      <c r="G1286" s="163"/>
      <c r="H12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Helper'!$F$5:$F$3004,"""")&lt;&gt;""""),ROWS(H$5:H1286)),"""")"),"")</f>
        <v/>
      </c>
    </row>
    <row r="1287" ht="15.75" customHeight="1">
      <c r="A12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Helper'!$F$5:$F$3004,"""")&lt;&gt;""""),ROWS(A$5:A1287)),"""")"),"")</f>
        <v/>
      </c>
      <c r="B12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Helper'!$F$5:$F$3004,"""")&lt;&gt;""""),ROWS(B$5:B1287)),"""")"),"")</f>
        <v/>
      </c>
      <c r="C12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Helper'!$F$5:$F$3004,"""")&lt;&gt;""""),ROWS(C$5:C1287)),"""")"),"")</f>
        <v/>
      </c>
      <c r="D12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Helper'!$F$5:$F$3004,"""")&lt;&gt;""""),ROWS(D$5:D1287)),"""")"),"")</f>
        <v/>
      </c>
      <c r="E12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Helper'!$F$5:$F$3004,"""")&lt;&gt;""""),ROWS(E$5:E1287)),"""")"),"")</f>
        <v/>
      </c>
      <c r="F12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Helper'!$F$5:$F$3004,"""")&lt;&gt;""""),ROWS(F$5:F1287)),IF(AND(LEFT(x,5)=""Pag"&amp;"e "",ISERROR(SEARCH(""–"",x))),x&amp;""–""&amp;REGEXEXTRACT(x,""[0-9]+$""),x)),"""")"),"")</f>
        <v/>
      </c>
      <c r="G1287" s="163"/>
      <c r="H12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Helper'!$F$5:$F$3004,"""")&lt;&gt;""""),ROWS(H$5:H1287)),"""")"),"")</f>
        <v/>
      </c>
    </row>
    <row r="1288" ht="15.75" customHeight="1">
      <c r="A12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Helper'!$F$5:$F$3004,"""")&lt;&gt;""""),ROWS(A$5:A1288)),"""")"),"")</f>
        <v/>
      </c>
      <c r="B12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Helper'!$F$5:$F$3004,"""")&lt;&gt;""""),ROWS(B$5:B1288)),"""")"),"")</f>
        <v/>
      </c>
      <c r="C12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Helper'!$F$5:$F$3004,"""")&lt;&gt;""""),ROWS(C$5:C1288)),"""")"),"")</f>
        <v/>
      </c>
      <c r="D12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Helper'!$F$5:$F$3004,"""")&lt;&gt;""""),ROWS(D$5:D1288)),"""")"),"")</f>
        <v/>
      </c>
      <c r="E12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Helper'!$F$5:$F$3004,"""")&lt;&gt;""""),ROWS(E$5:E1288)),"""")"),"")</f>
        <v/>
      </c>
      <c r="F12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Helper'!$F$5:$F$3004,"""")&lt;&gt;""""),ROWS(F$5:F1288)),IF(AND(LEFT(x,5)=""Pag"&amp;"e "",ISERROR(SEARCH(""–"",x))),x&amp;""–""&amp;REGEXEXTRACT(x,""[0-9]+$""),x)),"""")"),"")</f>
        <v/>
      </c>
      <c r="G1288" s="163"/>
      <c r="H12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Helper'!$F$5:$F$3004,"""")&lt;&gt;""""),ROWS(H$5:H1288)),"""")"),"")</f>
        <v/>
      </c>
    </row>
    <row r="1289" ht="15.75" customHeight="1">
      <c r="A12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Helper'!$F$5:$F$3004,"""")&lt;&gt;""""),ROWS(A$5:A1289)),"""")"),"")</f>
        <v/>
      </c>
      <c r="B12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Helper'!$F$5:$F$3004,"""")&lt;&gt;""""),ROWS(B$5:B1289)),"""")"),"")</f>
        <v/>
      </c>
      <c r="C12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Helper'!$F$5:$F$3004,"""")&lt;&gt;""""),ROWS(C$5:C1289)),"""")"),"")</f>
        <v/>
      </c>
      <c r="D12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Helper'!$F$5:$F$3004,"""")&lt;&gt;""""),ROWS(D$5:D1289)),"""")"),"")</f>
        <v/>
      </c>
      <c r="E12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Helper'!$F$5:$F$3004,"""")&lt;&gt;""""),ROWS(E$5:E1289)),"""")"),"")</f>
        <v/>
      </c>
      <c r="F12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Helper'!$F$5:$F$3004,"""")&lt;&gt;""""),ROWS(F$5:F1289)),IF(AND(LEFT(x,5)=""Pag"&amp;"e "",ISERROR(SEARCH(""–"",x))),x&amp;""–""&amp;REGEXEXTRACT(x,""[0-9]+$""),x)),"""")"),"")</f>
        <v/>
      </c>
      <c r="G1289" s="163"/>
      <c r="H12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Helper'!$F$5:$F$3004,"""")&lt;&gt;""""),ROWS(H$5:H1289)),"""")"),"")</f>
        <v/>
      </c>
    </row>
    <row r="1290" ht="15.75" customHeight="1">
      <c r="A12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Helper'!$F$5:$F$3004,"""")&lt;&gt;""""),ROWS(A$5:A1290)),"""")"),"")</f>
        <v/>
      </c>
      <c r="B12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Helper'!$F$5:$F$3004,"""")&lt;&gt;""""),ROWS(B$5:B1290)),"""")"),"")</f>
        <v/>
      </c>
      <c r="C12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Helper'!$F$5:$F$3004,"""")&lt;&gt;""""),ROWS(C$5:C1290)),"""")"),"")</f>
        <v/>
      </c>
      <c r="D12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Helper'!$F$5:$F$3004,"""")&lt;&gt;""""),ROWS(D$5:D1290)),"""")"),"")</f>
        <v/>
      </c>
      <c r="E12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Helper'!$F$5:$F$3004,"""")&lt;&gt;""""),ROWS(E$5:E1290)),"""")"),"")</f>
        <v/>
      </c>
      <c r="F12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Helper'!$F$5:$F$3004,"""")&lt;&gt;""""),ROWS(F$5:F1290)),IF(AND(LEFT(x,5)=""Pag"&amp;"e "",ISERROR(SEARCH(""–"",x))),x&amp;""–""&amp;REGEXEXTRACT(x,""[0-9]+$""),x)),"""")"),"")</f>
        <v/>
      </c>
      <c r="G1290" s="163"/>
      <c r="H12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Helper'!$F$5:$F$3004,"""")&lt;&gt;""""),ROWS(H$5:H1290)),"""")"),"")</f>
        <v/>
      </c>
    </row>
    <row r="1291" ht="15.75" customHeight="1">
      <c r="A12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Helper'!$F$5:$F$3004,"""")&lt;&gt;""""),ROWS(A$5:A1291)),"""")"),"")</f>
        <v/>
      </c>
      <c r="B12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Helper'!$F$5:$F$3004,"""")&lt;&gt;""""),ROWS(B$5:B1291)),"""")"),"")</f>
        <v/>
      </c>
      <c r="C12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Helper'!$F$5:$F$3004,"""")&lt;&gt;""""),ROWS(C$5:C1291)),"""")"),"")</f>
        <v/>
      </c>
      <c r="D12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Helper'!$F$5:$F$3004,"""")&lt;&gt;""""),ROWS(D$5:D1291)),"""")"),"")</f>
        <v/>
      </c>
      <c r="E12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Helper'!$F$5:$F$3004,"""")&lt;&gt;""""),ROWS(E$5:E1291)),"""")"),"")</f>
        <v/>
      </c>
      <c r="F12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Helper'!$F$5:$F$3004,"""")&lt;&gt;""""),ROWS(F$5:F1291)),IF(AND(LEFT(x,5)=""Pag"&amp;"e "",ISERROR(SEARCH(""–"",x))),x&amp;""–""&amp;REGEXEXTRACT(x,""[0-9]+$""),x)),"""")"),"")</f>
        <v/>
      </c>
      <c r="G1291" s="163"/>
      <c r="H12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Helper'!$F$5:$F$3004,"""")&lt;&gt;""""),ROWS(H$5:H1291)),"""")"),"")</f>
        <v/>
      </c>
    </row>
    <row r="1292" ht="15.75" customHeight="1">
      <c r="A12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Helper'!$F$5:$F$3004,"""")&lt;&gt;""""),ROWS(A$5:A1292)),"""")"),"")</f>
        <v/>
      </c>
      <c r="B12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Helper'!$F$5:$F$3004,"""")&lt;&gt;""""),ROWS(B$5:B1292)),"""")"),"")</f>
        <v/>
      </c>
      <c r="C12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Helper'!$F$5:$F$3004,"""")&lt;&gt;""""),ROWS(C$5:C1292)),"""")"),"")</f>
        <v/>
      </c>
      <c r="D12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Helper'!$F$5:$F$3004,"""")&lt;&gt;""""),ROWS(D$5:D1292)),"""")"),"")</f>
        <v/>
      </c>
      <c r="E12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Helper'!$F$5:$F$3004,"""")&lt;&gt;""""),ROWS(E$5:E1292)),"""")"),"")</f>
        <v/>
      </c>
      <c r="F12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Helper'!$F$5:$F$3004,"""")&lt;&gt;""""),ROWS(F$5:F1292)),IF(AND(LEFT(x,5)=""Pag"&amp;"e "",ISERROR(SEARCH(""–"",x))),x&amp;""–""&amp;REGEXEXTRACT(x,""[0-9]+$""),x)),"""")"),"")</f>
        <v/>
      </c>
      <c r="G1292" s="163"/>
      <c r="H12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Helper'!$F$5:$F$3004,"""")&lt;&gt;""""),ROWS(H$5:H1292)),"""")"),"")</f>
        <v/>
      </c>
    </row>
    <row r="1293" ht="15.75" customHeight="1">
      <c r="A12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Helper'!$F$5:$F$3004,"""")&lt;&gt;""""),ROWS(A$5:A1293)),"""")"),"")</f>
        <v/>
      </c>
      <c r="B12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Helper'!$F$5:$F$3004,"""")&lt;&gt;""""),ROWS(B$5:B1293)),"""")"),"")</f>
        <v/>
      </c>
      <c r="C12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Helper'!$F$5:$F$3004,"""")&lt;&gt;""""),ROWS(C$5:C1293)),"""")"),"")</f>
        <v/>
      </c>
      <c r="D12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Helper'!$F$5:$F$3004,"""")&lt;&gt;""""),ROWS(D$5:D1293)),"""")"),"")</f>
        <v/>
      </c>
      <c r="E12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Helper'!$F$5:$F$3004,"""")&lt;&gt;""""),ROWS(E$5:E1293)),"""")"),"")</f>
        <v/>
      </c>
      <c r="F12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Helper'!$F$5:$F$3004,"""")&lt;&gt;""""),ROWS(F$5:F1293)),IF(AND(LEFT(x,5)=""Pag"&amp;"e "",ISERROR(SEARCH(""–"",x))),x&amp;""–""&amp;REGEXEXTRACT(x,""[0-9]+$""),x)),"""")"),"")</f>
        <v/>
      </c>
      <c r="G1293" s="163"/>
      <c r="H12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Helper'!$F$5:$F$3004,"""")&lt;&gt;""""),ROWS(H$5:H1293)),"""")"),"")</f>
        <v/>
      </c>
    </row>
    <row r="1294" ht="15.75" customHeight="1">
      <c r="A12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Helper'!$F$5:$F$3004,"""")&lt;&gt;""""),ROWS(A$5:A1294)),"""")"),"")</f>
        <v/>
      </c>
      <c r="B12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Helper'!$F$5:$F$3004,"""")&lt;&gt;""""),ROWS(B$5:B1294)),"""")"),"")</f>
        <v/>
      </c>
      <c r="C12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Helper'!$F$5:$F$3004,"""")&lt;&gt;""""),ROWS(C$5:C1294)),"""")"),"")</f>
        <v/>
      </c>
      <c r="D12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Helper'!$F$5:$F$3004,"""")&lt;&gt;""""),ROWS(D$5:D1294)),"""")"),"")</f>
        <v/>
      </c>
      <c r="E12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Helper'!$F$5:$F$3004,"""")&lt;&gt;""""),ROWS(E$5:E1294)),"""")"),"")</f>
        <v/>
      </c>
      <c r="F12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Helper'!$F$5:$F$3004,"""")&lt;&gt;""""),ROWS(F$5:F1294)),IF(AND(LEFT(x,5)=""Pag"&amp;"e "",ISERROR(SEARCH(""–"",x))),x&amp;""–""&amp;REGEXEXTRACT(x,""[0-9]+$""),x)),"""")"),"")</f>
        <v/>
      </c>
      <c r="G1294" s="163"/>
      <c r="H12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Helper'!$F$5:$F$3004,"""")&lt;&gt;""""),ROWS(H$5:H1294)),"""")"),"")</f>
        <v/>
      </c>
    </row>
    <row r="1295" ht="15.75" customHeight="1">
      <c r="A12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Helper'!$F$5:$F$3004,"""")&lt;&gt;""""),ROWS(A$5:A1295)),"""")"),"")</f>
        <v/>
      </c>
      <c r="B12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Helper'!$F$5:$F$3004,"""")&lt;&gt;""""),ROWS(B$5:B1295)),"""")"),"")</f>
        <v/>
      </c>
      <c r="C12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Helper'!$F$5:$F$3004,"""")&lt;&gt;""""),ROWS(C$5:C1295)),"""")"),"")</f>
        <v/>
      </c>
      <c r="D12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Helper'!$F$5:$F$3004,"""")&lt;&gt;""""),ROWS(D$5:D1295)),"""")"),"")</f>
        <v/>
      </c>
      <c r="E12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Helper'!$F$5:$F$3004,"""")&lt;&gt;""""),ROWS(E$5:E1295)),"""")"),"")</f>
        <v/>
      </c>
      <c r="F12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Helper'!$F$5:$F$3004,"""")&lt;&gt;""""),ROWS(F$5:F1295)),IF(AND(LEFT(x,5)=""Pag"&amp;"e "",ISERROR(SEARCH(""–"",x))),x&amp;""–""&amp;REGEXEXTRACT(x,""[0-9]+$""),x)),"""")"),"")</f>
        <v/>
      </c>
      <c r="G1295" s="163"/>
      <c r="H12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Helper'!$F$5:$F$3004,"""")&lt;&gt;""""),ROWS(H$5:H1295)),"""")"),"")</f>
        <v/>
      </c>
    </row>
    <row r="1296" ht="15.75" customHeight="1">
      <c r="A12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Helper'!$F$5:$F$3004,"""")&lt;&gt;""""),ROWS(A$5:A1296)),"""")"),"")</f>
        <v/>
      </c>
      <c r="B12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Helper'!$F$5:$F$3004,"""")&lt;&gt;""""),ROWS(B$5:B1296)),"""")"),"")</f>
        <v/>
      </c>
      <c r="C12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Helper'!$F$5:$F$3004,"""")&lt;&gt;""""),ROWS(C$5:C1296)),"""")"),"")</f>
        <v/>
      </c>
      <c r="D12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Helper'!$F$5:$F$3004,"""")&lt;&gt;""""),ROWS(D$5:D1296)),"""")"),"")</f>
        <v/>
      </c>
      <c r="E12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Helper'!$F$5:$F$3004,"""")&lt;&gt;""""),ROWS(E$5:E1296)),"""")"),"")</f>
        <v/>
      </c>
      <c r="F12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Helper'!$F$5:$F$3004,"""")&lt;&gt;""""),ROWS(F$5:F1296)),IF(AND(LEFT(x,5)=""Pag"&amp;"e "",ISERROR(SEARCH(""–"",x))),x&amp;""–""&amp;REGEXEXTRACT(x,""[0-9]+$""),x)),"""")"),"")</f>
        <v/>
      </c>
      <c r="G1296" s="163"/>
      <c r="H12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Helper'!$F$5:$F$3004,"""")&lt;&gt;""""),ROWS(H$5:H1296)),"""")"),"")</f>
        <v/>
      </c>
    </row>
    <row r="1297" ht="15.75" customHeight="1">
      <c r="A12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Helper'!$F$5:$F$3004,"""")&lt;&gt;""""),ROWS(A$5:A1297)),"""")"),"")</f>
        <v/>
      </c>
      <c r="B12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Helper'!$F$5:$F$3004,"""")&lt;&gt;""""),ROWS(B$5:B1297)),"""")"),"")</f>
        <v/>
      </c>
      <c r="C12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Helper'!$F$5:$F$3004,"""")&lt;&gt;""""),ROWS(C$5:C1297)),"""")"),"")</f>
        <v/>
      </c>
      <c r="D12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Helper'!$F$5:$F$3004,"""")&lt;&gt;""""),ROWS(D$5:D1297)),"""")"),"")</f>
        <v/>
      </c>
      <c r="E12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Helper'!$F$5:$F$3004,"""")&lt;&gt;""""),ROWS(E$5:E1297)),"""")"),"")</f>
        <v/>
      </c>
      <c r="F12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Helper'!$F$5:$F$3004,"""")&lt;&gt;""""),ROWS(F$5:F1297)),IF(AND(LEFT(x,5)=""Pag"&amp;"e "",ISERROR(SEARCH(""–"",x))),x&amp;""–""&amp;REGEXEXTRACT(x,""[0-9]+$""),x)),"""")"),"")</f>
        <v/>
      </c>
      <c r="G1297" s="163"/>
      <c r="H12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Helper'!$F$5:$F$3004,"""")&lt;&gt;""""),ROWS(H$5:H1297)),"""")"),"")</f>
        <v/>
      </c>
    </row>
    <row r="1298" ht="15.75" customHeight="1">
      <c r="A12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Helper'!$F$5:$F$3004,"""")&lt;&gt;""""),ROWS(A$5:A1298)),"""")"),"")</f>
        <v/>
      </c>
      <c r="B12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Helper'!$F$5:$F$3004,"""")&lt;&gt;""""),ROWS(B$5:B1298)),"""")"),"")</f>
        <v/>
      </c>
      <c r="C12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Helper'!$F$5:$F$3004,"""")&lt;&gt;""""),ROWS(C$5:C1298)),"""")"),"")</f>
        <v/>
      </c>
      <c r="D12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Helper'!$F$5:$F$3004,"""")&lt;&gt;""""),ROWS(D$5:D1298)),"""")"),"")</f>
        <v/>
      </c>
      <c r="E12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Helper'!$F$5:$F$3004,"""")&lt;&gt;""""),ROWS(E$5:E1298)),"""")"),"")</f>
        <v/>
      </c>
      <c r="F12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Helper'!$F$5:$F$3004,"""")&lt;&gt;""""),ROWS(F$5:F1298)),IF(AND(LEFT(x,5)=""Pag"&amp;"e "",ISERROR(SEARCH(""–"",x))),x&amp;""–""&amp;REGEXEXTRACT(x,""[0-9]+$""),x)),"""")"),"")</f>
        <v/>
      </c>
      <c r="G1298" s="163"/>
      <c r="H12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Helper'!$F$5:$F$3004,"""")&lt;&gt;""""),ROWS(H$5:H1298)),"""")"),"")</f>
        <v/>
      </c>
    </row>
    <row r="1299" ht="15.75" customHeight="1">
      <c r="A12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Helper'!$F$5:$F$3004,"""")&lt;&gt;""""),ROWS(A$5:A1299)),"""")"),"")</f>
        <v/>
      </c>
      <c r="B12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Helper'!$F$5:$F$3004,"""")&lt;&gt;""""),ROWS(B$5:B1299)),"""")"),"")</f>
        <v/>
      </c>
      <c r="C12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Helper'!$F$5:$F$3004,"""")&lt;&gt;""""),ROWS(C$5:C1299)),"""")"),"")</f>
        <v/>
      </c>
      <c r="D12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Helper'!$F$5:$F$3004,"""")&lt;&gt;""""),ROWS(D$5:D1299)),"""")"),"")</f>
        <v/>
      </c>
      <c r="E12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Helper'!$F$5:$F$3004,"""")&lt;&gt;""""),ROWS(E$5:E1299)),"""")"),"")</f>
        <v/>
      </c>
      <c r="F12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Helper'!$F$5:$F$3004,"""")&lt;&gt;""""),ROWS(F$5:F1299)),IF(AND(LEFT(x,5)=""Pag"&amp;"e "",ISERROR(SEARCH(""–"",x))),x&amp;""–""&amp;REGEXEXTRACT(x,""[0-9]+$""),x)),"""")"),"")</f>
        <v/>
      </c>
      <c r="G1299" s="163"/>
      <c r="H12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Helper'!$F$5:$F$3004,"""")&lt;&gt;""""),ROWS(H$5:H1299)),"""")"),"")</f>
        <v/>
      </c>
    </row>
    <row r="1300" ht="15.75" customHeight="1">
      <c r="A13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Helper'!$F$5:$F$3004,"""")&lt;&gt;""""),ROWS(A$5:A1300)),"""")"),"")</f>
        <v/>
      </c>
      <c r="B13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Helper'!$F$5:$F$3004,"""")&lt;&gt;""""),ROWS(B$5:B1300)),"""")"),"")</f>
        <v/>
      </c>
      <c r="C13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Helper'!$F$5:$F$3004,"""")&lt;&gt;""""),ROWS(C$5:C1300)),"""")"),"")</f>
        <v/>
      </c>
      <c r="D13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Helper'!$F$5:$F$3004,"""")&lt;&gt;""""),ROWS(D$5:D1300)),"""")"),"")</f>
        <v/>
      </c>
      <c r="E13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Helper'!$F$5:$F$3004,"""")&lt;&gt;""""),ROWS(E$5:E1300)),"""")"),"")</f>
        <v/>
      </c>
      <c r="F13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Helper'!$F$5:$F$3004,"""")&lt;&gt;""""),ROWS(F$5:F1300)),IF(AND(LEFT(x,5)=""Pag"&amp;"e "",ISERROR(SEARCH(""–"",x))),x&amp;""–""&amp;REGEXEXTRACT(x,""[0-9]+$""),x)),"""")"),"")</f>
        <v/>
      </c>
      <c r="G1300" s="163"/>
      <c r="H13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Helper'!$F$5:$F$3004,"""")&lt;&gt;""""),ROWS(H$5:H1300)),"""")"),"")</f>
        <v/>
      </c>
    </row>
    <row r="1301" ht="15.75" customHeight="1">
      <c r="A13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Helper'!$F$5:$F$3004,"""")&lt;&gt;""""),ROWS(A$5:A1301)),"""")"),"")</f>
        <v/>
      </c>
      <c r="B13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Helper'!$F$5:$F$3004,"""")&lt;&gt;""""),ROWS(B$5:B1301)),"""")"),"")</f>
        <v/>
      </c>
      <c r="C13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Helper'!$F$5:$F$3004,"""")&lt;&gt;""""),ROWS(C$5:C1301)),"""")"),"")</f>
        <v/>
      </c>
      <c r="D13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Helper'!$F$5:$F$3004,"""")&lt;&gt;""""),ROWS(D$5:D1301)),"""")"),"")</f>
        <v/>
      </c>
      <c r="E13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Helper'!$F$5:$F$3004,"""")&lt;&gt;""""),ROWS(E$5:E1301)),"""")"),"")</f>
        <v/>
      </c>
      <c r="F13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Helper'!$F$5:$F$3004,"""")&lt;&gt;""""),ROWS(F$5:F1301)),IF(AND(LEFT(x,5)=""Pag"&amp;"e "",ISERROR(SEARCH(""–"",x))),x&amp;""–""&amp;REGEXEXTRACT(x,""[0-9]+$""),x)),"""")"),"")</f>
        <v/>
      </c>
      <c r="G1301" s="163"/>
      <c r="H13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Helper'!$F$5:$F$3004,"""")&lt;&gt;""""),ROWS(H$5:H1301)),"""")"),"")</f>
        <v/>
      </c>
    </row>
    <row r="1302" ht="15.75" customHeight="1">
      <c r="A13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Helper'!$F$5:$F$3004,"""")&lt;&gt;""""),ROWS(A$5:A1302)),"""")"),"")</f>
        <v/>
      </c>
      <c r="B13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Helper'!$F$5:$F$3004,"""")&lt;&gt;""""),ROWS(B$5:B1302)),"""")"),"")</f>
        <v/>
      </c>
      <c r="C13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Helper'!$F$5:$F$3004,"""")&lt;&gt;""""),ROWS(C$5:C1302)),"""")"),"")</f>
        <v/>
      </c>
      <c r="D13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Helper'!$F$5:$F$3004,"""")&lt;&gt;""""),ROWS(D$5:D1302)),"""")"),"")</f>
        <v/>
      </c>
      <c r="E13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Helper'!$F$5:$F$3004,"""")&lt;&gt;""""),ROWS(E$5:E1302)),"""")"),"")</f>
        <v/>
      </c>
      <c r="F13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Helper'!$F$5:$F$3004,"""")&lt;&gt;""""),ROWS(F$5:F1302)),IF(AND(LEFT(x,5)=""Pag"&amp;"e "",ISERROR(SEARCH(""–"",x))),x&amp;""–""&amp;REGEXEXTRACT(x,""[0-9]+$""),x)),"""")"),"")</f>
        <v/>
      </c>
      <c r="G1302" s="163"/>
      <c r="H13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Helper'!$F$5:$F$3004,"""")&lt;&gt;""""),ROWS(H$5:H1302)),"""")"),"")</f>
        <v/>
      </c>
    </row>
    <row r="1303" ht="15.75" customHeight="1">
      <c r="A13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Helper'!$F$5:$F$3004,"""")&lt;&gt;""""),ROWS(A$5:A1303)),"""")"),"")</f>
        <v/>
      </c>
      <c r="B13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Helper'!$F$5:$F$3004,"""")&lt;&gt;""""),ROWS(B$5:B1303)),"""")"),"")</f>
        <v/>
      </c>
      <c r="C13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Helper'!$F$5:$F$3004,"""")&lt;&gt;""""),ROWS(C$5:C1303)),"""")"),"")</f>
        <v/>
      </c>
      <c r="D13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Helper'!$F$5:$F$3004,"""")&lt;&gt;""""),ROWS(D$5:D1303)),"""")"),"")</f>
        <v/>
      </c>
      <c r="E13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Helper'!$F$5:$F$3004,"""")&lt;&gt;""""),ROWS(E$5:E1303)),"""")"),"")</f>
        <v/>
      </c>
      <c r="F13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Helper'!$F$5:$F$3004,"""")&lt;&gt;""""),ROWS(F$5:F1303)),IF(AND(LEFT(x,5)=""Pag"&amp;"e "",ISERROR(SEARCH(""–"",x))),x&amp;""–""&amp;REGEXEXTRACT(x,""[0-9]+$""),x)),"""")"),"")</f>
        <v/>
      </c>
      <c r="G1303" s="163"/>
      <c r="H13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Helper'!$F$5:$F$3004,"""")&lt;&gt;""""),ROWS(H$5:H1303)),"""")"),"")</f>
        <v/>
      </c>
    </row>
    <row r="1304" ht="15.75" customHeight="1">
      <c r="A13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Helper'!$F$5:$F$3004,"""")&lt;&gt;""""),ROWS(A$5:A1304)),"""")"),"")</f>
        <v/>
      </c>
      <c r="B13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Helper'!$F$5:$F$3004,"""")&lt;&gt;""""),ROWS(B$5:B1304)),"""")"),"")</f>
        <v/>
      </c>
      <c r="C13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Helper'!$F$5:$F$3004,"""")&lt;&gt;""""),ROWS(C$5:C1304)),"""")"),"")</f>
        <v/>
      </c>
      <c r="D13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Helper'!$F$5:$F$3004,"""")&lt;&gt;""""),ROWS(D$5:D1304)),"""")"),"")</f>
        <v/>
      </c>
      <c r="E13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Helper'!$F$5:$F$3004,"""")&lt;&gt;""""),ROWS(E$5:E1304)),"""")"),"")</f>
        <v/>
      </c>
      <c r="F13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Helper'!$F$5:$F$3004,"""")&lt;&gt;""""),ROWS(F$5:F1304)),IF(AND(LEFT(x,5)=""Pag"&amp;"e "",ISERROR(SEARCH(""–"",x))),x&amp;""–""&amp;REGEXEXTRACT(x,""[0-9]+$""),x)),"""")"),"")</f>
        <v/>
      </c>
      <c r="G1304" s="163"/>
      <c r="H13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Helper'!$F$5:$F$3004,"""")&lt;&gt;""""),ROWS(H$5:H1304)),"""")"),"")</f>
        <v/>
      </c>
    </row>
    <row r="1305" ht="15.75" customHeight="1">
      <c r="A13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Helper'!$F$5:$F$3004,"""")&lt;&gt;""""),ROWS(A$5:A1305)),"""")"),"")</f>
        <v/>
      </c>
      <c r="B13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Helper'!$F$5:$F$3004,"""")&lt;&gt;""""),ROWS(B$5:B1305)),"""")"),"")</f>
        <v/>
      </c>
      <c r="C13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Helper'!$F$5:$F$3004,"""")&lt;&gt;""""),ROWS(C$5:C1305)),"""")"),"")</f>
        <v/>
      </c>
      <c r="D13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Helper'!$F$5:$F$3004,"""")&lt;&gt;""""),ROWS(D$5:D1305)),"""")"),"")</f>
        <v/>
      </c>
      <c r="E13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Helper'!$F$5:$F$3004,"""")&lt;&gt;""""),ROWS(E$5:E1305)),"""")"),"")</f>
        <v/>
      </c>
      <c r="F13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Helper'!$F$5:$F$3004,"""")&lt;&gt;""""),ROWS(F$5:F1305)),IF(AND(LEFT(x,5)=""Pag"&amp;"e "",ISERROR(SEARCH(""–"",x))),x&amp;""–""&amp;REGEXEXTRACT(x,""[0-9]+$""),x)),"""")"),"")</f>
        <v/>
      </c>
      <c r="G1305" s="163"/>
      <c r="H13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Helper'!$F$5:$F$3004,"""")&lt;&gt;""""),ROWS(H$5:H1305)),"""")"),"")</f>
        <v/>
      </c>
    </row>
    <row r="1306" ht="15.75" customHeight="1">
      <c r="A13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Helper'!$F$5:$F$3004,"""")&lt;&gt;""""),ROWS(A$5:A1306)),"""")"),"")</f>
        <v/>
      </c>
      <c r="B13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Helper'!$F$5:$F$3004,"""")&lt;&gt;""""),ROWS(B$5:B1306)),"""")"),"")</f>
        <v/>
      </c>
      <c r="C13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Helper'!$F$5:$F$3004,"""")&lt;&gt;""""),ROWS(C$5:C1306)),"""")"),"")</f>
        <v/>
      </c>
      <c r="D13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Helper'!$F$5:$F$3004,"""")&lt;&gt;""""),ROWS(D$5:D1306)),"""")"),"")</f>
        <v/>
      </c>
      <c r="E13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Helper'!$F$5:$F$3004,"""")&lt;&gt;""""),ROWS(E$5:E1306)),"""")"),"")</f>
        <v/>
      </c>
      <c r="F13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Helper'!$F$5:$F$3004,"""")&lt;&gt;""""),ROWS(F$5:F1306)),IF(AND(LEFT(x,5)=""Pag"&amp;"e "",ISERROR(SEARCH(""–"",x))),x&amp;""–""&amp;REGEXEXTRACT(x,""[0-9]+$""),x)),"""")"),"")</f>
        <v/>
      </c>
      <c r="G1306" s="163"/>
      <c r="H13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Helper'!$F$5:$F$3004,"""")&lt;&gt;""""),ROWS(H$5:H1306)),"""")"),"")</f>
        <v/>
      </c>
    </row>
    <row r="1307" ht="15.75" customHeight="1">
      <c r="A13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Helper'!$F$5:$F$3004,"""")&lt;&gt;""""),ROWS(A$5:A1307)),"""")"),"")</f>
        <v/>
      </c>
      <c r="B13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Helper'!$F$5:$F$3004,"""")&lt;&gt;""""),ROWS(B$5:B1307)),"""")"),"")</f>
        <v/>
      </c>
      <c r="C13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Helper'!$F$5:$F$3004,"""")&lt;&gt;""""),ROWS(C$5:C1307)),"""")"),"")</f>
        <v/>
      </c>
      <c r="D13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Helper'!$F$5:$F$3004,"""")&lt;&gt;""""),ROWS(D$5:D1307)),"""")"),"")</f>
        <v/>
      </c>
      <c r="E13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Helper'!$F$5:$F$3004,"""")&lt;&gt;""""),ROWS(E$5:E1307)),"""")"),"")</f>
        <v/>
      </c>
      <c r="F13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Helper'!$F$5:$F$3004,"""")&lt;&gt;""""),ROWS(F$5:F1307)),IF(AND(LEFT(x,5)=""Pag"&amp;"e "",ISERROR(SEARCH(""–"",x))),x&amp;""–""&amp;REGEXEXTRACT(x,""[0-9]+$""),x)),"""")"),"")</f>
        <v/>
      </c>
      <c r="G1307" s="163"/>
      <c r="H13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Helper'!$F$5:$F$3004,"""")&lt;&gt;""""),ROWS(H$5:H1307)),"""")"),"")</f>
        <v/>
      </c>
    </row>
    <row r="1308" ht="15.75" customHeight="1">
      <c r="A13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Helper'!$F$5:$F$3004,"""")&lt;&gt;""""),ROWS(A$5:A1308)),"""")"),"")</f>
        <v/>
      </c>
      <c r="B13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Helper'!$F$5:$F$3004,"""")&lt;&gt;""""),ROWS(B$5:B1308)),"""")"),"")</f>
        <v/>
      </c>
      <c r="C13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Helper'!$F$5:$F$3004,"""")&lt;&gt;""""),ROWS(C$5:C1308)),"""")"),"")</f>
        <v/>
      </c>
      <c r="D13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Helper'!$F$5:$F$3004,"""")&lt;&gt;""""),ROWS(D$5:D1308)),"""")"),"")</f>
        <v/>
      </c>
      <c r="E13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Helper'!$F$5:$F$3004,"""")&lt;&gt;""""),ROWS(E$5:E1308)),"""")"),"")</f>
        <v/>
      </c>
      <c r="F13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Helper'!$F$5:$F$3004,"""")&lt;&gt;""""),ROWS(F$5:F1308)),IF(AND(LEFT(x,5)=""Pag"&amp;"e "",ISERROR(SEARCH(""–"",x))),x&amp;""–""&amp;REGEXEXTRACT(x,""[0-9]+$""),x)),"""")"),"")</f>
        <v/>
      </c>
      <c r="G1308" s="163"/>
      <c r="H13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Helper'!$F$5:$F$3004,"""")&lt;&gt;""""),ROWS(H$5:H1308)),"""")"),"")</f>
        <v/>
      </c>
    </row>
    <row r="1309" ht="15.75" customHeight="1">
      <c r="A13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Helper'!$F$5:$F$3004,"""")&lt;&gt;""""),ROWS(A$5:A1309)),"""")"),"")</f>
        <v/>
      </c>
      <c r="B13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Helper'!$F$5:$F$3004,"""")&lt;&gt;""""),ROWS(B$5:B1309)),"""")"),"")</f>
        <v/>
      </c>
      <c r="C13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Helper'!$F$5:$F$3004,"""")&lt;&gt;""""),ROWS(C$5:C1309)),"""")"),"")</f>
        <v/>
      </c>
      <c r="D13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Helper'!$F$5:$F$3004,"""")&lt;&gt;""""),ROWS(D$5:D1309)),"""")"),"")</f>
        <v/>
      </c>
      <c r="E13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Helper'!$F$5:$F$3004,"""")&lt;&gt;""""),ROWS(E$5:E1309)),"""")"),"")</f>
        <v/>
      </c>
      <c r="F13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Helper'!$F$5:$F$3004,"""")&lt;&gt;""""),ROWS(F$5:F1309)),IF(AND(LEFT(x,5)=""Pag"&amp;"e "",ISERROR(SEARCH(""–"",x))),x&amp;""–""&amp;REGEXEXTRACT(x,""[0-9]+$""),x)),"""")"),"")</f>
        <v/>
      </c>
      <c r="G1309" s="163"/>
      <c r="H13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Helper'!$F$5:$F$3004,"""")&lt;&gt;""""),ROWS(H$5:H1309)),"""")"),"")</f>
        <v/>
      </c>
    </row>
    <row r="1310" ht="15.75" customHeight="1">
      <c r="A13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Helper'!$F$5:$F$3004,"""")&lt;&gt;""""),ROWS(A$5:A1310)),"""")"),"")</f>
        <v/>
      </c>
      <c r="B13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Helper'!$F$5:$F$3004,"""")&lt;&gt;""""),ROWS(B$5:B1310)),"""")"),"")</f>
        <v/>
      </c>
      <c r="C13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Helper'!$F$5:$F$3004,"""")&lt;&gt;""""),ROWS(C$5:C1310)),"""")"),"")</f>
        <v/>
      </c>
      <c r="D13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Helper'!$F$5:$F$3004,"""")&lt;&gt;""""),ROWS(D$5:D1310)),"""")"),"")</f>
        <v/>
      </c>
      <c r="E13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Helper'!$F$5:$F$3004,"""")&lt;&gt;""""),ROWS(E$5:E1310)),"""")"),"")</f>
        <v/>
      </c>
      <c r="F13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Helper'!$F$5:$F$3004,"""")&lt;&gt;""""),ROWS(F$5:F1310)),IF(AND(LEFT(x,5)=""Pag"&amp;"e "",ISERROR(SEARCH(""–"",x))),x&amp;""–""&amp;REGEXEXTRACT(x,""[0-9]+$""),x)),"""")"),"")</f>
        <v/>
      </c>
      <c r="G1310" s="163"/>
      <c r="H13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Helper'!$F$5:$F$3004,"""")&lt;&gt;""""),ROWS(H$5:H1310)),"""")"),"")</f>
        <v/>
      </c>
    </row>
    <row r="1311" ht="15.75" customHeight="1">
      <c r="A13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Helper'!$F$5:$F$3004,"""")&lt;&gt;""""),ROWS(A$5:A1311)),"""")"),"")</f>
        <v/>
      </c>
      <c r="B13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Helper'!$F$5:$F$3004,"""")&lt;&gt;""""),ROWS(B$5:B1311)),"""")"),"")</f>
        <v/>
      </c>
      <c r="C13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Helper'!$F$5:$F$3004,"""")&lt;&gt;""""),ROWS(C$5:C1311)),"""")"),"")</f>
        <v/>
      </c>
      <c r="D13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Helper'!$F$5:$F$3004,"""")&lt;&gt;""""),ROWS(D$5:D1311)),"""")"),"")</f>
        <v/>
      </c>
      <c r="E13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Helper'!$F$5:$F$3004,"""")&lt;&gt;""""),ROWS(E$5:E1311)),"""")"),"")</f>
        <v/>
      </c>
      <c r="F13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Helper'!$F$5:$F$3004,"""")&lt;&gt;""""),ROWS(F$5:F1311)),IF(AND(LEFT(x,5)=""Pag"&amp;"e "",ISERROR(SEARCH(""–"",x))),x&amp;""–""&amp;REGEXEXTRACT(x,""[0-9]+$""),x)),"""")"),"")</f>
        <v/>
      </c>
      <c r="G1311" s="163"/>
      <c r="H13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Helper'!$F$5:$F$3004,"""")&lt;&gt;""""),ROWS(H$5:H1311)),"""")"),"")</f>
        <v/>
      </c>
    </row>
    <row r="1312" ht="15.75" customHeight="1">
      <c r="A13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Helper'!$F$5:$F$3004,"""")&lt;&gt;""""),ROWS(A$5:A1312)),"""")"),"")</f>
        <v/>
      </c>
      <c r="B13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Helper'!$F$5:$F$3004,"""")&lt;&gt;""""),ROWS(B$5:B1312)),"""")"),"")</f>
        <v/>
      </c>
      <c r="C13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Helper'!$F$5:$F$3004,"""")&lt;&gt;""""),ROWS(C$5:C1312)),"""")"),"")</f>
        <v/>
      </c>
      <c r="D13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Helper'!$F$5:$F$3004,"""")&lt;&gt;""""),ROWS(D$5:D1312)),"""")"),"")</f>
        <v/>
      </c>
      <c r="E13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Helper'!$F$5:$F$3004,"""")&lt;&gt;""""),ROWS(E$5:E1312)),"""")"),"")</f>
        <v/>
      </c>
      <c r="F13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Helper'!$F$5:$F$3004,"""")&lt;&gt;""""),ROWS(F$5:F1312)),IF(AND(LEFT(x,5)=""Pag"&amp;"e "",ISERROR(SEARCH(""–"",x))),x&amp;""–""&amp;REGEXEXTRACT(x,""[0-9]+$""),x)),"""")"),"")</f>
        <v/>
      </c>
      <c r="G1312" s="163"/>
      <c r="H13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Helper'!$F$5:$F$3004,"""")&lt;&gt;""""),ROWS(H$5:H1312)),"""")"),"")</f>
        <v/>
      </c>
    </row>
    <row r="1313" ht="15.75" customHeight="1">
      <c r="A13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Helper'!$F$5:$F$3004,"""")&lt;&gt;""""),ROWS(A$5:A1313)),"""")"),"")</f>
        <v/>
      </c>
      <c r="B13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Helper'!$F$5:$F$3004,"""")&lt;&gt;""""),ROWS(B$5:B1313)),"""")"),"")</f>
        <v/>
      </c>
      <c r="C13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Helper'!$F$5:$F$3004,"""")&lt;&gt;""""),ROWS(C$5:C1313)),"""")"),"")</f>
        <v/>
      </c>
      <c r="D13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Helper'!$F$5:$F$3004,"""")&lt;&gt;""""),ROWS(D$5:D1313)),"""")"),"")</f>
        <v/>
      </c>
      <c r="E13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Helper'!$F$5:$F$3004,"""")&lt;&gt;""""),ROWS(E$5:E1313)),"""")"),"")</f>
        <v/>
      </c>
      <c r="F13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Helper'!$F$5:$F$3004,"""")&lt;&gt;""""),ROWS(F$5:F1313)),IF(AND(LEFT(x,5)=""Pag"&amp;"e "",ISERROR(SEARCH(""–"",x))),x&amp;""–""&amp;REGEXEXTRACT(x,""[0-9]+$""),x)),"""")"),"")</f>
        <v/>
      </c>
      <c r="G1313" s="163"/>
      <c r="H13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Helper'!$F$5:$F$3004,"""")&lt;&gt;""""),ROWS(H$5:H1313)),"""")"),"")</f>
        <v/>
      </c>
    </row>
    <row r="1314" ht="15.75" customHeight="1">
      <c r="A13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Helper'!$F$5:$F$3004,"""")&lt;&gt;""""),ROWS(A$5:A1314)),"""")"),"")</f>
        <v/>
      </c>
      <c r="B13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Helper'!$F$5:$F$3004,"""")&lt;&gt;""""),ROWS(B$5:B1314)),"""")"),"")</f>
        <v/>
      </c>
      <c r="C13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Helper'!$F$5:$F$3004,"""")&lt;&gt;""""),ROWS(C$5:C1314)),"""")"),"")</f>
        <v/>
      </c>
      <c r="D13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Helper'!$F$5:$F$3004,"""")&lt;&gt;""""),ROWS(D$5:D1314)),"""")"),"")</f>
        <v/>
      </c>
      <c r="E13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Helper'!$F$5:$F$3004,"""")&lt;&gt;""""),ROWS(E$5:E1314)),"""")"),"")</f>
        <v/>
      </c>
      <c r="F13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Helper'!$F$5:$F$3004,"""")&lt;&gt;""""),ROWS(F$5:F1314)),IF(AND(LEFT(x,5)=""Pag"&amp;"e "",ISERROR(SEARCH(""–"",x))),x&amp;""–""&amp;REGEXEXTRACT(x,""[0-9]+$""),x)),"""")"),"")</f>
        <v/>
      </c>
      <c r="G1314" s="163"/>
      <c r="H13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Helper'!$F$5:$F$3004,"""")&lt;&gt;""""),ROWS(H$5:H1314)),"""")"),"")</f>
        <v/>
      </c>
    </row>
    <row r="1315" ht="15.75" customHeight="1">
      <c r="A13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Helper'!$F$5:$F$3004,"""")&lt;&gt;""""),ROWS(A$5:A1315)),"""")"),"")</f>
        <v/>
      </c>
      <c r="B13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Helper'!$F$5:$F$3004,"""")&lt;&gt;""""),ROWS(B$5:B1315)),"""")"),"")</f>
        <v/>
      </c>
      <c r="C13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Helper'!$F$5:$F$3004,"""")&lt;&gt;""""),ROWS(C$5:C1315)),"""")"),"")</f>
        <v/>
      </c>
      <c r="D13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Helper'!$F$5:$F$3004,"""")&lt;&gt;""""),ROWS(D$5:D1315)),"""")"),"")</f>
        <v/>
      </c>
      <c r="E13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Helper'!$F$5:$F$3004,"""")&lt;&gt;""""),ROWS(E$5:E1315)),"""")"),"")</f>
        <v/>
      </c>
      <c r="F13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Helper'!$F$5:$F$3004,"""")&lt;&gt;""""),ROWS(F$5:F1315)),IF(AND(LEFT(x,5)=""Pag"&amp;"e "",ISERROR(SEARCH(""–"",x))),x&amp;""–""&amp;REGEXEXTRACT(x,""[0-9]+$""),x)),"""")"),"")</f>
        <v/>
      </c>
      <c r="G1315" s="163"/>
      <c r="H13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Helper'!$F$5:$F$3004,"""")&lt;&gt;""""),ROWS(H$5:H1315)),"""")"),"")</f>
        <v/>
      </c>
    </row>
    <row r="1316" ht="15.75" customHeight="1">
      <c r="A13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Helper'!$F$5:$F$3004,"""")&lt;&gt;""""),ROWS(A$5:A1316)),"""")"),"")</f>
        <v/>
      </c>
      <c r="B13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Helper'!$F$5:$F$3004,"""")&lt;&gt;""""),ROWS(B$5:B1316)),"""")"),"")</f>
        <v/>
      </c>
      <c r="C13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Helper'!$F$5:$F$3004,"""")&lt;&gt;""""),ROWS(C$5:C1316)),"""")"),"")</f>
        <v/>
      </c>
      <c r="D13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Helper'!$F$5:$F$3004,"""")&lt;&gt;""""),ROWS(D$5:D1316)),"""")"),"")</f>
        <v/>
      </c>
      <c r="E13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Helper'!$F$5:$F$3004,"""")&lt;&gt;""""),ROWS(E$5:E1316)),"""")"),"")</f>
        <v/>
      </c>
      <c r="F13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Helper'!$F$5:$F$3004,"""")&lt;&gt;""""),ROWS(F$5:F1316)),IF(AND(LEFT(x,5)=""Pag"&amp;"e "",ISERROR(SEARCH(""–"",x))),x&amp;""–""&amp;REGEXEXTRACT(x,""[0-9]+$""),x)),"""")"),"")</f>
        <v/>
      </c>
      <c r="G1316" s="163"/>
      <c r="H13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Helper'!$F$5:$F$3004,"""")&lt;&gt;""""),ROWS(H$5:H1316)),"""")"),"")</f>
        <v/>
      </c>
    </row>
    <row r="1317" ht="15.75" customHeight="1">
      <c r="A13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Helper'!$F$5:$F$3004,"""")&lt;&gt;""""),ROWS(A$5:A1317)),"""")"),"")</f>
        <v/>
      </c>
      <c r="B13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Helper'!$F$5:$F$3004,"""")&lt;&gt;""""),ROWS(B$5:B1317)),"""")"),"")</f>
        <v/>
      </c>
      <c r="C13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Helper'!$F$5:$F$3004,"""")&lt;&gt;""""),ROWS(C$5:C1317)),"""")"),"")</f>
        <v/>
      </c>
      <c r="D13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Helper'!$F$5:$F$3004,"""")&lt;&gt;""""),ROWS(D$5:D1317)),"""")"),"")</f>
        <v/>
      </c>
      <c r="E13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Helper'!$F$5:$F$3004,"""")&lt;&gt;""""),ROWS(E$5:E1317)),"""")"),"")</f>
        <v/>
      </c>
      <c r="F13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Helper'!$F$5:$F$3004,"""")&lt;&gt;""""),ROWS(F$5:F1317)),IF(AND(LEFT(x,5)=""Pag"&amp;"e "",ISERROR(SEARCH(""–"",x))),x&amp;""–""&amp;REGEXEXTRACT(x,""[0-9]+$""),x)),"""")"),"")</f>
        <v/>
      </c>
      <c r="G1317" s="163"/>
      <c r="H13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Helper'!$F$5:$F$3004,"""")&lt;&gt;""""),ROWS(H$5:H1317)),"""")"),"")</f>
        <v/>
      </c>
    </row>
    <row r="1318" ht="15.75" customHeight="1">
      <c r="A13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Helper'!$F$5:$F$3004,"""")&lt;&gt;""""),ROWS(A$5:A1318)),"""")"),"")</f>
        <v/>
      </c>
      <c r="B13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Helper'!$F$5:$F$3004,"""")&lt;&gt;""""),ROWS(B$5:B1318)),"""")"),"")</f>
        <v/>
      </c>
      <c r="C13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Helper'!$F$5:$F$3004,"""")&lt;&gt;""""),ROWS(C$5:C1318)),"""")"),"")</f>
        <v/>
      </c>
      <c r="D13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Helper'!$F$5:$F$3004,"""")&lt;&gt;""""),ROWS(D$5:D1318)),"""")"),"")</f>
        <v/>
      </c>
      <c r="E13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Helper'!$F$5:$F$3004,"""")&lt;&gt;""""),ROWS(E$5:E1318)),"""")"),"")</f>
        <v/>
      </c>
      <c r="F13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Helper'!$F$5:$F$3004,"""")&lt;&gt;""""),ROWS(F$5:F1318)),IF(AND(LEFT(x,5)=""Pag"&amp;"e "",ISERROR(SEARCH(""–"",x))),x&amp;""–""&amp;REGEXEXTRACT(x,""[0-9]+$""),x)),"""")"),"")</f>
        <v/>
      </c>
      <c r="G1318" s="163"/>
      <c r="H13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Helper'!$F$5:$F$3004,"""")&lt;&gt;""""),ROWS(H$5:H1318)),"""")"),"")</f>
        <v/>
      </c>
    </row>
    <row r="1319" ht="15.75" customHeight="1">
      <c r="A13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Helper'!$F$5:$F$3004,"""")&lt;&gt;""""),ROWS(A$5:A1319)),"""")"),"")</f>
        <v/>
      </c>
      <c r="B13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Helper'!$F$5:$F$3004,"""")&lt;&gt;""""),ROWS(B$5:B1319)),"""")"),"")</f>
        <v/>
      </c>
      <c r="C13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Helper'!$F$5:$F$3004,"""")&lt;&gt;""""),ROWS(C$5:C1319)),"""")"),"")</f>
        <v/>
      </c>
      <c r="D13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Helper'!$F$5:$F$3004,"""")&lt;&gt;""""),ROWS(D$5:D1319)),"""")"),"")</f>
        <v/>
      </c>
      <c r="E13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Helper'!$F$5:$F$3004,"""")&lt;&gt;""""),ROWS(E$5:E1319)),"""")"),"")</f>
        <v/>
      </c>
      <c r="F13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Helper'!$F$5:$F$3004,"""")&lt;&gt;""""),ROWS(F$5:F1319)),IF(AND(LEFT(x,5)=""Pag"&amp;"e "",ISERROR(SEARCH(""–"",x))),x&amp;""–""&amp;REGEXEXTRACT(x,""[0-9]+$""),x)),"""")"),"")</f>
        <v/>
      </c>
      <c r="G1319" s="163"/>
      <c r="H13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Helper'!$F$5:$F$3004,"""")&lt;&gt;""""),ROWS(H$5:H1319)),"""")"),"")</f>
        <v/>
      </c>
    </row>
    <row r="1320" ht="15.75" customHeight="1">
      <c r="A13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Helper'!$F$5:$F$3004,"""")&lt;&gt;""""),ROWS(A$5:A1320)),"""")"),"")</f>
        <v/>
      </c>
      <c r="B13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Helper'!$F$5:$F$3004,"""")&lt;&gt;""""),ROWS(B$5:B1320)),"""")"),"")</f>
        <v/>
      </c>
      <c r="C13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Helper'!$F$5:$F$3004,"""")&lt;&gt;""""),ROWS(C$5:C1320)),"""")"),"")</f>
        <v/>
      </c>
      <c r="D13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Helper'!$F$5:$F$3004,"""")&lt;&gt;""""),ROWS(D$5:D1320)),"""")"),"")</f>
        <v/>
      </c>
      <c r="E13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Helper'!$F$5:$F$3004,"""")&lt;&gt;""""),ROWS(E$5:E1320)),"""")"),"")</f>
        <v/>
      </c>
      <c r="F13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Helper'!$F$5:$F$3004,"""")&lt;&gt;""""),ROWS(F$5:F1320)),IF(AND(LEFT(x,5)=""Pag"&amp;"e "",ISERROR(SEARCH(""–"",x))),x&amp;""–""&amp;REGEXEXTRACT(x,""[0-9]+$""),x)),"""")"),"")</f>
        <v/>
      </c>
      <c r="G1320" s="163"/>
      <c r="H13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Helper'!$F$5:$F$3004,"""")&lt;&gt;""""),ROWS(H$5:H1320)),"""")"),"")</f>
        <v/>
      </c>
    </row>
    <row r="1321" ht="15.75" customHeight="1">
      <c r="A13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Helper'!$F$5:$F$3004,"""")&lt;&gt;""""),ROWS(A$5:A1321)),"""")"),"")</f>
        <v/>
      </c>
      <c r="B13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Helper'!$F$5:$F$3004,"""")&lt;&gt;""""),ROWS(B$5:B1321)),"""")"),"")</f>
        <v/>
      </c>
      <c r="C13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Helper'!$F$5:$F$3004,"""")&lt;&gt;""""),ROWS(C$5:C1321)),"""")"),"")</f>
        <v/>
      </c>
      <c r="D13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Helper'!$F$5:$F$3004,"""")&lt;&gt;""""),ROWS(D$5:D1321)),"""")"),"")</f>
        <v/>
      </c>
      <c r="E13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Helper'!$F$5:$F$3004,"""")&lt;&gt;""""),ROWS(E$5:E1321)),"""")"),"")</f>
        <v/>
      </c>
      <c r="F13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Helper'!$F$5:$F$3004,"""")&lt;&gt;""""),ROWS(F$5:F1321)),IF(AND(LEFT(x,5)=""Pag"&amp;"e "",ISERROR(SEARCH(""–"",x))),x&amp;""–""&amp;REGEXEXTRACT(x,""[0-9]+$""),x)),"""")"),"")</f>
        <v/>
      </c>
      <c r="G1321" s="163"/>
      <c r="H13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Helper'!$F$5:$F$3004,"""")&lt;&gt;""""),ROWS(H$5:H1321)),"""")"),"")</f>
        <v/>
      </c>
    </row>
    <row r="1322" ht="15.75" customHeight="1">
      <c r="A13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Helper'!$F$5:$F$3004,"""")&lt;&gt;""""),ROWS(A$5:A1322)),"""")"),"")</f>
        <v/>
      </c>
      <c r="B13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Helper'!$F$5:$F$3004,"""")&lt;&gt;""""),ROWS(B$5:B1322)),"""")"),"")</f>
        <v/>
      </c>
      <c r="C13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Helper'!$F$5:$F$3004,"""")&lt;&gt;""""),ROWS(C$5:C1322)),"""")"),"")</f>
        <v/>
      </c>
      <c r="D13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Helper'!$F$5:$F$3004,"""")&lt;&gt;""""),ROWS(D$5:D1322)),"""")"),"")</f>
        <v/>
      </c>
      <c r="E13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Helper'!$F$5:$F$3004,"""")&lt;&gt;""""),ROWS(E$5:E1322)),"""")"),"")</f>
        <v/>
      </c>
      <c r="F13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Helper'!$F$5:$F$3004,"""")&lt;&gt;""""),ROWS(F$5:F1322)),IF(AND(LEFT(x,5)=""Pag"&amp;"e "",ISERROR(SEARCH(""–"",x))),x&amp;""–""&amp;REGEXEXTRACT(x,""[0-9]+$""),x)),"""")"),"")</f>
        <v/>
      </c>
      <c r="G1322" s="163"/>
      <c r="H13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Helper'!$F$5:$F$3004,"""")&lt;&gt;""""),ROWS(H$5:H1322)),"""")"),"")</f>
        <v/>
      </c>
    </row>
    <row r="1323" ht="15.75" customHeight="1">
      <c r="A13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Helper'!$F$5:$F$3004,"""")&lt;&gt;""""),ROWS(A$5:A1323)),"""")"),"")</f>
        <v/>
      </c>
      <c r="B13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Helper'!$F$5:$F$3004,"""")&lt;&gt;""""),ROWS(B$5:B1323)),"""")"),"")</f>
        <v/>
      </c>
      <c r="C13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Helper'!$F$5:$F$3004,"""")&lt;&gt;""""),ROWS(C$5:C1323)),"""")"),"")</f>
        <v/>
      </c>
      <c r="D13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Helper'!$F$5:$F$3004,"""")&lt;&gt;""""),ROWS(D$5:D1323)),"""")"),"")</f>
        <v/>
      </c>
      <c r="E13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Helper'!$F$5:$F$3004,"""")&lt;&gt;""""),ROWS(E$5:E1323)),"""")"),"")</f>
        <v/>
      </c>
      <c r="F13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Helper'!$F$5:$F$3004,"""")&lt;&gt;""""),ROWS(F$5:F1323)),IF(AND(LEFT(x,5)=""Pag"&amp;"e "",ISERROR(SEARCH(""–"",x))),x&amp;""–""&amp;REGEXEXTRACT(x,""[0-9]+$""),x)),"""")"),"")</f>
        <v/>
      </c>
      <c r="G1323" s="163"/>
      <c r="H13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Helper'!$F$5:$F$3004,"""")&lt;&gt;""""),ROWS(H$5:H1323)),"""")"),"")</f>
        <v/>
      </c>
    </row>
    <row r="1324" ht="15.75" customHeight="1">
      <c r="A13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Helper'!$F$5:$F$3004,"""")&lt;&gt;""""),ROWS(A$5:A1324)),"""")"),"")</f>
        <v/>
      </c>
      <c r="B13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Helper'!$F$5:$F$3004,"""")&lt;&gt;""""),ROWS(B$5:B1324)),"""")"),"")</f>
        <v/>
      </c>
      <c r="C13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Helper'!$F$5:$F$3004,"""")&lt;&gt;""""),ROWS(C$5:C1324)),"""")"),"")</f>
        <v/>
      </c>
      <c r="D13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Helper'!$F$5:$F$3004,"""")&lt;&gt;""""),ROWS(D$5:D1324)),"""")"),"")</f>
        <v/>
      </c>
      <c r="E13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Helper'!$F$5:$F$3004,"""")&lt;&gt;""""),ROWS(E$5:E1324)),"""")"),"")</f>
        <v/>
      </c>
      <c r="F13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Helper'!$F$5:$F$3004,"""")&lt;&gt;""""),ROWS(F$5:F1324)),IF(AND(LEFT(x,5)=""Pag"&amp;"e "",ISERROR(SEARCH(""–"",x))),x&amp;""–""&amp;REGEXEXTRACT(x,""[0-9]+$""),x)),"""")"),"")</f>
        <v/>
      </c>
      <c r="G1324" s="163"/>
      <c r="H13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Helper'!$F$5:$F$3004,"""")&lt;&gt;""""),ROWS(H$5:H1324)),"""")"),"")</f>
        <v/>
      </c>
    </row>
    <row r="1325" ht="15.75" customHeight="1">
      <c r="A13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Helper'!$F$5:$F$3004,"""")&lt;&gt;""""),ROWS(A$5:A1325)),"""")"),"")</f>
        <v/>
      </c>
      <c r="B13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Helper'!$F$5:$F$3004,"""")&lt;&gt;""""),ROWS(B$5:B1325)),"""")"),"")</f>
        <v/>
      </c>
      <c r="C13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Helper'!$F$5:$F$3004,"""")&lt;&gt;""""),ROWS(C$5:C1325)),"""")"),"")</f>
        <v/>
      </c>
      <c r="D13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Helper'!$F$5:$F$3004,"""")&lt;&gt;""""),ROWS(D$5:D1325)),"""")"),"")</f>
        <v/>
      </c>
      <c r="E13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Helper'!$F$5:$F$3004,"""")&lt;&gt;""""),ROWS(E$5:E1325)),"""")"),"")</f>
        <v/>
      </c>
      <c r="F13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Helper'!$F$5:$F$3004,"""")&lt;&gt;""""),ROWS(F$5:F1325)),IF(AND(LEFT(x,5)=""Pag"&amp;"e "",ISERROR(SEARCH(""–"",x))),x&amp;""–""&amp;REGEXEXTRACT(x,""[0-9]+$""),x)),"""")"),"")</f>
        <v/>
      </c>
      <c r="G1325" s="163"/>
      <c r="H13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Helper'!$F$5:$F$3004,"""")&lt;&gt;""""),ROWS(H$5:H1325)),"""")"),"")</f>
        <v/>
      </c>
    </row>
    <row r="1326" ht="15.75" customHeight="1">
      <c r="A13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Helper'!$F$5:$F$3004,"""")&lt;&gt;""""),ROWS(A$5:A1326)),"""")"),"")</f>
        <v/>
      </c>
      <c r="B13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Helper'!$F$5:$F$3004,"""")&lt;&gt;""""),ROWS(B$5:B1326)),"""")"),"")</f>
        <v/>
      </c>
      <c r="C13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Helper'!$F$5:$F$3004,"""")&lt;&gt;""""),ROWS(C$5:C1326)),"""")"),"")</f>
        <v/>
      </c>
      <c r="D13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Helper'!$F$5:$F$3004,"""")&lt;&gt;""""),ROWS(D$5:D1326)),"""")"),"")</f>
        <v/>
      </c>
      <c r="E13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Helper'!$F$5:$F$3004,"""")&lt;&gt;""""),ROWS(E$5:E1326)),"""")"),"")</f>
        <v/>
      </c>
      <c r="F13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Helper'!$F$5:$F$3004,"""")&lt;&gt;""""),ROWS(F$5:F1326)),IF(AND(LEFT(x,5)=""Pag"&amp;"e "",ISERROR(SEARCH(""–"",x))),x&amp;""–""&amp;REGEXEXTRACT(x,""[0-9]+$""),x)),"""")"),"")</f>
        <v/>
      </c>
      <c r="G1326" s="163"/>
      <c r="H13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Helper'!$F$5:$F$3004,"""")&lt;&gt;""""),ROWS(H$5:H1326)),"""")"),"")</f>
        <v/>
      </c>
    </row>
    <row r="1327" ht="15.75" customHeight="1">
      <c r="A13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Helper'!$F$5:$F$3004,"""")&lt;&gt;""""),ROWS(A$5:A1327)),"""")"),"")</f>
        <v/>
      </c>
      <c r="B13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Helper'!$F$5:$F$3004,"""")&lt;&gt;""""),ROWS(B$5:B1327)),"""")"),"")</f>
        <v/>
      </c>
      <c r="C13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Helper'!$F$5:$F$3004,"""")&lt;&gt;""""),ROWS(C$5:C1327)),"""")"),"")</f>
        <v/>
      </c>
      <c r="D13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Helper'!$F$5:$F$3004,"""")&lt;&gt;""""),ROWS(D$5:D1327)),"""")"),"")</f>
        <v/>
      </c>
      <c r="E13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Helper'!$F$5:$F$3004,"""")&lt;&gt;""""),ROWS(E$5:E1327)),"""")"),"")</f>
        <v/>
      </c>
      <c r="F13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Helper'!$F$5:$F$3004,"""")&lt;&gt;""""),ROWS(F$5:F1327)),IF(AND(LEFT(x,5)=""Pag"&amp;"e "",ISERROR(SEARCH(""–"",x))),x&amp;""–""&amp;REGEXEXTRACT(x,""[0-9]+$""),x)),"""")"),"")</f>
        <v/>
      </c>
      <c r="G1327" s="163"/>
      <c r="H13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Helper'!$F$5:$F$3004,"""")&lt;&gt;""""),ROWS(H$5:H1327)),"""")"),"")</f>
        <v/>
      </c>
    </row>
    <row r="1328" ht="15.75" customHeight="1">
      <c r="A13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Helper'!$F$5:$F$3004,"""")&lt;&gt;""""),ROWS(A$5:A1328)),"""")"),"")</f>
        <v/>
      </c>
      <c r="B13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Helper'!$F$5:$F$3004,"""")&lt;&gt;""""),ROWS(B$5:B1328)),"""")"),"")</f>
        <v/>
      </c>
      <c r="C13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Helper'!$F$5:$F$3004,"""")&lt;&gt;""""),ROWS(C$5:C1328)),"""")"),"")</f>
        <v/>
      </c>
      <c r="D13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Helper'!$F$5:$F$3004,"""")&lt;&gt;""""),ROWS(D$5:D1328)),"""")"),"")</f>
        <v/>
      </c>
      <c r="E13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Helper'!$F$5:$F$3004,"""")&lt;&gt;""""),ROWS(E$5:E1328)),"""")"),"")</f>
        <v/>
      </c>
      <c r="F13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Helper'!$F$5:$F$3004,"""")&lt;&gt;""""),ROWS(F$5:F1328)),IF(AND(LEFT(x,5)=""Pag"&amp;"e "",ISERROR(SEARCH(""–"",x))),x&amp;""–""&amp;REGEXEXTRACT(x,""[0-9]+$""),x)),"""")"),"")</f>
        <v/>
      </c>
      <c r="G1328" s="163"/>
      <c r="H13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Helper'!$F$5:$F$3004,"""")&lt;&gt;""""),ROWS(H$5:H1328)),"""")"),"")</f>
        <v/>
      </c>
    </row>
    <row r="1329" ht="15.75" customHeight="1">
      <c r="A13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Helper'!$F$5:$F$3004,"""")&lt;&gt;""""),ROWS(A$5:A1329)),"""")"),"")</f>
        <v/>
      </c>
      <c r="B13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Helper'!$F$5:$F$3004,"""")&lt;&gt;""""),ROWS(B$5:B1329)),"""")"),"")</f>
        <v/>
      </c>
      <c r="C13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Helper'!$F$5:$F$3004,"""")&lt;&gt;""""),ROWS(C$5:C1329)),"""")"),"")</f>
        <v/>
      </c>
      <c r="D13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Helper'!$F$5:$F$3004,"""")&lt;&gt;""""),ROWS(D$5:D1329)),"""")"),"")</f>
        <v/>
      </c>
      <c r="E13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Helper'!$F$5:$F$3004,"""")&lt;&gt;""""),ROWS(E$5:E1329)),"""")"),"")</f>
        <v/>
      </c>
      <c r="F13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Helper'!$F$5:$F$3004,"""")&lt;&gt;""""),ROWS(F$5:F1329)),IF(AND(LEFT(x,5)=""Pag"&amp;"e "",ISERROR(SEARCH(""–"",x))),x&amp;""–""&amp;REGEXEXTRACT(x,""[0-9]+$""),x)),"""")"),"")</f>
        <v/>
      </c>
      <c r="G1329" s="163"/>
      <c r="H13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Helper'!$F$5:$F$3004,"""")&lt;&gt;""""),ROWS(H$5:H1329)),"""")"),"")</f>
        <v/>
      </c>
    </row>
    <row r="1330" ht="15.75" customHeight="1">
      <c r="A13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Helper'!$F$5:$F$3004,"""")&lt;&gt;""""),ROWS(A$5:A1330)),"""")"),"")</f>
        <v/>
      </c>
      <c r="B13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Helper'!$F$5:$F$3004,"""")&lt;&gt;""""),ROWS(B$5:B1330)),"""")"),"")</f>
        <v/>
      </c>
      <c r="C13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Helper'!$F$5:$F$3004,"""")&lt;&gt;""""),ROWS(C$5:C1330)),"""")"),"")</f>
        <v/>
      </c>
      <c r="D13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Helper'!$F$5:$F$3004,"""")&lt;&gt;""""),ROWS(D$5:D1330)),"""")"),"")</f>
        <v/>
      </c>
      <c r="E13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Helper'!$F$5:$F$3004,"""")&lt;&gt;""""),ROWS(E$5:E1330)),"""")"),"")</f>
        <v/>
      </c>
      <c r="F13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Helper'!$F$5:$F$3004,"""")&lt;&gt;""""),ROWS(F$5:F1330)),IF(AND(LEFT(x,5)=""Pag"&amp;"e "",ISERROR(SEARCH(""–"",x))),x&amp;""–""&amp;REGEXEXTRACT(x,""[0-9]+$""),x)),"""")"),"")</f>
        <v/>
      </c>
      <c r="G1330" s="163"/>
      <c r="H13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Helper'!$F$5:$F$3004,"""")&lt;&gt;""""),ROWS(H$5:H1330)),"""")"),"")</f>
        <v/>
      </c>
    </row>
    <row r="1331" ht="15.75" customHeight="1">
      <c r="A13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Helper'!$F$5:$F$3004,"""")&lt;&gt;""""),ROWS(A$5:A1331)),"""")"),"")</f>
        <v/>
      </c>
      <c r="B13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Helper'!$F$5:$F$3004,"""")&lt;&gt;""""),ROWS(B$5:B1331)),"""")"),"")</f>
        <v/>
      </c>
      <c r="C13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Helper'!$F$5:$F$3004,"""")&lt;&gt;""""),ROWS(C$5:C1331)),"""")"),"")</f>
        <v/>
      </c>
      <c r="D13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Helper'!$F$5:$F$3004,"""")&lt;&gt;""""),ROWS(D$5:D1331)),"""")"),"")</f>
        <v/>
      </c>
      <c r="E13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Helper'!$F$5:$F$3004,"""")&lt;&gt;""""),ROWS(E$5:E1331)),"""")"),"")</f>
        <v/>
      </c>
      <c r="F13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Helper'!$F$5:$F$3004,"""")&lt;&gt;""""),ROWS(F$5:F1331)),IF(AND(LEFT(x,5)=""Pag"&amp;"e "",ISERROR(SEARCH(""–"",x))),x&amp;""–""&amp;REGEXEXTRACT(x,""[0-9]+$""),x)),"""")"),"")</f>
        <v/>
      </c>
      <c r="G1331" s="163"/>
      <c r="H13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Helper'!$F$5:$F$3004,"""")&lt;&gt;""""),ROWS(H$5:H1331)),"""")"),"")</f>
        <v/>
      </c>
    </row>
    <row r="1332" ht="15.75" customHeight="1">
      <c r="A13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Helper'!$F$5:$F$3004,"""")&lt;&gt;""""),ROWS(A$5:A1332)),"""")"),"")</f>
        <v/>
      </c>
      <c r="B13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Helper'!$F$5:$F$3004,"""")&lt;&gt;""""),ROWS(B$5:B1332)),"""")"),"")</f>
        <v/>
      </c>
      <c r="C13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Helper'!$F$5:$F$3004,"""")&lt;&gt;""""),ROWS(C$5:C1332)),"""")"),"")</f>
        <v/>
      </c>
      <c r="D13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Helper'!$F$5:$F$3004,"""")&lt;&gt;""""),ROWS(D$5:D1332)),"""")"),"")</f>
        <v/>
      </c>
      <c r="E13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Helper'!$F$5:$F$3004,"""")&lt;&gt;""""),ROWS(E$5:E1332)),"""")"),"")</f>
        <v/>
      </c>
      <c r="F13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Helper'!$F$5:$F$3004,"""")&lt;&gt;""""),ROWS(F$5:F1332)),IF(AND(LEFT(x,5)=""Pag"&amp;"e "",ISERROR(SEARCH(""–"",x))),x&amp;""–""&amp;REGEXEXTRACT(x,""[0-9]+$""),x)),"""")"),"")</f>
        <v/>
      </c>
      <c r="G1332" s="163"/>
      <c r="H13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Helper'!$F$5:$F$3004,"""")&lt;&gt;""""),ROWS(H$5:H1332)),"""")"),"")</f>
        <v/>
      </c>
    </row>
    <row r="1333" ht="15.75" customHeight="1">
      <c r="A13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Helper'!$F$5:$F$3004,"""")&lt;&gt;""""),ROWS(A$5:A1333)),"""")"),"")</f>
        <v/>
      </c>
      <c r="B13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Helper'!$F$5:$F$3004,"""")&lt;&gt;""""),ROWS(B$5:B1333)),"""")"),"")</f>
        <v/>
      </c>
      <c r="C13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Helper'!$F$5:$F$3004,"""")&lt;&gt;""""),ROWS(C$5:C1333)),"""")"),"")</f>
        <v/>
      </c>
      <c r="D13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Helper'!$F$5:$F$3004,"""")&lt;&gt;""""),ROWS(D$5:D1333)),"""")"),"")</f>
        <v/>
      </c>
      <c r="E13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Helper'!$F$5:$F$3004,"""")&lt;&gt;""""),ROWS(E$5:E1333)),"""")"),"")</f>
        <v/>
      </c>
      <c r="F13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Helper'!$F$5:$F$3004,"""")&lt;&gt;""""),ROWS(F$5:F1333)),IF(AND(LEFT(x,5)=""Pag"&amp;"e "",ISERROR(SEARCH(""–"",x))),x&amp;""–""&amp;REGEXEXTRACT(x,""[0-9]+$""),x)),"""")"),"")</f>
        <v/>
      </c>
      <c r="G1333" s="163"/>
      <c r="H13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Helper'!$F$5:$F$3004,"""")&lt;&gt;""""),ROWS(H$5:H1333)),"""")"),"")</f>
        <v/>
      </c>
    </row>
    <row r="1334" ht="15.75" customHeight="1">
      <c r="A13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Helper'!$F$5:$F$3004,"""")&lt;&gt;""""),ROWS(A$5:A1334)),"""")"),"")</f>
        <v/>
      </c>
      <c r="B13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Helper'!$F$5:$F$3004,"""")&lt;&gt;""""),ROWS(B$5:B1334)),"""")"),"")</f>
        <v/>
      </c>
      <c r="C13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Helper'!$F$5:$F$3004,"""")&lt;&gt;""""),ROWS(C$5:C1334)),"""")"),"")</f>
        <v/>
      </c>
      <c r="D13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Helper'!$F$5:$F$3004,"""")&lt;&gt;""""),ROWS(D$5:D1334)),"""")"),"")</f>
        <v/>
      </c>
      <c r="E13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Helper'!$F$5:$F$3004,"""")&lt;&gt;""""),ROWS(E$5:E1334)),"""")"),"")</f>
        <v/>
      </c>
      <c r="F13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Helper'!$F$5:$F$3004,"""")&lt;&gt;""""),ROWS(F$5:F1334)),IF(AND(LEFT(x,5)=""Pag"&amp;"e "",ISERROR(SEARCH(""–"",x))),x&amp;""–""&amp;REGEXEXTRACT(x,""[0-9]+$""),x)),"""")"),"")</f>
        <v/>
      </c>
      <c r="G1334" s="163"/>
      <c r="H13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Helper'!$F$5:$F$3004,"""")&lt;&gt;""""),ROWS(H$5:H1334)),"""")"),"")</f>
        <v/>
      </c>
    </row>
    <row r="1335" ht="15.75" customHeight="1">
      <c r="A13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Helper'!$F$5:$F$3004,"""")&lt;&gt;""""),ROWS(A$5:A1335)),"""")"),"")</f>
        <v/>
      </c>
      <c r="B13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Helper'!$F$5:$F$3004,"""")&lt;&gt;""""),ROWS(B$5:B1335)),"""")"),"")</f>
        <v/>
      </c>
      <c r="C13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Helper'!$F$5:$F$3004,"""")&lt;&gt;""""),ROWS(C$5:C1335)),"""")"),"")</f>
        <v/>
      </c>
      <c r="D13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Helper'!$F$5:$F$3004,"""")&lt;&gt;""""),ROWS(D$5:D1335)),"""")"),"")</f>
        <v/>
      </c>
      <c r="E13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Helper'!$F$5:$F$3004,"""")&lt;&gt;""""),ROWS(E$5:E1335)),"""")"),"")</f>
        <v/>
      </c>
      <c r="F13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Helper'!$F$5:$F$3004,"""")&lt;&gt;""""),ROWS(F$5:F1335)),IF(AND(LEFT(x,5)=""Pag"&amp;"e "",ISERROR(SEARCH(""–"",x))),x&amp;""–""&amp;REGEXEXTRACT(x,""[0-9]+$""),x)),"""")"),"")</f>
        <v/>
      </c>
      <c r="G1335" s="163"/>
      <c r="H13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Helper'!$F$5:$F$3004,"""")&lt;&gt;""""),ROWS(H$5:H1335)),"""")"),"")</f>
        <v/>
      </c>
    </row>
    <row r="1336" ht="15.75" customHeight="1">
      <c r="A13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Helper'!$F$5:$F$3004,"""")&lt;&gt;""""),ROWS(A$5:A1336)),"""")"),"")</f>
        <v/>
      </c>
      <c r="B13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Helper'!$F$5:$F$3004,"""")&lt;&gt;""""),ROWS(B$5:B1336)),"""")"),"")</f>
        <v/>
      </c>
      <c r="C13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Helper'!$F$5:$F$3004,"""")&lt;&gt;""""),ROWS(C$5:C1336)),"""")"),"")</f>
        <v/>
      </c>
      <c r="D13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Helper'!$F$5:$F$3004,"""")&lt;&gt;""""),ROWS(D$5:D1336)),"""")"),"")</f>
        <v/>
      </c>
      <c r="E13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Helper'!$F$5:$F$3004,"""")&lt;&gt;""""),ROWS(E$5:E1336)),"""")"),"")</f>
        <v/>
      </c>
      <c r="F13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Helper'!$F$5:$F$3004,"""")&lt;&gt;""""),ROWS(F$5:F1336)),IF(AND(LEFT(x,5)=""Pag"&amp;"e "",ISERROR(SEARCH(""–"",x))),x&amp;""–""&amp;REGEXEXTRACT(x,""[0-9]+$""),x)),"""")"),"")</f>
        <v/>
      </c>
      <c r="G1336" s="163"/>
      <c r="H13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Helper'!$F$5:$F$3004,"""")&lt;&gt;""""),ROWS(H$5:H1336)),"""")"),"")</f>
        <v/>
      </c>
    </row>
    <row r="1337" ht="15.75" customHeight="1">
      <c r="A13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Helper'!$F$5:$F$3004,"""")&lt;&gt;""""),ROWS(A$5:A1337)),"""")"),"")</f>
        <v/>
      </c>
      <c r="B13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Helper'!$F$5:$F$3004,"""")&lt;&gt;""""),ROWS(B$5:B1337)),"""")"),"")</f>
        <v/>
      </c>
      <c r="C13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Helper'!$F$5:$F$3004,"""")&lt;&gt;""""),ROWS(C$5:C1337)),"""")"),"")</f>
        <v/>
      </c>
      <c r="D13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Helper'!$F$5:$F$3004,"""")&lt;&gt;""""),ROWS(D$5:D1337)),"""")"),"")</f>
        <v/>
      </c>
      <c r="E13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Helper'!$F$5:$F$3004,"""")&lt;&gt;""""),ROWS(E$5:E1337)),"""")"),"")</f>
        <v/>
      </c>
      <c r="F13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Helper'!$F$5:$F$3004,"""")&lt;&gt;""""),ROWS(F$5:F1337)),IF(AND(LEFT(x,5)=""Pag"&amp;"e "",ISERROR(SEARCH(""–"",x))),x&amp;""–""&amp;REGEXEXTRACT(x,""[0-9]+$""),x)),"""")"),"")</f>
        <v/>
      </c>
      <c r="G1337" s="163"/>
      <c r="H13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Helper'!$F$5:$F$3004,"""")&lt;&gt;""""),ROWS(H$5:H1337)),"""")"),"")</f>
        <v/>
      </c>
    </row>
    <row r="1338" ht="15.75" customHeight="1">
      <c r="A13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Helper'!$F$5:$F$3004,"""")&lt;&gt;""""),ROWS(A$5:A1338)),"""")"),"")</f>
        <v/>
      </c>
      <c r="B13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Helper'!$F$5:$F$3004,"""")&lt;&gt;""""),ROWS(B$5:B1338)),"""")"),"")</f>
        <v/>
      </c>
      <c r="C13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Helper'!$F$5:$F$3004,"""")&lt;&gt;""""),ROWS(C$5:C1338)),"""")"),"")</f>
        <v/>
      </c>
      <c r="D13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Helper'!$F$5:$F$3004,"""")&lt;&gt;""""),ROWS(D$5:D1338)),"""")"),"")</f>
        <v/>
      </c>
      <c r="E13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Helper'!$F$5:$F$3004,"""")&lt;&gt;""""),ROWS(E$5:E1338)),"""")"),"")</f>
        <v/>
      </c>
      <c r="F13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Helper'!$F$5:$F$3004,"""")&lt;&gt;""""),ROWS(F$5:F1338)),IF(AND(LEFT(x,5)=""Pag"&amp;"e "",ISERROR(SEARCH(""–"",x))),x&amp;""–""&amp;REGEXEXTRACT(x,""[0-9]+$""),x)),"""")"),"")</f>
        <v/>
      </c>
      <c r="G1338" s="163"/>
      <c r="H13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Helper'!$F$5:$F$3004,"""")&lt;&gt;""""),ROWS(H$5:H1338)),"""")"),"")</f>
        <v/>
      </c>
    </row>
    <row r="1339" ht="15.75" customHeight="1">
      <c r="A13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Helper'!$F$5:$F$3004,"""")&lt;&gt;""""),ROWS(A$5:A1339)),"""")"),"")</f>
        <v/>
      </c>
      <c r="B13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Helper'!$F$5:$F$3004,"""")&lt;&gt;""""),ROWS(B$5:B1339)),"""")"),"")</f>
        <v/>
      </c>
      <c r="C13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Helper'!$F$5:$F$3004,"""")&lt;&gt;""""),ROWS(C$5:C1339)),"""")"),"")</f>
        <v/>
      </c>
      <c r="D13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Helper'!$F$5:$F$3004,"""")&lt;&gt;""""),ROWS(D$5:D1339)),"""")"),"")</f>
        <v/>
      </c>
      <c r="E13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Helper'!$F$5:$F$3004,"""")&lt;&gt;""""),ROWS(E$5:E1339)),"""")"),"")</f>
        <v/>
      </c>
      <c r="F13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Helper'!$F$5:$F$3004,"""")&lt;&gt;""""),ROWS(F$5:F1339)),IF(AND(LEFT(x,5)=""Pag"&amp;"e "",ISERROR(SEARCH(""–"",x))),x&amp;""–""&amp;REGEXEXTRACT(x,""[0-9]+$""),x)),"""")"),"")</f>
        <v/>
      </c>
      <c r="G1339" s="163"/>
      <c r="H13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Helper'!$F$5:$F$3004,"""")&lt;&gt;""""),ROWS(H$5:H1339)),"""")"),"")</f>
        <v/>
      </c>
    </row>
    <row r="1340" ht="15.75" customHeight="1">
      <c r="A13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Helper'!$F$5:$F$3004,"""")&lt;&gt;""""),ROWS(A$5:A1340)),"""")"),"")</f>
        <v/>
      </c>
      <c r="B13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Helper'!$F$5:$F$3004,"""")&lt;&gt;""""),ROWS(B$5:B1340)),"""")"),"")</f>
        <v/>
      </c>
      <c r="C13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Helper'!$F$5:$F$3004,"""")&lt;&gt;""""),ROWS(C$5:C1340)),"""")"),"")</f>
        <v/>
      </c>
      <c r="D13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Helper'!$F$5:$F$3004,"""")&lt;&gt;""""),ROWS(D$5:D1340)),"""")"),"")</f>
        <v/>
      </c>
      <c r="E13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Helper'!$F$5:$F$3004,"""")&lt;&gt;""""),ROWS(E$5:E1340)),"""")"),"")</f>
        <v/>
      </c>
      <c r="F13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Helper'!$F$5:$F$3004,"""")&lt;&gt;""""),ROWS(F$5:F1340)),IF(AND(LEFT(x,5)=""Pag"&amp;"e "",ISERROR(SEARCH(""–"",x))),x&amp;""–""&amp;REGEXEXTRACT(x,""[0-9]+$""),x)),"""")"),"")</f>
        <v/>
      </c>
      <c r="G1340" s="163"/>
      <c r="H13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Helper'!$F$5:$F$3004,"""")&lt;&gt;""""),ROWS(H$5:H1340)),"""")"),"")</f>
        <v/>
      </c>
    </row>
    <row r="1341" ht="15.75" customHeight="1">
      <c r="A13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Helper'!$F$5:$F$3004,"""")&lt;&gt;""""),ROWS(A$5:A1341)),"""")"),"")</f>
        <v/>
      </c>
      <c r="B13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Helper'!$F$5:$F$3004,"""")&lt;&gt;""""),ROWS(B$5:B1341)),"""")"),"")</f>
        <v/>
      </c>
      <c r="C13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Helper'!$F$5:$F$3004,"""")&lt;&gt;""""),ROWS(C$5:C1341)),"""")"),"")</f>
        <v/>
      </c>
      <c r="D13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Helper'!$F$5:$F$3004,"""")&lt;&gt;""""),ROWS(D$5:D1341)),"""")"),"")</f>
        <v/>
      </c>
      <c r="E13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Helper'!$F$5:$F$3004,"""")&lt;&gt;""""),ROWS(E$5:E1341)),"""")"),"")</f>
        <v/>
      </c>
      <c r="F13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Helper'!$F$5:$F$3004,"""")&lt;&gt;""""),ROWS(F$5:F1341)),IF(AND(LEFT(x,5)=""Pag"&amp;"e "",ISERROR(SEARCH(""–"",x))),x&amp;""–""&amp;REGEXEXTRACT(x,""[0-9]+$""),x)),"""")"),"")</f>
        <v/>
      </c>
      <c r="G1341" s="163"/>
      <c r="H13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Helper'!$F$5:$F$3004,"""")&lt;&gt;""""),ROWS(H$5:H1341)),"""")"),"")</f>
        <v/>
      </c>
    </row>
    <row r="1342" ht="15.75" customHeight="1">
      <c r="A13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Helper'!$F$5:$F$3004,"""")&lt;&gt;""""),ROWS(A$5:A1342)),"""")"),"")</f>
        <v/>
      </c>
      <c r="B13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Helper'!$F$5:$F$3004,"""")&lt;&gt;""""),ROWS(B$5:B1342)),"""")"),"")</f>
        <v/>
      </c>
      <c r="C13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Helper'!$F$5:$F$3004,"""")&lt;&gt;""""),ROWS(C$5:C1342)),"""")"),"")</f>
        <v/>
      </c>
      <c r="D13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Helper'!$F$5:$F$3004,"""")&lt;&gt;""""),ROWS(D$5:D1342)),"""")"),"")</f>
        <v/>
      </c>
      <c r="E13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Helper'!$F$5:$F$3004,"""")&lt;&gt;""""),ROWS(E$5:E1342)),"""")"),"")</f>
        <v/>
      </c>
      <c r="F13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Helper'!$F$5:$F$3004,"""")&lt;&gt;""""),ROWS(F$5:F1342)),IF(AND(LEFT(x,5)=""Pag"&amp;"e "",ISERROR(SEARCH(""–"",x))),x&amp;""–""&amp;REGEXEXTRACT(x,""[0-9]+$""),x)),"""")"),"")</f>
        <v/>
      </c>
      <c r="G1342" s="163"/>
      <c r="H13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Helper'!$F$5:$F$3004,"""")&lt;&gt;""""),ROWS(H$5:H1342)),"""")"),"")</f>
        <v/>
      </c>
    </row>
    <row r="1343" ht="15.75" customHeight="1">
      <c r="A13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Helper'!$F$5:$F$3004,"""")&lt;&gt;""""),ROWS(A$5:A1343)),"""")"),"")</f>
        <v/>
      </c>
      <c r="B13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Helper'!$F$5:$F$3004,"""")&lt;&gt;""""),ROWS(B$5:B1343)),"""")"),"")</f>
        <v/>
      </c>
      <c r="C13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Helper'!$F$5:$F$3004,"""")&lt;&gt;""""),ROWS(C$5:C1343)),"""")"),"")</f>
        <v/>
      </c>
      <c r="D13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Helper'!$F$5:$F$3004,"""")&lt;&gt;""""),ROWS(D$5:D1343)),"""")"),"")</f>
        <v/>
      </c>
      <c r="E13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Helper'!$F$5:$F$3004,"""")&lt;&gt;""""),ROWS(E$5:E1343)),"""")"),"")</f>
        <v/>
      </c>
      <c r="F13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Helper'!$F$5:$F$3004,"""")&lt;&gt;""""),ROWS(F$5:F1343)),IF(AND(LEFT(x,5)=""Pag"&amp;"e "",ISERROR(SEARCH(""–"",x))),x&amp;""–""&amp;REGEXEXTRACT(x,""[0-9]+$""),x)),"""")"),"")</f>
        <v/>
      </c>
      <c r="G1343" s="163"/>
      <c r="H13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Helper'!$F$5:$F$3004,"""")&lt;&gt;""""),ROWS(H$5:H1343)),"""")"),"")</f>
        <v/>
      </c>
    </row>
    <row r="1344" ht="15.75" customHeight="1">
      <c r="A13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Helper'!$F$5:$F$3004,"""")&lt;&gt;""""),ROWS(A$5:A1344)),"""")"),"")</f>
        <v/>
      </c>
      <c r="B13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Helper'!$F$5:$F$3004,"""")&lt;&gt;""""),ROWS(B$5:B1344)),"""")"),"")</f>
        <v/>
      </c>
      <c r="C13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Helper'!$F$5:$F$3004,"""")&lt;&gt;""""),ROWS(C$5:C1344)),"""")"),"")</f>
        <v/>
      </c>
      <c r="D13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Helper'!$F$5:$F$3004,"""")&lt;&gt;""""),ROWS(D$5:D1344)),"""")"),"")</f>
        <v/>
      </c>
      <c r="E13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Helper'!$F$5:$F$3004,"""")&lt;&gt;""""),ROWS(E$5:E1344)),"""")"),"")</f>
        <v/>
      </c>
      <c r="F13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Helper'!$F$5:$F$3004,"""")&lt;&gt;""""),ROWS(F$5:F1344)),IF(AND(LEFT(x,5)=""Pag"&amp;"e "",ISERROR(SEARCH(""–"",x))),x&amp;""–""&amp;REGEXEXTRACT(x,""[0-9]+$""),x)),"""")"),"")</f>
        <v/>
      </c>
      <c r="G1344" s="163"/>
      <c r="H13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Helper'!$F$5:$F$3004,"""")&lt;&gt;""""),ROWS(H$5:H1344)),"""")"),"")</f>
        <v/>
      </c>
    </row>
    <row r="1345" ht="15.75" customHeight="1">
      <c r="A13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Helper'!$F$5:$F$3004,"""")&lt;&gt;""""),ROWS(A$5:A1345)),"""")"),"")</f>
        <v/>
      </c>
      <c r="B13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Helper'!$F$5:$F$3004,"""")&lt;&gt;""""),ROWS(B$5:B1345)),"""")"),"")</f>
        <v/>
      </c>
      <c r="C13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Helper'!$F$5:$F$3004,"""")&lt;&gt;""""),ROWS(C$5:C1345)),"""")"),"")</f>
        <v/>
      </c>
      <c r="D13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Helper'!$F$5:$F$3004,"""")&lt;&gt;""""),ROWS(D$5:D1345)),"""")"),"")</f>
        <v/>
      </c>
      <c r="E13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Helper'!$F$5:$F$3004,"""")&lt;&gt;""""),ROWS(E$5:E1345)),"""")"),"")</f>
        <v/>
      </c>
      <c r="F13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Helper'!$F$5:$F$3004,"""")&lt;&gt;""""),ROWS(F$5:F1345)),IF(AND(LEFT(x,5)=""Pag"&amp;"e "",ISERROR(SEARCH(""–"",x))),x&amp;""–""&amp;REGEXEXTRACT(x,""[0-9]+$""),x)),"""")"),"")</f>
        <v/>
      </c>
      <c r="G1345" s="163"/>
      <c r="H13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Helper'!$F$5:$F$3004,"""")&lt;&gt;""""),ROWS(H$5:H1345)),"""")"),"")</f>
        <v/>
      </c>
    </row>
    <row r="1346" ht="15.75" customHeight="1">
      <c r="A13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Helper'!$F$5:$F$3004,"""")&lt;&gt;""""),ROWS(A$5:A1346)),"""")"),"")</f>
        <v/>
      </c>
      <c r="B13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Helper'!$F$5:$F$3004,"""")&lt;&gt;""""),ROWS(B$5:B1346)),"""")"),"")</f>
        <v/>
      </c>
      <c r="C13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Helper'!$F$5:$F$3004,"""")&lt;&gt;""""),ROWS(C$5:C1346)),"""")"),"")</f>
        <v/>
      </c>
      <c r="D13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Helper'!$F$5:$F$3004,"""")&lt;&gt;""""),ROWS(D$5:D1346)),"""")"),"")</f>
        <v/>
      </c>
      <c r="E13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Helper'!$F$5:$F$3004,"""")&lt;&gt;""""),ROWS(E$5:E1346)),"""")"),"")</f>
        <v/>
      </c>
      <c r="F13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Helper'!$F$5:$F$3004,"""")&lt;&gt;""""),ROWS(F$5:F1346)),IF(AND(LEFT(x,5)=""Pag"&amp;"e "",ISERROR(SEARCH(""–"",x))),x&amp;""–""&amp;REGEXEXTRACT(x,""[0-9]+$""),x)),"""")"),"")</f>
        <v/>
      </c>
      <c r="G1346" s="163"/>
      <c r="H13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Helper'!$F$5:$F$3004,"""")&lt;&gt;""""),ROWS(H$5:H1346)),"""")"),"")</f>
        <v/>
      </c>
    </row>
    <row r="1347" ht="15.75" customHeight="1">
      <c r="A13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Helper'!$F$5:$F$3004,"""")&lt;&gt;""""),ROWS(A$5:A1347)),"""")"),"")</f>
        <v/>
      </c>
      <c r="B13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Helper'!$F$5:$F$3004,"""")&lt;&gt;""""),ROWS(B$5:B1347)),"""")"),"")</f>
        <v/>
      </c>
      <c r="C13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Helper'!$F$5:$F$3004,"""")&lt;&gt;""""),ROWS(C$5:C1347)),"""")"),"")</f>
        <v/>
      </c>
      <c r="D13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Helper'!$F$5:$F$3004,"""")&lt;&gt;""""),ROWS(D$5:D1347)),"""")"),"")</f>
        <v/>
      </c>
      <c r="E13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Helper'!$F$5:$F$3004,"""")&lt;&gt;""""),ROWS(E$5:E1347)),"""")"),"")</f>
        <v/>
      </c>
      <c r="F13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Helper'!$F$5:$F$3004,"""")&lt;&gt;""""),ROWS(F$5:F1347)),IF(AND(LEFT(x,5)=""Pag"&amp;"e "",ISERROR(SEARCH(""–"",x))),x&amp;""–""&amp;REGEXEXTRACT(x,""[0-9]+$""),x)),"""")"),"")</f>
        <v/>
      </c>
      <c r="G1347" s="163"/>
      <c r="H13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Helper'!$F$5:$F$3004,"""")&lt;&gt;""""),ROWS(H$5:H1347)),"""")"),"")</f>
        <v/>
      </c>
    </row>
    <row r="1348" ht="15.75" customHeight="1">
      <c r="A13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Helper'!$F$5:$F$3004,"""")&lt;&gt;""""),ROWS(A$5:A1348)),"""")"),"")</f>
        <v/>
      </c>
      <c r="B13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Helper'!$F$5:$F$3004,"""")&lt;&gt;""""),ROWS(B$5:B1348)),"""")"),"")</f>
        <v/>
      </c>
      <c r="C13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Helper'!$F$5:$F$3004,"""")&lt;&gt;""""),ROWS(C$5:C1348)),"""")"),"")</f>
        <v/>
      </c>
      <c r="D13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Helper'!$F$5:$F$3004,"""")&lt;&gt;""""),ROWS(D$5:D1348)),"""")"),"")</f>
        <v/>
      </c>
      <c r="E13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Helper'!$F$5:$F$3004,"""")&lt;&gt;""""),ROWS(E$5:E1348)),"""")"),"")</f>
        <v/>
      </c>
      <c r="F13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Helper'!$F$5:$F$3004,"""")&lt;&gt;""""),ROWS(F$5:F1348)),IF(AND(LEFT(x,5)=""Pag"&amp;"e "",ISERROR(SEARCH(""–"",x))),x&amp;""–""&amp;REGEXEXTRACT(x,""[0-9]+$""),x)),"""")"),"")</f>
        <v/>
      </c>
      <c r="G1348" s="163"/>
      <c r="H13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Helper'!$F$5:$F$3004,"""")&lt;&gt;""""),ROWS(H$5:H1348)),"""")"),"")</f>
        <v/>
      </c>
    </row>
    <row r="1349" ht="15.75" customHeight="1">
      <c r="A13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Helper'!$F$5:$F$3004,"""")&lt;&gt;""""),ROWS(A$5:A1349)),"""")"),"")</f>
        <v/>
      </c>
      <c r="B13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Helper'!$F$5:$F$3004,"""")&lt;&gt;""""),ROWS(B$5:B1349)),"""")"),"")</f>
        <v/>
      </c>
      <c r="C13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Helper'!$F$5:$F$3004,"""")&lt;&gt;""""),ROWS(C$5:C1349)),"""")"),"")</f>
        <v/>
      </c>
      <c r="D13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Helper'!$F$5:$F$3004,"""")&lt;&gt;""""),ROWS(D$5:D1349)),"""")"),"")</f>
        <v/>
      </c>
      <c r="E13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Helper'!$F$5:$F$3004,"""")&lt;&gt;""""),ROWS(E$5:E1349)),"""")"),"")</f>
        <v/>
      </c>
      <c r="F13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Helper'!$F$5:$F$3004,"""")&lt;&gt;""""),ROWS(F$5:F1349)),IF(AND(LEFT(x,5)=""Pag"&amp;"e "",ISERROR(SEARCH(""–"",x))),x&amp;""–""&amp;REGEXEXTRACT(x,""[0-9]+$""),x)),"""")"),"")</f>
        <v/>
      </c>
      <c r="G1349" s="163"/>
      <c r="H13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Helper'!$F$5:$F$3004,"""")&lt;&gt;""""),ROWS(H$5:H1349)),"""")"),"")</f>
        <v/>
      </c>
    </row>
    <row r="1350" ht="15.75" customHeight="1">
      <c r="A13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Helper'!$F$5:$F$3004,"""")&lt;&gt;""""),ROWS(A$5:A1350)),"""")"),"")</f>
        <v/>
      </c>
      <c r="B13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Helper'!$F$5:$F$3004,"""")&lt;&gt;""""),ROWS(B$5:B1350)),"""")"),"")</f>
        <v/>
      </c>
      <c r="C13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Helper'!$F$5:$F$3004,"""")&lt;&gt;""""),ROWS(C$5:C1350)),"""")"),"")</f>
        <v/>
      </c>
      <c r="D13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Helper'!$F$5:$F$3004,"""")&lt;&gt;""""),ROWS(D$5:D1350)),"""")"),"")</f>
        <v/>
      </c>
      <c r="E13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Helper'!$F$5:$F$3004,"""")&lt;&gt;""""),ROWS(E$5:E1350)),"""")"),"")</f>
        <v/>
      </c>
      <c r="F13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Helper'!$F$5:$F$3004,"""")&lt;&gt;""""),ROWS(F$5:F1350)),IF(AND(LEFT(x,5)=""Pag"&amp;"e "",ISERROR(SEARCH(""–"",x))),x&amp;""–""&amp;REGEXEXTRACT(x,""[0-9]+$""),x)),"""")"),"")</f>
        <v/>
      </c>
      <c r="G1350" s="163"/>
      <c r="H13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Helper'!$F$5:$F$3004,"""")&lt;&gt;""""),ROWS(H$5:H1350)),"""")"),"")</f>
        <v/>
      </c>
    </row>
    <row r="1351" ht="15.75" customHeight="1">
      <c r="A13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Helper'!$F$5:$F$3004,"""")&lt;&gt;""""),ROWS(A$5:A1351)),"""")"),"")</f>
        <v/>
      </c>
      <c r="B13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Helper'!$F$5:$F$3004,"""")&lt;&gt;""""),ROWS(B$5:B1351)),"""")"),"")</f>
        <v/>
      </c>
      <c r="C13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Helper'!$F$5:$F$3004,"""")&lt;&gt;""""),ROWS(C$5:C1351)),"""")"),"")</f>
        <v/>
      </c>
      <c r="D13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Helper'!$F$5:$F$3004,"""")&lt;&gt;""""),ROWS(D$5:D1351)),"""")"),"")</f>
        <v/>
      </c>
      <c r="E13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Helper'!$F$5:$F$3004,"""")&lt;&gt;""""),ROWS(E$5:E1351)),"""")"),"")</f>
        <v/>
      </c>
      <c r="F13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Helper'!$F$5:$F$3004,"""")&lt;&gt;""""),ROWS(F$5:F1351)),IF(AND(LEFT(x,5)=""Pag"&amp;"e "",ISERROR(SEARCH(""–"",x))),x&amp;""–""&amp;REGEXEXTRACT(x,""[0-9]+$""),x)),"""")"),"")</f>
        <v/>
      </c>
      <c r="G1351" s="163"/>
      <c r="H13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Helper'!$F$5:$F$3004,"""")&lt;&gt;""""),ROWS(H$5:H1351)),"""")"),"")</f>
        <v/>
      </c>
    </row>
    <row r="1352" ht="15.75" customHeight="1">
      <c r="A13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Helper'!$F$5:$F$3004,"""")&lt;&gt;""""),ROWS(A$5:A1352)),"""")"),"")</f>
        <v/>
      </c>
      <c r="B13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Helper'!$F$5:$F$3004,"""")&lt;&gt;""""),ROWS(B$5:B1352)),"""")"),"")</f>
        <v/>
      </c>
      <c r="C13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Helper'!$F$5:$F$3004,"""")&lt;&gt;""""),ROWS(C$5:C1352)),"""")"),"")</f>
        <v/>
      </c>
      <c r="D13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Helper'!$F$5:$F$3004,"""")&lt;&gt;""""),ROWS(D$5:D1352)),"""")"),"")</f>
        <v/>
      </c>
      <c r="E13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Helper'!$F$5:$F$3004,"""")&lt;&gt;""""),ROWS(E$5:E1352)),"""")"),"")</f>
        <v/>
      </c>
      <c r="F13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Helper'!$F$5:$F$3004,"""")&lt;&gt;""""),ROWS(F$5:F1352)),IF(AND(LEFT(x,5)=""Pag"&amp;"e "",ISERROR(SEARCH(""–"",x))),x&amp;""–""&amp;REGEXEXTRACT(x,""[0-9]+$""),x)),"""")"),"")</f>
        <v/>
      </c>
      <c r="G1352" s="163"/>
      <c r="H13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Helper'!$F$5:$F$3004,"""")&lt;&gt;""""),ROWS(H$5:H1352)),"""")"),"")</f>
        <v/>
      </c>
    </row>
    <row r="1353" ht="15.75" customHeight="1">
      <c r="A13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Helper'!$F$5:$F$3004,"""")&lt;&gt;""""),ROWS(A$5:A1353)),"""")"),"")</f>
        <v/>
      </c>
      <c r="B13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Helper'!$F$5:$F$3004,"""")&lt;&gt;""""),ROWS(B$5:B1353)),"""")"),"")</f>
        <v/>
      </c>
      <c r="C13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Helper'!$F$5:$F$3004,"""")&lt;&gt;""""),ROWS(C$5:C1353)),"""")"),"")</f>
        <v/>
      </c>
      <c r="D13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Helper'!$F$5:$F$3004,"""")&lt;&gt;""""),ROWS(D$5:D1353)),"""")"),"")</f>
        <v/>
      </c>
      <c r="E13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Helper'!$F$5:$F$3004,"""")&lt;&gt;""""),ROWS(E$5:E1353)),"""")"),"")</f>
        <v/>
      </c>
      <c r="F13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Helper'!$F$5:$F$3004,"""")&lt;&gt;""""),ROWS(F$5:F1353)),IF(AND(LEFT(x,5)=""Pag"&amp;"e "",ISERROR(SEARCH(""–"",x))),x&amp;""–""&amp;REGEXEXTRACT(x,""[0-9]+$""),x)),"""")"),"")</f>
        <v/>
      </c>
      <c r="G1353" s="163"/>
      <c r="H13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Helper'!$F$5:$F$3004,"""")&lt;&gt;""""),ROWS(H$5:H1353)),"""")"),"")</f>
        <v/>
      </c>
    </row>
    <row r="1354" ht="15.75" customHeight="1">
      <c r="A13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Helper'!$F$5:$F$3004,"""")&lt;&gt;""""),ROWS(A$5:A1354)),"""")"),"")</f>
        <v/>
      </c>
      <c r="B13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Helper'!$F$5:$F$3004,"""")&lt;&gt;""""),ROWS(B$5:B1354)),"""")"),"")</f>
        <v/>
      </c>
      <c r="C13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Helper'!$F$5:$F$3004,"""")&lt;&gt;""""),ROWS(C$5:C1354)),"""")"),"")</f>
        <v/>
      </c>
      <c r="D13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Helper'!$F$5:$F$3004,"""")&lt;&gt;""""),ROWS(D$5:D1354)),"""")"),"")</f>
        <v/>
      </c>
      <c r="E13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Helper'!$F$5:$F$3004,"""")&lt;&gt;""""),ROWS(E$5:E1354)),"""")"),"")</f>
        <v/>
      </c>
      <c r="F13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Helper'!$F$5:$F$3004,"""")&lt;&gt;""""),ROWS(F$5:F1354)),IF(AND(LEFT(x,5)=""Pag"&amp;"e "",ISERROR(SEARCH(""–"",x))),x&amp;""–""&amp;REGEXEXTRACT(x,""[0-9]+$""),x)),"""")"),"")</f>
        <v/>
      </c>
      <c r="G1354" s="163"/>
      <c r="H13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Helper'!$F$5:$F$3004,"""")&lt;&gt;""""),ROWS(H$5:H1354)),"""")"),"")</f>
        <v/>
      </c>
    </row>
    <row r="1355" ht="15.75" customHeight="1">
      <c r="A13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Helper'!$F$5:$F$3004,"""")&lt;&gt;""""),ROWS(A$5:A1355)),"""")"),"")</f>
        <v/>
      </c>
      <c r="B13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Helper'!$F$5:$F$3004,"""")&lt;&gt;""""),ROWS(B$5:B1355)),"""")"),"")</f>
        <v/>
      </c>
      <c r="C13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Helper'!$F$5:$F$3004,"""")&lt;&gt;""""),ROWS(C$5:C1355)),"""")"),"")</f>
        <v/>
      </c>
      <c r="D13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Helper'!$F$5:$F$3004,"""")&lt;&gt;""""),ROWS(D$5:D1355)),"""")"),"")</f>
        <v/>
      </c>
      <c r="E13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Helper'!$F$5:$F$3004,"""")&lt;&gt;""""),ROWS(E$5:E1355)),"""")"),"")</f>
        <v/>
      </c>
      <c r="F13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Helper'!$F$5:$F$3004,"""")&lt;&gt;""""),ROWS(F$5:F1355)),IF(AND(LEFT(x,5)=""Pag"&amp;"e "",ISERROR(SEARCH(""–"",x))),x&amp;""–""&amp;REGEXEXTRACT(x,""[0-9]+$""),x)),"""")"),"")</f>
        <v/>
      </c>
      <c r="G1355" s="163"/>
      <c r="H13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Helper'!$F$5:$F$3004,"""")&lt;&gt;""""),ROWS(H$5:H1355)),"""")"),"")</f>
        <v/>
      </c>
    </row>
    <row r="1356" ht="15.75" customHeight="1">
      <c r="A13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Helper'!$F$5:$F$3004,"""")&lt;&gt;""""),ROWS(A$5:A1356)),"""")"),"")</f>
        <v/>
      </c>
      <c r="B13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Helper'!$F$5:$F$3004,"""")&lt;&gt;""""),ROWS(B$5:B1356)),"""")"),"")</f>
        <v/>
      </c>
      <c r="C13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Helper'!$F$5:$F$3004,"""")&lt;&gt;""""),ROWS(C$5:C1356)),"""")"),"")</f>
        <v/>
      </c>
      <c r="D13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Helper'!$F$5:$F$3004,"""")&lt;&gt;""""),ROWS(D$5:D1356)),"""")"),"")</f>
        <v/>
      </c>
      <c r="E13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Helper'!$F$5:$F$3004,"""")&lt;&gt;""""),ROWS(E$5:E1356)),"""")"),"")</f>
        <v/>
      </c>
      <c r="F13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Helper'!$F$5:$F$3004,"""")&lt;&gt;""""),ROWS(F$5:F1356)),IF(AND(LEFT(x,5)=""Pag"&amp;"e "",ISERROR(SEARCH(""–"",x))),x&amp;""–""&amp;REGEXEXTRACT(x,""[0-9]+$""),x)),"""")"),"")</f>
        <v/>
      </c>
      <c r="G1356" s="163"/>
      <c r="H13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Helper'!$F$5:$F$3004,"""")&lt;&gt;""""),ROWS(H$5:H1356)),"""")"),"")</f>
        <v/>
      </c>
    </row>
    <row r="1357" ht="15.75" customHeight="1">
      <c r="A13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Helper'!$F$5:$F$3004,"""")&lt;&gt;""""),ROWS(A$5:A1357)),"""")"),"")</f>
        <v/>
      </c>
      <c r="B13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Helper'!$F$5:$F$3004,"""")&lt;&gt;""""),ROWS(B$5:B1357)),"""")"),"")</f>
        <v/>
      </c>
      <c r="C13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Helper'!$F$5:$F$3004,"""")&lt;&gt;""""),ROWS(C$5:C1357)),"""")"),"")</f>
        <v/>
      </c>
      <c r="D13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Helper'!$F$5:$F$3004,"""")&lt;&gt;""""),ROWS(D$5:D1357)),"""")"),"")</f>
        <v/>
      </c>
      <c r="E13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Helper'!$F$5:$F$3004,"""")&lt;&gt;""""),ROWS(E$5:E1357)),"""")"),"")</f>
        <v/>
      </c>
      <c r="F13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Helper'!$F$5:$F$3004,"""")&lt;&gt;""""),ROWS(F$5:F1357)),IF(AND(LEFT(x,5)=""Pag"&amp;"e "",ISERROR(SEARCH(""–"",x))),x&amp;""–""&amp;REGEXEXTRACT(x,""[0-9]+$""),x)),"""")"),"")</f>
        <v/>
      </c>
      <c r="G1357" s="163"/>
      <c r="H13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Helper'!$F$5:$F$3004,"""")&lt;&gt;""""),ROWS(H$5:H1357)),"""")"),"")</f>
        <v/>
      </c>
    </row>
    <row r="1358" ht="15.75" customHeight="1">
      <c r="A13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Helper'!$F$5:$F$3004,"""")&lt;&gt;""""),ROWS(A$5:A1358)),"""")"),"")</f>
        <v/>
      </c>
      <c r="B13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Helper'!$F$5:$F$3004,"""")&lt;&gt;""""),ROWS(B$5:B1358)),"""")"),"")</f>
        <v/>
      </c>
      <c r="C13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Helper'!$F$5:$F$3004,"""")&lt;&gt;""""),ROWS(C$5:C1358)),"""")"),"")</f>
        <v/>
      </c>
      <c r="D13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Helper'!$F$5:$F$3004,"""")&lt;&gt;""""),ROWS(D$5:D1358)),"""")"),"")</f>
        <v/>
      </c>
      <c r="E13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Helper'!$F$5:$F$3004,"""")&lt;&gt;""""),ROWS(E$5:E1358)),"""")"),"")</f>
        <v/>
      </c>
      <c r="F13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Helper'!$F$5:$F$3004,"""")&lt;&gt;""""),ROWS(F$5:F1358)),IF(AND(LEFT(x,5)=""Pag"&amp;"e "",ISERROR(SEARCH(""–"",x))),x&amp;""–""&amp;REGEXEXTRACT(x,""[0-9]+$""),x)),"""")"),"")</f>
        <v/>
      </c>
      <c r="G1358" s="163"/>
      <c r="H13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Helper'!$F$5:$F$3004,"""")&lt;&gt;""""),ROWS(H$5:H1358)),"""")"),"")</f>
        <v/>
      </c>
    </row>
    <row r="1359" ht="15.75" customHeight="1">
      <c r="A13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Helper'!$F$5:$F$3004,"""")&lt;&gt;""""),ROWS(A$5:A1359)),"""")"),"")</f>
        <v/>
      </c>
      <c r="B13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Helper'!$F$5:$F$3004,"""")&lt;&gt;""""),ROWS(B$5:B1359)),"""")"),"")</f>
        <v/>
      </c>
      <c r="C13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Helper'!$F$5:$F$3004,"""")&lt;&gt;""""),ROWS(C$5:C1359)),"""")"),"")</f>
        <v/>
      </c>
      <c r="D13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Helper'!$F$5:$F$3004,"""")&lt;&gt;""""),ROWS(D$5:D1359)),"""")"),"")</f>
        <v/>
      </c>
      <c r="E13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Helper'!$F$5:$F$3004,"""")&lt;&gt;""""),ROWS(E$5:E1359)),"""")"),"")</f>
        <v/>
      </c>
      <c r="F13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Helper'!$F$5:$F$3004,"""")&lt;&gt;""""),ROWS(F$5:F1359)),IF(AND(LEFT(x,5)=""Pag"&amp;"e "",ISERROR(SEARCH(""–"",x))),x&amp;""–""&amp;REGEXEXTRACT(x,""[0-9]+$""),x)),"""")"),"")</f>
        <v/>
      </c>
      <c r="G1359" s="163"/>
      <c r="H13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Helper'!$F$5:$F$3004,"""")&lt;&gt;""""),ROWS(H$5:H1359)),"""")"),"")</f>
        <v/>
      </c>
    </row>
    <row r="1360" ht="15.75" customHeight="1">
      <c r="A13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Helper'!$F$5:$F$3004,"""")&lt;&gt;""""),ROWS(A$5:A1360)),"""")"),"")</f>
        <v/>
      </c>
      <c r="B13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Helper'!$F$5:$F$3004,"""")&lt;&gt;""""),ROWS(B$5:B1360)),"""")"),"")</f>
        <v/>
      </c>
      <c r="C13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Helper'!$F$5:$F$3004,"""")&lt;&gt;""""),ROWS(C$5:C1360)),"""")"),"")</f>
        <v/>
      </c>
      <c r="D13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Helper'!$F$5:$F$3004,"""")&lt;&gt;""""),ROWS(D$5:D1360)),"""")"),"")</f>
        <v/>
      </c>
      <c r="E13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Helper'!$F$5:$F$3004,"""")&lt;&gt;""""),ROWS(E$5:E1360)),"""")"),"")</f>
        <v/>
      </c>
      <c r="F13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Helper'!$F$5:$F$3004,"""")&lt;&gt;""""),ROWS(F$5:F1360)),IF(AND(LEFT(x,5)=""Pag"&amp;"e "",ISERROR(SEARCH(""–"",x))),x&amp;""–""&amp;REGEXEXTRACT(x,""[0-9]+$""),x)),"""")"),"")</f>
        <v/>
      </c>
      <c r="G1360" s="163"/>
      <c r="H13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Helper'!$F$5:$F$3004,"""")&lt;&gt;""""),ROWS(H$5:H1360)),"""")"),"")</f>
        <v/>
      </c>
    </row>
    <row r="1361" ht="15.75" customHeight="1">
      <c r="A13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Helper'!$F$5:$F$3004,"""")&lt;&gt;""""),ROWS(A$5:A1361)),"""")"),"")</f>
        <v/>
      </c>
      <c r="B13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Helper'!$F$5:$F$3004,"""")&lt;&gt;""""),ROWS(B$5:B1361)),"""")"),"")</f>
        <v/>
      </c>
      <c r="C13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Helper'!$F$5:$F$3004,"""")&lt;&gt;""""),ROWS(C$5:C1361)),"""")"),"")</f>
        <v/>
      </c>
      <c r="D13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Helper'!$F$5:$F$3004,"""")&lt;&gt;""""),ROWS(D$5:D1361)),"""")"),"")</f>
        <v/>
      </c>
      <c r="E13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Helper'!$F$5:$F$3004,"""")&lt;&gt;""""),ROWS(E$5:E1361)),"""")"),"")</f>
        <v/>
      </c>
      <c r="F13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Helper'!$F$5:$F$3004,"""")&lt;&gt;""""),ROWS(F$5:F1361)),IF(AND(LEFT(x,5)=""Pag"&amp;"e "",ISERROR(SEARCH(""–"",x))),x&amp;""–""&amp;REGEXEXTRACT(x,""[0-9]+$""),x)),"""")"),"")</f>
        <v/>
      </c>
      <c r="G1361" s="163"/>
      <c r="H13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Helper'!$F$5:$F$3004,"""")&lt;&gt;""""),ROWS(H$5:H1361)),"""")"),"")</f>
        <v/>
      </c>
    </row>
    <row r="1362" ht="15.75" customHeight="1">
      <c r="A13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Helper'!$F$5:$F$3004,"""")&lt;&gt;""""),ROWS(A$5:A1362)),"""")"),"")</f>
        <v/>
      </c>
      <c r="B13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Helper'!$F$5:$F$3004,"""")&lt;&gt;""""),ROWS(B$5:B1362)),"""")"),"")</f>
        <v/>
      </c>
      <c r="C13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Helper'!$F$5:$F$3004,"""")&lt;&gt;""""),ROWS(C$5:C1362)),"""")"),"")</f>
        <v/>
      </c>
      <c r="D13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Helper'!$F$5:$F$3004,"""")&lt;&gt;""""),ROWS(D$5:D1362)),"""")"),"")</f>
        <v/>
      </c>
      <c r="E13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Helper'!$F$5:$F$3004,"""")&lt;&gt;""""),ROWS(E$5:E1362)),"""")"),"")</f>
        <v/>
      </c>
      <c r="F13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Helper'!$F$5:$F$3004,"""")&lt;&gt;""""),ROWS(F$5:F1362)),IF(AND(LEFT(x,5)=""Pag"&amp;"e "",ISERROR(SEARCH(""–"",x))),x&amp;""–""&amp;REGEXEXTRACT(x,""[0-9]+$""),x)),"""")"),"")</f>
        <v/>
      </c>
      <c r="G1362" s="163"/>
      <c r="H13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Helper'!$F$5:$F$3004,"""")&lt;&gt;""""),ROWS(H$5:H1362)),"""")"),"")</f>
        <v/>
      </c>
    </row>
    <row r="1363" ht="15.75" customHeight="1">
      <c r="A13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Helper'!$F$5:$F$3004,"""")&lt;&gt;""""),ROWS(A$5:A1363)),"""")"),"")</f>
        <v/>
      </c>
      <c r="B13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Helper'!$F$5:$F$3004,"""")&lt;&gt;""""),ROWS(B$5:B1363)),"""")"),"")</f>
        <v/>
      </c>
      <c r="C13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Helper'!$F$5:$F$3004,"""")&lt;&gt;""""),ROWS(C$5:C1363)),"""")"),"")</f>
        <v/>
      </c>
      <c r="D13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Helper'!$F$5:$F$3004,"""")&lt;&gt;""""),ROWS(D$5:D1363)),"""")"),"")</f>
        <v/>
      </c>
      <c r="E13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Helper'!$F$5:$F$3004,"""")&lt;&gt;""""),ROWS(E$5:E1363)),"""")"),"")</f>
        <v/>
      </c>
      <c r="F13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Helper'!$F$5:$F$3004,"""")&lt;&gt;""""),ROWS(F$5:F1363)),IF(AND(LEFT(x,5)=""Pag"&amp;"e "",ISERROR(SEARCH(""–"",x))),x&amp;""–""&amp;REGEXEXTRACT(x,""[0-9]+$""),x)),"""")"),"")</f>
        <v/>
      </c>
      <c r="G1363" s="163"/>
      <c r="H13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Helper'!$F$5:$F$3004,"""")&lt;&gt;""""),ROWS(H$5:H1363)),"""")"),"")</f>
        <v/>
      </c>
    </row>
    <row r="1364" ht="15.75" customHeight="1">
      <c r="A13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Helper'!$F$5:$F$3004,"""")&lt;&gt;""""),ROWS(A$5:A1364)),"""")"),"")</f>
        <v/>
      </c>
      <c r="B13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Helper'!$F$5:$F$3004,"""")&lt;&gt;""""),ROWS(B$5:B1364)),"""")"),"")</f>
        <v/>
      </c>
      <c r="C13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Helper'!$F$5:$F$3004,"""")&lt;&gt;""""),ROWS(C$5:C1364)),"""")"),"")</f>
        <v/>
      </c>
      <c r="D13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Helper'!$F$5:$F$3004,"""")&lt;&gt;""""),ROWS(D$5:D1364)),"""")"),"")</f>
        <v/>
      </c>
      <c r="E13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Helper'!$F$5:$F$3004,"""")&lt;&gt;""""),ROWS(E$5:E1364)),"""")"),"")</f>
        <v/>
      </c>
      <c r="F13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Helper'!$F$5:$F$3004,"""")&lt;&gt;""""),ROWS(F$5:F1364)),IF(AND(LEFT(x,5)=""Pag"&amp;"e "",ISERROR(SEARCH(""–"",x))),x&amp;""–""&amp;REGEXEXTRACT(x,""[0-9]+$""),x)),"""")"),"")</f>
        <v/>
      </c>
      <c r="G1364" s="163"/>
      <c r="H13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Helper'!$F$5:$F$3004,"""")&lt;&gt;""""),ROWS(H$5:H1364)),"""")"),"")</f>
        <v/>
      </c>
    </row>
    <row r="1365" ht="15.75" customHeight="1">
      <c r="A13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Helper'!$F$5:$F$3004,"""")&lt;&gt;""""),ROWS(A$5:A1365)),"""")"),"")</f>
        <v/>
      </c>
      <c r="B13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Helper'!$F$5:$F$3004,"""")&lt;&gt;""""),ROWS(B$5:B1365)),"""")"),"")</f>
        <v/>
      </c>
      <c r="C13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Helper'!$F$5:$F$3004,"""")&lt;&gt;""""),ROWS(C$5:C1365)),"""")"),"")</f>
        <v/>
      </c>
      <c r="D13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Helper'!$F$5:$F$3004,"""")&lt;&gt;""""),ROWS(D$5:D1365)),"""")"),"")</f>
        <v/>
      </c>
      <c r="E13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Helper'!$F$5:$F$3004,"""")&lt;&gt;""""),ROWS(E$5:E1365)),"""")"),"")</f>
        <v/>
      </c>
      <c r="F13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Helper'!$F$5:$F$3004,"""")&lt;&gt;""""),ROWS(F$5:F1365)),IF(AND(LEFT(x,5)=""Pag"&amp;"e "",ISERROR(SEARCH(""–"",x))),x&amp;""–""&amp;REGEXEXTRACT(x,""[0-9]+$""),x)),"""")"),"")</f>
        <v/>
      </c>
      <c r="G1365" s="163"/>
      <c r="H13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Helper'!$F$5:$F$3004,"""")&lt;&gt;""""),ROWS(H$5:H1365)),"""")"),"")</f>
        <v/>
      </c>
    </row>
    <row r="1366" ht="15.75" customHeight="1">
      <c r="A13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Helper'!$F$5:$F$3004,"""")&lt;&gt;""""),ROWS(A$5:A1366)),"""")"),"")</f>
        <v/>
      </c>
      <c r="B13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Helper'!$F$5:$F$3004,"""")&lt;&gt;""""),ROWS(B$5:B1366)),"""")"),"")</f>
        <v/>
      </c>
      <c r="C13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Helper'!$F$5:$F$3004,"""")&lt;&gt;""""),ROWS(C$5:C1366)),"""")"),"")</f>
        <v/>
      </c>
      <c r="D13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Helper'!$F$5:$F$3004,"""")&lt;&gt;""""),ROWS(D$5:D1366)),"""")"),"")</f>
        <v/>
      </c>
      <c r="E13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Helper'!$F$5:$F$3004,"""")&lt;&gt;""""),ROWS(E$5:E1366)),"""")"),"")</f>
        <v/>
      </c>
      <c r="F13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Helper'!$F$5:$F$3004,"""")&lt;&gt;""""),ROWS(F$5:F1366)),IF(AND(LEFT(x,5)=""Pag"&amp;"e "",ISERROR(SEARCH(""–"",x))),x&amp;""–""&amp;REGEXEXTRACT(x,""[0-9]+$""),x)),"""")"),"")</f>
        <v/>
      </c>
      <c r="G1366" s="163"/>
      <c r="H13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Helper'!$F$5:$F$3004,"""")&lt;&gt;""""),ROWS(H$5:H1366)),"""")"),"")</f>
        <v/>
      </c>
    </row>
    <row r="1367" ht="15.75" customHeight="1">
      <c r="A13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Helper'!$F$5:$F$3004,"""")&lt;&gt;""""),ROWS(A$5:A1367)),"""")"),"")</f>
        <v/>
      </c>
      <c r="B13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Helper'!$F$5:$F$3004,"""")&lt;&gt;""""),ROWS(B$5:B1367)),"""")"),"")</f>
        <v/>
      </c>
      <c r="C13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Helper'!$F$5:$F$3004,"""")&lt;&gt;""""),ROWS(C$5:C1367)),"""")"),"")</f>
        <v/>
      </c>
      <c r="D13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Helper'!$F$5:$F$3004,"""")&lt;&gt;""""),ROWS(D$5:D1367)),"""")"),"")</f>
        <v/>
      </c>
      <c r="E13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Helper'!$F$5:$F$3004,"""")&lt;&gt;""""),ROWS(E$5:E1367)),"""")"),"")</f>
        <v/>
      </c>
      <c r="F13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Helper'!$F$5:$F$3004,"""")&lt;&gt;""""),ROWS(F$5:F1367)),IF(AND(LEFT(x,5)=""Pag"&amp;"e "",ISERROR(SEARCH(""–"",x))),x&amp;""–""&amp;REGEXEXTRACT(x,""[0-9]+$""),x)),"""")"),"")</f>
        <v/>
      </c>
      <c r="G1367" s="163"/>
      <c r="H13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Helper'!$F$5:$F$3004,"""")&lt;&gt;""""),ROWS(H$5:H1367)),"""")"),"")</f>
        <v/>
      </c>
    </row>
    <row r="1368" ht="15.75" customHeight="1">
      <c r="A13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Helper'!$F$5:$F$3004,"""")&lt;&gt;""""),ROWS(A$5:A1368)),"""")"),"")</f>
        <v/>
      </c>
      <c r="B13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Helper'!$F$5:$F$3004,"""")&lt;&gt;""""),ROWS(B$5:B1368)),"""")"),"")</f>
        <v/>
      </c>
      <c r="C13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Helper'!$F$5:$F$3004,"""")&lt;&gt;""""),ROWS(C$5:C1368)),"""")"),"")</f>
        <v/>
      </c>
      <c r="D13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Helper'!$F$5:$F$3004,"""")&lt;&gt;""""),ROWS(D$5:D1368)),"""")"),"")</f>
        <v/>
      </c>
      <c r="E13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Helper'!$F$5:$F$3004,"""")&lt;&gt;""""),ROWS(E$5:E1368)),"""")"),"")</f>
        <v/>
      </c>
      <c r="F13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Helper'!$F$5:$F$3004,"""")&lt;&gt;""""),ROWS(F$5:F1368)),IF(AND(LEFT(x,5)=""Pag"&amp;"e "",ISERROR(SEARCH(""–"",x))),x&amp;""–""&amp;REGEXEXTRACT(x,""[0-9]+$""),x)),"""")"),"")</f>
        <v/>
      </c>
      <c r="G1368" s="163"/>
      <c r="H13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Helper'!$F$5:$F$3004,"""")&lt;&gt;""""),ROWS(H$5:H1368)),"""")"),"")</f>
        <v/>
      </c>
    </row>
    <row r="1369" ht="15.75" customHeight="1">
      <c r="A13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Helper'!$F$5:$F$3004,"""")&lt;&gt;""""),ROWS(A$5:A1369)),"""")"),"")</f>
        <v/>
      </c>
      <c r="B13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Helper'!$F$5:$F$3004,"""")&lt;&gt;""""),ROWS(B$5:B1369)),"""")"),"")</f>
        <v/>
      </c>
      <c r="C13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Helper'!$F$5:$F$3004,"""")&lt;&gt;""""),ROWS(C$5:C1369)),"""")"),"")</f>
        <v/>
      </c>
      <c r="D13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Helper'!$F$5:$F$3004,"""")&lt;&gt;""""),ROWS(D$5:D1369)),"""")"),"")</f>
        <v/>
      </c>
      <c r="E13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Helper'!$F$5:$F$3004,"""")&lt;&gt;""""),ROWS(E$5:E1369)),"""")"),"")</f>
        <v/>
      </c>
      <c r="F13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Helper'!$F$5:$F$3004,"""")&lt;&gt;""""),ROWS(F$5:F1369)),IF(AND(LEFT(x,5)=""Pag"&amp;"e "",ISERROR(SEARCH(""–"",x))),x&amp;""–""&amp;REGEXEXTRACT(x,""[0-9]+$""),x)),"""")"),"")</f>
        <v/>
      </c>
      <c r="G1369" s="163"/>
      <c r="H13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Helper'!$F$5:$F$3004,"""")&lt;&gt;""""),ROWS(H$5:H1369)),"""")"),"")</f>
        <v/>
      </c>
    </row>
    <row r="1370" ht="15.75" customHeight="1">
      <c r="A13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Helper'!$F$5:$F$3004,"""")&lt;&gt;""""),ROWS(A$5:A1370)),"""")"),"")</f>
        <v/>
      </c>
      <c r="B13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Helper'!$F$5:$F$3004,"""")&lt;&gt;""""),ROWS(B$5:B1370)),"""")"),"")</f>
        <v/>
      </c>
      <c r="C13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Helper'!$F$5:$F$3004,"""")&lt;&gt;""""),ROWS(C$5:C1370)),"""")"),"")</f>
        <v/>
      </c>
      <c r="D13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Helper'!$F$5:$F$3004,"""")&lt;&gt;""""),ROWS(D$5:D1370)),"""")"),"")</f>
        <v/>
      </c>
      <c r="E13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Helper'!$F$5:$F$3004,"""")&lt;&gt;""""),ROWS(E$5:E1370)),"""")"),"")</f>
        <v/>
      </c>
      <c r="F13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Helper'!$F$5:$F$3004,"""")&lt;&gt;""""),ROWS(F$5:F1370)),IF(AND(LEFT(x,5)=""Pag"&amp;"e "",ISERROR(SEARCH(""–"",x))),x&amp;""–""&amp;REGEXEXTRACT(x,""[0-9]+$""),x)),"""")"),"")</f>
        <v/>
      </c>
      <c r="G1370" s="163"/>
      <c r="H13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Helper'!$F$5:$F$3004,"""")&lt;&gt;""""),ROWS(H$5:H1370)),"""")"),"")</f>
        <v/>
      </c>
    </row>
    <row r="1371" ht="15.75" customHeight="1">
      <c r="A13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Helper'!$F$5:$F$3004,"""")&lt;&gt;""""),ROWS(A$5:A1371)),"""")"),"")</f>
        <v/>
      </c>
      <c r="B13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Helper'!$F$5:$F$3004,"""")&lt;&gt;""""),ROWS(B$5:B1371)),"""")"),"")</f>
        <v/>
      </c>
      <c r="C13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Helper'!$F$5:$F$3004,"""")&lt;&gt;""""),ROWS(C$5:C1371)),"""")"),"")</f>
        <v/>
      </c>
      <c r="D13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Helper'!$F$5:$F$3004,"""")&lt;&gt;""""),ROWS(D$5:D1371)),"""")"),"")</f>
        <v/>
      </c>
      <c r="E13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Helper'!$F$5:$F$3004,"""")&lt;&gt;""""),ROWS(E$5:E1371)),"""")"),"")</f>
        <v/>
      </c>
      <c r="F13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Helper'!$F$5:$F$3004,"""")&lt;&gt;""""),ROWS(F$5:F1371)),IF(AND(LEFT(x,5)=""Pag"&amp;"e "",ISERROR(SEARCH(""–"",x))),x&amp;""–""&amp;REGEXEXTRACT(x,""[0-9]+$""),x)),"""")"),"")</f>
        <v/>
      </c>
      <c r="G1371" s="163"/>
      <c r="H13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Helper'!$F$5:$F$3004,"""")&lt;&gt;""""),ROWS(H$5:H1371)),"""")"),"")</f>
        <v/>
      </c>
    </row>
    <row r="1372" ht="15.75" customHeight="1">
      <c r="A13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Helper'!$F$5:$F$3004,"""")&lt;&gt;""""),ROWS(A$5:A1372)),"""")"),"")</f>
        <v/>
      </c>
      <c r="B13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Helper'!$F$5:$F$3004,"""")&lt;&gt;""""),ROWS(B$5:B1372)),"""")"),"")</f>
        <v/>
      </c>
      <c r="C13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Helper'!$F$5:$F$3004,"""")&lt;&gt;""""),ROWS(C$5:C1372)),"""")"),"")</f>
        <v/>
      </c>
      <c r="D13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Helper'!$F$5:$F$3004,"""")&lt;&gt;""""),ROWS(D$5:D1372)),"""")"),"")</f>
        <v/>
      </c>
      <c r="E13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Helper'!$F$5:$F$3004,"""")&lt;&gt;""""),ROWS(E$5:E1372)),"""")"),"")</f>
        <v/>
      </c>
      <c r="F13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Helper'!$F$5:$F$3004,"""")&lt;&gt;""""),ROWS(F$5:F1372)),IF(AND(LEFT(x,5)=""Pag"&amp;"e "",ISERROR(SEARCH(""–"",x))),x&amp;""–""&amp;REGEXEXTRACT(x,""[0-9]+$""),x)),"""")"),"")</f>
        <v/>
      </c>
      <c r="G1372" s="163"/>
      <c r="H13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Helper'!$F$5:$F$3004,"""")&lt;&gt;""""),ROWS(H$5:H1372)),"""")"),"")</f>
        <v/>
      </c>
    </row>
    <row r="1373" ht="15.75" customHeight="1">
      <c r="A13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Helper'!$F$5:$F$3004,"""")&lt;&gt;""""),ROWS(A$5:A1373)),"""")"),"")</f>
        <v/>
      </c>
      <c r="B13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Helper'!$F$5:$F$3004,"""")&lt;&gt;""""),ROWS(B$5:B1373)),"""")"),"")</f>
        <v/>
      </c>
      <c r="C13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Helper'!$F$5:$F$3004,"""")&lt;&gt;""""),ROWS(C$5:C1373)),"""")"),"")</f>
        <v/>
      </c>
      <c r="D13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Helper'!$F$5:$F$3004,"""")&lt;&gt;""""),ROWS(D$5:D1373)),"""")"),"")</f>
        <v/>
      </c>
      <c r="E13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Helper'!$F$5:$F$3004,"""")&lt;&gt;""""),ROWS(E$5:E1373)),"""")"),"")</f>
        <v/>
      </c>
      <c r="F13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Helper'!$F$5:$F$3004,"""")&lt;&gt;""""),ROWS(F$5:F1373)),IF(AND(LEFT(x,5)=""Pag"&amp;"e "",ISERROR(SEARCH(""–"",x))),x&amp;""–""&amp;REGEXEXTRACT(x,""[0-9]+$""),x)),"""")"),"")</f>
        <v/>
      </c>
      <c r="G1373" s="163"/>
      <c r="H13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Helper'!$F$5:$F$3004,"""")&lt;&gt;""""),ROWS(H$5:H1373)),"""")"),"")</f>
        <v/>
      </c>
    </row>
    <row r="1374" ht="15.75" customHeight="1">
      <c r="A13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Helper'!$F$5:$F$3004,"""")&lt;&gt;""""),ROWS(A$5:A1374)),"""")"),"")</f>
        <v/>
      </c>
      <c r="B13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Helper'!$F$5:$F$3004,"""")&lt;&gt;""""),ROWS(B$5:B1374)),"""")"),"")</f>
        <v/>
      </c>
      <c r="C13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Helper'!$F$5:$F$3004,"""")&lt;&gt;""""),ROWS(C$5:C1374)),"""")"),"")</f>
        <v/>
      </c>
      <c r="D13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Helper'!$F$5:$F$3004,"""")&lt;&gt;""""),ROWS(D$5:D1374)),"""")"),"")</f>
        <v/>
      </c>
      <c r="E13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Helper'!$F$5:$F$3004,"""")&lt;&gt;""""),ROWS(E$5:E1374)),"""")"),"")</f>
        <v/>
      </c>
      <c r="F13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Helper'!$F$5:$F$3004,"""")&lt;&gt;""""),ROWS(F$5:F1374)),IF(AND(LEFT(x,5)=""Pag"&amp;"e "",ISERROR(SEARCH(""–"",x))),x&amp;""–""&amp;REGEXEXTRACT(x,""[0-9]+$""),x)),"""")"),"")</f>
        <v/>
      </c>
      <c r="G1374" s="163"/>
      <c r="H13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Helper'!$F$5:$F$3004,"""")&lt;&gt;""""),ROWS(H$5:H1374)),"""")"),"")</f>
        <v/>
      </c>
    </row>
    <row r="1375" ht="15.75" customHeight="1">
      <c r="A13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Helper'!$F$5:$F$3004,"""")&lt;&gt;""""),ROWS(A$5:A1375)),"""")"),"")</f>
        <v/>
      </c>
      <c r="B13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Helper'!$F$5:$F$3004,"""")&lt;&gt;""""),ROWS(B$5:B1375)),"""")"),"")</f>
        <v/>
      </c>
      <c r="C13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Helper'!$F$5:$F$3004,"""")&lt;&gt;""""),ROWS(C$5:C1375)),"""")"),"")</f>
        <v/>
      </c>
      <c r="D13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Helper'!$F$5:$F$3004,"""")&lt;&gt;""""),ROWS(D$5:D1375)),"""")"),"")</f>
        <v/>
      </c>
      <c r="E13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Helper'!$F$5:$F$3004,"""")&lt;&gt;""""),ROWS(E$5:E1375)),"""")"),"")</f>
        <v/>
      </c>
      <c r="F13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Helper'!$F$5:$F$3004,"""")&lt;&gt;""""),ROWS(F$5:F1375)),IF(AND(LEFT(x,5)=""Pag"&amp;"e "",ISERROR(SEARCH(""–"",x))),x&amp;""–""&amp;REGEXEXTRACT(x,""[0-9]+$""),x)),"""")"),"")</f>
        <v/>
      </c>
      <c r="G1375" s="163"/>
      <c r="H13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Helper'!$F$5:$F$3004,"""")&lt;&gt;""""),ROWS(H$5:H1375)),"""")"),"")</f>
        <v/>
      </c>
    </row>
    <row r="1376" ht="15.75" customHeight="1">
      <c r="A13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Helper'!$F$5:$F$3004,"""")&lt;&gt;""""),ROWS(A$5:A1376)),"""")"),"")</f>
        <v/>
      </c>
      <c r="B13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Helper'!$F$5:$F$3004,"""")&lt;&gt;""""),ROWS(B$5:B1376)),"""")"),"")</f>
        <v/>
      </c>
      <c r="C13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Helper'!$F$5:$F$3004,"""")&lt;&gt;""""),ROWS(C$5:C1376)),"""")"),"")</f>
        <v/>
      </c>
      <c r="D13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Helper'!$F$5:$F$3004,"""")&lt;&gt;""""),ROWS(D$5:D1376)),"""")"),"")</f>
        <v/>
      </c>
      <c r="E13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Helper'!$F$5:$F$3004,"""")&lt;&gt;""""),ROWS(E$5:E1376)),"""")"),"")</f>
        <v/>
      </c>
      <c r="F13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Helper'!$F$5:$F$3004,"""")&lt;&gt;""""),ROWS(F$5:F1376)),IF(AND(LEFT(x,5)=""Pag"&amp;"e "",ISERROR(SEARCH(""–"",x))),x&amp;""–""&amp;REGEXEXTRACT(x,""[0-9]+$""),x)),"""")"),"")</f>
        <v/>
      </c>
      <c r="G1376" s="163"/>
      <c r="H13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Helper'!$F$5:$F$3004,"""")&lt;&gt;""""),ROWS(H$5:H1376)),"""")"),"")</f>
        <v/>
      </c>
    </row>
    <row r="1377" ht="15.75" customHeight="1">
      <c r="A13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Helper'!$F$5:$F$3004,"""")&lt;&gt;""""),ROWS(A$5:A1377)),"""")"),"")</f>
        <v/>
      </c>
      <c r="B13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Helper'!$F$5:$F$3004,"""")&lt;&gt;""""),ROWS(B$5:B1377)),"""")"),"")</f>
        <v/>
      </c>
      <c r="C13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Helper'!$F$5:$F$3004,"""")&lt;&gt;""""),ROWS(C$5:C1377)),"""")"),"")</f>
        <v/>
      </c>
      <c r="D13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Helper'!$F$5:$F$3004,"""")&lt;&gt;""""),ROWS(D$5:D1377)),"""")"),"")</f>
        <v/>
      </c>
      <c r="E13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Helper'!$F$5:$F$3004,"""")&lt;&gt;""""),ROWS(E$5:E1377)),"""")"),"")</f>
        <v/>
      </c>
      <c r="F13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Helper'!$F$5:$F$3004,"""")&lt;&gt;""""),ROWS(F$5:F1377)),IF(AND(LEFT(x,5)=""Pag"&amp;"e "",ISERROR(SEARCH(""–"",x))),x&amp;""–""&amp;REGEXEXTRACT(x,""[0-9]+$""),x)),"""")"),"")</f>
        <v/>
      </c>
      <c r="G1377" s="163"/>
      <c r="H13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Helper'!$F$5:$F$3004,"""")&lt;&gt;""""),ROWS(H$5:H1377)),"""")"),"")</f>
        <v/>
      </c>
    </row>
    <row r="1378" ht="15.75" customHeight="1">
      <c r="A13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Helper'!$F$5:$F$3004,"""")&lt;&gt;""""),ROWS(A$5:A1378)),"""")"),"")</f>
        <v/>
      </c>
      <c r="B13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Helper'!$F$5:$F$3004,"""")&lt;&gt;""""),ROWS(B$5:B1378)),"""")"),"")</f>
        <v/>
      </c>
      <c r="C13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Helper'!$F$5:$F$3004,"""")&lt;&gt;""""),ROWS(C$5:C1378)),"""")"),"")</f>
        <v/>
      </c>
      <c r="D13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Helper'!$F$5:$F$3004,"""")&lt;&gt;""""),ROWS(D$5:D1378)),"""")"),"")</f>
        <v/>
      </c>
      <c r="E13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Helper'!$F$5:$F$3004,"""")&lt;&gt;""""),ROWS(E$5:E1378)),"""")"),"")</f>
        <v/>
      </c>
      <c r="F13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Helper'!$F$5:$F$3004,"""")&lt;&gt;""""),ROWS(F$5:F1378)),IF(AND(LEFT(x,5)=""Pag"&amp;"e "",ISERROR(SEARCH(""–"",x))),x&amp;""–""&amp;REGEXEXTRACT(x,""[0-9]+$""),x)),"""")"),"")</f>
        <v/>
      </c>
      <c r="G1378" s="163"/>
      <c r="H13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Helper'!$F$5:$F$3004,"""")&lt;&gt;""""),ROWS(H$5:H1378)),"""")"),"")</f>
        <v/>
      </c>
    </row>
    <row r="1379" ht="15.75" customHeight="1">
      <c r="A13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Helper'!$F$5:$F$3004,"""")&lt;&gt;""""),ROWS(A$5:A1379)),"""")"),"")</f>
        <v/>
      </c>
      <c r="B13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Helper'!$F$5:$F$3004,"""")&lt;&gt;""""),ROWS(B$5:B1379)),"""")"),"")</f>
        <v/>
      </c>
      <c r="C13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Helper'!$F$5:$F$3004,"""")&lt;&gt;""""),ROWS(C$5:C1379)),"""")"),"")</f>
        <v/>
      </c>
      <c r="D13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Helper'!$F$5:$F$3004,"""")&lt;&gt;""""),ROWS(D$5:D1379)),"""")"),"")</f>
        <v/>
      </c>
      <c r="E13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Helper'!$F$5:$F$3004,"""")&lt;&gt;""""),ROWS(E$5:E1379)),"""")"),"")</f>
        <v/>
      </c>
      <c r="F13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Helper'!$F$5:$F$3004,"""")&lt;&gt;""""),ROWS(F$5:F1379)),IF(AND(LEFT(x,5)=""Pag"&amp;"e "",ISERROR(SEARCH(""–"",x))),x&amp;""–""&amp;REGEXEXTRACT(x,""[0-9]+$""),x)),"""")"),"")</f>
        <v/>
      </c>
      <c r="G1379" s="163"/>
      <c r="H13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Helper'!$F$5:$F$3004,"""")&lt;&gt;""""),ROWS(H$5:H1379)),"""")"),"")</f>
        <v/>
      </c>
    </row>
    <row r="1380" ht="15.75" customHeight="1">
      <c r="A13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Helper'!$F$5:$F$3004,"""")&lt;&gt;""""),ROWS(A$5:A1380)),"""")"),"")</f>
        <v/>
      </c>
      <c r="B13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Helper'!$F$5:$F$3004,"""")&lt;&gt;""""),ROWS(B$5:B1380)),"""")"),"")</f>
        <v/>
      </c>
      <c r="C13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Helper'!$F$5:$F$3004,"""")&lt;&gt;""""),ROWS(C$5:C1380)),"""")"),"")</f>
        <v/>
      </c>
      <c r="D13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Helper'!$F$5:$F$3004,"""")&lt;&gt;""""),ROWS(D$5:D1380)),"""")"),"")</f>
        <v/>
      </c>
      <c r="E13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Helper'!$F$5:$F$3004,"""")&lt;&gt;""""),ROWS(E$5:E1380)),"""")"),"")</f>
        <v/>
      </c>
      <c r="F13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Helper'!$F$5:$F$3004,"""")&lt;&gt;""""),ROWS(F$5:F1380)),IF(AND(LEFT(x,5)=""Pag"&amp;"e "",ISERROR(SEARCH(""–"",x))),x&amp;""–""&amp;REGEXEXTRACT(x,""[0-9]+$""),x)),"""")"),"")</f>
        <v/>
      </c>
      <c r="G1380" s="163"/>
      <c r="H13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Helper'!$F$5:$F$3004,"""")&lt;&gt;""""),ROWS(H$5:H1380)),"""")"),"")</f>
        <v/>
      </c>
    </row>
    <row r="1381" ht="15.75" customHeight="1">
      <c r="A13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Helper'!$F$5:$F$3004,"""")&lt;&gt;""""),ROWS(A$5:A1381)),"""")"),"")</f>
        <v/>
      </c>
      <c r="B13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Helper'!$F$5:$F$3004,"""")&lt;&gt;""""),ROWS(B$5:B1381)),"""")"),"")</f>
        <v/>
      </c>
      <c r="C13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Helper'!$F$5:$F$3004,"""")&lt;&gt;""""),ROWS(C$5:C1381)),"""")"),"")</f>
        <v/>
      </c>
      <c r="D13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Helper'!$F$5:$F$3004,"""")&lt;&gt;""""),ROWS(D$5:D1381)),"""")"),"")</f>
        <v/>
      </c>
      <c r="E13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Helper'!$F$5:$F$3004,"""")&lt;&gt;""""),ROWS(E$5:E1381)),"""")"),"")</f>
        <v/>
      </c>
      <c r="F13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Helper'!$F$5:$F$3004,"""")&lt;&gt;""""),ROWS(F$5:F1381)),IF(AND(LEFT(x,5)=""Pag"&amp;"e "",ISERROR(SEARCH(""–"",x))),x&amp;""–""&amp;REGEXEXTRACT(x,""[0-9]+$""),x)),"""")"),"")</f>
        <v/>
      </c>
      <c r="G1381" s="163"/>
      <c r="H13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Helper'!$F$5:$F$3004,"""")&lt;&gt;""""),ROWS(H$5:H1381)),"""")"),"")</f>
        <v/>
      </c>
    </row>
    <row r="1382" ht="15.75" customHeight="1">
      <c r="A13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Helper'!$F$5:$F$3004,"""")&lt;&gt;""""),ROWS(A$5:A1382)),"""")"),"")</f>
        <v/>
      </c>
      <c r="B13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Helper'!$F$5:$F$3004,"""")&lt;&gt;""""),ROWS(B$5:B1382)),"""")"),"")</f>
        <v/>
      </c>
      <c r="C13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Helper'!$F$5:$F$3004,"""")&lt;&gt;""""),ROWS(C$5:C1382)),"""")"),"")</f>
        <v/>
      </c>
      <c r="D13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Helper'!$F$5:$F$3004,"""")&lt;&gt;""""),ROWS(D$5:D1382)),"""")"),"")</f>
        <v/>
      </c>
      <c r="E13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Helper'!$F$5:$F$3004,"""")&lt;&gt;""""),ROWS(E$5:E1382)),"""")"),"")</f>
        <v/>
      </c>
      <c r="F13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Helper'!$F$5:$F$3004,"""")&lt;&gt;""""),ROWS(F$5:F1382)),IF(AND(LEFT(x,5)=""Pag"&amp;"e "",ISERROR(SEARCH(""–"",x))),x&amp;""–""&amp;REGEXEXTRACT(x,""[0-9]+$""),x)),"""")"),"")</f>
        <v/>
      </c>
      <c r="G1382" s="163"/>
      <c r="H13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Helper'!$F$5:$F$3004,"""")&lt;&gt;""""),ROWS(H$5:H1382)),"""")"),"")</f>
        <v/>
      </c>
    </row>
    <row r="1383" ht="15.75" customHeight="1">
      <c r="A13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Helper'!$F$5:$F$3004,"""")&lt;&gt;""""),ROWS(A$5:A1383)),"""")"),"")</f>
        <v/>
      </c>
      <c r="B13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Helper'!$F$5:$F$3004,"""")&lt;&gt;""""),ROWS(B$5:B1383)),"""")"),"")</f>
        <v/>
      </c>
      <c r="C13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Helper'!$F$5:$F$3004,"""")&lt;&gt;""""),ROWS(C$5:C1383)),"""")"),"")</f>
        <v/>
      </c>
      <c r="D13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Helper'!$F$5:$F$3004,"""")&lt;&gt;""""),ROWS(D$5:D1383)),"""")"),"")</f>
        <v/>
      </c>
      <c r="E13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Helper'!$F$5:$F$3004,"""")&lt;&gt;""""),ROWS(E$5:E1383)),"""")"),"")</f>
        <v/>
      </c>
      <c r="F13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Helper'!$F$5:$F$3004,"""")&lt;&gt;""""),ROWS(F$5:F1383)),IF(AND(LEFT(x,5)=""Pag"&amp;"e "",ISERROR(SEARCH(""–"",x))),x&amp;""–""&amp;REGEXEXTRACT(x,""[0-9]+$""),x)),"""")"),"")</f>
        <v/>
      </c>
      <c r="G1383" s="163"/>
      <c r="H13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Helper'!$F$5:$F$3004,"""")&lt;&gt;""""),ROWS(H$5:H1383)),"""")"),"")</f>
        <v/>
      </c>
    </row>
    <row r="1384" ht="15.75" customHeight="1">
      <c r="A13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Helper'!$F$5:$F$3004,"""")&lt;&gt;""""),ROWS(A$5:A1384)),"""")"),"")</f>
        <v/>
      </c>
      <c r="B13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Helper'!$F$5:$F$3004,"""")&lt;&gt;""""),ROWS(B$5:B1384)),"""")"),"")</f>
        <v/>
      </c>
      <c r="C13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Helper'!$F$5:$F$3004,"""")&lt;&gt;""""),ROWS(C$5:C1384)),"""")"),"")</f>
        <v/>
      </c>
      <c r="D13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Helper'!$F$5:$F$3004,"""")&lt;&gt;""""),ROWS(D$5:D1384)),"""")"),"")</f>
        <v/>
      </c>
      <c r="E13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Helper'!$F$5:$F$3004,"""")&lt;&gt;""""),ROWS(E$5:E1384)),"""")"),"")</f>
        <v/>
      </c>
      <c r="F13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Helper'!$F$5:$F$3004,"""")&lt;&gt;""""),ROWS(F$5:F1384)),IF(AND(LEFT(x,5)=""Pag"&amp;"e "",ISERROR(SEARCH(""–"",x))),x&amp;""–""&amp;REGEXEXTRACT(x,""[0-9]+$""),x)),"""")"),"")</f>
        <v/>
      </c>
      <c r="G1384" s="163"/>
      <c r="H13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Helper'!$F$5:$F$3004,"""")&lt;&gt;""""),ROWS(H$5:H1384)),"""")"),"")</f>
        <v/>
      </c>
    </row>
    <row r="1385" ht="15.75" customHeight="1">
      <c r="A13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Helper'!$F$5:$F$3004,"""")&lt;&gt;""""),ROWS(A$5:A1385)),"""")"),"")</f>
        <v/>
      </c>
      <c r="B13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Helper'!$F$5:$F$3004,"""")&lt;&gt;""""),ROWS(B$5:B1385)),"""")"),"")</f>
        <v/>
      </c>
      <c r="C13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Helper'!$F$5:$F$3004,"""")&lt;&gt;""""),ROWS(C$5:C1385)),"""")"),"")</f>
        <v/>
      </c>
      <c r="D13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Helper'!$F$5:$F$3004,"""")&lt;&gt;""""),ROWS(D$5:D1385)),"""")"),"")</f>
        <v/>
      </c>
      <c r="E13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Helper'!$F$5:$F$3004,"""")&lt;&gt;""""),ROWS(E$5:E1385)),"""")"),"")</f>
        <v/>
      </c>
      <c r="F13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Helper'!$F$5:$F$3004,"""")&lt;&gt;""""),ROWS(F$5:F1385)),IF(AND(LEFT(x,5)=""Pag"&amp;"e "",ISERROR(SEARCH(""–"",x))),x&amp;""–""&amp;REGEXEXTRACT(x,""[0-9]+$""),x)),"""")"),"")</f>
        <v/>
      </c>
      <c r="G1385" s="163"/>
      <c r="H13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Helper'!$F$5:$F$3004,"""")&lt;&gt;""""),ROWS(H$5:H1385)),"""")"),"")</f>
        <v/>
      </c>
    </row>
    <row r="1386" ht="15.75" customHeight="1">
      <c r="A13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Helper'!$F$5:$F$3004,"""")&lt;&gt;""""),ROWS(A$5:A1386)),"""")"),"")</f>
        <v/>
      </c>
      <c r="B13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Helper'!$F$5:$F$3004,"""")&lt;&gt;""""),ROWS(B$5:B1386)),"""")"),"")</f>
        <v/>
      </c>
      <c r="C13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Helper'!$F$5:$F$3004,"""")&lt;&gt;""""),ROWS(C$5:C1386)),"""")"),"")</f>
        <v/>
      </c>
      <c r="D13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Helper'!$F$5:$F$3004,"""")&lt;&gt;""""),ROWS(D$5:D1386)),"""")"),"")</f>
        <v/>
      </c>
      <c r="E13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Helper'!$F$5:$F$3004,"""")&lt;&gt;""""),ROWS(E$5:E1386)),"""")"),"")</f>
        <v/>
      </c>
      <c r="F13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Helper'!$F$5:$F$3004,"""")&lt;&gt;""""),ROWS(F$5:F1386)),IF(AND(LEFT(x,5)=""Pag"&amp;"e "",ISERROR(SEARCH(""–"",x))),x&amp;""–""&amp;REGEXEXTRACT(x,""[0-9]+$""),x)),"""")"),"")</f>
        <v/>
      </c>
      <c r="G1386" s="163"/>
      <c r="H13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Helper'!$F$5:$F$3004,"""")&lt;&gt;""""),ROWS(H$5:H1386)),"""")"),"")</f>
        <v/>
      </c>
    </row>
    <row r="1387" ht="15.75" customHeight="1">
      <c r="A13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Helper'!$F$5:$F$3004,"""")&lt;&gt;""""),ROWS(A$5:A1387)),"""")"),"")</f>
        <v/>
      </c>
      <c r="B13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Helper'!$F$5:$F$3004,"""")&lt;&gt;""""),ROWS(B$5:B1387)),"""")"),"")</f>
        <v/>
      </c>
      <c r="C13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Helper'!$F$5:$F$3004,"""")&lt;&gt;""""),ROWS(C$5:C1387)),"""")"),"")</f>
        <v/>
      </c>
      <c r="D13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Helper'!$F$5:$F$3004,"""")&lt;&gt;""""),ROWS(D$5:D1387)),"""")"),"")</f>
        <v/>
      </c>
      <c r="E13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Helper'!$F$5:$F$3004,"""")&lt;&gt;""""),ROWS(E$5:E1387)),"""")"),"")</f>
        <v/>
      </c>
      <c r="F13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Helper'!$F$5:$F$3004,"""")&lt;&gt;""""),ROWS(F$5:F1387)),IF(AND(LEFT(x,5)=""Pag"&amp;"e "",ISERROR(SEARCH(""–"",x))),x&amp;""–""&amp;REGEXEXTRACT(x,""[0-9]+$""),x)),"""")"),"")</f>
        <v/>
      </c>
      <c r="G1387" s="163"/>
      <c r="H13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Helper'!$F$5:$F$3004,"""")&lt;&gt;""""),ROWS(H$5:H1387)),"""")"),"")</f>
        <v/>
      </c>
    </row>
    <row r="1388" ht="15.75" customHeight="1">
      <c r="A13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Helper'!$F$5:$F$3004,"""")&lt;&gt;""""),ROWS(A$5:A1388)),"""")"),"")</f>
        <v/>
      </c>
      <c r="B13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Helper'!$F$5:$F$3004,"""")&lt;&gt;""""),ROWS(B$5:B1388)),"""")"),"")</f>
        <v/>
      </c>
      <c r="C13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Helper'!$F$5:$F$3004,"""")&lt;&gt;""""),ROWS(C$5:C1388)),"""")"),"")</f>
        <v/>
      </c>
      <c r="D13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Helper'!$F$5:$F$3004,"""")&lt;&gt;""""),ROWS(D$5:D1388)),"""")"),"")</f>
        <v/>
      </c>
      <c r="E13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Helper'!$F$5:$F$3004,"""")&lt;&gt;""""),ROWS(E$5:E1388)),"""")"),"")</f>
        <v/>
      </c>
      <c r="F13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Helper'!$F$5:$F$3004,"""")&lt;&gt;""""),ROWS(F$5:F1388)),IF(AND(LEFT(x,5)=""Pag"&amp;"e "",ISERROR(SEARCH(""–"",x))),x&amp;""–""&amp;REGEXEXTRACT(x,""[0-9]+$""),x)),"""")"),"")</f>
        <v/>
      </c>
      <c r="G1388" s="163"/>
      <c r="H13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Helper'!$F$5:$F$3004,"""")&lt;&gt;""""),ROWS(H$5:H1388)),"""")"),"")</f>
        <v/>
      </c>
    </row>
    <row r="1389" ht="15.75" customHeight="1">
      <c r="A13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Helper'!$F$5:$F$3004,"""")&lt;&gt;""""),ROWS(A$5:A1389)),"""")"),"")</f>
        <v/>
      </c>
      <c r="B13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Helper'!$F$5:$F$3004,"""")&lt;&gt;""""),ROWS(B$5:B1389)),"""")"),"")</f>
        <v/>
      </c>
      <c r="C13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Helper'!$F$5:$F$3004,"""")&lt;&gt;""""),ROWS(C$5:C1389)),"""")"),"")</f>
        <v/>
      </c>
      <c r="D13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Helper'!$F$5:$F$3004,"""")&lt;&gt;""""),ROWS(D$5:D1389)),"""")"),"")</f>
        <v/>
      </c>
      <c r="E13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Helper'!$F$5:$F$3004,"""")&lt;&gt;""""),ROWS(E$5:E1389)),"""")"),"")</f>
        <v/>
      </c>
      <c r="F13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Helper'!$F$5:$F$3004,"""")&lt;&gt;""""),ROWS(F$5:F1389)),IF(AND(LEFT(x,5)=""Pag"&amp;"e "",ISERROR(SEARCH(""–"",x))),x&amp;""–""&amp;REGEXEXTRACT(x,""[0-9]+$""),x)),"""")"),"")</f>
        <v/>
      </c>
      <c r="G1389" s="163"/>
      <c r="H13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Helper'!$F$5:$F$3004,"""")&lt;&gt;""""),ROWS(H$5:H1389)),"""")"),"")</f>
        <v/>
      </c>
    </row>
    <row r="1390" ht="15.75" customHeight="1">
      <c r="A13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Helper'!$F$5:$F$3004,"""")&lt;&gt;""""),ROWS(A$5:A1390)),"""")"),"")</f>
        <v/>
      </c>
      <c r="B13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Helper'!$F$5:$F$3004,"""")&lt;&gt;""""),ROWS(B$5:B1390)),"""")"),"")</f>
        <v/>
      </c>
      <c r="C13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Helper'!$F$5:$F$3004,"""")&lt;&gt;""""),ROWS(C$5:C1390)),"""")"),"")</f>
        <v/>
      </c>
      <c r="D13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Helper'!$F$5:$F$3004,"""")&lt;&gt;""""),ROWS(D$5:D1390)),"""")"),"")</f>
        <v/>
      </c>
      <c r="E13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Helper'!$F$5:$F$3004,"""")&lt;&gt;""""),ROWS(E$5:E1390)),"""")"),"")</f>
        <v/>
      </c>
      <c r="F13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Helper'!$F$5:$F$3004,"""")&lt;&gt;""""),ROWS(F$5:F1390)),IF(AND(LEFT(x,5)=""Pag"&amp;"e "",ISERROR(SEARCH(""–"",x))),x&amp;""–""&amp;REGEXEXTRACT(x,""[0-9]+$""),x)),"""")"),"")</f>
        <v/>
      </c>
      <c r="G1390" s="163"/>
      <c r="H13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Helper'!$F$5:$F$3004,"""")&lt;&gt;""""),ROWS(H$5:H1390)),"""")"),"")</f>
        <v/>
      </c>
    </row>
    <row r="1391" ht="15.75" customHeight="1">
      <c r="A13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Helper'!$F$5:$F$3004,"""")&lt;&gt;""""),ROWS(A$5:A1391)),"""")"),"")</f>
        <v/>
      </c>
      <c r="B13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Helper'!$F$5:$F$3004,"""")&lt;&gt;""""),ROWS(B$5:B1391)),"""")"),"")</f>
        <v/>
      </c>
      <c r="C13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Helper'!$F$5:$F$3004,"""")&lt;&gt;""""),ROWS(C$5:C1391)),"""")"),"")</f>
        <v/>
      </c>
      <c r="D13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Helper'!$F$5:$F$3004,"""")&lt;&gt;""""),ROWS(D$5:D1391)),"""")"),"")</f>
        <v/>
      </c>
      <c r="E13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Helper'!$F$5:$F$3004,"""")&lt;&gt;""""),ROWS(E$5:E1391)),"""")"),"")</f>
        <v/>
      </c>
      <c r="F13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Helper'!$F$5:$F$3004,"""")&lt;&gt;""""),ROWS(F$5:F1391)),IF(AND(LEFT(x,5)=""Pag"&amp;"e "",ISERROR(SEARCH(""–"",x))),x&amp;""–""&amp;REGEXEXTRACT(x,""[0-9]+$""),x)),"""")"),"")</f>
        <v/>
      </c>
      <c r="G1391" s="163"/>
      <c r="H13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Helper'!$F$5:$F$3004,"""")&lt;&gt;""""),ROWS(H$5:H1391)),"""")"),"")</f>
        <v/>
      </c>
    </row>
    <row r="1392" ht="15.75" customHeight="1">
      <c r="A13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Helper'!$F$5:$F$3004,"""")&lt;&gt;""""),ROWS(A$5:A1392)),"""")"),"")</f>
        <v/>
      </c>
      <c r="B13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Helper'!$F$5:$F$3004,"""")&lt;&gt;""""),ROWS(B$5:B1392)),"""")"),"")</f>
        <v/>
      </c>
      <c r="C13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Helper'!$F$5:$F$3004,"""")&lt;&gt;""""),ROWS(C$5:C1392)),"""")"),"")</f>
        <v/>
      </c>
      <c r="D13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Helper'!$F$5:$F$3004,"""")&lt;&gt;""""),ROWS(D$5:D1392)),"""")"),"")</f>
        <v/>
      </c>
      <c r="E13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Helper'!$F$5:$F$3004,"""")&lt;&gt;""""),ROWS(E$5:E1392)),"""")"),"")</f>
        <v/>
      </c>
      <c r="F13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Helper'!$F$5:$F$3004,"""")&lt;&gt;""""),ROWS(F$5:F1392)),IF(AND(LEFT(x,5)=""Pag"&amp;"e "",ISERROR(SEARCH(""–"",x))),x&amp;""–""&amp;REGEXEXTRACT(x,""[0-9]+$""),x)),"""")"),"")</f>
        <v/>
      </c>
      <c r="G1392" s="163"/>
      <c r="H13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Helper'!$F$5:$F$3004,"""")&lt;&gt;""""),ROWS(H$5:H1392)),"""")"),"")</f>
        <v/>
      </c>
    </row>
    <row r="1393" ht="15.75" customHeight="1">
      <c r="A13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Helper'!$F$5:$F$3004,"""")&lt;&gt;""""),ROWS(A$5:A1393)),"""")"),"")</f>
        <v/>
      </c>
      <c r="B13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Helper'!$F$5:$F$3004,"""")&lt;&gt;""""),ROWS(B$5:B1393)),"""")"),"")</f>
        <v/>
      </c>
      <c r="C13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Helper'!$F$5:$F$3004,"""")&lt;&gt;""""),ROWS(C$5:C1393)),"""")"),"")</f>
        <v/>
      </c>
      <c r="D13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Helper'!$F$5:$F$3004,"""")&lt;&gt;""""),ROWS(D$5:D1393)),"""")"),"")</f>
        <v/>
      </c>
      <c r="E13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Helper'!$F$5:$F$3004,"""")&lt;&gt;""""),ROWS(E$5:E1393)),"""")"),"")</f>
        <v/>
      </c>
      <c r="F13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Helper'!$F$5:$F$3004,"""")&lt;&gt;""""),ROWS(F$5:F1393)),IF(AND(LEFT(x,5)=""Pag"&amp;"e "",ISERROR(SEARCH(""–"",x))),x&amp;""–""&amp;REGEXEXTRACT(x,""[0-9]+$""),x)),"""")"),"")</f>
        <v/>
      </c>
      <c r="G1393" s="163"/>
      <c r="H13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Helper'!$F$5:$F$3004,"""")&lt;&gt;""""),ROWS(H$5:H1393)),"""")"),"")</f>
        <v/>
      </c>
    </row>
    <row r="1394" ht="15.75" customHeight="1">
      <c r="A13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Helper'!$F$5:$F$3004,"""")&lt;&gt;""""),ROWS(A$5:A1394)),"""")"),"")</f>
        <v/>
      </c>
      <c r="B13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Helper'!$F$5:$F$3004,"""")&lt;&gt;""""),ROWS(B$5:B1394)),"""")"),"")</f>
        <v/>
      </c>
      <c r="C13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Helper'!$F$5:$F$3004,"""")&lt;&gt;""""),ROWS(C$5:C1394)),"""")"),"")</f>
        <v/>
      </c>
      <c r="D13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Helper'!$F$5:$F$3004,"""")&lt;&gt;""""),ROWS(D$5:D1394)),"""")"),"")</f>
        <v/>
      </c>
      <c r="E13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Helper'!$F$5:$F$3004,"""")&lt;&gt;""""),ROWS(E$5:E1394)),"""")"),"")</f>
        <v/>
      </c>
      <c r="F13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Helper'!$F$5:$F$3004,"""")&lt;&gt;""""),ROWS(F$5:F1394)),IF(AND(LEFT(x,5)=""Pag"&amp;"e "",ISERROR(SEARCH(""–"",x))),x&amp;""–""&amp;REGEXEXTRACT(x,""[0-9]+$""),x)),"""")"),"")</f>
        <v/>
      </c>
      <c r="G1394" s="163"/>
      <c r="H13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Helper'!$F$5:$F$3004,"""")&lt;&gt;""""),ROWS(H$5:H1394)),"""")"),"")</f>
        <v/>
      </c>
    </row>
    <row r="1395" ht="15.75" customHeight="1">
      <c r="A13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Helper'!$F$5:$F$3004,"""")&lt;&gt;""""),ROWS(A$5:A1395)),"""")"),"")</f>
        <v/>
      </c>
      <c r="B13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Helper'!$F$5:$F$3004,"""")&lt;&gt;""""),ROWS(B$5:B1395)),"""")"),"")</f>
        <v/>
      </c>
      <c r="C13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Helper'!$F$5:$F$3004,"""")&lt;&gt;""""),ROWS(C$5:C1395)),"""")"),"")</f>
        <v/>
      </c>
      <c r="D13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Helper'!$F$5:$F$3004,"""")&lt;&gt;""""),ROWS(D$5:D1395)),"""")"),"")</f>
        <v/>
      </c>
      <c r="E13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Helper'!$F$5:$F$3004,"""")&lt;&gt;""""),ROWS(E$5:E1395)),"""")"),"")</f>
        <v/>
      </c>
      <c r="F13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Helper'!$F$5:$F$3004,"""")&lt;&gt;""""),ROWS(F$5:F1395)),IF(AND(LEFT(x,5)=""Pag"&amp;"e "",ISERROR(SEARCH(""–"",x))),x&amp;""–""&amp;REGEXEXTRACT(x,""[0-9]+$""),x)),"""")"),"")</f>
        <v/>
      </c>
      <c r="G1395" s="163"/>
      <c r="H13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Helper'!$F$5:$F$3004,"""")&lt;&gt;""""),ROWS(H$5:H1395)),"""")"),"")</f>
        <v/>
      </c>
    </row>
    <row r="1396" ht="15.75" customHeight="1">
      <c r="A13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Helper'!$F$5:$F$3004,"""")&lt;&gt;""""),ROWS(A$5:A1396)),"""")"),"")</f>
        <v/>
      </c>
      <c r="B13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Helper'!$F$5:$F$3004,"""")&lt;&gt;""""),ROWS(B$5:B1396)),"""")"),"")</f>
        <v/>
      </c>
      <c r="C13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Helper'!$F$5:$F$3004,"""")&lt;&gt;""""),ROWS(C$5:C1396)),"""")"),"")</f>
        <v/>
      </c>
      <c r="D13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Helper'!$F$5:$F$3004,"""")&lt;&gt;""""),ROWS(D$5:D1396)),"""")"),"")</f>
        <v/>
      </c>
      <c r="E13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Helper'!$F$5:$F$3004,"""")&lt;&gt;""""),ROWS(E$5:E1396)),"""")"),"")</f>
        <v/>
      </c>
      <c r="F13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Helper'!$F$5:$F$3004,"""")&lt;&gt;""""),ROWS(F$5:F1396)),IF(AND(LEFT(x,5)=""Pag"&amp;"e "",ISERROR(SEARCH(""–"",x))),x&amp;""–""&amp;REGEXEXTRACT(x,""[0-9]+$""),x)),"""")"),"")</f>
        <v/>
      </c>
      <c r="G1396" s="163"/>
      <c r="H13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Helper'!$F$5:$F$3004,"""")&lt;&gt;""""),ROWS(H$5:H1396)),"""")"),"")</f>
        <v/>
      </c>
    </row>
    <row r="1397" ht="15.75" customHeight="1">
      <c r="A13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Helper'!$F$5:$F$3004,"""")&lt;&gt;""""),ROWS(A$5:A1397)),"""")"),"")</f>
        <v/>
      </c>
      <c r="B13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Helper'!$F$5:$F$3004,"""")&lt;&gt;""""),ROWS(B$5:B1397)),"""")"),"")</f>
        <v/>
      </c>
      <c r="C13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Helper'!$F$5:$F$3004,"""")&lt;&gt;""""),ROWS(C$5:C1397)),"""")"),"")</f>
        <v/>
      </c>
      <c r="D13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Helper'!$F$5:$F$3004,"""")&lt;&gt;""""),ROWS(D$5:D1397)),"""")"),"")</f>
        <v/>
      </c>
      <c r="E13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Helper'!$F$5:$F$3004,"""")&lt;&gt;""""),ROWS(E$5:E1397)),"""")"),"")</f>
        <v/>
      </c>
      <c r="F13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Helper'!$F$5:$F$3004,"""")&lt;&gt;""""),ROWS(F$5:F1397)),IF(AND(LEFT(x,5)=""Pag"&amp;"e "",ISERROR(SEARCH(""–"",x))),x&amp;""–""&amp;REGEXEXTRACT(x,""[0-9]+$""),x)),"""")"),"")</f>
        <v/>
      </c>
      <c r="G1397" s="163"/>
      <c r="H13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Helper'!$F$5:$F$3004,"""")&lt;&gt;""""),ROWS(H$5:H1397)),"""")"),"")</f>
        <v/>
      </c>
    </row>
    <row r="1398" ht="15.75" customHeight="1">
      <c r="A13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Helper'!$F$5:$F$3004,"""")&lt;&gt;""""),ROWS(A$5:A1398)),"""")"),"")</f>
        <v/>
      </c>
      <c r="B13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Helper'!$F$5:$F$3004,"""")&lt;&gt;""""),ROWS(B$5:B1398)),"""")"),"")</f>
        <v/>
      </c>
      <c r="C13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Helper'!$F$5:$F$3004,"""")&lt;&gt;""""),ROWS(C$5:C1398)),"""")"),"")</f>
        <v/>
      </c>
      <c r="D13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Helper'!$F$5:$F$3004,"""")&lt;&gt;""""),ROWS(D$5:D1398)),"""")"),"")</f>
        <v/>
      </c>
      <c r="E13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Helper'!$F$5:$F$3004,"""")&lt;&gt;""""),ROWS(E$5:E1398)),"""")"),"")</f>
        <v/>
      </c>
      <c r="F13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Helper'!$F$5:$F$3004,"""")&lt;&gt;""""),ROWS(F$5:F1398)),IF(AND(LEFT(x,5)=""Pag"&amp;"e "",ISERROR(SEARCH(""–"",x))),x&amp;""–""&amp;REGEXEXTRACT(x,""[0-9]+$""),x)),"""")"),"")</f>
        <v/>
      </c>
      <c r="G1398" s="163"/>
      <c r="H13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Helper'!$F$5:$F$3004,"""")&lt;&gt;""""),ROWS(H$5:H1398)),"""")"),"")</f>
        <v/>
      </c>
    </row>
    <row r="1399" ht="15.75" customHeight="1">
      <c r="A13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Helper'!$F$5:$F$3004,"""")&lt;&gt;""""),ROWS(A$5:A1399)),"""")"),"")</f>
        <v/>
      </c>
      <c r="B13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Helper'!$F$5:$F$3004,"""")&lt;&gt;""""),ROWS(B$5:B1399)),"""")"),"")</f>
        <v/>
      </c>
      <c r="C13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Helper'!$F$5:$F$3004,"""")&lt;&gt;""""),ROWS(C$5:C1399)),"""")"),"")</f>
        <v/>
      </c>
      <c r="D13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Helper'!$F$5:$F$3004,"""")&lt;&gt;""""),ROWS(D$5:D1399)),"""")"),"")</f>
        <v/>
      </c>
      <c r="E13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Helper'!$F$5:$F$3004,"""")&lt;&gt;""""),ROWS(E$5:E1399)),"""")"),"")</f>
        <v/>
      </c>
      <c r="F13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Helper'!$F$5:$F$3004,"""")&lt;&gt;""""),ROWS(F$5:F1399)),IF(AND(LEFT(x,5)=""Pag"&amp;"e "",ISERROR(SEARCH(""–"",x))),x&amp;""–""&amp;REGEXEXTRACT(x,""[0-9]+$""),x)),"""")"),"")</f>
        <v/>
      </c>
      <c r="G1399" s="163"/>
      <c r="H13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Helper'!$F$5:$F$3004,"""")&lt;&gt;""""),ROWS(H$5:H1399)),"""")"),"")</f>
        <v/>
      </c>
    </row>
    <row r="1400" ht="15.75" customHeight="1">
      <c r="A14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Helper'!$F$5:$F$3004,"""")&lt;&gt;""""),ROWS(A$5:A1400)),"""")"),"")</f>
        <v/>
      </c>
      <c r="B14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Helper'!$F$5:$F$3004,"""")&lt;&gt;""""),ROWS(B$5:B1400)),"""")"),"")</f>
        <v/>
      </c>
      <c r="C14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Helper'!$F$5:$F$3004,"""")&lt;&gt;""""),ROWS(C$5:C1400)),"""")"),"")</f>
        <v/>
      </c>
      <c r="D14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Helper'!$F$5:$F$3004,"""")&lt;&gt;""""),ROWS(D$5:D1400)),"""")"),"")</f>
        <v/>
      </c>
      <c r="E14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Helper'!$F$5:$F$3004,"""")&lt;&gt;""""),ROWS(E$5:E1400)),"""")"),"")</f>
        <v/>
      </c>
      <c r="F14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Helper'!$F$5:$F$3004,"""")&lt;&gt;""""),ROWS(F$5:F1400)),IF(AND(LEFT(x,5)=""Pag"&amp;"e "",ISERROR(SEARCH(""–"",x))),x&amp;""–""&amp;REGEXEXTRACT(x,""[0-9]+$""),x)),"""")"),"")</f>
        <v/>
      </c>
      <c r="G1400" s="163"/>
      <c r="H14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Helper'!$F$5:$F$3004,"""")&lt;&gt;""""),ROWS(H$5:H1400)),"""")"),"")</f>
        <v/>
      </c>
    </row>
    <row r="1401" ht="15.75" customHeight="1">
      <c r="A14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Helper'!$F$5:$F$3004,"""")&lt;&gt;""""),ROWS(A$5:A1401)),"""")"),"")</f>
        <v/>
      </c>
      <c r="B14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Helper'!$F$5:$F$3004,"""")&lt;&gt;""""),ROWS(B$5:B1401)),"""")"),"")</f>
        <v/>
      </c>
      <c r="C14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Helper'!$F$5:$F$3004,"""")&lt;&gt;""""),ROWS(C$5:C1401)),"""")"),"")</f>
        <v/>
      </c>
      <c r="D14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Helper'!$F$5:$F$3004,"""")&lt;&gt;""""),ROWS(D$5:D1401)),"""")"),"")</f>
        <v/>
      </c>
      <c r="E14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Helper'!$F$5:$F$3004,"""")&lt;&gt;""""),ROWS(E$5:E1401)),"""")"),"")</f>
        <v/>
      </c>
      <c r="F14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Helper'!$F$5:$F$3004,"""")&lt;&gt;""""),ROWS(F$5:F1401)),IF(AND(LEFT(x,5)=""Pag"&amp;"e "",ISERROR(SEARCH(""–"",x))),x&amp;""–""&amp;REGEXEXTRACT(x,""[0-9]+$""),x)),"""")"),"")</f>
        <v/>
      </c>
      <c r="G1401" s="163"/>
      <c r="H14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Helper'!$F$5:$F$3004,"""")&lt;&gt;""""),ROWS(H$5:H1401)),"""")"),"")</f>
        <v/>
      </c>
    </row>
    <row r="1402" ht="15.75" customHeight="1">
      <c r="A14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Helper'!$F$5:$F$3004,"""")&lt;&gt;""""),ROWS(A$5:A1402)),"""")"),"")</f>
        <v/>
      </c>
      <c r="B14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Helper'!$F$5:$F$3004,"""")&lt;&gt;""""),ROWS(B$5:B1402)),"""")"),"")</f>
        <v/>
      </c>
      <c r="C14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Helper'!$F$5:$F$3004,"""")&lt;&gt;""""),ROWS(C$5:C1402)),"""")"),"")</f>
        <v/>
      </c>
      <c r="D14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Helper'!$F$5:$F$3004,"""")&lt;&gt;""""),ROWS(D$5:D1402)),"""")"),"")</f>
        <v/>
      </c>
      <c r="E14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Helper'!$F$5:$F$3004,"""")&lt;&gt;""""),ROWS(E$5:E1402)),"""")"),"")</f>
        <v/>
      </c>
      <c r="F14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Helper'!$F$5:$F$3004,"""")&lt;&gt;""""),ROWS(F$5:F1402)),IF(AND(LEFT(x,5)=""Pag"&amp;"e "",ISERROR(SEARCH(""–"",x))),x&amp;""–""&amp;REGEXEXTRACT(x,""[0-9]+$""),x)),"""")"),"")</f>
        <v/>
      </c>
      <c r="G1402" s="163"/>
      <c r="H14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Helper'!$F$5:$F$3004,"""")&lt;&gt;""""),ROWS(H$5:H1402)),"""")"),"")</f>
        <v/>
      </c>
    </row>
    <row r="1403" ht="15.75" customHeight="1">
      <c r="A14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Helper'!$F$5:$F$3004,"""")&lt;&gt;""""),ROWS(A$5:A1403)),"""")"),"")</f>
        <v/>
      </c>
      <c r="B14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Helper'!$F$5:$F$3004,"""")&lt;&gt;""""),ROWS(B$5:B1403)),"""")"),"")</f>
        <v/>
      </c>
      <c r="C14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Helper'!$F$5:$F$3004,"""")&lt;&gt;""""),ROWS(C$5:C1403)),"""")"),"")</f>
        <v/>
      </c>
      <c r="D14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Helper'!$F$5:$F$3004,"""")&lt;&gt;""""),ROWS(D$5:D1403)),"""")"),"")</f>
        <v/>
      </c>
      <c r="E14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Helper'!$F$5:$F$3004,"""")&lt;&gt;""""),ROWS(E$5:E1403)),"""")"),"")</f>
        <v/>
      </c>
      <c r="F14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Helper'!$F$5:$F$3004,"""")&lt;&gt;""""),ROWS(F$5:F1403)),IF(AND(LEFT(x,5)=""Pag"&amp;"e "",ISERROR(SEARCH(""–"",x))),x&amp;""–""&amp;REGEXEXTRACT(x,""[0-9]+$""),x)),"""")"),"")</f>
        <v/>
      </c>
      <c r="G1403" s="163"/>
      <c r="H14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Helper'!$F$5:$F$3004,"""")&lt;&gt;""""),ROWS(H$5:H1403)),"""")"),"")</f>
        <v/>
      </c>
    </row>
    <row r="1404" ht="15.75" customHeight="1">
      <c r="A14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Helper'!$F$5:$F$3004,"""")&lt;&gt;""""),ROWS(A$5:A1404)),"""")"),"")</f>
        <v/>
      </c>
      <c r="B14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Helper'!$F$5:$F$3004,"""")&lt;&gt;""""),ROWS(B$5:B1404)),"""")"),"")</f>
        <v/>
      </c>
      <c r="C14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Helper'!$F$5:$F$3004,"""")&lt;&gt;""""),ROWS(C$5:C1404)),"""")"),"")</f>
        <v/>
      </c>
      <c r="D14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Helper'!$F$5:$F$3004,"""")&lt;&gt;""""),ROWS(D$5:D1404)),"""")"),"")</f>
        <v/>
      </c>
      <c r="E14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Helper'!$F$5:$F$3004,"""")&lt;&gt;""""),ROWS(E$5:E1404)),"""")"),"")</f>
        <v/>
      </c>
      <c r="F14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Helper'!$F$5:$F$3004,"""")&lt;&gt;""""),ROWS(F$5:F1404)),IF(AND(LEFT(x,5)=""Pag"&amp;"e "",ISERROR(SEARCH(""–"",x))),x&amp;""–""&amp;REGEXEXTRACT(x,""[0-9]+$""),x)),"""")"),"")</f>
        <v/>
      </c>
      <c r="G1404" s="163"/>
      <c r="H14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Helper'!$F$5:$F$3004,"""")&lt;&gt;""""),ROWS(H$5:H1404)),"""")"),"")</f>
        <v/>
      </c>
    </row>
    <row r="1405" ht="15.75" customHeight="1">
      <c r="A14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Helper'!$F$5:$F$3004,"""")&lt;&gt;""""),ROWS(A$5:A1405)),"""")"),"")</f>
        <v/>
      </c>
      <c r="B14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Helper'!$F$5:$F$3004,"""")&lt;&gt;""""),ROWS(B$5:B1405)),"""")"),"")</f>
        <v/>
      </c>
      <c r="C14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Helper'!$F$5:$F$3004,"""")&lt;&gt;""""),ROWS(C$5:C1405)),"""")"),"")</f>
        <v/>
      </c>
      <c r="D14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Helper'!$F$5:$F$3004,"""")&lt;&gt;""""),ROWS(D$5:D1405)),"""")"),"")</f>
        <v/>
      </c>
      <c r="E14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Helper'!$F$5:$F$3004,"""")&lt;&gt;""""),ROWS(E$5:E1405)),"""")"),"")</f>
        <v/>
      </c>
      <c r="F14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Helper'!$F$5:$F$3004,"""")&lt;&gt;""""),ROWS(F$5:F1405)),IF(AND(LEFT(x,5)=""Pag"&amp;"e "",ISERROR(SEARCH(""–"",x))),x&amp;""–""&amp;REGEXEXTRACT(x,""[0-9]+$""),x)),"""")"),"")</f>
        <v/>
      </c>
      <c r="G1405" s="163"/>
      <c r="H14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Helper'!$F$5:$F$3004,"""")&lt;&gt;""""),ROWS(H$5:H1405)),"""")"),"")</f>
        <v/>
      </c>
    </row>
    <row r="1406" ht="15.75" customHeight="1">
      <c r="A14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Helper'!$F$5:$F$3004,"""")&lt;&gt;""""),ROWS(A$5:A1406)),"""")"),"")</f>
        <v/>
      </c>
      <c r="B14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Helper'!$F$5:$F$3004,"""")&lt;&gt;""""),ROWS(B$5:B1406)),"""")"),"")</f>
        <v/>
      </c>
      <c r="C14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Helper'!$F$5:$F$3004,"""")&lt;&gt;""""),ROWS(C$5:C1406)),"""")"),"")</f>
        <v/>
      </c>
      <c r="D14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Helper'!$F$5:$F$3004,"""")&lt;&gt;""""),ROWS(D$5:D1406)),"""")"),"")</f>
        <v/>
      </c>
      <c r="E14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Helper'!$F$5:$F$3004,"""")&lt;&gt;""""),ROWS(E$5:E1406)),"""")"),"")</f>
        <v/>
      </c>
      <c r="F14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Helper'!$F$5:$F$3004,"""")&lt;&gt;""""),ROWS(F$5:F1406)),IF(AND(LEFT(x,5)=""Pag"&amp;"e "",ISERROR(SEARCH(""–"",x))),x&amp;""–""&amp;REGEXEXTRACT(x,""[0-9]+$""),x)),"""")"),"")</f>
        <v/>
      </c>
      <c r="G1406" s="163"/>
      <c r="H14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Helper'!$F$5:$F$3004,"""")&lt;&gt;""""),ROWS(H$5:H1406)),"""")"),"")</f>
        <v/>
      </c>
    </row>
    <row r="1407" ht="15.75" customHeight="1">
      <c r="A14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Helper'!$F$5:$F$3004,"""")&lt;&gt;""""),ROWS(A$5:A1407)),"""")"),"")</f>
        <v/>
      </c>
      <c r="B14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Helper'!$F$5:$F$3004,"""")&lt;&gt;""""),ROWS(B$5:B1407)),"""")"),"")</f>
        <v/>
      </c>
      <c r="C14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Helper'!$F$5:$F$3004,"""")&lt;&gt;""""),ROWS(C$5:C1407)),"""")"),"")</f>
        <v/>
      </c>
      <c r="D14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Helper'!$F$5:$F$3004,"""")&lt;&gt;""""),ROWS(D$5:D1407)),"""")"),"")</f>
        <v/>
      </c>
      <c r="E14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Helper'!$F$5:$F$3004,"""")&lt;&gt;""""),ROWS(E$5:E1407)),"""")"),"")</f>
        <v/>
      </c>
      <c r="F14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Helper'!$F$5:$F$3004,"""")&lt;&gt;""""),ROWS(F$5:F1407)),IF(AND(LEFT(x,5)=""Pag"&amp;"e "",ISERROR(SEARCH(""–"",x))),x&amp;""–""&amp;REGEXEXTRACT(x,""[0-9]+$""),x)),"""")"),"")</f>
        <v/>
      </c>
      <c r="G1407" s="163"/>
      <c r="H14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Helper'!$F$5:$F$3004,"""")&lt;&gt;""""),ROWS(H$5:H1407)),"""")"),"")</f>
        <v/>
      </c>
    </row>
    <row r="1408" ht="15.75" customHeight="1">
      <c r="A14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Helper'!$F$5:$F$3004,"""")&lt;&gt;""""),ROWS(A$5:A1408)),"""")"),"")</f>
        <v/>
      </c>
      <c r="B14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Helper'!$F$5:$F$3004,"""")&lt;&gt;""""),ROWS(B$5:B1408)),"""")"),"")</f>
        <v/>
      </c>
      <c r="C14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Helper'!$F$5:$F$3004,"""")&lt;&gt;""""),ROWS(C$5:C1408)),"""")"),"")</f>
        <v/>
      </c>
      <c r="D14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Helper'!$F$5:$F$3004,"""")&lt;&gt;""""),ROWS(D$5:D1408)),"""")"),"")</f>
        <v/>
      </c>
      <c r="E14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Helper'!$F$5:$F$3004,"""")&lt;&gt;""""),ROWS(E$5:E1408)),"""")"),"")</f>
        <v/>
      </c>
      <c r="F14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Helper'!$F$5:$F$3004,"""")&lt;&gt;""""),ROWS(F$5:F1408)),IF(AND(LEFT(x,5)=""Pag"&amp;"e "",ISERROR(SEARCH(""–"",x))),x&amp;""–""&amp;REGEXEXTRACT(x,""[0-9]+$""),x)),"""")"),"")</f>
        <v/>
      </c>
      <c r="G1408" s="163"/>
      <c r="H14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Helper'!$F$5:$F$3004,"""")&lt;&gt;""""),ROWS(H$5:H1408)),"""")"),"")</f>
        <v/>
      </c>
    </row>
    <row r="1409" ht="15.75" customHeight="1">
      <c r="A14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Helper'!$F$5:$F$3004,"""")&lt;&gt;""""),ROWS(A$5:A1409)),"""")"),"")</f>
        <v/>
      </c>
      <c r="B14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Helper'!$F$5:$F$3004,"""")&lt;&gt;""""),ROWS(B$5:B1409)),"""")"),"")</f>
        <v/>
      </c>
      <c r="C14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Helper'!$F$5:$F$3004,"""")&lt;&gt;""""),ROWS(C$5:C1409)),"""")"),"")</f>
        <v/>
      </c>
      <c r="D14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Helper'!$F$5:$F$3004,"""")&lt;&gt;""""),ROWS(D$5:D1409)),"""")"),"")</f>
        <v/>
      </c>
      <c r="E14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Helper'!$F$5:$F$3004,"""")&lt;&gt;""""),ROWS(E$5:E1409)),"""")"),"")</f>
        <v/>
      </c>
      <c r="F14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Helper'!$F$5:$F$3004,"""")&lt;&gt;""""),ROWS(F$5:F1409)),IF(AND(LEFT(x,5)=""Pag"&amp;"e "",ISERROR(SEARCH(""–"",x))),x&amp;""–""&amp;REGEXEXTRACT(x,""[0-9]+$""),x)),"""")"),"")</f>
        <v/>
      </c>
      <c r="G1409" s="163"/>
      <c r="H14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Helper'!$F$5:$F$3004,"""")&lt;&gt;""""),ROWS(H$5:H1409)),"""")"),"")</f>
        <v/>
      </c>
    </row>
    <row r="1410" ht="15.75" customHeight="1">
      <c r="A14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Helper'!$F$5:$F$3004,"""")&lt;&gt;""""),ROWS(A$5:A1410)),"""")"),"")</f>
        <v/>
      </c>
      <c r="B14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Helper'!$F$5:$F$3004,"""")&lt;&gt;""""),ROWS(B$5:B1410)),"""")"),"")</f>
        <v/>
      </c>
      <c r="C14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Helper'!$F$5:$F$3004,"""")&lt;&gt;""""),ROWS(C$5:C1410)),"""")"),"")</f>
        <v/>
      </c>
      <c r="D14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Helper'!$F$5:$F$3004,"""")&lt;&gt;""""),ROWS(D$5:D1410)),"""")"),"")</f>
        <v/>
      </c>
      <c r="E14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Helper'!$F$5:$F$3004,"""")&lt;&gt;""""),ROWS(E$5:E1410)),"""")"),"")</f>
        <v/>
      </c>
      <c r="F14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Helper'!$F$5:$F$3004,"""")&lt;&gt;""""),ROWS(F$5:F1410)),IF(AND(LEFT(x,5)=""Pag"&amp;"e "",ISERROR(SEARCH(""–"",x))),x&amp;""–""&amp;REGEXEXTRACT(x,""[0-9]+$""),x)),"""")"),"")</f>
        <v/>
      </c>
      <c r="G1410" s="163"/>
      <c r="H14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Helper'!$F$5:$F$3004,"""")&lt;&gt;""""),ROWS(H$5:H1410)),"""")"),"")</f>
        <v/>
      </c>
    </row>
    <row r="1411" ht="15.75" customHeight="1">
      <c r="A14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Helper'!$F$5:$F$3004,"""")&lt;&gt;""""),ROWS(A$5:A1411)),"""")"),"")</f>
        <v/>
      </c>
      <c r="B14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Helper'!$F$5:$F$3004,"""")&lt;&gt;""""),ROWS(B$5:B1411)),"""")"),"")</f>
        <v/>
      </c>
      <c r="C14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Helper'!$F$5:$F$3004,"""")&lt;&gt;""""),ROWS(C$5:C1411)),"""")"),"")</f>
        <v/>
      </c>
      <c r="D14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Helper'!$F$5:$F$3004,"""")&lt;&gt;""""),ROWS(D$5:D1411)),"""")"),"")</f>
        <v/>
      </c>
      <c r="E14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Helper'!$F$5:$F$3004,"""")&lt;&gt;""""),ROWS(E$5:E1411)),"""")"),"")</f>
        <v/>
      </c>
      <c r="F14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Helper'!$F$5:$F$3004,"""")&lt;&gt;""""),ROWS(F$5:F1411)),IF(AND(LEFT(x,5)=""Pag"&amp;"e "",ISERROR(SEARCH(""–"",x))),x&amp;""–""&amp;REGEXEXTRACT(x,""[0-9]+$""),x)),"""")"),"")</f>
        <v/>
      </c>
      <c r="G1411" s="163"/>
      <c r="H14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Helper'!$F$5:$F$3004,"""")&lt;&gt;""""),ROWS(H$5:H1411)),"""")"),"")</f>
        <v/>
      </c>
    </row>
    <row r="1412" ht="15.75" customHeight="1">
      <c r="A14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Helper'!$F$5:$F$3004,"""")&lt;&gt;""""),ROWS(A$5:A1412)),"""")"),"")</f>
        <v/>
      </c>
      <c r="B14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Helper'!$F$5:$F$3004,"""")&lt;&gt;""""),ROWS(B$5:B1412)),"""")"),"")</f>
        <v/>
      </c>
      <c r="C14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Helper'!$F$5:$F$3004,"""")&lt;&gt;""""),ROWS(C$5:C1412)),"""")"),"")</f>
        <v/>
      </c>
      <c r="D14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Helper'!$F$5:$F$3004,"""")&lt;&gt;""""),ROWS(D$5:D1412)),"""")"),"")</f>
        <v/>
      </c>
      <c r="E14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Helper'!$F$5:$F$3004,"""")&lt;&gt;""""),ROWS(E$5:E1412)),"""")"),"")</f>
        <v/>
      </c>
      <c r="F14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Helper'!$F$5:$F$3004,"""")&lt;&gt;""""),ROWS(F$5:F1412)),IF(AND(LEFT(x,5)=""Pag"&amp;"e "",ISERROR(SEARCH(""–"",x))),x&amp;""–""&amp;REGEXEXTRACT(x,""[0-9]+$""),x)),"""")"),"")</f>
        <v/>
      </c>
      <c r="G1412" s="163"/>
      <c r="H14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Helper'!$F$5:$F$3004,"""")&lt;&gt;""""),ROWS(H$5:H1412)),"""")"),"")</f>
        <v/>
      </c>
    </row>
    <row r="1413" ht="15.75" customHeight="1">
      <c r="A14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Helper'!$F$5:$F$3004,"""")&lt;&gt;""""),ROWS(A$5:A1413)),"""")"),"")</f>
        <v/>
      </c>
      <c r="B14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Helper'!$F$5:$F$3004,"""")&lt;&gt;""""),ROWS(B$5:B1413)),"""")"),"")</f>
        <v/>
      </c>
      <c r="C14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Helper'!$F$5:$F$3004,"""")&lt;&gt;""""),ROWS(C$5:C1413)),"""")"),"")</f>
        <v/>
      </c>
      <c r="D14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Helper'!$F$5:$F$3004,"""")&lt;&gt;""""),ROWS(D$5:D1413)),"""")"),"")</f>
        <v/>
      </c>
      <c r="E14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Helper'!$F$5:$F$3004,"""")&lt;&gt;""""),ROWS(E$5:E1413)),"""")"),"")</f>
        <v/>
      </c>
      <c r="F14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Helper'!$F$5:$F$3004,"""")&lt;&gt;""""),ROWS(F$5:F1413)),IF(AND(LEFT(x,5)=""Pag"&amp;"e "",ISERROR(SEARCH(""–"",x))),x&amp;""–""&amp;REGEXEXTRACT(x,""[0-9]+$""),x)),"""")"),"")</f>
        <v/>
      </c>
      <c r="G1413" s="163"/>
      <c r="H14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Helper'!$F$5:$F$3004,"""")&lt;&gt;""""),ROWS(H$5:H1413)),"""")"),"")</f>
        <v/>
      </c>
    </row>
    <row r="1414" ht="15.75" customHeight="1">
      <c r="A14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Helper'!$F$5:$F$3004,"""")&lt;&gt;""""),ROWS(A$5:A1414)),"""")"),"")</f>
        <v/>
      </c>
      <c r="B14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Helper'!$F$5:$F$3004,"""")&lt;&gt;""""),ROWS(B$5:B1414)),"""")"),"")</f>
        <v/>
      </c>
      <c r="C14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Helper'!$F$5:$F$3004,"""")&lt;&gt;""""),ROWS(C$5:C1414)),"""")"),"")</f>
        <v/>
      </c>
      <c r="D14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Helper'!$F$5:$F$3004,"""")&lt;&gt;""""),ROWS(D$5:D1414)),"""")"),"")</f>
        <v/>
      </c>
      <c r="E14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Helper'!$F$5:$F$3004,"""")&lt;&gt;""""),ROWS(E$5:E1414)),"""")"),"")</f>
        <v/>
      </c>
      <c r="F14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Helper'!$F$5:$F$3004,"""")&lt;&gt;""""),ROWS(F$5:F1414)),IF(AND(LEFT(x,5)=""Pag"&amp;"e "",ISERROR(SEARCH(""–"",x))),x&amp;""–""&amp;REGEXEXTRACT(x,""[0-9]+$""),x)),"""")"),"")</f>
        <v/>
      </c>
      <c r="G1414" s="163"/>
      <c r="H14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Helper'!$F$5:$F$3004,"""")&lt;&gt;""""),ROWS(H$5:H1414)),"""")"),"")</f>
        <v/>
      </c>
    </row>
    <row r="1415" ht="15.75" customHeight="1">
      <c r="A14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Helper'!$F$5:$F$3004,"""")&lt;&gt;""""),ROWS(A$5:A1415)),"""")"),"")</f>
        <v/>
      </c>
      <c r="B14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Helper'!$F$5:$F$3004,"""")&lt;&gt;""""),ROWS(B$5:B1415)),"""")"),"")</f>
        <v/>
      </c>
      <c r="C14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Helper'!$F$5:$F$3004,"""")&lt;&gt;""""),ROWS(C$5:C1415)),"""")"),"")</f>
        <v/>
      </c>
      <c r="D14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Helper'!$F$5:$F$3004,"""")&lt;&gt;""""),ROWS(D$5:D1415)),"""")"),"")</f>
        <v/>
      </c>
      <c r="E14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Helper'!$F$5:$F$3004,"""")&lt;&gt;""""),ROWS(E$5:E1415)),"""")"),"")</f>
        <v/>
      </c>
      <c r="F14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Helper'!$F$5:$F$3004,"""")&lt;&gt;""""),ROWS(F$5:F1415)),IF(AND(LEFT(x,5)=""Pag"&amp;"e "",ISERROR(SEARCH(""–"",x))),x&amp;""–""&amp;REGEXEXTRACT(x,""[0-9]+$""),x)),"""")"),"")</f>
        <v/>
      </c>
      <c r="G1415" s="163"/>
      <c r="H14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Helper'!$F$5:$F$3004,"""")&lt;&gt;""""),ROWS(H$5:H1415)),"""")"),"")</f>
        <v/>
      </c>
    </row>
    <row r="1416" ht="15.75" customHeight="1">
      <c r="A14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Helper'!$F$5:$F$3004,"""")&lt;&gt;""""),ROWS(A$5:A1416)),"""")"),"")</f>
        <v/>
      </c>
      <c r="B14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Helper'!$F$5:$F$3004,"""")&lt;&gt;""""),ROWS(B$5:B1416)),"""")"),"")</f>
        <v/>
      </c>
      <c r="C14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Helper'!$F$5:$F$3004,"""")&lt;&gt;""""),ROWS(C$5:C1416)),"""")"),"")</f>
        <v/>
      </c>
      <c r="D14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Helper'!$F$5:$F$3004,"""")&lt;&gt;""""),ROWS(D$5:D1416)),"""")"),"")</f>
        <v/>
      </c>
      <c r="E14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Helper'!$F$5:$F$3004,"""")&lt;&gt;""""),ROWS(E$5:E1416)),"""")"),"")</f>
        <v/>
      </c>
      <c r="F14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Helper'!$F$5:$F$3004,"""")&lt;&gt;""""),ROWS(F$5:F1416)),IF(AND(LEFT(x,5)=""Pag"&amp;"e "",ISERROR(SEARCH(""–"",x))),x&amp;""–""&amp;REGEXEXTRACT(x,""[0-9]+$""),x)),"""")"),"")</f>
        <v/>
      </c>
      <c r="G1416" s="163"/>
      <c r="H14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Helper'!$F$5:$F$3004,"""")&lt;&gt;""""),ROWS(H$5:H1416)),"""")"),"")</f>
        <v/>
      </c>
    </row>
    <row r="1417" ht="15.75" customHeight="1">
      <c r="A14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Helper'!$F$5:$F$3004,"""")&lt;&gt;""""),ROWS(A$5:A1417)),"""")"),"")</f>
        <v/>
      </c>
      <c r="B14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Helper'!$F$5:$F$3004,"""")&lt;&gt;""""),ROWS(B$5:B1417)),"""")"),"")</f>
        <v/>
      </c>
      <c r="C14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Helper'!$F$5:$F$3004,"""")&lt;&gt;""""),ROWS(C$5:C1417)),"""")"),"")</f>
        <v/>
      </c>
      <c r="D14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Helper'!$F$5:$F$3004,"""")&lt;&gt;""""),ROWS(D$5:D1417)),"""")"),"")</f>
        <v/>
      </c>
      <c r="E14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Helper'!$F$5:$F$3004,"""")&lt;&gt;""""),ROWS(E$5:E1417)),"""")"),"")</f>
        <v/>
      </c>
      <c r="F14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Helper'!$F$5:$F$3004,"""")&lt;&gt;""""),ROWS(F$5:F1417)),IF(AND(LEFT(x,5)=""Pag"&amp;"e "",ISERROR(SEARCH(""–"",x))),x&amp;""–""&amp;REGEXEXTRACT(x,""[0-9]+$""),x)),"""")"),"")</f>
        <v/>
      </c>
      <c r="G1417" s="163"/>
      <c r="H14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Helper'!$F$5:$F$3004,"""")&lt;&gt;""""),ROWS(H$5:H1417)),"""")"),"")</f>
        <v/>
      </c>
    </row>
    <row r="1418" ht="15.75" customHeight="1">
      <c r="A14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Helper'!$F$5:$F$3004,"""")&lt;&gt;""""),ROWS(A$5:A1418)),"""")"),"")</f>
        <v/>
      </c>
      <c r="B14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Helper'!$F$5:$F$3004,"""")&lt;&gt;""""),ROWS(B$5:B1418)),"""")"),"")</f>
        <v/>
      </c>
      <c r="C14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Helper'!$F$5:$F$3004,"""")&lt;&gt;""""),ROWS(C$5:C1418)),"""")"),"")</f>
        <v/>
      </c>
      <c r="D14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Helper'!$F$5:$F$3004,"""")&lt;&gt;""""),ROWS(D$5:D1418)),"""")"),"")</f>
        <v/>
      </c>
      <c r="E14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Helper'!$F$5:$F$3004,"""")&lt;&gt;""""),ROWS(E$5:E1418)),"""")"),"")</f>
        <v/>
      </c>
      <c r="F14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Helper'!$F$5:$F$3004,"""")&lt;&gt;""""),ROWS(F$5:F1418)),IF(AND(LEFT(x,5)=""Pag"&amp;"e "",ISERROR(SEARCH(""–"",x))),x&amp;""–""&amp;REGEXEXTRACT(x,""[0-9]+$""),x)),"""")"),"")</f>
        <v/>
      </c>
      <c r="G1418" s="163"/>
      <c r="H14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Helper'!$F$5:$F$3004,"""")&lt;&gt;""""),ROWS(H$5:H1418)),"""")"),"")</f>
        <v/>
      </c>
    </row>
    <row r="1419" ht="15.75" customHeight="1">
      <c r="A14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Helper'!$F$5:$F$3004,"""")&lt;&gt;""""),ROWS(A$5:A1419)),"""")"),"")</f>
        <v/>
      </c>
      <c r="B14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Helper'!$F$5:$F$3004,"""")&lt;&gt;""""),ROWS(B$5:B1419)),"""")"),"")</f>
        <v/>
      </c>
      <c r="C14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Helper'!$F$5:$F$3004,"""")&lt;&gt;""""),ROWS(C$5:C1419)),"""")"),"")</f>
        <v/>
      </c>
      <c r="D14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Helper'!$F$5:$F$3004,"""")&lt;&gt;""""),ROWS(D$5:D1419)),"""")"),"")</f>
        <v/>
      </c>
      <c r="E14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Helper'!$F$5:$F$3004,"""")&lt;&gt;""""),ROWS(E$5:E1419)),"""")"),"")</f>
        <v/>
      </c>
      <c r="F14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Helper'!$F$5:$F$3004,"""")&lt;&gt;""""),ROWS(F$5:F1419)),IF(AND(LEFT(x,5)=""Pag"&amp;"e "",ISERROR(SEARCH(""–"",x))),x&amp;""–""&amp;REGEXEXTRACT(x,""[0-9]+$""),x)),"""")"),"")</f>
        <v/>
      </c>
      <c r="G1419" s="163"/>
      <c r="H14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Helper'!$F$5:$F$3004,"""")&lt;&gt;""""),ROWS(H$5:H1419)),"""")"),"")</f>
        <v/>
      </c>
    </row>
    <row r="1420" ht="15.75" customHeight="1">
      <c r="A14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Helper'!$F$5:$F$3004,"""")&lt;&gt;""""),ROWS(A$5:A1420)),"""")"),"")</f>
        <v/>
      </c>
      <c r="B14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Helper'!$F$5:$F$3004,"""")&lt;&gt;""""),ROWS(B$5:B1420)),"""")"),"")</f>
        <v/>
      </c>
      <c r="C14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Helper'!$F$5:$F$3004,"""")&lt;&gt;""""),ROWS(C$5:C1420)),"""")"),"")</f>
        <v/>
      </c>
      <c r="D14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Helper'!$F$5:$F$3004,"""")&lt;&gt;""""),ROWS(D$5:D1420)),"""")"),"")</f>
        <v/>
      </c>
      <c r="E14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Helper'!$F$5:$F$3004,"""")&lt;&gt;""""),ROWS(E$5:E1420)),"""")"),"")</f>
        <v/>
      </c>
      <c r="F14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Helper'!$F$5:$F$3004,"""")&lt;&gt;""""),ROWS(F$5:F1420)),IF(AND(LEFT(x,5)=""Pag"&amp;"e "",ISERROR(SEARCH(""–"",x))),x&amp;""–""&amp;REGEXEXTRACT(x,""[0-9]+$""),x)),"""")"),"")</f>
        <v/>
      </c>
      <c r="G1420" s="163"/>
      <c r="H14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Helper'!$F$5:$F$3004,"""")&lt;&gt;""""),ROWS(H$5:H1420)),"""")"),"")</f>
        <v/>
      </c>
    </row>
    <row r="1421" ht="15.75" customHeight="1">
      <c r="A14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Helper'!$F$5:$F$3004,"""")&lt;&gt;""""),ROWS(A$5:A1421)),"""")"),"")</f>
        <v/>
      </c>
      <c r="B14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Helper'!$F$5:$F$3004,"""")&lt;&gt;""""),ROWS(B$5:B1421)),"""")"),"")</f>
        <v/>
      </c>
      <c r="C14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Helper'!$F$5:$F$3004,"""")&lt;&gt;""""),ROWS(C$5:C1421)),"""")"),"")</f>
        <v/>
      </c>
      <c r="D14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Helper'!$F$5:$F$3004,"""")&lt;&gt;""""),ROWS(D$5:D1421)),"""")"),"")</f>
        <v/>
      </c>
      <c r="E14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Helper'!$F$5:$F$3004,"""")&lt;&gt;""""),ROWS(E$5:E1421)),"""")"),"")</f>
        <v/>
      </c>
      <c r="F14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Helper'!$F$5:$F$3004,"""")&lt;&gt;""""),ROWS(F$5:F1421)),IF(AND(LEFT(x,5)=""Pag"&amp;"e "",ISERROR(SEARCH(""–"",x))),x&amp;""–""&amp;REGEXEXTRACT(x,""[0-9]+$""),x)),"""")"),"")</f>
        <v/>
      </c>
      <c r="G1421" s="163"/>
      <c r="H14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Helper'!$F$5:$F$3004,"""")&lt;&gt;""""),ROWS(H$5:H1421)),"""")"),"")</f>
        <v/>
      </c>
    </row>
    <row r="1422" ht="15.75" customHeight="1">
      <c r="A14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Helper'!$F$5:$F$3004,"""")&lt;&gt;""""),ROWS(A$5:A1422)),"""")"),"")</f>
        <v/>
      </c>
      <c r="B14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Helper'!$F$5:$F$3004,"""")&lt;&gt;""""),ROWS(B$5:B1422)),"""")"),"")</f>
        <v/>
      </c>
      <c r="C14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Helper'!$F$5:$F$3004,"""")&lt;&gt;""""),ROWS(C$5:C1422)),"""")"),"")</f>
        <v/>
      </c>
      <c r="D14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Helper'!$F$5:$F$3004,"""")&lt;&gt;""""),ROWS(D$5:D1422)),"""")"),"")</f>
        <v/>
      </c>
      <c r="E14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Helper'!$F$5:$F$3004,"""")&lt;&gt;""""),ROWS(E$5:E1422)),"""")"),"")</f>
        <v/>
      </c>
      <c r="F14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Helper'!$F$5:$F$3004,"""")&lt;&gt;""""),ROWS(F$5:F1422)),IF(AND(LEFT(x,5)=""Pag"&amp;"e "",ISERROR(SEARCH(""–"",x))),x&amp;""–""&amp;REGEXEXTRACT(x,""[0-9]+$""),x)),"""")"),"")</f>
        <v/>
      </c>
      <c r="G1422" s="163"/>
      <c r="H14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Helper'!$F$5:$F$3004,"""")&lt;&gt;""""),ROWS(H$5:H1422)),"""")"),"")</f>
        <v/>
      </c>
    </row>
    <row r="1423" ht="15.75" customHeight="1">
      <c r="A14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Helper'!$F$5:$F$3004,"""")&lt;&gt;""""),ROWS(A$5:A1423)),"""")"),"")</f>
        <v/>
      </c>
      <c r="B14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Helper'!$F$5:$F$3004,"""")&lt;&gt;""""),ROWS(B$5:B1423)),"""")"),"")</f>
        <v/>
      </c>
      <c r="C14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Helper'!$F$5:$F$3004,"""")&lt;&gt;""""),ROWS(C$5:C1423)),"""")"),"")</f>
        <v/>
      </c>
      <c r="D14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Helper'!$F$5:$F$3004,"""")&lt;&gt;""""),ROWS(D$5:D1423)),"""")"),"")</f>
        <v/>
      </c>
      <c r="E14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Helper'!$F$5:$F$3004,"""")&lt;&gt;""""),ROWS(E$5:E1423)),"""")"),"")</f>
        <v/>
      </c>
      <c r="F14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Helper'!$F$5:$F$3004,"""")&lt;&gt;""""),ROWS(F$5:F1423)),IF(AND(LEFT(x,5)=""Pag"&amp;"e "",ISERROR(SEARCH(""–"",x))),x&amp;""–""&amp;REGEXEXTRACT(x,""[0-9]+$""),x)),"""")"),"")</f>
        <v/>
      </c>
      <c r="G1423" s="163"/>
      <c r="H14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Helper'!$F$5:$F$3004,"""")&lt;&gt;""""),ROWS(H$5:H1423)),"""")"),"")</f>
        <v/>
      </c>
    </row>
    <row r="1424" ht="15.75" customHeight="1">
      <c r="A14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Helper'!$F$5:$F$3004,"""")&lt;&gt;""""),ROWS(A$5:A1424)),"""")"),"")</f>
        <v/>
      </c>
      <c r="B14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Helper'!$F$5:$F$3004,"""")&lt;&gt;""""),ROWS(B$5:B1424)),"""")"),"")</f>
        <v/>
      </c>
      <c r="C14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Helper'!$F$5:$F$3004,"""")&lt;&gt;""""),ROWS(C$5:C1424)),"""")"),"")</f>
        <v/>
      </c>
      <c r="D14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Helper'!$F$5:$F$3004,"""")&lt;&gt;""""),ROWS(D$5:D1424)),"""")"),"")</f>
        <v/>
      </c>
      <c r="E14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Helper'!$F$5:$F$3004,"""")&lt;&gt;""""),ROWS(E$5:E1424)),"""")"),"")</f>
        <v/>
      </c>
      <c r="F14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Helper'!$F$5:$F$3004,"""")&lt;&gt;""""),ROWS(F$5:F1424)),IF(AND(LEFT(x,5)=""Pag"&amp;"e "",ISERROR(SEARCH(""–"",x))),x&amp;""–""&amp;REGEXEXTRACT(x,""[0-9]+$""),x)),"""")"),"")</f>
        <v/>
      </c>
      <c r="G1424" s="163"/>
      <c r="H14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Helper'!$F$5:$F$3004,"""")&lt;&gt;""""),ROWS(H$5:H1424)),"""")"),"")</f>
        <v/>
      </c>
    </row>
    <row r="1425" ht="15.75" customHeight="1">
      <c r="A14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Helper'!$F$5:$F$3004,"""")&lt;&gt;""""),ROWS(A$5:A1425)),"""")"),"")</f>
        <v/>
      </c>
      <c r="B14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Helper'!$F$5:$F$3004,"""")&lt;&gt;""""),ROWS(B$5:B1425)),"""")"),"")</f>
        <v/>
      </c>
      <c r="C14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Helper'!$F$5:$F$3004,"""")&lt;&gt;""""),ROWS(C$5:C1425)),"""")"),"")</f>
        <v/>
      </c>
      <c r="D14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Helper'!$F$5:$F$3004,"""")&lt;&gt;""""),ROWS(D$5:D1425)),"""")"),"")</f>
        <v/>
      </c>
      <c r="E14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Helper'!$F$5:$F$3004,"""")&lt;&gt;""""),ROWS(E$5:E1425)),"""")"),"")</f>
        <v/>
      </c>
      <c r="F14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Helper'!$F$5:$F$3004,"""")&lt;&gt;""""),ROWS(F$5:F1425)),IF(AND(LEFT(x,5)=""Pag"&amp;"e "",ISERROR(SEARCH(""–"",x))),x&amp;""–""&amp;REGEXEXTRACT(x,""[0-9]+$""),x)),"""")"),"")</f>
        <v/>
      </c>
      <c r="G1425" s="163"/>
      <c r="H14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Helper'!$F$5:$F$3004,"""")&lt;&gt;""""),ROWS(H$5:H1425)),"""")"),"")</f>
        <v/>
      </c>
    </row>
    <row r="1426" ht="15.75" customHeight="1">
      <c r="A14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Helper'!$F$5:$F$3004,"""")&lt;&gt;""""),ROWS(A$5:A1426)),"""")"),"")</f>
        <v/>
      </c>
      <c r="B14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Helper'!$F$5:$F$3004,"""")&lt;&gt;""""),ROWS(B$5:B1426)),"""")"),"")</f>
        <v/>
      </c>
      <c r="C14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Helper'!$F$5:$F$3004,"""")&lt;&gt;""""),ROWS(C$5:C1426)),"""")"),"")</f>
        <v/>
      </c>
      <c r="D14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Helper'!$F$5:$F$3004,"""")&lt;&gt;""""),ROWS(D$5:D1426)),"""")"),"")</f>
        <v/>
      </c>
      <c r="E14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Helper'!$F$5:$F$3004,"""")&lt;&gt;""""),ROWS(E$5:E1426)),"""")"),"")</f>
        <v/>
      </c>
      <c r="F14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Helper'!$F$5:$F$3004,"""")&lt;&gt;""""),ROWS(F$5:F1426)),IF(AND(LEFT(x,5)=""Pag"&amp;"e "",ISERROR(SEARCH(""–"",x))),x&amp;""–""&amp;REGEXEXTRACT(x,""[0-9]+$""),x)),"""")"),"")</f>
        <v/>
      </c>
      <c r="G1426" s="163"/>
      <c r="H14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Helper'!$F$5:$F$3004,"""")&lt;&gt;""""),ROWS(H$5:H1426)),"""")"),"")</f>
        <v/>
      </c>
    </row>
    <row r="1427" ht="15.75" customHeight="1">
      <c r="A14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Helper'!$F$5:$F$3004,"""")&lt;&gt;""""),ROWS(A$5:A1427)),"""")"),"")</f>
        <v/>
      </c>
      <c r="B14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Helper'!$F$5:$F$3004,"""")&lt;&gt;""""),ROWS(B$5:B1427)),"""")"),"")</f>
        <v/>
      </c>
      <c r="C14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Helper'!$F$5:$F$3004,"""")&lt;&gt;""""),ROWS(C$5:C1427)),"""")"),"")</f>
        <v/>
      </c>
      <c r="D14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Helper'!$F$5:$F$3004,"""")&lt;&gt;""""),ROWS(D$5:D1427)),"""")"),"")</f>
        <v/>
      </c>
      <c r="E14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Helper'!$F$5:$F$3004,"""")&lt;&gt;""""),ROWS(E$5:E1427)),"""")"),"")</f>
        <v/>
      </c>
      <c r="F14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Helper'!$F$5:$F$3004,"""")&lt;&gt;""""),ROWS(F$5:F1427)),IF(AND(LEFT(x,5)=""Pag"&amp;"e "",ISERROR(SEARCH(""–"",x))),x&amp;""–""&amp;REGEXEXTRACT(x,""[0-9]+$""),x)),"""")"),"")</f>
        <v/>
      </c>
      <c r="G1427" s="163"/>
      <c r="H14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Helper'!$F$5:$F$3004,"""")&lt;&gt;""""),ROWS(H$5:H1427)),"""")"),"")</f>
        <v/>
      </c>
    </row>
    <row r="1428" ht="15.75" customHeight="1">
      <c r="A14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Helper'!$F$5:$F$3004,"""")&lt;&gt;""""),ROWS(A$5:A1428)),"""")"),"")</f>
        <v/>
      </c>
      <c r="B14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Helper'!$F$5:$F$3004,"""")&lt;&gt;""""),ROWS(B$5:B1428)),"""")"),"")</f>
        <v/>
      </c>
      <c r="C14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Helper'!$F$5:$F$3004,"""")&lt;&gt;""""),ROWS(C$5:C1428)),"""")"),"")</f>
        <v/>
      </c>
      <c r="D14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Helper'!$F$5:$F$3004,"""")&lt;&gt;""""),ROWS(D$5:D1428)),"""")"),"")</f>
        <v/>
      </c>
      <c r="E14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Helper'!$F$5:$F$3004,"""")&lt;&gt;""""),ROWS(E$5:E1428)),"""")"),"")</f>
        <v/>
      </c>
      <c r="F14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Helper'!$F$5:$F$3004,"""")&lt;&gt;""""),ROWS(F$5:F1428)),IF(AND(LEFT(x,5)=""Pag"&amp;"e "",ISERROR(SEARCH(""–"",x))),x&amp;""–""&amp;REGEXEXTRACT(x,""[0-9]+$""),x)),"""")"),"")</f>
        <v/>
      </c>
      <c r="G1428" s="163"/>
      <c r="H14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Helper'!$F$5:$F$3004,"""")&lt;&gt;""""),ROWS(H$5:H1428)),"""")"),"")</f>
        <v/>
      </c>
    </row>
    <row r="1429" ht="15.75" customHeight="1">
      <c r="A14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Helper'!$F$5:$F$3004,"""")&lt;&gt;""""),ROWS(A$5:A1429)),"""")"),"")</f>
        <v/>
      </c>
      <c r="B14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Helper'!$F$5:$F$3004,"""")&lt;&gt;""""),ROWS(B$5:B1429)),"""")"),"")</f>
        <v/>
      </c>
      <c r="C14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Helper'!$F$5:$F$3004,"""")&lt;&gt;""""),ROWS(C$5:C1429)),"""")"),"")</f>
        <v/>
      </c>
      <c r="D14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Helper'!$F$5:$F$3004,"""")&lt;&gt;""""),ROWS(D$5:D1429)),"""")"),"")</f>
        <v/>
      </c>
      <c r="E14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Helper'!$F$5:$F$3004,"""")&lt;&gt;""""),ROWS(E$5:E1429)),"""")"),"")</f>
        <v/>
      </c>
      <c r="F14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Helper'!$F$5:$F$3004,"""")&lt;&gt;""""),ROWS(F$5:F1429)),IF(AND(LEFT(x,5)=""Pag"&amp;"e "",ISERROR(SEARCH(""–"",x))),x&amp;""–""&amp;REGEXEXTRACT(x,""[0-9]+$""),x)),"""")"),"")</f>
        <v/>
      </c>
      <c r="G1429" s="163"/>
      <c r="H14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Helper'!$F$5:$F$3004,"""")&lt;&gt;""""),ROWS(H$5:H1429)),"""")"),"")</f>
        <v/>
      </c>
    </row>
    <row r="1430" ht="15.75" customHeight="1">
      <c r="A14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Helper'!$F$5:$F$3004,"""")&lt;&gt;""""),ROWS(A$5:A1430)),"""")"),"")</f>
        <v/>
      </c>
      <c r="B14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Helper'!$F$5:$F$3004,"""")&lt;&gt;""""),ROWS(B$5:B1430)),"""")"),"")</f>
        <v/>
      </c>
      <c r="C14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Helper'!$F$5:$F$3004,"""")&lt;&gt;""""),ROWS(C$5:C1430)),"""")"),"")</f>
        <v/>
      </c>
      <c r="D14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Helper'!$F$5:$F$3004,"""")&lt;&gt;""""),ROWS(D$5:D1430)),"""")"),"")</f>
        <v/>
      </c>
      <c r="E14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Helper'!$F$5:$F$3004,"""")&lt;&gt;""""),ROWS(E$5:E1430)),"""")"),"")</f>
        <v/>
      </c>
      <c r="F14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Helper'!$F$5:$F$3004,"""")&lt;&gt;""""),ROWS(F$5:F1430)),IF(AND(LEFT(x,5)=""Pag"&amp;"e "",ISERROR(SEARCH(""–"",x))),x&amp;""–""&amp;REGEXEXTRACT(x,""[0-9]+$""),x)),"""")"),"")</f>
        <v/>
      </c>
      <c r="G1430" s="163"/>
      <c r="H14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Helper'!$F$5:$F$3004,"""")&lt;&gt;""""),ROWS(H$5:H1430)),"""")"),"")</f>
        <v/>
      </c>
    </row>
    <row r="1431" ht="15.75" customHeight="1">
      <c r="A14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Helper'!$F$5:$F$3004,"""")&lt;&gt;""""),ROWS(A$5:A1431)),"""")"),"")</f>
        <v/>
      </c>
      <c r="B14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Helper'!$F$5:$F$3004,"""")&lt;&gt;""""),ROWS(B$5:B1431)),"""")"),"")</f>
        <v/>
      </c>
      <c r="C14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Helper'!$F$5:$F$3004,"""")&lt;&gt;""""),ROWS(C$5:C1431)),"""")"),"")</f>
        <v/>
      </c>
      <c r="D14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Helper'!$F$5:$F$3004,"""")&lt;&gt;""""),ROWS(D$5:D1431)),"""")"),"")</f>
        <v/>
      </c>
      <c r="E14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Helper'!$F$5:$F$3004,"""")&lt;&gt;""""),ROWS(E$5:E1431)),"""")"),"")</f>
        <v/>
      </c>
      <c r="F14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Helper'!$F$5:$F$3004,"""")&lt;&gt;""""),ROWS(F$5:F1431)),IF(AND(LEFT(x,5)=""Pag"&amp;"e "",ISERROR(SEARCH(""–"",x))),x&amp;""–""&amp;REGEXEXTRACT(x,""[0-9]+$""),x)),"""")"),"")</f>
        <v/>
      </c>
      <c r="G1431" s="163"/>
      <c r="H14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Helper'!$F$5:$F$3004,"""")&lt;&gt;""""),ROWS(H$5:H1431)),"""")"),"")</f>
        <v/>
      </c>
    </row>
    <row r="1432" ht="15.75" customHeight="1">
      <c r="A14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Helper'!$F$5:$F$3004,"""")&lt;&gt;""""),ROWS(A$5:A1432)),"""")"),"")</f>
        <v/>
      </c>
      <c r="B14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Helper'!$F$5:$F$3004,"""")&lt;&gt;""""),ROWS(B$5:B1432)),"""")"),"")</f>
        <v/>
      </c>
      <c r="C14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Helper'!$F$5:$F$3004,"""")&lt;&gt;""""),ROWS(C$5:C1432)),"""")"),"")</f>
        <v/>
      </c>
      <c r="D14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Helper'!$F$5:$F$3004,"""")&lt;&gt;""""),ROWS(D$5:D1432)),"""")"),"")</f>
        <v/>
      </c>
      <c r="E14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Helper'!$F$5:$F$3004,"""")&lt;&gt;""""),ROWS(E$5:E1432)),"""")"),"")</f>
        <v/>
      </c>
      <c r="F14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Helper'!$F$5:$F$3004,"""")&lt;&gt;""""),ROWS(F$5:F1432)),IF(AND(LEFT(x,5)=""Pag"&amp;"e "",ISERROR(SEARCH(""–"",x))),x&amp;""–""&amp;REGEXEXTRACT(x,""[0-9]+$""),x)),"""")"),"")</f>
        <v/>
      </c>
      <c r="G1432" s="163"/>
      <c r="H14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Helper'!$F$5:$F$3004,"""")&lt;&gt;""""),ROWS(H$5:H1432)),"""")"),"")</f>
        <v/>
      </c>
    </row>
    <row r="1433" ht="15.75" customHeight="1">
      <c r="A14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Helper'!$F$5:$F$3004,"""")&lt;&gt;""""),ROWS(A$5:A1433)),"""")"),"")</f>
        <v/>
      </c>
      <c r="B14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Helper'!$F$5:$F$3004,"""")&lt;&gt;""""),ROWS(B$5:B1433)),"""")"),"")</f>
        <v/>
      </c>
      <c r="C14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Helper'!$F$5:$F$3004,"""")&lt;&gt;""""),ROWS(C$5:C1433)),"""")"),"")</f>
        <v/>
      </c>
      <c r="D14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Helper'!$F$5:$F$3004,"""")&lt;&gt;""""),ROWS(D$5:D1433)),"""")"),"")</f>
        <v/>
      </c>
      <c r="E14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Helper'!$F$5:$F$3004,"""")&lt;&gt;""""),ROWS(E$5:E1433)),"""")"),"")</f>
        <v/>
      </c>
      <c r="F14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Helper'!$F$5:$F$3004,"""")&lt;&gt;""""),ROWS(F$5:F1433)),IF(AND(LEFT(x,5)=""Pag"&amp;"e "",ISERROR(SEARCH(""–"",x))),x&amp;""–""&amp;REGEXEXTRACT(x,""[0-9]+$""),x)),"""")"),"")</f>
        <v/>
      </c>
      <c r="G1433" s="163"/>
      <c r="H14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Helper'!$F$5:$F$3004,"""")&lt;&gt;""""),ROWS(H$5:H1433)),"""")"),"")</f>
        <v/>
      </c>
    </row>
    <row r="1434" ht="15.75" customHeight="1">
      <c r="A14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Helper'!$F$5:$F$3004,"""")&lt;&gt;""""),ROWS(A$5:A1434)),"""")"),"")</f>
        <v/>
      </c>
      <c r="B14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Helper'!$F$5:$F$3004,"""")&lt;&gt;""""),ROWS(B$5:B1434)),"""")"),"")</f>
        <v/>
      </c>
      <c r="C14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Helper'!$F$5:$F$3004,"""")&lt;&gt;""""),ROWS(C$5:C1434)),"""")"),"")</f>
        <v/>
      </c>
      <c r="D14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Helper'!$F$5:$F$3004,"""")&lt;&gt;""""),ROWS(D$5:D1434)),"""")"),"")</f>
        <v/>
      </c>
      <c r="E14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Helper'!$F$5:$F$3004,"""")&lt;&gt;""""),ROWS(E$5:E1434)),"""")"),"")</f>
        <v/>
      </c>
      <c r="F14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Helper'!$F$5:$F$3004,"""")&lt;&gt;""""),ROWS(F$5:F1434)),IF(AND(LEFT(x,5)=""Pag"&amp;"e "",ISERROR(SEARCH(""–"",x))),x&amp;""–""&amp;REGEXEXTRACT(x,""[0-9]+$""),x)),"""")"),"")</f>
        <v/>
      </c>
      <c r="G1434" s="163"/>
      <c r="H14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Helper'!$F$5:$F$3004,"""")&lt;&gt;""""),ROWS(H$5:H1434)),"""")"),"")</f>
        <v/>
      </c>
    </row>
    <row r="1435" ht="15.75" customHeight="1">
      <c r="A14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Helper'!$F$5:$F$3004,"""")&lt;&gt;""""),ROWS(A$5:A1435)),"""")"),"")</f>
        <v/>
      </c>
      <c r="B14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Helper'!$F$5:$F$3004,"""")&lt;&gt;""""),ROWS(B$5:B1435)),"""")"),"")</f>
        <v/>
      </c>
      <c r="C14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Helper'!$F$5:$F$3004,"""")&lt;&gt;""""),ROWS(C$5:C1435)),"""")"),"")</f>
        <v/>
      </c>
      <c r="D14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Helper'!$F$5:$F$3004,"""")&lt;&gt;""""),ROWS(D$5:D1435)),"""")"),"")</f>
        <v/>
      </c>
      <c r="E14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Helper'!$F$5:$F$3004,"""")&lt;&gt;""""),ROWS(E$5:E1435)),"""")"),"")</f>
        <v/>
      </c>
      <c r="F14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Helper'!$F$5:$F$3004,"""")&lt;&gt;""""),ROWS(F$5:F1435)),IF(AND(LEFT(x,5)=""Pag"&amp;"e "",ISERROR(SEARCH(""–"",x))),x&amp;""–""&amp;REGEXEXTRACT(x,""[0-9]+$""),x)),"""")"),"")</f>
        <v/>
      </c>
      <c r="G1435" s="163"/>
      <c r="H14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Helper'!$F$5:$F$3004,"""")&lt;&gt;""""),ROWS(H$5:H1435)),"""")"),"")</f>
        <v/>
      </c>
    </row>
    <row r="1436" ht="15.75" customHeight="1">
      <c r="A14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Helper'!$F$5:$F$3004,"""")&lt;&gt;""""),ROWS(A$5:A1436)),"""")"),"")</f>
        <v/>
      </c>
      <c r="B14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Helper'!$F$5:$F$3004,"""")&lt;&gt;""""),ROWS(B$5:B1436)),"""")"),"")</f>
        <v/>
      </c>
      <c r="C14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Helper'!$F$5:$F$3004,"""")&lt;&gt;""""),ROWS(C$5:C1436)),"""")"),"")</f>
        <v/>
      </c>
      <c r="D14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Helper'!$F$5:$F$3004,"""")&lt;&gt;""""),ROWS(D$5:D1436)),"""")"),"")</f>
        <v/>
      </c>
      <c r="E14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Helper'!$F$5:$F$3004,"""")&lt;&gt;""""),ROWS(E$5:E1436)),"""")"),"")</f>
        <v/>
      </c>
      <c r="F14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Helper'!$F$5:$F$3004,"""")&lt;&gt;""""),ROWS(F$5:F1436)),IF(AND(LEFT(x,5)=""Pag"&amp;"e "",ISERROR(SEARCH(""–"",x))),x&amp;""–""&amp;REGEXEXTRACT(x,""[0-9]+$""),x)),"""")"),"")</f>
        <v/>
      </c>
      <c r="G1436" s="163"/>
      <c r="H14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Helper'!$F$5:$F$3004,"""")&lt;&gt;""""),ROWS(H$5:H1436)),"""")"),"")</f>
        <v/>
      </c>
    </row>
    <row r="1437" ht="15.75" customHeight="1">
      <c r="A14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Helper'!$F$5:$F$3004,"""")&lt;&gt;""""),ROWS(A$5:A1437)),"""")"),"")</f>
        <v/>
      </c>
      <c r="B14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Helper'!$F$5:$F$3004,"""")&lt;&gt;""""),ROWS(B$5:B1437)),"""")"),"")</f>
        <v/>
      </c>
      <c r="C14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Helper'!$F$5:$F$3004,"""")&lt;&gt;""""),ROWS(C$5:C1437)),"""")"),"")</f>
        <v/>
      </c>
      <c r="D14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Helper'!$F$5:$F$3004,"""")&lt;&gt;""""),ROWS(D$5:D1437)),"""")"),"")</f>
        <v/>
      </c>
      <c r="E14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Helper'!$F$5:$F$3004,"""")&lt;&gt;""""),ROWS(E$5:E1437)),"""")"),"")</f>
        <v/>
      </c>
      <c r="F14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Helper'!$F$5:$F$3004,"""")&lt;&gt;""""),ROWS(F$5:F1437)),IF(AND(LEFT(x,5)=""Pag"&amp;"e "",ISERROR(SEARCH(""–"",x))),x&amp;""–""&amp;REGEXEXTRACT(x,""[0-9]+$""),x)),"""")"),"")</f>
        <v/>
      </c>
      <c r="G1437" s="163"/>
      <c r="H14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Helper'!$F$5:$F$3004,"""")&lt;&gt;""""),ROWS(H$5:H1437)),"""")"),"")</f>
        <v/>
      </c>
    </row>
    <row r="1438" ht="15.75" customHeight="1">
      <c r="A14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Helper'!$F$5:$F$3004,"""")&lt;&gt;""""),ROWS(A$5:A1438)),"""")"),"")</f>
        <v/>
      </c>
      <c r="B14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Helper'!$F$5:$F$3004,"""")&lt;&gt;""""),ROWS(B$5:B1438)),"""")"),"")</f>
        <v/>
      </c>
      <c r="C14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Helper'!$F$5:$F$3004,"""")&lt;&gt;""""),ROWS(C$5:C1438)),"""")"),"")</f>
        <v/>
      </c>
      <c r="D14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Helper'!$F$5:$F$3004,"""")&lt;&gt;""""),ROWS(D$5:D1438)),"""")"),"")</f>
        <v/>
      </c>
      <c r="E14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Helper'!$F$5:$F$3004,"""")&lt;&gt;""""),ROWS(E$5:E1438)),"""")"),"")</f>
        <v/>
      </c>
      <c r="F14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Helper'!$F$5:$F$3004,"""")&lt;&gt;""""),ROWS(F$5:F1438)),IF(AND(LEFT(x,5)=""Pag"&amp;"e "",ISERROR(SEARCH(""–"",x))),x&amp;""–""&amp;REGEXEXTRACT(x,""[0-9]+$""),x)),"""")"),"")</f>
        <v/>
      </c>
      <c r="G1438" s="163"/>
      <c r="H14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Helper'!$F$5:$F$3004,"""")&lt;&gt;""""),ROWS(H$5:H1438)),"""")"),"")</f>
        <v/>
      </c>
    </row>
    <row r="1439" ht="15.75" customHeight="1">
      <c r="A14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Helper'!$F$5:$F$3004,"""")&lt;&gt;""""),ROWS(A$5:A1439)),"""")"),"")</f>
        <v/>
      </c>
      <c r="B14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Helper'!$F$5:$F$3004,"""")&lt;&gt;""""),ROWS(B$5:B1439)),"""")"),"")</f>
        <v/>
      </c>
      <c r="C14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Helper'!$F$5:$F$3004,"""")&lt;&gt;""""),ROWS(C$5:C1439)),"""")"),"")</f>
        <v/>
      </c>
      <c r="D14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Helper'!$F$5:$F$3004,"""")&lt;&gt;""""),ROWS(D$5:D1439)),"""")"),"")</f>
        <v/>
      </c>
      <c r="E14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Helper'!$F$5:$F$3004,"""")&lt;&gt;""""),ROWS(E$5:E1439)),"""")"),"")</f>
        <v/>
      </c>
      <c r="F14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Helper'!$F$5:$F$3004,"""")&lt;&gt;""""),ROWS(F$5:F1439)),IF(AND(LEFT(x,5)=""Pag"&amp;"e "",ISERROR(SEARCH(""–"",x))),x&amp;""–""&amp;REGEXEXTRACT(x,""[0-9]+$""),x)),"""")"),"")</f>
        <v/>
      </c>
      <c r="G1439" s="163"/>
      <c r="H14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Helper'!$F$5:$F$3004,"""")&lt;&gt;""""),ROWS(H$5:H1439)),"""")"),"")</f>
        <v/>
      </c>
    </row>
    <row r="1440" ht="15.75" customHeight="1">
      <c r="A14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Helper'!$F$5:$F$3004,"""")&lt;&gt;""""),ROWS(A$5:A1440)),"""")"),"")</f>
        <v/>
      </c>
      <c r="B14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Helper'!$F$5:$F$3004,"""")&lt;&gt;""""),ROWS(B$5:B1440)),"""")"),"")</f>
        <v/>
      </c>
      <c r="C14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Helper'!$F$5:$F$3004,"""")&lt;&gt;""""),ROWS(C$5:C1440)),"""")"),"")</f>
        <v/>
      </c>
      <c r="D14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Helper'!$F$5:$F$3004,"""")&lt;&gt;""""),ROWS(D$5:D1440)),"""")"),"")</f>
        <v/>
      </c>
      <c r="E14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Helper'!$F$5:$F$3004,"""")&lt;&gt;""""),ROWS(E$5:E1440)),"""")"),"")</f>
        <v/>
      </c>
      <c r="F14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Helper'!$F$5:$F$3004,"""")&lt;&gt;""""),ROWS(F$5:F1440)),IF(AND(LEFT(x,5)=""Pag"&amp;"e "",ISERROR(SEARCH(""–"",x))),x&amp;""–""&amp;REGEXEXTRACT(x,""[0-9]+$""),x)),"""")"),"")</f>
        <v/>
      </c>
      <c r="G1440" s="163"/>
      <c r="H14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Helper'!$F$5:$F$3004,"""")&lt;&gt;""""),ROWS(H$5:H1440)),"""")"),"")</f>
        <v/>
      </c>
    </row>
    <row r="1441" ht="15.75" customHeight="1">
      <c r="A14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Helper'!$F$5:$F$3004,"""")&lt;&gt;""""),ROWS(A$5:A1441)),"""")"),"")</f>
        <v/>
      </c>
      <c r="B14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Helper'!$F$5:$F$3004,"""")&lt;&gt;""""),ROWS(B$5:B1441)),"""")"),"")</f>
        <v/>
      </c>
      <c r="C14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Helper'!$F$5:$F$3004,"""")&lt;&gt;""""),ROWS(C$5:C1441)),"""")"),"")</f>
        <v/>
      </c>
      <c r="D14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Helper'!$F$5:$F$3004,"""")&lt;&gt;""""),ROWS(D$5:D1441)),"""")"),"")</f>
        <v/>
      </c>
      <c r="E14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Helper'!$F$5:$F$3004,"""")&lt;&gt;""""),ROWS(E$5:E1441)),"""")"),"")</f>
        <v/>
      </c>
      <c r="F14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Helper'!$F$5:$F$3004,"""")&lt;&gt;""""),ROWS(F$5:F1441)),IF(AND(LEFT(x,5)=""Pag"&amp;"e "",ISERROR(SEARCH(""–"",x))),x&amp;""–""&amp;REGEXEXTRACT(x,""[0-9]+$""),x)),"""")"),"")</f>
        <v/>
      </c>
      <c r="G1441" s="163"/>
      <c r="H14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Helper'!$F$5:$F$3004,"""")&lt;&gt;""""),ROWS(H$5:H1441)),"""")"),"")</f>
        <v/>
      </c>
    </row>
    <row r="1442" ht="15.75" customHeight="1">
      <c r="A14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Helper'!$F$5:$F$3004,"""")&lt;&gt;""""),ROWS(A$5:A1442)),"""")"),"")</f>
        <v/>
      </c>
      <c r="B14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Helper'!$F$5:$F$3004,"""")&lt;&gt;""""),ROWS(B$5:B1442)),"""")"),"")</f>
        <v/>
      </c>
      <c r="C14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Helper'!$F$5:$F$3004,"""")&lt;&gt;""""),ROWS(C$5:C1442)),"""")"),"")</f>
        <v/>
      </c>
      <c r="D14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Helper'!$F$5:$F$3004,"""")&lt;&gt;""""),ROWS(D$5:D1442)),"""")"),"")</f>
        <v/>
      </c>
      <c r="E14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Helper'!$F$5:$F$3004,"""")&lt;&gt;""""),ROWS(E$5:E1442)),"""")"),"")</f>
        <v/>
      </c>
      <c r="F14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Helper'!$F$5:$F$3004,"""")&lt;&gt;""""),ROWS(F$5:F1442)),IF(AND(LEFT(x,5)=""Pag"&amp;"e "",ISERROR(SEARCH(""–"",x))),x&amp;""–""&amp;REGEXEXTRACT(x,""[0-9]+$""),x)),"""")"),"")</f>
        <v/>
      </c>
      <c r="G1442" s="163"/>
      <c r="H14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Helper'!$F$5:$F$3004,"""")&lt;&gt;""""),ROWS(H$5:H1442)),"""")"),"")</f>
        <v/>
      </c>
    </row>
    <row r="1443" ht="15.75" customHeight="1">
      <c r="A14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Helper'!$F$5:$F$3004,"""")&lt;&gt;""""),ROWS(A$5:A1443)),"""")"),"")</f>
        <v/>
      </c>
      <c r="B14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Helper'!$F$5:$F$3004,"""")&lt;&gt;""""),ROWS(B$5:B1443)),"""")"),"")</f>
        <v/>
      </c>
      <c r="C14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Helper'!$F$5:$F$3004,"""")&lt;&gt;""""),ROWS(C$5:C1443)),"""")"),"")</f>
        <v/>
      </c>
      <c r="D14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Helper'!$F$5:$F$3004,"""")&lt;&gt;""""),ROWS(D$5:D1443)),"""")"),"")</f>
        <v/>
      </c>
      <c r="E14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Helper'!$F$5:$F$3004,"""")&lt;&gt;""""),ROWS(E$5:E1443)),"""")"),"")</f>
        <v/>
      </c>
      <c r="F14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Helper'!$F$5:$F$3004,"""")&lt;&gt;""""),ROWS(F$5:F1443)),IF(AND(LEFT(x,5)=""Pag"&amp;"e "",ISERROR(SEARCH(""–"",x))),x&amp;""–""&amp;REGEXEXTRACT(x,""[0-9]+$""),x)),"""")"),"")</f>
        <v/>
      </c>
      <c r="G1443" s="163"/>
      <c r="H14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Helper'!$F$5:$F$3004,"""")&lt;&gt;""""),ROWS(H$5:H1443)),"""")"),"")</f>
        <v/>
      </c>
    </row>
    <row r="1444" ht="15.75" customHeight="1">
      <c r="A14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Helper'!$F$5:$F$3004,"""")&lt;&gt;""""),ROWS(A$5:A1444)),"""")"),"")</f>
        <v/>
      </c>
      <c r="B14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Helper'!$F$5:$F$3004,"""")&lt;&gt;""""),ROWS(B$5:B1444)),"""")"),"")</f>
        <v/>
      </c>
      <c r="C14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Helper'!$F$5:$F$3004,"""")&lt;&gt;""""),ROWS(C$5:C1444)),"""")"),"")</f>
        <v/>
      </c>
      <c r="D14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Helper'!$F$5:$F$3004,"""")&lt;&gt;""""),ROWS(D$5:D1444)),"""")"),"")</f>
        <v/>
      </c>
      <c r="E14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Helper'!$F$5:$F$3004,"""")&lt;&gt;""""),ROWS(E$5:E1444)),"""")"),"")</f>
        <v/>
      </c>
      <c r="F14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Helper'!$F$5:$F$3004,"""")&lt;&gt;""""),ROWS(F$5:F1444)),IF(AND(LEFT(x,5)=""Pag"&amp;"e "",ISERROR(SEARCH(""–"",x))),x&amp;""–""&amp;REGEXEXTRACT(x,""[0-9]+$""),x)),"""")"),"")</f>
        <v/>
      </c>
      <c r="G1444" s="163"/>
      <c r="H14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Helper'!$F$5:$F$3004,"""")&lt;&gt;""""),ROWS(H$5:H1444)),"""")"),"")</f>
        <v/>
      </c>
    </row>
    <row r="1445" ht="15.75" customHeight="1">
      <c r="A14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Helper'!$F$5:$F$3004,"""")&lt;&gt;""""),ROWS(A$5:A1445)),"""")"),"")</f>
        <v/>
      </c>
      <c r="B14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Helper'!$F$5:$F$3004,"""")&lt;&gt;""""),ROWS(B$5:B1445)),"""")"),"")</f>
        <v/>
      </c>
      <c r="C14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Helper'!$F$5:$F$3004,"""")&lt;&gt;""""),ROWS(C$5:C1445)),"""")"),"")</f>
        <v/>
      </c>
      <c r="D14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Helper'!$F$5:$F$3004,"""")&lt;&gt;""""),ROWS(D$5:D1445)),"""")"),"")</f>
        <v/>
      </c>
      <c r="E14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Helper'!$F$5:$F$3004,"""")&lt;&gt;""""),ROWS(E$5:E1445)),"""")"),"")</f>
        <v/>
      </c>
      <c r="F14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Helper'!$F$5:$F$3004,"""")&lt;&gt;""""),ROWS(F$5:F1445)),IF(AND(LEFT(x,5)=""Pag"&amp;"e "",ISERROR(SEARCH(""–"",x))),x&amp;""–""&amp;REGEXEXTRACT(x,""[0-9]+$""),x)),"""")"),"")</f>
        <v/>
      </c>
      <c r="G1445" s="163"/>
      <c r="H14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Helper'!$F$5:$F$3004,"""")&lt;&gt;""""),ROWS(H$5:H1445)),"""")"),"")</f>
        <v/>
      </c>
    </row>
    <row r="1446" ht="15.75" customHeight="1">
      <c r="A14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Helper'!$F$5:$F$3004,"""")&lt;&gt;""""),ROWS(A$5:A1446)),"""")"),"")</f>
        <v/>
      </c>
      <c r="B14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Helper'!$F$5:$F$3004,"""")&lt;&gt;""""),ROWS(B$5:B1446)),"""")"),"")</f>
        <v/>
      </c>
      <c r="C14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Helper'!$F$5:$F$3004,"""")&lt;&gt;""""),ROWS(C$5:C1446)),"""")"),"")</f>
        <v/>
      </c>
      <c r="D14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Helper'!$F$5:$F$3004,"""")&lt;&gt;""""),ROWS(D$5:D1446)),"""")"),"")</f>
        <v/>
      </c>
      <c r="E14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Helper'!$F$5:$F$3004,"""")&lt;&gt;""""),ROWS(E$5:E1446)),"""")"),"")</f>
        <v/>
      </c>
      <c r="F14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Helper'!$F$5:$F$3004,"""")&lt;&gt;""""),ROWS(F$5:F1446)),IF(AND(LEFT(x,5)=""Pag"&amp;"e "",ISERROR(SEARCH(""–"",x))),x&amp;""–""&amp;REGEXEXTRACT(x,""[0-9]+$""),x)),"""")"),"")</f>
        <v/>
      </c>
      <c r="G1446" s="163"/>
      <c r="H14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Helper'!$F$5:$F$3004,"""")&lt;&gt;""""),ROWS(H$5:H1446)),"""")"),"")</f>
        <v/>
      </c>
    </row>
    <row r="1447" ht="15.75" customHeight="1">
      <c r="A14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Helper'!$F$5:$F$3004,"""")&lt;&gt;""""),ROWS(A$5:A1447)),"""")"),"")</f>
        <v/>
      </c>
      <c r="B14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Helper'!$F$5:$F$3004,"""")&lt;&gt;""""),ROWS(B$5:B1447)),"""")"),"")</f>
        <v/>
      </c>
      <c r="C14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Helper'!$F$5:$F$3004,"""")&lt;&gt;""""),ROWS(C$5:C1447)),"""")"),"")</f>
        <v/>
      </c>
      <c r="D14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Helper'!$F$5:$F$3004,"""")&lt;&gt;""""),ROWS(D$5:D1447)),"""")"),"")</f>
        <v/>
      </c>
      <c r="E14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Helper'!$F$5:$F$3004,"""")&lt;&gt;""""),ROWS(E$5:E1447)),"""")"),"")</f>
        <v/>
      </c>
      <c r="F14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Helper'!$F$5:$F$3004,"""")&lt;&gt;""""),ROWS(F$5:F1447)),IF(AND(LEFT(x,5)=""Pag"&amp;"e "",ISERROR(SEARCH(""–"",x))),x&amp;""–""&amp;REGEXEXTRACT(x,""[0-9]+$""),x)),"""")"),"")</f>
        <v/>
      </c>
      <c r="G1447" s="163"/>
      <c r="H14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Helper'!$F$5:$F$3004,"""")&lt;&gt;""""),ROWS(H$5:H1447)),"""")"),"")</f>
        <v/>
      </c>
    </row>
    <row r="1448" ht="15.75" customHeight="1">
      <c r="A14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Helper'!$F$5:$F$3004,"""")&lt;&gt;""""),ROWS(A$5:A1448)),"""")"),"")</f>
        <v/>
      </c>
      <c r="B14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Helper'!$F$5:$F$3004,"""")&lt;&gt;""""),ROWS(B$5:B1448)),"""")"),"")</f>
        <v/>
      </c>
      <c r="C14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Helper'!$F$5:$F$3004,"""")&lt;&gt;""""),ROWS(C$5:C1448)),"""")"),"")</f>
        <v/>
      </c>
      <c r="D14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Helper'!$F$5:$F$3004,"""")&lt;&gt;""""),ROWS(D$5:D1448)),"""")"),"")</f>
        <v/>
      </c>
      <c r="E14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Helper'!$F$5:$F$3004,"""")&lt;&gt;""""),ROWS(E$5:E1448)),"""")"),"")</f>
        <v/>
      </c>
      <c r="F14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Helper'!$F$5:$F$3004,"""")&lt;&gt;""""),ROWS(F$5:F1448)),IF(AND(LEFT(x,5)=""Pag"&amp;"e "",ISERROR(SEARCH(""–"",x))),x&amp;""–""&amp;REGEXEXTRACT(x,""[0-9]+$""),x)),"""")"),"")</f>
        <v/>
      </c>
      <c r="G1448" s="163"/>
      <c r="H14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Helper'!$F$5:$F$3004,"""")&lt;&gt;""""),ROWS(H$5:H1448)),"""")"),"")</f>
        <v/>
      </c>
    </row>
    <row r="1449" ht="15.75" customHeight="1">
      <c r="A14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Helper'!$F$5:$F$3004,"""")&lt;&gt;""""),ROWS(A$5:A1449)),"""")"),"")</f>
        <v/>
      </c>
      <c r="B14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Helper'!$F$5:$F$3004,"""")&lt;&gt;""""),ROWS(B$5:B1449)),"""")"),"")</f>
        <v/>
      </c>
      <c r="C14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Helper'!$F$5:$F$3004,"""")&lt;&gt;""""),ROWS(C$5:C1449)),"""")"),"")</f>
        <v/>
      </c>
      <c r="D14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Helper'!$F$5:$F$3004,"""")&lt;&gt;""""),ROWS(D$5:D1449)),"""")"),"")</f>
        <v/>
      </c>
      <c r="E14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Helper'!$F$5:$F$3004,"""")&lt;&gt;""""),ROWS(E$5:E1449)),"""")"),"")</f>
        <v/>
      </c>
      <c r="F14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Helper'!$F$5:$F$3004,"""")&lt;&gt;""""),ROWS(F$5:F1449)),IF(AND(LEFT(x,5)=""Pag"&amp;"e "",ISERROR(SEARCH(""–"",x))),x&amp;""–""&amp;REGEXEXTRACT(x,""[0-9]+$""),x)),"""")"),"")</f>
        <v/>
      </c>
      <c r="G1449" s="163"/>
      <c r="H14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Helper'!$F$5:$F$3004,"""")&lt;&gt;""""),ROWS(H$5:H1449)),"""")"),"")</f>
        <v/>
      </c>
    </row>
    <row r="1450" ht="15.75" customHeight="1">
      <c r="A14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Helper'!$F$5:$F$3004,"""")&lt;&gt;""""),ROWS(A$5:A1450)),"""")"),"")</f>
        <v/>
      </c>
      <c r="B14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Helper'!$F$5:$F$3004,"""")&lt;&gt;""""),ROWS(B$5:B1450)),"""")"),"")</f>
        <v/>
      </c>
      <c r="C14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Helper'!$F$5:$F$3004,"""")&lt;&gt;""""),ROWS(C$5:C1450)),"""")"),"")</f>
        <v/>
      </c>
      <c r="D14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Helper'!$F$5:$F$3004,"""")&lt;&gt;""""),ROWS(D$5:D1450)),"""")"),"")</f>
        <v/>
      </c>
      <c r="E14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Helper'!$F$5:$F$3004,"""")&lt;&gt;""""),ROWS(E$5:E1450)),"""")"),"")</f>
        <v/>
      </c>
      <c r="F14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Helper'!$F$5:$F$3004,"""")&lt;&gt;""""),ROWS(F$5:F1450)),IF(AND(LEFT(x,5)=""Pag"&amp;"e "",ISERROR(SEARCH(""–"",x))),x&amp;""–""&amp;REGEXEXTRACT(x,""[0-9]+$""),x)),"""")"),"")</f>
        <v/>
      </c>
      <c r="G1450" s="163"/>
      <c r="H14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Helper'!$F$5:$F$3004,"""")&lt;&gt;""""),ROWS(H$5:H1450)),"""")"),"")</f>
        <v/>
      </c>
    </row>
    <row r="1451" ht="15.75" customHeight="1">
      <c r="A14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Helper'!$F$5:$F$3004,"""")&lt;&gt;""""),ROWS(A$5:A1451)),"""")"),"")</f>
        <v/>
      </c>
      <c r="B14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Helper'!$F$5:$F$3004,"""")&lt;&gt;""""),ROWS(B$5:B1451)),"""")"),"")</f>
        <v/>
      </c>
      <c r="C14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Helper'!$F$5:$F$3004,"""")&lt;&gt;""""),ROWS(C$5:C1451)),"""")"),"")</f>
        <v/>
      </c>
      <c r="D14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Helper'!$F$5:$F$3004,"""")&lt;&gt;""""),ROWS(D$5:D1451)),"""")"),"")</f>
        <v/>
      </c>
      <c r="E14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Helper'!$F$5:$F$3004,"""")&lt;&gt;""""),ROWS(E$5:E1451)),"""")"),"")</f>
        <v/>
      </c>
      <c r="F14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Helper'!$F$5:$F$3004,"""")&lt;&gt;""""),ROWS(F$5:F1451)),IF(AND(LEFT(x,5)=""Pag"&amp;"e "",ISERROR(SEARCH(""–"",x))),x&amp;""–""&amp;REGEXEXTRACT(x,""[0-9]+$""),x)),"""")"),"")</f>
        <v/>
      </c>
      <c r="G1451" s="163"/>
      <c r="H14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Helper'!$F$5:$F$3004,"""")&lt;&gt;""""),ROWS(H$5:H1451)),"""")"),"")</f>
        <v/>
      </c>
    </row>
    <row r="1452" ht="15.75" customHeight="1">
      <c r="A14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Helper'!$F$5:$F$3004,"""")&lt;&gt;""""),ROWS(A$5:A1452)),"""")"),"")</f>
        <v/>
      </c>
      <c r="B14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Helper'!$F$5:$F$3004,"""")&lt;&gt;""""),ROWS(B$5:B1452)),"""")"),"")</f>
        <v/>
      </c>
      <c r="C14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Helper'!$F$5:$F$3004,"""")&lt;&gt;""""),ROWS(C$5:C1452)),"""")"),"")</f>
        <v/>
      </c>
      <c r="D14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Helper'!$F$5:$F$3004,"""")&lt;&gt;""""),ROWS(D$5:D1452)),"""")"),"")</f>
        <v/>
      </c>
      <c r="E14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Helper'!$F$5:$F$3004,"""")&lt;&gt;""""),ROWS(E$5:E1452)),"""")"),"")</f>
        <v/>
      </c>
      <c r="F14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Helper'!$F$5:$F$3004,"""")&lt;&gt;""""),ROWS(F$5:F1452)),IF(AND(LEFT(x,5)=""Pag"&amp;"e "",ISERROR(SEARCH(""–"",x))),x&amp;""–""&amp;REGEXEXTRACT(x,""[0-9]+$""),x)),"""")"),"")</f>
        <v/>
      </c>
      <c r="G1452" s="163"/>
      <c r="H14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Helper'!$F$5:$F$3004,"""")&lt;&gt;""""),ROWS(H$5:H1452)),"""")"),"")</f>
        <v/>
      </c>
    </row>
    <row r="1453" ht="15.75" customHeight="1">
      <c r="A14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Helper'!$F$5:$F$3004,"""")&lt;&gt;""""),ROWS(A$5:A1453)),"""")"),"")</f>
        <v/>
      </c>
      <c r="B14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Helper'!$F$5:$F$3004,"""")&lt;&gt;""""),ROWS(B$5:B1453)),"""")"),"")</f>
        <v/>
      </c>
      <c r="C14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Helper'!$F$5:$F$3004,"""")&lt;&gt;""""),ROWS(C$5:C1453)),"""")"),"")</f>
        <v/>
      </c>
      <c r="D14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Helper'!$F$5:$F$3004,"""")&lt;&gt;""""),ROWS(D$5:D1453)),"""")"),"")</f>
        <v/>
      </c>
      <c r="E14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Helper'!$F$5:$F$3004,"""")&lt;&gt;""""),ROWS(E$5:E1453)),"""")"),"")</f>
        <v/>
      </c>
      <c r="F14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Helper'!$F$5:$F$3004,"""")&lt;&gt;""""),ROWS(F$5:F1453)),IF(AND(LEFT(x,5)=""Pag"&amp;"e "",ISERROR(SEARCH(""–"",x))),x&amp;""–""&amp;REGEXEXTRACT(x,""[0-9]+$""),x)),"""")"),"")</f>
        <v/>
      </c>
      <c r="G1453" s="163"/>
      <c r="H14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Helper'!$F$5:$F$3004,"""")&lt;&gt;""""),ROWS(H$5:H1453)),"""")"),"")</f>
        <v/>
      </c>
    </row>
    <row r="1454" ht="15.75" customHeight="1">
      <c r="A14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Helper'!$F$5:$F$3004,"""")&lt;&gt;""""),ROWS(A$5:A1454)),"""")"),"")</f>
        <v/>
      </c>
      <c r="B14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Helper'!$F$5:$F$3004,"""")&lt;&gt;""""),ROWS(B$5:B1454)),"""")"),"")</f>
        <v/>
      </c>
      <c r="C14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Helper'!$F$5:$F$3004,"""")&lt;&gt;""""),ROWS(C$5:C1454)),"""")"),"")</f>
        <v/>
      </c>
      <c r="D14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Helper'!$F$5:$F$3004,"""")&lt;&gt;""""),ROWS(D$5:D1454)),"""")"),"")</f>
        <v/>
      </c>
      <c r="E14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Helper'!$F$5:$F$3004,"""")&lt;&gt;""""),ROWS(E$5:E1454)),"""")"),"")</f>
        <v/>
      </c>
      <c r="F14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Helper'!$F$5:$F$3004,"""")&lt;&gt;""""),ROWS(F$5:F1454)),IF(AND(LEFT(x,5)=""Pag"&amp;"e "",ISERROR(SEARCH(""–"",x))),x&amp;""–""&amp;REGEXEXTRACT(x,""[0-9]+$""),x)),"""")"),"")</f>
        <v/>
      </c>
      <c r="G1454" s="163"/>
      <c r="H14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Helper'!$F$5:$F$3004,"""")&lt;&gt;""""),ROWS(H$5:H1454)),"""")"),"")</f>
        <v/>
      </c>
    </row>
    <row r="1455" ht="15.75" customHeight="1">
      <c r="A14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Helper'!$F$5:$F$3004,"""")&lt;&gt;""""),ROWS(A$5:A1455)),"""")"),"")</f>
        <v/>
      </c>
      <c r="B14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Helper'!$F$5:$F$3004,"""")&lt;&gt;""""),ROWS(B$5:B1455)),"""")"),"")</f>
        <v/>
      </c>
      <c r="C14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Helper'!$F$5:$F$3004,"""")&lt;&gt;""""),ROWS(C$5:C1455)),"""")"),"")</f>
        <v/>
      </c>
      <c r="D14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Helper'!$F$5:$F$3004,"""")&lt;&gt;""""),ROWS(D$5:D1455)),"""")"),"")</f>
        <v/>
      </c>
      <c r="E14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Helper'!$F$5:$F$3004,"""")&lt;&gt;""""),ROWS(E$5:E1455)),"""")"),"")</f>
        <v/>
      </c>
      <c r="F14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Helper'!$F$5:$F$3004,"""")&lt;&gt;""""),ROWS(F$5:F1455)),IF(AND(LEFT(x,5)=""Pag"&amp;"e "",ISERROR(SEARCH(""–"",x))),x&amp;""–""&amp;REGEXEXTRACT(x,""[0-9]+$""),x)),"""")"),"")</f>
        <v/>
      </c>
      <c r="G1455" s="163"/>
      <c r="H14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Helper'!$F$5:$F$3004,"""")&lt;&gt;""""),ROWS(H$5:H1455)),"""")"),"")</f>
        <v/>
      </c>
    </row>
    <row r="1456" ht="15.75" customHeight="1">
      <c r="A14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Helper'!$F$5:$F$3004,"""")&lt;&gt;""""),ROWS(A$5:A1456)),"""")"),"")</f>
        <v/>
      </c>
      <c r="B14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Helper'!$F$5:$F$3004,"""")&lt;&gt;""""),ROWS(B$5:B1456)),"""")"),"")</f>
        <v/>
      </c>
      <c r="C14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Helper'!$F$5:$F$3004,"""")&lt;&gt;""""),ROWS(C$5:C1456)),"""")"),"")</f>
        <v/>
      </c>
      <c r="D14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Helper'!$F$5:$F$3004,"""")&lt;&gt;""""),ROWS(D$5:D1456)),"""")"),"")</f>
        <v/>
      </c>
      <c r="E14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Helper'!$F$5:$F$3004,"""")&lt;&gt;""""),ROWS(E$5:E1456)),"""")"),"")</f>
        <v/>
      </c>
      <c r="F14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Helper'!$F$5:$F$3004,"""")&lt;&gt;""""),ROWS(F$5:F1456)),IF(AND(LEFT(x,5)=""Pag"&amp;"e "",ISERROR(SEARCH(""–"",x))),x&amp;""–""&amp;REGEXEXTRACT(x,""[0-9]+$""),x)),"""")"),"")</f>
        <v/>
      </c>
      <c r="G1456" s="163"/>
      <c r="H14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Helper'!$F$5:$F$3004,"""")&lt;&gt;""""),ROWS(H$5:H1456)),"""")"),"")</f>
        <v/>
      </c>
    </row>
    <row r="1457" ht="15.75" customHeight="1">
      <c r="A14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Helper'!$F$5:$F$3004,"""")&lt;&gt;""""),ROWS(A$5:A1457)),"""")"),"")</f>
        <v/>
      </c>
      <c r="B14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Helper'!$F$5:$F$3004,"""")&lt;&gt;""""),ROWS(B$5:B1457)),"""")"),"")</f>
        <v/>
      </c>
      <c r="C14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Helper'!$F$5:$F$3004,"""")&lt;&gt;""""),ROWS(C$5:C1457)),"""")"),"")</f>
        <v/>
      </c>
      <c r="D14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Helper'!$F$5:$F$3004,"""")&lt;&gt;""""),ROWS(D$5:D1457)),"""")"),"")</f>
        <v/>
      </c>
      <c r="E14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Helper'!$F$5:$F$3004,"""")&lt;&gt;""""),ROWS(E$5:E1457)),"""")"),"")</f>
        <v/>
      </c>
      <c r="F14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Helper'!$F$5:$F$3004,"""")&lt;&gt;""""),ROWS(F$5:F1457)),IF(AND(LEFT(x,5)=""Pag"&amp;"e "",ISERROR(SEARCH(""–"",x))),x&amp;""–""&amp;REGEXEXTRACT(x,""[0-9]+$""),x)),"""")"),"")</f>
        <v/>
      </c>
      <c r="G1457" s="163"/>
      <c r="H14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Helper'!$F$5:$F$3004,"""")&lt;&gt;""""),ROWS(H$5:H1457)),"""")"),"")</f>
        <v/>
      </c>
    </row>
    <row r="1458" ht="15.75" customHeight="1">
      <c r="A14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Helper'!$F$5:$F$3004,"""")&lt;&gt;""""),ROWS(A$5:A1458)),"""")"),"")</f>
        <v/>
      </c>
      <c r="B14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Helper'!$F$5:$F$3004,"""")&lt;&gt;""""),ROWS(B$5:B1458)),"""")"),"")</f>
        <v/>
      </c>
      <c r="C14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Helper'!$F$5:$F$3004,"""")&lt;&gt;""""),ROWS(C$5:C1458)),"""")"),"")</f>
        <v/>
      </c>
      <c r="D14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Helper'!$F$5:$F$3004,"""")&lt;&gt;""""),ROWS(D$5:D1458)),"""")"),"")</f>
        <v/>
      </c>
      <c r="E14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Helper'!$F$5:$F$3004,"""")&lt;&gt;""""),ROWS(E$5:E1458)),"""")"),"")</f>
        <v/>
      </c>
      <c r="F14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Helper'!$F$5:$F$3004,"""")&lt;&gt;""""),ROWS(F$5:F1458)),IF(AND(LEFT(x,5)=""Pag"&amp;"e "",ISERROR(SEARCH(""–"",x))),x&amp;""–""&amp;REGEXEXTRACT(x,""[0-9]+$""),x)),"""")"),"")</f>
        <v/>
      </c>
      <c r="G1458" s="163"/>
      <c r="H14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Helper'!$F$5:$F$3004,"""")&lt;&gt;""""),ROWS(H$5:H1458)),"""")"),"")</f>
        <v/>
      </c>
    </row>
    <row r="1459" ht="15.75" customHeight="1">
      <c r="A14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Helper'!$F$5:$F$3004,"""")&lt;&gt;""""),ROWS(A$5:A1459)),"""")"),"")</f>
        <v/>
      </c>
      <c r="B14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Helper'!$F$5:$F$3004,"""")&lt;&gt;""""),ROWS(B$5:B1459)),"""")"),"")</f>
        <v/>
      </c>
      <c r="C14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Helper'!$F$5:$F$3004,"""")&lt;&gt;""""),ROWS(C$5:C1459)),"""")"),"")</f>
        <v/>
      </c>
      <c r="D14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Helper'!$F$5:$F$3004,"""")&lt;&gt;""""),ROWS(D$5:D1459)),"""")"),"")</f>
        <v/>
      </c>
      <c r="E14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Helper'!$F$5:$F$3004,"""")&lt;&gt;""""),ROWS(E$5:E1459)),"""")"),"")</f>
        <v/>
      </c>
      <c r="F14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Helper'!$F$5:$F$3004,"""")&lt;&gt;""""),ROWS(F$5:F1459)),IF(AND(LEFT(x,5)=""Pag"&amp;"e "",ISERROR(SEARCH(""–"",x))),x&amp;""–""&amp;REGEXEXTRACT(x,""[0-9]+$""),x)),"""")"),"")</f>
        <v/>
      </c>
      <c r="G1459" s="163"/>
      <c r="H14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Helper'!$F$5:$F$3004,"""")&lt;&gt;""""),ROWS(H$5:H1459)),"""")"),"")</f>
        <v/>
      </c>
    </row>
    <row r="1460" ht="15.75" customHeight="1">
      <c r="A14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Helper'!$F$5:$F$3004,"""")&lt;&gt;""""),ROWS(A$5:A1460)),"""")"),"")</f>
        <v/>
      </c>
      <c r="B14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Helper'!$F$5:$F$3004,"""")&lt;&gt;""""),ROWS(B$5:B1460)),"""")"),"")</f>
        <v/>
      </c>
      <c r="C14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Helper'!$F$5:$F$3004,"""")&lt;&gt;""""),ROWS(C$5:C1460)),"""")"),"")</f>
        <v/>
      </c>
      <c r="D14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Helper'!$F$5:$F$3004,"""")&lt;&gt;""""),ROWS(D$5:D1460)),"""")"),"")</f>
        <v/>
      </c>
      <c r="E14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Helper'!$F$5:$F$3004,"""")&lt;&gt;""""),ROWS(E$5:E1460)),"""")"),"")</f>
        <v/>
      </c>
      <c r="F14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Helper'!$F$5:$F$3004,"""")&lt;&gt;""""),ROWS(F$5:F1460)),IF(AND(LEFT(x,5)=""Pag"&amp;"e "",ISERROR(SEARCH(""–"",x))),x&amp;""–""&amp;REGEXEXTRACT(x,""[0-9]+$""),x)),"""")"),"")</f>
        <v/>
      </c>
      <c r="G1460" s="163"/>
      <c r="H14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Helper'!$F$5:$F$3004,"""")&lt;&gt;""""),ROWS(H$5:H1460)),"""")"),"")</f>
        <v/>
      </c>
    </row>
    <row r="1461" ht="15.75" customHeight="1">
      <c r="A14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Helper'!$F$5:$F$3004,"""")&lt;&gt;""""),ROWS(A$5:A1461)),"""")"),"")</f>
        <v/>
      </c>
      <c r="B14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Helper'!$F$5:$F$3004,"""")&lt;&gt;""""),ROWS(B$5:B1461)),"""")"),"")</f>
        <v/>
      </c>
      <c r="C14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Helper'!$F$5:$F$3004,"""")&lt;&gt;""""),ROWS(C$5:C1461)),"""")"),"")</f>
        <v/>
      </c>
      <c r="D14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Helper'!$F$5:$F$3004,"""")&lt;&gt;""""),ROWS(D$5:D1461)),"""")"),"")</f>
        <v/>
      </c>
      <c r="E14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Helper'!$F$5:$F$3004,"""")&lt;&gt;""""),ROWS(E$5:E1461)),"""")"),"")</f>
        <v/>
      </c>
      <c r="F14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Helper'!$F$5:$F$3004,"""")&lt;&gt;""""),ROWS(F$5:F1461)),IF(AND(LEFT(x,5)=""Pag"&amp;"e "",ISERROR(SEARCH(""–"",x))),x&amp;""–""&amp;REGEXEXTRACT(x,""[0-9]+$""),x)),"""")"),"")</f>
        <v/>
      </c>
      <c r="G1461" s="163"/>
      <c r="H14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Helper'!$F$5:$F$3004,"""")&lt;&gt;""""),ROWS(H$5:H1461)),"""")"),"")</f>
        <v/>
      </c>
    </row>
    <row r="1462" ht="15.75" customHeight="1">
      <c r="A14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Helper'!$F$5:$F$3004,"""")&lt;&gt;""""),ROWS(A$5:A1462)),"""")"),"")</f>
        <v/>
      </c>
      <c r="B14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Helper'!$F$5:$F$3004,"""")&lt;&gt;""""),ROWS(B$5:B1462)),"""")"),"")</f>
        <v/>
      </c>
      <c r="C14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Helper'!$F$5:$F$3004,"""")&lt;&gt;""""),ROWS(C$5:C1462)),"""")"),"")</f>
        <v/>
      </c>
      <c r="D14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Helper'!$F$5:$F$3004,"""")&lt;&gt;""""),ROWS(D$5:D1462)),"""")"),"")</f>
        <v/>
      </c>
      <c r="E14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Helper'!$F$5:$F$3004,"""")&lt;&gt;""""),ROWS(E$5:E1462)),"""")"),"")</f>
        <v/>
      </c>
      <c r="F14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Helper'!$F$5:$F$3004,"""")&lt;&gt;""""),ROWS(F$5:F1462)),IF(AND(LEFT(x,5)=""Pag"&amp;"e "",ISERROR(SEARCH(""–"",x))),x&amp;""–""&amp;REGEXEXTRACT(x,""[0-9]+$""),x)),"""")"),"")</f>
        <v/>
      </c>
      <c r="G1462" s="163"/>
      <c r="H14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Helper'!$F$5:$F$3004,"""")&lt;&gt;""""),ROWS(H$5:H1462)),"""")"),"")</f>
        <v/>
      </c>
    </row>
    <row r="1463" ht="15.75" customHeight="1">
      <c r="A14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Helper'!$F$5:$F$3004,"""")&lt;&gt;""""),ROWS(A$5:A1463)),"""")"),"")</f>
        <v/>
      </c>
      <c r="B14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Helper'!$F$5:$F$3004,"""")&lt;&gt;""""),ROWS(B$5:B1463)),"""")"),"")</f>
        <v/>
      </c>
      <c r="C14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Helper'!$F$5:$F$3004,"""")&lt;&gt;""""),ROWS(C$5:C1463)),"""")"),"")</f>
        <v/>
      </c>
      <c r="D14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Helper'!$F$5:$F$3004,"""")&lt;&gt;""""),ROWS(D$5:D1463)),"""")"),"")</f>
        <v/>
      </c>
      <c r="E14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Helper'!$F$5:$F$3004,"""")&lt;&gt;""""),ROWS(E$5:E1463)),"""")"),"")</f>
        <v/>
      </c>
      <c r="F14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Helper'!$F$5:$F$3004,"""")&lt;&gt;""""),ROWS(F$5:F1463)),IF(AND(LEFT(x,5)=""Pag"&amp;"e "",ISERROR(SEARCH(""–"",x))),x&amp;""–""&amp;REGEXEXTRACT(x,""[0-9]+$""),x)),"""")"),"")</f>
        <v/>
      </c>
      <c r="G1463" s="163"/>
      <c r="H14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Helper'!$F$5:$F$3004,"""")&lt;&gt;""""),ROWS(H$5:H1463)),"""")"),"")</f>
        <v/>
      </c>
    </row>
    <row r="1464" ht="15.75" customHeight="1">
      <c r="A14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Helper'!$F$5:$F$3004,"""")&lt;&gt;""""),ROWS(A$5:A1464)),"""")"),"")</f>
        <v/>
      </c>
      <c r="B14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Helper'!$F$5:$F$3004,"""")&lt;&gt;""""),ROWS(B$5:B1464)),"""")"),"")</f>
        <v/>
      </c>
      <c r="C14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Helper'!$F$5:$F$3004,"""")&lt;&gt;""""),ROWS(C$5:C1464)),"""")"),"")</f>
        <v/>
      </c>
      <c r="D14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Helper'!$F$5:$F$3004,"""")&lt;&gt;""""),ROWS(D$5:D1464)),"""")"),"")</f>
        <v/>
      </c>
      <c r="E14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Helper'!$F$5:$F$3004,"""")&lt;&gt;""""),ROWS(E$5:E1464)),"""")"),"")</f>
        <v/>
      </c>
      <c r="F14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Helper'!$F$5:$F$3004,"""")&lt;&gt;""""),ROWS(F$5:F1464)),IF(AND(LEFT(x,5)=""Pag"&amp;"e "",ISERROR(SEARCH(""–"",x))),x&amp;""–""&amp;REGEXEXTRACT(x,""[0-9]+$""),x)),"""")"),"")</f>
        <v/>
      </c>
      <c r="G1464" s="163"/>
      <c r="H14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Helper'!$F$5:$F$3004,"""")&lt;&gt;""""),ROWS(H$5:H1464)),"""")"),"")</f>
        <v/>
      </c>
    </row>
    <row r="1465" ht="15.75" customHeight="1">
      <c r="A14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Helper'!$F$5:$F$3004,"""")&lt;&gt;""""),ROWS(A$5:A1465)),"""")"),"")</f>
        <v/>
      </c>
      <c r="B14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Helper'!$F$5:$F$3004,"""")&lt;&gt;""""),ROWS(B$5:B1465)),"""")"),"")</f>
        <v/>
      </c>
      <c r="C14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Helper'!$F$5:$F$3004,"""")&lt;&gt;""""),ROWS(C$5:C1465)),"""")"),"")</f>
        <v/>
      </c>
      <c r="D14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Helper'!$F$5:$F$3004,"""")&lt;&gt;""""),ROWS(D$5:D1465)),"""")"),"")</f>
        <v/>
      </c>
      <c r="E14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Helper'!$F$5:$F$3004,"""")&lt;&gt;""""),ROWS(E$5:E1465)),"""")"),"")</f>
        <v/>
      </c>
      <c r="F14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Helper'!$F$5:$F$3004,"""")&lt;&gt;""""),ROWS(F$5:F1465)),IF(AND(LEFT(x,5)=""Pag"&amp;"e "",ISERROR(SEARCH(""–"",x))),x&amp;""–""&amp;REGEXEXTRACT(x,""[0-9]+$""),x)),"""")"),"")</f>
        <v/>
      </c>
      <c r="G1465" s="163"/>
      <c r="H14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Helper'!$F$5:$F$3004,"""")&lt;&gt;""""),ROWS(H$5:H1465)),"""")"),"")</f>
        <v/>
      </c>
    </row>
    <row r="1466" ht="15.75" customHeight="1">
      <c r="A14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Helper'!$F$5:$F$3004,"""")&lt;&gt;""""),ROWS(A$5:A1466)),"""")"),"")</f>
        <v/>
      </c>
      <c r="B14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Helper'!$F$5:$F$3004,"""")&lt;&gt;""""),ROWS(B$5:B1466)),"""")"),"")</f>
        <v/>
      </c>
      <c r="C14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Helper'!$F$5:$F$3004,"""")&lt;&gt;""""),ROWS(C$5:C1466)),"""")"),"")</f>
        <v/>
      </c>
      <c r="D14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Helper'!$F$5:$F$3004,"""")&lt;&gt;""""),ROWS(D$5:D1466)),"""")"),"")</f>
        <v/>
      </c>
      <c r="E14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Helper'!$F$5:$F$3004,"""")&lt;&gt;""""),ROWS(E$5:E1466)),"""")"),"")</f>
        <v/>
      </c>
      <c r="F14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Helper'!$F$5:$F$3004,"""")&lt;&gt;""""),ROWS(F$5:F1466)),IF(AND(LEFT(x,5)=""Pag"&amp;"e "",ISERROR(SEARCH(""–"",x))),x&amp;""–""&amp;REGEXEXTRACT(x,""[0-9]+$""),x)),"""")"),"")</f>
        <v/>
      </c>
      <c r="G1466" s="163"/>
      <c r="H14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Helper'!$F$5:$F$3004,"""")&lt;&gt;""""),ROWS(H$5:H1466)),"""")"),"")</f>
        <v/>
      </c>
    </row>
    <row r="1467" ht="15.75" customHeight="1">
      <c r="A14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Helper'!$F$5:$F$3004,"""")&lt;&gt;""""),ROWS(A$5:A1467)),"""")"),"")</f>
        <v/>
      </c>
      <c r="B14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Helper'!$F$5:$F$3004,"""")&lt;&gt;""""),ROWS(B$5:B1467)),"""")"),"")</f>
        <v/>
      </c>
      <c r="C14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Helper'!$F$5:$F$3004,"""")&lt;&gt;""""),ROWS(C$5:C1467)),"""")"),"")</f>
        <v/>
      </c>
      <c r="D14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Helper'!$F$5:$F$3004,"""")&lt;&gt;""""),ROWS(D$5:D1467)),"""")"),"")</f>
        <v/>
      </c>
      <c r="E14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Helper'!$F$5:$F$3004,"""")&lt;&gt;""""),ROWS(E$5:E1467)),"""")"),"")</f>
        <v/>
      </c>
      <c r="F14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Helper'!$F$5:$F$3004,"""")&lt;&gt;""""),ROWS(F$5:F1467)),IF(AND(LEFT(x,5)=""Pag"&amp;"e "",ISERROR(SEARCH(""–"",x))),x&amp;""–""&amp;REGEXEXTRACT(x,""[0-9]+$""),x)),"""")"),"")</f>
        <v/>
      </c>
      <c r="G1467" s="163"/>
      <c r="H14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Helper'!$F$5:$F$3004,"""")&lt;&gt;""""),ROWS(H$5:H1467)),"""")"),"")</f>
        <v/>
      </c>
    </row>
    <row r="1468" ht="15.75" customHeight="1">
      <c r="A14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Helper'!$F$5:$F$3004,"""")&lt;&gt;""""),ROWS(A$5:A1468)),"""")"),"")</f>
        <v/>
      </c>
      <c r="B14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Helper'!$F$5:$F$3004,"""")&lt;&gt;""""),ROWS(B$5:B1468)),"""")"),"")</f>
        <v/>
      </c>
      <c r="C14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Helper'!$F$5:$F$3004,"""")&lt;&gt;""""),ROWS(C$5:C1468)),"""")"),"")</f>
        <v/>
      </c>
      <c r="D14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Helper'!$F$5:$F$3004,"""")&lt;&gt;""""),ROWS(D$5:D1468)),"""")"),"")</f>
        <v/>
      </c>
      <c r="E14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Helper'!$F$5:$F$3004,"""")&lt;&gt;""""),ROWS(E$5:E1468)),"""")"),"")</f>
        <v/>
      </c>
      <c r="F14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Helper'!$F$5:$F$3004,"""")&lt;&gt;""""),ROWS(F$5:F1468)),IF(AND(LEFT(x,5)=""Pag"&amp;"e "",ISERROR(SEARCH(""–"",x))),x&amp;""–""&amp;REGEXEXTRACT(x,""[0-9]+$""),x)),"""")"),"")</f>
        <v/>
      </c>
      <c r="G1468" s="163"/>
      <c r="H14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Helper'!$F$5:$F$3004,"""")&lt;&gt;""""),ROWS(H$5:H1468)),"""")"),"")</f>
        <v/>
      </c>
    </row>
    <row r="1469" ht="15.75" customHeight="1">
      <c r="A14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Helper'!$F$5:$F$3004,"""")&lt;&gt;""""),ROWS(A$5:A1469)),"""")"),"")</f>
        <v/>
      </c>
      <c r="B14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Helper'!$F$5:$F$3004,"""")&lt;&gt;""""),ROWS(B$5:B1469)),"""")"),"")</f>
        <v/>
      </c>
      <c r="C14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Helper'!$F$5:$F$3004,"""")&lt;&gt;""""),ROWS(C$5:C1469)),"""")"),"")</f>
        <v/>
      </c>
      <c r="D14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Helper'!$F$5:$F$3004,"""")&lt;&gt;""""),ROWS(D$5:D1469)),"""")"),"")</f>
        <v/>
      </c>
      <c r="E14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Helper'!$F$5:$F$3004,"""")&lt;&gt;""""),ROWS(E$5:E1469)),"""")"),"")</f>
        <v/>
      </c>
      <c r="F14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Helper'!$F$5:$F$3004,"""")&lt;&gt;""""),ROWS(F$5:F1469)),IF(AND(LEFT(x,5)=""Pag"&amp;"e "",ISERROR(SEARCH(""–"",x))),x&amp;""–""&amp;REGEXEXTRACT(x,""[0-9]+$""),x)),"""")"),"")</f>
        <v/>
      </c>
      <c r="G1469" s="163"/>
      <c r="H14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Helper'!$F$5:$F$3004,"""")&lt;&gt;""""),ROWS(H$5:H1469)),"""")"),"")</f>
        <v/>
      </c>
    </row>
    <row r="1470" ht="15.75" customHeight="1">
      <c r="A14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Helper'!$F$5:$F$3004,"""")&lt;&gt;""""),ROWS(A$5:A1470)),"""")"),"")</f>
        <v/>
      </c>
      <c r="B14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Helper'!$F$5:$F$3004,"""")&lt;&gt;""""),ROWS(B$5:B1470)),"""")"),"")</f>
        <v/>
      </c>
      <c r="C14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Helper'!$F$5:$F$3004,"""")&lt;&gt;""""),ROWS(C$5:C1470)),"""")"),"")</f>
        <v/>
      </c>
      <c r="D14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Helper'!$F$5:$F$3004,"""")&lt;&gt;""""),ROWS(D$5:D1470)),"""")"),"")</f>
        <v/>
      </c>
      <c r="E14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Helper'!$F$5:$F$3004,"""")&lt;&gt;""""),ROWS(E$5:E1470)),"""")"),"")</f>
        <v/>
      </c>
      <c r="F14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Helper'!$F$5:$F$3004,"""")&lt;&gt;""""),ROWS(F$5:F1470)),IF(AND(LEFT(x,5)=""Pag"&amp;"e "",ISERROR(SEARCH(""–"",x))),x&amp;""–""&amp;REGEXEXTRACT(x,""[0-9]+$""),x)),"""")"),"")</f>
        <v/>
      </c>
      <c r="G1470" s="163"/>
      <c r="H14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Helper'!$F$5:$F$3004,"""")&lt;&gt;""""),ROWS(H$5:H1470)),"""")"),"")</f>
        <v/>
      </c>
    </row>
    <row r="1471" ht="15.75" customHeight="1">
      <c r="A14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Helper'!$F$5:$F$3004,"""")&lt;&gt;""""),ROWS(A$5:A1471)),"""")"),"")</f>
        <v/>
      </c>
      <c r="B14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Helper'!$F$5:$F$3004,"""")&lt;&gt;""""),ROWS(B$5:B1471)),"""")"),"")</f>
        <v/>
      </c>
      <c r="C14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Helper'!$F$5:$F$3004,"""")&lt;&gt;""""),ROWS(C$5:C1471)),"""")"),"")</f>
        <v/>
      </c>
      <c r="D14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Helper'!$F$5:$F$3004,"""")&lt;&gt;""""),ROWS(D$5:D1471)),"""")"),"")</f>
        <v/>
      </c>
      <c r="E14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Helper'!$F$5:$F$3004,"""")&lt;&gt;""""),ROWS(E$5:E1471)),"""")"),"")</f>
        <v/>
      </c>
      <c r="F14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Helper'!$F$5:$F$3004,"""")&lt;&gt;""""),ROWS(F$5:F1471)),IF(AND(LEFT(x,5)=""Pag"&amp;"e "",ISERROR(SEARCH(""–"",x))),x&amp;""–""&amp;REGEXEXTRACT(x,""[0-9]+$""),x)),"""")"),"")</f>
        <v/>
      </c>
      <c r="G1471" s="163"/>
      <c r="H14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Helper'!$F$5:$F$3004,"""")&lt;&gt;""""),ROWS(H$5:H1471)),"""")"),"")</f>
        <v/>
      </c>
    </row>
    <row r="1472" ht="15.75" customHeight="1">
      <c r="A14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Helper'!$F$5:$F$3004,"""")&lt;&gt;""""),ROWS(A$5:A1472)),"""")"),"")</f>
        <v/>
      </c>
      <c r="B14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Helper'!$F$5:$F$3004,"""")&lt;&gt;""""),ROWS(B$5:B1472)),"""")"),"")</f>
        <v/>
      </c>
      <c r="C14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Helper'!$F$5:$F$3004,"""")&lt;&gt;""""),ROWS(C$5:C1472)),"""")"),"")</f>
        <v/>
      </c>
      <c r="D14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Helper'!$F$5:$F$3004,"""")&lt;&gt;""""),ROWS(D$5:D1472)),"""")"),"")</f>
        <v/>
      </c>
      <c r="E14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Helper'!$F$5:$F$3004,"""")&lt;&gt;""""),ROWS(E$5:E1472)),"""")"),"")</f>
        <v/>
      </c>
      <c r="F14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Helper'!$F$5:$F$3004,"""")&lt;&gt;""""),ROWS(F$5:F1472)),IF(AND(LEFT(x,5)=""Pag"&amp;"e "",ISERROR(SEARCH(""–"",x))),x&amp;""–""&amp;REGEXEXTRACT(x,""[0-9]+$""),x)),"""")"),"")</f>
        <v/>
      </c>
      <c r="G1472" s="163"/>
      <c r="H14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Helper'!$F$5:$F$3004,"""")&lt;&gt;""""),ROWS(H$5:H1472)),"""")"),"")</f>
        <v/>
      </c>
    </row>
    <row r="1473" ht="15.75" customHeight="1">
      <c r="A14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Helper'!$F$5:$F$3004,"""")&lt;&gt;""""),ROWS(A$5:A1473)),"""")"),"")</f>
        <v/>
      </c>
      <c r="B14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Helper'!$F$5:$F$3004,"""")&lt;&gt;""""),ROWS(B$5:B1473)),"""")"),"")</f>
        <v/>
      </c>
      <c r="C14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Helper'!$F$5:$F$3004,"""")&lt;&gt;""""),ROWS(C$5:C1473)),"""")"),"")</f>
        <v/>
      </c>
      <c r="D14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Helper'!$F$5:$F$3004,"""")&lt;&gt;""""),ROWS(D$5:D1473)),"""")"),"")</f>
        <v/>
      </c>
      <c r="E14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Helper'!$F$5:$F$3004,"""")&lt;&gt;""""),ROWS(E$5:E1473)),"""")"),"")</f>
        <v/>
      </c>
      <c r="F14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Helper'!$F$5:$F$3004,"""")&lt;&gt;""""),ROWS(F$5:F1473)),IF(AND(LEFT(x,5)=""Pag"&amp;"e "",ISERROR(SEARCH(""–"",x))),x&amp;""–""&amp;REGEXEXTRACT(x,""[0-9]+$""),x)),"""")"),"")</f>
        <v/>
      </c>
      <c r="G1473" s="163"/>
      <c r="H14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Helper'!$F$5:$F$3004,"""")&lt;&gt;""""),ROWS(H$5:H1473)),"""")"),"")</f>
        <v/>
      </c>
    </row>
    <row r="1474" ht="15.75" customHeight="1">
      <c r="A14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Helper'!$F$5:$F$3004,"""")&lt;&gt;""""),ROWS(A$5:A1474)),"""")"),"")</f>
        <v/>
      </c>
      <c r="B14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Helper'!$F$5:$F$3004,"""")&lt;&gt;""""),ROWS(B$5:B1474)),"""")"),"")</f>
        <v/>
      </c>
      <c r="C14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Helper'!$F$5:$F$3004,"""")&lt;&gt;""""),ROWS(C$5:C1474)),"""")"),"")</f>
        <v/>
      </c>
      <c r="D14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Helper'!$F$5:$F$3004,"""")&lt;&gt;""""),ROWS(D$5:D1474)),"""")"),"")</f>
        <v/>
      </c>
      <c r="E14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Helper'!$F$5:$F$3004,"""")&lt;&gt;""""),ROWS(E$5:E1474)),"""")"),"")</f>
        <v/>
      </c>
      <c r="F14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Helper'!$F$5:$F$3004,"""")&lt;&gt;""""),ROWS(F$5:F1474)),IF(AND(LEFT(x,5)=""Pag"&amp;"e "",ISERROR(SEARCH(""–"",x))),x&amp;""–""&amp;REGEXEXTRACT(x,""[0-9]+$""),x)),"""")"),"")</f>
        <v/>
      </c>
      <c r="G1474" s="163"/>
      <c r="H14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Helper'!$F$5:$F$3004,"""")&lt;&gt;""""),ROWS(H$5:H1474)),"""")"),"")</f>
        <v/>
      </c>
    </row>
    <row r="1475" ht="15.75" customHeight="1">
      <c r="A14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Helper'!$F$5:$F$3004,"""")&lt;&gt;""""),ROWS(A$5:A1475)),"""")"),"")</f>
        <v/>
      </c>
      <c r="B14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Helper'!$F$5:$F$3004,"""")&lt;&gt;""""),ROWS(B$5:B1475)),"""")"),"")</f>
        <v/>
      </c>
      <c r="C14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Helper'!$F$5:$F$3004,"""")&lt;&gt;""""),ROWS(C$5:C1475)),"""")"),"")</f>
        <v/>
      </c>
      <c r="D14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Helper'!$F$5:$F$3004,"""")&lt;&gt;""""),ROWS(D$5:D1475)),"""")"),"")</f>
        <v/>
      </c>
      <c r="E14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Helper'!$F$5:$F$3004,"""")&lt;&gt;""""),ROWS(E$5:E1475)),"""")"),"")</f>
        <v/>
      </c>
      <c r="F14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Helper'!$F$5:$F$3004,"""")&lt;&gt;""""),ROWS(F$5:F1475)),IF(AND(LEFT(x,5)=""Pag"&amp;"e "",ISERROR(SEARCH(""–"",x))),x&amp;""–""&amp;REGEXEXTRACT(x,""[0-9]+$""),x)),"""")"),"")</f>
        <v/>
      </c>
      <c r="G1475" s="163"/>
      <c r="H14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Helper'!$F$5:$F$3004,"""")&lt;&gt;""""),ROWS(H$5:H1475)),"""")"),"")</f>
        <v/>
      </c>
    </row>
    <row r="1476" ht="15.75" customHeight="1">
      <c r="A14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Helper'!$F$5:$F$3004,"""")&lt;&gt;""""),ROWS(A$5:A1476)),"""")"),"")</f>
        <v/>
      </c>
      <c r="B14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Helper'!$F$5:$F$3004,"""")&lt;&gt;""""),ROWS(B$5:B1476)),"""")"),"")</f>
        <v/>
      </c>
      <c r="C14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Helper'!$F$5:$F$3004,"""")&lt;&gt;""""),ROWS(C$5:C1476)),"""")"),"")</f>
        <v/>
      </c>
      <c r="D14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Helper'!$F$5:$F$3004,"""")&lt;&gt;""""),ROWS(D$5:D1476)),"""")"),"")</f>
        <v/>
      </c>
      <c r="E14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Helper'!$F$5:$F$3004,"""")&lt;&gt;""""),ROWS(E$5:E1476)),"""")"),"")</f>
        <v/>
      </c>
      <c r="F14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Helper'!$F$5:$F$3004,"""")&lt;&gt;""""),ROWS(F$5:F1476)),IF(AND(LEFT(x,5)=""Pag"&amp;"e "",ISERROR(SEARCH(""–"",x))),x&amp;""–""&amp;REGEXEXTRACT(x,""[0-9]+$""),x)),"""")"),"")</f>
        <v/>
      </c>
      <c r="G1476" s="163"/>
      <c r="H14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Helper'!$F$5:$F$3004,"""")&lt;&gt;""""),ROWS(H$5:H1476)),"""")"),"")</f>
        <v/>
      </c>
    </row>
    <row r="1477" ht="15.75" customHeight="1">
      <c r="A14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Helper'!$F$5:$F$3004,"""")&lt;&gt;""""),ROWS(A$5:A1477)),"""")"),"")</f>
        <v/>
      </c>
      <c r="B14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Helper'!$F$5:$F$3004,"""")&lt;&gt;""""),ROWS(B$5:B1477)),"""")"),"")</f>
        <v/>
      </c>
      <c r="C14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Helper'!$F$5:$F$3004,"""")&lt;&gt;""""),ROWS(C$5:C1477)),"""")"),"")</f>
        <v/>
      </c>
      <c r="D14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Helper'!$F$5:$F$3004,"""")&lt;&gt;""""),ROWS(D$5:D1477)),"""")"),"")</f>
        <v/>
      </c>
      <c r="E14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Helper'!$F$5:$F$3004,"""")&lt;&gt;""""),ROWS(E$5:E1477)),"""")"),"")</f>
        <v/>
      </c>
      <c r="F14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Helper'!$F$5:$F$3004,"""")&lt;&gt;""""),ROWS(F$5:F1477)),IF(AND(LEFT(x,5)=""Pag"&amp;"e "",ISERROR(SEARCH(""–"",x))),x&amp;""–""&amp;REGEXEXTRACT(x,""[0-9]+$""),x)),"""")"),"")</f>
        <v/>
      </c>
      <c r="G1477" s="163"/>
      <c r="H14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Helper'!$F$5:$F$3004,"""")&lt;&gt;""""),ROWS(H$5:H1477)),"""")"),"")</f>
        <v/>
      </c>
    </row>
    <row r="1478" ht="15.75" customHeight="1">
      <c r="A14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Helper'!$F$5:$F$3004,"""")&lt;&gt;""""),ROWS(A$5:A1478)),"""")"),"")</f>
        <v/>
      </c>
      <c r="B14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Helper'!$F$5:$F$3004,"""")&lt;&gt;""""),ROWS(B$5:B1478)),"""")"),"")</f>
        <v/>
      </c>
      <c r="C14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Helper'!$F$5:$F$3004,"""")&lt;&gt;""""),ROWS(C$5:C1478)),"""")"),"")</f>
        <v/>
      </c>
      <c r="D14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Helper'!$F$5:$F$3004,"""")&lt;&gt;""""),ROWS(D$5:D1478)),"""")"),"")</f>
        <v/>
      </c>
      <c r="E14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Helper'!$F$5:$F$3004,"""")&lt;&gt;""""),ROWS(E$5:E1478)),"""")"),"")</f>
        <v/>
      </c>
      <c r="F14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Helper'!$F$5:$F$3004,"""")&lt;&gt;""""),ROWS(F$5:F1478)),IF(AND(LEFT(x,5)=""Pag"&amp;"e "",ISERROR(SEARCH(""–"",x))),x&amp;""–""&amp;REGEXEXTRACT(x,""[0-9]+$""),x)),"""")"),"")</f>
        <v/>
      </c>
      <c r="G1478" s="163"/>
      <c r="H14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Helper'!$F$5:$F$3004,"""")&lt;&gt;""""),ROWS(H$5:H1478)),"""")"),"")</f>
        <v/>
      </c>
    </row>
    <row r="1479" ht="15.75" customHeight="1">
      <c r="A14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Helper'!$F$5:$F$3004,"""")&lt;&gt;""""),ROWS(A$5:A1479)),"""")"),"")</f>
        <v/>
      </c>
      <c r="B14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Helper'!$F$5:$F$3004,"""")&lt;&gt;""""),ROWS(B$5:B1479)),"""")"),"")</f>
        <v/>
      </c>
      <c r="C14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Helper'!$F$5:$F$3004,"""")&lt;&gt;""""),ROWS(C$5:C1479)),"""")"),"")</f>
        <v/>
      </c>
      <c r="D14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Helper'!$F$5:$F$3004,"""")&lt;&gt;""""),ROWS(D$5:D1479)),"""")"),"")</f>
        <v/>
      </c>
      <c r="E14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Helper'!$F$5:$F$3004,"""")&lt;&gt;""""),ROWS(E$5:E1479)),"""")"),"")</f>
        <v/>
      </c>
      <c r="F14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Helper'!$F$5:$F$3004,"""")&lt;&gt;""""),ROWS(F$5:F1479)),IF(AND(LEFT(x,5)=""Pag"&amp;"e "",ISERROR(SEARCH(""–"",x))),x&amp;""–""&amp;REGEXEXTRACT(x,""[0-9]+$""),x)),"""")"),"")</f>
        <v/>
      </c>
      <c r="G1479" s="163"/>
      <c r="H14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Helper'!$F$5:$F$3004,"""")&lt;&gt;""""),ROWS(H$5:H1479)),"""")"),"")</f>
        <v/>
      </c>
    </row>
    <row r="1480" ht="15.75" customHeight="1">
      <c r="A14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Helper'!$F$5:$F$3004,"""")&lt;&gt;""""),ROWS(A$5:A1480)),"""")"),"")</f>
        <v/>
      </c>
      <c r="B14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Helper'!$F$5:$F$3004,"""")&lt;&gt;""""),ROWS(B$5:B1480)),"""")"),"")</f>
        <v/>
      </c>
      <c r="C14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Helper'!$F$5:$F$3004,"""")&lt;&gt;""""),ROWS(C$5:C1480)),"""")"),"")</f>
        <v/>
      </c>
      <c r="D14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Helper'!$F$5:$F$3004,"""")&lt;&gt;""""),ROWS(D$5:D1480)),"""")"),"")</f>
        <v/>
      </c>
      <c r="E14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Helper'!$F$5:$F$3004,"""")&lt;&gt;""""),ROWS(E$5:E1480)),"""")"),"")</f>
        <v/>
      </c>
      <c r="F14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Helper'!$F$5:$F$3004,"""")&lt;&gt;""""),ROWS(F$5:F1480)),IF(AND(LEFT(x,5)=""Pag"&amp;"e "",ISERROR(SEARCH(""–"",x))),x&amp;""–""&amp;REGEXEXTRACT(x,""[0-9]+$""),x)),"""")"),"")</f>
        <v/>
      </c>
      <c r="G1480" s="163"/>
      <c r="H14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Helper'!$F$5:$F$3004,"""")&lt;&gt;""""),ROWS(H$5:H1480)),"""")"),"")</f>
        <v/>
      </c>
    </row>
    <row r="1481" ht="15.75" customHeight="1">
      <c r="A14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Helper'!$F$5:$F$3004,"""")&lt;&gt;""""),ROWS(A$5:A1481)),"""")"),"")</f>
        <v/>
      </c>
      <c r="B14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Helper'!$F$5:$F$3004,"""")&lt;&gt;""""),ROWS(B$5:B1481)),"""")"),"")</f>
        <v/>
      </c>
      <c r="C14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Helper'!$F$5:$F$3004,"""")&lt;&gt;""""),ROWS(C$5:C1481)),"""")"),"")</f>
        <v/>
      </c>
      <c r="D14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Helper'!$F$5:$F$3004,"""")&lt;&gt;""""),ROWS(D$5:D1481)),"""")"),"")</f>
        <v/>
      </c>
      <c r="E14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Helper'!$F$5:$F$3004,"""")&lt;&gt;""""),ROWS(E$5:E1481)),"""")"),"")</f>
        <v/>
      </c>
      <c r="F14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Helper'!$F$5:$F$3004,"""")&lt;&gt;""""),ROWS(F$5:F1481)),IF(AND(LEFT(x,5)=""Pag"&amp;"e "",ISERROR(SEARCH(""–"",x))),x&amp;""–""&amp;REGEXEXTRACT(x,""[0-9]+$""),x)),"""")"),"")</f>
        <v/>
      </c>
      <c r="G1481" s="163"/>
      <c r="H14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Helper'!$F$5:$F$3004,"""")&lt;&gt;""""),ROWS(H$5:H1481)),"""")"),"")</f>
        <v/>
      </c>
    </row>
    <row r="1482" ht="15.75" customHeight="1">
      <c r="A14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Helper'!$F$5:$F$3004,"""")&lt;&gt;""""),ROWS(A$5:A1482)),"""")"),"")</f>
        <v/>
      </c>
      <c r="B14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Helper'!$F$5:$F$3004,"""")&lt;&gt;""""),ROWS(B$5:B1482)),"""")"),"")</f>
        <v/>
      </c>
      <c r="C14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Helper'!$F$5:$F$3004,"""")&lt;&gt;""""),ROWS(C$5:C1482)),"""")"),"")</f>
        <v/>
      </c>
      <c r="D14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Helper'!$F$5:$F$3004,"""")&lt;&gt;""""),ROWS(D$5:D1482)),"""")"),"")</f>
        <v/>
      </c>
      <c r="E14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Helper'!$F$5:$F$3004,"""")&lt;&gt;""""),ROWS(E$5:E1482)),"""")"),"")</f>
        <v/>
      </c>
      <c r="F14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Helper'!$F$5:$F$3004,"""")&lt;&gt;""""),ROWS(F$5:F1482)),IF(AND(LEFT(x,5)=""Pag"&amp;"e "",ISERROR(SEARCH(""–"",x))),x&amp;""–""&amp;REGEXEXTRACT(x,""[0-9]+$""),x)),"""")"),"")</f>
        <v/>
      </c>
      <c r="G1482" s="163"/>
      <c r="H14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Helper'!$F$5:$F$3004,"""")&lt;&gt;""""),ROWS(H$5:H1482)),"""")"),"")</f>
        <v/>
      </c>
    </row>
    <row r="1483" ht="15.75" customHeight="1">
      <c r="A14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Helper'!$F$5:$F$3004,"""")&lt;&gt;""""),ROWS(A$5:A1483)),"""")"),"")</f>
        <v/>
      </c>
      <c r="B14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Helper'!$F$5:$F$3004,"""")&lt;&gt;""""),ROWS(B$5:B1483)),"""")"),"")</f>
        <v/>
      </c>
      <c r="C14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Helper'!$F$5:$F$3004,"""")&lt;&gt;""""),ROWS(C$5:C1483)),"""")"),"")</f>
        <v/>
      </c>
      <c r="D14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Helper'!$F$5:$F$3004,"""")&lt;&gt;""""),ROWS(D$5:D1483)),"""")"),"")</f>
        <v/>
      </c>
      <c r="E14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Helper'!$F$5:$F$3004,"""")&lt;&gt;""""),ROWS(E$5:E1483)),"""")"),"")</f>
        <v/>
      </c>
      <c r="F14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Helper'!$F$5:$F$3004,"""")&lt;&gt;""""),ROWS(F$5:F1483)),IF(AND(LEFT(x,5)=""Pag"&amp;"e "",ISERROR(SEARCH(""–"",x))),x&amp;""–""&amp;REGEXEXTRACT(x,""[0-9]+$""),x)),"""")"),"")</f>
        <v/>
      </c>
      <c r="G1483" s="163"/>
      <c r="H14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Helper'!$F$5:$F$3004,"""")&lt;&gt;""""),ROWS(H$5:H1483)),"""")"),"")</f>
        <v/>
      </c>
    </row>
    <row r="1484" ht="15.75" customHeight="1">
      <c r="A14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Helper'!$F$5:$F$3004,"""")&lt;&gt;""""),ROWS(A$5:A1484)),"""")"),"")</f>
        <v/>
      </c>
      <c r="B14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Helper'!$F$5:$F$3004,"""")&lt;&gt;""""),ROWS(B$5:B1484)),"""")"),"")</f>
        <v/>
      </c>
      <c r="C14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Helper'!$F$5:$F$3004,"""")&lt;&gt;""""),ROWS(C$5:C1484)),"""")"),"")</f>
        <v/>
      </c>
      <c r="D14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Helper'!$F$5:$F$3004,"""")&lt;&gt;""""),ROWS(D$5:D1484)),"""")"),"")</f>
        <v/>
      </c>
      <c r="E14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Helper'!$F$5:$F$3004,"""")&lt;&gt;""""),ROWS(E$5:E1484)),"""")"),"")</f>
        <v/>
      </c>
      <c r="F14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Helper'!$F$5:$F$3004,"""")&lt;&gt;""""),ROWS(F$5:F1484)),IF(AND(LEFT(x,5)=""Pag"&amp;"e "",ISERROR(SEARCH(""–"",x))),x&amp;""–""&amp;REGEXEXTRACT(x,""[0-9]+$""),x)),"""")"),"")</f>
        <v/>
      </c>
      <c r="G1484" s="163"/>
      <c r="H14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Helper'!$F$5:$F$3004,"""")&lt;&gt;""""),ROWS(H$5:H1484)),"""")"),"")</f>
        <v/>
      </c>
    </row>
    <row r="1485" ht="15.75" customHeight="1">
      <c r="A14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Helper'!$F$5:$F$3004,"""")&lt;&gt;""""),ROWS(A$5:A1485)),"""")"),"")</f>
        <v/>
      </c>
      <c r="B14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Helper'!$F$5:$F$3004,"""")&lt;&gt;""""),ROWS(B$5:B1485)),"""")"),"")</f>
        <v/>
      </c>
      <c r="C14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Helper'!$F$5:$F$3004,"""")&lt;&gt;""""),ROWS(C$5:C1485)),"""")"),"")</f>
        <v/>
      </c>
      <c r="D14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Helper'!$F$5:$F$3004,"""")&lt;&gt;""""),ROWS(D$5:D1485)),"""")"),"")</f>
        <v/>
      </c>
      <c r="E14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Helper'!$F$5:$F$3004,"""")&lt;&gt;""""),ROWS(E$5:E1485)),"""")"),"")</f>
        <v/>
      </c>
      <c r="F14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Helper'!$F$5:$F$3004,"""")&lt;&gt;""""),ROWS(F$5:F1485)),IF(AND(LEFT(x,5)=""Pag"&amp;"e "",ISERROR(SEARCH(""–"",x))),x&amp;""–""&amp;REGEXEXTRACT(x,""[0-9]+$""),x)),"""")"),"")</f>
        <v/>
      </c>
      <c r="G1485" s="163"/>
      <c r="H14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Helper'!$F$5:$F$3004,"""")&lt;&gt;""""),ROWS(H$5:H1485)),"""")"),"")</f>
        <v/>
      </c>
    </row>
    <row r="1486" ht="15.75" customHeight="1">
      <c r="A14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Helper'!$F$5:$F$3004,"""")&lt;&gt;""""),ROWS(A$5:A1486)),"""")"),"")</f>
        <v/>
      </c>
      <c r="B14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Helper'!$F$5:$F$3004,"""")&lt;&gt;""""),ROWS(B$5:B1486)),"""")"),"")</f>
        <v/>
      </c>
      <c r="C14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Helper'!$F$5:$F$3004,"""")&lt;&gt;""""),ROWS(C$5:C1486)),"""")"),"")</f>
        <v/>
      </c>
      <c r="D14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Helper'!$F$5:$F$3004,"""")&lt;&gt;""""),ROWS(D$5:D1486)),"""")"),"")</f>
        <v/>
      </c>
      <c r="E14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Helper'!$F$5:$F$3004,"""")&lt;&gt;""""),ROWS(E$5:E1486)),"""")"),"")</f>
        <v/>
      </c>
      <c r="F14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Helper'!$F$5:$F$3004,"""")&lt;&gt;""""),ROWS(F$5:F1486)),IF(AND(LEFT(x,5)=""Pag"&amp;"e "",ISERROR(SEARCH(""–"",x))),x&amp;""–""&amp;REGEXEXTRACT(x,""[0-9]+$""),x)),"""")"),"")</f>
        <v/>
      </c>
      <c r="G1486" s="163"/>
      <c r="H14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Helper'!$F$5:$F$3004,"""")&lt;&gt;""""),ROWS(H$5:H1486)),"""")"),"")</f>
        <v/>
      </c>
    </row>
    <row r="1487" ht="15.75" customHeight="1">
      <c r="A14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Helper'!$F$5:$F$3004,"""")&lt;&gt;""""),ROWS(A$5:A1487)),"""")"),"")</f>
        <v/>
      </c>
      <c r="B14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Helper'!$F$5:$F$3004,"""")&lt;&gt;""""),ROWS(B$5:B1487)),"""")"),"")</f>
        <v/>
      </c>
      <c r="C14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Helper'!$F$5:$F$3004,"""")&lt;&gt;""""),ROWS(C$5:C1487)),"""")"),"")</f>
        <v/>
      </c>
      <c r="D14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Helper'!$F$5:$F$3004,"""")&lt;&gt;""""),ROWS(D$5:D1487)),"""")"),"")</f>
        <v/>
      </c>
      <c r="E14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Helper'!$F$5:$F$3004,"""")&lt;&gt;""""),ROWS(E$5:E1487)),"""")"),"")</f>
        <v/>
      </c>
      <c r="F14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Helper'!$F$5:$F$3004,"""")&lt;&gt;""""),ROWS(F$5:F1487)),IF(AND(LEFT(x,5)=""Pag"&amp;"e "",ISERROR(SEARCH(""–"",x))),x&amp;""–""&amp;REGEXEXTRACT(x,""[0-9]+$""),x)),"""")"),"")</f>
        <v/>
      </c>
      <c r="G1487" s="163"/>
      <c r="H14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Helper'!$F$5:$F$3004,"""")&lt;&gt;""""),ROWS(H$5:H1487)),"""")"),"")</f>
        <v/>
      </c>
    </row>
    <row r="1488" ht="15.75" customHeight="1">
      <c r="A14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Helper'!$F$5:$F$3004,"""")&lt;&gt;""""),ROWS(A$5:A1488)),"""")"),"")</f>
        <v/>
      </c>
      <c r="B14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Helper'!$F$5:$F$3004,"""")&lt;&gt;""""),ROWS(B$5:B1488)),"""")"),"")</f>
        <v/>
      </c>
      <c r="C14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Helper'!$F$5:$F$3004,"""")&lt;&gt;""""),ROWS(C$5:C1488)),"""")"),"")</f>
        <v/>
      </c>
      <c r="D14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Helper'!$F$5:$F$3004,"""")&lt;&gt;""""),ROWS(D$5:D1488)),"""")"),"")</f>
        <v/>
      </c>
      <c r="E14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Helper'!$F$5:$F$3004,"""")&lt;&gt;""""),ROWS(E$5:E1488)),"""")"),"")</f>
        <v/>
      </c>
      <c r="F14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Helper'!$F$5:$F$3004,"""")&lt;&gt;""""),ROWS(F$5:F1488)),IF(AND(LEFT(x,5)=""Pag"&amp;"e "",ISERROR(SEARCH(""–"",x))),x&amp;""–""&amp;REGEXEXTRACT(x,""[0-9]+$""),x)),"""")"),"")</f>
        <v/>
      </c>
      <c r="G1488" s="163"/>
      <c r="H14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Helper'!$F$5:$F$3004,"""")&lt;&gt;""""),ROWS(H$5:H1488)),"""")"),"")</f>
        <v/>
      </c>
    </row>
    <row r="1489" ht="15.75" customHeight="1">
      <c r="A14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Helper'!$F$5:$F$3004,"""")&lt;&gt;""""),ROWS(A$5:A1489)),"""")"),"")</f>
        <v/>
      </c>
      <c r="B14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Helper'!$F$5:$F$3004,"""")&lt;&gt;""""),ROWS(B$5:B1489)),"""")"),"")</f>
        <v/>
      </c>
      <c r="C14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Helper'!$F$5:$F$3004,"""")&lt;&gt;""""),ROWS(C$5:C1489)),"""")"),"")</f>
        <v/>
      </c>
      <c r="D14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Helper'!$F$5:$F$3004,"""")&lt;&gt;""""),ROWS(D$5:D1489)),"""")"),"")</f>
        <v/>
      </c>
      <c r="E14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Helper'!$F$5:$F$3004,"""")&lt;&gt;""""),ROWS(E$5:E1489)),"""")"),"")</f>
        <v/>
      </c>
      <c r="F14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Helper'!$F$5:$F$3004,"""")&lt;&gt;""""),ROWS(F$5:F1489)),IF(AND(LEFT(x,5)=""Pag"&amp;"e "",ISERROR(SEARCH(""–"",x))),x&amp;""–""&amp;REGEXEXTRACT(x,""[0-9]+$""),x)),"""")"),"")</f>
        <v/>
      </c>
      <c r="G1489" s="163"/>
      <c r="H14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Helper'!$F$5:$F$3004,"""")&lt;&gt;""""),ROWS(H$5:H1489)),"""")"),"")</f>
        <v/>
      </c>
    </row>
    <row r="1490" ht="15.75" customHeight="1">
      <c r="A14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Helper'!$F$5:$F$3004,"""")&lt;&gt;""""),ROWS(A$5:A1490)),"""")"),"")</f>
        <v/>
      </c>
      <c r="B14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Helper'!$F$5:$F$3004,"""")&lt;&gt;""""),ROWS(B$5:B1490)),"""")"),"")</f>
        <v/>
      </c>
      <c r="C14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Helper'!$F$5:$F$3004,"""")&lt;&gt;""""),ROWS(C$5:C1490)),"""")"),"")</f>
        <v/>
      </c>
      <c r="D14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Helper'!$F$5:$F$3004,"""")&lt;&gt;""""),ROWS(D$5:D1490)),"""")"),"")</f>
        <v/>
      </c>
      <c r="E14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Helper'!$F$5:$F$3004,"""")&lt;&gt;""""),ROWS(E$5:E1490)),"""")"),"")</f>
        <v/>
      </c>
      <c r="F14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Helper'!$F$5:$F$3004,"""")&lt;&gt;""""),ROWS(F$5:F1490)),IF(AND(LEFT(x,5)=""Pag"&amp;"e "",ISERROR(SEARCH(""–"",x))),x&amp;""–""&amp;REGEXEXTRACT(x,""[0-9]+$""),x)),"""")"),"")</f>
        <v/>
      </c>
      <c r="G1490" s="163"/>
      <c r="H14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Helper'!$F$5:$F$3004,"""")&lt;&gt;""""),ROWS(H$5:H1490)),"""")"),"")</f>
        <v/>
      </c>
    </row>
    <row r="1491" ht="15.75" customHeight="1">
      <c r="A14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Helper'!$F$5:$F$3004,"""")&lt;&gt;""""),ROWS(A$5:A1491)),"""")"),"")</f>
        <v/>
      </c>
      <c r="B14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Helper'!$F$5:$F$3004,"""")&lt;&gt;""""),ROWS(B$5:B1491)),"""")"),"")</f>
        <v/>
      </c>
      <c r="C14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Helper'!$F$5:$F$3004,"""")&lt;&gt;""""),ROWS(C$5:C1491)),"""")"),"")</f>
        <v/>
      </c>
      <c r="D14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Helper'!$F$5:$F$3004,"""")&lt;&gt;""""),ROWS(D$5:D1491)),"""")"),"")</f>
        <v/>
      </c>
      <c r="E14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Helper'!$F$5:$F$3004,"""")&lt;&gt;""""),ROWS(E$5:E1491)),"""")"),"")</f>
        <v/>
      </c>
      <c r="F14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Helper'!$F$5:$F$3004,"""")&lt;&gt;""""),ROWS(F$5:F1491)),IF(AND(LEFT(x,5)=""Pag"&amp;"e "",ISERROR(SEARCH(""–"",x))),x&amp;""–""&amp;REGEXEXTRACT(x,""[0-9]+$""),x)),"""")"),"")</f>
        <v/>
      </c>
      <c r="G1491" s="163"/>
      <c r="H14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Helper'!$F$5:$F$3004,"""")&lt;&gt;""""),ROWS(H$5:H1491)),"""")"),"")</f>
        <v/>
      </c>
    </row>
    <row r="1492" ht="15.75" customHeight="1">
      <c r="A14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Helper'!$F$5:$F$3004,"""")&lt;&gt;""""),ROWS(A$5:A1492)),"""")"),"")</f>
        <v/>
      </c>
      <c r="B14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Helper'!$F$5:$F$3004,"""")&lt;&gt;""""),ROWS(B$5:B1492)),"""")"),"")</f>
        <v/>
      </c>
      <c r="C14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Helper'!$F$5:$F$3004,"""")&lt;&gt;""""),ROWS(C$5:C1492)),"""")"),"")</f>
        <v/>
      </c>
      <c r="D14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Helper'!$F$5:$F$3004,"""")&lt;&gt;""""),ROWS(D$5:D1492)),"""")"),"")</f>
        <v/>
      </c>
      <c r="E14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Helper'!$F$5:$F$3004,"""")&lt;&gt;""""),ROWS(E$5:E1492)),"""")"),"")</f>
        <v/>
      </c>
      <c r="F14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Helper'!$F$5:$F$3004,"""")&lt;&gt;""""),ROWS(F$5:F1492)),IF(AND(LEFT(x,5)=""Pag"&amp;"e "",ISERROR(SEARCH(""–"",x))),x&amp;""–""&amp;REGEXEXTRACT(x,""[0-9]+$""),x)),"""")"),"")</f>
        <v/>
      </c>
      <c r="G1492" s="163"/>
      <c r="H14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Helper'!$F$5:$F$3004,"""")&lt;&gt;""""),ROWS(H$5:H1492)),"""")"),"")</f>
        <v/>
      </c>
    </row>
    <row r="1493" ht="15.75" customHeight="1">
      <c r="A14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Helper'!$F$5:$F$3004,"""")&lt;&gt;""""),ROWS(A$5:A1493)),"""")"),"")</f>
        <v/>
      </c>
      <c r="B14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Helper'!$F$5:$F$3004,"""")&lt;&gt;""""),ROWS(B$5:B1493)),"""")"),"")</f>
        <v/>
      </c>
      <c r="C14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Helper'!$F$5:$F$3004,"""")&lt;&gt;""""),ROWS(C$5:C1493)),"""")"),"")</f>
        <v/>
      </c>
      <c r="D14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Helper'!$F$5:$F$3004,"""")&lt;&gt;""""),ROWS(D$5:D1493)),"""")"),"")</f>
        <v/>
      </c>
      <c r="E14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Helper'!$F$5:$F$3004,"""")&lt;&gt;""""),ROWS(E$5:E1493)),"""")"),"")</f>
        <v/>
      </c>
      <c r="F14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Helper'!$F$5:$F$3004,"""")&lt;&gt;""""),ROWS(F$5:F1493)),IF(AND(LEFT(x,5)=""Pag"&amp;"e "",ISERROR(SEARCH(""–"",x))),x&amp;""–""&amp;REGEXEXTRACT(x,""[0-9]+$""),x)),"""")"),"")</f>
        <v/>
      </c>
      <c r="G1493" s="163"/>
      <c r="H14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Helper'!$F$5:$F$3004,"""")&lt;&gt;""""),ROWS(H$5:H1493)),"""")"),"")</f>
        <v/>
      </c>
    </row>
    <row r="1494" ht="15.75" customHeight="1">
      <c r="A14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Helper'!$F$5:$F$3004,"""")&lt;&gt;""""),ROWS(A$5:A1494)),"""")"),"")</f>
        <v/>
      </c>
      <c r="B14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Helper'!$F$5:$F$3004,"""")&lt;&gt;""""),ROWS(B$5:B1494)),"""")"),"")</f>
        <v/>
      </c>
      <c r="C14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Helper'!$F$5:$F$3004,"""")&lt;&gt;""""),ROWS(C$5:C1494)),"""")"),"")</f>
        <v/>
      </c>
      <c r="D14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Helper'!$F$5:$F$3004,"""")&lt;&gt;""""),ROWS(D$5:D1494)),"""")"),"")</f>
        <v/>
      </c>
      <c r="E14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Helper'!$F$5:$F$3004,"""")&lt;&gt;""""),ROWS(E$5:E1494)),"""")"),"")</f>
        <v/>
      </c>
      <c r="F14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Helper'!$F$5:$F$3004,"""")&lt;&gt;""""),ROWS(F$5:F1494)),IF(AND(LEFT(x,5)=""Pag"&amp;"e "",ISERROR(SEARCH(""–"",x))),x&amp;""–""&amp;REGEXEXTRACT(x,""[0-9]+$""),x)),"""")"),"")</f>
        <v/>
      </c>
      <c r="G1494" s="163"/>
      <c r="H14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Helper'!$F$5:$F$3004,"""")&lt;&gt;""""),ROWS(H$5:H1494)),"""")"),"")</f>
        <v/>
      </c>
    </row>
    <row r="1495" ht="15.75" customHeight="1">
      <c r="A14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Helper'!$F$5:$F$3004,"""")&lt;&gt;""""),ROWS(A$5:A1495)),"""")"),"")</f>
        <v/>
      </c>
      <c r="B14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Helper'!$F$5:$F$3004,"""")&lt;&gt;""""),ROWS(B$5:B1495)),"""")"),"")</f>
        <v/>
      </c>
      <c r="C14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Helper'!$F$5:$F$3004,"""")&lt;&gt;""""),ROWS(C$5:C1495)),"""")"),"")</f>
        <v/>
      </c>
      <c r="D14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Helper'!$F$5:$F$3004,"""")&lt;&gt;""""),ROWS(D$5:D1495)),"""")"),"")</f>
        <v/>
      </c>
      <c r="E14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Helper'!$F$5:$F$3004,"""")&lt;&gt;""""),ROWS(E$5:E1495)),"""")"),"")</f>
        <v/>
      </c>
      <c r="F14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Helper'!$F$5:$F$3004,"""")&lt;&gt;""""),ROWS(F$5:F1495)),IF(AND(LEFT(x,5)=""Pag"&amp;"e "",ISERROR(SEARCH(""–"",x))),x&amp;""–""&amp;REGEXEXTRACT(x,""[0-9]+$""),x)),"""")"),"")</f>
        <v/>
      </c>
      <c r="G1495" s="163"/>
      <c r="H14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Helper'!$F$5:$F$3004,"""")&lt;&gt;""""),ROWS(H$5:H1495)),"""")"),"")</f>
        <v/>
      </c>
    </row>
    <row r="1496" ht="15.75" customHeight="1">
      <c r="A14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Helper'!$F$5:$F$3004,"""")&lt;&gt;""""),ROWS(A$5:A1496)),"""")"),"")</f>
        <v/>
      </c>
      <c r="B14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Helper'!$F$5:$F$3004,"""")&lt;&gt;""""),ROWS(B$5:B1496)),"""")"),"")</f>
        <v/>
      </c>
      <c r="C14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Helper'!$F$5:$F$3004,"""")&lt;&gt;""""),ROWS(C$5:C1496)),"""")"),"")</f>
        <v/>
      </c>
      <c r="D14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Helper'!$F$5:$F$3004,"""")&lt;&gt;""""),ROWS(D$5:D1496)),"""")"),"")</f>
        <v/>
      </c>
      <c r="E14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Helper'!$F$5:$F$3004,"""")&lt;&gt;""""),ROWS(E$5:E1496)),"""")"),"")</f>
        <v/>
      </c>
      <c r="F14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Helper'!$F$5:$F$3004,"""")&lt;&gt;""""),ROWS(F$5:F1496)),IF(AND(LEFT(x,5)=""Pag"&amp;"e "",ISERROR(SEARCH(""–"",x))),x&amp;""–""&amp;REGEXEXTRACT(x,""[0-9]+$""),x)),"""")"),"")</f>
        <v/>
      </c>
      <c r="G1496" s="163"/>
      <c r="H14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Helper'!$F$5:$F$3004,"""")&lt;&gt;""""),ROWS(H$5:H1496)),"""")"),"")</f>
        <v/>
      </c>
    </row>
    <row r="1497" ht="15.75" customHeight="1">
      <c r="A14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Helper'!$F$5:$F$3004,"""")&lt;&gt;""""),ROWS(A$5:A1497)),"""")"),"")</f>
        <v/>
      </c>
      <c r="B14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Helper'!$F$5:$F$3004,"""")&lt;&gt;""""),ROWS(B$5:B1497)),"""")"),"")</f>
        <v/>
      </c>
      <c r="C14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Helper'!$F$5:$F$3004,"""")&lt;&gt;""""),ROWS(C$5:C1497)),"""")"),"")</f>
        <v/>
      </c>
      <c r="D14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Helper'!$F$5:$F$3004,"""")&lt;&gt;""""),ROWS(D$5:D1497)),"""")"),"")</f>
        <v/>
      </c>
      <c r="E14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Helper'!$F$5:$F$3004,"""")&lt;&gt;""""),ROWS(E$5:E1497)),"""")"),"")</f>
        <v/>
      </c>
      <c r="F14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Helper'!$F$5:$F$3004,"""")&lt;&gt;""""),ROWS(F$5:F1497)),IF(AND(LEFT(x,5)=""Pag"&amp;"e "",ISERROR(SEARCH(""–"",x))),x&amp;""–""&amp;REGEXEXTRACT(x,""[0-9]+$""),x)),"""")"),"")</f>
        <v/>
      </c>
      <c r="G1497" s="163"/>
      <c r="H14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Helper'!$F$5:$F$3004,"""")&lt;&gt;""""),ROWS(H$5:H1497)),"""")"),"")</f>
        <v/>
      </c>
    </row>
    <row r="1498" ht="15.75" customHeight="1">
      <c r="A14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Helper'!$F$5:$F$3004,"""")&lt;&gt;""""),ROWS(A$5:A1498)),"""")"),"")</f>
        <v/>
      </c>
      <c r="B14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Helper'!$F$5:$F$3004,"""")&lt;&gt;""""),ROWS(B$5:B1498)),"""")"),"")</f>
        <v/>
      </c>
      <c r="C14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Helper'!$F$5:$F$3004,"""")&lt;&gt;""""),ROWS(C$5:C1498)),"""")"),"")</f>
        <v/>
      </c>
      <c r="D14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Helper'!$F$5:$F$3004,"""")&lt;&gt;""""),ROWS(D$5:D1498)),"""")"),"")</f>
        <v/>
      </c>
      <c r="E14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Helper'!$F$5:$F$3004,"""")&lt;&gt;""""),ROWS(E$5:E1498)),"""")"),"")</f>
        <v/>
      </c>
      <c r="F14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Helper'!$F$5:$F$3004,"""")&lt;&gt;""""),ROWS(F$5:F1498)),IF(AND(LEFT(x,5)=""Pag"&amp;"e "",ISERROR(SEARCH(""–"",x))),x&amp;""–""&amp;REGEXEXTRACT(x,""[0-9]+$""),x)),"""")"),"")</f>
        <v/>
      </c>
      <c r="G1498" s="163"/>
      <c r="H14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Helper'!$F$5:$F$3004,"""")&lt;&gt;""""),ROWS(H$5:H1498)),"""")"),"")</f>
        <v/>
      </c>
    </row>
    <row r="1499" ht="15.75" customHeight="1">
      <c r="A14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Helper'!$F$5:$F$3004,"""")&lt;&gt;""""),ROWS(A$5:A1499)),"""")"),"")</f>
        <v/>
      </c>
      <c r="B14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Helper'!$F$5:$F$3004,"""")&lt;&gt;""""),ROWS(B$5:B1499)),"""")"),"")</f>
        <v/>
      </c>
      <c r="C14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Helper'!$F$5:$F$3004,"""")&lt;&gt;""""),ROWS(C$5:C1499)),"""")"),"")</f>
        <v/>
      </c>
      <c r="D14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Helper'!$F$5:$F$3004,"""")&lt;&gt;""""),ROWS(D$5:D1499)),"""")"),"")</f>
        <v/>
      </c>
      <c r="E14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Helper'!$F$5:$F$3004,"""")&lt;&gt;""""),ROWS(E$5:E1499)),"""")"),"")</f>
        <v/>
      </c>
      <c r="F14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Helper'!$F$5:$F$3004,"""")&lt;&gt;""""),ROWS(F$5:F1499)),IF(AND(LEFT(x,5)=""Pag"&amp;"e "",ISERROR(SEARCH(""–"",x))),x&amp;""–""&amp;REGEXEXTRACT(x,""[0-9]+$""),x)),"""")"),"")</f>
        <v/>
      </c>
      <c r="G1499" s="163"/>
      <c r="H14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Helper'!$F$5:$F$3004,"""")&lt;&gt;""""),ROWS(H$5:H1499)),"""")"),"")</f>
        <v/>
      </c>
    </row>
    <row r="1500" ht="15.75" customHeight="1">
      <c r="A15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Helper'!$F$5:$F$3004,"""")&lt;&gt;""""),ROWS(A$5:A1500)),"""")"),"")</f>
        <v/>
      </c>
      <c r="B15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Helper'!$F$5:$F$3004,"""")&lt;&gt;""""),ROWS(B$5:B1500)),"""")"),"")</f>
        <v/>
      </c>
      <c r="C15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Helper'!$F$5:$F$3004,"""")&lt;&gt;""""),ROWS(C$5:C1500)),"""")"),"")</f>
        <v/>
      </c>
      <c r="D15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Helper'!$F$5:$F$3004,"""")&lt;&gt;""""),ROWS(D$5:D1500)),"""")"),"")</f>
        <v/>
      </c>
      <c r="E15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Helper'!$F$5:$F$3004,"""")&lt;&gt;""""),ROWS(E$5:E1500)),"""")"),"")</f>
        <v/>
      </c>
      <c r="F15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Helper'!$F$5:$F$3004,"""")&lt;&gt;""""),ROWS(F$5:F1500)),IF(AND(LEFT(x,5)=""Pag"&amp;"e "",ISERROR(SEARCH(""–"",x))),x&amp;""–""&amp;REGEXEXTRACT(x,""[0-9]+$""),x)),"""")"),"")</f>
        <v/>
      </c>
      <c r="G1500" s="163"/>
      <c r="H15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Helper'!$F$5:$F$3004,"""")&lt;&gt;""""),ROWS(H$5:H1500)),"""")"),"")</f>
        <v/>
      </c>
    </row>
    <row r="1501" ht="15.75" customHeight="1">
      <c r="A15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Helper'!$F$5:$F$3004,"""")&lt;&gt;""""),ROWS(A$5:A1501)),"""")"),"")</f>
        <v/>
      </c>
      <c r="B15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Helper'!$F$5:$F$3004,"""")&lt;&gt;""""),ROWS(B$5:B1501)),"""")"),"")</f>
        <v/>
      </c>
      <c r="C15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Helper'!$F$5:$F$3004,"""")&lt;&gt;""""),ROWS(C$5:C1501)),"""")"),"")</f>
        <v/>
      </c>
      <c r="D15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Helper'!$F$5:$F$3004,"""")&lt;&gt;""""),ROWS(D$5:D1501)),"""")"),"")</f>
        <v/>
      </c>
      <c r="E15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Helper'!$F$5:$F$3004,"""")&lt;&gt;""""),ROWS(E$5:E1501)),"""")"),"")</f>
        <v/>
      </c>
      <c r="F15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Helper'!$F$5:$F$3004,"""")&lt;&gt;""""),ROWS(F$5:F1501)),IF(AND(LEFT(x,5)=""Pag"&amp;"e "",ISERROR(SEARCH(""–"",x))),x&amp;""–""&amp;REGEXEXTRACT(x,""[0-9]+$""),x)),"""")"),"")</f>
        <v/>
      </c>
      <c r="G1501" s="163"/>
      <c r="H15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Helper'!$F$5:$F$3004,"""")&lt;&gt;""""),ROWS(H$5:H1501)),"""")"),"")</f>
        <v/>
      </c>
    </row>
    <row r="1502" ht="15.75" customHeight="1">
      <c r="A15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Helper'!$F$5:$F$3004,"""")&lt;&gt;""""),ROWS(A$5:A1502)),"""")"),"")</f>
        <v/>
      </c>
      <c r="B15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Helper'!$F$5:$F$3004,"""")&lt;&gt;""""),ROWS(B$5:B1502)),"""")"),"")</f>
        <v/>
      </c>
      <c r="C15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Helper'!$F$5:$F$3004,"""")&lt;&gt;""""),ROWS(C$5:C1502)),"""")"),"")</f>
        <v/>
      </c>
      <c r="D15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Helper'!$F$5:$F$3004,"""")&lt;&gt;""""),ROWS(D$5:D1502)),"""")"),"")</f>
        <v/>
      </c>
      <c r="E15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Helper'!$F$5:$F$3004,"""")&lt;&gt;""""),ROWS(E$5:E1502)),"""")"),"")</f>
        <v/>
      </c>
      <c r="F15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Helper'!$F$5:$F$3004,"""")&lt;&gt;""""),ROWS(F$5:F1502)),IF(AND(LEFT(x,5)=""Pag"&amp;"e "",ISERROR(SEARCH(""–"",x))),x&amp;""–""&amp;REGEXEXTRACT(x,""[0-9]+$""),x)),"""")"),"")</f>
        <v/>
      </c>
      <c r="G1502" s="163"/>
      <c r="H15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Helper'!$F$5:$F$3004,"""")&lt;&gt;""""),ROWS(H$5:H1502)),"""")"),"")</f>
        <v/>
      </c>
    </row>
    <row r="1503" ht="15.75" customHeight="1">
      <c r="A15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Helper'!$F$5:$F$3004,"""")&lt;&gt;""""),ROWS(A$5:A1503)),"""")"),"")</f>
        <v/>
      </c>
      <c r="B15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Helper'!$F$5:$F$3004,"""")&lt;&gt;""""),ROWS(B$5:B1503)),"""")"),"")</f>
        <v/>
      </c>
      <c r="C15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Helper'!$F$5:$F$3004,"""")&lt;&gt;""""),ROWS(C$5:C1503)),"""")"),"")</f>
        <v/>
      </c>
      <c r="D15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Helper'!$F$5:$F$3004,"""")&lt;&gt;""""),ROWS(D$5:D1503)),"""")"),"")</f>
        <v/>
      </c>
      <c r="E15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Helper'!$F$5:$F$3004,"""")&lt;&gt;""""),ROWS(E$5:E1503)),"""")"),"")</f>
        <v/>
      </c>
      <c r="F15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Helper'!$F$5:$F$3004,"""")&lt;&gt;""""),ROWS(F$5:F1503)),IF(AND(LEFT(x,5)=""Pag"&amp;"e "",ISERROR(SEARCH(""–"",x))),x&amp;""–""&amp;REGEXEXTRACT(x,""[0-9]+$""),x)),"""")"),"")</f>
        <v/>
      </c>
      <c r="G1503" s="163"/>
      <c r="H15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Helper'!$F$5:$F$3004,"""")&lt;&gt;""""),ROWS(H$5:H1503)),"""")"),"")</f>
        <v/>
      </c>
    </row>
    <row r="1504" ht="15.75" customHeight="1">
      <c r="A15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Helper'!$F$5:$F$3004,"""")&lt;&gt;""""),ROWS(A$5:A1504)),"""")"),"")</f>
        <v/>
      </c>
      <c r="B15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Helper'!$F$5:$F$3004,"""")&lt;&gt;""""),ROWS(B$5:B1504)),"""")"),"")</f>
        <v/>
      </c>
      <c r="C15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Helper'!$F$5:$F$3004,"""")&lt;&gt;""""),ROWS(C$5:C1504)),"""")"),"")</f>
        <v/>
      </c>
      <c r="D15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Helper'!$F$5:$F$3004,"""")&lt;&gt;""""),ROWS(D$5:D1504)),"""")"),"")</f>
        <v/>
      </c>
      <c r="E15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Helper'!$F$5:$F$3004,"""")&lt;&gt;""""),ROWS(E$5:E1504)),"""")"),"")</f>
        <v/>
      </c>
      <c r="F15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Helper'!$F$5:$F$3004,"""")&lt;&gt;""""),ROWS(F$5:F1504)),IF(AND(LEFT(x,5)=""Pag"&amp;"e "",ISERROR(SEARCH(""–"",x))),x&amp;""–""&amp;REGEXEXTRACT(x,""[0-9]+$""),x)),"""")"),"")</f>
        <v/>
      </c>
      <c r="G1504" s="163"/>
      <c r="H15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Helper'!$F$5:$F$3004,"""")&lt;&gt;""""),ROWS(H$5:H1504)),"""")"),"")</f>
        <v/>
      </c>
    </row>
    <row r="1505" ht="15.75" customHeight="1">
      <c r="A15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Helper'!$F$5:$F$3004,"""")&lt;&gt;""""),ROWS(A$5:A1505)),"""")"),"")</f>
        <v/>
      </c>
      <c r="B15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Helper'!$F$5:$F$3004,"""")&lt;&gt;""""),ROWS(B$5:B1505)),"""")"),"")</f>
        <v/>
      </c>
      <c r="C15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Helper'!$F$5:$F$3004,"""")&lt;&gt;""""),ROWS(C$5:C1505)),"""")"),"")</f>
        <v/>
      </c>
      <c r="D15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Helper'!$F$5:$F$3004,"""")&lt;&gt;""""),ROWS(D$5:D1505)),"""")"),"")</f>
        <v/>
      </c>
      <c r="E15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Helper'!$F$5:$F$3004,"""")&lt;&gt;""""),ROWS(E$5:E1505)),"""")"),"")</f>
        <v/>
      </c>
      <c r="F15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Helper'!$F$5:$F$3004,"""")&lt;&gt;""""),ROWS(F$5:F1505)),IF(AND(LEFT(x,5)=""Pag"&amp;"e "",ISERROR(SEARCH(""–"",x))),x&amp;""–""&amp;REGEXEXTRACT(x,""[0-9]+$""),x)),"""")"),"")</f>
        <v/>
      </c>
      <c r="G1505" s="163"/>
      <c r="H15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Helper'!$F$5:$F$3004,"""")&lt;&gt;""""),ROWS(H$5:H1505)),"""")"),"")</f>
        <v/>
      </c>
    </row>
    <row r="1506" ht="15.75" customHeight="1">
      <c r="A15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Helper'!$F$5:$F$3004,"""")&lt;&gt;""""),ROWS(A$5:A1506)),"""")"),"")</f>
        <v/>
      </c>
      <c r="B15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Helper'!$F$5:$F$3004,"""")&lt;&gt;""""),ROWS(B$5:B1506)),"""")"),"")</f>
        <v/>
      </c>
      <c r="C15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Helper'!$F$5:$F$3004,"""")&lt;&gt;""""),ROWS(C$5:C1506)),"""")"),"")</f>
        <v/>
      </c>
      <c r="D15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Helper'!$F$5:$F$3004,"""")&lt;&gt;""""),ROWS(D$5:D1506)),"""")"),"")</f>
        <v/>
      </c>
      <c r="E15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Helper'!$F$5:$F$3004,"""")&lt;&gt;""""),ROWS(E$5:E1506)),"""")"),"")</f>
        <v/>
      </c>
      <c r="F15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Helper'!$F$5:$F$3004,"""")&lt;&gt;""""),ROWS(F$5:F1506)),IF(AND(LEFT(x,5)=""Pag"&amp;"e "",ISERROR(SEARCH(""–"",x))),x&amp;""–""&amp;REGEXEXTRACT(x,""[0-9]+$""),x)),"""")"),"")</f>
        <v/>
      </c>
      <c r="G1506" s="163"/>
      <c r="H15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Helper'!$F$5:$F$3004,"""")&lt;&gt;""""),ROWS(H$5:H1506)),"""")"),"")</f>
        <v/>
      </c>
    </row>
    <row r="1507" ht="15.75" customHeight="1">
      <c r="A15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Helper'!$F$5:$F$3004,"""")&lt;&gt;""""),ROWS(A$5:A1507)),"""")"),"")</f>
        <v/>
      </c>
      <c r="B15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Helper'!$F$5:$F$3004,"""")&lt;&gt;""""),ROWS(B$5:B1507)),"""")"),"")</f>
        <v/>
      </c>
      <c r="C15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Helper'!$F$5:$F$3004,"""")&lt;&gt;""""),ROWS(C$5:C1507)),"""")"),"")</f>
        <v/>
      </c>
      <c r="D15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Helper'!$F$5:$F$3004,"""")&lt;&gt;""""),ROWS(D$5:D1507)),"""")"),"")</f>
        <v/>
      </c>
      <c r="E15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Helper'!$F$5:$F$3004,"""")&lt;&gt;""""),ROWS(E$5:E1507)),"""")"),"")</f>
        <v/>
      </c>
      <c r="F15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Helper'!$F$5:$F$3004,"""")&lt;&gt;""""),ROWS(F$5:F1507)),IF(AND(LEFT(x,5)=""Pag"&amp;"e "",ISERROR(SEARCH(""–"",x))),x&amp;""–""&amp;REGEXEXTRACT(x,""[0-9]+$""),x)),"""")"),"")</f>
        <v/>
      </c>
      <c r="G1507" s="163"/>
      <c r="H15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Helper'!$F$5:$F$3004,"""")&lt;&gt;""""),ROWS(H$5:H1507)),"""")"),"")</f>
        <v/>
      </c>
    </row>
    <row r="1508" ht="15.75" customHeight="1">
      <c r="A15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Helper'!$F$5:$F$3004,"""")&lt;&gt;""""),ROWS(A$5:A1508)),"""")"),"")</f>
        <v/>
      </c>
      <c r="B15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Helper'!$F$5:$F$3004,"""")&lt;&gt;""""),ROWS(B$5:B1508)),"""")"),"")</f>
        <v/>
      </c>
      <c r="C15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Helper'!$F$5:$F$3004,"""")&lt;&gt;""""),ROWS(C$5:C1508)),"""")"),"")</f>
        <v/>
      </c>
      <c r="D15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Helper'!$F$5:$F$3004,"""")&lt;&gt;""""),ROWS(D$5:D1508)),"""")"),"")</f>
        <v/>
      </c>
      <c r="E15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Helper'!$F$5:$F$3004,"""")&lt;&gt;""""),ROWS(E$5:E1508)),"""")"),"")</f>
        <v/>
      </c>
      <c r="F15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Helper'!$F$5:$F$3004,"""")&lt;&gt;""""),ROWS(F$5:F1508)),IF(AND(LEFT(x,5)=""Pag"&amp;"e "",ISERROR(SEARCH(""–"",x))),x&amp;""–""&amp;REGEXEXTRACT(x,""[0-9]+$""),x)),"""")"),"")</f>
        <v/>
      </c>
      <c r="G1508" s="163"/>
      <c r="H15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Helper'!$F$5:$F$3004,"""")&lt;&gt;""""),ROWS(H$5:H1508)),"""")"),"")</f>
        <v/>
      </c>
    </row>
    <row r="1509" ht="15.75" customHeight="1">
      <c r="A15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Helper'!$F$5:$F$3004,"""")&lt;&gt;""""),ROWS(A$5:A1509)),"""")"),"")</f>
        <v/>
      </c>
      <c r="B15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Helper'!$F$5:$F$3004,"""")&lt;&gt;""""),ROWS(B$5:B1509)),"""")"),"")</f>
        <v/>
      </c>
      <c r="C15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Helper'!$F$5:$F$3004,"""")&lt;&gt;""""),ROWS(C$5:C1509)),"""")"),"")</f>
        <v/>
      </c>
      <c r="D15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Helper'!$F$5:$F$3004,"""")&lt;&gt;""""),ROWS(D$5:D1509)),"""")"),"")</f>
        <v/>
      </c>
      <c r="E15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Helper'!$F$5:$F$3004,"""")&lt;&gt;""""),ROWS(E$5:E1509)),"""")"),"")</f>
        <v/>
      </c>
      <c r="F15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Helper'!$F$5:$F$3004,"""")&lt;&gt;""""),ROWS(F$5:F1509)),IF(AND(LEFT(x,5)=""Pag"&amp;"e "",ISERROR(SEARCH(""–"",x))),x&amp;""–""&amp;REGEXEXTRACT(x,""[0-9]+$""),x)),"""")"),"")</f>
        <v/>
      </c>
      <c r="G1509" s="163"/>
      <c r="H15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Helper'!$F$5:$F$3004,"""")&lt;&gt;""""),ROWS(H$5:H1509)),"""")"),"")</f>
        <v/>
      </c>
    </row>
    <row r="1510" ht="15.75" customHeight="1">
      <c r="A15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Helper'!$F$5:$F$3004,"""")&lt;&gt;""""),ROWS(A$5:A1510)),"""")"),"")</f>
        <v/>
      </c>
      <c r="B15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Helper'!$F$5:$F$3004,"""")&lt;&gt;""""),ROWS(B$5:B1510)),"""")"),"")</f>
        <v/>
      </c>
      <c r="C15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Helper'!$F$5:$F$3004,"""")&lt;&gt;""""),ROWS(C$5:C1510)),"""")"),"")</f>
        <v/>
      </c>
      <c r="D15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Helper'!$F$5:$F$3004,"""")&lt;&gt;""""),ROWS(D$5:D1510)),"""")"),"")</f>
        <v/>
      </c>
      <c r="E15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Helper'!$F$5:$F$3004,"""")&lt;&gt;""""),ROWS(E$5:E1510)),"""")"),"")</f>
        <v/>
      </c>
      <c r="F15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Helper'!$F$5:$F$3004,"""")&lt;&gt;""""),ROWS(F$5:F1510)),IF(AND(LEFT(x,5)=""Pag"&amp;"e "",ISERROR(SEARCH(""–"",x))),x&amp;""–""&amp;REGEXEXTRACT(x,""[0-9]+$""),x)),"""")"),"")</f>
        <v/>
      </c>
      <c r="G1510" s="163"/>
      <c r="H15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Helper'!$F$5:$F$3004,"""")&lt;&gt;""""),ROWS(H$5:H1510)),"""")"),"")</f>
        <v/>
      </c>
    </row>
    <row r="1511" ht="15.75" customHeight="1">
      <c r="A15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Helper'!$F$5:$F$3004,"""")&lt;&gt;""""),ROWS(A$5:A1511)),"""")"),"")</f>
        <v/>
      </c>
      <c r="B15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Helper'!$F$5:$F$3004,"""")&lt;&gt;""""),ROWS(B$5:B1511)),"""")"),"")</f>
        <v/>
      </c>
      <c r="C15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Helper'!$F$5:$F$3004,"""")&lt;&gt;""""),ROWS(C$5:C1511)),"""")"),"")</f>
        <v/>
      </c>
      <c r="D15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Helper'!$F$5:$F$3004,"""")&lt;&gt;""""),ROWS(D$5:D1511)),"""")"),"")</f>
        <v/>
      </c>
      <c r="E15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Helper'!$F$5:$F$3004,"""")&lt;&gt;""""),ROWS(E$5:E1511)),"""")"),"")</f>
        <v/>
      </c>
      <c r="F15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Helper'!$F$5:$F$3004,"""")&lt;&gt;""""),ROWS(F$5:F1511)),IF(AND(LEFT(x,5)=""Pag"&amp;"e "",ISERROR(SEARCH(""–"",x))),x&amp;""–""&amp;REGEXEXTRACT(x,""[0-9]+$""),x)),"""")"),"")</f>
        <v/>
      </c>
      <c r="G1511" s="163"/>
      <c r="H15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Helper'!$F$5:$F$3004,"""")&lt;&gt;""""),ROWS(H$5:H1511)),"""")"),"")</f>
        <v/>
      </c>
    </row>
    <row r="1512" ht="15.75" customHeight="1">
      <c r="A15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Helper'!$F$5:$F$3004,"""")&lt;&gt;""""),ROWS(A$5:A1512)),"""")"),"")</f>
        <v/>
      </c>
      <c r="B15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Helper'!$F$5:$F$3004,"""")&lt;&gt;""""),ROWS(B$5:B1512)),"""")"),"")</f>
        <v/>
      </c>
      <c r="C15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Helper'!$F$5:$F$3004,"""")&lt;&gt;""""),ROWS(C$5:C1512)),"""")"),"")</f>
        <v/>
      </c>
      <c r="D15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Helper'!$F$5:$F$3004,"""")&lt;&gt;""""),ROWS(D$5:D1512)),"""")"),"")</f>
        <v/>
      </c>
      <c r="E15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Helper'!$F$5:$F$3004,"""")&lt;&gt;""""),ROWS(E$5:E1512)),"""")"),"")</f>
        <v/>
      </c>
      <c r="F15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Helper'!$F$5:$F$3004,"""")&lt;&gt;""""),ROWS(F$5:F1512)),IF(AND(LEFT(x,5)=""Pag"&amp;"e "",ISERROR(SEARCH(""–"",x))),x&amp;""–""&amp;REGEXEXTRACT(x,""[0-9]+$""),x)),"""")"),"")</f>
        <v/>
      </c>
      <c r="G1512" s="163"/>
      <c r="H15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Helper'!$F$5:$F$3004,"""")&lt;&gt;""""),ROWS(H$5:H1512)),"""")"),"")</f>
        <v/>
      </c>
    </row>
    <row r="1513" ht="15.75" customHeight="1">
      <c r="A15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Helper'!$F$5:$F$3004,"""")&lt;&gt;""""),ROWS(A$5:A1513)),"""")"),"")</f>
        <v/>
      </c>
      <c r="B15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Helper'!$F$5:$F$3004,"""")&lt;&gt;""""),ROWS(B$5:B1513)),"""")"),"")</f>
        <v/>
      </c>
      <c r="C15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Helper'!$F$5:$F$3004,"""")&lt;&gt;""""),ROWS(C$5:C1513)),"""")"),"")</f>
        <v/>
      </c>
      <c r="D15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Helper'!$F$5:$F$3004,"""")&lt;&gt;""""),ROWS(D$5:D1513)),"""")"),"")</f>
        <v/>
      </c>
      <c r="E15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Helper'!$F$5:$F$3004,"""")&lt;&gt;""""),ROWS(E$5:E1513)),"""")"),"")</f>
        <v/>
      </c>
      <c r="F15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Helper'!$F$5:$F$3004,"""")&lt;&gt;""""),ROWS(F$5:F1513)),IF(AND(LEFT(x,5)=""Pag"&amp;"e "",ISERROR(SEARCH(""–"",x))),x&amp;""–""&amp;REGEXEXTRACT(x,""[0-9]+$""),x)),"""")"),"")</f>
        <v/>
      </c>
      <c r="G1513" s="163"/>
      <c r="H15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Helper'!$F$5:$F$3004,"""")&lt;&gt;""""),ROWS(H$5:H1513)),"""")"),"")</f>
        <v/>
      </c>
    </row>
    <row r="1514" ht="15.75" customHeight="1">
      <c r="A15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Helper'!$F$5:$F$3004,"""")&lt;&gt;""""),ROWS(A$5:A1514)),"""")"),"")</f>
        <v/>
      </c>
      <c r="B15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Helper'!$F$5:$F$3004,"""")&lt;&gt;""""),ROWS(B$5:B1514)),"""")"),"")</f>
        <v/>
      </c>
      <c r="C15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Helper'!$F$5:$F$3004,"""")&lt;&gt;""""),ROWS(C$5:C1514)),"""")"),"")</f>
        <v/>
      </c>
      <c r="D15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Helper'!$F$5:$F$3004,"""")&lt;&gt;""""),ROWS(D$5:D1514)),"""")"),"")</f>
        <v/>
      </c>
      <c r="E15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Helper'!$F$5:$F$3004,"""")&lt;&gt;""""),ROWS(E$5:E1514)),"""")"),"")</f>
        <v/>
      </c>
      <c r="F15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Helper'!$F$5:$F$3004,"""")&lt;&gt;""""),ROWS(F$5:F1514)),IF(AND(LEFT(x,5)=""Pag"&amp;"e "",ISERROR(SEARCH(""–"",x))),x&amp;""–""&amp;REGEXEXTRACT(x,""[0-9]+$""),x)),"""")"),"")</f>
        <v/>
      </c>
      <c r="G1514" s="163"/>
      <c r="H15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Helper'!$F$5:$F$3004,"""")&lt;&gt;""""),ROWS(H$5:H1514)),"""")"),"")</f>
        <v/>
      </c>
    </row>
    <row r="1515" ht="15.75" customHeight="1">
      <c r="A15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Helper'!$F$5:$F$3004,"""")&lt;&gt;""""),ROWS(A$5:A1515)),"""")"),"")</f>
        <v/>
      </c>
      <c r="B15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Helper'!$F$5:$F$3004,"""")&lt;&gt;""""),ROWS(B$5:B1515)),"""")"),"")</f>
        <v/>
      </c>
      <c r="C15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Helper'!$F$5:$F$3004,"""")&lt;&gt;""""),ROWS(C$5:C1515)),"""")"),"")</f>
        <v/>
      </c>
      <c r="D15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Helper'!$F$5:$F$3004,"""")&lt;&gt;""""),ROWS(D$5:D1515)),"""")"),"")</f>
        <v/>
      </c>
      <c r="E15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Helper'!$F$5:$F$3004,"""")&lt;&gt;""""),ROWS(E$5:E1515)),"""")"),"")</f>
        <v/>
      </c>
      <c r="F15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Helper'!$F$5:$F$3004,"""")&lt;&gt;""""),ROWS(F$5:F1515)),IF(AND(LEFT(x,5)=""Pag"&amp;"e "",ISERROR(SEARCH(""–"",x))),x&amp;""–""&amp;REGEXEXTRACT(x,""[0-9]+$""),x)),"""")"),"")</f>
        <v/>
      </c>
      <c r="G1515" s="163"/>
      <c r="H15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Helper'!$F$5:$F$3004,"""")&lt;&gt;""""),ROWS(H$5:H1515)),"""")"),"")</f>
        <v/>
      </c>
    </row>
    <row r="1516" ht="15.75" customHeight="1">
      <c r="A15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Helper'!$F$5:$F$3004,"""")&lt;&gt;""""),ROWS(A$5:A1516)),"""")"),"")</f>
        <v/>
      </c>
      <c r="B15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Helper'!$F$5:$F$3004,"""")&lt;&gt;""""),ROWS(B$5:B1516)),"""")"),"")</f>
        <v/>
      </c>
      <c r="C15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Helper'!$F$5:$F$3004,"""")&lt;&gt;""""),ROWS(C$5:C1516)),"""")"),"")</f>
        <v/>
      </c>
      <c r="D15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Helper'!$F$5:$F$3004,"""")&lt;&gt;""""),ROWS(D$5:D1516)),"""")"),"")</f>
        <v/>
      </c>
      <c r="E15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Helper'!$F$5:$F$3004,"""")&lt;&gt;""""),ROWS(E$5:E1516)),"""")"),"")</f>
        <v/>
      </c>
      <c r="F15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Helper'!$F$5:$F$3004,"""")&lt;&gt;""""),ROWS(F$5:F1516)),IF(AND(LEFT(x,5)=""Pag"&amp;"e "",ISERROR(SEARCH(""–"",x))),x&amp;""–""&amp;REGEXEXTRACT(x,""[0-9]+$""),x)),"""")"),"")</f>
        <v/>
      </c>
      <c r="G1516" s="163"/>
      <c r="H15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Helper'!$F$5:$F$3004,"""")&lt;&gt;""""),ROWS(H$5:H1516)),"""")"),"")</f>
        <v/>
      </c>
    </row>
    <row r="1517" ht="15.75" customHeight="1">
      <c r="A15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Helper'!$F$5:$F$3004,"""")&lt;&gt;""""),ROWS(A$5:A1517)),"""")"),"")</f>
        <v/>
      </c>
      <c r="B15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Helper'!$F$5:$F$3004,"""")&lt;&gt;""""),ROWS(B$5:B1517)),"""")"),"")</f>
        <v/>
      </c>
      <c r="C15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Helper'!$F$5:$F$3004,"""")&lt;&gt;""""),ROWS(C$5:C1517)),"""")"),"")</f>
        <v/>
      </c>
      <c r="D15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Helper'!$F$5:$F$3004,"""")&lt;&gt;""""),ROWS(D$5:D1517)),"""")"),"")</f>
        <v/>
      </c>
      <c r="E15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Helper'!$F$5:$F$3004,"""")&lt;&gt;""""),ROWS(E$5:E1517)),"""")"),"")</f>
        <v/>
      </c>
      <c r="F15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Helper'!$F$5:$F$3004,"""")&lt;&gt;""""),ROWS(F$5:F1517)),IF(AND(LEFT(x,5)=""Pag"&amp;"e "",ISERROR(SEARCH(""–"",x))),x&amp;""–""&amp;REGEXEXTRACT(x,""[0-9]+$""),x)),"""")"),"")</f>
        <v/>
      </c>
      <c r="G1517" s="163"/>
      <c r="H15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Helper'!$F$5:$F$3004,"""")&lt;&gt;""""),ROWS(H$5:H1517)),"""")"),"")</f>
        <v/>
      </c>
    </row>
    <row r="1518" ht="15.75" customHeight="1">
      <c r="A15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Helper'!$F$5:$F$3004,"""")&lt;&gt;""""),ROWS(A$5:A1518)),"""")"),"")</f>
        <v/>
      </c>
      <c r="B15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Helper'!$F$5:$F$3004,"""")&lt;&gt;""""),ROWS(B$5:B1518)),"""")"),"")</f>
        <v/>
      </c>
      <c r="C15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Helper'!$F$5:$F$3004,"""")&lt;&gt;""""),ROWS(C$5:C1518)),"""")"),"")</f>
        <v/>
      </c>
      <c r="D15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Helper'!$F$5:$F$3004,"""")&lt;&gt;""""),ROWS(D$5:D1518)),"""")"),"")</f>
        <v/>
      </c>
      <c r="E15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Helper'!$F$5:$F$3004,"""")&lt;&gt;""""),ROWS(E$5:E1518)),"""")"),"")</f>
        <v/>
      </c>
      <c r="F15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Helper'!$F$5:$F$3004,"""")&lt;&gt;""""),ROWS(F$5:F1518)),IF(AND(LEFT(x,5)=""Pag"&amp;"e "",ISERROR(SEARCH(""–"",x))),x&amp;""–""&amp;REGEXEXTRACT(x,""[0-9]+$""),x)),"""")"),"")</f>
        <v/>
      </c>
      <c r="G1518" s="163"/>
      <c r="H15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Helper'!$F$5:$F$3004,"""")&lt;&gt;""""),ROWS(H$5:H1518)),"""")"),"")</f>
        <v/>
      </c>
    </row>
    <row r="1519" ht="15.75" customHeight="1">
      <c r="A15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Helper'!$F$5:$F$3004,"""")&lt;&gt;""""),ROWS(A$5:A1519)),"""")"),"")</f>
        <v/>
      </c>
      <c r="B15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Helper'!$F$5:$F$3004,"""")&lt;&gt;""""),ROWS(B$5:B1519)),"""")"),"")</f>
        <v/>
      </c>
      <c r="C15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Helper'!$F$5:$F$3004,"""")&lt;&gt;""""),ROWS(C$5:C1519)),"""")"),"")</f>
        <v/>
      </c>
      <c r="D15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Helper'!$F$5:$F$3004,"""")&lt;&gt;""""),ROWS(D$5:D1519)),"""")"),"")</f>
        <v/>
      </c>
      <c r="E15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Helper'!$F$5:$F$3004,"""")&lt;&gt;""""),ROWS(E$5:E1519)),"""")"),"")</f>
        <v/>
      </c>
      <c r="F15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Helper'!$F$5:$F$3004,"""")&lt;&gt;""""),ROWS(F$5:F1519)),IF(AND(LEFT(x,5)=""Pag"&amp;"e "",ISERROR(SEARCH(""–"",x))),x&amp;""–""&amp;REGEXEXTRACT(x,""[0-9]+$""),x)),"""")"),"")</f>
        <v/>
      </c>
      <c r="G1519" s="163"/>
      <c r="H15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Helper'!$F$5:$F$3004,"""")&lt;&gt;""""),ROWS(H$5:H1519)),"""")"),"")</f>
        <v/>
      </c>
    </row>
    <row r="1520" ht="15.75" customHeight="1">
      <c r="A15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Helper'!$F$5:$F$3004,"""")&lt;&gt;""""),ROWS(A$5:A1520)),"""")"),"")</f>
        <v/>
      </c>
      <c r="B15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Helper'!$F$5:$F$3004,"""")&lt;&gt;""""),ROWS(B$5:B1520)),"""")"),"")</f>
        <v/>
      </c>
      <c r="C15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Helper'!$F$5:$F$3004,"""")&lt;&gt;""""),ROWS(C$5:C1520)),"""")"),"")</f>
        <v/>
      </c>
      <c r="D15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Helper'!$F$5:$F$3004,"""")&lt;&gt;""""),ROWS(D$5:D1520)),"""")"),"")</f>
        <v/>
      </c>
      <c r="E15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Helper'!$F$5:$F$3004,"""")&lt;&gt;""""),ROWS(E$5:E1520)),"""")"),"")</f>
        <v/>
      </c>
      <c r="F15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Helper'!$F$5:$F$3004,"""")&lt;&gt;""""),ROWS(F$5:F1520)),IF(AND(LEFT(x,5)=""Pag"&amp;"e "",ISERROR(SEARCH(""–"",x))),x&amp;""–""&amp;REGEXEXTRACT(x,""[0-9]+$""),x)),"""")"),"")</f>
        <v/>
      </c>
      <c r="G1520" s="163"/>
      <c r="H15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Helper'!$F$5:$F$3004,"""")&lt;&gt;""""),ROWS(H$5:H1520)),"""")"),"")</f>
        <v/>
      </c>
    </row>
    <row r="1521" ht="15.75" customHeight="1">
      <c r="A15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Helper'!$F$5:$F$3004,"""")&lt;&gt;""""),ROWS(A$5:A1521)),"""")"),"")</f>
        <v/>
      </c>
      <c r="B15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Helper'!$F$5:$F$3004,"""")&lt;&gt;""""),ROWS(B$5:B1521)),"""")"),"")</f>
        <v/>
      </c>
      <c r="C15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Helper'!$F$5:$F$3004,"""")&lt;&gt;""""),ROWS(C$5:C1521)),"""")"),"")</f>
        <v/>
      </c>
      <c r="D15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Helper'!$F$5:$F$3004,"""")&lt;&gt;""""),ROWS(D$5:D1521)),"""")"),"")</f>
        <v/>
      </c>
      <c r="E15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Helper'!$F$5:$F$3004,"""")&lt;&gt;""""),ROWS(E$5:E1521)),"""")"),"")</f>
        <v/>
      </c>
      <c r="F15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Helper'!$F$5:$F$3004,"""")&lt;&gt;""""),ROWS(F$5:F1521)),IF(AND(LEFT(x,5)=""Pag"&amp;"e "",ISERROR(SEARCH(""–"",x))),x&amp;""–""&amp;REGEXEXTRACT(x,""[0-9]+$""),x)),"""")"),"")</f>
        <v/>
      </c>
      <c r="G1521" s="163"/>
      <c r="H15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Helper'!$F$5:$F$3004,"""")&lt;&gt;""""),ROWS(H$5:H1521)),"""")"),"")</f>
        <v/>
      </c>
    </row>
    <row r="1522" ht="15.75" customHeight="1">
      <c r="A15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Helper'!$F$5:$F$3004,"""")&lt;&gt;""""),ROWS(A$5:A1522)),"""")"),"")</f>
        <v/>
      </c>
      <c r="B15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Helper'!$F$5:$F$3004,"""")&lt;&gt;""""),ROWS(B$5:B1522)),"""")"),"")</f>
        <v/>
      </c>
      <c r="C15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Helper'!$F$5:$F$3004,"""")&lt;&gt;""""),ROWS(C$5:C1522)),"""")"),"")</f>
        <v/>
      </c>
      <c r="D15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Helper'!$F$5:$F$3004,"""")&lt;&gt;""""),ROWS(D$5:D1522)),"""")"),"")</f>
        <v/>
      </c>
      <c r="E15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Helper'!$F$5:$F$3004,"""")&lt;&gt;""""),ROWS(E$5:E1522)),"""")"),"")</f>
        <v/>
      </c>
      <c r="F15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Helper'!$F$5:$F$3004,"""")&lt;&gt;""""),ROWS(F$5:F1522)),IF(AND(LEFT(x,5)=""Pag"&amp;"e "",ISERROR(SEARCH(""–"",x))),x&amp;""–""&amp;REGEXEXTRACT(x,""[0-9]+$""),x)),"""")"),"")</f>
        <v/>
      </c>
      <c r="G1522" s="163"/>
      <c r="H15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Helper'!$F$5:$F$3004,"""")&lt;&gt;""""),ROWS(H$5:H1522)),"""")"),"")</f>
        <v/>
      </c>
    </row>
    <row r="1523" ht="15.75" customHeight="1">
      <c r="A15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Helper'!$F$5:$F$3004,"""")&lt;&gt;""""),ROWS(A$5:A1523)),"""")"),"")</f>
        <v/>
      </c>
      <c r="B15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Helper'!$F$5:$F$3004,"""")&lt;&gt;""""),ROWS(B$5:B1523)),"""")"),"")</f>
        <v/>
      </c>
      <c r="C15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Helper'!$F$5:$F$3004,"""")&lt;&gt;""""),ROWS(C$5:C1523)),"""")"),"")</f>
        <v/>
      </c>
      <c r="D15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Helper'!$F$5:$F$3004,"""")&lt;&gt;""""),ROWS(D$5:D1523)),"""")"),"")</f>
        <v/>
      </c>
      <c r="E15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Helper'!$F$5:$F$3004,"""")&lt;&gt;""""),ROWS(E$5:E1523)),"""")"),"")</f>
        <v/>
      </c>
      <c r="F15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Helper'!$F$5:$F$3004,"""")&lt;&gt;""""),ROWS(F$5:F1523)),IF(AND(LEFT(x,5)=""Pag"&amp;"e "",ISERROR(SEARCH(""–"",x))),x&amp;""–""&amp;REGEXEXTRACT(x,""[0-9]+$""),x)),"""")"),"")</f>
        <v/>
      </c>
      <c r="G1523" s="163"/>
      <c r="H15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Helper'!$F$5:$F$3004,"""")&lt;&gt;""""),ROWS(H$5:H1523)),"""")"),"")</f>
        <v/>
      </c>
    </row>
    <row r="1524" ht="15.75" customHeight="1">
      <c r="A15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Helper'!$F$5:$F$3004,"""")&lt;&gt;""""),ROWS(A$5:A1524)),"""")"),"")</f>
        <v/>
      </c>
      <c r="B15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Helper'!$F$5:$F$3004,"""")&lt;&gt;""""),ROWS(B$5:B1524)),"""")"),"")</f>
        <v/>
      </c>
      <c r="C15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Helper'!$F$5:$F$3004,"""")&lt;&gt;""""),ROWS(C$5:C1524)),"""")"),"")</f>
        <v/>
      </c>
      <c r="D15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Helper'!$F$5:$F$3004,"""")&lt;&gt;""""),ROWS(D$5:D1524)),"""")"),"")</f>
        <v/>
      </c>
      <c r="E15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Helper'!$F$5:$F$3004,"""")&lt;&gt;""""),ROWS(E$5:E1524)),"""")"),"")</f>
        <v/>
      </c>
      <c r="F15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Helper'!$F$5:$F$3004,"""")&lt;&gt;""""),ROWS(F$5:F1524)),IF(AND(LEFT(x,5)=""Pag"&amp;"e "",ISERROR(SEARCH(""–"",x))),x&amp;""–""&amp;REGEXEXTRACT(x,""[0-9]+$""),x)),"""")"),"")</f>
        <v/>
      </c>
      <c r="G1524" s="163"/>
      <c r="H15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Helper'!$F$5:$F$3004,"""")&lt;&gt;""""),ROWS(H$5:H1524)),"""")"),"")</f>
        <v/>
      </c>
    </row>
    <row r="1525" ht="15.75" customHeight="1">
      <c r="A15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Helper'!$F$5:$F$3004,"""")&lt;&gt;""""),ROWS(A$5:A1525)),"""")"),"")</f>
        <v/>
      </c>
      <c r="B15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Helper'!$F$5:$F$3004,"""")&lt;&gt;""""),ROWS(B$5:B1525)),"""")"),"")</f>
        <v/>
      </c>
      <c r="C15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Helper'!$F$5:$F$3004,"""")&lt;&gt;""""),ROWS(C$5:C1525)),"""")"),"")</f>
        <v/>
      </c>
      <c r="D15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Helper'!$F$5:$F$3004,"""")&lt;&gt;""""),ROWS(D$5:D1525)),"""")"),"")</f>
        <v/>
      </c>
      <c r="E15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Helper'!$F$5:$F$3004,"""")&lt;&gt;""""),ROWS(E$5:E1525)),"""")"),"")</f>
        <v/>
      </c>
      <c r="F15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Helper'!$F$5:$F$3004,"""")&lt;&gt;""""),ROWS(F$5:F1525)),IF(AND(LEFT(x,5)=""Pag"&amp;"e "",ISERROR(SEARCH(""–"",x))),x&amp;""–""&amp;REGEXEXTRACT(x,""[0-9]+$""),x)),"""")"),"")</f>
        <v/>
      </c>
      <c r="G1525" s="163"/>
      <c r="H15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Helper'!$F$5:$F$3004,"""")&lt;&gt;""""),ROWS(H$5:H1525)),"""")"),"")</f>
        <v/>
      </c>
    </row>
    <row r="1526" ht="15.75" customHeight="1">
      <c r="A15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Helper'!$F$5:$F$3004,"""")&lt;&gt;""""),ROWS(A$5:A1526)),"""")"),"")</f>
        <v/>
      </c>
      <c r="B15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Helper'!$F$5:$F$3004,"""")&lt;&gt;""""),ROWS(B$5:B1526)),"""")"),"")</f>
        <v/>
      </c>
      <c r="C15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Helper'!$F$5:$F$3004,"""")&lt;&gt;""""),ROWS(C$5:C1526)),"""")"),"")</f>
        <v/>
      </c>
      <c r="D15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Helper'!$F$5:$F$3004,"""")&lt;&gt;""""),ROWS(D$5:D1526)),"""")"),"")</f>
        <v/>
      </c>
      <c r="E15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Helper'!$F$5:$F$3004,"""")&lt;&gt;""""),ROWS(E$5:E1526)),"""")"),"")</f>
        <v/>
      </c>
      <c r="F15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Helper'!$F$5:$F$3004,"""")&lt;&gt;""""),ROWS(F$5:F1526)),IF(AND(LEFT(x,5)=""Pag"&amp;"e "",ISERROR(SEARCH(""–"",x))),x&amp;""–""&amp;REGEXEXTRACT(x,""[0-9]+$""),x)),"""")"),"")</f>
        <v/>
      </c>
      <c r="G1526" s="163"/>
      <c r="H15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Helper'!$F$5:$F$3004,"""")&lt;&gt;""""),ROWS(H$5:H1526)),"""")"),"")</f>
        <v/>
      </c>
    </row>
    <row r="1527" ht="15.75" customHeight="1">
      <c r="A15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Helper'!$F$5:$F$3004,"""")&lt;&gt;""""),ROWS(A$5:A1527)),"""")"),"")</f>
        <v/>
      </c>
      <c r="B15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Helper'!$F$5:$F$3004,"""")&lt;&gt;""""),ROWS(B$5:B1527)),"""")"),"")</f>
        <v/>
      </c>
      <c r="C15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Helper'!$F$5:$F$3004,"""")&lt;&gt;""""),ROWS(C$5:C1527)),"""")"),"")</f>
        <v/>
      </c>
      <c r="D15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Helper'!$F$5:$F$3004,"""")&lt;&gt;""""),ROWS(D$5:D1527)),"""")"),"")</f>
        <v/>
      </c>
      <c r="E15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Helper'!$F$5:$F$3004,"""")&lt;&gt;""""),ROWS(E$5:E1527)),"""")"),"")</f>
        <v/>
      </c>
      <c r="F15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Helper'!$F$5:$F$3004,"""")&lt;&gt;""""),ROWS(F$5:F1527)),IF(AND(LEFT(x,5)=""Pag"&amp;"e "",ISERROR(SEARCH(""–"",x))),x&amp;""–""&amp;REGEXEXTRACT(x,""[0-9]+$""),x)),"""")"),"")</f>
        <v/>
      </c>
      <c r="G1527" s="163"/>
      <c r="H15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Helper'!$F$5:$F$3004,"""")&lt;&gt;""""),ROWS(H$5:H1527)),"""")"),"")</f>
        <v/>
      </c>
    </row>
    <row r="1528" ht="15.75" customHeight="1">
      <c r="A15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Helper'!$F$5:$F$3004,"""")&lt;&gt;""""),ROWS(A$5:A1528)),"""")"),"")</f>
        <v/>
      </c>
      <c r="B15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Helper'!$F$5:$F$3004,"""")&lt;&gt;""""),ROWS(B$5:B1528)),"""")"),"")</f>
        <v/>
      </c>
      <c r="C15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Helper'!$F$5:$F$3004,"""")&lt;&gt;""""),ROWS(C$5:C1528)),"""")"),"")</f>
        <v/>
      </c>
      <c r="D15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Helper'!$F$5:$F$3004,"""")&lt;&gt;""""),ROWS(D$5:D1528)),"""")"),"")</f>
        <v/>
      </c>
      <c r="E15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Helper'!$F$5:$F$3004,"""")&lt;&gt;""""),ROWS(E$5:E1528)),"""")"),"")</f>
        <v/>
      </c>
      <c r="F15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Helper'!$F$5:$F$3004,"""")&lt;&gt;""""),ROWS(F$5:F1528)),IF(AND(LEFT(x,5)=""Pag"&amp;"e "",ISERROR(SEARCH(""–"",x))),x&amp;""–""&amp;REGEXEXTRACT(x,""[0-9]+$""),x)),"""")"),"")</f>
        <v/>
      </c>
      <c r="G1528" s="163"/>
      <c r="H15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Helper'!$F$5:$F$3004,"""")&lt;&gt;""""),ROWS(H$5:H1528)),"""")"),"")</f>
        <v/>
      </c>
    </row>
    <row r="1529" ht="15.75" customHeight="1">
      <c r="A15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Helper'!$F$5:$F$3004,"""")&lt;&gt;""""),ROWS(A$5:A1529)),"""")"),"")</f>
        <v/>
      </c>
      <c r="B15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Helper'!$F$5:$F$3004,"""")&lt;&gt;""""),ROWS(B$5:B1529)),"""")"),"")</f>
        <v/>
      </c>
      <c r="C15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Helper'!$F$5:$F$3004,"""")&lt;&gt;""""),ROWS(C$5:C1529)),"""")"),"")</f>
        <v/>
      </c>
      <c r="D15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Helper'!$F$5:$F$3004,"""")&lt;&gt;""""),ROWS(D$5:D1529)),"""")"),"")</f>
        <v/>
      </c>
      <c r="E15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Helper'!$F$5:$F$3004,"""")&lt;&gt;""""),ROWS(E$5:E1529)),"""")"),"")</f>
        <v/>
      </c>
      <c r="F15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Helper'!$F$5:$F$3004,"""")&lt;&gt;""""),ROWS(F$5:F1529)),IF(AND(LEFT(x,5)=""Pag"&amp;"e "",ISERROR(SEARCH(""–"",x))),x&amp;""–""&amp;REGEXEXTRACT(x,""[0-9]+$""),x)),"""")"),"")</f>
        <v/>
      </c>
      <c r="G1529" s="163"/>
      <c r="H15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Helper'!$F$5:$F$3004,"""")&lt;&gt;""""),ROWS(H$5:H1529)),"""")"),"")</f>
        <v/>
      </c>
    </row>
    <row r="1530" ht="15.75" customHeight="1">
      <c r="A15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Helper'!$F$5:$F$3004,"""")&lt;&gt;""""),ROWS(A$5:A1530)),"""")"),"")</f>
        <v/>
      </c>
      <c r="B15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Helper'!$F$5:$F$3004,"""")&lt;&gt;""""),ROWS(B$5:B1530)),"""")"),"")</f>
        <v/>
      </c>
      <c r="C15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Helper'!$F$5:$F$3004,"""")&lt;&gt;""""),ROWS(C$5:C1530)),"""")"),"")</f>
        <v/>
      </c>
      <c r="D15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Helper'!$F$5:$F$3004,"""")&lt;&gt;""""),ROWS(D$5:D1530)),"""")"),"")</f>
        <v/>
      </c>
      <c r="E15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Helper'!$F$5:$F$3004,"""")&lt;&gt;""""),ROWS(E$5:E1530)),"""")"),"")</f>
        <v/>
      </c>
      <c r="F15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Helper'!$F$5:$F$3004,"""")&lt;&gt;""""),ROWS(F$5:F1530)),IF(AND(LEFT(x,5)=""Pag"&amp;"e "",ISERROR(SEARCH(""–"",x))),x&amp;""–""&amp;REGEXEXTRACT(x,""[0-9]+$""),x)),"""")"),"")</f>
        <v/>
      </c>
      <c r="G1530" s="163"/>
      <c r="H15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Helper'!$F$5:$F$3004,"""")&lt;&gt;""""),ROWS(H$5:H1530)),"""")"),"")</f>
        <v/>
      </c>
    </row>
    <row r="1531" ht="15.75" customHeight="1">
      <c r="A15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Helper'!$F$5:$F$3004,"""")&lt;&gt;""""),ROWS(A$5:A1531)),"""")"),"")</f>
        <v/>
      </c>
      <c r="B15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Helper'!$F$5:$F$3004,"""")&lt;&gt;""""),ROWS(B$5:B1531)),"""")"),"")</f>
        <v/>
      </c>
      <c r="C15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Helper'!$F$5:$F$3004,"""")&lt;&gt;""""),ROWS(C$5:C1531)),"""")"),"")</f>
        <v/>
      </c>
      <c r="D15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Helper'!$F$5:$F$3004,"""")&lt;&gt;""""),ROWS(D$5:D1531)),"""")"),"")</f>
        <v/>
      </c>
      <c r="E15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Helper'!$F$5:$F$3004,"""")&lt;&gt;""""),ROWS(E$5:E1531)),"""")"),"")</f>
        <v/>
      </c>
      <c r="F15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Helper'!$F$5:$F$3004,"""")&lt;&gt;""""),ROWS(F$5:F1531)),IF(AND(LEFT(x,5)=""Pag"&amp;"e "",ISERROR(SEARCH(""–"",x))),x&amp;""–""&amp;REGEXEXTRACT(x,""[0-9]+$""),x)),"""")"),"")</f>
        <v/>
      </c>
      <c r="G1531" s="163"/>
      <c r="H15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Helper'!$F$5:$F$3004,"""")&lt;&gt;""""),ROWS(H$5:H1531)),"""")"),"")</f>
        <v/>
      </c>
    </row>
    <row r="1532" ht="15.75" customHeight="1">
      <c r="A15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Helper'!$F$5:$F$3004,"""")&lt;&gt;""""),ROWS(A$5:A1532)),"""")"),"")</f>
        <v/>
      </c>
      <c r="B15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Helper'!$F$5:$F$3004,"""")&lt;&gt;""""),ROWS(B$5:B1532)),"""")"),"")</f>
        <v/>
      </c>
      <c r="C15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Helper'!$F$5:$F$3004,"""")&lt;&gt;""""),ROWS(C$5:C1532)),"""")"),"")</f>
        <v/>
      </c>
      <c r="D15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Helper'!$F$5:$F$3004,"""")&lt;&gt;""""),ROWS(D$5:D1532)),"""")"),"")</f>
        <v/>
      </c>
      <c r="E15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Helper'!$F$5:$F$3004,"""")&lt;&gt;""""),ROWS(E$5:E1532)),"""")"),"")</f>
        <v/>
      </c>
      <c r="F15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Helper'!$F$5:$F$3004,"""")&lt;&gt;""""),ROWS(F$5:F1532)),IF(AND(LEFT(x,5)=""Pag"&amp;"e "",ISERROR(SEARCH(""–"",x))),x&amp;""–""&amp;REGEXEXTRACT(x,""[0-9]+$""),x)),"""")"),"")</f>
        <v/>
      </c>
      <c r="G1532" s="163"/>
      <c r="H15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Helper'!$F$5:$F$3004,"""")&lt;&gt;""""),ROWS(H$5:H1532)),"""")"),"")</f>
        <v/>
      </c>
    </row>
    <row r="1533" ht="15.75" customHeight="1">
      <c r="A15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Helper'!$F$5:$F$3004,"""")&lt;&gt;""""),ROWS(A$5:A1533)),"""")"),"")</f>
        <v/>
      </c>
      <c r="B15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Helper'!$F$5:$F$3004,"""")&lt;&gt;""""),ROWS(B$5:B1533)),"""")"),"")</f>
        <v/>
      </c>
      <c r="C15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Helper'!$F$5:$F$3004,"""")&lt;&gt;""""),ROWS(C$5:C1533)),"""")"),"")</f>
        <v/>
      </c>
      <c r="D15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Helper'!$F$5:$F$3004,"""")&lt;&gt;""""),ROWS(D$5:D1533)),"""")"),"")</f>
        <v/>
      </c>
      <c r="E15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Helper'!$F$5:$F$3004,"""")&lt;&gt;""""),ROWS(E$5:E1533)),"""")"),"")</f>
        <v/>
      </c>
      <c r="F15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Helper'!$F$5:$F$3004,"""")&lt;&gt;""""),ROWS(F$5:F1533)),IF(AND(LEFT(x,5)=""Pag"&amp;"e "",ISERROR(SEARCH(""–"",x))),x&amp;""–""&amp;REGEXEXTRACT(x,""[0-9]+$""),x)),"""")"),"")</f>
        <v/>
      </c>
      <c r="G1533" s="163"/>
      <c r="H15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Helper'!$F$5:$F$3004,"""")&lt;&gt;""""),ROWS(H$5:H1533)),"""")"),"")</f>
        <v/>
      </c>
    </row>
    <row r="1534" ht="15.75" customHeight="1">
      <c r="A15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Helper'!$F$5:$F$3004,"""")&lt;&gt;""""),ROWS(A$5:A1534)),"""")"),"")</f>
        <v/>
      </c>
      <c r="B15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Helper'!$F$5:$F$3004,"""")&lt;&gt;""""),ROWS(B$5:B1534)),"""")"),"")</f>
        <v/>
      </c>
      <c r="C15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Helper'!$F$5:$F$3004,"""")&lt;&gt;""""),ROWS(C$5:C1534)),"""")"),"")</f>
        <v/>
      </c>
      <c r="D15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Helper'!$F$5:$F$3004,"""")&lt;&gt;""""),ROWS(D$5:D1534)),"""")"),"")</f>
        <v/>
      </c>
      <c r="E15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Helper'!$F$5:$F$3004,"""")&lt;&gt;""""),ROWS(E$5:E1534)),"""")"),"")</f>
        <v/>
      </c>
      <c r="F15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Helper'!$F$5:$F$3004,"""")&lt;&gt;""""),ROWS(F$5:F1534)),IF(AND(LEFT(x,5)=""Pag"&amp;"e "",ISERROR(SEARCH(""–"",x))),x&amp;""–""&amp;REGEXEXTRACT(x,""[0-9]+$""),x)),"""")"),"")</f>
        <v/>
      </c>
      <c r="G1534" s="163"/>
      <c r="H15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Helper'!$F$5:$F$3004,"""")&lt;&gt;""""),ROWS(H$5:H1534)),"""")"),"")</f>
        <v/>
      </c>
    </row>
    <row r="1535" ht="15.75" customHeight="1">
      <c r="A15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Helper'!$F$5:$F$3004,"""")&lt;&gt;""""),ROWS(A$5:A1535)),"""")"),"")</f>
        <v/>
      </c>
      <c r="B15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Helper'!$F$5:$F$3004,"""")&lt;&gt;""""),ROWS(B$5:B1535)),"""")"),"")</f>
        <v/>
      </c>
      <c r="C15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Helper'!$F$5:$F$3004,"""")&lt;&gt;""""),ROWS(C$5:C1535)),"""")"),"")</f>
        <v/>
      </c>
      <c r="D15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Helper'!$F$5:$F$3004,"""")&lt;&gt;""""),ROWS(D$5:D1535)),"""")"),"")</f>
        <v/>
      </c>
      <c r="E15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Helper'!$F$5:$F$3004,"""")&lt;&gt;""""),ROWS(E$5:E1535)),"""")"),"")</f>
        <v/>
      </c>
      <c r="F15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Helper'!$F$5:$F$3004,"""")&lt;&gt;""""),ROWS(F$5:F1535)),IF(AND(LEFT(x,5)=""Pag"&amp;"e "",ISERROR(SEARCH(""–"",x))),x&amp;""–""&amp;REGEXEXTRACT(x,""[0-9]+$""),x)),"""")"),"")</f>
        <v/>
      </c>
      <c r="G1535" s="163"/>
      <c r="H15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Helper'!$F$5:$F$3004,"""")&lt;&gt;""""),ROWS(H$5:H1535)),"""")"),"")</f>
        <v/>
      </c>
    </row>
    <row r="1536" ht="15.75" customHeight="1">
      <c r="A15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Helper'!$F$5:$F$3004,"""")&lt;&gt;""""),ROWS(A$5:A1536)),"""")"),"")</f>
        <v/>
      </c>
      <c r="B15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Helper'!$F$5:$F$3004,"""")&lt;&gt;""""),ROWS(B$5:B1536)),"""")"),"")</f>
        <v/>
      </c>
      <c r="C15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Helper'!$F$5:$F$3004,"""")&lt;&gt;""""),ROWS(C$5:C1536)),"""")"),"")</f>
        <v/>
      </c>
      <c r="D15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Helper'!$F$5:$F$3004,"""")&lt;&gt;""""),ROWS(D$5:D1536)),"""")"),"")</f>
        <v/>
      </c>
      <c r="E15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Helper'!$F$5:$F$3004,"""")&lt;&gt;""""),ROWS(E$5:E1536)),"""")"),"")</f>
        <v/>
      </c>
      <c r="F15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Helper'!$F$5:$F$3004,"""")&lt;&gt;""""),ROWS(F$5:F1536)),IF(AND(LEFT(x,5)=""Pag"&amp;"e "",ISERROR(SEARCH(""–"",x))),x&amp;""–""&amp;REGEXEXTRACT(x,""[0-9]+$""),x)),"""")"),"")</f>
        <v/>
      </c>
      <c r="G1536" s="163"/>
      <c r="H15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Helper'!$F$5:$F$3004,"""")&lt;&gt;""""),ROWS(H$5:H1536)),"""")"),"")</f>
        <v/>
      </c>
    </row>
    <row r="1537" ht="15.75" customHeight="1">
      <c r="A15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Helper'!$F$5:$F$3004,"""")&lt;&gt;""""),ROWS(A$5:A1537)),"""")"),"")</f>
        <v/>
      </c>
      <c r="B15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Helper'!$F$5:$F$3004,"""")&lt;&gt;""""),ROWS(B$5:B1537)),"""")"),"")</f>
        <v/>
      </c>
      <c r="C15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Helper'!$F$5:$F$3004,"""")&lt;&gt;""""),ROWS(C$5:C1537)),"""")"),"")</f>
        <v/>
      </c>
      <c r="D15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Helper'!$F$5:$F$3004,"""")&lt;&gt;""""),ROWS(D$5:D1537)),"""")"),"")</f>
        <v/>
      </c>
      <c r="E15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Helper'!$F$5:$F$3004,"""")&lt;&gt;""""),ROWS(E$5:E1537)),"""")"),"")</f>
        <v/>
      </c>
      <c r="F15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Helper'!$F$5:$F$3004,"""")&lt;&gt;""""),ROWS(F$5:F1537)),IF(AND(LEFT(x,5)=""Pag"&amp;"e "",ISERROR(SEARCH(""–"",x))),x&amp;""–""&amp;REGEXEXTRACT(x,""[0-9]+$""),x)),"""")"),"")</f>
        <v/>
      </c>
      <c r="G1537" s="163"/>
      <c r="H15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Helper'!$F$5:$F$3004,"""")&lt;&gt;""""),ROWS(H$5:H1537)),"""")"),"")</f>
        <v/>
      </c>
    </row>
    <row r="1538" ht="15.75" customHeight="1">
      <c r="A15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Helper'!$F$5:$F$3004,"""")&lt;&gt;""""),ROWS(A$5:A1538)),"""")"),"")</f>
        <v/>
      </c>
      <c r="B15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Helper'!$F$5:$F$3004,"""")&lt;&gt;""""),ROWS(B$5:B1538)),"""")"),"")</f>
        <v/>
      </c>
      <c r="C15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Helper'!$F$5:$F$3004,"""")&lt;&gt;""""),ROWS(C$5:C1538)),"""")"),"")</f>
        <v/>
      </c>
      <c r="D15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Helper'!$F$5:$F$3004,"""")&lt;&gt;""""),ROWS(D$5:D1538)),"""")"),"")</f>
        <v/>
      </c>
      <c r="E15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Helper'!$F$5:$F$3004,"""")&lt;&gt;""""),ROWS(E$5:E1538)),"""")"),"")</f>
        <v/>
      </c>
      <c r="F15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Helper'!$F$5:$F$3004,"""")&lt;&gt;""""),ROWS(F$5:F1538)),IF(AND(LEFT(x,5)=""Pag"&amp;"e "",ISERROR(SEARCH(""–"",x))),x&amp;""–""&amp;REGEXEXTRACT(x,""[0-9]+$""),x)),"""")"),"")</f>
        <v/>
      </c>
      <c r="G1538" s="163"/>
      <c r="H15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Helper'!$F$5:$F$3004,"""")&lt;&gt;""""),ROWS(H$5:H1538)),"""")"),"")</f>
        <v/>
      </c>
    </row>
    <row r="1539" ht="15.75" customHeight="1">
      <c r="A15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Helper'!$F$5:$F$3004,"""")&lt;&gt;""""),ROWS(A$5:A1539)),"""")"),"")</f>
        <v/>
      </c>
      <c r="B15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Helper'!$F$5:$F$3004,"""")&lt;&gt;""""),ROWS(B$5:B1539)),"""")"),"")</f>
        <v/>
      </c>
      <c r="C15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Helper'!$F$5:$F$3004,"""")&lt;&gt;""""),ROWS(C$5:C1539)),"""")"),"")</f>
        <v/>
      </c>
      <c r="D15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Helper'!$F$5:$F$3004,"""")&lt;&gt;""""),ROWS(D$5:D1539)),"""")"),"")</f>
        <v/>
      </c>
      <c r="E15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Helper'!$F$5:$F$3004,"""")&lt;&gt;""""),ROWS(E$5:E1539)),"""")"),"")</f>
        <v/>
      </c>
      <c r="F15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Helper'!$F$5:$F$3004,"""")&lt;&gt;""""),ROWS(F$5:F1539)),IF(AND(LEFT(x,5)=""Pag"&amp;"e "",ISERROR(SEARCH(""–"",x))),x&amp;""–""&amp;REGEXEXTRACT(x,""[0-9]+$""),x)),"""")"),"")</f>
        <v/>
      </c>
      <c r="G1539" s="163"/>
      <c r="H15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Helper'!$F$5:$F$3004,"""")&lt;&gt;""""),ROWS(H$5:H1539)),"""")"),"")</f>
        <v/>
      </c>
    </row>
    <row r="1540" ht="15.75" customHeight="1">
      <c r="A15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Helper'!$F$5:$F$3004,"""")&lt;&gt;""""),ROWS(A$5:A1540)),"""")"),"")</f>
        <v/>
      </c>
      <c r="B15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Helper'!$F$5:$F$3004,"""")&lt;&gt;""""),ROWS(B$5:B1540)),"""")"),"")</f>
        <v/>
      </c>
      <c r="C15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Helper'!$F$5:$F$3004,"""")&lt;&gt;""""),ROWS(C$5:C1540)),"""")"),"")</f>
        <v/>
      </c>
      <c r="D15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Helper'!$F$5:$F$3004,"""")&lt;&gt;""""),ROWS(D$5:D1540)),"""")"),"")</f>
        <v/>
      </c>
      <c r="E15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Helper'!$F$5:$F$3004,"""")&lt;&gt;""""),ROWS(E$5:E1540)),"""")"),"")</f>
        <v/>
      </c>
      <c r="F15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Helper'!$F$5:$F$3004,"""")&lt;&gt;""""),ROWS(F$5:F1540)),IF(AND(LEFT(x,5)=""Pag"&amp;"e "",ISERROR(SEARCH(""–"",x))),x&amp;""–""&amp;REGEXEXTRACT(x,""[0-9]+$""),x)),"""")"),"")</f>
        <v/>
      </c>
      <c r="G1540" s="163"/>
      <c r="H15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Helper'!$F$5:$F$3004,"""")&lt;&gt;""""),ROWS(H$5:H1540)),"""")"),"")</f>
        <v/>
      </c>
    </row>
    <row r="1541" ht="15.75" customHeight="1">
      <c r="A15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Helper'!$F$5:$F$3004,"""")&lt;&gt;""""),ROWS(A$5:A1541)),"""")"),"")</f>
        <v/>
      </c>
      <c r="B15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Helper'!$F$5:$F$3004,"""")&lt;&gt;""""),ROWS(B$5:B1541)),"""")"),"")</f>
        <v/>
      </c>
      <c r="C15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Helper'!$F$5:$F$3004,"""")&lt;&gt;""""),ROWS(C$5:C1541)),"""")"),"")</f>
        <v/>
      </c>
      <c r="D15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Helper'!$F$5:$F$3004,"""")&lt;&gt;""""),ROWS(D$5:D1541)),"""")"),"")</f>
        <v/>
      </c>
      <c r="E15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Helper'!$F$5:$F$3004,"""")&lt;&gt;""""),ROWS(E$5:E1541)),"""")"),"")</f>
        <v/>
      </c>
      <c r="F15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Helper'!$F$5:$F$3004,"""")&lt;&gt;""""),ROWS(F$5:F1541)),IF(AND(LEFT(x,5)=""Pag"&amp;"e "",ISERROR(SEARCH(""–"",x))),x&amp;""–""&amp;REGEXEXTRACT(x,""[0-9]+$""),x)),"""")"),"")</f>
        <v/>
      </c>
      <c r="G1541" s="163"/>
      <c r="H15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Helper'!$F$5:$F$3004,"""")&lt;&gt;""""),ROWS(H$5:H1541)),"""")"),"")</f>
        <v/>
      </c>
    </row>
    <row r="1542" ht="15.75" customHeight="1">
      <c r="A15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Helper'!$F$5:$F$3004,"""")&lt;&gt;""""),ROWS(A$5:A1542)),"""")"),"")</f>
        <v/>
      </c>
      <c r="B15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Helper'!$F$5:$F$3004,"""")&lt;&gt;""""),ROWS(B$5:B1542)),"""")"),"")</f>
        <v/>
      </c>
      <c r="C15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Helper'!$F$5:$F$3004,"""")&lt;&gt;""""),ROWS(C$5:C1542)),"""")"),"")</f>
        <v/>
      </c>
      <c r="D15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Helper'!$F$5:$F$3004,"""")&lt;&gt;""""),ROWS(D$5:D1542)),"""")"),"")</f>
        <v/>
      </c>
      <c r="E15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Helper'!$F$5:$F$3004,"""")&lt;&gt;""""),ROWS(E$5:E1542)),"""")"),"")</f>
        <v/>
      </c>
      <c r="F15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Helper'!$F$5:$F$3004,"""")&lt;&gt;""""),ROWS(F$5:F1542)),IF(AND(LEFT(x,5)=""Pag"&amp;"e "",ISERROR(SEARCH(""–"",x))),x&amp;""–""&amp;REGEXEXTRACT(x,""[0-9]+$""),x)),"""")"),"")</f>
        <v/>
      </c>
      <c r="G1542" s="163"/>
      <c r="H15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Helper'!$F$5:$F$3004,"""")&lt;&gt;""""),ROWS(H$5:H1542)),"""")"),"")</f>
        <v/>
      </c>
    </row>
    <row r="1543" ht="15.75" customHeight="1">
      <c r="A15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Helper'!$F$5:$F$3004,"""")&lt;&gt;""""),ROWS(A$5:A1543)),"""")"),"")</f>
        <v/>
      </c>
      <c r="B15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Helper'!$F$5:$F$3004,"""")&lt;&gt;""""),ROWS(B$5:B1543)),"""")"),"")</f>
        <v/>
      </c>
      <c r="C15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Helper'!$F$5:$F$3004,"""")&lt;&gt;""""),ROWS(C$5:C1543)),"""")"),"")</f>
        <v/>
      </c>
      <c r="D15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Helper'!$F$5:$F$3004,"""")&lt;&gt;""""),ROWS(D$5:D1543)),"""")"),"")</f>
        <v/>
      </c>
      <c r="E15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Helper'!$F$5:$F$3004,"""")&lt;&gt;""""),ROWS(E$5:E1543)),"""")"),"")</f>
        <v/>
      </c>
      <c r="F15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Helper'!$F$5:$F$3004,"""")&lt;&gt;""""),ROWS(F$5:F1543)),IF(AND(LEFT(x,5)=""Pag"&amp;"e "",ISERROR(SEARCH(""–"",x))),x&amp;""–""&amp;REGEXEXTRACT(x,""[0-9]+$""),x)),"""")"),"")</f>
        <v/>
      </c>
      <c r="G1543" s="163"/>
      <c r="H15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Helper'!$F$5:$F$3004,"""")&lt;&gt;""""),ROWS(H$5:H1543)),"""")"),"")</f>
        <v/>
      </c>
    </row>
    <row r="1544" ht="15.75" customHeight="1">
      <c r="A15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Helper'!$F$5:$F$3004,"""")&lt;&gt;""""),ROWS(A$5:A1544)),"""")"),"")</f>
        <v/>
      </c>
      <c r="B15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Helper'!$F$5:$F$3004,"""")&lt;&gt;""""),ROWS(B$5:B1544)),"""")"),"")</f>
        <v/>
      </c>
      <c r="C15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Helper'!$F$5:$F$3004,"""")&lt;&gt;""""),ROWS(C$5:C1544)),"""")"),"")</f>
        <v/>
      </c>
      <c r="D15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Helper'!$F$5:$F$3004,"""")&lt;&gt;""""),ROWS(D$5:D1544)),"""")"),"")</f>
        <v/>
      </c>
      <c r="E15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Helper'!$F$5:$F$3004,"""")&lt;&gt;""""),ROWS(E$5:E1544)),"""")"),"")</f>
        <v/>
      </c>
      <c r="F15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Helper'!$F$5:$F$3004,"""")&lt;&gt;""""),ROWS(F$5:F1544)),IF(AND(LEFT(x,5)=""Pag"&amp;"e "",ISERROR(SEARCH(""–"",x))),x&amp;""–""&amp;REGEXEXTRACT(x,""[0-9]+$""),x)),"""")"),"")</f>
        <v/>
      </c>
      <c r="G1544" s="163"/>
      <c r="H15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Helper'!$F$5:$F$3004,"""")&lt;&gt;""""),ROWS(H$5:H1544)),"""")"),"")</f>
        <v/>
      </c>
    </row>
    <row r="1545" ht="15.75" customHeight="1">
      <c r="A15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Helper'!$F$5:$F$3004,"""")&lt;&gt;""""),ROWS(A$5:A1545)),"""")"),"")</f>
        <v/>
      </c>
      <c r="B15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Helper'!$F$5:$F$3004,"""")&lt;&gt;""""),ROWS(B$5:B1545)),"""")"),"")</f>
        <v/>
      </c>
      <c r="C15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Helper'!$F$5:$F$3004,"""")&lt;&gt;""""),ROWS(C$5:C1545)),"""")"),"")</f>
        <v/>
      </c>
      <c r="D15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Helper'!$F$5:$F$3004,"""")&lt;&gt;""""),ROWS(D$5:D1545)),"""")"),"")</f>
        <v/>
      </c>
      <c r="E15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Helper'!$F$5:$F$3004,"""")&lt;&gt;""""),ROWS(E$5:E1545)),"""")"),"")</f>
        <v/>
      </c>
      <c r="F15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Helper'!$F$5:$F$3004,"""")&lt;&gt;""""),ROWS(F$5:F1545)),IF(AND(LEFT(x,5)=""Pag"&amp;"e "",ISERROR(SEARCH(""–"",x))),x&amp;""–""&amp;REGEXEXTRACT(x,""[0-9]+$""),x)),"""")"),"")</f>
        <v/>
      </c>
      <c r="G1545" s="163"/>
      <c r="H15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Helper'!$F$5:$F$3004,"""")&lt;&gt;""""),ROWS(H$5:H1545)),"""")"),"")</f>
        <v/>
      </c>
    </row>
    <row r="1546" ht="15.75" customHeight="1">
      <c r="A15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Helper'!$F$5:$F$3004,"""")&lt;&gt;""""),ROWS(A$5:A1546)),"""")"),"")</f>
        <v/>
      </c>
      <c r="B15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Helper'!$F$5:$F$3004,"""")&lt;&gt;""""),ROWS(B$5:B1546)),"""")"),"")</f>
        <v/>
      </c>
      <c r="C15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Helper'!$F$5:$F$3004,"""")&lt;&gt;""""),ROWS(C$5:C1546)),"""")"),"")</f>
        <v/>
      </c>
      <c r="D15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Helper'!$F$5:$F$3004,"""")&lt;&gt;""""),ROWS(D$5:D1546)),"""")"),"")</f>
        <v/>
      </c>
      <c r="E15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Helper'!$F$5:$F$3004,"""")&lt;&gt;""""),ROWS(E$5:E1546)),"""")"),"")</f>
        <v/>
      </c>
      <c r="F15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Helper'!$F$5:$F$3004,"""")&lt;&gt;""""),ROWS(F$5:F1546)),IF(AND(LEFT(x,5)=""Pag"&amp;"e "",ISERROR(SEARCH(""–"",x))),x&amp;""–""&amp;REGEXEXTRACT(x,""[0-9]+$""),x)),"""")"),"")</f>
        <v/>
      </c>
      <c r="G1546" s="163"/>
      <c r="H15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Helper'!$F$5:$F$3004,"""")&lt;&gt;""""),ROWS(H$5:H1546)),"""")"),"")</f>
        <v/>
      </c>
    </row>
    <row r="1547" ht="15.75" customHeight="1">
      <c r="A15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Helper'!$F$5:$F$3004,"""")&lt;&gt;""""),ROWS(A$5:A1547)),"""")"),"")</f>
        <v/>
      </c>
      <c r="B15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Helper'!$F$5:$F$3004,"""")&lt;&gt;""""),ROWS(B$5:B1547)),"""")"),"")</f>
        <v/>
      </c>
      <c r="C15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Helper'!$F$5:$F$3004,"""")&lt;&gt;""""),ROWS(C$5:C1547)),"""")"),"")</f>
        <v/>
      </c>
      <c r="D15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Helper'!$F$5:$F$3004,"""")&lt;&gt;""""),ROWS(D$5:D1547)),"""")"),"")</f>
        <v/>
      </c>
      <c r="E15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Helper'!$F$5:$F$3004,"""")&lt;&gt;""""),ROWS(E$5:E1547)),"""")"),"")</f>
        <v/>
      </c>
      <c r="F15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Helper'!$F$5:$F$3004,"""")&lt;&gt;""""),ROWS(F$5:F1547)),IF(AND(LEFT(x,5)=""Pag"&amp;"e "",ISERROR(SEARCH(""–"",x))),x&amp;""–""&amp;REGEXEXTRACT(x,""[0-9]+$""),x)),"""")"),"")</f>
        <v/>
      </c>
      <c r="G1547" s="163"/>
      <c r="H15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Helper'!$F$5:$F$3004,"""")&lt;&gt;""""),ROWS(H$5:H1547)),"""")"),"")</f>
        <v/>
      </c>
    </row>
    <row r="1548" ht="15.75" customHeight="1">
      <c r="A15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Helper'!$F$5:$F$3004,"""")&lt;&gt;""""),ROWS(A$5:A1548)),"""")"),"")</f>
        <v/>
      </c>
      <c r="B15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Helper'!$F$5:$F$3004,"""")&lt;&gt;""""),ROWS(B$5:B1548)),"""")"),"")</f>
        <v/>
      </c>
      <c r="C15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Helper'!$F$5:$F$3004,"""")&lt;&gt;""""),ROWS(C$5:C1548)),"""")"),"")</f>
        <v/>
      </c>
      <c r="D15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Helper'!$F$5:$F$3004,"""")&lt;&gt;""""),ROWS(D$5:D1548)),"""")"),"")</f>
        <v/>
      </c>
      <c r="E15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Helper'!$F$5:$F$3004,"""")&lt;&gt;""""),ROWS(E$5:E1548)),"""")"),"")</f>
        <v/>
      </c>
      <c r="F15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Helper'!$F$5:$F$3004,"""")&lt;&gt;""""),ROWS(F$5:F1548)),IF(AND(LEFT(x,5)=""Pag"&amp;"e "",ISERROR(SEARCH(""–"",x))),x&amp;""–""&amp;REGEXEXTRACT(x,""[0-9]+$""),x)),"""")"),"")</f>
        <v/>
      </c>
      <c r="G1548" s="163"/>
      <c r="H15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Helper'!$F$5:$F$3004,"""")&lt;&gt;""""),ROWS(H$5:H1548)),"""")"),"")</f>
        <v/>
      </c>
    </row>
    <row r="1549" ht="15.75" customHeight="1">
      <c r="A15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Helper'!$F$5:$F$3004,"""")&lt;&gt;""""),ROWS(A$5:A1549)),"""")"),"")</f>
        <v/>
      </c>
      <c r="B15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Helper'!$F$5:$F$3004,"""")&lt;&gt;""""),ROWS(B$5:B1549)),"""")"),"")</f>
        <v/>
      </c>
      <c r="C15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Helper'!$F$5:$F$3004,"""")&lt;&gt;""""),ROWS(C$5:C1549)),"""")"),"")</f>
        <v/>
      </c>
      <c r="D15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Helper'!$F$5:$F$3004,"""")&lt;&gt;""""),ROWS(D$5:D1549)),"""")"),"")</f>
        <v/>
      </c>
      <c r="E15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Helper'!$F$5:$F$3004,"""")&lt;&gt;""""),ROWS(E$5:E1549)),"""")"),"")</f>
        <v/>
      </c>
      <c r="F15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Helper'!$F$5:$F$3004,"""")&lt;&gt;""""),ROWS(F$5:F1549)),IF(AND(LEFT(x,5)=""Pag"&amp;"e "",ISERROR(SEARCH(""–"",x))),x&amp;""–""&amp;REGEXEXTRACT(x,""[0-9]+$""),x)),"""")"),"")</f>
        <v/>
      </c>
      <c r="G1549" s="163"/>
      <c r="H15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Helper'!$F$5:$F$3004,"""")&lt;&gt;""""),ROWS(H$5:H1549)),"""")"),"")</f>
        <v/>
      </c>
    </row>
    <row r="1550" ht="15.75" customHeight="1">
      <c r="A15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Helper'!$F$5:$F$3004,"""")&lt;&gt;""""),ROWS(A$5:A1550)),"""")"),"")</f>
        <v/>
      </c>
      <c r="B15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Helper'!$F$5:$F$3004,"""")&lt;&gt;""""),ROWS(B$5:B1550)),"""")"),"")</f>
        <v/>
      </c>
      <c r="C15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Helper'!$F$5:$F$3004,"""")&lt;&gt;""""),ROWS(C$5:C1550)),"""")"),"")</f>
        <v/>
      </c>
      <c r="D15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Helper'!$F$5:$F$3004,"""")&lt;&gt;""""),ROWS(D$5:D1550)),"""")"),"")</f>
        <v/>
      </c>
      <c r="E15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Helper'!$F$5:$F$3004,"""")&lt;&gt;""""),ROWS(E$5:E1550)),"""")"),"")</f>
        <v/>
      </c>
      <c r="F15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Helper'!$F$5:$F$3004,"""")&lt;&gt;""""),ROWS(F$5:F1550)),IF(AND(LEFT(x,5)=""Pag"&amp;"e "",ISERROR(SEARCH(""–"",x))),x&amp;""–""&amp;REGEXEXTRACT(x,""[0-9]+$""),x)),"""")"),"")</f>
        <v/>
      </c>
      <c r="G1550" s="163"/>
      <c r="H15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Helper'!$F$5:$F$3004,"""")&lt;&gt;""""),ROWS(H$5:H1550)),"""")"),"")</f>
        <v/>
      </c>
    </row>
    <row r="1551" ht="15.75" customHeight="1">
      <c r="A15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Helper'!$F$5:$F$3004,"""")&lt;&gt;""""),ROWS(A$5:A1551)),"""")"),"")</f>
        <v/>
      </c>
      <c r="B15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Helper'!$F$5:$F$3004,"""")&lt;&gt;""""),ROWS(B$5:B1551)),"""")"),"")</f>
        <v/>
      </c>
      <c r="C15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Helper'!$F$5:$F$3004,"""")&lt;&gt;""""),ROWS(C$5:C1551)),"""")"),"")</f>
        <v/>
      </c>
      <c r="D15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Helper'!$F$5:$F$3004,"""")&lt;&gt;""""),ROWS(D$5:D1551)),"""")"),"")</f>
        <v/>
      </c>
      <c r="E15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Helper'!$F$5:$F$3004,"""")&lt;&gt;""""),ROWS(E$5:E1551)),"""")"),"")</f>
        <v/>
      </c>
      <c r="F15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Helper'!$F$5:$F$3004,"""")&lt;&gt;""""),ROWS(F$5:F1551)),IF(AND(LEFT(x,5)=""Pag"&amp;"e "",ISERROR(SEARCH(""–"",x))),x&amp;""–""&amp;REGEXEXTRACT(x,""[0-9]+$""),x)),"""")"),"")</f>
        <v/>
      </c>
      <c r="G1551" s="163"/>
      <c r="H15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Helper'!$F$5:$F$3004,"""")&lt;&gt;""""),ROWS(H$5:H1551)),"""")"),"")</f>
        <v/>
      </c>
    </row>
    <row r="1552" ht="15.75" customHeight="1">
      <c r="A15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Helper'!$F$5:$F$3004,"""")&lt;&gt;""""),ROWS(A$5:A1552)),"""")"),"")</f>
        <v/>
      </c>
      <c r="B15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Helper'!$F$5:$F$3004,"""")&lt;&gt;""""),ROWS(B$5:B1552)),"""")"),"")</f>
        <v/>
      </c>
      <c r="C15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Helper'!$F$5:$F$3004,"""")&lt;&gt;""""),ROWS(C$5:C1552)),"""")"),"")</f>
        <v/>
      </c>
      <c r="D15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Helper'!$F$5:$F$3004,"""")&lt;&gt;""""),ROWS(D$5:D1552)),"""")"),"")</f>
        <v/>
      </c>
      <c r="E15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Helper'!$F$5:$F$3004,"""")&lt;&gt;""""),ROWS(E$5:E1552)),"""")"),"")</f>
        <v/>
      </c>
      <c r="F15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Helper'!$F$5:$F$3004,"""")&lt;&gt;""""),ROWS(F$5:F1552)),IF(AND(LEFT(x,5)=""Pag"&amp;"e "",ISERROR(SEARCH(""–"",x))),x&amp;""–""&amp;REGEXEXTRACT(x,""[0-9]+$""),x)),"""")"),"")</f>
        <v/>
      </c>
      <c r="G1552" s="163"/>
      <c r="H15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Helper'!$F$5:$F$3004,"""")&lt;&gt;""""),ROWS(H$5:H1552)),"""")"),"")</f>
        <v/>
      </c>
    </row>
    <row r="1553" ht="15.75" customHeight="1">
      <c r="A15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Helper'!$F$5:$F$3004,"""")&lt;&gt;""""),ROWS(A$5:A1553)),"""")"),"")</f>
        <v/>
      </c>
      <c r="B15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Helper'!$F$5:$F$3004,"""")&lt;&gt;""""),ROWS(B$5:B1553)),"""")"),"")</f>
        <v/>
      </c>
      <c r="C15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Helper'!$F$5:$F$3004,"""")&lt;&gt;""""),ROWS(C$5:C1553)),"""")"),"")</f>
        <v/>
      </c>
      <c r="D15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Helper'!$F$5:$F$3004,"""")&lt;&gt;""""),ROWS(D$5:D1553)),"""")"),"")</f>
        <v/>
      </c>
      <c r="E15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Helper'!$F$5:$F$3004,"""")&lt;&gt;""""),ROWS(E$5:E1553)),"""")"),"")</f>
        <v/>
      </c>
      <c r="F15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Helper'!$F$5:$F$3004,"""")&lt;&gt;""""),ROWS(F$5:F1553)),IF(AND(LEFT(x,5)=""Pag"&amp;"e "",ISERROR(SEARCH(""–"",x))),x&amp;""–""&amp;REGEXEXTRACT(x,""[0-9]+$""),x)),"""")"),"")</f>
        <v/>
      </c>
      <c r="G1553" s="163"/>
      <c r="H15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Helper'!$F$5:$F$3004,"""")&lt;&gt;""""),ROWS(H$5:H1553)),"""")"),"")</f>
        <v/>
      </c>
    </row>
    <row r="1554" ht="15.75" customHeight="1">
      <c r="A15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Helper'!$F$5:$F$3004,"""")&lt;&gt;""""),ROWS(A$5:A1554)),"""")"),"")</f>
        <v/>
      </c>
      <c r="B15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Helper'!$F$5:$F$3004,"""")&lt;&gt;""""),ROWS(B$5:B1554)),"""")"),"")</f>
        <v/>
      </c>
      <c r="C15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Helper'!$F$5:$F$3004,"""")&lt;&gt;""""),ROWS(C$5:C1554)),"""")"),"")</f>
        <v/>
      </c>
      <c r="D15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Helper'!$F$5:$F$3004,"""")&lt;&gt;""""),ROWS(D$5:D1554)),"""")"),"")</f>
        <v/>
      </c>
      <c r="E15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Helper'!$F$5:$F$3004,"""")&lt;&gt;""""),ROWS(E$5:E1554)),"""")"),"")</f>
        <v/>
      </c>
      <c r="F15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Helper'!$F$5:$F$3004,"""")&lt;&gt;""""),ROWS(F$5:F1554)),IF(AND(LEFT(x,5)=""Pag"&amp;"e "",ISERROR(SEARCH(""–"",x))),x&amp;""–""&amp;REGEXEXTRACT(x,""[0-9]+$""),x)),"""")"),"")</f>
        <v/>
      </c>
      <c r="G1554" s="163"/>
      <c r="H15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Helper'!$F$5:$F$3004,"""")&lt;&gt;""""),ROWS(H$5:H1554)),"""")"),"")</f>
        <v/>
      </c>
    </row>
    <row r="1555" ht="15.75" customHeight="1">
      <c r="A15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Helper'!$F$5:$F$3004,"""")&lt;&gt;""""),ROWS(A$5:A1555)),"""")"),"")</f>
        <v/>
      </c>
      <c r="B15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Helper'!$F$5:$F$3004,"""")&lt;&gt;""""),ROWS(B$5:B1555)),"""")"),"")</f>
        <v/>
      </c>
      <c r="C15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Helper'!$F$5:$F$3004,"""")&lt;&gt;""""),ROWS(C$5:C1555)),"""")"),"")</f>
        <v/>
      </c>
      <c r="D15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Helper'!$F$5:$F$3004,"""")&lt;&gt;""""),ROWS(D$5:D1555)),"""")"),"")</f>
        <v/>
      </c>
      <c r="E15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Helper'!$F$5:$F$3004,"""")&lt;&gt;""""),ROWS(E$5:E1555)),"""")"),"")</f>
        <v/>
      </c>
      <c r="F15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Helper'!$F$5:$F$3004,"""")&lt;&gt;""""),ROWS(F$5:F1555)),IF(AND(LEFT(x,5)=""Pag"&amp;"e "",ISERROR(SEARCH(""–"",x))),x&amp;""–""&amp;REGEXEXTRACT(x,""[0-9]+$""),x)),"""")"),"")</f>
        <v/>
      </c>
      <c r="G1555" s="163"/>
      <c r="H15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Helper'!$F$5:$F$3004,"""")&lt;&gt;""""),ROWS(H$5:H1555)),"""")"),"")</f>
        <v/>
      </c>
    </row>
    <row r="1556" ht="15.75" customHeight="1">
      <c r="A15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Helper'!$F$5:$F$3004,"""")&lt;&gt;""""),ROWS(A$5:A1556)),"""")"),"")</f>
        <v/>
      </c>
      <c r="B15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Helper'!$F$5:$F$3004,"""")&lt;&gt;""""),ROWS(B$5:B1556)),"""")"),"")</f>
        <v/>
      </c>
      <c r="C15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Helper'!$F$5:$F$3004,"""")&lt;&gt;""""),ROWS(C$5:C1556)),"""")"),"")</f>
        <v/>
      </c>
      <c r="D15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Helper'!$F$5:$F$3004,"""")&lt;&gt;""""),ROWS(D$5:D1556)),"""")"),"")</f>
        <v/>
      </c>
      <c r="E15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Helper'!$F$5:$F$3004,"""")&lt;&gt;""""),ROWS(E$5:E1556)),"""")"),"")</f>
        <v/>
      </c>
      <c r="F15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Helper'!$F$5:$F$3004,"""")&lt;&gt;""""),ROWS(F$5:F1556)),IF(AND(LEFT(x,5)=""Pag"&amp;"e "",ISERROR(SEARCH(""–"",x))),x&amp;""–""&amp;REGEXEXTRACT(x,""[0-9]+$""),x)),"""")"),"")</f>
        <v/>
      </c>
      <c r="G1556" s="163"/>
      <c r="H15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Helper'!$F$5:$F$3004,"""")&lt;&gt;""""),ROWS(H$5:H1556)),"""")"),"")</f>
        <v/>
      </c>
    </row>
    <row r="1557" ht="15.75" customHeight="1">
      <c r="A15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Helper'!$F$5:$F$3004,"""")&lt;&gt;""""),ROWS(A$5:A1557)),"""")"),"")</f>
        <v/>
      </c>
      <c r="B15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Helper'!$F$5:$F$3004,"""")&lt;&gt;""""),ROWS(B$5:B1557)),"""")"),"")</f>
        <v/>
      </c>
      <c r="C15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Helper'!$F$5:$F$3004,"""")&lt;&gt;""""),ROWS(C$5:C1557)),"""")"),"")</f>
        <v/>
      </c>
      <c r="D15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Helper'!$F$5:$F$3004,"""")&lt;&gt;""""),ROWS(D$5:D1557)),"""")"),"")</f>
        <v/>
      </c>
      <c r="E15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Helper'!$F$5:$F$3004,"""")&lt;&gt;""""),ROWS(E$5:E1557)),"""")"),"")</f>
        <v/>
      </c>
      <c r="F15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Helper'!$F$5:$F$3004,"""")&lt;&gt;""""),ROWS(F$5:F1557)),IF(AND(LEFT(x,5)=""Pag"&amp;"e "",ISERROR(SEARCH(""–"",x))),x&amp;""–""&amp;REGEXEXTRACT(x,""[0-9]+$""),x)),"""")"),"")</f>
        <v/>
      </c>
      <c r="G1557" s="163"/>
      <c r="H15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Helper'!$F$5:$F$3004,"""")&lt;&gt;""""),ROWS(H$5:H1557)),"""")"),"")</f>
        <v/>
      </c>
    </row>
    <row r="1558" ht="15.75" customHeight="1">
      <c r="A15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Helper'!$F$5:$F$3004,"""")&lt;&gt;""""),ROWS(A$5:A1558)),"""")"),"")</f>
        <v/>
      </c>
      <c r="B15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Helper'!$F$5:$F$3004,"""")&lt;&gt;""""),ROWS(B$5:B1558)),"""")"),"")</f>
        <v/>
      </c>
      <c r="C15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Helper'!$F$5:$F$3004,"""")&lt;&gt;""""),ROWS(C$5:C1558)),"""")"),"")</f>
        <v/>
      </c>
      <c r="D15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Helper'!$F$5:$F$3004,"""")&lt;&gt;""""),ROWS(D$5:D1558)),"""")"),"")</f>
        <v/>
      </c>
      <c r="E15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Helper'!$F$5:$F$3004,"""")&lt;&gt;""""),ROWS(E$5:E1558)),"""")"),"")</f>
        <v/>
      </c>
      <c r="F15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Helper'!$F$5:$F$3004,"""")&lt;&gt;""""),ROWS(F$5:F1558)),IF(AND(LEFT(x,5)=""Pag"&amp;"e "",ISERROR(SEARCH(""–"",x))),x&amp;""–""&amp;REGEXEXTRACT(x,""[0-9]+$""),x)),"""")"),"")</f>
        <v/>
      </c>
      <c r="G1558" s="163"/>
      <c r="H15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Helper'!$F$5:$F$3004,"""")&lt;&gt;""""),ROWS(H$5:H1558)),"""")"),"")</f>
        <v/>
      </c>
    </row>
    <row r="1559" ht="15.75" customHeight="1">
      <c r="A15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Helper'!$F$5:$F$3004,"""")&lt;&gt;""""),ROWS(A$5:A1559)),"""")"),"")</f>
        <v/>
      </c>
      <c r="B15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Helper'!$F$5:$F$3004,"""")&lt;&gt;""""),ROWS(B$5:B1559)),"""")"),"")</f>
        <v/>
      </c>
      <c r="C15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Helper'!$F$5:$F$3004,"""")&lt;&gt;""""),ROWS(C$5:C1559)),"""")"),"")</f>
        <v/>
      </c>
      <c r="D15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Helper'!$F$5:$F$3004,"""")&lt;&gt;""""),ROWS(D$5:D1559)),"""")"),"")</f>
        <v/>
      </c>
      <c r="E15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Helper'!$F$5:$F$3004,"""")&lt;&gt;""""),ROWS(E$5:E1559)),"""")"),"")</f>
        <v/>
      </c>
      <c r="F15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Helper'!$F$5:$F$3004,"""")&lt;&gt;""""),ROWS(F$5:F1559)),IF(AND(LEFT(x,5)=""Pag"&amp;"e "",ISERROR(SEARCH(""–"",x))),x&amp;""–""&amp;REGEXEXTRACT(x,""[0-9]+$""),x)),"""")"),"")</f>
        <v/>
      </c>
      <c r="G1559" s="163"/>
      <c r="H15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Helper'!$F$5:$F$3004,"""")&lt;&gt;""""),ROWS(H$5:H1559)),"""")"),"")</f>
        <v/>
      </c>
    </row>
    <row r="1560" ht="15.75" customHeight="1">
      <c r="A15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Helper'!$F$5:$F$3004,"""")&lt;&gt;""""),ROWS(A$5:A1560)),"""")"),"")</f>
        <v/>
      </c>
      <c r="B15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Helper'!$F$5:$F$3004,"""")&lt;&gt;""""),ROWS(B$5:B1560)),"""")"),"")</f>
        <v/>
      </c>
      <c r="C15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Helper'!$F$5:$F$3004,"""")&lt;&gt;""""),ROWS(C$5:C1560)),"""")"),"")</f>
        <v/>
      </c>
      <c r="D15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Helper'!$F$5:$F$3004,"""")&lt;&gt;""""),ROWS(D$5:D1560)),"""")"),"")</f>
        <v/>
      </c>
      <c r="E15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Helper'!$F$5:$F$3004,"""")&lt;&gt;""""),ROWS(E$5:E1560)),"""")"),"")</f>
        <v/>
      </c>
      <c r="F15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Helper'!$F$5:$F$3004,"""")&lt;&gt;""""),ROWS(F$5:F1560)),IF(AND(LEFT(x,5)=""Pag"&amp;"e "",ISERROR(SEARCH(""–"",x))),x&amp;""–""&amp;REGEXEXTRACT(x,""[0-9]+$""),x)),"""")"),"")</f>
        <v/>
      </c>
      <c r="G1560" s="163"/>
      <c r="H15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Helper'!$F$5:$F$3004,"""")&lt;&gt;""""),ROWS(H$5:H1560)),"""")"),"")</f>
        <v/>
      </c>
    </row>
    <row r="1561" ht="15.75" customHeight="1">
      <c r="A15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Helper'!$F$5:$F$3004,"""")&lt;&gt;""""),ROWS(A$5:A1561)),"""")"),"")</f>
        <v/>
      </c>
      <c r="B15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Helper'!$F$5:$F$3004,"""")&lt;&gt;""""),ROWS(B$5:B1561)),"""")"),"")</f>
        <v/>
      </c>
      <c r="C15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Helper'!$F$5:$F$3004,"""")&lt;&gt;""""),ROWS(C$5:C1561)),"""")"),"")</f>
        <v/>
      </c>
      <c r="D15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Helper'!$F$5:$F$3004,"""")&lt;&gt;""""),ROWS(D$5:D1561)),"""")"),"")</f>
        <v/>
      </c>
      <c r="E15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Helper'!$F$5:$F$3004,"""")&lt;&gt;""""),ROWS(E$5:E1561)),"""")"),"")</f>
        <v/>
      </c>
      <c r="F15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Helper'!$F$5:$F$3004,"""")&lt;&gt;""""),ROWS(F$5:F1561)),IF(AND(LEFT(x,5)=""Pag"&amp;"e "",ISERROR(SEARCH(""–"",x))),x&amp;""–""&amp;REGEXEXTRACT(x,""[0-9]+$""),x)),"""")"),"")</f>
        <v/>
      </c>
      <c r="G1561" s="163"/>
      <c r="H15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Helper'!$F$5:$F$3004,"""")&lt;&gt;""""),ROWS(H$5:H1561)),"""")"),"")</f>
        <v/>
      </c>
    </row>
    <row r="1562" ht="15.75" customHeight="1">
      <c r="A15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Helper'!$F$5:$F$3004,"""")&lt;&gt;""""),ROWS(A$5:A1562)),"""")"),"")</f>
        <v/>
      </c>
      <c r="B15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Helper'!$F$5:$F$3004,"""")&lt;&gt;""""),ROWS(B$5:B1562)),"""")"),"")</f>
        <v/>
      </c>
      <c r="C15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Helper'!$F$5:$F$3004,"""")&lt;&gt;""""),ROWS(C$5:C1562)),"""")"),"")</f>
        <v/>
      </c>
      <c r="D15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Helper'!$F$5:$F$3004,"""")&lt;&gt;""""),ROWS(D$5:D1562)),"""")"),"")</f>
        <v/>
      </c>
      <c r="E15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Helper'!$F$5:$F$3004,"""")&lt;&gt;""""),ROWS(E$5:E1562)),"""")"),"")</f>
        <v/>
      </c>
      <c r="F15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Helper'!$F$5:$F$3004,"""")&lt;&gt;""""),ROWS(F$5:F1562)),IF(AND(LEFT(x,5)=""Pag"&amp;"e "",ISERROR(SEARCH(""–"",x))),x&amp;""–""&amp;REGEXEXTRACT(x,""[0-9]+$""),x)),"""")"),"")</f>
        <v/>
      </c>
      <c r="G1562" s="163"/>
      <c r="H15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Helper'!$F$5:$F$3004,"""")&lt;&gt;""""),ROWS(H$5:H1562)),"""")"),"")</f>
        <v/>
      </c>
    </row>
    <row r="1563" ht="15.75" customHeight="1">
      <c r="A15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Helper'!$F$5:$F$3004,"""")&lt;&gt;""""),ROWS(A$5:A1563)),"""")"),"")</f>
        <v/>
      </c>
      <c r="B15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Helper'!$F$5:$F$3004,"""")&lt;&gt;""""),ROWS(B$5:B1563)),"""")"),"")</f>
        <v/>
      </c>
      <c r="C15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Helper'!$F$5:$F$3004,"""")&lt;&gt;""""),ROWS(C$5:C1563)),"""")"),"")</f>
        <v/>
      </c>
      <c r="D15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Helper'!$F$5:$F$3004,"""")&lt;&gt;""""),ROWS(D$5:D1563)),"""")"),"")</f>
        <v/>
      </c>
      <c r="E15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Helper'!$F$5:$F$3004,"""")&lt;&gt;""""),ROWS(E$5:E1563)),"""")"),"")</f>
        <v/>
      </c>
      <c r="F15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Helper'!$F$5:$F$3004,"""")&lt;&gt;""""),ROWS(F$5:F1563)),IF(AND(LEFT(x,5)=""Pag"&amp;"e "",ISERROR(SEARCH(""–"",x))),x&amp;""–""&amp;REGEXEXTRACT(x,""[0-9]+$""),x)),"""")"),"")</f>
        <v/>
      </c>
      <c r="G1563" s="163"/>
      <c r="H15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Helper'!$F$5:$F$3004,"""")&lt;&gt;""""),ROWS(H$5:H1563)),"""")"),"")</f>
        <v/>
      </c>
    </row>
    <row r="1564" ht="15.75" customHeight="1">
      <c r="A15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Helper'!$F$5:$F$3004,"""")&lt;&gt;""""),ROWS(A$5:A1564)),"""")"),"")</f>
        <v/>
      </c>
      <c r="B15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Helper'!$F$5:$F$3004,"""")&lt;&gt;""""),ROWS(B$5:B1564)),"""")"),"")</f>
        <v/>
      </c>
      <c r="C15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Helper'!$F$5:$F$3004,"""")&lt;&gt;""""),ROWS(C$5:C1564)),"""")"),"")</f>
        <v/>
      </c>
      <c r="D15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Helper'!$F$5:$F$3004,"""")&lt;&gt;""""),ROWS(D$5:D1564)),"""")"),"")</f>
        <v/>
      </c>
      <c r="E15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Helper'!$F$5:$F$3004,"""")&lt;&gt;""""),ROWS(E$5:E1564)),"""")"),"")</f>
        <v/>
      </c>
      <c r="F15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Helper'!$F$5:$F$3004,"""")&lt;&gt;""""),ROWS(F$5:F1564)),IF(AND(LEFT(x,5)=""Pag"&amp;"e "",ISERROR(SEARCH(""–"",x))),x&amp;""–""&amp;REGEXEXTRACT(x,""[0-9]+$""),x)),"""")"),"")</f>
        <v/>
      </c>
      <c r="G1564" s="163"/>
      <c r="H15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Helper'!$F$5:$F$3004,"""")&lt;&gt;""""),ROWS(H$5:H1564)),"""")"),"")</f>
        <v/>
      </c>
    </row>
    <row r="1565" ht="15.75" customHeight="1">
      <c r="A15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Helper'!$F$5:$F$3004,"""")&lt;&gt;""""),ROWS(A$5:A1565)),"""")"),"")</f>
        <v/>
      </c>
      <c r="B15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Helper'!$F$5:$F$3004,"""")&lt;&gt;""""),ROWS(B$5:B1565)),"""")"),"")</f>
        <v/>
      </c>
      <c r="C15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Helper'!$F$5:$F$3004,"""")&lt;&gt;""""),ROWS(C$5:C1565)),"""")"),"")</f>
        <v/>
      </c>
      <c r="D15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Helper'!$F$5:$F$3004,"""")&lt;&gt;""""),ROWS(D$5:D1565)),"""")"),"")</f>
        <v/>
      </c>
      <c r="E15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Helper'!$F$5:$F$3004,"""")&lt;&gt;""""),ROWS(E$5:E1565)),"""")"),"")</f>
        <v/>
      </c>
      <c r="F15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Helper'!$F$5:$F$3004,"""")&lt;&gt;""""),ROWS(F$5:F1565)),IF(AND(LEFT(x,5)=""Pag"&amp;"e "",ISERROR(SEARCH(""–"",x))),x&amp;""–""&amp;REGEXEXTRACT(x,""[0-9]+$""),x)),"""")"),"")</f>
        <v/>
      </c>
      <c r="G1565" s="163"/>
      <c r="H15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Helper'!$F$5:$F$3004,"""")&lt;&gt;""""),ROWS(H$5:H1565)),"""")"),"")</f>
        <v/>
      </c>
    </row>
    <row r="1566" ht="15.75" customHeight="1">
      <c r="A15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Helper'!$F$5:$F$3004,"""")&lt;&gt;""""),ROWS(A$5:A1566)),"""")"),"")</f>
        <v/>
      </c>
      <c r="B15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Helper'!$F$5:$F$3004,"""")&lt;&gt;""""),ROWS(B$5:B1566)),"""")"),"")</f>
        <v/>
      </c>
      <c r="C15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Helper'!$F$5:$F$3004,"""")&lt;&gt;""""),ROWS(C$5:C1566)),"""")"),"")</f>
        <v/>
      </c>
      <c r="D15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Helper'!$F$5:$F$3004,"""")&lt;&gt;""""),ROWS(D$5:D1566)),"""")"),"")</f>
        <v/>
      </c>
      <c r="E15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Helper'!$F$5:$F$3004,"""")&lt;&gt;""""),ROWS(E$5:E1566)),"""")"),"")</f>
        <v/>
      </c>
      <c r="F15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Helper'!$F$5:$F$3004,"""")&lt;&gt;""""),ROWS(F$5:F1566)),IF(AND(LEFT(x,5)=""Pag"&amp;"e "",ISERROR(SEARCH(""–"",x))),x&amp;""–""&amp;REGEXEXTRACT(x,""[0-9]+$""),x)),"""")"),"")</f>
        <v/>
      </c>
      <c r="G1566" s="163"/>
      <c r="H15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Helper'!$F$5:$F$3004,"""")&lt;&gt;""""),ROWS(H$5:H1566)),"""")"),"")</f>
        <v/>
      </c>
    </row>
    <row r="1567" ht="15.75" customHeight="1">
      <c r="A15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Helper'!$F$5:$F$3004,"""")&lt;&gt;""""),ROWS(A$5:A1567)),"""")"),"")</f>
        <v/>
      </c>
      <c r="B15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Helper'!$F$5:$F$3004,"""")&lt;&gt;""""),ROWS(B$5:B1567)),"""")"),"")</f>
        <v/>
      </c>
      <c r="C15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Helper'!$F$5:$F$3004,"""")&lt;&gt;""""),ROWS(C$5:C1567)),"""")"),"")</f>
        <v/>
      </c>
      <c r="D15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Helper'!$F$5:$F$3004,"""")&lt;&gt;""""),ROWS(D$5:D1567)),"""")"),"")</f>
        <v/>
      </c>
      <c r="E15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Helper'!$F$5:$F$3004,"""")&lt;&gt;""""),ROWS(E$5:E1567)),"""")"),"")</f>
        <v/>
      </c>
      <c r="F15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Helper'!$F$5:$F$3004,"""")&lt;&gt;""""),ROWS(F$5:F1567)),IF(AND(LEFT(x,5)=""Pag"&amp;"e "",ISERROR(SEARCH(""–"",x))),x&amp;""–""&amp;REGEXEXTRACT(x,""[0-9]+$""),x)),"""")"),"")</f>
        <v/>
      </c>
      <c r="G1567" s="163"/>
      <c r="H15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Helper'!$F$5:$F$3004,"""")&lt;&gt;""""),ROWS(H$5:H1567)),"""")"),"")</f>
        <v/>
      </c>
    </row>
    <row r="1568" ht="15.75" customHeight="1">
      <c r="A15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Helper'!$F$5:$F$3004,"""")&lt;&gt;""""),ROWS(A$5:A1568)),"""")"),"")</f>
        <v/>
      </c>
      <c r="B15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Helper'!$F$5:$F$3004,"""")&lt;&gt;""""),ROWS(B$5:B1568)),"""")"),"")</f>
        <v/>
      </c>
      <c r="C15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Helper'!$F$5:$F$3004,"""")&lt;&gt;""""),ROWS(C$5:C1568)),"""")"),"")</f>
        <v/>
      </c>
      <c r="D15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Helper'!$F$5:$F$3004,"""")&lt;&gt;""""),ROWS(D$5:D1568)),"""")"),"")</f>
        <v/>
      </c>
      <c r="E15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Helper'!$F$5:$F$3004,"""")&lt;&gt;""""),ROWS(E$5:E1568)),"""")"),"")</f>
        <v/>
      </c>
      <c r="F15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Helper'!$F$5:$F$3004,"""")&lt;&gt;""""),ROWS(F$5:F1568)),IF(AND(LEFT(x,5)=""Pag"&amp;"e "",ISERROR(SEARCH(""–"",x))),x&amp;""–""&amp;REGEXEXTRACT(x,""[0-9]+$""),x)),"""")"),"")</f>
        <v/>
      </c>
      <c r="G1568" s="163"/>
      <c r="H15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Helper'!$F$5:$F$3004,"""")&lt;&gt;""""),ROWS(H$5:H1568)),"""")"),"")</f>
        <v/>
      </c>
    </row>
    <row r="1569" ht="15.75" customHeight="1">
      <c r="A15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Helper'!$F$5:$F$3004,"""")&lt;&gt;""""),ROWS(A$5:A1569)),"""")"),"")</f>
        <v/>
      </c>
      <c r="B15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Helper'!$F$5:$F$3004,"""")&lt;&gt;""""),ROWS(B$5:B1569)),"""")"),"")</f>
        <v/>
      </c>
      <c r="C15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Helper'!$F$5:$F$3004,"""")&lt;&gt;""""),ROWS(C$5:C1569)),"""")"),"")</f>
        <v/>
      </c>
      <c r="D15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Helper'!$F$5:$F$3004,"""")&lt;&gt;""""),ROWS(D$5:D1569)),"""")"),"")</f>
        <v/>
      </c>
      <c r="E15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Helper'!$F$5:$F$3004,"""")&lt;&gt;""""),ROWS(E$5:E1569)),"""")"),"")</f>
        <v/>
      </c>
      <c r="F15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Helper'!$F$5:$F$3004,"""")&lt;&gt;""""),ROWS(F$5:F1569)),IF(AND(LEFT(x,5)=""Pag"&amp;"e "",ISERROR(SEARCH(""–"",x))),x&amp;""–""&amp;REGEXEXTRACT(x,""[0-9]+$""),x)),"""")"),"")</f>
        <v/>
      </c>
      <c r="G1569" s="163"/>
      <c r="H15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Helper'!$F$5:$F$3004,"""")&lt;&gt;""""),ROWS(H$5:H1569)),"""")"),"")</f>
        <v/>
      </c>
    </row>
    <row r="1570" ht="15.75" customHeight="1">
      <c r="A15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Helper'!$F$5:$F$3004,"""")&lt;&gt;""""),ROWS(A$5:A1570)),"""")"),"")</f>
        <v/>
      </c>
      <c r="B15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Helper'!$F$5:$F$3004,"""")&lt;&gt;""""),ROWS(B$5:B1570)),"""")"),"")</f>
        <v/>
      </c>
      <c r="C15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Helper'!$F$5:$F$3004,"""")&lt;&gt;""""),ROWS(C$5:C1570)),"""")"),"")</f>
        <v/>
      </c>
      <c r="D15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Helper'!$F$5:$F$3004,"""")&lt;&gt;""""),ROWS(D$5:D1570)),"""")"),"")</f>
        <v/>
      </c>
      <c r="E15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Helper'!$F$5:$F$3004,"""")&lt;&gt;""""),ROWS(E$5:E1570)),"""")"),"")</f>
        <v/>
      </c>
      <c r="F15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Helper'!$F$5:$F$3004,"""")&lt;&gt;""""),ROWS(F$5:F1570)),IF(AND(LEFT(x,5)=""Pag"&amp;"e "",ISERROR(SEARCH(""–"",x))),x&amp;""–""&amp;REGEXEXTRACT(x,""[0-9]+$""),x)),"""")"),"")</f>
        <v/>
      </c>
      <c r="G1570" s="163"/>
      <c r="H15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Helper'!$F$5:$F$3004,"""")&lt;&gt;""""),ROWS(H$5:H1570)),"""")"),"")</f>
        <v/>
      </c>
    </row>
    <row r="1571" ht="15.75" customHeight="1">
      <c r="A15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Helper'!$F$5:$F$3004,"""")&lt;&gt;""""),ROWS(A$5:A1571)),"""")"),"")</f>
        <v/>
      </c>
      <c r="B15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Helper'!$F$5:$F$3004,"""")&lt;&gt;""""),ROWS(B$5:B1571)),"""")"),"")</f>
        <v/>
      </c>
      <c r="C15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Helper'!$F$5:$F$3004,"""")&lt;&gt;""""),ROWS(C$5:C1571)),"""")"),"")</f>
        <v/>
      </c>
      <c r="D15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Helper'!$F$5:$F$3004,"""")&lt;&gt;""""),ROWS(D$5:D1571)),"""")"),"")</f>
        <v/>
      </c>
      <c r="E15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Helper'!$F$5:$F$3004,"""")&lt;&gt;""""),ROWS(E$5:E1571)),"""")"),"")</f>
        <v/>
      </c>
      <c r="F15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Helper'!$F$5:$F$3004,"""")&lt;&gt;""""),ROWS(F$5:F1571)),IF(AND(LEFT(x,5)=""Pag"&amp;"e "",ISERROR(SEARCH(""–"",x))),x&amp;""–""&amp;REGEXEXTRACT(x,""[0-9]+$""),x)),"""")"),"")</f>
        <v/>
      </c>
      <c r="G1571" s="163"/>
      <c r="H15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Helper'!$F$5:$F$3004,"""")&lt;&gt;""""),ROWS(H$5:H1571)),"""")"),"")</f>
        <v/>
      </c>
    </row>
    <row r="1572" ht="15.75" customHeight="1">
      <c r="A15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Helper'!$F$5:$F$3004,"""")&lt;&gt;""""),ROWS(A$5:A1572)),"""")"),"")</f>
        <v/>
      </c>
      <c r="B15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Helper'!$F$5:$F$3004,"""")&lt;&gt;""""),ROWS(B$5:B1572)),"""")"),"")</f>
        <v/>
      </c>
      <c r="C15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Helper'!$F$5:$F$3004,"""")&lt;&gt;""""),ROWS(C$5:C1572)),"""")"),"")</f>
        <v/>
      </c>
      <c r="D15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Helper'!$F$5:$F$3004,"""")&lt;&gt;""""),ROWS(D$5:D1572)),"""")"),"")</f>
        <v/>
      </c>
      <c r="E15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Helper'!$F$5:$F$3004,"""")&lt;&gt;""""),ROWS(E$5:E1572)),"""")"),"")</f>
        <v/>
      </c>
      <c r="F15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Helper'!$F$5:$F$3004,"""")&lt;&gt;""""),ROWS(F$5:F1572)),IF(AND(LEFT(x,5)=""Pag"&amp;"e "",ISERROR(SEARCH(""–"",x))),x&amp;""–""&amp;REGEXEXTRACT(x,""[0-9]+$""),x)),"""")"),"")</f>
        <v/>
      </c>
      <c r="G1572" s="163"/>
      <c r="H15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Helper'!$F$5:$F$3004,"""")&lt;&gt;""""),ROWS(H$5:H1572)),"""")"),"")</f>
        <v/>
      </c>
    </row>
    <row r="1573" ht="15.75" customHeight="1">
      <c r="A15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Helper'!$F$5:$F$3004,"""")&lt;&gt;""""),ROWS(A$5:A1573)),"""")"),"")</f>
        <v/>
      </c>
      <c r="B15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Helper'!$F$5:$F$3004,"""")&lt;&gt;""""),ROWS(B$5:B1573)),"""")"),"")</f>
        <v/>
      </c>
      <c r="C15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Helper'!$F$5:$F$3004,"""")&lt;&gt;""""),ROWS(C$5:C1573)),"""")"),"")</f>
        <v/>
      </c>
      <c r="D15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Helper'!$F$5:$F$3004,"""")&lt;&gt;""""),ROWS(D$5:D1573)),"""")"),"")</f>
        <v/>
      </c>
      <c r="E15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Helper'!$F$5:$F$3004,"""")&lt;&gt;""""),ROWS(E$5:E1573)),"""")"),"")</f>
        <v/>
      </c>
      <c r="F15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Helper'!$F$5:$F$3004,"""")&lt;&gt;""""),ROWS(F$5:F1573)),IF(AND(LEFT(x,5)=""Pag"&amp;"e "",ISERROR(SEARCH(""–"",x))),x&amp;""–""&amp;REGEXEXTRACT(x,""[0-9]+$""),x)),"""")"),"")</f>
        <v/>
      </c>
      <c r="G1573" s="163"/>
      <c r="H15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Helper'!$F$5:$F$3004,"""")&lt;&gt;""""),ROWS(H$5:H1573)),"""")"),"")</f>
        <v/>
      </c>
    </row>
    <row r="1574" ht="15.75" customHeight="1">
      <c r="A15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Helper'!$F$5:$F$3004,"""")&lt;&gt;""""),ROWS(A$5:A1574)),"""")"),"")</f>
        <v/>
      </c>
      <c r="B15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Helper'!$F$5:$F$3004,"""")&lt;&gt;""""),ROWS(B$5:B1574)),"""")"),"")</f>
        <v/>
      </c>
      <c r="C15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Helper'!$F$5:$F$3004,"""")&lt;&gt;""""),ROWS(C$5:C1574)),"""")"),"")</f>
        <v/>
      </c>
      <c r="D15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Helper'!$F$5:$F$3004,"""")&lt;&gt;""""),ROWS(D$5:D1574)),"""")"),"")</f>
        <v/>
      </c>
      <c r="E15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Helper'!$F$5:$F$3004,"""")&lt;&gt;""""),ROWS(E$5:E1574)),"""")"),"")</f>
        <v/>
      </c>
      <c r="F15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Helper'!$F$5:$F$3004,"""")&lt;&gt;""""),ROWS(F$5:F1574)),IF(AND(LEFT(x,5)=""Pag"&amp;"e "",ISERROR(SEARCH(""–"",x))),x&amp;""–""&amp;REGEXEXTRACT(x,""[0-9]+$""),x)),"""")"),"")</f>
        <v/>
      </c>
      <c r="G1574" s="163"/>
      <c r="H15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Helper'!$F$5:$F$3004,"""")&lt;&gt;""""),ROWS(H$5:H1574)),"""")"),"")</f>
        <v/>
      </c>
    </row>
    <row r="1575" ht="15.75" customHeight="1">
      <c r="A15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Helper'!$F$5:$F$3004,"""")&lt;&gt;""""),ROWS(A$5:A1575)),"""")"),"")</f>
        <v/>
      </c>
      <c r="B15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Helper'!$F$5:$F$3004,"""")&lt;&gt;""""),ROWS(B$5:B1575)),"""")"),"")</f>
        <v/>
      </c>
      <c r="C15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Helper'!$F$5:$F$3004,"""")&lt;&gt;""""),ROWS(C$5:C1575)),"""")"),"")</f>
        <v/>
      </c>
      <c r="D15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Helper'!$F$5:$F$3004,"""")&lt;&gt;""""),ROWS(D$5:D1575)),"""")"),"")</f>
        <v/>
      </c>
      <c r="E15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Helper'!$F$5:$F$3004,"""")&lt;&gt;""""),ROWS(E$5:E1575)),"""")"),"")</f>
        <v/>
      </c>
      <c r="F15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Helper'!$F$5:$F$3004,"""")&lt;&gt;""""),ROWS(F$5:F1575)),IF(AND(LEFT(x,5)=""Pag"&amp;"e "",ISERROR(SEARCH(""–"",x))),x&amp;""–""&amp;REGEXEXTRACT(x,""[0-9]+$""),x)),"""")"),"")</f>
        <v/>
      </c>
      <c r="G1575" s="163"/>
      <c r="H15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Helper'!$F$5:$F$3004,"""")&lt;&gt;""""),ROWS(H$5:H1575)),"""")"),"")</f>
        <v/>
      </c>
    </row>
    <row r="1576" ht="15.75" customHeight="1">
      <c r="A15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Helper'!$F$5:$F$3004,"""")&lt;&gt;""""),ROWS(A$5:A1576)),"""")"),"")</f>
        <v/>
      </c>
      <c r="B15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Helper'!$F$5:$F$3004,"""")&lt;&gt;""""),ROWS(B$5:B1576)),"""")"),"")</f>
        <v/>
      </c>
      <c r="C15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Helper'!$F$5:$F$3004,"""")&lt;&gt;""""),ROWS(C$5:C1576)),"""")"),"")</f>
        <v/>
      </c>
      <c r="D15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Helper'!$F$5:$F$3004,"""")&lt;&gt;""""),ROWS(D$5:D1576)),"""")"),"")</f>
        <v/>
      </c>
      <c r="E15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Helper'!$F$5:$F$3004,"""")&lt;&gt;""""),ROWS(E$5:E1576)),"""")"),"")</f>
        <v/>
      </c>
      <c r="F15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Helper'!$F$5:$F$3004,"""")&lt;&gt;""""),ROWS(F$5:F1576)),IF(AND(LEFT(x,5)=""Pag"&amp;"e "",ISERROR(SEARCH(""–"",x))),x&amp;""–""&amp;REGEXEXTRACT(x,""[0-9]+$""),x)),"""")"),"")</f>
        <v/>
      </c>
      <c r="G1576" s="163"/>
      <c r="H15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Helper'!$F$5:$F$3004,"""")&lt;&gt;""""),ROWS(H$5:H1576)),"""")"),"")</f>
        <v/>
      </c>
    </row>
    <row r="1577" ht="15.75" customHeight="1">
      <c r="A15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Helper'!$F$5:$F$3004,"""")&lt;&gt;""""),ROWS(A$5:A1577)),"""")"),"")</f>
        <v/>
      </c>
      <c r="B15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Helper'!$F$5:$F$3004,"""")&lt;&gt;""""),ROWS(B$5:B1577)),"""")"),"")</f>
        <v/>
      </c>
      <c r="C15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Helper'!$F$5:$F$3004,"""")&lt;&gt;""""),ROWS(C$5:C1577)),"""")"),"")</f>
        <v/>
      </c>
      <c r="D15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Helper'!$F$5:$F$3004,"""")&lt;&gt;""""),ROWS(D$5:D1577)),"""")"),"")</f>
        <v/>
      </c>
      <c r="E15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Helper'!$F$5:$F$3004,"""")&lt;&gt;""""),ROWS(E$5:E1577)),"""")"),"")</f>
        <v/>
      </c>
      <c r="F15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Helper'!$F$5:$F$3004,"""")&lt;&gt;""""),ROWS(F$5:F1577)),IF(AND(LEFT(x,5)=""Pag"&amp;"e "",ISERROR(SEARCH(""–"",x))),x&amp;""–""&amp;REGEXEXTRACT(x,""[0-9]+$""),x)),"""")"),"")</f>
        <v/>
      </c>
      <c r="G1577" s="163"/>
      <c r="H15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Helper'!$F$5:$F$3004,"""")&lt;&gt;""""),ROWS(H$5:H1577)),"""")"),"")</f>
        <v/>
      </c>
    </row>
    <row r="1578" ht="15.75" customHeight="1">
      <c r="A15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Helper'!$F$5:$F$3004,"""")&lt;&gt;""""),ROWS(A$5:A1578)),"""")"),"")</f>
        <v/>
      </c>
      <c r="B15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Helper'!$F$5:$F$3004,"""")&lt;&gt;""""),ROWS(B$5:B1578)),"""")"),"")</f>
        <v/>
      </c>
      <c r="C15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Helper'!$F$5:$F$3004,"""")&lt;&gt;""""),ROWS(C$5:C1578)),"""")"),"")</f>
        <v/>
      </c>
      <c r="D15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Helper'!$F$5:$F$3004,"""")&lt;&gt;""""),ROWS(D$5:D1578)),"""")"),"")</f>
        <v/>
      </c>
      <c r="E15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Helper'!$F$5:$F$3004,"""")&lt;&gt;""""),ROWS(E$5:E1578)),"""")"),"")</f>
        <v/>
      </c>
      <c r="F15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Helper'!$F$5:$F$3004,"""")&lt;&gt;""""),ROWS(F$5:F1578)),IF(AND(LEFT(x,5)=""Pag"&amp;"e "",ISERROR(SEARCH(""–"",x))),x&amp;""–""&amp;REGEXEXTRACT(x,""[0-9]+$""),x)),"""")"),"")</f>
        <v/>
      </c>
      <c r="G1578" s="163"/>
      <c r="H15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Helper'!$F$5:$F$3004,"""")&lt;&gt;""""),ROWS(H$5:H1578)),"""")"),"")</f>
        <v/>
      </c>
    </row>
    <row r="1579" ht="15.75" customHeight="1">
      <c r="A15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Helper'!$F$5:$F$3004,"""")&lt;&gt;""""),ROWS(A$5:A1579)),"""")"),"")</f>
        <v/>
      </c>
      <c r="B15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Helper'!$F$5:$F$3004,"""")&lt;&gt;""""),ROWS(B$5:B1579)),"""")"),"")</f>
        <v/>
      </c>
      <c r="C15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Helper'!$F$5:$F$3004,"""")&lt;&gt;""""),ROWS(C$5:C1579)),"""")"),"")</f>
        <v/>
      </c>
      <c r="D15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Helper'!$F$5:$F$3004,"""")&lt;&gt;""""),ROWS(D$5:D1579)),"""")"),"")</f>
        <v/>
      </c>
      <c r="E15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Helper'!$F$5:$F$3004,"""")&lt;&gt;""""),ROWS(E$5:E1579)),"""")"),"")</f>
        <v/>
      </c>
      <c r="F15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Helper'!$F$5:$F$3004,"""")&lt;&gt;""""),ROWS(F$5:F1579)),IF(AND(LEFT(x,5)=""Pag"&amp;"e "",ISERROR(SEARCH(""–"",x))),x&amp;""–""&amp;REGEXEXTRACT(x,""[0-9]+$""),x)),"""")"),"")</f>
        <v/>
      </c>
      <c r="G1579" s="163"/>
      <c r="H15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Helper'!$F$5:$F$3004,"""")&lt;&gt;""""),ROWS(H$5:H1579)),"""")"),"")</f>
        <v/>
      </c>
    </row>
    <row r="1580" ht="15.75" customHeight="1">
      <c r="A15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Helper'!$F$5:$F$3004,"""")&lt;&gt;""""),ROWS(A$5:A1580)),"""")"),"")</f>
        <v/>
      </c>
      <c r="B15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Helper'!$F$5:$F$3004,"""")&lt;&gt;""""),ROWS(B$5:B1580)),"""")"),"")</f>
        <v/>
      </c>
      <c r="C15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Helper'!$F$5:$F$3004,"""")&lt;&gt;""""),ROWS(C$5:C1580)),"""")"),"")</f>
        <v/>
      </c>
      <c r="D15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Helper'!$F$5:$F$3004,"""")&lt;&gt;""""),ROWS(D$5:D1580)),"""")"),"")</f>
        <v/>
      </c>
      <c r="E15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Helper'!$F$5:$F$3004,"""")&lt;&gt;""""),ROWS(E$5:E1580)),"""")"),"")</f>
        <v/>
      </c>
      <c r="F15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Helper'!$F$5:$F$3004,"""")&lt;&gt;""""),ROWS(F$5:F1580)),IF(AND(LEFT(x,5)=""Pag"&amp;"e "",ISERROR(SEARCH(""–"",x))),x&amp;""–""&amp;REGEXEXTRACT(x,""[0-9]+$""),x)),"""")"),"")</f>
        <v/>
      </c>
      <c r="G1580" s="163"/>
      <c r="H15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Helper'!$F$5:$F$3004,"""")&lt;&gt;""""),ROWS(H$5:H1580)),"""")"),"")</f>
        <v/>
      </c>
    </row>
    <row r="1581" ht="15.75" customHeight="1">
      <c r="A15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Helper'!$F$5:$F$3004,"""")&lt;&gt;""""),ROWS(A$5:A1581)),"""")"),"")</f>
        <v/>
      </c>
      <c r="B15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Helper'!$F$5:$F$3004,"""")&lt;&gt;""""),ROWS(B$5:B1581)),"""")"),"")</f>
        <v/>
      </c>
      <c r="C15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Helper'!$F$5:$F$3004,"""")&lt;&gt;""""),ROWS(C$5:C1581)),"""")"),"")</f>
        <v/>
      </c>
      <c r="D15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Helper'!$F$5:$F$3004,"""")&lt;&gt;""""),ROWS(D$5:D1581)),"""")"),"")</f>
        <v/>
      </c>
      <c r="E15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Helper'!$F$5:$F$3004,"""")&lt;&gt;""""),ROWS(E$5:E1581)),"""")"),"")</f>
        <v/>
      </c>
      <c r="F15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Helper'!$F$5:$F$3004,"""")&lt;&gt;""""),ROWS(F$5:F1581)),IF(AND(LEFT(x,5)=""Pag"&amp;"e "",ISERROR(SEARCH(""–"",x))),x&amp;""–""&amp;REGEXEXTRACT(x,""[0-9]+$""),x)),"""")"),"")</f>
        <v/>
      </c>
      <c r="G1581" s="163"/>
      <c r="H15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Helper'!$F$5:$F$3004,"""")&lt;&gt;""""),ROWS(H$5:H1581)),"""")"),"")</f>
        <v/>
      </c>
    </row>
    <row r="1582" ht="15.75" customHeight="1">
      <c r="A15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Helper'!$F$5:$F$3004,"""")&lt;&gt;""""),ROWS(A$5:A1582)),"""")"),"")</f>
        <v/>
      </c>
      <c r="B15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Helper'!$F$5:$F$3004,"""")&lt;&gt;""""),ROWS(B$5:B1582)),"""")"),"")</f>
        <v/>
      </c>
      <c r="C15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Helper'!$F$5:$F$3004,"""")&lt;&gt;""""),ROWS(C$5:C1582)),"""")"),"")</f>
        <v/>
      </c>
      <c r="D15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Helper'!$F$5:$F$3004,"""")&lt;&gt;""""),ROWS(D$5:D1582)),"""")"),"")</f>
        <v/>
      </c>
      <c r="E15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Helper'!$F$5:$F$3004,"""")&lt;&gt;""""),ROWS(E$5:E1582)),"""")"),"")</f>
        <v/>
      </c>
      <c r="F15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Helper'!$F$5:$F$3004,"""")&lt;&gt;""""),ROWS(F$5:F1582)),IF(AND(LEFT(x,5)=""Pag"&amp;"e "",ISERROR(SEARCH(""–"",x))),x&amp;""–""&amp;REGEXEXTRACT(x,""[0-9]+$""),x)),"""")"),"")</f>
        <v/>
      </c>
      <c r="G1582" s="163"/>
      <c r="H15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Helper'!$F$5:$F$3004,"""")&lt;&gt;""""),ROWS(H$5:H1582)),"""")"),"")</f>
        <v/>
      </c>
    </row>
    <row r="1583" ht="15.75" customHeight="1">
      <c r="A15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Helper'!$F$5:$F$3004,"""")&lt;&gt;""""),ROWS(A$5:A1583)),"""")"),"")</f>
        <v/>
      </c>
      <c r="B15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Helper'!$F$5:$F$3004,"""")&lt;&gt;""""),ROWS(B$5:B1583)),"""")"),"")</f>
        <v/>
      </c>
      <c r="C15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Helper'!$F$5:$F$3004,"""")&lt;&gt;""""),ROWS(C$5:C1583)),"""")"),"")</f>
        <v/>
      </c>
      <c r="D15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Helper'!$F$5:$F$3004,"""")&lt;&gt;""""),ROWS(D$5:D1583)),"""")"),"")</f>
        <v/>
      </c>
      <c r="E15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Helper'!$F$5:$F$3004,"""")&lt;&gt;""""),ROWS(E$5:E1583)),"""")"),"")</f>
        <v/>
      </c>
      <c r="F15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Helper'!$F$5:$F$3004,"""")&lt;&gt;""""),ROWS(F$5:F1583)),IF(AND(LEFT(x,5)=""Pag"&amp;"e "",ISERROR(SEARCH(""–"",x))),x&amp;""–""&amp;REGEXEXTRACT(x,""[0-9]+$""),x)),"""")"),"")</f>
        <v/>
      </c>
      <c r="G1583" s="163"/>
      <c r="H15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Helper'!$F$5:$F$3004,"""")&lt;&gt;""""),ROWS(H$5:H1583)),"""")"),"")</f>
        <v/>
      </c>
    </row>
    <row r="1584" ht="15.75" customHeight="1">
      <c r="A15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Helper'!$F$5:$F$3004,"""")&lt;&gt;""""),ROWS(A$5:A1584)),"""")"),"")</f>
        <v/>
      </c>
      <c r="B15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Helper'!$F$5:$F$3004,"""")&lt;&gt;""""),ROWS(B$5:B1584)),"""")"),"")</f>
        <v/>
      </c>
      <c r="C15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Helper'!$F$5:$F$3004,"""")&lt;&gt;""""),ROWS(C$5:C1584)),"""")"),"")</f>
        <v/>
      </c>
      <c r="D15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Helper'!$F$5:$F$3004,"""")&lt;&gt;""""),ROWS(D$5:D1584)),"""")"),"")</f>
        <v/>
      </c>
      <c r="E15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Helper'!$F$5:$F$3004,"""")&lt;&gt;""""),ROWS(E$5:E1584)),"""")"),"")</f>
        <v/>
      </c>
      <c r="F15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Helper'!$F$5:$F$3004,"""")&lt;&gt;""""),ROWS(F$5:F1584)),IF(AND(LEFT(x,5)=""Pag"&amp;"e "",ISERROR(SEARCH(""–"",x))),x&amp;""–""&amp;REGEXEXTRACT(x,""[0-9]+$""),x)),"""")"),"")</f>
        <v/>
      </c>
      <c r="G1584" s="163"/>
      <c r="H15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Helper'!$F$5:$F$3004,"""")&lt;&gt;""""),ROWS(H$5:H1584)),"""")"),"")</f>
        <v/>
      </c>
    </row>
    <row r="1585" ht="15.75" customHeight="1">
      <c r="A15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Helper'!$F$5:$F$3004,"""")&lt;&gt;""""),ROWS(A$5:A1585)),"""")"),"")</f>
        <v/>
      </c>
      <c r="B15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Helper'!$F$5:$F$3004,"""")&lt;&gt;""""),ROWS(B$5:B1585)),"""")"),"")</f>
        <v/>
      </c>
      <c r="C15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Helper'!$F$5:$F$3004,"""")&lt;&gt;""""),ROWS(C$5:C1585)),"""")"),"")</f>
        <v/>
      </c>
      <c r="D15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Helper'!$F$5:$F$3004,"""")&lt;&gt;""""),ROWS(D$5:D1585)),"""")"),"")</f>
        <v/>
      </c>
      <c r="E15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Helper'!$F$5:$F$3004,"""")&lt;&gt;""""),ROWS(E$5:E1585)),"""")"),"")</f>
        <v/>
      </c>
      <c r="F15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Helper'!$F$5:$F$3004,"""")&lt;&gt;""""),ROWS(F$5:F1585)),IF(AND(LEFT(x,5)=""Pag"&amp;"e "",ISERROR(SEARCH(""–"",x))),x&amp;""–""&amp;REGEXEXTRACT(x,""[0-9]+$""),x)),"""")"),"")</f>
        <v/>
      </c>
      <c r="G1585" s="163"/>
      <c r="H15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Helper'!$F$5:$F$3004,"""")&lt;&gt;""""),ROWS(H$5:H1585)),"""")"),"")</f>
        <v/>
      </c>
    </row>
    <row r="1586" ht="15.75" customHeight="1">
      <c r="A15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Helper'!$F$5:$F$3004,"""")&lt;&gt;""""),ROWS(A$5:A1586)),"""")"),"")</f>
        <v/>
      </c>
      <c r="B15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Helper'!$F$5:$F$3004,"""")&lt;&gt;""""),ROWS(B$5:B1586)),"""")"),"")</f>
        <v/>
      </c>
      <c r="C15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Helper'!$F$5:$F$3004,"""")&lt;&gt;""""),ROWS(C$5:C1586)),"""")"),"")</f>
        <v/>
      </c>
      <c r="D15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Helper'!$F$5:$F$3004,"""")&lt;&gt;""""),ROWS(D$5:D1586)),"""")"),"")</f>
        <v/>
      </c>
      <c r="E15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Helper'!$F$5:$F$3004,"""")&lt;&gt;""""),ROWS(E$5:E1586)),"""")"),"")</f>
        <v/>
      </c>
      <c r="F15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Helper'!$F$5:$F$3004,"""")&lt;&gt;""""),ROWS(F$5:F1586)),IF(AND(LEFT(x,5)=""Pag"&amp;"e "",ISERROR(SEARCH(""–"",x))),x&amp;""–""&amp;REGEXEXTRACT(x,""[0-9]+$""),x)),"""")"),"")</f>
        <v/>
      </c>
      <c r="G1586" s="163"/>
      <c r="H15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Helper'!$F$5:$F$3004,"""")&lt;&gt;""""),ROWS(H$5:H1586)),"""")"),"")</f>
        <v/>
      </c>
    </row>
    <row r="1587" ht="15.75" customHeight="1">
      <c r="A15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Helper'!$F$5:$F$3004,"""")&lt;&gt;""""),ROWS(A$5:A1587)),"""")"),"")</f>
        <v/>
      </c>
      <c r="B15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Helper'!$F$5:$F$3004,"""")&lt;&gt;""""),ROWS(B$5:B1587)),"""")"),"")</f>
        <v/>
      </c>
      <c r="C15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Helper'!$F$5:$F$3004,"""")&lt;&gt;""""),ROWS(C$5:C1587)),"""")"),"")</f>
        <v/>
      </c>
      <c r="D15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Helper'!$F$5:$F$3004,"""")&lt;&gt;""""),ROWS(D$5:D1587)),"""")"),"")</f>
        <v/>
      </c>
      <c r="E15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Helper'!$F$5:$F$3004,"""")&lt;&gt;""""),ROWS(E$5:E1587)),"""")"),"")</f>
        <v/>
      </c>
      <c r="F15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Helper'!$F$5:$F$3004,"""")&lt;&gt;""""),ROWS(F$5:F1587)),IF(AND(LEFT(x,5)=""Pag"&amp;"e "",ISERROR(SEARCH(""–"",x))),x&amp;""–""&amp;REGEXEXTRACT(x,""[0-9]+$""),x)),"""")"),"")</f>
        <v/>
      </c>
      <c r="G1587" s="163"/>
      <c r="H15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Helper'!$F$5:$F$3004,"""")&lt;&gt;""""),ROWS(H$5:H1587)),"""")"),"")</f>
        <v/>
      </c>
    </row>
    <row r="1588" ht="15.75" customHeight="1">
      <c r="A15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Helper'!$F$5:$F$3004,"""")&lt;&gt;""""),ROWS(A$5:A1588)),"""")"),"")</f>
        <v/>
      </c>
      <c r="B15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Helper'!$F$5:$F$3004,"""")&lt;&gt;""""),ROWS(B$5:B1588)),"""")"),"")</f>
        <v/>
      </c>
      <c r="C15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Helper'!$F$5:$F$3004,"""")&lt;&gt;""""),ROWS(C$5:C1588)),"""")"),"")</f>
        <v/>
      </c>
      <c r="D15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Helper'!$F$5:$F$3004,"""")&lt;&gt;""""),ROWS(D$5:D1588)),"""")"),"")</f>
        <v/>
      </c>
      <c r="E15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Helper'!$F$5:$F$3004,"""")&lt;&gt;""""),ROWS(E$5:E1588)),"""")"),"")</f>
        <v/>
      </c>
      <c r="F15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Helper'!$F$5:$F$3004,"""")&lt;&gt;""""),ROWS(F$5:F1588)),IF(AND(LEFT(x,5)=""Pag"&amp;"e "",ISERROR(SEARCH(""–"",x))),x&amp;""–""&amp;REGEXEXTRACT(x,""[0-9]+$""),x)),"""")"),"")</f>
        <v/>
      </c>
      <c r="G1588" s="163"/>
      <c r="H15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Helper'!$F$5:$F$3004,"""")&lt;&gt;""""),ROWS(H$5:H1588)),"""")"),"")</f>
        <v/>
      </c>
    </row>
    <row r="1589" ht="15.75" customHeight="1">
      <c r="A15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Helper'!$F$5:$F$3004,"""")&lt;&gt;""""),ROWS(A$5:A1589)),"""")"),"")</f>
        <v/>
      </c>
      <c r="B15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Helper'!$F$5:$F$3004,"""")&lt;&gt;""""),ROWS(B$5:B1589)),"""")"),"")</f>
        <v/>
      </c>
      <c r="C15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Helper'!$F$5:$F$3004,"""")&lt;&gt;""""),ROWS(C$5:C1589)),"""")"),"")</f>
        <v/>
      </c>
      <c r="D15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Helper'!$F$5:$F$3004,"""")&lt;&gt;""""),ROWS(D$5:D1589)),"""")"),"")</f>
        <v/>
      </c>
      <c r="E15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Helper'!$F$5:$F$3004,"""")&lt;&gt;""""),ROWS(E$5:E1589)),"""")"),"")</f>
        <v/>
      </c>
      <c r="F15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Helper'!$F$5:$F$3004,"""")&lt;&gt;""""),ROWS(F$5:F1589)),IF(AND(LEFT(x,5)=""Pag"&amp;"e "",ISERROR(SEARCH(""–"",x))),x&amp;""–""&amp;REGEXEXTRACT(x,""[0-9]+$""),x)),"""")"),"")</f>
        <v/>
      </c>
      <c r="G1589" s="163"/>
      <c r="H15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Helper'!$F$5:$F$3004,"""")&lt;&gt;""""),ROWS(H$5:H1589)),"""")"),"")</f>
        <v/>
      </c>
    </row>
    <row r="1590" ht="15.75" customHeight="1">
      <c r="A15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Helper'!$F$5:$F$3004,"""")&lt;&gt;""""),ROWS(A$5:A1590)),"""")"),"")</f>
        <v/>
      </c>
      <c r="B15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Helper'!$F$5:$F$3004,"""")&lt;&gt;""""),ROWS(B$5:B1590)),"""")"),"")</f>
        <v/>
      </c>
      <c r="C15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Helper'!$F$5:$F$3004,"""")&lt;&gt;""""),ROWS(C$5:C1590)),"""")"),"")</f>
        <v/>
      </c>
      <c r="D15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Helper'!$F$5:$F$3004,"""")&lt;&gt;""""),ROWS(D$5:D1590)),"""")"),"")</f>
        <v/>
      </c>
      <c r="E15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Helper'!$F$5:$F$3004,"""")&lt;&gt;""""),ROWS(E$5:E1590)),"""")"),"")</f>
        <v/>
      </c>
      <c r="F15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Helper'!$F$5:$F$3004,"""")&lt;&gt;""""),ROWS(F$5:F1590)),IF(AND(LEFT(x,5)=""Pag"&amp;"e "",ISERROR(SEARCH(""–"",x))),x&amp;""–""&amp;REGEXEXTRACT(x,""[0-9]+$""),x)),"""")"),"")</f>
        <v/>
      </c>
      <c r="G1590" s="163"/>
      <c r="H15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Helper'!$F$5:$F$3004,"""")&lt;&gt;""""),ROWS(H$5:H1590)),"""")"),"")</f>
        <v/>
      </c>
    </row>
    <row r="1591" ht="15.75" customHeight="1">
      <c r="A15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Helper'!$F$5:$F$3004,"""")&lt;&gt;""""),ROWS(A$5:A1591)),"""")"),"")</f>
        <v/>
      </c>
      <c r="B15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Helper'!$F$5:$F$3004,"""")&lt;&gt;""""),ROWS(B$5:B1591)),"""")"),"")</f>
        <v/>
      </c>
      <c r="C15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Helper'!$F$5:$F$3004,"""")&lt;&gt;""""),ROWS(C$5:C1591)),"""")"),"")</f>
        <v/>
      </c>
      <c r="D15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Helper'!$F$5:$F$3004,"""")&lt;&gt;""""),ROWS(D$5:D1591)),"""")"),"")</f>
        <v/>
      </c>
      <c r="E15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Helper'!$F$5:$F$3004,"""")&lt;&gt;""""),ROWS(E$5:E1591)),"""")"),"")</f>
        <v/>
      </c>
      <c r="F15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Helper'!$F$5:$F$3004,"""")&lt;&gt;""""),ROWS(F$5:F1591)),IF(AND(LEFT(x,5)=""Pag"&amp;"e "",ISERROR(SEARCH(""–"",x))),x&amp;""–""&amp;REGEXEXTRACT(x,""[0-9]+$""),x)),"""")"),"")</f>
        <v/>
      </c>
      <c r="G1591" s="163"/>
      <c r="H15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Helper'!$F$5:$F$3004,"""")&lt;&gt;""""),ROWS(H$5:H1591)),"""")"),"")</f>
        <v/>
      </c>
    </row>
    <row r="1592" ht="15.75" customHeight="1">
      <c r="A15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Helper'!$F$5:$F$3004,"""")&lt;&gt;""""),ROWS(A$5:A1592)),"""")"),"")</f>
        <v/>
      </c>
      <c r="B15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Helper'!$F$5:$F$3004,"""")&lt;&gt;""""),ROWS(B$5:B1592)),"""")"),"")</f>
        <v/>
      </c>
      <c r="C15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Helper'!$F$5:$F$3004,"""")&lt;&gt;""""),ROWS(C$5:C1592)),"""")"),"")</f>
        <v/>
      </c>
      <c r="D15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Helper'!$F$5:$F$3004,"""")&lt;&gt;""""),ROWS(D$5:D1592)),"""")"),"")</f>
        <v/>
      </c>
      <c r="E15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Helper'!$F$5:$F$3004,"""")&lt;&gt;""""),ROWS(E$5:E1592)),"""")"),"")</f>
        <v/>
      </c>
      <c r="F15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Helper'!$F$5:$F$3004,"""")&lt;&gt;""""),ROWS(F$5:F1592)),IF(AND(LEFT(x,5)=""Pag"&amp;"e "",ISERROR(SEARCH(""–"",x))),x&amp;""–""&amp;REGEXEXTRACT(x,""[0-9]+$""),x)),"""")"),"")</f>
        <v/>
      </c>
      <c r="G1592" s="163"/>
      <c r="H15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Helper'!$F$5:$F$3004,"""")&lt;&gt;""""),ROWS(H$5:H1592)),"""")"),"")</f>
        <v/>
      </c>
    </row>
    <row r="1593" ht="15.75" customHeight="1">
      <c r="A15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Helper'!$F$5:$F$3004,"""")&lt;&gt;""""),ROWS(A$5:A1593)),"""")"),"")</f>
        <v/>
      </c>
      <c r="B15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Helper'!$F$5:$F$3004,"""")&lt;&gt;""""),ROWS(B$5:B1593)),"""")"),"")</f>
        <v/>
      </c>
      <c r="C15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Helper'!$F$5:$F$3004,"""")&lt;&gt;""""),ROWS(C$5:C1593)),"""")"),"")</f>
        <v/>
      </c>
      <c r="D15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Helper'!$F$5:$F$3004,"""")&lt;&gt;""""),ROWS(D$5:D1593)),"""")"),"")</f>
        <v/>
      </c>
      <c r="E15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Helper'!$F$5:$F$3004,"""")&lt;&gt;""""),ROWS(E$5:E1593)),"""")"),"")</f>
        <v/>
      </c>
      <c r="F15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Helper'!$F$5:$F$3004,"""")&lt;&gt;""""),ROWS(F$5:F1593)),IF(AND(LEFT(x,5)=""Pag"&amp;"e "",ISERROR(SEARCH(""–"",x))),x&amp;""–""&amp;REGEXEXTRACT(x,""[0-9]+$""),x)),"""")"),"")</f>
        <v/>
      </c>
      <c r="G1593" s="163"/>
      <c r="H15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Helper'!$F$5:$F$3004,"""")&lt;&gt;""""),ROWS(H$5:H1593)),"""")"),"")</f>
        <v/>
      </c>
    </row>
    <row r="1594" ht="15.75" customHeight="1">
      <c r="A15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Helper'!$F$5:$F$3004,"""")&lt;&gt;""""),ROWS(A$5:A1594)),"""")"),"")</f>
        <v/>
      </c>
      <c r="B15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Helper'!$F$5:$F$3004,"""")&lt;&gt;""""),ROWS(B$5:B1594)),"""")"),"")</f>
        <v/>
      </c>
      <c r="C15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Helper'!$F$5:$F$3004,"""")&lt;&gt;""""),ROWS(C$5:C1594)),"""")"),"")</f>
        <v/>
      </c>
      <c r="D15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Helper'!$F$5:$F$3004,"""")&lt;&gt;""""),ROWS(D$5:D1594)),"""")"),"")</f>
        <v/>
      </c>
      <c r="E15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Helper'!$F$5:$F$3004,"""")&lt;&gt;""""),ROWS(E$5:E1594)),"""")"),"")</f>
        <v/>
      </c>
      <c r="F15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Helper'!$F$5:$F$3004,"""")&lt;&gt;""""),ROWS(F$5:F1594)),IF(AND(LEFT(x,5)=""Pag"&amp;"e "",ISERROR(SEARCH(""–"",x))),x&amp;""–""&amp;REGEXEXTRACT(x,""[0-9]+$""),x)),"""")"),"")</f>
        <v/>
      </c>
      <c r="G1594" s="163"/>
      <c r="H15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Helper'!$F$5:$F$3004,"""")&lt;&gt;""""),ROWS(H$5:H1594)),"""")"),"")</f>
        <v/>
      </c>
    </row>
    <row r="1595" ht="15.75" customHeight="1">
      <c r="A15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Helper'!$F$5:$F$3004,"""")&lt;&gt;""""),ROWS(A$5:A1595)),"""")"),"")</f>
        <v/>
      </c>
      <c r="B15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Helper'!$F$5:$F$3004,"""")&lt;&gt;""""),ROWS(B$5:B1595)),"""")"),"")</f>
        <v/>
      </c>
      <c r="C15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Helper'!$F$5:$F$3004,"""")&lt;&gt;""""),ROWS(C$5:C1595)),"""")"),"")</f>
        <v/>
      </c>
      <c r="D15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Helper'!$F$5:$F$3004,"""")&lt;&gt;""""),ROWS(D$5:D1595)),"""")"),"")</f>
        <v/>
      </c>
      <c r="E15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Helper'!$F$5:$F$3004,"""")&lt;&gt;""""),ROWS(E$5:E1595)),"""")"),"")</f>
        <v/>
      </c>
      <c r="F15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Helper'!$F$5:$F$3004,"""")&lt;&gt;""""),ROWS(F$5:F1595)),IF(AND(LEFT(x,5)=""Pag"&amp;"e "",ISERROR(SEARCH(""–"",x))),x&amp;""–""&amp;REGEXEXTRACT(x,""[0-9]+$""),x)),"""")"),"")</f>
        <v/>
      </c>
      <c r="G1595" s="163"/>
      <c r="H15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Helper'!$F$5:$F$3004,"""")&lt;&gt;""""),ROWS(H$5:H1595)),"""")"),"")</f>
        <v/>
      </c>
    </row>
    <row r="1596" ht="15.75" customHeight="1">
      <c r="A15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Helper'!$F$5:$F$3004,"""")&lt;&gt;""""),ROWS(A$5:A1596)),"""")"),"")</f>
        <v/>
      </c>
      <c r="B15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Helper'!$F$5:$F$3004,"""")&lt;&gt;""""),ROWS(B$5:B1596)),"""")"),"")</f>
        <v/>
      </c>
      <c r="C15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Helper'!$F$5:$F$3004,"""")&lt;&gt;""""),ROWS(C$5:C1596)),"""")"),"")</f>
        <v/>
      </c>
      <c r="D15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Helper'!$F$5:$F$3004,"""")&lt;&gt;""""),ROWS(D$5:D1596)),"""")"),"")</f>
        <v/>
      </c>
      <c r="E15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Helper'!$F$5:$F$3004,"""")&lt;&gt;""""),ROWS(E$5:E1596)),"""")"),"")</f>
        <v/>
      </c>
      <c r="F15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Helper'!$F$5:$F$3004,"""")&lt;&gt;""""),ROWS(F$5:F1596)),IF(AND(LEFT(x,5)=""Pag"&amp;"e "",ISERROR(SEARCH(""–"",x))),x&amp;""–""&amp;REGEXEXTRACT(x,""[0-9]+$""),x)),"""")"),"")</f>
        <v/>
      </c>
      <c r="G1596" s="163"/>
      <c r="H15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Helper'!$F$5:$F$3004,"""")&lt;&gt;""""),ROWS(H$5:H1596)),"""")"),"")</f>
        <v/>
      </c>
    </row>
    <row r="1597" ht="15.75" customHeight="1">
      <c r="A15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Helper'!$F$5:$F$3004,"""")&lt;&gt;""""),ROWS(A$5:A1597)),"""")"),"")</f>
        <v/>
      </c>
      <c r="B15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Helper'!$F$5:$F$3004,"""")&lt;&gt;""""),ROWS(B$5:B1597)),"""")"),"")</f>
        <v/>
      </c>
      <c r="C15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Helper'!$F$5:$F$3004,"""")&lt;&gt;""""),ROWS(C$5:C1597)),"""")"),"")</f>
        <v/>
      </c>
      <c r="D15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Helper'!$F$5:$F$3004,"""")&lt;&gt;""""),ROWS(D$5:D1597)),"""")"),"")</f>
        <v/>
      </c>
      <c r="E15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Helper'!$F$5:$F$3004,"""")&lt;&gt;""""),ROWS(E$5:E1597)),"""")"),"")</f>
        <v/>
      </c>
      <c r="F15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Helper'!$F$5:$F$3004,"""")&lt;&gt;""""),ROWS(F$5:F1597)),IF(AND(LEFT(x,5)=""Pag"&amp;"e "",ISERROR(SEARCH(""–"",x))),x&amp;""–""&amp;REGEXEXTRACT(x,""[0-9]+$""),x)),"""")"),"")</f>
        <v/>
      </c>
      <c r="G1597" s="163"/>
      <c r="H15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Helper'!$F$5:$F$3004,"""")&lt;&gt;""""),ROWS(H$5:H1597)),"""")"),"")</f>
        <v/>
      </c>
    </row>
    <row r="1598" ht="15.75" customHeight="1">
      <c r="A15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Helper'!$F$5:$F$3004,"""")&lt;&gt;""""),ROWS(A$5:A1598)),"""")"),"")</f>
        <v/>
      </c>
      <c r="B15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Helper'!$F$5:$F$3004,"""")&lt;&gt;""""),ROWS(B$5:B1598)),"""")"),"")</f>
        <v/>
      </c>
      <c r="C15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Helper'!$F$5:$F$3004,"""")&lt;&gt;""""),ROWS(C$5:C1598)),"""")"),"")</f>
        <v/>
      </c>
      <c r="D15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Helper'!$F$5:$F$3004,"""")&lt;&gt;""""),ROWS(D$5:D1598)),"""")"),"")</f>
        <v/>
      </c>
      <c r="E15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Helper'!$F$5:$F$3004,"""")&lt;&gt;""""),ROWS(E$5:E1598)),"""")"),"")</f>
        <v/>
      </c>
      <c r="F15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Helper'!$F$5:$F$3004,"""")&lt;&gt;""""),ROWS(F$5:F1598)),IF(AND(LEFT(x,5)=""Pag"&amp;"e "",ISERROR(SEARCH(""–"",x))),x&amp;""–""&amp;REGEXEXTRACT(x,""[0-9]+$""),x)),"""")"),"")</f>
        <v/>
      </c>
      <c r="G1598" s="163"/>
      <c r="H15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Helper'!$F$5:$F$3004,"""")&lt;&gt;""""),ROWS(H$5:H1598)),"""")"),"")</f>
        <v/>
      </c>
    </row>
    <row r="1599" ht="15.75" customHeight="1">
      <c r="A15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Helper'!$F$5:$F$3004,"""")&lt;&gt;""""),ROWS(A$5:A1599)),"""")"),"")</f>
        <v/>
      </c>
      <c r="B15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Helper'!$F$5:$F$3004,"""")&lt;&gt;""""),ROWS(B$5:B1599)),"""")"),"")</f>
        <v/>
      </c>
      <c r="C15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Helper'!$F$5:$F$3004,"""")&lt;&gt;""""),ROWS(C$5:C1599)),"""")"),"")</f>
        <v/>
      </c>
      <c r="D15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Helper'!$F$5:$F$3004,"""")&lt;&gt;""""),ROWS(D$5:D1599)),"""")"),"")</f>
        <v/>
      </c>
      <c r="E15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Helper'!$F$5:$F$3004,"""")&lt;&gt;""""),ROWS(E$5:E1599)),"""")"),"")</f>
        <v/>
      </c>
      <c r="F15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Helper'!$F$5:$F$3004,"""")&lt;&gt;""""),ROWS(F$5:F1599)),IF(AND(LEFT(x,5)=""Pag"&amp;"e "",ISERROR(SEARCH(""–"",x))),x&amp;""–""&amp;REGEXEXTRACT(x,""[0-9]+$""),x)),"""")"),"")</f>
        <v/>
      </c>
      <c r="G1599" s="163"/>
      <c r="H15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Helper'!$F$5:$F$3004,"""")&lt;&gt;""""),ROWS(H$5:H1599)),"""")"),"")</f>
        <v/>
      </c>
    </row>
    <row r="1600" ht="15.75" customHeight="1">
      <c r="A16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Helper'!$F$5:$F$3004,"""")&lt;&gt;""""),ROWS(A$5:A1600)),"""")"),"")</f>
        <v/>
      </c>
      <c r="B16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Helper'!$F$5:$F$3004,"""")&lt;&gt;""""),ROWS(B$5:B1600)),"""")"),"")</f>
        <v/>
      </c>
      <c r="C16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Helper'!$F$5:$F$3004,"""")&lt;&gt;""""),ROWS(C$5:C1600)),"""")"),"")</f>
        <v/>
      </c>
      <c r="D16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Helper'!$F$5:$F$3004,"""")&lt;&gt;""""),ROWS(D$5:D1600)),"""")"),"")</f>
        <v/>
      </c>
      <c r="E16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Helper'!$F$5:$F$3004,"""")&lt;&gt;""""),ROWS(E$5:E1600)),"""")"),"")</f>
        <v/>
      </c>
      <c r="F16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Helper'!$F$5:$F$3004,"""")&lt;&gt;""""),ROWS(F$5:F1600)),IF(AND(LEFT(x,5)=""Pag"&amp;"e "",ISERROR(SEARCH(""–"",x))),x&amp;""–""&amp;REGEXEXTRACT(x,""[0-9]+$""),x)),"""")"),"")</f>
        <v/>
      </c>
      <c r="G1600" s="163"/>
      <c r="H16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Helper'!$F$5:$F$3004,"""")&lt;&gt;""""),ROWS(H$5:H1600)),"""")"),"")</f>
        <v/>
      </c>
    </row>
    <row r="1601" ht="15.75" customHeight="1">
      <c r="A16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Helper'!$F$5:$F$3004,"""")&lt;&gt;""""),ROWS(A$5:A1601)),"""")"),"")</f>
        <v/>
      </c>
      <c r="B16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Helper'!$F$5:$F$3004,"""")&lt;&gt;""""),ROWS(B$5:B1601)),"""")"),"")</f>
        <v/>
      </c>
      <c r="C16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Helper'!$F$5:$F$3004,"""")&lt;&gt;""""),ROWS(C$5:C1601)),"""")"),"")</f>
        <v/>
      </c>
      <c r="D16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Helper'!$F$5:$F$3004,"""")&lt;&gt;""""),ROWS(D$5:D1601)),"""")"),"")</f>
        <v/>
      </c>
      <c r="E16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Helper'!$F$5:$F$3004,"""")&lt;&gt;""""),ROWS(E$5:E1601)),"""")"),"")</f>
        <v/>
      </c>
      <c r="F16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Helper'!$F$5:$F$3004,"""")&lt;&gt;""""),ROWS(F$5:F1601)),IF(AND(LEFT(x,5)=""Pag"&amp;"e "",ISERROR(SEARCH(""–"",x))),x&amp;""–""&amp;REGEXEXTRACT(x,""[0-9]+$""),x)),"""")"),"")</f>
        <v/>
      </c>
      <c r="G1601" s="163"/>
      <c r="H16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Helper'!$F$5:$F$3004,"""")&lt;&gt;""""),ROWS(H$5:H1601)),"""")"),"")</f>
        <v/>
      </c>
    </row>
    <row r="1602" ht="15.75" customHeight="1">
      <c r="A16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Helper'!$F$5:$F$3004,"""")&lt;&gt;""""),ROWS(A$5:A1602)),"""")"),"")</f>
        <v/>
      </c>
      <c r="B16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Helper'!$F$5:$F$3004,"""")&lt;&gt;""""),ROWS(B$5:B1602)),"""")"),"")</f>
        <v/>
      </c>
      <c r="C16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Helper'!$F$5:$F$3004,"""")&lt;&gt;""""),ROWS(C$5:C1602)),"""")"),"")</f>
        <v/>
      </c>
      <c r="D16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Helper'!$F$5:$F$3004,"""")&lt;&gt;""""),ROWS(D$5:D1602)),"""")"),"")</f>
        <v/>
      </c>
      <c r="E16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Helper'!$F$5:$F$3004,"""")&lt;&gt;""""),ROWS(E$5:E1602)),"""")"),"")</f>
        <v/>
      </c>
      <c r="F16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Helper'!$F$5:$F$3004,"""")&lt;&gt;""""),ROWS(F$5:F1602)),IF(AND(LEFT(x,5)=""Pag"&amp;"e "",ISERROR(SEARCH(""–"",x))),x&amp;""–""&amp;REGEXEXTRACT(x,""[0-9]+$""),x)),"""")"),"")</f>
        <v/>
      </c>
      <c r="G1602" s="163"/>
      <c r="H16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Helper'!$F$5:$F$3004,"""")&lt;&gt;""""),ROWS(H$5:H1602)),"""")"),"")</f>
        <v/>
      </c>
    </row>
    <row r="1603" ht="15.75" customHeight="1">
      <c r="A16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Helper'!$F$5:$F$3004,"""")&lt;&gt;""""),ROWS(A$5:A1603)),"""")"),"")</f>
        <v/>
      </c>
      <c r="B16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Helper'!$F$5:$F$3004,"""")&lt;&gt;""""),ROWS(B$5:B1603)),"""")"),"")</f>
        <v/>
      </c>
      <c r="C16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Helper'!$F$5:$F$3004,"""")&lt;&gt;""""),ROWS(C$5:C1603)),"""")"),"")</f>
        <v/>
      </c>
      <c r="D16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Helper'!$F$5:$F$3004,"""")&lt;&gt;""""),ROWS(D$5:D1603)),"""")"),"")</f>
        <v/>
      </c>
      <c r="E16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Helper'!$F$5:$F$3004,"""")&lt;&gt;""""),ROWS(E$5:E1603)),"""")"),"")</f>
        <v/>
      </c>
      <c r="F16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Helper'!$F$5:$F$3004,"""")&lt;&gt;""""),ROWS(F$5:F1603)),IF(AND(LEFT(x,5)=""Pag"&amp;"e "",ISERROR(SEARCH(""–"",x))),x&amp;""–""&amp;REGEXEXTRACT(x,""[0-9]+$""),x)),"""")"),"")</f>
        <v/>
      </c>
      <c r="G1603" s="163"/>
      <c r="H16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Helper'!$F$5:$F$3004,"""")&lt;&gt;""""),ROWS(H$5:H1603)),"""")"),"")</f>
        <v/>
      </c>
    </row>
    <row r="1604" ht="15.75" customHeight="1">
      <c r="A16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Helper'!$F$5:$F$3004,"""")&lt;&gt;""""),ROWS(A$5:A1604)),"""")"),"")</f>
        <v/>
      </c>
      <c r="B16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Helper'!$F$5:$F$3004,"""")&lt;&gt;""""),ROWS(B$5:B1604)),"""")"),"")</f>
        <v/>
      </c>
      <c r="C16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Helper'!$F$5:$F$3004,"""")&lt;&gt;""""),ROWS(C$5:C1604)),"""")"),"")</f>
        <v/>
      </c>
      <c r="D16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Helper'!$F$5:$F$3004,"""")&lt;&gt;""""),ROWS(D$5:D1604)),"""")"),"")</f>
        <v/>
      </c>
      <c r="E16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Helper'!$F$5:$F$3004,"""")&lt;&gt;""""),ROWS(E$5:E1604)),"""")"),"")</f>
        <v/>
      </c>
      <c r="F16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Helper'!$F$5:$F$3004,"""")&lt;&gt;""""),ROWS(F$5:F1604)),IF(AND(LEFT(x,5)=""Pag"&amp;"e "",ISERROR(SEARCH(""–"",x))),x&amp;""–""&amp;REGEXEXTRACT(x,""[0-9]+$""),x)),"""")"),"")</f>
        <v/>
      </c>
      <c r="G1604" s="163"/>
      <c r="H16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Helper'!$F$5:$F$3004,"""")&lt;&gt;""""),ROWS(H$5:H1604)),"""")"),"")</f>
        <v/>
      </c>
    </row>
    <row r="1605" ht="15.75" customHeight="1">
      <c r="A16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Helper'!$F$5:$F$3004,"""")&lt;&gt;""""),ROWS(A$5:A1605)),"""")"),"")</f>
        <v/>
      </c>
      <c r="B16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Helper'!$F$5:$F$3004,"""")&lt;&gt;""""),ROWS(B$5:B1605)),"""")"),"")</f>
        <v/>
      </c>
      <c r="C16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Helper'!$F$5:$F$3004,"""")&lt;&gt;""""),ROWS(C$5:C1605)),"""")"),"")</f>
        <v/>
      </c>
      <c r="D16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Helper'!$F$5:$F$3004,"""")&lt;&gt;""""),ROWS(D$5:D1605)),"""")"),"")</f>
        <v/>
      </c>
      <c r="E16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Helper'!$F$5:$F$3004,"""")&lt;&gt;""""),ROWS(E$5:E1605)),"""")"),"")</f>
        <v/>
      </c>
      <c r="F16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Helper'!$F$5:$F$3004,"""")&lt;&gt;""""),ROWS(F$5:F1605)),IF(AND(LEFT(x,5)=""Pag"&amp;"e "",ISERROR(SEARCH(""–"",x))),x&amp;""–""&amp;REGEXEXTRACT(x,""[0-9]+$""),x)),"""")"),"")</f>
        <v/>
      </c>
      <c r="G1605" s="163"/>
      <c r="H16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Helper'!$F$5:$F$3004,"""")&lt;&gt;""""),ROWS(H$5:H1605)),"""")"),"")</f>
        <v/>
      </c>
    </row>
    <row r="1606" ht="15.75" customHeight="1">
      <c r="A16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Helper'!$F$5:$F$3004,"""")&lt;&gt;""""),ROWS(A$5:A1606)),"""")"),"")</f>
        <v/>
      </c>
      <c r="B16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Helper'!$F$5:$F$3004,"""")&lt;&gt;""""),ROWS(B$5:B1606)),"""")"),"")</f>
        <v/>
      </c>
      <c r="C16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Helper'!$F$5:$F$3004,"""")&lt;&gt;""""),ROWS(C$5:C1606)),"""")"),"")</f>
        <v/>
      </c>
      <c r="D16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Helper'!$F$5:$F$3004,"""")&lt;&gt;""""),ROWS(D$5:D1606)),"""")"),"")</f>
        <v/>
      </c>
      <c r="E16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Helper'!$F$5:$F$3004,"""")&lt;&gt;""""),ROWS(E$5:E1606)),"""")"),"")</f>
        <v/>
      </c>
      <c r="F16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Helper'!$F$5:$F$3004,"""")&lt;&gt;""""),ROWS(F$5:F1606)),IF(AND(LEFT(x,5)=""Pag"&amp;"e "",ISERROR(SEARCH(""–"",x))),x&amp;""–""&amp;REGEXEXTRACT(x,""[0-9]+$""),x)),"""")"),"")</f>
        <v/>
      </c>
      <c r="G1606" s="163"/>
      <c r="H16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Helper'!$F$5:$F$3004,"""")&lt;&gt;""""),ROWS(H$5:H1606)),"""")"),"")</f>
        <v/>
      </c>
    </row>
    <row r="1607" ht="15.75" customHeight="1">
      <c r="A16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Helper'!$F$5:$F$3004,"""")&lt;&gt;""""),ROWS(A$5:A1607)),"""")"),"")</f>
        <v/>
      </c>
      <c r="B16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Helper'!$F$5:$F$3004,"""")&lt;&gt;""""),ROWS(B$5:B1607)),"""")"),"")</f>
        <v/>
      </c>
      <c r="C16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Helper'!$F$5:$F$3004,"""")&lt;&gt;""""),ROWS(C$5:C1607)),"""")"),"")</f>
        <v/>
      </c>
      <c r="D16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Helper'!$F$5:$F$3004,"""")&lt;&gt;""""),ROWS(D$5:D1607)),"""")"),"")</f>
        <v/>
      </c>
      <c r="E16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Helper'!$F$5:$F$3004,"""")&lt;&gt;""""),ROWS(E$5:E1607)),"""")"),"")</f>
        <v/>
      </c>
      <c r="F16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Helper'!$F$5:$F$3004,"""")&lt;&gt;""""),ROWS(F$5:F1607)),IF(AND(LEFT(x,5)=""Pag"&amp;"e "",ISERROR(SEARCH(""–"",x))),x&amp;""–""&amp;REGEXEXTRACT(x,""[0-9]+$""),x)),"""")"),"")</f>
        <v/>
      </c>
      <c r="G1607" s="163"/>
      <c r="H16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Helper'!$F$5:$F$3004,"""")&lt;&gt;""""),ROWS(H$5:H1607)),"""")"),"")</f>
        <v/>
      </c>
    </row>
    <row r="1608" ht="15.75" customHeight="1">
      <c r="A16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Helper'!$F$5:$F$3004,"""")&lt;&gt;""""),ROWS(A$5:A1608)),"""")"),"")</f>
        <v/>
      </c>
      <c r="B16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Helper'!$F$5:$F$3004,"""")&lt;&gt;""""),ROWS(B$5:B1608)),"""")"),"")</f>
        <v/>
      </c>
      <c r="C16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Helper'!$F$5:$F$3004,"""")&lt;&gt;""""),ROWS(C$5:C1608)),"""")"),"")</f>
        <v/>
      </c>
      <c r="D16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Helper'!$F$5:$F$3004,"""")&lt;&gt;""""),ROWS(D$5:D1608)),"""")"),"")</f>
        <v/>
      </c>
      <c r="E16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Helper'!$F$5:$F$3004,"""")&lt;&gt;""""),ROWS(E$5:E1608)),"""")"),"")</f>
        <v/>
      </c>
      <c r="F16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Helper'!$F$5:$F$3004,"""")&lt;&gt;""""),ROWS(F$5:F1608)),IF(AND(LEFT(x,5)=""Pag"&amp;"e "",ISERROR(SEARCH(""–"",x))),x&amp;""–""&amp;REGEXEXTRACT(x,""[0-9]+$""),x)),"""")"),"")</f>
        <v/>
      </c>
      <c r="G1608" s="163"/>
      <c r="H16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Helper'!$F$5:$F$3004,"""")&lt;&gt;""""),ROWS(H$5:H1608)),"""")"),"")</f>
        <v/>
      </c>
    </row>
    <row r="1609" ht="15.75" customHeight="1">
      <c r="A16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Helper'!$F$5:$F$3004,"""")&lt;&gt;""""),ROWS(A$5:A1609)),"""")"),"")</f>
        <v/>
      </c>
      <c r="B16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Helper'!$F$5:$F$3004,"""")&lt;&gt;""""),ROWS(B$5:B1609)),"""")"),"")</f>
        <v/>
      </c>
      <c r="C16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Helper'!$F$5:$F$3004,"""")&lt;&gt;""""),ROWS(C$5:C1609)),"""")"),"")</f>
        <v/>
      </c>
      <c r="D16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Helper'!$F$5:$F$3004,"""")&lt;&gt;""""),ROWS(D$5:D1609)),"""")"),"")</f>
        <v/>
      </c>
      <c r="E16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Helper'!$F$5:$F$3004,"""")&lt;&gt;""""),ROWS(E$5:E1609)),"""")"),"")</f>
        <v/>
      </c>
      <c r="F16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Helper'!$F$5:$F$3004,"""")&lt;&gt;""""),ROWS(F$5:F1609)),IF(AND(LEFT(x,5)=""Pag"&amp;"e "",ISERROR(SEARCH(""–"",x))),x&amp;""–""&amp;REGEXEXTRACT(x,""[0-9]+$""),x)),"""")"),"")</f>
        <v/>
      </c>
      <c r="G1609" s="163"/>
      <c r="H16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Helper'!$F$5:$F$3004,"""")&lt;&gt;""""),ROWS(H$5:H1609)),"""")"),"")</f>
        <v/>
      </c>
    </row>
    <row r="1610" ht="15.75" customHeight="1">
      <c r="A16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Helper'!$F$5:$F$3004,"""")&lt;&gt;""""),ROWS(A$5:A1610)),"""")"),"")</f>
        <v/>
      </c>
      <c r="B16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Helper'!$F$5:$F$3004,"""")&lt;&gt;""""),ROWS(B$5:B1610)),"""")"),"")</f>
        <v/>
      </c>
      <c r="C16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Helper'!$F$5:$F$3004,"""")&lt;&gt;""""),ROWS(C$5:C1610)),"""")"),"")</f>
        <v/>
      </c>
      <c r="D16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Helper'!$F$5:$F$3004,"""")&lt;&gt;""""),ROWS(D$5:D1610)),"""")"),"")</f>
        <v/>
      </c>
      <c r="E16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Helper'!$F$5:$F$3004,"""")&lt;&gt;""""),ROWS(E$5:E1610)),"""")"),"")</f>
        <v/>
      </c>
      <c r="F16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Helper'!$F$5:$F$3004,"""")&lt;&gt;""""),ROWS(F$5:F1610)),IF(AND(LEFT(x,5)=""Pag"&amp;"e "",ISERROR(SEARCH(""–"",x))),x&amp;""–""&amp;REGEXEXTRACT(x,""[0-9]+$""),x)),"""")"),"")</f>
        <v/>
      </c>
      <c r="G1610" s="163"/>
      <c r="H16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Helper'!$F$5:$F$3004,"""")&lt;&gt;""""),ROWS(H$5:H1610)),"""")"),"")</f>
        <v/>
      </c>
    </row>
    <row r="1611" ht="15.75" customHeight="1">
      <c r="A16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Helper'!$F$5:$F$3004,"""")&lt;&gt;""""),ROWS(A$5:A1611)),"""")"),"")</f>
        <v/>
      </c>
      <c r="B16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Helper'!$F$5:$F$3004,"""")&lt;&gt;""""),ROWS(B$5:B1611)),"""")"),"")</f>
        <v/>
      </c>
      <c r="C16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Helper'!$F$5:$F$3004,"""")&lt;&gt;""""),ROWS(C$5:C1611)),"""")"),"")</f>
        <v/>
      </c>
      <c r="D16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Helper'!$F$5:$F$3004,"""")&lt;&gt;""""),ROWS(D$5:D1611)),"""")"),"")</f>
        <v/>
      </c>
      <c r="E16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Helper'!$F$5:$F$3004,"""")&lt;&gt;""""),ROWS(E$5:E1611)),"""")"),"")</f>
        <v/>
      </c>
      <c r="F16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Helper'!$F$5:$F$3004,"""")&lt;&gt;""""),ROWS(F$5:F1611)),IF(AND(LEFT(x,5)=""Pag"&amp;"e "",ISERROR(SEARCH(""–"",x))),x&amp;""–""&amp;REGEXEXTRACT(x,""[0-9]+$""),x)),"""")"),"")</f>
        <v/>
      </c>
      <c r="G1611" s="163"/>
      <c r="H16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Helper'!$F$5:$F$3004,"""")&lt;&gt;""""),ROWS(H$5:H1611)),"""")"),"")</f>
        <v/>
      </c>
    </row>
    <row r="1612" ht="15.75" customHeight="1">
      <c r="A16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Helper'!$F$5:$F$3004,"""")&lt;&gt;""""),ROWS(A$5:A1612)),"""")"),"")</f>
        <v/>
      </c>
      <c r="B16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Helper'!$F$5:$F$3004,"""")&lt;&gt;""""),ROWS(B$5:B1612)),"""")"),"")</f>
        <v/>
      </c>
      <c r="C16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Helper'!$F$5:$F$3004,"""")&lt;&gt;""""),ROWS(C$5:C1612)),"""")"),"")</f>
        <v/>
      </c>
      <c r="D16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Helper'!$F$5:$F$3004,"""")&lt;&gt;""""),ROWS(D$5:D1612)),"""")"),"")</f>
        <v/>
      </c>
      <c r="E16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Helper'!$F$5:$F$3004,"""")&lt;&gt;""""),ROWS(E$5:E1612)),"""")"),"")</f>
        <v/>
      </c>
      <c r="F16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Helper'!$F$5:$F$3004,"""")&lt;&gt;""""),ROWS(F$5:F1612)),IF(AND(LEFT(x,5)=""Pag"&amp;"e "",ISERROR(SEARCH(""–"",x))),x&amp;""–""&amp;REGEXEXTRACT(x,""[0-9]+$""),x)),"""")"),"")</f>
        <v/>
      </c>
      <c r="G1612" s="163"/>
      <c r="H16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Helper'!$F$5:$F$3004,"""")&lt;&gt;""""),ROWS(H$5:H1612)),"""")"),"")</f>
        <v/>
      </c>
    </row>
    <row r="1613" ht="15.75" customHeight="1">
      <c r="A16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Helper'!$F$5:$F$3004,"""")&lt;&gt;""""),ROWS(A$5:A1613)),"""")"),"")</f>
        <v/>
      </c>
      <c r="B16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Helper'!$F$5:$F$3004,"""")&lt;&gt;""""),ROWS(B$5:B1613)),"""")"),"")</f>
        <v/>
      </c>
      <c r="C16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Helper'!$F$5:$F$3004,"""")&lt;&gt;""""),ROWS(C$5:C1613)),"""")"),"")</f>
        <v/>
      </c>
      <c r="D16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Helper'!$F$5:$F$3004,"""")&lt;&gt;""""),ROWS(D$5:D1613)),"""")"),"")</f>
        <v/>
      </c>
      <c r="E16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Helper'!$F$5:$F$3004,"""")&lt;&gt;""""),ROWS(E$5:E1613)),"""")"),"")</f>
        <v/>
      </c>
      <c r="F16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Helper'!$F$5:$F$3004,"""")&lt;&gt;""""),ROWS(F$5:F1613)),IF(AND(LEFT(x,5)=""Pag"&amp;"e "",ISERROR(SEARCH(""–"",x))),x&amp;""–""&amp;REGEXEXTRACT(x,""[0-9]+$""),x)),"""")"),"")</f>
        <v/>
      </c>
      <c r="G1613" s="163"/>
      <c r="H16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Helper'!$F$5:$F$3004,"""")&lt;&gt;""""),ROWS(H$5:H1613)),"""")"),"")</f>
        <v/>
      </c>
    </row>
    <row r="1614" ht="15.75" customHeight="1">
      <c r="A16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Helper'!$F$5:$F$3004,"""")&lt;&gt;""""),ROWS(A$5:A1614)),"""")"),"")</f>
        <v/>
      </c>
      <c r="B16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Helper'!$F$5:$F$3004,"""")&lt;&gt;""""),ROWS(B$5:B1614)),"""")"),"")</f>
        <v/>
      </c>
      <c r="C16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Helper'!$F$5:$F$3004,"""")&lt;&gt;""""),ROWS(C$5:C1614)),"""")"),"")</f>
        <v/>
      </c>
      <c r="D16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Helper'!$F$5:$F$3004,"""")&lt;&gt;""""),ROWS(D$5:D1614)),"""")"),"")</f>
        <v/>
      </c>
      <c r="E16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Helper'!$F$5:$F$3004,"""")&lt;&gt;""""),ROWS(E$5:E1614)),"""")"),"")</f>
        <v/>
      </c>
      <c r="F16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Helper'!$F$5:$F$3004,"""")&lt;&gt;""""),ROWS(F$5:F1614)),IF(AND(LEFT(x,5)=""Pag"&amp;"e "",ISERROR(SEARCH(""–"",x))),x&amp;""–""&amp;REGEXEXTRACT(x,""[0-9]+$""),x)),"""")"),"")</f>
        <v/>
      </c>
      <c r="G1614" s="163"/>
      <c r="H16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Helper'!$F$5:$F$3004,"""")&lt;&gt;""""),ROWS(H$5:H1614)),"""")"),"")</f>
        <v/>
      </c>
    </row>
    <row r="1615" ht="15.75" customHeight="1">
      <c r="A16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Helper'!$F$5:$F$3004,"""")&lt;&gt;""""),ROWS(A$5:A1615)),"""")"),"")</f>
        <v/>
      </c>
      <c r="B16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Helper'!$F$5:$F$3004,"""")&lt;&gt;""""),ROWS(B$5:B1615)),"""")"),"")</f>
        <v/>
      </c>
      <c r="C16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Helper'!$F$5:$F$3004,"""")&lt;&gt;""""),ROWS(C$5:C1615)),"""")"),"")</f>
        <v/>
      </c>
      <c r="D16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Helper'!$F$5:$F$3004,"""")&lt;&gt;""""),ROWS(D$5:D1615)),"""")"),"")</f>
        <v/>
      </c>
      <c r="E16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Helper'!$F$5:$F$3004,"""")&lt;&gt;""""),ROWS(E$5:E1615)),"""")"),"")</f>
        <v/>
      </c>
      <c r="F16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Helper'!$F$5:$F$3004,"""")&lt;&gt;""""),ROWS(F$5:F1615)),IF(AND(LEFT(x,5)=""Pag"&amp;"e "",ISERROR(SEARCH(""–"",x))),x&amp;""–""&amp;REGEXEXTRACT(x,""[0-9]+$""),x)),"""")"),"")</f>
        <v/>
      </c>
      <c r="G1615" s="163"/>
      <c r="H16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Helper'!$F$5:$F$3004,"""")&lt;&gt;""""),ROWS(H$5:H1615)),"""")"),"")</f>
        <v/>
      </c>
    </row>
    <row r="1616" ht="15.75" customHeight="1">
      <c r="A16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Helper'!$F$5:$F$3004,"""")&lt;&gt;""""),ROWS(A$5:A1616)),"""")"),"")</f>
        <v/>
      </c>
      <c r="B16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Helper'!$F$5:$F$3004,"""")&lt;&gt;""""),ROWS(B$5:B1616)),"""")"),"")</f>
        <v/>
      </c>
      <c r="C16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Helper'!$F$5:$F$3004,"""")&lt;&gt;""""),ROWS(C$5:C1616)),"""")"),"")</f>
        <v/>
      </c>
      <c r="D16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Helper'!$F$5:$F$3004,"""")&lt;&gt;""""),ROWS(D$5:D1616)),"""")"),"")</f>
        <v/>
      </c>
      <c r="E16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Helper'!$F$5:$F$3004,"""")&lt;&gt;""""),ROWS(E$5:E1616)),"""")"),"")</f>
        <v/>
      </c>
      <c r="F16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Helper'!$F$5:$F$3004,"""")&lt;&gt;""""),ROWS(F$5:F1616)),IF(AND(LEFT(x,5)=""Pag"&amp;"e "",ISERROR(SEARCH(""–"",x))),x&amp;""–""&amp;REGEXEXTRACT(x,""[0-9]+$""),x)),"""")"),"")</f>
        <v/>
      </c>
      <c r="G1616" s="163"/>
      <c r="H16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Helper'!$F$5:$F$3004,"""")&lt;&gt;""""),ROWS(H$5:H1616)),"""")"),"")</f>
        <v/>
      </c>
    </row>
    <row r="1617" ht="15.75" customHeight="1">
      <c r="A16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Helper'!$F$5:$F$3004,"""")&lt;&gt;""""),ROWS(A$5:A1617)),"""")"),"")</f>
        <v/>
      </c>
      <c r="B16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Helper'!$F$5:$F$3004,"""")&lt;&gt;""""),ROWS(B$5:B1617)),"""")"),"")</f>
        <v/>
      </c>
      <c r="C16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Helper'!$F$5:$F$3004,"""")&lt;&gt;""""),ROWS(C$5:C1617)),"""")"),"")</f>
        <v/>
      </c>
      <c r="D16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Helper'!$F$5:$F$3004,"""")&lt;&gt;""""),ROWS(D$5:D1617)),"""")"),"")</f>
        <v/>
      </c>
      <c r="E16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Helper'!$F$5:$F$3004,"""")&lt;&gt;""""),ROWS(E$5:E1617)),"""")"),"")</f>
        <v/>
      </c>
      <c r="F16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Helper'!$F$5:$F$3004,"""")&lt;&gt;""""),ROWS(F$5:F1617)),IF(AND(LEFT(x,5)=""Pag"&amp;"e "",ISERROR(SEARCH(""–"",x))),x&amp;""–""&amp;REGEXEXTRACT(x,""[0-9]+$""),x)),"""")"),"")</f>
        <v/>
      </c>
      <c r="G1617" s="163"/>
      <c r="H16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Helper'!$F$5:$F$3004,"""")&lt;&gt;""""),ROWS(H$5:H1617)),"""")"),"")</f>
        <v/>
      </c>
    </row>
    <row r="1618" ht="15.75" customHeight="1">
      <c r="A16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Helper'!$F$5:$F$3004,"""")&lt;&gt;""""),ROWS(A$5:A1618)),"""")"),"")</f>
        <v/>
      </c>
      <c r="B16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Helper'!$F$5:$F$3004,"""")&lt;&gt;""""),ROWS(B$5:B1618)),"""")"),"")</f>
        <v/>
      </c>
      <c r="C16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Helper'!$F$5:$F$3004,"""")&lt;&gt;""""),ROWS(C$5:C1618)),"""")"),"")</f>
        <v/>
      </c>
      <c r="D16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Helper'!$F$5:$F$3004,"""")&lt;&gt;""""),ROWS(D$5:D1618)),"""")"),"")</f>
        <v/>
      </c>
      <c r="E16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Helper'!$F$5:$F$3004,"""")&lt;&gt;""""),ROWS(E$5:E1618)),"""")"),"")</f>
        <v/>
      </c>
      <c r="F16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Helper'!$F$5:$F$3004,"""")&lt;&gt;""""),ROWS(F$5:F1618)),IF(AND(LEFT(x,5)=""Pag"&amp;"e "",ISERROR(SEARCH(""–"",x))),x&amp;""–""&amp;REGEXEXTRACT(x,""[0-9]+$""),x)),"""")"),"")</f>
        <v/>
      </c>
      <c r="G1618" s="163"/>
      <c r="H16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Helper'!$F$5:$F$3004,"""")&lt;&gt;""""),ROWS(H$5:H1618)),"""")"),"")</f>
        <v/>
      </c>
    </row>
    <row r="1619" ht="15.75" customHeight="1">
      <c r="A16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Helper'!$F$5:$F$3004,"""")&lt;&gt;""""),ROWS(A$5:A1619)),"""")"),"")</f>
        <v/>
      </c>
      <c r="B16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Helper'!$F$5:$F$3004,"""")&lt;&gt;""""),ROWS(B$5:B1619)),"""")"),"")</f>
        <v/>
      </c>
      <c r="C16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Helper'!$F$5:$F$3004,"""")&lt;&gt;""""),ROWS(C$5:C1619)),"""")"),"")</f>
        <v/>
      </c>
      <c r="D16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Helper'!$F$5:$F$3004,"""")&lt;&gt;""""),ROWS(D$5:D1619)),"""")"),"")</f>
        <v/>
      </c>
      <c r="E16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Helper'!$F$5:$F$3004,"""")&lt;&gt;""""),ROWS(E$5:E1619)),"""")"),"")</f>
        <v/>
      </c>
      <c r="F16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Helper'!$F$5:$F$3004,"""")&lt;&gt;""""),ROWS(F$5:F1619)),IF(AND(LEFT(x,5)=""Pag"&amp;"e "",ISERROR(SEARCH(""–"",x))),x&amp;""–""&amp;REGEXEXTRACT(x,""[0-9]+$""),x)),"""")"),"")</f>
        <v/>
      </c>
      <c r="G1619" s="163"/>
      <c r="H16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Helper'!$F$5:$F$3004,"""")&lt;&gt;""""),ROWS(H$5:H1619)),"""")"),"")</f>
        <v/>
      </c>
    </row>
    <row r="1620" ht="15.75" customHeight="1">
      <c r="A16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Helper'!$F$5:$F$3004,"""")&lt;&gt;""""),ROWS(A$5:A1620)),"""")"),"")</f>
        <v/>
      </c>
      <c r="B16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Helper'!$F$5:$F$3004,"""")&lt;&gt;""""),ROWS(B$5:B1620)),"""")"),"")</f>
        <v/>
      </c>
      <c r="C16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Helper'!$F$5:$F$3004,"""")&lt;&gt;""""),ROWS(C$5:C1620)),"""")"),"")</f>
        <v/>
      </c>
      <c r="D16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Helper'!$F$5:$F$3004,"""")&lt;&gt;""""),ROWS(D$5:D1620)),"""")"),"")</f>
        <v/>
      </c>
      <c r="E16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Helper'!$F$5:$F$3004,"""")&lt;&gt;""""),ROWS(E$5:E1620)),"""")"),"")</f>
        <v/>
      </c>
      <c r="F16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Helper'!$F$5:$F$3004,"""")&lt;&gt;""""),ROWS(F$5:F1620)),IF(AND(LEFT(x,5)=""Pag"&amp;"e "",ISERROR(SEARCH(""–"",x))),x&amp;""–""&amp;REGEXEXTRACT(x,""[0-9]+$""),x)),"""")"),"")</f>
        <v/>
      </c>
      <c r="G1620" s="163"/>
      <c r="H16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Helper'!$F$5:$F$3004,"""")&lt;&gt;""""),ROWS(H$5:H1620)),"""")"),"")</f>
        <v/>
      </c>
    </row>
    <row r="1621" ht="15.75" customHeight="1">
      <c r="A16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Helper'!$F$5:$F$3004,"""")&lt;&gt;""""),ROWS(A$5:A1621)),"""")"),"")</f>
        <v/>
      </c>
      <c r="B16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Helper'!$F$5:$F$3004,"""")&lt;&gt;""""),ROWS(B$5:B1621)),"""")"),"")</f>
        <v/>
      </c>
      <c r="C16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Helper'!$F$5:$F$3004,"""")&lt;&gt;""""),ROWS(C$5:C1621)),"""")"),"")</f>
        <v/>
      </c>
      <c r="D16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Helper'!$F$5:$F$3004,"""")&lt;&gt;""""),ROWS(D$5:D1621)),"""")"),"")</f>
        <v/>
      </c>
      <c r="E16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Helper'!$F$5:$F$3004,"""")&lt;&gt;""""),ROWS(E$5:E1621)),"""")"),"")</f>
        <v/>
      </c>
      <c r="F16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Helper'!$F$5:$F$3004,"""")&lt;&gt;""""),ROWS(F$5:F1621)),IF(AND(LEFT(x,5)=""Pag"&amp;"e "",ISERROR(SEARCH(""–"",x))),x&amp;""–""&amp;REGEXEXTRACT(x,""[0-9]+$""),x)),"""")"),"")</f>
        <v/>
      </c>
      <c r="G1621" s="163"/>
      <c r="H16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Helper'!$F$5:$F$3004,"""")&lt;&gt;""""),ROWS(H$5:H1621)),"""")"),"")</f>
        <v/>
      </c>
    </row>
    <row r="1622" ht="15.75" customHeight="1">
      <c r="A16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Helper'!$F$5:$F$3004,"""")&lt;&gt;""""),ROWS(A$5:A1622)),"""")"),"")</f>
        <v/>
      </c>
      <c r="B16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Helper'!$F$5:$F$3004,"""")&lt;&gt;""""),ROWS(B$5:B1622)),"""")"),"")</f>
        <v/>
      </c>
      <c r="C16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Helper'!$F$5:$F$3004,"""")&lt;&gt;""""),ROWS(C$5:C1622)),"""")"),"")</f>
        <v/>
      </c>
      <c r="D16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Helper'!$F$5:$F$3004,"""")&lt;&gt;""""),ROWS(D$5:D1622)),"""")"),"")</f>
        <v/>
      </c>
      <c r="E16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Helper'!$F$5:$F$3004,"""")&lt;&gt;""""),ROWS(E$5:E1622)),"""")"),"")</f>
        <v/>
      </c>
      <c r="F16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Helper'!$F$5:$F$3004,"""")&lt;&gt;""""),ROWS(F$5:F1622)),IF(AND(LEFT(x,5)=""Pag"&amp;"e "",ISERROR(SEARCH(""–"",x))),x&amp;""–""&amp;REGEXEXTRACT(x,""[0-9]+$""),x)),"""")"),"")</f>
        <v/>
      </c>
      <c r="G1622" s="163"/>
      <c r="H16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Helper'!$F$5:$F$3004,"""")&lt;&gt;""""),ROWS(H$5:H1622)),"""")"),"")</f>
        <v/>
      </c>
    </row>
    <row r="1623" ht="15.75" customHeight="1">
      <c r="A16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Helper'!$F$5:$F$3004,"""")&lt;&gt;""""),ROWS(A$5:A1623)),"""")"),"")</f>
        <v/>
      </c>
      <c r="B16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Helper'!$F$5:$F$3004,"""")&lt;&gt;""""),ROWS(B$5:B1623)),"""")"),"")</f>
        <v/>
      </c>
      <c r="C16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Helper'!$F$5:$F$3004,"""")&lt;&gt;""""),ROWS(C$5:C1623)),"""")"),"")</f>
        <v/>
      </c>
      <c r="D16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Helper'!$F$5:$F$3004,"""")&lt;&gt;""""),ROWS(D$5:D1623)),"""")"),"")</f>
        <v/>
      </c>
      <c r="E16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Helper'!$F$5:$F$3004,"""")&lt;&gt;""""),ROWS(E$5:E1623)),"""")"),"")</f>
        <v/>
      </c>
      <c r="F16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Helper'!$F$5:$F$3004,"""")&lt;&gt;""""),ROWS(F$5:F1623)),IF(AND(LEFT(x,5)=""Pag"&amp;"e "",ISERROR(SEARCH(""–"",x))),x&amp;""–""&amp;REGEXEXTRACT(x,""[0-9]+$""),x)),"""")"),"")</f>
        <v/>
      </c>
      <c r="G1623" s="163"/>
      <c r="H16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Helper'!$F$5:$F$3004,"""")&lt;&gt;""""),ROWS(H$5:H1623)),"""")"),"")</f>
        <v/>
      </c>
    </row>
    <row r="1624" ht="15.75" customHeight="1">
      <c r="A16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Helper'!$F$5:$F$3004,"""")&lt;&gt;""""),ROWS(A$5:A1624)),"""")"),"")</f>
        <v/>
      </c>
      <c r="B16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Helper'!$F$5:$F$3004,"""")&lt;&gt;""""),ROWS(B$5:B1624)),"""")"),"")</f>
        <v/>
      </c>
      <c r="C16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Helper'!$F$5:$F$3004,"""")&lt;&gt;""""),ROWS(C$5:C1624)),"""")"),"")</f>
        <v/>
      </c>
      <c r="D16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Helper'!$F$5:$F$3004,"""")&lt;&gt;""""),ROWS(D$5:D1624)),"""")"),"")</f>
        <v/>
      </c>
      <c r="E16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Helper'!$F$5:$F$3004,"""")&lt;&gt;""""),ROWS(E$5:E1624)),"""")"),"")</f>
        <v/>
      </c>
      <c r="F16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Helper'!$F$5:$F$3004,"""")&lt;&gt;""""),ROWS(F$5:F1624)),IF(AND(LEFT(x,5)=""Pag"&amp;"e "",ISERROR(SEARCH(""–"",x))),x&amp;""–""&amp;REGEXEXTRACT(x,""[0-9]+$""),x)),"""")"),"")</f>
        <v/>
      </c>
      <c r="G1624" s="163"/>
      <c r="H16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Helper'!$F$5:$F$3004,"""")&lt;&gt;""""),ROWS(H$5:H1624)),"""")"),"")</f>
        <v/>
      </c>
    </row>
    <row r="1625" ht="15.75" customHeight="1">
      <c r="A16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Helper'!$F$5:$F$3004,"""")&lt;&gt;""""),ROWS(A$5:A1625)),"""")"),"")</f>
        <v/>
      </c>
      <c r="B16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Helper'!$F$5:$F$3004,"""")&lt;&gt;""""),ROWS(B$5:B1625)),"""")"),"")</f>
        <v/>
      </c>
      <c r="C16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Helper'!$F$5:$F$3004,"""")&lt;&gt;""""),ROWS(C$5:C1625)),"""")"),"")</f>
        <v/>
      </c>
      <c r="D16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Helper'!$F$5:$F$3004,"""")&lt;&gt;""""),ROWS(D$5:D1625)),"""")"),"")</f>
        <v/>
      </c>
      <c r="E16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Helper'!$F$5:$F$3004,"""")&lt;&gt;""""),ROWS(E$5:E1625)),"""")"),"")</f>
        <v/>
      </c>
      <c r="F16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Helper'!$F$5:$F$3004,"""")&lt;&gt;""""),ROWS(F$5:F1625)),IF(AND(LEFT(x,5)=""Pag"&amp;"e "",ISERROR(SEARCH(""–"",x))),x&amp;""–""&amp;REGEXEXTRACT(x,""[0-9]+$""),x)),"""")"),"")</f>
        <v/>
      </c>
      <c r="G1625" s="163"/>
      <c r="H16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Helper'!$F$5:$F$3004,"""")&lt;&gt;""""),ROWS(H$5:H1625)),"""")"),"")</f>
        <v/>
      </c>
    </row>
    <row r="1626" ht="15.75" customHeight="1">
      <c r="A16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Helper'!$F$5:$F$3004,"""")&lt;&gt;""""),ROWS(A$5:A1626)),"""")"),"")</f>
        <v/>
      </c>
      <c r="B16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Helper'!$F$5:$F$3004,"""")&lt;&gt;""""),ROWS(B$5:B1626)),"""")"),"")</f>
        <v/>
      </c>
      <c r="C16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Helper'!$F$5:$F$3004,"""")&lt;&gt;""""),ROWS(C$5:C1626)),"""")"),"")</f>
        <v/>
      </c>
      <c r="D16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Helper'!$F$5:$F$3004,"""")&lt;&gt;""""),ROWS(D$5:D1626)),"""")"),"")</f>
        <v/>
      </c>
      <c r="E16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Helper'!$F$5:$F$3004,"""")&lt;&gt;""""),ROWS(E$5:E1626)),"""")"),"")</f>
        <v/>
      </c>
      <c r="F16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Helper'!$F$5:$F$3004,"""")&lt;&gt;""""),ROWS(F$5:F1626)),IF(AND(LEFT(x,5)=""Pag"&amp;"e "",ISERROR(SEARCH(""–"",x))),x&amp;""–""&amp;REGEXEXTRACT(x,""[0-9]+$""),x)),"""")"),"")</f>
        <v/>
      </c>
      <c r="G1626" s="163"/>
      <c r="H16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Helper'!$F$5:$F$3004,"""")&lt;&gt;""""),ROWS(H$5:H1626)),"""")"),"")</f>
        <v/>
      </c>
    </row>
    <row r="1627" ht="15.75" customHeight="1">
      <c r="A16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Helper'!$F$5:$F$3004,"""")&lt;&gt;""""),ROWS(A$5:A1627)),"""")"),"")</f>
        <v/>
      </c>
      <c r="B16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Helper'!$F$5:$F$3004,"""")&lt;&gt;""""),ROWS(B$5:B1627)),"""")"),"")</f>
        <v/>
      </c>
      <c r="C16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Helper'!$F$5:$F$3004,"""")&lt;&gt;""""),ROWS(C$5:C1627)),"""")"),"")</f>
        <v/>
      </c>
      <c r="D16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Helper'!$F$5:$F$3004,"""")&lt;&gt;""""),ROWS(D$5:D1627)),"""")"),"")</f>
        <v/>
      </c>
      <c r="E16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Helper'!$F$5:$F$3004,"""")&lt;&gt;""""),ROWS(E$5:E1627)),"""")"),"")</f>
        <v/>
      </c>
      <c r="F16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Helper'!$F$5:$F$3004,"""")&lt;&gt;""""),ROWS(F$5:F1627)),IF(AND(LEFT(x,5)=""Pag"&amp;"e "",ISERROR(SEARCH(""–"",x))),x&amp;""–""&amp;REGEXEXTRACT(x,""[0-9]+$""),x)),"""")"),"")</f>
        <v/>
      </c>
      <c r="G1627" s="163"/>
      <c r="H16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Helper'!$F$5:$F$3004,"""")&lt;&gt;""""),ROWS(H$5:H1627)),"""")"),"")</f>
        <v/>
      </c>
    </row>
    <row r="1628" ht="15.75" customHeight="1">
      <c r="A16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Helper'!$F$5:$F$3004,"""")&lt;&gt;""""),ROWS(A$5:A1628)),"""")"),"")</f>
        <v/>
      </c>
      <c r="B16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Helper'!$F$5:$F$3004,"""")&lt;&gt;""""),ROWS(B$5:B1628)),"""")"),"")</f>
        <v/>
      </c>
      <c r="C16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Helper'!$F$5:$F$3004,"""")&lt;&gt;""""),ROWS(C$5:C1628)),"""")"),"")</f>
        <v/>
      </c>
      <c r="D16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Helper'!$F$5:$F$3004,"""")&lt;&gt;""""),ROWS(D$5:D1628)),"""")"),"")</f>
        <v/>
      </c>
      <c r="E16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Helper'!$F$5:$F$3004,"""")&lt;&gt;""""),ROWS(E$5:E1628)),"""")"),"")</f>
        <v/>
      </c>
      <c r="F16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Helper'!$F$5:$F$3004,"""")&lt;&gt;""""),ROWS(F$5:F1628)),IF(AND(LEFT(x,5)=""Pag"&amp;"e "",ISERROR(SEARCH(""–"",x))),x&amp;""–""&amp;REGEXEXTRACT(x,""[0-9]+$""),x)),"""")"),"")</f>
        <v/>
      </c>
      <c r="G1628" s="163"/>
      <c r="H16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Helper'!$F$5:$F$3004,"""")&lt;&gt;""""),ROWS(H$5:H1628)),"""")"),"")</f>
        <v/>
      </c>
    </row>
    <row r="1629" ht="15.75" customHeight="1">
      <c r="A16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Helper'!$F$5:$F$3004,"""")&lt;&gt;""""),ROWS(A$5:A1629)),"""")"),"")</f>
        <v/>
      </c>
      <c r="B16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Helper'!$F$5:$F$3004,"""")&lt;&gt;""""),ROWS(B$5:B1629)),"""")"),"")</f>
        <v/>
      </c>
      <c r="C16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Helper'!$F$5:$F$3004,"""")&lt;&gt;""""),ROWS(C$5:C1629)),"""")"),"")</f>
        <v/>
      </c>
      <c r="D16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Helper'!$F$5:$F$3004,"""")&lt;&gt;""""),ROWS(D$5:D1629)),"""")"),"")</f>
        <v/>
      </c>
      <c r="E16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Helper'!$F$5:$F$3004,"""")&lt;&gt;""""),ROWS(E$5:E1629)),"""")"),"")</f>
        <v/>
      </c>
      <c r="F16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Helper'!$F$5:$F$3004,"""")&lt;&gt;""""),ROWS(F$5:F1629)),IF(AND(LEFT(x,5)=""Pag"&amp;"e "",ISERROR(SEARCH(""–"",x))),x&amp;""–""&amp;REGEXEXTRACT(x,""[0-9]+$""),x)),"""")"),"")</f>
        <v/>
      </c>
      <c r="G1629" s="163"/>
      <c r="H16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Helper'!$F$5:$F$3004,"""")&lt;&gt;""""),ROWS(H$5:H1629)),"""")"),"")</f>
        <v/>
      </c>
    </row>
    <row r="1630" ht="15.75" customHeight="1">
      <c r="A16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Helper'!$F$5:$F$3004,"""")&lt;&gt;""""),ROWS(A$5:A1630)),"""")"),"")</f>
        <v/>
      </c>
      <c r="B16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Helper'!$F$5:$F$3004,"""")&lt;&gt;""""),ROWS(B$5:B1630)),"""")"),"")</f>
        <v/>
      </c>
      <c r="C16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Helper'!$F$5:$F$3004,"""")&lt;&gt;""""),ROWS(C$5:C1630)),"""")"),"")</f>
        <v/>
      </c>
      <c r="D16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Helper'!$F$5:$F$3004,"""")&lt;&gt;""""),ROWS(D$5:D1630)),"""")"),"")</f>
        <v/>
      </c>
      <c r="E16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Helper'!$F$5:$F$3004,"""")&lt;&gt;""""),ROWS(E$5:E1630)),"""")"),"")</f>
        <v/>
      </c>
      <c r="F16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Helper'!$F$5:$F$3004,"""")&lt;&gt;""""),ROWS(F$5:F1630)),IF(AND(LEFT(x,5)=""Pag"&amp;"e "",ISERROR(SEARCH(""–"",x))),x&amp;""–""&amp;REGEXEXTRACT(x,""[0-9]+$""),x)),"""")"),"")</f>
        <v/>
      </c>
      <c r="G1630" s="163"/>
      <c r="H16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Helper'!$F$5:$F$3004,"""")&lt;&gt;""""),ROWS(H$5:H1630)),"""")"),"")</f>
        <v/>
      </c>
    </row>
    <row r="1631" ht="15.75" customHeight="1">
      <c r="A16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Helper'!$F$5:$F$3004,"""")&lt;&gt;""""),ROWS(A$5:A1631)),"""")"),"")</f>
        <v/>
      </c>
      <c r="B16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Helper'!$F$5:$F$3004,"""")&lt;&gt;""""),ROWS(B$5:B1631)),"""")"),"")</f>
        <v/>
      </c>
      <c r="C16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Helper'!$F$5:$F$3004,"""")&lt;&gt;""""),ROWS(C$5:C1631)),"""")"),"")</f>
        <v/>
      </c>
      <c r="D16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Helper'!$F$5:$F$3004,"""")&lt;&gt;""""),ROWS(D$5:D1631)),"""")"),"")</f>
        <v/>
      </c>
      <c r="E16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Helper'!$F$5:$F$3004,"""")&lt;&gt;""""),ROWS(E$5:E1631)),"""")"),"")</f>
        <v/>
      </c>
      <c r="F16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Helper'!$F$5:$F$3004,"""")&lt;&gt;""""),ROWS(F$5:F1631)),IF(AND(LEFT(x,5)=""Pag"&amp;"e "",ISERROR(SEARCH(""–"",x))),x&amp;""–""&amp;REGEXEXTRACT(x,""[0-9]+$""),x)),"""")"),"")</f>
        <v/>
      </c>
      <c r="G1631" s="163"/>
      <c r="H16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Helper'!$F$5:$F$3004,"""")&lt;&gt;""""),ROWS(H$5:H1631)),"""")"),"")</f>
        <v/>
      </c>
    </row>
    <row r="1632" ht="15.75" customHeight="1">
      <c r="A16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Helper'!$F$5:$F$3004,"""")&lt;&gt;""""),ROWS(A$5:A1632)),"""")"),"")</f>
        <v/>
      </c>
      <c r="B16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Helper'!$F$5:$F$3004,"""")&lt;&gt;""""),ROWS(B$5:B1632)),"""")"),"")</f>
        <v/>
      </c>
      <c r="C16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Helper'!$F$5:$F$3004,"""")&lt;&gt;""""),ROWS(C$5:C1632)),"""")"),"")</f>
        <v/>
      </c>
      <c r="D16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Helper'!$F$5:$F$3004,"""")&lt;&gt;""""),ROWS(D$5:D1632)),"""")"),"")</f>
        <v/>
      </c>
      <c r="E16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Helper'!$F$5:$F$3004,"""")&lt;&gt;""""),ROWS(E$5:E1632)),"""")"),"")</f>
        <v/>
      </c>
      <c r="F16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Helper'!$F$5:$F$3004,"""")&lt;&gt;""""),ROWS(F$5:F1632)),IF(AND(LEFT(x,5)=""Pag"&amp;"e "",ISERROR(SEARCH(""–"",x))),x&amp;""–""&amp;REGEXEXTRACT(x,""[0-9]+$""),x)),"""")"),"")</f>
        <v/>
      </c>
      <c r="G1632" s="163"/>
      <c r="H16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Helper'!$F$5:$F$3004,"""")&lt;&gt;""""),ROWS(H$5:H1632)),"""")"),"")</f>
        <v/>
      </c>
    </row>
    <row r="1633" ht="15.75" customHeight="1">
      <c r="A16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Helper'!$F$5:$F$3004,"""")&lt;&gt;""""),ROWS(A$5:A1633)),"""")"),"")</f>
        <v/>
      </c>
      <c r="B16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Helper'!$F$5:$F$3004,"""")&lt;&gt;""""),ROWS(B$5:B1633)),"""")"),"")</f>
        <v/>
      </c>
      <c r="C16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Helper'!$F$5:$F$3004,"""")&lt;&gt;""""),ROWS(C$5:C1633)),"""")"),"")</f>
        <v/>
      </c>
      <c r="D16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Helper'!$F$5:$F$3004,"""")&lt;&gt;""""),ROWS(D$5:D1633)),"""")"),"")</f>
        <v/>
      </c>
      <c r="E16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Helper'!$F$5:$F$3004,"""")&lt;&gt;""""),ROWS(E$5:E1633)),"""")"),"")</f>
        <v/>
      </c>
      <c r="F16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Helper'!$F$5:$F$3004,"""")&lt;&gt;""""),ROWS(F$5:F1633)),IF(AND(LEFT(x,5)=""Pag"&amp;"e "",ISERROR(SEARCH(""–"",x))),x&amp;""–""&amp;REGEXEXTRACT(x,""[0-9]+$""),x)),"""")"),"")</f>
        <v/>
      </c>
      <c r="G1633" s="163"/>
      <c r="H16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Helper'!$F$5:$F$3004,"""")&lt;&gt;""""),ROWS(H$5:H1633)),"""")"),"")</f>
        <v/>
      </c>
    </row>
    <row r="1634" ht="15.75" customHeight="1">
      <c r="A16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Helper'!$F$5:$F$3004,"""")&lt;&gt;""""),ROWS(A$5:A1634)),"""")"),"")</f>
        <v/>
      </c>
      <c r="B16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Helper'!$F$5:$F$3004,"""")&lt;&gt;""""),ROWS(B$5:B1634)),"""")"),"")</f>
        <v/>
      </c>
      <c r="C16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Helper'!$F$5:$F$3004,"""")&lt;&gt;""""),ROWS(C$5:C1634)),"""")"),"")</f>
        <v/>
      </c>
      <c r="D16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Helper'!$F$5:$F$3004,"""")&lt;&gt;""""),ROWS(D$5:D1634)),"""")"),"")</f>
        <v/>
      </c>
      <c r="E16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Helper'!$F$5:$F$3004,"""")&lt;&gt;""""),ROWS(E$5:E1634)),"""")"),"")</f>
        <v/>
      </c>
      <c r="F16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Helper'!$F$5:$F$3004,"""")&lt;&gt;""""),ROWS(F$5:F1634)),IF(AND(LEFT(x,5)=""Pag"&amp;"e "",ISERROR(SEARCH(""–"",x))),x&amp;""–""&amp;REGEXEXTRACT(x,""[0-9]+$""),x)),"""")"),"")</f>
        <v/>
      </c>
      <c r="G1634" s="163"/>
      <c r="H16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Helper'!$F$5:$F$3004,"""")&lt;&gt;""""),ROWS(H$5:H1634)),"""")"),"")</f>
        <v/>
      </c>
    </row>
    <row r="1635" ht="15.75" customHeight="1">
      <c r="A16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Helper'!$F$5:$F$3004,"""")&lt;&gt;""""),ROWS(A$5:A1635)),"""")"),"")</f>
        <v/>
      </c>
      <c r="B16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Helper'!$F$5:$F$3004,"""")&lt;&gt;""""),ROWS(B$5:B1635)),"""")"),"")</f>
        <v/>
      </c>
      <c r="C16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Helper'!$F$5:$F$3004,"""")&lt;&gt;""""),ROWS(C$5:C1635)),"""")"),"")</f>
        <v/>
      </c>
      <c r="D16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Helper'!$F$5:$F$3004,"""")&lt;&gt;""""),ROWS(D$5:D1635)),"""")"),"")</f>
        <v/>
      </c>
      <c r="E16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Helper'!$F$5:$F$3004,"""")&lt;&gt;""""),ROWS(E$5:E1635)),"""")"),"")</f>
        <v/>
      </c>
      <c r="F16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Helper'!$F$5:$F$3004,"""")&lt;&gt;""""),ROWS(F$5:F1635)),IF(AND(LEFT(x,5)=""Pag"&amp;"e "",ISERROR(SEARCH(""–"",x))),x&amp;""–""&amp;REGEXEXTRACT(x,""[0-9]+$""),x)),"""")"),"")</f>
        <v/>
      </c>
      <c r="G1635" s="163"/>
      <c r="H16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Helper'!$F$5:$F$3004,"""")&lt;&gt;""""),ROWS(H$5:H1635)),"""")"),"")</f>
        <v/>
      </c>
    </row>
    <row r="1636" ht="15.75" customHeight="1">
      <c r="A16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Helper'!$F$5:$F$3004,"""")&lt;&gt;""""),ROWS(A$5:A1636)),"""")"),"")</f>
        <v/>
      </c>
      <c r="B16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Helper'!$F$5:$F$3004,"""")&lt;&gt;""""),ROWS(B$5:B1636)),"""")"),"")</f>
        <v/>
      </c>
      <c r="C16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Helper'!$F$5:$F$3004,"""")&lt;&gt;""""),ROWS(C$5:C1636)),"""")"),"")</f>
        <v/>
      </c>
      <c r="D16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Helper'!$F$5:$F$3004,"""")&lt;&gt;""""),ROWS(D$5:D1636)),"""")"),"")</f>
        <v/>
      </c>
      <c r="E16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Helper'!$F$5:$F$3004,"""")&lt;&gt;""""),ROWS(E$5:E1636)),"""")"),"")</f>
        <v/>
      </c>
      <c r="F16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Helper'!$F$5:$F$3004,"""")&lt;&gt;""""),ROWS(F$5:F1636)),IF(AND(LEFT(x,5)=""Pag"&amp;"e "",ISERROR(SEARCH(""–"",x))),x&amp;""–""&amp;REGEXEXTRACT(x,""[0-9]+$""),x)),"""")"),"")</f>
        <v/>
      </c>
      <c r="G1636" s="163"/>
      <c r="H16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Helper'!$F$5:$F$3004,"""")&lt;&gt;""""),ROWS(H$5:H1636)),"""")"),"")</f>
        <v/>
      </c>
    </row>
    <row r="1637" ht="15.75" customHeight="1">
      <c r="A16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Helper'!$F$5:$F$3004,"""")&lt;&gt;""""),ROWS(A$5:A1637)),"""")"),"")</f>
        <v/>
      </c>
      <c r="B16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Helper'!$F$5:$F$3004,"""")&lt;&gt;""""),ROWS(B$5:B1637)),"""")"),"")</f>
        <v/>
      </c>
      <c r="C16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Helper'!$F$5:$F$3004,"""")&lt;&gt;""""),ROWS(C$5:C1637)),"""")"),"")</f>
        <v/>
      </c>
      <c r="D16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Helper'!$F$5:$F$3004,"""")&lt;&gt;""""),ROWS(D$5:D1637)),"""")"),"")</f>
        <v/>
      </c>
      <c r="E16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Helper'!$F$5:$F$3004,"""")&lt;&gt;""""),ROWS(E$5:E1637)),"""")"),"")</f>
        <v/>
      </c>
      <c r="F16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Helper'!$F$5:$F$3004,"""")&lt;&gt;""""),ROWS(F$5:F1637)),IF(AND(LEFT(x,5)=""Pag"&amp;"e "",ISERROR(SEARCH(""–"",x))),x&amp;""–""&amp;REGEXEXTRACT(x,""[0-9]+$""),x)),"""")"),"")</f>
        <v/>
      </c>
      <c r="G1637" s="163"/>
      <c r="H16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Helper'!$F$5:$F$3004,"""")&lt;&gt;""""),ROWS(H$5:H1637)),"""")"),"")</f>
        <v/>
      </c>
    </row>
    <row r="1638" ht="15.75" customHeight="1">
      <c r="A16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Helper'!$F$5:$F$3004,"""")&lt;&gt;""""),ROWS(A$5:A1638)),"""")"),"")</f>
        <v/>
      </c>
      <c r="B16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Helper'!$F$5:$F$3004,"""")&lt;&gt;""""),ROWS(B$5:B1638)),"""")"),"")</f>
        <v/>
      </c>
      <c r="C16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Helper'!$F$5:$F$3004,"""")&lt;&gt;""""),ROWS(C$5:C1638)),"""")"),"")</f>
        <v/>
      </c>
      <c r="D16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Helper'!$F$5:$F$3004,"""")&lt;&gt;""""),ROWS(D$5:D1638)),"""")"),"")</f>
        <v/>
      </c>
      <c r="E16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Helper'!$F$5:$F$3004,"""")&lt;&gt;""""),ROWS(E$5:E1638)),"""")"),"")</f>
        <v/>
      </c>
      <c r="F16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Helper'!$F$5:$F$3004,"""")&lt;&gt;""""),ROWS(F$5:F1638)),IF(AND(LEFT(x,5)=""Pag"&amp;"e "",ISERROR(SEARCH(""–"",x))),x&amp;""–""&amp;REGEXEXTRACT(x,""[0-9]+$""),x)),"""")"),"")</f>
        <v/>
      </c>
      <c r="G1638" s="163"/>
      <c r="H16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Helper'!$F$5:$F$3004,"""")&lt;&gt;""""),ROWS(H$5:H1638)),"""")"),"")</f>
        <v/>
      </c>
    </row>
    <row r="1639" ht="15.75" customHeight="1">
      <c r="A16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Helper'!$F$5:$F$3004,"""")&lt;&gt;""""),ROWS(A$5:A1639)),"""")"),"")</f>
        <v/>
      </c>
      <c r="B16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Helper'!$F$5:$F$3004,"""")&lt;&gt;""""),ROWS(B$5:B1639)),"""")"),"")</f>
        <v/>
      </c>
      <c r="C16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Helper'!$F$5:$F$3004,"""")&lt;&gt;""""),ROWS(C$5:C1639)),"""")"),"")</f>
        <v/>
      </c>
      <c r="D16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Helper'!$F$5:$F$3004,"""")&lt;&gt;""""),ROWS(D$5:D1639)),"""")"),"")</f>
        <v/>
      </c>
      <c r="E16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Helper'!$F$5:$F$3004,"""")&lt;&gt;""""),ROWS(E$5:E1639)),"""")"),"")</f>
        <v/>
      </c>
      <c r="F16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Helper'!$F$5:$F$3004,"""")&lt;&gt;""""),ROWS(F$5:F1639)),IF(AND(LEFT(x,5)=""Pag"&amp;"e "",ISERROR(SEARCH(""–"",x))),x&amp;""–""&amp;REGEXEXTRACT(x,""[0-9]+$""),x)),"""")"),"")</f>
        <v/>
      </c>
      <c r="G1639" s="163"/>
      <c r="H16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Helper'!$F$5:$F$3004,"""")&lt;&gt;""""),ROWS(H$5:H1639)),"""")"),"")</f>
        <v/>
      </c>
    </row>
    <row r="1640" ht="15.75" customHeight="1">
      <c r="A16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Helper'!$F$5:$F$3004,"""")&lt;&gt;""""),ROWS(A$5:A1640)),"""")"),"")</f>
        <v/>
      </c>
      <c r="B16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Helper'!$F$5:$F$3004,"""")&lt;&gt;""""),ROWS(B$5:B1640)),"""")"),"")</f>
        <v/>
      </c>
      <c r="C16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Helper'!$F$5:$F$3004,"""")&lt;&gt;""""),ROWS(C$5:C1640)),"""")"),"")</f>
        <v/>
      </c>
      <c r="D16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Helper'!$F$5:$F$3004,"""")&lt;&gt;""""),ROWS(D$5:D1640)),"""")"),"")</f>
        <v/>
      </c>
      <c r="E16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Helper'!$F$5:$F$3004,"""")&lt;&gt;""""),ROWS(E$5:E1640)),"""")"),"")</f>
        <v/>
      </c>
      <c r="F16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Helper'!$F$5:$F$3004,"""")&lt;&gt;""""),ROWS(F$5:F1640)),IF(AND(LEFT(x,5)=""Pag"&amp;"e "",ISERROR(SEARCH(""–"",x))),x&amp;""–""&amp;REGEXEXTRACT(x,""[0-9]+$""),x)),"""")"),"")</f>
        <v/>
      </c>
      <c r="G1640" s="163"/>
      <c r="H16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Helper'!$F$5:$F$3004,"""")&lt;&gt;""""),ROWS(H$5:H1640)),"""")"),"")</f>
        <v/>
      </c>
    </row>
    <row r="1641" ht="15.75" customHeight="1">
      <c r="A16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Helper'!$F$5:$F$3004,"""")&lt;&gt;""""),ROWS(A$5:A1641)),"""")"),"")</f>
        <v/>
      </c>
      <c r="B16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Helper'!$F$5:$F$3004,"""")&lt;&gt;""""),ROWS(B$5:B1641)),"""")"),"")</f>
        <v/>
      </c>
      <c r="C16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Helper'!$F$5:$F$3004,"""")&lt;&gt;""""),ROWS(C$5:C1641)),"""")"),"")</f>
        <v/>
      </c>
      <c r="D16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Helper'!$F$5:$F$3004,"""")&lt;&gt;""""),ROWS(D$5:D1641)),"""")"),"")</f>
        <v/>
      </c>
      <c r="E16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Helper'!$F$5:$F$3004,"""")&lt;&gt;""""),ROWS(E$5:E1641)),"""")"),"")</f>
        <v/>
      </c>
      <c r="F16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Helper'!$F$5:$F$3004,"""")&lt;&gt;""""),ROWS(F$5:F1641)),IF(AND(LEFT(x,5)=""Pag"&amp;"e "",ISERROR(SEARCH(""–"",x))),x&amp;""–""&amp;REGEXEXTRACT(x,""[0-9]+$""),x)),"""")"),"")</f>
        <v/>
      </c>
      <c r="G1641" s="163"/>
      <c r="H16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Helper'!$F$5:$F$3004,"""")&lt;&gt;""""),ROWS(H$5:H1641)),"""")"),"")</f>
        <v/>
      </c>
    </row>
    <row r="1642" ht="15.75" customHeight="1">
      <c r="A16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Helper'!$F$5:$F$3004,"""")&lt;&gt;""""),ROWS(A$5:A1642)),"""")"),"")</f>
        <v/>
      </c>
      <c r="B16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Helper'!$F$5:$F$3004,"""")&lt;&gt;""""),ROWS(B$5:B1642)),"""")"),"")</f>
        <v/>
      </c>
      <c r="C16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Helper'!$F$5:$F$3004,"""")&lt;&gt;""""),ROWS(C$5:C1642)),"""")"),"")</f>
        <v/>
      </c>
      <c r="D16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Helper'!$F$5:$F$3004,"""")&lt;&gt;""""),ROWS(D$5:D1642)),"""")"),"")</f>
        <v/>
      </c>
      <c r="E16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Helper'!$F$5:$F$3004,"""")&lt;&gt;""""),ROWS(E$5:E1642)),"""")"),"")</f>
        <v/>
      </c>
      <c r="F16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Helper'!$F$5:$F$3004,"""")&lt;&gt;""""),ROWS(F$5:F1642)),IF(AND(LEFT(x,5)=""Pag"&amp;"e "",ISERROR(SEARCH(""–"",x))),x&amp;""–""&amp;REGEXEXTRACT(x,""[0-9]+$""),x)),"""")"),"")</f>
        <v/>
      </c>
      <c r="G1642" s="163"/>
      <c r="H16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Helper'!$F$5:$F$3004,"""")&lt;&gt;""""),ROWS(H$5:H1642)),"""")"),"")</f>
        <v/>
      </c>
    </row>
    <row r="1643" ht="15.75" customHeight="1">
      <c r="A16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Helper'!$F$5:$F$3004,"""")&lt;&gt;""""),ROWS(A$5:A1643)),"""")"),"")</f>
        <v/>
      </c>
      <c r="B16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Helper'!$F$5:$F$3004,"""")&lt;&gt;""""),ROWS(B$5:B1643)),"""")"),"")</f>
        <v/>
      </c>
      <c r="C16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Helper'!$F$5:$F$3004,"""")&lt;&gt;""""),ROWS(C$5:C1643)),"""")"),"")</f>
        <v/>
      </c>
      <c r="D16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Helper'!$F$5:$F$3004,"""")&lt;&gt;""""),ROWS(D$5:D1643)),"""")"),"")</f>
        <v/>
      </c>
      <c r="E16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Helper'!$F$5:$F$3004,"""")&lt;&gt;""""),ROWS(E$5:E1643)),"""")"),"")</f>
        <v/>
      </c>
      <c r="F16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Helper'!$F$5:$F$3004,"""")&lt;&gt;""""),ROWS(F$5:F1643)),IF(AND(LEFT(x,5)=""Pag"&amp;"e "",ISERROR(SEARCH(""–"",x))),x&amp;""–""&amp;REGEXEXTRACT(x,""[0-9]+$""),x)),"""")"),"")</f>
        <v/>
      </c>
      <c r="G1643" s="163"/>
      <c r="H16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Helper'!$F$5:$F$3004,"""")&lt;&gt;""""),ROWS(H$5:H1643)),"""")"),"")</f>
        <v/>
      </c>
    </row>
    <row r="1644" ht="15.75" customHeight="1">
      <c r="A16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Helper'!$F$5:$F$3004,"""")&lt;&gt;""""),ROWS(A$5:A1644)),"""")"),"")</f>
        <v/>
      </c>
      <c r="B16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Helper'!$F$5:$F$3004,"""")&lt;&gt;""""),ROWS(B$5:B1644)),"""")"),"")</f>
        <v/>
      </c>
      <c r="C16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Helper'!$F$5:$F$3004,"""")&lt;&gt;""""),ROWS(C$5:C1644)),"""")"),"")</f>
        <v/>
      </c>
      <c r="D16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Helper'!$F$5:$F$3004,"""")&lt;&gt;""""),ROWS(D$5:D1644)),"""")"),"")</f>
        <v/>
      </c>
      <c r="E16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Helper'!$F$5:$F$3004,"""")&lt;&gt;""""),ROWS(E$5:E1644)),"""")"),"")</f>
        <v/>
      </c>
      <c r="F16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Helper'!$F$5:$F$3004,"""")&lt;&gt;""""),ROWS(F$5:F1644)),IF(AND(LEFT(x,5)=""Pag"&amp;"e "",ISERROR(SEARCH(""–"",x))),x&amp;""–""&amp;REGEXEXTRACT(x,""[0-9]+$""),x)),"""")"),"")</f>
        <v/>
      </c>
      <c r="G1644" s="163"/>
      <c r="H16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Helper'!$F$5:$F$3004,"""")&lt;&gt;""""),ROWS(H$5:H1644)),"""")"),"")</f>
        <v/>
      </c>
    </row>
    <row r="1645" ht="15.75" customHeight="1">
      <c r="A16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Helper'!$F$5:$F$3004,"""")&lt;&gt;""""),ROWS(A$5:A1645)),"""")"),"")</f>
        <v/>
      </c>
      <c r="B16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Helper'!$F$5:$F$3004,"""")&lt;&gt;""""),ROWS(B$5:B1645)),"""")"),"")</f>
        <v/>
      </c>
      <c r="C16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Helper'!$F$5:$F$3004,"""")&lt;&gt;""""),ROWS(C$5:C1645)),"""")"),"")</f>
        <v/>
      </c>
      <c r="D16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Helper'!$F$5:$F$3004,"""")&lt;&gt;""""),ROWS(D$5:D1645)),"""")"),"")</f>
        <v/>
      </c>
      <c r="E16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Helper'!$F$5:$F$3004,"""")&lt;&gt;""""),ROWS(E$5:E1645)),"""")"),"")</f>
        <v/>
      </c>
      <c r="F16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Helper'!$F$5:$F$3004,"""")&lt;&gt;""""),ROWS(F$5:F1645)),IF(AND(LEFT(x,5)=""Pag"&amp;"e "",ISERROR(SEARCH(""–"",x))),x&amp;""–""&amp;REGEXEXTRACT(x,""[0-9]+$""),x)),"""")"),"")</f>
        <v/>
      </c>
      <c r="G1645" s="163"/>
      <c r="H16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Helper'!$F$5:$F$3004,"""")&lt;&gt;""""),ROWS(H$5:H1645)),"""")"),"")</f>
        <v/>
      </c>
    </row>
    <row r="1646" ht="15.75" customHeight="1">
      <c r="A16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Helper'!$F$5:$F$3004,"""")&lt;&gt;""""),ROWS(A$5:A1646)),"""")"),"")</f>
        <v/>
      </c>
      <c r="B16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Helper'!$F$5:$F$3004,"""")&lt;&gt;""""),ROWS(B$5:B1646)),"""")"),"")</f>
        <v/>
      </c>
      <c r="C16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Helper'!$F$5:$F$3004,"""")&lt;&gt;""""),ROWS(C$5:C1646)),"""")"),"")</f>
        <v/>
      </c>
      <c r="D16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Helper'!$F$5:$F$3004,"""")&lt;&gt;""""),ROWS(D$5:D1646)),"""")"),"")</f>
        <v/>
      </c>
      <c r="E16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Helper'!$F$5:$F$3004,"""")&lt;&gt;""""),ROWS(E$5:E1646)),"""")"),"")</f>
        <v/>
      </c>
      <c r="F16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Helper'!$F$5:$F$3004,"""")&lt;&gt;""""),ROWS(F$5:F1646)),IF(AND(LEFT(x,5)=""Pag"&amp;"e "",ISERROR(SEARCH(""–"",x))),x&amp;""–""&amp;REGEXEXTRACT(x,""[0-9]+$""),x)),"""")"),"")</f>
        <v/>
      </c>
      <c r="G1646" s="163"/>
      <c r="H16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Helper'!$F$5:$F$3004,"""")&lt;&gt;""""),ROWS(H$5:H1646)),"""")"),"")</f>
        <v/>
      </c>
    </row>
    <row r="1647" ht="15.75" customHeight="1">
      <c r="A16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Helper'!$F$5:$F$3004,"""")&lt;&gt;""""),ROWS(A$5:A1647)),"""")"),"")</f>
        <v/>
      </c>
      <c r="B16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Helper'!$F$5:$F$3004,"""")&lt;&gt;""""),ROWS(B$5:B1647)),"""")"),"")</f>
        <v/>
      </c>
      <c r="C16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Helper'!$F$5:$F$3004,"""")&lt;&gt;""""),ROWS(C$5:C1647)),"""")"),"")</f>
        <v/>
      </c>
      <c r="D16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Helper'!$F$5:$F$3004,"""")&lt;&gt;""""),ROWS(D$5:D1647)),"""")"),"")</f>
        <v/>
      </c>
      <c r="E16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Helper'!$F$5:$F$3004,"""")&lt;&gt;""""),ROWS(E$5:E1647)),"""")"),"")</f>
        <v/>
      </c>
      <c r="F16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Helper'!$F$5:$F$3004,"""")&lt;&gt;""""),ROWS(F$5:F1647)),IF(AND(LEFT(x,5)=""Pag"&amp;"e "",ISERROR(SEARCH(""–"",x))),x&amp;""–""&amp;REGEXEXTRACT(x,""[0-9]+$""),x)),"""")"),"")</f>
        <v/>
      </c>
      <c r="G1647" s="163"/>
      <c r="H16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Helper'!$F$5:$F$3004,"""")&lt;&gt;""""),ROWS(H$5:H1647)),"""")"),"")</f>
        <v/>
      </c>
    </row>
    <row r="1648" ht="15.75" customHeight="1">
      <c r="A16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Helper'!$F$5:$F$3004,"""")&lt;&gt;""""),ROWS(A$5:A1648)),"""")"),"")</f>
        <v/>
      </c>
      <c r="B16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Helper'!$F$5:$F$3004,"""")&lt;&gt;""""),ROWS(B$5:B1648)),"""")"),"")</f>
        <v/>
      </c>
      <c r="C16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Helper'!$F$5:$F$3004,"""")&lt;&gt;""""),ROWS(C$5:C1648)),"""")"),"")</f>
        <v/>
      </c>
      <c r="D16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Helper'!$F$5:$F$3004,"""")&lt;&gt;""""),ROWS(D$5:D1648)),"""")"),"")</f>
        <v/>
      </c>
      <c r="E16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Helper'!$F$5:$F$3004,"""")&lt;&gt;""""),ROWS(E$5:E1648)),"""")"),"")</f>
        <v/>
      </c>
      <c r="F16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Helper'!$F$5:$F$3004,"""")&lt;&gt;""""),ROWS(F$5:F1648)),IF(AND(LEFT(x,5)=""Pag"&amp;"e "",ISERROR(SEARCH(""–"",x))),x&amp;""–""&amp;REGEXEXTRACT(x,""[0-9]+$""),x)),"""")"),"")</f>
        <v/>
      </c>
      <c r="G1648" s="163"/>
      <c r="H16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Helper'!$F$5:$F$3004,"""")&lt;&gt;""""),ROWS(H$5:H1648)),"""")"),"")</f>
        <v/>
      </c>
    </row>
    <row r="1649" ht="15.75" customHeight="1">
      <c r="A16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Helper'!$F$5:$F$3004,"""")&lt;&gt;""""),ROWS(A$5:A1649)),"""")"),"")</f>
        <v/>
      </c>
      <c r="B16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Helper'!$F$5:$F$3004,"""")&lt;&gt;""""),ROWS(B$5:B1649)),"""")"),"")</f>
        <v/>
      </c>
      <c r="C16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Helper'!$F$5:$F$3004,"""")&lt;&gt;""""),ROWS(C$5:C1649)),"""")"),"")</f>
        <v/>
      </c>
      <c r="D16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Helper'!$F$5:$F$3004,"""")&lt;&gt;""""),ROWS(D$5:D1649)),"""")"),"")</f>
        <v/>
      </c>
      <c r="E16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Helper'!$F$5:$F$3004,"""")&lt;&gt;""""),ROWS(E$5:E1649)),"""")"),"")</f>
        <v/>
      </c>
      <c r="F16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Helper'!$F$5:$F$3004,"""")&lt;&gt;""""),ROWS(F$5:F1649)),IF(AND(LEFT(x,5)=""Pag"&amp;"e "",ISERROR(SEARCH(""–"",x))),x&amp;""–""&amp;REGEXEXTRACT(x,""[0-9]+$""),x)),"""")"),"")</f>
        <v/>
      </c>
      <c r="G1649" s="163"/>
      <c r="H16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Helper'!$F$5:$F$3004,"""")&lt;&gt;""""),ROWS(H$5:H1649)),"""")"),"")</f>
        <v/>
      </c>
    </row>
    <row r="1650" ht="15.75" customHeight="1">
      <c r="A16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Helper'!$F$5:$F$3004,"""")&lt;&gt;""""),ROWS(A$5:A1650)),"""")"),"")</f>
        <v/>
      </c>
      <c r="B16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Helper'!$F$5:$F$3004,"""")&lt;&gt;""""),ROWS(B$5:B1650)),"""")"),"")</f>
        <v/>
      </c>
      <c r="C16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Helper'!$F$5:$F$3004,"""")&lt;&gt;""""),ROWS(C$5:C1650)),"""")"),"")</f>
        <v/>
      </c>
      <c r="D16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Helper'!$F$5:$F$3004,"""")&lt;&gt;""""),ROWS(D$5:D1650)),"""")"),"")</f>
        <v/>
      </c>
      <c r="E16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Helper'!$F$5:$F$3004,"""")&lt;&gt;""""),ROWS(E$5:E1650)),"""")"),"")</f>
        <v/>
      </c>
      <c r="F16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Helper'!$F$5:$F$3004,"""")&lt;&gt;""""),ROWS(F$5:F1650)),IF(AND(LEFT(x,5)=""Pag"&amp;"e "",ISERROR(SEARCH(""–"",x))),x&amp;""–""&amp;REGEXEXTRACT(x,""[0-9]+$""),x)),"""")"),"")</f>
        <v/>
      </c>
      <c r="G1650" s="163"/>
      <c r="H16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Helper'!$F$5:$F$3004,"""")&lt;&gt;""""),ROWS(H$5:H1650)),"""")"),"")</f>
        <v/>
      </c>
    </row>
    <row r="1651" ht="15.75" customHeight="1">
      <c r="A16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Helper'!$F$5:$F$3004,"""")&lt;&gt;""""),ROWS(A$5:A1651)),"""")"),"")</f>
        <v/>
      </c>
      <c r="B16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Helper'!$F$5:$F$3004,"""")&lt;&gt;""""),ROWS(B$5:B1651)),"""")"),"")</f>
        <v/>
      </c>
      <c r="C16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Helper'!$F$5:$F$3004,"""")&lt;&gt;""""),ROWS(C$5:C1651)),"""")"),"")</f>
        <v/>
      </c>
      <c r="D16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Helper'!$F$5:$F$3004,"""")&lt;&gt;""""),ROWS(D$5:D1651)),"""")"),"")</f>
        <v/>
      </c>
      <c r="E16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Helper'!$F$5:$F$3004,"""")&lt;&gt;""""),ROWS(E$5:E1651)),"""")"),"")</f>
        <v/>
      </c>
      <c r="F16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Helper'!$F$5:$F$3004,"""")&lt;&gt;""""),ROWS(F$5:F1651)),IF(AND(LEFT(x,5)=""Pag"&amp;"e "",ISERROR(SEARCH(""–"",x))),x&amp;""–""&amp;REGEXEXTRACT(x,""[0-9]+$""),x)),"""")"),"")</f>
        <v/>
      </c>
      <c r="G1651" s="163"/>
      <c r="H16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Helper'!$F$5:$F$3004,"""")&lt;&gt;""""),ROWS(H$5:H1651)),"""")"),"")</f>
        <v/>
      </c>
    </row>
    <row r="1652" ht="15.75" customHeight="1">
      <c r="A16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Helper'!$F$5:$F$3004,"""")&lt;&gt;""""),ROWS(A$5:A1652)),"""")"),"")</f>
        <v/>
      </c>
      <c r="B16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Helper'!$F$5:$F$3004,"""")&lt;&gt;""""),ROWS(B$5:B1652)),"""")"),"")</f>
        <v/>
      </c>
      <c r="C16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Helper'!$F$5:$F$3004,"""")&lt;&gt;""""),ROWS(C$5:C1652)),"""")"),"")</f>
        <v/>
      </c>
      <c r="D16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Helper'!$F$5:$F$3004,"""")&lt;&gt;""""),ROWS(D$5:D1652)),"""")"),"")</f>
        <v/>
      </c>
      <c r="E16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Helper'!$F$5:$F$3004,"""")&lt;&gt;""""),ROWS(E$5:E1652)),"""")"),"")</f>
        <v/>
      </c>
      <c r="F16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Helper'!$F$5:$F$3004,"""")&lt;&gt;""""),ROWS(F$5:F1652)),IF(AND(LEFT(x,5)=""Pag"&amp;"e "",ISERROR(SEARCH(""–"",x))),x&amp;""–""&amp;REGEXEXTRACT(x,""[0-9]+$""),x)),"""")"),"")</f>
        <v/>
      </c>
      <c r="G1652" s="163"/>
      <c r="H16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Helper'!$F$5:$F$3004,"""")&lt;&gt;""""),ROWS(H$5:H1652)),"""")"),"")</f>
        <v/>
      </c>
    </row>
    <row r="1653" ht="15.75" customHeight="1">
      <c r="A16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Helper'!$F$5:$F$3004,"""")&lt;&gt;""""),ROWS(A$5:A1653)),"""")"),"")</f>
        <v/>
      </c>
      <c r="B16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Helper'!$F$5:$F$3004,"""")&lt;&gt;""""),ROWS(B$5:B1653)),"""")"),"")</f>
        <v/>
      </c>
      <c r="C16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Helper'!$F$5:$F$3004,"""")&lt;&gt;""""),ROWS(C$5:C1653)),"""")"),"")</f>
        <v/>
      </c>
      <c r="D16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Helper'!$F$5:$F$3004,"""")&lt;&gt;""""),ROWS(D$5:D1653)),"""")"),"")</f>
        <v/>
      </c>
      <c r="E16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Helper'!$F$5:$F$3004,"""")&lt;&gt;""""),ROWS(E$5:E1653)),"""")"),"")</f>
        <v/>
      </c>
      <c r="F16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Helper'!$F$5:$F$3004,"""")&lt;&gt;""""),ROWS(F$5:F1653)),IF(AND(LEFT(x,5)=""Pag"&amp;"e "",ISERROR(SEARCH(""–"",x))),x&amp;""–""&amp;REGEXEXTRACT(x,""[0-9]+$""),x)),"""")"),"")</f>
        <v/>
      </c>
      <c r="G1653" s="163"/>
      <c r="H16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Helper'!$F$5:$F$3004,"""")&lt;&gt;""""),ROWS(H$5:H1653)),"""")"),"")</f>
        <v/>
      </c>
    </row>
    <row r="1654" ht="15.75" customHeight="1">
      <c r="A16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Helper'!$F$5:$F$3004,"""")&lt;&gt;""""),ROWS(A$5:A1654)),"""")"),"")</f>
        <v/>
      </c>
      <c r="B16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Helper'!$F$5:$F$3004,"""")&lt;&gt;""""),ROWS(B$5:B1654)),"""")"),"")</f>
        <v/>
      </c>
      <c r="C16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Helper'!$F$5:$F$3004,"""")&lt;&gt;""""),ROWS(C$5:C1654)),"""")"),"")</f>
        <v/>
      </c>
      <c r="D16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Helper'!$F$5:$F$3004,"""")&lt;&gt;""""),ROWS(D$5:D1654)),"""")"),"")</f>
        <v/>
      </c>
      <c r="E16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Helper'!$F$5:$F$3004,"""")&lt;&gt;""""),ROWS(E$5:E1654)),"""")"),"")</f>
        <v/>
      </c>
      <c r="F16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Helper'!$F$5:$F$3004,"""")&lt;&gt;""""),ROWS(F$5:F1654)),IF(AND(LEFT(x,5)=""Pag"&amp;"e "",ISERROR(SEARCH(""–"",x))),x&amp;""–""&amp;REGEXEXTRACT(x,""[0-9]+$""),x)),"""")"),"")</f>
        <v/>
      </c>
      <c r="G1654" s="163"/>
      <c r="H16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Helper'!$F$5:$F$3004,"""")&lt;&gt;""""),ROWS(H$5:H1654)),"""")"),"")</f>
        <v/>
      </c>
    </row>
    <row r="1655" ht="15.75" customHeight="1">
      <c r="A16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Helper'!$F$5:$F$3004,"""")&lt;&gt;""""),ROWS(A$5:A1655)),"""")"),"")</f>
        <v/>
      </c>
      <c r="B16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Helper'!$F$5:$F$3004,"""")&lt;&gt;""""),ROWS(B$5:B1655)),"""")"),"")</f>
        <v/>
      </c>
      <c r="C16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Helper'!$F$5:$F$3004,"""")&lt;&gt;""""),ROWS(C$5:C1655)),"""")"),"")</f>
        <v/>
      </c>
      <c r="D16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Helper'!$F$5:$F$3004,"""")&lt;&gt;""""),ROWS(D$5:D1655)),"""")"),"")</f>
        <v/>
      </c>
      <c r="E16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Helper'!$F$5:$F$3004,"""")&lt;&gt;""""),ROWS(E$5:E1655)),"""")"),"")</f>
        <v/>
      </c>
      <c r="F16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Helper'!$F$5:$F$3004,"""")&lt;&gt;""""),ROWS(F$5:F1655)),IF(AND(LEFT(x,5)=""Pag"&amp;"e "",ISERROR(SEARCH(""–"",x))),x&amp;""–""&amp;REGEXEXTRACT(x,""[0-9]+$""),x)),"""")"),"")</f>
        <v/>
      </c>
      <c r="G1655" s="163"/>
      <c r="H16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Helper'!$F$5:$F$3004,"""")&lt;&gt;""""),ROWS(H$5:H1655)),"""")"),"")</f>
        <v/>
      </c>
    </row>
    <row r="1656" ht="15.75" customHeight="1">
      <c r="A16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Helper'!$F$5:$F$3004,"""")&lt;&gt;""""),ROWS(A$5:A1656)),"""")"),"")</f>
        <v/>
      </c>
      <c r="B16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Helper'!$F$5:$F$3004,"""")&lt;&gt;""""),ROWS(B$5:B1656)),"""")"),"")</f>
        <v/>
      </c>
      <c r="C16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Helper'!$F$5:$F$3004,"""")&lt;&gt;""""),ROWS(C$5:C1656)),"""")"),"")</f>
        <v/>
      </c>
      <c r="D16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Helper'!$F$5:$F$3004,"""")&lt;&gt;""""),ROWS(D$5:D1656)),"""")"),"")</f>
        <v/>
      </c>
      <c r="E16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Helper'!$F$5:$F$3004,"""")&lt;&gt;""""),ROWS(E$5:E1656)),"""")"),"")</f>
        <v/>
      </c>
      <c r="F16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Helper'!$F$5:$F$3004,"""")&lt;&gt;""""),ROWS(F$5:F1656)),IF(AND(LEFT(x,5)=""Pag"&amp;"e "",ISERROR(SEARCH(""–"",x))),x&amp;""–""&amp;REGEXEXTRACT(x,""[0-9]+$""),x)),"""")"),"")</f>
        <v/>
      </c>
      <c r="G1656" s="163"/>
      <c r="H16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Helper'!$F$5:$F$3004,"""")&lt;&gt;""""),ROWS(H$5:H1656)),"""")"),"")</f>
        <v/>
      </c>
    </row>
    <row r="1657" ht="15.75" customHeight="1">
      <c r="A16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Helper'!$F$5:$F$3004,"""")&lt;&gt;""""),ROWS(A$5:A1657)),"""")"),"")</f>
        <v/>
      </c>
      <c r="B16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Helper'!$F$5:$F$3004,"""")&lt;&gt;""""),ROWS(B$5:B1657)),"""")"),"")</f>
        <v/>
      </c>
      <c r="C16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Helper'!$F$5:$F$3004,"""")&lt;&gt;""""),ROWS(C$5:C1657)),"""")"),"")</f>
        <v/>
      </c>
      <c r="D16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Helper'!$F$5:$F$3004,"""")&lt;&gt;""""),ROWS(D$5:D1657)),"""")"),"")</f>
        <v/>
      </c>
      <c r="E16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Helper'!$F$5:$F$3004,"""")&lt;&gt;""""),ROWS(E$5:E1657)),"""")"),"")</f>
        <v/>
      </c>
      <c r="F16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Helper'!$F$5:$F$3004,"""")&lt;&gt;""""),ROWS(F$5:F1657)),IF(AND(LEFT(x,5)=""Pag"&amp;"e "",ISERROR(SEARCH(""–"",x))),x&amp;""–""&amp;REGEXEXTRACT(x,""[0-9]+$""),x)),"""")"),"")</f>
        <v/>
      </c>
      <c r="G1657" s="163"/>
      <c r="H16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Helper'!$F$5:$F$3004,"""")&lt;&gt;""""),ROWS(H$5:H1657)),"""")"),"")</f>
        <v/>
      </c>
    </row>
    <row r="1658" ht="15.75" customHeight="1">
      <c r="A16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Helper'!$F$5:$F$3004,"""")&lt;&gt;""""),ROWS(A$5:A1658)),"""")"),"")</f>
        <v/>
      </c>
      <c r="B16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Helper'!$F$5:$F$3004,"""")&lt;&gt;""""),ROWS(B$5:B1658)),"""")"),"")</f>
        <v/>
      </c>
      <c r="C16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Helper'!$F$5:$F$3004,"""")&lt;&gt;""""),ROWS(C$5:C1658)),"""")"),"")</f>
        <v/>
      </c>
      <c r="D16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Helper'!$F$5:$F$3004,"""")&lt;&gt;""""),ROWS(D$5:D1658)),"""")"),"")</f>
        <v/>
      </c>
      <c r="E16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Helper'!$F$5:$F$3004,"""")&lt;&gt;""""),ROWS(E$5:E1658)),"""")"),"")</f>
        <v/>
      </c>
      <c r="F16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Helper'!$F$5:$F$3004,"""")&lt;&gt;""""),ROWS(F$5:F1658)),IF(AND(LEFT(x,5)=""Pag"&amp;"e "",ISERROR(SEARCH(""–"",x))),x&amp;""–""&amp;REGEXEXTRACT(x,""[0-9]+$""),x)),"""")"),"")</f>
        <v/>
      </c>
      <c r="G1658" s="163"/>
      <c r="H16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Helper'!$F$5:$F$3004,"""")&lt;&gt;""""),ROWS(H$5:H1658)),"""")"),"")</f>
        <v/>
      </c>
    </row>
    <row r="1659" ht="15.75" customHeight="1">
      <c r="A16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Helper'!$F$5:$F$3004,"""")&lt;&gt;""""),ROWS(A$5:A1659)),"""")"),"")</f>
        <v/>
      </c>
      <c r="B16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Helper'!$F$5:$F$3004,"""")&lt;&gt;""""),ROWS(B$5:B1659)),"""")"),"")</f>
        <v/>
      </c>
      <c r="C16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Helper'!$F$5:$F$3004,"""")&lt;&gt;""""),ROWS(C$5:C1659)),"""")"),"")</f>
        <v/>
      </c>
      <c r="D16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Helper'!$F$5:$F$3004,"""")&lt;&gt;""""),ROWS(D$5:D1659)),"""")"),"")</f>
        <v/>
      </c>
      <c r="E16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Helper'!$F$5:$F$3004,"""")&lt;&gt;""""),ROWS(E$5:E1659)),"""")"),"")</f>
        <v/>
      </c>
      <c r="F16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Helper'!$F$5:$F$3004,"""")&lt;&gt;""""),ROWS(F$5:F1659)),IF(AND(LEFT(x,5)=""Pag"&amp;"e "",ISERROR(SEARCH(""–"",x))),x&amp;""–""&amp;REGEXEXTRACT(x,""[0-9]+$""),x)),"""")"),"")</f>
        <v/>
      </c>
      <c r="G1659" s="163"/>
      <c r="H16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Helper'!$F$5:$F$3004,"""")&lt;&gt;""""),ROWS(H$5:H1659)),"""")"),"")</f>
        <v/>
      </c>
    </row>
    <row r="1660" ht="15.75" customHeight="1">
      <c r="A16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Helper'!$F$5:$F$3004,"""")&lt;&gt;""""),ROWS(A$5:A1660)),"""")"),"")</f>
        <v/>
      </c>
      <c r="B16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Helper'!$F$5:$F$3004,"""")&lt;&gt;""""),ROWS(B$5:B1660)),"""")"),"")</f>
        <v/>
      </c>
      <c r="C16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Helper'!$F$5:$F$3004,"""")&lt;&gt;""""),ROWS(C$5:C1660)),"""")"),"")</f>
        <v/>
      </c>
      <c r="D16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Helper'!$F$5:$F$3004,"""")&lt;&gt;""""),ROWS(D$5:D1660)),"""")"),"")</f>
        <v/>
      </c>
      <c r="E16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Helper'!$F$5:$F$3004,"""")&lt;&gt;""""),ROWS(E$5:E1660)),"""")"),"")</f>
        <v/>
      </c>
      <c r="F16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Helper'!$F$5:$F$3004,"""")&lt;&gt;""""),ROWS(F$5:F1660)),IF(AND(LEFT(x,5)=""Pag"&amp;"e "",ISERROR(SEARCH(""–"",x))),x&amp;""–""&amp;REGEXEXTRACT(x,""[0-9]+$""),x)),"""")"),"")</f>
        <v/>
      </c>
      <c r="G1660" s="163"/>
      <c r="H16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Helper'!$F$5:$F$3004,"""")&lt;&gt;""""),ROWS(H$5:H1660)),"""")"),"")</f>
        <v/>
      </c>
    </row>
    <row r="1661" ht="15.75" customHeight="1">
      <c r="A16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Helper'!$F$5:$F$3004,"""")&lt;&gt;""""),ROWS(A$5:A1661)),"""")"),"")</f>
        <v/>
      </c>
      <c r="B16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Helper'!$F$5:$F$3004,"""")&lt;&gt;""""),ROWS(B$5:B1661)),"""")"),"")</f>
        <v/>
      </c>
      <c r="C16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Helper'!$F$5:$F$3004,"""")&lt;&gt;""""),ROWS(C$5:C1661)),"""")"),"")</f>
        <v/>
      </c>
      <c r="D16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Helper'!$F$5:$F$3004,"""")&lt;&gt;""""),ROWS(D$5:D1661)),"""")"),"")</f>
        <v/>
      </c>
      <c r="E16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Helper'!$F$5:$F$3004,"""")&lt;&gt;""""),ROWS(E$5:E1661)),"""")"),"")</f>
        <v/>
      </c>
      <c r="F16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Helper'!$F$5:$F$3004,"""")&lt;&gt;""""),ROWS(F$5:F1661)),IF(AND(LEFT(x,5)=""Pag"&amp;"e "",ISERROR(SEARCH(""–"",x))),x&amp;""–""&amp;REGEXEXTRACT(x,""[0-9]+$""),x)),"""")"),"")</f>
        <v/>
      </c>
      <c r="G1661" s="163"/>
      <c r="H16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Helper'!$F$5:$F$3004,"""")&lt;&gt;""""),ROWS(H$5:H1661)),"""")"),"")</f>
        <v/>
      </c>
    </row>
    <row r="1662" ht="15.75" customHeight="1">
      <c r="A16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Helper'!$F$5:$F$3004,"""")&lt;&gt;""""),ROWS(A$5:A1662)),"""")"),"")</f>
        <v/>
      </c>
      <c r="B16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Helper'!$F$5:$F$3004,"""")&lt;&gt;""""),ROWS(B$5:B1662)),"""")"),"")</f>
        <v/>
      </c>
      <c r="C16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Helper'!$F$5:$F$3004,"""")&lt;&gt;""""),ROWS(C$5:C1662)),"""")"),"")</f>
        <v/>
      </c>
      <c r="D16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Helper'!$F$5:$F$3004,"""")&lt;&gt;""""),ROWS(D$5:D1662)),"""")"),"")</f>
        <v/>
      </c>
      <c r="E16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Helper'!$F$5:$F$3004,"""")&lt;&gt;""""),ROWS(E$5:E1662)),"""")"),"")</f>
        <v/>
      </c>
      <c r="F16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Helper'!$F$5:$F$3004,"""")&lt;&gt;""""),ROWS(F$5:F1662)),IF(AND(LEFT(x,5)=""Pag"&amp;"e "",ISERROR(SEARCH(""–"",x))),x&amp;""–""&amp;REGEXEXTRACT(x,""[0-9]+$""),x)),"""")"),"")</f>
        <v/>
      </c>
      <c r="G1662" s="163"/>
      <c r="H16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Helper'!$F$5:$F$3004,"""")&lt;&gt;""""),ROWS(H$5:H1662)),"""")"),"")</f>
        <v/>
      </c>
    </row>
    <row r="1663" ht="15.75" customHeight="1">
      <c r="A16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Helper'!$F$5:$F$3004,"""")&lt;&gt;""""),ROWS(A$5:A1663)),"""")"),"")</f>
        <v/>
      </c>
      <c r="B16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Helper'!$F$5:$F$3004,"""")&lt;&gt;""""),ROWS(B$5:B1663)),"""")"),"")</f>
        <v/>
      </c>
      <c r="C16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Helper'!$F$5:$F$3004,"""")&lt;&gt;""""),ROWS(C$5:C1663)),"""")"),"")</f>
        <v/>
      </c>
      <c r="D16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Helper'!$F$5:$F$3004,"""")&lt;&gt;""""),ROWS(D$5:D1663)),"""")"),"")</f>
        <v/>
      </c>
      <c r="E16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Helper'!$F$5:$F$3004,"""")&lt;&gt;""""),ROWS(E$5:E1663)),"""")"),"")</f>
        <v/>
      </c>
      <c r="F16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Helper'!$F$5:$F$3004,"""")&lt;&gt;""""),ROWS(F$5:F1663)),IF(AND(LEFT(x,5)=""Pag"&amp;"e "",ISERROR(SEARCH(""–"",x))),x&amp;""–""&amp;REGEXEXTRACT(x,""[0-9]+$""),x)),"""")"),"")</f>
        <v/>
      </c>
      <c r="G1663" s="163"/>
      <c r="H16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Helper'!$F$5:$F$3004,"""")&lt;&gt;""""),ROWS(H$5:H1663)),"""")"),"")</f>
        <v/>
      </c>
    </row>
    <row r="1664" ht="15.75" customHeight="1">
      <c r="A16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Helper'!$F$5:$F$3004,"""")&lt;&gt;""""),ROWS(A$5:A1664)),"""")"),"")</f>
        <v/>
      </c>
      <c r="B16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Helper'!$F$5:$F$3004,"""")&lt;&gt;""""),ROWS(B$5:B1664)),"""")"),"")</f>
        <v/>
      </c>
      <c r="C16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Helper'!$F$5:$F$3004,"""")&lt;&gt;""""),ROWS(C$5:C1664)),"""")"),"")</f>
        <v/>
      </c>
      <c r="D16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Helper'!$F$5:$F$3004,"""")&lt;&gt;""""),ROWS(D$5:D1664)),"""")"),"")</f>
        <v/>
      </c>
      <c r="E16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Helper'!$F$5:$F$3004,"""")&lt;&gt;""""),ROWS(E$5:E1664)),"""")"),"")</f>
        <v/>
      </c>
      <c r="F16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Helper'!$F$5:$F$3004,"""")&lt;&gt;""""),ROWS(F$5:F1664)),IF(AND(LEFT(x,5)=""Pag"&amp;"e "",ISERROR(SEARCH(""–"",x))),x&amp;""–""&amp;REGEXEXTRACT(x,""[0-9]+$""),x)),"""")"),"")</f>
        <v/>
      </c>
      <c r="G1664" s="163"/>
      <c r="H16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Helper'!$F$5:$F$3004,"""")&lt;&gt;""""),ROWS(H$5:H1664)),"""")"),"")</f>
        <v/>
      </c>
    </row>
    <row r="1665" ht="15.75" customHeight="1">
      <c r="A16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Helper'!$F$5:$F$3004,"""")&lt;&gt;""""),ROWS(A$5:A1665)),"""")"),"")</f>
        <v/>
      </c>
      <c r="B16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Helper'!$F$5:$F$3004,"""")&lt;&gt;""""),ROWS(B$5:B1665)),"""")"),"")</f>
        <v/>
      </c>
      <c r="C16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Helper'!$F$5:$F$3004,"""")&lt;&gt;""""),ROWS(C$5:C1665)),"""")"),"")</f>
        <v/>
      </c>
      <c r="D16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Helper'!$F$5:$F$3004,"""")&lt;&gt;""""),ROWS(D$5:D1665)),"""")"),"")</f>
        <v/>
      </c>
      <c r="E16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Helper'!$F$5:$F$3004,"""")&lt;&gt;""""),ROWS(E$5:E1665)),"""")"),"")</f>
        <v/>
      </c>
      <c r="F16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Helper'!$F$5:$F$3004,"""")&lt;&gt;""""),ROWS(F$5:F1665)),IF(AND(LEFT(x,5)=""Pag"&amp;"e "",ISERROR(SEARCH(""–"",x))),x&amp;""–""&amp;REGEXEXTRACT(x,""[0-9]+$""),x)),"""")"),"")</f>
        <v/>
      </c>
      <c r="G1665" s="163"/>
      <c r="H16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Helper'!$F$5:$F$3004,"""")&lt;&gt;""""),ROWS(H$5:H1665)),"""")"),"")</f>
        <v/>
      </c>
    </row>
    <row r="1666" ht="15.75" customHeight="1">
      <c r="A16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Helper'!$F$5:$F$3004,"""")&lt;&gt;""""),ROWS(A$5:A1666)),"""")"),"")</f>
        <v/>
      </c>
      <c r="B16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Helper'!$F$5:$F$3004,"""")&lt;&gt;""""),ROWS(B$5:B1666)),"""")"),"")</f>
        <v/>
      </c>
      <c r="C16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Helper'!$F$5:$F$3004,"""")&lt;&gt;""""),ROWS(C$5:C1666)),"""")"),"")</f>
        <v/>
      </c>
      <c r="D16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Helper'!$F$5:$F$3004,"""")&lt;&gt;""""),ROWS(D$5:D1666)),"""")"),"")</f>
        <v/>
      </c>
      <c r="E16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Helper'!$F$5:$F$3004,"""")&lt;&gt;""""),ROWS(E$5:E1666)),"""")"),"")</f>
        <v/>
      </c>
      <c r="F16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Helper'!$F$5:$F$3004,"""")&lt;&gt;""""),ROWS(F$5:F1666)),IF(AND(LEFT(x,5)=""Pag"&amp;"e "",ISERROR(SEARCH(""–"",x))),x&amp;""–""&amp;REGEXEXTRACT(x,""[0-9]+$""),x)),"""")"),"")</f>
        <v/>
      </c>
      <c r="G1666" s="163"/>
      <c r="H16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Helper'!$F$5:$F$3004,"""")&lt;&gt;""""),ROWS(H$5:H1666)),"""")"),"")</f>
        <v/>
      </c>
    </row>
    <row r="1667" ht="15.75" customHeight="1">
      <c r="A16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Helper'!$F$5:$F$3004,"""")&lt;&gt;""""),ROWS(A$5:A1667)),"""")"),"")</f>
        <v/>
      </c>
      <c r="B16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Helper'!$F$5:$F$3004,"""")&lt;&gt;""""),ROWS(B$5:B1667)),"""")"),"")</f>
        <v/>
      </c>
      <c r="C16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Helper'!$F$5:$F$3004,"""")&lt;&gt;""""),ROWS(C$5:C1667)),"""")"),"")</f>
        <v/>
      </c>
      <c r="D16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Helper'!$F$5:$F$3004,"""")&lt;&gt;""""),ROWS(D$5:D1667)),"""")"),"")</f>
        <v/>
      </c>
      <c r="E16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Helper'!$F$5:$F$3004,"""")&lt;&gt;""""),ROWS(E$5:E1667)),"""")"),"")</f>
        <v/>
      </c>
      <c r="F16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Helper'!$F$5:$F$3004,"""")&lt;&gt;""""),ROWS(F$5:F1667)),IF(AND(LEFT(x,5)=""Pag"&amp;"e "",ISERROR(SEARCH(""–"",x))),x&amp;""–""&amp;REGEXEXTRACT(x,""[0-9]+$""),x)),"""")"),"")</f>
        <v/>
      </c>
      <c r="G1667" s="163"/>
      <c r="H16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Helper'!$F$5:$F$3004,"""")&lt;&gt;""""),ROWS(H$5:H1667)),"""")"),"")</f>
        <v/>
      </c>
    </row>
    <row r="1668" ht="15.75" customHeight="1">
      <c r="A16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Helper'!$F$5:$F$3004,"""")&lt;&gt;""""),ROWS(A$5:A1668)),"""")"),"")</f>
        <v/>
      </c>
      <c r="B16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Helper'!$F$5:$F$3004,"""")&lt;&gt;""""),ROWS(B$5:B1668)),"""")"),"")</f>
        <v/>
      </c>
      <c r="C16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Helper'!$F$5:$F$3004,"""")&lt;&gt;""""),ROWS(C$5:C1668)),"""")"),"")</f>
        <v/>
      </c>
      <c r="D16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Helper'!$F$5:$F$3004,"""")&lt;&gt;""""),ROWS(D$5:D1668)),"""")"),"")</f>
        <v/>
      </c>
      <c r="E16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Helper'!$F$5:$F$3004,"""")&lt;&gt;""""),ROWS(E$5:E1668)),"""")"),"")</f>
        <v/>
      </c>
      <c r="F16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Helper'!$F$5:$F$3004,"""")&lt;&gt;""""),ROWS(F$5:F1668)),IF(AND(LEFT(x,5)=""Pag"&amp;"e "",ISERROR(SEARCH(""–"",x))),x&amp;""–""&amp;REGEXEXTRACT(x,""[0-9]+$""),x)),"""")"),"")</f>
        <v/>
      </c>
      <c r="G1668" s="163"/>
      <c r="H16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Helper'!$F$5:$F$3004,"""")&lt;&gt;""""),ROWS(H$5:H1668)),"""")"),"")</f>
        <v/>
      </c>
    </row>
    <row r="1669" ht="15.75" customHeight="1">
      <c r="A16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Helper'!$F$5:$F$3004,"""")&lt;&gt;""""),ROWS(A$5:A1669)),"""")"),"")</f>
        <v/>
      </c>
      <c r="B16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Helper'!$F$5:$F$3004,"""")&lt;&gt;""""),ROWS(B$5:B1669)),"""")"),"")</f>
        <v/>
      </c>
      <c r="C16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Helper'!$F$5:$F$3004,"""")&lt;&gt;""""),ROWS(C$5:C1669)),"""")"),"")</f>
        <v/>
      </c>
      <c r="D16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Helper'!$F$5:$F$3004,"""")&lt;&gt;""""),ROWS(D$5:D1669)),"""")"),"")</f>
        <v/>
      </c>
      <c r="E16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Helper'!$F$5:$F$3004,"""")&lt;&gt;""""),ROWS(E$5:E1669)),"""")"),"")</f>
        <v/>
      </c>
      <c r="F16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Helper'!$F$5:$F$3004,"""")&lt;&gt;""""),ROWS(F$5:F1669)),IF(AND(LEFT(x,5)=""Pag"&amp;"e "",ISERROR(SEARCH(""–"",x))),x&amp;""–""&amp;REGEXEXTRACT(x,""[0-9]+$""),x)),"""")"),"")</f>
        <v/>
      </c>
      <c r="G1669" s="163"/>
      <c r="H16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Helper'!$F$5:$F$3004,"""")&lt;&gt;""""),ROWS(H$5:H1669)),"""")"),"")</f>
        <v/>
      </c>
    </row>
    <row r="1670" ht="15.75" customHeight="1">
      <c r="A16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Helper'!$F$5:$F$3004,"""")&lt;&gt;""""),ROWS(A$5:A1670)),"""")"),"")</f>
        <v/>
      </c>
      <c r="B16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Helper'!$F$5:$F$3004,"""")&lt;&gt;""""),ROWS(B$5:B1670)),"""")"),"")</f>
        <v/>
      </c>
      <c r="C16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Helper'!$F$5:$F$3004,"""")&lt;&gt;""""),ROWS(C$5:C1670)),"""")"),"")</f>
        <v/>
      </c>
      <c r="D16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Helper'!$F$5:$F$3004,"""")&lt;&gt;""""),ROWS(D$5:D1670)),"""")"),"")</f>
        <v/>
      </c>
      <c r="E16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Helper'!$F$5:$F$3004,"""")&lt;&gt;""""),ROWS(E$5:E1670)),"""")"),"")</f>
        <v/>
      </c>
      <c r="F16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Helper'!$F$5:$F$3004,"""")&lt;&gt;""""),ROWS(F$5:F1670)),IF(AND(LEFT(x,5)=""Pag"&amp;"e "",ISERROR(SEARCH(""–"",x))),x&amp;""–""&amp;REGEXEXTRACT(x,""[0-9]+$""),x)),"""")"),"")</f>
        <v/>
      </c>
      <c r="G1670" s="163"/>
      <c r="H16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Helper'!$F$5:$F$3004,"""")&lt;&gt;""""),ROWS(H$5:H1670)),"""")"),"")</f>
        <v/>
      </c>
    </row>
    <row r="1671" ht="15.75" customHeight="1">
      <c r="A16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Helper'!$F$5:$F$3004,"""")&lt;&gt;""""),ROWS(A$5:A1671)),"""")"),"")</f>
        <v/>
      </c>
      <c r="B16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Helper'!$F$5:$F$3004,"""")&lt;&gt;""""),ROWS(B$5:B1671)),"""")"),"")</f>
        <v/>
      </c>
      <c r="C16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Helper'!$F$5:$F$3004,"""")&lt;&gt;""""),ROWS(C$5:C1671)),"""")"),"")</f>
        <v/>
      </c>
      <c r="D16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Helper'!$F$5:$F$3004,"""")&lt;&gt;""""),ROWS(D$5:D1671)),"""")"),"")</f>
        <v/>
      </c>
      <c r="E16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Helper'!$F$5:$F$3004,"""")&lt;&gt;""""),ROWS(E$5:E1671)),"""")"),"")</f>
        <v/>
      </c>
      <c r="F16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Helper'!$F$5:$F$3004,"""")&lt;&gt;""""),ROWS(F$5:F1671)),IF(AND(LEFT(x,5)=""Pag"&amp;"e "",ISERROR(SEARCH(""–"",x))),x&amp;""–""&amp;REGEXEXTRACT(x,""[0-9]+$""),x)),"""")"),"")</f>
        <v/>
      </c>
      <c r="G1671" s="163"/>
      <c r="H16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Helper'!$F$5:$F$3004,"""")&lt;&gt;""""),ROWS(H$5:H1671)),"""")"),"")</f>
        <v/>
      </c>
    </row>
    <row r="1672" ht="15.75" customHeight="1">
      <c r="A16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Helper'!$F$5:$F$3004,"""")&lt;&gt;""""),ROWS(A$5:A1672)),"""")"),"")</f>
        <v/>
      </c>
      <c r="B16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Helper'!$F$5:$F$3004,"""")&lt;&gt;""""),ROWS(B$5:B1672)),"""")"),"")</f>
        <v/>
      </c>
      <c r="C16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Helper'!$F$5:$F$3004,"""")&lt;&gt;""""),ROWS(C$5:C1672)),"""")"),"")</f>
        <v/>
      </c>
      <c r="D16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Helper'!$F$5:$F$3004,"""")&lt;&gt;""""),ROWS(D$5:D1672)),"""")"),"")</f>
        <v/>
      </c>
      <c r="E16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Helper'!$F$5:$F$3004,"""")&lt;&gt;""""),ROWS(E$5:E1672)),"""")"),"")</f>
        <v/>
      </c>
      <c r="F16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Helper'!$F$5:$F$3004,"""")&lt;&gt;""""),ROWS(F$5:F1672)),IF(AND(LEFT(x,5)=""Pag"&amp;"e "",ISERROR(SEARCH(""–"",x))),x&amp;""–""&amp;REGEXEXTRACT(x,""[0-9]+$""),x)),"""")"),"")</f>
        <v/>
      </c>
      <c r="G1672" s="163"/>
      <c r="H16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Helper'!$F$5:$F$3004,"""")&lt;&gt;""""),ROWS(H$5:H1672)),"""")"),"")</f>
        <v/>
      </c>
    </row>
    <row r="1673" ht="15.75" customHeight="1">
      <c r="A16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Helper'!$F$5:$F$3004,"""")&lt;&gt;""""),ROWS(A$5:A1673)),"""")"),"")</f>
        <v/>
      </c>
      <c r="B16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Helper'!$F$5:$F$3004,"""")&lt;&gt;""""),ROWS(B$5:B1673)),"""")"),"")</f>
        <v/>
      </c>
      <c r="C16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Helper'!$F$5:$F$3004,"""")&lt;&gt;""""),ROWS(C$5:C1673)),"""")"),"")</f>
        <v/>
      </c>
      <c r="D16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Helper'!$F$5:$F$3004,"""")&lt;&gt;""""),ROWS(D$5:D1673)),"""")"),"")</f>
        <v/>
      </c>
      <c r="E16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Helper'!$F$5:$F$3004,"""")&lt;&gt;""""),ROWS(E$5:E1673)),"""")"),"")</f>
        <v/>
      </c>
      <c r="F16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Helper'!$F$5:$F$3004,"""")&lt;&gt;""""),ROWS(F$5:F1673)),IF(AND(LEFT(x,5)=""Pag"&amp;"e "",ISERROR(SEARCH(""–"",x))),x&amp;""–""&amp;REGEXEXTRACT(x,""[0-9]+$""),x)),"""")"),"")</f>
        <v/>
      </c>
      <c r="G1673" s="163"/>
      <c r="H16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Helper'!$F$5:$F$3004,"""")&lt;&gt;""""),ROWS(H$5:H1673)),"""")"),"")</f>
        <v/>
      </c>
    </row>
    <row r="1674" ht="15.75" customHeight="1">
      <c r="A16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Helper'!$F$5:$F$3004,"""")&lt;&gt;""""),ROWS(A$5:A1674)),"""")"),"")</f>
        <v/>
      </c>
      <c r="B16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Helper'!$F$5:$F$3004,"""")&lt;&gt;""""),ROWS(B$5:B1674)),"""")"),"")</f>
        <v/>
      </c>
      <c r="C16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Helper'!$F$5:$F$3004,"""")&lt;&gt;""""),ROWS(C$5:C1674)),"""")"),"")</f>
        <v/>
      </c>
      <c r="D16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Helper'!$F$5:$F$3004,"""")&lt;&gt;""""),ROWS(D$5:D1674)),"""")"),"")</f>
        <v/>
      </c>
      <c r="E16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Helper'!$F$5:$F$3004,"""")&lt;&gt;""""),ROWS(E$5:E1674)),"""")"),"")</f>
        <v/>
      </c>
      <c r="F16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Helper'!$F$5:$F$3004,"""")&lt;&gt;""""),ROWS(F$5:F1674)),IF(AND(LEFT(x,5)=""Pag"&amp;"e "",ISERROR(SEARCH(""–"",x))),x&amp;""–""&amp;REGEXEXTRACT(x,""[0-9]+$""),x)),"""")"),"")</f>
        <v/>
      </c>
      <c r="G1674" s="163"/>
      <c r="H16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Helper'!$F$5:$F$3004,"""")&lt;&gt;""""),ROWS(H$5:H1674)),"""")"),"")</f>
        <v/>
      </c>
    </row>
    <row r="1675" ht="15.75" customHeight="1">
      <c r="A16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Helper'!$F$5:$F$3004,"""")&lt;&gt;""""),ROWS(A$5:A1675)),"""")"),"")</f>
        <v/>
      </c>
      <c r="B16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Helper'!$F$5:$F$3004,"""")&lt;&gt;""""),ROWS(B$5:B1675)),"""")"),"")</f>
        <v/>
      </c>
      <c r="C16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Helper'!$F$5:$F$3004,"""")&lt;&gt;""""),ROWS(C$5:C1675)),"""")"),"")</f>
        <v/>
      </c>
      <c r="D16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Helper'!$F$5:$F$3004,"""")&lt;&gt;""""),ROWS(D$5:D1675)),"""")"),"")</f>
        <v/>
      </c>
      <c r="E16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Helper'!$F$5:$F$3004,"""")&lt;&gt;""""),ROWS(E$5:E1675)),"""")"),"")</f>
        <v/>
      </c>
      <c r="F16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Helper'!$F$5:$F$3004,"""")&lt;&gt;""""),ROWS(F$5:F1675)),IF(AND(LEFT(x,5)=""Pag"&amp;"e "",ISERROR(SEARCH(""–"",x))),x&amp;""–""&amp;REGEXEXTRACT(x,""[0-9]+$""),x)),"""")"),"")</f>
        <v/>
      </c>
      <c r="G1675" s="163"/>
      <c r="H16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Helper'!$F$5:$F$3004,"""")&lt;&gt;""""),ROWS(H$5:H1675)),"""")"),"")</f>
        <v/>
      </c>
    </row>
    <row r="1676" ht="15.75" customHeight="1">
      <c r="A16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Helper'!$F$5:$F$3004,"""")&lt;&gt;""""),ROWS(A$5:A1676)),"""")"),"")</f>
        <v/>
      </c>
      <c r="B16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Helper'!$F$5:$F$3004,"""")&lt;&gt;""""),ROWS(B$5:B1676)),"""")"),"")</f>
        <v/>
      </c>
      <c r="C16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Helper'!$F$5:$F$3004,"""")&lt;&gt;""""),ROWS(C$5:C1676)),"""")"),"")</f>
        <v/>
      </c>
      <c r="D16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Helper'!$F$5:$F$3004,"""")&lt;&gt;""""),ROWS(D$5:D1676)),"""")"),"")</f>
        <v/>
      </c>
      <c r="E16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Helper'!$F$5:$F$3004,"""")&lt;&gt;""""),ROWS(E$5:E1676)),"""")"),"")</f>
        <v/>
      </c>
      <c r="F16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Helper'!$F$5:$F$3004,"""")&lt;&gt;""""),ROWS(F$5:F1676)),IF(AND(LEFT(x,5)=""Pag"&amp;"e "",ISERROR(SEARCH(""–"",x))),x&amp;""–""&amp;REGEXEXTRACT(x,""[0-9]+$""),x)),"""")"),"")</f>
        <v/>
      </c>
      <c r="G1676" s="163"/>
      <c r="H16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Helper'!$F$5:$F$3004,"""")&lt;&gt;""""),ROWS(H$5:H1676)),"""")"),"")</f>
        <v/>
      </c>
    </row>
    <row r="1677" ht="15.75" customHeight="1">
      <c r="A16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Helper'!$F$5:$F$3004,"""")&lt;&gt;""""),ROWS(A$5:A1677)),"""")"),"")</f>
        <v/>
      </c>
      <c r="B16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Helper'!$F$5:$F$3004,"""")&lt;&gt;""""),ROWS(B$5:B1677)),"""")"),"")</f>
        <v/>
      </c>
      <c r="C16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Helper'!$F$5:$F$3004,"""")&lt;&gt;""""),ROWS(C$5:C1677)),"""")"),"")</f>
        <v/>
      </c>
      <c r="D16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Helper'!$F$5:$F$3004,"""")&lt;&gt;""""),ROWS(D$5:D1677)),"""")"),"")</f>
        <v/>
      </c>
      <c r="E16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Helper'!$F$5:$F$3004,"""")&lt;&gt;""""),ROWS(E$5:E1677)),"""")"),"")</f>
        <v/>
      </c>
      <c r="F16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Helper'!$F$5:$F$3004,"""")&lt;&gt;""""),ROWS(F$5:F1677)),IF(AND(LEFT(x,5)=""Pag"&amp;"e "",ISERROR(SEARCH(""–"",x))),x&amp;""–""&amp;REGEXEXTRACT(x,""[0-9]+$""),x)),"""")"),"")</f>
        <v/>
      </c>
      <c r="G1677" s="163"/>
      <c r="H16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Helper'!$F$5:$F$3004,"""")&lt;&gt;""""),ROWS(H$5:H1677)),"""")"),"")</f>
        <v/>
      </c>
    </row>
    <row r="1678" ht="15.75" customHeight="1">
      <c r="A16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Helper'!$F$5:$F$3004,"""")&lt;&gt;""""),ROWS(A$5:A1678)),"""")"),"")</f>
        <v/>
      </c>
      <c r="B16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Helper'!$F$5:$F$3004,"""")&lt;&gt;""""),ROWS(B$5:B1678)),"""")"),"")</f>
        <v/>
      </c>
      <c r="C16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Helper'!$F$5:$F$3004,"""")&lt;&gt;""""),ROWS(C$5:C1678)),"""")"),"")</f>
        <v/>
      </c>
      <c r="D16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Helper'!$F$5:$F$3004,"""")&lt;&gt;""""),ROWS(D$5:D1678)),"""")"),"")</f>
        <v/>
      </c>
      <c r="E16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Helper'!$F$5:$F$3004,"""")&lt;&gt;""""),ROWS(E$5:E1678)),"""")"),"")</f>
        <v/>
      </c>
      <c r="F16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Helper'!$F$5:$F$3004,"""")&lt;&gt;""""),ROWS(F$5:F1678)),IF(AND(LEFT(x,5)=""Pag"&amp;"e "",ISERROR(SEARCH(""–"",x))),x&amp;""–""&amp;REGEXEXTRACT(x,""[0-9]+$""),x)),"""")"),"")</f>
        <v/>
      </c>
      <c r="G1678" s="163"/>
      <c r="H16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Helper'!$F$5:$F$3004,"""")&lt;&gt;""""),ROWS(H$5:H1678)),"""")"),"")</f>
        <v/>
      </c>
    </row>
    <row r="1679" ht="15.75" customHeight="1">
      <c r="A16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Helper'!$F$5:$F$3004,"""")&lt;&gt;""""),ROWS(A$5:A1679)),"""")"),"")</f>
        <v/>
      </c>
      <c r="B16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Helper'!$F$5:$F$3004,"""")&lt;&gt;""""),ROWS(B$5:B1679)),"""")"),"")</f>
        <v/>
      </c>
      <c r="C16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Helper'!$F$5:$F$3004,"""")&lt;&gt;""""),ROWS(C$5:C1679)),"""")"),"")</f>
        <v/>
      </c>
      <c r="D16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Helper'!$F$5:$F$3004,"""")&lt;&gt;""""),ROWS(D$5:D1679)),"""")"),"")</f>
        <v/>
      </c>
      <c r="E16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Helper'!$F$5:$F$3004,"""")&lt;&gt;""""),ROWS(E$5:E1679)),"""")"),"")</f>
        <v/>
      </c>
      <c r="F16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Helper'!$F$5:$F$3004,"""")&lt;&gt;""""),ROWS(F$5:F1679)),IF(AND(LEFT(x,5)=""Pag"&amp;"e "",ISERROR(SEARCH(""–"",x))),x&amp;""–""&amp;REGEXEXTRACT(x,""[0-9]+$""),x)),"""")"),"")</f>
        <v/>
      </c>
      <c r="G1679" s="163"/>
      <c r="H16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Helper'!$F$5:$F$3004,"""")&lt;&gt;""""),ROWS(H$5:H1679)),"""")"),"")</f>
        <v/>
      </c>
    </row>
    <row r="1680" ht="15.75" customHeight="1">
      <c r="A16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Helper'!$F$5:$F$3004,"""")&lt;&gt;""""),ROWS(A$5:A1680)),"""")"),"")</f>
        <v/>
      </c>
      <c r="B16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Helper'!$F$5:$F$3004,"""")&lt;&gt;""""),ROWS(B$5:B1680)),"""")"),"")</f>
        <v/>
      </c>
      <c r="C16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Helper'!$F$5:$F$3004,"""")&lt;&gt;""""),ROWS(C$5:C1680)),"""")"),"")</f>
        <v/>
      </c>
      <c r="D16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Helper'!$F$5:$F$3004,"""")&lt;&gt;""""),ROWS(D$5:D1680)),"""")"),"")</f>
        <v/>
      </c>
      <c r="E16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Helper'!$F$5:$F$3004,"""")&lt;&gt;""""),ROWS(E$5:E1680)),"""")"),"")</f>
        <v/>
      </c>
      <c r="F16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Helper'!$F$5:$F$3004,"""")&lt;&gt;""""),ROWS(F$5:F1680)),IF(AND(LEFT(x,5)=""Pag"&amp;"e "",ISERROR(SEARCH(""–"",x))),x&amp;""–""&amp;REGEXEXTRACT(x,""[0-9]+$""),x)),"""")"),"")</f>
        <v/>
      </c>
      <c r="G1680" s="163"/>
      <c r="H16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Helper'!$F$5:$F$3004,"""")&lt;&gt;""""),ROWS(H$5:H1680)),"""")"),"")</f>
        <v/>
      </c>
    </row>
    <row r="1681" ht="15.75" customHeight="1">
      <c r="A16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Helper'!$F$5:$F$3004,"""")&lt;&gt;""""),ROWS(A$5:A1681)),"""")"),"")</f>
        <v/>
      </c>
      <c r="B16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Helper'!$F$5:$F$3004,"""")&lt;&gt;""""),ROWS(B$5:B1681)),"""")"),"")</f>
        <v/>
      </c>
      <c r="C16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Helper'!$F$5:$F$3004,"""")&lt;&gt;""""),ROWS(C$5:C1681)),"""")"),"")</f>
        <v/>
      </c>
      <c r="D16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Helper'!$F$5:$F$3004,"""")&lt;&gt;""""),ROWS(D$5:D1681)),"""")"),"")</f>
        <v/>
      </c>
      <c r="E16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Helper'!$F$5:$F$3004,"""")&lt;&gt;""""),ROWS(E$5:E1681)),"""")"),"")</f>
        <v/>
      </c>
      <c r="F16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Helper'!$F$5:$F$3004,"""")&lt;&gt;""""),ROWS(F$5:F1681)),IF(AND(LEFT(x,5)=""Pag"&amp;"e "",ISERROR(SEARCH(""–"",x))),x&amp;""–""&amp;REGEXEXTRACT(x,""[0-9]+$""),x)),"""")"),"")</f>
        <v/>
      </c>
      <c r="G1681" s="163"/>
      <c r="H16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Helper'!$F$5:$F$3004,"""")&lt;&gt;""""),ROWS(H$5:H1681)),"""")"),"")</f>
        <v/>
      </c>
    </row>
    <row r="1682" ht="15.75" customHeight="1">
      <c r="A16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Helper'!$F$5:$F$3004,"""")&lt;&gt;""""),ROWS(A$5:A1682)),"""")"),"")</f>
        <v/>
      </c>
      <c r="B16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Helper'!$F$5:$F$3004,"""")&lt;&gt;""""),ROWS(B$5:B1682)),"""")"),"")</f>
        <v/>
      </c>
      <c r="C16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Helper'!$F$5:$F$3004,"""")&lt;&gt;""""),ROWS(C$5:C1682)),"""")"),"")</f>
        <v/>
      </c>
      <c r="D16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Helper'!$F$5:$F$3004,"""")&lt;&gt;""""),ROWS(D$5:D1682)),"""")"),"")</f>
        <v/>
      </c>
      <c r="E16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Helper'!$F$5:$F$3004,"""")&lt;&gt;""""),ROWS(E$5:E1682)),"""")"),"")</f>
        <v/>
      </c>
      <c r="F16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Helper'!$F$5:$F$3004,"""")&lt;&gt;""""),ROWS(F$5:F1682)),IF(AND(LEFT(x,5)=""Pag"&amp;"e "",ISERROR(SEARCH(""–"",x))),x&amp;""–""&amp;REGEXEXTRACT(x,""[0-9]+$""),x)),"""")"),"")</f>
        <v/>
      </c>
      <c r="G1682" s="163"/>
      <c r="H16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Helper'!$F$5:$F$3004,"""")&lt;&gt;""""),ROWS(H$5:H1682)),"""")"),"")</f>
        <v/>
      </c>
    </row>
    <row r="1683" ht="15.75" customHeight="1">
      <c r="A16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Helper'!$F$5:$F$3004,"""")&lt;&gt;""""),ROWS(A$5:A1683)),"""")"),"")</f>
        <v/>
      </c>
      <c r="B16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Helper'!$F$5:$F$3004,"""")&lt;&gt;""""),ROWS(B$5:B1683)),"""")"),"")</f>
        <v/>
      </c>
      <c r="C16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Helper'!$F$5:$F$3004,"""")&lt;&gt;""""),ROWS(C$5:C1683)),"""")"),"")</f>
        <v/>
      </c>
      <c r="D16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Helper'!$F$5:$F$3004,"""")&lt;&gt;""""),ROWS(D$5:D1683)),"""")"),"")</f>
        <v/>
      </c>
      <c r="E16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Helper'!$F$5:$F$3004,"""")&lt;&gt;""""),ROWS(E$5:E1683)),"""")"),"")</f>
        <v/>
      </c>
      <c r="F16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Helper'!$F$5:$F$3004,"""")&lt;&gt;""""),ROWS(F$5:F1683)),IF(AND(LEFT(x,5)=""Pag"&amp;"e "",ISERROR(SEARCH(""–"",x))),x&amp;""–""&amp;REGEXEXTRACT(x,""[0-9]+$""),x)),"""")"),"")</f>
        <v/>
      </c>
      <c r="G1683" s="163"/>
      <c r="H16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Helper'!$F$5:$F$3004,"""")&lt;&gt;""""),ROWS(H$5:H1683)),"""")"),"")</f>
        <v/>
      </c>
    </row>
    <row r="1684" ht="15.75" customHeight="1">
      <c r="A16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Helper'!$F$5:$F$3004,"""")&lt;&gt;""""),ROWS(A$5:A1684)),"""")"),"")</f>
        <v/>
      </c>
      <c r="B16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Helper'!$F$5:$F$3004,"""")&lt;&gt;""""),ROWS(B$5:B1684)),"""")"),"")</f>
        <v/>
      </c>
      <c r="C16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Helper'!$F$5:$F$3004,"""")&lt;&gt;""""),ROWS(C$5:C1684)),"""")"),"")</f>
        <v/>
      </c>
      <c r="D16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Helper'!$F$5:$F$3004,"""")&lt;&gt;""""),ROWS(D$5:D1684)),"""")"),"")</f>
        <v/>
      </c>
      <c r="E16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Helper'!$F$5:$F$3004,"""")&lt;&gt;""""),ROWS(E$5:E1684)),"""")"),"")</f>
        <v/>
      </c>
      <c r="F16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Helper'!$F$5:$F$3004,"""")&lt;&gt;""""),ROWS(F$5:F1684)),IF(AND(LEFT(x,5)=""Pag"&amp;"e "",ISERROR(SEARCH(""–"",x))),x&amp;""–""&amp;REGEXEXTRACT(x,""[0-9]+$""),x)),"""")"),"")</f>
        <v/>
      </c>
      <c r="G1684" s="163"/>
      <c r="H16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Helper'!$F$5:$F$3004,"""")&lt;&gt;""""),ROWS(H$5:H1684)),"""")"),"")</f>
        <v/>
      </c>
    </row>
    <row r="1685" ht="15.75" customHeight="1">
      <c r="A16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Helper'!$F$5:$F$3004,"""")&lt;&gt;""""),ROWS(A$5:A1685)),"""")"),"")</f>
        <v/>
      </c>
      <c r="B16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Helper'!$F$5:$F$3004,"""")&lt;&gt;""""),ROWS(B$5:B1685)),"""")"),"")</f>
        <v/>
      </c>
      <c r="C16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Helper'!$F$5:$F$3004,"""")&lt;&gt;""""),ROWS(C$5:C1685)),"""")"),"")</f>
        <v/>
      </c>
      <c r="D16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Helper'!$F$5:$F$3004,"""")&lt;&gt;""""),ROWS(D$5:D1685)),"""")"),"")</f>
        <v/>
      </c>
      <c r="E16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Helper'!$F$5:$F$3004,"""")&lt;&gt;""""),ROWS(E$5:E1685)),"""")"),"")</f>
        <v/>
      </c>
      <c r="F16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Helper'!$F$5:$F$3004,"""")&lt;&gt;""""),ROWS(F$5:F1685)),IF(AND(LEFT(x,5)=""Pag"&amp;"e "",ISERROR(SEARCH(""–"",x))),x&amp;""–""&amp;REGEXEXTRACT(x,""[0-9]+$""),x)),"""")"),"")</f>
        <v/>
      </c>
      <c r="G1685" s="163"/>
      <c r="H16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Helper'!$F$5:$F$3004,"""")&lt;&gt;""""),ROWS(H$5:H1685)),"""")"),"")</f>
        <v/>
      </c>
    </row>
    <row r="1686" ht="15.75" customHeight="1">
      <c r="A16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Helper'!$F$5:$F$3004,"""")&lt;&gt;""""),ROWS(A$5:A1686)),"""")"),"")</f>
        <v/>
      </c>
      <c r="B16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Helper'!$F$5:$F$3004,"""")&lt;&gt;""""),ROWS(B$5:B1686)),"""")"),"")</f>
        <v/>
      </c>
      <c r="C16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Helper'!$F$5:$F$3004,"""")&lt;&gt;""""),ROWS(C$5:C1686)),"""")"),"")</f>
        <v/>
      </c>
      <c r="D16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Helper'!$F$5:$F$3004,"""")&lt;&gt;""""),ROWS(D$5:D1686)),"""")"),"")</f>
        <v/>
      </c>
      <c r="E16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Helper'!$F$5:$F$3004,"""")&lt;&gt;""""),ROWS(E$5:E1686)),"""")"),"")</f>
        <v/>
      </c>
      <c r="F16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Helper'!$F$5:$F$3004,"""")&lt;&gt;""""),ROWS(F$5:F1686)),IF(AND(LEFT(x,5)=""Pag"&amp;"e "",ISERROR(SEARCH(""–"",x))),x&amp;""–""&amp;REGEXEXTRACT(x,""[0-9]+$""),x)),"""")"),"")</f>
        <v/>
      </c>
      <c r="G1686" s="163"/>
      <c r="H16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Helper'!$F$5:$F$3004,"""")&lt;&gt;""""),ROWS(H$5:H1686)),"""")"),"")</f>
        <v/>
      </c>
    </row>
    <row r="1687" ht="15.75" customHeight="1">
      <c r="A16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Helper'!$F$5:$F$3004,"""")&lt;&gt;""""),ROWS(A$5:A1687)),"""")"),"")</f>
        <v/>
      </c>
      <c r="B16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Helper'!$F$5:$F$3004,"""")&lt;&gt;""""),ROWS(B$5:B1687)),"""")"),"")</f>
        <v/>
      </c>
      <c r="C16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Helper'!$F$5:$F$3004,"""")&lt;&gt;""""),ROWS(C$5:C1687)),"""")"),"")</f>
        <v/>
      </c>
      <c r="D16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Helper'!$F$5:$F$3004,"""")&lt;&gt;""""),ROWS(D$5:D1687)),"""")"),"")</f>
        <v/>
      </c>
      <c r="E16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Helper'!$F$5:$F$3004,"""")&lt;&gt;""""),ROWS(E$5:E1687)),"""")"),"")</f>
        <v/>
      </c>
      <c r="F16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Helper'!$F$5:$F$3004,"""")&lt;&gt;""""),ROWS(F$5:F1687)),IF(AND(LEFT(x,5)=""Pag"&amp;"e "",ISERROR(SEARCH(""–"",x))),x&amp;""–""&amp;REGEXEXTRACT(x,""[0-9]+$""),x)),"""")"),"")</f>
        <v/>
      </c>
      <c r="G1687" s="163"/>
      <c r="H16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Helper'!$F$5:$F$3004,"""")&lt;&gt;""""),ROWS(H$5:H1687)),"""")"),"")</f>
        <v/>
      </c>
    </row>
    <row r="1688" ht="15.75" customHeight="1">
      <c r="A16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Helper'!$F$5:$F$3004,"""")&lt;&gt;""""),ROWS(A$5:A1688)),"""")"),"")</f>
        <v/>
      </c>
      <c r="B16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Helper'!$F$5:$F$3004,"""")&lt;&gt;""""),ROWS(B$5:B1688)),"""")"),"")</f>
        <v/>
      </c>
      <c r="C16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Helper'!$F$5:$F$3004,"""")&lt;&gt;""""),ROWS(C$5:C1688)),"""")"),"")</f>
        <v/>
      </c>
      <c r="D16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Helper'!$F$5:$F$3004,"""")&lt;&gt;""""),ROWS(D$5:D1688)),"""")"),"")</f>
        <v/>
      </c>
      <c r="E16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Helper'!$F$5:$F$3004,"""")&lt;&gt;""""),ROWS(E$5:E1688)),"""")"),"")</f>
        <v/>
      </c>
      <c r="F16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Helper'!$F$5:$F$3004,"""")&lt;&gt;""""),ROWS(F$5:F1688)),IF(AND(LEFT(x,5)=""Pag"&amp;"e "",ISERROR(SEARCH(""–"",x))),x&amp;""–""&amp;REGEXEXTRACT(x,""[0-9]+$""),x)),"""")"),"")</f>
        <v/>
      </c>
      <c r="G1688" s="163"/>
      <c r="H16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Helper'!$F$5:$F$3004,"""")&lt;&gt;""""),ROWS(H$5:H1688)),"""")"),"")</f>
        <v/>
      </c>
    </row>
    <row r="1689" ht="15.75" customHeight="1">
      <c r="A16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Helper'!$F$5:$F$3004,"""")&lt;&gt;""""),ROWS(A$5:A1689)),"""")"),"")</f>
        <v/>
      </c>
      <c r="B16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Helper'!$F$5:$F$3004,"""")&lt;&gt;""""),ROWS(B$5:B1689)),"""")"),"")</f>
        <v/>
      </c>
      <c r="C16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Helper'!$F$5:$F$3004,"""")&lt;&gt;""""),ROWS(C$5:C1689)),"""")"),"")</f>
        <v/>
      </c>
      <c r="D16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Helper'!$F$5:$F$3004,"""")&lt;&gt;""""),ROWS(D$5:D1689)),"""")"),"")</f>
        <v/>
      </c>
      <c r="E16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Helper'!$F$5:$F$3004,"""")&lt;&gt;""""),ROWS(E$5:E1689)),"""")"),"")</f>
        <v/>
      </c>
      <c r="F16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Helper'!$F$5:$F$3004,"""")&lt;&gt;""""),ROWS(F$5:F1689)),IF(AND(LEFT(x,5)=""Pag"&amp;"e "",ISERROR(SEARCH(""–"",x))),x&amp;""–""&amp;REGEXEXTRACT(x,""[0-9]+$""),x)),"""")"),"")</f>
        <v/>
      </c>
      <c r="G1689" s="163"/>
      <c r="H16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Helper'!$F$5:$F$3004,"""")&lt;&gt;""""),ROWS(H$5:H1689)),"""")"),"")</f>
        <v/>
      </c>
    </row>
    <row r="1690" ht="15.75" customHeight="1">
      <c r="A16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Helper'!$F$5:$F$3004,"""")&lt;&gt;""""),ROWS(A$5:A1690)),"""")"),"")</f>
        <v/>
      </c>
      <c r="B16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Helper'!$F$5:$F$3004,"""")&lt;&gt;""""),ROWS(B$5:B1690)),"""")"),"")</f>
        <v/>
      </c>
      <c r="C16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Helper'!$F$5:$F$3004,"""")&lt;&gt;""""),ROWS(C$5:C1690)),"""")"),"")</f>
        <v/>
      </c>
      <c r="D16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Helper'!$F$5:$F$3004,"""")&lt;&gt;""""),ROWS(D$5:D1690)),"""")"),"")</f>
        <v/>
      </c>
      <c r="E16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Helper'!$F$5:$F$3004,"""")&lt;&gt;""""),ROWS(E$5:E1690)),"""")"),"")</f>
        <v/>
      </c>
      <c r="F16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Helper'!$F$5:$F$3004,"""")&lt;&gt;""""),ROWS(F$5:F1690)),IF(AND(LEFT(x,5)=""Pag"&amp;"e "",ISERROR(SEARCH(""–"",x))),x&amp;""–""&amp;REGEXEXTRACT(x,""[0-9]+$""),x)),"""")"),"")</f>
        <v/>
      </c>
      <c r="G1690" s="163"/>
      <c r="H16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Helper'!$F$5:$F$3004,"""")&lt;&gt;""""),ROWS(H$5:H1690)),"""")"),"")</f>
        <v/>
      </c>
    </row>
    <row r="1691" ht="15.75" customHeight="1">
      <c r="A16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Helper'!$F$5:$F$3004,"""")&lt;&gt;""""),ROWS(A$5:A1691)),"""")"),"")</f>
        <v/>
      </c>
      <c r="B16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Helper'!$F$5:$F$3004,"""")&lt;&gt;""""),ROWS(B$5:B1691)),"""")"),"")</f>
        <v/>
      </c>
      <c r="C16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Helper'!$F$5:$F$3004,"""")&lt;&gt;""""),ROWS(C$5:C1691)),"""")"),"")</f>
        <v/>
      </c>
      <c r="D16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Helper'!$F$5:$F$3004,"""")&lt;&gt;""""),ROWS(D$5:D1691)),"""")"),"")</f>
        <v/>
      </c>
      <c r="E16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Helper'!$F$5:$F$3004,"""")&lt;&gt;""""),ROWS(E$5:E1691)),"""")"),"")</f>
        <v/>
      </c>
      <c r="F16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Helper'!$F$5:$F$3004,"""")&lt;&gt;""""),ROWS(F$5:F1691)),IF(AND(LEFT(x,5)=""Pag"&amp;"e "",ISERROR(SEARCH(""–"",x))),x&amp;""–""&amp;REGEXEXTRACT(x,""[0-9]+$""),x)),"""")"),"")</f>
        <v/>
      </c>
      <c r="G1691" s="163"/>
      <c r="H16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Helper'!$F$5:$F$3004,"""")&lt;&gt;""""),ROWS(H$5:H1691)),"""")"),"")</f>
        <v/>
      </c>
    </row>
    <row r="1692" ht="15.75" customHeight="1">
      <c r="A16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Helper'!$F$5:$F$3004,"""")&lt;&gt;""""),ROWS(A$5:A1692)),"""")"),"")</f>
        <v/>
      </c>
      <c r="B16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Helper'!$F$5:$F$3004,"""")&lt;&gt;""""),ROWS(B$5:B1692)),"""")"),"")</f>
        <v/>
      </c>
      <c r="C16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Helper'!$F$5:$F$3004,"""")&lt;&gt;""""),ROWS(C$5:C1692)),"""")"),"")</f>
        <v/>
      </c>
      <c r="D16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Helper'!$F$5:$F$3004,"""")&lt;&gt;""""),ROWS(D$5:D1692)),"""")"),"")</f>
        <v/>
      </c>
      <c r="E16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Helper'!$F$5:$F$3004,"""")&lt;&gt;""""),ROWS(E$5:E1692)),"""")"),"")</f>
        <v/>
      </c>
      <c r="F16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Helper'!$F$5:$F$3004,"""")&lt;&gt;""""),ROWS(F$5:F1692)),IF(AND(LEFT(x,5)=""Pag"&amp;"e "",ISERROR(SEARCH(""–"",x))),x&amp;""–""&amp;REGEXEXTRACT(x,""[0-9]+$""),x)),"""")"),"")</f>
        <v/>
      </c>
      <c r="G1692" s="163"/>
      <c r="H16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Helper'!$F$5:$F$3004,"""")&lt;&gt;""""),ROWS(H$5:H1692)),"""")"),"")</f>
        <v/>
      </c>
    </row>
    <row r="1693" ht="15.75" customHeight="1">
      <c r="A16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Helper'!$F$5:$F$3004,"""")&lt;&gt;""""),ROWS(A$5:A1693)),"""")"),"")</f>
        <v/>
      </c>
      <c r="B16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Helper'!$F$5:$F$3004,"""")&lt;&gt;""""),ROWS(B$5:B1693)),"""")"),"")</f>
        <v/>
      </c>
      <c r="C16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Helper'!$F$5:$F$3004,"""")&lt;&gt;""""),ROWS(C$5:C1693)),"""")"),"")</f>
        <v/>
      </c>
      <c r="D16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Helper'!$F$5:$F$3004,"""")&lt;&gt;""""),ROWS(D$5:D1693)),"""")"),"")</f>
        <v/>
      </c>
      <c r="E16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Helper'!$F$5:$F$3004,"""")&lt;&gt;""""),ROWS(E$5:E1693)),"""")"),"")</f>
        <v/>
      </c>
      <c r="F16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Helper'!$F$5:$F$3004,"""")&lt;&gt;""""),ROWS(F$5:F1693)),IF(AND(LEFT(x,5)=""Pag"&amp;"e "",ISERROR(SEARCH(""–"",x))),x&amp;""–""&amp;REGEXEXTRACT(x,""[0-9]+$""),x)),"""")"),"")</f>
        <v/>
      </c>
      <c r="G1693" s="163"/>
      <c r="H16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Helper'!$F$5:$F$3004,"""")&lt;&gt;""""),ROWS(H$5:H1693)),"""")"),"")</f>
        <v/>
      </c>
    </row>
    <row r="1694" ht="15.75" customHeight="1">
      <c r="A16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Helper'!$F$5:$F$3004,"""")&lt;&gt;""""),ROWS(A$5:A1694)),"""")"),"")</f>
        <v/>
      </c>
      <c r="B16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Helper'!$F$5:$F$3004,"""")&lt;&gt;""""),ROWS(B$5:B1694)),"""")"),"")</f>
        <v/>
      </c>
      <c r="C16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Helper'!$F$5:$F$3004,"""")&lt;&gt;""""),ROWS(C$5:C1694)),"""")"),"")</f>
        <v/>
      </c>
      <c r="D16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Helper'!$F$5:$F$3004,"""")&lt;&gt;""""),ROWS(D$5:D1694)),"""")"),"")</f>
        <v/>
      </c>
      <c r="E16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Helper'!$F$5:$F$3004,"""")&lt;&gt;""""),ROWS(E$5:E1694)),"""")"),"")</f>
        <v/>
      </c>
      <c r="F16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Helper'!$F$5:$F$3004,"""")&lt;&gt;""""),ROWS(F$5:F1694)),IF(AND(LEFT(x,5)=""Pag"&amp;"e "",ISERROR(SEARCH(""–"",x))),x&amp;""–""&amp;REGEXEXTRACT(x,""[0-9]+$""),x)),"""")"),"")</f>
        <v/>
      </c>
      <c r="G1694" s="163"/>
      <c r="H16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Helper'!$F$5:$F$3004,"""")&lt;&gt;""""),ROWS(H$5:H1694)),"""")"),"")</f>
        <v/>
      </c>
    </row>
    <row r="1695" ht="15.75" customHeight="1">
      <c r="A16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Helper'!$F$5:$F$3004,"""")&lt;&gt;""""),ROWS(A$5:A1695)),"""")"),"")</f>
        <v/>
      </c>
      <c r="B16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Helper'!$F$5:$F$3004,"""")&lt;&gt;""""),ROWS(B$5:B1695)),"""")"),"")</f>
        <v/>
      </c>
      <c r="C16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Helper'!$F$5:$F$3004,"""")&lt;&gt;""""),ROWS(C$5:C1695)),"""")"),"")</f>
        <v/>
      </c>
      <c r="D16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Helper'!$F$5:$F$3004,"""")&lt;&gt;""""),ROWS(D$5:D1695)),"""")"),"")</f>
        <v/>
      </c>
      <c r="E16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Helper'!$F$5:$F$3004,"""")&lt;&gt;""""),ROWS(E$5:E1695)),"""")"),"")</f>
        <v/>
      </c>
      <c r="F16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Helper'!$F$5:$F$3004,"""")&lt;&gt;""""),ROWS(F$5:F1695)),IF(AND(LEFT(x,5)=""Pag"&amp;"e "",ISERROR(SEARCH(""–"",x))),x&amp;""–""&amp;REGEXEXTRACT(x,""[0-9]+$""),x)),"""")"),"")</f>
        <v/>
      </c>
      <c r="G1695" s="163"/>
      <c r="H16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Helper'!$F$5:$F$3004,"""")&lt;&gt;""""),ROWS(H$5:H1695)),"""")"),"")</f>
        <v/>
      </c>
    </row>
    <row r="1696" ht="15.75" customHeight="1">
      <c r="A16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Helper'!$F$5:$F$3004,"""")&lt;&gt;""""),ROWS(A$5:A1696)),"""")"),"")</f>
        <v/>
      </c>
      <c r="B16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Helper'!$F$5:$F$3004,"""")&lt;&gt;""""),ROWS(B$5:B1696)),"""")"),"")</f>
        <v/>
      </c>
      <c r="C16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Helper'!$F$5:$F$3004,"""")&lt;&gt;""""),ROWS(C$5:C1696)),"""")"),"")</f>
        <v/>
      </c>
      <c r="D16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Helper'!$F$5:$F$3004,"""")&lt;&gt;""""),ROWS(D$5:D1696)),"""")"),"")</f>
        <v/>
      </c>
      <c r="E16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Helper'!$F$5:$F$3004,"""")&lt;&gt;""""),ROWS(E$5:E1696)),"""")"),"")</f>
        <v/>
      </c>
      <c r="F16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Helper'!$F$5:$F$3004,"""")&lt;&gt;""""),ROWS(F$5:F1696)),IF(AND(LEFT(x,5)=""Pag"&amp;"e "",ISERROR(SEARCH(""–"",x))),x&amp;""–""&amp;REGEXEXTRACT(x,""[0-9]+$""),x)),"""")"),"")</f>
        <v/>
      </c>
      <c r="G1696" s="163"/>
      <c r="H16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Helper'!$F$5:$F$3004,"""")&lt;&gt;""""),ROWS(H$5:H1696)),"""")"),"")</f>
        <v/>
      </c>
    </row>
    <row r="1697" ht="15.75" customHeight="1">
      <c r="A16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Helper'!$F$5:$F$3004,"""")&lt;&gt;""""),ROWS(A$5:A1697)),"""")"),"")</f>
        <v/>
      </c>
      <c r="B16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Helper'!$F$5:$F$3004,"""")&lt;&gt;""""),ROWS(B$5:B1697)),"""")"),"")</f>
        <v/>
      </c>
      <c r="C16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Helper'!$F$5:$F$3004,"""")&lt;&gt;""""),ROWS(C$5:C1697)),"""")"),"")</f>
        <v/>
      </c>
      <c r="D16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Helper'!$F$5:$F$3004,"""")&lt;&gt;""""),ROWS(D$5:D1697)),"""")"),"")</f>
        <v/>
      </c>
      <c r="E16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Helper'!$F$5:$F$3004,"""")&lt;&gt;""""),ROWS(E$5:E1697)),"""")"),"")</f>
        <v/>
      </c>
      <c r="F16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Helper'!$F$5:$F$3004,"""")&lt;&gt;""""),ROWS(F$5:F1697)),IF(AND(LEFT(x,5)=""Pag"&amp;"e "",ISERROR(SEARCH(""–"",x))),x&amp;""–""&amp;REGEXEXTRACT(x,""[0-9]+$""),x)),"""")"),"")</f>
        <v/>
      </c>
      <c r="G1697" s="163"/>
      <c r="H16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Helper'!$F$5:$F$3004,"""")&lt;&gt;""""),ROWS(H$5:H1697)),"""")"),"")</f>
        <v/>
      </c>
    </row>
    <row r="1698" ht="15.75" customHeight="1">
      <c r="A16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Helper'!$F$5:$F$3004,"""")&lt;&gt;""""),ROWS(A$5:A1698)),"""")"),"")</f>
        <v/>
      </c>
      <c r="B16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Helper'!$F$5:$F$3004,"""")&lt;&gt;""""),ROWS(B$5:B1698)),"""")"),"")</f>
        <v/>
      </c>
      <c r="C16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Helper'!$F$5:$F$3004,"""")&lt;&gt;""""),ROWS(C$5:C1698)),"""")"),"")</f>
        <v/>
      </c>
      <c r="D16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Helper'!$F$5:$F$3004,"""")&lt;&gt;""""),ROWS(D$5:D1698)),"""")"),"")</f>
        <v/>
      </c>
      <c r="E16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Helper'!$F$5:$F$3004,"""")&lt;&gt;""""),ROWS(E$5:E1698)),"""")"),"")</f>
        <v/>
      </c>
      <c r="F16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Helper'!$F$5:$F$3004,"""")&lt;&gt;""""),ROWS(F$5:F1698)),IF(AND(LEFT(x,5)=""Pag"&amp;"e "",ISERROR(SEARCH(""–"",x))),x&amp;""–""&amp;REGEXEXTRACT(x,""[0-9]+$""),x)),"""")"),"")</f>
        <v/>
      </c>
      <c r="G1698" s="163"/>
      <c r="H16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Helper'!$F$5:$F$3004,"""")&lt;&gt;""""),ROWS(H$5:H1698)),"""")"),"")</f>
        <v/>
      </c>
    </row>
    <row r="1699" ht="15.75" customHeight="1">
      <c r="A16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Helper'!$F$5:$F$3004,"""")&lt;&gt;""""),ROWS(A$5:A1699)),"""")"),"")</f>
        <v/>
      </c>
      <c r="B16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Helper'!$F$5:$F$3004,"""")&lt;&gt;""""),ROWS(B$5:B1699)),"""")"),"")</f>
        <v/>
      </c>
      <c r="C16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Helper'!$F$5:$F$3004,"""")&lt;&gt;""""),ROWS(C$5:C1699)),"""")"),"")</f>
        <v/>
      </c>
      <c r="D16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Helper'!$F$5:$F$3004,"""")&lt;&gt;""""),ROWS(D$5:D1699)),"""")"),"")</f>
        <v/>
      </c>
      <c r="E16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Helper'!$F$5:$F$3004,"""")&lt;&gt;""""),ROWS(E$5:E1699)),"""")"),"")</f>
        <v/>
      </c>
      <c r="F16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Helper'!$F$5:$F$3004,"""")&lt;&gt;""""),ROWS(F$5:F1699)),IF(AND(LEFT(x,5)=""Pag"&amp;"e "",ISERROR(SEARCH(""–"",x))),x&amp;""–""&amp;REGEXEXTRACT(x,""[0-9]+$""),x)),"""")"),"")</f>
        <v/>
      </c>
      <c r="G1699" s="163"/>
      <c r="H16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Helper'!$F$5:$F$3004,"""")&lt;&gt;""""),ROWS(H$5:H1699)),"""")"),"")</f>
        <v/>
      </c>
    </row>
    <row r="1700" ht="15.75" customHeight="1">
      <c r="A17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Helper'!$F$5:$F$3004,"""")&lt;&gt;""""),ROWS(A$5:A1700)),"""")"),"")</f>
        <v/>
      </c>
      <c r="B17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Helper'!$F$5:$F$3004,"""")&lt;&gt;""""),ROWS(B$5:B1700)),"""")"),"")</f>
        <v/>
      </c>
      <c r="C17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Helper'!$F$5:$F$3004,"""")&lt;&gt;""""),ROWS(C$5:C1700)),"""")"),"")</f>
        <v/>
      </c>
      <c r="D17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Helper'!$F$5:$F$3004,"""")&lt;&gt;""""),ROWS(D$5:D1700)),"""")"),"")</f>
        <v/>
      </c>
      <c r="E17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Helper'!$F$5:$F$3004,"""")&lt;&gt;""""),ROWS(E$5:E1700)),"""")"),"")</f>
        <v/>
      </c>
      <c r="F17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Helper'!$F$5:$F$3004,"""")&lt;&gt;""""),ROWS(F$5:F1700)),IF(AND(LEFT(x,5)=""Pag"&amp;"e "",ISERROR(SEARCH(""–"",x))),x&amp;""–""&amp;REGEXEXTRACT(x,""[0-9]+$""),x)),"""")"),"")</f>
        <v/>
      </c>
      <c r="G1700" s="163"/>
      <c r="H17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Helper'!$F$5:$F$3004,"""")&lt;&gt;""""),ROWS(H$5:H1700)),"""")"),"")</f>
        <v/>
      </c>
    </row>
    <row r="1701" ht="15.75" customHeight="1">
      <c r="A17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Helper'!$F$5:$F$3004,"""")&lt;&gt;""""),ROWS(A$5:A1701)),"""")"),"")</f>
        <v/>
      </c>
      <c r="B17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Helper'!$F$5:$F$3004,"""")&lt;&gt;""""),ROWS(B$5:B1701)),"""")"),"")</f>
        <v/>
      </c>
      <c r="C17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Helper'!$F$5:$F$3004,"""")&lt;&gt;""""),ROWS(C$5:C1701)),"""")"),"")</f>
        <v/>
      </c>
      <c r="D17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Helper'!$F$5:$F$3004,"""")&lt;&gt;""""),ROWS(D$5:D1701)),"""")"),"")</f>
        <v/>
      </c>
      <c r="E17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Helper'!$F$5:$F$3004,"""")&lt;&gt;""""),ROWS(E$5:E1701)),"""")"),"")</f>
        <v/>
      </c>
      <c r="F17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Helper'!$F$5:$F$3004,"""")&lt;&gt;""""),ROWS(F$5:F1701)),IF(AND(LEFT(x,5)=""Pag"&amp;"e "",ISERROR(SEARCH(""–"",x))),x&amp;""–""&amp;REGEXEXTRACT(x,""[0-9]+$""),x)),"""")"),"")</f>
        <v/>
      </c>
      <c r="G1701" s="163"/>
      <c r="H17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Helper'!$F$5:$F$3004,"""")&lt;&gt;""""),ROWS(H$5:H1701)),"""")"),"")</f>
        <v/>
      </c>
    </row>
    <row r="1702" ht="15.75" customHeight="1">
      <c r="A17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Helper'!$F$5:$F$3004,"""")&lt;&gt;""""),ROWS(A$5:A1702)),"""")"),"")</f>
        <v/>
      </c>
      <c r="B17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Helper'!$F$5:$F$3004,"""")&lt;&gt;""""),ROWS(B$5:B1702)),"""")"),"")</f>
        <v/>
      </c>
      <c r="C17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Helper'!$F$5:$F$3004,"""")&lt;&gt;""""),ROWS(C$5:C1702)),"""")"),"")</f>
        <v/>
      </c>
      <c r="D17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Helper'!$F$5:$F$3004,"""")&lt;&gt;""""),ROWS(D$5:D1702)),"""")"),"")</f>
        <v/>
      </c>
      <c r="E17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Helper'!$F$5:$F$3004,"""")&lt;&gt;""""),ROWS(E$5:E1702)),"""")"),"")</f>
        <v/>
      </c>
      <c r="F17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Helper'!$F$5:$F$3004,"""")&lt;&gt;""""),ROWS(F$5:F1702)),IF(AND(LEFT(x,5)=""Pag"&amp;"e "",ISERROR(SEARCH(""–"",x))),x&amp;""–""&amp;REGEXEXTRACT(x,""[0-9]+$""),x)),"""")"),"")</f>
        <v/>
      </c>
      <c r="G1702" s="163"/>
      <c r="H17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Helper'!$F$5:$F$3004,"""")&lt;&gt;""""),ROWS(H$5:H1702)),"""")"),"")</f>
        <v/>
      </c>
    </row>
    <row r="1703" ht="15.75" customHeight="1">
      <c r="A17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Helper'!$F$5:$F$3004,"""")&lt;&gt;""""),ROWS(A$5:A1703)),"""")"),"")</f>
        <v/>
      </c>
      <c r="B17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Helper'!$F$5:$F$3004,"""")&lt;&gt;""""),ROWS(B$5:B1703)),"""")"),"")</f>
        <v/>
      </c>
      <c r="C17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Helper'!$F$5:$F$3004,"""")&lt;&gt;""""),ROWS(C$5:C1703)),"""")"),"")</f>
        <v/>
      </c>
      <c r="D17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Helper'!$F$5:$F$3004,"""")&lt;&gt;""""),ROWS(D$5:D1703)),"""")"),"")</f>
        <v/>
      </c>
      <c r="E17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Helper'!$F$5:$F$3004,"""")&lt;&gt;""""),ROWS(E$5:E1703)),"""")"),"")</f>
        <v/>
      </c>
      <c r="F17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Helper'!$F$5:$F$3004,"""")&lt;&gt;""""),ROWS(F$5:F1703)),IF(AND(LEFT(x,5)=""Pag"&amp;"e "",ISERROR(SEARCH(""–"",x))),x&amp;""–""&amp;REGEXEXTRACT(x,""[0-9]+$""),x)),"""")"),"")</f>
        <v/>
      </c>
      <c r="G1703" s="163"/>
      <c r="H17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Helper'!$F$5:$F$3004,"""")&lt;&gt;""""),ROWS(H$5:H1703)),"""")"),"")</f>
        <v/>
      </c>
    </row>
    <row r="1704" ht="15.75" customHeight="1">
      <c r="A17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Helper'!$F$5:$F$3004,"""")&lt;&gt;""""),ROWS(A$5:A1704)),"""")"),"")</f>
        <v/>
      </c>
      <c r="B17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Helper'!$F$5:$F$3004,"""")&lt;&gt;""""),ROWS(B$5:B1704)),"""")"),"")</f>
        <v/>
      </c>
      <c r="C17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Helper'!$F$5:$F$3004,"""")&lt;&gt;""""),ROWS(C$5:C1704)),"""")"),"")</f>
        <v/>
      </c>
      <c r="D17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Helper'!$F$5:$F$3004,"""")&lt;&gt;""""),ROWS(D$5:D1704)),"""")"),"")</f>
        <v/>
      </c>
      <c r="E17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Helper'!$F$5:$F$3004,"""")&lt;&gt;""""),ROWS(E$5:E1704)),"""")"),"")</f>
        <v/>
      </c>
      <c r="F17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Helper'!$F$5:$F$3004,"""")&lt;&gt;""""),ROWS(F$5:F1704)),IF(AND(LEFT(x,5)=""Pag"&amp;"e "",ISERROR(SEARCH(""–"",x))),x&amp;""–""&amp;REGEXEXTRACT(x,""[0-9]+$""),x)),"""")"),"")</f>
        <v/>
      </c>
      <c r="G1704" s="163"/>
      <c r="H17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Helper'!$F$5:$F$3004,"""")&lt;&gt;""""),ROWS(H$5:H1704)),"""")"),"")</f>
        <v/>
      </c>
    </row>
    <row r="1705" ht="15.75" customHeight="1">
      <c r="A17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Helper'!$F$5:$F$3004,"""")&lt;&gt;""""),ROWS(A$5:A1705)),"""")"),"")</f>
        <v/>
      </c>
      <c r="B17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Helper'!$F$5:$F$3004,"""")&lt;&gt;""""),ROWS(B$5:B1705)),"""")"),"")</f>
        <v/>
      </c>
      <c r="C17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Helper'!$F$5:$F$3004,"""")&lt;&gt;""""),ROWS(C$5:C1705)),"""")"),"")</f>
        <v/>
      </c>
      <c r="D17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Helper'!$F$5:$F$3004,"""")&lt;&gt;""""),ROWS(D$5:D1705)),"""")"),"")</f>
        <v/>
      </c>
      <c r="E17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Helper'!$F$5:$F$3004,"""")&lt;&gt;""""),ROWS(E$5:E1705)),"""")"),"")</f>
        <v/>
      </c>
      <c r="F17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Helper'!$F$5:$F$3004,"""")&lt;&gt;""""),ROWS(F$5:F1705)),IF(AND(LEFT(x,5)=""Pag"&amp;"e "",ISERROR(SEARCH(""–"",x))),x&amp;""–""&amp;REGEXEXTRACT(x,""[0-9]+$""),x)),"""")"),"")</f>
        <v/>
      </c>
      <c r="G1705" s="163"/>
      <c r="H17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Helper'!$F$5:$F$3004,"""")&lt;&gt;""""),ROWS(H$5:H1705)),"""")"),"")</f>
        <v/>
      </c>
    </row>
    <row r="1706" ht="15.75" customHeight="1">
      <c r="A17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Helper'!$F$5:$F$3004,"""")&lt;&gt;""""),ROWS(A$5:A1706)),"""")"),"")</f>
        <v/>
      </c>
      <c r="B17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Helper'!$F$5:$F$3004,"""")&lt;&gt;""""),ROWS(B$5:B1706)),"""")"),"")</f>
        <v/>
      </c>
      <c r="C17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Helper'!$F$5:$F$3004,"""")&lt;&gt;""""),ROWS(C$5:C1706)),"""")"),"")</f>
        <v/>
      </c>
      <c r="D17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Helper'!$F$5:$F$3004,"""")&lt;&gt;""""),ROWS(D$5:D1706)),"""")"),"")</f>
        <v/>
      </c>
      <c r="E17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Helper'!$F$5:$F$3004,"""")&lt;&gt;""""),ROWS(E$5:E1706)),"""")"),"")</f>
        <v/>
      </c>
      <c r="F17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Helper'!$F$5:$F$3004,"""")&lt;&gt;""""),ROWS(F$5:F1706)),IF(AND(LEFT(x,5)=""Pag"&amp;"e "",ISERROR(SEARCH(""–"",x))),x&amp;""–""&amp;REGEXEXTRACT(x,""[0-9]+$""),x)),"""")"),"")</f>
        <v/>
      </c>
      <c r="G1706" s="163"/>
      <c r="H17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Helper'!$F$5:$F$3004,"""")&lt;&gt;""""),ROWS(H$5:H1706)),"""")"),"")</f>
        <v/>
      </c>
    </row>
    <row r="1707" ht="15.75" customHeight="1">
      <c r="A17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Helper'!$F$5:$F$3004,"""")&lt;&gt;""""),ROWS(A$5:A1707)),"""")"),"")</f>
        <v/>
      </c>
      <c r="B17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Helper'!$F$5:$F$3004,"""")&lt;&gt;""""),ROWS(B$5:B1707)),"""")"),"")</f>
        <v/>
      </c>
      <c r="C17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Helper'!$F$5:$F$3004,"""")&lt;&gt;""""),ROWS(C$5:C1707)),"""")"),"")</f>
        <v/>
      </c>
      <c r="D17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Helper'!$F$5:$F$3004,"""")&lt;&gt;""""),ROWS(D$5:D1707)),"""")"),"")</f>
        <v/>
      </c>
      <c r="E17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Helper'!$F$5:$F$3004,"""")&lt;&gt;""""),ROWS(E$5:E1707)),"""")"),"")</f>
        <v/>
      </c>
      <c r="F17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Helper'!$F$5:$F$3004,"""")&lt;&gt;""""),ROWS(F$5:F1707)),IF(AND(LEFT(x,5)=""Pag"&amp;"e "",ISERROR(SEARCH(""–"",x))),x&amp;""–""&amp;REGEXEXTRACT(x,""[0-9]+$""),x)),"""")"),"")</f>
        <v/>
      </c>
      <c r="G1707" s="163"/>
      <c r="H17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Helper'!$F$5:$F$3004,"""")&lt;&gt;""""),ROWS(H$5:H1707)),"""")"),"")</f>
        <v/>
      </c>
    </row>
    <row r="1708" ht="15.75" customHeight="1">
      <c r="A17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Helper'!$F$5:$F$3004,"""")&lt;&gt;""""),ROWS(A$5:A1708)),"""")"),"")</f>
        <v/>
      </c>
      <c r="B17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Helper'!$F$5:$F$3004,"""")&lt;&gt;""""),ROWS(B$5:B1708)),"""")"),"")</f>
        <v/>
      </c>
      <c r="C17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Helper'!$F$5:$F$3004,"""")&lt;&gt;""""),ROWS(C$5:C1708)),"""")"),"")</f>
        <v/>
      </c>
      <c r="D17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Helper'!$F$5:$F$3004,"""")&lt;&gt;""""),ROWS(D$5:D1708)),"""")"),"")</f>
        <v/>
      </c>
      <c r="E17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Helper'!$F$5:$F$3004,"""")&lt;&gt;""""),ROWS(E$5:E1708)),"""")"),"")</f>
        <v/>
      </c>
      <c r="F17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Helper'!$F$5:$F$3004,"""")&lt;&gt;""""),ROWS(F$5:F1708)),IF(AND(LEFT(x,5)=""Pag"&amp;"e "",ISERROR(SEARCH(""–"",x))),x&amp;""–""&amp;REGEXEXTRACT(x,""[0-9]+$""),x)),"""")"),"")</f>
        <v/>
      </c>
      <c r="G1708" s="163"/>
      <c r="H17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Helper'!$F$5:$F$3004,"""")&lt;&gt;""""),ROWS(H$5:H1708)),"""")"),"")</f>
        <v/>
      </c>
    </row>
    <row r="1709" ht="15.75" customHeight="1">
      <c r="A17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Helper'!$F$5:$F$3004,"""")&lt;&gt;""""),ROWS(A$5:A1709)),"""")"),"")</f>
        <v/>
      </c>
      <c r="B17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Helper'!$F$5:$F$3004,"""")&lt;&gt;""""),ROWS(B$5:B1709)),"""")"),"")</f>
        <v/>
      </c>
      <c r="C17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Helper'!$F$5:$F$3004,"""")&lt;&gt;""""),ROWS(C$5:C1709)),"""")"),"")</f>
        <v/>
      </c>
      <c r="D17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Helper'!$F$5:$F$3004,"""")&lt;&gt;""""),ROWS(D$5:D1709)),"""")"),"")</f>
        <v/>
      </c>
      <c r="E17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Helper'!$F$5:$F$3004,"""")&lt;&gt;""""),ROWS(E$5:E1709)),"""")"),"")</f>
        <v/>
      </c>
      <c r="F17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Helper'!$F$5:$F$3004,"""")&lt;&gt;""""),ROWS(F$5:F1709)),IF(AND(LEFT(x,5)=""Pag"&amp;"e "",ISERROR(SEARCH(""–"",x))),x&amp;""–""&amp;REGEXEXTRACT(x,""[0-9]+$""),x)),"""")"),"")</f>
        <v/>
      </c>
      <c r="G1709" s="163"/>
      <c r="H17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Helper'!$F$5:$F$3004,"""")&lt;&gt;""""),ROWS(H$5:H1709)),"""")"),"")</f>
        <v/>
      </c>
    </row>
    <row r="1710" ht="15.75" customHeight="1">
      <c r="A17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Helper'!$F$5:$F$3004,"""")&lt;&gt;""""),ROWS(A$5:A1710)),"""")"),"")</f>
        <v/>
      </c>
      <c r="B17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Helper'!$F$5:$F$3004,"""")&lt;&gt;""""),ROWS(B$5:B1710)),"""")"),"")</f>
        <v/>
      </c>
      <c r="C17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Helper'!$F$5:$F$3004,"""")&lt;&gt;""""),ROWS(C$5:C1710)),"""")"),"")</f>
        <v/>
      </c>
      <c r="D17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Helper'!$F$5:$F$3004,"""")&lt;&gt;""""),ROWS(D$5:D1710)),"""")"),"")</f>
        <v/>
      </c>
      <c r="E17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Helper'!$F$5:$F$3004,"""")&lt;&gt;""""),ROWS(E$5:E1710)),"""")"),"")</f>
        <v/>
      </c>
      <c r="F17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Helper'!$F$5:$F$3004,"""")&lt;&gt;""""),ROWS(F$5:F1710)),IF(AND(LEFT(x,5)=""Pag"&amp;"e "",ISERROR(SEARCH(""–"",x))),x&amp;""–""&amp;REGEXEXTRACT(x,""[0-9]+$""),x)),"""")"),"")</f>
        <v/>
      </c>
      <c r="G1710" s="163"/>
      <c r="H17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Helper'!$F$5:$F$3004,"""")&lt;&gt;""""),ROWS(H$5:H1710)),"""")"),"")</f>
        <v/>
      </c>
    </row>
    <row r="1711" ht="15.75" customHeight="1">
      <c r="A17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Helper'!$F$5:$F$3004,"""")&lt;&gt;""""),ROWS(A$5:A1711)),"""")"),"")</f>
        <v/>
      </c>
      <c r="B17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Helper'!$F$5:$F$3004,"""")&lt;&gt;""""),ROWS(B$5:B1711)),"""")"),"")</f>
        <v/>
      </c>
      <c r="C17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Helper'!$F$5:$F$3004,"""")&lt;&gt;""""),ROWS(C$5:C1711)),"""")"),"")</f>
        <v/>
      </c>
      <c r="D17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Helper'!$F$5:$F$3004,"""")&lt;&gt;""""),ROWS(D$5:D1711)),"""")"),"")</f>
        <v/>
      </c>
      <c r="E17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Helper'!$F$5:$F$3004,"""")&lt;&gt;""""),ROWS(E$5:E1711)),"""")"),"")</f>
        <v/>
      </c>
      <c r="F17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Helper'!$F$5:$F$3004,"""")&lt;&gt;""""),ROWS(F$5:F1711)),IF(AND(LEFT(x,5)=""Pag"&amp;"e "",ISERROR(SEARCH(""–"",x))),x&amp;""–""&amp;REGEXEXTRACT(x,""[0-9]+$""),x)),"""")"),"")</f>
        <v/>
      </c>
      <c r="G1711" s="163"/>
      <c r="H17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Helper'!$F$5:$F$3004,"""")&lt;&gt;""""),ROWS(H$5:H1711)),"""")"),"")</f>
        <v/>
      </c>
    </row>
    <row r="1712" ht="15.75" customHeight="1">
      <c r="A17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Helper'!$F$5:$F$3004,"""")&lt;&gt;""""),ROWS(A$5:A1712)),"""")"),"")</f>
        <v/>
      </c>
      <c r="B17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Helper'!$F$5:$F$3004,"""")&lt;&gt;""""),ROWS(B$5:B1712)),"""")"),"")</f>
        <v/>
      </c>
      <c r="C17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Helper'!$F$5:$F$3004,"""")&lt;&gt;""""),ROWS(C$5:C1712)),"""")"),"")</f>
        <v/>
      </c>
      <c r="D17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Helper'!$F$5:$F$3004,"""")&lt;&gt;""""),ROWS(D$5:D1712)),"""")"),"")</f>
        <v/>
      </c>
      <c r="E17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Helper'!$F$5:$F$3004,"""")&lt;&gt;""""),ROWS(E$5:E1712)),"""")"),"")</f>
        <v/>
      </c>
      <c r="F17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Helper'!$F$5:$F$3004,"""")&lt;&gt;""""),ROWS(F$5:F1712)),IF(AND(LEFT(x,5)=""Pag"&amp;"e "",ISERROR(SEARCH(""–"",x))),x&amp;""–""&amp;REGEXEXTRACT(x,""[0-9]+$""),x)),"""")"),"")</f>
        <v/>
      </c>
      <c r="G1712" s="163"/>
      <c r="H17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Helper'!$F$5:$F$3004,"""")&lt;&gt;""""),ROWS(H$5:H1712)),"""")"),"")</f>
        <v/>
      </c>
    </row>
    <row r="1713" ht="15.75" customHeight="1">
      <c r="A17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Helper'!$F$5:$F$3004,"""")&lt;&gt;""""),ROWS(A$5:A1713)),"""")"),"")</f>
        <v/>
      </c>
      <c r="B17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Helper'!$F$5:$F$3004,"""")&lt;&gt;""""),ROWS(B$5:B1713)),"""")"),"")</f>
        <v/>
      </c>
      <c r="C17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Helper'!$F$5:$F$3004,"""")&lt;&gt;""""),ROWS(C$5:C1713)),"""")"),"")</f>
        <v/>
      </c>
      <c r="D17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Helper'!$F$5:$F$3004,"""")&lt;&gt;""""),ROWS(D$5:D1713)),"""")"),"")</f>
        <v/>
      </c>
      <c r="E17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Helper'!$F$5:$F$3004,"""")&lt;&gt;""""),ROWS(E$5:E1713)),"""")"),"")</f>
        <v/>
      </c>
      <c r="F17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Helper'!$F$5:$F$3004,"""")&lt;&gt;""""),ROWS(F$5:F1713)),IF(AND(LEFT(x,5)=""Pag"&amp;"e "",ISERROR(SEARCH(""–"",x))),x&amp;""–""&amp;REGEXEXTRACT(x,""[0-9]+$""),x)),"""")"),"")</f>
        <v/>
      </c>
      <c r="G1713" s="163"/>
      <c r="H17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Helper'!$F$5:$F$3004,"""")&lt;&gt;""""),ROWS(H$5:H1713)),"""")"),"")</f>
        <v/>
      </c>
    </row>
    <row r="1714" ht="15.75" customHeight="1">
      <c r="A17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Helper'!$F$5:$F$3004,"""")&lt;&gt;""""),ROWS(A$5:A1714)),"""")"),"")</f>
        <v/>
      </c>
      <c r="B17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Helper'!$F$5:$F$3004,"""")&lt;&gt;""""),ROWS(B$5:B1714)),"""")"),"")</f>
        <v/>
      </c>
      <c r="C17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Helper'!$F$5:$F$3004,"""")&lt;&gt;""""),ROWS(C$5:C1714)),"""")"),"")</f>
        <v/>
      </c>
      <c r="D17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Helper'!$F$5:$F$3004,"""")&lt;&gt;""""),ROWS(D$5:D1714)),"""")"),"")</f>
        <v/>
      </c>
      <c r="E17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Helper'!$F$5:$F$3004,"""")&lt;&gt;""""),ROWS(E$5:E1714)),"""")"),"")</f>
        <v/>
      </c>
      <c r="F17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Helper'!$F$5:$F$3004,"""")&lt;&gt;""""),ROWS(F$5:F1714)),IF(AND(LEFT(x,5)=""Pag"&amp;"e "",ISERROR(SEARCH(""–"",x))),x&amp;""–""&amp;REGEXEXTRACT(x,""[0-9]+$""),x)),"""")"),"")</f>
        <v/>
      </c>
      <c r="G1714" s="163"/>
      <c r="H17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Helper'!$F$5:$F$3004,"""")&lt;&gt;""""),ROWS(H$5:H1714)),"""")"),"")</f>
        <v/>
      </c>
    </row>
    <row r="1715" ht="15.75" customHeight="1">
      <c r="A17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Helper'!$F$5:$F$3004,"""")&lt;&gt;""""),ROWS(A$5:A1715)),"""")"),"")</f>
        <v/>
      </c>
      <c r="B17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Helper'!$F$5:$F$3004,"""")&lt;&gt;""""),ROWS(B$5:B1715)),"""")"),"")</f>
        <v/>
      </c>
      <c r="C17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Helper'!$F$5:$F$3004,"""")&lt;&gt;""""),ROWS(C$5:C1715)),"""")"),"")</f>
        <v/>
      </c>
      <c r="D17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Helper'!$F$5:$F$3004,"""")&lt;&gt;""""),ROWS(D$5:D1715)),"""")"),"")</f>
        <v/>
      </c>
      <c r="E17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Helper'!$F$5:$F$3004,"""")&lt;&gt;""""),ROWS(E$5:E1715)),"""")"),"")</f>
        <v/>
      </c>
      <c r="F17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Helper'!$F$5:$F$3004,"""")&lt;&gt;""""),ROWS(F$5:F1715)),IF(AND(LEFT(x,5)=""Pag"&amp;"e "",ISERROR(SEARCH(""–"",x))),x&amp;""–""&amp;REGEXEXTRACT(x,""[0-9]+$""),x)),"""")"),"")</f>
        <v/>
      </c>
      <c r="G1715" s="163"/>
      <c r="H17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Helper'!$F$5:$F$3004,"""")&lt;&gt;""""),ROWS(H$5:H1715)),"""")"),"")</f>
        <v/>
      </c>
    </row>
    <row r="1716" ht="15.75" customHeight="1">
      <c r="A17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Helper'!$F$5:$F$3004,"""")&lt;&gt;""""),ROWS(A$5:A1716)),"""")"),"")</f>
        <v/>
      </c>
      <c r="B17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Helper'!$F$5:$F$3004,"""")&lt;&gt;""""),ROWS(B$5:B1716)),"""")"),"")</f>
        <v/>
      </c>
      <c r="C17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Helper'!$F$5:$F$3004,"""")&lt;&gt;""""),ROWS(C$5:C1716)),"""")"),"")</f>
        <v/>
      </c>
      <c r="D17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Helper'!$F$5:$F$3004,"""")&lt;&gt;""""),ROWS(D$5:D1716)),"""")"),"")</f>
        <v/>
      </c>
      <c r="E17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Helper'!$F$5:$F$3004,"""")&lt;&gt;""""),ROWS(E$5:E1716)),"""")"),"")</f>
        <v/>
      </c>
      <c r="F17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Helper'!$F$5:$F$3004,"""")&lt;&gt;""""),ROWS(F$5:F1716)),IF(AND(LEFT(x,5)=""Pag"&amp;"e "",ISERROR(SEARCH(""–"",x))),x&amp;""–""&amp;REGEXEXTRACT(x,""[0-9]+$""),x)),"""")"),"")</f>
        <v/>
      </c>
      <c r="G1716" s="163"/>
      <c r="H17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Helper'!$F$5:$F$3004,"""")&lt;&gt;""""),ROWS(H$5:H1716)),"""")"),"")</f>
        <v/>
      </c>
    </row>
    <row r="1717" ht="15.75" customHeight="1">
      <c r="A17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Helper'!$F$5:$F$3004,"""")&lt;&gt;""""),ROWS(A$5:A1717)),"""")"),"")</f>
        <v/>
      </c>
      <c r="B17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Helper'!$F$5:$F$3004,"""")&lt;&gt;""""),ROWS(B$5:B1717)),"""")"),"")</f>
        <v/>
      </c>
      <c r="C17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Helper'!$F$5:$F$3004,"""")&lt;&gt;""""),ROWS(C$5:C1717)),"""")"),"")</f>
        <v/>
      </c>
      <c r="D17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Helper'!$F$5:$F$3004,"""")&lt;&gt;""""),ROWS(D$5:D1717)),"""")"),"")</f>
        <v/>
      </c>
      <c r="E17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Helper'!$F$5:$F$3004,"""")&lt;&gt;""""),ROWS(E$5:E1717)),"""")"),"")</f>
        <v/>
      </c>
      <c r="F17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Helper'!$F$5:$F$3004,"""")&lt;&gt;""""),ROWS(F$5:F1717)),IF(AND(LEFT(x,5)=""Pag"&amp;"e "",ISERROR(SEARCH(""–"",x))),x&amp;""–""&amp;REGEXEXTRACT(x,""[0-9]+$""),x)),"""")"),"")</f>
        <v/>
      </c>
      <c r="G1717" s="163"/>
      <c r="H17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Helper'!$F$5:$F$3004,"""")&lt;&gt;""""),ROWS(H$5:H1717)),"""")"),"")</f>
        <v/>
      </c>
    </row>
    <row r="1718" ht="15.75" customHeight="1">
      <c r="A17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Helper'!$F$5:$F$3004,"""")&lt;&gt;""""),ROWS(A$5:A1718)),"""")"),"")</f>
        <v/>
      </c>
      <c r="B17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Helper'!$F$5:$F$3004,"""")&lt;&gt;""""),ROWS(B$5:B1718)),"""")"),"")</f>
        <v/>
      </c>
      <c r="C17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Helper'!$F$5:$F$3004,"""")&lt;&gt;""""),ROWS(C$5:C1718)),"""")"),"")</f>
        <v/>
      </c>
      <c r="D17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Helper'!$F$5:$F$3004,"""")&lt;&gt;""""),ROWS(D$5:D1718)),"""")"),"")</f>
        <v/>
      </c>
      <c r="E17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Helper'!$F$5:$F$3004,"""")&lt;&gt;""""),ROWS(E$5:E1718)),"""")"),"")</f>
        <v/>
      </c>
      <c r="F17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Helper'!$F$5:$F$3004,"""")&lt;&gt;""""),ROWS(F$5:F1718)),IF(AND(LEFT(x,5)=""Pag"&amp;"e "",ISERROR(SEARCH(""–"",x))),x&amp;""–""&amp;REGEXEXTRACT(x,""[0-9]+$""),x)),"""")"),"")</f>
        <v/>
      </c>
      <c r="G1718" s="163"/>
      <c r="H17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Helper'!$F$5:$F$3004,"""")&lt;&gt;""""),ROWS(H$5:H1718)),"""")"),"")</f>
        <v/>
      </c>
    </row>
    <row r="1719" ht="15.75" customHeight="1">
      <c r="A17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Helper'!$F$5:$F$3004,"""")&lt;&gt;""""),ROWS(A$5:A1719)),"""")"),"")</f>
        <v/>
      </c>
      <c r="B17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Helper'!$F$5:$F$3004,"""")&lt;&gt;""""),ROWS(B$5:B1719)),"""")"),"")</f>
        <v/>
      </c>
      <c r="C17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Helper'!$F$5:$F$3004,"""")&lt;&gt;""""),ROWS(C$5:C1719)),"""")"),"")</f>
        <v/>
      </c>
      <c r="D17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Helper'!$F$5:$F$3004,"""")&lt;&gt;""""),ROWS(D$5:D1719)),"""")"),"")</f>
        <v/>
      </c>
      <c r="E17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Helper'!$F$5:$F$3004,"""")&lt;&gt;""""),ROWS(E$5:E1719)),"""")"),"")</f>
        <v/>
      </c>
      <c r="F17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Helper'!$F$5:$F$3004,"""")&lt;&gt;""""),ROWS(F$5:F1719)),IF(AND(LEFT(x,5)=""Pag"&amp;"e "",ISERROR(SEARCH(""–"",x))),x&amp;""–""&amp;REGEXEXTRACT(x,""[0-9]+$""),x)),"""")"),"")</f>
        <v/>
      </c>
      <c r="G1719" s="163"/>
      <c r="H17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Helper'!$F$5:$F$3004,"""")&lt;&gt;""""),ROWS(H$5:H1719)),"""")"),"")</f>
        <v/>
      </c>
    </row>
    <row r="1720" ht="15.75" customHeight="1">
      <c r="A17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Helper'!$F$5:$F$3004,"""")&lt;&gt;""""),ROWS(A$5:A1720)),"""")"),"")</f>
        <v/>
      </c>
      <c r="B17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Helper'!$F$5:$F$3004,"""")&lt;&gt;""""),ROWS(B$5:B1720)),"""")"),"")</f>
        <v/>
      </c>
      <c r="C17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Helper'!$F$5:$F$3004,"""")&lt;&gt;""""),ROWS(C$5:C1720)),"""")"),"")</f>
        <v/>
      </c>
      <c r="D17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Helper'!$F$5:$F$3004,"""")&lt;&gt;""""),ROWS(D$5:D1720)),"""")"),"")</f>
        <v/>
      </c>
      <c r="E17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Helper'!$F$5:$F$3004,"""")&lt;&gt;""""),ROWS(E$5:E1720)),"""")"),"")</f>
        <v/>
      </c>
      <c r="F17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Helper'!$F$5:$F$3004,"""")&lt;&gt;""""),ROWS(F$5:F1720)),IF(AND(LEFT(x,5)=""Pag"&amp;"e "",ISERROR(SEARCH(""–"",x))),x&amp;""–""&amp;REGEXEXTRACT(x,""[0-9]+$""),x)),"""")"),"")</f>
        <v/>
      </c>
      <c r="G1720" s="163"/>
      <c r="H17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Helper'!$F$5:$F$3004,"""")&lt;&gt;""""),ROWS(H$5:H1720)),"""")"),"")</f>
        <v/>
      </c>
    </row>
    <row r="1721" ht="15.75" customHeight="1">
      <c r="A17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Helper'!$F$5:$F$3004,"""")&lt;&gt;""""),ROWS(A$5:A1721)),"""")"),"")</f>
        <v/>
      </c>
      <c r="B17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Helper'!$F$5:$F$3004,"""")&lt;&gt;""""),ROWS(B$5:B1721)),"""")"),"")</f>
        <v/>
      </c>
      <c r="C17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Helper'!$F$5:$F$3004,"""")&lt;&gt;""""),ROWS(C$5:C1721)),"""")"),"")</f>
        <v/>
      </c>
      <c r="D17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Helper'!$F$5:$F$3004,"""")&lt;&gt;""""),ROWS(D$5:D1721)),"""")"),"")</f>
        <v/>
      </c>
      <c r="E17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Helper'!$F$5:$F$3004,"""")&lt;&gt;""""),ROWS(E$5:E1721)),"""")"),"")</f>
        <v/>
      </c>
      <c r="F17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Helper'!$F$5:$F$3004,"""")&lt;&gt;""""),ROWS(F$5:F1721)),IF(AND(LEFT(x,5)=""Pag"&amp;"e "",ISERROR(SEARCH(""–"",x))),x&amp;""–""&amp;REGEXEXTRACT(x,""[0-9]+$""),x)),"""")"),"")</f>
        <v/>
      </c>
      <c r="G1721" s="163"/>
      <c r="H17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Helper'!$F$5:$F$3004,"""")&lt;&gt;""""),ROWS(H$5:H1721)),"""")"),"")</f>
        <v/>
      </c>
    </row>
    <row r="1722" ht="15.75" customHeight="1">
      <c r="A17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Helper'!$F$5:$F$3004,"""")&lt;&gt;""""),ROWS(A$5:A1722)),"""")"),"")</f>
        <v/>
      </c>
      <c r="B17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Helper'!$F$5:$F$3004,"""")&lt;&gt;""""),ROWS(B$5:B1722)),"""")"),"")</f>
        <v/>
      </c>
      <c r="C17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Helper'!$F$5:$F$3004,"""")&lt;&gt;""""),ROWS(C$5:C1722)),"""")"),"")</f>
        <v/>
      </c>
      <c r="D17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Helper'!$F$5:$F$3004,"""")&lt;&gt;""""),ROWS(D$5:D1722)),"""")"),"")</f>
        <v/>
      </c>
      <c r="E17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Helper'!$F$5:$F$3004,"""")&lt;&gt;""""),ROWS(E$5:E1722)),"""")"),"")</f>
        <v/>
      </c>
      <c r="F17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Helper'!$F$5:$F$3004,"""")&lt;&gt;""""),ROWS(F$5:F1722)),IF(AND(LEFT(x,5)=""Pag"&amp;"e "",ISERROR(SEARCH(""–"",x))),x&amp;""–""&amp;REGEXEXTRACT(x,""[0-9]+$""),x)),"""")"),"")</f>
        <v/>
      </c>
      <c r="G1722" s="163"/>
      <c r="H17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Helper'!$F$5:$F$3004,"""")&lt;&gt;""""),ROWS(H$5:H1722)),"""")"),"")</f>
        <v/>
      </c>
    </row>
    <row r="1723" ht="15.75" customHeight="1">
      <c r="A17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Helper'!$F$5:$F$3004,"""")&lt;&gt;""""),ROWS(A$5:A1723)),"""")"),"")</f>
        <v/>
      </c>
      <c r="B17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Helper'!$F$5:$F$3004,"""")&lt;&gt;""""),ROWS(B$5:B1723)),"""")"),"")</f>
        <v/>
      </c>
      <c r="C17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Helper'!$F$5:$F$3004,"""")&lt;&gt;""""),ROWS(C$5:C1723)),"""")"),"")</f>
        <v/>
      </c>
      <c r="D17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Helper'!$F$5:$F$3004,"""")&lt;&gt;""""),ROWS(D$5:D1723)),"""")"),"")</f>
        <v/>
      </c>
      <c r="E17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Helper'!$F$5:$F$3004,"""")&lt;&gt;""""),ROWS(E$5:E1723)),"""")"),"")</f>
        <v/>
      </c>
      <c r="F17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Helper'!$F$5:$F$3004,"""")&lt;&gt;""""),ROWS(F$5:F1723)),IF(AND(LEFT(x,5)=""Pag"&amp;"e "",ISERROR(SEARCH(""–"",x))),x&amp;""–""&amp;REGEXEXTRACT(x,""[0-9]+$""),x)),"""")"),"")</f>
        <v/>
      </c>
      <c r="G1723" s="163"/>
      <c r="H17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Helper'!$F$5:$F$3004,"""")&lt;&gt;""""),ROWS(H$5:H1723)),"""")"),"")</f>
        <v/>
      </c>
    </row>
    <row r="1724" ht="15.75" customHeight="1">
      <c r="A17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Helper'!$F$5:$F$3004,"""")&lt;&gt;""""),ROWS(A$5:A1724)),"""")"),"")</f>
        <v/>
      </c>
      <c r="B17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Helper'!$F$5:$F$3004,"""")&lt;&gt;""""),ROWS(B$5:B1724)),"""")"),"")</f>
        <v/>
      </c>
      <c r="C17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Helper'!$F$5:$F$3004,"""")&lt;&gt;""""),ROWS(C$5:C1724)),"""")"),"")</f>
        <v/>
      </c>
      <c r="D17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Helper'!$F$5:$F$3004,"""")&lt;&gt;""""),ROWS(D$5:D1724)),"""")"),"")</f>
        <v/>
      </c>
      <c r="E17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Helper'!$F$5:$F$3004,"""")&lt;&gt;""""),ROWS(E$5:E1724)),"""")"),"")</f>
        <v/>
      </c>
      <c r="F17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Helper'!$F$5:$F$3004,"""")&lt;&gt;""""),ROWS(F$5:F1724)),IF(AND(LEFT(x,5)=""Pag"&amp;"e "",ISERROR(SEARCH(""–"",x))),x&amp;""–""&amp;REGEXEXTRACT(x,""[0-9]+$""),x)),"""")"),"")</f>
        <v/>
      </c>
      <c r="G1724" s="163"/>
      <c r="H17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Helper'!$F$5:$F$3004,"""")&lt;&gt;""""),ROWS(H$5:H1724)),"""")"),"")</f>
        <v/>
      </c>
    </row>
    <row r="1725" ht="15.75" customHeight="1">
      <c r="A17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Helper'!$F$5:$F$3004,"""")&lt;&gt;""""),ROWS(A$5:A1725)),"""")"),"")</f>
        <v/>
      </c>
      <c r="B17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Helper'!$F$5:$F$3004,"""")&lt;&gt;""""),ROWS(B$5:B1725)),"""")"),"")</f>
        <v/>
      </c>
      <c r="C17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Helper'!$F$5:$F$3004,"""")&lt;&gt;""""),ROWS(C$5:C1725)),"""")"),"")</f>
        <v/>
      </c>
      <c r="D17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Helper'!$F$5:$F$3004,"""")&lt;&gt;""""),ROWS(D$5:D1725)),"""")"),"")</f>
        <v/>
      </c>
      <c r="E17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Helper'!$F$5:$F$3004,"""")&lt;&gt;""""),ROWS(E$5:E1725)),"""")"),"")</f>
        <v/>
      </c>
      <c r="F17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Helper'!$F$5:$F$3004,"""")&lt;&gt;""""),ROWS(F$5:F1725)),IF(AND(LEFT(x,5)=""Pag"&amp;"e "",ISERROR(SEARCH(""–"",x))),x&amp;""–""&amp;REGEXEXTRACT(x,""[0-9]+$""),x)),"""")"),"")</f>
        <v/>
      </c>
      <c r="G1725" s="163"/>
      <c r="H17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Helper'!$F$5:$F$3004,"""")&lt;&gt;""""),ROWS(H$5:H1725)),"""")"),"")</f>
        <v/>
      </c>
    </row>
    <row r="1726" ht="15.75" customHeight="1">
      <c r="A17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Helper'!$F$5:$F$3004,"""")&lt;&gt;""""),ROWS(A$5:A1726)),"""")"),"")</f>
        <v/>
      </c>
      <c r="B17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Helper'!$F$5:$F$3004,"""")&lt;&gt;""""),ROWS(B$5:B1726)),"""")"),"")</f>
        <v/>
      </c>
      <c r="C17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Helper'!$F$5:$F$3004,"""")&lt;&gt;""""),ROWS(C$5:C1726)),"""")"),"")</f>
        <v/>
      </c>
      <c r="D17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Helper'!$F$5:$F$3004,"""")&lt;&gt;""""),ROWS(D$5:D1726)),"""")"),"")</f>
        <v/>
      </c>
      <c r="E17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Helper'!$F$5:$F$3004,"""")&lt;&gt;""""),ROWS(E$5:E1726)),"""")"),"")</f>
        <v/>
      </c>
      <c r="F17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Helper'!$F$5:$F$3004,"""")&lt;&gt;""""),ROWS(F$5:F1726)),IF(AND(LEFT(x,5)=""Pag"&amp;"e "",ISERROR(SEARCH(""–"",x))),x&amp;""–""&amp;REGEXEXTRACT(x,""[0-9]+$""),x)),"""")"),"")</f>
        <v/>
      </c>
      <c r="G1726" s="163"/>
      <c r="H17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Helper'!$F$5:$F$3004,"""")&lt;&gt;""""),ROWS(H$5:H1726)),"""")"),"")</f>
        <v/>
      </c>
    </row>
    <row r="1727" ht="15.75" customHeight="1">
      <c r="A17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Helper'!$F$5:$F$3004,"""")&lt;&gt;""""),ROWS(A$5:A1727)),"""")"),"")</f>
        <v/>
      </c>
      <c r="B17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Helper'!$F$5:$F$3004,"""")&lt;&gt;""""),ROWS(B$5:B1727)),"""")"),"")</f>
        <v/>
      </c>
      <c r="C17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Helper'!$F$5:$F$3004,"""")&lt;&gt;""""),ROWS(C$5:C1727)),"""")"),"")</f>
        <v/>
      </c>
      <c r="D17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Helper'!$F$5:$F$3004,"""")&lt;&gt;""""),ROWS(D$5:D1727)),"""")"),"")</f>
        <v/>
      </c>
      <c r="E17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Helper'!$F$5:$F$3004,"""")&lt;&gt;""""),ROWS(E$5:E1727)),"""")"),"")</f>
        <v/>
      </c>
      <c r="F17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Helper'!$F$5:$F$3004,"""")&lt;&gt;""""),ROWS(F$5:F1727)),IF(AND(LEFT(x,5)=""Pag"&amp;"e "",ISERROR(SEARCH(""–"",x))),x&amp;""–""&amp;REGEXEXTRACT(x,""[0-9]+$""),x)),"""")"),"")</f>
        <v/>
      </c>
      <c r="G1727" s="163"/>
      <c r="H17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Helper'!$F$5:$F$3004,"""")&lt;&gt;""""),ROWS(H$5:H1727)),"""")"),"")</f>
        <v/>
      </c>
    </row>
    <row r="1728" ht="15.75" customHeight="1">
      <c r="A17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Helper'!$F$5:$F$3004,"""")&lt;&gt;""""),ROWS(A$5:A1728)),"""")"),"")</f>
        <v/>
      </c>
      <c r="B17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Helper'!$F$5:$F$3004,"""")&lt;&gt;""""),ROWS(B$5:B1728)),"""")"),"")</f>
        <v/>
      </c>
      <c r="C17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Helper'!$F$5:$F$3004,"""")&lt;&gt;""""),ROWS(C$5:C1728)),"""")"),"")</f>
        <v/>
      </c>
      <c r="D17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Helper'!$F$5:$F$3004,"""")&lt;&gt;""""),ROWS(D$5:D1728)),"""")"),"")</f>
        <v/>
      </c>
      <c r="E17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Helper'!$F$5:$F$3004,"""")&lt;&gt;""""),ROWS(E$5:E1728)),"""")"),"")</f>
        <v/>
      </c>
      <c r="F17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Helper'!$F$5:$F$3004,"""")&lt;&gt;""""),ROWS(F$5:F1728)),IF(AND(LEFT(x,5)=""Pag"&amp;"e "",ISERROR(SEARCH(""–"",x))),x&amp;""–""&amp;REGEXEXTRACT(x,""[0-9]+$""),x)),"""")"),"")</f>
        <v/>
      </c>
      <c r="G1728" s="163"/>
      <c r="H17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Helper'!$F$5:$F$3004,"""")&lt;&gt;""""),ROWS(H$5:H1728)),"""")"),"")</f>
        <v/>
      </c>
    </row>
    <row r="1729" ht="15.75" customHeight="1">
      <c r="A17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Helper'!$F$5:$F$3004,"""")&lt;&gt;""""),ROWS(A$5:A1729)),"""")"),"")</f>
        <v/>
      </c>
      <c r="B17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Helper'!$F$5:$F$3004,"""")&lt;&gt;""""),ROWS(B$5:B1729)),"""")"),"")</f>
        <v/>
      </c>
      <c r="C17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Helper'!$F$5:$F$3004,"""")&lt;&gt;""""),ROWS(C$5:C1729)),"""")"),"")</f>
        <v/>
      </c>
      <c r="D17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Helper'!$F$5:$F$3004,"""")&lt;&gt;""""),ROWS(D$5:D1729)),"""")"),"")</f>
        <v/>
      </c>
      <c r="E17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Helper'!$F$5:$F$3004,"""")&lt;&gt;""""),ROWS(E$5:E1729)),"""")"),"")</f>
        <v/>
      </c>
      <c r="F17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Helper'!$F$5:$F$3004,"""")&lt;&gt;""""),ROWS(F$5:F1729)),IF(AND(LEFT(x,5)=""Pag"&amp;"e "",ISERROR(SEARCH(""–"",x))),x&amp;""–""&amp;REGEXEXTRACT(x,""[0-9]+$""),x)),"""")"),"")</f>
        <v/>
      </c>
      <c r="G1729" s="163"/>
      <c r="H17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Helper'!$F$5:$F$3004,"""")&lt;&gt;""""),ROWS(H$5:H1729)),"""")"),"")</f>
        <v/>
      </c>
    </row>
    <row r="1730" ht="15.75" customHeight="1">
      <c r="A17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Helper'!$F$5:$F$3004,"""")&lt;&gt;""""),ROWS(A$5:A1730)),"""")"),"")</f>
        <v/>
      </c>
      <c r="B17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Helper'!$F$5:$F$3004,"""")&lt;&gt;""""),ROWS(B$5:B1730)),"""")"),"")</f>
        <v/>
      </c>
      <c r="C17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Helper'!$F$5:$F$3004,"""")&lt;&gt;""""),ROWS(C$5:C1730)),"""")"),"")</f>
        <v/>
      </c>
      <c r="D17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Helper'!$F$5:$F$3004,"""")&lt;&gt;""""),ROWS(D$5:D1730)),"""")"),"")</f>
        <v/>
      </c>
      <c r="E17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Helper'!$F$5:$F$3004,"""")&lt;&gt;""""),ROWS(E$5:E1730)),"""")"),"")</f>
        <v/>
      </c>
      <c r="F17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Helper'!$F$5:$F$3004,"""")&lt;&gt;""""),ROWS(F$5:F1730)),IF(AND(LEFT(x,5)=""Pag"&amp;"e "",ISERROR(SEARCH(""–"",x))),x&amp;""–""&amp;REGEXEXTRACT(x,""[0-9]+$""),x)),"""")"),"")</f>
        <v/>
      </c>
      <c r="G1730" s="163"/>
      <c r="H17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Helper'!$F$5:$F$3004,"""")&lt;&gt;""""),ROWS(H$5:H1730)),"""")"),"")</f>
        <v/>
      </c>
    </row>
    <row r="1731" ht="15.75" customHeight="1">
      <c r="A17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Helper'!$F$5:$F$3004,"""")&lt;&gt;""""),ROWS(A$5:A1731)),"""")"),"")</f>
        <v/>
      </c>
      <c r="B17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Helper'!$F$5:$F$3004,"""")&lt;&gt;""""),ROWS(B$5:B1731)),"""")"),"")</f>
        <v/>
      </c>
      <c r="C17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Helper'!$F$5:$F$3004,"""")&lt;&gt;""""),ROWS(C$5:C1731)),"""")"),"")</f>
        <v/>
      </c>
      <c r="D17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Helper'!$F$5:$F$3004,"""")&lt;&gt;""""),ROWS(D$5:D1731)),"""")"),"")</f>
        <v/>
      </c>
      <c r="E17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Helper'!$F$5:$F$3004,"""")&lt;&gt;""""),ROWS(E$5:E1731)),"""")"),"")</f>
        <v/>
      </c>
      <c r="F17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Helper'!$F$5:$F$3004,"""")&lt;&gt;""""),ROWS(F$5:F1731)),IF(AND(LEFT(x,5)=""Pag"&amp;"e "",ISERROR(SEARCH(""–"",x))),x&amp;""–""&amp;REGEXEXTRACT(x,""[0-9]+$""),x)),"""")"),"")</f>
        <v/>
      </c>
      <c r="G1731" s="163"/>
      <c r="H17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Helper'!$F$5:$F$3004,"""")&lt;&gt;""""),ROWS(H$5:H1731)),"""")"),"")</f>
        <v/>
      </c>
    </row>
    <row r="1732" ht="15.75" customHeight="1">
      <c r="A17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Helper'!$F$5:$F$3004,"""")&lt;&gt;""""),ROWS(A$5:A1732)),"""")"),"")</f>
        <v/>
      </c>
      <c r="B17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Helper'!$F$5:$F$3004,"""")&lt;&gt;""""),ROWS(B$5:B1732)),"""")"),"")</f>
        <v/>
      </c>
      <c r="C17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Helper'!$F$5:$F$3004,"""")&lt;&gt;""""),ROWS(C$5:C1732)),"""")"),"")</f>
        <v/>
      </c>
      <c r="D17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Helper'!$F$5:$F$3004,"""")&lt;&gt;""""),ROWS(D$5:D1732)),"""")"),"")</f>
        <v/>
      </c>
      <c r="E17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Helper'!$F$5:$F$3004,"""")&lt;&gt;""""),ROWS(E$5:E1732)),"""")"),"")</f>
        <v/>
      </c>
      <c r="F17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Helper'!$F$5:$F$3004,"""")&lt;&gt;""""),ROWS(F$5:F1732)),IF(AND(LEFT(x,5)=""Pag"&amp;"e "",ISERROR(SEARCH(""–"",x))),x&amp;""–""&amp;REGEXEXTRACT(x,""[0-9]+$""),x)),"""")"),"")</f>
        <v/>
      </c>
      <c r="G1732" s="163"/>
      <c r="H17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Helper'!$F$5:$F$3004,"""")&lt;&gt;""""),ROWS(H$5:H1732)),"""")"),"")</f>
        <v/>
      </c>
    </row>
    <row r="1733" ht="15.75" customHeight="1">
      <c r="A17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Helper'!$F$5:$F$3004,"""")&lt;&gt;""""),ROWS(A$5:A1733)),"""")"),"")</f>
        <v/>
      </c>
      <c r="B17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Helper'!$F$5:$F$3004,"""")&lt;&gt;""""),ROWS(B$5:B1733)),"""")"),"")</f>
        <v/>
      </c>
      <c r="C17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Helper'!$F$5:$F$3004,"""")&lt;&gt;""""),ROWS(C$5:C1733)),"""")"),"")</f>
        <v/>
      </c>
      <c r="D17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Helper'!$F$5:$F$3004,"""")&lt;&gt;""""),ROWS(D$5:D1733)),"""")"),"")</f>
        <v/>
      </c>
      <c r="E17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Helper'!$F$5:$F$3004,"""")&lt;&gt;""""),ROWS(E$5:E1733)),"""")"),"")</f>
        <v/>
      </c>
      <c r="F17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Helper'!$F$5:$F$3004,"""")&lt;&gt;""""),ROWS(F$5:F1733)),IF(AND(LEFT(x,5)=""Pag"&amp;"e "",ISERROR(SEARCH(""–"",x))),x&amp;""–""&amp;REGEXEXTRACT(x,""[0-9]+$""),x)),"""")"),"")</f>
        <v/>
      </c>
      <c r="G1733" s="163"/>
      <c r="H17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Helper'!$F$5:$F$3004,"""")&lt;&gt;""""),ROWS(H$5:H1733)),"""")"),"")</f>
        <v/>
      </c>
    </row>
    <row r="1734" ht="15.75" customHeight="1">
      <c r="A17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Helper'!$F$5:$F$3004,"""")&lt;&gt;""""),ROWS(A$5:A1734)),"""")"),"")</f>
        <v/>
      </c>
      <c r="B17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Helper'!$F$5:$F$3004,"""")&lt;&gt;""""),ROWS(B$5:B1734)),"""")"),"")</f>
        <v/>
      </c>
      <c r="C17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Helper'!$F$5:$F$3004,"""")&lt;&gt;""""),ROWS(C$5:C1734)),"""")"),"")</f>
        <v/>
      </c>
      <c r="D17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Helper'!$F$5:$F$3004,"""")&lt;&gt;""""),ROWS(D$5:D1734)),"""")"),"")</f>
        <v/>
      </c>
      <c r="E17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Helper'!$F$5:$F$3004,"""")&lt;&gt;""""),ROWS(E$5:E1734)),"""")"),"")</f>
        <v/>
      </c>
      <c r="F17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Helper'!$F$5:$F$3004,"""")&lt;&gt;""""),ROWS(F$5:F1734)),IF(AND(LEFT(x,5)=""Pag"&amp;"e "",ISERROR(SEARCH(""–"",x))),x&amp;""–""&amp;REGEXEXTRACT(x,""[0-9]+$""),x)),"""")"),"")</f>
        <v/>
      </c>
      <c r="G1734" s="163"/>
      <c r="H17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Helper'!$F$5:$F$3004,"""")&lt;&gt;""""),ROWS(H$5:H1734)),"""")"),"")</f>
        <v/>
      </c>
    </row>
    <row r="1735" ht="15.75" customHeight="1">
      <c r="A17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Helper'!$F$5:$F$3004,"""")&lt;&gt;""""),ROWS(A$5:A1735)),"""")"),"")</f>
        <v/>
      </c>
      <c r="B17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Helper'!$F$5:$F$3004,"""")&lt;&gt;""""),ROWS(B$5:B1735)),"""")"),"")</f>
        <v/>
      </c>
      <c r="C17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Helper'!$F$5:$F$3004,"""")&lt;&gt;""""),ROWS(C$5:C1735)),"""")"),"")</f>
        <v/>
      </c>
      <c r="D17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Helper'!$F$5:$F$3004,"""")&lt;&gt;""""),ROWS(D$5:D1735)),"""")"),"")</f>
        <v/>
      </c>
      <c r="E17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Helper'!$F$5:$F$3004,"""")&lt;&gt;""""),ROWS(E$5:E1735)),"""")"),"")</f>
        <v/>
      </c>
      <c r="F17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Helper'!$F$5:$F$3004,"""")&lt;&gt;""""),ROWS(F$5:F1735)),IF(AND(LEFT(x,5)=""Pag"&amp;"e "",ISERROR(SEARCH(""–"",x))),x&amp;""–""&amp;REGEXEXTRACT(x,""[0-9]+$""),x)),"""")"),"")</f>
        <v/>
      </c>
      <c r="G1735" s="163"/>
      <c r="H17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Helper'!$F$5:$F$3004,"""")&lt;&gt;""""),ROWS(H$5:H1735)),"""")"),"")</f>
        <v/>
      </c>
    </row>
    <row r="1736" ht="15.75" customHeight="1">
      <c r="A17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Helper'!$F$5:$F$3004,"""")&lt;&gt;""""),ROWS(A$5:A1736)),"""")"),"")</f>
        <v/>
      </c>
      <c r="B17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Helper'!$F$5:$F$3004,"""")&lt;&gt;""""),ROWS(B$5:B1736)),"""")"),"")</f>
        <v/>
      </c>
      <c r="C17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Helper'!$F$5:$F$3004,"""")&lt;&gt;""""),ROWS(C$5:C1736)),"""")"),"")</f>
        <v/>
      </c>
      <c r="D17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Helper'!$F$5:$F$3004,"""")&lt;&gt;""""),ROWS(D$5:D1736)),"""")"),"")</f>
        <v/>
      </c>
      <c r="E17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Helper'!$F$5:$F$3004,"""")&lt;&gt;""""),ROWS(E$5:E1736)),"""")"),"")</f>
        <v/>
      </c>
      <c r="F17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Helper'!$F$5:$F$3004,"""")&lt;&gt;""""),ROWS(F$5:F1736)),IF(AND(LEFT(x,5)=""Pag"&amp;"e "",ISERROR(SEARCH(""–"",x))),x&amp;""–""&amp;REGEXEXTRACT(x,""[0-9]+$""),x)),"""")"),"")</f>
        <v/>
      </c>
      <c r="G1736" s="163"/>
      <c r="H17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Helper'!$F$5:$F$3004,"""")&lt;&gt;""""),ROWS(H$5:H1736)),"""")"),"")</f>
        <v/>
      </c>
    </row>
    <row r="1737" ht="15.75" customHeight="1">
      <c r="A17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Helper'!$F$5:$F$3004,"""")&lt;&gt;""""),ROWS(A$5:A1737)),"""")"),"")</f>
        <v/>
      </c>
      <c r="B17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Helper'!$F$5:$F$3004,"""")&lt;&gt;""""),ROWS(B$5:B1737)),"""")"),"")</f>
        <v/>
      </c>
      <c r="C17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Helper'!$F$5:$F$3004,"""")&lt;&gt;""""),ROWS(C$5:C1737)),"""")"),"")</f>
        <v/>
      </c>
      <c r="D17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Helper'!$F$5:$F$3004,"""")&lt;&gt;""""),ROWS(D$5:D1737)),"""")"),"")</f>
        <v/>
      </c>
      <c r="E17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Helper'!$F$5:$F$3004,"""")&lt;&gt;""""),ROWS(E$5:E1737)),"""")"),"")</f>
        <v/>
      </c>
      <c r="F17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Helper'!$F$5:$F$3004,"""")&lt;&gt;""""),ROWS(F$5:F1737)),IF(AND(LEFT(x,5)=""Pag"&amp;"e "",ISERROR(SEARCH(""–"",x))),x&amp;""–""&amp;REGEXEXTRACT(x,""[0-9]+$""),x)),"""")"),"")</f>
        <v/>
      </c>
      <c r="G1737" s="163"/>
      <c r="H17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Helper'!$F$5:$F$3004,"""")&lt;&gt;""""),ROWS(H$5:H1737)),"""")"),"")</f>
        <v/>
      </c>
    </row>
    <row r="1738" ht="15.75" customHeight="1">
      <c r="A17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Helper'!$F$5:$F$3004,"""")&lt;&gt;""""),ROWS(A$5:A1738)),"""")"),"")</f>
        <v/>
      </c>
      <c r="B17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Helper'!$F$5:$F$3004,"""")&lt;&gt;""""),ROWS(B$5:B1738)),"""")"),"")</f>
        <v/>
      </c>
      <c r="C17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Helper'!$F$5:$F$3004,"""")&lt;&gt;""""),ROWS(C$5:C1738)),"""")"),"")</f>
        <v/>
      </c>
      <c r="D17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Helper'!$F$5:$F$3004,"""")&lt;&gt;""""),ROWS(D$5:D1738)),"""")"),"")</f>
        <v/>
      </c>
      <c r="E17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Helper'!$F$5:$F$3004,"""")&lt;&gt;""""),ROWS(E$5:E1738)),"""")"),"")</f>
        <v/>
      </c>
      <c r="F17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Helper'!$F$5:$F$3004,"""")&lt;&gt;""""),ROWS(F$5:F1738)),IF(AND(LEFT(x,5)=""Pag"&amp;"e "",ISERROR(SEARCH(""–"",x))),x&amp;""–""&amp;REGEXEXTRACT(x,""[0-9]+$""),x)),"""")"),"")</f>
        <v/>
      </c>
      <c r="G1738" s="163"/>
      <c r="H17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Helper'!$F$5:$F$3004,"""")&lt;&gt;""""),ROWS(H$5:H1738)),"""")"),"")</f>
        <v/>
      </c>
    </row>
    <row r="1739" ht="15.75" customHeight="1">
      <c r="A17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Helper'!$F$5:$F$3004,"""")&lt;&gt;""""),ROWS(A$5:A1739)),"""")"),"")</f>
        <v/>
      </c>
      <c r="B17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Helper'!$F$5:$F$3004,"""")&lt;&gt;""""),ROWS(B$5:B1739)),"""")"),"")</f>
        <v/>
      </c>
      <c r="C17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Helper'!$F$5:$F$3004,"""")&lt;&gt;""""),ROWS(C$5:C1739)),"""")"),"")</f>
        <v/>
      </c>
      <c r="D17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Helper'!$F$5:$F$3004,"""")&lt;&gt;""""),ROWS(D$5:D1739)),"""")"),"")</f>
        <v/>
      </c>
      <c r="E17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Helper'!$F$5:$F$3004,"""")&lt;&gt;""""),ROWS(E$5:E1739)),"""")"),"")</f>
        <v/>
      </c>
      <c r="F17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Helper'!$F$5:$F$3004,"""")&lt;&gt;""""),ROWS(F$5:F1739)),IF(AND(LEFT(x,5)=""Pag"&amp;"e "",ISERROR(SEARCH(""–"",x))),x&amp;""–""&amp;REGEXEXTRACT(x,""[0-9]+$""),x)),"""")"),"")</f>
        <v/>
      </c>
      <c r="G1739" s="163"/>
      <c r="H17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Helper'!$F$5:$F$3004,"""")&lt;&gt;""""),ROWS(H$5:H1739)),"""")"),"")</f>
        <v/>
      </c>
    </row>
    <row r="1740" ht="15.75" customHeight="1">
      <c r="A17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Helper'!$F$5:$F$3004,"""")&lt;&gt;""""),ROWS(A$5:A1740)),"""")"),"")</f>
        <v/>
      </c>
      <c r="B17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Helper'!$F$5:$F$3004,"""")&lt;&gt;""""),ROWS(B$5:B1740)),"""")"),"")</f>
        <v/>
      </c>
      <c r="C17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Helper'!$F$5:$F$3004,"""")&lt;&gt;""""),ROWS(C$5:C1740)),"""")"),"")</f>
        <v/>
      </c>
      <c r="D17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Helper'!$F$5:$F$3004,"""")&lt;&gt;""""),ROWS(D$5:D1740)),"""")"),"")</f>
        <v/>
      </c>
      <c r="E17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Helper'!$F$5:$F$3004,"""")&lt;&gt;""""),ROWS(E$5:E1740)),"""")"),"")</f>
        <v/>
      </c>
      <c r="F17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Helper'!$F$5:$F$3004,"""")&lt;&gt;""""),ROWS(F$5:F1740)),IF(AND(LEFT(x,5)=""Pag"&amp;"e "",ISERROR(SEARCH(""–"",x))),x&amp;""–""&amp;REGEXEXTRACT(x,""[0-9]+$""),x)),"""")"),"")</f>
        <v/>
      </c>
      <c r="G1740" s="163"/>
      <c r="H17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Helper'!$F$5:$F$3004,"""")&lt;&gt;""""),ROWS(H$5:H1740)),"""")"),"")</f>
        <v/>
      </c>
    </row>
    <row r="1741" ht="15.75" customHeight="1">
      <c r="A17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Helper'!$F$5:$F$3004,"""")&lt;&gt;""""),ROWS(A$5:A1741)),"""")"),"")</f>
        <v/>
      </c>
      <c r="B17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Helper'!$F$5:$F$3004,"""")&lt;&gt;""""),ROWS(B$5:B1741)),"""")"),"")</f>
        <v/>
      </c>
      <c r="C17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Helper'!$F$5:$F$3004,"""")&lt;&gt;""""),ROWS(C$5:C1741)),"""")"),"")</f>
        <v/>
      </c>
      <c r="D17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Helper'!$F$5:$F$3004,"""")&lt;&gt;""""),ROWS(D$5:D1741)),"""")"),"")</f>
        <v/>
      </c>
      <c r="E17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Helper'!$F$5:$F$3004,"""")&lt;&gt;""""),ROWS(E$5:E1741)),"""")"),"")</f>
        <v/>
      </c>
      <c r="F17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Helper'!$F$5:$F$3004,"""")&lt;&gt;""""),ROWS(F$5:F1741)),IF(AND(LEFT(x,5)=""Pag"&amp;"e "",ISERROR(SEARCH(""–"",x))),x&amp;""–""&amp;REGEXEXTRACT(x,""[0-9]+$""),x)),"""")"),"")</f>
        <v/>
      </c>
      <c r="G1741" s="163"/>
      <c r="H17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Helper'!$F$5:$F$3004,"""")&lt;&gt;""""),ROWS(H$5:H1741)),"""")"),"")</f>
        <v/>
      </c>
    </row>
    <row r="1742" ht="15.75" customHeight="1">
      <c r="A17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Helper'!$F$5:$F$3004,"""")&lt;&gt;""""),ROWS(A$5:A1742)),"""")"),"")</f>
        <v/>
      </c>
      <c r="B17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Helper'!$F$5:$F$3004,"""")&lt;&gt;""""),ROWS(B$5:B1742)),"""")"),"")</f>
        <v/>
      </c>
      <c r="C17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Helper'!$F$5:$F$3004,"""")&lt;&gt;""""),ROWS(C$5:C1742)),"""")"),"")</f>
        <v/>
      </c>
      <c r="D17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Helper'!$F$5:$F$3004,"""")&lt;&gt;""""),ROWS(D$5:D1742)),"""")"),"")</f>
        <v/>
      </c>
      <c r="E17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Helper'!$F$5:$F$3004,"""")&lt;&gt;""""),ROWS(E$5:E1742)),"""")"),"")</f>
        <v/>
      </c>
      <c r="F17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Helper'!$F$5:$F$3004,"""")&lt;&gt;""""),ROWS(F$5:F1742)),IF(AND(LEFT(x,5)=""Pag"&amp;"e "",ISERROR(SEARCH(""–"",x))),x&amp;""–""&amp;REGEXEXTRACT(x,""[0-9]+$""),x)),"""")"),"")</f>
        <v/>
      </c>
      <c r="G1742" s="163"/>
      <c r="H17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Helper'!$F$5:$F$3004,"""")&lt;&gt;""""),ROWS(H$5:H1742)),"""")"),"")</f>
        <v/>
      </c>
    </row>
    <row r="1743" ht="15.75" customHeight="1">
      <c r="A17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Helper'!$F$5:$F$3004,"""")&lt;&gt;""""),ROWS(A$5:A1743)),"""")"),"")</f>
        <v/>
      </c>
      <c r="B17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Helper'!$F$5:$F$3004,"""")&lt;&gt;""""),ROWS(B$5:B1743)),"""")"),"")</f>
        <v/>
      </c>
      <c r="C17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Helper'!$F$5:$F$3004,"""")&lt;&gt;""""),ROWS(C$5:C1743)),"""")"),"")</f>
        <v/>
      </c>
      <c r="D17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Helper'!$F$5:$F$3004,"""")&lt;&gt;""""),ROWS(D$5:D1743)),"""")"),"")</f>
        <v/>
      </c>
      <c r="E17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Helper'!$F$5:$F$3004,"""")&lt;&gt;""""),ROWS(E$5:E1743)),"""")"),"")</f>
        <v/>
      </c>
      <c r="F17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Helper'!$F$5:$F$3004,"""")&lt;&gt;""""),ROWS(F$5:F1743)),IF(AND(LEFT(x,5)=""Pag"&amp;"e "",ISERROR(SEARCH(""–"",x))),x&amp;""–""&amp;REGEXEXTRACT(x,""[0-9]+$""),x)),"""")"),"")</f>
        <v/>
      </c>
      <c r="G1743" s="163"/>
      <c r="H17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Helper'!$F$5:$F$3004,"""")&lt;&gt;""""),ROWS(H$5:H1743)),"""")"),"")</f>
        <v/>
      </c>
    </row>
    <row r="1744" ht="15.75" customHeight="1">
      <c r="A17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Helper'!$F$5:$F$3004,"""")&lt;&gt;""""),ROWS(A$5:A1744)),"""")"),"")</f>
        <v/>
      </c>
      <c r="B17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Helper'!$F$5:$F$3004,"""")&lt;&gt;""""),ROWS(B$5:B1744)),"""")"),"")</f>
        <v/>
      </c>
      <c r="C17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Helper'!$F$5:$F$3004,"""")&lt;&gt;""""),ROWS(C$5:C1744)),"""")"),"")</f>
        <v/>
      </c>
      <c r="D17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Helper'!$F$5:$F$3004,"""")&lt;&gt;""""),ROWS(D$5:D1744)),"""")"),"")</f>
        <v/>
      </c>
      <c r="E17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Helper'!$F$5:$F$3004,"""")&lt;&gt;""""),ROWS(E$5:E1744)),"""")"),"")</f>
        <v/>
      </c>
      <c r="F17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Helper'!$F$5:$F$3004,"""")&lt;&gt;""""),ROWS(F$5:F1744)),IF(AND(LEFT(x,5)=""Pag"&amp;"e "",ISERROR(SEARCH(""–"",x))),x&amp;""–""&amp;REGEXEXTRACT(x,""[0-9]+$""),x)),"""")"),"")</f>
        <v/>
      </c>
      <c r="G1744" s="163"/>
      <c r="H17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Helper'!$F$5:$F$3004,"""")&lt;&gt;""""),ROWS(H$5:H1744)),"""")"),"")</f>
        <v/>
      </c>
    </row>
    <row r="1745" ht="15.75" customHeight="1">
      <c r="A17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Helper'!$F$5:$F$3004,"""")&lt;&gt;""""),ROWS(A$5:A1745)),"""")"),"")</f>
        <v/>
      </c>
      <c r="B17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Helper'!$F$5:$F$3004,"""")&lt;&gt;""""),ROWS(B$5:B1745)),"""")"),"")</f>
        <v/>
      </c>
      <c r="C17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Helper'!$F$5:$F$3004,"""")&lt;&gt;""""),ROWS(C$5:C1745)),"""")"),"")</f>
        <v/>
      </c>
      <c r="D17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Helper'!$F$5:$F$3004,"""")&lt;&gt;""""),ROWS(D$5:D1745)),"""")"),"")</f>
        <v/>
      </c>
      <c r="E17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Helper'!$F$5:$F$3004,"""")&lt;&gt;""""),ROWS(E$5:E1745)),"""")"),"")</f>
        <v/>
      </c>
      <c r="F17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Helper'!$F$5:$F$3004,"""")&lt;&gt;""""),ROWS(F$5:F1745)),IF(AND(LEFT(x,5)=""Pag"&amp;"e "",ISERROR(SEARCH(""–"",x))),x&amp;""–""&amp;REGEXEXTRACT(x,""[0-9]+$""),x)),"""")"),"")</f>
        <v/>
      </c>
      <c r="G1745" s="163"/>
      <c r="H17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Helper'!$F$5:$F$3004,"""")&lt;&gt;""""),ROWS(H$5:H1745)),"""")"),"")</f>
        <v/>
      </c>
    </row>
    <row r="1746" ht="15.75" customHeight="1">
      <c r="A17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Helper'!$F$5:$F$3004,"""")&lt;&gt;""""),ROWS(A$5:A1746)),"""")"),"")</f>
        <v/>
      </c>
      <c r="B17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Helper'!$F$5:$F$3004,"""")&lt;&gt;""""),ROWS(B$5:B1746)),"""")"),"")</f>
        <v/>
      </c>
      <c r="C17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Helper'!$F$5:$F$3004,"""")&lt;&gt;""""),ROWS(C$5:C1746)),"""")"),"")</f>
        <v/>
      </c>
      <c r="D17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Helper'!$F$5:$F$3004,"""")&lt;&gt;""""),ROWS(D$5:D1746)),"""")"),"")</f>
        <v/>
      </c>
      <c r="E17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Helper'!$F$5:$F$3004,"""")&lt;&gt;""""),ROWS(E$5:E1746)),"""")"),"")</f>
        <v/>
      </c>
      <c r="F17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Helper'!$F$5:$F$3004,"""")&lt;&gt;""""),ROWS(F$5:F1746)),IF(AND(LEFT(x,5)=""Pag"&amp;"e "",ISERROR(SEARCH(""–"",x))),x&amp;""–""&amp;REGEXEXTRACT(x,""[0-9]+$""),x)),"""")"),"")</f>
        <v/>
      </c>
      <c r="G1746" s="163"/>
      <c r="H17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Helper'!$F$5:$F$3004,"""")&lt;&gt;""""),ROWS(H$5:H1746)),"""")"),"")</f>
        <v/>
      </c>
    </row>
    <row r="1747" ht="15.75" customHeight="1">
      <c r="A17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Helper'!$F$5:$F$3004,"""")&lt;&gt;""""),ROWS(A$5:A1747)),"""")"),"")</f>
        <v/>
      </c>
      <c r="B17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Helper'!$F$5:$F$3004,"""")&lt;&gt;""""),ROWS(B$5:B1747)),"""")"),"")</f>
        <v/>
      </c>
      <c r="C17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Helper'!$F$5:$F$3004,"""")&lt;&gt;""""),ROWS(C$5:C1747)),"""")"),"")</f>
        <v/>
      </c>
      <c r="D17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Helper'!$F$5:$F$3004,"""")&lt;&gt;""""),ROWS(D$5:D1747)),"""")"),"")</f>
        <v/>
      </c>
      <c r="E17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Helper'!$F$5:$F$3004,"""")&lt;&gt;""""),ROWS(E$5:E1747)),"""")"),"")</f>
        <v/>
      </c>
      <c r="F17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Helper'!$F$5:$F$3004,"""")&lt;&gt;""""),ROWS(F$5:F1747)),IF(AND(LEFT(x,5)=""Pag"&amp;"e "",ISERROR(SEARCH(""–"",x))),x&amp;""–""&amp;REGEXEXTRACT(x,""[0-9]+$""),x)),"""")"),"")</f>
        <v/>
      </c>
      <c r="G1747" s="163"/>
      <c r="H17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Helper'!$F$5:$F$3004,"""")&lt;&gt;""""),ROWS(H$5:H1747)),"""")"),"")</f>
        <v/>
      </c>
    </row>
    <row r="1748" ht="15.75" customHeight="1">
      <c r="A17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Helper'!$F$5:$F$3004,"""")&lt;&gt;""""),ROWS(A$5:A1748)),"""")"),"")</f>
        <v/>
      </c>
      <c r="B17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Helper'!$F$5:$F$3004,"""")&lt;&gt;""""),ROWS(B$5:B1748)),"""")"),"")</f>
        <v/>
      </c>
      <c r="C17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Helper'!$F$5:$F$3004,"""")&lt;&gt;""""),ROWS(C$5:C1748)),"""")"),"")</f>
        <v/>
      </c>
      <c r="D17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Helper'!$F$5:$F$3004,"""")&lt;&gt;""""),ROWS(D$5:D1748)),"""")"),"")</f>
        <v/>
      </c>
      <c r="E17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Helper'!$F$5:$F$3004,"""")&lt;&gt;""""),ROWS(E$5:E1748)),"""")"),"")</f>
        <v/>
      </c>
      <c r="F17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Helper'!$F$5:$F$3004,"""")&lt;&gt;""""),ROWS(F$5:F1748)),IF(AND(LEFT(x,5)=""Pag"&amp;"e "",ISERROR(SEARCH(""–"",x))),x&amp;""–""&amp;REGEXEXTRACT(x,""[0-9]+$""),x)),"""")"),"")</f>
        <v/>
      </c>
      <c r="G1748" s="163"/>
      <c r="H17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Helper'!$F$5:$F$3004,"""")&lt;&gt;""""),ROWS(H$5:H1748)),"""")"),"")</f>
        <v/>
      </c>
    </row>
    <row r="1749" ht="15.75" customHeight="1">
      <c r="A17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Helper'!$F$5:$F$3004,"""")&lt;&gt;""""),ROWS(A$5:A1749)),"""")"),"")</f>
        <v/>
      </c>
      <c r="B17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Helper'!$F$5:$F$3004,"""")&lt;&gt;""""),ROWS(B$5:B1749)),"""")"),"")</f>
        <v/>
      </c>
      <c r="C17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Helper'!$F$5:$F$3004,"""")&lt;&gt;""""),ROWS(C$5:C1749)),"""")"),"")</f>
        <v/>
      </c>
      <c r="D17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Helper'!$F$5:$F$3004,"""")&lt;&gt;""""),ROWS(D$5:D1749)),"""")"),"")</f>
        <v/>
      </c>
      <c r="E17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Helper'!$F$5:$F$3004,"""")&lt;&gt;""""),ROWS(E$5:E1749)),"""")"),"")</f>
        <v/>
      </c>
      <c r="F17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Helper'!$F$5:$F$3004,"""")&lt;&gt;""""),ROWS(F$5:F1749)),IF(AND(LEFT(x,5)=""Pag"&amp;"e "",ISERROR(SEARCH(""–"",x))),x&amp;""–""&amp;REGEXEXTRACT(x,""[0-9]+$""),x)),"""")"),"")</f>
        <v/>
      </c>
      <c r="G1749" s="163"/>
      <c r="H17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Helper'!$F$5:$F$3004,"""")&lt;&gt;""""),ROWS(H$5:H1749)),"""")"),"")</f>
        <v/>
      </c>
    </row>
    <row r="1750" ht="15.75" customHeight="1">
      <c r="A17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Helper'!$F$5:$F$3004,"""")&lt;&gt;""""),ROWS(A$5:A1750)),"""")"),"")</f>
        <v/>
      </c>
      <c r="B17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Helper'!$F$5:$F$3004,"""")&lt;&gt;""""),ROWS(B$5:B1750)),"""")"),"")</f>
        <v/>
      </c>
      <c r="C17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Helper'!$F$5:$F$3004,"""")&lt;&gt;""""),ROWS(C$5:C1750)),"""")"),"")</f>
        <v/>
      </c>
      <c r="D17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Helper'!$F$5:$F$3004,"""")&lt;&gt;""""),ROWS(D$5:D1750)),"""")"),"")</f>
        <v/>
      </c>
      <c r="E17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Helper'!$F$5:$F$3004,"""")&lt;&gt;""""),ROWS(E$5:E1750)),"""")"),"")</f>
        <v/>
      </c>
      <c r="F17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Helper'!$F$5:$F$3004,"""")&lt;&gt;""""),ROWS(F$5:F1750)),IF(AND(LEFT(x,5)=""Pag"&amp;"e "",ISERROR(SEARCH(""–"",x))),x&amp;""–""&amp;REGEXEXTRACT(x,""[0-9]+$""),x)),"""")"),"")</f>
        <v/>
      </c>
      <c r="G1750" s="163"/>
      <c r="H17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Helper'!$F$5:$F$3004,"""")&lt;&gt;""""),ROWS(H$5:H1750)),"""")"),"")</f>
        <v/>
      </c>
    </row>
    <row r="1751" ht="15.75" customHeight="1">
      <c r="A17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Helper'!$F$5:$F$3004,"""")&lt;&gt;""""),ROWS(A$5:A1751)),"""")"),"")</f>
        <v/>
      </c>
      <c r="B17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Helper'!$F$5:$F$3004,"""")&lt;&gt;""""),ROWS(B$5:B1751)),"""")"),"")</f>
        <v/>
      </c>
      <c r="C17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Helper'!$F$5:$F$3004,"""")&lt;&gt;""""),ROWS(C$5:C1751)),"""")"),"")</f>
        <v/>
      </c>
      <c r="D17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Helper'!$F$5:$F$3004,"""")&lt;&gt;""""),ROWS(D$5:D1751)),"""")"),"")</f>
        <v/>
      </c>
      <c r="E17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Helper'!$F$5:$F$3004,"""")&lt;&gt;""""),ROWS(E$5:E1751)),"""")"),"")</f>
        <v/>
      </c>
      <c r="F17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Helper'!$F$5:$F$3004,"""")&lt;&gt;""""),ROWS(F$5:F1751)),IF(AND(LEFT(x,5)=""Pag"&amp;"e "",ISERROR(SEARCH(""–"",x))),x&amp;""–""&amp;REGEXEXTRACT(x,""[0-9]+$""),x)),"""")"),"")</f>
        <v/>
      </c>
      <c r="G1751" s="163"/>
      <c r="H17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Helper'!$F$5:$F$3004,"""")&lt;&gt;""""),ROWS(H$5:H1751)),"""")"),"")</f>
        <v/>
      </c>
    </row>
    <row r="1752" ht="15.75" customHeight="1">
      <c r="A17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Helper'!$F$5:$F$3004,"""")&lt;&gt;""""),ROWS(A$5:A1752)),"""")"),"")</f>
        <v/>
      </c>
      <c r="B17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Helper'!$F$5:$F$3004,"""")&lt;&gt;""""),ROWS(B$5:B1752)),"""")"),"")</f>
        <v/>
      </c>
      <c r="C17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Helper'!$F$5:$F$3004,"""")&lt;&gt;""""),ROWS(C$5:C1752)),"""")"),"")</f>
        <v/>
      </c>
      <c r="D17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Helper'!$F$5:$F$3004,"""")&lt;&gt;""""),ROWS(D$5:D1752)),"""")"),"")</f>
        <v/>
      </c>
      <c r="E17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Helper'!$F$5:$F$3004,"""")&lt;&gt;""""),ROWS(E$5:E1752)),"""")"),"")</f>
        <v/>
      </c>
      <c r="F17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Helper'!$F$5:$F$3004,"""")&lt;&gt;""""),ROWS(F$5:F1752)),IF(AND(LEFT(x,5)=""Pag"&amp;"e "",ISERROR(SEARCH(""–"",x))),x&amp;""–""&amp;REGEXEXTRACT(x,""[0-9]+$""),x)),"""")"),"")</f>
        <v/>
      </c>
      <c r="G1752" s="163"/>
      <c r="H17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Helper'!$F$5:$F$3004,"""")&lt;&gt;""""),ROWS(H$5:H1752)),"""")"),"")</f>
        <v/>
      </c>
    </row>
    <row r="1753" ht="15.75" customHeight="1">
      <c r="A17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Helper'!$F$5:$F$3004,"""")&lt;&gt;""""),ROWS(A$5:A1753)),"""")"),"")</f>
        <v/>
      </c>
      <c r="B17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Helper'!$F$5:$F$3004,"""")&lt;&gt;""""),ROWS(B$5:B1753)),"""")"),"")</f>
        <v/>
      </c>
      <c r="C17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Helper'!$F$5:$F$3004,"""")&lt;&gt;""""),ROWS(C$5:C1753)),"""")"),"")</f>
        <v/>
      </c>
      <c r="D17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Helper'!$F$5:$F$3004,"""")&lt;&gt;""""),ROWS(D$5:D1753)),"""")"),"")</f>
        <v/>
      </c>
      <c r="E17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Helper'!$F$5:$F$3004,"""")&lt;&gt;""""),ROWS(E$5:E1753)),"""")"),"")</f>
        <v/>
      </c>
      <c r="F17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Helper'!$F$5:$F$3004,"""")&lt;&gt;""""),ROWS(F$5:F1753)),IF(AND(LEFT(x,5)=""Pag"&amp;"e "",ISERROR(SEARCH(""–"",x))),x&amp;""–""&amp;REGEXEXTRACT(x,""[0-9]+$""),x)),"""")"),"")</f>
        <v/>
      </c>
      <c r="G1753" s="163"/>
      <c r="H17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Helper'!$F$5:$F$3004,"""")&lt;&gt;""""),ROWS(H$5:H1753)),"""")"),"")</f>
        <v/>
      </c>
    </row>
    <row r="1754" ht="15.75" customHeight="1">
      <c r="A17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Helper'!$F$5:$F$3004,"""")&lt;&gt;""""),ROWS(A$5:A1754)),"""")"),"")</f>
        <v/>
      </c>
      <c r="B17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Helper'!$F$5:$F$3004,"""")&lt;&gt;""""),ROWS(B$5:B1754)),"""")"),"")</f>
        <v/>
      </c>
      <c r="C17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Helper'!$F$5:$F$3004,"""")&lt;&gt;""""),ROWS(C$5:C1754)),"""")"),"")</f>
        <v/>
      </c>
      <c r="D17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Helper'!$F$5:$F$3004,"""")&lt;&gt;""""),ROWS(D$5:D1754)),"""")"),"")</f>
        <v/>
      </c>
      <c r="E17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Helper'!$F$5:$F$3004,"""")&lt;&gt;""""),ROWS(E$5:E1754)),"""")"),"")</f>
        <v/>
      </c>
      <c r="F17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Helper'!$F$5:$F$3004,"""")&lt;&gt;""""),ROWS(F$5:F1754)),IF(AND(LEFT(x,5)=""Pag"&amp;"e "",ISERROR(SEARCH(""–"",x))),x&amp;""–""&amp;REGEXEXTRACT(x,""[0-9]+$""),x)),"""")"),"")</f>
        <v/>
      </c>
      <c r="G1754" s="163"/>
      <c r="H17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Helper'!$F$5:$F$3004,"""")&lt;&gt;""""),ROWS(H$5:H1754)),"""")"),"")</f>
        <v/>
      </c>
    </row>
    <row r="1755" ht="15.75" customHeight="1">
      <c r="A17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Helper'!$F$5:$F$3004,"""")&lt;&gt;""""),ROWS(A$5:A1755)),"""")"),"")</f>
        <v/>
      </c>
      <c r="B17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Helper'!$F$5:$F$3004,"""")&lt;&gt;""""),ROWS(B$5:B1755)),"""")"),"")</f>
        <v/>
      </c>
      <c r="C17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Helper'!$F$5:$F$3004,"""")&lt;&gt;""""),ROWS(C$5:C1755)),"""")"),"")</f>
        <v/>
      </c>
      <c r="D17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Helper'!$F$5:$F$3004,"""")&lt;&gt;""""),ROWS(D$5:D1755)),"""")"),"")</f>
        <v/>
      </c>
      <c r="E17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Helper'!$F$5:$F$3004,"""")&lt;&gt;""""),ROWS(E$5:E1755)),"""")"),"")</f>
        <v/>
      </c>
      <c r="F17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Helper'!$F$5:$F$3004,"""")&lt;&gt;""""),ROWS(F$5:F1755)),IF(AND(LEFT(x,5)=""Pag"&amp;"e "",ISERROR(SEARCH(""–"",x))),x&amp;""–""&amp;REGEXEXTRACT(x,""[0-9]+$""),x)),"""")"),"")</f>
        <v/>
      </c>
      <c r="G1755" s="163"/>
      <c r="H17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Helper'!$F$5:$F$3004,"""")&lt;&gt;""""),ROWS(H$5:H1755)),"""")"),"")</f>
        <v/>
      </c>
    </row>
    <row r="1756" ht="15.75" customHeight="1">
      <c r="A17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Helper'!$F$5:$F$3004,"""")&lt;&gt;""""),ROWS(A$5:A1756)),"""")"),"")</f>
        <v/>
      </c>
      <c r="B17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Helper'!$F$5:$F$3004,"""")&lt;&gt;""""),ROWS(B$5:B1756)),"""")"),"")</f>
        <v/>
      </c>
      <c r="C17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Helper'!$F$5:$F$3004,"""")&lt;&gt;""""),ROWS(C$5:C1756)),"""")"),"")</f>
        <v/>
      </c>
      <c r="D17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Helper'!$F$5:$F$3004,"""")&lt;&gt;""""),ROWS(D$5:D1756)),"""")"),"")</f>
        <v/>
      </c>
      <c r="E17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Helper'!$F$5:$F$3004,"""")&lt;&gt;""""),ROWS(E$5:E1756)),"""")"),"")</f>
        <v/>
      </c>
      <c r="F17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Helper'!$F$5:$F$3004,"""")&lt;&gt;""""),ROWS(F$5:F1756)),IF(AND(LEFT(x,5)=""Pag"&amp;"e "",ISERROR(SEARCH(""–"",x))),x&amp;""–""&amp;REGEXEXTRACT(x,""[0-9]+$""),x)),"""")"),"")</f>
        <v/>
      </c>
      <c r="G1756" s="163"/>
      <c r="H17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Helper'!$F$5:$F$3004,"""")&lt;&gt;""""),ROWS(H$5:H1756)),"""")"),"")</f>
        <v/>
      </c>
    </row>
    <row r="1757" ht="15.75" customHeight="1">
      <c r="A17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Helper'!$F$5:$F$3004,"""")&lt;&gt;""""),ROWS(A$5:A1757)),"""")"),"")</f>
        <v/>
      </c>
      <c r="B17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Helper'!$F$5:$F$3004,"""")&lt;&gt;""""),ROWS(B$5:B1757)),"""")"),"")</f>
        <v/>
      </c>
      <c r="C17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Helper'!$F$5:$F$3004,"""")&lt;&gt;""""),ROWS(C$5:C1757)),"""")"),"")</f>
        <v/>
      </c>
      <c r="D17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Helper'!$F$5:$F$3004,"""")&lt;&gt;""""),ROWS(D$5:D1757)),"""")"),"")</f>
        <v/>
      </c>
      <c r="E17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Helper'!$F$5:$F$3004,"""")&lt;&gt;""""),ROWS(E$5:E1757)),"""")"),"")</f>
        <v/>
      </c>
      <c r="F17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Helper'!$F$5:$F$3004,"""")&lt;&gt;""""),ROWS(F$5:F1757)),IF(AND(LEFT(x,5)=""Pag"&amp;"e "",ISERROR(SEARCH(""–"",x))),x&amp;""–""&amp;REGEXEXTRACT(x,""[0-9]+$""),x)),"""")"),"")</f>
        <v/>
      </c>
      <c r="G1757" s="163"/>
      <c r="H17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Helper'!$F$5:$F$3004,"""")&lt;&gt;""""),ROWS(H$5:H1757)),"""")"),"")</f>
        <v/>
      </c>
    </row>
    <row r="1758" ht="15.75" customHeight="1">
      <c r="A17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Helper'!$F$5:$F$3004,"""")&lt;&gt;""""),ROWS(A$5:A1758)),"""")"),"")</f>
        <v/>
      </c>
      <c r="B17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Helper'!$F$5:$F$3004,"""")&lt;&gt;""""),ROWS(B$5:B1758)),"""")"),"")</f>
        <v/>
      </c>
      <c r="C17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Helper'!$F$5:$F$3004,"""")&lt;&gt;""""),ROWS(C$5:C1758)),"""")"),"")</f>
        <v/>
      </c>
      <c r="D17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Helper'!$F$5:$F$3004,"""")&lt;&gt;""""),ROWS(D$5:D1758)),"""")"),"")</f>
        <v/>
      </c>
      <c r="E17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Helper'!$F$5:$F$3004,"""")&lt;&gt;""""),ROWS(E$5:E1758)),"""")"),"")</f>
        <v/>
      </c>
      <c r="F17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Helper'!$F$5:$F$3004,"""")&lt;&gt;""""),ROWS(F$5:F1758)),IF(AND(LEFT(x,5)=""Pag"&amp;"e "",ISERROR(SEARCH(""–"",x))),x&amp;""–""&amp;REGEXEXTRACT(x,""[0-9]+$""),x)),"""")"),"")</f>
        <v/>
      </c>
      <c r="G1758" s="163"/>
      <c r="H17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Helper'!$F$5:$F$3004,"""")&lt;&gt;""""),ROWS(H$5:H1758)),"""")"),"")</f>
        <v/>
      </c>
    </row>
    <row r="1759" ht="15.75" customHeight="1">
      <c r="A17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Helper'!$F$5:$F$3004,"""")&lt;&gt;""""),ROWS(A$5:A1759)),"""")"),"")</f>
        <v/>
      </c>
      <c r="B17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Helper'!$F$5:$F$3004,"""")&lt;&gt;""""),ROWS(B$5:B1759)),"""")"),"")</f>
        <v/>
      </c>
      <c r="C17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Helper'!$F$5:$F$3004,"""")&lt;&gt;""""),ROWS(C$5:C1759)),"""")"),"")</f>
        <v/>
      </c>
      <c r="D17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Helper'!$F$5:$F$3004,"""")&lt;&gt;""""),ROWS(D$5:D1759)),"""")"),"")</f>
        <v/>
      </c>
      <c r="E17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Helper'!$F$5:$F$3004,"""")&lt;&gt;""""),ROWS(E$5:E1759)),"""")"),"")</f>
        <v/>
      </c>
      <c r="F17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Helper'!$F$5:$F$3004,"""")&lt;&gt;""""),ROWS(F$5:F1759)),IF(AND(LEFT(x,5)=""Pag"&amp;"e "",ISERROR(SEARCH(""–"",x))),x&amp;""–""&amp;REGEXEXTRACT(x,""[0-9]+$""),x)),"""")"),"")</f>
        <v/>
      </c>
      <c r="G1759" s="163"/>
      <c r="H17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Helper'!$F$5:$F$3004,"""")&lt;&gt;""""),ROWS(H$5:H1759)),"""")"),"")</f>
        <v/>
      </c>
    </row>
    <row r="1760" ht="15.75" customHeight="1">
      <c r="A17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Helper'!$F$5:$F$3004,"""")&lt;&gt;""""),ROWS(A$5:A1760)),"""")"),"")</f>
        <v/>
      </c>
      <c r="B17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Helper'!$F$5:$F$3004,"""")&lt;&gt;""""),ROWS(B$5:B1760)),"""")"),"")</f>
        <v/>
      </c>
      <c r="C17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Helper'!$F$5:$F$3004,"""")&lt;&gt;""""),ROWS(C$5:C1760)),"""")"),"")</f>
        <v/>
      </c>
      <c r="D17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Helper'!$F$5:$F$3004,"""")&lt;&gt;""""),ROWS(D$5:D1760)),"""")"),"")</f>
        <v/>
      </c>
      <c r="E17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Helper'!$F$5:$F$3004,"""")&lt;&gt;""""),ROWS(E$5:E1760)),"""")"),"")</f>
        <v/>
      </c>
      <c r="F17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Helper'!$F$5:$F$3004,"""")&lt;&gt;""""),ROWS(F$5:F1760)),IF(AND(LEFT(x,5)=""Pag"&amp;"e "",ISERROR(SEARCH(""–"",x))),x&amp;""–""&amp;REGEXEXTRACT(x,""[0-9]+$""),x)),"""")"),"")</f>
        <v/>
      </c>
      <c r="G1760" s="163"/>
      <c r="H17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Helper'!$F$5:$F$3004,"""")&lt;&gt;""""),ROWS(H$5:H1760)),"""")"),"")</f>
        <v/>
      </c>
    </row>
    <row r="1761" ht="15.75" customHeight="1">
      <c r="A17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Helper'!$F$5:$F$3004,"""")&lt;&gt;""""),ROWS(A$5:A1761)),"""")"),"")</f>
        <v/>
      </c>
      <c r="B17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Helper'!$F$5:$F$3004,"""")&lt;&gt;""""),ROWS(B$5:B1761)),"""")"),"")</f>
        <v/>
      </c>
      <c r="C17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Helper'!$F$5:$F$3004,"""")&lt;&gt;""""),ROWS(C$5:C1761)),"""")"),"")</f>
        <v/>
      </c>
      <c r="D17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Helper'!$F$5:$F$3004,"""")&lt;&gt;""""),ROWS(D$5:D1761)),"""")"),"")</f>
        <v/>
      </c>
      <c r="E17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Helper'!$F$5:$F$3004,"""")&lt;&gt;""""),ROWS(E$5:E1761)),"""")"),"")</f>
        <v/>
      </c>
      <c r="F17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Helper'!$F$5:$F$3004,"""")&lt;&gt;""""),ROWS(F$5:F1761)),IF(AND(LEFT(x,5)=""Pag"&amp;"e "",ISERROR(SEARCH(""–"",x))),x&amp;""–""&amp;REGEXEXTRACT(x,""[0-9]+$""),x)),"""")"),"")</f>
        <v/>
      </c>
      <c r="G1761" s="163"/>
      <c r="H17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Helper'!$F$5:$F$3004,"""")&lt;&gt;""""),ROWS(H$5:H1761)),"""")"),"")</f>
        <v/>
      </c>
    </row>
    <row r="1762" ht="15.75" customHeight="1">
      <c r="A17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Helper'!$F$5:$F$3004,"""")&lt;&gt;""""),ROWS(A$5:A1762)),"""")"),"")</f>
        <v/>
      </c>
      <c r="B17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Helper'!$F$5:$F$3004,"""")&lt;&gt;""""),ROWS(B$5:B1762)),"""")"),"")</f>
        <v/>
      </c>
      <c r="C17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Helper'!$F$5:$F$3004,"""")&lt;&gt;""""),ROWS(C$5:C1762)),"""")"),"")</f>
        <v/>
      </c>
      <c r="D17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Helper'!$F$5:$F$3004,"""")&lt;&gt;""""),ROWS(D$5:D1762)),"""")"),"")</f>
        <v/>
      </c>
      <c r="E17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Helper'!$F$5:$F$3004,"""")&lt;&gt;""""),ROWS(E$5:E1762)),"""")"),"")</f>
        <v/>
      </c>
      <c r="F17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Helper'!$F$5:$F$3004,"""")&lt;&gt;""""),ROWS(F$5:F1762)),IF(AND(LEFT(x,5)=""Pag"&amp;"e "",ISERROR(SEARCH(""–"",x))),x&amp;""–""&amp;REGEXEXTRACT(x,""[0-9]+$""),x)),"""")"),"")</f>
        <v/>
      </c>
      <c r="G1762" s="163"/>
      <c r="H17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Helper'!$F$5:$F$3004,"""")&lt;&gt;""""),ROWS(H$5:H1762)),"""")"),"")</f>
        <v/>
      </c>
    </row>
    <row r="1763" ht="15.75" customHeight="1">
      <c r="A17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Helper'!$F$5:$F$3004,"""")&lt;&gt;""""),ROWS(A$5:A1763)),"""")"),"")</f>
        <v/>
      </c>
      <c r="B17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Helper'!$F$5:$F$3004,"""")&lt;&gt;""""),ROWS(B$5:B1763)),"""")"),"")</f>
        <v/>
      </c>
      <c r="C17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Helper'!$F$5:$F$3004,"""")&lt;&gt;""""),ROWS(C$5:C1763)),"""")"),"")</f>
        <v/>
      </c>
      <c r="D17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Helper'!$F$5:$F$3004,"""")&lt;&gt;""""),ROWS(D$5:D1763)),"""")"),"")</f>
        <v/>
      </c>
      <c r="E17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Helper'!$F$5:$F$3004,"""")&lt;&gt;""""),ROWS(E$5:E1763)),"""")"),"")</f>
        <v/>
      </c>
      <c r="F17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Helper'!$F$5:$F$3004,"""")&lt;&gt;""""),ROWS(F$5:F1763)),IF(AND(LEFT(x,5)=""Pag"&amp;"e "",ISERROR(SEARCH(""–"",x))),x&amp;""–""&amp;REGEXEXTRACT(x,""[0-9]+$""),x)),"""")"),"")</f>
        <v/>
      </c>
      <c r="G1763" s="163"/>
      <c r="H17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Helper'!$F$5:$F$3004,"""")&lt;&gt;""""),ROWS(H$5:H1763)),"""")"),"")</f>
        <v/>
      </c>
    </row>
    <row r="1764" ht="15.75" customHeight="1">
      <c r="A17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Helper'!$F$5:$F$3004,"""")&lt;&gt;""""),ROWS(A$5:A1764)),"""")"),"")</f>
        <v/>
      </c>
      <c r="B17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Helper'!$F$5:$F$3004,"""")&lt;&gt;""""),ROWS(B$5:B1764)),"""")"),"")</f>
        <v/>
      </c>
      <c r="C17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Helper'!$F$5:$F$3004,"""")&lt;&gt;""""),ROWS(C$5:C1764)),"""")"),"")</f>
        <v/>
      </c>
      <c r="D17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Helper'!$F$5:$F$3004,"""")&lt;&gt;""""),ROWS(D$5:D1764)),"""")"),"")</f>
        <v/>
      </c>
      <c r="E17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Helper'!$F$5:$F$3004,"""")&lt;&gt;""""),ROWS(E$5:E1764)),"""")"),"")</f>
        <v/>
      </c>
      <c r="F17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Helper'!$F$5:$F$3004,"""")&lt;&gt;""""),ROWS(F$5:F1764)),IF(AND(LEFT(x,5)=""Pag"&amp;"e "",ISERROR(SEARCH(""–"",x))),x&amp;""–""&amp;REGEXEXTRACT(x,""[0-9]+$""),x)),"""")"),"")</f>
        <v/>
      </c>
      <c r="G1764" s="163"/>
      <c r="H17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Helper'!$F$5:$F$3004,"""")&lt;&gt;""""),ROWS(H$5:H1764)),"""")"),"")</f>
        <v/>
      </c>
    </row>
    <row r="1765" ht="15.75" customHeight="1">
      <c r="A17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Helper'!$F$5:$F$3004,"""")&lt;&gt;""""),ROWS(A$5:A1765)),"""")"),"")</f>
        <v/>
      </c>
      <c r="B17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Helper'!$F$5:$F$3004,"""")&lt;&gt;""""),ROWS(B$5:B1765)),"""")"),"")</f>
        <v/>
      </c>
      <c r="C17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Helper'!$F$5:$F$3004,"""")&lt;&gt;""""),ROWS(C$5:C1765)),"""")"),"")</f>
        <v/>
      </c>
      <c r="D17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Helper'!$F$5:$F$3004,"""")&lt;&gt;""""),ROWS(D$5:D1765)),"""")"),"")</f>
        <v/>
      </c>
      <c r="E17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Helper'!$F$5:$F$3004,"""")&lt;&gt;""""),ROWS(E$5:E1765)),"""")"),"")</f>
        <v/>
      </c>
      <c r="F17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Helper'!$F$5:$F$3004,"""")&lt;&gt;""""),ROWS(F$5:F1765)),IF(AND(LEFT(x,5)=""Pag"&amp;"e "",ISERROR(SEARCH(""–"",x))),x&amp;""–""&amp;REGEXEXTRACT(x,""[0-9]+$""),x)),"""")"),"")</f>
        <v/>
      </c>
      <c r="G1765" s="163"/>
      <c r="H17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Helper'!$F$5:$F$3004,"""")&lt;&gt;""""),ROWS(H$5:H1765)),"""")"),"")</f>
        <v/>
      </c>
    </row>
    <row r="1766" ht="15.75" customHeight="1">
      <c r="A17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Helper'!$F$5:$F$3004,"""")&lt;&gt;""""),ROWS(A$5:A1766)),"""")"),"")</f>
        <v/>
      </c>
      <c r="B17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Helper'!$F$5:$F$3004,"""")&lt;&gt;""""),ROWS(B$5:B1766)),"""")"),"")</f>
        <v/>
      </c>
      <c r="C17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Helper'!$F$5:$F$3004,"""")&lt;&gt;""""),ROWS(C$5:C1766)),"""")"),"")</f>
        <v/>
      </c>
      <c r="D17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Helper'!$F$5:$F$3004,"""")&lt;&gt;""""),ROWS(D$5:D1766)),"""")"),"")</f>
        <v/>
      </c>
      <c r="E17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Helper'!$F$5:$F$3004,"""")&lt;&gt;""""),ROWS(E$5:E1766)),"""")"),"")</f>
        <v/>
      </c>
      <c r="F17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Helper'!$F$5:$F$3004,"""")&lt;&gt;""""),ROWS(F$5:F1766)),IF(AND(LEFT(x,5)=""Pag"&amp;"e "",ISERROR(SEARCH(""–"",x))),x&amp;""–""&amp;REGEXEXTRACT(x,""[0-9]+$""),x)),"""")"),"")</f>
        <v/>
      </c>
      <c r="G1766" s="163"/>
      <c r="H17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Helper'!$F$5:$F$3004,"""")&lt;&gt;""""),ROWS(H$5:H1766)),"""")"),"")</f>
        <v/>
      </c>
    </row>
    <row r="1767" ht="15.75" customHeight="1">
      <c r="A17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Helper'!$F$5:$F$3004,"""")&lt;&gt;""""),ROWS(A$5:A1767)),"""")"),"")</f>
        <v/>
      </c>
      <c r="B17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Helper'!$F$5:$F$3004,"""")&lt;&gt;""""),ROWS(B$5:B1767)),"""")"),"")</f>
        <v/>
      </c>
      <c r="C17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Helper'!$F$5:$F$3004,"""")&lt;&gt;""""),ROWS(C$5:C1767)),"""")"),"")</f>
        <v/>
      </c>
      <c r="D17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Helper'!$F$5:$F$3004,"""")&lt;&gt;""""),ROWS(D$5:D1767)),"""")"),"")</f>
        <v/>
      </c>
      <c r="E17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Helper'!$F$5:$F$3004,"""")&lt;&gt;""""),ROWS(E$5:E1767)),"""")"),"")</f>
        <v/>
      </c>
      <c r="F17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Helper'!$F$5:$F$3004,"""")&lt;&gt;""""),ROWS(F$5:F1767)),IF(AND(LEFT(x,5)=""Pag"&amp;"e "",ISERROR(SEARCH(""–"",x))),x&amp;""–""&amp;REGEXEXTRACT(x,""[0-9]+$""),x)),"""")"),"")</f>
        <v/>
      </c>
      <c r="G1767" s="163"/>
      <c r="H17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Helper'!$F$5:$F$3004,"""")&lt;&gt;""""),ROWS(H$5:H1767)),"""")"),"")</f>
        <v/>
      </c>
    </row>
    <row r="1768" ht="15.75" customHeight="1">
      <c r="A17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Helper'!$F$5:$F$3004,"""")&lt;&gt;""""),ROWS(A$5:A1768)),"""")"),"")</f>
        <v/>
      </c>
      <c r="B17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Helper'!$F$5:$F$3004,"""")&lt;&gt;""""),ROWS(B$5:B1768)),"""")"),"")</f>
        <v/>
      </c>
      <c r="C17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Helper'!$F$5:$F$3004,"""")&lt;&gt;""""),ROWS(C$5:C1768)),"""")"),"")</f>
        <v/>
      </c>
      <c r="D17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Helper'!$F$5:$F$3004,"""")&lt;&gt;""""),ROWS(D$5:D1768)),"""")"),"")</f>
        <v/>
      </c>
      <c r="E17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Helper'!$F$5:$F$3004,"""")&lt;&gt;""""),ROWS(E$5:E1768)),"""")"),"")</f>
        <v/>
      </c>
      <c r="F17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Helper'!$F$5:$F$3004,"""")&lt;&gt;""""),ROWS(F$5:F1768)),IF(AND(LEFT(x,5)=""Pag"&amp;"e "",ISERROR(SEARCH(""–"",x))),x&amp;""–""&amp;REGEXEXTRACT(x,""[0-9]+$""),x)),"""")"),"")</f>
        <v/>
      </c>
      <c r="G1768" s="163"/>
      <c r="H17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Helper'!$F$5:$F$3004,"""")&lt;&gt;""""),ROWS(H$5:H1768)),"""")"),"")</f>
        <v/>
      </c>
    </row>
    <row r="1769" ht="15.75" customHeight="1">
      <c r="A17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Helper'!$F$5:$F$3004,"""")&lt;&gt;""""),ROWS(A$5:A1769)),"""")"),"")</f>
        <v/>
      </c>
      <c r="B17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Helper'!$F$5:$F$3004,"""")&lt;&gt;""""),ROWS(B$5:B1769)),"""")"),"")</f>
        <v/>
      </c>
      <c r="C17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Helper'!$F$5:$F$3004,"""")&lt;&gt;""""),ROWS(C$5:C1769)),"""")"),"")</f>
        <v/>
      </c>
      <c r="D17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Helper'!$F$5:$F$3004,"""")&lt;&gt;""""),ROWS(D$5:D1769)),"""")"),"")</f>
        <v/>
      </c>
      <c r="E17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Helper'!$F$5:$F$3004,"""")&lt;&gt;""""),ROWS(E$5:E1769)),"""")"),"")</f>
        <v/>
      </c>
      <c r="F17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Helper'!$F$5:$F$3004,"""")&lt;&gt;""""),ROWS(F$5:F1769)),IF(AND(LEFT(x,5)=""Pag"&amp;"e "",ISERROR(SEARCH(""–"",x))),x&amp;""–""&amp;REGEXEXTRACT(x,""[0-9]+$""),x)),"""")"),"")</f>
        <v/>
      </c>
      <c r="G1769" s="163"/>
      <c r="H17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Helper'!$F$5:$F$3004,"""")&lt;&gt;""""),ROWS(H$5:H1769)),"""")"),"")</f>
        <v/>
      </c>
    </row>
    <row r="1770" ht="15.75" customHeight="1">
      <c r="A17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Helper'!$F$5:$F$3004,"""")&lt;&gt;""""),ROWS(A$5:A1770)),"""")"),"")</f>
        <v/>
      </c>
      <c r="B17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Helper'!$F$5:$F$3004,"""")&lt;&gt;""""),ROWS(B$5:B1770)),"""")"),"")</f>
        <v/>
      </c>
      <c r="C17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Helper'!$F$5:$F$3004,"""")&lt;&gt;""""),ROWS(C$5:C1770)),"""")"),"")</f>
        <v/>
      </c>
      <c r="D17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Helper'!$F$5:$F$3004,"""")&lt;&gt;""""),ROWS(D$5:D1770)),"""")"),"")</f>
        <v/>
      </c>
      <c r="E17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Helper'!$F$5:$F$3004,"""")&lt;&gt;""""),ROWS(E$5:E1770)),"""")"),"")</f>
        <v/>
      </c>
      <c r="F17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Helper'!$F$5:$F$3004,"""")&lt;&gt;""""),ROWS(F$5:F1770)),IF(AND(LEFT(x,5)=""Pag"&amp;"e "",ISERROR(SEARCH(""–"",x))),x&amp;""–""&amp;REGEXEXTRACT(x,""[0-9]+$""),x)),"""")"),"")</f>
        <v/>
      </c>
      <c r="G1770" s="163"/>
      <c r="H17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Helper'!$F$5:$F$3004,"""")&lt;&gt;""""),ROWS(H$5:H1770)),"""")"),"")</f>
        <v/>
      </c>
    </row>
    <row r="1771" ht="15.75" customHeight="1">
      <c r="A17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Helper'!$F$5:$F$3004,"""")&lt;&gt;""""),ROWS(A$5:A1771)),"""")"),"")</f>
        <v/>
      </c>
      <c r="B17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Helper'!$F$5:$F$3004,"""")&lt;&gt;""""),ROWS(B$5:B1771)),"""")"),"")</f>
        <v/>
      </c>
      <c r="C17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Helper'!$F$5:$F$3004,"""")&lt;&gt;""""),ROWS(C$5:C1771)),"""")"),"")</f>
        <v/>
      </c>
      <c r="D17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Helper'!$F$5:$F$3004,"""")&lt;&gt;""""),ROWS(D$5:D1771)),"""")"),"")</f>
        <v/>
      </c>
      <c r="E17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Helper'!$F$5:$F$3004,"""")&lt;&gt;""""),ROWS(E$5:E1771)),"""")"),"")</f>
        <v/>
      </c>
      <c r="F17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Helper'!$F$5:$F$3004,"""")&lt;&gt;""""),ROWS(F$5:F1771)),IF(AND(LEFT(x,5)=""Pag"&amp;"e "",ISERROR(SEARCH(""–"",x))),x&amp;""–""&amp;REGEXEXTRACT(x,""[0-9]+$""),x)),"""")"),"")</f>
        <v/>
      </c>
      <c r="G1771" s="163"/>
      <c r="H17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Helper'!$F$5:$F$3004,"""")&lt;&gt;""""),ROWS(H$5:H1771)),"""")"),"")</f>
        <v/>
      </c>
    </row>
    <row r="1772" ht="15.75" customHeight="1">
      <c r="A17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Helper'!$F$5:$F$3004,"""")&lt;&gt;""""),ROWS(A$5:A1772)),"""")"),"")</f>
        <v/>
      </c>
      <c r="B17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Helper'!$F$5:$F$3004,"""")&lt;&gt;""""),ROWS(B$5:B1772)),"""")"),"")</f>
        <v/>
      </c>
      <c r="C17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Helper'!$F$5:$F$3004,"""")&lt;&gt;""""),ROWS(C$5:C1772)),"""")"),"")</f>
        <v/>
      </c>
      <c r="D17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Helper'!$F$5:$F$3004,"""")&lt;&gt;""""),ROWS(D$5:D1772)),"""")"),"")</f>
        <v/>
      </c>
      <c r="E17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Helper'!$F$5:$F$3004,"""")&lt;&gt;""""),ROWS(E$5:E1772)),"""")"),"")</f>
        <v/>
      </c>
      <c r="F17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Helper'!$F$5:$F$3004,"""")&lt;&gt;""""),ROWS(F$5:F1772)),IF(AND(LEFT(x,5)=""Pag"&amp;"e "",ISERROR(SEARCH(""–"",x))),x&amp;""–""&amp;REGEXEXTRACT(x,""[0-9]+$""),x)),"""")"),"")</f>
        <v/>
      </c>
      <c r="G1772" s="163"/>
      <c r="H17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Helper'!$F$5:$F$3004,"""")&lt;&gt;""""),ROWS(H$5:H1772)),"""")"),"")</f>
        <v/>
      </c>
    </row>
    <row r="1773" ht="15.75" customHeight="1">
      <c r="A17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Helper'!$F$5:$F$3004,"""")&lt;&gt;""""),ROWS(A$5:A1773)),"""")"),"")</f>
        <v/>
      </c>
      <c r="B17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Helper'!$F$5:$F$3004,"""")&lt;&gt;""""),ROWS(B$5:B1773)),"""")"),"")</f>
        <v/>
      </c>
      <c r="C17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Helper'!$F$5:$F$3004,"""")&lt;&gt;""""),ROWS(C$5:C1773)),"""")"),"")</f>
        <v/>
      </c>
      <c r="D17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Helper'!$F$5:$F$3004,"""")&lt;&gt;""""),ROWS(D$5:D1773)),"""")"),"")</f>
        <v/>
      </c>
      <c r="E17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Helper'!$F$5:$F$3004,"""")&lt;&gt;""""),ROWS(E$5:E1773)),"""")"),"")</f>
        <v/>
      </c>
      <c r="F17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Helper'!$F$5:$F$3004,"""")&lt;&gt;""""),ROWS(F$5:F1773)),IF(AND(LEFT(x,5)=""Pag"&amp;"e "",ISERROR(SEARCH(""–"",x))),x&amp;""–""&amp;REGEXEXTRACT(x,""[0-9]+$""),x)),"""")"),"")</f>
        <v/>
      </c>
      <c r="G1773" s="163"/>
      <c r="H17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Helper'!$F$5:$F$3004,"""")&lt;&gt;""""),ROWS(H$5:H1773)),"""")"),"")</f>
        <v/>
      </c>
    </row>
    <row r="1774" ht="15.75" customHeight="1">
      <c r="A17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Helper'!$F$5:$F$3004,"""")&lt;&gt;""""),ROWS(A$5:A1774)),"""")"),"")</f>
        <v/>
      </c>
      <c r="B17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Helper'!$F$5:$F$3004,"""")&lt;&gt;""""),ROWS(B$5:B1774)),"""")"),"")</f>
        <v/>
      </c>
      <c r="C17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Helper'!$F$5:$F$3004,"""")&lt;&gt;""""),ROWS(C$5:C1774)),"""")"),"")</f>
        <v/>
      </c>
      <c r="D17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Helper'!$F$5:$F$3004,"""")&lt;&gt;""""),ROWS(D$5:D1774)),"""")"),"")</f>
        <v/>
      </c>
      <c r="E17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Helper'!$F$5:$F$3004,"""")&lt;&gt;""""),ROWS(E$5:E1774)),"""")"),"")</f>
        <v/>
      </c>
      <c r="F17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Helper'!$F$5:$F$3004,"""")&lt;&gt;""""),ROWS(F$5:F1774)),IF(AND(LEFT(x,5)=""Pag"&amp;"e "",ISERROR(SEARCH(""–"",x))),x&amp;""–""&amp;REGEXEXTRACT(x,""[0-9]+$""),x)),"""")"),"")</f>
        <v/>
      </c>
      <c r="G1774" s="163"/>
      <c r="H17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Helper'!$F$5:$F$3004,"""")&lt;&gt;""""),ROWS(H$5:H1774)),"""")"),"")</f>
        <v/>
      </c>
    </row>
    <row r="1775" ht="15.75" customHeight="1">
      <c r="A17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Helper'!$F$5:$F$3004,"""")&lt;&gt;""""),ROWS(A$5:A1775)),"""")"),"")</f>
        <v/>
      </c>
      <c r="B17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Helper'!$F$5:$F$3004,"""")&lt;&gt;""""),ROWS(B$5:B1775)),"""")"),"")</f>
        <v/>
      </c>
      <c r="C17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Helper'!$F$5:$F$3004,"""")&lt;&gt;""""),ROWS(C$5:C1775)),"""")"),"")</f>
        <v/>
      </c>
      <c r="D17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Helper'!$F$5:$F$3004,"""")&lt;&gt;""""),ROWS(D$5:D1775)),"""")"),"")</f>
        <v/>
      </c>
      <c r="E17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Helper'!$F$5:$F$3004,"""")&lt;&gt;""""),ROWS(E$5:E1775)),"""")"),"")</f>
        <v/>
      </c>
      <c r="F17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Helper'!$F$5:$F$3004,"""")&lt;&gt;""""),ROWS(F$5:F1775)),IF(AND(LEFT(x,5)=""Pag"&amp;"e "",ISERROR(SEARCH(""–"",x))),x&amp;""–""&amp;REGEXEXTRACT(x,""[0-9]+$""),x)),"""")"),"")</f>
        <v/>
      </c>
      <c r="G1775" s="163"/>
      <c r="H17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Helper'!$F$5:$F$3004,"""")&lt;&gt;""""),ROWS(H$5:H1775)),"""")"),"")</f>
        <v/>
      </c>
    </row>
    <row r="1776" ht="15.75" customHeight="1">
      <c r="A17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Helper'!$F$5:$F$3004,"""")&lt;&gt;""""),ROWS(A$5:A1776)),"""")"),"")</f>
        <v/>
      </c>
      <c r="B17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Helper'!$F$5:$F$3004,"""")&lt;&gt;""""),ROWS(B$5:B1776)),"""")"),"")</f>
        <v/>
      </c>
      <c r="C17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Helper'!$F$5:$F$3004,"""")&lt;&gt;""""),ROWS(C$5:C1776)),"""")"),"")</f>
        <v/>
      </c>
      <c r="D17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Helper'!$F$5:$F$3004,"""")&lt;&gt;""""),ROWS(D$5:D1776)),"""")"),"")</f>
        <v/>
      </c>
      <c r="E17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Helper'!$F$5:$F$3004,"""")&lt;&gt;""""),ROWS(E$5:E1776)),"""")"),"")</f>
        <v/>
      </c>
      <c r="F17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Helper'!$F$5:$F$3004,"""")&lt;&gt;""""),ROWS(F$5:F1776)),IF(AND(LEFT(x,5)=""Pag"&amp;"e "",ISERROR(SEARCH(""–"",x))),x&amp;""–""&amp;REGEXEXTRACT(x,""[0-9]+$""),x)),"""")"),"")</f>
        <v/>
      </c>
      <c r="G1776" s="163"/>
      <c r="H17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Helper'!$F$5:$F$3004,"""")&lt;&gt;""""),ROWS(H$5:H1776)),"""")"),"")</f>
        <v/>
      </c>
    </row>
    <row r="1777" ht="15.75" customHeight="1">
      <c r="A17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Helper'!$F$5:$F$3004,"""")&lt;&gt;""""),ROWS(A$5:A1777)),"""")"),"")</f>
        <v/>
      </c>
      <c r="B17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Helper'!$F$5:$F$3004,"""")&lt;&gt;""""),ROWS(B$5:B1777)),"""")"),"")</f>
        <v/>
      </c>
      <c r="C17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Helper'!$F$5:$F$3004,"""")&lt;&gt;""""),ROWS(C$5:C1777)),"""")"),"")</f>
        <v/>
      </c>
      <c r="D17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Helper'!$F$5:$F$3004,"""")&lt;&gt;""""),ROWS(D$5:D1777)),"""")"),"")</f>
        <v/>
      </c>
      <c r="E17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Helper'!$F$5:$F$3004,"""")&lt;&gt;""""),ROWS(E$5:E1777)),"""")"),"")</f>
        <v/>
      </c>
      <c r="F17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Helper'!$F$5:$F$3004,"""")&lt;&gt;""""),ROWS(F$5:F1777)),IF(AND(LEFT(x,5)=""Pag"&amp;"e "",ISERROR(SEARCH(""–"",x))),x&amp;""–""&amp;REGEXEXTRACT(x,""[0-9]+$""),x)),"""")"),"")</f>
        <v/>
      </c>
      <c r="G1777" s="163"/>
      <c r="H17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Helper'!$F$5:$F$3004,"""")&lt;&gt;""""),ROWS(H$5:H1777)),"""")"),"")</f>
        <v/>
      </c>
    </row>
    <row r="1778" ht="15.75" customHeight="1">
      <c r="A17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Helper'!$F$5:$F$3004,"""")&lt;&gt;""""),ROWS(A$5:A1778)),"""")"),"")</f>
        <v/>
      </c>
      <c r="B17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Helper'!$F$5:$F$3004,"""")&lt;&gt;""""),ROWS(B$5:B1778)),"""")"),"")</f>
        <v/>
      </c>
      <c r="C17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Helper'!$F$5:$F$3004,"""")&lt;&gt;""""),ROWS(C$5:C1778)),"""")"),"")</f>
        <v/>
      </c>
      <c r="D17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Helper'!$F$5:$F$3004,"""")&lt;&gt;""""),ROWS(D$5:D1778)),"""")"),"")</f>
        <v/>
      </c>
      <c r="E17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Helper'!$F$5:$F$3004,"""")&lt;&gt;""""),ROWS(E$5:E1778)),"""")"),"")</f>
        <v/>
      </c>
      <c r="F17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Helper'!$F$5:$F$3004,"""")&lt;&gt;""""),ROWS(F$5:F1778)),IF(AND(LEFT(x,5)=""Pag"&amp;"e "",ISERROR(SEARCH(""–"",x))),x&amp;""–""&amp;REGEXEXTRACT(x,""[0-9]+$""),x)),"""")"),"")</f>
        <v/>
      </c>
      <c r="G1778" s="163"/>
      <c r="H17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Helper'!$F$5:$F$3004,"""")&lt;&gt;""""),ROWS(H$5:H1778)),"""")"),"")</f>
        <v/>
      </c>
    </row>
    <row r="1779" ht="15.75" customHeight="1">
      <c r="A17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Helper'!$F$5:$F$3004,"""")&lt;&gt;""""),ROWS(A$5:A1779)),"""")"),"")</f>
        <v/>
      </c>
      <c r="B17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Helper'!$F$5:$F$3004,"""")&lt;&gt;""""),ROWS(B$5:B1779)),"""")"),"")</f>
        <v/>
      </c>
      <c r="C17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Helper'!$F$5:$F$3004,"""")&lt;&gt;""""),ROWS(C$5:C1779)),"""")"),"")</f>
        <v/>
      </c>
      <c r="D17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Helper'!$F$5:$F$3004,"""")&lt;&gt;""""),ROWS(D$5:D1779)),"""")"),"")</f>
        <v/>
      </c>
      <c r="E17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Helper'!$F$5:$F$3004,"""")&lt;&gt;""""),ROWS(E$5:E1779)),"""")"),"")</f>
        <v/>
      </c>
      <c r="F17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Helper'!$F$5:$F$3004,"""")&lt;&gt;""""),ROWS(F$5:F1779)),IF(AND(LEFT(x,5)=""Pag"&amp;"e "",ISERROR(SEARCH(""–"",x))),x&amp;""–""&amp;REGEXEXTRACT(x,""[0-9]+$""),x)),"""")"),"")</f>
        <v/>
      </c>
      <c r="G1779" s="163"/>
      <c r="H17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Helper'!$F$5:$F$3004,"""")&lt;&gt;""""),ROWS(H$5:H1779)),"""")"),"")</f>
        <v/>
      </c>
    </row>
    <row r="1780" ht="15.75" customHeight="1">
      <c r="A17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Helper'!$F$5:$F$3004,"""")&lt;&gt;""""),ROWS(A$5:A1780)),"""")"),"")</f>
        <v/>
      </c>
      <c r="B17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Helper'!$F$5:$F$3004,"""")&lt;&gt;""""),ROWS(B$5:B1780)),"""")"),"")</f>
        <v/>
      </c>
      <c r="C17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Helper'!$F$5:$F$3004,"""")&lt;&gt;""""),ROWS(C$5:C1780)),"""")"),"")</f>
        <v/>
      </c>
      <c r="D17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Helper'!$F$5:$F$3004,"""")&lt;&gt;""""),ROWS(D$5:D1780)),"""")"),"")</f>
        <v/>
      </c>
      <c r="E17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Helper'!$F$5:$F$3004,"""")&lt;&gt;""""),ROWS(E$5:E1780)),"""")"),"")</f>
        <v/>
      </c>
      <c r="F17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Helper'!$F$5:$F$3004,"""")&lt;&gt;""""),ROWS(F$5:F1780)),IF(AND(LEFT(x,5)=""Pag"&amp;"e "",ISERROR(SEARCH(""–"",x))),x&amp;""–""&amp;REGEXEXTRACT(x,""[0-9]+$""),x)),"""")"),"")</f>
        <v/>
      </c>
      <c r="G1780" s="163"/>
      <c r="H17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Helper'!$F$5:$F$3004,"""")&lt;&gt;""""),ROWS(H$5:H1780)),"""")"),"")</f>
        <v/>
      </c>
    </row>
    <row r="1781" ht="15.75" customHeight="1">
      <c r="A17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Helper'!$F$5:$F$3004,"""")&lt;&gt;""""),ROWS(A$5:A1781)),"""")"),"")</f>
        <v/>
      </c>
      <c r="B17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Helper'!$F$5:$F$3004,"""")&lt;&gt;""""),ROWS(B$5:B1781)),"""")"),"")</f>
        <v/>
      </c>
      <c r="C17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Helper'!$F$5:$F$3004,"""")&lt;&gt;""""),ROWS(C$5:C1781)),"""")"),"")</f>
        <v/>
      </c>
      <c r="D17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Helper'!$F$5:$F$3004,"""")&lt;&gt;""""),ROWS(D$5:D1781)),"""")"),"")</f>
        <v/>
      </c>
      <c r="E17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Helper'!$F$5:$F$3004,"""")&lt;&gt;""""),ROWS(E$5:E1781)),"""")"),"")</f>
        <v/>
      </c>
      <c r="F17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Helper'!$F$5:$F$3004,"""")&lt;&gt;""""),ROWS(F$5:F1781)),IF(AND(LEFT(x,5)=""Pag"&amp;"e "",ISERROR(SEARCH(""–"",x))),x&amp;""–""&amp;REGEXEXTRACT(x,""[0-9]+$""),x)),"""")"),"")</f>
        <v/>
      </c>
      <c r="G1781" s="163"/>
      <c r="H17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Helper'!$F$5:$F$3004,"""")&lt;&gt;""""),ROWS(H$5:H1781)),"""")"),"")</f>
        <v/>
      </c>
    </row>
    <row r="1782" ht="15.75" customHeight="1">
      <c r="A17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Helper'!$F$5:$F$3004,"""")&lt;&gt;""""),ROWS(A$5:A1782)),"""")"),"")</f>
        <v/>
      </c>
      <c r="B17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Helper'!$F$5:$F$3004,"""")&lt;&gt;""""),ROWS(B$5:B1782)),"""")"),"")</f>
        <v/>
      </c>
      <c r="C17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Helper'!$F$5:$F$3004,"""")&lt;&gt;""""),ROWS(C$5:C1782)),"""")"),"")</f>
        <v/>
      </c>
      <c r="D17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Helper'!$F$5:$F$3004,"""")&lt;&gt;""""),ROWS(D$5:D1782)),"""")"),"")</f>
        <v/>
      </c>
      <c r="E17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Helper'!$F$5:$F$3004,"""")&lt;&gt;""""),ROWS(E$5:E1782)),"""")"),"")</f>
        <v/>
      </c>
      <c r="F17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Helper'!$F$5:$F$3004,"""")&lt;&gt;""""),ROWS(F$5:F1782)),IF(AND(LEFT(x,5)=""Pag"&amp;"e "",ISERROR(SEARCH(""–"",x))),x&amp;""–""&amp;REGEXEXTRACT(x,""[0-9]+$""),x)),"""")"),"")</f>
        <v/>
      </c>
      <c r="G1782" s="163"/>
      <c r="H17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Helper'!$F$5:$F$3004,"""")&lt;&gt;""""),ROWS(H$5:H1782)),"""")"),"")</f>
        <v/>
      </c>
    </row>
    <row r="1783" ht="15.75" customHeight="1">
      <c r="A17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Helper'!$F$5:$F$3004,"""")&lt;&gt;""""),ROWS(A$5:A1783)),"""")"),"")</f>
        <v/>
      </c>
      <c r="B17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Helper'!$F$5:$F$3004,"""")&lt;&gt;""""),ROWS(B$5:B1783)),"""")"),"")</f>
        <v/>
      </c>
      <c r="C17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Helper'!$F$5:$F$3004,"""")&lt;&gt;""""),ROWS(C$5:C1783)),"""")"),"")</f>
        <v/>
      </c>
      <c r="D17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Helper'!$F$5:$F$3004,"""")&lt;&gt;""""),ROWS(D$5:D1783)),"""")"),"")</f>
        <v/>
      </c>
      <c r="E17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Helper'!$F$5:$F$3004,"""")&lt;&gt;""""),ROWS(E$5:E1783)),"""")"),"")</f>
        <v/>
      </c>
      <c r="F17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Helper'!$F$5:$F$3004,"""")&lt;&gt;""""),ROWS(F$5:F1783)),IF(AND(LEFT(x,5)=""Pag"&amp;"e "",ISERROR(SEARCH(""–"",x))),x&amp;""–""&amp;REGEXEXTRACT(x,""[0-9]+$""),x)),"""")"),"")</f>
        <v/>
      </c>
      <c r="G1783" s="163"/>
      <c r="H17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Helper'!$F$5:$F$3004,"""")&lt;&gt;""""),ROWS(H$5:H1783)),"""")"),"")</f>
        <v/>
      </c>
    </row>
    <row r="1784" ht="15.75" customHeight="1">
      <c r="A17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Helper'!$F$5:$F$3004,"""")&lt;&gt;""""),ROWS(A$5:A1784)),"""")"),"")</f>
        <v/>
      </c>
      <c r="B17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Helper'!$F$5:$F$3004,"""")&lt;&gt;""""),ROWS(B$5:B1784)),"""")"),"")</f>
        <v/>
      </c>
      <c r="C17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Helper'!$F$5:$F$3004,"""")&lt;&gt;""""),ROWS(C$5:C1784)),"""")"),"")</f>
        <v/>
      </c>
      <c r="D17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Helper'!$F$5:$F$3004,"""")&lt;&gt;""""),ROWS(D$5:D1784)),"""")"),"")</f>
        <v/>
      </c>
      <c r="E17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Helper'!$F$5:$F$3004,"""")&lt;&gt;""""),ROWS(E$5:E1784)),"""")"),"")</f>
        <v/>
      </c>
      <c r="F17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Helper'!$F$5:$F$3004,"""")&lt;&gt;""""),ROWS(F$5:F1784)),IF(AND(LEFT(x,5)=""Pag"&amp;"e "",ISERROR(SEARCH(""–"",x))),x&amp;""–""&amp;REGEXEXTRACT(x,""[0-9]+$""),x)),"""")"),"")</f>
        <v/>
      </c>
      <c r="G1784" s="163"/>
      <c r="H17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Helper'!$F$5:$F$3004,"""")&lt;&gt;""""),ROWS(H$5:H1784)),"""")"),"")</f>
        <v/>
      </c>
    </row>
    <row r="1785" ht="15.75" customHeight="1">
      <c r="A17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Helper'!$F$5:$F$3004,"""")&lt;&gt;""""),ROWS(A$5:A1785)),"""")"),"")</f>
        <v/>
      </c>
      <c r="B17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Helper'!$F$5:$F$3004,"""")&lt;&gt;""""),ROWS(B$5:B1785)),"""")"),"")</f>
        <v/>
      </c>
      <c r="C17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Helper'!$F$5:$F$3004,"""")&lt;&gt;""""),ROWS(C$5:C1785)),"""")"),"")</f>
        <v/>
      </c>
      <c r="D17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Helper'!$F$5:$F$3004,"""")&lt;&gt;""""),ROWS(D$5:D1785)),"""")"),"")</f>
        <v/>
      </c>
      <c r="E17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Helper'!$F$5:$F$3004,"""")&lt;&gt;""""),ROWS(E$5:E1785)),"""")"),"")</f>
        <v/>
      </c>
      <c r="F17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Helper'!$F$5:$F$3004,"""")&lt;&gt;""""),ROWS(F$5:F1785)),IF(AND(LEFT(x,5)=""Pag"&amp;"e "",ISERROR(SEARCH(""–"",x))),x&amp;""–""&amp;REGEXEXTRACT(x,""[0-9]+$""),x)),"""")"),"")</f>
        <v/>
      </c>
      <c r="G1785" s="163"/>
      <c r="H17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Helper'!$F$5:$F$3004,"""")&lt;&gt;""""),ROWS(H$5:H1785)),"""")"),"")</f>
        <v/>
      </c>
    </row>
    <row r="1786" ht="15.75" customHeight="1">
      <c r="A17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Helper'!$F$5:$F$3004,"""")&lt;&gt;""""),ROWS(A$5:A1786)),"""")"),"")</f>
        <v/>
      </c>
      <c r="B17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Helper'!$F$5:$F$3004,"""")&lt;&gt;""""),ROWS(B$5:B1786)),"""")"),"")</f>
        <v/>
      </c>
      <c r="C17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Helper'!$F$5:$F$3004,"""")&lt;&gt;""""),ROWS(C$5:C1786)),"""")"),"")</f>
        <v/>
      </c>
      <c r="D17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Helper'!$F$5:$F$3004,"""")&lt;&gt;""""),ROWS(D$5:D1786)),"""")"),"")</f>
        <v/>
      </c>
      <c r="E17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Helper'!$F$5:$F$3004,"""")&lt;&gt;""""),ROWS(E$5:E1786)),"""")"),"")</f>
        <v/>
      </c>
      <c r="F17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Helper'!$F$5:$F$3004,"""")&lt;&gt;""""),ROWS(F$5:F1786)),IF(AND(LEFT(x,5)=""Pag"&amp;"e "",ISERROR(SEARCH(""–"",x))),x&amp;""–""&amp;REGEXEXTRACT(x,""[0-9]+$""),x)),"""")"),"")</f>
        <v/>
      </c>
      <c r="G1786" s="163"/>
      <c r="H17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Helper'!$F$5:$F$3004,"""")&lt;&gt;""""),ROWS(H$5:H1786)),"""")"),"")</f>
        <v/>
      </c>
    </row>
    <row r="1787" ht="15.75" customHeight="1">
      <c r="A17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Helper'!$F$5:$F$3004,"""")&lt;&gt;""""),ROWS(A$5:A1787)),"""")"),"")</f>
        <v/>
      </c>
      <c r="B17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Helper'!$F$5:$F$3004,"""")&lt;&gt;""""),ROWS(B$5:B1787)),"""")"),"")</f>
        <v/>
      </c>
      <c r="C17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Helper'!$F$5:$F$3004,"""")&lt;&gt;""""),ROWS(C$5:C1787)),"""")"),"")</f>
        <v/>
      </c>
      <c r="D17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Helper'!$F$5:$F$3004,"""")&lt;&gt;""""),ROWS(D$5:D1787)),"""")"),"")</f>
        <v/>
      </c>
      <c r="E17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Helper'!$F$5:$F$3004,"""")&lt;&gt;""""),ROWS(E$5:E1787)),"""")"),"")</f>
        <v/>
      </c>
      <c r="F17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Helper'!$F$5:$F$3004,"""")&lt;&gt;""""),ROWS(F$5:F1787)),IF(AND(LEFT(x,5)=""Pag"&amp;"e "",ISERROR(SEARCH(""–"",x))),x&amp;""–""&amp;REGEXEXTRACT(x,""[0-9]+$""),x)),"""")"),"")</f>
        <v/>
      </c>
      <c r="G1787" s="163"/>
      <c r="H17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Helper'!$F$5:$F$3004,"""")&lt;&gt;""""),ROWS(H$5:H1787)),"""")"),"")</f>
        <v/>
      </c>
    </row>
    <row r="1788" ht="15.75" customHeight="1">
      <c r="A17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Helper'!$F$5:$F$3004,"""")&lt;&gt;""""),ROWS(A$5:A1788)),"""")"),"")</f>
        <v/>
      </c>
      <c r="B17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Helper'!$F$5:$F$3004,"""")&lt;&gt;""""),ROWS(B$5:B1788)),"""")"),"")</f>
        <v/>
      </c>
      <c r="C17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Helper'!$F$5:$F$3004,"""")&lt;&gt;""""),ROWS(C$5:C1788)),"""")"),"")</f>
        <v/>
      </c>
      <c r="D17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Helper'!$F$5:$F$3004,"""")&lt;&gt;""""),ROWS(D$5:D1788)),"""")"),"")</f>
        <v/>
      </c>
      <c r="E17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Helper'!$F$5:$F$3004,"""")&lt;&gt;""""),ROWS(E$5:E1788)),"""")"),"")</f>
        <v/>
      </c>
      <c r="F17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Helper'!$F$5:$F$3004,"""")&lt;&gt;""""),ROWS(F$5:F1788)),IF(AND(LEFT(x,5)=""Pag"&amp;"e "",ISERROR(SEARCH(""–"",x))),x&amp;""–""&amp;REGEXEXTRACT(x,""[0-9]+$""),x)),"""")"),"")</f>
        <v/>
      </c>
      <c r="G1788" s="163"/>
      <c r="H17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Helper'!$F$5:$F$3004,"""")&lt;&gt;""""),ROWS(H$5:H1788)),"""")"),"")</f>
        <v/>
      </c>
    </row>
    <row r="1789" ht="15.75" customHeight="1">
      <c r="A17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Helper'!$F$5:$F$3004,"""")&lt;&gt;""""),ROWS(A$5:A1789)),"""")"),"")</f>
        <v/>
      </c>
      <c r="B17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Helper'!$F$5:$F$3004,"""")&lt;&gt;""""),ROWS(B$5:B1789)),"""")"),"")</f>
        <v/>
      </c>
      <c r="C17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Helper'!$F$5:$F$3004,"""")&lt;&gt;""""),ROWS(C$5:C1789)),"""")"),"")</f>
        <v/>
      </c>
      <c r="D17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Helper'!$F$5:$F$3004,"""")&lt;&gt;""""),ROWS(D$5:D1789)),"""")"),"")</f>
        <v/>
      </c>
      <c r="E17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Helper'!$F$5:$F$3004,"""")&lt;&gt;""""),ROWS(E$5:E1789)),"""")"),"")</f>
        <v/>
      </c>
      <c r="F17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Helper'!$F$5:$F$3004,"""")&lt;&gt;""""),ROWS(F$5:F1789)),IF(AND(LEFT(x,5)=""Pag"&amp;"e "",ISERROR(SEARCH(""–"",x))),x&amp;""–""&amp;REGEXEXTRACT(x,""[0-9]+$""),x)),"""")"),"")</f>
        <v/>
      </c>
      <c r="G1789" s="163"/>
      <c r="H17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Helper'!$F$5:$F$3004,"""")&lt;&gt;""""),ROWS(H$5:H1789)),"""")"),"")</f>
        <v/>
      </c>
    </row>
    <row r="1790" ht="15.75" customHeight="1">
      <c r="A17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Helper'!$F$5:$F$3004,"""")&lt;&gt;""""),ROWS(A$5:A1790)),"""")"),"")</f>
        <v/>
      </c>
      <c r="B17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Helper'!$F$5:$F$3004,"""")&lt;&gt;""""),ROWS(B$5:B1790)),"""")"),"")</f>
        <v/>
      </c>
      <c r="C17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Helper'!$F$5:$F$3004,"""")&lt;&gt;""""),ROWS(C$5:C1790)),"""")"),"")</f>
        <v/>
      </c>
      <c r="D17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Helper'!$F$5:$F$3004,"""")&lt;&gt;""""),ROWS(D$5:D1790)),"""")"),"")</f>
        <v/>
      </c>
      <c r="E17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Helper'!$F$5:$F$3004,"""")&lt;&gt;""""),ROWS(E$5:E1790)),"""")"),"")</f>
        <v/>
      </c>
      <c r="F17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Helper'!$F$5:$F$3004,"""")&lt;&gt;""""),ROWS(F$5:F1790)),IF(AND(LEFT(x,5)=""Pag"&amp;"e "",ISERROR(SEARCH(""–"",x))),x&amp;""–""&amp;REGEXEXTRACT(x,""[0-9]+$""),x)),"""")"),"")</f>
        <v/>
      </c>
      <c r="G1790" s="163"/>
      <c r="H17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Helper'!$F$5:$F$3004,"""")&lt;&gt;""""),ROWS(H$5:H1790)),"""")"),"")</f>
        <v/>
      </c>
    </row>
    <row r="1791" ht="15.75" customHeight="1">
      <c r="A17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Helper'!$F$5:$F$3004,"""")&lt;&gt;""""),ROWS(A$5:A1791)),"""")"),"")</f>
        <v/>
      </c>
      <c r="B17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Helper'!$F$5:$F$3004,"""")&lt;&gt;""""),ROWS(B$5:B1791)),"""")"),"")</f>
        <v/>
      </c>
      <c r="C17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Helper'!$F$5:$F$3004,"""")&lt;&gt;""""),ROWS(C$5:C1791)),"""")"),"")</f>
        <v/>
      </c>
      <c r="D17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Helper'!$F$5:$F$3004,"""")&lt;&gt;""""),ROWS(D$5:D1791)),"""")"),"")</f>
        <v/>
      </c>
      <c r="E17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Helper'!$F$5:$F$3004,"""")&lt;&gt;""""),ROWS(E$5:E1791)),"""")"),"")</f>
        <v/>
      </c>
      <c r="F17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Helper'!$F$5:$F$3004,"""")&lt;&gt;""""),ROWS(F$5:F1791)),IF(AND(LEFT(x,5)=""Pag"&amp;"e "",ISERROR(SEARCH(""–"",x))),x&amp;""–""&amp;REGEXEXTRACT(x,""[0-9]+$""),x)),"""")"),"")</f>
        <v/>
      </c>
      <c r="G1791" s="163"/>
      <c r="H17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Helper'!$F$5:$F$3004,"""")&lt;&gt;""""),ROWS(H$5:H1791)),"""")"),"")</f>
        <v/>
      </c>
    </row>
    <row r="1792" ht="15.75" customHeight="1">
      <c r="A17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Helper'!$F$5:$F$3004,"""")&lt;&gt;""""),ROWS(A$5:A1792)),"""")"),"")</f>
        <v/>
      </c>
      <c r="B17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Helper'!$F$5:$F$3004,"""")&lt;&gt;""""),ROWS(B$5:B1792)),"""")"),"")</f>
        <v/>
      </c>
      <c r="C17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Helper'!$F$5:$F$3004,"""")&lt;&gt;""""),ROWS(C$5:C1792)),"""")"),"")</f>
        <v/>
      </c>
      <c r="D17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Helper'!$F$5:$F$3004,"""")&lt;&gt;""""),ROWS(D$5:D1792)),"""")"),"")</f>
        <v/>
      </c>
      <c r="E17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Helper'!$F$5:$F$3004,"""")&lt;&gt;""""),ROWS(E$5:E1792)),"""")"),"")</f>
        <v/>
      </c>
      <c r="F17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Helper'!$F$5:$F$3004,"""")&lt;&gt;""""),ROWS(F$5:F1792)),IF(AND(LEFT(x,5)=""Pag"&amp;"e "",ISERROR(SEARCH(""–"",x))),x&amp;""–""&amp;REGEXEXTRACT(x,""[0-9]+$""),x)),"""")"),"")</f>
        <v/>
      </c>
      <c r="G1792" s="163"/>
      <c r="H17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Helper'!$F$5:$F$3004,"""")&lt;&gt;""""),ROWS(H$5:H1792)),"""")"),"")</f>
        <v/>
      </c>
    </row>
    <row r="1793" ht="15.75" customHeight="1">
      <c r="A17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Helper'!$F$5:$F$3004,"""")&lt;&gt;""""),ROWS(A$5:A1793)),"""")"),"")</f>
        <v/>
      </c>
      <c r="B17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Helper'!$F$5:$F$3004,"""")&lt;&gt;""""),ROWS(B$5:B1793)),"""")"),"")</f>
        <v/>
      </c>
      <c r="C17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Helper'!$F$5:$F$3004,"""")&lt;&gt;""""),ROWS(C$5:C1793)),"""")"),"")</f>
        <v/>
      </c>
      <c r="D17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Helper'!$F$5:$F$3004,"""")&lt;&gt;""""),ROWS(D$5:D1793)),"""")"),"")</f>
        <v/>
      </c>
      <c r="E17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Helper'!$F$5:$F$3004,"""")&lt;&gt;""""),ROWS(E$5:E1793)),"""")"),"")</f>
        <v/>
      </c>
      <c r="F17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Helper'!$F$5:$F$3004,"""")&lt;&gt;""""),ROWS(F$5:F1793)),IF(AND(LEFT(x,5)=""Pag"&amp;"e "",ISERROR(SEARCH(""–"",x))),x&amp;""–""&amp;REGEXEXTRACT(x,""[0-9]+$""),x)),"""")"),"")</f>
        <v/>
      </c>
      <c r="G1793" s="163"/>
      <c r="H17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Helper'!$F$5:$F$3004,"""")&lt;&gt;""""),ROWS(H$5:H1793)),"""")"),"")</f>
        <v/>
      </c>
    </row>
    <row r="1794" ht="15.75" customHeight="1">
      <c r="A17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Helper'!$F$5:$F$3004,"""")&lt;&gt;""""),ROWS(A$5:A1794)),"""")"),"")</f>
        <v/>
      </c>
      <c r="B17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Helper'!$F$5:$F$3004,"""")&lt;&gt;""""),ROWS(B$5:B1794)),"""")"),"")</f>
        <v/>
      </c>
      <c r="C17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Helper'!$F$5:$F$3004,"""")&lt;&gt;""""),ROWS(C$5:C1794)),"""")"),"")</f>
        <v/>
      </c>
      <c r="D17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Helper'!$F$5:$F$3004,"""")&lt;&gt;""""),ROWS(D$5:D1794)),"""")"),"")</f>
        <v/>
      </c>
      <c r="E17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Helper'!$F$5:$F$3004,"""")&lt;&gt;""""),ROWS(E$5:E1794)),"""")"),"")</f>
        <v/>
      </c>
      <c r="F17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Helper'!$F$5:$F$3004,"""")&lt;&gt;""""),ROWS(F$5:F1794)),IF(AND(LEFT(x,5)=""Pag"&amp;"e "",ISERROR(SEARCH(""–"",x))),x&amp;""–""&amp;REGEXEXTRACT(x,""[0-9]+$""),x)),"""")"),"")</f>
        <v/>
      </c>
      <c r="G1794" s="163"/>
      <c r="H17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Helper'!$F$5:$F$3004,"""")&lt;&gt;""""),ROWS(H$5:H1794)),"""")"),"")</f>
        <v/>
      </c>
    </row>
    <row r="1795" ht="15.75" customHeight="1">
      <c r="A17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Helper'!$F$5:$F$3004,"""")&lt;&gt;""""),ROWS(A$5:A1795)),"""")"),"")</f>
        <v/>
      </c>
      <c r="B17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Helper'!$F$5:$F$3004,"""")&lt;&gt;""""),ROWS(B$5:B1795)),"""")"),"")</f>
        <v/>
      </c>
      <c r="C17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Helper'!$F$5:$F$3004,"""")&lt;&gt;""""),ROWS(C$5:C1795)),"""")"),"")</f>
        <v/>
      </c>
      <c r="D17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Helper'!$F$5:$F$3004,"""")&lt;&gt;""""),ROWS(D$5:D1795)),"""")"),"")</f>
        <v/>
      </c>
      <c r="E17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Helper'!$F$5:$F$3004,"""")&lt;&gt;""""),ROWS(E$5:E1795)),"""")"),"")</f>
        <v/>
      </c>
      <c r="F17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Helper'!$F$5:$F$3004,"""")&lt;&gt;""""),ROWS(F$5:F1795)),IF(AND(LEFT(x,5)=""Pag"&amp;"e "",ISERROR(SEARCH(""–"",x))),x&amp;""–""&amp;REGEXEXTRACT(x,""[0-9]+$""),x)),"""")"),"")</f>
        <v/>
      </c>
      <c r="G1795" s="163"/>
      <c r="H17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Helper'!$F$5:$F$3004,"""")&lt;&gt;""""),ROWS(H$5:H1795)),"""")"),"")</f>
        <v/>
      </c>
    </row>
    <row r="1796" ht="15.75" customHeight="1">
      <c r="A17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Helper'!$F$5:$F$3004,"""")&lt;&gt;""""),ROWS(A$5:A1796)),"""")"),"")</f>
        <v/>
      </c>
      <c r="B17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Helper'!$F$5:$F$3004,"""")&lt;&gt;""""),ROWS(B$5:B1796)),"""")"),"")</f>
        <v/>
      </c>
      <c r="C17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Helper'!$F$5:$F$3004,"""")&lt;&gt;""""),ROWS(C$5:C1796)),"""")"),"")</f>
        <v/>
      </c>
      <c r="D17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Helper'!$F$5:$F$3004,"""")&lt;&gt;""""),ROWS(D$5:D1796)),"""")"),"")</f>
        <v/>
      </c>
      <c r="E17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Helper'!$F$5:$F$3004,"""")&lt;&gt;""""),ROWS(E$5:E1796)),"""")"),"")</f>
        <v/>
      </c>
      <c r="F17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Helper'!$F$5:$F$3004,"""")&lt;&gt;""""),ROWS(F$5:F1796)),IF(AND(LEFT(x,5)=""Pag"&amp;"e "",ISERROR(SEARCH(""–"",x))),x&amp;""–""&amp;REGEXEXTRACT(x,""[0-9]+$""),x)),"""")"),"")</f>
        <v/>
      </c>
      <c r="G1796" s="163"/>
      <c r="H17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Helper'!$F$5:$F$3004,"""")&lt;&gt;""""),ROWS(H$5:H1796)),"""")"),"")</f>
        <v/>
      </c>
    </row>
    <row r="1797" ht="15.75" customHeight="1">
      <c r="A17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Helper'!$F$5:$F$3004,"""")&lt;&gt;""""),ROWS(A$5:A1797)),"""")"),"")</f>
        <v/>
      </c>
      <c r="B17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Helper'!$F$5:$F$3004,"""")&lt;&gt;""""),ROWS(B$5:B1797)),"""")"),"")</f>
        <v/>
      </c>
      <c r="C17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Helper'!$F$5:$F$3004,"""")&lt;&gt;""""),ROWS(C$5:C1797)),"""")"),"")</f>
        <v/>
      </c>
      <c r="D17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Helper'!$F$5:$F$3004,"""")&lt;&gt;""""),ROWS(D$5:D1797)),"""")"),"")</f>
        <v/>
      </c>
      <c r="E17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Helper'!$F$5:$F$3004,"""")&lt;&gt;""""),ROWS(E$5:E1797)),"""")"),"")</f>
        <v/>
      </c>
      <c r="F17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Helper'!$F$5:$F$3004,"""")&lt;&gt;""""),ROWS(F$5:F1797)),IF(AND(LEFT(x,5)=""Pag"&amp;"e "",ISERROR(SEARCH(""–"",x))),x&amp;""–""&amp;REGEXEXTRACT(x,""[0-9]+$""),x)),"""")"),"")</f>
        <v/>
      </c>
      <c r="G1797" s="163"/>
      <c r="H17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Helper'!$F$5:$F$3004,"""")&lt;&gt;""""),ROWS(H$5:H1797)),"""")"),"")</f>
        <v/>
      </c>
    </row>
    <row r="1798" ht="15.75" customHeight="1">
      <c r="A17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Helper'!$F$5:$F$3004,"""")&lt;&gt;""""),ROWS(A$5:A1798)),"""")"),"")</f>
        <v/>
      </c>
      <c r="B17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Helper'!$F$5:$F$3004,"""")&lt;&gt;""""),ROWS(B$5:B1798)),"""")"),"")</f>
        <v/>
      </c>
      <c r="C17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Helper'!$F$5:$F$3004,"""")&lt;&gt;""""),ROWS(C$5:C1798)),"""")"),"")</f>
        <v/>
      </c>
      <c r="D17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Helper'!$F$5:$F$3004,"""")&lt;&gt;""""),ROWS(D$5:D1798)),"""")"),"")</f>
        <v/>
      </c>
      <c r="E17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Helper'!$F$5:$F$3004,"""")&lt;&gt;""""),ROWS(E$5:E1798)),"""")"),"")</f>
        <v/>
      </c>
      <c r="F17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Helper'!$F$5:$F$3004,"""")&lt;&gt;""""),ROWS(F$5:F1798)),IF(AND(LEFT(x,5)=""Pag"&amp;"e "",ISERROR(SEARCH(""–"",x))),x&amp;""–""&amp;REGEXEXTRACT(x,""[0-9]+$""),x)),"""")"),"")</f>
        <v/>
      </c>
      <c r="G1798" s="163"/>
      <c r="H17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Helper'!$F$5:$F$3004,"""")&lt;&gt;""""),ROWS(H$5:H1798)),"""")"),"")</f>
        <v/>
      </c>
    </row>
    <row r="1799" ht="15.75" customHeight="1">
      <c r="A17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Helper'!$F$5:$F$3004,"""")&lt;&gt;""""),ROWS(A$5:A1799)),"""")"),"")</f>
        <v/>
      </c>
      <c r="B17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Helper'!$F$5:$F$3004,"""")&lt;&gt;""""),ROWS(B$5:B1799)),"""")"),"")</f>
        <v/>
      </c>
      <c r="C17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Helper'!$F$5:$F$3004,"""")&lt;&gt;""""),ROWS(C$5:C1799)),"""")"),"")</f>
        <v/>
      </c>
      <c r="D17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Helper'!$F$5:$F$3004,"""")&lt;&gt;""""),ROWS(D$5:D1799)),"""")"),"")</f>
        <v/>
      </c>
      <c r="E17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Helper'!$F$5:$F$3004,"""")&lt;&gt;""""),ROWS(E$5:E1799)),"""")"),"")</f>
        <v/>
      </c>
      <c r="F17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Helper'!$F$5:$F$3004,"""")&lt;&gt;""""),ROWS(F$5:F1799)),IF(AND(LEFT(x,5)=""Pag"&amp;"e "",ISERROR(SEARCH(""–"",x))),x&amp;""–""&amp;REGEXEXTRACT(x,""[0-9]+$""),x)),"""")"),"")</f>
        <v/>
      </c>
      <c r="G1799" s="163"/>
      <c r="H17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Helper'!$F$5:$F$3004,"""")&lt;&gt;""""),ROWS(H$5:H1799)),"""")"),"")</f>
        <v/>
      </c>
    </row>
    <row r="1800" ht="15.75" customHeight="1">
      <c r="A18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Helper'!$F$5:$F$3004,"""")&lt;&gt;""""),ROWS(A$5:A1800)),"""")"),"")</f>
        <v/>
      </c>
      <c r="B18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Helper'!$F$5:$F$3004,"""")&lt;&gt;""""),ROWS(B$5:B1800)),"""")"),"")</f>
        <v/>
      </c>
      <c r="C18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Helper'!$F$5:$F$3004,"""")&lt;&gt;""""),ROWS(C$5:C1800)),"""")"),"")</f>
        <v/>
      </c>
      <c r="D18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Helper'!$F$5:$F$3004,"""")&lt;&gt;""""),ROWS(D$5:D1800)),"""")"),"")</f>
        <v/>
      </c>
      <c r="E18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Helper'!$F$5:$F$3004,"""")&lt;&gt;""""),ROWS(E$5:E1800)),"""")"),"")</f>
        <v/>
      </c>
      <c r="F18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Helper'!$F$5:$F$3004,"""")&lt;&gt;""""),ROWS(F$5:F1800)),IF(AND(LEFT(x,5)=""Pag"&amp;"e "",ISERROR(SEARCH(""–"",x))),x&amp;""–""&amp;REGEXEXTRACT(x,""[0-9]+$""),x)),"""")"),"")</f>
        <v/>
      </c>
      <c r="G1800" s="163"/>
      <c r="H18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Helper'!$F$5:$F$3004,"""")&lt;&gt;""""),ROWS(H$5:H1800)),"""")"),"")</f>
        <v/>
      </c>
    </row>
    <row r="1801" ht="15.75" customHeight="1">
      <c r="A18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Helper'!$F$5:$F$3004,"""")&lt;&gt;""""),ROWS(A$5:A1801)),"""")"),"")</f>
        <v/>
      </c>
      <c r="B18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Helper'!$F$5:$F$3004,"""")&lt;&gt;""""),ROWS(B$5:B1801)),"""")"),"")</f>
        <v/>
      </c>
      <c r="C18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Helper'!$F$5:$F$3004,"""")&lt;&gt;""""),ROWS(C$5:C1801)),"""")"),"")</f>
        <v/>
      </c>
      <c r="D18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Helper'!$F$5:$F$3004,"""")&lt;&gt;""""),ROWS(D$5:D1801)),"""")"),"")</f>
        <v/>
      </c>
      <c r="E18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Helper'!$F$5:$F$3004,"""")&lt;&gt;""""),ROWS(E$5:E1801)),"""")"),"")</f>
        <v/>
      </c>
      <c r="F18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Helper'!$F$5:$F$3004,"""")&lt;&gt;""""),ROWS(F$5:F1801)),IF(AND(LEFT(x,5)=""Pag"&amp;"e "",ISERROR(SEARCH(""–"",x))),x&amp;""–""&amp;REGEXEXTRACT(x,""[0-9]+$""),x)),"""")"),"")</f>
        <v/>
      </c>
      <c r="G1801" s="163"/>
      <c r="H18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Helper'!$F$5:$F$3004,"""")&lt;&gt;""""),ROWS(H$5:H1801)),"""")"),"")</f>
        <v/>
      </c>
    </row>
    <row r="1802" ht="15.75" customHeight="1">
      <c r="A18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Helper'!$F$5:$F$3004,"""")&lt;&gt;""""),ROWS(A$5:A1802)),"""")"),"")</f>
        <v/>
      </c>
      <c r="B18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Helper'!$F$5:$F$3004,"""")&lt;&gt;""""),ROWS(B$5:B1802)),"""")"),"")</f>
        <v/>
      </c>
      <c r="C18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Helper'!$F$5:$F$3004,"""")&lt;&gt;""""),ROWS(C$5:C1802)),"""")"),"")</f>
        <v/>
      </c>
      <c r="D18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Helper'!$F$5:$F$3004,"""")&lt;&gt;""""),ROWS(D$5:D1802)),"""")"),"")</f>
        <v/>
      </c>
      <c r="E18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Helper'!$F$5:$F$3004,"""")&lt;&gt;""""),ROWS(E$5:E1802)),"""")"),"")</f>
        <v/>
      </c>
      <c r="F18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Helper'!$F$5:$F$3004,"""")&lt;&gt;""""),ROWS(F$5:F1802)),IF(AND(LEFT(x,5)=""Pag"&amp;"e "",ISERROR(SEARCH(""–"",x))),x&amp;""–""&amp;REGEXEXTRACT(x,""[0-9]+$""),x)),"""")"),"")</f>
        <v/>
      </c>
      <c r="G1802" s="163"/>
      <c r="H18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Helper'!$F$5:$F$3004,"""")&lt;&gt;""""),ROWS(H$5:H1802)),"""")"),"")</f>
        <v/>
      </c>
    </row>
    <row r="1803" ht="15.75" customHeight="1">
      <c r="A18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Helper'!$F$5:$F$3004,"""")&lt;&gt;""""),ROWS(A$5:A1803)),"""")"),"")</f>
        <v/>
      </c>
      <c r="B18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Helper'!$F$5:$F$3004,"""")&lt;&gt;""""),ROWS(B$5:B1803)),"""")"),"")</f>
        <v/>
      </c>
      <c r="C18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Helper'!$F$5:$F$3004,"""")&lt;&gt;""""),ROWS(C$5:C1803)),"""")"),"")</f>
        <v/>
      </c>
      <c r="D18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Helper'!$F$5:$F$3004,"""")&lt;&gt;""""),ROWS(D$5:D1803)),"""")"),"")</f>
        <v/>
      </c>
      <c r="E18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Helper'!$F$5:$F$3004,"""")&lt;&gt;""""),ROWS(E$5:E1803)),"""")"),"")</f>
        <v/>
      </c>
      <c r="F18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Helper'!$F$5:$F$3004,"""")&lt;&gt;""""),ROWS(F$5:F1803)),IF(AND(LEFT(x,5)=""Pag"&amp;"e "",ISERROR(SEARCH(""–"",x))),x&amp;""–""&amp;REGEXEXTRACT(x,""[0-9]+$""),x)),"""")"),"")</f>
        <v/>
      </c>
      <c r="G1803" s="163"/>
      <c r="H18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Helper'!$F$5:$F$3004,"""")&lt;&gt;""""),ROWS(H$5:H1803)),"""")"),"")</f>
        <v/>
      </c>
    </row>
    <row r="1804" ht="15.75" customHeight="1">
      <c r="A18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Helper'!$F$5:$F$3004,"""")&lt;&gt;""""),ROWS(A$5:A1804)),"""")"),"")</f>
        <v/>
      </c>
      <c r="B18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Helper'!$F$5:$F$3004,"""")&lt;&gt;""""),ROWS(B$5:B1804)),"""")"),"")</f>
        <v/>
      </c>
      <c r="C18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Helper'!$F$5:$F$3004,"""")&lt;&gt;""""),ROWS(C$5:C1804)),"""")"),"")</f>
        <v/>
      </c>
      <c r="D18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Helper'!$F$5:$F$3004,"""")&lt;&gt;""""),ROWS(D$5:D1804)),"""")"),"")</f>
        <v/>
      </c>
      <c r="E18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Helper'!$F$5:$F$3004,"""")&lt;&gt;""""),ROWS(E$5:E1804)),"""")"),"")</f>
        <v/>
      </c>
      <c r="F18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Helper'!$F$5:$F$3004,"""")&lt;&gt;""""),ROWS(F$5:F1804)),IF(AND(LEFT(x,5)=""Pag"&amp;"e "",ISERROR(SEARCH(""–"",x))),x&amp;""–""&amp;REGEXEXTRACT(x,""[0-9]+$""),x)),"""")"),"")</f>
        <v/>
      </c>
      <c r="G1804" s="163"/>
      <c r="H18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Helper'!$F$5:$F$3004,"""")&lt;&gt;""""),ROWS(H$5:H1804)),"""")"),"")</f>
        <v/>
      </c>
    </row>
    <row r="1805" ht="15.75" customHeight="1">
      <c r="A18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Helper'!$F$5:$F$3004,"""")&lt;&gt;""""),ROWS(A$5:A1805)),"""")"),"")</f>
        <v/>
      </c>
      <c r="B18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Helper'!$F$5:$F$3004,"""")&lt;&gt;""""),ROWS(B$5:B1805)),"""")"),"")</f>
        <v/>
      </c>
      <c r="C18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Helper'!$F$5:$F$3004,"""")&lt;&gt;""""),ROWS(C$5:C1805)),"""")"),"")</f>
        <v/>
      </c>
      <c r="D18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Helper'!$F$5:$F$3004,"""")&lt;&gt;""""),ROWS(D$5:D1805)),"""")"),"")</f>
        <v/>
      </c>
      <c r="E18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Helper'!$F$5:$F$3004,"""")&lt;&gt;""""),ROWS(E$5:E1805)),"""")"),"")</f>
        <v/>
      </c>
      <c r="F18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Helper'!$F$5:$F$3004,"""")&lt;&gt;""""),ROWS(F$5:F1805)),IF(AND(LEFT(x,5)=""Pag"&amp;"e "",ISERROR(SEARCH(""–"",x))),x&amp;""–""&amp;REGEXEXTRACT(x,""[0-9]+$""),x)),"""")"),"")</f>
        <v/>
      </c>
      <c r="G1805" s="163"/>
      <c r="H18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Helper'!$F$5:$F$3004,"""")&lt;&gt;""""),ROWS(H$5:H1805)),"""")"),"")</f>
        <v/>
      </c>
    </row>
    <row r="1806" ht="15.75" customHeight="1">
      <c r="A18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Helper'!$F$5:$F$3004,"""")&lt;&gt;""""),ROWS(A$5:A1806)),"""")"),"")</f>
        <v/>
      </c>
      <c r="B18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Helper'!$F$5:$F$3004,"""")&lt;&gt;""""),ROWS(B$5:B1806)),"""")"),"")</f>
        <v/>
      </c>
      <c r="C18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Helper'!$F$5:$F$3004,"""")&lt;&gt;""""),ROWS(C$5:C1806)),"""")"),"")</f>
        <v/>
      </c>
      <c r="D18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Helper'!$F$5:$F$3004,"""")&lt;&gt;""""),ROWS(D$5:D1806)),"""")"),"")</f>
        <v/>
      </c>
      <c r="E18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Helper'!$F$5:$F$3004,"""")&lt;&gt;""""),ROWS(E$5:E1806)),"""")"),"")</f>
        <v/>
      </c>
      <c r="F18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Helper'!$F$5:$F$3004,"""")&lt;&gt;""""),ROWS(F$5:F1806)),IF(AND(LEFT(x,5)=""Pag"&amp;"e "",ISERROR(SEARCH(""–"",x))),x&amp;""–""&amp;REGEXEXTRACT(x,""[0-9]+$""),x)),"""")"),"")</f>
        <v/>
      </c>
      <c r="G1806" s="163"/>
      <c r="H18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Helper'!$F$5:$F$3004,"""")&lt;&gt;""""),ROWS(H$5:H1806)),"""")"),"")</f>
        <v/>
      </c>
    </row>
    <row r="1807" ht="15.75" customHeight="1">
      <c r="A18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Helper'!$F$5:$F$3004,"""")&lt;&gt;""""),ROWS(A$5:A1807)),"""")"),"")</f>
        <v/>
      </c>
      <c r="B18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Helper'!$F$5:$F$3004,"""")&lt;&gt;""""),ROWS(B$5:B1807)),"""")"),"")</f>
        <v/>
      </c>
      <c r="C18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Helper'!$F$5:$F$3004,"""")&lt;&gt;""""),ROWS(C$5:C1807)),"""")"),"")</f>
        <v/>
      </c>
      <c r="D18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Helper'!$F$5:$F$3004,"""")&lt;&gt;""""),ROWS(D$5:D1807)),"""")"),"")</f>
        <v/>
      </c>
      <c r="E18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Helper'!$F$5:$F$3004,"""")&lt;&gt;""""),ROWS(E$5:E1807)),"""")"),"")</f>
        <v/>
      </c>
      <c r="F18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Helper'!$F$5:$F$3004,"""")&lt;&gt;""""),ROWS(F$5:F1807)),IF(AND(LEFT(x,5)=""Pag"&amp;"e "",ISERROR(SEARCH(""–"",x))),x&amp;""–""&amp;REGEXEXTRACT(x,""[0-9]+$""),x)),"""")"),"")</f>
        <v/>
      </c>
      <c r="G1807" s="163"/>
      <c r="H18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Helper'!$F$5:$F$3004,"""")&lt;&gt;""""),ROWS(H$5:H1807)),"""")"),"")</f>
        <v/>
      </c>
    </row>
    <row r="1808" ht="15.75" customHeight="1">
      <c r="A18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Helper'!$F$5:$F$3004,"""")&lt;&gt;""""),ROWS(A$5:A1808)),"""")"),"")</f>
        <v/>
      </c>
      <c r="B18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Helper'!$F$5:$F$3004,"""")&lt;&gt;""""),ROWS(B$5:B1808)),"""")"),"")</f>
        <v/>
      </c>
      <c r="C18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Helper'!$F$5:$F$3004,"""")&lt;&gt;""""),ROWS(C$5:C1808)),"""")"),"")</f>
        <v/>
      </c>
      <c r="D18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Helper'!$F$5:$F$3004,"""")&lt;&gt;""""),ROWS(D$5:D1808)),"""")"),"")</f>
        <v/>
      </c>
      <c r="E18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Helper'!$F$5:$F$3004,"""")&lt;&gt;""""),ROWS(E$5:E1808)),"""")"),"")</f>
        <v/>
      </c>
      <c r="F18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Helper'!$F$5:$F$3004,"""")&lt;&gt;""""),ROWS(F$5:F1808)),IF(AND(LEFT(x,5)=""Pag"&amp;"e "",ISERROR(SEARCH(""–"",x))),x&amp;""–""&amp;REGEXEXTRACT(x,""[0-9]+$""),x)),"""")"),"")</f>
        <v/>
      </c>
      <c r="G1808" s="163"/>
      <c r="H18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Helper'!$F$5:$F$3004,"""")&lt;&gt;""""),ROWS(H$5:H1808)),"""")"),"")</f>
        <v/>
      </c>
    </row>
    <row r="1809" ht="15.75" customHeight="1">
      <c r="A18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Helper'!$F$5:$F$3004,"""")&lt;&gt;""""),ROWS(A$5:A1809)),"""")"),"")</f>
        <v/>
      </c>
      <c r="B18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Helper'!$F$5:$F$3004,"""")&lt;&gt;""""),ROWS(B$5:B1809)),"""")"),"")</f>
        <v/>
      </c>
      <c r="C18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Helper'!$F$5:$F$3004,"""")&lt;&gt;""""),ROWS(C$5:C1809)),"""")"),"")</f>
        <v/>
      </c>
      <c r="D18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Helper'!$F$5:$F$3004,"""")&lt;&gt;""""),ROWS(D$5:D1809)),"""")"),"")</f>
        <v/>
      </c>
      <c r="E18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Helper'!$F$5:$F$3004,"""")&lt;&gt;""""),ROWS(E$5:E1809)),"""")"),"")</f>
        <v/>
      </c>
      <c r="F18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Helper'!$F$5:$F$3004,"""")&lt;&gt;""""),ROWS(F$5:F1809)),IF(AND(LEFT(x,5)=""Pag"&amp;"e "",ISERROR(SEARCH(""–"",x))),x&amp;""–""&amp;REGEXEXTRACT(x,""[0-9]+$""),x)),"""")"),"")</f>
        <v/>
      </c>
      <c r="G1809" s="163"/>
      <c r="H18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Helper'!$F$5:$F$3004,"""")&lt;&gt;""""),ROWS(H$5:H1809)),"""")"),"")</f>
        <v/>
      </c>
    </row>
    <row r="1810" ht="15.75" customHeight="1">
      <c r="A18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Helper'!$F$5:$F$3004,"""")&lt;&gt;""""),ROWS(A$5:A1810)),"""")"),"")</f>
        <v/>
      </c>
      <c r="B18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Helper'!$F$5:$F$3004,"""")&lt;&gt;""""),ROWS(B$5:B1810)),"""")"),"")</f>
        <v/>
      </c>
      <c r="C18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Helper'!$F$5:$F$3004,"""")&lt;&gt;""""),ROWS(C$5:C1810)),"""")"),"")</f>
        <v/>
      </c>
      <c r="D18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Helper'!$F$5:$F$3004,"""")&lt;&gt;""""),ROWS(D$5:D1810)),"""")"),"")</f>
        <v/>
      </c>
      <c r="E18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Helper'!$F$5:$F$3004,"""")&lt;&gt;""""),ROWS(E$5:E1810)),"""")"),"")</f>
        <v/>
      </c>
      <c r="F18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Helper'!$F$5:$F$3004,"""")&lt;&gt;""""),ROWS(F$5:F1810)),IF(AND(LEFT(x,5)=""Pag"&amp;"e "",ISERROR(SEARCH(""–"",x))),x&amp;""–""&amp;REGEXEXTRACT(x,""[0-9]+$""),x)),"""")"),"")</f>
        <v/>
      </c>
      <c r="G1810" s="163"/>
      <c r="H18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Helper'!$F$5:$F$3004,"""")&lt;&gt;""""),ROWS(H$5:H1810)),"""")"),"")</f>
        <v/>
      </c>
    </row>
    <row r="1811" ht="15.75" customHeight="1">
      <c r="A18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Helper'!$F$5:$F$3004,"""")&lt;&gt;""""),ROWS(A$5:A1811)),"""")"),"")</f>
        <v/>
      </c>
      <c r="B18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Helper'!$F$5:$F$3004,"""")&lt;&gt;""""),ROWS(B$5:B1811)),"""")"),"")</f>
        <v/>
      </c>
      <c r="C18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Helper'!$F$5:$F$3004,"""")&lt;&gt;""""),ROWS(C$5:C1811)),"""")"),"")</f>
        <v/>
      </c>
      <c r="D18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Helper'!$F$5:$F$3004,"""")&lt;&gt;""""),ROWS(D$5:D1811)),"""")"),"")</f>
        <v/>
      </c>
      <c r="E18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Helper'!$F$5:$F$3004,"""")&lt;&gt;""""),ROWS(E$5:E1811)),"""")"),"")</f>
        <v/>
      </c>
      <c r="F18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Helper'!$F$5:$F$3004,"""")&lt;&gt;""""),ROWS(F$5:F1811)),IF(AND(LEFT(x,5)=""Pag"&amp;"e "",ISERROR(SEARCH(""–"",x))),x&amp;""–""&amp;REGEXEXTRACT(x,""[0-9]+$""),x)),"""")"),"")</f>
        <v/>
      </c>
      <c r="G1811" s="163"/>
      <c r="H18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Helper'!$F$5:$F$3004,"""")&lt;&gt;""""),ROWS(H$5:H1811)),"""")"),"")</f>
        <v/>
      </c>
    </row>
    <row r="1812" ht="15.75" customHeight="1">
      <c r="A18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Helper'!$F$5:$F$3004,"""")&lt;&gt;""""),ROWS(A$5:A1812)),"""")"),"")</f>
        <v/>
      </c>
      <c r="B18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Helper'!$F$5:$F$3004,"""")&lt;&gt;""""),ROWS(B$5:B1812)),"""")"),"")</f>
        <v/>
      </c>
      <c r="C18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Helper'!$F$5:$F$3004,"""")&lt;&gt;""""),ROWS(C$5:C1812)),"""")"),"")</f>
        <v/>
      </c>
      <c r="D18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Helper'!$F$5:$F$3004,"""")&lt;&gt;""""),ROWS(D$5:D1812)),"""")"),"")</f>
        <v/>
      </c>
      <c r="E18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Helper'!$F$5:$F$3004,"""")&lt;&gt;""""),ROWS(E$5:E1812)),"""")"),"")</f>
        <v/>
      </c>
      <c r="F18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Helper'!$F$5:$F$3004,"""")&lt;&gt;""""),ROWS(F$5:F1812)),IF(AND(LEFT(x,5)=""Pag"&amp;"e "",ISERROR(SEARCH(""–"",x))),x&amp;""–""&amp;REGEXEXTRACT(x,""[0-9]+$""),x)),"""")"),"")</f>
        <v/>
      </c>
      <c r="G1812" s="163"/>
      <c r="H18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Helper'!$F$5:$F$3004,"""")&lt;&gt;""""),ROWS(H$5:H1812)),"""")"),"")</f>
        <v/>
      </c>
    </row>
    <row r="1813" ht="15.75" customHeight="1">
      <c r="A18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Helper'!$F$5:$F$3004,"""")&lt;&gt;""""),ROWS(A$5:A1813)),"""")"),"")</f>
        <v/>
      </c>
      <c r="B18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Helper'!$F$5:$F$3004,"""")&lt;&gt;""""),ROWS(B$5:B1813)),"""")"),"")</f>
        <v/>
      </c>
      <c r="C18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Helper'!$F$5:$F$3004,"""")&lt;&gt;""""),ROWS(C$5:C1813)),"""")"),"")</f>
        <v/>
      </c>
      <c r="D18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Helper'!$F$5:$F$3004,"""")&lt;&gt;""""),ROWS(D$5:D1813)),"""")"),"")</f>
        <v/>
      </c>
      <c r="E18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Helper'!$F$5:$F$3004,"""")&lt;&gt;""""),ROWS(E$5:E1813)),"""")"),"")</f>
        <v/>
      </c>
      <c r="F18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Helper'!$F$5:$F$3004,"""")&lt;&gt;""""),ROWS(F$5:F1813)),IF(AND(LEFT(x,5)=""Pag"&amp;"e "",ISERROR(SEARCH(""–"",x))),x&amp;""–""&amp;REGEXEXTRACT(x,""[0-9]+$""),x)),"""")"),"")</f>
        <v/>
      </c>
      <c r="G1813" s="163"/>
      <c r="H18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Helper'!$F$5:$F$3004,"""")&lt;&gt;""""),ROWS(H$5:H1813)),"""")"),"")</f>
        <v/>
      </c>
    </row>
    <row r="1814" ht="15.75" customHeight="1">
      <c r="A18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Helper'!$F$5:$F$3004,"""")&lt;&gt;""""),ROWS(A$5:A1814)),"""")"),"")</f>
        <v/>
      </c>
      <c r="B18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Helper'!$F$5:$F$3004,"""")&lt;&gt;""""),ROWS(B$5:B1814)),"""")"),"")</f>
        <v/>
      </c>
      <c r="C18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Helper'!$F$5:$F$3004,"""")&lt;&gt;""""),ROWS(C$5:C1814)),"""")"),"")</f>
        <v/>
      </c>
      <c r="D18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Helper'!$F$5:$F$3004,"""")&lt;&gt;""""),ROWS(D$5:D1814)),"""")"),"")</f>
        <v/>
      </c>
      <c r="E18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Helper'!$F$5:$F$3004,"""")&lt;&gt;""""),ROWS(E$5:E1814)),"""")"),"")</f>
        <v/>
      </c>
      <c r="F18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Helper'!$F$5:$F$3004,"""")&lt;&gt;""""),ROWS(F$5:F1814)),IF(AND(LEFT(x,5)=""Pag"&amp;"e "",ISERROR(SEARCH(""–"",x))),x&amp;""–""&amp;REGEXEXTRACT(x,""[0-9]+$""),x)),"""")"),"")</f>
        <v/>
      </c>
      <c r="G1814" s="163"/>
      <c r="H18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Helper'!$F$5:$F$3004,"""")&lt;&gt;""""),ROWS(H$5:H1814)),"""")"),"")</f>
        <v/>
      </c>
    </row>
    <row r="1815" ht="15.75" customHeight="1">
      <c r="A18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Helper'!$F$5:$F$3004,"""")&lt;&gt;""""),ROWS(A$5:A1815)),"""")"),"")</f>
        <v/>
      </c>
      <c r="B18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Helper'!$F$5:$F$3004,"""")&lt;&gt;""""),ROWS(B$5:B1815)),"""")"),"")</f>
        <v/>
      </c>
      <c r="C18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Helper'!$F$5:$F$3004,"""")&lt;&gt;""""),ROWS(C$5:C1815)),"""")"),"")</f>
        <v/>
      </c>
      <c r="D18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Helper'!$F$5:$F$3004,"""")&lt;&gt;""""),ROWS(D$5:D1815)),"""")"),"")</f>
        <v/>
      </c>
      <c r="E18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Helper'!$F$5:$F$3004,"""")&lt;&gt;""""),ROWS(E$5:E1815)),"""")"),"")</f>
        <v/>
      </c>
      <c r="F18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Helper'!$F$5:$F$3004,"""")&lt;&gt;""""),ROWS(F$5:F1815)),IF(AND(LEFT(x,5)=""Pag"&amp;"e "",ISERROR(SEARCH(""–"",x))),x&amp;""–""&amp;REGEXEXTRACT(x,""[0-9]+$""),x)),"""")"),"")</f>
        <v/>
      </c>
      <c r="G1815" s="163"/>
      <c r="H18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Helper'!$F$5:$F$3004,"""")&lt;&gt;""""),ROWS(H$5:H1815)),"""")"),"")</f>
        <v/>
      </c>
    </row>
    <row r="1816" ht="15.75" customHeight="1">
      <c r="A18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Helper'!$F$5:$F$3004,"""")&lt;&gt;""""),ROWS(A$5:A1816)),"""")"),"")</f>
        <v/>
      </c>
      <c r="B18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Helper'!$F$5:$F$3004,"""")&lt;&gt;""""),ROWS(B$5:B1816)),"""")"),"")</f>
        <v/>
      </c>
      <c r="C18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Helper'!$F$5:$F$3004,"""")&lt;&gt;""""),ROWS(C$5:C1816)),"""")"),"")</f>
        <v/>
      </c>
      <c r="D18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Helper'!$F$5:$F$3004,"""")&lt;&gt;""""),ROWS(D$5:D1816)),"""")"),"")</f>
        <v/>
      </c>
      <c r="E18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Helper'!$F$5:$F$3004,"""")&lt;&gt;""""),ROWS(E$5:E1816)),"""")"),"")</f>
        <v/>
      </c>
      <c r="F18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Helper'!$F$5:$F$3004,"""")&lt;&gt;""""),ROWS(F$5:F1816)),IF(AND(LEFT(x,5)=""Pag"&amp;"e "",ISERROR(SEARCH(""–"",x))),x&amp;""–""&amp;REGEXEXTRACT(x,""[0-9]+$""),x)),"""")"),"")</f>
        <v/>
      </c>
      <c r="G1816" s="163"/>
      <c r="H18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Helper'!$F$5:$F$3004,"""")&lt;&gt;""""),ROWS(H$5:H1816)),"""")"),"")</f>
        <v/>
      </c>
    </row>
    <row r="1817" ht="15.75" customHeight="1">
      <c r="A18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Helper'!$F$5:$F$3004,"""")&lt;&gt;""""),ROWS(A$5:A1817)),"""")"),"")</f>
        <v/>
      </c>
      <c r="B18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Helper'!$F$5:$F$3004,"""")&lt;&gt;""""),ROWS(B$5:B1817)),"""")"),"")</f>
        <v/>
      </c>
      <c r="C18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Helper'!$F$5:$F$3004,"""")&lt;&gt;""""),ROWS(C$5:C1817)),"""")"),"")</f>
        <v/>
      </c>
      <c r="D18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Helper'!$F$5:$F$3004,"""")&lt;&gt;""""),ROWS(D$5:D1817)),"""")"),"")</f>
        <v/>
      </c>
      <c r="E18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Helper'!$F$5:$F$3004,"""")&lt;&gt;""""),ROWS(E$5:E1817)),"""")"),"")</f>
        <v/>
      </c>
      <c r="F18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Helper'!$F$5:$F$3004,"""")&lt;&gt;""""),ROWS(F$5:F1817)),IF(AND(LEFT(x,5)=""Pag"&amp;"e "",ISERROR(SEARCH(""–"",x))),x&amp;""–""&amp;REGEXEXTRACT(x,""[0-9]+$""),x)),"""")"),"")</f>
        <v/>
      </c>
      <c r="G1817" s="163"/>
      <c r="H18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Helper'!$F$5:$F$3004,"""")&lt;&gt;""""),ROWS(H$5:H1817)),"""")"),"")</f>
        <v/>
      </c>
    </row>
    <row r="1818" ht="15.75" customHeight="1">
      <c r="A18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Helper'!$F$5:$F$3004,"""")&lt;&gt;""""),ROWS(A$5:A1818)),"""")"),"")</f>
        <v/>
      </c>
      <c r="B18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Helper'!$F$5:$F$3004,"""")&lt;&gt;""""),ROWS(B$5:B1818)),"""")"),"")</f>
        <v/>
      </c>
      <c r="C18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Helper'!$F$5:$F$3004,"""")&lt;&gt;""""),ROWS(C$5:C1818)),"""")"),"")</f>
        <v/>
      </c>
      <c r="D18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Helper'!$F$5:$F$3004,"""")&lt;&gt;""""),ROWS(D$5:D1818)),"""")"),"")</f>
        <v/>
      </c>
      <c r="E18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Helper'!$F$5:$F$3004,"""")&lt;&gt;""""),ROWS(E$5:E1818)),"""")"),"")</f>
        <v/>
      </c>
      <c r="F18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Helper'!$F$5:$F$3004,"""")&lt;&gt;""""),ROWS(F$5:F1818)),IF(AND(LEFT(x,5)=""Pag"&amp;"e "",ISERROR(SEARCH(""–"",x))),x&amp;""–""&amp;REGEXEXTRACT(x,""[0-9]+$""),x)),"""")"),"")</f>
        <v/>
      </c>
      <c r="G1818" s="163"/>
      <c r="H18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Helper'!$F$5:$F$3004,"""")&lt;&gt;""""),ROWS(H$5:H1818)),"""")"),"")</f>
        <v/>
      </c>
    </row>
    <row r="1819" ht="15.75" customHeight="1">
      <c r="A18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Helper'!$F$5:$F$3004,"""")&lt;&gt;""""),ROWS(A$5:A1819)),"""")"),"")</f>
        <v/>
      </c>
      <c r="B18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Helper'!$F$5:$F$3004,"""")&lt;&gt;""""),ROWS(B$5:B1819)),"""")"),"")</f>
        <v/>
      </c>
      <c r="C18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Helper'!$F$5:$F$3004,"""")&lt;&gt;""""),ROWS(C$5:C1819)),"""")"),"")</f>
        <v/>
      </c>
      <c r="D18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Helper'!$F$5:$F$3004,"""")&lt;&gt;""""),ROWS(D$5:D1819)),"""")"),"")</f>
        <v/>
      </c>
      <c r="E18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Helper'!$F$5:$F$3004,"""")&lt;&gt;""""),ROWS(E$5:E1819)),"""")"),"")</f>
        <v/>
      </c>
      <c r="F18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Helper'!$F$5:$F$3004,"""")&lt;&gt;""""),ROWS(F$5:F1819)),IF(AND(LEFT(x,5)=""Pag"&amp;"e "",ISERROR(SEARCH(""–"",x))),x&amp;""–""&amp;REGEXEXTRACT(x,""[0-9]+$""),x)),"""")"),"")</f>
        <v/>
      </c>
      <c r="G1819" s="163"/>
      <c r="H18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Helper'!$F$5:$F$3004,"""")&lt;&gt;""""),ROWS(H$5:H1819)),"""")"),"")</f>
        <v/>
      </c>
    </row>
    <row r="1820" ht="15.75" customHeight="1">
      <c r="A18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Helper'!$F$5:$F$3004,"""")&lt;&gt;""""),ROWS(A$5:A1820)),"""")"),"")</f>
        <v/>
      </c>
      <c r="B18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Helper'!$F$5:$F$3004,"""")&lt;&gt;""""),ROWS(B$5:B1820)),"""")"),"")</f>
        <v/>
      </c>
      <c r="C18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Helper'!$F$5:$F$3004,"""")&lt;&gt;""""),ROWS(C$5:C1820)),"""")"),"")</f>
        <v/>
      </c>
      <c r="D18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Helper'!$F$5:$F$3004,"""")&lt;&gt;""""),ROWS(D$5:D1820)),"""")"),"")</f>
        <v/>
      </c>
      <c r="E18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Helper'!$F$5:$F$3004,"""")&lt;&gt;""""),ROWS(E$5:E1820)),"""")"),"")</f>
        <v/>
      </c>
      <c r="F18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Helper'!$F$5:$F$3004,"""")&lt;&gt;""""),ROWS(F$5:F1820)),IF(AND(LEFT(x,5)=""Pag"&amp;"e "",ISERROR(SEARCH(""–"",x))),x&amp;""–""&amp;REGEXEXTRACT(x,""[0-9]+$""),x)),"""")"),"")</f>
        <v/>
      </c>
      <c r="G1820" s="163"/>
      <c r="H18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Helper'!$F$5:$F$3004,"""")&lt;&gt;""""),ROWS(H$5:H1820)),"""")"),"")</f>
        <v/>
      </c>
    </row>
    <row r="1821" ht="15.75" customHeight="1">
      <c r="A18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Helper'!$F$5:$F$3004,"""")&lt;&gt;""""),ROWS(A$5:A1821)),"""")"),"")</f>
        <v/>
      </c>
      <c r="B18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Helper'!$F$5:$F$3004,"""")&lt;&gt;""""),ROWS(B$5:B1821)),"""")"),"")</f>
        <v/>
      </c>
      <c r="C18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Helper'!$F$5:$F$3004,"""")&lt;&gt;""""),ROWS(C$5:C1821)),"""")"),"")</f>
        <v/>
      </c>
      <c r="D18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Helper'!$F$5:$F$3004,"""")&lt;&gt;""""),ROWS(D$5:D1821)),"""")"),"")</f>
        <v/>
      </c>
      <c r="E18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Helper'!$F$5:$F$3004,"""")&lt;&gt;""""),ROWS(E$5:E1821)),"""")"),"")</f>
        <v/>
      </c>
      <c r="F18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Helper'!$F$5:$F$3004,"""")&lt;&gt;""""),ROWS(F$5:F1821)),IF(AND(LEFT(x,5)=""Pag"&amp;"e "",ISERROR(SEARCH(""–"",x))),x&amp;""–""&amp;REGEXEXTRACT(x,""[0-9]+$""),x)),"""")"),"")</f>
        <v/>
      </c>
      <c r="G1821" s="163"/>
      <c r="H18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Helper'!$F$5:$F$3004,"""")&lt;&gt;""""),ROWS(H$5:H1821)),"""")"),"")</f>
        <v/>
      </c>
    </row>
    <row r="1822" ht="15.75" customHeight="1">
      <c r="A18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Helper'!$F$5:$F$3004,"""")&lt;&gt;""""),ROWS(A$5:A1822)),"""")"),"")</f>
        <v/>
      </c>
      <c r="B18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Helper'!$F$5:$F$3004,"""")&lt;&gt;""""),ROWS(B$5:B1822)),"""")"),"")</f>
        <v/>
      </c>
      <c r="C18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Helper'!$F$5:$F$3004,"""")&lt;&gt;""""),ROWS(C$5:C1822)),"""")"),"")</f>
        <v/>
      </c>
      <c r="D18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Helper'!$F$5:$F$3004,"""")&lt;&gt;""""),ROWS(D$5:D1822)),"""")"),"")</f>
        <v/>
      </c>
      <c r="E18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Helper'!$F$5:$F$3004,"""")&lt;&gt;""""),ROWS(E$5:E1822)),"""")"),"")</f>
        <v/>
      </c>
      <c r="F18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Helper'!$F$5:$F$3004,"""")&lt;&gt;""""),ROWS(F$5:F1822)),IF(AND(LEFT(x,5)=""Pag"&amp;"e "",ISERROR(SEARCH(""–"",x))),x&amp;""–""&amp;REGEXEXTRACT(x,""[0-9]+$""),x)),"""")"),"")</f>
        <v/>
      </c>
      <c r="G1822" s="163"/>
      <c r="H18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Helper'!$F$5:$F$3004,"""")&lt;&gt;""""),ROWS(H$5:H1822)),"""")"),"")</f>
        <v/>
      </c>
    </row>
    <row r="1823" ht="15.75" customHeight="1">
      <c r="A18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Helper'!$F$5:$F$3004,"""")&lt;&gt;""""),ROWS(A$5:A1823)),"""")"),"")</f>
        <v/>
      </c>
      <c r="B18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Helper'!$F$5:$F$3004,"""")&lt;&gt;""""),ROWS(B$5:B1823)),"""")"),"")</f>
        <v/>
      </c>
      <c r="C18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Helper'!$F$5:$F$3004,"""")&lt;&gt;""""),ROWS(C$5:C1823)),"""")"),"")</f>
        <v/>
      </c>
      <c r="D18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Helper'!$F$5:$F$3004,"""")&lt;&gt;""""),ROWS(D$5:D1823)),"""")"),"")</f>
        <v/>
      </c>
      <c r="E18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Helper'!$F$5:$F$3004,"""")&lt;&gt;""""),ROWS(E$5:E1823)),"""")"),"")</f>
        <v/>
      </c>
      <c r="F18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Helper'!$F$5:$F$3004,"""")&lt;&gt;""""),ROWS(F$5:F1823)),IF(AND(LEFT(x,5)=""Pag"&amp;"e "",ISERROR(SEARCH(""–"",x))),x&amp;""–""&amp;REGEXEXTRACT(x,""[0-9]+$""),x)),"""")"),"")</f>
        <v/>
      </c>
      <c r="G1823" s="163"/>
      <c r="H18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Helper'!$F$5:$F$3004,"""")&lt;&gt;""""),ROWS(H$5:H1823)),"""")"),"")</f>
        <v/>
      </c>
    </row>
    <row r="1824" ht="15.75" customHeight="1">
      <c r="A18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Helper'!$F$5:$F$3004,"""")&lt;&gt;""""),ROWS(A$5:A1824)),"""")"),"")</f>
        <v/>
      </c>
      <c r="B18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Helper'!$F$5:$F$3004,"""")&lt;&gt;""""),ROWS(B$5:B1824)),"""")"),"")</f>
        <v/>
      </c>
      <c r="C18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Helper'!$F$5:$F$3004,"""")&lt;&gt;""""),ROWS(C$5:C1824)),"""")"),"")</f>
        <v/>
      </c>
      <c r="D18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Helper'!$F$5:$F$3004,"""")&lt;&gt;""""),ROWS(D$5:D1824)),"""")"),"")</f>
        <v/>
      </c>
      <c r="E18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Helper'!$F$5:$F$3004,"""")&lt;&gt;""""),ROWS(E$5:E1824)),"""")"),"")</f>
        <v/>
      </c>
      <c r="F18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Helper'!$F$5:$F$3004,"""")&lt;&gt;""""),ROWS(F$5:F1824)),IF(AND(LEFT(x,5)=""Pag"&amp;"e "",ISERROR(SEARCH(""–"",x))),x&amp;""–""&amp;REGEXEXTRACT(x,""[0-9]+$""),x)),"""")"),"")</f>
        <v/>
      </c>
      <c r="G1824" s="163"/>
      <c r="H18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Helper'!$F$5:$F$3004,"""")&lt;&gt;""""),ROWS(H$5:H1824)),"""")"),"")</f>
        <v/>
      </c>
    </row>
    <row r="1825" ht="15.75" customHeight="1">
      <c r="A18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Helper'!$F$5:$F$3004,"""")&lt;&gt;""""),ROWS(A$5:A1825)),"""")"),"")</f>
        <v/>
      </c>
      <c r="B18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Helper'!$F$5:$F$3004,"""")&lt;&gt;""""),ROWS(B$5:B1825)),"""")"),"")</f>
        <v/>
      </c>
      <c r="C18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Helper'!$F$5:$F$3004,"""")&lt;&gt;""""),ROWS(C$5:C1825)),"""")"),"")</f>
        <v/>
      </c>
      <c r="D18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Helper'!$F$5:$F$3004,"""")&lt;&gt;""""),ROWS(D$5:D1825)),"""")"),"")</f>
        <v/>
      </c>
      <c r="E18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Helper'!$F$5:$F$3004,"""")&lt;&gt;""""),ROWS(E$5:E1825)),"""")"),"")</f>
        <v/>
      </c>
      <c r="F18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Helper'!$F$5:$F$3004,"""")&lt;&gt;""""),ROWS(F$5:F1825)),IF(AND(LEFT(x,5)=""Pag"&amp;"e "",ISERROR(SEARCH(""–"",x))),x&amp;""–""&amp;REGEXEXTRACT(x,""[0-9]+$""),x)),"""")"),"")</f>
        <v/>
      </c>
      <c r="G1825" s="163"/>
      <c r="H18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Helper'!$F$5:$F$3004,"""")&lt;&gt;""""),ROWS(H$5:H1825)),"""")"),"")</f>
        <v/>
      </c>
    </row>
    <row r="1826" ht="15.75" customHeight="1">
      <c r="A18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Helper'!$F$5:$F$3004,"""")&lt;&gt;""""),ROWS(A$5:A1826)),"""")"),"")</f>
        <v/>
      </c>
      <c r="B18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Helper'!$F$5:$F$3004,"""")&lt;&gt;""""),ROWS(B$5:B1826)),"""")"),"")</f>
        <v/>
      </c>
      <c r="C18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Helper'!$F$5:$F$3004,"""")&lt;&gt;""""),ROWS(C$5:C1826)),"""")"),"")</f>
        <v/>
      </c>
      <c r="D18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Helper'!$F$5:$F$3004,"""")&lt;&gt;""""),ROWS(D$5:D1826)),"""")"),"")</f>
        <v/>
      </c>
      <c r="E18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Helper'!$F$5:$F$3004,"""")&lt;&gt;""""),ROWS(E$5:E1826)),"""")"),"")</f>
        <v/>
      </c>
      <c r="F18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Helper'!$F$5:$F$3004,"""")&lt;&gt;""""),ROWS(F$5:F1826)),IF(AND(LEFT(x,5)=""Pag"&amp;"e "",ISERROR(SEARCH(""–"",x))),x&amp;""–""&amp;REGEXEXTRACT(x,""[0-9]+$""),x)),"""")"),"")</f>
        <v/>
      </c>
      <c r="G1826" s="163"/>
      <c r="H18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Helper'!$F$5:$F$3004,"""")&lt;&gt;""""),ROWS(H$5:H1826)),"""")"),"")</f>
        <v/>
      </c>
    </row>
    <row r="1827" ht="15.75" customHeight="1">
      <c r="A18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Helper'!$F$5:$F$3004,"""")&lt;&gt;""""),ROWS(A$5:A1827)),"""")"),"")</f>
        <v/>
      </c>
      <c r="B18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Helper'!$F$5:$F$3004,"""")&lt;&gt;""""),ROWS(B$5:B1827)),"""")"),"")</f>
        <v/>
      </c>
      <c r="C18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Helper'!$F$5:$F$3004,"""")&lt;&gt;""""),ROWS(C$5:C1827)),"""")"),"")</f>
        <v/>
      </c>
      <c r="D18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Helper'!$F$5:$F$3004,"""")&lt;&gt;""""),ROWS(D$5:D1827)),"""")"),"")</f>
        <v/>
      </c>
      <c r="E18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Helper'!$F$5:$F$3004,"""")&lt;&gt;""""),ROWS(E$5:E1827)),"""")"),"")</f>
        <v/>
      </c>
      <c r="F18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Helper'!$F$5:$F$3004,"""")&lt;&gt;""""),ROWS(F$5:F1827)),IF(AND(LEFT(x,5)=""Pag"&amp;"e "",ISERROR(SEARCH(""–"",x))),x&amp;""–""&amp;REGEXEXTRACT(x,""[0-9]+$""),x)),"""")"),"")</f>
        <v/>
      </c>
      <c r="G1827" s="163"/>
      <c r="H18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Helper'!$F$5:$F$3004,"""")&lt;&gt;""""),ROWS(H$5:H1827)),"""")"),"")</f>
        <v/>
      </c>
    </row>
    <row r="1828" ht="15.75" customHeight="1">
      <c r="A18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Helper'!$F$5:$F$3004,"""")&lt;&gt;""""),ROWS(A$5:A1828)),"""")"),"")</f>
        <v/>
      </c>
      <c r="B18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Helper'!$F$5:$F$3004,"""")&lt;&gt;""""),ROWS(B$5:B1828)),"""")"),"")</f>
        <v/>
      </c>
      <c r="C18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Helper'!$F$5:$F$3004,"""")&lt;&gt;""""),ROWS(C$5:C1828)),"""")"),"")</f>
        <v/>
      </c>
      <c r="D18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Helper'!$F$5:$F$3004,"""")&lt;&gt;""""),ROWS(D$5:D1828)),"""")"),"")</f>
        <v/>
      </c>
      <c r="E18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Helper'!$F$5:$F$3004,"""")&lt;&gt;""""),ROWS(E$5:E1828)),"""")"),"")</f>
        <v/>
      </c>
      <c r="F18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Helper'!$F$5:$F$3004,"""")&lt;&gt;""""),ROWS(F$5:F1828)),IF(AND(LEFT(x,5)=""Pag"&amp;"e "",ISERROR(SEARCH(""–"",x))),x&amp;""–""&amp;REGEXEXTRACT(x,""[0-9]+$""),x)),"""")"),"")</f>
        <v/>
      </c>
      <c r="G1828" s="163"/>
      <c r="H18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Helper'!$F$5:$F$3004,"""")&lt;&gt;""""),ROWS(H$5:H1828)),"""")"),"")</f>
        <v/>
      </c>
    </row>
    <row r="1829" ht="15.75" customHeight="1">
      <c r="A18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Helper'!$F$5:$F$3004,"""")&lt;&gt;""""),ROWS(A$5:A1829)),"""")"),"")</f>
        <v/>
      </c>
      <c r="B18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Helper'!$F$5:$F$3004,"""")&lt;&gt;""""),ROWS(B$5:B1829)),"""")"),"")</f>
        <v/>
      </c>
      <c r="C18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Helper'!$F$5:$F$3004,"""")&lt;&gt;""""),ROWS(C$5:C1829)),"""")"),"")</f>
        <v/>
      </c>
      <c r="D18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Helper'!$F$5:$F$3004,"""")&lt;&gt;""""),ROWS(D$5:D1829)),"""")"),"")</f>
        <v/>
      </c>
      <c r="E18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Helper'!$F$5:$F$3004,"""")&lt;&gt;""""),ROWS(E$5:E1829)),"""")"),"")</f>
        <v/>
      </c>
      <c r="F18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Helper'!$F$5:$F$3004,"""")&lt;&gt;""""),ROWS(F$5:F1829)),IF(AND(LEFT(x,5)=""Pag"&amp;"e "",ISERROR(SEARCH(""–"",x))),x&amp;""–""&amp;REGEXEXTRACT(x,""[0-9]+$""),x)),"""")"),"")</f>
        <v/>
      </c>
      <c r="G1829" s="163"/>
      <c r="H18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Helper'!$F$5:$F$3004,"""")&lt;&gt;""""),ROWS(H$5:H1829)),"""")"),"")</f>
        <v/>
      </c>
    </row>
    <row r="1830" ht="15.75" customHeight="1">
      <c r="A18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Helper'!$F$5:$F$3004,"""")&lt;&gt;""""),ROWS(A$5:A1830)),"""")"),"")</f>
        <v/>
      </c>
      <c r="B18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Helper'!$F$5:$F$3004,"""")&lt;&gt;""""),ROWS(B$5:B1830)),"""")"),"")</f>
        <v/>
      </c>
      <c r="C18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Helper'!$F$5:$F$3004,"""")&lt;&gt;""""),ROWS(C$5:C1830)),"""")"),"")</f>
        <v/>
      </c>
      <c r="D18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Helper'!$F$5:$F$3004,"""")&lt;&gt;""""),ROWS(D$5:D1830)),"""")"),"")</f>
        <v/>
      </c>
      <c r="E18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Helper'!$F$5:$F$3004,"""")&lt;&gt;""""),ROWS(E$5:E1830)),"""")"),"")</f>
        <v/>
      </c>
      <c r="F18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Helper'!$F$5:$F$3004,"""")&lt;&gt;""""),ROWS(F$5:F1830)),IF(AND(LEFT(x,5)=""Pag"&amp;"e "",ISERROR(SEARCH(""–"",x))),x&amp;""–""&amp;REGEXEXTRACT(x,""[0-9]+$""),x)),"""")"),"")</f>
        <v/>
      </c>
      <c r="G1830" s="163"/>
      <c r="H18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Helper'!$F$5:$F$3004,"""")&lt;&gt;""""),ROWS(H$5:H1830)),"""")"),"")</f>
        <v/>
      </c>
    </row>
    <row r="1831" ht="15.75" customHeight="1">
      <c r="A18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Helper'!$F$5:$F$3004,"""")&lt;&gt;""""),ROWS(A$5:A1831)),"""")"),"")</f>
        <v/>
      </c>
      <c r="B18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Helper'!$F$5:$F$3004,"""")&lt;&gt;""""),ROWS(B$5:B1831)),"""")"),"")</f>
        <v/>
      </c>
      <c r="C18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Helper'!$F$5:$F$3004,"""")&lt;&gt;""""),ROWS(C$5:C1831)),"""")"),"")</f>
        <v/>
      </c>
      <c r="D18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Helper'!$F$5:$F$3004,"""")&lt;&gt;""""),ROWS(D$5:D1831)),"""")"),"")</f>
        <v/>
      </c>
      <c r="E18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Helper'!$F$5:$F$3004,"""")&lt;&gt;""""),ROWS(E$5:E1831)),"""")"),"")</f>
        <v/>
      </c>
      <c r="F18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Helper'!$F$5:$F$3004,"""")&lt;&gt;""""),ROWS(F$5:F1831)),IF(AND(LEFT(x,5)=""Pag"&amp;"e "",ISERROR(SEARCH(""–"",x))),x&amp;""–""&amp;REGEXEXTRACT(x,""[0-9]+$""),x)),"""")"),"")</f>
        <v/>
      </c>
      <c r="G1831" s="163"/>
      <c r="H18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Helper'!$F$5:$F$3004,"""")&lt;&gt;""""),ROWS(H$5:H1831)),"""")"),"")</f>
        <v/>
      </c>
    </row>
    <row r="1832" ht="15.75" customHeight="1">
      <c r="A18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Helper'!$F$5:$F$3004,"""")&lt;&gt;""""),ROWS(A$5:A1832)),"""")"),"")</f>
        <v/>
      </c>
      <c r="B18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Helper'!$F$5:$F$3004,"""")&lt;&gt;""""),ROWS(B$5:B1832)),"""")"),"")</f>
        <v/>
      </c>
      <c r="C18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Helper'!$F$5:$F$3004,"""")&lt;&gt;""""),ROWS(C$5:C1832)),"""")"),"")</f>
        <v/>
      </c>
      <c r="D18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Helper'!$F$5:$F$3004,"""")&lt;&gt;""""),ROWS(D$5:D1832)),"""")"),"")</f>
        <v/>
      </c>
      <c r="E18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Helper'!$F$5:$F$3004,"""")&lt;&gt;""""),ROWS(E$5:E1832)),"""")"),"")</f>
        <v/>
      </c>
      <c r="F18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Helper'!$F$5:$F$3004,"""")&lt;&gt;""""),ROWS(F$5:F1832)),IF(AND(LEFT(x,5)=""Pag"&amp;"e "",ISERROR(SEARCH(""–"",x))),x&amp;""–""&amp;REGEXEXTRACT(x,""[0-9]+$""),x)),"""")"),"")</f>
        <v/>
      </c>
      <c r="G1832" s="163"/>
      <c r="H18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Helper'!$F$5:$F$3004,"""")&lt;&gt;""""),ROWS(H$5:H1832)),"""")"),"")</f>
        <v/>
      </c>
    </row>
    <row r="1833" ht="15.75" customHeight="1">
      <c r="A18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Helper'!$F$5:$F$3004,"""")&lt;&gt;""""),ROWS(A$5:A1833)),"""")"),"")</f>
        <v/>
      </c>
      <c r="B18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Helper'!$F$5:$F$3004,"""")&lt;&gt;""""),ROWS(B$5:B1833)),"""")"),"")</f>
        <v/>
      </c>
      <c r="C18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Helper'!$F$5:$F$3004,"""")&lt;&gt;""""),ROWS(C$5:C1833)),"""")"),"")</f>
        <v/>
      </c>
      <c r="D18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Helper'!$F$5:$F$3004,"""")&lt;&gt;""""),ROWS(D$5:D1833)),"""")"),"")</f>
        <v/>
      </c>
      <c r="E18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Helper'!$F$5:$F$3004,"""")&lt;&gt;""""),ROWS(E$5:E1833)),"""")"),"")</f>
        <v/>
      </c>
      <c r="F18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Helper'!$F$5:$F$3004,"""")&lt;&gt;""""),ROWS(F$5:F1833)),IF(AND(LEFT(x,5)=""Pag"&amp;"e "",ISERROR(SEARCH(""–"",x))),x&amp;""–""&amp;REGEXEXTRACT(x,""[0-9]+$""),x)),"""")"),"")</f>
        <v/>
      </c>
      <c r="G1833" s="163"/>
      <c r="H18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Helper'!$F$5:$F$3004,"""")&lt;&gt;""""),ROWS(H$5:H1833)),"""")"),"")</f>
        <v/>
      </c>
    </row>
    <row r="1834" ht="15.75" customHeight="1">
      <c r="A18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Helper'!$F$5:$F$3004,"""")&lt;&gt;""""),ROWS(A$5:A1834)),"""")"),"")</f>
        <v/>
      </c>
      <c r="B18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Helper'!$F$5:$F$3004,"""")&lt;&gt;""""),ROWS(B$5:B1834)),"""")"),"")</f>
        <v/>
      </c>
      <c r="C18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Helper'!$F$5:$F$3004,"""")&lt;&gt;""""),ROWS(C$5:C1834)),"""")"),"")</f>
        <v/>
      </c>
      <c r="D18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Helper'!$F$5:$F$3004,"""")&lt;&gt;""""),ROWS(D$5:D1834)),"""")"),"")</f>
        <v/>
      </c>
      <c r="E18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Helper'!$F$5:$F$3004,"""")&lt;&gt;""""),ROWS(E$5:E1834)),"""")"),"")</f>
        <v/>
      </c>
      <c r="F18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Helper'!$F$5:$F$3004,"""")&lt;&gt;""""),ROWS(F$5:F1834)),IF(AND(LEFT(x,5)=""Pag"&amp;"e "",ISERROR(SEARCH(""–"",x))),x&amp;""–""&amp;REGEXEXTRACT(x,""[0-9]+$""),x)),"""")"),"")</f>
        <v/>
      </c>
      <c r="G1834" s="163"/>
      <c r="H18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Helper'!$F$5:$F$3004,"""")&lt;&gt;""""),ROWS(H$5:H1834)),"""")"),"")</f>
        <v/>
      </c>
    </row>
    <row r="1835" ht="15.75" customHeight="1">
      <c r="A18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Helper'!$F$5:$F$3004,"""")&lt;&gt;""""),ROWS(A$5:A1835)),"""")"),"")</f>
        <v/>
      </c>
      <c r="B18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Helper'!$F$5:$F$3004,"""")&lt;&gt;""""),ROWS(B$5:B1835)),"""")"),"")</f>
        <v/>
      </c>
      <c r="C18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Helper'!$F$5:$F$3004,"""")&lt;&gt;""""),ROWS(C$5:C1835)),"""")"),"")</f>
        <v/>
      </c>
      <c r="D18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Helper'!$F$5:$F$3004,"""")&lt;&gt;""""),ROWS(D$5:D1835)),"""")"),"")</f>
        <v/>
      </c>
      <c r="E18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Helper'!$F$5:$F$3004,"""")&lt;&gt;""""),ROWS(E$5:E1835)),"""")"),"")</f>
        <v/>
      </c>
      <c r="F18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Helper'!$F$5:$F$3004,"""")&lt;&gt;""""),ROWS(F$5:F1835)),IF(AND(LEFT(x,5)=""Pag"&amp;"e "",ISERROR(SEARCH(""–"",x))),x&amp;""–""&amp;REGEXEXTRACT(x,""[0-9]+$""),x)),"""")"),"")</f>
        <v/>
      </c>
      <c r="G1835" s="163"/>
      <c r="H18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Helper'!$F$5:$F$3004,"""")&lt;&gt;""""),ROWS(H$5:H1835)),"""")"),"")</f>
        <v/>
      </c>
    </row>
    <row r="1836" ht="15.75" customHeight="1">
      <c r="A18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Helper'!$F$5:$F$3004,"""")&lt;&gt;""""),ROWS(A$5:A1836)),"""")"),"")</f>
        <v/>
      </c>
      <c r="B18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Helper'!$F$5:$F$3004,"""")&lt;&gt;""""),ROWS(B$5:B1836)),"""")"),"")</f>
        <v/>
      </c>
      <c r="C18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Helper'!$F$5:$F$3004,"""")&lt;&gt;""""),ROWS(C$5:C1836)),"""")"),"")</f>
        <v/>
      </c>
      <c r="D18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Helper'!$F$5:$F$3004,"""")&lt;&gt;""""),ROWS(D$5:D1836)),"""")"),"")</f>
        <v/>
      </c>
      <c r="E18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Helper'!$F$5:$F$3004,"""")&lt;&gt;""""),ROWS(E$5:E1836)),"""")"),"")</f>
        <v/>
      </c>
      <c r="F18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Helper'!$F$5:$F$3004,"""")&lt;&gt;""""),ROWS(F$5:F1836)),IF(AND(LEFT(x,5)=""Pag"&amp;"e "",ISERROR(SEARCH(""–"",x))),x&amp;""–""&amp;REGEXEXTRACT(x,""[0-9]+$""),x)),"""")"),"")</f>
        <v/>
      </c>
      <c r="G1836" s="163"/>
      <c r="H18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Helper'!$F$5:$F$3004,"""")&lt;&gt;""""),ROWS(H$5:H1836)),"""")"),"")</f>
        <v/>
      </c>
    </row>
    <row r="1837" ht="15.75" customHeight="1">
      <c r="A18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Helper'!$F$5:$F$3004,"""")&lt;&gt;""""),ROWS(A$5:A1837)),"""")"),"")</f>
        <v/>
      </c>
      <c r="B18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Helper'!$F$5:$F$3004,"""")&lt;&gt;""""),ROWS(B$5:B1837)),"""")"),"")</f>
        <v/>
      </c>
      <c r="C18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Helper'!$F$5:$F$3004,"""")&lt;&gt;""""),ROWS(C$5:C1837)),"""")"),"")</f>
        <v/>
      </c>
      <c r="D18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Helper'!$F$5:$F$3004,"""")&lt;&gt;""""),ROWS(D$5:D1837)),"""")"),"")</f>
        <v/>
      </c>
      <c r="E18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Helper'!$F$5:$F$3004,"""")&lt;&gt;""""),ROWS(E$5:E1837)),"""")"),"")</f>
        <v/>
      </c>
      <c r="F18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Helper'!$F$5:$F$3004,"""")&lt;&gt;""""),ROWS(F$5:F1837)),IF(AND(LEFT(x,5)=""Pag"&amp;"e "",ISERROR(SEARCH(""–"",x))),x&amp;""–""&amp;REGEXEXTRACT(x,""[0-9]+$""),x)),"""")"),"")</f>
        <v/>
      </c>
      <c r="G1837" s="163"/>
      <c r="H18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Helper'!$F$5:$F$3004,"""")&lt;&gt;""""),ROWS(H$5:H1837)),"""")"),"")</f>
        <v/>
      </c>
    </row>
    <row r="1838" ht="15.75" customHeight="1">
      <c r="A18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Helper'!$F$5:$F$3004,"""")&lt;&gt;""""),ROWS(A$5:A1838)),"""")"),"")</f>
        <v/>
      </c>
      <c r="B18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Helper'!$F$5:$F$3004,"""")&lt;&gt;""""),ROWS(B$5:B1838)),"""")"),"")</f>
        <v/>
      </c>
      <c r="C18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Helper'!$F$5:$F$3004,"""")&lt;&gt;""""),ROWS(C$5:C1838)),"""")"),"")</f>
        <v/>
      </c>
      <c r="D18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Helper'!$F$5:$F$3004,"""")&lt;&gt;""""),ROWS(D$5:D1838)),"""")"),"")</f>
        <v/>
      </c>
      <c r="E18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Helper'!$F$5:$F$3004,"""")&lt;&gt;""""),ROWS(E$5:E1838)),"""")"),"")</f>
        <v/>
      </c>
      <c r="F18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Helper'!$F$5:$F$3004,"""")&lt;&gt;""""),ROWS(F$5:F1838)),IF(AND(LEFT(x,5)=""Pag"&amp;"e "",ISERROR(SEARCH(""–"",x))),x&amp;""–""&amp;REGEXEXTRACT(x,""[0-9]+$""),x)),"""")"),"")</f>
        <v/>
      </c>
      <c r="G1838" s="163"/>
      <c r="H18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Helper'!$F$5:$F$3004,"""")&lt;&gt;""""),ROWS(H$5:H1838)),"""")"),"")</f>
        <v/>
      </c>
    </row>
    <row r="1839" ht="15.75" customHeight="1">
      <c r="A18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Helper'!$F$5:$F$3004,"""")&lt;&gt;""""),ROWS(A$5:A1839)),"""")"),"")</f>
        <v/>
      </c>
      <c r="B18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Helper'!$F$5:$F$3004,"""")&lt;&gt;""""),ROWS(B$5:B1839)),"""")"),"")</f>
        <v/>
      </c>
      <c r="C18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Helper'!$F$5:$F$3004,"""")&lt;&gt;""""),ROWS(C$5:C1839)),"""")"),"")</f>
        <v/>
      </c>
      <c r="D18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Helper'!$F$5:$F$3004,"""")&lt;&gt;""""),ROWS(D$5:D1839)),"""")"),"")</f>
        <v/>
      </c>
      <c r="E18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Helper'!$F$5:$F$3004,"""")&lt;&gt;""""),ROWS(E$5:E1839)),"""")"),"")</f>
        <v/>
      </c>
      <c r="F18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Helper'!$F$5:$F$3004,"""")&lt;&gt;""""),ROWS(F$5:F1839)),IF(AND(LEFT(x,5)=""Pag"&amp;"e "",ISERROR(SEARCH(""–"",x))),x&amp;""–""&amp;REGEXEXTRACT(x,""[0-9]+$""),x)),"""")"),"")</f>
        <v/>
      </c>
      <c r="G1839" s="163"/>
      <c r="H18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Helper'!$F$5:$F$3004,"""")&lt;&gt;""""),ROWS(H$5:H1839)),"""")"),"")</f>
        <v/>
      </c>
    </row>
    <row r="1840" ht="15.75" customHeight="1">
      <c r="A18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Helper'!$F$5:$F$3004,"""")&lt;&gt;""""),ROWS(A$5:A1840)),"""")"),"")</f>
        <v/>
      </c>
      <c r="B18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Helper'!$F$5:$F$3004,"""")&lt;&gt;""""),ROWS(B$5:B1840)),"""")"),"")</f>
        <v/>
      </c>
      <c r="C18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Helper'!$F$5:$F$3004,"""")&lt;&gt;""""),ROWS(C$5:C1840)),"""")"),"")</f>
        <v/>
      </c>
      <c r="D18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Helper'!$F$5:$F$3004,"""")&lt;&gt;""""),ROWS(D$5:D1840)),"""")"),"")</f>
        <v/>
      </c>
      <c r="E18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Helper'!$F$5:$F$3004,"""")&lt;&gt;""""),ROWS(E$5:E1840)),"""")"),"")</f>
        <v/>
      </c>
      <c r="F18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Helper'!$F$5:$F$3004,"""")&lt;&gt;""""),ROWS(F$5:F1840)),IF(AND(LEFT(x,5)=""Pag"&amp;"e "",ISERROR(SEARCH(""–"",x))),x&amp;""–""&amp;REGEXEXTRACT(x,""[0-9]+$""),x)),"""")"),"")</f>
        <v/>
      </c>
      <c r="G1840" s="163"/>
      <c r="H18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Helper'!$F$5:$F$3004,"""")&lt;&gt;""""),ROWS(H$5:H1840)),"""")"),"")</f>
        <v/>
      </c>
    </row>
    <row r="1841" ht="15.75" customHeight="1">
      <c r="A18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Helper'!$F$5:$F$3004,"""")&lt;&gt;""""),ROWS(A$5:A1841)),"""")"),"")</f>
        <v/>
      </c>
      <c r="B18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Helper'!$F$5:$F$3004,"""")&lt;&gt;""""),ROWS(B$5:B1841)),"""")"),"")</f>
        <v/>
      </c>
      <c r="C18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Helper'!$F$5:$F$3004,"""")&lt;&gt;""""),ROWS(C$5:C1841)),"""")"),"")</f>
        <v/>
      </c>
      <c r="D18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Helper'!$F$5:$F$3004,"""")&lt;&gt;""""),ROWS(D$5:D1841)),"""")"),"")</f>
        <v/>
      </c>
      <c r="E18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Helper'!$F$5:$F$3004,"""")&lt;&gt;""""),ROWS(E$5:E1841)),"""")"),"")</f>
        <v/>
      </c>
      <c r="F18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Helper'!$F$5:$F$3004,"""")&lt;&gt;""""),ROWS(F$5:F1841)),IF(AND(LEFT(x,5)=""Pag"&amp;"e "",ISERROR(SEARCH(""–"",x))),x&amp;""–""&amp;REGEXEXTRACT(x,""[0-9]+$""),x)),"""")"),"")</f>
        <v/>
      </c>
      <c r="G1841" s="163"/>
      <c r="H18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Helper'!$F$5:$F$3004,"""")&lt;&gt;""""),ROWS(H$5:H1841)),"""")"),"")</f>
        <v/>
      </c>
    </row>
    <row r="1842" ht="15.75" customHeight="1">
      <c r="A18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Helper'!$F$5:$F$3004,"""")&lt;&gt;""""),ROWS(A$5:A1842)),"""")"),"")</f>
        <v/>
      </c>
      <c r="B18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Helper'!$F$5:$F$3004,"""")&lt;&gt;""""),ROWS(B$5:B1842)),"""")"),"")</f>
        <v/>
      </c>
      <c r="C18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Helper'!$F$5:$F$3004,"""")&lt;&gt;""""),ROWS(C$5:C1842)),"""")"),"")</f>
        <v/>
      </c>
      <c r="D18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Helper'!$F$5:$F$3004,"""")&lt;&gt;""""),ROWS(D$5:D1842)),"""")"),"")</f>
        <v/>
      </c>
      <c r="E18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Helper'!$F$5:$F$3004,"""")&lt;&gt;""""),ROWS(E$5:E1842)),"""")"),"")</f>
        <v/>
      </c>
      <c r="F18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Helper'!$F$5:$F$3004,"""")&lt;&gt;""""),ROWS(F$5:F1842)),IF(AND(LEFT(x,5)=""Pag"&amp;"e "",ISERROR(SEARCH(""–"",x))),x&amp;""–""&amp;REGEXEXTRACT(x,""[0-9]+$""),x)),"""")"),"")</f>
        <v/>
      </c>
      <c r="G1842" s="163"/>
      <c r="H18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Helper'!$F$5:$F$3004,"""")&lt;&gt;""""),ROWS(H$5:H1842)),"""")"),"")</f>
        <v/>
      </c>
    </row>
    <row r="1843" ht="15.75" customHeight="1">
      <c r="A18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Helper'!$F$5:$F$3004,"""")&lt;&gt;""""),ROWS(A$5:A1843)),"""")"),"")</f>
        <v/>
      </c>
      <c r="B18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Helper'!$F$5:$F$3004,"""")&lt;&gt;""""),ROWS(B$5:B1843)),"""")"),"")</f>
        <v/>
      </c>
      <c r="C18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Helper'!$F$5:$F$3004,"""")&lt;&gt;""""),ROWS(C$5:C1843)),"""")"),"")</f>
        <v/>
      </c>
      <c r="D18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Helper'!$F$5:$F$3004,"""")&lt;&gt;""""),ROWS(D$5:D1843)),"""")"),"")</f>
        <v/>
      </c>
      <c r="E18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Helper'!$F$5:$F$3004,"""")&lt;&gt;""""),ROWS(E$5:E1843)),"""")"),"")</f>
        <v/>
      </c>
      <c r="F18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Helper'!$F$5:$F$3004,"""")&lt;&gt;""""),ROWS(F$5:F1843)),IF(AND(LEFT(x,5)=""Pag"&amp;"e "",ISERROR(SEARCH(""–"",x))),x&amp;""–""&amp;REGEXEXTRACT(x,""[0-9]+$""),x)),"""")"),"")</f>
        <v/>
      </c>
      <c r="G1843" s="163"/>
      <c r="H18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Helper'!$F$5:$F$3004,"""")&lt;&gt;""""),ROWS(H$5:H1843)),"""")"),"")</f>
        <v/>
      </c>
    </row>
    <row r="1844" ht="15.75" customHeight="1">
      <c r="A18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Helper'!$F$5:$F$3004,"""")&lt;&gt;""""),ROWS(A$5:A1844)),"""")"),"")</f>
        <v/>
      </c>
      <c r="B18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Helper'!$F$5:$F$3004,"""")&lt;&gt;""""),ROWS(B$5:B1844)),"""")"),"")</f>
        <v/>
      </c>
      <c r="C18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Helper'!$F$5:$F$3004,"""")&lt;&gt;""""),ROWS(C$5:C1844)),"""")"),"")</f>
        <v/>
      </c>
      <c r="D18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Helper'!$F$5:$F$3004,"""")&lt;&gt;""""),ROWS(D$5:D1844)),"""")"),"")</f>
        <v/>
      </c>
      <c r="E18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Helper'!$F$5:$F$3004,"""")&lt;&gt;""""),ROWS(E$5:E1844)),"""")"),"")</f>
        <v/>
      </c>
      <c r="F18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Helper'!$F$5:$F$3004,"""")&lt;&gt;""""),ROWS(F$5:F1844)),IF(AND(LEFT(x,5)=""Pag"&amp;"e "",ISERROR(SEARCH(""–"",x))),x&amp;""–""&amp;REGEXEXTRACT(x,""[0-9]+$""),x)),"""")"),"")</f>
        <v/>
      </c>
      <c r="G1844" s="163"/>
      <c r="H18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Helper'!$F$5:$F$3004,"""")&lt;&gt;""""),ROWS(H$5:H1844)),"""")"),"")</f>
        <v/>
      </c>
    </row>
    <row r="1845" ht="15.75" customHeight="1">
      <c r="A18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Helper'!$F$5:$F$3004,"""")&lt;&gt;""""),ROWS(A$5:A1845)),"""")"),"")</f>
        <v/>
      </c>
      <c r="B18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Helper'!$F$5:$F$3004,"""")&lt;&gt;""""),ROWS(B$5:B1845)),"""")"),"")</f>
        <v/>
      </c>
      <c r="C18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Helper'!$F$5:$F$3004,"""")&lt;&gt;""""),ROWS(C$5:C1845)),"""")"),"")</f>
        <v/>
      </c>
      <c r="D18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Helper'!$F$5:$F$3004,"""")&lt;&gt;""""),ROWS(D$5:D1845)),"""")"),"")</f>
        <v/>
      </c>
      <c r="E18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Helper'!$F$5:$F$3004,"""")&lt;&gt;""""),ROWS(E$5:E1845)),"""")"),"")</f>
        <v/>
      </c>
      <c r="F18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Helper'!$F$5:$F$3004,"""")&lt;&gt;""""),ROWS(F$5:F1845)),IF(AND(LEFT(x,5)=""Pag"&amp;"e "",ISERROR(SEARCH(""–"",x))),x&amp;""–""&amp;REGEXEXTRACT(x,""[0-9]+$""),x)),"""")"),"")</f>
        <v/>
      </c>
      <c r="G1845" s="163"/>
      <c r="H18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Helper'!$F$5:$F$3004,"""")&lt;&gt;""""),ROWS(H$5:H1845)),"""")"),"")</f>
        <v/>
      </c>
    </row>
    <row r="1846" ht="15.75" customHeight="1">
      <c r="A18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Helper'!$F$5:$F$3004,"""")&lt;&gt;""""),ROWS(A$5:A1846)),"""")"),"")</f>
        <v/>
      </c>
      <c r="B18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Helper'!$F$5:$F$3004,"""")&lt;&gt;""""),ROWS(B$5:B1846)),"""")"),"")</f>
        <v/>
      </c>
      <c r="C18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Helper'!$F$5:$F$3004,"""")&lt;&gt;""""),ROWS(C$5:C1846)),"""")"),"")</f>
        <v/>
      </c>
      <c r="D18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Helper'!$F$5:$F$3004,"""")&lt;&gt;""""),ROWS(D$5:D1846)),"""")"),"")</f>
        <v/>
      </c>
      <c r="E18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Helper'!$F$5:$F$3004,"""")&lt;&gt;""""),ROWS(E$5:E1846)),"""")"),"")</f>
        <v/>
      </c>
      <c r="F18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Helper'!$F$5:$F$3004,"""")&lt;&gt;""""),ROWS(F$5:F1846)),IF(AND(LEFT(x,5)=""Pag"&amp;"e "",ISERROR(SEARCH(""–"",x))),x&amp;""–""&amp;REGEXEXTRACT(x,""[0-9]+$""),x)),"""")"),"")</f>
        <v/>
      </c>
      <c r="G1846" s="163"/>
      <c r="H18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Helper'!$F$5:$F$3004,"""")&lt;&gt;""""),ROWS(H$5:H1846)),"""")"),"")</f>
        <v/>
      </c>
    </row>
    <row r="1847" ht="15.75" customHeight="1">
      <c r="A18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Helper'!$F$5:$F$3004,"""")&lt;&gt;""""),ROWS(A$5:A1847)),"""")"),"")</f>
        <v/>
      </c>
      <c r="B18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Helper'!$F$5:$F$3004,"""")&lt;&gt;""""),ROWS(B$5:B1847)),"""")"),"")</f>
        <v/>
      </c>
      <c r="C18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Helper'!$F$5:$F$3004,"""")&lt;&gt;""""),ROWS(C$5:C1847)),"""")"),"")</f>
        <v/>
      </c>
      <c r="D18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Helper'!$F$5:$F$3004,"""")&lt;&gt;""""),ROWS(D$5:D1847)),"""")"),"")</f>
        <v/>
      </c>
      <c r="E18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Helper'!$F$5:$F$3004,"""")&lt;&gt;""""),ROWS(E$5:E1847)),"""")"),"")</f>
        <v/>
      </c>
      <c r="F18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Helper'!$F$5:$F$3004,"""")&lt;&gt;""""),ROWS(F$5:F1847)),IF(AND(LEFT(x,5)=""Pag"&amp;"e "",ISERROR(SEARCH(""–"",x))),x&amp;""–""&amp;REGEXEXTRACT(x,""[0-9]+$""),x)),"""")"),"")</f>
        <v/>
      </c>
      <c r="G1847" s="163"/>
      <c r="H18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Helper'!$F$5:$F$3004,"""")&lt;&gt;""""),ROWS(H$5:H1847)),"""")"),"")</f>
        <v/>
      </c>
    </row>
    <row r="1848" ht="15.75" customHeight="1">
      <c r="A18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Helper'!$F$5:$F$3004,"""")&lt;&gt;""""),ROWS(A$5:A1848)),"""")"),"")</f>
        <v/>
      </c>
      <c r="B18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Helper'!$F$5:$F$3004,"""")&lt;&gt;""""),ROWS(B$5:B1848)),"""")"),"")</f>
        <v/>
      </c>
      <c r="C18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Helper'!$F$5:$F$3004,"""")&lt;&gt;""""),ROWS(C$5:C1848)),"""")"),"")</f>
        <v/>
      </c>
      <c r="D18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Helper'!$F$5:$F$3004,"""")&lt;&gt;""""),ROWS(D$5:D1848)),"""")"),"")</f>
        <v/>
      </c>
      <c r="E18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Helper'!$F$5:$F$3004,"""")&lt;&gt;""""),ROWS(E$5:E1848)),"""")"),"")</f>
        <v/>
      </c>
      <c r="F18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Helper'!$F$5:$F$3004,"""")&lt;&gt;""""),ROWS(F$5:F1848)),IF(AND(LEFT(x,5)=""Pag"&amp;"e "",ISERROR(SEARCH(""–"",x))),x&amp;""–""&amp;REGEXEXTRACT(x,""[0-9]+$""),x)),"""")"),"")</f>
        <v/>
      </c>
      <c r="G1848" s="163"/>
      <c r="H18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Helper'!$F$5:$F$3004,"""")&lt;&gt;""""),ROWS(H$5:H1848)),"""")"),"")</f>
        <v/>
      </c>
    </row>
    <row r="1849" ht="15.75" customHeight="1">
      <c r="A18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Helper'!$F$5:$F$3004,"""")&lt;&gt;""""),ROWS(A$5:A1849)),"""")"),"")</f>
        <v/>
      </c>
      <c r="B18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Helper'!$F$5:$F$3004,"""")&lt;&gt;""""),ROWS(B$5:B1849)),"""")"),"")</f>
        <v/>
      </c>
      <c r="C18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Helper'!$F$5:$F$3004,"""")&lt;&gt;""""),ROWS(C$5:C1849)),"""")"),"")</f>
        <v/>
      </c>
      <c r="D18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Helper'!$F$5:$F$3004,"""")&lt;&gt;""""),ROWS(D$5:D1849)),"""")"),"")</f>
        <v/>
      </c>
      <c r="E18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Helper'!$F$5:$F$3004,"""")&lt;&gt;""""),ROWS(E$5:E1849)),"""")"),"")</f>
        <v/>
      </c>
      <c r="F18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Helper'!$F$5:$F$3004,"""")&lt;&gt;""""),ROWS(F$5:F1849)),IF(AND(LEFT(x,5)=""Pag"&amp;"e "",ISERROR(SEARCH(""–"",x))),x&amp;""–""&amp;REGEXEXTRACT(x,""[0-9]+$""),x)),"""")"),"")</f>
        <v/>
      </c>
      <c r="G1849" s="163"/>
      <c r="H18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Helper'!$F$5:$F$3004,"""")&lt;&gt;""""),ROWS(H$5:H1849)),"""")"),"")</f>
        <v/>
      </c>
    </row>
    <row r="1850" ht="15.75" customHeight="1">
      <c r="A18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Helper'!$F$5:$F$3004,"""")&lt;&gt;""""),ROWS(A$5:A1850)),"""")"),"")</f>
        <v/>
      </c>
      <c r="B18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Helper'!$F$5:$F$3004,"""")&lt;&gt;""""),ROWS(B$5:B1850)),"""")"),"")</f>
        <v/>
      </c>
      <c r="C18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Helper'!$F$5:$F$3004,"""")&lt;&gt;""""),ROWS(C$5:C1850)),"""")"),"")</f>
        <v/>
      </c>
      <c r="D18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Helper'!$F$5:$F$3004,"""")&lt;&gt;""""),ROWS(D$5:D1850)),"""")"),"")</f>
        <v/>
      </c>
      <c r="E18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Helper'!$F$5:$F$3004,"""")&lt;&gt;""""),ROWS(E$5:E1850)),"""")"),"")</f>
        <v/>
      </c>
      <c r="F18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Helper'!$F$5:$F$3004,"""")&lt;&gt;""""),ROWS(F$5:F1850)),IF(AND(LEFT(x,5)=""Pag"&amp;"e "",ISERROR(SEARCH(""–"",x))),x&amp;""–""&amp;REGEXEXTRACT(x,""[0-9]+$""),x)),"""")"),"")</f>
        <v/>
      </c>
      <c r="G1850" s="163"/>
      <c r="H18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Helper'!$F$5:$F$3004,"""")&lt;&gt;""""),ROWS(H$5:H1850)),"""")"),"")</f>
        <v/>
      </c>
    </row>
    <row r="1851" ht="15.75" customHeight="1">
      <c r="A18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Helper'!$F$5:$F$3004,"""")&lt;&gt;""""),ROWS(A$5:A1851)),"""")"),"")</f>
        <v/>
      </c>
      <c r="B18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Helper'!$F$5:$F$3004,"""")&lt;&gt;""""),ROWS(B$5:B1851)),"""")"),"")</f>
        <v/>
      </c>
      <c r="C18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Helper'!$F$5:$F$3004,"""")&lt;&gt;""""),ROWS(C$5:C1851)),"""")"),"")</f>
        <v/>
      </c>
      <c r="D18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Helper'!$F$5:$F$3004,"""")&lt;&gt;""""),ROWS(D$5:D1851)),"""")"),"")</f>
        <v/>
      </c>
      <c r="E18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Helper'!$F$5:$F$3004,"""")&lt;&gt;""""),ROWS(E$5:E1851)),"""")"),"")</f>
        <v/>
      </c>
      <c r="F18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Helper'!$F$5:$F$3004,"""")&lt;&gt;""""),ROWS(F$5:F1851)),IF(AND(LEFT(x,5)=""Pag"&amp;"e "",ISERROR(SEARCH(""–"",x))),x&amp;""–""&amp;REGEXEXTRACT(x,""[0-9]+$""),x)),"""")"),"")</f>
        <v/>
      </c>
      <c r="G1851" s="163"/>
      <c r="H18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Helper'!$F$5:$F$3004,"""")&lt;&gt;""""),ROWS(H$5:H1851)),"""")"),"")</f>
        <v/>
      </c>
    </row>
    <row r="1852" ht="15.75" customHeight="1">
      <c r="A18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Helper'!$F$5:$F$3004,"""")&lt;&gt;""""),ROWS(A$5:A1852)),"""")"),"")</f>
        <v/>
      </c>
      <c r="B18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Helper'!$F$5:$F$3004,"""")&lt;&gt;""""),ROWS(B$5:B1852)),"""")"),"")</f>
        <v/>
      </c>
      <c r="C18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Helper'!$F$5:$F$3004,"""")&lt;&gt;""""),ROWS(C$5:C1852)),"""")"),"")</f>
        <v/>
      </c>
      <c r="D18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Helper'!$F$5:$F$3004,"""")&lt;&gt;""""),ROWS(D$5:D1852)),"""")"),"")</f>
        <v/>
      </c>
      <c r="E18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Helper'!$F$5:$F$3004,"""")&lt;&gt;""""),ROWS(E$5:E1852)),"""")"),"")</f>
        <v/>
      </c>
      <c r="F18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Helper'!$F$5:$F$3004,"""")&lt;&gt;""""),ROWS(F$5:F1852)),IF(AND(LEFT(x,5)=""Pag"&amp;"e "",ISERROR(SEARCH(""–"",x))),x&amp;""–""&amp;REGEXEXTRACT(x,""[0-9]+$""),x)),"""")"),"")</f>
        <v/>
      </c>
      <c r="G1852" s="163"/>
      <c r="H18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Helper'!$F$5:$F$3004,"""")&lt;&gt;""""),ROWS(H$5:H1852)),"""")"),"")</f>
        <v/>
      </c>
    </row>
    <row r="1853" ht="15.75" customHeight="1">
      <c r="A18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Helper'!$F$5:$F$3004,"""")&lt;&gt;""""),ROWS(A$5:A1853)),"""")"),"")</f>
        <v/>
      </c>
      <c r="B18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Helper'!$F$5:$F$3004,"""")&lt;&gt;""""),ROWS(B$5:B1853)),"""")"),"")</f>
        <v/>
      </c>
      <c r="C18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Helper'!$F$5:$F$3004,"""")&lt;&gt;""""),ROWS(C$5:C1853)),"""")"),"")</f>
        <v/>
      </c>
      <c r="D18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Helper'!$F$5:$F$3004,"""")&lt;&gt;""""),ROWS(D$5:D1853)),"""")"),"")</f>
        <v/>
      </c>
      <c r="E18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Helper'!$F$5:$F$3004,"""")&lt;&gt;""""),ROWS(E$5:E1853)),"""")"),"")</f>
        <v/>
      </c>
      <c r="F18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Helper'!$F$5:$F$3004,"""")&lt;&gt;""""),ROWS(F$5:F1853)),IF(AND(LEFT(x,5)=""Pag"&amp;"e "",ISERROR(SEARCH(""–"",x))),x&amp;""–""&amp;REGEXEXTRACT(x,""[0-9]+$""),x)),"""")"),"")</f>
        <v/>
      </c>
      <c r="G1853" s="163"/>
      <c r="H18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Helper'!$F$5:$F$3004,"""")&lt;&gt;""""),ROWS(H$5:H1853)),"""")"),"")</f>
        <v/>
      </c>
    </row>
    <row r="1854" ht="15.75" customHeight="1">
      <c r="A18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Helper'!$F$5:$F$3004,"""")&lt;&gt;""""),ROWS(A$5:A1854)),"""")"),"")</f>
        <v/>
      </c>
      <c r="B18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Helper'!$F$5:$F$3004,"""")&lt;&gt;""""),ROWS(B$5:B1854)),"""")"),"")</f>
        <v/>
      </c>
      <c r="C18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Helper'!$F$5:$F$3004,"""")&lt;&gt;""""),ROWS(C$5:C1854)),"""")"),"")</f>
        <v/>
      </c>
      <c r="D18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Helper'!$F$5:$F$3004,"""")&lt;&gt;""""),ROWS(D$5:D1854)),"""")"),"")</f>
        <v/>
      </c>
      <c r="E18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Helper'!$F$5:$F$3004,"""")&lt;&gt;""""),ROWS(E$5:E1854)),"""")"),"")</f>
        <v/>
      </c>
      <c r="F18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Helper'!$F$5:$F$3004,"""")&lt;&gt;""""),ROWS(F$5:F1854)),IF(AND(LEFT(x,5)=""Pag"&amp;"e "",ISERROR(SEARCH(""–"",x))),x&amp;""–""&amp;REGEXEXTRACT(x,""[0-9]+$""),x)),"""")"),"")</f>
        <v/>
      </c>
      <c r="G1854" s="163"/>
      <c r="H18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Helper'!$F$5:$F$3004,"""")&lt;&gt;""""),ROWS(H$5:H1854)),"""")"),"")</f>
        <v/>
      </c>
    </row>
    <row r="1855" ht="15.75" customHeight="1">
      <c r="A18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Helper'!$F$5:$F$3004,"""")&lt;&gt;""""),ROWS(A$5:A1855)),"""")"),"")</f>
        <v/>
      </c>
      <c r="B18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Helper'!$F$5:$F$3004,"""")&lt;&gt;""""),ROWS(B$5:B1855)),"""")"),"")</f>
        <v/>
      </c>
      <c r="C18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Helper'!$F$5:$F$3004,"""")&lt;&gt;""""),ROWS(C$5:C1855)),"""")"),"")</f>
        <v/>
      </c>
      <c r="D18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Helper'!$F$5:$F$3004,"""")&lt;&gt;""""),ROWS(D$5:D1855)),"""")"),"")</f>
        <v/>
      </c>
      <c r="E18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Helper'!$F$5:$F$3004,"""")&lt;&gt;""""),ROWS(E$5:E1855)),"""")"),"")</f>
        <v/>
      </c>
      <c r="F18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Helper'!$F$5:$F$3004,"""")&lt;&gt;""""),ROWS(F$5:F1855)),IF(AND(LEFT(x,5)=""Pag"&amp;"e "",ISERROR(SEARCH(""–"",x))),x&amp;""–""&amp;REGEXEXTRACT(x,""[0-9]+$""),x)),"""")"),"")</f>
        <v/>
      </c>
      <c r="G1855" s="163"/>
      <c r="H18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Helper'!$F$5:$F$3004,"""")&lt;&gt;""""),ROWS(H$5:H1855)),"""")"),"")</f>
        <v/>
      </c>
    </row>
    <row r="1856" ht="15.75" customHeight="1">
      <c r="A18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Helper'!$F$5:$F$3004,"""")&lt;&gt;""""),ROWS(A$5:A1856)),"""")"),"")</f>
        <v/>
      </c>
      <c r="B18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Helper'!$F$5:$F$3004,"""")&lt;&gt;""""),ROWS(B$5:B1856)),"""")"),"")</f>
        <v/>
      </c>
      <c r="C18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Helper'!$F$5:$F$3004,"""")&lt;&gt;""""),ROWS(C$5:C1856)),"""")"),"")</f>
        <v/>
      </c>
      <c r="D18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Helper'!$F$5:$F$3004,"""")&lt;&gt;""""),ROWS(D$5:D1856)),"""")"),"")</f>
        <v/>
      </c>
      <c r="E18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Helper'!$F$5:$F$3004,"""")&lt;&gt;""""),ROWS(E$5:E1856)),"""")"),"")</f>
        <v/>
      </c>
      <c r="F18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Helper'!$F$5:$F$3004,"""")&lt;&gt;""""),ROWS(F$5:F1856)),IF(AND(LEFT(x,5)=""Pag"&amp;"e "",ISERROR(SEARCH(""–"",x))),x&amp;""–""&amp;REGEXEXTRACT(x,""[0-9]+$""),x)),"""")"),"")</f>
        <v/>
      </c>
      <c r="G1856" s="163"/>
      <c r="H18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Helper'!$F$5:$F$3004,"""")&lt;&gt;""""),ROWS(H$5:H1856)),"""")"),"")</f>
        <v/>
      </c>
    </row>
    <row r="1857" ht="15.75" customHeight="1">
      <c r="A18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Helper'!$F$5:$F$3004,"""")&lt;&gt;""""),ROWS(A$5:A1857)),"""")"),"")</f>
        <v/>
      </c>
      <c r="B18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Helper'!$F$5:$F$3004,"""")&lt;&gt;""""),ROWS(B$5:B1857)),"""")"),"")</f>
        <v/>
      </c>
      <c r="C18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Helper'!$F$5:$F$3004,"""")&lt;&gt;""""),ROWS(C$5:C1857)),"""")"),"")</f>
        <v/>
      </c>
      <c r="D18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Helper'!$F$5:$F$3004,"""")&lt;&gt;""""),ROWS(D$5:D1857)),"""")"),"")</f>
        <v/>
      </c>
      <c r="E18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Helper'!$F$5:$F$3004,"""")&lt;&gt;""""),ROWS(E$5:E1857)),"""")"),"")</f>
        <v/>
      </c>
      <c r="F18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Helper'!$F$5:$F$3004,"""")&lt;&gt;""""),ROWS(F$5:F1857)),IF(AND(LEFT(x,5)=""Pag"&amp;"e "",ISERROR(SEARCH(""–"",x))),x&amp;""–""&amp;REGEXEXTRACT(x,""[0-9]+$""),x)),"""")"),"")</f>
        <v/>
      </c>
      <c r="G1857" s="163"/>
      <c r="H18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Helper'!$F$5:$F$3004,"""")&lt;&gt;""""),ROWS(H$5:H1857)),"""")"),"")</f>
        <v/>
      </c>
    </row>
    <row r="1858" ht="15.75" customHeight="1">
      <c r="A18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Helper'!$F$5:$F$3004,"""")&lt;&gt;""""),ROWS(A$5:A1858)),"""")"),"")</f>
        <v/>
      </c>
      <c r="B18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Helper'!$F$5:$F$3004,"""")&lt;&gt;""""),ROWS(B$5:B1858)),"""")"),"")</f>
        <v/>
      </c>
      <c r="C18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Helper'!$F$5:$F$3004,"""")&lt;&gt;""""),ROWS(C$5:C1858)),"""")"),"")</f>
        <v/>
      </c>
      <c r="D18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Helper'!$F$5:$F$3004,"""")&lt;&gt;""""),ROWS(D$5:D1858)),"""")"),"")</f>
        <v/>
      </c>
      <c r="E18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Helper'!$F$5:$F$3004,"""")&lt;&gt;""""),ROWS(E$5:E1858)),"""")"),"")</f>
        <v/>
      </c>
      <c r="F18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Helper'!$F$5:$F$3004,"""")&lt;&gt;""""),ROWS(F$5:F1858)),IF(AND(LEFT(x,5)=""Pag"&amp;"e "",ISERROR(SEARCH(""–"",x))),x&amp;""–""&amp;REGEXEXTRACT(x,""[0-9]+$""),x)),"""")"),"")</f>
        <v/>
      </c>
      <c r="G1858" s="163"/>
      <c r="H18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Helper'!$F$5:$F$3004,"""")&lt;&gt;""""),ROWS(H$5:H1858)),"""")"),"")</f>
        <v/>
      </c>
    </row>
    <row r="1859" ht="15.75" customHeight="1">
      <c r="A18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Helper'!$F$5:$F$3004,"""")&lt;&gt;""""),ROWS(A$5:A1859)),"""")"),"")</f>
        <v/>
      </c>
      <c r="B18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Helper'!$F$5:$F$3004,"""")&lt;&gt;""""),ROWS(B$5:B1859)),"""")"),"")</f>
        <v/>
      </c>
      <c r="C18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Helper'!$F$5:$F$3004,"""")&lt;&gt;""""),ROWS(C$5:C1859)),"""")"),"")</f>
        <v/>
      </c>
      <c r="D18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Helper'!$F$5:$F$3004,"""")&lt;&gt;""""),ROWS(D$5:D1859)),"""")"),"")</f>
        <v/>
      </c>
      <c r="E18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Helper'!$F$5:$F$3004,"""")&lt;&gt;""""),ROWS(E$5:E1859)),"""")"),"")</f>
        <v/>
      </c>
      <c r="F18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Helper'!$F$5:$F$3004,"""")&lt;&gt;""""),ROWS(F$5:F1859)),IF(AND(LEFT(x,5)=""Pag"&amp;"e "",ISERROR(SEARCH(""–"",x))),x&amp;""–""&amp;REGEXEXTRACT(x,""[0-9]+$""),x)),"""")"),"")</f>
        <v/>
      </c>
      <c r="G1859" s="163"/>
      <c r="H18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Helper'!$F$5:$F$3004,"""")&lt;&gt;""""),ROWS(H$5:H1859)),"""")"),"")</f>
        <v/>
      </c>
    </row>
    <row r="1860" ht="15.75" customHeight="1">
      <c r="A18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Helper'!$F$5:$F$3004,"""")&lt;&gt;""""),ROWS(A$5:A1860)),"""")"),"")</f>
        <v/>
      </c>
      <c r="B18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Helper'!$F$5:$F$3004,"""")&lt;&gt;""""),ROWS(B$5:B1860)),"""")"),"")</f>
        <v/>
      </c>
      <c r="C18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Helper'!$F$5:$F$3004,"""")&lt;&gt;""""),ROWS(C$5:C1860)),"""")"),"")</f>
        <v/>
      </c>
      <c r="D18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Helper'!$F$5:$F$3004,"""")&lt;&gt;""""),ROWS(D$5:D1860)),"""")"),"")</f>
        <v/>
      </c>
      <c r="E18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Helper'!$F$5:$F$3004,"""")&lt;&gt;""""),ROWS(E$5:E1860)),"""")"),"")</f>
        <v/>
      </c>
      <c r="F18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Helper'!$F$5:$F$3004,"""")&lt;&gt;""""),ROWS(F$5:F1860)),IF(AND(LEFT(x,5)=""Pag"&amp;"e "",ISERROR(SEARCH(""–"",x))),x&amp;""–""&amp;REGEXEXTRACT(x,""[0-9]+$""),x)),"""")"),"")</f>
        <v/>
      </c>
      <c r="G1860" s="163"/>
      <c r="H18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Helper'!$F$5:$F$3004,"""")&lt;&gt;""""),ROWS(H$5:H1860)),"""")"),"")</f>
        <v/>
      </c>
    </row>
    <row r="1861" ht="15.75" customHeight="1">
      <c r="A18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Helper'!$F$5:$F$3004,"""")&lt;&gt;""""),ROWS(A$5:A1861)),"""")"),"")</f>
        <v/>
      </c>
      <c r="B18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Helper'!$F$5:$F$3004,"""")&lt;&gt;""""),ROWS(B$5:B1861)),"""")"),"")</f>
        <v/>
      </c>
      <c r="C18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Helper'!$F$5:$F$3004,"""")&lt;&gt;""""),ROWS(C$5:C1861)),"""")"),"")</f>
        <v/>
      </c>
      <c r="D18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Helper'!$F$5:$F$3004,"""")&lt;&gt;""""),ROWS(D$5:D1861)),"""")"),"")</f>
        <v/>
      </c>
      <c r="E18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Helper'!$F$5:$F$3004,"""")&lt;&gt;""""),ROWS(E$5:E1861)),"""")"),"")</f>
        <v/>
      </c>
      <c r="F18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Helper'!$F$5:$F$3004,"""")&lt;&gt;""""),ROWS(F$5:F1861)),IF(AND(LEFT(x,5)=""Pag"&amp;"e "",ISERROR(SEARCH(""–"",x))),x&amp;""–""&amp;REGEXEXTRACT(x,""[0-9]+$""),x)),"""")"),"")</f>
        <v/>
      </c>
      <c r="G1861" s="163"/>
      <c r="H18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Helper'!$F$5:$F$3004,"""")&lt;&gt;""""),ROWS(H$5:H1861)),"""")"),"")</f>
        <v/>
      </c>
    </row>
    <row r="1862" ht="15.75" customHeight="1">
      <c r="A18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Helper'!$F$5:$F$3004,"""")&lt;&gt;""""),ROWS(A$5:A1862)),"""")"),"")</f>
        <v/>
      </c>
      <c r="B18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Helper'!$F$5:$F$3004,"""")&lt;&gt;""""),ROWS(B$5:B1862)),"""")"),"")</f>
        <v/>
      </c>
      <c r="C18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Helper'!$F$5:$F$3004,"""")&lt;&gt;""""),ROWS(C$5:C1862)),"""")"),"")</f>
        <v/>
      </c>
      <c r="D18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Helper'!$F$5:$F$3004,"""")&lt;&gt;""""),ROWS(D$5:D1862)),"""")"),"")</f>
        <v/>
      </c>
      <c r="E18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Helper'!$F$5:$F$3004,"""")&lt;&gt;""""),ROWS(E$5:E1862)),"""")"),"")</f>
        <v/>
      </c>
      <c r="F18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Helper'!$F$5:$F$3004,"""")&lt;&gt;""""),ROWS(F$5:F1862)),IF(AND(LEFT(x,5)=""Pag"&amp;"e "",ISERROR(SEARCH(""–"",x))),x&amp;""–""&amp;REGEXEXTRACT(x,""[0-9]+$""),x)),"""")"),"")</f>
        <v/>
      </c>
      <c r="G1862" s="163"/>
      <c r="H18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Helper'!$F$5:$F$3004,"""")&lt;&gt;""""),ROWS(H$5:H1862)),"""")"),"")</f>
        <v/>
      </c>
    </row>
    <row r="1863" ht="15.75" customHeight="1">
      <c r="A18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Helper'!$F$5:$F$3004,"""")&lt;&gt;""""),ROWS(A$5:A1863)),"""")"),"")</f>
        <v/>
      </c>
      <c r="B18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Helper'!$F$5:$F$3004,"""")&lt;&gt;""""),ROWS(B$5:B1863)),"""")"),"")</f>
        <v/>
      </c>
      <c r="C18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Helper'!$F$5:$F$3004,"""")&lt;&gt;""""),ROWS(C$5:C1863)),"""")"),"")</f>
        <v/>
      </c>
      <c r="D18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Helper'!$F$5:$F$3004,"""")&lt;&gt;""""),ROWS(D$5:D1863)),"""")"),"")</f>
        <v/>
      </c>
      <c r="E18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Helper'!$F$5:$F$3004,"""")&lt;&gt;""""),ROWS(E$5:E1863)),"""")"),"")</f>
        <v/>
      </c>
      <c r="F18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Helper'!$F$5:$F$3004,"""")&lt;&gt;""""),ROWS(F$5:F1863)),IF(AND(LEFT(x,5)=""Pag"&amp;"e "",ISERROR(SEARCH(""–"",x))),x&amp;""–""&amp;REGEXEXTRACT(x,""[0-9]+$""),x)),"""")"),"")</f>
        <v/>
      </c>
      <c r="G1863" s="163"/>
      <c r="H18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Helper'!$F$5:$F$3004,"""")&lt;&gt;""""),ROWS(H$5:H1863)),"""")"),"")</f>
        <v/>
      </c>
    </row>
    <row r="1864" ht="15.75" customHeight="1">
      <c r="A18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Helper'!$F$5:$F$3004,"""")&lt;&gt;""""),ROWS(A$5:A1864)),"""")"),"")</f>
        <v/>
      </c>
      <c r="B18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Helper'!$F$5:$F$3004,"""")&lt;&gt;""""),ROWS(B$5:B1864)),"""")"),"")</f>
        <v/>
      </c>
      <c r="C18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Helper'!$F$5:$F$3004,"""")&lt;&gt;""""),ROWS(C$5:C1864)),"""")"),"")</f>
        <v/>
      </c>
      <c r="D18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Helper'!$F$5:$F$3004,"""")&lt;&gt;""""),ROWS(D$5:D1864)),"""")"),"")</f>
        <v/>
      </c>
      <c r="E18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Helper'!$F$5:$F$3004,"""")&lt;&gt;""""),ROWS(E$5:E1864)),"""")"),"")</f>
        <v/>
      </c>
      <c r="F18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Helper'!$F$5:$F$3004,"""")&lt;&gt;""""),ROWS(F$5:F1864)),IF(AND(LEFT(x,5)=""Pag"&amp;"e "",ISERROR(SEARCH(""–"",x))),x&amp;""–""&amp;REGEXEXTRACT(x,""[0-9]+$""),x)),"""")"),"")</f>
        <v/>
      </c>
      <c r="G1864" s="163"/>
      <c r="H18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Helper'!$F$5:$F$3004,"""")&lt;&gt;""""),ROWS(H$5:H1864)),"""")"),"")</f>
        <v/>
      </c>
    </row>
    <row r="1865" ht="15.75" customHeight="1">
      <c r="A18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Helper'!$F$5:$F$3004,"""")&lt;&gt;""""),ROWS(A$5:A1865)),"""")"),"")</f>
        <v/>
      </c>
      <c r="B18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Helper'!$F$5:$F$3004,"""")&lt;&gt;""""),ROWS(B$5:B1865)),"""")"),"")</f>
        <v/>
      </c>
      <c r="C18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Helper'!$F$5:$F$3004,"""")&lt;&gt;""""),ROWS(C$5:C1865)),"""")"),"")</f>
        <v/>
      </c>
      <c r="D18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Helper'!$F$5:$F$3004,"""")&lt;&gt;""""),ROWS(D$5:D1865)),"""")"),"")</f>
        <v/>
      </c>
      <c r="E18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Helper'!$F$5:$F$3004,"""")&lt;&gt;""""),ROWS(E$5:E1865)),"""")"),"")</f>
        <v/>
      </c>
      <c r="F18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Helper'!$F$5:$F$3004,"""")&lt;&gt;""""),ROWS(F$5:F1865)),IF(AND(LEFT(x,5)=""Pag"&amp;"e "",ISERROR(SEARCH(""–"",x))),x&amp;""–""&amp;REGEXEXTRACT(x,""[0-9]+$""),x)),"""")"),"")</f>
        <v/>
      </c>
      <c r="G1865" s="163"/>
      <c r="H18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Helper'!$F$5:$F$3004,"""")&lt;&gt;""""),ROWS(H$5:H1865)),"""")"),"")</f>
        <v/>
      </c>
    </row>
    <row r="1866" ht="15.75" customHeight="1">
      <c r="A18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Helper'!$F$5:$F$3004,"""")&lt;&gt;""""),ROWS(A$5:A1866)),"""")"),"")</f>
        <v/>
      </c>
      <c r="B18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Helper'!$F$5:$F$3004,"""")&lt;&gt;""""),ROWS(B$5:B1866)),"""")"),"")</f>
        <v/>
      </c>
      <c r="C18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Helper'!$F$5:$F$3004,"""")&lt;&gt;""""),ROWS(C$5:C1866)),"""")"),"")</f>
        <v/>
      </c>
      <c r="D18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Helper'!$F$5:$F$3004,"""")&lt;&gt;""""),ROWS(D$5:D1866)),"""")"),"")</f>
        <v/>
      </c>
      <c r="E18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Helper'!$F$5:$F$3004,"""")&lt;&gt;""""),ROWS(E$5:E1866)),"""")"),"")</f>
        <v/>
      </c>
      <c r="F18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Helper'!$F$5:$F$3004,"""")&lt;&gt;""""),ROWS(F$5:F1866)),IF(AND(LEFT(x,5)=""Pag"&amp;"e "",ISERROR(SEARCH(""–"",x))),x&amp;""–""&amp;REGEXEXTRACT(x,""[0-9]+$""),x)),"""")"),"")</f>
        <v/>
      </c>
      <c r="G1866" s="163"/>
      <c r="H18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Helper'!$F$5:$F$3004,"""")&lt;&gt;""""),ROWS(H$5:H1866)),"""")"),"")</f>
        <v/>
      </c>
    </row>
    <row r="1867" ht="15.75" customHeight="1">
      <c r="A18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Helper'!$F$5:$F$3004,"""")&lt;&gt;""""),ROWS(A$5:A1867)),"""")"),"")</f>
        <v/>
      </c>
      <c r="B18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Helper'!$F$5:$F$3004,"""")&lt;&gt;""""),ROWS(B$5:B1867)),"""")"),"")</f>
        <v/>
      </c>
      <c r="C18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Helper'!$F$5:$F$3004,"""")&lt;&gt;""""),ROWS(C$5:C1867)),"""")"),"")</f>
        <v/>
      </c>
      <c r="D18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Helper'!$F$5:$F$3004,"""")&lt;&gt;""""),ROWS(D$5:D1867)),"""")"),"")</f>
        <v/>
      </c>
      <c r="E18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Helper'!$F$5:$F$3004,"""")&lt;&gt;""""),ROWS(E$5:E1867)),"""")"),"")</f>
        <v/>
      </c>
      <c r="F18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Helper'!$F$5:$F$3004,"""")&lt;&gt;""""),ROWS(F$5:F1867)),IF(AND(LEFT(x,5)=""Pag"&amp;"e "",ISERROR(SEARCH(""–"",x))),x&amp;""–""&amp;REGEXEXTRACT(x,""[0-9]+$""),x)),"""")"),"")</f>
        <v/>
      </c>
      <c r="G1867" s="163"/>
      <c r="H18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Helper'!$F$5:$F$3004,"""")&lt;&gt;""""),ROWS(H$5:H1867)),"""")"),"")</f>
        <v/>
      </c>
    </row>
    <row r="1868" ht="15.75" customHeight="1">
      <c r="A18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Helper'!$F$5:$F$3004,"""")&lt;&gt;""""),ROWS(A$5:A1868)),"""")"),"")</f>
        <v/>
      </c>
      <c r="B18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Helper'!$F$5:$F$3004,"""")&lt;&gt;""""),ROWS(B$5:B1868)),"""")"),"")</f>
        <v/>
      </c>
      <c r="C18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Helper'!$F$5:$F$3004,"""")&lt;&gt;""""),ROWS(C$5:C1868)),"""")"),"")</f>
        <v/>
      </c>
      <c r="D18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Helper'!$F$5:$F$3004,"""")&lt;&gt;""""),ROWS(D$5:D1868)),"""")"),"")</f>
        <v/>
      </c>
      <c r="E18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Helper'!$F$5:$F$3004,"""")&lt;&gt;""""),ROWS(E$5:E1868)),"""")"),"")</f>
        <v/>
      </c>
      <c r="F18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Helper'!$F$5:$F$3004,"""")&lt;&gt;""""),ROWS(F$5:F1868)),IF(AND(LEFT(x,5)=""Pag"&amp;"e "",ISERROR(SEARCH(""–"",x))),x&amp;""–""&amp;REGEXEXTRACT(x,""[0-9]+$""),x)),"""")"),"")</f>
        <v/>
      </c>
      <c r="G1868" s="163"/>
      <c r="H18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Helper'!$F$5:$F$3004,"""")&lt;&gt;""""),ROWS(H$5:H1868)),"""")"),"")</f>
        <v/>
      </c>
    </row>
    <row r="1869" ht="15.75" customHeight="1">
      <c r="A18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Helper'!$F$5:$F$3004,"""")&lt;&gt;""""),ROWS(A$5:A1869)),"""")"),"")</f>
        <v/>
      </c>
      <c r="B18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Helper'!$F$5:$F$3004,"""")&lt;&gt;""""),ROWS(B$5:B1869)),"""")"),"")</f>
        <v/>
      </c>
      <c r="C18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Helper'!$F$5:$F$3004,"""")&lt;&gt;""""),ROWS(C$5:C1869)),"""")"),"")</f>
        <v/>
      </c>
      <c r="D18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Helper'!$F$5:$F$3004,"""")&lt;&gt;""""),ROWS(D$5:D1869)),"""")"),"")</f>
        <v/>
      </c>
      <c r="E18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Helper'!$F$5:$F$3004,"""")&lt;&gt;""""),ROWS(E$5:E1869)),"""")"),"")</f>
        <v/>
      </c>
      <c r="F18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Helper'!$F$5:$F$3004,"""")&lt;&gt;""""),ROWS(F$5:F1869)),IF(AND(LEFT(x,5)=""Pag"&amp;"e "",ISERROR(SEARCH(""–"",x))),x&amp;""–""&amp;REGEXEXTRACT(x,""[0-9]+$""),x)),"""")"),"")</f>
        <v/>
      </c>
      <c r="G1869" s="163"/>
      <c r="H18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Helper'!$F$5:$F$3004,"""")&lt;&gt;""""),ROWS(H$5:H1869)),"""")"),"")</f>
        <v/>
      </c>
    </row>
    <row r="1870" ht="15.75" customHeight="1">
      <c r="A18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Helper'!$F$5:$F$3004,"""")&lt;&gt;""""),ROWS(A$5:A1870)),"""")"),"")</f>
        <v/>
      </c>
      <c r="B18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Helper'!$F$5:$F$3004,"""")&lt;&gt;""""),ROWS(B$5:B1870)),"""")"),"")</f>
        <v/>
      </c>
      <c r="C18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Helper'!$F$5:$F$3004,"""")&lt;&gt;""""),ROWS(C$5:C1870)),"""")"),"")</f>
        <v/>
      </c>
      <c r="D18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Helper'!$F$5:$F$3004,"""")&lt;&gt;""""),ROWS(D$5:D1870)),"""")"),"")</f>
        <v/>
      </c>
      <c r="E18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Helper'!$F$5:$F$3004,"""")&lt;&gt;""""),ROWS(E$5:E1870)),"""")"),"")</f>
        <v/>
      </c>
      <c r="F18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Helper'!$F$5:$F$3004,"""")&lt;&gt;""""),ROWS(F$5:F1870)),IF(AND(LEFT(x,5)=""Pag"&amp;"e "",ISERROR(SEARCH(""–"",x))),x&amp;""–""&amp;REGEXEXTRACT(x,""[0-9]+$""),x)),"""")"),"")</f>
        <v/>
      </c>
      <c r="G1870" s="163"/>
      <c r="H18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Helper'!$F$5:$F$3004,"""")&lt;&gt;""""),ROWS(H$5:H1870)),"""")"),"")</f>
        <v/>
      </c>
    </row>
    <row r="1871" ht="15.75" customHeight="1">
      <c r="A18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Helper'!$F$5:$F$3004,"""")&lt;&gt;""""),ROWS(A$5:A1871)),"""")"),"")</f>
        <v/>
      </c>
      <c r="B18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Helper'!$F$5:$F$3004,"""")&lt;&gt;""""),ROWS(B$5:B1871)),"""")"),"")</f>
        <v/>
      </c>
      <c r="C18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Helper'!$F$5:$F$3004,"""")&lt;&gt;""""),ROWS(C$5:C1871)),"""")"),"")</f>
        <v/>
      </c>
      <c r="D18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Helper'!$F$5:$F$3004,"""")&lt;&gt;""""),ROWS(D$5:D1871)),"""")"),"")</f>
        <v/>
      </c>
      <c r="E18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Helper'!$F$5:$F$3004,"""")&lt;&gt;""""),ROWS(E$5:E1871)),"""")"),"")</f>
        <v/>
      </c>
      <c r="F18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Helper'!$F$5:$F$3004,"""")&lt;&gt;""""),ROWS(F$5:F1871)),IF(AND(LEFT(x,5)=""Pag"&amp;"e "",ISERROR(SEARCH(""–"",x))),x&amp;""–""&amp;REGEXEXTRACT(x,""[0-9]+$""),x)),"""")"),"")</f>
        <v/>
      </c>
      <c r="G1871" s="163"/>
      <c r="H18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Helper'!$F$5:$F$3004,"""")&lt;&gt;""""),ROWS(H$5:H1871)),"""")"),"")</f>
        <v/>
      </c>
    </row>
    <row r="1872" ht="15.75" customHeight="1">
      <c r="A18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Helper'!$F$5:$F$3004,"""")&lt;&gt;""""),ROWS(A$5:A1872)),"""")"),"")</f>
        <v/>
      </c>
      <c r="B18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Helper'!$F$5:$F$3004,"""")&lt;&gt;""""),ROWS(B$5:B1872)),"""")"),"")</f>
        <v/>
      </c>
      <c r="C18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Helper'!$F$5:$F$3004,"""")&lt;&gt;""""),ROWS(C$5:C1872)),"""")"),"")</f>
        <v/>
      </c>
      <c r="D18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Helper'!$F$5:$F$3004,"""")&lt;&gt;""""),ROWS(D$5:D1872)),"""")"),"")</f>
        <v/>
      </c>
      <c r="E18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Helper'!$F$5:$F$3004,"""")&lt;&gt;""""),ROWS(E$5:E1872)),"""")"),"")</f>
        <v/>
      </c>
      <c r="F18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Helper'!$F$5:$F$3004,"""")&lt;&gt;""""),ROWS(F$5:F1872)),IF(AND(LEFT(x,5)=""Pag"&amp;"e "",ISERROR(SEARCH(""–"",x))),x&amp;""–""&amp;REGEXEXTRACT(x,""[0-9]+$""),x)),"""")"),"")</f>
        <v/>
      </c>
      <c r="G1872" s="163"/>
      <c r="H18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Helper'!$F$5:$F$3004,"""")&lt;&gt;""""),ROWS(H$5:H1872)),"""")"),"")</f>
        <v/>
      </c>
    </row>
    <row r="1873" ht="15.75" customHeight="1">
      <c r="A18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Helper'!$F$5:$F$3004,"""")&lt;&gt;""""),ROWS(A$5:A1873)),"""")"),"")</f>
        <v/>
      </c>
      <c r="B18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Helper'!$F$5:$F$3004,"""")&lt;&gt;""""),ROWS(B$5:B1873)),"""")"),"")</f>
        <v/>
      </c>
      <c r="C18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Helper'!$F$5:$F$3004,"""")&lt;&gt;""""),ROWS(C$5:C1873)),"""")"),"")</f>
        <v/>
      </c>
      <c r="D18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Helper'!$F$5:$F$3004,"""")&lt;&gt;""""),ROWS(D$5:D1873)),"""")"),"")</f>
        <v/>
      </c>
      <c r="E18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Helper'!$F$5:$F$3004,"""")&lt;&gt;""""),ROWS(E$5:E1873)),"""")"),"")</f>
        <v/>
      </c>
      <c r="F18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Helper'!$F$5:$F$3004,"""")&lt;&gt;""""),ROWS(F$5:F1873)),IF(AND(LEFT(x,5)=""Pag"&amp;"e "",ISERROR(SEARCH(""–"",x))),x&amp;""–""&amp;REGEXEXTRACT(x,""[0-9]+$""),x)),"""")"),"")</f>
        <v/>
      </c>
      <c r="G1873" s="163"/>
      <c r="H18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Helper'!$F$5:$F$3004,"""")&lt;&gt;""""),ROWS(H$5:H1873)),"""")"),"")</f>
        <v/>
      </c>
    </row>
    <row r="1874" ht="15.75" customHeight="1">
      <c r="A18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Helper'!$F$5:$F$3004,"""")&lt;&gt;""""),ROWS(A$5:A1874)),"""")"),"")</f>
        <v/>
      </c>
      <c r="B18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Helper'!$F$5:$F$3004,"""")&lt;&gt;""""),ROWS(B$5:B1874)),"""")"),"")</f>
        <v/>
      </c>
      <c r="C18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Helper'!$F$5:$F$3004,"""")&lt;&gt;""""),ROWS(C$5:C1874)),"""")"),"")</f>
        <v/>
      </c>
      <c r="D18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Helper'!$F$5:$F$3004,"""")&lt;&gt;""""),ROWS(D$5:D1874)),"""")"),"")</f>
        <v/>
      </c>
      <c r="E18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Helper'!$F$5:$F$3004,"""")&lt;&gt;""""),ROWS(E$5:E1874)),"""")"),"")</f>
        <v/>
      </c>
      <c r="F18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Helper'!$F$5:$F$3004,"""")&lt;&gt;""""),ROWS(F$5:F1874)),IF(AND(LEFT(x,5)=""Pag"&amp;"e "",ISERROR(SEARCH(""–"",x))),x&amp;""–""&amp;REGEXEXTRACT(x,""[0-9]+$""),x)),"""")"),"")</f>
        <v/>
      </c>
      <c r="G1874" s="163"/>
      <c r="H18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Helper'!$F$5:$F$3004,"""")&lt;&gt;""""),ROWS(H$5:H1874)),"""")"),"")</f>
        <v/>
      </c>
    </row>
    <row r="1875" ht="15.75" customHeight="1">
      <c r="A18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Helper'!$F$5:$F$3004,"""")&lt;&gt;""""),ROWS(A$5:A1875)),"""")"),"")</f>
        <v/>
      </c>
      <c r="B18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Helper'!$F$5:$F$3004,"""")&lt;&gt;""""),ROWS(B$5:B1875)),"""")"),"")</f>
        <v/>
      </c>
      <c r="C18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Helper'!$F$5:$F$3004,"""")&lt;&gt;""""),ROWS(C$5:C1875)),"""")"),"")</f>
        <v/>
      </c>
      <c r="D18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Helper'!$F$5:$F$3004,"""")&lt;&gt;""""),ROWS(D$5:D1875)),"""")"),"")</f>
        <v/>
      </c>
      <c r="E18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Helper'!$F$5:$F$3004,"""")&lt;&gt;""""),ROWS(E$5:E1875)),"""")"),"")</f>
        <v/>
      </c>
      <c r="F18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Helper'!$F$5:$F$3004,"""")&lt;&gt;""""),ROWS(F$5:F1875)),IF(AND(LEFT(x,5)=""Pag"&amp;"e "",ISERROR(SEARCH(""–"",x))),x&amp;""–""&amp;REGEXEXTRACT(x,""[0-9]+$""),x)),"""")"),"")</f>
        <v/>
      </c>
      <c r="G1875" s="163"/>
      <c r="H18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Helper'!$F$5:$F$3004,"""")&lt;&gt;""""),ROWS(H$5:H1875)),"""")"),"")</f>
        <v/>
      </c>
    </row>
    <row r="1876" ht="15.75" customHeight="1">
      <c r="A18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Helper'!$F$5:$F$3004,"""")&lt;&gt;""""),ROWS(A$5:A1876)),"""")"),"")</f>
        <v/>
      </c>
      <c r="B18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Helper'!$F$5:$F$3004,"""")&lt;&gt;""""),ROWS(B$5:B1876)),"""")"),"")</f>
        <v/>
      </c>
      <c r="C18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Helper'!$F$5:$F$3004,"""")&lt;&gt;""""),ROWS(C$5:C1876)),"""")"),"")</f>
        <v/>
      </c>
      <c r="D18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Helper'!$F$5:$F$3004,"""")&lt;&gt;""""),ROWS(D$5:D1876)),"""")"),"")</f>
        <v/>
      </c>
      <c r="E18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Helper'!$F$5:$F$3004,"""")&lt;&gt;""""),ROWS(E$5:E1876)),"""")"),"")</f>
        <v/>
      </c>
      <c r="F18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Helper'!$F$5:$F$3004,"""")&lt;&gt;""""),ROWS(F$5:F1876)),IF(AND(LEFT(x,5)=""Pag"&amp;"e "",ISERROR(SEARCH(""–"",x))),x&amp;""–""&amp;REGEXEXTRACT(x,""[0-9]+$""),x)),"""")"),"")</f>
        <v/>
      </c>
      <c r="G1876" s="163"/>
      <c r="H18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Helper'!$F$5:$F$3004,"""")&lt;&gt;""""),ROWS(H$5:H1876)),"""")"),"")</f>
        <v/>
      </c>
    </row>
    <row r="1877" ht="15.75" customHeight="1">
      <c r="A18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Helper'!$F$5:$F$3004,"""")&lt;&gt;""""),ROWS(A$5:A1877)),"""")"),"")</f>
        <v/>
      </c>
      <c r="B18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Helper'!$F$5:$F$3004,"""")&lt;&gt;""""),ROWS(B$5:B1877)),"""")"),"")</f>
        <v/>
      </c>
      <c r="C18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Helper'!$F$5:$F$3004,"""")&lt;&gt;""""),ROWS(C$5:C1877)),"""")"),"")</f>
        <v/>
      </c>
      <c r="D18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Helper'!$F$5:$F$3004,"""")&lt;&gt;""""),ROWS(D$5:D1877)),"""")"),"")</f>
        <v/>
      </c>
      <c r="E18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Helper'!$F$5:$F$3004,"""")&lt;&gt;""""),ROWS(E$5:E1877)),"""")"),"")</f>
        <v/>
      </c>
      <c r="F18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Helper'!$F$5:$F$3004,"""")&lt;&gt;""""),ROWS(F$5:F1877)),IF(AND(LEFT(x,5)=""Pag"&amp;"e "",ISERROR(SEARCH(""–"",x))),x&amp;""–""&amp;REGEXEXTRACT(x,""[0-9]+$""),x)),"""")"),"")</f>
        <v/>
      </c>
      <c r="G1877" s="163"/>
      <c r="H18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Helper'!$F$5:$F$3004,"""")&lt;&gt;""""),ROWS(H$5:H1877)),"""")"),"")</f>
        <v/>
      </c>
    </row>
    <row r="1878" ht="15.75" customHeight="1">
      <c r="A18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Helper'!$F$5:$F$3004,"""")&lt;&gt;""""),ROWS(A$5:A1878)),"""")"),"")</f>
        <v/>
      </c>
      <c r="B18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Helper'!$F$5:$F$3004,"""")&lt;&gt;""""),ROWS(B$5:B1878)),"""")"),"")</f>
        <v/>
      </c>
      <c r="C18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Helper'!$F$5:$F$3004,"""")&lt;&gt;""""),ROWS(C$5:C1878)),"""")"),"")</f>
        <v/>
      </c>
      <c r="D18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Helper'!$F$5:$F$3004,"""")&lt;&gt;""""),ROWS(D$5:D1878)),"""")"),"")</f>
        <v/>
      </c>
      <c r="E18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Helper'!$F$5:$F$3004,"""")&lt;&gt;""""),ROWS(E$5:E1878)),"""")"),"")</f>
        <v/>
      </c>
      <c r="F18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Helper'!$F$5:$F$3004,"""")&lt;&gt;""""),ROWS(F$5:F1878)),IF(AND(LEFT(x,5)=""Pag"&amp;"e "",ISERROR(SEARCH(""–"",x))),x&amp;""–""&amp;REGEXEXTRACT(x,""[0-9]+$""),x)),"""")"),"")</f>
        <v/>
      </c>
      <c r="G1878" s="163"/>
      <c r="H18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Helper'!$F$5:$F$3004,"""")&lt;&gt;""""),ROWS(H$5:H1878)),"""")"),"")</f>
        <v/>
      </c>
    </row>
    <row r="1879" ht="15.75" customHeight="1">
      <c r="A18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Helper'!$F$5:$F$3004,"""")&lt;&gt;""""),ROWS(A$5:A1879)),"""")"),"")</f>
        <v/>
      </c>
      <c r="B18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Helper'!$F$5:$F$3004,"""")&lt;&gt;""""),ROWS(B$5:B1879)),"""")"),"")</f>
        <v/>
      </c>
      <c r="C18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Helper'!$F$5:$F$3004,"""")&lt;&gt;""""),ROWS(C$5:C1879)),"""")"),"")</f>
        <v/>
      </c>
      <c r="D18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Helper'!$F$5:$F$3004,"""")&lt;&gt;""""),ROWS(D$5:D1879)),"""")"),"")</f>
        <v/>
      </c>
      <c r="E18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Helper'!$F$5:$F$3004,"""")&lt;&gt;""""),ROWS(E$5:E1879)),"""")"),"")</f>
        <v/>
      </c>
      <c r="F18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Helper'!$F$5:$F$3004,"""")&lt;&gt;""""),ROWS(F$5:F1879)),IF(AND(LEFT(x,5)=""Pag"&amp;"e "",ISERROR(SEARCH(""–"",x))),x&amp;""–""&amp;REGEXEXTRACT(x,""[0-9]+$""),x)),"""")"),"")</f>
        <v/>
      </c>
      <c r="G1879" s="163"/>
      <c r="H18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Helper'!$F$5:$F$3004,"""")&lt;&gt;""""),ROWS(H$5:H1879)),"""")"),"")</f>
        <v/>
      </c>
    </row>
    <row r="1880" ht="15.75" customHeight="1">
      <c r="A18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Helper'!$F$5:$F$3004,"""")&lt;&gt;""""),ROWS(A$5:A1880)),"""")"),"")</f>
        <v/>
      </c>
      <c r="B18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Helper'!$F$5:$F$3004,"""")&lt;&gt;""""),ROWS(B$5:B1880)),"""")"),"")</f>
        <v/>
      </c>
      <c r="C18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Helper'!$F$5:$F$3004,"""")&lt;&gt;""""),ROWS(C$5:C1880)),"""")"),"")</f>
        <v/>
      </c>
      <c r="D18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Helper'!$F$5:$F$3004,"""")&lt;&gt;""""),ROWS(D$5:D1880)),"""")"),"")</f>
        <v/>
      </c>
      <c r="E18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Helper'!$F$5:$F$3004,"""")&lt;&gt;""""),ROWS(E$5:E1880)),"""")"),"")</f>
        <v/>
      </c>
      <c r="F18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Helper'!$F$5:$F$3004,"""")&lt;&gt;""""),ROWS(F$5:F1880)),IF(AND(LEFT(x,5)=""Pag"&amp;"e "",ISERROR(SEARCH(""–"",x))),x&amp;""–""&amp;REGEXEXTRACT(x,""[0-9]+$""),x)),"""")"),"")</f>
        <v/>
      </c>
      <c r="G1880" s="163"/>
      <c r="H18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Helper'!$F$5:$F$3004,"""")&lt;&gt;""""),ROWS(H$5:H1880)),"""")"),"")</f>
        <v/>
      </c>
    </row>
    <row r="1881" ht="15.75" customHeight="1">
      <c r="A18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Helper'!$F$5:$F$3004,"""")&lt;&gt;""""),ROWS(A$5:A1881)),"""")"),"")</f>
        <v/>
      </c>
      <c r="B18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Helper'!$F$5:$F$3004,"""")&lt;&gt;""""),ROWS(B$5:B1881)),"""")"),"")</f>
        <v/>
      </c>
      <c r="C18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Helper'!$F$5:$F$3004,"""")&lt;&gt;""""),ROWS(C$5:C1881)),"""")"),"")</f>
        <v/>
      </c>
      <c r="D18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Helper'!$F$5:$F$3004,"""")&lt;&gt;""""),ROWS(D$5:D1881)),"""")"),"")</f>
        <v/>
      </c>
      <c r="E18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Helper'!$F$5:$F$3004,"""")&lt;&gt;""""),ROWS(E$5:E1881)),"""")"),"")</f>
        <v/>
      </c>
      <c r="F18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Helper'!$F$5:$F$3004,"""")&lt;&gt;""""),ROWS(F$5:F1881)),IF(AND(LEFT(x,5)=""Pag"&amp;"e "",ISERROR(SEARCH(""–"",x))),x&amp;""–""&amp;REGEXEXTRACT(x,""[0-9]+$""),x)),"""")"),"")</f>
        <v/>
      </c>
      <c r="G1881" s="163"/>
      <c r="H18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Helper'!$F$5:$F$3004,"""")&lt;&gt;""""),ROWS(H$5:H1881)),"""")"),"")</f>
        <v/>
      </c>
    </row>
    <row r="1882" ht="15.75" customHeight="1">
      <c r="A18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Helper'!$F$5:$F$3004,"""")&lt;&gt;""""),ROWS(A$5:A1882)),"""")"),"")</f>
        <v/>
      </c>
      <c r="B18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Helper'!$F$5:$F$3004,"""")&lt;&gt;""""),ROWS(B$5:B1882)),"""")"),"")</f>
        <v/>
      </c>
      <c r="C18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Helper'!$F$5:$F$3004,"""")&lt;&gt;""""),ROWS(C$5:C1882)),"""")"),"")</f>
        <v/>
      </c>
      <c r="D18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Helper'!$F$5:$F$3004,"""")&lt;&gt;""""),ROWS(D$5:D1882)),"""")"),"")</f>
        <v/>
      </c>
      <c r="E18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Helper'!$F$5:$F$3004,"""")&lt;&gt;""""),ROWS(E$5:E1882)),"""")"),"")</f>
        <v/>
      </c>
      <c r="F18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Helper'!$F$5:$F$3004,"""")&lt;&gt;""""),ROWS(F$5:F1882)),IF(AND(LEFT(x,5)=""Pag"&amp;"e "",ISERROR(SEARCH(""–"",x))),x&amp;""–""&amp;REGEXEXTRACT(x,""[0-9]+$""),x)),"""")"),"")</f>
        <v/>
      </c>
      <c r="G1882" s="163"/>
      <c r="H18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Helper'!$F$5:$F$3004,"""")&lt;&gt;""""),ROWS(H$5:H1882)),"""")"),"")</f>
        <v/>
      </c>
    </row>
    <row r="1883" ht="15.75" customHeight="1">
      <c r="A18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Helper'!$F$5:$F$3004,"""")&lt;&gt;""""),ROWS(A$5:A1883)),"""")"),"")</f>
        <v/>
      </c>
      <c r="B18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Helper'!$F$5:$F$3004,"""")&lt;&gt;""""),ROWS(B$5:B1883)),"""")"),"")</f>
        <v/>
      </c>
      <c r="C18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Helper'!$F$5:$F$3004,"""")&lt;&gt;""""),ROWS(C$5:C1883)),"""")"),"")</f>
        <v/>
      </c>
      <c r="D18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Helper'!$F$5:$F$3004,"""")&lt;&gt;""""),ROWS(D$5:D1883)),"""")"),"")</f>
        <v/>
      </c>
      <c r="E18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Helper'!$F$5:$F$3004,"""")&lt;&gt;""""),ROWS(E$5:E1883)),"""")"),"")</f>
        <v/>
      </c>
      <c r="F18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Helper'!$F$5:$F$3004,"""")&lt;&gt;""""),ROWS(F$5:F1883)),IF(AND(LEFT(x,5)=""Pag"&amp;"e "",ISERROR(SEARCH(""–"",x))),x&amp;""–""&amp;REGEXEXTRACT(x,""[0-9]+$""),x)),"""")"),"")</f>
        <v/>
      </c>
      <c r="G1883" s="163"/>
      <c r="H18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Helper'!$F$5:$F$3004,"""")&lt;&gt;""""),ROWS(H$5:H1883)),"""")"),"")</f>
        <v/>
      </c>
    </row>
    <row r="1884" ht="15.75" customHeight="1">
      <c r="A18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Helper'!$F$5:$F$3004,"""")&lt;&gt;""""),ROWS(A$5:A1884)),"""")"),"")</f>
        <v/>
      </c>
      <c r="B18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Helper'!$F$5:$F$3004,"""")&lt;&gt;""""),ROWS(B$5:B1884)),"""")"),"")</f>
        <v/>
      </c>
      <c r="C18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Helper'!$F$5:$F$3004,"""")&lt;&gt;""""),ROWS(C$5:C1884)),"""")"),"")</f>
        <v/>
      </c>
      <c r="D18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Helper'!$F$5:$F$3004,"""")&lt;&gt;""""),ROWS(D$5:D1884)),"""")"),"")</f>
        <v/>
      </c>
      <c r="E18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Helper'!$F$5:$F$3004,"""")&lt;&gt;""""),ROWS(E$5:E1884)),"""")"),"")</f>
        <v/>
      </c>
      <c r="F18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Helper'!$F$5:$F$3004,"""")&lt;&gt;""""),ROWS(F$5:F1884)),IF(AND(LEFT(x,5)=""Pag"&amp;"e "",ISERROR(SEARCH(""–"",x))),x&amp;""–""&amp;REGEXEXTRACT(x,""[0-9]+$""),x)),"""")"),"")</f>
        <v/>
      </c>
      <c r="G1884" s="163"/>
      <c r="H18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Helper'!$F$5:$F$3004,"""")&lt;&gt;""""),ROWS(H$5:H1884)),"""")"),"")</f>
        <v/>
      </c>
    </row>
    <row r="1885" ht="15.75" customHeight="1">
      <c r="A18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Helper'!$F$5:$F$3004,"""")&lt;&gt;""""),ROWS(A$5:A1885)),"""")"),"")</f>
        <v/>
      </c>
      <c r="B18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Helper'!$F$5:$F$3004,"""")&lt;&gt;""""),ROWS(B$5:B1885)),"""")"),"")</f>
        <v/>
      </c>
      <c r="C18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Helper'!$F$5:$F$3004,"""")&lt;&gt;""""),ROWS(C$5:C1885)),"""")"),"")</f>
        <v/>
      </c>
      <c r="D18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Helper'!$F$5:$F$3004,"""")&lt;&gt;""""),ROWS(D$5:D1885)),"""")"),"")</f>
        <v/>
      </c>
      <c r="E18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Helper'!$F$5:$F$3004,"""")&lt;&gt;""""),ROWS(E$5:E1885)),"""")"),"")</f>
        <v/>
      </c>
      <c r="F18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Helper'!$F$5:$F$3004,"""")&lt;&gt;""""),ROWS(F$5:F1885)),IF(AND(LEFT(x,5)=""Pag"&amp;"e "",ISERROR(SEARCH(""–"",x))),x&amp;""–""&amp;REGEXEXTRACT(x,""[0-9]+$""),x)),"""")"),"")</f>
        <v/>
      </c>
      <c r="G1885" s="163"/>
      <c r="H18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Helper'!$F$5:$F$3004,"""")&lt;&gt;""""),ROWS(H$5:H1885)),"""")"),"")</f>
        <v/>
      </c>
    </row>
    <row r="1886" ht="15.75" customHeight="1">
      <c r="A18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Helper'!$F$5:$F$3004,"""")&lt;&gt;""""),ROWS(A$5:A1886)),"""")"),"")</f>
        <v/>
      </c>
      <c r="B18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Helper'!$F$5:$F$3004,"""")&lt;&gt;""""),ROWS(B$5:B1886)),"""")"),"")</f>
        <v/>
      </c>
      <c r="C18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Helper'!$F$5:$F$3004,"""")&lt;&gt;""""),ROWS(C$5:C1886)),"""")"),"")</f>
        <v/>
      </c>
      <c r="D18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Helper'!$F$5:$F$3004,"""")&lt;&gt;""""),ROWS(D$5:D1886)),"""")"),"")</f>
        <v/>
      </c>
      <c r="E18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Helper'!$F$5:$F$3004,"""")&lt;&gt;""""),ROWS(E$5:E1886)),"""")"),"")</f>
        <v/>
      </c>
      <c r="F18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Helper'!$F$5:$F$3004,"""")&lt;&gt;""""),ROWS(F$5:F1886)),IF(AND(LEFT(x,5)=""Pag"&amp;"e "",ISERROR(SEARCH(""–"",x))),x&amp;""–""&amp;REGEXEXTRACT(x,""[0-9]+$""),x)),"""")"),"")</f>
        <v/>
      </c>
      <c r="G1886" s="163"/>
      <c r="H18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Helper'!$F$5:$F$3004,"""")&lt;&gt;""""),ROWS(H$5:H1886)),"""")"),"")</f>
        <v/>
      </c>
    </row>
    <row r="1887" ht="15.75" customHeight="1">
      <c r="A18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Helper'!$F$5:$F$3004,"""")&lt;&gt;""""),ROWS(A$5:A1887)),"""")"),"")</f>
        <v/>
      </c>
      <c r="B18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Helper'!$F$5:$F$3004,"""")&lt;&gt;""""),ROWS(B$5:B1887)),"""")"),"")</f>
        <v/>
      </c>
      <c r="C18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Helper'!$F$5:$F$3004,"""")&lt;&gt;""""),ROWS(C$5:C1887)),"""")"),"")</f>
        <v/>
      </c>
      <c r="D18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Helper'!$F$5:$F$3004,"""")&lt;&gt;""""),ROWS(D$5:D1887)),"""")"),"")</f>
        <v/>
      </c>
      <c r="E18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Helper'!$F$5:$F$3004,"""")&lt;&gt;""""),ROWS(E$5:E1887)),"""")"),"")</f>
        <v/>
      </c>
      <c r="F18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Helper'!$F$5:$F$3004,"""")&lt;&gt;""""),ROWS(F$5:F1887)),IF(AND(LEFT(x,5)=""Pag"&amp;"e "",ISERROR(SEARCH(""–"",x))),x&amp;""–""&amp;REGEXEXTRACT(x,""[0-9]+$""),x)),"""")"),"")</f>
        <v/>
      </c>
      <c r="G1887" s="163"/>
      <c r="H18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Helper'!$F$5:$F$3004,"""")&lt;&gt;""""),ROWS(H$5:H1887)),"""")"),"")</f>
        <v/>
      </c>
    </row>
    <row r="1888" ht="15.75" customHeight="1">
      <c r="A18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Helper'!$F$5:$F$3004,"""")&lt;&gt;""""),ROWS(A$5:A1888)),"""")"),"")</f>
        <v/>
      </c>
      <c r="B18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Helper'!$F$5:$F$3004,"""")&lt;&gt;""""),ROWS(B$5:B1888)),"""")"),"")</f>
        <v/>
      </c>
      <c r="C18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Helper'!$F$5:$F$3004,"""")&lt;&gt;""""),ROWS(C$5:C1888)),"""")"),"")</f>
        <v/>
      </c>
      <c r="D18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Helper'!$F$5:$F$3004,"""")&lt;&gt;""""),ROWS(D$5:D1888)),"""")"),"")</f>
        <v/>
      </c>
      <c r="E18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Helper'!$F$5:$F$3004,"""")&lt;&gt;""""),ROWS(E$5:E1888)),"""")"),"")</f>
        <v/>
      </c>
      <c r="F18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Helper'!$F$5:$F$3004,"""")&lt;&gt;""""),ROWS(F$5:F1888)),IF(AND(LEFT(x,5)=""Pag"&amp;"e "",ISERROR(SEARCH(""–"",x))),x&amp;""–""&amp;REGEXEXTRACT(x,""[0-9]+$""),x)),"""")"),"")</f>
        <v/>
      </c>
      <c r="G1888" s="163"/>
      <c r="H18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Helper'!$F$5:$F$3004,"""")&lt;&gt;""""),ROWS(H$5:H1888)),"""")"),"")</f>
        <v/>
      </c>
    </row>
    <row r="1889" ht="15.75" customHeight="1">
      <c r="A18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Helper'!$F$5:$F$3004,"""")&lt;&gt;""""),ROWS(A$5:A1889)),"""")"),"")</f>
        <v/>
      </c>
      <c r="B18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Helper'!$F$5:$F$3004,"""")&lt;&gt;""""),ROWS(B$5:B1889)),"""")"),"")</f>
        <v/>
      </c>
      <c r="C18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Helper'!$F$5:$F$3004,"""")&lt;&gt;""""),ROWS(C$5:C1889)),"""")"),"")</f>
        <v/>
      </c>
      <c r="D18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Helper'!$F$5:$F$3004,"""")&lt;&gt;""""),ROWS(D$5:D1889)),"""")"),"")</f>
        <v/>
      </c>
      <c r="E18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Helper'!$F$5:$F$3004,"""")&lt;&gt;""""),ROWS(E$5:E1889)),"""")"),"")</f>
        <v/>
      </c>
      <c r="F18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Helper'!$F$5:$F$3004,"""")&lt;&gt;""""),ROWS(F$5:F1889)),IF(AND(LEFT(x,5)=""Pag"&amp;"e "",ISERROR(SEARCH(""–"",x))),x&amp;""–""&amp;REGEXEXTRACT(x,""[0-9]+$""),x)),"""")"),"")</f>
        <v/>
      </c>
      <c r="G1889" s="163"/>
      <c r="H18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Helper'!$F$5:$F$3004,"""")&lt;&gt;""""),ROWS(H$5:H1889)),"""")"),"")</f>
        <v/>
      </c>
    </row>
    <row r="1890" ht="15.75" customHeight="1">
      <c r="A18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Helper'!$F$5:$F$3004,"""")&lt;&gt;""""),ROWS(A$5:A1890)),"""")"),"")</f>
        <v/>
      </c>
      <c r="B18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Helper'!$F$5:$F$3004,"""")&lt;&gt;""""),ROWS(B$5:B1890)),"""")"),"")</f>
        <v/>
      </c>
      <c r="C18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Helper'!$F$5:$F$3004,"""")&lt;&gt;""""),ROWS(C$5:C1890)),"""")"),"")</f>
        <v/>
      </c>
      <c r="D18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Helper'!$F$5:$F$3004,"""")&lt;&gt;""""),ROWS(D$5:D1890)),"""")"),"")</f>
        <v/>
      </c>
      <c r="E18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Helper'!$F$5:$F$3004,"""")&lt;&gt;""""),ROWS(E$5:E1890)),"""")"),"")</f>
        <v/>
      </c>
      <c r="F18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Helper'!$F$5:$F$3004,"""")&lt;&gt;""""),ROWS(F$5:F1890)),IF(AND(LEFT(x,5)=""Pag"&amp;"e "",ISERROR(SEARCH(""–"",x))),x&amp;""–""&amp;REGEXEXTRACT(x,""[0-9]+$""),x)),"""")"),"")</f>
        <v/>
      </c>
      <c r="G1890" s="163"/>
      <c r="H18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Helper'!$F$5:$F$3004,"""")&lt;&gt;""""),ROWS(H$5:H1890)),"""")"),"")</f>
        <v/>
      </c>
    </row>
    <row r="1891" ht="15.75" customHeight="1">
      <c r="A18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Helper'!$F$5:$F$3004,"""")&lt;&gt;""""),ROWS(A$5:A1891)),"""")"),"")</f>
        <v/>
      </c>
      <c r="B18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Helper'!$F$5:$F$3004,"""")&lt;&gt;""""),ROWS(B$5:B1891)),"""")"),"")</f>
        <v/>
      </c>
      <c r="C18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Helper'!$F$5:$F$3004,"""")&lt;&gt;""""),ROWS(C$5:C1891)),"""")"),"")</f>
        <v/>
      </c>
      <c r="D18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Helper'!$F$5:$F$3004,"""")&lt;&gt;""""),ROWS(D$5:D1891)),"""")"),"")</f>
        <v/>
      </c>
      <c r="E18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Helper'!$F$5:$F$3004,"""")&lt;&gt;""""),ROWS(E$5:E1891)),"""")"),"")</f>
        <v/>
      </c>
      <c r="F18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Helper'!$F$5:$F$3004,"""")&lt;&gt;""""),ROWS(F$5:F1891)),IF(AND(LEFT(x,5)=""Pag"&amp;"e "",ISERROR(SEARCH(""–"",x))),x&amp;""–""&amp;REGEXEXTRACT(x,""[0-9]+$""),x)),"""")"),"")</f>
        <v/>
      </c>
      <c r="G1891" s="163"/>
      <c r="H18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Helper'!$F$5:$F$3004,"""")&lt;&gt;""""),ROWS(H$5:H1891)),"""")"),"")</f>
        <v/>
      </c>
    </row>
    <row r="1892" ht="15.75" customHeight="1">
      <c r="A18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Helper'!$F$5:$F$3004,"""")&lt;&gt;""""),ROWS(A$5:A1892)),"""")"),"")</f>
        <v/>
      </c>
      <c r="B18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Helper'!$F$5:$F$3004,"""")&lt;&gt;""""),ROWS(B$5:B1892)),"""")"),"")</f>
        <v/>
      </c>
      <c r="C18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Helper'!$F$5:$F$3004,"""")&lt;&gt;""""),ROWS(C$5:C1892)),"""")"),"")</f>
        <v/>
      </c>
      <c r="D18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Helper'!$F$5:$F$3004,"""")&lt;&gt;""""),ROWS(D$5:D1892)),"""")"),"")</f>
        <v/>
      </c>
      <c r="E18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Helper'!$F$5:$F$3004,"""")&lt;&gt;""""),ROWS(E$5:E1892)),"""")"),"")</f>
        <v/>
      </c>
      <c r="F18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Helper'!$F$5:$F$3004,"""")&lt;&gt;""""),ROWS(F$5:F1892)),IF(AND(LEFT(x,5)=""Pag"&amp;"e "",ISERROR(SEARCH(""–"",x))),x&amp;""–""&amp;REGEXEXTRACT(x,""[0-9]+$""),x)),"""")"),"")</f>
        <v/>
      </c>
      <c r="G1892" s="163"/>
      <c r="H18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Helper'!$F$5:$F$3004,"""")&lt;&gt;""""),ROWS(H$5:H1892)),"""")"),"")</f>
        <v/>
      </c>
    </row>
    <row r="1893" ht="15.75" customHeight="1">
      <c r="A18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Helper'!$F$5:$F$3004,"""")&lt;&gt;""""),ROWS(A$5:A1893)),"""")"),"")</f>
        <v/>
      </c>
      <c r="B18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Helper'!$F$5:$F$3004,"""")&lt;&gt;""""),ROWS(B$5:B1893)),"""")"),"")</f>
        <v/>
      </c>
      <c r="C18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Helper'!$F$5:$F$3004,"""")&lt;&gt;""""),ROWS(C$5:C1893)),"""")"),"")</f>
        <v/>
      </c>
      <c r="D18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Helper'!$F$5:$F$3004,"""")&lt;&gt;""""),ROWS(D$5:D1893)),"""")"),"")</f>
        <v/>
      </c>
      <c r="E18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Helper'!$F$5:$F$3004,"""")&lt;&gt;""""),ROWS(E$5:E1893)),"""")"),"")</f>
        <v/>
      </c>
      <c r="F18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Helper'!$F$5:$F$3004,"""")&lt;&gt;""""),ROWS(F$5:F1893)),IF(AND(LEFT(x,5)=""Pag"&amp;"e "",ISERROR(SEARCH(""–"",x))),x&amp;""–""&amp;REGEXEXTRACT(x,""[0-9]+$""),x)),"""")"),"")</f>
        <v/>
      </c>
      <c r="G1893" s="163"/>
      <c r="H18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Helper'!$F$5:$F$3004,"""")&lt;&gt;""""),ROWS(H$5:H1893)),"""")"),"")</f>
        <v/>
      </c>
    </row>
    <row r="1894" ht="15.75" customHeight="1">
      <c r="A18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Helper'!$F$5:$F$3004,"""")&lt;&gt;""""),ROWS(A$5:A1894)),"""")"),"")</f>
        <v/>
      </c>
      <c r="B18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Helper'!$F$5:$F$3004,"""")&lt;&gt;""""),ROWS(B$5:B1894)),"""")"),"")</f>
        <v/>
      </c>
      <c r="C18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Helper'!$F$5:$F$3004,"""")&lt;&gt;""""),ROWS(C$5:C1894)),"""")"),"")</f>
        <v/>
      </c>
      <c r="D18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Helper'!$F$5:$F$3004,"""")&lt;&gt;""""),ROWS(D$5:D1894)),"""")"),"")</f>
        <v/>
      </c>
      <c r="E18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Helper'!$F$5:$F$3004,"""")&lt;&gt;""""),ROWS(E$5:E1894)),"""")"),"")</f>
        <v/>
      </c>
      <c r="F18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Helper'!$F$5:$F$3004,"""")&lt;&gt;""""),ROWS(F$5:F1894)),IF(AND(LEFT(x,5)=""Pag"&amp;"e "",ISERROR(SEARCH(""–"",x))),x&amp;""–""&amp;REGEXEXTRACT(x,""[0-9]+$""),x)),"""")"),"")</f>
        <v/>
      </c>
      <c r="G1894" s="163"/>
      <c r="H18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Helper'!$F$5:$F$3004,"""")&lt;&gt;""""),ROWS(H$5:H1894)),"""")"),"")</f>
        <v/>
      </c>
    </row>
    <row r="1895" ht="15.75" customHeight="1">
      <c r="A18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Helper'!$F$5:$F$3004,"""")&lt;&gt;""""),ROWS(A$5:A1895)),"""")"),"")</f>
        <v/>
      </c>
      <c r="B18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Helper'!$F$5:$F$3004,"""")&lt;&gt;""""),ROWS(B$5:B1895)),"""")"),"")</f>
        <v/>
      </c>
      <c r="C18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Helper'!$F$5:$F$3004,"""")&lt;&gt;""""),ROWS(C$5:C1895)),"""")"),"")</f>
        <v/>
      </c>
      <c r="D18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Helper'!$F$5:$F$3004,"""")&lt;&gt;""""),ROWS(D$5:D1895)),"""")"),"")</f>
        <v/>
      </c>
      <c r="E18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Helper'!$F$5:$F$3004,"""")&lt;&gt;""""),ROWS(E$5:E1895)),"""")"),"")</f>
        <v/>
      </c>
      <c r="F18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Helper'!$F$5:$F$3004,"""")&lt;&gt;""""),ROWS(F$5:F1895)),IF(AND(LEFT(x,5)=""Pag"&amp;"e "",ISERROR(SEARCH(""–"",x))),x&amp;""–""&amp;REGEXEXTRACT(x,""[0-9]+$""),x)),"""")"),"")</f>
        <v/>
      </c>
      <c r="G1895" s="163"/>
      <c r="H18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Helper'!$F$5:$F$3004,"""")&lt;&gt;""""),ROWS(H$5:H1895)),"""")"),"")</f>
        <v/>
      </c>
    </row>
    <row r="1896" ht="15.75" customHeight="1">
      <c r="A18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Helper'!$F$5:$F$3004,"""")&lt;&gt;""""),ROWS(A$5:A1896)),"""")"),"")</f>
        <v/>
      </c>
      <c r="B18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Helper'!$F$5:$F$3004,"""")&lt;&gt;""""),ROWS(B$5:B1896)),"""")"),"")</f>
        <v/>
      </c>
      <c r="C18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Helper'!$F$5:$F$3004,"""")&lt;&gt;""""),ROWS(C$5:C1896)),"""")"),"")</f>
        <v/>
      </c>
      <c r="D18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Helper'!$F$5:$F$3004,"""")&lt;&gt;""""),ROWS(D$5:D1896)),"""")"),"")</f>
        <v/>
      </c>
      <c r="E18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Helper'!$F$5:$F$3004,"""")&lt;&gt;""""),ROWS(E$5:E1896)),"""")"),"")</f>
        <v/>
      </c>
      <c r="F18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Helper'!$F$5:$F$3004,"""")&lt;&gt;""""),ROWS(F$5:F1896)),IF(AND(LEFT(x,5)=""Pag"&amp;"e "",ISERROR(SEARCH(""–"",x))),x&amp;""–""&amp;REGEXEXTRACT(x,""[0-9]+$""),x)),"""")"),"")</f>
        <v/>
      </c>
      <c r="G1896" s="163"/>
      <c r="H18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Helper'!$F$5:$F$3004,"""")&lt;&gt;""""),ROWS(H$5:H1896)),"""")"),"")</f>
        <v/>
      </c>
    </row>
    <row r="1897" ht="15.75" customHeight="1">
      <c r="A18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Helper'!$F$5:$F$3004,"""")&lt;&gt;""""),ROWS(A$5:A1897)),"""")"),"")</f>
        <v/>
      </c>
      <c r="B18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Helper'!$F$5:$F$3004,"""")&lt;&gt;""""),ROWS(B$5:B1897)),"""")"),"")</f>
        <v/>
      </c>
      <c r="C18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Helper'!$F$5:$F$3004,"""")&lt;&gt;""""),ROWS(C$5:C1897)),"""")"),"")</f>
        <v/>
      </c>
      <c r="D18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Helper'!$F$5:$F$3004,"""")&lt;&gt;""""),ROWS(D$5:D1897)),"""")"),"")</f>
        <v/>
      </c>
      <c r="E18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Helper'!$F$5:$F$3004,"""")&lt;&gt;""""),ROWS(E$5:E1897)),"""")"),"")</f>
        <v/>
      </c>
      <c r="F18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Helper'!$F$5:$F$3004,"""")&lt;&gt;""""),ROWS(F$5:F1897)),IF(AND(LEFT(x,5)=""Pag"&amp;"e "",ISERROR(SEARCH(""–"",x))),x&amp;""–""&amp;REGEXEXTRACT(x,""[0-9]+$""),x)),"""")"),"")</f>
        <v/>
      </c>
      <c r="G1897" s="163"/>
      <c r="H18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Helper'!$F$5:$F$3004,"""")&lt;&gt;""""),ROWS(H$5:H1897)),"""")"),"")</f>
        <v/>
      </c>
    </row>
    <row r="1898" ht="15.75" customHeight="1">
      <c r="A18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Helper'!$F$5:$F$3004,"""")&lt;&gt;""""),ROWS(A$5:A1898)),"""")"),"")</f>
        <v/>
      </c>
      <c r="B18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Helper'!$F$5:$F$3004,"""")&lt;&gt;""""),ROWS(B$5:B1898)),"""")"),"")</f>
        <v/>
      </c>
      <c r="C18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Helper'!$F$5:$F$3004,"""")&lt;&gt;""""),ROWS(C$5:C1898)),"""")"),"")</f>
        <v/>
      </c>
      <c r="D18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Helper'!$F$5:$F$3004,"""")&lt;&gt;""""),ROWS(D$5:D1898)),"""")"),"")</f>
        <v/>
      </c>
      <c r="E18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Helper'!$F$5:$F$3004,"""")&lt;&gt;""""),ROWS(E$5:E1898)),"""")"),"")</f>
        <v/>
      </c>
      <c r="F18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Helper'!$F$5:$F$3004,"""")&lt;&gt;""""),ROWS(F$5:F1898)),IF(AND(LEFT(x,5)=""Pag"&amp;"e "",ISERROR(SEARCH(""–"",x))),x&amp;""–""&amp;REGEXEXTRACT(x,""[0-9]+$""),x)),"""")"),"")</f>
        <v/>
      </c>
      <c r="G1898" s="163"/>
      <c r="H18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Helper'!$F$5:$F$3004,"""")&lt;&gt;""""),ROWS(H$5:H1898)),"""")"),"")</f>
        <v/>
      </c>
    </row>
    <row r="1899" ht="15.75" customHeight="1">
      <c r="A18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Helper'!$F$5:$F$3004,"""")&lt;&gt;""""),ROWS(A$5:A1899)),"""")"),"")</f>
        <v/>
      </c>
      <c r="B18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Helper'!$F$5:$F$3004,"""")&lt;&gt;""""),ROWS(B$5:B1899)),"""")"),"")</f>
        <v/>
      </c>
      <c r="C18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Helper'!$F$5:$F$3004,"""")&lt;&gt;""""),ROWS(C$5:C1899)),"""")"),"")</f>
        <v/>
      </c>
      <c r="D18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Helper'!$F$5:$F$3004,"""")&lt;&gt;""""),ROWS(D$5:D1899)),"""")"),"")</f>
        <v/>
      </c>
      <c r="E18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Helper'!$F$5:$F$3004,"""")&lt;&gt;""""),ROWS(E$5:E1899)),"""")"),"")</f>
        <v/>
      </c>
      <c r="F18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Helper'!$F$5:$F$3004,"""")&lt;&gt;""""),ROWS(F$5:F1899)),IF(AND(LEFT(x,5)=""Pag"&amp;"e "",ISERROR(SEARCH(""–"",x))),x&amp;""–""&amp;REGEXEXTRACT(x,""[0-9]+$""),x)),"""")"),"")</f>
        <v/>
      </c>
      <c r="G1899" s="163"/>
      <c r="H18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Helper'!$F$5:$F$3004,"""")&lt;&gt;""""),ROWS(H$5:H1899)),"""")"),"")</f>
        <v/>
      </c>
    </row>
    <row r="1900" ht="15.75" customHeight="1">
      <c r="A19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Helper'!$F$5:$F$3004,"""")&lt;&gt;""""),ROWS(A$5:A1900)),"""")"),"")</f>
        <v/>
      </c>
      <c r="B19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Helper'!$F$5:$F$3004,"""")&lt;&gt;""""),ROWS(B$5:B1900)),"""")"),"")</f>
        <v/>
      </c>
      <c r="C19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Helper'!$F$5:$F$3004,"""")&lt;&gt;""""),ROWS(C$5:C1900)),"""")"),"")</f>
        <v/>
      </c>
      <c r="D19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Helper'!$F$5:$F$3004,"""")&lt;&gt;""""),ROWS(D$5:D1900)),"""")"),"")</f>
        <v/>
      </c>
      <c r="E19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Helper'!$F$5:$F$3004,"""")&lt;&gt;""""),ROWS(E$5:E1900)),"""")"),"")</f>
        <v/>
      </c>
      <c r="F19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Helper'!$F$5:$F$3004,"""")&lt;&gt;""""),ROWS(F$5:F1900)),IF(AND(LEFT(x,5)=""Pag"&amp;"e "",ISERROR(SEARCH(""–"",x))),x&amp;""–""&amp;REGEXEXTRACT(x,""[0-9]+$""),x)),"""")"),"")</f>
        <v/>
      </c>
      <c r="G1900" s="163"/>
      <c r="H19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Helper'!$F$5:$F$3004,"""")&lt;&gt;""""),ROWS(H$5:H1900)),"""")"),"")</f>
        <v/>
      </c>
    </row>
    <row r="1901" ht="15.75" customHeight="1">
      <c r="A19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Helper'!$F$5:$F$3004,"""")&lt;&gt;""""),ROWS(A$5:A1901)),"""")"),"")</f>
        <v/>
      </c>
      <c r="B19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Helper'!$F$5:$F$3004,"""")&lt;&gt;""""),ROWS(B$5:B1901)),"""")"),"")</f>
        <v/>
      </c>
      <c r="C19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Helper'!$F$5:$F$3004,"""")&lt;&gt;""""),ROWS(C$5:C1901)),"""")"),"")</f>
        <v/>
      </c>
      <c r="D19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Helper'!$F$5:$F$3004,"""")&lt;&gt;""""),ROWS(D$5:D1901)),"""")"),"")</f>
        <v/>
      </c>
      <c r="E19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Helper'!$F$5:$F$3004,"""")&lt;&gt;""""),ROWS(E$5:E1901)),"""")"),"")</f>
        <v/>
      </c>
      <c r="F19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Helper'!$F$5:$F$3004,"""")&lt;&gt;""""),ROWS(F$5:F1901)),IF(AND(LEFT(x,5)=""Pag"&amp;"e "",ISERROR(SEARCH(""–"",x))),x&amp;""–""&amp;REGEXEXTRACT(x,""[0-9]+$""),x)),"""")"),"")</f>
        <v/>
      </c>
      <c r="G1901" s="163"/>
      <c r="H19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Helper'!$F$5:$F$3004,"""")&lt;&gt;""""),ROWS(H$5:H1901)),"""")"),"")</f>
        <v/>
      </c>
    </row>
    <row r="1902" ht="15.75" customHeight="1">
      <c r="A19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Helper'!$F$5:$F$3004,"""")&lt;&gt;""""),ROWS(A$5:A1902)),"""")"),"")</f>
        <v/>
      </c>
      <c r="B19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Helper'!$F$5:$F$3004,"""")&lt;&gt;""""),ROWS(B$5:B1902)),"""")"),"")</f>
        <v/>
      </c>
      <c r="C19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Helper'!$F$5:$F$3004,"""")&lt;&gt;""""),ROWS(C$5:C1902)),"""")"),"")</f>
        <v/>
      </c>
      <c r="D19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Helper'!$F$5:$F$3004,"""")&lt;&gt;""""),ROWS(D$5:D1902)),"""")"),"")</f>
        <v/>
      </c>
      <c r="E19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Helper'!$F$5:$F$3004,"""")&lt;&gt;""""),ROWS(E$5:E1902)),"""")"),"")</f>
        <v/>
      </c>
      <c r="F19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Helper'!$F$5:$F$3004,"""")&lt;&gt;""""),ROWS(F$5:F1902)),IF(AND(LEFT(x,5)=""Pag"&amp;"e "",ISERROR(SEARCH(""–"",x))),x&amp;""–""&amp;REGEXEXTRACT(x,""[0-9]+$""),x)),"""")"),"")</f>
        <v/>
      </c>
      <c r="G1902" s="163"/>
      <c r="H19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Helper'!$F$5:$F$3004,"""")&lt;&gt;""""),ROWS(H$5:H1902)),"""")"),"")</f>
        <v/>
      </c>
    </row>
    <row r="1903" ht="15.75" customHeight="1">
      <c r="A19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Helper'!$F$5:$F$3004,"""")&lt;&gt;""""),ROWS(A$5:A1903)),"""")"),"")</f>
        <v/>
      </c>
      <c r="B19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Helper'!$F$5:$F$3004,"""")&lt;&gt;""""),ROWS(B$5:B1903)),"""")"),"")</f>
        <v/>
      </c>
      <c r="C19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Helper'!$F$5:$F$3004,"""")&lt;&gt;""""),ROWS(C$5:C1903)),"""")"),"")</f>
        <v/>
      </c>
      <c r="D19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Helper'!$F$5:$F$3004,"""")&lt;&gt;""""),ROWS(D$5:D1903)),"""")"),"")</f>
        <v/>
      </c>
      <c r="E19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Helper'!$F$5:$F$3004,"""")&lt;&gt;""""),ROWS(E$5:E1903)),"""")"),"")</f>
        <v/>
      </c>
      <c r="F19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Helper'!$F$5:$F$3004,"""")&lt;&gt;""""),ROWS(F$5:F1903)),IF(AND(LEFT(x,5)=""Pag"&amp;"e "",ISERROR(SEARCH(""–"",x))),x&amp;""–""&amp;REGEXEXTRACT(x,""[0-9]+$""),x)),"""")"),"")</f>
        <v/>
      </c>
      <c r="G1903" s="163"/>
      <c r="H19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Helper'!$F$5:$F$3004,"""")&lt;&gt;""""),ROWS(H$5:H1903)),"""")"),"")</f>
        <v/>
      </c>
    </row>
    <row r="1904" ht="15.75" customHeight="1">
      <c r="A19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Helper'!$F$5:$F$3004,"""")&lt;&gt;""""),ROWS(A$5:A1904)),"""")"),"")</f>
        <v/>
      </c>
      <c r="B19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Helper'!$F$5:$F$3004,"""")&lt;&gt;""""),ROWS(B$5:B1904)),"""")"),"")</f>
        <v/>
      </c>
      <c r="C19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Helper'!$F$5:$F$3004,"""")&lt;&gt;""""),ROWS(C$5:C1904)),"""")"),"")</f>
        <v/>
      </c>
      <c r="D19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Helper'!$F$5:$F$3004,"""")&lt;&gt;""""),ROWS(D$5:D1904)),"""")"),"")</f>
        <v/>
      </c>
      <c r="E19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Helper'!$F$5:$F$3004,"""")&lt;&gt;""""),ROWS(E$5:E1904)),"""")"),"")</f>
        <v/>
      </c>
      <c r="F19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Helper'!$F$5:$F$3004,"""")&lt;&gt;""""),ROWS(F$5:F1904)),IF(AND(LEFT(x,5)=""Pag"&amp;"e "",ISERROR(SEARCH(""–"",x))),x&amp;""–""&amp;REGEXEXTRACT(x,""[0-9]+$""),x)),"""")"),"")</f>
        <v/>
      </c>
      <c r="G1904" s="163"/>
      <c r="H19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Helper'!$F$5:$F$3004,"""")&lt;&gt;""""),ROWS(H$5:H1904)),"""")"),"")</f>
        <v/>
      </c>
    </row>
    <row r="1905" ht="15.75" customHeight="1">
      <c r="A19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Helper'!$F$5:$F$3004,"""")&lt;&gt;""""),ROWS(A$5:A1905)),"""")"),"")</f>
        <v/>
      </c>
      <c r="B19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Helper'!$F$5:$F$3004,"""")&lt;&gt;""""),ROWS(B$5:B1905)),"""")"),"")</f>
        <v/>
      </c>
      <c r="C19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Helper'!$F$5:$F$3004,"""")&lt;&gt;""""),ROWS(C$5:C1905)),"""")"),"")</f>
        <v/>
      </c>
      <c r="D19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Helper'!$F$5:$F$3004,"""")&lt;&gt;""""),ROWS(D$5:D1905)),"""")"),"")</f>
        <v/>
      </c>
      <c r="E19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Helper'!$F$5:$F$3004,"""")&lt;&gt;""""),ROWS(E$5:E1905)),"""")"),"")</f>
        <v/>
      </c>
      <c r="F19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Helper'!$F$5:$F$3004,"""")&lt;&gt;""""),ROWS(F$5:F1905)),IF(AND(LEFT(x,5)=""Pag"&amp;"e "",ISERROR(SEARCH(""–"",x))),x&amp;""–""&amp;REGEXEXTRACT(x,""[0-9]+$""),x)),"""")"),"")</f>
        <v/>
      </c>
      <c r="G1905" s="163"/>
      <c r="H19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Helper'!$F$5:$F$3004,"""")&lt;&gt;""""),ROWS(H$5:H1905)),"""")"),"")</f>
        <v/>
      </c>
    </row>
    <row r="1906" ht="15.75" customHeight="1">
      <c r="A19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Helper'!$F$5:$F$3004,"""")&lt;&gt;""""),ROWS(A$5:A1906)),"""")"),"")</f>
        <v/>
      </c>
      <c r="B19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Helper'!$F$5:$F$3004,"""")&lt;&gt;""""),ROWS(B$5:B1906)),"""")"),"")</f>
        <v/>
      </c>
      <c r="C19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Helper'!$F$5:$F$3004,"""")&lt;&gt;""""),ROWS(C$5:C1906)),"""")"),"")</f>
        <v/>
      </c>
      <c r="D19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Helper'!$F$5:$F$3004,"""")&lt;&gt;""""),ROWS(D$5:D1906)),"""")"),"")</f>
        <v/>
      </c>
      <c r="E19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Helper'!$F$5:$F$3004,"""")&lt;&gt;""""),ROWS(E$5:E1906)),"""")"),"")</f>
        <v/>
      </c>
      <c r="F19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Helper'!$F$5:$F$3004,"""")&lt;&gt;""""),ROWS(F$5:F1906)),IF(AND(LEFT(x,5)=""Pag"&amp;"e "",ISERROR(SEARCH(""–"",x))),x&amp;""–""&amp;REGEXEXTRACT(x,""[0-9]+$""),x)),"""")"),"")</f>
        <v/>
      </c>
      <c r="G1906" s="163"/>
      <c r="H19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Helper'!$F$5:$F$3004,"""")&lt;&gt;""""),ROWS(H$5:H1906)),"""")"),"")</f>
        <v/>
      </c>
    </row>
    <row r="1907" ht="15.75" customHeight="1">
      <c r="A19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Helper'!$F$5:$F$3004,"""")&lt;&gt;""""),ROWS(A$5:A1907)),"""")"),"")</f>
        <v/>
      </c>
      <c r="B19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Helper'!$F$5:$F$3004,"""")&lt;&gt;""""),ROWS(B$5:B1907)),"""")"),"")</f>
        <v/>
      </c>
      <c r="C19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Helper'!$F$5:$F$3004,"""")&lt;&gt;""""),ROWS(C$5:C1907)),"""")"),"")</f>
        <v/>
      </c>
      <c r="D19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Helper'!$F$5:$F$3004,"""")&lt;&gt;""""),ROWS(D$5:D1907)),"""")"),"")</f>
        <v/>
      </c>
      <c r="E19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Helper'!$F$5:$F$3004,"""")&lt;&gt;""""),ROWS(E$5:E1907)),"""")"),"")</f>
        <v/>
      </c>
      <c r="F19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Helper'!$F$5:$F$3004,"""")&lt;&gt;""""),ROWS(F$5:F1907)),IF(AND(LEFT(x,5)=""Pag"&amp;"e "",ISERROR(SEARCH(""–"",x))),x&amp;""–""&amp;REGEXEXTRACT(x,""[0-9]+$""),x)),"""")"),"")</f>
        <v/>
      </c>
      <c r="G1907" s="163"/>
      <c r="H19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Helper'!$F$5:$F$3004,"""")&lt;&gt;""""),ROWS(H$5:H1907)),"""")"),"")</f>
        <v/>
      </c>
    </row>
    <row r="1908" ht="15.75" customHeight="1">
      <c r="A19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Helper'!$F$5:$F$3004,"""")&lt;&gt;""""),ROWS(A$5:A1908)),"""")"),"")</f>
        <v/>
      </c>
      <c r="B19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Helper'!$F$5:$F$3004,"""")&lt;&gt;""""),ROWS(B$5:B1908)),"""")"),"")</f>
        <v/>
      </c>
      <c r="C19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Helper'!$F$5:$F$3004,"""")&lt;&gt;""""),ROWS(C$5:C1908)),"""")"),"")</f>
        <v/>
      </c>
      <c r="D19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Helper'!$F$5:$F$3004,"""")&lt;&gt;""""),ROWS(D$5:D1908)),"""")"),"")</f>
        <v/>
      </c>
      <c r="E19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Helper'!$F$5:$F$3004,"""")&lt;&gt;""""),ROWS(E$5:E1908)),"""")"),"")</f>
        <v/>
      </c>
      <c r="F19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Helper'!$F$5:$F$3004,"""")&lt;&gt;""""),ROWS(F$5:F1908)),IF(AND(LEFT(x,5)=""Pag"&amp;"e "",ISERROR(SEARCH(""–"",x))),x&amp;""–""&amp;REGEXEXTRACT(x,""[0-9]+$""),x)),"""")"),"")</f>
        <v/>
      </c>
      <c r="G1908" s="163"/>
      <c r="H19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Helper'!$F$5:$F$3004,"""")&lt;&gt;""""),ROWS(H$5:H1908)),"""")"),"")</f>
        <v/>
      </c>
    </row>
    <row r="1909" ht="15.75" customHeight="1">
      <c r="A19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Helper'!$F$5:$F$3004,"""")&lt;&gt;""""),ROWS(A$5:A1909)),"""")"),"")</f>
        <v/>
      </c>
      <c r="B19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Helper'!$F$5:$F$3004,"""")&lt;&gt;""""),ROWS(B$5:B1909)),"""")"),"")</f>
        <v/>
      </c>
      <c r="C19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Helper'!$F$5:$F$3004,"""")&lt;&gt;""""),ROWS(C$5:C1909)),"""")"),"")</f>
        <v/>
      </c>
      <c r="D19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Helper'!$F$5:$F$3004,"""")&lt;&gt;""""),ROWS(D$5:D1909)),"""")"),"")</f>
        <v/>
      </c>
      <c r="E19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Helper'!$F$5:$F$3004,"""")&lt;&gt;""""),ROWS(E$5:E1909)),"""")"),"")</f>
        <v/>
      </c>
      <c r="F19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Helper'!$F$5:$F$3004,"""")&lt;&gt;""""),ROWS(F$5:F1909)),IF(AND(LEFT(x,5)=""Pag"&amp;"e "",ISERROR(SEARCH(""–"",x))),x&amp;""–""&amp;REGEXEXTRACT(x,""[0-9]+$""),x)),"""")"),"")</f>
        <v/>
      </c>
      <c r="G1909" s="163"/>
      <c r="H19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Helper'!$F$5:$F$3004,"""")&lt;&gt;""""),ROWS(H$5:H1909)),"""")"),"")</f>
        <v/>
      </c>
    </row>
    <row r="1910" ht="15.75" customHeight="1">
      <c r="A19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Helper'!$F$5:$F$3004,"""")&lt;&gt;""""),ROWS(A$5:A1910)),"""")"),"")</f>
        <v/>
      </c>
      <c r="B19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Helper'!$F$5:$F$3004,"""")&lt;&gt;""""),ROWS(B$5:B1910)),"""")"),"")</f>
        <v/>
      </c>
      <c r="C19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Helper'!$F$5:$F$3004,"""")&lt;&gt;""""),ROWS(C$5:C1910)),"""")"),"")</f>
        <v/>
      </c>
      <c r="D19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Helper'!$F$5:$F$3004,"""")&lt;&gt;""""),ROWS(D$5:D1910)),"""")"),"")</f>
        <v/>
      </c>
      <c r="E19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Helper'!$F$5:$F$3004,"""")&lt;&gt;""""),ROWS(E$5:E1910)),"""")"),"")</f>
        <v/>
      </c>
      <c r="F19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Helper'!$F$5:$F$3004,"""")&lt;&gt;""""),ROWS(F$5:F1910)),IF(AND(LEFT(x,5)=""Pag"&amp;"e "",ISERROR(SEARCH(""–"",x))),x&amp;""–""&amp;REGEXEXTRACT(x,""[0-9]+$""),x)),"""")"),"")</f>
        <v/>
      </c>
      <c r="G1910" s="163"/>
      <c r="H19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Helper'!$F$5:$F$3004,"""")&lt;&gt;""""),ROWS(H$5:H1910)),"""")"),"")</f>
        <v/>
      </c>
    </row>
    <row r="1911" ht="15.75" customHeight="1">
      <c r="A19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Helper'!$F$5:$F$3004,"""")&lt;&gt;""""),ROWS(A$5:A1911)),"""")"),"")</f>
        <v/>
      </c>
      <c r="B19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Helper'!$F$5:$F$3004,"""")&lt;&gt;""""),ROWS(B$5:B1911)),"""")"),"")</f>
        <v/>
      </c>
      <c r="C19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Helper'!$F$5:$F$3004,"""")&lt;&gt;""""),ROWS(C$5:C1911)),"""")"),"")</f>
        <v/>
      </c>
      <c r="D19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Helper'!$F$5:$F$3004,"""")&lt;&gt;""""),ROWS(D$5:D1911)),"""")"),"")</f>
        <v/>
      </c>
      <c r="E19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Helper'!$F$5:$F$3004,"""")&lt;&gt;""""),ROWS(E$5:E1911)),"""")"),"")</f>
        <v/>
      </c>
      <c r="F19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Helper'!$F$5:$F$3004,"""")&lt;&gt;""""),ROWS(F$5:F1911)),IF(AND(LEFT(x,5)=""Pag"&amp;"e "",ISERROR(SEARCH(""–"",x))),x&amp;""–""&amp;REGEXEXTRACT(x,""[0-9]+$""),x)),"""")"),"")</f>
        <v/>
      </c>
      <c r="G1911" s="163"/>
      <c r="H19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Helper'!$F$5:$F$3004,"""")&lt;&gt;""""),ROWS(H$5:H1911)),"""")"),"")</f>
        <v/>
      </c>
    </row>
    <row r="1912" ht="15.75" customHeight="1">
      <c r="A19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Helper'!$F$5:$F$3004,"""")&lt;&gt;""""),ROWS(A$5:A1912)),"""")"),"")</f>
        <v/>
      </c>
      <c r="B19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Helper'!$F$5:$F$3004,"""")&lt;&gt;""""),ROWS(B$5:B1912)),"""")"),"")</f>
        <v/>
      </c>
      <c r="C19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Helper'!$F$5:$F$3004,"""")&lt;&gt;""""),ROWS(C$5:C1912)),"""")"),"")</f>
        <v/>
      </c>
      <c r="D19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Helper'!$F$5:$F$3004,"""")&lt;&gt;""""),ROWS(D$5:D1912)),"""")"),"")</f>
        <v/>
      </c>
      <c r="E19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Helper'!$F$5:$F$3004,"""")&lt;&gt;""""),ROWS(E$5:E1912)),"""")"),"")</f>
        <v/>
      </c>
      <c r="F19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Helper'!$F$5:$F$3004,"""")&lt;&gt;""""),ROWS(F$5:F1912)),IF(AND(LEFT(x,5)=""Pag"&amp;"e "",ISERROR(SEARCH(""–"",x))),x&amp;""–""&amp;REGEXEXTRACT(x,""[0-9]+$""),x)),"""")"),"")</f>
        <v/>
      </c>
      <c r="G1912" s="163"/>
      <c r="H19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Helper'!$F$5:$F$3004,"""")&lt;&gt;""""),ROWS(H$5:H1912)),"""")"),"")</f>
        <v/>
      </c>
    </row>
    <row r="1913" ht="15.75" customHeight="1">
      <c r="A19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Helper'!$F$5:$F$3004,"""")&lt;&gt;""""),ROWS(A$5:A1913)),"""")"),"")</f>
        <v/>
      </c>
      <c r="B19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Helper'!$F$5:$F$3004,"""")&lt;&gt;""""),ROWS(B$5:B1913)),"""")"),"")</f>
        <v/>
      </c>
      <c r="C19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Helper'!$F$5:$F$3004,"""")&lt;&gt;""""),ROWS(C$5:C1913)),"""")"),"")</f>
        <v/>
      </c>
      <c r="D19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Helper'!$F$5:$F$3004,"""")&lt;&gt;""""),ROWS(D$5:D1913)),"""")"),"")</f>
        <v/>
      </c>
      <c r="E19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Helper'!$F$5:$F$3004,"""")&lt;&gt;""""),ROWS(E$5:E1913)),"""")"),"")</f>
        <v/>
      </c>
      <c r="F19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Helper'!$F$5:$F$3004,"""")&lt;&gt;""""),ROWS(F$5:F1913)),IF(AND(LEFT(x,5)=""Pag"&amp;"e "",ISERROR(SEARCH(""–"",x))),x&amp;""–""&amp;REGEXEXTRACT(x,""[0-9]+$""),x)),"""")"),"")</f>
        <v/>
      </c>
      <c r="G1913" s="163"/>
      <c r="H19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Helper'!$F$5:$F$3004,"""")&lt;&gt;""""),ROWS(H$5:H1913)),"""")"),"")</f>
        <v/>
      </c>
    </row>
    <row r="1914" ht="15.75" customHeight="1">
      <c r="A19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Helper'!$F$5:$F$3004,"""")&lt;&gt;""""),ROWS(A$5:A1914)),"""")"),"")</f>
        <v/>
      </c>
      <c r="B19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Helper'!$F$5:$F$3004,"""")&lt;&gt;""""),ROWS(B$5:B1914)),"""")"),"")</f>
        <v/>
      </c>
      <c r="C19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Helper'!$F$5:$F$3004,"""")&lt;&gt;""""),ROWS(C$5:C1914)),"""")"),"")</f>
        <v/>
      </c>
      <c r="D19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Helper'!$F$5:$F$3004,"""")&lt;&gt;""""),ROWS(D$5:D1914)),"""")"),"")</f>
        <v/>
      </c>
      <c r="E19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Helper'!$F$5:$F$3004,"""")&lt;&gt;""""),ROWS(E$5:E1914)),"""")"),"")</f>
        <v/>
      </c>
      <c r="F19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Helper'!$F$5:$F$3004,"""")&lt;&gt;""""),ROWS(F$5:F1914)),IF(AND(LEFT(x,5)=""Pag"&amp;"e "",ISERROR(SEARCH(""–"",x))),x&amp;""–""&amp;REGEXEXTRACT(x,""[0-9]+$""),x)),"""")"),"")</f>
        <v/>
      </c>
      <c r="G1914" s="163"/>
      <c r="H19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Helper'!$F$5:$F$3004,"""")&lt;&gt;""""),ROWS(H$5:H1914)),"""")"),"")</f>
        <v/>
      </c>
    </row>
    <row r="1915" ht="15.75" customHeight="1">
      <c r="A19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Helper'!$F$5:$F$3004,"""")&lt;&gt;""""),ROWS(A$5:A1915)),"""")"),"")</f>
        <v/>
      </c>
      <c r="B19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Helper'!$F$5:$F$3004,"""")&lt;&gt;""""),ROWS(B$5:B1915)),"""")"),"")</f>
        <v/>
      </c>
      <c r="C19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Helper'!$F$5:$F$3004,"""")&lt;&gt;""""),ROWS(C$5:C1915)),"""")"),"")</f>
        <v/>
      </c>
      <c r="D19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Helper'!$F$5:$F$3004,"""")&lt;&gt;""""),ROWS(D$5:D1915)),"""")"),"")</f>
        <v/>
      </c>
      <c r="E19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Helper'!$F$5:$F$3004,"""")&lt;&gt;""""),ROWS(E$5:E1915)),"""")"),"")</f>
        <v/>
      </c>
      <c r="F19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Helper'!$F$5:$F$3004,"""")&lt;&gt;""""),ROWS(F$5:F1915)),IF(AND(LEFT(x,5)=""Pag"&amp;"e "",ISERROR(SEARCH(""–"",x))),x&amp;""–""&amp;REGEXEXTRACT(x,""[0-9]+$""),x)),"""")"),"")</f>
        <v/>
      </c>
      <c r="G1915" s="163"/>
      <c r="H19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Helper'!$F$5:$F$3004,"""")&lt;&gt;""""),ROWS(H$5:H1915)),"""")"),"")</f>
        <v/>
      </c>
    </row>
    <row r="1916" ht="15.75" customHeight="1">
      <c r="A19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Helper'!$F$5:$F$3004,"""")&lt;&gt;""""),ROWS(A$5:A1916)),"""")"),"")</f>
        <v/>
      </c>
      <c r="B19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Helper'!$F$5:$F$3004,"""")&lt;&gt;""""),ROWS(B$5:B1916)),"""")"),"")</f>
        <v/>
      </c>
      <c r="C19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Helper'!$F$5:$F$3004,"""")&lt;&gt;""""),ROWS(C$5:C1916)),"""")"),"")</f>
        <v/>
      </c>
      <c r="D19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Helper'!$F$5:$F$3004,"""")&lt;&gt;""""),ROWS(D$5:D1916)),"""")"),"")</f>
        <v/>
      </c>
      <c r="E19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Helper'!$F$5:$F$3004,"""")&lt;&gt;""""),ROWS(E$5:E1916)),"""")"),"")</f>
        <v/>
      </c>
      <c r="F19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Helper'!$F$5:$F$3004,"""")&lt;&gt;""""),ROWS(F$5:F1916)),IF(AND(LEFT(x,5)=""Pag"&amp;"e "",ISERROR(SEARCH(""–"",x))),x&amp;""–""&amp;REGEXEXTRACT(x,""[0-9]+$""),x)),"""")"),"")</f>
        <v/>
      </c>
      <c r="G1916" s="163"/>
      <c r="H19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Helper'!$F$5:$F$3004,"""")&lt;&gt;""""),ROWS(H$5:H1916)),"""")"),"")</f>
        <v/>
      </c>
    </row>
    <row r="1917" ht="15.75" customHeight="1">
      <c r="A19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Helper'!$F$5:$F$3004,"""")&lt;&gt;""""),ROWS(A$5:A1917)),"""")"),"")</f>
        <v/>
      </c>
      <c r="B19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Helper'!$F$5:$F$3004,"""")&lt;&gt;""""),ROWS(B$5:B1917)),"""")"),"")</f>
        <v/>
      </c>
      <c r="C19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Helper'!$F$5:$F$3004,"""")&lt;&gt;""""),ROWS(C$5:C1917)),"""")"),"")</f>
        <v/>
      </c>
      <c r="D19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Helper'!$F$5:$F$3004,"""")&lt;&gt;""""),ROWS(D$5:D1917)),"""")"),"")</f>
        <v/>
      </c>
      <c r="E19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Helper'!$F$5:$F$3004,"""")&lt;&gt;""""),ROWS(E$5:E1917)),"""")"),"")</f>
        <v/>
      </c>
      <c r="F19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Helper'!$F$5:$F$3004,"""")&lt;&gt;""""),ROWS(F$5:F1917)),IF(AND(LEFT(x,5)=""Pag"&amp;"e "",ISERROR(SEARCH(""–"",x))),x&amp;""–""&amp;REGEXEXTRACT(x,""[0-9]+$""),x)),"""")"),"")</f>
        <v/>
      </c>
      <c r="G1917" s="163"/>
      <c r="H19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Helper'!$F$5:$F$3004,"""")&lt;&gt;""""),ROWS(H$5:H1917)),"""")"),"")</f>
        <v/>
      </c>
    </row>
    <row r="1918" ht="15.75" customHeight="1">
      <c r="A19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Helper'!$F$5:$F$3004,"""")&lt;&gt;""""),ROWS(A$5:A1918)),"""")"),"")</f>
        <v/>
      </c>
      <c r="B19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Helper'!$F$5:$F$3004,"""")&lt;&gt;""""),ROWS(B$5:B1918)),"""")"),"")</f>
        <v/>
      </c>
      <c r="C19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Helper'!$F$5:$F$3004,"""")&lt;&gt;""""),ROWS(C$5:C1918)),"""")"),"")</f>
        <v/>
      </c>
      <c r="D19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Helper'!$F$5:$F$3004,"""")&lt;&gt;""""),ROWS(D$5:D1918)),"""")"),"")</f>
        <v/>
      </c>
      <c r="E19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Helper'!$F$5:$F$3004,"""")&lt;&gt;""""),ROWS(E$5:E1918)),"""")"),"")</f>
        <v/>
      </c>
      <c r="F19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Helper'!$F$5:$F$3004,"""")&lt;&gt;""""),ROWS(F$5:F1918)),IF(AND(LEFT(x,5)=""Pag"&amp;"e "",ISERROR(SEARCH(""–"",x))),x&amp;""–""&amp;REGEXEXTRACT(x,""[0-9]+$""),x)),"""")"),"")</f>
        <v/>
      </c>
      <c r="G1918" s="163"/>
      <c r="H19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Helper'!$F$5:$F$3004,"""")&lt;&gt;""""),ROWS(H$5:H1918)),"""")"),"")</f>
        <v/>
      </c>
    </row>
    <row r="1919" ht="15.75" customHeight="1">
      <c r="A19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Helper'!$F$5:$F$3004,"""")&lt;&gt;""""),ROWS(A$5:A1919)),"""")"),"")</f>
        <v/>
      </c>
      <c r="B19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Helper'!$F$5:$F$3004,"""")&lt;&gt;""""),ROWS(B$5:B1919)),"""")"),"")</f>
        <v/>
      </c>
      <c r="C19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Helper'!$F$5:$F$3004,"""")&lt;&gt;""""),ROWS(C$5:C1919)),"""")"),"")</f>
        <v/>
      </c>
      <c r="D19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Helper'!$F$5:$F$3004,"""")&lt;&gt;""""),ROWS(D$5:D1919)),"""")"),"")</f>
        <v/>
      </c>
      <c r="E19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Helper'!$F$5:$F$3004,"""")&lt;&gt;""""),ROWS(E$5:E1919)),"""")"),"")</f>
        <v/>
      </c>
      <c r="F19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Helper'!$F$5:$F$3004,"""")&lt;&gt;""""),ROWS(F$5:F1919)),IF(AND(LEFT(x,5)=""Pag"&amp;"e "",ISERROR(SEARCH(""–"",x))),x&amp;""–""&amp;REGEXEXTRACT(x,""[0-9]+$""),x)),"""")"),"")</f>
        <v/>
      </c>
      <c r="G1919" s="163"/>
      <c r="H19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Helper'!$F$5:$F$3004,"""")&lt;&gt;""""),ROWS(H$5:H1919)),"""")"),"")</f>
        <v/>
      </c>
    </row>
    <row r="1920" ht="15.75" customHeight="1">
      <c r="A19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Helper'!$F$5:$F$3004,"""")&lt;&gt;""""),ROWS(A$5:A1920)),"""")"),"")</f>
        <v/>
      </c>
      <c r="B19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Helper'!$F$5:$F$3004,"""")&lt;&gt;""""),ROWS(B$5:B1920)),"""")"),"")</f>
        <v/>
      </c>
      <c r="C19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Helper'!$F$5:$F$3004,"""")&lt;&gt;""""),ROWS(C$5:C1920)),"""")"),"")</f>
        <v/>
      </c>
      <c r="D19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Helper'!$F$5:$F$3004,"""")&lt;&gt;""""),ROWS(D$5:D1920)),"""")"),"")</f>
        <v/>
      </c>
      <c r="E19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Helper'!$F$5:$F$3004,"""")&lt;&gt;""""),ROWS(E$5:E1920)),"""")"),"")</f>
        <v/>
      </c>
      <c r="F19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Helper'!$F$5:$F$3004,"""")&lt;&gt;""""),ROWS(F$5:F1920)),IF(AND(LEFT(x,5)=""Pag"&amp;"e "",ISERROR(SEARCH(""–"",x))),x&amp;""–""&amp;REGEXEXTRACT(x,""[0-9]+$""),x)),"""")"),"")</f>
        <v/>
      </c>
      <c r="G1920" s="163"/>
      <c r="H19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Helper'!$F$5:$F$3004,"""")&lt;&gt;""""),ROWS(H$5:H1920)),"""")"),"")</f>
        <v/>
      </c>
    </row>
    <row r="1921" ht="15.75" customHeight="1">
      <c r="A19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Helper'!$F$5:$F$3004,"""")&lt;&gt;""""),ROWS(A$5:A1921)),"""")"),"")</f>
        <v/>
      </c>
      <c r="B19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Helper'!$F$5:$F$3004,"""")&lt;&gt;""""),ROWS(B$5:B1921)),"""")"),"")</f>
        <v/>
      </c>
      <c r="C19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Helper'!$F$5:$F$3004,"""")&lt;&gt;""""),ROWS(C$5:C1921)),"""")"),"")</f>
        <v/>
      </c>
      <c r="D19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Helper'!$F$5:$F$3004,"""")&lt;&gt;""""),ROWS(D$5:D1921)),"""")"),"")</f>
        <v/>
      </c>
      <c r="E19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Helper'!$F$5:$F$3004,"""")&lt;&gt;""""),ROWS(E$5:E1921)),"""")"),"")</f>
        <v/>
      </c>
      <c r="F19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Helper'!$F$5:$F$3004,"""")&lt;&gt;""""),ROWS(F$5:F1921)),IF(AND(LEFT(x,5)=""Pag"&amp;"e "",ISERROR(SEARCH(""–"",x))),x&amp;""–""&amp;REGEXEXTRACT(x,""[0-9]+$""),x)),"""")"),"")</f>
        <v/>
      </c>
      <c r="G1921" s="163"/>
      <c r="H19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Helper'!$F$5:$F$3004,"""")&lt;&gt;""""),ROWS(H$5:H1921)),"""")"),"")</f>
        <v/>
      </c>
    </row>
    <row r="1922" ht="15.75" customHeight="1">
      <c r="A19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Helper'!$F$5:$F$3004,"""")&lt;&gt;""""),ROWS(A$5:A1922)),"""")"),"")</f>
        <v/>
      </c>
      <c r="B19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Helper'!$F$5:$F$3004,"""")&lt;&gt;""""),ROWS(B$5:B1922)),"""")"),"")</f>
        <v/>
      </c>
      <c r="C19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Helper'!$F$5:$F$3004,"""")&lt;&gt;""""),ROWS(C$5:C1922)),"""")"),"")</f>
        <v/>
      </c>
      <c r="D19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Helper'!$F$5:$F$3004,"""")&lt;&gt;""""),ROWS(D$5:D1922)),"""")"),"")</f>
        <v/>
      </c>
      <c r="E19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Helper'!$F$5:$F$3004,"""")&lt;&gt;""""),ROWS(E$5:E1922)),"""")"),"")</f>
        <v/>
      </c>
      <c r="F19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Helper'!$F$5:$F$3004,"""")&lt;&gt;""""),ROWS(F$5:F1922)),IF(AND(LEFT(x,5)=""Pag"&amp;"e "",ISERROR(SEARCH(""–"",x))),x&amp;""–""&amp;REGEXEXTRACT(x,""[0-9]+$""),x)),"""")"),"")</f>
        <v/>
      </c>
      <c r="G1922" s="163"/>
      <c r="H19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Helper'!$F$5:$F$3004,"""")&lt;&gt;""""),ROWS(H$5:H1922)),"""")"),"")</f>
        <v/>
      </c>
    </row>
    <row r="1923" ht="15.75" customHeight="1">
      <c r="A19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Helper'!$F$5:$F$3004,"""")&lt;&gt;""""),ROWS(A$5:A1923)),"""")"),"")</f>
        <v/>
      </c>
      <c r="B19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Helper'!$F$5:$F$3004,"""")&lt;&gt;""""),ROWS(B$5:B1923)),"""")"),"")</f>
        <v/>
      </c>
      <c r="C19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Helper'!$F$5:$F$3004,"""")&lt;&gt;""""),ROWS(C$5:C1923)),"""")"),"")</f>
        <v/>
      </c>
      <c r="D19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Helper'!$F$5:$F$3004,"""")&lt;&gt;""""),ROWS(D$5:D1923)),"""")"),"")</f>
        <v/>
      </c>
      <c r="E19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Helper'!$F$5:$F$3004,"""")&lt;&gt;""""),ROWS(E$5:E1923)),"""")"),"")</f>
        <v/>
      </c>
      <c r="F19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Helper'!$F$5:$F$3004,"""")&lt;&gt;""""),ROWS(F$5:F1923)),IF(AND(LEFT(x,5)=""Pag"&amp;"e "",ISERROR(SEARCH(""–"",x))),x&amp;""–""&amp;REGEXEXTRACT(x,""[0-9]+$""),x)),"""")"),"")</f>
        <v/>
      </c>
      <c r="G1923" s="163"/>
      <c r="H19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Helper'!$F$5:$F$3004,"""")&lt;&gt;""""),ROWS(H$5:H1923)),"""")"),"")</f>
        <v/>
      </c>
    </row>
    <row r="1924" ht="15.75" customHeight="1">
      <c r="A19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Helper'!$F$5:$F$3004,"""")&lt;&gt;""""),ROWS(A$5:A1924)),"""")"),"")</f>
        <v/>
      </c>
      <c r="B19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Helper'!$F$5:$F$3004,"""")&lt;&gt;""""),ROWS(B$5:B1924)),"""")"),"")</f>
        <v/>
      </c>
      <c r="C19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Helper'!$F$5:$F$3004,"""")&lt;&gt;""""),ROWS(C$5:C1924)),"""")"),"")</f>
        <v/>
      </c>
      <c r="D19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Helper'!$F$5:$F$3004,"""")&lt;&gt;""""),ROWS(D$5:D1924)),"""")"),"")</f>
        <v/>
      </c>
      <c r="E19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Helper'!$F$5:$F$3004,"""")&lt;&gt;""""),ROWS(E$5:E1924)),"""")"),"")</f>
        <v/>
      </c>
      <c r="F19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Helper'!$F$5:$F$3004,"""")&lt;&gt;""""),ROWS(F$5:F1924)),IF(AND(LEFT(x,5)=""Pag"&amp;"e "",ISERROR(SEARCH(""–"",x))),x&amp;""–""&amp;REGEXEXTRACT(x,""[0-9]+$""),x)),"""")"),"")</f>
        <v/>
      </c>
      <c r="G1924" s="163"/>
      <c r="H19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Helper'!$F$5:$F$3004,"""")&lt;&gt;""""),ROWS(H$5:H1924)),"""")"),"")</f>
        <v/>
      </c>
    </row>
    <row r="1925" ht="15.75" customHeight="1">
      <c r="A19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Helper'!$F$5:$F$3004,"""")&lt;&gt;""""),ROWS(A$5:A1925)),"""")"),"")</f>
        <v/>
      </c>
      <c r="B19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Helper'!$F$5:$F$3004,"""")&lt;&gt;""""),ROWS(B$5:B1925)),"""")"),"")</f>
        <v/>
      </c>
      <c r="C19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Helper'!$F$5:$F$3004,"""")&lt;&gt;""""),ROWS(C$5:C1925)),"""")"),"")</f>
        <v/>
      </c>
      <c r="D19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Helper'!$F$5:$F$3004,"""")&lt;&gt;""""),ROWS(D$5:D1925)),"""")"),"")</f>
        <v/>
      </c>
      <c r="E19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Helper'!$F$5:$F$3004,"""")&lt;&gt;""""),ROWS(E$5:E1925)),"""")"),"")</f>
        <v/>
      </c>
      <c r="F19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Helper'!$F$5:$F$3004,"""")&lt;&gt;""""),ROWS(F$5:F1925)),IF(AND(LEFT(x,5)=""Pag"&amp;"e "",ISERROR(SEARCH(""–"",x))),x&amp;""–""&amp;REGEXEXTRACT(x,""[0-9]+$""),x)),"""")"),"")</f>
        <v/>
      </c>
      <c r="G1925" s="163"/>
      <c r="H19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Helper'!$F$5:$F$3004,"""")&lt;&gt;""""),ROWS(H$5:H1925)),"""")"),"")</f>
        <v/>
      </c>
    </row>
    <row r="1926" ht="15.75" customHeight="1">
      <c r="A19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Helper'!$F$5:$F$3004,"""")&lt;&gt;""""),ROWS(A$5:A1926)),"""")"),"")</f>
        <v/>
      </c>
      <c r="B19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Helper'!$F$5:$F$3004,"""")&lt;&gt;""""),ROWS(B$5:B1926)),"""")"),"")</f>
        <v/>
      </c>
      <c r="C19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Helper'!$F$5:$F$3004,"""")&lt;&gt;""""),ROWS(C$5:C1926)),"""")"),"")</f>
        <v/>
      </c>
      <c r="D19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Helper'!$F$5:$F$3004,"""")&lt;&gt;""""),ROWS(D$5:D1926)),"""")"),"")</f>
        <v/>
      </c>
      <c r="E19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Helper'!$F$5:$F$3004,"""")&lt;&gt;""""),ROWS(E$5:E1926)),"""")"),"")</f>
        <v/>
      </c>
      <c r="F19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Helper'!$F$5:$F$3004,"""")&lt;&gt;""""),ROWS(F$5:F1926)),IF(AND(LEFT(x,5)=""Pag"&amp;"e "",ISERROR(SEARCH(""–"",x))),x&amp;""–""&amp;REGEXEXTRACT(x,""[0-9]+$""),x)),"""")"),"")</f>
        <v/>
      </c>
      <c r="G1926" s="163"/>
      <c r="H19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Helper'!$F$5:$F$3004,"""")&lt;&gt;""""),ROWS(H$5:H1926)),"""")"),"")</f>
        <v/>
      </c>
    </row>
    <row r="1927" ht="15.75" customHeight="1">
      <c r="A19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Helper'!$F$5:$F$3004,"""")&lt;&gt;""""),ROWS(A$5:A1927)),"""")"),"")</f>
        <v/>
      </c>
      <c r="B19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Helper'!$F$5:$F$3004,"""")&lt;&gt;""""),ROWS(B$5:B1927)),"""")"),"")</f>
        <v/>
      </c>
      <c r="C19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Helper'!$F$5:$F$3004,"""")&lt;&gt;""""),ROWS(C$5:C1927)),"""")"),"")</f>
        <v/>
      </c>
      <c r="D19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Helper'!$F$5:$F$3004,"""")&lt;&gt;""""),ROWS(D$5:D1927)),"""")"),"")</f>
        <v/>
      </c>
      <c r="E19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Helper'!$F$5:$F$3004,"""")&lt;&gt;""""),ROWS(E$5:E1927)),"""")"),"")</f>
        <v/>
      </c>
      <c r="F19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Helper'!$F$5:$F$3004,"""")&lt;&gt;""""),ROWS(F$5:F1927)),IF(AND(LEFT(x,5)=""Pag"&amp;"e "",ISERROR(SEARCH(""–"",x))),x&amp;""–""&amp;REGEXEXTRACT(x,""[0-9]+$""),x)),"""")"),"")</f>
        <v/>
      </c>
      <c r="G1927" s="163"/>
      <c r="H19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Helper'!$F$5:$F$3004,"""")&lt;&gt;""""),ROWS(H$5:H1927)),"""")"),"")</f>
        <v/>
      </c>
    </row>
    <row r="1928" ht="15.75" customHeight="1">
      <c r="A19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Helper'!$F$5:$F$3004,"""")&lt;&gt;""""),ROWS(A$5:A1928)),"""")"),"")</f>
        <v/>
      </c>
      <c r="B19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Helper'!$F$5:$F$3004,"""")&lt;&gt;""""),ROWS(B$5:B1928)),"""")"),"")</f>
        <v/>
      </c>
      <c r="C19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Helper'!$F$5:$F$3004,"""")&lt;&gt;""""),ROWS(C$5:C1928)),"""")"),"")</f>
        <v/>
      </c>
      <c r="D19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Helper'!$F$5:$F$3004,"""")&lt;&gt;""""),ROWS(D$5:D1928)),"""")"),"")</f>
        <v/>
      </c>
      <c r="E19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Helper'!$F$5:$F$3004,"""")&lt;&gt;""""),ROWS(E$5:E1928)),"""")"),"")</f>
        <v/>
      </c>
      <c r="F19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Helper'!$F$5:$F$3004,"""")&lt;&gt;""""),ROWS(F$5:F1928)),IF(AND(LEFT(x,5)=""Pag"&amp;"e "",ISERROR(SEARCH(""–"",x))),x&amp;""–""&amp;REGEXEXTRACT(x,""[0-9]+$""),x)),"""")"),"")</f>
        <v/>
      </c>
      <c r="G1928" s="163"/>
      <c r="H19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Helper'!$F$5:$F$3004,"""")&lt;&gt;""""),ROWS(H$5:H1928)),"""")"),"")</f>
        <v/>
      </c>
    </row>
    <row r="1929" ht="15.75" customHeight="1">
      <c r="A19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Helper'!$F$5:$F$3004,"""")&lt;&gt;""""),ROWS(A$5:A1929)),"""")"),"")</f>
        <v/>
      </c>
      <c r="B19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Helper'!$F$5:$F$3004,"""")&lt;&gt;""""),ROWS(B$5:B1929)),"""")"),"")</f>
        <v/>
      </c>
      <c r="C19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Helper'!$F$5:$F$3004,"""")&lt;&gt;""""),ROWS(C$5:C1929)),"""")"),"")</f>
        <v/>
      </c>
      <c r="D19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Helper'!$F$5:$F$3004,"""")&lt;&gt;""""),ROWS(D$5:D1929)),"""")"),"")</f>
        <v/>
      </c>
      <c r="E19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Helper'!$F$5:$F$3004,"""")&lt;&gt;""""),ROWS(E$5:E1929)),"""")"),"")</f>
        <v/>
      </c>
      <c r="F19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Helper'!$F$5:$F$3004,"""")&lt;&gt;""""),ROWS(F$5:F1929)),IF(AND(LEFT(x,5)=""Pag"&amp;"e "",ISERROR(SEARCH(""–"",x))),x&amp;""–""&amp;REGEXEXTRACT(x,""[0-9]+$""),x)),"""")"),"")</f>
        <v/>
      </c>
      <c r="G1929" s="163"/>
      <c r="H19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Helper'!$F$5:$F$3004,"""")&lt;&gt;""""),ROWS(H$5:H1929)),"""")"),"")</f>
        <v/>
      </c>
    </row>
    <row r="1930" ht="15.75" customHeight="1">
      <c r="A19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Helper'!$F$5:$F$3004,"""")&lt;&gt;""""),ROWS(A$5:A1930)),"""")"),"")</f>
        <v/>
      </c>
      <c r="B19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Helper'!$F$5:$F$3004,"""")&lt;&gt;""""),ROWS(B$5:B1930)),"""")"),"")</f>
        <v/>
      </c>
      <c r="C19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Helper'!$F$5:$F$3004,"""")&lt;&gt;""""),ROWS(C$5:C1930)),"""")"),"")</f>
        <v/>
      </c>
      <c r="D19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Helper'!$F$5:$F$3004,"""")&lt;&gt;""""),ROWS(D$5:D1930)),"""")"),"")</f>
        <v/>
      </c>
      <c r="E19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Helper'!$F$5:$F$3004,"""")&lt;&gt;""""),ROWS(E$5:E1930)),"""")"),"")</f>
        <v/>
      </c>
      <c r="F19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Helper'!$F$5:$F$3004,"""")&lt;&gt;""""),ROWS(F$5:F1930)),IF(AND(LEFT(x,5)=""Pag"&amp;"e "",ISERROR(SEARCH(""–"",x))),x&amp;""–""&amp;REGEXEXTRACT(x,""[0-9]+$""),x)),"""")"),"")</f>
        <v/>
      </c>
      <c r="G1930" s="163"/>
      <c r="H19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Helper'!$F$5:$F$3004,"""")&lt;&gt;""""),ROWS(H$5:H1930)),"""")"),"")</f>
        <v/>
      </c>
    </row>
    <row r="1931" ht="15.75" customHeight="1">
      <c r="A19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Helper'!$F$5:$F$3004,"""")&lt;&gt;""""),ROWS(A$5:A1931)),"""")"),"")</f>
        <v/>
      </c>
      <c r="B19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Helper'!$F$5:$F$3004,"""")&lt;&gt;""""),ROWS(B$5:B1931)),"""")"),"")</f>
        <v/>
      </c>
      <c r="C19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Helper'!$F$5:$F$3004,"""")&lt;&gt;""""),ROWS(C$5:C1931)),"""")"),"")</f>
        <v/>
      </c>
      <c r="D19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Helper'!$F$5:$F$3004,"""")&lt;&gt;""""),ROWS(D$5:D1931)),"""")"),"")</f>
        <v/>
      </c>
      <c r="E19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Helper'!$F$5:$F$3004,"""")&lt;&gt;""""),ROWS(E$5:E1931)),"""")"),"")</f>
        <v/>
      </c>
      <c r="F19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Helper'!$F$5:$F$3004,"""")&lt;&gt;""""),ROWS(F$5:F1931)),IF(AND(LEFT(x,5)=""Pag"&amp;"e "",ISERROR(SEARCH(""–"",x))),x&amp;""–""&amp;REGEXEXTRACT(x,""[0-9]+$""),x)),"""")"),"")</f>
        <v/>
      </c>
      <c r="G1931" s="163"/>
      <c r="H19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Helper'!$F$5:$F$3004,"""")&lt;&gt;""""),ROWS(H$5:H1931)),"""")"),"")</f>
        <v/>
      </c>
    </row>
    <row r="1932" ht="15.75" customHeight="1">
      <c r="A19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Helper'!$F$5:$F$3004,"""")&lt;&gt;""""),ROWS(A$5:A1932)),"""")"),"")</f>
        <v/>
      </c>
      <c r="B19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Helper'!$F$5:$F$3004,"""")&lt;&gt;""""),ROWS(B$5:B1932)),"""")"),"")</f>
        <v/>
      </c>
      <c r="C19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Helper'!$F$5:$F$3004,"""")&lt;&gt;""""),ROWS(C$5:C1932)),"""")"),"")</f>
        <v/>
      </c>
      <c r="D19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Helper'!$F$5:$F$3004,"""")&lt;&gt;""""),ROWS(D$5:D1932)),"""")"),"")</f>
        <v/>
      </c>
      <c r="E19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Helper'!$F$5:$F$3004,"""")&lt;&gt;""""),ROWS(E$5:E1932)),"""")"),"")</f>
        <v/>
      </c>
      <c r="F19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Helper'!$F$5:$F$3004,"""")&lt;&gt;""""),ROWS(F$5:F1932)),IF(AND(LEFT(x,5)=""Pag"&amp;"e "",ISERROR(SEARCH(""–"",x))),x&amp;""–""&amp;REGEXEXTRACT(x,""[0-9]+$""),x)),"""")"),"")</f>
        <v/>
      </c>
      <c r="G1932" s="163"/>
      <c r="H19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Helper'!$F$5:$F$3004,"""")&lt;&gt;""""),ROWS(H$5:H1932)),"""")"),"")</f>
        <v/>
      </c>
    </row>
    <row r="1933" ht="15.75" customHeight="1">
      <c r="A19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Helper'!$F$5:$F$3004,"""")&lt;&gt;""""),ROWS(A$5:A1933)),"""")"),"")</f>
        <v/>
      </c>
      <c r="B19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Helper'!$F$5:$F$3004,"""")&lt;&gt;""""),ROWS(B$5:B1933)),"""")"),"")</f>
        <v/>
      </c>
      <c r="C19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Helper'!$F$5:$F$3004,"""")&lt;&gt;""""),ROWS(C$5:C1933)),"""")"),"")</f>
        <v/>
      </c>
      <c r="D19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Helper'!$F$5:$F$3004,"""")&lt;&gt;""""),ROWS(D$5:D1933)),"""")"),"")</f>
        <v/>
      </c>
      <c r="E19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Helper'!$F$5:$F$3004,"""")&lt;&gt;""""),ROWS(E$5:E1933)),"""")"),"")</f>
        <v/>
      </c>
      <c r="F19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Helper'!$F$5:$F$3004,"""")&lt;&gt;""""),ROWS(F$5:F1933)),IF(AND(LEFT(x,5)=""Pag"&amp;"e "",ISERROR(SEARCH(""–"",x))),x&amp;""–""&amp;REGEXEXTRACT(x,""[0-9]+$""),x)),"""")"),"")</f>
        <v/>
      </c>
      <c r="G1933" s="163"/>
      <c r="H19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Helper'!$F$5:$F$3004,"""")&lt;&gt;""""),ROWS(H$5:H1933)),"""")"),"")</f>
        <v/>
      </c>
    </row>
    <row r="1934" ht="15.75" customHeight="1">
      <c r="A19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Helper'!$F$5:$F$3004,"""")&lt;&gt;""""),ROWS(A$5:A1934)),"""")"),"")</f>
        <v/>
      </c>
      <c r="B19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Helper'!$F$5:$F$3004,"""")&lt;&gt;""""),ROWS(B$5:B1934)),"""")"),"")</f>
        <v/>
      </c>
      <c r="C19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Helper'!$F$5:$F$3004,"""")&lt;&gt;""""),ROWS(C$5:C1934)),"""")"),"")</f>
        <v/>
      </c>
      <c r="D19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Helper'!$F$5:$F$3004,"""")&lt;&gt;""""),ROWS(D$5:D1934)),"""")"),"")</f>
        <v/>
      </c>
      <c r="E19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Helper'!$F$5:$F$3004,"""")&lt;&gt;""""),ROWS(E$5:E1934)),"""")"),"")</f>
        <v/>
      </c>
      <c r="F19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Helper'!$F$5:$F$3004,"""")&lt;&gt;""""),ROWS(F$5:F1934)),IF(AND(LEFT(x,5)=""Pag"&amp;"e "",ISERROR(SEARCH(""–"",x))),x&amp;""–""&amp;REGEXEXTRACT(x,""[0-9]+$""),x)),"""")"),"")</f>
        <v/>
      </c>
      <c r="G1934" s="163"/>
      <c r="H19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Helper'!$F$5:$F$3004,"""")&lt;&gt;""""),ROWS(H$5:H1934)),"""")"),"")</f>
        <v/>
      </c>
    </row>
    <row r="1935" ht="15.75" customHeight="1">
      <c r="A19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Helper'!$F$5:$F$3004,"""")&lt;&gt;""""),ROWS(A$5:A1935)),"""")"),"")</f>
        <v/>
      </c>
      <c r="B19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Helper'!$F$5:$F$3004,"""")&lt;&gt;""""),ROWS(B$5:B1935)),"""")"),"")</f>
        <v/>
      </c>
      <c r="C19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Helper'!$F$5:$F$3004,"""")&lt;&gt;""""),ROWS(C$5:C1935)),"""")"),"")</f>
        <v/>
      </c>
      <c r="D19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Helper'!$F$5:$F$3004,"""")&lt;&gt;""""),ROWS(D$5:D1935)),"""")"),"")</f>
        <v/>
      </c>
      <c r="E19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Helper'!$F$5:$F$3004,"""")&lt;&gt;""""),ROWS(E$5:E1935)),"""")"),"")</f>
        <v/>
      </c>
      <c r="F19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Helper'!$F$5:$F$3004,"""")&lt;&gt;""""),ROWS(F$5:F1935)),IF(AND(LEFT(x,5)=""Pag"&amp;"e "",ISERROR(SEARCH(""–"",x))),x&amp;""–""&amp;REGEXEXTRACT(x,""[0-9]+$""),x)),"""")"),"")</f>
        <v/>
      </c>
      <c r="G1935" s="163"/>
      <c r="H19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Helper'!$F$5:$F$3004,"""")&lt;&gt;""""),ROWS(H$5:H1935)),"""")"),"")</f>
        <v/>
      </c>
    </row>
    <row r="1936" ht="15.75" customHeight="1">
      <c r="A19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Helper'!$F$5:$F$3004,"""")&lt;&gt;""""),ROWS(A$5:A1936)),"""")"),"")</f>
        <v/>
      </c>
      <c r="B19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Helper'!$F$5:$F$3004,"""")&lt;&gt;""""),ROWS(B$5:B1936)),"""")"),"")</f>
        <v/>
      </c>
      <c r="C19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Helper'!$F$5:$F$3004,"""")&lt;&gt;""""),ROWS(C$5:C1936)),"""")"),"")</f>
        <v/>
      </c>
      <c r="D19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Helper'!$F$5:$F$3004,"""")&lt;&gt;""""),ROWS(D$5:D1936)),"""")"),"")</f>
        <v/>
      </c>
      <c r="E19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Helper'!$F$5:$F$3004,"""")&lt;&gt;""""),ROWS(E$5:E1936)),"""")"),"")</f>
        <v/>
      </c>
      <c r="F19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Helper'!$F$5:$F$3004,"""")&lt;&gt;""""),ROWS(F$5:F1936)),IF(AND(LEFT(x,5)=""Pag"&amp;"e "",ISERROR(SEARCH(""–"",x))),x&amp;""–""&amp;REGEXEXTRACT(x,""[0-9]+$""),x)),"""")"),"")</f>
        <v/>
      </c>
      <c r="G1936" s="163"/>
      <c r="H19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Helper'!$F$5:$F$3004,"""")&lt;&gt;""""),ROWS(H$5:H1936)),"""")"),"")</f>
        <v/>
      </c>
    </row>
    <row r="1937" ht="15.75" customHeight="1">
      <c r="A19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Helper'!$F$5:$F$3004,"""")&lt;&gt;""""),ROWS(A$5:A1937)),"""")"),"")</f>
        <v/>
      </c>
      <c r="B19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Helper'!$F$5:$F$3004,"""")&lt;&gt;""""),ROWS(B$5:B1937)),"""")"),"")</f>
        <v/>
      </c>
      <c r="C19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Helper'!$F$5:$F$3004,"""")&lt;&gt;""""),ROWS(C$5:C1937)),"""")"),"")</f>
        <v/>
      </c>
      <c r="D19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Helper'!$F$5:$F$3004,"""")&lt;&gt;""""),ROWS(D$5:D1937)),"""")"),"")</f>
        <v/>
      </c>
      <c r="E19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Helper'!$F$5:$F$3004,"""")&lt;&gt;""""),ROWS(E$5:E1937)),"""")"),"")</f>
        <v/>
      </c>
      <c r="F19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Helper'!$F$5:$F$3004,"""")&lt;&gt;""""),ROWS(F$5:F1937)),IF(AND(LEFT(x,5)=""Pag"&amp;"e "",ISERROR(SEARCH(""–"",x))),x&amp;""–""&amp;REGEXEXTRACT(x,""[0-9]+$""),x)),"""")"),"")</f>
        <v/>
      </c>
      <c r="G1937" s="163"/>
      <c r="H19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Helper'!$F$5:$F$3004,"""")&lt;&gt;""""),ROWS(H$5:H1937)),"""")"),"")</f>
        <v/>
      </c>
    </row>
    <row r="1938" ht="15.75" customHeight="1">
      <c r="A19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Helper'!$F$5:$F$3004,"""")&lt;&gt;""""),ROWS(A$5:A1938)),"""")"),"")</f>
        <v/>
      </c>
      <c r="B19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Helper'!$F$5:$F$3004,"""")&lt;&gt;""""),ROWS(B$5:B1938)),"""")"),"")</f>
        <v/>
      </c>
      <c r="C19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Helper'!$F$5:$F$3004,"""")&lt;&gt;""""),ROWS(C$5:C1938)),"""")"),"")</f>
        <v/>
      </c>
      <c r="D19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Helper'!$F$5:$F$3004,"""")&lt;&gt;""""),ROWS(D$5:D1938)),"""")"),"")</f>
        <v/>
      </c>
      <c r="E19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Helper'!$F$5:$F$3004,"""")&lt;&gt;""""),ROWS(E$5:E1938)),"""")"),"")</f>
        <v/>
      </c>
      <c r="F19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Helper'!$F$5:$F$3004,"""")&lt;&gt;""""),ROWS(F$5:F1938)),IF(AND(LEFT(x,5)=""Pag"&amp;"e "",ISERROR(SEARCH(""–"",x))),x&amp;""–""&amp;REGEXEXTRACT(x,""[0-9]+$""),x)),"""")"),"")</f>
        <v/>
      </c>
      <c r="G1938" s="163"/>
      <c r="H19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Helper'!$F$5:$F$3004,"""")&lt;&gt;""""),ROWS(H$5:H1938)),"""")"),"")</f>
        <v/>
      </c>
    </row>
    <row r="1939" ht="15.75" customHeight="1">
      <c r="A19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Helper'!$F$5:$F$3004,"""")&lt;&gt;""""),ROWS(A$5:A1939)),"""")"),"")</f>
        <v/>
      </c>
      <c r="B19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Helper'!$F$5:$F$3004,"""")&lt;&gt;""""),ROWS(B$5:B1939)),"""")"),"")</f>
        <v/>
      </c>
      <c r="C19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Helper'!$F$5:$F$3004,"""")&lt;&gt;""""),ROWS(C$5:C1939)),"""")"),"")</f>
        <v/>
      </c>
      <c r="D19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Helper'!$F$5:$F$3004,"""")&lt;&gt;""""),ROWS(D$5:D1939)),"""")"),"")</f>
        <v/>
      </c>
      <c r="E19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Helper'!$F$5:$F$3004,"""")&lt;&gt;""""),ROWS(E$5:E1939)),"""")"),"")</f>
        <v/>
      </c>
      <c r="F19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Helper'!$F$5:$F$3004,"""")&lt;&gt;""""),ROWS(F$5:F1939)),IF(AND(LEFT(x,5)=""Pag"&amp;"e "",ISERROR(SEARCH(""–"",x))),x&amp;""–""&amp;REGEXEXTRACT(x,""[0-9]+$""),x)),"""")"),"")</f>
        <v/>
      </c>
      <c r="G1939" s="163"/>
      <c r="H19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Helper'!$F$5:$F$3004,"""")&lt;&gt;""""),ROWS(H$5:H1939)),"""")"),"")</f>
        <v/>
      </c>
    </row>
    <row r="1940" ht="15.75" customHeight="1">
      <c r="A19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Helper'!$F$5:$F$3004,"""")&lt;&gt;""""),ROWS(A$5:A1940)),"""")"),"")</f>
        <v/>
      </c>
      <c r="B19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Helper'!$F$5:$F$3004,"""")&lt;&gt;""""),ROWS(B$5:B1940)),"""")"),"")</f>
        <v/>
      </c>
      <c r="C19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Helper'!$F$5:$F$3004,"""")&lt;&gt;""""),ROWS(C$5:C1940)),"""")"),"")</f>
        <v/>
      </c>
      <c r="D19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Helper'!$F$5:$F$3004,"""")&lt;&gt;""""),ROWS(D$5:D1940)),"""")"),"")</f>
        <v/>
      </c>
      <c r="E19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Helper'!$F$5:$F$3004,"""")&lt;&gt;""""),ROWS(E$5:E1940)),"""")"),"")</f>
        <v/>
      </c>
      <c r="F19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Helper'!$F$5:$F$3004,"""")&lt;&gt;""""),ROWS(F$5:F1940)),IF(AND(LEFT(x,5)=""Pag"&amp;"e "",ISERROR(SEARCH(""–"",x))),x&amp;""–""&amp;REGEXEXTRACT(x,""[0-9]+$""),x)),"""")"),"")</f>
        <v/>
      </c>
      <c r="G1940" s="163"/>
      <c r="H19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Helper'!$F$5:$F$3004,"""")&lt;&gt;""""),ROWS(H$5:H1940)),"""")"),"")</f>
        <v/>
      </c>
    </row>
    <row r="1941" ht="15.75" customHeight="1">
      <c r="A19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Helper'!$F$5:$F$3004,"""")&lt;&gt;""""),ROWS(A$5:A1941)),"""")"),"")</f>
        <v/>
      </c>
      <c r="B19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Helper'!$F$5:$F$3004,"""")&lt;&gt;""""),ROWS(B$5:B1941)),"""")"),"")</f>
        <v/>
      </c>
      <c r="C19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Helper'!$F$5:$F$3004,"""")&lt;&gt;""""),ROWS(C$5:C1941)),"""")"),"")</f>
        <v/>
      </c>
      <c r="D19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Helper'!$F$5:$F$3004,"""")&lt;&gt;""""),ROWS(D$5:D1941)),"""")"),"")</f>
        <v/>
      </c>
      <c r="E19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Helper'!$F$5:$F$3004,"""")&lt;&gt;""""),ROWS(E$5:E1941)),"""")"),"")</f>
        <v/>
      </c>
      <c r="F19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Helper'!$F$5:$F$3004,"""")&lt;&gt;""""),ROWS(F$5:F1941)),IF(AND(LEFT(x,5)=""Pag"&amp;"e "",ISERROR(SEARCH(""–"",x))),x&amp;""–""&amp;REGEXEXTRACT(x,""[0-9]+$""),x)),"""")"),"")</f>
        <v/>
      </c>
      <c r="G1941" s="163"/>
      <c r="H19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Helper'!$F$5:$F$3004,"""")&lt;&gt;""""),ROWS(H$5:H1941)),"""")"),"")</f>
        <v/>
      </c>
    </row>
    <row r="1942" ht="15.75" customHeight="1">
      <c r="A19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Helper'!$F$5:$F$3004,"""")&lt;&gt;""""),ROWS(A$5:A1942)),"""")"),"")</f>
        <v/>
      </c>
      <c r="B19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Helper'!$F$5:$F$3004,"""")&lt;&gt;""""),ROWS(B$5:B1942)),"""")"),"")</f>
        <v/>
      </c>
      <c r="C19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Helper'!$F$5:$F$3004,"""")&lt;&gt;""""),ROWS(C$5:C1942)),"""")"),"")</f>
        <v/>
      </c>
      <c r="D19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Helper'!$F$5:$F$3004,"""")&lt;&gt;""""),ROWS(D$5:D1942)),"""")"),"")</f>
        <v/>
      </c>
      <c r="E19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Helper'!$F$5:$F$3004,"""")&lt;&gt;""""),ROWS(E$5:E1942)),"""")"),"")</f>
        <v/>
      </c>
      <c r="F19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Helper'!$F$5:$F$3004,"""")&lt;&gt;""""),ROWS(F$5:F1942)),IF(AND(LEFT(x,5)=""Pag"&amp;"e "",ISERROR(SEARCH(""–"",x))),x&amp;""–""&amp;REGEXEXTRACT(x,""[0-9]+$""),x)),"""")"),"")</f>
        <v/>
      </c>
      <c r="G1942" s="163"/>
      <c r="H19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Helper'!$F$5:$F$3004,"""")&lt;&gt;""""),ROWS(H$5:H1942)),"""")"),"")</f>
        <v/>
      </c>
    </row>
    <row r="1943" ht="15.75" customHeight="1">
      <c r="A19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Helper'!$F$5:$F$3004,"""")&lt;&gt;""""),ROWS(A$5:A1943)),"""")"),"")</f>
        <v/>
      </c>
      <c r="B19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Helper'!$F$5:$F$3004,"""")&lt;&gt;""""),ROWS(B$5:B1943)),"""")"),"")</f>
        <v/>
      </c>
      <c r="C19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Helper'!$F$5:$F$3004,"""")&lt;&gt;""""),ROWS(C$5:C1943)),"""")"),"")</f>
        <v/>
      </c>
      <c r="D19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Helper'!$F$5:$F$3004,"""")&lt;&gt;""""),ROWS(D$5:D1943)),"""")"),"")</f>
        <v/>
      </c>
      <c r="E19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Helper'!$F$5:$F$3004,"""")&lt;&gt;""""),ROWS(E$5:E1943)),"""")"),"")</f>
        <v/>
      </c>
      <c r="F19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Helper'!$F$5:$F$3004,"""")&lt;&gt;""""),ROWS(F$5:F1943)),IF(AND(LEFT(x,5)=""Pag"&amp;"e "",ISERROR(SEARCH(""–"",x))),x&amp;""–""&amp;REGEXEXTRACT(x,""[0-9]+$""),x)),"""")"),"")</f>
        <v/>
      </c>
      <c r="G1943" s="163"/>
      <c r="H19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Helper'!$F$5:$F$3004,"""")&lt;&gt;""""),ROWS(H$5:H1943)),"""")"),"")</f>
        <v/>
      </c>
    </row>
    <row r="1944" ht="15.75" customHeight="1">
      <c r="A19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Helper'!$F$5:$F$3004,"""")&lt;&gt;""""),ROWS(A$5:A1944)),"""")"),"")</f>
        <v/>
      </c>
      <c r="B19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Helper'!$F$5:$F$3004,"""")&lt;&gt;""""),ROWS(B$5:B1944)),"""")"),"")</f>
        <v/>
      </c>
      <c r="C19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Helper'!$F$5:$F$3004,"""")&lt;&gt;""""),ROWS(C$5:C1944)),"""")"),"")</f>
        <v/>
      </c>
      <c r="D19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Helper'!$F$5:$F$3004,"""")&lt;&gt;""""),ROWS(D$5:D1944)),"""")"),"")</f>
        <v/>
      </c>
      <c r="E19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Helper'!$F$5:$F$3004,"""")&lt;&gt;""""),ROWS(E$5:E1944)),"""")"),"")</f>
        <v/>
      </c>
      <c r="F19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Helper'!$F$5:$F$3004,"""")&lt;&gt;""""),ROWS(F$5:F1944)),IF(AND(LEFT(x,5)=""Pag"&amp;"e "",ISERROR(SEARCH(""–"",x))),x&amp;""–""&amp;REGEXEXTRACT(x,""[0-9]+$""),x)),"""")"),"")</f>
        <v/>
      </c>
      <c r="G1944" s="163"/>
      <c r="H19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Helper'!$F$5:$F$3004,"""")&lt;&gt;""""),ROWS(H$5:H1944)),"""")"),"")</f>
        <v/>
      </c>
    </row>
    <row r="1945" ht="15.75" customHeight="1">
      <c r="A19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Helper'!$F$5:$F$3004,"""")&lt;&gt;""""),ROWS(A$5:A1945)),"""")"),"")</f>
        <v/>
      </c>
      <c r="B19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Helper'!$F$5:$F$3004,"""")&lt;&gt;""""),ROWS(B$5:B1945)),"""")"),"")</f>
        <v/>
      </c>
      <c r="C19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Helper'!$F$5:$F$3004,"""")&lt;&gt;""""),ROWS(C$5:C1945)),"""")"),"")</f>
        <v/>
      </c>
      <c r="D19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Helper'!$F$5:$F$3004,"""")&lt;&gt;""""),ROWS(D$5:D1945)),"""")"),"")</f>
        <v/>
      </c>
      <c r="E19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Helper'!$F$5:$F$3004,"""")&lt;&gt;""""),ROWS(E$5:E1945)),"""")"),"")</f>
        <v/>
      </c>
      <c r="F19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Helper'!$F$5:$F$3004,"""")&lt;&gt;""""),ROWS(F$5:F1945)),IF(AND(LEFT(x,5)=""Pag"&amp;"e "",ISERROR(SEARCH(""–"",x))),x&amp;""–""&amp;REGEXEXTRACT(x,""[0-9]+$""),x)),"""")"),"")</f>
        <v/>
      </c>
      <c r="G1945" s="163"/>
      <c r="H19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Helper'!$F$5:$F$3004,"""")&lt;&gt;""""),ROWS(H$5:H1945)),"""")"),"")</f>
        <v/>
      </c>
    </row>
    <row r="1946" ht="15.75" customHeight="1">
      <c r="A19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Helper'!$F$5:$F$3004,"""")&lt;&gt;""""),ROWS(A$5:A1946)),"""")"),"")</f>
        <v/>
      </c>
      <c r="B19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Helper'!$F$5:$F$3004,"""")&lt;&gt;""""),ROWS(B$5:B1946)),"""")"),"")</f>
        <v/>
      </c>
      <c r="C19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Helper'!$F$5:$F$3004,"""")&lt;&gt;""""),ROWS(C$5:C1946)),"""")"),"")</f>
        <v/>
      </c>
      <c r="D19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Helper'!$F$5:$F$3004,"""")&lt;&gt;""""),ROWS(D$5:D1946)),"""")"),"")</f>
        <v/>
      </c>
      <c r="E19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Helper'!$F$5:$F$3004,"""")&lt;&gt;""""),ROWS(E$5:E1946)),"""")"),"")</f>
        <v/>
      </c>
      <c r="F19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Helper'!$F$5:$F$3004,"""")&lt;&gt;""""),ROWS(F$5:F1946)),IF(AND(LEFT(x,5)=""Pag"&amp;"e "",ISERROR(SEARCH(""–"",x))),x&amp;""–""&amp;REGEXEXTRACT(x,""[0-9]+$""),x)),"""")"),"")</f>
        <v/>
      </c>
      <c r="G1946" s="163"/>
      <c r="H19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Helper'!$F$5:$F$3004,"""")&lt;&gt;""""),ROWS(H$5:H1946)),"""")"),"")</f>
        <v/>
      </c>
    </row>
    <row r="1947" ht="15.75" customHeight="1">
      <c r="A19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Helper'!$F$5:$F$3004,"""")&lt;&gt;""""),ROWS(A$5:A1947)),"""")"),"")</f>
        <v/>
      </c>
      <c r="B19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Helper'!$F$5:$F$3004,"""")&lt;&gt;""""),ROWS(B$5:B1947)),"""")"),"")</f>
        <v/>
      </c>
      <c r="C19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Helper'!$F$5:$F$3004,"""")&lt;&gt;""""),ROWS(C$5:C1947)),"""")"),"")</f>
        <v/>
      </c>
      <c r="D19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Helper'!$F$5:$F$3004,"""")&lt;&gt;""""),ROWS(D$5:D1947)),"""")"),"")</f>
        <v/>
      </c>
      <c r="E19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Helper'!$F$5:$F$3004,"""")&lt;&gt;""""),ROWS(E$5:E1947)),"""")"),"")</f>
        <v/>
      </c>
      <c r="F19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Helper'!$F$5:$F$3004,"""")&lt;&gt;""""),ROWS(F$5:F1947)),IF(AND(LEFT(x,5)=""Pag"&amp;"e "",ISERROR(SEARCH(""–"",x))),x&amp;""–""&amp;REGEXEXTRACT(x,""[0-9]+$""),x)),"""")"),"")</f>
        <v/>
      </c>
      <c r="G1947" s="163"/>
      <c r="H19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Helper'!$F$5:$F$3004,"""")&lt;&gt;""""),ROWS(H$5:H1947)),"""")"),"")</f>
        <v/>
      </c>
    </row>
    <row r="1948" ht="15.75" customHeight="1">
      <c r="A19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Helper'!$F$5:$F$3004,"""")&lt;&gt;""""),ROWS(A$5:A1948)),"""")"),"")</f>
        <v/>
      </c>
      <c r="B19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Helper'!$F$5:$F$3004,"""")&lt;&gt;""""),ROWS(B$5:B1948)),"""")"),"")</f>
        <v/>
      </c>
      <c r="C19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Helper'!$F$5:$F$3004,"""")&lt;&gt;""""),ROWS(C$5:C1948)),"""")"),"")</f>
        <v/>
      </c>
      <c r="D19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Helper'!$F$5:$F$3004,"""")&lt;&gt;""""),ROWS(D$5:D1948)),"""")"),"")</f>
        <v/>
      </c>
      <c r="E19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Helper'!$F$5:$F$3004,"""")&lt;&gt;""""),ROWS(E$5:E1948)),"""")"),"")</f>
        <v/>
      </c>
      <c r="F19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Helper'!$F$5:$F$3004,"""")&lt;&gt;""""),ROWS(F$5:F1948)),IF(AND(LEFT(x,5)=""Pag"&amp;"e "",ISERROR(SEARCH(""–"",x))),x&amp;""–""&amp;REGEXEXTRACT(x,""[0-9]+$""),x)),"""")"),"")</f>
        <v/>
      </c>
      <c r="G1948" s="163"/>
      <c r="H19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Helper'!$F$5:$F$3004,"""")&lt;&gt;""""),ROWS(H$5:H1948)),"""")"),"")</f>
        <v/>
      </c>
    </row>
    <row r="1949" ht="15.75" customHeight="1">
      <c r="A19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Helper'!$F$5:$F$3004,"""")&lt;&gt;""""),ROWS(A$5:A1949)),"""")"),"")</f>
        <v/>
      </c>
      <c r="B19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Helper'!$F$5:$F$3004,"""")&lt;&gt;""""),ROWS(B$5:B1949)),"""")"),"")</f>
        <v/>
      </c>
      <c r="C19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Helper'!$F$5:$F$3004,"""")&lt;&gt;""""),ROWS(C$5:C1949)),"""")"),"")</f>
        <v/>
      </c>
      <c r="D19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Helper'!$F$5:$F$3004,"""")&lt;&gt;""""),ROWS(D$5:D1949)),"""")"),"")</f>
        <v/>
      </c>
      <c r="E19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Helper'!$F$5:$F$3004,"""")&lt;&gt;""""),ROWS(E$5:E1949)),"""")"),"")</f>
        <v/>
      </c>
      <c r="F19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Helper'!$F$5:$F$3004,"""")&lt;&gt;""""),ROWS(F$5:F1949)),IF(AND(LEFT(x,5)=""Pag"&amp;"e "",ISERROR(SEARCH(""–"",x))),x&amp;""–""&amp;REGEXEXTRACT(x,""[0-9]+$""),x)),"""")"),"")</f>
        <v/>
      </c>
      <c r="G1949" s="163"/>
      <c r="H19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Helper'!$F$5:$F$3004,"""")&lt;&gt;""""),ROWS(H$5:H1949)),"""")"),"")</f>
        <v/>
      </c>
    </row>
    <row r="1950" ht="15.75" customHeight="1">
      <c r="A19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Helper'!$F$5:$F$3004,"""")&lt;&gt;""""),ROWS(A$5:A1950)),"""")"),"")</f>
        <v/>
      </c>
      <c r="B19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Helper'!$F$5:$F$3004,"""")&lt;&gt;""""),ROWS(B$5:B1950)),"""")"),"")</f>
        <v/>
      </c>
      <c r="C19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Helper'!$F$5:$F$3004,"""")&lt;&gt;""""),ROWS(C$5:C1950)),"""")"),"")</f>
        <v/>
      </c>
      <c r="D19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Helper'!$F$5:$F$3004,"""")&lt;&gt;""""),ROWS(D$5:D1950)),"""")"),"")</f>
        <v/>
      </c>
      <c r="E19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Helper'!$F$5:$F$3004,"""")&lt;&gt;""""),ROWS(E$5:E1950)),"""")"),"")</f>
        <v/>
      </c>
      <c r="F19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Helper'!$F$5:$F$3004,"""")&lt;&gt;""""),ROWS(F$5:F1950)),IF(AND(LEFT(x,5)=""Pag"&amp;"e "",ISERROR(SEARCH(""–"",x))),x&amp;""–""&amp;REGEXEXTRACT(x,""[0-9]+$""),x)),"""")"),"")</f>
        <v/>
      </c>
      <c r="G1950" s="163"/>
      <c r="H19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Helper'!$F$5:$F$3004,"""")&lt;&gt;""""),ROWS(H$5:H1950)),"""")"),"")</f>
        <v/>
      </c>
    </row>
    <row r="1951" ht="15.75" customHeight="1">
      <c r="A19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Helper'!$F$5:$F$3004,"""")&lt;&gt;""""),ROWS(A$5:A1951)),"""")"),"")</f>
        <v/>
      </c>
      <c r="B19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Helper'!$F$5:$F$3004,"""")&lt;&gt;""""),ROWS(B$5:B1951)),"""")"),"")</f>
        <v/>
      </c>
      <c r="C19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Helper'!$F$5:$F$3004,"""")&lt;&gt;""""),ROWS(C$5:C1951)),"""")"),"")</f>
        <v/>
      </c>
      <c r="D19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Helper'!$F$5:$F$3004,"""")&lt;&gt;""""),ROWS(D$5:D1951)),"""")"),"")</f>
        <v/>
      </c>
      <c r="E19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Helper'!$F$5:$F$3004,"""")&lt;&gt;""""),ROWS(E$5:E1951)),"""")"),"")</f>
        <v/>
      </c>
      <c r="F19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Helper'!$F$5:$F$3004,"""")&lt;&gt;""""),ROWS(F$5:F1951)),IF(AND(LEFT(x,5)=""Pag"&amp;"e "",ISERROR(SEARCH(""–"",x))),x&amp;""–""&amp;REGEXEXTRACT(x,""[0-9]+$""),x)),"""")"),"")</f>
        <v/>
      </c>
      <c r="G1951" s="163"/>
      <c r="H19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Helper'!$F$5:$F$3004,"""")&lt;&gt;""""),ROWS(H$5:H1951)),"""")"),"")</f>
        <v/>
      </c>
    </row>
    <row r="1952" ht="15.75" customHeight="1">
      <c r="A19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Helper'!$F$5:$F$3004,"""")&lt;&gt;""""),ROWS(A$5:A1952)),"""")"),"")</f>
        <v/>
      </c>
      <c r="B19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Helper'!$F$5:$F$3004,"""")&lt;&gt;""""),ROWS(B$5:B1952)),"""")"),"")</f>
        <v/>
      </c>
      <c r="C19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Helper'!$F$5:$F$3004,"""")&lt;&gt;""""),ROWS(C$5:C1952)),"""")"),"")</f>
        <v/>
      </c>
      <c r="D19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Helper'!$F$5:$F$3004,"""")&lt;&gt;""""),ROWS(D$5:D1952)),"""")"),"")</f>
        <v/>
      </c>
      <c r="E19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Helper'!$F$5:$F$3004,"""")&lt;&gt;""""),ROWS(E$5:E1952)),"""")"),"")</f>
        <v/>
      </c>
      <c r="F19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Helper'!$F$5:$F$3004,"""")&lt;&gt;""""),ROWS(F$5:F1952)),IF(AND(LEFT(x,5)=""Pag"&amp;"e "",ISERROR(SEARCH(""–"",x))),x&amp;""–""&amp;REGEXEXTRACT(x,""[0-9]+$""),x)),"""")"),"")</f>
        <v/>
      </c>
      <c r="G1952" s="163"/>
      <c r="H19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Helper'!$F$5:$F$3004,"""")&lt;&gt;""""),ROWS(H$5:H1952)),"""")"),"")</f>
        <v/>
      </c>
    </row>
    <row r="1953" ht="15.75" customHeight="1">
      <c r="A19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Helper'!$F$5:$F$3004,"""")&lt;&gt;""""),ROWS(A$5:A1953)),"""")"),"")</f>
        <v/>
      </c>
      <c r="B19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Helper'!$F$5:$F$3004,"""")&lt;&gt;""""),ROWS(B$5:B1953)),"""")"),"")</f>
        <v/>
      </c>
      <c r="C19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Helper'!$F$5:$F$3004,"""")&lt;&gt;""""),ROWS(C$5:C1953)),"""")"),"")</f>
        <v/>
      </c>
      <c r="D19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Helper'!$F$5:$F$3004,"""")&lt;&gt;""""),ROWS(D$5:D1953)),"""")"),"")</f>
        <v/>
      </c>
      <c r="E19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Helper'!$F$5:$F$3004,"""")&lt;&gt;""""),ROWS(E$5:E1953)),"""")"),"")</f>
        <v/>
      </c>
      <c r="F19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Helper'!$F$5:$F$3004,"""")&lt;&gt;""""),ROWS(F$5:F1953)),IF(AND(LEFT(x,5)=""Pag"&amp;"e "",ISERROR(SEARCH(""–"",x))),x&amp;""–""&amp;REGEXEXTRACT(x,""[0-9]+$""),x)),"""")"),"")</f>
        <v/>
      </c>
      <c r="G1953" s="163"/>
      <c r="H19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Helper'!$F$5:$F$3004,"""")&lt;&gt;""""),ROWS(H$5:H1953)),"""")"),"")</f>
        <v/>
      </c>
    </row>
    <row r="1954" ht="15.75" customHeight="1">
      <c r="A19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Helper'!$F$5:$F$3004,"""")&lt;&gt;""""),ROWS(A$5:A1954)),"""")"),"")</f>
        <v/>
      </c>
      <c r="B19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Helper'!$F$5:$F$3004,"""")&lt;&gt;""""),ROWS(B$5:B1954)),"""")"),"")</f>
        <v/>
      </c>
      <c r="C19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Helper'!$F$5:$F$3004,"""")&lt;&gt;""""),ROWS(C$5:C1954)),"""")"),"")</f>
        <v/>
      </c>
      <c r="D19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Helper'!$F$5:$F$3004,"""")&lt;&gt;""""),ROWS(D$5:D1954)),"""")"),"")</f>
        <v/>
      </c>
      <c r="E19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Helper'!$F$5:$F$3004,"""")&lt;&gt;""""),ROWS(E$5:E1954)),"""")"),"")</f>
        <v/>
      </c>
      <c r="F19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Helper'!$F$5:$F$3004,"""")&lt;&gt;""""),ROWS(F$5:F1954)),IF(AND(LEFT(x,5)=""Pag"&amp;"e "",ISERROR(SEARCH(""–"",x))),x&amp;""–""&amp;REGEXEXTRACT(x,""[0-9]+$""),x)),"""")"),"")</f>
        <v/>
      </c>
      <c r="G1954" s="163"/>
      <c r="H19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Helper'!$F$5:$F$3004,"""")&lt;&gt;""""),ROWS(H$5:H1954)),"""")"),"")</f>
        <v/>
      </c>
    </row>
    <row r="1955" ht="15.75" customHeight="1">
      <c r="A19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Helper'!$F$5:$F$3004,"""")&lt;&gt;""""),ROWS(A$5:A1955)),"""")"),"")</f>
        <v/>
      </c>
      <c r="B19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Helper'!$F$5:$F$3004,"""")&lt;&gt;""""),ROWS(B$5:B1955)),"""")"),"")</f>
        <v/>
      </c>
      <c r="C19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Helper'!$F$5:$F$3004,"""")&lt;&gt;""""),ROWS(C$5:C1955)),"""")"),"")</f>
        <v/>
      </c>
      <c r="D19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Helper'!$F$5:$F$3004,"""")&lt;&gt;""""),ROWS(D$5:D1955)),"""")"),"")</f>
        <v/>
      </c>
      <c r="E19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Helper'!$F$5:$F$3004,"""")&lt;&gt;""""),ROWS(E$5:E1955)),"""")"),"")</f>
        <v/>
      </c>
      <c r="F19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Helper'!$F$5:$F$3004,"""")&lt;&gt;""""),ROWS(F$5:F1955)),IF(AND(LEFT(x,5)=""Pag"&amp;"e "",ISERROR(SEARCH(""–"",x))),x&amp;""–""&amp;REGEXEXTRACT(x,""[0-9]+$""),x)),"""")"),"")</f>
        <v/>
      </c>
      <c r="G1955" s="163"/>
      <c r="H19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Helper'!$F$5:$F$3004,"""")&lt;&gt;""""),ROWS(H$5:H1955)),"""")"),"")</f>
        <v/>
      </c>
    </row>
    <row r="1956" ht="15.75" customHeight="1">
      <c r="A19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Helper'!$F$5:$F$3004,"""")&lt;&gt;""""),ROWS(A$5:A1956)),"""")"),"")</f>
        <v/>
      </c>
      <c r="B19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Helper'!$F$5:$F$3004,"""")&lt;&gt;""""),ROWS(B$5:B1956)),"""")"),"")</f>
        <v/>
      </c>
      <c r="C19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Helper'!$F$5:$F$3004,"""")&lt;&gt;""""),ROWS(C$5:C1956)),"""")"),"")</f>
        <v/>
      </c>
      <c r="D19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Helper'!$F$5:$F$3004,"""")&lt;&gt;""""),ROWS(D$5:D1956)),"""")"),"")</f>
        <v/>
      </c>
      <c r="E19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Helper'!$F$5:$F$3004,"""")&lt;&gt;""""),ROWS(E$5:E1956)),"""")"),"")</f>
        <v/>
      </c>
      <c r="F19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Helper'!$F$5:$F$3004,"""")&lt;&gt;""""),ROWS(F$5:F1956)),IF(AND(LEFT(x,5)=""Pag"&amp;"e "",ISERROR(SEARCH(""–"",x))),x&amp;""–""&amp;REGEXEXTRACT(x,""[0-9]+$""),x)),"""")"),"")</f>
        <v/>
      </c>
      <c r="G1956" s="163"/>
      <c r="H19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Helper'!$F$5:$F$3004,"""")&lt;&gt;""""),ROWS(H$5:H1956)),"""")"),"")</f>
        <v/>
      </c>
    </row>
    <row r="1957" ht="15.75" customHeight="1">
      <c r="A19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Helper'!$F$5:$F$3004,"""")&lt;&gt;""""),ROWS(A$5:A1957)),"""")"),"")</f>
        <v/>
      </c>
      <c r="B19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Helper'!$F$5:$F$3004,"""")&lt;&gt;""""),ROWS(B$5:B1957)),"""")"),"")</f>
        <v/>
      </c>
      <c r="C19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Helper'!$F$5:$F$3004,"""")&lt;&gt;""""),ROWS(C$5:C1957)),"""")"),"")</f>
        <v/>
      </c>
      <c r="D19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Helper'!$F$5:$F$3004,"""")&lt;&gt;""""),ROWS(D$5:D1957)),"""")"),"")</f>
        <v/>
      </c>
      <c r="E19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Helper'!$F$5:$F$3004,"""")&lt;&gt;""""),ROWS(E$5:E1957)),"""")"),"")</f>
        <v/>
      </c>
      <c r="F19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Helper'!$F$5:$F$3004,"""")&lt;&gt;""""),ROWS(F$5:F1957)),IF(AND(LEFT(x,5)=""Pag"&amp;"e "",ISERROR(SEARCH(""–"",x))),x&amp;""–""&amp;REGEXEXTRACT(x,""[0-9]+$""),x)),"""")"),"")</f>
        <v/>
      </c>
      <c r="G1957" s="163"/>
      <c r="H19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Helper'!$F$5:$F$3004,"""")&lt;&gt;""""),ROWS(H$5:H1957)),"""")"),"")</f>
        <v/>
      </c>
    </row>
    <row r="1958" ht="15.75" customHeight="1">
      <c r="A19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Helper'!$F$5:$F$3004,"""")&lt;&gt;""""),ROWS(A$5:A1958)),"""")"),"")</f>
        <v/>
      </c>
      <c r="B19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Helper'!$F$5:$F$3004,"""")&lt;&gt;""""),ROWS(B$5:B1958)),"""")"),"")</f>
        <v/>
      </c>
      <c r="C19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Helper'!$F$5:$F$3004,"""")&lt;&gt;""""),ROWS(C$5:C1958)),"""")"),"")</f>
        <v/>
      </c>
      <c r="D19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Helper'!$F$5:$F$3004,"""")&lt;&gt;""""),ROWS(D$5:D1958)),"""")"),"")</f>
        <v/>
      </c>
      <c r="E19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Helper'!$F$5:$F$3004,"""")&lt;&gt;""""),ROWS(E$5:E1958)),"""")"),"")</f>
        <v/>
      </c>
      <c r="F19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Helper'!$F$5:$F$3004,"""")&lt;&gt;""""),ROWS(F$5:F1958)),IF(AND(LEFT(x,5)=""Pag"&amp;"e "",ISERROR(SEARCH(""–"",x))),x&amp;""–""&amp;REGEXEXTRACT(x,""[0-9]+$""),x)),"""")"),"")</f>
        <v/>
      </c>
      <c r="G1958" s="163"/>
      <c r="H19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Helper'!$F$5:$F$3004,"""")&lt;&gt;""""),ROWS(H$5:H1958)),"""")"),"")</f>
        <v/>
      </c>
    </row>
    <row r="1959" ht="15.75" customHeight="1">
      <c r="A19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Helper'!$F$5:$F$3004,"""")&lt;&gt;""""),ROWS(A$5:A1959)),"""")"),"")</f>
        <v/>
      </c>
      <c r="B19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Helper'!$F$5:$F$3004,"""")&lt;&gt;""""),ROWS(B$5:B1959)),"""")"),"")</f>
        <v/>
      </c>
      <c r="C19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Helper'!$F$5:$F$3004,"""")&lt;&gt;""""),ROWS(C$5:C1959)),"""")"),"")</f>
        <v/>
      </c>
      <c r="D19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Helper'!$F$5:$F$3004,"""")&lt;&gt;""""),ROWS(D$5:D1959)),"""")"),"")</f>
        <v/>
      </c>
      <c r="E19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Helper'!$F$5:$F$3004,"""")&lt;&gt;""""),ROWS(E$5:E1959)),"""")"),"")</f>
        <v/>
      </c>
      <c r="F19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Helper'!$F$5:$F$3004,"""")&lt;&gt;""""),ROWS(F$5:F1959)),IF(AND(LEFT(x,5)=""Pag"&amp;"e "",ISERROR(SEARCH(""–"",x))),x&amp;""–""&amp;REGEXEXTRACT(x,""[0-9]+$""),x)),"""")"),"")</f>
        <v/>
      </c>
      <c r="G1959" s="163"/>
      <c r="H19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Helper'!$F$5:$F$3004,"""")&lt;&gt;""""),ROWS(H$5:H1959)),"""")"),"")</f>
        <v/>
      </c>
    </row>
    <row r="1960" ht="15.75" customHeight="1">
      <c r="A19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Helper'!$F$5:$F$3004,"""")&lt;&gt;""""),ROWS(A$5:A1960)),"""")"),"")</f>
        <v/>
      </c>
      <c r="B19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Helper'!$F$5:$F$3004,"""")&lt;&gt;""""),ROWS(B$5:B1960)),"""")"),"")</f>
        <v/>
      </c>
      <c r="C19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Helper'!$F$5:$F$3004,"""")&lt;&gt;""""),ROWS(C$5:C1960)),"""")"),"")</f>
        <v/>
      </c>
      <c r="D19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Helper'!$F$5:$F$3004,"""")&lt;&gt;""""),ROWS(D$5:D1960)),"""")"),"")</f>
        <v/>
      </c>
      <c r="E19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Helper'!$F$5:$F$3004,"""")&lt;&gt;""""),ROWS(E$5:E1960)),"""")"),"")</f>
        <v/>
      </c>
      <c r="F19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Helper'!$F$5:$F$3004,"""")&lt;&gt;""""),ROWS(F$5:F1960)),IF(AND(LEFT(x,5)=""Pag"&amp;"e "",ISERROR(SEARCH(""–"",x))),x&amp;""–""&amp;REGEXEXTRACT(x,""[0-9]+$""),x)),"""")"),"")</f>
        <v/>
      </c>
      <c r="G1960" s="163"/>
      <c r="H19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Helper'!$F$5:$F$3004,"""")&lt;&gt;""""),ROWS(H$5:H1960)),"""")"),"")</f>
        <v/>
      </c>
    </row>
    <row r="1961" ht="15.75" customHeight="1">
      <c r="A19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Helper'!$F$5:$F$3004,"""")&lt;&gt;""""),ROWS(A$5:A1961)),"""")"),"")</f>
        <v/>
      </c>
      <c r="B19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Helper'!$F$5:$F$3004,"""")&lt;&gt;""""),ROWS(B$5:B1961)),"""")"),"")</f>
        <v/>
      </c>
      <c r="C19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Helper'!$F$5:$F$3004,"""")&lt;&gt;""""),ROWS(C$5:C1961)),"""")"),"")</f>
        <v/>
      </c>
      <c r="D19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Helper'!$F$5:$F$3004,"""")&lt;&gt;""""),ROWS(D$5:D1961)),"""")"),"")</f>
        <v/>
      </c>
      <c r="E19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Helper'!$F$5:$F$3004,"""")&lt;&gt;""""),ROWS(E$5:E1961)),"""")"),"")</f>
        <v/>
      </c>
      <c r="F19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Helper'!$F$5:$F$3004,"""")&lt;&gt;""""),ROWS(F$5:F1961)),IF(AND(LEFT(x,5)=""Pag"&amp;"e "",ISERROR(SEARCH(""–"",x))),x&amp;""–""&amp;REGEXEXTRACT(x,""[0-9]+$""),x)),"""")"),"")</f>
        <v/>
      </c>
      <c r="G1961" s="163"/>
      <c r="H19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Helper'!$F$5:$F$3004,"""")&lt;&gt;""""),ROWS(H$5:H1961)),"""")"),"")</f>
        <v/>
      </c>
    </row>
    <row r="1962" ht="15.75" customHeight="1">
      <c r="A19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Helper'!$F$5:$F$3004,"""")&lt;&gt;""""),ROWS(A$5:A1962)),"""")"),"")</f>
        <v/>
      </c>
      <c r="B19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Helper'!$F$5:$F$3004,"""")&lt;&gt;""""),ROWS(B$5:B1962)),"""")"),"")</f>
        <v/>
      </c>
      <c r="C19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Helper'!$F$5:$F$3004,"""")&lt;&gt;""""),ROWS(C$5:C1962)),"""")"),"")</f>
        <v/>
      </c>
      <c r="D19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Helper'!$F$5:$F$3004,"""")&lt;&gt;""""),ROWS(D$5:D1962)),"""")"),"")</f>
        <v/>
      </c>
      <c r="E19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Helper'!$F$5:$F$3004,"""")&lt;&gt;""""),ROWS(E$5:E1962)),"""")"),"")</f>
        <v/>
      </c>
      <c r="F19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Helper'!$F$5:$F$3004,"""")&lt;&gt;""""),ROWS(F$5:F1962)),IF(AND(LEFT(x,5)=""Pag"&amp;"e "",ISERROR(SEARCH(""–"",x))),x&amp;""–""&amp;REGEXEXTRACT(x,""[0-9]+$""),x)),"""")"),"")</f>
        <v/>
      </c>
      <c r="G1962" s="163"/>
      <c r="H19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Helper'!$F$5:$F$3004,"""")&lt;&gt;""""),ROWS(H$5:H1962)),"""")"),"")</f>
        <v/>
      </c>
    </row>
    <row r="1963" ht="15.75" customHeight="1">
      <c r="A19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Helper'!$F$5:$F$3004,"""")&lt;&gt;""""),ROWS(A$5:A1963)),"""")"),"")</f>
        <v/>
      </c>
      <c r="B19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Helper'!$F$5:$F$3004,"""")&lt;&gt;""""),ROWS(B$5:B1963)),"""")"),"")</f>
        <v/>
      </c>
      <c r="C19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Helper'!$F$5:$F$3004,"""")&lt;&gt;""""),ROWS(C$5:C1963)),"""")"),"")</f>
        <v/>
      </c>
      <c r="D19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Helper'!$F$5:$F$3004,"""")&lt;&gt;""""),ROWS(D$5:D1963)),"""")"),"")</f>
        <v/>
      </c>
      <c r="E19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Helper'!$F$5:$F$3004,"""")&lt;&gt;""""),ROWS(E$5:E1963)),"""")"),"")</f>
        <v/>
      </c>
      <c r="F19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Helper'!$F$5:$F$3004,"""")&lt;&gt;""""),ROWS(F$5:F1963)),IF(AND(LEFT(x,5)=""Pag"&amp;"e "",ISERROR(SEARCH(""–"",x))),x&amp;""–""&amp;REGEXEXTRACT(x,""[0-9]+$""),x)),"""")"),"")</f>
        <v/>
      </c>
      <c r="G1963" s="163"/>
      <c r="H19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Helper'!$F$5:$F$3004,"""")&lt;&gt;""""),ROWS(H$5:H1963)),"""")"),"")</f>
        <v/>
      </c>
    </row>
    <row r="1964" ht="15.75" customHeight="1">
      <c r="A19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Helper'!$F$5:$F$3004,"""")&lt;&gt;""""),ROWS(A$5:A1964)),"""")"),"")</f>
        <v/>
      </c>
      <c r="B19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Helper'!$F$5:$F$3004,"""")&lt;&gt;""""),ROWS(B$5:B1964)),"""")"),"")</f>
        <v/>
      </c>
      <c r="C19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Helper'!$F$5:$F$3004,"""")&lt;&gt;""""),ROWS(C$5:C1964)),"""")"),"")</f>
        <v/>
      </c>
      <c r="D19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Helper'!$F$5:$F$3004,"""")&lt;&gt;""""),ROWS(D$5:D1964)),"""")"),"")</f>
        <v/>
      </c>
      <c r="E19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Helper'!$F$5:$F$3004,"""")&lt;&gt;""""),ROWS(E$5:E1964)),"""")"),"")</f>
        <v/>
      </c>
      <c r="F19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Helper'!$F$5:$F$3004,"""")&lt;&gt;""""),ROWS(F$5:F1964)),IF(AND(LEFT(x,5)=""Pag"&amp;"e "",ISERROR(SEARCH(""–"",x))),x&amp;""–""&amp;REGEXEXTRACT(x,""[0-9]+$""),x)),"""")"),"")</f>
        <v/>
      </c>
      <c r="G1964" s="163"/>
      <c r="H19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Helper'!$F$5:$F$3004,"""")&lt;&gt;""""),ROWS(H$5:H1964)),"""")"),"")</f>
        <v/>
      </c>
    </row>
    <row r="1965" ht="15.75" customHeight="1">
      <c r="A19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Helper'!$F$5:$F$3004,"""")&lt;&gt;""""),ROWS(A$5:A1965)),"""")"),"")</f>
        <v/>
      </c>
      <c r="B19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Helper'!$F$5:$F$3004,"""")&lt;&gt;""""),ROWS(B$5:B1965)),"""")"),"")</f>
        <v/>
      </c>
      <c r="C19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Helper'!$F$5:$F$3004,"""")&lt;&gt;""""),ROWS(C$5:C1965)),"""")"),"")</f>
        <v/>
      </c>
      <c r="D19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Helper'!$F$5:$F$3004,"""")&lt;&gt;""""),ROWS(D$5:D1965)),"""")"),"")</f>
        <v/>
      </c>
      <c r="E19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Helper'!$F$5:$F$3004,"""")&lt;&gt;""""),ROWS(E$5:E1965)),"""")"),"")</f>
        <v/>
      </c>
      <c r="F19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Helper'!$F$5:$F$3004,"""")&lt;&gt;""""),ROWS(F$5:F1965)),IF(AND(LEFT(x,5)=""Pag"&amp;"e "",ISERROR(SEARCH(""–"",x))),x&amp;""–""&amp;REGEXEXTRACT(x,""[0-9]+$""),x)),"""")"),"")</f>
        <v/>
      </c>
      <c r="G1965" s="163"/>
      <c r="H19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Helper'!$F$5:$F$3004,"""")&lt;&gt;""""),ROWS(H$5:H1965)),"""")"),"")</f>
        <v/>
      </c>
    </row>
    <row r="1966" ht="15.75" customHeight="1">
      <c r="A19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Helper'!$F$5:$F$3004,"""")&lt;&gt;""""),ROWS(A$5:A1966)),"""")"),"")</f>
        <v/>
      </c>
      <c r="B19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Helper'!$F$5:$F$3004,"""")&lt;&gt;""""),ROWS(B$5:B1966)),"""")"),"")</f>
        <v/>
      </c>
      <c r="C19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Helper'!$F$5:$F$3004,"""")&lt;&gt;""""),ROWS(C$5:C1966)),"""")"),"")</f>
        <v/>
      </c>
      <c r="D19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Helper'!$F$5:$F$3004,"""")&lt;&gt;""""),ROWS(D$5:D1966)),"""")"),"")</f>
        <v/>
      </c>
      <c r="E19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Helper'!$F$5:$F$3004,"""")&lt;&gt;""""),ROWS(E$5:E1966)),"""")"),"")</f>
        <v/>
      </c>
      <c r="F19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Helper'!$F$5:$F$3004,"""")&lt;&gt;""""),ROWS(F$5:F1966)),IF(AND(LEFT(x,5)=""Pag"&amp;"e "",ISERROR(SEARCH(""–"",x))),x&amp;""–""&amp;REGEXEXTRACT(x,""[0-9]+$""),x)),"""")"),"")</f>
        <v/>
      </c>
      <c r="G1966" s="163"/>
      <c r="H19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Helper'!$F$5:$F$3004,"""")&lt;&gt;""""),ROWS(H$5:H1966)),"""")"),"")</f>
        <v/>
      </c>
    </row>
    <row r="1967" ht="15.75" customHeight="1">
      <c r="A19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Helper'!$F$5:$F$3004,"""")&lt;&gt;""""),ROWS(A$5:A1967)),"""")"),"")</f>
        <v/>
      </c>
      <c r="B19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Helper'!$F$5:$F$3004,"""")&lt;&gt;""""),ROWS(B$5:B1967)),"""")"),"")</f>
        <v/>
      </c>
      <c r="C19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Helper'!$F$5:$F$3004,"""")&lt;&gt;""""),ROWS(C$5:C1967)),"""")"),"")</f>
        <v/>
      </c>
      <c r="D19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Helper'!$F$5:$F$3004,"""")&lt;&gt;""""),ROWS(D$5:D1967)),"""")"),"")</f>
        <v/>
      </c>
      <c r="E19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Helper'!$F$5:$F$3004,"""")&lt;&gt;""""),ROWS(E$5:E1967)),"""")"),"")</f>
        <v/>
      </c>
      <c r="F19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Helper'!$F$5:$F$3004,"""")&lt;&gt;""""),ROWS(F$5:F1967)),IF(AND(LEFT(x,5)=""Pag"&amp;"e "",ISERROR(SEARCH(""–"",x))),x&amp;""–""&amp;REGEXEXTRACT(x,""[0-9]+$""),x)),"""")"),"")</f>
        <v/>
      </c>
      <c r="G1967" s="163"/>
      <c r="H19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Helper'!$F$5:$F$3004,"""")&lt;&gt;""""),ROWS(H$5:H1967)),"""")"),"")</f>
        <v/>
      </c>
    </row>
    <row r="1968" ht="15.75" customHeight="1">
      <c r="A19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Helper'!$F$5:$F$3004,"""")&lt;&gt;""""),ROWS(A$5:A1968)),"""")"),"")</f>
        <v/>
      </c>
      <c r="B19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Helper'!$F$5:$F$3004,"""")&lt;&gt;""""),ROWS(B$5:B1968)),"""")"),"")</f>
        <v/>
      </c>
      <c r="C19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Helper'!$F$5:$F$3004,"""")&lt;&gt;""""),ROWS(C$5:C1968)),"""")"),"")</f>
        <v/>
      </c>
      <c r="D19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Helper'!$F$5:$F$3004,"""")&lt;&gt;""""),ROWS(D$5:D1968)),"""")"),"")</f>
        <v/>
      </c>
      <c r="E19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Helper'!$F$5:$F$3004,"""")&lt;&gt;""""),ROWS(E$5:E1968)),"""")"),"")</f>
        <v/>
      </c>
      <c r="F19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Helper'!$F$5:$F$3004,"""")&lt;&gt;""""),ROWS(F$5:F1968)),IF(AND(LEFT(x,5)=""Pag"&amp;"e "",ISERROR(SEARCH(""–"",x))),x&amp;""–""&amp;REGEXEXTRACT(x,""[0-9]+$""),x)),"""")"),"")</f>
        <v/>
      </c>
      <c r="G1968" s="163"/>
      <c r="H19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Helper'!$F$5:$F$3004,"""")&lt;&gt;""""),ROWS(H$5:H1968)),"""")"),"")</f>
        <v/>
      </c>
    </row>
    <row r="1969" ht="15.75" customHeight="1">
      <c r="A19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Helper'!$F$5:$F$3004,"""")&lt;&gt;""""),ROWS(A$5:A1969)),"""")"),"")</f>
        <v/>
      </c>
      <c r="B19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Helper'!$F$5:$F$3004,"""")&lt;&gt;""""),ROWS(B$5:B1969)),"""")"),"")</f>
        <v/>
      </c>
      <c r="C19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Helper'!$F$5:$F$3004,"""")&lt;&gt;""""),ROWS(C$5:C1969)),"""")"),"")</f>
        <v/>
      </c>
      <c r="D19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Helper'!$F$5:$F$3004,"""")&lt;&gt;""""),ROWS(D$5:D1969)),"""")"),"")</f>
        <v/>
      </c>
      <c r="E19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Helper'!$F$5:$F$3004,"""")&lt;&gt;""""),ROWS(E$5:E1969)),"""")"),"")</f>
        <v/>
      </c>
      <c r="F19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Helper'!$F$5:$F$3004,"""")&lt;&gt;""""),ROWS(F$5:F1969)),IF(AND(LEFT(x,5)=""Pag"&amp;"e "",ISERROR(SEARCH(""–"",x))),x&amp;""–""&amp;REGEXEXTRACT(x,""[0-9]+$""),x)),"""")"),"")</f>
        <v/>
      </c>
      <c r="G1969" s="163"/>
      <c r="H19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Helper'!$F$5:$F$3004,"""")&lt;&gt;""""),ROWS(H$5:H1969)),"""")"),"")</f>
        <v/>
      </c>
    </row>
    <row r="1970" ht="15.75" customHeight="1">
      <c r="A19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Helper'!$F$5:$F$3004,"""")&lt;&gt;""""),ROWS(A$5:A1970)),"""")"),"")</f>
        <v/>
      </c>
      <c r="B19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Helper'!$F$5:$F$3004,"""")&lt;&gt;""""),ROWS(B$5:B1970)),"""")"),"")</f>
        <v/>
      </c>
      <c r="C19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Helper'!$F$5:$F$3004,"""")&lt;&gt;""""),ROWS(C$5:C1970)),"""")"),"")</f>
        <v/>
      </c>
      <c r="D19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Helper'!$F$5:$F$3004,"""")&lt;&gt;""""),ROWS(D$5:D1970)),"""")"),"")</f>
        <v/>
      </c>
      <c r="E19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Helper'!$F$5:$F$3004,"""")&lt;&gt;""""),ROWS(E$5:E1970)),"""")"),"")</f>
        <v/>
      </c>
      <c r="F19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Helper'!$F$5:$F$3004,"""")&lt;&gt;""""),ROWS(F$5:F1970)),IF(AND(LEFT(x,5)=""Pag"&amp;"e "",ISERROR(SEARCH(""–"",x))),x&amp;""–""&amp;REGEXEXTRACT(x,""[0-9]+$""),x)),"""")"),"")</f>
        <v/>
      </c>
      <c r="G1970" s="163"/>
      <c r="H19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Helper'!$F$5:$F$3004,"""")&lt;&gt;""""),ROWS(H$5:H1970)),"""")"),"")</f>
        <v/>
      </c>
    </row>
    <row r="1971" ht="15.75" customHeight="1">
      <c r="A19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Helper'!$F$5:$F$3004,"""")&lt;&gt;""""),ROWS(A$5:A1971)),"""")"),"")</f>
        <v/>
      </c>
      <c r="B19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Helper'!$F$5:$F$3004,"""")&lt;&gt;""""),ROWS(B$5:B1971)),"""")"),"")</f>
        <v/>
      </c>
      <c r="C19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Helper'!$F$5:$F$3004,"""")&lt;&gt;""""),ROWS(C$5:C1971)),"""")"),"")</f>
        <v/>
      </c>
      <c r="D19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Helper'!$F$5:$F$3004,"""")&lt;&gt;""""),ROWS(D$5:D1971)),"""")"),"")</f>
        <v/>
      </c>
      <c r="E19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Helper'!$F$5:$F$3004,"""")&lt;&gt;""""),ROWS(E$5:E1971)),"""")"),"")</f>
        <v/>
      </c>
      <c r="F19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Helper'!$F$5:$F$3004,"""")&lt;&gt;""""),ROWS(F$5:F1971)),IF(AND(LEFT(x,5)=""Pag"&amp;"e "",ISERROR(SEARCH(""–"",x))),x&amp;""–""&amp;REGEXEXTRACT(x,""[0-9]+$""),x)),"""")"),"")</f>
        <v/>
      </c>
      <c r="G1971" s="163"/>
      <c r="H19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Helper'!$F$5:$F$3004,"""")&lt;&gt;""""),ROWS(H$5:H1971)),"""")"),"")</f>
        <v/>
      </c>
    </row>
    <row r="1972" ht="15.75" customHeight="1">
      <c r="A19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Helper'!$F$5:$F$3004,"""")&lt;&gt;""""),ROWS(A$5:A1972)),"""")"),"")</f>
        <v/>
      </c>
      <c r="B19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Helper'!$F$5:$F$3004,"""")&lt;&gt;""""),ROWS(B$5:B1972)),"""")"),"")</f>
        <v/>
      </c>
      <c r="C19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Helper'!$F$5:$F$3004,"""")&lt;&gt;""""),ROWS(C$5:C1972)),"""")"),"")</f>
        <v/>
      </c>
      <c r="D19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Helper'!$F$5:$F$3004,"""")&lt;&gt;""""),ROWS(D$5:D1972)),"""")"),"")</f>
        <v/>
      </c>
      <c r="E19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Helper'!$F$5:$F$3004,"""")&lt;&gt;""""),ROWS(E$5:E1972)),"""")"),"")</f>
        <v/>
      </c>
      <c r="F19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Helper'!$F$5:$F$3004,"""")&lt;&gt;""""),ROWS(F$5:F1972)),IF(AND(LEFT(x,5)=""Pag"&amp;"e "",ISERROR(SEARCH(""–"",x))),x&amp;""–""&amp;REGEXEXTRACT(x,""[0-9]+$""),x)),"""")"),"")</f>
        <v/>
      </c>
      <c r="G1972" s="163"/>
      <c r="H19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Helper'!$F$5:$F$3004,"""")&lt;&gt;""""),ROWS(H$5:H1972)),"""")"),"")</f>
        <v/>
      </c>
    </row>
    <row r="1973" ht="15.75" customHeight="1">
      <c r="A19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Helper'!$F$5:$F$3004,"""")&lt;&gt;""""),ROWS(A$5:A1973)),"""")"),"")</f>
        <v/>
      </c>
      <c r="B19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Helper'!$F$5:$F$3004,"""")&lt;&gt;""""),ROWS(B$5:B1973)),"""")"),"")</f>
        <v/>
      </c>
      <c r="C19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Helper'!$F$5:$F$3004,"""")&lt;&gt;""""),ROWS(C$5:C1973)),"""")"),"")</f>
        <v/>
      </c>
      <c r="D19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Helper'!$F$5:$F$3004,"""")&lt;&gt;""""),ROWS(D$5:D1973)),"""")"),"")</f>
        <v/>
      </c>
      <c r="E19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Helper'!$F$5:$F$3004,"""")&lt;&gt;""""),ROWS(E$5:E1973)),"""")"),"")</f>
        <v/>
      </c>
      <c r="F19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Helper'!$F$5:$F$3004,"""")&lt;&gt;""""),ROWS(F$5:F1973)),IF(AND(LEFT(x,5)=""Pag"&amp;"e "",ISERROR(SEARCH(""–"",x))),x&amp;""–""&amp;REGEXEXTRACT(x,""[0-9]+$""),x)),"""")"),"")</f>
        <v/>
      </c>
      <c r="G1973" s="163"/>
      <c r="H19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Helper'!$F$5:$F$3004,"""")&lt;&gt;""""),ROWS(H$5:H1973)),"""")"),"")</f>
        <v/>
      </c>
    </row>
    <row r="1974" ht="15.75" customHeight="1">
      <c r="A19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Helper'!$F$5:$F$3004,"""")&lt;&gt;""""),ROWS(A$5:A1974)),"""")"),"")</f>
        <v/>
      </c>
      <c r="B19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Helper'!$F$5:$F$3004,"""")&lt;&gt;""""),ROWS(B$5:B1974)),"""")"),"")</f>
        <v/>
      </c>
      <c r="C19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Helper'!$F$5:$F$3004,"""")&lt;&gt;""""),ROWS(C$5:C1974)),"""")"),"")</f>
        <v/>
      </c>
      <c r="D19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Helper'!$F$5:$F$3004,"""")&lt;&gt;""""),ROWS(D$5:D1974)),"""")"),"")</f>
        <v/>
      </c>
      <c r="E19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Helper'!$F$5:$F$3004,"""")&lt;&gt;""""),ROWS(E$5:E1974)),"""")"),"")</f>
        <v/>
      </c>
      <c r="F19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Helper'!$F$5:$F$3004,"""")&lt;&gt;""""),ROWS(F$5:F1974)),IF(AND(LEFT(x,5)=""Pag"&amp;"e "",ISERROR(SEARCH(""–"",x))),x&amp;""–""&amp;REGEXEXTRACT(x,""[0-9]+$""),x)),"""")"),"")</f>
        <v/>
      </c>
      <c r="G1974" s="163"/>
      <c r="H19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Helper'!$F$5:$F$3004,"""")&lt;&gt;""""),ROWS(H$5:H1974)),"""")"),"")</f>
        <v/>
      </c>
    </row>
    <row r="1975" ht="15.75" customHeight="1">
      <c r="A19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Helper'!$F$5:$F$3004,"""")&lt;&gt;""""),ROWS(A$5:A1975)),"""")"),"")</f>
        <v/>
      </c>
      <c r="B19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Helper'!$F$5:$F$3004,"""")&lt;&gt;""""),ROWS(B$5:B1975)),"""")"),"")</f>
        <v/>
      </c>
      <c r="C19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Helper'!$F$5:$F$3004,"""")&lt;&gt;""""),ROWS(C$5:C1975)),"""")"),"")</f>
        <v/>
      </c>
      <c r="D19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Helper'!$F$5:$F$3004,"""")&lt;&gt;""""),ROWS(D$5:D1975)),"""")"),"")</f>
        <v/>
      </c>
      <c r="E19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Helper'!$F$5:$F$3004,"""")&lt;&gt;""""),ROWS(E$5:E1975)),"""")"),"")</f>
        <v/>
      </c>
      <c r="F19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Helper'!$F$5:$F$3004,"""")&lt;&gt;""""),ROWS(F$5:F1975)),IF(AND(LEFT(x,5)=""Pag"&amp;"e "",ISERROR(SEARCH(""–"",x))),x&amp;""–""&amp;REGEXEXTRACT(x,""[0-9]+$""),x)),"""")"),"")</f>
        <v/>
      </c>
      <c r="G1975" s="163"/>
      <c r="H19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Helper'!$F$5:$F$3004,"""")&lt;&gt;""""),ROWS(H$5:H1975)),"""")"),"")</f>
        <v/>
      </c>
    </row>
    <row r="1976" ht="15.75" customHeight="1">
      <c r="A19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Helper'!$F$5:$F$3004,"""")&lt;&gt;""""),ROWS(A$5:A1976)),"""")"),"")</f>
        <v/>
      </c>
      <c r="B19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Helper'!$F$5:$F$3004,"""")&lt;&gt;""""),ROWS(B$5:B1976)),"""")"),"")</f>
        <v/>
      </c>
      <c r="C19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Helper'!$F$5:$F$3004,"""")&lt;&gt;""""),ROWS(C$5:C1976)),"""")"),"")</f>
        <v/>
      </c>
      <c r="D19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Helper'!$F$5:$F$3004,"""")&lt;&gt;""""),ROWS(D$5:D1976)),"""")"),"")</f>
        <v/>
      </c>
      <c r="E19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Helper'!$F$5:$F$3004,"""")&lt;&gt;""""),ROWS(E$5:E1976)),"""")"),"")</f>
        <v/>
      </c>
      <c r="F19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Helper'!$F$5:$F$3004,"""")&lt;&gt;""""),ROWS(F$5:F1976)),IF(AND(LEFT(x,5)=""Pag"&amp;"e "",ISERROR(SEARCH(""–"",x))),x&amp;""–""&amp;REGEXEXTRACT(x,""[0-9]+$""),x)),"""")"),"")</f>
        <v/>
      </c>
      <c r="G1976" s="163"/>
      <c r="H19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Helper'!$F$5:$F$3004,"""")&lt;&gt;""""),ROWS(H$5:H1976)),"""")"),"")</f>
        <v/>
      </c>
    </row>
    <row r="1977" ht="15.75" customHeight="1">
      <c r="A19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Helper'!$F$5:$F$3004,"""")&lt;&gt;""""),ROWS(A$5:A1977)),"""")"),"")</f>
        <v/>
      </c>
      <c r="B19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Helper'!$F$5:$F$3004,"""")&lt;&gt;""""),ROWS(B$5:B1977)),"""")"),"")</f>
        <v/>
      </c>
      <c r="C19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Helper'!$F$5:$F$3004,"""")&lt;&gt;""""),ROWS(C$5:C1977)),"""")"),"")</f>
        <v/>
      </c>
      <c r="D19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Helper'!$F$5:$F$3004,"""")&lt;&gt;""""),ROWS(D$5:D1977)),"""")"),"")</f>
        <v/>
      </c>
      <c r="E19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Helper'!$F$5:$F$3004,"""")&lt;&gt;""""),ROWS(E$5:E1977)),"""")"),"")</f>
        <v/>
      </c>
      <c r="F19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Helper'!$F$5:$F$3004,"""")&lt;&gt;""""),ROWS(F$5:F1977)),IF(AND(LEFT(x,5)=""Pag"&amp;"e "",ISERROR(SEARCH(""–"",x))),x&amp;""–""&amp;REGEXEXTRACT(x,""[0-9]+$""),x)),"""")"),"")</f>
        <v/>
      </c>
      <c r="G1977" s="163"/>
      <c r="H19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Helper'!$F$5:$F$3004,"""")&lt;&gt;""""),ROWS(H$5:H1977)),"""")"),"")</f>
        <v/>
      </c>
    </row>
    <row r="1978" ht="15.75" customHeight="1">
      <c r="A19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Helper'!$F$5:$F$3004,"""")&lt;&gt;""""),ROWS(A$5:A1978)),"""")"),"")</f>
        <v/>
      </c>
      <c r="B19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Helper'!$F$5:$F$3004,"""")&lt;&gt;""""),ROWS(B$5:B1978)),"""")"),"")</f>
        <v/>
      </c>
      <c r="C19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Helper'!$F$5:$F$3004,"""")&lt;&gt;""""),ROWS(C$5:C1978)),"""")"),"")</f>
        <v/>
      </c>
      <c r="D19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Helper'!$F$5:$F$3004,"""")&lt;&gt;""""),ROWS(D$5:D1978)),"""")"),"")</f>
        <v/>
      </c>
      <c r="E19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Helper'!$F$5:$F$3004,"""")&lt;&gt;""""),ROWS(E$5:E1978)),"""")"),"")</f>
        <v/>
      </c>
      <c r="F19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Helper'!$F$5:$F$3004,"""")&lt;&gt;""""),ROWS(F$5:F1978)),IF(AND(LEFT(x,5)=""Pag"&amp;"e "",ISERROR(SEARCH(""–"",x))),x&amp;""–""&amp;REGEXEXTRACT(x,""[0-9]+$""),x)),"""")"),"")</f>
        <v/>
      </c>
      <c r="G1978" s="163"/>
      <c r="H19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Helper'!$F$5:$F$3004,"""")&lt;&gt;""""),ROWS(H$5:H1978)),"""")"),"")</f>
        <v/>
      </c>
    </row>
    <row r="1979" ht="15.75" customHeight="1">
      <c r="A19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Helper'!$F$5:$F$3004,"""")&lt;&gt;""""),ROWS(A$5:A1979)),"""")"),"")</f>
        <v/>
      </c>
      <c r="B19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Helper'!$F$5:$F$3004,"""")&lt;&gt;""""),ROWS(B$5:B1979)),"""")"),"")</f>
        <v/>
      </c>
      <c r="C19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Helper'!$F$5:$F$3004,"""")&lt;&gt;""""),ROWS(C$5:C1979)),"""")"),"")</f>
        <v/>
      </c>
      <c r="D19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Helper'!$F$5:$F$3004,"""")&lt;&gt;""""),ROWS(D$5:D1979)),"""")"),"")</f>
        <v/>
      </c>
      <c r="E19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Helper'!$F$5:$F$3004,"""")&lt;&gt;""""),ROWS(E$5:E1979)),"""")"),"")</f>
        <v/>
      </c>
      <c r="F19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Helper'!$F$5:$F$3004,"""")&lt;&gt;""""),ROWS(F$5:F1979)),IF(AND(LEFT(x,5)=""Pag"&amp;"e "",ISERROR(SEARCH(""–"",x))),x&amp;""–""&amp;REGEXEXTRACT(x,""[0-9]+$""),x)),"""")"),"")</f>
        <v/>
      </c>
      <c r="G1979" s="163"/>
      <c r="H19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Helper'!$F$5:$F$3004,"""")&lt;&gt;""""),ROWS(H$5:H1979)),"""")"),"")</f>
        <v/>
      </c>
    </row>
    <row r="1980" ht="15.75" customHeight="1">
      <c r="A19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Helper'!$F$5:$F$3004,"""")&lt;&gt;""""),ROWS(A$5:A1980)),"""")"),"")</f>
        <v/>
      </c>
      <c r="B19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Helper'!$F$5:$F$3004,"""")&lt;&gt;""""),ROWS(B$5:B1980)),"""")"),"")</f>
        <v/>
      </c>
      <c r="C19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Helper'!$F$5:$F$3004,"""")&lt;&gt;""""),ROWS(C$5:C1980)),"""")"),"")</f>
        <v/>
      </c>
      <c r="D19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Helper'!$F$5:$F$3004,"""")&lt;&gt;""""),ROWS(D$5:D1980)),"""")"),"")</f>
        <v/>
      </c>
      <c r="E19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Helper'!$F$5:$F$3004,"""")&lt;&gt;""""),ROWS(E$5:E1980)),"""")"),"")</f>
        <v/>
      </c>
      <c r="F19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Helper'!$F$5:$F$3004,"""")&lt;&gt;""""),ROWS(F$5:F1980)),IF(AND(LEFT(x,5)=""Pag"&amp;"e "",ISERROR(SEARCH(""–"",x))),x&amp;""–""&amp;REGEXEXTRACT(x,""[0-9]+$""),x)),"""")"),"")</f>
        <v/>
      </c>
      <c r="G1980" s="163"/>
      <c r="H19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Helper'!$F$5:$F$3004,"""")&lt;&gt;""""),ROWS(H$5:H1980)),"""")"),"")</f>
        <v/>
      </c>
    </row>
    <row r="1981" ht="15.75" customHeight="1">
      <c r="A19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Helper'!$F$5:$F$3004,"""")&lt;&gt;""""),ROWS(A$5:A1981)),"""")"),"")</f>
        <v/>
      </c>
      <c r="B19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Helper'!$F$5:$F$3004,"""")&lt;&gt;""""),ROWS(B$5:B1981)),"""")"),"")</f>
        <v/>
      </c>
      <c r="C19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Helper'!$F$5:$F$3004,"""")&lt;&gt;""""),ROWS(C$5:C1981)),"""")"),"")</f>
        <v/>
      </c>
      <c r="D19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Helper'!$F$5:$F$3004,"""")&lt;&gt;""""),ROWS(D$5:D1981)),"""")"),"")</f>
        <v/>
      </c>
      <c r="E19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Helper'!$F$5:$F$3004,"""")&lt;&gt;""""),ROWS(E$5:E1981)),"""")"),"")</f>
        <v/>
      </c>
      <c r="F19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Helper'!$F$5:$F$3004,"""")&lt;&gt;""""),ROWS(F$5:F1981)),IF(AND(LEFT(x,5)=""Pag"&amp;"e "",ISERROR(SEARCH(""–"",x))),x&amp;""–""&amp;REGEXEXTRACT(x,""[0-9]+$""),x)),"""")"),"")</f>
        <v/>
      </c>
      <c r="G1981" s="163"/>
      <c r="H19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Helper'!$F$5:$F$3004,"""")&lt;&gt;""""),ROWS(H$5:H1981)),"""")"),"")</f>
        <v/>
      </c>
    </row>
    <row r="1982" ht="15.75" customHeight="1">
      <c r="A19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Helper'!$F$5:$F$3004,"""")&lt;&gt;""""),ROWS(A$5:A1982)),"""")"),"")</f>
        <v/>
      </c>
      <c r="B19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Helper'!$F$5:$F$3004,"""")&lt;&gt;""""),ROWS(B$5:B1982)),"""")"),"")</f>
        <v/>
      </c>
      <c r="C19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Helper'!$F$5:$F$3004,"""")&lt;&gt;""""),ROWS(C$5:C1982)),"""")"),"")</f>
        <v/>
      </c>
      <c r="D19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Helper'!$F$5:$F$3004,"""")&lt;&gt;""""),ROWS(D$5:D1982)),"""")"),"")</f>
        <v/>
      </c>
      <c r="E19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Helper'!$F$5:$F$3004,"""")&lt;&gt;""""),ROWS(E$5:E1982)),"""")"),"")</f>
        <v/>
      </c>
      <c r="F19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Helper'!$F$5:$F$3004,"""")&lt;&gt;""""),ROWS(F$5:F1982)),IF(AND(LEFT(x,5)=""Pag"&amp;"e "",ISERROR(SEARCH(""–"",x))),x&amp;""–""&amp;REGEXEXTRACT(x,""[0-9]+$""),x)),"""")"),"")</f>
        <v/>
      </c>
      <c r="G1982" s="163"/>
      <c r="H19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Helper'!$F$5:$F$3004,"""")&lt;&gt;""""),ROWS(H$5:H1982)),"""")"),"")</f>
        <v/>
      </c>
    </row>
    <row r="1983" ht="15.75" customHeight="1">
      <c r="A19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Helper'!$F$5:$F$3004,"""")&lt;&gt;""""),ROWS(A$5:A1983)),"""")"),"")</f>
        <v/>
      </c>
      <c r="B19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Helper'!$F$5:$F$3004,"""")&lt;&gt;""""),ROWS(B$5:B1983)),"""")"),"")</f>
        <v/>
      </c>
      <c r="C19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Helper'!$F$5:$F$3004,"""")&lt;&gt;""""),ROWS(C$5:C1983)),"""")"),"")</f>
        <v/>
      </c>
      <c r="D19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Helper'!$F$5:$F$3004,"""")&lt;&gt;""""),ROWS(D$5:D1983)),"""")"),"")</f>
        <v/>
      </c>
      <c r="E19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Helper'!$F$5:$F$3004,"""")&lt;&gt;""""),ROWS(E$5:E1983)),"""")"),"")</f>
        <v/>
      </c>
      <c r="F19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Helper'!$F$5:$F$3004,"""")&lt;&gt;""""),ROWS(F$5:F1983)),IF(AND(LEFT(x,5)=""Pag"&amp;"e "",ISERROR(SEARCH(""–"",x))),x&amp;""–""&amp;REGEXEXTRACT(x,""[0-9]+$""),x)),"""")"),"")</f>
        <v/>
      </c>
      <c r="G1983" s="163"/>
      <c r="H19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Helper'!$F$5:$F$3004,"""")&lt;&gt;""""),ROWS(H$5:H1983)),"""")"),"")</f>
        <v/>
      </c>
    </row>
    <row r="1984" ht="15.75" customHeight="1">
      <c r="A19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Helper'!$F$5:$F$3004,"""")&lt;&gt;""""),ROWS(A$5:A1984)),"""")"),"")</f>
        <v/>
      </c>
      <c r="B19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Helper'!$F$5:$F$3004,"""")&lt;&gt;""""),ROWS(B$5:B1984)),"""")"),"")</f>
        <v/>
      </c>
      <c r="C19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Helper'!$F$5:$F$3004,"""")&lt;&gt;""""),ROWS(C$5:C1984)),"""")"),"")</f>
        <v/>
      </c>
      <c r="D19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Helper'!$F$5:$F$3004,"""")&lt;&gt;""""),ROWS(D$5:D1984)),"""")"),"")</f>
        <v/>
      </c>
      <c r="E19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Helper'!$F$5:$F$3004,"""")&lt;&gt;""""),ROWS(E$5:E1984)),"""")"),"")</f>
        <v/>
      </c>
      <c r="F19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Helper'!$F$5:$F$3004,"""")&lt;&gt;""""),ROWS(F$5:F1984)),IF(AND(LEFT(x,5)=""Pag"&amp;"e "",ISERROR(SEARCH(""–"",x))),x&amp;""–""&amp;REGEXEXTRACT(x,""[0-9]+$""),x)),"""")"),"")</f>
        <v/>
      </c>
      <c r="G1984" s="163"/>
      <c r="H19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Helper'!$F$5:$F$3004,"""")&lt;&gt;""""),ROWS(H$5:H1984)),"""")"),"")</f>
        <v/>
      </c>
    </row>
    <row r="1985" ht="15.75" customHeight="1">
      <c r="A19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Helper'!$F$5:$F$3004,"""")&lt;&gt;""""),ROWS(A$5:A1985)),"""")"),"")</f>
        <v/>
      </c>
      <c r="B19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Helper'!$F$5:$F$3004,"""")&lt;&gt;""""),ROWS(B$5:B1985)),"""")"),"")</f>
        <v/>
      </c>
      <c r="C19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Helper'!$F$5:$F$3004,"""")&lt;&gt;""""),ROWS(C$5:C1985)),"""")"),"")</f>
        <v/>
      </c>
      <c r="D19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Helper'!$F$5:$F$3004,"""")&lt;&gt;""""),ROWS(D$5:D1985)),"""")"),"")</f>
        <v/>
      </c>
      <c r="E19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Helper'!$F$5:$F$3004,"""")&lt;&gt;""""),ROWS(E$5:E1985)),"""")"),"")</f>
        <v/>
      </c>
      <c r="F19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Helper'!$F$5:$F$3004,"""")&lt;&gt;""""),ROWS(F$5:F1985)),IF(AND(LEFT(x,5)=""Pag"&amp;"e "",ISERROR(SEARCH(""–"",x))),x&amp;""–""&amp;REGEXEXTRACT(x,""[0-9]+$""),x)),"""")"),"")</f>
        <v/>
      </c>
      <c r="G1985" s="163"/>
      <c r="H19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Helper'!$F$5:$F$3004,"""")&lt;&gt;""""),ROWS(H$5:H1985)),"""")"),"")</f>
        <v/>
      </c>
    </row>
    <row r="1986" ht="15.75" customHeight="1">
      <c r="A19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Helper'!$F$5:$F$3004,"""")&lt;&gt;""""),ROWS(A$5:A1986)),"""")"),"")</f>
        <v/>
      </c>
      <c r="B19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Helper'!$F$5:$F$3004,"""")&lt;&gt;""""),ROWS(B$5:B1986)),"""")"),"")</f>
        <v/>
      </c>
      <c r="C19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Helper'!$F$5:$F$3004,"""")&lt;&gt;""""),ROWS(C$5:C1986)),"""")"),"")</f>
        <v/>
      </c>
      <c r="D19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Helper'!$F$5:$F$3004,"""")&lt;&gt;""""),ROWS(D$5:D1986)),"""")"),"")</f>
        <v/>
      </c>
      <c r="E19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Helper'!$F$5:$F$3004,"""")&lt;&gt;""""),ROWS(E$5:E1986)),"""")"),"")</f>
        <v/>
      </c>
      <c r="F19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Helper'!$F$5:$F$3004,"""")&lt;&gt;""""),ROWS(F$5:F1986)),IF(AND(LEFT(x,5)=""Pag"&amp;"e "",ISERROR(SEARCH(""–"",x))),x&amp;""–""&amp;REGEXEXTRACT(x,""[0-9]+$""),x)),"""")"),"")</f>
        <v/>
      </c>
      <c r="G1986" s="163"/>
      <c r="H19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Helper'!$F$5:$F$3004,"""")&lt;&gt;""""),ROWS(H$5:H1986)),"""")"),"")</f>
        <v/>
      </c>
    </row>
    <row r="1987" ht="15.75" customHeight="1">
      <c r="A19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Helper'!$F$5:$F$3004,"""")&lt;&gt;""""),ROWS(A$5:A1987)),"""")"),"")</f>
        <v/>
      </c>
      <c r="B19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Helper'!$F$5:$F$3004,"""")&lt;&gt;""""),ROWS(B$5:B1987)),"""")"),"")</f>
        <v/>
      </c>
      <c r="C19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Helper'!$F$5:$F$3004,"""")&lt;&gt;""""),ROWS(C$5:C1987)),"""")"),"")</f>
        <v/>
      </c>
      <c r="D19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Helper'!$F$5:$F$3004,"""")&lt;&gt;""""),ROWS(D$5:D1987)),"""")"),"")</f>
        <v/>
      </c>
      <c r="E19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Helper'!$F$5:$F$3004,"""")&lt;&gt;""""),ROWS(E$5:E1987)),"""")"),"")</f>
        <v/>
      </c>
      <c r="F19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Helper'!$F$5:$F$3004,"""")&lt;&gt;""""),ROWS(F$5:F1987)),IF(AND(LEFT(x,5)=""Pag"&amp;"e "",ISERROR(SEARCH(""–"",x))),x&amp;""–""&amp;REGEXEXTRACT(x,""[0-9]+$""),x)),"""")"),"")</f>
        <v/>
      </c>
      <c r="G1987" s="163"/>
      <c r="H19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Helper'!$F$5:$F$3004,"""")&lt;&gt;""""),ROWS(H$5:H1987)),"""")"),"")</f>
        <v/>
      </c>
    </row>
    <row r="1988" ht="15.75" customHeight="1">
      <c r="A19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Helper'!$F$5:$F$3004,"""")&lt;&gt;""""),ROWS(A$5:A1988)),"""")"),"")</f>
        <v/>
      </c>
      <c r="B19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Helper'!$F$5:$F$3004,"""")&lt;&gt;""""),ROWS(B$5:B1988)),"""")"),"")</f>
        <v/>
      </c>
      <c r="C19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Helper'!$F$5:$F$3004,"""")&lt;&gt;""""),ROWS(C$5:C1988)),"""")"),"")</f>
        <v/>
      </c>
      <c r="D19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Helper'!$F$5:$F$3004,"""")&lt;&gt;""""),ROWS(D$5:D1988)),"""")"),"")</f>
        <v/>
      </c>
      <c r="E19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Helper'!$F$5:$F$3004,"""")&lt;&gt;""""),ROWS(E$5:E1988)),"""")"),"")</f>
        <v/>
      </c>
      <c r="F19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Helper'!$F$5:$F$3004,"""")&lt;&gt;""""),ROWS(F$5:F1988)),IF(AND(LEFT(x,5)=""Pag"&amp;"e "",ISERROR(SEARCH(""–"",x))),x&amp;""–""&amp;REGEXEXTRACT(x,""[0-9]+$""),x)),"""")"),"")</f>
        <v/>
      </c>
      <c r="G1988" s="163"/>
      <c r="H19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Helper'!$F$5:$F$3004,"""")&lt;&gt;""""),ROWS(H$5:H1988)),"""")"),"")</f>
        <v/>
      </c>
    </row>
    <row r="1989" ht="15.75" customHeight="1">
      <c r="A19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Helper'!$F$5:$F$3004,"""")&lt;&gt;""""),ROWS(A$5:A1989)),"""")"),"")</f>
        <v/>
      </c>
      <c r="B19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Helper'!$F$5:$F$3004,"""")&lt;&gt;""""),ROWS(B$5:B1989)),"""")"),"")</f>
        <v/>
      </c>
      <c r="C19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Helper'!$F$5:$F$3004,"""")&lt;&gt;""""),ROWS(C$5:C1989)),"""")"),"")</f>
        <v/>
      </c>
      <c r="D19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Helper'!$F$5:$F$3004,"""")&lt;&gt;""""),ROWS(D$5:D1989)),"""")"),"")</f>
        <v/>
      </c>
      <c r="E19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Helper'!$F$5:$F$3004,"""")&lt;&gt;""""),ROWS(E$5:E1989)),"""")"),"")</f>
        <v/>
      </c>
      <c r="F19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Helper'!$F$5:$F$3004,"""")&lt;&gt;""""),ROWS(F$5:F1989)),IF(AND(LEFT(x,5)=""Pag"&amp;"e "",ISERROR(SEARCH(""–"",x))),x&amp;""–""&amp;REGEXEXTRACT(x,""[0-9]+$""),x)),"""")"),"")</f>
        <v/>
      </c>
      <c r="G1989" s="163"/>
      <c r="H19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Helper'!$F$5:$F$3004,"""")&lt;&gt;""""),ROWS(H$5:H1989)),"""")"),"")</f>
        <v/>
      </c>
    </row>
    <row r="1990" ht="15.75" customHeight="1">
      <c r="A19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Helper'!$F$5:$F$3004,"""")&lt;&gt;""""),ROWS(A$5:A1990)),"""")"),"")</f>
        <v/>
      </c>
      <c r="B19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Helper'!$F$5:$F$3004,"""")&lt;&gt;""""),ROWS(B$5:B1990)),"""")"),"")</f>
        <v/>
      </c>
      <c r="C19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Helper'!$F$5:$F$3004,"""")&lt;&gt;""""),ROWS(C$5:C1990)),"""")"),"")</f>
        <v/>
      </c>
      <c r="D19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Helper'!$F$5:$F$3004,"""")&lt;&gt;""""),ROWS(D$5:D1990)),"""")"),"")</f>
        <v/>
      </c>
      <c r="E19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Helper'!$F$5:$F$3004,"""")&lt;&gt;""""),ROWS(E$5:E1990)),"""")"),"")</f>
        <v/>
      </c>
      <c r="F19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Helper'!$F$5:$F$3004,"""")&lt;&gt;""""),ROWS(F$5:F1990)),IF(AND(LEFT(x,5)=""Pag"&amp;"e "",ISERROR(SEARCH(""–"",x))),x&amp;""–""&amp;REGEXEXTRACT(x,""[0-9]+$""),x)),"""")"),"")</f>
        <v/>
      </c>
      <c r="G1990" s="163"/>
      <c r="H19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Helper'!$F$5:$F$3004,"""")&lt;&gt;""""),ROWS(H$5:H1990)),"""")"),"")</f>
        <v/>
      </c>
    </row>
    <row r="1991" ht="15.75" customHeight="1">
      <c r="A19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Helper'!$F$5:$F$3004,"""")&lt;&gt;""""),ROWS(A$5:A1991)),"""")"),"")</f>
        <v/>
      </c>
      <c r="B19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Helper'!$F$5:$F$3004,"""")&lt;&gt;""""),ROWS(B$5:B1991)),"""")"),"")</f>
        <v/>
      </c>
      <c r="C19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Helper'!$F$5:$F$3004,"""")&lt;&gt;""""),ROWS(C$5:C1991)),"""")"),"")</f>
        <v/>
      </c>
      <c r="D19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Helper'!$F$5:$F$3004,"""")&lt;&gt;""""),ROWS(D$5:D1991)),"""")"),"")</f>
        <v/>
      </c>
      <c r="E19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Helper'!$F$5:$F$3004,"""")&lt;&gt;""""),ROWS(E$5:E1991)),"""")"),"")</f>
        <v/>
      </c>
      <c r="F19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Helper'!$F$5:$F$3004,"""")&lt;&gt;""""),ROWS(F$5:F1991)),IF(AND(LEFT(x,5)=""Pag"&amp;"e "",ISERROR(SEARCH(""–"",x))),x&amp;""–""&amp;REGEXEXTRACT(x,""[0-9]+$""),x)),"""")"),"")</f>
        <v/>
      </c>
      <c r="G1991" s="163"/>
      <c r="H19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Helper'!$F$5:$F$3004,"""")&lt;&gt;""""),ROWS(H$5:H1991)),"""")"),"")</f>
        <v/>
      </c>
    </row>
    <row r="1992" ht="15.75" customHeight="1">
      <c r="A19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Helper'!$F$5:$F$3004,"""")&lt;&gt;""""),ROWS(A$5:A1992)),"""")"),"")</f>
        <v/>
      </c>
      <c r="B19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Helper'!$F$5:$F$3004,"""")&lt;&gt;""""),ROWS(B$5:B1992)),"""")"),"")</f>
        <v/>
      </c>
      <c r="C19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Helper'!$F$5:$F$3004,"""")&lt;&gt;""""),ROWS(C$5:C1992)),"""")"),"")</f>
        <v/>
      </c>
      <c r="D19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Helper'!$F$5:$F$3004,"""")&lt;&gt;""""),ROWS(D$5:D1992)),"""")"),"")</f>
        <v/>
      </c>
      <c r="E19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Helper'!$F$5:$F$3004,"""")&lt;&gt;""""),ROWS(E$5:E1992)),"""")"),"")</f>
        <v/>
      </c>
      <c r="F19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Helper'!$F$5:$F$3004,"""")&lt;&gt;""""),ROWS(F$5:F1992)),IF(AND(LEFT(x,5)=""Pag"&amp;"e "",ISERROR(SEARCH(""–"",x))),x&amp;""–""&amp;REGEXEXTRACT(x,""[0-9]+$""),x)),"""")"),"")</f>
        <v/>
      </c>
      <c r="G1992" s="163"/>
      <c r="H19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Helper'!$F$5:$F$3004,"""")&lt;&gt;""""),ROWS(H$5:H1992)),"""")"),"")</f>
        <v/>
      </c>
    </row>
    <row r="1993" ht="15.75" customHeight="1">
      <c r="A19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Helper'!$F$5:$F$3004,"""")&lt;&gt;""""),ROWS(A$5:A1993)),"""")"),"")</f>
        <v/>
      </c>
      <c r="B19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Helper'!$F$5:$F$3004,"""")&lt;&gt;""""),ROWS(B$5:B1993)),"""")"),"")</f>
        <v/>
      </c>
      <c r="C19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Helper'!$F$5:$F$3004,"""")&lt;&gt;""""),ROWS(C$5:C1993)),"""")"),"")</f>
        <v/>
      </c>
      <c r="D19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Helper'!$F$5:$F$3004,"""")&lt;&gt;""""),ROWS(D$5:D1993)),"""")"),"")</f>
        <v/>
      </c>
      <c r="E19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Helper'!$F$5:$F$3004,"""")&lt;&gt;""""),ROWS(E$5:E1993)),"""")"),"")</f>
        <v/>
      </c>
      <c r="F19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Helper'!$F$5:$F$3004,"""")&lt;&gt;""""),ROWS(F$5:F1993)),IF(AND(LEFT(x,5)=""Pag"&amp;"e "",ISERROR(SEARCH(""–"",x))),x&amp;""–""&amp;REGEXEXTRACT(x,""[0-9]+$""),x)),"""")"),"")</f>
        <v/>
      </c>
      <c r="G1993" s="163"/>
      <c r="H19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Helper'!$F$5:$F$3004,"""")&lt;&gt;""""),ROWS(H$5:H1993)),"""")"),"")</f>
        <v/>
      </c>
    </row>
    <row r="1994" ht="15.75" customHeight="1">
      <c r="A19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Helper'!$F$5:$F$3004,"""")&lt;&gt;""""),ROWS(A$5:A1994)),"""")"),"")</f>
        <v/>
      </c>
      <c r="B19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Helper'!$F$5:$F$3004,"""")&lt;&gt;""""),ROWS(B$5:B1994)),"""")"),"")</f>
        <v/>
      </c>
      <c r="C19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Helper'!$F$5:$F$3004,"""")&lt;&gt;""""),ROWS(C$5:C1994)),"""")"),"")</f>
        <v/>
      </c>
      <c r="D19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Helper'!$F$5:$F$3004,"""")&lt;&gt;""""),ROWS(D$5:D1994)),"""")"),"")</f>
        <v/>
      </c>
      <c r="E19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Helper'!$F$5:$F$3004,"""")&lt;&gt;""""),ROWS(E$5:E1994)),"""")"),"")</f>
        <v/>
      </c>
      <c r="F19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Helper'!$F$5:$F$3004,"""")&lt;&gt;""""),ROWS(F$5:F1994)),IF(AND(LEFT(x,5)=""Pag"&amp;"e "",ISERROR(SEARCH(""–"",x))),x&amp;""–""&amp;REGEXEXTRACT(x,""[0-9]+$""),x)),"""")"),"")</f>
        <v/>
      </c>
      <c r="G1994" s="163"/>
      <c r="H19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Helper'!$F$5:$F$3004,"""")&lt;&gt;""""),ROWS(H$5:H1994)),"""")"),"")</f>
        <v/>
      </c>
    </row>
    <row r="1995" ht="15.75" customHeight="1">
      <c r="A19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Helper'!$F$5:$F$3004,"""")&lt;&gt;""""),ROWS(A$5:A1995)),"""")"),"")</f>
        <v/>
      </c>
      <c r="B19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Helper'!$F$5:$F$3004,"""")&lt;&gt;""""),ROWS(B$5:B1995)),"""")"),"")</f>
        <v/>
      </c>
      <c r="C19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Helper'!$F$5:$F$3004,"""")&lt;&gt;""""),ROWS(C$5:C1995)),"""")"),"")</f>
        <v/>
      </c>
      <c r="D19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Helper'!$F$5:$F$3004,"""")&lt;&gt;""""),ROWS(D$5:D1995)),"""")"),"")</f>
        <v/>
      </c>
      <c r="E19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Helper'!$F$5:$F$3004,"""")&lt;&gt;""""),ROWS(E$5:E1995)),"""")"),"")</f>
        <v/>
      </c>
      <c r="F19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Helper'!$F$5:$F$3004,"""")&lt;&gt;""""),ROWS(F$5:F1995)),IF(AND(LEFT(x,5)=""Pag"&amp;"e "",ISERROR(SEARCH(""–"",x))),x&amp;""–""&amp;REGEXEXTRACT(x,""[0-9]+$""),x)),"""")"),"")</f>
        <v/>
      </c>
      <c r="G1995" s="163"/>
      <c r="H19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Helper'!$F$5:$F$3004,"""")&lt;&gt;""""),ROWS(H$5:H1995)),"""")"),"")</f>
        <v/>
      </c>
    </row>
    <row r="1996" ht="15.75" customHeight="1">
      <c r="A19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Helper'!$F$5:$F$3004,"""")&lt;&gt;""""),ROWS(A$5:A1996)),"""")"),"")</f>
        <v/>
      </c>
      <c r="B19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Helper'!$F$5:$F$3004,"""")&lt;&gt;""""),ROWS(B$5:B1996)),"""")"),"")</f>
        <v/>
      </c>
      <c r="C19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Helper'!$F$5:$F$3004,"""")&lt;&gt;""""),ROWS(C$5:C1996)),"""")"),"")</f>
        <v/>
      </c>
      <c r="D19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Helper'!$F$5:$F$3004,"""")&lt;&gt;""""),ROWS(D$5:D1996)),"""")"),"")</f>
        <v/>
      </c>
      <c r="E19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Helper'!$F$5:$F$3004,"""")&lt;&gt;""""),ROWS(E$5:E1996)),"""")"),"")</f>
        <v/>
      </c>
      <c r="F19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Helper'!$F$5:$F$3004,"""")&lt;&gt;""""),ROWS(F$5:F1996)),IF(AND(LEFT(x,5)=""Pag"&amp;"e "",ISERROR(SEARCH(""–"",x))),x&amp;""–""&amp;REGEXEXTRACT(x,""[0-9]+$""),x)),"""")"),"")</f>
        <v/>
      </c>
      <c r="G1996" s="163"/>
      <c r="H19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Helper'!$F$5:$F$3004,"""")&lt;&gt;""""),ROWS(H$5:H1996)),"""")"),"")</f>
        <v/>
      </c>
    </row>
    <row r="1997" ht="15.75" customHeight="1">
      <c r="A19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Helper'!$F$5:$F$3004,"""")&lt;&gt;""""),ROWS(A$5:A1997)),"""")"),"")</f>
        <v/>
      </c>
      <c r="B19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Helper'!$F$5:$F$3004,"""")&lt;&gt;""""),ROWS(B$5:B1997)),"""")"),"")</f>
        <v/>
      </c>
      <c r="C19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Helper'!$F$5:$F$3004,"""")&lt;&gt;""""),ROWS(C$5:C1997)),"""")"),"")</f>
        <v/>
      </c>
      <c r="D19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Helper'!$F$5:$F$3004,"""")&lt;&gt;""""),ROWS(D$5:D1997)),"""")"),"")</f>
        <v/>
      </c>
      <c r="E19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Helper'!$F$5:$F$3004,"""")&lt;&gt;""""),ROWS(E$5:E1997)),"""")"),"")</f>
        <v/>
      </c>
      <c r="F19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Helper'!$F$5:$F$3004,"""")&lt;&gt;""""),ROWS(F$5:F1997)),IF(AND(LEFT(x,5)=""Pag"&amp;"e "",ISERROR(SEARCH(""–"",x))),x&amp;""–""&amp;REGEXEXTRACT(x,""[0-9]+$""),x)),"""")"),"")</f>
        <v/>
      </c>
      <c r="G1997" s="163"/>
      <c r="H19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Helper'!$F$5:$F$3004,"""")&lt;&gt;""""),ROWS(H$5:H1997)),"""")"),"")</f>
        <v/>
      </c>
    </row>
    <row r="1998" ht="15.75" customHeight="1">
      <c r="A19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Helper'!$F$5:$F$3004,"""")&lt;&gt;""""),ROWS(A$5:A1998)),"""")"),"")</f>
        <v/>
      </c>
      <c r="B19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Helper'!$F$5:$F$3004,"""")&lt;&gt;""""),ROWS(B$5:B1998)),"""")"),"")</f>
        <v/>
      </c>
      <c r="C19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Helper'!$F$5:$F$3004,"""")&lt;&gt;""""),ROWS(C$5:C1998)),"""")"),"")</f>
        <v/>
      </c>
      <c r="D19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Helper'!$F$5:$F$3004,"""")&lt;&gt;""""),ROWS(D$5:D1998)),"""")"),"")</f>
        <v/>
      </c>
      <c r="E19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Helper'!$F$5:$F$3004,"""")&lt;&gt;""""),ROWS(E$5:E1998)),"""")"),"")</f>
        <v/>
      </c>
      <c r="F19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Helper'!$F$5:$F$3004,"""")&lt;&gt;""""),ROWS(F$5:F1998)),IF(AND(LEFT(x,5)=""Pag"&amp;"e "",ISERROR(SEARCH(""–"",x))),x&amp;""–""&amp;REGEXEXTRACT(x,""[0-9]+$""),x)),"""")"),"")</f>
        <v/>
      </c>
      <c r="G1998" s="163"/>
      <c r="H19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Helper'!$F$5:$F$3004,"""")&lt;&gt;""""),ROWS(H$5:H1998)),"""")"),"")</f>
        <v/>
      </c>
    </row>
    <row r="1999" ht="15.75" customHeight="1">
      <c r="A19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Helper'!$F$5:$F$3004,"""")&lt;&gt;""""),ROWS(A$5:A1999)),"""")"),"")</f>
        <v/>
      </c>
      <c r="B19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Helper'!$F$5:$F$3004,"""")&lt;&gt;""""),ROWS(B$5:B1999)),"""")"),"")</f>
        <v/>
      </c>
      <c r="C19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Helper'!$F$5:$F$3004,"""")&lt;&gt;""""),ROWS(C$5:C1999)),"""")"),"")</f>
        <v/>
      </c>
      <c r="D19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Helper'!$F$5:$F$3004,"""")&lt;&gt;""""),ROWS(D$5:D1999)),"""")"),"")</f>
        <v/>
      </c>
      <c r="E19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Helper'!$F$5:$F$3004,"""")&lt;&gt;""""),ROWS(E$5:E1999)),"""")"),"")</f>
        <v/>
      </c>
      <c r="F19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Helper'!$F$5:$F$3004,"""")&lt;&gt;""""),ROWS(F$5:F1999)),IF(AND(LEFT(x,5)=""Pag"&amp;"e "",ISERROR(SEARCH(""–"",x))),x&amp;""–""&amp;REGEXEXTRACT(x,""[0-9]+$""),x)),"""")"),"")</f>
        <v/>
      </c>
      <c r="G1999" s="163"/>
      <c r="H19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Helper'!$F$5:$F$3004,"""")&lt;&gt;""""),ROWS(H$5:H1999)),"""")"),"")</f>
        <v/>
      </c>
    </row>
    <row r="2000" ht="15.75" customHeight="1">
      <c r="A20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Helper'!$F$5:$F$3004,"""")&lt;&gt;""""),ROWS(A$5:A2000)),"""")"),"")</f>
        <v/>
      </c>
      <c r="B20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Helper'!$F$5:$F$3004,"""")&lt;&gt;""""),ROWS(B$5:B2000)),"""")"),"")</f>
        <v/>
      </c>
      <c r="C20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Helper'!$F$5:$F$3004,"""")&lt;&gt;""""),ROWS(C$5:C2000)),"""")"),"")</f>
        <v/>
      </c>
      <c r="D20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Helper'!$F$5:$F$3004,"""")&lt;&gt;""""),ROWS(D$5:D2000)),"""")"),"")</f>
        <v/>
      </c>
      <c r="E20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Helper'!$F$5:$F$3004,"""")&lt;&gt;""""),ROWS(E$5:E2000)),"""")"),"")</f>
        <v/>
      </c>
      <c r="F20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Helper'!$F$5:$F$3004,"""")&lt;&gt;""""),ROWS(F$5:F2000)),IF(AND(LEFT(x,5)=""Pag"&amp;"e "",ISERROR(SEARCH(""–"",x))),x&amp;""–""&amp;REGEXEXTRACT(x,""[0-9]+$""),x)),"""")"),"")</f>
        <v/>
      </c>
      <c r="G2000" s="163"/>
      <c r="H20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Helper'!$F$5:$F$3004,"""")&lt;&gt;""""),ROWS(H$5:H2000)),"""")"),"")</f>
        <v/>
      </c>
    </row>
    <row r="2001" ht="15.75" customHeight="1">
      <c r="A20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Helper'!$F$5:$F$3004,"""")&lt;&gt;""""),ROWS(A$5:A2001)),"""")"),"")</f>
        <v/>
      </c>
      <c r="B20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Helper'!$F$5:$F$3004,"""")&lt;&gt;""""),ROWS(B$5:B2001)),"""")"),"")</f>
        <v/>
      </c>
      <c r="C20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Helper'!$F$5:$F$3004,"""")&lt;&gt;""""),ROWS(C$5:C2001)),"""")"),"")</f>
        <v/>
      </c>
      <c r="D20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Helper'!$F$5:$F$3004,"""")&lt;&gt;""""),ROWS(D$5:D2001)),"""")"),"")</f>
        <v/>
      </c>
      <c r="E20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Helper'!$F$5:$F$3004,"""")&lt;&gt;""""),ROWS(E$5:E2001)),"""")"),"")</f>
        <v/>
      </c>
      <c r="F20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Helper'!$F$5:$F$3004,"""")&lt;&gt;""""),ROWS(F$5:F2001)),IF(AND(LEFT(x,5)=""Pag"&amp;"e "",ISERROR(SEARCH(""–"",x))),x&amp;""–""&amp;REGEXEXTRACT(x,""[0-9]+$""),x)),"""")"),"")</f>
        <v/>
      </c>
      <c r="G2001" s="163"/>
      <c r="H20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Helper'!$F$5:$F$3004,"""")&lt;&gt;""""),ROWS(H$5:H2001)),"""")"),"")</f>
        <v/>
      </c>
    </row>
    <row r="2002" ht="15.75" customHeight="1">
      <c r="A20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Helper'!$F$5:$F$3004,"""")&lt;&gt;""""),ROWS(A$5:A2002)),"""")"),"")</f>
        <v/>
      </c>
      <c r="B20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Helper'!$F$5:$F$3004,"""")&lt;&gt;""""),ROWS(B$5:B2002)),"""")"),"")</f>
        <v/>
      </c>
      <c r="C20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Helper'!$F$5:$F$3004,"""")&lt;&gt;""""),ROWS(C$5:C2002)),"""")"),"")</f>
        <v/>
      </c>
      <c r="D20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Helper'!$F$5:$F$3004,"""")&lt;&gt;""""),ROWS(D$5:D2002)),"""")"),"")</f>
        <v/>
      </c>
      <c r="E20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Helper'!$F$5:$F$3004,"""")&lt;&gt;""""),ROWS(E$5:E2002)),"""")"),"")</f>
        <v/>
      </c>
      <c r="F20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Helper'!$F$5:$F$3004,"""")&lt;&gt;""""),ROWS(F$5:F2002)),IF(AND(LEFT(x,5)=""Pag"&amp;"e "",ISERROR(SEARCH(""–"",x))),x&amp;""–""&amp;REGEXEXTRACT(x,""[0-9]+$""),x)),"""")"),"")</f>
        <v/>
      </c>
      <c r="G2002" s="163"/>
      <c r="H20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Helper'!$F$5:$F$3004,"""")&lt;&gt;""""),ROWS(H$5:H2002)),"""")"),"")</f>
        <v/>
      </c>
    </row>
    <row r="2003" ht="15.75" customHeight="1">
      <c r="A20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Helper'!$F$5:$F$3004,"""")&lt;&gt;""""),ROWS(A$5:A2003)),"""")"),"")</f>
        <v/>
      </c>
      <c r="B20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Helper'!$F$5:$F$3004,"""")&lt;&gt;""""),ROWS(B$5:B2003)),"""")"),"")</f>
        <v/>
      </c>
      <c r="C20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Helper'!$F$5:$F$3004,"""")&lt;&gt;""""),ROWS(C$5:C2003)),"""")"),"")</f>
        <v/>
      </c>
      <c r="D20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Helper'!$F$5:$F$3004,"""")&lt;&gt;""""),ROWS(D$5:D2003)),"""")"),"")</f>
        <v/>
      </c>
      <c r="E20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Helper'!$F$5:$F$3004,"""")&lt;&gt;""""),ROWS(E$5:E2003)),"""")"),"")</f>
        <v/>
      </c>
      <c r="F20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Helper'!$F$5:$F$3004,"""")&lt;&gt;""""),ROWS(F$5:F2003)),IF(AND(LEFT(x,5)=""Pag"&amp;"e "",ISERROR(SEARCH(""–"",x))),x&amp;""–""&amp;REGEXEXTRACT(x,""[0-9]+$""),x)),"""")"),"")</f>
        <v/>
      </c>
      <c r="G2003" s="163"/>
      <c r="H20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Helper'!$F$5:$F$3004,"""")&lt;&gt;""""),ROWS(H$5:H2003)),"""")"),"")</f>
        <v/>
      </c>
    </row>
    <row r="2004" ht="15.75" customHeight="1">
      <c r="A20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Helper'!$F$5:$F$3004,"""")&lt;&gt;""""),ROWS(A$5:A2004)),"""")"),"")</f>
        <v/>
      </c>
      <c r="B20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Helper'!$F$5:$F$3004,"""")&lt;&gt;""""),ROWS(B$5:B2004)),"""")"),"")</f>
        <v/>
      </c>
      <c r="C20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Helper'!$F$5:$F$3004,"""")&lt;&gt;""""),ROWS(C$5:C2004)),"""")"),"")</f>
        <v/>
      </c>
      <c r="D20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Helper'!$F$5:$F$3004,"""")&lt;&gt;""""),ROWS(D$5:D2004)),"""")"),"")</f>
        <v/>
      </c>
      <c r="E20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Helper'!$F$5:$F$3004,"""")&lt;&gt;""""),ROWS(E$5:E2004)),"""")"),"")</f>
        <v/>
      </c>
      <c r="F20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Helper'!$F$5:$F$3004,"""")&lt;&gt;""""),ROWS(F$5:F2004)),IF(AND(LEFT(x,5)=""Pag"&amp;"e "",ISERROR(SEARCH(""–"",x))),x&amp;""–""&amp;REGEXEXTRACT(x,""[0-9]+$""),x)),"""")"),"")</f>
        <v/>
      </c>
      <c r="G2004" s="163"/>
      <c r="H20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Helper'!$F$5:$F$3004,"""")&lt;&gt;""""),ROWS(H$5:H2004)),"""")"),"")</f>
        <v/>
      </c>
    </row>
    <row r="2005" ht="15.75" customHeight="1">
      <c r="A20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Helper'!$F$5:$F$3004,"""")&lt;&gt;""""),ROWS(A$5:A2005)),"""")"),"")</f>
        <v/>
      </c>
      <c r="B20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Helper'!$F$5:$F$3004,"""")&lt;&gt;""""),ROWS(B$5:B2005)),"""")"),"")</f>
        <v/>
      </c>
      <c r="C20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Helper'!$F$5:$F$3004,"""")&lt;&gt;""""),ROWS(C$5:C2005)),"""")"),"")</f>
        <v/>
      </c>
      <c r="D20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Helper'!$F$5:$F$3004,"""")&lt;&gt;""""),ROWS(D$5:D2005)),"""")"),"")</f>
        <v/>
      </c>
      <c r="E20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Helper'!$F$5:$F$3004,"""")&lt;&gt;""""),ROWS(E$5:E2005)),"""")"),"")</f>
        <v/>
      </c>
      <c r="F20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Helper'!$F$5:$F$3004,"""")&lt;&gt;""""),ROWS(F$5:F2005)),IF(AND(LEFT(x,5)=""Pag"&amp;"e "",ISERROR(SEARCH(""–"",x))),x&amp;""–""&amp;REGEXEXTRACT(x,""[0-9]+$""),x)),"""")"),"")</f>
        <v/>
      </c>
      <c r="G2005" s="163"/>
      <c r="H20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Helper'!$F$5:$F$3004,"""")&lt;&gt;""""),ROWS(H$5:H2005)),"""")"),"")</f>
        <v/>
      </c>
    </row>
    <row r="2006" ht="15.75" customHeight="1">
      <c r="A20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Helper'!$F$5:$F$3004,"""")&lt;&gt;""""),ROWS(A$5:A2006)),"""")"),"")</f>
        <v/>
      </c>
      <c r="B20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Helper'!$F$5:$F$3004,"""")&lt;&gt;""""),ROWS(B$5:B2006)),"""")"),"")</f>
        <v/>
      </c>
      <c r="C20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Helper'!$F$5:$F$3004,"""")&lt;&gt;""""),ROWS(C$5:C2006)),"""")"),"")</f>
        <v/>
      </c>
      <c r="D20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Helper'!$F$5:$F$3004,"""")&lt;&gt;""""),ROWS(D$5:D2006)),"""")"),"")</f>
        <v/>
      </c>
      <c r="E20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Helper'!$F$5:$F$3004,"""")&lt;&gt;""""),ROWS(E$5:E2006)),"""")"),"")</f>
        <v/>
      </c>
      <c r="F20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Helper'!$F$5:$F$3004,"""")&lt;&gt;""""),ROWS(F$5:F2006)),IF(AND(LEFT(x,5)=""Pag"&amp;"e "",ISERROR(SEARCH(""–"",x))),x&amp;""–""&amp;REGEXEXTRACT(x,""[0-9]+$""),x)),"""")"),"")</f>
        <v/>
      </c>
      <c r="G2006" s="163"/>
      <c r="H20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Helper'!$F$5:$F$3004,"""")&lt;&gt;""""),ROWS(H$5:H2006)),"""")"),"")</f>
        <v/>
      </c>
    </row>
    <row r="2007" ht="15.75" customHeight="1">
      <c r="A20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Helper'!$F$5:$F$3004,"""")&lt;&gt;""""),ROWS(A$5:A2007)),"""")"),"")</f>
        <v/>
      </c>
      <c r="B20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Helper'!$F$5:$F$3004,"""")&lt;&gt;""""),ROWS(B$5:B2007)),"""")"),"")</f>
        <v/>
      </c>
      <c r="C20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Helper'!$F$5:$F$3004,"""")&lt;&gt;""""),ROWS(C$5:C2007)),"""")"),"")</f>
        <v/>
      </c>
      <c r="D20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Helper'!$F$5:$F$3004,"""")&lt;&gt;""""),ROWS(D$5:D2007)),"""")"),"")</f>
        <v/>
      </c>
      <c r="E20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Helper'!$F$5:$F$3004,"""")&lt;&gt;""""),ROWS(E$5:E2007)),"""")"),"")</f>
        <v/>
      </c>
      <c r="F20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Helper'!$F$5:$F$3004,"""")&lt;&gt;""""),ROWS(F$5:F2007)),IF(AND(LEFT(x,5)=""Pag"&amp;"e "",ISERROR(SEARCH(""–"",x))),x&amp;""–""&amp;REGEXEXTRACT(x,""[0-9]+$""),x)),"""")"),"")</f>
        <v/>
      </c>
      <c r="G2007" s="163"/>
      <c r="H20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Helper'!$F$5:$F$3004,"""")&lt;&gt;""""),ROWS(H$5:H2007)),"""")"),"")</f>
        <v/>
      </c>
    </row>
    <row r="2008" ht="15.75" customHeight="1">
      <c r="A20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Helper'!$F$5:$F$3004,"""")&lt;&gt;""""),ROWS(A$5:A2008)),"""")"),"")</f>
        <v/>
      </c>
      <c r="B20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Helper'!$F$5:$F$3004,"""")&lt;&gt;""""),ROWS(B$5:B2008)),"""")"),"")</f>
        <v/>
      </c>
      <c r="C20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Helper'!$F$5:$F$3004,"""")&lt;&gt;""""),ROWS(C$5:C2008)),"""")"),"")</f>
        <v/>
      </c>
      <c r="D20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Helper'!$F$5:$F$3004,"""")&lt;&gt;""""),ROWS(D$5:D2008)),"""")"),"")</f>
        <v/>
      </c>
      <c r="E20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Helper'!$F$5:$F$3004,"""")&lt;&gt;""""),ROWS(E$5:E2008)),"""")"),"")</f>
        <v/>
      </c>
      <c r="F20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Helper'!$F$5:$F$3004,"""")&lt;&gt;""""),ROWS(F$5:F2008)),IF(AND(LEFT(x,5)=""Pag"&amp;"e "",ISERROR(SEARCH(""–"",x))),x&amp;""–""&amp;REGEXEXTRACT(x,""[0-9]+$""),x)),"""")"),"")</f>
        <v/>
      </c>
      <c r="G2008" s="163"/>
      <c r="H20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Helper'!$F$5:$F$3004,"""")&lt;&gt;""""),ROWS(H$5:H2008)),"""")"),"")</f>
        <v/>
      </c>
    </row>
    <row r="2009" ht="15.75" customHeight="1">
      <c r="A20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Helper'!$F$5:$F$3004,"""")&lt;&gt;""""),ROWS(A$5:A2009)),"""")"),"")</f>
        <v/>
      </c>
      <c r="B20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Helper'!$F$5:$F$3004,"""")&lt;&gt;""""),ROWS(B$5:B2009)),"""")"),"")</f>
        <v/>
      </c>
      <c r="C20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Helper'!$F$5:$F$3004,"""")&lt;&gt;""""),ROWS(C$5:C2009)),"""")"),"")</f>
        <v/>
      </c>
      <c r="D20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Helper'!$F$5:$F$3004,"""")&lt;&gt;""""),ROWS(D$5:D2009)),"""")"),"")</f>
        <v/>
      </c>
      <c r="E20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Helper'!$F$5:$F$3004,"""")&lt;&gt;""""),ROWS(E$5:E2009)),"""")"),"")</f>
        <v/>
      </c>
      <c r="F20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Helper'!$F$5:$F$3004,"""")&lt;&gt;""""),ROWS(F$5:F2009)),IF(AND(LEFT(x,5)=""Pag"&amp;"e "",ISERROR(SEARCH(""–"",x))),x&amp;""–""&amp;REGEXEXTRACT(x,""[0-9]+$""),x)),"""")"),"")</f>
        <v/>
      </c>
      <c r="G2009" s="163"/>
      <c r="H20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Helper'!$F$5:$F$3004,"""")&lt;&gt;""""),ROWS(H$5:H2009)),"""")"),"")</f>
        <v/>
      </c>
    </row>
    <row r="2010" ht="15.75" customHeight="1">
      <c r="A20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Helper'!$F$5:$F$3004,"""")&lt;&gt;""""),ROWS(A$5:A2010)),"""")"),"")</f>
        <v/>
      </c>
      <c r="B20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Helper'!$F$5:$F$3004,"""")&lt;&gt;""""),ROWS(B$5:B2010)),"""")"),"")</f>
        <v/>
      </c>
      <c r="C20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Helper'!$F$5:$F$3004,"""")&lt;&gt;""""),ROWS(C$5:C2010)),"""")"),"")</f>
        <v/>
      </c>
      <c r="D20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Helper'!$F$5:$F$3004,"""")&lt;&gt;""""),ROWS(D$5:D2010)),"""")"),"")</f>
        <v/>
      </c>
      <c r="E20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Helper'!$F$5:$F$3004,"""")&lt;&gt;""""),ROWS(E$5:E2010)),"""")"),"")</f>
        <v/>
      </c>
      <c r="F20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Helper'!$F$5:$F$3004,"""")&lt;&gt;""""),ROWS(F$5:F2010)),IF(AND(LEFT(x,5)=""Pag"&amp;"e "",ISERROR(SEARCH(""–"",x))),x&amp;""–""&amp;REGEXEXTRACT(x,""[0-9]+$""),x)),"""")"),"")</f>
        <v/>
      </c>
      <c r="G2010" s="163"/>
      <c r="H20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Helper'!$F$5:$F$3004,"""")&lt;&gt;""""),ROWS(H$5:H2010)),"""")"),"")</f>
        <v/>
      </c>
    </row>
    <row r="2011" ht="15.75" customHeight="1">
      <c r="A20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Helper'!$F$5:$F$3004,"""")&lt;&gt;""""),ROWS(A$5:A2011)),"""")"),"")</f>
        <v/>
      </c>
      <c r="B20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Helper'!$F$5:$F$3004,"""")&lt;&gt;""""),ROWS(B$5:B2011)),"""")"),"")</f>
        <v/>
      </c>
      <c r="C20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Helper'!$F$5:$F$3004,"""")&lt;&gt;""""),ROWS(C$5:C2011)),"""")"),"")</f>
        <v/>
      </c>
      <c r="D20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Helper'!$F$5:$F$3004,"""")&lt;&gt;""""),ROWS(D$5:D2011)),"""")"),"")</f>
        <v/>
      </c>
      <c r="E20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Helper'!$F$5:$F$3004,"""")&lt;&gt;""""),ROWS(E$5:E2011)),"""")"),"")</f>
        <v/>
      </c>
      <c r="F20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Helper'!$F$5:$F$3004,"""")&lt;&gt;""""),ROWS(F$5:F2011)),IF(AND(LEFT(x,5)=""Pag"&amp;"e "",ISERROR(SEARCH(""–"",x))),x&amp;""–""&amp;REGEXEXTRACT(x,""[0-9]+$""),x)),"""")"),"")</f>
        <v/>
      </c>
      <c r="G2011" s="163"/>
      <c r="H20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Helper'!$F$5:$F$3004,"""")&lt;&gt;""""),ROWS(H$5:H2011)),"""")"),"")</f>
        <v/>
      </c>
    </row>
    <row r="2012" ht="15.75" customHeight="1">
      <c r="A20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Helper'!$F$5:$F$3004,"""")&lt;&gt;""""),ROWS(A$5:A2012)),"""")"),"")</f>
        <v/>
      </c>
      <c r="B20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Helper'!$F$5:$F$3004,"""")&lt;&gt;""""),ROWS(B$5:B2012)),"""")"),"")</f>
        <v/>
      </c>
      <c r="C20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Helper'!$F$5:$F$3004,"""")&lt;&gt;""""),ROWS(C$5:C2012)),"""")"),"")</f>
        <v/>
      </c>
      <c r="D20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Helper'!$F$5:$F$3004,"""")&lt;&gt;""""),ROWS(D$5:D2012)),"""")"),"")</f>
        <v/>
      </c>
      <c r="E20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Helper'!$F$5:$F$3004,"""")&lt;&gt;""""),ROWS(E$5:E2012)),"""")"),"")</f>
        <v/>
      </c>
      <c r="F20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Helper'!$F$5:$F$3004,"""")&lt;&gt;""""),ROWS(F$5:F2012)),IF(AND(LEFT(x,5)=""Pag"&amp;"e "",ISERROR(SEARCH(""–"",x))),x&amp;""–""&amp;REGEXEXTRACT(x,""[0-9]+$""),x)),"""")"),"")</f>
        <v/>
      </c>
      <c r="G2012" s="163"/>
      <c r="H20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Helper'!$F$5:$F$3004,"""")&lt;&gt;""""),ROWS(H$5:H2012)),"""")"),"")</f>
        <v/>
      </c>
    </row>
    <row r="2013" ht="15.75" customHeight="1">
      <c r="A20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Helper'!$F$5:$F$3004,"""")&lt;&gt;""""),ROWS(A$5:A2013)),"""")"),"")</f>
        <v/>
      </c>
      <c r="B20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Helper'!$F$5:$F$3004,"""")&lt;&gt;""""),ROWS(B$5:B2013)),"""")"),"")</f>
        <v/>
      </c>
      <c r="C20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Helper'!$F$5:$F$3004,"""")&lt;&gt;""""),ROWS(C$5:C2013)),"""")"),"")</f>
        <v/>
      </c>
      <c r="D20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Helper'!$F$5:$F$3004,"""")&lt;&gt;""""),ROWS(D$5:D2013)),"""")"),"")</f>
        <v/>
      </c>
      <c r="E20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Helper'!$F$5:$F$3004,"""")&lt;&gt;""""),ROWS(E$5:E2013)),"""")"),"")</f>
        <v/>
      </c>
      <c r="F20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Helper'!$F$5:$F$3004,"""")&lt;&gt;""""),ROWS(F$5:F2013)),IF(AND(LEFT(x,5)=""Pag"&amp;"e "",ISERROR(SEARCH(""–"",x))),x&amp;""–""&amp;REGEXEXTRACT(x,""[0-9]+$""),x)),"""")"),"")</f>
        <v/>
      </c>
      <c r="G2013" s="163"/>
      <c r="H20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Helper'!$F$5:$F$3004,"""")&lt;&gt;""""),ROWS(H$5:H2013)),"""")"),"")</f>
        <v/>
      </c>
    </row>
    <row r="2014" ht="15.75" customHeight="1">
      <c r="A20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Helper'!$F$5:$F$3004,"""")&lt;&gt;""""),ROWS(A$5:A2014)),"""")"),"")</f>
        <v/>
      </c>
      <c r="B20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Helper'!$F$5:$F$3004,"""")&lt;&gt;""""),ROWS(B$5:B2014)),"""")"),"")</f>
        <v/>
      </c>
      <c r="C20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Helper'!$F$5:$F$3004,"""")&lt;&gt;""""),ROWS(C$5:C2014)),"""")"),"")</f>
        <v/>
      </c>
      <c r="D20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Helper'!$F$5:$F$3004,"""")&lt;&gt;""""),ROWS(D$5:D2014)),"""")"),"")</f>
        <v/>
      </c>
      <c r="E20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Helper'!$F$5:$F$3004,"""")&lt;&gt;""""),ROWS(E$5:E2014)),"""")"),"")</f>
        <v/>
      </c>
      <c r="F20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Helper'!$F$5:$F$3004,"""")&lt;&gt;""""),ROWS(F$5:F2014)),IF(AND(LEFT(x,5)=""Pag"&amp;"e "",ISERROR(SEARCH(""–"",x))),x&amp;""–""&amp;REGEXEXTRACT(x,""[0-9]+$""),x)),"""")"),"")</f>
        <v/>
      </c>
      <c r="G2014" s="163"/>
      <c r="H20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Helper'!$F$5:$F$3004,"""")&lt;&gt;""""),ROWS(H$5:H2014)),"""")"),"")</f>
        <v/>
      </c>
    </row>
    <row r="2015" ht="15.75" customHeight="1">
      <c r="A20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Helper'!$F$5:$F$3004,"""")&lt;&gt;""""),ROWS(A$5:A2015)),"""")"),"")</f>
        <v/>
      </c>
      <c r="B20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Helper'!$F$5:$F$3004,"""")&lt;&gt;""""),ROWS(B$5:B2015)),"""")"),"")</f>
        <v/>
      </c>
      <c r="C20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Helper'!$F$5:$F$3004,"""")&lt;&gt;""""),ROWS(C$5:C2015)),"""")"),"")</f>
        <v/>
      </c>
      <c r="D20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Helper'!$F$5:$F$3004,"""")&lt;&gt;""""),ROWS(D$5:D2015)),"""")"),"")</f>
        <v/>
      </c>
      <c r="E20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Helper'!$F$5:$F$3004,"""")&lt;&gt;""""),ROWS(E$5:E2015)),"""")"),"")</f>
        <v/>
      </c>
      <c r="F20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Helper'!$F$5:$F$3004,"""")&lt;&gt;""""),ROWS(F$5:F2015)),IF(AND(LEFT(x,5)=""Pag"&amp;"e "",ISERROR(SEARCH(""–"",x))),x&amp;""–""&amp;REGEXEXTRACT(x,""[0-9]+$""),x)),"""")"),"")</f>
        <v/>
      </c>
      <c r="G2015" s="163"/>
      <c r="H20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Helper'!$F$5:$F$3004,"""")&lt;&gt;""""),ROWS(H$5:H2015)),"""")"),"")</f>
        <v/>
      </c>
    </row>
    <row r="2016" ht="15.75" customHeight="1">
      <c r="A20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Helper'!$F$5:$F$3004,"""")&lt;&gt;""""),ROWS(A$5:A2016)),"""")"),"")</f>
        <v/>
      </c>
      <c r="B20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Helper'!$F$5:$F$3004,"""")&lt;&gt;""""),ROWS(B$5:B2016)),"""")"),"")</f>
        <v/>
      </c>
      <c r="C20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Helper'!$F$5:$F$3004,"""")&lt;&gt;""""),ROWS(C$5:C2016)),"""")"),"")</f>
        <v/>
      </c>
      <c r="D20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Helper'!$F$5:$F$3004,"""")&lt;&gt;""""),ROWS(D$5:D2016)),"""")"),"")</f>
        <v/>
      </c>
      <c r="E20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Helper'!$F$5:$F$3004,"""")&lt;&gt;""""),ROWS(E$5:E2016)),"""")"),"")</f>
        <v/>
      </c>
      <c r="F20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Helper'!$F$5:$F$3004,"""")&lt;&gt;""""),ROWS(F$5:F2016)),IF(AND(LEFT(x,5)=""Pag"&amp;"e "",ISERROR(SEARCH(""–"",x))),x&amp;""–""&amp;REGEXEXTRACT(x,""[0-9]+$""),x)),"""")"),"")</f>
        <v/>
      </c>
      <c r="G2016" s="163"/>
      <c r="H20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Helper'!$F$5:$F$3004,"""")&lt;&gt;""""),ROWS(H$5:H2016)),"""")"),"")</f>
        <v/>
      </c>
    </row>
    <row r="2017" ht="15.75" customHeight="1">
      <c r="A20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Helper'!$F$5:$F$3004,"""")&lt;&gt;""""),ROWS(A$5:A2017)),"""")"),"")</f>
        <v/>
      </c>
      <c r="B20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Helper'!$F$5:$F$3004,"""")&lt;&gt;""""),ROWS(B$5:B2017)),"""")"),"")</f>
        <v/>
      </c>
      <c r="C20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Helper'!$F$5:$F$3004,"""")&lt;&gt;""""),ROWS(C$5:C2017)),"""")"),"")</f>
        <v/>
      </c>
      <c r="D20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Helper'!$F$5:$F$3004,"""")&lt;&gt;""""),ROWS(D$5:D2017)),"""")"),"")</f>
        <v/>
      </c>
      <c r="E20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Helper'!$F$5:$F$3004,"""")&lt;&gt;""""),ROWS(E$5:E2017)),"""")"),"")</f>
        <v/>
      </c>
      <c r="F20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Helper'!$F$5:$F$3004,"""")&lt;&gt;""""),ROWS(F$5:F2017)),IF(AND(LEFT(x,5)=""Pag"&amp;"e "",ISERROR(SEARCH(""–"",x))),x&amp;""–""&amp;REGEXEXTRACT(x,""[0-9]+$""),x)),"""")"),"")</f>
        <v/>
      </c>
      <c r="G2017" s="163"/>
      <c r="H20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Helper'!$F$5:$F$3004,"""")&lt;&gt;""""),ROWS(H$5:H2017)),"""")"),"")</f>
        <v/>
      </c>
    </row>
    <row r="2018" ht="15.75" customHeight="1">
      <c r="A20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Helper'!$F$5:$F$3004,"""")&lt;&gt;""""),ROWS(A$5:A2018)),"""")"),"")</f>
        <v/>
      </c>
      <c r="B20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Helper'!$F$5:$F$3004,"""")&lt;&gt;""""),ROWS(B$5:B2018)),"""")"),"")</f>
        <v/>
      </c>
      <c r="C20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Helper'!$F$5:$F$3004,"""")&lt;&gt;""""),ROWS(C$5:C2018)),"""")"),"")</f>
        <v/>
      </c>
      <c r="D20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Helper'!$F$5:$F$3004,"""")&lt;&gt;""""),ROWS(D$5:D2018)),"""")"),"")</f>
        <v/>
      </c>
      <c r="E20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Helper'!$F$5:$F$3004,"""")&lt;&gt;""""),ROWS(E$5:E2018)),"""")"),"")</f>
        <v/>
      </c>
      <c r="F20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Helper'!$F$5:$F$3004,"""")&lt;&gt;""""),ROWS(F$5:F2018)),IF(AND(LEFT(x,5)=""Pag"&amp;"e "",ISERROR(SEARCH(""–"",x))),x&amp;""–""&amp;REGEXEXTRACT(x,""[0-9]+$""),x)),"""")"),"")</f>
        <v/>
      </c>
      <c r="G2018" s="163"/>
      <c r="H20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Helper'!$F$5:$F$3004,"""")&lt;&gt;""""),ROWS(H$5:H2018)),"""")"),"")</f>
        <v/>
      </c>
    </row>
    <row r="2019" ht="15.75" customHeight="1">
      <c r="A20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Helper'!$F$5:$F$3004,"""")&lt;&gt;""""),ROWS(A$5:A2019)),"""")"),"")</f>
        <v/>
      </c>
      <c r="B20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Helper'!$F$5:$F$3004,"""")&lt;&gt;""""),ROWS(B$5:B2019)),"""")"),"")</f>
        <v/>
      </c>
      <c r="C20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Helper'!$F$5:$F$3004,"""")&lt;&gt;""""),ROWS(C$5:C2019)),"""")"),"")</f>
        <v/>
      </c>
      <c r="D20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Helper'!$F$5:$F$3004,"""")&lt;&gt;""""),ROWS(D$5:D2019)),"""")"),"")</f>
        <v/>
      </c>
      <c r="E20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Helper'!$F$5:$F$3004,"""")&lt;&gt;""""),ROWS(E$5:E2019)),"""")"),"")</f>
        <v/>
      </c>
      <c r="F20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Helper'!$F$5:$F$3004,"""")&lt;&gt;""""),ROWS(F$5:F2019)),IF(AND(LEFT(x,5)=""Pag"&amp;"e "",ISERROR(SEARCH(""–"",x))),x&amp;""–""&amp;REGEXEXTRACT(x,""[0-9]+$""),x)),"""")"),"")</f>
        <v/>
      </c>
      <c r="G2019" s="163"/>
      <c r="H20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Helper'!$F$5:$F$3004,"""")&lt;&gt;""""),ROWS(H$5:H2019)),"""")"),"")</f>
        <v/>
      </c>
    </row>
    <row r="2020" ht="15.75" customHeight="1">
      <c r="A20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Helper'!$F$5:$F$3004,"""")&lt;&gt;""""),ROWS(A$5:A2020)),"""")"),"")</f>
        <v/>
      </c>
      <c r="B20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Helper'!$F$5:$F$3004,"""")&lt;&gt;""""),ROWS(B$5:B2020)),"""")"),"")</f>
        <v/>
      </c>
      <c r="C20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Helper'!$F$5:$F$3004,"""")&lt;&gt;""""),ROWS(C$5:C2020)),"""")"),"")</f>
        <v/>
      </c>
      <c r="D20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Helper'!$F$5:$F$3004,"""")&lt;&gt;""""),ROWS(D$5:D2020)),"""")"),"")</f>
        <v/>
      </c>
      <c r="E20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Helper'!$F$5:$F$3004,"""")&lt;&gt;""""),ROWS(E$5:E2020)),"""")"),"")</f>
        <v/>
      </c>
      <c r="F20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Helper'!$F$5:$F$3004,"""")&lt;&gt;""""),ROWS(F$5:F2020)),IF(AND(LEFT(x,5)=""Pag"&amp;"e "",ISERROR(SEARCH(""–"",x))),x&amp;""–""&amp;REGEXEXTRACT(x,""[0-9]+$""),x)),"""")"),"")</f>
        <v/>
      </c>
      <c r="G2020" s="163"/>
      <c r="H20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Helper'!$F$5:$F$3004,"""")&lt;&gt;""""),ROWS(H$5:H2020)),"""")"),"")</f>
        <v/>
      </c>
    </row>
    <row r="2021" ht="15.75" customHeight="1">
      <c r="A20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Helper'!$F$5:$F$3004,"""")&lt;&gt;""""),ROWS(A$5:A2021)),"""")"),"")</f>
        <v/>
      </c>
      <c r="B20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Helper'!$F$5:$F$3004,"""")&lt;&gt;""""),ROWS(B$5:B2021)),"""")"),"")</f>
        <v/>
      </c>
      <c r="C20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Helper'!$F$5:$F$3004,"""")&lt;&gt;""""),ROWS(C$5:C2021)),"""")"),"")</f>
        <v/>
      </c>
      <c r="D20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Helper'!$F$5:$F$3004,"""")&lt;&gt;""""),ROWS(D$5:D2021)),"""")"),"")</f>
        <v/>
      </c>
      <c r="E20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Helper'!$F$5:$F$3004,"""")&lt;&gt;""""),ROWS(E$5:E2021)),"""")"),"")</f>
        <v/>
      </c>
      <c r="F20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Helper'!$F$5:$F$3004,"""")&lt;&gt;""""),ROWS(F$5:F2021)),IF(AND(LEFT(x,5)=""Pag"&amp;"e "",ISERROR(SEARCH(""–"",x))),x&amp;""–""&amp;REGEXEXTRACT(x,""[0-9]+$""),x)),"""")"),"")</f>
        <v/>
      </c>
      <c r="G2021" s="163"/>
      <c r="H20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Helper'!$F$5:$F$3004,"""")&lt;&gt;""""),ROWS(H$5:H2021)),"""")"),"")</f>
        <v/>
      </c>
    </row>
    <row r="2022" ht="15.75" customHeight="1">
      <c r="A20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Helper'!$F$5:$F$3004,"""")&lt;&gt;""""),ROWS(A$5:A2022)),"""")"),"")</f>
        <v/>
      </c>
      <c r="B20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Helper'!$F$5:$F$3004,"""")&lt;&gt;""""),ROWS(B$5:B2022)),"""")"),"")</f>
        <v/>
      </c>
      <c r="C20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Helper'!$F$5:$F$3004,"""")&lt;&gt;""""),ROWS(C$5:C2022)),"""")"),"")</f>
        <v/>
      </c>
      <c r="D20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Helper'!$F$5:$F$3004,"""")&lt;&gt;""""),ROWS(D$5:D2022)),"""")"),"")</f>
        <v/>
      </c>
      <c r="E20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Helper'!$F$5:$F$3004,"""")&lt;&gt;""""),ROWS(E$5:E2022)),"""")"),"")</f>
        <v/>
      </c>
      <c r="F20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Helper'!$F$5:$F$3004,"""")&lt;&gt;""""),ROWS(F$5:F2022)),IF(AND(LEFT(x,5)=""Pag"&amp;"e "",ISERROR(SEARCH(""–"",x))),x&amp;""–""&amp;REGEXEXTRACT(x,""[0-9]+$""),x)),"""")"),"")</f>
        <v/>
      </c>
      <c r="G2022" s="163"/>
      <c r="H20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Helper'!$F$5:$F$3004,"""")&lt;&gt;""""),ROWS(H$5:H2022)),"""")"),"")</f>
        <v/>
      </c>
    </row>
    <row r="2023" ht="15.75" customHeight="1">
      <c r="A20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Helper'!$F$5:$F$3004,"""")&lt;&gt;""""),ROWS(A$5:A2023)),"""")"),"")</f>
        <v/>
      </c>
      <c r="B20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Helper'!$F$5:$F$3004,"""")&lt;&gt;""""),ROWS(B$5:B2023)),"""")"),"")</f>
        <v/>
      </c>
      <c r="C20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Helper'!$F$5:$F$3004,"""")&lt;&gt;""""),ROWS(C$5:C2023)),"""")"),"")</f>
        <v/>
      </c>
      <c r="D20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Helper'!$F$5:$F$3004,"""")&lt;&gt;""""),ROWS(D$5:D2023)),"""")"),"")</f>
        <v/>
      </c>
      <c r="E20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Helper'!$F$5:$F$3004,"""")&lt;&gt;""""),ROWS(E$5:E2023)),"""")"),"")</f>
        <v/>
      </c>
      <c r="F20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Helper'!$F$5:$F$3004,"""")&lt;&gt;""""),ROWS(F$5:F2023)),IF(AND(LEFT(x,5)=""Pag"&amp;"e "",ISERROR(SEARCH(""–"",x))),x&amp;""–""&amp;REGEXEXTRACT(x,""[0-9]+$""),x)),"""")"),"")</f>
        <v/>
      </c>
      <c r="G2023" s="163"/>
      <c r="H20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Helper'!$F$5:$F$3004,"""")&lt;&gt;""""),ROWS(H$5:H2023)),"""")"),"")</f>
        <v/>
      </c>
    </row>
    <row r="2024" ht="15.75" customHeight="1">
      <c r="A20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Helper'!$F$5:$F$3004,"""")&lt;&gt;""""),ROWS(A$5:A2024)),"""")"),"")</f>
        <v/>
      </c>
      <c r="B20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Helper'!$F$5:$F$3004,"""")&lt;&gt;""""),ROWS(B$5:B2024)),"""")"),"")</f>
        <v/>
      </c>
      <c r="C20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Helper'!$F$5:$F$3004,"""")&lt;&gt;""""),ROWS(C$5:C2024)),"""")"),"")</f>
        <v/>
      </c>
      <c r="D20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Helper'!$F$5:$F$3004,"""")&lt;&gt;""""),ROWS(D$5:D2024)),"""")"),"")</f>
        <v/>
      </c>
      <c r="E20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Helper'!$F$5:$F$3004,"""")&lt;&gt;""""),ROWS(E$5:E2024)),"""")"),"")</f>
        <v/>
      </c>
      <c r="F20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Helper'!$F$5:$F$3004,"""")&lt;&gt;""""),ROWS(F$5:F2024)),IF(AND(LEFT(x,5)=""Pag"&amp;"e "",ISERROR(SEARCH(""–"",x))),x&amp;""–""&amp;REGEXEXTRACT(x,""[0-9]+$""),x)),"""")"),"")</f>
        <v/>
      </c>
      <c r="G2024" s="163"/>
      <c r="H20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Helper'!$F$5:$F$3004,"""")&lt;&gt;""""),ROWS(H$5:H2024)),"""")"),"")</f>
        <v/>
      </c>
    </row>
    <row r="2025" ht="15.75" customHeight="1">
      <c r="A20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Helper'!$F$5:$F$3004,"""")&lt;&gt;""""),ROWS(A$5:A2025)),"""")"),"")</f>
        <v/>
      </c>
      <c r="B20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Helper'!$F$5:$F$3004,"""")&lt;&gt;""""),ROWS(B$5:B2025)),"""")"),"")</f>
        <v/>
      </c>
      <c r="C20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Helper'!$F$5:$F$3004,"""")&lt;&gt;""""),ROWS(C$5:C2025)),"""")"),"")</f>
        <v/>
      </c>
      <c r="D20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Helper'!$F$5:$F$3004,"""")&lt;&gt;""""),ROWS(D$5:D2025)),"""")"),"")</f>
        <v/>
      </c>
      <c r="E20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Helper'!$F$5:$F$3004,"""")&lt;&gt;""""),ROWS(E$5:E2025)),"""")"),"")</f>
        <v/>
      </c>
      <c r="F20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Helper'!$F$5:$F$3004,"""")&lt;&gt;""""),ROWS(F$5:F2025)),IF(AND(LEFT(x,5)=""Pag"&amp;"e "",ISERROR(SEARCH(""–"",x))),x&amp;""–""&amp;REGEXEXTRACT(x,""[0-9]+$""),x)),"""")"),"")</f>
        <v/>
      </c>
      <c r="G2025" s="163"/>
      <c r="H20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Helper'!$F$5:$F$3004,"""")&lt;&gt;""""),ROWS(H$5:H2025)),"""")"),"")</f>
        <v/>
      </c>
    </row>
    <row r="2026" ht="15.75" customHeight="1">
      <c r="A20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Helper'!$F$5:$F$3004,"""")&lt;&gt;""""),ROWS(A$5:A2026)),"""")"),"")</f>
        <v/>
      </c>
      <c r="B20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Helper'!$F$5:$F$3004,"""")&lt;&gt;""""),ROWS(B$5:B2026)),"""")"),"")</f>
        <v/>
      </c>
      <c r="C20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Helper'!$F$5:$F$3004,"""")&lt;&gt;""""),ROWS(C$5:C2026)),"""")"),"")</f>
        <v/>
      </c>
      <c r="D20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Helper'!$F$5:$F$3004,"""")&lt;&gt;""""),ROWS(D$5:D2026)),"""")"),"")</f>
        <v/>
      </c>
      <c r="E20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Helper'!$F$5:$F$3004,"""")&lt;&gt;""""),ROWS(E$5:E2026)),"""")"),"")</f>
        <v/>
      </c>
      <c r="F20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Helper'!$F$5:$F$3004,"""")&lt;&gt;""""),ROWS(F$5:F2026)),IF(AND(LEFT(x,5)=""Pag"&amp;"e "",ISERROR(SEARCH(""–"",x))),x&amp;""–""&amp;REGEXEXTRACT(x,""[0-9]+$""),x)),"""")"),"")</f>
        <v/>
      </c>
      <c r="G2026" s="163"/>
      <c r="H20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Helper'!$F$5:$F$3004,"""")&lt;&gt;""""),ROWS(H$5:H2026)),"""")"),"")</f>
        <v/>
      </c>
    </row>
    <row r="2027" ht="15.75" customHeight="1">
      <c r="A20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Helper'!$F$5:$F$3004,"""")&lt;&gt;""""),ROWS(A$5:A2027)),"""")"),"")</f>
        <v/>
      </c>
      <c r="B20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Helper'!$F$5:$F$3004,"""")&lt;&gt;""""),ROWS(B$5:B2027)),"""")"),"")</f>
        <v/>
      </c>
      <c r="C20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Helper'!$F$5:$F$3004,"""")&lt;&gt;""""),ROWS(C$5:C2027)),"""")"),"")</f>
        <v/>
      </c>
      <c r="D20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Helper'!$F$5:$F$3004,"""")&lt;&gt;""""),ROWS(D$5:D2027)),"""")"),"")</f>
        <v/>
      </c>
      <c r="E20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Helper'!$F$5:$F$3004,"""")&lt;&gt;""""),ROWS(E$5:E2027)),"""")"),"")</f>
        <v/>
      </c>
      <c r="F20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Helper'!$F$5:$F$3004,"""")&lt;&gt;""""),ROWS(F$5:F2027)),IF(AND(LEFT(x,5)=""Pag"&amp;"e "",ISERROR(SEARCH(""–"",x))),x&amp;""–""&amp;REGEXEXTRACT(x,""[0-9]+$""),x)),"""")"),"")</f>
        <v/>
      </c>
      <c r="G2027" s="163"/>
      <c r="H20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Helper'!$F$5:$F$3004,"""")&lt;&gt;""""),ROWS(H$5:H2027)),"""")"),"")</f>
        <v/>
      </c>
    </row>
    <row r="2028" ht="15.75" customHeight="1">
      <c r="A20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Helper'!$F$5:$F$3004,"""")&lt;&gt;""""),ROWS(A$5:A2028)),"""")"),"")</f>
        <v/>
      </c>
      <c r="B20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Helper'!$F$5:$F$3004,"""")&lt;&gt;""""),ROWS(B$5:B2028)),"""")"),"")</f>
        <v/>
      </c>
      <c r="C20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Helper'!$F$5:$F$3004,"""")&lt;&gt;""""),ROWS(C$5:C2028)),"""")"),"")</f>
        <v/>
      </c>
      <c r="D20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Helper'!$F$5:$F$3004,"""")&lt;&gt;""""),ROWS(D$5:D2028)),"""")"),"")</f>
        <v/>
      </c>
      <c r="E20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Helper'!$F$5:$F$3004,"""")&lt;&gt;""""),ROWS(E$5:E2028)),"""")"),"")</f>
        <v/>
      </c>
      <c r="F20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Helper'!$F$5:$F$3004,"""")&lt;&gt;""""),ROWS(F$5:F2028)),IF(AND(LEFT(x,5)=""Pag"&amp;"e "",ISERROR(SEARCH(""–"",x))),x&amp;""–""&amp;REGEXEXTRACT(x,""[0-9]+$""),x)),"""")"),"")</f>
        <v/>
      </c>
      <c r="G2028" s="163"/>
      <c r="H20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Helper'!$F$5:$F$3004,"""")&lt;&gt;""""),ROWS(H$5:H2028)),"""")"),"")</f>
        <v/>
      </c>
    </row>
    <row r="2029" ht="15.75" customHeight="1">
      <c r="A20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Helper'!$F$5:$F$3004,"""")&lt;&gt;""""),ROWS(A$5:A2029)),"""")"),"")</f>
        <v/>
      </c>
      <c r="B20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Helper'!$F$5:$F$3004,"""")&lt;&gt;""""),ROWS(B$5:B2029)),"""")"),"")</f>
        <v/>
      </c>
      <c r="C20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Helper'!$F$5:$F$3004,"""")&lt;&gt;""""),ROWS(C$5:C2029)),"""")"),"")</f>
        <v/>
      </c>
      <c r="D20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Helper'!$F$5:$F$3004,"""")&lt;&gt;""""),ROWS(D$5:D2029)),"""")"),"")</f>
        <v/>
      </c>
      <c r="E20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Helper'!$F$5:$F$3004,"""")&lt;&gt;""""),ROWS(E$5:E2029)),"""")"),"")</f>
        <v/>
      </c>
      <c r="F20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Helper'!$F$5:$F$3004,"""")&lt;&gt;""""),ROWS(F$5:F2029)),IF(AND(LEFT(x,5)=""Pag"&amp;"e "",ISERROR(SEARCH(""–"",x))),x&amp;""–""&amp;REGEXEXTRACT(x,""[0-9]+$""),x)),"""")"),"")</f>
        <v/>
      </c>
      <c r="G2029" s="163"/>
      <c r="H20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Helper'!$F$5:$F$3004,"""")&lt;&gt;""""),ROWS(H$5:H2029)),"""")"),"")</f>
        <v/>
      </c>
    </row>
    <row r="2030" ht="15.75" customHeight="1">
      <c r="A20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Helper'!$F$5:$F$3004,"""")&lt;&gt;""""),ROWS(A$5:A2030)),"""")"),"")</f>
        <v/>
      </c>
      <c r="B20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Helper'!$F$5:$F$3004,"""")&lt;&gt;""""),ROWS(B$5:B2030)),"""")"),"")</f>
        <v/>
      </c>
      <c r="C20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Helper'!$F$5:$F$3004,"""")&lt;&gt;""""),ROWS(C$5:C2030)),"""")"),"")</f>
        <v/>
      </c>
      <c r="D20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Helper'!$F$5:$F$3004,"""")&lt;&gt;""""),ROWS(D$5:D2030)),"""")"),"")</f>
        <v/>
      </c>
      <c r="E20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Helper'!$F$5:$F$3004,"""")&lt;&gt;""""),ROWS(E$5:E2030)),"""")"),"")</f>
        <v/>
      </c>
      <c r="F20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Helper'!$F$5:$F$3004,"""")&lt;&gt;""""),ROWS(F$5:F2030)),IF(AND(LEFT(x,5)=""Pag"&amp;"e "",ISERROR(SEARCH(""–"",x))),x&amp;""–""&amp;REGEXEXTRACT(x,""[0-9]+$""),x)),"""")"),"")</f>
        <v/>
      </c>
      <c r="G2030" s="163"/>
      <c r="H20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Helper'!$F$5:$F$3004,"""")&lt;&gt;""""),ROWS(H$5:H2030)),"""")"),"")</f>
        <v/>
      </c>
    </row>
    <row r="2031" ht="15.75" customHeight="1">
      <c r="A20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Helper'!$F$5:$F$3004,"""")&lt;&gt;""""),ROWS(A$5:A2031)),"""")"),"")</f>
        <v/>
      </c>
      <c r="B20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Helper'!$F$5:$F$3004,"""")&lt;&gt;""""),ROWS(B$5:B2031)),"""")"),"")</f>
        <v/>
      </c>
      <c r="C20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Helper'!$F$5:$F$3004,"""")&lt;&gt;""""),ROWS(C$5:C2031)),"""")"),"")</f>
        <v/>
      </c>
      <c r="D20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Helper'!$F$5:$F$3004,"""")&lt;&gt;""""),ROWS(D$5:D2031)),"""")"),"")</f>
        <v/>
      </c>
      <c r="E20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Helper'!$F$5:$F$3004,"""")&lt;&gt;""""),ROWS(E$5:E2031)),"""")"),"")</f>
        <v/>
      </c>
      <c r="F20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Helper'!$F$5:$F$3004,"""")&lt;&gt;""""),ROWS(F$5:F2031)),IF(AND(LEFT(x,5)=""Pag"&amp;"e "",ISERROR(SEARCH(""–"",x))),x&amp;""–""&amp;REGEXEXTRACT(x,""[0-9]+$""),x)),"""")"),"")</f>
        <v/>
      </c>
      <c r="G2031" s="163"/>
      <c r="H20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Helper'!$F$5:$F$3004,"""")&lt;&gt;""""),ROWS(H$5:H2031)),"""")"),"")</f>
        <v/>
      </c>
    </row>
    <row r="2032" ht="15.75" customHeight="1">
      <c r="A20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Helper'!$F$5:$F$3004,"""")&lt;&gt;""""),ROWS(A$5:A2032)),"""")"),"")</f>
        <v/>
      </c>
      <c r="B20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Helper'!$F$5:$F$3004,"""")&lt;&gt;""""),ROWS(B$5:B2032)),"""")"),"")</f>
        <v/>
      </c>
      <c r="C20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Helper'!$F$5:$F$3004,"""")&lt;&gt;""""),ROWS(C$5:C2032)),"""")"),"")</f>
        <v/>
      </c>
      <c r="D20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Helper'!$F$5:$F$3004,"""")&lt;&gt;""""),ROWS(D$5:D2032)),"""")"),"")</f>
        <v/>
      </c>
      <c r="E20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Helper'!$F$5:$F$3004,"""")&lt;&gt;""""),ROWS(E$5:E2032)),"""")"),"")</f>
        <v/>
      </c>
      <c r="F20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Helper'!$F$5:$F$3004,"""")&lt;&gt;""""),ROWS(F$5:F2032)),IF(AND(LEFT(x,5)=""Pag"&amp;"e "",ISERROR(SEARCH(""–"",x))),x&amp;""–""&amp;REGEXEXTRACT(x,""[0-9]+$""),x)),"""")"),"")</f>
        <v/>
      </c>
      <c r="G2032" s="163"/>
      <c r="H20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Helper'!$F$5:$F$3004,"""")&lt;&gt;""""),ROWS(H$5:H2032)),"""")"),"")</f>
        <v/>
      </c>
    </row>
    <row r="2033" ht="15.75" customHeight="1">
      <c r="A20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Helper'!$F$5:$F$3004,"""")&lt;&gt;""""),ROWS(A$5:A2033)),"""")"),"")</f>
        <v/>
      </c>
      <c r="B20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Helper'!$F$5:$F$3004,"""")&lt;&gt;""""),ROWS(B$5:B2033)),"""")"),"")</f>
        <v/>
      </c>
      <c r="C20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Helper'!$F$5:$F$3004,"""")&lt;&gt;""""),ROWS(C$5:C2033)),"""")"),"")</f>
        <v/>
      </c>
      <c r="D20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Helper'!$F$5:$F$3004,"""")&lt;&gt;""""),ROWS(D$5:D2033)),"""")"),"")</f>
        <v/>
      </c>
      <c r="E20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Helper'!$F$5:$F$3004,"""")&lt;&gt;""""),ROWS(E$5:E2033)),"""")"),"")</f>
        <v/>
      </c>
      <c r="F20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Helper'!$F$5:$F$3004,"""")&lt;&gt;""""),ROWS(F$5:F2033)),IF(AND(LEFT(x,5)=""Pag"&amp;"e "",ISERROR(SEARCH(""–"",x))),x&amp;""–""&amp;REGEXEXTRACT(x,""[0-9]+$""),x)),"""")"),"")</f>
        <v/>
      </c>
      <c r="G2033" s="163"/>
      <c r="H20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Helper'!$F$5:$F$3004,"""")&lt;&gt;""""),ROWS(H$5:H2033)),"""")"),"")</f>
        <v/>
      </c>
    </row>
    <row r="2034" ht="15.75" customHeight="1">
      <c r="A20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Helper'!$F$5:$F$3004,"""")&lt;&gt;""""),ROWS(A$5:A2034)),"""")"),"")</f>
        <v/>
      </c>
      <c r="B20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Helper'!$F$5:$F$3004,"""")&lt;&gt;""""),ROWS(B$5:B2034)),"""")"),"")</f>
        <v/>
      </c>
      <c r="C20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Helper'!$F$5:$F$3004,"""")&lt;&gt;""""),ROWS(C$5:C2034)),"""")"),"")</f>
        <v/>
      </c>
      <c r="D20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Helper'!$F$5:$F$3004,"""")&lt;&gt;""""),ROWS(D$5:D2034)),"""")"),"")</f>
        <v/>
      </c>
      <c r="E20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Helper'!$F$5:$F$3004,"""")&lt;&gt;""""),ROWS(E$5:E2034)),"""")"),"")</f>
        <v/>
      </c>
      <c r="F20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Helper'!$F$5:$F$3004,"""")&lt;&gt;""""),ROWS(F$5:F2034)),IF(AND(LEFT(x,5)=""Pag"&amp;"e "",ISERROR(SEARCH(""–"",x))),x&amp;""–""&amp;REGEXEXTRACT(x,""[0-9]+$""),x)),"""")"),"")</f>
        <v/>
      </c>
      <c r="G2034" s="163"/>
      <c r="H20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Helper'!$F$5:$F$3004,"""")&lt;&gt;""""),ROWS(H$5:H2034)),"""")"),"")</f>
        <v/>
      </c>
    </row>
    <row r="2035" ht="15.75" customHeight="1">
      <c r="A20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Helper'!$F$5:$F$3004,"""")&lt;&gt;""""),ROWS(A$5:A2035)),"""")"),"")</f>
        <v/>
      </c>
      <c r="B20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Helper'!$F$5:$F$3004,"""")&lt;&gt;""""),ROWS(B$5:B2035)),"""")"),"")</f>
        <v/>
      </c>
      <c r="C20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Helper'!$F$5:$F$3004,"""")&lt;&gt;""""),ROWS(C$5:C2035)),"""")"),"")</f>
        <v/>
      </c>
      <c r="D20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Helper'!$F$5:$F$3004,"""")&lt;&gt;""""),ROWS(D$5:D2035)),"""")"),"")</f>
        <v/>
      </c>
      <c r="E20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Helper'!$F$5:$F$3004,"""")&lt;&gt;""""),ROWS(E$5:E2035)),"""")"),"")</f>
        <v/>
      </c>
      <c r="F20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Helper'!$F$5:$F$3004,"""")&lt;&gt;""""),ROWS(F$5:F2035)),IF(AND(LEFT(x,5)=""Pag"&amp;"e "",ISERROR(SEARCH(""–"",x))),x&amp;""–""&amp;REGEXEXTRACT(x,""[0-9]+$""),x)),"""")"),"")</f>
        <v/>
      </c>
      <c r="G2035" s="163"/>
      <c r="H20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Helper'!$F$5:$F$3004,"""")&lt;&gt;""""),ROWS(H$5:H2035)),"""")"),"")</f>
        <v/>
      </c>
    </row>
    <row r="2036" ht="15.75" customHeight="1">
      <c r="A20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Helper'!$F$5:$F$3004,"""")&lt;&gt;""""),ROWS(A$5:A2036)),"""")"),"")</f>
        <v/>
      </c>
      <c r="B20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Helper'!$F$5:$F$3004,"""")&lt;&gt;""""),ROWS(B$5:B2036)),"""")"),"")</f>
        <v/>
      </c>
      <c r="C20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Helper'!$F$5:$F$3004,"""")&lt;&gt;""""),ROWS(C$5:C2036)),"""")"),"")</f>
        <v/>
      </c>
      <c r="D20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Helper'!$F$5:$F$3004,"""")&lt;&gt;""""),ROWS(D$5:D2036)),"""")"),"")</f>
        <v/>
      </c>
      <c r="E20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Helper'!$F$5:$F$3004,"""")&lt;&gt;""""),ROWS(E$5:E2036)),"""")"),"")</f>
        <v/>
      </c>
      <c r="F20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Helper'!$F$5:$F$3004,"""")&lt;&gt;""""),ROWS(F$5:F2036)),IF(AND(LEFT(x,5)=""Pag"&amp;"e "",ISERROR(SEARCH(""–"",x))),x&amp;""–""&amp;REGEXEXTRACT(x,""[0-9]+$""),x)),"""")"),"")</f>
        <v/>
      </c>
      <c r="G2036" s="163"/>
      <c r="H20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Helper'!$F$5:$F$3004,"""")&lt;&gt;""""),ROWS(H$5:H2036)),"""")"),"")</f>
        <v/>
      </c>
    </row>
    <row r="2037" ht="15.75" customHeight="1">
      <c r="A20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Helper'!$F$5:$F$3004,"""")&lt;&gt;""""),ROWS(A$5:A2037)),"""")"),"")</f>
        <v/>
      </c>
      <c r="B20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Helper'!$F$5:$F$3004,"""")&lt;&gt;""""),ROWS(B$5:B2037)),"""")"),"")</f>
        <v/>
      </c>
      <c r="C20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Helper'!$F$5:$F$3004,"""")&lt;&gt;""""),ROWS(C$5:C2037)),"""")"),"")</f>
        <v/>
      </c>
      <c r="D20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Helper'!$F$5:$F$3004,"""")&lt;&gt;""""),ROWS(D$5:D2037)),"""")"),"")</f>
        <v/>
      </c>
      <c r="E20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Helper'!$F$5:$F$3004,"""")&lt;&gt;""""),ROWS(E$5:E2037)),"""")"),"")</f>
        <v/>
      </c>
      <c r="F20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Helper'!$F$5:$F$3004,"""")&lt;&gt;""""),ROWS(F$5:F2037)),IF(AND(LEFT(x,5)=""Pag"&amp;"e "",ISERROR(SEARCH(""–"",x))),x&amp;""–""&amp;REGEXEXTRACT(x,""[0-9]+$""),x)),"""")"),"")</f>
        <v/>
      </c>
      <c r="G2037" s="163"/>
      <c r="H20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Helper'!$F$5:$F$3004,"""")&lt;&gt;""""),ROWS(H$5:H2037)),"""")"),"")</f>
        <v/>
      </c>
    </row>
    <row r="2038" ht="15.75" customHeight="1">
      <c r="A20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Helper'!$F$5:$F$3004,"""")&lt;&gt;""""),ROWS(A$5:A2038)),"""")"),"")</f>
        <v/>
      </c>
      <c r="B20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Helper'!$F$5:$F$3004,"""")&lt;&gt;""""),ROWS(B$5:B2038)),"""")"),"")</f>
        <v/>
      </c>
      <c r="C20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Helper'!$F$5:$F$3004,"""")&lt;&gt;""""),ROWS(C$5:C2038)),"""")"),"")</f>
        <v/>
      </c>
      <c r="D20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Helper'!$F$5:$F$3004,"""")&lt;&gt;""""),ROWS(D$5:D2038)),"""")"),"")</f>
        <v/>
      </c>
      <c r="E20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Helper'!$F$5:$F$3004,"""")&lt;&gt;""""),ROWS(E$5:E2038)),"""")"),"")</f>
        <v/>
      </c>
      <c r="F20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Helper'!$F$5:$F$3004,"""")&lt;&gt;""""),ROWS(F$5:F2038)),IF(AND(LEFT(x,5)=""Pag"&amp;"e "",ISERROR(SEARCH(""–"",x))),x&amp;""–""&amp;REGEXEXTRACT(x,""[0-9]+$""),x)),"""")"),"")</f>
        <v/>
      </c>
      <c r="G2038" s="163"/>
      <c r="H20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Helper'!$F$5:$F$3004,"""")&lt;&gt;""""),ROWS(H$5:H2038)),"""")"),"")</f>
        <v/>
      </c>
    </row>
    <row r="2039" ht="15.75" customHeight="1">
      <c r="A20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Helper'!$F$5:$F$3004,"""")&lt;&gt;""""),ROWS(A$5:A2039)),"""")"),"")</f>
        <v/>
      </c>
      <c r="B20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Helper'!$F$5:$F$3004,"""")&lt;&gt;""""),ROWS(B$5:B2039)),"""")"),"")</f>
        <v/>
      </c>
      <c r="C20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Helper'!$F$5:$F$3004,"""")&lt;&gt;""""),ROWS(C$5:C2039)),"""")"),"")</f>
        <v/>
      </c>
      <c r="D20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Helper'!$F$5:$F$3004,"""")&lt;&gt;""""),ROWS(D$5:D2039)),"""")"),"")</f>
        <v/>
      </c>
      <c r="E20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Helper'!$F$5:$F$3004,"""")&lt;&gt;""""),ROWS(E$5:E2039)),"""")"),"")</f>
        <v/>
      </c>
      <c r="F20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Helper'!$F$5:$F$3004,"""")&lt;&gt;""""),ROWS(F$5:F2039)),IF(AND(LEFT(x,5)=""Pag"&amp;"e "",ISERROR(SEARCH(""–"",x))),x&amp;""–""&amp;REGEXEXTRACT(x,""[0-9]+$""),x)),"""")"),"")</f>
        <v/>
      </c>
      <c r="G2039" s="163"/>
      <c r="H20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Helper'!$F$5:$F$3004,"""")&lt;&gt;""""),ROWS(H$5:H2039)),"""")"),"")</f>
        <v/>
      </c>
    </row>
    <row r="2040" ht="15.75" customHeight="1">
      <c r="A20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Helper'!$F$5:$F$3004,"""")&lt;&gt;""""),ROWS(A$5:A2040)),"""")"),"")</f>
        <v/>
      </c>
      <c r="B20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Helper'!$F$5:$F$3004,"""")&lt;&gt;""""),ROWS(B$5:B2040)),"""")"),"")</f>
        <v/>
      </c>
      <c r="C20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Helper'!$F$5:$F$3004,"""")&lt;&gt;""""),ROWS(C$5:C2040)),"""")"),"")</f>
        <v/>
      </c>
      <c r="D20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Helper'!$F$5:$F$3004,"""")&lt;&gt;""""),ROWS(D$5:D2040)),"""")"),"")</f>
        <v/>
      </c>
      <c r="E20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Helper'!$F$5:$F$3004,"""")&lt;&gt;""""),ROWS(E$5:E2040)),"""")"),"")</f>
        <v/>
      </c>
      <c r="F20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Helper'!$F$5:$F$3004,"""")&lt;&gt;""""),ROWS(F$5:F2040)),IF(AND(LEFT(x,5)=""Pag"&amp;"e "",ISERROR(SEARCH(""–"",x))),x&amp;""–""&amp;REGEXEXTRACT(x,""[0-9]+$""),x)),"""")"),"")</f>
        <v/>
      </c>
      <c r="G2040" s="163"/>
      <c r="H20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Helper'!$F$5:$F$3004,"""")&lt;&gt;""""),ROWS(H$5:H2040)),"""")"),"")</f>
        <v/>
      </c>
    </row>
    <row r="2041" ht="15.75" customHeight="1">
      <c r="A20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Helper'!$F$5:$F$3004,"""")&lt;&gt;""""),ROWS(A$5:A2041)),"""")"),"")</f>
        <v/>
      </c>
      <c r="B20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Helper'!$F$5:$F$3004,"""")&lt;&gt;""""),ROWS(B$5:B2041)),"""")"),"")</f>
        <v/>
      </c>
      <c r="C20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Helper'!$F$5:$F$3004,"""")&lt;&gt;""""),ROWS(C$5:C2041)),"""")"),"")</f>
        <v/>
      </c>
      <c r="D20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Helper'!$F$5:$F$3004,"""")&lt;&gt;""""),ROWS(D$5:D2041)),"""")"),"")</f>
        <v/>
      </c>
      <c r="E20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Helper'!$F$5:$F$3004,"""")&lt;&gt;""""),ROWS(E$5:E2041)),"""")"),"")</f>
        <v/>
      </c>
      <c r="F20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Helper'!$F$5:$F$3004,"""")&lt;&gt;""""),ROWS(F$5:F2041)),IF(AND(LEFT(x,5)=""Pag"&amp;"e "",ISERROR(SEARCH(""–"",x))),x&amp;""–""&amp;REGEXEXTRACT(x,""[0-9]+$""),x)),"""")"),"")</f>
        <v/>
      </c>
      <c r="G2041" s="163"/>
      <c r="H20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Helper'!$F$5:$F$3004,"""")&lt;&gt;""""),ROWS(H$5:H2041)),"""")"),"")</f>
        <v/>
      </c>
    </row>
    <row r="2042" ht="15.75" customHeight="1">
      <c r="A20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Helper'!$F$5:$F$3004,"""")&lt;&gt;""""),ROWS(A$5:A2042)),"""")"),"")</f>
        <v/>
      </c>
      <c r="B20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Helper'!$F$5:$F$3004,"""")&lt;&gt;""""),ROWS(B$5:B2042)),"""")"),"")</f>
        <v/>
      </c>
      <c r="C20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Helper'!$F$5:$F$3004,"""")&lt;&gt;""""),ROWS(C$5:C2042)),"""")"),"")</f>
        <v/>
      </c>
      <c r="D20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Helper'!$F$5:$F$3004,"""")&lt;&gt;""""),ROWS(D$5:D2042)),"""")"),"")</f>
        <v/>
      </c>
      <c r="E20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Helper'!$F$5:$F$3004,"""")&lt;&gt;""""),ROWS(E$5:E2042)),"""")"),"")</f>
        <v/>
      </c>
      <c r="F20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Helper'!$F$5:$F$3004,"""")&lt;&gt;""""),ROWS(F$5:F2042)),IF(AND(LEFT(x,5)=""Pag"&amp;"e "",ISERROR(SEARCH(""–"",x))),x&amp;""–""&amp;REGEXEXTRACT(x,""[0-9]+$""),x)),"""")"),"")</f>
        <v/>
      </c>
      <c r="G2042" s="163"/>
      <c r="H20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Helper'!$F$5:$F$3004,"""")&lt;&gt;""""),ROWS(H$5:H2042)),"""")"),"")</f>
        <v/>
      </c>
    </row>
    <row r="2043" ht="15.75" customHeight="1">
      <c r="A20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Helper'!$F$5:$F$3004,"""")&lt;&gt;""""),ROWS(A$5:A2043)),"""")"),"")</f>
        <v/>
      </c>
      <c r="B20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Helper'!$F$5:$F$3004,"""")&lt;&gt;""""),ROWS(B$5:B2043)),"""")"),"")</f>
        <v/>
      </c>
      <c r="C20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Helper'!$F$5:$F$3004,"""")&lt;&gt;""""),ROWS(C$5:C2043)),"""")"),"")</f>
        <v/>
      </c>
      <c r="D20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Helper'!$F$5:$F$3004,"""")&lt;&gt;""""),ROWS(D$5:D2043)),"""")"),"")</f>
        <v/>
      </c>
      <c r="E20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Helper'!$F$5:$F$3004,"""")&lt;&gt;""""),ROWS(E$5:E2043)),"""")"),"")</f>
        <v/>
      </c>
      <c r="F20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Helper'!$F$5:$F$3004,"""")&lt;&gt;""""),ROWS(F$5:F2043)),IF(AND(LEFT(x,5)=""Pag"&amp;"e "",ISERROR(SEARCH(""–"",x))),x&amp;""–""&amp;REGEXEXTRACT(x,""[0-9]+$""),x)),"""")"),"")</f>
        <v/>
      </c>
      <c r="G2043" s="163"/>
      <c r="H20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Helper'!$F$5:$F$3004,"""")&lt;&gt;""""),ROWS(H$5:H2043)),"""")"),"")</f>
        <v/>
      </c>
    </row>
    <row r="2044" ht="15.75" customHeight="1">
      <c r="A20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Helper'!$F$5:$F$3004,"""")&lt;&gt;""""),ROWS(A$5:A2044)),"""")"),"")</f>
        <v/>
      </c>
      <c r="B20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Helper'!$F$5:$F$3004,"""")&lt;&gt;""""),ROWS(B$5:B2044)),"""")"),"")</f>
        <v/>
      </c>
      <c r="C20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Helper'!$F$5:$F$3004,"""")&lt;&gt;""""),ROWS(C$5:C2044)),"""")"),"")</f>
        <v/>
      </c>
      <c r="D20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Helper'!$F$5:$F$3004,"""")&lt;&gt;""""),ROWS(D$5:D2044)),"""")"),"")</f>
        <v/>
      </c>
      <c r="E20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Helper'!$F$5:$F$3004,"""")&lt;&gt;""""),ROWS(E$5:E2044)),"""")"),"")</f>
        <v/>
      </c>
      <c r="F20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Helper'!$F$5:$F$3004,"""")&lt;&gt;""""),ROWS(F$5:F2044)),IF(AND(LEFT(x,5)=""Pag"&amp;"e "",ISERROR(SEARCH(""–"",x))),x&amp;""–""&amp;REGEXEXTRACT(x,""[0-9]+$""),x)),"""")"),"")</f>
        <v/>
      </c>
      <c r="G2044" s="163"/>
      <c r="H20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Helper'!$F$5:$F$3004,"""")&lt;&gt;""""),ROWS(H$5:H2044)),"""")"),"")</f>
        <v/>
      </c>
    </row>
    <row r="2045" ht="15.75" customHeight="1">
      <c r="A20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Helper'!$F$5:$F$3004,"""")&lt;&gt;""""),ROWS(A$5:A2045)),"""")"),"")</f>
        <v/>
      </c>
      <c r="B20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Helper'!$F$5:$F$3004,"""")&lt;&gt;""""),ROWS(B$5:B2045)),"""")"),"")</f>
        <v/>
      </c>
      <c r="C20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Helper'!$F$5:$F$3004,"""")&lt;&gt;""""),ROWS(C$5:C2045)),"""")"),"")</f>
        <v/>
      </c>
      <c r="D20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Helper'!$F$5:$F$3004,"""")&lt;&gt;""""),ROWS(D$5:D2045)),"""")"),"")</f>
        <v/>
      </c>
      <c r="E20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Helper'!$F$5:$F$3004,"""")&lt;&gt;""""),ROWS(E$5:E2045)),"""")"),"")</f>
        <v/>
      </c>
      <c r="F20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Helper'!$F$5:$F$3004,"""")&lt;&gt;""""),ROWS(F$5:F2045)),IF(AND(LEFT(x,5)=""Pag"&amp;"e "",ISERROR(SEARCH(""–"",x))),x&amp;""–""&amp;REGEXEXTRACT(x,""[0-9]+$""),x)),"""")"),"")</f>
        <v/>
      </c>
      <c r="G2045" s="163"/>
      <c r="H20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Helper'!$F$5:$F$3004,"""")&lt;&gt;""""),ROWS(H$5:H2045)),"""")"),"")</f>
        <v/>
      </c>
    </row>
    <row r="2046" ht="15.75" customHeight="1">
      <c r="A20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Helper'!$F$5:$F$3004,"""")&lt;&gt;""""),ROWS(A$5:A2046)),"""")"),"")</f>
        <v/>
      </c>
      <c r="B20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Helper'!$F$5:$F$3004,"""")&lt;&gt;""""),ROWS(B$5:B2046)),"""")"),"")</f>
        <v/>
      </c>
      <c r="C20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Helper'!$F$5:$F$3004,"""")&lt;&gt;""""),ROWS(C$5:C2046)),"""")"),"")</f>
        <v/>
      </c>
      <c r="D20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Helper'!$F$5:$F$3004,"""")&lt;&gt;""""),ROWS(D$5:D2046)),"""")"),"")</f>
        <v/>
      </c>
      <c r="E20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Helper'!$F$5:$F$3004,"""")&lt;&gt;""""),ROWS(E$5:E2046)),"""")"),"")</f>
        <v/>
      </c>
      <c r="F20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Helper'!$F$5:$F$3004,"""")&lt;&gt;""""),ROWS(F$5:F2046)),IF(AND(LEFT(x,5)=""Pag"&amp;"e "",ISERROR(SEARCH(""–"",x))),x&amp;""–""&amp;REGEXEXTRACT(x,""[0-9]+$""),x)),"""")"),"")</f>
        <v/>
      </c>
      <c r="G2046" s="163"/>
      <c r="H20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Helper'!$F$5:$F$3004,"""")&lt;&gt;""""),ROWS(H$5:H2046)),"""")"),"")</f>
        <v/>
      </c>
    </row>
    <row r="2047" ht="15.75" customHeight="1">
      <c r="A20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Helper'!$F$5:$F$3004,"""")&lt;&gt;""""),ROWS(A$5:A2047)),"""")"),"")</f>
        <v/>
      </c>
      <c r="B20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Helper'!$F$5:$F$3004,"""")&lt;&gt;""""),ROWS(B$5:B2047)),"""")"),"")</f>
        <v/>
      </c>
      <c r="C20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Helper'!$F$5:$F$3004,"""")&lt;&gt;""""),ROWS(C$5:C2047)),"""")"),"")</f>
        <v/>
      </c>
      <c r="D20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Helper'!$F$5:$F$3004,"""")&lt;&gt;""""),ROWS(D$5:D2047)),"""")"),"")</f>
        <v/>
      </c>
      <c r="E20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Helper'!$F$5:$F$3004,"""")&lt;&gt;""""),ROWS(E$5:E2047)),"""")"),"")</f>
        <v/>
      </c>
      <c r="F20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Helper'!$F$5:$F$3004,"""")&lt;&gt;""""),ROWS(F$5:F2047)),IF(AND(LEFT(x,5)=""Pag"&amp;"e "",ISERROR(SEARCH(""–"",x))),x&amp;""–""&amp;REGEXEXTRACT(x,""[0-9]+$""),x)),"""")"),"")</f>
        <v/>
      </c>
      <c r="G2047" s="163"/>
      <c r="H20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Helper'!$F$5:$F$3004,"""")&lt;&gt;""""),ROWS(H$5:H2047)),"""")"),"")</f>
        <v/>
      </c>
    </row>
    <row r="2048" ht="15.75" customHeight="1">
      <c r="A20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Helper'!$F$5:$F$3004,"""")&lt;&gt;""""),ROWS(A$5:A2048)),"""")"),"")</f>
        <v/>
      </c>
      <c r="B20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Helper'!$F$5:$F$3004,"""")&lt;&gt;""""),ROWS(B$5:B2048)),"""")"),"")</f>
        <v/>
      </c>
      <c r="C20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Helper'!$F$5:$F$3004,"""")&lt;&gt;""""),ROWS(C$5:C2048)),"""")"),"")</f>
        <v/>
      </c>
      <c r="D20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Helper'!$F$5:$F$3004,"""")&lt;&gt;""""),ROWS(D$5:D2048)),"""")"),"")</f>
        <v/>
      </c>
      <c r="E20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Helper'!$F$5:$F$3004,"""")&lt;&gt;""""),ROWS(E$5:E2048)),"""")"),"")</f>
        <v/>
      </c>
      <c r="F20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Helper'!$F$5:$F$3004,"""")&lt;&gt;""""),ROWS(F$5:F2048)),IF(AND(LEFT(x,5)=""Pag"&amp;"e "",ISERROR(SEARCH(""–"",x))),x&amp;""–""&amp;REGEXEXTRACT(x,""[0-9]+$""),x)),"""")"),"")</f>
        <v/>
      </c>
      <c r="G2048" s="163"/>
      <c r="H20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Helper'!$F$5:$F$3004,"""")&lt;&gt;""""),ROWS(H$5:H2048)),"""")"),"")</f>
        <v/>
      </c>
    </row>
    <row r="2049" ht="15.75" customHeight="1">
      <c r="A20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Helper'!$F$5:$F$3004,"""")&lt;&gt;""""),ROWS(A$5:A2049)),"""")"),"")</f>
        <v/>
      </c>
      <c r="B20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Helper'!$F$5:$F$3004,"""")&lt;&gt;""""),ROWS(B$5:B2049)),"""")"),"")</f>
        <v/>
      </c>
      <c r="C20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Helper'!$F$5:$F$3004,"""")&lt;&gt;""""),ROWS(C$5:C2049)),"""")"),"")</f>
        <v/>
      </c>
      <c r="D20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Helper'!$F$5:$F$3004,"""")&lt;&gt;""""),ROWS(D$5:D2049)),"""")"),"")</f>
        <v/>
      </c>
      <c r="E20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Helper'!$F$5:$F$3004,"""")&lt;&gt;""""),ROWS(E$5:E2049)),"""")"),"")</f>
        <v/>
      </c>
      <c r="F20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Helper'!$F$5:$F$3004,"""")&lt;&gt;""""),ROWS(F$5:F2049)),IF(AND(LEFT(x,5)=""Pag"&amp;"e "",ISERROR(SEARCH(""–"",x))),x&amp;""–""&amp;REGEXEXTRACT(x,""[0-9]+$""),x)),"""")"),"")</f>
        <v/>
      </c>
      <c r="G2049" s="163"/>
      <c r="H20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Helper'!$F$5:$F$3004,"""")&lt;&gt;""""),ROWS(H$5:H2049)),"""")"),"")</f>
        <v/>
      </c>
    </row>
    <row r="2050" ht="15.75" customHeight="1">
      <c r="A20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Helper'!$F$5:$F$3004,"""")&lt;&gt;""""),ROWS(A$5:A2050)),"""")"),"")</f>
        <v/>
      </c>
      <c r="B20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Helper'!$F$5:$F$3004,"""")&lt;&gt;""""),ROWS(B$5:B2050)),"""")"),"")</f>
        <v/>
      </c>
      <c r="C20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Helper'!$F$5:$F$3004,"""")&lt;&gt;""""),ROWS(C$5:C2050)),"""")"),"")</f>
        <v/>
      </c>
      <c r="D20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Helper'!$F$5:$F$3004,"""")&lt;&gt;""""),ROWS(D$5:D2050)),"""")"),"")</f>
        <v/>
      </c>
      <c r="E20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Helper'!$F$5:$F$3004,"""")&lt;&gt;""""),ROWS(E$5:E2050)),"""")"),"")</f>
        <v/>
      </c>
      <c r="F20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Helper'!$F$5:$F$3004,"""")&lt;&gt;""""),ROWS(F$5:F2050)),IF(AND(LEFT(x,5)=""Pag"&amp;"e "",ISERROR(SEARCH(""–"",x))),x&amp;""–""&amp;REGEXEXTRACT(x,""[0-9]+$""),x)),"""")"),"")</f>
        <v/>
      </c>
      <c r="G2050" s="163"/>
      <c r="H20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Helper'!$F$5:$F$3004,"""")&lt;&gt;""""),ROWS(H$5:H2050)),"""")"),"")</f>
        <v/>
      </c>
    </row>
    <row r="2051" ht="15.75" customHeight="1">
      <c r="A20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Helper'!$F$5:$F$3004,"""")&lt;&gt;""""),ROWS(A$5:A2051)),"""")"),"")</f>
        <v/>
      </c>
      <c r="B20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Helper'!$F$5:$F$3004,"""")&lt;&gt;""""),ROWS(B$5:B2051)),"""")"),"")</f>
        <v/>
      </c>
      <c r="C20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Helper'!$F$5:$F$3004,"""")&lt;&gt;""""),ROWS(C$5:C2051)),"""")"),"")</f>
        <v/>
      </c>
      <c r="D20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Helper'!$F$5:$F$3004,"""")&lt;&gt;""""),ROWS(D$5:D2051)),"""")"),"")</f>
        <v/>
      </c>
      <c r="E20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Helper'!$F$5:$F$3004,"""")&lt;&gt;""""),ROWS(E$5:E2051)),"""")"),"")</f>
        <v/>
      </c>
      <c r="F20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Helper'!$F$5:$F$3004,"""")&lt;&gt;""""),ROWS(F$5:F2051)),IF(AND(LEFT(x,5)=""Pag"&amp;"e "",ISERROR(SEARCH(""–"",x))),x&amp;""–""&amp;REGEXEXTRACT(x,""[0-9]+$""),x)),"""")"),"")</f>
        <v/>
      </c>
      <c r="G2051" s="163"/>
      <c r="H20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Helper'!$F$5:$F$3004,"""")&lt;&gt;""""),ROWS(H$5:H2051)),"""")"),"")</f>
        <v/>
      </c>
    </row>
    <row r="2052" ht="15.75" customHeight="1">
      <c r="A20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Helper'!$F$5:$F$3004,"""")&lt;&gt;""""),ROWS(A$5:A2052)),"""")"),"")</f>
        <v/>
      </c>
      <c r="B20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Helper'!$F$5:$F$3004,"""")&lt;&gt;""""),ROWS(B$5:B2052)),"""")"),"")</f>
        <v/>
      </c>
      <c r="C20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Helper'!$F$5:$F$3004,"""")&lt;&gt;""""),ROWS(C$5:C2052)),"""")"),"")</f>
        <v/>
      </c>
      <c r="D20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Helper'!$F$5:$F$3004,"""")&lt;&gt;""""),ROWS(D$5:D2052)),"""")"),"")</f>
        <v/>
      </c>
      <c r="E20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Helper'!$F$5:$F$3004,"""")&lt;&gt;""""),ROWS(E$5:E2052)),"""")"),"")</f>
        <v/>
      </c>
      <c r="F20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Helper'!$F$5:$F$3004,"""")&lt;&gt;""""),ROWS(F$5:F2052)),IF(AND(LEFT(x,5)=""Pag"&amp;"e "",ISERROR(SEARCH(""–"",x))),x&amp;""–""&amp;REGEXEXTRACT(x,""[0-9]+$""),x)),"""")"),"")</f>
        <v/>
      </c>
      <c r="G2052" s="163"/>
      <c r="H20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Helper'!$F$5:$F$3004,"""")&lt;&gt;""""),ROWS(H$5:H2052)),"""")"),"")</f>
        <v/>
      </c>
    </row>
    <row r="2053" ht="15.75" customHeight="1">
      <c r="A20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Helper'!$F$5:$F$3004,"""")&lt;&gt;""""),ROWS(A$5:A2053)),"""")"),"")</f>
        <v/>
      </c>
      <c r="B20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Helper'!$F$5:$F$3004,"""")&lt;&gt;""""),ROWS(B$5:B2053)),"""")"),"")</f>
        <v/>
      </c>
      <c r="C20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Helper'!$F$5:$F$3004,"""")&lt;&gt;""""),ROWS(C$5:C2053)),"""")"),"")</f>
        <v/>
      </c>
      <c r="D20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Helper'!$F$5:$F$3004,"""")&lt;&gt;""""),ROWS(D$5:D2053)),"""")"),"")</f>
        <v/>
      </c>
      <c r="E20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Helper'!$F$5:$F$3004,"""")&lt;&gt;""""),ROWS(E$5:E2053)),"""")"),"")</f>
        <v/>
      </c>
      <c r="F20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Helper'!$F$5:$F$3004,"""")&lt;&gt;""""),ROWS(F$5:F2053)),IF(AND(LEFT(x,5)=""Pag"&amp;"e "",ISERROR(SEARCH(""–"",x))),x&amp;""–""&amp;REGEXEXTRACT(x,""[0-9]+$""),x)),"""")"),"")</f>
        <v/>
      </c>
      <c r="G2053" s="163"/>
      <c r="H20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Helper'!$F$5:$F$3004,"""")&lt;&gt;""""),ROWS(H$5:H2053)),"""")"),"")</f>
        <v/>
      </c>
    </row>
    <row r="2054" ht="15.75" customHeight="1">
      <c r="A20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Helper'!$F$5:$F$3004,"""")&lt;&gt;""""),ROWS(A$5:A2054)),"""")"),"")</f>
        <v/>
      </c>
      <c r="B20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Helper'!$F$5:$F$3004,"""")&lt;&gt;""""),ROWS(B$5:B2054)),"""")"),"")</f>
        <v/>
      </c>
      <c r="C20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Helper'!$F$5:$F$3004,"""")&lt;&gt;""""),ROWS(C$5:C2054)),"""")"),"")</f>
        <v/>
      </c>
      <c r="D20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Helper'!$F$5:$F$3004,"""")&lt;&gt;""""),ROWS(D$5:D2054)),"""")"),"")</f>
        <v/>
      </c>
      <c r="E20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Helper'!$F$5:$F$3004,"""")&lt;&gt;""""),ROWS(E$5:E2054)),"""")"),"")</f>
        <v/>
      </c>
      <c r="F20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Helper'!$F$5:$F$3004,"""")&lt;&gt;""""),ROWS(F$5:F2054)),IF(AND(LEFT(x,5)=""Pag"&amp;"e "",ISERROR(SEARCH(""–"",x))),x&amp;""–""&amp;REGEXEXTRACT(x,""[0-9]+$""),x)),"""")"),"")</f>
        <v/>
      </c>
      <c r="G2054" s="163"/>
      <c r="H20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Helper'!$F$5:$F$3004,"""")&lt;&gt;""""),ROWS(H$5:H2054)),"""")"),"")</f>
        <v/>
      </c>
    </row>
    <row r="2055" ht="15.75" customHeight="1">
      <c r="A20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Helper'!$F$5:$F$3004,"""")&lt;&gt;""""),ROWS(A$5:A2055)),"""")"),"")</f>
        <v/>
      </c>
      <c r="B20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Helper'!$F$5:$F$3004,"""")&lt;&gt;""""),ROWS(B$5:B2055)),"""")"),"")</f>
        <v/>
      </c>
      <c r="C20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Helper'!$F$5:$F$3004,"""")&lt;&gt;""""),ROWS(C$5:C2055)),"""")"),"")</f>
        <v/>
      </c>
      <c r="D20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Helper'!$F$5:$F$3004,"""")&lt;&gt;""""),ROWS(D$5:D2055)),"""")"),"")</f>
        <v/>
      </c>
      <c r="E20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Helper'!$F$5:$F$3004,"""")&lt;&gt;""""),ROWS(E$5:E2055)),"""")"),"")</f>
        <v/>
      </c>
      <c r="F20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Helper'!$F$5:$F$3004,"""")&lt;&gt;""""),ROWS(F$5:F2055)),IF(AND(LEFT(x,5)=""Pag"&amp;"e "",ISERROR(SEARCH(""–"",x))),x&amp;""–""&amp;REGEXEXTRACT(x,""[0-9]+$""),x)),"""")"),"")</f>
        <v/>
      </c>
      <c r="G2055" s="163"/>
      <c r="H20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Helper'!$F$5:$F$3004,"""")&lt;&gt;""""),ROWS(H$5:H2055)),"""")"),"")</f>
        <v/>
      </c>
    </row>
    <row r="2056" ht="15.75" customHeight="1">
      <c r="A20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Helper'!$F$5:$F$3004,"""")&lt;&gt;""""),ROWS(A$5:A2056)),"""")"),"")</f>
        <v/>
      </c>
      <c r="B20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Helper'!$F$5:$F$3004,"""")&lt;&gt;""""),ROWS(B$5:B2056)),"""")"),"")</f>
        <v/>
      </c>
      <c r="C20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Helper'!$F$5:$F$3004,"""")&lt;&gt;""""),ROWS(C$5:C2056)),"""")"),"")</f>
        <v/>
      </c>
      <c r="D20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Helper'!$F$5:$F$3004,"""")&lt;&gt;""""),ROWS(D$5:D2056)),"""")"),"")</f>
        <v/>
      </c>
      <c r="E20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Helper'!$F$5:$F$3004,"""")&lt;&gt;""""),ROWS(E$5:E2056)),"""")"),"")</f>
        <v/>
      </c>
      <c r="F20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Helper'!$F$5:$F$3004,"""")&lt;&gt;""""),ROWS(F$5:F2056)),IF(AND(LEFT(x,5)=""Pag"&amp;"e "",ISERROR(SEARCH(""–"",x))),x&amp;""–""&amp;REGEXEXTRACT(x,""[0-9]+$""),x)),"""")"),"")</f>
        <v/>
      </c>
      <c r="G2056" s="163"/>
      <c r="H20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Helper'!$F$5:$F$3004,"""")&lt;&gt;""""),ROWS(H$5:H2056)),"""")"),"")</f>
        <v/>
      </c>
    </row>
    <row r="2057" ht="15.75" customHeight="1">
      <c r="A20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Helper'!$F$5:$F$3004,"""")&lt;&gt;""""),ROWS(A$5:A2057)),"""")"),"")</f>
        <v/>
      </c>
      <c r="B20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Helper'!$F$5:$F$3004,"""")&lt;&gt;""""),ROWS(B$5:B2057)),"""")"),"")</f>
        <v/>
      </c>
      <c r="C20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Helper'!$F$5:$F$3004,"""")&lt;&gt;""""),ROWS(C$5:C2057)),"""")"),"")</f>
        <v/>
      </c>
      <c r="D20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Helper'!$F$5:$F$3004,"""")&lt;&gt;""""),ROWS(D$5:D2057)),"""")"),"")</f>
        <v/>
      </c>
      <c r="E20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Helper'!$F$5:$F$3004,"""")&lt;&gt;""""),ROWS(E$5:E2057)),"""")"),"")</f>
        <v/>
      </c>
      <c r="F20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Helper'!$F$5:$F$3004,"""")&lt;&gt;""""),ROWS(F$5:F2057)),IF(AND(LEFT(x,5)=""Pag"&amp;"e "",ISERROR(SEARCH(""–"",x))),x&amp;""–""&amp;REGEXEXTRACT(x,""[0-9]+$""),x)),"""")"),"")</f>
        <v/>
      </c>
      <c r="G2057" s="163"/>
      <c r="H20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Helper'!$F$5:$F$3004,"""")&lt;&gt;""""),ROWS(H$5:H2057)),"""")"),"")</f>
        <v/>
      </c>
    </row>
    <row r="2058" ht="15.75" customHeight="1">
      <c r="A20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Helper'!$F$5:$F$3004,"""")&lt;&gt;""""),ROWS(A$5:A2058)),"""")"),"")</f>
        <v/>
      </c>
      <c r="B20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Helper'!$F$5:$F$3004,"""")&lt;&gt;""""),ROWS(B$5:B2058)),"""")"),"")</f>
        <v/>
      </c>
      <c r="C20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Helper'!$F$5:$F$3004,"""")&lt;&gt;""""),ROWS(C$5:C2058)),"""")"),"")</f>
        <v/>
      </c>
      <c r="D20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Helper'!$F$5:$F$3004,"""")&lt;&gt;""""),ROWS(D$5:D2058)),"""")"),"")</f>
        <v/>
      </c>
      <c r="E20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Helper'!$F$5:$F$3004,"""")&lt;&gt;""""),ROWS(E$5:E2058)),"""")"),"")</f>
        <v/>
      </c>
      <c r="F20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Helper'!$F$5:$F$3004,"""")&lt;&gt;""""),ROWS(F$5:F2058)),IF(AND(LEFT(x,5)=""Pag"&amp;"e "",ISERROR(SEARCH(""–"",x))),x&amp;""–""&amp;REGEXEXTRACT(x,""[0-9]+$""),x)),"""")"),"")</f>
        <v/>
      </c>
      <c r="G2058" s="163"/>
      <c r="H20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Helper'!$F$5:$F$3004,"""")&lt;&gt;""""),ROWS(H$5:H2058)),"""")"),"")</f>
        <v/>
      </c>
    </row>
    <row r="2059" ht="15.75" customHeight="1">
      <c r="A20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Helper'!$F$5:$F$3004,"""")&lt;&gt;""""),ROWS(A$5:A2059)),"""")"),"")</f>
        <v/>
      </c>
      <c r="B20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Helper'!$F$5:$F$3004,"""")&lt;&gt;""""),ROWS(B$5:B2059)),"""")"),"")</f>
        <v/>
      </c>
      <c r="C20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Helper'!$F$5:$F$3004,"""")&lt;&gt;""""),ROWS(C$5:C2059)),"""")"),"")</f>
        <v/>
      </c>
      <c r="D20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Helper'!$F$5:$F$3004,"""")&lt;&gt;""""),ROWS(D$5:D2059)),"""")"),"")</f>
        <v/>
      </c>
      <c r="E20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Helper'!$F$5:$F$3004,"""")&lt;&gt;""""),ROWS(E$5:E2059)),"""")"),"")</f>
        <v/>
      </c>
      <c r="F20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Helper'!$F$5:$F$3004,"""")&lt;&gt;""""),ROWS(F$5:F2059)),IF(AND(LEFT(x,5)=""Pag"&amp;"e "",ISERROR(SEARCH(""–"",x))),x&amp;""–""&amp;REGEXEXTRACT(x,""[0-9]+$""),x)),"""")"),"")</f>
        <v/>
      </c>
      <c r="G2059" s="163"/>
      <c r="H20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Helper'!$F$5:$F$3004,"""")&lt;&gt;""""),ROWS(H$5:H2059)),"""")"),"")</f>
        <v/>
      </c>
    </row>
    <row r="2060" ht="15.75" customHeight="1">
      <c r="A20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Helper'!$F$5:$F$3004,"""")&lt;&gt;""""),ROWS(A$5:A2060)),"""")"),"")</f>
        <v/>
      </c>
      <c r="B20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Helper'!$F$5:$F$3004,"""")&lt;&gt;""""),ROWS(B$5:B2060)),"""")"),"")</f>
        <v/>
      </c>
      <c r="C20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Helper'!$F$5:$F$3004,"""")&lt;&gt;""""),ROWS(C$5:C2060)),"""")"),"")</f>
        <v/>
      </c>
      <c r="D20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Helper'!$F$5:$F$3004,"""")&lt;&gt;""""),ROWS(D$5:D2060)),"""")"),"")</f>
        <v/>
      </c>
      <c r="E20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Helper'!$F$5:$F$3004,"""")&lt;&gt;""""),ROWS(E$5:E2060)),"""")"),"")</f>
        <v/>
      </c>
      <c r="F20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Helper'!$F$5:$F$3004,"""")&lt;&gt;""""),ROWS(F$5:F2060)),IF(AND(LEFT(x,5)=""Pag"&amp;"e "",ISERROR(SEARCH(""–"",x))),x&amp;""–""&amp;REGEXEXTRACT(x,""[0-9]+$""),x)),"""")"),"")</f>
        <v/>
      </c>
      <c r="G2060" s="163"/>
      <c r="H20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Helper'!$F$5:$F$3004,"""")&lt;&gt;""""),ROWS(H$5:H2060)),"""")"),"")</f>
        <v/>
      </c>
    </row>
    <row r="2061" ht="15.75" customHeight="1">
      <c r="A20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Helper'!$F$5:$F$3004,"""")&lt;&gt;""""),ROWS(A$5:A2061)),"""")"),"")</f>
        <v/>
      </c>
      <c r="B20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Helper'!$F$5:$F$3004,"""")&lt;&gt;""""),ROWS(B$5:B2061)),"""")"),"")</f>
        <v/>
      </c>
      <c r="C20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Helper'!$F$5:$F$3004,"""")&lt;&gt;""""),ROWS(C$5:C2061)),"""")"),"")</f>
        <v/>
      </c>
      <c r="D20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Helper'!$F$5:$F$3004,"""")&lt;&gt;""""),ROWS(D$5:D2061)),"""")"),"")</f>
        <v/>
      </c>
      <c r="E20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Helper'!$F$5:$F$3004,"""")&lt;&gt;""""),ROWS(E$5:E2061)),"""")"),"")</f>
        <v/>
      </c>
      <c r="F20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Helper'!$F$5:$F$3004,"""")&lt;&gt;""""),ROWS(F$5:F2061)),IF(AND(LEFT(x,5)=""Pag"&amp;"e "",ISERROR(SEARCH(""–"",x))),x&amp;""–""&amp;REGEXEXTRACT(x,""[0-9]+$""),x)),"""")"),"")</f>
        <v/>
      </c>
      <c r="G2061" s="163"/>
      <c r="H20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Helper'!$F$5:$F$3004,"""")&lt;&gt;""""),ROWS(H$5:H2061)),"""")"),"")</f>
        <v/>
      </c>
    </row>
    <row r="2062" ht="15.75" customHeight="1">
      <c r="A20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Helper'!$F$5:$F$3004,"""")&lt;&gt;""""),ROWS(A$5:A2062)),"""")"),"")</f>
        <v/>
      </c>
      <c r="B20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Helper'!$F$5:$F$3004,"""")&lt;&gt;""""),ROWS(B$5:B2062)),"""")"),"")</f>
        <v/>
      </c>
      <c r="C20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Helper'!$F$5:$F$3004,"""")&lt;&gt;""""),ROWS(C$5:C2062)),"""")"),"")</f>
        <v/>
      </c>
      <c r="D20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Helper'!$F$5:$F$3004,"""")&lt;&gt;""""),ROWS(D$5:D2062)),"""")"),"")</f>
        <v/>
      </c>
      <c r="E20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Helper'!$F$5:$F$3004,"""")&lt;&gt;""""),ROWS(E$5:E2062)),"""")"),"")</f>
        <v/>
      </c>
      <c r="F20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Helper'!$F$5:$F$3004,"""")&lt;&gt;""""),ROWS(F$5:F2062)),IF(AND(LEFT(x,5)=""Pag"&amp;"e "",ISERROR(SEARCH(""–"",x))),x&amp;""–""&amp;REGEXEXTRACT(x,""[0-9]+$""),x)),"""")"),"")</f>
        <v/>
      </c>
      <c r="G2062" s="163"/>
      <c r="H20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Helper'!$F$5:$F$3004,"""")&lt;&gt;""""),ROWS(H$5:H2062)),"""")"),"")</f>
        <v/>
      </c>
    </row>
    <row r="2063" ht="15.75" customHeight="1">
      <c r="A20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Helper'!$F$5:$F$3004,"""")&lt;&gt;""""),ROWS(A$5:A2063)),"""")"),"")</f>
        <v/>
      </c>
      <c r="B20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Helper'!$F$5:$F$3004,"""")&lt;&gt;""""),ROWS(B$5:B2063)),"""")"),"")</f>
        <v/>
      </c>
      <c r="C20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Helper'!$F$5:$F$3004,"""")&lt;&gt;""""),ROWS(C$5:C2063)),"""")"),"")</f>
        <v/>
      </c>
      <c r="D20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Helper'!$F$5:$F$3004,"""")&lt;&gt;""""),ROWS(D$5:D2063)),"""")"),"")</f>
        <v/>
      </c>
      <c r="E20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Helper'!$F$5:$F$3004,"""")&lt;&gt;""""),ROWS(E$5:E2063)),"""")"),"")</f>
        <v/>
      </c>
      <c r="F20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Helper'!$F$5:$F$3004,"""")&lt;&gt;""""),ROWS(F$5:F2063)),IF(AND(LEFT(x,5)=""Pag"&amp;"e "",ISERROR(SEARCH(""–"",x))),x&amp;""–""&amp;REGEXEXTRACT(x,""[0-9]+$""),x)),"""")"),"")</f>
        <v/>
      </c>
      <c r="G2063" s="163"/>
      <c r="H20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Helper'!$F$5:$F$3004,"""")&lt;&gt;""""),ROWS(H$5:H2063)),"""")"),"")</f>
        <v/>
      </c>
    </row>
    <row r="2064" ht="15.75" customHeight="1">
      <c r="A20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Helper'!$F$5:$F$3004,"""")&lt;&gt;""""),ROWS(A$5:A2064)),"""")"),"")</f>
        <v/>
      </c>
      <c r="B20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Helper'!$F$5:$F$3004,"""")&lt;&gt;""""),ROWS(B$5:B2064)),"""")"),"")</f>
        <v/>
      </c>
      <c r="C20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Helper'!$F$5:$F$3004,"""")&lt;&gt;""""),ROWS(C$5:C2064)),"""")"),"")</f>
        <v/>
      </c>
      <c r="D20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Helper'!$F$5:$F$3004,"""")&lt;&gt;""""),ROWS(D$5:D2064)),"""")"),"")</f>
        <v/>
      </c>
      <c r="E20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Helper'!$F$5:$F$3004,"""")&lt;&gt;""""),ROWS(E$5:E2064)),"""")"),"")</f>
        <v/>
      </c>
      <c r="F20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Helper'!$F$5:$F$3004,"""")&lt;&gt;""""),ROWS(F$5:F2064)),IF(AND(LEFT(x,5)=""Pag"&amp;"e "",ISERROR(SEARCH(""–"",x))),x&amp;""–""&amp;REGEXEXTRACT(x,""[0-9]+$""),x)),"""")"),"")</f>
        <v/>
      </c>
      <c r="G2064" s="163"/>
      <c r="H20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Helper'!$F$5:$F$3004,"""")&lt;&gt;""""),ROWS(H$5:H2064)),"""")"),"")</f>
        <v/>
      </c>
    </row>
    <row r="2065" ht="15.75" customHeight="1">
      <c r="A20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Helper'!$F$5:$F$3004,"""")&lt;&gt;""""),ROWS(A$5:A2065)),"""")"),"")</f>
        <v/>
      </c>
      <c r="B20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Helper'!$F$5:$F$3004,"""")&lt;&gt;""""),ROWS(B$5:B2065)),"""")"),"")</f>
        <v/>
      </c>
      <c r="C20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Helper'!$F$5:$F$3004,"""")&lt;&gt;""""),ROWS(C$5:C2065)),"""")"),"")</f>
        <v/>
      </c>
      <c r="D20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Helper'!$F$5:$F$3004,"""")&lt;&gt;""""),ROWS(D$5:D2065)),"""")"),"")</f>
        <v/>
      </c>
      <c r="E20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Helper'!$F$5:$F$3004,"""")&lt;&gt;""""),ROWS(E$5:E2065)),"""")"),"")</f>
        <v/>
      </c>
      <c r="F20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Helper'!$F$5:$F$3004,"""")&lt;&gt;""""),ROWS(F$5:F2065)),IF(AND(LEFT(x,5)=""Pag"&amp;"e "",ISERROR(SEARCH(""–"",x))),x&amp;""–""&amp;REGEXEXTRACT(x,""[0-9]+$""),x)),"""")"),"")</f>
        <v/>
      </c>
      <c r="G2065" s="163"/>
      <c r="H20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Helper'!$F$5:$F$3004,"""")&lt;&gt;""""),ROWS(H$5:H2065)),"""")"),"")</f>
        <v/>
      </c>
    </row>
    <row r="2066" ht="15.75" customHeight="1">
      <c r="A20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Helper'!$F$5:$F$3004,"""")&lt;&gt;""""),ROWS(A$5:A2066)),"""")"),"")</f>
        <v/>
      </c>
      <c r="B20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Helper'!$F$5:$F$3004,"""")&lt;&gt;""""),ROWS(B$5:B2066)),"""")"),"")</f>
        <v/>
      </c>
      <c r="C20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Helper'!$F$5:$F$3004,"""")&lt;&gt;""""),ROWS(C$5:C2066)),"""")"),"")</f>
        <v/>
      </c>
      <c r="D20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Helper'!$F$5:$F$3004,"""")&lt;&gt;""""),ROWS(D$5:D2066)),"""")"),"")</f>
        <v/>
      </c>
      <c r="E20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Helper'!$F$5:$F$3004,"""")&lt;&gt;""""),ROWS(E$5:E2066)),"""")"),"")</f>
        <v/>
      </c>
      <c r="F20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Helper'!$F$5:$F$3004,"""")&lt;&gt;""""),ROWS(F$5:F2066)),IF(AND(LEFT(x,5)=""Pag"&amp;"e "",ISERROR(SEARCH(""–"",x))),x&amp;""–""&amp;REGEXEXTRACT(x,""[0-9]+$""),x)),"""")"),"")</f>
        <v/>
      </c>
      <c r="G2066" s="163"/>
      <c r="H20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Helper'!$F$5:$F$3004,"""")&lt;&gt;""""),ROWS(H$5:H2066)),"""")"),"")</f>
        <v/>
      </c>
    </row>
    <row r="2067" ht="15.75" customHeight="1">
      <c r="A20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Helper'!$F$5:$F$3004,"""")&lt;&gt;""""),ROWS(A$5:A2067)),"""")"),"")</f>
        <v/>
      </c>
      <c r="B20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Helper'!$F$5:$F$3004,"""")&lt;&gt;""""),ROWS(B$5:B2067)),"""")"),"")</f>
        <v/>
      </c>
      <c r="C20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Helper'!$F$5:$F$3004,"""")&lt;&gt;""""),ROWS(C$5:C2067)),"""")"),"")</f>
        <v/>
      </c>
      <c r="D20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Helper'!$F$5:$F$3004,"""")&lt;&gt;""""),ROWS(D$5:D2067)),"""")"),"")</f>
        <v/>
      </c>
      <c r="E20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Helper'!$F$5:$F$3004,"""")&lt;&gt;""""),ROWS(E$5:E2067)),"""")"),"")</f>
        <v/>
      </c>
      <c r="F20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Helper'!$F$5:$F$3004,"""")&lt;&gt;""""),ROWS(F$5:F2067)),IF(AND(LEFT(x,5)=""Pag"&amp;"e "",ISERROR(SEARCH(""–"",x))),x&amp;""–""&amp;REGEXEXTRACT(x,""[0-9]+$""),x)),"""")"),"")</f>
        <v/>
      </c>
      <c r="G2067" s="163"/>
      <c r="H20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Helper'!$F$5:$F$3004,"""")&lt;&gt;""""),ROWS(H$5:H2067)),"""")"),"")</f>
        <v/>
      </c>
    </row>
    <row r="2068" ht="15.75" customHeight="1">
      <c r="A20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Helper'!$F$5:$F$3004,"""")&lt;&gt;""""),ROWS(A$5:A2068)),"""")"),"")</f>
        <v/>
      </c>
      <c r="B20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Helper'!$F$5:$F$3004,"""")&lt;&gt;""""),ROWS(B$5:B2068)),"""")"),"")</f>
        <v/>
      </c>
      <c r="C20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Helper'!$F$5:$F$3004,"""")&lt;&gt;""""),ROWS(C$5:C2068)),"""")"),"")</f>
        <v/>
      </c>
      <c r="D20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Helper'!$F$5:$F$3004,"""")&lt;&gt;""""),ROWS(D$5:D2068)),"""")"),"")</f>
        <v/>
      </c>
      <c r="E20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Helper'!$F$5:$F$3004,"""")&lt;&gt;""""),ROWS(E$5:E2068)),"""")"),"")</f>
        <v/>
      </c>
      <c r="F20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Helper'!$F$5:$F$3004,"""")&lt;&gt;""""),ROWS(F$5:F2068)),IF(AND(LEFT(x,5)=""Pag"&amp;"e "",ISERROR(SEARCH(""–"",x))),x&amp;""–""&amp;REGEXEXTRACT(x,""[0-9]+$""),x)),"""")"),"")</f>
        <v/>
      </c>
      <c r="G2068" s="163"/>
      <c r="H20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Helper'!$F$5:$F$3004,"""")&lt;&gt;""""),ROWS(H$5:H2068)),"""")"),"")</f>
        <v/>
      </c>
    </row>
    <row r="2069" ht="15.75" customHeight="1">
      <c r="A20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Helper'!$F$5:$F$3004,"""")&lt;&gt;""""),ROWS(A$5:A2069)),"""")"),"")</f>
        <v/>
      </c>
      <c r="B20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Helper'!$F$5:$F$3004,"""")&lt;&gt;""""),ROWS(B$5:B2069)),"""")"),"")</f>
        <v/>
      </c>
      <c r="C20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Helper'!$F$5:$F$3004,"""")&lt;&gt;""""),ROWS(C$5:C2069)),"""")"),"")</f>
        <v/>
      </c>
      <c r="D20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Helper'!$F$5:$F$3004,"""")&lt;&gt;""""),ROWS(D$5:D2069)),"""")"),"")</f>
        <v/>
      </c>
      <c r="E20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Helper'!$F$5:$F$3004,"""")&lt;&gt;""""),ROWS(E$5:E2069)),"""")"),"")</f>
        <v/>
      </c>
      <c r="F20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Helper'!$F$5:$F$3004,"""")&lt;&gt;""""),ROWS(F$5:F2069)),IF(AND(LEFT(x,5)=""Pag"&amp;"e "",ISERROR(SEARCH(""–"",x))),x&amp;""–""&amp;REGEXEXTRACT(x,""[0-9]+$""),x)),"""")"),"")</f>
        <v/>
      </c>
      <c r="G2069" s="163"/>
      <c r="H20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Helper'!$F$5:$F$3004,"""")&lt;&gt;""""),ROWS(H$5:H2069)),"""")"),"")</f>
        <v/>
      </c>
    </row>
    <row r="2070" ht="15.75" customHeight="1">
      <c r="A20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Helper'!$F$5:$F$3004,"""")&lt;&gt;""""),ROWS(A$5:A2070)),"""")"),"")</f>
        <v/>
      </c>
      <c r="B20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Helper'!$F$5:$F$3004,"""")&lt;&gt;""""),ROWS(B$5:B2070)),"""")"),"")</f>
        <v/>
      </c>
      <c r="C20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Helper'!$F$5:$F$3004,"""")&lt;&gt;""""),ROWS(C$5:C2070)),"""")"),"")</f>
        <v/>
      </c>
      <c r="D20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Helper'!$F$5:$F$3004,"""")&lt;&gt;""""),ROWS(D$5:D2070)),"""")"),"")</f>
        <v/>
      </c>
      <c r="E20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Helper'!$F$5:$F$3004,"""")&lt;&gt;""""),ROWS(E$5:E2070)),"""")"),"")</f>
        <v/>
      </c>
      <c r="F20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Helper'!$F$5:$F$3004,"""")&lt;&gt;""""),ROWS(F$5:F2070)),IF(AND(LEFT(x,5)=""Pag"&amp;"e "",ISERROR(SEARCH(""–"",x))),x&amp;""–""&amp;REGEXEXTRACT(x,""[0-9]+$""),x)),"""")"),"")</f>
        <v/>
      </c>
      <c r="G2070" s="163"/>
      <c r="H20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Helper'!$F$5:$F$3004,"""")&lt;&gt;""""),ROWS(H$5:H2070)),"""")"),"")</f>
        <v/>
      </c>
    </row>
    <row r="2071" ht="15.75" customHeight="1">
      <c r="A20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Helper'!$F$5:$F$3004,"""")&lt;&gt;""""),ROWS(A$5:A2071)),"""")"),"")</f>
        <v/>
      </c>
      <c r="B20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Helper'!$F$5:$F$3004,"""")&lt;&gt;""""),ROWS(B$5:B2071)),"""")"),"")</f>
        <v/>
      </c>
      <c r="C20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Helper'!$F$5:$F$3004,"""")&lt;&gt;""""),ROWS(C$5:C2071)),"""")"),"")</f>
        <v/>
      </c>
      <c r="D20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Helper'!$F$5:$F$3004,"""")&lt;&gt;""""),ROWS(D$5:D2071)),"""")"),"")</f>
        <v/>
      </c>
      <c r="E20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Helper'!$F$5:$F$3004,"""")&lt;&gt;""""),ROWS(E$5:E2071)),"""")"),"")</f>
        <v/>
      </c>
      <c r="F20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Helper'!$F$5:$F$3004,"""")&lt;&gt;""""),ROWS(F$5:F2071)),IF(AND(LEFT(x,5)=""Pag"&amp;"e "",ISERROR(SEARCH(""–"",x))),x&amp;""–""&amp;REGEXEXTRACT(x,""[0-9]+$""),x)),"""")"),"")</f>
        <v/>
      </c>
      <c r="G2071" s="163"/>
      <c r="H20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Helper'!$F$5:$F$3004,"""")&lt;&gt;""""),ROWS(H$5:H2071)),"""")"),"")</f>
        <v/>
      </c>
    </row>
    <row r="2072" ht="15.75" customHeight="1">
      <c r="A20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Helper'!$F$5:$F$3004,"""")&lt;&gt;""""),ROWS(A$5:A2072)),"""")"),"")</f>
        <v/>
      </c>
      <c r="B20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Helper'!$F$5:$F$3004,"""")&lt;&gt;""""),ROWS(B$5:B2072)),"""")"),"")</f>
        <v/>
      </c>
      <c r="C20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Helper'!$F$5:$F$3004,"""")&lt;&gt;""""),ROWS(C$5:C2072)),"""")"),"")</f>
        <v/>
      </c>
      <c r="D20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Helper'!$F$5:$F$3004,"""")&lt;&gt;""""),ROWS(D$5:D2072)),"""")"),"")</f>
        <v/>
      </c>
      <c r="E20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Helper'!$F$5:$F$3004,"""")&lt;&gt;""""),ROWS(E$5:E2072)),"""")"),"")</f>
        <v/>
      </c>
      <c r="F20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Helper'!$F$5:$F$3004,"""")&lt;&gt;""""),ROWS(F$5:F2072)),IF(AND(LEFT(x,5)=""Pag"&amp;"e "",ISERROR(SEARCH(""–"",x))),x&amp;""–""&amp;REGEXEXTRACT(x,""[0-9]+$""),x)),"""")"),"")</f>
        <v/>
      </c>
      <c r="G2072" s="163"/>
      <c r="H20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Helper'!$F$5:$F$3004,"""")&lt;&gt;""""),ROWS(H$5:H2072)),"""")"),"")</f>
        <v/>
      </c>
    </row>
    <row r="2073" ht="15.75" customHeight="1">
      <c r="A20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Helper'!$F$5:$F$3004,"""")&lt;&gt;""""),ROWS(A$5:A2073)),"""")"),"")</f>
        <v/>
      </c>
      <c r="B20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Helper'!$F$5:$F$3004,"""")&lt;&gt;""""),ROWS(B$5:B2073)),"""")"),"")</f>
        <v/>
      </c>
      <c r="C20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Helper'!$F$5:$F$3004,"""")&lt;&gt;""""),ROWS(C$5:C2073)),"""")"),"")</f>
        <v/>
      </c>
      <c r="D20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Helper'!$F$5:$F$3004,"""")&lt;&gt;""""),ROWS(D$5:D2073)),"""")"),"")</f>
        <v/>
      </c>
      <c r="E20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Helper'!$F$5:$F$3004,"""")&lt;&gt;""""),ROWS(E$5:E2073)),"""")"),"")</f>
        <v/>
      </c>
      <c r="F20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Helper'!$F$5:$F$3004,"""")&lt;&gt;""""),ROWS(F$5:F2073)),IF(AND(LEFT(x,5)=""Pag"&amp;"e "",ISERROR(SEARCH(""–"",x))),x&amp;""–""&amp;REGEXEXTRACT(x,""[0-9]+$""),x)),"""")"),"")</f>
        <v/>
      </c>
      <c r="G2073" s="163"/>
      <c r="H20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Helper'!$F$5:$F$3004,"""")&lt;&gt;""""),ROWS(H$5:H2073)),"""")"),"")</f>
        <v/>
      </c>
    </row>
    <row r="2074" ht="15.75" customHeight="1">
      <c r="A20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Helper'!$F$5:$F$3004,"""")&lt;&gt;""""),ROWS(A$5:A2074)),"""")"),"")</f>
        <v/>
      </c>
      <c r="B20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Helper'!$F$5:$F$3004,"""")&lt;&gt;""""),ROWS(B$5:B2074)),"""")"),"")</f>
        <v/>
      </c>
      <c r="C20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Helper'!$F$5:$F$3004,"""")&lt;&gt;""""),ROWS(C$5:C2074)),"""")"),"")</f>
        <v/>
      </c>
      <c r="D20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Helper'!$F$5:$F$3004,"""")&lt;&gt;""""),ROWS(D$5:D2074)),"""")"),"")</f>
        <v/>
      </c>
      <c r="E20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Helper'!$F$5:$F$3004,"""")&lt;&gt;""""),ROWS(E$5:E2074)),"""")"),"")</f>
        <v/>
      </c>
      <c r="F20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Helper'!$F$5:$F$3004,"""")&lt;&gt;""""),ROWS(F$5:F2074)),IF(AND(LEFT(x,5)=""Pag"&amp;"e "",ISERROR(SEARCH(""–"",x))),x&amp;""–""&amp;REGEXEXTRACT(x,""[0-9]+$""),x)),"""")"),"")</f>
        <v/>
      </c>
      <c r="G2074" s="163"/>
      <c r="H20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Helper'!$F$5:$F$3004,"""")&lt;&gt;""""),ROWS(H$5:H2074)),"""")"),"")</f>
        <v/>
      </c>
    </row>
    <row r="2075" ht="15.75" customHeight="1">
      <c r="A20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Helper'!$F$5:$F$3004,"""")&lt;&gt;""""),ROWS(A$5:A2075)),"""")"),"")</f>
        <v/>
      </c>
      <c r="B20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Helper'!$F$5:$F$3004,"""")&lt;&gt;""""),ROWS(B$5:B2075)),"""")"),"")</f>
        <v/>
      </c>
      <c r="C20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Helper'!$F$5:$F$3004,"""")&lt;&gt;""""),ROWS(C$5:C2075)),"""")"),"")</f>
        <v/>
      </c>
      <c r="D20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Helper'!$F$5:$F$3004,"""")&lt;&gt;""""),ROWS(D$5:D2075)),"""")"),"")</f>
        <v/>
      </c>
      <c r="E20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Helper'!$F$5:$F$3004,"""")&lt;&gt;""""),ROWS(E$5:E2075)),"""")"),"")</f>
        <v/>
      </c>
      <c r="F20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Helper'!$F$5:$F$3004,"""")&lt;&gt;""""),ROWS(F$5:F2075)),IF(AND(LEFT(x,5)=""Pag"&amp;"e "",ISERROR(SEARCH(""–"",x))),x&amp;""–""&amp;REGEXEXTRACT(x,""[0-9]+$""),x)),"""")"),"")</f>
        <v/>
      </c>
      <c r="G2075" s="163"/>
      <c r="H20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Helper'!$F$5:$F$3004,"""")&lt;&gt;""""),ROWS(H$5:H2075)),"""")"),"")</f>
        <v/>
      </c>
    </row>
    <row r="2076" ht="15.75" customHeight="1">
      <c r="A20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Helper'!$F$5:$F$3004,"""")&lt;&gt;""""),ROWS(A$5:A2076)),"""")"),"")</f>
        <v/>
      </c>
      <c r="B20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Helper'!$F$5:$F$3004,"""")&lt;&gt;""""),ROWS(B$5:B2076)),"""")"),"")</f>
        <v/>
      </c>
      <c r="C20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Helper'!$F$5:$F$3004,"""")&lt;&gt;""""),ROWS(C$5:C2076)),"""")"),"")</f>
        <v/>
      </c>
      <c r="D20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Helper'!$F$5:$F$3004,"""")&lt;&gt;""""),ROWS(D$5:D2076)),"""")"),"")</f>
        <v/>
      </c>
      <c r="E20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Helper'!$F$5:$F$3004,"""")&lt;&gt;""""),ROWS(E$5:E2076)),"""")"),"")</f>
        <v/>
      </c>
      <c r="F20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Helper'!$F$5:$F$3004,"""")&lt;&gt;""""),ROWS(F$5:F2076)),IF(AND(LEFT(x,5)=""Pag"&amp;"e "",ISERROR(SEARCH(""–"",x))),x&amp;""–""&amp;REGEXEXTRACT(x,""[0-9]+$""),x)),"""")"),"")</f>
        <v/>
      </c>
      <c r="G2076" s="163"/>
      <c r="H20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Helper'!$F$5:$F$3004,"""")&lt;&gt;""""),ROWS(H$5:H2076)),"""")"),"")</f>
        <v/>
      </c>
    </row>
    <row r="2077" ht="15.75" customHeight="1">
      <c r="A20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Helper'!$F$5:$F$3004,"""")&lt;&gt;""""),ROWS(A$5:A2077)),"""")"),"")</f>
        <v/>
      </c>
      <c r="B20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Helper'!$F$5:$F$3004,"""")&lt;&gt;""""),ROWS(B$5:B2077)),"""")"),"")</f>
        <v/>
      </c>
      <c r="C20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Helper'!$F$5:$F$3004,"""")&lt;&gt;""""),ROWS(C$5:C2077)),"""")"),"")</f>
        <v/>
      </c>
      <c r="D20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Helper'!$F$5:$F$3004,"""")&lt;&gt;""""),ROWS(D$5:D2077)),"""")"),"")</f>
        <v/>
      </c>
      <c r="E20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Helper'!$F$5:$F$3004,"""")&lt;&gt;""""),ROWS(E$5:E2077)),"""")"),"")</f>
        <v/>
      </c>
      <c r="F20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Helper'!$F$5:$F$3004,"""")&lt;&gt;""""),ROWS(F$5:F2077)),IF(AND(LEFT(x,5)=""Pag"&amp;"e "",ISERROR(SEARCH(""–"",x))),x&amp;""–""&amp;REGEXEXTRACT(x,""[0-9]+$""),x)),"""")"),"")</f>
        <v/>
      </c>
      <c r="G2077" s="163"/>
      <c r="H20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Helper'!$F$5:$F$3004,"""")&lt;&gt;""""),ROWS(H$5:H2077)),"""")"),"")</f>
        <v/>
      </c>
    </row>
    <row r="2078" ht="15.75" customHeight="1">
      <c r="A20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Helper'!$F$5:$F$3004,"""")&lt;&gt;""""),ROWS(A$5:A2078)),"""")"),"")</f>
        <v/>
      </c>
      <c r="B20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Helper'!$F$5:$F$3004,"""")&lt;&gt;""""),ROWS(B$5:B2078)),"""")"),"")</f>
        <v/>
      </c>
      <c r="C20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Helper'!$F$5:$F$3004,"""")&lt;&gt;""""),ROWS(C$5:C2078)),"""")"),"")</f>
        <v/>
      </c>
      <c r="D20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Helper'!$F$5:$F$3004,"""")&lt;&gt;""""),ROWS(D$5:D2078)),"""")"),"")</f>
        <v/>
      </c>
      <c r="E20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Helper'!$F$5:$F$3004,"""")&lt;&gt;""""),ROWS(E$5:E2078)),"""")"),"")</f>
        <v/>
      </c>
      <c r="F20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Helper'!$F$5:$F$3004,"""")&lt;&gt;""""),ROWS(F$5:F2078)),IF(AND(LEFT(x,5)=""Pag"&amp;"e "",ISERROR(SEARCH(""–"",x))),x&amp;""–""&amp;REGEXEXTRACT(x,""[0-9]+$""),x)),"""")"),"")</f>
        <v/>
      </c>
      <c r="G2078" s="163"/>
      <c r="H20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Helper'!$F$5:$F$3004,"""")&lt;&gt;""""),ROWS(H$5:H2078)),"""")"),"")</f>
        <v/>
      </c>
    </row>
    <row r="2079" ht="15.75" customHeight="1">
      <c r="A20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Helper'!$F$5:$F$3004,"""")&lt;&gt;""""),ROWS(A$5:A2079)),"""")"),"")</f>
        <v/>
      </c>
      <c r="B20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Helper'!$F$5:$F$3004,"""")&lt;&gt;""""),ROWS(B$5:B2079)),"""")"),"")</f>
        <v/>
      </c>
      <c r="C20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Helper'!$F$5:$F$3004,"""")&lt;&gt;""""),ROWS(C$5:C2079)),"""")"),"")</f>
        <v/>
      </c>
      <c r="D20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Helper'!$F$5:$F$3004,"""")&lt;&gt;""""),ROWS(D$5:D2079)),"""")"),"")</f>
        <v/>
      </c>
      <c r="E20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Helper'!$F$5:$F$3004,"""")&lt;&gt;""""),ROWS(E$5:E2079)),"""")"),"")</f>
        <v/>
      </c>
      <c r="F20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Helper'!$F$5:$F$3004,"""")&lt;&gt;""""),ROWS(F$5:F2079)),IF(AND(LEFT(x,5)=""Pag"&amp;"e "",ISERROR(SEARCH(""–"",x))),x&amp;""–""&amp;REGEXEXTRACT(x,""[0-9]+$""),x)),"""")"),"")</f>
        <v/>
      </c>
      <c r="G2079" s="163"/>
      <c r="H20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Helper'!$F$5:$F$3004,"""")&lt;&gt;""""),ROWS(H$5:H2079)),"""")"),"")</f>
        <v/>
      </c>
    </row>
    <row r="2080" ht="15.75" customHeight="1">
      <c r="A20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Helper'!$F$5:$F$3004,"""")&lt;&gt;""""),ROWS(A$5:A2080)),"""")"),"")</f>
        <v/>
      </c>
      <c r="B20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Helper'!$F$5:$F$3004,"""")&lt;&gt;""""),ROWS(B$5:B2080)),"""")"),"")</f>
        <v/>
      </c>
      <c r="C20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Helper'!$F$5:$F$3004,"""")&lt;&gt;""""),ROWS(C$5:C2080)),"""")"),"")</f>
        <v/>
      </c>
      <c r="D20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Helper'!$F$5:$F$3004,"""")&lt;&gt;""""),ROWS(D$5:D2080)),"""")"),"")</f>
        <v/>
      </c>
      <c r="E20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Helper'!$F$5:$F$3004,"""")&lt;&gt;""""),ROWS(E$5:E2080)),"""")"),"")</f>
        <v/>
      </c>
      <c r="F20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Helper'!$F$5:$F$3004,"""")&lt;&gt;""""),ROWS(F$5:F2080)),IF(AND(LEFT(x,5)=""Pag"&amp;"e "",ISERROR(SEARCH(""–"",x))),x&amp;""–""&amp;REGEXEXTRACT(x,""[0-9]+$""),x)),"""")"),"")</f>
        <v/>
      </c>
      <c r="G2080" s="163"/>
      <c r="H20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Helper'!$F$5:$F$3004,"""")&lt;&gt;""""),ROWS(H$5:H2080)),"""")"),"")</f>
        <v/>
      </c>
    </row>
    <row r="2081" ht="15.75" customHeight="1">
      <c r="A20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Helper'!$F$5:$F$3004,"""")&lt;&gt;""""),ROWS(A$5:A2081)),"""")"),"")</f>
        <v/>
      </c>
      <c r="B20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Helper'!$F$5:$F$3004,"""")&lt;&gt;""""),ROWS(B$5:B2081)),"""")"),"")</f>
        <v/>
      </c>
      <c r="C20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Helper'!$F$5:$F$3004,"""")&lt;&gt;""""),ROWS(C$5:C2081)),"""")"),"")</f>
        <v/>
      </c>
      <c r="D20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Helper'!$F$5:$F$3004,"""")&lt;&gt;""""),ROWS(D$5:D2081)),"""")"),"")</f>
        <v/>
      </c>
      <c r="E20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Helper'!$F$5:$F$3004,"""")&lt;&gt;""""),ROWS(E$5:E2081)),"""")"),"")</f>
        <v/>
      </c>
      <c r="F20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Helper'!$F$5:$F$3004,"""")&lt;&gt;""""),ROWS(F$5:F2081)),IF(AND(LEFT(x,5)=""Pag"&amp;"e "",ISERROR(SEARCH(""–"",x))),x&amp;""–""&amp;REGEXEXTRACT(x,""[0-9]+$""),x)),"""")"),"")</f>
        <v/>
      </c>
      <c r="G2081" s="163"/>
      <c r="H20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Helper'!$F$5:$F$3004,"""")&lt;&gt;""""),ROWS(H$5:H2081)),"""")"),"")</f>
        <v/>
      </c>
    </row>
    <row r="2082" ht="15.75" customHeight="1">
      <c r="A20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Helper'!$F$5:$F$3004,"""")&lt;&gt;""""),ROWS(A$5:A2082)),"""")"),"")</f>
        <v/>
      </c>
      <c r="B20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Helper'!$F$5:$F$3004,"""")&lt;&gt;""""),ROWS(B$5:B2082)),"""")"),"")</f>
        <v/>
      </c>
      <c r="C20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Helper'!$F$5:$F$3004,"""")&lt;&gt;""""),ROWS(C$5:C2082)),"""")"),"")</f>
        <v/>
      </c>
      <c r="D20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Helper'!$F$5:$F$3004,"""")&lt;&gt;""""),ROWS(D$5:D2082)),"""")"),"")</f>
        <v/>
      </c>
      <c r="E20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Helper'!$F$5:$F$3004,"""")&lt;&gt;""""),ROWS(E$5:E2082)),"""")"),"")</f>
        <v/>
      </c>
      <c r="F20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Helper'!$F$5:$F$3004,"""")&lt;&gt;""""),ROWS(F$5:F2082)),IF(AND(LEFT(x,5)=""Pag"&amp;"e "",ISERROR(SEARCH(""–"",x))),x&amp;""–""&amp;REGEXEXTRACT(x,""[0-9]+$""),x)),"""")"),"")</f>
        <v/>
      </c>
      <c r="G2082" s="163"/>
      <c r="H20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Helper'!$F$5:$F$3004,"""")&lt;&gt;""""),ROWS(H$5:H2082)),"""")"),"")</f>
        <v/>
      </c>
    </row>
    <row r="2083" ht="15.75" customHeight="1">
      <c r="A20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Helper'!$F$5:$F$3004,"""")&lt;&gt;""""),ROWS(A$5:A2083)),"""")"),"")</f>
        <v/>
      </c>
      <c r="B20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Helper'!$F$5:$F$3004,"""")&lt;&gt;""""),ROWS(B$5:B2083)),"""")"),"")</f>
        <v/>
      </c>
      <c r="C20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Helper'!$F$5:$F$3004,"""")&lt;&gt;""""),ROWS(C$5:C2083)),"""")"),"")</f>
        <v/>
      </c>
      <c r="D20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Helper'!$F$5:$F$3004,"""")&lt;&gt;""""),ROWS(D$5:D2083)),"""")"),"")</f>
        <v/>
      </c>
      <c r="E20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Helper'!$F$5:$F$3004,"""")&lt;&gt;""""),ROWS(E$5:E2083)),"""")"),"")</f>
        <v/>
      </c>
      <c r="F20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Helper'!$F$5:$F$3004,"""")&lt;&gt;""""),ROWS(F$5:F2083)),IF(AND(LEFT(x,5)=""Pag"&amp;"e "",ISERROR(SEARCH(""–"",x))),x&amp;""–""&amp;REGEXEXTRACT(x,""[0-9]+$""),x)),"""")"),"")</f>
        <v/>
      </c>
      <c r="G2083" s="163"/>
      <c r="H20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Helper'!$F$5:$F$3004,"""")&lt;&gt;""""),ROWS(H$5:H2083)),"""")"),"")</f>
        <v/>
      </c>
    </row>
    <row r="2084" ht="15.75" customHeight="1">
      <c r="A20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Helper'!$F$5:$F$3004,"""")&lt;&gt;""""),ROWS(A$5:A2084)),"""")"),"")</f>
        <v/>
      </c>
      <c r="B20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Helper'!$F$5:$F$3004,"""")&lt;&gt;""""),ROWS(B$5:B2084)),"""")"),"")</f>
        <v/>
      </c>
      <c r="C20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Helper'!$F$5:$F$3004,"""")&lt;&gt;""""),ROWS(C$5:C2084)),"""")"),"")</f>
        <v/>
      </c>
      <c r="D20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Helper'!$F$5:$F$3004,"""")&lt;&gt;""""),ROWS(D$5:D2084)),"""")"),"")</f>
        <v/>
      </c>
      <c r="E20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Helper'!$F$5:$F$3004,"""")&lt;&gt;""""),ROWS(E$5:E2084)),"""")"),"")</f>
        <v/>
      </c>
      <c r="F20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Helper'!$F$5:$F$3004,"""")&lt;&gt;""""),ROWS(F$5:F2084)),IF(AND(LEFT(x,5)=""Pag"&amp;"e "",ISERROR(SEARCH(""–"",x))),x&amp;""–""&amp;REGEXEXTRACT(x,""[0-9]+$""),x)),"""")"),"")</f>
        <v/>
      </c>
      <c r="G2084" s="163"/>
      <c r="H20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Helper'!$F$5:$F$3004,"""")&lt;&gt;""""),ROWS(H$5:H2084)),"""")"),"")</f>
        <v/>
      </c>
    </row>
    <row r="2085" ht="15.75" customHeight="1">
      <c r="A20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Helper'!$F$5:$F$3004,"""")&lt;&gt;""""),ROWS(A$5:A2085)),"""")"),"")</f>
        <v/>
      </c>
      <c r="B20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Helper'!$F$5:$F$3004,"""")&lt;&gt;""""),ROWS(B$5:B2085)),"""")"),"")</f>
        <v/>
      </c>
      <c r="C20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Helper'!$F$5:$F$3004,"""")&lt;&gt;""""),ROWS(C$5:C2085)),"""")"),"")</f>
        <v/>
      </c>
      <c r="D20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Helper'!$F$5:$F$3004,"""")&lt;&gt;""""),ROWS(D$5:D2085)),"""")"),"")</f>
        <v/>
      </c>
      <c r="E20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Helper'!$F$5:$F$3004,"""")&lt;&gt;""""),ROWS(E$5:E2085)),"""")"),"")</f>
        <v/>
      </c>
      <c r="F20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Helper'!$F$5:$F$3004,"""")&lt;&gt;""""),ROWS(F$5:F2085)),IF(AND(LEFT(x,5)=""Pag"&amp;"e "",ISERROR(SEARCH(""–"",x))),x&amp;""–""&amp;REGEXEXTRACT(x,""[0-9]+$""),x)),"""")"),"")</f>
        <v/>
      </c>
      <c r="G2085" s="163"/>
      <c r="H20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Helper'!$F$5:$F$3004,"""")&lt;&gt;""""),ROWS(H$5:H2085)),"""")"),"")</f>
        <v/>
      </c>
    </row>
    <row r="2086" ht="15.75" customHeight="1">
      <c r="A20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Helper'!$F$5:$F$3004,"""")&lt;&gt;""""),ROWS(A$5:A2086)),"""")"),"")</f>
        <v/>
      </c>
      <c r="B20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Helper'!$F$5:$F$3004,"""")&lt;&gt;""""),ROWS(B$5:B2086)),"""")"),"")</f>
        <v/>
      </c>
      <c r="C20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Helper'!$F$5:$F$3004,"""")&lt;&gt;""""),ROWS(C$5:C2086)),"""")"),"")</f>
        <v/>
      </c>
      <c r="D20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Helper'!$F$5:$F$3004,"""")&lt;&gt;""""),ROWS(D$5:D2086)),"""")"),"")</f>
        <v/>
      </c>
      <c r="E20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Helper'!$F$5:$F$3004,"""")&lt;&gt;""""),ROWS(E$5:E2086)),"""")"),"")</f>
        <v/>
      </c>
      <c r="F20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Helper'!$F$5:$F$3004,"""")&lt;&gt;""""),ROWS(F$5:F2086)),IF(AND(LEFT(x,5)=""Pag"&amp;"e "",ISERROR(SEARCH(""–"",x))),x&amp;""–""&amp;REGEXEXTRACT(x,""[0-9]+$""),x)),"""")"),"")</f>
        <v/>
      </c>
      <c r="G2086" s="163"/>
      <c r="H20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Helper'!$F$5:$F$3004,"""")&lt;&gt;""""),ROWS(H$5:H2086)),"""")"),"")</f>
        <v/>
      </c>
    </row>
    <row r="2087" ht="15.75" customHeight="1">
      <c r="A20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Helper'!$F$5:$F$3004,"""")&lt;&gt;""""),ROWS(A$5:A2087)),"""")"),"")</f>
        <v/>
      </c>
      <c r="B20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Helper'!$F$5:$F$3004,"""")&lt;&gt;""""),ROWS(B$5:B2087)),"""")"),"")</f>
        <v/>
      </c>
      <c r="C20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Helper'!$F$5:$F$3004,"""")&lt;&gt;""""),ROWS(C$5:C2087)),"""")"),"")</f>
        <v/>
      </c>
      <c r="D20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Helper'!$F$5:$F$3004,"""")&lt;&gt;""""),ROWS(D$5:D2087)),"""")"),"")</f>
        <v/>
      </c>
      <c r="E20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Helper'!$F$5:$F$3004,"""")&lt;&gt;""""),ROWS(E$5:E2087)),"""")"),"")</f>
        <v/>
      </c>
      <c r="F20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Helper'!$F$5:$F$3004,"""")&lt;&gt;""""),ROWS(F$5:F2087)),IF(AND(LEFT(x,5)=""Pag"&amp;"e "",ISERROR(SEARCH(""–"",x))),x&amp;""–""&amp;REGEXEXTRACT(x,""[0-9]+$""),x)),"""")"),"")</f>
        <v/>
      </c>
      <c r="G2087" s="163"/>
      <c r="H20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Helper'!$F$5:$F$3004,"""")&lt;&gt;""""),ROWS(H$5:H2087)),"""")"),"")</f>
        <v/>
      </c>
    </row>
    <row r="2088" ht="15.75" customHeight="1">
      <c r="A20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Helper'!$F$5:$F$3004,"""")&lt;&gt;""""),ROWS(A$5:A2088)),"""")"),"")</f>
        <v/>
      </c>
      <c r="B20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Helper'!$F$5:$F$3004,"""")&lt;&gt;""""),ROWS(B$5:B2088)),"""")"),"")</f>
        <v/>
      </c>
      <c r="C20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Helper'!$F$5:$F$3004,"""")&lt;&gt;""""),ROWS(C$5:C2088)),"""")"),"")</f>
        <v/>
      </c>
      <c r="D20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Helper'!$F$5:$F$3004,"""")&lt;&gt;""""),ROWS(D$5:D2088)),"""")"),"")</f>
        <v/>
      </c>
      <c r="E20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Helper'!$F$5:$F$3004,"""")&lt;&gt;""""),ROWS(E$5:E2088)),"""")"),"")</f>
        <v/>
      </c>
      <c r="F20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Helper'!$F$5:$F$3004,"""")&lt;&gt;""""),ROWS(F$5:F2088)),IF(AND(LEFT(x,5)=""Pag"&amp;"e "",ISERROR(SEARCH(""–"",x))),x&amp;""–""&amp;REGEXEXTRACT(x,""[0-9]+$""),x)),"""")"),"")</f>
        <v/>
      </c>
      <c r="G2088" s="163"/>
      <c r="H20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Helper'!$F$5:$F$3004,"""")&lt;&gt;""""),ROWS(H$5:H2088)),"""")"),"")</f>
        <v/>
      </c>
    </row>
    <row r="2089" ht="15.75" customHeight="1">
      <c r="A20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Helper'!$F$5:$F$3004,"""")&lt;&gt;""""),ROWS(A$5:A2089)),"""")"),"")</f>
        <v/>
      </c>
      <c r="B20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Helper'!$F$5:$F$3004,"""")&lt;&gt;""""),ROWS(B$5:B2089)),"""")"),"")</f>
        <v/>
      </c>
      <c r="C20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Helper'!$F$5:$F$3004,"""")&lt;&gt;""""),ROWS(C$5:C2089)),"""")"),"")</f>
        <v/>
      </c>
      <c r="D20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Helper'!$F$5:$F$3004,"""")&lt;&gt;""""),ROWS(D$5:D2089)),"""")"),"")</f>
        <v/>
      </c>
      <c r="E20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Helper'!$F$5:$F$3004,"""")&lt;&gt;""""),ROWS(E$5:E2089)),"""")"),"")</f>
        <v/>
      </c>
      <c r="F20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Helper'!$F$5:$F$3004,"""")&lt;&gt;""""),ROWS(F$5:F2089)),IF(AND(LEFT(x,5)=""Pag"&amp;"e "",ISERROR(SEARCH(""–"",x))),x&amp;""–""&amp;REGEXEXTRACT(x,""[0-9]+$""),x)),"""")"),"")</f>
        <v/>
      </c>
      <c r="G2089" s="163"/>
      <c r="H20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Helper'!$F$5:$F$3004,"""")&lt;&gt;""""),ROWS(H$5:H2089)),"""")"),"")</f>
        <v/>
      </c>
    </row>
    <row r="2090" ht="15.75" customHeight="1">
      <c r="A20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Helper'!$F$5:$F$3004,"""")&lt;&gt;""""),ROWS(A$5:A2090)),"""")"),"")</f>
        <v/>
      </c>
      <c r="B20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Helper'!$F$5:$F$3004,"""")&lt;&gt;""""),ROWS(B$5:B2090)),"""")"),"")</f>
        <v/>
      </c>
      <c r="C20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Helper'!$F$5:$F$3004,"""")&lt;&gt;""""),ROWS(C$5:C2090)),"""")"),"")</f>
        <v/>
      </c>
      <c r="D20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Helper'!$F$5:$F$3004,"""")&lt;&gt;""""),ROWS(D$5:D2090)),"""")"),"")</f>
        <v/>
      </c>
      <c r="E20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Helper'!$F$5:$F$3004,"""")&lt;&gt;""""),ROWS(E$5:E2090)),"""")"),"")</f>
        <v/>
      </c>
      <c r="F20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Helper'!$F$5:$F$3004,"""")&lt;&gt;""""),ROWS(F$5:F2090)),IF(AND(LEFT(x,5)=""Pag"&amp;"e "",ISERROR(SEARCH(""–"",x))),x&amp;""–""&amp;REGEXEXTRACT(x,""[0-9]+$""),x)),"""")"),"")</f>
        <v/>
      </c>
      <c r="G2090" s="163"/>
      <c r="H20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Helper'!$F$5:$F$3004,"""")&lt;&gt;""""),ROWS(H$5:H2090)),"""")"),"")</f>
        <v/>
      </c>
    </row>
    <row r="2091" ht="15.75" customHeight="1">
      <c r="A20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Helper'!$F$5:$F$3004,"""")&lt;&gt;""""),ROWS(A$5:A2091)),"""")"),"")</f>
        <v/>
      </c>
      <c r="B20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Helper'!$F$5:$F$3004,"""")&lt;&gt;""""),ROWS(B$5:B2091)),"""")"),"")</f>
        <v/>
      </c>
      <c r="C20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Helper'!$F$5:$F$3004,"""")&lt;&gt;""""),ROWS(C$5:C2091)),"""")"),"")</f>
        <v/>
      </c>
      <c r="D20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Helper'!$F$5:$F$3004,"""")&lt;&gt;""""),ROWS(D$5:D2091)),"""")"),"")</f>
        <v/>
      </c>
      <c r="E20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Helper'!$F$5:$F$3004,"""")&lt;&gt;""""),ROWS(E$5:E2091)),"""")"),"")</f>
        <v/>
      </c>
      <c r="F20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Helper'!$F$5:$F$3004,"""")&lt;&gt;""""),ROWS(F$5:F2091)),IF(AND(LEFT(x,5)=""Pag"&amp;"e "",ISERROR(SEARCH(""–"",x))),x&amp;""–""&amp;REGEXEXTRACT(x,""[0-9]+$""),x)),"""")"),"")</f>
        <v/>
      </c>
      <c r="G2091" s="163"/>
      <c r="H20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Helper'!$F$5:$F$3004,"""")&lt;&gt;""""),ROWS(H$5:H2091)),"""")"),"")</f>
        <v/>
      </c>
    </row>
    <row r="2092" ht="15.75" customHeight="1">
      <c r="A20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Helper'!$F$5:$F$3004,"""")&lt;&gt;""""),ROWS(A$5:A2092)),"""")"),"")</f>
        <v/>
      </c>
      <c r="B20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Helper'!$F$5:$F$3004,"""")&lt;&gt;""""),ROWS(B$5:B2092)),"""")"),"")</f>
        <v/>
      </c>
      <c r="C20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Helper'!$F$5:$F$3004,"""")&lt;&gt;""""),ROWS(C$5:C2092)),"""")"),"")</f>
        <v/>
      </c>
      <c r="D20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Helper'!$F$5:$F$3004,"""")&lt;&gt;""""),ROWS(D$5:D2092)),"""")"),"")</f>
        <v/>
      </c>
      <c r="E20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Helper'!$F$5:$F$3004,"""")&lt;&gt;""""),ROWS(E$5:E2092)),"""")"),"")</f>
        <v/>
      </c>
      <c r="F20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Helper'!$F$5:$F$3004,"""")&lt;&gt;""""),ROWS(F$5:F2092)),IF(AND(LEFT(x,5)=""Pag"&amp;"e "",ISERROR(SEARCH(""–"",x))),x&amp;""–""&amp;REGEXEXTRACT(x,""[0-9]+$""),x)),"""")"),"")</f>
        <v/>
      </c>
      <c r="G2092" s="163"/>
      <c r="H20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Helper'!$F$5:$F$3004,"""")&lt;&gt;""""),ROWS(H$5:H2092)),"""")"),"")</f>
        <v/>
      </c>
    </row>
    <row r="2093" ht="15.75" customHeight="1">
      <c r="A20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Helper'!$F$5:$F$3004,"""")&lt;&gt;""""),ROWS(A$5:A2093)),"""")"),"")</f>
        <v/>
      </c>
      <c r="B20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Helper'!$F$5:$F$3004,"""")&lt;&gt;""""),ROWS(B$5:B2093)),"""")"),"")</f>
        <v/>
      </c>
      <c r="C20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Helper'!$F$5:$F$3004,"""")&lt;&gt;""""),ROWS(C$5:C2093)),"""")"),"")</f>
        <v/>
      </c>
      <c r="D20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Helper'!$F$5:$F$3004,"""")&lt;&gt;""""),ROWS(D$5:D2093)),"""")"),"")</f>
        <v/>
      </c>
      <c r="E20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Helper'!$F$5:$F$3004,"""")&lt;&gt;""""),ROWS(E$5:E2093)),"""")"),"")</f>
        <v/>
      </c>
      <c r="F20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Helper'!$F$5:$F$3004,"""")&lt;&gt;""""),ROWS(F$5:F2093)),IF(AND(LEFT(x,5)=""Pag"&amp;"e "",ISERROR(SEARCH(""–"",x))),x&amp;""–""&amp;REGEXEXTRACT(x,""[0-9]+$""),x)),"""")"),"")</f>
        <v/>
      </c>
      <c r="G2093" s="163"/>
      <c r="H20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Helper'!$F$5:$F$3004,"""")&lt;&gt;""""),ROWS(H$5:H2093)),"""")"),"")</f>
        <v/>
      </c>
    </row>
    <row r="2094" ht="15.75" customHeight="1">
      <c r="A20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Helper'!$F$5:$F$3004,"""")&lt;&gt;""""),ROWS(A$5:A2094)),"""")"),"")</f>
        <v/>
      </c>
      <c r="B20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Helper'!$F$5:$F$3004,"""")&lt;&gt;""""),ROWS(B$5:B2094)),"""")"),"")</f>
        <v/>
      </c>
      <c r="C20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Helper'!$F$5:$F$3004,"""")&lt;&gt;""""),ROWS(C$5:C2094)),"""")"),"")</f>
        <v/>
      </c>
      <c r="D20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Helper'!$F$5:$F$3004,"""")&lt;&gt;""""),ROWS(D$5:D2094)),"""")"),"")</f>
        <v/>
      </c>
      <c r="E20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Helper'!$F$5:$F$3004,"""")&lt;&gt;""""),ROWS(E$5:E2094)),"""")"),"")</f>
        <v/>
      </c>
      <c r="F20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Helper'!$F$5:$F$3004,"""")&lt;&gt;""""),ROWS(F$5:F2094)),IF(AND(LEFT(x,5)=""Pag"&amp;"e "",ISERROR(SEARCH(""–"",x))),x&amp;""–""&amp;REGEXEXTRACT(x,""[0-9]+$""),x)),"""")"),"")</f>
        <v/>
      </c>
      <c r="G2094" s="163"/>
      <c r="H20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Helper'!$F$5:$F$3004,"""")&lt;&gt;""""),ROWS(H$5:H2094)),"""")"),"")</f>
        <v/>
      </c>
    </row>
    <row r="2095" ht="15.75" customHeight="1">
      <c r="A20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Helper'!$F$5:$F$3004,"""")&lt;&gt;""""),ROWS(A$5:A2095)),"""")"),"")</f>
        <v/>
      </c>
      <c r="B20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Helper'!$F$5:$F$3004,"""")&lt;&gt;""""),ROWS(B$5:B2095)),"""")"),"")</f>
        <v/>
      </c>
      <c r="C20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Helper'!$F$5:$F$3004,"""")&lt;&gt;""""),ROWS(C$5:C2095)),"""")"),"")</f>
        <v/>
      </c>
      <c r="D20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Helper'!$F$5:$F$3004,"""")&lt;&gt;""""),ROWS(D$5:D2095)),"""")"),"")</f>
        <v/>
      </c>
      <c r="E20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Helper'!$F$5:$F$3004,"""")&lt;&gt;""""),ROWS(E$5:E2095)),"""")"),"")</f>
        <v/>
      </c>
      <c r="F20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Helper'!$F$5:$F$3004,"""")&lt;&gt;""""),ROWS(F$5:F2095)),IF(AND(LEFT(x,5)=""Pag"&amp;"e "",ISERROR(SEARCH(""–"",x))),x&amp;""–""&amp;REGEXEXTRACT(x,""[0-9]+$""),x)),"""")"),"")</f>
        <v/>
      </c>
      <c r="G2095" s="163"/>
      <c r="H20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Helper'!$F$5:$F$3004,"""")&lt;&gt;""""),ROWS(H$5:H2095)),"""")"),"")</f>
        <v/>
      </c>
    </row>
    <row r="2096" ht="15.75" customHeight="1">
      <c r="A20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Helper'!$F$5:$F$3004,"""")&lt;&gt;""""),ROWS(A$5:A2096)),"""")"),"")</f>
        <v/>
      </c>
      <c r="B20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Helper'!$F$5:$F$3004,"""")&lt;&gt;""""),ROWS(B$5:B2096)),"""")"),"")</f>
        <v/>
      </c>
      <c r="C20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Helper'!$F$5:$F$3004,"""")&lt;&gt;""""),ROWS(C$5:C2096)),"""")"),"")</f>
        <v/>
      </c>
      <c r="D20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Helper'!$F$5:$F$3004,"""")&lt;&gt;""""),ROWS(D$5:D2096)),"""")"),"")</f>
        <v/>
      </c>
      <c r="E20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Helper'!$F$5:$F$3004,"""")&lt;&gt;""""),ROWS(E$5:E2096)),"""")"),"")</f>
        <v/>
      </c>
      <c r="F20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Helper'!$F$5:$F$3004,"""")&lt;&gt;""""),ROWS(F$5:F2096)),IF(AND(LEFT(x,5)=""Pag"&amp;"e "",ISERROR(SEARCH(""–"",x))),x&amp;""–""&amp;REGEXEXTRACT(x,""[0-9]+$""),x)),"""")"),"")</f>
        <v/>
      </c>
      <c r="G2096" s="163"/>
      <c r="H20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Helper'!$F$5:$F$3004,"""")&lt;&gt;""""),ROWS(H$5:H2096)),"""")"),"")</f>
        <v/>
      </c>
    </row>
    <row r="2097" ht="15.75" customHeight="1">
      <c r="A20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Helper'!$F$5:$F$3004,"""")&lt;&gt;""""),ROWS(A$5:A2097)),"""")"),"")</f>
        <v/>
      </c>
      <c r="B20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Helper'!$F$5:$F$3004,"""")&lt;&gt;""""),ROWS(B$5:B2097)),"""")"),"")</f>
        <v/>
      </c>
      <c r="C20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Helper'!$F$5:$F$3004,"""")&lt;&gt;""""),ROWS(C$5:C2097)),"""")"),"")</f>
        <v/>
      </c>
      <c r="D20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Helper'!$F$5:$F$3004,"""")&lt;&gt;""""),ROWS(D$5:D2097)),"""")"),"")</f>
        <v/>
      </c>
      <c r="E20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Helper'!$F$5:$F$3004,"""")&lt;&gt;""""),ROWS(E$5:E2097)),"""")"),"")</f>
        <v/>
      </c>
      <c r="F20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Helper'!$F$5:$F$3004,"""")&lt;&gt;""""),ROWS(F$5:F2097)),IF(AND(LEFT(x,5)=""Pag"&amp;"e "",ISERROR(SEARCH(""–"",x))),x&amp;""–""&amp;REGEXEXTRACT(x,""[0-9]+$""),x)),"""")"),"")</f>
        <v/>
      </c>
      <c r="G2097" s="163"/>
      <c r="H20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Helper'!$F$5:$F$3004,"""")&lt;&gt;""""),ROWS(H$5:H2097)),"""")"),"")</f>
        <v/>
      </c>
    </row>
    <row r="2098" ht="15.75" customHeight="1">
      <c r="A20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Helper'!$F$5:$F$3004,"""")&lt;&gt;""""),ROWS(A$5:A2098)),"""")"),"")</f>
        <v/>
      </c>
      <c r="B20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Helper'!$F$5:$F$3004,"""")&lt;&gt;""""),ROWS(B$5:B2098)),"""")"),"")</f>
        <v/>
      </c>
      <c r="C20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Helper'!$F$5:$F$3004,"""")&lt;&gt;""""),ROWS(C$5:C2098)),"""")"),"")</f>
        <v/>
      </c>
      <c r="D20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Helper'!$F$5:$F$3004,"""")&lt;&gt;""""),ROWS(D$5:D2098)),"""")"),"")</f>
        <v/>
      </c>
      <c r="E20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Helper'!$F$5:$F$3004,"""")&lt;&gt;""""),ROWS(E$5:E2098)),"""")"),"")</f>
        <v/>
      </c>
      <c r="F20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Helper'!$F$5:$F$3004,"""")&lt;&gt;""""),ROWS(F$5:F2098)),IF(AND(LEFT(x,5)=""Pag"&amp;"e "",ISERROR(SEARCH(""–"",x))),x&amp;""–""&amp;REGEXEXTRACT(x,""[0-9]+$""),x)),"""")"),"")</f>
        <v/>
      </c>
      <c r="G2098" s="163"/>
      <c r="H20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Helper'!$F$5:$F$3004,"""")&lt;&gt;""""),ROWS(H$5:H2098)),"""")"),"")</f>
        <v/>
      </c>
    </row>
    <row r="2099" ht="15.75" customHeight="1">
      <c r="A20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Helper'!$F$5:$F$3004,"""")&lt;&gt;""""),ROWS(A$5:A2099)),"""")"),"")</f>
        <v/>
      </c>
      <c r="B20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Helper'!$F$5:$F$3004,"""")&lt;&gt;""""),ROWS(B$5:B2099)),"""")"),"")</f>
        <v/>
      </c>
      <c r="C20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Helper'!$F$5:$F$3004,"""")&lt;&gt;""""),ROWS(C$5:C2099)),"""")"),"")</f>
        <v/>
      </c>
      <c r="D20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Helper'!$F$5:$F$3004,"""")&lt;&gt;""""),ROWS(D$5:D2099)),"""")"),"")</f>
        <v/>
      </c>
      <c r="E20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Helper'!$F$5:$F$3004,"""")&lt;&gt;""""),ROWS(E$5:E2099)),"""")"),"")</f>
        <v/>
      </c>
      <c r="F20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Helper'!$F$5:$F$3004,"""")&lt;&gt;""""),ROWS(F$5:F2099)),IF(AND(LEFT(x,5)=""Pag"&amp;"e "",ISERROR(SEARCH(""–"",x))),x&amp;""–""&amp;REGEXEXTRACT(x,""[0-9]+$""),x)),"""")"),"")</f>
        <v/>
      </c>
      <c r="G2099" s="163"/>
      <c r="H20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Helper'!$F$5:$F$3004,"""")&lt;&gt;""""),ROWS(H$5:H2099)),"""")"),"")</f>
        <v/>
      </c>
    </row>
    <row r="2100" ht="15.75" customHeight="1">
      <c r="A21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Helper'!$F$5:$F$3004,"""")&lt;&gt;""""),ROWS(A$5:A2100)),"""")"),"")</f>
        <v/>
      </c>
      <c r="B21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Helper'!$F$5:$F$3004,"""")&lt;&gt;""""),ROWS(B$5:B2100)),"""")"),"")</f>
        <v/>
      </c>
      <c r="C21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Helper'!$F$5:$F$3004,"""")&lt;&gt;""""),ROWS(C$5:C2100)),"""")"),"")</f>
        <v/>
      </c>
      <c r="D21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Helper'!$F$5:$F$3004,"""")&lt;&gt;""""),ROWS(D$5:D2100)),"""")"),"")</f>
        <v/>
      </c>
      <c r="E21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Helper'!$F$5:$F$3004,"""")&lt;&gt;""""),ROWS(E$5:E2100)),"""")"),"")</f>
        <v/>
      </c>
      <c r="F21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Helper'!$F$5:$F$3004,"""")&lt;&gt;""""),ROWS(F$5:F2100)),IF(AND(LEFT(x,5)=""Pag"&amp;"e "",ISERROR(SEARCH(""–"",x))),x&amp;""–""&amp;REGEXEXTRACT(x,""[0-9]+$""),x)),"""")"),"")</f>
        <v/>
      </c>
      <c r="G2100" s="163"/>
      <c r="H21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Helper'!$F$5:$F$3004,"""")&lt;&gt;""""),ROWS(H$5:H2100)),"""")"),"")</f>
        <v/>
      </c>
    </row>
    <row r="2101" ht="15.75" customHeight="1">
      <c r="A21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Helper'!$F$5:$F$3004,"""")&lt;&gt;""""),ROWS(A$5:A2101)),"""")"),"")</f>
        <v/>
      </c>
      <c r="B21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Helper'!$F$5:$F$3004,"""")&lt;&gt;""""),ROWS(B$5:B2101)),"""")"),"")</f>
        <v/>
      </c>
      <c r="C21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Helper'!$F$5:$F$3004,"""")&lt;&gt;""""),ROWS(C$5:C2101)),"""")"),"")</f>
        <v/>
      </c>
      <c r="D21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Helper'!$F$5:$F$3004,"""")&lt;&gt;""""),ROWS(D$5:D2101)),"""")"),"")</f>
        <v/>
      </c>
      <c r="E21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Helper'!$F$5:$F$3004,"""")&lt;&gt;""""),ROWS(E$5:E2101)),"""")"),"")</f>
        <v/>
      </c>
      <c r="F21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Helper'!$F$5:$F$3004,"""")&lt;&gt;""""),ROWS(F$5:F2101)),IF(AND(LEFT(x,5)=""Pag"&amp;"e "",ISERROR(SEARCH(""–"",x))),x&amp;""–""&amp;REGEXEXTRACT(x,""[0-9]+$""),x)),"""")"),"")</f>
        <v/>
      </c>
      <c r="G2101" s="163"/>
      <c r="H21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Helper'!$F$5:$F$3004,"""")&lt;&gt;""""),ROWS(H$5:H2101)),"""")"),"")</f>
        <v/>
      </c>
    </row>
    <row r="2102" ht="15.75" customHeight="1">
      <c r="A21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Helper'!$F$5:$F$3004,"""")&lt;&gt;""""),ROWS(A$5:A2102)),"""")"),"")</f>
        <v/>
      </c>
      <c r="B21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Helper'!$F$5:$F$3004,"""")&lt;&gt;""""),ROWS(B$5:B2102)),"""")"),"")</f>
        <v/>
      </c>
      <c r="C21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Helper'!$F$5:$F$3004,"""")&lt;&gt;""""),ROWS(C$5:C2102)),"""")"),"")</f>
        <v/>
      </c>
      <c r="D21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Helper'!$F$5:$F$3004,"""")&lt;&gt;""""),ROWS(D$5:D2102)),"""")"),"")</f>
        <v/>
      </c>
      <c r="E21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Helper'!$F$5:$F$3004,"""")&lt;&gt;""""),ROWS(E$5:E2102)),"""")"),"")</f>
        <v/>
      </c>
      <c r="F21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Helper'!$F$5:$F$3004,"""")&lt;&gt;""""),ROWS(F$5:F2102)),IF(AND(LEFT(x,5)=""Pag"&amp;"e "",ISERROR(SEARCH(""–"",x))),x&amp;""–""&amp;REGEXEXTRACT(x,""[0-9]+$""),x)),"""")"),"")</f>
        <v/>
      </c>
      <c r="G2102" s="163"/>
      <c r="H21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Helper'!$F$5:$F$3004,"""")&lt;&gt;""""),ROWS(H$5:H2102)),"""")"),"")</f>
        <v/>
      </c>
    </row>
    <row r="2103" ht="15.75" customHeight="1">
      <c r="A21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Helper'!$F$5:$F$3004,"""")&lt;&gt;""""),ROWS(A$5:A2103)),"""")"),"")</f>
        <v/>
      </c>
      <c r="B21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Helper'!$F$5:$F$3004,"""")&lt;&gt;""""),ROWS(B$5:B2103)),"""")"),"")</f>
        <v/>
      </c>
      <c r="C21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Helper'!$F$5:$F$3004,"""")&lt;&gt;""""),ROWS(C$5:C2103)),"""")"),"")</f>
        <v/>
      </c>
      <c r="D21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Helper'!$F$5:$F$3004,"""")&lt;&gt;""""),ROWS(D$5:D2103)),"""")"),"")</f>
        <v/>
      </c>
      <c r="E21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Helper'!$F$5:$F$3004,"""")&lt;&gt;""""),ROWS(E$5:E2103)),"""")"),"")</f>
        <v/>
      </c>
      <c r="F21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Helper'!$F$5:$F$3004,"""")&lt;&gt;""""),ROWS(F$5:F2103)),IF(AND(LEFT(x,5)=""Pag"&amp;"e "",ISERROR(SEARCH(""–"",x))),x&amp;""–""&amp;REGEXEXTRACT(x,""[0-9]+$""),x)),"""")"),"")</f>
        <v/>
      </c>
      <c r="G2103" s="163"/>
      <c r="H21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Helper'!$F$5:$F$3004,"""")&lt;&gt;""""),ROWS(H$5:H2103)),"""")"),"")</f>
        <v/>
      </c>
    </row>
    <row r="2104" ht="15.75" customHeight="1">
      <c r="A21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Helper'!$F$5:$F$3004,"""")&lt;&gt;""""),ROWS(A$5:A2104)),"""")"),"")</f>
        <v/>
      </c>
      <c r="B21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Helper'!$F$5:$F$3004,"""")&lt;&gt;""""),ROWS(B$5:B2104)),"""")"),"")</f>
        <v/>
      </c>
      <c r="C21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Helper'!$F$5:$F$3004,"""")&lt;&gt;""""),ROWS(C$5:C2104)),"""")"),"")</f>
        <v/>
      </c>
      <c r="D21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Helper'!$F$5:$F$3004,"""")&lt;&gt;""""),ROWS(D$5:D2104)),"""")"),"")</f>
        <v/>
      </c>
      <c r="E21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Helper'!$F$5:$F$3004,"""")&lt;&gt;""""),ROWS(E$5:E2104)),"""")"),"")</f>
        <v/>
      </c>
      <c r="F21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Helper'!$F$5:$F$3004,"""")&lt;&gt;""""),ROWS(F$5:F2104)),IF(AND(LEFT(x,5)=""Pag"&amp;"e "",ISERROR(SEARCH(""–"",x))),x&amp;""–""&amp;REGEXEXTRACT(x,""[0-9]+$""),x)),"""")"),"")</f>
        <v/>
      </c>
      <c r="G2104" s="163"/>
      <c r="H21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Helper'!$F$5:$F$3004,"""")&lt;&gt;""""),ROWS(H$5:H2104)),"""")"),"")</f>
        <v/>
      </c>
    </row>
    <row r="2105" ht="15.75" customHeight="1">
      <c r="A21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Helper'!$F$5:$F$3004,"""")&lt;&gt;""""),ROWS(A$5:A2105)),"""")"),"")</f>
        <v/>
      </c>
      <c r="B21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Helper'!$F$5:$F$3004,"""")&lt;&gt;""""),ROWS(B$5:B2105)),"""")"),"")</f>
        <v/>
      </c>
      <c r="C21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Helper'!$F$5:$F$3004,"""")&lt;&gt;""""),ROWS(C$5:C2105)),"""")"),"")</f>
        <v/>
      </c>
      <c r="D21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Helper'!$F$5:$F$3004,"""")&lt;&gt;""""),ROWS(D$5:D2105)),"""")"),"")</f>
        <v/>
      </c>
      <c r="E21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Helper'!$F$5:$F$3004,"""")&lt;&gt;""""),ROWS(E$5:E2105)),"""")"),"")</f>
        <v/>
      </c>
      <c r="F21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Helper'!$F$5:$F$3004,"""")&lt;&gt;""""),ROWS(F$5:F2105)),IF(AND(LEFT(x,5)=""Pag"&amp;"e "",ISERROR(SEARCH(""–"",x))),x&amp;""–""&amp;REGEXEXTRACT(x,""[0-9]+$""),x)),"""")"),"")</f>
        <v/>
      </c>
      <c r="G2105" s="163"/>
      <c r="H21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Helper'!$F$5:$F$3004,"""")&lt;&gt;""""),ROWS(H$5:H2105)),"""")"),"")</f>
        <v/>
      </c>
    </row>
    <row r="2106" ht="15.75" customHeight="1">
      <c r="A21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Helper'!$F$5:$F$3004,"""")&lt;&gt;""""),ROWS(A$5:A2106)),"""")"),"")</f>
        <v/>
      </c>
      <c r="B21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Helper'!$F$5:$F$3004,"""")&lt;&gt;""""),ROWS(B$5:B2106)),"""")"),"")</f>
        <v/>
      </c>
      <c r="C21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Helper'!$F$5:$F$3004,"""")&lt;&gt;""""),ROWS(C$5:C2106)),"""")"),"")</f>
        <v/>
      </c>
      <c r="D21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Helper'!$F$5:$F$3004,"""")&lt;&gt;""""),ROWS(D$5:D2106)),"""")"),"")</f>
        <v/>
      </c>
      <c r="E21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Helper'!$F$5:$F$3004,"""")&lt;&gt;""""),ROWS(E$5:E2106)),"""")"),"")</f>
        <v/>
      </c>
      <c r="F21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Helper'!$F$5:$F$3004,"""")&lt;&gt;""""),ROWS(F$5:F2106)),IF(AND(LEFT(x,5)=""Pag"&amp;"e "",ISERROR(SEARCH(""–"",x))),x&amp;""–""&amp;REGEXEXTRACT(x,""[0-9]+$""),x)),"""")"),"")</f>
        <v/>
      </c>
      <c r="G2106" s="163"/>
      <c r="H21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Helper'!$F$5:$F$3004,"""")&lt;&gt;""""),ROWS(H$5:H2106)),"""")"),"")</f>
        <v/>
      </c>
    </row>
    <row r="2107" ht="15.75" customHeight="1">
      <c r="A21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Helper'!$F$5:$F$3004,"""")&lt;&gt;""""),ROWS(A$5:A2107)),"""")"),"")</f>
        <v/>
      </c>
      <c r="B21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Helper'!$F$5:$F$3004,"""")&lt;&gt;""""),ROWS(B$5:B2107)),"""")"),"")</f>
        <v/>
      </c>
      <c r="C21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Helper'!$F$5:$F$3004,"""")&lt;&gt;""""),ROWS(C$5:C2107)),"""")"),"")</f>
        <v/>
      </c>
      <c r="D21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Helper'!$F$5:$F$3004,"""")&lt;&gt;""""),ROWS(D$5:D2107)),"""")"),"")</f>
        <v/>
      </c>
      <c r="E21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Helper'!$F$5:$F$3004,"""")&lt;&gt;""""),ROWS(E$5:E2107)),"""")"),"")</f>
        <v/>
      </c>
      <c r="F21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Helper'!$F$5:$F$3004,"""")&lt;&gt;""""),ROWS(F$5:F2107)),IF(AND(LEFT(x,5)=""Pag"&amp;"e "",ISERROR(SEARCH(""–"",x))),x&amp;""–""&amp;REGEXEXTRACT(x,""[0-9]+$""),x)),"""")"),"")</f>
        <v/>
      </c>
      <c r="G2107" s="163"/>
      <c r="H21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Helper'!$F$5:$F$3004,"""")&lt;&gt;""""),ROWS(H$5:H2107)),"""")"),"")</f>
        <v/>
      </c>
    </row>
    <row r="2108" ht="15.75" customHeight="1">
      <c r="A21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Helper'!$F$5:$F$3004,"""")&lt;&gt;""""),ROWS(A$5:A2108)),"""")"),"")</f>
        <v/>
      </c>
      <c r="B21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Helper'!$F$5:$F$3004,"""")&lt;&gt;""""),ROWS(B$5:B2108)),"""")"),"")</f>
        <v/>
      </c>
      <c r="C21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Helper'!$F$5:$F$3004,"""")&lt;&gt;""""),ROWS(C$5:C2108)),"""")"),"")</f>
        <v/>
      </c>
      <c r="D21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Helper'!$F$5:$F$3004,"""")&lt;&gt;""""),ROWS(D$5:D2108)),"""")"),"")</f>
        <v/>
      </c>
      <c r="E21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Helper'!$F$5:$F$3004,"""")&lt;&gt;""""),ROWS(E$5:E2108)),"""")"),"")</f>
        <v/>
      </c>
      <c r="F21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Helper'!$F$5:$F$3004,"""")&lt;&gt;""""),ROWS(F$5:F2108)),IF(AND(LEFT(x,5)=""Pag"&amp;"e "",ISERROR(SEARCH(""–"",x))),x&amp;""–""&amp;REGEXEXTRACT(x,""[0-9]+$""),x)),"""")"),"")</f>
        <v/>
      </c>
      <c r="G2108" s="163"/>
      <c r="H21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Helper'!$F$5:$F$3004,"""")&lt;&gt;""""),ROWS(H$5:H2108)),"""")"),"")</f>
        <v/>
      </c>
    </row>
    <row r="2109" ht="15.75" customHeight="1">
      <c r="A21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Helper'!$F$5:$F$3004,"""")&lt;&gt;""""),ROWS(A$5:A2109)),"""")"),"")</f>
        <v/>
      </c>
      <c r="B21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Helper'!$F$5:$F$3004,"""")&lt;&gt;""""),ROWS(B$5:B2109)),"""")"),"")</f>
        <v/>
      </c>
      <c r="C21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Helper'!$F$5:$F$3004,"""")&lt;&gt;""""),ROWS(C$5:C2109)),"""")"),"")</f>
        <v/>
      </c>
      <c r="D21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Helper'!$F$5:$F$3004,"""")&lt;&gt;""""),ROWS(D$5:D2109)),"""")"),"")</f>
        <v/>
      </c>
      <c r="E21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Helper'!$F$5:$F$3004,"""")&lt;&gt;""""),ROWS(E$5:E2109)),"""")"),"")</f>
        <v/>
      </c>
      <c r="F21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Helper'!$F$5:$F$3004,"""")&lt;&gt;""""),ROWS(F$5:F2109)),IF(AND(LEFT(x,5)=""Pag"&amp;"e "",ISERROR(SEARCH(""–"",x))),x&amp;""–""&amp;REGEXEXTRACT(x,""[0-9]+$""),x)),"""")"),"")</f>
        <v/>
      </c>
      <c r="G2109" s="163"/>
      <c r="H21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Helper'!$F$5:$F$3004,"""")&lt;&gt;""""),ROWS(H$5:H2109)),"""")"),"")</f>
        <v/>
      </c>
    </row>
    <row r="2110" ht="15.75" customHeight="1">
      <c r="A21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Helper'!$F$5:$F$3004,"""")&lt;&gt;""""),ROWS(A$5:A2110)),"""")"),"")</f>
        <v/>
      </c>
      <c r="B21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Helper'!$F$5:$F$3004,"""")&lt;&gt;""""),ROWS(B$5:B2110)),"""")"),"")</f>
        <v/>
      </c>
      <c r="C21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Helper'!$F$5:$F$3004,"""")&lt;&gt;""""),ROWS(C$5:C2110)),"""")"),"")</f>
        <v/>
      </c>
      <c r="D21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Helper'!$F$5:$F$3004,"""")&lt;&gt;""""),ROWS(D$5:D2110)),"""")"),"")</f>
        <v/>
      </c>
      <c r="E21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Helper'!$F$5:$F$3004,"""")&lt;&gt;""""),ROWS(E$5:E2110)),"""")"),"")</f>
        <v/>
      </c>
      <c r="F21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Helper'!$F$5:$F$3004,"""")&lt;&gt;""""),ROWS(F$5:F2110)),IF(AND(LEFT(x,5)=""Pag"&amp;"e "",ISERROR(SEARCH(""–"",x))),x&amp;""–""&amp;REGEXEXTRACT(x,""[0-9]+$""),x)),"""")"),"")</f>
        <v/>
      </c>
      <c r="G2110" s="163"/>
      <c r="H21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Helper'!$F$5:$F$3004,"""")&lt;&gt;""""),ROWS(H$5:H2110)),"""")"),"")</f>
        <v/>
      </c>
    </row>
    <row r="2111" ht="15.75" customHeight="1">
      <c r="A21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Helper'!$F$5:$F$3004,"""")&lt;&gt;""""),ROWS(A$5:A2111)),"""")"),"")</f>
        <v/>
      </c>
      <c r="B21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Helper'!$F$5:$F$3004,"""")&lt;&gt;""""),ROWS(B$5:B2111)),"""")"),"")</f>
        <v/>
      </c>
      <c r="C21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Helper'!$F$5:$F$3004,"""")&lt;&gt;""""),ROWS(C$5:C2111)),"""")"),"")</f>
        <v/>
      </c>
      <c r="D21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Helper'!$F$5:$F$3004,"""")&lt;&gt;""""),ROWS(D$5:D2111)),"""")"),"")</f>
        <v/>
      </c>
      <c r="E21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Helper'!$F$5:$F$3004,"""")&lt;&gt;""""),ROWS(E$5:E2111)),"""")"),"")</f>
        <v/>
      </c>
      <c r="F21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Helper'!$F$5:$F$3004,"""")&lt;&gt;""""),ROWS(F$5:F2111)),IF(AND(LEFT(x,5)=""Pag"&amp;"e "",ISERROR(SEARCH(""–"",x))),x&amp;""–""&amp;REGEXEXTRACT(x,""[0-9]+$""),x)),"""")"),"")</f>
        <v/>
      </c>
      <c r="G2111" s="163"/>
      <c r="H21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Helper'!$F$5:$F$3004,"""")&lt;&gt;""""),ROWS(H$5:H2111)),"""")"),"")</f>
        <v/>
      </c>
    </row>
    <row r="2112" ht="15.75" customHeight="1">
      <c r="A21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Helper'!$F$5:$F$3004,"""")&lt;&gt;""""),ROWS(A$5:A2112)),"""")"),"")</f>
        <v/>
      </c>
      <c r="B21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Helper'!$F$5:$F$3004,"""")&lt;&gt;""""),ROWS(B$5:B2112)),"""")"),"")</f>
        <v/>
      </c>
      <c r="C21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Helper'!$F$5:$F$3004,"""")&lt;&gt;""""),ROWS(C$5:C2112)),"""")"),"")</f>
        <v/>
      </c>
      <c r="D21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Helper'!$F$5:$F$3004,"""")&lt;&gt;""""),ROWS(D$5:D2112)),"""")"),"")</f>
        <v/>
      </c>
      <c r="E21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Helper'!$F$5:$F$3004,"""")&lt;&gt;""""),ROWS(E$5:E2112)),"""")"),"")</f>
        <v/>
      </c>
      <c r="F21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Helper'!$F$5:$F$3004,"""")&lt;&gt;""""),ROWS(F$5:F2112)),IF(AND(LEFT(x,5)=""Pag"&amp;"e "",ISERROR(SEARCH(""–"",x))),x&amp;""–""&amp;REGEXEXTRACT(x,""[0-9]+$""),x)),"""")"),"")</f>
        <v/>
      </c>
      <c r="G2112" s="163"/>
      <c r="H21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Helper'!$F$5:$F$3004,"""")&lt;&gt;""""),ROWS(H$5:H2112)),"""")"),"")</f>
        <v/>
      </c>
    </row>
    <row r="2113" ht="15.75" customHeight="1">
      <c r="A21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Helper'!$F$5:$F$3004,"""")&lt;&gt;""""),ROWS(A$5:A2113)),"""")"),"")</f>
        <v/>
      </c>
      <c r="B21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Helper'!$F$5:$F$3004,"""")&lt;&gt;""""),ROWS(B$5:B2113)),"""")"),"")</f>
        <v/>
      </c>
      <c r="C21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Helper'!$F$5:$F$3004,"""")&lt;&gt;""""),ROWS(C$5:C2113)),"""")"),"")</f>
        <v/>
      </c>
      <c r="D21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Helper'!$F$5:$F$3004,"""")&lt;&gt;""""),ROWS(D$5:D2113)),"""")"),"")</f>
        <v/>
      </c>
      <c r="E21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Helper'!$F$5:$F$3004,"""")&lt;&gt;""""),ROWS(E$5:E2113)),"""")"),"")</f>
        <v/>
      </c>
      <c r="F21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Helper'!$F$5:$F$3004,"""")&lt;&gt;""""),ROWS(F$5:F2113)),IF(AND(LEFT(x,5)=""Pag"&amp;"e "",ISERROR(SEARCH(""–"",x))),x&amp;""–""&amp;REGEXEXTRACT(x,""[0-9]+$""),x)),"""")"),"")</f>
        <v/>
      </c>
      <c r="G2113" s="163"/>
      <c r="H21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Helper'!$F$5:$F$3004,"""")&lt;&gt;""""),ROWS(H$5:H2113)),"""")"),"")</f>
        <v/>
      </c>
    </row>
    <row r="2114" ht="15.75" customHeight="1">
      <c r="A21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Helper'!$F$5:$F$3004,"""")&lt;&gt;""""),ROWS(A$5:A2114)),"""")"),"")</f>
        <v/>
      </c>
      <c r="B21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Helper'!$F$5:$F$3004,"""")&lt;&gt;""""),ROWS(B$5:B2114)),"""")"),"")</f>
        <v/>
      </c>
      <c r="C21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Helper'!$F$5:$F$3004,"""")&lt;&gt;""""),ROWS(C$5:C2114)),"""")"),"")</f>
        <v/>
      </c>
      <c r="D21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Helper'!$F$5:$F$3004,"""")&lt;&gt;""""),ROWS(D$5:D2114)),"""")"),"")</f>
        <v/>
      </c>
      <c r="E21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Helper'!$F$5:$F$3004,"""")&lt;&gt;""""),ROWS(E$5:E2114)),"""")"),"")</f>
        <v/>
      </c>
      <c r="F21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Helper'!$F$5:$F$3004,"""")&lt;&gt;""""),ROWS(F$5:F2114)),IF(AND(LEFT(x,5)=""Pag"&amp;"e "",ISERROR(SEARCH(""–"",x))),x&amp;""–""&amp;REGEXEXTRACT(x,""[0-9]+$""),x)),"""")"),"")</f>
        <v/>
      </c>
      <c r="G2114" s="163"/>
      <c r="H21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Helper'!$F$5:$F$3004,"""")&lt;&gt;""""),ROWS(H$5:H2114)),"""")"),"")</f>
        <v/>
      </c>
    </row>
    <row r="2115" ht="15.75" customHeight="1">
      <c r="A21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Helper'!$F$5:$F$3004,"""")&lt;&gt;""""),ROWS(A$5:A2115)),"""")"),"")</f>
        <v/>
      </c>
      <c r="B21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Helper'!$F$5:$F$3004,"""")&lt;&gt;""""),ROWS(B$5:B2115)),"""")"),"")</f>
        <v/>
      </c>
      <c r="C21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Helper'!$F$5:$F$3004,"""")&lt;&gt;""""),ROWS(C$5:C2115)),"""")"),"")</f>
        <v/>
      </c>
      <c r="D21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Helper'!$F$5:$F$3004,"""")&lt;&gt;""""),ROWS(D$5:D2115)),"""")"),"")</f>
        <v/>
      </c>
      <c r="E21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Helper'!$F$5:$F$3004,"""")&lt;&gt;""""),ROWS(E$5:E2115)),"""")"),"")</f>
        <v/>
      </c>
      <c r="F21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Helper'!$F$5:$F$3004,"""")&lt;&gt;""""),ROWS(F$5:F2115)),IF(AND(LEFT(x,5)=""Pag"&amp;"e "",ISERROR(SEARCH(""–"",x))),x&amp;""–""&amp;REGEXEXTRACT(x,""[0-9]+$""),x)),"""")"),"")</f>
        <v/>
      </c>
      <c r="G2115" s="163"/>
      <c r="H21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Helper'!$F$5:$F$3004,"""")&lt;&gt;""""),ROWS(H$5:H2115)),"""")"),"")</f>
        <v/>
      </c>
    </row>
    <row r="2116" ht="15.75" customHeight="1">
      <c r="A21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Helper'!$F$5:$F$3004,"""")&lt;&gt;""""),ROWS(A$5:A2116)),"""")"),"")</f>
        <v/>
      </c>
      <c r="B21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Helper'!$F$5:$F$3004,"""")&lt;&gt;""""),ROWS(B$5:B2116)),"""")"),"")</f>
        <v/>
      </c>
      <c r="C21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Helper'!$F$5:$F$3004,"""")&lt;&gt;""""),ROWS(C$5:C2116)),"""")"),"")</f>
        <v/>
      </c>
      <c r="D21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Helper'!$F$5:$F$3004,"""")&lt;&gt;""""),ROWS(D$5:D2116)),"""")"),"")</f>
        <v/>
      </c>
      <c r="E21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Helper'!$F$5:$F$3004,"""")&lt;&gt;""""),ROWS(E$5:E2116)),"""")"),"")</f>
        <v/>
      </c>
      <c r="F21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Helper'!$F$5:$F$3004,"""")&lt;&gt;""""),ROWS(F$5:F2116)),IF(AND(LEFT(x,5)=""Pag"&amp;"e "",ISERROR(SEARCH(""–"",x))),x&amp;""–""&amp;REGEXEXTRACT(x,""[0-9]+$""),x)),"""")"),"")</f>
        <v/>
      </c>
      <c r="G2116" s="163"/>
      <c r="H21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Helper'!$F$5:$F$3004,"""")&lt;&gt;""""),ROWS(H$5:H2116)),"""")"),"")</f>
        <v/>
      </c>
    </row>
    <row r="2117" ht="15.75" customHeight="1">
      <c r="A21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Helper'!$F$5:$F$3004,"""")&lt;&gt;""""),ROWS(A$5:A2117)),"""")"),"")</f>
        <v/>
      </c>
      <c r="B21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Helper'!$F$5:$F$3004,"""")&lt;&gt;""""),ROWS(B$5:B2117)),"""")"),"")</f>
        <v/>
      </c>
      <c r="C21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Helper'!$F$5:$F$3004,"""")&lt;&gt;""""),ROWS(C$5:C2117)),"""")"),"")</f>
        <v/>
      </c>
      <c r="D21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Helper'!$F$5:$F$3004,"""")&lt;&gt;""""),ROWS(D$5:D2117)),"""")"),"")</f>
        <v/>
      </c>
      <c r="E21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Helper'!$F$5:$F$3004,"""")&lt;&gt;""""),ROWS(E$5:E2117)),"""")"),"")</f>
        <v/>
      </c>
      <c r="F21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Helper'!$F$5:$F$3004,"""")&lt;&gt;""""),ROWS(F$5:F2117)),IF(AND(LEFT(x,5)=""Pag"&amp;"e "",ISERROR(SEARCH(""–"",x))),x&amp;""–""&amp;REGEXEXTRACT(x,""[0-9]+$""),x)),"""")"),"")</f>
        <v/>
      </c>
      <c r="G2117" s="163"/>
      <c r="H21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Helper'!$F$5:$F$3004,"""")&lt;&gt;""""),ROWS(H$5:H2117)),"""")"),"")</f>
        <v/>
      </c>
    </row>
    <row r="2118" ht="15.75" customHeight="1">
      <c r="A21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Helper'!$F$5:$F$3004,"""")&lt;&gt;""""),ROWS(A$5:A2118)),"""")"),"")</f>
        <v/>
      </c>
      <c r="B21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Helper'!$F$5:$F$3004,"""")&lt;&gt;""""),ROWS(B$5:B2118)),"""")"),"")</f>
        <v/>
      </c>
      <c r="C21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Helper'!$F$5:$F$3004,"""")&lt;&gt;""""),ROWS(C$5:C2118)),"""")"),"")</f>
        <v/>
      </c>
      <c r="D21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Helper'!$F$5:$F$3004,"""")&lt;&gt;""""),ROWS(D$5:D2118)),"""")"),"")</f>
        <v/>
      </c>
      <c r="E21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Helper'!$F$5:$F$3004,"""")&lt;&gt;""""),ROWS(E$5:E2118)),"""")"),"")</f>
        <v/>
      </c>
      <c r="F21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Helper'!$F$5:$F$3004,"""")&lt;&gt;""""),ROWS(F$5:F2118)),IF(AND(LEFT(x,5)=""Pag"&amp;"e "",ISERROR(SEARCH(""–"",x))),x&amp;""–""&amp;REGEXEXTRACT(x,""[0-9]+$""),x)),"""")"),"")</f>
        <v/>
      </c>
      <c r="G2118" s="163"/>
      <c r="H21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Helper'!$F$5:$F$3004,"""")&lt;&gt;""""),ROWS(H$5:H2118)),"""")"),"")</f>
        <v/>
      </c>
    </row>
    <row r="2119" ht="15.75" customHeight="1">
      <c r="A21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Helper'!$F$5:$F$3004,"""")&lt;&gt;""""),ROWS(A$5:A2119)),"""")"),"")</f>
        <v/>
      </c>
      <c r="B21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Helper'!$F$5:$F$3004,"""")&lt;&gt;""""),ROWS(B$5:B2119)),"""")"),"")</f>
        <v/>
      </c>
      <c r="C21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Helper'!$F$5:$F$3004,"""")&lt;&gt;""""),ROWS(C$5:C2119)),"""")"),"")</f>
        <v/>
      </c>
      <c r="D21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Helper'!$F$5:$F$3004,"""")&lt;&gt;""""),ROWS(D$5:D2119)),"""")"),"")</f>
        <v/>
      </c>
      <c r="E21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Helper'!$F$5:$F$3004,"""")&lt;&gt;""""),ROWS(E$5:E2119)),"""")"),"")</f>
        <v/>
      </c>
      <c r="F21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Helper'!$F$5:$F$3004,"""")&lt;&gt;""""),ROWS(F$5:F2119)),IF(AND(LEFT(x,5)=""Pag"&amp;"e "",ISERROR(SEARCH(""–"",x))),x&amp;""–""&amp;REGEXEXTRACT(x,""[0-9]+$""),x)),"""")"),"")</f>
        <v/>
      </c>
      <c r="G2119" s="163"/>
      <c r="H21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Helper'!$F$5:$F$3004,"""")&lt;&gt;""""),ROWS(H$5:H2119)),"""")"),"")</f>
        <v/>
      </c>
    </row>
    <row r="2120" ht="15.75" customHeight="1">
      <c r="A21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Helper'!$F$5:$F$3004,"""")&lt;&gt;""""),ROWS(A$5:A2120)),"""")"),"")</f>
        <v/>
      </c>
      <c r="B21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Helper'!$F$5:$F$3004,"""")&lt;&gt;""""),ROWS(B$5:B2120)),"""")"),"")</f>
        <v/>
      </c>
      <c r="C21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Helper'!$F$5:$F$3004,"""")&lt;&gt;""""),ROWS(C$5:C2120)),"""")"),"")</f>
        <v/>
      </c>
      <c r="D21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Helper'!$F$5:$F$3004,"""")&lt;&gt;""""),ROWS(D$5:D2120)),"""")"),"")</f>
        <v/>
      </c>
      <c r="E21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Helper'!$F$5:$F$3004,"""")&lt;&gt;""""),ROWS(E$5:E2120)),"""")"),"")</f>
        <v/>
      </c>
      <c r="F21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Helper'!$F$5:$F$3004,"""")&lt;&gt;""""),ROWS(F$5:F2120)),IF(AND(LEFT(x,5)=""Pag"&amp;"e "",ISERROR(SEARCH(""–"",x))),x&amp;""–""&amp;REGEXEXTRACT(x,""[0-9]+$""),x)),"""")"),"")</f>
        <v/>
      </c>
      <c r="G2120" s="163"/>
      <c r="H21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Helper'!$F$5:$F$3004,"""")&lt;&gt;""""),ROWS(H$5:H2120)),"""")"),"")</f>
        <v/>
      </c>
    </row>
    <row r="2121" ht="15.75" customHeight="1">
      <c r="A21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Helper'!$F$5:$F$3004,"""")&lt;&gt;""""),ROWS(A$5:A2121)),"""")"),"")</f>
        <v/>
      </c>
      <c r="B21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Helper'!$F$5:$F$3004,"""")&lt;&gt;""""),ROWS(B$5:B2121)),"""")"),"")</f>
        <v/>
      </c>
      <c r="C21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Helper'!$F$5:$F$3004,"""")&lt;&gt;""""),ROWS(C$5:C2121)),"""")"),"")</f>
        <v/>
      </c>
      <c r="D21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Helper'!$F$5:$F$3004,"""")&lt;&gt;""""),ROWS(D$5:D2121)),"""")"),"")</f>
        <v/>
      </c>
      <c r="E21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Helper'!$F$5:$F$3004,"""")&lt;&gt;""""),ROWS(E$5:E2121)),"""")"),"")</f>
        <v/>
      </c>
      <c r="F21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Helper'!$F$5:$F$3004,"""")&lt;&gt;""""),ROWS(F$5:F2121)),IF(AND(LEFT(x,5)=""Pag"&amp;"e "",ISERROR(SEARCH(""–"",x))),x&amp;""–""&amp;REGEXEXTRACT(x,""[0-9]+$""),x)),"""")"),"")</f>
        <v/>
      </c>
      <c r="G2121" s="163"/>
      <c r="H21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Helper'!$F$5:$F$3004,"""")&lt;&gt;""""),ROWS(H$5:H2121)),"""")"),"")</f>
        <v/>
      </c>
    </row>
    <row r="2122" ht="15.75" customHeight="1">
      <c r="A21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Helper'!$F$5:$F$3004,"""")&lt;&gt;""""),ROWS(A$5:A2122)),"""")"),"")</f>
        <v/>
      </c>
      <c r="B21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Helper'!$F$5:$F$3004,"""")&lt;&gt;""""),ROWS(B$5:B2122)),"""")"),"")</f>
        <v/>
      </c>
      <c r="C21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Helper'!$F$5:$F$3004,"""")&lt;&gt;""""),ROWS(C$5:C2122)),"""")"),"")</f>
        <v/>
      </c>
      <c r="D21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Helper'!$F$5:$F$3004,"""")&lt;&gt;""""),ROWS(D$5:D2122)),"""")"),"")</f>
        <v/>
      </c>
      <c r="E21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Helper'!$F$5:$F$3004,"""")&lt;&gt;""""),ROWS(E$5:E2122)),"""")"),"")</f>
        <v/>
      </c>
      <c r="F21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Helper'!$F$5:$F$3004,"""")&lt;&gt;""""),ROWS(F$5:F2122)),IF(AND(LEFT(x,5)=""Pag"&amp;"e "",ISERROR(SEARCH(""–"",x))),x&amp;""–""&amp;REGEXEXTRACT(x,""[0-9]+$""),x)),"""")"),"")</f>
        <v/>
      </c>
      <c r="G2122" s="163"/>
      <c r="H21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Helper'!$F$5:$F$3004,"""")&lt;&gt;""""),ROWS(H$5:H2122)),"""")"),"")</f>
        <v/>
      </c>
    </row>
    <row r="2123" ht="15.75" customHeight="1">
      <c r="A21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Helper'!$F$5:$F$3004,"""")&lt;&gt;""""),ROWS(A$5:A2123)),"""")"),"")</f>
        <v/>
      </c>
      <c r="B21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Helper'!$F$5:$F$3004,"""")&lt;&gt;""""),ROWS(B$5:B2123)),"""")"),"")</f>
        <v/>
      </c>
      <c r="C21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Helper'!$F$5:$F$3004,"""")&lt;&gt;""""),ROWS(C$5:C2123)),"""")"),"")</f>
        <v/>
      </c>
      <c r="D21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Helper'!$F$5:$F$3004,"""")&lt;&gt;""""),ROWS(D$5:D2123)),"""")"),"")</f>
        <v/>
      </c>
      <c r="E21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Helper'!$F$5:$F$3004,"""")&lt;&gt;""""),ROWS(E$5:E2123)),"""")"),"")</f>
        <v/>
      </c>
      <c r="F21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Helper'!$F$5:$F$3004,"""")&lt;&gt;""""),ROWS(F$5:F2123)),IF(AND(LEFT(x,5)=""Pag"&amp;"e "",ISERROR(SEARCH(""–"",x))),x&amp;""–""&amp;REGEXEXTRACT(x,""[0-9]+$""),x)),"""")"),"")</f>
        <v/>
      </c>
      <c r="G2123" s="163"/>
      <c r="H21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Helper'!$F$5:$F$3004,"""")&lt;&gt;""""),ROWS(H$5:H2123)),"""")"),"")</f>
        <v/>
      </c>
    </row>
    <row r="2124" ht="15.75" customHeight="1">
      <c r="A21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Helper'!$F$5:$F$3004,"""")&lt;&gt;""""),ROWS(A$5:A2124)),"""")"),"")</f>
        <v/>
      </c>
      <c r="B21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Helper'!$F$5:$F$3004,"""")&lt;&gt;""""),ROWS(B$5:B2124)),"""")"),"")</f>
        <v/>
      </c>
      <c r="C21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Helper'!$F$5:$F$3004,"""")&lt;&gt;""""),ROWS(C$5:C2124)),"""")"),"")</f>
        <v/>
      </c>
      <c r="D21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Helper'!$F$5:$F$3004,"""")&lt;&gt;""""),ROWS(D$5:D2124)),"""")"),"")</f>
        <v/>
      </c>
      <c r="E21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Helper'!$F$5:$F$3004,"""")&lt;&gt;""""),ROWS(E$5:E2124)),"""")"),"")</f>
        <v/>
      </c>
      <c r="F21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Helper'!$F$5:$F$3004,"""")&lt;&gt;""""),ROWS(F$5:F2124)),IF(AND(LEFT(x,5)=""Pag"&amp;"e "",ISERROR(SEARCH(""–"",x))),x&amp;""–""&amp;REGEXEXTRACT(x,""[0-9]+$""),x)),"""")"),"")</f>
        <v/>
      </c>
      <c r="G2124" s="163"/>
      <c r="H21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Helper'!$F$5:$F$3004,"""")&lt;&gt;""""),ROWS(H$5:H2124)),"""")"),"")</f>
        <v/>
      </c>
    </row>
    <row r="2125" ht="15.75" customHeight="1">
      <c r="A21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Helper'!$F$5:$F$3004,"""")&lt;&gt;""""),ROWS(A$5:A2125)),"""")"),"")</f>
        <v/>
      </c>
      <c r="B21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Helper'!$F$5:$F$3004,"""")&lt;&gt;""""),ROWS(B$5:B2125)),"""")"),"")</f>
        <v/>
      </c>
      <c r="C21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Helper'!$F$5:$F$3004,"""")&lt;&gt;""""),ROWS(C$5:C2125)),"""")"),"")</f>
        <v/>
      </c>
      <c r="D21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Helper'!$F$5:$F$3004,"""")&lt;&gt;""""),ROWS(D$5:D2125)),"""")"),"")</f>
        <v/>
      </c>
      <c r="E21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Helper'!$F$5:$F$3004,"""")&lt;&gt;""""),ROWS(E$5:E2125)),"""")"),"")</f>
        <v/>
      </c>
      <c r="F21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Helper'!$F$5:$F$3004,"""")&lt;&gt;""""),ROWS(F$5:F2125)),IF(AND(LEFT(x,5)=""Pag"&amp;"e "",ISERROR(SEARCH(""–"",x))),x&amp;""–""&amp;REGEXEXTRACT(x,""[0-9]+$""),x)),"""")"),"")</f>
        <v/>
      </c>
      <c r="G2125" s="163"/>
      <c r="H21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Helper'!$F$5:$F$3004,"""")&lt;&gt;""""),ROWS(H$5:H2125)),"""")"),"")</f>
        <v/>
      </c>
    </row>
    <row r="2126" ht="15.75" customHeight="1">
      <c r="A21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Helper'!$F$5:$F$3004,"""")&lt;&gt;""""),ROWS(A$5:A2126)),"""")"),"")</f>
        <v/>
      </c>
      <c r="B21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Helper'!$F$5:$F$3004,"""")&lt;&gt;""""),ROWS(B$5:B2126)),"""")"),"")</f>
        <v/>
      </c>
      <c r="C21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Helper'!$F$5:$F$3004,"""")&lt;&gt;""""),ROWS(C$5:C2126)),"""")"),"")</f>
        <v/>
      </c>
      <c r="D21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Helper'!$F$5:$F$3004,"""")&lt;&gt;""""),ROWS(D$5:D2126)),"""")"),"")</f>
        <v/>
      </c>
      <c r="E21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Helper'!$F$5:$F$3004,"""")&lt;&gt;""""),ROWS(E$5:E2126)),"""")"),"")</f>
        <v/>
      </c>
      <c r="F21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Helper'!$F$5:$F$3004,"""")&lt;&gt;""""),ROWS(F$5:F2126)),IF(AND(LEFT(x,5)=""Pag"&amp;"e "",ISERROR(SEARCH(""–"",x))),x&amp;""–""&amp;REGEXEXTRACT(x,""[0-9]+$""),x)),"""")"),"")</f>
        <v/>
      </c>
      <c r="G2126" s="163"/>
      <c r="H21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Helper'!$F$5:$F$3004,"""")&lt;&gt;""""),ROWS(H$5:H2126)),"""")"),"")</f>
        <v/>
      </c>
    </row>
    <row r="2127" ht="15.75" customHeight="1">
      <c r="A21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Helper'!$F$5:$F$3004,"""")&lt;&gt;""""),ROWS(A$5:A2127)),"""")"),"")</f>
        <v/>
      </c>
      <c r="B21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Helper'!$F$5:$F$3004,"""")&lt;&gt;""""),ROWS(B$5:B2127)),"""")"),"")</f>
        <v/>
      </c>
      <c r="C21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Helper'!$F$5:$F$3004,"""")&lt;&gt;""""),ROWS(C$5:C2127)),"""")"),"")</f>
        <v/>
      </c>
      <c r="D21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Helper'!$F$5:$F$3004,"""")&lt;&gt;""""),ROWS(D$5:D2127)),"""")"),"")</f>
        <v/>
      </c>
      <c r="E21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Helper'!$F$5:$F$3004,"""")&lt;&gt;""""),ROWS(E$5:E2127)),"""")"),"")</f>
        <v/>
      </c>
      <c r="F21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Helper'!$F$5:$F$3004,"""")&lt;&gt;""""),ROWS(F$5:F2127)),IF(AND(LEFT(x,5)=""Pag"&amp;"e "",ISERROR(SEARCH(""–"",x))),x&amp;""–""&amp;REGEXEXTRACT(x,""[0-9]+$""),x)),"""")"),"")</f>
        <v/>
      </c>
      <c r="G2127" s="163"/>
      <c r="H21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Helper'!$F$5:$F$3004,"""")&lt;&gt;""""),ROWS(H$5:H2127)),"""")"),"")</f>
        <v/>
      </c>
    </row>
    <row r="2128" ht="15.75" customHeight="1">
      <c r="A21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Helper'!$F$5:$F$3004,"""")&lt;&gt;""""),ROWS(A$5:A2128)),"""")"),"")</f>
        <v/>
      </c>
      <c r="B21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Helper'!$F$5:$F$3004,"""")&lt;&gt;""""),ROWS(B$5:B2128)),"""")"),"")</f>
        <v/>
      </c>
      <c r="C21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Helper'!$F$5:$F$3004,"""")&lt;&gt;""""),ROWS(C$5:C2128)),"""")"),"")</f>
        <v/>
      </c>
      <c r="D21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Helper'!$F$5:$F$3004,"""")&lt;&gt;""""),ROWS(D$5:D2128)),"""")"),"")</f>
        <v/>
      </c>
      <c r="E21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Helper'!$F$5:$F$3004,"""")&lt;&gt;""""),ROWS(E$5:E2128)),"""")"),"")</f>
        <v/>
      </c>
      <c r="F21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Helper'!$F$5:$F$3004,"""")&lt;&gt;""""),ROWS(F$5:F2128)),IF(AND(LEFT(x,5)=""Pag"&amp;"e "",ISERROR(SEARCH(""–"",x))),x&amp;""–""&amp;REGEXEXTRACT(x,""[0-9]+$""),x)),"""")"),"")</f>
        <v/>
      </c>
      <c r="G2128" s="163"/>
      <c r="H21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Helper'!$F$5:$F$3004,"""")&lt;&gt;""""),ROWS(H$5:H2128)),"""")"),"")</f>
        <v/>
      </c>
    </row>
    <row r="2129" ht="15.75" customHeight="1">
      <c r="A21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Helper'!$F$5:$F$3004,"""")&lt;&gt;""""),ROWS(A$5:A2129)),"""")"),"")</f>
        <v/>
      </c>
      <c r="B21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Helper'!$F$5:$F$3004,"""")&lt;&gt;""""),ROWS(B$5:B2129)),"""")"),"")</f>
        <v/>
      </c>
      <c r="C21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Helper'!$F$5:$F$3004,"""")&lt;&gt;""""),ROWS(C$5:C2129)),"""")"),"")</f>
        <v/>
      </c>
      <c r="D21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Helper'!$F$5:$F$3004,"""")&lt;&gt;""""),ROWS(D$5:D2129)),"""")"),"")</f>
        <v/>
      </c>
      <c r="E21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Helper'!$F$5:$F$3004,"""")&lt;&gt;""""),ROWS(E$5:E2129)),"""")"),"")</f>
        <v/>
      </c>
      <c r="F21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Helper'!$F$5:$F$3004,"""")&lt;&gt;""""),ROWS(F$5:F2129)),IF(AND(LEFT(x,5)=""Pag"&amp;"e "",ISERROR(SEARCH(""–"",x))),x&amp;""–""&amp;REGEXEXTRACT(x,""[0-9]+$""),x)),"""")"),"")</f>
        <v/>
      </c>
      <c r="G2129" s="163"/>
      <c r="H21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Helper'!$F$5:$F$3004,"""")&lt;&gt;""""),ROWS(H$5:H2129)),"""")"),"")</f>
        <v/>
      </c>
    </row>
    <row r="2130" ht="15.75" customHeight="1">
      <c r="A21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Helper'!$F$5:$F$3004,"""")&lt;&gt;""""),ROWS(A$5:A2130)),"""")"),"")</f>
        <v/>
      </c>
      <c r="B21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Helper'!$F$5:$F$3004,"""")&lt;&gt;""""),ROWS(B$5:B2130)),"""")"),"")</f>
        <v/>
      </c>
      <c r="C21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Helper'!$F$5:$F$3004,"""")&lt;&gt;""""),ROWS(C$5:C2130)),"""")"),"")</f>
        <v/>
      </c>
      <c r="D21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Helper'!$F$5:$F$3004,"""")&lt;&gt;""""),ROWS(D$5:D2130)),"""")"),"")</f>
        <v/>
      </c>
      <c r="E21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Helper'!$F$5:$F$3004,"""")&lt;&gt;""""),ROWS(E$5:E2130)),"""")"),"")</f>
        <v/>
      </c>
      <c r="F21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Helper'!$F$5:$F$3004,"""")&lt;&gt;""""),ROWS(F$5:F2130)),IF(AND(LEFT(x,5)=""Pag"&amp;"e "",ISERROR(SEARCH(""–"",x))),x&amp;""–""&amp;REGEXEXTRACT(x,""[0-9]+$""),x)),"""")"),"")</f>
        <v/>
      </c>
      <c r="G2130" s="163"/>
      <c r="H21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Helper'!$F$5:$F$3004,"""")&lt;&gt;""""),ROWS(H$5:H2130)),"""")"),"")</f>
        <v/>
      </c>
    </row>
    <row r="2131" ht="15.75" customHeight="1">
      <c r="A21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Helper'!$F$5:$F$3004,"""")&lt;&gt;""""),ROWS(A$5:A2131)),"""")"),"")</f>
        <v/>
      </c>
      <c r="B21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Helper'!$F$5:$F$3004,"""")&lt;&gt;""""),ROWS(B$5:B2131)),"""")"),"")</f>
        <v/>
      </c>
      <c r="C21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Helper'!$F$5:$F$3004,"""")&lt;&gt;""""),ROWS(C$5:C2131)),"""")"),"")</f>
        <v/>
      </c>
      <c r="D21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Helper'!$F$5:$F$3004,"""")&lt;&gt;""""),ROWS(D$5:D2131)),"""")"),"")</f>
        <v/>
      </c>
      <c r="E21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Helper'!$F$5:$F$3004,"""")&lt;&gt;""""),ROWS(E$5:E2131)),"""")"),"")</f>
        <v/>
      </c>
      <c r="F21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Helper'!$F$5:$F$3004,"""")&lt;&gt;""""),ROWS(F$5:F2131)),IF(AND(LEFT(x,5)=""Pag"&amp;"e "",ISERROR(SEARCH(""–"",x))),x&amp;""–""&amp;REGEXEXTRACT(x,""[0-9]+$""),x)),"""")"),"")</f>
        <v/>
      </c>
      <c r="G2131" s="163"/>
      <c r="H21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Helper'!$F$5:$F$3004,"""")&lt;&gt;""""),ROWS(H$5:H2131)),"""")"),"")</f>
        <v/>
      </c>
    </row>
    <row r="2132" ht="15.75" customHeight="1">
      <c r="A21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Helper'!$F$5:$F$3004,"""")&lt;&gt;""""),ROWS(A$5:A2132)),"""")"),"")</f>
        <v/>
      </c>
      <c r="B21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Helper'!$F$5:$F$3004,"""")&lt;&gt;""""),ROWS(B$5:B2132)),"""")"),"")</f>
        <v/>
      </c>
      <c r="C21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Helper'!$F$5:$F$3004,"""")&lt;&gt;""""),ROWS(C$5:C2132)),"""")"),"")</f>
        <v/>
      </c>
      <c r="D21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Helper'!$F$5:$F$3004,"""")&lt;&gt;""""),ROWS(D$5:D2132)),"""")"),"")</f>
        <v/>
      </c>
      <c r="E21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Helper'!$F$5:$F$3004,"""")&lt;&gt;""""),ROWS(E$5:E2132)),"""")"),"")</f>
        <v/>
      </c>
      <c r="F21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Helper'!$F$5:$F$3004,"""")&lt;&gt;""""),ROWS(F$5:F2132)),IF(AND(LEFT(x,5)=""Pag"&amp;"e "",ISERROR(SEARCH(""–"",x))),x&amp;""–""&amp;REGEXEXTRACT(x,""[0-9]+$""),x)),"""")"),"")</f>
        <v/>
      </c>
      <c r="G2132" s="163"/>
      <c r="H21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Helper'!$F$5:$F$3004,"""")&lt;&gt;""""),ROWS(H$5:H2132)),"""")"),"")</f>
        <v/>
      </c>
    </row>
    <row r="2133" ht="15.75" customHeight="1">
      <c r="A21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Helper'!$F$5:$F$3004,"""")&lt;&gt;""""),ROWS(A$5:A2133)),"""")"),"")</f>
        <v/>
      </c>
      <c r="B21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Helper'!$F$5:$F$3004,"""")&lt;&gt;""""),ROWS(B$5:B2133)),"""")"),"")</f>
        <v/>
      </c>
      <c r="C21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Helper'!$F$5:$F$3004,"""")&lt;&gt;""""),ROWS(C$5:C2133)),"""")"),"")</f>
        <v/>
      </c>
      <c r="D21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Helper'!$F$5:$F$3004,"""")&lt;&gt;""""),ROWS(D$5:D2133)),"""")"),"")</f>
        <v/>
      </c>
      <c r="E21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Helper'!$F$5:$F$3004,"""")&lt;&gt;""""),ROWS(E$5:E2133)),"""")"),"")</f>
        <v/>
      </c>
      <c r="F21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Helper'!$F$5:$F$3004,"""")&lt;&gt;""""),ROWS(F$5:F2133)),IF(AND(LEFT(x,5)=""Pag"&amp;"e "",ISERROR(SEARCH(""–"",x))),x&amp;""–""&amp;REGEXEXTRACT(x,""[0-9]+$""),x)),"""")"),"")</f>
        <v/>
      </c>
      <c r="G2133" s="163"/>
      <c r="H21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Helper'!$F$5:$F$3004,"""")&lt;&gt;""""),ROWS(H$5:H2133)),"""")"),"")</f>
        <v/>
      </c>
    </row>
    <row r="2134" ht="15.75" customHeight="1">
      <c r="A21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Helper'!$F$5:$F$3004,"""")&lt;&gt;""""),ROWS(A$5:A2134)),"""")"),"")</f>
        <v/>
      </c>
      <c r="B21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Helper'!$F$5:$F$3004,"""")&lt;&gt;""""),ROWS(B$5:B2134)),"""")"),"")</f>
        <v/>
      </c>
      <c r="C21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Helper'!$F$5:$F$3004,"""")&lt;&gt;""""),ROWS(C$5:C2134)),"""")"),"")</f>
        <v/>
      </c>
      <c r="D21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Helper'!$F$5:$F$3004,"""")&lt;&gt;""""),ROWS(D$5:D2134)),"""")"),"")</f>
        <v/>
      </c>
      <c r="E21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Helper'!$F$5:$F$3004,"""")&lt;&gt;""""),ROWS(E$5:E2134)),"""")"),"")</f>
        <v/>
      </c>
      <c r="F21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Helper'!$F$5:$F$3004,"""")&lt;&gt;""""),ROWS(F$5:F2134)),IF(AND(LEFT(x,5)=""Pag"&amp;"e "",ISERROR(SEARCH(""–"",x))),x&amp;""–""&amp;REGEXEXTRACT(x,""[0-9]+$""),x)),"""")"),"")</f>
        <v/>
      </c>
      <c r="G2134" s="163"/>
      <c r="H21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Helper'!$F$5:$F$3004,"""")&lt;&gt;""""),ROWS(H$5:H2134)),"""")"),"")</f>
        <v/>
      </c>
    </row>
    <row r="2135" ht="15.75" customHeight="1">
      <c r="A21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Helper'!$F$5:$F$3004,"""")&lt;&gt;""""),ROWS(A$5:A2135)),"""")"),"")</f>
        <v/>
      </c>
      <c r="B21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Helper'!$F$5:$F$3004,"""")&lt;&gt;""""),ROWS(B$5:B2135)),"""")"),"")</f>
        <v/>
      </c>
      <c r="C21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Helper'!$F$5:$F$3004,"""")&lt;&gt;""""),ROWS(C$5:C2135)),"""")"),"")</f>
        <v/>
      </c>
      <c r="D21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Helper'!$F$5:$F$3004,"""")&lt;&gt;""""),ROWS(D$5:D2135)),"""")"),"")</f>
        <v/>
      </c>
      <c r="E21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Helper'!$F$5:$F$3004,"""")&lt;&gt;""""),ROWS(E$5:E2135)),"""")"),"")</f>
        <v/>
      </c>
      <c r="F21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Helper'!$F$5:$F$3004,"""")&lt;&gt;""""),ROWS(F$5:F2135)),IF(AND(LEFT(x,5)=""Pag"&amp;"e "",ISERROR(SEARCH(""–"",x))),x&amp;""–""&amp;REGEXEXTRACT(x,""[0-9]+$""),x)),"""")"),"")</f>
        <v/>
      </c>
      <c r="G2135" s="163"/>
      <c r="H21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Helper'!$F$5:$F$3004,"""")&lt;&gt;""""),ROWS(H$5:H2135)),"""")"),"")</f>
        <v/>
      </c>
    </row>
    <row r="2136" ht="15.75" customHeight="1">
      <c r="A21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Helper'!$F$5:$F$3004,"""")&lt;&gt;""""),ROWS(A$5:A2136)),"""")"),"")</f>
        <v/>
      </c>
      <c r="B21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Helper'!$F$5:$F$3004,"""")&lt;&gt;""""),ROWS(B$5:B2136)),"""")"),"")</f>
        <v/>
      </c>
      <c r="C21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Helper'!$F$5:$F$3004,"""")&lt;&gt;""""),ROWS(C$5:C2136)),"""")"),"")</f>
        <v/>
      </c>
      <c r="D21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Helper'!$F$5:$F$3004,"""")&lt;&gt;""""),ROWS(D$5:D2136)),"""")"),"")</f>
        <v/>
      </c>
      <c r="E21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Helper'!$F$5:$F$3004,"""")&lt;&gt;""""),ROWS(E$5:E2136)),"""")"),"")</f>
        <v/>
      </c>
      <c r="F21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Helper'!$F$5:$F$3004,"""")&lt;&gt;""""),ROWS(F$5:F2136)),IF(AND(LEFT(x,5)=""Pag"&amp;"e "",ISERROR(SEARCH(""–"",x))),x&amp;""–""&amp;REGEXEXTRACT(x,""[0-9]+$""),x)),"""")"),"")</f>
        <v/>
      </c>
      <c r="G2136" s="163"/>
      <c r="H21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Helper'!$F$5:$F$3004,"""")&lt;&gt;""""),ROWS(H$5:H2136)),"""")"),"")</f>
        <v/>
      </c>
    </row>
    <row r="2137" ht="15.75" customHeight="1">
      <c r="A21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Helper'!$F$5:$F$3004,"""")&lt;&gt;""""),ROWS(A$5:A2137)),"""")"),"")</f>
        <v/>
      </c>
      <c r="B21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Helper'!$F$5:$F$3004,"""")&lt;&gt;""""),ROWS(B$5:B2137)),"""")"),"")</f>
        <v/>
      </c>
      <c r="C21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Helper'!$F$5:$F$3004,"""")&lt;&gt;""""),ROWS(C$5:C2137)),"""")"),"")</f>
        <v/>
      </c>
      <c r="D21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Helper'!$F$5:$F$3004,"""")&lt;&gt;""""),ROWS(D$5:D2137)),"""")"),"")</f>
        <v/>
      </c>
      <c r="E21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Helper'!$F$5:$F$3004,"""")&lt;&gt;""""),ROWS(E$5:E2137)),"""")"),"")</f>
        <v/>
      </c>
      <c r="F21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Helper'!$F$5:$F$3004,"""")&lt;&gt;""""),ROWS(F$5:F2137)),IF(AND(LEFT(x,5)=""Pag"&amp;"e "",ISERROR(SEARCH(""–"",x))),x&amp;""–""&amp;REGEXEXTRACT(x,""[0-9]+$""),x)),"""")"),"")</f>
        <v/>
      </c>
      <c r="G2137" s="163"/>
      <c r="H21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Helper'!$F$5:$F$3004,"""")&lt;&gt;""""),ROWS(H$5:H2137)),"""")"),"")</f>
        <v/>
      </c>
    </row>
    <row r="2138" ht="15.75" customHeight="1">
      <c r="A21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Helper'!$F$5:$F$3004,"""")&lt;&gt;""""),ROWS(A$5:A2138)),"""")"),"")</f>
        <v/>
      </c>
      <c r="B21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Helper'!$F$5:$F$3004,"""")&lt;&gt;""""),ROWS(B$5:B2138)),"""")"),"")</f>
        <v/>
      </c>
      <c r="C21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Helper'!$F$5:$F$3004,"""")&lt;&gt;""""),ROWS(C$5:C2138)),"""")"),"")</f>
        <v/>
      </c>
      <c r="D21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Helper'!$F$5:$F$3004,"""")&lt;&gt;""""),ROWS(D$5:D2138)),"""")"),"")</f>
        <v/>
      </c>
      <c r="E21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Helper'!$F$5:$F$3004,"""")&lt;&gt;""""),ROWS(E$5:E2138)),"""")"),"")</f>
        <v/>
      </c>
      <c r="F21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Helper'!$F$5:$F$3004,"""")&lt;&gt;""""),ROWS(F$5:F2138)),IF(AND(LEFT(x,5)=""Pag"&amp;"e "",ISERROR(SEARCH(""–"",x))),x&amp;""–""&amp;REGEXEXTRACT(x,""[0-9]+$""),x)),"""")"),"")</f>
        <v/>
      </c>
      <c r="G2138" s="163"/>
      <c r="H21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Helper'!$F$5:$F$3004,"""")&lt;&gt;""""),ROWS(H$5:H2138)),"""")"),"")</f>
        <v/>
      </c>
    </row>
    <row r="2139" ht="15.75" customHeight="1">
      <c r="A21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Helper'!$F$5:$F$3004,"""")&lt;&gt;""""),ROWS(A$5:A2139)),"""")"),"")</f>
        <v/>
      </c>
      <c r="B21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Helper'!$F$5:$F$3004,"""")&lt;&gt;""""),ROWS(B$5:B2139)),"""")"),"")</f>
        <v/>
      </c>
      <c r="C21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Helper'!$F$5:$F$3004,"""")&lt;&gt;""""),ROWS(C$5:C2139)),"""")"),"")</f>
        <v/>
      </c>
      <c r="D21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Helper'!$F$5:$F$3004,"""")&lt;&gt;""""),ROWS(D$5:D2139)),"""")"),"")</f>
        <v/>
      </c>
      <c r="E21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Helper'!$F$5:$F$3004,"""")&lt;&gt;""""),ROWS(E$5:E2139)),"""")"),"")</f>
        <v/>
      </c>
      <c r="F21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Helper'!$F$5:$F$3004,"""")&lt;&gt;""""),ROWS(F$5:F2139)),IF(AND(LEFT(x,5)=""Pag"&amp;"e "",ISERROR(SEARCH(""–"",x))),x&amp;""–""&amp;REGEXEXTRACT(x,""[0-9]+$""),x)),"""")"),"")</f>
        <v/>
      </c>
      <c r="G2139" s="163"/>
      <c r="H21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Helper'!$F$5:$F$3004,"""")&lt;&gt;""""),ROWS(H$5:H2139)),"""")"),"")</f>
        <v/>
      </c>
    </row>
    <row r="2140" ht="15.75" customHeight="1">
      <c r="A21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Helper'!$F$5:$F$3004,"""")&lt;&gt;""""),ROWS(A$5:A2140)),"""")"),"")</f>
        <v/>
      </c>
      <c r="B21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Helper'!$F$5:$F$3004,"""")&lt;&gt;""""),ROWS(B$5:B2140)),"""")"),"")</f>
        <v/>
      </c>
      <c r="C21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Helper'!$F$5:$F$3004,"""")&lt;&gt;""""),ROWS(C$5:C2140)),"""")"),"")</f>
        <v/>
      </c>
      <c r="D21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Helper'!$F$5:$F$3004,"""")&lt;&gt;""""),ROWS(D$5:D2140)),"""")"),"")</f>
        <v/>
      </c>
      <c r="E21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Helper'!$F$5:$F$3004,"""")&lt;&gt;""""),ROWS(E$5:E2140)),"""")"),"")</f>
        <v/>
      </c>
      <c r="F21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Helper'!$F$5:$F$3004,"""")&lt;&gt;""""),ROWS(F$5:F2140)),IF(AND(LEFT(x,5)=""Pag"&amp;"e "",ISERROR(SEARCH(""–"",x))),x&amp;""–""&amp;REGEXEXTRACT(x,""[0-9]+$""),x)),"""")"),"")</f>
        <v/>
      </c>
      <c r="G2140" s="163"/>
      <c r="H21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Helper'!$F$5:$F$3004,"""")&lt;&gt;""""),ROWS(H$5:H2140)),"""")"),"")</f>
        <v/>
      </c>
    </row>
    <row r="2141" ht="15.75" customHeight="1">
      <c r="A21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Helper'!$F$5:$F$3004,"""")&lt;&gt;""""),ROWS(A$5:A2141)),"""")"),"")</f>
        <v/>
      </c>
      <c r="B21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Helper'!$F$5:$F$3004,"""")&lt;&gt;""""),ROWS(B$5:B2141)),"""")"),"")</f>
        <v/>
      </c>
      <c r="C21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Helper'!$F$5:$F$3004,"""")&lt;&gt;""""),ROWS(C$5:C2141)),"""")"),"")</f>
        <v/>
      </c>
      <c r="D21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Helper'!$F$5:$F$3004,"""")&lt;&gt;""""),ROWS(D$5:D2141)),"""")"),"")</f>
        <v/>
      </c>
      <c r="E21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Helper'!$F$5:$F$3004,"""")&lt;&gt;""""),ROWS(E$5:E2141)),"""")"),"")</f>
        <v/>
      </c>
      <c r="F21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Helper'!$F$5:$F$3004,"""")&lt;&gt;""""),ROWS(F$5:F2141)),IF(AND(LEFT(x,5)=""Pag"&amp;"e "",ISERROR(SEARCH(""–"",x))),x&amp;""–""&amp;REGEXEXTRACT(x,""[0-9]+$""),x)),"""")"),"")</f>
        <v/>
      </c>
      <c r="G2141" s="163"/>
      <c r="H21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Helper'!$F$5:$F$3004,"""")&lt;&gt;""""),ROWS(H$5:H2141)),"""")"),"")</f>
        <v/>
      </c>
    </row>
    <row r="2142" ht="15.75" customHeight="1">
      <c r="A21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Helper'!$F$5:$F$3004,"""")&lt;&gt;""""),ROWS(A$5:A2142)),"""")"),"")</f>
        <v/>
      </c>
      <c r="B21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Helper'!$F$5:$F$3004,"""")&lt;&gt;""""),ROWS(B$5:B2142)),"""")"),"")</f>
        <v/>
      </c>
      <c r="C21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Helper'!$F$5:$F$3004,"""")&lt;&gt;""""),ROWS(C$5:C2142)),"""")"),"")</f>
        <v/>
      </c>
      <c r="D21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Helper'!$F$5:$F$3004,"""")&lt;&gt;""""),ROWS(D$5:D2142)),"""")"),"")</f>
        <v/>
      </c>
      <c r="E21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Helper'!$F$5:$F$3004,"""")&lt;&gt;""""),ROWS(E$5:E2142)),"""")"),"")</f>
        <v/>
      </c>
      <c r="F21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Helper'!$F$5:$F$3004,"""")&lt;&gt;""""),ROWS(F$5:F2142)),IF(AND(LEFT(x,5)=""Pag"&amp;"e "",ISERROR(SEARCH(""–"",x))),x&amp;""–""&amp;REGEXEXTRACT(x,""[0-9]+$""),x)),"""")"),"")</f>
        <v/>
      </c>
      <c r="G2142" s="163"/>
      <c r="H21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Helper'!$F$5:$F$3004,"""")&lt;&gt;""""),ROWS(H$5:H2142)),"""")"),"")</f>
        <v/>
      </c>
    </row>
    <row r="2143" ht="15.75" customHeight="1">
      <c r="A21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Helper'!$F$5:$F$3004,"""")&lt;&gt;""""),ROWS(A$5:A2143)),"""")"),"")</f>
        <v/>
      </c>
      <c r="B21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Helper'!$F$5:$F$3004,"""")&lt;&gt;""""),ROWS(B$5:B2143)),"""")"),"")</f>
        <v/>
      </c>
      <c r="C21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Helper'!$F$5:$F$3004,"""")&lt;&gt;""""),ROWS(C$5:C2143)),"""")"),"")</f>
        <v/>
      </c>
      <c r="D21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Helper'!$F$5:$F$3004,"""")&lt;&gt;""""),ROWS(D$5:D2143)),"""")"),"")</f>
        <v/>
      </c>
      <c r="E21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Helper'!$F$5:$F$3004,"""")&lt;&gt;""""),ROWS(E$5:E2143)),"""")"),"")</f>
        <v/>
      </c>
      <c r="F21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Helper'!$F$5:$F$3004,"""")&lt;&gt;""""),ROWS(F$5:F2143)),IF(AND(LEFT(x,5)=""Pag"&amp;"e "",ISERROR(SEARCH(""–"",x))),x&amp;""–""&amp;REGEXEXTRACT(x,""[0-9]+$""),x)),"""")"),"")</f>
        <v/>
      </c>
      <c r="G2143" s="163"/>
      <c r="H21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Helper'!$F$5:$F$3004,"""")&lt;&gt;""""),ROWS(H$5:H2143)),"""")"),"")</f>
        <v/>
      </c>
    </row>
    <row r="2144" ht="15.75" customHeight="1">
      <c r="A21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Helper'!$F$5:$F$3004,"""")&lt;&gt;""""),ROWS(A$5:A2144)),"""")"),"")</f>
        <v/>
      </c>
      <c r="B21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Helper'!$F$5:$F$3004,"""")&lt;&gt;""""),ROWS(B$5:B2144)),"""")"),"")</f>
        <v/>
      </c>
      <c r="C21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Helper'!$F$5:$F$3004,"""")&lt;&gt;""""),ROWS(C$5:C2144)),"""")"),"")</f>
        <v/>
      </c>
      <c r="D21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Helper'!$F$5:$F$3004,"""")&lt;&gt;""""),ROWS(D$5:D2144)),"""")"),"")</f>
        <v/>
      </c>
      <c r="E21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Helper'!$F$5:$F$3004,"""")&lt;&gt;""""),ROWS(E$5:E2144)),"""")"),"")</f>
        <v/>
      </c>
      <c r="F21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Helper'!$F$5:$F$3004,"""")&lt;&gt;""""),ROWS(F$5:F2144)),IF(AND(LEFT(x,5)=""Pag"&amp;"e "",ISERROR(SEARCH(""–"",x))),x&amp;""–""&amp;REGEXEXTRACT(x,""[0-9]+$""),x)),"""")"),"")</f>
        <v/>
      </c>
      <c r="G2144" s="163"/>
      <c r="H21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Helper'!$F$5:$F$3004,"""")&lt;&gt;""""),ROWS(H$5:H2144)),"""")"),"")</f>
        <v/>
      </c>
    </row>
    <row r="2145" ht="15.75" customHeight="1">
      <c r="A21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Helper'!$F$5:$F$3004,"""")&lt;&gt;""""),ROWS(A$5:A2145)),"""")"),"")</f>
        <v/>
      </c>
      <c r="B21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Helper'!$F$5:$F$3004,"""")&lt;&gt;""""),ROWS(B$5:B2145)),"""")"),"")</f>
        <v/>
      </c>
      <c r="C21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Helper'!$F$5:$F$3004,"""")&lt;&gt;""""),ROWS(C$5:C2145)),"""")"),"")</f>
        <v/>
      </c>
      <c r="D21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Helper'!$F$5:$F$3004,"""")&lt;&gt;""""),ROWS(D$5:D2145)),"""")"),"")</f>
        <v/>
      </c>
      <c r="E21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Helper'!$F$5:$F$3004,"""")&lt;&gt;""""),ROWS(E$5:E2145)),"""")"),"")</f>
        <v/>
      </c>
      <c r="F21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Helper'!$F$5:$F$3004,"""")&lt;&gt;""""),ROWS(F$5:F2145)),IF(AND(LEFT(x,5)=""Pag"&amp;"e "",ISERROR(SEARCH(""–"",x))),x&amp;""–""&amp;REGEXEXTRACT(x,""[0-9]+$""),x)),"""")"),"")</f>
        <v/>
      </c>
      <c r="G2145" s="163"/>
      <c r="H21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Helper'!$F$5:$F$3004,"""")&lt;&gt;""""),ROWS(H$5:H2145)),"""")"),"")</f>
        <v/>
      </c>
    </row>
    <row r="2146" ht="15.75" customHeight="1">
      <c r="A21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Helper'!$F$5:$F$3004,"""")&lt;&gt;""""),ROWS(A$5:A2146)),"""")"),"")</f>
        <v/>
      </c>
      <c r="B21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Helper'!$F$5:$F$3004,"""")&lt;&gt;""""),ROWS(B$5:B2146)),"""")"),"")</f>
        <v/>
      </c>
      <c r="C21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Helper'!$F$5:$F$3004,"""")&lt;&gt;""""),ROWS(C$5:C2146)),"""")"),"")</f>
        <v/>
      </c>
      <c r="D21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Helper'!$F$5:$F$3004,"""")&lt;&gt;""""),ROWS(D$5:D2146)),"""")"),"")</f>
        <v/>
      </c>
      <c r="E21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Helper'!$F$5:$F$3004,"""")&lt;&gt;""""),ROWS(E$5:E2146)),"""")"),"")</f>
        <v/>
      </c>
      <c r="F21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Helper'!$F$5:$F$3004,"""")&lt;&gt;""""),ROWS(F$5:F2146)),IF(AND(LEFT(x,5)=""Pag"&amp;"e "",ISERROR(SEARCH(""–"",x))),x&amp;""–""&amp;REGEXEXTRACT(x,""[0-9]+$""),x)),"""")"),"")</f>
        <v/>
      </c>
      <c r="G2146" s="163"/>
      <c r="H21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Helper'!$F$5:$F$3004,"""")&lt;&gt;""""),ROWS(H$5:H2146)),"""")"),"")</f>
        <v/>
      </c>
    </row>
    <row r="2147" ht="15.75" customHeight="1">
      <c r="A21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Helper'!$F$5:$F$3004,"""")&lt;&gt;""""),ROWS(A$5:A2147)),"""")"),"")</f>
        <v/>
      </c>
      <c r="B21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Helper'!$F$5:$F$3004,"""")&lt;&gt;""""),ROWS(B$5:B2147)),"""")"),"")</f>
        <v/>
      </c>
      <c r="C21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Helper'!$F$5:$F$3004,"""")&lt;&gt;""""),ROWS(C$5:C2147)),"""")"),"")</f>
        <v/>
      </c>
      <c r="D21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Helper'!$F$5:$F$3004,"""")&lt;&gt;""""),ROWS(D$5:D2147)),"""")"),"")</f>
        <v/>
      </c>
      <c r="E21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Helper'!$F$5:$F$3004,"""")&lt;&gt;""""),ROWS(E$5:E2147)),"""")"),"")</f>
        <v/>
      </c>
      <c r="F21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Helper'!$F$5:$F$3004,"""")&lt;&gt;""""),ROWS(F$5:F2147)),IF(AND(LEFT(x,5)=""Pag"&amp;"e "",ISERROR(SEARCH(""–"",x))),x&amp;""–""&amp;REGEXEXTRACT(x,""[0-9]+$""),x)),"""")"),"")</f>
        <v/>
      </c>
      <c r="G2147" s="163"/>
      <c r="H21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Helper'!$F$5:$F$3004,"""")&lt;&gt;""""),ROWS(H$5:H2147)),"""")"),"")</f>
        <v/>
      </c>
    </row>
    <row r="2148" ht="15.75" customHeight="1">
      <c r="A21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Helper'!$F$5:$F$3004,"""")&lt;&gt;""""),ROWS(A$5:A2148)),"""")"),"")</f>
        <v/>
      </c>
      <c r="B21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Helper'!$F$5:$F$3004,"""")&lt;&gt;""""),ROWS(B$5:B2148)),"""")"),"")</f>
        <v/>
      </c>
      <c r="C21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Helper'!$F$5:$F$3004,"""")&lt;&gt;""""),ROWS(C$5:C2148)),"""")"),"")</f>
        <v/>
      </c>
      <c r="D21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Helper'!$F$5:$F$3004,"""")&lt;&gt;""""),ROWS(D$5:D2148)),"""")"),"")</f>
        <v/>
      </c>
      <c r="E21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Helper'!$F$5:$F$3004,"""")&lt;&gt;""""),ROWS(E$5:E2148)),"""")"),"")</f>
        <v/>
      </c>
      <c r="F21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Helper'!$F$5:$F$3004,"""")&lt;&gt;""""),ROWS(F$5:F2148)),IF(AND(LEFT(x,5)=""Pag"&amp;"e "",ISERROR(SEARCH(""–"",x))),x&amp;""–""&amp;REGEXEXTRACT(x,""[0-9]+$""),x)),"""")"),"")</f>
        <v/>
      </c>
      <c r="G2148" s="163"/>
      <c r="H21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Helper'!$F$5:$F$3004,"""")&lt;&gt;""""),ROWS(H$5:H2148)),"""")"),"")</f>
        <v/>
      </c>
    </row>
    <row r="2149" ht="15.75" customHeight="1">
      <c r="A21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Helper'!$F$5:$F$3004,"""")&lt;&gt;""""),ROWS(A$5:A2149)),"""")"),"")</f>
        <v/>
      </c>
      <c r="B21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Helper'!$F$5:$F$3004,"""")&lt;&gt;""""),ROWS(B$5:B2149)),"""")"),"")</f>
        <v/>
      </c>
      <c r="C21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Helper'!$F$5:$F$3004,"""")&lt;&gt;""""),ROWS(C$5:C2149)),"""")"),"")</f>
        <v/>
      </c>
      <c r="D21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Helper'!$F$5:$F$3004,"""")&lt;&gt;""""),ROWS(D$5:D2149)),"""")"),"")</f>
        <v/>
      </c>
      <c r="E21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Helper'!$F$5:$F$3004,"""")&lt;&gt;""""),ROWS(E$5:E2149)),"""")"),"")</f>
        <v/>
      </c>
      <c r="F21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Helper'!$F$5:$F$3004,"""")&lt;&gt;""""),ROWS(F$5:F2149)),IF(AND(LEFT(x,5)=""Pag"&amp;"e "",ISERROR(SEARCH(""–"",x))),x&amp;""–""&amp;REGEXEXTRACT(x,""[0-9]+$""),x)),"""")"),"")</f>
        <v/>
      </c>
      <c r="G2149" s="163"/>
      <c r="H21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Helper'!$F$5:$F$3004,"""")&lt;&gt;""""),ROWS(H$5:H2149)),"""")"),"")</f>
        <v/>
      </c>
    </row>
    <row r="2150" ht="15.75" customHeight="1">
      <c r="A21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Helper'!$F$5:$F$3004,"""")&lt;&gt;""""),ROWS(A$5:A2150)),"""")"),"")</f>
        <v/>
      </c>
      <c r="B21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Helper'!$F$5:$F$3004,"""")&lt;&gt;""""),ROWS(B$5:B2150)),"""")"),"")</f>
        <v/>
      </c>
      <c r="C21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Helper'!$F$5:$F$3004,"""")&lt;&gt;""""),ROWS(C$5:C2150)),"""")"),"")</f>
        <v/>
      </c>
      <c r="D21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Helper'!$F$5:$F$3004,"""")&lt;&gt;""""),ROWS(D$5:D2150)),"""")"),"")</f>
        <v/>
      </c>
      <c r="E21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Helper'!$F$5:$F$3004,"""")&lt;&gt;""""),ROWS(E$5:E2150)),"""")"),"")</f>
        <v/>
      </c>
      <c r="F21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Helper'!$F$5:$F$3004,"""")&lt;&gt;""""),ROWS(F$5:F2150)),IF(AND(LEFT(x,5)=""Pag"&amp;"e "",ISERROR(SEARCH(""–"",x))),x&amp;""–""&amp;REGEXEXTRACT(x,""[0-9]+$""),x)),"""")"),"")</f>
        <v/>
      </c>
      <c r="G2150" s="163"/>
      <c r="H21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Helper'!$F$5:$F$3004,"""")&lt;&gt;""""),ROWS(H$5:H2150)),"""")"),"")</f>
        <v/>
      </c>
    </row>
    <row r="2151" ht="15.75" customHeight="1">
      <c r="A21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Helper'!$F$5:$F$3004,"""")&lt;&gt;""""),ROWS(A$5:A2151)),"""")"),"")</f>
        <v/>
      </c>
      <c r="B21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Helper'!$F$5:$F$3004,"""")&lt;&gt;""""),ROWS(B$5:B2151)),"""")"),"")</f>
        <v/>
      </c>
      <c r="C21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Helper'!$F$5:$F$3004,"""")&lt;&gt;""""),ROWS(C$5:C2151)),"""")"),"")</f>
        <v/>
      </c>
      <c r="D21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Helper'!$F$5:$F$3004,"""")&lt;&gt;""""),ROWS(D$5:D2151)),"""")"),"")</f>
        <v/>
      </c>
      <c r="E21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Helper'!$F$5:$F$3004,"""")&lt;&gt;""""),ROWS(E$5:E2151)),"""")"),"")</f>
        <v/>
      </c>
      <c r="F21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Helper'!$F$5:$F$3004,"""")&lt;&gt;""""),ROWS(F$5:F2151)),IF(AND(LEFT(x,5)=""Pag"&amp;"e "",ISERROR(SEARCH(""–"",x))),x&amp;""–""&amp;REGEXEXTRACT(x,""[0-9]+$""),x)),"""")"),"")</f>
        <v/>
      </c>
      <c r="G2151" s="163"/>
      <c r="H21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Helper'!$F$5:$F$3004,"""")&lt;&gt;""""),ROWS(H$5:H2151)),"""")"),"")</f>
        <v/>
      </c>
    </row>
    <row r="2152" ht="15.75" customHeight="1">
      <c r="A21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Helper'!$F$5:$F$3004,"""")&lt;&gt;""""),ROWS(A$5:A2152)),"""")"),"")</f>
        <v/>
      </c>
      <c r="B21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Helper'!$F$5:$F$3004,"""")&lt;&gt;""""),ROWS(B$5:B2152)),"""")"),"")</f>
        <v/>
      </c>
      <c r="C21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Helper'!$F$5:$F$3004,"""")&lt;&gt;""""),ROWS(C$5:C2152)),"""")"),"")</f>
        <v/>
      </c>
      <c r="D21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Helper'!$F$5:$F$3004,"""")&lt;&gt;""""),ROWS(D$5:D2152)),"""")"),"")</f>
        <v/>
      </c>
      <c r="E21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Helper'!$F$5:$F$3004,"""")&lt;&gt;""""),ROWS(E$5:E2152)),"""")"),"")</f>
        <v/>
      </c>
      <c r="F21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Helper'!$F$5:$F$3004,"""")&lt;&gt;""""),ROWS(F$5:F2152)),IF(AND(LEFT(x,5)=""Pag"&amp;"e "",ISERROR(SEARCH(""–"",x))),x&amp;""–""&amp;REGEXEXTRACT(x,""[0-9]+$""),x)),"""")"),"")</f>
        <v/>
      </c>
      <c r="G2152" s="163"/>
      <c r="H21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Helper'!$F$5:$F$3004,"""")&lt;&gt;""""),ROWS(H$5:H2152)),"""")"),"")</f>
        <v/>
      </c>
    </row>
    <row r="2153" ht="15.75" customHeight="1">
      <c r="A21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Helper'!$F$5:$F$3004,"""")&lt;&gt;""""),ROWS(A$5:A2153)),"""")"),"")</f>
        <v/>
      </c>
      <c r="B21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Helper'!$F$5:$F$3004,"""")&lt;&gt;""""),ROWS(B$5:B2153)),"""")"),"")</f>
        <v/>
      </c>
      <c r="C21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Helper'!$F$5:$F$3004,"""")&lt;&gt;""""),ROWS(C$5:C2153)),"""")"),"")</f>
        <v/>
      </c>
      <c r="D21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Helper'!$F$5:$F$3004,"""")&lt;&gt;""""),ROWS(D$5:D2153)),"""")"),"")</f>
        <v/>
      </c>
      <c r="E21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Helper'!$F$5:$F$3004,"""")&lt;&gt;""""),ROWS(E$5:E2153)),"""")"),"")</f>
        <v/>
      </c>
      <c r="F21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Helper'!$F$5:$F$3004,"""")&lt;&gt;""""),ROWS(F$5:F2153)),IF(AND(LEFT(x,5)=""Pag"&amp;"e "",ISERROR(SEARCH(""–"",x))),x&amp;""–""&amp;REGEXEXTRACT(x,""[0-9]+$""),x)),"""")"),"")</f>
        <v/>
      </c>
      <c r="G2153" s="163"/>
      <c r="H21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Helper'!$F$5:$F$3004,"""")&lt;&gt;""""),ROWS(H$5:H2153)),"""")"),"")</f>
        <v/>
      </c>
    </row>
    <row r="2154" ht="15.75" customHeight="1">
      <c r="A21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Helper'!$F$5:$F$3004,"""")&lt;&gt;""""),ROWS(A$5:A2154)),"""")"),"")</f>
        <v/>
      </c>
      <c r="B21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Helper'!$F$5:$F$3004,"""")&lt;&gt;""""),ROWS(B$5:B2154)),"""")"),"")</f>
        <v/>
      </c>
      <c r="C21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Helper'!$F$5:$F$3004,"""")&lt;&gt;""""),ROWS(C$5:C2154)),"""")"),"")</f>
        <v/>
      </c>
      <c r="D21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Helper'!$F$5:$F$3004,"""")&lt;&gt;""""),ROWS(D$5:D2154)),"""")"),"")</f>
        <v/>
      </c>
      <c r="E21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Helper'!$F$5:$F$3004,"""")&lt;&gt;""""),ROWS(E$5:E2154)),"""")"),"")</f>
        <v/>
      </c>
      <c r="F21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Helper'!$F$5:$F$3004,"""")&lt;&gt;""""),ROWS(F$5:F2154)),IF(AND(LEFT(x,5)=""Pag"&amp;"e "",ISERROR(SEARCH(""–"",x))),x&amp;""–""&amp;REGEXEXTRACT(x,""[0-9]+$""),x)),"""")"),"")</f>
        <v/>
      </c>
      <c r="G2154" s="163"/>
      <c r="H21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Helper'!$F$5:$F$3004,"""")&lt;&gt;""""),ROWS(H$5:H2154)),"""")"),"")</f>
        <v/>
      </c>
    </row>
    <row r="2155" ht="15.75" customHeight="1">
      <c r="A21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Helper'!$F$5:$F$3004,"""")&lt;&gt;""""),ROWS(A$5:A2155)),"""")"),"")</f>
        <v/>
      </c>
      <c r="B21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Helper'!$F$5:$F$3004,"""")&lt;&gt;""""),ROWS(B$5:B2155)),"""")"),"")</f>
        <v/>
      </c>
      <c r="C21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Helper'!$F$5:$F$3004,"""")&lt;&gt;""""),ROWS(C$5:C2155)),"""")"),"")</f>
        <v/>
      </c>
      <c r="D21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Helper'!$F$5:$F$3004,"""")&lt;&gt;""""),ROWS(D$5:D2155)),"""")"),"")</f>
        <v/>
      </c>
      <c r="E21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Helper'!$F$5:$F$3004,"""")&lt;&gt;""""),ROWS(E$5:E2155)),"""")"),"")</f>
        <v/>
      </c>
      <c r="F21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Helper'!$F$5:$F$3004,"""")&lt;&gt;""""),ROWS(F$5:F2155)),IF(AND(LEFT(x,5)=""Pag"&amp;"e "",ISERROR(SEARCH(""–"",x))),x&amp;""–""&amp;REGEXEXTRACT(x,""[0-9]+$""),x)),"""")"),"")</f>
        <v/>
      </c>
      <c r="G2155" s="163"/>
      <c r="H21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Helper'!$F$5:$F$3004,"""")&lt;&gt;""""),ROWS(H$5:H2155)),"""")"),"")</f>
        <v/>
      </c>
    </row>
    <row r="2156" ht="15.75" customHeight="1">
      <c r="A21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Helper'!$F$5:$F$3004,"""")&lt;&gt;""""),ROWS(A$5:A2156)),"""")"),"")</f>
        <v/>
      </c>
      <c r="B21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Helper'!$F$5:$F$3004,"""")&lt;&gt;""""),ROWS(B$5:B2156)),"""")"),"")</f>
        <v/>
      </c>
      <c r="C21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Helper'!$F$5:$F$3004,"""")&lt;&gt;""""),ROWS(C$5:C2156)),"""")"),"")</f>
        <v/>
      </c>
      <c r="D21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Helper'!$F$5:$F$3004,"""")&lt;&gt;""""),ROWS(D$5:D2156)),"""")"),"")</f>
        <v/>
      </c>
      <c r="E21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Helper'!$F$5:$F$3004,"""")&lt;&gt;""""),ROWS(E$5:E2156)),"""")"),"")</f>
        <v/>
      </c>
      <c r="F21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Helper'!$F$5:$F$3004,"""")&lt;&gt;""""),ROWS(F$5:F2156)),IF(AND(LEFT(x,5)=""Pag"&amp;"e "",ISERROR(SEARCH(""–"",x))),x&amp;""–""&amp;REGEXEXTRACT(x,""[0-9]+$""),x)),"""")"),"")</f>
        <v/>
      </c>
      <c r="G2156" s="163"/>
      <c r="H21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Helper'!$F$5:$F$3004,"""")&lt;&gt;""""),ROWS(H$5:H2156)),"""")"),"")</f>
        <v/>
      </c>
    </row>
    <row r="2157" ht="15.75" customHeight="1">
      <c r="A21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Helper'!$F$5:$F$3004,"""")&lt;&gt;""""),ROWS(A$5:A2157)),"""")"),"")</f>
        <v/>
      </c>
      <c r="B21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Helper'!$F$5:$F$3004,"""")&lt;&gt;""""),ROWS(B$5:B2157)),"""")"),"")</f>
        <v/>
      </c>
      <c r="C21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Helper'!$F$5:$F$3004,"""")&lt;&gt;""""),ROWS(C$5:C2157)),"""")"),"")</f>
        <v/>
      </c>
      <c r="D21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Helper'!$F$5:$F$3004,"""")&lt;&gt;""""),ROWS(D$5:D2157)),"""")"),"")</f>
        <v/>
      </c>
      <c r="E21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Helper'!$F$5:$F$3004,"""")&lt;&gt;""""),ROWS(E$5:E2157)),"""")"),"")</f>
        <v/>
      </c>
      <c r="F21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Helper'!$F$5:$F$3004,"""")&lt;&gt;""""),ROWS(F$5:F2157)),IF(AND(LEFT(x,5)=""Pag"&amp;"e "",ISERROR(SEARCH(""–"",x))),x&amp;""–""&amp;REGEXEXTRACT(x,""[0-9]+$""),x)),"""")"),"")</f>
        <v/>
      </c>
      <c r="G2157" s="163"/>
      <c r="H21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Helper'!$F$5:$F$3004,"""")&lt;&gt;""""),ROWS(H$5:H2157)),"""")"),"")</f>
        <v/>
      </c>
    </row>
    <row r="2158" ht="15.75" customHeight="1">
      <c r="A21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Helper'!$F$5:$F$3004,"""")&lt;&gt;""""),ROWS(A$5:A2158)),"""")"),"")</f>
        <v/>
      </c>
      <c r="B21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Helper'!$F$5:$F$3004,"""")&lt;&gt;""""),ROWS(B$5:B2158)),"""")"),"")</f>
        <v/>
      </c>
      <c r="C21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Helper'!$F$5:$F$3004,"""")&lt;&gt;""""),ROWS(C$5:C2158)),"""")"),"")</f>
        <v/>
      </c>
      <c r="D21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Helper'!$F$5:$F$3004,"""")&lt;&gt;""""),ROWS(D$5:D2158)),"""")"),"")</f>
        <v/>
      </c>
      <c r="E21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Helper'!$F$5:$F$3004,"""")&lt;&gt;""""),ROWS(E$5:E2158)),"""")"),"")</f>
        <v/>
      </c>
      <c r="F21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Helper'!$F$5:$F$3004,"""")&lt;&gt;""""),ROWS(F$5:F2158)),IF(AND(LEFT(x,5)=""Pag"&amp;"e "",ISERROR(SEARCH(""–"",x))),x&amp;""–""&amp;REGEXEXTRACT(x,""[0-9]+$""),x)),"""")"),"")</f>
        <v/>
      </c>
      <c r="G2158" s="163"/>
      <c r="H21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Helper'!$F$5:$F$3004,"""")&lt;&gt;""""),ROWS(H$5:H2158)),"""")"),"")</f>
        <v/>
      </c>
    </row>
    <row r="2159" ht="15.75" customHeight="1">
      <c r="A21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Helper'!$F$5:$F$3004,"""")&lt;&gt;""""),ROWS(A$5:A2159)),"""")"),"")</f>
        <v/>
      </c>
      <c r="B21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Helper'!$F$5:$F$3004,"""")&lt;&gt;""""),ROWS(B$5:B2159)),"""")"),"")</f>
        <v/>
      </c>
      <c r="C21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Helper'!$F$5:$F$3004,"""")&lt;&gt;""""),ROWS(C$5:C2159)),"""")"),"")</f>
        <v/>
      </c>
      <c r="D21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Helper'!$F$5:$F$3004,"""")&lt;&gt;""""),ROWS(D$5:D2159)),"""")"),"")</f>
        <v/>
      </c>
      <c r="E21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Helper'!$F$5:$F$3004,"""")&lt;&gt;""""),ROWS(E$5:E2159)),"""")"),"")</f>
        <v/>
      </c>
      <c r="F21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Helper'!$F$5:$F$3004,"""")&lt;&gt;""""),ROWS(F$5:F2159)),IF(AND(LEFT(x,5)=""Pag"&amp;"e "",ISERROR(SEARCH(""–"",x))),x&amp;""–""&amp;REGEXEXTRACT(x,""[0-9]+$""),x)),"""")"),"")</f>
        <v/>
      </c>
      <c r="G2159" s="163"/>
      <c r="H21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Helper'!$F$5:$F$3004,"""")&lt;&gt;""""),ROWS(H$5:H2159)),"""")"),"")</f>
        <v/>
      </c>
    </row>
    <row r="2160" ht="15.75" customHeight="1">
      <c r="A21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Helper'!$F$5:$F$3004,"""")&lt;&gt;""""),ROWS(A$5:A2160)),"""")"),"")</f>
        <v/>
      </c>
      <c r="B21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Helper'!$F$5:$F$3004,"""")&lt;&gt;""""),ROWS(B$5:B2160)),"""")"),"")</f>
        <v/>
      </c>
      <c r="C21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Helper'!$F$5:$F$3004,"""")&lt;&gt;""""),ROWS(C$5:C2160)),"""")"),"")</f>
        <v/>
      </c>
      <c r="D21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Helper'!$F$5:$F$3004,"""")&lt;&gt;""""),ROWS(D$5:D2160)),"""")"),"")</f>
        <v/>
      </c>
      <c r="E21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Helper'!$F$5:$F$3004,"""")&lt;&gt;""""),ROWS(E$5:E2160)),"""")"),"")</f>
        <v/>
      </c>
      <c r="F21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Helper'!$F$5:$F$3004,"""")&lt;&gt;""""),ROWS(F$5:F2160)),IF(AND(LEFT(x,5)=""Pag"&amp;"e "",ISERROR(SEARCH(""–"",x))),x&amp;""–""&amp;REGEXEXTRACT(x,""[0-9]+$""),x)),"""")"),"")</f>
        <v/>
      </c>
      <c r="G2160" s="163"/>
      <c r="H21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Helper'!$F$5:$F$3004,"""")&lt;&gt;""""),ROWS(H$5:H2160)),"""")"),"")</f>
        <v/>
      </c>
    </row>
    <row r="2161" ht="15.75" customHeight="1">
      <c r="A21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Helper'!$F$5:$F$3004,"""")&lt;&gt;""""),ROWS(A$5:A2161)),"""")"),"")</f>
        <v/>
      </c>
      <c r="B21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Helper'!$F$5:$F$3004,"""")&lt;&gt;""""),ROWS(B$5:B2161)),"""")"),"")</f>
        <v/>
      </c>
      <c r="C21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Helper'!$F$5:$F$3004,"""")&lt;&gt;""""),ROWS(C$5:C2161)),"""")"),"")</f>
        <v/>
      </c>
      <c r="D21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Helper'!$F$5:$F$3004,"""")&lt;&gt;""""),ROWS(D$5:D2161)),"""")"),"")</f>
        <v/>
      </c>
      <c r="E21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Helper'!$F$5:$F$3004,"""")&lt;&gt;""""),ROWS(E$5:E2161)),"""")"),"")</f>
        <v/>
      </c>
      <c r="F21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Helper'!$F$5:$F$3004,"""")&lt;&gt;""""),ROWS(F$5:F2161)),IF(AND(LEFT(x,5)=""Pag"&amp;"e "",ISERROR(SEARCH(""–"",x))),x&amp;""–""&amp;REGEXEXTRACT(x,""[0-9]+$""),x)),"""")"),"")</f>
        <v/>
      </c>
      <c r="G2161" s="163"/>
      <c r="H21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Helper'!$F$5:$F$3004,"""")&lt;&gt;""""),ROWS(H$5:H2161)),"""")"),"")</f>
        <v/>
      </c>
    </row>
    <row r="2162" ht="15.75" customHeight="1">
      <c r="A21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Helper'!$F$5:$F$3004,"""")&lt;&gt;""""),ROWS(A$5:A2162)),"""")"),"")</f>
        <v/>
      </c>
      <c r="B21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Helper'!$F$5:$F$3004,"""")&lt;&gt;""""),ROWS(B$5:B2162)),"""")"),"")</f>
        <v/>
      </c>
      <c r="C21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Helper'!$F$5:$F$3004,"""")&lt;&gt;""""),ROWS(C$5:C2162)),"""")"),"")</f>
        <v/>
      </c>
      <c r="D21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Helper'!$F$5:$F$3004,"""")&lt;&gt;""""),ROWS(D$5:D2162)),"""")"),"")</f>
        <v/>
      </c>
      <c r="E21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Helper'!$F$5:$F$3004,"""")&lt;&gt;""""),ROWS(E$5:E2162)),"""")"),"")</f>
        <v/>
      </c>
      <c r="F21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Helper'!$F$5:$F$3004,"""")&lt;&gt;""""),ROWS(F$5:F2162)),IF(AND(LEFT(x,5)=""Pag"&amp;"e "",ISERROR(SEARCH(""–"",x))),x&amp;""–""&amp;REGEXEXTRACT(x,""[0-9]+$""),x)),"""")"),"")</f>
        <v/>
      </c>
      <c r="G2162" s="163"/>
      <c r="H21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Helper'!$F$5:$F$3004,"""")&lt;&gt;""""),ROWS(H$5:H2162)),"""")"),"")</f>
        <v/>
      </c>
    </row>
    <row r="2163" ht="15.75" customHeight="1">
      <c r="A21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Helper'!$F$5:$F$3004,"""")&lt;&gt;""""),ROWS(A$5:A2163)),"""")"),"")</f>
        <v/>
      </c>
      <c r="B21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Helper'!$F$5:$F$3004,"""")&lt;&gt;""""),ROWS(B$5:B2163)),"""")"),"")</f>
        <v/>
      </c>
      <c r="C21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Helper'!$F$5:$F$3004,"""")&lt;&gt;""""),ROWS(C$5:C2163)),"""")"),"")</f>
        <v/>
      </c>
      <c r="D21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Helper'!$F$5:$F$3004,"""")&lt;&gt;""""),ROWS(D$5:D2163)),"""")"),"")</f>
        <v/>
      </c>
      <c r="E21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Helper'!$F$5:$F$3004,"""")&lt;&gt;""""),ROWS(E$5:E2163)),"""")"),"")</f>
        <v/>
      </c>
      <c r="F21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Helper'!$F$5:$F$3004,"""")&lt;&gt;""""),ROWS(F$5:F2163)),IF(AND(LEFT(x,5)=""Pag"&amp;"e "",ISERROR(SEARCH(""–"",x))),x&amp;""–""&amp;REGEXEXTRACT(x,""[0-9]+$""),x)),"""")"),"")</f>
        <v/>
      </c>
      <c r="G2163" s="163"/>
      <c r="H21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Helper'!$F$5:$F$3004,"""")&lt;&gt;""""),ROWS(H$5:H2163)),"""")"),"")</f>
        <v/>
      </c>
    </row>
    <row r="2164" ht="15.75" customHeight="1">
      <c r="A21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Helper'!$F$5:$F$3004,"""")&lt;&gt;""""),ROWS(A$5:A2164)),"""")"),"")</f>
        <v/>
      </c>
      <c r="B21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Helper'!$F$5:$F$3004,"""")&lt;&gt;""""),ROWS(B$5:B2164)),"""")"),"")</f>
        <v/>
      </c>
      <c r="C21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Helper'!$F$5:$F$3004,"""")&lt;&gt;""""),ROWS(C$5:C2164)),"""")"),"")</f>
        <v/>
      </c>
      <c r="D21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Helper'!$F$5:$F$3004,"""")&lt;&gt;""""),ROWS(D$5:D2164)),"""")"),"")</f>
        <v/>
      </c>
      <c r="E21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Helper'!$F$5:$F$3004,"""")&lt;&gt;""""),ROWS(E$5:E2164)),"""")"),"")</f>
        <v/>
      </c>
      <c r="F21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Helper'!$F$5:$F$3004,"""")&lt;&gt;""""),ROWS(F$5:F2164)),IF(AND(LEFT(x,5)=""Pag"&amp;"e "",ISERROR(SEARCH(""–"",x))),x&amp;""–""&amp;REGEXEXTRACT(x,""[0-9]+$""),x)),"""")"),"")</f>
        <v/>
      </c>
      <c r="G2164" s="163"/>
      <c r="H21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Helper'!$F$5:$F$3004,"""")&lt;&gt;""""),ROWS(H$5:H2164)),"""")"),"")</f>
        <v/>
      </c>
    </row>
    <row r="2165" ht="15.75" customHeight="1">
      <c r="A21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Helper'!$F$5:$F$3004,"""")&lt;&gt;""""),ROWS(A$5:A2165)),"""")"),"")</f>
        <v/>
      </c>
      <c r="B21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Helper'!$F$5:$F$3004,"""")&lt;&gt;""""),ROWS(B$5:B2165)),"""")"),"")</f>
        <v/>
      </c>
      <c r="C21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Helper'!$F$5:$F$3004,"""")&lt;&gt;""""),ROWS(C$5:C2165)),"""")"),"")</f>
        <v/>
      </c>
      <c r="D21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Helper'!$F$5:$F$3004,"""")&lt;&gt;""""),ROWS(D$5:D2165)),"""")"),"")</f>
        <v/>
      </c>
      <c r="E21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Helper'!$F$5:$F$3004,"""")&lt;&gt;""""),ROWS(E$5:E2165)),"""")"),"")</f>
        <v/>
      </c>
      <c r="F21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Helper'!$F$5:$F$3004,"""")&lt;&gt;""""),ROWS(F$5:F2165)),IF(AND(LEFT(x,5)=""Pag"&amp;"e "",ISERROR(SEARCH(""–"",x))),x&amp;""–""&amp;REGEXEXTRACT(x,""[0-9]+$""),x)),"""")"),"")</f>
        <v/>
      </c>
      <c r="G2165" s="163"/>
      <c r="H21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Helper'!$F$5:$F$3004,"""")&lt;&gt;""""),ROWS(H$5:H2165)),"""")"),"")</f>
        <v/>
      </c>
    </row>
    <row r="2166" ht="15.75" customHeight="1">
      <c r="A21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Helper'!$F$5:$F$3004,"""")&lt;&gt;""""),ROWS(A$5:A2166)),"""")"),"")</f>
        <v/>
      </c>
      <c r="B21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Helper'!$F$5:$F$3004,"""")&lt;&gt;""""),ROWS(B$5:B2166)),"""")"),"")</f>
        <v/>
      </c>
      <c r="C21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Helper'!$F$5:$F$3004,"""")&lt;&gt;""""),ROWS(C$5:C2166)),"""")"),"")</f>
        <v/>
      </c>
      <c r="D21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Helper'!$F$5:$F$3004,"""")&lt;&gt;""""),ROWS(D$5:D2166)),"""")"),"")</f>
        <v/>
      </c>
      <c r="E21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Helper'!$F$5:$F$3004,"""")&lt;&gt;""""),ROWS(E$5:E2166)),"""")"),"")</f>
        <v/>
      </c>
      <c r="F21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Helper'!$F$5:$F$3004,"""")&lt;&gt;""""),ROWS(F$5:F2166)),IF(AND(LEFT(x,5)=""Pag"&amp;"e "",ISERROR(SEARCH(""–"",x))),x&amp;""–""&amp;REGEXEXTRACT(x,""[0-9]+$""),x)),"""")"),"")</f>
        <v/>
      </c>
      <c r="G2166" s="163"/>
      <c r="H21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Helper'!$F$5:$F$3004,"""")&lt;&gt;""""),ROWS(H$5:H2166)),"""")"),"")</f>
        <v/>
      </c>
    </row>
    <row r="2167" ht="15.75" customHeight="1">
      <c r="A21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Helper'!$F$5:$F$3004,"""")&lt;&gt;""""),ROWS(A$5:A2167)),"""")"),"")</f>
        <v/>
      </c>
      <c r="B21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Helper'!$F$5:$F$3004,"""")&lt;&gt;""""),ROWS(B$5:B2167)),"""")"),"")</f>
        <v/>
      </c>
      <c r="C21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Helper'!$F$5:$F$3004,"""")&lt;&gt;""""),ROWS(C$5:C2167)),"""")"),"")</f>
        <v/>
      </c>
      <c r="D21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Helper'!$F$5:$F$3004,"""")&lt;&gt;""""),ROWS(D$5:D2167)),"""")"),"")</f>
        <v/>
      </c>
      <c r="E21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Helper'!$F$5:$F$3004,"""")&lt;&gt;""""),ROWS(E$5:E2167)),"""")"),"")</f>
        <v/>
      </c>
      <c r="F21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Helper'!$F$5:$F$3004,"""")&lt;&gt;""""),ROWS(F$5:F2167)),IF(AND(LEFT(x,5)=""Pag"&amp;"e "",ISERROR(SEARCH(""–"",x))),x&amp;""–""&amp;REGEXEXTRACT(x,""[0-9]+$""),x)),"""")"),"")</f>
        <v/>
      </c>
      <c r="G2167" s="163"/>
      <c r="H21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Helper'!$F$5:$F$3004,"""")&lt;&gt;""""),ROWS(H$5:H2167)),"""")"),"")</f>
        <v/>
      </c>
    </row>
    <row r="2168" ht="15.75" customHeight="1">
      <c r="A21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Helper'!$F$5:$F$3004,"""")&lt;&gt;""""),ROWS(A$5:A2168)),"""")"),"")</f>
        <v/>
      </c>
      <c r="B21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Helper'!$F$5:$F$3004,"""")&lt;&gt;""""),ROWS(B$5:B2168)),"""")"),"")</f>
        <v/>
      </c>
      <c r="C21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Helper'!$F$5:$F$3004,"""")&lt;&gt;""""),ROWS(C$5:C2168)),"""")"),"")</f>
        <v/>
      </c>
      <c r="D21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Helper'!$F$5:$F$3004,"""")&lt;&gt;""""),ROWS(D$5:D2168)),"""")"),"")</f>
        <v/>
      </c>
      <c r="E21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Helper'!$F$5:$F$3004,"""")&lt;&gt;""""),ROWS(E$5:E2168)),"""")"),"")</f>
        <v/>
      </c>
      <c r="F21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Helper'!$F$5:$F$3004,"""")&lt;&gt;""""),ROWS(F$5:F2168)),IF(AND(LEFT(x,5)=""Pag"&amp;"e "",ISERROR(SEARCH(""–"",x))),x&amp;""–""&amp;REGEXEXTRACT(x,""[0-9]+$""),x)),"""")"),"")</f>
        <v/>
      </c>
      <c r="G2168" s="163"/>
      <c r="H21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Helper'!$F$5:$F$3004,"""")&lt;&gt;""""),ROWS(H$5:H2168)),"""")"),"")</f>
        <v/>
      </c>
    </row>
    <row r="2169" ht="15.75" customHeight="1">
      <c r="A21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Helper'!$F$5:$F$3004,"""")&lt;&gt;""""),ROWS(A$5:A2169)),"""")"),"")</f>
        <v/>
      </c>
      <c r="B21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Helper'!$F$5:$F$3004,"""")&lt;&gt;""""),ROWS(B$5:B2169)),"""")"),"")</f>
        <v/>
      </c>
      <c r="C21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Helper'!$F$5:$F$3004,"""")&lt;&gt;""""),ROWS(C$5:C2169)),"""")"),"")</f>
        <v/>
      </c>
      <c r="D21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Helper'!$F$5:$F$3004,"""")&lt;&gt;""""),ROWS(D$5:D2169)),"""")"),"")</f>
        <v/>
      </c>
      <c r="E21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Helper'!$F$5:$F$3004,"""")&lt;&gt;""""),ROWS(E$5:E2169)),"""")"),"")</f>
        <v/>
      </c>
      <c r="F21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Helper'!$F$5:$F$3004,"""")&lt;&gt;""""),ROWS(F$5:F2169)),IF(AND(LEFT(x,5)=""Pag"&amp;"e "",ISERROR(SEARCH(""–"",x))),x&amp;""–""&amp;REGEXEXTRACT(x,""[0-9]+$""),x)),"""")"),"")</f>
        <v/>
      </c>
      <c r="G2169" s="163"/>
      <c r="H21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Helper'!$F$5:$F$3004,"""")&lt;&gt;""""),ROWS(H$5:H2169)),"""")"),"")</f>
        <v/>
      </c>
    </row>
    <row r="2170" ht="15.75" customHeight="1">
      <c r="A21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Helper'!$F$5:$F$3004,"""")&lt;&gt;""""),ROWS(A$5:A2170)),"""")"),"")</f>
        <v/>
      </c>
      <c r="B21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Helper'!$F$5:$F$3004,"""")&lt;&gt;""""),ROWS(B$5:B2170)),"""")"),"")</f>
        <v/>
      </c>
      <c r="C21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Helper'!$F$5:$F$3004,"""")&lt;&gt;""""),ROWS(C$5:C2170)),"""")"),"")</f>
        <v/>
      </c>
      <c r="D21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Helper'!$F$5:$F$3004,"""")&lt;&gt;""""),ROWS(D$5:D2170)),"""")"),"")</f>
        <v/>
      </c>
      <c r="E21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Helper'!$F$5:$F$3004,"""")&lt;&gt;""""),ROWS(E$5:E2170)),"""")"),"")</f>
        <v/>
      </c>
      <c r="F21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Helper'!$F$5:$F$3004,"""")&lt;&gt;""""),ROWS(F$5:F2170)),IF(AND(LEFT(x,5)=""Pag"&amp;"e "",ISERROR(SEARCH(""–"",x))),x&amp;""–""&amp;REGEXEXTRACT(x,""[0-9]+$""),x)),"""")"),"")</f>
        <v/>
      </c>
      <c r="G2170" s="163"/>
      <c r="H21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Helper'!$F$5:$F$3004,"""")&lt;&gt;""""),ROWS(H$5:H2170)),"""")"),"")</f>
        <v/>
      </c>
    </row>
    <row r="2171" ht="15.75" customHeight="1">
      <c r="A21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Helper'!$F$5:$F$3004,"""")&lt;&gt;""""),ROWS(A$5:A2171)),"""")"),"")</f>
        <v/>
      </c>
      <c r="B21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Helper'!$F$5:$F$3004,"""")&lt;&gt;""""),ROWS(B$5:B2171)),"""")"),"")</f>
        <v/>
      </c>
      <c r="C21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Helper'!$F$5:$F$3004,"""")&lt;&gt;""""),ROWS(C$5:C2171)),"""")"),"")</f>
        <v/>
      </c>
      <c r="D21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Helper'!$F$5:$F$3004,"""")&lt;&gt;""""),ROWS(D$5:D2171)),"""")"),"")</f>
        <v/>
      </c>
      <c r="E21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Helper'!$F$5:$F$3004,"""")&lt;&gt;""""),ROWS(E$5:E2171)),"""")"),"")</f>
        <v/>
      </c>
      <c r="F21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Helper'!$F$5:$F$3004,"""")&lt;&gt;""""),ROWS(F$5:F2171)),IF(AND(LEFT(x,5)=""Pag"&amp;"e "",ISERROR(SEARCH(""–"",x))),x&amp;""–""&amp;REGEXEXTRACT(x,""[0-9]+$""),x)),"""")"),"")</f>
        <v/>
      </c>
      <c r="G2171" s="163"/>
      <c r="H21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Helper'!$F$5:$F$3004,"""")&lt;&gt;""""),ROWS(H$5:H2171)),"""")"),"")</f>
        <v/>
      </c>
    </row>
    <row r="2172" ht="15.75" customHeight="1">
      <c r="A21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Helper'!$F$5:$F$3004,"""")&lt;&gt;""""),ROWS(A$5:A2172)),"""")"),"")</f>
        <v/>
      </c>
      <c r="B21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Helper'!$F$5:$F$3004,"""")&lt;&gt;""""),ROWS(B$5:B2172)),"""")"),"")</f>
        <v/>
      </c>
      <c r="C21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Helper'!$F$5:$F$3004,"""")&lt;&gt;""""),ROWS(C$5:C2172)),"""")"),"")</f>
        <v/>
      </c>
      <c r="D21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Helper'!$F$5:$F$3004,"""")&lt;&gt;""""),ROWS(D$5:D2172)),"""")"),"")</f>
        <v/>
      </c>
      <c r="E21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Helper'!$F$5:$F$3004,"""")&lt;&gt;""""),ROWS(E$5:E2172)),"""")"),"")</f>
        <v/>
      </c>
      <c r="F21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Helper'!$F$5:$F$3004,"""")&lt;&gt;""""),ROWS(F$5:F2172)),IF(AND(LEFT(x,5)=""Pag"&amp;"e "",ISERROR(SEARCH(""–"",x))),x&amp;""–""&amp;REGEXEXTRACT(x,""[0-9]+$""),x)),"""")"),"")</f>
        <v/>
      </c>
      <c r="G2172" s="163"/>
      <c r="H21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Helper'!$F$5:$F$3004,"""")&lt;&gt;""""),ROWS(H$5:H2172)),"""")"),"")</f>
        <v/>
      </c>
    </row>
    <row r="2173" ht="15.75" customHeight="1">
      <c r="A21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Helper'!$F$5:$F$3004,"""")&lt;&gt;""""),ROWS(A$5:A2173)),"""")"),"")</f>
        <v/>
      </c>
      <c r="B21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Helper'!$F$5:$F$3004,"""")&lt;&gt;""""),ROWS(B$5:B2173)),"""")"),"")</f>
        <v/>
      </c>
      <c r="C21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Helper'!$F$5:$F$3004,"""")&lt;&gt;""""),ROWS(C$5:C2173)),"""")"),"")</f>
        <v/>
      </c>
      <c r="D21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Helper'!$F$5:$F$3004,"""")&lt;&gt;""""),ROWS(D$5:D2173)),"""")"),"")</f>
        <v/>
      </c>
      <c r="E21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Helper'!$F$5:$F$3004,"""")&lt;&gt;""""),ROWS(E$5:E2173)),"""")"),"")</f>
        <v/>
      </c>
      <c r="F21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Helper'!$F$5:$F$3004,"""")&lt;&gt;""""),ROWS(F$5:F2173)),IF(AND(LEFT(x,5)=""Pag"&amp;"e "",ISERROR(SEARCH(""–"",x))),x&amp;""–""&amp;REGEXEXTRACT(x,""[0-9]+$""),x)),"""")"),"")</f>
        <v/>
      </c>
      <c r="G2173" s="163"/>
      <c r="H21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Helper'!$F$5:$F$3004,"""")&lt;&gt;""""),ROWS(H$5:H2173)),"""")"),"")</f>
        <v/>
      </c>
    </row>
    <row r="2174" ht="15.75" customHeight="1">
      <c r="A21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Helper'!$F$5:$F$3004,"""")&lt;&gt;""""),ROWS(A$5:A2174)),"""")"),"")</f>
        <v/>
      </c>
      <c r="B21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Helper'!$F$5:$F$3004,"""")&lt;&gt;""""),ROWS(B$5:B2174)),"""")"),"")</f>
        <v/>
      </c>
      <c r="C21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Helper'!$F$5:$F$3004,"""")&lt;&gt;""""),ROWS(C$5:C2174)),"""")"),"")</f>
        <v/>
      </c>
      <c r="D21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Helper'!$F$5:$F$3004,"""")&lt;&gt;""""),ROWS(D$5:D2174)),"""")"),"")</f>
        <v/>
      </c>
      <c r="E21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Helper'!$F$5:$F$3004,"""")&lt;&gt;""""),ROWS(E$5:E2174)),"""")"),"")</f>
        <v/>
      </c>
      <c r="F21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Helper'!$F$5:$F$3004,"""")&lt;&gt;""""),ROWS(F$5:F2174)),IF(AND(LEFT(x,5)=""Pag"&amp;"e "",ISERROR(SEARCH(""–"",x))),x&amp;""–""&amp;REGEXEXTRACT(x,""[0-9]+$""),x)),"""")"),"")</f>
        <v/>
      </c>
      <c r="G2174" s="163"/>
      <c r="H21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Helper'!$F$5:$F$3004,"""")&lt;&gt;""""),ROWS(H$5:H2174)),"""")"),"")</f>
        <v/>
      </c>
    </row>
    <row r="2175" ht="15.75" customHeight="1">
      <c r="A21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Helper'!$F$5:$F$3004,"""")&lt;&gt;""""),ROWS(A$5:A2175)),"""")"),"")</f>
        <v/>
      </c>
      <c r="B21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Helper'!$F$5:$F$3004,"""")&lt;&gt;""""),ROWS(B$5:B2175)),"""")"),"")</f>
        <v/>
      </c>
      <c r="C21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Helper'!$F$5:$F$3004,"""")&lt;&gt;""""),ROWS(C$5:C2175)),"""")"),"")</f>
        <v/>
      </c>
      <c r="D21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Helper'!$F$5:$F$3004,"""")&lt;&gt;""""),ROWS(D$5:D2175)),"""")"),"")</f>
        <v/>
      </c>
      <c r="E21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Helper'!$F$5:$F$3004,"""")&lt;&gt;""""),ROWS(E$5:E2175)),"""")"),"")</f>
        <v/>
      </c>
      <c r="F21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Helper'!$F$5:$F$3004,"""")&lt;&gt;""""),ROWS(F$5:F2175)),IF(AND(LEFT(x,5)=""Pag"&amp;"e "",ISERROR(SEARCH(""–"",x))),x&amp;""–""&amp;REGEXEXTRACT(x,""[0-9]+$""),x)),"""")"),"")</f>
        <v/>
      </c>
      <c r="G2175" s="163"/>
      <c r="H21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Helper'!$F$5:$F$3004,"""")&lt;&gt;""""),ROWS(H$5:H2175)),"""")"),"")</f>
        <v/>
      </c>
    </row>
    <row r="2176" ht="15.75" customHeight="1">
      <c r="A21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Helper'!$F$5:$F$3004,"""")&lt;&gt;""""),ROWS(A$5:A2176)),"""")"),"")</f>
        <v/>
      </c>
      <c r="B21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Helper'!$F$5:$F$3004,"""")&lt;&gt;""""),ROWS(B$5:B2176)),"""")"),"")</f>
        <v/>
      </c>
      <c r="C21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Helper'!$F$5:$F$3004,"""")&lt;&gt;""""),ROWS(C$5:C2176)),"""")"),"")</f>
        <v/>
      </c>
      <c r="D21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Helper'!$F$5:$F$3004,"""")&lt;&gt;""""),ROWS(D$5:D2176)),"""")"),"")</f>
        <v/>
      </c>
      <c r="E21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Helper'!$F$5:$F$3004,"""")&lt;&gt;""""),ROWS(E$5:E2176)),"""")"),"")</f>
        <v/>
      </c>
      <c r="F21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Helper'!$F$5:$F$3004,"""")&lt;&gt;""""),ROWS(F$5:F2176)),IF(AND(LEFT(x,5)=""Pag"&amp;"e "",ISERROR(SEARCH(""–"",x))),x&amp;""–""&amp;REGEXEXTRACT(x,""[0-9]+$""),x)),"""")"),"")</f>
        <v/>
      </c>
      <c r="G2176" s="163"/>
      <c r="H21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Helper'!$F$5:$F$3004,"""")&lt;&gt;""""),ROWS(H$5:H2176)),"""")"),"")</f>
        <v/>
      </c>
    </row>
    <row r="2177" ht="15.75" customHeight="1">
      <c r="A21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Helper'!$F$5:$F$3004,"""")&lt;&gt;""""),ROWS(A$5:A2177)),"""")"),"")</f>
        <v/>
      </c>
      <c r="B21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Helper'!$F$5:$F$3004,"""")&lt;&gt;""""),ROWS(B$5:B2177)),"""")"),"")</f>
        <v/>
      </c>
      <c r="C21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Helper'!$F$5:$F$3004,"""")&lt;&gt;""""),ROWS(C$5:C2177)),"""")"),"")</f>
        <v/>
      </c>
      <c r="D21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Helper'!$F$5:$F$3004,"""")&lt;&gt;""""),ROWS(D$5:D2177)),"""")"),"")</f>
        <v/>
      </c>
      <c r="E21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Helper'!$F$5:$F$3004,"""")&lt;&gt;""""),ROWS(E$5:E2177)),"""")"),"")</f>
        <v/>
      </c>
      <c r="F21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Helper'!$F$5:$F$3004,"""")&lt;&gt;""""),ROWS(F$5:F2177)),IF(AND(LEFT(x,5)=""Pag"&amp;"e "",ISERROR(SEARCH(""–"",x))),x&amp;""–""&amp;REGEXEXTRACT(x,""[0-9]+$""),x)),"""")"),"")</f>
        <v/>
      </c>
      <c r="G2177" s="163"/>
      <c r="H21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Helper'!$F$5:$F$3004,"""")&lt;&gt;""""),ROWS(H$5:H2177)),"""")"),"")</f>
        <v/>
      </c>
    </row>
    <row r="2178" ht="15.75" customHeight="1">
      <c r="A21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Helper'!$F$5:$F$3004,"""")&lt;&gt;""""),ROWS(A$5:A2178)),"""")"),"")</f>
        <v/>
      </c>
      <c r="B21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Helper'!$F$5:$F$3004,"""")&lt;&gt;""""),ROWS(B$5:B2178)),"""")"),"")</f>
        <v/>
      </c>
      <c r="C21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Helper'!$F$5:$F$3004,"""")&lt;&gt;""""),ROWS(C$5:C2178)),"""")"),"")</f>
        <v/>
      </c>
      <c r="D21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Helper'!$F$5:$F$3004,"""")&lt;&gt;""""),ROWS(D$5:D2178)),"""")"),"")</f>
        <v/>
      </c>
      <c r="E21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Helper'!$F$5:$F$3004,"""")&lt;&gt;""""),ROWS(E$5:E2178)),"""")"),"")</f>
        <v/>
      </c>
      <c r="F21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Helper'!$F$5:$F$3004,"""")&lt;&gt;""""),ROWS(F$5:F2178)),IF(AND(LEFT(x,5)=""Pag"&amp;"e "",ISERROR(SEARCH(""–"",x))),x&amp;""–""&amp;REGEXEXTRACT(x,""[0-9]+$""),x)),"""")"),"")</f>
        <v/>
      </c>
      <c r="G2178" s="163"/>
      <c r="H21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Helper'!$F$5:$F$3004,"""")&lt;&gt;""""),ROWS(H$5:H2178)),"""")"),"")</f>
        <v/>
      </c>
    </row>
    <row r="2179" ht="15.75" customHeight="1">
      <c r="A21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Helper'!$F$5:$F$3004,"""")&lt;&gt;""""),ROWS(A$5:A2179)),"""")"),"")</f>
        <v/>
      </c>
      <c r="B21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Helper'!$F$5:$F$3004,"""")&lt;&gt;""""),ROWS(B$5:B2179)),"""")"),"")</f>
        <v/>
      </c>
      <c r="C21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Helper'!$F$5:$F$3004,"""")&lt;&gt;""""),ROWS(C$5:C2179)),"""")"),"")</f>
        <v/>
      </c>
      <c r="D21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Helper'!$F$5:$F$3004,"""")&lt;&gt;""""),ROWS(D$5:D2179)),"""")"),"")</f>
        <v/>
      </c>
      <c r="E21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Helper'!$F$5:$F$3004,"""")&lt;&gt;""""),ROWS(E$5:E2179)),"""")"),"")</f>
        <v/>
      </c>
      <c r="F21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Helper'!$F$5:$F$3004,"""")&lt;&gt;""""),ROWS(F$5:F2179)),IF(AND(LEFT(x,5)=""Pag"&amp;"e "",ISERROR(SEARCH(""–"",x))),x&amp;""–""&amp;REGEXEXTRACT(x,""[0-9]+$""),x)),"""")"),"")</f>
        <v/>
      </c>
      <c r="G2179" s="163"/>
      <c r="H21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Helper'!$F$5:$F$3004,"""")&lt;&gt;""""),ROWS(H$5:H2179)),"""")"),"")</f>
        <v/>
      </c>
    </row>
    <row r="2180" ht="15.75" customHeight="1">
      <c r="A21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Helper'!$F$5:$F$3004,"""")&lt;&gt;""""),ROWS(A$5:A2180)),"""")"),"")</f>
        <v/>
      </c>
      <c r="B21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Helper'!$F$5:$F$3004,"""")&lt;&gt;""""),ROWS(B$5:B2180)),"""")"),"")</f>
        <v/>
      </c>
      <c r="C21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Helper'!$F$5:$F$3004,"""")&lt;&gt;""""),ROWS(C$5:C2180)),"""")"),"")</f>
        <v/>
      </c>
      <c r="D21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Helper'!$F$5:$F$3004,"""")&lt;&gt;""""),ROWS(D$5:D2180)),"""")"),"")</f>
        <v/>
      </c>
      <c r="E21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Helper'!$F$5:$F$3004,"""")&lt;&gt;""""),ROWS(E$5:E2180)),"""")"),"")</f>
        <v/>
      </c>
      <c r="F21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Helper'!$F$5:$F$3004,"""")&lt;&gt;""""),ROWS(F$5:F2180)),IF(AND(LEFT(x,5)=""Pag"&amp;"e "",ISERROR(SEARCH(""–"",x))),x&amp;""–""&amp;REGEXEXTRACT(x,""[0-9]+$""),x)),"""")"),"")</f>
        <v/>
      </c>
      <c r="G2180" s="163"/>
      <c r="H21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Helper'!$F$5:$F$3004,"""")&lt;&gt;""""),ROWS(H$5:H2180)),"""")"),"")</f>
        <v/>
      </c>
    </row>
    <row r="2181" ht="15.75" customHeight="1">
      <c r="A21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Helper'!$F$5:$F$3004,"""")&lt;&gt;""""),ROWS(A$5:A2181)),"""")"),"")</f>
        <v/>
      </c>
      <c r="B21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Helper'!$F$5:$F$3004,"""")&lt;&gt;""""),ROWS(B$5:B2181)),"""")"),"")</f>
        <v/>
      </c>
      <c r="C21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Helper'!$F$5:$F$3004,"""")&lt;&gt;""""),ROWS(C$5:C2181)),"""")"),"")</f>
        <v/>
      </c>
      <c r="D21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Helper'!$F$5:$F$3004,"""")&lt;&gt;""""),ROWS(D$5:D2181)),"""")"),"")</f>
        <v/>
      </c>
      <c r="E21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Helper'!$F$5:$F$3004,"""")&lt;&gt;""""),ROWS(E$5:E2181)),"""")"),"")</f>
        <v/>
      </c>
      <c r="F21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Helper'!$F$5:$F$3004,"""")&lt;&gt;""""),ROWS(F$5:F2181)),IF(AND(LEFT(x,5)=""Pag"&amp;"e "",ISERROR(SEARCH(""–"",x))),x&amp;""–""&amp;REGEXEXTRACT(x,""[0-9]+$""),x)),"""")"),"")</f>
        <v/>
      </c>
      <c r="G2181" s="163"/>
      <c r="H21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Helper'!$F$5:$F$3004,"""")&lt;&gt;""""),ROWS(H$5:H2181)),"""")"),"")</f>
        <v/>
      </c>
    </row>
    <row r="2182" ht="15.75" customHeight="1">
      <c r="A21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Helper'!$F$5:$F$3004,"""")&lt;&gt;""""),ROWS(A$5:A2182)),"""")"),"")</f>
        <v/>
      </c>
      <c r="B21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Helper'!$F$5:$F$3004,"""")&lt;&gt;""""),ROWS(B$5:B2182)),"""")"),"")</f>
        <v/>
      </c>
      <c r="C21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Helper'!$F$5:$F$3004,"""")&lt;&gt;""""),ROWS(C$5:C2182)),"""")"),"")</f>
        <v/>
      </c>
      <c r="D21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Helper'!$F$5:$F$3004,"""")&lt;&gt;""""),ROWS(D$5:D2182)),"""")"),"")</f>
        <v/>
      </c>
      <c r="E21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Helper'!$F$5:$F$3004,"""")&lt;&gt;""""),ROWS(E$5:E2182)),"""")"),"")</f>
        <v/>
      </c>
      <c r="F21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Helper'!$F$5:$F$3004,"""")&lt;&gt;""""),ROWS(F$5:F2182)),IF(AND(LEFT(x,5)=""Pag"&amp;"e "",ISERROR(SEARCH(""–"",x))),x&amp;""–""&amp;REGEXEXTRACT(x,""[0-9]+$""),x)),"""")"),"")</f>
        <v/>
      </c>
      <c r="G2182" s="163"/>
      <c r="H21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Helper'!$F$5:$F$3004,"""")&lt;&gt;""""),ROWS(H$5:H2182)),"""")"),"")</f>
        <v/>
      </c>
    </row>
    <row r="2183" ht="15.75" customHeight="1">
      <c r="A21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Helper'!$F$5:$F$3004,"""")&lt;&gt;""""),ROWS(A$5:A2183)),"""")"),"")</f>
        <v/>
      </c>
      <c r="B21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Helper'!$F$5:$F$3004,"""")&lt;&gt;""""),ROWS(B$5:B2183)),"""")"),"")</f>
        <v/>
      </c>
      <c r="C21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Helper'!$F$5:$F$3004,"""")&lt;&gt;""""),ROWS(C$5:C2183)),"""")"),"")</f>
        <v/>
      </c>
      <c r="D21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Helper'!$F$5:$F$3004,"""")&lt;&gt;""""),ROWS(D$5:D2183)),"""")"),"")</f>
        <v/>
      </c>
      <c r="E21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Helper'!$F$5:$F$3004,"""")&lt;&gt;""""),ROWS(E$5:E2183)),"""")"),"")</f>
        <v/>
      </c>
      <c r="F21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Helper'!$F$5:$F$3004,"""")&lt;&gt;""""),ROWS(F$5:F2183)),IF(AND(LEFT(x,5)=""Pag"&amp;"e "",ISERROR(SEARCH(""–"",x))),x&amp;""–""&amp;REGEXEXTRACT(x,""[0-9]+$""),x)),"""")"),"")</f>
        <v/>
      </c>
      <c r="G2183" s="163"/>
      <c r="H21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Helper'!$F$5:$F$3004,"""")&lt;&gt;""""),ROWS(H$5:H2183)),"""")"),"")</f>
        <v/>
      </c>
    </row>
    <row r="2184" ht="15.75" customHeight="1">
      <c r="A21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Helper'!$F$5:$F$3004,"""")&lt;&gt;""""),ROWS(A$5:A2184)),"""")"),"")</f>
        <v/>
      </c>
      <c r="B21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Helper'!$F$5:$F$3004,"""")&lt;&gt;""""),ROWS(B$5:B2184)),"""")"),"")</f>
        <v/>
      </c>
      <c r="C21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Helper'!$F$5:$F$3004,"""")&lt;&gt;""""),ROWS(C$5:C2184)),"""")"),"")</f>
        <v/>
      </c>
      <c r="D21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Helper'!$F$5:$F$3004,"""")&lt;&gt;""""),ROWS(D$5:D2184)),"""")"),"")</f>
        <v/>
      </c>
      <c r="E21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Helper'!$F$5:$F$3004,"""")&lt;&gt;""""),ROWS(E$5:E2184)),"""")"),"")</f>
        <v/>
      </c>
      <c r="F21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Helper'!$F$5:$F$3004,"""")&lt;&gt;""""),ROWS(F$5:F2184)),IF(AND(LEFT(x,5)=""Pag"&amp;"e "",ISERROR(SEARCH(""–"",x))),x&amp;""–""&amp;REGEXEXTRACT(x,""[0-9]+$""),x)),"""")"),"")</f>
        <v/>
      </c>
      <c r="G2184" s="163"/>
      <c r="H21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Helper'!$F$5:$F$3004,"""")&lt;&gt;""""),ROWS(H$5:H2184)),"""")"),"")</f>
        <v/>
      </c>
    </row>
    <row r="2185" ht="15.75" customHeight="1">
      <c r="A21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Helper'!$F$5:$F$3004,"""")&lt;&gt;""""),ROWS(A$5:A2185)),"""")"),"")</f>
        <v/>
      </c>
      <c r="B21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Helper'!$F$5:$F$3004,"""")&lt;&gt;""""),ROWS(B$5:B2185)),"""")"),"")</f>
        <v/>
      </c>
      <c r="C21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Helper'!$F$5:$F$3004,"""")&lt;&gt;""""),ROWS(C$5:C2185)),"""")"),"")</f>
        <v/>
      </c>
      <c r="D21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Helper'!$F$5:$F$3004,"""")&lt;&gt;""""),ROWS(D$5:D2185)),"""")"),"")</f>
        <v/>
      </c>
      <c r="E21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Helper'!$F$5:$F$3004,"""")&lt;&gt;""""),ROWS(E$5:E2185)),"""")"),"")</f>
        <v/>
      </c>
      <c r="F21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Helper'!$F$5:$F$3004,"""")&lt;&gt;""""),ROWS(F$5:F2185)),IF(AND(LEFT(x,5)=""Pag"&amp;"e "",ISERROR(SEARCH(""–"",x))),x&amp;""–""&amp;REGEXEXTRACT(x,""[0-9]+$""),x)),"""")"),"")</f>
        <v/>
      </c>
      <c r="G2185" s="163"/>
      <c r="H21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Helper'!$F$5:$F$3004,"""")&lt;&gt;""""),ROWS(H$5:H2185)),"""")"),"")</f>
        <v/>
      </c>
    </row>
    <row r="2186" ht="15.75" customHeight="1">
      <c r="A21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Helper'!$F$5:$F$3004,"""")&lt;&gt;""""),ROWS(A$5:A2186)),"""")"),"")</f>
        <v/>
      </c>
      <c r="B21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Helper'!$F$5:$F$3004,"""")&lt;&gt;""""),ROWS(B$5:B2186)),"""")"),"")</f>
        <v/>
      </c>
      <c r="C21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Helper'!$F$5:$F$3004,"""")&lt;&gt;""""),ROWS(C$5:C2186)),"""")"),"")</f>
        <v/>
      </c>
      <c r="D21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Helper'!$F$5:$F$3004,"""")&lt;&gt;""""),ROWS(D$5:D2186)),"""")"),"")</f>
        <v/>
      </c>
      <c r="E21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Helper'!$F$5:$F$3004,"""")&lt;&gt;""""),ROWS(E$5:E2186)),"""")"),"")</f>
        <v/>
      </c>
      <c r="F21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Helper'!$F$5:$F$3004,"""")&lt;&gt;""""),ROWS(F$5:F2186)),IF(AND(LEFT(x,5)=""Pag"&amp;"e "",ISERROR(SEARCH(""–"",x))),x&amp;""–""&amp;REGEXEXTRACT(x,""[0-9]+$""),x)),"""")"),"")</f>
        <v/>
      </c>
      <c r="G2186" s="163"/>
      <c r="H21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Helper'!$F$5:$F$3004,"""")&lt;&gt;""""),ROWS(H$5:H2186)),"""")"),"")</f>
        <v/>
      </c>
    </row>
    <row r="2187" ht="15.75" customHeight="1">
      <c r="A21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Helper'!$F$5:$F$3004,"""")&lt;&gt;""""),ROWS(A$5:A2187)),"""")"),"")</f>
        <v/>
      </c>
      <c r="B21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Helper'!$F$5:$F$3004,"""")&lt;&gt;""""),ROWS(B$5:B2187)),"""")"),"")</f>
        <v/>
      </c>
      <c r="C21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Helper'!$F$5:$F$3004,"""")&lt;&gt;""""),ROWS(C$5:C2187)),"""")"),"")</f>
        <v/>
      </c>
      <c r="D21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Helper'!$F$5:$F$3004,"""")&lt;&gt;""""),ROWS(D$5:D2187)),"""")"),"")</f>
        <v/>
      </c>
      <c r="E21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Helper'!$F$5:$F$3004,"""")&lt;&gt;""""),ROWS(E$5:E2187)),"""")"),"")</f>
        <v/>
      </c>
      <c r="F21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Helper'!$F$5:$F$3004,"""")&lt;&gt;""""),ROWS(F$5:F2187)),IF(AND(LEFT(x,5)=""Pag"&amp;"e "",ISERROR(SEARCH(""–"",x))),x&amp;""–""&amp;REGEXEXTRACT(x,""[0-9]+$""),x)),"""")"),"")</f>
        <v/>
      </c>
      <c r="G2187" s="163"/>
      <c r="H21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Helper'!$F$5:$F$3004,"""")&lt;&gt;""""),ROWS(H$5:H2187)),"""")"),"")</f>
        <v/>
      </c>
    </row>
    <row r="2188" ht="15.75" customHeight="1">
      <c r="A21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Helper'!$F$5:$F$3004,"""")&lt;&gt;""""),ROWS(A$5:A2188)),"""")"),"")</f>
        <v/>
      </c>
      <c r="B21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Helper'!$F$5:$F$3004,"""")&lt;&gt;""""),ROWS(B$5:B2188)),"""")"),"")</f>
        <v/>
      </c>
      <c r="C21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Helper'!$F$5:$F$3004,"""")&lt;&gt;""""),ROWS(C$5:C2188)),"""")"),"")</f>
        <v/>
      </c>
      <c r="D21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Helper'!$F$5:$F$3004,"""")&lt;&gt;""""),ROWS(D$5:D2188)),"""")"),"")</f>
        <v/>
      </c>
      <c r="E21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Helper'!$F$5:$F$3004,"""")&lt;&gt;""""),ROWS(E$5:E2188)),"""")"),"")</f>
        <v/>
      </c>
      <c r="F21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Helper'!$F$5:$F$3004,"""")&lt;&gt;""""),ROWS(F$5:F2188)),IF(AND(LEFT(x,5)=""Pag"&amp;"e "",ISERROR(SEARCH(""–"",x))),x&amp;""–""&amp;REGEXEXTRACT(x,""[0-9]+$""),x)),"""")"),"")</f>
        <v/>
      </c>
      <c r="G2188" s="163"/>
      <c r="H21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Helper'!$F$5:$F$3004,"""")&lt;&gt;""""),ROWS(H$5:H2188)),"""")"),"")</f>
        <v/>
      </c>
    </row>
    <row r="2189" ht="15.75" customHeight="1">
      <c r="A21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Helper'!$F$5:$F$3004,"""")&lt;&gt;""""),ROWS(A$5:A2189)),"""")"),"")</f>
        <v/>
      </c>
      <c r="B21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Helper'!$F$5:$F$3004,"""")&lt;&gt;""""),ROWS(B$5:B2189)),"""")"),"")</f>
        <v/>
      </c>
      <c r="C21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Helper'!$F$5:$F$3004,"""")&lt;&gt;""""),ROWS(C$5:C2189)),"""")"),"")</f>
        <v/>
      </c>
      <c r="D21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Helper'!$F$5:$F$3004,"""")&lt;&gt;""""),ROWS(D$5:D2189)),"""")"),"")</f>
        <v/>
      </c>
      <c r="E21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Helper'!$F$5:$F$3004,"""")&lt;&gt;""""),ROWS(E$5:E2189)),"""")"),"")</f>
        <v/>
      </c>
      <c r="F21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Helper'!$F$5:$F$3004,"""")&lt;&gt;""""),ROWS(F$5:F2189)),IF(AND(LEFT(x,5)=""Pag"&amp;"e "",ISERROR(SEARCH(""–"",x))),x&amp;""–""&amp;REGEXEXTRACT(x,""[0-9]+$""),x)),"""")"),"")</f>
        <v/>
      </c>
      <c r="G2189" s="163"/>
      <c r="H21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Helper'!$F$5:$F$3004,"""")&lt;&gt;""""),ROWS(H$5:H2189)),"""")"),"")</f>
        <v/>
      </c>
    </row>
    <row r="2190" ht="15.75" customHeight="1">
      <c r="A21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Helper'!$F$5:$F$3004,"""")&lt;&gt;""""),ROWS(A$5:A2190)),"""")"),"")</f>
        <v/>
      </c>
      <c r="B21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Helper'!$F$5:$F$3004,"""")&lt;&gt;""""),ROWS(B$5:B2190)),"""")"),"")</f>
        <v/>
      </c>
      <c r="C21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Helper'!$F$5:$F$3004,"""")&lt;&gt;""""),ROWS(C$5:C2190)),"""")"),"")</f>
        <v/>
      </c>
      <c r="D21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Helper'!$F$5:$F$3004,"""")&lt;&gt;""""),ROWS(D$5:D2190)),"""")"),"")</f>
        <v/>
      </c>
      <c r="E21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Helper'!$F$5:$F$3004,"""")&lt;&gt;""""),ROWS(E$5:E2190)),"""")"),"")</f>
        <v/>
      </c>
      <c r="F21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Helper'!$F$5:$F$3004,"""")&lt;&gt;""""),ROWS(F$5:F2190)),IF(AND(LEFT(x,5)=""Pag"&amp;"e "",ISERROR(SEARCH(""–"",x))),x&amp;""–""&amp;REGEXEXTRACT(x,""[0-9]+$""),x)),"""")"),"")</f>
        <v/>
      </c>
      <c r="G2190" s="163"/>
      <c r="H21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Helper'!$F$5:$F$3004,"""")&lt;&gt;""""),ROWS(H$5:H2190)),"""")"),"")</f>
        <v/>
      </c>
    </row>
    <row r="2191" ht="15.75" customHeight="1">
      <c r="A21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Helper'!$F$5:$F$3004,"""")&lt;&gt;""""),ROWS(A$5:A2191)),"""")"),"")</f>
        <v/>
      </c>
      <c r="B21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Helper'!$F$5:$F$3004,"""")&lt;&gt;""""),ROWS(B$5:B2191)),"""")"),"")</f>
        <v/>
      </c>
      <c r="C21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Helper'!$F$5:$F$3004,"""")&lt;&gt;""""),ROWS(C$5:C2191)),"""")"),"")</f>
        <v/>
      </c>
      <c r="D21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Helper'!$F$5:$F$3004,"""")&lt;&gt;""""),ROWS(D$5:D2191)),"""")"),"")</f>
        <v/>
      </c>
      <c r="E21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Helper'!$F$5:$F$3004,"""")&lt;&gt;""""),ROWS(E$5:E2191)),"""")"),"")</f>
        <v/>
      </c>
      <c r="F21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Helper'!$F$5:$F$3004,"""")&lt;&gt;""""),ROWS(F$5:F2191)),IF(AND(LEFT(x,5)=""Pag"&amp;"e "",ISERROR(SEARCH(""–"",x))),x&amp;""–""&amp;REGEXEXTRACT(x,""[0-9]+$""),x)),"""")"),"")</f>
        <v/>
      </c>
      <c r="G2191" s="163"/>
      <c r="H21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Helper'!$F$5:$F$3004,"""")&lt;&gt;""""),ROWS(H$5:H2191)),"""")"),"")</f>
        <v/>
      </c>
    </row>
    <row r="2192" ht="15.75" customHeight="1">
      <c r="A21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Helper'!$F$5:$F$3004,"""")&lt;&gt;""""),ROWS(A$5:A2192)),"""")"),"")</f>
        <v/>
      </c>
      <c r="B21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Helper'!$F$5:$F$3004,"""")&lt;&gt;""""),ROWS(B$5:B2192)),"""")"),"")</f>
        <v/>
      </c>
      <c r="C21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Helper'!$F$5:$F$3004,"""")&lt;&gt;""""),ROWS(C$5:C2192)),"""")"),"")</f>
        <v/>
      </c>
      <c r="D21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Helper'!$F$5:$F$3004,"""")&lt;&gt;""""),ROWS(D$5:D2192)),"""")"),"")</f>
        <v/>
      </c>
      <c r="E21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Helper'!$F$5:$F$3004,"""")&lt;&gt;""""),ROWS(E$5:E2192)),"""")"),"")</f>
        <v/>
      </c>
      <c r="F21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Helper'!$F$5:$F$3004,"""")&lt;&gt;""""),ROWS(F$5:F2192)),IF(AND(LEFT(x,5)=""Pag"&amp;"e "",ISERROR(SEARCH(""–"",x))),x&amp;""–""&amp;REGEXEXTRACT(x,""[0-9]+$""),x)),"""")"),"")</f>
        <v/>
      </c>
      <c r="G2192" s="163"/>
      <c r="H21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Helper'!$F$5:$F$3004,"""")&lt;&gt;""""),ROWS(H$5:H2192)),"""")"),"")</f>
        <v/>
      </c>
    </row>
    <row r="2193" ht="15.75" customHeight="1">
      <c r="A21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Helper'!$F$5:$F$3004,"""")&lt;&gt;""""),ROWS(A$5:A2193)),"""")"),"")</f>
        <v/>
      </c>
      <c r="B21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Helper'!$F$5:$F$3004,"""")&lt;&gt;""""),ROWS(B$5:B2193)),"""")"),"")</f>
        <v/>
      </c>
      <c r="C21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Helper'!$F$5:$F$3004,"""")&lt;&gt;""""),ROWS(C$5:C2193)),"""")"),"")</f>
        <v/>
      </c>
      <c r="D21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Helper'!$F$5:$F$3004,"""")&lt;&gt;""""),ROWS(D$5:D2193)),"""")"),"")</f>
        <v/>
      </c>
      <c r="E21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Helper'!$F$5:$F$3004,"""")&lt;&gt;""""),ROWS(E$5:E2193)),"""")"),"")</f>
        <v/>
      </c>
      <c r="F21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Helper'!$F$5:$F$3004,"""")&lt;&gt;""""),ROWS(F$5:F2193)),IF(AND(LEFT(x,5)=""Pag"&amp;"e "",ISERROR(SEARCH(""–"",x))),x&amp;""–""&amp;REGEXEXTRACT(x,""[0-9]+$""),x)),"""")"),"")</f>
        <v/>
      </c>
      <c r="G2193" s="163"/>
      <c r="H21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Helper'!$F$5:$F$3004,"""")&lt;&gt;""""),ROWS(H$5:H2193)),"""")"),"")</f>
        <v/>
      </c>
    </row>
    <row r="2194" ht="15.75" customHeight="1">
      <c r="A21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Helper'!$F$5:$F$3004,"""")&lt;&gt;""""),ROWS(A$5:A2194)),"""")"),"")</f>
        <v/>
      </c>
      <c r="B21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Helper'!$F$5:$F$3004,"""")&lt;&gt;""""),ROWS(B$5:B2194)),"""")"),"")</f>
        <v/>
      </c>
      <c r="C21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Helper'!$F$5:$F$3004,"""")&lt;&gt;""""),ROWS(C$5:C2194)),"""")"),"")</f>
        <v/>
      </c>
      <c r="D21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Helper'!$F$5:$F$3004,"""")&lt;&gt;""""),ROWS(D$5:D2194)),"""")"),"")</f>
        <v/>
      </c>
      <c r="E21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Helper'!$F$5:$F$3004,"""")&lt;&gt;""""),ROWS(E$5:E2194)),"""")"),"")</f>
        <v/>
      </c>
      <c r="F21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Helper'!$F$5:$F$3004,"""")&lt;&gt;""""),ROWS(F$5:F2194)),IF(AND(LEFT(x,5)=""Pag"&amp;"e "",ISERROR(SEARCH(""–"",x))),x&amp;""–""&amp;REGEXEXTRACT(x,""[0-9]+$""),x)),"""")"),"")</f>
        <v/>
      </c>
      <c r="G2194" s="163"/>
      <c r="H21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Helper'!$F$5:$F$3004,"""")&lt;&gt;""""),ROWS(H$5:H2194)),"""")"),"")</f>
        <v/>
      </c>
    </row>
    <row r="2195" ht="15.75" customHeight="1">
      <c r="A21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Helper'!$F$5:$F$3004,"""")&lt;&gt;""""),ROWS(A$5:A2195)),"""")"),"")</f>
        <v/>
      </c>
      <c r="B21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Helper'!$F$5:$F$3004,"""")&lt;&gt;""""),ROWS(B$5:B2195)),"""")"),"")</f>
        <v/>
      </c>
      <c r="C21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Helper'!$F$5:$F$3004,"""")&lt;&gt;""""),ROWS(C$5:C2195)),"""")"),"")</f>
        <v/>
      </c>
      <c r="D21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Helper'!$F$5:$F$3004,"""")&lt;&gt;""""),ROWS(D$5:D2195)),"""")"),"")</f>
        <v/>
      </c>
      <c r="E21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Helper'!$F$5:$F$3004,"""")&lt;&gt;""""),ROWS(E$5:E2195)),"""")"),"")</f>
        <v/>
      </c>
      <c r="F21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Helper'!$F$5:$F$3004,"""")&lt;&gt;""""),ROWS(F$5:F2195)),IF(AND(LEFT(x,5)=""Pag"&amp;"e "",ISERROR(SEARCH(""–"",x))),x&amp;""–""&amp;REGEXEXTRACT(x,""[0-9]+$""),x)),"""")"),"")</f>
        <v/>
      </c>
      <c r="G2195" s="163"/>
      <c r="H21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Helper'!$F$5:$F$3004,"""")&lt;&gt;""""),ROWS(H$5:H2195)),"""")"),"")</f>
        <v/>
      </c>
    </row>
    <row r="2196" ht="15.75" customHeight="1">
      <c r="A21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Helper'!$F$5:$F$3004,"""")&lt;&gt;""""),ROWS(A$5:A2196)),"""")"),"")</f>
        <v/>
      </c>
      <c r="B21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Helper'!$F$5:$F$3004,"""")&lt;&gt;""""),ROWS(B$5:B2196)),"""")"),"")</f>
        <v/>
      </c>
      <c r="C21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Helper'!$F$5:$F$3004,"""")&lt;&gt;""""),ROWS(C$5:C2196)),"""")"),"")</f>
        <v/>
      </c>
      <c r="D21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Helper'!$F$5:$F$3004,"""")&lt;&gt;""""),ROWS(D$5:D2196)),"""")"),"")</f>
        <v/>
      </c>
      <c r="E21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Helper'!$F$5:$F$3004,"""")&lt;&gt;""""),ROWS(E$5:E2196)),"""")"),"")</f>
        <v/>
      </c>
      <c r="F21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Helper'!$F$5:$F$3004,"""")&lt;&gt;""""),ROWS(F$5:F2196)),IF(AND(LEFT(x,5)=""Pag"&amp;"e "",ISERROR(SEARCH(""–"",x))),x&amp;""–""&amp;REGEXEXTRACT(x,""[0-9]+$""),x)),"""")"),"")</f>
        <v/>
      </c>
      <c r="G2196" s="163"/>
      <c r="H21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Helper'!$F$5:$F$3004,"""")&lt;&gt;""""),ROWS(H$5:H2196)),"""")"),"")</f>
        <v/>
      </c>
    </row>
    <row r="2197" ht="15.75" customHeight="1">
      <c r="A21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Helper'!$F$5:$F$3004,"""")&lt;&gt;""""),ROWS(A$5:A2197)),"""")"),"")</f>
        <v/>
      </c>
      <c r="B21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Helper'!$F$5:$F$3004,"""")&lt;&gt;""""),ROWS(B$5:B2197)),"""")"),"")</f>
        <v/>
      </c>
      <c r="C21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Helper'!$F$5:$F$3004,"""")&lt;&gt;""""),ROWS(C$5:C2197)),"""")"),"")</f>
        <v/>
      </c>
      <c r="D21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Helper'!$F$5:$F$3004,"""")&lt;&gt;""""),ROWS(D$5:D2197)),"""")"),"")</f>
        <v/>
      </c>
      <c r="E21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Helper'!$F$5:$F$3004,"""")&lt;&gt;""""),ROWS(E$5:E2197)),"""")"),"")</f>
        <v/>
      </c>
      <c r="F21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Helper'!$F$5:$F$3004,"""")&lt;&gt;""""),ROWS(F$5:F2197)),IF(AND(LEFT(x,5)=""Pag"&amp;"e "",ISERROR(SEARCH(""–"",x))),x&amp;""–""&amp;REGEXEXTRACT(x,""[0-9]+$""),x)),"""")"),"")</f>
        <v/>
      </c>
      <c r="G2197" s="163"/>
      <c r="H21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Helper'!$F$5:$F$3004,"""")&lt;&gt;""""),ROWS(H$5:H2197)),"""")"),"")</f>
        <v/>
      </c>
    </row>
    <row r="2198" ht="15.75" customHeight="1">
      <c r="A21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Helper'!$F$5:$F$3004,"""")&lt;&gt;""""),ROWS(A$5:A2198)),"""")"),"")</f>
        <v/>
      </c>
      <c r="B21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Helper'!$F$5:$F$3004,"""")&lt;&gt;""""),ROWS(B$5:B2198)),"""")"),"")</f>
        <v/>
      </c>
      <c r="C21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Helper'!$F$5:$F$3004,"""")&lt;&gt;""""),ROWS(C$5:C2198)),"""")"),"")</f>
        <v/>
      </c>
      <c r="D21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Helper'!$F$5:$F$3004,"""")&lt;&gt;""""),ROWS(D$5:D2198)),"""")"),"")</f>
        <v/>
      </c>
      <c r="E21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Helper'!$F$5:$F$3004,"""")&lt;&gt;""""),ROWS(E$5:E2198)),"""")"),"")</f>
        <v/>
      </c>
      <c r="F21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Helper'!$F$5:$F$3004,"""")&lt;&gt;""""),ROWS(F$5:F2198)),IF(AND(LEFT(x,5)=""Pag"&amp;"e "",ISERROR(SEARCH(""–"",x))),x&amp;""–""&amp;REGEXEXTRACT(x,""[0-9]+$""),x)),"""")"),"")</f>
        <v/>
      </c>
      <c r="G2198" s="163"/>
      <c r="H21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Helper'!$F$5:$F$3004,"""")&lt;&gt;""""),ROWS(H$5:H2198)),"""")"),"")</f>
        <v/>
      </c>
    </row>
    <row r="2199" ht="15.75" customHeight="1">
      <c r="A21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Helper'!$F$5:$F$3004,"""")&lt;&gt;""""),ROWS(A$5:A2199)),"""")"),"")</f>
        <v/>
      </c>
      <c r="B21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Helper'!$F$5:$F$3004,"""")&lt;&gt;""""),ROWS(B$5:B2199)),"""")"),"")</f>
        <v/>
      </c>
      <c r="C21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Helper'!$F$5:$F$3004,"""")&lt;&gt;""""),ROWS(C$5:C2199)),"""")"),"")</f>
        <v/>
      </c>
      <c r="D21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Helper'!$F$5:$F$3004,"""")&lt;&gt;""""),ROWS(D$5:D2199)),"""")"),"")</f>
        <v/>
      </c>
      <c r="E21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Helper'!$F$5:$F$3004,"""")&lt;&gt;""""),ROWS(E$5:E2199)),"""")"),"")</f>
        <v/>
      </c>
      <c r="F21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Helper'!$F$5:$F$3004,"""")&lt;&gt;""""),ROWS(F$5:F2199)),IF(AND(LEFT(x,5)=""Pag"&amp;"e "",ISERROR(SEARCH(""–"",x))),x&amp;""–""&amp;REGEXEXTRACT(x,""[0-9]+$""),x)),"""")"),"")</f>
        <v/>
      </c>
      <c r="G2199" s="163"/>
      <c r="H21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Helper'!$F$5:$F$3004,"""")&lt;&gt;""""),ROWS(H$5:H2199)),"""")"),"")</f>
        <v/>
      </c>
    </row>
    <row r="2200" ht="15.75" customHeight="1">
      <c r="A22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Helper'!$F$5:$F$3004,"""")&lt;&gt;""""),ROWS(A$5:A2200)),"""")"),"")</f>
        <v/>
      </c>
      <c r="B22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Helper'!$F$5:$F$3004,"""")&lt;&gt;""""),ROWS(B$5:B2200)),"""")"),"")</f>
        <v/>
      </c>
      <c r="C22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Helper'!$F$5:$F$3004,"""")&lt;&gt;""""),ROWS(C$5:C2200)),"""")"),"")</f>
        <v/>
      </c>
      <c r="D22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Helper'!$F$5:$F$3004,"""")&lt;&gt;""""),ROWS(D$5:D2200)),"""")"),"")</f>
        <v/>
      </c>
      <c r="E22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Helper'!$F$5:$F$3004,"""")&lt;&gt;""""),ROWS(E$5:E2200)),"""")"),"")</f>
        <v/>
      </c>
      <c r="F22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Helper'!$F$5:$F$3004,"""")&lt;&gt;""""),ROWS(F$5:F2200)),IF(AND(LEFT(x,5)=""Pag"&amp;"e "",ISERROR(SEARCH(""–"",x))),x&amp;""–""&amp;REGEXEXTRACT(x,""[0-9]+$""),x)),"""")"),"")</f>
        <v/>
      </c>
      <c r="G2200" s="163"/>
      <c r="H22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Helper'!$F$5:$F$3004,"""")&lt;&gt;""""),ROWS(H$5:H2200)),"""")"),"")</f>
        <v/>
      </c>
    </row>
    <row r="2201" ht="15.75" customHeight="1">
      <c r="A22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Helper'!$F$5:$F$3004,"""")&lt;&gt;""""),ROWS(A$5:A2201)),"""")"),"")</f>
        <v/>
      </c>
      <c r="B22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Helper'!$F$5:$F$3004,"""")&lt;&gt;""""),ROWS(B$5:B2201)),"""")"),"")</f>
        <v/>
      </c>
      <c r="C22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Helper'!$F$5:$F$3004,"""")&lt;&gt;""""),ROWS(C$5:C2201)),"""")"),"")</f>
        <v/>
      </c>
      <c r="D22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Helper'!$F$5:$F$3004,"""")&lt;&gt;""""),ROWS(D$5:D2201)),"""")"),"")</f>
        <v/>
      </c>
      <c r="E22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Helper'!$F$5:$F$3004,"""")&lt;&gt;""""),ROWS(E$5:E2201)),"""")"),"")</f>
        <v/>
      </c>
      <c r="F22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Helper'!$F$5:$F$3004,"""")&lt;&gt;""""),ROWS(F$5:F2201)),IF(AND(LEFT(x,5)=""Pag"&amp;"e "",ISERROR(SEARCH(""–"",x))),x&amp;""–""&amp;REGEXEXTRACT(x,""[0-9]+$""),x)),"""")"),"")</f>
        <v/>
      </c>
      <c r="G2201" s="163"/>
      <c r="H22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Helper'!$F$5:$F$3004,"""")&lt;&gt;""""),ROWS(H$5:H2201)),"""")"),"")</f>
        <v/>
      </c>
    </row>
    <row r="2202" ht="15.75" customHeight="1">
      <c r="A22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Helper'!$F$5:$F$3004,"""")&lt;&gt;""""),ROWS(A$5:A2202)),"""")"),"")</f>
        <v/>
      </c>
      <c r="B22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Helper'!$F$5:$F$3004,"""")&lt;&gt;""""),ROWS(B$5:B2202)),"""")"),"")</f>
        <v/>
      </c>
      <c r="C22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Helper'!$F$5:$F$3004,"""")&lt;&gt;""""),ROWS(C$5:C2202)),"""")"),"")</f>
        <v/>
      </c>
      <c r="D22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Helper'!$F$5:$F$3004,"""")&lt;&gt;""""),ROWS(D$5:D2202)),"""")"),"")</f>
        <v/>
      </c>
      <c r="E22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Helper'!$F$5:$F$3004,"""")&lt;&gt;""""),ROWS(E$5:E2202)),"""")"),"")</f>
        <v/>
      </c>
      <c r="F22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Helper'!$F$5:$F$3004,"""")&lt;&gt;""""),ROWS(F$5:F2202)),IF(AND(LEFT(x,5)=""Pag"&amp;"e "",ISERROR(SEARCH(""–"",x))),x&amp;""–""&amp;REGEXEXTRACT(x,""[0-9]+$""),x)),"""")"),"")</f>
        <v/>
      </c>
      <c r="G2202" s="163"/>
      <c r="H22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Helper'!$F$5:$F$3004,"""")&lt;&gt;""""),ROWS(H$5:H2202)),"""")"),"")</f>
        <v/>
      </c>
    </row>
    <row r="2203" ht="15.75" customHeight="1">
      <c r="A22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Helper'!$F$5:$F$3004,"""")&lt;&gt;""""),ROWS(A$5:A2203)),"""")"),"")</f>
        <v/>
      </c>
      <c r="B22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Helper'!$F$5:$F$3004,"""")&lt;&gt;""""),ROWS(B$5:B2203)),"""")"),"")</f>
        <v/>
      </c>
      <c r="C22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Helper'!$F$5:$F$3004,"""")&lt;&gt;""""),ROWS(C$5:C2203)),"""")"),"")</f>
        <v/>
      </c>
      <c r="D22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Helper'!$F$5:$F$3004,"""")&lt;&gt;""""),ROWS(D$5:D2203)),"""")"),"")</f>
        <v/>
      </c>
      <c r="E22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Helper'!$F$5:$F$3004,"""")&lt;&gt;""""),ROWS(E$5:E2203)),"""")"),"")</f>
        <v/>
      </c>
      <c r="F22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Helper'!$F$5:$F$3004,"""")&lt;&gt;""""),ROWS(F$5:F2203)),IF(AND(LEFT(x,5)=""Pag"&amp;"e "",ISERROR(SEARCH(""–"",x))),x&amp;""–""&amp;REGEXEXTRACT(x,""[0-9]+$""),x)),"""")"),"")</f>
        <v/>
      </c>
      <c r="G2203" s="163"/>
      <c r="H22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Helper'!$F$5:$F$3004,"""")&lt;&gt;""""),ROWS(H$5:H2203)),"""")"),"")</f>
        <v/>
      </c>
    </row>
    <row r="2204" ht="15.75" customHeight="1">
      <c r="A22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Helper'!$F$5:$F$3004,"""")&lt;&gt;""""),ROWS(A$5:A2204)),"""")"),"")</f>
        <v/>
      </c>
      <c r="B22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Helper'!$F$5:$F$3004,"""")&lt;&gt;""""),ROWS(B$5:B2204)),"""")"),"")</f>
        <v/>
      </c>
      <c r="C22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Helper'!$F$5:$F$3004,"""")&lt;&gt;""""),ROWS(C$5:C2204)),"""")"),"")</f>
        <v/>
      </c>
      <c r="D22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Helper'!$F$5:$F$3004,"""")&lt;&gt;""""),ROWS(D$5:D2204)),"""")"),"")</f>
        <v/>
      </c>
      <c r="E22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Helper'!$F$5:$F$3004,"""")&lt;&gt;""""),ROWS(E$5:E2204)),"""")"),"")</f>
        <v/>
      </c>
      <c r="F22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Helper'!$F$5:$F$3004,"""")&lt;&gt;""""),ROWS(F$5:F2204)),IF(AND(LEFT(x,5)=""Pag"&amp;"e "",ISERROR(SEARCH(""–"",x))),x&amp;""–""&amp;REGEXEXTRACT(x,""[0-9]+$""),x)),"""")"),"")</f>
        <v/>
      </c>
      <c r="G2204" s="163"/>
      <c r="H22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Helper'!$F$5:$F$3004,"""")&lt;&gt;""""),ROWS(H$5:H2204)),"""")"),"")</f>
        <v/>
      </c>
    </row>
    <row r="2205" ht="15.75" customHeight="1">
      <c r="A22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Helper'!$F$5:$F$3004,"""")&lt;&gt;""""),ROWS(A$5:A2205)),"""")"),"")</f>
        <v/>
      </c>
      <c r="B22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Helper'!$F$5:$F$3004,"""")&lt;&gt;""""),ROWS(B$5:B2205)),"""")"),"")</f>
        <v/>
      </c>
      <c r="C22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Helper'!$F$5:$F$3004,"""")&lt;&gt;""""),ROWS(C$5:C2205)),"""")"),"")</f>
        <v/>
      </c>
      <c r="D22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Helper'!$F$5:$F$3004,"""")&lt;&gt;""""),ROWS(D$5:D2205)),"""")"),"")</f>
        <v/>
      </c>
      <c r="E22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Helper'!$F$5:$F$3004,"""")&lt;&gt;""""),ROWS(E$5:E2205)),"""")"),"")</f>
        <v/>
      </c>
      <c r="F22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Helper'!$F$5:$F$3004,"""")&lt;&gt;""""),ROWS(F$5:F2205)),IF(AND(LEFT(x,5)=""Pag"&amp;"e "",ISERROR(SEARCH(""–"",x))),x&amp;""–""&amp;REGEXEXTRACT(x,""[0-9]+$""),x)),"""")"),"")</f>
        <v/>
      </c>
      <c r="G2205" s="163"/>
      <c r="H22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Helper'!$F$5:$F$3004,"""")&lt;&gt;""""),ROWS(H$5:H2205)),"""")"),"")</f>
        <v/>
      </c>
    </row>
    <row r="2206" ht="15.75" customHeight="1">
      <c r="A22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Helper'!$F$5:$F$3004,"""")&lt;&gt;""""),ROWS(A$5:A2206)),"""")"),"")</f>
        <v/>
      </c>
      <c r="B22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Helper'!$F$5:$F$3004,"""")&lt;&gt;""""),ROWS(B$5:B2206)),"""")"),"")</f>
        <v/>
      </c>
      <c r="C22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Helper'!$F$5:$F$3004,"""")&lt;&gt;""""),ROWS(C$5:C2206)),"""")"),"")</f>
        <v/>
      </c>
      <c r="D22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Helper'!$F$5:$F$3004,"""")&lt;&gt;""""),ROWS(D$5:D2206)),"""")"),"")</f>
        <v/>
      </c>
      <c r="E22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Helper'!$F$5:$F$3004,"""")&lt;&gt;""""),ROWS(E$5:E2206)),"""")"),"")</f>
        <v/>
      </c>
      <c r="F22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Helper'!$F$5:$F$3004,"""")&lt;&gt;""""),ROWS(F$5:F2206)),IF(AND(LEFT(x,5)=""Pag"&amp;"e "",ISERROR(SEARCH(""–"",x))),x&amp;""–""&amp;REGEXEXTRACT(x,""[0-9]+$""),x)),"""")"),"")</f>
        <v/>
      </c>
      <c r="G2206" s="163"/>
      <c r="H22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Helper'!$F$5:$F$3004,"""")&lt;&gt;""""),ROWS(H$5:H2206)),"""")"),"")</f>
        <v/>
      </c>
    </row>
    <row r="2207" ht="15.75" customHeight="1">
      <c r="A22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Helper'!$F$5:$F$3004,"""")&lt;&gt;""""),ROWS(A$5:A2207)),"""")"),"")</f>
        <v/>
      </c>
      <c r="B22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Helper'!$F$5:$F$3004,"""")&lt;&gt;""""),ROWS(B$5:B2207)),"""")"),"")</f>
        <v/>
      </c>
      <c r="C22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Helper'!$F$5:$F$3004,"""")&lt;&gt;""""),ROWS(C$5:C2207)),"""")"),"")</f>
        <v/>
      </c>
      <c r="D22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Helper'!$F$5:$F$3004,"""")&lt;&gt;""""),ROWS(D$5:D2207)),"""")"),"")</f>
        <v/>
      </c>
      <c r="E22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Helper'!$F$5:$F$3004,"""")&lt;&gt;""""),ROWS(E$5:E2207)),"""")"),"")</f>
        <v/>
      </c>
      <c r="F22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Helper'!$F$5:$F$3004,"""")&lt;&gt;""""),ROWS(F$5:F2207)),IF(AND(LEFT(x,5)=""Pag"&amp;"e "",ISERROR(SEARCH(""–"",x))),x&amp;""–""&amp;REGEXEXTRACT(x,""[0-9]+$""),x)),"""")"),"")</f>
        <v/>
      </c>
      <c r="G2207" s="163"/>
      <c r="H22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Helper'!$F$5:$F$3004,"""")&lt;&gt;""""),ROWS(H$5:H2207)),"""")"),"")</f>
        <v/>
      </c>
    </row>
    <row r="2208" ht="15.75" customHeight="1">
      <c r="A22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Helper'!$F$5:$F$3004,"""")&lt;&gt;""""),ROWS(A$5:A2208)),"""")"),"")</f>
        <v/>
      </c>
      <c r="B22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Helper'!$F$5:$F$3004,"""")&lt;&gt;""""),ROWS(B$5:B2208)),"""")"),"")</f>
        <v/>
      </c>
      <c r="C22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Helper'!$F$5:$F$3004,"""")&lt;&gt;""""),ROWS(C$5:C2208)),"""")"),"")</f>
        <v/>
      </c>
      <c r="D22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Helper'!$F$5:$F$3004,"""")&lt;&gt;""""),ROWS(D$5:D2208)),"""")"),"")</f>
        <v/>
      </c>
      <c r="E22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Helper'!$F$5:$F$3004,"""")&lt;&gt;""""),ROWS(E$5:E2208)),"""")"),"")</f>
        <v/>
      </c>
      <c r="F22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Helper'!$F$5:$F$3004,"""")&lt;&gt;""""),ROWS(F$5:F2208)),IF(AND(LEFT(x,5)=""Pag"&amp;"e "",ISERROR(SEARCH(""–"",x))),x&amp;""–""&amp;REGEXEXTRACT(x,""[0-9]+$""),x)),"""")"),"")</f>
        <v/>
      </c>
      <c r="G2208" s="163"/>
      <c r="H22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Helper'!$F$5:$F$3004,"""")&lt;&gt;""""),ROWS(H$5:H2208)),"""")"),"")</f>
        <v/>
      </c>
    </row>
    <row r="2209" ht="15.75" customHeight="1">
      <c r="A22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Helper'!$F$5:$F$3004,"""")&lt;&gt;""""),ROWS(A$5:A2209)),"""")"),"")</f>
        <v/>
      </c>
      <c r="B22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Helper'!$F$5:$F$3004,"""")&lt;&gt;""""),ROWS(B$5:B2209)),"""")"),"")</f>
        <v/>
      </c>
      <c r="C22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Helper'!$F$5:$F$3004,"""")&lt;&gt;""""),ROWS(C$5:C2209)),"""")"),"")</f>
        <v/>
      </c>
      <c r="D22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Helper'!$F$5:$F$3004,"""")&lt;&gt;""""),ROWS(D$5:D2209)),"""")"),"")</f>
        <v/>
      </c>
      <c r="E22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Helper'!$F$5:$F$3004,"""")&lt;&gt;""""),ROWS(E$5:E2209)),"""")"),"")</f>
        <v/>
      </c>
      <c r="F22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Helper'!$F$5:$F$3004,"""")&lt;&gt;""""),ROWS(F$5:F2209)),IF(AND(LEFT(x,5)=""Pag"&amp;"e "",ISERROR(SEARCH(""–"",x))),x&amp;""–""&amp;REGEXEXTRACT(x,""[0-9]+$""),x)),"""")"),"")</f>
        <v/>
      </c>
      <c r="G2209" s="163"/>
      <c r="H22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Helper'!$F$5:$F$3004,"""")&lt;&gt;""""),ROWS(H$5:H2209)),"""")"),"")</f>
        <v/>
      </c>
    </row>
    <row r="2210" ht="15.75" customHeight="1">
      <c r="A22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Helper'!$F$5:$F$3004,"""")&lt;&gt;""""),ROWS(A$5:A2210)),"""")"),"")</f>
        <v/>
      </c>
      <c r="B22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Helper'!$F$5:$F$3004,"""")&lt;&gt;""""),ROWS(B$5:B2210)),"""")"),"")</f>
        <v/>
      </c>
      <c r="C22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Helper'!$F$5:$F$3004,"""")&lt;&gt;""""),ROWS(C$5:C2210)),"""")"),"")</f>
        <v/>
      </c>
      <c r="D22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Helper'!$F$5:$F$3004,"""")&lt;&gt;""""),ROWS(D$5:D2210)),"""")"),"")</f>
        <v/>
      </c>
      <c r="E22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Helper'!$F$5:$F$3004,"""")&lt;&gt;""""),ROWS(E$5:E2210)),"""")"),"")</f>
        <v/>
      </c>
      <c r="F22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Helper'!$F$5:$F$3004,"""")&lt;&gt;""""),ROWS(F$5:F2210)),IF(AND(LEFT(x,5)=""Pag"&amp;"e "",ISERROR(SEARCH(""–"",x))),x&amp;""–""&amp;REGEXEXTRACT(x,""[0-9]+$""),x)),"""")"),"")</f>
        <v/>
      </c>
      <c r="G2210" s="163"/>
      <c r="H22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Helper'!$F$5:$F$3004,"""")&lt;&gt;""""),ROWS(H$5:H2210)),"""")"),"")</f>
        <v/>
      </c>
    </row>
    <row r="2211" ht="15.75" customHeight="1">
      <c r="A22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Helper'!$F$5:$F$3004,"""")&lt;&gt;""""),ROWS(A$5:A2211)),"""")"),"")</f>
        <v/>
      </c>
      <c r="B22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Helper'!$F$5:$F$3004,"""")&lt;&gt;""""),ROWS(B$5:B2211)),"""")"),"")</f>
        <v/>
      </c>
      <c r="C22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Helper'!$F$5:$F$3004,"""")&lt;&gt;""""),ROWS(C$5:C2211)),"""")"),"")</f>
        <v/>
      </c>
      <c r="D22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Helper'!$F$5:$F$3004,"""")&lt;&gt;""""),ROWS(D$5:D2211)),"""")"),"")</f>
        <v/>
      </c>
      <c r="E22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Helper'!$F$5:$F$3004,"""")&lt;&gt;""""),ROWS(E$5:E2211)),"""")"),"")</f>
        <v/>
      </c>
      <c r="F22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Helper'!$F$5:$F$3004,"""")&lt;&gt;""""),ROWS(F$5:F2211)),IF(AND(LEFT(x,5)=""Pag"&amp;"e "",ISERROR(SEARCH(""–"",x))),x&amp;""–""&amp;REGEXEXTRACT(x,""[0-9]+$""),x)),"""")"),"")</f>
        <v/>
      </c>
      <c r="G2211" s="163"/>
      <c r="H22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Helper'!$F$5:$F$3004,"""")&lt;&gt;""""),ROWS(H$5:H2211)),"""")"),"")</f>
        <v/>
      </c>
    </row>
    <row r="2212" ht="15.75" customHeight="1">
      <c r="A22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Helper'!$F$5:$F$3004,"""")&lt;&gt;""""),ROWS(A$5:A2212)),"""")"),"")</f>
        <v/>
      </c>
      <c r="B22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Helper'!$F$5:$F$3004,"""")&lt;&gt;""""),ROWS(B$5:B2212)),"""")"),"")</f>
        <v/>
      </c>
      <c r="C22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Helper'!$F$5:$F$3004,"""")&lt;&gt;""""),ROWS(C$5:C2212)),"""")"),"")</f>
        <v/>
      </c>
      <c r="D22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Helper'!$F$5:$F$3004,"""")&lt;&gt;""""),ROWS(D$5:D2212)),"""")"),"")</f>
        <v/>
      </c>
      <c r="E22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Helper'!$F$5:$F$3004,"""")&lt;&gt;""""),ROWS(E$5:E2212)),"""")"),"")</f>
        <v/>
      </c>
      <c r="F22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Helper'!$F$5:$F$3004,"""")&lt;&gt;""""),ROWS(F$5:F2212)),IF(AND(LEFT(x,5)=""Pag"&amp;"e "",ISERROR(SEARCH(""–"",x))),x&amp;""–""&amp;REGEXEXTRACT(x,""[0-9]+$""),x)),"""")"),"")</f>
        <v/>
      </c>
      <c r="G2212" s="163"/>
      <c r="H22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Helper'!$F$5:$F$3004,"""")&lt;&gt;""""),ROWS(H$5:H2212)),"""")"),"")</f>
        <v/>
      </c>
    </row>
    <row r="2213" ht="15.75" customHeight="1">
      <c r="A22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Helper'!$F$5:$F$3004,"""")&lt;&gt;""""),ROWS(A$5:A2213)),"""")"),"")</f>
        <v/>
      </c>
      <c r="B22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Helper'!$F$5:$F$3004,"""")&lt;&gt;""""),ROWS(B$5:B2213)),"""")"),"")</f>
        <v/>
      </c>
      <c r="C22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Helper'!$F$5:$F$3004,"""")&lt;&gt;""""),ROWS(C$5:C2213)),"""")"),"")</f>
        <v/>
      </c>
      <c r="D22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Helper'!$F$5:$F$3004,"""")&lt;&gt;""""),ROWS(D$5:D2213)),"""")"),"")</f>
        <v/>
      </c>
      <c r="E22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Helper'!$F$5:$F$3004,"""")&lt;&gt;""""),ROWS(E$5:E2213)),"""")"),"")</f>
        <v/>
      </c>
      <c r="F22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Helper'!$F$5:$F$3004,"""")&lt;&gt;""""),ROWS(F$5:F2213)),IF(AND(LEFT(x,5)=""Pag"&amp;"e "",ISERROR(SEARCH(""–"",x))),x&amp;""–""&amp;REGEXEXTRACT(x,""[0-9]+$""),x)),"""")"),"")</f>
        <v/>
      </c>
      <c r="G2213" s="163"/>
      <c r="H22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Helper'!$F$5:$F$3004,"""")&lt;&gt;""""),ROWS(H$5:H2213)),"""")"),"")</f>
        <v/>
      </c>
    </row>
    <row r="2214" ht="15.75" customHeight="1">
      <c r="A22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Helper'!$F$5:$F$3004,"""")&lt;&gt;""""),ROWS(A$5:A2214)),"""")"),"")</f>
        <v/>
      </c>
      <c r="B22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Helper'!$F$5:$F$3004,"""")&lt;&gt;""""),ROWS(B$5:B2214)),"""")"),"")</f>
        <v/>
      </c>
      <c r="C22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Helper'!$F$5:$F$3004,"""")&lt;&gt;""""),ROWS(C$5:C2214)),"""")"),"")</f>
        <v/>
      </c>
      <c r="D22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Helper'!$F$5:$F$3004,"""")&lt;&gt;""""),ROWS(D$5:D2214)),"""")"),"")</f>
        <v/>
      </c>
      <c r="E22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Helper'!$F$5:$F$3004,"""")&lt;&gt;""""),ROWS(E$5:E2214)),"""")"),"")</f>
        <v/>
      </c>
      <c r="F22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Helper'!$F$5:$F$3004,"""")&lt;&gt;""""),ROWS(F$5:F2214)),IF(AND(LEFT(x,5)=""Pag"&amp;"e "",ISERROR(SEARCH(""–"",x))),x&amp;""–""&amp;REGEXEXTRACT(x,""[0-9]+$""),x)),"""")"),"")</f>
        <v/>
      </c>
      <c r="G2214" s="163"/>
      <c r="H22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Helper'!$F$5:$F$3004,"""")&lt;&gt;""""),ROWS(H$5:H2214)),"""")"),"")</f>
        <v/>
      </c>
    </row>
    <row r="2215" ht="15.75" customHeight="1">
      <c r="A22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Helper'!$F$5:$F$3004,"""")&lt;&gt;""""),ROWS(A$5:A2215)),"""")"),"")</f>
        <v/>
      </c>
      <c r="B22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Helper'!$F$5:$F$3004,"""")&lt;&gt;""""),ROWS(B$5:B2215)),"""")"),"")</f>
        <v/>
      </c>
      <c r="C22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Helper'!$F$5:$F$3004,"""")&lt;&gt;""""),ROWS(C$5:C2215)),"""")"),"")</f>
        <v/>
      </c>
      <c r="D22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Helper'!$F$5:$F$3004,"""")&lt;&gt;""""),ROWS(D$5:D2215)),"""")"),"")</f>
        <v/>
      </c>
      <c r="E22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Helper'!$F$5:$F$3004,"""")&lt;&gt;""""),ROWS(E$5:E2215)),"""")"),"")</f>
        <v/>
      </c>
      <c r="F22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Helper'!$F$5:$F$3004,"""")&lt;&gt;""""),ROWS(F$5:F2215)),IF(AND(LEFT(x,5)=""Pag"&amp;"e "",ISERROR(SEARCH(""–"",x))),x&amp;""–""&amp;REGEXEXTRACT(x,""[0-9]+$""),x)),"""")"),"")</f>
        <v/>
      </c>
      <c r="G2215" s="163"/>
      <c r="H22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Helper'!$F$5:$F$3004,"""")&lt;&gt;""""),ROWS(H$5:H2215)),"""")"),"")</f>
        <v/>
      </c>
    </row>
    <row r="2216" ht="15.75" customHeight="1">
      <c r="A22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Helper'!$F$5:$F$3004,"""")&lt;&gt;""""),ROWS(A$5:A2216)),"""")"),"")</f>
        <v/>
      </c>
      <c r="B22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Helper'!$F$5:$F$3004,"""")&lt;&gt;""""),ROWS(B$5:B2216)),"""")"),"")</f>
        <v/>
      </c>
      <c r="C22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Helper'!$F$5:$F$3004,"""")&lt;&gt;""""),ROWS(C$5:C2216)),"""")"),"")</f>
        <v/>
      </c>
      <c r="D22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Helper'!$F$5:$F$3004,"""")&lt;&gt;""""),ROWS(D$5:D2216)),"""")"),"")</f>
        <v/>
      </c>
      <c r="E22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Helper'!$F$5:$F$3004,"""")&lt;&gt;""""),ROWS(E$5:E2216)),"""")"),"")</f>
        <v/>
      </c>
      <c r="F22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Helper'!$F$5:$F$3004,"""")&lt;&gt;""""),ROWS(F$5:F2216)),IF(AND(LEFT(x,5)=""Pag"&amp;"e "",ISERROR(SEARCH(""–"",x))),x&amp;""–""&amp;REGEXEXTRACT(x,""[0-9]+$""),x)),"""")"),"")</f>
        <v/>
      </c>
      <c r="G2216" s="163"/>
      <c r="H22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Helper'!$F$5:$F$3004,"""")&lt;&gt;""""),ROWS(H$5:H2216)),"""")"),"")</f>
        <v/>
      </c>
    </row>
    <row r="2217" ht="15.75" customHeight="1">
      <c r="A22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Helper'!$F$5:$F$3004,"""")&lt;&gt;""""),ROWS(A$5:A2217)),"""")"),"")</f>
        <v/>
      </c>
      <c r="B22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Helper'!$F$5:$F$3004,"""")&lt;&gt;""""),ROWS(B$5:B2217)),"""")"),"")</f>
        <v/>
      </c>
      <c r="C22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Helper'!$F$5:$F$3004,"""")&lt;&gt;""""),ROWS(C$5:C2217)),"""")"),"")</f>
        <v/>
      </c>
      <c r="D22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Helper'!$F$5:$F$3004,"""")&lt;&gt;""""),ROWS(D$5:D2217)),"""")"),"")</f>
        <v/>
      </c>
      <c r="E22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Helper'!$F$5:$F$3004,"""")&lt;&gt;""""),ROWS(E$5:E2217)),"""")"),"")</f>
        <v/>
      </c>
      <c r="F22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Helper'!$F$5:$F$3004,"""")&lt;&gt;""""),ROWS(F$5:F2217)),IF(AND(LEFT(x,5)=""Pag"&amp;"e "",ISERROR(SEARCH(""–"",x))),x&amp;""–""&amp;REGEXEXTRACT(x,""[0-9]+$""),x)),"""")"),"")</f>
        <v/>
      </c>
      <c r="G2217" s="163"/>
      <c r="H22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Helper'!$F$5:$F$3004,"""")&lt;&gt;""""),ROWS(H$5:H2217)),"""")"),"")</f>
        <v/>
      </c>
    </row>
    <row r="2218" ht="15.75" customHeight="1">
      <c r="A22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Helper'!$F$5:$F$3004,"""")&lt;&gt;""""),ROWS(A$5:A2218)),"""")"),"")</f>
        <v/>
      </c>
      <c r="B22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Helper'!$F$5:$F$3004,"""")&lt;&gt;""""),ROWS(B$5:B2218)),"""")"),"")</f>
        <v/>
      </c>
      <c r="C22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Helper'!$F$5:$F$3004,"""")&lt;&gt;""""),ROWS(C$5:C2218)),"""")"),"")</f>
        <v/>
      </c>
      <c r="D22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Helper'!$F$5:$F$3004,"""")&lt;&gt;""""),ROWS(D$5:D2218)),"""")"),"")</f>
        <v/>
      </c>
      <c r="E22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Helper'!$F$5:$F$3004,"""")&lt;&gt;""""),ROWS(E$5:E2218)),"""")"),"")</f>
        <v/>
      </c>
      <c r="F22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Helper'!$F$5:$F$3004,"""")&lt;&gt;""""),ROWS(F$5:F2218)),IF(AND(LEFT(x,5)=""Pag"&amp;"e "",ISERROR(SEARCH(""–"",x))),x&amp;""–""&amp;REGEXEXTRACT(x,""[0-9]+$""),x)),"""")"),"")</f>
        <v/>
      </c>
      <c r="G2218" s="163"/>
      <c r="H22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Helper'!$F$5:$F$3004,"""")&lt;&gt;""""),ROWS(H$5:H2218)),"""")"),"")</f>
        <v/>
      </c>
    </row>
    <row r="2219" ht="15.75" customHeight="1">
      <c r="A22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Helper'!$F$5:$F$3004,"""")&lt;&gt;""""),ROWS(A$5:A2219)),"""")"),"")</f>
        <v/>
      </c>
      <c r="B22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Helper'!$F$5:$F$3004,"""")&lt;&gt;""""),ROWS(B$5:B2219)),"""")"),"")</f>
        <v/>
      </c>
      <c r="C22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Helper'!$F$5:$F$3004,"""")&lt;&gt;""""),ROWS(C$5:C2219)),"""")"),"")</f>
        <v/>
      </c>
      <c r="D22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Helper'!$F$5:$F$3004,"""")&lt;&gt;""""),ROWS(D$5:D2219)),"""")"),"")</f>
        <v/>
      </c>
      <c r="E22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Helper'!$F$5:$F$3004,"""")&lt;&gt;""""),ROWS(E$5:E2219)),"""")"),"")</f>
        <v/>
      </c>
      <c r="F22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Helper'!$F$5:$F$3004,"""")&lt;&gt;""""),ROWS(F$5:F2219)),IF(AND(LEFT(x,5)=""Pag"&amp;"e "",ISERROR(SEARCH(""–"",x))),x&amp;""–""&amp;REGEXEXTRACT(x,""[0-9]+$""),x)),"""")"),"")</f>
        <v/>
      </c>
      <c r="G2219" s="163"/>
      <c r="H22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Helper'!$F$5:$F$3004,"""")&lt;&gt;""""),ROWS(H$5:H2219)),"""")"),"")</f>
        <v/>
      </c>
    </row>
    <row r="2220" ht="15.75" customHeight="1">
      <c r="A22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Helper'!$F$5:$F$3004,"""")&lt;&gt;""""),ROWS(A$5:A2220)),"""")"),"")</f>
        <v/>
      </c>
      <c r="B22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Helper'!$F$5:$F$3004,"""")&lt;&gt;""""),ROWS(B$5:B2220)),"""")"),"")</f>
        <v/>
      </c>
      <c r="C22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Helper'!$F$5:$F$3004,"""")&lt;&gt;""""),ROWS(C$5:C2220)),"""")"),"")</f>
        <v/>
      </c>
      <c r="D22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Helper'!$F$5:$F$3004,"""")&lt;&gt;""""),ROWS(D$5:D2220)),"""")"),"")</f>
        <v/>
      </c>
      <c r="E22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Helper'!$F$5:$F$3004,"""")&lt;&gt;""""),ROWS(E$5:E2220)),"""")"),"")</f>
        <v/>
      </c>
      <c r="F22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Helper'!$F$5:$F$3004,"""")&lt;&gt;""""),ROWS(F$5:F2220)),IF(AND(LEFT(x,5)=""Pag"&amp;"e "",ISERROR(SEARCH(""–"",x))),x&amp;""–""&amp;REGEXEXTRACT(x,""[0-9]+$""),x)),"""")"),"")</f>
        <v/>
      </c>
      <c r="G2220" s="163"/>
      <c r="H22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Helper'!$F$5:$F$3004,"""")&lt;&gt;""""),ROWS(H$5:H2220)),"""")"),"")</f>
        <v/>
      </c>
    </row>
    <row r="2221" ht="15.75" customHeight="1">
      <c r="A22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Helper'!$F$5:$F$3004,"""")&lt;&gt;""""),ROWS(A$5:A2221)),"""")"),"")</f>
        <v/>
      </c>
      <c r="B22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Helper'!$F$5:$F$3004,"""")&lt;&gt;""""),ROWS(B$5:B2221)),"""")"),"")</f>
        <v/>
      </c>
      <c r="C22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Helper'!$F$5:$F$3004,"""")&lt;&gt;""""),ROWS(C$5:C2221)),"""")"),"")</f>
        <v/>
      </c>
      <c r="D22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Helper'!$F$5:$F$3004,"""")&lt;&gt;""""),ROWS(D$5:D2221)),"""")"),"")</f>
        <v/>
      </c>
      <c r="E22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Helper'!$F$5:$F$3004,"""")&lt;&gt;""""),ROWS(E$5:E2221)),"""")"),"")</f>
        <v/>
      </c>
      <c r="F22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Helper'!$F$5:$F$3004,"""")&lt;&gt;""""),ROWS(F$5:F2221)),IF(AND(LEFT(x,5)=""Pag"&amp;"e "",ISERROR(SEARCH(""–"",x))),x&amp;""–""&amp;REGEXEXTRACT(x,""[0-9]+$""),x)),"""")"),"")</f>
        <v/>
      </c>
      <c r="G2221" s="163"/>
      <c r="H22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Helper'!$F$5:$F$3004,"""")&lt;&gt;""""),ROWS(H$5:H2221)),"""")"),"")</f>
        <v/>
      </c>
    </row>
    <row r="2222" ht="15.75" customHeight="1">
      <c r="A22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Helper'!$F$5:$F$3004,"""")&lt;&gt;""""),ROWS(A$5:A2222)),"""")"),"")</f>
        <v/>
      </c>
      <c r="B22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Helper'!$F$5:$F$3004,"""")&lt;&gt;""""),ROWS(B$5:B2222)),"""")"),"")</f>
        <v/>
      </c>
      <c r="C22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Helper'!$F$5:$F$3004,"""")&lt;&gt;""""),ROWS(C$5:C2222)),"""")"),"")</f>
        <v/>
      </c>
      <c r="D22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Helper'!$F$5:$F$3004,"""")&lt;&gt;""""),ROWS(D$5:D2222)),"""")"),"")</f>
        <v/>
      </c>
      <c r="E22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Helper'!$F$5:$F$3004,"""")&lt;&gt;""""),ROWS(E$5:E2222)),"""")"),"")</f>
        <v/>
      </c>
      <c r="F22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Helper'!$F$5:$F$3004,"""")&lt;&gt;""""),ROWS(F$5:F2222)),IF(AND(LEFT(x,5)=""Pag"&amp;"e "",ISERROR(SEARCH(""–"",x))),x&amp;""–""&amp;REGEXEXTRACT(x,""[0-9]+$""),x)),"""")"),"")</f>
        <v/>
      </c>
      <c r="G2222" s="163"/>
      <c r="H22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Helper'!$F$5:$F$3004,"""")&lt;&gt;""""),ROWS(H$5:H2222)),"""")"),"")</f>
        <v/>
      </c>
    </row>
    <row r="2223" ht="15.75" customHeight="1">
      <c r="A22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Helper'!$F$5:$F$3004,"""")&lt;&gt;""""),ROWS(A$5:A2223)),"""")"),"")</f>
        <v/>
      </c>
      <c r="B22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Helper'!$F$5:$F$3004,"""")&lt;&gt;""""),ROWS(B$5:B2223)),"""")"),"")</f>
        <v/>
      </c>
      <c r="C22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Helper'!$F$5:$F$3004,"""")&lt;&gt;""""),ROWS(C$5:C2223)),"""")"),"")</f>
        <v/>
      </c>
      <c r="D22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Helper'!$F$5:$F$3004,"""")&lt;&gt;""""),ROWS(D$5:D2223)),"""")"),"")</f>
        <v/>
      </c>
      <c r="E22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Helper'!$F$5:$F$3004,"""")&lt;&gt;""""),ROWS(E$5:E2223)),"""")"),"")</f>
        <v/>
      </c>
      <c r="F22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Helper'!$F$5:$F$3004,"""")&lt;&gt;""""),ROWS(F$5:F2223)),IF(AND(LEFT(x,5)=""Pag"&amp;"e "",ISERROR(SEARCH(""–"",x))),x&amp;""–""&amp;REGEXEXTRACT(x,""[0-9]+$""),x)),"""")"),"")</f>
        <v/>
      </c>
      <c r="G2223" s="163"/>
      <c r="H22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Helper'!$F$5:$F$3004,"""")&lt;&gt;""""),ROWS(H$5:H2223)),"""")"),"")</f>
        <v/>
      </c>
    </row>
    <row r="2224" ht="15.75" customHeight="1">
      <c r="A22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Helper'!$F$5:$F$3004,"""")&lt;&gt;""""),ROWS(A$5:A2224)),"""")"),"")</f>
        <v/>
      </c>
      <c r="B22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Helper'!$F$5:$F$3004,"""")&lt;&gt;""""),ROWS(B$5:B2224)),"""")"),"")</f>
        <v/>
      </c>
      <c r="C22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Helper'!$F$5:$F$3004,"""")&lt;&gt;""""),ROWS(C$5:C2224)),"""")"),"")</f>
        <v/>
      </c>
      <c r="D22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Helper'!$F$5:$F$3004,"""")&lt;&gt;""""),ROWS(D$5:D2224)),"""")"),"")</f>
        <v/>
      </c>
      <c r="E22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Helper'!$F$5:$F$3004,"""")&lt;&gt;""""),ROWS(E$5:E2224)),"""")"),"")</f>
        <v/>
      </c>
      <c r="F22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Helper'!$F$5:$F$3004,"""")&lt;&gt;""""),ROWS(F$5:F2224)),IF(AND(LEFT(x,5)=""Pag"&amp;"e "",ISERROR(SEARCH(""–"",x))),x&amp;""–""&amp;REGEXEXTRACT(x,""[0-9]+$""),x)),"""")"),"")</f>
        <v/>
      </c>
      <c r="G2224" s="163"/>
      <c r="H22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Helper'!$F$5:$F$3004,"""")&lt;&gt;""""),ROWS(H$5:H2224)),"""")"),"")</f>
        <v/>
      </c>
    </row>
    <row r="2225" ht="15.75" customHeight="1">
      <c r="A22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Helper'!$F$5:$F$3004,"""")&lt;&gt;""""),ROWS(A$5:A2225)),"""")"),"")</f>
        <v/>
      </c>
      <c r="B22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Helper'!$F$5:$F$3004,"""")&lt;&gt;""""),ROWS(B$5:B2225)),"""")"),"")</f>
        <v/>
      </c>
      <c r="C22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Helper'!$F$5:$F$3004,"""")&lt;&gt;""""),ROWS(C$5:C2225)),"""")"),"")</f>
        <v/>
      </c>
      <c r="D22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Helper'!$F$5:$F$3004,"""")&lt;&gt;""""),ROWS(D$5:D2225)),"""")"),"")</f>
        <v/>
      </c>
      <c r="E22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Helper'!$F$5:$F$3004,"""")&lt;&gt;""""),ROWS(E$5:E2225)),"""")"),"")</f>
        <v/>
      </c>
      <c r="F22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Helper'!$F$5:$F$3004,"""")&lt;&gt;""""),ROWS(F$5:F2225)),IF(AND(LEFT(x,5)=""Pag"&amp;"e "",ISERROR(SEARCH(""–"",x))),x&amp;""–""&amp;REGEXEXTRACT(x,""[0-9]+$""),x)),"""")"),"")</f>
        <v/>
      </c>
      <c r="G2225" s="163"/>
      <c r="H22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Helper'!$F$5:$F$3004,"""")&lt;&gt;""""),ROWS(H$5:H2225)),"""")"),"")</f>
        <v/>
      </c>
    </row>
    <row r="2226" ht="15.75" customHeight="1">
      <c r="A22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Helper'!$F$5:$F$3004,"""")&lt;&gt;""""),ROWS(A$5:A2226)),"""")"),"")</f>
        <v/>
      </c>
      <c r="B22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Helper'!$F$5:$F$3004,"""")&lt;&gt;""""),ROWS(B$5:B2226)),"""")"),"")</f>
        <v/>
      </c>
      <c r="C22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Helper'!$F$5:$F$3004,"""")&lt;&gt;""""),ROWS(C$5:C2226)),"""")"),"")</f>
        <v/>
      </c>
      <c r="D22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Helper'!$F$5:$F$3004,"""")&lt;&gt;""""),ROWS(D$5:D2226)),"""")"),"")</f>
        <v/>
      </c>
      <c r="E22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Helper'!$F$5:$F$3004,"""")&lt;&gt;""""),ROWS(E$5:E2226)),"""")"),"")</f>
        <v/>
      </c>
      <c r="F22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Helper'!$F$5:$F$3004,"""")&lt;&gt;""""),ROWS(F$5:F2226)),IF(AND(LEFT(x,5)=""Pag"&amp;"e "",ISERROR(SEARCH(""–"",x))),x&amp;""–""&amp;REGEXEXTRACT(x,""[0-9]+$""),x)),"""")"),"")</f>
        <v/>
      </c>
      <c r="G2226" s="163"/>
      <c r="H22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Helper'!$F$5:$F$3004,"""")&lt;&gt;""""),ROWS(H$5:H2226)),"""")"),"")</f>
        <v/>
      </c>
    </row>
    <row r="2227" ht="15.75" customHeight="1">
      <c r="A22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Helper'!$F$5:$F$3004,"""")&lt;&gt;""""),ROWS(A$5:A2227)),"""")"),"")</f>
        <v/>
      </c>
      <c r="B22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Helper'!$F$5:$F$3004,"""")&lt;&gt;""""),ROWS(B$5:B2227)),"""")"),"")</f>
        <v/>
      </c>
      <c r="C22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Helper'!$F$5:$F$3004,"""")&lt;&gt;""""),ROWS(C$5:C2227)),"""")"),"")</f>
        <v/>
      </c>
      <c r="D22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Helper'!$F$5:$F$3004,"""")&lt;&gt;""""),ROWS(D$5:D2227)),"""")"),"")</f>
        <v/>
      </c>
      <c r="E22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Helper'!$F$5:$F$3004,"""")&lt;&gt;""""),ROWS(E$5:E2227)),"""")"),"")</f>
        <v/>
      </c>
      <c r="F22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Helper'!$F$5:$F$3004,"""")&lt;&gt;""""),ROWS(F$5:F2227)),IF(AND(LEFT(x,5)=""Pag"&amp;"e "",ISERROR(SEARCH(""–"",x))),x&amp;""–""&amp;REGEXEXTRACT(x,""[0-9]+$""),x)),"""")"),"")</f>
        <v/>
      </c>
      <c r="G2227" s="163"/>
      <c r="H22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Helper'!$F$5:$F$3004,"""")&lt;&gt;""""),ROWS(H$5:H2227)),"""")"),"")</f>
        <v/>
      </c>
    </row>
    <row r="2228" ht="15.75" customHeight="1">
      <c r="A22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Helper'!$F$5:$F$3004,"""")&lt;&gt;""""),ROWS(A$5:A2228)),"""")"),"")</f>
        <v/>
      </c>
      <c r="B22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Helper'!$F$5:$F$3004,"""")&lt;&gt;""""),ROWS(B$5:B2228)),"""")"),"")</f>
        <v/>
      </c>
      <c r="C22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Helper'!$F$5:$F$3004,"""")&lt;&gt;""""),ROWS(C$5:C2228)),"""")"),"")</f>
        <v/>
      </c>
      <c r="D22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Helper'!$F$5:$F$3004,"""")&lt;&gt;""""),ROWS(D$5:D2228)),"""")"),"")</f>
        <v/>
      </c>
      <c r="E22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Helper'!$F$5:$F$3004,"""")&lt;&gt;""""),ROWS(E$5:E2228)),"""")"),"")</f>
        <v/>
      </c>
      <c r="F22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Helper'!$F$5:$F$3004,"""")&lt;&gt;""""),ROWS(F$5:F2228)),IF(AND(LEFT(x,5)=""Pag"&amp;"e "",ISERROR(SEARCH(""–"",x))),x&amp;""–""&amp;REGEXEXTRACT(x,""[0-9]+$""),x)),"""")"),"")</f>
        <v/>
      </c>
      <c r="G2228" s="163"/>
      <c r="H22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Helper'!$F$5:$F$3004,"""")&lt;&gt;""""),ROWS(H$5:H2228)),"""")"),"")</f>
        <v/>
      </c>
    </row>
    <row r="2229" ht="15.75" customHeight="1">
      <c r="A22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Helper'!$F$5:$F$3004,"""")&lt;&gt;""""),ROWS(A$5:A2229)),"""")"),"")</f>
        <v/>
      </c>
      <c r="B22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Helper'!$F$5:$F$3004,"""")&lt;&gt;""""),ROWS(B$5:B2229)),"""")"),"")</f>
        <v/>
      </c>
      <c r="C22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Helper'!$F$5:$F$3004,"""")&lt;&gt;""""),ROWS(C$5:C2229)),"""")"),"")</f>
        <v/>
      </c>
      <c r="D22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Helper'!$F$5:$F$3004,"""")&lt;&gt;""""),ROWS(D$5:D2229)),"""")"),"")</f>
        <v/>
      </c>
      <c r="E22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Helper'!$F$5:$F$3004,"""")&lt;&gt;""""),ROWS(E$5:E2229)),"""")"),"")</f>
        <v/>
      </c>
      <c r="F22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Helper'!$F$5:$F$3004,"""")&lt;&gt;""""),ROWS(F$5:F2229)),IF(AND(LEFT(x,5)=""Pag"&amp;"e "",ISERROR(SEARCH(""–"",x))),x&amp;""–""&amp;REGEXEXTRACT(x,""[0-9]+$""),x)),"""")"),"")</f>
        <v/>
      </c>
      <c r="G2229" s="163"/>
      <c r="H22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Helper'!$F$5:$F$3004,"""")&lt;&gt;""""),ROWS(H$5:H2229)),"""")"),"")</f>
        <v/>
      </c>
    </row>
    <row r="2230" ht="15.75" customHeight="1">
      <c r="A22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Helper'!$F$5:$F$3004,"""")&lt;&gt;""""),ROWS(A$5:A2230)),"""")"),"")</f>
        <v/>
      </c>
      <c r="B22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Helper'!$F$5:$F$3004,"""")&lt;&gt;""""),ROWS(B$5:B2230)),"""")"),"")</f>
        <v/>
      </c>
      <c r="C22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Helper'!$F$5:$F$3004,"""")&lt;&gt;""""),ROWS(C$5:C2230)),"""")"),"")</f>
        <v/>
      </c>
      <c r="D22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Helper'!$F$5:$F$3004,"""")&lt;&gt;""""),ROWS(D$5:D2230)),"""")"),"")</f>
        <v/>
      </c>
      <c r="E22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Helper'!$F$5:$F$3004,"""")&lt;&gt;""""),ROWS(E$5:E2230)),"""")"),"")</f>
        <v/>
      </c>
      <c r="F22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Helper'!$F$5:$F$3004,"""")&lt;&gt;""""),ROWS(F$5:F2230)),IF(AND(LEFT(x,5)=""Pag"&amp;"e "",ISERROR(SEARCH(""–"",x))),x&amp;""–""&amp;REGEXEXTRACT(x,""[0-9]+$""),x)),"""")"),"")</f>
        <v/>
      </c>
      <c r="G2230" s="163"/>
      <c r="H22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Helper'!$F$5:$F$3004,"""")&lt;&gt;""""),ROWS(H$5:H2230)),"""")"),"")</f>
        <v/>
      </c>
    </row>
    <row r="2231" ht="15.75" customHeight="1">
      <c r="A22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Helper'!$F$5:$F$3004,"""")&lt;&gt;""""),ROWS(A$5:A2231)),"""")"),"")</f>
        <v/>
      </c>
      <c r="B22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Helper'!$F$5:$F$3004,"""")&lt;&gt;""""),ROWS(B$5:B2231)),"""")"),"")</f>
        <v/>
      </c>
      <c r="C22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Helper'!$F$5:$F$3004,"""")&lt;&gt;""""),ROWS(C$5:C2231)),"""")"),"")</f>
        <v/>
      </c>
      <c r="D22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Helper'!$F$5:$F$3004,"""")&lt;&gt;""""),ROWS(D$5:D2231)),"""")"),"")</f>
        <v/>
      </c>
      <c r="E22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Helper'!$F$5:$F$3004,"""")&lt;&gt;""""),ROWS(E$5:E2231)),"""")"),"")</f>
        <v/>
      </c>
      <c r="F22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Helper'!$F$5:$F$3004,"""")&lt;&gt;""""),ROWS(F$5:F2231)),IF(AND(LEFT(x,5)=""Pag"&amp;"e "",ISERROR(SEARCH(""–"",x))),x&amp;""–""&amp;REGEXEXTRACT(x,""[0-9]+$""),x)),"""")"),"")</f>
        <v/>
      </c>
      <c r="G2231" s="163"/>
      <c r="H22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Helper'!$F$5:$F$3004,"""")&lt;&gt;""""),ROWS(H$5:H2231)),"""")"),"")</f>
        <v/>
      </c>
    </row>
    <row r="2232" ht="15.75" customHeight="1">
      <c r="A22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Helper'!$F$5:$F$3004,"""")&lt;&gt;""""),ROWS(A$5:A2232)),"""")"),"")</f>
        <v/>
      </c>
      <c r="B22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Helper'!$F$5:$F$3004,"""")&lt;&gt;""""),ROWS(B$5:B2232)),"""")"),"")</f>
        <v/>
      </c>
      <c r="C22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Helper'!$F$5:$F$3004,"""")&lt;&gt;""""),ROWS(C$5:C2232)),"""")"),"")</f>
        <v/>
      </c>
      <c r="D22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Helper'!$F$5:$F$3004,"""")&lt;&gt;""""),ROWS(D$5:D2232)),"""")"),"")</f>
        <v/>
      </c>
      <c r="E22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Helper'!$F$5:$F$3004,"""")&lt;&gt;""""),ROWS(E$5:E2232)),"""")"),"")</f>
        <v/>
      </c>
      <c r="F22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Helper'!$F$5:$F$3004,"""")&lt;&gt;""""),ROWS(F$5:F2232)),IF(AND(LEFT(x,5)=""Pag"&amp;"e "",ISERROR(SEARCH(""–"",x))),x&amp;""–""&amp;REGEXEXTRACT(x,""[0-9]+$""),x)),"""")"),"")</f>
        <v/>
      </c>
      <c r="G2232" s="163"/>
      <c r="H22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Helper'!$F$5:$F$3004,"""")&lt;&gt;""""),ROWS(H$5:H2232)),"""")"),"")</f>
        <v/>
      </c>
    </row>
    <row r="2233" ht="15.75" customHeight="1">
      <c r="A22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Helper'!$F$5:$F$3004,"""")&lt;&gt;""""),ROWS(A$5:A2233)),"""")"),"")</f>
        <v/>
      </c>
      <c r="B22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Helper'!$F$5:$F$3004,"""")&lt;&gt;""""),ROWS(B$5:B2233)),"""")"),"")</f>
        <v/>
      </c>
      <c r="C22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Helper'!$F$5:$F$3004,"""")&lt;&gt;""""),ROWS(C$5:C2233)),"""")"),"")</f>
        <v/>
      </c>
      <c r="D22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Helper'!$F$5:$F$3004,"""")&lt;&gt;""""),ROWS(D$5:D2233)),"""")"),"")</f>
        <v/>
      </c>
      <c r="E22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Helper'!$F$5:$F$3004,"""")&lt;&gt;""""),ROWS(E$5:E2233)),"""")"),"")</f>
        <v/>
      </c>
      <c r="F22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Helper'!$F$5:$F$3004,"""")&lt;&gt;""""),ROWS(F$5:F2233)),IF(AND(LEFT(x,5)=""Pag"&amp;"e "",ISERROR(SEARCH(""–"",x))),x&amp;""–""&amp;REGEXEXTRACT(x,""[0-9]+$""),x)),"""")"),"")</f>
        <v/>
      </c>
      <c r="G2233" s="163"/>
      <c r="H22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Helper'!$F$5:$F$3004,"""")&lt;&gt;""""),ROWS(H$5:H2233)),"""")"),"")</f>
        <v/>
      </c>
    </row>
    <row r="2234" ht="15.75" customHeight="1">
      <c r="A22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Helper'!$F$5:$F$3004,"""")&lt;&gt;""""),ROWS(A$5:A2234)),"""")"),"")</f>
        <v/>
      </c>
      <c r="B22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Helper'!$F$5:$F$3004,"""")&lt;&gt;""""),ROWS(B$5:B2234)),"""")"),"")</f>
        <v/>
      </c>
      <c r="C22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Helper'!$F$5:$F$3004,"""")&lt;&gt;""""),ROWS(C$5:C2234)),"""")"),"")</f>
        <v/>
      </c>
      <c r="D22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Helper'!$F$5:$F$3004,"""")&lt;&gt;""""),ROWS(D$5:D2234)),"""")"),"")</f>
        <v/>
      </c>
      <c r="E22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Helper'!$F$5:$F$3004,"""")&lt;&gt;""""),ROWS(E$5:E2234)),"""")"),"")</f>
        <v/>
      </c>
      <c r="F22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Helper'!$F$5:$F$3004,"""")&lt;&gt;""""),ROWS(F$5:F2234)),IF(AND(LEFT(x,5)=""Pag"&amp;"e "",ISERROR(SEARCH(""–"",x))),x&amp;""–""&amp;REGEXEXTRACT(x,""[0-9]+$""),x)),"""")"),"")</f>
        <v/>
      </c>
      <c r="G2234" s="163"/>
      <c r="H22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Helper'!$F$5:$F$3004,"""")&lt;&gt;""""),ROWS(H$5:H2234)),"""")"),"")</f>
        <v/>
      </c>
    </row>
    <row r="2235" ht="15.75" customHeight="1">
      <c r="A22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Helper'!$F$5:$F$3004,"""")&lt;&gt;""""),ROWS(A$5:A2235)),"""")"),"")</f>
        <v/>
      </c>
      <c r="B22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Helper'!$F$5:$F$3004,"""")&lt;&gt;""""),ROWS(B$5:B2235)),"""")"),"")</f>
        <v/>
      </c>
      <c r="C22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Helper'!$F$5:$F$3004,"""")&lt;&gt;""""),ROWS(C$5:C2235)),"""")"),"")</f>
        <v/>
      </c>
      <c r="D22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Helper'!$F$5:$F$3004,"""")&lt;&gt;""""),ROWS(D$5:D2235)),"""")"),"")</f>
        <v/>
      </c>
      <c r="E22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Helper'!$F$5:$F$3004,"""")&lt;&gt;""""),ROWS(E$5:E2235)),"""")"),"")</f>
        <v/>
      </c>
      <c r="F22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Helper'!$F$5:$F$3004,"""")&lt;&gt;""""),ROWS(F$5:F2235)),IF(AND(LEFT(x,5)=""Pag"&amp;"e "",ISERROR(SEARCH(""–"",x))),x&amp;""–""&amp;REGEXEXTRACT(x,""[0-9]+$""),x)),"""")"),"")</f>
        <v/>
      </c>
      <c r="G2235" s="163"/>
      <c r="H22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Helper'!$F$5:$F$3004,"""")&lt;&gt;""""),ROWS(H$5:H2235)),"""")"),"")</f>
        <v/>
      </c>
    </row>
    <row r="2236" ht="15.75" customHeight="1">
      <c r="A22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Helper'!$F$5:$F$3004,"""")&lt;&gt;""""),ROWS(A$5:A2236)),"""")"),"")</f>
        <v/>
      </c>
      <c r="B22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Helper'!$F$5:$F$3004,"""")&lt;&gt;""""),ROWS(B$5:B2236)),"""")"),"")</f>
        <v/>
      </c>
      <c r="C22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Helper'!$F$5:$F$3004,"""")&lt;&gt;""""),ROWS(C$5:C2236)),"""")"),"")</f>
        <v/>
      </c>
      <c r="D22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Helper'!$F$5:$F$3004,"""")&lt;&gt;""""),ROWS(D$5:D2236)),"""")"),"")</f>
        <v/>
      </c>
      <c r="E22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Helper'!$F$5:$F$3004,"""")&lt;&gt;""""),ROWS(E$5:E2236)),"""")"),"")</f>
        <v/>
      </c>
      <c r="F22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Helper'!$F$5:$F$3004,"""")&lt;&gt;""""),ROWS(F$5:F2236)),IF(AND(LEFT(x,5)=""Pag"&amp;"e "",ISERROR(SEARCH(""–"",x))),x&amp;""–""&amp;REGEXEXTRACT(x,""[0-9]+$""),x)),"""")"),"")</f>
        <v/>
      </c>
      <c r="G2236" s="163"/>
      <c r="H22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Helper'!$F$5:$F$3004,"""")&lt;&gt;""""),ROWS(H$5:H2236)),"""")"),"")</f>
        <v/>
      </c>
    </row>
    <row r="2237" ht="15.75" customHeight="1">
      <c r="A22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Helper'!$F$5:$F$3004,"""")&lt;&gt;""""),ROWS(A$5:A2237)),"""")"),"")</f>
        <v/>
      </c>
      <c r="B22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Helper'!$F$5:$F$3004,"""")&lt;&gt;""""),ROWS(B$5:B2237)),"""")"),"")</f>
        <v/>
      </c>
      <c r="C22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Helper'!$F$5:$F$3004,"""")&lt;&gt;""""),ROWS(C$5:C2237)),"""")"),"")</f>
        <v/>
      </c>
      <c r="D22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Helper'!$F$5:$F$3004,"""")&lt;&gt;""""),ROWS(D$5:D2237)),"""")"),"")</f>
        <v/>
      </c>
      <c r="E22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Helper'!$F$5:$F$3004,"""")&lt;&gt;""""),ROWS(E$5:E2237)),"""")"),"")</f>
        <v/>
      </c>
      <c r="F22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Helper'!$F$5:$F$3004,"""")&lt;&gt;""""),ROWS(F$5:F2237)),IF(AND(LEFT(x,5)=""Pag"&amp;"e "",ISERROR(SEARCH(""–"",x))),x&amp;""–""&amp;REGEXEXTRACT(x,""[0-9]+$""),x)),"""")"),"")</f>
        <v/>
      </c>
      <c r="G2237" s="163"/>
      <c r="H22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Helper'!$F$5:$F$3004,"""")&lt;&gt;""""),ROWS(H$5:H2237)),"""")"),"")</f>
        <v/>
      </c>
    </row>
    <row r="2238" ht="15.75" customHeight="1">
      <c r="A22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Helper'!$F$5:$F$3004,"""")&lt;&gt;""""),ROWS(A$5:A2238)),"""")"),"")</f>
        <v/>
      </c>
      <c r="B22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Helper'!$F$5:$F$3004,"""")&lt;&gt;""""),ROWS(B$5:B2238)),"""")"),"")</f>
        <v/>
      </c>
      <c r="C22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Helper'!$F$5:$F$3004,"""")&lt;&gt;""""),ROWS(C$5:C2238)),"""")"),"")</f>
        <v/>
      </c>
      <c r="D22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Helper'!$F$5:$F$3004,"""")&lt;&gt;""""),ROWS(D$5:D2238)),"""")"),"")</f>
        <v/>
      </c>
      <c r="E22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Helper'!$F$5:$F$3004,"""")&lt;&gt;""""),ROWS(E$5:E2238)),"""")"),"")</f>
        <v/>
      </c>
      <c r="F22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Helper'!$F$5:$F$3004,"""")&lt;&gt;""""),ROWS(F$5:F2238)),IF(AND(LEFT(x,5)=""Pag"&amp;"e "",ISERROR(SEARCH(""–"",x))),x&amp;""–""&amp;REGEXEXTRACT(x,""[0-9]+$""),x)),"""")"),"")</f>
        <v/>
      </c>
      <c r="G2238" s="163"/>
      <c r="H22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Helper'!$F$5:$F$3004,"""")&lt;&gt;""""),ROWS(H$5:H2238)),"""")"),"")</f>
        <v/>
      </c>
    </row>
    <row r="2239" ht="15.75" customHeight="1">
      <c r="A22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Helper'!$F$5:$F$3004,"""")&lt;&gt;""""),ROWS(A$5:A2239)),"""")"),"")</f>
        <v/>
      </c>
      <c r="B22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Helper'!$F$5:$F$3004,"""")&lt;&gt;""""),ROWS(B$5:B2239)),"""")"),"")</f>
        <v/>
      </c>
      <c r="C22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Helper'!$F$5:$F$3004,"""")&lt;&gt;""""),ROWS(C$5:C2239)),"""")"),"")</f>
        <v/>
      </c>
      <c r="D22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Helper'!$F$5:$F$3004,"""")&lt;&gt;""""),ROWS(D$5:D2239)),"""")"),"")</f>
        <v/>
      </c>
      <c r="E22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Helper'!$F$5:$F$3004,"""")&lt;&gt;""""),ROWS(E$5:E2239)),"""")"),"")</f>
        <v/>
      </c>
      <c r="F22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Helper'!$F$5:$F$3004,"""")&lt;&gt;""""),ROWS(F$5:F2239)),IF(AND(LEFT(x,5)=""Pag"&amp;"e "",ISERROR(SEARCH(""–"",x))),x&amp;""–""&amp;REGEXEXTRACT(x,""[0-9]+$""),x)),"""")"),"")</f>
        <v/>
      </c>
      <c r="G2239" s="163"/>
      <c r="H22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Helper'!$F$5:$F$3004,"""")&lt;&gt;""""),ROWS(H$5:H2239)),"""")"),"")</f>
        <v/>
      </c>
    </row>
    <row r="2240" ht="15.75" customHeight="1">
      <c r="A22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Helper'!$F$5:$F$3004,"""")&lt;&gt;""""),ROWS(A$5:A2240)),"""")"),"")</f>
        <v/>
      </c>
      <c r="B22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Helper'!$F$5:$F$3004,"""")&lt;&gt;""""),ROWS(B$5:B2240)),"""")"),"")</f>
        <v/>
      </c>
      <c r="C22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Helper'!$F$5:$F$3004,"""")&lt;&gt;""""),ROWS(C$5:C2240)),"""")"),"")</f>
        <v/>
      </c>
      <c r="D22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Helper'!$F$5:$F$3004,"""")&lt;&gt;""""),ROWS(D$5:D2240)),"""")"),"")</f>
        <v/>
      </c>
      <c r="E22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Helper'!$F$5:$F$3004,"""")&lt;&gt;""""),ROWS(E$5:E2240)),"""")"),"")</f>
        <v/>
      </c>
      <c r="F22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Helper'!$F$5:$F$3004,"""")&lt;&gt;""""),ROWS(F$5:F2240)),IF(AND(LEFT(x,5)=""Pag"&amp;"e "",ISERROR(SEARCH(""–"",x))),x&amp;""–""&amp;REGEXEXTRACT(x,""[0-9]+$""),x)),"""")"),"")</f>
        <v/>
      </c>
      <c r="G2240" s="163"/>
      <c r="H22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Helper'!$F$5:$F$3004,"""")&lt;&gt;""""),ROWS(H$5:H2240)),"""")"),"")</f>
        <v/>
      </c>
    </row>
    <row r="2241" ht="15.75" customHeight="1">
      <c r="A22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Helper'!$F$5:$F$3004,"""")&lt;&gt;""""),ROWS(A$5:A2241)),"""")"),"")</f>
        <v/>
      </c>
      <c r="B22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Helper'!$F$5:$F$3004,"""")&lt;&gt;""""),ROWS(B$5:B2241)),"""")"),"")</f>
        <v/>
      </c>
      <c r="C22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Helper'!$F$5:$F$3004,"""")&lt;&gt;""""),ROWS(C$5:C2241)),"""")"),"")</f>
        <v/>
      </c>
      <c r="D22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Helper'!$F$5:$F$3004,"""")&lt;&gt;""""),ROWS(D$5:D2241)),"""")"),"")</f>
        <v/>
      </c>
      <c r="E22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Helper'!$F$5:$F$3004,"""")&lt;&gt;""""),ROWS(E$5:E2241)),"""")"),"")</f>
        <v/>
      </c>
      <c r="F22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Helper'!$F$5:$F$3004,"""")&lt;&gt;""""),ROWS(F$5:F2241)),IF(AND(LEFT(x,5)=""Pag"&amp;"e "",ISERROR(SEARCH(""–"",x))),x&amp;""–""&amp;REGEXEXTRACT(x,""[0-9]+$""),x)),"""")"),"")</f>
        <v/>
      </c>
      <c r="G2241" s="163"/>
      <c r="H22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Helper'!$F$5:$F$3004,"""")&lt;&gt;""""),ROWS(H$5:H2241)),"""")"),"")</f>
        <v/>
      </c>
    </row>
    <row r="2242" ht="15.75" customHeight="1">
      <c r="A22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Helper'!$F$5:$F$3004,"""")&lt;&gt;""""),ROWS(A$5:A2242)),"""")"),"")</f>
        <v/>
      </c>
      <c r="B22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Helper'!$F$5:$F$3004,"""")&lt;&gt;""""),ROWS(B$5:B2242)),"""")"),"")</f>
        <v/>
      </c>
      <c r="C22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Helper'!$F$5:$F$3004,"""")&lt;&gt;""""),ROWS(C$5:C2242)),"""")"),"")</f>
        <v/>
      </c>
      <c r="D22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Helper'!$F$5:$F$3004,"""")&lt;&gt;""""),ROWS(D$5:D2242)),"""")"),"")</f>
        <v/>
      </c>
      <c r="E22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Helper'!$F$5:$F$3004,"""")&lt;&gt;""""),ROWS(E$5:E2242)),"""")"),"")</f>
        <v/>
      </c>
      <c r="F22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Helper'!$F$5:$F$3004,"""")&lt;&gt;""""),ROWS(F$5:F2242)),IF(AND(LEFT(x,5)=""Pag"&amp;"e "",ISERROR(SEARCH(""–"",x))),x&amp;""–""&amp;REGEXEXTRACT(x,""[0-9]+$""),x)),"""")"),"")</f>
        <v/>
      </c>
      <c r="G2242" s="163"/>
      <c r="H22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Helper'!$F$5:$F$3004,"""")&lt;&gt;""""),ROWS(H$5:H2242)),"""")"),"")</f>
        <v/>
      </c>
    </row>
    <row r="2243" ht="15.75" customHeight="1">
      <c r="A22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Helper'!$F$5:$F$3004,"""")&lt;&gt;""""),ROWS(A$5:A2243)),"""")"),"")</f>
        <v/>
      </c>
      <c r="B22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Helper'!$F$5:$F$3004,"""")&lt;&gt;""""),ROWS(B$5:B2243)),"""")"),"")</f>
        <v/>
      </c>
      <c r="C22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Helper'!$F$5:$F$3004,"""")&lt;&gt;""""),ROWS(C$5:C2243)),"""")"),"")</f>
        <v/>
      </c>
      <c r="D22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Helper'!$F$5:$F$3004,"""")&lt;&gt;""""),ROWS(D$5:D2243)),"""")"),"")</f>
        <v/>
      </c>
      <c r="E22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Helper'!$F$5:$F$3004,"""")&lt;&gt;""""),ROWS(E$5:E2243)),"""")"),"")</f>
        <v/>
      </c>
      <c r="F22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Helper'!$F$5:$F$3004,"""")&lt;&gt;""""),ROWS(F$5:F2243)),IF(AND(LEFT(x,5)=""Pag"&amp;"e "",ISERROR(SEARCH(""–"",x))),x&amp;""–""&amp;REGEXEXTRACT(x,""[0-9]+$""),x)),"""")"),"")</f>
        <v/>
      </c>
      <c r="G2243" s="163"/>
      <c r="H22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Helper'!$F$5:$F$3004,"""")&lt;&gt;""""),ROWS(H$5:H2243)),"""")"),"")</f>
        <v/>
      </c>
    </row>
    <row r="2244" ht="15.75" customHeight="1">
      <c r="A22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Helper'!$F$5:$F$3004,"""")&lt;&gt;""""),ROWS(A$5:A2244)),"""")"),"")</f>
        <v/>
      </c>
      <c r="B22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Helper'!$F$5:$F$3004,"""")&lt;&gt;""""),ROWS(B$5:B2244)),"""")"),"")</f>
        <v/>
      </c>
      <c r="C22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Helper'!$F$5:$F$3004,"""")&lt;&gt;""""),ROWS(C$5:C2244)),"""")"),"")</f>
        <v/>
      </c>
      <c r="D22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Helper'!$F$5:$F$3004,"""")&lt;&gt;""""),ROWS(D$5:D2244)),"""")"),"")</f>
        <v/>
      </c>
      <c r="E22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Helper'!$F$5:$F$3004,"""")&lt;&gt;""""),ROWS(E$5:E2244)),"""")"),"")</f>
        <v/>
      </c>
      <c r="F22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Helper'!$F$5:$F$3004,"""")&lt;&gt;""""),ROWS(F$5:F2244)),IF(AND(LEFT(x,5)=""Pag"&amp;"e "",ISERROR(SEARCH(""–"",x))),x&amp;""–""&amp;REGEXEXTRACT(x,""[0-9]+$""),x)),"""")"),"")</f>
        <v/>
      </c>
      <c r="G2244" s="163"/>
      <c r="H22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Helper'!$F$5:$F$3004,"""")&lt;&gt;""""),ROWS(H$5:H2244)),"""")"),"")</f>
        <v/>
      </c>
    </row>
    <row r="2245" ht="15.75" customHeight="1">
      <c r="A22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Helper'!$F$5:$F$3004,"""")&lt;&gt;""""),ROWS(A$5:A2245)),"""")"),"")</f>
        <v/>
      </c>
      <c r="B22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Helper'!$F$5:$F$3004,"""")&lt;&gt;""""),ROWS(B$5:B2245)),"""")"),"")</f>
        <v/>
      </c>
      <c r="C22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Helper'!$F$5:$F$3004,"""")&lt;&gt;""""),ROWS(C$5:C2245)),"""")"),"")</f>
        <v/>
      </c>
      <c r="D22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Helper'!$F$5:$F$3004,"""")&lt;&gt;""""),ROWS(D$5:D2245)),"""")"),"")</f>
        <v/>
      </c>
      <c r="E22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Helper'!$F$5:$F$3004,"""")&lt;&gt;""""),ROWS(E$5:E2245)),"""")"),"")</f>
        <v/>
      </c>
      <c r="F22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Helper'!$F$5:$F$3004,"""")&lt;&gt;""""),ROWS(F$5:F2245)),IF(AND(LEFT(x,5)=""Pag"&amp;"e "",ISERROR(SEARCH(""–"",x))),x&amp;""–""&amp;REGEXEXTRACT(x,""[0-9]+$""),x)),"""")"),"")</f>
        <v/>
      </c>
      <c r="G2245" s="163"/>
      <c r="H22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Helper'!$F$5:$F$3004,"""")&lt;&gt;""""),ROWS(H$5:H2245)),"""")"),"")</f>
        <v/>
      </c>
    </row>
    <row r="2246" ht="15.75" customHeight="1">
      <c r="A22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Helper'!$F$5:$F$3004,"""")&lt;&gt;""""),ROWS(A$5:A2246)),"""")"),"")</f>
        <v/>
      </c>
      <c r="B22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Helper'!$F$5:$F$3004,"""")&lt;&gt;""""),ROWS(B$5:B2246)),"""")"),"")</f>
        <v/>
      </c>
      <c r="C22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Helper'!$F$5:$F$3004,"""")&lt;&gt;""""),ROWS(C$5:C2246)),"""")"),"")</f>
        <v/>
      </c>
      <c r="D22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Helper'!$F$5:$F$3004,"""")&lt;&gt;""""),ROWS(D$5:D2246)),"""")"),"")</f>
        <v/>
      </c>
      <c r="E22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Helper'!$F$5:$F$3004,"""")&lt;&gt;""""),ROWS(E$5:E2246)),"""")"),"")</f>
        <v/>
      </c>
      <c r="F22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Helper'!$F$5:$F$3004,"""")&lt;&gt;""""),ROWS(F$5:F2246)),IF(AND(LEFT(x,5)=""Pag"&amp;"e "",ISERROR(SEARCH(""–"",x))),x&amp;""–""&amp;REGEXEXTRACT(x,""[0-9]+$""),x)),"""")"),"")</f>
        <v/>
      </c>
      <c r="G2246" s="163"/>
      <c r="H22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Helper'!$F$5:$F$3004,"""")&lt;&gt;""""),ROWS(H$5:H2246)),"""")"),"")</f>
        <v/>
      </c>
    </row>
    <row r="2247" ht="15.75" customHeight="1">
      <c r="A22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Helper'!$F$5:$F$3004,"""")&lt;&gt;""""),ROWS(A$5:A2247)),"""")"),"")</f>
        <v/>
      </c>
      <c r="B22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Helper'!$F$5:$F$3004,"""")&lt;&gt;""""),ROWS(B$5:B2247)),"""")"),"")</f>
        <v/>
      </c>
      <c r="C22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Helper'!$F$5:$F$3004,"""")&lt;&gt;""""),ROWS(C$5:C2247)),"""")"),"")</f>
        <v/>
      </c>
      <c r="D22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Helper'!$F$5:$F$3004,"""")&lt;&gt;""""),ROWS(D$5:D2247)),"""")"),"")</f>
        <v/>
      </c>
      <c r="E22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Helper'!$F$5:$F$3004,"""")&lt;&gt;""""),ROWS(E$5:E2247)),"""")"),"")</f>
        <v/>
      </c>
      <c r="F22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Helper'!$F$5:$F$3004,"""")&lt;&gt;""""),ROWS(F$5:F2247)),IF(AND(LEFT(x,5)=""Pag"&amp;"e "",ISERROR(SEARCH(""–"",x))),x&amp;""–""&amp;REGEXEXTRACT(x,""[0-9]+$""),x)),"""")"),"")</f>
        <v/>
      </c>
      <c r="G2247" s="163"/>
      <c r="H22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Helper'!$F$5:$F$3004,"""")&lt;&gt;""""),ROWS(H$5:H2247)),"""")"),"")</f>
        <v/>
      </c>
    </row>
    <row r="2248" ht="15.75" customHeight="1">
      <c r="A22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Helper'!$F$5:$F$3004,"""")&lt;&gt;""""),ROWS(A$5:A2248)),"""")"),"")</f>
        <v/>
      </c>
      <c r="B22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Helper'!$F$5:$F$3004,"""")&lt;&gt;""""),ROWS(B$5:B2248)),"""")"),"")</f>
        <v/>
      </c>
      <c r="C22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Helper'!$F$5:$F$3004,"""")&lt;&gt;""""),ROWS(C$5:C2248)),"""")"),"")</f>
        <v/>
      </c>
      <c r="D22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Helper'!$F$5:$F$3004,"""")&lt;&gt;""""),ROWS(D$5:D2248)),"""")"),"")</f>
        <v/>
      </c>
      <c r="E22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Helper'!$F$5:$F$3004,"""")&lt;&gt;""""),ROWS(E$5:E2248)),"""")"),"")</f>
        <v/>
      </c>
      <c r="F22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Helper'!$F$5:$F$3004,"""")&lt;&gt;""""),ROWS(F$5:F2248)),IF(AND(LEFT(x,5)=""Pag"&amp;"e "",ISERROR(SEARCH(""–"",x))),x&amp;""–""&amp;REGEXEXTRACT(x,""[0-9]+$""),x)),"""")"),"")</f>
        <v/>
      </c>
      <c r="G2248" s="163"/>
      <c r="H22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Helper'!$F$5:$F$3004,"""")&lt;&gt;""""),ROWS(H$5:H2248)),"""")"),"")</f>
        <v/>
      </c>
    </row>
    <row r="2249" ht="15.75" customHeight="1">
      <c r="A22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Helper'!$F$5:$F$3004,"""")&lt;&gt;""""),ROWS(A$5:A2249)),"""")"),"")</f>
        <v/>
      </c>
      <c r="B22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Helper'!$F$5:$F$3004,"""")&lt;&gt;""""),ROWS(B$5:B2249)),"""")"),"")</f>
        <v/>
      </c>
      <c r="C22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Helper'!$F$5:$F$3004,"""")&lt;&gt;""""),ROWS(C$5:C2249)),"""")"),"")</f>
        <v/>
      </c>
      <c r="D22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Helper'!$F$5:$F$3004,"""")&lt;&gt;""""),ROWS(D$5:D2249)),"""")"),"")</f>
        <v/>
      </c>
      <c r="E22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Helper'!$F$5:$F$3004,"""")&lt;&gt;""""),ROWS(E$5:E2249)),"""")"),"")</f>
        <v/>
      </c>
      <c r="F22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Helper'!$F$5:$F$3004,"""")&lt;&gt;""""),ROWS(F$5:F2249)),IF(AND(LEFT(x,5)=""Pag"&amp;"e "",ISERROR(SEARCH(""–"",x))),x&amp;""–""&amp;REGEXEXTRACT(x,""[0-9]+$""),x)),"""")"),"")</f>
        <v/>
      </c>
      <c r="G2249" s="163"/>
      <c r="H22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Helper'!$F$5:$F$3004,"""")&lt;&gt;""""),ROWS(H$5:H2249)),"""")"),"")</f>
        <v/>
      </c>
    </row>
    <row r="2250" ht="15.75" customHeight="1">
      <c r="A22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Helper'!$F$5:$F$3004,"""")&lt;&gt;""""),ROWS(A$5:A2250)),"""")"),"")</f>
        <v/>
      </c>
      <c r="B22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Helper'!$F$5:$F$3004,"""")&lt;&gt;""""),ROWS(B$5:B2250)),"""")"),"")</f>
        <v/>
      </c>
      <c r="C22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Helper'!$F$5:$F$3004,"""")&lt;&gt;""""),ROWS(C$5:C2250)),"""")"),"")</f>
        <v/>
      </c>
      <c r="D22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Helper'!$F$5:$F$3004,"""")&lt;&gt;""""),ROWS(D$5:D2250)),"""")"),"")</f>
        <v/>
      </c>
      <c r="E22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Helper'!$F$5:$F$3004,"""")&lt;&gt;""""),ROWS(E$5:E2250)),"""")"),"")</f>
        <v/>
      </c>
      <c r="F22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Helper'!$F$5:$F$3004,"""")&lt;&gt;""""),ROWS(F$5:F2250)),IF(AND(LEFT(x,5)=""Pag"&amp;"e "",ISERROR(SEARCH(""–"",x))),x&amp;""–""&amp;REGEXEXTRACT(x,""[0-9]+$""),x)),"""")"),"")</f>
        <v/>
      </c>
      <c r="G2250" s="163"/>
      <c r="H22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Helper'!$F$5:$F$3004,"""")&lt;&gt;""""),ROWS(H$5:H2250)),"""")"),"")</f>
        <v/>
      </c>
    </row>
    <row r="2251" ht="15.75" customHeight="1">
      <c r="A22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Helper'!$F$5:$F$3004,"""")&lt;&gt;""""),ROWS(A$5:A2251)),"""")"),"")</f>
        <v/>
      </c>
      <c r="B22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Helper'!$F$5:$F$3004,"""")&lt;&gt;""""),ROWS(B$5:B2251)),"""")"),"")</f>
        <v/>
      </c>
      <c r="C22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Helper'!$F$5:$F$3004,"""")&lt;&gt;""""),ROWS(C$5:C2251)),"""")"),"")</f>
        <v/>
      </c>
      <c r="D22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Helper'!$F$5:$F$3004,"""")&lt;&gt;""""),ROWS(D$5:D2251)),"""")"),"")</f>
        <v/>
      </c>
      <c r="E22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Helper'!$F$5:$F$3004,"""")&lt;&gt;""""),ROWS(E$5:E2251)),"""")"),"")</f>
        <v/>
      </c>
      <c r="F22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Helper'!$F$5:$F$3004,"""")&lt;&gt;""""),ROWS(F$5:F2251)),IF(AND(LEFT(x,5)=""Pag"&amp;"e "",ISERROR(SEARCH(""–"",x))),x&amp;""–""&amp;REGEXEXTRACT(x,""[0-9]+$""),x)),"""")"),"")</f>
        <v/>
      </c>
      <c r="G2251" s="163"/>
      <c r="H22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Helper'!$F$5:$F$3004,"""")&lt;&gt;""""),ROWS(H$5:H2251)),"""")"),"")</f>
        <v/>
      </c>
    </row>
    <row r="2252" ht="15.75" customHeight="1">
      <c r="A22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Helper'!$F$5:$F$3004,"""")&lt;&gt;""""),ROWS(A$5:A2252)),"""")"),"")</f>
        <v/>
      </c>
      <c r="B22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Helper'!$F$5:$F$3004,"""")&lt;&gt;""""),ROWS(B$5:B2252)),"""")"),"")</f>
        <v/>
      </c>
      <c r="C22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Helper'!$F$5:$F$3004,"""")&lt;&gt;""""),ROWS(C$5:C2252)),"""")"),"")</f>
        <v/>
      </c>
      <c r="D22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Helper'!$F$5:$F$3004,"""")&lt;&gt;""""),ROWS(D$5:D2252)),"""")"),"")</f>
        <v/>
      </c>
      <c r="E22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Helper'!$F$5:$F$3004,"""")&lt;&gt;""""),ROWS(E$5:E2252)),"""")"),"")</f>
        <v/>
      </c>
      <c r="F22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Helper'!$F$5:$F$3004,"""")&lt;&gt;""""),ROWS(F$5:F2252)),IF(AND(LEFT(x,5)=""Pag"&amp;"e "",ISERROR(SEARCH(""–"",x))),x&amp;""–""&amp;REGEXEXTRACT(x,""[0-9]+$""),x)),"""")"),"")</f>
        <v/>
      </c>
      <c r="G2252" s="163"/>
      <c r="H22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Helper'!$F$5:$F$3004,"""")&lt;&gt;""""),ROWS(H$5:H2252)),"""")"),"")</f>
        <v/>
      </c>
    </row>
    <row r="2253" ht="15.75" customHeight="1">
      <c r="A22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Helper'!$F$5:$F$3004,"""")&lt;&gt;""""),ROWS(A$5:A2253)),"""")"),"")</f>
        <v/>
      </c>
      <c r="B22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Helper'!$F$5:$F$3004,"""")&lt;&gt;""""),ROWS(B$5:B2253)),"""")"),"")</f>
        <v/>
      </c>
      <c r="C22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Helper'!$F$5:$F$3004,"""")&lt;&gt;""""),ROWS(C$5:C2253)),"""")"),"")</f>
        <v/>
      </c>
      <c r="D22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Helper'!$F$5:$F$3004,"""")&lt;&gt;""""),ROWS(D$5:D2253)),"""")"),"")</f>
        <v/>
      </c>
      <c r="E22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Helper'!$F$5:$F$3004,"""")&lt;&gt;""""),ROWS(E$5:E2253)),"""")"),"")</f>
        <v/>
      </c>
      <c r="F22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Helper'!$F$5:$F$3004,"""")&lt;&gt;""""),ROWS(F$5:F2253)),IF(AND(LEFT(x,5)=""Pag"&amp;"e "",ISERROR(SEARCH(""–"",x))),x&amp;""–""&amp;REGEXEXTRACT(x,""[0-9]+$""),x)),"""")"),"")</f>
        <v/>
      </c>
      <c r="G2253" s="163"/>
      <c r="H22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Helper'!$F$5:$F$3004,"""")&lt;&gt;""""),ROWS(H$5:H2253)),"""")"),"")</f>
        <v/>
      </c>
    </row>
    <row r="2254" ht="15.75" customHeight="1">
      <c r="A22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Helper'!$F$5:$F$3004,"""")&lt;&gt;""""),ROWS(A$5:A2254)),"""")"),"")</f>
        <v/>
      </c>
      <c r="B22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Helper'!$F$5:$F$3004,"""")&lt;&gt;""""),ROWS(B$5:B2254)),"""")"),"")</f>
        <v/>
      </c>
      <c r="C22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Helper'!$F$5:$F$3004,"""")&lt;&gt;""""),ROWS(C$5:C2254)),"""")"),"")</f>
        <v/>
      </c>
      <c r="D22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Helper'!$F$5:$F$3004,"""")&lt;&gt;""""),ROWS(D$5:D2254)),"""")"),"")</f>
        <v/>
      </c>
      <c r="E22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Helper'!$F$5:$F$3004,"""")&lt;&gt;""""),ROWS(E$5:E2254)),"""")"),"")</f>
        <v/>
      </c>
      <c r="F22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Helper'!$F$5:$F$3004,"""")&lt;&gt;""""),ROWS(F$5:F2254)),IF(AND(LEFT(x,5)=""Pag"&amp;"e "",ISERROR(SEARCH(""–"",x))),x&amp;""–""&amp;REGEXEXTRACT(x,""[0-9]+$""),x)),"""")"),"")</f>
        <v/>
      </c>
      <c r="G2254" s="163"/>
      <c r="H22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Helper'!$F$5:$F$3004,"""")&lt;&gt;""""),ROWS(H$5:H2254)),"""")"),"")</f>
        <v/>
      </c>
    </row>
    <row r="2255" ht="15.75" customHeight="1">
      <c r="A22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Helper'!$F$5:$F$3004,"""")&lt;&gt;""""),ROWS(A$5:A2255)),"""")"),"")</f>
        <v/>
      </c>
      <c r="B22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Helper'!$F$5:$F$3004,"""")&lt;&gt;""""),ROWS(B$5:B2255)),"""")"),"")</f>
        <v/>
      </c>
      <c r="C22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Helper'!$F$5:$F$3004,"""")&lt;&gt;""""),ROWS(C$5:C2255)),"""")"),"")</f>
        <v/>
      </c>
      <c r="D22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Helper'!$F$5:$F$3004,"""")&lt;&gt;""""),ROWS(D$5:D2255)),"""")"),"")</f>
        <v/>
      </c>
      <c r="E22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Helper'!$F$5:$F$3004,"""")&lt;&gt;""""),ROWS(E$5:E2255)),"""")"),"")</f>
        <v/>
      </c>
      <c r="F22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Helper'!$F$5:$F$3004,"""")&lt;&gt;""""),ROWS(F$5:F2255)),IF(AND(LEFT(x,5)=""Pag"&amp;"e "",ISERROR(SEARCH(""–"",x))),x&amp;""–""&amp;REGEXEXTRACT(x,""[0-9]+$""),x)),"""")"),"")</f>
        <v/>
      </c>
      <c r="G2255" s="163"/>
      <c r="H22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Helper'!$F$5:$F$3004,"""")&lt;&gt;""""),ROWS(H$5:H2255)),"""")"),"")</f>
        <v/>
      </c>
    </row>
    <row r="2256" ht="15.75" customHeight="1">
      <c r="A22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Helper'!$F$5:$F$3004,"""")&lt;&gt;""""),ROWS(A$5:A2256)),"""")"),"")</f>
        <v/>
      </c>
      <c r="B22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Helper'!$F$5:$F$3004,"""")&lt;&gt;""""),ROWS(B$5:B2256)),"""")"),"")</f>
        <v/>
      </c>
      <c r="C22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Helper'!$F$5:$F$3004,"""")&lt;&gt;""""),ROWS(C$5:C2256)),"""")"),"")</f>
        <v/>
      </c>
      <c r="D22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Helper'!$F$5:$F$3004,"""")&lt;&gt;""""),ROWS(D$5:D2256)),"""")"),"")</f>
        <v/>
      </c>
      <c r="E22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Helper'!$F$5:$F$3004,"""")&lt;&gt;""""),ROWS(E$5:E2256)),"""")"),"")</f>
        <v/>
      </c>
      <c r="F22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Helper'!$F$5:$F$3004,"""")&lt;&gt;""""),ROWS(F$5:F2256)),IF(AND(LEFT(x,5)=""Pag"&amp;"e "",ISERROR(SEARCH(""–"",x))),x&amp;""–""&amp;REGEXEXTRACT(x,""[0-9]+$""),x)),"""")"),"")</f>
        <v/>
      </c>
      <c r="G2256" s="163"/>
      <c r="H22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Helper'!$F$5:$F$3004,"""")&lt;&gt;""""),ROWS(H$5:H2256)),"""")"),"")</f>
        <v/>
      </c>
    </row>
    <row r="2257" ht="15.75" customHeight="1">
      <c r="A22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Helper'!$F$5:$F$3004,"""")&lt;&gt;""""),ROWS(A$5:A2257)),"""")"),"")</f>
        <v/>
      </c>
      <c r="B22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Helper'!$F$5:$F$3004,"""")&lt;&gt;""""),ROWS(B$5:B2257)),"""")"),"")</f>
        <v/>
      </c>
      <c r="C22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Helper'!$F$5:$F$3004,"""")&lt;&gt;""""),ROWS(C$5:C2257)),"""")"),"")</f>
        <v/>
      </c>
      <c r="D22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Helper'!$F$5:$F$3004,"""")&lt;&gt;""""),ROWS(D$5:D2257)),"""")"),"")</f>
        <v/>
      </c>
      <c r="E22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Helper'!$F$5:$F$3004,"""")&lt;&gt;""""),ROWS(E$5:E2257)),"""")"),"")</f>
        <v/>
      </c>
      <c r="F22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Helper'!$F$5:$F$3004,"""")&lt;&gt;""""),ROWS(F$5:F2257)),IF(AND(LEFT(x,5)=""Pag"&amp;"e "",ISERROR(SEARCH(""–"",x))),x&amp;""–""&amp;REGEXEXTRACT(x,""[0-9]+$""),x)),"""")"),"")</f>
        <v/>
      </c>
      <c r="G2257" s="163"/>
      <c r="H22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Helper'!$F$5:$F$3004,"""")&lt;&gt;""""),ROWS(H$5:H2257)),"""")"),"")</f>
        <v/>
      </c>
    </row>
    <row r="2258" ht="15.75" customHeight="1">
      <c r="A22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Helper'!$F$5:$F$3004,"""")&lt;&gt;""""),ROWS(A$5:A2258)),"""")"),"")</f>
        <v/>
      </c>
      <c r="B22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Helper'!$F$5:$F$3004,"""")&lt;&gt;""""),ROWS(B$5:B2258)),"""")"),"")</f>
        <v/>
      </c>
      <c r="C22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Helper'!$F$5:$F$3004,"""")&lt;&gt;""""),ROWS(C$5:C2258)),"""")"),"")</f>
        <v/>
      </c>
      <c r="D22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Helper'!$F$5:$F$3004,"""")&lt;&gt;""""),ROWS(D$5:D2258)),"""")"),"")</f>
        <v/>
      </c>
      <c r="E22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Helper'!$F$5:$F$3004,"""")&lt;&gt;""""),ROWS(E$5:E2258)),"""")"),"")</f>
        <v/>
      </c>
      <c r="F22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Helper'!$F$5:$F$3004,"""")&lt;&gt;""""),ROWS(F$5:F2258)),IF(AND(LEFT(x,5)=""Pag"&amp;"e "",ISERROR(SEARCH(""–"",x))),x&amp;""–""&amp;REGEXEXTRACT(x,""[0-9]+$""),x)),"""")"),"")</f>
        <v/>
      </c>
      <c r="G2258" s="163"/>
      <c r="H22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Helper'!$F$5:$F$3004,"""")&lt;&gt;""""),ROWS(H$5:H2258)),"""")"),"")</f>
        <v/>
      </c>
    </row>
    <row r="2259" ht="15.75" customHeight="1">
      <c r="A22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Helper'!$F$5:$F$3004,"""")&lt;&gt;""""),ROWS(A$5:A2259)),"""")"),"")</f>
        <v/>
      </c>
      <c r="B22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Helper'!$F$5:$F$3004,"""")&lt;&gt;""""),ROWS(B$5:B2259)),"""")"),"")</f>
        <v/>
      </c>
      <c r="C22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Helper'!$F$5:$F$3004,"""")&lt;&gt;""""),ROWS(C$5:C2259)),"""")"),"")</f>
        <v/>
      </c>
      <c r="D22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Helper'!$F$5:$F$3004,"""")&lt;&gt;""""),ROWS(D$5:D2259)),"""")"),"")</f>
        <v/>
      </c>
      <c r="E22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Helper'!$F$5:$F$3004,"""")&lt;&gt;""""),ROWS(E$5:E2259)),"""")"),"")</f>
        <v/>
      </c>
      <c r="F22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Helper'!$F$5:$F$3004,"""")&lt;&gt;""""),ROWS(F$5:F2259)),IF(AND(LEFT(x,5)=""Pag"&amp;"e "",ISERROR(SEARCH(""–"",x))),x&amp;""–""&amp;REGEXEXTRACT(x,""[0-9]+$""),x)),"""")"),"")</f>
        <v/>
      </c>
      <c r="G2259" s="163"/>
      <c r="H22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Helper'!$F$5:$F$3004,"""")&lt;&gt;""""),ROWS(H$5:H2259)),"""")"),"")</f>
        <v/>
      </c>
    </row>
    <row r="2260" ht="15.75" customHeight="1">
      <c r="A22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Helper'!$F$5:$F$3004,"""")&lt;&gt;""""),ROWS(A$5:A2260)),"""")"),"")</f>
        <v/>
      </c>
      <c r="B22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Helper'!$F$5:$F$3004,"""")&lt;&gt;""""),ROWS(B$5:B2260)),"""")"),"")</f>
        <v/>
      </c>
      <c r="C22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Helper'!$F$5:$F$3004,"""")&lt;&gt;""""),ROWS(C$5:C2260)),"""")"),"")</f>
        <v/>
      </c>
      <c r="D22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Helper'!$F$5:$F$3004,"""")&lt;&gt;""""),ROWS(D$5:D2260)),"""")"),"")</f>
        <v/>
      </c>
      <c r="E22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Helper'!$F$5:$F$3004,"""")&lt;&gt;""""),ROWS(E$5:E2260)),"""")"),"")</f>
        <v/>
      </c>
      <c r="F22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Helper'!$F$5:$F$3004,"""")&lt;&gt;""""),ROWS(F$5:F2260)),IF(AND(LEFT(x,5)=""Pag"&amp;"e "",ISERROR(SEARCH(""–"",x))),x&amp;""–""&amp;REGEXEXTRACT(x,""[0-9]+$""),x)),"""")"),"")</f>
        <v/>
      </c>
      <c r="G2260" s="163"/>
      <c r="H22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Helper'!$F$5:$F$3004,"""")&lt;&gt;""""),ROWS(H$5:H2260)),"""")"),"")</f>
        <v/>
      </c>
    </row>
    <row r="2261" ht="15.75" customHeight="1">
      <c r="A22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Helper'!$F$5:$F$3004,"""")&lt;&gt;""""),ROWS(A$5:A2261)),"""")"),"")</f>
        <v/>
      </c>
      <c r="B22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Helper'!$F$5:$F$3004,"""")&lt;&gt;""""),ROWS(B$5:B2261)),"""")"),"")</f>
        <v/>
      </c>
      <c r="C22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Helper'!$F$5:$F$3004,"""")&lt;&gt;""""),ROWS(C$5:C2261)),"""")"),"")</f>
        <v/>
      </c>
      <c r="D22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Helper'!$F$5:$F$3004,"""")&lt;&gt;""""),ROWS(D$5:D2261)),"""")"),"")</f>
        <v/>
      </c>
      <c r="E22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Helper'!$F$5:$F$3004,"""")&lt;&gt;""""),ROWS(E$5:E2261)),"""")"),"")</f>
        <v/>
      </c>
      <c r="F22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Helper'!$F$5:$F$3004,"""")&lt;&gt;""""),ROWS(F$5:F2261)),IF(AND(LEFT(x,5)=""Pag"&amp;"e "",ISERROR(SEARCH(""–"",x))),x&amp;""–""&amp;REGEXEXTRACT(x,""[0-9]+$""),x)),"""")"),"")</f>
        <v/>
      </c>
      <c r="G2261" s="163"/>
      <c r="H22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Helper'!$F$5:$F$3004,"""")&lt;&gt;""""),ROWS(H$5:H2261)),"""")"),"")</f>
        <v/>
      </c>
    </row>
    <row r="2262" ht="15.75" customHeight="1">
      <c r="A22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Helper'!$F$5:$F$3004,"""")&lt;&gt;""""),ROWS(A$5:A2262)),"""")"),"")</f>
        <v/>
      </c>
      <c r="B22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Helper'!$F$5:$F$3004,"""")&lt;&gt;""""),ROWS(B$5:B2262)),"""")"),"")</f>
        <v/>
      </c>
      <c r="C22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Helper'!$F$5:$F$3004,"""")&lt;&gt;""""),ROWS(C$5:C2262)),"""")"),"")</f>
        <v/>
      </c>
      <c r="D22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Helper'!$F$5:$F$3004,"""")&lt;&gt;""""),ROWS(D$5:D2262)),"""")"),"")</f>
        <v/>
      </c>
      <c r="E22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Helper'!$F$5:$F$3004,"""")&lt;&gt;""""),ROWS(E$5:E2262)),"""")"),"")</f>
        <v/>
      </c>
      <c r="F22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Helper'!$F$5:$F$3004,"""")&lt;&gt;""""),ROWS(F$5:F2262)),IF(AND(LEFT(x,5)=""Pag"&amp;"e "",ISERROR(SEARCH(""–"",x))),x&amp;""–""&amp;REGEXEXTRACT(x,""[0-9]+$""),x)),"""")"),"")</f>
        <v/>
      </c>
      <c r="G2262" s="163"/>
      <c r="H22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Helper'!$F$5:$F$3004,"""")&lt;&gt;""""),ROWS(H$5:H2262)),"""")"),"")</f>
        <v/>
      </c>
    </row>
    <row r="2263" ht="15.75" customHeight="1">
      <c r="A22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Helper'!$F$5:$F$3004,"""")&lt;&gt;""""),ROWS(A$5:A2263)),"""")"),"")</f>
        <v/>
      </c>
      <c r="B22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Helper'!$F$5:$F$3004,"""")&lt;&gt;""""),ROWS(B$5:B2263)),"""")"),"")</f>
        <v/>
      </c>
      <c r="C22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Helper'!$F$5:$F$3004,"""")&lt;&gt;""""),ROWS(C$5:C2263)),"""")"),"")</f>
        <v/>
      </c>
      <c r="D22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Helper'!$F$5:$F$3004,"""")&lt;&gt;""""),ROWS(D$5:D2263)),"""")"),"")</f>
        <v/>
      </c>
      <c r="E22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Helper'!$F$5:$F$3004,"""")&lt;&gt;""""),ROWS(E$5:E2263)),"""")"),"")</f>
        <v/>
      </c>
      <c r="F22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Helper'!$F$5:$F$3004,"""")&lt;&gt;""""),ROWS(F$5:F2263)),IF(AND(LEFT(x,5)=""Pag"&amp;"e "",ISERROR(SEARCH(""–"",x))),x&amp;""–""&amp;REGEXEXTRACT(x,""[0-9]+$""),x)),"""")"),"")</f>
        <v/>
      </c>
      <c r="G2263" s="163"/>
      <c r="H22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Helper'!$F$5:$F$3004,"""")&lt;&gt;""""),ROWS(H$5:H2263)),"""")"),"")</f>
        <v/>
      </c>
    </row>
    <row r="2264" ht="15.75" customHeight="1">
      <c r="A22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Helper'!$F$5:$F$3004,"""")&lt;&gt;""""),ROWS(A$5:A2264)),"""")"),"")</f>
        <v/>
      </c>
      <c r="B22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Helper'!$F$5:$F$3004,"""")&lt;&gt;""""),ROWS(B$5:B2264)),"""")"),"")</f>
        <v/>
      </c>
      <c r="C22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Helper'!$F$5:$F$3004,"""")&lt;&gt;""""),ROWS(C$5:C2264)),"""")"),"")</f>
        <v/>
      </c>
      <c r="D22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Helper'!$F$5:$F$3004,"""")&lt;&gt;""""),ROWS(D$5:D2264)),"""")"),"")</f>
        <v/>
      </c>
      <c r="E22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Helper'!$F$5:$F$3004,"""")&lt;&gt;""""),ROWS(E$5:E2264)),"""")"),"")</f>
        <v/>
      </c>
      <c r="F22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Helper'!$F$5:$F$3004,"""")&lt;&gt;""""),ROWS(F$5:F2264)),IF(AND(LEFT(x,5)=""Pag"&amp;"e "",ISERROR(SEARCH(""–"",x))),x&amp;""–""&amp;REGEXEXTRACT(x,""[0-9]+$""),x)),"""")"),"")</f>
        <v/>
      </c>
      <c r="G2264" s="163"/>
      <c r="H22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Helper'!$F$5:$F$3004,"""")&lt;&gt;""""),ROWS(H$5:H2264)),"""")"),"")</f>
        <v/>
      </c>
    </row>
    <row r="2265" ht="15.75" customHeight="1">
      <c r="A22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Helper'!$F$5:$F$3004,"""")&lt;&gt;""""),ROWS(A$5:A2265)),"""")"),"")</f>
        <v/>
      </c>
      <c r="B22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Helper'!$F$5:$F$3004,"""")&lt;&gt;""""),ROWS(B$5:B2265)),"""")"),"")</f>
        <v/>
      </c>
      <c r="C22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Helper'!$F$5:$F$3004,"""")&lt;&gt;""""),ROWS(C$5:C2265)),"""")"),"")</f>
        <v/>
      </c>
      <c r="D22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Helper'!$F$5:$F$3004,"""")&lt;&gt;""""),ROWS(D$5:D2265)),"""")"),"")</f>
        <v/>
      </c>
      <c r="E22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Helper'!$F$5:$F$3004,"""")&lt;&gt;""""),ROWS(E$5:E2265)),"""")"),"")</f>
        <v/>
      </c>
      <c r="F22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Helper'!$F$5:$F$3004,"""")&lt;&gt;""""),ROWS(F$5:F2265)),IF(AND(LEFT(x,5)=""Pag"&amp;"e "",ISERROR(SEARCH(""–"",x))),x&amp;""–""&amp;REGEXEXTRACT(x,""[0-9]+$""),x)),"""")"),"")</f>
        <v/>
      </c>
      <c r="G2265" s="163"/>
      <c r="H22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Helper'!$F$5:$F$3004,"""")&lt;&gt;""""),ROWS(H$5:H2265)),"""")"),"")</f>
        <v/>
      </c>
    </row>
    <row r="2266" ht="15.75" customHeight="1">
      <c r="A22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Helper'!$F$5:$F$3004,"""")&lt;&gt;""""),ROWS(A$5:A2266)),"""")"),"")</f>
        <v/>
      </c>
      <c r="B22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Helper'!$F$5:$F$3004,"""")&lt;&gt;""""),ROWS(B$5:B2266)),"""")"),"")</f>
        <v/>
      </c>
      <c r="C22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Helper'!$F$5:$F$3004,"""")&lt;&gt;""""),ROWS(C$5:C2266)),"""")"),"")</f>
        <v/>
      </c>
      <c r="D22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Helper'!$F$5:$F$3004,"""")&lt;&gt;""""),ROWS(D$5:D2266)),"""")"),"")</f>
        <v/>
      </c>
      <c r="E22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Helper'!$F$5:$F$3004,"""")&lt;&gt;""""),ROWS(E$5:E2266)),"""")"),"")</f>
        <v/>
      </c>
      <c r="F22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Helper'!$F$5:$F$3004,"""")&lt;&gt;""""),ROWS(F$5:F2266)),IF(AND(LEFT(x,5)=""Pag"&amp;"e "",ISERROR(SEARCH(""–"",x))),x&amp;""–""&amp;REGEXEXTRACT(x,""[0-9]+$""),x)),"""")"),"")</f>
        <v/>
      </c>
      <c r="G2266" s="163"/>
      <c r="H22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Helper'!$F$5:$F$3004,"""")&lt;&gt;""""),ROWS(H$5:H2266)),"""")"),"")</f>
        <v/>
      </c>
    </row>
    <row r="2267" ht="15.75" customHeight="1">
      <c r="A22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Helper'!$F$5:$F$3004,"""")&lt;&gt;""""),ROWS(A$5:A2267)),"""")"),"")</f>
        <v/>
      </c>
      <c r="B22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Helper'!$F$5:$F$3004,"""")&lt;&gt;""""),ROWS(B$5:B2267)),"""")"),"")</f>
        <v/>
      </c>
      <c r="C22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Helper'!$F$5:$F$3004,"""")&lt;&gt;""""),ROWS(C$5:C2267)),"""")"),"")</f>
        <v/>
      </c>
      <c r="D22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Helper'!$F$5:$F$3004,"""")&lt;&gt;""""),ROWS(D$5:D2267)),"""")"),"")</f>
        <v/>
      </c>
      <c r="E22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Helper'!$F$5:$F$3004,"""")&lt;&gt;""""),ROWS(E$5:E2267)),"""")"),"")</f>
        <v/>
      </c>
      <c r="F22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Helper'!$F$5:$F$3004,"""")&lt;&gt;""""),ROWS(F$5:F2267)),IF(AND(LEFT(x,5)=""Pag"&amp;"e "",ISERROR(SEARCH(""–"",x))),x&amp;""–""&amp;REGEXEXTRACT(x,""[0-9]+$""),x)),"""")"),"")</f>
        <v/>
      </c>
      <c r="G2267" s="163"/>
      <c r="H22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Helper'!$F$5:$F$3004,"""")&lt;&gt;""""),ROWS(H$5:H2267)),"""")"),"")</f>
        <v/>
      </c>
    </row>
    <row r="2268" ht="15.75" customHeight="1">
      <c r="A22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Helper'!$F$5:$F$3004,"""")&lt;&gt;""""),ROWS(A$5:A2268)),"""")"),"")</f>
        <v/>
      </c>
      <c r="B22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Helper'!$F$5:$F$3004,"""")&lt;&gt;""""),ROWS(B$5:B2268)),"""")"),"")</f>
        <v/>
      </c>
      <c r="C22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Helper'!$F$5:$F$3004,"""")&lt;&gt;""""),ROWS(C$5:C2268)),"""")"),"")</f>
        <v/>
      </c>
      <c r="D22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Helper'!$F$5:$F$3004,"""")&lt;&gt;""""),ROWS(D$5:D2268)),"""")"),"")</f>
        <v/>
      </c>
      <c r="E22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Helper'!$F$5:$F$3004,"""")&lt;&gt;""""),ROWS(E$5:E2268)),"""")"),"")</f>
        <v/>
      </c>
      <c r="F22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Helper'!$F$5:$F$3004,"""")&lt;&gt;""""),ROWS(F$5:F2268)),IF(AND(LEFT(x,5)=""Pag"&amp;"e "",ISERROR(SEARCH(""–"",x))),x&amp;""–""&amp;REGEXEXTRACT(x,""[0-9]+$""),x)),"""")"),"")</f>
        <v/>
      </c>
      <c r="G2268" s="163"/>
      <c r="H22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Helper'!$F$5:$F$3004,"""")&lt;&gt;""""),ROWS(H$5:H2268)),"""")"),"")</f>
        <v/>
      </c>
    </row>
    <row r="2269" ht="15.75" customHeight="1">
      <c r="A22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Helper'!$F$5:$F$3004,"""")&lt;&gt;""""),ROWS(A$5:A2269)),"""")"),"")</f>
        <v/>
      </c>
      <c r="B22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Helper'!$F$5:$F$3004,"""")&lt;&gt;""""),ROWS(B$5:B2269)),"""")"),"")</f>
        <v/>
      </c>
      <c r="C22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Helper'!$F$5:$F$3004,"""")&lt;&gt;""""),ROWS(C$5:C2269)),"""")"),"")</f>
        <v/>
      </c>
      <c r="D22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Helper'!$F$5:$F$3004,"""")&lt;&gt;""""),ROWS(D$5:D2269)),"""")"),"")</f>
        <v/>
      </c>
      <c r="E22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Helper'!$F$5:$F$3004,"""")&lt;&gt;""""),ROWS(E$5:E2269)),"""")"),"")</f>
        <v/>
      </c>
      <c r="F22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Helper'!$F$5:$F$3004,"""")&lt;&gt;""""),ROWS(F$5:F2269)),IF(AND(LEFT(x,5)=""Pag"&amp;"e "",ISERROR(SEARCH(""–"",x))),x&amp;""–""&amp;REGEXEXTRACT(x,""[0-9]+$""),x)),"""")"),"")</f>
        <v/>
      </c>
      <c r="G2269" s="163"/>
      <c r="H22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Helper'!$F$5:$F$3004,"""")&lt;&gt;""""),ROWS(H$5:H2269)),"""")"),"")</f>
        <v/>
      </c>
    </row>
    <row r="2270" ht="15.75" customHeight="1">
      <c r="A22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Helper'!$F$5:$F$3004,"""")&lt;&gt;""""),ROWS(A$5:A2270)),"""")"),"")</f>
        <v/>
      </c>
      <c r="B22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Helper'!$F$5:$F$3004,"""")&lt;&gt;""""),ROWS(B$5:B2270)),"""")"),"")</f>
        <v/>
      </c>
      <c r="C22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Helper'!$F$5:$F$3004,"""")&lt;&gt;""""),ROWS(C$5:C2270)),"""")"),"")</f>
        <v/>
      </c>
      <c r="D22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Helper'!$F$5:$F$3004,"""")&lt;&gt;""""),ROWS(D$5:D2270)),"""")"),"")</f>
        <v/>
      </c>
      <c r="E22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Helper'!$F$5:$F$3004,"""")&lt;&gt;""""),ROWS(E$5:E2270)),"""")"),"")</f>
        <v/>
      </c>
      <c r="F22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Helper'!$F$5:$F$3004,"""")&lt;&gt;""""),ROWS(F$5:F2270)),IF(AND(LEFT(x,5)=""Pag"&amp;"e "",ISERROR(SEARCH(""–"",x))),x&amp;""–""&amp;REGEXEXTRACT(x,""[0-9]+$""),x)),"""")"),"")</f>
        <v/>
      </c>
      <c r="G2270" s="163"/>
      <c r="H22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Helper'!$F$5:$F$3004,"""")&lt;&gt;""""),ROWS(H$5:H2270)),"""")"),"")</f>
        <v/>
      </c>
    </row>
    <row r="2271" ht="15.75" customHeight="1">
      <c r="A22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Helper'!$F$5:$F$3004,"""")&lt;&gt;""""),ROWS(A$5:A2271)),"""")"),"")</f>
        <v/>
      </c>
      <c r="B22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Helper'!$F$5:$F$3004,"""")&lt;&gt;""""),ROWS(B$5:B2271)),"""")"),"")</f>
        <v/>
      </c>
      <c r="C22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Helper'!$F$5:$F$3004,"""")&lt;&gt;""""),ROWS(C$5:C2271)),"""")"),"")</f>
        <v/>
      </c>
      <c r="D22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Helper'!$F$5:$F$3004,"""")&lt;&gt;""""),ROWS(D$5:D2271)),"""")"),"")</f>
        <v/>
      </c>
      <c r="E22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Helper'!$F$5:$F$3004,"""")&lt;&gt;""""),ROWS(E$5:E2271)),"""")"),"")</f>
        <v/>
      </c>
      <c r="F22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Helper'!$F$5:$F$3004,"""")&lt;&gt;""""),ROWS(F$5:F2271)),IF(AND(LEFT(x,5)=""Pag"&amp;"e "",ISERROR(SEARCH(""–"",x))),x&amp;""–""&amp;REGEXEXTRACT(x,""[0-9]+$""),x)),"""")"),"")</f>
        <v/>
      </c>
      <c r="G2271" s="163"/>
      <c r="H22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Helper'!$F$5:$F$3004,"""")&lt;&gt;""""),ROWS(H$5:H2271)),"""")"),"")</f>
        <v/>
      </c>
    </row>
    <row r="2272" ht="15.75" customHeight="1">
      <c r="A22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Helper'!$F$5:$F$3004,"""")&lt;&gt;""""),ROWS(A$5:A2272)),"""")"),"")</f>
        <v/>
      </c>
      <c r="B22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Helper'!$F$5:$F$3004,"""")&lt;&gt;""""),ROWS(B$5:B2272)),"""")"),"")</f>
        <v/>
      </c>
      <c r="C22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Helper'!$F$5:$F$3004,"""")&lt;&gt;""""),ROWS(C$5:C2272)),"""")"),"")</f>
        <v/>
      </c>
      <c r="D22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Helper'!$F$5:$F$3004,"""")&lt;&gt;""""),ROWS(D$5:D2272)),"""")"),"")</f>
        <v/>
      </c>
      <c r="E22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Helper'!$F$5:$F$3004,"""")&lt;&gt;""""),ROWS(E$5:E2272)),"""")"),"")</f>
        <v/>
      </c>
      <c r="F22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Helper'!$F$5:$F$3004,"""")&lt;&gt;""""),ROWS(F$5:F2272)),IF(AND(LEFT(x,5)=""Pag"&amp;"e "",ISERROR(SEARCH(""–"",x))),x&amp;""–""&amp;REGEXEXTRACT(x,""[0-9]+$""),x)),"""")"),"")</f>
        <v/>
      </c>
      <c r="G2272" s="163"/>
      <c r="H22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Helper'!$F$5:$F$3004,"""")&lt;&gt;""""),ROWS(H$5:H2272)),"""")"),"")</f>
        <v/>
      </c>
    </row>
    <row r="2273" ht="15.75" customHeight="1">
      <c r="A22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Helper'!$F$5:$F$3004,"""")&lt;&gt;""""),ROWS(A$5:A2273)),"""")"),"")</f>
        <v/>
      </c>
      <c r="B22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Helper'!$F$5:$F$3004,"""")&lt;&gt;""""),ROWS(B$5:B2273)),"""")"),"")</f>
        <v/>
      </c>
      <c r="C22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Helper'!$F$5:$F$3004,"""")&lt;&gt;""""),ROWS(C$5:C2273)),"""")"),"")</f>
        <v/>
      </c>
      <c r="D22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Helper'!$F$5:$F$3004,"""")&lt;&gt;""""),ROWS(D$5:D2273)),"""")"),"")</f>
        <v/>
      </c>
      <c r="E22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Helper'!$F$5:$F$3004,"""")&lt;&gt;""""),ROWS(E$5:E2273)),"""")"),"")</f>
        <v/>
      </c>
      <c r="F22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Helper'!$F$5:$F$3004,"""")&lt;&gt;""""),ROWS(F$5:F2273)),IF(AND(LEFT(x,5)=""Pag"&amp;"e "",ISERROR(SEARCH(""–"",x))),x&amp;""–""&amp;REGEXEXTRACT(x,""[0-9]+$""),x)),"""")"),"")</f>
        <v/>
      </c>
      <c r="G2273" s="163"/>
      <c r="H22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Helper'!$F$5:$F$3004,"""")&lt;&gt;""""),ROWS(H$5:H2273)),"""")"),"")</f>
        <v/>
      </c>
    </row>
    <row r="2274" ht="15.75" customHeight="1">
      <c r="A22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Helper'!$F$5:$F$3004,"""")&lt;&gt;""""),ROWS(A$5:A2274)),"""")"),"")</f>
        <v/>
      </c>
      <c r="B22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Helper'!$F$5:$F$3004,"""")&lt;&gt;""""),ROWS(B$5:B2274)),"""")"),"")</f>
        <v/>
      </c>
      <c r="C22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Helper'!$F$5:$F$3004,"""")&lt;&gt;""""),ROWS(C$5:C2274)),"""")"),"")</f>
        <v/>
      </c>
      <c r="D22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Helper'!$F$5:$F$3004,"""")&lt;&gt;""""),ROWS(D$5:D2274)),"""")"),"")</f>
        <v/>
      </c>
      <c r="E22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Helper'!$F$5:$F$3004,"""")&lt;&gt;""""),ROWS(E$5:E2274)),"""")"),"")</f>
        <v/>
      </c>
      <c r="F22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Helper'!$F$5:$F$3004,"""")&lt;&gt;""""),ROWS(F$5:F2274)),IF(AND(LEFT(x,5)=""Pag"&amp;"e "",ISERROR(SEARCH(""–"",x))),x&amp;""–""&amp;REGEXEXTRACT(x,""[0-9]+$""),x)),"""")"),"")</f>
        <v/>
      </c>
      <c r="G2274" s="163"/>
      <c r="H22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Helper'!$F$5:$F$3004,"""")&lt;&gt;""""),ROWS(H$5:H2274)),"""")"),"")</f>
        <v/>
      </c>
    </row>
    <row r="2275" ht="15.75" customHeight="1">
      <c r="A22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Helper'!$F$5:$F$3004,"""")&lt;&gt;""""),ROWS(A$5:A2275)),"""")"),"")</f>
        <v/>
      </c>
      <c r="B22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Helper'!$F$5:$F$3004,"""")&lt;&gt;""""),ROWS(B$5:B2275)),"""")"),"")</f>
        <v/>
      </c>
      <c r="C22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Helper'!$F$5:$F$3004,"""")&lt;&gt;""""),ROWS(C$5:C2275)),"""")"),"")</f>
        <v/>
      </c>
      <c r="D22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Helper'!$F$5:$F$3004,"""")&lt;&gt;""""),ROWS(D$5:D2275)),"""")"),"")</f>
        <v/>
      </c>
      <c r="E22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Helper'!$F$5:$F$3004,"""")&lt;&gt;""""),ROWS(E$5:E2275)),"""")"),"")</f>
        <v/>
      </c>
      <c r="F22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Helper'!$F$5:$F$3004,"""")&lt;&gt;""""),ROWS(F$5:F2275)),IF(AND(LEFT(x,5)=""Pag"&amp;"e "",ISERROR(SEARCH(""–"",x))),x&amp;""–""&amp;REGEXEXTRACT(x,""[0-9]+$""),x)),"""")"),"")</f>
        <v/>
      </c>
      <c r="G2275" s="163"/>
      <c r="H22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Helper'!$F$5:$F$3004,"""")&lt;&gt;""""),ROWS(H$5:H2275)),"""")"),"")</f>
        <v/>
      </c>
    </row>
    <row r="2276" ht="15.75" customHeight="1">
      <c r="A22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Helper'!$F$5:$F$3004,"""")&lt;&gt;""""),ROWS(A$5:A2276)),"""")"),"")</f>
        <v/>
      </c>
      <c r="B22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Helper'!$F$5:$F$3004,"""")&lt;&gt;""""),ROWS(B$5:B2276)),"""")"),"")</f>
        <v/>
      </c>
      <c r="C22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Helper'!$F$5:$F$3004,"""")&lt;&gt;""""),ROWS(C$5:C2276)),"""")"),"")</f>
        <v/>
      </c>
      <c r="D22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Helper'!$F$5:$F$3004,"""")&lt;&gt;""""),ROWS(D$5:D2276)),"""")"),"")</f>
        <v/>
      </c>
      <c r="E22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Helper'!$F$5:$F$3004,"""")&lt;&gt;""""),ROWS(E$5:E2276)),"""")"),"")</f>
        <v/>
      </c>
      <c r="F22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Helper'!$F$5:$F$3004,"""")&lt;&gt;""""),ROWS(F$5:F2276)),IF(AND(LEFT(x,5)=""Pag"&amp;"e "",ISERROR(SEARCH(""–"",x))),x&amp;""–""&amp;REGEXEXTRACT(x,""[0-9]+$""),x)),"""")"),"")</f>
        <v/>
      </c>
      <c r="G2276" s="163"/>
      <c r="H22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Helper'!$F$5:$F$3004,"""")&lt;&gt;""""),ROWS(H$5:H2276)),"""")"),"")</f>
        <v/>
      </c>
    </row>
    <row r="2277" ht="15.75" customHeight="1">
      <c r="A22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Helper'!$F$5:$F$3004,"""")&lt;&gt;""""),ROWS(A$5:A2277)),"""")"),"")</f>
        <v/>
      </c>
      <c r="B22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Helper'!$F$5:$F$3004,"""")&lt;&gt;""""),ROWS(B$5:B2277)),"""")"),"")</f>
        <v/>
      </c>
      <c r="C22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Helper'!$F$5:$F$3004,"""")&lt;&gt;""""),ROWS(C$5:C2277)),"""")"),"")</f>
        <v/>
      </c>
      <c r="D22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Helper'!$F$5:$F$3004,"""")&lt;&gt;""""),ROWS(D$5:D2277)),"""")"),"")</f>
        <v/>
      </c>
      <c r="E22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Helper'!$F$5:$F$3004,"""")&lt;&gt;""""),ROWS(E$5:E2277)),"""")"),"")</f>
        <v/>
      </c>
      <c r="F22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Helper'!$F$5:$F$3004,"""")&lt;&gt;""""),ROWS(F$5:F2277)),IF(AND(LEFT(x,5)=""Pag"&amp;"e "",ISERROR(SEARCH(""–"",x))),x&amp;""–""&amp;REGEXEXTRACT(x,""[0-9]+$""),x)),"""")"),"")</f>
        <v/>
      </c>
      <c r="G2277" s="163"/>
      <c r="H22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Helper'!$F$5:$F$3004,"""")&lt;&gt;""""),ROWS(H$5:H2277)),"""")"),"")</f>
        <v/>
      </c>
    </row>
    <row r="2278" ht="15.75" customHeight="1">
      <c r="A22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Helper'!$F$5:$F$3004,"""")&lt;&gt;""""),ROWS(A$5:A2278)),"""")"),"")</f>
        <v/>
      </c>
      <c r="B22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Helper'!$F$5:$F$3004,"""")&lt;&gt;""""),ROWS(B$5:B2278)),"""")"),"")</f>
        <v/>
      </c>
      <c r="C22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Helper'!$F$5:$F$3004,"""")&lt;&gt;""""),ROWS(C$5:C2278)),"""")"),"")</f>
        <v/>
      </c>
      <c r="D22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Helper'!$F$5:$F$3004,"""")&lt;&gt;""""),ROWS(D$5:D2278)),"""")"),"")</f>
        <v/>
      </c>
      <c r="E22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Helper'!$F$5:$F$3004,"""")&lt;&gt;""""),ROWS(E$5:E2278)),"""")"),"")</f>
        <v/>
      </c>
      <c r="F22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Helper'!$F$5:$F$3004,"""")&lt;&gt;""""),ROWS(F$5:F2278)),IF(AND(LEFT(x,5)=""Pag"&amp;"e "",ISERROR(SEARCH(""–"",x))),x&amp;""–""&amp;REGEXEXTRACT(x,""[0-9]+$""),x)),"""")"),"")</f>
        <v/>
      </c>
      <c r="G2278" s="163"/>
      <c r="H22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Helper'!$F$5:$F$3004,"""")&lt;&gt;""""),ROWS(H$5:H2278)),"""")"),"")</f>
        <v/>
      </c>
    </row>
    <row r="2279" ht="15.75" customHeight="1">
      <c r="A22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Helper'!$F$5:$F$3004,"""")&lt;&gt;""""),ROWS(A$5:A2279)),"""")"),"")</f>
        <v/>
      </c>
      <c r="B22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Helper'!$F$5:$F$3004,"""")&lt;&gt;""""),ROWS(B$5:B2279)),"""")"),"")</f>
        <v/>
      </c>
      <c r="C22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Helper'!$F$5:$F$3004,"""")&lt;&gt;""""),ROWS(C$5:C2279)),"""")"),"")</f>
        <v/>
      </c>
      <c r="D22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Helper'!$F$5:$F$3004,"""")&lt;&gt;""""),ROWS(D$5:D2279)),"""")"),"")</f>
        <v/>
      </c>
      <c r="E22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Helper'!$F$5:$F$3004,"""")&lt;&gt;""""),ROWS(E$5:E2279)),"""")"),"")</f>
        <v/>
      </c>
      <c r="F22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Helper'!$F$5:$F$3004,"""")&lt;&gt;""""),ROWS(F$5:F2279)),IF(AND(LEFT(x,5)=""Pag"&amp;"e "",ISERROR(SEARCH(""–"",x))),x&amp;""–""&amp;REGEXEXTRACT(x,""[0-9]+$""),x)),"""")"),"")</f>
        <v/>
      </c>
      <c r="G2279" s="163"/>
      <c r="H22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Helper'!$F$5:$F$3004,"""")&lt;&gt;""""),ROWS(H$5:H2279)),"""")"),"")</f>
        <v/>
      </c>
    </row>
    <row r="2280" ht="15.75" customHeight="1">
      <c r="A22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Helper'!$F$5:$F$3004,"""")&lt;&gt;""""),ROWS(A$5:A2280)),"""")"),"")</f>
        <v/>
      </c>
      <c r="B22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Helper'!$F$5:$F$3004,"""")&lt;&gt;""""),ROWS(B$5:B2280)),"""")"),"")</f>
        <v/>
      </c>
      <c r="C22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Helper'!$F$5:$F$3004,"""")&lt;&gt;""""),ROWS(C$5:C2280)),"""")"),"")</f>
        <v/>
      </c>
      <c r="D22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Helper'!$F$5:$F$3004,"""")&lt;&gt;""""),ROWS(D$5:D2280)),"""")"),"")</f>
        <v/>
      </c>
      <c r="E22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Helper'!$F$5:$F$3004,"""")&lt;&gt;""""),ROWS(E$5:E2280)),"""")"),"")</f>
        <v/>
      </c>
      <c r="F22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Helper'!$F$5:$F$3004,"""")&lt;&gt;""""),ROWS(F$5:F2280)),IF(AND(LEFT(x,5)=""Pag"&amp;"e "",ISERROR(SEARCH(""–"",x))),x&amp;""–""&amp;REGEXEXTRACT(x,""[0-9]+$""),x)),"""")"),"")</f>
        <v/>
      </c>
      <c r="G2280" s="163"/>
      <c r="H22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Helper'!$F$5:$F$3004,"""")&lt;&gt;""""),ROWS(H$5:H2280)),"""")"),"")</f>
        <v/>
      </c>
    </row>
    <row r="2281" ht="15.75" customHeight="1">
      <c r="A22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Helper'!$F$5:$F$3004,"""")&lt;&gt;""""),ROWS(A$5:A2281)),"""")"),"")</f>
        <v/>
      </c>
      <c r="B22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Helper'!$F$5:$F$3004,"""")&lt;&gt;""""),ROWS(B$5:B2281)),"""")"),"")</f>
        <v/>
      </c>
      <c r="C22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Helper'!$F$5:$F$3004,"""")&lt;&gt;""""),ROWS(C$5:C2281)),"""")"),"")</f>
        <v/>
      </c>
      <c r="D22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Helper'!$F$5:$F$3004,"""")&lt;&gt;""""),ROWS(D$5:D2281)),"""")"),"")</f>
        <v/>
      </c>
      <c r="E22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Helper'!$F$5:$F$3004,"""")&lt;&gt;""""),ROWS(E$5:E2281)),"""")"),"")</f>
        <v/>
      </c>
      <c r="F22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Helper'!$F$5:$F$3004,"""")&lt;&gt;""""),ROWS(F$5:F2281)),IF(AND(LEFT(x,5)=""Pag"&amp;"e "",ISERROR(SEARCH(""–"",x))),x&amp;""–""&amp;REGEXEXTRACT(x,""[0-9]+$""),x)),"""")"),"")</f>
        <v/>
      </c>
      <c r="G2281" s="163"/>
      <c r="H22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Helper'!$F$5:$F$3004,"""")&lt;&gt;""""),ROWS(H$5:H2281)),"""")"),"")</f>
        <v/>
      </c>
    </row>
    <row r="2282" ht="15.75" customHeight="1">
      <c r="A22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Helper'!$F$5:$F$3004,"""")&lt;&gt;""""),ROWS(A$5:A2282)),"""")"),"")</f>
        <v/>
      </c>
      <c r="B22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Helper'!$F$5:$F$3004,"""")&lt;&gt;""""),ROWS(B$5:B2282)),"""")"),"")</f>
        <v/>
      </c>
      <c r="C22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Helper'!$F$5:$F$3004,"""")&lt;&gt;""""),ROWS(C$5:C2282)),"""")"),"")</f>
        <v/>
      </c>
      <c r="D22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Helper'!$F$5:$F$3004,"""")&lt;&gt;""""),ROWS(D$5:D2282)),"""")"),"")</f>
        <v/>
      </c>
      <c r="E22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Helper'!$F$5:$F$3004,"""")&lt;&gt;""""),ROWS(E$5:E2282)),"""")"),"")</f>
        <v/>
      </c>
      <c r="F22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Helper'!$F$5:$F$3004,"""")&lt;&gt;""""),ROWS(F$5:F2282)),IF(AND(LEFT(x,5)=""Pag"&amp;"e "",ISERROR(SEARCH(""–"",x))),x&amp;""–""&amp;REGEXEXTRACT(x,""[0-9]+$""),x)),"""")"),"")</f>
        <v/>
      </c>
      <c r="G2282" s="163"/>
      <c r="H22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Helper'!$F$5:$F$3004,"""")&lt;&gt;""""),ROWS(H$5:H2282)),"""")"),"")</f>
        <v/>
      </c>
    </row>
    <row r="2283" ht="15.75" customHeight="1">
      <c r="A22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Helper'!$F$5:$F$3004,"""")&lt;&gt;""""),ROWS(A$5:A2283)),"""")"),"")</f>
        <v/>
      </c>
      <c r="B22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Helper'!$F$5:$F$3004,"""")&lt;&gt;""""),ROWS(B$5:B2283)),"""")"),"")</f>
        <v/>
      </c>
      <c r="C22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Helper'!$F$5:$F$3004,"""")&lt;&gt;""""),ROWS(C$5:C2283)),"""")"),"")</f>
        <v/>
      </c>
      <c r="D22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Helper'!$F$5:$F$3004,"""")&lt;&gt;""""),ROWS(D$5:D2283)),"""")"),"")</f>
        <v/>
      </c>
      <c r="E22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Helper'!$F$5:$F$3004,"""")&lt;&gt;""""),ROWS(E$5:E2283)),"""")"),"")</f>
        <v/>
      </c>
      <c r="F22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Helper'!$F$5:$F$3004,"""")&lt;&gt;""""),ROWS(F$5:F2283)),IF(AND(LEFT(x,5)=""Pag"&amp;"e "",ISERROR(SEARCH(""–"",x))),x&amp;""–""&amp;REGEXEXTRACT(x,""[0-9]+$""),x)),"""")"),"")</f>
        <v/>
      </c>
      <c r="G2283" s="163"/>
      <c r="H22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Helper'!$F$5:$F$3004,"""")&lt;&gt;""""),ROWS(H$5:H2283)),"""")"),"")</f>
        <v/>
      </c>
    </row>
    <row r="2284" ht="15.75" customHeight="1">
      <c r="A22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Helper'!$F$5:$F$3004,"""")&lt;&gt;""""),ROWS(A$5:A2284)),"""")"),"")</f>
        <v/>
      </c>
      <c r="B22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Helper'!$F$5:$F$3004,"""")&lt;&gt;""""),ROWS(B$5:B2284)),"""")"),"")</f>
        <v/>
      </c>
      <c r="C22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Helper'!$F$5:$F$3004,"""")&lt;&gt;""""),ROWS(C$5:C2284)),"""")"),"")</f>
        <v/>
      </c>
      <c r="D22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Helper'!$F$5:$F$3004,"""")&lt;&gt;""""),ROWS(D$5:D2284)),"""")"),"")</f>
        <v/>
      </c>
      <c r="E22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Helper'!$F$5:$F$3004,"""")&lt;&gt;""""),ROWS(E$5:E2284)),"""")"),"")</f>
        <v/>
      </c>
      <c r="F22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Helper'!$F$5:$F$3004,"""")&lt;&gt;""""),ROWS(F$5:F2284)),IF(AND(LEFT(x,5)=""Pag"&amp;"e "",ISERROR(SEARCH(""–"",x))),x&amp;""–""&amp;REGEXEXTRACT(x,""[0-9]+$""),x)),"""")"),"")</f>
        <v/>
      </c>
      <c r="G2284" s="163"/>
      <c r="H22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Helper'!$F$5:$F$3004,"""")&lt;&gt;""""),ROWS(H$5:H2284)),"""")"),"")</f>
        <v/>
      </c>
    </row>
    <row r="2285" ht="15.75" customHeight="1">
      <c r="A22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Helper'!$F$5:$F$3004,"""")&lt;&gt;""""),ROWS(A$5:A2285)),"""")"),"")</f>
        <v/>
      </c>
      <c r="B22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Helper'!$F$5:$F$3004,"""")&lt;&gt;""""),ROWS(B$5:B2285)),"""")"),"")</f>
        <v/>
      </c>
      <c r="C22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Helper'!$F$5:$F$3004,"""")&lt;&gt;""""),ROWS(C$5:C2285)),"""")"),"")</f>
        <v/>
      </c>
      <c r="D22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Helper'!$F$5:$F$3004,"""")&lt;&gt;""""),ROWS(D$5:D2285)),"""")"),"")</f>
        <v/>
      </c>
      <c r="E22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Helper'!$F$5:$F$3004,"""")&lt;&gt;""""),ROWS(E$5:E2285)),"""")"),"")</f>
        <v/>
      </c>
      <c r="F22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Helper'!$F$5:$F$3004,"""")&lt;&gt;""""),ROWS(F$5:F2285)),IF(AND(LEFT(x,5)=""Pag"&amp;"e "",ISERROR(SEARCH(""–"",x))),x&amp;""–""&amp;REGEXEXTRACT(x,""[0-9]+$""),x)),"""")"),"")</f>
        <v/>
      </c>
      <c r="G2285" s="163"/>
      <c r="H22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Helper'!$F$5:$F$3004,"""")&lt;&gt;""""),ROWS(H$5:H2285)),"""")"),"")</f>
        <v/>
      </c>
    </row>
    <row r="2286" ht="15.75" customHeight="1">
      <c r="A22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Helper'!$F$5:$F$3004,"""")&lt;&gt;""""),ROWS(A$5:A2286)),"""")"),"")</f>
        <v/>
      </c>
      <c r="B22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Helper'!$F$5:$F$3004,"""")&lt;&gt;""""),ROWS(B$5:B2286)),"""")"),"")</f>
        <v/>
      </c>
      <c r="C22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Helper'!$F$5:$F$3004,"""")&lt;&gt;""""),ROWS(C$5:C2286)),"""")"),"")</f>
        <v/>
      </c>
      <c r="D22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Helper'!$F$5:$F$3004,"""")&lt;&gt;""""),ROWS(D$5:D2286)),"""")"),"")</f>
        <v/>
      </c>
      <c r="E22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Helper'!$F$5:$F$3004,"""")&lt;&gt;""""),ROWS(E$5:E2286)),"""")"),"")</f>
        <v/>
      </c>
      <c r="F22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Helper'!$F$5:$F$3004,"""")&lt;&gt;""""),ROWS(F$5:F2286)),IF(AND(LEFT(x,5)=""Pag"&amp;"e "",ISERROR(SEARCH(""–"",x))),x&amp;""–""&amp;REGEXEXTRACT(x,""[0-9]+$""),x)),"""")"),"")</f>
        <v/>
      </c>
      <c r="G2286" s="163"/>
      <c r="H22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Helper'!$F$5:$F$3004,"""")&lt;&gt;""""),ROWS(H$5:H2286)),"""")"),"")</f>
        <v/>
      </c>
    </row>
    <row r="2287" ht="15.75" customHeight="1">
      <c r="A22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Helper'!$F$5:$F$3004,"""")&lt;&gt;""""),ROWS(A$5:A2287)),"""")"),"")</f>
        <v/>
      </c>
      <c r="B22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Helper'!$F$5:$F$3004,"""")&lt;&gt;""""),ROWS(B$5:B2287)),"""")"),"")</f>
        <v/>
      </c>
      <c r="C22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Helper'!$F$5:$F$3004,"""")&lt;&gt;""""),ROWS(C$5:C2287)),"""")"),"")</f>
        <v/>
      </c>
      <c r="D22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Helper'!$F$5:$F$3004,"""")&lt;&gt;""""),ROWS(D$5:D2287)),"""")"),"")</f>
        <v/>
      </c>
      <c r="E22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Helper'!$F$5:$F$3004,"""")&lt;&gt;""""),ROWS(E$5:E2287)),"""")"),"")</f>
        <v/>
      </c>
      <c r="F22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Helper'!$F$5:$F$3004,"""")&lt;&gt;""""),ROWS(F$5:F2287)),IF(AND(LEFT(x,5)=""Pag"&amp;"e "",ISERROR(SEARCH(""–"",x))),x&amp;""–""&amp;REGEXEXTRACT(x,""[0-9]+$""),x)),"""")"),"")</f>
        <v/>
      </c>
      <c r="G2287" s="163"/>
      <c r="H22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Helper'!$F$5:$F$3004,"""")&lt;&gt;""""),ROWS(H$5:H2287)),"""")"),"")</f>
        <v/>
      </c>
    </row>
    <row r="2288" ht="15.75" customHeight="1">
      <c r="A22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Helper'!$F$5:$F$3004,"""")&lt;&gt;""""),ROWS(A$5:A2288)),"""")"),"")</f>
        <v/>
      </c>
      <c r="B22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Helper'!$F$5:$F$3004,"""")&lt;&gt;""""),ROWS(B$5:B2288)),"""")"),"")</f>
        <v/>
      </c>
      <c r="C22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Helper'!$F$5:$F$3004,"""")&lt;&gt;""""),ROWS(C$5:C2288)),"""")"),"")</f>
        <v/>
      </c>
      <c r="D22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Helper'!$F$5:$F$3004,"""")&lt;&gt;""""),ROWS(D$5:D2288)),"""")"),"")</f>
        <v/>
      </c>
      <c r="E22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Helper'!$F$5:$F$3004,"""")&lt;&gt;""""),ROWS(E$5:E2288)),"""")"),"")</f>
        <v/>
      </c>
      <c r="F22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Helper'!$F$5:$F$3004,"""")&lt;&gt;""""),ROWS(F$5:F2288)),IF(AND(LEFT(x,5)=""Pag"&amp;"e "",ISERROR(SEARCH(""–"",x))),x&amp;""–""&amp;REGEXEXTRACT(x,""[0-9]+$""),x)),"""")"),"")</f>
        <v/>
      </c>
      <c r="G2288" s="163"/>
      <c r="H22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Helper'!$F$5:$F$3004,"""")&lt;&gt;""""),ROWS(H$5:H2288)),"""")"),"")</f>
        <v/>
      </c>
    </row>
    <row r="2289" ht="15.75" customHeight="1">
      <c r="A22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Helper'!$F$5:$F$3004,"""")&lt;&gt;""""),ROWS(A$5:A2289)),"""")"),"")</f>
        <v/>
      </c>
      <c r="B22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Helper'!$F$5:$F$3004,"""")&lt;&gt;""""),ROWS(B$5:B2289)),"""")"),"")</f>
        <v/>
      </c>
      <c r="C22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Helper'!$F$5:$F$3004,"""")&lt;&gt;""""),ROWS(C$5:C2289)),"""")"),"")</f>
        <v/>
      </c>
      <c r="D22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Helper'!$F$5:$F$3004,"""")&lt;&gt;""""),ROWS(D$5:D2289)),"""")"),"")</f>
        <v/>
      </c>
      <c r="E22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Helper'!$F$5:$F$3004,"""")&lt;&gt;""""),ROWS(E$5:E2289)),"""")"),"")</f>
        <v/>
      </c>
      <c r="F22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Helper'!$F$5:$F$3004,"""")&lt;&gt;""""),ROWS(F$5:F2289)),IF(AND(LEFT(x,5)=""Pag"&amp;"e "",ISERROR(SEARCH(""–"",x))),x&amp;""–""&amp;REGEXEXTRACT(x,""[0-9]+$""),x)),"""")"),"")</f>
        <v/>
      </c>
      <c r="G2289" s="163"/>
      <c r="H22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Helper'!$F$5:$F$3004,"""")&lt;&gt;""""),ROWS(H$5:H2289)),"""")"),"")</f>
        <v/>
      </c>
    </row>
    <row r="2290" ht="15.75" customHeight="1">
      <c r="A22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Helper'!$F$5:$F$3004,"""")&lt;&gt;""""),ROWS(A$5:A2290)),"""")"),"")</f>
        <v/>
      </c>
      <c r="B22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Helper'!$F$5:$F$3004,"""")&lt;&gt;""""),ROWS(B$5:B2290)),"""")"),"")</f>
        <v/>
      </c>
      <c r="C22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Helper'!$F$5:$F$3004,"""")&lt;&gt;""""),ROWS(C$5:C2290)),"""")"),"")</f>
        <v/>
      </c>
      <c r="D22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Helper'!$F$5:$F$3004,"""")&lt;&gt;""""),ROWS(D$5:D2290)),"""")"),"")</f>
        <v/>
      </c>
      <c r="E22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Helper'!$F$5:$F$3004,"""")&lt;&gt;""""),ROWS(E$5:E2290)),"""")"),"")</f>
        <v/>
      </c>
      <c r="F22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Helper'!$F$5:$F$3004,"""")&lt;&gt;""""),ROWS(F$5:F2290)),IF(AND(LEFT(x,5)=""Pag"&amp;"e "",ISERROR(SEARCH(""–"",x))),x&amp;""–""&amp;REGEXEXTRACT(x,""[0-9]+$""),x)),"""")"),"")</f>
        <v/>
      </c>
      <c r="G2290" s="163"/>
      <c r="H22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Helper'!$F$5:$F$3004,"""")&lt;&gt;""""),ROWS(H$5:H2290)),"""")"),"")</f>
        <v/>
      </c>
    </row>
    <row r="2291" ht="15.75" customHeight="1">
      <c r="A22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Helper'!$F$5:$F$3004,"""")&lt;&gt;""""),ROWS(A$5:A2291)),"""")"),"")</f>
        <v/>
      </c>
      <c r="B22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Helper'!$F$5:$F$3004,"""")&lt;&gt;""""),ROWS(B$5:B2291)),"""")"),"")</f>
        <v/>
      </c>
      <c r="C22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Helper'!$F$5:$F$3004,"""")&lt;&gt;""""),ROWS(C$5:C2291)),"""")"),"")</f>
        <v/>
      </c>
      <c r="D22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Helper'!$F$5:$F$3004,"""")&lt;&gt;""""),ROWS(D$5:D2291)),"""")"),"")</f>
        <v/>
      </c>
      <c r="E22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Helper'!$F$5:$F$3004,"""")&lt;&gt;""""),ROWS(E$5:E2291)),"""")"),"")</f>
        <v/>
      </c>
      <c r="F22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Helper'!$F$5:$F$3004,"""")&lt;&gt;""""),ROWS(F$5:F2291)),IF(AND(LEFT(x,5)=""Pag"&amp;"e "",ISERROR(SEARCH(""–"",x))),x&amp;""–""&amp;REGEXEXTRACT(x,""[0-9]+$""),x)),"""")"),"")</f>
        <v/>
      </c>
      <c r="G2291" s="163"/>
      <c r="H22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Helper'!$F$5:$F$3004,"""")&lt;&gt;""""),ROWS(H$5:H2291)),"""")"),"")</f>
        <v/>
      </c>
    </row>
    <row r="2292" ht="15.75" customHeight="1">
      <c r="A22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Helper'!$F$5:$F$3004,"""")&lt;&gt;""""),ROWS(A$5:A2292)),"""")"),"")</f>
        <v/>
      </c>
      <c r="B22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Helper'!$F$5:$F$3004,"""")&lt;&gt;""""),ROWS(B$5:B2292)),"""")"),"")</f>
        <v/>
      </c>
      <c r="C22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Helper'!$F$5:$F$3004,"""")&lt;&gt;""""),ROWS(C$5:C2292)),"""")"),"")</f>
        <v/>
      </c>
      <c r="D22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Helper'!$F$5:$F$3004,"""")&lt;&gt;""""),ROWS(D$5:D2292)),"""")"),"")</f>
        <v/>
      </c>
      <c r="E22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Helper'!$F$5:$F$3004,"""")&lt;&gt;""""),ROWS(E$5:E2292)),"""")"),"")</f>
        <v/>
      </c>
      <c r="F22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Helper'!$F$5:$F$3004,"""")&lt;&gt;""""),ROWS(F$5:F2292)),IF(AND(LEFT(x,5)=""Pag"&amp;"e "",ISERROR(SEARCH(""–"",x))),x&amp;""–""&amp;REGEXEXTRACT(x,""[0-9]+$""),x)),"""")"),"")</f>
        <v/>
      </c>
      <c r="G2292" s="163"/>
      <c r="H22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Helper'!$F$5:$F$3004,"""")&lt;&gt;""""),ROWS(H$5:H2292)),"""")"),"")</f>
        <v/>
      </c>
    </row>
    <row r="2293" ht="15.75" customHeight="1">
      <c r="A22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Helper'!$F$5:$F$3004,"""")&lt;&gt;""""),ROWS(A$5:A2293)),"""")"),"")</f>
        <v/>
      </c>
      <c r="B22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Helper'!$F$5:$F$3004,"""")&lt;&gt;""""),ROWS(B$5:B2293)),"""")"),"")</f>
        <v/>
      </c>
      <c r="C22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Helper'!$F$5:$F$3004,"""")&lt;&gt;""""),ROWS(C$5:C2293)),"""")"),"")</f>
        <v/>
      </c>
      <c r="D22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Helper'!$F$5:$F$3004,"""")&lt;&gt;""""),ROWS(D$5:D2293)),"""")"),"")</f>
        <v/>
      </c>
      <c r="E22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Helper'!$F$5:$F$3004,"""")&lt;&gt;""""),ROWS(E$5:E2293)),"""")"),"")</f>
        <v/>
      </c>
      <c r="F22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Helper'!$F$5:$F$3004,"""")&lt;&gt;""""),ROWS(F$5:F2293)),IF(AND(LEFT(x,5)=""Pag"&amp;"e "",ISERROR(SEARCH(""–"",x))),x&amp;""–""&amp;REGEXEXTRACT(x,""[0-9]+$""),x)),"""")"),"")</f>
        <v/>
      </c>
      <c r="G2293" s="163"/>
      <c r="H22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Helper'!$F$5:$F$3004,"""")&lt;&gt;""""),ROWS(H$5:H2293)),"""")"),"")</f>
        <v/>
      </c>
    </row>
    <row r="2294" ht="15.75" customHeight="1">
      <c r="A22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Helper'!$F$5:$F$3004,"""")&lt;&gt;""""),ROWS(A$5:A2294)),"""")"),"")</f>
        <v/>
      </c>
      <c r="B22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Helper'!$F$5:$F$3004,"""")&lt;&gt;""""),ROWS(B$5:B2294)),"""")"),"")</f>
        <v/>
      </c>
      <c r="C22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Helper'!$F$5:$F$3004,"""")&lt;&gt;""""),ROWS(C$5:C2294)),"""")"),"")</f>
        <v/>
      </c>
      <c r="D22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Helper'!$F$5:$F$3004,"""")&lt;&gt;""""),ROWS(D$5:D2294)),"""")"),"")</f>
        <v/>
      </c>
      <c r="E22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Helper'!$F$5:$F$3004,"""")&lt;&gt;""""),ROWS(E$5:E2294)),"""")"),"")</f>
        <v/>
      </c>
      <c r="F22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Helper'!$F$5:$F$3004,"""")&lt;&gt;""""),ROWS(F$5:F2294)),IF(AND(LEFT(x,5)=""Pag"&amp;"e "",ISERROR(SEARCH(""–"",x))),x&amp;""–""&amp;REGEXEXTRACT(x,""[0-9]+$""),x)),"""")"),"")</f>
        <v/>
      </c>
      <c r="G2294" s="163"/>
      <c r="H22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Helper'!$F$5:$F$3004,"""")&lt;&gt;""""),ROWS(H$5:H2294)),"""")"),"")</f>
        <v/>
      </c>
    </row>
    <row r="2295" ht="15.75" customHeight="1">
      <c r="A22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Helper'!$F$5:$F$3004,"""")&lt;&gt;""""),ROWS(A$5:A2295)),"""")"),"")</f>
        <v/>
      </c>
      <c r="B22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Helper'!$F$5:$F$3004,"""")&lt;&gt;""""),ROWS(B$5:B2295)),"""")"),"")</f>
        <v/>
      </c>
      <c r="C22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Helper'!$F$5:$F$3004,"""")&lt;&gt;""""),ROWS(C$5:C2295)),"""")"),"")</f>
        <v/>
      </c>
      <c r="D22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Helper'!$F$5:$F$3004,"""")&lt;&gt;""""),ROWS(D$5:D2295)),"""")"),"")</f>
        <v/>
      </c>
      <c r="E22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Helper'!$F$5:$F$3004,"""")&lt;&gt;""""),ROWS(E$5:E2295)),"""")"),"")</f>
        <v/>
      </c>
      <c r="F22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Helper'!$F$5:$F$3004,"""")&lt;&gt;""""),ROWS(F$5:F2295)),IF(AND(LEFT(x,5)=""Pag"&amp;"e "",ISERROR(SEARCH(""–"",x))),x&amp;""–""&amp;REGEXEXTRACT(x,""[0-9]+$""),x)),"""")"),"")</f>
        <v/>
      </c>
      <c r="G2295" s="163"/>
      <c r="H22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Helper'!$F$5:$F$3004,"""")&lt;&gt;""""),ROWS(H$5:H2295)),"""")"),"")</f>
        <v/>
      </c>
    </row>
    <row r="2296" ht="15.75" customHeight="1">
      <c r="A22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Helper'!$F$5:$F$3004,"""")&lt;&gt;""""),ROWS(A$5:A2296)),"""")"),"")</f>
        <v/>
      </c>
      <c r="B22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Helper'!$F$5:$F$3004,"""")&lt;&gt;""""),ROWS(B$5:B2296)),"""")"),"")</f>
        <v/>
      </c>
      <c r="C22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Helper'!$F$5:$F$3004,"""")&lt;&gt;""""),ROWS(C$5:C2296)),"""")"),"")</f>
        <v/>
      </c>
      <c r="D22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Helper'!$F$5:$F$3004,"""")&lt;&gt;""""),ROWS(D$5:D2296)),"""")"),"")</f>
        <v/>
      </c>
      <c r="E22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Helper'!$F$5:$F$3004,"""")&lt;&gt;""""),ROWS(E$5:E2296)),"""")"),"")</f>
        <v/>
      </c>
      <c r="F22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Helper'!$F$5:$F$3004,"""")&lt;&gt;""""),ROWS(F$5:F2296)),IF(AND(LEFT(x,5)=""Pag"&amp;"e "",ISERROR(SEARCH(""–"",x))),x&amp;""–""&amp;REGEXEXTRACT(x,""[0-9]+$""),x)),"""")"),"")</f>
        <v/>
      </c>
      <c r="G2296" s="163"/>
      <c r="H22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Helper'!$F$5:$F$3004,"""")&lt;&gt;""""),ROWS(H$5:H2296)),"""")"),"")</f>
        <v/>
      </c>
    </row>
    <row r="2297" ht="15.75" customHeight="1">
      <c r="A22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Helper'!$F$5:$F$3004,"""")&lt;&gt;""""),ROWS(A$5:A2297)),"""")"),"")</f>
        <v/>
      </c>
      <c r="B22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Helper'!$F$5:$F$3004,"""")&lt;&gt;""""),ROWS(B$5:B2297)),"""")"),"")</f>
        <v/>
      </c>
      <c r="C22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Helper'!$F$5:$F$3004,"""")&lt;&gt;""""),ROWS(C$5:C2297)),"""")"),"")</f>
        <v/>
      </c>
      <c r="D22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Helper'!$F$5:$F$3004,"""")&lt;&gt;""""),ROWS(D$5:D2297)),"""")"),"")</f>
        <v/>
      </c>
      <c r="E22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Helper'!$F$5:$F$3004,"""")&lt;&gt;""""),ROWS(E$5:E2297)),"""")"),"")</f>
        <v/>
      </c>
      <c r="F22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Helper'!$F$5:$F$3004,"""")&lt;&gt;""""),ROWS(F$5:F2297)),IF(AND(LEFT(x,5)=""Pag"&amp;"e "",ISERROR(SEARCH(""–"",x))),x&amp;""–""&amp;REGEXEXTRACT(x,""[0-9]+$""),x)),"""")"),"")</f>
        <v/>
      </c>
      <c r="G2297" s="163"/>
      <c r="H22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Helper'!$F$5:$F$3004,"""")&lt;&gt;""""),ROWS(H$5:H2297)),"""")"),"")</f>
        <v/>
      </c>
    </row>
    <row r="2298" ht="15.75" customHeight="1">
      <c r="A22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Helper'!$F$5:$F$3004,"""")&lt;&gt;""""),ROWS(A$5:A2298)),"""")"),"")</f>
        <v/>
      </c>
      <c r="B22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Helper'!$F$5:$F$3004,"""")&lt;&gt;""""),ROWS(B$5:B2298)),"""")"),"")</f>
        <v/>
      </c>
      <c r="C22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Helper'!$F$5:$F$3004,"""")&lt;&gt;""""),ROWS(C$5:C2298)),"""")"),"")</f>
        <v/>
      </c>
      <c r="D22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Helper'!$F$5:$F$3004,"""")&lt;&gt;""""),ROWS(D$5:D2298)),"""")"),"")</f>
        <v/>
      </c>
      <c r="E22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Helper'!$F$5:$F$3004,"""")&lt;&gt;""""),ROWS(E$5:E2298)),"""")"),"")</f>
        <v/>
      </c>
      <c r="F22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Helper'!$F$5:$F$3004,"""")&lt;&gt;""""),ROWS(F$5:F2298)),IF(AND(LEFT(x,5)=""Pag"&amp;"e "",ISERROR(SEARCH(""–"",x))),x&amp;""–""&amp;REGEXEXTRACT(x,""[0-9]+$""),x)),"""")"),"")</f>
        <v/>
      </c>
      <c r="G2298" s="163"/>
      <c r="H22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Helper'!$F$5:$F$3004,"""")&lt;&gt;""""),ROWS(H$5:H2298)),"""")"),"")</f>
        <v/>
      </c>
    </row>
    <row r="2299" ht="15.75" customHeight="1">
      <c r="A22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Helper'!$F$5:$F$3004,"""")&lt;&gt;""""),ROWS(A$5:A2299)),"""")"),"")</f>
        <v/>
      </c>
      <c r="B22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Helper'!$F$5:$F$3004,"""")&lt;&gt;""""),ROWS(B$5:B2299)),"""")"),"")</f>
        <v/>
      </c>
      <c r="C22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Helper'!$F$5:$F$3004,"""")&lt;&gt;""""),ROWS(C$5:C2299)),"""")"),"")</f>
        <v/>
      </c>
      <c r="D22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Helper'!$F$5:$F$3004,"""")&lt;&gt;""""),ROWS(D$5:D2299)),"""")"),"")</f>
        <v/>
      </c>
      <c r="E22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Helper'!$F$5:$F$3004,"""")&lt;&gt;""""),ROWS(E$5:E2299)),"""")"),"")</f>
        <v/>
      </c>
      <c r="F22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Helper'!$F$5:$F$3004,"""")&lt;&gt;""""),ROWS(F$5:F2299)),IF(AND(LEFT(x,5)=""Pag"&amp;"e "",ISERROR(SEARCH(""–"",x))),x&amp;""–""&amp;REGEXEXTRACT(x,""[0-9]+$""),x)),"""")"),"")</f>
        <v/>
      </c>
      <c r="G2299" s="163"/>
      <c r="H22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Helper'!$F$5:$F$3004,"""")&lt;&gt;""""),ROWS(H$5:H2299)),"""")"),"")</f>
        <v/>
      </c>
    </row>
    <row r="2300" ht="15.75" customHeight="1">
      <c r="A23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Helper'!$F$5:$F$3004,"""")&lt;&gt;""""),ROWS(A$5:A2300)),"""")"),"")</f>
        <v/>
      </c>
      <c r="B23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Helper'!$F$5:$F$3004,"""")&lt;&gt;""""),ROWS(B$5:B2300)),"""")"),"")</f>
        <v/>
      </c>
      <c r="C23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Helper'!$F$5:$F$3004,"""")&lt;&gt;""""),ROWS(C$5:C2300)),"""")"),"")</f>
        <v/>
      </c>
      <c r="D23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Helper'!$F$5:$F$3004,"""")&lt;&gt;""""),ROWS(D$5:D2300)),"""")"),"")</f>
        <v/>
      </c>
      <c r="E23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Helper'!$F$5:$F$3004,"""")&lt;&gt;""""),ROWS(E$5:E2300)),"""")"),"")</f>
        <v/>
      </c>
      <c r="F23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Helper'!$F$5:$F$3004,"""")&lt;&gt;""""),ROWS(F$5:F2300)),IF(AND(LEFT(x,5)=""Pag"&amp;"e "",ISERROR(SEARCH(""–"",x))),x&amp;""–""&amp;REGEXEXTRACT(x,""[0-9]+$""),x)),"""")"),"")</f>
        <v/>
      </c>
      <c r="G2300" s="163"/>
      <c r="H23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Helper'!$F$5:$F$3004,"""")&lt;&gt;""""),ROWS(H$5:H2300)),"""")"),"")</f>
        <v/>
      </c>
    </row>
    <row r="2301" ht="15.75" customHeight="1">
      <c r="A23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Helper'!$F$5:$F$3004,"""")&lt;&gt;""""),ROWS(A$5:A2301)),"""")"),"")</f>
        <v/>
      </c>
      <c r="B23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Helper'!$F$5:$F$3004,"""")&lt;&gt;""""),ROWS(B$5:B2301)),"""")"),"")</f>
        <v/>
      </c>
      <c r="C23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Helper'!$F$5:$F$3004,"""")&lt;&gt;""""),ROWS(C$5:C2301)),"""")"),"")</f>
        <v/>
      </c>
      <c r="D23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Helper'!$F$5:$F$3004,"""")&lt;&gt;""""),ROWS(D$5:D2301)),"""")"),"")</f>
        <v/>
      </c>
      <c r="E23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Helper'!$F$5:$F$3004,"""")&lt;&gt;""""),ROWS(E$5:E2301)),"""")"),"")</f>
        <v/>
      </c>
      <c r="F23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Helper'!$F$5:$F$3004,"""")&lt;&gt;""""),ROWS(F$5:F2301)),IF(AND(LEFT(x,5)=""Pag"&amp;"e "",ISERROR(SEARCH(""–"",x))),x&amp;""–""&amp;REGEXEXTRACT(x,""[0-9]+$""),x)),"""")"),"")</f>
        <v/>
      </c>
      <c r="G2301" s="163"/>
      <c r="H23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Helper'!$F$5:$F$3004,"""")&lt;&gt;""""),ROWS(H$5:H2301)),"""")"),"")</f>
        <v/>
      </c>
    </row>
    <row r="2302" ht="15.75" customHeight="1">
      <c r="A23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Helper'!$F$5:$F$3004,"""")&lt;&gt;""""),ROWS(A$5:A2302)),"""")"),"")</f>
        <v/>
      </c>
      <c r="B23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Helper'!$F$5:$F$3004,"""")&lt;&gt;""""),ROWS(B$5:B2302)),"""")"),"")</f>
        <v/>
      </c>
      <c r="C23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Helper'!$F$5:$F$3004,"""")&lt;&gt;""""),ROWS(C$5:C2302)),"""")"),"")</f>
        <v/>
      </c>
      <c r="D23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Helper'!$F$5:$F$3004,"""")&lt;&gt;""""),ROWS(D$5:D2302)),"""")"),"")</f>
        <v/>
      </c>
      <c r="E23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Helper'!$F$5:$F$3004,"""")&lt;&gt;""""),ROWS(E$5:E2302)),"""")"),"")</f>
        <v/>
      </c>
      <c r="F23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Helper'!$F$5:$F$3004,"""")&lt;&gt;""""),ROWS(F$5:F2302)),IF(AND(LEFT(x,5)=""Pag"&amp;"e "",ISERROR(SEARCH(""–"",x))),x&amp;""–""&amp;REGEXEXTRACT(x,""[0-9]+$""),x)),"""")"),"")</f>
        <v/>
      </c>
      <c r="G2302" s="163"/>
      <c r="H23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Helper'!$F$5:$F$3004,"""")&lt;&gt;""""),ROWS(H$5:H2302)),"""")"),"")</f>
        <v/>
      </c>
    </row>
    <row r="2303" ht="15.75" customHeight="1">
      <c r="A23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Helper'!$F$5:$F$3004,"""")&lt;&gt;""""),ROWS(A$5:A2303)),"""")"),"")</f>
        <v/>
      </c>
      <c r="B23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Helper'!$F$5:$F$3004,"""")&lt;&gt;""""),ROWS(B$5:B2303)),"""")"),"")</f>
        <v/>
      </c>
      <c r="C23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Helper'!$F$5:$F$3004,"""")&lt;&gt;""""),ROWS(C$5:C2303)),"""")"),"")</f>
        <v/>
      </c>
      <c r="D23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Helper'!$F$5:$F$3004,"""")&lt;&gt;""""),ROWS(D$5:D2303)),"""")"),"")</f>
        <v/>
      </c>
      <c r="E23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Helper'!$F$5:$F$3004,"""")&lt;&gt;""""),ROWS(E$5:E2303)),"""")"),"")</f>
        <v/>
      </c>
      <c r="F23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Helper'!$F$5:$F$3004,"""")&lt;&gt;""""),ROWS(F$5:F2303)),IF(AND(LEFT(x,5)=""Pag"&amp;"e "",ISERROR(SEARCH(""–"",x))),x&amp;""–""&amp;REGEXEXTRACT(x,""[0-9]+$""),x)),"""")"),"")</f>
        <v/>
      </c>
      <c r="G2303" s="163"/>
      <c r="H23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Helper'!$F$5:$F$3004,"""")&lt;&gt;""""),ROWS(H$5:H2303)),"""")"),"")</f>
        <v/>
      </c>
    </row>
    <row r="2304" ht="15.75" customHeight="1">
      <c r="A23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Helper'!$F$5:$F$3004,"""")&lt;&gt;""""),ROWS(A$5:A2304)),"""")"),"")</f>
        <v/>
      </c>
      <c r="B23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Helper'!$F$5:$F$3004,"""")&lt;&gt;""""),ROWS(B$5:B2304)),"""")"),"")</f>
        <v/>
      </c>
      <c r="C23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Helper'!$F$5:$F$3004,"""")&lt;&gt;""""),ROWS(C$5:C2304)),"""")"),"")</f>
        <v/>
      </c>
      <c r="D23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Helper'!$F$5:$F$3004,"""")&lt;&gt;""""),ROWS(D$5:D2304)),"""")"),"")</f>
        <v/>
      </c>
      <c r="E23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Helper'!$F$5:$F$3004,"""")&lt;&gt;""""),ROWS(E$5:E2304)),"""")"),"")</f>
        <v/>
      </c>
      <c r="F23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Helper'!$F$5:$F$3004,"""")&lt;&gt;""""),ROWS(F$5:F2304)),IF(AND(LEFT(x,5)=""Pag"&amp;"e "",ISERROR(SEARCH(""–"",x))),x&amp;""–""&amp;REGEXEXTRACT(x,""[0-9]+$""),x)),"""")"),"")</f>
        <v/>
      </c>
      <c r="G2304" s="163"/>
      <c r="H23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Helper'!$F$5:$F$3004,"""")&lt;&gt;""""),ROWS(H$5:H2304)),"""")"),"")</f>
        <v/>
      </c>
    </row>
    <row r="2305" ht="15.75" customHeight="1">
      <c r="A23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Helper'!$F$5:$F$3004,"""")&lt;&gt;""""),ROWS(A$5:A2305)),"""")"),"")</f>
        <v/>
      </c>
      <c r="B23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Helper'!$F$5:$F$3004,"""")&lt;&gt;""""),ROWS(B$5:B2305)),"""")"),"")</f>
        <v/>
      </c>
      <c r="C23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Helper'!$F$5:$F$3004,"""")&lt;&gt;""""),ROWS(C$5:C2305)),"""")"),"")</f>
        <v/>
      </c>
      <c r="D23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Helper'!$F$5:$F$3004,"""")&lt;&gt;""""),ROWS(D$5:D2305)),"""")"),"")</f>
        <v/>
      </c>
      <c r="E23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Helper'!$F$5:$F$3004,"""")&lt;&gt;""""),ROWS(E$5:E2305)),"""")"),"")</f>
        <v/>
      </c>
      <c r="F23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Helper'!$F$5:$F$3004,"""")&lt;&gt;""""),ROWS(F$5:F2305)),IF(AND(LEFT(x,5)=""Pag"&amp;"e "",ISERROR(SEARCH(""–"",x))),x&amp;""–""&amp;REGEXEXTRACT(x,""[0-9]+$""),x)),"""")"),"")</f>
        <v/>
      </c>
      <c r="G2305" s="163"/>
      <c r="H23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Helper'!$F$5:$F$3004,"""")&lt;&gt;""""),ROWS(H$5:H2305)),"""")"),"")</f>
        <v/>
      </c>
    </row>
    <row r="2306" ht="15.75" customHeight="1">
      <c r="A23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Helper'!$F$5:$F$3004,"""")&lt;&gt;""""),ROWS(A$5:A2306)),"""")"),"")</f>
        <v/>
      </c>
      <c r="B23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Helper'!$F$5:$F$3004,"""")&lt;&gt;""""),ROWS(B$5:B2306)),"""")"),"")</f>
        <v/>
      </c>
      <c r="C23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Helper'!$F$5:$F$3004,"""")&lt;&gt;""""),ROWS(C$5:C2306)),"""")"),"")</f>
        <v/>
      </c>
      <c r="D23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Helper'!$F$5:$F$3004,"""")&lt;&gt;""""),ROWS(D$5:D2306)),"""")"),"")</f>
        <v/>
      </c>
      <c r="E23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Helper'!$F$5:$F$3004,"""")&lt;&gt;""""),ROWS(E$5:E2306)),"""")"),"")</f>
        <v/>
      </c>
      <c r="F23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Helper'!$F$5:$F$3004,"""")&lt;&gt;""""),ROWS(F$5:F2306)),IF(AND(LEFT(x,5)=""Pag"&amp;"e "",ISERROR(SEARCH(""–"",x))),x&amp;""–""&amp;REGEXEXTRACT(x,""[0-9]+$""),x)),"""")"),"")</f>
        <v/>
      </c>
      <c r="G2306" s="163"/>
      <c r="H23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Helper'!$F$5:$F$3004,"""")&lt;&gt;""""),ROWS(H$5:H2306)),"""")"),"")</f>
        <v/>
      </c>
    </row>
    <row r="2307" ht="15.75" customHeight="1">
      <c r="A23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Helper'!$F$5:$F$3004,"""")&lt;&gt;""""),ROWS(A$5:A2307)),"""")"),"")</f>
        <v/>
      </c>
      <c r="B23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Helper'!$F$5:$F$3004,"""")&lt;&gt;""""),ROWS(B$5:B2307)),"""")"),"")</f>
        <v/>
      </c>
      <c r="C23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Helper'!$F$5:$F$3004,"""")&lt;&gt;""""),ROWS(C$5:C2307)),"""")"),"")</f>
        <v/>
      </c>
      <c r="D23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Helper'!$F$5:$F$3004,"""")&lt;&gt;""""),ROWS(D$5:D2307)),"""")"),"")</f>
        <v/>
      </c>
      <c r="E23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Helper'!$F$5:$F$3004,"""")&lt;&gt;""""),ROWS(E$5:E2307)),"""")"),"")</f>
        <v/>
      </c>
      <c r="F23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Helper'!$F$5:$F$3004,"""")&lt;&gt;""""),ROWS(F$5:F2307)),IF(AND(LEFT(x,5)=""Pag"&amp;"e "",ISERROR(SEARCH(""–"",x))),x&amp;""–""&amp;REGEXEXTRACT(x,""[0-9]+$""),x)),"""")"),"")</f>
        <v/>
      </c>
      <c r="G2307" s="163"/>
      <c r="H23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Helper'!$F$5:$F$3004,"""")&lt;&gt;""""),ROWS(H$5:H2307)),"""")"),"")</f>
        <v/>
      </c>
    </row>
    <row r="2308" ht="15.75" customHeight="1">
      <c r="A23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Helper'!$F$5:$F$3004,"""")&lt;&gt;""""),ROWS(A$5:A2308)),"""")"),"")</f>
        <v/>
      </c>
      <c r="B23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Helper'!$F$5:$F$3004,"""")&lt;&gt;""""),ROWS(B$5:B2308)),"""")"),"")</f>
        <v/>
      </c>
      <c r="C23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Helper'!$F$5:$F$3004,"""")&lt;&gt;""""),ROWS(C$5:C2308)),"""")"),"")</f>
        <v/>
      </c>
      <c r="D23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Helper'!$F$5:$F$3004,"""")&lt;&gt;""""),ROWS(D$5:D2308)),"""")"),"")</f>
        <v/>
      </c>
      <c r="E23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Helper'!$F$5:$F$3004,"""")&lt;&gt;""""),ROWS(E$5:E2308)),"""")"),"")</f>
        <v/>
      </c>
      <c r="F23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Helper'!$F$5:$F$3004,"""")&lt;&gt;""""),ROWS(F$5:F2308)),IF(AND(LEFT(x,5)=""Pag"&amp;"e "",ISERROR(SEARCH(""–"",x))),x&amp;""–""&amp;REGEXEXTRACT(x,""[0-9]+$""),x)),"""")"),"")</f>
        <v/>
      </c>
      <c r="G2308" s="163"/>
      <c r="H23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Helper'!$F$5:$F$3004,"""")&lt;&gt;""""),ROWS(H$5:H2308)),"""")"),"")</f>
        <v/>
      </c>
    </row>
    <row r="2309" ht="15.75" customHeight="1">
      <c r="A23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Helper'!$F$5:$F$3004,"""")&lt;&gt;""""),ROWS(A$5:A2309)),"""")"),"")</f>
        <v/>
      </c>
      <c r="B23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Helper'!$F$5:$F$3004,"""")&lt;&gt;""""),ROWS(B$5:B2309)),"""")"),"")</f>
        <v/>
      </c>
      <c r="C23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Helper'!$F$5:$F$3004,"""")&lt;&gt;""""),ROWS(C$5:C2309)),"""")"),"")</f>
        <v/>
      </c>
      <c r="D23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Helper'!$F$5:$F$3004,"""")&lt;&gt;""""),ROWS(D$5:D2309)),"""")"),"")</f>
        <v/>
      </c>
      <c r="E23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Helper'!$F$5:$F$3004,"""")&lt;&gt;""""),ROWS(E$5:E2309)),"""")"),"")</f>
        <v/>
      </c>
      <c r="F23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Helper'!$F$5:$F$3004,"""")&lt;&gt;""""),ROWS(F$5:F2309)),IF(AND(LEFT(x,5)=""Pag"&amp;"e "",ISERROR(SEARCH(""–"",x))),x&amp;""–""&amp;REGEXEXTRACT(x,""[0-9]+$""),x)),"""")"),"")</f>
        <v/>
      </c>
      <c r="G2309" s="163"/>
      <c r="H23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Helper'!$F$5:$F$3004,"""")&lt;&gt;""""),ROWS(H$5:H2309)),"""")"),"")</f>
        <v/>
      </c>
    </row>
    <row r="2310" ht="15.75" customHeight="1">
      <c r="A23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Helper'!$F$5:$F$3004,"""")&lt;&gt;""""),ROWS(A$5:A2310)),"""")"),"")</f>
        <v/>
      </c>
      <c r="B23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Helper'!$F$5:$F$3004,"""")&lt;&gt;""""),ROWS(B$5:B2310)),"""")"),"")</f>
        <v/>
      </c>
      <c r="C23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Helper'!$F$5:$F$3004,"""")&lt;&gt;""""),ROWS(C$5:C2310)),"""")"),"")</f>
        <v/>
      </c>
      <c r="D23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Helper'!$F$5:$F$3004,"""")&lt;&gt;""""),ROWS(D$5:D2310)),"""")"),"")</f>
        <v/>
      </c>
      <c r="E23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Helper'!$F$5:$F$3004,"""")&lt;&gt;""""),ROWS(E$5:E2310)),"""")"),"")</f>
        <v/>
      </c>
      <c r="F23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Helper'!$F$5:$F$3004,"""")&lt;&gt;""""),ROWS(F$5:F2310)),IF(AND(LEFT(x,5)=""Pag"&amp;"e "",ISERROR(SEARCH(""–"",x))),x&amp;""–""&amp;REGEXEXTRACT(x,""[0-9]+$""),x)),"""")"),"")</f>
        <v/>
      </c>
      <c r="G2310" s="163"/>
      <c r="H23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Helper'!$F$5:$F$3004,"""")&lt;&gt;""""),ROWS(H$5:H2310)),"""")"),"")</f>
        <v/>
      </c>
    </row>
    <row r="2311" ht="15.75" customHeight="1">
      <c r="A23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Helper'!$F$5:$F$3004,"""")&lt;&gt;""""),ROWS(A$5:A2311)),"""")"),"")</f>
        <v/>
      </c>
      <c r="B23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Helper'!$F$5:$F$3004,"""")&lt;&gt;""""),ROWS(B$5:B2311)),"""")"),"")</f>
        <v/>
      </c>
      <c r="C23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Helper'!$F$5:$F$3004,"""")&lt;&gt;""""),ROWS(C$5:C2311)),"""")"),"")</f>
        <v/>
      </c>
      <c r="D23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Helper'!$F$5:$F$3004,"""")&lt;&gt;""""),ROWS(D$5:D2311)),"""")"),"")</f>
        <v/>
      </c>
      <c r="E23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Helper'!$F$5:$F$3004,"""")&lt;&gt;""""),ROWS(E$5:E2311)),"""")"),"")</f>
        <v/>
      </c>
      <c r="F23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Helper'!$F$5:$F$3004,"""")&lt;&gt;""""),ROWS(F$5:F2311)),IF(AND(LEFT(x,5)=""Pag"&amp;"e "",ISERROR(SEARCH(""–"",x))),x&amp;""–""&amp;REGEXEXTRACT(x,""[0-9]+$""),x)),"""")"),"")</f>
        <v/>
      </c>
      <c r="G2311" s="163"/>
      <c r="H23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Helper'!$F$5:$F$3004,"""")&lt;&gt;""""),ROWS(H$5:H2311)),"""")"),"")</f>
        <v/>
      </c>
    </row>
    <row r="2312" ht="15.75" customHeight="1">
      <c r="A23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Helper'!$F$5:$F$3004,"""")&lt;&gt;""""),ROWS(A$5:A2312)),"""")"),"")</f>
        <v/>
      </c>
      <c r="B23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Helper'!$F$5:$F$3004,"""")&lt;&gt;""""),ROWS(B$5:B2312)),"""")"),"")</f>
        <v/>
      </c>
      <c r="C23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Helper'!$F$5:$F$3004,"""")&lt;&gt;""""),ROWS(C$5:C2312)),"""")"),"")</f>
        <v/>
      </c>
      <c r="D23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Helper'!$F$5:$F$3004,"""")&lt;&gt;""""),ROWS(D$5:D2312)),"""")"),"")</f>
        <v/>
      </c>
      <c r="E23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Helper'!$F$5:$F$3004,"""")&lt;&gt;""""),ROWS(E$5:E2312)),"""")"),"")</f>
        <v/>
      </c>
      <c r="F23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Helper'!$F$5:$F$3004,"""")&lt;&gt;""""),ROWS(F$5:F2312)),IF(AND(LEFT(x,5)=""Pag"&amp;"e "",ISERROR(SEARCH(""–"",x))),x&amp;""–""&amp;REGEXEXTRACT(x,""[0-9]+$""),x)),"""")"),"")</f>
        <v/>
      </c>
      <c r="G2312" s="163"/>
      <c r="H23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Helper'!$F$5:$F$3004,"""")&lt;&gt;""""),ROWS(H$5:H2312)),"""")"),"")</f>
        <v/>
      </c>
    </row>
    <row r="2313" ht="15.75" customHeight="1">
      <c r="A23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Helper'!$F$5:$F$3004,"""")&lt;&gt;""""),ROWS(A$5:A2313)),"""")"),"")</f>
        <v/>
      </c>
      <c r="B23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Helper'!$F$5:$F$3004,"""")&lt;&gt;""""),ROWS(B$5:B2313)),"""")"),"")</f>
        <v/>
      </c>
      <c r="C23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Helper'!$F$5:$F$3004,"""")&lt;&gt;""""),ROWS(C$5:C2313)),"""")"),"")</f>
        <v/>
      </c>
      <c r="D23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Helper'!$F$5:$F$3004,"""")&lt;&gt;""""),ROWS(D$5:D2313)),"""")"),"")</f>
        <v/>
      </c>
      <c r="E23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Helper'!$F$5:$F$3004,"""")&lt;&gt;""""),ROWS(E$5:E2313)),"""")"),"")</f>
        <v/>
      </c>
      <c r="F23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Helper'!$F$5:$F$3004,"""")&lt;&gt;""""),ROWS(F$5:F2313)),IF(AND(LEFT(x,5)=""Pag"&amp;"e "",ISERROR(SEARCH(""–"",x))),x&amp;""–""&amp;REGEXEXTRACT(x,""[0-9]+$""),x)),"""")"),"")</f>
        <v/>
      </c>
      <c r="G2313" s="163"/>
      <c r="H23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Helper'!$F$5:$F$3004,"""")&lt;&gt;""""),ROWS(H$5:H2313)),"""")"),"")</f>
        <v/>
      </c>
    </row>
    <row r="2314" ht="15.75" customHeight="1">
      <c r="A23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Helper'!$F$5:$F$3004,"""")&lt;&gt;""""),ROWS(A$5:A2314)),"""")"),"")</f>
        <v/>
      </c>
      <c r="B23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Helper'!$F$5:$F$3004,"""")&lt;&gt;""""),ROWS(B$5:B2314)),"""")"),"")</f>
        <v/>
      </c>
      <c r="C23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Helper'!$F$5:$F$3004,"""")&lt;&gt;""""),ROWS(C$5:C2314)),"""")"),"")</f>
        <v/>
      </c>
      <c r="D23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Helper'!$F$5:$F$3004,"""")&lt;&gt;""""),ROWS(D$5:D2314)),"""")"),"")</f>
        <v/>
      </c>
      <c r="E23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Helper'!$F$5:$F$3004,"""")&lt;&gt;""""),ROWS(E$5:E2314)),"""")"),"")</f>
        <v/>
      </c>
      <c r="F23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Helper'!$F$5:$F$3004,"""")&lt;&gt;""""),ROWS(F$5:F2314)),IF(AND(LEFT(x,5)=""Pag"&amp;"e "",ISERROR(SEARCH(""–"",x))),x&amp;""–""&amp;REGEXEXTRACT(x,""[0-9]+$""),x)),"""")"),"")</f>
        <v/>
      </c>
      <c r="G2314" s="163"/>
      <c r="H23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Helper'!$F$5:$F$3004,"""")&lt;&gt;""""),ROWS(H$5:H2314)),"""")"),"")</f>
        <v/>
      </c>
    </row>
    <row r="2315" ht="15.75" customHeight="1">
      <c r="A23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Helper'!$F$5:$F$3004,"""")&lt;&gt;""""),ROWS(A$5:A2315)),"""")"),"")</f>
        <v/>
      </c>
      <c r="B23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Helper'!$F$5:$F$3004,"""")&lt;&gt;""""),ROWS(B$5:B2315)),"""")"),"")</f>
        <v/>
      </c>
      <c r="C23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Helper'!$F$5:$F$3004,"""")&lt;&gt;""""),ROWS(C$5:C2315)),"""")"),"")</f>
        <v/>
      </c>
      <c r="D23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Helper'!$F$5:$F$3004,"""")&lt;&gt;""""),ROWS(D$5:D2315)),"""")"),"")</f>
        <v/>
      </c>
      <c r="E23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Helper'!$F$5:$F$3004,"""")&lt;&gt;""""),ROWS(E$5:E2315)),"""")"),"")</f>
        <v/>
      </c>
      <c r="F23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Helper'!$F$5:$F$3004,"""")&lt;&gt;""""),ROWS(F$5:F2315)),IF(AND(LEFT(x,5)=""Pag"&amp;"e "",ISERROR(SEARCH(""–"",x))),x&amp;""–""&amp;REGEXEXTRACT(x,""[0-9]+$""),x)),"""")"),"")</f>
        <v/>
      </c>
      <c r="G2315" s="163"/>
      <c r="H23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Helper'!$F$5:$F$3004,"""")&lt;&gt;""""),ROWS(H$5:H2315)),"""")"),"")</f>
        <v/>
      </c>
    </row>
    <row r="2316" ht="15.75" customHeight="1">
      <c r="A23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Helper'!$F$5:$F$3004,"""")&lt;&gt;""""),ROWS(A$5:A2316)),"""")"),"")</f>
        <v/>
      </c>
      <c r="B23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Helper'!$F$5:$F$3004,"""")&lt;&gt;""""),ROWS(B$5:B2316)),"""")"),"")</f>
        <v/>
      </c>
      <c r="C23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Helper'!$F$5:$F$3004,"""")&lt;&gt;""""),ROWS(C$5:C2316)),"""")"),"")</f>
        <v/>
      </c>
      <c r="D23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Helper'!$F$5:$F$3004,"""")&lt;&gt;""""),ROWS(D$5:D2316)),"""")"),"")</f>
        <v/>
      </c>
      <c r="E23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Helper'!$F$5:$F$3004,"""")&lt;&gt;""""),ROWS(E$5:E2316)),"""")"),"")</f>
        <v/>
      </c>
      <c r="F23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Helper'!$F$5:$F$3004,"""")&lt;&gt;""""),ROWS(F$5:F2316)),IF(AND(LEFT(x,5)=""Pag"&amp;"e "",ISERROR(SEARCH(""–"",x))),x&amp;""–""&amp;REGEXEXTRACT(x,""[0-9]+$""),x)),"""")"),"")</f>
        <v/>
      </c>
      <c r="G2316" s="163"/>
      <c r="H23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Helper'!$F$5:$F$3004,"""")&lt;&gt;""""),ROWS(H$5:H2316)),"""")"),"")</f>
        <v/>
      </c>
    </row>
    <row r="2317" ht="15.75" customHeight="1">
      <c r="A23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Helper'!$F$5:$F$3004,"""")&lt;&gt;""""),ROWS(A$5:A2317)),"""")"),"")</f>
        <v/>
      </c>
      <c r="B23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Helper'!$F$5:$F$3004,"""")&lt;&gt;""""),ROWS(B$5:B2317)),"""")"),"")</f>
        <v/>
      </c>
      <c r="C23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Helper'!$F$5:$F$3004,"""")&lt;&gt;""""),ROWS(C$5:C2317)),"""")"),"")</f>
        <v/>
      </c>
      <c r="D23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Helper'!$F$5:$F$3004,"""")&lt;&gt;""""),ROWS(D$5:D2317)),"""")"),"")</f>
        <v/>
      </c>
      <c r="E23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Helper'!$F$5:$F$3004,"""")&lt;&gt;""""),ROWS(E$5:E2317)),"""")"),"")</f>
        <v/>
      </c>
      <c r="F23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Helper'!$F$5:$F$3004,"""")&lt;&gt;""""),ROWS(F$5:F2317)),IF(AND(LEFT(x,5)=""Pag"&amp;"e "",ISERROR(SEARCH(""–"",x))),x&amp;""–""&amp;REGEXEXTRACT(x,""[0-9]+$""),x)),"""")"),"")</f>
        <v/>
      </c>
      <c r="G2317" s="163"/>
      <c r="H23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Helper'!$F$5:$F$3004,"""")&lt;&gt;""""),ROWS(H$5:H2317)),"""")"),"")</f>
        <v/>
      </c>
    </row>
    <row r="2318" ht="15.75" customHeight="1">
      <c r="A23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Helper'!$F$5:$F$3004,"""")&lt;&gt;""""),ROWS(A$5:A2318)),"""")"),"")</f>
        <v/>
      </c>
      <c r="B23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Helper'!$F$5:$F$3004,"""")&lt;&gt;""""),ROWS(B$5:B2318)),"""")"),"")</f>
        <v/>
      </c>
      <c r="C23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Helper'!$F$5:$F$3004,"""")&lt;&gt;""""),ROWS(C$5:C2318)),"""")"),"")</f>
        <v/>
      </c>
      <c r="D23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Helper'!$F$5:$F$3004,"""")&lt;&gt;""""),ROWS(D$5:D2318)),"""")"),"")</f>
        <v/>
      </c>
      <c r="E23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Helper'!$F$5:$F$3004,"""")&lt;&gt;""""),ROWS(E$5:E2318)),"""")"),"")</f>
        <v/>
      </c>
      <c r="F23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Helper'!$F$5:$F$3004,"""")&lt;&gt;""""),ROWS(F$5:F2318)),IF(AND(LEFT(x,5)=""Pag"&amp;"e "",ISERROR(SEARCH(""–"",x))),x&amp;""–""&amp;REGEXEXTRACT(x,""[0-9]+$""),x)),"""")"),"")</f>
        <v/>
      </c>
      <c r="G2318" s="163"/>
      <c r="H23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Helper'!$F$5:$F$3004,"""")&lt;&gt;""""),ROWS(H$5:H2318)),"""")"),"")</f>
        <v/>
      </c>
    </row>
    <row r="2319" ht="15.75" customHeight="1">
      <c r="A23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Helper'!$F$5:$F$3004,"""")&lt;&gt;""""),ROWS(A$5:A2319)),"""")"),"")</f>
        <v/>
      </c>
      <c r="B23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Helper'!$F$5:$F$3004,"""")&lt;&gt;""""),ROWS(B$5:B2319)),"""")"),"")</f>
        <v/>
      </c>
      <c r="C23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Helper'!$F$5:$F$3004,"""")&lt;&gt;""""),ROWS(C$5:C2319)),"""")"),"")</f>
        <v/>
      </c>
      <c r="D23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Helper'!$F$5:$F$3004,"""")&lt;&gt;""""),ROWS(D$5:D2319)),"""")"),"")</f>
        <v/>
      </c>
      <c r="E23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Helper'!$F$5:$F$3004,"""")&lt;&gt;""""),ROWS(E$5:E2319)),"""")"),"")</f>
        <v/>
      </c>
      <c r="F23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Helper'!$F$5:$F$3004,"""")&lt;&gt;""""),ROWS(F$5:F2319)),IF(AND(LEFT(x,5)=""Pag"&amp;"e "",ISERROR(SEARCH(""–"",x))),x&amp;""–""&amp;REGEXEXTRACT(x,""[0-9]+$""),x)),"""")"),"")</f>
        <v/>
      </c>
      <c r="G2319" s="163"/>
      <c r="H23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Helper'!$F$5:$F$3004,"""")&lt;&gt;""""),ROWS(H$5:H2319)),"""")"),"")</f>
        <v/>
      </c>
    </row>
    <row r="2320" ht="15.75" customHeight="1">
      <c r="A23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Helper'!$F$5:$F$3004,"""")&lt;&gt;""""),ROWS(A$5:A2320)),"""")"),"")</f>
        <v/>
      </c>
      <c r="B23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Helper'!$F$5:$F$3004,"""")&lt;&gt;""""),ROWS(B$5:B2320)),"""")"),"")</f>
        <v/>
      </c>
      <c r="C23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Helper'!$F$5:$F$3004,"""")&lt;&gt;""""),ROWS(C$5:C2320)),"""")"),"")</f>
        <v/>
      </c>
      <c r="D23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Helper'!$F$5:$F$3004,"""")&lt;&gt;""""),ROWS(D$5:D2320)),"""")"),"")</f>
        <v/>
      </c>
      <c r="E23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Helper'!$F$5:$F$3004,"""")&lt;&gt;""""),ROWS(E$5:E2320)),"""")"),"")</f>
        <v/>
      </c>
      <c r="F23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Helper'!$F$5:$F$3004,"""")&lt;&gt;""""),ROWS(F$5:F2320)),IF(AND(LEFT(x,5)=""Pag"&amp;"e "",ISERROR(SEARCH(""–"",x))),x&amp;""–""&amp;REGEXEXTRACT(x,""[0-9]+$""),x)),"""")"),"")</f>
        <v/>
      </c>
      <c r="G2320" s="163"/>
      <c r="H23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Helper'!$F$5:$F$3004,"""")&lt;&gt;""""),ROWS(H$5:H2320)),"""")"),"")</f>
        <v/>
      </c>
    </row>
    <row r="2321" ht="15.75" customHeight="1">
      <c r="A23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Helper'!$F$5:$F$3004,"""")&lt;&gt;""""),ROWS(A$5:A2321)),"""")"),"")</f>
        <v/>
      </c>
      <c r="B23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Helper'!$F$5:$F$3004,"""")&lt;&gt;""""),ROWS(B$5:B2321)),"""")"),"")</f>
        <v/>
      </c>
      <c r="C23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Helper'!$F$5:$F$3004,"""")&lt;&gt;""""),ROWS(C$5:C2321)),"""")"),"")</f>
        <v/>
      </c>
      <c r="D23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Helper'!$F$5:$F$3004,"""")&lt;&gt;""""),ROWS(D$5:D2321)),"""")"),"")</f>
        <v/>
      </c>
      <c r="E23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Helper'!$F$5:$F$3004,"""")&lt;&gt;""""),ROWS(E$5:E2321)),"""")"),"")</f>
        <v/>
      </c>
      <c r="F23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Helper'!$F$5:$F$3004,"""")&lt;&gt;""""),ROWS(F$5:F2321)),IF(AND(LEFT(x,5)=""Pag"&amp;"e "",ISERROR(SEARCH(""–"",x))),x&amp;""–""&amp;REGEXEXTRACT(x,""[0-9]+$""),x)),"""")"),"")</f>
        <v/>
      </c>
      <c r="G2321" s="163"/>
      <c r="H23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Helper'!$F$5:$F$3004,"""")&lt;&gt;""""),ROWS(H$5:H2321)),"""")"),"")</f>
        <v/>
      </c>
    </row>
    <row r="2322" ht="15.75" customHeight="1">
      <c r="A23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Helper'!$F$5:$F$3004,"""")&lt;&gt;""""),ROWS(A$5:A2322)),"""")"),"")</f>
        <v/>
      </c>
      <c r="B23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Helper'!$F$5:$F$3004,"""")&lt;&gt;""""),ROWS(B$5:B2322)),"""")"),"")</f>
        <v/>
      </c>
      <c r="C23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Helper'!$F$5:$F$3004,"""")&lt;&gt;""""),ROWS(C$5:C2322)),"""")"),"")</f>
        <v/>
      </c>
      <c r="D23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Helper'!$F$5:$F$3004,"""")&lt;&gt;""""),ROWS(D$5:D2322)),"""")"),"")</f>
        <v/>
      </c>
      <c r="E23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Helper'!$F$5:$F$3004,"""")&lt;&gt;""""),ROWS(E$5:E2322)),"""")"),"")</f>
        <v/>
      </c>
      <c r="F23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Helper'!$F$5:$F$3004,"""")&lt;&gt;""""),ROWS(F$5:F2322)),IF(AND(LEFT(x,5)=""Pag"&amp;"e "",ISERROR(SEARCH(""–"",x))),x&amp;""–""&amp;REGEXEXTRACT(x,""[0-9]+$""),x)),"""")"),"")</f>
        <v/>
      </c>
      <c r="G2322" s="163"/>
      <c r="H23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Helper'!$F$5:$F$3004,"""")&lt;&gt;""""),ROWS(H$5:H2322)),"""")"),"")</f>
        <v/>
      </c>
    </row>
    <row r="2323" ht="15.75" customHeight="1">
      <c r="A23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Helper'!$F$5:$F$3004,"""")&lt;&gt;""""),ROWS(A$5:A2323)),"""")"),"")</f>
        <v/>
      </c>
      <c r="B23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Helper'!$F$5:$F$3004,"""")&lt;&gt;""""),ROWS(B$5:B2323)),"""")"),"")</f>
        <v/>
      </c>
      <c r="C23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Helper'!$F$5:$F$3004,"""")&lt;&gt;""""),ROWS(C$5:C2323)),"""")"),"")</f>
        <v/>
      </c>
      <c r="D23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Helper'!$F$5:$F$3004,"""")&lt;&gt;""""),ROWS(D$5:D2323)),"""")"),"")</f>
        <v/>
      </c>
      <c r="E23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Helper'!$F$5:$F$3004,"""")&lt;&gt;""""),ROWS(E$5:E2323)),"""")"),"")</f>
        <v/>
      </c>
      <c r="F23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Helper'!$F$5:$F$3004,"""")&lt;&gt;""""),ROWS(F$5:F2323)),IF(AND(LEFT(x,5)=""Pag"&amp;"e "",ISERROR(SEARCH(""–"",x))),x&amp;""–""&amp;REGEXEXTRACT(x,""[0-9]+$""),x)),"""")"),"")</f>
        <v/>
      </c>
      <c r="G2323" s="163"/>
      <c r="H23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Helper'!$F$5:$F$3004,"""")&lt;&gt;""""),ROWS(H$5:H2323)),"""")"),"")</f>
        <v/>
      </c>
    </row>
    <row r="2324" ht="15.75" customHeight="1">
      <c r="A23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Helper'!$F$5:$F$3004,"""")&lt;&gt;""""),ROWS(A$5:A2324)),"""")"),"")</f>
        <v/>
      </c>
      <c r="B23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Helper'!$F$5:$F$3004,"""")&lt;&gt;""""),ROWS(B$5:B2324)),"""")"),"")</f>
        <v/>
      </c>
      <c r="C23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Helper'!$F$5:$F$3004,"""")&lt;&gt;""""),ROWS(C$5:C2324)),"""")"),"")</f>
        <v/>
      </c>
      <c r="D23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Helper'!$F$5:$F$3004,"""")&lt;&gt;""""),ROWS(D$5:D2324)),"""")"),"")</f>
        <v/>
      </c>
      <c r="E23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Helper'!$F$5:$F$3004,"""")&lt;&gt;""""),ROWS(E$5:E2324)),"""")"),"")</f>
        <v/>
      </c>
      <c r="F23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Helper'!$F$5:$F$3004,"""")&lt;&gt;""""),ROWS(F$5:F2324)),IF(AND(LEFT(x,5)=""Pag"&amp;"e "",ISERROR(SEARCH(""–"",x))),x&amp;""–""&amp;REGEXEXTRACT(x,""[0-9]+$""),x)),"""")"),"")</f>
        <v/>
      </c>
      <c r="G2324" s="163"/>
      <c r="H23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Helper'!$F$5:$F$3004,"""")&lt;&gt;""""),ROWS(H$5:H2324)),"""")"),"")</f>
        <v/>
      </c>
    </row>
    <row r="2325" ht="15.75" customHeight="1">
      <c r="A23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Helper'!$F$5:$F$3004,"""")&lt;&gt;""""),ROWS(A$5:A2325)),"""")"),"")</f>
        <v/>
      </c>
      <c r="B23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Helper'!$F$5:$F$3004,"""")&lt;&gt;""""),ROWS(B$5:B2325)),"""")"),"")</f>
        <v/>
      </c>
      <c r="C23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Helper'!$F$5:$F$3004,"""")&lt;&gt;""""),ROWS(C$5:C2325)),"""")"),"")</f>
        <v/>
      </c>
      <c r="D23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Helper'!$F$5:$F$3004,"""")&lt;&gt;""""),ROWS(D$5:D2325)),"""")"),"")</f>
        <v/>
      </c>
      <c r="E23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Helper'!$F$5:$F$3004,"""")&lt;&gt;""""),ROWS(E$5:E2325)),"""")"),"")</f>
        <v/>
      </c>
      <c r="F23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Helper'!$F$5:$F$3004,"""")&lt;&gt;""""),ROWS(F$5:F2325)),IF(AND(LEFT(x,5)=""Pag"&amp;"e "",ISERROR(SEARCH(""–"",x))),x&amp;""–""&amp;REGEXEXTRACT(x,""[0-9]+$""),x)),"""")"),"")</f>
        <v/>
      </c>
      <c r="G2325" s="163"/>
      <c r="H23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Helper'!$F$5:$F$3004,"""")&lt;&gt;""""),ROWS(H$5:H2325)),"""")"),"")</f>
        <v/>
      </c>
    </row>
    <row r="2326" ht="15.75" customHeight="1">
      <c r="A23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Helper'!$F$5:$F$3004,"""")&lt;&gt;""""),ROWS(A$5:A2326)),"""")"),"")</f>
        <v/>
      </c>
      <c r="B23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Helper'!$F$5:$F$3004,"""")&lt;&gt;""""),ROWS(B$5:B2326)),"""")"),"")</f>
        <v/>
      </c>
      <c r="C23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Helper'!$F$5:$F$3004,"""")&lt;&gt;""""),ROWS(C$5:C2326)),"""")"),"")</f>
        <v/>
      </c>
      <c r="D23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Helper'!$F$5:$F$3004,"""")&lt;&gt;""""),ROWS(D$5:D2326)),"""")"),"")</f>
        <v/>
      </c>
      <c r="E23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Helper'!$F$5:$F$3004,"""")&lt;&gt;""""),ROWS(E$5:E2326)),"""")"),"")</f>
        <v/>
      </c>
      <c r="F23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Helper'!$F$5:$F$3004,"""")&lt;&gt;""""),ROWS(F$5:F2326)),IF(AND(LEFT(x,5)=""Pag"&amp;"e "",ISERROR(SEARCH(""–"",x))),x&amp;""–""&amp;REGEXEXTRACT(x,""[0-9]+$""),x)),"""")"),"")</f>
        <v/>
      </c>
      <c r="G2326" s="163"/>
      <c r="H23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Helper'!$F$5:$F$3004,"""")&lt;&gt;""""),ROWS(H$5:H2326)),"""")"),"")</f>
        <v/>
      </c>
    </row>
    <row r="2327" ht="15.75" customHeight="1">
      <c r="A23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Helper'!$F$5:$F$3004,"""")&lt;&gt;""""),ROWS(A$5:A2327)),"""")"),"")</f>
        <v/>
      </c>
      <c r="B23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Helper'!$F$5:$F$3004,"""")&lt;&gt;""""),ROWS(B$5:B2327)),"""")"),"")</f>
        <v/>
      </c>
      <c r="C23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Helper'!$F$5:$F$3004,"""")&lt;&gt;""""),ROWS(C$5:C2327)),"""")"),"")</f>
        <v/>
      </c>
      <c r="D23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Helper'!$F$5:$F$3004,"""")&lt;&gt;""""),ROWS(D$5:D2327)),"""")"),"")</f>
        <v/>
      </c>
      <c r="E23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Helper'!$F$5:$F$3004,"""")&lt;&gt;""""),ROWS(E$5:E2327)),"""")"),"")</f>
        <v/>
      </c>
      <c r="F23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Helper'!$F$5:$F$3004,"""")&lt;&gt;""""),ROWS(F$5:F2327)),IF(AND(LEFT(x,5)=""Pag"&amp;"e "",ISERROR(SEARCH(""–"",x))),x&amp;""–""&amp;REGEXEXTRACT(x,""[0-9]+$""),x)),"""")"),"")</f>
        <v/>
      </c>
      <c r="G2327" s="163"/>
      <c r="H23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Helper'!$F$5:$F$3004,"""")&lt;&gt;""""),ROWS(H$5:H2327)),"""")"),"")</f>
        <v/>
      </c>
    </row>
    <row r="2328" ht="15.75" customHeight="1">
      <c r="A23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Helper'!$F$5:$F$3004,"""")&lt;&gt;""""),ROWS(A$5:A2328)),"""")"),"")</f>
        <v/>
      </c>
      <c r="B23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Helper'!$F$5:$F$3004,"""")&lt;&gt;""""),ROWS(B$5:B2328)),"""")"),"")</f>
        <v/>
      </c>
      <c r="C23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Helper'!$F$5:$F$3004,"""")&lt;&gt;""""),ROWS(C$5:C2328)),"""")"),"")</f>
        <v/>
      </c>
      <c r="D23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Helper'!$F$5:$F$3004,"""")&lt;&gt;""""),ROWS(D$5:D2328)),"""")"),"")</f>
        <v/>
      </c>
      <c r="E23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Helper'!$F$5:$F$3004,"""")&lt;&gt;""""),ROWS(E$5:E2328)),"""")"),"")</f>
        <v/>
      </c>
      <c r="F23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Helper'!$F$5:$F$3004,"""")&lt;&gt;""""),ROWS(F$5:F2328)),IF(AND(LEFT(x,5)=""Pag"&amp;"e "",ISERROR(SEARCH(""–"",x))),x&amp;""–""&amp;REGEXEXTRACT(x,""[0-9]+$""),x)),"""")"),"")</f>
        <v/>
      </c>
      <c r="G2328" s="163"/>
      <c r="H23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Helper'!$F$5:$F$3004,"""")&lt;&gt;""""),ROWS(H$5:H2328)),"""")"),"")</f>
        <v/>
      </c>
    </row>
    <row r="2329" ht="15.75" customHeight="1">
      <c r="A23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Helper'!$F$5:$F$3004,"""")&lt;&gt;""""),ROWS(A$5:A2329)),"""")"),"")</f>
        <v/>
      </c>
      <c r="B23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Helper'!$F$5:$F$3004,"""")&lt;&gt;""""),ROWS(B$5:B2329)),"""")"),"")</f>
        <v/>
      </c>
      <c r="C23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Helper'!$F$5:$F$3004,"""")&lt;&gt;""""),ROWS(C$5:C2329)),"""")"),"")</f>
        <v/>
      </c>
      <c r="D23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Helper'!$F$5:$F$3004,"""")&lt;&gt;""""),ROWS(D$5:D2329)),"""")"),"")</f>
        <v/>
      </c>
      <c r="E23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Helper'!$F$5:$F$3004,"""")&lt;&gt;""""),ROWS(E$5:E2329)),"""")"),"")</f>
        <v/>
      </c>
      <c r="F23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Helper'!$F$5:$F$3004,"""")&lt;&gt;""""),ROWS(F$5:F2329)),IF(AND(LEFT(x,5)=""Pag"&amp;"e "",ISERROR(SEARCH(""–"",x))),x&amp;""–""&amp;REGEXEXTRACT(x,""[0-9]+$""),x)),"""")"),"")</f>
        <v/>
      </c>
      <c r="G2329" s="163"/>
      <c r="H23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Helper'!$F$5:$F$3004,"""")&lt;&gt;""""),ROWS(H$5:H2329)),"""")"),"")</f>
        <v/>
      </c>
    </row>
    <row r="2330" ht="15.75" customHeight="1">
      <c r="A23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Helper'!$F$5:$F$3004,"""")&lt;&gt;""""),ROWS(A$5:A2330)),"""")"),"")</f>
        <v/>
      </c>
      <c r="B23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Helper'!$F$5:$F$3004,"""")&lt;&gt;""""),ROWS(B$5:B2330)),"""")"),"")</f>
        <v/>
      </c>
      <c r="C23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Helper'!$F$5:$F$3004,"""")&lt;&gt;""""),ROWS(C$5:C2330)),"""")"),"")</f>
        <v/>
      </c>
      <c r="D23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Helper'!$F$5:$F$3004,"""")&lt;&gt;""""),ROWS(D$5:D2330)),"""")"),"")</f>
        <v/>
      </c>
      <c r="E23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Helper'!$F$5:$F$3004,"""")&lt;&gt;""""),ROWS(E$5:E2330)),"""")"),"")</f>
        <v/>
      </c>
      <c r="F23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Helper'!$F$5:$F$3004,"""")&lt;&gt;""""),ROWS(F$5:F2330)),IF(AND(LEFT(x,5)=""Pag"&amp;"e "",ISERROR(SEARCH(""–"",x))),x&amp;""–""&amp;REGEXEXTRACT(x,""[0-9]+$""),x)),"""")"),"")</f>
        <v/>
      </c>
      <c r="G2330" s="163"/>
      <c r="H23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Helper'!$F$5:$F$3004,"""")&lt;&gt;""""),ROWS(H$5:H2330)),"""")"),"")</f>
        <v/>
      </c>
    </row>
    <row r="2331" ht="15.75" customHeight="1">
      <c r="A23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Helper'!$F$5:$F$3004,"""")&lt;&gt;""""),ROWS(A$5:A2331)),"""")"),"")</f>
        <v/>
      </c>
      <c r="B23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Helper'!$F$5:$F$3004,"""")&lt;&gt;""""),ROWS(B$5:B2331)),"""")"),"")</f>
        <v/>
      </c>
      <c r="C23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Helper'!$F$5:$F$3004,"""")&lt;&gt;""""),ROWS(C$5:C2331)),"""")"),"")</f>
        <v/>
      </c>
      <c r="D23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Helper'!$F$5:$F$3004,"""")&lt;&gt;""""),ROWS(D$5:D2331)),"""")"),"")</f>
        <v/>
      </c>
      <c r="E23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Helper'!$F$5:$F$3004,"""")&lt;&gt;""""),ROWS(E$5:E2331)),"""")"),"")</f>
        <v/>
      </c>
      <c r="F23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Helper'!$F$5:$F$3004,"""")&lt;&gt;""""),ROWS(F$5:F2331)),IF(AND(LEFT(x,5)=""Pag"&amp;"e "",ISERROR(SEARCH(""–"",x))),x&amp;""–""&amp;REGEXEXTRACT(x,""[0-9]+$""),x)),"""")"),"")</f>
        <v/>
      </c>
      <c r="G2331" s="163"/>
      <c r="H23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Helper'!$F$5:$F$3004,"""")&lt;&gt;""""),ROWS(H$5:H2331)),"""")"),"")</f>
        <v/>
      </c>
    </row>
    <row r="2332" ht="15.75" customHeight="1">
      <c r="A23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Helper'!$F$5:$F$3004,"""")&lt;&gt;""""),ROWS(A$5:A2332)),"""")"),"")</f>
        <v/>
      </c>
      <c r="B23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Helper'!$F$5:$F$3004,"""")&lt;&gt;""""),ROWS(B$5:B2332)),"""")"),"")</f>
        <v/>
      </c>
      <c r="C23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Helper'!$F$5:$F$3004,"""")&lt;&gt;""""),ROWS(C$5:C2332)),"""")"),"")</f>
        <v/>
      </c>
      <c r="D23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Helper'!$F$5:$F$3004,"""")&lt;&gt;""""),ROWS(D$5:D2332)),"""")"),"")</f>
        <v/>
      </c>
      <c r="E23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Helper'!$F$5:$F$3004,"""")&lt;&gt;""""),ROWS(E$5:E2332)),"""")"),"")</f>
        <v/>
      </c>
      <c r="F23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Helper'!$F$5:$F$3004,"""")&lt;&gt;""""),ROWS(F$5:F2332)),IF(AND(LEFT(x,5)=""Pag"&amp;"e "",ISERROR(SEARCH(""–"",x))),x&amp;""–""&amp;REGEXEXTRACT(x,""[0-9]+$""),x)),"""")"),"")</f>
        <v/>
      </c>
      <c r="G2332" s="163"/>
      <c r="H23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Helper'!$F$5:$F$3004,"""")&lt;&gt;""""),ROWS(H$5:H2332)),"""")"),"")</f>
        <v/>
      </c>
    </row>
    <row r="2333" ht="15.75" customHeight="1">
      <c r="A23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Helper'!$F$5:$F$3004,"""")&lt;&gt;""""),ROWS(A$5:A2333)),"""")"),"")</f>
        <v/>
      </c>
      <c r="B23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Helper'!$F$5:$F$3004,"""")&lt;&gt;""""),ROWS(B$5:B2333)),"""")"),"")</f>
        <v/>
      </c>
      <c r="C23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Helper'!$F$5:$F$3004,"""")&lt;&gt;""""),ROWS(C$5:C2333)),"""")"),"")</f>
        <v/>
      </c>
      <c r="D23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Helper'!$F$5:$F$3004,"""")&lt;&gt;""""),ROWS(D$5:D2333)),"""")"),"")</f>
        <v/>
      </c>
      <c r="E23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Helper'!$F$5:$F$3004,"""")&lt;&gt;""""),ROWS(E$5:E2333)),"""")"),"")</f>
        <v/>
      </c>
      <c r="F23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Helper'!$F$5:$F$3004,"""")&lt;&gt;""""),ROWS(F$5:F2333)),IF(AND(LEFT(x,5)=""Pag"&amp;"e "",ISERROR(SEARCH(""–"",x))),x&amp;""–""&amp;REGEXEXTRACT(x,""[0-9]+$""),x)),"""")"),"")</f>
        <v/>
      </c>
      <c r="G2333" s="163"/>
      <c r="H23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Helper'!$F$5:$F$3004,"""")&lt;&gt;""""),ROWS(H$5:H2333)),"""")"),"")</f>
        <v/>
      </c>
    </row>
    <row r="2334" ht="15.75" customHeight="1">
      <c r="A23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Helper'!$F$5:$F$3004,"""")&lt;&gt;""""),ROWS(A$5:A2334)),"""")"),"")</f>
        <v/>
      </c>
      <c r="B23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Helper'!$F$5:$F$3004,"""")&lt;&gt;""""),ROWS(B$5:B2334)),"""")"),"")</f>
        <v/>
      </c>
      <c r="C23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Helper'!$F$5:$F$3004,"""")&lt;&gt;""""),ROWS(C$5:C2334)),"""")"),"")</f>
        <v/>
      </c>
      <c r="D23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Helper'!$F$5:$F$3004,"""")&lt;&gt;""""),ROWS(D$5:D2334)),"""")"),"")</f>
        <v/>
      </c>
      <c r="E23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Helper'!$F$5:$F$3004,"""")&lt;&gt;""""),ROWS(E$5:E2334)),"""")"),"")</f>
        <v/>
      </c>
      <c r="F23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Helper'!$F$5:$F$3004,"""")&lt;&gt;""""),ROWS(F$5:F2334)),IF(AND(LEFT(x,5)=""Pag"&amp;"e "",ISERROR(SEARCH(""–"",x))),x&amp;""–""&amp;REGEXEXTRACT(x,""[0-9]+$""),x)),"""")"),"")</f>
        <v/>
      </c>
      <c r="G2334" s="163"/>
      <c r="H23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Helper'!$F$5:$F$3004,"""")&lt;&gt;""""),ROWS(H$5:H2334)),"""")"),"")</f>
        <v/>
      </c>
    </row>
    <row r="2335" ht="15.75" customHeight="1">
      <c r="A23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Helper'!$F$5:$F$3004,"""")&lt;&gt;""""),ROWS(A$5:A2335)),"""")"),"")</f>
        <v/>
      </c>
      <c r="B23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Helper'!$F$5:$F$3004,"""")&lt;&gt;""""),ROWS(B$5:B2335)),"""")"),"")</f>
        <v/>
      </c>
      <c r="C23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Helper'!$F$5:$F$3004,"""")&lt;&gt;""""),ROWS(C$5:C2335)),"""")"),"")</f>
        <v/>
      </c>
      <c r="D23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Helper'!$F$5:$F$3004,"""")&lt;&gt;""""),ROWS(D$5:D2335)),"""")"),"")</f>
        <v/>
      </c>
      <c r="E23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Helper'!$F$5:$F$3004,"""")&lt;&gt;""""),ROWS(E$5:E2335)),"""")"),"")</f>
        <v/>
      </c>
      <c r="F23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Helper'!$F$5:$F$3004,"""")&lt;&gt;""""),ROWS(F$5:F2335)),IF(AND(LEFT(x,5)=""Pag"&amp;"e "",ISERROR(SEARCH(""–"",x))),x&amp;""–""&amp;REGEXEXTRACT(x,""[0-9]+$""),x)),"""")"),"")</f>
        <v/>
      </c>
      <c r="G2335" s="163"/>
      <c r="H23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Helper'!$F$5:$F$3004,"""")&lt;&gt;""""),ROWS(H$5:H2335)),"""")"),"")</f>
        <v/>
      </c>
    </row>
    <row r="2336" ht="15.75" customHeight="1">
      <c r="A23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Helper'!$F$5:$F$3004,"""")&lt;&gt;""""),ROWS(A$5:A2336)),"""")"),"")</f>
        <v/>
      </c>
      <c r="B23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Helper'!$F$5:$F$3004,"""")&lt;&gt;""""),ROWS(B$5:B2336)),"""")"),"")</f>
        <v/>
      </c>
      <c r="C23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Helper'!$F$5:$F$3004,"""")&lt;&gt;""""),ROWS(C$5:C2336)),"""")"),"")</f>
        <v/>
      </c>
      <c r="D23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Helper'!$F$5:$F$3004,"""")&lt;&gt;""""),ROWS(D$5:D2336)),"""")"),"")</f>
        <v/>
      </c>
      <c r="E23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Helper'!$F$5:$F$3004,"""")&lt;&gt;""""),ROWS(E$5:E2336)),"""")"),"")</f>
        <v/>
      </c>
      <c r="F23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Helper'!$F$5:$F$3004,"""")&lt;&gt;""""),ROWS(F$5:F2336)),IF(AND(LEFT(x,5)=""Pag"&amp;"e "",ISERROR(SEARCH(""–"",x))),x&amp;""–""&amp;REGEXEXTRACT(x,""[0-9]+$""),x)),"""")"),"")</f>
        <v/>
      </c>
      <c r="G2336" s="163"/>
      <c r="H23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Helper'!$F$5:$F$3004,"""")&lt;&gt;""""),ROWS(H$5:H2336)),"""")"),"")</f>
        <v/>
      </c>
    </row>
    <row r="2337" ht="15.75" customHeight="1">
      <c r="A23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Helper'!$F$5:$F$3004,"""")&lt;&gt;""""),ROWS(A$5:A2337)),"""")"),"")</f>
        <v/>
      </c>
      <c r="B23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Helper'!$F$5:$F$3004,"""")&lt;&gt;""""),ROWS(B$5:B2337)),"""")"),"")</f>
        <v/>
      </c>
      <c r="C23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Helper'!$F$5:$F$3004,"""")&lt;&gt;""""),ROWS(C$5:C2337)),"""")"),"")</f>
        <v/>
      </c>
      <c r="D23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Helper'!$F$5:$F$3004,"""")&lt;&gt;""""),ROWS(D$5:D2337)),"""")"),"")</f>
        <v/>
      </c>
      <c r="E23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Helper'!$F$5:$F$3004,"""")&lt;&gt;""""),ROWS(E$5:E2337)),"""")"),"")</f>
        <v/>
      </c>
      <c r="F23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Helper'!$F$5:$F$3004,"""")&lt;&gt;""""),ROWS(F$5:F2337)),IF(AND(LEFT(x,5)=""Pag"&amp;"e "",ISERROR(SEARCH(""–"",x))),x&amp;""–""&amp;REGEXEXTRACT(x,""[0-9]+$""),x)),"""")"),"")</f>
        <v/>
      </c>
      <c r="G2337" s="163"/>
      <c r="H23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Helper'!$F$5:$F$3004,"""")&lt;&gt;""""),ROWS(H$5:H2337)),"""")"),"")</f>
        <v/>
      </c>
    </row>
    <row r="2338" ht="15.75" customHeight="1">
      <c r="A23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Helper'!$F$5:$F$3004,"""")&lt;&gt;""""),ROWS(A$5:A2338)),"""")"),"")</f>
        <v/>
      </c>
      <c r="B23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Helper'!$F$5:$F$3004,"""")&lt;&gt;""""),ROWS(B$5:B2338)),"""")"),"")</f>
        <v/>
      </c>
      <c r="C23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Helper'!$F$5:$F$3004,"""")&lt;&gt;""""),ROWS(C$5:C2338)),"""")"),"")</f>
        <v/>
      </c>
      <c r="D23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Helper'!$F$5:$F$3004,"""")&lt;&gt;""""),ROWS(D$5:D2338)),"""")"),"")</f>
        <v/>
      </c>
      <c r="E23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Helper'!$F$5:$F$3004,"""")&lt;&gt;""""),ROWS(E$5:E2338)),"""")"),"")</f>
        <v/>
      </c>
      <c r="F23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Helper'!$F$5:$F$3004,"""")&lt;&gt;""""),ROWS(F$5:F2338)),IF(AND(LEFT(x,5)=""Pag"&amp;"e "",ISERROR(SEARCH(""–"",x))),x&amp;""–""&amp;REGEXEXTRACT(x,""[0-9]+$""),x)),"""")"),"")</f>
        <v/>
      </c>
      <c r="G2338" s="163"/>
      <c r="H23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Helper'!$F$5:$F$3004,"""")&lt;&gt;""""),ROWS(H$5:H2338)),"""")"),"")</f>
        <v/>
      </c>
    </row>
    <row r="2339" ht="15.75" customHeight="1">
      <c r="A23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Helper'!$F$5:$F$3004,"""")&lt;&gt;""""),ROWS(A$5:A2339)),"""")"),"")</f>
        <v/>
      </c>
      <c r="B23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Helper'!$F$5:$F$3004,"""")&lt;&gt;""""),ROWS(B$5:B2339)),"""")"),"")</f>
        <v/>
      </c>
      <c r="C23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Helper'!$F$5:$F$3004,"""")&lt;&gt;""""),ROWS(C$5:C2339)),"""")"),"")</f>
        <v/>
      </c>
      <c r="D23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Helper'!$F$5:$F$3004,"""")&lt;&gt;""""),ROWS(D$5:D2339)),"""")"),"")</f>
        <v/>
      </c>
      <c r="E23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Helper'!$F$5:$F$3004,"""")&lt;&gt;""""),ROWS(E$5:E2339)),"""")"),"")</f>
        <v/>
      </c>
      <c r="F23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Helper'!$F$5:$F$3004,"""")&lt;&gt;""""),ROWS(F$5:F2339)),IF(AND(LEFT(x,5)=""Pag"&amp;"e "",ISERROR(SEARCH(""–"",x))),x&amp;""–""&amp;REGEXEXTRACT(x,""[0-9]+$""),x)),"""")"),"")</f>
        <v/>
      </c>
      <c r="G2339" s="163"/>
      <c r="H23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Helper'!$F$5:$F$3004,"""")&lt;&gt;""""),ROWS(H$5:H2339)),"""")"),"")</f>
        <v/>
      </c>
    </row>
    <row r="2340" ht="15.75" customHeight="1">
      <c r="A23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Helper'!$F$5:$F$3004,"""")&lt;&gt;""""),ROWS(A$5:A2340)),"""")"),"")</f>
        <v/>
      </c>
      <c r="B23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Helper'!$F$5:$F$3004,"""")&lt;&gt;""""),ROWS(B$5:B2340)),"""")"),"")</f>
        <v/>
      </c>
      <c r="C23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Helper'!$F$5:$F$3004,"""")&lt;&gt;""""),ROWS(C$5:C2340)),"""")"),"")</f>
        <v/>
      </c>
      <c r="D23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Helper'!$F$5:$F$3004,"""")&lt;&gt;""""),ROWS(D$5:D2340)),"""")"),"")</f>
        <v/>
      </c>
      <c r="E23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Helper'!$F$5:$F$3004,"""")&lt;&gt;""""),ROWS(E$5:E2340)),"""")"),"")</f>
        <v/>
      </c>
      <c r="F23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Helper'!$F$5:$F$3004,"""")&lt;&gt;""""),ROWS(F$5:F2340)),IF(AND(LEFT(x,5)=""Pag"&amp;"e "",ISERROR(SEARCH(""–"",x))),x&amp;""–""&amp;REGEXEXTRACT(x,""[0-9]+$""),x)),"""")"),"")</f>
        <v/>
      </c>
      <c r="G2340" s="163"/>
      <c r="H23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Helper'!$F$5:$F$3004,"""")&lt;&gt;""""),ROWS(H$5:H2340)),"""")"),"")</f>
        <v/>
      </c>
    </row>
    <row r="2341" ht="15.75" customHeight="1">
      <c r="A23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Helper'!$F$5:$F$3004,"""")&lt;&gt;""""),ROWS(A$5:A2341)),"""")"),"")</f>
        <v/>
      </c>
      <c r="B23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Helper'!$F$5:$F$3004,"""")&lt;&gt;""""),ROWS(B$5:B2341)),"""")"),"")</f>
        <v/>
      </c>
      <c r="C23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Helper'!$F$5:$F$3004,"""")&lt;&gt;""""),ROWS(C$5:C2341)),"""")"),"")</f>
        <v/>
      </c>
      <c r="D23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Helper'!$F$5:$F$3004,"""")&lt;&gt;""""),ROWS(D$5:D2341)),"""")"),"")</f>
        <v/>
      </c>
      <c r="E23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Helper'!$F$5:$F$3004,"""")&lt;&gt;""""),ROWS(E$5:E2341)),"""")"),"")</f>
        <v/>
      </c>
      <c r="F23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Helper'!$F$5:$F$3004,"""")&lt;&gt;""""),ROWS(F$5:F2341)),IF(AND(LEFT(x,5)=""Pag"&amp;"e "",ISERROR(SEARCH(""–"",x))),x&amp;""–""&amp;REGEXEXTRACT(x,""[0-9]+$""),x)),"""")"),"")</f>
        <v/>
      </c>
      <c r="G2341" s="163"/>
      <c r="H23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Helper'!$F$5:$F$3004,"""")&lt;&gt;""""),ROWS(H$5:H2341)),"""")"),"")</f>
        <v/>
      </c>
    </row>
    <row r="2342" ht="15.75" customHeight="1">
      <c r="A23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Helper'!$F$5:$F$3004,"""")&lt;&gt;""""),ROWS(A$5:A2342)),"""")"),"")</f>
        <v/>
      </c>
      <c r="B23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Helper'!$F$5:$F$3004,"""")&lt;&gt;""""),ROWS(B$5:B2342)),"""")"),"")</f>
        <v/>
      </c>
      <c r="C23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Helper'!$F$5:$F$3004,"""")&lt;&gt;""""),ROWS(C$5:C2342)),"""")"),"")</f>
        <v/>
      </c>
      <c r="D23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Helper'!$F$5:$F$3004,"""")&lt;&gt;""""),ROWS(D$5:D2342)),"""")"),"")</f>
        <v/>
      </c>
      <c r="E23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Helper'!$F$5:$F$3004,"""")&lt;&gt;""""),ROWS(E$5:E2342)),"""")"),"")</f>
        <v/>
      </c>
      <c r="F23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Helper'!$F$5:$F$3004,"""")&lt;&gt;""""),ROWS(F$5:F2342)),IF(AND(LEFT(x,5)=""Pag"&amp;"e "",ISERROR(SEARCH(""–"",x))),x&amp;""–""&amp;REGEXEXTRACT(x,""[0-9]+$""),x)),"""")"),"")</f>
        <v/>
      </c>
      <c r="G2342" s="163"/>
      <c r="H23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Helper'!$F$5:$F$3004,"""")&lt;&gt;""""),ROWS(H$5:H2342)),"""")"),"")</f>
        <v/>
      </c>
    </row>
    <row r="2343" ht="15.75" customHeight="1">
      <c r="A23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Helper'!$F$5:$F$3004,"""")&lt;&gt;""""),ROWS(A$5:A2343)),"""")"),"")</f>
        <v/>
      </c>
      <c r="B23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Helper'!$F$5:$F$3004,"""")&lt;&gt;""""),ROWS(B$5:B2343)),"""")"),"")</f>
        <v/>
      </c>
      <c r="C23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Helper'!$F$5:$F$3004,"""")&lt;&gt;""""),ROWS(C$5:C2343)),"""")"),"")</f>
        <v/>
      </c>
      <c r="D23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Helper'!$F$5:$F$3004,"""")&lt;&gt;""""),ROWS(D$5:D2343)),"""")"),"")</f>
        <v/>
      </c>
      <c r="E23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Helper'!$F$5:$F$3004,"""")&lt;&gt;""""),ROWS(E$5:E2343)),"""")"),"")</f>
        <v/>
      </c>
      <c r="F23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Helper'!$F$5:$F$3004,"""")&lt;&gt;""""),ROWS(F$5:F2343)),IF(AND(LEFT(x,5)=""Pag"&amp;"e "",ISERROR(SEARCH(""–"",x))),x&amp;""–""&amp;REGEXEXTRACT(x,""[0-9]+$""),x)),"""")"),"")</f>
        <v/>
      </c>
      <c r="G2343" s="163"/>
      <c r="H23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Helper'!$F$5:$F$3004,"""")&lt;&gt;""""),ROWS(H$5:H2343)),"""")"),"")</f>
        <v/>
      </c>
    </row>
    <row r="2344" ht="15.75" customHeight="1">
      <c r="A23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Helper'!$F$5:$F$3004,"""")&lt;&gt;""""),ROWS(A$5:A2344)),"""")"),"")</f>
        <v/>
      </c>
      <c r="B23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Helper'!$F$5:$F$3004,"""")&lt;&gt;""""),ROWS(B$5:B2344)),"""")"),"")</f>
        <v/>
      </c>
      <c r="C23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Helper'!$F$5:$F$3004,"""")&lt;&gt;""""),ROWS(C$5:C2344)),"""")"),"")</f>
        <v/>
      </c>
      <c r="D23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Helper'!$F$5:$F$3004,"""")&lt;&gt;""""),ROWS(D$5:D2344)),"""")"),"")</f>
        <v/>
      </c>
      <c r="E23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Helper'!$F$5:$F$3004,"""")&lt;&gt;""""),ROWS(E$5:E2344)),"""")"),"")</f>
        <v/>
      </c>
      <c r="F23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Helper'!$F$5:$F$3004,"""")&lt;&gt;""""),ROWS(F$5:F2344)),IF(AND(LEFT(x,5)=""Pag"&amp;"e "",ISERROR(SEARCH(""–"",x))),x&amp;""–""&amp;REGEXEXTRACT(x,""[0-9]+$""),x)),"""")"),"")</f>
        <v/>
      </c>
      <c r="G2344" s="163"/>
      <c r="H23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Helper'!$F$5:$F$3004,"""")&lt;&gt;""""),ROWS(H$5:H2344)),"""")"),"")</f>
        <v/>
      </c>
    </row>
    <row r="2345" ht="15.75" customHeight="1">
      <c r="A23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Helper'!$F$5:$F$3004,"""")&lt;&gt;""""),ROWS(A$5:A2345)),"""")"),"")</f>
        <v/>
      </c>
      <c r="B23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Helper'!$F$5:$F$3004,"""")&lt;&gt;""""),ROWS(B$5:B2345)),"""")"),"")</f>
        <v/>
      </c>
      <c r="C23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Helper'!$F$5:$F$3004,"""")&lt;&gt;""""),ROWS(C$5:C2345)),"""")"),"")</f>
        <v/>
      </c>
      <c r="D23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Helper'!$F$5:$F$3004,"""")&lt;&gt;""""),ROWS(D$5:D2345)),"""")"),"")</f>
        <v/>
      </c>
      <c r="E23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Helper'!$F$5:$F$3004,"""")&lt;&gt;""""),ROWS(E$5:E2345)),"""")"),"")</f>
        <v/>
      </c>
      <c r="F23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Helper'!$F$5:$F$3004,"""")&lt;&gt;""""),ROWS(F$5:F2345)),IF(AND(LEFT(x,5)=""Pag"&amp;"e "",ISERROR(SEARCH(""–"",x))),x&amp;""–""&amp;REGEXEXTRACT(x,""[0-9]+$""),x)),"""")"),"")</f>
        <v/>
      </c>
      <c r="G2345" s="163"/>
      <c r="H23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Helper'!$F$5:$F$3004,"""")&lt;&gt;""""),ROWS(H$5:H2345)),"""")"),"")</f>
        <v/>
      </c>
    </row>
    <row r="2346" ht="15.75" customHeight="1">
      <c r="A23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Helper'!$F$5:$F$3004,"""")&lt;&gt;""""),ROWS(A$5:A2346)),"""")"),"")</f>
        <v/>
      </c>
      <c r="B23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Helper'!$F$5:$F$3004,"""")&lt;&gt;""""),ROWS(B$5:B2346)),"""")"),"")</f>
        <v/>
      </c>
      <c r="C23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Helper'!$F$5:$F$3004,"""")&lt;&gt;""""),ROWS(C$5:C2346)),"""")"),"")</f>
        <v/>
      </c>
      <c r="D23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Helper'!$F$5:$F$3004,"""")&lt;&gt;""""),ROWS(D$5:D2346)),"""")"),"")</f>
        <v/>
      </c>
      <c r="E23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Helper'!$F$5:$F$3004,"""")&lt;&gt;""""),ROWS(E$5:E2346)),"""")"),"")</f>
        <v/>
      </c>
      <c r="F23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Helper'!$F$5:$F$3004,"""")&lt;&gt;""""),ROWS(F$5:F2346)),IF(AND(LEFT(x,5)=""Pag"&amp;"e "",ISERROR(SEARCH(""–"",x))),x&amp;""–""&amp;REGEXEXTRACT(x,""[0-9]+$""),x)),"""")"),"")</f>
        <v/>
      </c>
      <c r="G2346" s="163"/>
      <c r="H23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Helper'!$F$5:$F$3004,"""")&lt;&gt;""""),ROWS(H$5:H2346)),"""")"),"")</f>
        <v/>
      </c>
    </row>
    <row r="2347" ht="15.75" customHeight="1">
      <c r="A23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Helper'!$F$5:$F$3004,"""")&lt;&gt;""""),ROWS(A$5:A2347)),"""")"),"")</f>
        <v/>
      </c>
      <c r="B23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Helper'!$F$5:$F$3004,"""")&lt;&gt;""""),ROWS(B$5:B2347)),"""")"),"")</f>
        <v/>
      </c>
      <c r="C23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Helper'!$F$5:$F$3004,"""")&lt;&gt;""""),ROWS(C$5:C2347)),"""")"),"")</f>
        <v/>
      </c>
      <c r="D23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Helper'!$F$5:$F$3004,"""")&lt;&gt;""""),ROWS(D$5:D2347)),"""")"),"")</f>
        <v/>
      </c>
      <c r="E23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Helper'!$F$5:$F$3004,"""")&lt;&gt;""""),ROWS(E$5:E2347)),"""")"),"")</f>
        <v/>
      </c>
      <c r="F23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Helper'!$F$5:$F$3004,"""")&lt;&gt;""""),ROWS(F$5:F2347)),IF(AND(LEFT(x,5)=""Pag"&amp;"e "",ISERROR(SEARCH(""–"",x))),x&amp;""–""&amp;REGEXEXTRACT(x,""[0-9]+$""),x)),"""")"),"")</f>
        <v/>
      </c>
      <c r="G2347" s="163"/>
      <c r="H23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Helper'!$F$5:$F$3004,"""")&lt;&gt;""""),ROWS(H$5:H2347)),"""")"),"")</f>
        <v/>
      </c>
    </row>
    <row r="2348" ht="15.75" customHeight="1">
      <c r="A23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Helper'!$F$5:$F$3004,"""")&lt;&gt;""""),ROWS(A$5:A2348)),"""")"),"")</f>
        <v/>
      </c>
      <c r="B23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Helper'!$F$5:$F$3004,"""")&lt;&gt;""""),ROWS(B$5:B2348)),"""")"),"")</f>
        <v/>
      </c>
      <c r="C23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Helper'!$F$5:$F$3004,"""")&lt;&gt;""""),ROWS(C$5:C2348)),"""")"),"")</f>
        <v/>
      </c>
      <c r="D23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Helper'!$F$5:$F$3004,"""")&lt;&gt;""""),ROWS(D$5:D2348)),"""")"),"")</f>
        <v/>
      </c>
      <c r="E23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Helper'!$F$5:$F$3004,"""")&lt;&gt;""""),ROWS(E$5:E2348)),"""")"),"")</f>
        <v/>
      </c>
      <c r="F23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Helper'!$F$5:$F$3004,"""")&lt;&gt;""""),ROWS(F$5:F2348)),IF(AND(LEFT(x,5)=""Pag"&amp;"e "",ISERROR(SEARCH(""–"",x))),x&amp;""–""&amp;REGEXEXTRACT(x,""[0-9]+$""),x)),"""")"),"")</f>
        <v/>
      </c>
      <c r="G2348" s="163"/>
      <c r="H23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Helper'!$F$5:$F$3004,"""")&lt;&gt;""""),ROWS(H$5:H2348)),"""")"),"")</f>
        <v/>
      </c>
    </row>
    <row r="2349" ht="15.75" customHeight="1">
      <c r="A23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Helper'!$F$5:$F$3004,"""")&lt;&gt;""""),ROWS(A$5:A2349)),"""")"),"")</f>
        <v/>
      </c>
      <c r="B23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Helper'!$F$5:$F$3004,"""")&lt;&gt;""""),ROWS(B$5:B2349)),"""")"),"")</f>
        <v/>
      </c>
      <c r="C23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Helper'!$F$5:$F$3004,"""")&lt;&gt;""""),ROWS(C$5:C2349)),"""")"),"")</f>
        <v/>
      </c>
      <c r="D23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Helper'!$F$5:$F$3004,"""")&lt;&gt;""""),ROWS(D$5:D2349)),"""")"),"")</f>
        <v/>
      </c>
      <c r="E23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Helper'!$F$5:$F$3004,"""")&lt;&gt;""""),ROWS(E$5:E2349)),"""")"),"")</f>
        <v/>
      </c>
      <c r="F23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Helper'!$F$5:$F$3004,"""")&lt;&gt;""""),ROWS(F$5:F2349)),IF(AND(LEFT(x,5)=""Pag"&amp;"e "",ISERROR(SEARCH(""–"",x))),x&amp;""–""&amp;REGEXEXTRACT(x,""[0-9]+$""),x)),"""")"),"")</f>
        <v/>
      </c>
      <c r="G2349" s="163"/>
      <c r="H23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Helper'!$F$5:$F$3004,"""")&lt;&gt;""""),ROWS(H$5:H2349)),"""")"),"")</f>
        <v/>
      </c>
    </row>
    <row r="2350" ht="15.75" customHeight="1">
      <c r="A23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Helper'!$F$5:$F$3004,"""")&lt;&gt;""""),ROWS(A$5:A2350)),"""")"),"")</f>
        <v/>
      </c>
      <c r="B23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Helper'!$F$5:$F$3004,"""")&lt;&gt;""""),ROWS(B$5:B2350)),"""")"),"")</f>
        <v/>
      </c>
      <c r="C23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Helper'!$F$5:$F$3004,"""")&lt;&gt;""""),ROWS(C$5:C2350)),"""")"),"")</f>
        <v/>
      </c>
      <c r="D23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Helper'!$F$5:$F$3004,"""")&lt;&gt;""""),ROWS(D$5:D2350)),"""")"),"")</f>
        <v/>
      </c>
      <c r="E23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Helper'!$F$5:$F$3004,"""")&lt;&gt;""""),ROWS(E$5:E2350)),"""")"),"")</f>
        <v/>
      </c>
      <c r="F23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Helper'!$F$5:$F$3004,"""")&lt;&gt;""""),ROWS(F$5:F2350)),IF(AND(LEFT(x,5)=""Pag"&amp;"e "",ISERROR(SEARCH(""–"",x))),x&amp;""–""&amp;REGEXEXTRACT(x,""[0-9]+$""),x)),"""")"),"")</f>
        <v/>
      </c>
      <c r="G2350" s="163"/>
      <c r="H23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Helper'!$F$5:$F$3004,"""")&lt;&gt;""""),ROWS(H$5:H2350)),"""")"),"")</f>
        <v/>
      </c>
    </row>
    <row r="2351" ht="15.75" customHeight="1">
      <c r="A23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Helper'!$F$5:$F$3004,"""")&lt;&gt;""""),ROWS(A$5:A2351)),"""")"),"")</f>
        <v/>
      </c>
      <c r="B23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Helper'!$F$5:$F$3004,"""")&lt;&gt;""""),ROWS(B$5:B2351)),"""")"),"")</f>
        <v/>
      </c>
      <c r="C23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Helper'!$F$5:$F$3004,"""")&lt;&gt;""""),ROWS(C$5:C2351)),"""")"),"")</f>
        <v/>
      </c>
      <c r="D23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Helper'!$F$5:$F$3004,"""")&lt;&gt;""""),ROWS(D$5:D2351)),"""")"),"")</f>
        <v/>
      </c>
      <c r="E23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Helper'!$F$5:$F$3004,"""")&lt;&gt;""""),ROWS(E$5:E2351)),"""")"),"")</f>
        <v/>
      </c>
      <c r="F23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Helper'!$F$5:$F$3004,"""")&lt;&gt;""""),ROWS(F$5:F2351)),IF(AND(LEFT(x,5)=""Pag"&amp;"e "",ISERROR(SEARCH(""–"",x))),x&amp;""–""&amp;REGEXEXTRACT(x,""[0-9]+$""),x)),"""")"),"")</f>
        <v/>
      </c>
      <c r="G2351" s="163"/>
      <c r="H23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Helper'!$F$5:$F$3004,"""")&lt;&gt;""""),ROWS(H$5:H2351)),"""")"),"")</f>
        <v/>
      </c>
    </row>
    <row r="2352" ht="15.75" customHeight="1">
      <c r="A23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Helper'!$F$5:$F$3004,"""")&lt;&gt;""""),ROWS(A$5:A2352)),"""")"),"")</f>
        <v/>
      </c>
      <c r="B23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Helper'!$F$5:$F$3004,"""")&lt;&gt;""""),ROWS(B$5:B2352)),"""")"),"")</f>
        <v/>
      </c>
      <c r="C23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Helper'!$F$5:$F$3004,"""")&lt;&gt;""""),ROWS(C$5:C2352)),"""")"),"")</f>
        <v/>
      </c>
      <c r="D23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Helper'!$F$5:$F$3004,"""")&lt;&gt;""""),ROWS(D$5:D2352)),"""")"),"")</f>
        <v/>
      </c>
      <c r="E23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Helper'!$F$5:$F$3004,"""")&lt;&gt;""""),ROWS(E$5:E2352)),"""")"),"")</f>
        <v/>
      </c>
      <c r="F23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Helper'!$F$5:$F$3004,"""")&lt;&gt;""""),ROWS(F$5:F2352)),IF(AND(LEFT(x,5)=""Pag"&amp;"e "",ISERROR(SEARCH(""–"",x))),x&amp;""–""&amp;REGEXEXTRACT(x,""[0-9]+$""),x)),"""")"),"")</f>
        <v/>
      </c>
      <c r="G2352" s="163"/>
      <c r="H23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Helper'!$F$5:$F$3004,"""")&lt;&gt;""""),ROWS(H$5:H2352)),"""")"),"")</f>
        <v/>
      </c>
    </row>
    <row r="2353" ht="15.75" customHeight="1">
      <c r="A23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Helper'!$F$5:$F$3004,"""")&lt;&gt;""""),ROWS(A$5:A2353)),"""")"),"")</f>
        <v/>
      </c>
      <c r="B23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Helper'!$F$5:$F$3004,"""")&lt;&gt;""""),ROWS(B$5:B2353)),"""")"),"")</f>
        <v/>
      </c>
      <c r="C23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Helper'!$F$5:$F$3004,"""")&lt;&gt;""""),ROWS(C$5:C2353)),"""")"),"")</f>
        <v/>
      </c>
      <c r="D23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Helper'!$F$5:$F$3004,"""")&lt;&gt;""""),ROWS(D$5:D2353)),"""")"),"")</f>
        <v/>
      </c>
      <c r="E23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Helper'!$F$5:$F$3004,"""")&lt;&gt;""""),ROWS(E$5:E2353)),"""")"),"")</f>
        <v/>
      </c>
      <c r="F23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Helper'!$F$5:$F$3004,"""")&lt;&gt;""""),ROWS(F$5:F2353)),IF(AND(LEFT(x,5)=""Pag"&amp;"e "",ISERROR(SEARCH(""–"",x))),x&amp;""–""&amp;REGEXEXTRACT(x,""[0-9]+$""),x)),"""")"),"")</f>
        <v/>
      </c>
      <c r="G2353" s="163"/>
      <c r="H23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Helper'!$F$5:$F$3004,"""")&lt;&gt;""""),ROWS(H$5:H2353)),"""")"),"")</f>
        <v/>
      </c>
    </row>
    <row r="2354" ht="15.75" customHeight="1">
      <c r="A23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Helper'!$F$5:$F$3004,"""")&lt;&gt;""""),ROWS(A$5:A2354)),"""")"),"")</f>
        <v/>
      </c>
      <c r="B23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Helper'!$F$5:$F$3004,"""")&lt;&gt;""""),ROWS(B$5:B2354)),"""")"),"")</f>
        <v/>
      </c>
      <c r="C23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Helper'!$F$5:$F$3004,"""")&lt;&gt;""""),ROWS(C$5:C2354)),"""")"),"")</f>
        <v/>
      </c>
      <c r="D23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Helper'!$F$5:$F$3004,"""")&lt;&gt;""""),ROWS(D$5:D2354)),"""")"),"")</f>
        <v/>
      </c>
      <c r="E23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Helper'!$F$5:$F$3004,"""")&lt;&gt;""""),ROWS(E$5:E2354)),"""")"),"")</f>
        <v/>
      </c>
      <c r="F23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Helper'!$F$5:$F$3004,"""")&lt;&gt;""""),ROWS(F$5:F2354)),IF(AND(LEFT(x,5)=""Pag"&amp;"e "",ISERROR(SEARCH(""–"",x))),x&amp;""–""&amp;REGEXEXTRACT(x,""[0-9]+$""),x)),"""")"),"")</f>
        <v/>
      </c>
      <c r="G2354" s="163"/>
      <c r="H23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Helper'!$F$5:$F$3004,"""")&lt;&gt;""""),ROWS(H$5:H2354)),"""")"),"")</f>
        <v/>
      </c>
    </row>
    <row r="2355" ht="15.75" customHeight="1">
      <c r="A23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Helper'!$F$5:$F$3004,"""")&lt;&gt;""""),ROWS(A$5:A2355)),"""")"),"")</f>
        <v/>
      </c>
      <c r="B23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Helper'!$F$5:$F$3004,"""")&lt;&gt;""""),ROWS(B$5:B2355)),"""")"),"")</f>
        <v/>
      </c>
      <c r="C23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Helper'!$F$5:$F$3004,"""")&lt;&gt;""""),ROWS(C$5:C2355)),"""")"),"")</f>
        <v/>
      </c>
      <c r="D23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Helper'!$F$5:$F$3004,"""")&lt;&gt;""""),ROWS(D$5:D2355)),"""")"),"")</f>
        <v/>
      </c>
      <c r="E23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Helper'!$F$5:$F$3004,"""")&lt;&gt;""""),ROWS(E$5:E2355)),"""")"),"")</f>
        <v/>
      </c>
      <c r="F23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Helper'!$F$5:$F$3004,"""")&lt;&gt;""""),ROWS(F$5:F2355)),IF(AND(LEFT(x,5)=""Pag"&amp;"e "",ISERROR(SEARCH(""–"",x))),x&amp;""–""&amp;REGEXEXTRACT(x,""[0-9]+$""),x)),"""")"),"")</f>
        <v/>
      </c>
      <c r="G2355" s="163"/>
      <c r="H23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Helper'!$F$5:$F$3004,"""")&lt;&gt;""""),ROWS(H$5:H2355)),"""")"),"")</f>
        <v/>
      </c>
    </row>
    <row r="2356" ht="15.75" customHeight="1">
      <c r="A23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Helper'!$F$5:$F$3004,"""")&lt;&gt;""""),ROWS(A$5:A2356)),"""")"),"")</f>
        <v/>
      </c>
      <c r="B23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Helper'!$F$5:$F$3004,"""")&lt;&gt;""""),ROWS(B$5:B2356)),"""")"),"")</f>
        <v/>
      </c>
      <c r="C23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Helper'!$F$5:$F$3004,"""")&lt;&gt;""""),ROWS(C$5:C2356)),"""")"),"")</f>
        <v/>
      </c>
      <c r="D23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Helper'!$F$5:$F$3004,"""")&lt;&gt;""""),ROWS(D$5:D2356)),"""")"),"")</f>
        <v/>
      </c>
      <c r="E23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Helper'!$F$5:$F$3004,"""")&lt;&gt;""""),ROWS(E$5:E2356)),"""")"),"")</f>
        <v/>
      </c>
      <c r="F23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Helper'!$F$5:$F$3004,"""")&lt;&gt;""""),ROWS(F$5:F2356)),IF(AND(LEFT(x,5)=""Pag"&amp;"e "",ISERROR(SEARCH(""–"",x))),x&amp;""–""&amp;REGEXEXTRACT(x,""[0-9]+$""),x)),"""")"),"")</f>
        <v/>
      </c>
      <c r="G2356" s="163"/>
      <c r="H23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Helper'!$F$5:$F$3004,"""")&lt;&gt;""""),ROWS(H$5:H2356)),"""")"),"")</f>
        <v/>
      </c>
    </row>
    <row r="2357" ht="15.75" customHeight="1">
      <c r="A23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Helper'!$F$5:$F$3004,"""")&lt;&gt;""""),ROWS(A$5:A2357)),"""")"),"")</f>
        <v/>
      </c>
      <c r="B23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Helper'!$F$5:$F$3004,"""")&lt;&gt;""""),ROWS(B$5:B2357)),"""")"),"")</f>
        <v/>
      </c>
      <c r="C23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Helper'!$F$5:$F$3004,"""")&lt;&gt;""""),ROWS(C$5:C2357)),"""")"),"")</f>
        <v/>
      </c>
      <c r="D23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Helper'!$F$5:$F$3004,"""")&lt;&gt;""""),ROWS(D$5:D2357)),"""")"),"")</f>
        <v/>
      </c>
      <c r="E23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Helper'!$F$5:$F$3004,"""")&lt;&gt;""""),ROWS(E$5:E2357)),"""")"),"")</f>
        <v/>
      </c>
      <c r="F23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Helper'!$F$5:$F$3004,"""")&lt;&gt;""""),ROWS(F$5:F2357)),IF(AND(LEFT(x,5)=""Pag"&amp;"e "",ISERROR(SEARCH(""–"",x))),x&amp;""–""&amp;REGEXEXTRACT(x,""[0-9]+$""),x)),"""")"),"")</f>
        <v/>
      </c>
      <c r="G2357" s="163"/>
      <c r="H23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Helper'!$F$5:$F$3004,"""")&lt;&gt;""""),ROWS(H$5:H2357)),"""")"),"")</f>
        <v/>
      </c>
    </row>
    <row r="2358" ht="15.75" customHeight="1">
      <c r="A23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Helper'!$F$5:$F$3004,"""")&lt;&gt;""""),ROWS(A$5:A2358)),"""")"),"")</f>
        <v/>
      </c>
      <c r="B23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Helper'!$F$5:$F$3004,"""")&lt;&gt;""""),ROWS(B$5:B2358)),"""")"),"")</f>
        <v/>
      </c>
      <c r="C23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Helper'!$F$5:$F$3004,"""")&lt;&gt;""""),ROWS(C$5:C2358)),"""")"),"")</f>
        <v/>
      </c>
      <c r="D23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Helper'!$F$5:$F$3004,"""")&lt;&gt;""""),ROWS(D$5:D2358)),"""")"),"")</f>
        <v/>
      </c>
      <c r="E23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Helper'!$F$5:$F$3004,"""")&lt;&gt;""""),ROWS(E$5:E2358)),"""")"),"")</f>
        <v/>
      </c>
      <c r="F23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Helper'!$F$5:$F$3004,"""")&lt;&gt;""""),ROWS(F$5:F2358)),IF(AND(LEFT(x,5)=""Pag"&amp;"e "",ISERROR(SEARCH(""–"",x))),x&amp;""–""&amp;REGEXEXTRACT(x,""[0-9]+$""),x)),"""")"),"")</f>
        <v/>
      </c>
      <c r="G2358" s="163"/>
      <c r="H23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Helper'!$F$5:$F$3004,"""")&lt;&gt;""""),ROWS(H$5:H2358)),"""")"),"")</f>
        <v/>
      </c>
    </row>
    <row r="2359" ht="15.75" customHeight="1">
      <c r="A23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Helper'!$F$5:$F$3004,"""")&lt;&gt;""""),ROWS(A$5:A2359)),"""")"),"")</f>
        <v/>
      </c>
      <c r="B23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Helper'!$F$5:$F$3004,"""")&lt;&gt;""""),ROWS(B$5:B2359)),"""")"),"")</f>
        <v/>
      </c>
      <c r="C23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Helper'!$F$5:$F$3004,"""")&lt;&gt;""""),ROWS(C$5:C2359)),"""")"),"")</f>
        <v/>
      </c>
      <c r="D23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Helper'!$F$5:$F$3004,"""")&lt;&gt;""""),ROWS(D$5:D2359)),"""")"),"")</f>
        <v/>
      </c>
      <c r="E23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Helper'!$F$5:$F$3004,"""")&lt;&gt;""""),ROWS(E$5:E2359)),"""")"),"")</f>
        <v/>
      </c>
      <c r="F23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Helper'!$F$5:$F$3004,"""")&lt;&gt;""""),ROWS(F$5:F2359)),IF(AND(LEFT(x,5)=""Pag"&amp;"e "",ISERROR(SEARCH(""–"",x))),x&amp;""–""&amp;REGEXEXTRACT(x,""[0-9]+$""),x)),"""")"),"")</f>
        <v/>
      </c>
      <c r="G2359" s="163"/>
      <c r="H23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Helper'!$F$5:$F$3004,"""")&lt;&gt;""""),ROWS(H$5:H2359)),"""")"),"")</f>
        <v/>
      </c>
    </row>
    <row r="2360" ht="15.75" customHeight="1">
      <c r="A23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Helper'!$F$5:$F$3004,"""")&lt;&gt;""""),ROWS(A$5:A2360)),"""")"),"")</f>
        <v/>
      </c>
      <c r="B23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Helper'!$F$5:$F$3004,"""")&lt;&gt;""""),ROWS(B$5:B2360)),"""")"),"")</f>
        <v/>
      </c>
      <c r="C23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Helper'!$F$5:$F$3004,"""")&lt;&gt;""""),ROWS(C$5:C2360)),"""")"),"")</f>
        <v/>
      </c>
      <c r="D23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Helper'!$F$5:$F$3004,"""")&lt;&gt;""""),ROWS(D$5:D2360)),"""")"),"")</f>
        <v/>
      </c>
      <c r="E23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Helper'!$F$5:$F$3004,"""")&lt;&gt;""""),ROWS(E$5:E2360)),"""")"),"")</f>
        <v/>
      </c>
      <c r="F23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Helper'!$F$5:$F$3004,"""")&lt;&gt;""""),ROWS(F$5:F2360)),IF(AND(LEFT(x,5)=""Pag"&amp;"e "",ISERROR(SEARCH(""–"",x))),x&amp;""–""&amp;REGEXEXTRACT(x,""[0-9]+$""),x)),"""")"),"")</f>
        <v/>
      </c>
      <c r="G2360" s="163"/>
      <c r="H23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Helper'!$F$5:$F$3004,"""")&lt;&gt;""""),ROWS(H$5:H2360)),"""")"),"")</f>
        <v/>
      </c>
    </row>
    <row r="2361" ht="15.75" customHeight="1">
      <c r="A23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Helper'!$F$5:$F$3004,"""")&lt;&gt;""""),ROWS(A$5:A2361)),"""")"),"")</f>
        <v/>
      </c>
      <c r="B23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Helper'!$F$5:$F$3004,"""")&lt;&gt;""""),ROWS(B$5:B2361)),"""")"),"")</f>
        <v/>
      </c>
      <c r="C23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Helper'!$F$5:$F$3004,"""")&lt;&gt;""""),ROWS(C$5:C2361)),"""")"),"")</f>
        <v/>
      </c>
      <c r="D23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Helper'!$F$5:$F$3004,"""")&lt;&gt;""""),ROWS(D$5:D2361)),"""")"),"")</f>
        <v/>
      </c>
      <c r="E23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Helper'!$F$5:$F$3004,"""")&lt;&gt;""""),ROWS(E$5:E2361)),"""")"),"")</f>
        <v/>
      </c>
      <c r="F23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Helper'!$F$5:$F$3004,"""")&lt;&gt;""""),ROWS(F$5:F2361)),IF(AND(LEFT(x,5)=""Pag"&amp;"e "",ISERROR(SEARCH(""–"",x))),x&amp;""–""&amp;REGEXEXTRACT(x,""[0-9]+$""),x)),"""")"),"")</f>
        <v/>
      </c>
      <c r="G2361" s="163"/>
      <c r="H23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Helper'!$F$5:$F$3004,"""")&lt;&gt;""""),ROWS(H$5:H2361)),"""")"),"")</f>
        <v/>
      </c>
    </row>
    <row r="2362" ht="15.75" customHeight="1">
      <c r="A23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Helper'!$F$5:$F$3004,"""")&lt;&gt;""""),ROWS(A$5:A2362)),"""")"),"")</f>
        <v/>
      </c>
      <c r="B23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Helper'!$F$5:$F$3004,"""")&lt;&gt;""""),ROWS(B$5:B2362)),"""")"),"")</f>
        <v/>
      </c>
      <c r="C23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Helper'!$F$5:$F$3004,"""")&lt;&gt;""""),ROWS(C$5:C2362)),"""")"),"")</f>
        <v/>
      </c>
      <c r="D23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Helper'!$F$5:$F$3004,"""")&lt;&gt;""""),ROWS(D$5:D2362)),"""")"),"")</f>
        <v/>
      </c>
      <c r="E23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Helper'!$F$5:$F$3004,"""")&lt;&gt;""""),ROWS(E$5:E2362)),"""")"),"")</f>
        <v/>
      </c>
      <c r="F23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Helper'!$F$5:$F$3004,"""")&lt;&gt;""""),ROWS(F$5:F2362)),IF(AND(LEFT(x,5)=""Pag"&amp;"e "",ISERROR(SEARCH(""–"",x))),x&amp;""–""&amp;REGEXEXTRACT(x,""[0-9]+$""),x)),"""")"),"")</f>
        <v/>
      </c>
      <c r="G2362" s="163"/>
      <c r="H23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Helper'!$F$5:$F$3004,"""")&lt;&gt;""""),ROWS(H$5:H2362)),"""")"),"")</f>
        <v/>
      </c>
    </row>
    <row r="2363" ht="15.75" customHeight="1">
      <c r="A23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Helper'!$F$5:$F$3004,"""")&lt;&gt;""""),ROWS(A$5:A2363)),"""")"),"")</f>
        <v/>
      </c>
      <c r="B23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Helper'!$F$5:$F$3004,"""")&lt;&gt;""""),ROWS(B$5:B2363)),"""")"),"")</f>
        <v/>
      </c>
      <c r="C23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Helper'!$F$5:$F$3004,"""")&lt;&gt;""""),ROWS(C$5:C2363)),"""")"),"")</f>
        <v/>
      </c>
      <c r="D23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Helper'!$F$5:$F$3004,"""")&lt;&gt;""""),ROWS(D$5:D2363)),"""")"),"")</f>
        <v/>
      </c>
      <c r="E23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Helper'!$F$5:$F$3004,"""")&lt;&gt;""""),ROWS(E$5:E2363)),"""")"),"")</f>
        <v/>
      </c>
      <c r="F23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Helper'!$F$5:$F$3004,"""")&lt;&gt;""""),ROWS(F$5:F2363)),IF(AND(LEFT(x,5)=""Pag"&amp;"e "",ISERROR(SEARCH(""–"",x))),x&amp;""–""&amp;REGEXEXTRACT(x,""[0-9]+$""),x)),"""")"),"")</f>
        <v/>
      </c>
      <c r="G2363" s="163"/>
      <c r="H23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Helper'!$F$5:$F$3004,"""")&lt;&gt;""""),ROWS(H$5:H2363)),"""")"),"")</f>
        <v/>
      </c>
    </row>
    <row r="2364" ht="15.75" customHeight="1">
      <c r="A23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Helper'!$F$5:$F$3004,"""")&lt;&gt;""""),ROWS(A$5:A2364)),"""")"),"")</f>
        <v/>
      </c>
      <c r="B23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Helper'!$F$5:$F$3004,"""")&lt;&gt;""""),ROWS(B$5:B2364)),"""")"),"")</f>
        <v/>
      </c>
      <c r="C23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Helper'!$F$5:$F$3004,"""")&lt;&gt;""""),ROWS(C$5:C2364)),"""")"),"")</f>
        <v/>
      </c>
      <c r="D23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Helper'!$F$5:$F$3004,"""")&lt;&gt;""""),ROWS(D$5:D2364)),"""")"),"")</f>
        <v/>
      </c>
      <c r="E23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Helper'!$F$5:$F$3004,"""")&lt;&gt;""""),ROWS(E$5:E2364)),"""")"),"")</f>
        <v/>
      </c>
      <c r="F23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Helper'!$F$5:$F$3004,"""")&lt;&gt;""""),ROWS(F$5:F2364)),IF(AND(LEFT(x,5)=""Pag"&amp;"e "",ISERROR(SEARCH(""–"",x))),x&amp;""–""&amp;REGEXEXTRACT(x,""[0-9]+$""),x)),"""")"),"")</f>
        <v/>
      </c>
      <c r="G2364" s="163"/>
      <c r="H23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Helper'!$F$5:$F$3004,"""")&lt;&gt;""""),ROWS(H$5:H2364)),"""")"),"")</f>
        <v/>
      </c>
    </row>
    <row r="2365" ht="15.75" customHeight="1">
      <c r="A23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Helper'!$F$5:$F$3004,"""")&lt;&gt;""""),ROWS(A$5:A2365)),"""")"),"")</f>
        <v/>
      </c>
      <c r="B23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Helper'!$F$5:$F$3004,"""")&lt;&gt;""""),ROWS(B$5:B2365)),"""")"),"")</f>
        <v/>
      </c>
      <c r="C23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Helper'!$F$5:$F$3004,"""")&lt;&gt;""""),ROWS(C$5:C2365)),"""")"),"")</f>
        <v/>
      </c>
      <c r="D23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Helper'!$F$5:$F$3004,"""")&lt;&gt;""""),ROWS(D$5:D2365)),"""")"),"")</f>
        <v/>
      </c>
      <c r="E23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Helper'!$F$5:$F$3004,"""")&lt;&gt;""""),ROWS(E$5:E2365)),"""")"),"")</f>
        <v/>
      </c>
      <c r="F23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Helper'!$F$5:$F$3004,"""")&lt;&gt;""""),ROWS(F$5:F2365)),IF(AND(LEFT(x,5)=""Pag"&amp;"e "",ISERROR(SEARCH(""–"",x))),x&amp;""–""&amp;REGEXEXTRACT(x,""[0-9]+$""),x)),"""")"),"")</f>
        <v/>
      </c>
      <c r="G2365" s="163"/>
      <c r="H23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Helper'!$F$5:$F$3004,"""")&lt;&gt;""""),ROWS(H$5:H2365)),"""")"),"")</f>
        <v/>
      </c>
    </row>
    <row r="2366" ht="15.75" customHeight="1">
      <c r="A23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Helper'!$F$5:$F$3004,"""")&lt;&gt;""""),ROWS(A$5:A2366)),"""")"),"")</f>
        <v/>
      </c>
      <c r="B23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Helper'!$F$5:$F$3004,"""")&lt;&gt;""""),ROWS(B$5:B2366)),"""")"),"")</f>
        <v/>
      </c>
      <c r="C23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Helper'!$F$5:$F$3004,"""")&lt;&gt;""""),ROWS(C$5:C2366)),"""")"),"")</f>
        <v/>
      </c>
      <c r="D23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Helper'!$F$5:$F$3004,"""")&lt;&gt;""""),ROWS(D$5:D2366)),"""")"),"")</f>
        <v/>
      </c>
      <c r="E23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Helper'!$F$5:$F$3004,"""")&lt;&gt;""""),ROWS(E$5:E2366)),"""")"),"")</f>
        <v/>
      </c>
      <c r="F23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Helper'!$F$5:$F$3004,"""")&lt;&gt;""""),ROWS(F$5:F2366)),IF(AND(LEFT(x,5)=""Pag"&amp;"e "",ISERROR(SEARCH(""–"",x))),x&amp;""–""&amp;REGEXEXTRACT(x,""[0-9]+$""),x)),"""")"),"")</f>
        <v/>
      </c>
      <c r="G2366" s="163"/>
      <c r="H23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Helper'!$F$5:$F$3004,"""")&lt;&gt;""""),ROWS(H$5:H2366)),"""")"),"")</f>
        <v/>
      </c>
    </row>
    <row r="2367" ht="15.75" customHeight="1">
      <c r="A23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Helper'!$F$5:$F$3004,"""")&lt;&gt;""""),ROWS(A$5:A2367)),"""")"),"")</f>
        <v/>
      </c>
      <c r="B23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Helper'!$F$5:$F$3004,"""")&lt;&gt;""""),ROWS(B$5:B2367)),"""")"),"")</f>
        <v/>
      </c>
      <c r="C23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Helper'!$F$5:$F$3004,"""")&lt;&gt;""""),ROWS(C$5:C2367)),"""")"),"")</f>
        <v/>
      </c>
      <c r="D23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Helper'!$F$5:$F$3004,"""")&lt;&gt;""""),ROWS(D$5:D2367)),"""")"),"")</f>
        <v/>
      </c>
      <c r="E23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Helper'!$F$5:$F$3004,"""")&lt;&gt;""""),ROWS(E$5:E2367)),"""")"),"")</f>
        <v/>
      </c>
      <c r="F23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Helper'!$F$5:$F$3004,"""")&lt;&gt;""""),ROWS(F$5:F2367)),IF(AND(LEFT(x,5)=""Pag"&amp;"e "",ISERROR(SEARCH(""–"",x))),x&amp;""–""&amp;REGEXEXTRACT(x,""[0-9]+$""),x)),"""")"),"")</f>
        <v/>
      </c>
      <c r="G2367" s="163"/>
      <c r="H23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Helper'!$F$5:$F$3004,"""")&lt;&gt;""""),ROWS(H$5:H2367)),"""")"),"")</f>
        <v/>
      </c>
    </row>
    <row r="2368" ht="15.75" customHeight="1">
      <c r="A23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Helper'!$F$5:$F$3004,"""")&lt;&gt;""""),ROWS(A$5:A2368)),"""")"),"")</f>
        <v/>
      </c>
      <c r="B23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Helper'!$F$5:$F$3004,"""")&lt;&gt;""""),ROWS(B$5:B2368)),"""")"),"")</f>
        <v/>
      </c>
      <c r="C23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Helper'!$F$5:$F$3004,"""")&lt;&gt;""""),ROWS(C$5:C2368)),"""")"),"")</f>
        <v/>
      </c>
      <c r="D23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Helper'!$F$5:$F$3004,"""")&lt;&gt;""""),ROWS(D$5:D2368)),"""")"),"")</f>
        <v/>
      </c>
      <c r="E23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Helper'!$F$5:$F$3004,"""")&lt;&gt;""""),ROWS(E$5:E2368)),"""")"),"")</f>
        <v/>
      </c>
      <c r="F23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Helper'!$F$5:$F$3004,"""")&lt;&gt;""""),ROWS(F$5:F2368)),IF(AND(LEFT(x,5)=""Pag"&amp;"e "",ISERROR(SEARCH(""–"",x))),x&amp;""–""&amp;REGEXEXTRACT(x,""[0-9]+$""),x)),"""")"),"")</f>
        <v/>
      </c>
      <c r="G2368" s="163"/>
      <c r="H23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Helper'!$F$5:$F$3004,"""")&lt;&gt;""""),ROWS(H$5:H2368)),"""")"),"")</f>
        <v/>
      </c>
    </row>
    <row r="2369" ht="15.75" customHeight="1">
      <c r="A23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Helper'!$F$5:$F$3004,"""")&lt;&gt;""""),ROWS(A$5:A2369)),"""")"),"")</f>
        <v/>
      </c>
      <c r="B23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Helper'!$F$5:$F$3004,"""")&lt;&gt;""""),ROWS(B$5:B2369)),"""")"),"")</f>
        <v/>
      </c>
      <c r="C23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Helper'!$F$5:$F$3004,"""")&lt;&gt;""""),ROWS(C$5:C2369)),"""")"),"")</f>
        <v/>
      </c>
      <c r="D23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Helper'!$F$5:$F$3004,"""")&lt;&gt;""""),ROWS(D$5:D2369)),"""")"),"")</f>
        <v/>
      </c>
      <c r="E23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Helper'!$F$5:$F$3004,"""")&lt;&gt;""""),ROWS(E$5:E2369)),"""")"),"")</f>
        <v/>
      </c>
      <c r="F23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Helper'!$F$5:$F$3004,"""")&lt;&gt;""""),ROWS(F$5:F2369)),IF(AND(LEFT(x,5)=""Pag"&amp;"e "",ISERROR(SEARCH(""–"",x))),x&amp;""–""&amp;REGEXEXTRACT(x,""[0-9]+$""),x)),"""")"),"")</f>
        <v/>
      </c>
      <c r="G2369" s="163"/>
      <c r="H23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Helper'!$F$5:$F$3004,"""")&lt;&gt;""""),ROWS(H$5:H2369)),"""")"),"")</f>
        <v/>
      </c>
    </row>
    <row r="2370" ht="15.75" customHeight="1">
      <c r="A23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Helper'!$F$5:$F$3004,"""")&lt;&gt;""""),ROWS(A$5:A2370)),"""")"),"")</f>
        <v/>
      </c>
      <c r="B23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Helper'!$F$5:$F$3004,"""")&lt;&gt;""""),ROWS(B$5:B2370)),"""")"),"")</f>
        <v/>
      </c>
      <c r="C23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Helper'!$F$5:$F$3004,"""")&lt;&gt;""""),ROWS(C$5:C2370)),"""")"),"")</f>
        <v/>
      </c>
      <c r="D23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Helper'!$F$5:$F$3004,"""")&lt;&gt;""""),ROWS(D$5:D2370)),"""")"),"")</f>
        <v/>
      </c>
      <c r="E23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Helper'!$F$5:$F$3004,"""")&lt;&gt;""""),ROWS(E$5:E2370)),"""")"),"")</f>
        <v/>
      </c>
      <c r="F23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Helper'!$F$5:$F$3004,"""")&lt;&gt;""""),ROWS(F$5:F2370)),IF(AND(LEFT(x,5)=""Pag"&amp;"e "",ISERROR(SEARCH(""–"",x))),x&amp;""–""&amp;REGEXEXTRACT(x,""[0-9]+$""),x)),"""")"),"")</f>
        <v/>
      </c>
      <c r="G2370" s="163"/>
      <c r="H23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Helper'!$F$5:$F$3004,"""")&lt;&gt;""""),ROWS(H$5:H2370)),"""")"),"")</f>
        <v/>
      </c>
    </row>
    <row r="2371" ht="15.75" customHeight="1">
      <c r="A23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Helper'!$F$5:$F$3004,"""")&lt;&gt;""""),ROWS(A$5:A2371)),"""")"),"")</f>
        <v/>
      </c>
      <c r="B23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Helper'!$F$5:$F$3004,"""")&lt;&gt;""""),ROWS(B$5:B2371)),"""")"),"")</f>
        <v/>
      </c>
      <c r="C23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Helper'!$F$5:$F$3004,"""")&lt;&gt;""""),ROWS(C$5:C2371)),"""")"),"")</f>
        <v/>
      </c>
      <c r="D23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Helper'!$F$5:$F$3004,"""")&lt;&gt;""""),ROWS(D$5:D2371)),"""")"),"")</f>
        <v/>
      </c>
      <c r="E23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Helper'!$F$5:$F$3004,"""")&lt;&gt;""""),ROWS(E$5:E2371)),"""")"),"")</f>
        <v/>
      </c>
      <c r="F23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Helper'!$F$5:$F$3004,"""")&lt;&gt;""""),ROWS(F$5:F2371)),IF(AND(LEFT(x,5)=""Pag"&amp;"e "",ISERROR(SEARCH(""–"",x))),x&amp;""–""&amp;REGEXEXTRACT(x,""[0-9]+$""),x)),"""")"),"")</f>
        <v/>
      </c>
      <c r="G2371" s="163"/>
      <c r="H23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Helper'!$F$5:$F$3004,"""")&lt;&gt;""""),ROWS(H$5:H2371)),"""")"),"")</f>
        <v/>
      </c>
    </row>
    <row r="2372" ht="15.75" customHeight="1">
      <c r="A23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Helper'!$F$5:$F$3004,"""")&lt;&gt;""""),ROWS(A$5:A2372)),"""")"),"")</f>
        <v/>
      </c>
      <c r="B23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Helper'!$F$5:$F$3004,"""")&lt;&gt;""""),ROWS(B$5:B2372)),"""")"),"")</f>
        <v/>
      </c>
      <c r="C23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Helper'!$F$5:$F$3004,"""")&lt;&gt;""""),ROWS(C$5:C2372)),"""")"),"")</f>
        <v/>
      </c>
      <c r="D23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Helper'!$F$5:$F$3004,"""")&lt;&gt;""""),ROWS(D$5:D2372)),"""")"),"")</f>
        <v/>
      </c>
      <c r="E23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Helper'!$F$5:$F$3004,"""")&lt;&gt;""""),ROWS(E$5:E2372)),"""")"),"")</f>
        <v/>
      </c>
      <c r="F23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Helper'!$F$5:$F$3004,"""")&lt;&gt;""""),ROWS(F$5:F2372)),IF(AND(LEFT(x,5)=""Pag"&amp;"e "",ISERROR(SEARCH(""–"",x))),x&amp;""–""&amp;REGEXEXTRACT(x,""[0-9]+$""),x)),"""")"),"")</f>
        <v/>
      </c>
      <c r="G2372" s="163"/>
      <c r="H23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Helper'!$F$5:$F$3004,"""")&lt;&gt;""""),ROWS(H$5:H2372)),"""")"),"")</f>
        <v/>
      </c>
    </row>
    <row r="2373" ht="15.75" customHeight="1">
      <c r="A23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Helper'!$F$5:$F$3004,"""")&lt;&gt;""""),ROWS(A$5:A2373)),"""")"),"")</f>
        <v/>
      </c>
      <c r="B23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Helper'!$F$5:$F$3004,"""")&lt;&gt;""""),ROWS(B$5:B2373)),"""")"),"")</f>
        <v/>
      </c>
      <c r="C23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Helper'!$F$5:$F$3004,"""")&lt;&gt;""""),ROWS(C$5:C2373)),"""")"),"")</f>
        <v/>
      </c>
      <c r="D23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Helper'!$F$5:$F$3004,"""")&lt;&gt;""""),ROWS(D$5:D2373)),"""")"),"")</f>
        <v/>
      </c>
      <c r="E23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Helper'!$F$5:$F$3004,"""")&lt;&gt;""""),ROWS(E$5:E2373)),"""")"),"")</f>
        <v/>
      </c>
      <c r="F23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Helper'!$F$5:$F$3004,"""")&lt;&gt;""""),ROWS(F$5:F2373)),IF(AND(LEFT(x,5)=""Pag"&amp;"e "",ISERROR(SEARCH(""–"",x))),x&amp;""–""&amp;REGEXEXTRACT(x,""[0-9]+$""),x)),"""")"),"")</f>
        <v/>
      </c>
      <c r="G2373" s="163"/>
      <c r="H23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Helper'!$F$5:$F$3004,"""")&lt;&gt;""""),ROWS(H$5:H2373)),"""")"),"")</f>
        <v/>
      </c>
    </row>
    <row r="2374" ht="15.75" customHeight="1">
      <c r="A23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Helper'!$F$5:$F$3004,"""")&lt;&gt;""""),ROWS(A$5:A2374)),"""")"),"")</f>
        <v/>
      </c>
      <c r="B23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Helper'!$F$5:$F$3004,"""")&lt;&gt;""""),ROWS(B$5:B2374)),"""")"),"")</f>
        <v/>
      </c>
      <c r="C23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Helper'!$F$5:$F$3004,"""")&lt;&gt;""""),ROWS(C$5:C2374)),"""")"),"")</f>
        <v/>
      </c>
      <c r="D23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Helper'!$F$5:$F$3004,"""")&lt;&gt;""""),ROWS(D$5:D2374)),"""")"),"")</f>
        <v/>
      </c>
      <c r="E23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Helper'!$F$5:$F$3004,"""")&lt;&gt;""""),ROWS(E$5:E2374)),"""")"),"")</f>
        <v/>
      </c>
      <c r="F23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Helper'!$F$5:$F$3004,"""")&lt;&gt;""""),ROWS(F$5:F2374)),IF(AND(LEFT(x,5)=""Pag"&amp;"e "",ISERROR(SEARCH(""–"",x))),x&amp;""–""&amp;REGEXEXTRACT(x,""[0-9]+$""),x)),"""")"),"")</f>
        <v/>
      </c>
      <c r="G2374" s="163"/>
      <c r="H23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Helper'!$F$5:$F$3004,"""")&lt;&gt;""""),ROWS(H$5:H2374)),"""")"),"")</f>
        <v/>
      </c>
    </row>
    <row r="2375" ht="15.75" customHeight="1">
      <c r="A23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Helper'!$F$5:$F$3004,"""")&lt;&gt;""""),ROWS(A$5:A2375)),"""")"),"")</f>
        <v/>
      </c>
      <c r="B23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Helper'!$F$5:$F$3004,"""")&lt;&gt;""""),ROWS(B$5:B2375)),"""")"),"")</f>
        <v/>
      </c>
      <c r="C23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Helper'!$F$5:$F$3004,"""")&lt;&gt;""""),ROWS(C$5:C2375)),"""")"),"")</f>
        <v/>
      </c>
      <c r="D23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Helper'!$F$5:$F$3004,"""")&lt;&gt;""""),ROWS(D$5:D2375)),"""")"),"")</f>
        <v/>
      </c>
      <c r="E23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Helper'!$F$5:$F$3004,"""")&lt;&gt;""""),ROWS(E$5:E2375)),"""")"),"")</f>
        <v/>
      </c>
      <c r="F23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Helper'!$F$5:$F$3004,"""")&lt;&gt;""""),ROWS(F$5:F2375)),IF(AND(LEFT(x,5)=""Pag"&amp;"e "",ISERROR(SEARCH(""–"",x))),x&amp;""–""&amp;REGEXEXTRACT(x,""[0-9]+$""),x)),"""")"),"")</f>
        <v/>
      </c>
      <c r="G2375" s="163"/>
      <c r="H23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Helper'!$F$5:$F$3004,"""")&lt;&gt;""""),ROWS(H$5:H2375)),"""")"),"")</f>
        <v/>
      </c>
    </row>
    <row r="2376" ht="15.75" customHeight="1">
      <c r="A23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Helper'!$F$5:$F$3004,"""")&lt;&gt;""""),ROWS(A$5:A2376)),"""")"),"")</f>
        <v/>
      </c>
      <c r="B23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Helper'!$F$5:$F$3004,"""")&lt;&gt;""""),ROWS(B$5:B2376)),"""")"),"")</f>
        <v/>
      </c>
      <c r="C23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Helper'!$F$5:$F$3004,"""")&lt;&gt;""""),ROWS(C$5:C2376)),"""")"),"")</f>
        <v/>
      </c>
      <c r="D23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Helper'!$F$5:$F$3004,"""")&lt;&gt;""""),ROWS(D$5:D2376)),"""")"),"")</f>
        <v/>
      </c>
      <c r="E23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Helper'!$F$5:$F$3004,"""")&lt;&gt;""""),ROWS(E$5:E2376)),"""")"),"")</f>
        <v/>
      </c>
      <c r="F23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Helper'!$F$5:$F$3004,"""")&lt;&gt;""""),ROWS(F$5:F2376)),IF(AND(LEFT(x,5)=""Pag"&amp;"e "",ISERROR(SEARCH(""–"",x))),x&amp;""–""&amp;REGEXEXTRACT(x,""[0-9]+$""),x)),"""")"),"")</f>
        <v/>
      </c>
      <c r="G2376" s="163"/>
      <c r="H23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Helper'!$F$5:$F$3004,"""")&lt;&gt;""""),ROWS(H$5:H2376)),"""")"),"")</f>
        <v/>
      </c>
    </row>
    <row r="2377" ht="15.75" customHeight="1">
      <c r="A23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Helper'!$F$5:$F$3004,"""")&lt;&gt;""""),ROWS(A$5:A2377)),"""")"),"")</f>
        <v/>
      </c>
      <c r="B23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Helper'!$F$5:$F$3004,"""")&lt;&gt;""""),ROWS(B$5:B2377)),"""")"),"")</f>
        <v/>
      </c>
      <c r="C23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Helper'!$F$5:$F$3004,"""")&lt;&gt;""""),ROWS(C$5:C2377)),"""")"),"")</f>
        <v/>
      </c>
      <c r="D23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Helper'!$F$5:$F$3004,"""")&lt;&gt;""""),ROWS(D$5:D2377)),"""")"),"")</f>
        <v/>
      </c>
      <c r="E23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Helper'!$F$5:$F$3004,"""")&lt;&gt;""""),ROWS(E$5:E2377)),"""")"),"")</f>
        <v/>
      </c>
      <c r="F23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Helper'!$F$5:$F$3004,"""")&lt;&gt;""""),ROWS(F$5:F2377)),IF(AND(LEFT(x,5)=""Pag"&amp;"e "",ISERROR(SEARCH(""–"",x))),x&amp;""–""&amp;REGEXEXTRACT(x,""[0-9]+$""),x)),"""")"),"")</f>
        <v/>
      </c>
      <c r="G2377" s="163"/>
      <c r="H23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Helper'!$F$5:$F$3004,"""")&lt;&gt;""""),ROWS(H$5:H2377)),"""")"),"")</f>
        <v/>
      </c>
    </row>
    <row r="2378" ht="15.75" customHeight="1">
      <c r="A23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Helper'!$F$5:$F$3004,"""")&lt;&gt;""""),ROWS(A$5:A2378)),"""")"),"")</f>
        <v/>
      </c>
      <c r="B23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Helper'!$F$5:$F$3004,"""")&lt;&gt;""""),ROWS(B$5:B2378)),"""")"),"")</f>
        <v/>
      </c>
      <c r="C23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Helper'!$F$5:$F$3004,"""")&lt;&gt;""""),ROWS(C$5:C2378)),"""")"),"")</f>
        <v/>
      </c>
      <c r="D23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Helper'!$F$5:$F$3004,"""")&lt;&gt;""""),ROWS(D$5:D2378)),"""")"),"")</f>
        <v/>
      </c>
      <c r="E23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Helper'!$F$5:$F$3004,"""")&lt;&gt;""""),ROWS(E$5:E2378)),"""")"),"")</f>
        <v/>
      </c>
      <c r="F23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Helper'!$F$5:$F$3004,"""")&lt;&gt;""""),ROWS(F$5:F2378)),IF(AND(LEFT(x,5)=""Pag"&amp;"e "",ISERROR(SEARCH(""–"",x))),x&amp;""–""&amp;REGEXEXTRACT(x,""[0-9]+$""),x)),"""")"),"")</f>
        <v/>
      </c>
      <c r="G2378" s="163"/>
      <c r="H23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Helper'!$F$5:$F$3004,"""")&lt;&gt;""""),ROWS(H$5:H2378)),"""")"),"")</f>
        <v/>
      </c>
    </row>
    <row r="2379" ht="15.75" customHeight="1">
      <c r="A23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Helper'!$F$5:$F$3004,"""")&lt;&gt;""""),ROWS(A$5:A2379)),"""")"),"")</f>
        <v/>
      </c>
      <c r="B23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Helper'!$F$5:$F$3004,"""")&lt;&gt;""""),ROWS(B$5:B2379)),"""")"),"")</f>
        <v/>
      </c>
      <c r="C23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Helper'!$F$5:$F$3004,"""")&lt;&gt;""""),ROWS(C$5:C2379)),"""")"),"")</f>
        <v/>
      </c>
      <c r="D23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Helper'!$F$5:$F$3004,"""")&lt;&gt;""""),ROWS(D$5:D2379)),"""")"),"")</f>
        <v/>
      </c>
      <c r="E23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Helper'!$F$5:$F$3004,"""")&lt;&gt;""""),ROWS(E$5:E2379)),"""")"),"")</f>
        <v/>
      </c>
      <c r="F23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Helper'!$F$5:$F$3004,"""")&lt;&gt;""""),ROWS(F$5:F2379)),IF(AND(LEFT(x,5)=""Pag"&amp;"e "",ISERROR(SEARCH(""–"",x))),x&amp;""–""&amp;REGEXEXTRACT(x,""[0-9]+$""),x)),"""")"),"")</f>
        <v/>
      </c>
      <c r="G2379" s="163"/>
      <c r="H23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Helper'!$F$5:$F$3004,"""")&lt;&gt;""""),ROWS(H$5:H2379)),"""")"),"")</f>
        <v/>
      </c>
    </row>
    <row r="2380" ht="15.75" customHeight="1">
      <c r="A23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Helper'!$F$5:$F$3004,"""")&lt;&gt;""""),ROWS(A$5:A2380)),"""")"),"")</f>
        <v/>
      </c>
      <c r="B23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Helper'!$F$5:$F$3004,"""")&lt;&gt;""""),ROWS(B$5:B2380)),"""")"),"")</f>
        <v/>
      </c>
      <c r="C23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Helper'!$F$5:$F$3004,"""")&lt;&gt;""""),ROWS(C$5:C2380)),"""")"),"")</f>
        <v/>
      </c>
      <c r="D23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Helper'!$F$5:$F$3004,"""")&lt;&gt;""""),ROWS(D$5:D2380)),"""")"),"")</f>
        <v/>
      </c>
      <c r="E23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Helper'!$F$5:$F$3004,"""")&lt;&gt;""""),ROWS(E$5:E2380)),"""")"),"")</f>
        <v/>
      </c>
      <c r="F23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Helper'!$F$5:$F$3004,"""")&lt;&gt;""""),ROWS(F$5:F2380)),IF(AND(LEFT(x,5)=""Pag"&amp;"e "",ISERROR(SEARCH(""–"",x))),x&amp;""–""&amp;REGEXEXTRACT(x,""[0-9]+$""),x)),"""")"),"")</f>
        <v/>
      </c>
      <c r="G2380" s="163"/>
      <c r="H23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Helper'!$F$5:$F$3004,"""")&lt;&gt;""""),ROWS(H$5:H2380)),"""")"),"")</f>
        <v/>
      </c>
    </row>
    <row r="2381" ht="15.75" customHeight="1">
      <c r="A23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Helper'!$F$5:$F$3004,"""")&lt;&gt;""""),ROWS(A$5:A2381)),"""")"),"")</f>
        <v/>
      </c>
      <c r="B23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Helper'!$F$5:$F$3004,"""")&lt;&gt;""""),ROWS(B$5:B2381)),"""")"),"")</f>
        <v/>
      </c>
      <c r="C23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Helper'!$F$5:$F$3004,"""")&lt;&gt;""""),ROWS(C$5:C2381)),"""")"),"")</f>
        <v/>
      </c>
      <c r="D23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Helper'!$F$5:$F$3004,"""")&lt;&gt;""""),ROWS(D$5:D2381)),"""")"),"")</f>
        <v/>
      </c>
      <c r="E23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Helper'!$F$5:$F$3004,"""")&lt;&gt;""""),ROWS(E$5:E2381)),"""")"),"")</f>
        <v/>
      </c>
      <c r="F23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Helper'!$F$5:$F$3004,"""")&lt;&gt;""""),ROWS(F$5:F2381)),IF(AND(LEFT(x,5)=""Pag"&amp;"e "",ISERROR(SEARCH(""–"",x))),x&amp;""–""&amp;REGEXEXTRACT(x,""[0-9]+$""),x)),"""")"),"")</f>
        <v/>
      </c>
      <c r="G2381" s="163"/>
      <c r="H23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Helper'!$F$5:$F$3004,"""")&lt;&gt;""""),ROWS(H$5:H2381)),"""")"),"")</f>
        <v/>
      </c>
    </row>
    <row r="2382" ht="15.75" customHeight="1">
      <c r="A23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Helper'!$F$5:$F$3004,"""")&lt;&gt;""""),ROWS(A$5:A2382)),"""")"),"")</f>
        <v/>
      </c>
      <c r="B23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Helper'!$F$5:$F$3004,"""")&lt;&gt;""""),ROWS(B$5:B2382)),"""")"),"")</f>
        <v/>
      </c>
      <c r="C23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Helper'!$F$5:$F$3004,"""")&lt;&gt;""""),ROWS(C$5:C2382)),"""")"),"")</f>
        <v/>
      </c>
      <c r="D23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Helper'!$F$5:$F$3004,"""")&lt;&gt;""""),ROWS(D$5:D2382)),"""")"),"")</f>
        <v/>
      </c>
      <c r="E23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Helper'!$F$5:$F$3004,"""")&lt;&gt;""""),ROWS(E$5:E2382)),"""")"),"")</f>
        <v/>
      </c>
      <c r="F23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Helper'!$F$5:$F$3004,"""")&lt;&gt;""""),ROWS(F$5:F2382)),IF(AND(LEFT(x,5)=""Pag"&amp;"e "",ISERROR(SEARCH(""–"",x))),x&amp;""–""&amp;REGEXEXTRACT(x,""[0-9]+$""),x)),"""")"),"")</f>
        <v/>
      </c>
      <c r="G2382" s="163"/>
      <c r="H23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Helper'!$F$5:$F$3004,"""")&lt;&gt;""""),ROWS(H$5:H2382)),"""")"),"")</f>
        <v/>
      </c>
    </row>
    <row r="2383" ht="15.75" customHeight="1">
      <c r="A23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Helper'!$F$5:$F$3004,"""")&lt;&gt;""""),ROWS(A$5:A2383)),"""")"),"")</f>
        <v/>
      </c>
      <c r="B23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Helper'!$F$5:$F$3004,"""")&lt;&gt;""""),ROWS(B$5:B2383)),"""")"),"")</f>
        <v/>
      </c>
      <c r="C23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Helper'!$F$5:$F$3004,"""")&lt;&gt;""""),ROWS(C$5:C2383)),"""")"),"")</f>
        <v/>
      </c>
      <c r="D23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Helper'!$F$5:$F$3004,"""")&lt;&gt;""""),ROWS(D$5:D2383)),"""")"),"")</f>
        <v/>
      </c>
      <c r="E23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Helper'!$F$5:$F$3004,"""")&lt;&gt;""""),ROWS(E$5:E2383)),"""")"),"")</f>
        <v/>
      </c>
      <c r="F23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Helper'!$F$5:$F$3004,"""")&lt;&gt;""""),ROWS(F$5:F2383)),IF(AND(LEFT(x,5)=""Pag"&amp;"e "",ISERROR(SEARCH(""–"",x))),x&amp;""–""&amp;REGEXEXTRACT(x,""[0-9]+$""),x)),"""")"),"")</f>
        <v/>
      </c>
      <c r="G2383" s="163"/>
      <c r="H23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Helper'!$F$5:$F$3004,"""")&lt;&gt;""""),ROWS(H$5:H2383)),"""")"),"")</f>
        <v/>
      </c>
    </row>
    <row r="2384" ht="15.75" customHeight="1">
      <c r="A23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Helper'!$F$5:$F$3004,"""")&lt;&gt;""""),ROWS(A$5:A2384)),"""")"),"")</f>
        <v/>
      </c>
      <c r="B23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Helper'!$F$5:$F$3004,"""")&lt;&gt;""""),ROWS(B$5:B2384)),"""")"),"")</f>
        <v/>
      </c>
      <c r="C23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Helper'!$F$5:$F$3004,"""")&lt;&gt;""""),ROWS(C$5:C2384)),"""")"),"")</f>
        <v/>
      </c>
      <c r="D23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Helper'!$F$5:$F$3004,"""")&lt;&gt;""""),ROWS(D$5:D2384)),"""")"),"")</f>
        <v/>
      </c>
      <c r="E23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Helper'!$F$5:$F$3004,"""")&lt;&gt;""""),ROWS(E$5:E2384)),"""")"),"")</f>
        <v/>
      </c>
      <c r="F23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Helper'!$F$5:$F$3004,"""")&lt;&gt;""""),ROWS(F$5:F2384)),IF(AND(LEFT(x,5)=""Pag"&amp;"e "",ISERROR(SEARCH(""–"",x))),x&amp;""–""&amp;REGEXEXTRACT(x,""[0-9]+$""),x)),"""")"),"")</f>
        <v/>
      </c>
      <c r="G2384" s="163"/>
      <c r="H23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Helper'!$F$5:$F$3004,"""")&lt;&gt;""""),ROWS(H$5:H2384)),"""")"),"")</f>
        <v/>
      </c>
    </row>
    <row r="2385" ht="15.75" customHeight="1">
      <c r="A23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Helper'!$F$5:$F$3004,"""")&lt;&gt;""""),ROWS(A$5:A2385)),"""")"),"")</f>
        <v/>
      </c>
      <c r="B23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Helper'!$F$5:$F$3004,"""")&lt;&gt;""""),ROWS(B$5:B2385)),"""")"),"")</f>
        <v/>
      </c>
      <c r="C23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Helper'!$F$5:$F$3004,"""")&lt;&gt;""""),ROWS(C$5:C2385)),"""")"),"")</f>
        <v/>
      </c>
      <c r="D23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Helper'!$F$5:$F$3004,"""")&lt;&gt;""""),ROWS(D$5:D2385)),"""")"),"")</f>
        <v/>
      </c>
      <c r="E23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Helper'!$F$5:$F$3004,"""")&lt;&gt;""""),ROWS(E$5:E2385)),"""")"),"")</f>
        <v/>
      </c>
      <c r="F23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Helper'!$F$5:$F$3004,"""")&lt;&gt;""""),ROWS(F$5:F2385)),IF(AND(LEFT(x,5)=""Pag"&amp;"e "",ISERROR(SEARCH(""–"",x))),x&amp;""–""&amp;REGEXEXTRACT(x,""[0-9]+$""),x)),"""")"),"")</f>
        <v/>
      </c>
      <c r="G2385" s="163"/>
      <c r="H23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Helper'!$F$5:$F$3004,"""")&lt;&gt;""""),ROWS(H$5:H2385)),"""")"),"")</f>
        <v/>
      </c>
    </row>
    <row r="2386" ht="15.75" customHeight="1">
      <c r="A23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Helper'!$F$5:$F$3004,"""")&lt;&gt;""""),ROWS(A$5:A2386)),"""")"),"")</f>
        <v/>
      </c>
      <c r="B23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Helper'!$F$5:$F$3004,"""")&lt;&gt;""""),ROWS(B$5:B2386)),"""")"),"")</f>
        <v/>
      </c>
      <c r="C23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Helper'!$F$5:$F$3004,"""")&lt;&gt;""""),ROWS(C$5:C2386)),"""")"),"")</f>
        <v/>
      </c>
      <c r="D23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Helper'!$F$5:$F$3004,"""")&lt;&gt;""""),ROWS(D$5:D2386)),"""")"),"")</f>
        <v/>
      </c>
      <c r="E23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Helper'!$F$5:$F$3004,"""")&lt;&gt;""""),ROWS(E$5:E2386)),"""")"),"")</f>
        <v/>
      </c>
      <c r="F23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Helper'!$F$5:$F$3004,"""")&lt;&gt;""""),ROWS(F$5:F2386)),IF(AND(LEFT(x,5)=""Pag"&amp;"e "",ISERROR(SEARCH(""–"",x))),x&amp;""–""&amp;REGEXEXTRACT(x,""[0-9]+$""),x)),"""")"),"")</f>
        <v/>
      </c>
      <c r="G2386" s="163"/>
      <c r="H23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Helper'!$F$5:$F$3004,"""")&lt;&gt;""""),ROWS(H$5:H2386)),"""")"),"")</f>
        <v/>
      </c>
    </row>
    <row r="2387" ht="15.75" customHeight="1">
      <c r="A23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Helper'!$F$5:$F$3004,"""")&lt;&gt;""""),ROWS(A$5:A2387)),"""")"),"")</f>
        <v/>
      </c>
      <c r="B23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Helper'!$F$5:$F$3004,"""")&lt;&gt;""""),ROWS(B$5:B2387)),"""")"),"")</f>
        <v/>
      </c>
      <c r="C23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Helper'!$F$5:$F$3004,"""")&lt;&gt;""""),ROWS(C$5:C2387)),"""")"),"")</f>
        <v/>
      </c>
      <c r="D23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Helper'!$F$5:$F$3004,"""")&lt;&gt;""""),ROWS(D$5:D2387)),"""")"),"")</f>
        <v/>
      </c>
      <c r="E23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Helper'!$F$5:$F$3004,"""")&lt;&gt;""""),ROWS(E$5:E2387)),"""")"),"")</f>
        <v/>
      </c>
      <c r="F23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Helper'!$F$5:$F$3004,"""")&lt;&gt;""""),ROWS(F$5:F2387)),IF(AND(LEFT(x,5)=""Pag"&amp;"e "",ISERROR(SEARCH(""–"",x))),x&amp;""–""&amp;REGEXEXTRACT(x,""[0-9]+$""),x)),"""")"),"")</f>
        <v/>
      </c>
      <c r="G2387" s="163"/>
      <c r="H23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Helper'!$F$5:$F$3004,"""")&lt;&gt;""""),ROWS(H$5:H2387)),"""")"),"")</f>
        <v/>
      </c>
    </row>
    <row r="2388" ht="15.75" customHeight="1">
      <c r="A23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Helper'!$F$5:$F$3004,"""")&lt;&gt;""""),ROWS(A$5:A2388)),"""")"),"")</f>
        <v/>
      </c>
      <c r="B23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Helper'!$F$5:$F$3004,"""")&lt;&gt;""""),ROWS(B$5:B2388)),"""")"),"")</f>
        <v/>
      </c>
      <c r="C23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Helper'!$F$5:$F$3004,"""")&lt;&gt;""""),ROWS(C$5:C2388)),"""")"),"")</f>
        <v/>
      </c>
      <c r="D23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Helper'!$F$5:$F$3004,"""")&lt;&gt;""""),ROWS(D$5:D2388)),"""")"),"")</f>
        <v/>
      </c>
      <c r="E23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Helper'!$F$5:$F$3004,"""")&lt;&gt;""""),ROWS(E$5:E2388)),"""")"),"")</f>
        <v/>
      </c>
      <c r="F23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Helper'!$F$5:$F$3004,"""")&lt;&gt;""""),ROWS(F$5:F2388)),IF(AND(LEFT(x,5)=""Pag"&amp;"e "",ISERROR(SEARCH(""–"",x))),x&amp;""–""&amp;REGEXEXTRACT(x,""[0-9]+$""),x)),"""")"),"")</f>
        <v/>
      </c>
      <c r="G2388" s="163"/>
      <c r="H23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Helper'!$F$5:$F$3004,"""")&lt;&gt;""""),ROWS(H$5:H2388)),"""")"),"")</f>
        <v/>
      </c>
    </row>
    <row r="2389" ht="15.75" customHeight="1">
      <c r="A23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Helper'!$F$5:$F$3004,"""")&lt;&gt;""""),ROWS(A$5:A2389)),"""")"),"")</f>
        <v/>
      </c>
      <c r="B23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Helper'!$F$5:$F$3004,"""")&lt;&gt;""""),ROWS(B$5:B2389)),"""")"),"")</f>
        <v/>
      </c>
      <c r="C23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Helper'!$F$5:$F$3004,"""")&lt;&gt;""""),ROWS(C$5:C2389)),"""")"),"")</f>
        <v/>
      </c>
      <c r="D23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Helper'!$F$5:$F$3004,"""")&lt;&gt;""""),ROWS(D$5:D2389)),"""")"),"")</f>
        <v/>
      </c>
      <c r="E23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Helper'!$F$5:$F$3004,"""")&lt;&gt;""""),ROWS(E$5:E2389)),"""")"),"")</f>
        <v/>
      </c>
      <c r="F23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Helper'!$F$5:$F$3004,"""")&lt;&gt;""""),ROWS(F$5:F2389)),IF(AND(LEFT(x,5)=""Pag"&amp;"e "",ISERROR(SEARCH(""–"",x))),x&amp;""–""&amp;REGEXEXTRACT(x,""[0-9]+$""),x)),"""")"),"")</f>
        <v/>
      </c>
      <c r="G2389" s="163"/>
      <c r="H23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Helper'!$F$5:$F$3004,"""")&lt;&gt;""""),ROWS(H$5:H2389)),"""")"),"")</f>
        <v/>
      </c>
    </row>
    <row r="2390" ht="15.75" customHeight="1">
      <c r="A23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Helper'!$F$5:$F$3004,"""")&lt;&gt;""""),ROWS(A$5:A2390)),"""")"),"")</f>
        <v/>
      </c>
      <c r="B23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Helper'!$F$5:$F$3004,"""")&lt;&gt;""""),ROWS(B$5:B2390)),"""")"),"")</f>
        <v/>
      </c>
      <c r="C23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Helper'!$F$5:$F$3004,"""")&lt;&gt;""""),ROWS(C$5:C2390)),"""")"),"")</f>
        <v/>
      </c>
      <c r="D23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Helper'!$F$5:$F$3004,"""")&lt;&gt;""""),ROWS(D$5:D2390)),"""")"),"")</f>
        <v/>
      </c>
      <c r="E23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Helper'!$F$5:$F$3004,"""")&lt;&gt;""""),ROWS(E$5:E2390)),"""")"),"")</f>
        <v/>
      </c>
      <c r="F23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Helper'!$F$5:$F$3004,"""")&lt;&gt;""""),ROWS(F$5:F2390)),IF(AND(LEFT(x,5)=""Pag"&amp;"e "",ISERROR(SEARCH(""–"",x))),x&amp;""–""&amp;REGEXEXTRACT(x,""[0-9]+$""),x)),"""")"),"")</f>
        <v/>
      </c>
      <c r="G2390" s="163"/>
      <c r="H23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Helper'!$F$5:$F$3004,"""")&lt;&gt;""""),ROWS(H$5:H2390)),"""")"),"")</f>
        <v/>
      </c>
    </row>
    <row r="2391" ht="15.75" customHeight="1">
      <c r="A23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Helper'!$F$5:$F$3004,"""")&lt;&gt;""""),ROWS(A$5:A2391)),"""")"),"")</f>
        <v/>
      </c>
      <c r="B23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Helper'!$F$5:$F$3004,"""")&lt;&gt;""""),ROWS(B$5:B2391)),"""")"),"")</f>
        <v/>
      </c>
      <c r="C23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Helper'!$F$5:$F$3004,"""")&lt;&gt;""""),ROWS(C$5:C2391)),"""")"),"")</f>
        <v/>
      </c>
      <c r="D23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Helper'!$F$5:$F$3004,"""")&lt;&gt;""""),ROWS(D$5:D2391)),"""")"),"")</f>
        <v/>
      </c>
      <c r="E23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Helper'!$F$5:$F$3004,"""")&lt;&gt;""""),ROWS(E$5:E2391)),"""")"),"")</f>
        <v/>
      </c>
      <c r="F23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Helper'!$F$5:$F$3004,"""")&lt;&gt;""""),ROWS(F$5:F2391)),IF(AND(LEFT(x,5)=""Pag"&amp;"e "",ISERROR(SEARCH(""–"",x))),x&amp;""–""&amp;REGEXEXTRACT(x,""[0-9]+$""),x)),"""")"),"")</f>
        <v/>
      </c>
      <c r="G2391" s="163"/>
      <c r="H23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Helper'!$F$5:$F$3004,"""")&lt;&gt;""""),ROWS(H$5:H2391)),"""")"),"")</f>
        <v/>
      </c>
    </row>
    <row r="2392" ht="15.75" customHeight="1">
      <c r="A23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Helper'!$F$5:$F$3004,"""")&lt;&gt;""""),ROWS(A$5:A2392)),"""")"),"")</f>
        <v/>
      </c>
      <c r="B23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Helper'!$F$5:$F$3004,"""")&lt;&gt;""""),ROWS(B$5:B2392)),"""")"),"")</f>
        <v/>
      </c>
      <c r="C23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Helper'!$F$5:$F$3004,"""")&lt;&gt;""""),ROWS(C$5:C2392)),"""")"),"")</f>
        <v/>
      </c>
      <c r="D23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Helper'!$F$5:$F$3004,"""")&lt;&gt;""""),ROWS(D$5:D2392)),"""")"),"")</f>
        <v/>
      </c>
      <c r="E23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Helper'!$F$5:$F$3004,"""")&lt;&gt;""""),ROWS(E$5:E2392)),"""")"),"")</f>
        <v/>
      </c>
      <c r="F23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Helper'!$F$5:$F$3004,"""")&lt;&gt;""""),ROWS(F$5:F2392)),IF(AND(LEFT(x,5)=""Pag"&amp;"e "",ISERROR(SEARCH(""–"",x))),x&amp;""–""&amp;REGEXEXTRACT(x,""[0-9]+$""),x)),"""")"),"")</f>
        <v/>
      </c>
      <c r="G2392" s="163"/>
      <c r="H23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Helper'!$F$5:$F$3004,"""")&lt;&gt;""""),ROWS(H$5:H2392)),"""")"),"")</f>
        <v/>
      </c>
    </row>
    <row r="2393" ht="15.75" customHeight="1">
      <c r="A23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Helper'!$F$5:$F$3004,"""")&lt;&gt;""""),ROWS(A$5:A2393)),"""")"),"")</f>
        <v/>
      </c>
      <c r="B23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Helper'!$F$5:$F$3004,"""")&lt;&gt;""""),ROWS(B$5:B2393)),"""")"),"")</f>
        <v/>
      </c>
      <c r="C23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Helper'!$F$5:$F$3004,"""")&lt;&gt;""""),ROWS(C$5:C2393)),"""")"),"")</f>
        <v/>
      </c>
      <c r="D23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Helper'!$F$5:$F$3004,"""")&lt;&gt;""""),ROWS(D$5:D2393)),"""")"),"")</f>
        <v/>
      </c>
      <c r="E23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Helper'!$F$5:$F$3004,"""")&lt;&gt;""""),ROWS(E$5:E2393)),"""")"),"")</f>
        <v/>
      </c>
      <c r="F23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Helper'!$F$5:$F$3004,"""")&lt;&gt;""""),ROWS(F$5:F2393)),IF(AND(LEFT(x,5)=""Pag"&amp;"e "",ISERROR(SEARCH(""–"",x))),x&amp;""–""&amp;REGEXEXTRACT(x,""[0-9]+$""),x)),"""")"),"")</f>
        <v/>
      </c>
      <c r="G2393" s="163"/>
      <c r="H23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Helper'!$F$5:$F$3004,"""")&lt;&gt;""""),ROWS(H$5:H2393)),"""")"),"")</f>
        <v/>
      </c>
    </row>
    <row r="2394" ht="15.75" customHeight="1">
      <c r="A23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Helper'!$F$5:$F$3004,"""")&lt;&gt;""""),ROWS(A$5:A2394)),"""")"),"")</f>
        <v/>
      </c>
      <c r="B23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Helper'!$F$5:$F$3004,"""")&lt;&gt;""""),ROWS(B$5:B2394)),"""")"),"")</f>
        <v/>
      </c>
      <c r="C23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Helper'!$F$5:$F$3004,"""")&lt;&gt;""""),ROWS(C$5:C2394)),"""")"),"")</f>
        <v/>
      </c>
      <c r="D23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Helper'!$F$5:$F$3004,"""")&lt;&gt;""""),ROWS(D$5:D2394)),"""")"),"")</f>
        <v/>
      </c>
      <c r="E23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Helper'!$F$5:$F$3004,"""")&lt;&gt;""""),ROWS(E$5:E2394)),"""")"),"")</f>
        <v/>
      </c>
      <c r="F23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Helper'!$F$5:$F$3004,"""")&lt;&gt;""""),ROWS(F$5:F2394)),IF(AND(LEFT(x,5)=""Pag"&amp;"e "",ISERROR(SEARCH(""–"",x))),x&amp;""–""&amp;REGEXEXTRACT(x,""[0-9]+$""),x)),"""")"),"")</f>
        <v/>
      </c>
      <c r="G2394" s="163"/>
      <c r="H23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Helper'!$F$5:$F$3004,"""")&lt;&gt;""""),ROWS(H$5:H2394)),"""")"),"")</f>
        <v/>
      </c>
    </row>
    <row r="2395" ht="15.75" customHeight="1">
      <c r="A23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Helper'!$F$5:$F$3004,"""")&lt;&gt;""""),ROWS(A$5:A2395)),"""")"),"")</f>
        <v/>
      </c>
      <c r="B23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Helper'!$F$5:$F$3004,"""")&lt;&gt;""""),ROWS(B$5:B2395)),"""")"),"")</f>
        <v/>
      </c>
      <c r="C23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Helper'!$F$5:$F$3004,"""")&lt;&gt;""""),ROWS(C$5:C2395)),"""")"),"")</f>
        <v/>
      </c>
      <c r="D23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Helper'!$F$5:$F$3004,"""")&lt;&gt;""""),ROWS(D$5:D2395)),"""")"),"")</f>
        <v/>
      </c>
      <c r="E23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Helper'!$F$5:$F$3004,"""")&lt;&gt;""""),ROWS(E$5:E2395)),"""")"),"")</f>
        <v/>
      </c>
      <c r="F23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Helper'!$F$5:$F$3004,"""")&lt;&gt;""""),ROWS(F$5:F2395)),IF(AND(LEFT(x,5)=""Pag"&amp;"e "",ISERROR(SEARCH(""–"",x))),x&amp;""–""&amp;REGEXEXTRACT(x,""[0-9]+$""),x)),"""")"),"")</f>
        <v/>
      </c>
      <c r="G2395" s="163"/>
      <c r="H23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Helper'!$F$5:$F$3004,"""")&lt;&gt;""""),ROWS(H$5:H2395)),"""")"),"")</f>
        <v/>
      </c>
    </row>
    <row r="2396" ht="15.75" customHeight="1">
      <c r="A23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Helper'!$F$5:$F$3004,"""")&lt;&gt;""""),ROWS(A$5:A2396)),"""")"),"")</f>
        <v/>
      </c>
      <c r="B23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Helper'!$F$5:$F$3004,"""")&lt;&gt;""""),ROWS(B$5:B2396)),"""")"),"")</f>
        <v/>
      </c>
      <c r="C23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Helper'!$F$5:$F$3004,"""")&lt;&gt;""""),ROWS(C$5:C2396)),"""")"),"")</f>
        <v/>
      </c>
      <c r="D23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Helper'!$F$5:$F$3004,"""")&lt;&gt;""""),ROWS(D$5:D2396)),"""")"),"")</f>
        <v/>
      </c>
      <c r="E23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Helper'!$F$5:$F$3004,"""")&lt;&gt;""""),ROWS(E$5:E2396)),"""")"),"")</f>
        <v/>
      </c>
      <c r="F23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Helper'!$F$5:$F$3004,"""")&lt;&gt;""""),ROWS(F$5:F2396)),IF(AND(LEFT(x,5)=""Pag"&amp;"e "",ISERROR(SEARCH(""–"",x))),x&amp;""–""&amp;REGEXEXTRACT(x,""[0-9]+$""),x)),"""")"),"")</f>
        <v/>
      </c>
      <c r="G2396" s="163"/>
      <c r="H23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Helper'!$F$5:$F$3004,"""")&lt;&gt;""""),ROWS(H$5:H2396)),"""")"),"")</f>
        <v/>
      </c>
    </row>
    <row r="2397" ht="15.75" customHeight="1">
      <c r="A23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Helper'!$F$5:$F$3004,"""")&lt;&gt;""""),ROWS(A$5:A2397)),"""")"),"")</f>
        <v/>
      </c>
      <c r="B23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Helper'!$F$5:$F$3004,"""")&lt;&gt;""""),ROWS(B$5:B2397)),"""")"),"")</f>
        <v/>
      </c>
      <c r="C23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Helper'!$F$5:$F$3004,"""")&lt;&gt;""""),ROWS(C$5:C2397)),"""")"),"")</f>
        <v/>
      </c>
      <c r="D23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Helper'!$F$5:$F$3004,"""")&lt;&gt;""""),ROWS(D$5:D2397)),"""")"),"")</f>
        <v/>
      </c>
      <c r="E23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Helper'!$F$5:$F$3004,"""")&lt;&gt;""""),ROWS(E$5:E2397)),"""")"),"")</f>
        <v/>
      </c>
      <c r="F23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Helper'!$F$5:$F$3004,"""")&lt;&gt;""""),ROWS(F$5:F2397)),IF(AND(LEFT(x,5)=""Pag"&amp;"e "",ISERROR(SEARCH(""–"",x))),x&amp;""–""&amp;REGEXEXTRACT(x,""[0-9]+$""),x)),"""")"),"")</f>
        <v/>
      </c>
      <c r="G2397" s="163"/>
      <c r="H23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Helper'!$F$5:$F$3004,"""")&lt;&gt;""""),ROWS(H$5:H2397)),"""")"),"")</f>
        <v/>
      </c>
    </row>
    <row r="2398" ht="15.75" customHeight="1">
      <c r="A23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Helper'!$F$5:$F$3004,"""")&lt;&gt;""""),ROWS(A$5:A2398)),"""")"),"")</f>
        <v/>
      </c>
      <c r="B23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Helper'!$F$5:$F$3004,"""")&lt;&gt;""""),ROWS(B$5:B2398)),"""")"),"")</f>
        <v/>
      </c>
      <c r="C23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Helper'!$F$5:$F$3004,"""")&lt;&gt;""""),ROWS(C$5:C2398)),"""")"),"")</f>
        <v/>
      </c>
      <c r="D23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Helper'!$F$5:$F$3004,"""")&lt;&gt;""""),ROWS(D$5:D2398)),"""")"),"")</f>
        <v/>
      </c>
      <c r="E23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Helper'!$F$5:$F$3004,"""")&lt;&gt;""""),ROWS(E$5:E2398)),"""")"),"")</f>
        <v/>
      </c>
      <c r="F23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Helper'!$F$5:$F$3004,"""")&lt;&gt;""""),ROWS(F$5:F2398)),IF(AND(LEFT(x,5)=""Pag"&amp;"e "",ISERROR(SEARCH(""–"",x))),x&amp;""–""&amp;REGEXEXTRACT(x,""[0-9]+$""),x)),"""")"),"")</f>
        <v/>
      </c>
      <c r="G2398" s="163"/>
      <c r="H23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Helper'!$F$5:$F$3004,"""")&lt;&gt;""""),ROWS(H$5:H2398)),"""")"),"")</f>
        <v/>
      </c>
    </row>
    <row r="2399" ht="15.75" customHeight="1">
      <c r="A23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Helper'!$F$5:$F$3004,"""")&lt;&gt;""""),ROWS(A$5:A2399)),"""")"),"")</f>
        <v/>
      </c>
      <c r="B23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Helper'!$F$5:$F$3004,"""")&lt;&gt;""""),ROWS(B$5:B2399)),"""")"),"")</f>
        <v/>
      </c>
      <c r="C23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Helper'!$F$5:$F$3004,"""")&lt;&gt;""""),ROWS(C$5:C2399)),"""")"),"")</f>
        <v/>
      </c>
      <c r="D23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Helper'!$F$5:$F$3004,"""")&lt;&gt;""""),ROWS(D$5:D2399)),"""")"),"")</f>
        <v/>
      </c>
      <c r="E23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Helper'!$F$5:$F$3004,"""")&lt;&gt;""""),ROWS(E$5:E2399)),"""")"),"")</f>
        <v/>
      </c>
      <c r="F23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Helper'!$F$5:$F$3004,"""")&lt;&gt;""""),ROWS(F$5:F2399)),IF(AND(LEFT(x,5)=""Pag"&amp;"e "",ISERROR(SEARCH(""–"",x))),x&amp;""–""&amp;REGEXEXTRACT(x,""[0-9]+$""),x)),"""")"),"")</f>
        <v/>
      </c>
      <c r="G2399" s="163"/>
      <c r="H23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Helper'!$F$5:$F$3004,"""")&lt;&gt;""""),ROWS(H$5:H2399)),"""")"),"")</f>
        <v/>
      </c>
    </row>
    <row r="2400" ht="15.75" customHeight="1">
      <c r="A24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Helper'!$F$5:$F$3004,"""")&lt;&gt;""""),ROWS(A$5:A2400)),"""")"),"")</f>
        <v/>
      </c>
      <c r="B24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Helper'!$F$5:$F$3004,"""")&lt;&gt;""""),ROWS(B$5:B2400)),"""")"),"")</f>
        <v/>
      </c>
      <c r="C24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Helper'!$F$5:$F$3004,"""")&lt;&gt;""""),ROWS(C$5:C2400)),"""")"),"")</f>
        <v/>
      </c>
      <c r="D24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Helper'!$F$5:$F$3004,"""")&lt;&gt;""""),ROWS(D$5:D2400)),"""")"),"")</f>
        <v/>
      </c>
      <c r="E24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Helper'!$F$5:$F$3004,"""")&lt;&gt;""""),ROWS(E$5:E2400)),"""")"),"")</f>
        <v/>
      </c>
      <c r="F24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Helper'!$F$5:$F$3004,"""")&lt;&gt;""""),ROWS(F$5:F2400)),IF(AND(LEFT(x,5)=""Pag"&amp;"e "",ISERROR(SEARCH(""–"",x))),x&amp;""–""&amp;REGEXEXTRACT(x,""[0-9]+$""),x)),"""")"),"")</f>
        <v/>
      </c>
      <c r="G2400" s="163"/>
      <c r="H24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Helper'!$F$5:$F$3004,"""")&lt;&gt;""""),ROWS(H$5:H2400)),"""")"),"")</f>
        <v/>
      </c>
    </row>
    <row r="2401" ht="15.75" customHeight="1">
      <c r="A24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Helper'!$F$5:$F$3004,"""")&lt;&gt;""""),ROWS(A$5:A2401)),"""")"),"")</f>
        <v/>
      </c>
      <c r="B24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Helper'!$F$5:$F$3004,"""")&lt;&gt;""""),ROWS(B$5:B2401)),"""")"),"")</f>
        <v/>
      </c>
      <c r="C24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Helper'!$F$5:$F$3004,"""")&lt;&gt;""""),ROWS(C$5:C2401)),"""")"),"")</f>
        <v/>
      </c>
      <c r="D24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Helper'!$F$5:$F$3004,"""")&lt;&gt;""""),ROWS(D$5:D2401)),"""")"),"")</f>
        <v/>
      </c>
      <c r="E24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Helper'!$F$5:$F$3004,"""")&lt;&gt;""""),ROWS(E$5:E2401)),"""")"),"")</f>
        <v/>
      </c>
      <c r="F24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Helper'!$F$5:$F$3004,"""")&lt;&gt;""""),ROWS(F$5:F2401)),IF(AND(LEFT(x,5)=""Pag"&amp;"e "",ISERROR(SEARCH(""–"",x))),x&amp;""–""&amp;REGEXEXTRACT(x,""[0-9]+$""),x)),"""")"),"")</f>
        <v/>
      </c>
      <c r="G2401" s="163"/>
      <c r="H24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Helper'!$F$5:$F$3004,"""")&lt;&gt;""""),ROWS(H$5:H2401)),"""")"),"")</f>
        <v/>
      </c>
    </row>
    <row r="2402" ht="15.75" customHeight="1">
      <c r="A24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Helper'!$F$5:$F$3004,"""")&lt;&gt;""""),ROWS(A$5:A2402)),"""")"),"")</f>
        <v/>
      </c>
      <c r="B24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Helper'!$F$5:$F$3004,"""")&lt;&gt;""""),ROWS(B$5:B2402)),"""")"),"")</f>
        <v/>
      </c>
      <c r="C24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Helper'!$F$5:$F$3004,"""")&lt;&gt;""""),ROWS(C$5:C2402)),"""")"),"")</f>
        <v/>
      </c>
      <c r="D24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Helper'!$F$5:$F$3004,"""")&lt;&gt;""""),ROWS(D$5:D2402)),"""")"),"")</f>
        <v/>
      </c>
      <c r="E24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Helper'!$F$5:$F$3004,"""")&lt;&gt;""""),ROWS(E$5:E2402)),"""")"),"")</f>
        <v/>
      </c>
      <c r="F24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Helper'!$F$5:$F$3004,"""")&lt;&gt;""""),ROWS(F$5:F2402)),IF(AND(LEFT(x,5)=""Pag"&amp;"e "",ISERROR(SEARCH(""–"",x))),x&amp;""–""&amp;REGEXEXTRACT(x,""[0-9]+$""),x)),"""")"),"")</f>
        <v/>
      </c>
      <c r="G2402" s="163"/>
      <c r="H24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Helper'!$F$5:$F$3004,"""")&lt;&gt;""""),ROWS(H$5:H2402)),"""")"),"")</f>
        <v/>
      </c>
    </row>
    <row r="2403" ht="15.75" customHeight="1">
      <c r="A24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Helper'!$F$5:$F$3004,"""")&lt;&gt;""""),ROWS(A$5:A2403)),"""")"),"")</f>
        <v/>
      </c>
      <c r="B24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Helper'!$F$5:$F$3004,"""")&lt;&gt;""""),ROWS(B$5:B2403)),"""")"),"")</f>
        <v/>
      </c>
      <c r="C24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Helper'!$F$5:$F$3004,"""")&lt;&gt;""""),ROWS(C$5:C2403)),"""")"),"")</f>
        <v/>
      </c>
      <c r="D24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Helper'!$F$5:$F$3004,"""")&lt;&gt;""""),ROWS(D$5:D2403)),"""")"),"")</f>
        <v/>
      </c>
      <c r="E24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Helper'!$F$5:$F$3004,"""")&lt;&gt;""""),ROWS(E$5:E2403)),"""")"),"")</f>
        <v/>
      </c>
      <c r="F24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Helper'!$F$5:$F$3004,"""")&lt;&gt;""""),ROWS(F$5:F2403)),IF(AND(LEFT(x,5)=""Pag"&amp;"e "",ISERROR(SEARCH(""–"",x))),x&amp;""–""&amp;REGEXEXTRACT(x,""[0-9]+$""),x)),"""")"),"")</f>
        <v/>
      </c>
      <c r="G2403" s="163"/>
      <c r="H24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Helper'!$F$5:$F$3004,"""")&lt;&gt;""""),ROWS(H$5:H2403)),"""")"),"")</f>
        <v/>
      </c>
    </row>
    <row r="2404" ht="15.75" customHeight="1">
      <c r="A24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Helper'!$F$5:$F$3004,"""")&lt;&gt;""""),ROWS(A$5:A2404)),"""")"),"")</f>
        <v/>
      </c>
      <c r="B24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Helper'!$F$5:$F$3004,"""")&lt;&gt;""""),ROWS(B$5:B2404)),"""")"),"")</f>
        <v/>
      </c>
      <c r="C24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Helper'!$F$5:$F$3004,"""")&lt;&gt;""""),ROWS(C$5:C2404)),"""")"),"")</f>
        <v/>
      </c>
      <c r="D24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Helper'!$F$5:$F$3004,"""")&lt;&gt;""""),ROWS(D$5:D2404)),"""")"),"")</f>
        <v/>
      </c>
      <c r="E24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Helper'!$F$5:$F$3004,"""")&lt;&gt;""""),ROWS(E$5:E2404)),"""")"),"")</f>
        <v/>
      </c>
      <c r="F24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Helper'!$F$5:$F$3004,"""")&lt;&gt;""""),ROWS(F$5:F2404)),IF(AND(LEFT(x,5)=""Pag"&amp;"e "",ISERROR(SEARCH(""–"",x))),x&amp;""–""&amp;REGEXEXTRACT(x,""[0-9]+$""),x)),"""")"),"")</f>
        <v/>
      </c>
      <c r="G2404" s="163"/>
      <c r="H24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Helper'!$F$5:$F$3004,"""")&lt;&gt;""""),ROWS(H$5:H2404)),"""")"),"")</f>
        <v/>
      </c>
    </row>
    <row r="2405" ht="15.75" customHeight="1">
      <c r="A24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Helper'!$F$5:$F$3004,"""")&lt;&gt;""""),ROWS(A$5:A2405)),"""")"),"")</f>
        <v/>
      </c>
      <c r="B24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Helper'!$F$5:$F$3004,"""")&lt;&gt;""""),ROWS(B$5:B2405)),"""")"),"")</f>
        <v/>
      </c>
      <c r="C24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Helper'!$F$5:$F$3004,"""")&lt;&gt;""""),ROWS(C$5:C2405)),"""")"),"")</f>
        <v/>
      </c>
      <c r="D24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Helper'!$F$5:$F$3004,"""")&lt;&gt;""""),ROWS(D$5:D2405)),"""")"),"")</f>
        <v/>
      </c>
      <c r="E24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Helper'!$F$5:$F$3004,"""")&lt;&gt;""""),ROWS(E$5:E2405)),"""")"),"")</f>
        <v/>
      </c>
      <c r="F24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Helper'!$F$5:$F$3004,"""")&lt;&gt;""""),ROWS(F$5:F2405)),IF(AND(LEFT(x,5)=""Pag"&amp;"e "",ISERROR(SEARCH(""–"",x))),x&amp;""–""&amp;REGEXEXTRACT(x,""[0-9]+$""),x)),"""")"),"")</f>
        <v/>
      </c>
      <c r="G2405" s="163"/>
      <c r="H24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Helper'!$F$5:$F$3004,"""")&lt;&gt;""""),ROWS(H$5:H2405)),"""")"),"")</f>
        <v/>
      </c>
    </row>
    <row r="2406" ht="15.75" customHeight="1">
      <c r="A24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Helper'!$F$5:$F$3004,"""")&lt;&gt;""""),ROWS(A$5:A2406)),"""")"),"")</f>
        <v/>
      </c>
      <c r="B24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Helper'!$F$5:$F$3004,"""")&lt;&gt;""""),ROWS(B$5:B2406)),"""")"),"")</f>
        <v/>
      </c>
      <c r="C24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Helper'!$F$5:$F$3004,"""")&lt;&gt;""""),ROWS(C$5:C2406)),"""")"),"")</f>
        <v/>
      </c>
      <c r="D24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Helper'!$F$5:$F$3004,"""")&lt;&gt;""""),ROWS(D$5:D2406)),"""")"),"")</f>
        <v/>
      </c>
      <c r="E24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Helper'!$F$5:$F$3004,"""")&lt;&gt;""""),ROWS(E$5:E2406)),"""")"),"")</f>
        <v/>
      </c>
      <c r="F24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Helper'!$F$5:$F$3004,"""")&lt;&gt;""""),ROWS(F$5:F2406)),IF(AND(LEFT(x,5)=""Pag"&amp;"e "",ISERROR(SEARCH(""–"",x))),x&amp;""–""&amp;REGEXEXTRACT(x,""[0-9]+$""),x)),"""")"),"")</f>
        <v/>
      </c>
      <c r="G2406" s="163"/>
      <c r="H24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Helper'!$F$5:$F$3004,"""")&lt;&gt;""""),ROWS(H$5:H2406)),"""")"),"")</f>
        <v/>
      </c>
    </row>
    <row r="2407" ht="15.75" customHeight="1">
      <c r="A24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Helper'!$F$5:$F$3004,"""")&lt;&gt;""""),ROWS(A$5:A2407)),"""")"),"")</f>
        <v/>
      </c>
      <c r="B24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Helper'!$F$5:$F$3004,"""")&lt;&gt;""""),ROWS(B$5:B2407)),"""")"),"")</f>
        <v/>
      </c>
      <c r="C24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Helper'!$F$5:$F$3004,"""")&lt;&gt;""""),ROWS(C$5:C2407)),"""")"),"")</f>
        <v/>
      </c>
      <c r="D24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Helper'!$F$5:$F$3004,"""")&lt;&gt;""""),ROWS(D$5:D2407)),"""")"),"")</f>
        <v/>
      </c>
      <c r="E24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Helper'!$F$5:$F$3004,"""")&lt;&gt;""""),ROWS(E$5:E2407)),"""")"),"")</f>
        <v/>
      </c>
      <c r="F24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Helper'!$F$5:$F$3004,"""")&lt;&gt;""""),ROWS(F$5:F2407)),IF(AND(LEFT(x,5)=""Pag"&amp;"e "",ISERROR(SEARCH(""–"",x))),x&amp;""–""&amp;REGEXEXTRACT(x,""[0-9]+$""),x)),"""")"),"")</f>
        <v/>
      </c>
      <c r="G2407" s="163"/>
      <c r="H24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Helper'!$F$5:$F$3004,"""")&lt;&gt;""""),ROWS(H$5:H2407)),"""")"),"")</f>
        <v/>
      </c>
    </row>
    <row r="2408" ht="15.75" customHeight="1">
      <c r="A24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Helper'!$F$5:$F$3004,"""")&lt;&gt;""""),ROWS(A$5:A2408)),"""")"),"")</f>
        <v/>
      </c>
      <c r="B24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Helper'!$F$5:$F$3004,"""")&lt;&gt;""""),ROWS(B$5:B2408)),"""")"),"")</f>
        <v/>
      </c>
      <c r="C24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Helper'!$F$5:$F$3004,"""")&lt;&gt;""""),ROWS(C$5:C2408)),"""")"),"")</f>
        <v/>
      </c>
      <c r="D24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Helper'!$F$5:$F$3004,"""")&lt;&gt;""""),ROWS(D$5:D2408)),"""")"),"")</f>
        <v/>
      </c>
      <c r="E24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Helper'!$F$5:$F$3004,"""")&lt;&gt;""""),ROWS(E$5:E2408)),"""")"),"")</f>
        <v/>
      </c>
      <c r="F24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Helper'!$F$5:$F$3004,"""")&lt;&gt;""""),ROWS(F$5:F2408)),IF(AND(LEFT(x,5)=""Pag"&amp;"e "",ISERROR(SEARCH(""–"",x))),x&amp;""–""&amp;REGEXEXTRACT(x,""[0-9]+$""),x)),"""")"),"")</f>
        <v/>
      </c>
      <c r="G2408" s="163"/>
      <c r="H24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Helper'!$F$5:$F$3004,"""")&lt;&gt;""""),ROWS(H$5:H2408)),"""")"),"")</f>
        <v/>
      </c>
    </row>
    <row r="2409" ht="15.75" customHeight="1">
      <c r="A24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Helper'!$F$5:$F$3004,"""")&lt;&gt;""""),ROWS(A$5:A2409)),"""")"),"")</f>
        <v/>
      </c>
      <c r="B24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Helper'!$F$5:$F$3004,"""")&lt;&gt;""""),ROWS(B$5:B2409)),"""")"),"")</f>
        <v/>
      </c>
      <c r="C24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Helper'!$F$5:$F$3004,"""")&lt;&gt;""""),ROWS(C$5:C2409)),"""")"),"")</f>
        <v/>
      </c>
      <c r="D24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Helper'!$F$5:$F$3004,"""")&lt;&gt;""""),ROWS(D$5:D2409)),"""")"),"")</f>
        <v/>
      </c>
      <c r="E24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Helper'!$F$5:$F$3004,"""")&lt;&gt;""""),ROWS(E$5:E2409)),"""")"),"")</f>
        <v/>
      </c>
      <c r="F24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Helper'!$F$5:$F$3004,"""")&lt;&gt;""""),ROWS(F$5:F2409)),IF(AND(LEFT(x,5)=""Pag"&amp;"e "",ISERROR(SEARCH(""–"",x))),x&amp;""–""&amp;REGEXEXTRACT(x,""[0-9]+$""),x)),"""")"),"")</f>
        <v/>
      </c>
      <c r="G2409" s="163"/>
      <c r="H24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Helper'!$F$5:$F$3004,"""")&lt;&gt;""""),ROWS(H$5:H2409)),"""")"),"")</f>
        <v/>
      </c>
    </row>
    <row r="2410" ht="15.75" customHeight="1">
      <c r="A24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Helper'!$F$5:$F$3004,"""")&lt;&gt;""""),ROWS(A$5:A2410)),"""")"),"")</f>
        <v/>
      </c>
      <c r="B24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Helper'!$F$5:$F$3004,"""")&lt;&gt;""""),ROWS(B$5:B2410)),"""")"),"")</f>
        <v/>
      </c>
      <c r="C24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Helper'!$F$5:$F$3004,"""")&lt;&gt;""""),ROWS(C$5:C2410)),"""")"),"")</f>
        <v/>
      </c>
      <c r="D24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Helper'!$F$5:$F$3004,"""")&lt;&gt;""""),ROWS(D$5:D2410)),"""")"),"")</f>
        <v/>
      </c>
      <c r="E24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Helper'!$F$5:$F$3004,"""")&lt;&gt;""""),ROWS(E$5:E2410)),"""")"),"")</f>
        <v/>
      </c>
      <c r="F24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Helper'!$F$5:$F$3004,"""")&lt;&gt;""""),ROWS(F$5:F2410)),IF(AND(LEFT(x,5)=""Pag"&amp;"e "",ISERROR(SEARCH(""–"",x))),x&amp;""–""&amp;REGEXEXTRACT(x,""[0-9]+$""),x)),"""")"),"")</f>
        <v/>
      </c>
      <c r="G2410" s="163"/>
      <c r="H24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Helper'!$F$5:$F$3004,"""")&lt;&gt;""""),ROWS(H$5:H2410)),"""")"),"")</f>
        <v/>
      </c>
    </row>
    <row r="2411" ht="15.75" customHeight="1">
      <c r="A24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Helper'!$F$5:$F$3004,"""")&lt;&gt;""""),ROWS(A$5:A2411)),"""")"),"")</f>
        <v/>
      </c>
      <c r="B24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Helper'!$F$5:$F$3004,"""")&lt;&gt;""""),ROWS(B$5:B2411)),"""")"),"")</f>
        <v/>
      </c>
      <c r="C24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Helper'!$F$5:$F$3004,"""")&lt;&gt;""""),ROWS(C$5:C2411)),"""")"),"")</f>
        <v/>
      </c>
      <c r="D24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Helper'!$F$5:$F$3004,"""")&lt;&gt;""""),ROWS(D$5:D2411)),"""")"),"")</f>
        <v/>
      </c>
      <c r="E24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Helper'!$F$5:$F$3004,"""")&lt;&gt;""""),ROWS(E$5:E2411)),"""")"),"")</f>
        <v/>
      </c>
      <c r="F24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Helper'!$F$5:$F$3004,"""")&lt;&gt;""""),ROWS(F$5:F2411)),IF(AND(LEFT(x,5)=""Pag"&amp;"e "",ISERROR(SEARCH(""–"",x))),x&amp;""–""&amp;REGEXEXTRACT(x,""[0-9]+$""),x)),"""")"),"")</f>
        <v/>
      </c>
      <c r="G2411" s="163"/>
      <c r="H24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Helper'!$F$5:$F$3004,"""")&lt;&gt;""""),ROWS(H$5:H2411)),"""")"),"")</f>
        <v/>
      </c>
    </row>
    <row r="2412" ht="15.75" customHeight="1">
      <c r="A24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Helper'!$F$5:$F$3004,"""")&lt;&gt;""""),ROWS(A$5:A2412)),"""")"),"")</f>
        <v/>
      </c>
      <c r="B24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Helper'!$F$5:$F$3004,"""")&lt;&gt;""""),ROWS(B$5:B2412)),"""")"),"")</f>
        <v/>
      </c>
      <c r="C24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Helper'!$F$5:$F$3004,"""")&lt;&gt;""""),ROWS(C$5:C2412)),"""")"),"")</f>
        <v/>
      </c>
      <c r="D24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Helper'!$F$5:$F$3004,"""")&lt;&gt;""""),ROWS(D$5:D2412)),"""")"),"")</f>
        <v/>
      </c>
      <c r="E24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Helper'!$F$5:$F$3004,"""")&lt;&gt;""""),ROWS(E$5:E2412)),"""")"),"")</f>
        <v/>
      </c>
      <c r="F24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Helper'!$F$5:$F$3004,"""")&lt;&gt;""""),ROWS(F$5:F2412)),IF(AND(LEFT(x,5)=""Pag"&amp;"e "",ISERROR(SEARCH(""–"",x))),x&amp;""–""&amp;REGEXEXTRACT(x,""[0-9]+$""),x)),"""")"),"")</f>
        <v/>
      </c>
      <c r="G2412" s="163"/>
      <c r="H24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Helper'!$F$5:$F$3004,"""")&lt;&gt;""""),ROWS(H$5:H2412)),"""")"),"")</f>
        <v/>
      </c>
    </row>
    <row r="2413" ht="15.75" customHeight="1">
      <c r="A24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Helper'!$F$5:$F$3004,"""")&lt;&gt;""""),ROWS(A$5:A2413)),"""")"),"")</f>
        <v/>
      </c>
      <c r="B24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Helper'!$F$5:$F$3004,"""")&lt;&gt;""""),ROWS(B$5:B2413)),"""")"),"")</f>
        <v/>
      </c>
      <c r="C24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Helper'!$F$5:$F$3004,"""")&lt;&gt;""""),ROWS(C$5:C2413)),"""")"),"")</f>
        <v/>
      </c>
      <c r="D24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Helper'!$F$5:$F$3004,"""")&lt;&gt;""""),ROWS(D$5:D2413)),"""")"),"")</f>
        <v/>
      </c>
      <c r="E24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Helper'!$F$5:$F$3004,"""")&lt;&gt;""""),ROWS(E$5:E2413)),"""")"),"")</f>
        <v/>
      </c>
      <c r="F24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Helper'!$F$5:$F$3004,"""")&lt;&gt;""""),ROWS(F$5:F2413)),IF(AND(LEFT(x,5)=""Pag"&amp;"e "",ISERROR(SEARCH(""–"",x))),x&amp;""–""&amp;REGEXEXTRACT(x,""[0-9]+$""),x)),"""")"),"")</f>
        <v/>
      </c>
      <c r="G2413" s="163"/>
      <c r="H24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Helper'!$F$5:$F$3004,"""")&lt;&gt;""""),ROWS(H$5:H2413)),"""")"),"")</f>
        <v/>
      </c>
    </row>
    <row r="2414" ht="15.75" customHeight="1">
      <c r="A24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Helper'!$F$5:$F$3004,"""")&lt;&gt;""""),ROWS(A$5:A2414)),"""")"),"")</f>
        <v/>
      </c>
      <c r="B24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Helper'!$F$5:$F$3004,"""")&lt;&gt;""""),ROWS(B$5:B2414)),"""")"),"")</f>
        <v/>
      </c>
      <c r="C24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Helper'!$F$5:$F$3004,"""")&lt;&gt;""""),ROWS(C$5:C2414)),"""")"),"")</f>
        <v/>
      </c>
      <c r="D24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Helper'!$F$5:$F$3004,"""")&lt;&gt;""""),ROWS(D$5:D2414)),"""")"),"")</f>
        <v/>
      </c>
      <c r="E24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Helper'!$F$5:$F$3004,"""")&lt;&gt;""""),ROWS(E$5:E2414)),"""")"),"")</f>
        <v/>
      </c>
      <c r="F24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Helper'!$F$5:$F$3004,"""")&lt;&gt;""""),ROWS(F$5:F2414)),IF(AND(LEFT(x,5)=""Pag"&amp;"e "",ISERROR(SEARCH(""–"",x))),x&amp;""–""&amp;REGEXEXTRACT(x,""[0-9]+$""),x)),"""")"),"")</f>
        <v/>
      </c>
      <c r="G2414" s="163"/>
      <c r="H24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Helper'!$F$5:$F$3004,"""")&lt;&gt;""""),ROWS(H$5:H2414)),"""")"),"")</f>
        <v/>
      </c>
    </row>
    <row r="2415" ht="15.75" customHeight="1">
      <c r="A24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Helper'!$F$5:$F$3004,"""")&lt;&gt;""""),ROWS(A$5:A2415)),"""")"),"")</f>
        <v/>
      </c>
      <c r="B24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Helper'!$F$5:$F$3004,"""")&lt;&gt;""""),ROWS(B$5:B2415)),"""")"),"")</f>
        <v/>
      </c>
      <c r="C24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Helper'!$F$5:$F$3004,"""")&lt;&gt;""""),ROWS(C$5:C2415)),"""")"),"")</f>
        <v/>
      </c>
      <c r="D24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Helper'!$F$5:$F$3004,"""")&lt;&gt;""""),ROWS(D$5:D2415)),"""")"),"")</f>
        <v/>
      </c>
      <c r="E24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Helper'!$F$5:$F$3004,"""")&lt;&gt;""""),ROWS(E$5:E2415)),"""")"),"")</f>
        <v/>
      </c>
      <c r="F24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Helper'!$F$5:$F$3004,"""")&lt;&gt;""""),ROWS(F$5:F2415)),IF(AND(LEFT(x,5)=""Pag"&amp;"e "",ISERROR(SEARCH(""–"",x))),x&amp;""–""&amp;REGEXEXTRACT(x,""[0-9]+$""),x)),"""")"),"")</f>
        <v/>
      </c>
      <c r="G2415" s="163"/>
      <c r="H24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Helper'!$F$5:$F$3004,"""")&lt;&gt;""""),ROWS(H$5:H2415)),"""")"),"")</f>
        <v/>
      </c>
    </row>
    <row r="2416" ht="15.75" customHeight="1">
      <c r="A24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Helper'!$F$5:$F$3004,"""")&lt;&gt;""""),ROWS(A$5:A2416)),"""")"),"")</f>
        <v/>
      </c>
      <c r="B24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Helper'!$F$5:$F$3004,"""")&lt;&gt;""""),ROWS(B$5:B2416)),"""")"),"")</f>
        <v/>
      </c>
      <c r="C24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Helper'!$F$5:$F$3004,"""")&lt;&gt;""""),ROWS(C$5:C2416)),"""")"),"")</f>
        <v/>
      </c>
      <c r="D24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Helper'!$F$5:$F$3004,"""")&lt;&gt;""""),ROWS(D$5:D2416)),"""")"),"")</f>
        <v/>
      </c>
      <c r="E24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Helper'!$F$5:$F$3004,"""")&lt;&gt;""""),ROWS(E$5:E2416)),"""")"),"")</f>
        <v/>
      </c>
      <c r="F24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Helper'!$F$5:$F$3004,"""")&lt;&gt;""""),ROWS(F$5:F2416)),IF(AND(LEFT(x,5)=""Pag"&amp;"e "",ISERROR(SEARCH(""–"",x))),x&amp;""–""&amp;REGEXEXTRACT(x,""[0-9]+$""),x)),"""")"),"")</f>
        <v/>
      </c>
      <c r="G2416" s="163"/>
      <c r="H24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Helper'!$F$5:$F$3004,"""")&lt;&gt;""""),ROWS(H$5:H2416)),"""")"),"")</f>
        <v/>
      </c>
    </row>
    <row r="2417" ht="15.75" customHeight="1">
      <c r="A24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Helper'!$F$5:$F$3004,"""")&lt;&gt;""""),ROWS(A$5:A2417)),"""")"),"")</f>
        <v/>
      </c>
      <c r="B24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Helper'!$F$5:$F$3004,"""")&lt;&gt;""""),ROWS(B$5:B2417)),"""")"),"")</f>
        <v/>
      </c>
      <c r="C24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Helper'!$F$5:$F$3004,"""")&lt;&gt;""""),ROWS(C$5:C2417)),"""")"),"")</f>
        <v/>
      </c>
      <c r="D24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Helper'!$F$5:$F$3004,"""")&lt;&gt;""""),ROWS(D$5:D2417)),"""")"),"")</f>
        <v/>
      </c>
      <c r="E24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Helper'!$F$5:$F$3004,"""")&lt;&gt;""""),ROWS(E$5:E2417)),"""")"),"")</f>
        <v/>
      </c>
      <c r="F24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Helper'!$F$5:$F$3004,"""")&lt;&gt;""""),ROWS(F$5:F2417)),IF(AND(LEFT(x,5)=""Pag"&amp;"e "",ISERROR(SEARCH(""–"",x))),x&amp;""–""&amp;REGEXEXTRACT(x,""[0-9]+$""),x)),"""")"),"")</f>
        <v/>
      </c>
      <c r="G2417" s="163"/>
      <c r="H24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Helper'!$F$5:$F$3004,"""")&lt;&gt;""""),ROWS(H$5:H2417)),"""")"),"")</f>
        <v/>
      </c>
    </row>
    <row r="2418" ht="15.75" customHeight="1">
      <c r="A24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Helper'!$F$5:$F$3004,"""")&lt;&gt;""""),ROWS(A$5:A2418)),"""")"),"")</f>
        <v/>
      </c>
      <c r="B24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Helper'!$F$5:$F$3004,"""")&lt;&gt;""""),ROWS(B$5:B2418)),"""")"),"")</f>
        <v/>
      </c>
      <c r="C24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Helper'!$F$5:$F$3004,"""")&lt;&gt;""""),ROWS(C$5:C2418)),"""")"),"")</f>
        <v/>
      </c>
      <c r="D24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Helper'!$F$5:$F$3004,"""")&lt;&gt;""""),ROWS(D$5:D2418)),"""")"),"")</f>
        <v/>
      </c>
      <c r="E24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Helper'!$F$5:$F$3004,"""")&lt;&gt;""""),ROWS(E$5:E2418)),"""")"),"")</f>
        <v/>
      </c>
      <c r="F24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Helper'!$F$5:$F$3004,"""")&lt;&gt;""""),ROWS(F$5:F2418)),IF(AND(LEFT(x,5)=""Pag"&amp;"e "",ISERROR(SEARCH(""–"",x))),x&amp;""–""&amp;REGEXEXTRACT(x,""[0-9]+$""),x)),"""")"),"")</f>
        <v/>
      </c>
      <c r="G2418" s="163"/>
      <c r="H24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Helper'!$F$5:$F$3004,"""")&lt;&gt;""""),ROWS(H$5:H2418)),"""")"),"")</f>
        <v/>
      </c>
    </row>
    <row r="2419" ht="15.75" customHeight="1">
      <c r="A24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Helper'!$F$5:$F$3004,"""")&lt;&gt;""""),ROWS(A$5:A2419)),"""")"),"")</f>
        <v/>
      </c>
      <c r="B24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Helper'!$F$5:$F$3004,"""")&lt;&gt;""""),ROWS(B$5:B2419)),"""")"),"")</f>
        <v/>
      </c>
      <c r="C24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Helper'!$F$5:$F$3004,"""")&lt;&gt;""""),ROWS(C$5:C2419)),"""")"),"")</f>
        <v/>
      </c>
      <c r="D24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Helper'!$F$5:$F$3004,"""")&lt;&gt;""""),ROWS(D$5:D2419)),"""")"),"")</f>
        <v/>
      </c>
      <c r="E24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Helper'!$F$5:$F$3004,"""")&lt;&gt;""""),ROWS(E$5:E2419)),"""")"),"")</f>
        <v/>
      </c>
      <c r="F24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Helper'!$F$5:$F$3004,"""")&lt;&gt;""""),ROWS(F$5:F2419)),IF(AND(LEFT(x,5)=""Pag"&amp;"e "",ISERROR(SEARCH(""–"",x))),x&amp;""–""&amp;REGEXEXTRACT(x,""[0-9]+$""),x)),"""")"),"")</f>
        <v/>
      </c>
      <c r="G2419" s="163"/>
      <c r="H24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Helper'!$F$5:$F$3004,"""")&lt;&gt;""""),ROWS(H$5:H2419)),"""")"),"")</f>
        <v/>
      </c>
    </row>
    <row r="2420" ht="15.75" customHeight="1">
      <c r="A24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Helper'!$F$5:$F$3004,"""")&lt;&gt;""""),ROWS(A$5:A2420)),"""")"),"")</f>
        <v/>
      </c>
      <c r="B24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Helper'!$F$5:$F$3004,"""")&lt;&gt;""""),ROWS(B$5:B2420)),"""")"),"")</f>
        <v/>
      </c>
      <c r="C24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Helper'!$F$5:$F$3004,"""")&lt;&gt;""""),ROWS(C$5:C2420)),"""")"),"")</f>
        <v/>
      </c>
      <c r="D24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Helper'!$F$5:$F$3004,"""")&lt;&gt;""""),ROWS(D$5:D2420)),"""")"),"")</f>
        <v/>
      </c>
      <c r="E24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Helper'!$F$5:$F$3004,"""")&lt;&gt;""""),ROWS(E$5:E2420)),"""")"),"")</f>
        <v/>
      </c>
      <c r="F24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Helper'!$F$5:$F$3004,"""")&lt;&gt;""""),ROWS(F$5:F2420)),IF(AND(LEFT(x,5)=""Pag"&amp;"e "",ISERROR(SEARCH(""–"",x))),x&amp;""–""&amp;REGEXEXTRACT(x,""[0-9]+$""),x)),"""")"),"")</f>
        <v/>
      </c>
      <c r="G2420" s="163"/>
      <c r="H24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Helper'!$F$5:$F$3004,"""")&lt;&gt;""""),ROWS(H$5:H2420)),"""")"),"")</f>
        <v/>
      </c>
    </row>
    <row r="2421" ht="15.75" customHeight="1">
      <c r="A24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Helper'!$F$5:$F$3004,"""")&lt;&gt;""""),ROWS(A$5:A2421)),"""")"),"")</f>
        <v/>
      </c>
      <c r="B24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Helper'!$F$5:$F$3004,"""")&lt;&gt;""""),ROWS(B$5:B2421)),"""")"),"")</f>
        <v/>
      </c>
      <c r="C24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Helper'!$F$5:$F$3004,"""")&lt;&gt;""""),ROWS(C$5:C2421)),"""")"),"")</f>
        <v/>
      </c>
      <c r="D24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Helper'!$F$5:$F$3004,"""")&lt;&gt;""""),ROWS(D$5:D2421)),"""")"),"")</f>
        <v/>
      </c>
      <c r="E24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Helper'!$F$5:$F$3004,"""")&lt;&gt;""""),ROWS(E$5:E2421)),"""")"),"")</f>
        <v/>
      </c>
      <c r="F24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Helper'!$F$5:$F$3004,"""")&lt;&gt;""""),ROWS(F$5:F2421)),IF(AND(LEFT(x,5)=""Pag"&amp;"e "",ISERROR(SEARCH(""–"",x))),x&amp;""–""&amp;REGEXEXTRACT(x,""[0-9]+$""),x)),"""")"),"")</f>
        <v/>
      </c>
      <c r="G2421" s="163"/>
      <c r="H24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Helper'!$F$5:$F$3004,"""")&lt;&gt;""""),ROWS(H$5:H2421)),"""")"),"")</f>
        <v/>
      </c>
    </row>
    <row r="2422" ht="15.75" customHeight="1">
      <c r="A24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Helper'!$F$5:$F$3004,"""")&lt;&gt;""""),ROWS(A$5:A2422)),"""")"),"")</f>
        <v/>
      </c>
      <c r="B24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Helper'!$F$5:$F$3004,"""")&lt;&gt;""""),ROWS(B$5:B2422)),"""")"),"")</f>
        <v/>
      </c>
      <c r="C24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Helper'!$F$5:$F$3004,"""")&lt;&gt;""""),ROWS(C$5:C2422)),"""")"),"")</f>
        <v/>
      </c>
      <c r="D24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Helper'!$F$5:$F$3004,"""")&lt;&gt;""""),ROWS(D$5:D2422)),"""")"),"")</f>
        <v/>
      </c>
      <c r="E24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Helper'!$F$5:$F$3004,"""")&lt;&gt;""""),ROWS(E$5:E2422)),"""")"),"")</f>
        <v/>
      </c>
      <c r="F24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Helper'!$F$5:$F$3004,"""")&lt;&gt;""""),ROWS(F$5:F2422)),IF(AND(LEFT(x,5)=""Pag"&amp;"e "",ISERROR(SEARCH(""–"",x))),x&amp;""–""&amp;REGEXEXTRACT(x,""[0-9]+$""),x)),"""")"),"")</f>
        <v/>
      </c>
      <c r="G2422" s="163"/>
      <c r="H24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Helper'!$F$5:$F$3004,"""")&lt;&gt;""""),ROWS(H$5:H2422)),"""")"),"")</f>
        <v/>
      </c>
    </row>
    <row r="2423" ht="15.75" customHeight="1">
      <c r="A24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Helper'!$F$5:$F$3004,"""")&lt;&gt;""""),ROWS(A$5:A2423)),"""")"),"")</f>
        <v/>
      </c>
      <c r="B24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Helper'!$F$5:$F$3004,"""")&lt;&gt;""""),ROWS(B$5:B2423)),"""")"),"")</f>
        <v/>
      </c>
      <c r="C24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Helper'!$F$5:$F$3004,"""")&lt;&gt;""""),ROWS(C$5:C2423)),"""")"),"")</f>
        <v/>
      </c>
      <c r="D24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Helper'!$F$5:$F$3004,"""")&lt;&gt;""""),ROWS(D$5:D2423)),"""")"),"")</f>
        <v/>
      </c>
      <c r="E24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Helper'!$F$5:$F$3004,"""")&lt;&gt;""""),ROWS(E$5:E2423)),"""")"),"")</f>
        <v/>
      </c>
      <c r="F24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Helper'!$F$5:$F$3004,"""")&lt;&gt;""""),ROWS(F$5:F2423)),IF(AND(LEFT(x,5)=""Pag"&amp;"e "",ISERROR(SEARCH(""–"",x))),x&amp;""–""&amp;REGEXEXTRACT(x,""[0-9]+$""),x)),"""")"),"")</f>
        <v/>
      </c>
      <c r="G2423" s="163"/>
      <c r="H24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Helper'!$F$5:$F$3004,"""")&lt;&gt;""""),ROWS(H$5:H2423)),"""")"),"")</f>
        <v/>
      </c>
    </row>
    <row r="2424" ht="15.75" customHeight="1">
      <c r="A24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Helper'!$F$5:$F$3004,"""")&lt;&gt;""""),ROWS(A$5:A2424)),"""")"),"")</f>
        <v/>
      </c>
      <c r="B24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Helper'!$F$5:$F$3004,"""")&lt;&gt;""""),ROWS(B$5:B2424)),"""")"),"")</f>
        <v/>
      </c>
      <c r="C24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Helper'!$F$5:$F$3004,"""")&lt;&gt;""""),ROWS(C$5:C2424)),"""")"),"")</f>
        <v/>
      </c>
      <c r="D24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Helper'!$F$5:$F$3004,"""")&lt;&gt;""""),ROWS(D$5:D2424)),"""")"),"")</f>
        <v/>
      </c>
      <c r="E24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Helper'!$F$5:$F$3004,"""")&lt;&gt;""""),ROWS(E$5:E2424)),"""")"),"")</f>
        <v/>
      </c>
      <c r="F24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Helper'!$F$5:$F$3004,"""")&lt;&gt;""""),ROWS(F$5:F2424)),IF(AND(LEFT(x,5)=""Pag"&amp;"e "",ISERROR(SEARCH(""–"",x))),x&amp;""–""&amp;REGEXEXTRACT(x,""[0-9]+$""),x)),"""")"),"")</f>
        <v/>
      </c>
      <c r="G2424" s="163"/>
      <c r="H24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Helper'!$F$5:$F$3004,"""")&lt;&gt;""""),ROWS(H$5:H2424)),"""")"),"")</f>
        <v/>
      </c>
    </row>
    <row r="2425" ht="15.75" customHeight="1">
      <c r="A24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Helper'!$F$5:$F$3004,"""")&lt;&gt;""""),ROWS(A$5:A2425)),"""")"),"")</f>
        <v/>
      </c>
      <c r="B24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Helper'!$F$5:$F$3004,"""")&lt;&gt;""""),ROWS(B$5:B2425)),"""")"),"")</f>
        <v/>
      </c>
      <c r="C24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Helper'!$F$5:$F$3004,"""")&lt;&gt;""""),ROWS(C$5:C2425)),"""")"),"")</f>
        <v/>
      </c>
      <c r="D24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Helper'!$F$5:$F$3004,"""")&lt;&gt;""""),ROWS(D$5:D2425)),"""")"),"")</f>
        <v/>
      </c>
      <c r="E24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Helper'!$F$5:$F$3004,"""")&lt;&gt;""""),ROWS(E$5:E2425)),"""")"),"")</f>
        <v/>
      </c>
      <c r="F24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Helper'!$F$5:$F$3004,"""")&lt;&gt;""""),ROWS(F$5:F2425)),IF(AND(LEFT(x,5)=""Pag"&amp;"e "",ISERROR(SEARCH(""–"",x))),x&amp;""–""&amp;REGEXEXTRACT(x,""[0-9]+$""),x)),"""")"),"")</f>
        <v/>
      </c>
      <c r="G2425" s="163"/>
      <c r="H24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Helper'!$F$5:$F$3004,"""")&lt;&gt;""""),ROWS(H$5:H2425)),"""")"),"")</f>
        <v/>
      </c>
    </row>
    <row r="2426" ht="15.75" customHeight="1">
      <c r="A24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Helper'!$F$5:$F$3004,"""")&lt;&gt;""""),ROWS(A$5:A2426)),"""")"),"")</f>
        <v/>
      </c>
      <c r="B24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Helper'!$F$5:$F$3004,"""")&lt;&gt;""""),ROWS(B$5:B2426)),"""")"),"")</f>
        <v/>
      </c>
      <c r="C24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Helper'!$F$5:$F$3004,"""")&lt;&gt;""""),ROWS(C$5:C2426)),"""")"),"")</f>
        <v/>
      </c>
      <c r="D24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Helper'!$F$5:$F$3004,"""")&lt;&gt;""""),ROWS(D$5:D2426)),"""")"),"")</f>
        <v/>
      </c>
      <c r="E24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Helper'!$F$5:$F$3004,"""")&lt;&gt;""""),ROWS(E$5:E2426)),"""")"),"")</f>
        <v/>
      </c>
      <c r="F24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Helper'!$F$5:$F$3004,"""")&lt;&gt;""""),ROWS(F$5:F2426)),IF(AND(LEFT(x,5)=""Pag"&amp;"e "",ISERROR(SEARCH(""–"",x))),x&amp;""–""&amp;REGEXEXTRACT(x,""[0-9]+$""),x)),"""")"),"")</f>
        <v/>
      </c>
      <c r="G2426" s="163"/>
      <c r="H24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Helper'!$F$5:$F$3004,"""")&lt;&gt;""""),ROWS(H$5:H2426)),"""")"),"")</f>
        <v/>
      </c>
    </row>
    <row r="2427" ht="15.75" customHeight="1">
      <c r="A24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Helper'!$F$5:$F$3004,"""")&lt;&gt;""""),ROWS(A$5:A2427)),"""")"),"")</f>
        <v/>
      </c>
      <c r="B24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Helper'!$F$5:$F$3004,"""")&lt;&gt;""""),ROWS(B$5:B2427)),"""")"),"")</f>
        <v/>
      </c>
      <c r="C24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Helper'!$F$5:$F$3004,"""")&lt;&gt;""""),ROWS(C$5:C2427)),"""")"),"")</f>
        <v/>
      </c>
      <c r="D24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Helper'!$F$5:$F$3004,"""")&lt;&gt;""""),ROWS(D$5:D2427)),"""")"),"")</f>
        <v/>
      </c>
      <c r="E24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Helper'!$F$5:$F$3004,"""")&lt;&gt;""""),ROWS(E$5:E2427)),"""")"),"")</f>
        <v/>
      </c>
      <c r="F24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Helper'!$F$5:$F$3004,"""")&lt;&gt;""""),ROWS(F$5:F2427)),IF(AND(LEFT(x,5)=""Pag"&amp;"e "",ISERROR(SEARCH(""–"",x))),x&amp;""–""&amp;REGEXEXTRACT(x,""[0-9]+$""),x)),"""")"),"")</f>
        <v/>
      </c>
      <c r="G2427" s="163"/>
      <c r="H24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Helper'!$F$5:$F$3004,"""")&lt;&gt;""""),ROWS(H$5:H2427)),"""")"),"")</f>
        <v/>
      </c>
    </row>
    <row r="2428" ht="15.75" customHeight="1">
      <c r="A24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Helper'!$F$5:$F$3004,"""")&lt;&gt;""""),ROWS(A$5:A2428)),"""")"),"")</f>
        <v/>
      </c>
      <c r="B24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Helper'!$F$5:$F$3004,"""")&lt;&gt;""""),ROWS(B$5:B2428)),"""")"),"")</f>
        <v/>
      </c>
      <c r="C24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Helper'!$F$5:$F$3004,"""")&lt;&gt;""""),ROWS(C$5:C2428)),"""")"),"")</f>
        <v/>
      </c>
      <c r="D24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Helper'!$F$5:$F$3004,"""")&lt;&gt;""""),ROWS(D$5:D2428)),"""")"),"")</f>
        <v/>
      </c>
      <c r="E24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Helper'!$F$5:$F$3004,"""")&lt;&gt;""""),ROWS(E$5:E2428)),"""")"),"")</f>
        <v/>
      </c>
      <c r="F24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Helper'!$F$5:$F$3004,"""")&lt;&gt;""""),ROWS(F$5:F2428)),IF(AND(LEFT(x,5)=""Pag"&amp;"e "",ISERROR(SEARCH(""–"",x))),x&amp;""–""&amp;REGEXEXTRACT(x,""[0-9]+$""),x)),"""")"),"")</f>
        <v/>
      </c>
      <c r="G2428" s="163"/>
      <c r="H24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Helper'!$F$5:$F$3004,"""")&lt;&gt;""""),ROWS(H$5:H2428)),"""")"),"")</f>
        <v/>
      </c>
    </row>
    <row r="2429" ht="15.75" customHeight="1">
      <c r="A24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Helper'!$F$5:$F$3004,"""")&lt;&gt;""""),ROWS(A$5:A2429)),"""")"),"")</f>
        <v/>
      </c>
      <c r="B24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Helper'!$F$5:$F$3004,"""")&lt;&gt;""""),ROWS(B$5:B2429)),"""")"),"")</f>
        <v/>
      </c>
      <c r="C24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Helper'!$F$5:$F$3004,"""")&lt;&gt;""""),ROWS(C$5:C2429)),"""")"),"")</f>
        <v/>
      </c>
      <c r="D24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Helper'!$F$5:$F$3004,"""")&lt;&gt;""""),ROWS(D$5:D2429)),"""")"),"")</f>
        <v/>
      </c>
      <c r="E24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Helper'!$F$5:$F$3004,"""")&lt;&gt;""""),ROWS(E$5:E2429)),"""")"),"")</f>
        <v/>
      </c>
      <c r="F24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Helper'!$F$5:$F$3004,"""")&lt;&gt;""""),ROWS(F$5:F2429)),IF(AND(LEFT(x,5)=""Pag"&amp;"e "",ISERROR(SEARCH(""–"",x))),x&amp;""–""&amp;REGEXEXTRACT(x,""[0-9]+$""),x)),"""")"),"")</f>
        <v/>
      </c>
      <c r="G2429" s="163"/>
      <c r="H24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Helper'!$F$5:$F$3004,"""")&lt;&gt;""""),ROWS(H$5:H2429)),"""")"),"")</f>
        <v/>
      </c>
    </row>
    <row r="2430" ht="15.75" customHeight="1">
      <c r="A24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Helper'!$F$5:$F$3004,"""")&lt;&gt;""""),ROWS(A$5:A2430)),"""")"),"")</f>
        <v/>
      </c>
      <c r="B24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Helper'!$F$5:$F$3004,"""")&lt;&gt;""""),ROWS(B$5:B2430)),"""")"),"")</f>
        <v/>
      </c>
      <c r="C24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Helper'!$F$5:$F$3004,"""")&lt;&gt;""""),ROWS(C$5:C2430)),"""")"),"")</f>
        <v/>
      </c>
      <c r="D24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Helper'!$F$5:$F$3004,"""")&lt;&gt;""""),ROWS(D$5:D2430)),"""")"),"")</f>
        <v/>
      </c>
      <c r="E24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Helper'!$F$5:$F$3004,"""")&lt;&gt;""""),ROWS(E$5:E2430)),"""")"),"")</f>
        <v/>
      </c>
      <c r="F24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Helper'!$F$5:$F$3004,"""")&lt;&gt;""""),ROWS(F$5:F2430)),IF(AND(LEFT(x,5)=""Pag"&amp;"e "",ISERROR(SEARCH(""–"",x))),x&amp;""–""&amp;REGEXEXTRACT(x,""[0-9]+$""),x)),"""")"),"")</f>
        <v/>
      </c>
      <c r="G2430" s="163"/>
      <c r="H24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Helper'!$F$5:$F$3004,"""")&lt;&gt;""""),ROWS(H$5:H2430)),"""")"),"")</f>
        <v/>
      </c>
    </row>
    <row r="2431" ht="15.75" customHeight="1">
      <c r="A24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Helper'!$F$5:$F$3004,"""")&lt;&gt;""""),ROWS(A$5:A2431)),"""")"),"")</f>
        <v/>
      </c>
      <c r="B24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Helper'!$F$5:$F$3004,"""")&lt;&gt;""""),ROWS(B$5:B2431)),"""")"),"")</f>
        <v/>
      </c>
      <c r="C24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Helper'!$F$5:$F$3004,"""")&lt;&gt;""""),ROWS(C$5:C2431)),"""")"),"")</f>
        <v/>
      </c>
      <c r="D24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Helper'!$F$5:$F$3004,"""")&lt;&gt;""""),ROWS(D$5:D2431)),"""")"),"")</f>
        <v/>
      </c>
      <c r="E24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Helper'!$F$5:$F$3004,"""")&lt;&gt;""""),ROWS(E$5:E2431)),"""")"),"")</f>
        <v/>
      </c>
      <c r="F24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Helper'!$F$5:$F$3004,"""")&lt;&gt;""""),ROWS(F$5:F2431)),IF(AND(LEFT(x,5)=""Pag"&amp;"e "",ISERROR(SEARCH(""–"",x))),x&amp;""–""&amp;REGEXEXTRACT(x,""[0-9]+$""),x)),"""")"),"")</f>
        <v/>
      </c>
      <c r="G2431" s="163"/>
      <c r="H24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Helper'!$F$5:$F$3004,"""")&lt;&gt;""""),ROWS(H$5:H2431)),"""")"),"")</f>
        <v/>
      </c>
    </row>
    <row r="2432" ht="15.75" customHeight="1">
      <c r="A24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Helper'!$F$5:$F$3004,"""")&lt;&gt;""""),ROWS(A$5:A2432)),"""")"),"")</f>
        <v/>
      </c>
      <c r="B24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Helper'!$F$5:$F$3004,"""")&lt;&gt;""""),ROWS(B$5:B2432)),"""")"),"")</f>
        <v/>
      </c>
      <c r="C24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Helper'!$F$5:$F$3004,"""")&lt;&gt;""""),ROWS(C$5:C2432)),"""")"),"")</f>
        <v/>
      </c>
      <c r="D24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Helper'!$F$5:$F$3004,"""")&lt;&gt;""""),ROWS(D$5:D2432)),"""")"),"")</f>
        <v/>
      </c>
      <c r="E24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Helper'!$F$5:$F$3004,"""")&lt;&gt;""""),ROWS(E$5:E2432)),"""")"),"")</f>
        <v/>
      </c>
      <c r="F24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Helper'!$F$5:$F$3004,"""")&lt;&gt;""""),ROWS(F$5:F2432)),IF(AND(LEFT(x,5)=""Pag"&amp;"e "",ISERROR(SEARCH(""–"",x))),x&amp;""–""&amp;REGEXEXTRACT(x,""[0-9]+$""),x)),"""")"),"")</f>
        <v/>
      </c>
      <c r="G2432" s="163"/>
      <c r="H24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Helper'!$F$5:$F$3004,"""")&lt;&gt;""""),ROWS(H$5:H2432)),"""")"),"")</f>
        <v/>
      </c>
    </row>
    <row r="2433" ht="15.75" customHeight="1">
      <c r="A24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Helper'!$F$5:$F$3004,"""")&lt;&gt;""""),ROWS(A$5:A2433)),"""")"),"")</f>
        <v/>
      </c>
      <c r="B24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Helper'!$F$5:$F$3004,"""")&lt;&gt;""""),ROWS(B$5:B2433)),"""")"),"")</f>
        <v/>
      </c>
      <c r="C24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Helper'!$F$5:$F$3004,"""")&lt;&gt;""""),ROWS(C$5:C2433)),"""")"),"")</f>
        <v/>
      </c>
      <c r="D24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Helper'!$F$5:$F$3004,"""")&lt;&gt;""""),ROWS(D$5:D2433)),"""")"),"")</f>
        <v/>
      </c>
      <c r="E24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Helper'!$F$5:$F$3004,"""")&lt;&gt;""""),ROWS(E$5:E2433)),"""")"),"")</f>
        <v/>
      </c>
      <c r="F24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Helper'!$F$5:$F$3004,"""")&lt;&gt;""""),ROWS(F$5:F2433)),IF(AND(LEFT(x,5)=""Pag"&amp;"e "",ISERROR(SEARCH(""–"",x))),x&amp;""–""&amp;REGEXEXTRACT(x,""[0-9]+$""),x)),"""")"),"")</f>
        <v/>
      </c>
      <c r="G2433" s="163"/>
      <c r="H24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Helper'!$F$5:$F$3004,"""")&lt;&gt;""""),ROWS(H$5:H2433)),"""")"),"")</f>
        <v/>
      </c>
    </row>
    <row r="2434" ht="15.75" customHeight="1">
      <c r="A24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Helper'!$F$5:$F$3004,"""")&lt;&gt;""""),ROWS(A$5:A2434)),"""")"),"")</f>
        <v/>
      </c>
      <c r="B24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Helper'!$F$5:$F$3004,"""")&lt;&gt;""""),ROWS(B$5:B2434)),"""")"),"")</f>
        <v/>
      </c>
      <c r="C24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Helper'!$F$5:$F$3004,"""")&lt;&gt;""""),ROWS(C$5:C2434)),"""")"),"")</f>
        <v/>
      </c>
      <c r="D24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Helper'!$F$5:$F$3004,"""")&lt;&gt;""""),ROWS(D$5:D2434)),"""")"),"")</f>
        <v/>
      </c>
      <c r="E24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Helper'!$F$5:$F$3004,"""")&lt;&gt;""""),ROWS(E$5:E2434)),"""")"),"")</f>
        <v/>
      </c>
      <c r="F24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Helper'!$F$5:$F$3004,"""")&lt;&gt;""""),ROWS(F$5:F2434)),IF(AND(LEFT(x,5)=""Pag"&amp;"e "",ISERROR(SEARCH(""–"",x))),x&amp;""–""&amp;REGEXEXTRACT(x,""[0-9]+$""),x)),"""")"),"")</f>
        <v/>
      </c>
      <c r="G2434" s="163"/>
      <c r="H24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Helper'!$F$5:$F$3004,"""")&lt;&gt;""""),ROWS(H$5:H2434)),"""")"),"")</f>
        <v/>
      </c>
    </row>
    <row r="2435" ht="15.75" customHeight="1">
      <c r="A24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Helper'!$F$5:$F$3004,"""")&lt;&gt;""""),ROWS(A$5:A2435)),"""")"),"")</f>
        <v/>
      </c>
      <c r="B24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Helper'!$F$5:$F$3004,"""")&lt;&gt;""""),ROWS(B$5:B2435)),"""")"),"")</f>
        <v/>
      </c>
      <c r="C24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Helper'!$F$5:$F$3004,"""")&lt;&gt;""""),ROWS(C$5:C2435)),"""")"),"")</f>
        <v/>
      </c>
      <c r="D24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Helper'!$F$5:$F$3004,"""")&lt;&gt;""""),ROWS(D$5:D2435)),"""")"),"")</f>
        <v/>
      </c>
      <c r="E24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Helper'!$F$5:$F$3004,"""")&lt;&gt;""""),ROWS(E$5:E2435)),"""")"),"")</f>
        <v/>
      </c>
      <c r="F24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Helper'!$F$5:$F$3004,"""")&lt;&gt;""""),ROWS(F$5:F2435)),IF(AND(LEFT(x,5)=""Pag"&amp;"e "",ISERROR(SEARCH(""–"",x))),x&amp;""–""&amp;REGEXEXTRACT(x,""[0-9]+$""),x)),"""")"),"")</f>
        <v/>
      </c>
      <c r="G2435" s="163"/>
      <c r="H24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Helper'!$F$5:$F$3004,"""")&lt;&gt;""""),ROWS(H$5:H2435)),"""")"),"")</f>
        <v/>
      </c>
    </row>
    <row r="2436" ht="15.75" customHeight="1">
      <c r="A24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Helper'!$F$5:$F$3004,"""")&lt;&gt;""""),ROWS(A$5:A2436)),"""")"),"")</f>
        <v/>
      </c>
      <c r="B24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Helper'!$F$5:$F$3004,"""")&lt;&gt;""""),ROWS(B$5:B2436)),"""")"),"")</f>
        <v/>
      </c>
      <c r="C24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Helper'!$F$5:$F$3004,"""")&lt;&gt;""""),ROWS(C$5:C2436)),"""")"),"")</f>
        <v/>
      </c>
      <c r="D24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Helper'!$F$5:$F$3004,"""")&lt;&gt;""""),ROWS(D$5:D2436)),"""")"),"")</f>
        <v/>
      </c>
      <c r="E24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Helper'!$F$5:$F$3004,"""")&lt;&gt;""""),ROWS(E$5:E2436)),"""")"),"")</f>
        <v/>
      </c>
      <c r="F24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Helper'!$F$5:$F$3004,"""")&lt;&gt;""""),ROWS(F$5:F2436)),IF(AND(LEFT(x,5)=""Pag"&amp;"e "",ISERROR(SEARCH(""–"",x))),x&amp;""–""&amp;REGEXEXTRACT(x,""[0-9]+$""),x)),"""")"),"")</f>
        <v/>
      </c>
      <c r="G2436" s="163"/>
      <c r="H24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Helper'!$F$5:$F$3004,"""")&lt;&gt;""""),ROWS(H$5:H2436)),"""")"),"")</f>
        <v/>
      </c>
    </row>
    <row r="2437" ht="15.75" customHeight="1">
      <c r="A24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Helper'!$F$5:$F$3004,"""")&lt;&gt;""""),ROWS(A$5:A2437)),"""")"),"")</f>
        <v/>
      </c>
      <c r="B24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Helper'!$F$5:$F$3004,"""")&lt;&gt;""""),ROWS(B$5:B2437)),"""")"),"")</f>
        <v/>
      </c>
      <c r="C24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Helper'!$F$5:$F$3004,"""")&lt;&gt;""""),ROWS(C$5:C2437)),"""")"),"")</f>
        <v/>
      </c>
      <c r="D24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Helper'!$F$5:$F$3004,"""")&lt;&gt;""""),ROWS(D$5:D2437)),"""")"),"")</f>
        <v/>
      </c>
      <c r="E24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Helper'!$F$5:$F$3004,"""")&lt;&gt;""""),ROWS(E$5:E2437)),"""")"),"")</f>
        <v/>
      </c>
      <c r="F24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Helper'!$F$5:$F$3004,"""")&lt;&gt;""""),ROWS(F$5:F2437)),IF(AND(LEFT(x,5)=""Pag"&amp;"e "",ISERROR(SEARCH(""–"",x))),x&amp;""–""&amp;REGEXEXTRACT(x,""[0-9]+$""),x)),"""")"),"")</f>
        <v/>
      </c>
      <c r="G2437" s="163"/>
      <c r="H24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Helper'!$F$5:$F$3004,"""")&lt;&gt;""""),ROWS(H$5:H2437)),"""")"),"")</f>
        <v/>
      </c>
    </row>
    <row r="2438" ht="15.75" customHeight="1">
      <c r="A24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Helper'!$F$5:$F$3004,"""")&lt;&gt;""""),ROWS(A$5:A2438)),"""")"),"")</f>
        <v/>
      </c>
      <c r="B24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Helper'!$F$5:$F$3004,"""")&lt;&gt;""""),ROWS(B$5:B2438)),"""")"),"")</f>
        <v/>
      </c>
      <c r="C24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Helper'!$F$5:$F$3004,"""")&lt;&gt;""""),ROWS(C$5:C2438)),"""")"),"")</f>
        <v/>
      </c>
      <c r="D24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Helper'!$F$5:$F$3004,"""")&lt;&gt;""""),ROWS(D$5:D2438)),"""")"),"")</f>
        <v/>
      </c>
      <c r="E24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Helper'!$F$5:$F$3004,"""")&lt;&gt;""""),ROWS(E$5:E2438)),"""")"),"")</f>
        <v/>
      </c>
      <c r="F24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Helper'!$F$5:$F$3004,"""")&lt;&gt;""""),ROWS(F$5:F2438)),IF(AND(LEFT(x,5)=""Pag"&amp;"e "",ISERROR(SEARCH(""–"",x))),x&amp;""–""&amp;REGEXEXTRACT(x,""[0-9]+$""),x)),"""")"),"")</f>
        <v/>
      </c>
      <c r="G2438" s="163"/>
      <c r="H24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Helper'!$F$5:$F$3004,"""")&lt;&gt;""""),ROWS(H$5:H2438)),"""")"),"")</f>
        <v/>
      </c>
    </row>
    <row r="2439" ht="15.75" customHeight="1">
      <c r="A24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Helper'!$F$5:$F$3004,"""")&lt;&gt;""""),ROWS(A$5:A2439)),"""")"),"")</f>
        <v/>
      </c>
      <c r="B24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Helper'!$F$5:$F$3004,"""")&lt;&gt;""""),ROWS(B$5:B2439)),"""")"),"")</f>
        <v/>
      </c>
      <c r="C24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Helper'!$F$5:$F$3004,"""")&lt;&gt;""""),ROWS(C$5:C2439)),"""")"),"")</f>
        <v/>
      </c>
      <c r="D24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Helper'!$F$5:$F$3004,"""")&lt;&gt;""""),ROWS(D$5:D2439)),"""")"),"")</f>
        <v/>
      </c>
      <c r="E24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Helper'!$F$5:$F$3004,"""")&lt;&gt;""""),ROWS(E$5:E2439)),"""")"),"")</f>
        <v/>
      </c>
      <c r="F24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Helper'!$F$5:$F$3004,"""")&lt;&gt;""""),ROWS(F$5:F2439)),IF(AND(LEFT(x,5)=""Pag"&amp;"e "",ISERROR(SEARCH(""–"",x))),x&amp;""–""&amp;REGEXEXTRACT(x,""[0-9]+$""),x)),"""")"),"")</f>
        <v/>
      </c>
      <c r="G2439" s="163"/>
      <c r="H24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Helper'!$F$5:$F$3004,"""")&lt;&gt;""""),ROWS(H$5:H2439)),"""")"),"")</f>
        <v/>
      </c>
    </row>
    <row r="2440" ht="15.75" customHeight="1">
      <c r="A24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Helper'!$F$5:$F$3004,"""")&lt;&gt;""""),ROWS(A$5:A2440)),"""")"),"")</f>
        <v/>
      </c>
      <c r="B24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Helper'!$F$5:$F$3004,"""")&lt;&gt;""""),ROWS(B$5:B2440)),"""")"),"")</f>
        <v/>
      </c>
      <c r="C24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Helper'!$F$5:$F$3004,"""")&lt;&gt;""""),ROWS(C$5:C2440)),"""")"),"")</f>
        <v/>
      </c>
      <c r="D24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Helper'!$F$5:$F$3004,"""")&lt;&gt;""""),ROWS(D$5:D2440)),"""")"),"")</f>
        <v/>
      </c>
      <c r="E24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Helper'!$F$5:$F$3004,"""")&lt;&gt;""""),ROWS(E$5:E2440)),"""")"),"")</f>
        <v/>
      </c>
      <c r="F24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Helper'!$F$5:$F$3004,"""")&lt;&gt;""""),ROWS(F$5:F2440)),IF(AND(LEFT(x,5)=""Pag"&amp;"e "",ISERROR(SEARCH(""–"",x))),x&amp;""–""&amp;REGEXEXTRACT(x,""[0-9]+$""),x)),"""")"),"")</f>
        <v/>
      </c>
      <c r="G2440" s="163"/>
      <c r="H24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Helper'!$F$5:$F$3004,"""")&lt;&gt;""""),ROWS(H$5:H2440)),"""")"),"")</f>
        <v/>
      </c>
    </row>
    <row r="2441" ht="15.75" customHeight="1">
      <c r="A24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Helper'!$F$5:$F$3004,"""")&lt;&gt;""""),ROWS(A$5:A2441)),"""")"),"")</f>
        <v/>
      </c>
      <c r="B24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Helper'!$F$5:$F$3004,"""")&lt;&gt;""""),ROWS(B$5:B2441)),"""")"),"")</f>
        <v/>
      </c>
      <c r="C24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Helper'!$F$5:$F$3004,"""")&lt;&gt;""""),ROWS(C$5:C2441)),"""")"),"")</f>
        <v/>
      </c>
      <c r="D24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Helper'!$F$5:$F$3004,"""")&lt;&gt;""""),ROWS(D$5:D2441)),"""")"),"")</f>
        <v/>
      </c>
      <c r="E24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Helper'!$F$5:$F$3004,"""")&lt;&gt;""""),ROWS(E$5:E2441)),"""")"),"")</f>
        <v/>
      </c>
      <c r="F24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Helper'!$F$5:$F$3004,"""")&lt;&gt;""""),ROWS(F$5:F2441)),IF(AND(LEFT(x,5)=""Pag"&amp;"e "",ISERROR(SEARCH(""–"",x))),x&amp;""–""&amp;REGEXEXTRACT(x,""[0-9]+$""),x)),"""")"),"")</f>
        <v/>
      </c>
      <c r="G2441" s="163"/>
      <c r="H24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Helper'!$F$5:$F$3004,"""")&lt;&gt;""""),ROWS(H$5:H2441)),"""")"),"")</f>
        <v/>
      </c>
    </row>
    <row r="2442" ht="15.75" customHeight="1">
      <c r="A24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Helper'!$F$5:$F$3004,"""")&lt;&gt;""""),ROWS(A$5:A2442)),"""")"),"")</f>
        <v/>
      </c>
      <c r="B24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Helper'!$F$5:$F$3004,"""")&lt;&gt;""""),ROWS(B$5:B2442)),"""")"),"")</f>
        <v/>
      </c>
      <c r="C24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Helper'!$F$5:$F$3004,"""")&lt;&gt;""""),ROWS(C$5:C2442)),"""")"),"")</f>
        <v/>
      </c>
      <c r="D24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Helper'!$F$5:$F$3004,"""")&lt;&gt;""""),ROWS(D$5:D2442)),"""")"),"")</f>
        <v/>
      </c>
      <c r="E24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Helper'!$F$5:$F$3004,"""")&lt;&gt;""""),ROWS(E$5:E2442)),"""")"),"")</f>
        <v/>
      </c>
      <c r="F24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Helper'!$F$5:$F$3004,"""")&lt;&gt;""""),ROWS(F$5:F2442)),IF(AND(LEFT(x,5)=""Pag"&amp;"e "",ISERROR(SEARCH(""–"",x))),x&amp;""–""&amp;REGEXEXTRACT(x,""[0-9]+$""),x)),"""")"),"")</f>
        <v/>
      </c>
      <c r="G2442" s="163"/>
      <c r="H24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Helper'!$F$5:$F$3004,"""")&lt;&gt;""""),ROWS(H$5:H2442)),"""")"),"")</f>
        <v/>
      </c>
    </row>
    <row r="2443" ht="15.75" customHeight="1">
      <c r="A24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Helper'!$F$5:$F$3004,"""")&lt;&gt;""""),ROWS(A$5:A2443)),"""")"),"")</f>
        <v/>
      </c>
      <c r="B24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Helper'!$F$5:$F$3004,"""")&lt;&gt;""""),ROWS(B$5:B2443)),"""")"),"")</f>
        <v/>
      </c>
      <c r="C24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Helper'!$F$5:$F$3004,"""")&lt;&gt;""""),ROWS(C$5:C2443)),"""")"),"")</f>
        <v/>
      </c>
      <c r="D24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Helper'!$F$5:$F$3004,"""")&lt;&gt;""""),ROWS(D$5:D2443)),"""")"),"")</f>
        <v/>
      </c>
      <c r="E24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Helper'!$F$5:$F$3004,"""")&lt;&gt;""""),ROWS(E$5:E2443)),"""")"),"")</f>
        <v/>
      </c>
      <c r="F24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Helper'!$F$5:$F$3004,"""")&lt;&gt;""""),ROWS(F$5:F2443)),IF(AND(LEFT(x,5)=""Pag"&amp;"e "",ISERROR(SEARCH(""–"",x))),x&amp;""–""&amp;REGEXEXTRACT(x,""[0-9]+$""),x)),"""")"),"")</f>
        <v/>
      </c>
      <c r="G2443" s="163"/>
      <c r="H24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Helper'!$F$5:$F$3004,"""")&lt;&gt;""""),ROWS(H$5:H2443)),"""")"),"")</f>
        <v/>
      </c>
    </row>
    <row r="2444" ht="15.75" customHeight="1">
      <c r="A24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Helper'!$F$5:$F$3004,"""")&lt;&gt;""""),ROWS(A$5:A2444)),"""")"),"")</f>
        <v/>
      </c>
      <c r="B24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Helper'!$F$5:$F$3004,"""")&lt;&gt;""""),ROWS(B$5:B2444)),"""")"),"")</f>
        <v/>
      </c>
      <c r="C24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Helper'!$F$5:$F$3004,"""")&lt;&gt;""""),ROWS(C$5:C2444)),"""")"),"")</f>
        <v/>
      </c>
      <c r="D24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Helper'!$F$5:$F$3004,"""")&lt;&gt;""""),ROWS(D$5:D2444)),"""")"),"")</f>
        <v/>
      </c>
      <c r="E24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Helper'!$F$5:$F$3004,"""")&lt;&gt;""""),ROWS(E$5:E2444)),"""")"),"")</f>
        <v/>
      </c>
      <c r="F24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Helper'!$F$5:$F$3004,"""")&lt;&gt;""""),ROWS(F$5:F2444)),IF(AND(LEFT(x,5)=""Pag"&amp;"e "",ISERROR(SEARCH(""–"",x))),x&amp;""–""&amp;REGEXEXTRACT(x,""[0-9]+$""),x)),"""")"),"")</f>
        <v/>
      </c>
      <c r="G2444" s="163"/>
      <c r="H24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Helper'!$F$5:$F$3004,"""")&lt;&gt;""""),ROWS(H$5:H2444)),"""")"),"")</f>
        <v/>
      </c>
    </row>
    <row r="2445" ht="15.75" customHeight="1">
      <c r="A24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Helper'!$F$5:$F$3004,"""")&lt;&gt;""""),ROWS(A$5:A2445)),"""")"),"")</f>
        <v/>
      </c>
      <c r="B24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Helper'!$F$5:$F$3004,"""")&lt;&gt;""""),ROWS(B$5:B2445)),"""")"),"")</f>
        <v/>
      </c>
      <c r="C24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Helper'!$F$5:$F$3004,"""")&lt;&gt;""""),ROWS(C$5:C2445)),"""")"),"")</f>
        <v/>
      </c>
      <c r="D24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Helper'!$F$5:$F$3004,"""")&lt;&gt;""""),ROWS(D$5:D2445)),"""")"),"")</f>
        <v/>
      </c>
      <c r="E24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Helper'!$F$5:$F$3004,"""")&lt;&gt;""""),ROWS(E$5:E2445)),"""")"),"")</f>
        <v/>
      </c>
      <c r="F24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Helper'!$F$5:$F$3004,"""")&lt;&gt;""""),ROWS(F$5:F2445)),IF(AND(LEFT(x,5)=""Pag"&amp;"e "",ISERROR(SEARCH(""–"",x))),x&amp;""–""&amp;REGEXEXTRACT(x,""[0-9]+$""),x)),"""")"),"")</f>
        <v/>
      </c>
      <c r="G2445" s="163"/>
      <c r="H24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Helper'!$F$5:$F$3004,"""")&lt;&gt;""""),ROWS(H$5:H2445)),"""")"),"")</f>
        <v/>
      </c>
    </row>
    <row r="2446" ht="15.75" customHeight="1">
      <c r="A24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Helper'!$F$5:$F$3004,"""")&lt;&gt;""""),ROWS(A$5:A2446)),"""")"),"")</f>
        <v/>
      </c>
      <c r="B24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Helper'!$F$5:$F$3004,"""")&lt;&gt;""""),ROWS(B$5:B2446)),"""")"),"")</f>
        <v/>
      </c>
      <c r="C24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Helper'!$F$5:$F$3004,"""")&lt;&gt;""""),ROWS(C$5:C2446)),"""")"),"")</f>
        <v/>
      </c>
      <c r="D24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Helper'!$F$5:$F$3004,"""")&lt;&gt;""""),ROWS(D$5:D2446)),"""")"),"")</f>
        <v/>
      </c>
      <c r="E24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Helper'!$F$5:$F$3004,"""")&lt;&gt;""""),ROWS(E$5:E2446)),"""")"),"")</f>
        <v/>
      </c>
      <c r="F24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Helper'!$F$5:$F$3004,"""")&lt;&gt;""""),ROWS(F$5:F2446)),IF(AND(LEFT(x,5)=""Pag"&amp;"e "",ISERROR(SEARCH(""–"",x))),x&amp;""–""&amp;REGEXEXTRACT(x,""[0-9]+$""),x)),"""")"),"")</f>
        <v/>
      </c>
      <c r="G2446" s="163"/>
      <c r="H24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Helper'!$F$5:$F$3004,"""")&lt;&gt;""""),ROWS(H$5:H2446)),"""")"),"")</f>
        <v/>
      </c>
    </row>
    <row r="2447" ht="15.75" customHeight="1">
      <c r="A24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Helper'!$F$5:$F$3004,"""")&lt;&gt;""""),ROWS(A$5:A2447)),"""")"),"")</f>
        <v/>
      </c>
      <c r="B24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Helper'!$F$5:$F$3004,"""")&lt;&gt;""""),ROWS(B$5:B2447)),"""")"),"")</f>
        <v/>
      </c>
      <c r="C24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Helper'!$F$5:$F$3004,"""")&lt;&gt;""""),ROWS(C$5:C2447)),"""")"),"")</f>
        <v/>
      </c>
      <c r="D24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Helper'!$F$5:$F$3004,"""")&lt;&gt;""""),ROWS(D$5:D2447)),"""")"),"")</f>
        <v/>
      </c>
      <c r="E24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Helper'!$F$5:$F$3004,"""")&lt;&gt;""""),ROWS(E$5:E2447)),"""")"),"")</f>
        <v/>
      </c>
      <c r="F24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Helper'!$F$5:$F$3004,"""")&lt;&gt;""""),ROWS(F$5:F2447)),IF(AND(LEFT(x,5)=""Pag"&amp;"e "",ISERROR(SEARCH(""–"",x))),x&amp;""–""&amp;REGEXEXTRACT(x,""[0-9]+$""),x)),"""")"),"")</f>
        <v/>
      </c>
      <c r="G2447" s="163"/>
      <c r="H24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Helper'!$F$5:$F$3004,"""")&lt;&gt;""""),ROWS(H$5:H2447)),"""")"),"")</f>
        <v/>
      </c>
    </row>
    <row r="2448" ht="15.75" customHeight="1">
      <c r="A24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Helper'!$F$5:$F$3004,"""")&lt;&gt;""""),ROWS(A$5:A2448)),"""")"),"")</f>
        <v/>
      </c>
      <c r="B24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Helper'!$F$5:$F$3004,"""")&lt;&gt;""""),ROWS(B$5:B2448)),"""")"),"")</f>
        <v/>
      </c>
      <c r="C24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Helper'!$F$5:$F$3004,"""")&lt;&gt;""""),ROWS(C$5:C2448)),"""")"),"")</f>
        <v/>
      </c>
      <c r="D24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Helper'!$F$5:$F$3004,"""")&lt;&gt;""""),ROWS(D$5:D2448)),"""")"),"")</f>
        <v/>
      </c>
      <c r="E24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Helper'!$F$5:$F$3004,"""")&lt;&gt;""""),ROWS(E$5:E2448)),"""")"),"")</f>
        <v/>
      </c>
      <c r="F24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Helper'!$F$5:$F$3004,"""")&lt;&gt;""""),ROWS(F$5:F2448)),IF(AND(LEFT(x,5)=""Pag"&amp;"e "",ISERROR(SEARCH(""–"",x))),x&amp;""–""&amp;REGEXEXTRACT(x,""[0-9]+$""),x)),"""")"),"")</f>
        <v/>
      </c>
      <c r="G2448" s="163"/>
      <c r="H24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Helper'!$F$5:$F$3004,"""")&lt;&gt;""""),ROWS(H$5:H2448)),"""")"),"")</f>
        <v/>
      </c>
    </row>
    <row r="2449" ht="15.75" customHeight="1">
      <c r="A24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Helper'!$F$5:$F$3004,"""")&lt;&gt;""""),ROWS(A$5:A2449)),"""")"),"")</f>
        <v/>
      </c>
      <c r="B24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Helper'!$F$5:$F$3004,"""")&lt;&gt;""""),ROWS(B$5:B2449)),"""")"),"")</f>
        <v/>
      </c>
      <c r="C24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Helper'!$F$5:$F$3004,"""")&lt;&gt;""""),ROWS(C$5:C2449)),"""")"),"")</f>
        <v/>
      </c>
      <c r="D24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Helper'!$F$5:$F$3004,"""")&lt;&gt;""""),ROWS(D$5:D2449)),"""")"),"")</f>
        <v/>
      </c>
      <c r="E24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Helper'!$F$5:$F$3004,"""")&lt;&gt;""""),ROWS(E$5:E2449)),"""")"),"")</f>
        <v/>
      </c>
      <c r="F24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Helper'!$F$5:$F$3004,"""")&lt;&gt;""""),ROWS(F$5:F2449)),IF(AND(LEFT(x,5)=""Pag"&amp;"e "",ISERROR(SEARCH(""–"",x))),x&amp;""–""&amp;REGEXEXTRACT(x,""[0-9]+$""),x)),"""")"),"")</f>
        <v/>
      </c>
      <c r="G2449" s="163"/>
      <c r="H24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Helper'!$F$5:$F$3004,"""")&lt;&gt;""""),ROWS(H$5:H2449)),"""")"),"")</f>
        <v/>
      </c>
    </row>
    <row r="2450" ht="15.75" customHeight="1">
      <c r="A24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Helper'!$F$5:$F$3004,"""")&lt;&gt;""""),ROWS(A$5:A2450)),"""")"),"")</f>
        <v/>
      </c>
      <c r="B24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Helper'!$F$5:$F$3004,"""")&lt;&gt;""""),ROWS(B$5:B2450)),"""")"),"")</f>
        <v/>
      </c>
      <c r="C24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Helper'!$F$5:$F$3004,"""")&lt;&gt;""""),ROWS(C$5:C2450)),"""")"),"")</f>
        <v/>
      </c>
      <c r="D24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Helper'!$F$5:$F$3004,"""")&lt;&gt;""""),ROWS(D$5:D2450)),"""")"),"")</f>
        <v/>
      </c>
      <c r="E24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Helper'!$F$5:$F$3004,"""")&lt;&gt;""""),ROWS(E$5:E2450)),"""")"),"")</f>
        <v/>
      </c>
      <c r="F24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Helper'!$F$5:$F$3004,"""")&lt;&gt;""""),ROWS(F$5:F2450)),IF(AND(LEFT(x,5)=""Pag"&amp;"e "",ISERROR(SEARCH(""–"",x))),x&amp;""–""&amp;REGEXEXTRACT(x,""[0-9]+$""),x)),"""")"),"")</f>
        <v/>
      </c>
      <c r="G2450" s="163"/>
      <c r="H24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Helper'!$F$5:$F$3004,"""")&lt;&gt;""""),ROWS(H$5:H2450)),"""")"),"")</f>
        <v/>
      </c>
    </row>
    <row r="2451" ht="15.75" customHeight="1">
      <c r="A24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Helper'!$F$5:$F$3004,"""")&lt;&gt;""""),ROWS(A$5:A2451)),"""")"),"")</f>
        <v/>
      </c>
      <c r="B24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Helper'!$F$5:$F$3004,"""")&lt;&gt;""""),ROWS(B$5:B2451)),"""")"),"")</f>
        <v/>
      </c>
      <c r="C24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Helper'!$F$5:$F$3004,"""")&lt;&gt;""""),ROWS(C$5:C2451)),"""")"),"")</f>
        <v/>
      </c>
      <c r="D24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Helper'!$F$5:$F$3004,"""")&lt;&gt;""""),ROWS(D$5:D2451)),"""")"),"")</f>
        <v/>
      </c>
      <c r="E24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Helper'!$F$5:$F$3004,"""")&lt;&gt;""""),ROWS(E$5:E2451)),"""")"),"")</f>
        <v/>
      </c>
      <c r="F24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Helper'!$F$5:$F$3004,"""")&lt;&gt;""""),ROWS(F$5:F2451)),IF(AND(LEFT(x,5)=""Pag"&amp;"e "",ISERROR(SEARCH(""–"",x))),x&amp;""–""&amp;REGEXEXTRACT(x,""[0-9]+$""),x)),"""")"),"")</f>
        <v/>
      </c>
      <c r="G2451" s="163"/>
      <c r="H24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Helper'!$F$5:$F$3004,"""")&lt;&gt;""""),ROWS(H$5:H2451)),"""")"),"")</f>
        <v/>
      </c>
    </row>
    <row r="2452" ht="15.75" customHeight="1">
      <c r="A24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Helper'!$F$5:$F$3004,"""")&lt;&gt;""""),ROWS(A$5:A2452)),"""")"),"")</f>
        <v/>
      </c>
      <c r="B24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Helper'!$F$5:$F$3004,"""")&lt;&gt;""""),ROWS(B$5:B2452)),"""")"),"")</f>
        <v/>
      </c>
      <c r="C24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Helper'!$F$5:$F$3004,"""")&lt;&gt;""""),ROWS(C$5:C2452)),"""")"),"")</f>
        <v/>
      </c>
      <c r="D24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Helper'!$F$5:$F$3004,"""")&lt;&gt;""""),ROWS(D$5:D2452)),"""")"),"")</f>
        <v/>
      </c>
      <c r="E24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Helper'!$F$5:$F$3004,"""")&lt;&gt;""""),ROWS(E$5:E2452)),"""")"),"")</f>
        <v/>
      </c>
      <c r="F24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Helper'!$F$5:$F$3004,"""")&lt;&gt;""""),ROWS(F$5:F2452)),IF(AND(LEFT(x,5)=""Pag"&amp;"e "",ISERROR(SEARCH(""–"",x))),x&amp;""–""&amp;REGEXEXTRACT(x,""[0-9]+$""),x)),"""")"),"")</f>
        <v/>
      </c>
      <c r="G2452" s="163"/>
      <c r="H24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Helper'!$F$5:$F$3004,"""")&lt;&gt;""""),ROWS(H$5:H2452)),"""")"),"")</f>
        <v/>
      </c>
    </row>
    <row r="2453" ht="15.75" customHeight="1">
      <c r="A24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Helper'!$F$5:$F$3004,"""")&lt;&gt;""""),ROWS(A$5:A2453)),"""")"),"")</f>
        <v/>
      </c>
      <c r="B24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Helper'!$F$5:$F$3004,"""")&lt;&gt;""""),ROWS(B$5:B2453)),"""")"),"")</f>
        <v/>
      </c>
      <c r="C24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Helper'!$F$5:$F$3004,"""")&lt;&gt;""""),ROWS(C$5:C2453)),"""")"),"")</f>
        <v/>
      </c>
      <c r="D24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Helper'!$F$5:$F$3004,"""")&lt;&gt;""""),ROWS(D$5:D2453)),"""")"),"")</f>
        <v/>
      </c>
      <c r="E24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Helper'!$F$5:$F$3004,"""")&lt;&gt;""""),ROWS(E$5:E2453)),"""")"),"")</f>
        <v/>
      </c>
      <c r="F24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Helper'!$F$5:$F$3004,"""")&lt;&gt;""""),ROWS(F$5:F2453)),IF(AND(LEFT(x,5)=""Pag"&amp;"e "",ISERROR(SEARCH(""–"",x))),x&amp;""–""&amp;REGEXEXTRACT(x,""[0-9]+$""),x)),"""")"),"")</f>
        <v/>
      </c>
      <c r="G2453" s="163"/>
      <c r="H24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Helper'!$F$5:$F$3004,"""")&lt;&gt;""""),ROWS(H$5:H2453)),"""")"),"")</f>
        <v/>
      </c>
    </row>
    <row r="2454" ht="15.75" customHeight="1">
      <c r="A24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Helper'!$F$5:$F$3004,"""")&lt;&gt;""""),ROWS(A$5:A2454)),"""")"),"")</f>
        <v/>
      </c>
      <c r="B24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Helper'!$F$5:$F$3004,"""")&lt;&gt;""""),ROWS(B$5:B2454)),"""")"),"")</f>
        <v/>
      </c>
      <c r="C24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Helper'!$F$5:$F$3004,"""")&lt;&gt;""""),ROWS(C$5:C2454)),"""")"),"")</f>
        <v/>
      </c>
      <c r="D24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Helper'!$F$5:$F$3004,"""")&lt;&gt;""""),ROWS(D$5:D2454)),"""")"),"")</f>
        <v/>
      </c>
      <c r="E24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Helper'!$F$5:$F$3004,"""")&lt;&gt;""""),ROWS(E$5:E2454)),"""")"),"")</f>
        <v/>
      </c>
      <c r="F24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Helper'!$F$5:$F$3004,"""")&lt;&gt;""""),ROWS(F$5:F2454)),IF(AND(LEFT(x,5)=""Pag"&amp;"e "",ISERROR(SEARCH(""–"",x))),x&amp;""–""&amp;REGEXEXTRACT(x,""[0-9]+$""),x)),"""")"),"")</f>
        <v/>
      </c>
      <c r="G2454" s="163"/>
      <c r="H24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Helper'!$F$5:$F$3004,"""")&lt;&gt;""""),ROWS(H$5:H2454)),"""")"),"")</f>
        <v/>
      </c>
    </row>
    <row r="2455" ht="15.75" customHeight="1">
      <c r="A24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Helper'!$F$5:$F$3004,"""")&lt;&gt;""""),ROWS(A$5:A2455)),"""")"),"")</f>
        <v/>
      </c>
      <c r="B24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Helper'!$F$5:$F$3004,"""")&lt;&gt;""""),ROWS(B$5:B2455)),"""")"),"")</f>
        <v/>
      </c>
      <c r="C24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Helper'!$F$5:$F$3004,"""")&lt;&gt;""""),ROWS(C$5:C2455)),"""")"),"")</f>
        <v/>
      </c>
      <c r="D24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Helper'!$F$5:$F$3004,"""")&lt;&gt;""""),ROWS(D$5:D2455)),"""")"),"")</f>
        <v/>
      </c>
      <c r="E24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Helper'!$F$5:$F$3004,"""")&lt;&gt;""""),ROWS(E$5:E2455)),"""")"),"")</f>
        <v/>
      </c>
      <c r="F24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Helper'!$F$5:$F$3004,"""")&lt;&gt;""""),ROWS(F$5:F2455)),IF(AND(LEFT(x,5)=""Pag"&amp;"e "",ISERROR(SEARCH(""–"",x))),x&amp;""–""&amp;REGEXEXTRACT(x,""[0-9]+$""),x)),"""")"),"")</f>
        <v/>
      </c>
      <c r="G2455" s="163"/>
      <c r="H24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Helper'!$F$5:$F$3004,"""")&lt;&gt;""""),ROWS(H$5:H2455)),"""")"),"")</f>
        <v/>
      </c>
    </row>
    <row r="2456" ht="15.75" customHeight="1">
      <c r="A24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Helper'!$F$5:$F$3004,"""")&lt;&gt;""""),ROWS(A$5:A2456)),"""")"),"")</f>
        <v/>
      </c>
      <c r="B24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Helper'!$F$5:$F$3004,"""")&lt;&gt;""""),ROWS(B$5:B2456)),"""")"),"")</f>
        <v/>
      </c>
      <c r="C24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Helper'!$F$5:$F$3004,"""")&lt;&gt;""""),ROWS(C$5:C2456)),"""")"),"")</f>
        <v/>
      </c>
      <c r="D24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Helper'!$F$5:$F$3004,"""")&lt;&gt;""""),ROWS(D$5:D2456)),"""")"),"")</f>
        <v/>
      </c>
      <c r="E24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Helper'!$F$5:$F$3004,"""")&lt;&gt;""""),ROWS(E$5:E2456)),"""")"),"")</f>
        <v/>
      </c>
      <c r="F24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Helper'!$F$5:$F$3004,"""")&lt;&gt;""""),ROWS(F$5:F2456)),IF(AND(LEFT(x,5)=""Pag"&amp;"e "",ISERROR(SEARCH(""–"",x))),x&amp;""–""&amp;REGEXEXTRACT(x,""[0-9]+$""),x)),"""")"),"")</f>
        <v/>
      </c>
      <c r="G2456" s="163"/>
      <c r="H24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Helper'!$F$5:$F$3004,"""")&lt;&gt;""""),ROWS(H$5:H2456)),"""")"),"")</f>
        <v/>
      </c>
    </row>
    <row r="2457" ht="15.75" customHeight="1">
      <c r="A24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Helper'!$F$5:$F$3004,"""")&lt;&gt;""""),ROWS(A$5:A2457)),"""")"),"")</f>
        <v/>
      </c>
      <c r="B24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Helper'!$F$5:$F$3004,"""")&lt;&gt;""""),ROWS(B$5:B2457)),"""")"),"")</f>
        <v/>
      </c>
      <c r="C24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Helper'!$F$5:$F$3004,"""")&lt;&gt;""""),ROWS(C$5:C2457)),"""")"),"")</f>
        <v/>
      </c>
      <c r="D24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Helper'!$F$5:$F$3004,"""")&lt;&gt;""""),ROWS(D$5:D2457)),"""")"),"")</f>
        <v/>
      </c>
      <c r="E24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Helper'!$F$5:$F$3004,"""")&lt;&gt;""""),ROWS(E$5:E2457)),"""")"),"")</f>
        <v/>
      </c>
      <c r="F24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Helper'!$F$5:$F$3004,"""")&lt;&gt;""""),ROWS(F$5:F2457)),IF(AND(LEFT(x,5)=""Pag"&amp;"e "",ISERROR(SEARCH(""–"",x))),x&amp;""–""&amp;REGEXEXTRACT(x,""[0-9]+$""),x)),"""")"),"")</f>
        <v/>
      </c>
      <c r="G2457" s="163"/>
      <c r="H24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Helper'!$F$5:$F$3004,"""")&lt;&gt;""""),ROWS(H$5:H2457)),"""")"),"")</f>
        <v/>
      </c>
    </row>
    <row r="2458" ht="15.75" customHeight="1">
      <c r="A24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Helper'!$F$5:$F$3004,"""")&lt;&gt;""""),ROWS(A$5:A2458)),"""")"),"")</f>
        <v/>
      </c>
      <c r="B24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Helper'!$F$5:$F$3004,"""")&lt;&gt;""""),ROWS(B$5:B2458)),"""")"),"")</f>
        <v/>
      </c>
      <c r="C24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Helper'!$F$5:$F$3004,"""")&lt;&gt;""""),ROWS(C$5:C2458)),"""")"),"")</f>
        <v/>
      </c>
      <c r="D24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Helper'!$F$5:$F$3004,"""")&lt;&gt;""""),ROWS(D$5:D2458)),"""")"),"")</f>
        <v/>
      </c>
      <c r="E24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Helper'!$F$5:$F$3004,"""")&lt;&gt;""""),ROWS(E$5:E2458)),"""")"),"")</f>
        <v/>
      </c>
      <c r="F24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Helper'!$F$5:$F$3004,"""")&lt;&gt;""""),ROWS(F$5:F2458)),IF(AND(LEFT(x,5)=""Pag"&amp;"e "",ISERROR(SEARCH(""–"",x))),x&amp;""–""&amp;REGEXEXTRACT(x,""[0-9]+$""),x)),"""")"),"")</f>
        <v/>
      </c>
      <c r="G2458" s="163"/>
      <c r="H24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Helper'!$F$5:$F$3004,"""")&lt;&gt;""""),ROWS(H$5:H2458)),"""")"),"")</f>
        <v/>
      </c>
    </row>
    <row r="2459" ht="15.75" customHeight="1">
      <c r="A24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Helper'!$F$5:$F$3004,"""")&lt;&gt;""""),ROWS(A$5:A2459)),"""")"),"")</f>
        <v/>
      </c>
      <c r="B24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Helper'!$F$5:$F$3004,"""")&lt;&gt;""""),ROWS(B$5:B2459)),"""")"),"")</f>
        <v/>
      </c>
      <c r="C24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Helper'!$F$5:$F$3004,"""")&lt;&gt;""""),ROWS(C$5:C2459)),"""")"),"")</f>
        <v/>
      </c>
      <c r="D24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Helper'!$F$5:$F$3004,"""")&lt;&gt;""""),ROWS(D$5:D2459)),"""")"),"")</f>
        <v/>
      </c>
      <c r="E24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Helper'!$F$5:$F$3004,"""")&lt;&gt;""""),ROWS(E$5:E2459)),"""")"),"")</f>
        <v/>
      </c>
      <c r="F24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Helper'!$F$5:$F$3004,"""")&lt;&gt;""""),ROWS(F$5:F2459)),IF(AND(LEFT(x,5)=""Pag"&amp;"e "",ISERROR(SEARCH(""–"",x))),x&amp;""–""&amp;REGEXEXTRACT(x,""[0-9]+$""),x)),"""")"),"")</f>
        <v/>
      </c>
      <c r="G2459" s="163"/>
      <c r="H24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Helper'!$F$5:$F$3004,"""")&lt;&gt;""""),ROWS(H$5:H2459)),"""")"),"")</f>
        <v/>
      </c>
    </row>
    <row r="2460" ht="15.75" customHeight="1">
      <c r="A24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Helper'!$F$5:$F$3004,"""")&lt;&gt;""""),ROWS(A$5:A2460)),"""")"),"")</f>
        <v/>
      </c>
      <c r="B24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Helper'!$F$5:$F$3004,"""")&lt;&gt;""""),ROWS(B$5:B2460)),"""")"),"")</f>
        <v/>
      </c>
      <c r="C24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Helper'!$F$5:$F$3004,"""")&lt;&gt;""""),ROWS(C$5:C2460)),"""")"),"")</f>
        <v/>
      </c>
      <c r="D24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Helper'!$F$5:$F$3004,"""")&lt;&gt;""""),ROWS(D$5:D2460)),"""")"),"")</f>
        <v/>
      </c>
      <c r="E24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Helper'!$F$5:$F$3004,"""")&lt;&gt;""""),ROWS(E$5:E2460)),"""")"),"")</f>
        <v/>
      </c>
      <c r="F24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Helper'!$F$5:$F$3004,"""")&lt;&gt;""""),ROWS(F$5:F2460)),IF(AND(LEFT(x,5)=""Pag"&amp;"e "",ISERROR(SEARCH(""–"",x))),x&amp;""–""&amp;REGEXEXTRACT(x,""[0-9]+$""),x)),"""")"),"")</f>
        <v/>
      </c>
      <c r="G2460" s="163"/>
      <c r="H24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Helper'!$F$5:$F$3004,"""")&lt;&gt;""""),ROWS(H$5:H2460)),"""")"),"")</f>
        <v/>
      </c>
    </row>
    <row r="2461" ht="15.75" customHeight="1">
      <c r="A24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Helper'!$F$5:$F$3004,"""")&lt;&gt;""""),ROWS(A$5:A2461)),"""")"),"")</f>
        <v/>
      </c>
      <c r="B24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Helper'!$F$5:$F$3004,"""")&lt;&gt;""""),ROWS(B$5:B2461)),"""")"),"")</f>
        <v/>
      </c>
      <c r="C24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Helper'!$F$5:$F$3004,"""")&lt;&gt;""""),ROWS(C$5:C2461)),"""")"),"")</f>
        <v/>
      </c>
      <c r="D24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Helper'!$F$5:$F$3004,"""")&lt;&gt;""""),ROWS(D$5:D2461)),"""")"),"")</f>
        <v/>
      </c>
      <c r="E24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Helper'!$F$5:$F$3004,"""")&lt;&gt;""""),ROWS(E$5:E2461)),"""")"),"")</f>
        <v/>
      </c>
      <c r="F24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Helper'!$F$5:$F$3004,"""")&lt;&gt;""""),ROWS(F$5:F2461)),IF(AND(LEFT(x,5)=""Pag"&amp;"e "",ISERROR(SEARCH(""–"",x))),x&amp;""–""&amp;REGEXEXTRACT(x,""[0-9]+$""),x)),"""")"),"")</f>
        <v/>
      </c>
      <c r="G2461" s="163"/>
      <c r="H24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Helper'!$F$5:$F$3004,"""")&lt;&gt;""""),ROWS(H$5:H2461)),"""")"),"")</f>
        <v/>
      </c>
    </row>
    <row r="2462" ht="15.75" customHeight="1">
      <c r="A24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Helper'!$F$5:$F$3004,"""")&lt;&gt;""""),ROWS(A$5:A2462)),"""")"),"")</f>
        <v/>
      </c>
      <c r="B24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Helper'!$F$5:$F$3004,"""")&lt;&gt;""""),ROWS(B$5:B2462)),"""")"),"")</f>
        <v/>
      </c>
      <c r="C24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Helper'!$F$5:$F$3004,"""")&lt;&gt;""""),ROWS(C$5:C2462)),"""")"),"")</f>
        <v/>
      </c>
      <c r="D24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Helper'!$F$5:$F$3004,"""")&lt;&gt;""""),ROWS(D$5:D2462)),"""")"),"")</f>
        <v/>
      </c>
      <c r="E24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Helper'!$F$5:$F$3004,"""")&lt;&gt;""""),ROWS(E$5:E2462)),"""")"),"")</f>
        <v/>
      </c>
      <c r="F24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Helper'!$F$5:$F$3004,"""")&lt;&gt;""""),ROWS(F$5:F2462)),IF(AND(LEFT(x,5)=""Pag"&amp;"e "",ISERROR(SEARCH(""–"",x))),x&amp;""–""&amp;REGEXEXTRACT(x,""[0-9]+$""),x)),"""")"),"")</f>
        <v/>
      </c>
      <c r="G2462" s="163"/>
      <c r="H24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Helper'!$F$5:$F$3004,"""")&lt;&gt;""""),ROWS(H$5:H2462)),"""")"),"")</f>
        <v/>
      </c>
    </row>
    <row r="2463" ht="15.75" customHeight="1">
      <c r="A24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Helper'!$F$5:$F$3004,"""")&lt;&gt;""""),ROWS(A$5:A2463)),"""")"),"")</f>
        <v/>
      </c>
      <c r="B24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Helper'!$F$5:$F$3004,"""")&lt;&gt;""""),ROWS(B$5:B2463)),"""")"),"")</f>
        <v/>
      </c>
      <c r="C24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Helper'!$F$5:$F$3004,"""")&lt;&gt;""""),ROWS(C$5:C2463)),"""")"),"")</f>
        <v/>
      </c>
      <c r="D24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Helper'!$F$5:$F$3004,"""")&lt;&gt;""""),ROWS(D$5:D2463)),"""")"),"")</f>
        <v/>
      </c>
      <c r="E24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Helper'!$F$5:$F$3004,"""")&lt;&gt;""""),ROWS(E$5:E2463)),"""")"),"")</f>
        <v/>
      </c>
      <c r="F24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Helper'!$F$5:$F$3004,"""")&lt;&gt;""""),ROWS(F$5:F2463)),IF(AND(LEFT(x,5)=""Pag"&amp;"e "",ISERROR(SEARCH(""–"",x))),x&amp;""–""&amp;REGEXEXTRACT(x,""[0-9]+$""),x)),"""")"),"")</f>
        <v/>
      </c>
      <c r="G2463" s="163"/>
      <c r="H24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Helper'!$F$5:$F$3004,"""")&lt;&gt;""""),ROWS(H$5:H2463)),"""")"),"")</f>
        <v/>
      </c>
    </row>
    <row r="2464" ht="15.75" customHeight="1">
      <c r="A24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Helper'!$F$5:$F$3004,"""")&lt;&gt;""""),ROWS(A$5:A2464)),"""")"),"")</f>
        <v/>
      </c>
      <c r="B24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Helper'!$F$5:$F$3004,"""")&lt;&gt;""""),ROWS(B$5:B2464)),"""")"),"")</f>
        <v/>
      </c>
      <c r="C24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Helper'!$F$5:$F$3004,"""")&lt;&gt;""""),ROWS(C$5:C2464)),"""")"),"")</f>
        <v/>
      </c>
      <c r="D24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Helper'!$F$5:$F$3004,"""")&lt;&gt;""""),ROWS(D$5:D2464)),"""")"),"")</f>
        <v/>
      </c>
      <c r="E24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Helper'!$F$5:$F$3004,"""")&lt;&gt;""""),ROWS(E$5:E2464)),"""")"),"")</f>
        <v/>
      </c>
      <c r="F24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Helper'!$F$5:$F$3004,"""")&lt;&gt;""""),ROWS(F$5:F2464)),IF(AND(LEFT(x,5)=""Pag"&amp;"e "",ISERROR(SEARCH(""–"",x))),x&amp;""–""&amp;REGEXEXTRACT(x,""[0-9]+$""),x)),"""")"),"")</f>
        <v/>
      </c>
      <c r="G2464" s="163"/>
      <c r="H24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Helper'!$F$5:$F$3004,"""")&lt;&gt;""""),ROWS(H$5:H2464)),"""")"),"")</f>
        <v/>
      </c>
    </row>
    <row r="2465" ht="15.75" customHeight="1">
      <c r="A24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Helper'!$F$5:$F$3004,"""")&lt;&gt;""""),ROWS(A$5:A2465)),"""")"),"")</f>
        <v/>
      </c>
      <c r="B24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Helper'!$F$5:$F$3004,"""")&lt;&gt;""""),ROWS(B$5:B2465)),"""")"),"")</f>
        <v/>
      </c>
      <c r="C24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Helper'!$F$5:$F$3004,"""")&lt;&gt;""""),ROWS(C$5:C2465)),"""")"),"")</f>
        <v/>
      </c>
      <c r="D24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Helper'!$F$5:$F$3004,"""")&lt;&gt;""""),ROWS(D$5:D2465)),"""")"),"")</f>
        <v/>
      </c>
      <c r="E24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Helper'!$F$5:$F$3004,"""")&lt;&gt;""""),ROWS(E$5:E2465)),"""")"),"")</f>
        <v/>
      </c>
      <c r="F24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Helper'!$F$5:$F$3004,"""")&lt;&gt;""""),ROWS(F$5:F2465)),IF(AND(LEFT(x,5)=""Pag"&amp;"e "",ISERROR(SEARCH(""–"",x))),x&amp;""–""&amp;REGEXEXTRACT(x,""[0-9]+$""),x)),"""")"),"")</f>
        <v/>
      </c>
      <c r="G2465" s="163"/>
      <c r="H24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Helper'!$F$5:$F$3004,"""")&lt;&gt;""""),ROWS(H$5:H2465)),"""")"),"")</f>
        <v/>
      </c>
    </row>
    <row r="2466" ht="15.75" customHeight="1">
      <c r="A24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Helper'!$F$5:$F$3004,"""")&lt;&gt;""""),ROWS(A$5:A2466)),"""")"),"")</f>
        <v/>
      </c>
      <c r="B24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Helper'!$F$5:$F$3004,"""")&lt;&gt;""""),ROWS(B$5:B2466)),"""")"),"")</f>
        <v/>
      </c>
      <c r="C24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Helper'!$F$5:$F$3004,"""")&lt;&gt;""""),ROWS(C$5:C2466)),"""")"),"")</f>
        <v/>
      </c>
      <c r="D24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Helper'!$F$5:$F$3004,"""")&lt;&gt;""""),ROWS(D$5:D2466)),"""")"),"")</f>
        <v/>
      </c>
      <c r="E24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Helper'!$F$5:$F$3004,"""")&lt;&gt;""""),ROWS(E$5:E2466)),"""")"),"")</f>
        <v/>
      </c>
      <c r="F24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Helper'!$F$5:$F$3004,"""")&lt;&gt;""""),ROWS(F$5:F2466)),IF(AND(LEFT(x,5)=""Pag"&amp;"e "",ISERROR(SEARCH(""–"",x))),x&amp;""–""&amp;REGEXEXTRACT(x,""[0-9]+$""),x)),"""")"),"")</f>
        <v/>
      </c>
      <c r="G2466" s="163"/>
      <c r="H24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Helper'!$F$5:$F$3004,"""")&lt;&gt;""""),ROWS(H$5:H2466)),"""")"),"")</f>
        <v/>
      </c>
    </row>
    <row r="2467" ht="15.75" customHeight="1">
      <c r="A24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Helper'!$F$5:$F$3004,"""")&lt;&gt;""""),ROWS(A$5:A2467)),"""")"),"")</f>
        <v/>
      </c>
      <c r="B24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Helper'!$F$5:$F$3004,"""")&lt;&gt;""""),ROWS(B$5:B2467)),"""")"),"")</f>
        <v/>
      </c>
      <c r="C24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Helper'!$F$5:$F$3004,"""")&lt;&gt;""""),ROWS(C$5:C2467)),"""")"),"")</f>
        <v/>
      </c>
      <c r="D24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Helper'!$F$5:$F$3004,"""")&lt;&gt;""""),ROWS(D$5:D2467)),"""")"),"")</f>
        <v/>
      </c>
      <c r="E24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Helper'!$F$5:$F$3004,"""")&lt;&gt;""""),ROWS(E$5:E2467)),"""")"),"")</f>
        <v/>
      </c>
      <c r="F24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Helper'!$F$5:$F$3004,"""")&lt;&gt;""""),ROWS(F$5:F2467)),IF(AND(LEFT(x,5)=""Pag"&amp;"e "",ISERROR(SEARCH(""–"",x))),x&amp;""–""&amp;REGEXEXTRACT(x,""[0-9]+$""),x)),"""")"),"")</f>
        <v/>
      </c>
      <c r="G2467" s="163"/>
      <c r="H24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Helper'!$F$5:$F$3004,"""")&lt;&gt;""""),ROWS(H$5:H2467)),"""")"),"")</f>
        <v/>
      </c>
    </row>
    <row r="2468" ht="15.75" customHeight="1">
      <c r="A24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Helper'!$F$5:$F$3004,"""")&lt;&gt;""""),ROWS(A$5:A2468)),"""")"),"")</f>
        <v/>
      </c>
      <c r="B24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Helper'!$F$5:$F$3004,"""")&lt;&gt;""""),ROWS(B$5:B2468)),"""")"),"")</f>
        <v/>
      </c>
      <c r="C24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Helper'!$F$5:$F$3004,"""")&lt;&gt;""""),ROWS(C$5:C2468)),"""")"),"")</f>
        <v/>
      </c>
      <c r="D24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Helper'!$F$5:$F$3004,"""")&lt;&gt;""""),ROWS(D$5:D2468)),"""")"),"")</f>
        <v/>
      </c>
      <c r="E24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Helper'!$F$5:$F$3004,"""")&lt;&gt;""""),ROWS(E$5:E2468)),"""")"),"")</f>
        <v/>
      </c>
      <c r="F24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Helper'!$F$5:$F$3004,"""")&lt;&gt;""""),ROWS(F$5:F2468)),IF(AND(LEFT(x,5)=""Pag"&amp;"e "",ISERROR(SEARCH(""–"",x))),x&amp;""–""&amp;REGEXEXTRACT(x,""[0-9]+$""),x)),"""")"),"")</f>
        <v/>
      </c>
      <c r="G2468" s="163"/>
      <c r="H24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Helper'!$F$5:$F$3004,"""")&lt;&gt;""""),ROWS(H$5:H2468)),"""")"),"")</f>
        <v/>
      </c>
    </row>
    <row r="2469" ht="15.75" customHeight="1">
      <c r="A24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Helper'!$F$5:$F$3004,"""")&lt;&gt;""""),ROWS(A$5:A2469)),"""")"),"")</f>
        <v/>
      </c>
      <c r="B24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Helper'!$F$5:$F$3004,"""")&lt;&gt;""""),ROWS(B$5:B2469)),"""")"),"")</f>
        <v/>
      </c>
      <c r="C24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Helper'!$F$5:$F$3004,"""")&lt;&gt;""""),ROWS(C$5:C2469)),"""")"),"")</f>
        <v/>
      </c>
      <c r="D24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Helper'!$F$5:$F$3004,"""")&lt;&gt;""""),ROWS(D$5:D2469)),"""")"),"")</f>
        <v/>
      </c>
      <c r="E24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Helper'!$F$5:$F$3004,"""")&lt;&gt;""""),ROWS(E$5:E2469)),"""")"),"")</f>
        <v/>
      </c>
      <c r="F24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Helper'!$F$5:$F$3004,"""")&lt;&gt;""""),ROWS(F$5:F2469)),IF(AND(LEFT(x,5)=""Pag"&amp;"e "",ISERROR(SEARCH(""–"",x))),x&amp;""–""&amp;REGEXEXTRACT(x,""[0-9]+$""),x)),"""")"),"")</f>
        <v/>
      </c>
      <c r="G2469" s="163"/>
      <c r="H24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Helper'!$F$5:$F$3004,"""")&lt;&gt;""""),ROWS(H$5:H2469)),"""")"),"")</f>
        <v/>
      </c>
    </row>
    <row r="2470" ht="15.75" customHeight="1">
      <c r="A24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Helper'!$F$5:$F$3004,"""")&lt;&gt;""""),ROWS(A$5:A2470)),"""")"),"")</f>
        <v/>
      </c>
      <c r="B24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Helper'!$F$5:$F$3004,"""")&lt;&gt;""""),ROWS(B$5:B2470)),"""")"),"")</f>
        <v/>
      </c>
      <c r="C24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Helper'!$F$5:$F$3004,"""")&lt;&gt;""""),ROWS(C$5:C2470)),"""")"),"")</f>
        <v/>
      </c>
      <c r="D24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Helper'!$F$5:$F$3004,"""")&lt;&gt;""""),ROWS(D$5:D2470)),"""")"),"")</f>
        <v/>
      </c>
      <c r="E24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Helper'!$F$5:$F$3004,"""")&lt;&gt;""""),ROWS(E$5:E2470)),"""")"),"")</f>
        <v/>
      </c>
      <c r="F24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Helper'!$F$5:$F$3004,"""")&lt;&gt;""""),ROWS(F$5:F2470)),IF(AND(LEFT(x,5)=""Pag"&amp;"e "",ISERROR(SEARCH(""–"",x))),x&amp;""–""&amp;REGEXEXTRACT(x,""[0-9]+$""),x)),"""")"),"")</f>
        <v/>
      </c>
      <c r="G2470" s="163"/>
      <c r="H24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Helper'!$F$5:$F$3004,"""")&lt;&gt;""""),ROWS(H$5:H2470)),"""")"),"")</f>
        <v/>
      </c>
    </row>
    <row r="2471" ht="15.75" customHeight="1">
      <c r="A24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Helper'!$F$5:$F$3004,"""")&lt;&gt;""""),ROWS(A$5:A2471)),"""")"),"")</f>
        <v/>
      </c>
      <c r="B24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Helper'!$F$5:$F$3004,"""")&lt;&gt;""""),ROWS(B$5:B2471)),"""")"),"")</f>
        <v/>
      </c>
      <c r="C24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Helper'!$F$5:$F$3004,"""")&lt;&gt;""""),ROWS(C$5:C2471)),"""")"),"")</f>
        <v/>
      </c>
      <c r="D24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Helper'!$F$5:$F$3004,"""")&lt;&gt;""""),ROWS(D$5:D2471)),"""")"),"")</f>
        <v/>
      </c>
      <c r="E24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Helper'!$F$5:$F$3004,"""")&lt;&gt;""""),ROWS(E$5:E2471)),"""")"),"")</f>
        <v/>
      </c>
      <c r="F24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Helper'!$F$5:$F$3004,"""")&lt;&gt;""""),ROWS(F$5:F2471)),IF(AND(LEFT(x,5)=""Pag"&amp;"e "",ISERROR(SEARCH(""–"",x))),x&amp;""–""&amp;REGEXEXTRACT(x,""[0-9]+$""),x)),"""")"),"")</f>
        <v/>
      </c>
      <c r="G2471" s="163"/>
      <c r="H24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Helper'!$F$5:$F$3004,"""")&lt;&gt;""""),ROWS(H$5:H2471)),"""")"),"")</f>
        <v/>
      </c>
    </row>
    <row r="2472" ht="15.75" customHeight="1">
      <c r="A24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Helper'!$F$5:$F$3004,"""")&lt;&gt;""""),ROWS(A$5:A2472)),"""")"),"")</f>
        <v/>
      </c>
      <c r="B24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Helper'!$F$5:$F$3004,"""")&lt;&gt;""""),ROWS(B$5:B2472)),"""")"),"")</f>
        <v/>
      </c>
      <c r="C24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Helper'!$F$5:$F$3004,"""")&lt;&gt;""""),ROWS(C$5:C2472)),"""")"),"")</f>
        <v/>
      </c>
      <c r="D24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Helper'!$F$5:$F$3004,"""")&lt;&gt;""""),ROWS(D$5:D2472)),"""")"),"")</f>
        <v/>
      </c>
      <c r="E24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Helper'!$F$5:$F$3004,"""")&lt;&gt;""""),ROWS(E$5:E2472)),"""")"),"")</f>
        <v/>
      </c>
      <c r="F24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Helper'!$F$5:$F$3004,"""")&lt;&gt;""""),ROWS(F$5:F2472)),IF(AND(LEFT(x,5)=""Pag"&amp;"e "",ISERROR(SEARCH(""–"",x))),x&amp;""–""&amp;REGEXEXTRACT(x,""[0-9]+$""),x)),"""")"),"")</f>
        <v/>
      </c>
      <c r="G2472" s="163"/>
      <c r="H24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Helper'!$F$5:$F$3004,"""")&lt;&gt;""""),ROWS(H$5:H2472)),"""")"),"")</f>
        <v/>
      </c>
    </row>
    <row r="2473" ht="15.75" customHeight="1">
      <c r="A24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Helper'!$F$5:$F$3004,"""")&lt;&gt;""""),ROWS(A$5:A2473)),"""")"),"")</f>
        <v/>
      </c>
      <c r="B24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Helper'!$F$5:$F$3004,"""")&lt;&gt;""""),ROWS(B$5:B2473)),"""")"),"")</f>
        <v/>
      </c>
      <c r="C24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Helper'!$F$5:$F$3004,"""")&lt;&gt;""""),ROWS(C$5:C2473)),"""")"),"")</f>
        <v/>
      </c>
      <c r="D24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Helper'!$F$5:$F$3004,"""")&lt;&gt;""""),ROWS(D$5:D2473)),"""")"),"")</f>
        <v/>
      </c>
      <c r="E24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Helper'!$F$5:$F$3004,"""")&lt;&gt;""""),ROWS(E$5:E2473)),"""")"),"")</f>
        <v/>
      </c>
      <c r="F24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Helper'!$F$5:$F$3004,"""")&lt;&gt;""""),ROWS(F$5:F2473)),IF(AND(LEFT(x,5)=""Pag"&amp;"e "",ISERROR(SEARCH(""–"",x))),x&amp;""–""&amp;REGEXEXTRACT(x,""[0-9]+$""),x)),"""")"),"")</f>
        <v/>
      </c>
      <c r="G2473" s="163"/>
      <c r="H24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Helper'!$F$5:$F$3004,"""")&lt;&gt;""""),ROWS(H$5:H2473)),"""")"),"")</f>
        <v/>
      </c>
    </row>
    <row r="2474" ht="15.75" customHeight="1">
      <c r="A24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Helper'!$F$5:$F$3004,"""")&lt;&gt;""""),ROWS(A$5:A2474)),"""")"),"")</f>
        <v/>
      </c>
      <c r="B24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Helper'!$F$5:$F$3004,"""")&lt;&gt;""""),ROWS(B$5:B2474)),"""")"),"")</f>
        <v/>
      </c>
      <c r="C24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Helper'!$F$5:$F$3004,"""")&lt;&gt;""""),ROWS(C$5:C2474)),"""")"),"")</f>
        <v/>
      </c>
      <c r="D24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Helper'!$F$5:$F$3004,"""")&lt;&gt;""""),ROWS(D$5:D2474)),"""")"),"")</f>
        <v/>
      </c>
      <c r="E24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Helper'!$F$5:$F$3004,"""")&lt;&gt;""""),ROWS(E$5:E2474)),"""")"),"")</f>
        <v/>
      </c>
      <c r="F24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Helper'!$F$5:$F$3004,"""")&lt;&gt;""""),ROWS(F$5:F2474)),IF(AND(LEFT(x,5)=""Pag"&amp;"e "",ISERROR(SEARCH(""–"",x))),x&amp;""–""&amp;REGEXEXTRACT(x,""[0-9]+$""),x)),"""")"),"")</f>
        <v/>
      </c>
      <c r="G2474" s="163"/>
      <c r="H24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Helper'!$F$5:$F$3004,"""")&lt;&gt;""""),ROWS(H$5:H2474)),"""")"),"")</f>
        <v/>
      </c>
    </row>
    <row r="2475" ht="15.75" customHeight="1">
      <c r="A24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Helper'!$F$5:$F$3004,"""")&lt;&gt;""""),ROWS(A$5:A2475)),"""")"),"")</f>
        <v/>
      </c>
      <c r="B24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Helper'!$F$5:$F$3004,"""")&lt;&gt;""""),ROWS(B$5:B2475)),"""")"),"")</f>
        <v/>
      </c>
      <c r="C24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Helper'!$F$5:$F$3004,"""")&lt;&gt;""""),ROWS(C$5:C2475)),"""")"),"")</f>
        <v/>
      </c>
      <c r="D24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Helper'!$F$5:$F$3004,"""")&lt;&gt;""""),ROWS(D$5:D2475)),"""")"),"")</f>
        <v/>
      </c>
      <c r="E24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Helper'!$F$5:$F$3004,"""")&lt;&gt;""""),ROWS(E$5:E2475)),"""")"),"")</f>
        <v/>
      </c>
      <c r="F24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Helper'!$F$5:$F$3004,"""")&lt;&gt;""""),ROWS(F$5:F2475)),IF(AND(LEFT(x,5)=""Pag"&amp;"e "",ISERROR(SEARCH(""–"",x))),x&amp;""–""&amp;REGEXEXTRACT(x,""[0-9]+$""),x)),"""")"),"")</f>
        <v/>
      </c>
      <c r="G2475" s="163"/>
      <c r="H24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Helper'!$F$5:$F$3004,"""")&lt;&gt;""""),ROWS(H$5:H2475)),"""")"),"")</f>
        <v/>
      </c>
    </row>
    <row r="2476" ht="15.75" customHeight="1">
      <c r="A24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Helper'!$F$5:$F$3004,"""")&lt;&gt;""""),ROWS(A$5:A2476)),"""")"),"")</f>
        <v/>
      </c>
      <c r="B24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Helper'!$F$5:$F$3004,"""")&lt;&gt;""""),ROWS(B$5:B2476)),"""")"),"")</f>
        <v/>
      </c>
      <c r="C24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Helper'!$F$5:$F$3004,"""")&lt;&gt;""""),ROWS(C$5:C2476)),"""")"),"")</f>
        <v/>
      </c>
      <c r="D24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Helper'!$F$5:$F$3004,"""")&lt;&gt;""""),ROWS(D$5:D2476)),"""")"),"")</f>
        <v/>
      </c>
      <c r="E24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Helper'!$F$5:$F$3004,"""")&lt;&gt;""""),ROWS(E$5:E2476)),"""")"),"")</f>
        <v/>
      </c>
      <c r="F24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Helper'!$F$5:$F$3004,"""")&lt;&gt;""""),ROWS(F$5:F2476)),IF(AND(LEFT(x,5)=""Pag"&amp;"e "",ISERROR(SEARCH(""–"",x))),x&amp;""–""&amp;REGEXEXTRACT(x,""[0-9]+$""),x)),"""")"),"")</f>
        <v/>
      </c>
      <c r="G2476" s="163"/>
      <c r="H24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Helper'!$F$5:$F$3004,"""")&lt;&gt;""""),ROWS(H$5:H2476)),"""")"),"")</f>
        <v/>
      </c>
    </row>
    <row r="2477" ht="15.75" customHeight="1">
      <c r="A24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Helper'!$F$5:$F$3004,"""")&lt;&gt;""""),ROWS(A$5:A2477)),"""")"),"")</f>
        <v/>
      </c>
      <c r="B24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Helper'!$F$5:$F$3004,"""")&lt;&gt;""""),ROWS(B$5:B2477)),"""")"),"")</f>
        <v/>
      </c>
      <c r="C24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Helper'!$F$5:$F$3004,"""")&lt;&gt;""""),ROWS(C$5:C2477)),"""")"),"")</f>
        <v/>
      </c>
      <c r="D24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Helper'!$F$5:$F$3004,"""")&lt;&gt;""""),ROWS(D$5:D2477)),"""")"),"")</f>
        <v/>
      </c>
      <c r="E24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Helper'!$F$5:$F$3004,"""")&lt;&gt;""""),ROWS(E$5:E2477)),"""")"),"")</f>
        <v/>
      </c>
      <c r="F24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Helper'!$F$5:$F$3004,"""")&lt;&gt;""""),ROWS(F$5:F2477)),IF(AND(LEFT(x,5)=""Pag"&amp;"e "",ISERROR(SEARCH(""–"",x))),x&amp;""–""&amp;REGEXEXTRACT(x,""[0-9]+$""),x)),"""")"),"")</f>
        <v/>
      </c>
      <c r="G2477" s="163"/>
      <c r="H24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Helper'!$F$5:$F$3004,"""")&lt;&gt;""""),ROWS(H$5:H2477)),"""")"),"")</f>
        <v/>
      </c>
    </row>
    <row r="2478" ht="15.75" customHeight="1">
      <c r="A24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Helper'!$F$5:$F$3004,"""")&lt;&gt;""""),ROWS(A$5:A2478)),"""")"),"")</f>
        <v/>
      </c>
      <c r="B24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Helper'!$F$5:$F$3004,"""")&lt;&gt;""""),ROWS(B$5:B2478)),"""")"),"")</f>
        <v/>
      </c>
      <c r="C24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Helper'!$F$5:$F$3004,"""")&lt;&gt;""""),ROWS(C$5:C2478)),"""")"),"")</f>
        <v/>
      </c>
      <c r="D24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Helper'!$F$5:$F$3004,"""")&lt;&gt;""""),ROWS(D$5:D2478)),"""")"),"")</f>
        <v/>
      </c>
      <c r="E24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Helper'!$F$5:$F$3004,"""")&lt;&gt;""""),ROWS(E$5:E2478)),"""")"),"")</f>
        <v/>
      </c>
      <c r="F24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Helper'!$F$5:$F$3004,"""")&lt;&gt;""""),ROWS(F$5:F2478)),IF(AND(LEFT(x,5)=""Pag"&amp;"e "",ISERROR(SEARCH(""–"",x))),x&amp;""–""&amp;REGEXEXTRACT(x,""[0-9]+$""),x)),"""")"),"")</f>
        <v/>
      </c>
      <c r="G2478" s="163"/>
      <c r="H24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Helper'!$F$5:$F$3004,"""")&lt;&gt;""""),ROWS(H$5:H2478)),"""")"),"")</f>
        <v/>
      </c>
    </row>
    <row r="2479" ht="15.75" customHeight="1">
      <c r="A24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Helper'!$F$5:$F$3004,"""")&lt;&gt;""""),ROWS(A$5:A2479)),"""")"),"")</f>
        <v/>
      </c>
      <c r="B24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Helper'!$F$5:$F$3004,"""")&lt;&gt;""""),ROWS(B$5:B2479)),"""")"),"")</f>
        <v/>
      </c>
      <c r="C24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Helper'!$F$5:$F$3004,"""")&lt;&gt;""""),ROWS(C$5:C2479)),"""")"),"")</f>
        <v/>
      </c>
      <c r="D24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Helper'!$F$5:$F$3004,"""")&lt;&gt;""""),ROWS(D$5:D2479)),"""")"),"")</f>
        <v/>
      </c>
      <c r="E24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Helper'!$F$5:$F$3004,"""")&lt;&gt;""""),ROWS(E$5:E2479)),"""")"),"")</f>
        <v/>
      </c>
      <c r="F24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Helper'!$F$5:$F$3004,"""")&lt;&gt;""""),ROWS(F$5:F2479)),IF(AND(LEFT(x,5)=""Pag"&amp;"e "",ISERROR(SEARCH(""–"",x))),x&amp;""–""&amp;REGEXEXTRACT(x,""[0-9]+$""),x)),"""")"),"")</f>
        <v/>
      </c>
      <c r="G2479" s="163"/>
      <c r="H24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Helper'!$F$5:$F$3004,"""")&lt;&gt;""""),ROWS(H$5:H2479)),"""")"),"")</f>
        <v/>
      </c>
    </row>
    <row r="2480" ht="15.75" customHeight="1">
      <c r="A24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Helper'!$F$5:$F$3004,"""")&lt;&gt;""""),ROWS(A$5:A2480)),"""")"),"")</f>
        <v/>
      </c>
      <c r="B24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Helper'!$F$5:$F$3004,"""")&lt;&gt;""""),ROWS(B$5:B2480)),"""")"),"")</f>
        <v/>
      </c>
      <c r="C24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Helper'!$F$5:$F$3004,"""")&lt;&gt;""""),ROWS(C$5:C2480)),"""")"),"")</f>
        <v/>
      </c>
      <c r="D24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Helper'!$F$5:$F$3004,"""")&lt;&gt;""""),ROWS(D$5:D2480)),"""")"),"")</f>
        <v/>
      </c>
      <c r="E24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Helper'!$F$5:$F$3004,"""")&lt;&gt;""""),ROWS(E$5:E2480)),"""")"),"")</f>
        <v/>
      </c>
      <c r="F24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Helper'!$F$5:$F$3004,"""")&lt;&gt;""""),ROWS(F$5:F2480)),IF(AND(LEFT(x,5)=""Pag"&amp;"e "",ISERROR(SEARCH(""–"",x))),x&amp;""–""&amp;REGEXEXTRACT(x,""[0-9]+$""),x)),"""")"),"")</f>
        <v/>
      </c>
      <c r="G2480" s="163"/>
      <c r="H24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Helper'!$F$5:$F$3004,"""")&lt;&gt;""""),ROWS(H$5:H2480)),"""")"),"")</f>
        <v/>
      </c>
    </row>
    <row r="2481" ht="15.75" customHeight="1">
      <c r="A24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Helper'!$F$5:$F$3004,"""")&lt;&gt;""""),ROWS(A$5:A2481)),"""")"),"")</f>
        <v/>
      </c>
      <c r="B24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Helper'!$F$5:$F$3004,"""")&lt;&gt;""""),ROWS(B$5:B2481)),"""")"),"")</f>
        <v/>
      </c>
      <c r="C24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Helper'!$F$5:$F$3004,"""")&lt;&gt;""""),ROWS(C$5:C2481)),"""")"),"")</f>
        <v/>
      </c>
      <c r="D24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Helper'!$F$5:$F$3004,"""")&lt;&gt;""""),ROWS(D$5:D2481)),"""")"),"")</f>
        <v/>
      </c>
      <c r="E24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Helper'!$F$5:$F$3004,"""")&lt;&gt;""""),ROWS(E$5:E2481)),"""")"),"")</f>
        <v/>
      </c>
      <c r="F24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Helper'!$F$5:$F$3004,"""")&lt;&gt;""""),ROWS(F$5:F2481)),IF(AND(LEFT(x,5)=""Pag"&amp;"e "",ISERROR(SEARCH(""–"",x))),x&amp;""–""&amp;REGEXEXTRACT(x,""[0-9]+$""),x)),"""")"),"")</f>
        <v/>
      </c>
      <c r="G2481" s="163"/>
      <c r="H24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Helper'!$F$5:$F$3004,"""")&lt;&gt;""""),ROWS(H$5:H2481)),"""")"),"")</f>
        <v/>
      </c>
    </row>
    <row r="2482" ht="15.75" customHeight="1">
      <c r="A24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Helper'!$F$5:$F$3004,"""")&lt;&gt;""""),ROWS(A$5:A2482)),"""")"),"")</f>
        <v/>
      </c>
      <c r="B24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Helper'!$F$5:$F$3004,"""")&lt;&gt;""""),ROWS(B$5:B2482)),"""")"),"")</f>
        <v/>
      </c>
      <c r="C24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Helper'!$F$5:$F$3004,"""")&lt;&gt;""""),ROWS(C$5:C2482)),"""")"),"")</f>
        <v/>
      </c>
      <c r="D24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Helper'!$F$5:$F$3004,"""")&lt;&gt;""""),ROWS(D$5:D2482)),"""")"),"")</f>
        <v/>
      </c>
      <c r="E24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Helper'!$F$5:$F$3004,"""")&lt;&gt;""""),ROWS(E$5:E2482)),"""")"),"")</f>
        <v/>
      </c>
      <c r="F24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Helper'!$F$5:$F$3004,"""")&lt;&gt;""""),ROWS(F$5:F2482)),IF(AND(LEFT(x,5)=""Pag"&amp;"e "",ISERROR(SEARCH(""–"",x))),x&amp;""–""&amp;REGEXEXTRACT(x,""[0-9]+$""),x)),"""")"),"")</f>
        <v/>
      </c>
      <c r="G2482" s="163"/>
      <c r="H24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Helper'!$F$5:$F$3004,"""")&lt;&gt;""""),ROWS(H$5:H2482)),"""")"),"")</f>
        <v/>
      </c>
    </row>
    <row r="2483" ht="15.75" customHeight="1">
      <c r="A24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Helper'!$F$5:$F$3004,"""")&lt;&gt;""""),ROWS(A$5:A2483)),"""")"),"")</f>
        <v/>
      </c>
      <c r="B24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Helper'!$F$5:$F$3004,"""")&lt;&gt;""""),ROWS(B$5:B2483)),"""")"),"")</f>
        <v/>
      </c>
      <c r="C24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Helper'!$F$5:$F$3004,"""")&lt;&gt;""""),ROWS(C$5:C2483)),"""")"),"")</f>
        <v/>
      </c>
      <c r="D24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Helper'!$F$5:$F$3004,"""")&lt;&gt;""""),ROWS(D$5:D2483)),"""")"),"")</f>
        <v/>
      </c>
      <c r="E24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Helper'!$F$5:$F$3004,"""")&lt;&gt;""""),ROWS(E$5:E2483)),"""")"),"")</f>
        <v/>
      </c>
      <c r="F24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Helper'!$F$5:$F$3004,"""")&lt;&gt;""""),ROWS(F$5:F2483)),IF(AND(LEFT(x,5)=""Pag"&amp;"e "",ISERROR(SEARCH(""–"",x))),x&amp;""–""&amp;REGEXEXTRACT(x,""[0-9]+$""),x)),"""")"),"")</f>
        <v/>
      </c>
      <c r="G2483" s="163"/>
      <c r="H24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Helper'!$F$5:$F$3004,"""")&lt;&gt;""""),ROWS(H$5:H2483)),"""")"),"")</f>
        <v/>
      </c>
    </row>
    <row r="2484" ht="15.75" customHeight="1">
      <c r="A24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Helper'!$F$5:$F$3004,"""")&lt;&gt;""""),ROWS(A$5:A2484)),"""")"),"")</f>
        <v/>
      </c>
      <c r="B24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Helper'!$F$5:$F$3004,"""")&lt;&gt;""""),ROWS(B$5:B2484)),"""")"),"")</f>
        <v/>
      </c>
      <c r="C24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Helper'!$F$5:$F$3004,"""")&lt;&gt;""""),ROWS(C$5:C2484)),"""")"),"")</f>
        <v/>
      </c>
      <c r="D24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Helper'!$F$5:$F$3004,"""")&lt;&gt;""""),ROWS(D$5:D2484)),"""")"),"")</f>
        <v/>
      </c>
      <c r="E24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Helper'!$F$5:$F$3004,"""")&lt;&gt;""""),ROWS(E$5:E2484)),"""")"),"")</f>
        <v/>
      </c>
      <c r="F24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Helper'!$F$5:$F$3004,"""")&lt;&gt;""""),ROWS(F$5:F2484)),IF(AND(LEFT(x,5)=""Pag"&amp;"e "",ISERROR(SEARCH(""–"",x))),x&amp;""–""&amp;REGEXEXTRACT(x,""[0-9]+$""),x)),"""")"),"")</f>
        <v/>
      </c>
      <c r="G2484" s="163"/>
      <c r="H24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Helper'!$F$5:$F$3004,"""")&lt;&gt;""""),ROWS(H$5:H2484)),"""")"),"")</f>
        <v/>
      </c>
    </row>
    <row r="2485" ht="15.75" customHeight="1">
      <c r="A24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Helper'!$F$5:$F$3004,"""")&lt;&gt;""""),ROWS(A$5:A2485)),"""")"),"")</f>
        <v/>
      </c>
      <c r="B24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Helper'!$F$5:$F$3004,"""")&lt;&gt;""""),ROWS(B$5:B2485)),"""")"),"")</f>
        <v/>
      </c>
      <c r="C24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Helper'!$F$5:$F$3004,"""")&lt;&gt;""""),ROWS(C$5:C2485)),"""")"),"")</f>
        <v/>
      </c>
      <c r="D24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Helper'!$F$5:$F$3004,"""")&lt;&gt;""""),ROWS(D$5:D2485)),"""")"),"")</f>
        <v/>
      </c>
      <c r="E24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Helper'!$F$5:$F$3004,"""")&lt;&gt;""""),ROWS(E$5:E2485)),"""")"),"")</f>
        <v/>
      </c>
      <c r="F24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Helper'!$F$5:$F$3004,"""")&lt;&gt;""""),ROWS(F$5:F2485)),IF(AND(LEFT(x,5)=""Pag"&amp;"e "",ISERROR(SEARCH(""–"",x))),x&amp;""–""&amp;REGEXEXTRACT(x,""[0-9]+$""),x)),"""")"),"")</f>
        <v/>
      </c>
      <c r="G2485" s="163"/>
      <c r="H24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Helper'!$F$5:$F$3004,"""")&lt;&gt;""""),ROWS(H$5:H2485)),"""")"),"")</f>
        <v/>
      </c>
    </row>
    <row r="2486" ht="15.75" customHeight="1">
      <c r="A24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Helper'!$F$5:$F$3004,"""")&lt;&gt;""""),ROWS(A$5:A2486)),"""")"),"")</f>
        <v/>
      </c>
      <c r="B24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Helper'!$F$5:$F$3004,"""")&lt;&gt;""""),ROWS(B$5:B2486)),"""")"),"")</f>
        <v/>
      </c>
      <c r="C24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Helper'!$F$5:$F$3004,"""")&lt;&gt;""""),ROWS(C$5:C2486)),"""")"),"")</f>
        <v/>
      </c>
      <c r="D24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Helper'!$F$5:$F$3004,"""")&lt;&gt;""""),ROWS(D$5:D2486)),"""")"),"")</f>
        <v/>
      </c>
      <c r="E24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Helper'!$F$5:$F$3004,"""")&lt;&gt;""""),ROWS(E$5:E2486)),"""")"),"")</f>
        <v/>
      </c>
      <c r="F24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Helper'!$F$5:$F$3004,"""")&lt;&gt;""""),ROWS(F$5:F2486)),IF(AND(LEFT(x,5)=""Pag"&amp;"e "",ISERROR(SEARCH(""–"",x))),x&amp;""–""&amp;REGEXEXTRACT(x,""[0-9]+$""),x)),"""")"),"")</f>
        <v/>
      </c>
      <c r="G2486" s="163"/>
      <c r="H24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Helper'!$F$5:$F$3004,"""")&lt;&gt;""""),ROWS(H$5:H2486)),"""")"),"")</f>
        <v/>
      </c>
    </row>
    <row r="2487" ht="15.75" customHeight="1">
      <c r="A24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Helper'!$F$5:$F$3004,"""")&lt;&gt;""""),ROWS(A$5:A2487)),"""")"),"")</f>
        <v/>
      </c>
      <c r="B24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Helper'!$F$5:$F$3004,"""")&lt;&gt;""""),ROWS(B$5:B2487)),"""")"),"")</f>
        <v/>
      </c>
      <c r="C24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Helper'!$F$5:$F$3004,"""")&lt;&gt;""""),ROWS(C$5:C2487)),"""")"),"")</f>
        <v/>
      </c>
      <c r="D24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Helper'!$F$5:$F$3004,"""")&lt;&gt;""""),ROWS(D$5:D2487)),"""")"),"")</f>
        <v/>
      </c>
      <c r="E24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Helper'!$F$5:$F$3004,"""")&lt;&gt;""""),ROWS(E$5:E2487)),"""")"),"")</f>
        <v/>
      </c>
      <c r="F24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Helper'!$F$5:$F$3004,"""")&lt;&gt;""""),ROWS(F$5:F2487)),IF(AND(LEFT(x,5)=""Pag"&amp;"e "",ISERROR(SEARCH(""–"",x))),x&amp;""–""&amp;REGEXEXTRACT(x,""[0-9]+$""),x)),"""")"),"")</f>
        <v/>
      </c>
      <c r="G2487" s="163"/>
      <c r="H24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Helper'!$F$5:$F$3004,"""")&lt;&gt;""""),ROWS(H$5:H2487)),"""")"),"")</f>
        <v/>
      </c>
    </row>
    <row r="2488" ht="15.75" customHeight="1">
      <c r="A24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Helper'!$F$5:$F$3004,"""")&lt;&gt;""""),ROWS(A$5:A2488)),"""")"),"")</f>
        <v/>
      </c>
      <c r="B24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Helper'!$F$5:$F$3004,"""")&lt;&gt;""""),ROWS(B$5:B2488)),"""")"),"")</f>
        <v/>
      </c>
      <c r="C24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Helper'!$F$5:$F$3004,"""")&lt;&gt;""""),ROWS(C$5:C2488)),"""")"),"")</f>
        <v/>
      </c>
      <c r="D24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Helper'!$F$5:$F$3004,"""")&lt;&gt;""""),ROWS(D$5:D2488)),"""")"),"")</f>
        <v/>
      </c>
      <c r="E24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Helper'!$F$5:$F$3004,"""")&lt;&gt;""""),ROWS(E$5:E2488)),"""")"),"")</f>
        <v/>
      </c>
      <c r="F24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Helper'!$F$5:$F$3004,"""")&lt;&gt;""""),ROWS(F$5:F2488)),IF(AND(LEFT(x,5)=""Pag"&amp;"e "",ISERROR(SEARCH(""–"",x))),x&amp;""–""&amp;REGEXEXTRACT(x,""[0-9]+$""),x)),"""")"),"")</f>
        <v/>
      </c>
      <c r="G2488" s="163"/>
      <c r="H24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Helper'!$F$5:$F$3004,"""")&lt;&gt;""""),ROWS(H$5:H2488)),"""")"),"")</f>
        <v/>
      </c>
    </row>
    <row r="2489" ht="15.75" customHeight="1">
      <c r="A24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Helper'!$F$5:$F$3004,"""")&lt;&gt;""""),ROWS(A$5:A2489)),"""")"),"")</f>
        <v/>
      </c>
      <c r="B24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Helper'!$F$5:$F$3004,"""")&lt;&gt;""""),ROWS(B$5:B2489)),"""")"),"")</f>
        <v/>
      </c>
      <c r="C24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Helper'!$F$5:$F$3004,"""")&lt;&gt;""""),ROWS(C$5:C2489)),"""")"),"")</f>
        <v/>
      </c>
      <c r="D24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Helper'!$F$5:$F$3004,"""")&lt;&gt;""""),ROWS(D$5:D2489)),"""")"),"")</f>
        <v/>
      </c>
      <c r="E24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Helper'!$F$5:$F$3004,"""")&lt;&gt;""""),ROWS(E$5:E2489)),"""")"),"")</f>
        <v/>
      </c>
      <c r="F24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Helper'!$F$5:$F$3004,"""")&lt;&gt;""""),ROWS(F$5:F2489)),IF(AND(LEFT(x,5)=""Pag"&amp;"e "",ISERROR(SEARCH(""–"",x))),x&amp;""–""&amp;REGEXEXTRACT(x,""[0-9]+$""),x)),"""")"),"")</f>
        <v/>
      </c>
      <c r="G2489" s="163"/>
      <c r="H24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Helper'!$F$5:$F$3004,"""")&lt;&gt;""""),ROWS(H$5:H2489)),"""")"),"")</f>
        <v/>
      </c>
    </row>
    <row r="2490" ht="15.75" customHeight="1">
      <c r="A24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Helper'!$F$5:$F$3004,"""")&lt;&gt;""""),ROWS(A$5:A2490)),"""")"),"")</f>
        <v/>
      </c>
      <c r="B24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Helper'!$F$5:$F$3004,"""")&lt;&gt;""""),ROWS(B$5:B2490)),"""")"),"")</f>
        <v/>
      </c>
      <c r="C24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Helper'!$F$5:$F$3004,"""")&lt;&gt;""""),ROWS(C$5:C2490)),"""")"),"")</f>
        <v/>
      </c>
      <c r="D24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Helper'!$F$5:$F$3004,"""")&lt;&gt;""""),ROWS(D$5:D2490)),"""")"),"")</f>
        <v/>
      </c>
      <c r="E24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Helper'!$F$5:$F$3004,"""")&lt;&gt;""""),ROWS(E$5:E2490)),"""")"),"")</f>
        <v/>
      </c>
      <c r="F24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Helper'!$F$5:$F$3004,"""")&lt;&gt;""""),ROWS(F$5:F2490)),IF(AND(LEFT(x,5)=""Pag"&amp;"e "",ISERROR(SEARCH(""–"",x))),x&amp;""–""&amp;REGEXEXTRACT(x,""[0-9]+$""),x)),"""")"),"")</f>
        <v/>
      </c>
      <c r="G2490" s="163"/>
      <c r="H24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Helper'!$F$5:$F$3004,"""")&lt;&gt;""""),ROWS(H$5:H2490)),"""")"),"")</f>
        <v/>
      </c>
    </row>
    <row r="2491" ht="15.75" customHeight="1">
      <c r="A24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Helper'!$F$5:$F$3004,"""")&lt;&gt;""""),ROWS(A$5:A2491)),"""")"),"")</f>
        <v/>
      </c>
      <c r="B24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Helper'!$F$5:$F$3004,"""")&lt;&gt;""""),ROWS(B$5:B2491)),"""")"),"")</f>
        <v/>
      </c>
      <c r="C24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Helper'!$F$5:$F$3004,"""")&lt;&gt;""""),ROWS(C$5:C2491)),"""")"),"")</f>
        <v/>
      </c>
      <c r="D24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Helper'!$F$5:$F$3004,"""")&lt;&gt;""""),ROWS(D$5:D2491)),"""")"),"")</f>
        <v/>
      </c>
      <c r="E24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Helper'!$F$5:$F$3004,"""")&lt;&gt;""""),ROWS(E$5:E2491)),"""")"),"")</f>
        <v/>
      </c>
      <c r="F24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Helper'!$F$5:$F$3004,"""")&lt;&gt;""""),ROWS(F$5:F2491)),IF(AND(LEFT(x,5)=""Pag"&amp;"e "",ISERROR(SEARCH(""–"",x))),x&amp;""–""&amp;REGEXEXTRACT(x,""[0-9]+$""),x)),"""")"),"")</f>
        <v/>
      </c>
      <c r="G2491" s="163"/>
      <c r="H24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Helper'!$F$5:$F$3004,"""")&lt;&gt;""""),ROWS(H$5:H2491)),"""")"),"")</f>
        <v/>
      </c>
    </row>
    <row r="2492" ht="15.75" customHeight="1">
      <c r="A24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Helper'!$F$5:$F$3004,"""")&lt;&gt;""""),ROWS(A$5:A2492)),"""")"),"")</f>
        <v/>
      </c>
      <c r="B24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Helper'!$F$5:$F$3004,"""")&lt;&gt;""""),ROWS(B$5:B2492)),"""")"),"")</f>
        <v/>
      </c>
      <c r="C24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Helper'!$F$5:$F$3004,"""")&lt;&gt;""""),ROWS(C$5:C2492)),"""")"),"")</f>
        <v/>
      </c>
      <c r="D24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Helper'!$F$5:$F$3004,"""")&lt;&gt;""""),ROWS(D$5:D2492)),"""")"),"")</f>
        <v/>
      </c>
      <c r="E24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Helper'!$F$5:$F$3004,"""")&lt;&gt;""""),ROWS(E$5:E2492)),"""")"),"")</f>
        <v/>
      </c>
      <c r="F24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Helper'!$F$5:$F$3004,"""")&lt;&gt;""""),ROWS(F$5:F2492)),IF(AND(LEFT(x,5)=""Pag"&amp;"e "",ISERROR(SEARCH(""–"",x))),x&amp;""–""&amp;REGEXEXTRACT(x,""[0-9]+$""),x)),"""")"),"")</f>
        <v/>
      </c>
      <c r="G2492" s="163"/>
      <c r="H24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Helper'!$F$5:$F$3004,"""")&lt;&gt;""""),ROWS(H$5:H2492)),"""")"),"")</f>
        <v/>
      </c>
    </row>
    <row r="2493" ht="15.75" customHeight="1">
      <c r="A24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Helper'!$F$5:$F$3004,"""")&lt;&gt;""""),ROWS(A$5:A2493)),"""")"),"")</f>
        <v/>
      </c>
      <c r="B24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Helper'!$F$5:$F$3004,"""")&lt;&gt;""""),ROWS(B$5:B2493)),"""")"),"")</f>
        <v/>
      </c>
      <c r="C24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Helper'!$F$5:$F$3004,"""")&lt;&gt;""""),ROWS(C$5:C2493)),"""")"),"")</f>
        <v/>
      </c>
      <c r="D24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Helper'!$F$5:$F$3004,"""")&lt;&gt;""""),ROWS(D$5:D2493)),"""")"),"")</f>
        <v/>
      </c>
      <c r="E24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Helper'!$F$5:$F$3004,"""")&lt;&gt;""""),ROWS(E$5:E2493)),"""")"),"")</f>
        <v/>
      </c>
      <c r="F24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Helper'!$F$5:$F$3004,"""")&lt;&gt;""""),ROWS(F$5:F2493)),IF(AND(LEFT(x,5)=""Pag"&amp;"e "",ISERROR(SEARCH(""–"",x))),x&amp;""–""&amp;REGEXEXTRACT(x,""[0-9]+$""),x)),"""")"),"")</f>
        <v/>
      </c>
      <c r="G2493" s="163"/>
      <c r="H24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Helper'!$F$5:$F$3004,"""")&lt;&gt;""""),ROWS(H$5:H2493)),"""")"),"")</f>
        <v/>
      </c>
    </row>
    <row r="2494" ht="15.75" customHeight="1">
      <c r="A24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Helper'!$F$5:$F$3004,"""")&lt;&gt;""""),ROWS(A$5:A2494)),"""")"),"")</f>
        <v/>
      </c>
      <c r="B24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Helper'!$F$5:$F$3004,"""")&lt;&gt;""""),ROWS(B$5:B2494)),"""")"),"")</f>
        <v/>
      </c>
      <c r="C24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Helper'!$F$5:$F$3004,"""")&lt;&gt;""""),ROWS(C$5:C2494)),"""")"),"")</f>
        <v/>
      </c>
      <c r="D24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Helper'!$F$5:$F$3004,"""")&lt;&gt;""""),ROWS(D$5:D2494)),"""")"),"")</f>
        <v/>
      </c>
      <c r="E24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Helper'!$F$5:$F$3004,"""")&lt;&gt;""""),ROWS(E$5:E2494)),"""")"),"")</f>
        <v/>
      </c>
      <c r="F24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Helper'!$F$5:$F$3004,"""")&lt;&gt;""""),ROWS(F$5:F2494)),IF(AND(LEFT(x,5)=""Pag"&amp;"e "",ISERROR(SEARCH(""–"",x))),x&amp;""–""&amp;REGEXEXTRACT(x,""[0-9]+$""),x)),"""")"),"")</f>
        <v/>
      </c>
      <c r="G2494" s="163"/>
      <c r="H24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Helper'!$F$5:$F$3004,"""")&lt;&gt;""""),ROWS(H$5:H2494)),"""")"),"")</f>
        <v/>
      </c>
    </row>
    <row r="2495" ht="15.75" customHeight="1">
      <c r="A24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Helper'!$F$5:$F$3004,"""")&lt;&gt;""""),ROWS(A$5:A2495)),"""")"),"")</f>
        <v/>
      </c>
      <c r="B24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Helper'!$F$5:$F$3004,"""")&lt;&gt;""""),ROWS(B$5:B2495)),"""")"),"")</f>
        <v/>
      </c>
      <c r="C24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Helper'!$F$5:$F$3004,"""")&lt;&gt;""""),ROWS(C$5:C2495)),"""")"),"")</f>
        <v/>
      </c>
      <c r="D24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Helper'!$F$5:$F$3004,"""")&lt;&gt;""""),ROWS(D$5:D2495)),"""")"),"")</f>
        <v/>
      </c>
      <c r="E24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Helper'!$F$5:$F$3004,"""")&lt;&gt;""""),ROWS(E$5:E2495)),"""")"),"")</f>
        <v/>
      </c>
      <c r="F24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Helper'!$F$5:$F$3004,"""")&lt;&gt;""""),ROWS(F$5:F2495)),IF(AND(LEFT(x,5)=""Pag"&amp;"e "",ISERROR(SEARCH(""–"",x))),x&amp;""–""&amp;REGEXEXTRACT(x,""[0-9]+$""),x)),"""")"),"")</f>
        <v/>
      </c>
      <c r="G2495" s="163"/>
      <c r="H24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Helper'!$F$5:$F$3004,"""")&lt;&gt;""""),ROWS(H$5:H2495)),"""")"),"")</f>
        <v/>
      </c>
    </row>
    <row r="2496" ht="15.75" customHeight="1">
      <c r="A24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Helper'!$F$5:$F$3004,"""")&lt;&gt;""""),ROWS(A$5:A2496)),"""")"),"")</f>
        <v/>
      </c>
      <c r="B24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Helper'!$F$5:$F$3004,"""")&lt;&gt;""""),ROWS(B$5:B2496)),"""")"),"")</f>
        <v/>
      </c>
      <c r="C24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Helper'!$F$5:$F$3004,"""")&lt;&gt;""""),ROWS(C$5:C2496)),"""")"),"")</f>
        <v/>
      </c>
      <c r="D24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Helper'!$F$5:$F$3004,"""")&lt;&gt;""""),ROWS(D$5:D2496)),"""")"),"")</f>
        <v/>
      </c>
      <c r="E24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Helper'!$F$5:$F$3004,"""")&lt;&gt;""""),ROWS(E$5:E2496)),"""")"),"")</f>
        <v/>
      </c>
      <c r="F24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Helper'!$F$5:$F$3004,"""")&lt;&gt;""""),ROWS(F$5:F2496)),IF(AND(LEFT(x,5)=""Pag"&amp;"e "",ISERROR(SEARCH(""–"",x))),x&amp;""–""&amp;REGEXEXTRACT(x,""[0-9]+$""),x)),"""")"),"")</f>
        <v/>
      </c>
      <c r="G2496" s="163"/>
      <c r="H24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Helper'!$F$5:$F$3004,"""")&lt;&gt;""""),ROWS(H$5:H2496)),"""")"),"")</f>
        <v/>
      </c>
    </row>
    <row r="2497" ht="15.75" customHeight="1">
      <c r="A24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Helper'!$F$5:$F$3004,"""")&lt;&gt;""""),ROWS(A$5:A2497)),"""")"),"")</f>
        <v/>
      </c>
      <c r="B24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Helper'!$F$5:$F$3004,"""")&lt;&gt;""""),ROWS(B$5:B2497)),"""")"),"")</f>
        <v/>
      </c>
      <c r="C24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Helper'!$F$5:$F$3004,"""")&lt;&gt;""""),ROWS(C$5:C2497)),"""")"),"")</f>
        <v/>
      </c>
      <c r="D24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Helper'!$F$5:$F$3004,"""")&lt;&gt;""""),ROWS(D$5:D2497)),"""")"),"")</f>
        <v/>
      </c>
      <c r="E24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Helper'!$F$5:$F$3004,"""")&lt;&gt;""""),ROWS(E$5:E2497)),"""")"),"")</f>
        <v/>
      </c>
      <c r="F24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Helper'!$F$5:$F$3004,"""")&lt;&gt;""""),ROWS(F$5:F2497)),IF(AND(LEFT(x,5)=""Pag"&amp;"e "",ISERROR(SEARCH(""–"",x))),x&amp;""–""&amp;REGEXEXTRACT(x,""[0-9]+$""),x)),"""")"),"")</f>
        <v/>
      </c>
      <c r="G2497" s="163"/>
      <c r="H24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Helper'!$F$5:$F$3004,"""")&lt;&gt;""""),ROWS(H$5:H2497)),"""")"),"")</f>
        <v/>
      </c>
    </row>
    <row r="2498" ht="15.75" customHeight="1">
      <c r="A24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Helper'!$F$5:$F$3004,"""")&lt;&gt;""""),ROWS(A$5:A2498)),"""")"),"")</f>
        <v/>
      </c>
      <c r="B24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Helper'!$F$5:$F$3004,"""")&lt;&gt;""""),ROWS(B$5:B2498)),"""")"),"")</f>
        <v/>
      </c>
      <c r="C24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Helper'!$F$5:$F$3004,"""")&lt;&gt;""""),ROWS(C$5:C2498)),"""")"),"")</f>
        <v/>
      </c>
      <c r="D24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Helper'!$F$5:$F$3004,"""")&lt;&gt;""""),ROWS(D$5:D2498)),"""")"),"")</f>
        <v/>
      </c>
      <c r="E24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Helper'!$F$5:$F$3004,"""")&lt;&gt;""""),ROWS(E$5:E2498)),"""")"),"")</f>
        <v/>
      </c>
      <c r="F24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Helper'!$F$5:$F$3004,"""")&lt;&gt;""""),ROWS(F$5:F2498)),IF(AND(LEFT(x,5)=""Pag"&amp;"e "",ISERROR(SEARCH(""–"",x))),x&amp;""–""&amp;REGEXEXTRACT(x,""[0-9]+$""),x)),"""")"),"")</f>
        <v/>
      </c>
      <c r="G2498" s="163"/>
      <c r="H24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Helper'!$F$5:$F$3004,"""")&lt;&gt;""""),ROWS(H$5:H2498)),"""")"),"")</f>
        <v/>
      </c>
    </row>
    <row r="2499" ht="15.75" customHeight="1">
      <c r="A24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Helper'!$F$5:$F$3004,"""")&lt;&gt;""""),ROWS(A$5:A2499)),"""")"),"")</f>
        <v/>
      </c>
      <c r="B24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Helper'!$F$5:$F$3004,"""")&lt;&gt;""""),ROWS(B$5:B2499)),"""")"),"")</f>
        <v/>
      </c>
      <c r="C24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Helper'!$F$5:$F$3004,"""")&lt;&gt;""""),ROWS(C$5:C2499)),"""")"),"")</f>
        <v/>
      </c>
      <c r="D24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Helper'!$F$5:$F$3004,"""")&lt;&gt;""""),ROWS(D$5:D2499)),"""")"),"")</f>
        <v/>
      </c>
      <c r="E24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Helper'!$F$5:$F$3004,"""")&lt;&gt;""""),ROWS(E$5:E2499)),"""")"),"")</f>
        <v/>
      </c>
      <c r="F24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Helper'!$F$5:$F$3004,"""")&lt;&gt;""""),ROWS(F$5:F2499)),IF(AND(LEFT(x,5)=""Pag"&amp;"e "",ISERROR(SEARCH(""–"",x))),x&amp;""–""&amp;REGEXEXTRACT(x,""[0-9]+$""),x)),"""")"),"")</f>
        <v/>
      </c>
      <c r="G2499" s="163"/>
      <c r="H24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Helper'!$F$5:$F$3004,"""")&lt;&gt;""""),ROWS(H$5:H2499)),"""")"),"")</f>
        <v/>
      </c>
    </row>
    <row r="2500" ht="15.75" customHeight="1">
      <c r="A25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Helper'!$F$5:$F$3004,"""")&lt;&gt;""""),ROWS(A$5:A2500)),"""")"),"")</f>
        <v/>
      </c>
      <c r="B25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Helper'!$F$5:$F$3004,"""")&lt;&gt;""""),ROWS(B$5:B2500)),"""")"),"")</f>
        <v/>
      </c>
      <c r="C25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Helper'!$F$5:$F$3004,"""")&lt;&gt;""""),ROWS(C$5:C2500)),"""")"),"")</f>
        <v/>
      </c>
      <c r="D25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Helper'!$F$5:$F$3004,"""")&lt;&gt;""""),ROWS(D$5:D2500)),"""")"),"")</f>
        <v/>
      </c>
      <c r="E25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Helper'!$F$5:$F$3004,"""")&lt;&gt;""""),ROWS(E$5:E2500)),"""")"),"")</f>
        <v/>
      </c>
      <c r="F25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Helper'!$F$5:$F$3004,"""")&lt;&gt;""""),ROWS(F$5:F2500)),IF(AND(LEFT(x,5)=""Pag"&amp;"e "",ISERROR(SEARCH(""–"",x))),x&amp;""–""&amp;REGEXEXTRACT(x,""[0-9]+$""),x)),"""")"),"")</f>
        <v/>
      </c>
      <c r="G2500" s="163"/>
      <c r="H25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Helper'!$F$5:$F$3004,"""")&lt;&gt;""""),ROWS(H$5:H2500)),"""")"),"")</f>
        <v/>
      </c>
    </row>
    <row r="2501" ht="15.75" customHeight="1">
      <c r="A25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Helper'!$F$5:$F$3004,"""")&lt;&gt;""""),ROWS(A$5:A2501)),"""")"),"")</f>
        <v/>
      </c>
      <c r="B25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Helper'!$F$5:$F$3004,"""")&lt;&gt;""""),ROWS(B$5:B2501)),"""")"),"")</f>
        <v/>
      </c>
      <c r="C25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Helper'!$F$5:$F$3004,"""")&lt;&gt;""""),ROWS(C$5:C2501)),"""")"),"")</f>
        <v/>
      </c>
      <c r="D25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Helper'!$F$5:$F$3004,"""")&lt;&gt;""""),ROWS(D$5:D2501)),"""")"),"")</f>
        <v/>
      </c>
      <c r="E25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Helper'!$F$5:$F$3004,"""")&lt;&gt;""""),ROWS(E$5:E2501)),"""")"),"")</f>
        <v/>
      </c>
      <c r="F25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Helper'!$F$5:$F$3004,"""")&lt;&gt;""""),ROWS(F$5:F2501)),IF(AND(LEFT(x,5)=""Pag"&amp;"e "",ISERROR(SEARCH(""–"",x))),x&amp;""–""&amp;REGEXEXTRACT(x,""[0-9]+$""),x)),"""")"),"")</f>
        <v/>
      </c>
      <c r="G2501" s="163"/>
      <c r="H25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Helper'!$F$5:$F$3004,"""")&lt;&gt;""""),ROWS(H$5:H2501)),"""")"),"")</f>
        <v/>
      </c>
    </row>
    <row r="2502" ht="15.75" customHeight="1">
      <c r="A25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Helper'!$F$5:$F$3004,"""")&lt;&gt;""""),ROWS(A$5:A2502)),"""")"),"")</f>
        <v/>
      </c>
      <c r="B25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Helper'!$F$5:$F$3004,"""")&lt;&gt;""""),ROWS(B$5:B2502)),"""")"),"")</f>
        <v/>
      </c>
      <c r="C25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Helper'!$F$5:$F$3004,"""")&lt;&gt;""""),ROWS(C$5:C2502)),"""")"),"")</f>
        <v/>
      </c>
      <c r="D25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Helper'!$F$5:$F$3004,"""")&lt;&gt;""""),ROWS(D$5:D2502)),"""")"),"")</f>
        <v/>
      </c>
      <c r="E25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Helper'!$F$5:$F$3004,"""")&lt;&gt;""""),ROWS(E$5:E2502)),"""")"),"")</f>
        <v/>
      </c>
      <c r="F25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Helper'!$F$5:$F$3004,"""")&lt;&gt;""""),ROWS(F$5:F2502)),IF(AND(LEFT(x,5)=""Pag"&amp;"e "",ISERROR(SEARCH(""–"",x))),x&amp;""–""&amp;REGEXEXTRACT(x,""[0-9]+$""),x)),"""")"),"")</f>
        <v/>
      </c>
      <c r="G2502" s="163"/>
      <c r="H25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Helper'!$F$5:$F$3004,"""")&lt;&gt;""""),ROWS(H$5:H2502)),"""")"),"")</f>
        <v/>
      </c>
    </row>
    <row r="2503" ht="15.75" customHeight="1">
      <c r="A25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Helper'!$F$5:$F$3004,"""")&lt;&gt;""""),ROWS(A$5:A2503)),"""")"),"")</f>
        <v/>
      </c>
      <c r="B25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Helper'!$F$5:$F$3004,"""")&lt;&gt;""""),ROWS(B$5:B2503)),"""")"),"")</f>
        <v/>
      </c>
      <c r="C25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Helper'!$F$5:$F$3004,"""")&lt;&gt;""""),ROWS(C$5:C2503)),"""")"),"")</f>
        <v/>
      </c>
      <c r="D25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Helper'!$F$5:$F$3004,"""")&lt;&gt;""""),ROWS(D$5:D2503)),"""")"),"")</f>
        <v/>
      </c>
      <c r="E25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Helper'!$F$5:$F$3004,"""")&lt;&gt;""""),ROWS(E$5:E2503)),"""")"),"")</f>
        <v/>
      </c>
      <c r="F25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Helper'!$F$5:$F$3004,"""")&lt;&gt;""""),ROWS(F$5:F2503)),IF(AND(LEFT(x,5)=""Pag"&amp;"e "",ISERROR(SEARCH(""–"",x))),x&amp;""–""&amp;REGEXEXTRACT(x,""[0-9]+$""),x)),"""")"),"")</f>
        <v/>
      </c>
      <c r="G2503" s="163"/>
      <c r="H25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Helper'!$F$5:$F$3004,"""")&lt;&gt;""""),ROWS(H$5:H2503)),"""")"),"")</f>
        <v/>
      </c>
    </row>
    <row r="2504" ht="15.75" customHeight="1">
      <c r="A25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Helper'!$F$5:$F$3004,"""")&lt;&gt;""""),ROWS(A$5:A2504)),"""")"),"")</f>
        <v/>
      </c>
      <c r="B25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Helper'!$F$5:$F$3004,"""")&lt;&gt;""""),ROWS(B$5:B2504)),"""")"),"")</f>
        <v/>
      </c>
      <c r="C25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Helper'!$F$5:$F$3004,"""")&lt;&gt;""""),ROWS(C$5:C2504)),"""")"),"")</f>
        <v/>
      </c>
      <c r="D25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Helper'!$F$5:$F$3004,"""")&lt;&gt;""""),ROWS(D$5:D2504)),"""")"),"")</f>
        <v/>
      </c>
      <c r="E25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Helper'!$F$5:$F$3004,"""")&lt;&gt;""""),ROWS(E$5:E2504)),"""")"),"")</f>
        <v/>
      </c>
      <c r="F25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Helper'!$F$5:$F$3004,"""")&lt;&gt;""""),ROWS(F$5:F2504)),IF(AND(LEFT(x,5)=""Pag"&amp;"e "",ISERROR(SEARCH(""–"",x))),x&amp;""–""&amp;REGEXEXTRACT(x,""[0-9]+$""),x)),"""")"),"")</f>
        <v/>
      </c>
      <c r="G2504" s="163"/>
      <c r="H25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Helper'!$F$5:$F$3004,"""")&lt;&gt;""""),ROWS(H$5:H2504)),"""")"),"")</f>
        <v/>
      </c>
    </row>
    <row r="2505" ht="15.75" customHeight="1">
      <c r="A25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Helper'!$F$5:$F$3004,"""")&lt;&gt;""""),ROWS(A$5:A2505)),"""")"),"")</f>
        <v/>
      </c>
      <c r="B25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Helper'!$F$5:$F$3004,"""")&lt;&gt;""""),ROWS(B$5:B2505)),"""")"),"")</f>
        <v/>
      </c>
      <c r="C25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Helper'!$F$5:$F$3004,"""")&lt;&gt;""""),ROWS(C$5:C2505)),"""")"),"")</f>
        <v/>
      </c>
      <c r="D25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Helper'!$F$5:$F$3004,"""")&lt;&gt;""""),ROWS(D$5:D2505)),"""")"),"")</f>
        <v/>
      </c>
      <c r="E25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Helper'!$F$5:$F$3004,"""")&lt;&gt;""""),ROWS(E$5:E2505)),"""")"),"")</f>
        <v/>
      </c>
      <c r="F25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Helper'!$F$5:$F$3004,"""")&lt;&gt;""""),ROWS(F$5:F2505)),IF(AND(LEFT(x,5)=""Pag"&amp;"e "",ISERROR(SEARCH(""–"",x))),x&amp;""–""&amp;REGEXEXTRACT(x,""[0-9]+$""),x)),"""")"),"")</f>
        <v/>
      </c>
      <c r="G2505" s="163"/>
      <c r="H25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Helper'!$F$5:$F$3004,"""")&lt;&gt;""""),ROWS(H$5:H2505)),"""")"),"")</f>
        <v/>
      </c>
    </row>
    <row r="2506" ht="15.75" customHeight="1">
      <c r="A25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Helper'!$F$5:$F$3004,"""")&lt;&gt;""""),ROWS(A$5:A2506)),"""")"),"")</f>
        <v/>
      </c>
      <c r="B25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Helper'!$F$5:$F$3004,"""")&lt;&gt;""""),ROWS(B$5:B2506)),"""")"),"")</f>
        <v/>
      </c>
      <c r="C25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Helper'!$F$5:$F$3004,"""")&lt;&gt;""""),ROWS(C$5:C2506)),"""")"),"")</f>
        <v/>
      </c>
      <c r="D25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Helper'!$F$5:$F$3004,"""")&lt;&gt;""""),ROWS(D$5:D2506)),"""")"),"")</f>
        <v/>
      </c>
      <c r="E25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Helper'!$F$5:$F$3004,"""")&lt;&gt;""""),ROWS(E$5:E2506)),"""")"),"")</f>
        <v/>
      </c>
      <c r="F25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Helper'!$F$5:$F$3004,"""")&lt;&gt;""""),ROWS(F$5:F2506)),IF(AND(LEFT(x,5)=""Pag"&amp;"e "",ISERROR(SEARCH(""–"",x))),x&amp;""–""&amp;REGEXEXTRACT(x,""[0-9]+$""),x)),"""")"),"")</f>
        <v/>
      </c>
      <c r="G2506" s="163"/>
      <c r="H25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Helper'!$F$5:$F$3004,"""")&lt;&gt;""""),ROWS(H$5:H2506)),"""")"),"")</f>
        <v/>
      </c>
    </row>
    <row r="2507" ht="15.75" customHeight="1">
      <c r="A25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Helper'!$F$5:$F$3004,"""")&lt;&gt;""""),ROWS(A$5:A2507)),"""")"),"")</f>
        <v/>
      </c>
      <c r="B25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Helper'!$F$5:$F$3004,"""")&lt;&gt;""""),ROWS(B$5:B2507)),"""")"),"")</f>
        <v/>
      </c>
      <c r="C25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Helper'!$F$5:$F$3004,"""")&lt;&gt;""""),ROWS(C$5:C2507)),"""")"),"")</f>
        <v/>
      </c>
      <c r="D25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Helper'!$F$5:$F$3004,"""")&lt;&gt;""""),ROWS(D$5:D2507)),"""")"),"")</f>
        <v/>
      </c>
      <c r="E25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Helper'!$F$5:$F$3004,"""")&lt;&gt;""""),ROWS(E$5:E2507)),"""")"),"")</f>
        <v/>
      </c>
      <c r="F25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Helper'!$F$5:$F$3004,"""")&lt;&gt;""""),ROWS(F$5:F2507)),IF(AND(LEFT(x,5)=""Pag"&amp;"e "",ISERROR(SEARCH(""–"",x))),x&amp;""–""&amp;REGEXEXTRACT(x,""[0-9]+$""),x)),"""")"),"")</f>
        <v/>
      </c>
      <c r="G2507" s="163"/>
      <c r="H25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Helper'!$F$5:$F$3004,"""")&lt;&gt;""""),ROWS(H$5:H2507)),"""")"),"")</f>
        <v/>
      </c>
    </row>
    <row r="2508" ht="15.75" customHeight="1">
      <c r="A25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Helper'!$F$5:$F$3004,"""")&lt;&gt;""""),ROWS(A$5:A2508)),"""")"),"")</f>
        <v/>
      </c>
      <c r="B25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Helper'!$F$5:$F$3004,"""")&lt;&gt;""""),ROWS(B$5:B2508)),"""")"),"")</f>
        <v/>
      </c>
      <c r="C25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Helper'!$F$5:$F$3004,"""")&lt;&gt;""""),ROWS(C$5:C2508)),"""")"),"")</f>
        <v/>
      </c>
      <c r="D25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Helper'!$F$5:$F$3004,"""")&lt;&gt;""""),ROWS(D$5:D2508)),"""")"),"")</f>
        <v/>
      </c>
      <c r="E25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Helper'!$F$5:$F$3004,"""")&lt;&gt;""""),ROWS(E$5:E2508)),"""")"),"")</f>
        <v/>
      </c>
      <c r="F25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Helper'!$F$5:$F$3004,"""")&lt;&gt;""""),ROWS(F$5:F2508)),IF(AND(LEFT(x,5)=""Pag"&amp;"e "",ISERROR(SEARCH(""–"",x))),x&amp;""–""&amp;REGEXEXTRACT(x,""[0-9]+$""),x)),"""")"),"")</f>
        <v/>
      </c>
      <c r="G2508" s="163"/>
      <c r="H25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Helper'!$F$5:$F$3004,"""")&lt;&gt;""""),ROWS(H$5:H2508)),"""")"),"")</f>
        <v/>
      </c>
    </row>
    <row r="2509" ht="15.75" customHeight="1">
      <c r="A25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Helper'!$F$5:$F$3004,"""")&lt;&gt;""""),ROWS(A$5:A2509)),"""")"),"")</f>
        <v/>
      </c>
      <c r="B25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Helper'!$F$5:$F$3004,"""")&lt;&gt;""""),ROWS(B$5:B2509)),"""")"),"")</f>
        <v/>
      </c>
      <c r="C25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Helper'!$F$5:$F$3004,"""")&lt;&gt;""""),ROWS(C$5:C2509)),"""")"),"")</f>
        <v/>
      </c>
      <c r="D25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Helper'!$F$5:$F$3004,"""")&lt;&gt;""""),ROWS(D$5:D2509)),"""")"),"")</f>
        <v/>
      </c>
      <c r="E25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Helper'!$F$5:$F$3004,"""")&lt;&gt;""""),ROWS(E$5:E2509)),"""")"),"")</f>
        <v/>
      </c>
      <c r="F25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Helper'!$F$5:$F$3004,"""")&lt;&gt;""""),ROWS(F$5:F2509)),IF(AND(LEFT(x,5)=""Pag"&amp;"e "",ISERROR(SEARCH(""–"",x))),x&amp;""–""&amp;REGEXEXTRACT(x,""[0-9]+$""),x)),"""")"),"")</f>
        <v/>
      </c>
      <c r="G2509" s="163"/>
      <c r="H25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Helper'!$F$5:$F$3004,"""")&lt;&gt;""""),ROWS(H$5:H2509)),"""")"),"")</f>
        <v/>
      </c>
    </row>
    <row r="2510" ht="15.75" customHeight="1">
      <c r="A25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Helper'!$F$5:$F$3004,"""")&lt;&gt;""""),ROWS(A$5:A2510)),"""")"),"")</f>
        <v/>
      </c>
      <c r="B25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Helper'!$F$5:$F$3004,"""")&lt;&gt;""""),ROWS(B$5:B2510)),"""")"),"")</f>
        <v/>
      </c>
      <c r="C25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Helper'!$F$5:$F$3004,"""")&lt;&gt;""""),ROWS(C$5:C2510)),"""")"),"")</f>
        <v/>
      </c>
      <c r="D25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Helper'!$F$5:$F$3004,"""")&lt;&gt;""""),ROWS(D$5:D2510)),"""")"),"")</f>
        <v/>
      </c>
      <c r="E25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Helper'!$F$5:$F$3004,"""")&lt;&gt;""""),ROWS(E$5:E2510)),"""")"),"")</f>
        <v/>
      </c>
      <c r="F25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Helper'!$F$5:$F$3004,"""")&lt;&gt;""""),ROWS(F$5:F2510)),IF(AND(LEFT(x,5)=""Pag"&amp;"e "",ISERROR(SEARCH(""–"",x))),x&amp;""–""&amp;REGEXEXTRACT(x,""[0-9]+$""),x)),"""")"),"")</f>
        <v/>
      </c>
      <c r="G2510" s="163"/>
      <c r="H25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Helper'!$F$5:$F$3004,"""")&lt;&gt;""""),ROWS(H$5:H2510)),"""")"),"")</f>
        <v/>
      </c>
    </row>
    <row r="2511" ht="15.75" customHeight="1">
      <c r="A25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Helper'!$F$5:$F$3004,"""")&lt;&gt;""""),ROWS(A$5:A2511)),"""")"),"")</f>
        <v/>
      </c>
      <c r="B25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Helper'!$F$5:$F$3004,"""")&lt;&gt;""""),ROWS(B$5:B2511)),"""")"),"")</f>
        <v/>
      </c>
      <c r="C25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Helper'!$F$5:$F$3004,"""")&lt;&gt;""""),ROWS(C$5:C2511)),"""")"),"")</f>
        <v/>
      </c>
      <c r="D25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Helper'!$F$5:$F$3004,"""")&lt;&gt;""""),ROWS(D$5:D2511)),"""")"),"")</f>
        <v/>
      </c>
      <c r="E25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Helper'!$F$5:$F$3004,"""")&lt;&gt;""""),ROWS(E$5:E2511)),"""")"),"")</f>
        <v/>
      </c>
      <c r="F25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Helper'!$F$5:$F$3004,"""")&lt;&gt;""""),ROWS(F$5:F2511)),IF(AND(LEFT(x,5)=""Pag"&amp;"e "",ISERROR(SEARCH(""–"",x))),x&amp;""–""&amp;REGEXEXTRACT(x,""[0-9]+$""),x)),"""")"),"")</f>
        <v/>
      </c>
      <c r="G2511" s="163"/>
      <c r="H25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Helper'!$F$5:$F$3004,"""")&lt;&gt;""""),ROWS(H$5:H2511)),"""")"),"")</f>
        <v/>
      </c>
    </row>
    <row r="2512" ht="15.75" customHeight="1">
      <c r="A25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Helper'!$F$5:$F$3004,"""")&lt;&gt;""""),ROWS(A$5:A2512)),"""")"),"")</f>
        <v/>
      </c>
      <c r="B25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Helper'!$F$5:$F$3004,"""")&lt;&gt;""""),ROWS(B$5:B2512)),"""")"),"")</f>
        <v/>
      </c>
      <c r="C25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Helper'!$F$5:$F$3004,"""")&lt;&gt;""""),ROWS(C$5:C2512)),"""")"),"")</f>
        <v/>
      </c>
      <c r="D25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Helper'!$F$5:$F$3004,"""")&lt;&gt;""""),ROWS(D$5:D2512)),"""")"),"")</f>
        <v/>
      </c>
      <c r="E25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Helper'!$F$5:$F$3004,"""")&lt;&gt;""""),ROWS(E$5:E2512)),"""")"),"")</f>
        <v/>
      </c>
      <c r="F25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Helper'!$F$5:$F$3004,"""")&lt;&gt;""""),ROWS(F$5:F2512)),IF(AND(LEFT(x,5)=""Pag"&amp;"e "",ISERROR(SEARCH(""–"",x))),x&amp;""–""&amp;REGEXEXTRACT(x,""[0-9]+$""),x)),"""")"),"")</f>
        <v/>
      </c>
      <c r="G2512" s="163"/>
      <c r="H25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Helper'!$F$5:$F$3004,"""")&lt;&gt;""""),ROWS(H$5:H2512)),"""")"),"")</f>
        <v/>
      </c>
    </row>
    <row r="2513" ht="15.75" customHeight="1">
      <c r="A25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Helper'!$F$5:$F$3004,"""")&lt;&gt;""""),ROWS(A$5:A2513)),"""")"),"")</f>
        <v/>
      </c>
      <c r="B25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Helper'!$F$5:$F$3004,"""")&lt;&gt;""""),ROWS(B$5:B2513)),"""")"),"")</f>
        <v/>
      </c>
      <c r="C25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Helper'!$F$5:$F$3004,"""")&lt;&gt;""""),ROWS(C$5:C2513)),"""")"),"")</f>
        <v/>
      </c>
      <c r="D25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Helper'!$F$5:$F$3004,"""")&lt;&gt;""""),ROWS(D$5:D2513)),"""")"),"")</f>
        <v/>
      </c>
      <c r="E25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Helper'!$F$5:$F$3004,"""")&lt;&gt;""""),ROWS(E$5:E2513)),"""")"),"")</f>
        <v/>
      </c>
      <c r="F25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Helper'!$F$5:$F$3004,"""")&lt;&gt;""""),ROWS(F$5:F2513)),IF(AND(LEFT(x,5)=""Pag"&amp;"e "",ISERROR(SEARCH(""–"",x))),x&amp;""–""&amp;REGEXEXTRACT(x,""[0-9]+$""),x)),"""")"),"")</f>
        <v/>
      </c>
      <c r="G2513" s="163"/>
      <c r="H25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Helper'!$F$5:$F$3004,"""")&lt;&gt;""""),ROWS(H$5:H2513)),"""")"),"")</f>
        <v/>
      </c>
    </row>
    <row r="2514" ht="15.75" customHeight="1">
      <c r="A25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Helper'!$F$5:$F$3004,"""")&lt;&gt;""""),ROWS(A$5:A2514)),"""")"),"")</f>
        <v/>
      </c>
      <c r="B25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Helper'!$F$5:$F$3004,"""")&lt;&gt;""""),ROWS(B$5:B2514)),"""")"),"")</f>
        <v/>
      </c>
      <c r="C25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Helper'!$F$5:$F$3004,"""")&lt;&gt;""""),ROWS(C$5:C2514)),"""")"),"")</f>
        <v/>
      </c>
      <c r="D25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Helper'!$F$5:$F$3004,"""")&lt;&gt;""""),ROWS(D$5:D2514)),"""")"),"")</f>
        <v/>
      </c>
      <c r="E25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Helper'!$F$5:$F$3004,"""")&lt;&gt;""""),ROWS(E$5:E2514)),"""")"),"")</f>
        <v/>
      </c>
      <c r="F25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Helper'!$F$5:$F$3004,"""")&lt;&gt;""""),ROWS(F$5:F2514)),IF(AND(LEFT(x,5)=""Pag"&amp;"e "",ISERROR(SEARCH(""–"",x))),x&amp;""–""&amp;REGEXEXTRACT(x,""[0-9]+$""),x)),"""")"),"")</f>
        <v/>
      </c>
      <c r="G2514" s="163"/>
      <c r="H25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Helper'!$F$5:$F$3004,"""")&lt;&gt;""""),ROWS(H$5:H2514)),"""")"),"")</f>
        <v/>
      </c>
    </row>
    <row r="2515" ht="15.75" customHeight="1">
      <c r="A25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Helper'!$F$5:$F$3004,"""")&lt;&gt;""""),ROWS(A$5:A2515)),"""")"),"")</f>
        <v/>
      </c>
      <c r="B25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Helper'!$F$5:$F$3004,"""")&lt;&gt;""""),ROWS(B$5:B2515)),"""")"),"")</f>
        <v/>
      </c>
      <c r="C25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Helper'!$F$5:$F$3004,"""")&lt;&gt;""""),ROWS(C$5:C2515)),"""")"),"")</f>
        <v/>
      </c>
      <c r="D25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Helper'!$F$5:$F$3004,"""")&lt;&gt;""""),ROWS(D$5:D2515)),"""")"),"")</f>
        <v/>
      </c>
      <c r="E25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Helper'!$F$5:$F$3004,"""")&lt;&gt;""""),ROWS(E$5:E2515)),"""")"),"")</f>
        <v/>
      </c>
      <c r="F25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Helper'!$F$5:$F$3004,"""")&lt;&gt;""""),ROWS(F$5:F2515)),IF(AND(LEFT(x,5)=""Pag"&amp;"e "",ISERROR(SEARCH(""–"",x))),x&amp;""–""&amp;REGEXEXTRACT(x,""[0-9]+$""),x)),"""")"),"")</f>
        <v/>
      </c>
      <c r="G2515" s="163"/>
      <c r="H25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Helper'!$F$5:$F$3004,"""")&lt;&gt;""""),ROWS(H$5:H2515)),"""")"),"")</f>
        <v/>
      </c>
    </row>
    <row r="2516" ht="15.75" customHeight="1">
      <c r="A25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Helper'!$F$5:$F$3004,"""")&lt;&gt;""""),ROWS(A$5:A2516)),"""")"),"")</f>
        <v/>
      </c>
      <c r="B25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Helper'!$F$5:$F$3004,"""")&lt;&gt;""""),ROWS(B$5:B2516)),"""")"),"")</f>
        <v/>
      </c>
      <c r="C25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Helper'!$F$5:$F$3004,"""")&lt;&gt;""""),ROWS(C$5:C2516)),"""")"),"")</f>
        <v/>
      </c>
      <c r="D25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Helper'!$F$5:$F$3004,"""")&lt;&gt;""""),ROWS(D$5:D2516)),"""")"),"")</f>
        <v/>
      </c>
      <c r="E25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Helper'!$F$5:$F$3004,"""")&lt;&gt;""""),ROWS(E$5:E2516)),"""")"),"")</f>
        <v/>
      </c>
      <c r="F25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Helper'!$F$5:$F$3004,"""")&lt;&gt;""""),ROWS(F$5:F2516)),IF(AND(LEFT(x,5)=""Pag"&amp;"e "",ISERROR(SEARCH(""–"",x))),x&amp;""–""&amp;REGEXEXTRACT(x,""[0-9]+$""),x)),"""")"),"")</f>
        <v/>
      </c>
      <c r="G2516" s="163"/>
      <c r="H25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Helper'!$F$5:$F$3004,"""")&lt;&gt;""""),ROWS(H$5:H2516)),"""")"),"")</f>
        <v/>
      </c>
    </row>
    <row r="2517" ht="15.75" customHeight="1">
      <c r="A25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Helper'!$F$5:$F$3004,"""")&lt;&gt;""""),ROWS(A$5:A2517)),"""")"),"")</f>
        <v/>
      </c>
      <c r="B25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Helper'!$F$5:$F$3004,"""")&lt;&gt;""""),ROWS(B$5:B2517)),"""")"),"")</f>
        <v/>
      </c>
      <c r="C25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Helper'!$F$5:$F$3004,"""")&lt;&gt;""""),ROWS(C$5:C2517)),"""")"),"")</f>
        <v/>
      </c>
      <c r="D25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Helper'!$F$5:$F$3004,"""")&lt;&gt;""""),ROWS(D$5:D2517)),"""")"),"")</f>
        <v/>
      </c>
      <c r="E25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Helper'!$F$5:$F$3004,"""")&lt;&gt;""""),ROWS(E$5:E2517)),"""")"),"")</f>
        <v/>
      </c>
      <c r="F25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Helper'!$F$5:$F$3004,"""")&lt;&gt;""""),ROWS(F$5:F2517)),IF(AND(LEFT(x,5)=""Pag"&amp;"e "",ISERROR(SEARCH(""–"",x))),x&amp;""–""&amp;REGEXEXTRACT(x,""[0-9]+$""),x)),"""")"),"")</f>
        <v/>
      </c>
      <c r="G2517" s="163"/>
      <c r="H25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Helper'!$F$5:$F$3004,"""")&lt;&gt;""""),ROWS(H$5:H2517)),"""")"),"")</f>
        <v/>
      </c>
    </row>
    <row r="2518" ht="15.75" customHeight="1">
      <c r="A25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Helper'!$F$5:$F$3004,"""")&lt;&gt;""""),ROWS(A$5:A2518)),"""")"),"")</f>
        <v/>
      </c>
      <c r="B25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Helper'!$F$5:$F$3004,"""")&lt;&gt;""""),ROWS(B$5:B2518)),"""")"),"")</f>
        <v/>
      </c>
      <c r="C25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Helper'!$F$5:$F$3004,"""")&lt;&gt;""""),ROWS(C$5:C2518)),"""")"),"")</f>
        <v/>
      </c>
      <c r="D25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Helper'!$F$5:$F$3004,"""")&lt;&gt;""""),ROWS(D$5:D2518)),"""")"),"")</f>
        <v/>
      </c>
      <c r="E25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Helper'!$F$5:$F$3004,"""")&lt;&gt;""""),ROWS(E$5:E2518)),"""")"),"")</f>
        <v/>
      </c>
      <c r="F25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Helper'!$F$5:$F$3004,"""")&lt;&gt;""""),ROWS(F$5:F2518)),IF(AND(LEFT(x,5)=""Pag"&amp;"e "",ISERROR(SEARCH(""–"",x))),x&amp;""–""&amp;REGEXEXTRACT(x,""[0-9]+$""),x)),"""")"),"")</f>
        <v/>
      </c>
      <c r="G2518" s="163"/>
      <c r="H25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Helper'!$F$5:$F$3004,"""")&lt;&gt;""""),ROWS(H$5:H2518)),"""")"),"")</f>
        <v/>
      </c>
    </row>
    <row r="2519" ht="15.75" customHeight="1">
      <c r="A25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Helper'!$F$5:$F$3004,"""")&lt;&gt;""""),ROWS(A$5:A2519)),"""")"),"")</f>
        <v/>
      </c>
      <c r="B25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Helper'!$F$5:$F$3004,"""")&lt;&gt;""""),ROWS(B$5:B2519)),"""")"),"")</f>
        <v/>
      </c>
      <c r="C25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Helper'!$F$5:$F$3004,"""")&lt;&gt;""""),ROWS(C$5:C2519)),"""")"),"")</f>
        <v/>
      </c>
      <c r="D25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Helper'!$F$5:$F$3004,"""")&lt;&gt;""""),ROWS(D$5:D2519)),"""")"),"")</f>
        <v/>
      </c>
      <c r="E25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Helper'!$F$5:$F$3004,"""")&lt;&gt;""""),ROWS(E$5:E2519)),"""")"),"")</f>
        <v/>
      </c>
      <c r="F25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Helper'!$F$5:$F$3004,"""")&lt;&gt;""""),ROWS(F$5:F2519)),IF(AND(LEFT(x,5)=""Pag"&amp;"e "",ISERROR(SEARCH(""–"",x))),x&amp;""–""&amp;REGEXEXTRACT(x,""[0-9]+$""),x)),"""")"),"")</f>
        <v/>
      </c>
      <c r="G2519" s="163"/>
      <c r="H25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Helper'!$F$5:$F$3004,"""")&lt;&gt;""""),ROWS(H$5:H2519)),"""")"),"")</f>
        <v/>
      </c>
    </row>
    <row r="2520" ht="15.75" customHeight="1">
      <c r="A25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Helper'!$F$5:$F$3004,"""")&lt;&gt;""""),ROWS(A$5:A2520)),"""")"),"")</f>
        <v/>
      </c>
      <c r="B25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Helper'!$F$5:$F$3004,"""")&lt;&gt;""""),ROWS(B$5:B2520)),"""")"),"")</f>
        <v/>
      </c>
      <c r="C25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Helper'!$F$5:$F$3004,"""")&lt;&gt;""""),ROWS(C$5:C2520)),"""")"),"")</f>
        <v/>
      </c>
      <c r="D25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Helper'!$F$5:$F$3004,"""")&lt;&gt;""""),ROWS(D$5:D2520)),"""")"),"")</f>
        <v/>
      </c>
      <c r="E25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Helper'!$F$5:$F$3004,"""")&lt;&gt;""""),ROWS(E$5:E2520)),"""")"),"")</f>
        <v/>
      </c>
      <c r="F25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Helper'!$F$5:$F$3004,"""")&lt;&gt;""""),ROWS(F$5:F2520)),IF(AND(LEFT(x,5)=""Pag"&amp;"e "",ISERROR(SEARCH(""–"",x))),x&amp;""–""&amp;REGEXEXTRACT(x,""[0-9]+$""),x)),"""")"),"")</f>
        <v/>
      </c>
      <c r="G2520" s="163"/>
      <c r="H25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Helper'!$F$5:$F$3004,"""")&lt;&gt;""""),ROWS(H$5:H2520)),"""")"),"")</f>
        <v/>
      </c>
    </row>
    <row r="2521" ht="15.75" customHeight="1">
      <c r="A25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Helper'!$F$5:$F$3004,"""")&lt;&gt;""""),ROWS(A$5:A2521)),"""")"),"")</f>
        <v/>
      </c>
      <c r="B25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Helper'!$F$5:$F$3004,"""")&lt;&gt;""""),ROWS(B$5:B2521)),"""")"),"")</f>
        <v/>
      </c>
      <c r="C25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Helper'!$F$5:$F$3004,"""")&lt;&gt;""""),ROWS(C$5:C2521)),"""")"),"")</f>
        <v/>
      </c>
      <c r="D25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Helper'!$F$5:$F$3004,"""")&lt;&gt;""""),ROWS(D$5:D2521)),"""")"),"")</f>
        <v/>
      </c>
      <c r="E25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Helper'!$F$5:$F$3004,"""")&lt;&gt;""""),ROWS(E$5:E2521)),"""")"),"")</f>
        <v/>
      </c>
      <c r="F25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Helper'!$F$5:$F$3004,"""")&lt;&gt;""""),ROWS(F$5:F2521)),IF(AND(LEFT(x,5)=""Pag"&amp;"e "",ISERROR(SEARCH(""–"",x))),x&amp;""–""&amp;REGEXEXTRACT(x,""[0-9]+$""),x)),"""")"),"")</f>
        <v/>
      </c>
      <c r="G2521" s="163"/>
      <c r="H25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Helper'!$F$5:$F$3004,"""")&lt;&gt;""""),ROWS(H$5:H2521)),"""")"),"")</f>
        <v/>
      </c>
    </row>
    <row r="2522" ht="15.75" customHeight="1">
      <c r="A25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Helper'!$F$5:$F$3004,"""")&lt;&gt;""""),ROWS(A$5:A2522)),"""")"),"")</f>
        <v/>
      </c>
      <c r="B25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Helper'!$F$5:$F$3004,"""")&lt;&gt;""""),ROWS(B$5:B2522)),"""")"),"")</f>
        <v/>
      </c>
      <c r="C25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Helper'!$F$5:$F$3004,"""")&lt;&gt;""""),ROWS(C$5:C2522)),"""")"),"")</f>
        <v/>
      </c>
      <c r="D25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Helper'!$F$5:$F$3004,"""")&lt;&gt;""""),ROWS(D$5:D2522)),"""")"),"")</f>
        <v/>
      </c>
      <c r="E25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Helper'!$F$5:$F$3004,"""")&lt;&gt;""""),ROWS(E$5:E2522)),"""")"),"")</f>
        <v/>
      </c>
      <c r="F25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Helper'!$F$5:$F$3004,"""")&lt;&gt;""""),ROWS(F$5:F2522)),IF(AND(LEFT(x,5)=""Pag"&amp;"e "",ISERROR(SEARCH(""–"",x))),x&amp;""–""&amp;REGEXEXTRACT(x,""[0-9]+$""),x)),"""")"),"")</f>
        <v/>
      </c>
      <c r="G2522" s="163"/>
      <c r="H25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Helper'!$F$5:$F$3004,"""")&lt;&gt;""""),ROWS(H$5:H2522)),"""")"),"")</f>
        <v/>
      </c>
    </row>
    <row r="2523" ht="15.75" customHeight="1">
      <c r="A25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Helper'!$F$5:$F$3004,"""")&lt;&gt;""""),ROWS(A$5:A2523)),"""")"),"")</f>
        <v/>
      </c>
      <c r="B25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Helper'!$F$5:$F$3004,"""")&lt;&gt;""""),ROWS(B$5:B2523)),"""")"),"")</f>
        <v/>
      </c>
      <c r="C25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Helper'!$F$5:$F$3004,"""")&lt;&gt;""""),ROWS(C$5:C2523)),"""")"),"")</f>
        <v/>
      </c>
      <c r="D25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Helper'!$F$5:$F$3004,"""")&lt;&gt;""""),ROWS(D$5:D2523)),"""")"),"")</f>
        <v/>
      </c>
      <c r="E25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Helper'!$F$5:$F$3004,"""")&lt;&gt;""""),ROWS(E$5:E2523)),"""")"),"")</f>
        <v/>
      </c>
      <c r="F25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Helper'!$F$5:$F$3004,"""")&lt;&gt;""""),ROWS(F$5:F2523)),IF(AND(LEFT(x,5)=""Pag"&amp;"e "",ISERROR(SEARCH(""–"",x))),x&amp;""–""&amp;REGEXEXTRACT(x,""[0-9]+$""),x)),"""")"),"")</f>
        <v/>
      </c>
      <c r="G2523" s="163"/>
      <c r="H25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Helper'!$F$5:$F$3004,"""")&lt;&gt;""""),ROWS(H$5:H2523)),"""")"),"")</f>
        <v/>
      </c>
    </row>
    <row r="2524" ht="15.75" customHeight="1">
      <c r="A25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Helper'!$F$5:$F$3004,"""")&lt;&gt;""""),ROWS(A$5:A2524)),"""")"),"")</f>
        <v/>
      </c>
      <c r="B25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Helper'!$F$5:$F$3004,"""")&lt;&gt;""""),ROWS(B$5:B2524)),"""")"),"")</f>
        <v/>
      </c>
      <c r="C25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Helper'!$F$5:$F$3004,"""")&lt;&gt;""""),ROWS(C$5:C2524)),"""")"),"")</f>
        <v/>
      </c>
      <c r="D25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Helper'!$F$5:$F$3004,"""")&lt;&gt;""""),ROWS(D$5:D2524)),"""")"),"")</f>
        <v/>
      </c>
      <c r="E25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Helper'!$F$5:$F$3004,"""")&lt;&gt;""""),ROWS(E$5:E2524)),"""")"),"")</f>
        <v/>
      </c>
      <c r="F25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Helper'!$F$5:$F$3004,"""")&lt;&gt;""""),ROWS(F$5:F2524)),IF(AND(LEFT(x,5)=""Pag"&amp;"e "",ISERROR(SEARCH(""–"",x))),x&amp;""–""&amp;REGEXEXTRACT(x,""[0-9]+$""),x)),"""")"),"")</f>
        <v/>
      </c>
      <c r="G2524" s="163"/>
      <c r="H25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Helper'!$F$5:$F$3004,"""")&lt;&gt;""""),ROWS(H$5:H2524)),"""")"),"")</f>
        <v/>
      </c>
    </row>
    <row r="2525" ht="15.75" customHeight="1">
      <c r="A25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Helper'!$F$5:$F$3004,"""")&lt;&gt;""""),ROWS(A$5:A2525)),"""")"),"")</f>
        <v/>
      </c>
      <c r="B25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Helper'!$F$5:$F$3004,"""")&lt;&gt;""""),ROWS(B$5:B2525)),"""")"),"")</f>
        <v/>
      </c>
      <c r="C25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Helper'!$F$5:$F$3004,"""")&lt;&gt;""""),ROWS(C$5:C2525)),"""")"),"")</f>
        <v/>
      </c>
      <c r="D25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Helper'!$F$5:$F$3004,"""")&lt;&gt;""""),ROWS(D$5:D2525)),"""")"),"")</f>
        <v/>
      </c>
      <c r="E25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Helper'!$F$5:$F$3004,"""")&lt;&gt;""""),ROWS(E$5:E2525)),"""")"),"")</f>
        <v/>
      </c>
      <c r="F25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Helper'!$F$5:$F$3004,"""")&lt;&gt;""""),ROWS(F$5:F2525)),IF(AND(LEFT(x,5)=""Pag"&amp;"e "",ISERROR(SEARCH(""–"",x))),x&amp;""–""&amp;REGEXEXTRACT(x,""[0-9]+$""),x)),"""")"),"")</f>
        <v/>
      </c>
      <c r="G2525" s="163"/>
      <c r="H25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Helper'!$F$5:$F$3004,"""")&lt;&gt;""""),ROWS(H$5:H2525)),"""")"),"")</f>
        <v/>
      </c>
    </row>
    <row r="2526" ht="15.75" customHeight="1">
      <c r="A25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Helper'!$F$5:$F$3004,"""")&lt;&gt;""""),ROWS(A$5:A2526)),"""")"),"")</f>
        <v/>
      </c>
      <c r="B25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Helper'!$F$5:$F$3004,"""")&lt;&gt;""""),ROWS(B$5:B2526)),"""")"),"")</f>
        <v/>
      </c>
      <c r="C25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Helper'!$F$5:$F$3004,"""")&lt;&gt;""""),ROWS(C$5:C2526)),"""")"),"")</f>
        <v/>
      </c>
      <c r="D25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Helper'!$F$5:$F$3004,"""")&lt;&gt;""""),ROWS(D$5:D2526)),"""")"),"")</f>
        <v/>
      </c>
      <c r="E25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Helper'!$F$5:$F$3004,"""")&lt;&gt;""""),ROWS(E$5:E2526)),"""")"),"")</f>
        <v/>
      </c>
      <c r="F25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Helper'!$F$5:$F$3004,"""")&lt;&gt;""""),ROWS(F$5:F2526)),IF(AND(LEFT(x,5)=""Pag"&amp;"e "",ISERROR(SEARCH(""–"",x))),x&amp;""–""&amp;REGEXEXTRACT(x,""[0-9]+$""),x)),"""")"),"")</f>
        <v/>
      </c>
      <c r="G2526" s="163"/>
      <c r="H25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Helper'!$F$5:$F$3004,"""")&lt;&gt;""""),ROWS(H$5:H2526)),"""")"),"")</f>
        <v/>
      </c>
    </row>
    <row r="2527" ht="15.75" customHeight="1">
      <c r="A25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Helper'!$F$5:$F$3004,"""")&lt;&gt;""""),ROWS(A$5:A2527)),"""")"),"")</f>
        <v/>
      </c>
      <c r="B25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Helper'!$F$5:$F$3004,"""")&lt;&gt;""""),ROWS(B$5:B2527)),"""")"),"")</f>
        <v/>
      </c>
      <c r="C25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Helper'!$F$5:$F$3004,"""")&lt;&gt;""""),ROWS(C$5:C2527)),"""")"),"")</f>
        <v/>
      </c>
      <c r="D25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Helper'!$F$5:$F$3004,"""")&lt;&gt;""""),ROWS(D$5:D2527)),"""")"),"")</f>
        <v/>
      </c>
      <c r="E25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Helper'!$F$5:$F$3004,"""")&lt;&gt;""""),ROWS(E$5:E2527)),"""")"),"")</f>
        <v/>
      </c>
      <c r="F25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Helper'!$F$5:$F$3004,"""")&lt;&gt;""""),ROWS(F$5:F2527)),IF(AND(LEFT(x,5)=""Pag"&amp;"e "",ISERROR(SEARCH(""–"",x))),x&amp;""–""&amp;REGEXEXTRACT(x,""[0-9]+$""),x)),"""")"),"")</f>
        <v/>
      </c>
      <c r="G2527" s="163"/>
      <c r="H25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Helper'!$F$5:$F$3004,"""")&lt;&gt;""""),ROWS(H$5:H2527)),"""")"),"")</f>
        <v/>
      </c>
    </row>
    <row r="2528" ht="15.75" customHeight="1">
      <c r="A25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Helper'!$F$5:$F$3004,"""")&lt;&gt;""""),ROWS(A$5:A2528)),"""")"),"")</f>
        <v/>
      </c>
      <c r="B25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Helper'!$F$5:$F$3004,"""")&lt;&gt;""""),ROWS(B$5:B2528)),"""")"),"")</f>
        <v/>
      </c>
      <c r="C25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Helper'!$F$5:$F$3004,"""")&lt;&gt;""""),ROWS(C$5:C2528)),"""")"),"")</f>
        <v/>
      </c>
      <c r="D25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Helper'!$F$5:$F$3004,"""")&lt;&gt;""""),ROWS(D$5:D2528)),"""")"),"")</f>
        <v/>
      </c>
      <c r="E25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Helper'!$F$5:$F$3004,"""")&lt;&gt;""""),ROWS(E$5:E2528)),"""")"),"")</f>
        <v/>
      </c>
      <c r="F25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Helper'!$F$5:$F$3004,"""")&lt;&gt;""""),ROWS(F$5:F2528)),IF(AND(LEFT(x,5)=""Pag"&amp;"e "",ISERROR(SEARCH(""–"",x))),x&amp;""–""&amp;REGEXEXTRACT(x,""[0-9]+$""),x)),"""")"),"")</f>
        <v/>
      </c>
      <c r="G2528" s="163"/>
      <c r="H25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Helper'!$F$5:$F$3004,"""")&lt;&gt;""""),ROWS(H$5:H2528)),"""")"),"")</f>
        <v/>
      </c>
    </row>
    <row r="2529" ht="15.75" customHeight="1">
      <c r="A25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Helper'!$F$5:$F$3004,"""")&lt;&gt;""""),ROWS(A$5:A2529)),"""")"),"")</f>
        <v/>
      </c>
      <c r="B25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Helper'!$F$5:$F$3004,"""")&lt;&gt;""""),ROWS(B$5:B2529)),"""")"),"")</f>
        <v/>
      </c>
      <c r="C25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Helper'!$F$5:$F$3004,"""")&lt;&gt;""""),ROWS(C$5:C2529)),"""")"),"")</f>
        <v/>
      </c>
      <c r="D25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Helper'!$F$5:$F$3004,"""")&lt;&gt;""""),ROWS(D$5:D2529)),"""")"),"")</f>
        <v/>
      </c>
      <c r="E25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Helper'!$F$5:$F$3004,"""")&lt;&gt;""""),ROWS(E$5:E2529)),"""")"),"")</f>
        <v/>
      </c>
      <c r="F25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Helper'!$F$5:$F$3004,"""")&lt;&gt;""""),ROWS(F$5:F2529)),IF(AND(LEFT(x,5)=""Pag"&amp;"e "",ISERROR(SEARCH(""–"",x))),x&amp;""–""&amp;REGEXEXTRACT(x,""[0-9]+$""),x)),"""")"),"")</f>
        <v/>
      </c>
      <c r="G2529" s="163"/>
      <c r="H25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Helper'!$F$5:$F$3004,"""")&lt;&gt;""""),ROWS(H$5:H2529)),"""")"),"")</f>
        <v/>
      </c>
    </row>
    <row r="2530" ht="15.75" customHeight="1">
      <c r="A25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Helper'!$F$5:$F$3004,"""")&lt;&gt;""""),ROWS(A$5:A2530)),"""")"),"")</f>
        <v/>
      </c>
      <c r="B25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Helper'!$F$5:$F$3004,"""")&lt;&gt;""""),ROWS(B$5:B2530)),"""")"),"")</f>
        <v/>
      </c>
      <c r="C25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Helper'!$F$5:$F$3004,"""")&lt;&gt;""""),ROWS(C$5:C2530)),"""")"),"")</f>
        <v/>
      </c>
      <c r="D25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Helper'!$F$5:$F$3004,"""")&lt;&gt;""""),ROWS(D$5:D2530)),"""")"),"")</f>
        <v/>
      </c>
      <c r="E25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Helper'!$F$5:$F$3004,"""")&lt;&gt;""""),ROWS(E$5:E2530)),"""")"),"")</f>
        <v/>
      </c>
      <c r="F25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Helper'!$F$5:$F$3004,"""")&lt;&gt;""""),ROWS(F$5:F2530)),IF(AND(LEFT(x,5)=""Pag"&amp;"e "",ISERROR(SEARCH(""–"",x))),x&amp;""–""&amp;REGEXEXTRACT(x,""[0-9]+$""),x)),"""")"),"")</f>
        <v/>
      </c>
      <c r="G2530" s="163"/>
      <c r="H25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Helper'!$F$5:$F$3004,"""")&lt;&gt;""""),ROWS(H$5:H2530)),"""")"),"")</f>
        <v/>
      </c>
    </row>
    <row r="2531" ht="15.75" customHeight="1">
      <c r="A25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Helper'!$F$5:$F$3004,"""")&lt;&gt;""""),ROWS(A$5:A2531)),"""")"),"")</f>
        <v/>
      </c>
      <c r="B25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Helper'!$F$5:$F$3004,"""")&lt;&gt;""""),ROWS(B$5:B2531)),"""")"),"")</f>
        <v/>
      </c>
      <c r="C25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Helper'!$F$5:$F$3004,"""")&lt;&gt;""""),ROWS(C$5:C2531)),"""")"),"")</f>
        <v/>
      </c>
      <c r="D25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Helper'!$F$5:$F$3004,"""")&lt;&gt;""""),ROWS(D$5:D2531)),"""")"),"")</f>
        <v/>
      </c>
      <c r="E25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Helper'!$F$5:$F$3004,"""")&lt;&gt;""""),ROWS(E$5:E2531)),"""")"),"")</f>
        <v/>
      </c>
      <c r="F25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Helper'!$F$5:$F$3004,"""")&lt;&gt;""""),ROWS(F$5:F2531)),IF(AND(LEFT(x,5)=""Pag"&amp;"e "",ISERROR(SEARCH(""–"",x))),x&amp;""–""&amp;REGEXEXTRACT(x,""[0-9]+$""),x)),"""")"),"")</f>
        <v/>
      </c>
      <c r="G2531" s="163"/>
      <c r="H25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Helper'!$F$5:$F$3004,"""")&lt;&gt;""""),ROWS(H$5:H2531)),"""")"),"")</f>
        <v/>
      </c>
    </row>
    <row r="2532" ht="15.75" customHeight="1">
      <c r="A25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Helper'!$F$5:$F$3004,"""")&lt;&gt;""""),ROWS(A$5:A2532)),"""")"),"")</f>
        <v/>
      </c>
      <c r="B25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Helper'!$F$5:$F$3004,"""")&lt;&gt;""""),ROWS(B$5:B2532)),"""")"),"")</f>
        <v/>
      </c>
      <c r="C25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Helper'!$F$5:$F$3004,"""")&lt;&gt;""""),ROWS(C$5:C2532)),"""")"),"")</f>
        <v/>
      </c>
      <c r="D25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Helper'!$F$5:$F$3004,"""")&lt;&gt;""""),ROWS(D$5:D2532)),"""")"),"")</f>
        <v/>
      </c>
      <c r="E25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Helper'!$F$5:$F$3004,"""")&lt;&gt;""""),ROWS(E$5:E2532)),"""")"),"")</f>
        <v/>
      </c>
      <c r="F25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Helper'!$F$5:$F$3004,"""")&lt;&gt;""""),ROWS(F$5:F2532)),IF(AND(LEFT(x,5)=""Pag"&amp;"e "",ISERROR(SEARCH(""–"",x))),x&amp;""–""&amp;REGEXEXTRACT(x,""[0-9]+$""),x)),"""")"),"")</f>
        <v/>
      </c>
      <c r="G2532" s="163"/>
      <c r="H25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Helper'!$F$5:$F$3004,"""")&lt;&gt;""""),ROWS(H$5:H2532)),"""")"),"")</f>
        <v/>
      </c>
    </row>
    <row r="2533" ht="15.75" customHeight="1">
      <c r="A25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Helper'!$F$5:$F$3004,"""")&lt;&gt;""""),ROWS(A$5:A2533)),"""")"),"")</f>
        <v/>
      </c>
      <c r="B25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Helper'!$F$5:$F$3004,"""")&lt;&gt;""""),ROWS(B$5:B2533)),"""")"),"")</f>
        <v/>
      </c>
      <c r="C25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Helper'!$F$5:$F$3004,"""")&lt;&gt;""""),ROWS(C$5:C2533)),"""")"),"")</f>
        <v/>
      </c>
      <c r="D25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Helper'!$F$5:$F$3004,"""")&lt;&gt;""""),ROWS(D$5:D2533)),"""")"),"")</f>
        <v/>
      </c>
      <c r="E25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Helper'!$F$5:$F$3004,"""")&lt;&gt;""""),ROWS(E$5:E2533)),"""")"),"")</f>
        <v/>
      </c>
      <c r="F25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Helper'!$F$5:$F$3004,"""")&lt;&gt;""""),ROWS(F$5:F2533)),IF(AND(LEFT(x,5)=""Pag"&amp;"e "",ISERROR(SEARCH(""–"",x))),x&amp;""–""&amp;REGEXEXTRACT(x,""[0-9]+$""),x)),"""")"),"")</f>
        <v/>
      </c>
      <c r="G2533" s="163"/>
      <c r="H25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Helper'!$F$5:$F$3004,"""")&lt;&gt;""""),ROWS(H$5:H2533)),"""")"),"")</f>
        <v/>
      </c>
    </row>
    <row r="2534" ht="15.75" customHeight="1">
      <c r="A25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Helper'!$F$5:$F$3004,"""")&lt;&gt;""""),ROWS(A$5:A2534)),"""")"),"")</f>
        <v/>
      </c>
      <c r="B25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Helper'!$F$5:$F$3004,"""")&lt;&gt;""""),ROWS(B$5:B2534)),"""")"),"")</f>
        <v/>
      </c>
      <c r="C25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Helper'!$F$5:$F$3004,"""")&lt;&gt;""""),ROWS(C$5:C2534)),"""")"),"")</f>
        <v/>
      </c>
      <c r="D25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Helper'!$F$5:$F$3004,"""")&lt;&gt;""""),ROWS(D$5:D2534)),"""")"),"")</f>
        <v/>
      </c>
      <c r="E25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Helper'!$F$5:$F$3004,"""")&lt;&gt;""""),ROWS(E$5:E2534)),"""")"),"")</f>
        <v/>
      </c>
      <c r="F25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Helper'!$F$5:$F$3004,"""")&lt;&gt;""""),ROWS(F$5:F2534)),IF(AND(LEFT(x,5)=""Pag"&amp;"e "",ISERROR(SEARCH(""–"",x))),x&amp;""–""&amp;REGEXEXTRACT(x,""[0-9]+$""),x)),"""")"),"")</f>
        <v/>
      </c>
      <c r="G2534" s="163"/>
      <c r="H25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Helper'!$F$5:$F$3004,"""")&lt;&gt;""""),ROWS(H$5:H2534)),"""")"),"")</f>
        <v/>
      </c>
    </row>
    <row r="2535" ht="15.75" customHeight="1">
      <c r="A25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Helper'!$F$5:$F$3004,"""")&lt;&gt;""""),ROWS(A$5:A2535)),"""")"),"")</f>
        <v/>
      </c>
      <c r="B25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Helper'!$F$5:$F$3004,"""")&lt;&gt;""""),ROWS(B$5:B2535)),"""")"),"")</f>
        <v/>
      </c>
      <c r="C25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Helper'!$F$5:$F$3004,"""")&lt;&gt;""""),ROWS(C$5:C2535)),"""")"),"")</f>
        <v/>
      </c>
      <c r="D25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Helper'!$F$5:$F$3004,"""")&lt;&gt;""""),ROWS(D$5:D2535)),"""")"),"")</f>
        <v/>
      </c>
      <c r="E25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Helper'!$F$5:$F$3004,"""")&lt;&gt;""""),ROWS(E$5:E2535)),"""")"),"")</f>
        <v/>
      </c>
      <c r="F25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Helper'!$F$5:$F$3004,"""")&lt;&gt;""""),ROWS(F$5:F2535)),IF(AND(LEFT(x,5)=""Pag"&amp;"e "",ISERROR(SEARCH(""–"",x))),x&amp;""–""&amp;REGEXEXTRACT(x,""[0-9]+$""),x)),"""")"),"")</f>
        <v/>
      </c>
      <c r="G2535" s="163"/>
      <c r="H25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Helper'!$F$5:$F$3004,"""")&lt;&gt;""""),ROWS(H$5:H2535)),"""")"),"")</f>
        <v/>
      </c>
    </row>
    <row r="2536" ht="15.75" customHeight="1">
      <c r="A25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Helper'!$F$5:$F$3004,"""")&lt;&gt;""""),ROWS(A$5:A2536)),"""")"),"")</f>
        <v/>
      </c>
      <c r="B25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Helper'!$F$5:$F$3004,"""")&lt;&gt;""""),ROWS(B$5:B2536)),"""")"),"")</f>
        <v/>
      </c>
      <c r="C25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Helper'!$F$5:$F$3004,"""")&lt;&gt;""""),ROWS(C$5:C2536)),"""")"),"")</f>
        <v/>
      </c>
      <c r="D25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Helper'!$F$5:$F$3004,"""")&lt;&gt;""""),ROWS(D$5:D2536)),"""")"),"")</f>
        <v/>
      </c>
      <c r="E25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Helper'!$F$5:$F$3004,"""")&lt;&gt;""""),ROWS(E$5:E2536)),"""")"),"")</f>
        <v/>
      </c>
      <c r="F25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Helper'!$F$5:$F$3004,"""")&lt;&gt;""""),ROWS(F$5:F2536)),IF(AND(LEFT(x,5)=""Pag"&amp;"e "",ISERROR(SEARCH(""–"",x))),x&amp;""–""&amp;REGEXEXTRACT(x,""[0-9]+$""),x)),"""")"),"")</f>
        <v/>
      </c>
      <c r="G2536" s="163"/>
      <c r="H25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Helper'!$F$5:$F$3004,"""")&lt;&gt;""""),ROWS(H$5:H2536)),"""")"),"")</f>
        <v/>
      </c>
    </row>
    <row r="2537" ht="15.75" customHeight="1">
      <c r="A25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Helper'!$F$5:$F$3004,"""")&lt;&gt;""""),ROWS(A$5:A2537)),"""")"),"")</f>
        <v/>
      </c>
      <c r="B25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Helper'!$F$5:$F$3004,"""")&lt;&gt;""""),ROWS(B$5:B2537)),"""")"),"")</f>
        <v/>
      </c>
      <c r="C25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Helper'!$F$5:$F$3004,"""")&lt;&gt;""""),ROWS(C$5:C2537)),"""")"),"")</f>
        <v/>
      </c>
      <c r="D25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Helper'!$F$5:$F$3004,"""")&lt;&gt;""""),ROWS(D$5:D2537)),"""")"),"")</f>
        <v/>
      </c>
      <c r="E25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Helper'!$F$5:$F$3004,"""")&lt;&gt;""""),ROWS(E$5:E2537)),"""")"),"")</f>
        <v/>
      </c>
      <c r="F25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Helper'!$F$5:$F$3004,"""")&lt;&gt;""""),ROWS(F$5:F2537)),IF(AND(LEFT(x,5)=""Pag"&amp;"e "",ISERROR(SEARCH(""–"",x))),x&amp;""–""&amp;REGEXEXTRACT(x,""[0-9]+$""),x)),"""")"),"")</f>
        <v/>
      </c>
      <c r="G2537" s="163"/>
      <c r="H25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Helper'!$F$5:$F$3004,"""")&lt;&gt;""""),ROWS(H$5:H2537)),"""")"),"")</f>
        <v/>
      </c>
    </row>
    <row r="2538" ht="15.75" customHeight="1">
      <c r="A25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Helper'!$F$5:$F$3004,"""")&lt;&gt;""""),ROWS(A$5:A2538)),"""")"),"")</f>
        <v/>
      </c>
      <c r="B25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Helper'!$F$5:$F$3004,"""")&lt;&gt;""""),ROWS(B$5:B2538)),"""")"),"")</f>
        <v/>
      </c>
      <c r="C25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Helper'!$F$5:$F$3004,"""")&lt;&gt;""""),ROWS(C$5:C2538)),"""")"),"")</f>
        <v/>
      </c>
      <c r="D25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Helper'!$F$5:$F$3004,"""")&lt;&gt;""""),ROWS(D$5:D2538)),"""")"),"")</f>
        <v/>
      </c>
      <c r="E25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Helper'!$F$5:$F$3004,"""")&lt;&gt;""""),ROWS(E$5:E2538)),"""")"),"")</f>
        <v/>
      </c>
      <c r="F25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Helper'!$F$5:$F$3004,"""")&lt;&gt;""""),ROWS(F$5:F2538)),IF(AND(LEFT(x,5)=""Pag"&amp;"e "",ISERROR(SEARCH(""–"",x))),x&amp;""–""&amp;REGEXEXTRACT(x,""[0-9]+$""),x)),"""")"),"")</f>
        <v/>
      </c>
      <c r="G2538" s="163"/>
      <c r="H25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Helper'!$F$5:$F$3004,"""")&lt;&gt;""""),ROWS(H$5:H2538)),"""")"),"")</f>
        <v/>
      </c>
    </row>
    <row r="2539" ht="15.75" customHeight="1">
      <c r="A25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Helper'!$F$5:$F$3004,"""")&lt;&gt;""""),ROWS(A$5:A2539)),"""")"),"")</f>
        <v/>
      </c>
      <c r="B25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Helper'!$F$5:$F$3004,"""")&lt;&gt;""""),ROWS(B$5:B2539)),"""")"),"")</f>
        <v/>
      </c>
      <c r="C25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Helper'!$F$5:$F$3004,"""")&lt;&gt;""""),ROWS(C$5:C2539)),"""")"),"")</f>
        <v/>
      </c>
      <c r="D25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Helper'!$F$5:$F$3004,"""")&lt;&gt;""""),ROWS(D$5:D2539)),"""")"),"")</f>
        <v/>
      </c>
      <c r="E25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Helper'!$F$5:$F$3004,"""")&lt;&gt;""""),ROWS(E$5:E2539)),"""")"),"")</f>
        <v/>
      </c>
      <c r="F25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Helper'!$F$5:$F$3004,"""")&lt;&gt;""""),ROWS(F$5:F2539)),IF(AND(LEFT(x,5)=""Pag"&amp;"e "",ISERROR(SEARCH(""–"",x))),x&amp;""–""&amp;REGEXEXTRACT(x,""[0-9]+$""),x)),"""")"),"")</f>
        <v/>
      </c>
      <c r="G2539" s="163"/>
      <c r="H25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Helper'!$F$5:$F$3004,"""")&lt;&gt;""""),ROWS(H$5:H2539)),"""")"),"")</f>
        <v/>
      </c>
    </row>
    <row r="2540" ht="15.75" customHeight="1">
      <c r="A25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Helper'!$F$5:$F$3004,"""")&lt;&gt;""""),ROWS(A$5:A2540)),"""")"),"")</f>
        <v/>
      </c>
      <c r="B25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Helper'!$F$5:$F$3004,"""")&lt;&gt;""""),ROWS(B$5:B2540)),"""")"),"")</f>
        <v/>
      </c>
      <c r="C25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Helper'!$F$5:$F$3004,"""")&lt;&gt;""""),ROWS(C$5:C2540)),"""")"),"")</f>
        <v/>
      </c>
      <c r="D25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Helper'!$F$5:$F$3004,"""")&lt;&gt;""""),ROWS(D$5:D2540)),"""")"),"")</f>
        <v/>
      </c>
      <c r="E25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Helper'!$F$5:$F$3004,"""")&lt;&gt;""""),ROWS(E$5:E2540)),"""")"),"")</f>
        <v/>
      </c>
      <c r="F25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Helper'!$F$5:$F$3004,"""")&lt;&gt;""""),ROWS(F$5:F2540)),IF(AND(LEFT(x,5)=""Pag"&amp;"e "",ISERROR(SEARCH(""–"",x))),x&amp;""–""&amp;REGEXEXTRACT(x,""[0-9]+$""),x)),"""")"),"")</f>
        <v/>
      </c>
      <c r="G2540" s="163"/>
      <c r="H25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Helper'!$F$5:$F$3004,"""")&lt;&gt;""""),ROWS(H$5:H2540)),"""")"),"")</f>
        <v/>
      </c>
    </row>
    <row r="2541" ht="15.75" customHeight="1">
      <c r="A25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Helper'!$F$5:$F$3004,"""")&lt;&gt;""""),ROWS(A$5:A2541)),"""")"),"")</f>
        <v/>
      </c>
      <c r="B25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Helper'!$F$5:$F$3004,"""")&lt;&gt;""""),ROWS(B$5:B2541)),"""")"),"")</f>
        <v/>
      </c>
      <c r="C25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Helper'!$F$5:$F$3004,"""")&lt;&gt;""""),ROWS(C$5:C2541)),"""")"),"")</f>
        <v/>
      </c>
      <c r="D25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Helper'!$F$5:$F$3004,"""")&lt;&gt;""""),ROWS(D$5:D2541)),"""")"),"")</f>
        <v/>
      </c>
      <c r="E25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Helper'!$F$5:$F$3004,"""")&lt;&gt;""""),ROWS(E$5:E2541)),"""")"),"")</f>
        <v/>
      </c>
      <c r="F25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Helper'!$F$5:$F$3004,"""")&lt;&gt;""""),ROWS(F$5:F2541)),IF(AND(LEFT(x,5)=""Pag"&amp;"e "",ISERROR(SEARCH(""–"",x))),x&amp;""–""&amp;REGEXEXTRACT(x,""[0-9]+$""),x)),"""")"),"")</f>
        <v/>
      </c>
      <c r="G2541" s="163"/>
      <c r="H25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Helper'!$F$5:$F$3004,"""")&lt;&gt;""""),ROWS(H$5:H2541)),"""")"),"")</f>
        <v/>
      </c>
    </row>
    <row r="2542" ht="15.75" customHeight="1">
      <c r="A25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Helper'!$F$5:$F$3004,"""")&lt;&gt;""""),ROWS(A$5:A2542)),"""")"),"")</f>
        <v/>
      </c>
      <c r="B25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Helper'!$F$5:$F$3004,"""")&lt;&gt;""""),ROWS(B$5:B2542)),"""")"),"")</f>
        <v/>
      </c>
      <c r="C25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Helper'!$F$5:$F$3004,"""")&lt;&gt;""""),ROWS(C$5:C2542)),"""")"),"")</f>
        <v/>
      </c>
      <c r="D25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Helper'!$F$5:$F$3004,"""")&lt;&gt;""""),ROWS(D$5:D2542)),"""")"),"")</f>
        <v/>
      </c>
      <c r="E25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Helper'!$F$5:$F$3004,"""")&lt;&gt;""""),ROWS(E$5:E2542)),"""")"),"")</f>
        <v/>
      </c>
      <c r="F25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Helper'!$F$5:$F$3004,"""")&lt;&gt;""""),ROWS(F$5:F2542)),IF(AND(LEFT(x,5)=""Pag"&amp;"e "",ISERROR(SEARCH(""–"",x))),x&amp;""–""&amp;REGEXEXTRACT(x,""[0-9]+$""),x)),"""")"),"")</f>
        <v/>
      </c>
      <c r="G2542" s="163"/>
      <c r="H25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Helper'!$F$5:$F$3004,"""")&lt;&gt;""""),ROWS(H$5:H2542)),"""")"),"")</f>
        <v/>
      </c>
    </row>
    <row r="2543" ht="15.75" customHeight="1">
      <c r="A25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Helper'!$F$5:$F$3004,"""")&lt;&gt;""""),ROWS(A$5:A2543)),"""")"),"")</f>
        <v/>
      </c>
      <c r="B25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Helper'!$F$5:$F$3004,"""")&lt;&gt;""""),ROWS(B$5:B2543)),"""")"),"")</f>
        <v/>
      </c>
      <c r="C25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Helper'!$F$5:$F$3004,"""")&lt;&gt;""""),ROWS(C$5:C2543)),"""")"),"")</f>
        <v/>
      </c>
      <c r="D25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Helper'!$F$5:$F$3004,"""")&lt;&gt;""""),ROWS(D$5:D2543)),"""")"),"")</f>
        <v/>
      </c>
      <c r="E25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Helper'!$F$5:$F$3004,"""")&lt;&gt;""""),ROWS(E$5:E2543)),"""")"),"")</f>
        <v/>
      </c>
      <c r="F25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Helper'!$F$5:$F$3004,"""")&lt;&gt;""""),ROWS(F$5:F2543)),IF(AND(LEFT(x,5)=""Pag"&amp;"e "",ISERROR(SEARCH(""–"",x))),x&amp;""–""&amp;REGEXEXTRACT(x,""[0-9]+$""),x)),"""")"),"")</f>
        <v/>
      </c>
      <c r="G2543" s="163"/>
      <c r="H25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Helper'!$F$5:$F$3004,"""")&lt;&gt;""""),ROWS(H$5:H2543)),"""")"),"")</f>
        <v/>
      </c>
    </row>
    <row r="2544" ht="15.75" customHeight="1">
      <c r="A25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Helper'!$F$5:$F$3004,"""")&lt;&gt;""""),ROWS(A$5:A2544)),"""")"),"")</f>
        <v/>
      </c>
      <c r="B25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Helper'!$F$5:$F$3004,"""")&lt;&gt;""""),ROWS(B$5:B2544)),"""")"),"")</f>
        <v/>
      </c>
      <c r="C25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Helper'!$F$5:$F$3004,"""")&lt;&gt;""""),ROWS(C$5:C2544)),"""")"),"")</f>
        <v/>
      </c>
      <c r="D25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Helper'!$F$5:$F$3004,"""")&lt;&gt;""""),ROWS(D$5:D2544)),"""")"),"")</f>
        <v/>
      </c>
      <c r="E25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Helper'!$F$5:$F$3004,"""")&lt;&gt;""""),ROWS(E$5:E2544)),"""")"),"")</f>
        <v/>
      </c>
      <c r="F25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Helper'!$F$5:$F$3004,"""")&lt;&gt;""""),ROWS(F$5:F2544)),IF(AND(LEFT(x,5)=""Pag"&amp;"e "",ISERROR(SEARCH(""–"",x))),x&amp;""–""&amp;REGEXEXTRACT(x,""[0-9]+$""),x)),"""")"),"")</f>
        <v/>
      </c>
      <c r="G2544" s="163"/>
      <c r="H25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Helper'!$F$5:$F$3004,"""")&lt;&gt;""""),ROWS(H$5:H2544)),"""")"),"")</f>
        <v/>
      </c>
    </row>
    <row r="2545" ht="15.75" customHeight="1">
      <c r="A25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Helper'!$F$5:$F$3004,"""")&lt;&gt;""""),ROWS(A$5:A2545)),"""")"),"")</f>
        <v/>
      </c>
      <c r="B25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Helper'!$F$5:$F$3004,"""")&lt;&gt;""""),ROWS(B$5:B2545)),"""")"),"")</f>
        <v/>
      </c>
      <c r="C25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Helper'!$F$5:$F$3004,"""")&lt;&gt;""""),ROWS(C$5:C2545)),"""")"),"")</f>
        <v/>
      </c>
      <c r="D25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Helper'!$F$5:$F$3004,"""")&lt;&gt;""""),ROWS(D$5:D2545)),"""")"),"")</f>
        <v/>
      </c>
      <c r="E25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Helper'!$F$5:$F$3004,"""")&lt;&gt;""""),ROWS(E$5:E2545)),"""")"),"")</f>
        <v/>
      </c>
      <c r="F25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Helper'!$F$5:$F$3004,"""")&lt;&gt;""""),ROWS(F$5:F2545)),IF(AND(LEFT(x,5)=""Pag"&amp;"e "",ISERROR(SEARCH(""–"",x))),x&amp;""–""&amp;REGEXEXTRACT(x,""[0-9]+$""),x)),"""")"),"")</f>
        <v/>
      </c>
      <c r="G2545" s="163"/>
      <c r="H25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Helper'!$F$5:$F$3004,"""")&lt;&gt;""""),ROWS(H$5:H2545)),"""")"),"")</f>
        <v/>
      </c>
    </row>
    <row r="2546" ht="15.75" customHeight="1">
      <c r="A25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Helper'!$F$5:$F$3004,"""")&lt;&gt;""""),ROWS(A$5:A2546)),"""")"),"")</f>
        <v/>
      </c>
      <c r="B25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Helper'!$F$5:$F$3004,"""")&lt;&gt;""""),ROWS(B$5:B2546)),"""")"),"")</f>
        <v/>
      </c>
      <c r="C25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Helper'!$F$5:$F$3004,"""")&lt;&gt;""""),ROWS(C$5:C2546)),"""")"),"")</f>
        <v/>
      </c>
      <c r="D25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Helper'!$F$5:$F$3004,"""")&lt;&gt;""""),ROWS(D$5:D2546)),"""")"),"")</f>
        <v/>
      </c>
      <c r="E25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Helper'!$F$5:$F$3004,"""")&lt;&gt;""""),ROWS(E$5:E2546)),"""")"),"")</f>
        <v/>
      </c>
      <c r="F25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Helper'!$F$5:$F$3004,"""")&lt;&gt;""""),ROWS(F$5:F2546)),IF(AND(LEFT(x,5)=""Pag"&amp;"e "",ISERROR(SEARCH(""–"",x))),x&amp;""–""&amp;REGEXEXTRACT(x,""[0-9]+$""),x)),"""")"),"")</f>
        <v/>
      </c>
      <c r="G2546" s="163"/>
      <c r="H25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Helper'!$F$5:$F$3004,"""")&lt;&gt;""""),ROWS(H$5:H2546)),"""")"),"")</f>
        <v/>
      </c>
    </row>
    <row r="2547" ht="15.75" customHeight="1">
      <c r="A25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Helper'!$F$5:$F$3004,"""")&lt;&gt;""""),ROWS(A$5:A2547)),"""")"),"")</f>
        <v/>
      </c>
      <c r="B25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Helper'!$F$5:$F$3004,"""")&lt;&gt;""""),ROWS(B$5:B2547)),"""")"),"")</f>
        <v/>
      </c>
      <c r="C25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Helper'!$F$5:$F$3004,"""")&lt;&gt;""""),ROWS(C$5:C2547)),"""")"),"")</f>
        <v/>
      </c>
      <c r="D25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Helper'!$F$5:$F$3004,"""")&lt;&gt;""""),ROWS(D$5:D2547)),"""")"),"")</f>
        <v/>
      </c>
      <c r="E25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Helper'!$F$5:$F$3004,"""")&lt;&gt;""""),ROWS(E$5:E2547)),"""")"),"")</f>
        <v/>
      </c>
      <c r="F25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Helper'!$F$5:$F$3004,"""")&lt;&gt;""""),ROWS(F$5:F2547)),IF(AND(LEFT(x,5)=""Pag"&amp;"e "",ISERROR(SEARCH(""–"",x))),x&amp;""–""&amp;REGEXEXTRACT(x,""[0-9]+$""),x)),"""")"),"")</f>
        <v/>
      </c>
      <c r="G2547" s="163"/>
      <c r="H25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Helper'!$F$5:$F$3004,"""")&lt;&gt;""""),ROWS(H$5:H2547)),"""")"),"")</f>
        <v/>
      </c>
    </row>
    <row r="2548" ht="15.75" customHeight="1">
      <c r="A25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Helper'!$F$5:$F$3004,"""")&lt;&gt;""""),ROWS(A$5:A2548)),"""")"),"")</f>
        <v/>
      </c>
      <c r="B25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Helper'!$F$5:$F$3004,"""")&lt;&gt;""""),ROWS(B$5:B2548)),"""")"),"")</f>
        <v/>
      </c>
      <c r="C25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Helper'!$F$5:$F$3004,"""")&lt;&gt;""""),ROWS(C$5:C2548)),"""")"),"")</f>
        <v/>
      </c>
      <c r="D25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Helper'!$F$5:$F$3004,"""")&lt;&gt;""""),ROWS(D$5:D2548)),"""")"),"")</f>
        <v/>
      </c>
      <c r="E25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Helper'!$F$5:$F$3004,"""")&lt;&gt;""""),ROWS(E$5:E2548)),"""")"),"")</f>
        <v/>
      </c>
      <c r="F25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Helper'!$F$5:$F$3004,"""")&lt;&gt;""""),ROWS(F$5:F2548)),IF(AND(LEFT(x,5)=""Pag"&amp;"e "",ISERROR(SEARCH(""–"",x))),x&amp;""–""&amp;REGEXEXTRACT(x,""[0-9]+$""),x)),"""")"),"")</f>
        <v/>
      </c>
      <c r="G2548" s="163"/>
      <c r="H25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Helper'!$F$5:$F$3004,"""")&lt;&gt;""""),ROWS(H$5:H2548)),"""")"),"")</f>
        <v/>
      </c>
    </row>
    <row r="2549" ht="15.75" customHeight="1">
      <c r="A25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Helper'!$F$5:$F$3004,"""")&lt;&gt;""""),ROWS(A$5:A2549)),"""")"),"")</f>
        <v/>
      </c>
      <c r="B25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Helper'!$F$5:$F$3004,"""")&lt;&gt;""""),ROWS(B$5:B2549)),"""")"),"")</f>
        <v/>
      </c>
      <c r="C25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Helper'!$F$5:$F$3004,"""")&lt;&gt;""""),ROWS(C$5:C2549)),"""")"),"")</f>
        <v/>
      </c>
      <c r="D25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Helper'!$F$5:$F$3004,"""")&lt;&gt;""""),ROWS(D$5:D2549)),"""")"),"")</f>
        <v/>
      </c>
      <c r="E25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Helper'!$F$5:$F$3004,"""")&lt;&gt;""""),ROWS(E$5:E2549)),"""")"),"")</f>
        <v/>
      </c>
      <c r="F25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Helper'!$F$5:$F$3004,"""")&lt;&gt;""""),ROWS(F$5:F2549)),IF(AND(LEFT(x,5)=""Pag"&amp;"e "",ISERROR(SEARCH(""–"",x))),x&amp;""–""&amp;REGEXEXTRACT(x,""[0-9]+$""),x)),"""")"),"")</f>
        <v/>
      </c>
      <c r="G2549" s="163"/>
      <c r="H25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Helper'!$F$5:$F$3004,"""")&lt;&gt;""""),ROWS(H$5:H2549)),"""")"),"")</f>
        <v/>
      </c>
    </row>
    <row r="2550" ht="15.75" customHeight="1">
      <c r="A25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Helper'!$F$5:$F$3004,"""")&lt;&gt;""""),ROWS(A$5:A2550)),"""")"),"")</f>
        <v/>
      </c>
      <c r="B25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Helper'!$F$5:$F$3004,"""")&lt;&gt;""""),ROWS(B$5:B2550)),"""")"),"")</f>
        <v/>
      </c>
      <c r="C25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Helper'!$F$5:$F$3004,"""")&lt;&gt;""""),ROWS(C$5:C2550)),"""")"),"")</f>
        <v/>
      </c>
      <c r="D25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Helper'!$F$5:$F$3004,"""")&lt;&gt;""""),ROWS(D$5:D2550)),"""")"),"")</f>
        <v/>
      </c>
      <c r="E25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Helper'!$F$5:$F$3004,"""")&lt;&gt;""""),ROWS(E$5:E2550)),"""")"),"")</f>
        <v/>
      </c>
      <c r="F25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Helper'!$F$5:$F$3004,"""")&lt;&gt;""""),ROWS(F$5:F2550)),IF(AND(LEFT(x,5)=""Pag"&amp;"e "",ISERROR(SEARCH(""–"",x))),x&amp;""–""&amp;REGEXEXTRACT(x,""[0-9]+$""),x)),"""")"),"")</f>
        <v/>
      </c>
      <c r="G2550" s="163"/>
      <c r="H25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Helper'!$F$5:$F$3004,"""")&lt;&gt;""""),ROWS(H$5:H2550)),"""")"),"")</f>
        <v/>
      </c>
    </row>
    <row r="2551" ht="15.75" customHeight="1">
      <c r="A25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Helper'!$F$5:$F$3004,"""")&lt;&gt;""""),ROWS(A$5:A2551)),"""")"),"")</f>
        <v/>
      </c>
      <c r="B25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Helper'!$F$5:$F$3004,"""")&lt;&gt;""""),ROWS(B$5:B2551)),"""")"),"")</f>
        <v/>
      </c>
      <c r="C25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Helper'!$F$5:$F$3004,"""")&lt;&gt;""""),ROWS(C$5:C2551)),"""")"),"")</f>
        <v/>
      </c>
      <c r="D25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Helper'!$F$5:$F$3004,"""")&lt;&gt;""""),ROWS(D$5:D2551)),"""")"),"")</f>
        <v/>
      </c>
      <c r="E25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Helper'!$F$5:$F$3004,"""")&lt;&gt;""""),ROWS(E$5:E2551)),"""")"),"")</f>
        <v/>
      </c>
      <c r="F25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Helper'!$F$5:$F$3004,"""")&lt;&gt;""""),ROWS(F$5:F2551)),IF(AND(LEFT(x,5)=""Pag"&amp;"e "",ISERROR(SEARCH(""–"",x))),x&amp;""–""&amp;REGEXEXTRACT(x,""[0-9]+$""),x)),"""")"),"")</f>
        <v/>
      </c>
      <c r="G2551" s="163"/>
      <c r="H25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Helper'!$F$5:$F$3004,"""")&lt;&gt;""""),ROWS(H$5:H2551)),"""")"),"")</f>
        <v/>
      </c>
    </row>
    <row r="2552" ht="15.75" customHeight="1">
      <c r="A25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Helper'!$F$5:$F$3004,"""")&lt;&gt;""""),ROWS(A$5:A2552)),"""")"),"")</f>
        <v/>
      </c>
      <c r="B25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Helper'!$F$5:$F$3004,"""")&lt;&gt;""""),ROWS(B$5:B2552)),"""")"),"")</f>
        <v/>
      </c>
      <c r="C25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Helper'!$F$5:$F$3004,"""")&lt;&gt;""""),ROWS(C$5:C2552)),"""")"),"")</f>
        <v/>
      </c>
      <c r="D25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Helper'!$F$5:$F$3004,"""")&lt;&gt;""""),ROWS(D$5:D2552)),"""")"),"")</f>
        <v/>
      </c>
      <c r="E25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Helper'!$F$5:$F$3004,"""")&lt;&gt;""""),ROWS(E$5:E2552)),"""")"),"")</f>
        <v/>
      </c>
      <c r="F25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Helper'!$F$5:$F$3004,"""")&lt;&gt;""""),ROWS(F$5:F2552)),IF(AND(LEFT(x,5)=""Pag"&amp;"e "",ISERROR(SEARCH(""–"",x))),x&amp;""–""&amp;REGEXEXTRACT(x,""[0-9]+$""),x)),"""")"),"")</f>
        <v/>
      </c>
      <c r="G2552" s="163"/>
      <c r="H25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Helper'!$F$5:$F$3004,"""")&lt;&gt;""""),ROWS(H$5:H2552)),"""")"),"")</f>
        <v/>
      </c>
    </row>
    <row r="2553" ht="15.75" customHeight="1">
      <c r="A25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Helper'!$F$5:$F$3004,"""")&lt;&gt;""""),ROWS(A$5:A2553)),"""")"),"")</f>
        <v/>
      </c>
      <c r="B25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Helper'!$F$5:$F$3004,"""")&lt;&gt;""""),ROWS(B$5:B2553)),"""")"),"")</f>
        <v/>
      </c>
      <c r="C25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Helper'!$F$5:$F$3004,"""")&lt;&gt;""""),ROWS(C$5:C2553)),"""")"),"")</f>
        <v/>
      </c>
      <c r="D25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Helper'!$F$5:$F$3004,"""")&lt;&gt;""""),ROWS(D$5:D2553)),"""")"),"")</f>
        <v/>
      </c>
      <c r="E25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Helper'!$F$5:$F$3004,"""")&lt;&gt;""""),ROWS(E$5:E2553)),"""")"),"")</f>
        <v/>
      </c>
      <c r="F25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Helper'!$F$5:$F$3004,"""")&lt;&gt;""""),ROWS(F$5:F2553)),IF(AND(LEFT(x,5)=""Pag"&amp;"e "",ISERROR(SEARCH(""–"",x))),x&amp;""–""&amp;REGEXEXTRACT(x,""[0-9]+$""),x)),"""")"),"")</f>
        <v/>
      </c>
      <c r="G2553" s="163"/>
      <c r="H25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Helper'!$F$5:$F$3004,"""")&lt;&gt;""""),ROWS(H$5:H2553)),"""")"),"")</f>
        <v/>
      </c>
    </row>
    <row r="2554" ht="15.75" customHeight="1">
      <c r="A25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Helper'!$F$5:$F$3004,"""")&lt;&gt;""""),ROWS(A$5:A2554)),"""")"),"")</f>
        <v/>
      </c>
      <c r="B25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Helper'!$F$5:$F$3004,"""")&lt;&gt;""""),ROWS(B$5:B2554)),"""")"),"")</f>
        <v/>
      </c>
      <c r="C25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Helper'!$F$5:$F$3004,"""")&lt;&gt;""""),ROWS(C$5:C2554)),"""")"),"")</f>
        <v/>
      </c>
      <c r="D25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Helper'!$F$5:$F$3004,"""")&lt;&gt;""""),ROWS(D$5:D2554)),"""")"),"")</f>
        <v/>
      </c>
      <c r="E25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Helper'!$F$5:$F$3004,"""")&lt;&gt;""""),ROWS(E$5:E2554)),"""")"),"")</f>
        <v/>
      </c>
      <c r="F25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Helper'!$F$5:$F$3004,"""")&lt;&gt;""""),ROWS(F$5:F2554)),IF(AND(LEFT(x,5)=""Pag"&amp;"e "",ISERROR(SEARCH(""–"",x))),x&amp;""–""&amp;REGEXEXTRACT(x,""[0-9]+$""),x)),"""")"),"")</f>
        <v/>
      </c>
      <c r="G2554" s="163"/>
      <c r="H25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Helper'!$F$5:$F$3004,"""")&lt;&gt;""""),ROWS(H$5:H2554)),"""")"),"")</f>
        <v/>
      </c>
    </row>
    <row r="2555" ht="15.75" customHeight="1">
      <c r="A25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Helper'!$F$5:$F$3004,"""")&lt;&gt;""""),ROWS(A$5:A2555)),"""")"),"")</f>
        <v/>
      </c>
      <c r="B25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Helper'!$F$5:$F$3004,"""")&lt;&gt;""""),ROWS(B$5:B2555)),"""")"),"")</f>
        <v/>
      </c>
      <c r="C25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Helper'!$F$5:$F$3004,"""")&lt;&gt;""""),ROWS(C$5:C2555)),"""")"),"")</f>
        <v/>
      </c>
      <c r="D25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Helper'!$F$5:$F$3004,"""")&lt;&gt;""""),ROWS(D$5:D2555)),"""")"),"")</f>
        <v/>
      </c>
      <c r="E25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Helper'!$F$5:$F$3004,"""")&lt;&gt;""""),ROWS(E$5:E2555)),"""")"),"")</f>
        <v/>
      </c>
      <c r="F25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Helper'!$F$5:$F$3004,"""")&lt;&gt;""""),ROWS(F$5:F2555)),IF(AND(LEFT(x,5)=""Pag"&amp;"e "",ISERROR(SEARCH(""–"",x))),x&amp;""–""&amp;REGEXEXTRACT(x,""[0-9]+$""),x)),"""")"),"")</f>
        <v/>
      </c>
      <c r="G2555" s="163"/>
      <c r="H25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Helper'!$F$5:$F$3004,"""")&lt;&gt;""""),ROWS(H$5:H2555)),"""")"),"")</f>
        <v/>
      </c>
    </row>
    <row r="2556" ht="15.75" customHeight="1">
      <c r="A25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Helper'!$F$5:$F$3004,"""")&lt;&gt;""""),ROWS(A$5:A2556)),"""")"),"")</f>
        <v/>
      </c>
      <c r="B25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Helper'!$F$5:$F$3004,"""")&lt;&gt;""""),ROWS(B$5:B2556)),"""")"),"")</f>
        <v/>
      </c>
      <c r="C25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Helper'!$F$5:$F$3004,"""")&lt;&gt;""""),ROWS(C$5:C2556)),"""")"),"")</f>
        <v/>
      </c>
      <c r="D25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Helper'!$F$5:$F$3004,"""")&lt;&gt;""""),ROWS(D$5:D2556)),"""")"),"")</f>
        <v/>
      </c>
      <c r="E25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Helper'!$F$5:$F$3004,"""")&lt;&gt;""""),ROWS(E$5:E2556)),"""")"),"")</f>
        <v/>
      </c>
      <c r="F25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Helper'!$F$5:$F$3004,"""")&lt;&gt;""""),ROWS(F$5:F2556)),IF(AND(LEFT(x,5)=""Pag"&amp;"e "",ISERROR(SEARCH(""–"",x))),x&amp;""–""&amp;REGEXEXTRACT(x,""[0-9]+$""),x)),"""")"),"")</f>
        <v/>
      </c>
      <c r="G2556" s="163"/>
      <c r="H25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Helper'!$F$5:$F$3004,"""")&lt;&gt;""""),ROWS(H$5:H2556)),"""")"),"")</f>
        <v/>
      </c>
    </row>
    <row r="2557" ht="15.75" customHeight="1">
      <c r="A25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Helper'!$F$5:$F$3004,"""")&lt;&gt;""""),ROWS(A$5:A2557)),"""")"),"")</f>
        <v/>
      </c>
      <c r="B25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Helper'!$F$5:$F$3004,"""")&lt;&gt;""""),ROWS(B$5:B2557)),"""")"),"")</f>
        <v/>
      </c>
      <c r="C25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Helper'!$F$5:$F$3004,"""")&lt;&gt;""""),ROWS(C$5:C2557)),"""")"),"")</f>
        <v/>
      </c>
      <c r="D25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Helper'!$F$5:$F$3004,"""")&lt;&gt;""""),ROWS(D$5:D2557)),"""")"),"")</f>
        <v/>
      </c>
      <c r="E25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Helper'!$F$5:$F$3004,"""")&lt;&gt;""""),ROWS(E$5:E2557)),"""")"),"")</f>
        <v/>
      </c>
      <c r="F25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Helper'!$F$5:$F$3004,"""")&lt;&gt;""""),ROWS(F$5:F2557)),IF(AND(LEFT(x,5)=""Pag"&amp;"e "",ISERROR(SEARCH(""–"",x))),x&amp;""–""&amp;REGEXEXTRACT(x,""[0-9]+$""),x)),"""")"),"")</f>
        <v/>
      </c>
      <c r="G2557" s="163"/>
      <c r="H25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Helper'!$F$5:$F$3004,"""")&lt;&gt;""""),ROWS(H$5:H2557)),"""")"),"")</f>
        <v/>
      </c>
    </row>
    <row r="2558" ht="15.75" customHeight="1">
      <c r="A25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Helper'!$F$5:$F$3004,"""")&lt;&gt;""""),ROWS(A$5:A2558)),"""")"),"")</f>
        <v/>
      </c>
      <c r="B25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Helper'!$F$5:$F$3004,"""")&lt;&gt;""""),ROWS(B$5:B2558)),"""")"),"")</f>
        <v/>
      </c>
      <c r="C25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Helper'!$F$5:$F$3004,"""")&lt;&gt;""""),ROWS(C$5:C2558)),"""")"),"")</f>
        <v/>
      </c>
      <c r="D25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Helper'!$F$5:$F$3004,"""")&lt;&gt;""""),ROWS(D$5:D2558)),"""")"),"")</f>
        <v/>
      </c>
      <c r="E25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Helper'!$F$5:$F$3004,"""")&lt;&gt;""""),ROWS(E$5:E2558)),"""")"),"")</f>
        <v/>
      </c>
      <c r="F25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Helper'!$F$5:$F$3004,"""")&lt;&gt;""""),ROWS(F$5:F2558)),IF(AND(LEFT(x,5)=""Pag"&amp;"e "",ISERROR(SEARCH(""–"",x))),x&amp;""–""&amp;REGEXEXTRACT(x,""[0-9]+$""),x)),"""")"),"")</f>
        <v/>
      </c>
      <c r="G2558" s="163"/>
      <c r="H25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Helper'!$F$5:$F$3004,"""")&lt;&gt;""""),ROWS(H$5:H2558)),"""")"),"")</f>
        <v/>
      </c>
    </row>
    <row r="2559" ht="15.75" customHeight="1">
      <c r="A25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Helper'!$F$5:$F$3004,"""")&lt;&gt;""""),ROWS(A$5:A2559)),"""")"),"")</f>
        <v/>
      </c>
      <c r="B25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Helper'!$F$5:$F$3004,"""")&lt;&gt;""""),ROWS(B$5:B2559)),"""")"),"")</f>
        <v/>
      </c>
      <c r="C25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Helper'!$F$5:$F$3004,"""")&lt;&gt;""""),ROWS(C$5:C2559)),"""")"),"")</f>
        <v/>
      </c>
      <c r="D25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Helper'!$F$5:$F$3004,"""")&lt;&gt;""""),ROWS(D$5:D2559)),"""")"),"")</f>
        <v/>
      </c>
      <c r="E25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Helper'!$F$5:$F$3004,"""")&lt;&gt;""""),ROWS(E$5:E2559)),"""")"),"")</f>
        <v/>
      </c>
      <c r="F25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Helper'!$F$5:$F$3004,"""")&lt;&gt;""""),ROWS(F$5:F2559)),IF(AND(LEFT(x,5)=""Pag"&amp;"e "",ISERROR(SEARCH(""–"",x))),x&amp;""–""&amp;REGEXEXTRACT(x,""[0-9]+$""),x)),"""")"),"")</f>
        <v/>
      </c>
      <c r="G2559" s="163"/>
      <c r="H25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Helper'!$F$5:$F$3004,"""")&lt;&gt;""""),ROWS(H$5:H2559)),"""")"),"")</f>
        <v/>
      </c>
    </row>
    <row r="2560" ht="15.75" customHeight="1">
      <c r="A25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Helper'!$F$5:$F$3004,"""")&lt;&gt;""""),ROWS(A$5:A2560)),"""")"),"")</f>
        <v/>
      </c>
      <c r="B25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Helper'!$F$5:$F$3004,"""")&lt;&gt;""""),ROWS(B$5:B2560)),"""")"),"")</f>
        <v/>
      </c>
      <c r="C25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Helper'!$F$5:$F$3004,"""")&lt;&gt;""""),ROWS(C$5:C2560)),"""")"),"")</f>
        <v/>
      </c>
      <c r="D25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Helper'!$F$5:$F$3004,"""")&lt;&gt;""""),ROWS(D$5:D2560)),"""")"),"")</f>
        <v/>
      </c>
      <c r="E25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Helper'!$F$5:$F$3004,"""")&lt;&gt;""""),ROWS(E$5:E2560)),"""")"),"")</f>
        <v/>
      </c>
      <c r="F25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Helper'!$F$5:$F$3004,"""")&lt;&gt;""""),ROWS(F$5:F2560)),IF(AND(LEFT(x,5)=""Pag"&amp;"e "",ISERROR(SEARCH(""–"",x))),x&amp;""–""&amp;REGEXEXTRACT(x,""[0-9]+$""),x)),"""")"),"")</f>
        <v/>
      </c>
      <c r="G2560" s="163"/>
      <c r="H25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Helper'!$F$5:$F$3004,"""")&lt;&gt;""""),ROWS(H$5:H2560)),"""")"),"")</f>
        <v/>
      </c>
    </row>
    <row r="2561" ht="15.75" customHeight="1">
      <c r="A25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Helper'!$F$5:$F$3004,"""")&lt;&gt;""""),ROWS(A$5:A2561)),"""")"),"")</f>
        <v/>
      </c>
      <c r="B25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Helper'!$F$5:$F$3004,"""")&lt;&gt;""""),ROWS(B$5:B2561)),"""")"),"")</f>
        <v/>
      </c>
      <c r="C25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Helper'!$F$5:$F$3004,"""")&lt;&gt;""""),ROWS(C$5:C2561)),"""")"),"")</f>
        <v/>
      </c>
      <c r="D25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Helper'!$F$5:$F$3004,"""")&lt;&gt;""""),ROWS(D$5:D2561)),"""")"),"")</f>
        <v/>
      </c>
      <c r="E25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Helper'!$F$5:$F$3004,"""")&lt;&gt;""""),ROWS(E$5:E2561)),"""")"),"")</f>
        <v/>
      </c>
      <c r="F25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Helper'!$F$5:$F$3004,"""")&lt;&gt;""""),ROWS(F$5:F2561)),IF(AND(LEFT(x,5)=""Pag"&amp;"e "",ISERROR(SEARCH(""–"",x))),x&amp;""–""&amp;REGEXEXTRACT(x,""[0-9]+$""),x)),"""")"),"")</f>
        <v/>
      </c>
      <c r="G2561" s="163"/>
      <c r="H25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Helper'!$F$5:$F$3004,"""")&lt;&gt;""""),ROWS(H$5:H2561)),"""")"),"")</f>
        <v/>
      </c>
    </row>
    <row r="2562" ht="15.75" customHeight="1">
      <c r="A25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Helper'!$F$5:$F$3004,"""")&lt;&gt;""""),ROWS(A$5:A2562)),"""")"),"")</f>
        <v/>
      </c>
      <c r="B25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Helper'!$F$5:$F$3004,"""")&lt;&gt;""""),ROWS(B$5:B2562)),"""")"),"")</f>
        <v/>
      </c>
      <c r="C25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Helper'!$F$5:$F$3004,"""")&lt;&gt;""""),ROWS(C$5:C2562)),"""")"),"")</f>
        <v/>
      </c>
      <c r="D25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Helper'!$F$5:$F$3004,"""")&lt;&gt;""""),ROWS(D$5:D2562)),"""")"),"")</f>
        <v/>
      </c>
      <c r="E25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Helper'!$F$5:$F$3004,"""")&lt;&gt;""""),ROWS(E$5:E2562)),"""")"),"")</f>
        <v/>
      </c>
      <c r="F25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Helper'!$F$5:$F$3004,"""")&lt;&gt;""""),ROWS(F$5:F2562)),IF(AND(LEFT(x,5)=""Pag"&amp;"e "",ISERROR(SEARCH(""–"",x))),x&amp;""–""&amp;REGEXEXTRACT(x,""[0-9]+$""),x)),"""")"),"")</f>
        <v/>
      </c>
      <c r="G2562" s="163"/>
      <c r="H25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Helper'!$F$5:$F$3004,"""")&lt;&gt;""""),ROWS(H$5:H2562)),"""")"),"")</f>
        <v/>
      </c>
    </row>
    <row r="2563" ht="15.75" customHeight="1">
      <c r="A25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Helper'!$F$5:$F$3004,"""")&lt;&gt;""""),ROWS(A$5:A2563)),"""")"),"")</f>
        <v/>
      </c>
      <c r="B25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Helper'!$F$5:$F$3004,"""")&lt;&gt;""""),ROWS(B$5:B2563)),"""")"),"")</f>
        <v/>
      </c>
      <c r="C25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Helper'!$F$5:$F$3004,"""")&lt;&gt;""""),ROWS(C$5:C2563)),"""")"),"")</f>
        <v/>
      </c>
      <c r="D25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Helper'!$F$5:$F$3004,"""")&lt;&gt;""""),ROWS(D$5:D2563)),"""")"),"")</f>
        <v/>
      </c>
      <c r="E25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Helper'!$F$5:$F$3004,"""")&lt;&gt;""""),ROWS(E$5:E2563)),"""")"),"")</f>
        <v/>
      </c>
      <c r="F25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Helper'!$F$5:$F$3004,"""")&lt;&gt;""""),ROWS(F$5:F2563)),IF(AND(LEFT(x,5)=""Pag"&amp;"e "",ISERROR(SEARCH(""–"",x))),x&amp;""–""&amp;REGEXEXTRACT(x,""[0-9]+$""),x)),"""")"),"")</f>
        <v/>
      </c>
      <c r="G2563" s="163"/>
      <c r="H25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Helper'!$F$5:$F$3004,"""")&lt;&gt;""""),ROWS(H$5:H2563)),"""")"),"")</f>
        <v/>
      </c>
    </row>
    <row r="2564" ht="15.75" customHeight="1">
      <c r="A25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Helper'!$F$5:$F$3004,"""")&lt;&gt;""""),ROWS(A$5:A2564)),"""")"),"")</f>
        <v/>
      </c>
      <c r="B25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Helper'!$F$5:$F$3004,"""")&lt;&gt;""""),ROWS(B$5:B2564)),"""")"),"")</f>
        <v/>
      </c>
      <c r="C25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Helper'!$F$5:$F$3004,"""")&lt;&gt;""""),ROWS(C$5:C2564)),"""")"),"")</f>
        <v/>
      </c>
      <c r="D25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Helper'!$F$5:$F$3004,"""")&lt;&gt;""""),ROWS(D$5:D2564)),"""")"),"")</f>
        <v/>
      </c>
      <c r="E25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Helper'!$F$5:$F$3004,"""")&lt;&gt;""""),ROWS(E$5:E2564)),"""")"),"")</f>
        <v/>
      </c>
      <c r="F25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Helper'!$F$5:$F$3004,"""")&lt;&gt;""""),ROWS(F$5:F2564)),IF(AND(LEFT(x,5)=""Pag"&amp;"e "",ISERROR(SEARCH(""–"",x))),x&amp;""–""&amp;REGEXEXTRACT(x,""[0-9]+$""),x)),"""")"),"")</f>
        <v/>
      </c>
      <c r="G2564" s="163"/>
      <c r="H25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Helper'!$F$5:$F$3004,"""")&lt;&gt;""""),ROWS(H$5:H2564)),"""")"),"")</f>
        <v/>
      </c>
    </row>
    <row r="2565" ht="15.75" customHeight="1">
      <c r="A25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Helper'!$F$5:$F$3004,"""")&lt;&gt;""""),ROWS(A$5:A2565)),"""")"),"")</f>
        <v/>
      </c>
      <c r="B25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Helper'!$F$5:$F$3004,"""")&lt;&gt;""""),ROWS(B$5:B2565)),"""")"),"")</f>
        <v/>
      </c>
      <c r="C25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Helper'!$F$5:$F$3004,"""")&lt;&gt;""""),ROWS(C$5:C2565)),"""")"),"")</f>
        <v/>
      </c>
      <c r="D25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Helper'!$F$5:$F$3004,"""")&lt;&gt;""""),ROWS(D$5:D2565)),"""")"),"")</f>
        <v/>
      </c>
      <c r="E25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Helper'!$F$5:$F$3004,"""")&lt;&gt;""""),ROWS(E$5:E2565)),"""")"),"")</f>
        <v/>
      </c>
      <c r="F25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Helper'!$F$5:$F$3004,"""")&lt;&gt;""""),ROWS(F$5:F2565)),IF(AND(LEFT(x,5)=""Pag"&amp;"e "",ISERROR(SEARCH(""–"",x))),x&amp;""–""&amp;REGEXEXTRACT(x,""[0-9]+$""),x)),"""")"),"")</f>
        <v/>
      </c>
      <c r="G2565" s="163"/>
      <c r="H25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Helper'!$F$5:$F$3004,"""")&lt;&gt;""""),ROWS(H$5:H2565)),"""")"),"")</f>
        <v/>
      </c>
    </row>
    <row r="2566" ht="15.75" customHeight="1">
      <c r="A25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Helper'!$F$5:$F$3004,"""")&lt;&gt;""""),ROWS(A$5:A2566)),"""")"),"")</f>
        <v/>
      </c>
      <c r="B25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Helper'!$F$5:$F$3004,"""")&lt;&gt;""""),ROWS(B$5:B2566)),"""")"),"")</f>
        <v/>
      </c>
      <c r="C25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Helper'!$F$5:$F$3004,"""")&lt;&gt;""""),ROWS(C$5:C2566)),"""")"),"")</f>
        <v/>
      </c>
      <c r="D25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Helper'!$F$5:$F$3004,"""")&lt;&gt;""""),ROWS(D$5:D2566)),"""")"),"")</f>
        <v/>
      </c>
      <c r="E25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Helper'!$F$5:$F$3004,"""")&lt;&gt;""""),ROWS(E$5:E2566)),"""")"),"")</f>
        <v/>
      </c>
      <c r="F25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Helper'!$F$5:$F$3004,"""")&lt;&gt;""""),ROWS(F$5:F2566)),IF(AND(LEFT(x,5)=""Pag"&amp;"e "",ISERROR(SEARCH(""–"",x))),x&amp;""–""&amp;REGEXEXTRACT(x,""[0-9]+$""),x)),"""")"),"")</f>
        <v/>
      </c>
      <c r="G2566" s="163"/>
      <c r="H25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Helper'!$F$5:$F$3004,"""")&lt;&gt;""""),ROWS(H$5:H2566)),"""")"),"")</f>
        <v/>
      </c>
    </row>
    <row r="2567" ht="15.75" customHeight="1">
      <c r="A25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Helper'!$F$5:$F$3004,"""")&lt;&gt;""""),ROWS(A$5:A2567)),"""")"),"")</f>
        <v/>
      </c>
      <c r="B25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Helper'!$F$5:$F$3004,"""")&lt;&gt;""""),ROWS(B$5:B2567)),"""")"),"")</f>
        <v/>
      </c>
      <c r="C25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Helper'!$F$5:$F$3004,"""")&lt;&gt;""""),ROWS(C$5:C2567)),"""")"),"")</f>
        <v/>
      </c>
      <c r="D25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Helper'!$F$5:$F$3004,"""")&lt;&gt;""""),ROWS(D$5:D2567)),"""")"),"")</f>
        <v/>
      </c>
      <c r="E25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Helper'!$F$5:$F$3004,"""")&lt;&gt;""""),ROWS(E$5:E2567)),"""")"),"")</f>
        <v/>
      </c>
      <c r="F25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Helper'!$F$5:$F$3004,"""")&lt;&gt;""""),ROWS(F$5:F2567)),IF(AND(LEFT(x,5)=""Pag"&amp;"e "",ISERROR(SEARCH(""–"",x))),x&amp;""–""&amp;REGEXEXTRACT(x,""[0-9]+$""),x)),"""")"),"")</f>
        <v/>
      </c>
      <c r="G2567" s="163"/>
      <c r="H25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Helper'!$F$5:$F$3004,"""")&lt;&gt;""""),ROWS(H$5:H2567)),"""")"),"")</f>
        <v/>
      </c>
    </row>
    <row r="2568" ht="15.75" customHeight="1">
      <c r="A25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Helper'!$F$5:$F$3004,"""")&lt;&gt;""""),ROWS(A$5:A2568)),"""")"),"")</f>
        <v/>
      </c>
      <c r="B25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Helper'!$F$5:$F$3004,"""")&lt;&gt;""""),ROWS(B$5:B2568)),"""")"),"")</f>
        <v/>
      </c>
      <c r="C25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Helper'!$F$5:$F$3004,"""")&lt;&gt;""""),ROWS(C$5:C2568)),"""")"),"")</f>
        <v/>
      </c>
      <c r="D25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Helper'!$F$5:$F$3004,"""")&lt;&gt;""""),ROWS(D$5:D2568)),"""")"),"")</f>
        <v/>
      </c>
      <c r="E25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Helper'!$F$5:$F$3004,"""")&lt;&gt;""""),ROWS(E$5:E2568)),"""")"),"")</f>
        <v/>
      </c>
      <c r="F25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Helper'!$F$5:$F$3004,"""")&lt;&gt;""""),ROWS(F$5:F2568)),IF(AND(LEFT(x,5)=""Pag"&amp;"e "",ISERROR(SEARCH(""–"",x))),x&amp;""–""&amp;REGEXEXTRACT(x,""[0-9]+$""),x)),"""")"),"")</f>
        <v/>
      </c>
      <c r="G2568" s="163"/>
      <c r="H25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Helper'!$F$5:$F$3004,"""")&lt;&gt;""""),ROWS(H$5:H2568)),"""")"),"")</f>
        <v/>
      </c>
    </row>
    <row r="2569" ht="15.75" customHeight="1">
      <c r="A25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Helper'!$F$5:$F$3004,"""")&lt;&gt;""""),ROWS(A$5:A2569)),"""")"),"")</f>
        <v/>
      </c>
      <c r="B25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Helper'!$F$5:$F$3004,"""")&lt;&gt;""""),ROWS(B$5:B2569)),"""")"),"")</f>
        <v/>
      </c>
      <c r="C25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Helper'!$F$5:$F$3004,"""")&lt;&gt;""""),ROWS(C$5:C2569)),"""")"),"")</f>
        <v/>
      </c>
      <c r="D25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Helper'!$F$5:$F$3004,"""")&lt;&gt;""""),ROWS(D$5:D2569)),"""")"),"")</f>
        <v/>
      </c>
      <c r="E25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Helper'!$F$5:$F$3004,"""")&lt;&gt;""""),ROWS(E$5:E2569)),"""")"),"")</f>
        <v/>
      </c>
      <c r="F25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Helper'!$F$5:$F$3004,"""")&lt;&gt;""""),ROWS(F$5:F2569)),IF(AND(LEFT(x,5)=""Pag"&amp;"e "",ISERROR(SEARCH(""–"",x))),x&amp;""–""&amp;REGEXEXTRACT(x,""[0-9]+$""),x)),"""")"),"")</f>
        <v/>
      </c>
      <c r="G2569" s="163"/>
      <c r="H25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Helper'!$F$5:$F$3004,"""")&lt;&gt;""""),ROWS(H$5:H2569)),"""")"),"")</f>
        <v/>
      </c>
    </row>
    <row r="2570" ht="15.75" customHeight="1">
      <c r="A25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Helper'!$F$5:$F$3004,"""")&lt;&gt;""""),ROWS(A$5:A2570)),"""")"),"")</f>
        <v/>
      </c>
      <c r="B25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Helper'!$F$5:$F$3004,"""")&lt;&gt;""""),ROWS(B$5:B2570)),"""")"),"")</f>
        <v/>
      </c>
      <c r="C25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Helper'!$F$5:$F$3004,"""")&lt;&gt;""""),ROWS(C$5:C2570)),"""")"),"")</f>
        <v/>
      </c>
      <c r="D25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Helper'!$F$5:$F$3004,"""")&lt;&gt;""""),ROWS(D$5:D2570)),"""")"),"")</f>
        <v/>
      </c>
      <c r="E25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Helper'!$F$5:$F$3004,"""")&lt;&gt;""""),ROWS(E$5:E2570)),"""")"),"")</f>
        <v/>
      </c>
      <c r="F25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Helper'!$F$5:$F$3004,"""")&lt;&gt;""""),ROWS(F$5:F2570)),IF(AND(LEFT(x,5)=""Pag"&amp;"e "",ISERROR(SEARCH(""–"",x))),x&amp;""–""&amp;REGEXEXTRACT(x,""[0-9]+$""),x)),"""")"),"")</f>
        <v/>
      </c>
      <c r="G2570" s="163"/>
      <c r="H25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Helper'!$F$5:$F$3004,"""")&lt;&gt;""""),ROWS(H$5:H2570)),"""")"),"")</f>
        <v/>
      </c>
    </row>
    <row r="2571" ht="15.75" customHeight="1">
      <c r="A25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Helper'!$F$5:$F$3004,"""")&lt;&gt;""""),ROWS(A$5:A2571)),"""")"),"")</f>
        <v/>
      </c>
      <c r="B25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Helper'!$F$5:$F$3004,"""")&lt;&gt;""""),ROWS(B$5:B2571)),"""")"),"")</f>
        <v/>
      </c>
      <c r="C25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Helper'!$F$5:$F$3004,"""")&lt;&gt;""""),ROWS(C$5:C2571)),"""")"),"")</f>
        <v/>
      </c>
      <c r="D25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Helper'!$F$5:$F$3004,"""")&lt;&gt;""""),ROWS(D$5:D2571)),"""")"),"")</f>
        <v/>
      </c>
      <c r="E25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Helper'!$F$5:$F$3004,"""")&lt;&gt;""""),ROWS(E$5:E2571)),"""")"),"")</f>
        <v/>
      </c>
      <c r="F25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Helper'!$F$5:$F$3004,"""")&lt;&gt;""""),ROWS(F$5:F2571)),IF(AND(LEFT(x,5)=""Pag"&amp;"e "",ISERROR(SEARCH(""–"",x))),x&amp;""–""&amp;REGEXEXTRACT(x,""[0-9]+$""),x)),"""")"),"")</f>
        <v/>
      </c>
      <c r="G2571" s="163"/>
      <c r="H25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Helper'!$F$5:$F$3004,"""")&lt;&gt;""""),ROWS(H$5:H2571)),"""")"),"")</f>
        <v/>
      </c>
    </row>
    <row r="2572" ht="15.75" customHeight="1">
      <c r="A25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Helper'!$F$5:$F$3004,"""")&lt;&gt;""""),ROWS(A$5:A2572)),"""")"),"")</f>
        <v/>
      </c>
      <c r="B25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Helper'!$F$5:$F$3004,"""")&lt;&gt;""""),ROWS(B$5:B2572)),"""")"),"")</f>
        <v/>
      </c>
      <c r="C25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Helper'!$F$5:$F$3004,"""")&lt;&gt;""""),ROWS(C$5:C2572)),"""")"),"")</f>
        <v/>
      </c>
      <c r="D25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Helper'!$F$5:$F$3004,"""")&lt;&gt;""""),ROWS(D$5:D2572)),"""")"),"")</f>
        <v/>
      </c>
      <c r="E25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Helper'!$F$5:$F$3004,"""")&lt;&gt;""""),ROWS(E$5:E2572)),"""")"),"")</f>
        <v/>
      </c>
      <c r="F25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Helper'!$F$5:$F$3004,"""")&lt;&gt;""""),ROWS(F$5:F2572)),IF(AND(LEFT(x,5)=""Pag"&amp;"e "",ISERROR(SEARCH(""–"",x))),x&amp;""–""&amp;REGEXEXTRACT(x,""[0-9]+$""),x)),"""")"),"")</f>
        <v/>
      </c>
      <c r="G2572" s="163"/>
      <c r="H25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Helper'!$F$5:$F$3004,"""")&lt;&gt;""""),ROWS(H$5:H2572)),"""")"),"")</f>
        <v/>
      </c>
    </row>
    <row r="2573" ht="15.75" customHeight="1">
      <c r="A25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Helper'!$F$5:$F$3004,"""")&lt;&gt;""""),ROWS(A$5:A2573)),"""")"),"")</f>
        <v/>
      </c>
      <c r="B25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Helper'!$F$5:$F$3004,"""")&lt;&gt;""""),ROWS(B$5:B2573)),"""")"),"")</f>
        <v/>
      </c>
      <c r="C25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Helper'!$F$5:$F$3004,"""")&lt;&gt;""""),ROWS(C$5:C2573)),"""")"),"")</f>
        <v/>
      </c>
      <c r="D25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Helper'!$F$5:$F$3004,"""")&lt;&gt;""""),ROWS(D$5:D2573)),"""")"),"")</f>
        <v/>
      </c>
      <c r="E25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Helper'!$F$5:$F$3004,"""")&lt;&gt;""""),ROWS(E$5:E2573)),"""")"),"")</f>
        <v/>
      </c>
      <c r="F25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Helper'!$F$5:$F$3004,"""")&lt;&gt;""""),ROWS(F$5:F2573)),IF(AND(LEFT(x,5)=""Pag"&amp;"e "",ISERROR(SEARCH(""–"",x))),x&amp;""–""&amp;REGEXEXTRACT(x,""[0-9]+$""),x)),"""")"),"")</f>
        <v/>
      </c>
      <c r="G2573" s="163"/>
      <c r="H25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Helper'!$F$5:$F$3004,"""")&lt;&gt;""""),ROWS(H$5:H2573)),"""")"),"")</f>
        <v/>
      </c>
    </row>
    <row r="2574" ht="15.75" customHeight="1">
      <c r="A25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Helper'!$F$5:$F$3004,"""")&lt;&gt;""""),ROWS(A$5:A2574)),"""")"),"")</f>
        <v/>
      </c>
      <c r="B25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Helper'!$F$5:$F$3004,"""")&lt;&gt;""""),ROWS(B$5:B2574)),"""")"),"")</f>
        <v/>
      </c>
      <c r="C25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Helper'!$F$5:$F$3004,"""")&lt;&gt;""""),ROWS(C$5:C2574)),"""")"),"")</f>
        <v/>
      </c>
      <c r="D25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Helper'!$F$5:$F$3004,"""")&lt;&gt;""""),ROWS(D$5:D2574)),"""")"),"")</f>
        <v/>
      </c>
      <c r="E25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Helper'!$F$5:$F$3004,"""")&lt;&gt;""""),ROWS(E$5:E2574)),"""")"),"")</f>
        <v/>
      </c>
      <c r="F25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Helper'!$F$5:$F$3004,"""")&lt;&gt;""""),ROWS(F$5:F2574)),IF(AND(LEFT(x,5)=""Pag"&amp;"e "",ISERROR(SEARCH(""–"",x))),x&amp;""–""&amp;REGEXEXTRACT(x,""[0-9]+$""),x)),"""")"),"")</f>
        <v/>
      </c>
      <c r="G2574" s="163"/>
      <c r="H25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Helper'!$F$5:$F$3004,"""")&lt;&gt;""""),ROWS(H$5:H2574)),"""")"),"")</f>
        <v/>
      </c>
    </row>
    <row r="2575" ht="15.75" customHeight="1">
      <c r="A25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Helper'!$F$5:$F$3004,"""")&lt;&gt;""""),ROWS(A$5:A2575)),"""")"),"")</f>
        <v/>
      </c>
      <c r="B25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Helper'!$F$5:$F$3004,"""")&lt;&gt;""""),ROWS(B$5:B2575)),"""")"),"")</f>
        <v/>
      </c>
      <c r="C25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Helper'!$F$5:$F$3004,"""")&lt;&gt;""""),ROWS(C$5:C2575)),"""")"),"")</f>
        <v/>
      </c>
      <c r="D25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Helper'!$F$5:$F$3004,"""")&lt;&gt;""""),ROWS(D$5:D2575)),"""")"),"")</f>
        <v/>
      </c>
      <c r="E25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Helper'!$F$5:$F$3004,"""")&lt;&gt;""""),ROWS(E$5:E2575)),"""")"),"")</f>
        <v/>
      </c>
      <c r="F25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Helper'!$F$5:$F$3004,"""")&lt;&gt;""""),ROWS(F$5:F2575)),IF(AND(LEFT(x,5)=""Pag"&amp;"e "",ISERROR(SEARCH(""–"",x))),x&amp;""–""&amp;REGEXEXTRACT(x,""[0-9]+$""),x)),"""")"),"")</f>
        <v/>
      </c>
      <c r="G2575" s="163"/>
      <c r="H25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Helper'!$F$5:$F$3004,"""")&lt;&gt;""""),ROWS(H$5:H2575)),"""")"),"")</f>
        <v/>
      </c>
    </row>
    <row r="2576" ht="15.75" customHeight="1">
      <c r="A25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Helper'!$F$5:$F$3004,"""")&lt;&gt;""""),ROWS(A$5:A2576)),"""")"),"")</f>
        <v/>
      </c>
      <c r="B25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Helper'!$F$5:$F$3004,"""")&lt;&gt;""""),ROWS(B$5:B2576)),"""")"),"")</f>
        <v/>
      </c>
      <c r="C25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Helper'!$F$5:$F$3004,"""")&lt;&gt;""""),ROWS(C$5:C2576)),"""")"),"")</f>
        <v/>
      </c>
      <c r="D25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Helper'!$F$5:$F$3004,"""")&lt;&gt;""""),ROWS(D$5:D2576)),"""")"),"")</f>
        <v/>
      </c>
      <c r="E25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Helper'!$F$5:$F$3004,"""")&lt;&gt;""""),ROWS(E$5:E2576)),"""")"),"")</f>
        <v/>
      </c>
      <c r="F25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Helper'!$F$5:$F$3004,"""")&lt;&gt;""""),ROWS(F$5:F2576)),IF(AND(LEFT(x,5)=""Pag"&amp;"e "",ISERROR(SEARCH(""–"",x))),x&amp;""–""&amp;REGEXEXTRACT(x,""[0-9]+$""),x)),"""")"),"")</f>
        <v/>
      </c>
      <c r="G2576" s="163"/>
      <c r="H25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Helper'!$F$5:$F$3004,"""")&lt;&gt;""""),ROWS(H$5:H2576)),"""")"),"")</f>
        <v/>
      </c>
    </row>
    <row r="2577" ht="15.75" customHeight="1">
      <c r="A25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Helper'!$F$5:$F$3004,"""")&lt;&gt;""""),ROWS(A$5:A2577)),"""")"),"")</f>
        <v/>
      </c>
      <c r="B25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Helper'!$F$5:$F$3004,"""")&lt;&gt;""""),ROWS(B$5:B2577)),"""")"),"")</f>
        <v/>
      </c>
      <c r="C25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Helper'!$F$5:$F$3004,"""")&lt;&gt;""""),ROWS(C$5:C2577)),"""")"),"")</f>
        <v/>
      </c>
      <c r="D25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Helper'!$F$5:$F$3004,"""")&lt;&gt;""""),ROWS(D$5:D2577)),"""")"),"")</f>
        <v/>
      </c>
      <c r="E25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Helper'!$F$5:$F$3004,"""")&lt;&gt;""""),ROWS(E$5:E2577)),"""")"),"")</f>
        <v/>
      </c>
      <c r="F25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Helper'!$F$5:$F$3004,"""")&lt;&gt;""""),ROWS(F$5:F2577)),IF(AND(LEFT(x,5)=""Pag"&amp;"e "",ISERROR(SEARCH(""–"",x))),x&amp;""–""&amp;REGEXEXTRACT(x,""[0-9]+$""),x)),"""")"),"")</f>
        <v/>
      </c>
      <c r="G2577" s="163"/>
      <c r="H25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Helper'!$F$5:$F$3004,"""")&lt;&gt;""""),ROWS(H$5:H2577)),"""")"),"")</f>
        <v/>
      </c>
    </row>
    <row r="2578" ht="15.75" customHeight="1">
      <c r="A25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Helper'!$F$5:$F$3004,"""")&lt;&gt;""""),ROWS(A$5:A2578)),"""")"),"")</f>
        <v/>
      </c>
      <c r="B25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Helper'!$F$5:$F$3004,"""")&lt;&gt;""""),ROWS(B$5:B2578)),"""")"),"")</f>
        <v/>
      </c>
      <c r="C25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Helper'!$F$5:$F$3004,"""")&lt;&gt;""""),ROWS(C$5:C2578)),"""")"),"")</f>
        <v/>
      </c>
      <c r="D25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Helper'!$F$5:$F$3004,"""")&lt;&gt;""""),ROWS(D$5:D2578)),"""")"),"")</f>
        <v/>
      </c>
      <c r="E25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Helper'!$F$5:$F$3004,"""")&lt;&gt;""""),ROWS(E$5:E2578)),"""")"),"")</f>
        <v/>
      </c>
      <c r="F25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Helper'!$F$5:$F$3004,"""")&lt;&gt;""""),ROWS(F$5:F2578)),IF(AND(LEFT(x,5)=""Pag"&amp;"e "",ISERROR(SEARCH(""–"",x))),x&amp;""–""&amp;REGEXEXTRACT(x,""[0-9]+$""),x)),"""")"),"")</f>
        <v/>
      </c>
      <c r="G2578" s="163"/>
      <c r="H25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Helper'!$F$5:$F$3004,"""")&lt;&gt;""""),ROWS(H$5:H2578)),"""")"),"")</f>
        <v/>
      </c>
    </row>
    <row r="2579" ht="15.75" customHeight="1">
      <c r="A25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Helper'!$F$5:$F$3004,"""")&lt;&gt;""""),ROWS(A$5:A2579)),"""")"),"")</f>
        <v/>
      </c>
      <c r="B25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Helper'!$F$5:$F$3004,"""")&lt;&gt;""""),ROWS(B$5:B2579)),"""")"),"")</f>
        <v/>
      </c>
      <c r="C25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Helper'!$F$5:$F$3004,"""")&lt;&gt;""""),ROWS(C$5:C2579)),"""")"),"")</f>
        <v/>
      </c>
      <c r="D25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Helper'!$F$5:$F$3004,"""")&lt;&gt;""""),ROWS(D$5:D2579)),"""")"),"")</f>
        <v/>
      </c>
      <c r="E25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Helper'!$F$5:$F$3004,"""")&lt;&gt;""""),ROWS(E$5:E2579)),"""")"),"")</f>
        <v/>
      </c>
      <c r="F25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Helper'!$F$5:$F$3004,"""")&lt;&gt;""""),ROWS(F$5:F2579)),IF(AND(LEFT(x,5)=""Pag"&amp;"e "",ISERROR(SEARCH(""–"",x))),x&amp;""–""&amp;REGEXEXTRACT(x,""[0-9]+$""),x)),"""")"),"")</f>
        <v/>
      </c>
      <c r="G2579" s="163"/>
      <c r="H25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Helper'!$F$5:$F$3004,"""")&lt;&gt;""""),ROWS(H$5:H2579)),"""")"),"")</f>
        <v/>
      </c>
    </row>
    <row r="2580" ht="15.75" customHeight="1">
      <c r="A25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Helper'!$F$5:$F$3004,"""")&lt;&gt;""""),ROWS(A$5:A2580)),"""")"),"")</f>
        <v/>
      </c>
      <c r="B25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Helper'!$F$5:$F$3004,"""")&lt;&gt;""""),ROWS(B$5:B2580)),"""")"),"")</f>
        <v/>
      </c>
      <c r="C25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Helper'!$F$5:$F$3004,"""")&lt;&gt;""""),ROWS(C$5:C2580)),"""")"),"")</f>
        <v/>
      </c>
      <c r="D25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Helper'!$F$5:$F$3004,"""")&lt;&gt;""""),ROWS(D$5:D2580)),"""")"),"")</f>
        <v/>
      </c>
      <c r="E25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Helper'!$F$5:$F$3004,"""")&lt;&gt;""""),ROWS(E$5:E2580)),"""")"),"")</f>
        <v/>
      </c>
      <c r="F25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Helper'!$F$5:$F$3004,"""")&lt;&gt;""""),ROWS(F$5:F2580)),IF(AND(LEFT(x,5)=""Pag"&amp;"e "",ISERROR(SEARCH(""–"",x))),x&amp;""–""&amp;REGEXEXTRACT(x,""[0-9]+$""),x)),"""")"),"")</f>
        <v/>
      </c>
      <c r="G2580" s="163"/>
      <c r="H25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Helper'!$F$5:$F$3004,"""")&lt;&gt;""""),ROWS(H$5:H2580)),"""")"),"")</f>
        <v/>
      </c>
    </row>
    <row r="2581" ht="15.75" customHeight="1">
      <c r="A25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Helper'!$F$5:$F$3004,"""")&lt;&gt;""""),ROWS(A$5:A2581)),"""")"),"")</f>
        <v/>
      </c>
      <c r="B25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Helper'!$F$5:$F$3004,"""")&lt;&gt;""""),ROWS(B$5:B2581)),"""")"),"")</f>
        <v/>
      </c>
      <c r="C25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Helper'!$F$5:$F$3004,"""")&lt;&gt;""""),ROWS(C$5:C2581)),"""")"),"")</f>
        <v/>
      </c>
      <c r="D25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Helper'!$F$5:$F$3004,"""")&lt;&gt;""""),ROWS(D$5:D2581)),"""")"),"")</f>
        <v/>
      </c>
      <c r="E25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Helper'!$F$5:$F$3004,"""")&lt;&gt;""""),ROWS(E$5:E2581)),"""")"),"")</f>
        <v/>
      </c>
      <c r="F25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Helper'!$F$5:$F$3004,"""")&lt;&gt;""""),ROWS(F$5:F2581)),IF(AND(LEFT(x,5)=""Pag"&amp;"e "",ISERROR(SEARCH(""–"",x))),x&amp;""–""&amp;REGEXEXTRACT(x,""[0-9]+$""),x)),"""")"),"")</f>
        <v/>
      </c>
      <c r="G2581" s="163"/>
      <c r="H25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Helper'!$F$5:$F$3004,"""")&lt;&gt;""""),ROWS(H$5:H2581)),"""")"),"")</f>
        <v/>
      </c>
    </row>
    <row r="2582" ht="15.75" customHeight="1">
      <c r="A25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Helper'!$F$5:$F$3004,"""")&lt;&gt;""""),ROWS(A$5:A2582)),"""")"),"")</f>
        <v/>
      </c>
      <c r="B25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Helper'!$F$5:$F$3004,"""")&lt;&gt;""""),ROWS(B$5:B2582)),"""")"),"")</f>
        <v/>
      </c>
      <c r="C25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Helper'!$F$5:$F$3004,"""")&lt;&gt;""""),ROWS(C$5:C2582)),"""")"),"")</f>
        <v/>
      </c>
      <c r="D25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Helper'!$F$5:$F$3004,"""")&lt;&gt;""""),ROWS(D$5:D2582)),"""")"),"")</f>
        <v/>
      </c>
      <c r="E25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Helper'!$F$5:$F$3004,"""")&lt;&gt;""""),ROWS(E$5:E2582)),"""")"),"")</f>
        <v/>
      </c>
      <c r="F25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Helper'!$F$5:$F$3004,"""")&lt;&gt;""""),ROWS(F$5:F2582)),IF(AND(LEFT(x,5)=""Pag"&amp;"e "",ISERROR(SEARCH(""–"",x))),x&amp;""–""&amp;REGEXEXTRACT(x,""[0-9]+$""),x)),"""")"),"")</f>
        <v/>
      </c>
      <c r="G2582" s="163"/>
      <c r="H25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Helper'!$F$5:$F$3004,"""")&lt;&gt;""""),ROWS(H$5:H2582)),"""")"),"")</f>
        <v/>
      </c>
    </row>
    <row r="2583" ht="15.75" customHeight="1">
      <c r="A25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Helper'!$F$5:$F$3004,"""")&lt;&gt;""""),ROWS(A$5:A2583)),"""")"),"")</f>
        <v/>
      </c>
      <c r="B25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Helper'!$F$5:$F$3004,"""")&lt;&gt;""""),ROWS(B$5:B2583)),"""")"),"")</f>
        <v/>
      </c>
      <c r="C25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Helper'!$F$5:$F$3004,"""")&lt;&gt;""""),ROWS(C$5:C2583)),"""")"),"")</f>
        <v/>
      </c>
      <c r="D25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Helper'!$F$5:$F$3004,"""")&lt;&gt;""""),ROWS(D$5:D2583)),"""")"),"")</f>
        <v/>
      </c>
      <c r="E25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Helper'!$F$5:$F$3004,"""")&lt;&gt;""""),ROWS(E$5:E2583)),"""")"),"")</f>
        <v/>
      </c>
      <c r="F25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Helper'!$F$5:$F$3004,"""")&lt;&gt;""""),ROWS(F$5:F2583)),IF(AND(LEFT(x,5)=""Pag"&amp;"e "",ISERROR(SEARCH(""–"",x))),x&amp;""–""&amp;REGEXEXTRACT(x,""[0-9]+$""),x)),"""")"),"")</f>
        <v/>
      </c>
      <c r="G2583" s="163"/>
      <c r="H25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Helper'!$F$5:$F$3004,"""")&lt;&gt;""""),ROWS(H$5:H2583)),"""")"),"")</f>
        <v/>
      </c>
    </row>
    <row r="2584" ht="15.75" customHeight="1">
      <c r="A25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Helper'!$F$5:$F$3004,"""")&lt;&gt;""""),ROWS(A$5:A2584)),"""")"),"")</f>
        <v/>
      </c>
      <c r="B25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Helper'!$F$5:$F$3004,"""")&lt;&gt;""""),ROWS(B$5:B2584)),"""")"),"")</f>
        <v/>
      </c>
      <c r="C25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Helper'!$F$5:$F$3004,"""")&lt;&gt;""""),ROWS(C$5:C2584)),"""")"),"")</f>
        <v/>
      </c>
      <c r="D25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Helper'!$F$5:$F$3004,"""")&lt;&gt;""""),ROWS(D$5:D2584)),"""")"),"")</f>
        <v/>
      </c>
      <c r="E25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Helper'!$F$5:$F$3004,"""")&lt;&gt;""""),ROWS(E$5:E2584)),"""")"),"")</f>
        <v/>
      </c>
      <c r="F25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Helper'!$F$5:$F$3004,"""")&lt;&gt;""""),ROWS(F$5:F2584)),IF(AND(LEFT(x,5)=""Pag"&amp;"e "",ISERROR(SEARCH(""–"",x))),x&amp;""–""&amp;REGEXEXTRACT(x,""[0-9]+$""),x)),"""")"),"")</f>
        <v/>
      </c>
      <c r="G2584" s="163"/>
      <c r="H25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Helper'!$F$5:$F$3004,"""")&lt;&gt;""""),ROWS(H$5:H2584)),"""")"),"")</f>
        <v/>
      </c>
    </row>
    <row r="2585" ht="15.75" customHeight="1">
      <c r="A25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Helper'!$F$5:$F$3004,"""")&lt;&gt;""""),ROWS(A$5:A2585)),"""")"),"")</f>
        <v/>
      </c>
      <c r="B25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Helper'!$F$5:$F$3004,"""")&lt;&gt;""""),ROWS(B$5:B2585)),"""")"),"")</f>
        <v/>
      </c>
      <c r="C25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Helper'!$F$5:$F$3004,"""")&lt;&gt;""""),ROWS(C$5:C2585)),"""")"),"")</f>
        <v/>
      </c>
      <c r="D25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Helper'!$F$5:$F$3004,"""")&lt;&gt;""""),ROWS(D$5:D2585)),"""")"),"")</f>
        <v/>
      </c>
      <c r="E25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Helper'!$F$5:$F$3004,"""")&lt;&gt;""""),ROWS(E$5:E2585)),"""")"),"")</f>
        <v/>
      </c>
      <c r="F25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Helper'!$F$5:$F$3004,"""")&lt;&gt;""""),ROWS(F$5:F2585)),IF(AND(LEFT(x,5)=""Pag"&amp;"e "",ISERROR(SEARCH(""–"",x))),x&amp;""–""&amp;REGEXEXTRACT(x,""[0-9]+$""),x)),"""")"),"")</f>
        <v/>
      </c>
      <c r="G2585" s="163"/>
      <c r="H25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Helper'!$F$5:$F$3004,"""")&lt;&gt;""""),ROWS(H$5:H2585)),"""")"),"")</f>
        <v/>
      </c>
    </row>
    <row r="2586" ht="15.75" customHeight="1">
      <c r="A25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Helper'!$F$5:$F$3004,"""")&lt;&gt;""""),ROWS(A$5:A2586)),"""")"),"")</f>
        <v/>
      </c>
      <c r="B25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Helper'!$F$5:$F$3004,"""")&lt;&gt;""""),ROWS(B$5:B2586)),"""")"),"")</f>
        <v/>
      </c>
      <c r="C25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Helper'!$F$5:$F$3004,"""")&lt;&gt;""""),ROWS(C$5:C2586)),"""")"),"")</f>
        <v/>
      </c>
      <c r="D25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Helper'!$F$5:$F$3004,"""")&lt;&gt;""""),ROWS(D$5:D2586)),"""")"),"")</f>
        <v/>
      </c>
      <c r="E25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Helper'!$F$5:$F$3004,"""")&lt;&gt;""""),ROWS(E$5:E2586)),"""")"),"")</f>
        <v/>
      </c>
      <c r="F25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Helper'!$F$5:$F$3004,"""")&lt;&gt;""""),ROWS(F$5:F2586)),IF(AND(LEFT(x,5)=""Pag"&amp;"e "",ISERROR(SEARCH(""–"",x))),x&amp;""–""&amp;REGEXEXTRACT(x,""[0-9]+$""),x)),"""")"),"")</f>
        <v/>
      </c>
      <c r="G2586" s="163"/>
      <c r="H25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Helper'!$F$5:$F$3004,"""")&lt;&gt;""""),ROWS(H$5:H2586)),"""")"),"")</f>
        <v/>
      </c>
    </row>
    <row r="2587" ht="15.75" customHeight="1">
      <c r="A25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Helper'!$F$5:$F$3004,"""")&lt;&gt;""""),ROWS(A$5:A2587)),"""")"),"")</f>
        <v/>
      </c>
      <c r="B25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Helper'!$F$5:$F$3004,"""")&lt;&gt;""""),ROWS(B$5:B2587)),"""")"),"")</f>
        <v/>
      </c>
      <c r="C25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Helper'!$F$5:$F$3004,"""")&lt;&gt;""""),ROWS(C$5:C2587)),"""")"),"")</f>
        <v/>
      </c>
      <c r="D25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Helper'!$F$5:$F$3004,"""")&lt;&gt;""""),ROWS(D$5:D2587)),"""")"),"")</f>
        <v/>
      </c>
      <c r="E25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Helper'!$F$5:$F$3004,"""")&lt;&gt;""""),ROWS(E$5:E2587)),"""")"),"")</f>
        <v/>
      </c>
      <c r="F25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Helper'!$F$5:$F$3004,"""")&lt;&gt;""""),ROWS(F$5:F2587)),IF(AND(LEFT(x,5)=""Pag"&amp;"e "",ISERROR(SEARCH(""–"",x))),x&amp;""–""&amp;REGEXEXTRACT(x,""[0-9]+$""),x)),"""")"),"")</f>
        <v/>
      </c>
      <c r="G2587" s="163"/>
      <c r="H25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Helper'!$F$5:$F$3004,"""")&lt;&gt;""""),ROWS(H$5:H2587)),"""")"),"")</f>
        <v/>
      </c>
    </row>
    <row r="2588" ht="15.75" customHeight="1">
      <c r="A25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Helper'!$F$5:$F$3004,"""")&lt;&gt;""""),ROWS(A$5:A2588)),"""")"),"")</f>
        <v/>
      </c>
      <c r="B25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Helper'!$F$5:$F$3004,"""")&lt;&gt;""""),ROWS(B$5:B2588)),"""")"),"")</f>
        <v/>
      </c>
      <c r="C25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Helper'!$F$5:$F$3004,"""")&lt;&gt;""""),ROWS(C$5:C2588)),"""")"),"")</f>
        <v/>
      </c>
      <c r="D25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Helper'!$F$5:$F$3004,"""")&lt;&gt;""""),ROWS(D$5:D2588)),"""")"),"")</f>
        <v/>
      </c>
      <c r="E25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Helper'!$F$5:$F$3004,"""")&lt;&gt;""""),ROWS(E$5:E2588)),"""")"),"")</f>
        <v/>
      </c>
      <c r="F25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Helper'!$F$5:$F$3004,"""")&lt;&gt;""""),ROWS(F$5:F2588)),IF(AND(LEFT(x,5)=""Pag"&amp;"e "",ISERROR(SEARCH(""–"",x))),x&amp;""–""&amp;REGEXEXTRACT(x,""[0-9]+$""),x)),"""")"),"")</f>
        <v/>
      </c>
      <c r="G2588" s="163"/>
      <c r="H25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Helper'!$F$5:$F$3004,"""")&lt;&gt;""""),ROWS(H$5:H2588)),"""")"),"")</f>
        <v/>
      </c>
    </row>
    <row r="2589" ht="15.75" customHeight="1">
      <c r="A25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Helper'!$F$5:$F$3004,"""")&lt;&gt;""""),ROWS(A$5:A2589)),"""")"),"")</f>
        <v/>
      </c>
      <c r="B25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Helper'!$F$5:$F$3004,"""")&lt;&gt;""""),ROWS(B$5:B2589)),"""")"),"")</f>
        <v/>
      </c>
      <c r="C25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Helper'!$F$5:$F$3004,"""")&lt;&gt;""""),ROWS(C$5:C2589)),"""")"),"")</f>
        <v/>
      </c>
      <c r="D25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Helper'!$F$5:$F$3004,"""")&lt;&gt;""""),ROWS(D$5:D2589)),"""")"),"")</f>
        <v/>
      </c>
      <c r="E25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Helper'!$F$5:$F$3004,"""")&lt;&gt;""""),ROWS(E$5:E2589)),"""")"),"")</f>
        <v/>
      </c>
      <c r="F25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Helper'!$F$5:$F$3004,"""")&lt;&gt;""""),ROWS(F$5:F2589)),IF(AND(LEFT(x,5)=""Pag"&amp;"e "",ISERROR(SEARCH(""–"",x))),x&amp;""–""&amp;REGEXEXTRACT(x,""[0-9]+$""),x)),"""")"),"")</f>
        <v/>
      </c>
      <c r="G2589" s="163"/>
      <c r="H25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Helper'!$F$5:$F$3004,"""")&lt;&gt;""""),ROWS(H$5:H2589)),"""")"),"")</f>
        <v/>
      </c>
    </row>
    <row r="2590" ht="15.75" customHeight="1">
      <c r="A25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Helper'!$F$5:$F$3004,"""")&lt;&gt;""""),ROWS(A$5:A2590)),"""")"),"")</f>
        <v/>
      </c>
      <c r="B25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Helper'!$F$5:$F$3004,"""")&lt;&gt;""""),ROWS(B$5:B2590)),"""")"),"")</f>
        <v/>
      </c>
      <c r="C25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Helper'!$F$5:$F$3004,"""")&lt;&gt;""""),ROWS(C$5:C2590)),"""")"),"")</f>
        <v/>
      </c>
      <c r="D25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Helper'!$F$5:$F$3004,"""")&lt;&gt;""""),ROWS(D$5:D2590)),"""")"),"")</f>
        <v/>
      </c>
      <c r="E25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Helper'!$F$5:$F$3004,"""")&lt;&gt;""""),ROWS(E$5:E2590)),"""")"),"")</f>
        <v/>
      </c>
      <c r="F25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Helper'!$F$5:$F$3004,"""")&lt;&gt;""""),ROWS(F$5:F2590)),IF(AND(LEFT(x,5)=""Pag"&amp;"e "",ISERROR(SEARCH(""–"",x))),x&amp;""–""&amp;REGEXEXTRACT(x,""[0-9]+$""),x)),"""")"),"")</f>
        <v/>
      </c>
      <c r="G2590" s="163"/>
      <c r="H25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Helper'!$F$5:$F$3004,"""")&lt;&gt;""""),ROWS(H$5:H2590)),"""")"),"")</f>
        <v/>
      </c>
    </row>
    <row r="2591" ht="15.75" customHeight="1">
      <c r="A25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Helper'!$F$5:$F$3004,"""")&lt;&gt;""""),ROWS(A$5:A2591)),"""")"),"")</f>
        <v/>
      </c>
      <c r="B25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Helper'!$F$5:$F$3004,"""")&lt;&gt;""""),ROWS(B$5:B2591)),"""")"),"")</f>
        <v/>
      </c>
      <c r="C25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Helper'!$F$5:$F$3004,"""")&lt;&gt;""""),ROWS(C$5:C2591)),"""")"),"")</f>
        <v/>
      </c>
      <c r="D25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Helper'!$F$5:$F$3004,"""")&lt;&gt;""""),ROWS(D$5:D2591)),"""")"),"")</f>
        <v/>
      </c>
      <c r="E25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Helper'!$F$5:$F$3004,"""")&lt;&gt;""""),ROWS(E$5:E2591)),"""")"),"")</f>
        <v/>
      </c>
      <c r="F25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Helper'!$F$5:$F$3004,"""")&lt;&gt;""""),ROWS(F$5:F2591)),IF(AND(LEFT(x,5)=""Pag"&amp;"e "",ISERROR(SEARCH(""–"",x))),x&amp;""–""&amp;REGEXEXTRACT(x,""[0-9]+$""),x)),"""")"),"")</f>
        <v/>
      </c>
      <c r="G2591" s="163"/>
      <c r="H25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Helper'!$F$5:$F$3004,"""")&lt;&gt;""""),ROWS(H$5:H2591)),"""")"),"")</f>
        <v/>
      </c>
    </row>
    <row r="2592" ht="15.75" customHeight="1">
      <c r="A25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Helper'!$F$5:$F$3004,"""")&lt;&gt;""""),ROWS(A$5:A2592)),"""")"),"")</f>
        <v/>
      </c>
      <c r="B25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Helper'!$F$5:$F$3004,"""")&lt;&gt;""""),ROWS(B$5:B2592)),"""")"),"")</f>
        <v/>
      </c>
      <c r="C25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Helper'!$F$5:$F$3004,"""")&lt;&gt;""""),ROWS(C$5:C2592)),"""")"),"")</f>
        <v/>
      </c>
      <c r="D25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Helper'!$F$5:$F$3004,"""")&lt;&gt;""""),ROWS(D$5:D2592)),"""")"),"")</f>
        <v/>
      </c>
      <c r="E25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Helper'!$F$5:$F$3004,"""")&lt;&gt;""""),ROWS(E$5:E2592)),"""")"),"")</f>
        <v/>
      </c>
      <c r="F25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Helper'!$F$5:$F$3004,"""")&lt;&gt;""""),ROWS(F$5:F2592)),IF(AND(LEFT(x,5)=""Pag"&amp;"e "",ISERROR(SEARCH(""–"",x))),x&amp;""–""&amp;REGEXEXTRACT(x,""[0-9]+$""),x)),"""")"),"")</f>
        <v/>
      </c>
      <c r="G2592" s="163"/>
      <c r="H25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Helper'!$F$5:$F$3004,"""")&lt;&gt;""""),ROWS(H$5:H2592)),"""")"),"")</f>
        <v/>
      </c>
    </row>
    <row r="2593" ht="15.75" customHeight="1">
      <c r="A25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Helper'!$F$5:$F$3004,"""")&lt;&gt;""""),ROWS(A$5:A2593)),"""")"),"")</f>
        <v/>
      </c>
      <c r="B25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Helper'!$F$5:$F$3004,"""")&lt;&gt;""""),ROWS(B$5:B2593)),"""")"),"")</f>
        <v/>
      </c>
      <c r="C25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Helper'!$F$5:$F$3004,"""")&lt;&gt;""""),ROWS(C$5:C2593)),"""")"),"")</f>
        <v/>
      </c>
      <c r="D25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Helper'!$F$5:$F$3004,"""")&lt;&gt;""""),ROWS(D$5:D2593)),"""")"),"")</f>
        <v/>
      </c>
      <c r="E25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Helper'!$F$5:$F$3004,"""")&lt;&gt;""""),ROWS(E$5:E2593)),"""")"),"")</f>
        <v/>
      </c>
      <c r="F25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Helper'!$F$5:$F$3004,"""")&lt;&gt;""""),ROWS(F$5:F2593)),IF(AND(LEFT(x,5)=""Pag"&amp;"e "",ISERROR(SEARCH(""–"",x))),x&amp;""–""&amp;REGEXEXTRACT(x,""[0-9]+$""),x)),"""")"),"")</f>
        <v/>
      </c>
      <c r="G2593" s="163"/>
      <c r="H25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Helper'!$F$5:$F$3004,"""")&lt;&gt;""""),ROWS(H$5:H2593)),"""")"),"")</f>
        <v/>
      </c>
    </row>
    <row r="2594" ht="15.75" customHeight="1">
      <c r="A25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Helper'!$F$5:$F$3004,"""")&lt;&gt;""""),ROWS(A$5:A2594)),"""")"),"")</f>
        <v/>
      </c>
      <c r="B25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Helper'!$F$5:$F$3004,"""")&lt;&gt;""""),ROWS(B$5:B2594)),"""")"),"")</f>
        <v/>
      </c>
      <c r="C25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Helper'!$F$5:$F$3004,"""")&lt;&gt;""""),ROWS(C$5:C2594)),"""")"),"")</f>
        <v/>
      </c>
      <c r="D25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Helper'!$F$5:$F$3004,"""")&lt;&gt;""""),ROWS(D$5:D2594)),"""")"),"")</f>
        <v/>
      </c>
      <c r="E25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Helper'!$F$5:$F$3004,"""")&lt;&gt;""""),ROWS(E$5:E2594)),"""")"),"")</f>
        <v/>
      </c>
      <c r="F25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Helper'!$F$5:$F$3004,"""")&lt;&gt;""""),ROWS(F$5:F2594)),IF(AND(LEFT(x,5)=""Pag"&amp;"e "",ISERROR(SEARCH(""–"",x))),x&amp;""–""&amp;REGEXEXTRACT(x,""[0-9]+$""),x)),"""")"),"")</f>
        <v/>
      </c>
      <c r="G2594" s="163"/>
      <c r="H25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Helper'!$F$5:$F$3004,"""")&lt;&gt;""""),ROWS(H$5:H2594)),"""")"),"")</f>
        <v/>
      </c>
    </row>
    <row r="2595" ht="15.75" customHeight="1">
      <c r="A25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Helper'!$F$5:$F$3004,"""")&lt;&gt;""""),ROWS(A$5:A2595)),"""")"),"")</f>
        <v/>
      </c>
      <c r="B25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Helper'!$F$5:$F$3004,"""")&lt;&gt;""""),ROWS(B$5:B2595)),"""")"),"")</f>
        <v/>
      </c>
      <c r="C25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Helper'!$F$5:$F$3004,"""")&lt;&gt;""""),ROWS(C$5:C2595)),"""")"),"")</f>
        <v/>
      </c>
      <c r="D25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Helper'!$F$5:$F$3004,"""")&lt;&gt;""""),ROWS(D$5:D2595)),"""")"),"")</f>
        <v/>
      </c>
      <c r="E25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Helper'!$F$5:$F$3004,"""")&lt;&gt;""""),ROWS(E$5:E2595)),"""")"),"")</f>
        <v/>
      </c>
      <c r="F25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Helper'!$F$5:$F$3004,"""")&lt;&gt;""""),ROWS(F$5:F2595)),IF(AND(LEFT(x,5)=""Pag"&amp;"e "",ISERROR(SEARCH(""–"",x))),x&amp;""–""&amp;REGEXEXTRACT(x,""[0-9]+$""),x)),"""")"),"")</f>
        <v/>
      </c>
      <c r="G2595" s="163"/>
      <c r="H25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Helper'!$F$5:$F$3004,"""")&lt;&gt;""""),ROWS(H$5:H2595)),"""")"),"")</f>
        <v/>
      </c>
    </row>
    <row r="2596" ht="15.75" customHeight="1">
      <c r="A25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Helper'!$F$5:$F$3004,"""")&lt;&gt;""""),ROWS(A$5:A2596)),"""")"),"")</f>
        <v/>
      </c>
      <c r="B25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Helper'!$F$5:$F$3004,"""")&lt;&gt;""""),ROWS(B$5:B2596)),"""")"),"")</f>
        <v/>
      </c>
      <c r="C25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Helper'!$F$5:$F$3004,"""")&lt;&gt;""""),ROWS(C$5:C2596)),"""")"),"")</f>
        <v/>
      </c>
      <c r="D25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Helper'!$F$5:$F$3004,"""")&lt;&gt;""""),ROWS(D$5:D2596)),"""")"),"")</f>
        <v/>
      </c>
      <c r="E25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Helper'!$F$5:$F$3004,"""")&lt;&gt;""""),ROWS(E$5:E2596)),"""")"),"")</f>
        <v/>
      </c>
      <c r="F25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Helper'!$F$5:$F$3004,"""")&lt;&gt;""""),ROWS(F$5:F2596)),IF(AND(LEFT(x,5)=""Pag"&amp;"e "",ISERROR(SEARCH(""–"",x))),x&amp;""–""&amp;REGEXEXTRACT(x,""[0-9]+$""),x)),"""")"),"")</f>
        <v/>
      </c>
      <c r="G2596" s="163"/>
      <c r="H25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Helper'!$F$5:$F$3004,"""")&lt;&gt;""""),ROWS(H$5:H2596)),"""")"),"")</f>
        <v/>
      </c>
    </row>
    <row r="2597" ht="15.75" customHeight="1">
      <c r="A25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Helper'!$F$5:$F$3004,"""")&lt;&gt;""""),ROWS(A$5:A2597)),"""")"),"")</f>
        <v/>
      </c>
      <c r="B25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Helper'!$F$5:$F$3004,"""")&lt;&gt;""""),ROWS(B$5:B2597)),"""")"),"")</f>
        <v/>
      </c>
      <c r="C25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Helper'!$F$5:$F$3004,"""")&lt;&gt;""""),ROWS(C$5:C2597)),"""")"),"")</f>
        <v/>
      </c>
      <c r="D25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Helper'!$F$5:$F$3004,"""")&lt;&gt;""""),ROWS(D$5:D2597)),"""")"),"")</f>
        <v/>
      </c>
      <c r="E25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Helper'!$F$5:$F$3004,"""")&lt;&gt;""""),ROWS(E$5:E2597)),"""")"),"")</f>
        <v/>
      </c>
      <c r="F25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Helper'!$F$5:$F$3004,"""")&lt;&gt;""""),ROWS(F$5:F2597)),IF(AND(LEFT(x,5)=""Pag"&amp;"e "",ISERROR(SEARCH(""–"",x))),x&amp;""–""&amp;REGEXEXTRACT(x,""[0-9]+$""),x)),"""")"),"")</f>
        <v/>
      </c>
      <c r="G2597" s="163"/>
      <c r="H25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Helper'!$F$5:$F$3004,"""")&lt;&gt;""""),ROWS(H$5:H2597)),"""")"),"")</f>
        <v/>
      </c>
    </row>
    <row r="2598" ht="15.75" customHeight="1">
      <c r="A25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Helper'!$F$5:$F$3004,"""")&lt;&gt;""""),ROWS(A$5:A2598)),"""")"),"")</f>
        <v/>
      </c>
      <c r="B25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Helper'!$F$5:$F$3004,"""")&lt;&gt;""""),ROWS(B$5:B2598)),"""")"),"")</f>
        <v/>
      </c>
      <c r="C25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Helper'!$F$5:$F$3004,"""")&lt;&gt;""""),ROWS(C$5:C2598)),"""")"),"")</f>
        <v/>
      </c>
      <c r="D25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Helper'!$F$5:$F$3004,"""")&lt;&gt;""""),ROWS(D$5:D2598)),"""")"),"")</f>
        <v/>
      </c>
      <c r="E25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Helper'!$F$5:$F$3004,"""")&lt;&gt;""""),ROWS(E$5:E2598)),"""")"),"")</f>
        <v/>
      </c>
      <c r="F25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Helper'!$F$5:$F$3004,"""")&lt;&gt;""""),ROWS(F$5:F2598)),IF(AND(LEFT(x,5)=""Pag"&amp;"e "",ISERROR(SEARCH(""–"",x))),x&amp;""–""&amp;REGEXEXTRACT(x,""[0-9]+$""),x)),"""")"),"")</f>
        <v/>
      </c>
      <c r="G2598" s="163"/>
      <c r="H25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Helper'!$F$5:$F$3004,"""")&lt;&gt;""""),ROWS(H$5:H2598)),"""")"),"")</f>
        <v/>
      </c>
    </row>
    <row r="2599" ht="15.75" customHeight="1">
      <c r="A25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Helper'!$F$5:$F$3004,"""")&lt;&gt;""""),ROWS(A$5:A2599)),"""")"),"")</f>
        <v/>
      </c>
      <c r="B25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Helper'!$F$5:$F$3004,"""")&lt;&gt;""""),ROWS(B$5:B2599)),"""")"),"")</f>
        <v/>
      </c>
      <c r="C25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Helper'!$F$5:$F$3004,"""")&lt;&gt;""""),ROWS(C$5:C2599)),"""")"),"")</f>
        <v/>
      </c>
      <c r="D25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Helper'!$F$5:$F$3004,"""")&lt;&gt;""""),ROWS(D$5:D2599)),"""")"),"")</f>
        <v/>
      </c>
      <c r="E25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Helper'!$F$5:$F$3004,"""")&lt;&gt;""""),ROWS(E$5:E2599)),"""")"),"")</f>
        <v/>
      </c>
      <c r="F25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Helper'!$F$5:$F$3004,"""")&lt;&gt;""""),ROWS(F$5:F2599)),IF(AND(LEFT(x,5)=""Pag"&amp;"e "",ISERROR(SEARCH(""–"",x))),x&amp;""–""&amp;REGEXEXTRACT(x,""[0-9]+$""),x)),"""")"),"")</f>
        <v/>
      </c>
      <c r="G2599" s="163"/>
      <c r="H25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Helper'!$F$5:$F$3004,"""")&lt;&gt;""""),ROWS(H$5:H2599)),"""")"),"")</f>
        <v/>
      </c>
    </row>
    <row r="2600" ht="15.75" customHeight="1">
      <c r="A26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Helper'!$F$5:$F$3004,"""")&lt;&gt;""""),ROWS(A$5:A2600)),"""")"),"")</f>
        <v/>
      </c>
      <c r="B26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Helper'!$F$5:$F$3004,"""")&lt;&gt;""""),ROWS(B$5:B2600)),"""")"),"")</f>
        <v/>
      </c>
      <c r="C26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Helper'!$F$5:$F$3004,"""")&lt;&gt;""""),ROWS(C$5:C2600)),"""")"),"")</f>
        <v/>
      </c>
      <c r="D26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Helper'!$F$5:$F$3004,"""")&lt;&gt;""""),ROWS(D$5:D2600)),"""")"),"")</f>
        <v/>
      </c>
      <c r="E26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Helper'!$F$5:$F$3004,"""")&lt;&gt;""""),ROWS(E$5:E2600)),"""")"),"")</f>
        <v/>
      </c>
      <c r="F26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Helper'!$F$5:$F$3004,"""")&lt;&gt;""""),ROWS(F$5:F2600)),IF(AND(LEFT(x,5)=""Pag"&amp;"e "",ISERROR(SEARCH(""–"",x))),x&amp;""–""&amp;REGEXEXTRACT(x,""[0-9]+$""),x)),"""")"),"")</f>
        <v/>
      </c>
      <c r="G2600" s="163"/>
      <c r="H26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Helper'!$F$5:$F$3004,"""")&lt;&gt;""""),ROWS(H$5:H2600)),"""")"),"")</f>
        <v/>
      </c>
    </row>
    <row r="2601" ht="15.75" customHeight="1">
      <c r="A26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Helper'!$F$5:$F$3004,"""")&lt;&gt;""""),ROWS(A$5:A2601)),"""")"),"")</f>
        <v/>
      </c>
      <c r="B26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Helper'!$F$5:$F$3004,"""")&lt;&gt;""""),ROWS(B$5:B2601)),"""")"),"")</f>
        <v/>
      </c>
      <c r="C26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Helper'!$F$5:$F$3004,"""")&lt;&gt;""""),ROWS(C$5:C2601)),"""")"),"")</f>
        <v/>
      </c>
      <c r="D26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Helper'!$F$5:$F$3004,"""")&lt;&gt;""""),ROWS(D$5:D2601)),"""")"),"")</f>
        <v/>
      </c>
      <c r="E26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Helper'!$F$5:$F$3004,"""")&lt;&gt;""""),ROWS(E$5:E2601)),"""")"),"")</f>
        <v/>
      </c>
      <c r="F26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Helper'!$F$5:$F$3004,"""")&lt;&gt;""""),ROWS(F$5:F2601)),IF(AND(LEFT(x,5)=""Pag"&amp;"e "",ISERROR(SEARCH(""–"",x))),x&amp;""–""&amp;REGEXEXTRACT(x,""[0-9]+$""),x)),"""")"),"")</f>
        <v/>
      </c>
      <c r="G2601" s="163"/>
      <c r="H26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Helper'!$F$5:$F$3004,"""")&lt;&gt;""""),ROWS(H$5:H2601)),"""")"),"")</f>
        <v/>
      </c>
    </row>
    <row r="2602" ht="15.75" customHeight="1">
      <c r="A26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Helper'!$F$5:$F$3004,"""")&lt;&gt;""""),ROWS(A$5:A2602)),"""")"),"")</f>
        <v/>
      </c>
      <c r="B26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Helper'!$F$5:$F$3004,"""")&lt;&gt;""""),ROWS(B$5:B2602)),"""")"),"")</f>
        <v/>
      </c>
      <c r="C26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Helper'!$F$5:$F$3004,"""")&lt;&gt;""""),ROWS(C$5:C2602)),"""")"),"")</f>
        <v/>
      </c>
      <c r="D26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Helper'!$F$5:$F$3004,"""")&lt;&gt;""""),ROWS(D$5:D2602)),"""")"),"")</f>
        <v/>
      </c>
      <c r="E26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Helper'!$F$5:$F$3004,"""")&lt;&gt;""""),ROWS(E$5:E2602)),"""")"),"")</f>
        <v/>
      </c>
      <c r="F26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Helper'!$F$5:$F$3004,"""")&lt;&gt;""""),ROWS(F$5:F2602)),IF(AND(LEFT(x,5)=""Pag"&amp;"e "",ISERROR(SEARCH(""–"",x))),x&amp;""–""&amp;REGEXEXTRACT(x,""[0-9]+$""),x)),"""")"),"")</f>
        <v/>
      </c>
      <c r="G2602" s="163"/>
      <c r="H26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Helper'!$F$5:$F$3004,"""")&lt;&gt;""""),ROWS(H$5:H2602)),"""")"),"")</f>
        <v/>
      </c>
    </row>
    <row r="2603" ht="15.75" customHeight="1">
      <c r="A26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Helper'!$F$5:$F$3004,"""")&lt;&gt;""""),ROWS(A$5:A2603)),"""")"),"")</f>
        <v/>
      </c>
      <c r="B26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Helper'!$F$5:$F$3004,"""")&lt;&gt;""""),ROWS(B$5:B2603)),"""")"),"")</f>
        <v/>
      </c>
      <c r="C26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Helper'!$F$5:$F$3004,"""")&lt;&gt;""""),ROWS(C$5:C2603)),"""")"),"")</f>
        <v/>
      </c>
      <c r="D26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Helper'!$F$5:$F$3004,"""")&lt;&gt;""""),ROWS(D$5:D2603)),"""")"),"")</f>
        <v/>
      </c>
      <c r="E26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Helper'!$F$5:$F$3004,"""")&lt;&gt;""""),ROWS(E$5:E2603)),"""")"),"")</f>
        <v/>
      </c>
      <c r="F26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Helper'!$F$5:$F$3004,"""")&lt;&gt;""""),ROWS(F$5:F2603)),IF(AND(LEFT(x,5)=""Pag"&amp;"e "",ISERROR(SEARCH(""–"",x))),x&amp;""–""&amp;REGEXEXTRACT(x,""[0-9]+$""),x)),"""")"),"")</f>
        <v/>
      </c>
      <c r="G2603" s="163"/>
      <c r="H26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Helper'!$F$5:$F$3004,"""")&lt;&gt;""""),ROWS(H$5:H2603)),"""")"),"")</f>
        <v/>
      </c>
    </row>
    <row r="2604" ht="15.75" customHeight="1">
      <c r="A26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Helper'!$F$5:$F$3004,"""")&lt;&gt;""""),ROWS(A$5:A2604)),"""")"),"")</f>
        <v/>
      </c>
      <c r="B26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Helper'!$F$5:$F$3004,"""")&lt;&gt;""""),ROWS(B$5:B2604)),"""")"),"")</f>
        <v/>
      </c>
      <c r="C26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Helper'!$F$5:$F$3004,"""")&lt;&gt;""""),ROWS(C$5:C2604)),"""")"),"")</f>
        <v/>
      </c>
      <c r="D26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Helper'!$F$5:$F$3004,"""")&lt;&gt;""""),ROWS(D$5:D2604)),"""")"),"")</f>
        <v/>
      </c>
      <c r="E26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Helper'!$F$5:$F$3004,"""")&lt;&gt;""""),ROWS(E$5:E2604)),"""")"),"")</f>
        <v/>
      </c>
      <c r="F26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Helper'!$F$5:$F$3004,"""")&lt;&gt;""""),ROWS(F$5:F2604)),IF(AND(LEFT(x,5)=""Pag"&amp;"e "",ISERROR(SEARCH(""–"",x))),x&amp;""–""&amp;REGEXEXTRACT(x,""[0-9]+$""),x)),"""")"),"")</f>
        <v/>
      </c>
      <c r="G2604" s="163"/>
      <c r="H26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Helper'!$F$5:$F$3004,"""")&lt;&gt;""""),ROWS(H$5:H2604)),"""")"),"")</f>
        <v/>
      </c>
    </row>
    <row r="2605" ht="15.75" customHeight="1">
      <c r="A26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Helper'!$F$5:$F$3004,"""")&lt;&gt;""""),ROWS(A$5:A2605)),"""")"),"")</f>
        <v/>
      </c>
      <c r="B26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Helper'!$F$5:$F$3004,"""")&lt;&gt;""""),ROWS(B$5:B2605)),"""")"),"")</f>
        <v/>
      </c>
      <c r="C26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Helper'!$F$5:$F$3004,"""")&lt;&gt;""""),ROWS(C$5:C2605)),"""")"),"")</f>
        <v/>
      </c>
      <c r="D26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Helper'!$F$5:$F$3004,"""")&lt;&gt;""""),ROWS(D$5:D2605)),"""")"),"")</f>
        <v/>
      </c>
      <c r="E26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Helper'!$F$5:$F$3004,"""")&lt;&gt;""""),ROWS(E$5:E2605)),"""")"),"")</f>
        <v/>
      </c>
      <c r="F26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Helper'!$F$5:$F$3004,"""")&lt;&gt;""""),ROWS(F$5:F2605)),IF(AND(LEFT(x,5)=""Pag"&amp;"e "",ISERROR(SEARCH(""–"",x))),x&amp;""–""&amp;REGEXEXTRACT(x,""[0-9]+$""),x)),"""")"),"")</f>
        <v/>
      </c>
      <c r="G2605" s="163"/>
      <c r="H26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Helper'!$F$5:$F$3004,"""")&lt;&gt;""""),ROWS(H$5:H2605)),"""")"),"")</f>
        <v/>
      </c>
    </row>
    <row r="2606" ht="15.75" customHeight="1">
      <c r="A26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Helper'!$F$5:$F$3004,"""")&lt;&gt;""""),ROWS(A$5:A2606)),"""")"),"")</f>
        <v/>
      </c>
      <c r="B26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Helper'!$F$5:$F$3004,"""")&lt;&gt;""""),ROWS(B$5:B2606)),"""")"),"")</f>
        <v/>
      </c>
      <c r="C26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Helper'!$F$5:$F$3004,"""")&lt;&gt;""""),ROWS(C$5:C2606)),"""")"),"")</f>
        <v/>
      </c>
      <c r="D26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Helper'!$F$5:$F$3004,"""")&lt;&gt;""""),ROWS(D$5:D2606)),"""")"),"")</f>
        <v/>
      </c>
      <c r="E26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Helper'!$F$5:$F$3004,"""")&lt;&gt;""""),ROWS(E$5:E2606)),"""")"),"")</f>
        <v/>
      </c>
      <c r="F26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Helper'!$F$5:$F$3004,"""")&lt;&gt;""""),ROWS(F$5:F2606)),IF(AND(LEFT(x,5)=""Pag"&amp;"e "",ISERROR(SEARCH(""–"",x))),x&amp;""–""&amp;REGEXEXTRACT(x,""[0-9]+$""),x)),"""")"),"")</f>
        <v/>
      </c>
      <c r="G2606" s="163"/>
      <c r="H26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Helper'!$F$5:$F$3004,"""")&lt;&gt;""""),ROWS(H$5:H2606)),"""")"),"")</f>
        <v/>
      </c>
    </row>
    <row r="2607" ht="15.75" customHeight="1">
      <c r="A26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Helper'!$F$5:$F$3004,"""")&lt;&gt;""""),ROWS(A$5:A2607)),"""")"),"")</f>
        <v/>
      </c>
      <c r="B26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Helper'!$F$5:$F$3004,"""")&lt;&gt;""""),ROWS(B$5:B2607)),"""")"),"")</f>
        <v/>
      </c>
      <c r="C26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Helper'!$F$5:$F$3004,"""")&lt;&gt;""""),ROWS(C$5:C2607)),"""")"),"")</f>
        <v/>
      </c>
      <c r="D26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Helper'!$F$5:$F$3004,"""")&lt;&gt;""""),ROWS(D$5:D2607)),"""")"),"")</f>
        <v/>
      </c>
      <c r="E26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Helper'!$F$5:$F$3004,"""")&lt;&gt;""""),ROWS(E$5:E2607)),"""")"),"")</f>
        <v/>
      </c>
      <c r="F26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Helper'!$F$5:$F$3004,"""")&lt;&gt;""""),ROWS(F$5:F2607)),IF(AND(LEFT(x,5)=""Pag"&amp;"e "",ISERROR(SEARCH(""–"",x))),x&amp;""–""&amp;REGEXEXTRACT(x,""[0-9]+$""),x)),"""")"),"")</f>
        <v/>
      </c>
      <c r="G2607" s="163"/>
      <c r="H26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Helper'!$F$5:$F$3004,"""")&lt;&gt;""""),ROWS(H$5:H2607)),"""")"),"")</f>
        <v/>
      </c>
    </row>
    <row r="2608" ht="15.75" customHeight="1">
      <c r="A26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Helper'!$F$5:$F$3004,"""")&lt;&gt;""""),ROWS(A$5:A2608)),"""")"),"")</f>
        <v/>
      </c>
      <c r="B26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Helper'!$F$5:$F$3004,"""")&lt;&gt;""""),ROWS(B$5:B2608)),"""")"),"")</f>
        <v/>
      </c>
      <c r="C26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Helper'!$F$5:$F$3004,"""")&lt;&gt;""""),ROWS(C$5:C2608)),"""")"),"")</f>
        <v/>
      </c>
      <c r="D26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Helper'!$F$5:$F$3004,"""")&lt;&gt;""""),ROWS(D$5:D2608)),"""")"),"")</f>
        <v/>
      </c>
      <c r="E26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Helper'!$F$5:$F$3004,"""")&lt;&gt;""""),ROWS(E$5:E2608)),"""")"),"")</f>
        <v/>
      </c>
      <c r="F26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Helper'!$F$5:$F$3004,"""")&lt;&gt;""""),ROWS(F$5:F2608)),IF(AND(LEFT(x,5)=""Pag"&amp;"e "",ISERROR(SEARCH(""–"",x))),x&amp;""–""&amp;REGEXEXTRACT(x,""[0-9]+$""),x)),"""")"),"")</f>
        <v/>
      </c>
      <c r="G2608" s="163"/>
      <c r="H26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Helper'!$F$5:$F$3004,"""")&lt;&gt;""""),ROWS(H$5:H2608)),"""")"),"")</f>
        <v/>
      </c>
    </row>
    <row r="2609" ht="15.75" customHeight="1">
      <c r="A26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Helper'!$F$5:$F$3004,"""")&lt;&gt;""""),ROWS(A$5:A2609)),"""")"),"")</f>
        <v/>
      </c>
      <c r="B26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Helper'!$F$5:$F$3004,"""")&lt;&gt;""""),ROWS(B$5:B2609)),"""")"),"")</f>
        <v/>
      </c>
      <c r="C26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Helper'!$F$5:$F$3004,"""")&lt;&gt;""""),ROWS(C$5:C2609)),"""")"),"")</f>
        <v/>
      </c>
      <c r="D26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Helper'!$F$5:$F$3004,"""")&lt;&gt;""""),ROWS(D$5:D2609)),"""")"),"")</f>
        <v/>
      </c>
      <c r="E26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Helper'!$F$5:$F$3004,"""")&lt;&gt;""""),ROWS(E$5:E2609)),"""")"),"")</f>
        <v/>
      </c>
      <c r="F26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Helper'!$F$5:$F$3004,"""")&lt;&gt;""""),ROWS(F$5:F2609)),IF(AND(LEFT(x,5)=""Pag"&amp;"e "",ISERROR(SEARCH(""–"",x))),x&amp;""–""&amp;REGEXEXTRACT(x,""[0-9]+$""),x)),"""")"),"")</f>
        <v/>
      </c>
      <c r="G2609" s="163"/>
      <c r="H26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Helper'!$F$5:$F$3004,"""")&lt;&gt;""""),ROWS(H$5:H2609)),"""")"),"")</f>
        <v/>
      </c>
    </row>
    <row r="2610" ht="15.75" customHeight="1">
      <c r="A26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Helper'!$F$5:$F$3004,"""")&lt;&gt;""""),ROWS(A$5:A2610)),"""")"),"")</f>
        <v/>
      </c>
      <c r="B26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Helper'!$F$5:$F$3004,"""")&lt;&gt;""""),ROWS(B$5:B2610)),"""")"),"")</f>
        <v/>
      </c>
      <c r="C26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Helper'!$F$5:$F$3004,"""")&lt;&gt;""""),ROWS(C$5:C2610)),"""")"),"")</f>
        <v/>
      </c>
      <c r="D26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Helper'!$F$5:$F$3004,"""")&lt;&gt;""""),ROWS(D$5:D2610)),"""")"),"")</f>
        <v/>
      </c>
      <c r="E26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Helper'!$F$5:$F$3004,"""")&lt;&gt;""""),ROWS(E$5:E2610)),"""")"),"")</f>
        <v/>
      </c>
      <c r="F26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Helper'!$F$5:$F$3004,"""")&lt;&gt;""""),ROWS(F$5:F2610)),IF(AND(LEFT(x,5)=""Pag"&amp;"e "",ISERROR(SEARCH(""–"",x))),x&amp;""–""&amp;REGEXEXTRACT(x,""[0-9]+$""),x)),"""")"),"")</f>
        <v/>
      </c>
      <c r="G2610" s="163"/>
      <c r="H26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Helper'!$F$5:$F$3004,"""")&lt;&gt;""""),ROWS(H$5:H2610)),"""")"),"")</f>
        <v/>
      </c>
    </row>
    <row r="2611" ht="15.75" customHeight="1">
      <c r="A26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Helper'!$F$5:$F$3004,"""")&lt;&gt;""""),ROWS(A$5:A2611)),"""")"),"")</f>
        <v/>
      </c>
      <c r="B26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Helper'!$F$5:$F$3004,"""")&lt;&gt;""""),ROWS(B$5:B2611)),"""")"),"")</f>
        <v/>
      </c>
      <c r="C26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Helper'!$F$5:$F$3004,"""")&lt;&gt;""""),ROWS(C$5:C2611)),"""")"),"")</f>
        <v/>
      </c>
      <c r="D26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Helper'!$F$5:$F$3004,"""")&lt;&gt;""""),ROWS(D$5:D2611)),"""")"),"")</f>
        <v/>
      </c>
      <c r="E26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Helper'!$F$5:$F$3004,"""")&lt;&gt;""""),ROWS(E$5:E2611)),"""")"),"")</f>
        <v/>
      </c>
      <c r="F26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Helper'!$F$5:$F$3004,"""")&lt;&gt;""""),ROWS(F$5:F2611)),IF(AND(LEFT(x,5)=""Pag"&amp;"e "",ISERROR(SEARCH(""–"",x))),x&amp;""–""&amp;REGEXEXTRACT(x,""[0-9]+$""),x)),"""")"),"")</f>
        <v/>
      </c>
      <c r="G2611" s="163"/>
      <c r="H26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Helper'!$F$5:$F$3004,"""")&lt;&gt;""""),ROWS(H$5:H2611)),"""")"),"")</f>
        <v/>
      </c>
    </row>
    <row r="2612" ht="15.75" customHeight="1">
      <c r="A26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Helper'!$F$5:$F$3004,"""")&lt;&gt;""""),ROWS(A$5:A2612)),"""")"),"")</f>
        <v/>
      </c>
      <c r="B26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Helper'!$F$5:$F$3004,"""")&lt;&gt;""""),ROWS(B$5:B2612)),"""")"),"")</f>
        <v/>
      </c>
      <c r="C26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Helper'!$F$5:$F$3004,"""")&lt;&gt;""""),ROWS(C$5:C2612)),"""")"),"")</f>
        <v/>
      </c>
      <c r="D26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Helper'!$F$5:$F$3004,"""")&lt;&gt;""""),ROWS(D$5:D2612)),"""")"),"")</f>
        <v/>
      </c>
      <c r="E26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Helper'!$F$5:$F$3004,"""")&lt;&gt;""""),ROWS(E$5:E2612)),"""")"),"")</f>
        <v/>
      </c>
      <c r="F26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Helper'!$F$5:$F$3004,"""")&lt;&gt;""""),ROWS(F$5:F2612)),IF(AND(LEFT(x,5)=""Pag"&amp;"e "",ISERROR(SEARCH(""–"",x))),x&amp;""–""&amp;REGEXEXTRACT(x,""[0-9]+$""),x)),"""")"),"")</f>
        <v/>
      </c>
      <c r="G2612" s="163"/>
      <c r="H26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Helper'!$F$5:$F$3004,"""")&lt;&gt;""""),ROWS(H$5:H2612)),"""")"),"")</f>
        <v/>
      </c>
    </row>
    <row r="2613" ht="15.75" customHeight="1">
      <c r="A26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Helper'!$F$5:$F$3004,"""")&lt;&gt;""""),ROWS(A$5:A2613)),"""")"),"")</f>
        <v/>
      </c>
      <c r="B26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Helper'!$F$5:$F$3004,"""")&lt;&gt;""""),ROWS(B$5:B2613)),"""")"),"")</f>
        <v/>
      </c>
      <c r="C26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Helper'!$F$5:$F$3004,"""")&lt;&gt;""""),ROWS(C$5:C2613)),"""")"),"")</f>
        <v/>
      </c>
      <c r="D26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Helper'!$F$5:$F$3004,"""")&lt;&gt;""""),ROWS(D$5:D2613)),"""")"),"")</f>
        <v/>
      </c>
      <c r="E26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Helper'!$F$5:$F$3004,"""")&lt;&gt;""""),ROWS(E$5:E2613)),"""")"),"")</f>
        <v/>
      </c>
      <c r="F26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Helper'!$F$5:$F$3004,"""")&lt;&gt;""""),ROWS(F$5:F2613)),IF(AND(LEFT(x,5)=""Pag"&amp;"e "",ISERROR(SEARCH(""–"",x))),x&amp;""–""&amp;REGEXEXTRACT(x,""[0-9]+$""),x)),"""")"),"")</f>
        <v/>
      </c>
      <c r="G2613" s="163"/>
      <c r="H26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Helper'!$F$5:$F$3004,"""")&lt;&gt;""""),ROWS(H$5:H2613)),"""")"),"")</f>
        <v/>
      </c>
    </row>
    <row r="2614" ht="15.75" customHeight="1">
      <c r="A26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Helper'!$F$5:$F$3004,"""")&lt;&gt;""""),ROWS(A$5:A2614)),"""")"),"")</f>
        <v/>
      </c>
      <c r="B26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Helper'!$F$5:$F$3004,"""")&lt;&gt;""""),ROWS(B$5:B2614)),"""")"),"")</f>
        <v/>
      </c>
      <c r="C26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Helper'!$F$5:$F$3004,"""")&lt;&gt;""""),ROWS(C$5:C2614)),"""")"),"")</f>
        <v/>
      </c>
      <c r="D26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Helper'!$F$5:$F$3004,"""")&lt;&gt;""""),ROWS(D$5:D2614)),"""")"),"")</f>
        <v/>
      </c>
      <c r="E26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Helper'!$F$5:$F$3004,"""")&lt;&gt;""""),ROWS(E$5:E2614)),"""")"),"")</f>
        <v/>
      </c>
      <c r="F26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Helper'!$F$5:$F$3004,"""")&lt;&gt;""""),ROWS(F$5:F2614)),IF(AND(LEFT(x,5)=""Pag"&amp;"e "",ISERROR(SEARCH(""–"",x))),x&amp;""–""&amp;REGEXEXTRACT(x,""[0-9]+$""),x)),"""")"),"")</f>
        <v/>
      </c>
      <c r="G2614" s="163"/>
      <c r="H26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Helper'!$F$5:$F$3004,"""")&lt;&gt;""""),ROWS(H$5:H2614)),"""")"),"")</f>
        <v/>
      </c>
    </row>
    <row r="2615" ht="15.75" customHeight="1">
      <c r="A26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Helper'!$F$5:$F$3004,"""")&lt;&gt;""""),ROWS(A$5:A2615)),"""")"),"")</f>
        <v/>
      </c>
      <c r="B26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Helper'!$F$5:$F$3004,"""")&lt;&gt;""""),ROWS(B$5:B2615)),"""")"),"")</f>
        <v/>
      </c>
      <c r="C26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Helper'!$F$5:$F$3004,"""")&lt;&gt;""""),ROWS(C$5:C2615)),"""")"),"")</f>
        <v/>
      </c>
      <c r="D26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Helper'!$F$5:$F$3004,"""")&lt;&gt;""""),ROWS(D$5:D2615)),"""")"),"")</f>
        <v/>
      </c>
      <c r="E26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Helper'!$F$5:$F$3004,"""")&lt;&gt;""""),ROWS(E$5:E2615)),"""")"),"")</f>
        <v/>
      </c>
      <c r="F26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Helper'!$F$5:$F$3004,"""")&lt;&gt;""""),ROWS(F$5:F2615)),IF(AND(LEFT(x,5)=""Pag"&amp;"e "",ISERROR(SEARCH(""–"",x))),x&amp;""–""&amp;REGEXEXTRACT(x,""[0-9]+$""),x)),"""")"),"")</f>
        <v/>
      </c>
      <c r="G2615" s="163"/>
      <c r="H26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Helper'!$F$5:$F$3004,"""")&lt;&gt;""""),ROWS(H$5:H2615)),"""")"),"")</f>
        <v/>
      </c>
    </row>
    <row r="2616" ht="15.75" customHeight="1">
      <c r="A26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Helper'!$F$5:$F$3004,"""")&lt;&gt;""""),ROWS(A$5:A2616)),"""")"),"")</f>
        <v/>
      </c>
      <c r="B26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Helper'!$F$5:$F$3004,"""")&lt;&gt;""""),ROWS(B$5:B2616)),"""")"),"")</f>
        <v/>
      </c>
      <c r="C26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Helper'!$F$5:$F$3004,"""")&lt;&gt;""""),ROWS(C$5:C2616)),"""")"),"")</f>
        <v/>
      </c>
      <c r="D26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Helper'!$F$5:$F$3004,"""")&lt;&gt;""""),ROWS(D$5:D2616)),"""")"),"")</f>
        <v/>
      </c>
      <c r="E26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Helper'!$F$5:$F$3004,"""")&lt;&gt;""""),ROWS(E$5:E2616)),"""")"),"")</f>
        <v/>
      </c>
      <c r="F26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Helper'!$F$5:$F$3004,"""")&lt;&gt;""""),ROWS(F$5:F2616)),IF(AND(LEFT(x,5)=""Pag"&amp;"e "",ISERROR(SEARCH(""–"",x))),x&amp;""–""&amp;REGEXEXTRACT(x,""[0-9]+$""),x)),"""")"),"")</f>
        <v/>
      </c>
      <c r="G2616" s="163"/>
      <c r="H26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Helper'!$F$5:$F$3004,"""")&lt;&gt;""""),ROWS(H$5:H2616)),"""")"),"")</f>
        <v/>
      </c>
    </row>
    <row r="2617" ht="15.75" customHeight="1">
      <c r="A26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Helper'!$F$5:$F$3004,"""")&lt;&gt;""""),ROWS(A$5:A2617)),"""")"),"")</f>
        <v/>
      </c>
      <c r="B26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Helper'!$F$5:$F$3004,"""")&lt;&gt;""""),ROWS(B$5:B2617)),"""")"),"")</f>
        <v/>
      </c>
      <c r="C26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Helper'!$F$5:$F$3004,"""")&lt;&gt;""""),ROWS(C$5:C2617)),"""")"),"")</f>
        <v/>
      </c>
      <c r="D26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Helper'!$F$5:$F$3004,"""")&lt;&gt;""""),ROWS(D$5:D2617)),"""")"),"")</f>
        <v/>
      </c>
      <c r="E26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Helper'!$F$5:$F$3004,"""")&lt;&gt;""""),ROWS(E$5:E2617)),"""")"),"")</f>
        <v/>
      </c>
      <c r="F26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Helper'!$F$5:$F$3004,"""")&lt;&gt;""""),ROWS(F$5:F2617)),IF(AND(LEFT(x,5)=""Pag"&amp;"e "",ISERROR(SEARCH(""–"",x))),x&amp;""–""&amp;REGEXEXTRACT(x,""[0-9]+$""),x)),"""")"),"")</f>
        <v/>
      </c>
      <c r="G2617" s="163"/>
      <c r="H26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Helper'!$F$5:$F$3004,"""")&lt;&gt;""""),ROWS(H$5:H2617)),"""")"),"")</f>
        <v/>
      </c>
    </row>
    <row r="2618" ht="15.75" customHeight="1">
      <c r="A26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Helper'!$F$5:$F$3004,"""")&lt;&gt;""""),ROWS(A$5:A2618)),"""")"),"")</f>
        <v/>
      </c>
      <c r="B26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Helper'!$F$5:$F$3004,"""")&lt;&gt;""""),ROWS(B$5:B2618)),"""")"),"")</f>
        <v/>
      </c>
      <c r="C26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Helper'!$F$5:$F$3004,"""")&lt;&gt;""""),ROWS(C$5:C2618)),"""")"),"")</f>
        <v/>
      </c>
      <c r="D26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Helper'!$F$5:$F$3004,"""")&lt;&gt;""""),ROWS(D$5:D2618)),"""")"),"")</f>
        <v/>
      </c>
      <c r="E26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Helper'!$F$5:$F$3004,"""")&lt;&gt;""""),ROWS(E$5:E2618)),"""")"),"")</f>
        <v/>
      </c>
      <c r="F26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Helper'!$F$5:$F$3004,"""")&lt;&gt;""""),ROWS(F$5:F2618)),IF(AND(LEFT(x,5)=""Pag"&amp;"e "",ISERROR(SEARCH(""–"",x))),x&amp;""–""&amp;REGEXEXTRACT(x,""[0-9]+$""),x)),"""")"),"")</f>
        <v/>
      </c>
      <c r="G2618" s="163"/>
      <c r="H26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Helper'!$F$5:$F$3004,"""")&lt;&gt;""""),ROWS(H$5:H2618)),"""")"),"")</f>
        <v/>
      </c>
    </row>
    <row r="2619" ht="15.75" customHeight="1">
      <c r="A26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Helper'!$F$5:$F$3004,"""")&lt;&gt;""""),ROWS(A$5:A2619)),"""")"),"")</f>
        <v/>
      </c>
      <c r="B26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Helper'!$F$5:$F$3004,"""")&lt;&gt;""""),ROWS(B$5:B2619)),"""")"),"")</f>
        <v/>
      </c>
      <c r="C26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Helper'!$F$5:$F$3004,"""")&lt;&gt;""""),ROWS(C$5:C2619)),"""")"),"")</f>
        <v/>
      </c>
      <c r="D26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Helper'!$F$5:$F$3004,"""")&lt;&gt;""""),ROWS(D$5:D2619)),"""")"),"")</f>
        <v/>
      </c>
      <c r="E26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Helper'!$F$5:$F$3004,"""")&lt;&gt;""""),ROWS(E$5:E2619)),"""")"),"")</f>
        <v/>
      </c>
      <c r="F26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Helper'!$F$5:$F$3004,"""")&lt;&gt;""""),ROWS(F$5:F2619)),IF(AND(LEFT(x,5)=""Pag"&amp;"e "",ISERROR(SEARCH(""–"",x))),x&amp;""–""&amp;REGEXEXTRACT(x,""[0-9]+$""),x)),"""")"),"")</f>
        <v/>
      </c>
      <c r="G2619" s="163"/>
      <c r="H26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Helper'!$F$5:$F$3004,"""")&lt;&gt;""""),ROWS(H$5:H2619)),"""")"),"")</f>
        <v/>
      </c>
    </row>
    <row r="2620" ht="15.75" customHeight="1">
      <c r="A26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Helper'!$F$5:$F$3004,"""")&lt;&gt;""""),ROWS(A$5:A2620)),"""")"),"")</f>
        <v/>
      </c>
      <c r="B26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Helper'!$F$5:$F$3004,"""")&lt;&gt;""""),ROWS(B$5:B2620)),"""")"),"")</f>
        <v/>
      </c>
      <c r="C26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Helper'!$F$5:$F$3004,"""")&lt;&gt;""""),ROWS(C$5:C2620)),"""")"),"")</f>
        <v/>
      </c>
      <c r="D26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Helper'!$F$5:$F$3004,"""")&lt;&gt;""""),ROWS(D$5:D2620)),"""")"),"")</f>
        <v/>
      </c>
      <c r="E26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Helper'!$F$5:$F$3004,"""")&lt;&gt;""""),ROWS(E$5:E2620)),"""")"),"")</f>
        <v/>
      </c>
      <c r="F26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Helper'!$F$5:$F$3004,"""")&lt;&gt;""""),ROWS(F$5:F2620)),IF(AND(LEFT(x,5)=""Pag"&amp;"e "",ISERROR(SEARCH(""–"",x))),x&amp;""–""&amp;REGEXEXTRACT(x,""[0-9]+$""),x)),"""")"),"")</f>
        <v/>
      </c>
      <c r="G2620" s="163"/>
      <c r="H26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Helper'!$F$5:$F$3004,"""")&lt;&gt;""""),ROWS(H$5:H2620)),"""")"),"")</f>
        <v/>
      </c>
    </row>
    <row r="2621" ht="15.75" customHeight="1">
      <c r="A26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Helper'!$F$5:$F$3004,"""")&lt;&gt;""""),ROWS(A$5:A2621)),"""")"),"")</f>
        <v/>
      </c>
      <c r="B26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Helper'!$F$5:$F$3004,"""")&lt;&gt;""""),ROWS(B$5:B2621)),"""")"),"")</f>
        <v/>
      </c>
      <c r="C26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Helper'!$F$5:$F$3004,"""")&lt;&gt;""""),ROWS(C$5:C2621)),"""")"),"")</f>
        <v/>
      </c>
      <c r="D26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Helper'!$F$5:$F$3004,"""")&lt;&gt;""""),ROWS(D$5:D2621)),"""")"),"")</f>
        <v/>
      </c>
      <c r="E26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Helper'!$F$5:$F$3004,"""")&lt;&gt;""""),ROWS(E$5:E2621)),"""")"),"")</f>
        <v/>
      </c>
      <c r="F26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Helper'!$F$5:$F$3004,"""")&lt;&gt;""""),ROWS(F$5:F2621)),IF(AND(LEFT(x,5)=""Pag"&amp;"e "",ISERROR(SEARCH(""–"",x))),x&amp;""–""&amp;REGEXEXTRACT(x,""[0-9]+$""),x)),"""")"),"")</f>
        <v/>
      </c>
      <c r="G2621" s="163"/>
      <c r="H26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Helper'!$F$5:$F$3004,"""")&lt;&gt;""""),ROWS(H$5:H2621)),"""")"),"")</f>
        <v/>
      </c>
    </row>
    <row r="2622" ht="15.75" customHeight="1">
      <c r="A26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Helper'!$F$5:$F$3004,"""")&lt;&gt;""""),ROWS(A$5:A2622)),"""")"),"")</f>
        <v/>
      </c>
      <c r="B26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Helper'!$F$5:$F$3004,"""")&lt;&gt;""""),ROWS(B$5:B2622)),"""")"),"")</f>
        <v/>
      </c>
      <c r="C26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Helper'!$F$5:$F$3004,"""")&lt;&gt;""""),ROWS(C$5:C2622)),"""")"),"")</f>
        <v/>
      </c>
      <c r="D26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Helper'!$F$5:$F$3004,"""")&lt;&gt;""""),ROWS(D$5:D2622)),"""")"),"")</f>
        <v/>
      </c>
      <c r="E26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Helper'!$F$5:$F$3004,"""")&lt;&gt;""""),ROWS(E$5:E2622)),"""")"),"")</f>
        <v/>
      </c>
      <c r="F26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Helper'!$F$5:$F$3004,"""")&lt;&gt;""""),ROWS(F$5:F2622)),IF(AND(LEFT(x,5)=""Pag"&amp;"e "",ISERROR(SEARCH(""–"",x))),x&amp;""–""&amp;REGEXEXTRACT(x,""[0-9]+$""),x)),"""")"),"")</f>
        <v/>
      </c>
      <c r="G2622" s="163"/>
      <c r="H26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Helper'!$F$5:$F$3004,"""")&lt;&gt;""""),ROWS(H$5:H2622)),"""")"),"")</f>
        <v/>
      </c>
    </row>
    <row r="2623" ht="15.75" customHeight="1">
      <c r="A26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Helper'!$F$5:$F$3004,"""")&lt;&gt;""""),ROWS(A$5:A2623)),"""")"),"")</f>
        <v/>
      </c>
      <c r="B26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Helper'!$F$5:$F$3004,"""")&lt;&gt;""""),ROWS(B$5:B2623)),"""")"),"")</f>
        <v/>
      </c>
      <c r="C26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Helper'!$F$5:$F$3004,"""")&lt;&gt;""""),ROWS(C$5:C2623)),"""")"),"")</f>
        <v/>
      </c>
      <c r="D26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Helper'!$F$5:$F$3004,"""")&lt;&gt;""""),ROWS(D$5:D2623)),"""")"),"")</f>
        <v/>
      </c>
      <c r="E26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Helper'!$F$5:$F$3004,"""")&lt;&gt;""""),ROWS(E$5:E2623)),"""")"),"")</f>
        <v/>
      </c>
      <c r="F26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Helper'!$F$5:$F$3004,"""")&lt;&gt;""""),ROWS(F$5:F2623)),IF(AND(LEFT(x,5)=""Pag"&amp;"e "",ISERROR(SEARCH(""–"",x))),x&amp;""–""&amp;REGEXEXTRACT(x,""[0-9]+$""),x)),"""")"),"")</f>
        <v/>
      </c>
      <c r="G2623" s="163"/>
      <c r="H26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Helper'!$F$5:$F$3004,"""")&lt;&gt;""""),ROWS(H$5:H2623)),"""")"),"")</f>
        <v/>
      </c>
    </row>
    <row r="2624" ht="15.75" customHeight="1">
      <c r="A26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Helper'!$F$5:$F$3004,"""")&lt;&gt;""""),ROWS(A$5:A2624)),"""")"),"")</f>
        <v/>
      </c>
      <c r="B26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Helper'!$F$5:$F$3004,"""")&lt;&gt;""""),ROWS(B$5:B2624)),"""")"),"")</f>
        <v/>
      </c>
      <c r="C26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Helper'!$F$5:$F$3004,"""")&lt;&gt;""""),ROWS(C$5:C2624)),"""")"),"")</f>
        <v/>
      </c>
      <c r="D26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Helper'!$F$5:$F$3004,"""")&lt;&gt;""""),ROWS(D$5:D2624)),"""")"),"")</f>
        <v/>
      </c>
      <c r="E26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Helper'!$F$5:$F$3004,"""")&lt;&gt;""""),ROWS(E$5:E2624)),"""")"),"")</f>
        <v/>
      </c>
      <c r="F26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Helper'!$F$5:$F$3004,"""")&lt;&gt;""""),ROWS(F$5:F2624)),IF(AND(LEFT(x,5)=""Pag"&amp;"e "",ISERROR(SEARCH(""–"",x))),x&amp;""–""&amp;REGEXEXTRACT(x,""[0-9]+$""),x)),"""")"),"")</f>
        <v/>
      </c>
      <c r="G2624" s="163"/>
      <c r="H26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Helper'!$F$5:$F$3004,"""")&lt;&gt;""""),ROWS(H$5:H2624)),"""")"),"")</f>
        <v/>
      </c>
    </row>
    <row r="2625" ht="15.75" customHeight="1">
      <c r="A26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Helper'!$F$5:$F$3004,"""")&lt;&gt;""""),ROWS(A$5:A2625)),"""")"),"")</f>
        <v/>
      </c>
      <c r="B26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Helper'!$F$5:$F$3004,"""")&lt;&gt;""""),ROWS(B$5:B2625)),"""")"),"")</f>
        <v/>
      </c>
      <c r="C26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Helper'!$F$5:$F$3004,"""")&lt;&gt;""""),ROWS(C$5:C2625)),"""")"),"")</f>
        <v/>
      </c>
      <c r="D26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Helper'!$F$5:$F$3004,"""")&lt;&gt;""""),ROWS(D$5:D2625)),"""")"),"")</f>
        <v/>
      </c>
      <c r="E26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Helper'!$F$5:$F$3004,"""")&lt;&gt;""""),ROWS(E$5:E2625)),"""")"),"")</f>
        <v/>
      </c>
      <c r="F26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Helper'!$F$5:$F$3004,"""")&lt;&gt;""""),ROWS(F$5:F2625)),IF(AND(LEFT(x,5)=""Pag"&amp;"e "",ISERROR(SEARCH(""–"",x))),x&amp;""–""&amp;REGEXEXTRACT(x,""[0-9]+$""),x)),"""")"),"")</f>
        <v/>
      </c>
      <c r="G2625" s="163"/>
      <c r="H26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Helper'!$F$5:$F$3004,"""")&lt;&gt;""""),ROWS(H$5:H2625)),"""")"),"")</f>
        <v/>
      </c>
    </row>
    <row r="2626" ht="15.75" customHeight="1">
      <c r="A26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Helper'!$F$5:$F$3004,"""")&lt;&gt;""""),ROWS(A$5:A2626)),"""")"),"")</f>
        <v/>
      </c>
      <c r="B26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Helper'!$F$5:$F$3004,"""")&lt;&gt;""""),ROWS(B$5:B2626)),"""")"),"")</f>
        <v/>
      </c>
      <c r="C26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Helper'!$F$5:$F$3004,"""")&lt;&gt;""""),ROWS(C$5:C2626)),"""")"),"")</f>
        <v/>
      </c>
      <c r="D26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Helper'!$F$5:$F$3004,"""")&lt;&gt;""""),ROWS(D$5:D2626)),"""")"),"")</f>
        <v/>
      </c>
      <c r="E26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Helper'!$F$5:$F$3004,"""")&lt;&gt;""""),ROWS(E$5:E2626)),"""")"),"")</f>
        <v/>
      </c>
      <c r="F26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Helper'!$F$5:$F$3004,"""")&lt;&gt;""""),ROWS(F$5:F2626)),IF(AND(LEFT(x,5)=""Pag"&amp;"e "",ISERROR(SEARCH(""–"",x))),x&amp;""–""&amp;REGEXEXTRACT(x,""[0-9]+$""),x)),"""")"),"")</f>
        <v/>
      </c>
      <c r="G2626" s="163"/>
      <c r="H26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Helper'!$F$5:$F$3004,"""")&lt;&gt;""""),ROWS(H$5:H2626)),"""")"),"")</f>
        <v/>
      </c>
    </row>
    <row r="2627" ht="15.75" customHeight="1">
      <c r="A26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Helper'!$F$5:$F$3004,"""")&lt;&gt;""""),ROWS(A$5:A2627)),"""")"),"")</f>
        <v/>
      </c>
      <c r="B26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Helper'!$F$5:$F$3004,"""")&lt;&gt;""""),ROWS(B$5:B2627)),"""")"),"")</f>
        <v/>
      </c>
      <c r="C26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Helper'!$F$5:$F$3004,"""")&lt;&gt;""""),ROWS(C$5:C2627)),"""")"),"")</f>
        <v/>
      </c>
      <c r="D26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Helper'!$F$5:$F$3004,"""")&lt;&gt;""""),ROWS(D$5:D2627)),"""")"),"")</f>
        <v/>
      </c>
      <c r="E26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Helper'!$F$5:$F$3004,"""")&lt;&gt;""""),ROWS(E$5:E2627)),"""")"),"")</f>
        <v/>
      </c>
      <c r="F26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Helper'!$F$5:$F$3004,"""")&lt;&gt;""""),ROWS(F$5:F2627)),IF(AND(LEFT(x,5)=""Pag"&amp;"e "",ISERROR(SEARCH(""–"",x))),x&amp;""–""&amp;REGEXEXTRACT(x,""[0-9]+$""),x)),"""")"),"")</f>
        <v/>
      </c>
      <c r="G2627" s="163"/>
      <c r="H26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Helper'!$F$5:$F$3004,"""")&lt;&gt;""""),ROWS(H$5:H2627)),"""")"),"")</f>
        <v/>
      </c>
    </row>
    <row r="2628" ht="15.75" customHeight="1">
      <c r="A26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Helper'!$F$5:$F$3004,"""")&lt;&gt;""""),ROWS(A$5:A2628)),"""")"),"")</f>
        <v/>
      </c>
      <c r="B26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Helper'!$F$5:$F$3004,"""")&lt;&gt;""""),ROWS(B$5:B2628)),"""")"),"")</f>
        <v/>
      </c>
      <c r="C26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Helper'!$F$5:$F$3004,"""")&lt;&gt;""""),ROWS(C$5:C2628)),"""")"),"")</f>
        <v/>
      </c>
      <c r="D26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Helper'!$F$5:$F$3004,"""")&lt;&gt;""""),ROWS(D$5:D2628)),"""")"),"")</f>
        <v/>
      </c>
      <c r="E26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Helper'!$F$5:$F$3004,"""")&lt;&gt;""""),ROWS(E$5:E2628)),"""")"),"")</f>
        <v/>
      </c>
      <c r="F26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Helper'!$F$5:$F$3004,"""")&lt;&gt;""""),ROWS(F$5:F2628)),IF(AND(LEFT(x,5)=""Pag"&amp;"e "",ISERROR(SEARCH(""–"",x))),x&amp;""–""&amp;REGEXEXTRACT(x,""[0-9]+$""),x)),"""")"),"")</f>
        <v/>
      </c>
      <c r="G2628" s="163"/>
      <c r="H26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Helper'!$F$5:$F$3004,"""")&lt;&gt;""""),ROWS(H$5:H2628)),"""")"),"")</f>
        <v/>
      </c>
    </row>
    <row r="2629" ht="15.75" customHeight="1">
      <c r="A26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Helper'!$F$5:$F$3004,"""")&lt;&gt;""""),ROWS(A$5:A2629)),"""")"),"")</f>
        <v/>
      </c>
      <c r="B26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Helper'!$F$5:$F$3004,"""")&lt;&gt;""""),ROWS(B$5:B2629)),"""")"),"")</f>
        <v/>
      </c>
      <c r="C26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Helper'!$F$5:$F$3004,"""")&lt;&gt;""""),ROWS(C$5:C2629)),"""")"),"")</f>
        <v/>
      </c>
      <c r="D26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Helper'!$F$5:$F$3004,"""")&lt;&gt;""""),ROWS(D$5:D2629)),"""")"),"")</f>
        <v/>
      </c>
      <c r="E26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Helper'!$F$5:$F$3004,"""")&lt;&gt;""""),ROWS(E$5:E2629)),"""")"),"")</f>
        <v/>
      </c>
      <c r="F26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Helper'!$F$5:$F$3004,"""")&lt;&gt;""""),ROWS(F$5:F2629)),IF(AND(LEFT(x,5)=""Pag"&amp;"e "",ISERROR(SEARCH(""–"",x))),x&amp;""–""&amp;REGEXEXTRACT(x,""[0-9]+$""),x)),"""")"),"")</f>
        <v/>
      </c>
      <c r="G2629" s="163"/>
      <c r="H26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Helper'!$F$5:$F$3004,"""")&lt;&gt;""""),ROWS(H$5:H2629)),"""")"),"")</f>
        <v/>
      </c>
    </row>
    <row r="2630" ht="15.75" customHeight="1">
      <c r="A26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Helper'!$F$5:$F$3004,"""")&lt;&gt;""""),ROWS(A$5:A2630)),"""")"),"")</f>
        <v/>
      </c>
      <c r="B26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Helper'!$F$5:$F$3004,"""")&lt;&gt;""""),ROWS(B$5:B2630)),"""")"),"")</f>
        <v/>
      </c>
      <c r="C26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Helper'!$F$5:$F$3004,"""")&lt;&gt;""""),ROWS(C$5:C2630)),"""")"),"")</f>
        <v/>
      </c>
      <c r="D26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Helper'!$F$5:$F$3004,"""")&lt;&gt;""""),ROWS(D$5:D2630)),"""")"),"")</f>
        <v/>
      </c>
      <c r="E26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Helper'!$F$5:$F$3004,"""")&lt;&gt;""""),ROWS(E$5:E2630)),"""")"),"")</f>
        <v/>
      </c>
      <c r="F26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Helper'!$F$5:$F$3004,"""")&lt;&gt;""""),ROWS(F$5:F2630)),IF(AND(LEFT(x,5)=""Pag"&amp;"e "",ISERROR(SEARCH(""–"",x))),x&amp;""–""&amp;REGEXEXTRACT(x,""[0-9]+$""),x)),"""")"),"")</f>
        <v/>
      </c>
      <c r="G2630" s="163"/>
      <c r="H26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Helper'!$F$5:$F$3004,"""")&lt;&gt;""""),ROWS(H$5:H2630)),"""")"),"")</f>
        <v/>
      </c>
    </row>
    <row r="2631" ht="15.75" customHeight="1">
      <c r="A26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Helper'!$F$5:$F$3004,"""")&lt;&gt;""""),ROWS(A$5:A2631)),"""")"),"")</f>
        <v/>
      </c>
      <c r="B26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Helper'!$F$5:$F$3004,"""")&lt;&gt;""""),ROWS(B$5:B2631)),"""")"),"")</f>
        <v/>
      </c>
      <c r="C26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Helper'!$F$5:$F$3004,"""")&lt;&gt;""""),ROWS(C$5:C2631)),"""")"),"")</f>
        <v/>
      </c>
      <c r="D26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Helper'!$F$5:$F$3004,"""")&lt;&gt;""""),ROWS(D$5:D2631)),"""")"),"")</f>
        <v/>
      </c>
      <c r="E26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Helper'!$F$5:$F$3004,"""")&lt;&gt;""""),ROWS(E$5:E2631)),"""")"),"")</f>
        <v/>
      </c>
      <c r="F26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Helper'!$F$5:$F$3004,"""")&lt;&gt;""""),ROWS(F$5:F2631)),IF(AND(LEFT(x,5)=""Pag"&amp;"e "",ISERROR(SEARCH(""–"",x))),x&amp;""–""&amp;REGEXEXTRACT(x,""[0-9]+$""),x)),"""")"),"")</f>
        <v/>
      </c>
      <c r="G2631" s="163"/>
      <c r="H26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Helper'!$F$5:$F$3004,"""")&lt;&gt;""""),ROWS(H$5:H2631)),"""")"),"")</f>
        <v/>
      </c>
    </row>
    <row r="2632" ht="15.75" customHeight="1">
      <c r="A26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Helper'!$F$5:$F$3004,"""")&lt;&gt;""""),ROWS(A$5:A2632)),"""")"),"")</f>
        <v/>
      </c>
      <c r="B26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Helper'!$F$5:$F$3004,"""")&lt;&gt;""""),ROWS(B$5:B2632)),"""")"),"")</f>
        <v/>
      </c>
      <c r="C26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Helper'!$F$5:$F$3004,"""")&lt;&gt;""""),ROWS(C$5:C2632)),"""")"),"")</f>
        <v/>
      </c>
      <c r="D26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Helper'!$F$5:$F$3004,"""")&lt;&gt;""""),ROWS(D$5:D2632)),"""")"),"")</f>
        <v/>
      </c>
      <c r="E26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Helper'!$F$5:$F$3004,"""")&lt;&gt;""""),ROWS(E$5:E2632)),"""")"),"")</f>
        <v/>
      </c>
      <c r="F26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Helper'!$F$5:$F$3004,"""")&lt;&gt;""""),ROWS(F$5:F2632)),IF(AND(LEFT(x,5)=""Pag"&amp;"e "",ISERROR(SEARCH(""–"",x))),x&amp;""–""&amp;REGEXEXTRACT(x,""[0-9]+$""),x)),"""")"),"")</f>
        <v/>
      </c>
      <c r="G2632" s="163"/>
      <c r="H26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Helper'!$F$5:$F$3004,"""")&lt;&gt;""""),ROWS(H$5:H2632)),"""")"),"")</f>
        <v/>
      </c>
    </row>
    <row r="2633" ht="15.75" customHeight="1">
      <c r="A26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Helper'!$F$5:$F$3004,"""")&lt;&gt;""""),ROWS(A$5:A2633)),"""")"),"")</f>
        <v/>
      </c>
      <c r="B26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Helper'!$F$5:$F$3004,"""")&lt;&gt;""""),ROWS(B$5:B2633)),"""")"),"")</f>
        <v/>
      </c>
      <c r="C26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Helper'!$F$5:$F$3004,"""")&lt;&gt;""""),ROWS(C$5:C2633)),"""")"),"")</f>
        <v/>
      </c>
      <c r="D26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Helper'!$F$5:$F$3004,"""")&lt;&gt;""""),ROWS(D$5:D2633)),"""")"),"")</f>
        <v/>
      </c>
      <c r="E26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Helper'!$F$5:$F$3004,"""")&lt;&gt;""""),ROWS(E$5:E2633)),"""")"),"")</f>
        <v/>
      </c>
      <c r="F26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Helper'!$F$5:$F$3004,"""")&lt;&gt;""""),ROWS(F$5:F2633)),IF(AND(LEFT(x,5)=""Pag"&amp;"e "",ISERROR(SEARCH(""–"",x))),x&amp;""–""&amp;REGEXEXTRACT(x,""[0-9]+$""),x)),"""")"),"")</f>
        <v/>
      </c>
      <c r="G2633" s="163"/>
      <c r="H26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Helper'!$F$5:$F$3004,"""")&lt;&gt;""""),ROWS(H$5:H2633)),"""")"),"")</f>
        <v/>
      </c>
    </row>
    <row r="2634" ht="15.75" customHeight="1">
      <c r="A26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Helper'!$F$5:$F$3004,"""")&lt;&gt;""""),ROWS(A$5:A2634)),"""")"),"")</f>
        <v/>
      </c>
      <c r="B26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Helper'!$F$5:$F$3004,"""")&lt;&gt;""""),ROWS(B$5:B2634)),"""")"),"")</f>
        <v/>
      </c>
      <c r="C26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Helper'!$F$5:$F$3004,"""")&lt;&gt;""""),ROWS(C$5:C2634)),"""")"),"")</f>
        <v/>
      </c>
      <c r="D26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Helper'!$F$5:$F$3004,"""")&lt;&gt;""""),ROWS(D$5:D2634)),"""")"),"")</f>
        <v/>
      </c>
      <c r="E26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Helper'!$F$5:$F$3004,"""")&lt;&gt;""""),ROWS(E$5:E2634)),"""")"),"")</f>
        <v/>
      </c>
      <c r="F26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Helper'!$F$5:$F$3004,"""")&lt;&gt;""""),ROWS(F$5:F2634)),IF(AND(LEFT(x,5)=""Pag"&amp;"e "",ISERROR(SEARCH(""–"",x))),x&amp;""–""&amp;REGEXEXTRACT(x,""[0-9]+$""),x)),"""")"),"")</f>
        <v/>
      </c>
      <c r="G2634" s="163"/>
      <c r="H26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Helper'!$F$5:$F$3004,"""")&lt;&gt;""""),ROWS(H$5:H2634)),"""")"),"")</f>
        <v/>
      </c>
    </row>
    <row r="2635" ht="15.75" customHeight="1">
      <c r="A26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Helper'!$F$5:$F$3004,"""")&lt;&gt;""""),ROWS(A$5:A2635)),"""")"),"")</f>
        <v/>
      </c>
      <c r="B26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Helper'!$F$5:$F$3004,"""")&lt;&gt;""""),ROWS(B$5:B2635)),"""")"),"")</f>
        <v/>
      </c>
      <c r="C26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Helper'!$F$5:$F$3004,"""")&lt;&gt;""""),ROWS(C$5:C2635)),"""")"),"")</f>
        <v/>
      </c>
      <c r="D26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Helper'!$F$5:$F$3004,"""")&lt;&gt;""""),ROWS(D$5:D2635)),"""")"),"")</f>
        <v/>
      </c>
      <c r="E26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Helper'!$F$5:$F$3004,"""")&lt;&gt;""""),ROWS(E$5:E2635)),"""")"),"")</f>
        <v/>
      </c>
      <c r="F26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Helper'!$F$5:$F$3004,"""")&lt;&gt;""""),ROWS(F$5:F2635)),IF(AND(LEFT(x,5)=""Pag"&amp;"e "",ISERROR(SEARCH(""–"",x))),x&amp;""–""&amp;REGEXEXTRACT(x,""[0-9]+$""),x)),"""")"),"")</f>
        <v/>
      </c>
      <c r="G2635" s="163"/>
      <c r="H26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Helper'!$F$5:$F$3004,"""")&lt;&gt;""""),ROWS(H$5:H2635)),"""")"),"")</f>
        <v/>
      </c>
    </row>
    <row r="2636" ht="15.75" customHeight="1">
      <c r="A26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Helper'!$F$5:$F$3004,"""")&lt;&gt;""""),ROWS(A$5:A2636)),"""")"),"")</f>
        <v/>
      </c>
      <c r="B26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Helper'!$F$5:$F$3004,"""")&lt;&gt;""""),ROWS(B$5:B2636)),"""")"),"")</f>
        <v/>
      </c>
      <c r="C26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Helper'!$F$5:$F$3004,"""")&lt;&gt;""""),ROWS(C$5:C2636)),"""")"),"")</f>
        <v/>
      </c>
      <c r="D26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Helper'!$F$5:$F$3004,"""")&lt;&gt;""""),ROWS(D$5:D2636)),"""")"),"")</f>
        <v/>
      </c>
      <c r="E26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Helper'!$F$5:$F$3004,"""")&lt;&gt;""""),ROWS(E$5:E2636)),"""")"),"")</f>
        <v/>
      </c>
      <c r="F26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Helper'!$F$5:$F$3004,"""")&lt;&gt;""""),ROWS(F$5:F2636)),IF(AND(LEFT(x,5)=""Pag"&amp;"e "",ISERROR(SEARCH(""–"",x))),x&amp;""–""&amp;REGEXEXTRACT(x,""[0-9]+$""),x)),"""")"),"")</f>
        <v/>
      </c>
      <c r="G2636" s="163"/>
      <c r="H26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Helper'!$F$5:$F$3004,"""")&lt;&gt;""""),ROWS(H$5:H2636)),"""")"),"")</f>
        <v/>
      </c>
    </row>
    <row r="2637" ht="15.75" customHeight="1">
      <c r="A26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Helper'!$F$5:$F$3004,"""")&lt;&gt;""""),ROWS(A$5:A2637)),"""")"),"")</f>
        <v/>
      </c>
      <c r="B26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Helper'!$F$5:$F$3004,"""")&lt;&gt;""""),ROWS(B$5:B2637)),"""")"),"")</f>
        <v/>
      </c>
      <c r="C26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Helper'!$F$5:$F$3004,"""")&lt;&gt;""""),ROWS(C$5:C2637)),"""")"),"")</f>
        <v/>
      </c>
      <c r="D26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Helper'!$F$5:$F$3004,"""")&lt;&gt;""""),ROWS(D$5:D2637)),"""")"),"")</f>
        <v/>
      </c>
      <c r="E26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Helper'!$F$5:$F$3004,"""")&lt;&gt;""""),ROWS(E$5:E2637)),"""")"),"")</f>
        <v/>
      </c>
      <c r="F26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Helper'!$F$5:$F$3004,"""")&lt;&gt;""""),ROWS(F$5:F2637)),IF(AND(LEFT(x,5)=""Pag"&amp;"e "",ISERROR(SEARCH(""–"",x))),x&amp;""–""&amp;REGEXEXTRACT(x,""[0-9]+$""),x)),"""")"),"")</f>
        <v/>
      </c>
      <c r="G2637" s="163"/>
      <c r="H26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Helper'!$F$5:$F$3004,"""")&lt;&gt;""""),ROWS(H$5:H2637)),"""")"),"")</f>
        <v/>
      </c>
    </row>
    <row r="2638" ht="15.75" customHeight="1">
      <c r="A26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Helper'!$F$5:$F$3004,"""")&lt;&gt;""""),ROWS(A$5:A2638)),"""")"),"")</f>
        <v/>
      </c>
      <c r="B26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Helper'!$F$5:$F$3004,"""")&lt;&gt;""""),ROWS(B$5:B2638)),"""")"),"")</f>
        <v/>
      </c>
      <c r="C26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Helper'!$F$5:$F$3004,"""")&lt;&gt;""""),ROWS(C$5:C2638)),"""")"),"")</f>
        <v/>
      </c>
      <c r="D26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Helper'!$F$5:$F$3004,"""")&lt;&gt;""""),ROWS(D$5:D2638)),"""")"),"")</f>
        <v/>
      </c>
      <c r="E26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Helper'!$F$5:$F$3004,"""")&lt;&gt;""""),ROWS(E$5:E2638)),"""")"),"")</f>
        <v/>
      </c>
      <c r="F26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Helper'!$F$5:$F$3004,"""")&lt;&gt;""""),ROWS(F$5:F2638)),IF(AND(LEFT(x,5)=""Pag"&amp;"e "",ISERROR(SEARCH(""–"",x))),x&amp;""–""&amp;REGEXEXTRACT(x,""[0-9]+$""),x)),"""")"),"")</f>
        <v/>
      </c>
      <c r="G2638" s="163"/>
      <c r="H26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Helper'!$F$5:$F$3004,"""")&lt;&gt;""""),ROWS(H$5:H2638)),"""")"),"")</f>
        <v/>
      </c>
    </row>
    <row r="2639" ht="15.75" customHeight="1">
      <c r="A26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Helper'!$F$5:$F$3004,"""")&lt;&gt;""""),ROWS(A$5:A2639)),"""")"),"")</f>
        <v/>
      </c>
      <c r="B26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Helper'!$F$5:$F$3004,"""")&lt;&gt;""""),ROWS(B$5:B2639)),"""")"),"")</f>
        <v/>
      </c>
      <c r="C26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Helper'!$F$5:$F$3004,"""")&lt;&gt;""""),ROWS(C$5:C2639)),"""")"),"")</f>
        <v/>
      </c>
      <c r="D26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Helper'!$F$5:$F$3004,"""")&lt;&gt;""""),ROWS(D$5:D2639)),"""")"),"")</f>
        <v/>
      </c>
      <c r="E26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Helper'!$F$5:$F$3004,"""")&lt;&gt;""""),ROWS(E$5:E2639)),"""")"),"")</f>
        <v/>
      </c>
      <c r="F26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Helper'!$F$5:$F$3004,"""")&lt;&gt;""""),ROWS(F$5:F2639)),IF(AND(LEFT(x,5)=""Pag"&amp;"e "",ISERROR(SEARCH(""–"",x))),x&amp;""–""&amp;REGEXEXTRACT(x,""[0-9]+$""),x)),"""")"),"")</f>
        <v/>
      </c>
      <c r="G2639" s="163"/>
      <c r="H26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Helper'!$F$5:$F$3004,"""")&lt;&gt;""""),ROWS(H$5:H2639)),"""")"),"")</f>
        <v/>
      </c>
    </row>
    <row r="2640" ht="15.75" customHeight="1">
      <c r="A26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Helper'!$F$5:$F$3004,"""")&lt;&gt;""""),ROWS(A$5:A2640)),"""")"),"")</f>
        <v/>
      </c>
      <c r="B26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Helper'!$F$5:$F$3004,"""")&lt;&gt;""""),ROWS(B$5:B2640)),"""")"),"")</f>
        <v/>
      </c>
      <c r="C26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Helper'!$F$5:$F$3004,"""")&lt;&gt;""""),ROWS(C$5:C2640)),"""")"),"")</f>
        <v/>
      </c>
      <c r="D26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Helper'!$F$5:$F$3004,"""")&lt;&gt;""""),ROWS(D$5:D2640)),"""")"),"")</f>
        <v/>
      </c>
      <c r="E26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Helper'!$F$5:$F$3004,"""")&lt;&gt;""""),ROWS(E$5:E2640)),"""")"),"")</f>
        <v/>
      </c>
      <c r="F26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Helper'!$F$5:$F$3004,"""")&lt;&gt;""""),ROWS(F$5:F2640)),IF(AND(LEFT(x,5)=""Pag"&amp;"e "",ISERROR(SEARCH(""–"",x))),x&amp;""–""&amp;REGEXEXTRACT(x,""[0-9]+$""),x)),"""")"),"")</f>
        <v/>
      </c>
      <c r="G2640" s="163"/>
      <c r="H26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Helper'!$F$5:$F$3004,"""")&lt;&gt;""""),ROWS(H$5:H2640)),"""")"),"")</f>
        <v/>
      </c>
    </row>
    <row r="2641" ht="15.75" customHeight="1">
      <c r="A26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Helper'!$F$5:$F$3004,"""")&lt;&gt;""""),ROWS(A$5:A2641)),"""")"),"")</f>
        <v/>
      </c>
      <c r="B26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Helper'!$F$5:$F$3004,"""")&lt;&gt;""""),ROWS(B$5:B2641)),"""")"),"")</f>
        <v/>
      </c>
      <c r="C26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Helper'!$F$5:$F$3004,"""")&lt;&gt;""""),ROWS(C$5:C2641)),"""")"),"")</f>
        <v/>
      </c>
      <c r="D26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Helper'!$F$5:$F$3004,"""")&lt;&gt;""""),ROWS(D$5:D2641)),"""")"),"")</f>
        <v/>
      </c>
      <c r="E26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Helper'!$F$5:$F$3004,"""")&lt;&gt;""""),ROWS(E$5:E2641)),"""")"),"")</f>
        <v/>
      </c>
      <c r="F26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Helper'!$F$5:$F$3004,"""")&lt;&gt;""""),ROWS(F$5:F2641)),IF(AND(LEFT(x,5)=""Pag"&amp;"e "",ISERROR(SEARCH(""–"",x))),x&amp;""–""&amp;REGEXEXTRACT(x,""[0-9]+$""),x)),"""")"),"")</f>
        <v/>
      </c>
      <c r="G2641" s="163"/>
      <c r="H26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Helper'!$F$5:$F$3004,"""")&lt;&gt;""""),ROWS(H$5:H2641)),"""")"),"")</f>
        <v/>
      </c>
    </row>
    <row r="2642" ht="15.75" customHeight="1">
      <c r="A26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Helper'!$F$5:$F$3004,"""")&lt;&gt;""""),ROWS(A$5:A2642)),"""")"),"")</f>
        <v/>
      </c>
      <c r="B26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Helper'!$F$5:$F$3004,"""")&lt;&gt;""""),ROWS(B$5:B2642)),"""")"),"")</f>
        <v/>
      </c>
      <c r="C26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Helper'!$F$5:$F$3004,"""")&lt;&gt;""""),ROWS(C$5:C2642)),"""")"),"")</f>
        <v/>
      </c>
      <c r="D26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Helper'!$F$5:$F$3004,"""")&lt;&gt;""""),ROWS(D$5:D2642)),"""")"),"")</f>
        <v/>
      </c>
      <c r="E26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Helper'!$F$5:$F$3004,"""")&lt;&gt;""""),ROWS(E$5:E2642)),"""")"),"")</f>
        <v/>
      </c>
      <c r="F26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Helper'!$F$5:$F$3004,"""")&lt;&gt;""""),ROWS(F$5:F2642)),IF(AND(LEFT(x,5)=""Pag"&amp;"e "",ISERROR(SEARCH(""–"",x))),x&amp;""–""&amp;REGEXEXTRACT(x,""[0-9]+$""),x)),"""")"),"")</f>
        <v/>
      </c>
      <c r="G2642" s="163"/>
      <c r="H26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Helper'!$F$5:$F$3004,"""")&lt;&gt;""""),ROWS(H$5:H2642)),"""")"),"")</f>
        <v/>
      </c>
    </row>
    <row r="2643" ht="15.75" customHeight="1">
      <c r="A26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Helper'!$F$5:$F$3004,"""")&lt;&gt;""""),ROWS(A$5:A2643)),"""")"),"")</f>
        <v/>
      </c>
      <c r="B26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Helper'!$F$5:$F$3004,"""")&lt;&gt;""""),ROWS(B$5:B2643)),"""")"),"")</f>
        <v/>
      </c>
      <c r="C26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Helper'!$F$5:$F$3004,"""")&lt;&gt;""""),ROWS(C$5:C2643)),"""")"),"")</f>
        <v/>
      </c>
      <c r="D26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Helper'!$F$5:$F$3004,"""")&lt;&gt;""""),ROWS(D$5:D2643)),"""")"),"")</f>
        <v/>
      </c>
      <c r="E26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Helper'!$F$5:$F$3004,"""")&lt;&gt;""""),ROWS(E$5:E2643)),"""")"),"")</f>
        <v/>
      </c>
      <c r="F26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Helper'!$F$5:$F$3004,"""")&lt;&gt;""""),ROWS(F$5:F2643)),IF(AND(LEFT(x,5)=""Pag"&amp;"e "",ISERROR(SEARCH(""–"",x))),x&amp;""–""&amp;REGEXEXTRACT(x,""[0-9]+$""),x)),"""")"),"")</f>
        <v/>
      </c>
      <c r="G2643" s="163"/>
      <c r="H26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Helper'!$F$5:$F$3004,"""")&lt;&gt;""""),ROWS(H$5:H2643)),"""")"),"")</f>
        <v/>
      </c>
    </row>
    <row r="2644" ht="15.75" customHeight="1">
      <c r="A26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Helper'!$F$5:$F$3004,"""")&lt;&gt;""""),ROWS(A$5:A2644)),"""")"),"")</f>
        <v/>
      </c>
      <c r="B26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Helper'!$F$5:$F$3004,"""")&lt;&gt;""""),ROWS(B$5:B2644)),"""")"),"")</f>
        <v/>
      </c>
      <c r="C26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Helper'!$F$5:$F$3004,"""")&lt;&gt;""""),ROWS(C$5:C2644)),"""")"),"")</f>
        <v/>
      </c>
      <c r="D26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Helper'!$F$5:$F$3004,"""")&lt;&gt;""""),ROWS(D$5:D2644)),"""")"),"")</f>
        <v/>
      </c>
      <c r="E26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Helper'!$F$5:$F$3004,"""")&lt;&gt;""""),ROWS(E$5:E2644)),"""")"),"")</f>
        <v/>
      </c>
      <c r="F26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Helper'!$F$5:$F$3004,"""")&lt;&gt;""""),ROWS(F$5:F2644)),IF(AND(LEFT(x,5)=""Pag"&amp;"e "",ISERROR(SEARCH(""–"",x))),x&amp;""–""&amp;REGEXEXTRACT(x,""[0-9]+$""),x)),"""")"),"")</f>
        <v/>
      </c>
      <c r="G2644" s="163"/>
      <c r="H26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Helper'!$F$5:$F$3004,"""")&lt;&gt;""""),ROWS(H$5:H2644)),"""")"),"")</f>
        <v/>
      </c>
    </row>
    <row r="2645" ht="15.75" customHeight="1">
      <c r="A26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Helper'!$F$5:$F$3004,"""")&lt;&gt;""""),ROWS(A$5:A2645)),"""")"),"")</f>
        <v/>
      </c>
      <c r="B26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Helper'!$F$5:$F$3004,"""")&lt;&gt;""""),ROWS(B$5:B2645)),"""")"),"")</f>
        <v/>
      </c>
      <c r="C26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Helper'!$F$5:$F$3004,"""")&lt;&gt;""""),ROWS(C$5:C2645)),"""")"),"")</f>
        <v/>
      </c>
      <c r="D26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Helper'!$F$5:$F$3004,"""")&lt;&gt;""""),ROWS(D$5:D2645)),"""")"),"")</f>
        <v/>
      </c>
      <c r="E26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Helper'!$F$5:$F$3004,"""")&lt;&gt;""""),ROWS(E$5:E2645)),"""")"),"")</f>
        <v/>
      </c>
      <c r="F26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Helper'!$F$5:$F$3004,"""")&lt;&gt;""""),ROWS(F$5:F2645)),IF(AND(LEFT(x,5)=""Pag"&amp;"e "",ISERROR(SEARCH(""–"",x))),x&amp;""–""&amp;REGEXEXTRACT(x,""[0-9]+$""),x)),"""")"),"")</f>
        <v/>
      </c>
      <c r="G2645" s="163"/>
      <c r="H26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Helper'!$F$5:$F$3004,"""")&lt;&gt;""""),ROWS(H$5:H2645)),"""")"),"")</f>
        <v/>
      </c>
    </row>
    <row r="2646" ht="15.75" customHeight="1">
      <c r="A26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Helper'!$F$5:$F$3004,"""")&lt;&gt;""""),ROWS(A$5:A2646)),"""")"),"")</f>
        <v/>
      </c>
      <c r="B26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Helper'!$F$5:$F$3004,"""")&lt;&gt;""""),ROWS(B$5:B2646)),"""")"),"")</f>
        <v/>
      </c>
      <c r="C26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Helper'!$F$5:$F$3004,"""")&lt;&gt;""""),ROWS(C$5:C2646)),"""")"),"")</f>
        <v/>
      </c>
      <c r="D26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Helper'!$F$5:$F$3004,"""")&lt;&gt;""""),ROWS(D$5:D2646)),"""")"),"")</f>
        <v/>
      </c>
      <c r="E26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Helper'!$F$5:$F$3004,"""")&lt;&gt;""""),ROWS(E$5:E2646)),"""")"),"")</f>
        <v/>
      </c>
      <c r="F26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Helper'!$F$5:$F$3004,"""")&lt;&gt;""""),ROWS(F$5:F2646)),IF(AND(LEFT(x,5)=""Pag"&amp;"e "",ISERROR(SEARCH(""–"",x))),x&amp;""–""&amp;REGEXEXTRACT(x,""[0-9]+$""),x)),"""")"),"")</f>
        <v/>
      </c>
      <c r="G2646" s="163"/>
      <c r="H26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Helper'!$F$5:$F$3004,"""")&lt;&gt;""""),ROWS(H$5:H2646)),"""")"),"")</f>
        <v/>
      </c>
    </row>
    <row r="2647" ht="15.75" customHeight="1">
      <c r="A26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Helper'!$F$5:$F$3004,"""")&lt;&gt;""""),ROWS(A$5:A2647)),"""")"),"")</f>
        <v/>
      </c>
      <c r="B26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Helper'!$F$5:$F$3004,"""")&lt;&gt;""""),ROWS(B$5:B2647)),"""")"),"")</f>
        <v/>
      </c>
      <c r="C26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Helper'!$F$5:$F$3004,"""")&lt;&gt;""""),ROWS(C$5:C2647)),"""")"),"")</f>
        <v/>
      </c>
      <c r="D26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Helper'!$F$5:$F$3004,"""")&lt;&gt;""""),ROWS(D$5:D2647)),"""")"),"")</f>
        <v/>
      </c>
      <c r="E26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Helper'!$F$5:$F$3004,"""")&lt;&gt;""""),ROWS(E$5:E2647)),"""")"),"")</f>
        <v/>
      </c>
      <c r="F26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Helper'!$F$5:$F$3004,"""")&lt;&gt;""""),ROWS(F$5:F2647)),IF(AND(LEFT(x,5)=""Pag"&amp;"e "",ISERROR(SEARCH(""–"",x))),x&amp;""–""&amp;REGEXEXTRACT(x,""[0-9]+$""),x)),"""")"),"")</f>
        <v/>
      </c>
      <c r="G2647" s="163"/>
      <c r="H26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Helper'!$F$5:$F$3004,"""")&lt;&gt;""""),ROWS(H$5:H2647)),"""")"),"")</f>
        <v/>
      </c>
    </row>
    <row r="2648" ht="15.75" customHeight="1">
      <c r="A26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Helper'!$F$5:$F$3004,"""")&lt;&gt;""""),ROWS(A$5:A2648)),"""")"),"")</f>
        <v/>
      </c>
      <c r="B26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Helper'!$F$5:$F$3004,"""")&lt;&gt;""""),ROWS(B$5:B2648)),"""")"),"")</f>
        <v/>
      </c>
      <c r="C26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Helper'!$F$5:$F$3004,"""")&lt;&gt;""""),ROWS(C$5:C2648)),"""")"),"")</f>
        <v/>
      </c>
      <c r="D26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Helper'!$F$5:$F$3004,"""")&lt;&gt;""""),ROWS(D$5:D2648)),"""")"),"")</f>
        <v/>
      </c>
      <c r="E26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Helper'!$F$5:$F$3004,"""")&lt;&gt;""""),ROWS(E$5:E2648)),"""")"),"")</f>
        <v/>
      </c>
      <c r="F26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Helper'!$F$5:$F$3004,"""")&lt;&gt;""""),ROWS(F$5:F2648)),IF(AND(LEFT(x,5)=""Pag"&amp;"e "",ISERROR(SEARCH(""–"",x))),x&amp;""–""&amp;REGEXEXTRACT(x,""[0-9]+$""),x)),"""")"),"")</f>
        <v/>
      </c>
      <c r="G2648" s="163"/>
      <c r="H26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Helper'!$F$5:$F$3004,"""")&lt;&gt;""""),ROWS(H$5:H2648)),"""")"),"")</f>
        <v/>
      </c>
    </row>
    <row r="2649" ht="15.75" customHeight="1">
      <c r="A26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Helper'!$F$5:$F$3004,"""")&lt;&gt;""""),ROWS(A$5:A2649)),"""")"),"")</f>
        <v/>
      </c>
      <c r="B26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Helper'!$F$5:$F$3004,"""")&lt;&gt;""""),ROWS(B$5:B2649)),"""")"),"")</f>
        <v/>
      </c>
      <c r="C26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Helper'!$F$5:$F$3004,"""")&lt;&gt;""""),ROWS(C$5:C2649)),"""")"),"")</f>
        <v/>
      </c>
      <c r="D26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Helper'!$F$5:$F$3004,"""")&lt;&gt;""""),ROWS(D$5:D2649)),"""")"),"")</f>
        <v/>
      </c>
      <c r="E26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Helper'!$F$5:$F$3004,"""")&lt;&gt;""""),ROWS(E$5:E2649)),"""")"),"")</f>
        <v/>
      </c>
      <c r="F26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Helper'!$F$5:$F$3004,"""")&lt;&gt;""""),ROWS(F$5:F2649)),IF(AND(LEFT(x,5)=""Pag"&amp;"e "",ISERROR(SEARCH(""–"",x))),x&amp;""–""&amp;REGEXEXTRACT(x,""[0-9]+$""),x)),"""")"),"")</f>
        <v/>
      </c>
      <c r="G2649" s="163"/>
      <c r="H26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Helper'!$F$5:$F$3004,"""")&lt;&gt;""""),ROWS(H$5:H2649)),"""")"),"")</f>
        <v/>
      </c>
    </row>
    <row r="2650" ht="15.75" customHeight="1">
      <c r="A26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Helper'!$F$5:$F$3004,"""")&lt;&gt;""""),ROWS(A$5:A2650)),"""")"),"")</f>
        <v/>
      </c>
      <c r="B26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Helper'!$F$5:$F$3004,"""")&lt;&gt;""""),ROWS(B$5:B2650)),"""")"),"")</f>
        <v/>
      </c>
      <c r="C26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Helper'!$F$5:$F$3004,"""")&lt;&gt;""""),ROWS(C$5:C2650)),"""")"),"")</f>
        <v/>
      </c>
      <c r="D26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Helper'!$F$5:$F$3004,"""")&lt;&gt;""""),ROWS(D$5:D2650)),"""")"),"")</f>
        <v/>
      </c>
      <c r="E26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Helper'!$F$5:$F$3004,"""")&lt;&gt;""""),ROWS(E$5:E2650)),"""")"),"")</f>
        <v/>
      </c>
      <c r="F26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Helper'!$F$5:$F$3004,"""")&lt;&gt;""""),ROWS(F$5:F2650)),IF(AND(LEFT(x,5)=""Pag"&amp;"e "",ISERROR(SEARCH(""–"",x))),x&amp;""–""&amp;REGEXEXTRACT(x,""[0-9]+$""),x)),"""")"),"")</f>
        <v/>
      </c>
      <c r="G2650" s="163"/>
      <c r="H26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Helper'!$F$5:$F$3004,"""")&lt;&gt;""""),ROWS(H$5:H2650)),"""")"),"")</f>
        <v/>
      </c>
    </row>
    <row r="2651" ht="15.75" customHeight="1">
      <c r="A26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Helper'!$F$5:$F$3004,"""")&lt;&gt;""""),ROWS(A$5:A2651)),"""")"),"")</f>
        <v/>
      </c>
      <c r="B26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Helper'!$F$5:$F$3004,"""")&lt;&gt;""""),ROWS(B$5:B2651)),"""")"),"")</f>
        <v/>
      </c>
      <c r="C26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Helper'!$F$5:$F$3004,"""")&lt;&gt;""""),ROWS(C$5:C2651)),"""")"),"")</f>
        <v/>
      </c>
      <c r="D26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Helper'!$F$5:$F$3004,"""")&lt;&gt;""""),ROWS(D$5:D2651)),"""")"),"")</f>
        <v/>
      </c>
      <c r="E26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Helper'!$F$5:$F$3004,"""")&lt;&gt;""""),ROWS(E$5:E2651)),"""")"),"")</f>
        <v/>
      </c>
      <c r="F26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Helper'!$F$5:$F$3004,"""")&lt;&gt;""""),ROWS(F$5:F2651)),IF(AND(LEFT(x,5)=""Pag"&amp;"e "",ISERROR(SEARCH(""–"",x))),x&amp;""–""&amp;REGEXEXTRACT(x,""[0-9]+$""),x)),"""")"),"")</f>
        <v/>
      </c>
      <c r="G2651" s="163"/>
      <c r="H26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Helper'!$F$5:$F$3004,"""")&lt;&gt;""""),ROWS(H$5:H2651)),"""")"),"")</f>
        <v/>
      </c>
    </row>
    <row r="2652" ht="15.75" customHeight="1">
      <c r="A26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Helper'!$F$5:$F$3004,"""")&lt;&gt;""""),ROWS(A$5:A2652)),"""")"),"")</f>
        <v/>
      </c>
      <c r="B26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Helper'!$F$5:$F$3004,"""")&lt;&gt;""""),ROWS(B$5:B2652)),"""")"),"")</f>
        <v/>
      </c>
      <c r="C26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Helper'!$F$5:$F$3004,"""")&lt;&gt;""""),ROWS(C$5:C2652)),"""")"),"")</f>
        <v/>
      </c>
      <c r="D26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Helper'!$F$5:$F$3004,"""")&lt;&gt;""""),ROWS(D$5:D2652)),"""")"),"")</f>
        <v/>
      </c>
      <c r="E26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Helper'!$F$5:$F$3004,"""")&lt;&gt;""""),ROWS(E$5:E2652)),"""")"),"")</f>
        <v/>
      </c>
      <c r="F26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Helper'!$F$5:$F$3004,"""")&lt;&gt;""""),ROWS(F$5:F2652)),IF(AND(LEFT(x,5)=""Pag"&amp;"e "",ISERROR(SEARCH(""–"",x))),x&amp;""–""&amp;REGEXEXTRACT(x,""[0-9]+$""),x)),"""")"),"")</f>
        <v/>
      </c>
      <c r="G2652" s="163"/>
      <c r="H26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Helper'!$F$5:$F$3004,"""")&lt;&gt;""""),ROWS(H$5:H2652)),"""")"),"")</f>
        <v/>
      </c>
    </row>
    <row r="2653" ht="15.75" customHeight="1">
      <c r="A26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Helper'!$F$5:$F$3004,"""")&lt;&gt;""""),ROWS(A$5:A2653)),"""")"),"")</f>
        <v/>
      </c>
      <c r="B26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Helper'!$F$5:$F$3004,"""")&lt;&gt;""""),ROWS(B$5:B2653)),"""")"),"")</f>
        <v/>
      </c>
      <c r="C26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Helper'!$F$5:$F$3004,"""")&lt;&gt;""""),ROWS(C$5:C2653)),"""")"),"")</f>
        <v/>
      </c>
      <c r="D26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Helper'!$F$5:$F$3004,"""")&lt;&gt;""""),ROWS(D$5:D2653)),"""")"),"")</f>
        <v/>
      </c>
      <c r="E26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Helper'!$F$5:$F$3004,"""")&lt;&gt;""""),ROWS(E$5:E2653)),"""")"),"")</f>
        <v/>
      </c>
      <c r="F26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Helper'!$F$5:$F$3004,"""")&lt;&gt;""""),ROWS(F$5:F2653)),IF(AND(LEFT(x,5)=""Pag"&amp;"e "",ISERROR(SEARCH(""–"",x))),x&amp;""–""&amp;REGEXEXTRACT(x,""[0-9]+$""),x)),"""")"),"")</f>
        <v/>
      </c>
      <c r="G2653" s="163"/>
      <c r="H26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Helper'!$F$5:$F$3004,"""")&lt;&gt;""""),ROWS(H$5:H2653)),"""")"),"")</f>
        <v/>
      </c>
    </row>
    <row r="2654" ht="15.75" customHeight="1">
      <c r="A26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Helper'!$F$5:$F$3004,"""")&lt;&gt;""""),ROWS(A$5:A2654)),"""")"),"")</f>
        <v/>
      </c>
      <c r="B26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Helper'!$F$5:$F$3004,"""")&lt;&gt;""""),ROWS(B$5:B2654)),"""")"),"")</f>
        <v/>
      </c>
      <c r="C26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Helper'!$F$5:$F$3004,"""")&lt;&gt;""""),ROWS(C$5:C2654)),"""")"),"")</f>
        <v/>
      </c>
      <c r="D26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Helper'!$F$5:$F$3004,"""")&lt;&gt;""""),ROWS(D$5:D2654)),"""")"),"")</f>
        <v/>
      </c>
      <c r="E26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Helper'!$F$5:$F$3004,"""")&lt;&gt;""""),ROWS(E$5:E2654)),"""")"),"")</f>
        <v/>
      </c>
      <c r="F26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Helper'!$F$5:$F$3004,"""")&lt;&gt;""""),ROWS(F$5:F2654)),IF(AND(LEFT(x,5)=""Pag"&amp;"e "",ISERROR(SEARCH(""–"",x))),x&amp;""–""&amp;REGEXEXTRACT(x,""[0-9]+$""),x)),"""")"),"")</f>
        <v/>
      </c>
      <c r="G2654" s="163"/>
      <c r="H26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Helper'!$F$5:$F$3004,"""")&lt;&gt;""""),ROWS(H$5:H2654)),"""")"),"")</f>
        <v/>
      </c>
    </row>
    <row r="2655" ht="15.75" customHeight="1">
      <c r="A26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Helper'!$F$5:$F$3004,"""")&lt;&gt;""""),ROWS(A$5:A2655)),"""")"),"")</f>
        <v/>
      </c>
      <c r="B26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Helper'!$F$5:$F$3004,"""")&lt;&gt;""""),ROWS(B$5:B2655)),"""")"),"")</f>
        <v/>
      </c>
      <c r="C26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Helper'!$F$5:$F$3004,"""")&lt;&gt;""""),ROWS(C$5:C2655)),"""")"),"")</f>
        <v/>
      </c>
      <c r="D26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Helper'!$F$5:$F$3004,"""")&lt;&gt;""""),ROWS(D$5:D2655)),"""")"),"")</f>
        <v/>
      </c>
      <c r="E26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Helper'!$F$5:$F$3004,"""")&lt;&gt;""""),ROWS(E$5:E2655)),"""")"),"")</f>
        <v/>
      </c>
      <c r="F26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Helper'!$F$5:$F$3004,"""")&lt;&gt;""""),ROWS(F$5:F2655)),IF(AND(LEFT(x,5)=""Pag"&amp;"e "",ISERROR(SEARCH(""–"",x))),x&amp;""–""&amp;REGEXEXTRACT(x,""[0-9]+$""),x)),"""")"),"")</f>
        <v/>
      </c>
      <c r="G2655" s="163"/>
      <c r="H26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Helper'!$F$5:$F$3004,"""")&lt;&gt;""""),ROWS(H$5:H2655)),"""")"),"")</f>
        <v/>
      </c>
    </row>
    <row r="2656" ht="15.75" customHeight="1">
      <c r="A26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Helper'!$F$5:$F$3004,"""")&lt;&gt;""""),ROWS(A$5:A2656)),"""")"),"")</f>
        <v/>
      </c>
      <c r="B26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Helper'!$F$5:$F$3004,"""")&lt;&gt;""""),ROWS(B$5:B2656)),"""")"),"")</f>
        <v/>
      </c>
      <c r="C26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Helper'!$F$5:$F$3004,"""")&lt;&gt;""""),ROWS(C$5:C2656)),"""")"),"")</f>
        <v/>
      </c>
      <c r="D26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Helper'!$F$5:$F$3004,"""")&lt;&gt;""""),ROWS(D$5:D2656)),"""")"),"")</f>
        <v/>
      </c>
      <c r="E26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Helper'!$F$5:$F$3004,"""")&lt;&gt;""""),ROWS(E$5:E2656)),"""")"),"")</f>
        <v/>
      </c>
      <c r="F26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Helper'!$F$5:$F$3004,"""")&lt;&gt;""""),ROWS(F$5:F2656)),IF(AND(LEFT(x,5)=""Pag"&amp;"e "",ISERROR(SEARCH(""–"",x))),x&amp;""–""&amp;REGEXEXTRACT(x,""[0-9]+$""),x)),"""")"),"")</f>
        <v/>
      </c>
      <c r="G2656" s="163"/>
      <c r="H26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Helper'!$F$5:$F$3004,"""")&lt;&gt;""""),ROWS(H$5:H2656)),"""")"),"")</f>
        <v/>
      </c>
    </row>
    <row r="2657" ht="15.75" customHeight="1">
      <c r="A26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Helper'!$F$5:$F$3004,"""")&lt;&gt;""""),ROWS(A$5:A2657)),"""")"),"")</f>
        <v/>
      </c>
      <c r="B26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Helper'!$F$5:$F$3004,"""")&lt;&gt;""""),ROWS(B$5:B2657)),"""")"),"")</f>
        <v/>
      </c>
      <c r="C26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Helper'!$F$5:$F$3004,"""")&lt;&gt;""""),ROWS(C$5:C2657)),"""")"),"")</f>
        <v/>
      </c>
      <c r="D26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Helper'!$F$5:$F$3004,"""")&lt;&gt;""""),ROWS(D$5:D2657)),"""")"),"")</f>
        <v/>
      </c>
      <c r="E26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Helper'!$F$5:$F$3004,"""")&lt;&gt;""""),ROWS(E$5:E2657)),"""")"),"")</f>
        <v/>
      </c>
      <c r="F26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Helper'!$F$5:$F$3004,"""")&lt;&gt;""""),ROWS(F$5:F2657)),IF(AND(LEFT(x,5)=""Pag"&amp;"e "",ISERROR(SEARCH(""–"",x))),x&amp;""–""&amp;REGEXEXTRACT(x,""[0-9]+$""),x)),"""")"),"")</f>
        <v/>
      </c>
      <c r="G2657" s="163"/>
      <c r="H26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Helper'!$F$5:$F$3004,"""")&lt;&gt;""""),ROWS(H$5:H2657)),"""")"),"")</f>
        <v/>
      </c>
    </row>
    <row r="2658" ht="15.75" customHeight="1">
      <c r="A26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Helper'!$F$5:$F$3004,"""")&lt;&gt;""""),ROWS(A$5:A2658)),"""")"),"")</f>
        <v/>
      </c>
      <c r="B26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Helper'!$F$5:$F$3004,"""")&lt;&gt;""""),ROWS(B$5:B2658)),"""")"),"")</f>
        <v/>
      </c>
      <c r="C26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Helper'!$F$5:$F$3004,"""")&lt;&gt;""""),ROWS(C$5:C2658)),"""")"),"")</f>
        <v/>
      </c>
      <c r="D26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Helper'!$F$5:$F$3004,"""")&lt;&gt;""""),ROWS(D$5:D2658)),"""")"),"")</f>
        <v/>
      </c>
      <c r="E26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Helper'!$F$5:$F$3004,"""")&lt;&gt;""""),ROWS(E$5:E2658)),"""")"),"")</f>
        <v/>
      </c>
      <c r="F26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Helper'!$F$5:$F$3004,"""")&lt;&gt;""""),ROWS(F$5:F2658)),IF(AND(LEFT(x,5)=""Pag"&amp;"e "",ISERROR(SEARCH(""–"",x))),x&amp;""–""&amp;REGEXEXTRACT(x,""[0-9]+$""),x)),"""")"),"")</f>
        <v/>
      </c>
      <c r="G2658" s="163"/>
      <c r="H26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Helper'!$F$5:$F$3004,"""")&lt;&gt;""""),ROWS(H$5:H2658)),"""")"),"")</f>
        <v/>
      </c>
    </row>
    <row r="2659" ht="15.75" customHeight="1">
      <c r="A26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Helper'!$F$5:$F$3004,"""")&lt;&gt;""""),ROWS(A$5:A2659)),"""")"),"")</f>
        <v/>
      </c>
      <c r="B26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Helper'!$F$5:$F$3004,"""")&lt;&gt;""""),ROWS(B$5:B2659)),"""")"),"")</f>
        <v/>
      </c>
      <c r="C26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Helper'!$F$5:$F$3004,"""")&lt;&gt;""""),ROWS(C$5:C2659)),"""")"),"")</f>
        <v/>
      </c>
      <c r="D26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Helper'!$F$5:$F$3004,"""")&lt;&gt;""""),ROWS(D$5:D2659)),"""")"),"")</f>
        <v/>
      </c>
      <c r="E26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Helper'!$F$5:$F$3004,"""")&lt;&gt;""""),ROWS(E$5:E2659)),"""")"),"")</f>
        <v/>
      </c>
      <c r="F26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Helper'!$F$5:$F$3004,"""")&lt;&gt;""""),ROWS(F$5:F2659)),IF(AND(LEFT(x,5)=""Pag"&amp;"e "",ISERROR(SEARCH(""–"",x))),x&amp;""–""&amp;REGEXEXTRACT(x,""[0-9]+$""),x)),"""")"),"")</f>
        <v/>
      </c>
      <c r="G2659" s="163"/>
      <c r="H26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Helper'!$F$5:$F$3004,"""")&lt;&gt;""""),ROWS(H$5:H2659)),"""")"),"")</f>
        <v/>
      </c>
    </row>
    <row r="2660" ht="15.75" customHeight="1">
      <c r="A26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Helper'!$F$5:$F$3004,"""")&lt;&gt;""""),ROWS(A$5:A2660)),"""")"),"")</f>
        <v/>
      </c>
      <c r="B26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Helper'!$F$5:$F$3004,"""")&lt;&gt;""""),ROWS(B$5:B2660)),"""")"),"")</f>
        <v/>
      </c>
      <c r="C26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Helper'!$F$5:$F$3004,"""")&lt;&gt;""""),ROWS(C$5:C2660)),"""")"),"")</f>
        <v/>
      </c>
      <c r="D26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Helper'!$F$5:$F$3004,"""")&lt;&gt;""""),ROWS(D$5:D2660)),"""")"),"")</f>
        <v/>
      </c>
      <c r="E26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Helper'!$F$5:$F$3004,"""")&lt;&gt;""""),ROWS(E$5:E2660)),"""")"),"")</f>
        <v/>
      </c>
      <c r="F26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Helper'!$F$5:$F$3004,"""")&lt;&gt;""""),ROWS(F$5:F2660)),IF(AND(LEFT(x,5)=""Pag"&amp;"e "",ISERROR(SEARCH(""–"",x))),x&amp;""–""&amp;REGEXEXTRACT(x,""[0-9]+$""),x)),"""")"),"")</f>
        <v/>
      </c>
      <c r="G2660" s="163"/>
      <c r="H26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Helper'!$F$5:$F$3004,"""")&lt;&gt;""""),ROWS(H$5:H2660)),"""")"),"")</f>
        <v/>
      </c>
    </row>
    <row r="2661" ht="15.75" customHeight="1">
      <c r="A26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Helper'!$F$5:$F$3004,"""")&lt;&gt;""""),ROWS(A$5:A2661)),"""")"),"")</f>
        <v/>
      </c>
      <c r="B26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Helper'!$F$5:$F$3004,"""")&lt;&gt;""""),ROWS(B$5:B2661)),"""")"),"")</f>
        <v/>
      </c>
      <c r="C26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Helper'!$F$5:$F$3004,"""")&lt;&gt;""""),ROWS(C$5:C2661)),"""")"),"")</f>
        <v/>
      </c>
      <c r="D26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Helper'!$F$5:$F$3004,"""")&lt;&gt;""""),ROWS(D$5:D2661)),"""")"),"")</f>
        <v/>
      </c>
      <c r="E26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Helper'!$F$5:$F$3004,"""")&lt;&gt;""""),ROWS(E$5:E2661)),"""")"),"")</f>
        <v/>
      </c>
      <c r="F26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Helper'!$F$5:$F$3004,"""")&lt;&gt;""""),ROWS(F$5:F2661)),IF(AND(LEFT(x,5)=""Pag"&amp;"e "",ISERROR(SEARCH(""–"",x))),x&amp;""–""&amp;REGEXEXTRACT(x,""[0-9]+$""),x)),"""")"),"")</f>
        <v/>
      </c>
      <c r="G2661" s="163"/>
      <c r="H26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Helper'!$F$5:$F$3004,"""")&lt;&gt;""""),ROWS(H$5:H2661)),"""")"),"")</f>
        <v/>
      </c>
    </row>
    <row r="2662" ht="15.75" customHeight="1">
      <c r="A26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Helper'!$F$5:$F$3004,"""")&lt;&gt;""""),ROWS(A$5:A2662)),"""")"),"")</f>
        <v/>
      </c>
      <c r="B26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Helper'!$F$5:$F$3004,"""")&lt;&gt;""""),ROWS(B$5:B2662)),"""")"),"")</f>
        <v/>
      </c>
      <c r="C26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Helper'!$F$5:$F$3004,"""")&lt;&gt;""""),ROWS(C$5:C2662)),"""")"),"")</f>
        <v/>
      </c>
      <c r="D26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Helper'!$F$5:$F$3004,"""")&lt;&gt;""""),ROWS(D$5:D2662)),"""")"),"")</f>
        <v/>
      </c>
      <c r="E26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Helper'!$F$5:$F$3004,"""")&lt;&gt;""""),ROWS(E$5:E2662)),"""")"),"")</f>
        <v/>
      </c>
      <c r="F26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Helper'!$F$5:$F$3004,"""")&lt;&gt;""""),ROWS(F$5:F2662)),IF(AND(LEFT(x,5)=""Pag"&amp;"e "",ISERROR(SEARCH(""–"",x))),x&amp;""–""&amp;REGEXEXTRACT(x,""[0-9]+$""),x)),"""")"),"")</f>
        <v/>
      </c>
      <c r="G2662" s="163"/>
      <c r="H26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Helper'!$F$5:$F$3004,"""")&lt;&gt;""""),ROWS(H$5:H2662)),"""")"),"")</f>
        <v/>
      </c>
    </row>
    <row r="2663" ht="15.75" customHeight="1">
      <c r="A26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Helper'!$F$5:$F$3004,"""")&lt;&gt;""""),ROWS(A$5:A2663)),"""")"),"")</f>
        <v/>
      </c>
      <c r="B26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Helper'!$F$5:$F$3004,"""")&lt;&gt;""""),ROWS(B$5:B2663)),"""")"),"")</f>
        <v/>
      </c>
      <c r="C26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Helper'!$F$5:$F$3004,"""")&lt;&gt;""""),ROWS(C$5:C2663)),"""")"),"")</f>
        <v/>
      </c>
      <c r="D26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Helper'!$F$5:$F$3004,"""")&lt;&gt;""""),ROWS(D$5:D2663)),"""")"),"")</f>
        <v/>
      </c>
      <c r="E26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Helper'!$F$5:$F$3004,"""")&lt;&gt;""""),ROWS(E$5:E2663)),"""")"),"")</f>
        <v/>
      </c>
      <c r="F26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Helper'!$F$5:$F$3004,"""")&lt;&gt;""""),ROWS(F$5:F2663)),IF(AND(LEFT(x,5)=""Pag"&amp;"e "",ISERROR(SEARCH(""–"",x))),x&amp;""–""&amp;REGEXEXTRACT(x,""[0-9]+$""),x)),"""")"),"")</f>
        <v/>
      </c>
      <c r="G2663" s="163"/>
      <c r="H26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Helper'!$F$5:$F$3004,"""")&lt;&gt;""""),ROWS(H$5:H2663)),"""")"),"")</f>
        <v/>
      </c>
    </row>
    <row r="2664" ht="15.75" customHeight="1">
      <c r="A26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Helper'!$F$5:$F$3004,"""")&lt;&gt;""""),ROWS(A$5:A2664)),"""")"),"")</f>
        <v/>
      </c>
      <c r="B26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Helper'!$F$5:$F$3004,"""")&lt;&gt;""""),ROWS(B$5:B2664)),"""")"),"")</f>
        <v/>
      </c>
      <c r="C26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Helper'!$F$5:$F$3004,"""")&lt;&gt;""""),ROWS(C$5:C2664)),"""")"),"")</f>
        <v/>
      </c>
      <c r="D26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Helper'!$F$5:$F$3004,"""")&lt;&gt;""""),ROWS(D$5:D2664)),"""")"),"")</f>
        <v/>
      </c>
      <c r="E26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Helper'!$F$5:$F$3004,"""")&lt;&gt;""""),ROWS(E$5:E2664)),"""")"),"")</f>
        <v/>
      </c>
      <c r="F26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Helper'!$F$5:$F$3004,"""")&lt;&gt;""""),ROWS(F$5:F2664)),IF(AND(LEFT(x,5)=""Pag"&amp;"e "",ISERROR(SEARCH(""–"",x))),x&amp;""–""&amp;REGEXEXTRACT(x,""[0-9]+$""),x)),"""")"),"")</f>
        <v/>
      </c>
      <c r="G2664" s="163"/>
      <c r="H26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Helper'!$F$5:$F$3004,"""")&lt;&gt;""""),ROWS(H$5:H2664)),"""")"),"")</f>
        <v/>
      </c>
    </row>
    <row r="2665" ht="15.75" customHeight="1">
      <c r="A26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Helper'!$F$5:$F$3004,"""")&lt;&gt;""""),ROWS(A$5:A2665)),"""")"),"")</f>
        <v/>
      </c>
      <c r="B26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Helper'!$F$5:$F$3004,"""")&lt;&gt;""""),ROWS(B$5:B2665)),"""")"),"")</f>
        <v/>
      </c>
      <c r="C26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Helper'!$F$5:$F$3004,"""")&lt;&gt;""""),ROWS(C$5:C2665)),"""")"),"")</f>
        <v/>
      </c>
      <c r="D26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Helper'!$F$5:$F$3004,"""")&lt;&gt;""""),ROWS(D$5:D2665)),"""")"),"")</f>
        <v/>
      </c>
      <c r="E26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Helper'!$F$5:$F$3004,"""")&lt;&gt;""""),ROWS(E$5:E2665)),"""")"),"")</f>
        <v/>
      </c>
      <c r="F26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Helper'!$F$5:$F$3004,"""")&lt;&gt;""""),ROWS(F$5:F2665)),IF(AND(LEFT(x,5)=""Pag"&amp;"e "",ISERROR(SEARCH(""–"",x))),x&amp;""–""&amp;REGEXEXTRACT(x,""[0-9]+$""),x)),"""")"),"")</f>
        <v/>
      </c>
      <c r="G2665" s="163"/>
      <c r="H26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Helper'!$F$5:$F$3004,"""")&lt;&gt;""""),ROWS(H$5:H2665)),"""")"),"")</f>
        <v/>
      </c>
    </row>
    <row r="2666" ht="15.75" customHeight="1">
      <c r="A26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Helper'!$F$5:$F$3004,"""")&lt;&gt;""""),ROWS(A$5:A2666)),"""")"),"")</f>
        <v/>
      </c>
      <c r="B26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Helper'!$F$5:$F$3004,"""")&lt;&gt;""""),ROWS(B$5:B2666)),"""")"),"")</f>
        <v/>
      </c>
      <c r="C26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Helper'!$F$5:$F$3004,"""")&lt;&gt;""""),ROWS(C$5:C2666)),"""")"),"")</f>
        <v/>
      </c>
      <c r="D26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Helper'!$F$5:$F$3004,"""")&lt;&gt;""""),ROWS(D$5:D2666)),"""")"),"")</f>
        <v/>
      </c>
      <c r="E26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Helper'!$F$5:$F$3004,"""")&lt;&gt;""""),ROWS(E$5:E2666)),"""")"),"")</f>
        <v/>
      </c>
      <c r="F26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Helper'!$F$5:$F$3004,"""")&lt;&gt;""""),ROWS(F$5:F2666)),IF(AND(LEFT(x,5)=""Pag"&amp;"e "",ISERROR(SEARCH(""–"",x))),x&amp;""–""&amp;REGEXEXTRACT(x,""[0-9]+$""),x)),"""")"),"")</f>
        <v/>
      </c>
      <c r="G2666" s="163"/>
      <c r="H26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Helper'!$F$5:$F$3004,"""")&lt;&gt;""""),ROWS(H$5:H2666)),"""")"),"")</f>
        <v/>
      </c>
    </row>
    <row r="2667" ht="15.75" customHeight="1">
      <c r="A26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Helper'!$F$5:$F$3004,"""")&lt;&gt;""""),ROWS(A$5:A2667)),"""")"),"")</f>
        <v/>
      </c>
      <c r="B26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Helper'!$F$5:$F$3004,"""")&lt;&gt;""""),ROWS(B$5:B2667)),"""")"),"")</f>
        <v/>
      </c>
      <c r="C26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Helper'!$F$5:$F$3004,"""")&lt;&gt;""""),ROWS(C$5:C2667)),"""")"),"")</f>
        <v/>
      </c>
      <c r="D26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Helper'!$F$5:$F$3004,"""")&lt;&gt;""""),ROWS(D$5:D2667)),"""")"),"")</f>
        <v/>
      </c>
      <c r="E26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Helper'!$F$5:$F$3004,"""")&lt;&gt;""""),ROWS(E$5:E2667)),"""")"),"")</f>
        <v/>
      </c>
      <c r="F26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Helper'!$F$5:$F$3004,"""")&lt;&gt;""""),ROWS(F$5:F2667)),IF(AND(LEFT(x,5)=""Pag"&amp;"e "",ISERROR(SEARCH(""–"",x))),x&amp;""–""&amp;REGEXEXTRACT(x,""[0-9]+$""),x)),"""")"),"")</f>
        <v/>
      </c>
      <c r="G2667" s="163"/>
      <c r="H26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Helper'!$F$5:$F$3004,"""")&lt;&gt;""""),ROWS(H$5:H2667)),"""")"),"")</f>
        <v/>
      </c>
    </row>
    <row r="2668" ht="15.75" customHeight="1">
      <c r="A26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Helper'!$F$5:$F$3004,"""")&lt;&gt;""""),ROWS(A$5:A2668)),"""")"),"")</f>
        <v/>
      </c>
      <c r="B26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Helper'!$F$5:$F$3004,"""")&lt;&gt;""""),ROWS(B$5:B2668)),"""")"),"")</f>
        <v/>
      </c>
      <c r="C26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Helper'!$F$5:$F$3004,"""")&lt;&gt;""""),ROWS(C$5:C2668)),"""")"),"")</f>
        <v/>
      </c>
      <c r="D26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Helper'!$F$5:$F$3004,"""")&lt;&gt;""""),ROWS(D$5:D2668)),"""")"),"")</f>
        <v/>
      </c>
      <c r="E26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Helper'!$F$5:$F$3004,"""")&lt;&gt;""""),ROWS(E$5:E2668)),"""")"),"")</f>
        <v/>
      </c>
      <c r="F26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Helper'!$F$5:$F$3004,"""")&lt;&gt;""""),ROWS(F$5:F2668)),IF(AND(LEFT(x,5)=""Pag"&amp;"e "",ISERROR(SEARCH(""–"",x))),x&amp;""–""&amp;REGEXEXTRACT(x,""[0-9]+$""),x)),"""")"),"")</f>
        <v/>
      </c>
      <c r="G2668" s="163"/>
      <c r="H26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Helper'!$F$5:$F$3004,"""")&lt;&gt;""""),ROWS(H$5:H2668)),"""")"),"")</f>
        <v/>
      </c>
    </row>
    <row r="2669" ht="15.75" customHeight="1">
      <c r="A26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Helper'!$F$5:$F$3004,"""")&lt;&gt;""""),ROWS(A$5:A2669)),"""")"),"")</f>
        <v/>
      </c>
      <c r="B26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Helper'!$F$5:$F$3004,"""")&lt;&gt;""""),ROWS(B$5:B2669)),"""")"),"")</f>
        <v/>
      </c>
      <c r="C26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Helper'!$F$5:$F$3004,"""")&lt;&gt;""""),ROWS(C$5:C2669)),"""")"),"")</f>
        <v/>
      </c>
      <c r="D26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Helper'!$F$5:$F$3004,"""")&lt;&gt;""""),ROWS(D$5:D2669)),"""")"),"")</f>
        <v/>
      </c>
      <c r="E26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Helper'!$F$5:$F$3004,"""")&lt;&gt;""""),ROWS(E$5:E2669)),"""")"),"")</f>
        <v/>
      </c>
      <c r="F26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Helper'!$F$5:$F$3004,"""")&lt;&gt;""""),ROWS(F$5:F2669)),IF(AND(LEFT(x,5)=""Pag"&amp;"e "",ISERROR(SEARCH(""–"",x))),x&amp;""–""&amp;REGEXEXTRACT(x,""[0-9]+$""),x)),"""")"),"")</f>
        <v/>
      </c>
      <c r="G2669" s="163"/>
      <c r="H26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Helper'!$F$5:$F$3004,"""")&lt;&gt;""""),ROWS(H$5:H2669)),"""")"),"")</f>
        <v/>
      </c>
    </row>
    <row r="2670" ht="15.75" customHeight="1">
      <c r="A26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Helper'!$F$5:$F$3004,"""")&lt;&gt;""""),ROWS(A$5:A2670)),"""")"),"")</f>
        <v/>
      </c>
      <c r="B26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Helper'!$F$5:$F$3004,"""")&lt;&gt;""""),ROWS(B$5:B2670)),"""")"),"")</f>
        <v/>
      </c>
      <c r="C26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Helper'!$F$5:$F$3004,"""")&lt;&gt;""""),ROWS(C$5:C2670)),"""")"),"")</f>
        <v/>
      </c>
      <c r="D26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Helper'!$F$5:$F$3004,"""")&lt;&gt;""""),ROWS(D$5:D2670)),"""")"),"")</f>
        <v/>
      </c>
      <c r="E26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Helper'!$F$5:$F$3004,"""")&lt;&gt;""""),ROWS(E$5:E2670)),"""")"),"")</f>
        <v/>
      </c>
      <c r="F26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Helper'!$F$5:$F$3004,"""")&lt;&gt;""""),ROWS(F$5:F2670)),IF(AND(LEFT(x,5)=""Pag"&amp;"e "",ISERROR(SEARCH(""–"",x))),x&amp;""–""&amp;REGEXEXTRACT(x,""[0-9]+$""),x)),"""")"),"")</f>
        <v/>
      </c>
      <c r="G2670" s="163"/>
      <c r="H26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Helper'!$F$5:$F$3004,"""")&lt;&gt;""""),ROWS(H$5:H2670)),"""")"),"")</f>
        <v/>
      </c>
    </row>
    <row r="2671" ht="15.75" customHeight="1">
      <c r="A26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Helper'!$F$5:$F$3004,"""")&lt;&gt;""""),ROWS(A$5:A2671)),"""")"),"")</f>
        <v/>
      </c>
      <c r="B26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Helper'!$F$5:$F$3004,"""")&lt;&gt;""""),ROWS(B$5:B2671)),"""")"),"")</f>
        <v/>
      </c>
      <c r="C26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Helper'!$F$5:$F$3004,"""")&lt;&gt;""""),ROWS(C$5:C2671)),"""")"),"")</f>
        <v/>
      </c>
      <c r="D26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Helper'!$F$5:$F$3004,"""")&lt;&gt;""""),ROWS(D$5:D2671)),"""")"),"")</f>
        <v/>
      </c>
      <c r="E26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Helper'!$F$5:$F$3004,"""")&lt;&gt;""""),ROWS(E$5:E2671)),"""")"),"")</f>
        <v/>
      </c>
      <c r="F26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Helper'!$F$5:$F$3004,"""")&lt;&gt;""""),ROWS(F$5:F2671)),IF(AND(LEFT(x,5)=""Pag"&amp;"e "",ISERROR(SEARCH(""–"",x))),x&amp;""–""&amp;REGEXEXTRACT(x,""[0-9]+$""),x)),"""")"),"")</f>
        <v/>
      </c>
      <c r="G2671" s="163"/>
      <c r="H26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Helper'!$F$5:$F$3004,"""")&lt;&gt;""""),ROWS(H$5:H2671)),"""")"),"")</f>
        <v/>
      </c>
    </row>
    <row r="2672" ht="15.75" customHeight="1">
      <c r="A26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Helper'!$F$5:$F$3004,"""")&lt;&gt;""""),ROWS(A$5:A2672)),"""")"),"")</f>
        <v/>
      </c>
      <c r="B26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Helper'!$F$5:$F$3004,"""")&lt;&gt;""""),ROWS(B$5:B2672)),"""")"),"")</f>
        <v/>
      </c>
      <c r="C26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Helper'!$F$5:$F$3004,"""")&lt;&gt;""""),ROWS(C$5:C2672)),"""")"),"")</f>
        <v/>
      </c>
      <c r="D26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Helper'!$F$5:$F$3004,"""")&lt;&gt;""""),ROWS(D$5:D2672)),"""")"),"")</f>
        <v/>
      </c>
      <c r="E26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Helper'!$F$5:$F$3004,"""")&lt;&gt;""""),ROWS(E$5:E2672)),"""")"),"")</f>
        <v/>
      </c>
      <c r="F26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Helper'!$F$5:$F$3004,"""")&lt;&gt;""""),ROWS(F$5:F2672)),IF(AND(LEFT(x,5)=""Pag"&amp;"e "",ISERROR(SEARCH(""–"",x))),x&amp;""–""&amp;REGEXEXTRACT(x,""[0-9]+$""),x)),"""")"),"")</f>
        <v/>
      </c>
      <c r="G2672" s="163"/>
      <c r="H26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Helper'!$F$5:$F$3004,"""")&lt;&gt;""""),ROWS(H$5:H2672)),"""")"),"")</f>
        <v/>
      </c>
    </row>
    <row r="2673" ht="15.75" customHeight="1">
      <c r="A26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Helper'!$F$5:$F$3004,"""")&lt;&gt;""""),ROWS(A$5:A2673)),"""")"),"")</f>
        <v/>
      </c>
      <c r="B26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Helper'!$F$5:$F$3004,"""")&lt;&gt;""""),ROWS(B$5:B2673)),"""")"),"")</f>
        <v/>
      </c>
      <c r="C26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Helper'!$F$5:$F$3004,"""")&lt;&gt;""""),ROWS(C$5:C2673)),"""")"),"")</f>
        <v/>
      </c>
      <c r="D26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Helper'!$F$5:$F$3004,"""")&lt;&gt;""""),ROWS(D$5:D2673)),"""")"),"")</f>
        <v/>
      </c>
      <c r="E26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Helper'!$F$5:$F$3004,"""")&lt;&gt;""""),ROWS(E$5:E2673)),"""")"),"")</f>
        <v/>
      </c>
      <c r="F26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Helper'!$F$5:$F$3004,"""")&lt;&gt;""""),ROWS(F$5:F2673)),IF(AND(LEFT(x,5)=""Pag"&amp;"e "",ISERROR(SEARCH(""–"",x))),x&amp;""–""&amp;REGEXEXTRACT(x,""[0-9]+$""),x)),"""")"),"")</f>
        <v/>
      </c>
      <c r="G2673" s="163"/>
      <c r="H26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Helper'!$F$5:$F$3004,"""")&lt;&gt;""""),ROWS(H$5:H2673)),"""")"),"")</f>
        <v/>
      </c>
    </row>
    <row r="2674" ht="15.75" customHeight="1">
      <c r="A26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Helper'!$F$5:$F$3004,"""")&lt;&gt;""""),ROWS(A$5:A2674)),"""")"),"")</f>
        <v/>
      </c>
      <c r="B26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Helper'!$F$5:$F$3004,"""")&lt;&gt;""""),ROWS(B$5:B2674)),"""")"),"")</f>
        <v/>
      </c>
      <c r="C26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Helper'!$F$5:$F$3004,"""")&lt;&gt;""""),ROWS(C$5:C2674)),"""")"),"")</f>
        <v/>
      </c>
      <c r="D26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Helper'!$F$5:$F$3004,"""")&lt;&gt;""""),ROWS(D$5:D2674)),"""")"),"")</f>
        <v/>
      </c>
      <c r="E26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Helper'!$F$5:$F$3004,"""")&lt;&gt;""""),ROWS(E$5:E2674)),"""")"),"")</f>
        <v/>
      </c>
      <c r="F26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Helper'!$F$5:$F$3004,"""")&lt;&gt;""""),ROWS(F$5:F2674)),IF(AND(LEFT(x,5)=""Pag"&amp;"e "",ISERROR(SEARCH(""–"",x))),x&amp;""–""&amp;REGEXEXTRACT(x,""[0-9]+$""),x)),"""")"),"")</f>
        <v/>
      </c>
      <c r="G2674" s="163"/>
      <c r="H26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Helper'!$F$5:$F$3004,"""")&lt;&gt;""""),ROWS(H$5:H2674)),"""")"),"")</f>
        <v/>
      </c>
    </row>
    <row r="2675" ht="15.75" customHeight="1">
      <c r="A26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Helper'!$F$5:$F$3004,"""")&lt;&gt;""""),ROWS(A$5:A2675)),"""")"),"")</f>
        <v/>
      </c>
      <c r="B26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Helper'!$F$5:$F$3004,"""")&lt;&gt;""""),ROWS(B$5:B2675)),"""")"),"")</f>
        <v/>
      </c>
      <c r="C26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Helper'!$F$5:$F$3004,"""")&lt;&gt;""""),ROWS(C$5:C2675)),"""")"),"")</f>
        <v/>
      </c>
      <c r="D26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Helper'!$F$5:$F$3004,"""")&lt;&gt;""""),ROWS(D$5:D2675)),"""")"),"")</f>
        <v/>
      </c>
      <c r="E26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Helper'!$F$5:$F$3004,"""")&lt;&gt;""""),ROWS(E$5:E2675)),"""")"),"")</f>
        <v/>
      </c>
      <c r="F26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Helper'!$F$5:$F$3004,"""")&lt;&gt;""""),ROWS(F$5:F2675)),IF(AND(LEFT(x,5)=""Pag"&amp;"e "",ISERROR(SEARCH(""–"",x))),x&amp;""–""&amp;REGEXEXTRACT(x,""[0-9]+$""),x)),"""")"),"")</f>
        <v/>
      </c>
      <c r="G2675" s="163"/>
      <c r="H26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Helper'!$F$5:$F$3004,"""")&lt;&gt;""""),ROWS(H$5:H2675)),"""")"),"")</f>
        <v/>
      </c>
    </row>
    <row r="2676" ht="15.75" customHeight="1">
      <c r="A26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Helper'!$F$5:$F$3004,"""")&lt;&gt;""""),ROWS(A$5:A2676)),"""")"),"")</f>
        <v/>
      </c>
      <c r="B26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Helper'!$F$5:$F$3004,"""")&lt;&gt;""""),ROWS(B$5:B2676)),"""")"),"")</f>
        <v/>
      </c>
      <c r="C26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Helper'!$F$5:$F$3004,"""")&lt;&gt;""""),ROWS(C$5:C2676)),"""")"),"")</f>
        <v/>
      </c>
      <c r="D26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Helper'!$F$5:$F$3004,"""")&lt;&gt;""""),ROWS(D$5:D2676)),"""")"),"")</f>
        <v/>
      </c>
      <c r="E26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Helper'!$F$5:$F$3004,"""")&lt;&gt;""""),ROWS(E$5:E2676)),"""")"),"")</f>
        <v/>
      </c>
      <c r="F26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Helper'!$F$5:$F$3004,"""")&lt;&gt;""""),ROWS(F$5:F2676)),IF(AND(LEFT(x,5)=""Pag"&amp;"e "",ISERROR(SEARCH(""–"",x))),x&amp;""–""&amp;REGEXEXTRACT(x,""[0-9]+$""),x)),"""")"),"")</f>
        <v/>
      </c>
      <c r="G2676" s="163"/>
      <c r="H26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Helper'!$F$5:$F$3004,"""")&lt;&gt;""""),ROWS(H$5:H2676)),"""")"),"")</f>
        <v/>
      </c>
    </row>
    <row r="2677" ht="15.75" customHeight="1">
      <c r="A26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Helper'!$F$5:$F$3004,"""")&lt;&gt;""""),ROWS(A$5:A2677)),"""")"),"")</f>
        <v/>
      </c>
      <c r="B26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Helper'!$F$5:$F$3004,"""")&lt;&gt;""""),ROWS(B$5:B2677)),"""")"),"")</f>
        <v/>
      </c>
      <c r="C26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Helper'!$F$5:$F$3004,"""")&lt;&gt;""""),ROWS(C$5:C2677)),"""")"),"")</f>
        <v/>
      </c>
      <c r="D26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Helper'!$F$5:$F$3004,"""")&lt;&gt;""""),ROWS(D$5:D2677)),"""")"),"")</f>
        <v/>
      </c>
      <c r="E26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Helper'!$F$5:$F$3004,"""")&lt;&gt;""""),ROWS(E$5:E2677)),"""")"),"")</f>
        <v/>
      </c>
      <c r="F26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Helper'!$F$5:$F$3004,"""")&lt;&gt;""""),ROWS(F$5:F2677)),IF(AND(LEFT(x,5)=""Pag"&amp;"e "",ISERROR(SEARCH(""–"",x))),x&amp;""–""&amp;REGEXEXTRACT(x,""[0-9]+$""),x)),"""")"),"")</f>
        <v/>
      </c>
      <c r="G2677" s="163"/>
      <c r="H26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Helper'!$F$5:$F$3004,"""")&lt;&gt;""""),ROWS(H$5:H2677)),"""")"),"")</f>
        <v/>
      </c>
    </row>
    <row r="2678" ht="15.75" customHeight="1">
      <c r="A26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Helper'!$F$5:$F$3004,"""")&lt;&gt;""""),ROWS(A$5:A2678)),"""")"),"")</f>
        <v/>
      </c>
      <c r="B26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Helper'!$F$5:$F$3004,"""")&lt;&gt;""""),ROWS(B$5:B2678)),"""")"),"")</f>
        <v/>
      </c>
      <c r="C26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Helper'!$F$5:$F$3004,"""")&lt;&gt;""""),ROWS(C$5:C2678)),"""")"),"")</f>
        <v/>
      </c>
      <c r="D26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Helper'!$F$5:$F$3004,"""")&lt;&gt;""""),ROWS(D$5:D2678)),"""")"),"")</f>
        <v/>
      </c>
      <c r="E26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Helper'!$F$5:$F$3004,"""")&lt;&gt;""""),ROWS(E$5:E2678)),"""")"),"")</f>
        <v/>
      </c>
      <c r="F26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Helper'!$F$5:$F$3004,"""")&lt;&gt;""""),ROWS(F$5:F2678)),IF(AND(LEFT(x,5)=""Pag"&amp;"e "",ISERROR(SEARCH(""–"",x))),x&amp;""–""&amp;REGEXEXTRACT(x,""[0-9]+$""),x)),"""")"),"")</f>
        <v/>
      </c>
      <c r="G2678" s="163"/>
      <c r="H26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Helper'!$F$5:$F$3004,"""")&lt;&gt;""""),ROWS(H$5:H2678)),"""")"),"")</f>
        <v/>
      </c>
    </row>
    <row r="2679" ht="15.75" customHeight="1">
      <c r="A26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Helper'!$F$5:$F$3004,"""")&lt;&gt;""""),ROWS(A$5:A2679)),"""")"),"")</f>
        <v/>
      </c>
      <c r="B26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Helper'!$F$5:$F$3004,"""")&lt;&gt;""""),ROWS(B$5:B2679)),"""")"),"")</f>
        <v/>
      </c>
      <c r="C26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Helper'!$F$5:$F$3004,"""")&lt;&gt;""""),ROWS(C$5:C2679)),"""")"),"")</f>
        <v/>
      </c>
      <c r="D26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Helper'!$F$5:$F$3004,"""")&lt;&gt;""""),ROWS(D$5:D2679)),"""")"),"")</f>
        <v/>
      </c>
      <c r="E26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Helper'!$F$5:$F$3004,"""")&lt;&gt;""""),ROWS(E$5:E2679)),"""")"),"")</f>
        <v/>
      </c>
      <c r="F26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Helper'!$F$5:$F$3004,"""")&lt;&gt;""""),ROWS(F$5:F2679)),IF(AND(LEFT(x,5)=""Pag"&amp;"e "",ISERROR(SEARCH(""–"",x))),x&amp;""–""&amp;REGEXEXTRACT(x,""[0-9]+$""),x)),"""")"),"")</f>
        <v/>
      </c>
      <c r="G2679" s="163"/>
      <c r="H26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Helper'!$F$5:$F$3004,"""")&lt;&gt;""""),ROWS(H$5:H2679)),"""")"),"")</f>
        <v/>
      </c>
    </row>
    <row r="2680" ht="15.75" customHeight="1">
      <c r="A26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Helper'!$F$5:$F$3004,"""")&lt;&gt;""""),ROWS(A$5:A2680)),"""")"),"")</f>
        <v/>
      </c>
      <c r="B26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Helper'!$F$5:$F$3004,"""")&lt;&gt;""""),ROWS(B$5:B2680)),"""")"),"")</f>
        <v/>
      </c>
      <c r="C26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Helper'!$F$5:$F$3004,"""")&lt;&gt;""""),ROWS(C$5:C2680)),"""")"),"")</f>
        <v/>
      </c>
      <c r="D26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Helper'!$F$5:$F$3004,"""")&lt;&gt;""""),ROWS(D$5:D2680)),"""")"),"")</f>
        <v/>
      </c>
      <c r="E26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Helper'!$F$5:$F$3004,"""")&lt;&gt;""""),ROWS(E$5:E2680)),"""")"),"")</f>
        <v/>
      </c>
      <c r="F26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Helper'!$F$5:$F$3004,"""")&lt;&gt;""""),ROWS(F$5:F2680)),IF(AND(LEFT(x,5)=""Pag"&amp;"e "",ISERROR(SEARCH(""–"",x))),x&amp;""–""&amp;REGEXEXTRACT(x,""[0-9]+$""),x)),"""")"),"")</f>
        <v/>
      </c>
      <c r="G2680" s="163"/>
      <c r="H26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Helper'!$F$5:$F$3004,"""")&lt;&gt;""""),ROWS(H$5:H2680)),"""")"),"")</f>
        <v/>
      </c>
    </row>
    <row r="2681" ht="15.75" customHeight="1">
      <c r="A26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Helper'!$F$5:$F$3004,"""")&lt;&gt;""""),ROWS(A$5:A2681)),"""")"),"")</f>
        <v/>
      </c>
      <c r="B26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Helper'!$F$5:$F$3004,"""")&lt;&gt;""""),ROWS(B$5:B2681)),"""")"),"")</f>
        <v/>
      </c>
      <c r="C26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Helper'!$F$5:$F$3004,"""")&lt;&gt;""""),ROWS(C$5:C2681)),"""")"),"")</f>
        <v/>
      </c>
      <c r="D26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Helper'!$F$5:$F$3004,"""")&lt;&gt;""""),ROWS(D$5:D2681)),"""")"),"")</f>
        <v/>
      </c>
      <c r="E26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Helper'!$F$5:$F$3004,"""")&lt;&gt;""""),ROWS(E$5:E2681)),"""")"),"")</f>
        <v/>
      </c>
      <c r="F26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Helper'!$F$5:$F$3004,"""")&lt;&gt;""""),ROWS(F$5:F2681)),IF(AND(LEFT(x,5)=""Pag"&amp;"e "",ISERROR(SEARCH(""–"",x))),x&amp;""–""&amp;REGEXEXTRACT(x,""[0-9]+$""),x)),"""")"),"")</f>
        <v/>
      </c>
      <c r="G2681" s="163"/>
      <c r="H26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Helper'!$F$5:$F$3004,"""")&lt;&gt;""""),ROWS(H$5:H2681)),"""")"),"")</f>
        <v/>
      </c>
    </row>
    <row r="2682" ht="15.75" customHeight="1">
      <c r="A26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Helper'!$F$5:$F$3004,"""")&lt;&gt;""""),ROWS(A$5:A2682)),"""")"),"")</f>
        <v/>
      </c>
      <c r="B26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Helper'!$F$5:$F$3004,"""")&lt;&gt;""""),ROWS(B$5:B2682)),"""")"),"")</f>
        <v/>
      </c>
      <c r="C26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Helper'!$F$5:$F$3004,"""")&lt;&gt;""""),ROWS(C$5:C2682)),"""")"),"")</f>
        <v/>
      </c>
      <c r="D26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Helper'!$F$5:$F$3004,"""")&lt;&gt;""""),ROWS(D$5:D2682)),"""")"),"")</f>
        <v/>
      </c>
      <c r="E26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Helper'!$F$5:$F$3004,"""")&lt;&gt;""""),ROWS(E$5:E2682)),"""")"),"")</f>
        <v/>
      </c>
      <c r="F26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Helper'!$F$5:$F$3004,"""")&lt;&gt;""""),ROWS(F$5:F2682)),IF(AND(LEFT(x,5)=""Pag"&amp;"e "",ISERROR(SEARCH(""–"",x))),x&amp;""–""&amp;REGEXEXTRACT(x,""[0-9]+$""),x)),"""")"),"")</f>
        <v/>
      </c>
      <c r="G2682" s="163"/>
      <c r="H26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Helper'!$F$5:$F$3004,"""")&lt;&gt;""""),ROWS(H$5:H2682)),"""")"),"")</f>
        <v/>
      </c>
    </row>
    <row r="2683" ht="15.75" customHeight="1">
      <c r="A26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Helper'!$F$5:$F$3004,"""")&lt;&gt;""""),ROWS(A$5:A2683)),"""")"),"")</f>
        <v/>
      </c>
      <c r="B26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Helper'!$F$5:$F$3004,"""")&lt;&gt;""""),ROWS(B$5:B2683)),"""")"),"")</f>
        <v/>
      </c>
      <c r="C26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Helper'!$F$5:$F$3004,"""")&lt;&gt;""""),ROWS(C$5:C2683)),"""")"),"")</f>
        <v/>
      </c>
      <c r="D26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Helper'!$F$5:$F$3004,"""")&lt;&gt;""""),ROWS(D$5:D2683)),"""")"),"")</f>
        <v/>
      </c>
      <c r="E26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Helper'!$F$5:$F$3004,"""")&lt;&gt;""""),ROWS(E$5:E2683)),"""")"),"")</f>
        <v/>
      </c>
      <c r="F26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Helper'!$F$5:$F$3004,"""")&lt;&gt;""""),ROWS(F$5:F2683)),IF(AND(LEFT(x,5)=""Pag"&amp;"e "",ISERROR(SEARCH(""–"",x))),x&amp;""–""&amp;REGEXEXTRACT(x,""[0-9]+$""),x)),"""")"),"")</f>
        <v/>
      </c>
      <c r="G2683" s="163"/>
      <c r="H26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Helper'!$F$5:$F$3004,"""")&lt;&gt;""""),ROWS(H$5:H2683)),"""")"),"")</f>
        <v/>
      </c>
    </row>
    <row r="2684" ht="15.75" customHeight="1">
      <c r="A26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Helper'!$F$5:$F$3004,"""")&lt;&gt;""""),ROWS(A$5:A2684)),"""")"),"")</f>
        <v/>
      </c>
      <c r="B26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Helper'!$F$5:$F$3004,"""")&lt;&gt;""""),ROWS(B$5:B2684)),"""")"),"")</f>
        <v/>
      </c>
      <c r="C26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Helper'!$F$5:$F$3004,"""")&lt;&gt;""""),ROWS(C$5:C2684)),"""")"),"")</f>
        <v/>
      </c>
      <c r="D26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Helper'!$F$5:$F$3004,"""")&lt;&gt;""""),ROWS(D$5:D2684)),"""")"),"")</f>
        <v/>
      </c>
      <c r="E26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Helper'!$F$5:$F$3004,"""")&lt;&gt;""""),ROWS(E$5:E2684)),"""")"),"")</f>
        <v/>
      </c>
      <c r="F26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Helper'!$F$5:$F$3004,"""")&lt;&gt;""""),ROWS(F$5:F2684)),IF(AND(LEFT(x,5)=""Pag"&amp;"e "",ISERROR(SEARCH(""–"",x))),x&amp;""–""&amp;REGEXEXTRACT(x,""[0-9]+$""),x)),"""")"),"")</f>
        <v/>
      </c>
      <c r="G2684" s="163"/>
      <c r="H26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Helper'!$F$5:$F$3004,"""")&lt;&gt;""""),ROWS(H$5:H2684)),"""")"),"")</f>
        <v/>
      </c>
    </row>
    <row r="2685" ht="15.75" customHeight="1">
      <c r="A26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Helper'!$F$5:$F$3004,"""")&lt;&gt;""""),ROWS(A$5:A2685)),"""")"),"")</f>
        <v/>
      </c>
      <c r="B26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Helper'!$F$5:$F$3004,"""")&lt;&gt;""""),ROWS(B$5:B2685)),"""")"),"")</f>
        <v/>
      </c>
      <c r="C26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Helper'!$F$5:$F$3004,"""")&lt;&gt;""""),ROWS(C$5:C2685)),"""")"),"")</f>
        <v/>
      </c>
      <c r="D26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Helper'!$F$5:$F$3004,"""")&lt;&gt;""""),ROWS(D$5:D2685)),"""")"),"")</f>
        <v/>
      </c>
      <c r="E26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Helper'!$F$5:$F$3004,"""")&lt;&gt;""""),ROWS(E$5:E2685)),"""")"),"")</f>
        <v/>
      </c>
      <c r="F26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Helper'!$F$5:$F$3004,"""")&lt;&gt;""""),ROWS(F$5:F2685)),IF(AND(LEFT(x,5)=""Pag"&amp;"e "",ISERROR(SEARCH(""–"",x))),x&amp;""–""&amp;REGEXEXTRACT(x,""[0-9]+$""),x)),"""")"),"")</f>
        <v/>
      </c>
      <c r="G2685" s="163"/>
      <c r="H26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Helper'!$F$5:$F$3004,"""")&lt;&gt;""""),ROWS(H$5:H2685)),"""")"),"")</f>
        <v/>
      </c>
    </row>
    <row r="2686" ht="15.75" customHeight="1">
      <c r="A26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Helper'!$F$5:$F$3004,"""")&lt;&gt;""""),ROWS(A$5:A2686)),"""")"),"")</f>
        <v/>
      </c>
      <c r="B26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Helper'!$F$5:$F$3004,"""")&lt;&gt;""""),ROWS(B$5:B2686)),"""")"),"")</f>
        <v/>
      </c>
      <c r="C26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Helper'!$F$5:$F$3004,"""")&lt;&gt;""""),ROWS(C$5:C2686)),"""")"),"")</f>
        <v/>
      </c>
      <c r="D26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Helper'!$F$5:$F$3004,"""")&lt;&gt;""""),ROWS(D$5:D2686)),"""")"),"")</f>
        <v/>
      </c>
      <c r="E26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Helper'!$F$5:$F$3004,"""")&lt;&gt;""""),ROWS(E$5:E2686)),"""")"),"")</f>
        <v/>
      </c>
      <c r="F26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Helper'!$F$5:$F$3004,"""")&lt;&gt;""""),ROWS(F$5:F2686)),IF(AND(LEFT(x,5)=""Pag"&amp;"e "",ISERROR(SEARCH(""–"",x))),x&amp;""–""&amp;REGEXEXTRACT(x,""[0-9]+$""),x)),"""")"),"")</f>
        <v/>
      </c>
      <c r="G2686" s="163"/>
      <c r="H26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Helper'!$F$5:$F$3004,"""")&lt;&gt;""""),ROWS(H$5:H2686)),"""")"),"")</f>
        <v/>
      </c>
    </row>
    <row r="2687" ht="15.75" customHeight="1">
      <c r="A26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Helper'!$F$5:$F$3004,"""")&lt;&gt;""""),ROWS(A$5:A2687)),"""")"),"")</f>
        <v/>
      </c>
      <c r="B26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Helper'!$F$5:$F$3004,"""")&lt;&gt;""""),ROWS(B$5:B2687)),"""")"),"")</f>
        <v/>
      </c>
      <c r="C26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Helper'!$F$5:$F$3004,"""")&lt;&gt;""""),ROWS(C$5:C2687)),"""")"),"")</f>
        <v/>
      </c>
      <c r="D26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Helper'!$F$5:$F$3004,"""")&lt;&gt;""""),ROWS(D$5:D2687)),"""")"),"")</f>
        <v/>
      </c>
      <c r="E26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Helper'!$F$5:$F$3004,"""")&lt;&gt;""""),ROWS(E$5:E2687)),"""")"),"")</f>
        <v/>
      </c>
      <c r="F26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Helper'!$F$5:$F$3004,"""")&lt;&gt;""""),ROWS(F$5:F2687)),IF(AND(LEFT(x,5)=""Pag"&amp;"e "",ISERROR(SEARCH(""–"",x))),x&amp;""–""&amp;REGEXEXTRACT(x,""[0-9]+$""),x)),"""")"),"")</f>
        <v/>
      </c>
      <c r="G2687" s="163"/>
      <c r="H26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Helper'!$F$5:$F$3004,"""")&lt;&gt;""""),ROWS(H$5:H2687)),"""")"),"")</f>
        <v/>
      </c>
    </row>
    <row r="2688" ht="15.75" customHeight="1">
      <c r="A26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Helper'!$F$5:$F$3004,"""")&lt;&gt;""""),ROWS(A$5:A2688)),"""")"),"")</f>
        <v/>
      </c>
      <c r="B26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Helper'!$F$5:$F$3004,"""")&lt;&gt;""""),ROWS(B$5:B2688)),"""")"),"")</f>
        <v/>
      </c>
      <c r="C26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Helper'!$F$5:$F$3004,"""")&lt;&gt;""""),ROWS(C$5:C2688)),"""")"),"")</f>
        <v/>
      </c>
      <c r="D26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Helper'!$F$5:$F$3004,"""")&lt;&gt;""""),ROWS(D$5:D2688)),"""")"),"")</f>
        <v/>
      </c>
      <c r="E26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Helper'!$F$5:$F$3004,"""")&lt;&gt;""""),ROWS(E$5:E2688)),"""")"),"")</f>
        <v/>
      </c>
      <c r="F26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Helper'!$F$5:$F$3004,"""")&lt;&gt;""""),ROWS(F$5:F2688)),IF(AND(LEFT(x,5)=""Pag"&amp;"e "",ISERROR(SEARCH(""–"",x))),x&amp;""–""&amp;REGEXEXTRACT(x,""[0-9]+$""),x)),"""")"),"")</f>
        <v/>
      </c>
      <c r="G2688" s="163"/>
      <c r="H26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Helper'!$F$5:$F$3004,"""")&lt;&gt;""""),ROWS(H$5:H2688)),"""")"),"")</f>
        <v/>
      </c>
    </row>
    <row r="2689" ht="15.75" customHeight="1">
      <c r="A26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Helper'!$F$5:$F$3004,"""")&lt;&gt;""""),ROWS(A$5:A2689)),"""")"),"")</f>
        <v/>
      </c>
      <c r="B26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Helper'!$F$5:$F$3004,"""")&lt;&gt;""""),ROWS(B$5:B2689)),"""")"),"")</f>
        <v/>
      </c>
      <c r="C26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Helper'!$F$5:$F$3004,"""")&lt;&gt;""""),ROWS(C$5:C2689)),"""")"),"")</f>
        <v/>
      </c>
      <c r="D26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Helper'!$F$5:$F$3004,"""")&lt;&gt;""""),ROWS(D$5:D2689)),"""")"),"")</f>
        <v/>
      </c>
      <c r="E26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Helper'!$F$5:$F$3004,"""")&lt;&gt;""""),ROWS(E$5:E2689)),"""")"),"")</f>
        <v/>
      </c>
      <c r="F26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Helper'!$F$5:$F$3004,"""")&lt;&gt;""""),ROWS(F$5:F2689)),IF(AND(LEFT(x,5)=""Pag"&amp;"e "",ISERROR(SEARCH(""–"",x))),x&amp;""–""&amp;REGEXEXTRACT(x,""[0-9]+$""),x)),"""")"),"")</f>
        <v/>
      </c>
      <c r="G2689" s="163"/>
      <c r="H26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Helper'!$F$5:$F$3004,"""")&lt;&gt;""""),ROWS(H$5:H2689)),"""")"),"")</f>
        <v/>
      </c>
    </row>
    <row r="2690" ht="15.75" customHeight="1">
      <c r="A26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Helper'!$F$5:$F$3004,"""")&lt;&gt;""""),ROWS(A$5:A2690)),"""")"),"")</f>
        <v/>
      </c>
      <c r="B26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Helper'!$F$5:$F$3004,"""")&lt;&gt;""""),ROWS(B$5:B2690)),"""")"),"")</f>
        <v/>
      </c>
      <c r="C26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Helper'!$F$5:$F$3004,"""")&lt;&gt;""""),ROWS(C$5:C2690)),"""")"),"")</f>
        <v/>
      </c>
      <c r="D26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Helper'!$F$5:$F$3004,"""")&lt;&gt;""""),ROWS(D$5:D2690)),"""")"),"")</f>
        <v/>
      </c>
      <c r="E26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Helper'!$F$5:$F$3004,"""")&lt;&gt;""""),ROWS(E$5:E2690)),"""")"),"")</f>
        <v/>
      </c>
      <c r="F26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Helper'!$F$5:$F$3004,"""")&lt;&gt;""""),ROWS(F$5:F2690)),IF(AND(LEFT(x,5)=""Pag"&amp;"e "",ISERROR(SEARCH(""–"",x))),x&amp;""–""&amp;REGEXEXTRACT(x,""[0-9]+$""),x)),"""")"),"")</f>
        <v/>
      </c>
      <c r="G2690" s="163"/>
      <c r="H26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Helper'!$F$5:$F$3004,"""")&lt;&gt;""""),ROWS(H$5:H2690)),"""")"),"")</f>
        <v/>
      </c>
    </row>
    <row r="2691" ht="15.75" customHeight="1">
      <c r="A26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Helper'!$F$5:$F$3004,"""")&lt;&gt;""""),ROWS(A$5:A2691)),"""")"),"")</f>
        <v/>
      </c>
      <c r="B26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Helper'!$F$5:$F$3004,"""")&lt;&gt;""""),ROWS(B$5:B2691)),"""")"),"")</f>
        <v/>
      </c>
      <c r="C26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Helper'!$F$5:$F$3004,"""")&lt;&gt;""""),ROWS(C$5:C2691)),"""")"),"")</f>
        <v/>
      </c>
      <c r="D26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Helper'!$F$5:$F$3004,"""")&lt;&gt;""""),ROWS(D$5:D2691)),"""")"),"")</f>
        <v/>
      </c>
      <c r="E26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Helper'!$F$5:$F$3004,"""")&lt;&gt;""""),ROWS(E$5:E2691)),"""")"),"")</f>
        <v/>
      </c>
      <c r="F26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Helper'!$F$5:$F$3004,"""")&lt;&gt;""""),ROWS(F$5:F2691)),IF(AND(LEFT(x,5)=""Pag"&amp;"e "",ISERROR(SEARCH(""–"",x))),x&amp;""–""&amp;REGEXEXTRACT(x,""[0-9]+$""),x)),"""")"),"")</f>
        <v/>
      </c>
      <c r="G2691" s="163"/>
      <c r="H26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Helper'!$F$5:$F$3004,"""")&lt;&gt;""""),ROWS(H$5:H2691)),"""")"),"")</f>
        <v/>
      </c>
    </row>
    <row r="2692" ht="15.75" customHeight="1">
      <c r="A26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Helper'!$F$5:$F$3004,"""")&lt;&gt;""""),ROWS(A$5:A2692)),"""")"),"")</f>
        <v/>
      </c>
      <c r="B26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Helper'!$F$5:$F$3004,"""")&lt;&gt;""""),ROWS(B$5:B2692)),"""")"),"")</f>
        <v/>
      </c>
      <c r="C26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Helper'!$F$5:$F$3004,"""")&lt;&gt;""""),ROWS(C$5:C2692)),"""")"),"")</f>
        <v/>
      </c>
      <c r="D26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Helper'!$F$5:$F$3004,"""")&lt;&gt;""""),ROWS(D$5:D2692)),"""")"),"")</f>
        <v/>
      </c>
      <c r="E26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Helper'!$F$5:$F$3004,"""")&lt;&gt;""""),ROWS(E$5:E2692)),"""")"),"")</f>
        <v/>
      </c>
      <c r="F26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Helper'!$F$5:$F$3004,"""")&lt;&gt;""""),ROWS(F$5:F2692)),IF(AND(LEFT(x,5)=""Pag"&amp;"e "",ISERROR(SEARCH(""–"",x))),x&amp;""–""&amp;REGEXEXTRACT(x,""[0-9]+$""),x)),"""")"),"")</f>
        <v/>
      </c>
      <c r="G2692" s="163"/>
      <c r="H26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Helper'!$F$5:$F$3004,"""")&lt;&gt;""""),ROWS(H$5:H2692)),"""")"),"")</f>
        <v/>
      </c>
    </row>
    <row r="2693" ht="15.75" customHeight="1">
      <c r="A26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Helper'!$F$5:$F$3004,"""")&lt;&gt;""""),ROWS(A$5:A2693)),"""")"),"")</f>
        <v/>
      </c>
      <c r="B26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Helper'!$F$5:$F$3004,"""")&lt;&gt;""""),ROWS(B$5:B2693)),"""")"),"")</f>
        <v/>
      </c>
      <c r="C26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Helper'!$F$5:$F$3004,"""")&lt;&gt;""""),ROWS(C$5:C2693)),"""")"),"")</f>
        <v/>
      </c>
      <c r="D26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Helper'!$F$5:$F$3004,"""")&lt;&gt;""""),ROWS(D$5:D2693)),"""")"),"")</f>
        <v/>
      </c>
      <c r="E26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Helper'!$F$5:$F$3004,"""")&lt;&gt;""""),ROWS(E$5:E2693)),"""")"),"")</f>
        <v/>
      </c>
      <c r="F26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Helper'!$F$5:$F$3004,"""")&lt;&gt;""""),ROWS(F$5:F2693)),IF(AND(LEFT(x,5)=""Pag"&amp;"e "",ISERROR(SEARCH(""–"",x))),x&amp;""–""&amp;REGEXEXTRACT(x,""[0-9]+$""),x)),"""")"),"")</f>
        <v/>
      </c>
      <c r="G2693" s="163"/>
      <c r="H26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Helper'!$F$5:$F$3004,"""")&lt;&gt;""""),ROWS(H$5:H2693)),"""")"),"")</f>
        <v/>
      </c>
    </row>
    <row r="2694" ht="15.75" customHeight="1">
      <c r="A26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Helper'!$F$5:$F$3004,"""")&lt;&gt;""""),ROWS(A$5:A2694)),"""")"),"")</f>
        <v/>
      </c>
      <c r="B26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Helper'!$F$5:$F$3004,"""")&lt;&gt;""""),ROWS(B$5:B2694)),"""")"),"")</f>
        <v/>
      </c>
      <c r="C26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Helper'!$F$5:$F$3004,"""")&lt;&gt;""""),ROWS(C$5:C2694)),"""")"),"")</f>
        <v/>
      </c>
      <c r="D26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Helper'!$F$5:$F$3004,"""")&lt;&gt;""""),ROWS(D$5:D2694)),"""")"),"")</f>
        <v/>
      </c>
      <c r="E26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Helper'!$F$5:$F$3004,"""")&lt;&gt;""""),ROWS(E$5:E2694)),"""")"),"")</f>
        <v/>
      </c>
      <c r="F26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Helper'!$F$5:$F$3004,"""")&lt;&gt;""""),ROWS(F$5:F2694)),IF(AND(LEFT(x,5)=""Pag"&amp;"e "",ISERROR(SEARCH(""–"",x))),x&amp;""–""&amp;REGEXEXTRACT(x,""[0-9]+$""),x)),"""")"),"")</f>
        <v/>
      </c>
      <c r="G2694" s="163"/>
      <c r="H26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Helper'!$F$5:$F$3004,"""")&lt;&gt;""""),ROWS(H$5:H2694)),"""")"),"")</f>
        <v/>
      </c>
    </row>
    <row r="2695" ht="15.75" customHeight="1">
      <c r="A26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Helper'!$F$5:$F$3004,"""")&lt;&gt;""""),ROWS(A$5:A2695)),"""")"),"")</f>
        <v/>
      </c>
      <c r="B26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Helper'!$F$5:$F$3004,"""")&lt;&gt;""""),ROWS(B$5:B2695)),"""")"),"")</f>
        <v/>
      </c>
      <c r="C26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Helper'!$F$5:$F$3004,"""")&lt;&gt;""""),ROWS(C$5:C2695)),"""")"),"")</f>
        <v/>
      </c>
      <c r="D26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Helper'!$F$5:$F$3004,"""")&lt;&gt;""""),ROWS(D$5:D2695)),"""")"),"")</f>
        <v/>
      </c>
      <c r="E26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Helper'!$F$5:$F$3004,"""")&lt;&gt;""""),ROWS(E$5:E2695)),"""")"),"")</f>
        <v/>
      </c>
      <c r="F26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Helper'!$F$5:$F$3004,"""")&lt;&gt;""""),ROWS(F$5:F2695)),IF(AND(LEFT(x,5)=""Pag"&amp;"e "",ISERROR(SEARCH(""–"",x))),x&amp;""–""&amp;REGEXEXTRACT(x,""[0-9]+$""),x)),"""")"),"")</f>
        <v/>
      </c>
      <c r="G2695" s="163"/>
      <c r="H26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Helper'!$F$5:$F$3004,"""")&lt;&gt;""""),ROWS(H$5:H2695)),"""")"),"")</f>
        <v/>
      </c>
    </row>
    <row r="2696" ht="15.75" customHeight="1">
      <c r="A26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Helper'!$F$5:$F$3004,"""")&lt;&gt;""""),ROWS(A$5:A2696)),"""")"),"")</f>
        <v/>
      </c>
      <c r="B26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Helper'!$F$5:$F$3004,"""")&lt;&gt;""""),ROWS(B$5:B2696)),"""")"),"")</f>
        <v/>
      </c>
      <c r="C26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Helper'!$F$5:$F$3004,"""")&lt;&gt;""""),ROWS(C$5:C2696)),"""")"),"")</f>
        <v/>
      </c>
      <c r="D26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Helper'!$F$5:$F$3004,"""")&lt;&gt;""""),ROWS(D$5:D2696)),"""")"),"")</f>
        <v/>
      </c>
      <c r="E26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Helper'!$F$5:$F$3004,"""")&lt;&gt;""""),ROWS(E$5:E2696)),"""")"),"")</f>
        <v/>
      </c>
      <c r="F26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Helper'!$F$5:$F$3004,"""")&lt;&gt;""""),ROWS(F$5:F2696)),IF(AND(LEFT(x,5)=""Pag"&amp;"e "",ISERROR(SEARCH(""–"",x))),x&amp;""–""&amp;REGEXEXTRACT(x,""[0-9]+$""),x)),"""")"),"")</f>
        <v/>
      </c>
      <c r="G2696" s="163"/>
      <c r="H26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Helper'!$F$5:$F$3004,"""")&lt;&gt;""""),ROWS(H$5:H2696)),"""")"),"")</f>
        <v/>
      </c>
    </row>
    <row r="2697" ht="15.75" customHeight="1">
      <c r="A26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Helper'!$F$5:$F$3004,"""")&lt;&gt;""""),ROWS(A$5:A2697)),"""")"),"")</f>
        <v/>
      </c>
      <c r="B26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Helper'!$F$5:$F$3004,"""")&lt;&gt;""""),ROWS(B$5:B2697)),"""")"),"")</f>
        <v/>
      </c>
      <c r="C26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Helper'!$F$5:$F$3004,"""")&lt;&gt;""""),ROWS(C$5:C2697)),"""")"),"")</f>
        <v/>
      </c>
      <c r="D26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Helper'!$F$5:$F$3004,"""")&lt;&gt;""""),ROWS(D$5:D2697)),"""")"),"")</f>
        <v/>
      </c>
      <c r="E26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Helper'!$F$5:$F$3004,"""")&lt;&gt;""""),ROWS(E$5:E2697)),"""")"),"")</f>
        <v/>
      </c>
      <c r="F26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Helper'!$F$5:$F$3004,"""")&lt;&gt;""""),ROWS(F$5:F2697)),IF(AND(LEFT(x,5)=""Pag"&amp;"e "",ISERROR(SEARCH(""–"",x))),x&amp;""–""&amp;REGEXEXTRACT(x,""[0-9]+$""),x)),"""")"),"")</f>
        <v/>
      </c>
      <c r="G2697" s="163"/>
      <c r="H26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Helper'!$F$5:$F$3004,"""")&lt;&gt;""""),ROWS(H$5:H2697)),"""")"),"")</f>
        <v/>
      </c>
    </row>
    <row r="2698" ht="15.75" customHeight="1">
      <c r="A26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Helper'!$F$5:$F$3004,"""")&lt;&gt;""""),ROWS(A$5:A2698)),"""")"),"")</f>
        <v/>
      </c>
      <c r="B26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Helper'!$F$5:$F$3004,"""")&lt;&gt;""""),ROWS(B$5:B2698)),"""")"),"")</f>
        <v/>
      </c>
      <c r="C26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Helper'!$F$5:$F$3004,"""")&lt;&gt;""""),ROWS(C$5:C2698)),"""")"),"")</f>
        <v/>
      </c>
      <c r="D26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Helper'!$F$5:$F$3004,"""")&lt;&gt;""""),ROWS(D$5:D2698)),"""")"),"")</f>
        <v/>
      </c>
      <c r="E26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Helper'!$F$5:$F$3004,"""")&lt;&gt;""""),ROWS(E$5:E2698)),"""")"),"")</f>
        <v/>
      </c>
      <c r="F26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Helper'!$F$5:$F$3004,"""")&lt;&gt;""""),ROWS(F$5:F2698)),IF(AND(LEFT(x,5)=""Pag"&amp;"e "",ISERROR(SEARCH(""–"",x))),x&amp;""–""&amp;REGEXEXTRACT(x,""[0-9]+$""),x)),"""")"),"")</f>
        <v/>
      </c>
      <c r="G2698" s="163"/>
      <c r="H26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Helper'!$F$5:$F$3004,"""")&lt;&gt;""""),ROWS(H$5:H2698)),"""")"),"")</f>
        <v/>
      </c>
    </row>
    <row r="2699" ht="15.75" customHeight="1">
      <c r="A26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Helper'!$F$5:$F$3004,"""")&lt;&gt;""""),ROWS(A$5:A2699)),"""")"),"")</f>
        <v/>
      </c>
      <c r="B26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Helper'!$F$5:$F$3004,"""")&lt;&gt;""""),ROWS(B$5:B2699)),"""")"),"")</f>
        <v/>
      </c>
      <c r="C26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Helper'!$F$5:$F$3004,"""")&lt;&gt;""""),ROWS(C$5:C2699)),"""")"),"")</f>
        <v/>
      </c>
      <c r="D26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Helper'!$F$5:$F$3004,"""")&lt;&gt;""""),ROWS(D$5:D2699)),"""")"),"")</f>
        <v/>
      </c>
      <c r="E26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Helper'!$F$5:$F$3004,"""")&lt;&gt;""""),ROWS(E$5:E2699)),"""")"),"")</f>
        <v/>
      </c>
      <c r="F26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Helper'!$F$5:$F$3004,"""")&lt;&gt;""""),ROWS(F$5:F2699)),IF(AND(LEFT(x,5)=""Pag"&amp;"e "",ISERROR(SEARCH(""–"",x))),x&amp;""–""&amp;REGEXEXTRACT(x,""[0-9]+$""),x)),"""")"),"")</f>
        <v/>
      </c>
      <c r="G2699" s="163"/>
      <c r="H26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Helper'!$F$5:$F$3004,"""")&lt;&gt;""""),ROWS(H$5:H2699)),"""")"),"")</f>
        <v/>
      </c>
    </row>
    <row r="2700" ht="15.75" customHeight="1">
      <c r="A27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Helper'!$F$5:$F$3004,"""")&lt;&gt;""""),ROWS(A$5:A2700)),"""")"),"")</f>
        <v/>
      </c>
      <c r="B27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Helper'!$F$5:$F$3004,"""")&lt;&gt;""""),ROWS(B$5:B2700)),"""")"),"")</f>
        <v/>
      </c>
      <c r="C27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Helper'!$F$5:$F$3004,"""")&lt;&gt;""""),ROWS(C$5:C2700)),"""")"),"")</f>
        <v/>
      </c>
      <c r="D27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Helper'!$F$5:$F$3004,"""")&lt;&gt;""""),ROWS(D$5:D2700)),"""")"),"")</f>
        <v/>
      </c>
      <c r="E27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Helper'!$F$5:$F$3004,"""")&lt;&gt;""""),ROWS(E$5:E2700)),"""")"),"")</f>
        <v/>
      </c>
      <c r="F27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Helper'!$F$5:$F$3004,"""")&lt;&gt;""""),ROWS(F$5:F2700)),IF(AND(LEFT(x,5)=""Pag"&amp;"e "",ISERROR(SEARCH(""–"",x))),x&amp;""–""&amp;REGEXEXTRACT(x,""[0-9]+$""),x)),"""")"),"")</f>
        <v/>
      </c>
      <c r="G2700" s="163"/>
      <c r="H27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Helper'!$F$5:$F$3004,"""")&lt;&gt;""""),ROWS(H$5:H2700)),"""")"),"")</f>
        <v/>
      </c>
    </row>
    <row r="2701" ht="15.75" customHeight="1">
      <c r="A27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Helper'!$F$5:$F$3004,"""")&lt;&gt;""""),ROWS(A$5:A2701)),"""")"),"")</f>
        <v/>
      </c>
      <c r="B27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Helper'!$F$5:$F$3004,"""")&lt;&gt;""""),ROWS(B$5:B2701)),"""")"),"")</f>
        <v/>
      </c>
      <c r="C27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Helper'!$F$5:$F$3004,"""")&lt;&gt;""""),ROWS(C$5:C2701)),"""")"),"")</f>
        <v/>
      </c>
      <c r="D27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Helper'!$F$5:$F$3004,"""")&lt;&gt;""""),ROWS(D$5:D2701)),"""")"),"")</f>
        <v/>
      </c>
      <c r="E27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Helper'!$F$5:$F$3004,"""")&lt;&gt;""""),ROWS(E$5:E2701)),"""")"),"")</f>
        <v/>
      </c>
      <c r="F27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Helper'!$F$5:$F$3004,"""")&lt;&gt;""""),ROWS(F$5:F2701)),IF(AND(LEFT(x,5)=""Pag"&amp;"e "",ISERROR(SEARCH(""–"",x))),x&amp;""–""&amp;REGEXEXTRACT(x,""[0-9]+$""),x)),"""")"),"")</f>
        <v/>
      </c>
      <c r="G2701" s="163"/>
      <c r="H27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Helper'!$F$5:$F$3004,"""")&lt;&gt;""""),ROWS(H$5:H2701)),"""")"),"")</f>
        <v/>
      </c>
    </row>
    <row r="2702" ht="15.75" customHeight="1">
      <c r="A27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Helper'!$F$5:$F$3004,"""")&lt;&gt;""""),ROWS(A$5:A2702)),"""")"),"")</f>
        <v/>
      </c>
      <c r="B27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Helper'!$F$5:$F$3004,"""")&lt;&gt;""""),ROWS(B$5:B2702)),"""")"),"")</f>
        <v/>
      </c>
      <c r="C27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Helper'!$F$5:$F$3004,"""")&lt;&gt;""""),ROWS(C$5:C2702)),"""")"),"")</f>
        <v/>
      </c>
      <c r="D27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Helper'!$F$5:$F$3004,"""")&lt;&gt;""""),ROWS(D$5:D2702)),"""")"),"")</f>
        <v/>
      </c>
      <c r="E27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Helper'!$F$5:$F$3004,"""")&lt;&gt;""""),ROWS(E$5:E2702)),"""")"),"")</f>
        <v/>
      </c>
      <c r="F27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Helper'!$F$5:$F$3004,"""")&lt;&gt;""""),ROWS(F$5:F2702)),IF(AND(LEFT(x,5)=""Pag"&amp;"e "",ISERROR(SEARCH(""–"",x))),x&amp;""–""&amp;REGEXEXTRACT(x,""[0-9]+$""),x)),"""")"),"")</f>
        <v/>
      </c>
      <c r="G2702" s="163"/>
      <c r="H27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Helper'!$F$5:$F$3004,"""")&lt;&gt;""""),ROWS(H$5:H2702)),"""")"),"")</f>
        <v/>
      </c>
    </row>
    <row r="2703" ht="15.75" customHeight="1">
      <c r="A27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Helper'!$F$5:$F$3004,"""")&lt;&gt;""""),ROWS(A$5:A2703)),"""")"),"")</f>
        <v/>
      </c>
      <c r="B27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Helper'!$F$5:$F$3004,"""")&lt;&gt;""""),ROWS(B$5:B2703)),"""")"),"")</f>
        <v/>
      </c>
      <c r="C27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Helper'!$F$5:$F$3004,"""")&lt;&gt;""""),ROWS(C$5:C2703)),"""")"),"")</f>
        <v/>
      </c>
      <c r="D27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Helper'!$F$5:$F$3004,"""")&lt;&gt;""""),ROWS(D$5:D2703)),"""")"),"")</f>
        <v/>
      </c>
      <c r="E27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Helper'!$F$5:$F$3004,"""")&lt;&gt;""""),ROWS(E$5:E2703)),"""")"),"")</f>
        <v/>
      </c>
      <c r="F27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Helper'!$F$5:$F$3004,"""")&lt;&gt;""""),ROWS(F$5:F2703)),IF(AND(LEFT(x,5)=""Pag"&amp;"e "",ISERROR(SEARCH(""–"",x))),x&amp;""–""&amp;REGEXEXTRACT(x,""[0-9]+$""),x)),"""")"),"")</f>
        <v/>
      </c>
      <c r="G2703" s="163"/>
      <c r="H27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Helper'!$F$5:$F$3004,"""")&lt;&gt;""""),ROWS(H$5:H2703)),"""")"),"")</f>
        <v/>
      </c>
    </row>
    <row r="2704" ht="15.75" customHeight="1">
      <c r="A27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Helper'!$F$5:$F$3004,"""")&lt;&gt;""""),ROWS(A$5:A2704)),"""")"),"")</f>
        <v/>
      </c>
      <c r="B27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Helper'!$F$5:$F$3004,"""")&lt;&gt;""""),ROWS(B$5:B2704)),"""")"),"")</f>
        <v/>
      </c>
      <c r="C27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Helper'!$F$5:$F$3004,"""")&lt;&gt;""""),ROWS(C$5:C2704)),"""")"),"")</f>
        <v/>
      </c>
      <c r="D27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Helper'!$F$5:$F$3004,"""")&lt;&gt;""""),ROWS(D$5:D2704)),"""")"),"")</f>
        <v/>
      </c>
      <c r="E27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Helper'!$F$5:$F$3004,"""")&lt;&gt;""""),ROWS(E$5:E2704)),"""")"),"")</f>
        <v/>
      </c>
      <c r="F27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Helper'!$F$5:$F$3004,"""")&lt;&gt;""""),ROWS(F$5:F2704)),IF(AND(LEFT(x,5)=""Pag"&amp;"e "",ISERROR(SEARCH(""–"",x))),x&amp;""–""&amp;REGEXEXTRACT(x,""[0-9]+$""),x)),"""")"),"")</f>
        <v/>
      </c>
      <c r="G2704" s="163"/>
      <c r="H27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Helper'!$F$5:$F$3004,"""")&lt;&gt;""""),ROWS(H$5:H2704)),"""")"),"")</f>
        <v/>
      </c>
    </row>
    <row r="2705" ht="15.75" customHeight="1">
      <c r="A27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Helper'!$F$5:$F$3004,"""")&lt;&gt;""""),ROWS(A$5:A2705)),"""")"),"")</f>
        <v/>
      </c>
      <c r="B27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Helper'!$F$5:$F$3004,"""")&lt;&gt;""""),ROWS(B$5:B2705)),"""")"),"")</f>
        <v/>
      </c>
      <c r="C27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Helper'!$F$5:$F$3004,"""")&lt;&gt;""""),ROWS(C$5:C2705)),"""")"),"")</f>
        <v/>
      </c>
      <c r="D27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Helper'!$F$5:$F$3004,"""")&lt;&gt;""""),ROWS(D$5:D2705)),"""")"),"")</f>
        <v/>
      </c>
      <c r="E27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Helper'!$F$5:$F$3004,"""")&lt;&gt;""""),ROWS(E$5:E2705)),"""")"),"")</f>
        <v/>
      </c>
      <c r="F27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Helper'!$F$5:$F$3004,"""")&lt;&gt;""""),ROWS(F$5:F2705)),IF(AND(LEFT(x,5)=""Pag"&amp;"e "",ISERROR(SEARCH(""–"",x))),x&amp;""–""&amp;REGEXEXTRACT(x,""[0-9]+$""),x)),"""")"),"")</f>
        <v/>
      </c>
      <c r="G2705" s="163"/>
      <c r="H27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Helper'!$F$5:$F$3004,"""")&lt;&gt;""""),ROWS(H$5:H2705)),"""")"),"")</f>
        <v/>
      </c>
    </row>
    <row r="2706" ht="15.75" customHeight="1">
      <c r="A27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Helper'!$F$5:$F$3004,"""")&lt;&gt;""""),ROWS(A$5:A2706)),"""")"),"")</f>
        <v/>
      </c>
      <c r="B27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Helper'!$F$5:$F$3004,"""")&lt;&gt;""""),ROWS(B$5:B2706)),"""")"),"")</f>
        <v/>
      </c>
      <c r="C27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Helper'!$F$5:$F$3004,"""")&lt;&gt;""""),ROWS(C$5:C2706)),"""")"),"")</f>
        <v/>
      </c>
      <c r="D27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Helper'!$F$5:$F$3004,"""")&lt;&gt;""""),ROWS(D$5:D2706)),"""")"),"")</f>
        <v/>
      </c>
      <c r="E27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Helper'!$F$5:$F$3004,"""")&lt;&gt;""""),ROWS(E$5:E2706)),"""")"),"")</f>
        <v/>
      </c>
      <c r="F27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Helper'!$F$5:$F$3004,"""")&lt;&gt;""""),ROWS(F$5:F2706)),IF(AND(LEFT(x,5)=""Pag"&amp;"e "",ISERROR(SEARCH(""–"",x))),x&amp;""–""&amp;REGEXEXTRACT(x,""[0-9]+$""),x)),"""")"),"")</f>
        <v/>
      </c>
      <c r="G2706" s="163"/>
      <c r="H27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Helper'!$F$5:$F$3004,"""")&lt;&gt;""""),ROWS(H$5:H2706)),"""")"),"")</f>
        <v/>
      </c>
    </row>
    <row r="2707" ht="15.75" customHeight="1">
      <c r="A27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Helper'!$F$5:$F$3004,"""")&lt;&gt;""""),ROWS(A$5:A2707)),"""")"),"")</f>
        <v/>
      </c>
      <c r="B27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Helper'!$F$5:$F$3004,"""")&lt;&gt;""""),ROWS(B$5:B2707)),"""")"),"")</f>
        <v/>
      </c>
      <c r="C27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Helper'!$F$5:$F$3004,"""")&lt;&gt;""""),ROWS(C$5:C2707)),"""")"),"")</f>
        <v/>
      </c>
      <c r="D27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Helper'!$F$5:$F$3004,"""")&lt;&gt;""""),ROWS(D$5:D2707)),"""")"),"")</f>
        <v/>
      </c>
      <c r="E27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Helper'!$F$5:$F$3004,"""")&lt;&gt;""""),ROWS(E$5:E2707)),"""")"),"")</f>
        <v/>
      </c>
      <c r="F27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Helper'!$F$5:$F$3004,"""")&lt;&gt;""""),ROWS(F$5:F2707)),IF(AND(LEFT(x,5)=""Pag"&amp;"e "",ISERROR(SEARCH(""–"",x))),x&amp;""–""&amp;REGEXEXTRACT(x,""[0-9]+$""),x)),"""")"),"")</f>
        <v/>
      </c>
      <c r="G2707" s="163"/>
      <c r="H27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Helper'!$F$5:$F$3004,"""")&lt;&gt;""""),ROWS(H$5:H2707)),"""")"),"")</f>
        <v/>
      </c>
    </row>
    <row r="2708" ht="15.75" customHeight="1">
      <c r="A27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Helper'!$F$5:$F$3004,"""")&lt;&gt;""""),ROWS(A$5:A2708)),"""")"),"")</f>
        <v/>
      </c>
      <c r="B27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Helper'!$F$5:$F$3004,"""")&lt;&gt;""""),ROWS(B$5:B2708)),"""")"),"")</f>
        <v/>
      </c>
      <c r="C27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Helper'!$F$5:$F$3004,"""")&lt;&gt;""""),ROWS(C$5:C2708)),"""")"),"")</f>
        <v/>
      </c>
      <c r="D27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Helper'!$F$5:$F$3004,"""")&lt;&gt;""""),ROWS(D$5:D2708)),"""")"),"")</f>
        <v/>
      </c>
      <c r="E27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Helper'!$F$5:$F$3004,"""")&lt;&gt;""""),ROWS(E$5:E2708)),"""")"),"")</f>
        <v/>
      </c>
      <c r="F27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Helper'!$F$5:$F$3004,"""")&lt;&gt;""""),ROWS(F$5:F2708)),IF(AND(LEFT(x,5)=""Pag"&amp;"e "",ISERROR(SEARCH(""–"",x))),x&amp;""–""&amp;REGEXEXTRACT(x,""[0-9]+$""),x)),"""")"),"")</f>
        <v/>
      </c>
      <c r="G2708" s="163"/>
      <c r="H27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Helper'!$F$5:$F$3004,"""")&lt;&gt;""""),ROWS(H$5:H2708)),"""")"),"")</f>
        <v/>
      </c>
    </row>
    <row r="2709" ht="15.75" customHeight="1">
      <c r="A27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Helper'!$F$5:$F$3004,"""")&lt;&gt;""""),ROWS(A$5:A2709)),"""")"),"")</f>
        <v/>
      </c>
      <c r="B27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Helper'!$F$5:$F$3004,"""")&lt;&gt;""""),ROWS(B$5:B2709)),"""")"),"")</f>
        <v/>
      </c>
      <c r="C27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Helper'!$F$5:$F$3004,"""")&lt;&gt;""""),ROWS(C$5:C2709)),"""")"),"")</f>
        <v/>
      </c>
      <c r="D27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Helper'!$F$5:$F$3004,"""")&lt;&gt;""""),ROWS(D$5:D2709)),"""")"),"")</f>
        <v/>
      </c>
      <c r="E27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Helper'!$F$5:$F$3004,"""")&lt;&gt;""""),ROWS(E$5:E2709)),"""")"),"")</f>
        <v/>
      </c>
      <c r="F27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Helper'!$F$5:$F$3004,"""")&lt;&gt;""""),ROWS(F$5:F2709)),IF(AND(LEFT(x,5)=""Pag"&amp;"e "",ISERROR(SEARCH(""–"",x))),x&amp;""–""&amp;REGEXEXTRACT(x,""[0-9]+$""),x)),"""")"),"")</f>
        <v/>
      </c>
      <c r="G2709" s="163"/>
      <c r="H27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Helper'!$F$5:$F$3004,"""")&lt;&gt;""""),ROWS(H$5:H2709)),"""")"),"")</f>
        <v/>
      </c>
    </row>
    <row r="2710" ht="15.75" customHeight="1">
      <c r="A27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Helper'!$F$5:$F$3004,"""")&lt;&gt;""""),ROWS(A$5:A2710)),"""")"),"")</f>
        <v/>
      </c>
      <c r="B27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Helper'!$F$5:$F$3004,"""")&lt;&gt;""""),ROWS(B$5:B2710)),"""")"),"")</f>
        <v/>
      </c>
      <c r="C27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Helper'!$F$5:$F$3004,"""")&lt;&gt;""""),ROWS(C$5:C2710)),"""")"),"")</f>
        <v/>
      </c>
      <c r="D27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Helper'!$F$5:$F$3004,"""")&lt;&gt;""""),ROWS(D$5:D2710)),"""")"),"")</f>
        <v/>
      </c>
      <c r="E27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Helper'!$F$5:$F$3004,"""")&lt;&gt;""""),ROWS(E$5:E2710)),"""")"),"")</f>
        <v/>
      </c>
      <c r="F27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Helper'!$F$5:$F$3004,"""")&lt;&gt;""""),ROWS(F$5:F2710)),IF(AND(LEFT(x,5)=""Pag"&amp;"e "",ISERROR(SEARCH(""–"",x))),x&amp;""–""&amp;REGEXEXTRACT(x,""[0-9]+$""),x)),"""")"),"")</f>
        <v/>
      </c>
      <c r="G2710" s="163"/>
      <c r="H27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Helper'!$F$5:$F$3004,"""")&lt;&gt;""""),ROWS(H$5:H2710)),"""")"),"")</f>
        <v/>
      </c>
    </row>
    <row r="2711" ht="15.75" customHeight="1">
      <c r="A27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Helper'!$F$5:$F$3004,"""")&lt;&gt;""""),ROWS(A$5:A2711)),"""")"),"")</f>
        <v/>
      </c>
      <c r="B27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Helper'!$F$5:$F$3004,"""")&lt;&gt;""""),ROWS(B$5:B2711)),"""")"),"")</f>
        <v/>
      </c>
      <c r="C27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Helper'!$F$5:$F$3004,"""")&lt;&gt;""""),ROWS(C$5:C2711)),"""")"),"")</f>
        <v/>
      </c>
      <c r="D27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Helper'!$F$5:$F$3004,"""")&lt;&gt;""""),ROWS(D$5:D2711)),"""")"),"")</f>
        <v/>
      </c>
      <c r="E27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Helper'!$F$5:$F$3004,"""")&lt;&gt;""""),ROWS(E$5:E2711)),"""")"),"")</f>
        <v/>
      </c>
      <c r="F27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Helper'!$F$5:$F$3004,"""")&lt;&gt;""""),ROWS(F$5:F2711)),IF(AND(LEFT(x,5)=""Pag"&amp;"e "",ISERROR(SEARCH(""–"",x))),x&amp;""–""&amp;REGEXEXTRACT(x,""[0-9]+$""),x)),"""")"),"")</f>
        <v/>
      </c>
      <c r="G2711" s="163"/>
      <c r="H27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Helper'!$F$5:$F$3004,"""")&lt;&gt;""""),ROWS(H$5:H2711)),"""")"),"")</f>
        <v/>
      </c>
    </row>
    <row r="2712" ht="15.75" customHeight="1">
      <c r="A27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Helper'!$F$5:$F$3004,"""")&lt;&gt;""""),ROWS(A$5:A2712)),"""")"),"")</f>
        <v/>
      </c>
      <c r="B27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Helper'!$F$5:$F$3004,"""")&lt;&gt;""""),ROWS(B$5:B2712)),"""")"),"")</f>
        <v/>
      </c>
      <c r="C27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Helper'!$F$5:$F$3004,"""")&lt;&gt;""""),ROWS(C$5:C2712)),"""")"),"")</f>
        <v/>
      </c>
      <c r="D27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Helper'!$F$5:$F$3004,"""")&lt;&gt;""""),ROWS(D$5:D2712)),"""")"),"")</f>
        <v/>
      </c>
      <c r="E27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Helper'!$F$5:$F$3004,"""")&lt;&gt;""""),ROWS(E$5:E2712)),"""")"),"")</f>
        <v/>
      </c>
      <c r="F27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Helper'!$F$5:$F$3004,"""")&lt;&gt;""""),ROWS(F$5:F2712)),IF(AND(LEFT(x,5)=""Pag"&amp;"e "",ISERROR(SEARCH(""–"",x))),x&amp;""–""&amp;REGEXEXTRACT(x,""[0-9]+$""),x)),"""")"),"")</f>
        <v/>
      </c>
      <c r="G2712" s="163"/>
      <c r="H27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Helper'!$F$5:$F$3004,"""")&lt;&gt;""""),ROWS(H$5:H2712)),"""")"),"")</f>
        <v/>
      </c>
    </row>
    <row r="2713" ht="15.75" customHeight="1">
      <c r="A27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Helper'!$F$5:$F$3004,"""")&lt;&gt;""""),ROWS(A$5:A2713)),"""")"),"")</f>
        <v/>
      </c>
      <c r="B27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Helper'!$F$5:$F$3004,"""")&lt;&gt;""""),ROWS(B$5:B2713)),"""")"),"")</f>
        <v/>
      </c>
      <c r="C27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Helper'!$F$5:$F$3004,"""")&lt;&gt;""""),ROWS(C$5:C2713)),"""")"),"")</f>
        <v/>
      </c>
      <c r="D27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Helper'!$F$5:$F$3004,"""")&lt;&gt;""""),ROWS(D$5:D2713)),"""")"),"")</f>
        <v/>
      </c>
      <c r="E27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Helper'!$F$5:$F$3004,"""")&lt;&gt;""""),ROWS(E$5:E2713)),"""")"),"")</f>
        <v/>
      </c>
      <c r="F27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Helper'!$F$5:$F$3004,"""")&lt;&gt;""""),ROWS(F$5:F2713)),IF(AND(LEFT(x,5)=""Pag"&amp;"e "",ISERROR(SEARCH(""–"",x))),x&amp;""–""&amp;REGEXEXTRACT(x,""[0-9]+$""),x)),"""")"),"")</f>
        <v/>
      </c>
      <c r="G2713" s="163"/>
      <c r="H27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Helper'!$F$5:$F$3004,"""")&lt;&gt;""""),ROWS(H$5:H2713)),"""")"),"")</f>
        <v/>
      </c>
    </row>
    <row r="2714" ht="15.75" customHeight="1">
      <c r="A27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Helper'!$F$5:$F$3004,"""")&lt;&gt;""""),ROWS(A$5:A2714)),"""")"),"")</f>
        <v/>
      </c>
      <c r="B27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Helper'!$F$5:$F$3004,"""")&lt;&gt;""""),ROWS(B$5:B2714)),"""")"),"")</f>
        <v/>
      </c>
      <c r="C27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Helper'!$F$5:$F$3004,"""")&lt;&gt;""""),ROWS(C$5:C2714)),"""")"),"")</f>
        <v/>
      </c>
      <c r="D27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Helper'!$F$5:$F$3004,"""")&lt;&gt;""""),ROWS(D$5:D2714)),"""")"),"")</f>
        <v/>
      </c>
      <c r="E27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Helper'!$F$5:$F$3004,"""")&lt;&gt;""""),ROWS(E$5:E2714)),"""")"),"")</f>
        <v/>
      </c>
      <c r="F27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Helper'!$F$5:$F$3004,"""")&lt;&gt;""""),ROWS(F$5:F2714)),IF(AND(LEFT(x,5)=""Pag"&amp;"e "",ISERROR(SEARCH(""–"",x))),x&amp;""–""&amp;REGEXEXTRACT(x,""[0-9]+$""),x)),"""")"),"")</f>
        <v/>
      </c>
      <c r="G2714" s="163"/>
      <c r="H27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Helper'!$F$5:$F$3004,"""")&lt;&gt;""""),ROWS(H$5:H2714)),"""")"),"")</f>
        <v/>
      </c>
    </row>
    <row r="2715" ht="15.75" customHeight="1">
      <c r="A27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Helper'!$F$5:$F$3004,"""")&lt;&gt;""""),ROWS(A$5:A2715)),"""")"),"")</f>
        <v/>
      </c>
      <c r="B27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Helper'!$F$5:$F$3004,"""")&lt;&gt;""""),ROWS(B$5:B2715)),"""")"),"")</f>
        <v/>
      </c>
      <c r="C27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Helper'!$F$5:$F$3004,"""")&lt;&gt;""""),ROWS(C$5:C2715)),"""")"),"")</f>
        <v/>
      </c>
      <c r="D27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Helper'!$F$5:$F$3004,"""")&lt;&gt;""""),ROWS(D$5:D2715)),"""")"),"")</f>
        <v/>
      </c>
      <c r="E27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Helper'!$F$5:$F$3004,"""")&lt;&gt;""""),ROWS(E$5:E2715)),"""")"),"")</f>
        <v/>
      </c>
      <c r="F27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Helper'!$F$5:$F$3004,"""")&lt;&gt;""""),ROWS(F$5:F2715)),IF(AND(LEFT(x,5)=""Pag"&amp;"e "",ISERROR(SEARCH(""–"",x))),x&amp;""–""&amp;REGEXEXTRACT(x,""[0-9]+$""),x)),"""")"),"")</f>
        <v/>
      </c>
      <c r="G2715" s="163"/>
      <c r="H27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Helper'!$F$5:$F$3004,"""")&lt;&gt;""""),ROWS(H$5:H2715)),"""")"),"")</f>
        <v/>
      </c>
    </row>
    <row r="2716" ht="15.75" customHeight="1">
      <c r="A27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Helper'!$F$5:$F$3004,"""")&lt;&gt;""""),ROWS(A$5:A2716)),"""")"),"")</f>
        <v/>
      </c>
      <c r="B27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Helper'!$F$5:$F$3004,"""")&lt;&gt;""""),ROWS(B$5:B2716)),"""")"),"")</f>
        <v/>
      </c>
      <c r="C27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Helper'!$F$5:$F$3004,"""")&lt;&gt;""""),ROWS(C$5:C2716)),"""")"),"")</f>
        <v/>
      </c>
      <c r="D27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Helper'!$F$5:$F$3004,"""")&lt;&gt;""""),ROWS(D$5:D2716)),"""")"),"")</f>
        <v/>
      </c>
      <c r="E27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Helper'!$F$5:$F$3004,"""")&lt;&gt;""""),ROWS(E$5:E2716)),"""")"),"")</f>
        <v/>
      </c>
      <c r="F27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Helper'!$F$5:$F$3004,"""")&lt;&gt;""""),ROWS(F$5:F2716)),IF(AND(LEFT(x,5)=""Pag"&amp;"e "",ISERROR(SEARCH(""–"",x))),x&amp;""–""&amp;REGEXEXTRACT(x,""[0-9]+$""),x)),"""")"),"")</f>
        <v/>
      </c>
      <c r="G2716" s="163"/>
      <c r="H27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Helper'!$F$5:$F$3004,"""")&lt;&gt;""""),ROWS(H$5:H2716)),"""")"),"")</f>
        <v/>
      </c>
    </row>
    <row r="2717" ht="15.75" customHeight="1">
      <c r="A27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Helper'!$F$5:$F$3004,"""")&lt;&gt;""""),ROWS(A$5:A2717)),"""")"),"")</f>
        <v/>
      </c>
      <c r="B27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Helper'!$F$5:$F$3004,"""")&lt;&gt;""""),ROWS(B$5:B2717)),"""")"),"")</f>
        <v/>
      </c>
      <c r="C27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Helper'!$F$5:$F$3004,"""")&lt;&gt;""""),ROWS(C$5:C2717)),"""")"),"")</f>
        <v/>
      </c>
      <c r="D27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Helper'!$F$5:$F$3004,"""")&lt;&gt;""""),ROWS(D$5:D2717)),"""")"),"")</f>
        <v/>
      </c>
      <c r="E27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Helper'!$F$5:$F$3004,"""")&lt;&gt;""""),ROWS(E$5:E2717)),"""")"),"")</f>
        <v/>
      </c>
      <c r="F27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Helper'!$F$5:$F$3004,"""")&lt;&gt;""""),ROWS(F$5:F2717)),IF(AND(LEFT(x,5)=""Pag"&amp;"e "",ISERROR(SEARCH(""–"",x))),x&amp;""–""&amp;REGEXEXTRACT(x,""[0-9]+$""),x)),"""")"),"")</f>
        <v/>
      </c>
      <c r="G2717" s="163"/>
      <c r="H27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Helper'!$F$5:$F$3004,"""")&lt;&gt;""""),ROWS(H$5:H2717)),"""")"),"")</f>
        <v/>
      </c>
    </row>
    <row r="2718" ht="15.75" customHeight="1">
      <c r="A27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Helper'!$F$5:$F$3004,"""")&lt;&gt;""""),ROWS(A$5:A2718)),"""")"),"")</f>
        <v/>
      </c>
      <c r="B27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Helper'!$F$5:$F$3004,"""")&lt;&gt;""""),ROWS(B$5:B2718)),"""")"),"")</f>
        <v/>
      </c>
      <c r="C27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Helper'!$F$5:$F$3004,"""")&lt;&gt;""""),ROWS(C$5:C2718)),"""")"),"")</f>
        <v/>
      </c>
      <c r="D27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Helper'!$F$5:$F$3004,"""")&lt;&gt;""""),ROWS(D$5:D2718)),"""")"),"")</f>
        <v/>
      </c>
      <c r="E27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Helper'!$F$5:$F$3004,"""")&lt;&gt;""""),ROWS(E$5:E2718)),"""")"),"")</f>
        <v/>
      </c>
      <c r="F27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Helper'!$F$5:$F$3004,"""")&lt;&gt;""""),ROWS(F$5:F2718)),IF(AND(LEFT(x,5)=""Pag"&amp;"e "",ISERROR(SEARCH(""–"",x))),x&amp;""–""&amp;REGEXEXTRACT(x,""[0-9]+$""),x)),"""")"),"")</f>
        <v/>
      </c>
      <c r="G2718" s="163"/>
      <c r="H27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Helper'!$F$5:$F$3004,"""")&lt;&gt;""""),ROWS(H$5:H2718)),"""")"),"")</f>
        <v/>
      </c>
    </row>
    <row r="2719" ht="15.75" customHeight="1">
      <c r="A27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Helper'!$F$5:$F$3004,"""")&lt;&gt;""""),ROWS(A$5:A2719)),"""")"),"")</f>
        <v/>
      </c>
      <c r="B27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Helper'!$F$5:$F$3004,"""")&lt;&gt;""""),ROWS(B$5:B2719)),"""")"),"")</f>
        <v/>
      </c>
      <c r="C27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Helper'!$F$5:$F$3004,"""")&lt;&gt;""""),ROWS(C$5:C2719)),"""")"),"")</f>
        <v/>
      </c>
      <c r="D27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Helper'!$F$5:$F$3004,"""")&lt;&gt;""""),ROWS(D$5:D2719)),"""")"),"")</f>
        <v/>
      </c>
      <c r="E27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Helper'!$F$5:$F$3004,"""")&lt;&gt;""""),ROWS(E$5:E2719)),"""")"),"")</f>
        <v/>
      </c>
      <c r="F27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Helper'!$F$5:$F$3004,"""")&lt;&gt;""""),ROWS(F$5:F2719)),IF(AND(LEFT(x,5)=""Pag"&amp;"e "",ISERROR(SEARCH(""–"",x))),x&amp;""–""&amp;REGEXEXTRACT(x,""[0-9]+$""),x)),"""")"),"")</f>
        <v/>
      </c>
      <c r="G2719" s="163"/>
      <c r="H27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Helper'!$F$5:$F$3004,"""")&lt;&gt;""""),ROWS(H$5:H2719)),"""")"),"")</f>
        <v/>
      </c>
    </row>
    <row r="2720" ht="15.75" customHeight="1">
      <c r="A27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Helper'!$F$5:$F$3004,"""")&lt;&gt;""""),ROWS(A$5:A2720)),"""")"),"")</f>
        <v/>
      </c>
      <c r="B27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Helper'!$F$5:$F$3004,"""")&lt;&gt;""""),ROWS(B$5:B2720)),"""")"),"")</f>
        <v/>
      </c>
      <c r="C27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Helper'!$F$5:$F$3004,"""")&lt;&gt;""""),ROWS(C$5:C2720)),"""")"),"")</f>
        <v/>
      </c>
      <c r="D27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Helper'!$F$5:$F$3004,"""")&lt;&gt;""""),ROWS(D$5:D2720)),"""")"),"")</f>
        <v/>
      </c>
      <c r="E27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Helper'!$F$5:$F$3004,"""")&lt;&gt;""""),ROWS(E$5:E2720)),"""")"),"")</f>
        <v/>
      </c>
      <c r="F27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Helper'!$F$5:$F$3004,"""")&lt;&gt;""""),ROWS(F$5:F2720)),IF(AND(LEFT(x,5)=""Pag"&amp;"e "",ISERROR(SEARCH(""–"",x))),x&amp;""–""&amp;REGEXEXTRACT(x,""[0-9]+$""),x)),"""")"),"")</f>
        <v/>
      </c>
      <c r="G2720" s="163"/>
      <c r="H27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Helper'!$F$5:$F$3004,"""")&lt;&gt;""""),ROWS(H$5:H2720)),"""")"),"")</f>
        <v/>
      </c>
    </row>
    <row r="2721" ht="15.75" customHeight="1">
      <c r="A27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Helper'!$F$5:$F$3004,"""")&lt;&gt;""""),ROWS(A$5:A2721)),"""")"),"")</f>
        <v/>
      </c>
      <c r="B27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Helper'!$F$5:$F$3004,"""")&lt;&gt;""""),ROWS(B$5:B2721)),"""")"),"")</f>
        <v/>
      </c>
      <c r="C27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Helper'!$F$5:$F$3004,"""")&lt;&gt;""""),ROWS(C$5:C2721)),"""")"),"")</f>
        <v/>
      </c>
      <c r="D27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Helper'!$F$5:$F$3004,"""")&lt;&gt;""""),ROWS(D$5:D2721)),"""")"),"")</f>
        <v/>
      </c>
      <c r="E27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Helper'!$F$5:$F$3004,"""")&lt;&gt;""""),ROWS(E$5:E2721)),"""")"),"")</f>
        <v/>
      </c>
      <c r="F27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Helper'!$F$5:$F$3004,"""")&lt;&gt;""""),ROWS(F$5:F2721)),IF(AND(LEFT(x,5)=""Pag"&amp;"e "",ISERROR(SEARCH(""–"",x))),x&amp;""–""&amp;REGEXEXTRACT(x,""[0-9]+$""),x)),"""")"),"")</f>
        <v/>
      </c>
      <c r="G2721" s="163"/>
      <c r="H27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Helper'!$F$5:$F$3004,"""")&lt;&gt;""""),ROWS(H$5:H2721)),"""")"),"")</f>
        <v/>
      </c>
    </row>
    <row r="2722" ht="15.75" customHeight="1">
      <c r="A27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Helper'!$F$5:$F$3004,"""")&lt;&gt;""""),ROWS(A$5:A2722)),"""")"),"")</f>
        <v/>
      </c>
      <c r="B27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Helper'!$F$5:$F$3004,"""")&lt;&gt;""""),ROWS(B$5:B2722)),"""")"),"")</f>
        <v/>
      </c>
      <c r="C27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Helper'!$F$5:$F$3004,"""")&lt;&gt;""""),ROWS(C$5:C2722)),"""")"),"")</f>
        <v/>
      </c>
      <c r="D27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Helper'!$F$5:$F$3004,"""")&lt;&gt;""""),ROWS(D$5:D2722)),"""")"),"")</f>
        <v/>
      </c>
      <c r="E27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Helper'!$F$5:$F$3004,"""")&lt;&gt;""""),ROWS(E$5:E2722)),"""")"),"")</f>
        <v/>
      </c>
      <c r="F27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Helper'!$F$5:$F$3004,"""")&lt;&gt;""""),ROWS(F$5:F2722)),IF(AND(LEFT(x,5)=""Pag"&amp;"e "",ISERROR(SEARCH(""–"",x))),x&amp;""–""&amp;REGEXEXTRACT(x,""[0-9]+$""),x)),"""")"),"")</f>
        <v/>
      </c>
      <c r="G2722" s="163"/>
      <c r="H27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Helper'!$F$5:$F$3004,"""")&lt;&gt;""""),ROWS(H$5:H2722)),"""")"),"")</f>
        <v/>
      </c>
    </row>
    <row r="2723" ht="15.75" customHeight="1">
      <c r="A27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Helper'!$F$5:$F$3004,"""")&lt;&gt;""""),ROWS(A$5:A2723)),"""")"),"")</f>
        <v/>
      </c>
      <c r="B27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Helper'!$F$5:$F$3004,"""")&lt;&gt;""""),ROWS(B$5:B2723)),"""")"),"")</f>
        <v/>
      </c>
      <c r="C27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Helper'!$F$5:$F$3004,"""")&lt;&gt;""""),ROWS(C$5:C2723)),"""")"),"")</f>
        <v/>
      </c>
      <c r="D27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Helper'!$F$5:$F$3004,"""")&lt;&gt;""""),ROWS(D$5:D2723)),"""")"),"")</f>
        <v/>
      </c>
      <c r="E27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Helper'!$F$5:$F$3004,"""")&lt;&gt;""""),ROWS(E$5:E2723)),"""")"),"")</f>
        <v/>
      </c>
      <c r="F27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Helper'!$F$5:$F$3004,"""")&lt;&gt;""""),ROWS(F$5:F2723)),IF(AND(LEFT(x,5)=""Pag"&amp;"e "",ISERROR(SEARCH(""–"",x))),x&amp;""–""&amp;REGEXEXTRACT(x,""[0-9]+$""),x)),"""")"),"")</f>
        <v/>
      </c>
      <c r="G2723" s="163"/>
      <c r="H27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Helper'!$F$5:$F$3004,"""")&lt;&gt;""""),ROWS(H$5:H2723)),"""")"),"")</f>
        <v/>
      </c>
    </row>
    <row r="2724" ht="15.75" customHeight="1">
      <c r="A27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Helper'!$F$5:$F$3004,"""")&lt;&gt;""""),ROWS(A$5:A2724)),"""")"),"")</f>
        <v/>
      </c>
      <c r="B27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Helper'!$F$5:$F$3004,"""")&lt;&gt;""""),ROWS(B$5:B2724)),"""")"),"")</f>
        <v/>
      </c>
      <c r="C27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Helper'!$F$5:$F$3004,"""")&lt;&gt;""""),ROWS(C$5:C2724)),"""")"),"")</f>
        <v/>
      </c>
      <c r="D27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Helper'!$F$5:$F$3004,"""")&lt;&gt;""""),ROWS(D$5:D2724)),"""")"),"")</f>
        <v/>
      </c>
      <c r="E27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Helper'!$F$5:$F$3004,"""")&lt;&gt;""""),ROWS(E$5:E2724)),"""")"),"")</f>
        <v/>
      </c>
      <c r="F27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Helper'!$F$5:$F$3004,"""")&lt;&gt;""""),ROWS(F$5:F2724)),IF(AND(LEFT(x,5)=""Pag"&amp;"e "",ISERROR(SEARCH(""–"",x))),x&amp;""–""&amp;REGEXEXTRACT(x,""[0-9]+$""),x)),"""")"),"")</f>
        <v/>
      </c>
      <c r="G2724" s="163"/>
      <c r="H27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Helper'!$F$5:$F$3004,"""")&lt;&gt;""""),ROWS(H$5:H2724)),"""")"),"")</f>
        <v/>
      </c>
    </row>
    <row r="2725" ht="15.75" customHeight="1">
      <c r="A27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Helper'!$F$5:$F$3004,"""")&lt;&gt;""""),ROWS(A$5:A2725)),"""")"),"")</f>
        <v/>
      </c>
      <c r="B27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Helper'!$F$5:$F$3004,"""")&lt;&gt;""""),ROWS(B$5:B2725)),"""")"),"")</f>
        <v/>
      </c>
      <c r="C27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Helper'!$F$5:$F$3004,"""")&lt;&gt;""""),ROWS(C$5:C2725)),"""")"),"")</f>
        <v/>
      </c>
      <c r="D27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Helper'!$F$5:$F$3004,"""")&lt;&gt;""""),ROWS(D$5:D2725)),"""")"),"")</f>
        <v/>
      </c>
      <c r="E27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Helper'!$F$5:$F$3004,"""")&lt;&gt;""""),ROWS(E$5:E2725)),"""")"),"")</f>
        <v/>
      </c>
      <c r="F27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Helper'!$F$5:$F$3004,"""")&lt;&gt;""""),ROWS(F$5:F2725)),IF(AND(LEFT(x,5)=""Pag"&amp;"e "",ISERROR(SEARCH(""–"",x))),x&amp;""–""&amp;REGEXEXTRACT(x,""[0-9]+$""),x)),"""")"),"")</f>
        <v/>
      </c>
      <c r="G2725" s="163"/>
      <c r="H27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Helper'!$F$5:$F$3004,"""")&lt;&gt;""""),ROWS(H$5:H2725)),"""")"),"")</f>
        <v/>
      </c>
    </row>
    <row r="2726" ht="15.75" customHeight="1">
      <c r="A27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Helper'!$F$5:$F$3004,"""")&lt;&gt;""""),ROWS(A$5:A2726)),"""")"),"")</f>
        <v/>
      </c>
      <c r="B27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Helper'!$F$5:$F$3004,"""")&lt;&gt;""""),ROWS(B$5:B2726)),"""")"),"")</f>
        <v/>
      </c>
      <c r="C27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Helper'!$F$5:$F$3004,"""")&lt;&gt;""""),ROWS(C$5:C2726)),"""")"),"")</f>
        <v/>
      </c>
      <c r="D27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Helper'!$F$5:$F$3004,"""")&lt;&gt;""""),ROWS(D$5:D2726)),"""")"),"")</f>
        <v/>
      </c>
      <c r="E27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Helper'!$F$5:$F$3004,"""")&lt;&gt;""""),ROWS(E$5:E2726)),"""")"),"")</f>
        <v/>
      </c>
      <c r="F27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Helper'!$F$5:$F$3004,"""")&lt;&gt;""""),ROWS(F$5:F2726)),IF(AND(LEFT(x,5)=""Pag"&amp;"e "",ISERROR(SEARCH(""–"",x))),x&amp;""–""&amp;REGEXEXTRACT(x,""[0-9]+$""),x)),"""")"),"")</f>
        <v/>
      </c>
      <c r="G2726" s="163"/>
      <c r="H27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Helper'!$F$5:$F$3004,"""")&lt;&gt;""""),ROWS(H$5:H2726)),"""")"),"")</f>
        <v/>
      </c>
    </row>
    <row r="2727" ht="15.75" customHeight="1">
      <c r="A27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Helper'!$F$5:$F$3004,"""")&lt;&gt;""""),ROWS(A$5:A2727)),"""")"),"")</f>
        <v/>
      </c>
      <c r="B27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Helper'!$F$5:$F$3004,"""")&lt;&gt;""""),ROWS(B$5:B2727)),"""")"),"")</f>
        <v/>
      </c>
      <c r="C27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Helper'!$F$5:$F$3004,"""")&lt;&gt;""""),ROWS(C$5:C2727)),"""")"),"")</f>
        <v/>
      </c>
      <c r="D27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Helper'!$F$5:$F$3004,"""")&lt;&gt;""""),ROWS(D$5:D2727)),"""")"),"")</f>
        <v/>
      </c>
      <c r="E27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Helper'!$F$5:$F$3004,"""")&lt;&gt;""""),ROWS(E$5:E2727)),"""")"),"")</f>
        <v/>
      </c>
      <c r="F27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Helper'!$F$5:$F$3004,"""")&lt;&gt;""""),ROWS(F$5:F2727)),IF(AND(LEFT(x,5)=""Pag"&amp;"e "",ISERROR(SEARCH(""–"",x))),x&amp;""–""&amp;REGEXEXTRACT(x,""[0-9]+$""),x)),"""")"),"")</f>
        <v/>
      </c>
      <c r="G2727" s="163"/>
      <c r="H27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Helper'!$F$5:$F$3004,"""")&lt;&gt;""""),ROWS(H$5:H2727)),"""")"),"")</f>
        <v/>
      </c>
    </row>
    <row r="2728" ht="15.75" customHeight="1">
      <c r="A27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Helper'!$F$5:$F$3004,"""")&lt;&gt;""""),ROWS(A$5:A2728)),"""")"),"")</f>
        <v/>
      </c>
      <c r="B27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Helper'!$F$5:$F$3004,"""")&lt;&gt;""""),ROWS(B$5:B2728)),"""")"),"")</f>
        <v/>
      </c>
      <c r="C27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Helper'!$F$5:$F$3004,"""")&lt;&gt;""""),ROWS(C$5:C2728)),"""")"),"")</f>
        <v/>
      </c>
      <c r="D27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Helper'!$F$5:$F$3004,"""")&lt;&gt;""""),ROWS(D$5:D2728)),"""")"),"")</f>
        <v/>
      </c>
      <c r="E27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Helper'!$F$5:$F$3004,"""")&lt;&gt;""""),ROWS(E$5:E2728)),"""")"),"")</f>
        <v/>
      </c>
      <c r="F27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Helper'!$F$5:$F$3004,"""")&lt;&gt;""""),ROWS(F$5:F2728)),IF(AND(LEFT(x,5)=""Pag"&amp;"e "",ISERROR(SEARCH(""–"",x))),x&amp;""–""&amp;REGEXEXTRACT(x,""[0-9]+$""),x)),"""")"),"")</f>
        <v/>
      </c>
      <c r="G2728" s="163"/>
      <c r="H27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Helper'!$F$5:$F$3004,"""")&lt;&gt;""""),ROWS(H$5:H2728)),"""")"),"")</f>
        <v/>
      </c>
    </row>
    <row r="2729" ht="15.75" customHeight="1">
      <c r="A27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Helper'!$F$5:$F$3004,"""")&lt;&gt;""""),ROWS(A$5:A2729)),"""")"),"")</f>
        <v/>
      </c>
      <c r="B27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Helper'!$F$5:$F$3004,"""")&lt;&gt;""""),ROWS(B$5:B2729)),"""")"),"")</f>
        <v/>
      </c>
      <c r="C27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Helper'!$F$5:$F$3004,"""")&lt;&gt;""""),ROWS(C$5:C2729)),"""")"),"")</f>
        <v/>
      </c>
      <c r="D27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Helper'!$F$5:$F$3004,"""")&lt;&gt;""""),ROWS(D$5:D2729)),"""")"),"")</f>
        <v/>
      </c>
      <c r="E27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Helper'!$F$5:$F$3004,"""")&lt;&gt;""""),ROWS(E$5:E2729)),"""")"),"")</f>
        <v/>
      </c>
      <c r="F27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Helper'!$F$5:$F$3004,"""")&lt;&gt;""""),ROWS(F$5:F2729)),IF(AND(LEFT(x,5)=""Pag"&amp;"e "",ISERROR(SEARCH(""–"",x))),x&amp;""–""&amp;REGEXEXTRACT(x,""[0-9]+$""),x)),"""")"),"")</f>
        <v/>
      </c>
      <c r="G2729" s="163"/>
      <c r="H27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Helper'!$F$5:$F$3004,"""")&lt;&gt;""""),ROWS(H$5:H2729)),"""")"),"")</f>
        <v/>
      </c>
    </row>
    <row r="2730" ht="15.75" customHeight="1">
      <c r="A27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Helper'!$F$5:$F$3004,"""")&lt;&gt;""""),ROWS(A$5:A2730)),"""")"),"")</f>
        <v/>
      </c>
      <c r="B27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Helper'!$F$5:$F$3004,"""")&lt;&gt;""""),ROWS(B$5:B2730)),"""")"),"")</f>
        <v/>
      </c>
      <c r="C27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Helper'!$F$5:$F$3004,"""")&lt;&gt;""""),ROWS(C$5:C2730)),"""")"),"")</f>
        <v/>
      </c>
      <c r="D27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Helper'!$F$5:$F$3004,"""")&lt;&gt;""""),ROWS(D$5:D2730)),"""")"),"")</f>
        <v/>
      </c>
      <c r="E27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Helper'!$F$5:$F$3004,"""")&lt;&gt;""""),ROWS(E$5:E2730)),"""")"),"")</f>
        <v/>
      </c>
      <c r="F27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Helper'!$F$5:$F$3004,"""")&lt;&gt;""""),ROWS(F$5:F2730)),IF(AND(LEFT(x,5)=""Pag"&amp;"e "",ISERROR(SEARCH(""–"",x))),x&amp;""–""&amp;REGEXEXTRACT(x,""[0-9]+$""),x)),"""")"),"")</f>
        <v/>
      </c>
      <c r="G2730" s="163"/>
      <c r="H27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Helper'!$F$5:$F$3004,"""")&lt;&gt;""""),ROWS(H$5:H2730)),"""")"),"")</f>
        <v/>
      </c>
    </row>
    <row r="2731" ht="15.75" customHeight="1">
      <c r="A27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Helper'!$F$5:$F$3004,"""")&lt;&gt;""""),ROWS(A$5:A2731)),"""")"),"")</f>
        <v/>
      </c>
      <c r="B27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Helper'!$F$5:$F$3004,"""")&lt;&gt;""""),ROWS(B$5:B2731)),"""")"),"")</f>
        <v/>
      </c>
      <c r="C27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Helper'!$F$5:$F$3004,"""")&lt;&gt;""""),ROWS(C$5:C2731)),"""")"),"")</f>
        <v/>
      </c>
      <c r="D27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Helper'!$F$5:$F$3004,"""")&lt;&gt;""""),ROWS(D$5:D2731)),"""")"),"")</f>
        <v/>
      </c>
      <c r="E27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Helper'!$F$5:$F$3004,"""")&lt;&gt;""""),ROWS(E$5:E2731)),"""")"),"")</f>
        <v/>
      </c>
      <c r="F27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Helper'!$F$5:$F$3004,"""")&lt;&gt;""""),ROWS(F$5:F2731)),IF(AND(LEFT(x,5)=""Pag"&amp;"e "",ISERROR(SEARCH(""–"",x))),x&amp;""–""&amp;REGEXEXTRACT(x,""[0-9]+$""),x)),"""")"),"")</f>
        <v/>
      </c>
      <c r="G2731" s="163"/>
      <c r="H27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Helper'!$F$5:$F$3004,"""")&lt;&gt;""""),ROWS(H$5:H2731)),"""")"),"")</f>
        <v/>
      </c>
    </row>
    <row r="2732" ht="15.75" customHeight="1">
      <c r="A27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Helper'!$F$5:$F$3004,"""")&lt;&gt;""""),ROWS(A$5:A2732)),"""")"),"")</f>
        <v/>
      </c>
      <c r="B27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Helper'!$F$5:$F$3004,"""")&lt;&gt;""""),ROWS(B$5:B2732)),"""")"),"")</f>
        <v/>
      </c>
      <c r="C27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Helper'!$F$5:$F$3004,"""")&lt;&gt;""""),ROWS(C$5:C2732)),"""")"),"")</f>
        <v/>
      </c>
      <c r="D27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Helper'!$F$5:$F$3004,"""")&lt;&gt;""""),ROWS(D$5:D2732)),"""")"),"")</f>
        <v/>
      </c>
      <c r="E27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Helper'!$F$5:$F$3004,"""")&lt;&gt;""""),ROWS(E$5:E2732)),"""")"),"")</f>
        <v/>
      </c>
      <c r="F27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Helper'!$F$5:$F$3004,"""")&lt;&gt;""""),ROWS(F$5:F2732)),IF(AND(LEFT(x,5)=""Pag"&amp;"e "",ISERROR(SEARCH(""–"",x))),x&amp;""–""&amp;REGEXEXTRACT(x,""[0-9]+$""),x)),"""")"),"")</f>
        <v/>
      </c>
      <c r="G2732" s="163"/>
      <c r="H27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Helper'!$F$5:$F$3004,"""")&lt;&gt;""""),ROWS(H$5:H2732)),"""")"),"")</f>
        <v/>
      </c>
    </row>
    <row r="2733" ht="15.75" customHeight="1">
      <c r="A27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Helper'!$F$5:$F$3004,"""")&lt;&gt;""""),ROWS(A$5:A2733)),"""")"),"")</f>
        <v/>
      </c>
      <c r="B27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Helper'!$F$5:$F$3004,"""")&lt;&gt;""""),ROWS(B$5:B2733)),"""")"),"")</f>
        <v/>
      </c>
      <c r="C27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Helper'!$F$5:$F$3004,"""")&lt;&gt;""""),ROWS(C$5:C2733)),"""")"),"")</f>
        <v/>
      </c>
      <c r="D27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Helper'!$F$5:$F$3004,"""")&lt;&gt;""""),ROWS(D$5:D2733)),"""")"),"")</f>
        <v/>
      </c>
      <c r="E27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Helper'!$F$5:$F$3004,"""")&lt;&gt;""""),ROWS(E$5:E2733)),"""")"),"")</f>
        <v/>
      </c>
      <c r="F27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Helper'!$F$5:$F$3004,"""")&lt;&gt;""""),ROWS(F$5:F2733)),IF(AND(LEFT(x,5)=""Pag"&amp;"e "",ISERROR(SEARCH(""–"",x))),x&amp;""–""&amp;REGEXEXTRACT(x,""[0-9]+$""),x)),"""")"),"")</f>
        <v/>
      </c>
      <c r="G2733" s="163"/>
      <c r="H27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Helper'!$F$5:$F$3004,"""")&lt;&gt;""""),ROWS(H$5:H2733)),"""")"),"")</f>
        <v/>
      </c>
    </row>
    <row r="2734" ht="15.75" customHeight="1">
      <c r="A27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Helper'!$F$5:$F$3004,"""")&lt;&gt;""""),ROWS(A$5:A2734)),"""")"),"")</f>
        <v/>
      </c>
      <c r="B27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Helper'!$F$5:$F$3004,"""")&lt;&gt;""""),ROWS(B$5:B2734)),"""")"),"")</f>
        <v/>
      </c>
      <c r="C27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Helper'!$F$5:$F$3004,"""")&lt;&gt;""""),ROWS(C$5:C2734)),"""")"),"")</f>
        <v/>
      </c>
      <c r="D27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Helper'!$F$5:$F$3004,"""")&lt;&gt;""""),ROWS(D$5:D2734)),"""")"),"")</f>
        <v/>
      </c>
      <c r="E27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Helper'!$F$5:$F$3004,"""")&lt;&gt;""""),ROWS(E$5:E2734)),"""")"),"")</f>
        <v/>
      </c>
      <c r="F27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Helper'!$F$5:$F$3004,"""")&lt;&gt;""""),ROWS(F$5:F2734)),IF(AND(LEFT(x,5)=""Pag"&amp;"e "",ISERROR(SEARCH(""–"",x))),x&amp;""–""&amp;REGEXEXTRACT(x,""[0-9]+$""),x)),"""")"),"")</f>
        <v/>
      </c>
      <c r="G2734" s="163"/>
      <c r="H27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Helper'!$F$5:$F$3004,"""")&lt;&gt;""""),ROWS(H$5:H2734)),"""")"),"")</f>
        <v/>
      </c>
    </row>
    <row r="2735" ht="15.75" customHeight="1">
      <c r="A27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Helper'!$F$5:$F$3004,"""")&lt;&gt;""""),ROWS(A$5:A2735)),"""")"),"")</f>
        <v/>
      </c>
      <c r="B27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Helper'!$F$5:$F$3004,"""")&lt;&gt;""""),ROWS(B$5:B2735)),"""")"),"")</f>
        <v/>
      </c>
      <c r="C27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Helper'!$F$5:$F$3004,"""")&lt;&gt;""""),ROWS(C$5:C2735)),"""")"),"")</f>
        <v/>
      </c>
      <c r="D27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Helper'!$F$5:$F$3004,"""")&lt;&gt;""""),ROWS(D$5:D2735)),"""")"),"")</f>
        <v/>
      </c>
      <c r="E27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Helper'!$F$5:$F$3004,"""")&lt;&gt;""""),ROWS(E$5:E2735)),"""")"),"")</f>
        <v/>
      </c>
      <c r="F27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Helper'!$F$5:$F$3004,"""")&lt;&gt;""""),ROWS(F$5:F2735)),IF(AND(LEFT(x,5)=""Pag"&amp;"e "",ISERROR(SEARCH(""–"",x))),x&amp;""–""&amp;REGEXEXTRACT(x,""[0-9]+$""),x)),"""")"),"")</f>
        <v/>
      </c>
      <c r="G2735" s="163"/>
      <c r="H27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Helper'!$F$5:$F$3004,"""")&lt;&gt;""""),ROWS(H$5:H2735)),"""")"),"")</f>
        <v/>
      </c>
    </row>
    <row r="2736" ht="15.75" customHeight="1">
      <c r="A27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Helper'!$F$5:$F$3004,"""")&lt;&gt;""""),ROWS(A$5:A2736)),"""")"),"")</f>
        <v/>
      </c>
      <c r="B27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Helper'!$F$5:$F$3004,"""")&lt;&gt;""""),ROWS(B$5:B2736)),"""")"),"")</f>
        <v/>
      </c>
      <c r="C27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Helper'!$F$5:$F$3004,"""")&lt;&gt;""""),ROWS(C$5:C2736)),"""")"),"")</f>
        <v/>
      </c>
      <c r="D27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Helper'!$F$5:$F$3004,"""")&lt;&gt;""""),ROWS(D$5:D2736)),"""")"),"")</f>
        <v/>
      </c>
      <c r="E27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Helper'!$F$5:$F$3004,"""")&lt;&gt;""""),ROWS(E$5:E2736)),"""")"),"")</f>
        <v/>
      </c>
      <c r="F27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Helper'!$F$5:$F$3004,"""")&lt;&gt;""""),ROWS(F$5:F2736)),IF(AND(LEFT(x,5)=""Pag"&amp;"e "",ISERROR(SEARCH(""–"",x))),x&amp;""–""&amp;REGEXEXTRACT(x,""[0-9]+$""),x)),"""")"),"")</f>
        <v/>
      </c>
      <c r="G2736" s="163"/>
      <c r="H27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Helper'!$F$5:$F$3004,"""")&lt;&gt;""""),ROWS(H$5:H2736)),"""")"),"")</f>
        <v/>
      </c>
    </row>
    <row r="2737" ht="15.75" customHeight="1">
      <c r="A27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Helper'!$F$5:$F$3004,"""")&lt;&gt;""""),ROWS(A$5:A2737)),"""")"),"")</f>
        <v/>
      </c>
      <c r="B27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Helper'!$F$5:$F$3004,"""")&lt;&gt;""""),ROWS(B$5:B2737)),"""")"),"")</f>
        <v/>
      </c>
      <c r="C27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Helper'!$F$5:$F$3004,"""")&lt;&gt;""""),ROWS(C$5:C2737)),"""")"),"")</f>
        <v/>
      </c>
      <c r="D27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Helper'!$F$5:$F$3004,"""")&lt;&gt;""""),ROWS(D$5:D2737)),"""")"),"")</f>
        <v/>
      </c>
      <c r="E27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Helper'!$F$5:$F$3004,"""")&lt;&gt;""""),ROWS(E$5:E2737)),"""")"),"")</f>
        <v/>
      </c>
      <c r="F27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Helper'!$F$5:$F$3004,"""")&lt;&gt;""""),ROWS(F$5:F2737)),IF(AND(LEFT(x,5)=""Pag"&amp;"e "",ISERROR(SEARCH(""–"",x))),x&amp;""–""&amp;REGEXEXTRACT(x,""[0-9]+$""),x)),"""")"),"")</f>
        <v/>
      </c>
      <c r="G2737" s="163"/>
      <c r="H27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Helper'!$F$5:$F$3004,"""")&lt;&gt;""""),ROWS(H$5:H2737)),"""")"),"")</f>
        <v/>
      </c>
    </row>
    <row r="2738" ht="15.75" customHeight="1">
      <c r="A27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Helper'!$F$5:$F$3004,"""")&lt;&gt;""""),ROWS(A$5:A2738)),"""")"),"")</f>
        <v/>
      </c>
      <c r="B27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Helper'!$F$5:$F$3004,"""")&lt;&gt;""""),ROWS(B$5:B2738)),"""")"),"")</f>
        <v/>
      </c>
      <c r="C27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Helper'!$F$5:$F$3004,"""")&lt;&gt;""""),ROWS(C$5:C2738)),"""")"),"")</f>
        <v/>
      </c>
      <c r="D27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Helper'!$F$5:$F$3004,"""")&lt;&gt;""""),ROWS(D$5:D2738)),"""")"),"")</f>
        <v/>
      </c>
      <c r="E27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Helper'!$F$5:$F$3004,"""")&lt;&gt;""""),ROWS(E$5:E2738)),"""")"),"")</f>
        <v/>
      </c>
      <c r="F27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Helper'!$F$5:$F$3004,"""")&lt;&gt;""""),ROWS(F$5:F2738)),IF(AND(LEFT(x,5)=""Pag"&amp;"e "",ISERROR(SEARCH(""–"",x))),x&amp;""–""&amp;REGEXEXTRACT(x,""[0-9]+$""),x)),"""")"),"")</f>
        <v/>
      </c>
      <c r="G2738" s="163"/>
      <c r="H27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Helper'!$F$5:$F$3004,"""")&lt;&gt;""""),ROWS(H$5:H2738)),"""")"),"")</f>
        <v/>
      </c>
    </row>
    <row r="2739" ht="15.75" customHeight="1">
      <c r="A27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Helper'!$F$5:$F$3004,"""")&lt;&gt;""""),ROWS(A$5:A2739)),"""")"),"")</f>
        <v/>
      </c>
      <c r="B27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Helper'!$F$5:$F$3004,"""")&lt;&gt;""""),ROWS(B$5:B2739)),"""")"),"")</f>
        <v/>
      </c>
      <c r="C27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Helper'!$F$5:$F$3004,"""")&lt;&gt;""""),ROWS(C$5:C2739)),"""")"),"")</f>
        <v/>
      </c>
      <c r="D27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Helper'!$F$5:$F$3004,"""")&lt;&gt;""""),ROWS(D$5:D2739)),"""")"),"")</f>
        <v/>
      </c>
      <c r="E27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Helper'!$F$5:$F$3004,"""")&lt;&gt;""""),ROWS(E$5:E2739)),"""")"),"")</f>
        <v/>
      </c>
      <c r="F27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Helper'!$F$5:$F$3004,"""")&lt;&gt;""""),ROWS(F$5:F2739)),IF(AND(LEFT(x,5)=""Pag"&amp;"e "",ISERROR(SEARCH(""–"",x))),x&amp;""–""&amp;REGEXEXTRACT(x,""[0-9]+$""),x)),"""")"),"")</f>
        <v/>
      </c>
      <c r="G2739" s="163"/>
      <c r="H27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Helper'!$F$5:$F$3004,"""")&lt;&gt;""""),ROWS(H$5:H2739)),"""")"),"")</f>
        <v/>
      </c>
    </row>
    <row r="2740" ht="15.75" customHeight="1">
      <c r="A27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Helper'!$F$5:$F$3004,"""")&lt;&gt;""""),ROWS(A$5:A2740)),"""")"),"")</f>
        <v/>
      </c>
      <c r="B27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Helper'!$F$5:$F$3004,"""")&lt;&gt;""""),ROWS(B$5:B2740)),"""")"),"")</f>
        <v/>
      </c>
      <c r="C27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Helper'!$F$5:$F$3004,"""")&lt;&gt;""""),ROWS(C$5:C2740)),"""")"),"")</f>
        <v/>
      </c>
      <c r="D27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Helper'!$F$5:$F$3004,"""")&lt;&gt;""""),ROWS(D$5:D2740)),"""")"),"")</f>
        <v/>
      </c>
      <c r="E27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Helper'!$F$5:$F$3004,"""")&lt;&gt;""""),ROWS(E$5:E2740)),"""")"),"")</f>
        <v/>
      </c>
      <c r="F27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Helper'!$F$5:$F$3004,"""")&lt;&gt;""""),ROWS(F$5:F2740)),IF(AND(LEFT(x,5)=""Pag"&amp;"e "",ISERROR(SEARCH(""–"",x))),x&amp;""–""&amp;REGEXEXTRACT(x,""[0-9]+$""),x)),"""")"),"")</f>
        <v/>
      </c>
      <c r="G2740" s="163"/>
      <c r="H27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Helper'!$F$5:$F$3004,"""")&lt;&gt;""""),ROWS(H$5:H2740)),"""")"),"")</f>
        <v/>
      </c>
    </row>
    <row r="2741" ht="15.75" customHeight="1">
      <c r="A27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Helper'!$F$5:$F$3004,"""")&lt;&gt;""""),ROWS(A$5:A2741)),"""")"),"")</f>
        <v/>
      </c>
      <c r="B27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Helper'!$F$5:$F$3004,"""")&lt;&gt;""""),ROWS(B$5:B2741)),"""")"),"")</f>
        <v/>
      </c>
      <c r="C27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Helper'!$F$5:$F$3004,"""")&lt;&gt;""""),ROWS(C$5:C2741)),"""")"),"")</f>
        <v/>
      </c>
      <c r="D27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Helper'!$F$5:$F$3004,"""")&lt;&gt;""""),ROWS(D$5:D2741)),"""")"),"")</f>
        <v/>
      </c>
      <c r="E27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Helper'!$F$5:$F$3004,"""")&lt;&gt;""""),ROWS(E$5:E2741)),"""")"),"")</f>
        <v/>
      </c>
      <c r="F27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Helper'!$F$5:$F$3004,"""")&lt;&gt;""""),ROWS(F$5:F2741)),IF(AND(LEFT(x,5)=""Pag"&amp;"e "",ISERROR(SEARCH(""–"",x))),x&amp;""–""&amp;REGEXEXTRACT(x,""[0-9]+$""),x)),"""")"),"")</f>
        <v/>
      </c>
      <c r="G2741" s="163"/>
      <c r="H27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Helper'!$F$5:$F$3004,"""")&lt;&gt;""""),ROWS(H$5:H2741)),"""")"),"")</f>
        <v/>
      </c>
    </row>
    <row r="2742" ht="15.75" customHeight="1">
      <c r="A27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Helper'!$F$5:$F$3004,"""")&lt;&gt;""""),ROWS(A$5:A2742)),"""")"),"")</f>
        <v/>
      </c>
      <c r="B27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Helper'!$F$5:$F$3004,"""")&lt;&gt;""""),ROWS(B$5:B2742)),"""")"),"")</f>
        <v/>
      </c>
      <c r="C27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Helper'!$F$5:$F$3004,"""")&lt;&gt;""""),ROWS(C$5:C2742)),"""")"),"")</f>
        <v/>
      </c>
      <c r="D27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Helper'!$F$5:$F$3004,"""")&lt;&gt;""""),ROWS(D$5:D2742)),"""")"),"")</f>
        <v/>
      </c>
      <c r="E27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Helper'!$F$5:$F$3004,"""")&lt;&gt;""""),ROWS(E$5:E2742)),"""")"),"")</f>
        <v/>
      </c>
      <c r="F27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Helper'!$F$5:$F$3004,"""")&lt;&gt;""""),ROWS(F$5:F2742)),IF(AND(LEFT(x,5)=""Pag"&amp;"e "",ISERROR(SEARCH(""–"",x))),x&amp;""–""&amp;REGEXEXTRACT(x,""[0-9]+$""),x)),"""")"),"")</f>
        <v/>
      </c>
      <c r="G2742" s="163"/>
      <c r="H27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Helper'!$F$5:$F$3004,"""")&lt;&gt;""""),ROWS(H$5:H2742)),"""")"),"")</f>
        <v/>
      </c>
    </row>
    <row r="2743" ht="15.75" customHeight="1">
      <c r="A27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Helper'!$F$5:$F$3004,"""")&lt;&gt;""""),ROWS(A$5:A2743)),"""")"),"")</f>
        <v/>
      </c>
      <c r="B27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Helper'!$F$5:$F$3004,"""")&lt;&gt;""""),ROWS(B$5:B2743)),"""")"),"")</f>
        <v/>
      </c>
      <c r="C27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Helper'!$F$5:$F$3004,"""")&lt;&gt;""""),ROWS(C$5:C2743)),"""")"),"")</f>
        <v/>
      </c>
      <c r="D27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Helper'!$F$5:$F$3004,"""")&lt;&gt;""""),ROWS(D$5:D2743)),"""")"),"")</f>
        <v/>
      </c>
      <c r="E27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Helper'!$F$5:$F$3004,"""")&lt;&gt;""""),ROWS(E$5:E2743)),"""")"),"")</f>
        <v/>
      </c>
      <c r="F27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Helper'!$F$5:$F$3004,"""")&lt;&gt;""""),ROWS(F$5:F2743)),IF(AND(LEFT(x,5)=""Pag"&amp;"e "",ISERROR(SEARCH(""–"",x))),x&amp;""–""&amp;REGEXEXTRACT(x,""[0-9]+$""),x)),"""")"),"")</f>
        <v/>
      </c>
      <c r="G2743" s="163"/>
      <c r="H27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Helper'!$F$5:$F$3004,"""")&lt;&gt;""""),ROWS(H$5:H2743)),"""")"),"")</f>
        <v/>
      </c>
    </row>
    <row r="2744" ht="15.75" customHeight="1">
      <c r="A27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Helper'!$F$5:$F$3004,"""")&lt;&gt;""""),ROWS(A$5:A2744)),"""")"),"")</f>
        <v/>
      </c>
      <c r="B27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Helper'!$F$5:$F$3004,"""")&lt;&gt;""""),ROWS(B$5:B2744)),"""")"),"")</f>
        <v/>
      </c>
      <c r="C27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Helper'!$F$5:$F$3004,"""")&lt;&gt;""""),ROWS(C$5:C2744)),"""")"),"")</f>
        <v/>
      </c>
      <c r="D27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Helper'!$F$5:$F$3004,"""")&lt;&gt;""""),ROWS(D$5:D2744)),"""")"),"")</f>
        <v/>
      </c>
      <c r="E27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Helper'!$F$5:$F$3004,"""")&lt;&gt;""""),ROWS(E$5:E2744)),"""")"),"")</f>
        <v/>
      </c>
      <c r="F27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Helper'!$F$5:$F$3004,"""")&lt;&gt;""""),ROWS(F$5:F2744)),IF(AND(LEFT(x,5)=""Pag"&amp;"e "",ISERROR(SEARCH(""–"",x))),x&amp;""–""&amp;REGEXEXTRACT(x,""[0-9]+$""),x)),"""")"),"")</f>
        <v/>
      </c>
      <c r="G2744" s="163"/>
      <c r="H27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Helper'!$F$5:$F$3004,"""")&lt;&gt;""""),ROWS(H$5:H2744)),"""")"),"")</f>
        <v/>
      </c>
    </row>
    <row r="2745" ht="15.75" customHeight="1">
      <c r="A27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Helper'!$F$5:$F$3004,"""")&lt;&gt;""""),ROWS(A$5:A2745)),"""")"),"")</f>
        <v/>
      </c>
      <c r="B27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Helper'!$F$5:$F$3004,"""")&lt;&gt;""""),ROWS(B$5:B2745)),"""")"),"")</f>
        <v/>
      </c>
      <c r="C27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Helper'!$F$5:$F$3004,"""")&lt;&gt;""""),ROWS(C$5:C2745)),"""")"),"")</f>
        <v/>
      </c>
      <c r="D27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Helper'!$F$5:$F$3004,"""")&lt;&gt;""""),ROWS(D$5:D2745)),"""")"),"")</f>
        <v/>
      </c>
      <c r="E27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Helper'!$F$5:$F$3004,"""")&lt;&gt;""""),ROWS(E$5:E2745)),"""")"),"")</f>
        <v/>
      </c>
      <c r="F27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Helper'!$F$5:$F$3004,"""")&lt;&gt;""""),ROWS(F$5:F2745)),IF(AND(LEFT(x,5)=""Pag"&amp;"e "",ISERROR(SEARCH(""–"",x))),x&amp;""–""&amp;REGEXEXTRACT(x,""[0-9]+$""),x)),"""")"),"")</f>
        <v/>
      </c>
      <c r="G2745" s="163"/>
      <c r="H27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Helper'!$F$5:$F$3004,"""")&lt;&gt;""""),ROWS(H$5:H2745)),"""")"),"")</f>
        <v/>
      </c>
    </row>
    <row r="2746" ht="15.75" customHeight="1">
      <c r="A27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Helper'!$F$5:$F$3004,"""")&lt;&gt;""""),ROWS(A$5:A2746)),"""")"),"")</f>
        <v/>
      </c>
      <c r="B27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Helper'!$F$5:$F$3004,"""")&lt;&gt;""""),ROWS(B$5:B2746)),"""")"),"")</f>
        <v/>
      </c>
      <c r="C27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Helper'!$F$5:$F$3004,"""")&lt;&gt;""""),ROWS(C$5:C2746)),"""")"),"")</f>
        <v/>
      </c>
      <c r="D27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Helper'!$F$5:$F$3004,"""")&lt;&gt;""""),ROWS(D$5:D2746)),"""")"),"")</f>
        <v/>
      </c>
      <c r="E27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Helper'!$F$5:$F$3004,"""")&lt;&gt;""""),ROWS(E$5:E2746)),"""")"),"")</f>
        <v/>
      </c>
      <c r="F27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Helper'!$F$5:$F$3004,"""")&lt;&gt;""""),ROWS(F$5:F2746)),IF(AND(LEFT(x,5)=""Pag"&amp;"e "",ISERROR(SEARCH(""–"",x))),x&amp;""–""&amp;REGEXEXTRACT(x,""[0-9]+$""),x)),"""")"),"")</f>
        <v/>
      </c>
      <c r="G2746" s="163"/>
      <c r="H27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Helper'!$F$5:$F$3004,"""")&lt;&gt;""""),ROWS(H$5:H2746)),"""")"),"")</f>
        <v/>
      </c>
    </row>
    <row r="2747" ht="15.75" customHeight="1">
      <c r="A27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Helper'!$F$5:$F$3004,"""")&lt;&gt;""""),ROWS(A$5:A2747)),"""")"),"")</f>
        <v/>
      </c>
      <c r="B27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Helper'!$F$5:$F$3004,"""")&lt;&gt;""""),ROWS(B$5:B2747)),"""")"),"")</f>
        <v/>
      </c>
      <c r="C27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Helper'!$F$5:$F$3004,"""")&lt;&gt;""""),ROWS(C$5:C2747)),"""")"),"")</f>
        <v/>
      </c>
      <c r="D27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Helper'!$F$5:$F$3004,"""")&lt;&gt;""""),ROWS(D$5:D2747)),"""")"),"")</f>
        <v/>
      </c>
      <c r="E27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Helper'!$F$5:$F$3004,"""")&lt;&gt;""""),ROWS(E$5:E2747)),"""")"),"")</f>
        <v/>
      </c>
      <c r="F27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Helper'!$F$5:$F$3004,"""")&lt;&gt;""""),ROWS(F$5:F2747)),IF(AND(LEFT(x,5)=""Pag"&amp;"e "",ISERROR(SEARCH(""–"",x))),x&amp;""–""&amp;REGEXEXTRACT(x,""[0-9]+$""),x)),"""")"),"")</f>
        <v/>
      </c>
      <c r="G2747" s="163"/>
      <c r="H27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Helper'!$F$5:$F$3004,"""")&lt;&gt;""""),ROWS(H$5:H2747)),"""")"),"")</f>
        <v/>
      </c>
    </row>
    <row r="2748" ht="15.75" customHeight="1">
      <c r="A27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Helper'!$F$5:$F$3004,"""")&lt;&gt;""""),ROWS(A$5:A2748)),"""")"),"")</f>
        <v/>
      </c>
      <c r="B27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Helper'!$F$5:$F$3004,"""")&lt;&gt;""""),ROWS(B$5:B2748)),"""")"),"")</f>
        <v/>
      </c>
      <c r="C27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Helper'!$F$5:$F$3004,"""")&lt;&gt;""""),ROWS(C$5:C2748)),"""")"),"")</f>
        <v/>
      </c>
      <c r="D27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Helper'!$F$5:$F$3004,"""")&lt;&gt;""""),ROWS(D$5:D2748)),"""")"),"")</f>
        <v/>
      </c>
      <c r="E27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Helper'!$F$5:$F$3004,"""")&lt;&gt;""""),ROWS(E$5:E2748)),"""")"),"")</f>
        <v/>
      </c>
      <c r="F27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Helper'!$F$5:$F$3004,"""")&lt;&gt;""""),ROWS(F$5:F2748)),IF(AND(LEFT(x,5)=""Pag"&amp;"e "",ISERROR(SEARCH(""–"",x))),x&amp;""–""&amp;REGEXEXTRACT(x,""[0-9]+$""),x)),"""")"),"")</f>
        <v/>
      </c>
      <c r="G2748" s="163"/>
      <c r="H27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Helper'!$F$5:$F$3004,"""")&lt;&gt;""""),ROWS(H$5:H2748)),"""")"),"")</f>
        <v/>
      </c>
    </row>
    <row r="2749" ht="15.75" customHeight="1">
      <c r="A27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Helper'!$F$5:$F$3004,"""")&lt;&gt;""""),ROWS(A$5:A2749)),"""")"),"")</f>
        <v/>
      </c>
      <c r="B27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Helper'!$F$5:$F$3004,"""")&lt;&gt;""""),ROWS(B$5:B2749)),"""")"),"")</f>
        <v/>
      </c>
      <c r="C27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Helper'!$F$5:$F$3004,"""")&lt;&gt;""""),ROWS(C$5:C2749)),"""")"),"")</f>
        <v/>
      </c>
      <c r="D27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Helper'!$F$5:$F$3004,"""")&lt;&gt;""""),ROWS(D$5:D2749)),"""")"),"")</f>
        <v/>
      </c>
      <c r="E27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Helper'!$F$5:$F$3004,"""")&lt;&gt;""""),ROWS(E$5:E2749)),"""")"),"")</f>
        <v/>
      </c>
      <c r="F27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Helper'!$F$5:$F$3004,"""")&lt;&gt;""""),ROWS(F$5:F2749)),IF(AND(LEFT(x,5)=""Pag"&amp;"e "",ISERROR(SEARCH(""–"",x))),x&amp;""–""&amp;REGEXEXTRACT(x,""[0-9]+$""),x)),"""")"),"")</f>
        <v/>
      </c>
      <c r="G2749" s="163"/>
      <c r="H27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Helper'!$F$5:$F$3004,"""")&lt;&gt;""""),ROWS(H$5:H2749)),"""")"),"")</f>
        <v/>
      </c>
    </row>
    <row r="2750" ht="15.75" customHeight="1">
      <c r="A27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Helper'!$F$5:$F$3004,"""")&lt;&gt;""""),ROWS(A$5:A2750)),"""")"),"")</f>
        <v/>
      </c>
      <c r="B27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Helper'!$F$5:$F$3004,"""")&lt;&gt;""""),ROWS(B$5:B2750)),"""")"),"")</f>
        <v/>
      </c>
      <c r="C27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Helper'!$F$5:$F$3004,"""")&lt;&gt;""""),ROWS(C$5:C2750)),"""")"),"")</f>
        <v/>
      </c>
      <c r="D27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Helper'!$F$5:$F$3004,"""")&lt;&gt;""""),ROWS(D$5:D2750)),"""")"),"")</f>
        <v/>
      </c>
      <c r="E27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Helper'!$F$5:$F$3004,"""")&lt;&gt;""""),ROWS(E$5:E2750)),"""")"),"")</f>
        <v/>
      </c>
      <c r="F27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Helper'!$F$5:$F$3004,"""")&lt;&gt;""""),ROWS(F$5:F2750)),IF(AND(LEFT(x,5)=""Pag"&amp;"e "",ISERROR(SEARCH(""–"",x))),x&amp;""–""&amp;REGEXEXTRACT(x,""[0-9]+$""),x)),"""")"),"")</f>
        <v/>
      </c>
      <c r="G2750" s="163"/>
      <c r="H27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Helper'!$F$5:$F$3004,"""")&lt;&gt;""""),ROWS(H$5:H2750)),"""")"),"")</f>
        <v/>
      </c>
    </row>
    <row r="2751" ht="15.75" customHeight="1">
      <c r="A27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Helper'!$F$5:$F$3004,"""")&lt;&gt;""""),ROWS(A$5:A2751)),"""")"),"")</f>
        <v/>
      </c>
      <c r="B27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Helper'!$F$5:$F$3004,"""")&lt;&gt;""""),ROWS(B$5:B2751)),"""")"),"")</f>
        <v/>
      </c>
      <c r="C27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Helper'!$F$5:$F$3004,"""")&lt;&gt;""""),ROWS(C$5:C2751)),"""")"),"")</f>
        <v/>
      </c>
      <c r="D27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Helper'!$F$5:$F$3004,"""")&lt;&gt;""""),ROWS(D$5:D2751)),"""")"),"")</f>
        <v/>
      </c>
      <c r="E27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Helper'!$F$5:$F$3004,"""")&lt;&gt;""""),ROWS(E$5:E2751)),"""")"),"")</f>
        <v/>
      </c>
      <c r="F27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Helper'!$F$5:$F$3004,"""")&lt;&gt;""""),ROWS(F$5:F2751)),IF(AND(LEFT(x,5)=""Pag"&amp;"e "",ISERROR(SEARCH(""–"",x))),x&amp;""–""&amp;REGEXEXTRACT(x,""[0-9]+$""),x)),"""")"),"")</f>
        <v/>
      </c>
      <c r="G2751" s="163"/>
      <c r="H27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Helper'!$F$5:$F$3004,"""")&lt;&gt;""""),ROWS(H$5:H2751)),"""")"),"")</f>
        <v/>
      </c>
    </row>
    <row r="2752" ht="15.75" customHeight="1">
      <c r="A27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Helper'!$F$5:$F$3004,"""")&lt;&gt;""""),ROWS(A$5:A2752)),"""")"),"")</f>
        <v/>
      </c>
      <c r="B27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Helper'!$F$5:$F$3004,"""")&lt;&gt;""""),ROWS(B$5:B2752)),"""")"),"")</f>
        <v/>
      </c>
      <c r="C27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Helper'!$F$5:$F$3004,"""")&lt;&gt;""""),ROWS(C$5:C2752)),"""")"),"")</f>
        <v/>
      </c>
      <c r="D27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Helper'!$F$5:$F$3004,"""")&lt;&gt;""""),ROWS(D$5:D2752)),"""")"),"")</f>
        <v/>
      </c>
      <c r="E27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Helper'!$F$5:$F$3004,"""")&lt;&gt;""""),ROWS(E$5:E2752)),"""")"),"")</f>
        <v/>
      </c>
      <c r="F27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Helper'!$F$5:$F$3004,"""")&lt;&gt;""""),ROWS(F$5:F2752)),IF(AND(LEFT(x,5)=""Pag"&amp;"e "",ISERROR(SEARCH(""–"",x))),x&amp;""–""&amp;REGEXEXTRACT(x,""[0-9]+$""),x)),"""")"),"")</f>
        <v/>
      </c>
      <c r="G2752" s="163"/>
      <c r="H27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Helper'!$F$5:$F$3004,"""")&lt;&gt;""""),ROWS(H$5:H2752)),"""")"),"")</f>
        <v/>
      </c>
    </row>
    <row r="2753" ht="15.75" customHeight="1">
      <c r="A27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Helper'!$F$5:$F$3004,"""")&lt;&gt;""""),ROWS(A$5:A2753)),"""")"),"")</f>
        <v/>
      </c>
      <c r="B27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Helper'!$F$5:$F$3004,"""")&lt;&gt;""""),ROWS(B$5:B2753)),"""")"),"")</f>
        <v/>
      </c>
      <c r="C27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Helper'!$F$5:$F$3004,"""")&lt;&gt;""""),ROWS(C$5:C2753)),"""")"),"")</f>
        <v/>
      </c>
      <c r="D27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Helper'!$F$5:$F$3004,"""")&lt;&gt;""""),ROWS(D$5:D2753)),"""")"),"")</f>
        <v/>
      </c>
      <c r="E27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Helper'!$F$5:$F$3004,"""")&lt;&gt;""""),ROWS(E$5:E2753)),"""")"),"")</f>
        <v/>
      </c>
      <c r="F27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Helper'!$F$5:$F$3004,"""")&lt;&gt;""""),ROWS(F$5:F2753)),IF(AND(LEFT(x,5)=""Pag"&amp;"e "",ISERROR(SEARCH(""–"",x))),x&amp;""–""&amp;REGEXEXTRACT(x,""[0-9]+$""),x)),"""")"),"")</f>
        <v/>
      </c>
      <c r="G2753" s="163"/>
      <c r="H27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Helper'!$F$5:$F$3004,"""")&lt;&gt;""""),ROWS(H$5:H2753)),"""")"),"")</f>
        <v/>
      </c>
    </row>
    <row r="2754" ht="15.75" customHeight="1">
      <c r="A27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Helper'!$F$5:$F$3004,"""")&lt;&gt;""""),ROWS(A$5:A2754)),"""")"),"")</f>
        <v/>
      </c>
      <c r="B27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Helper'!$F$5:$F$3004,"""")&lt;&gt;""""),ROWS(B$5:B2754)),"""")"),"")</f>
        <v/>
      </c>
      <c r="C27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Helper'!$F$5:$F$3004,"""")&lt;&gt;""""),ROWS(C$5:C2754)),"""")"),"")</f>
        <v/>
      </c>
      <c r="D27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Helper'!$F$5:$F$3004,"""")&lt;&gt;""""),ROWS(D$5:D2754)),"""")"),"")</f>
        <v/>
      </c>
      <c r="E27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Helper'!$F$5:$F$3004,"""")&lt;&gt;""""),ROWS(E$5:E2754)),"""")"),"")</f>
        <v/>
      </c>
      <c r="F27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Helper'!$F$5:$F$3004,"""")&lt;&gt;""""),ROWS(F$5:F2754)),IF(AND(LEFT(x,5)=""Pag"&amp;"e "",ISERROR(SEARCH(""–"",x))),x&amp;""–""&amp;REGEXEXTRACT(x,""[0-9]+$""),x)),"""")"),"")</f>
        <v/>
      </c>
      <c r="G2754" s="163"/>
      <c r="H27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Helper'!$F$5:$F$3004,"""")&lt;&gt;""""),ROWS(H$5:H2754)),"""")"),"")</f>
        <v/>
      </c>
    </row>
    <row r="2755" ht="15.75" customHeight="1">
      <c r="A27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Helper'!$F$5:$F$3004,"""")&lt;&gt;""""),ROWS(A$5:A2755)),"""")"),"")</f>
        <v/>
      </c>
      <c r="B27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Helper'!$F$5:$F$3004,"""")&lt;&gt;""""),ROWS(B$5:B2755)),"""")"),"")</f>
        <v/>
      </c>
      <c r="C27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Helper'!$F$5:$F$3004,"""")&lt;&gt;""""),ROWS(C$5:C2755)),"""")"),"")</f>
        <v/>
      </c>
      <c r="D27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Helper'!$F$5:$F$3004,"""")&lt;&gt;""""),ROWS(D$5:D2755)),"""")"),"")</f>
        <v/>
      </c>
      <c r="E27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Helper'!$F$5:$F$3004,"""")&lt;&gt;""""),ROWS(E$5:E2755)),"""")"),"")</f>
        <v/>
      </c>
      <c r="F27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Helper'!$F$5:$F$3004,"""")&lt;&gt;""""),ROWS(F$5:F2755)),IF(AND(LEFT(x,5)=""Pag"&amp;"e "",ISERROR(SEARCH(""–"",x))),x&amp;""–""&amp;REGEXEXTRACT(x,""[0-9]+$""),x)),"""")"),"")</f>
        <v/>
      </c>
      <c r="G2755" s="163"/>
      <c r="H27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Helper'!$F$5:$F$3004,"""")&lt;&gt;""""),ROWS(H$5:H2755)),"""")"),"")</f>
        <v/>
      </c>
    </row>
    <row r="2756" ht="15.75" customHeight="1">
      <c r="A27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Helper'!$F$5:$F$3004,"""")&lt;&gt;""""),ROWS(A$5:A2756)),"""")"),"")</f>
        <v/>
      </c>
      <c r="B27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Helper'!$F$5:$F$3004,"""")&lt;&gt;""""),ROWS(B$5:B2756)),"""")"),"")</f>
        <v/>
      </c>
      <c r="C27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Helper'!$F$5:$F$3004,"""")&lt;&gt;""""),ROWS(C$5:C2756)),"""")"),"")</f>
        <v/>
      </c>
      <c r="D27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Helper'!$F$5:$F$3004,"""")&lt;&gt;""""),ROWS(D$5:D2756)),"""")"),"")</f>
        <v/>
      </c>
      <c r="E27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Helper'!$F$5:$F$3004,"""")&lt;&gt;""""),ROWS(E$5:E2756)),"""")"),"")</f>
        <v/>
      </c>
      <c r="F27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Helper'!$F$5:$F$3004,"""")&lt;&gt;""""),ROWS(F$5:F2756)),IF(AND(LEFT(x,5)=""Pag"&amp;"e "",ISERROR(SEARCH(""–"",x))),x&amp;""–""&amp;REGEXEXTRACT(x,""[0-9]+$""),x)),"""")"),"")</f>
        <v/>
      </c>
      <c r="G2756" s="163"/>
      <c r="H27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Helper'!$F$5:$F$3004,"""")&lt;&gt;""""),ROWS(H$5:H2756)),"""")"),"")</f>
        <v/>
      </c>
    </row>
    <row r="2757" ht="15.75" customHeight="1">
      <c r="A27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Helper'!$F$5:$F$3004,"""")&lt;&gt;""""),ROWS(A$5:A2757)),"""")"),"")</f>
        <v/>
      </c>
      <c r="B27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Helper'!$F$5:$F$3004,"""")&lt;&gt;""""),ROWS(B$5:B2757)),"""")"),"")</f>
        <v/>
      </c>
      <c r="C27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Helper'!$F$5:$F$3004,"""")&lt;&gt;""""),ROWS(C$5:C2757)),"""")"),"")</f>
        <v/>
      </c>
      <c r="D27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Helper'!$F$5:$F$3004,"""")&lt;&gt;""""),ROWS(D$5:D2757)),"""")"),"")</f>
        <v/>
      </c>
      <c r="E27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Helper'!$F$5:$F$3004,"""")&lt;&gt;""""),ROWS(E$5:E2757)),"""")"),"")</f>
        <v/>
      </c>
      <c r="F27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Helper'!$F$5:$F$3004,"""")&lt;&gt;""""),ROWS(F$5:F2757)),IF(AND(LEFT(x,5)=""Pag"&amp;"e "",ISERROR(SEARCH(""–"",x))),x&amp;""–""&amp;REGEXEXTRACT(x,""[0-9]+$""),x)),"""")"),"")</f>
        <v/>
      </c>
      <c r="G2757" s="163"/>
      <c r="H27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Helper'!$F$5:$F$3004,"""")&lt;&gt;""""),ROWS(H$5:H2757)),"""")"),"")</f>
        <v/>
      </c>
    </row>
    <row r="2758" ht="15.75" customHeight="1">
      <c r="A27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Helper'!$F$5:$F$3004,"""")&lt;&gt;""""),ROWS(A$5:A2758)),"""")"),"")</f>
        <v/>
      </c>
      <c r="B27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Helper'!$F$5:$F$3004,"""")&lt;&gt;""""),ROWS(B$5:B2758)),"""")"),"")</f>
        <v/>
      </c>
      <c r="C27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Helper'!$F$5:$F$3004,"""")&lt;&gt;""""),ROWS(C$5:C2758)),"""")"),"")</f>
        <v/>
      </c>
      <c r="D27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Helper'!$F$5:$F$3004,"""")&lt;&gt;""""),ROWS(D$5:D2758)),"""")"),"")</f>
        <v/>
      </c>
      <c r="E27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Helper'!$F$5:$F$3004,"""")&lt;&gt;""""),ROWS(E$5:E2758)),"""")"),"")</f>
        <v/>
      </c>
      <c r="F27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Helper'!$F$5:$F$3004,"""")&lt;&gt;""""),ROWS(F$5:F2758)),IF(AND(LEFT(x,5)=""Pag"&amp;"e "",ISERROR(SEARCH(""–"",x))),x&amp;""–""&amp;REGEXEXTRACT(x,""[0-9]+$""),x)),"""")"),"")</f>
        <v/>
      </c>
      <c r="G2758" s="163"/>
      <c r="H27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Helper'!$F$5:$F$3004,"""")&lt;&gt;""""),ROWS(H$5:H2758)),"""")"),"")</f>
        <v/>
      </c>
    </row>
    <row r="2759" ht="15.75" customHeight="1">
      <c r="A27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Helper'!$F$5:$F$3004,"""")&lt;&gt;""""),ROWS(A$5:A2759)),"""")"),"")</f>
        <v/>
      </c>
      <c r="B27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Helper'!$F$5:$F$3004,"""")&lt;&gt;""""),ROWS(B$5:B2759)),"""")"),"")</f>
        <v/>
      </c>
      <c r="C27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Helper'!$F$5:$F$3004,"""")&lt;&gt;""""),ROWS(C$5:C2759)),"""")"),"")</f>
        <v/>
      </c>
      <c r="D27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Helper'!$F$5:$F$3004,"""")&lt;&gt;""""),ROWS(D$5:D2759)),"""")"),"")</f>
        <v/>
      </c>
      <c r="E27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Helper'!$F$5:$F$3004,"""")&lt;&gt;""""),ROWS(E$5:E2759)),"""")"),"")</f>
        <v/>
      </c>
      <c r="F27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Helper'!$F$5:$F$3004,"""")&lt;&gt;""""),ROWS(F$5:F2759)),IF(AND(LEFT(x,5)=""Pag"&amp;"e "",ISERROR(SEARCH(""–"",x))),x&amp;""–""&amp;REGEXEXTRACT(x,""[0-9]+$""),x)),"""")"),"")</f>
        <v/>
      </c>
      <c r="G2759" s="163"/>
      <c r="H27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Helper'!$F$5:$F$3004,"""")&lt;&gt;""""),ROWS(H$5:H2759)),"""")"),"")</f>
        <v/>
      </c>
    </row>
    <row r="2760" ht="15.75" customHeight="1">
      <c r="A27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Helper'!$F$5:$F$3004,"""")&lt;&gt;""""),ROWS(A$5:A2760)),"""")"),"")</f>
        <v/>
      </c>
      <c r="B27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Helper'!$F$5:$F$3004,"""")&lt;&gt;""""),ROWS(B$5:B2760)),"""")"),"")</f>
        <v/>
      </c>
      <c r="C27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Helper'!$F$5:$F$3004,"""")&lt;&gt;""""),ROWS(C$5:C2760)),"""")"),"")</f>
        <v/>
      </c>
      <c r="D27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Helper'!$F$5:$F$3004,"""")&lt;&gt;""""),ROWS(D$5:D2760)),"""")"),"")</f>
        <v/>
      </c>
      <c r="E27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Helper'!$F$5:$F$3004,"""")&lt;&gt;""""),ROWS(E$5:E2760)),"""")"),"")</f>
        <v/>
      </c>
      <c r="F27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Helper'!$F$5:$F$3004,"""")&lt;&gt;""""),ROWS(F$5:F2760)),IF(AND(LEFT(x,5)=""Pag"&amp;"e "",ISERROR(SEARCH(""–"",x))),x&amp;""–""&amp;REGEXEXTRACT(x,""[0-9]+$""),x)),"""")"),"")</f>
        <v/>
      </c>
      <c r="G2760" s="163"/>
      <c r="H27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Helper'!$F$5:$F$3004,"""")&lt;&gt;""""),ROWS(H$5:H2760)),"""")"),"")</f>
        <v/>
      </c>
    </row>
    <row r="2761" ht="15.75" customHeight="1">
      <c r="A27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Helper'!$F$5:$F$3004,"""")&lt;&gt;""""),ROWS(A$5:A2761)),"""")"),"")</f>
        <v/>
      </c>
      <c r="B27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Helper'!$F$5:$F$3004,"""")&lt;&gt;""""),ROWS(B$5:B2761)),"""")"),"")</f>
        <v/>
      </c>
      <c r="C27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Helper'!$F$5:$F$3004,"""")&lt;&gt;""""),ROWS(C$5:C2761)),"""")"),"")</f>
        <v/>
      </c>
      <c r="D27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Helper'!$F$5:$F$3004,"""")&lt;&gt;""""),ROWS(D$5:D2761)),"""")"),"")</f>
        <v/>
      </c>
      <c r="E27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Helper'!$F$5:$F$3004,"""")&lt;&gt;""""),ROWS(E$5:E2761)),"""")"),"")</f>
        <v/>
      </c>
      <c r="F27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Helper'!$F$5:$F$3004,"""")&lt;&gt;""""),ROWS(F$5:F2761)),IF(AND(LEFT(x,5)=""Pag"&amp;"e "",ISERROR(SEARCH(""–"",x))),x&amp;""–""&amp;REGEXEXTRACT(x,""[0-9]+$""),x)),"""")"),"")</f>
        <v/>
      </c>
      <c r="G2761" s="163"/>
      <c r="H27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Helper'!$F$5:$F$3004,"""")&lt;&gt;""""),ROWS(H$5:H2761)),"""")"),"")</f>
        <v/>
      </c>
    </row>
    <row r="2762" ht="15.75" customHeight="1">
      <c r="A27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Helper'!$F$5:$F$3004,"""")&lt;&gt;""""),ROWS(A$5:A2762)),"""")"),"")</f>
        <v/>
      </c>
      <c r="B27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Helper'!$F$5:$F$3004,"""")&lt;&gt;""""),ROWS(B$5:B2762)),"""")"),"")</f>
        <v/>
      </c>
      <c r="C27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Helper'!$F$5:$F$3004,"""")&lt;&gt;""""),ROWS(C$5:C2762)),"""")"),"")</f>
        <v/>
      </c>
      <c r="D27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Helper'!$F$5:$F$3004,"""")&lt;&gt;""""),ROWS(D$5:D2762)),"""")"),"")</f>
        <v/>
      </c>
      <c r="E27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Helper'!$F$5:$F$3004,"""")&lt;&gt;""""),ROWS(E$5:E2762)),"""")"),"")</f>
        <v/>
      </c>
      <c r="F27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Helper'!$F$5:$F$3004,"""")&lt;&gt;""""),ROWS(F$5:F2762)),IF(AND(LEFT(x,5)=""Pag"&amp;"e "",ISERROR(SEARCH(""–"",x))),x&amp;""–""&amp;REGEXEXTRACT(x,""[0-9]+$""),x)),"""")"),"")</f>
        <v/>
      </c>
      <c r="G2762" s="163"/>
      <c r="H27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Helper'!$F$5:$F$3004,"""")&lt;&gt;""""),ROWS(H$5:H2762)),"""")"),"")</f>
        <v/>
      </c>
    </row>
    <row r="2763" ht="15.75" customHeight="1">
      <c r="A27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Helper'!$F$5:$F$3004,"""")&lt;&gt;""""),ROWS(A$5:A2763)),"""")"),"")</f>
        <v/>
      </c>
      <c r="B27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Helper'!$F$5:$F$3004,"""")&lt;&gt;""""),ROWS(B$5:B2763)),"""")"),"")</f>
        <v/>
      </c>
      <c r="C27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Helper'!$F$5:$F$3004,"""")&lt;&gt;""""),ROWS(C$5:C2763)),"""")"),"")</f>
        <v/>
      </c>
      <c r="D27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Helper'!$F$5:$F$3004,"""")&lt;&gt;""""),ROWS(D$5:D2763)),"""")"),"")</f>
        <v/>
      </c>
      <c r="E27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Helper'!$F$5:$F$3004,"""")&lt;&gt;""""),ROWS(E$5:E2763)),"""")"),"")</f>
        <v/>
      </c>
      <c r="F27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Helper'!$F$5:$F$3004,"""")&lt;&gt;""""),ROWS(F$5:F2763)),IF(AND(LEFT(x,5)=""Pag"&amp;"e "",ISERROR(SEARCH(""–"",x))),x&amp;""–""&amp;REGEXEXTRACT(x,""[0-9]+$""),x)),"""")"),"")</f>
        <v/>
      </c>
      <c r="G2763" s="163"/>
      <c r="H27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Helper'!$F$5:$F$3004,"""")&lt;&gt;""""),ROWS(H$5:H2763)),"""")"),"")</f>
        <v/>
      </c>
    </row>
    <row r="2764" ht="15.75" customHeight="1">
      <c r="A27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Helper'!$F$5:$F$3004,"""")&lt;&gt;""""),ROWS(A$5:A2764)),"""")"),"")</f>
        <v/>
      </c>
      <c r="B27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Helper'!$F$5:$F$3004,"""")&lt;&gt;""""),ROWS(B$5:B2764)),"""")"),"")</f>
        <v/>
      </c>
      <c r="C27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Helper'!$F$5:$F$3004,"""")&lt;&gt;""""),ROWS(C$5:C2764)),"""")"),"")</f>
        <v/>
      </c>
      <c r="D27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Helper'!$F$5:$F$3004,"""")&lt;&gt;""""),ROWS(D$5:D2764)),"""")"),"")</f>
        <v/>
      </c>
      <c r="E27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Helper'!$F$5:$F$3004,"""")&lt;&gt;""""),ROWS(E$5:E2764)),"""")"),"")</f>
        <v/>
      </c>
      <c r="F27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Helper'!$F$5:$F$3004,"""")&lt;&gt;""""),ROWS(F$5:F2764)),IF(AND(LEFT(x,5)=""Pag"&amp;"e "",ISERROR(SEARCH(""–"",x))),x&amp;""–""&amp;REGEXEXTRACT(x,""[0-9]+$""),x)),"""")"),"")</f>
        <v/>
      </c>
      <c r="G2764" s="163"/>
      <c r="H27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Helper'!$F$5:$F$3004,"""")&lt;&gt;""""),ROWS(H$5:H2764)),"""")"),"")</f>
        <v/>
      </c>
    </row>
    <row r="2765" ht="15.75" customHeight="1">
      <c r="A27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Helper'!$F$5:$F$3004,"""")&lt;&gt;""""),ROWS(A$5:A2765)),"""")"),"")</f>
        <v/>
      </c>
      <c r="B27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Helper'!$F$5:$F$3004,"""")&lt;&gt;""""),ROWS(B$5:B2765)),"""")"),"")</f>
        <v/>
      </c>
      <c r="C27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Helper'!$F$5:$F$3004,"""")&lt;&gt;""""),ROWS(C$5:C2765)),"""")"),"")</f>
        <v/>
      </c>
      <c r="D27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Helper'!$F$5:$F$3004,"""")&lt;&gt;""""),ROWS(D$5:D2765)),"""")"),"")</f>
        <v/>
      </c>
      <c r="E27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Helper'!$F$5:$F$3004,"""")&lt;&gt;""""),ROWS(E$5:E2765)),"""")"),"")</f>
        <v/>
      </c>
      <c r="F27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Helper'!$F$5:$F$3004,"""")&lt;&gt;""""),ROWS(F$5:F2765)),IF(AND(LEFT(x,5)=""Pag"&amp;"e "",ISERROR(SEARCH(""–"",x))),x&amp;""–""&amp;REGEXEXTRACT(x,""[0-9]+$""),x)),"""")"),"")</f>
        <v/>
      </c>
      <c r="G2765" s="163"/>
      <c r="H27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Helper'!$F$5:$F$3004,"""")&lt;&gt;""""),ROWS(H$5:H2765)),"""")"),"")</f>
        <v/>
      </c>
    </row>
    <row r="2766" ht="15.75" customHeight="1">
      <c r="A27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Helper'!$F$5:$F$3004,"""")&lt;&gt;""""),ROWS(A$5:A2766)),"""")"),"")</f>
        <v/>
      </c>
      <c r="B27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Helper'!$F$5:$F$3004,"""")&lt;&gt;""""),ROWS(B$5:B2766)),"""")"),"")</f>
        <v/>
      </c>
      <c r="C27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Helper'!$F$5:$F$3004,"""")&lt;&gt;""""),ROWS(C$5:C2766)),"""")"),"")</f>
        <v/>
      </c>
      <c r="D27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Helper'!$F$5:$F$3004,"""")&lt;&gt;""""),ROWS(D$5:D2766)),"""")"),"")</f>
        <v/>
      </c>
      <c r="E27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Helper'!$F$5:$F$3004,"""")&lt;&gt;""""),ROWS(E$5:E2766)),"""")"),"")</f>
        <v/>
      </c>
      <c r="F27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Helper'!$F$5:$F$3004,"""")&lt;&gt;""""),ROWS(F$5:F2766)),IF(AND(LEFT(x,5)=""Pag"&amp;"e "",ISERROR(SEARCH(""–"",x))),x&amp;""–""&amp;REGEXEXTRACT(x,""[0-9]+$""),x)),"""")"),"")</f>
        <v/>
      </c>
      <c r="G2766" s="163"/>
      <c r="H27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Helper'!$F$5:$F$3004,"""")&lt;&gt;""""),ROWS(H$5:H2766)),"""")"),"")</f>
        <v/>
      </c>
    </row>
    <row r="2767" ht="15.75" customHeight="1">
      <c r="A27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Helper'!$F$5:$F$3004,"""")&lt;&gt;""""),ROWS(A$5:A2767)),"""")"),"")</f>
        <v/>
      </c>
      <c r="B27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Helper'!$F$5:$F$3004,"""")&lt;&gt;""""),ROWS(B$5:B2767)),"""")"),"")</f>
        <v/>
      </c>
      <c r="C27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Helper'!$F$5:$F$3004,"""")&lt;&gt;""""),ROWS(C$5:C2767)),"""")"),"")</f>
        <v/>
      </c>
      <c r="D27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Helper'!$F$5:$F$3004,"""")&lt;&gt;""""),ROWS(D$5:D2767)),"""")"),"")</f>
        <v/>
      </c>
      <c r="E27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Helper'!$F$5:$F$3004,"""")&lt;&gt;""""),ROWS(E$5:E2767)),"""")"),"")</f>
        <v/>
      </c>
      <c r="F27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Helper'!$F$5:$F$3004,"""")&lt;&gt;""""),ROWS(F$5:F2767)),IF(AND(LEFT(x,5)=""Pag"&amp;"e "",ISERROR(SEARCH(""–"",x))),x&amp;""–""&amp;REGEXEXTRACT(x,""[0-9]+$""),x)),"""")"),"")</f>
        <v/>
      </c>
      <c r="G2767" s="163"/>
      <c r="H27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Helper'!$F$5:$F$3004,"""")&lt;&gt;""""),ROWS(H$5:H2767)),"""")"),"")</f>
        <v/>
      </c>
    </row>
    <row r="2768" ht="15.75" customHeight="1">
      <c r="A27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Helper'!$F$5:$F$3004,"""")&lt;&gt;""""),ROWS(A$5:A2768)),"""")"),"")</f>
        <v/>
      </c>
      <c r="B27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Helper'!$F$5:$F$3004,"""")&lt;&gt;""""),ROWS(B$5:B2768)),"""")"),"")</f>
        <v/>
      </c>
      <c r="C27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Helper'!$F$5:$F$3004,"""")&lt;&gt;""""),ROWS(C$5:C2768)),"""")"),"")</f>
        <v/>
      </c>
      <c r="D27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Helper'!$F$5:$F$3004,"""")&lt;&gt;""""),ROWS(D$5:D2768)),"""")"),"")</f>
        <v/>
      </c>
      <c r="E27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Helper'!$F$5:$F$3004,"""")&lt;&gt;""""),ROWS(E$5:E2768)),"""")"),"")</f>
        <v/>
      </c>
      <c r="F27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Helper'!$F$5:$F$3004,"""")&lt;&gt;""""),ROWS(F$5:F2768)),IF(AND(LEFT(x,5)=""Pag"&amp;"e "",ISERROR(SEARCH(""–"",x))),x&amp;""–""&amp;REGEXEXTRACT(x,""[0-9]+$""),x)),"""")"),"")</f>
        <v/>
      </c>
      <c r="G2768" s="163"/>
      <c r="H27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Helper'!$F$5:$F$3004,"""")&lt;&gt;""""),ROWS(H$5:H2768)),"""")"),"")</f>
        <v/>
      </c>
    </row>
    <row r="2769" ht="15.75" customHeight="1">
      <c r="A27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Helper'!$F$5:$F$3004,"""")&lt;&gt;""""),ROWS(A$5:A2769)),"""")"),"")</f>
        <v/>
      </c>
      <c r="B27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Helper'!$F$5:$F$3004,"""")&lt;&gt;""""),ROWS(B$5:B2769)),"""")"),"")</f>
        <v/>
      </c>
      <c r="C27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Helper'!$F$5:$F$3004,"""")&lt;&gt;""""),ROWS(C$5:C2769)),"""")"),"")</f>
        <v/>
      </c>
      <c r="D27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Helper'!$F$5:$F$3004,"""")&lt;&gt;""""),ROWS(D$5:D2769)),"""")"),"")</f>
        <v/>
      </c>
      <c r="E27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Helper'!$F$5:$F$3004,"""")&lt;&gt;""""),ROWS(E$5:E2769)),"""")"),"")</f>
        <v/>
      </c>
      <c r="F27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Helper'!$F$5:$F$3004,"""")&lt;&gt;""""),ROWS(F$5:F2769)),IF(AND(LEFT(x,5)=""Pag"&amp;"e "",ISERROR(SEARCH(""–"",x))),x&amp;""–""&amp;REGEXEXTRACT(x,""[0-9]+$""),x)),"""")"),"")</f>
        <v/>
      </c>
      <c r="G2769" s="163"/>
      <c r="H27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Helper'!$F$5:$F$3004,"""")&lt;&gt;""""),ROWS(H$5:H2769)),"""")"),"")</f>
        <v/>
      </c>
    </row>
    <row r="2770" ht="15.75" customHeight="1">
      <c r="A27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Helper'!$F$5:$F$3004,"""")&lt;&gt;""""),ROWS(A$5:A2770)),"""")"),"")</f>
        <v/>
      </c>
      <c r="B27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Helper'!$F$5:$F$3004,"""")&lt;&gt;""""),ROWS(B$5:B2770)),"""")"),"")</f>
        <v/>
      </c>
      <c r="C27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Helper'!$F$5:$F$3004,"""")&lt;&gt;""""),ROWS(C$5:C2770)),"""")"),"")</f>
        <v/>
      </c>
      <c r="D27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Helper'!$F$5:$F$3004,"""")&lt;&gt;""""),ROWS(D$5:D2770)),"""")"),"")</f>
        <v/>
      </c>
      <c r="E27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Helper'!$F$5:$F$3004,"""")&lt;&gt;""""),ROWS(E$5:E2770)),"""")"),"")</f>
        <v/>
      </c>
      <c r="F27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Helper'!$F$5:$F$3004,"""")&lt;&gt;""""),ROWS(F$5:F2770)),IF(AND(LEFT(x,5)=""Pag"&amp;"e "",ISERROR(SEARCH(""–"",x))),x&amp;""–""&amp;REGEXEXTRACT(x,""[0-9]+$""),x)),"""")"),"")</f>
        <v/>
      </c>
      <c r="G2770" s="163"/>
      <c r="H27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Helper'!$F$5:$F$3004,"""")&lt;&gt;""""),ROWS(H$5:H2770)),"""")"),"")</f>
        <v/>
      </c>
    </row>
    <row r="2771" ht="15.75" customHeight="1">
      <c r="A27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Helper'!$F$5:$F$3004,"""")&lt;&gt;""""),ROWS(A$5:A2771)),"""")"),"")</f>
        <v/>
      </c>
      <c r="B27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Helper'!$F$5:$F$3004,"""")&lt;&gt;""""),ROWS(B$5:B2771)),"""")"),"")</f>
        <v/>
      </c>
      <c r="C27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Helper'!$F$5:$F$3004,"""")&lt;&gt;""""),ROWS(C$5:C2771)),"""")"),"")</f>
        <v/>
      </c>
      <c r="D27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Helper'!$F$5:$F$3004,"""")&lt;&gt;""""),ROWS(D$5:D2771)),"""")"),"")</f>
        <v/>
      </c>
      <c r="E27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Helper'!$F$5:$F$3004,"""")&lt;&gt;""""),ROWS(E$5:E2771)),"""")"),"")</f>
        <v/>
      </c>
      <c r="F27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Helper'!$F$5:$F$3004,"""")&lt;&gt;""""),ROWS(F$5:F2771)),IF(AND(LEFT(x,5)=""Pag"&amp;"e "",ISERROR(SEARCH(""–"",x))),x&amp;""–""&amp;REGEXEXTRACT(x,""[0-9]+$""),x)),"""")"),"")</f>
        <v/>
      </c>
      <c r="G2771" s="163"/>
      <c r="H27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Helper'!$F$5:$F$3004,"""")&lt;&gt;""""),ROWS(H$5:H2771)),"""")"),"")</f>
        <v/>
      </c>
    </row>
    <row r="2772" ht="15.75" customHeight="1">
      <c r="A27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Helper'!$F$5:$F$3004,"""")&lt;&gt;""""),ROWS(A$5:A2772)),"""")"),"")</f>
        <v/>
      </c>
      <c r="B27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Helper'!$F$5:$F$3004,"""")&lt;&gt;""""),ROWS(B$5:B2772)),"""")"),"")</f>
        <v/>
      </c>
      <c r="C27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Helper'!$F$5:$F$3004,"""")&lt;&gt;""""),ROWS(C$5:C2772)),"""")"),"")</f>
        <v/>
      </c>
      <c r="D27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Helper'!$F$5:$F$3004,"""")&lt;&gt;""""),ROWS(D$5:D2772)),"""")"),"")</f>
        <v/>
      </c>
      <c r="E27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Helper'!$F$5:$F$3004,"""")&lt;&gt;""""),ROWS(E$5:E2772)),"""")"),"")</f>
        <v/>
      </c>
      <c r="F27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Helper'!$F$5:$F$3004,"""")&lt;&gt;""""),ROWS(F$5:F2772)),IF(AND(LEFT(x,5)=""Pag"&amp;"e "",ISERROR(SEARCH(""–"",x))),x&amp;""–""&amp;REGEXEXTRACT(x,""[0-9]+$""),x)),"""")"),"")</f>
        <v/>
      </c>
      <c r="G2772" s="163"/>
      <c r="H27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Helper'!$F$5:$F$3004,"""")&lt;&gt;""""),ROWS(H$5:H2772)),"""")"),"")</f>
        <v/>
      </c>
    </row>
    <row r="2773" ht="15.75" customHeight="1">
      <c r="A27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Helper'!$F$5:$F$3004,"""")&lt;&gt;""""),ROWS(A$5:A2773)),"""")"),"")</f>
        <v/>
      </c>
      <c r="B27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Helper'!$F$5:$F$3004,"""")&lt;&gt;""""),ROWS(B$5:B2773)),"""")"),"")</f>
        <v/>
      </c>
      <c r="C27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Helper'!$F$5:$F$3004,"""")&lt;&gt;""""),ROWS(C$5:C2773)),"""")"),"")</f>
        <v/>
      </c>
      <c r="D27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Helper'!$F$5:$F$3004,"""")&lt;&gt;""""),ROWS(D$5:D2773)),"""")"),"")</f>
        <v/>
      </c>
      <c r="E27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Helper'!$F$5:$F$3004,"""")&lt;&gt;""""),ROWS(E$5:E2773)),"""")"),"")</f>
        <v/>
      </c>
      <c r="F27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Helper'!$F$5:$F$3004,"""")&lt;&gt;""""),ROWS(F$5:F2773)),IF(AND(LEFT(x,5)=""Pag"&amp;"e "",ISERROR(SEARCH(""–"",x))),x&amp;""–""&amp;REGEXEXTRACT(x,""[0-9]+$""),x)),"""")"),"")</f>
        <v/>
      </c>
      <c r="G2773" s="163"/>
      <c r="H27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Helper'!$F$5:$F$3004,"""")&lt;&gt;""""),ROWS(H$5:H2773)),"""")"),"")</f>
        <v/>
      </c>
    </row>
    <row r="2774" ht="15.75" customHeight="1">
      <c r="A27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Helper'!$F$5:$F$3004,"""")&lt;&gt;""""),ROWS(A$5:A2774)),"""")"),"")</f>
        <v/>
      </c>
      <c r="B27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Helper'!$F$5:$F$3004,"""")&lt;&gt;""""),ROWS(B$5:B2774)),"""")"),"")</f>
        <v/>
      </c>
      <c r="C27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Helper'!$F$5:$F$3004,"""")&lt;&gt;""""),ROWS(C$5:C2774)),"""")"),"")</f>
        <v/>
      </c>
      <c r="D27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Helper'!$F$5:$F$3004,"""")&lt;&gt;""""),ROWS(D$5:D2774)),"""")"),"")</f>
        <v/>
      </c>
      <c r="E27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Helper'!$F$5:$F$3004,"""")&lt;&gt;""""),ROWS(E$5:E2774)),"""")"),"")</f>
        <v/>
      </c>
      <c r="F27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Helper'!$F$5:$F$3004,"""")&lt;&gt;""""),ROWS(F$5:F2774)),IF(AND(LEFT(x,5)=""Pag"&amp;"e "",ISERROR(SEARCH(""–"",x))),x&amp;""–""&amp;REGEXEXTRACT(x,""[0-9]+$""),x)),"""")"),"")</f>
        <v/>
      </c>
      <c r="G2774" s="163"/>
      <c r="H27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Helper'!$F$5:$F$3004,"""")&lt;&gt;""""),ROWS(H$5:H2774)),"""")"),"")</f>
        <v/>
      </c>
    </row>
    <row r="2775" ht="15.75" customHeight="1">
      <c r="A27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Helper'!$F$5:$F$3004,"""")&lt;&gt;""""),ROWS(A$5:A2775)),"""")"),"")</f>
        <v/>
      </c>
      <c r="B27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Helper'!$F$5:$F$3004,"""")&lt;&gt;""""),ROWS(B$5:B2775)),"""")"),"")</f>
        <v/>
      </c>
      <c r="C27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Helper'!$F$5:$F$3004,"""")&lt;&gt;""""),ROWS(C$5:C2775)),"""")"),"")</f>
        <v/>
      </c>
      <c r="D27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Helper'!$F$5:$F$3004,"""")&lt;&gt;""""),ROWS(D$5:D2775)),"""")"),"")</f>
        <v/>
      </c>
      <c r="E27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Helper'!$F$5:$F$3004,"""")&lt;&gt;""""),ROWS(E$5:E2775)),"""")"),"")</f>
        <v/>
      </c>
      <c r="F27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Helper'!$F$5:$F$3004,"""")&lt;&gt;""""),ROWS(F$5:F2775)),IF(AND(LEFT(x,5)=""Pag"&amp;"e "",ISERROR(SEARCH(""–"",x))),x&amp;""–""&amp;REGEXEXTRACT(x,""[0-9]+$""),x)),"""")"),"")</f>
        <v/>
      </c>
      <c r="G2775" s="163"/>
      <c r="H27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Helper'!$F$5:$F$3004,"""")&lt;&gt;""""),ROWS(H$5:H2775)),"""")"),"")</f>
        <v/>
      </c>
    </row>
    <row r="2776" ht="15.75" customHeight="1">
      <c r="A27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Helper'!$F$5:$F$3004,"""")&lt;&gt;""""),ROWS(A$5:A2776)),"""")"),"")</f>
        <v/>
      </c>
      <c r="B27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Helper'!$F$5:$F$3004,"""")&lt;&gt;""""),ROWS(B$5:B2776)),"""")"),"")</f>
        <v/>
      </c>
      <c r="C27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Helper'!$F$5:$F$3004,"""")&lt;&gt;""""),ROWS(C$5:C2776)),"""")"),"")</f>
        <v/>
      </c>
      <c r="D27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Helper'!$F$5:$F$3004,"""")&lt;&gt;""""),ROWS(D$5:D2776)),"""")"),"")</f>
        <v/>
      </c>
      <c r="E27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Helper'!$F$5:$F$3004,"""")&lt;&gt;""""),ROWS(E$5:E2776)),"""")"),"")</f>
        <v/>
      </c>
      <c r="F27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Helper'!$F$5:$F$3004,"""")&lt;&gt;""""),ROWS(F$5:F2776)),IF(AND(LEFT(x,5)=""Pag"&amp;"e "",ISERROR(SEARCH(""–"",x))),x&amp;""–""&amp;REGEXEXTRACT(x,""[0-9]+$""),x)),"""")"),"")</f>
        <v/>
      </c>
      <c r="G2776" s="163"/>
      <c r="H27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Helper'!$F$5:$F$3004,"""")&lt;&gt;""""),ROWS(H$5:H2776)),"""")"),"")</f>
        <v/>
      </c>
    </row>
    <row r="2777" ht="15.75" customHeight="1">
      <c r="A27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Helper'!$F$5:$F$3004,"""")&lt;&gt;""""),ROWS(A$5:A2777)),"""")"),"")</f>
        <v/>
      </c>
      <c r="B27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Helper'!$F$5:$F$3004,"""")&lt;&gt;""""),ROWS(B$5:B2777)),"""")"),"")</f>
        <v/>
      </c>
      <c r="C27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Helper'!$F$5:$F$3004,"""")&lt;&gt;""""),ROWS(C$5:C2777)),"""")"),"")</f>
        <v/>
      </c>
      <c r="D27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Helper'!$F$5:$F$3004,"""")&lt;&gt;""""),ROWS(D$5:D2777)),"""")"),"")</f>
        <v/>
      </c>
      <c r="E27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Helper'!$F$5:$F$3004,"""")&lt;&gt;""""),ROWS(E$5:E2777)),"""")"),"")</f>
        <v/>
      </c>
      <c r="F27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Helper'!$F$5:$F$3004,"""")&lt;&gt;""""),ROWS(F$5:F2777)),IF(AND(LEFT(x,5)=""Pag"&amp;"e "",ISERROR(SEARCH(""–"",x))),x&amp;""–""&amp;REGEXEXTRACT(x,""[0-9]+$""),x)),"""")"),"")</f>
        <v/>
      </c>
      <c r="G2777" s="163"/>
      <c r="H27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Helper'!$F$5:$F$3004,"""")&lt;&gt;""""),ROWS(H$5:H2777)),"""")"),"")</f>
        <v/>
      </c>
    </row>
    <row r="2778" ht="15.75" customHeight="1">
      <c r="A27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Helper'!$F$5:$F$3004,"""")&lt;&gt;""""),ROWS(A$5:A2778)),"""")"),"")</f>
        <v/>
      </c>
      <c r="B27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Helper'!$F$5:$F$3004,"""")&lt;&gt;""""),ROWS(B$5:B2778)),"""")"),"")</f>
        <v/>
      </c>
      <c r="C27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Helper'!$F$5:$F$3004,"""")&lt;&gt;""""),ROWS(C$5:C2778)),"""")"),"")</f>
        <v/>
      </c>
      <c r="D27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Helper'!$F$5:$F$3004,"""")&lt;&gt;""""),ROWS(D$5:D2778)),"""")"),"")</f>
        <v/>
      </c>
      <c r="E27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Helper'!$F$5:$F$3004,"""")&lt;&gt;""""),ROWS(E$5:E2778)),"""")"),"")</f>
        <v/>
      </c>
      <c r="F27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Helper'!$F$5:$F$3004,"""")&lt;&gt;""""),ROWS(F$5:F2778)),IF(AND(LEFT(x,5)=""Pag"&amp;"e "",ISERROR(SEARCH(""–"",x))),x&amp;""–""&amp;REGEXEXTRACT(x,""[0-9]+$""),x)),"""")"),"")</f>
        <v/>
      </c>
      <c r="G2778" s="163"/>
      <c r="H27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Helper'!$F$5:$F$3004,"""")&lt;&gt;""""),ROWS(H$5:H2778)),"""")"),"")</f>
        <v/>
      </c>
    </row>
    <row r="2779" ht="15.75" customHeight="1">
      <c r="A27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Helper'!$F$5:$F$3004,"""")&lt;&gt;""""),ROWS(A$5:A2779)),"""")"),"")</f>
        <v/>
      </c>
      <c r="B27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Helper'!$F$5:$F$3004,"""")&lt;&gt;""""),ROWS(B$5:B2779)),"""")"),"")</f>
        <v/>
      </c>
      <c r="C27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Helper'!$F$5:$F$3004,"""")&lt;&gt;""""),ROWS(C$5:C2779)),"""")"),"")</f>
        <v/>
      </c>
      <c r="D27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Helper'!$F$5:$F$3004,"""")&lt;&gt;""""),ROWS(D$5:D2779)),"""")"),"")</f>
        <v/>
      </c>
      <c r="E27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Helper'!$F$5:$F$3004,"""")&lt;&gt;""""),ROWS(E$5:E2779)),"""")"),"")</f>
        <v/>
      </c>
      <c r="F27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Helper'!$F$5:$F$3004,"""")&lt;&gt;""""),ROWS(F$5:F2779)),IF(AND(LEFT(x,5)=""Pag"&amp;"e "",ISERROR(SEARCH(""–"",x))),x&amp;""–""&amp;REGEXEXTRACT(x,""[0-9]+$""),x)),"""")"),"")</f>
        <v/>
      </c>
      <c r="G2779" s="163"/>
      <c r="H27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Helper'!$F$5:$F$3004,"""")&lt;&gt;""""),ROWS(H$5:H2779)),"""")"),"")</f>
        <v/>
      </c>
    </row>
    <row r="2780" ht="15.75" customHeight="1">
      <c r="A27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Helper'!$F$5:$F$3004,"""")&lt;&gt;""""),ROWS(A$5:A2780)),"""")"),"")</f>
        <v/>
      </c>
      <c r="B27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Helper'!$F$5:$F$3004,"""")&lt;&gt;""""),ROWS(B$5:B2780)),"""")"),"")</f>
        <v/>
      </c>
      <c r="C27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Helper'!$F$5:$F$3004,"""")&lt;&gt;""""),ROWS(C$5:C2780)),"""")"),"")</f>
        <v/>
      </c>
      <c r="D27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Helper'!$F$5:$F$3004,"""")&lt;&gt;""""),ROWS(D$5:D2780)),"""")"),"")</f>
        <v/>
      </c>
      <c r="E27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Helper'!$F$5:$F$3004,"""")&lt;&gt;""""),ROWS(E$5:E2780)),"""")"),"")</f>
        <v/>
      </c>
      <c r="F27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Helper'!$F$5:$F$3004,"""")&lt;&gt;""""),ROWS(F$5:F2780)),IF(AND(LEFT(x,5)=""Pag"&amp;"e "",ISERROR(SEARCH(""–"",x))),x&amp;""–""&amp;REGEXEXTRACT(x,""[0-9]+$""),x)),"""")"),"")</f>
        <v/>
      </c>
      <c r="G2780" s="163"/>
      <c r="H27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Helper'!$F$5:$F$3004,"""")&lt;&gt;""""),ROWS(H$5:H2780)),"""")"),"")</f>
        <v/>
      </c>
    </row>
    <row r="2781" ht="15.75" customHeight="1">
      <c r="A27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Helper'!$F$5:$F$3004,"""")&lt;&gt;""""),ROWS(A$5:A2781)),"""")"),"")</f>
        <v/>
      </c>
      <c r="B27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Helper'!$F$5:$F$3004,"""")&lt;&gt;""""),ROWS(B$5:B2781)),"""")"),"")</f>
        <v/>
      </c>
      <c r="C27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Helper'!$F$5:$F$3004,"""")&lt;&gt;""""),ROWS(C$5:C2781)),"""")"),"")</f>
        <v/>
      </c>
      <c r="D27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Helper'!$F$5:$F$3004,"""")&lt;&gt;""""),ROWS(D$5:D2781)),"""")"),"")</f>
        <v/>
      </c>
      <c r="E27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Helper'!$F$5:$F$3004,"""")&lt;&gt;""""),ROWS(E$5:E2781)),"""")"),"")</f>
        <v/>
      </c>
      <c r="F27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Helper'!$F$5:$F$3004,"""")&lt;&gt;""""),ROWS(F$5:F2781)),IF(AND(LEFT(x,5)=""Pag"&amp;"e "",ISERROR(SEARCH(""–"",x))),x&amp;""–""&amp;REGEXEXTRACT(x,""[0-9]+$""),x)),"""")"),"")</f>
        <v/>
      </c>
      <c r="G2781" s="163"/>
      <c r="H27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Helper'!$F$5:$F$3004,"""")&lt;&gt;""""),ROWS(H$5:H2781)),"""")"),"")</f>
        <v/>
      </c>
    </row>
    <row r="2782" ht="15.75" customHeight="1">
      <c r="A27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Helper'!$F$5:$F$3004,"""")&lt;&gt;""""),ROWS(A$5:A2782)),"""")"),"")</f>
        <v/>
      </c>
      <c r="B27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Helper'!$F$5:$F$3004,"""")&lt;&gt;""""),ROWS(B$5:B2782)),"""")"),"")</f>
        <v/>
      </c>
      <c r="C27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Helper'!$F$5:$F$3004,"""")&lt;&gt;""""),ROWS(C$5:C2782)),"""")"),"")</f>
        <v/>
      </c>
      <c r="D27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Helper'!$F$5:$F$3004,"""")&lt;&gt;""""),ROWS(D$5:D2782)),"""")"),"")</f>
        <v/>
      </c>
      <c r="E27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Helper'!$F$5:$F$3004,"""")&lt;&gt;""""),ROWS(E$5:E2782)),"""")"),"")</f>
        <v/>
      </c>
      <c r="F27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Helper'!$F$5:$F$3004,"""")&lt;&gt;""""),ROWS(F$5:F2782)),IF(AND(LEFT(x,5)=""Pag"&amp;"e "",ISERROR(SEARCH(""–"",x))),x&amp;""–""&amp;REGEXEXTRACT(x,""[0-9]+$""),x)),"""")"),"")</f>
        <v/>
      </c>
      <c r="G2782" s="163"/>
      <c r="H27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Helper'!$F$5:$F$3004,"""")&lt;&gt;""""),ROWS(H$5:H2782)),"""")"),"")</f>
        <v/>
      </c>
    </row>
    <row r="2783" ht="15.75" customHeight="1">
      <c r="A27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Helper'!$F$5:$F$3004,"""")&lt;&gt;""""),ROWS(A$5:A2783)),"""")"),"")</f>
        <v/>
      </c>
      <c r="B27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Helper'!$F$5:$F$3004,"""")&lt;&gt;""""),ROWS(B$5:B2783)),"""")"),"")</f>
        <v/>
      </c>
      <c r="C27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Helper'!$F$5:$F$3004,"""")&lt;&gt;""""),ROWS(C$5:C2783)),"""")"),"")</f>
        <v/>
      </c>
      <c r="D27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Helper'!$F$5:$F$3004,"""")&lt;&gt;""""),ROWS(D$5:D2783)),"""")"),"")</f>
        <v/>
      </c>
      <c r="E27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Helper'!$F$5:$F$3004,"""")&lt;&gt;""""),ROWS(E$5:E2783)),"""")"),"")</f>
        <v/>
      </c>
      <c r="F27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Helper'!$F$5:$F$3004,"""")&lt;&gt;""""),ROWS(F$5:F2783)),IF(AND(LEFT(x,5)=""Pag"&amp;"e "",ISERROR(SEARCH(""–"",x))),x&amp;""–""&amp;REGEXEXTRACT(x,""[0-9]+$""),x)),"""")"),"")</f>
        <v/>
      </c>
      <c r="G2783" s="163"/>
      <c r="H27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Helper'!$F$5:$F$3004,"""")&lt;&gt;""""),ROWS(H$5:H2783)),"""")"),"")</f>
        <v/>
      </c>
    </row>
    <row r="2784" ht="15.75" customHeight="1">
      <c r="A27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Helper'!$F$5:$F$3004,"""")&lt;&gt;""""),ROWS(A$5:A2784)),"""")"),"")</f>
        <v/>
      </c>
      <c r="B27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Helper'!$F$5:$F$3004,"""")&lt;&gt;""""),ROWS(B$5:B2784)),"""")"),"")</f>
        <v/>
      </c>
      <c r="C27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Helper'!$F$5:$F$3004,"""")&lt;&gt;""""),ROWS(C$5:C2784)),"""")"),"")</f>
        <v/>
      </c>
      <c r="D27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Helper'!$F$5:$F$3004,"""")&lt;&gt;""""),ROWS(D$5:D2784)),"""")"),"")</f>
        <v/>
      </c>
      <c r="E27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Helper'!$F$5:$F$3004,"""")&lt;&gt;""""),ROWS(E$5:E2784)),"""")"),"")</f>
        <v/>
      </c>
      <c r="F27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Helper'!$F$5:$F$3004,"""")&lt;&gt;""""),ROWS(F$5:F2784)),IF(AND(LEFT(x,5)=""Pag"&amp;"e "",ISERROR(SEARCH(""–"",x))),x&amp;""–""&amp;REGEXEXTRACT(x,""[0-9]+$""),x)),"""")"),"")</f>
        <v/>
      </c>
      <c r="G2784" s="163"/>
      <c r="H27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Helper'!$F$5:$F$3004,"""")&lt;&gt;""""),ROWS(H$5:H2784)),"""")"),"")</f>
        <v/>
      </c>
    </row>
    <row r="2785" ht="15.75" customHeight="1">
      <c r="A27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Helper'!$F$5:$F$3004,"""")&lt;&gt;""""),ROWS(A$5:A2785)),"""")"),"")</f>
        <v/>
      </c>
      <c r="B27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Helper'!$F$5:$F$3004,"""")&lt;&gt;""""),ROWS(B$5:B2785)),"""")"),"")</f>
        <v/>
      </c>
      <c r="C27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Helper'!$F$5:$F$3004,"""")&lt;&gt;""""),ROWS(C$5:C2785)),"""")"),"")</f>
        <v/>
      </c>
      <c r="D27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Helper'!$F$5:$F$3004,"""")&lt;&gt;""""),ROWS(D$5:D2785)),"""")"),"")</f>
        <v/>
      </c>
      <c r="E27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Helper'!$F$5:$F$3004,"""")&lt;&gt;""""),ROWS(E$5:E2785)),"""")"),"")</f>
        <v/>
      </c>
      <c r="F27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Helper'!$F$5:$F$3004,"""")&lt;&gt;""""),ROWS(F$5:F2785)),IF(AND(LEFT(x,5)=""Pag"&amp;"e "",ISERROR(SEARCH(""–"",x))),x&amp;""–""&amp;REGEXEXTRACT(x,""[0-9]+$""),x)),"""")"),"")</f>
        <v/>
      </c>
      <c r="G2785" s="163"/>
      <c r="H27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Helper'!$F$5:$F$3004,"""")&lt;&gt;""""),ROWS(H$5:H2785)),"""")"),"")</f>
        <v/>
      </c>
    </row>
    <row r="2786" ht="15.75" customHeight="1">
      <c r="A27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Helper'!$F$5:$F$3004,"""")&lt;&gt;""""),ROWS(A$5:A2786)),"""")"),"")</f>
        <v/>
      </c>
      <c r="B27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Helper'!$F$5:$F$3004,"""")&lt;&gt;""""),ROWS(B$5:B2786)),"""")"),"")</f>
        <v/>
      </c>
      <c r="C27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Helper'!$F$5:$F$3004,"""")&lt;&gt;""""),ROWS(C$5:C2786)),"""")"),"")</f>
        <v/>
      </c>
      <c r="D27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Helper'!$F$5:$F$3004,"""")&lt;&gt;""""),ROWS(D$5:D2786)),"""")"),"")</f>
        <v/>
      </c>
      <c r="E27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Helper'!$F$5:$F$3004,"""")&lt;&gt;""""),ROWS(E$5:E2786)),"""")"),"")</f>
        <v/>
      </c>
      <c r="F27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Helper'!$F$5:$F$3004,"""")&lt;&gt;""""),ROWS(F$5:F2786)),IF(AND(LEFT(x,5)=""Pag"&amp;"e "",ISERROR(SEARCH(""–"",x))),x&amp;""–""&amp;REGEXEXTRACT(x,""[0-9]+$""),x)),"""")"),"")</f>
        <v/>
      </c>
      <c r="G2786" s="163"/>
      <c r="H27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Helper'!$F$5:$F$3004,"""")&lt;&gt;""""),ROWS(H$5:H2786)),"""")"),"")</f>
        <v/>
      </c>
    </row>
    <row r="2787" ht="15.75" customHeight="1">
      <c r="A27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Helper'!$F$5:$F$3004,"""")&lt;&gt;""""),ROWS(A$5:A2787)),"""")"),"")</f>
        <v/>
      </c>
      <c r="B27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Helper'!$F$5:$F$3004,"""")&lt;&gt;""""),ROWS(B$5:B2787)),"""")"),"")</f>
        <v/>
      </c>
      <c r="C27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Helper'!$F$5:$F$3004,"""")&lt;&gt;""""),ROWS(C$5:C2787)),"""")"),"")</f>
        <v/>
      </c>
      <c r="D27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Helper'!$F$5:$F$3004,"""")&lt;&gt;""""),ROWS(D$5:D2787)),"""")"),"")</f>
        <v/>
      </c>
      <c r="E27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Helper'!$F$5:$F$3004,"""")&lt;&gt;""""),ROWS(E$5:E2787)),"""")"),"")</f>
        <v/>
      </c>
      <c r="F27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Helper'!$F$5:$F$3004,"""")&lt;&gt;""""),ROWS(F$5:F2787)),IF(AND(LEFT(x,5)=""Pag"&amp;"e "",ISERROR(SEARCH(""–"",x))),x&amp;""–""&amp;REGEXEXTRACT(x,""[0-9]+$""),x)),"""")"),"")</f>
        <v/>
      </c>
      <c r="G2787" s="163"/>
      <c r="H27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Helper'!$F$5:$F$3004,"""")&lt;&gt;""""),ROWS(H$5:H2787)),"""")"),"")</f>
        <v/>
      </c>
    </row>
    <row r="2788" ht="15.75" customHeight="1">
      <c r="A27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Helper'!$F$5:$F$3004,"""")&lt;&gt;""""),ROWS(A$5:A2788)),"""")"),"")</f>
        <v/>
      </c>
      <c r="B27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Helper'!$F$5:$F$3004,"""")&lt;&gt;""""),ROWS(B$5:B2788)),"""")"),"")</f>
        <v/>
      </c>
      <c r="C27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Helper'!$F$5:$F$3004,"""")&lt;&gt;""""),ROWS(C$5:C2788)),"""")"),"")</f>
        <v/>
      </c>
      <c r="D27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Helper'!$F$5:$F$3004,"""")&lt;&gt;""""),ROWS(D$5:D2788)),"""")"),"")</f>
        <v/>
      </c>
      <c r="E27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Helper'!$F$5:$F$3004,"""")&lt;&gt;""""),ROWS(E$5:E2788)),"""")"),"")</f>
        <v/>
      </c>
      <c r="F27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Helper'!$F$5:$F$3004,"""")&lt;&gt;""""),ROWS(F$5:F2788)),IF(AND(LEFT(x,5)=""Pag"&amp;"e "",ISERROR(SEARCH(""–"",x))),x&amp;""–""&amp;REGEXEXTRACT(x,""[0-9]+$""),x)),"""")"),"")</f>
        <v/>
      </c>
      <c r="G2788" s="163"/>
      <c r="H27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Helper'!$F$5:$F$3004,"""")&lt;&gt;""""),ROWS(H$5:H2788)),"""")"),"")</f>
        <v/>
      </c>
    </row>
    <row r="2789" ht="15.75" customHeight="1">
      <c r="A27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Helper'!$F$5:$F$3004,"""")&lt;&gt;""""),ROWS(A$5:A2789)),"""")"),"")</f>
        <v/>
      </c>
      <c r="B27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Helper'!$F$5:$F$3004,"""")&lt;&gt;""""),ROWS(B$5:B2789)),"""")"),"")</f>
        <v/>
      </c>
      <c r="C27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Helper'!$F$5:$F$3004,"""")&lt;&gt;""""),ROWS(C$5:C2789)),"""")"),"")</f>
        <v/>
      </c>
      <c r="D27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Helper'!$F$5:$F$3004,"""")&lt;&gt;""""),ROWS(D$5:D2789)),"""")"),"")</f>
        <v/>
      </c>
      <c r="E27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Helper'!$F$5:$F$3004,"""")&lt;&gt;""""),ROWS(E$5:E2789)),"""")"),"")</f>
        <v/>
      </c>
      <c r="F27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Helper'!$F$5:$F$3004,"""")&lt;&gt;""""),ROWS(F$5:F2789)),IF(AND(LEFT(x,5)=""Pag"&amp;"e "",ISERROR(SEARCH(""–"",x))),x&amp;""–""&amp;REGEXEXTRACT(x,""[0-9]+$""),x)),"""")"),"")</f>
        <v/>
      </c>
      <c r="G2789" s="163"/>
      <c r="H27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Helper'!$F$5:$F$3004,"""")&lt;&gt;""""),ROWS(H$5:H2789)),"""")"),"")</f>
        <v/>
      </c>
    </row>
    <row r="2790" ht="15.75" customHeight="1">
      <c r="A27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Helper'!$F$5:$F$3004,"""")&lt;&gt;""""),ROWS(A$5:A2790)),"""")"),"")</f>
        <v/>
      </c>
      <c r="B27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Helper'!$F$5:$F$3004,"""")&lt;&gt;""""),ROWS(B$5:B2790)),"""")"),"")</f>
        <v/>
      </c>
      <c r="C27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Helper'!$F$5:$F$3004,"""")&lt;&gt;""""),ROWS(C$5:C2790)),"""")"),"")</f>
        <v/>
      </c>
      <c r="D27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Helper'!$F$5:$F$3004,"""")&lt;&gt;""""),ROWS(D$5:D2790)),"""")"),"")</f>
        <v/>
      </c>
      <c r="E27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Helper'!$F$5:$F$3004,"""")&lt;&gt;""""),ROWS(E$5:E2790)),"""")"),"")</f>
        <v/>
      </c>
      <c r="F27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Helper'!$F$5:$F$3004,"""")&lt;&gt;""""),ROWS(F$5:F2790)),IF(AND(LEFT(x,5)=""Pag"&amp;"e "",ISERROR(SEARCH(""–"",x))),x&amp;""–""&amp;REGEXEXTRACT(x,""[0-9]+$""),x)),"""")"),"")</f>
        <v/>
      </c>
      <c r="G2790" s="163"/>
      <c r="H27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Helper'!$F$5:$F$3004,"""")&lt;&gt;""""),ROWS(H$5:H2790)),"""")"),"")</f>
        <v/>
      </c>
    </row>
    <row r="2791" ht="15.75" customHeight="1">
      <c r="A27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Helper'!$F$5:$F$3004,"""")&lt;&gt;""""),ROWS(A$5:A2791)),"""")"),"")</f>
        <v/>
      </c>
      <c r="B27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Helper'!$F$5:$F$3004,"""")&lt;&gt;""""),ROWS(B$5:B2791)),"""")"),"")</f>
        <v/>
      </c>
      <c r="C27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Helper'!$F$5:$F$3004,"""")&lt;&gt;""""),ROWS(C$5:C2791)),"""")"),"")</f>
        <v/>
      </c>
      <c r="D27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Helper'!$F$5:$F$3004,"""")&lt;&gt;""""),ROWS(D$5:D2791)),"""")"),"")</f>
        <v/>
      </c>
      <c r="E27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Helper'!$F$5:$F$3004,"""")&lt;&gt;""""),ROWS(E$5:E2791)),"""")"),"")</f>
        <v/>
      </c>
      <c r="F27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Helper'!$F$5:$F$3004,"""")&lt;&gt;""""),ROWS(F$5:F2791)),IF(AND(LEFT(x,5)=""Pag"&amp;"e "",ISERROR(SEARCH(""–"",x))),x&amp;""–""&amp;REGEXEXTRACT(x,""[0-9]+$""),x)),"""")"),"")</f>
        <v/>
      </c>
      <c r="G2791" s="163"/>
      <c r="H27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Helper'!$F$5:$F$3004,"""")&lt;&gt;""""),ROWS(H$5:H2791)),"""")"),"")</f>
        <v/>
      </c>
    </row>
    <row r="2792" ht="15.75" customHeight="1">
      <c r="A27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Helper'!$F$5:$F$3004,"""")&lt;&gt;""""),ROWS(A$5:A2792)),"""")"),"")</f>
        <v/>
      </c>
      <c r="B27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Helper'!$F$5:$F$3004,"""")&lt;&gt;""""),ROWS(B$5:B2792)),"""")"),"")</f>
        <v/>
      </c>
      <c r="C27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Helper'!$F$5:$F$3004,"""")&lt;&gt;""""),ROWS(C$5:C2792)),"""")"),"")</f>
        <v/>
      </c>
      <c r="D27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Helper'!$F$5:$F$3004,"""")&lt;&gt;""""),ROWS(D$5:D2792)),"""")"),"")</f>
        <v/>
      </c>
      <c r="E27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Helper'!$F$5:$F$3004,"""")&lt;&gt;""""),ROWS(E$5:E2792)),"""")"),"")</f>
        <v/>
      </c>
      <c r="F27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Helper'!$F$5:$F$3004,"""")&lt;&gt;""""),ROWS(F$5:F2792)),IF(AND(LEFT(x,5)=""Pag"&amp;"e "",ISERROR(SEARCH(""–"",x))),x&amp;""–""&amp;REGEXEXTRACT(x,""[0-9]+$""),x)),"""")"),"")</f>
        <v/>
      </c>
      <c r="G2792" s="163"/>
      <c r="H27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Helper'!$F$5:$F$3004,"""")&lt;&gt;""""),ROWS(H$5:H2792)),"""")"),"")</f>
        <v/>
      </c>
    </row>
    <row r="2793" ht="15.75" customHeight="1">
      <c r="A27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Helper'!$F$5:$F$3004,"""")&lt;&gt;""""),ROWS(A$5:A2793)),"""")"),"")</f>
        <v/>
      </c>
      <c r="B27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Helper'!$F$5:$F$3004,"""")&lt;&gt;""""),ROWS(B$5:B2793)),"""")"),"")</f>
        <v/>
      </c>
      <c r="C27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Helper'!$F$5:$F$3004,"""")&lt;&gt;""""),ROWS(C$5:C2793)),"""")"),"")</f>
        <v/>
      </c>
      <c r="D27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Helper'!$F$5:$F$3004,"""")&lt;&gt;""""),ROWS(D$5:D2793)),"""")"),"")</f>
        <v/>
      </c>
      <c r="E27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Helper'!$F$5:$F$3004,"""")&lt;&gt;""""),ROWS(E$5:E2793)),"""")"),"")</f>
        <v/>
      </c>
      <c r="F27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Helper'!$F$5:$F$3004,"""")&lt;&gt;""""),ROWS(F$5:F2793)),IF(AND(LEFT(x,5)=""Pag"&amp;"e "",ISERROR(SEARCH(""–"",x))),x&amp;""–""&amp;REGEXEXTRACT(x,""[0-9]+$""),x)),"""")"),"")</f>
        <v/>
      </c>
      <c r="G2793" s="163"/>
      <c r="H27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Helper'!$F$5:$F$3004,"""")&lt;&gt;""""),ROWS(H$5:H2793)),"""")"),"")</f>
        <v/>
      </c>
    </row>
    <row r="2794" ht="15.75" customHeight="1">
      <c r="A27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Helper'!$F$5:$F$3004,"""")&lt;&gt;""""),ROWS(A$5:A2794)),"""")"),"")</f>
        <v/>
      </c>
      <c r="B27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Helper'!$F$5:$F$3004,"""")&lt;&gt;""""),ROWS(B$5:B2794)),"""")"),"")</f>
        <v/>
      </c>
      <c r="C27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Helper'!$F$5:$F$3004,"""")&lt;&gt;""""),ROWS(C$5:C2794)),"""")"),"")</f>
        <v/>
      </c>
      <c r="D27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Helper'!$F$5:$F$3004,"""")&lt;&gt;""""),ROWS(D$5:D2794)),"""")"),"")</f>
        <v/>
      </c>
      <c r="E27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Helper'!$F$5:$F$3004,"""")&lt;&gt;""""),ROWS(E$5:E2794)),"""")"),"")</f>
        <v/>
      </c>
      <c r="F27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Helper'!$F$5:$F$3004,"""")&lt;&gt;""""),ROWS(F$5:F2794)),IF(AND(LEFT(x,5)=""Pag"&amp;"e "",ISERROR(SEARCH(""–"",x))),x&amp;""–""&amp;REGEXEXTRACT(x,""[0-9]+$""),x)),"""")"),"")</f>
        <v/>
      </c>
      <c r="G2794" s="163"/>
      <c r="H27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Helper'!$F$5:$F$3004,"""")&lt;&gt;""""),ROWS(H$5:H2794)),"""")"),"")</f>
        <v/>
      </c>
    </row>
    <row r="2795" ht="15.75" customHeight="1">
      <c r="A27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Helper'!$F$5:$F$3004,"""")&lt;&gt;""""),ROWS(A$5:A2795)),"""")"),"")</f>
        <v/>
      </c>
      <c r="B27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Helper'!$F$5:$F$3004,"""")&lt;&gt;""""),ROWS(B$5:B2795)),"""")"),"")</f>
        <v/>
      </c>
      <c r="C27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Helper'!$F$5:$F$3004,"""")&lt;&gt;""""),ROWS(C$5:C2795)),"""")"),"")</f>
        <v/>
      </c>
      <c r="D27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Helper'!$F$5:$F$3004,"""")&lt;&gt;""""),ROWS(D$5:D2795)),"""")"),"")</f>
        <v/>
      </c>
      <c r="E27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Helper'!$F$5:$F$3004,"""")&lt;&gt;""""),ROWS(E$5:E2795)),"""")"),"")</f>
        <v/>
      </c>
      <c r="F27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Helper'!$F$5:$F$3004,"""")&lt;&gt;""""),ROWS(F$5:F2795)),IF(AND(LEFT(x,5)=""Pag"&amp;"e "",ISERROR(SEARCH(""–"",x))),x&amp;""–""&amp;REGEXEXTRACT(x,""[0-9]+$""),x)),"""")"),"")</f>
        <v/>
      </c>
      <c r="G2795" s="163"/>
      <c r="H27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Helper'!$F$5:$F$3004,"""")&lt;&gt;""""),ROWS(H$5:H2795)),"""")"),"")</f>
        <v/>
      </c>
    </row>
    <row r="2796" ht="15.75" customHeight="1">
      <c r="A27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Helper'!$F$5:$F$3004,"""")&lt;&gt;""""),ROWS(A$5:A2796)),"""")"),"")</f>
        <v/>
      </c>
      <c r="B27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Helper'!$F$5:$F$3004,"""")&lt;&gt;""""),ROWS(B$5:B2796)),"""")"),"")</f>
        <v/>
      </c>
      <c r="C27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Helper'!$F$5:$F$3004,"""")&lt;&gt;""""),ROWS(C$5:C2796)),"""")"),"")</f>
        <v/>
      </c>
      <c r="D27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Helper'!$F$5:$F$3004,"""")&lt;&gt;""""),ROWS(D$5:D2796)),"""")"),"")</f>
        <v/>
      </c>
      <c r="E27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Helper'!$F$5:$F$3004,"""")&lt;&gt;""""),ROWS(E$5:E2796)),"""")"),"")</f>
        <v/>
      </c>
      <c r="F27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Helper'!$F$5:$F$3004,"""")&lt;&gt;""""),ROWS(F$5:F2796)),IF(AND(LEFT(x,5)=""Pag"&amp;"e "",ISERROR(SEARCH(""–"",x))),x&amp;""–""&amp;REGEXEXTRACT(x,""[0-9]+$""),x)),"""")"),"")</f>
        <v/>
      </c>
      <c r="G2796" s="163"/>
      <c r="H27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Helper'!$F$5:$F$3004,"""")&lt;&gt;""""),ROWS(H$5:H2796)),"""")"),"")</f>
        <v/>
      </c>
    </row>
    <row r="2797" ht="15.75" customHeight="1">
      <c r="A27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Helper'!$F$5:$F$3004,"""")&lt;&gt;""""),ROWS(A$5:A2797)),"""")"),"")</f>
        <v/>
      </c>
      <c r="B27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Helper'!$F$5:$F$3004,"""")&lt;&gt;""""),ROWS(B$5:B2797)),"""")"),"")</f>
        <v/>
      </c>
      <c r="C27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Helper'!$F$5:$F$3004,"""")&lt;&gt;""""),ROWS(C$5:C2797)),"""")"),"")</f>
        <v/>
      </c>
      <c r="D27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Helper'!$F$5:$F$3004,"""")&lt;&gt;""""),ROWS(D$5:D2797)),"""")"),"")</f>
        <v/>
      </c>
      <c r="E27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Helper'!$F$5:$F$3004,"""")&lt;&gt;""""),ROWS(E$5:E2797)),"""")"),"")</f>
        <v/>
      </c>
      <c r="F27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Helper'!$F$5:$F$3004,"""")&lt;&gt;""""),ROWS(F$5:F2797)),IF(AND(LEFT(x,5)=""Pag"&amp;"e "",ISERROR(SEARCH(""–"",x))),x&amp;""–""&amp;REGEXEXTRACT(x,""[0-9]+$""),x)),"""")"),"")</f>
        <v/>
      </c>
      <c r="G2797" s="163"/>
      <c r="H27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Helper'!$F$5:$F$3004,"""")&lt;&gt;""""),ROWS(H$5:H2797)),"""")"),"")</f>
        <v/>
      </c>
    </row>
    <row r="2798" ht="15.75" customHeight="1">
      <c r="A27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Helper'!$F$5:$F$3004,"""")&lt;&gt;""""),ROWS(A$5:A2798)),"""")"),"")</f>
        <v/>
      </c>
      <c r="B27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Helper'!$F$5:$F$3004,"""")&lt;&gt;""""),ROWS(B$5:B2798)),"""")"),"")</f>
        <v/>
      </c>
      <c r="C27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Helper'!$F$5:$F$3004,"""")&lt;&gt;""""),ROWS(C$5:C2798)),"""")"),"")</f>
        <v/>
      </c>
      <c r="D27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Helper'!$F$5:$F$3004,"""")&lt;&gt;""""),ROWS(D$5:D2798)),"""")"),"")</f>
        <v/>
      </c>
      <c r="E27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Helper'!$F$5:$F$3004,"""")&lt;&gt;""""),ROWS(E$5:E2798)),"""")"),"")</f>
        <v/>
      </c>
      <c r="F27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Helper'!$F$5:$F$3004,"""")&lt;&gt;""""),ROWS(F$5:F2798)),IF(AND(LEFT(x,5)=""Pag"&amp;"e "",ISERROR(SEARCH(""–"",x))),x&amp;""–""&amp;REGEXEXTRACT(x,""[0-9]+$""),x)),"""")"),"")</f>
        <v/>
      </c>
      <c r="G2798" s="163"/>
      <c r="H27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Helper'!$F$5:$F$3004,"""")&lt;&gt;""""),ROWS(H$5:H2798)),"""")"),"")</f>
        <v/>
      </c>
    </row>
    <row r="2799" ht="15.75" customHeight="1">
      <c r="A27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Helper'!$F$5:$F$3004,"""")&lt;&gt;""""),ROWS(A$5:A2799)),"""")"),"")</f>
        <v/>
      </c>
      <c r="B27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Helper'!$F$5:$F$3004,"""")&lt;&gt;""""),ROWS(B$5:B2799)),"""")"),"")</f>
        <v/>
      </c>
      <c r="C27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Helper'!$F$5:$F$3004,"""")&lt;&gt;""""),ROWS(C$5:C2799)),"""")"),"")</f>
        <v/>
      </c>
      <c r="D27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Helper'!$F$5:$F$3004,"""")&lt;&gt;""""),ROWS(D$5:D2799)),"""")"),"")</f>
        <v/>
      </c>
      <c r="E27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Helper'!$F$5:$F$3004,"""")&lt;&gt;""""),ROWS(E$5:E2799)),"""")"),"")</f>
        <v/>
      </c>
      <c r="F27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Helper'!$F$5:$F$3004,"""")&lt;&gt;""""),ROWS(F$5:F2799)),IF(AND(LEFT(x,5)=""Pag"&amp;"e "",ISERROR(SEARCH(""–"",x))),x&amp;""–""&amp;REGEXEXTRACT(x,""[0-9]+$""),x)),"""")"),"")</f>
        <v/>
      </c>
      <c r="G2799" s="163"/>
      <c r="H27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Helper'!$F$5:$F$3004,"""")&lt;&gt;""""),ROWS(H$5:H2799)),"""")"),"")</f>
        <v/>
      </c>
    </row>
    <row r="2800" ht="15.75" customHeight="1">
      <c r="A28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Helper'!$F$5:$F$3004,"""")&lt;&gt;""""),ROWS(A$5:A2800)),"""")"),"")</f>
        <v/>
      </c>
      <c r="B28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Helper'!$F$5:$F$3004,"""")&lt;&gt;""""),ROWS(B$5:B2800)),"""")"),"")</f>
        <v/>
      </c>
      <c r="C28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Helper'!$F$5:$F$3004,"""")&lt;&gt;""""),ROWS(C$5:C2800)),"""")"),"")</f>
        <v/>
      </c>
      <c r="D28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Helper'!$F$5:$F$3004,"""")&lt;&gt;""""),ROWS(D$5:D2800)),"""")"),"")</f>
        <v/>
      </c>
      <c r="E28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Helper'!$F$5:$F$3004,"""")&lt;&gt;""""),ROWS(E$5:E2800)),"""")"),"")</f>
        <v/>
      </c>
      <c r="F28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Helper'!$F$5:$F$3004,"""")&lt;&gt;""""),ROWS(F$5:F2800)),IF(AND(LEFT(x,5)=""Pag"&amp;"e "",ISERROR(SEARCH(""–"",x))),x&amp;""–""&amp;REGEXEXTRACT(x,""[0-9]+$""),x)),"""")"),"")</f>
        <v/>
      </c>
      <c r="G2800" s="163"/>
      <c r="H28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Helper'!$F$5:$F$3004,"""")&lt;&gt;""""),ROWS(H$5:H2800)),"""")"),"")</f>
        <v/>
      </c>
    </row>
    <row r="2801" ht="15.75" customHeight="1">
      <c r="A28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Helper'!$F$5:$F$3004,"""")&lt;&gt;""""),ROWS(A$5:A2801)),"""")"),"")</f>
        <v/>
      </c>
      <c r="B28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Helper'!$F$5:$F$3004,"""")&lt;&gt;""""),ROWS(B$5:B2801)),"""")"),"")</f>
        <v/>
      </c>
      <c r="C28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Helper'!$F$5:$F$3004,"""")&lt;&gt;""""),ROWS(C$5:C2801)),"""")"),"")</f>
        <v/>
      </c>
      <c r="D28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Helper'!$F$5:$F$3004,"""")&lt;&gt;""""),ROWS(D$5:D2801)),"""")"),"")</f>
        <v/>
      </c>
      <c r="E28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Helper'!$F$5:$F$3004,"""")&lt;&gt;""""),ROWS(E$5:E2801)),"""")"),"")</f>
        <v/>
      </c>
      <c r="F28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Helper'!$F$5:$F$3004,"""")&lt;&gt;""""),ROWS(F$5:F2801)),IF(AND(LEFT(x,5)=""Pag"&amp;"e "",ISERROR(SEARCH(""–"",x))),x&amp;""–""&amp;REGEXEXTRACT(x,""[0-9]+$""),x)),"""")"),"")</f>
        <v/>
      </c>
      <c r="G2801" s="163"/>
      <c r="H28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Helper'!$F$5:$F$3004,"""")&lt;&gt;""""),ROWS(H$5:H2801)),"""")"),"")</f>
        <v/>
      </c>
    </row>
    <row r="2802" ht="15.75" customHeight="1">
      <c r="A28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Helper'!$F$5:$F$3004,"""")&lt;&gt;""""),ROWS(A$5:A2802)),"""")"),"")</f>
        <v/>
      </c>
      <c r="B28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Helper'!$F$5:$F$3004,"""")&lt;&gt;""""),ROWS(B$5:B2802)),"""")"),"")</f>
        <v/>
      </c>
      <c r="C28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Helper'!$F$5:$F$3004,"""")&lt;&gt;""""),ROWS(C$5:C2802)),"""")"),"")</f>
        <v/>
      </c>
      <c r="D28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Helper'!$F$5:$F$3004,"""")&lt;&gt;""""),ROWS(D$5:D2802)),"""")"),"")</f>
        <v/>
      </c>
      <c r="E28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Helper'!$F$5:$F$3004,"""")&lt;&gt;""""),ROWS(E$5:E2802)),"""")"),"")</f>
        <v/>
      </c>
      <c r="F28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Helper'!$F$5:$F$3004,"""")&lt;&gt;""""),ROWS(F$5:F2802)),IF(AND(LEFT(x,5)=""Pag"&amp;"e "",ISERROR(SEARCH(""–"",x))),x&amp;""–""&amp;REGEXEXTRACT(x,""[0-9]+$""),x)),"""")"),"")</f>
        <v/>
      </c>
      <c r="G2802" s="163"/>
      <c r="H28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Helper'!$F$5:$F$3004,"""")&lt;&gt;""""),ROWS(H$5:H2802)),"""")"),"")</f>
        <v/>
      </c>
    </row>
    <row r="2803" ht="15.75" customHeight="1">
      <c r="A28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Helper'!$F$5:$F$3004,"""")&lt;&gt;""""),ROWS(A$5:A2803)),"""")"),"")</f>
        <v/>
      </c>
      <c r="B28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Helper'!$F$5:$F$3004,"""")&lt;&gt;""""),ROWS(B$5:B2803)),"""")"),"")</f>
        <v/>
      </c>
      <c r="C28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Helper'!$F$5:$F$3004,"""")&lt;&gt;""""),ROWS(C$5:C2803)),"""")"),"")</f>
        <v/>
      </c>
      <c r="D28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Helper'!$F$5:$F$3004,"""")&lt;&gt;""""),ROWS(D$5:D2803)),"""")"),"")</f>
        <v/>
      </c>
      <c r="E28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Helper'!$F$5:$F$3004,"""")&lt;&gt;""""),ROWS(E$5:E2803)),"""")"),"")</f>
        <v/>
      </c>
      <c r="F28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Helper'!$F$5:$F$3004,"""")&lt;&gt;""""),ROWS(F$5:F2803)),IF(AND(LEFT(x,5)=""Pag"&amp;"e "",ISERROR(SEARCH(""–"",x))),x&amp;""–""&amp;REGEXEXTRACT(x,""[0-9]+$""),x)),"""")"),"")</f>
        <v/>
      </c>
      <c r="G2803" s="163"/>
      <c r="H28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Helper'!$F$5:$F$3004,"""")&lt;&gt;""""),ROWS(H$5:H2803)),"""")"),"")</f>
        <v/>
      </c>
    </row>
    <row r="2804" ht="15.75" customHeight="1">
      <c r="A28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Helper'!$F$5:$F$3004,"""")&lt;&gt;""""),ROWS(A$5:A2804)),"""")"),"")</f>
        <v/>
      </c>
      <c r="B28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Helper'!$F$5:$F$3004,"""")&lt;&gt;""""),ROWS(B$5:B2804)),"""")"),"")</f>
        <v/>
      </c>
      <c r="C28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Helper'!$F$5:$F$3004,"""")&lt;&gt;""""),ROWS(C$5:C2804)),"""")"),"")</f>
        <v/>
      </c>
      <c r="D28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Helper'!$F$5:$F$3004,"""")&lt;&gt;""""),ROWS(D$5:D2804)),"""")"),"")</f>
        <v/>
      </c>
      <c r="E28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Helper'!$F$5:$F$3004,"""")&lt;&gt;""""),ROWS(E$5:E2804)),"""")"),"")</f>
        <v/>
      </c>
      <c r="F28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Helper'!$F$5:$F$3004,"""")&lt;&gt;""""),ROWS(F$5:F2804)),IF(AND(LEFT(x,5)=""Pag"&amp;"e "",ISERROR(SEARCH(""–"",x))),x&amp;""–""&amp;REGEXEXTRACT(x,""[0-9]+$""),x)),"""")"),"")</f>
        <v/>
      </c>
      <c r="G2804" s="163"/>
      <c r="H28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Helper'!$F$5:$F$3004,"""")&lt;&gt;""""),ROWS(H$5:H2804)),"""")"),"")</f>
        <v/>
      </c>
    </row>
    <row r="2805" ht="15.75" customHeight="1">
      <c r="A28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Helper'!$F$5:$F$3004,"""")&lt;&gt;""""),ROWS(A$5:A2805)),"""")"),"")</f>
        <v/>
      </c>
      <c r="B28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Helper'!$F$5:$F$3004,"""")&lt;&gt;""""),ROWS(B$5:B2805)),"""")"),"")</f>
        <v/>
      </c>
      <c r="C28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Helper'!$F$5:$F$3004,"""")&lt;&gt;""""),ROWS(C$5:C2805)),"""")"),"")</f>
        <v/>
      </c>
      <c r="D28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Helper'!$F$5:$F$3004,"""")&lt;&gt;""""),ROWS(D$5:D2805)),"""")"),"")</f>
        <v/>
      </c>
      <c r="E28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Helper'!$F$5:$F$3004,"""")&lt;&gt;""""),ROWS(E$5:E2805)),"""")"),"")</f>
        <v/>
      </c>
      <c r="F28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Helper'!$F$5:$F$3004,"""")&lt;&gt;""""),ROWS(F$5:F2805)),IF(AND(LEFT(x,5)=""Pag"&amp;"e "",ISERROR(SEARCH(""–"",x))),x&amp;""–""&amp;REGEXEXTRACT(x,""[0-9]+$""),x)),"""")"),"")</f>
        <v/>
      </c>
      <c r="G2805" s="163"/>
      <c r="H28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Helper'!$F$5:$F$3004,"""")&lt;&gt;""""),ROWS(H$5:H2805)),"""")"),"")</f>
        <v/>
      </c>
    </row>
    <row r="2806" ht="15.75" customHeight="1">
      <c r="A28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Helper'!$F$5:$F$3004,"""")&lt;&gt;""""),ROWS(A$5:A2806)),"""")"),"")</f>
        <v/>
      </c>
      <c r="B28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Helper'!$F$5:$F$3004,"""")&lt;&gt;""""),ROWS(B$5:B2806)),"""")"),"")</f>
        <v/>
      </c>
      <c r="C28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Helper'!$F$5:$F$3004,"""")&lt;&gt;""""),ROWS(C$5:C2806)),"""")"),"")</f>
        <v/>
      </c>
      <c r="D28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Helper'!$F$5:$F$3004,"""")&lt;&gt;""""),ROWS(D$5:D2806)),"""")"),"")</f>
        <v/>
      </c>
      <c r="E28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Helper'!$F$5:$F$3004,"""")&lt;&gt;""""),ROWS(E$5:E2806)),"""")"),"")</f>
        <v/>
      </c>
      <c r="F28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Helper'!$F$5:$F$3004,"""")&lt;&gt;""""),ROWS(F$5:F2806)),IF(AND(LEFT(x,5)=""Pag"&amp;"e "",ISERROR(SEARCH(""–"",x))),x&amp;""–""&amp;REGEXEXTRACT(x,""[0-9]+$""),x)),"""")"),"")</f>
        <v/>
      </c>
      <c r="G2806" s="163"/>
      <c r="H28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Helper'!$F$5:$F$3004,"""")&lt;&gt;""""),ROWS(H$5:H2806)),"""")"),"")</f>
        <v/>
      </c>
    </row>
    <row r="2807" ht="15.75" customHeight="1">
      <c r="A28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Helper'!$F$5:$F$3004,"""")&lt;&gt;""""),ROWS(A$5:A2807)),"""")"),"")</f>
        <v/>
      </c>
      <c r="B28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Helper'!$F$5:$F$3004,"""")&lt;&gt;""""),ROWS(B$5:B2807)),"""")"),"")</f>
        <v/>
      </c>
      <c r="C28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Helper'!$F$5:$F$3004,"""")&lt;&gt;""""),ROWS(C$5:C2807)),"""")"),"")</f>
        <v/>
      </c>
      <c r="D28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Helper'!$F$5:$F$3004,"""")&lt;&gt;""""),ROWS(D$5:D2807)),"""")"),"")</f>
        <v/>
      </c>
      <c r="E28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Helper'!$F$5:$F$3004,"""")&lt;&gt;""""),ROWS(E$5:E2807)),"""")"),"")</f>
        <v/>
      </c>
      <c r="F28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Helper'!$F$5:$F$3004,"""")&lt;&gt;""""),ROWS(F$5:F2807)),IF(AND(LEFT(x,5)=""Pag"&amp;"e "",ISERROR(SEARCH(""–"",x))),x&amp;""–""&amp;REGEXEXTRACT(x,""[0-9]+$""),x)),"""")"),"")</f>
        <v/>
      </c>
      <c r="G2807" s="163"/>
      <c r="H28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Helper'!$F$5:$F$3004,"""")&lt;&gt;""""),ROWS(H$5:H2807)),"""")"),"")</f>
        <v/>
      </c>
    </row>
    <row r="2808" ht="15.75" customHeight="1">
      <c r="A28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Helper'!$F$5:$F$3004,"""")&lt;&gt;""""),ROWS(A$5:A2808)),"""")"),"")</f>
        <v/>
      </c>
      <c r="B28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Helper'!$F$5:$F$3004,"""")&lt;&gt;""""),ROWS(B$5:B2808)),"""")"),"")</f>
        <v/>
      </c>
      <c r="C28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Helper'!$F$5:$F$3004,"""")&lt;&gt;""""),ROWS(C$5:C2808)),"""")"),"")</f>
        <v/>
      </c>
      <c r="D28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Helper'!$F$5:$F$3004,"""")&lt;&gt;""""),ROWS(D$5:D2808)),"""")"),"")</f>
        <v/>
      </c>
      <c r="E28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Helper'!$F$5:$F$3004,"""")&lt;&gt;""""),ROWS(E$5:E2808)),"""")"),"")</f>
        <v/>
      </c>
      <c r="F28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Helper'!$F$5:$F$3004,"""")&lt;&gt;""""),ROWS(F$5:F2808)),IF(AND(LEFT(x,5)=""Pag"&amp;"e "",ISERROR(SEARCH(""–"",x))),x&amp;""–""&amp;REGEXEXTRACT(x,""[0-9]+$""),x)),"""")"),"")</f>
        <v/>
      </c>
      <c r="G2808" s="163"/>
      <c r="H28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Helper'!$F$5:$F$3004,"""")&lt;&gt;""""),ROWS(H$5:H2808)),"""")"),"")</f>
        <v/>
      </c>
    </row>
    <row r="2809" ht="15.75" customHeight="1">
      <c r="A28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Helper'!$F$5:$F$3004,"""")&lt;&gt;""""),ROWS(A$5:A2809)),"""")"),"")</f>
        <v/>
      </c>
      <c r="B28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Helper'!$F$5:$F$3004,"""")&lt;&gt;""""),ROWS(B$5:B2809)),"""")"),"")</f>
        <v/>
      </c>
      <c r="C28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Helper'!$F$5:$F$3004,"""")&lt;&gt;""""),ROWS(C$5:C2809)),"""")"),"")</f>
        <v/>
      </c>
      <c r="D28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Helper'!$F$5:$F$3004,"""")&lt;&gt;""""),ROWS(D$5:D2809)),"""")"),"")</f>
        <v/>
      </c>
      <c r="E28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Helper'!$F$5:$F$3004,"""")&lt;&gt;""""),ROWS(E$5:E2809)),"""")"),"")</f>
        <v/>
      </c>
      <c r="F28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Helper'!$F$5:$F$3004,"""")&lt;&gt;""""),ROWS(F$5:F2809)),IF(AND(LEFT(x,5)=""Pag"&amp;"e "",ISERROR(SEARCH(""–"",x))),x&amp;""–""&amp;REGEXEXTRACT(x,""[0-9]+$""),x)),"""")"),"")</f>
        <v/>
      </c>
      <c r="G2809" s="163"/>
      <c r="H28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Helper'!$F$5:$F$3004,"""")&lt;&gt;""""),ROWS(H$5:H2809)),"""")"),"")</f>
        <v/>
      </c>
    </row>
    <row r="2810" ht="15.75" customHeight="1">
      <c r="A28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Helper'!$F$5:$F$3004,"""")&lt;&gt;""""),ROWS(A$5:A2810)),"""")"),"")</f>
        <v/>
      </c>
      <c r="B28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Helper'!$F$5:$F$3004,"""")&lt;&gt;""""),ROWS(B$5:B2810)),"""")"),"")</f>
        <v/>
      </c>
      <c r="C28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Helper'!$F$5:$F$3004,"""")&lt;&gt;""""),ROWS(C$5:C2810)),"""")"),"")</f>
        <v/>
      </c>
      <c r="D28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Helper'!$F$5:$F$3004,"""")&lt;&gt;""""),ROWS(D$5:D2810)),"""")"),"")</f>
        <v/>
      </c>
      <c r="E28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Helper'!$F$5:$F$3004,"""")&lt;&gt;""""),ROWS(E$5:E2810)),"""")"),"")</f>
        <v/>
      </c>
      <c r="F28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Helper'!$F$5:$F$3004,"""")&lt;&gt;""""),ROWS(F$5:F2810)),IF(AND(LEFT(x,5)=""Pag"&amp;"e "",ISERROR(SEARCH(""–"",x))),x&amp;""–""&amp;REGEXEXTRACT(x,""[0-9]+$""),x)),"""")"),"")</f>
        <v/>
      </c>
      <c r="G2810" s="163"/>
      <c r="H28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Helper'!$F$5:$F$3004,"""")&lt;&gt;""""),ROWS(H$5:H2810)),"""")"),"")</f>
        <v/>
      </c>
    </row>
    <row r="2811" ht="15.75" customHeight="1">
      <c r="A28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Helper'!$F$5:$F$3004,"""")&lt;&gt;""""),ROWS(A$5:A2811)),"""")"),"")</f>
        <v/>
      </c>
      <c r="B28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Helper'!$F$5:$F$3004,"""")&lt;&gt;""""),ROWS(B$5:B2811)),"""")"),"")</f>
        <v/>
      </c>
      <c r="C28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Helper'!$F$5:$F$3004,"""")&lt;&gt;""""),ROWS(C$5:C2811)),"""")"),"")</f>
        <v/>
      </c>
      <c r="D28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Helper'!$F$5:$F$3004,"""")&lt;&gt;""""),ROWS(D$5:D2811)),"""")"),"")</f>
        <v/>
      </c>
      <c r="E28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Helper'!$F$5:$F$3004,"""")&lt;&gt;""""),ROWS(E$5:E2811)),"""")"),"")</f>
        <v/>
      </c>
      <c r="F28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Helper'!$F$5:$F$3004,"""")&lt;&gt;""""),ROWS(F$5:F2811)),IF(AND(LEFT(x,5)=""Pag"&amp;"e "",ISERROR(SEARCH(""–"",x))),x&amp;""–""&amp;REGEXEXTRACT(x,""[0-9]+$""),x)),"""")"),"")</f>
        <v/>
      </c>
      <c r="G2811" s="163"/>
      <c r="H28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Helper'!$F$5:$F$3004,"""")&lt;&gt;""""),ROWS(H$5:H2811)),"""")"),"")</f>
        <v/>
      </c>
    </row>
    <row r="2812" ht="15.75" customHeight="1">
      <c r="A28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Helper'!$F$5:$F$3004,"""")&lt;&gt;""""),ROWS(A$5:A2812)),"""")"),"")</f>
        <v/>
      </c>
      <c r="B28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Helper'!$F$5:$F$3004,"""")&lt;&gt;""""),ROWS(B$5:B2812)),"""")"),"")</f>
        <v/>
      </c>
      <c r="C28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Helper'!$F$5:$F$3004,"""")&lt;&gt;""""),ROWS(C$5:C2812)),"""")"),"")</f>
        <v/>
      </c>
      <c r="D28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Helper'!$F$5:$F$3004,"""")&lt;&gt;""""),ROWS(D$5:D2812)),"""")"),"")</f>
        <v/>
      </c>
      <c r="E28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Helper'!$F$5:$F$3004,"""")&lt;&gt;""""),ROWS(E$5:E2812)),"""")"),"")</f>
        <v/>
      </c>
      <c r="F28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Helper'!$F$5:$F$3004,"""")&lt;&gt;""""),ROWS(F$5:F2812)),IF(AND(LEFT(x,5)=""Pag"&amp;"e "",ISERROR(SEARCH(""–"",x))),x&amp;""–""&amp;REGEXEXTRACT(x,""[0-9]+$""),x)),"""")"),"")</f>
        <v/>
      </c>
      <c r="G2812" s="163"/>
      <c r="H28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Helper'!$F$5:$F$3004,"""")&lt;&gt;""""),ROWS(H$5:H2812)),"""")"),"")</f>
        <v/>
      </c>
    </row>
    <row r="2813" ht="15.75" customHeight="1">
      <c r="A28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Helper'!$F$5:$F$3004,"""")&lt;&gt;""""),ROWS(A$5:A2813)),"""")"),"")</f>
        <v/>
      </c>
      <c r="B28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Helper'!$F$5:$F$3004,"""")&lt;&gt;""""),ROWS(B$5:B2813)),"""")"),"")</f>
        <v/>
      </c>
      <c r="C28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Helper'!$F$5:$F$3004,"""")&lt;&gt;""""),ROWS(C$5:C2813)),"""")"),"")</f>
        <v/>
      </c>
      <c r="D28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Helper'!$F$5:$F$3004,"""")&lt;&gt;""""),ROWS(D$5:D2813)),"""")"),"")</f>
        <v/>
      </c>
      <c r="E28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Helper'!$F$5:$F$3004,"""")&lt;&gt;""""),ROWS(E$5:E2813)),"""")"),"")</f>
        <v/>
      </c>
      <c r="F28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Helper'!$F$5:$F$3004,"""")&lt;&gt;""""),ROWS(F$5:F2813)),IF(AND(LEFT(x,5)=""Pag"&amp;"e "",ISERROR(SEARCH(""–"",x))),x&amp;""–""&amp;REGEXEXTRACT(x,""[0-9]+$""),x)),"""")"),"")</f>
        <v/>
      </c>
      <c r="G2813" s="163"/>
      <c r="H28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Helper'!$F$5:$F$3004,"""")&lt;&gt;""""),ROWS(H$5:H2813)),"""")"),"")</f>
        <v/>
      </c>
    </row>
    <row r="2814" ht="15.75" customHeight="1">
      <c r="A28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Helper'!$F$5:$F$3004,"""")&lt;&gt;""""),ROWS(A$5:A2814)),"""")"),"")</f>
        <v/>
      </c>
      <c r="B28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Helper'!$F$5:$F$3004,"""")&lt;&gt;""""),ROWS(B$5:B2814)),"""")"),"")</f>
        <v/>
      </c>
      <c r="C28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Helper'!$F$5:$F$3004,"""")&lt;&gt;""""),ROWS(C$5:C2814)),"""")"),"")</f>
        <v/>
      </c>
      <c r="D28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Helper'!$F$5:$F$3004,"""")&lt;&gt;""""),ROWS(D$5:D2814)),"""")"),"")</f>
        <v/>
      </c>
      <c r="E28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Helper'!$F$5:$F$3004,"""")&lt;&gt;""""),ROWS(E$5:E2814)),"""")"),"")</f>
        <v/>
      </c>
      <c r="F28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Helper'!$F$5:$F$3004,"""")&lt;&gt;""""),ROWS(F$5:F2814)),IF(AND(LEFT(x,5)=""Pag"&amp;"e "",ISERROR(SEARCH(""–"",x))),x&amp;""–""&amp;REGEXEXTRACT(x,""[0-9]+$""),x)),"""")"),"")</f>
        <v/>
      </c>
      <c r="G2814" s="163"/>
      <c r="H28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Helper'!$F$5:$F$3004,"""")&lt;&gt;""""),ROWS(H$5:H2814)),"""")"),"")</f>
        <v/>
      </c>
    </row>
    <row r="2815" ht="15.75" customHeight="1">
      <c r="A28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Helper'!$F$5:$F$3004,"""")&lt;&gt;""""),ROWS(A$5:A2815)),"""")"),"")</f>
        <v/>
      </c>
      <c r="B28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Helper'!$F$5:$F$3004,"""")&lt;&gt;""""),ROWS(B$5:B2815)),"""")"),"")</f>
        <v/>
      </c>
      <c r="C28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Helper'!$F$5:$F$3004,"""")&lt;&gt;""""),ROWS(C$5:C2815)),"""")"),"")</f>
        <v/>
      </c>
      <c r="D28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Helper'!$F$5:$F$3004,"""")&lt;&gt;""""),ROWS(D$5:D2815)),"""")"),"")</f>
        <v/>
      </c>
      <c r="E28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Helper'!$F$5:$F$3004,"""")&lt;&gt;""""),ROWS(E$5:E2815)),"""")"),"")</f>
        <v/>
      </c>
      <c r="F28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Helper'!$F$5:$F$3004,"""")&lt;&gt;""""),ROWS(F$5:F2815)),IF(AND(LEFT(x,5)=""Pag"&amp;"e "",ISERROR(SEARCH(""–"",x))),x&amp;""–""&amp;REGEXEXTRACT(x,""[0-9]+$""),x)),"""")"),"")</f>
        <v/>
      </c>
      <c r="G2815" s="163"/>
      <c r="H28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Helper'!$F$5:$F$3004,"""")&lt;&gt;""""),ROWS(H$5:H2815)),"""")"),"")</f>
        <v/>
      </c>
    </row>
    <row r="2816" ht="15.75" customHeight="1">
      <c r="A28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Helper'!$F$5:$F$3004,"""")&lt;&gt;""""),ROWS(A$5:A2816)),"""")"),"")</f>
        <v/>
      </c>
      <c r="B28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Helper'!$F$5:$F$3004,"""")&lt;&gt;""""),ROWS(B$5:B2816)),"""")"),"")</f>
        <v/>
      </c>
      <c r="C28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Helper'!$F$5:$F$3004,"""")&lt;&gt;""""),ROWS(C$5:C2816)),"""")"),"")</f>
        <v/>
      </c>
      <c r="D28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Helper'!$F$5:$F$3004,"""")&lt;&gt;""""),ROWS(D$5:D2816)),"""")"),"")</f>
        <v/>
      </c>
      <c r="E28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Helper'!$F$5:$F$3004,"""")&lt;&gt;""""),ROWS(E$5:E2816)),"""")"),"")</f>
        <v/>
      </c>
      <c r="F28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Helper'!$F$5:$F$3004,"""")&lt;&gt;""""),ROWS(F$5:F2816)),IF(AND(LEFT(x,5)=""Pag"&amp;"e "",ISERROR(SEARCH(""–"",x))),x&amp;""–""&amp;REGEXEXTRACT(x,""[0-9]+$""),x)),"""")"),"")</f>
        <v/>
      </c>
      <c r="G2816" s="163"/>
      <c r="H28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Helper'!$F$5:$F$3004,"""")&lt;&gt;""""),ROWS(H$5:H2816)),"""")"),"")</f>
        <v/>
      </c>
    </row>
    <row r="2817" ht="15.75" customHeight="1">
      <c r="A28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Helper'!$F$5:$F$3004,"""")&lt;&gt;""""),ROWS(A$5:A2817)),"""")"),"")</f>
        <v/>
      </c>
      <c r="B28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Helper'!$F$5:$F$3004,"""")&lt;&gt;""""),ROWS(B$5:B2817)),"""")"),"")</f>
        <v/>
      </c>
      <c r="C28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Helper'!$F$5:$F$3004,"""")&lt;&gt;""""),ROWS(C$5:C2817)),"""")"),"")</f>
        <v/>
      </c>
      <c r="D28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Helper'!$F$5:$F$3004,"""")&lt;&gt;""""),ROWS(D$5:D2817)),"""")"),"")</f>
        <v/>
      </c>
      <c r="E28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Helper'!$F$5:$F$3004,"""")&lt;&gt;""""),ROWS(E$5:E2817)),"""")"),"")</f>
        <v/>
      </c>
      <c r="F28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Helper'!$F$5:$F$3004,"""")&lt;&gt;""""),ROWS(F$5:F2817)),IF(AND(LEFT(x,5)=""Pag"&amp;"e "",ISERROR(SEARCH(""–"",x))),x&amp;""–""&amp;REGEXEXTRACT(x,""[0-9]+$""),x)),"""")"),"")</f>
        <v/>
      </c>
      <c r="G2817" s="163"/>
      <c r="H28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Helper'!$F$5:$F$3004,"""")&lt;&gt;""""),ROWS(H$5:H2817)),"""")"),"")</f>
        <v/>
      </c>
    </row>
    <row r="2818" ht="15.75" customHeight="1">
      <c r="A28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Helper'!$F$5:$F$3004,"""")&lt;&gt;""""),ROWS(A$5:A2818)),"""")"),"")</f>
        <v/>
      </c>
      <c r="B28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Helper'!$F$5:$F$3004,"""")&lt;&gt;""""),ROWS(B$5:B2818)),"""")"),"")</f>
        <v/>
      </c>
      <c r="C28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Helper'!$F$5:$F$3004,"""")&lt;&gt;""""),ROWS(C$5:C2818)),"""")"),"")</f>
        <v/>
      </c>
      <c r="D28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Helper'!$F$5:$F$3004,"""")&lt;&gt;""""),ROWS(D$5:D2818)),"""")"),"")</f>
        <v/>
      </c>
      <c r="E28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Helper'!$F$5:$F$3004,"""")&lt;&gt;""""),ROWS(E$5:E2818)),"""")"),"")</f>
        <v/>
      </c>
      <c r="F28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Helper'!$F$5:$F$3004,"""")&lt;&gt;""""),ROWS(F$5:F2818)),IF(AND(LEFT(x,5)=""Pag"&amp;"e "",ISERROR(SEARCH(""–"",x))),x&amp;""–""&amp;REGEXEXTRACT(x,""[0-9]+$""),x)),"""")"),"")</f>
        <v/>
      </c>
      <c r="G2818" s="163"/>
      <c r="H28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Helper'!$F$5:$F$3004,"""")&lt;&gt;""""),ROWS(H$5:H2818)),"""")"),"")</f>
        <v/>
      </c>
    </row>
    <row r="2819" ht="15.75" customHeight="1">
      <c r="A28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Helper'!$F$5:$F$3004,"""")&lt;&gt;""""),ROWS(A$5:A2819)),"""")"),"")</f>
        <v/>
      </c>
      <c r="B28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Helper'!$F$5:$F$3004,"""")&lt;&gt;""""),ROWS(B$5:B2819)),"""")"),"")</f>
        <v/>
      </c>
      <c r="C28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Helper'!$F$5:$F$3004,"""")&lt;&gt;""""),ROWS(C$5:C2819)),"""")"),"")</f>
        <v/>
      </c>
      <c r="D28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Helper'!$F$5:$F$3004,"""")&lt;&gt;""""),ROWS(D$5:D2819)),"""")"),"")</f>
        <v/>
      </c>
      <c r="E28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Helper'!$F$5:$F$3004,"""")&lt;&gt;""""),ROWS(E$5:E2819)),"""")"),"")</f>
        <v/>
      </c>
      <c r="F28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Helper'!$F$5:$F$3004,"""")&lt;&gt;""""),ROWS(F$5:F2819)),IF(AND(LEFT(x,5)=""Pag"&amp;"e "",ISERROR(SEARCH(""–"",x))),x&amp;""–""&amp;REGEXEXTRACT(x,""[0-9]+$""),x)),"""")"),"")</f>
        <v/>
      </c>
      <c r="G2819" s="163"/>
      <c r="H28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Helper'!$F$5:$F$3004,"""")&lt;&gt;""""),ROWS(H$5:H2819)),"""")"),"")</f>
        <v/>
      </c>
    </row>
    <row r="2820" ht="15.75" customHeight="1">
      <c r="A28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Helper'!$F$5:$F$3004,"""")&lt;&gt;""""),ROWS(A$5:A2820)),"""")"),"")</f>
        <v/>
      </c>
      <c r="B28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Helper'!$F$5:$F$3004,"""")&lt;&gt;""""),ROWS(B$5:B2820)),"""")"),"")</f>
        <v/>
      </c>
      <c r="C28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Helper'!$F$5:$F$3004,"""")&lt;&gt;""""),ROWS(C$5:C2820)),"""")"),"")</f>
        <v/>
      </c>
      <c r="D28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Helper'!$F$5:$F$3004,"""")&lt;&gt;""""),ROWS(D$5:D2820)),"""")"),"")</f>
        <v/>
      </c>
      <c r="E28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Helper'!$F$5:$F$3004,"""")&lt;&gt;""""),ROWS(E$5:E2820)),"""")"),"")</f>
        <v/>
      </c>
      <c r="F28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Helper'!$F$5:$F$3004,"""")&lt;&gt;""""),ROWS(F$5:F2820)),IF(AND(LEFT(x,5)=""Pag"&amp;"e "",ISERROR(SEARCH(""–"",x))),x&amp;""–""&amp;REGEXEXTRACT(x,""[0-9]+$""),x)),"""")"),"")</f>
        <v/>
      </c>
      <c r="G2820" s="163"/>
      <c r="H28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Helper'!$F$5:$F$3004,"""")&lt;&gt;""""),ROWS(H$5:H2820)),"""")"),"")</f>
        <v/>
      </c>
    </row>
    <row r="2821" ht="15.75" customHeight="1">
      <c r="A28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Helper'!$F$5:$F$3004,"""")&lt;&gt;""""),ROWS(A$5:A2821)),"""")"),"")</f>
        <v/>
      </c>
      <c r="B28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Helper'!$F$5:$F$3004,"""")&lt;&gt;""""),ROWS(B$5:B2821)),"""")"),"")</f>
        <v/>
      </c>
      <c r="C28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Helper'!$F$5:$F$3004,"""")&lt;&gt;""""),ROWS(C$5:C2821)),"""")"),"")</f>
        <v/>
      </c>
      <c r="D28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Helper'!$F$5:$F$3004,"""")&lt;&gt;""""),ROWS(D$5:D2821)),"""")"),"")</f>
        <v/>
      </c>
      <c r="E28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Helper'!$F$5:$F$3004,"""")&lt;&gt;""""),ROWS(E$5:E2821)),"""")"),"")</f>
        <v/>
      </c>
      <c r="F28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Helper'!$F$5:$F$3004,"""")&lt;&gt;""""),ROWS(F$5:F2821)),IF(AND(LEFT(x,5)=""Pag"&amp;"e "",ISERROR(SEARCH(""–"",x))),x&amp;""–""&amp;REGEXEXTRACT(x,""[0-9]+$""),x)),"""")"),"")</f>
        <v/>
      </c>
      <c r="G2821" s="163"/>
      <c r="H28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Helper'!$F$5:$F$3004,"""")&lt;&gt;""""),ROWS(H$5:H2821)),"""")"),"")</f>
        <v/>
      </c>
    </row>
    <row r="2822" ht="15.75" customHeight="1">
      <c r="A28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Helper'!$F$5:$F$3004,"""")&lt;&gt;""""),ROWS(A$5:A2822)),"""")"),"")</f>
        <v/>
      </c>
      <c r="B28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Helper'!$F$5:$F$3004,"""")&lt;&gt;""""),ROWS(B$5:B2822)),"""")"),"")</f>
        <v/>
      </c>
      <c r="C28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Helper'!$F$5:$F$3004,"""")&lt;&gt;""""),ROWS(C$5:C2822)),"""")"),"")</f>
        <v/>
      </c>
      <c r="D28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Helper'!$F$5:$F$3004,"""")&lt;&gt;""""),ROWS(D$5:D2822)),"""")"),"")</f>
        <v/>
      </c>
      <c r="E28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Helper'!$F$5:$F$3004,"""")&lt;&gt;""""),ROWS(E$5:E2822)),"""")"),"")</f>
        <v/>
      </c>
      <c r="F28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Helper'!$F$5:$F$3004,"""")&lt;&gt;""""),ROWS(F$5:F2822)),IF(AND(LEFT(x,5)=""Pag"&amp;"e "",ISERROR(SEARCH(""–"",x))),x&amp;""–""&amp;REGEXEXTRACT(x,""[0-9]+$""),x)),"""")"),"")</f>
        <v/>
      </c>
      <c r="G2822" s="163"/>
      <c r="H28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Helper'!$F$5:$F$3004,"""")&lt;&gt;""""),ROWS(H$5:H2822)),"""")"),"")</f>
        <v/>
      </c>
    </row>
    <row r="2823" ht="15.75" customHeight="1">
      <c r="A28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Helper'!$F$5:$F$3004,"""")&lt;&gt;""""),ROWS(A$5:A2823)),"""")"),"")</f>
        <v/>
      </c>
      <c r="B28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Helper'!$F$5:$F$3004,"""")&lt;&gt;""""),ROWS(B$5:B2823)),"""")"),"")</f>
        <v/>
      </c>
      <c r="C28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Helper'!$F$5:$F$3004,"""")&lt;&gt;""""),ROWS(C$5:C2823)),"""")"),"")</f>
        <v/>
      </c>
      <c r="D28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Helper'!$F$5:$F$3004,"""")&lt;&gt;""""),ROWS(D$5:D2823)),"""")"),"")</f>
        <v/>
      </c>
      <c r="E28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Helper'!$F$5:$F$3004,"""")&lt;&gt;""""),ROWS(E$5:E2823)),"""")"),"")</f>
        <v/>
      </c>
      <c r="F28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Helper'!$F$5:$F$3004,"""")&lt;&gt;""""),ROWS(F$5:F2823)),IF(AND(LEFT(x,5)=""Pag"&amp;"e "",ISERROR(SEARCH(""–"",x))),x&amp;""–""&amp;REGEXEXTRACT(x,""[0-9]+$""),x)),"""")"),"")</f>
        <v/>
      </c>
      <c r="G2823" s="163"/>
      <c r="H28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Helper'!$F$5:$F$3004,"""")&lt;&gt;""""),ROWS(H$5:H2823)),"""")"),"")</f>
        <v/>
      </c>
    </row>
    <row r="2824" ht="15.75" customHeight="1">
      <c r="A28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Helper'!$F$5:$F$3004,"""")&lt;&gt;""""),ROWS(A$5:A2824)),"""")"),"")</f>
        <v/>
      </c>
      <c r="B28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Helper'!$F$5:$F$3004,"""")&lt;&gt;""""),ROWS(B$5:B2824)),"""")"),"")</f>
        <v/>
      </c>
      <c r="C28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Helper'!$F$5:$F$3004,"""")&lt;&gt;""""),ROWS(C$5:C2824)),"""")"),"")</f>
        <v/>
      </c>
      <c r="D28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Helper'!$F$5:$F$3004,"""")&lt;&gt;""""),ROWS(D$5:D2824)),"""")"),"")</f>
        <v/>
      </c>
      <c r="E28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Helper'!$F$5:$F$3004,"""")&lt;&gt;""""),ROWS(E$5:E2824)),"""")"),"")</f>
        <v/>
      </c>
      <c r="F28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Helper'!$F$5:$F$3004,"""")&lt;&gt;""""),ROWS(F$5:F2824)),IF(AND(LEFT(x,5)=""Pag"&amp;"e "",ISERROR(SEARCH(""–"",x))),x&amp;""–""&amp;REGEXEXTRACT(x,""[0-9]+$""),x)),"""")"),"")</f>
        <v/>
      </c>
      <c r="G2824" s="163"/>
      <c r="H28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Helper'!$F$5:$F$3004,"""")&lt;&gt;""""),ROWS(H$5:H2824)),"""")"),"")</f>
        <v/>
      </c>
    </row>
    <row r="2825" ht="15.75" customHeight="1">
      <c r="A28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Helper'!$F$5:$F$3004,"""")&lt;&gt;""""),ROWS(A$5:A2825)),"""")"),"")</f>
        <v/>
      </c>
      <c r="B28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Helper'!$F$5:$F$3004,"""")&lt;&gt;""""),ROWS(B$5:B2825)),"""")"),"")</f>
        <v/>
      </c>
      <c r="C28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Helper'!$F$5:$F$3004,"""")&lt;&gt;""""),ROWS(C$5:C2825)),"""")"),"")</f>
        <v/>
      </c>
      <c r="D28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Helper'!$F$5:$F$3004,"""")&lt;&gt;""""),ROWS(D$5:D2825)),"""")"),"")</f>
        <v/>
      </c>
      <c r="E28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Helper'!$F$5:$F$3004,"""")&lt;&gt;""""),ROWS(E$5:E2825)),"""")"),"")</f>
        <v/>
      </c>
      <c r="F28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Helper'!$F$5:$F$3004,"""")&lt;&gt;""""),ROWS(F$5:F2825)),IF(AND(LEFT(x,5)=""Pag"&amp;"e "",ISERROR(SEARCH(""–"",x))),x&amp;""–""&amp;REGEXEXTRACT(x,""[0-9]+$""),x)),"""")"),"")</f>
        <v/>
      </c>
      <c r="G2825" s="163"/>
      <c r="H28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Helper'!$F$5:$F$3004,"""")&lt;&gt;""""),ROWS(H$5:H2825)),"""")"),"")</f>
        <v/>
      </c>
    </row>
    <row r="2826" ht="15.75" customHeight="1">
      <c r="A28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Helper'!$F$5:$F$3004,"""")&lt;&gt;""""),ROWS(A$5:A2826)),"""")"),"")</f>
        <v/>
      </c>
      <c r="B28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Helper'!$F$5:$F$3004,"""")&lt;&gt;""""),ROWS(B$5:B2826)),"""")"),"")</f>
        <v/>
      </c>
      <c r="C28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Helper'!$F$5:$F$3004,"""")&lt;&gt;""""),ROWS(C$5:C2826)),"""")"),"")</f>
        <v/>
      </c>
      <c r="D28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Helper'!$F$5:$F$3004,"""")&lt;&gt;""""),ROWS(D$5:D2826)),"""")"),"")</f>
        <v/>
      </c>
      <c r="E28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Helper'!$F$5:$F$3004,"""")&lt;&gt;""""),ROWS(E$5:E2826)),"""")"),"")</f>
        <v/>
      </c>
      <c r="F28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Helper'!$F$5:$F$3004,"""")&lt;&gt;""""),ROWS(F$5:F2826)),IF(AND(LEFT(x,5)=""Pag"&amp;"e "",ISERROR(SEARCH(""–"",x))),x&amp;""–""&amp;REGEXEXTRACT(x,""[0-9]+$""),x)),"""")"),"")</f>
        <v/>
      </c>
      <c r="G2826" s="163"/>
      <c r="H28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Helper'!$F$5:$F$3004,"""")&lt;&gt;""""),ROWS(H$5:H2826)),"""")"),"")</f>
        <v/>
      </c>
    </row>
    <row r="2827" ht="15.75" customHeight="1">
      <c r="A28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Helper'!$F$5:$F$3004,"""")&lt;&gt;""""),ROWS(A$5:A2827)),"""")"),"")</f>
        <v/>
      </c>
      <c r="B28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Helper'!$F$5:$F$3004,"""")&lt;&gt;""""),ROWS(B$5:B2827)),"""")"),"")</f>
        <v/>
      </c>
      <c r="C28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Helper'!$F$5:$F$3004,"""")&lt;&gt;""""),ROWS(C$5:C2827)),"""")"),"")</f>
        <v/>
      </c>
      <c r="D28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Helper'!$F$5:$F$3004,"""")&lt;&gt;""""),ROWS(D$5:D2827)),"""")"),"")</f>
        <v/>
      </c>
      <c r="E28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Helper'!$F$5:$F$3004,"""")&lt;&gt;""""),ROWS(E$5:E2827)),"""")"),"")</f>
        <v/>
      </c>
      <c r="F28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Helper'!$F$5:$F$3004,"""")&lt;&gt;""""),ROWS(F$5:F2827)),IF(AND(LEFT(x,5)=""Pag"&amp;"e "",ISERROR(SEARCH(""–"",x))),x&amp;""–""&amp;REGEXEXTRACT(x,""[0-9]+$""),x)),"""")"),"")</f>
        <v/>
      </c>
      <c r="G2827" s="163"/>
      <c r="H28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Helper'!$F$5:$F$3004,"""")&lt;&gt;""""),ROWS(H$5:H2827)),"""")"),"")</f>
        <v/>
      </c>
    </row>
    <row r="2828" ht="15.75" customHeight="1">
      <c r="A28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Helper'!$F$5:$F$3004,"""")&lt;&gt;""""),ROWS(A$5:A2828)),"""")"),"")</f>
        <v/>
      </c>
      <c r="B28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Helper'!$F$5:$F$3004,"""")&lt;&gt;""""),ROWS(B$5:B2828)),"""")"),"")</f>
        <v/>
      </c>
      <c r="C28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Helper'!$F$5:$F$3004,"""")&lt;&gt;""""),ROWS(C$5:C2828)),"""")"),"")</f>
        <v/>
      </c>
      <c r="D28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Helper'!$F$5:$F$3004,"""")&lt;&gt;""""),ROWS(D$5:D2828)),"""")"),"")</f>
        <v/>
      </c>
      <c r="E28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Helper'!$F$5:$F$3004,"""")&lt;&gt;""""),ROWS(E$5:E2828)),"""")"),"")</f>
        <v/>
      </c>
      <c r="F28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Helper'!$F$5:$F$3004,"""")&lt;&gt;""""),ROWS(F$5:F2828)),IF(AND(LEFT(x,5)=""Pag"&amp;"e "",ISERROR(SEARCH(""–"",x))),x&amp;""–""&amp;REGEXEXTRACT(x,""[0-9]+$""),x)),"""")"),"")</f>
        <v/>
      </c>
      <c r="G2828" s="163"/>
      <c r="H28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Helper'!$F$5:$F$3004,"""")&lt;&gt;""""),ROWS(H$5:H2828)),"""")"),"")</f>
        <v/>
      </c>
    </row>
    <row r="2829" ht="15.75" customHeight="1">
      <c r="A28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Helper'!$F$5:$F$3004,"""")&lt;&gt;""""),ROWS(A$5:A2829)),"""")"),"")</f>
        <v/>
      </c>
      <c r="B28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Helper'!$F$5:$F$3004,"""")&lt;&gt;""""),ROWS(B$5:B2829)),"""")"),"")</f>
        <v/>
      </c>
      <c r="C28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Helper'!$F$5:$F$3004,"""")&lt;&gt;""""),ROWS(C$5:C2829)),"""")"),"")</f>
        <v/>
      </c>
      <c r="D28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Helper'!$F$5:$F$3004,"""")&lt;&gt;""""),ROWS(D$5:D2829)),"""")"),"")</f>
        <v/>
      </c>
      <c r="E28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Helper'!$F$5:$F$3004,"""")&lt;&gt;""""),ROWS(E$5:E2829)),"""")"),"")</f>
        <v/>
      </c>
      <c r="F28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Helper'!$F$5:$F$3004,"""")&lt;&gt;""""),ROWS(F$5:F2829)),IF(AND(LEFT(x,5)=""Pag"&amp;"e "",ISERROR(SEARCH(""–"",x))),x&amp;""–""&amp;REGEXEXTRACT(x,""[0-9]+$""),x)),"""")"),"")</f>
        <v/>
      </c>
      <c r="G2829" s="163"/>
      <c r="H28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Helper'!$F$5:$F$3004,"""")&lt;&gt;""""),ROWS(H$5:H2829)),"""")"),"")</f>
        <v/>
      </c>
    </row>
    <row r="2830" ht="15.75" customHeight="1">
      <c r="A28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Helper'!$F$5:$F$3004,"""")&lt;&gt;""""),ROWS(A$5:A2830)),"""")"),"")</f>
        <v/>
      </c>
      <c r="B28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Helper'!$F$5:$F$3004,"""")&lt;&gt;""""),ROWS(B$5:B2830)),"""")"),"")</f>
        <v/>
      </c>
      <c r="C28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Helper'!$F$5:$F$3004,"""")&lt;&gt;""""),ROWS(C$5:C2830)),"""")"),"")</f>
        <v/>
      </c>
      <c r="D28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Helper'!$F$5:$F$3004,"""")&lt;&gt;""""),ROWS(D$5:D2830)),"""")"),"")</f>
        <v/>
      </c>
      <c r="E28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Helper'!$F$5:$F$3004,"""")&lt;&gt;""""),ROWS(E$5:E2830)),"""")"),"")</f>
        <v/>
      </c>
      <c r="F28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Helper'!$F$5:$F$3004,"""")&lt;&gt;""""),ROWS(F$5:F2830)),IF(AND(LEFT(x,5)=""Pag"&amp;"e "",ISERROR(SEARCH(""–"",x))),x&amp;""–""&amp;REGEXEXTRACT(x,""[0-9]+$""),x)),"""")"),"")</f>
        <v/>
      </c>
      <c r="G2830" s="163"/>
      <c r="H28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Helper'!$F$5:$F$3004,"""")&lt;&gt;""""),ROWS(H$5:H2830)),"""")"),"")</f>
        <v/>
      </c>
    </row>
    <row r="2831" ht="15.75" customHeight="1">
      <c r="A28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Helper'!$F$5:$F$3004,"""")&lt;&gt;""""),ROWS(A$5:A2831)),"""")"),"")</f>
        <v/>
      </c>
      <c r="B28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Helper'!$F$5:$F$3004,"""")&lt;&gt;""""),ROWS(B$5:B2831)),"""")"),"")</f>
        <v/>
      </c>
      <c r="C28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Helper'!$F$5:$F$3004,"""")&lt;&gt;""""),ROWS(C$5:C2831)),"""")"),"")</f>
        <v/>
      </c>
      <c r="D28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Helper'!$F$5:$F$3004,"""")&lt;&gt;""""),ROWS(D$5:D2831)),"""")"),"")</f>
        <v/>
      </c>
      <c r="E28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Helper'!$F$5:$F$3004,"""")&lt;&gt;""""),ROWS(E$5:E2831)),"""")"),"")</f>
        <v/>
      </c>
      <c r="F28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Helper'!$F$5:$F$3004,"""")&lt;&gt;""""),ROWS(F$5:F2831)),IF(AND(LEFT(x,5)=""Pag"&amp;"e "",ISERROR(SEARCH(""–"",x))),x&amp;""–""&amp;REGEXEXTRACT(x,""[0-9]+$""),x)),"""")"),"")</f>
        <v/>
      </c>
      <c r="G2831" s="163"/>
      <c r="H28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Helper'!$F$5:$F$3004,"""")&lt;&gt;""""),ROWS(H$5:H2831)),"""")"),"")</f>
        <v/>
      </c>
    </row>
    <row r="2832" ht="15.75" customHeight="1">
      <c r="A28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Helper'!$F$5:$F$3004,"""")&lt;&gt;""""),ROWS(A$5:A2832)),"""")"),"")</f>
        <v/>
      </c>
      <c r="B28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Helper'!$F$5:$F$3004,"""")&lt;&gt;""""),ROWS(B$5:B2832)),"""")"),"")</f>
        <v/>
      </c>
      <c r="C28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Helper'!$F$5:$F$3004,"""")&lt;&gt;""""),ROWS(C$5:C2832)),"""")"),"")</f>
        <v/>
      </c>
      <c r="D28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Helper'!$F$5:$F$3004,"""")&lt;&gt;""""),ROWS(D$5:D2832)),"""")"),"")</f>
        <v/>
      </c>
      <c r="E28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Helper'!$F$5:$F$3004,"""")&lt;&gt;""""),ROWS(E$5:E2832)),"""")"),"")</f>
        <v/>
      </c>
      <c r="F28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Helper'!$F$5:$F$3004,"""")&lt;&gt;""""),ROWS(F$5:F2832)),IF(AND(LEFT(x,5)=""Pag"&amp;"e "",ISERROR(SEARCH(""–"",x))),x&amp;""–""&amp;REGEXEXTRACT(x,""[0-9]+$""),x)),"""")"),"")</f>
        <v/>
      </c>
      <c r="G2832" s="163"/>
      <c r="H28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Helper'!$F$5:$F$3004,"""")&lt;&gt;""""),ROWS(H$5:H2832)),"""")"),"")</f>
        <v/>
      </c>
    </row>
    <row r="2833" ht="15.75" customHeight="1">
      <c r="A28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Helper'!$F$5:$F$3004,"""")&lt;&gt;""""),ROWS(A$5:A2833)),"""")"),"")</f>
        <v/>
      </c>
      <c r="B28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Helper'!$F$5:$F$3004,"""")&lt;&gt;""""),ROWS(B$5:B2833)),"""")"),"")</f>
        <v/>
      </c>
      <c r="C28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Helper'!$F$5:$F$3004,"""")&lt;&gt;""""),ROWS(C$5:C2833)),"""")"),"")</f>
        <v/>
      </c>
      <c r="D28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Helper'!$F$5:$F$3004,"""")&lt;&gt;""""),ROWS(D$5:D2833)),"""")"),"")</f>
        <v/>
      </c>
      <c r="E28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Helper'!$F$5:$F$3004,"""")&lt;&gt;""""),ROWS(E$5:E2833)),"""")"),"")</f>
        <v/>
      </c>
      <c r="F28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Helper'!$F$5:$F$3004,"""")&lt;&gt;""""),ROWS(F$5:F2833)),IF(AND(LEFT(x,5)=""Pag"&amp;"e "",ISERROR(SEARCH(""–"",x))),x&amp;""–""&amp;REGEXEXTRACT(x,""[0-9]+$""),x)),"""")"),"")</f>
        <v/>
      </c>
      <c r="G2833" s="163"/>
      <c r="H28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Helper'!$F$5:$F$3004,"""")&lt;&gt;""""),ROWS(H$5:H2833)),"""")"),"")</f>
        <v/>
      </c>
    </row>
    <row r="2834" ht="15.75" customHeight="1">
      <c r="A28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Helper'!$F$5:$F$3004,"""")&lt;&gt;""""),ROWS(A$5:A2834)),"""")"),"")</f>
        <v/>
      </c>
      <c r="B28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Helper'!$F$5:$F$3004,"""")&lt;&gt;""""),ROWS(B$5:B2834)),"""")"),"")</f>
        <v/>
      </c>
      <c r="C28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Helper'!$F$5:$F$3004,"""")&lt;&gt;""""),ROWS(C$5:C2834)),"""")"),"")</f>
        <v/>
      </c>
      <c r="D28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Helper'!$F$5:$F$3004,"""")&lt;&gt;""""),ROWS(D$5:D2834)),"""")"),"")</f>
        <v/>
      </c>
      <c r="E28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Helper'!$F$5:$F$3004,"""")&lt;&gt;""""),ROWS(E$5:E2834)),"""")"),"")</f>
        <v/>
      </c>
      <c r="F28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Helper'!$F$5:$F$3004,"""")&lt;&gt;""""),ROWS(F$5:F2834)),IF(AND(LEFT(x,5)=""Pag"&amp;"e "",ISERROR(SEARCH(""–"",x))),x&amp;""–""&amp;REGEXEXTRACT(x,""[0-9]+$""),x)),"""")"),"")</f>
        <v/>
      </c>
      <c r="G2834" s="163"/>
      <c r="H28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Helper'!$F$5:$F$3004,"""")&lt;&gt;""""),ROWS(H$5:H2834)),"""")"),"")</f>
        <v/>
      </c>
    </row>
    <row r="2835" ht="15.75" customHeight="1">
      <c r="A28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Helper'!$F$5:$F$3004,"""")&lt;&gt;""""),ROWS(A$5:A2835)),"""")"),"")</f>
        <v/>
      </c>
      <c r="B28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Helper'!$F$5:$F$3004,"""")&lt;&gt;""""),ROWS(B$5:B2835)),"""")"),"")</f>
        <v/>
      </c>
      <c r="C28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Helper'!$F$5:$F$3004,"""")&lt;&gt;""""),ROWS(C$5:C2835)),"""")"),"")</f>
        <v/>
      </c>
      <c r="D28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Helper'!$F$5:$F$3004,"""")&lt;&gt;""""),ROWS(D$5:D2835)),"""")"),"")</f>
        <v/>
      </c>
      <c r="E28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Helper'!$F$5:$F$3004,"""")&lt;&gt;""""),ROWS(E$5:E2835)),"""")"),"")</f>
        <v/>
      </c>
      <c r="F28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Helper'!$F$5:$F$3004,"""")&lt;&gt;""""),ROWS(F$5:F2835)),IF(AND(LEFT(x,5)=""Pag"&amp;"e "",ISERROR(SEARCH(""–"",x))),x&amp;""–""&amp;REGEXEXTRACT(x,""[0-9]+$""),x)),"""")"),"")</f>
        <v/>
      </c>
      <c r="G2835" s="163"/>
      <c r="H28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Helper'!$F$5:$F$3004,"""")&lt;&gt;""""),ROWS(H$5:H2835)),"""")"),"")</f>
        <v/>
      </c>
    </row>
    <row r="2836" ht="15.75" customHeight="1">
      <c r="A28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Helper'!$F$5:$F$3004,"""")&lt;&gt;""""),ROWS(A$5:A2836)),"""")"),"")</f>
        <v/>
      </c>
      <c r="B28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Helper'!$F$5:$F$3004,"""")&lt;&gt;""""),ROWS(B$5:B2836)),"""")"),"")</f>
        <v/>
      </c>
      <c r="C28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Helper'!$F$5:$F$3004,"""")&lt;&gt;""""),ROWS(C$5:C2836)),"""")"),"")</f>
        <v/>
      </c>
      <c r="D28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Helper'!$F$5:$F$3004,"""")&lt;&gt;""""),ROWS(D$5:D2836)),"""")"),"")</f>
        <v/>
      </c>
      <c r="E28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Helper'!$F$5:$F$3004,"""")&lt;&gt;""""),ROWS(E$5:E2836)),"""")"),"")</f>
        <v/>
      </c>
      <c r="F28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Helper'!$F$5:$F$3004,"""")&lt;&gt;""""),ROWS(F$5:F2836)),IF(AND(LEFT(x,5)=""Pag"&amp;"e "",ISERROR(SEARCH(""–"",x))),x&amp;""–""&amp;REGEXEXTRACT(x,""[0-9]+$""),x)),"""")"),"")</f>
        <v/>
      </c>
      <c r="G2836" s="163"/>
      <c r="H28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Helper'!$F$5:$F$3004,"""")&lt;&gt;""""),ROWS(H$5:H2836)),"""")"),"")</f>
        <v/>
      </c>
    </row>
    <row r="2837" ht="15.75" customHeight="1">
      <c r="A28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Helper'!$F$5:$F$3004,"""")&lt;&gt;""""),ROWS(A$5:A2837)),"""")"),"")</f>
        <v/>
      </c>
      <c r="B28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Helper'!$F$5:$F$3004,"""")&lt;&gt;""""),ROWS(B$5:B2837)),"""")"),"")</f>
        <v/>
      </c>
      <c r="C28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Helper'!$F$5:$F$3004,"""")&lt;&gt;""""),ROWS(C$5:C2837)),"""")"),"")</f>
        <v/>
      </c>
      <c r="D28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Helper'!$F$5:$F$3004,"""")&lt;&gt;""""),ROWS(D$5:D2837)),"""")"),"")</f>
        <v/>
      </c>
      <c r="E28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Helper'!$F$5:$F$3004,"""")&lt;&gt;""""),ROWS(E$5:E2837)),"""")"),"")</f>
        <v/>
      </c>
      <c r="F28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Helper'!$F$5:$F$3004,"""")&lt;&gt;""""),ROWS(F$5:F2837)),IF(AND(LEFT(x,5)=""Pag"&amp;"e "",ISERROR(SEARCH(""–"",x))),x&amp;""–""&amp;REGEXEXTRACT(x,""[0-9]+$""),x)),"""")"),"")</f>
        <v/>
      </c>
      <c r="G2837" s="163"/>
      <c r="H28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Helper'!$F$5:$F$3004,"""")&lt;&gt;""""),ROWS(H$5:H2837)),"""")"),"")</f>
        <v/>
      </c>
    </row>
    <row r="2838" ht="15.75" customHeight="1">
      <c r="A28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Helper'!$F$5:$F$3004,"""")&lt;&gt;""""),ROWS(A$5:A2838)),"""")"),"")</f>
        <v/>
      </c>
      <c r="B28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Helper'!$F$5:$F$3004,"""")&lt;&gt;""""),ROWS(B$5:B2838)),"""")"),"")</f>
        <v/>
      </c>
      <c r="C28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Helper'!$F$5:$F$3004,"""")&lt;&gt;""""),ROWS(C$5:C2838)),"""")"),"")</f>
        <v/>
      </c>
      <c r="D28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Helper'!$F$5:$F$3004,"""")&lt;&gt;""""),ROWS(D$5:D2838)),"""")"),"")</f>
        <v/>
      </c>
      <c r="E28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Helper'!$F$5:$F$3004,"""")&lt;&gt;""""),ROWS(E$5:E2838)),"""")"),"")</f>
        <v/>
      </c>
      <c r="F28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Helper'!$F$5:$F$3004,"""")&lt;&gt;""""),ROWS(F$5:F2838)),IF(AND(LEFT(x,5)=""Pag"&amp;"e "",ISERROR(SEARCH(""–"",x))),x&amp;""–""&amp;REGEXEXTRACT(x,""[0-9]+$""),x)),"""")"),"")</f>
        <v/>
      </c>
      <c r="G2838" s="163"/>
      <c r="H28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Helper'!$F$5:$F$3004,"""")&lt;&gt;""""),ROWS(H$5:H2838)),"""")"),"")</f>
        <v/>
      </c>
    </row>
    <row r="2839" ht="15.75" customHeight="1">
      <c r="A28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Helper'!$F$5:$F$3004,"""")&lt;&gt;""""),ROWS(A$5:A2839)),"""")"),"")</f>
        <v/>
      </c>
      <c r="B28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Helper'!$F$5:$F$3004,"""")&lt;&gt;""""),ROWS(B$5:B2839)),"""")"),"")</f>
        <v/>
      </c>
      <c r="C28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Helper'!$F$5:$F$3004,"""")&lt;&gt;""""),ROWS(C$5:C2839)),"""")"),"")</f>
        <v/>
      </c>
      <c r="D28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Helper'!$F$5:$F$3004,"""")&lt;&gt;""""),ROWS(D$5:D2839)),"""")"),"")</f>
        <v/>
      </c>
      <c r="E28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Helper'!$F$5:$F$3004,"""")&lt;&gt;""""),ROWS(E$5:E2839)),"""")"),"")</f>
        <v/>
      </c>
      <c r="F28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Helper'!$F$5:$F$3004,"""")&lt;&gt;""""),ROWS(F$5:F2839)),IF(AND(LEFT(x,5)=""Pag"&amp;"e "",ISERROR(SEARCH(""–"",x))),x&amp;""–""&amp;REGEXEXTRACT(x,""[0-9]+$""),x)),"""")"),"")</f>
        <v/>
      </c>
      <c r="G2839" s="163"/>
      <c r="H28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Helper'!$F$5:$F$3004,"""")&lt;&gt;""""),ROWS(H$5:H2839)),"""")"),"")</f>
        <v/>
      </c>
    </row>
    <row r="2840" ht="15.75" customHeight="1">
      <c r="A28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Helper'!$F$5:$F$3004,"""")&lt;&gt;""""),ROWS(A$5:A2840)),"""")"),"")</f>
        <v/>
      </c>
      <c r="B28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Helper'!$F$5:$F$3004,"""")&lt;&gt;""""),ROWS(B$5:B2840)),"""")"),"")</f>
        <v/>
      </c>
      <c r="C28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Helper'!$F$5:$F$3004,"""")&lt;&gt;""""),ROWS(C$5:C2840)),"""")"),"")</f>
        <v/>
      </c>
      <c r="D28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Helper'!$F$5:$F$3004,"""")&lt;&gt;""""),ROWS(D$5:D2840)),"""")"),"")</f>
        <v/>
      </c>
      <c r="E28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Helper'!$F$5:$F$3004,"""")&lt;&gt;""""),ROWS(E$5:E2840)),"""")"),"")</f>
        <v/>
      </c>
      <c r="F28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Helper'!$F$5:$F$3004,"""")&lt;&gt;""""),ROWS(F$5:F2840)),IF(AND(LEFT(x,5)=""Pag"&amp;"e "",ISERROR(SEARCH(""–"",x))),x&amp;""–""&amp;REGEXEXTRACT(x,""[0-9]+$""),x)),"""")"),"")</f>
        <v/>
      </c>
      <c r="G2840" s="163"/>
      <c r="H28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Helper'!$F$5:$F$3004,"""")&lt;&gt;""""),ROWS(H$5:H2840)),"""")"),"")</f>
        <v/>
      </c>
    </row>
    <row r="2841" ht="15.75" customHeight="1">
      <c r="A28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Helper'!$F$5:$F$3004,"""")&lt;&gt;""""),ROWS(A$5:A2841)),"""")"),"")</f>
        <v/>
      </c>
      <c r="B28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Helper'!$F$5:$F$3004,"""")&lt;&gt;""""),ROWS(B$5:B2841)),"""")"),"")</f>
        <v/>
      </c>
      <c r="C28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Helper'!$F$5:$F$3004,"""")&lt;&gt;""""),ROWS(C$5:C2841)),"""")"),"")</f>
        <v/>
      </c>
      <c r="D28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Helper'!$F$5:$F$3004,"""")&lt;&gt;""""),ROWS(D$5:D2841)),"""")"),"")</f>
        <v/>
      </c>
      <c r="E28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Helper'!$F$5:$F$3004,"""")&lt;&gt;""""),ROWS(E$5:E2841)),"""")"),"")</f>
        <v/>
      </c>
      <c r="F28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Helper'!$F$5:$F$3004,"""")&lt;&gt;""""),ROWS(F$5:F2841)),IF(AND(LEFT(x,5)=""Pag"&amp;"e "",ISERROR(SEARCH(""–"",x))),x&amp;""–""&amp;REGEXEXTRACT(x,""[0-9]+$""),x)),"""")"),"")</f>
        <v/>
      </c>
      <c r="G2841" s="163"/>
      <c r="H28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Helper'!$F$5:$F$3004,"""")&lt;&gt;""""),ROWS(H$5:H2841)),"""")"),"")</f>
        <v/>
      </c>
    </row>
    <row r="2842" ht="15.75" customHeight="1">
      <c r="A28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Helper'!$F$5:$F$3004,"""")&lt;&gt;""""),ROWS(A$5:A2842)),"""")"),"")</f>
        <v/>
      </c>
      <c r="B28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Helper'!$F$5:$F$3004,"""")&lt;&gt;""""),ROWS(B$5:B2842)),"""")"),"")</f>
        <v/>
      </c>
      <c r="C28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Helper'!$F$5:$F$3004,"""")&lt;&gt;""""),ROWS(C$5:C2842)),"""")"),"")</f>
        <v/>
      </c>
      <c r="D28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Helper'!$F$5:$F$3004,"""")&lt;&gt;""""),ROWS(D$5:D2842)),"""")"),"")</f>
        <v/>
      </c>
      <c r="E28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Helper'!$F$5:$F$3004,"""")&lt;&gt;""""),ROWS(E$5:E2842)),"""")"),"")</f>
        <v/>
      </c>
      <c r="F28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Helper'!$F$5:$F$3004,"""")&lt;&gt;""""),ROWS(F$5:F2842)),IF(AND(LEFT(x,5)=""Pag"&amp;"e "",ISERROR(SEARCH(""–"",x))),x&amp;""–""&amp;REGEXEXTRACT(x,""[0-9]+$""),x)),"""")"),"")</f>
        <v/>
      </c>
      <c r="G2842" s="163"/>
      <c r="H28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Helper'!$F$5:$F$3004,"""")&lt;&gt;""""),ROWS(H$5:H2842)),"""")"),"")</f>
        <v/>
      </c>
    </row>
    <row r="2843" ht="15.75" customHeight="1">
      <c r="A28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Helper'!$F$5:$F$3004,"""")&lt;&gt;""""),ROWS(A$5:A2843)),"""")"),"")</f>
        <v/>
      </c>
      <c r="B28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Helper'!$F$5:$F$3004,"""")&lt;&gt;""""),ROWS(B$5:B2843)),"""")"),"")</f>
        <v/>
      </c>
      <c r="C28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Helper'!$F$5:$F$3004,"""")&lt;&gt;""""),ROWS(C$5:C2843)),"""")"),"")</f>
        <v/>
      </c>
      <c r="D28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Helper'!$F$5:$F$3004,"""")&lt;&gt;""""),ROWS(D$5:D2843)),"""")"),"")</f>
        <v/>
      </c>
      <c r="E28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Helper'!$F$5:$F$3004,"""")&lt;&gt;""""),ROWS(E$5:E2843)),"""")"),"")</f>
        <v/>
      </c>
      <c r="F28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Helper'!$F$5:$F$3004,"""")&lt;&gt;""""),ROWS(F$5:F2843)),IF(AND(LEFT(x,5)=""Pag"&amp;"e "",ISERROR(SEARCH(""–"",x))),x&amp;""–""&amp;REGEXEXTRACT(x,""[0-9]+$""),x)),"""")"),"")</f>
        <v/>
      </c>
      <c r="G2843" s="163"/>
      <c r="H28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Helper'!$F$5:$F$3004,"""")&lt;&gt;""""),ROWS(H$5:H2843)),"""")"),"")</f>
        <v/>
      </c>
    </row>
    <row r="2844" ht="15.75" customHeight="1">
      <c r="A28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Helper'!$F$5:$F$3004,"""")&lt;&gt;""""),ROWS(A$5:A2844)),"""")"),"")</f>
        <v/>
      </c>
      <c r="B28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Helper'!$F$5:$F$3004,"""")&lt;&gt;""""),ROWS(B$5:B2844)),"""")"),"")</f>
        <v/>
      </c>
      <c r="C28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Helper'!$F$5:$F$3004,"""")&lt;&gt;""""),ROWS(C$5:C2844)),"""")"),"")</f>
        <v/>
      </c>
      <c r="D28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Helper'!$F$5:$F$3004,"""")&lt;&gt;""""),ROWS(D$5:D2844)),"""")"),"")</f>
        <v/>
      </c>
      <c r="E28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Helper'!$F$5:$F$3004,"""")&lt;&gt;""""),ROWS(E$5:E2844)),"""")"),"")</f>
        <v/>
      </c>
      <c r="F28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Helper'!$F$5:$F$3004,"""")&lt;&gt;""""),ROWS(F$5:F2844)),IF(AND(LEFT(x,5)=""Pag"&amp;"e "",ISERROR(SEARCH(""–"",x))),x&amp;""–""&amp;REGEXEXTRACT(x,""[0-9]+$""),x)),"""")"),"")</f>
        <v/>
      </c>
      <c r="G2844" s="163"/>
      <c r="H28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Helper'!$F$5:$F$3004,"""")&lt;&gt;""""),ROWS(H$5:H2844)),"""")"),"")</f>
        <v/>
      </c>
    </row>
    <row r="2845" ht="15.75" customHeight="1">
      <c r="A28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Helper'!$F$5:$F$3004,"""")&lt;&gt;""""),ROWS(A$5:A2845)),"""")"),"")</f>
        <v/>
      </c>
      <c r="B28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Helper'!$F$5:$F$3004,"""")&lt;&gt;""""),ROWS(B$5:B2845)),"""")"),"")</f>
        <v/>
      </c>
      <c r="C28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Helper'!$F$5:$F$3004,"""")&lt;&gt;""""),ROWS(C$5:C2845)),"""")"),"")</f>
        <v/>
      </c>
      <c r="D28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Helper'!$F$5:$F$3004,"""")&lt;&gt;""""),ROWS(D$5:D2845)),"""")"),"")</f>
        <v/>
      </c>
      <c r="E28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Helper'!$F$5:$F$3004,"""")&lt;&gt;""""),ROWS(E$5:E2845)),"""")"),"")</f>
        <v/>
      </c>
      <c r="F28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Helper'!$F$5:$F$3004,"""")&lt;&gt;""""),ROWS(F$5:F2845)),IF(AND(LEFT(x,5)=""Pag"&amp;"e "",ISERROR(SEARCH(""–"",x))),x&amp;""–""&amp;REGEXEXTRACT(x,""[0-9]+$""),x)),"""")"),"")</f>
        <v/>
      </c>
      <c r="G2845" s="163"/>
      <c r="H28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Helper'!$F$5:$F$3004,"""")&lt;&gt;""""),ROWS(H$5:H2845)),"""")"),"")</f>
        <v/>
      </c>
    </row>
    <row r="2846" ht="15.75" customHeight="1">
      <c r="A28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Helper'!$F$5:$F$3004,"""")&lt;&gt;""""),ROWS(A$5:A2846)),"""")"),"")</f>
        <v/>
      </c>
      <c r="B28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Helper'!$F$5:$F$3004,"""")&lt;&gt;""""),ROWS(B$5:B2846)),"""")"),"")</f>
        <v/>
      </c>
      <c r="C28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Helper'!$F$5:$F$3004,"""")&lt;&gt;""""),ROWS(C$5:C2846)),"""")"),"")</f>
        <v/>
      </c>
      <c r="D28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Helper'!$F$5:$F$3004,"""")&lt;&gt;""""),ROWS(D$5:D2846)),"""")"),"")</f>
        <v/>
      </c>
      <c r="E28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Helper'!$F$5:$F$3004,"""")&lt;&gt;""""),ROWS(E$5:E2846)),"""")"),"")</f>
        <v/>
      </c>
      <c r="F28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Helper'!$F$5:$F$3004,"""")&lt;&gt;""""),ROWS(F$5:F2846)),IF(AND(LEFT(x,5)=""Pag"&amp;"e "",ISERROR(SEARCH(""–"",x))),x&amp;""–""&amp;REGEXEXTRACT(x,""[0-9]+$""),x)),"""")"),"")</f>
        <v/>
      </c>
      <c r="G2846" s="163"/>
      <c r="H28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Helper'!$F$5:$F$3004,"""")&lt;&gt;""""),ROWS(H$5:H2846)),"""")"),"")</f>
        <v/>
      </c>
    </row>
    <row r="2847" ht="15.75" customHeight="1">
      <c r="A28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Helper'!$F$5:$F$3004,"""")&lt;&gt;""""),ROWS(A$5:A2847)),"""")"),"")</f>
        <v/>
      </c>
      <c r="B28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Helper'!$F$5:$F$3004,"""")&lt;&gt;""""),ROWS(B$5:B2847)),"""")"),"")</f>
        <v/>
      </c>
      <c r="C28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Helper'!$F$5:$F$3004,"""")&lt;&gt;""""),ROWS(C$5:C2847)),"""")"),"")</f>
        <v/>
      </c>
      <c r="D28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Helper'!$F$5:$F$3004,"""")&lt;&gt;""""),ROWS(D$5:D2847)),"""")"),"")</f>
        <v/>
      </c>
      <c r="E28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Helper'!$F$5:$F$3004,"""")&lt;&gt;""""),ROWS(E$5:E2847)),"""")"),"")</f>
        <v/>
      </c>
      <c r="F28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Helper'!$F$5:$F$3004,"""")&lt;&gt;""""),ROWS(F$5:F2847)),IF(AND(LEFT(x,5)=""Pag"&amp;"e "",ISERROR(SEARCH(""–"",x))),x&amp;""–""&amp;REGEXEXTRACT(x,""[0-9]+$""),x)),"""")"),"")</f>
        <v/>
      </c>
      <c r="G2847" s="163"/>
      <c r="H28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Helper'!$F$5:$F$3004,"""")&lt;&gt;""""),ROWS(H$5:H2847)),"""")"),"")</f>
        <v/>
      </c>
    </row>
    <row r="2848" ht="15.75" customHeight="1">
      <c r="A28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Helper'!$F$5:$F$3004,"""")&lt;&gt;""""),ROWS(A$5:A2848)),"""")"),"")</f>
        <v/>
      </c>
      <c r="B28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Helper'!$F$5:$F$3004,"""")&lt;&gt;""""),ROWS(B$5:B2848)),"""")"),"")</f>
        <v/>
      </c>
      <c r="C28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Helper'!$F$5:$F$3004,"""")&lt;&gt;""""),ROWS(C$5:C2848)),"""")"),"")</f>
        <v/>
      </c>
      <c r="D28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Helper'!$F$5:$F$3004,"""")&lt;&gt;""""),ROWS(D$5:D2848)),"""")"),"")</f>
        <v/>
      </c>
      <c r="E28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Helper'!$F$5:$F$3004,"""")&lt;&gt;""""),ROWS(E$5:E2848)),"""")"),"")</f>
        <v/>
      </c>
      <c r="F28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Helper'!$F$5:$F$3004,"""")&lt;&gt;""""),ROWS(F$5:F2848)),IF(AND(LEFT(x,5)=""Pag"&amp;"e "",ISERROR(SEARCH(""–"",x))),x&amp;""–""&amp;REGEXEXTRACT(x,""[0-9]+$""),x)),"""")"),"")</f>
        <v/>
      </c>
      <c r="G2848" s="163"/>
      <c r="H28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Helper'!$F$5:$F$3004,"""")&lt;&gt;""""),ROWS(H$5:H2848)),"""")"),"")</f>
        <v/>
      </c>
    </row>
    <row r="2849" ht="15.75" customHeight="1">
      <c r="A28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Helper'!$F$5:$F$3004,"""")&lt;&gt;""""),ROWS(A$5:A2849)),"""")"),"")</f>
        <v/>
      </c>
      <c r="B28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Helper'!$F$5:$F$3004,"""")&lt;&gt;""""),ROWS(B$5:B2849)),"""")"),"")</f>
        <v/>
      </c>
      <c r="C28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Helper'!$F$5:$F$3004,"""")&lt;&gt;""""),ROWS(C$5:C2849)),"""")"),"")</f>
        <v/>
      </c>
      <c r="D28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Helper'!$F$5:$F$3004,"""")&lt;&gt;""""),ROWS(D$5:D2849)),"""")"),"")</f>
        <v/>
      </c>
      <c r="E28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Helper'!$F$5:$F$3004,"""")&lt;&gt;""""),ROWS(E$5:E2849)),"""")"),"")</f>
        <v/>
      </c>
      <c r="F28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Helper'!$F$5:$F$3004,"""")&lt;&gt;""""),ROWS(F$5:F2849)),IF(AND(LEFT(x,5)=""Pag"&amp;"e "",ISERROR(SEARCH(""–"",x))),x&amp;""–""&amp;REGEXEXTRACT(x,""[0-9]+$""),x)),"""")"),"")</f>
        <v/>
      </c>
      <c r="G2849" s="163"/>
      <c r="H28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Helper'!$F$5:$F$3004,"""")&lt;&gt;""""),ROWS(H$5:H2849)),"""")"),"")</f>
        <v/>
      </c>
    </row>
    <row r="2850" ht="15.75" customHeight="1">
      <c r="A28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Helper'!$F$5:$F$3004,"""")&lt;&gt;""""),ROWS(A$5:A2850)),"""")"),"")</f>
        <v/>
      </c>
      <c r="B28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Helper'!$F$5:$F$3004,"""")&lt;&gt;""""),ROWS(B$5:B2850)),"""")"),"")</f>
        <v/>
      </c>
      <c r="C28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Helper'!$F$5:$F$3004,"""")&lt;&gt;""""),ROWS(C$5:C2850)),"""")"),"")</f>
        <v/>
      </c>
      <c r="D28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Helper'!$F$5:$F$3004,"""")&lt;&gt;""""),ROWS(D$5:D2850)),"""")"),"")</f>
        <v/>
      </c>
      <c r="E28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Helper'!$F$5:$F$3004,"""")&lt;&gt;""""),ROWS(E$5:E2850)),"""")"),"")</f>
        <v/>
      </c>
      <c r="F28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Helper'!$F$5:$F$3004,"""")&lt;&gt;""""),ROWS(F$5:F2850)),IF(AND(LEFT(x,5)=""Pag"&amp;"e "",ISERROR(SEARCH(""–"",x))),x&amp;""–""&amp;REGEXEXTRACT(x,""[0-9]+$""),x)),"""")"),"")</f>
        <v/>
      </c>
      <c r="G2850" s="163"/>
      <c r="H28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Helper'!$F$5:$F$3004,"""")&lt;&gt;""""),ROWS(H$5:H2850)),"""")"),"")</f>
        <v/>
      </c>
    </row>
    <row r="2851" ht="15.75" customHeight="1">
      <c r="A28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Helper'!$F$5:$F$3004,"""")&lt;&gt;""""),ROWS(A$5:A2851)),"""")"),"")</f>
        <v/>
      </c>
      <c r="B28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Helper'!$F$5:$F$3004,"""")&lt;&gt;""""),ROWS(B$5:B2851)),"""")"),"")</f>
        <v/>
      </c>
      <c r="C28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Helper'!$F$5:$F$3004,"""")&lt;&gt;""""),ROWS(C$5:C2851)),"""")"),"")</f>
        <v/>
      </c>
      <c r="D28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Helper'!$F$5:$F$3004,"""")&lt;&gt;""""),ROWS(D$5:D2851)),"""")"),"")</f>
        <v/>
      </c>
      <c r="E28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Helper'!$F$5:$F$3004,"""")&lt;&gt;""""),ROWS(E$5:E2851)),"""")"),"")</f>
        <v/>
      </c>
      <c r="F28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Helper'!$F$5:$F$3004,"""")&lt;&gt;""""),ROWS(F$5:F2851)),IF(AND(LEFT(x,5)=""Pag"&amp;"e "",ISERROR(SEARCH(""–"",x))),x&amp;""–""&amp;REGEXEXTRACT(x,""[0-9]+$""),x)),"""")"),"")</f>
        <v/>
      </c>
      <c r="G2851" s="163"/>
      <c r="H28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Helper'!$F$5:$F$3004,"""")&lt;&gt;""""),ROWS(H$5:H2851)),"""")"),"")</f>
        <v/>
      </c>
    </row>
    <row r="2852" ht="15.75" customHeight="1">
      <c r="A28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Helper'!$F$5:$F$3004,"""")&lt;&gt;""""),ROWS(A$5:A2852)),"""")"),"")</f>
        <v/>
      </c>
      <c r="B28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Helper'!$F$5:$F$3004,"""")&lt;&gt;""""),ROWS(B$5:B2852)),"""")"),"")</f>
        <v/>
      </c>
      <c r="C28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Helper'!$F$5:$F$3004,"""")&lt;&gt;""""),ROWS(C$5:C2852)),"""")"),"")</f>
        <v/>
      </c>
      <c r="D28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Helper'!$F$5:$F$3004,"""")&lt;&gt;""""),ROWS(D$5:D2852)),"""")"),"")</f>
        <v/>
      </c>
      <c r="E28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Helper'!$F$5:$F$3004,"""")&lt;&gt;""""),ROWS(E$5:E2852)),"""")"),"")</f>
        <v/>
      </c>
      <c r="F28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Helper'!$F$5:$F$3004,"""")&lt;&gt;""""),ROWS(F$5:F2852)),IF(AND(LEFT(x,5)=""Pag"&amp;"e "",ISERROR(SEARCH(""–"",x))),x&amp;""–""&amp;REGEXEXTRACT(x,""[0-9]+$""),x)),"""")"),"")</f>
        <v/>
      </c>
      <c r="G2852" s="163"/>
      <c r="H28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Helper'!$F$5:$F$3004,"""")&lt;&gt;""""),ROWS(H$5:H2852)),"""")"),"")</f>
        <v/>
      </c>
    </row>
    <row r="2853" ht="15.75" customHeight="1">
      <c r="A28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Helper'!$F$5:$F$3004,"""")&lt;&gt;""""),ROWS(A$5:A2853)),"""")"),"")</f>
        <v/>
      </c>
      <c r="B28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Helper'!$F$5:$F$3004,"""")&lt;&gt;""""),ROWS(B$5:B2853)),"""")"),"")</f>
        <v/>
      </c>
      <c r="C28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Helper'!$F$5:$F$3004,"""")&lt;&gt;""""),ROWS(C$5:C2853)),"""")"),"")</f>
        <v/>
      </c>
      <c r="D28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Helper'!$F$5:$F$3004,"""")&lt;&gt;""""),ROWS(D$5:D2853)),"""")"),"")</f>
        <v/>
      </c>
      <c r="E28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Helper'!$F$5:$F$3004,"""")&lt;&gt;""""),ROWS(E$5:E2853)),"""")"),"")</f>
        <v/>
      </c>
      <c r="F28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Helper'!$F$5:$F$3004,"""")&lt;&gt;""""),ROWS(F$5:F2853)),IF(AND(LEFT(x,5)=""Pag"&amp;"e "",ISERROR(SEARCH(""–"",x))),x&amp;""–""&amp;REGEXEXTRACT(x,""[0-9]+$""),x)),"""")"),"")</f>
        <v/>
      </c>
      <c r="G2853" s="163"/>
      <c r="H28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Helper'!$F$5:$F$3004,"""")&lt;&gt;""""),ROWS(H$5:H2853)),"""")"),"")</f>
        <v/>
      </c>
    </row>
    <row r="2854" ht="15.75" customHeight="1">
      <c r="A28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Helper'!$F$5:$F$3004,"""")&lt;&gt;""""),ROWS(A$5:A2854)),"""")"),"")</f>
        <v/>
      </c>
      <c r="B28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Helper'!$F$5:$F$3004,"""")&lt;&gt;""""),ROWS(B$5:B2854)),"""")"),"")</f>
        <v/>
      </c>
      <c r="C28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Helper'!$F$5:$F$3004,"""")&lt;&gt;""""),ROWS(C$5:C2854)),"""")"),"")</f>
        <v/>
      </c>
      <c r="D28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Helper'!$F$5:$F$3004,"""")&lt;&gt;""""),ROWS(D$5:D2854)),"""")"),"")</f>
        <v/>
      </c>
      <c r="E28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Helper'!$F$5:$F$3004,"""")&lt;&gt;""""),ROWS(E$5:E2854)),"""")"),"")</f>
        <v/>
      </c>
      <c r="F28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Helper'!$F$5:$F$3004,"""")&lt;&gt;""""),ROWS(F$5:F2854)),IF(AND(LEFT(x,5)=""Pag"&amp;"e "",ISERROR(SEARCH(""–"",x))),x&amp;""–""&amp;REGEXEXTRACT(x,""[0-9]+$""),x)),"""")"),"")</f>
        <v/>
      </c>
      <c r="G2854" s="163"/>
      <c r="H28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Helper'!$F$5:$F$3004,"""")&lt;&gt;""""),ROWS(H$5:H2854)),"""")"),"")</f>
        <v/>
      </c>
    </row>
    <row r="2855" ht="15.75" customHeight="1">
      <c r="A28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Helper'!$F$5:$F$3004,"""")&lt;&gt;""""),ROWS(A$5:A2855)),"""")"),"")</f>
        <v/>
      </c>
      <c r="B28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Helper'!$F$5:$F$3004,"""")&lt;&gt;""""),ROWS(B$5:B2855)),"""")"),"")</f>
        <v/>
      </c>
      <c r="C28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Helper'!$F$5:$F$3004,"""")&lt;&gt;""""),ROWS(C$5:C2855)),"""")"),"")</f>
        <v/>
      </c>
      <c r="D28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Helper'!$F$5:$F$3004,"""")&lt;&gt;""""),ROWS(D$5:D2855)),"""")"),"")</f>
        <v/>
      </c>
      <c r="E28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Helper'!$F$5:$F$3004,"""")&lt;&gt;""""),ROWS(E$5:E2855)),"""")"),"")</f>
        <v/>
      </c>
      <c r="F28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Helper'!$F$5:$F$3004,"""")&lt;&gt;""""),ROWS(F$5:F2855)),IF(AND(LEFT(x,5)=""Pag"&amp;"e "",ISERROR(SEARCH(""–"",x))),x&amp;""–""&amp;REGEXEXTRACT(x,""[0-9]+$""),x)),"""")"),"")</f>
        <v/>
      </c>
      <c r="G2855" s="163"/>
      <c r="H28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Helper'!$F$5:$F$3004,"""")&lt;&gt;""""),ROWS(H$5:H2855)),"""")"),"")</f>
        <v/>
      </c>
    </row>
    <row r="2856" ht="15.75" customHeight="1">
      <c r="A28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Helper'!$F$5:$F$3004,"""")&lt;&gt;""""),ROWS(A$5:A2856)),"""")"),"")</f>
        <v/>
      </c>
      <c r="B28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Helper'!$F$5:$F$3004,"""")&lt;&gt;""""),ROWS(B$5:B2856)),"""")"),"")</f>
        <v/>
      </c>
      <c r="C28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Helper'!$F$5:$F$3004,"""")&lt;&gt;""""),ROWS(C$5:C2856)),"""")"),"")</f>
        <v/>
      </c>
      <c r="D28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Helper'!$F$5:$F$3004,"""")&lt;&gt;""""),ROWS(D$5:D2856)),"""")"),"")</f>
        <v/>
      </c>
      <c r="E28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Helper'!$F$5:$F$3004,"""")&lt;&gt;""""),ROWS(E$5:E2856)),"""")"),"")</f>
        <v/>
      </c>
      <c r="F28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Helper'!$F$5:$F$3004,"""")&lt;&gt;""""),ROWS(F$5:F2856)),IF(AND(LEFT(x,5)=""Pag"&amp;"e "",ISERROR(SEARCH(""–"",x))),x&amp;""–""&amp;REGEXEXTRACT(x,""[0-9]+$""),x)),"""")"),"")</f>
        <v/>
      </c>
      <c r="G2856" s="163"/>
      <c r="H28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Helper'!$F$5:$F$3004,"""")&lt;&gt;""""),ROWS(H$5:H2856)),"""")"),"")</f>
        <v/>
      </c>
    </row>
    <row r="2857" ht="15.75" customHeight="1">
      <c r="A28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Helper'!$F$5:$F$3004,"""")&lt;&gt;""""),ROWS(A$5:A2857)),"""")"),"")</f>
        <v/>
      </c>
      <c r="B28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Helper'!$F$5:$F$3004,"""")&lt;&gt;""""),ROWS(B$5:B2857)),"""")"),"")</f>
        <v/>
      </c>
      <c r="C28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Helper'!$F$5:$F$3004,"""")&lt;&gt;""""),ROWS(C$5:C2857)),"""")"),"")</f>
        <v/>
      </c>
      <c r="D28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Helper'!$F$5:$F$3004,"""")&lt;&gt;""""),ROWS(D$5:D2857)),"""")"),"")</f>
        <v/>
      </c>
      <c r="E28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Helper'!$F$5:$F$3004,"""")&lt;&gt;""""),ROWS(E$5:E2857)),"""")"),"")</f>
        <v/>
      </c>
      <c r="F28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Helper'!$F$5:$F$3004,"""")&lt;&gt;""""),ROWS(F$5:F2857)),IF(AND(LEFT(x,5)=""Pag"&amp;"e "",ISERROR(SEARCH(""–"",x))),x&amp;""–""&amp;REGEXEXTRACT(x,""[0-9]+$""),x)),"""")"),"")</f>
        <v/>
      </c>
      <c r="G2857" s="163"/>
      <c r="H28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Helper'!$F$5:$F$3004,"""")&lt;&gt;""""),ROWS(H$5:H2857)),"""")"),"")</f>
        <v/>
      </c>
    </row>
    <row r="2858" ht="15.75" customHeight="1">
      <c r="A28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Helper'!$F$5:$F$3004,"""")&lt;&gt;""""),ROWS(A$5:A2858)),"""")"),"")</f>
        <v/>
      </c>
      <c r="B28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Helper'!$F$5:$F$3004,"""")&lt;&gt;""""),ROWS(B$5:B2858)),"""")"),"")</f>
        <v/>
      </c>
      <c r="C28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Helper'!$F$5:$F$3004,"""")&lt;&gt;""""),ROWS(C$5:C2858)),"""")"),"")</f>
        <v/>
      </c>
      <c r="D28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Helper'!$F$5:$F$3004,"""")&lt;&gt;""""),ROWS(D$5:D2858)),"""")"),"")</f>
        <v/>
      </c>
      <c r="E28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Helper'!$F$5:$F$3004,"""")&lt;&gt;""""),ROWS(E$5:E2858)),"""")"),"")</f>
        <v/>
      </c>
      <c r="F28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Helper'!$F$5:$F$3004,"""")&lt;&gt;""""),ROWS(F$5:F2858)),IF(AND(LEFT(x,5)=""Pag"&amp;"e "",ISERROR(SEARCH(""–"",x))),x&amp;""–""&amp;REGEXEXTRACT(x,""[0-9]+$""),x)),"""")"),"")</f>
        <v/>
      </c>
      <c r="G2858" s="163"/>
      <c r="H28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Helper'!$F$5:$F$3004,"""")&lt;&gt;""""),ROWS(H$5:H2858)),"""")"),"")</f>
        <v/>
      </c>
    </row>
    <row r="2859" ht="15.75" customHeight="1">
      <c r="A28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Helper'!$F$5:$F$3004,"""")&lt;&gt;""""),ROWS(A$5:A2859)),"""")"),"")</f>
        <v/>
      </c>
      <c r="B28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Helper'!$F$5:$F$3004,"""")&lt;&gt;""""),ROWS(B$5:B2859)),"""")"),"")</f>
        <v/>
      </c>
      <c r="C28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Helper'!$F$5:$F$3004,"""")&lt;&gt;""""),ROWS(C$5:C2859)),"""")"),"")</f>
        <v/>
      </c>
      <c r="D28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Helper'!$F$5:$F$3004,"""")&lt;&gt;""""),ROWS(D$5:D2859)),"""")"),"")</f>
        <v/>
      </c>
      <c r="E28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Helper'!$F$5:$F$3004,"""")&lt;&gt;""""),ROWS(E$5:E2859)),"""")"),"")</f>
        <v/>
      </c>
      <c r="F28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Helper'!$F$5:$F$3004,"""")&lt;&gt;""""),ROWS(F$5:F2859)),IF(AND(LEFT(x,5)=""Pag"&amp;"e "",ISERROR(SEARCH(""–"",x))),x&amp;""–""&amp;REGEXEXTRACT(x,""[0-9]+$""),x)),"""")"),"")</f>
        <v/>
      </c>
      <c r="G2859" s="163"/>
      <c r="H28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Helper'!$F$5:$F$3004,"""")&lt;&gt;""""),ROWS(H$5:H2859)),"""")"),"")</f>
        <v/>
      </c>
    </row>
    <row r="2860" ht="15.75" customHeight="1">
      <c r="A28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Helper'!$F$5:$F$3004,"""")&lt;&gt;""""),ROWS(A$5:A2860)),"""")"),"")</f>
        <v/>
      </c>
      <c r="B28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Helper'!$F$5:$F$3004,"""")&lt;&gt;""""),ROWS(B$5:B2860)),"""")"),"")</f>
        <v/>
      </c>
      <c r="C28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Helper'!$F$5:$F$3004,"""")&lt;&gt;""""),ROWS(C$5:C2860)),"""")"),"")</f>
        <v/>
      </c>
      <c r="D28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Helper'!$F$5:$F$3004,"""")&lt;&gt;""""),ROWS(D$5:D2860)),"""")"),"")</f>
        <v/>
      </c>
      <c r="E28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Helper'!$F$5:$F$3004,"""")&lt;&gt;""""),ROWS(E$5:E2860)),"""")"),"")</f>
        <v/>
      </c>
      <c r="F28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Helper'!$F$5:$F$3004,"""")&lt;&gt;""""),ROWS(F$5:F2860)),IF(AND(LEFT(x,5)=""Pag"&amp;"e "",ISERROR(SEARCH(""–"",x))),x&amp;""–""&amp;REGEXEXTRACT(x,""[0-9]+$""),x)),"""")"),"")</f>
        <v/>
      </c>
      <c r="G2860" s="163"/>
      <c r="H28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Helper'!$F$5:$F$3004,"""")&lt;&gt;""""),ROWS(H$5:H2860)),"""")"),"")</f>
        <v/>
      </c>
    </row>
    <row r="2861" ht="15.75" customHeight="1">
      <c r="A28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Helper'!$F$5:$F$3004,"""")&lt;&gt;""""),ROWS(A$5:A2861)),"""")"),"")</f>
        <v/>
      </c>
      <c r="B28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Helper'!$F$5:$F$3004,"""")&lt;&gt;""""),ROWS(B$5:B2861)),"""")"),"")</f>
        <v/>
      </c>
      <c r="C28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Helper'!$F$5:$F$3004,"""")&lt;&gt;""""),ROWS(C$5:C2861)),"""")"),"")</f>
        <v/>
      </c>
      <c r="D28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Helper'!$F$5:$F$3004,"""")&lt;&gt;""""),ROWS(D$5:D2861)),"""")"),"")</f>
        <v/>
      </c>
      <c r="E28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Helper'!$F$5:$F$3004,"""")&lt;&gt;""""),ROWS(E$5:E2861)),"""")"),"")</f>
        <v/>
      </c>
      <c r="F28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Helper'!$F$5:$F$3004,"""")&lt;&gt;""""),ROWS(F$5:F2861)),IF(AND(LEFT(x,5)=""Pag"&amp;"e "",ISERROR(SEARCH(""–"",x))),x&amp;""–""&amp;REGEXEXTRACT(x,""[0-9]+$""),x)),"""")"),"")</f>
        <v/>
      </c>
      <c r="G2861" s="163"/>
      <c r="H28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Helper'!$F$5:$F$3004,"""")&lt;&gt;""""),ROWS(H$5:H2861)),"""")"),"")</f>
        <v/>
      </c>
    </row>
    <row r="2862" ht="15.75" customHeight="1">
      <c r="A28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Helper'!$F$5:$F$3004,"""")&lt;&gt;""""),ROWS(A$5:A2862)),"""")"),"")</f>
        <v/>
      </c>
      <c r="B28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Helper'!$F$5:$F$3004,"""")&lt;&gt;""""),ROWS(B$5:B2862)),"""")"),"")</f>
        <v/>
      </c>
      <c r="C28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Helper'!$F$5:$F$3004,"""")&lt;&gt;""""),ROWS(C$5:C2862)),"""")"),"")</f>
        <v/>
      </c>
      <c r="D28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Helper'!$F$5:$F$3004,"""")&lt;&gt;""""),ROWS(D$5:D2862)),"""")"),"")</f>
        <v/>
      </c>
      <c r="E28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Helper'!$F$5:$F$3004,"""")&lt;&gt;""""),ROWS(E$5:E2862)),"""")"),"")</f>
        <v/>
      </c>
      <c r="F28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Helper'!$F$5:$F$3004,"""")&lt;&gt;""""),ROWS(F$5:F2862)),IF(AND(LEFT(x,5)=""Pag"&amp;"e "",ISERROR(SEARCH(""–"",x))),x&amp;""–""&amp;REGEXEXTRACT(x,""[0-9]+$""),x)),"""")"),"")</f>
        <v/>
      </c>
      <c r="G2862" s="163"/>
      <c r="H28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Helper'!$F$5:$F$3004,"""")&lt;&gt;""""),ROWS(H$5:H2862)),"""")"),"")</f>
        <v/>
      </c>
    </row>
    <row r="2863" ht="15.75" customHeight="1">
      <c r="A28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Helper'!$F$5:$F$3004,"""")&lt;&gt;""""),ROWS(A$5:A2863)),"""")"),"")</f>
        <v/>
      </c>
      <c r="B28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Helper'!$F$5:$F$3004,"""")&lt;&gt;""""),ROWS(B$5:B2863)),"""")"),"")</f>
        <v/>
      </c>
      <c r="C28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Helper'!$F$5:$F$3004,"""")&lt;&gt;""""),ROWS(C$5:C2863)),"""")"),"")</f>
        <v/>
      </c>
      <c r="D28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Helper'!$F$5:$F$3004,"""")&lt;&gt;""""),ROWS(D$5:D2863)),"""")"),"")</f>
        <v/>
      </c>
      <c r="E28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Helper'!$F$5:$F$3004,"""")&lt;&gt;""""),ROWS(E$5:E2863)),"""")"),"")</f>
        <v/>
      </c>
      <c r="F28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Helper'!$F$5:$F$3004,"""")&lt;&gt;""""),ROWS(F$5:F2863)),IF(AND(LEFT(x,5)=""Pag"&amp;"e "",ISERROR(SEARCH(""–"",x))),x&amp;""–""&amp;REGEXEXTRACT(x,""[0-9]+$""),x)),"""")"),"")</f>
        <v/>
      </c>
      <c r="G2863" s="163"/>
      <c r="H28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Helper'!$F$5:$F$3004,"""")&lt;&gt;""""),ROWS(H$5:H2863)),"""")"),"")</f>
        <v/>
      </c>
    </row>
    <row r="2864" ht="15.75" customHeight="1">
      <c r="A28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Helper'!$F$5:$F$3004,"""")&lt;&gt;""""),ROWS(A$5:A2864)),"""")"),"")</f>
        <v/>
      </c>
      <c r="B28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Helper'!$F$5:$F$3004,"""")&lt;&gt;""""),ROWS(B$5:B2864)),"""")"),"")</f>
        <v/>
      </c>
      <c r="C28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Helper'!$F$5:$F$3004,"""")&lt;&gt;""""),ROWS(C$5:C2864)),"""")"),"")</f>
        <v/>
      </c>
      <c r="D28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Helper'!$F$5:$F$3004,"""")&lt;&gt;""""),ROWS(D$5:D2864)),"""")"),"")</f>
        <v/>
      </c>
      <c r="E28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Helper'!$F$5:$F$3004,"""")&lt;&gt;""""),ROWS(E$5:E2864)),"""")"),"")</f>
        <v/>
      </c>
      <c r="F28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Helper'!$F$5:$F$3004,"""")&lt;&gt;""""),ROWS(F$5:F2864)),IF(AND(LEFT(x,5)=""Pag"&amp;"e "",ISERROR(SEARCH(""–"",x))),x&amp;""–""&amp;REGEXEXTRACT(x,""[0-9]+$""),x)),"""")"),"")</f>
        <v/>
      </c>
      <c r="G2864" s="163"/>
      <c r="H28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Helper'!$F$5:$F$3004,"""")&lt;&gt;""""),ROWS(H$5:H2864)),"""")"),"")</f>
        <v/>
      </c>
    </row>
    <row r="2865" ht="15.75" customHeight="1">
      <c r="A28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Helper'!$F$5:$F$3004,"""")&lt;&gt;""""),ROWS(A$5:A2865)),"""")"),"")</f>
        <v/>
      </c>
      <c r="B28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Helper'!$F$5:$F$3004,"""")&lt;&gt;""""),ROWS(B$5:B2865)),"""")"),"")</f>
        <v/>
      </c>
      <c r="C28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Helper'!$F$5:$F$3004,"""")&lt;&gt;""""),ROWS(C$5:C2865)),"""")"),"")</f>
        <v/>
      </c>
      <c r="D28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Helper'!$F$5:$F$3004,"""")&lt;&gt;""""),ROWS(D$5:D2865)),"""")"),"")</f>
        <v/>
      </c>
      <c r="E28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Helper'!$F$5:$F$3004,"""")&lt;&gt;""""),ROWS(E$5:E2865)),"""")"),"")</f>
        <v/>
      </c>
      <c r="F28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Helper'!$F$5:$F$3004,"""")&lt;&gt;""""),ROWS(F$5:F2865)),IF(AND(LEFT(x,5)=""Pag"&amp;"e "",ISERROR(SEARCH(""–"",x))),x&amp;""–""&amp;REGEXEXTRACT(x,""[0-9]+$""),x)),"""")"),"")</f>
        <v/>
      </c>
      <c r="G2865" s="163"/>
      <c r="H28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Helper'!$F$5:$F$3004,"""")&lt;&gt;""""),ROWS(H$5:H2865)),"""")"),"")</f>
        <v/>
      </c>
    </row>
    <row r="2866" ht="15.75" customHeight="1">
      <c r="A28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Helper'!$F$5:$F$3004,"""")&lt;&gt;""""),ROWS(A$5:A2866)),"""")"),"")</f>
        <v/>
      </c>
      <c r="B28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Helper'!$F$5:$F$3004,"""")&lt;&gt;""""),ROWS(B$5:B2866)),"""")"),"")</f>
        <v/>
      </c>
      <c r="C28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Helper'!$F$5:$F$3004,"""")&lt;&gt;""""),ROWS(C$5:C2866)),"""")"),"")</f>
        <v/>
      </c>
      <c r="D28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Helper'!$F$5:$F$3004,"""")&lt;&gt;""""),ROWS(D$5:D2866)),"""")"),"")</f>
        <v/>
      </c>
      <c r="E28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Helper'!$F$5:$F$3004,"""")&lt;&gt;""""),ROWS(E$5:E2866)),"""")"),"")</f>
        <v/>
      </c>
      <c r="F28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Helper'!$F$5:$F$3004,"""")&lt;&gt;""""),ROWS(F$5:F2866)),IF(AND(LEFT(x,5)=""Pag"&amp;"e "",ISERROR(SEARCH(""–"",x))),x&amp;""–""&amp;REGEXEXTRACT(x,""[0-9]+$""),x)),"""")"),"")</f>
        <v/>
      </c>
      <c r="G2866" s="163"/>
      <c r="H28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Helper'!$F$5:$F$3004,"""")&lt;&gt;""""),ROWS(H$5:H2866)),"""")"),"")</f>
        <v/>
      </c>
    </row>
    <row r="2867" ht="15.75" customHeight="1">
      <c r="A28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Helper'!$F$5:$F$3004,"""")&lt;&gt;""""),ROWS(A$5:A2867)),"""")"),"")</f>
        <v/>
      </c>
      <c r="B28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Helper'!$F$5:$F$3004,"""")&lt;&gt;""""),ROWS(B$5:B2867)),"""")"),"")</f>
        <v/>
      </c>
      <c r="C28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Helper'!$F$5:$F$3004,"""")&lt;&gt;""""),ROWS(C$5:C2867)),"""")"),"")</f>
        <v/>
      </c>
      <c r="D28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Helper'!$F$5:$F$3004,"""")&lt;&gt;""""),ROWS(D$5:D2867)),"""")"),"")</f>
        <v/>
      </c>
      <c r="E28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Helper'!$F$5:$F$3004,"""")&lt;&gt;""""),ROWS(E$5:E2867)),"""")"),"")</f>
        <v/>
      </c>
      <c r="F28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Helper'!$F$5:$F$3004,"""")&lt;&gt;""""),ROWS(F$5:F2867)),IF(AND(LEFT(x,5)=""Pag"&amp;"e "",ISERROR(SEARCH(""–"",x))),x&amp;""–""&amp;REGEXEXTRACT(x,""[0-9]+$""),x)),"""")"),"")</f>
        <v/>
      </c>
      <c r="G2867" s="163"/>
      <c r="H28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Helper'!$F$5:$F$3004,"""")&lt;&gt;""""),ROWS(H$5:H2867)),"""")"),"")</f>
        <v/>
      </c>
    </row>
    <row r="2868" ht="15.75" customHeight="1">
      <c r="A28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Helper'!$F$5:$F$3004,"""")&lt;&gt;""""),ROWS(A$5:A2868)),"""")"),"")</f>
        <v/>
      </c>
      <c r="B28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Helper'!$F$5:$F$3004,"""")&lt;&gt;""""),ROWS(B$5:B2868)),"""")"),"")</f>
        <v/>
      </c>
      <c r="C28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Helper'!$F$5:$F$3004,"""")&lt;&gt;""""),ROWS(C$5:C2868)),"""")"),"")</f>
        <v/>
      </c>
      <c r="D28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Helper'!$F$5:$F$3004,"""")&lt;&gt;""""),ROWS(D$5:D2868)),"""")"),"")</f>
        <v/>
      </c>
      <c r="E28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Helper'!$F$5:$F$3004,"""")&lt;&gt;""""),ROWS(E$5:E2868)),"""")"),"")</f>
        <v/>
      </c>
      <c r="F28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Helper'!$F$5:$F$3004,"""")&lt;&gt;""""),ROWS(F$5:F2868)),IF(AND(LEFT(x,5)=""Pag"&amp;"e "",ISERROR(SEARCH(""–"",x))),x&amp;""–""&amp;REGEXEXTRACT(x,""[0-9]+$""),x)),"""")"),"")</f>
        <v/>
      </c>
      <c r="G2868" s="163"/>
      <c r="H28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Helper'!$F$5:$F$3004,"""")&lt;&gt;""""),ROWS(H$5:H2868)),"""")"),"")</f>
        <v/>
      </c>
    </row>
    <row r="2869" ht="15.75" customHeight="1">
      <c r="A28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Helper'!$F$5:$F$3004,"""")&lt;&gt;""""),ROWS(A$5:A2869)),"""")"),"")</f>
        <v/>
      </c>
      <c r="B28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Helper'!$F$5:$F$3004,"""")&lt;&gt;""""),ROWS(B$5:B2869)),"""")"),"")</f>
        <v/>
      </c>
      <c r="C28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Helper'!$F$5:$F$3004,"""")&lt;&gt;""""),ROWS(C$5:C2869)),"""")"),"")</f>
        <v/>
      </c>
      <c r="D28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Helper'!$F$5:$F$3004,"""")&lt;&gt;""""),ROWS(D$5:D2869)),"""")"),"")</f>
        <v/>
      </c>
      <c r="E28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Helper'!$F$5:$F$3004,"""")&lt;&gt;""""),ROWS(E$5:E2869)),"""")"),"")</f>
        <v/>
      </c>
      <c r="F28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Helper'!$F$5:$F$3004,"""")&lt;&gt;""""),ROWS(F$5:F2869)),IF(AND(LEFT(x,5)=""Pag"&amp;"e "",ISERROR(SEARCH(""–"",x))),x&amp;""–""&amp;REGEXEXTRACT(x,""[0-9]+$""),x)),"""")"),"")</f>
        <v/>
      </c>
      <c r="G2869" s="163"/>
      <c r="H28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Helper'!$F$5:$F$3004,"""")&lt;&gt;""""),ROWS(H$5:H2869)),"""")"),"")</f>
        <v/>
      </c>
    </row>
    <row r="2870" ht="15.75" customHeight="1">
      <c r="A28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Helper'!$F$5:$F$3004,"""")&lt;&gt;""""),ROWS(A$5:A2870)),"""")"),"")</f>
        <v/>
      </c>
      <c r="B28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Helper'!$F$5:$F$3004,"""")&lt;&gt;""""),ROWS(B$5:B2870)),"""")"),"")</f>
        <v/>
      </c>
      <c r="C28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Helper'!$F$5:$F$3004,"""")&lt;&gt;""""),ROWS(C$5:C2870)),"""")"),"")</f>
        <v/>
      </c>
      <c r="D28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Helper'!$F$5:$F$3004,"""")&lt;&gt;""""),ROWS(D$5:D2870)),"""")"),"")</f>
        <v/>
      </c>
      <c r="E28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Helper'!$F$5:$F$3004,"""")&lt;&gt;""""),ROWS(E$5:E2870)),"""")"),"")</f>
        <v/>
      </c>
      <c r="F28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Helper'!$F$5:$F$3004,"""")&lt;&gt;""""),ROWS(F$5:F2870)),IF(AND(LEFT(x,5)=""Pag"&amp;"e "",ISERROR(SEARCH(""–"",x))),x&amp;""–""&amp;REGEXEXTRACT(x,""[0-9]+$""),x)),"""")"),"")</f>
        <v/>
      </c>
      <c r="G2870" s="163"/>
      <c r="H28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Helper'!$F$5:$F$3004,"""")&lt;&gt;""""),ROWS(H$5:H2870)),"""")"),"")</f>
        <v/>
      </c>
    </row>
    <row r="2871" ht="15.75" customHeight="1">
      <c r="A28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Helper'!$F$5:$F$3004,"""")&lt;&gt;""""),ROWS(A$5:A2871)),"""")"),"")</f>
        <v/>
      </c>
      <c r="B28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Helper'!$F$5:$F$3004,"""")&lt;&gt;""""),ROWS(B$5:B2871)),"""")"),"")</f>
        <v/>
      </c>
      <c r="C28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Helper'!$F$5:$F$3004,"""")&lt;&gt;""""),ROWS(C$5:C2871)),"""")"),"")</f>
        <v/>
      </c>
      <c r="D28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Helper'!$F$5:$F$3004,"""")&lt;&gt;""""),ROWS(D$5:D2871)),"""")"),"")</f>
        <v/>
      </c>
      <c r="E28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Helper'!$F$5:$F$3004,"""")&lt;&gt;""""),ROWS(E$5:E2871)),"""")"),"")</f>
        <v/>
      </c>
      <c r="F28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Helper'!$F$5:$F$3004,"""")&lt;&gt;""""),ROWS(F$5:F2871)),IF(AND(LEFT(x,5)=""Pag"&amp;"e "",ISERROR(SEARCH(""–"",x))),x&amp;""–""&amp;REGEXEXTRACT(x,""[0-9]+$""),x)),"""")"),"")</f>
        <v/>
      </c>
      <c r="G2871" s="163"/>
      <c r="H28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Helper'!$F$5:$F$3004,"""")&lt;&gt;""""),ROWS(H$5:H2871)),"""")"),"")</f>
        <v/>
      </c>
    </row>
    <row r="2872" ht="15.75" customHeight="1">
      <c r="A28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Helper'!$F$5:$F$3004,"""")&lt;&gt;""""),ROWS(A$5:A2872)),"""")"),"")</f>
        <v/>
      </c>
      <c r="B28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Helper'!$F$5:$F$3004,"""")&lt;&gt;""""),ROWS(B$5:B2872)),"""")"),"")</f>
        <v/>
      </c>
      <c r="C28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Helper'!$F$5:$F$3004,"""")&lt;&gt;""""),ROWS(C$5:C2872)),"""")"),"")</f>
        <v/>
      </c>
      <c r="D28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Helper'!$F$5:$F$3004,"""")&lt;&gt;""""),ROWS(D$5:D2872)),"""")"),"")</f>
        <v/>
      </c>
      <c r="E28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Helper'!$F$5:$F$3004,"""")&lt;&gt;""""),ROWS(E$5:E2872)),"""")"),"")</f>
        <v/>
      </c>
      <c r="F28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Helper'!$F$5:$F$3004,"""")&lt;&gt;""""),ROWS(F$5:F2872)),IF(AND(LEFT(x,5)=""Pag"&amp;"e "",ISERROR(SEARCH(""–"",x))),x&amp;""–""&amp;REGEXEXTRACT(x,""[0-9]+$""),x)),"""")"),"")</f>
        <v/>
      </c>
      <c r="G2872" s="163"/>
      <c r="H28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Helper'!$F$5:$F$3004,"""")&lt;&gt;""""),ROWS(H$5:H2872)),"""")"),"")</f>
        <v/>
      </c>
    </row>
    <row r="2873" ht="15.75" customHeight="1">
      <c r="A28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Helper'!$F$5:$F$3004,"""")&lt;&gt;""""),ROWS(A$5:A2873)),"""")"),"")</f>
        <v/>
      </c>
      <c r="B28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Helper'!$F$5:$F$3004,"""")&lt;&gt;""""),ROWS(B$5:B2873)),"""")"),"")</f>
        <v/>
      </c>
      <c r="C28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Helper'!$F$5:$F$3004,"""")&lt;&gt;""""),ROWS(C$5:C2873)),"""")"),"")</f>
        <v/>
      </c>
      <c r="D28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Helper'!$F$5:$F$3004,"""")&lt;&gt;""""),ROWS(D$5:D2873)),"""")"),"")</f>
        <v/>
      </c>
      <c r="E28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Helper'!$F$5:$F$3004,"""")&lt;&gt;""""),ROWS(E$5:E2873)),"""")"),"")</f>
        <v/>
      </c>
      <c r="F28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Helper'!$F$5:$F$3004,"""")&lt;&gt;""""),ROWS(F$5:F2873)),IF(AND(LEFT(x,5)=""Pag"&amp;"e "",ISERROR(SEARCH(""–"",x))),x&amp;""–""&amp;REGEXEXTRACT(x,""[0-9]+$""),x)),"""")"),"")</f>
        <v/>
      </c>
      <c r="G2873" s="163"/>
      <c r="H28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Helper'!$F$5:$F$3004,"""")&lt;&gt;""""),ROWS(H$5:H2873)),"""")"),"")</f>
        <v/>
      </c>
    </row>
    <row r="2874" ht="15.75" customHeight="1">
      <c r="A28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Helper'!$F$5:$F$3004,"""")&lt;&gt;""""),ROWS(A$5:A2874)),"""")"),"")</f>
        <v/>
      </c>
      <c r="B28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Helper'!$F$5:$F$3004,"""")&lt;&gt;""""),ROWS(B$5:B2874)),"""")"),"")</f>
        <v/>
      </c>
      <c r="C28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Helper'!$F$5:$F$3004,"""")&lt;&gt;""""),ROWS(C$5:C2874)),"""")"),"")</f>
        <v/>
      </c>
      <c r="D28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Helper'!$F$5:$F$3004,"""")&lt;&gt;""""),ROWS(D$5:D2874)),"""")"),"")</f>
        <v/>
      </c>
      <c r="E28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Helper'!$F$5:$F$3004,"""")&lt;&gt;""""),ROWS(E$5:E2874)),"""")"),"")</f>
        <v/>
      </c>
      <c r="F28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Helper'!$F$5:$F$3004,"""")&lt;&gt;""""),ROWS(F$5:F2874)),IF(AND(LEFT(x,5)=""Pag"&amp;"e "",ISERROR(SEARCH(""–"",x))),x&amp;""–""&amp;REGEXEXTRACT(x,""[0-9]+$""),x)),"""")"),"")</f>
        <v/>
      </c>
      <c r="G2874" s="163"/>
      <c r="H28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Helper'!$F$5:$F$3004,"""")&lt;&gt;""""),ROWS(H$5:H2874)),"""")"),"")</f>
        <v/>
      </c>
    </row>
    <row r="2875" ht="15.75" customHeight="1">
      <c r="A28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Helper'!$F$5:$F$3004,"""")&lt;&gt;""""),ROWS(A$5:A2875)),"""")"),"")</f>
        <v/>
      </c>
      <c r="B28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Helper'!$F$5:$F$3004,"""")&lt;&gt;""""),ROWS(B$5:B2875)),"""")"),"")</f>
        <v/>
      </c>
      <c r="C28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Helper'!$F$5:$F$3004,"""")&lt;&gt;""""),ROWS(C$5:C2875)),"""")"),"")</f>
        <v/>
      </c>
      <c r="D28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Helper'!$F$5:$F$3004,"""")&lt;&gt;""""),ROWS(D$5:D2875)),"""")"),"")</f>
        <v/>
      </c>
      <c r="E28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Helper'!$F$5:$F$3004,"""")&lt;&gt;""""),ROWS(E$5:E2875)),"""")"),"")</f>
        <v/>
      </c>
      <c r="F28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Helper'!$F$5:$F$3004,"""")&lt;&gt;""""),ROWS(F$5:F2875)),IF(AND(LEFT(x,5)=""Pag"&amp;"e "",ISERROR(SEARCH(""–"",x))),x&amp;""–""&amp;REGEXEXTRACT(x,""[0-9]+$""),x)),"""")"),"")</f>
        <v/>
      </c>
      <c r="G2875" s="163"/>
      <c r="H28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Helper'!$F$5:$F$3004,"""")&lt;&gt;""""),ROWS(H$5:H2875)),"""")"),"")</f>
        <v/>
      </c>
    </row>
    <row r="2876" ht="15.75" customHeight="1">
      <c r="A28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Helper'!$F$5:$F$3004,"""")&lt;&gt;""""),ROWS(A$5:A2876)),"""")"),"")</f>
        <v/>
      </c>
      <c r="B28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Helper'!$F$5:$F$3004,"""")&lt;&gt;""""),ROWS(B$5:B2876)),"""")"),"")</f>
        <v/>
      </c>
      <c r="C28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Helper'!$F$5:$F$3004,"""")&lt;&gt;""""),ROWS(C$5:C2876)),"""")"),"")</f>
        <v/>
      </c>
      <c r="D28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Helper'!$F$5:$F$3004,"""")&lt;&gt;""""),ROWS(D$5:D2876)),"""")"),"")</f>
        <v/>
      </c>
      <c r="E28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Helper'!$F$5:$F$3004,"""")&lt;&gt;""""),ROWS(E$5:E2876)),"""")"),"")</f>
        <v/>
      </c>
      <c r="F28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Helper'!$F$5:$F$3004,"""")&lt;&gt;""""),ROWS(F$5:F2876)),IF(AND(LEFT(x,5)=""Pag"&amp;"e "",ISERROR(SEARCH(""–"",x))),x&amp;""–""&amp;REGEXEXTRACT(x,""[0-9]+$""),x)),"""")"),"")</f>
        <v/>
      </c>
      <c r="G2876" s="163"/>
      <c r="H28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Helper'!$F$5:$F$3004,"""")&lt;&gt;""""),ROWS(H$5:H2876)),"""")"),"")</f>
        <v/>
      </c>
    </row>
    <row r="2877" ht="15.75" customHeight="1">
      <c r="A28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Helper'!$F$5:$F$3004,"""")&lt;&gt;""""),ROWS(A$5:A2877)),"""")"),"")</f>
        <v/>
      </c>
      <c r="B28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Helper'!$F$5:$F$3004,"""")&lt;&gt;""""),ROWS(B$5:B2877)),"""")"),"")</f>
        <v/>
      </c>
      <c r="C28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Helper'!$F$5:$F$3004,"""")&lt;&gt;""""),ROWS(C$5:C2877)),"""")"),"")</f>
        <v/>
      </c>
      <c r="D28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Helper'!$F$5:$F$3004,"""")&lt;&gt;""""),ROWS(D$5:D2877)),"""")"),"")</f>
        <v/>
      </c>
      <c r="E28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Helper'!$F$5:$F$3004,"""")&lt;&gt;""""),ROWS(E$5:E2877)),"""")"),"")</f>
        <v/>
      </c>
      <c r="F28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Helper'!$F$5:$F$3004,"""")&lt;&gt;""""),ROWS(F$5:F2877)),IF(AND(LEFT(x,5)=""Pag"&amp;"e "",ISERROR(SEARCH(""–"",x))),x&amp;""–""&amp;REGEXEXTRACT(x,""[0-9]+$""),x)),"""")"),"")</f>
        <v/>
      </c>
      <c r="G2877" s="163"/>
      <c r="H28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Helper'!$F$5:$F$3004,"""")&lt;&gt;""""),ROWS(H$5:H2877)),"""")"),"")</f>
        <v/>
      </c>
    </row>
    <row r="2878" ht="15.75" customHeight="1">
      <c r="A28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Helper'!$F$5:$F$3004,"""")&lt;&gt;""""),ROWS(A$5:A2878)),"""")"),"")</f>
        <v/>
      </c>
      <c r="B28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Helper'!$F$5:$F$3004,"""")&lt;&gt;""""),ROWS(B$5:B2878)),"""")"),"")</f>
        <v/>
      </c>
      <c r="C28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Helper'!$F$5:$F$3004,"""")&lt;&gt;""""),ROWS(C$5:C2878)),"""")"),"")</f>
        <v/>
      </c>
      <c r="D28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Helper'!$F$5:$F$3004,"""")&lt;&gt;""""),ROWS(D$5:D2878)),"""")"),"")</f>
        <v/>
      </c>
      <c r="E28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Helper'!$F$5:$F$3004,"""")&lt;&gt;""""),ROWS(E$5:E2878)),"""")"),"")</f>
        <v/>
      </c>
      <c r="F28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Helper'!$F$5:$F$3004,"""")&lt;&gt;""""),ROWS(F$5:F2878)),IF(AND(LEFT(x,5)=""Pag"&amp;"e "",ISERROR(SEARCH(""–"",x))),x&amp;""–""&amp;REGEXEXTRACT(x,""[0-9]+$""),x)),"""")"),"")</f>
        <v/>
      </c>
      <c r="G2878" s="163"/>
      <c r="H28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Helper'!$F$5:$F$3004,"""")&lt;&gt;""""),ROWS(H$5:H2878)),"""")"),"")</f>
        <v/>
      </c>
    </row>
    <row r="2879" ht="15.75" customHeight="1">
      <c r="A28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Helper'!$F$5:$F$3004,"""")&lt;&gt;""""),ROWS(A$5:A2879)),"""")"),"")</f>
        <v/>
      </c>
      <c r="B28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Helper'!$F$5:$F$3004,"""")&lt;&gt;""""),ROWS(B$5:B2879)),"""")"),"")</f>
        <v/>
      </c>
      <c r="C28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Helper'!$F$5:$F$3004,"""")&lt;&gt;""""),ROWS(C$5:C2879)),"""")"),"")</f>
        <v/>
      </c>
      <c r="D28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Helper'!$F$5:$F$3004,"""")&lt;&gt;""""),ROWS(D$5:D2879)),"""")"),"")</f>
        <v/>
      </c>
      <c r="E28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Helper'!$F$5:$F$3004,"""")&lt;&gt;""""),ROWS(E$5:E2879)),"""")"),"")</f>
        <v/>
      </c>
      <c r="F28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Helper'!$F$5:$F$3004,"""")&lt;&gt;""""),ROWS(F$5:F2879)),IF(AND(LEFT(x,5)=""Pag"&amp;"e "",ISERROR(SEARCH(""–"",x))),x&amp;""–""&amp;REGEXEXTRACT(x,""[0-9]+$""),x)),"""")"),"")</f>
        <v/>
      </c>
      <c r="G2879" s="163"/>
      <c r="H28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Helper'!$F$5:$F$3004,"""")&lt;&gt;""""),ROWS(H$5:H2879)),"""")"),"")</f>
        <v/>
      </c>
    </row>
    <row r="2880" ht="15.75" customHeight="1">
      <c r="A28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Helper'!$F$5:$F$3004,"""")&lt;&gt;""""),ROWS(A$5:A2880)),"""")"),"")</f>
        <v/>
      </c>
      <c r="B28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Helper'!$F$5:$F$3004,"""")&lt;&gt;""""),ROWS(B$5:B2880)),"""")"),"")</f>
        <v/>
      </c>
      <c r="C28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Helper'!$F$5:$F$3004,"""")&lt;&gt;""""),ROWS(C$5:C2880)),"""")"),"")</f>
        <v/>
      </c>
      <c r="D28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Helper'!$F$5:$F$3004,"""")&lt;&gt;""""),ROWS(D$5:D2880)),"""")"),"")</f>
        <v/>
      </c>
      <c r="E28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Helper'!$F$5:$F$3004,"""")&lt;&gt;""""),ROWS(E$5:E2880)),"""")"),"")</f>
        <v/>
      </c>
      <c r="F28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Helper'!$F$5:$F$3004,"""")&lt;&gt;""""),ROWS(F$5:F2880)),IF(AND(LEFT(x,5)=""Pag"&amp;"e "",ISERROR(SEARCH(""–"",x))),x&amp;""–""&amp;REGEXEXTRACT(x,""[0-9]+$""),x)),"""")"),"")</f>
        <v/>
      </c>
      <c r="G2880" s="163"/>
      <c r="H28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Helper'!$F$5:$F$3004,"""")&lt;&gt;""""),ROWS(H$5:H2880)),"""")"),"")</f>
        <v/>
      </c>
    </row>
    <row r="2881" ht="15.75" customHeight="1">
      <c r="A28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Helper'!$F$5:$F$3004,"""")&lt;&gt;""""),ROWS(A$5:A2881)),"""")"),"")</f>
        <v/>
      </c>
      <c r="B28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Helper'!$F$5:$F$3004,"""")&lt;&gt;""""),ROWS(B$5:B2881)),"""")"),"")</f>
        <v/>
      </c>
      <c r="C28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Helper'!$F$5:$F$3004,"""")&lt;&gt;""""),ROWS(C$5:C2881)),"""")"),"")</f>
        <v/>
      </c>
      <c r="D28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Helper'!$F$5:$F$3004,"""")&lt;&gt;""""),ROWS(D$5:D2881)),"""")"),"")</f>
        <v/>
      </c>
      <c r="E28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Helper'!$F$5:$F$3004,"""")&lt;&gt;""""),ROWS(E$5:E2881)),"""")"),"")</f>
        <v/>
      </c>
      <c r="F28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Helper'!$F$5:$F$3004,"""")&lt;&gt;""""),ROWS(F$5:F2881)),IF(AND(LEFT(x,5)=""Pag"&amp;"e "",ISERROR(SEARCH(""–"",x))),x&amp;""–""&amp;REGEXEXTRACT(x,""[0-9]+$""),x)),"""")"),"")</f>
        <v/>
      </c>
      <c r="G2881" s="163"/>
      <c r="H28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Helper'!$F$5:$F$3004,"""")&lt;&gt;""""),ROWS(H$5:H2881)),"""")"),"")</f>
        <v/>
      </c>
    </row>
    <row r="2882" ht="15.75" customHeight="1">
      <c r="A28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Helper'!$F$5:$F$3004,"""")&lt;&gt;""""),ROWS(A$5:A2882)),"""")"),"")</f>
        <v/>
      </c>
      <c r="B28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Helper'!$F$5:$F$3004,"""")&lt;&gt;""""),ROWS(B$5:B2882)),"""")"),"")</f>
        <v/>
      </c>
      <c r="C28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Helper'!$F$5:$F$3004,"""")&lt;&gt;""""),ROWS(C$5:C2882)),"""")"),"")</f>
        <v/>
      </c>
      <c r="D28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Helper'!$F$5:$F$3004,"""")&lt;&gt;""""),ROWS(D$5:D2882)),"""")"),"")</f>
        <v/>
      </c>
      <c r="E28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Helper'!$F$5:$F$3004,"""")&lt;&gt;""""),ROWS(E$5:E2882)),"""")"),"")</f>
        <v/>
      </c>
      <c r="F28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Helper'!$F$5:$F$3004,"""")&lt;&gt;""""),ROWS(F$5:F2882)),IF(AND(LEFT(x,5)=""Pag"&amp;"e "",ISERROR(SEARCH(""–"",x))),x&amp;""–""&amp;REGEXEXTRACT(x,""[0-9]+$""),x)),"""")"),"")</f>
        <v/>
      </c>
      <c r="G2882" s="163"/>
      <c r="H28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Helper'!$F$5:$F$3004,"""")&lt;&gt;""""),ROWS(H$5:H2882)),"""")"),"")</f>
        <v/>
      </c>
    </row>
    <row r="2883" ht="15.75" customHeight="1">
      <c r="A28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Helper'!$F$5:$F$3004,"""")&lt;&gt;""""),ROWS(A$5:A2883)),"""")"),"")</f>
        <v/>
      </c>
      <c r="B28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Helper'!$F$5:$F$3004,"""")&lt;&gt;""""),ROWS(B$5:B2883)),"""")"),"")</f>
        <v/>
      </c>
      <c r="C28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Helper'!$F$5:$F$3004,"""")&lt;&gt;""""),ROWS(C$5:C2883)),"""")"),"")</f>
        <v/>
      </c>
      <c r="D28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Helper'!$F$5:$F$3004,"""")&lt;&gt;""""),ROWS(D$5:D2883)),"""")"),"")</f>
        <v/>
      </c>
      <c r="E28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Helper'!$F$5:$F$3004,"""")&lt;&gt;""""),ROWS(E$5:E2883)),"""")"),"")</f>
        <v/>
      </c>
      <c r="F28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Helper'!$F$5:$F$3004,"""")&lt;&gt;""""),ROWS(F$5:F2883)),IF(AND(LEFT(x,5)=""Pag"&amp;"e "",ISERROR(SEARCH(""–"",x))),x&amp;""–""&amp;REGEXEXTRACT(x,""[0-9]+$""),x)),"""")"),"")</f>
        <v/>
      </c>
      <c r="G2883" s="163"/>
      <c r="H28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Helper'!$F$5:$F$3004,"""")&lt;&gt;""""),ROWS(H$5:H2883)),"""")"),"")</f>
        <v/>
      </c>
    </row>
    <row r="2884" ht="15.75" customHeight="1">
      <c r="A28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Helper'!$F$5:$F$3004,"""")&lt;&gt;""""),ROWS(A$5:A2884)),"""")"),"")</f>
        <v/>
      </c>
      <c r="B28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Helper'!$F$5:$F$3004,"""")&lt;&gt;""""),ROWS(B$5:B2884)),"""")"),"")</f>
        <v/>
      </c>
      <c r="C28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Helper'!$F$5:$F$3004,"""")&lt;&gt;""""),ROWS(C$5:C2884)),"""")"),"")</f>
        <v/>
      </c>
      <c r="D28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Helper'!$F$5:$F$3004,"""")&lt;&gt;""""),ROWS(D$5:D2884)),"""")"),"")</f>
        <v/>
      </c>
      <c r="E28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Helper'!$F$5:$F$3004,"""")&lt;&gt;""""),ROWS(E$5:E2884)),"""")"),"")</f>
        <v/>
      </c>
      <c r="F28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Helper'!$F$5:$F$3004,"""")&lt;&gt;""""),ROWS(F$5:F2884)),IF(AND(LEFT(x,5)=""Pag"&amp;"e "",ISERROR(SEARCH(""–"",x))),x&amp;""–""&amp;REGEXEXTRACT(x,""[0-9]+$""),x)),"""")"),"")</f>
        <v/>
      </c>
      <c r="G2884" s="163"/>
      <c r="H28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Helper'!$F$5:$F$3004,"""")&lt;&gt;""""),ROWS(H$5:H2884)),"""")"),"")</f>
        <v/>
      </c>
    </row>
    <row r="2885" ht="15.75" customHeight="1">
      <c r="A28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Helper'!$F$5:$F$3004,"""")&lt;&gt;""""),ROWS(A$5:A2885)),"""")"),"")</f>
        <v/>
      </c>
      <c r="B28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Helper'!$F$5:$F$3004,"""")&lt;&gt;""""),ROWS(B$5:B2885)),"""")"),"")</f>
        <v/>
      </c>
      <c r="C28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Helper'!$F$5:$F$3004,"""")&lt;&gt;""""),ROWS(C$5:C2885)),"""")"),"")</f>
        <v/>
      </c>
      <c r="D28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Helper'!$F$5:$F$3004,"""")&lt;&gt;""""),ROWS(D$5:D2885)),"""")"),"")</f>
        <v/>
      </c>
      <c r="E28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Helper'!$F$5:$F$3004,"""")&lt;&gt;""""),ROWS(E$5:E2885)),"""")"),"")</f>
        <v/>
      </c>
      <c r="F28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Helper'!$F$5:$F$3004,"""")&lt;&gt;""""),ROWS(F$5:F2885)),IF(AND(LEFT(x,5)=""Pag"&amp;"e "",ISERROR(SEARCH(""–"",x))),x&amp;""–""&amp;REGEXEXTRACT(x,""[0-9]+$""),x)),"""")"),"")</f>
        <v/>
      </c>
      <c r="G2885" s="163"/>
      <c r="H28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Helper'!$F$5:$F$3004,"""")&lt;&gt;""""),ROWS(H$5:H2885)),"""")"),"")</f>
        <v/>
      </c>
    </row>
    <row r="2886" ht="15.75" customHeight="1">
      <c r="A28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Helper'!$F$5:$F$3004,"""")&lt;&gt;""""),ROWS(A$5:A2886)),"""")"),"")</f>
        <v/>
      </c>
      <c r="B28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Helper'!$F$5:$F$3004,"""")&lt;&gt;""""),ROWS(B$5:B2886)),"""")"),"")</f>
        <v/>
      </c>
      <c r="C28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Helper'!$F$5:$F$3004,"""")&lt;&gt;""""),ROWS(C$5:C2886)),"""")"),"")</f>
        <v/>
      </c>
      <c r="D28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Helper'!$F$5:$F$3004,"""")&lt;&gt;""""),ROWS(D$5:D2886)),"""")"),"")</f>
        <v/>
      </c>
      <c r="E28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Helper'!$F$5:$F$3004,"""")&lt;&gt;""""),ROWS(E$5:E2886)),"""")"),"")</f>
        <v/>
      </c>
      <c r="F28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Helper'!$F$5:$F$3004,"""")&lt;&gt;""""),ROWS(F$5:F2886)),IF(AND(LEFT(x,5)=""Pag"&amp;"e "",ISERROR(SEARCH(""–"",x))),x&amp;""–""&amp;REGEXEXTRACT(x,""[0-9]+$""),x)),"""")"),"")</f>
        <v/>
      </c>
      <c r="G2886" s="163"/>
      <c r="H28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Helper'!$F$5:$F$3004,"""")&lt;&gt;""""),ROWS(H$5:H2886)),"""")"),"")</f>
        <v/>
      </c>
    </row>
    <row r="2887" ht="15.75" customHeight="1">
      <c r="A28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Helper'!$F$5:$F$3004,"""")&lt;&gt;""""),ROWS(A$5:A2887)),"""")"),"")</f>
        <v/>
      </c>
      <c r="B28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Helper'!$F$5:$F$3004,"""")&lt;&gt;""""),ROWS(B$5:B2887)),"""")"),"")</f>
        <v/>
      </c>
      <c r="C28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Helper'!$F$5:$F$3004,"""")&lt;&gt;""""),ROWS(C$5:C2887)),"""")"),"")</f>
        <v/>
      </c>
      <c r="D28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Helper'!$F$5:$F$3004,"""")&lt;&gt;""""),ROWS(D$5:D2887)),"""")"),"")</f>
        <v/>
      </c>
      <c r="E28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Helper'!$F$5:$F$3004,"""")&lt;&gt;""""),ROWS(E$5:E2887)),"""")"),"")</f>
        <v/>
      </c>
      <c r="F28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Helper'!$F$5:$F$3004,"""")&lt;&gt;""""),ROWS(F$5:F2887)),IF(AND(LEFT(x,5)=""Pag"&amp;"e "",ISERROR(SEARCH(""–"",x))),x&amp;""–""&amp;REGEXEXTRACT(x,""[0-9]+$""),x)),"""")"),"")</f>
        <v/>
      </c>
      <c r="G2887" s="163"/>
      <c r="H28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Helper'!$F$5:$F$3004,"""")&lt;&gt;""""),ROWS(H$5:H2887)),"""")"),"")</f>
        <v/>
      </c>
    </row>
    <row r="2888" ht="15.75" customHeight="1">
      <c r="A28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Helper'!$F$5:$F$3004,"""")&lt;&gt;""""),ROWS(A$5:A2888)),"""")"),"")</f>
        <v/>
      </c>
      <c r="B28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Helper'!$F$5:$F$3004,"""")&lt;&gt;""""),ROWS(B$5:B2888)),"""")"),"")</f>
        <v/>
      </c>
      <c r="C28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Helper'!$F$5:$F$3004,"""")&lt;&gt;""""),ROWS(C$5:C2888)),"""")"),"")</f>
        <v/>
      </c>
      <c r="D28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Helper'!$F$5:$F$3004,"""")&lt;&gt;""""),ROWS(D$5:D2888)),"""")"),"")</f>
        <v/>
      </c>
      <c r="E28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Helper'!$F$5:$F$3004,"""")&lt;&gt;""""),ROWS(E$5:E2888)),"""")"),"")</f>
        <v/>
      </c>
      <c r="F28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Helper'!$F$5:$F$3004,"""")&lt;&gt;""""),ROWS(F$5:F2888)),IF(AND(LEFT(x,5)=""Pag"&amp;"e "",ISERROR(SEARCH(""–"",x))),x&amp;""–""&amp;REGEXEXTRACT(x,""[0-9]+$""),x)),"""")"),"")</f>
        <v/>
      </c>
      <c r="G2888" s="163"/>
      <c r="H28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Helper'!$F$5:$F$3004,"""")&lt;&gt;""""),ROWS(H$5:H2888)),"""")"),"")</f>
        <v/>
      </c>
    </row>
    <row r="2889" ht="15.75" customHeight="1">
      <c r="A28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Helper'!$F$5:$F$3004,"""")&lt;&gt;""""),ROWS(A$5:A2889)),"""")"),"")</f>
        <v/>
      </c>
      <c r="B28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Helper'!$F$5:$F$3004,"""")&lt;&gt;""""),ROWS(B$5:B2889)),"""")"),"")</f>
        <v/>
      </c>
      <c r="C28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Helper'!$F$5:$F$3004,"""")&lt;&gt;""""),ROWS(C$5:C2889)),"""")"),"")</f>
        <v/>
      </c>
      <c r="D28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Helper'!$F$5:$F$3004,"""")&lt;&gt;""""),ROWS(D$5:D2889)),"""")"),"")</f>
        <v/>
      </c>
      <c r="E28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Helper'!$F$5:$F$3004,"""")&lt;&gt;""""),ROWS(E$5:E2889)),"""")"),"")</f>
        <v/>
      </c>
      <c r="F28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Helper'!$F$5:$F$3004,"""")&lt;&gt;""""),ROWS(F$5:F2889)),IF(AND(LEFT(x,5)=""Pag"&amp;"e "",ISERROR(SEARCH(""–"",x))),x&amp;""–""&amp;REGEXEXTRACT(x,""[0-9]+$""),x)),"""")"),"")</f>
        <v/>
      </c>
      <c r="G2889" s="163"/>
      <c r="H28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Helper'!$F$5:$F$3004,"""")&lt;&gt;""""),ROWS(H$5:H2889)),"""")"),"")</f>
        <v/>
      </c>
    </row>
    <row r="2890" ht="15.75" customHeight="1">
      <c r="A28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Helper'!$F$5:$F$3004,"""")&lt;&gt;""""),ROWS(A$5:A2890)),"""")"),"")</f>
        <v/>
      </c>
      <c r="B28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Helper'!$F$5:$F$3004,"""")&lt;&gt;""""),ROWS(B$5:B2890)),"""")"),"")</f>
        <v/>
      </c>
      <c r="C28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Helper'!$F$5:$F$3004,"""")&lt;&gt;""""),ROWS(C$5:C2890)),"""")"),"")</f>
        <v/>
      </c>
      <c r="D28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Helper'!$F$5:$F$3004,"""")&lt;&gt;""""),ROWS(D$5:D2890)),"""")"),"")</f>
        <v/>
      </c>
      <c r="E28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Helper'!$F$5:$F$3004,"""")&lt;&gt;""""),ROWS(E$5:E2890)),"""")"),"")</f>
        <v/>
      </c>
      <c r="F28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Helper'!$F$5:$F$3004,"""")&lt;&gt;""""),ROWS(F$5:F2890)),IF(AND(LEFT(x,5)=""Pag"&amp;"e "",ISERROR(SEARCH(""–"",x))),x&amp;""–""&amp;REGEXEXTRACT(x,""[0-9]+$""),x)),"""")"),"")</f>
        <v/>
      </c>
      <c r="G2890" s="163"/>
      <c r="H28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Helper'!$F$5:$F$3004,"""")&lt;&gt;""""),ROWS(H$5:H2890)),"""")"),"")</f>
        <v/>
      </c>
    </row>
    <row r="2891" ht="15.75" customHeight="1">
      <c r="A28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Helper'!$F$5:$F$3004,"""")&lt;&gt;""""),ROWS(A$5:A2891)),"""")"),"")</f>
        <v/>
      </c>
      <c r="B28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Helper'!$F$5:$F$3004,"""")&lt;&gt;""""),ROWS(B$5:B2891)),"""")"),"")</f>
        <v/>
      </c>
      <c r="C28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Helper'!$F$5:$F$3004,"""")&lt;&gt;""""),ROWS(C$5:C2891)),"""")"),"")</f>
        <v/>
      </c>
      <c r="D28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Helper'!$F$5:$F$3004,"""")&lt;&gt;""""),ROWS(D$5:D2891)),"""")"),"")</f>
        <v/>
      </c>
      <c r="E28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Helper'!$F$5:$F$3004,"""")&lt;&gt;""""),ROWS(E$5:E2891)),"""")"),"")</f>
        <v/>
      </c>
      <c r="F28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Helper'!$F$5:$F$3004,"""")&lt;&gt;""""),ROWS(F$5:F2891)),IF(AND(LEFT(x,5)=""Pag"&amp;"e "",ISERROR(SEARCH(""–"",x))),x&amp;""–""&amp;REGEXEXTRACT(x,""[0-9]+$""),x)),"""")"),"")</f>
        <v/>
      </c>
      <c r="G2891" s="163"/>
      <c r="H28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Helper'!$F$5:$F$3004,"""")&lt;&gt;""""),ROWS(H$5:H2891)),"""")"),"")</f>
        <v/>
      </c>
    </row>
    <row r="2892" ht="15.75" customHeight="1">
      <c r="A28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Helper'!$F$5:$F$3004,"""")&lt;&gt;""""),ROWS(A$5:A2892)),"""")"),"")</f>
        <v/>
      </c>
      <c r="B28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Helper'!$F$5:$F$3004,"""")&lt;&gt;""""),ROWS(B$5:B2892)),"""")"),"")</f>
        <v/>
      </c>
      <c r="C28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Helper'!$F$5:$F$3004,"""")&lt;&gt;""""),ROWS(C$5:C2892)),"""")"),"")</f>
        <v/>
      </c>
      <c r="D28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Helper'!$F$5:$F$3004,"""")&lt;&gt;""""),ROWS(D$5:D2892)),"""")"),"")</f>
        <v/>
      </c>
      <c r="E28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Helper'!$F$5:$F$3004,"""")&lt;&gt;""""),ROWS(E$5:E2892)),"""")"),"")</f>
        <v/>
      </c>
      <c r="F28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Helper'!$F$5:$F$3004,"""")&lt;&gt;""""),ROWS(F$5:F2892)),IF(AND(LEFT(x,5)=""Pag"&amp;"e "",ISERROR(SEARCH(""–"",x))),x&amp;""–""&amp;REGEXEXTRACT(x,""[0-9]+$""),x)),"""")"),"")</f>
        <v/>
      </c>
      <c r="G2892" s="163"/>
      <c r="H28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Helper'!$F$5:$F$3004,"""")&lt;&gt;""""),ROWS(H$5:H2892)),"""")"),"")</f>
        <v/>
      </c>
    </row>
    <row r="2893" ht="15.75" customHeight="1">
      <c r="A28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Helper'!$F$5:$F$3004,"""")&lt;&gt;""""),ROWS(A$5:A2893)),"""")"),"")</f>
        <v/>
      </c>
      <c r="B28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Helper'!$F$5:$F$3004,"""")&lt;&gt;""""),ROWS(B$5:B2893)),"""")"),"")</f>
        <v/>
      </c>
      <c r="C28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Helper'!$F$5:$F$3004,"""")&lt;&gt;""""),ROWS(C$5:C2893)),"""")"),"")</f>
        <v/>
      </c>
      <c r="D28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Helper'!$F$5:$F$3004,"""")&lt;&gt;""""),ROWS(D$5:D2893)),"""")"),"")</f>
        <v/>
      </c>
      <c r="E28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Helper'!$F$5:$F$3004,"""")&lt;&gt;""""),ROWS(E$5:E2893)),"""")"),"")</f>
        <v/>
      </c>
      <c r="F28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Helper'!$F$5:$F$3004,"""")&lt;&gt;""""),ROWS(F$5:F2893)),IF(AND(LEFT(x,5)=""Pag"&amp;"e "",ISERROR(SEARCH(""–"",x))),x&amp;""–""&amp;REGEXEXTRACT(x,""[0-9]+$""),x)),"""")"),"")</f>
        <v/>
      </c>
      <c r="G2893" s="163"/>
      <c r="H28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Helper'!$F$5:$F$3004,"""")&lt;&gt;""""),ROWS(H$5:H2893)),"""")"),"")</f>
        <v/>
      </c>
    </row>
    <row r="2894" ht="15.75" customHeight="1">
      <c r="A28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Helper'!$F$5:$F$3004,"""")&lt;&gt;""""),ROWS(A$5:A2894)),"""")"),"")</f>
        <v/>
      </c>
      <c r="B28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Helper'!$F$5:$F$3004,"""")&lt;&gt;""""),ROWS(B$5:B2894)),"""")"),"")</f>
        <v/>
      </c>
      <c r="C28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Helper'!$F$5:$F$3004,"""")&lt;&gt;""""),ROWS(C$5:C2894)),"""")"),"")</f>
        <v/>
      </c>
      <c r="D28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Helper'!$F$5:$F$3004,"""")&lt;&gt;""""),ROWS(D$5:D2894)),"""")"),"")</f>
        <v/>
      </c>
      <c r="E28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Helper'!$F$5:$F$3004,"""")&lt;&gt;""""),ROWS(E$5:E2894)),"""")"),"")</f>
        <v/>
      </c>
      <c r="F28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Helper'!$F$5:$F$3004,"""")&lt;&gt;""""),ROWS(F$5:F2894)),IF(AND(LEFT(x,5)=""Pag"&amp;"e "",ISERROR(SEARCH(""–"",x))),x&amp;""–""&amp;REGEXEXTRACT(x,""[0-9]+$""),x)),"""")"),"")</f>
        <v/>
      </c>
      <c r="G2894" s="163"/>
      <c r="H28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Helper'!$F$5:$F$3004,"""")&lt;&gt;""""),ROWS(H$5:H2894)),"""")"),"")</f>
        <v/>
      </c>
    </row>
    <row r="2895" ht="15.75" customHeight="1">
      <c r="A28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Helper'!$F$5:$F$3004,"""")&lt;&gt;""""),ROWS(A$5:A2895)),"""")"),"")</f>
        <v/>
      </c>
      <c r="B28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Helper'!$F$5:$F$3004,"""")&lt;&gt;""""),ROWS(B$5:B2895)),"""")"),"")</f>
        <v/>
      </c>
      <c r="C28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Helper'!$F$5:$F$3004,"""")&lt;&gt;""""),ROWS(C$5:C2895)),"""")"),"")</f>
        <v/>
      </c>
      <c r="D28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Helper'!$F$5:$F$3004,"""")&lt;&gt;""""),ROWS(D$5:D2895)),"""")"),"")</f>
        <v/>
      </c>
      <c r="E28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Helper'!$F$5:$F$3004,"""")&lt;&gt;""""),ROWS(E$5:E2895)),"""")"),"")</f>
        <v/>
      </c>
      <c r="F28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Helper'!$F$5:$F$3004,"""")&lt;&gt;""""),ROWS(F$5:F2895)),IF(AND(LEFT(x,5)=""Pag"&amp;"e "",ISERROR(SEARCH(""–"",x))),x&amp;""–""&amp;REGEXEXTRACT(x,""[0-9]+$""),x)),"""")"),"")</f>
        <v/>
      </c>
      <c r="G2895" s="163"/>
      <c r="H28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Helper'!$F$5:$F$3004,"""")&lt;&gt;""""),ROWS(H$5:H2895)),"""")"),"")</f>
        <v/>
      </c>
    </row>
    <row r="2896" ht="15.75" customHeight="1">
      <c r="A28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Helper'!$F$5:$F$3004,"""")&lt;&gt;""""),ROWS(A$5:A2896)),"""")"),"")</f>
        <v/>
      </c>
      <c r="B28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Helper'!$F$5:$F$3004,"""")&lt;&gt;""""),ROWS(B$5:B2896)),"""")"),"")</f>
        <v/>
      </c>
      <c r="C28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Helper'!$F$5:$F$3004,"""")&lt;&gt;""""),ROWS(C$5:C2896)),"""")"),"")</f>
        <v/>
      </c>
      <c r="D28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Helper'!$F$5:$F$3004,"""")&lt;&gt;""""),ROWS(D$5:D2896)),"""")"),"")</f>
        <v/>
      </c>
      <c r="E28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Helper'!$F$5:$F$3004,"""")&lt;&gt;""""),ROWS(E$5:E2896)),"""")"),"")</f>
        <v/>
      </c>
      <c r="F28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Helper'!$F$5:$F$3004,"""")&lt;&gt;""""),ROWS(F$5:F2896)),IF(AND(LEFT(x,5)=""Pag"&amp;"e "",ISERROR(SEARCH(""–"",x))),x&amp;""–""&amp;REGEXEXTRACT(x,""[0-9]+$""),x)),"""")"),"")</f>
        <v/>
      </c>
      <c r="G2896" s="163"/>
      <c r="H28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Helper'!$F$5:$F$3004,"""")&lt;&gt;""""),ROWS(H$5:H2896)),"""")"),"")</f>
        <v/>
      </c>
    </row>
    <row r="2897" ht="15.75" customHeight="1">
      <c r="A28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Helper'!$F$5:$F$3004,"""")&lt;&gt;""""),ROWS(A$5:A2897)),"""")"),"")</f>
        <v/>
      </c>
      <c r="B28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Helper'!$F$5:$F$3004,"""")&lt;&gt;""""),ROWS(B$5:B2897)),"""")"),"")</f>
        <v/>
      </c>
      <c r="C28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Helper'!$F$5:$F$3004,"""")&lt;&gt;""""),ROWS(C$5:C2897)),"""")"),"")</f>
        <v/>
      </c>
      <c r="D28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Helper'!$F$5:$F$3004,"""")&lt;&gt;""""),ROWS(D$5:D2897)),"""")"),"")</f>
        <v/>
      </c>
      <c r="E28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Helper'!$F$5:$F$3004,"""")&lt;&gt;""""),ROWS(E$5:E2897)),"""")"),"")</f>
        <v/>
      </c>
      <c r="F28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Helper'!$F$5:$F$3004,"""")&lt;&gt;""""),ROWS(F$5:F2897)),IF(AND(LEFT(x,5)=""Pag"&amp;"e "",ISERROR(SEARCH(""–"",x))),x&amp;""–""&amp;REGEXEXTRACT(x,""[0-9]+$""),x)),"""")"),"")</f>
        <v/>
      </c>
      <c r="G2897" s="163"/>
      <c r="H28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Helper'!$F$5:$F$3004,"""")&lt;&gt;""""),ROWS(H$5:H2897)),"""")"),"")</f>
        <v/>
      </c>
    </row>
    <row r="2898" ht="15.75" customHeight="1">
      <c r="A28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Helper'!$F$5:$F$3004,"""")&lt;&gt;""""),ROWS(A$5:A2898)),"""")"),"")</f>
        <v/>
      </c>
      <c r="B28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Helper'!$F$5:$F$3004,"""")&lt;&gt;""""),ROWS(B$5:B2898)),"""")"),"")</f>
        <v/>
      </c>
      <c r="C28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Helper'!$F$5:$F$3004,"""")&lt;&gt;""""),ROWS(C$5:C2898)),"""")"),"")</f>
        <v/>
      </c>
      <c r="D28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Helper'!$F$5:$F$3004,"""")&lt;&gt;""""),ROWS(D$5:D2898)),"""")"),"")</f>
        <v/>
      </c>
      <c r="E28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Helper'!$F$5:$F$3004,"""")&lt;&gt;""""),ROWS(E$5:E2898)),"""")"),"")</f>
        <v/>
      </c>
      <c r="F28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Helper'!$F$5:$F$3004,"""")&lt;&gt;""""),ROWS(F$5:F2898)),IF(AND(LEFT(x,5)=""Pag"&amp;"e "",ISERROR(SEARCH(""–"",x))),x&amp;""–""&amp;REGEXEXTRACT(x,""[0-9]+$""),x)),"""")"),"")</f>
        <v/>
      </c>
      <c r="G2898" s="163"/>
      <c r="H28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Helper'!$F$5:$F$3004,"""")&lt;&gt;""""),ROWS(H$5:H2898)),"""")"),"")</f>
        <v/>
      </c>
    </row>
    <row r="2899" ht="15.75" customHeight="1">
      <c r="A28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Helper'!$F$5:$F$3004,"""")&lt;&gt;""""),ROWS(A$5:A2899)),"""")"),"")</f>
        <v/>
      </c>
      <c r="B28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Helper'!$F$5:$F$3004,"""")&lt;&gt;""""),ROWS(B$5:B2899)),"""")"),"")</f>
        <v/>
      </c>
      <c r="C28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Helper'!$F$5:$F$3004,"""")&lt;&gt;""""),ROWS(C$5:C2899)),"""")"),"")</f>
        <v/>
      </c>
      <c r="D28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Helper'!$F$5:$F$3004,"""")&lt;&gt;""""),ROWS(D$5:D2899)),"""")"),"")</f>
        <v/>
      </c>
      <c r="E28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Helper'!$F$5:$F$3004,"""")&lt;&gt;""""),ROWS(E$5:E2899)),"""")"),"")</f>
        <v/>
      </c>
      <c r="F28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Helper'!$F$5:$F$3004,"""")&lt;&gt;""""),ROWS(F$5:F2899)),IF(AND(LEFT(x,5)=""Pag"&amp;"e "",ISERROR(SEARCH(""–"",x))),x&amp;""–""&amp;REGEXEXTRACT(x,""[0-9]+$""),x)),"""")"),"")</f>
        <v/>
      </c>
      <c r="G2899" s="163"/>
      <c r="H28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Helper'!$F$5:$F$3004,"""")&lt;&gt;""""),ROWS(H$5:H2899)),"""")"),"")</f>
        <v/>
      </c>
    </row>
    <row r="2900" ht="15.75" customHeight="1">
      <c r="A29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Helper'!$F$5:$F$3004,"""")&lt;&gt;""""),ROWS(A$5:A2900)),"""")"),"")</f>
        <v/>
      </c>
      <c r="B29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Helper'!$F$5:$F$3004,"""")&lt;&gt;""""),ROWS(B$5:B2900)),"""")"),"")</f>
        <v/>
      </c>
      <c r="C29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Helper'!$F$5:$F$3004,"""")&lt;&gt;""""),ROWS(C$5:C2900)),"""")"),"")</f>
        <v/>
      </c>
      <c r="D29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Helper'!$F$5:$F$3004,"""")&lt;&gt;""""),ROWS(D$5:D2900)),"""")"),"")</f>
        <v/>
      </c>
      <c r="E29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Helper'!$F$5:$F$3004,"""")&lt;&gt;""""),ROWS(E$5:E2900)),"""")"),"")</f>
        <v/>
      </c>
      <c r="F29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Helper'!$F$5:$F$3004,"""")&lt;&gt;""""),ROWS(F$5:F2900)),IF(AND(LEFT(x,5)=""Pag"&amp;"e "",ISERROR(SEARCH(""–"",x))),x&amp;""–""&amp;REGEXEXTRACT(x,""[0-9]+$""),x)),"""")"),"")</f>
        <v/>
      </c>
      <c r="G2900" s="163"/>
      <c r="H29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Helper'!$F$5:$F$3004,"""")&lt;&gt;""""),ROWS(H$5:H2900)),"""")"),"")</f>
        <v/>
      </c>
    </row>
    <row r="2901" ht="15.75" customHeight="1">
      <c r="A29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Helper'!$F$5:$F$3004,"""")&lt;&gt;""""),ROWS(A$5:A2901)),"""")"),"")</f>
        <v/>
      </c>
      <c r="B29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Helper'!$F$5:$F$3004,"""")&lt;&gt;""""),ROWS(B$5:B2901)),"""")"),"")</f>
        <v/>
      </c>
      <c r="C29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Helper'!$F$5:$F$3004,"""")&lt;&gt;""""),ROWS(C$5:C2901)),"""")"),"")</f>
        <v/>
      </c>
      <c r="D29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Helper'!$F$5:$F$3004,"""")&lt;&gt;""""),ROWS(D$5:D2901)),"""")"),"")</f>
        <v/>
      </c>
      <c r="E29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Helper'!$F$5:$F$3004,"""")&lt;&gt;""""),ROWS(E$5:E2901)),"""")"),"")</f>
        <v/>
      </c>
      <c r="F29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Helper'!$F$5:$F$3004,"""")&lt;&gt;""""),ROWS(F$5:F2901)),IF(AND(LEFT(x,5)=""Pag"&amp;"e "",ISERROR(SEARCH(""–"",x))),x&amp;""–""&amp;REGEXEXTRACT(x,""[0-9]+$""),x)),"""")"),"")</f>
        <v/>
      </c>
      <c r="G2901" s="163"/>
      <c r="H29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Helper'!$F$5:$F$3004,"""")&lt;&gt;""""),ROWS(H$5:H2901)),"""")"),"")</f>
        <v/>
      </c>
    </row>
    <row r="2902" ht="15.75" customHeight="1">
      <c r="A29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Helper'!$F$5:$F$3004,"""")&lt;&gt;""""),ROWS(A$5:A2902)),"""")"),"")</f>
        <v/>
      </c>
      <c r="B29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Helper'!$F$5:$F$3004,"""")&lt;&gt;""""),ROWS(B$5:B2902)),"""")"),"")</f>
        <v/>
      </c>
      <c r="C29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Helper'!$F$5:$F$3004,"""")&lt;&gt;""""),ROWS(C$5:C2902)),"""")"),"")</f>
        <v/>
      </c>
      <c r="D29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Helper'!$F$5:$F$3004,"""")&lt;&gt;""""),ROWS(D$5:D2902)),"""")"),"")</f>
        <v/>
      </c>
      <c r="E29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Helper'!$F$5:$F$3004,"""")&lt;&gt;""""),ROWS(E$5:E2902)),"""")"),"")</f>
        <v/>
      </c>
      <c r="F29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Helper'!$F$5:$F$3004,"""")&lt;&gt;""""),ROWS(F$5:F2902)),IF(AND(LEFT(x,5)=""Pag"&amp;"e "",ISERROR(SEARCH(""–"",x))),x&amp;""–""&amp;REGEXEXTRACT(x,""[0-9]+$""),x)),"""")"),"")</f>
        <v/>
      </c>
      <c r="G2902" s="163"/>
      <c r="H29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Helper'!$F$5:$F$3004,"""")&lt;&gt;""""),ROWS(H$5:H2902)),"""")"),"")</f>
        <v/>
      </c>
    </row>
    <row r="2903" ht="15.75" customHeight="1">
      <c r="A29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Helper'!$F$5:$F$3004,"""")&lt;&gt;""""),ROWS(A$5:A2903)),"""")"),"")</f>
        <v/>
      </c>
      <c r="B29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Helper'!$F$5:$F$3004,"""")&lt;&gt;""""),ROWS(B$5:B2903)),"""")"),"")</f>
        <v/>
      </c>
      <c r="C29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Helper'!$F$5:$F$3004,"""")&lt;&gt;""""),ROWS(C$5:C2903)),"""")"),"")</f>
        <v/>
      </c>
      <c r="D29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Helper'!$F$5:$F$3004,"""")&lt;&gt;""""),ROWS(D$5:D2903)),"""")"),"")</f>
        <v/>
      </c>
      <c r="E29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Helper'!$F$5:$F$3004,"""")&lt;&gt;""""),ROWS(E$5:E2903)),"""")"),"")</f>
        <v/>
      </c>
      <c r="F29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Helper'!$F$5:$F$3004,"""")&lt;&gt;""""),ROWS(F$5:F2903)),IF(AND(LEFT(x,5)=""Pag"&amp;"e "",ISERROR(SEARCH(""–"",x))),x&amp;""–""&amp;REGEXEXTRACT(x,""[0-9]+$""),x)),"""")"),"")</f>
        <v/>
      </c>
      <c r="G2903" s="163"/>
      <c r="H29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Helper'!$F$5:$F$3004,"""")&lt;&gt;""""),ROWS(H$5:H2903)),"""")"),"")</f>
        <v/>
      </c>
    </row>
    <row r="2904" ht="15.75" customHeight="1">
      <c r="A29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Helper'!$F$5:$F$3004,"""")&lt;&gt;""""),ROWS(A$5:A2904)),"""")"),"")</f>
        <v/>
      </c>
      <c r="B29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Helper'!$F$5:$F$3004,"""")&lt;&gt;""""),ROWS(B$5:B2904)),"""")"),"")</f>
        <v/>
      </c>
      <c r="C29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Helper'!$F$5:$F$3004,"""")&lt;&gt;""""),ROWS(C$5:C2904)),"""")"),"")</f>
        <v/>
      </c>
      <c r="D29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Helper'!$F$5:$F$3004,"""")&lt;&gt;""""),ROWS(D$5:D2904)),"""")"),"")</f>
        <v/>
      </c>
      <c r="E29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Helper'!$F$5:$F$3004,"""")&lt;&gt;""""),ROWS(E$5:E2904)),"""")"),"")</f>
        <v/>
      </c>
      <c r="F29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Helper'!$F$5:$F$3004,"""")&lt;&gt;""""),ROWS(F$5:F2904)),IF(AND(LEFT(x,5)=""Pag"&amp;"e "",ISERROR(SEARCH(""–"",x))),x&amp;""–""&amp;REGEXEXTRACT(x,""[0-9]+$""),x)),"""")"),"")</f>
        <v/>
      </c>
      <c r="G2904" s="163"/>
      <c r="H29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Helper'!$F$5:$F$3004,"""")&lt;&gt;""""),ROWS(H$5:H2904)),"""")"),"")</f>
        <v/>
      </c>
    </row>
    <row r="2905" ht="15.75" customHeight="1">
      <c r="A290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Helper'!$F$5:$F$3004,"""")&lt;&gt;""""),ROWS(A$5:A2905)),"""")"),"")</f>
        <v/>
      </c>
      <c r="B290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Helper'!$F$5:$F$3004,"""")&lt;&gt;""""),ROWS(B$5:B2905)),"""")"),"")</f>
        <v/>
      </c>
      <c r="C290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Helper'!$F$5:$F$3004,"""")&lt;&gt;""""),ROWS(C$5:C2905)),"""")"),"")</f>
        <v/>
      </c>
      <c r="D290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Helper'!$F$5:$F$3004,"""")&lt;&gt;""""),ROWS(D$5:D2905)),"""")"),"")</f>
        <v/>
      </c>
      <c r="E290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Helper'!$F$5:$F$3004,"""")&lt;&gt;""""),ROWS(E$5:E2905)),"""")"),"")</f>
        <v/>
      </c>
      <c r="F290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Helper'!$F$5:$F$3004,"""")&lt;&gt;""""),ROWS(F$5:F2905)),IF(AND(LEFT(x,5)=""Pag"&amp;"e "",ISERROR(SEARCH(""–"",x))),x&amp;""–""&amp;REGEXEXTRACT(x,""[0-9]+$""),x)),"""")"),"")</f>
        <v/>
      </c>
      <c r="G2905" s="163"/>
      <c r="H290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Helper'!$F$5:$F$3004,"""")&lt;&gt;""""),ROWS(H$5:H2905)),"""")"),"")</f>
        <v/>
      </c>
    </row>
    <row r="2906" ht="15.75" customHeight="1">
      <c r="A290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Helper'!$F$5:$F$3004,"""")&lt;&gt;""""),ROWS(A$5:A2906)),"""")"),"")</f>
        <v/>
      </c>
      <c r="B290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Helper'!$F$5:$F$3004,"""")&lt;&gt;""""),ROWS(B$5:B2906)),"""")"),"")</f>
        <v/>
      </c>
      <c r="C290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Helper'!$F$5:$F$3004,"""")&lt;&gt;""""),ROWS(C$5:C2906)),"""")"),"")</f>
        <v/>
      </c>
      <c r="D290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Helper'!$F$5:$F$3004,"""")&lt;&gt;""""),ROWS(D$5:D2906)),"""")"),"")</f>
        <v/>
      </c>
      <c r="E290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Helper'!$F$5:$F$3004,"""")&lt;&gt;""""),ROWS(E$5:E2906)),"""")"),"")</f>
        <v/>
      </c>
      <c r="F290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Helper'!$F$5:$F$3004,"""")&lt;&gt;""""),ROWS(F$5:F2906)),IF(AND(LEFT(x,5)=""Pag"&amp;"e "",ISERROR(SEARCH(""–"",x))),x&amp;""–""&amp;REGEXEXTRACT(x,""[0-9]+$""),x)),"""")"),"")</f>
        <v/>
      </c>
      <c r="G2906" s="163"/>
      <c r="H290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Helper'!$F$5:$F$3004,"""")&lt;&gt;""""),ROWS(H$5:H2906)),"""")"),"")</f>
        <v/>
      </c>
    </row>
    <row r="2907" ht="15.75" customHeight="1">
      <c r="A290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Helper'!$F$5:$F$3004,"""")&lt;&gt;""""),ROWS(A$5:A2907)),"""")"),"")</f>
        <v/>
      </c>
      <c r="B290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Helper'!$F$5:$F$3004,"""")&lt;&gt;""""),ROWS(B$5:B2907)),"""")"),"")</f>
        <v/>
      </c>
      <c r="C290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Helper'!$F$5:$F$3004,"""")&lt;&gt;""""),ROWS(C$5:C2907)),"""")"),"")</f>
        <v/>
      </c>
      <c r="D290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Helper'!$F$5:$F$3004,"""")&lt;&gt;""""),ROWS(D$5:D2907)),"""")"),"")</f>
        <v/>
      </c>
      <c r="E290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Helper'!$F$5:$F$3004,"""")&lt;&gt;""""),ROWS(E$5:E2907)),"""")"),"")</f>
        <v/>
      </c>
      <c r="F290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Helper'!$F$5:$F$3004,"""")&lt;&gt;""""),ROWS(F$5:F2907)),IF(AND(LEFT(x,5)=""Pag"&amp;"e "",ISERROR(SEARCH(""–"",x))),x&amp;""–""&amp;REGEXEXTRACT(x,""[0-9]+$""),x)),"""")"),"")</f>
        <v/>
      </c>
      <c r="G2907" s="163"/>
      <c r="H290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Helper'!$F$5:$F$3004,"""")&lt;&gt;""""),ROWS(H$5:H2907)),"""")"),"")</f>
        <v/>
      </c>
    </row>
    <row r="2908" ht="15.75" customHeight="1">
      <c r="A290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Helper'!$F$5:$F$3004,"""")&lt;&gt;""""),ROWS(A$5:A2908)),"""")"),"")</f>
        <v/>
      </c>
      <c r="B290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Helper'!$F$5:$F$3004,"""")&lt;&gt;""""),ROWS(B$5:B2908)),"""")"),"")</f>
        <v/>
      </c>
      <c r="C290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Helper'!$F$5:$F$3004,"""")&lt;&gt;""""),ROWS(C$5:C2908)),"""")"),"")</f>
        <v/>
      </c>
      <c r="D290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Helper'!$F$5:$F$3004,"""")&lt;&gt;""""),ROWS(D$5:D2908)),"""")"),"")</f>
        <v/>
      </c>
      <c r="E290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Helper'!$F$5:$F$3004,"""")&lt;&gt;""""),ROWS(E$5:E2908)),"""")"),"")</f>
        <v/>
      </c>
      <c r="F290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Helper'!$F$5:$F$3004,"""")&lt;&gt;""""),ROWS(F$5:F2908)),IF(AND(LEFT(x,5)=""Pag"&amp;"e "",ISERROR(SEARCH(""–"",x))),x&amp;""–""&amp;REGEXEXTRACT(x,""[0-9]+$""),x)),"""")"),"")</f>
        <v/>
      </c>
      <c r="G2908" s="163"/>
      <c r="H290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Helper'!$F$5:$F$3004,"""")&lt;&gt;""""),ROWS(H$5:H2908)),"""")"),"")</f>
        <v/>
      </c>
    </row>
    <row r="2909" ht="15.75" customHeight="1">
      <c r="A290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Helper'!$F$5:$F$3004,"""")&lt;&gt;""""),ROWS(A$5:A2909)),"""")"),"")</f>
        <v/>
      </c>
      <c r="B290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Helper'!$F$5:$F$3004,"""")&lt;&gt;""""),ROWS(B$5:B2909)),"""")"),"")</f>
        <v/>
      </c>
      <c r="C290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Helper'!$F$5:$F$3004,"""")&lt;&gt;""""),ROWS(C$5:C2909)),"""")"),"")</f>
        <v/>
      </c>
      <c r="D290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Helper'!$F$5:$F$3004,"""")&lt;&gt;""""),ROWS(D$5:D2909)),"""")"),"")</f>
        <v/>
      </c>
      <c r="E290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Helper'!$F$5:$F$3004,"""")&lt;&gt;""""),ROWS(E$5:E2909)),"""")"),"")</f>
        <v/>
      </c>
      <c r="F290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Helper'!$F$5:$F$3004,"""")&lt;&gt;""""),ROWS(F$5:F2909)),IF(AND(LEFT(x,5)=""Pag"&amp;"e "",ISERROR(SEARCH(""–"",x))),x&amp;""–""&amp;REGEXEXTRACT(x,""[0-9]+$""),x)),"""")"),"")</f>
        <v/>
      </c>
      <c r="G2909" s="163"/>
      <c r="H290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Helper'!$F$5:$F$3004,"""")&lt;&gt;""""),ROWS(H$5:H2909)),"""")"),"")</f>
        <v/>
      </c>
    </row>
    <row r="2910" ht="15.75" customHeight="1">
      <c r="A291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Helper'!$F$5:$F$3004,"""")&lt;&gt;""""),ROWS(A$5:A2910)),"""")"),"")</f>
        <v/>
      </c>
      <c r="B291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Helper'!$F$5:$F$3004,"""")&lt;&gt;""""),ROWS(B$5:B2910)),"""")"),"")</f>
        <v/>
      </c>
      <c r="C291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Helper'!$F$5:$F$3004,"""")&lt;&gt;""""),ROWS(C$5:C2910)),"""")"),"")</f>
        <v/>
      </c>
      <c r="D291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Helper'!$F$5:$F$3004,"""")&lt;&gt;""""),ROWS(D$5:D2910)),"""")"),"")</f>
        <v/>
      </c>
      <c r="E291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Helper'!$F$5:$F$3004,"""")&lt;&gt;""""),ROWS(E$5:E2910)),"""")"),"")</f>
        <v/>
      </c>
      <c r="F291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Helper'!$F$5:$F$3004,"""")&lt;&gt;""""),ROWS(F$5:F2910)),IF(AND(LEFT(x,5)=""Pag"&amp;"e "",ISERROR(SEARCH(""–"",x))),x&amp;""–""&amp;REGEXEXTRACT(x,""[0-9]+$""),x)),"""")"),"")</f>
        <v/>
      </c>
      <c r="G2910" s="163"/>
      <c r="H291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Helper'!$F$5:$F$3004,"""")&lt;&gt;""""),ROWS(H$5:H2910)),"""")"),"")</f>
        <v/>
      </c>
    </row>
    <row r="2911" ht="15.75" customHeight="1">
      <c r="A291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Helper'!$F$5:$F$3004,"""")&lt;&gt;""""),ROWS(A$5:A2911)),"""")"),"")</f>
        <v/>
      </c>
      <c r="B291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Helper'!$F$5:$F$3004,"""")&lt;&gt;""""),ROWS(B$5:B2911)),"""")"),"")</f>
        <v/>
      </c>
      <c r="C291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Helper'!$F$5:$F$3004,"""")&lt;&gt;""""),ROWS(C$5:C2911)),"""")"),"")</f>
        <v/>
      </c>
      <c r="D291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Helper'!$F$5:$F$3004,"""")&lt;&gt;""""),ROWS(D$5:D2911)),"""")"),"")</f>
        <v/>
      </c>
      <c r="E291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Helper'!$F$5:$F$3004,"""")&lt;&gt;""""),ROWS(E$5:E2911)),"""")"),"")</f>
        <v/>
      </c>
      <c r="F291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Helper'!$F$5:$F$3004,"""")&lt;&gt;""""),ROWS(F$5:F2911)),IF(AND(LEFT(x,5)=""Pag"&amp;"e "",ISERROR(SEARCH(""–"",x))),x&amp;""–""&amp;REGEXEXTRACT(x,""[0-9]+$""),x)),"""")"),"")</f>
        <v/>
      </c>
      <c r="G2911" s="163"/>
      <c r="H291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Helper'!$F$5:$F$3004,"""")&lt;&gt;""""),ROWS(H$5:H2911)),"""")"),"")</f>
        <v/>
      </c>
    </row>
    <row r="2912" ht="15.75" customHeight="1">
      <c r="A291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Helper'!$F$5:$F$3004,"""")&lt;&gt;""""),ROWS(A$5:A2912)),"""")"),"")</f>
        <v/>
      </c>
      <c r="B291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Helper'!$F$5:$F$3004,"""")&lt;&gt;""""),ROWS(B$5:B2912)),"""")"),"")</f>
        <v/>
      </c>
      <c r="C291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Helper'!$F$5:$F$3004,"""")&lt;&gt;""""),ROWS(C$5:C2912)),"""")"),"")</f>
        <v/>
      </c>
      <c r="D291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Helper'!$F$5:$F$3004,"""")&lt;&gt;""""),ROWS(D$5:D2912)),"""")"),"")</f>
        <v/>
      </c>
      <c r="E291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Helper'!$F$5:$F$3004,"""")&lt;&gt;""""),ROWS(E$5:E2912)),"""")"),"")</f>
        <v/>
      </c>
      <c r="F291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Helper'!$F$5:$F$3004,"""")&lt;&gt;""""),ROWS(F$5:F2912)),IF(AND(LEFT(x,5)=""Pag"&amp;"e "",ISERROR(SEARCH(""–"",x))),x&amp;""–""&amp;REGEXEXTRACT(x,""[0-9]+$""),x)),"""")"),"")</f>
        <v/>
      </c>
      <c r="G2912" s="163"/>
      <c r="H291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Helper'!$F$5:$F$3004,"""")&lt;&gt;""""),ROWS(H$5:H2912)),"""")"),"")</f>
        <v/>
      </c>
    </row>
    <row r="2913" ht="15.75" customHeight="1">
      <c r="A291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Helper'!$F$5:$F$3004,"""")&lt;&gt;""""),ROWS(A$5:A2913)),"""")"),"")</f>
        <v/>
      </c>
      <c r="B291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Helper'!$F$5:$F$3004,"""")&lt;&gt;""""),ROWS(B$5:B2913)),"""")"),"")</f>
        <v/>
      </c>
      <c r="C291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Helper'!$F$5:$F$3004,"""")&lt;&gt;""""),ROWS(C$5:C2913)),"""")"),"")</f>
        <v/>
      </c>
      <c r="D291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Helper'!$F$5:$F$3004,"""")&lt;&gt;""""),ROWS(D$5:D2913)),"""")"),"")</f>
        <v/>
      </c>
      <c r="E291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Helper'!$F$5:$F$3004,"""")&lt;&gt;""""),ROWS(E$5:E2913)),"""")"),"")</f>
        <v/>
      </c>
      <c r="F291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Helper'!$F$5:$F$3004,"""")&lt;&gt;""""),ROWS(F$5:F2913)),IF(AND(LEFT(x,5)=""Pag"&amp;"e "",ISERROR(SEARCH(""–"",x))),x&amp;""–""&amp;REGEXEXTRACT(x,""[0-9]+$""),x)),"""")"),"")</f>
        <v/>
      </c>
      <c r="G2913" s="163"/>
      <c r="H291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Helper'!$F$5:$F$3004,"""")&lt;&gt;""""),ROWS(H$5:H2913)),"""")"),"")</f>
        <v/>
      </c>
    </row>
    <row r="2914" ht="15.75" customHeight="1">
      <c r="A291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Helper'!$F$5:$F$3004,"""")&lt;&gt;""""),ROWS(A$5:A2914)),"""")"),"")</f>
        <v/>
      </c>
      <c r="B291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Helper'!$F$5:$F$3004,"""")&lt;&gt;""""),ROWS(B$5:B2914)),"""")"),"")</f>
        <v/>
      </c>
      <c r="C291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Helper'!$F$5:$F$3004,"""")&lt;&gt;""""),ROWS(C$5:C2914)),"""")"),"")</f>
        <v/>
      </c>
      <c r="D291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Helper'!$F$5:$F$3004,"""")&lt;&gt;""""),ROWS(D$5:D2914)),"""")"),"")</f>
        <v/>
      </c>
      <c r="E291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Helper'!$F$5:$F$3004,"""")&lt;&gt;""""),ROWS(E$5:E2914)),"""")"),"")</f>
        <v/>
      </c>
      <c r="F291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Helper'!$F$5:$F$3004,"""")&lt;&gt;""""),ROWS(F$5:F2914)),IF(AND(LEFT(x,5)=""Pag"&amp;"e "",ISERROR(SEARCH(""–"",x))),x&amp;""–""&amp;REGEXEXTRACT(x,""[0-9]+$""),x)),"""")"),"")</f>
        <v/>
      </c>
      <c r="G2914" s="163"/>
      <c r="H291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Helper'!$F$5:$F$3004,"""")&lt;&gt;""""),ROWS(H$5:H2914)),"""")"),"")</f>
        <v/>
      </c>
    </row>
    <row r="2915" ht="15.75" customHeight="1">
      <c r="A291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Helper'!$F$5:$F$3004,"""")&lt;&gt;""""),ROWS(A$5:A2915)),"""")"),"")</f>
        <v/>
      </c>
      <c r="B291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Helper'!$F$5:$F$3004,"""")&lt;&gt;""""),ROWS(B$5:B2915)),"""")"),"")</f>
        <v/>
      </c>
      <c r="C291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Helper'!$F$5:$F$3004,"""")&lt;&gt;""""),ROWS(C$5:C2915)),"""")"),"")</f>
        <v/>
      </c>
      <c r="D291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Helper'!$F$5:$F$3004,"""")&lt;&gt;""""),ROWS(D$5:D2915)),"""")"),"")</f>
        <v/>
      </c>
      <c r="E291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Helper'!$F$5:$F$3004,"""")&lt;&gt;""""),ROWS(E$5:E2915)),"""")"),"")</f>
        <v/>
      </c>
      <c r="F291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Helper'!$F$5:$F$3004,"""")&lt;&gt;""""),ROWS(F$5:F2915)),IF(AND(LEFT(x,5)=""Pag"&amp;"e "",ISERROR(SEARCH(""–"",x))),x&amp;""–""&amp;REGEXEXTRACT(x,""[0-9]+$""),x)),"""")"),"")</f>
        <v/>
      </c>
      <c r="G2915" s="163"/>
      <c r="H291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Helper'!$F$5:$F$3004,"""")&lt;&gt;""""),ROWS(H$5:H2915)),"""")"),"")</f>
        <v/>
      </c>
    </row>
    <row r="2916" ht="15.75" customHeight="1">
      <c r="A291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Helper'!$F$5:$F$3004,"""")&lt;&gt;""""),ROWS(A$5:A2916)),"""")"),"")</f>
        <v/>
      </c>
      <c r="B291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Helper'!$F$5:$F$3004,"""")&lt;&gt;""""),ROWS(B$5:B2916)),"""")"),"")</f>
        <v/>
      </c>
      <c r="C291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Helper'!$F$5:$F$3004,"""")&lt;&gt;""""),ROWS(C$5:C2916)),"""")"),"")</f>
        <v/>
      </c>
      <c r="D291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Helper'!$F$5:$F$3004,"""")&lt;&gt;""""),ROWS(D$5:D2916)),"""")"),"")</f>
        <v/>
      </c>
      <c r="E291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Helper'!$F$5:$F$3004,"""")&lt;&gt;""""),ROWS(E$5:E2916)),"""")"),"")</f>
        <v/>
      </c>
      <c r="F291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Helper'!$F$5:$F$3004,"""")&lt;&gt;""""),ROWS(F$5:F2916)),IF(AND(LEFT(x,5)=""Pag"&amp;"e "",ISERROR(SEARCH(""–"",x))),x&amp;""–""&amp;REGEXEXTRACT(x,""[0-9]+$""),x)),"""")"),"")</f>
        <v/>
      </c>
      <c r="G2916" s="163"/>
      <c r="H291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Helper'!$F$5:$F$3004,"""")&lt;&gt;""""),ROWS(H$5:H2916)),"""")"),"")</f>
        <v/>
      </c>
    </row>
    <row r="2917" ht="15.75" customHeight="1">
      <c r="A291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Helper'!$F$5:$F$3004,"""")&lt;&gt;""""),ROWS(A$5:A2917)),"""")"),"")</f>
        <v/>
      </c>
      <c r="B291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Helper'!$F$5:$F$3004,"""")&lt;&gt;""""),ROWS(B$5:B2917)),"""")"),"")</f>
        <v/>
      </c>
      <c r="C291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Helper'!$F$5:$F$3004,"""")&lt;&gt;""""),ROWS(C$5:C2917)),"""")"),"")</f>
        <v/>
      </c>
      <c r="D291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Helper'!$F$5:$F$3004,"""")&lt;&gt;""""),ROWS(D$5:D2917)),"""")"),"")</f>
        <v/>
      </c>
      <c r="E291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Helper'!$F$5:$F$3004,"""")&lt;&gt;""""),ROWS(E$5:E2917)),"""")"),"")</f>
        <v/>
      </c>
      <c r="F291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Helper'!$F$5:$F$3004,"""")&lt;&gt;""""),ROWS(F$5:F2917)),IF(AND(LEFT(x,5)=""Pag"&amp;"e "",ISERROR(SEARCH(""–"",x))),x&amp;""–""&amp;REGEXEXTRACT(x,""[0-9]+$""),x)),"""")"),"")</f>
        <v/>
      </c>
      <c r="G2917" s="163"/>
      <c r="H291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Helper'!$F$5:$F$3004,"""")&lt;&gt;""""),ROWS(H$5:H2917)),"""")"),"")</f>
        <v/>
      </c>
    </row>
    <row r="2918" ht="15.75" customHeight="1">
      <c r="A291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Helper'!$F$5:$F$3004,"""")&lt;&gt;""""),ROWS(A$5:A2918)),"""")"),"")</f>
        <v/>
      </c>
      <c r="B291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Helper'!$F$5:$F$3004,"""")&lt;&gt;""""),ROWS(B$5:B2918)),"""")"),"")</f>
        <v/>
      </c>
      <c r="C291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Helper'!$F$5:$F$3004,"""")&lt;&gt;""""),ROWS(C$5:C2918)),"""")"),"")</f>
        <v/>
      </c>
      <c r="D291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Helper'!$F$5:$F$3004,"""")&lt;&gt;""""),ROWS(D$5:D2918)),"""")"),"")</f>
        <v/>
      </c>
      <c r="E291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Helper'!$F$5:$F$3004,"""")&lt;&gt;""""),ROWS(E$5:E2918)),"""")"),"")</f>
        <v/>
      </c>
      <c r="F291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Helper'!$F$5:$F$3004,"""")&lt;&gt;""""),ROWS(F$5:F2918)),IF(AND(LEFT(x,5)=""Pag"&amp;"e "",ISERROR(SEARCH(""–"",x))),x&amp;""–""&amp;REGEXEXTRACT(x,""[0-9]+$""),x)),"""")"),"")</f>
        <v/>
      </c>
      <c r="G2918" s="163"/>
      <c r="H291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Helper'!$F$5:$F$3004,"""")&lt;&gt;""""),ROWS(H$5:H2918)),"""")"),"")</f>
        <v/>
      </c>
    </row>
    <row r="2919" ht="15.75" customHeight="1">
      <c r="A291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Helper'!$F$5:$F$3004,"""")&lt;&gt;""""),ROWS(A$5:A2919)),"""")"),"")</f>
        <v/>
      </c>
      <c r="B291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Helper'!$F$5:$F$3004,"""")&lt;&gt;""""),ROWS(B$5:B2919)),"""")"),"")</f>
        <v/>
      </c>
      <c r="C291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Helper'!$F$5:$F$3004,"""")&lt;&gt;""""),ROWS(C$5:C2919)),"""")"),"")</f>
        <v/>
      </c>
      <c r="D291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Helper'!$F$5:$F$3004,"""")&lt;&gt;""""),ROWS(D$5:D2919)),"""")"),"")</f>
        <v/>
      </c>
      <c r="E291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Helper'!$F$5:$F$3004,"""")&lt;&gt;""""),ROWS(E$5:E2919)),"""")"),"")</f>
        <v/>
      </c>
      <c r="F291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Helper'!$F$5:$F$3004,"""")&lt;&gt;""""),ROWS(F$5:F2919)),IF(AND(LEFT(x,5)=""Pag"&amp;"e "",ISERROR(SEARCH(""–"",x))),x&amp;""–""&amp;REGEXEXTRACT(x,""[0-9]+$""),x)),"""")"),"")</f>
        <v/>
      </c>
      <c r="G2919" s="163"/>
      <c r="H291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Helper'!$F$5:$F$3004,"""")&lt;&gt;""""),ROWS(H$5:H2919)),"""")"),"")</f>
        <v/>
      </c>
    </row>
    <row r="2920" ht="15.75" customHeight="1">
      <c r="A292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Helper'!$F$5:$F$3004,"""")&lt;&gt;""""),ROWS(A$5:A2920)),"""")"),"")</f>
        <v/>
      </c>
      <c r="B292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Helper'!$F$5:$F$3004,"""")&lt;&gt;""""),ROWS(B$5:B2920)),"""")"),"")</f>
        <v/>
      </c>
      <c r="C292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Helper'!$F$5:$F$3004,"""")&lt;&gt;""""),ROWS(C$5:C2920)),"""")"),"")</f>
        <v/>
      </c>
      <c r="D292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Helper'!$F$5:$F$3004,"""")&lt;&gt;""""),ROWS(D$5:D2920)),"""")"),"")</f>
        <v/>
      </c>
      <c r="E292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Helper'!$F$5:$F$3004,"""")&lt;&gt;""""),ROWS(E$5:E2920)),"""")"),"")</f>
        <v/>
      </c>
      <c r="F292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Helper'!$F$5:$F$3004,"""")&lt;&gt;""""),ROWS(F$5:F2920)),IF(AND(LEFT(x,5)=""Pag"&amp;"e "",ISERROR(SEARCH(""–"",x))),x&amp;""–""&amp;REGEXEXTRACT(x,""[0-9]+$""),x)),"""")"),"")</f>
        <v/>
      </c>
      <c r="G2920" s="163"/>
      <c r="H292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Helper'!$F$5:$F$3004,"""")&lt;&gt;""""),ROWS(H$5:H2920)),"""")"),"")</f>
        <v/>
      </c>
    </row>
    <row r="2921" ht="15.75" customHeight="1">
      <c r="A292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Helper'!$F$5:$F$3004,"""")&lt;&gt;""""),ROWS(A$5:A2921)),"""")"),"")</f>
        <v/>
      </c>
      <c r="B292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Helper'!$F$5:$F$3004,"""")&lt;&gt;""""),ROWS(B$5:B2921)),"""")"),"")</f>
        <v/>
      </c>
      <c r="C292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Helper'!$F$5:$F$3004,"""")&lt;&gt;""""),ROWS(C$5:C2921)),"""")"),"")</f>
        <v/>
      </c>
      <c r="D292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Helper'!$F$5:$F$3004,"""")&lt;&gt;""""),ROWS(D$5:D2921)),"""")"),"")</f>
        <v/>
      </c>
      <c r="E292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Helper'!$F$5:$F$3004,"""")&lt;&gt;""""),ROWS(E$5:E2921)),"""")"),"")</f>
        <v/>
      </c>
      <c r="F292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Helper'!$F$5:$F$3004,"""")&lt;&gt;""""),ROWS(F$5:F2921)),IF(AND(LEFT(x,5)=""Pag"&amp;"e "",ISERROR(SEARCH(""–"",x))),x&amp;""–""&amp;REGEXEXTRACT(x,""[0-9]+$""),x)),"""")"),"")</f>
        <v/>
      </c>
      <c r="G2921" s="163"/>
      <c r="H292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Helper'!$F$5:$F$3004,"""")&lt;&gt;""""),ROWS(H$5:H2921)),"""")"),"")</f>
        <v/>
      </c>
    </row>
    <row r="2922" ht="15.75" customHeight="1">
      <c r="A292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Helper'!$F$5:$F$3004,"""")&lt;&gt;""""),ROWS(A$5:A2922)),"""")"),"")</f>
        <v/>
      </c>
      <c r="B292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Helper'!$F$5:$F$3004,"""")&lt;&gt;""""),ROWS(B$5:B2922)),"""")"),"")</f>
        <v/>
      </c>
      <c r="C292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Helper'!$F$5:$F$3004,"""")&lt;&gt;""""),ROWS(C$5:C2922)),"""")"),"")</f>
        <v/>
      </c>
      <c r="D292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Helper'!$F$5:$F$3004,"""")&lt;&gt;""""),ROWS(D$5:D2922)),"""")"),"")</f>
        <v/>
      </c>
      <c r="E292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Helper'!$F$5:$F$3004,"""")&lt;&gt;""""),ROWS(E$5:E2922)),"""")"),"")</f>
        <v/>
      </c>
      <c r="F292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Helper'!$F$5:$F$3004,"""")&lt;&gt;""""),ROWS(F$5:F2922)),IF(AND(LEFT(x,5)=""Pag"&amp;"e "",ISERROR(SEARCH(""–"",x))),x&amp;""–""&amp;REGEXEXTRACT(x,""[0-9]+$""),x)),"""")"),"")</f>
        <v/>
      </c>
      <c r="G2922" s="163"/>
      <c r="H292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Helper'!$F$5:$F$3004,"""")&lt;&gt;""""),ROWS(H$5:H2922)),"""")"),"")</f>
        <v/>
      </c>
    </row>
    <row r="2923" ht="15.75" customHeight="1">
      <c r="A292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Helper'!$F$5:$F$3004,"""")&lt;&gt;""""),ROWS(A$5:A2923)),"""")"),"")</f>
        <v/>
      </c>
      <c r="B292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Helper'!$F$5:$F$3004,"""")&lt;&gt;""""),ROWS(B$5:B2923)),"""")"),"")</f>
        <v/>
      </c>
      <c r="C292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Helper'!$F$5:$F$3004,"""")&lt;&gt;""""),ROWS(C$5:C2923)),"""")"),"")</f>
        <v/>
      </c>
      <c r="D292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Helper'!$F$5:$F$3004,"""")&lt;&gt;""""),ROWS(D$5:D2923)),"""")"),"")</f>
        <v/>
      </c>
      <c r="E292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Helper'!$F$5:$F$3004,"""")&lt;&gt;""""),ROWS(E$5:E2923)),"""")"),"")</f>
        <v/>
      </c>
      <c r="F292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Helper'!$F$5:$F$3004,"""")&lt;&gt;""""),ROWS(F$5:F2923)),IF(AND(LEFT(x,5)=""Pag"&amp;"e "",ISERROR(SEARCH(""–"",x))),x&amp;""–""&amp;REGEXEXTRACT(x,""[0-9]+$""),x)),"""")"),"")</f>
        <v/>
      </c>
      <c r="G2923" s="163"/>
      <c r="H292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Helper'!$F$5:$F$3004,"""")&lt;&gt;""""),ROWS(H$5:H2923)),"""")"),"")</f>
        <v/>
      </c>
    </row>
    <row r="2924" ht="15.75" customHeight="1">
      <c r="A292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Helper'!$F$5:$F$3004,"""")&lt;&gt;""""),ROWS(A$5:A2924)),"""")"),"")</f>
        <v/>
      </c>
      <c r="B292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Helper'!$F$5:$F$3004,"""")&lt;&gt;""""),ROWS(B$5:B2924)),"""")"),"")</f>
        <v/>
      </c>
      <c r="C292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Helper'!$F$5:$F$3004,"""")&lt;&gt;""""),ROWS(C$5:C2924)),"""")"),"")</f>
        <v/>
      </c>
      <c r="D292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Helper'!$F$5:$F$3004,"""")&lt;&gt;""""),ROWS(D$5:D2924)),"""")"),"")</f>
        <v/>
      </c>
      <c r="E292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Helper'!$F$5:$F$3004,"""")&lt;&gt;""""),ROWS(E$5:E2924)),"""")"),"")</f>
        <v/>
      </c>
      <c r="F292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Helper'!$F$5:$F$3004,"""")&lt;&gt;""""),ROWS(F$5:F2924)),IF(AND(LEFT(x,5)=""Pag"&amp;"e "",ISERROR(SEARCH(""–"",x))),x&amp;""–""&amp;REGEXEXTRACT(x,""[0-9]+$""),x)),"""")"),"")</f>
        <v/>
      </c>
      <c r="G2924" s="163"/>
      <c r="H292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Helper'!$F$5:$F$3004,"""")&lt;&gt;""""),ROWS(H$5:H2924)),"""")"),"")</f>
        <v/>
      </c>
    </row>
    <row r="2925" ht="15.75" customHeight="1">
      <c r="A292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Helper'!$F$5:$F$3004,"""")&lt;&gt;""""),ROWS(A$5:A2925)),"""")"),"")</f>
        <v/>
      </c>
      <c r="B292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Helper'!$F$5:$F$3004,"""")&lt;&gt;""""),ROWS(B$5:B2925)),"""")"),"")</f>
        <v/>
      </c>
      <c r="C292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Helper'!$F$5:$F$3004,"""")&lt;&gt;""""),ROWS(C$5:C2925)),"""")"),"")</f>
        <v/>
      </c>
      <c r="D292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Helper'!$F$5:$F$3004,"""")&lt;&gt;""""),ROWS(D$5:D2925)),"""")"),"")</f>
        <v/>
      </c>
      <c r="E292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Helper'!$F$5:$F$3004,"""")&lt;&gt;""""),ROWS(E$5:E2925)),"""")"),"")</f>
        <v/>
      </c>
      <c r="F292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Helper'!$F$5:$F$3004,"""")&lt;&gt;""""),ROWS(F$5:F2925)),IF(AND(LEFT(x,5)=""Pag"&amp;"e "",ISERROR(SEARCH(""–"",x))),x&amp;""–""&amp;REGEXEXTRACT(x,""[0-9]+$""),x)),"""")"),"")</f>
        <v/>
      </c>
      <c r="G2925" s="163"/>
      <c r="H292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Helper'!$F$5:$F$3004,"""")&lt;&gt;""""),ROWS(H$5:H2925)),"""")"),"")</f>
        <v/>
      </c>
    </row>
    <row r="2926" ht="15.75" customHeight="1">
      <c r="A292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Helper'!$F$5:$F$3004,"""")&lt;&gt;""""),ROWS(A$5:A2926)),"""")"),"")</f>
        <v/>
      </c>
      <c r="B292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Helper'!$F$5:$F$3004,"""")&lt;&gt;""""),ROWS(B$5:B2926)),"""")"),"")</f>
        <v/>
      </c>
      <c r="C292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Helper'!$F$5:$F$3004,"""")&lt;&gt;""""),ROWS(C$5:C2926)),"""")"),"")</f>
        <v/>
      </c>
      <c r="D292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Helper'!$F$5:$F$3004,"""")&lt;&gt;""""),ROWS(D$5:D2926)),"""")"),"")</f>
        <v/>
      </c>
      <c r="E292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Helper'!$F$5:$F$3004,"""")&lt;&gt;""""),ROWS(E$5:E2926)),"""")"),"")</f>
        <v/>
      </c>
      <c r="F292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Helper'!$F$5:$F$3004,"""")&lt;&gt;""""),ROWS(F$5:F2926)),IF(AND(LEFT(x,5)=""Pag"&amp;"e "",ISERROR(SEARCH(""–"",x))),x&amp;""–""&amp;REGEXEXTRACT(x,""[0-9]+$""),x)),"""")"),"")</f>
        <v/>
      </c>
      <c r="G2926" s="163"/>
      <c r="H292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Helper'!$F$5:$F$3004,"""")&lt;&gt;""""),ROWS(H$5:H2926)),"""")"),"")</f>
        <v/>
      </c>
    </row>
    <row r="2927" ht="15.75" customHeight="1">
      <c r="A292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Helper'!$F$5:$F$3004,"""")&lt;&gt;""""),ROWS(A$5:A2927)),"""")"),"")</f>
        <v/>
      </c>
      <c r="B292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Helper'!$F$5:$F$3004,"""")&lt;&gt;""""),ROWS(B$5:B2927)),"""")"),"")</f>
        <v/>
      </c>
      <c r="C292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Helper'!$F$5:$F$3004,"""")&lt;&gt;""""),ROWS(C$5:C2927)),"""")"),"")</f>
        <v/>
      </c>
      <c r="D292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Helper'!$F$5:$F$3004,"""")&lt;&gt;""""),ROWS(D$5:D2927)),"""")"),"")</f>
        <v/>
      </c>
      <c r="E292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Helper'!$F$5:$F$3004,"""")&lt;&gt;""""),ROWS(E$5:E2927)),"""")"),"")</f>
        <v/>
      </c>
      <c r="F292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Helper'!$F$5:$F$3004,"""")&lt;&gt;""""),ROWS(F$5:F2927)),IF(AND(LEFT(x,5)=""Pag"&amp;"e "",ISERROR(SEARCH(""–"",x))),x&amp;""–""&amp;REGEXEXTRACT(x,""[0-9]+$""),x)),"""")"),"")</f>
        <v/>
      </c>
      <c r="G2927" s="163"/>
      <c r="H292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Helper'!$F$5:$F$3004,"""")&lt;&gt;""""),ROWS(H$5:H2927)),"""")"),"")</f>
        <v/>
      </c>
    </row>
    <row r="2928" ht="15.75" customHeight="1">
      <c r="A292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Helper'!$F$5:$F$3004,"""")&lt;&gt;""""),ROWS(A$5:A2928)),"""")"),"")</f>
        <v/>
      </c>
      <c r="B292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Helper'!$F$5:$F$3004,"""")&lt;&gt;""""),ROWS(B$5:B2928)),"""")"),"")</f>
        <v/>
      </c>
      <c r="C292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Helper'!$F$5:$F$3004,"""")&lt;&gt;""""),ROWS(C$5:C2928)),"""")"),"")</f>
        <v/>
      </c>
      <c r="D292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Helper'!$F$5:$F$3004,"""")&lt;&gt;""""),ROWS(D$5:D2928)),"""")"),"")</f>
        <v/>
      </c>
      <c r="E292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Helper'!$F$5:$F$3004,"""")&lt;&gt;""""),ROWS(E$5:E2928)),"""")"),"")</f>
        <v/>
      </c>
      <c r="F292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Helper'!$F$5:$F$3004,"""")&lt;&gt;""""),ROWS(F$5:F2928)),IF(AND(LEFT(x,5)=""Pag"&amp;"e "",ISERROR(SEARCH(""–"",x))),x&amp;""–""&amp;REGEXEXTRACT(x,""[0-9]+$""),x)),"""")"),"")</f>
        <v/>
      </c>
      <c r="G2928" s="163"/>
      <c r="H292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Helper'!$F$5:$F$3004,"""")&lt;&gt;""""),ROWS(H$5:H2928)),"""")"),"")</f>
        <v/>
      </c>
    </row>
    <row r="2929" ht="15.75" customHeight="1">
      <c r="A292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Helper'!$F$5:$F$3004,"""")&lt;&gt;""""),ROWS(A$5:A2929)),"""")"),"")</f>
        <v/>
      </c>
      <c r="B292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Helper'!$F$5:$F$3004,"""")&lt;&gt;""""),ROWS(B$5:B2929)),"""")"),"")</f>
        <v/>
      </c>
      <c r="C292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Helper'!$F$5:$F$3004,"""")&lt;&gt;""""),ROWS(C$5:C2929)),"""")"),"")</f>
        <v/>
      </c>
      <c r="D292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Helper'!$F$5:$F$3004,"""")&lt;&gt;""""),ROWS(D$5:D2929)),"""")"),"")</f>
        <v/>
      </c>
      <c r="E292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Helper'!$F$5:$F$3004,"""")&lt;&gt;""""),ROWS(E$5:E2929)),"""")"),"")</f>
        <v/>
      </c>
      <c r="F292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Helper'!$F$5:$F$3004,"""")&lt;&gt;""""),ROWS(F$5:F2929)),IF(AND(LEFT(x,5)=""Pag"&amp;"e "",ISERROR(SEARCH(""–"",x))),x&amp;""–""&amp;REGEXEXTRACT(x,""[0-9]+$""),x)),"""")"),"")</f>
        <v/>
      </c>
      <c r="G2929" s="163"/>
      <c r="H292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Helper'!$F$5:$F$3004,"""")&lt;&gt;""""),ROWS(H$5:H2929)),"""")"),"")</f>
        <v/>
      </c>
    </row>
    <row r="2930" ht="15.75" customHeight="1">
      <c r="A293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Helper'!$F$5:$F$3004,"""")&lt;&gt;""""),ROWS(A$5:A2930)),"""")"),"")</f>
        <v/>
      </c>
      <c r="B293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Helper'!$F$5:$F$3004,"""")&lt;&gt;""""),ROWS(B$5:B2930)),"""")"),"")</f>
        <v/>
      </c>
      <c r="C293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Helper'!$F$5:$F$3004,"""")&lt;&gt;""""),ROWS(C$5:C2930)),"""")"),"")</f>
        <v/>
      </c>
      <c r="D293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Helper'!$F$5:$F$3004,"""")&lt;&gt;""""),ROWS(D$5:D2930)),"""")"),"")</f>
        <v/>
      </c>
      <c r="E293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Helper'!$F$5:$F$3004,"""")&lt;&gt;""""),ROWS(E$5:E2930)),"""")"),"")</f>
        <v/>
      </c>
      <c r="F293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Helper'!$F$5:$F$3004,"""")&lt;&gt;""""),ROWS(F$5:F2930)),IF(AND(LEFT(x,5)=""Pag"&amp;"e "",ISERROR(SEARCH(""–"",x))),x&amp;""–""&amp;REGEXEXTRACT(x,""[0-9]+$""),x)),"""")"),"")</f>
        <v/>
      </c>
      <c r="G2930" s="163"/>
      <c r="H293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Helper'!$F$5:$F$3004,"""")&lt;&gt;""""),ROWS(H$5:H2930)),"""")"),"")</f>
        <v/>
      </c>
    </row>
    <row r="2931" ht="15.75" customHeight="1">
      <c r="A293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Helper'!$F$5:$F$3004,"""")&lt;&gt;""""),ROWS(A$5:A2931)),"""")"),"")</f>
        <v/>
      </c>
      <c r="B293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Helper'!$F$5:$F$3004,"""")&lt;&gt;""""),ROWS(B$5:B2931)),"""")"),"")</f>
        <v/>
      </c>
      <c r="C293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Helper'!$F$5:$F$3004,"""")&lt;&gt;""""),ROWS(C$5:C2931)),"""")"),"")</f>
        <v/>
      </c>
      <c r="D293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Helper'!$F$5:$F$3004,"""")&lt;&gt;""""),ROWS(D$5:D2931)),"""")"),"")</f>
        <v/>
      </c>
      <c r="E293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Helper'!$F$5:$F$3004,"""")&lt;&gt;""""),ROWS(E$5:E2931)),"""")"),"")</f>
        <v/>
      </c>
      <c r="F293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Helper'!$F$5:$F$3004,"""")&lt;&gt;""""),ROWS(F$5:F2931)),IF(AND(LEFT(x,5)=""Pag"&amp;"e "",ISERROR(SEARCH(""–"",x))),x&amp;""–""&amp;REGEXEXTRACT(x,""[0-9]+$""),x)),"""")"),"")</f>
        <v/>
      </c>
      <c r="G2931" s="163"/>
      <c r="H293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Helper'!$F$5:$F$3004,"""")&lt;&gt;""""),ROWS(H$5:H2931)),"""")"),"")</f>
        <v/>
      </c>
    </row>
    <row r="2932" ht="15.75" customHeight="1">
      <c r="A293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Helper'!$F$5:$F$3004,"""")&lt;&gt;""""),ROWS(A$5:A2932)),"""")"),"")</f>
        <v/>
      </c>
      <c r="B293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Helper'!$F$5:$F$3004,"""")&lt;&gt;""""),ROWS(B$5:B2932)),"""")"),"")</f>
        <v/>
      </c>
      <c r="C293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Helper'!$F$5:$F$3004,"""")&lt;&gt;""""),ROWS(C$5:C2932)),"""")"),"")</f>
        <v/>
      </c>
      <c r="D293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Helper'!$F$5:$F$3004,"""")&lt;&gt;""""),ROWS(D$5:D2932)),"""")"),"")</f>
        <v/>
      </c>
      <c r="E293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Helper'!$F$5:$F$3004,"""")&lt;&gt;""""),ROWS(E$5:E2932)),"""")"),"")</f>
        <v/>
      </c>
      <c r="F293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Helper'!$F$5:$F$3004,"""")&lt;&gt;""""),ROWS(F$5:F2932)),IF(AND(LEFT(x,5)=""Pag"&amp;"e "",ISERROR(SEARCH(""–"",x))),x&amp;""–""&amp;REGEXEXTRACT(x,""[0-9]+$""),x)),"""")"),"")</f>
        <v/>
      </c>
      <c r="G2932" s="163"/>
      <c r="H293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Helper'!$F$5:$F$3004,"""")&lt;&gt;""""),ROWS(H$5:H2932)),"""")"),"")</f>
        <v/>
      </c>
    </row>
    <row r="2933" ht="15.75" customHeight="1">
      <c r="A293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Helper'!$F$5:$F$3004,"""")&lt;&gt;""""),ROWS(A$5:A2933)),"""")"),"")</f>
        <v/>
      </c>
      <c r="B293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Helper'!$F$5:$F$3004,"""")&lt;&gt;""""),ROWS(B$5:B2933)),"""")"),"")</f>
        <v/>
      </c>
      <c r="C293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Helper'!$F$5:$F$3004,"""")&lt;&gt;""""),ROWS(C$5:C2933)),"""")"),"")</f>
        <v/>
      </c>
      <c r="D293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Helper'!$F$5:$F$3004,"""")&lt;&gt;""""),ROWS(D$5:D2933)),"""")"),"")</f>
        <v/>
      </c>
      <c r="E293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Helper'!$F$5:$F$3004,"""")&lt;&gt;""""),ROWS(E$5:E2933)),"""")"),"")</f>
        <v/>
      </c>
      <c r="F293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Helper'!$F$5:$F$3004,"""")&lt;&gt;""""),ROWS(F$5:F2933)),IF(AND(LEFT(x,5)=""Pag"&amp;"e "",ISERROR(SEARCH(""–"",x))),x&amp;""–""&amp;REGEXEXTRACT(x,""[0-9]+$""),x)),"""")"),"")</f>
        <v/>
      </c>
      <c r="G2933" s="163"/>
      <c r="H293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Helper'!$F$5:$F$3004,"""")&lt;&gt;""""),ROWS(H$5:H2933)),"""")"),"")</f>
        <v/>
      </c>
    </row>
    <row r="2934" ht="15.75" customHeight="1">
      <c r="A293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Helper'!$F$5:$F$3004,"""")&lt;&gt;""""),ROWS(A$5:A2934)),"""")"),"")</f>
        <v/>
      </c>
      <c r="B293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Helper'!$F$5:$F$3004,"""")&lt;&gt;""""),ROWS(B$5:B2934)),"""")"),"")</f>
        <v/>
      </c>
      <c r="C293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Helper'!$F$5:$F$3004,"""")&lt;&gt;""""),ROWS(C$5:C2934)),"""")"),"")</f>
        <v/>
      </c>
      <c r="D293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Helper'!$F$5:$F$3004,"""")&lt;&gt;""""),ROWS(D$5:D2934)),"""")"),"")</f>
        <v/>
      </c>
      <c r="E293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Helper'!$F$5:$F$3004,"""")&lt;&gt;""""),ROWS(E$5:E2934)),"""")"),"")</f>
        <v/>
      </c>
      <c r="F293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Helper'!$F$5:$F$3004,"""")&lt;&gt;""""),ROWS(F$5:F2934)),IF(AND(LEFT(x,5)=""Pag"&amp;"e "",ISERROR(SEARCH(""–"",x))),x&amp;""–""&amp;REGEXEXTRACT(x,""[0-9]+$""),x)),"""")"),"")</f>
        <v/>
      </c>
      <c r="G2934" s="163"/>
      <c r="H293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Helper'!$F$5:$F$3004,"""")&lt;&gt;""""),ROWS(H$5:H2934)),"""")"),"")</f>
        <v/>
      </c>
    </row>
    <row r="2935" ht="15.75" customHeight="1">
      <c r="A293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Helper'!$F$5:$F$3004,"""")&lt;&gt;""""),ROWS(A$5:A2935)),"""")"),"")</f>
        <v/>
      </c>
      <c r="B293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Helper'!$F$5:$F$3004,"""")&lt;&gt;""""),ROWS(B$5:B2935)),"""")"),"")</f>
        <v/>
      </c>
      <c r="C293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Helper'!$F$5:$F$3004,"""")&lt;&gt;""""),ROWS(C$5:C2935)),"""")"),"")</f>
        <v/>
      </c>
      <c r="D293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Helper'!$F$5:$F$3004,"""")&lt;&gt;""""),ROWS(D$5:D2935)),"""")"),"")</f>
        <v/>
      </c>
      <c r="E293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Helper'!$F$5:$F$3004,"""")&lt;&gt;""""),ROWS(E$5:E2935)),"""")"),"")</f>
        <v/>
      </c>
      <c r="F293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Helper'!$F$5:$F$3004,"""")&lt;&gt;""""),ROWS(F$5:F2935)),IF(AND(LEFT(x,5)=""Pag"&amp;"e "",ISERROR(SEARCH(""–"",x))),x&amp;""–""&amp;REGEXEXTRACT(x,""[0-9]+$""),x)),"""")"),"")</f>
        <v/>
      </c>
      <c r="G2935" s="163"/>
      <c r="H293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Helper'!$F$5:$F$3004,"""")&lt;&gt;""""),ROWS(H$5:H2935)),"""")"),"")</f>
        <v/>
      </c>
    </row>
    <row r="2936" ht="15.75" customHeight="1">
      <c r="A293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Helper'!$F$5:$F$3004,"""")&lt;&gt;""""),ROWS(A$5:A2936)),"""")"),"")</f>
        <v/>
      </c>
      <c r="B293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Helper'!$F$5:$F$3004,"""")&lt;&gt;""""),ROWS(B$5:B2936)),"""")"),"")</f>
        <v/>
      </c>
      <c r="C293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Helper'!$F$5:$F$3004,"""")&lt;&gt;""""),ROWS(C$5:C2936)),"""")"),"")</f>
        <v/>
      </c>
      <c r="D293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Helper'!$F$5:$F$3004,"""")&lt;&gt;""""),ROWS(D$5:D2936)),"""")"),"")</f>
        <v/>
      </c>
      <c r="E293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Helper'!$F$5:$F$3004,"""")&lt;&gt;""""),ROWS(E$5:E2936)),"""")"),"")</f>
        <v/>
      </c>
      <c r="F293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Helper'!$F$5:$F$3004,"""")&lt;&gt;""""),ROWS(F$5:F2936)),IF(AND(LEFT(x,5)=""Pag"&amp;"e "",ISERROR(SEARCH(""–"",x))),x&amp;""–""&amp;REGEXEXTRACT(x,""[0-9]+$""),x)),"""")"),"")</f>
        <v/>
      </c>
      <c r="G2936" s="163"/>
      <c r="H293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Helper'!$F$5:$F$3004,"""")&lt;&gt;""""),ROWS(H$5:H2936)),"""")"),"")</f>
        <v/>
      </c>
    </row>
    <row r="2937" ht="15.75" customHeight="1">
      <c r="A293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Helper'!$F$5:$F$3004,"""")&lt;&gt;""""),ROWS(A$5:A2937)),"""")"),"")</f>
        <v/>
      </c>
      <c r="B293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Helper'!$F$5:$F$3004,"""")&lt;&gt;""""),ROWS(B$5:B2937)),"""")"),"")</f>
        <v/>
      </c>
      <c r="C293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Helper'!$F$5:$F$3004,"""")&lt;&gt;""""),ROWS(C$5:C2937)),"""")"),"")</f>
        <v/>
      </c>
      <c r="D293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Helper'!$F$5:$F$3004,"""")&lt;&gt;""""),ROWS(D$5:D2937)),"""")"),"")</f>
        <v/>
      </c>
      <c r="E293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Helper'!$F$5:$F$3004,"""")&lt;&gt;""""),ROWS(E$5:E2937)),"""")"),"")</f>
        <v/>
      </c>
      <c r="F293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Helper'!$F$5:$F$3004,"""")&lt;&gt;""""),ROWS(F$5:F2937)),IF(AND(LEFT(x,5)=""Pag"&amp;"e "",ISERROR(SEARCH(""–"",x))),x&amp;""–""&amp;REGEXEXTRACT(x,""[0-9]+$""),x)),"""")"),"")</f>
        <v/>
      </c>
      <c r="G2937" s="163"/>
      <c r="H293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Helper'!$F$5:$F$3004,"""")&lt;&gt;""""),ROWS(H$5:H2937)),"""")"),"")</f>
        <v/>
      </c>
    </row>
    <row r="2938" ht="15.75" customHeight="1">
      <c r="A293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Helper'!$F$5:$F$3004,"""")&lt;&gt;""""),ROWS(A$5:A2938)),"""")"),"")</f>
        <v/>
      </c>
      <c r="B293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Helper'!$F$5:$F$3004,"""")&lt;&gt;""""),ROWS(B$5:B2938)),"""")"),"")</f>
        <v/>
      </c>
      <c r="C293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Helper'!$F$5:$F$3004,"""")&lt;&gt;""""),ROWS(C$5:C2938)),"""")"),"")</f>
        <v/>
      </c>
      <c r="D293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Helper'!$F$5:$F$3004,"""")&lt;&gt;""""),ROWS(D$5:D2938)),"""")"),"")</f>
        <v/>
      </c>
      <c r="E293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Helper'!$F$5:$F$3004,"""")&lt;&gt;""""),ROWS(E$5:E2938)),"""")"),"")</f>
        <v/>
      </c>
      <c r="F293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Helper'!$F$5:$F$3004,"""")&lt;&gt;""""),ROWS(F$5:F2938)),IF(AND(LEFT(x,5)=""Pag"&amp;"e "",ISERROR(SEARCH(""–"",x))),x&amp;""–""&amp;REGEXEXTRACT(x,""[0-9]+$""),x)),"""")"),"")</f>
        <v/>
      </c>
      <c r="G2938" s="163"/>
      <c r="H293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Helper'!$F$5:$F$3004,"""")&lt;&gt;""""),ROWS(H$5:H2938)),"""")"),"")</f>
        <v/>
      </c>
    </row>
    <row r="2939" ht="15.75" customHeight="1">
      <c r="A293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Helper'!$F$5:$F$3004,"""")&lt;&gt;""""),ROWS(A$5:A2939)),"""")"),"")</f>
        <v/>
      </c>
      <c r="B293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Helper'!$F$5:$F$3004,"""")&lt;&gt;""""),ROWS(B$5:B2939)),"""")"),"")</f>
        <v/>
      </c>
      <c r="C293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Helper'!$F$5:$F$3004,"""")&lt;&gt;""""),ROWS(C$5:C2939)),"""")"),"")</f>
        <v/>
      </c>
      <c r="D293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Helper'!$F$5:$F$3004,"""")&lt;&gt;""""),ROWS(D$5:D2939)),"""")"),"")</f>
        <v/>
      </c>
      <c r="E293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Helper'!$F$5:$F$3004,"""")&lt;&gt;""""),ROWS(E$5:E2939)),"""")"),"")</f>
        <v/>
      </c>
      <c r="F293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Helper'!$F$5:$F$3004,"""")&lt;&gt;""""),ROWS(F$5:F2939)),IF(AND(LEFT(x,5)=""Pag"&amp;"e "",ISERROR(SEARCH(""–"",x))),x&amp;""–""&amp;REGEXEXTRACT(x,""[0-9]+$""),x)),"""")"),"")</f>
        <v/>
      </c>
      <c r="G2939" s="163"/>
      <c r="H293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Helper'!$F$5:$F$3004,"""")&lt;&gt;""""),ROWS(H$5:H2939)),"""")"),"")</f>
        <v/>
      </c>
    </row>
    <row r="2940" ht="15.75" customHeight="1">
      <c r="A294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Helper'!$F$5:$F$3004,"""")&lt;&gt;""""),ROWS(A$5:A2940)),"""")"),"")</f>
        <v/>
      </c>
      <c r="B294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Helper'!$F$5:$F$3004,"""")&lt;&gt;""""),ROWS(B$5:B2940)),"""")"),"")</f>
        <v/>
      </c>
      <c r="C294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Helper'!$F$5:$F$3004,"""")&lt;&gt;""""),ROWS(C$5:C2940)),"""")"),"")</f>
        <v/>
      </c>
      <c r="D294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Helper'!$F$5:$F$3004,"""")&lt;&gt;""""),ROWS(D$5:D2940)),"""")"),"")</f>
        <v/>
      </c>
      <c r="E294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Helper'!$F$5:$F$3004,"""")&lt;&gt;""""),ROWS(E$5:E2940)),"""")"),"")</f>
        <v/>
      </c>
      <c r="F294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Helper'!$F$5:$F$3004,"""")&lt;&gt;""""),ROWS(F$5:F2940)),IF(AND(LEFT(x,5)=""Pag"&amp;"e "",ISERROR(SEARCH(""–"",x))),x&amp;""–""&amp;REGEXEXTRACT(x,""[0-9]+$""),x)),"""")"),"")</f>
        <v/>
      </c>
      <c r="G2940" s="163"/>
      <c r="H294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Helper'!$F$5:$F$3004,"""")&lt;&gt;""""),ROWS(H$5:H2940)),"""")"),"")</f>
        <v/>
      </c>
    </row>
    <row r="2941" ht="15.75" customHeight="1">
      <c r="A294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Helper'!$F$5:$F$3004,"""")&lt;&gt;""""),ROWS(A$5:A2941)),"""")"),"")</f>
        <v/>
      </c>
      <c r="B294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Helper'!$F$5:$F$3004,"""")&lt;&gt;""""),ROWS(B$5:B2941)),"""")"),"")</f>
        <v/>
      </c>
      <c r="C294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Helper'!$F$5:$F$3004,"""")&lt;&gt;""""),ROWS(C$5:C2941)),"""")"),"")</f>
        <v/>
      </c>
      <c r="D294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Helper'!$F$5:$F$3004,"""")&lt;&gt;""""),ROWS(D$5:D2941)),"""")"),"")</f>
        <v/>
      </c>
      <c r="E294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Helper'!$F$5:$F$3004,"""")&lt;&gt;""""),ROWS(E$5:E2941)),"""")"),"")</f>
        <v/>
      </c>
      <c r="F294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Helper'!$F$5:$F$3004,"""")&lt;&gt;""""),ROWS(F$5:F2941)),IF(AND(LEFT(x,5)=""Pag"&amp;"e "",ISERROR(SEARCH(""–"",x))),x&amp;""–""&amp;REGEXEXTRACT(x,""[0-9]+$""),x)),"""")"),"")</f>
        <v/>
      </c>
      <c r="G2941" s="163"/>
      <c r="H294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Helper'!$F$5:$F$3004,"""")&lt;&gt;""""),ROWS(H$5:H2941)),"""")"),"")</f>
        <v/>
      </c>
    </row>
    <row r="2942" ht="15.75" customHeight="1">
      <c r="A294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Helper'!$F$5:$F$3004,"""")&lt;&gt;""""),ROWS(A$5:A2942)),"""")"),"")</f>
        <v/>
      </c>
      <c r="B294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Helper'!$F$5:$F$3004,"""")&lt;&gt;""""),ROWS(B$5:B2942)),"""")"),"")</f>
        <v/>
      </c>
      <c r="C294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Helper'!$F$5:$F$3004,"""")&lt;&gt;""""),ROWS(C$5:C2942)),"""")"),"")</f>
        <v/>
      </c>
      <c r="D294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Helper'!$F$5:$F$3004,"""")&lt;&gt;""""),ROWS(D$5:D2942)),"""")"),"")</f>
        <v/>
      </c>
      <c r="E294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Helper'!$F$5:$F$3004,"""")&lt;&gt;""""),ROWS(E$5:E2942)),"""")"),"")</f>
        <v/>
      </c>
      <c r="F294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Helper'!$F$5:$F$3004,"""")&lt;&gt;""""),ROWS(F$5:F2942)),IF(AND(LEFT(x,5)=""Pag"&amp;"e "",ISERROR(SEARCH(""–"",x))),x&amp;""–""&amp;REGEXEXTRACT(x,""[0-9]+$""),x)),"""")"),"")</f>
        <v/>
      </c>
      <c r="G2942" s="163"/>
      <c r="H294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Helper'!$F$5:$F$3004,"""")&lt;&gt;""""),ROWS(H$5:H2942)),"""")"),"")</f>
        <v/>
      </c>
    </row>
    <row r="2943" ht="15.75" customHeight="1">
      <c r="A294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Helper'!$F$5:$F$3004,"""")&lt;&gt;""""),ROWS(A$5:A2943)),"""")"),"")</f>
        <v/>
      </c>
      <c r="B294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Helper'!$F$5:$F$3004,"""")&lt;&gt;""""),ROWS(B$5:B2943)),"""")"),"")</f>
        <v/>
      </c>
      <c r="C294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Helper'!$F$5:$F$3004,"""")&lt;&gt;""""),ROWS(C$5:C2943)),"""")"),"")</f>
        <v/>
      </c>
      <c r="D294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Helper'!$F$5:$F$3004,"""")&lt;&gt;""""),ROWS(D$5:D2943)),"""")"),"")</f>
        <v/>
      </c>
      <c r="E294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Helper'!$F$5:$F$3004,"""")&lt;&gt;""""),ROWS(E$5:E2943)),"""")"),"")</f>
        <v/>
      </c>
      <c r="F294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Helper'!$F$5:$F$3004,"""")&lt;&gt;""""),ROWS(F$5:F2943)),IF(AND(LEFT(x,5)=""Pag"&amp;"e "",ISERROR(SEARCH(""–"",x))),x&amp;""–""&amp;REGEXEXTRACT(x,""[0-9]+$""),x)),"""")"),"")</f>
        <v/>
      </c>
      <c r="G2943" s="163"/>
      <c r="H294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Helper'!$F$5:$F$3004,"""")&lt;&gt;""""),ROWS(H$5:H2943)),"""")"),"")</f>
        <v/>
      </c>
    </row>
    <row r="2944" ht="15.75" customHeight="1">
      <c r="A294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Helper'!$F$5:$F$3004,"""")&lt;&gt;""""),ROWS(A$5:A2944)),"""")"),"")</f>
        <v/>
      </c>
      <c r="B294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Helper'!$F$5:$F$3004,"""")&lt;&gt;""""),ROWS(B$5:B2944)),"""")"),"")</f>
        <v/>
      </c>
      <c r="C294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Helper'!$F$5:$F$3004,"""")&lt;&gt;""""),ROWS(C$5:C2944)),"""")"),"")</f>
        <v/>
      </c>
      <c r="D294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Helper'!$F$5:$F$3004,"""")&lt;&gt;""""),ROWS(D$5:D2944)),"""")"),"")</f>
        <v/>
      </c>
      <c r="E294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Helper'!$F$5:$F$3004,"""")&lt;&gt;""""),ROWS(E$5:E2944)),"""")"),"")</f>
        <v/>
      </c>
      <c r="F294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Helper'!$F$5:$F$3004,"""")&lt;&gt;""""),ROWS(F$5:F2944)),IF(AND(LEFT(x,5)=""Pag"&amp;"e "",ISERROR(SEARCH(""–"",x))),x&amp;""–""&amp;REGEXEXTRACT(x,""[0-9]+$""),x)),"""")"),"")</f>
        <v/>
      </c>
      <c r="G2944" s="163"/>
      <c r="H294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Helper'!$F$5:$F$3004,"""")&lt;&gt;""""),ROWS(H$5:H2944)),"""")"),"")</f>
        <v/>
      </c>
    </row>
    <row r="2945" ht="15.75" customHeight="1">
      <c r="A294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Helper'!$F$5:$F$3004,"""")&lt;&gt;""""),ROWS(A$5:A2945)),"""")"),"")</f>
        <v/>
      </c>
      <c r="B294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Helper'!$F$5:$F$3004,"""")&lt;&gt;""""),ROWS(B$5:B2945)),"""")"),"")</f>
        <v/>
      </c>
      <c r="C294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Helper'!$F$5:$F$3004,"""")&lt;&gt;""""),ROWS(C$5:C2945)),"""")"),"")</f>
        <v/>
      </c>
      <c r="D294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Helper'!$F$5:$F$3004,"""")&lt;&gt;""""),ROWS(D$5:D2945)),"""")"),"")</f>
        <v/>
      </c>
      <c r="E294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Helper'!$F$5:$F$3004,"""")&lt;&gt;""""),ROWS(E$5:E2945)),"""")"),"")</f>
        <v/>
      </c>
      <c r="F294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Helper'!$F$5:$F$3004,"""")&lt;&gt;""""),ROWS(F$5:F2945)),IF(AND(LEFT(x,5)=""Pag"&amp;"e "",ISERROR(SEARCH(""–"",x))),x&amp;""–""&amp;REGEXEXTRACT(x,""[0-9]+$""),x)),"""")"),"")</f>
        <v/>
      </c>
      <c r="G2945" s="163"/>
      <c r="H294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Helper'!$F$5:$F$3004,"""")&lt;&gt;""""),ROWS(H$5:H2945)),"""")"),"")</f>
        <v/>
      </c>
    </row>
    <row r="2946" ht="15.75" customHeight="1">
      <c r="A294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Helper'!$F$5:$F$3004,"""")&lt;&gt;""""),ROWS(A$5:A2946)),"""")"),"")</f>
        <v/>
      </c>
      <c r="B294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Helper'!$F$5:$F$3004,"""")&lt;&gt;""""),ROWS(B$5:B2946)),"""")"),"")</f>
        <v/>
      </c>
      <c r="C294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Helper'!$F$5:$F$3004,"""")&lt;&gt;""""),ROWS(C$5:C2946)),"""")"),"")</f>
        <v/>
      </c>
      <c r="D294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Helper'!$F$5:$F$3004,"""")&lt;&gt;""""),ROWS(D$5:D2946)),"""")"),"")</f>
        <v/>
      </c>
      <c r="E294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Helper'!$F$5:$F$3004,"""")&lt;&gt;""""),ROWS(E$5:E2946)),"""")"),"")</f>
        <v/>
      </c>
      <c r="F294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Helper'!$F$5:$F$3004,"""")&lt;&gt;""""),ROWS(F$5:F2946)),IF(AND(LEFT(x,5)=""Pag"&amp;"e "",ISERROR(SEARCH(""–"",x))),x&amp;""–""&amp;REGEXEXTRACT(x,""[0-9]+$""),x)),"""")"),"")</f>
        <v/>
      </c>
      <c r="G2946" s="163"/>
      <c r="H294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Helper'!$F$5:$F$3004,"""")&lt;&gt;""""),ROWS(H$5:H2946)),"""")"),"")</f>
        <v/>
      </c>
    </row>
    <row r="2947" ht="15.75" customHeight="1">
      <c r="A294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Helper'!$F$5:$F$3004,"""")&lt;&gt;""""),ROWS(A$5:A2947)),"""")"),"")</f>
        <v/>
      </c>
      <c r="B294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Helper'!$F$5:$F$3004,"""")&lt;&gt;""""),ROWS(B$5:B2947)),"""")"),"")</f>
        <v/>
      </c>
      <c r="C294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Helper'!$F$5:$F$3004,"""")&lt;&gt;""""),ROWS(C$5:C2947)),"""")"),"")</f>
        <v/>
      </c>
      <c r="D294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Helper'!$F$5:$F$3004,"""")&lt;&gt;""""),ROWS(D$5:D2947)),"""")"),"")</f>
        <v/>
      </c>
      <c r="E294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Helper'!$F$5:$F$3004,"""")&lt;&gt;""""),ROWS(E$5:E2947)),"""")"),"")</f>
        <v/>
      </c>
      <c r="F294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Helper'!$F$5:$F$3004,"""")&lt;&gt;""""),ROWS(F$5:F2947)),IF(AND(LEFT(x,5)=""Pag"&amp;"e "",ISERROR(SEARCH(""–"",x))),x&amp;""–""&amp;REGEXEXTRACT(x,""[0-9]+$""),x)),"""")"),"")</f>
        <v/>
      </c>
      <c r="G2947" s="163"/>
      <c r="H294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Helper'!$F$5:$F$3004,"""")&lt;&gt;""""),ROWS(H$5:H2947)),"""")"),"")</f>
        <v/>
      </c>
    </row>
    <row r="2948" ht="15.75" customHeight="1">
      <c r="A294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Helper'!$F$5:$F$3004,"""")&lt;&gt;""""),ROWS(A$5:A2948)),"""")"),"")</f>
        <v/>
      </c>
      <c r="B294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Helper'!$F$5:$F$3004,"""")&lt;&gt;""""),ROWS(B$5:B2948)),"""")"),"")</f>
        <v/>
      </c>
      <c r="C294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Helper'!$F$5:$F$3004,"""")&lt;&gt;""""),ROWS(C$5:C2948)),"""")"),"")</f>
        <v/>
      </c>
      <c r="D294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Helper'!$F$5:$F$3004,"""")&lt;&gt;""""),ROWS(D$5:D2948)),"""")"),"")</f>
        <v/>
      </c>
      <c r="E294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Helper'!$F$5:$F$3004,"""")&lt;&gt;""""),ROWS(E$5:E2948)),"""")"),"")</f>
        <v/>
      </c>
      <c r="F294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Helper'!$F$5:$F$3004,"""")&lt;&gt;""""),ROWS(F$5:F2948)),IF(AND(LEFT(x,5)=""Pag"&amp;"e "",ISERROR(SEARCH(""–"",x))),x&amp;""–""&amp;REGEXEXTRACT(x,""[0-9]+$""),x)),"""")"),"")</f>
        <v/>
      </c>
      <c r="G2948" s="163"/>
      <c r="H294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Helper'!$F$5:$F$3004,"""")&lt;&gt;""""),ROWS(H$5:H2948)),"""")"),"")</f>
        <v/>
      </c>
    </row>
    <row r="2949" ht="15.75" customHeight="1">
      <c r="A294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Helper'!$F$5:$F$3004,"""")&lt;&gt;""""),ROWS(A$5:A2949)),"""")"),"")</f>
        <v/>
      </c>
      <c r="B294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Helper'!$F$5:$F$3004,"""")&lt;&gt;""""),ROWS(B$5:B2949)),"""")"),"")</f>
        <v/>
      </c>
      <c r="C294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Helper'!$F$5:$F$3004,"""")&lt;&gt;""""),ROWS(C$5:C2949)),"""")"),"")</f>
        <v/>
      </c>
      <c r="D294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Helper'!$F$5:$F$3004,"""")&lt;&gt;""""),ROWS(D$5:D2949)),"""")"),"")</f>
        <v/>
      </c>
      <c r="E294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Helper'!$F$5:$F$3004,"""")&lt;&gt;""""),ROWS(E$5:E2949)),"""")"),"")</f>
        <v/>
      </c>
      <c r="F294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Helper'!$F$5:$F$3004,"""")&lt;&gt;""""),ROWS(F$5:F2949)),IF(AND(LEFT(x,5)=""Pag"&amp;"e "",ISERROR(SEARCH(""–"",x))),x&amp;""–""&amp;REGEXEXTRACT(x,""[0-9]+$""),x)),"""")"),"")</f>
        <v/>
      </c>
      <c r="G2949" s="163"/>
      <c r="H294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Helper'!$F$5:$F$3004,"""")&lt;&gt;""""),ROWS(H$5:H2949)),"""")"),"")</f>
        <v/>
      </c>
    </row>
    <row r="2950" ht="15.75" customHeight="1">
      <c r="A295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Helper'!$F$5:$F$3004,"""")&lt;&gt;""""),ROWS(A$5:A2950)),"""")"),"")</f>
        <v/>
      </c>
      <c r="B295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Helper'!$F$5:$F$3004,"""")&lt;&gt;""""),ROWS(B$5:B2950)),"""")"),"")</f>
        <v/>
      </c>
      <c r="C295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Helper'!$F$5:$F$3004,"""")&lt;&gt;""""),ROWS(C$5:C2950)),"""")"),"")</f>
        <v/>
      </c>
      <c r="D295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Helper'!$F$5:$F$3004,"""")&lt;&gt;""""),ROWS(D$5:D2950)),"""")"),"")</f>
        <v/>
      </c>
      <c r="E295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Helper'!$F$5:$F$3004,"""")&lt;&gt;""""),ROWS(E$5:E2950)),"""")"),"")</f>
        <v/>
      </c>
      <c r="F295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Helper'!$F$5:$F$3004,"""")&lt;&gt;""""),ROWS(F$5:F2950)),IF(AND(LEFT(x,5)=""Pag"&amp;"e "",ISERROR(SEARCH(""–"",x))),x&amp;""–""&amp;REGEXEXTRACT(x,""[0-9]+$""),x)),"""")"),"")</f>
        <v/>
      </c>
      <c r="G2950" s="163"/>
      <c r="H295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Helper'!$F$5:$F$3004,"""")&lt;&gt;""""),ROWS(H$5:H2950)),"""")"),"")</f>
        <v/>
      </c>
    </row>
    <row r="2951" ht="15.75" customHeight="1">
      <c r="A295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Helper'!$F$5:$F$3004,"""")&lt;&gt;""""),ROWS(A$5:A2951)),"""")"),"")</f>
        <v/>
      </c>
      <c r="B295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Helper'!$F$5:$F$3004,"""")&lt;&gt;""""),ROWS(B$5:B2951)),"""")"),"")</f>
        <v/>
      </c>
      <c r="C295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Helper'!$F$5:$F$3004,"""")&lt;&gt;""""),ROWS(C$5:C2951)),"""")"),"")</f>
        <v/>
      </c>
      <c r="D295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Helper'!$F$5:$F$3004,"""")&lt;&gt;""""),ROWS(D$5:D2951)),"""")"),"")</f>
        <v/>
      </c>
      <c r="E295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Helper'!$F$5:$F$3004,"""")&lt;&gt;""""),ROWS(E$5:E2951)),"""")"),"")</f>
        <v/>
      </c>
      <c r="F295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Helper'!$F$5:$F$3004,"""")&lt;&gt;""""),ROWS(F$5:F2951)),IF(AND(LEFT(x,5)=""Pag"&amp;"e "",ISERROR(SEARCH(""–"",x))),x&amp;""–""&amp;REGEXEXTRACT(x,""[0-9]+$""),x)),"""")"),"")</f>
        <v/>
      </c>
      <c r="G2951" s="163"/>
      <c r="H295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Helper'!$F$5:$F$3004,"""")&lt;&gt;""""),ROWS(H$5:H2951)),"""")"),"")</f>
        <v/>
      </c>
    </row>
    <row r="2952" ht="15.75" customHeight="1">
      <c r="A295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Helper'!$F$5:$F$3004,"""")&lt;&gt;""""),ROWS(A$5:A2952)),"""")"),"")</f>
        <v/>
      </c>
      <c r="B295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Helper'!$F$5:$F$3004,"""")&lt;&gt;""""),ROWS(B$5:B2952)),"""")"),"")</f>
        <v/>
      </c>
      <c r="C295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Helper'!$F$5:$F$3004,"""")&lt;&gt;""""),ROWS(C$5:C2952)),"""")"),"")</f>
        <v/>
      </c>
      <c r="D295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Helper'!$F$5:$F$3004,"""")&lt;&gt;""""),ROWS(D$5:D2952)),"""")"),"")</f>
        <v/>
      </c>
      <c r="E295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Helper'!$F$5:$F$3004,"""")&lt;&gt;""""),ROWS(E$5:E2952)),"""")"),"")</f>
        <v/>
      </c>
      <c r="F295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Helper'!$F$5:$F$3004,"""")&lt;&gt;""""),ROWS(F$5:F2952)),IF(AND(LEFT(x,5)=""Pag"&amp;"e "",ISERROR(SEARCH(""–"",x))),x&amp;""–""&amp;REGEXEXTRACT(x,""[0-9]+$""),x)),"""")"),"")</f>
        <v/>
      </c>
      <c r="G2952" s="163"/>
      <c r="H295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Helper'!$F$5:$F$3004,"""")&lt;&gt;""""),ROWS(H$5:H2952)),"""")"),"")</f>
        <v/>
      </c>
    </row>
    <row r="2953" ht="15.75" customHeight="1">
      <c r="A295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Helper'!$F$5:$F$3004,"""")&lt;&gt;""""),ROWS(A$5:A2953)),"""")"),"")</f>
        <v/>
      </c>
      <c r="B295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Helper'!$F$5:$F$3004,"""")&lt;&gt;""""),ROWS(B$5:B2953)),"""")"),"")</f>
        <v/>
      </c>
      <c r="C295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Helper'!$F$5:$F$3004,"""")&lt;&gt;""""),ROWS(C$5:C2953)),"""")"),"")</f>
        <v/>
      </c>
      <c r="D295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Helper'!$F$5:$F$3004,"""")&lt;&gt;""""),ROWS(D$5:D2953)),"""")"),"")</f>
        <v/>
      </c>
      <c r="E295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Helper'!$F$5:$F$3004,"""")&lt;&gt;""""),ROWS(E$5:E2953)),"""")"),"")</f>
        <v/>
      </c>
      <c r="F295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Helper'!$F$5:$F$3004,"""")&lt;&gt;""""),ROWS(F$5:F2953)),IF(AND(LEFT(x,5)=""Pag"&amp;"e "",ISERROR(SEARCH(""–"",x))),x&amp;""–""&amp;REGEXEXTRACT(x,""[0-9]+$""),x)),"""")"),"")</f>
        <v/>
      </c>
      <c r="G2953" s="163"/>
      <c r="H295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Helper'!$F$5:$F$3004,"""")&lt;&gt;""""),ROWS(H$5:H2953)),"""")"),"")</f>
        <v/>
      </c>
    </row>
    <row r="2954" ht="15.75" customHeight="1">
      <c r="A295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Helper'!$F$5:$F$3004,"""")&lt;&gt;""""),ROWS(A$5:A2954)),"""")"),"")</f>
        <v/>
      </c>
      <c r="B295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Helper'!$F$5:$F$3004,"""")&lt;&gt;""""),ROWS(B$5:B2954)),"""")"),"")</f>
        <v/>
      </c>
      <c r="C295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Helper'!$F$5:$F$3004,"""")&lt;&gt;""""),ROWS(C$5:C2954)),"""")"),"")</f>
        <v/>
      </c>
      <c r="D295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Helper'!$F$5:$F$3004,"""")&lt;&gt;""""),ROWS(D$5:D2954)),"""")"),"")</f>
        <v/>
      </c>
      <c r="E295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Helper'!$F$5:$F$3004,"""")&lt;&gt;""""),ROWS(E$5:E2954)),"""")"),"")</f>
        <v/>
      </c>
      <c r="F295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Helper'!$F$5:$F$3004,"""")&lt;&gt;""""),ROWS(F$5:F2954)),IF(AND(LEFT(x,5)=""Pag"&amp;"e "",ISERROR(SEARCH(""–"",x))),x&amp;""–""&amp;REGEXEXTRACT(x,""[0-9]+$""),x)),"""")"),"")</f>
        <v/>
      </c>
      <c r="G2954" s="163"/>
      <c r="H295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Helper'!$F$5:$F$3004,"""")&lt;&gt;""""),ROWS(H$5:H2954)),"""")"),"")</f>
        <v/>
      </c>
    </row>
    <row r="2955" ht="15.75" customHeight="1">
      <c r="A295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Helper'!$F$5:$F$3004,"""")&lt;&gt;""""),ROWS(A$5:A2955)),"""")"),"")</f>
        <v/>
      </c>
      <c r="B295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Helper'!$F$5:$F$3004,"""")&lt;&gt;""""),ROWS(B$5:B2955)),"""")"),"")</f>
        <v/>
      </c>
      <c r="C295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Helper'!$F$5:$F$3004,"""")&lt;&gt;""""),ROWS(C$5:C2955)),"""")"),"")</f>
        <v/>
      </c>
      <c r="D295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Helper'!$F$5:$F$3004,"""")&lt;&gt;""""),ROWS(D$5:D2955)),"""")"),"")</f>
        <v/>
      </c>
      <c r="E295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Helper'!$F$5:$F$3004,"""")&lt;&gt;""""),ROWS(E$5:E2955)),"""")"),"")</f>
        <v/>
      </c>
      <c r="F295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Helper'!$F$5:$F$3004,"""")&lt;&gt;""""),ROWS(F$5:F2955)),IF(AND(LEFT(x,5)=""Pag"&amp;"e "",ISERROR(SEARCH(""–"",x))),x&amp;""–""&amp;REGEXEXTRACT(x,""[0-9]+$""),x)),"""")"),"")</f>
        <v/>
      </c>
      <c r="G2955" s="163"/>
      <c r="H295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Helper'!$F$5:$F$3004,"""")&lt;&gt;""""),ROWS(H$5:H2955)),"""")"),"")</f>
        <v/>
      </c>
    </row>
    <row r="2956" ht="15.75" customHeight="1">
      <c r="A295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Helper'!$F$5:$F$3004,"""")&lt;&gt;""""),ROWS(A$5:A2956)),"""")"),"")</f>
        <v/>
      </c>
      <c r="B295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Helper'!$F$5:$F$3004,"""")&lt;&gt;""""),ROWS(B$5:B2956)),"""")"),"")</f>
        <v/>
      </c>
      <c r="C295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Helper'!$F$5:$F$3004,"""")&lt;&gt;""""),ROWS(C$5:C2956)),"""")"),"")</f>
        <v/>
      </c>
      <c r="D295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Helper'!$F$5:$F$3004,"""")&lt;&gt;""""),ROWS(D$5:D2956)),"""")"),"")</f>
        <v/>
      </c>
      <c r="E295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Helper'!$F$5:$F$3004,"""")&lt;&gt;""""),ROWS(E$5:E2956)),"""")"),"")</f>
        <v/>
      </c>
      <c r="F295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Helper'!$F$5:$F$3004,"""")&lt;&gt;""""),ROWS(F$5:F2956)),IF(AND(LEFT(x,5)=""Pag"&amp;"e "",ISERROR(SEARCH(""–"",x))),x&amp;""–""&amp;REGEXEXTRACT(x,""[0-9]+$""),x)),"""")"),"")</f>
        <v/>
      </c>
      <c r="G2956" s="163"/>
      <c r="H295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Helper'!$F$5:$F$3004,"""")&lt;&gt;""""),ROWS(H$5:H2956)),"""")"),"")</f>
        <v/>
      </c>
    </row>
    <row r="2957" ht="15.75" customHeight="1">
      <c r="A295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Helper'!$F$5:$F$3004,"""")&lt;&gt;""""),ROWS(A$5:A2957)),"""")"),"")</f>
        <v/>
      </c>
      <c r="B295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Helper'!$F$5:$F$3004,"""")&lt;&gt;""""),ROWS(B$5:B2957)),"""")"),"")</f>
        <v/>
      </c>
      <c r="C295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Helper'!$F$5:$F$3004,"""")&lt;&gt;""""),ROWS(C$5:C2957)),"""")"),"")</f>
        <v/>
      </c>
      <c r="D295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Helper'!$F$5:$F$3004,"""")&lt;&gt;""""),ROWS(D$5:D2957)),"""")"),"")</f>
        <v/>
      </c>
      <c r="E295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Helper'!$F$5:$F$3004,"""")&lt;&gt;""""),ROWS(E$5:E2957)),"""")"),"")</f>
        <v/>
      </c>
      <c r="F295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Helper'!$F$5:$F$3004,"""")&lt;&gt;""""),ROWS(F$5:F2957)),IF(AND(LEFT(x,5)=""Pag"&amp;"e "",ISERROR(SEARCH(""–"",x))),x&amp;""–""&amp;REGEXEXTRACT(x,""[0-9]+$""),x)),"""")"),"")</f>
        <v/>
      </c>
      <c r="G2957" s="163"/>
      <c r="H295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Helper'!$F$5:$F$3004,"""")&lt;&gt;""""),ROWS(H$5:H2957)),"""")"),"")</f>
        <v/>
      </c>
    </row>
    <row r="2958" ht="15.75" customHeight="1">
      <c r="A295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Helper'!$F$5:$F$3004,"""")&lt;&gt;""""),ROWS(A$5:A2958)),"""")"),"")</f>
        <v/>
      </c>
      <c r="B295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Helper'!$F$5:$F$3004,"""")&lt;&gt;""""),ROWS(B$5:B2958)),"""")"),"")</f>
        <v/>
      </c>
      <c r="C295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Helper'!$F$5:$F$3004,"""")&lt;&gt;""""),ROWS(C$5:C2958)),"""")"),"")</f>
        <v/>
      </c>
      <c r="D295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Helper'!$F$5:$F$3004,"""")&lt;&gt;""""),ROWS(D$5:D2958)),"""")"),"")</f>
        <v/>
      </c>
      <c r="E295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Helper'!$F$5:$F$3004,"""")&lt;&gt;""""),ROWS(E$5:E2958)),"""")"),"")</f>
        <v/>
      </c>
      <c r="F295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Helper'!$F$5:$F$3004,"""")&lt;&gt;""""),ROWS(F$5:F2958)),IF(AND(LEFT(x,5)=""Pag"&amp;"e "",ISERROR(SEARCH(""–"",x))),x&amp;""–""&amp;REGEXEXTRACT(x,""[0-9]+$""),x)),"""")"),"")</f>
        <v/>
      </c>
      <c r="G2958" s="163"/>
      <c r="H295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Helper'!$F$5:$F$3004,"""")&lt;&gt;""""),ROWS(H$5:H2958)),"""")"),"")</f>
        <v/>
      </c>
    </row>
    <row r="2959" ht="15.75" customHeight="1">
      <c r="A295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Helper'!$F$5:$F$3004,"""")&lt;&gt;""""),ROWS(A$5:A2959)),"""")"),"")</f>
        <v/>
      </c>
      <c r="B295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Helper'!$F$5:$F$3004,"""")&lt;&gt;""""),ROWS(B$5:B2959)),"""")"),"")</f>
        <v/>
      </c>
      <c r="C295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Helper'!$F$5:$F$3004,"""")&lt;&gt;""""),ROWS(C$5:C2959)),"""")"),"")</f>
        <v/>
      </c>
      <c r="D295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Helper'!$F$5:$F$3004,"""")&lt;&gt;""""),ROWS(D$5:D2959)),"""")"),"")</f>
        <v/>
      </c>
      <c r="E295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Helper'!$F$5:$F$3004,"""")&lt;&gt;""""),ROWS(E$5:E2959)),"""")"),"")</f>
        <v/>
      </c>
      <c r="F295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Helper'!$F$5:$F$3004,"""")&lt;&gt;""""),ROWS(F$5:F2959)),IF(AND(LEFT(x,5)=""Pag"&amp;"e "",ISERROR(SEARCH(""–"",x))),x&amp;""–""&amp;REGEXEXTRACT(x,""[0-9]+$""),x)),"""")"),"")</f>
        <v/>
      </c>
      <c r="G2959" s="163"/>
      <c r="H295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Helper'!$F$5:$F$3004,"""")&lt;&gt;""""),ROWS(H$5:H2959)),"""")"),"")</f>
        <v/>
      </c>
    </row>
    <row r="2960" ht="15.75" customHeight="1">
      <c r="A296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Helper'!$F$5:$F$3004,"""")&lt;&gt;""""),ROWS(A$5:A2960)),"""")"),"")</f>
        <v/>
      </c>
      <c r="B296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Helper'!$F$5:$F$3004,"""")&lt;&gt;""""),ROWS(B$5:B2960)),"""")"),"")</f>
        <v/>
      </c>
      <c r="C296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Helper'!$F$5:$F$3004,"""")&lt;&gt;""""),ROWS(C$5:C2960)),"""")"),"")</f>
        <v/>
      </c>
      <c r="D296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Helper'!$F$5:$F$3004,"""")&lt;&gt;""""),ROWS(D$5:D2960)),"""")"),"")</f>
        <v/>
      </c>
      <c r="E296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Helper'!$F$5:$F$3004,"""")&lt;&gt;""""),ROWS(E$5:E2960)),"""")"),"")</f>
        <v/>
      </c>
      <c r="F296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Helper'!$F$5:$F$3004,"""")&lt;&gt;""""),ROWS(F$5:F2960)),IF(AND(LEFT(x,5)=""Pag"&amp;"e "",ISERROR(SEARCH(""–"",x))),x&amp;""–""&amp;REGEXEXTRACT(x,""[0-9]+$""),x)),"""")"),"")</f>
        <v/>
      </c>
      <c r="G2960" s="163"/>
      <c r="H296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Helper'!$F$5:$F$3004,"""")&lt;&gt;""""),ROWS(H$5:H2960)),"""")"),"")</f>
        <v/>
      </c>
    </row>
    <row r="2961" ht="15.75" customHeight="1">
      <c r="A296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Helper'!$F$5:$F$3004,"""")&lt;&gt;""""),ROWS(A$5:A2961)),"""")"),"")</f>
        <v/>
      </c>
      <c r="B296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Helper'!$F$5:$F$3004,"""")&lt;&gt;""""),ROWS(B$5:B2961)),"""")"),"")</f>
        <v/>
      </c>
      <c r="C296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Helper'!$F$5:$F$3004,"""")&lt;&gt;""""),ROWS(C$5:C2961)),"""")"),"")</f>
        <v/>
      </c>
      <c r="D296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Helper'!$F$5:$F$3004,"""")&lt;&gt;""""),ROWS(D$5:D2961)),"""")"),"")</f>
        <v/>
      </c>
      <c r="E296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Helper'!$F$5:$F$3004,"""")&lt;&gt;""""),ROWS(E$5:E2961)),"""")"),"")</f>
        <v/>
      </c>
      <c r="F296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Helper'!$F$5:$F$3004,"""")&lt;&gt;""""),ROWS(F$5:F2961)),IF(AND(LEFT(x,5)=""Pag"&amp;"e "",ISERROR(SEARCH(""–"",x))),x&amp;""–""&amp;REGEXEXTRACT(x,""[0-9]+$""),x)),"""")"),"")</f>
        <v/>
      </c>
      <c r="G2961" s="163"/>
      <c r="H296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Helper'!$F$5:$F$3004,"""")&lt;&gt;""""),ROWS(H$5:H2961)),"""")"),"")</f>
        <v/>
      </c>
    </row>
    <row r="2962" ht="15.75" customHeight="1">
      <c r="A296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Helper'!$F$5:$F$3004,"""")&lt;&gt;""""),ROWS(A$5:A2962)),"""")"),"")</f>
        <v/>
      </c>
      <c r="B296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Helper'!$F$5:$F$3004,"""")&lt;&gt;""""),ROWS(B$5:B2962)),"""")"),"")</f>
        <v/>
      </c>
      <c r="C296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Helper'!$F$5:$F$3004,"""")&lt;&gt;""""),ROWS(C$5:C2962)),"""")"),"")</f>
        <v/>
      </c>
      <c r="D296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Helper'!$F$5:$F$3004,"""")&lt;&gt;""""),ROWS(D$5:D2962)),"""")"),"")</f>
        <v/>
      </c>
      <c r="E296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Helper'!$F$5:$F$3004,"""")&lt;&gt;""""),ROWS(E$5:E2962)),"""")"),"")</f>
        <v/>
      </c>
      <c r="F296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Helper'!$F$5:$F$3004,"""")&lt;&gt;""""),ROWS(F$5:F2962)),IF(AND(LEFT(x,5)=""Pag"&amp;"e "",ISERROR(SEARCH(""–"",x))),x&amp;""–""&amp;REGEXEXTRACT(x,""[0-9]+$""),x)),"""")"),"")</f>
        <v/>
      </c>
      <c r="G2962" s="163"/>
      <c r="H296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Helper'!$F$5:$F$3004,"""")&lt;&gt;""""),ROWS(H$5:H2962)),"""")"),"")</f>
        <v/>
      </c>
    </row>
    <row r="2963" ht="15.75" customHeight="1">
      <c r="A296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Helper'!$F$5:$F$3004,"""")&lt;&gt;""""),ROWS(A$5:A2963)),"""")"),"")</f>
        <v/>
      </c>
      <c r="B296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Helper'!$F$5:$F$3004,"""")&lt;&gt;""""),ROWS(B$5:B2963)),"""")"),"")</f>
        <v/>
      </c>
      <c r="C296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Helper'!$F$5:$F$3004,"""")&lt;&gt;""""),ROWS(C$5:C2963)),"""")"),"")</f>
        <v/>
      </c>
      <c r="D296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Helper'!$F$5:$F$3004,"""")&lt;&gt;""""),ROWS(D$5:D2963)),"""")"),"")</f>
        <v/>
      </c>
      <c r="E296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Helper'!$F$5:$F$3004,"""")&lt;&gt;""""),ROWS(E$5:E2963)),"""")"),"")</f>
        <v/>
      </c>
      <c r="F296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Helper'!$F$5:$F$3004,"""")&lt;&gt;""""),ROWS(F$5:F2963)),IF(AND(LEFT(x,5)=""Pag"&amp;"e "",ISERROR(SEARCH(""–"",x))),x&amp;""–""&amp;REGEXEXTRACT(x,""[0-9]+$""),x)),"""")"),"")</f>
        <v/>
      </c>
      <c r="G2963" s="163"/>
      <c r="H296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Helper'!$F$5:$F$3004,"""")&lt;&gt;""""),ROWS(H$5:H2963)),"""")"),"")</f>
        <v/>
      </c>
    </row>
    <row r="2964" ht="15.75" customHeight="1">
      <c r="A296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Helper'!$F$5:$F$3004,"""")&lt;&gt;""""),ROWS(A$5:A2964)),"""")"),"")</f>
        <v/>
      </c>
      <c r="B296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Helper'!$F$5:$F$3004,"""")&lt;&gt;""""),ROWS(B$5:B2964)),"""")"),"")</f>
        <v/>
      </c>
      <c r="C296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Helper'!$F$5:$F$3004,"""")&lt;&gt;""""),ROWS(C$5:C2964)),"""")"),"")</f>
        <v/>
      </c>
      <c r="D296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Helper'!$F$5:$F$3004,"""")&lt;&gt;""""),ROWS(D$5:D2964)),"""")"),"")</f>
        <v/>
      </c>
      <c r="E296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Helper'!$F$5:$F$3004,"""")&lt;&gt;""""),ROWS(E$5:E2964)),"""")"),"")</f>
        <v/>
      </c>
      <c r="F296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Helper'!$F$5:$F$3004,"""")&lt;&gt;""""),ROWS(F$5:F2964)),IF(AND(LEFT(x,5)=""Pag"&amp;"e "",ISERROR(SEARCH(""–"",x))),x&amp;""–""&amp;REGEXEXTRACT(x,""[0-9]+$""),x)),"""")"),"")</f>
        <v/>
      </c>
      <c r="G2964" s="163"/>
      <c r="H296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Helper'!$F$5:$F$3004,"""")&lt;&gt;""""),ROWS(H$5:H2964)),"""")"),"")</f>
        <v/>
      </c>
    </row>
    <row r="2965" ht="15.75" customHeight="1">
      <c r="A296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Helper'!$F$5:$F$3004,"""")&lt;&gt;""""),ROWS(A$5:A2965)),"""")"),"")</f>
        <v/>
      </c>
      <c r="B296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Helper'!$F$5:$F$3004,"""")&lt;&gt;""""),ROWS(B$5:B2965)),"""")"),"")</f>
        <v/>
      </c>
      <c r="C296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Helper'!$F$5:$F$3004,"""")&lt;&gt;""""),ROWS(C$5:C2965)),"""")"),"")</f>
        <v/>
      </c>
      <c r="D296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Helper'!$F$5:$F$3004,"""")&lt;&gt;""""),ROWS(D$5:D2965)),"""")"),"")</f>
        <v/>
      </c>
      <c r="E296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Helper'!$F$5:$F$3004,"""")&lt;&gt;""""),ROWS(E$5:E2965)),"""")"),"")</f>
        <v/>
      </c>
      <c r="F296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Helper'!$F$5:$F$3004,"""")&lt;&gt;""""),ROWS(F$5:F2965)),IF(AND(LEFT(x,5)=""Pag"&amp;"e "",ISERROR(SEARCH(""–"",x))),x&amp;""–""&amp;REGEXEXTRACT(x,""[0-9]+$""),x)),"""")"),"")</f>
        <v/>
      </c>
      <c r="G2965" s="163"/>
      <c r="H296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Helper'!$F$5:$F$3004,"""")&lt;&gt;""""),ROWS(H$5:H2965)),"""")"),"")</f>
        <v/>
      </c>
    </row>
    <row r="2966" ht="15.75" customHeight="1">
      <c r="A296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Helper'!$F$5:$F$3004,"""")&lt;&gt;""""),ROWS(A$5:A2966)),"""")"),"")</f>
        <v/>
      </c>
      <c r="B296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Helper'!$F$5:$F$3004,"""")&lt;&gt;""""),ROWS(B$5:B2966)),"""")"),"")</f>
        <v/>
      </c>
      <c r="C296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Helper'!$F$5:$F$3004,"""")&lt;&gt;""""),ROWS(C$5:C2966)),"""")"),"")</f>
        <v/>
      </c>
      <c r="D296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Helper'!$F$5:$F$3004,"""")&lt;&gt;""""),ROWS(D$5:D2966)),"""")"),"")</f>
        <v/>
      </c>
      <c r="E296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Helper'!$F$5:$F$3004,"""")&lt;&gt;""""),ROWS(E$5:E2966)),"""")"),"")</f>
        <v/>
      </c>
      <c r="F296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Helper'!$F$5:$F$3004,"""")&lt;&gt;""""),ROWS(F$5:F2966)),IF(AND(LEFT(x,5)=""Pag"&amp;"e "",ISERROR(SEARCH(""–"",x))),x&amp;""–""&amp;REGEXEXTRACT(x,""[0-9]+$""),x)),"""")"),"")</f>
        <v/>
      </c>
      <c r="G2966" s="163"/>
      <c r="H296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Helper'!$F$5:$F$3004,"""")&lt;&gt;""""),ROWS(H$5:H2966)),"""")"),"")</f>
        <v/>
      </c>
    </row>
    <row r="2967" ht="15.75" customHeight="1">
      <c r="A296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Helper'!$F$5:$F$3004,"""")&lt;&gt;""""),ROWS(A$5:A2967)),"""")"),"")</f>
        <v/>
      </c>
      <c r="B296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Helper'!$F$5:$F$3004,"""")&lt;&gt;""""),ROWS(B$5:B2967)),"""")"),"")</f>
        <v/>
      </c>
      <c r="C296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Helper'!$F$5:$F$3004,"""")&lt;&gt;""""),ROWS(C$5:C2967)),"""")"),"")</f>
        <v/>
      </c>
      <c r="D296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Helper'!$F$5:$F$3004,"""")&lt;&gt;""""),ROWS(D$5:D2967)),"""")"),"")</f>
        <v/>
      </c>
      <c r="E296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Helper'!$F$5:$F$3004,"""")&lt;&gt;""""),ROWS(E$5:E2967)),"""")"),"")</f>
        <v/>
      </c>
      <c r="F296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Helper'!$F$5:$F$3004,"""")&lt;&gt;""""),ROWS(F$5:F2967)),IF(AND(LEFT(x,5)=""Pag"&amp;"e "",ISERROR(SEARCH(""–"",x))),x&amp;""–""&amp;REGEXEXTRACT(x,""[0-9]+$""),x)),"""")"),"")</f>
        <v/>
      </c>
      <c r="G2967" s="163"/>
      <c r="H296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Helper'!$F$5:$F$3004,"""")&lt;&gt;""""),ROWS(H$5:H2967)),"""")"),"")</f>
        <v/>
      </c>
    </row>
    <row r="2968" ht="15.75" customHeight="1">
      <c r="A296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Helper'!$F$5:$F$3004,"""")&lt;&gt;""""),ROWS(A$5:A2968)),"""")"),"")</f>
        <v/>
      </c>
      <c r="B296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Helper'!$F$5:$F$3004,"""")&lt;&gt;""""),ROWS(B$5:B2968)),"""")"),"")</f>
        <v/>
      </c>
      <c r="C296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Helper'!$F$5:$F$3004,"""")&lt;&gt;""""),ROWS(C$5:C2968)),"""")"),"")</f>
        <v/>
      </c>
      <c r="D296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Helper'!$F$5:$F$3004,"""")&lt;&gt;""""),ROWS(D$5:D2968)),"""")"),"")</f>
        <v/>
      </c>
      <c r="E296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Helper'!$F$5:$F$3004,"""")&lt;&gt;""""),ROWS(E$5:E2968)),"""")"),"")</f>
        <v/>
      </c>
      <c r="F296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Helper'!$F$5:$F$3004,"""")&lt;&gt;""""),ROWS(F$5:F2968)),IF(AND(LEFT(x,5)=""Pag"&amp;"e "",ISERROR(SEARCH(""–"",x))),x&amp;""–""&amp;REGEXEXTRACT(x,""[0-9]+$""),x)),"""")"),"")</f>
        <v/>
      </c>
      <c r="G2968" s="163"/>
      <c r="H296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Helper'!$F$5:$F$3004,"""")&lt;&gt;""""),ROWS(H$5:H2968)),"""")"),"")</f>
        <v/>
      </c>
    </row>
    <row r="2969" ht="15.75" customHeight="1">
      <c r="A296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Helper'!$F$5:$F$3004,"""")&lt;&gt;""""),ROWS(A$5:A2969)),"""")"),"")</f>
        <v/>
      </c>
      <c r="B296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Helper'!$F$5:$F$3004,"""")&lt;&gt;""""),ROWS(B$5:B2969)),"""")"),"")</f>
        <v/>
      </c>
      <c r="C296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Helper'!$F$5:$F$3004,"""")&lt;&gt;""""),ROWS(C$5:C2969)),"""")"),"")</f>
        <v/>
      </c>
      <c r="D296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Helper'!$F$5:$F$3004,"""")&lt;&gt;""""),ROWS(D$5:D2969)),"""")"),"")</f>
        <v/>
      </c>
      <c r="E296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Helper'!$F$5:$F$3004,"""")&lt;&gt;""""),ROWS(E$5:E2969)),"""")"),"")</f>
        <v/>
      </c>
      <c r="F296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Helper'!$F$5:$F$3004,"""")&lt;&gt;""""),ROWS(F$5:F2969)),IF(AND(LEFT(x,5)=""Pag"&amp;"e "",ISERROR(SEARCH(""–"",x))),x&amp;""–""&amp;REGEXEXTRACT(x,""[0-9]+$""),x)),"""")"),"")</f>
        <v/>
      </c>
      <c r="G2969" s="163"/>
      <c r="H296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Helper'!$F$5:$F$3004,"""")&lt;&gt;""""),ROWS(H$5:H2969)),"""")"),"")</f>
        <v/>
      </c>
    </row>
    <row r="2970" ht="15.75" customHeight="1">
      <c r="A297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Helper'!$F$5:$F$3004,"""")&lt;&gt;""""),ROWS(A$5:A2970)),"""")"),"")</f>
        <v/>
      </c>
      <c r="B297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Helper'!$F$5:$F$3004,"""")&lt;&gt;""""),ROWS(B$5:B2970)),"""")"),"")</f>
        <v/>
      </c>
      <c r="C297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Helper'!$F$5:$F$3004,"""")&lt;&gt;""""),ROWS(C$5:C2970)),"""")"),"")</f>
        <v/>
      </c>
      <c r="D297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Helper'!$F$5:$F$3004,"""")&lt;&gt;""""),ROWS(D$5:D2970)),"""")"),"")</f>
        <v/>
      </c>
      <c r="E297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Helper'!$F$5:$F$3004,"""")&lt;&gt;""""),ROWS(E$5:E2970)),"""")"),"")</f>
        <v/>
      </c>
      <c r="F297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Helper'!$F$5:$F$3004,"""")&lt;&gt;""""),ROWS(F$5:F2970)),IF(AND(LEFT(x,5)=""Pag"&amp;"e "",ISERROR(SEARCH(""–"",x))),x&amp;""–""&amp;REGEXEXTRACT(x,""[0-9]+$""),x)),"""")"),"")</f>
        <v/>
      </c>
      <c r="G2970" s="163"/>
      <c r="H297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Helper'!$F$5:$F$3004,"""")&lt;&gt;""""),ROWS(H$5:H2970)),"""")"),"")</f>
        <v/>
      </c>
    </row>
    <row r="2971" ht="15.75" customHeight="1">
      <c r="A297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Helper'!$F$5:$F$3004,"""")&lt;&gt;""""),ROWS(A$5:A2971)),"""")"),"")</f>
        <v/>
      </c>
      <c r="B297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Helper'!$F$5:$F$3004,"""")&lt;&gt;""""),ROWS(B$5:B2971)),"""")"),"")</f>
        <v/>
      </c>
      <c r="C297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Helper'!$F$5:$F$3004,"""")&lt;&gt;""""),ROWS(C$5:C2971)),"""")"),"")</f>
        <v/>
      </c>
      <c r="D297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Helper'!$F$5:$F$3004,"""")&lt;&gt;""""),ROWS(D$5:D2971)),"""")"),"")</f>
        <v/>
      </c>
      <c r="E297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Helper'!$F$5:$F$3004,"""")&lt;&gt;""""),ROWS(E$5:E2971)),"""")"),"")</f>
        <v/>
      </c>
      <c r="F297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Helper'!$F$5:$F$3004,"""")&lt;&gt;""""),ROWS(F$5:F2971)),IF(AND(LEFT(x,5)=""Pag"&amp;"e "",ISERROR(SEARCH(""–"",x))),x&amp;""–""&amp;REGEXEXTRACT(x,""[0-9]+$""),x)),"""")"),"")</f>
        <v/>
      </c>
      <c r="G2971" s="163"/>
      <c r="H297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Helper'!$F$5:$F$3004,"""")&lt;&gt;""""),ROWS(H$5:H2971)),"""")"),"")</f>
        <v/>
      </c>
    </row>
    <row r="2972" ht="15.75" customHeight="1">
      <c r="A297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Helper'!$F$5:$F$3004,"""")&lt;&gt;""""),ROWS(A$5:A2972)),"""")"),"")</f>
        <v/>
      </c>
      <c r="B297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Helper'!$F$5:$F$3004,"""")&lt;&gt;""""),ROWS(B$5:B2972)),"""")"),"")</f>
        <v/>
      </c>
      <c r="C297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Helper'!$F$5:$F$3004,"""")&lt;&gt;""""),ROWS(C$5:C2972)),"""")"),"")</f>
        <v/>
      </c>
      <c r="D297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Helper'!$F$5:$F$3004,"""")&lt;&gt;""""),ROWS(D$5:D2972)),"""")"),"")</f>
        <v/>
      </c>
      <c r="E297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Helper'!$F$5:$F$3004,"""")&lt;&gt;""""),ROWS(E$5:E2972)),"""")"),"")</f>
        <v/>
      </c>
      <c r="F297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Helper'!$F$5:$F$3004,"""")&lt;&gt;""""),ROWS(F$5:F2972)),IF(AND(LEFT(x,5)=""Pag"&amp;"e "",ISERROR(SEARCH(""–"",x))),x&amp;""–""&amp;REGEXEXTRACT(x,""[0-9]+$""),x)),"""")"),"")</f>
        <v/>
      </c>
      <c r="G2972" s="163"/>
      <c r="H297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Helper'!$F$5:$F$3004,"""")&lt;&gt;""""),ROWS(H$5:H2972)),"""")"),"")</f>
        <v/>
      </c>
    </row>
    <row r="2973" ht="15.75" customHeight="1">
      <c r="A297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Helper'!$F$5:$F$3004,"""")&lt;&gt;""""),ROWS(A$5:A2973)),"""")"),"")</f>
        <v/>
      </c>
      <c r="B297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Helper'!$F$5:$F$3004,"""")&lt;&gt;""""),ROWS(B$5:B2973)),"""")"),"")</f>
        <v/>
      </c>
      <c r="C297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Helper'!$F$5:$F$3004,"""")&lt;&gt;""""),ROWS(C$5:C2973)),"""")"),"")</f>
        <v/>
      </c>
      <c r="D297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Helper'!$F$5:$F$3004,"""")&lt;&gt;""""),ROWS(D$5:D2973)),"""")"),"")</f>
        <v/>
      </c>
      <c r="E297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Helper'!$F$5:$F$3004,"""")&lt;&gt;""""),ROWS(E$5:E2973)),"""")"),"")</f>
        <v/>
      </c>
      <c r="F297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Helper'!$F$5:$F$3004,"""")&lt;&gt;""""),ROWS(F$5:F2973)),IF(AND(LEFT(x,5)=""Pag"&amp;"e "",ISERROR(SEARCH(""–"",x))),x&amp;""–""&amp;REGEXEXTRACT(x,""[0-9]+$""),x)),"""")"),"")</f>
        <v/>
      </c>
      <c r="G2973" s="163"/>
      <c r="H297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Helper'!$F$5:$F$3004,"""")&lt;&gt;""""),ROWS(H$5:H2973)),"""")"),"")</f>
        <v/>
      </c>
    </row>
    <row r="2974" ht="15.75" customHeight="1">
      <c r="A297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Helper'!$F$5:$F$3004,"""")&lt;&gt;""""),ROWS(A$5:A2974)),"""")"),"")</f>
        <v/>
      </c>
      <c r="B297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Helper'!$F$5:$F$3004,"""")&lt;&gt;""""),ROWS(B$5:B2974)),"""")"),"")</f>
        <v/>
      </c>
      <c r="C297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Helper'!$F$5:$F$3004,"""")&lt;&gt;""""),ROWS(C$5:C2974)),"""")"),"")</f>
        <v/>
      </c>
      <c r="D297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Helper'!$F$5:$F$3004,"""")&lt;&gt;""""),ROWS(D$5:D2974)),"""")"),"")</f>
        <v/>
      </c>
      <c r="E297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Helper'!$F$5:$F$3004,"""")&lt;&gt;""""),ROWS(E$5:E2974)),"""")"),"")</f>
        <v/>
      </c>
      <c r="F297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Helper'!$F$5:$F$3004,"""")&lt;&gt;""""),ROWS(F$5:F2974)),IF(AND(LEFT(x,5)=""Pag"&amp;"e "",ISERROR(SEARCH(""–"",x))),x&amp;""–""&amp;REGEXEXTRACT(x,""[0-9]+$""),x)),"""")"),"")</f>
        <v/>
      </c>
      <c r="G2974" s="163"/>
      <c r="H297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Helper'!$F$5:$F$3004,"""")&lt;&gt;""""),ROWS(H$5:H2974)),"""")"),"")</f>
        <v/>
      </c>
    </row>
    <row r="2975" ht="15.75" customHeight="1">
      <c r="A297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Helper'!$F$5:$F$3004,"""")&lt;&gt;""""),ROWS(A$5:A2975)),"""")"),"")</f>
        <v/>
      </c>
      <c r="B297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Helper'!$F$5:$F$3004,"""")&lt;&gt;""""),ROWS(B$5:B2975)),"""")"),"")</f>
        <v/>
      </c>
      <c r="C297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Helper'!$F$5:$F$3004,"""")&lt;&gt;""""),ROWS(C$5:C2975)),"""")"),"")</f>
        <v/>
      </c>
      <c r="D297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Helper'!$F$5:$F$3004,"""")&lt;&gt;""""),ROWS(D$5:D2975)),"""")"),"")</f>
        <v/>
      </c>
      <c r="E297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Helper'!$F$5:$F$3004,"""")&lt;&gt;""""),ROWS(E$5:E2975)),"""")"),"")</f>
        <v/>
      </c>
      <c r="F297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Helper'!$F$5:$F$3004,"""")&lt;&gt;""""),ROWS(F$5:F2975)),IF(AND(LEFT(x,5)=""Pag"&amp;"e "",ISERROR(SEARCH(""–"",x))),x&amp;""–""&amp;REGEXEXTRACT(x,""[0-9]+$""),x)),"""")"),"")</f>
        <v/>
      </c>
      <c r="G2975" s="163"/>
      <c r="H297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Helper'!$F$5:$F$3004,"""")&lt;&gt;""""),ROWS(H$5:H2975)),"""")"),"")</f>
        <v/>
      </c>
    </row>
    <row r="2976" ht="15.75" customHeight="1">
      <c r="A297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Helper'!$F$5:$F$3004,"""")&lt;&gt;""""),ROWS(A$5:A2976)),"""")"),"")</f>
        <v/>
      </c>
      <c r="B297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Helper'!$F$5:$F$3004,"""")&lt;&gt;""""),ROWS(B$5:B2976)),"""")"),"")</f>
        <v/>
      </c>
      <c r="C297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Helper'!$F$5:$F$3004,"""")&lt;&gt;""""),ROWS(C$5:C2976)),"""")"),"")</f>
        <v/>
      </c>
      <c r="D297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Helper'!$F$5:$F$3004,"""")&lt;&gt;""""),ROWS(D$5:D2976)),"""")"),"")</f>
        <v/>
      </c>
      <c r="E297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Helper'!$F$5:$F$3004,"""")&lt;&gt;""""),ROWS(E$5:E2976)),"""")"),"")</f>
        <v/>
      </c>
      <c r="F297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Helper'!$F$5:$F$3004,"""")&lt;&gt;""""),ROWS(F$5:F2976)),IF(AND(LEFT(x,5)=""Pag"&amp;"e "",ISERROR(SEARCH(""–"",x))),x&amp;""–""&amp;REGEXEXTRACT(x,""[0-9]+$""),x)),"""")"),"")</f>
        <v/>
      </c>
      <c r="G2976" s="163"/>
      <c r="H297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Helper'!$F$5:$F$3004,"""")&lt;&gt;""""),ROWS(H$5:H2976)),"""")"),"")</f>
        <v/>
      </c>
    </row>
    <row r="2977" ht="15.75" customHeight="1">
      <c r="A297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Helper'!$F$5:$F$3004,"""")&lt;&gt;""""),ROWS(A$5:A2977)),"""")"),"")</f>
        <v/>
      </c>
      <c r="B297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Helper'!$F$5:$F$3004,"""")&lt;&gt;""""),ROWS(B$5:B2977)),"""")"),"")</f>
        <v/>
      </c>
      <c r="C297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Helper'!$F$5:$F$3004,"""")&lt;&gt;""""),ROWS(C$5:C2977)),"""")"),"")</f>
        <v/>
      </c>
      <c r="D297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Helper'!$F$5:$F$3004,"""")&lt;&gt;""""),ROWS(D$5:D2977)),"""")"),"")</f>
        <v/>
      </c>
      <c r="E297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Helper'!$F$5:$F$3004,"""")&lt;&gt;""""),ROWS(E$5:E2977)),"""")"),"")</f>
        <v/>
      </c>
      <c r="F297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Helper'!$F$5:$F$3004,"""")&lt;&gt;""""),ROWS(F$5:F2977)),IF(AND(LEFT(x,5)=""Pag"&amp;"e "",ISERROR(SEARCH(""–"",x))),x&amp;""–""&amp;REGEXEXTRACT(x,""[0-9]+$""),x)),"""")"),"")</f>
        <v/>
      </c>
      <c r="G2977" s="163"/>
      <c r="H297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Helper'!$F$5:$F$3004,"""")&lt;&gt;""""),ROWS(H$5:H2977)),"""")"),"")</f>
        <v/>
      </c>
    </row>
    <row r="2978" ht="15.75" customHeight="1">
      <c r="A297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Helper'!$F$5:$F$3004,"""")&lt;&gt;""""),ROWS(A$5:A2978)),"""")"),"")</f>
        <v/>
      </c>
      <c r="B297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Helper'!$F$5:$F$3004,"""")&lt;&gt;""""),ROWS(B$5:B2978)),"""")"),"")</f>
        <v/>
      </c>
      <c r="C297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Helper'!$F$5:$F$3004,"""")&lt;&gt;""""),ROWS(C$5:C2978)),"""")"),"")</f>
        <v/>
      </c>
      <c r="D297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Helper'!$F$5:$F$3004,"""")&lt;&gt;""""),ROWS(D$5:D2978)),"""")"),"")</f>
        <v/>
      </c>
      <c r="E297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Helper'!$F$5:$F$3004,"""")&lt;&gt;""""),ROWS(E$5:E2978)),"""")"),"")</f>
        <v/>
      </c>
      <c r="F297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Helper'!$F$5:$F$3004,"""")&lt;&gt;""""),ROWS(F$5:F2978)),IF(AND(LEFT(x,5)=""Pag"&amp;"e "",ISERROR(SEARCH(""–"",x))),x&amp;""–""&amp;REGEXEXTRACT(x,""[0-9]+$""),x)),"""")"),"")</f>
        <v/>
      </c>
      <c r="G2978" s="163"/>
      <c r="H297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Helper'!$F$5:$F$3004,"""")&lt;&gt;""""),ROWS(H$5:H2978)),"""")"),"")</f>
        <v/>
      </c>
    </row>
    <row r="2979" ht="15.75" customHeight="1">
      <c r="A297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Helper'!$F$5:$F$3004,"""")&lt;&gt;""""),ROWS(A$5:A2979)),"""")"),"")</f>
        <v/>
      </c>
      <c r="B297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Helper'!$F$5:$F$3004,"""")&lt;&gt;""""),ROWS(B$5:B2979)),"""")"),"")</f>
        <v/>
      </c>
      <c r="C297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Helper'!$F$5:$F$3004,"""")&lt;&gt;""""),ROWS(C$5:C2979)),"""")"),"")</f>
        <v/>
      </c>
      <c r="D297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Helper'!$F$5:$F$3004,"""")&lt;&gt;""""),ROWS(D$5:D2979)),"""")"),"")</f>
        <v/>
      </c>
      <c r="E297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Helper'!$F$5:$F$3004,"""")&lt;&gt;""""),ROWS(E$5:E2979)),"""")"),"")</f>
        <v/>
      </c>
      <c r="F297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Helper'!$F$5:$F$3004,"""")&lt;&gt;""""),ROWS(F$5:F2979)),IF(AND(LEFT(x,5)=""Pag"&amp;"e "",ISERROR(SEARCH(""–"",x))),x&amp;""–""&amp;REGEXEXTRACT(x,""[0-9]+$""),x)),"""")"),"")</f>
        <v/>
      </c>
      <c r="G2979" s="163"/>
      <c r="H297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Helper'!$F$5:$F$3004,"""")&lt;&gt;""""),ROWS(H$5:H2979)),"""")"),"")</f>
        <v/>
      </c>
    </row>
    <row r="2980" ht="15.75" customHeight="1">
      <c r="A298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Helper'!$F$5:$F$3004,"""")&lt;&gt;""""),ROWS(A$5:A2980)),"""")"),"")</f>
        <v/>
      </c>
      <c r="B298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Helper'!$F$5:$F$3004,"""")&lt;&gt;""""),ROWS(B$5:B2980)),"""")"),"")</f>
        <v/>
      </c>
      <c r="C298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Helper'!$F$5:$F$3004,"""")&lt;&gt;""""),ROWS(C$5:C2980)),"""")"),"")</f>
        <v/>
      </c>
      <c r="D298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Helper'!$F$5:$F$3004,"""")&lt;&gt;""""),ROWS(D$5:D2980)),"""")"),"")</f>
        <v/>
      </c>
      <c r="E298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Helper'!$F$5:$F$3004,"""")&lt;&gt;""""),ROWS(E$5:E2980)),"""")"),"")</f>
        <v/>
      </c>
      <c r="F298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Helper'!$F$5:$F$3004,"""")&lt;&gt;""""),ROWS(F$5:F2980)),IF(AND(LEFT(x,5)=""Pag"&amp;"e "",ISERROR(SEARCH(""–"",x))),x&amp;""–""&amp;REGEXEXTRACT(x,""[0-9]+$""),x)),"""")"),"")</f>
        <v/>
      </c>
      <c r="G2980" s="163"/>
      <c r="H298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Helper'!$F$5:$F$3004,"""")&lt;&gt;""""),ROWS(H$5:H2980)),"""")"),"")</f>
        <v/>
      </c>
    </row>
    <row r="2981" ht="15.75" customHeight="1">
      <c r="A298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Helper'!$F$5:$F$3004,"""")&lt;&gt;""""),ROWS(A$5:A2981)),"""")"),"")</f>
        <v/>
      </c>
      <c r="B298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Helper'!$F$5:$F$3004,"""")&lt;&gt;""""),ROWS(B$5:B2981)),"""")"),"")</f>
        <v/>
      </c>
      <c r="C298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Helper'!$F$5:$F$3004,"""")&lt;&gt;""""),ROWS(C$5:C2981)),"""")"),"")</f>
        <v/>
      </c>
      <c r="D298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Helper'!$F$5:$F$3004,"""")&lt;&gt;""""),ROWS(D$5:D2981)),"""")"),"")</f>
        <v/>
      </c>
      <c r="E298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Helper'!$F$5:$F$3004,"""")&lt;&gt;""""),ROWS(E$5:E2981)),"""")"),"")</f>
        <v/>
      </c>
      <c r="F298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Helper'!$F$5:$F$3004,"""")&lt;&gt;""""),ROWS(F$5:F2981)),IF(AND(LEFT(x,5)=""Pag"&amp;"e "",ISERROR(SEARCH(""–"",x))),x&amp;""–""&amp;REGEXEXTRACT(x,""[0-9]+$""),x)),"""")"),"")</f>
        <v/>
      </c>
      <c r="G2981" s="163"/>
      <c r="H298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Helper'!$F$5:$F$3004,"""")&lt;&gt;""""),ROWS(H$5:H2981)),"""")"),"")</f>
        <v/>
      </c>
    </row>
    <row r="2982" ht="15.75" customHeight="1">
      <c r="A298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Helper'!$F$5:$F$3004,"""")&lt;&gt;""""),ROWS(A$5:A2982)),"""")"),"")</f>
        <v/>
      </c>
      <c r="B298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Helper'!$F$5:$F$3004,"""")&lt;&gt;""""),ROWS(B$5:B2982)),"""")"),"")</f>
        <v/>
      </c>
      <c r="C298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Helper'!$F$5:$F$3004,"""")&lt;&gt;""""),ROWS(C$5:C2982)),"""")"),"")</f>
        <v/>
      </c>
      <c r="D298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Helper'!$F$5:$F$3004,"""")&lt;&gt;""""),ROWS(D$5:D2982)),"""")"),"")</f>
        <v/>
      </c>
      <c r="E298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Helper'!$F$5:$F$3004,"""")&lt;&gt;""""),ROWS(E$5:E2982)),"""")"),"")</f>
        <v/>
      </c>
      <c r="F298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Helper'!$F$5:$F$3004,"""")&lt;&gt;""""),ROWS(F$5:F2982)),IF(AND(LEFT(x,5)=""Pag"&amp;"e "",ISERROR(SEARCH(""–"",x))),x&amp;""–""&amp;REGEXEXTRACT(x,""[0-9]+$""),x)),"""")"),"")</f>
        <v/>
      </c>
      <c r="G2982" s="163"/>
      <c r="H298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Helper'!$F$5:$F$3004,"""")&lt;&gt;""""),ROWS(H$5:H2982)),"""")"),"")</f>
        <v/>
      </c>
    </row>
    <row r="2983" ht="15.75" customHeight="1">
      <c r="A298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Helper'!$F$5:$F$3004,"""")&lt;&gt;""""),ROWS(A$5:A2983)),"""")"),"")</f>
        <v/>
      </c>
      <c r="B298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Helper'!$F$5:$F$3004,"""")&lt;&gt;""""),ROWS(B$5:B2983)),"""")"),"")</f>
        <v/>
      </c>
      <c r="C298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Helper'!$F$5:$F$3004,"""")&lt;&gt;""""),ROWS(C$5:C2983)),"""")"),"")</f>
        <v/>
      </c>
      <c r="D298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Helper'!$F$5:$F$3004,"""")&lt;&gt;""""),ROWS(D$5:D2983)),"""")"),"")</f>
        <v/>
      </c>
      <c r="E298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Helper'!$F$5:$F$3004,"""")&lt;&gt;""""),ROWS(E$5:E2983)),"""")"),"")</f>
        <v/>
      </c>
      <c r="F298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Helper'!$F$5:$F$3004,"""")&lt;&gt;""""),ROWS(F$5:F2983)),IF(AND(LEFT(x,5)=""Pag"&amp;"e "",ISERROR(SEARCH(""–"",x))),x&amp;""–""&amp;REGEXEXTRACT(x,""[0-9]+$""),x)),"""")"),"")</f>
        <v/>
      </c>
      <c r="G2983" s="163"/>
      <c r="H298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Helper'!$F$5:$F$3004,"""")&lt;&gt;""""),ROWS(H$5:H2983)),"""")"),"")</f>
        <v/>
      </c>
    </row>
    <row r="2984" ht="15.75" customHeight="1">
      <c r="A298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Helper'!$F$5:$F$3004,"""")&lt;&gt;""""),ROWS(A$5:A2984)),"""")"),"")</f>
        <v/>
      </c>
      <c r="B298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Helper'!$F$5:$F$3004,"""")&lt;&gt;""""),ROWS(B$5:B2984)),"""")"),"")</f>
        <v/>
      </c>
      <c r="C298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Helper'!$F$5:$F$3004,"""")&lt;&gt;""""),ROWS(C$5:C2984)),"""")"),"")</f>
        <v/>
      </c>
      <c r="D298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Helper'!$F$5:$F$3004,"""")&lt;&gt;""""),ROWS(D$5:D2984)),"""")"),"")</f>
        <v/>
      </c>
      <c r="E298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Helper'!$F$5:$F$3004,"""")&lt;&gt;""""),ROWS(E$5:E2984)),"""")"),"")</f>
        <v/>
      </c>
      <c r="F298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Helper'!$F$5:$F$3004,"""")&lt;&gt;""""),ROWS(F$5:F2984)),IF(AND(LEFT(x,5)=""Pag"&amp;"e "",ISERROR(SEARCH(""–"",x))),x&amp;""–""&amp;REGEXEXTRACT(x,""[0-9]+$""),x)),"""")"),"")</f>
        <v/>
      </c>
      <c r="G2984" s="163"/>
      <c r="H298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Helper'!$F$5:$F$3004,"""")&lt;&gt;""""),ROWS(H$5:H2984)),"""")"),"")</f>
        <v/>
      </c>
    </row>
    <row r="2985" ht="15.75" customHeight="1">
      <c r="A298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Helper'!$F$5:$F$3004,"""")&lt;&gt;""""),ROWS(A$5:A2985)),"""")"),"")</f>
        <v/>
      </c>
      <c r="B298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Helper'!$F$5:$F$3004,"""")&lt;&gt;""""),ROWS(B$5:B2985)),"""")"),"")</f>
        <v/>
      </c>
      <c r="C298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Helper'!$F$5:$F$3004,"""")&lt;&gt;""""),ROWS(C$5:C2985)),"""")"),"")</f>
        <v/>
      </c>
      <c r="D298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Helper'!$F$5:$F$3004,"""")&lt;&gt;""""),ROWS(D$5:D2985)),"""")"),"")</f>
        <v/>
      </c>
      <c r="E298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Helper'!$F$5:$F$3004,"""")&lt;&gt;""""),ROWS(E$5:E2985)),"""")"),"")</f>
        <v/>
      </c>
      <c r="F298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Helper'!$F$5:$F$3004,"""")&lt;&gt;""""),ROWS(F$5:F2985)),IF(AND(LEFT(x,5)=""Pag"&amp;"e "",ISERROR(SEARCH(""–"",x))),x&amp;""–""&amp;REGEXEXTRACT(x,""[0-9]+$""),x)),"""")"),"")</f>
        <v/>
      </c>
      <c r="G2985" s="163"/>
      <c r="H298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Helper'!$F$5:$F$3004,"""")&lt;&gt;""""),ROWS(H$5:H2985)),"""")"),"")</f>
        <v/>
      </c>
    </row>
    <row r="2986" ht="15.75" customHeight="1">
      <c r="A298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Helper'!$F$5:$F$3004,"""")&lt;&gt;""""),ROWS(A$5:A2986)),"""")"),"")</f>
        <v/>
      </c>
      <c r="B298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Helper'!$F$5:$F$3004,"""")&lt;&gt;""""),ROWS(B$5:B2986)),"""")"),"")</f>
        <v/>
      </c>
      <c r="C298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Helper'!$F$5:$F$3004,"""")&lt;&gt;""""),ROWS(C$5:C2986)),"""")"),"")</f>
        <v/>
      </c>
      <c r="D298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Helper'!$F$5:$F$3004,"""")&lt;&gt;""""),ROWS(D$5:D2986)),"""")"),"")</f>
        <v/>
      </c>
      <c r="E298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Helper'!$F$5:$F$3004,"""")&lt;&gt;""""),ROWS(E$5:E2986)),"""")"),"")</f>
        <v/>
      </c>
      <c r="F298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Helper'!$F$5:$F$3004,"""")&lt;&gt;""""),ROWS(F$5:F2986)),IF(AND(LEFT(x,5)=""Pag"&amp;"e "",ISERROR(SEARCH(""–"",x))),x&amp;""–""&amp;REGEXEXTRACT(x,""[0-9]+$""),x)),"""")"),"")</f>
        <v/>
      </c>
      <c r="G2986" s="163"/>
      <c r="H298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Helper'!$F$5:$F$3004,"""")&lt;&gt;""""),ROWS(H$5:H2986)),"""")"),"")</f>
        <v/>
      </c>
    </row>
    <row r="2987" ht="15.75" customHeight="1">
      <c r="A298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Helper'!$F$5:$F$3004,"""")&lt;&gt;""""),ROWS(A$5:A2987)),"""")"),"")</f>
        <v/>
      </c>
      <c r="B298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Helper'!$F$5:$F$3004,"""")&lt;&gt;""""),ROWS(B$5:B2987)),"""")"),"")</f>
        <v/>
      </c>
      <c r="C298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Helper'!$F$5:$F$3004,"""")&lt;&gt;""""),ROWS(C$5:C2987)),"""")"),"")</f>
        <v/>
      </c>
      <c r="D298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Helper'!$F$5:$F$3004,"""")&lt;&gt;""""),ROWS(D$5:D2987)),"""")"),"")</f>
        <v/>
      </c>
      <c r="E298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Helper'!$F$5:$F$3004,"""")&lt;&gt;""""),ROWS(E$5:E2987)),"""")"),"")</f>
        <v/>
      </c>
      <c r="F298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Helper'!$F$5:$F$3004,"""")&lt;&gt;""""),ROWS(F$5:F2987)),IF(AND(LEFT(x,5)=""Pag"&amp;"e "",ISERROR(SEARCH(""–"",x))),x&amp;""–""&amp;REGEXEXTRACT(x,""[0-9]+$""),x)),"""")"),"")</f>
        <v/>
      </c>
      <c r="G2987" s="163"/>
      <c r="H298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Helper'!$F$5:$F$3004,"""")&lt;&gt;""""),ROWS(H$5:H2987)),"""")"),"")</f>
        <v/>
      </c>
    </row>
    <row r="2988" ht="15.75" customHeight="1">
      <c r="A298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Helper'!$F$5:$F$3004,"""")&lt;&gt;""""),ROWS(A$5:A2988)),"""")"),"")</f>
        <v/>
      </c>
      <c r="B298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Helper'!$F$5:$F$3004,"""")&lt;&gt;""""),ROWS(B$5:B2988)),"""")"),"")</f>
        <v/>
      </c>
      <c r="C298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Helper'!$F$5:$F$3004,"""")&lt;&gt;""""),ROWS(C$5:C2988)),"""")"),"")</f>
        <v/>
      </c>
      <c r="D298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Helper'!$F$5:$F$3004,"""")&lt;&gt;""""),ROWS(D$5:D2988)),"""")"),"")</f>
        <v/>
      </c>
      <c r="E298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Helper'!$F$5:$F$3004,"""")&lt;&gt;""""),ROWS(E$5:E2988)),"""")"),"")</f>
        <v/>
      </c>
      <c r="F298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Helper'!$F$5:$F$3004,"""")&lt;&gt;""""),ROWS(F$5:F2988)),IF(AND(LEFT(x,5)=""Pag"&amp;"e "",ISERROR(SEARCH(""–"",x))),x&amp;""–""&amp;REGEXEXTRACT(x,""[0-9]+$""),x)),"""")"),"")</f>
        <v/>
      </c>
      <c r="G2988" s="163"/>
      <c r="H298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Helper'!$F$5:$F$3004,"""")&lt;&gt;""""),ROWS(H$5:H2988)),"""")"),"")</f>
        <v/>
      </c>
    </row>
    <row r="2989" ht="15.75" customHeight="1">
      <c r="A298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Helper'!$F$5:$F$3004,"""")&lt;&gt;""""),ROWS(A$5:A2989)),"""")"),"")</f>
        <v/>
      </c>
      <c r="B298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Helper'!$F$5:$F$3004,"""")&lt;&gt;""""),ROWS(B$5:B2989)),"""")"),"")</f>
        <v/>
      </c>
      <c r="C298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Helper'!$F$5:$F$3004,"""")&lt;&gt;""""),ROWS(C$5:C2989)),"""")"),"")</f>
        <v/>
      </c>
      <c r="D298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Helper'!$F$5:$F$3004,"""")&lt;&gt;""""),ROWS(D$5:D2989)),"""")"),"")</f>
        <v/>
      </c>
      <c r="E298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Helper'!$F$5:$F$3004,"""")&lt;&gt;""""),ROWS(E$5:E2989)),"""")"),"")</f>
        <v/>
      </c>
      <c r="F298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Helper'!$F$5:$F$3004,"""")&lt;&gt;""""),ROWS(F$5:F2989)),IF(AND(LEFT(x,5)=""Pag"&amp;"e "",ISERROR(SEARCH(""–"",x))),x&amp;""–""&amp;REGEXEXTRACT(x,""[0-9]+$""),x)),"""")"),"")</f>
        <v/>
      </c>
      <c r="G2989" s="163"/>
      <c r="H298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Helper'!$F$5:$F$3004,"""")&lt;&gt;""""),ROWS(H$5:H2989)),"""")"),"")</f>
        <v/>
      </c>
    </row>
    <row r="2990" ht="15.75" customHeight="1">
      <c r="A299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Helper'!$F$5:$F$3004,"""")&lt;&gt;""""),ROWS(A$5:A2990)),"""")"),"")</f>
        <v/>
      </c>
      <c r="B299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Helper'!$F$5:$F$3004,"""")&lt;&gt;""""),ROWS(B$5:B2990)),"""")"),"")</f>
        <v/>
      </c>
      <c r="C299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Helper'!$F$5:$F$3004,"""")&lt;&gt;""""),ROWS(C$5:C2990)),"""")"),"")</f>
        <v/>
      </c>
      <c r="D299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Helper'!$F$5:$F$3004,"""")&lt;&gt;""""),ROWS(D$5:D2990)),"""")"),"")</f>
        <v/>
      </c>
      <c r="E299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Helper'!$F$5:$F$3004,"""")&lt;&gt;""""),ROWS(E$5:E2990)),"""")"),"")</f>
        <v/>
      </c>
      <c r="F299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Helper'!$F$5:$F$3004,"""")&lt;&gt;""""),ROWS(F$5:F2990)),IF(AND(LEFT(x,5)=""Pag"&amp;"e "",ISERROR(SEARCH(""–"",x))),x&amp;""–""&amp;REGEXEXTRACT(x,""[0-9]+$""),x)),"""")"),"")</f>
        <v/>
      </c>
      <c r="G2990" s="163"/>
      <c r="H299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Helper'!$F$5:$F$3004,"""")&lt;&gt;""""),ROWS(H$5:H2990)),"""")"),"")</f>
        <v/>
      </c>
    </row>
    <row r="2991" ht="15.75" customHeight="1">
      <c r="A299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Helper'!$F$5:$F$3004,"""")&lt;&gt;""""),ROWS(A$5:A2991)),"""")"),"")</f>
        <v/>
      </c>
      <c r="B299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Helper'!$F$5:$F$3004,"""")&lt;&gt;""""),ROWS(B$5:B2991)),"""")"),"")</f>
        <v/>
      </c>
      <c r="C299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Helper'!$F$5:$F$3004,"""")&lt;&gt;""""),ROWS(C$5:C2991)),"""")"),"")</f>
        <v/>
      </c>
      <c r="D299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Helper'!$F$5:$F$3004,"""")&lt;&gt;""""),ROWS(D$5:D2991)),"""")"),"")</f>
        <v/>
      </c>
      <c r="E299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Helper'!$F$5:$F$3004,"""")&lt;&gt;""""),ROWS(E$5:E2991)),"""")"),"")</f>
        <v/>
      </c>
      <c r="F299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Helper'!$F$5:$F$3004,"""")&lt;&gt;""""),ROWS(F$5:F2991)),IF(AND(LEFT(x,5)=""Pag"&amp;"e "",ISERROR(SEARCH(""–"",x))),x&amp;""–""&amp;REGEXEXTRACT(x,""[0-9]+$""),x)),"""")"),"")</f>
        <v/>
      </c>
      <c r="G2991" s="163"/>
      <c r="H299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Helper'!$F$5:$F$3004,"""")&lt;&gt;""""),ROWS(H$5:H2991)),"""")"),"")</f>
        <v/>
      </c>
    </row>
    <row r="2992" ht="15.75" customHeight="1">
      <c r="A299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Helper'!$F$5:$F$3004,"""")&lt;&gt;""""),ROWS(A$5:A2992)),"""")"),"")</f>
        <v/>
      </c>
      <c r="B299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Helper'!$F$5:$F$3004,"""")&lt;&gt;""""),ROWS(B$5:B2992)),"""")"),"")</f>
        <v/>
      </c>
      <c r="C299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Helper'!$F$5:$F$3004,"""")&lt;&gt;""""),ROWS(C$5:C2992)),"""")"),"")</f>
        <v/>
      </c>
      <c r="D299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Helper'!$F$5:$F$3004,"""")&lt;&gt;""""),ROWS(D$5:D2992)),"""")"),"")</f>
        <v/>
      </c>
      <c r="E299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Helper'!$F$5:$F$3004,"""")&lt;&gt;""""),ROWS(E$5:E2992)),"""")"),"")</f>
        <v/>
      </c>
      <c r="F299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Helper'!$F$5:$F$3004,"""")&lt;&gt;""""),ROWS(F$5:F2992)),IF(AND(LEFT(x,5)=""Pag"&amp;"e "",ISERROR(SEARCH(""–"",x))),x&amp;""–""&amp;REGEXEXTRACT(x,""[0-9]+$""),x)),"""")"),"")</f>
        <v/>
      </c>
      <c r="G2992" s="163"/>
      <c r="H299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Helper'!$F$5:$F$3004,"""")&lt;&gt;""""),ROWS(H$5:H2992)),"""")"),"")</f>
        <v/>
      </c>
    </row>
    <row r="2993" ht="15.75" customHeight="1">
      <c r="A299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Helper'!$F$5:$F$3004,"""")&lt;&gt;""""),ROWS(A$5:A2993)),"""")"),"")</f>
        <v/>
      </c>
      <c r="B299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Helper'!$F$5:$F$3004,"""")&lt;&gt;""""),ROWS(B$5:B2993)),"""")"),"")</f>
        <v/>
      </c>
      <c r="C299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Helper'!$F$5:$F$3004,"""")&lt;&gt;""""),ROWS(C$5:C2993)),"""")"),"")</f>
        <v/>
      </c>
      <c r="D299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Helper'!$F$5:$F$3004,"""")&lt;&gt;""""),ROWS(D$5:D2993)),"""")"),"")</f>
        <v/>
      </c>
      <c r="E299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Helper'!$F$5:$F$3004,"""")&lt;&gt;""""),ROWS(E$5:E2993)),"""")"),"")</f>
        <v/>
      </c>
      <c r="F299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Helper'!$F$5:$F$3004,"""")&lt;&gt;""""),ROWS(F$5:F2993)),IF(AND(LEFT(x,5)=""Pag"&amp;"e "",ISERROR(SEARCH(""–"",x))),x&amp;""–""&amp;REGEXEXTRACT(x,""[0-9]+$""),x)),"""")"),"")</f>
        <v/>
      </c>
      <c r="G2993" s="163"/>
      <c r="H299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Helper'!$F$5:$F$3004,"""")&lt;&gt;""""),ROWS(H$5:H2993)),"""")"),"")</f>
        <v/>
      </c>
    </row>
    <row r="2994" ht="15.75" customHeight="1">
      <c r="A299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Helper'!$F$5:$F$3004,"""")&lt;&gt;""""),ROWS(A$5:A2994)),"""")"),"")</f>
        <v/>
      </c>
      <c r="B299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Helper'!$F$5:$F$3004,"""")&lt;&gt;""""),ROWS(B$5:B2994)),"""")"),"")</f>
        <v/>
      </c>
      <c r="C299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Helper'!$F$5:$F$3004,"""")&lt;&gt;""""),ROWS(C$5:C2994)),"""")"),"")</f>
        <v/>
      </c>
      <c r="D299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Helper'!$F$5:$F$3004,"""")&lt;&gt;""""),ROWS(D$5:D2994)),"""")"),"")</f>
        <v/>
      </c>
      <c r="E299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Helper'!$F$5:$F$3004,"""")&lt;&gt;""""),ROWS(E$5:E2994)),"""")"),"")</f>
        <v/>
      </c>
      <c r="F299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Helper'!$F$5:$F$3004,"""")&lt;&gt;""""),ROWS(F$5:F2994)),IF(AND(LEFT(x,5)=""Pag"&amp;"e "",ISERROR(SEARCH(""–"",x))),x&amp;""–""&amp;REGEXEXTRACT(x,""[0-9]+$""),x)),"""")"),"")</f>
        <v/>
      </c>
      <c r="G2994" s="163"/>
      <c r="H299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Helper'!$F$5:$F$3004,"""")&lt;&gt;""""),ROWS(H$5:H2994)),"""")"),"")</f>
        <v/>
      </c>
    </row>
    <row r="2995" ht="15.75" customHeight="1">
      <c r="A2995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Helper'!$F$5:$F$3004,"""")&lt;&gt;""""),ROWS(A$5:A2995)),"""")"),"")</f>
        <v/>
      </c>
      <c r="B2995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Helper'!$F$5:$F$3004,"""")&lt;&gt;""""),ROWS(B$5:B2995)),"""")"),"")</f>
        <v/>
      </c>
      <c r="C2995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Helper'!$F$5:$F$3004,"""")&lt;&gt;""""),ROWS(C$5:C2995)),"""")"),"")</f>
        <v/>
      </c>
      <c r="D2995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Helper'!$F$5:$F$3004,"""")&lt;&gt;""""),ROWS(D$5:D2995)),"""")"),"")</f>
        <v/>
      </c>
      <c r="E2995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Helper'!$F$5:$F$3004,"""")&lt;&gt;""""),ROWS(E$5:E2995)),"""")"),"")</f>
        <v/>
      </c>
      <c r="F2995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Helper'!$F$5:$F$3004,"""")&lt;&gt;""""),ROWS(F$5:F2995)),IF(AND(LEFT(x,5)=""Pag"&amp;"e "",ISERROR(SEARCH(""–"",x))),x&amp;""–""&amp;REGEXEXTRACT(x,""[0-9]+$""),x)),"""")"),"")</f>
        <v/>
      </c>
      <c r="G2995" s="163"/>
      <c r="H2995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Helper'!$F$5:$F$3004,"""")&lt;&gt;""""),ROWS(H$5:H2995)),"""")"),"")</f>
        <v/>
      </c>
    </row>
    <row r="2996" ht="15.75" customHeight="1">
      <c r="A2996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Helper'!$F$5:$F$3004,"""")&lt;&gt;""""),ROWS(A$5:A2996)),"""")"),"")</f>
        <v/>
      </c>
      <c r="B2996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Helper'!$F$5:$F$3004,"""")&lt;&gt;""""),ROWS(B$5:B2996)),"""")"),"")</f>
        <v/>
      </c>
      <c r="C2996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Helper'!$F$5:$F$3004,"""")&lt;&gt;""""),ROWS(C$5:C2996)),"""")"),"")</f>
        <v/>
      </c>
      <c r="D2996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Helper'!$F$5:$F$3004,"""")&lt;&gt;""""),ROWS(D$5:D2996)),"""")"),"")</f>
        <v/>
      </c>
      <c r="E2996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Helper'!$F$5:$F$3004,"""")&lt;&gt;""""),ROWS(E$5:E2996)),"""")"),"")</f>
        <v/>
      </c>
      <c r="F2996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Helper'!$F$5:$F$3004,"""")&lt;&gt;""""),ROWS(F$5:F2996)),IF(AND(LEFT(x,5)=""Pag"&amp;"e "",ISERROR(SEARCH(""–"",x))),x&amp;""–""&amp;REGEXEXTRACT(x,""[0-9]+$""),x)),"""")"),"")</f>
        <v/>
      </c>
      <c r="G2996" s="163"/>
      <c r="H2996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Helper'!$F$5:$F$3004,"""")&lt;&gt;""""),ROWS(H$5:H2996)),"""")"),"")</f>
        <v/>
      </c>
    </row>
    <row r="2997" ht="15.75" customHeight="1">
      <c r="A2997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Helper'!$F$5:$F$3004,"""")&lt;&gt;""""),ROWS(A$5:A2997)),"""")"),"")</f>
        <v/>
      </c>
      <c r="B2997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Helper'!$F$5:$F$3004,"""")&lt;&gt;""""),ROWS(B$5:B2997)),"""")"),"")</f>
        <v/>
      </c>
      <c r="C2997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Helper'!$F$5:$F$3004,"""")&lt;&gt;""""),ROWS(C$5:C2997)),"""")"),"")</f>
        <v/>
      </c>
      <c r="D2997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Helper'!$F$5:$F$3004,"""")&lt;&gt;""""),ROWS(D$5:D2997)),"""")"),"")</f>
        <v/>
      </c>
      <c r="E2997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Helper'!$F$5:$F$3004,"""")&lt;&gt;""""),ROWS(E$5:E2997)),"""")"),"")</f>
        <v/>
      </c>
      <c r="F2997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Helper'!$F$5:$F$3004,"""")&lt;&gt;""""),ROWS(F$5:F2997)),IF(AND(LEFT(x,5)=""Pag"&amp;"e "",ISERROR(SEARCH(""–"",x))),x&amp;""–""&amp;REGEXEXTRACT(x,""[0-9]+$""),x)),"""")"),"")</f>
        <v/>
      </c>
      <c r="G2997" s="163"/>
      <c r="H2997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Helper'!$F$5:$F$3004,"""")&lt;&gt;""""),ROWS(H$5:H2997)),"""")"),"")</f>
        <v/>
      </c>
    </row>
    <row r="2998" ht="15.75" customHeight="1">
      <c r="A2998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Helper'!$F$5:$F$3004,"""")&lt;&gt;""""),ROWS(A$5:A2998)),"""")"),"")</f>
        <v/>
      </c>
      <c r="B2998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Helper'!$F$5:$F$3004,"""")&lt;&gt;""""),ROWS(B$5:B2998)),"""")"),"")</f>
        <v/>
      </c>
      <c r="C2998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Helper'!$F$5:$F$3004,"""")&lt;&gt;""""),ROWS(C$5:C2998)),"""")"),"")</f>
        <v/>
      </c>
      <c r="D2998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Helper'!$F$5:$F$3004,"""")&lt;&gt;""""),ROWS(D$5:D2998)),"""")"),"")</f>
        <v/>
      </c>
      <c r="E2998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Helper'!$F$5:$F$3004,"""")&lt;&gt;""""),ROWS(E$5:E2998)),"""")"),"")</f>
        <v/>
      </c>
      <c r="F2998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Helper'!$F$5:$F$3004,"""")&lt;&gt;""""),ROWS(F$5:F2998)),IF(AND(LEFT(x,5)=""Pag"&amp;"e "",ISERROR(SEARCH(""–"",x))),x&amp;""–""&amp;REGEXEXTRACT(x,""[0-9]+$""),x)),"""")"),"")</f>
        <v/>
      </c>
      <c r="G2998" s="163"/>
      <c r="H2998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Helper'!$F$5:$F$3004,"""")&lt;&gt;""""),ROWS(H$5:H2998)),"""")"),"")</f>
        <v/>
      </c>
    </row>
    <row r="2999" ht="15.75" customHeight="1">
      <c r="A2999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Helper'!$F$5:$F$3004,"""")&lt;&gt;""""),ROWS(A$5:A2999)),"""")"),"")</f>
        <v/>
      </c>
      <c r="B2999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Helper'!$F$5:$F$3004,"""")&lt;&gt;""""),ROWS(B$5:B2999)),"""")"),"")</f>
        <v/>
      </c>
      <c r="C2999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Helper'!$F$5:$F$3004,"""")&lt;&gt;""""),ROWS(C$5:C2999)),"""")"),"")</f>
        <v/>
      </c>
      <c r="D2999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Helper'!$F$5:$F$3004,"""")&lt;&gt;""""),ROWS(D$5:D2999)),"""")"),"")</f>
        <v/>
      </c>
      <c r="E2999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Helper'!$F$5:$F$3004,"""")&lt;&gt;""""),ROWS(E$5:E2999)),"""")"),"")</f>
        <v/>
      </c>
      <c r="F2999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Helper'!$F$5:$F$3004,"""")&lt;&gt;""""),ROWS(F$5:F2999)),IF(AND(LEFT(x,5)=""Pag"&amp;"e "",ISERROR(SEARCH(""–"",x))),x&amp;""–""&amp;REGEXEXTRACT(x,""[0-9]+$""),x)),"""")"),"")</f>
        <v/>
      </c>
      <c r="G2999" s="163"/>
      <c r="H2999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Helper'!$F$5:$F$3004,"""")&lt;&gt;""""),ROWS(H$5:H2999)),"""")"),"")</f>
        <v/>
      </c>
    </row>
    <row r="3000" ht="15.75" customHeight="1">
      <c r="A3000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Helper'!$F$5:$F$3004,"""")&lt;&gt;""""),ROWS(A$5:A3000)),"""")"),"")</f>
        <v/>
      </c>
      <c r="B3000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Helper'!$F$5:$F$3004,"""")&lt;&gt;""""),ROWS(B$5:B3000)),"""")"),"")</f>
        <v/>
      </c>
      <c r="C3000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Helper'!$F$5:$F$3004,"""")&lt;&gt;""""),ROWS(C$5:C3000)),"""")"),"")</f>
        <v/>
      </c>
      <c r="D3000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Helper'!$F$5:$F$3004,"""")&lt;&gt;""""),ROWS(D$5:D3000)),"""")"),"")</f>
        <v/>
      </c>
      <c r="E3000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Helper'!$F$5:$F$3004,"""")&lt;&gt;""""),ROWS(E$5:E3000)),"""")"),"")</f>
        <v/>
      </c>
      <c r="F3000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Helper'!$F$5:$F$3004,"""")&lt;&gt;""""),ROWS(F$5:F3000)),IF(AND(LEFT(x,5)=""Pag"&amp;"e "",ISERROR(SEARCH(""–"",x))),x&amp;""–""&amp;REGEXEXTRACT(x,""[0-9]+$""),x)),"""")"),"")</f>
        <v/>
      </c>
      <c r="G3000" s="163"/>
      <c r="H3000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Helper'!$F$5:$F$3004,"""")&lt;&gt;""""),ROWS(H$5:H3000)),"""")"),"")</f>
        <v/>
      </c>
    </row>
    <row r="3001" ht="15.75" customHeight="1">
      <c r="A3001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Helper'!$F$5:$F$3004,"""")&lt;&gt;""""),ROWS(A$5:A3001)),"""")"),"")</f>
        <v/>
      </c>
      <c r="B3001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Helper'!$F$5:$F$3004,"""")&lt;&gt;""""),ROWS(B$5:B3001)),"""")"),"")</f>
        <v/>
      </c>
      <c r="C3001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Helper'!$F$5:$F$3004,"""")&lt;&gt;""""),ROWS(C$5:C3001)),"""")"),"")</f>
        <v/>
      </c>
      <c r="D3001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Helper'!$F$5:$F$3004,"""")&lt;&gt;""""),ROWS(D$5:D3001)),"""")"),"")</f>
        <v/>
      </c>
      <c r="E3001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Helper'!$F$5:$F$3004,"""")&lt;&gt;""""),ROWS(E$5:E3001)),"""")"),"")</f>
        <v/>
      </c>
      <c r="F3001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Helper'!$F$5:$F$3004,"""")&lt;&gt;""""),ROWS(F$5:F3001)),IF(AND(LEFT(x,5)=""Pag"&amp;"e "",ISERROR(SEARCH(""–"",x))),x&amp;""–""&amp;REGEXEXTRACT(x,""[0-9]+$""),x)),"""")"),"")</f>
        <v/>
      </c>
      <c r="G3001" s="163"/>
      <c r="H3001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Helper'!$F$5:$F$3004,"""")&lt;&gt;""""),ROWS(H$5:H3001)),"""")"),"")</f>
        <v/>
      </c>
    </row>
    <row r="3002" ht="15.75" customHeight="1">
      <c r="A3002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Helper'!$F$5:$F$3004,"""")&lt;&gt;""""),ROWS(A$5:A3002)),"""")"),"")</f>
        <v/>
      </c>
      <c r="B3002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Helper'!$F$5:$F$3004,"""")&lt;&gt;""""),ROWS(B$5:B3002)),"""")"),"")</f>
        <v/>
      </c>
      <c r="C3002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Helper'!$F$5:$F$3004,"""")&lt;&gt;""""),ROWS(C$5:C3002)),"""")"),"")</f>
        <v/>
      </c>
      <c r="D3002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Helper'!$F$5:$F$3004,"""")&lt;&gt;""""),ROWS(D$5:D3002)),"""")"),"")</f>
        <v/>
      </c>
      <c r="E3002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Helper'!$F$5:$F$3004,"""")&lt;&gt;""""),ROWS(E$5:E3002)),"""")"),"")</f>
        <v/>
      </c>
      <c r="F3002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Helper'!$F$5:$F$3004,"""")&lt;&gt;""""),ROWS(F$5:F3002)),IF(AND(LEFT(x,5)=""Pag"&amp;"e "",ISERROR(SEARCH(""–"",x))),x&amp;""–""&amp;REGEXEXTRACT(x,""[0-9]+$""),x)),"""")"),"")</f>
        <v/>
      </c>
      <c r="G3002" s="163"/>
      <c r="H3002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Helper'!$F$5:$F$3004,"""")&lt;&gt;""""),ROWS(H$5:H3002)),"""")"),"")</f>
        <v/>
      </c>
    </row>
    <row r="3003" ht="15.75" customHeight="1">
      <c r="A3003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Helper'!$F$5:$F$3004,"""")&lt;&gt;""""),ROWS(A$5:A3003)),"""")"),"")</f>
        <v/>
      </c>
      <c r="B3003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Helper'!$F$5:$F$3004,"""")&lt;&gt;""""),ROWS(B$5:B3003)),"""")"),"")</f>
        <v/>
      </c>
      <c r="C3003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Helper'!$F$5:$F$3004,"""")&lt;&gt;""""),ROWS(C$5:C3003)),"""")"),"")</f>
        <v/>
      </c>
      <c r="D3003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Helper'!$F$5:$F$3004,"""")&lt;&gt;""""),ROWS(D$5:D3003)),"""")"),"")</f>
        <v/>
      </c>
      <c r="E3003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Helper'!$F$5:$F$3004,"""")&lt;&gt;""""),ROWS(E$5:E3003)),"""")"),"")</f>
        <v/>
      </c>
      <c r="F3003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Helper'!$F$5:$F$3004,"""")&lt;&gt;""""),ROWS(F$5:F3003)),IF(AND(LEFT(x,5)=""Pag"&amp;"e "",ISERROR(SEARCH(""–"",x))),x&amp;""–""&amp;REGEXEXTRACT(x,""[0-9]+$""),x)),"""")"),"")</f>
        <v/>
      </c>
      <c r="G3003" s="163"/>
      <c r="H3003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Helper'!$F$5:$F$3004,"""")&lt;&gt;""""),ROWS(H$5:H3003)),"""")"),"")</f>
        <v/>
      </c>
    </row>
    <row r="3004" ht="15.75" customHeight="1">
      <c r="A3004" s="422" t="str">
        <f>IFERROR(__xludf.DUMMYFUNCTION("IFERROR(INDEX(FILTER(IFERROR('Engine Helper'!A$5:A$3004,""""),IFERROR('Engine Helper'!$A$5:$A$3004,"""")&lt;&gt;"""",IFERROR('Engine Helper'!$E$5:$E$3004,"""")&lt;&gt;"""",IFERROR('Engine Helper'!$F$5:$F$3004,"""")&lt;&gt;""""),ROWS(A$5:A3004)),"""")"),"")</f>
        <v/>
      </c>
      <c r="B3004" s="8" t="str">
        <f>IFERROR(__xludf.DUMMYFUNCTION("IFERROR(INDEX(FILTER(IFERROR('Engine Helper'!B$5:B$3004,""""),IFERROR('Engine Helper'!$A$5:$A$3004,"""")&lt;&gt;"""",IFERROR('Engine Helper'!$E$5:$E$3004,"""")&lt;&gt;"""",IFERROR('Engine Helper'!$F$5:$F$3004,"""")&lt;&gt;""""),ROWS(B$5:B3004)),"""")"),"")</f>
        <v/>
      </c>
      <c r="C3004" s="8" t="str">
        <f>IFERROR(__xludf.DUMMYFUNCTION("IFERROR(INDEX(FILTER(IFERROR('Engine Helper'!C$5:C$3004,""""),IFERROR('Engine Helper'!$A$5:$A$3004,"""")&lt;&gt;"""",IFERROR('Engine Helper'!$E$5:$E$3004,"""")&lt;&gt;"""",IFERROR('Engine Helper'!$F$5:$F$3004,"""")&lt;&gt;""""),ROWS(C$5:C3004)),"""")"),"")</f>
        <v/>
      </c>
      <c r="D3004" s="8" t="str">
        <f>IFERROR(__xludf.DUMMYFUNCTION("IFERROR(INDEX(FILTER(IFERROR('Engine Helper'!D$5:D$3004,""""),IFERROR('Engine Helper'!$A$5:$A$3004,"""")&lt;&gt;"""",IFERROR('Engine Helper'!$E$5:$E$3004,"""")&lt;&gt;"""",IFERROR('Engine Helper'!$F$5:$F$3004,"""")&lt;&gt;""""),ROWS(D$5:D3004)),"""")"),"")</f>
        <v/>
      </c>
      <c r="E3004" s="8" t="str">
        <f>IFERROR(__xludf.DUMMYFUNCTION("IFERROR(INDEX(FILTER(IFERROR('Engine Helper'!E$5:E$3004,""""),IFERROR('Engine Helper'!$A$5:$A$3004,"""")&lt;&gt;"""",IFERROR('Engine Helper'!$E$5:$E$3004,"""")&lt;&gt;"""",IFERROR('Engine Helper'!$F$5:$F$3004,"""")&lt;&gt;""""),ROWS(E$5:E3004)),"""")"),"")</f>
        <v/>
      </c>
      <c r="F3004" s="8" t="str">
        <f>IFERROR(__xludf.DUMMYFUNCTION("IFERROR(LET(x,INDEX(FILTER(IFERROR('Engine Helper'!F$5:F$3004,""""),IFERROR('Engine Helper'!$A$5:$A$3004,"""")&lt;&gt;"""",IFERROR('Engine Helper'!$E$5:$E$3004,"""")&lt;&gt;"""",IFERROR('Engine Helper'!$F$5:$F$3004,"""")&lt;&gt;""""),ROWS(F$5:F3004)),IF(AND(LEFT(x,5)=""Pag"&amp;"e "",ISERROR(SEARCH(""–"",x))),x&amp;""–""&amp;REGEXEXTRACT(x,""[0-9]+$""),x)),"""")"),"")</f>
        <v/>
      </c>
      <c r="G3004" s="163"/>
      <c r="H3004" s="8" t="str">
        <f>IFERROR(__xludf.DUMMYFUNCTION("IFERROR(INDEX(FILTER(IFERROR('Engine Helper'!H$5:H$3004,""""),IFERROR('Engine Helper'!$A$5:$A$3004,"""")&lt;&gt;"""",IFERROR('Engine Helper'!$E$5:$E$3004,"""")&lt;&gt;"""",IFERROR('Engine Helper'!$F$5:$F$3004,"""")&lt;&gt;""""),ROWS(H$5:H3004)),"""")"),"")</f>
        <v/>
      </c>
    </row>
  </sheetData>
  <dataValidations>
    <dataValidation type="list" allowBlank="1" sqref="G5:G3004">
      <formula1>"☑,☐"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4CC"/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6.38"/>
    <col customWidth="1" min="3" max="3" width="12.63"/>
    <col customWidth="1" min="4" max="4" width="10.0"/>
    <col customWidth="1" min="5" max="5" width="10.13"/>
    <col customWidth="1" min="6" max="6" width="10.25"/>
    <col customWidth="1" min="7" max="7" width="5.75"/>
    <col customWidth="1" min="8" max="8" width="7.88"/>
    <col customWidth="1" min="9" max="9" width="10.88"/>
    <col customWidth="1" hidden="1" min="10" max="10" width="9.38"/>
    <col customWidth="1" hidden="1" min="11" max="11" width="10.25"/>
    <col customWidth="1" hidden="1" min="12" max="12" width="27.63"/>
    <col hidden="1" min="13" max="16" width="12.63"/>
  </cols>
  <sheetData>
    <row r="1" ht="15.75" customHeight="1">
      <c r="A1" s="429" t="s">
        <v>513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</row>
    <row r="2" ht="15.75" customHeight="1">
      <c r="A2" s="431" t="s">
        <v>514</v>
      </c>
      <c r="B2" s="432"/>
      <c r="C2" s="432"/>
      <c r="D2" s="432"/>
      <c r="E2" s="432"/>
      <c r="F2" s="432"/>
      <c r="G2" s="432"/>
      <c r="H2" s="432"/>
      <c r="I2" s="432"/>
      <c r="J2" s="433" t="s">
        <v>515</v>
      </c>
      <c r="K2" s="434"/>
      <c r="L2" s="434"/>
    </row>
    <row r="3" ht="15.75" customHeight="1"/>
    <row r="4" ht="15.75" customHeight="1">
      <c r="A4" s="435" t="s">
        <v>37</v>
      </c>
      <c r="B4" s="435" t="s">
        <v>516</v>
      </c>
      <c r="C4" s="435" t="s">
        <v>197</v>
      </c>
      <c r="D4" s="435" t="s">
        <v>376</v>
      </c>
      <c r="E4" s="435" t="s">
        <v>319</v>
      </c>
      <c r="F4" s="435" t="s">
        <v>281</v>
      </c>
      <c r="G4" s="435" t="s">
        <v>342</v>
      </c>
      <c r="H4" s="435" t="s">
        <v>185</v>
      </c>
      <c r="I4" s="435" t="s">
        <v>66</v>
      </c>
      <c r="J4" s="436" t="s">
        <v>517</v>
      </c>
      <c r="K4" s="436" t="s">
        <v>518</v>
      </c>
      <c r="L4" s="436" t="s">
        <v>519</v>
      </c>
      <c r="M4" s="152" t="s">
        <v>520</v>
      </c>
      <c r="N4" s="152" t="s">
        <v>521</v>
      </c>
      <c r="O4" s="152" t="s">
        <v>522</v>
      </c>
      <c r="P4" s="152" t="s">
        <v>523</v>
      </c>
    </row>
    <row r="5" ht="15.75" customHeight="1">
      <c r="A5" s="437" t="s">
        <v>98</v>
      </c>
      <c r="B5" s="437" t="s">
        <v>524</v>
      </c>
      <c r="C5" s="438" t="s">
        <v>170</v>
      </c>
      <c r="D5" s="438" t="s">
        <v>212</v>
      </c>
      <c r="E5" s="438" t="s">
        <v>223</v>
      </c>
      <c r="F5" s="438" t="s">
        <v>223</v>
      </c>
      <c r="G5" s="438" t="s">
        <v>223</v>
      </c>
      <c r="H5" s="438" t="s">
        <v>380</v>
      </c>
      <c r="I5" s="437" t="s">
        <v>525</v>
      </c>
      <c r="J5" s="424" t="str">
        <f>IFERROR(__xludf.DUMMYFUNCTION("VSTACK(""All"",FILTER(Setup!$S$6:$S$25,Setup!$S$6:$S$25&lt;&gt;""""))"),"All")</f>
        <v>All</v>
      </c>
      <c r="K5" s="437" t="str">
        <f>IFERROR(__xludf.DUMMYFUNCTION("VSTACK(""All"",FILTER('Strand Placement'!$B$6:$B$13,((('Strand Placement'!$A$6:$A$13=""☑"")+('Strand Placement'!$A$6:$A$13=TRUE))&gt;0),'Strand Placement'!$B$6:$B$13&lt;&gt;""""))"),"All")</f>
        <v>All</v>
      </c>
      <c r="L5" s="437" t="str">
        <f>IFERROR(__xludf.DUMMYFUNCTION("VSTACK(""All"",SORT(UNIQUE(FILTER('Helper Data'!$V$5:$V$50,'Helper Data'!$V$5:$V$50&lt;&gt;""""))))"),"All")</f>
        <v>All</v>
      </c>
      <c r="M5" s="152" t="str">
        <f>IFERROR(__xludf.DUMMYFUNCTION("VSTACK(""All"",SORT(UNIQUE(FILTER('Helper Data'!$F$5:$F$304,'Helper Data'!$F$5:$F$304&lt;&gt;""""))))"),"All")</f>
        <v>All</v>
      </c>
      <c r="N5" s="163" t="str">
        <f>IFERROR(__xludf.DUMMYFUNCTION("IFERROR(FILTER('Helper Data'!$M$5:$M$304,'Helper Data'!$M$5:$M$304&lt;&gt;""""),"""")"),"Lucy")</f>
        <v>Lucy</v>
      </c>
      <c r="O5" s="163" t="str">
        <f>IFERROR(__xludf.DUMMYFUNCTION("VSTACK(""All"",SORT(UNIQUE(FILTER('Generated Plan'!$E$5:$E$3004,'Generated Plan'!$A$5:$A$3004&lt;&gt;""""))))"),"All")</f>
        <v>All</v>
      </c>
      <c r="P5" s="152" t="s">
        <v>380</v>
      </c>
    </row>
    <row r="6" ht="15.75" customHeight="1">
      <c r="A6" s="437" t="s">
        <v>98</v>
      </c>
      <c r="B6" s="437" t="s">
        <v>526</v>
      </c>
      <c r="C6" s="438" t="s">
        <v>170</v>
      </c>
      <c r="D6" s="438" t="s">
        <v>223</v>
      </c>
      <c r="E6" s="438" t="s">
        <v>14</v>
      </c>
      <c r="F6" s="438" t="s">
        <v>223</v>
      </c>
      <c r="G6" s="438" t="s">
        <v>223</v>
      </c>
      <c r="H6" s="438" t="s">
        <v>380</v>
      </c>
      <c r="I6" s="437" t="s">
        <v>527</v>
      </c>
      <c r="J6" s="439" t="str">
        <f>IFERROR(__xludf.DUMMYFUNCTION("""COMPUTED_VALUE"""),"Lucy")</f>
        <v>Lucy</v>
      </c>
      <c r="K6" s="437" t="str">
        <f>IFERROR(__xludf.DUMMYFUNCTION("""COMPUTED_VALUE"""),"Faith")</f>
        <v>Faith</v>
      </c>
      <c r="L6" s="437" t="str">
        <f>IFERROR(__xludf.DUMMYFUNCTION("""COMPUTED_VALUE"""),"Beauty + Hands")</f>
        <v>Beauty + Hands</v>
      </c>
      <c r="M6" s="440" t="str">
        <f>IFERROR(__xludf.DUMMYFUNCTION("""COMPUTED_VALUE"""),"All Together / Beauty + Hands — Composer Study")</f>
        <v>All Together / Beauty + Hands — Composer Study</v>
      </c>
      <c r="N6" s="163" t="str">
        <f>IFERROR(__xludf.DUMMYFUNCTION("""COMPUTED_VALUE"""),"Kayla")</f>
        <v>Kayla</v>
      </c>
      <c r="O6" s="163" t="str">
        <f>IFERROR(__xludf.DUMMYFUNCTION("""COMPUTED_VALUE"""),"AGF")</f>
        <v>AGF</v>
      </c>
      <c r="P6" s="152" t="s">
        <v>528</v>
      </c>
    </row>
    <row r="7" ht="15.75" customHeight="1">
      <c r="A7" s="437" t="s">
        <v>98</v>
      </c>
      <c r="B7" s="437" t="s">
        <v>529</v>
      </c>
      <c r="C7" s="438" t="s">
        <v>85</v>
      </c>
      <c r="D7" s="438" t="s">
        <v>223</v>
      </c>
      <c r="E7" s="438" t="s">
        <v>17</v>
      </c>
      <c r="F7" s="438" t="s">
        <v>223</v>
      </c>
      <c r="G7" s="438" t="s">
        <v>223</v>
      </c>
      <c r="H7" s="438" t="s">
        <v>380</v>
      </c>
      <c r="I7" s="437" t="s">
        <v>530</v>
      </c>
      <c r="J7" s="424" t="str">
        <f>IFERROR(__xludf.DUMMYFUNCTION("""COMPUTED_VALUE"""),"Kayla")</f>
        <v>Kayla</v>
      </c>
      <c r="K7" s="437" t="str">
        <f>IFERROR(__xludf.DUMMYFUNCTION("""COMPUTED_VALUE"""),"Reading Loop")</f>
        <v>Reading Loop</v>
      </c>
      <c r="L7" s="437" t="str">
        <f>IFERROR(__xludf.DUMMYFUNCTION("""COMPUTED_VALUE"""),"Bible")</f>
        <v>Bible</v>
      </c>
      <c r="M7" s="440" t="str">
        <f>IFERROR(__xludf.DUMMYFUNCTION("""COMPUTED_VALUE"""),"All Together / Beauty + Hands — Folk Song")</f>
        <v>All Together / Beauty + Hands — Folk Song</v>
      </c>
      <c r="N7" s="163" t="str">
        <f>IFERROR(__xludf.DUMMYFUNCTION("""COMPUTED_VALUE"""),"Charis")</f>
        <v>Charis</v>
      </c>
      <c r="O7" s="163" t="str">
        <f>IFERROR(__xludf.DUMMYFUNCTION("""COMPUTED_VALUE"""),"Biology Course")</f>
        <v>Biology Course</v>
      </c>
      <c r="P7" s="152" t="s">
        <v>223</v>
      </c>
    </row>
    <row r="8" ht="15.75" customHeight="1">
      <c r="A8" s="437" t="s">
        <v>98</v>
      </c>
      <c r="B8" s="437" t="s">
        <v>531</v>
      </c>
      <c r="C8" s="438" t="s">
        <v>172</v>
      </c>
      <c r="D8" s="438" t="s">
        <v>218</v>
      </c>
      <c r="E8" s="438" t="s">
        <v>21</v>
      </c>
      <c r="F8" s="438" t="s">
        <v>223</v>
      </c>
      <c r="G8" s="438" t="s">
        <v>223</v>
      </c>
      <c r="H8" s="438" t="s">
        <v>380</v>
      </c>
      <c r="I8" s="437" t="s">
        <v>532</v>
      </c>
      <c r="J8" s="424" t="str">
        <f>IFERROR(__xludf.DUMMYFUNCTION("""COMPUTED_VALUE"""),"Charis")</f>
        <v>Charis</v>
      </c>
      <c r="K8" s="437" t="str">
        <f>IFERROR(__xludf.DUMMYFUNCTION("""COMPUTED_VALUE"""),"Thinking Loop")</f>
        <v>Thinking Loop</v>
      </c>
      <c r="L8" s="437" t="str">
        <f>IFERROR(__xludf.DUMMYFUNCTION("""COMPUTED_VALUE"""),"Literature")</f>
        <v>Literature</v>
      </c>
      <c r="M8" s="33" t="str">
        <f>IFERROR(__xludf.DUMMYFUNCTION("""COMPUTED_VALUE"""),"All Together / Beauty + Hands — Hymn")</f>
        <v>All Together / Beauty + Hands — Hymn</v>
      </c>
      <c r="N8" s="163" t="str">
        <f>IFERROR(__xludf.DUMMYFUNCTION("""COMPUTED_VALUE"""),"Jeremiah")</f>
        <v>Jeremiah</v>
      </c>
      <c r="O8" s="163" t="str">
        <f>IFERROR(__xludf.DUMMYFUNCTION("""COMPUTED_VALUE"""),"Charlotte’s Web")</f>
        <v>Charlotte’s Web</v>
      </c>
    </row>
    <row r="9" ht="15.75" customHeight="1">
      <c r="A9" s="437" t="s">
        <v>109</v>
      </c>
      <c r="B9" s="437"/>
      <c r="C9" s="438"/>
      <c r="D9" s="438"/>
      <c r="E9" s="438"/>
      <c r="F9" s="438"/>
      <c r="G9" s="438"/>
      <c r="H9" s="438"/>
      <c r="I9" s="437"/>
      <c r="J9" s="424" t="str">
        <f>IFERROR(__xludf.DUMMYFUNCTION("""COMPUTED_VALUE"""),"Jeremiah")</f>
        <v>Jeremiah</v>
      </c>
      <c r="K9" s="437" t="str">
        <f>IFERROR(__xludf.DUMMYFUNCTION("""COMPUTED_VALUE"""),"Hands + Beauty Loop")</f>
        <v>Hands + Beauty Loop</v>
      </c>
      <c r="L9" s="437" t="str">
        <f>IFERROR(__xludf.DUMMYFUNCTION("""COMPUTED_VALUE"""),"Science / Nature")</f>
        <v>Science / Nature</v>
      </c>
      <c r="M9" s="33" t="str">
        <f>IFERROR(__xludf.DUMMYFUNCTION("""COMPUTED_VALUE"""),"All Together / Beauty + Hands — Picture Study")</f>
        <v>All Together / Beauty + Hands — Picture Study</v>
      </c>
      <c r="N9" s="163" t="str">
        <f>IFERROR(__xludf.DUMMYFUNCTION("""COMPUTED_VALUE"""),"Everyone")</f>
        <v>Everyone</v>
      </c>
      <c r="O9" s="163" t="str">
        <f>IFERROR(__xludf.DUMMYFUNCTION("""COMPUTED_VALUE"""),"Come Thou Fount")</f>
        <v>Come Thou Fount</v>
      </c>
    </row>
    <row r="10" ht="15.75" customHeight="1">
      <c r="A10" s="437" t="s">
        <v>109</v>
      </c>
      <c r="B10" s="304"/>
      <c r="C10" s="438"/>
      <c r="D10" s="438"/>
      <c r="E10" s="438"/>
      <c r="F10" s="438"/>
      <c r="G10" s="438"/>
      <c r="H10" s="438"/>
      <c r="I10" s="304"/>
      <c r="J10" s="424" t="str">
        <f>IFERROR(__xludf.DUMMYFUNCTION("""COMPUTED_VALUE"""),"Everyone")</f>
        <v>Everyone</v>
      </c>
      <c r="K10" s="437" t="str">
        <f>IFERROR(__xludf.DUMMYFUNCTION("""COMPUTED_VALUE"""),"Daily Skills")</f>
        <v>Daily Skills</v>
      </c>
      <c r="L10" s="304"/>
      <c r="M10" s="33" t="str">
        <f>IFERROR(__xludf.DUMMYFUNCTION("""COMPUTED_VALUE"""),"All Together / Beauty + Hands — Poetry")</f>
        <v>All Together / Beauty + Hands — Poetry</v>
      </c>
      <c r="N10" s="163" t="str">
        <f>IFERROR(__xludf.DUMMYFUNCTION("""COMPUTED_VALUE"""),"Little Girls")</f>
        <v>Little Girls</v>
      </c>
      <c r="O10" s="163" t="str">
        <f>IFERROR(__xludf.DUMMYFUNCTION("""COMPUTED_VALUE"""),"Exodus")</f>
        <v>Exodus</v>
      </c>
    </row>
    <row r="11" ht="15.75" customHeight="1">
      <c r="A11" s="437" t="s">
        <v>109</v>
      </c>
      <c r="B11" s="304"/>
      <c r="C11" s="438"/>
      <c r="D11" s="438"/>
      <c r="E11" s="438"/>
      <c r="F11" s="438"/>
      <c r="G11" s="438"/>
      <c r="H11" s="438"/>
      <c r="I11" s="304"/>
      <c r="J11" s="424" t="str">
        <f>IFERROR(__xludf.DUMMYFUNCTION("""COMPUTED_VALUE"""),"Little Girls")</f>
        <v>Little Girls</v>
      </c>
      <c r="K11" s="437" t="str">
        <f>IFERROR(__xludf.DUMMYFUNCTION("""COMPUTED_VALUE"""),"Individual Work")</f>
        <v>Individual Work</v>
      </c>
      <c r="L11" s="304"/>
      <c r="M11" s="33" t="str">
        <f>IFERROR(__xludf.DUMMYFUNCTION("""COMPUTED_VALUE"""),"All Together / Bible — New Testament")</f>
        <v>All Together / Bible — New Testament</v>
      </c>
      <c r="N11" s="163" t="str">
        <f>IFERROR(__xludf.DUMMYFUNCTION("""COMPUTED_VALUE"""),"All the Girls")</f>
        <v>All the Girls</v>
      </c>
      <c r="O11" s="163" t="str">
        <f>IFERROR(__xludf.DUMMYFUNCTION("""COMPUTED_VALUE"""),"Genesis")</f>
        <v>Genesis</v>
      </c>
    </row>
    <row r="12" ht="15.75" customHeight="1">
      <c r="A12" s="437" t="s">
        <v>109</v>
      </c>
      <c r="B12" s="304"/>
      <c r="C12" s="438"/>
      <c r="D12" s="438"/>
      <c r="E12" s="438"/>
      <c r="F12" s="438"/>
      <c r="G12" s="438"/>
      <c r="H12" s="438"/>
      <c r="I12" s="304"/>
      <c r="J12" s="424" t="str">
        <f>IFERROR(__xludf.DUMMYFUNCTION("""COMPUTED_VALUE"""),"All the Girls")</f>
        <v>All the Girls</v>
      </c>
      <c r="K12" s="437" t="str">
        <f>IFERROR(__xludf.DUMMYFUNCTION("""COMPUTED_VALUE"""),"Outside / Co-op")</f>
        <v>Outside / Co-op</v>
      </c>
      <c r="L12" s="304"/>
      <c r="M12" s="33" t="str">
        <f>IFERROR(__xludf.DUMMYFUNCTION("""COMPUTED_VALUE"""),"All Together / Bible — Old Testament")</f>
        <v>All Together / Bible — Old Testament</v>
      </c>
      <c r="N12" s="163" t="str">
        <f>IFERROR(__xludf.DUMMYFUNCTION("""COMPUTED_VALUE"""),"Older Students")</f>
        <v>Older Students</v>
      </c>
      <c r="O12" s="163" t="str">
        <f>IFERROR(__xludf.DUMMYFUNCTION("""COMPUTED_VALUE"""),"Goobers")</f>
        <v>Goobers</v>
      </c>
    </row>
    <row r="13" ht="15.75" customHeight="1">
      <c r="A13" s="437" t="s">
        <v>109</v>
      </c>
      <c r="B13" s="304"/>
      <c r="C13" s="438"/>
      <c r="D13" s="438"/>
      <c r="E13" s="438"/>
      <c r="F13" s="438"/>
      <c r="G13" s="438"/>
      <c r="H13" s="438"/>
      <c r="I13" s="304"/>
      <c r="J13" s="424" t="str">
        <f>IFERROR(__xludf.DUMMYFUNCTION("""COMPUTED_VALUE"""),"Older Students")</f>
        <v>Older Students</v>
      </c>
      <c r="K13" s="437" t="str">
        <f>IFERROR(__xludf.DUMMYFUNCTION("""COMPUTED_VALUE"""),"Optional / Later")</f>
        <v>Optional / Later</v>
      </c>
      <c r="L13" s="304"/>
      <c r="M13" s="33" t="str">
        <f>IFERROR(__xludf.DUMMYFUNCTION("""COMPUTED_VALUE"""),"All Together / Bible — Psalms / Proverbs")</f>
        <v>All Together / Bible — Psalms / Proverbs</v>
      </c>
      <c r="N13" s="163" t="str">
        <f>IFERROR(__xludf.DUMMYFUNCTION("""COMPUTED_VALUE"""),"Faith")</f>
        <v>Faith</v>
      </c>
      <c r="O13" s="163" t="str">
        <f>IFERROR(__xludf.DUMMYFUNCTION("""COMPUTED_VALUE"""),"How Great Thou Art")</f>
        <v>How Great Thou Art</v>
      </c>
    </row>
    <row r="14" ht="15.75" customHeight="1">
      <c r="A14" s="437" t="s">
        <v>109</v>
      </c>
      <c r="B14" s="304"/>
      <c r="C14" s="438"/>
      <c r="D14" s="438"/>
      <c r="E14" s="438"/>
      <c r="F14" s="438"/>
      <c r="G14" s="438"/>
      <c r="H14" s="438"/>
      <c r="I14" s="304"/>
      <c r="J14" s="424"/>
      <c r="K14" s="437"/>
      <c r="L14" s="304"/>
      <c r="M14" s="33" t="str">
        <f>IFERROR(__xludf.DUMMYFUNCTION("""COMPUTED_VALUE"""),"All Together / Bible — Scripture Memory")</f>
        <v>All Together / Bible — Scripture Memory</v>
      </c>
      <c r="N14" s="163" t="str">
        <f>IFERROR(__xludf.DUMMYFUNCTION("""COMPUTED_VALUE"""),"Reading Loop")</f>
        <v>Reading Loop</v>
      </c>
      <c r="O14" s="163" t="str">
        <f>IFERROR(__xludf.DUMMYFUNCTION("""COMPUTED_VALUE"""),"Matthew")</f>
        <v>Matthew</v>
      </c>
    </row>
    <row r="15" ht="15.75" customHeight="1">
      <c r="A15" s="437" t="s">
        <v>109</v>
      </c>
      <c r="B15" s="304"/>
      <c r="C15" s="438"/>
      <c r="D15" s="438"/>
      <c r="E15" s="438"/>
      <c r="F15" s="438"/>
      <c r="G15" s="438"/>
      <c r="H15" s="438"/>
      <c r="I15" s="304"/>
      <c r="J15" s="424"/>
      <c r="K15" s="437"/>
      <c r="L15" s="304"/>
      <c r="M15" s="33" t="str">
        <f>IFERROR(__xludf.DUMMYFUNCTION("""COMPUTED_VALUE"""),"All Together / Foreign Language — Family Language Song")</f>
        <v>All Together / Foreign Language — Family Language Song</v>
      </c>
      <c r="N15" s="163" t="str">
        <f>IFERROR(__xludf.DUMMYFUNCTION("""COMPUTED_VALUE"""),"Thinking Loop")</f>
        <v>Thinking Loop</v>
      </c>
      <c r="O15" s="163" t="str">
        <f>IFERROR(__xludf.DUMMYFUNCTION("""COMPUTED_VALUE"""),"Nature Reader")</f>
        <v>Nature Reader</v>
      </c>
    </row>
    <row r="16" ht="15.75" customHeight="1">
      <c r="A16" s="437" t="s">
        <v>109</v>
      </c>
      <c r="B16" s="304"/>
      <c r="C16" s="438"/>
      <c r="D16" s="438"/>
      <c r="E16" s="438"/>
      <c r="F16" s="438"/>
      <c r="G16" s="438"/>
      <c r="H16" s="438"/>
      <c r="I16" s="304"/>
      <c r="J16" s="424"/>
      <c r="K16" s="437"/>
      <c r="L16" s="304"/>
      <c r="M16" s="33" t="str">
        <f>IFERROR(__xludf.DUMMYFUNCTION("""COMPUTED_VALUE"""),"All Together / Literature — Family Read-Aloud")</f>
        <v>All Together / Literature — Family Read-Aloud</v>
      </c>
      <c r="N16" s="163" t="str">
        <f>IFERROR(__xludf.DUMMYFUNCTION("""COMPUTED_VALUE"""),"Hands + Beauty Loop")</f>
        <v>Hands + Beauty Loop</v>
      </c>
      <c r="O16" s="163" t="str">
        <f>IFERROR(__xludf.DUMMYFUNCTION("""COMPUTED_VALUE"""),"Pay Attention, Carter Jones")</f>
        <v>Pay Attention, Carter Jones</v>
      </c>
    </row>
    <row r="17" ht="15.75" customHeight="1">
      <c r="A17" s="437" t="s">
        <v>109</v>
      </c>
      <c r="B17" s="304"/>
      <c r="C17" s="438"/>
      <c r="D17" s="438"/>
      <c r="E17" s="438"/>
      <c r="F17" s="438"/>
      <c r="G17" s="438"/>
      <c r="H17" s="438"/>
      <c r="I17" s="304"/>
      <c r="J17" s="424"/>
      <c r="K17" s="437"/>
      <c r="L17" s="304"/>
      <c r="M17" s="33" t="str">
        <f>IFERROR(__xludf.DUMMYFUNCTION("""COMPUTED_VALUE"""),"All Together / Literature — Tales / Fairy Tales / Myths")</f>
        <v>All Together / Literature — Tales / Fairy Tales / Myths</v>
      </c>
      <c r="N17" s="163" t="str">
        <f>IFERROR(__xludf.DUMMYFUNCTION("""COMPUTED_VALUE"""),"Daily Skills")</f>
        <v>Daily Skills</v>
      </c>
      <c r="O17" s="163" t="str">
        <f>IFERROR(__xludf.DUMMYFUNCTION("""COMPUTED_VALUE"""),"Peter Pan")</f>
        <v>Peter Pan</v>
      </c>
    </row>
    <row r="18" ht="15.75" customHeight="1">
      <c r="A18" s="437" t="s">
        <v>109</v>
      </c>
      <c r="B18" s="304"/>
      <c r="C18" s="438"/>
      <c r="D18" s="438"/>
      <c r="E18" s="438"/>
      <c r="F18" s="438"/>
      <c r="G18" s="438"/>
      <c r="H18" s="438"/>
      <c r="I18" s="304"/>
      <c r="J18" s="424"/>
      <c r="K18" s="437"/>
      <c r="L18" s="304"/>
      <c r="M18" s="33" t="str">
        <f>IFERROR(__xludf.DUMMYFUNCTION("""COMPUTED_VALUE"""),"All Together / Math — Family Math")</f>
        <v>All Together / Math — Family Math</v>
      </c>
      <c r="N18" s="163" t="str">
        <f>IFERROR(__xludf.DUMMYFUNCTION("""COMPUTED_VALUE"""),"Individual Work")</f>
        <v>Individual Work</v>
      </c>
      <c r="O18" s="163" t="str">
        <f>IFERROR(__xludf.DUMMYFUNCTION("""COMPUTED_VALUE"""),"Pinocchio")</f>
        <v>Pinocchio</v>
      </c>
    </row>
    <row r="19" ht="15.75" customHeight="1">
      <c r="A19" s="437" t="s">
        <v>109</v>
      </c>
      <c r="B19" s="304"/>
      <c r="C19" s="438"/>
      <c r="D19" s="438"/>
      <c r="E19" s="438"/>
      <c r="F19" s="438"/>
      <c r="G19" s="438"/>
      <c r="H19" s="438"/>
      <c r="I19" s="304"/>
      <c r="J19" s="424"/>
      <c r="K19" s="437"/>
      <c r="L19" s="304"/>
      <c r="M19" s="33" t="str">
        <f>IFERROR(__xludf.DUMMYFUNCTION("""COMPUTED_VALUE"""),"All Together / Science / Nature — Special Studies")</f>
        <v>All Together / Science / Nature — Special Studies</v>
      </c>
      <c r="N19" s="163" t="str">
        <f>IFERROR(__xludf.DUMMYFUNCTION("""COMPUTED_VALUE"""),"Outside / Co-op")</f>
        <v>Outside / Co-op</v>
      </c>
    </row>
    <row r="20" ht="15.75" customHeight="1">
      <c r="A20" s="437" t="s">
        <v>109</v>
      </c>
      <c r="B20" s="304"/>
      <c r="C20" s="438"/>
      <c r="D20" s="438"/>
      <c r="E20" s="438"/>
      <c r="F20" s="438"/>
      <c r="G20" s="438"/>
      <c r="H20" s="438"/>
      <c r="I20" s="304"/>
      <c r="J20" s="424"/>
      <c r="K20" s="437"/>
      <c r="L20" s="304"/>
      <c r="M20" s="33" t="str">
        <f>IFERROR(__xludf.DUMMYFUNCTION("""COMPUTED_VALUE"""),"Form I / Beauty + Hands — Drawing / Brush Drawing")</f>
        <v>Form I / Beauty + Hands — Drawing / Brush Drawing</v>
      </c>
      <c r="N20" s="163" t="str">
        <f>IFERROR(__xludf.DUMMYFUNCTION("""COMPUTED_VALUE"""),"Optional / Later")</f>
        <v>Optional / Later</v>
      </c>
    </row>
    <row r="21" ht="15.75" customHeight="1">
      <c r="A21" s="437" t="s">
        <v>109</v>
      </c>
      <c r="B21" s="304"/>
      <c r="C21" s="438"/>
      <c r="D21" s="438"/>
      <c r="E21" s="438"/>
      <c r="F21" s="438"/>
      <c r="G21" s="438"/>
      <c r="H21" s="438"/>
      <c r="I21" s="304"/>
      <c r="J21" s="424"/>
      <c r="K21" s="437"/>
      <c r="L21" s="304"/>
      <c r="M21" s="33" t="str">
        <f>IFERROR(__xludf.DUMMYFUNCTION("""COMPUTED_VALUE"""),"Form I / Beauty + Hands — Handicraft / Work")</f>
        <v>Form I / Beauty + Hands — Handicraft / Work</v>
      </c>
      <c r="N21" s="163" t="str">
        <f>IFERROR(__xludf.DUMMYFUNCTION("""COMPUTED_VALUE"""),"Bible")</f>
        <v>Bible</v>
      </c>
    </row>
    <row r="22" ht="15.75" customHeight="1">
      <c r="A22" s="437" t="s">
        <v>109</v>
      </c>
      <c r="B22" s="304"/>
      <c r="C22" s="438"/>
      <c r="D22" s="438"/>
      <c r="E22" s="438"/>
      <c r="F22" s="438"/>
      <c r="G22" s="438"/>
      <c r="H22" s="438"/>
      <c r="I22" s="304"/>
      <c r="J22" s="424"/>
      <c r="K22" s="437"/>
      <c r="L22" s="304"/>
      <c r="M22" s="33" t="str">
        <f>IFERROR(__xludf.DUMMYFUNCTION("""COMPUTED_VALUE"""),"Form I / Geography — Map / Place Stories")</f>
        <v>Form I / Geography — Map / Place Stories</v>
      </c>
      <c r="N22" s="163" t="str">
        <f>IFERROR(__xludf.DUMMYFUNCTION("""COMPUTED_VALUE"""),"Everyone — Reading Loop")</f>
        <v>Everyone — Reading Loop</v>
      </c>
    </row>
    <row r="23" ht="15.75" customHeight="1">
      <c r="A23" s="437" t="s">
        <v>109</v>
      </c>
      <c r="B23" s="304"/>
      <c r="C23" s="438"/>
      <c r="D23" s="438"/>
      <c r="E23" s="438"/>
      <c r="F23" s="438"/>
      <c r="G23" s="438"/>
      <c r="H23" s="438"/>
      <c r="I23" s="304"/>
      <c r="J23" s="424"/>
      <c r="K23" s="437"/>
      <c r="L23" s="304"/>
      <c r="M23" s="33" t="str">
        <f>IFERROR(__xludf.DUMMYFUNCTION("""COMPUTED_VALUE"""),"Form I / History — Early History Stories")</f>
        <v>Form I / History — Early History Stories</v>
      </c>
      <c r="N23" s="163" t="str">
        <f>IFERROR(__xludf.DUMMYFUNCTION("""COMPUTED_VALUE"""),"Little Girls — Hands + Beauty Loop")</f>
        <v>Little Girls — Hands + Beauty Loop</v>
      </c>
    </row>
    <row r="24" ht="15.75" customHeight="1">
      <c r="A24" s="441" t="s">
        <v>109</v>
      </c>
      <c r="B24" s="442"/>
      <c r="C24" s="438"/>
      <c r="D24" s="438"/>
      <c r="E24" s="438"/>
      <c r="F24" s="438"/>
      <c r="G24" s="438"/>
      <c r="H24" s="438"/>
      <c r="I24" s="442"/>
      <c r="J24" s="443"/>
      <c r="K24" s="441"/>
      <c r="L24" s="442"/>
      <c r="M24" s="33" t="str">
        <f>IFERROR(__xludf.DUMMYFUNCTION("""COMPUTED_VALUE"""),"Form I / History — Picture Books")</f>
        <v>Form I / History — Picture Books</v>
      </c>
      <c r="N24" s="163" t="str">
        <f>IFERROR(__xludf.DUMMYFUNCTION("""COMPUTED_VALUE"""),"Jeremiah — Outside / Co-op")</f>
        <v>Jeremiah — Outside / Co-op</v>
      </c>
    </row>
    <row r="25" ht="15.75" customHeight="1">
      <c r="A25" s="437" t="s">
        <v>109</v>
      </c>
      <c r="C25" s="438"/>
      <c r="D25" s="438"/>
      <c r="E25" s="438"/>
      <c r="F25" s="438"/>
      <c r="G25" s="438"/>
      <c r="H25" s="438"/>
      <c r="M25" s="33" t="str">
        <f>IFERROR(__xludf.DUMMYFUNCTION("""COMPUTED_VALUE"""),"Form I / Language Arts — Copywork")</f>
        <v>Form I / Language Arts — Copywork</v>
      </c>
      <c r="N25" s="163" t="str">
        <f>IFERROR(__xludf.DUMMYFUNCTION("""COMPUTED_VALUE"""),"Everyone — Faith")</f>
        <v>Everyone — Faith</v>
      </c>
    </row>
    <row r="26" ht="15.75" customHeight="1">
      <c r="A26" s="437" t="s">
        <v>109</v>
      </c>
      <c r="C26" s="438"/>
      <c r="D26" s="438"/>
      <c r="E26" s="438"/>
      <c r="F26" s="438"/>
      <c r="G26" s="438"/>
      <c r="H26" s="438"/>
      <c r="M26" s="33" t="str">
        <f>IFERROR(__xludf.DUMMYFUNCTION("""COMPUTED_VALUE"""),"Form I / Language Arts — Oral Narration")</f>
        <v>Form I / Language Arts — Oral Narration</v>
      </c>
      <c r="N26" s="163" t="str">
        <f>IFERROR(__xludf.DUMMYFUNCTION("""COMPUTED_VALUE"""),"Everyone — Hands + Beauty Loop")</f>
        <v>Everyone — Hands + Beauty Loop</v>
      </c>
    </row>
    <row r="27" ht="15.75" customHeight="1">
      <c r="A27" s="437" t="s">
        <v>109</v>
      </c>
      <c r="C27" s="438"/>
      <c r="D27" s="438"/>
      <c r="E27" s="438"/>
      <c r="F27" s="438"/>
      <c r="G27" s="438"/>
      <c r="H27" s="438"/>
      <c r="M27" s="33" t="str">
        <f>IFERROR(__xludf.DUMMYFUNCTION("""COMPUTED_VALUE"""),"Form I / Language Arts — Reading Practice / Phonics")</f>
        <v>Form I / Language Arts — Reading Practice / Phonics</v>
      </c>
      <c r="N27" s="163" t="str">
        <f>IFERROR(__xludf.DUMMYFUNCTION("""COMPUTED_VALUE"""),"Beauty + Hands")</f>
        <v>Beauty + Hands</v>
      </c>
    </row>
    <row r="28" ht="15.75" customHeight="1">
      <c r="A28" s="437" t="s">
        <v>109</v>
      </c>
      <c r="C28" s="438"/>
      <c r="D28" s="438"/>
      <c r="E28" s="438"/>
      <c r="F28" s="438"/>
      <c r="G28" s="438"/>
      <c r="H28" s="438"/>
      <c r="M28" s="33" t="str">
        <f>IFERROR(__xludf.DUMMYFUNCTION("""COMPUTED_VALUE"""),"Form I / Literature — Reader / Phonics")</f>
        <v>Form I / Literature — Reader / Phonics</v>
      </c>
      <c r="N28" s="163" t="str">
        <f>IFERROR(__xludf.DUMMYFUNCTION("""COMPUTED_VALUE"""),"Literature")</f>
        <v>Literature</v>
      </c>
    </row>
    <row r="29" ht="15.75" customHeight="1">
      <c r="A29" s="437" t="s">
        <v>109</v>
      </c>
      <c r="C29" s="438"/>
      <c r="D29" s="438"/>
      <c r="E29" s="438"/>
      <c r="F29" s="438"/>
      <c r="G29" s="438"/>
      <c r="H29" s="438"/>
      <c r="M29" s="33" t="str">
        <f>IFERROR(__xludf.DUMMYFUNCTION("""COMPUTED_VALUE"""),"Form I / Math — Math")</f>
        <v>Form I / Math — Math</v>
      </c>
      <c r="N29" s="163" t="str">
        <f>IFERROR(__xludf.DUMMYFUNCTION("""COMPUTED_VALUE"""),"Science / Nature")</f>
        <v>Science / Nature</v>
      </c>
    </row>
    <row r="30" ht="15.75" customHeight="1">
      <c r="A30" s="437" t="s">
        <v>109</v>
      </c>
      <c r="C30" s="438"/>
      <c r="D30" s="438"/>
      <c r="E30" s="438"/>
      <c r="F30" s="438"/>
      <c r="G30" s="438"/>
      <c r="H30" s="438"/>
      <c r="M30" s="33" t="str">
        <f>IFERROR(__xludf.DUMMYFUNCTION("""COMPUTED_VALUE"""),"Form II / Citizenship — Citizenship / Plutarch [IIA]")</f>
        <v>Form II / Citizenship — Citizenship / Plutarch [IIA]</v>
      </c>
      <c r="N30" s="163" t="str">
        <f>IFERROR(__xludf.DUMMYFUNCTION("""COMPUTED_VALUE"""),"Everyone — Faith")</f>
        <v>Everyone — Faith</v>
      </c>
    </row>
    <row r="31" ht="15.75" customHeight="1">
      <c r="A31" s="437" t="s">
        <v>109</v>
      </c>
      <c r="C31" s="438"/>
      <c r="D31" s="438"/>
      <c r="E31" s="438"/>
      <c r="F31" s="438"/>
      <c r="G31" s="438"/>
      <c r="H31" s="438"/>
      <c r="M31" s="33" t="str">
        <f>IFERROR(__xludf.DUMMYFUNCTION("""COMPUTED_VALUE"""),"Form II / Foreign Language — Latin [IIA]")</f>
        <v>Form II / Foreign Language — Latin [IIA]</v>
      </c>
      <c r="N31" s="163" t="str">
        <f>IFERROR(__xludf.DUMMYFUNCTION("""COMPUTED_VALUE"""),"Bible — Everyone")</f>
        <v>Bible — Everyone</v>
      </c>
    </row>
    <row r="32" ht="15.75" customHeight="1">
      <c r="A32" s="437" t="s">
        <v>109</v>
      </c>
      <c r="C32" s="438"/>
      <c r="D32" s="438"/>
      <c r="E32" s="438"/>
      <c r="F32" s="438"/>
      <c r="G32" s="438"/>
      <c r="H32" s="438"/>
      <c r="M32" s="33" t="str">
        <f>IFERROR(__xludf.DUMMYFUNCTION("""COMPUTED_VALUE"""),"Form II / Foreign Language — Modern Language")</f>
        <v>Form II / Foreign Language — Modern Language</v>
      </c>
      <c r="N32" s="163" t="str">
        <f>IFERROR(__xludf.DUMMYFUNCTION("""COMPUTED_VALUE"""),"Lucy Literature")</f>
        <v>Lucy Literature</v>
      </c>
    </row>
    <row r="33" ht="15.75" customHeight="1">
      <c r="A33" s="437" t="s">
        <v>109</v>
      </c>
      <c r="C33" s="438"/>
      <c r="D33" s="438"/>
      <c r="E33" s="438"/>
      <c r="F33" s="438"/>
      <c r="G33" s="438"/>
      <c r="H33" s="438"/>
      <c r="M33" s="33" t="str">
        <f>IFERROR(__xludf.DUMMYFUNCTION("""COMPUTED_VALUE"""),"Form II / Geography — Geography Reader")</f>
        <v>Form II / Geography — Geography Reader</v>
      </c>
      <c r="N33" s="163" t="str">
        <f>IFERROR(__xludf.DUMMYFUNCTION("""COMPUTED_VALUE"""),"Nature — Little Girls")</f>
        <v>Nature — Little Girls</v>
      </c>
    </row>
    <row r="34" ht="15.75" customHeight="1">
      <c r="A34" s="437" t="s">
        <v>109</v>
      </c>
      <c r="C34" s="438"/>
      <c r="D34" s="438"/>
      <c r="E34" s="438"/>
      <c r="F34" s="438"/>
      <c r="G34" s="438"/>
      <c r="H34" s="438"/>
      <c r="M34" s="33" t="str">
        <f>IFERROR(__xludf.DUMMYFUNCTION("""COMPUTED_VALUE"""),"Form II / Geography — Map Work")</f>
        <v>Form II / Geography — Map Work</v>
      </c>
    </row>
    <row r="35" ht="15.75" customHeight="1">
      <c r="A35" s="437" t="s">
        <v>109</v>
      </c>
      <c r="C35" s="438"/>
      <c r="D35" s="438"/>
      <c r="E35" s="438"/>
      <c r="F35" s="438"/>
      <c r="G35" s="438"/>
      <c r="H35" s="438"/>
      <c r="M35" s="33" t="str">
        <f>IFERROR(__xludf.DUMMYFUNCTION("""COMPUTED_VALUE"""),"Form II / History — Ancient History [IIA]")</f>
        <v>Form II / History — Ancient History [IIA]</v>
      </c>
    </row>
    <row r="36" ht="15.75" customHeight="1">
      <c r="A36" s="437" t="s">
        <v>109</v>
      </c>
      <c r="C36" s="438"/>
      <c r="D36" s="438"/>
      <c r="E36" s="438"/>
      <c r="F36" s="438"/>
      <c r="G36" s="438"/>
      <c r="H36" s="438"/>
      <c r="M36" s="33" t="str">
        <f>IFERROR(__xludf.DUMMYFUNCTION("""COMPUTED_VALUE"""),"Form II / History — Biography")</f>
        <v>Form II / History — Biography</v>
      </c>
    </row>
    <row r="37" ht="15.75" customHeight="1">
      <c r="A37" s="437" t="s">
        <v>109</v>
      </c>
      <c r="C37" s="438"/>
      <c r="D37" s="438"/>
      <c r="E37" s="438"/>
      <c r="F37" s="438"/>
      <c r="G37" s="438"/>
      <c r="H37" s="438"/>
      <c r="M37" s="33" t="str">
        <f>IFERROR(__xludf.DUMMYFUNCTION("""COMPUTED_VALUE"""),"Form II / History — History Spine")</f>
        <v>Form II / History — History Spine</v>
      </c>
    </row>
    <row r="38" ht="15.75" customHeight="1">
      <c r="A38" s="437" t="s">
        <v>109</v>
      </c>
      <c r="C38" s="438"/>
      <c r="D38" s="438"/>
      <c r="E38" s="438"/>
      <c r="F38" s="438"/>
      <c r="G38" s="438"/>
      <c r="H38" s="438"/>
      <c r="M38" s="33" t="str">
        <f>IFERROR(__xludf.DUMMYFUNCTION("""COMPUTED_VALUE"""),"Form II / Language Arts — Dictation")</f>
        <v>Form II / Language Arts — Dictation</v>
      </c>
    </row>
    <row r="39" ht="15.75" customHeight="1">
      <c r="A39" s="437" t="s">
        <v>109</v>
      </c>
      <c r="C39" s="438"/>
      <c r="D39" s="438"/>
      <c r="E39" s="438"/>
      <c r="F39" s="438"/>
      <c r="G39" s="438"/>
      <c r="H39" s="438"/>
      <c r="M39" s="33" t="str">
        <f>IFERROR(__xludf.DUMMYFUNCTION("""COMPUTED_VALUE"""),"Form II / Language Arts — Grammar")</f>
        <v>Form II / Language Arts — Grammar</v>
      </c>
    </row>
    <row r="40" ht="15.75" customHeight="1">
      <c r="A40" s="437" t="s">
        <v>109</v>
      </c>
      <c r="C40" s="438"/>
      <c r="D40" s="438"/>
      <c r="E40" s="438"/>
      <c r="F40" s="438"/>
      <c r="G40" s="438"/>
      <c r="H40" s="438"/>
      <c r="M40" s="33" t="str">
        <f>IFERROR(__xludf.DUMMYFUNCTION("""COMPUTED_VALUE"""),"Form II / Language Arts — Written Narration [IIA]")</f>
        <v>Form II / Language Arts — Written Narration [IIA]</v>
      </c>
    </row>
    <row r="41" ht="15.75" customHeight="1">
      <c r="A41" s="437" t="s">
        <v>109</v>
      </c>
      <c r="C41" s="438"/>
      <c r="D41" s="438"/>
      <c r="E41" s="438"/>
      <c r="F41" s="438"/>
      <c r="G41" s="438"/>
      <c r="H41" s="438"/>
      <c r="M41" s="33" t="str">
        <f>IFERROR(__xludf.DUMMYFUNCTION("""COMPUTED_VALUE"""),"Form II / Literature — Literature")</f>
        <v>Form II / Literature — Literature</v>
      </c>
    </row>
    <row r="42" ht="15.75" customHeight="1">
      <c r="A42" s="437" t="s">
        <v>109</v>
      </c>
      <c r="C42" s="438"/>
      <c r="D42" s="438"/>
      <c r="E42" s="438"/>
      <c r="F42" s="438"/>
      <c r="G42" s="438"/>
      <c r="H42" s="438"/>
      <c r="M42" s="33" t="str">
        <f>IFERROR(__xludf.DUMMYFUNCTION("""COMPUTED_VALUE"""),"Form II / Literature — Shakespeare option")</f>
        <v>Form II / Literature — Shakespeare option</v>
      </c>
    </row>
    <row r="43" ht="15.75" customHeight="1">
      <c r="A43" s="437" t="s">
        <v>109</v>
      </c>
      <c r="C43" s="438"/>
      <c r="D43" s="438"/>
      <c r="E43" s="438"/>
      <c r="F43" s="438"/>
      <c r="G43" s="438"/>
      <c r="H43" s="438"/>
      <c r="M43" s="33" t="str">
        <f>IFERROR(__xludf.DUMMYFUNCTION("""COMPUTED_VALUE"""),"Form II / Math — Arithmetic")</f>
        <v>Form II / Math — Arithmetic</v>
      </c>
    </row>
    <row r="44" ht="15.75" customHeight="1">
      <c r="A44" s="437" t="s">
        <v>109</v>
      </c>
      <c r="C44" s="438"/>
      <c r="D44" s="438"/>
      <c r="E44" s="438"/>
      <c r="F44" s="438"/>
      <c r="G44" s="438"/>
      <c r="H44" s="438"/>
      <c r="M44" s="33" t="str">
        <f>IFERROR(__xludf.DUMMYFUNCTION("""COMPUTED_VALUE"""),"Form II / Math — Practical Geometry")</f>
        <v>Form II / Math — Practical Geometry</v>
      </c>
    </row>
    <row r="45" ht="15.75" customHeight="1">
      <c r="A45" s="437" t="s">
        <v>109</v>
      </c>
      <c r="C45" s="438"/>
      <c r="D45" s="438"/>
      <c r="E45" s="438"/>
      <c r="F45" s="438"/>
      <c r="G45" s="438"/>
      <c r="H45" s="438"/>
      <c r="M45" s="33" t="str">
        <f>IFERROR(__xludf.DUMMYFUNCTION("""COMPUTED_VALUE"""),"Form II / Science / Nature — Natural History")</f>
        <v>Form II / Science / Nature — Natural History</v>
      </c>
    </row>
    <row r="46" ht="15.75" customHeight="1">
      <c r="A46" s="437" t="s">
        <v>109</v>
      </c>
      <c r="C46" s="438"/>
      <c r="D46" s="438"/>
      <c r="E46" s="438"/>
      <c r="F46" s="438"/>
      <c r="G46" s="438"/>
      <c r="H46" s="438"/>
      <c r="M46" s="33" t="str">
        <f>IFERROR(__xludf.DUMMYFUNCTION("""COMPUTED_VALUE"""),"Form II / Science / Nature — Science")</f>
        <v>Form II / Science / Nature — Science</v>
      </c>
    </row>
    <row r="47" ht="15.75" customHeight="1">
      <c r="A47" s="437" t="s">
        <v>109</v>
      </c>
      <c r="C47" s="438"/>
      <c r="D47" s="438"/>
      <c r="E47" s="438"/>
      <c r="F47" s="438"/>
      <c r="G47" s="438"/>
      <c r="H47" s="438"/>
      <c r="M47" s="33" t="str">
        <f>IFERROR(__xludf.DUMMYFUNCTION("""COMPUTED_VALUE"""),"Form III / Citizenship — Current Events")</f>
        <v>Form III / Citizenship — Current Events</v>
      </c>
    </row>
    <row r="48" ht="15.75" customHeight="1">
      <c r="A48" s="437" t="s">
        <v>109</v>
      </c>
      <c r="C48" s="438"/>
      <c r="D48" s="438"/>
      <c r="E48" s="438"/>
      <c r="F48" s="438"/>
      <c r="G48" s="438"/>
      <c r="H48" s="438"/>
      <c r="M48" s="33" t="str">
        <f>IFERROR(__xludf.DUMMYFUNCTION("""COMPUTED_VALUE"""),"Form III / Citizenship — Plutarch")</f>
        <v>Form III / Citizenship — Plutarch</v>
      </c>
    </row>
    <row r="49" ht="15.75" customHeight="1">
      <c r="A49" s="437" t="s">
        <v>109</v>
      </c>
      <c r="C49" s="438"/>
      <c r="D49" s="438"/>
      <c r="E49" s="438"/>
      <c r="F49" s="438"/>
      <c r="G49" s="438"/>
      <c r="H49" s="438"/>
      <c r="M49" s="33" t="str">
        <f>IFERROR(__xludf.DUMMYFUNCTION("""COMPUTED_VALUE"""),"Form III / Foreign Language — Latin")</f>
        <v>Form III / Foreign Language — Latin</v>
      </c>
    </row>
    <row r="50" ht="15.75" customHeight="1">
      <c r="A50" s="437" t="s">
        <v>109</v>
      </c>
      <c r="C50" s="438"/>
      <c r="D50" s="438"/>
      <c r="E50" s="438"/>
      <c r="F50" s="438"/>
      <c r="G50" s="438"/>
      <c r="H50" s="438"/>
      <c r="M50" s="33" t="str">
        <f>IFERROR(__xludf.DUMMYFUNCTION("""COMPUTED_VALUE"""),"Form III / Foreign Language — Modern Language")</f>
        <v>Form III / Foreign Language — Modern Language</v>
      </c>
    </row>
    <row r="51" ht="15.75" customHeight="1">
      <c r="A51" s="437" t="s">
        <v>109</v>
      </c>
      <c r="C51" s="438"/>
      <c r="D51" s="438"/>
      <c r="E51" s="438"/>
      <c r="F51" s="438"/>
      <c r="G51" s="438"/>
      <c r="H51" s="438"/>
      <c r="M51" s="33" t="str">
        <f>IFERROR(__xludf.DUMMYFUNCTION("""COMPUTED_VALUE"""),"Form III / Geography — Geography / Map Drill")</f>
        <v>Form III / Geography — Geography / Map Drill</v>
      </c>
    </row>
    <row r="52" ht="15.75" customHeight="1">
      <c r="A52" s="437" t="s">
        <v>109</v>
      </c>
      <c r="C52" s="438"/>
      <c r="D52" s="438"/>
      <c r="E52" s="438"/>
      <c r="F52" s="438"/>
      <c r="G52" s="438"/>
      <c r="H52" s="438"/>
      <c r="M52" s="33" t="str">
        <f>IFERROR(__xludf.DUMMYFUNCTION("""COMPUTED_VALUE"""),"Form III / History — Book of Centuries")</f>
        <v>Form III / History — Book of Centuries</v>
      </c>
    </row>
    <row r="53" ht="15.75" customHeight="1">
      <c r="A53" s="437" t="s">
        <v>109</v>
      </c>
      <c r="C53" s="438"/>
      <c r="D53" s="438"/>
      <c r="E53" s="438"/>
      <c r="F53" s="438"/>
      <c r="G53" s="438"/>
      <c r="H53" s="438"/>
      <c r="M53" s="33" t="str">
        <f>IFERROR(__xludf.DUMMYFUNCTION("""COMPUTED_VALUE"""),"Form III / History — World / American History")</f>
        <v>Form III / History — World / American History</v>
      </c>
    </row>
    <row r="54" ht="15.75" customHeight="1">
      <c r="A54" s="437" t="s">
        <v>109</v>
      </c>
      <c r="C54" s="438"/>
      <c r="D54" s="438"/>
      <c r="E54" s="438"/>
      <c r="F54" s="438"/>
      <c r="G54" s="438"/>
      <c r="H54" s="438"/>
      <c r="M54" s="33" t="str">
        <f>IFERROR(__xludf.DUMMYFUNCTION("""COMPUTED_VALUE"""),"Form III / Language Arts — Composition")</f>
        <v>Form III / Language Arts — Composition</v>
      </c>
    </row>
    <row r="55" ht="15.75" customHeight="1">
      <c r="A55" s="437" t="s">
        <v>109</v>
      </c>
      <c r="C55" s="438"/>
      <c r="D55" s="438"/>
      <c r="E55" s="438"/>
      <c r="F55" s="438"/>
      <c r="G55" s="438"/>
      <c r="H55" s="438"/>
      <c r="M55" s="33" t="str">
        <f>IFERROR(__xludf.DUMMYFUNCTION("""COMPUTED_VALUE"""),"Form III / Language Arts — Dictation")</f>
        <v>Form III / Language Arts — Dictation</v>
      </c>
    </row>
    <row r="56" ht="15.75" customHeight="1">
      <c r="A56" s="437" t="s">
        <v>109</v>
      </c>
      <c r="C56" s="438"/>
      <c r="D56" s="438"/>
      <c r="E56" s="438"/>
      <c r="F56" s="438"/>
      <c r="G56" s="438"/>
      <c r="H56" s="438"/>
      <c r="M56" s="33" t="str">
        <f>IFERROR(__xludf.DUMMYFUNCTION("""COMPUTED_VALUE"""),"Form III / Language Arts — Grammar / Analysis")</f>
        <v>Form III / Language Arts — Grammar / Analysis</v>
      </c>
    </row>
    <row r="57" ht="15.75" customHeight="1">
      <c r="M57" s="33" t="str">
        <f>IFERROR(__xludf.DUMMYFUNCTION("""COMPUTED_VALUE"""),"Form III / Literature — Literature")</f>
        <v>Form III / Literature — Literature</v>
      </c>
    </row>
    <row r="58" ht="15.75" customHeight="1">
      <c r="M58" s="33" t="str">
        <f>IFERROR(__xludf.DUMMYFUNCTION("""COMPUTED_VALUE"""),"Form III / Math — Algebra / Geometry")</f>
        <v>Form III / Math — Algebra / Geometry</v>
      </c>
    </row>
    <row r="59" ht="15.75" customHeight="1">
      <c r="M59" s="33" t="str">
        <f>IFERROR(__xludf.DUMMYFUNCTION("""COMPUTED_VALUE"""),"Form III / Science / Nature — Natural History")</f>
        <v>Form III / Science / Nature — Natural History</v>
      </c>
    </row>
    <row r="60" ht="15.75" customHeight="1">
      <c r="M60" s="33" t="str">
        <f>IFERROR(__xludf.DUMMYFUNCTION("""COMPUTED_VALUE"""),"Form III / Science / Nature — Science")</f>
        <v>Form III / Science / Nature — Science</v>
      </c>
    </row>
    <row r="61" ht="15.75" customHeight="1">
      <c r="M61" s="33" t="str">
        <f>IFERROR(__xludf.DUMMYFUNCTION("""COMPUTED_VALUE"""),"Form IV / Citizenship — Current Events")</f>
        <v>Form IV / Citizenship — Current Events</v>
      </c>
    </row>
    <row r="62" ht="15.75" customHeight="1">
      <c r="M62" s="33" t="str">
        <f>IFERROR(__xludf.DUMMYFUNCTION("""COMPUTED_VALUE"""),"Form IV / Citizenship — Government")</f>
        <v>Form IV / Citizenship — Government</v>
      </c>
    </row>
    <row r="63" ht="15.75" customHeight="1">
      <c r="M63" s="33" t="str">
        <f>IFERROR(__xludf.DUMMYFUNCTION("""COMPUTED_VALUE"""),"Form IV / Foreign Language — Modern Language / Latin")</f>
        <v>Form IV / Foreign Language — Modern Language / Latin</v>
      </c>
    </row>
    <row r="64" ht="15.75" customHeight="1">
      <c r="M64" s="33" t="str">
        <f>IFERROR(__xludf.DUMMYFUNCTION("""COMPUTED_VALUE"""),"Form IV / Geography — Geography")</f>
        <v>Form IV / Geography — Geography</v>
      </c>
    </row>
    <row r="65" ht="15.75" customHeight="1">
      <c r="M65" s="33" t="str">
        <f>IFERROR(__xludf.DUMMYFUNCTION("""COMPUTED_VALUE"""),"Form IV / History — Ancient History")</f>
        <v>Form IV / History — Ancient History</v>
      </c>
    </row>
    <row r="66" ht="15.75" customHeight="1">
      <c r="M66" s="33" t="str">
        <f>IFERROR(__xludf.DUMMYFUNCTION("""COMPUTED_VALUE"""),"Form IV / History — World / American History")</f>
        <v>Form IV / History — World / American History</v>
      </c>
    </row>
    <row r="67" ht="15.75" customHeight="1">
      <c r="M67" s="33" t="str">
        <f>IFERROR(__xludf.DUMMYFUNCTION("""COMPUTED_VALUE"""),"Form IV / Language Arts — Composition / Essays")</f>
        <v>Form IV / Language Arts — Composition / Essays</v>
      </c>
    </row>
    <row r="68" ht="15.75" customHeight="1">
      <c r="M68" s="33" t="str">
        <f>IFERROR(__xludf.DUMMYFUNCTION("""COMPUTED_VALUE"""),"Form IV / Language Arts — Grammar / Analysis")</f>
        <v>Form IV / Language Arts — Grammar / Analysis</v>
      </c>
    </row>
    <row r="69" ht="15.75" customHeight="1">
      <c r="M69" s="33" t="str">
        <f>IFERROR(__xludf.DUMMYFUNCTION("""COMPUTED_VALUE"""),"Form IV / Literature — Literature")</f>
        <v>Form IV / Literature — Literature</v>
      </c>
    </row>
    <row r="70" ht="15.75" customHeight="1">
      <c r="M70" s="33" t="str">
        <f>IFERROR(__xludf.DUMMYFUNCTION("""COMPUTED_VALUE"""),"Form IV / Math — Upper Math")</f>
        <v>Form IV / Math — Upper Math</v>
      </c>
    </row>
    <row r="71" ht="15.75" customHeight="1">
      <c r="M71" s="33" t="str">
        <f>IFERROR(__xludf.DUMMYFUNCTION("""COMPUTED_VALUE"""),"Form IV / Science / Nature — Science")</f>
        <v>Form IV / Science / Nature — Science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5:F56">
      <formula1>'Custom Views'!$M$5:$M$100</formula1>
    </dataValidation>
    <dataValidation type="list" allowBlank="1" showErrorMessage="1" sqref="C5:C56">
      <formula1>'Custom Views'!$J$5:$J$100</formula1>
    </dataValidation>
    <dataValidation type="list" allowBlank="1" showErrorMessage="1" sqref="G5:G56">
      <formula1>'Custom Views'!$O$5:$O$100</formula1>
    </dataValidation>
    <dataValidation type="list" allowBlank="1" showErrorMessage="1" sqref="H5:H56">
      <formula1>'Custom Views'!$P$5:$P$100</formula1>
    </dataValidation>
    <dataValidation type="list" allowBlank="1" showErrorMessage="1" sqref="E5:E56">
      <formula1>'Custom Views'!$L$5:$L$100</formula1>
    </dataValidation>
    <dataValidation type="list" allowBlank="1" showErrorMessage="1" sqref="D5:D56">
      <formula1>'Custom Views'!$K$5:$K$100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4CC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0"/>
    <col customWidth="1" min="2" max="2" width="20.0"/>
    <col customWidth="1" min="3" max="3" width="22.0"/>
    <col customWidth="1" min="4" max="4" width="55.0"/>
    <col customWidth="1" min="5" max="5" width="35.0"/>
    <col customWidth="1" min="6" max="6" width="22.0"/>
    <col customWidth="1" min="7" max="7" width="10.0"/>
    <col customWidth="1" min="8" max="8" width="28.0"/>
    <col customWidth="1" min="9" max="30" width="8.63"/>
  </cols>
  <sheetData>
    <row r="1">
      <c r="A1" s="444" t="s">
        <v>535</v>
      </c>
      <c r="B1" s="425"/>
      <c r="C1" s="425"/>
      <c r="D1" s="425"/>
      <c r="E1" s="425"/>
      <c r="F1" s="425"/>
      <c r="G1" s="425"/>
      <c r="H1" s="425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445" t="s">
        <v>536</v>
      </c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</row>
    <row r="2">
      <c r="A2" s="426" t="s">
        <v>538</v>
      </c>
      <c r="B2" s="427"/>
      <c r="C2" s="427"/>
      <c r="D2" s="427"/>
      <c r="E2" s="427"/>
      <c r="F2" s="427"/>
      <c r="G2" s="427"/>
      <c r="H2" s="427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65" t="s">
        <v>539</v>
      </c>
      <c r="T3" s="65" t="s">
        <v>197</v>
      </c>
      <c r="U3" s="65" t="s">
        <v>540</v>
      </c>
      <c r="V3" s="65" t="s">
        <v>541</v>
      </c>
      <c r="W3" s="65" t="s">
        <v>542</v>
      </c>
      <c r="X3" s="65" t="s">
        <v>543</v>
      </c>
      <c r="Y3" s="65" t="s">
        <v>544</v>
      </c>
      <c r="Z3" s="65" t="s">
        <v>545</v>
      </c>
      <c r="AA3" s="65" t="s">
        <v>546</v>
      </c>
      <c r="AB3" s="65" t="s">
        <v>547</v>
      </c>
      <c r="AC3" s="65" t="s">
        <v>548</v>
      </c>
      <c r="AD3" s="65" t="s">
        <v>549</v>
      </c>
    </row>
    <row r="4">
      <c r="A4" s="428" t="s">
        <v>157</v>
      </c>
      <c r="B4" s="428" t="s">
        <v>197</v>
      </c>
      <c r="C4" s="428" t="s">
        <v>481</v>
      </c>
      <c r="D4" s="428" t="s">
        <v>281</v>
      </c>
      <c r="E4" s="428" t="s">
        <v>342</v>
      </c>
      <c r="F4" s="428" t="s">
        <v>482</v>
      </c>
      <c r="G4" s="428" t="s">
        <v>483</v>
      </c>
      <c r="H4" s="428" t="s">
        <v>66</v>
      </c>
      <c r="I4" s="8"/>
      <c r="J4" s="229" t="s">
        <v>550</v>
      </c>
      <c r="K4" s="229" t="s">
        <v>197</v>
      </c>
      <c r="L4" s="229" t="s">
        <v>551</v>
      </c>
      <c r="M4" s="229" t="s">
        <v>552</v>
      </c>
      <c r="N4" s="229" t="s">
        <v>553</v>
      </c>
      <c r="O4" s="229" t="s">
        <v>554</v>
      </c>
      <c r="P4" s="229" t="s">
        <v>166</v>
      </c>
      <c r="Q4" s="229" t="s">
        <v>555</v>
      </c>
      <c r="R4" s="229" t="s">
        <v>556</v>
      </c>
      <c r="S4" s="229" t="s">
        <v>557</v>
      </c>
      <c r="T4" s="229" t="s">
        <v>130</v>
      </c>
      <c r="U4" s="229" t="s">
        <v>558</v>
      </c>
      <c r="V4" s="446">
        <f>'School Calendar'!A51</f>
        <v>46251</v>
      </c>
      <c r="W4" s="229" t="s">
        <v>222</v>
      </c>
      <c r="X4" s="447">
        <v>1.0</v>
      </c>
      <c r="Y4" s="446">
        <f>IFERROR(__xludf.DUMMYFUNCTION("IFERROR(LET(who,$T4,block,$U4,st,$V4,pace,$W4,n,$X4,calDates,'School Calendar'!$A$44:$A$408,calSchool,'School Calendar'!$H$44:$H$408,calWeek,'School Calendar'!$J$44:$J$408,exam,'School Calendar'!$M$44:$M$408,cap,SWITCH(pace,""1x/week"",1,""2x/week"",2,""3"&amp;"x/week"",3,""4x/week"",4,""Daily"",99,1),baseDates,FILTER(calDates,(calDates&gt;=st)*(calSchool=TRUE)*(exam=FALSE)),available,MAP(baseDates,LAMBDA(d,IF(block=""Outside / Co-op"",TRUE,IFERROR(INDEX('Helper Data'!$AF$5:$AJ$22,MATCH(who,'Helper Data'!$AD$5:$AD$"&amp;"22,0),MATCH(TEXT(d,""dddd""),'Helper Data'!$AF$4:$AJ$4,0)),FALSE)))),effDates,FILTER(baseDates,available),effWeeks,XLOOKUP(effDates,calDates,calWeek,""""),weekRank,MAP(effDates,LAMBDA(d,SUM((effDates&lt;=d)*(effWeeks=XLOOKUP(d,calDates,calWeek,""""))))),elig"&amp;"ibleSchedule,FILTER(effDates,weekRank&lt;=cap),IF(n&lt;=ROWS(eligibleSchedule),INDEX(eligibleSchedule,n),"""")),"""")"),46251.0)</f>
        <v>46251</v>
      </c>
      <c r="Z4" s="446">
        <f>'School Calendar'!A51</f>
        <v>46251</v>
      </c>
      <c r="AA4" s="8" t="str">
        <f t="shared" ref="AA4:AA22" si="1">IFERROR(IF($Y4=$Z4,"PASS","FAIL"),"FAIL: formula error")</f>
        <v>PASS</v>
      </c>
      <c r="AB4" s="8" t="str">
        <f>IFERROR(__xludf.DUMMYFUNCTION("IFERROR(LET(who,$T4,block,$U4,st,$V4,calDates,'School Calendar'!$A$44:$A$408,calSchool,'School Calendar'!$H$44:$H$408,calWeek,'School Calendar'!$J$44:$J$408,exam,'School Calendar'!$M$44:$M$408,baseDates,FILTER(calDates,(calDates&gt;=st)*(calSchool=TRUE)*(exa"&amp;"m=FALSE)),available,MAP(baseDates,LAMBDA(d,IF(block=""Outside / Co-op"",TRUE,IFERROR(INDEX('Helper Data'!$AF$5:$AJ$22,MATCH(who,'Helper Data'!$AD$5:$AD$22,0),MATCH(TEXT(d,""dddd""),'Helper Data'!$AF$4:$AJ$4,0)),FALSE)))),effDates,FILTER(baseDates,availabl"&amp;"e),effWeeks,XLOOKUP(effDates,calDates,calWeek,""""),firstWeek,INDEX(effWeeks,1),TEXTJOIN("", "",TRUE,TEXT(FILTER(effDates,effWeeks=firstWeek),""m/d""))),"""")"),"")</f>
        <v/>
      </c>
      <c r="AC4" s="8" t="str">
        <f>IFERROR(__xludf.DUMMYFUNCTION("IFERROR(LET(who,$T4,block,$U4,st,$V4,pace,$W4,calDates,'School Calendar'!$A$44:$A$408,calSchool,'School Calendar'!$H$44:$H$408,calWeek,'School Calendar'!$J$44:$J$408,exam,'School Calendar'!$M$44:$M$408,cap,SWITCH(pace,""1x/week"",1,""2x/week"",2,""3x/week"&amp;""",3,""4x/week"",4,""Daily"",99,1),baseDates,FILTER(calDates,(calDates&gt;=st)*(calSchool=TRUE)*(exam=FALSE)),available,MAP(baseDates,LAMBDA(d,IF(block=""Outside / Co-op"",TRUE,IFERROR(INDEX('Helper Data'!$AF$5:$AJ$22,MATCH(who,'Helper Data'!$AD$5:$AD$22,0),"&amp;"MATCH(TEXT(d,""dddd""),'Helper Data'!$AF$4:$AJ$4,0)),FALSE)))),effDates,FILTER(baseDates,available),effWeeks,XLOOKUP(effDates,calDates,calWeek,""""),firstWeek,INDEX(effWeeks,1),availCount,COUNTIF(effWeeks,firstWeek),IF(cap=99,""OK"",IF(availCount&lt;cap,""⚠ "&amp;"requested pace exceeds available days in School Week ""&amp;firstWeek,""OK""))),""⚠ no eligible dates"")"),"OK")</f>
        <v>OK</v>
      </c>
      <c r="AD4" s="8" t="str">
        <f t="shared" ref="AD4:AD22" si="2">IFERROR(IF(AND(NOT(ISERROR($Y4)),$Y4&lt;&gt;""),"Compatible","FAIL"),"FAIL")</f>
        <v>Compatible</v>
      </c>
    </row>
    <row r="5">
      <c r="A5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46251.0)</f>
        <v>46251</v>
      </c>
      <c r="B5" s="451" t="str">
        <f>IF(AND('Resource Planner'!$A$10="☑",1&lt;='Resource Planner'!$N$10),'Resource Planner'!$C$10,"")</f>
        <v>Everyone</v>
      </c>
      <c r="C5" s="451" t="str">
        <f>IF(AND('Resource Planner'!$A$10="☑",1&lt;='Resource Planner'!$N$10),'Resource Planner'!$B$10,"")</f>
        <v>Reading Loop</v>
      </c>
      <c r="D5" s="451" t="str">
        <f>IF(AND('Resource Planner'!$A$10="☑",1&lt;='Resource Planner'!$N$10),'Resource Planner'!$D$10,"")</f>
        <v>All Together / Literature — Family Read-Aloud</v>
      </c>
      <c r="E5" s="451" t="str">
        <f>IF(AND('Resource Planner'!$A$10="☑",1&lt;='Resource Planner'!$N$10),'Resource Planner'!$E$10,"")</f>
        <v>Pay Attention, Carter Jones</v>
      </c>
      <c r="F5" s="8" t="str">
        <f>IF(AND('Resource Planner'!$A$10="☑",1&lt;='Resource Planner'!$N$10),'Resource Planner'!$F$10&amp;" "&amp;('Resource Planner'!$G$10+(1-1)*'Resource Planner'!$I$10)&amp;IF(('Resource Planner'!$G$10+(1-1)*'Resource Planner'!$I$10)=MIN('Resource Planner'!$G$10+1*'Resource Planner'!$I$10-1,'Resource Planner'!$H$10),"","–"&amp;MIN('Resource Planner'!$G$10+1*'Resource Planner'!$I$10-1,'Resource Planner'!$H$10)),"")</f>
        <v>Chapter 1–2</v>
      </c>
      <c r="G5" s="8" t="s">
        <v>109</v>
      </c>
      <c r="H5" s="451" t="str">
        <f>IF(AND('Resource Planner'!$A$10="☑",1&lt;='Resource Planner'!$N$10),'Resource Planner'!$M$10,"")</f>
        <v>sample</v>
      </c>
      <c r="I5" s="8"/>
      <c r="J5" s="229" t="s">
        <v>588</v>
      </c>
      <c r="K5" s="229" t="s">
        <v>130</v>
      </c>
      <c r="L5" s="229" t="s">
        <v>558</v>
      </c>
      <c r="M5" s="446">
        <f>'School Calendar'!A51</f>
        <v>46251</v>
      </c>
      <c r="N5" s="8" t="b">
        <f t="array" ref="N5">IFERROR(XLOOKUP($M5,'School Calendar'!$A$44:$A$408,'School Calendar'!$H$44:$H$408,FALSE),FALSE)</f>
        <v>1</v>
      </c>
      <c r="O5" s="8" t="b">
        <f t="array" ref="O5">IF($L5="Outside / Co-op",TRUE,IFERROR(INDEX('Helper Data'!$AF$5:$AJ$22,MATCH($K5,'Helper Data'!$AD$5:$AD$22,0),MATCH(TEXT($M5,"dddd"),'Helper Data'!$AF$4:$AJ$4,0)),FALSE))</f>
        <v>1</v>
      </c>
      <c r="P5" s="8" t="b">
        <f t="array" ref="P5">IFERROR(XLOOKUP($M5,'School Calendar'!$A$44:$A$408,'School Calendar'!$M$44:$M$408,FALSE),FALSE)</f>
        <v>0</v>
      </c>
      <c r="Q5" s="8" t="b">
        <f t="shared" ref="Q5:Q23" si="3">AND($N5,$O5,NOT($P5))</f>
        <v>1</v>
      </c>
      <c r="R5" s="8" t="str">
        <f t="shared" ref="R5:R23" si="4">IF(NOT($N5),"Blocked globally",IF($P5,"Paused for exam week",IF($O5,"Eligible","Blocked by Regular Work Days")))</f>
        <v>Eligible</v>
      </c>
      <c r="S5" s="229" t="s">
        <v>589</v>
      </c>
      <c r="T5" s="229" t="s">
        <v>130</v>
      </c>
      <c r="U5" s="229" t="s">
        <v>558</v>
      </c>
      <c r="V5" s="446">
        <f>'School Calendar'!A52</f>
        <v>46252</v>
      </c>
      <c r="W5" s="229" t="s">
        <v>222</v>
      </c>
      <c r="X5" s="447">
        <v>1.0</v>
      </c>
      <c r="Y5" s="446">
        <f>IFERROR(__xludf.DUMMYFUNCTION("IFERROR(LET(who,$T5,block,$U5,st,$V5,pace,$W5,n,$X5,calDates,'School Calendar'!$A$44:$A$408,calSchool,'School Calendar'!$H$44:$H$408,calWeek,'School Calendar'!$J$44:$J$408,exam,'School Calendar'!$M$44:$M$408,cap,SWITCH(pace,""1x/week"",1,""2x/week"",2,""3"&amp;"x/week"",3,""4x/week"",4,""Daily"",99,1),baseDates,FILTER(calDates,(calDates&gt;=st)*(calSchool=TRUE)*(exam=FALSE)),available,MAP(baseDates,LAMBDA(d,IF(block=""Outside / Co-op"",TRUE,IFERROR(INDEX('Helper Data'!$AF$5:$AJ$22,MATCH(who,'Helper Data'!$AD$5:$AD$"&amp;"22,0),MATCH(TEXT(d,""dddd""),'Helper Data'!$AF$4:$AJ$4,0)),FALSE)))),effDates,FILTER(baseDates,available),effWeeks,XLOOKUP(effDates,calDates,calWeek,""""),weekRank,MAP(effDates,LAMBDA(d,SUM((effDates&lt;=d)*(effWeeks=XLOOKUP(d,calDates,calWeek,""""))))),elig"&amp;"ibleSchedule,FILTER(effDates,weekRank&lt;=cap),IF(n&lt;=ROWS(eligibleSchedule),INDEX(eligibleSchedule,n),"""")),"""")"),46253.0)</f>
        <v>46253</v>
      </c>
      <c r="Z5" s="446">
        <f>'School Calendar'!A53</f>
        <v>46253</v>
      </c>
      <c r="AA5" s="8" t="str">
        <f t="shared" si="1"/>
        <v>PASS</v>
      </c>
      <c r="AB5" s="8" t="str">
        <f>IFERROR(__xludf.DUMMYFUNCTION("IFERROR(LET(who,$T5,block,$U5,st,$V5,calDates,'School Calendar'!$A$44:$A$408,calSchool,'School Calendar'!$H$44:$H$408,calWeek,'School Calendar'!$J$44:$J$408,exam,'School Calendar'!$M$44:$M$408,baseDates,FILTER(calDates,(calDates&gt;=st)*(calSchool=TRUE)*(exa"&amp;"m=FALSE)),available,MAP(baseDates,LAMBDA(d,IF(block=""Outside / Co-op"",TRUE,IFERROR(INDEX('Helper Data'!$AF$5:$AJ$22,MATCH(who,'Helper Data'!$AD$5:$AD$22,0),MATCH(TEXT(d,""dddd""),'Helper Data'!$AF$4:$AJ$4,0)),FALSE)))),effDates,FILTER(baseDates,availabl"&amp;"e),effWeeks,XLOOKUP(effDates,calDates,calWeek,""""),firstWeek,INDEX(effWeeks,1),TEXTJOIN("", "",TRUE,TEXT(FILTER(effDates,effWeeks=firstWeek),""m/d""))),"""")"),"")</f>
        <v/>
      </c>
      <c r="AC5" s="8" t="str">
        <f>IFERROR(__xludf.DUMMYFUNCTION("IFERROR(LET(who,$T5,block,$U5,st,$V5,pace,$W5,calDates,'School Calendar'!$A$44:$A$408,calSchool,'School Calendar'!$H$44:$H$408,calWeek,'School Calendar'!$J$44:$J$408,exam,'School Calendar'!$M$44:$M$408,cap,SWITCH(pace,""1x/week"",1,""2x/week"",2,""3x/week"&amp;""",3,""4x/week"",4,""Daily"",99,1),baseDates,FILTER(calDates,(calDates&gt;=st)*(calSchool=TRUE)*(exam=FALSE)),available,MAP(baseDates,LAMBDA(d,IF(block=""Outside / Co-op"",TRUE,IFERROR(INDEX('Helper Data'!$AF$5:$AJ$22,MATCH(who,'Helper Data'!$AD$5:$AD$22,0),"&amp;"MATCH(TEXT(d,""dddd""),'Helper Data'!$AF$4:$AJ$4,0)),FALSE)))),effDates,FILTER(baseDates,available),effWeeks,XLOOKUP(effDates,calDates,calWeek,""""),firstWeek,INDEX(effWeeks,1),availCount,COUNTIF(effWeeks,firstWeek),IF(cap=99,""OK"",IF(availCount&lt;cap,""⚠ "&amp;"requested pace exceeds available days in School Week ""&amp;firstWeek,""OK""))),""⚠ no eligible dates"")"),"OK")</f>
        <v>OK</v>
      </c>
      <c r="AD5" s="8" t="str">
        <f t="shared" si="2"/>
        <v>Compatible</v>
      </c>
    </row>
    <row r="6">
      <c r="A6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46253.0)</f>
        <v>46253</v>
      </c>
      <c r="B6" s="451" t="str">
        <f>IF(AND('Resource Planner'!$A$10="☑",2&lt;='Resource Planner'!$N$10),'Resource Planner'!$C$10,"")</f>
        <v>Everyone</v>
      </c>
      <c r="C6" s="451" t="str">
        <f>IF(AND('Resource Planner'!$A$10="☑",2&lt;='Resource Planner'!$N$10),'Resource Planner'!$B$10,"")</f>
        <v>Reading Loop</v>
      </c>
      <c r="D6" s="451" t="str">
        <f>IF(AND('Resource Planner'!$A$10="☑",2&lt;='Resource Planner'!$N$10),'Resource Planner'!$D$10,"")</f>
        <v>All Together / Literature — Family Read-Aloud</v>
      </c>
      <c r="E6" s="451" t="str">
        <f>IF(AND('Resource Planner'!$A$10="☑",2&lt;='Resource Planner'!$N$10),'Resource Planner'!$E$10,"")</f>
        <v>Pay Attention, Carter Jones</v>
      </c>
      <c r="F6" s="8" t="str">
        <f>IF(AND('Resource Planner'!$A$10="☑",2&lt;='Resource Planner'!$N$10),'Resource Planner'!$F$10&amp;" "&amp;('Resource Planner'!$G$10+(2-1)*'Resource Planner'!$I$10)&amp;IF(('Resource Planner'!$G$10+(2-1)*'Resource Planner'!$I$10)=MIN('Resource Planner'!$G$10+2*'Resource Planner'!$I$10-1,'Resource Planner'!$H$10),"","–"&amp;MIN('Resource Planner'!$G$10+2*'Resource Planner'!$I$10-1,'Resource Planner'!$H$10)),"")</f>
        <v>Chapter 3–4</v>
      </c>
      <c r="G6" s="8" t="s">
        <v>109</v>
      </c>
      <c r="H6" s="451" t="str">
        <f>IF(AND('Resource Planner'!$A$10="☑",2&lt;='Resource Planner'!$N$10),'Resource Planner'!$M$10,"")</f>
        <v>sample</v>
      </c>
      <c r="I6" s="8"/>
      <c r="J6" s="229" t="s">
        <v>590</v>
      </c>
      <c r="K6" s="229" t="s">
        <v>130</v>
      </c>
      <c r="L6" s="229" t="s">
        <v>558</v>
      </c>
      <c r="M6" s="446">
        <f>'School Calendar'!A52</f>
        <v>46252</v>
      </c>
      <c r="N6" s="8" t="b">
        <f t="array" ref="N6">IFERROR(XLOOKUP($M6,'School Calendar'!$A$44:$A$408,'School Calendar'!$H$44:$H$408,FALSE),FALSE)</f>
        <v>1</v>
      </c>
      <c r="O6" s="8" t="b">
        <f t="array" ref="O6">IF($L6="Outside / Co-op",TRUE,IFERROR(INDEX('Helper Data'!$AF$5:$AJ$22,MATCH($K6,'Helper Data'!$AD$5:$AD$22,0),MATCH(TEXT($M6,"dddd"),'Helper Data'!$AF$4:$AJ$4,0)),FALSE))</f>
        <v>0</v>
      </c>
      <c r="P6" s="8" t="b">
        <f t="array" ref="P6">IFERROR(XLOOKUP($M6,'School Calendar'!$A$44:$A$408,'School Calendar'!$M$44:$M$408,FALSE),FALSE)</f>
        <v>0</v>
      </c>
      <c r="Q6" s="8" t="b">
        <f t="shared" si="3"/>
        <v>0</v>
      </c>
      <c r="R6" s="8" t="str">
        <f t="shared" si="4"/>
        <v>Blocked by Regular Work Days</v>
      </c>
      <c r="S6" s="229" t="s">
        <v>591</v>
      </c>
      <c r="T6" s="229" t="s">
        <v>130</v>
      </c>
      <c r="U6" s="229" t="s">
        <v>558</v>
      </c>
      <c r="V6" s="446">
        <f>'School Calendar'!A53</f>
        <v>46253</v>
      </c>
      <c r="W6" s="229" t="s">
        <v>222</v>
      </c>
      <c r="X6" s="447">
        <v>1.0</v>
      </c>
      <c r="Y6" s="446">
        <f>IFERROR(__xludf.DUMMYFUNCTION("IFERROR(LET(who,$T6,block,$U6,st,$V6,pace,$W6,n,$X6,calDates,'School Calendar'!$A$44:$A$408,calSchool,'School Calendar'!$H$44:$H$408,calWeek,'School Calendar'!$J$44:$J$408,exam,'School Calendar'!$M$44:$M$408,cap,SWITCH(pace,""1x/week"",1,""2x/week"",2,""3"&amp;"x/week"",3,""4x/week"",4,""Daily"",99,1),baseDates,FILTER(calDates,(calDates&gt;=st)*(calSchool=TRUE)*(exam=FALSE)),available,MAP(baseDates,LAMBDA(d,IF(block=""Outside / Co-op"",TRUE,IFERROR(INDEX('Helper Data'!$AF$5:$AJ$22,MATCH(who,'Helper Data'!$AD$5:$AD$"&amp;"22,0),MATCH(TEXT(d,""dddd""),'Helper Data'!$AF$4:$AJ$4,0)),FALSE)))),effDates,FILTER(baseDates,available),effWeeks,XLOOKUP(effDates,calDates,calWeek,""""),weekRank,MAP(effDates,LAMBDA(d,SUM((effDates&lt;=d)*(effWeeks=XLOOKUP(d,calDates,calWeek,""""))))),elig"&amp;"ibleSchedule,FILTER(effDates,weekRank&lt;=cap),IF(n&lt;=ROWS(eligibleSchedule),INDEX(eligibleSchedule,n),"""")),"""")"),46253.0)</f>
        <v>46253</v>
      </c>
      <c r="Z6" s="446">
        <f>'School Calendar'!A53</f>
        <v>46253</v>
      </c>
      <c r="AA6" s="8" t="str">
        <f t="shared" si="1"/>
        <v>PASS</v>
      </c>
      <c r="AB6" s="8" t="str">
        <f>IFERROR(__xludf.DUMMYFUNCTION("IFERROR(LET(who,$T6,block,$U6,st,$V6,calDates,'School Calendar'!$A$44:$A$408,calSchool,'School Calendar'!$H$44:$H$408,calWeek,'School Calendar'!$J$44:$J$408,exam,'School Calendar'!$M$44:$M$408,baseDates,FILTER(calDates,(calDates&gt;=st)*(calSchool=TRUE)*(exa"&amp;"m=FALSE)),available,MAP(baseDates,LAMBDA(d,IF(block=""Outside / Co-op"",TRUE,IFERROR(INDEX('Helper Data'!$AF$5:$AJ$22,MATCH(who,'Helper Data'!$AD$5:$AD$22,0),MATCH(TEXT(d,""dddd""),'Helper Data'!$AF$4:$AJ$4,0)),FALSE)))),effDates,FILTER(baseDates,availabl"&amp;"e),effWeeks,XLOOKUP(effDates,calDates,calWeek,""""),firstWeek,INDEX(effWeeks,1),TEXTJOIN("", "",TRUE,TEXT(FILTER(effDates,effWeeks=firstWeek),""m/d""))),"""")"),"")</f>
        <v/>
      </c>
      <c r="AC6" s="8" t="str">
        <f>IFERROR(__xludf.DUMMYFUNCTION("IFERROR(LET(who,$T6,block,$U6,st,$V6,pace,$W6,calDates,'School Calendar'!$A$44:$A$408,calSchool,'School Calendar'!$H$44:$H$408,calWeek,'School Calendar'!$J$44:$J$408,exam,'School Calendar'!$M$44:$M$408,cap,SWITCH(pace,""1x/week"",1,""2x/week"",2,""3x/week"&amp;""",3,""4x/week"",4,""Daily"",99,1),baseDates,FILTER(calDates,(calDates&gt;=st)*(calSchool=TRUE)*(exam=FALSE)),available,MAP(baseDates,LAMBDA(d,IF(block=""Outside / Co-op"",TRUE,IFERROR(INDEX('Helper Data'!$AF$5:$AJ$22,MATCH(who,'Helper Data'!$AD$5:$AD$22,0),"&amp;"MATCH(TEXT(d,""dddd""),'Helper Data'!$AF$4:$AJ$4,0)),FALSE)))),effDates,FILTER(baseDates,available),effWeeks,XLOOKUP(effDates,calDates,calWeek,""""),firstWeek,INDEX(effWeeks,1),availCount,COUNTIF(effWeeks,firstWeek),IF(cap=99,""OK"",IF(availCount&lt;cap,""⚠ "&amp;"requested pace exceeds available days in School Week ""&amp;firstWeek,""OK""))),""⚠ no eligible dates"")"),"OK")</f>
        <v>OK</v>
      </c>
      <c r="AD6" s="8" t="str">
        <f t="shared" si="2"/>
        <v>Compatible</v>
      </c>
    </row>
    <row r="7">
      <c r="A7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46255.0)</f>
        <v>46255</v>
      </c>
      <c r="B7" s="451" t="str">
        <f>IF(AND('Resource Planner'!$A$10="☑",3&lt;='Resource Planner'!$N$10),'Resource Planner'!$C$10,"")</f>
        <v>Everyone</v>
      </c>
      <c r="C7" s="451" t="str">
        <f>IF(AND('Resource Planner'!$A$10="☑",3&lt;='Resource Planner'!$N$10),'Resource Planner'!$B$10,"")</f>
        <v>Reading Loop</v>
      </c>
      <c r="D7" s="451" t="str">
        <f>IF(AND('Resource Planner'!$A$10="☑",3&lt;='Resource Planner'!$N$10),'Resource Planner'!$D$10,"")</f>
        <v>All Together / Literature — Family Read-Aloud</v>
      </c>
      <c r="E7" s="451" t="str">
        <f>IF(AND('Resource Planner'!$A$10="☑",3&lt;='Resource Planner'!$N$10),'Resource Planner'!$E$10,"")</f>
        <v>Pay Attention, Carter Jones</v>
      </c>
      <c r="F7" s="8" t="str">
        <f>IF(AND('Resource Planner'!$A$10="☑",3&lt;='Resource Planner'!$N$10),'Resource Planner'!$F$10&amp;" "&amp;('Resource Planner'!$G$10+(3-1)*'Resource Planner'!$I$10)&amp;IF(('Resource Planner'!$G$10+(3-1)*'Resource Planner'!$I$10)=MIN('Resource Planner'!$G$10+3*'Resource Planner'!$I$10-1,'Resource Planner'!$H$10),"","–"&amp;MIN('Resource Planner'!$G$10+3*'Resource Planner'!$I$10-1,'Resource Planner'!$H$10)),"")</f>
        <v>Chapter 5–6</v>
      </c>
      <c r="G7" s="8" t="s">
        <v>109</v>
      </c>
      <c r="H7" s="451" t="str">
        <f>IF(AND('Resource Planner'!$A$10="☑",3&lt;='Resource Planner'!$N$10),'Resource Planner'!$M$10,"")</f>
        <v>sample</v>
      </c>
      <c r="I7" s="8"/>
      <c r="J7" s="229" t="s">
        <v>594</v>
      </c>
      <c r="K7" s="229" t="s">
        <v>130</v>
      </c>
      <c r="L7" s="229" t="s">
        <v>558</v>
      </c>
      <c r="M7" s="446">
        <f>'School Calendar'!A53</f>
        <v>46253</v>
      </c>
      <c r="N7" s="8" t="b">
        <f t="array" ref="N7">IFERROR(XLOOKUP($M7,'School Calendar'!$A$44:$A$408,'School Calendar'!$H$44:$H$408,FALSE),FALSE)</f>
        <v>1</v>
      </c>
      <c r="O7" s="8" t="b">
        <f t="array" ref="O7">IF($L7="Outside / Co-op",TRUE,IFERROR(INDEX('Helper Data'!$AF$5:$AJ$22,MATCH($K7,'Helper Data'!$AD$5:$AD$22,0),MATCH(TEXT($M7,"dddd"),'Helper Data'!$AF$4:$AJ$4,0)),FALSE))</f>
        <v>1</v>
      </c>
      <c r="P7" s="8" t="b">
        <f t="array" ref="P7">IFERROR(XLOOKUP($M7,'School Calendar'!$A$44:$A$408,'School Calendar'!$M$44:$M$408,FALSE),FALSE)</f>
        <v>0</v>
      </c>
      <c r="Q7" s="8" t="b">
        <f t="shared" si="3"/>
        <v>1</v>
      </c>
      <c r="R7" s="8" t="str">
        <f t="shared" si="4"/>
        <v>Eligible</v>
      </c>
      <c r="S7" s="229" t="s">
        <v>595</v>
      </c>
      <c r="T7" s="229" t="s">
        <v>130</v>
      </c>
      <c r="U7" s="229" t="s">
        <v>558</v>
      </c>
      <c r="V7" s="446">
        <f>'School Calendar'!A54</f>
        <v>46254</v>
      </c>
      <c r="W7" s="229" t="s">
        <v>222</v>
      </c>
      <c r="X7" s="447">
        <v>1.0</v>
      </c>
      <c r="Y7" s="446">
        <f>IFERROR(__xludf.DUMMYFUNCTION("IFERROR(LET(who,$T7,block,$U7,st,$V7,pace,$W7,n,$X7,calDates,'School Calendar'!$A$44:$A$408,calSchool,'School Calendar'!$H$44:$H$408,calWeek,'School Calendar'!$J$44:$J$408,exam,'School Calendar'!$M$44:$M$408,cap,SWITCH(pace,""1x/week"",1,""2x/week"",2,""3"&amp;"x/week"",3,""4x/week"",4,""Daily"",99,1),baseDates,FILTER(calDates,(calDates&gt;=st)*(calSchool=TRUE)*(exam=FALSE)),available,MAP(baseDates,LAMBDA(d,IF(block=""Outside / Co-op"",TRUE,IFERROR(INDEX('Helper Data'!$AF$5:$AJ$22,MATCH(who,'Helper Data'!$AD$5:$AD$"&amp;"22,0),MATCH(TEXT(d,""dddd""),'Helper Data'!$AF$4:$AJ$4,0)),FALSE)))),effDates,FILTER(baseDates,available),effWeeks,XLOOKUP(effDates,calDates,calWeek,""""),weekRank,MAP(effDates,LAMBDA(d,SUM((effDates&lt;=d)*(effWeeks=XLOOKUP(d,calDates,calWeek,""""))))),elig"&amp;"ibleSchedule,FILTER(effDates,weekRank&lt;=cap),IF(n&lt;=ROWS(eligibleSchedule),INDEX(eligibleSchedule,n),"""")),"""")"),46255.0)</f>
        <v>46255</v>
      </c>
      <c r="Z7" s="446">
        <f>'School Calendar'!A55</f>
        <v>46255</v>
      </c>
      <c r="AA7" s="8" t="str">
        <f t="shared" si="1"/>
        <v>PASS</v>
      </c>
      <c r="AB7" s="8" t="str">
        <f>IFERROR(__xludf.DUMMYFUNCTION("IFERROR(LET(who,$T7,block,$U7,st,$V7,calDates,'School Calendar'!$A$44:$A$408,calSchool,'School Calendar'!$H$44:$H$408,calWeek,'School Calendar'!$J$44:$J$408,exam,'School Calendar'!$M$44:$M$408,baseDates,FILTER(calDates,(calDates&gt;=st)*(calSchool=TRUE)*(exa"&amp;"m=FALSE)),available,MAP(baseDates,LAMBDA(d,IF(block=""Outside / Co-op"",TRUE,IFERROR(INDEX('Helper Data'!$AF$5:$AJ$22,MATCH(who,'Helper Data'!$AD$5:$AD$22,0),MATCH(TEXT(d,""dddd""),'Helper Data'!$AF$4:$AJ$4,0)),FALSE)))),effDates,FILTER(baseDates,availabl"&amp;"e),effWeeks,XLOOKUP(effDates,calDates,calWeek,""""),firstWeek,INDEX(effWeeks,1),TEXTJOIN("", "",TRUE,TEXT(FILTER(effDates,effWeeks=firstWeek),""m/d""))),"""")"),"")</f>
        <v/>
      </c>
      <c r="AC7" s="8" t="str">
        <f>IFERROR(__xludf.DUMMYFUNCTION("IFERROR(LET(who,$T7,block,$U7,st,$V7,pace,$W7,calDates,'School Calendar'!$A$44:$A$408,calSchool,'School Calendar'!$H$44:$H$408,calWeek,'School Calendar'!$J$44:$J$408,exam,'School Calendar'!$M$44:$M$408,cap,SWITCH(pace,""1x/week"",1,""2x/week"",2,""3x/week"&amp;""",3,""4x/week"",4,""Daily"",99,1),baseDates,FILTER(calDates,(calDates&gt;=st)*(calSchool=TRUE)*(exam=FALSE)),available,MAP(baseDates,LAMBDA(d,IF(block=""Outside / Co-op"",TRUE,IFERROR(INDEX('Helper Data'!$AF$5:$AJ$22,MATCH(who,'Helper Data'!$AD$5:$AD$22,0),"&amp;"MATCH(TEXT(d,""dddd""),'Helper Data'!$AF$4:$AJ$4,0)),FALSE)))),effDates,FILTER(baseDates,available),effWeeks,XLOOKUP(effDates,calDates,calWeek,""""),firstWeek,INDEX(effWeeks,1),availCount,COUNTIF(effWeeks,firstWeek),IF(cap=99,""OK"",IF(availCount&lt;cap,""⚠ "&amp;"requested pace exceeds available days in School Week ""&amp;firstWeek,""OK""))),""⚠ no eligible dates"")"),"OK")</f>
        <v>OK</v>
      </c>
      <c r="AD7" s="8" t="str">
        <f t="shared" si="2"/>
        <v>Compatible</v>
      </c>
    </row>
    <row r="8">
      <c r="A8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46258.0)</f>
        <v>46258</v>
      </c>
      <c r="B8" s="451" t="str">
        <f>IF(AND('Resource Planner'!$A$10="☑",4&lt;='Resource Planner'!$N$10),'Resource Planner'!$C$10,"")</f>
        <v>Everyone</v>
      </c>
      <c r="C8" s="451" t="str">
        <f>IF(AND('Resource Planner'!$A$10="☑",4&lt;='Resource Planner'!$N$10),'Resource Planner'!$B$10,"")</f>
        <v>Reading Loop</v>
      </c>
      <c r="D8" s="451" t="str">
        <f>IF(AND('Resource Planner'!$A$10="☑",4&lt;='Resource Planner'!$N$10),'Resource Planner'!$D$10,"")</f>
        <v>All Together / Literature — Family Read-Aloud</v>
      </c>
      <c r="E8" s="451" t="str">
        <f>IF(AND('Resource Planner'!$A$10="☑",4&lt;='Resource Planner'!$N$10),'Resource Planner'!$E$10,"")</f>
        <v>Pay Attention, Carter Jones</v>
      </c>
      <c r="F8" s="8" t="str">
        <f>IF(AND('Resource Planner'!$A$10="☑",4&lt;='Resource Planner'!$N$10),'Resource Planner'!$F$10&amp;" "&amp;('Resource Planner'!$G$10+(4-1)*'Resource Planner'!$I$10)&amp;IF(('Resource Planner'!$G$10+(4-1)*'Resource Planner'!$I$10)=MIN('Resource Planner'!$G$10+4*'Resource Planner'!$I$10-1,'Resource Planner'!$H$10),"","–"&amp;MIN('Resource Planner'!$G$10+4*'Resource Planner'!$I$10-1,'Resource Planner'!$H$10)),"")</f>
        <v>Chapter 7–8</v>
      </c>
      <c r="G8" s="8" t="s">
        <v>109</v>
      </c>
      <c r="H8" s="451" t="str">
        <f>IF(AND('Resource Planner'!$A$10="☑",4&lt;='Resource Planner'!$N$10),'Resource Planner'!$M$10,"")</f>
        <v>sample</v>
      </c>
      <c r="I8" s="8"/>
      <c r="J8" s="229" t="s">
        <v>598</v>
      </c>
      <c r="K8" s="229" t="s">
        <v>130</v>
      </c>
      <c r="L8" s="229" t="s">
        <v>558</v>
      </c>
      <c r="M8" s="446">
        <f>'School Calendar'!A54</f>
        <v>46254</v>
      </c>
      <c r="N8" s="8" t="b">
        <f t="array" ref="N8">IFERROR(XLOOKUP($M8,'School Calendar'!$A$44:$A$408,'School Calendar'!$H$44:$H$408,FALSE),FALSE)</f>
        <v>1</v>
      </c>
      <c r="O8" s="8" t="b">
        <f t="array" ref="O8">IF($L8="Outside / Co-op",TRUE,IFERROR(INDEX('Helper Data'!$AF$5:$AJ$22,MATCH($K8,'Helper Data'!$AD$5:$AD$22,0),MATCH(TEXT($M8,"dddd"),'Helper Data'!$AF$4:$AJ$4,0)),FALSE))</f>
        <v>0</v>
      </c>
      <c r="P8" s="8" t="b">
        <f t="array" ref="P8">IFERROR(XLOOKUP($M8,'School Calendar'!$A$44:$A$408,'School Calendar'!$M$44:$M$408,FALSE),FALSE)</f>
        <v>0</v>
      </c>
      <c r="Q8" s="8" t="b">
        <f t="shared" si="3"/>
        <v>0</v>
      </c>
      <c r="R8" s="8" t="str">
        <f t="shared" si="4"/>
        <v>Blocked by Regular Work Days</v>
      </c>
      <c r="S8" s="229" t="s">
        <v>599</v>
      </c>
      <c r="T8" s="229" t="s">
        <v>130</v>
      </c>
      <c r="U8" s="229" t="s">
        <v>558</v>
      </c>
      <c r="V8" s="446">
        <f>'School Calendar'!A55</f>
        <v>46255</v>
      </c>
      <c r="W8" s="229" t="s">
        <v>222</v>
      </c>
      <c r="X8" s="447">
        <v>1.0</v>
      </c>
      <c r="Y8" s="446">
        <f>IFERROR(__xludf.DUMMYFUNCTION("IFERROR(LET(who,$T8,block,$U8,st,$V8,pace,$W8,n,$X8,calDates,'School Calendar'!$A$44:$A$408,calSchool,'School Calendar'!$H$44:$H$408,calWeek,'School Calendar'!$J$44:$J$408,exam,'School Calendar'!$M$44:$M$408,cap,SWITCH(pace,""1x/week"",1,""2x/week"",2,""3"&amp;"x/week"",3,""4x/week"",4,""Daily"",99,1),baseDates,FILTER(calDates,(calDates&gt;=st)*(calSchool=TRUE)*(exam=FALSE)),available,MAP(baseDates,LAMBDA(d,IF(block=""Outside / Co-op"",TRUE,IFERROR(INDEX('Helper Data'!$AF$5:$AJ$22,MATCH(who,'Helper Data'!$AD$5:$AD$"&amp;"22,0),MATCH(TEXT(d,""dddd""),'Helper Data'!$AF$4:$AJ$4,0)),FALSE)))),effDates,FILTER(baseDates,available),effWeeks,XLOOKUP(effDates,calDates,calWeek,""""),weekRank,MAP(effDates,LAMBDA(d,SUM((effDates&lt;=d)*(effWeeks=XLOOKUP(d,calDates,calWeek,""""))))),elig"&amp;"ibleSchedule,FILTER(effDates,weekRank&lt;=cap),IF(n&lt;=ROWS(eligibleSchedule),INDEX(eligibleSchedule,n),"""")),"""")"),46255.0)</f>
        <v>46255</v>
      </c>
      <c r="Z8" s="446">
        <f>'School Calendar'!A55</f>
        <v>46255</v>
      </c>
      <c r="AA8" s="8" t="str">
        <f t="shared" si="1"/>
        <v>PASS</v>
      </c>
      <c r="AB8" s="8" t="str">
        <f>IFERROR(__xludf.DUMMYFUNCTION("IFERROR(LET(who,$T8,block,$U8,st,$V8,calDates,'School Calendar'!$A$44:$A$408,calSchool,'School Calendar'!$H$44:$H$408,calWeek,'School Calendar'!$J$44:$J$408,exam,'School Calendar'!$M$44:$M$408,baseDates,FILTER(calDates,(calDates&gt;=st)*(calSchool=TRUE)*(exa"&amp;"m=FALSE)),available,MAP(baseDates,LAMBDA(d,IF(block=""Outside / Co-op"",TRUE,IFERROR(INDEX('Helper Data'!$AF$5:$AJ$22,MATCH(who,'Helper Data'!$AD$5:$AD$22,0),MATCH(TEXT(d,""dddd""),'Helper Data'!$AF$4:$AJ$4,0)),FALSE)))),effDates,FILTER(baseDates,availabl"&amp;"e),effWeeks,XLOOKUP(effDates,calDates,calWeek,""""),firstWeek,INDEX(effWeeks,1),TEXTJOIN("", "",TRUE,TEXT(FILTER(effDates,effWeeks=firstWeek),""m/d""))),"""")"),"")</f>
        <v/>
      </c>
      <c r="AC8" s="8" t="str">
        <f>IFERROR(__xludf.DUMMYFUNCTION("IFERROR(LET(who,$T8,block,$U8,st,$V8,pace,$W8,calDates,'School Calendar'!$A$44:$A$408,calSchool,'School Calendar'!$H$44:$H$408,calWeek,'School Calendar'!$J$44:$J$408,exam,'School Calendar'!$M$44:$M$408,cap,SWITCH(pace,""1x/week"",1,""2x/week"",2,""3x/week"&amp;""",3,""4x/week"",4,""Daily"",99,1),baseDates,FILTER(calDates,(calDates&gt;=st)*(calSchool=TRUE)*(exam=FALSE)),available,MAP(baseDates,LAMBDA(d,IF(block=""Outside / Co-op"",TRUE,IFERROR(INDEX('Helper Data'!$AF$5:$AJ$22,MATCH(who,'Helper Data'!$AD$5:$AD$22,0),"&amp;"MATCH(TEXT(d,""dddd""),'Helper Data'!$AF$4:$AJ$4,0)),FALSE)))),effDates,FILTER(baseDates,available),effWeeks,XLOOKUP(effDates,calDates,calWeek,""""),firstWeek,INDEX(effWeeks,1),availCount,COUNTIF(effWeeks,firstWeek),IF(cap=99,""OK"",IF(availCount&lt;cap,""⚠ "&amp;"requested pace exceeds available days in School Week ""&amp;firstWeek,""OK""))),""⚠ no eligible dates"")"),"OK")</f>
        <v>OK</v>
      </c>
      <c r="AD8" s="8" t="str">
        <f t="shared" si="2"/>
        <v>Compatible</v>
      </c>
    </row>
    <row r="9">
      <c r="A9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46260.0)</f>
        <v>46260</v>
      </c>
      <c r="B9" s="451" t="str">
        <f>IF(AND('Resource Planner'!$A$10="☑",5&lt;='Resource Planner'!$N$10),'Resource Planner'!$C$10,"")</f>
        <v>Everyone</v>
      </c>
      <c r="C9" s="451" t="str">
        <f>IF(AND('Resource Planner'!$A$10="☑",5&lt;='Resource Planner'!$N$10),'Resource Planner'!$B$10,"")</f>
        <v>Reading Loop</v>
      </c>
      <c r="D9" s="451" t="str">
        <f>IF(AND('Resource Planner'!$A$10="☑",5&lt;='Resource Planner'!$N$10),'Resource Planner'!$D$10,"")</f>
        <v>All Together / Literature — Family Read-Aloud</v>
      </c>
      <c r="E9" s="451" t="str">
        <f>IF(AND('Resource Planner'!$A$10="☑",5&lt;='Resource Planner'!$N$10),'Resource Planner'!$E$10,"")</f>
        <v>Pay Attention, Carter Jones</v>
      </c>
      <c r="F9" s="8" t="str">
        <f>IF(AND('Resource Planner'!$A$10="☑",5&lt;='Resource Planner'!$N$10),'Resource Planner'!$F$10&amp;" "&amp;('Resource Planner'!$G$10+(5-1)*'Resource Planner'!$I$10)&amp;IF(('Resource Planner'!$G$10+(5-1)*'Resource Planner'!$I$10)=MIN('Resource Planner'!$G$10+5*'Resource Planner'!$I$10-1,'Resource Planner'!$H$10),"","–"&amp;MIN('Resource Planner'!$G$10+5*'Resource Planner'!$I$10-1,'Resource Planner'!$H$10)),"")</f>
        <v>Chapter 9–10</v>
      </c>
      <c r="G9" s="8" t="s">
        <v>109</v>
      </c>
      <c r="H9" s="451" t="str">
        <f>IF(AND('Resource Planner'!$A$10="☑",5&lt;='Resource Planner'!$N$10),'Resource Planner'!$M$10,"")</f>
        <v>sample</v>
      </c>
      <c r="I9" s="8"/>
      <c r="J9" s="229" t="s">
        <v>602</v>
      </c>
      <c r="K9" s="229" t="s">
        <v>130</v>
      </c>
      <c r="L9" s="229" t="s">
        <v>558</v>
      </c>
      <c r="M9" s="446">
        <f>'School Calendar'!A55</f>
        <v>46255</v>
      </c>
      <c r="N9" s="8" t="b">
        <f t="array" ref="N9">IFERROR(XLOOKUP($M9,'School Calendar'!$A$44:$A$408,'School Calendar'!$H$44:$H$408,FALSE),FALSE)</f>
        <v>1</v>
      </c>
      <c r="O9" s="8" t="b">
        <f t="array" ref="O9">IF($L9="Outside / Co-op",TRUE,IFERROR(INDEX('Helper Data'!$AF$5:$AJ$22,MATCH($K9,'Helper Data'!$AD$5:$AD$22,0),MATCH(TEXT($M9,"dddd"),'Helper Data'!$AF$4:$AJ$4,0)),FALSE))</f>
        <v>1</v>
      </c>
      <c r="P9" s="8" t="b">
        <f t="array" ref="P9">IFERROR(XLOOKUP($M9,'School Calendar'!$A$44:$A$408,'School Calendar'!$M$44:$M$408,FALSE),FALSE)</f>
        <v>0</v>
      </c>
      <c r="Q9" s="8" t="b">
        <f t="shared" si="3"/>
        <v>1</v>
      </c>
      <c r="R9" s="8" t="str">
        <f t="shared" si="4"/>
        <v>Eligible</v>
      </c>
      <c r="S9" s="229" t="s">
        <v>603</v>
      </c>
      <c r="T9" s="229" t="s">
        <v>85</v>
      </c>
      <c r="U9" s="229" t="s">
        <v>558</v>
      </c>
      <c r="V9" s="446">
        <f>'School Calendar'!A52</f>
        <v>46252</v>
      </c>
      <c r="W9" s="229" t="s">
        <v>222</v>
      </c>
      <c r="X9" s="447">
        <v>1.0</v>
      </c>
      <c r="Y9" s="446">
        <f>IFERROR(__xludf.DUMMYFUNCTION("IFERROR(LET(who,$T9,block,$U9,st,$V9,pace,$W9,n,$X9,calDates,'School Calendar'!$A$44:$A$408,calSchool,'School Calendar'!$H$44:$H$408,calWeek,'School Calendar'!$J$44:$J$408,exam,'School Calendar'!$M$44:$M$408,cap,SWITCH(pace,""1x/week"",1,""2x/week"",2,""3"&amp;"x/week"",3,""4x/week"",4,""Daily"",99,1),baseDates,FILTER(calDates,(calDates&gt;=st)*(calSchool=TRUE)*(exam=FALSE)),available,MAP(baseDates,LAMBDA(d,IF(block=""Outside / Co-op"",TRUE,IFERROR(INDEX('Helper Data'!$AF$5:$AJ$22,MATCH(who,'Helper Data'!$AD$5:$AD$"&amp;"22,0),MATCH(TEXT(d,""dddd""),'Helper Data'!$AF$4:$AJ$4,0)),FALSE)))),effDates,FILTER(baseDates,available),effWeeks,XLOOKUP(effDates,calDates,calWeek,""""),weekRank,MAP(effDates,LAMBDA(d,SUM((effDates&lt;=d)*(effWeeks=XLOOKUP(d,calDates,calWeek,""""))))),elig"&amp;"ibleSchedule,FILTER(effDates,weekRank&lt;=cap),IF(n&lt;=ROWS(eligibleSchedule),INDEX(eligibleSchedule,n),"""")),"""")"),46252.0)</f>
        <v>46252</v>
      </c>
      <c r="Z9" s="446">
        <f>'School Calendar'!A52</f>
        <v>46252</v>
      </c>
      <c r="AA9" s="8" t="str">
        <f t="shared" si="1"/>
        <v>PASS</v>
      </c>
      <c r="AB9" s="8" t="str">
        <f>IFERROR(__xludf.DUMMYFUNCTION("IFERROR(LET(who,$T9,block,$U9,st,$V9,calDates,'School Calendar'!$A$44:$A$408,calSchool,'School Calendar'!$H$44:$H$408,calWeek,'School Calendar'!$J$44:$J$408,exam,'School Calendar'!$M$44:$M$408,baseDates,FILTER(calDates,(calDates&gt;=st)*(calSchool=TRUE)*(exa"&amp;"m=FALSE)),available,MAP(baseDates,LAMBDA(d,IF(block=""Outside / Co-op"",TRUE,IFERROR(INDEX('Helper Data'!$AF$5:$AJ$22,MATCH(who,'Helper Data'!$AD$5:$AD$22,0),MATCH(TEXT(d,""dddd""),'Helper Data'!$AF$4:$AJ$4,0)),FALSE)))),effDates,FILTER(baseDates,availabl"&amp;"e),effWeeks,XLOOKUP(effDates,calDates,calWeek,""""),firstWeek,INDEX(effWeeks,1),TEXTJOIN("", "",TRUE,TEXT(FILTER(effDates,effWeeks=firstWeek),""m/d""))),"""")"),"")</f>
        <v/>
      </c>
      <c r="AC9" s="8" t="str">
        <f>IFERROR(__xludf.DUMMYFUNCTION("IFERROR(LET(who,$T9,block,$U9,st,$V9,pace,$W9,calDates,'School Calendar'!$A$44:$A$408,calSchool,'School Calendar'!$H$44:$H$408,calWeek,'School Calendar'!$J$44:$J$408,exam,'School Calendar'!$M$44:$M$408,cap,SWITCH(pace,""1x/week"",1,""2x/week"",2,""3x/week"&amp;""",3,""4x/week"",4,""Daily"",99,1),baseDates,FILTER(calDates,(calDates&gt;=st)*(calSchool=TRUE)*(exam=FALSE)),available,MAP(baseDates,LAMBDA(d,IF(block=""Outside / Co-op"",TRUE,IFERROR(INDEX('Helper Data'!$AF$5:$AJ$22,MATCH(who,'Helper Data'!$AD$5:$AD$22,0),"&amp;"MATCH(TEXT(d,""dddd""),'Helper Data'!$AF$4:$AJ$4,0)),FALSE)))),effDates,FILTER(baseDates,available),effWeeks,XLOOKUP(effDates,calDates,calWeek,""""),firstWeek,INDEX(effWeeks,1),availCount,COUNTIF(effWeeks,firstWeek),IF(cap=99,""OK"",IF(availCount&lt;cap,""⚠ "&amp;"requested pace exceeds available days in School Week ""&amp;firstWeek,""OK""))),""⚠ no eligible dates"")"),"OK")</f>
        <v>OK</v>
      </c>
      <c r="AD9" s="8" t="str">
        <f t="shared" si="2"/>
        <v>Compatible</v>
      </c>
    </row>
    <row r="10">
      <c r="A10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46262.0)</f>
        <v>46262</v>
      </c>
      <c r="B10" s="451" t="str">
        <f>IF(AND('Resource Planner'!$A$10="☑",6&lt;='Resource Planner'!$N$10),'Resource Planner'!$C$10,"")</f>
        <v>Everyone</v>
      </c>
      <c r="C10" s="451" t="str">
        <f>IF(AND('Resource Planner'!$A$10="☑",6&lt;='Resource Planner'!$N$10),'Resource Planner'!$B$10,"")</f>
        <v>Reading Loop</v>
      </c>
      <c r="D10" s="451" t="str">
        <f>IF(AND('Resource Planner'!$A$10="☑",6&lt;='Resource Planner'!$N$10),'Resource Planner'!$D$10,"")</f>
        <v>All Together / Literature — Family Read-Aloud</v>
      </c>
      <c r="E10" s="451" t="str">
        <f>IF(AND('Resource Planner'!$A$10="☑",6&lt;='Resource Planner'!$N$10),'Resource Planner'!$E$10,"")</f>
        <v>Pay Attention, Carter Jones</v>
      </c>
      <c r="F10" s="8" t="str">
        <f>IF(AND('Resource Planner'!$A$10="☑",6&lt;='Resource Planner'!$N$10),'Resource Planner'!$F$10&amp;" "&amp;('Resource Planner'!$G$10+(6-1)*'Resource Planner'!$I$10)&amp;IF(('Resource Planner'!$G$10+(6-1)*'Resource Planner'!$I$10)=MIN('Resource Planner'!$G$10+6*'Resource Planner'!$I$10-1,'Resource Planner'!$H$10),"","–"&amp;MIN('Resource Planner'!$G$10+6*'Resource Planner'!$I$10-1,'Resource Planner'!$H$10)),"")</f>
        <v>Chapter 11–12</v>
      </c>
      <c r="G10" s="8" t="s">
        <v>109</v>
      </c>
      <c r="H10" s="451" t="str">
        <f>IF(AND('Resource Planner'!$A$10="☑",6&lt;='Resource Planner'!$N$10),'Resource Planner'!$M$10,"")</f>
        <v>sample</v>
      </c>
      <c r="I10" s="8"/>
      <c r="J10" s="229" t="s">
        <v>605</v>
      </c>
      <c r="K10" s="229" t="s">
        <v>85</v>
      </c>
      <c r="L10" s="229" t="s">
        <v>558</v>
      </c>
      <c r="M10" s="446">
        <f>'School Calendar'!A52</f>
        <v>46252</v>
      </c>
      <c r="N10" s="8" t="b">
        <f t="array" ref="N10">IFERROR(XLOOKUP($M10,'School Calendar'!$A$44:$A$408,'School Calendar'!$H$44:$H$408,FALSE),FALSE)</f>
        <v>1</v>
      </c>
      <c r="O10" s="8" t="b">
        <f t="array" ref="O10">IF($L10="Outside / Co-op",TRUE,IFERROR(INDEX('Helper Data'!$AF$5:$AJ$22,MATCH($K10,'Helper Data'!$AD$5:$AD$22,0),MATCH(TEXT($M10,"dddd"),'Helper Data'!$AF$4:$AJ$4,0)),FALSE))</f>
        <v>1</v>
      </c>
      <c r="P10" s="8" t="b">
        <f t="array" ref="P10">IFERROR(XLOOKUP($M10,'School Calendar'!$A$44:$A$408,'School Calendar'!$M$44:$M$408,FALSE),FALSE)</f>
        <v>0</v>
      </c>
      <c r="Q10" s="8" t="b">
        <f t="shared" si="3"/>
        <v>1</v>
      </c>
      <c r="R10" s="8" t="str">
        <f t="shared" si="4"/>
        <v>Eligible</v>
      </c>
      <c r="S10" s="229" t="s">
        <v>607</v>
      </c>
      <c r="T10" s="229" t="s">
        <v>85</v>
      </c>
      <c r="U10" s="229" t="s">
        <v>558</v>
      </c>
      <c r="V10" s="446">
        <f>'School Calendar'!A54</f>
        <v>46254</v>
      </c>
      <c r="W10" s="229" t="s">
        <v>222</v>
      </c>
      <c r="X10" s="447">
        <v>1.0</v>
      </c>
      <c r="Y10" s="446">
        <f>IFERROR(__xludf.DUMMYFUNCTION("IFERROR(LET(who,$T10,block,$U10,st,$V10,pace,$W10,n,$X10,calDates,'School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46255.0)</f>
        <v>46255</v>
      </c>
      <c r="Z10" s="446">
        <f>'School Calendar'!A55</f>
        <v>46255</v>
      </c>
      <c r="AA10" s="8" t="str">
        <f t="shared" si="1"/>
        <v>PASS</v>
      </c>
      <c r="AB10" s="8" t="str">
        <f>IFERROR(__xludf.DUMMYFUNCTION("IFERROR(LET(who,$T10,block,$U10,st,$V10,calDates,'School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0" s="8" t="str">
        <f>IFERROR(__xludf.DUMMYFUNCTION("IFERROR(LET(who,$T10,block,$U10,st,$V10,pace,$W10,calDates,'School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0" s="8" t="str">
        <f t="shared" si="2"/>
        <v>Compatible</v>
      </c>
    </row>
    <row r="11">
      <c r="A11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46265.0)</f>
        <v>46265</v>
      </c>
      <c r="B11" s="451" t="str">
        <f>IF(AND('Resource Planner'!$A$10="☑",7&lt;='Resource Planner'!$N$10),'Resource Planner'!$C$10,"")</f>
        <v>Everyone</v>
      </c>
      <c r="C11" s="451" t="str">
        <f>IF(AND('Resource Planner'!$A$10="☑",7&lt;='Resource Planner'!$N$10),'Resource Planner'!$B$10,"")</f>
        <v>Reading Loop</v>
      </c>
      <c r="D11" s="451" t="str">
        <f>IF(AND('Resource Planner'!$A$10="☑",7&lt;='Resource Planner'!$N$10),'Resource Planner'!$D$10,"")</f>
        <v>All Together / Literature — Family Read-Aloud</v>
      </c>
      <c r="E11" s="451" t="str">
        <f>IF(AND('Resource Planner'!$A$10="☑",7&lt;='Resource Planner'!$N$10),'Resource Planner'!$E$10,"")</f>
        <v>Pay Attention, Carter Jones</v>
      </c>
      <c r="F11" s="8" t="str">
        <f>IF(AND('Resource Planner'!$A$10="☑",7&lt;='Resource Planner'!$N$10),'Resource Planner'!$F$10&amp;" "&amp;('Resource Planner'!$G$10+(7-1)*'Resource Planner'!$I$10)&amp;IF(('Resource Planner'!$G$10+(7-1)*'Resource Planner'!$I$10)=MIN('Resource Planner'!$G$10+7*'Resource Planner'!$I$10-1,'Resource Planner'!$H$10),"","–"&amp;MIN('Resource Planner'!$G$10+7*'Resource Planner'!$I$10-1,'Resource Planner'!$H$10)),"")</f>
        <v>Chapter 13–14</v>
      </c>
      <c r="G11" s="8" t="s">
        <v>109</v>
      </c>
      <c r="H11" s="451" t="str">
        <f>IF(AND('Resource Planner'!$A$10="☑",7&lt;='Resource Planner'!$N$10),'Resource Planner'!$M$10,"")</f>
        <v>sample</v>
      </c>
      <c r="I11" s="8"/>
      <c r="J11" s="229" t="s">
        <v>610</v>
      </c>
      <c r="K11" s="229" t="s">
        <v>85</v>
      </c>
      <c r="L11" s="229" t="s">
        <v>558</v>
      </c>
      <c r="M11" s="446">
        <f>'School Calendar'!A54</f>
        <v>46254</v>
      </c>
      <c r="N11" s="8" t="b">
        <f t="array" ref="N11">IFERROR(XLOOKUP($M11,'School Calendar'!$A$44:$A$408,'School Calendar'!$H$44:$H$408,FALSE),FALSE)</f>
        <v>1</v>
      </c>
      <c r="O11" s="8" t="b">
        <f t="array" ref="O11">IF($L11="Outside / Co-op",TRUE,IFERROR(INDEX('Helper Data'!$AF$5:$AJ$22,MATCH($K11,'Helper Data'!$AD$5:$AD$22,0),MATCH(TEXT($M11,"dddd"),'Helper Data'!$AF$4:$AJ$4,0)),FALSE))</f>
        <v>0</v>
      </c>
      <c r="P11" s="8" t="b">
        <f t="array" ref="P11">IFERROR(XLOOKUP($M11,'School Calendar'!$A$44:$A$408,'School Calendar'!$M$44:$M$408,FALSE),FALSE)</f>
        <v>0</v>
      </c>
      <c r="Q11" s="8" t="b">
        <f t="shared" si="3"/>
        <v>0</v>
      </c>
      <c r="R11" s="8" t="str">
        <f t="shared" si="4"/>
        <v>Blocked by Regular Work Days</v>
      </c>
      <c r="S11" s="229" t="s">
        <v>611</v>
      </c>
      <c r="T11" s="229" t="s">
        <v>172</v>
      </c>
      <c r="U11" s="229" t="s">
        <v>558</v>
      </c>
      <c r="V11" s="446">
        <f>'School Calendar'!A51</f>
        <v>46251</v>
      </c>
      <c r="W11" s="229" t="s">
        <v>222</v>
      </c>
      <c r="X11" s="447">
        <v>1.0</v>
      </c>
      <c r="Y11" s="446">
        <f>IFERROR(__xludf.DUMMYFUNCTION("IFERROR(LET(who,$T11,block,$U11,st,$V11,pace,$W11,n,$X11,calDates,'School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46251.0)</f>
        <v>46251</v>
      </c>
      <c r="Z11" s="446">
        <f>'School Calendar'!A51</f>
        <v>46251</v>
      </c>
      <c r="AA11" s="8" t="str">
        <f t="shared" si="1"/>
        <v>PASS</v>
      </c>
      <c r="AB11" s="8" t="str">
        <f>IFERROR(__xludf.DUMMYFUNCTION("IFERROR(LET(who,$T11,block,$U11,st,$V11,calDates,'School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1" s="8" t="str">
        <f>IFERROR(__xludf.DUMMYFUNCTION("IFERROR(LET(who,$T11,block,$U11,st,$V11,pace,$W11,calDates,'School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1" s="8" t="str">
        <f t="shared" si="2"/>
        <v>Compatible</v>
      </c>
    </row>
    <row r="12">
      <c r="A12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46267.0)</f>
        <v>46267</v>
      </c>
      <c r="B12" s="451" t="str">
        <f>IF(AND('Resource Planner'!$A$10="☑",8&lt;='Resource Planner'!$N$10),'Resource Planner'!$C$10,"")</f>
        <v>Everyone</v>
      </c>
      <c r="C12" s="451" t="str">
        <f>IF(AND('Resource Planner'!$A$10="☑",8&lt;='Resource Planner'!$N$10),'Resource Planner'!$B$10,"")</f>
        <v>Reading Loop</v>
      </c>
      <c r="D12" s="451" t="str">
        <f>IF(AND('Resource Planner'!$A$10="☑",8&lt;='Resource Planner'!$N$10),'Resource Planner'!$D$10,"")</f>
        <v>All Together / Literature — Family Read-Aloud</v>
      </c>
      <c r="E12" s="451" t="str">
        <f>IF(AND('Resource Planner'!$A$10="☑",8&lt;='Resource Planner'!$N$10),'Resource Planner'!$E$10,"")</f>
        <v>Pay Attention, Carter Jones</v>
      </c>
      <c r="F12" s="8" t="str">
        <f>IF(AND('Resource Planner'!$A$10="☑",8&lt;='Resource Planner'!$N$10),'Resource Planner'!$F$10&amp;" "&amp;('Resource Planner'!$G$10+(8-1)*'Resource Planner'!$I$10)&amp;IF(('Resource Planner'!$G$10+(8-1)*'Resource Planner'!$I$10)=MIN('Resource Planner'!$G$10+8*'Resource Planner'!$I$10-1,'Resource Planner'!$H$10),"","–"&amp;MIN('Resource Planner'!$G$10+8*'Resource Planner'!$I$10-1,'Resource Planner'!$H$10)),"")</f>
        <v>Chapter 15–16</v>
      </c>
      <c r="G12" s="8" t="s">
        <v>109</v>
      </c>
      <c r="H12" s="451" t="str">
        <f>IF(AND('Resource Planner'!$A$10="☑",8&lt;='Resource Planner'!$N$10),'Resource Planner'!$M$10,"")</f>
        <v>sample</v>
      </c>
      <c r="I12" s="8"/>
      <c r="J12" s="229" t="s">
        <v>614</v>
      </c>
      <c r="K12" s="229" t="s">
        <v>104</v>
      </c>
      <c r="L12" s="229" t="s">
        <v>558</v>
      </c>
      <c r="M12" s="446">
        <f>'School Calendar'!A52</f>
        <v>46252</v>
      </c>
      <c r="N12" s="8" t="b">
        <f t="array" ref="N12">IFERROR(XLOOKUP($M12,'School Calendar'!$A$44:$A$408,'School Calendar'!$H$44:$H$408,FALSE),FALSE)</f>
        <v>1</v>
      </c>
      <c r="O12" s="8" t="b">
        <f t="array" ref="O12">IF($L12="Outside / Co-op",TRUE,IFERROR(INDEX('Helper Data'!$AF$5:$AJ$22,MATCH($K12,'Helper Data'!$AD$5:$AD$22,0),MATCH(TEXT($M12,"dddd"),'Helper Data'!$AF$4:$AJ$4,0)),FALSE))</f>
        <v>1</v>
      </c>
      <c r="P12" s="8" t="b">
        <f t="array" ref="P12">IFERROR(XLOOKUP($M12,'School Calendar'!$A$44:$A$408,'School Calendar'!$M$44:$M$408,FALSE),FALSE)</f>
        <v>0</v>
      </c>
      <c r="Q12" s="8" t="b">
        <f t="shared" si="3"/>
        <v>1</v>
      </c>
      <c r="R12" s="8" t="str">
        <f t="shared" si="4"/>
        <v>Eligible</v>
      </c>
      <c r="S12" s="229" t="s">
        <v>616</v>
      </c>
      <c r="T12" s="229" t="s">
        <v>172</v>
      </c>
      <c r="U12" s="229" t="s">
        <v>558</v>
      </c>
      <c r="V12" s="446">
        <f>'School Calendar'!A51</f>
        <v>46251</v>
      </c>
      <c r="W12" s="229" t="s">
        <v>222</v>
      </c>
      <c r="X12" s="447">
        <v>2.0</v>
      </c>
      <c r="Y12" s="446">
        <f>IFERROR(__xludf.DUMMYFUNCTION("IFERROR(LET(who,$T12,block,$U12,st,$V12,pace,$W12,n,$X12,calDates,'School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46252.0)</f>
        <v>46252</v>
      </c>
      <c r="Z12" s="446">
        <f>'School Calendar'!A52</f>
        <v>46252</v>
      </c>
      <c r="AA12" s="8" t="str">
        <f t="shared" si="1"/>
        <v>PASS</v>
      </c>
      <c r="AB12" s="8" t="str">
        <f>IFERROR(__xludf.DUMMYFUNCTION("IFERROR(LET(who,$T12,block,$U12,st,$V12,calDates,'School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2" s="8" t="str">
        <f>IFERROR(__xludf.DUMMYFUNCTION("IFERROR(LET(who,$T12,block,$U12,st,$V12,pace,$W12,calDates,'School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2" s="8" t="str">
        <f t="shared" si="2"/>
        <v>Compatible</v>
      </c>
    </row>
    <row r="13">
      <c r="A13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46269.0)</f>
        <v>46269</v>
      </c>
      <c r="B13" s="451" t="str">
        <f>IF(AND('Resource Planner'!$A$10="☑",9&lt;='Resource Planner'!$N$10),'Resource Planner'!$C$10,"")</f>
        <v>Everyone</v>
      </c>
      <c r="C13" s="451" t="str">
        <f>IF(AND('Resource Planner'!$A$10="☑",9&lt;='Resource Planner'!$N$10),'Resource Planner'!$B$10,"")</f>
        <v>Reading Loop</v>
      </c>
      <c r="D13" s="451" t="str">
        <f>IF(AND('Resource Planner'!$A$10="☑",9&lt;='Resource Planner'!$N$10),'Resource Planner'!$D$10,"")</f>
        <v>All Together / Literature — Family Read-Aloud</v>
      </c>
      <c r="E13" s="451" t="str">
        <f>IF(AND('Resource Planner'!$A$10="☑",9&lt;='Resource Planner'!$N$10),'Resource Planner'!$E$10,"")</f>
        <v>Pay Attention, Carter Jones</v>
      </c>
      <c r="F13" s="8" t="str">
        <f>IF(AND('Resource Planner'!$A$10="☑",9&lt;='Resource Planner'!$N$10),'Resource Planner'!$F$10&amp;" "&amp;('Resource Planner'!$G$10+(9-1)*'Resource Planner'!$I$10)&amp;IF(('Resource Planner'!$G$10+(9-1)*'Resource Planner'!$I$10)=MIN('Resource Planner'!$G$10+9*'Resource Planner'!$I$10-1,'Resource Planner'!$H$10),"","–"&amp;MIN('Resource Planner'!$G$10+9*'Resource Planner'!$I$10-1,'Resource Planner'!$H$10)),"")</f>
        <v>Chapter 17–18</v>
      </c>
      <c r="G13" s="8" t="s">
        <v>109</v>
      </c>
      <c r="H13" s="451" t="str">
        <f>IF(AND('Resource Planner'!$A$10="☑",9&lt;='Resource Planner'!$N$10),'Resource Planner'!$M$10,"")</f>
        <v>sample</v>
      </c>
      <c r="I13" s="8"/>
      <c r="J13" s="229" t="s">
        <v>617</v>
      </c>
      <c r="K13" s="229" t="s">
        <v>104</v>
      </c>
      <c r="L13" s="229" t="s">
        <v>558</v>
      </c>
      <c r="M13" s="446">
        <f>'School Calendar'!A54</f>
        <v>46254</v>
      </c>
      <c r="N13" s="8" t="b">
        <f t="array" ref="N13">IFERROR(XLOOKUP($M13,'School Calendar'!$A$44:$A$408,'School Calendar'!$H$44:$H$408,FALSE),FALSE)</f>
        <v>1</v>
      </c>
      <c r="O13" s="8" t="b">
        <f t="array" ref="O13">IF($L13="Outside / Co-op",TRUE,IFERROR(INDEX('Helper Data'!$AF$5:$AJ$22,MATCH($K13,'Helper Data'!$AD$5:$AD$22,0),MATCH(TEXT($M13,"dddd"),'Helper Data'!$AF$4:$AJ$4,0)),FALSE))</f>
        <v>0</v>
      </c>
      <c r="P13" s="8" t="b">
        <f t="array" ref="P13">IFERROR(XLOOKUP($M13,'School Calendar'!$A$44:$A$408,'School Calendar'!$M$44:$M$408,FALSE),FALSE)</f>
        <v>0</v>
      </c>
      <c r="Q13" s="8" t="b">
        <f t="shared" si="3"/>
        <v>0</v>
      </c>
      <c r="R13" s="8" t="str">
        <f t="shared" si="4"/>
        <v>Blocked by Regular Work Days</v>
      </c>
      <c r="S13" s="229" t="s">
        <v>619</v>
      </c>
      <c r="T13" s="229" t="s">
        <v>172</v>
      </c>
      <c r="U13" s="229" t="s">
        <v>558</v>
      </c>
      <c r="V13" s="446">
        <f>'School Calendar'!A51</f>
        <v>46251</v>
      </c>
      <c r="W13" s="229" t="s">
        <v>222</v>
      </c>
      <c r="X13" s="447">
        <v>3.0</v>
      </c>
      <c r="Y13" s="446">
        <f>IFERROR(__xludf.DUMMYFUNCTION("IFERROR(LET(who,$T13,block,$U13,st,$V13,pace,$W13,n,$X13,calDates,'School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46253.0)</f>
        <v>46253</v>
      </c>
      <c r="Z13" s="446">
        <f>'School Calendar'!A53</f>
        <v>46253</v>
      </c>
      <c r="AA13" s="8" t="str">
        <f t="shared" si="1"/>
        <v>PASS</v>
      </c>
      <c r="AB13" s="8" t="str">
        <f>IFERROR(__xludf.DUMMYFUNCTION("IFERROR(LET(who,$T13,block,$U13,st,$V13,calDates,'School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3" s="8" t="str">
        <f>IFERROR(__xludf.DUMMYFUNCTION("IFERROR(LET(who,$T13,block,$U13,st,$V13,pace,$W13,calDates,'School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3" s="8" t="str">
        <f t="shared" si="2"/>
        <v>Compatible</v>
      </c>
    </row>
    <row r="14">
      <c r="A14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46272.0)</f>
        <v>46272</v>
      </c>
      <c r="B14" s="451" t="str">
        <f>IF(AND('Resource Planner'!$A$10="☑",10&lt;='Resource Planner'!$N$10),'Resource Planner'!$C$10,"")</f>
        <v>Everyone</v>
      </c>
      <c r="C14" s="451" t="str">
        <f>IF(AND('Resource Planner'!$A$10="☑",10&lt;='Resource Planner'!$N$10),'Resource Planner'!$B$10,"")</f>
        <v>Reading Loop</v>
      </c>
      <c r="D14" s="451" t="str">
        <f>IF(AND('Resource Planner'!$A$10="☑",10&lt;='Resource Planner'!$N$10),'Resource Planner'!$D$10,"")</f>
        <v>All Together / Literature — Family Read-Aloud</v>
      </c>
      <c r="E14" s="451" t="str">
        <f>IF(AND('Resource Planner'!$A$10="☑",10&lt;='Resource Planner'!$N$10),'Resource Planner'!$E$10,"")</f>
        <v>Pay Attention, Carter Jones</v>
      </c>
      <c r="F14" s="8" t="str">
        <f>IF(AND('Resource Planner'!$A$10="☑",10&lt;='Resource Planner'!$N$10),'Resource Planner'!$F$10&amp;" "&amp;('Resource Planner'!$G$10+(10-1)*'Resource Planner'!$I$10)&amp;IF(('Resource Planner'!$G$10+(10-1)*'Resource Planner'!$I$10)=MIN('Resource Planner'!$G$10+10*'Resource Planner'!$I$10-1,'Resource Planner'!$H$10),"","–"&amp;MIN('Resource Planner'!$G$10+10*'Resource Planner'!$I$10-1,'Resource Planner'!$H$10)),"")</f>
        <v>Chapter 19–20</v>
      </c>
      <c r="G14" s="8" t="s">
        <v>109</v>
      </c>
      <c r="H14" s="451" t="str">
        <f>IF(AND('Resource Planner'!$A$10="☑",10&lt;='Resource Planner'!$N$10),'Resource Planner'!$M$10,"")</f>
        <v>sample</v>
      </c>
      <c r="I14" s="8"/>
      <c r="J14" s="229" t="s">
        <v>621</v>
      </c>
      <c r="K14" s="229" t="s">
        <v>116</v>
      </c>
      <c r="L14" s="229" t="s">
        <v>558</v>
      </c>
      <c r="M14" s="446">
        <f>'School Calendar'!A52</f>
        <v>46252</v>
      </c>
      <c r="N14" s="8" t="b">
        <f t="array" ref="N14">IFERROR(XLOOKUP($M14,'School Calendar'!$A$44:$A$408,'School Calendar'!$H$44:$H$408,FALSE),FALSE)</f>
        <v>1</v>
      </c>
      <c r="O14" s="8" t="b">
        <f t="array" ref="O14">IF($L14="Outside / Co-op",TRUE,IFERROR(INDEX('Helper Data'!$AF$5:$AJ$22,MATCH($K14,'Helper Data'!$AD$5:$AD$22,0),MATCH(TEXT($M14,"dddd"),'Helper Data'!$AF$4:$AJ$4,0)),FALSE))</f>
        <v>1</v>
      </c>
      <c r="P14" s="8" t="b">
        <f t="array" ref="P14">IFERROR(XLOOKUP($M14,'School Calendar'!$A$44:$A$408,'School Calendar'!$M$44:$M$408,FALSE),FALSE)</f>
        <v>0</v>
      </c>
      <c r="Q14" s="8" t="b">
        <f t="shared" si="3"/>
        <v>1</v>
      </c>
      <c r="R14" s="8" t="str">
        <f t="shared" si="4"/>
        <v>Eligible</v>
      </c>
      <c r="S14" s="229" t="s">
        <v>623</v>
      </c>
      <c r="T14" s="229" t="s">
        <v>172</v>
      </c>
      <c r="U14" s="229" t="s">
        <v>558</v>
      </c>
      <c r="V14" s="446">
        <f>'School Calendar'!A51</f>
        <v>46251</v>
      </c>
      <c r="W14" s="229" t="s">
        <v>222</v>
      </c>
      <c r="X14" s="447">
        <v>4.0</v>
      </c>
      <c r="Y14" s="446">
        <f>IFERROR(__xludf.DUMMYFUNCTION("IFERROR(LET(who,$T14,block,$U14,st,$V14,pace,$W14,n,$X14,calDates,'School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46255.0)</f>
        <v>46255</v>
      </c>
      <c r="Z14" s="446">
        <f>'School Calendar'!A55</f>
        <v>46255</v>
      </c>
      <c r="AA14" s="8" t="str">
        <f t="shared" si="1"/>
        <v>PASS</v>
      </c>
      <c r="AB14" s="8" t="str">
        <f>IFERROR(__xludf.DUMMYFUNCTION("IFERROR(LET(who,$T14,block,$U14,st,$V14,calDates,'School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4" s="8" t="str">
        <f>IFERROR(__xludf.DUMMYFUNCTION("IFERROR(LET(who,$T14,block,$U14,st,$V14,pace,$W14,calDates,'School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4" s="8" t="str">
        <f t="shared" si="2"/>
        <v>Compatible</v>
      </c>
    </row>
    <row r="15">
      <c r="A15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46274.0)</f>
        <v>46274</v>
      </c>
      <c r="B15" s="451" t="str">
        <f>IF(AND('Resource Planner'!$A$10="☑",11&lt;='Resource Planner'!$N$10),'Resource Planner'!$C$10,"")</f>
        <v>Everyone</v>
      </c>
      <c r="C15" s="451" t="str">
        <f>IF(AND('Resource Planner'!$A$10="☑",11&lt;='Resource Planner'!$N$10),'Resource Planner'!$B$10,"")</f>
        <v>Reading Loop</v>
      </c>
      <c r="D15" s="451" t="str">
        <f>IF(AND('Resource Planner'!$A$10="☑",11&lt;='Resource Planner'!$N$10),'Resource Planner'!$D$10,"")</f>
        <v>All Together / Literature — Family Read-Aloud</v>
      </c>
      <c r="E15" s="451" t="str">
        <f>IF(AND('Resource Planner'!$A$10="☑",11&lt;='Resource Planner'!$N$10),'Resource Planner'!$E$10,"")</f>
        <v>Pay Attention, Carter Jones</v>
      </c>
      <c r="F15" s="8" t="str">
        <f>IF(AND('Resource Planner'!$A$10="☑",11&lt;='Resource Planner'!$N$10),'Resource Planner'!$F$10&amp;" "&amp;('Resource Planner'!$G$10+(11-1)*'Resource Planner'!$I$10)&amp;IF(('Resource Planner'!$G$10+(11-1)*'Resource Planner'!$I$10)=MIN('Resource Planner'!$G$10+11*'Resource Planner'!$I$10-1,'Resource Planner'!$H$10),"","–"&amp;MIN('Resource Planner'!$G$10+11*'Resource Planner'!$I$10-1,'Resource Planner'!$H$10)),"")</f>
        <v>Chapter 21–22</v>
      </c>
      <c r="G15" s="8" t="s">
        <v>109</v>
      </c>
      <c r="H15" s="451" t="str">
        <f>IF(AND('Resource Planner'!$A$10="☑",11&lt;='Resource Planner'!$N$10),'Resource Planner'!$M$10,"")</f>
        <v>sample</v>
      </c>
      <c r="I15" s="8"/>
      <c r="J15" s="229" t="s">
        <v>625</v>
      </c>
      <c r="K15" s="229" t="s">
        <v>116</v>
      </c>
      <c r="L15" s="229" t="s">
        <v>558</v>
      </c>
      <c r="M15" s="446">
        <f>'School Calendar'!A54</f>
        <v>46254</v>
      </c>
      <c r="N15" s="8" t="b">
        <f t="array" ref="N15">IFERROR(XLOOKUP($M15,'School Calendar'!$A$44:$A$408,'School Calendar'!$H$44:$H$408,FALSE),FALSE)</f>
        <v>1</v>
      </c>
      <c r="O15" s="8" t="b">
        <f t="array" ref="O15">IF($L15="Outside / Co-op",TRUE,IFERROR(INDEX('Helper Data'!$AF$5:$AJ$22,MATCH($K15,'Helper Data'!$AD$5:$AD$22,0),MATCH(TEXT($M15,"dddd"),'Helper Data'!$AF$4:$AJ$4,0)),FALSE))</f>
        <v>0</v>
      </c>
      <c r="P15" s="8" t="b">
        <f t="array" ref="P15">IFERROR(XLOOKUP($M15,'School Calendar'!$A$44:$A$408,'School Calendar'!$M$44:$M$408,FALSE),FALSE)</f>
        <v>0</v>
      </c>
      <c r="Q15" s="8" t="b">
        <f t="shared" si="3"/>
        <v>0</v>
      </c>
      <c r="R15" s="8" t="str">
        <f t="shared" si="4"/>
        <v>Blocked by Regular Work Days</v>
      </c>
      <c r="S15" s="229" t="s">
        <v>626</v>
      </c>
      <c r="T15" s="229" t="s">
        <v>170</v>
      </c>
      <c r="U15" s="229" t="s">
        <v>558</v>
      </c>
      <c r="V15" s="446">
        <f>'School Calendar'!A52</f>
        <v>46252</v>
      </c>
      <c r="W15" s="229" t="s">
        <v>222</v>
      </c>
      <c r="X15" s="447">
        <v>1.0</v>
      </c>
      <c r="Y15" s="446">
        <f>IFERROR(__xludf.DUMMYFUNCTION("IFERROR(LET(who,$T15,block,$U15,st,$V15,pace,$W15,n,$X15,calDates,'School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46253.0)</f>
        <v>46253</v>
      </c>
      <c r="Z15" s="446">
        <f>'School Calendar'!A53</f>
        <v>46253</v>
      </c>
      <c r="AA15" s="8" t="str">
        <f t="shared" si="1"/>
        <v>PASS</v>
      </c>
      <c r="AB15" s="8" t="str">
        <f>IFERROR(__xludf.DUMMYFUNCTION("IFERROR(LET(who,$T15,block,$U15,st,$V15,calDates,'School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5" s="8" t="str">
        <f>IFERROR(__xludf.DUMMYFUNCTION("IFERROR(LET(who,$T15,block,$U15,st,$V15,pace,$W15,calDates,'School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5" s="8" t="str">
        <f t="shared" si="2"/>
        <v>Compatible</v>
      </c>
    </row>
    <row r="16">
      <c r="A16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46276.0)</f>
        <v>46276</v>
      </c>
      <c r="B16" s="451" t="str">
        <f>IF(AND('Resource Planner'!$A$10="☑",12&lt;='Resource Planner'!$N$10),'Resource Planner'!$C$10,"")</f>
        <v>Everyone</v>
      </c>
      <c r="C16" s="451" t="str">
        <f>IF(AND('Resource Planner'!$A$10="☑",12&lt;='Resource Planner'!$N$10),'Resource Planner'!$B$10,"")</f>
        <v>Reading Loop</v>
      </c>
      <c r="D16" s="451" t="str">
        <f>IF(AND('Resource Planner'!$A$10="☑",12&lt;='Resource Planner'!$N$10),'Resource Planner'!$D$10,"")</f>
        <v>All Together / Literature — Family Read-Aloud</v>
      </c>
      <c r="E16" s="451" t="str">
        <f>IF(AND('Resource Planner'!$A$10="☑",12&lt;='Resource Planner'!$N$10),'Resource Planner'!$E$10,"")</f>
        <v>Pay Attention, Carter Jones</v>
      </c>
      <c r="F16" s="8" t="str">
        <f>IF(AND('Resource Planner'!$A$10="☑",12&lt;='Resource Planner'!$N$10),'Resource Planner'!$F$10&amp;" "&amp;('Resource Planner'!$G$10+(12-1)*'Resource Planner'!$I$10)&amp;IF(('Resource Planner'!$G$10+(12-1)*'Resource Planner'!$I$10)=MIN('Resource Planner'!$G$10+12*'Resource Planner'!$I$10-1,'Resource Planner'!$H$10),"","–"&amp;MIN('Resource Planner'!$G$10+12*'Resource Planner'!$I$10-1,'Resource Planner'!$H$10)),"")</f>
        <v>Chapter 23–24</v>
      </c>
      <c r="G16" s="8" t="s">
        <v>109</v>
      </c>
      <c r="H16" s="451" t="str">
        <f>IF(AND('Resource Planner'!$A$10="☑",12&lt;='Resource Planner'!$N$10),'Resource Planner'!$M$10,"")</f>
        <v>sample</v>
      </c>
      <c r="I16" s="8"/>
      <c r="J16" s="229" t="s">
        <v>616</v>
      </c>
      <c r="K16" s="229" t="s">
        <v>172</v>
      </c>
      <c r="L16" s="229" t="s">
        <v>558</v>
      </c>
      <c r="M16" s="446">
        <f>'School Calendar'!A52</f>
        <v>46252</v>
      </c>
      <c r="N16" s="8" t="b">
        <f t="array" ref="N16">IFERROR(XLOOKUP($M16,'School Calendar'!$A$44:$A$408,'School Calendar'!$H$44:$H$408,FALSE),FALSE)</f>
        <v>1</v>
      </c>
      <c r="O16" s="8" t="b">
        <f t="array" ref="O16">IF($L16="Outside / Co-op",TRUE,IFERROR(INDEX('Helper Data'!$AF$5:$AJ$22,MATCH($K16,'Helper Data'!$AD$5:$AD$22,0),MATCH(TEXT($M16,"dddd"),'Helper Data'!$AF$4:$AJ$4,0)),FALSE))</f>
        <v>1</v>
      </c>
      <c r="P16" s="8" t="b">
        <f t="array" ref="P16">IFERROR(XLOOKUP($M16,'School Calendar'!$A$44:$A$408,'School Calendar'!$M$44:$M$408,FALSE),FALSE)</f>
        <v>0</v>
      </c>
      <c r="Q16" s="8" t="b">
        <f t="shared" si="3"/>
        <v>1</v>
      </c>
      <c r="R16" s="8" t="str">
        <f t="shared" si="4"/>
        <v>Eligible</v>
      </c>
      <c r="S16" s="229" t="s">
        <v>629</v>
      </c>
      <c r="T16" s="229" t="s">
        <v>170</v>
      </c>
      <c r="U16" s="229" t="s">
        <v>558</v>
      </c>
      <c r="V16" s="446">
        <f>'School Calendar'!A54</f>
        <v>46254</v>
      </c>
      <c r="W16" s="229" t="s">
        <v>222</v>
      </c>
      <c r="X16" s="447">
        <v>1.0</v>
      </c>
      <c r="Y16" s="446">
        <f>IFERROR(__xludf.DUMMYFUNCTION("IFERROR(LET(who,$T16,block,$U16,st,$V16,pace,$W16,n,$X16,calDates,'School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46255.0)</f>
        <v>46255</v>
      </c>
      <c r="Z16" s="446">
        <f>'School Calendar'!A55</f>
        <v>46255</v>
      </c>
      <c r="AA16" s="8" t="str">
        <f t="shared" si="1"/>
        <v>PASS</v>
      </c>
      <c r="AB16" s="8" t="str">
        <f>IFERROR(__xludf.DUMMYFUNCTION("IFERROR(LET(who,$T16,block,$U16,st,$V16,calDates,'School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6" s="8" t="str">
        <f>IFERROR(__xludf.DUMMYFUNCTION("IFERROR(LET(who,$T16,block,$U16,st,$V16,pace,$W16,calDates,'School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6" s="8" t="str">
        <f t="shared" si="2"/>
        <v>Compatible</v>
      </c>
    </row>
    <row r="17">
      <c r="A17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46279.0)</f>
        <v>46279</v>
      </c>
      <c r="B17" s="451" t="str">
        <f>IF(AND('Resource Planner'!$A$10="☑",13&lt;='Resource Planner'!$N$10),'Resource Planner'!$C$10,"")</f>
        <v>Everyone</v>
      </c>
      <c r="C17" s="451" t="str">
        <f>IF(AND('Resource Planner'!$A$10="☑",13&lt;='Resource Planner'!$N$10),'Resource Planner'!$B$10,"")</f>
        <v>Reading Loop</v>
      </c>
      <c r="D17" s="451" t="str">
        <f>IF(AND('Resource Planner'!$A$10="☑",13&lt;='Resource Planner'!$N$10),'Resource Planner'!$D$10,"")</f>
        <v>All Together / Literature — Family Read-Aloud</v>
      </c>
      <c r="E17" s="451" t="str">
        <f>IF(AND('Resource Planner'!$A$10="☑",13&lt;='Resource Planner'!$N$10),'Resource Planner'!$E$10,"")</f>
        <v>Pay Attention, Carter Jones</v>
      </c>
      <c r="F17" s="8" t="str">
        <f>IF(AND('Resource Planner'!$A$10="☑",13&lt;='Resource Planner'!$N$10),'Resource Planner'!$F$10&amp;" "&amp;('Resource Planner'!$G$10+(13-1)*'Resource Planner'!$I$10)&amp;IF(('Resource Planner'!$G$10+(13-1)*'Resource Planner'!$I$10)=MIN('Resource Planner'!$G$10+13*'Resource Planner'!$I$10-1,'Resource Planner'!$H$10),"","–"&amp;MIN('Resource Planner'!$G$10+13*'Resource Planner'!$I$10-1,'Resource Planner'!$H$10)),"")</f>
        <v>Chapter 25–26</v>
      </c>
      <c r="G17" s="8" t="s">
        <v>109</v>
      </c>
      <c r="H17" s="451" t="str">
        <f>IF(AND('Resource Planner'!$A$10="☑",13&lt;='Resource Planner'!$N$10),'Resource Planner'!$M$10,"")</f>
        <v>sample</v>
      </c>
      <c r="I17" s="8"/>
      <c r="J17" s="229" t="s">
        <v>630</v>
      </c>
      <c r="K17" s="229" t="s">
        <v>172</v>
      </c>
      <c r="L17" s="229" t="s">
        <v>558</v>
      </c>
      <c r="M17" s="446">
        <f>'School Calendar'!A54</f>
        <v>46254</v>
      </c>
      <c r="N17" s="8" t="b">
        <f t="array" ref="N17">IFERROR(XLOOKUP($M17,'School Calendar'!$A$44:$A$408,'School Calendar'!$H$44:$H$408,FALSE),FALSE)</f>
        <v>1</v>
      </c>
      <c r="O17" s="8" t="b">
        <f t="array" ref="O17">IF($L17="Outside / Co-op",TRUE,IFERROR(INDEX('Helper Data'!$AF$5:$AJ$22,MATCH($K17,'Helper Data'!$AD$5:$AD$22,0),MATCH(TEXT($M17,"dddd"),'Helper Data'!$AF$4:$AJ$4,0)),FALSE))</f>
        <v>0</v>
      </c>
      <c r="P17" s="8" t="b">
        <f t="array" ref="P17">IFERROR(XLOOKUP($M17,'School Calendar'!$A$44:$A$408,'School Calendar'!$M$44:$M$408,FALSE),FALSE)</f>
        <v>0</v>
      </c>
      <c r="Q17" s="8" t="b">
        <f t="shared" si="3"/>
        <v>0</v>
      </c>
      <c r="R17" s="8" t="str">
        <f t="shared" si="4"/>
        <v>Blocked by Regular Work Days</v>
      </c>
      <c r="S17" s="229" t="s">
        <v>632</v>
      </c>
      <c r="T17" s="229" t="s">
        <v>130</v>
      </c>
      <c r="U17" s="229" t="s">
        <v>123</v>
      </c>
      <c r="V17" s="446">
        <f>'School Calendar'!A52</f>
        <v>46252</v>
      </c>
      <c r="W17" s="229" t="s">
        <v>222</v>
      </c>
      <c r="X17" s="447">
        <v>1.0</v>
      </c>
      <c r="Y17" s="446">
        <f>IFERROR(__xludf.DUMMYFUNCTION("IFERROR(LET(who,$T17,block,$U17,st,$V17,pace,$W17,n,$X17,calDates,'School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46252.0)</f>
        <v>46252</v>
      </c>
      <c r="Z17" s="446">
        <f>'School Calendar'!A52</f>
        <v>46252</v>
      </c>
      <c r="AA17" s="8" t="str">
        <f t="shared" si="1"/>
        <v>PASS</v>
      </c>
      <c r="AB17" s="8" t="str">
        <f>IFERROR(__xludf.DUMMYFUNCTION("IFERROR(LET(who,$T17,block,$U17,st,$V17,calDates,'School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7" s="8" t="str">
        <f>IFERROR(__xludf.DUMMYFUNCTION("IFERROR(LET(who,$T17,block,$U17,st,$V17,pace,$W17,calDates,'School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7" s="8" t="str">
        <f t="shared" si="2"/>
        <v>Compatible</v>
      </c>
    </row>
    <row r="18">
      <c r="A18" s="450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46281.0)</f>
        <v>46281</v>
      </c>
      <c r="B18" s="451" t="str">
        <f>IF(AND('Resource Planner'!$A$10="☑",14&lt;='Resource Planner'!$N$10),'Resource Planner'!$C$10,"")</f>
        <v>Everyone</v>
      </c>
      <c r="C18" s="451" t="str">
        <f>IF(AND('Resource Planner'!$A$10="☑",14&lt;='Resource Planner'!$N$10),'Resource Planner'!$B$10,"")</f>
        <v>Reading Loop</v>
      </c>
      <c r="D18" s="451" t="str">
        <f>IF(AND('Resource Planner'!$A$10="☑",14&lt;='Resource Planner'!$N$10),'Resource Planner'!$D$10,"")</f>
        <v>All Together / Literature — Family Read-Aloud</v>
      </c>
      <c r="E18" s="451" t="str">
        <f>IF(AND('Resource Planner'!$A$10="☑",14&lt;='Resource Planner'!$N$10),'Resource Planner'!$E$10,"")</f>
        <v>Pay Attention, Carter Jones</v>
      </c>
      <c r="F18" s="8" t="str">
        <f>IF(AND('Resource Planner'!$A$10="☑",14&lt;='Resource Planner'!$N$10),'Resource Planner'!$F$10&amp;" "&amp;('Resource Planner'!$G$10+(14-1)*'Resource Planner'!$I$10)&amp;IF(('Resource Planner'!$G$10+(14-1)*'Resource Planner'!$I$10)=MIN('Resource Planner'!$G$10+14*'Resource Planner'!$I$10-1,'Resource Planner'!$H$10),"","–"&amp;MIN('Resource Planner'!$G$10+14*'Resource Planner'!$I$10-1,'Resource Planner'!$H$10)),"")</f>
        <v>Chapter 27–28</v>
      </c>
      <c r="G18" s="8" t="s">
        <v>109</v>
      </c>
      <c r="H18" s="451" t="str">
        <f>IF(AND('Resource Planner'!$A$10="☑",14&lt;='Resource Planner'!$N$10),'Resource Planner'!$M$10,"")</f>
        <v>sample</v>
      </c>
      <c r="I18" s="8"/>
      <c r="J18" s="229" t="s">
        <v>633</v>
      </c>
      <c r="K18" s="229" t="s">
        <v>170</v>
      </c>
      <c r="L18" s="229" t="s">
        <v>558</v>
      </c>
      <c r="M18" s="446">
        <f>'School Calendar'!A52</f>
        <v>46252</v>
      </c>
      <c r="N18" s="8" t="b">
        <f t="array" ref="N18">IFERROR(XLOOKUP($M18,'School Calendar'!$A$44:$A$408,'School Calendar'!$H$44:$H$408,FALSE),FALSE)</f>
        <v>1</v>
      </c>
      <c r="O18" s="8" t="b">
        <f t="array" ref="O18">IF($L18="Outside / Co-op",TRUE,IFERROR(INDEX('Helper Data'!$AF$5:$AJ$22,MATCH($K18,'Helper Data'!$AD$5:$AD$22,0),MATCH(TEXT($M18,"dddd"),'Helper Data'!$AF$4:$AJ$4,0)),FALSE))</f>
        <v>0</v>
      </c>
      <c r="P18" s="8" t="b">
        <f t="array" ref="P18">IFERROR(XLOOKUP($M18,'School Calendar'!$A$44:$A$408,'School Calendar'!$M$44:$M$408,FALSE),FALSE)</f>
        <v>0</v>
      </c>
      <c r="Q18" s="8" t="b">
        <f t="shared" si="3"/>
        <v>0</v>
      </c>
      <c r="R18" s="8" t="str">
        <f t="shared" si="4"/>
        <v>Blocked by Regular Work Days</v>
      </c>
      <c r="S18" s="229" t="s">
        <v>634</v>
      </c>
      <c r="T18" s="229" t="s">
        <v>130</v>
      </c>
      <c r="U18" s="229" t="s">
        <v>123</v>
      </c>
      <c r="V18" s="446">
        <f>'School Calendar'!A54</f>
        <v>46254</v>
      </c>
      <c r="W18" s="229" t="s">
        <v>222</v>
      </c>
      <c r="X18" s="447">
        <v>1.0</v>
      </c>
      <c r="Y18" s="446">
        <f>IFERROR(__xludf.DUMMYFUNCTION("IFERROR(LET(who,$T18,block,$U18,st,$V18,pace,$W18,n,$X18,calDates,'School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46254.0)</f>
        <v>46254</v>
      </c>
      <c r="Z18" s="446">
        <f>'School Calendar'!A54</f>
        <v>46254</v>
      </c>
      <c r="AA18" s="8" t="str">
        <f t="shared" si="1"/>
        <v>PASS</v>
      </c>
      <c r="AB18" s="8" t="str">
        <f>IFERROR(__xludf.DUMMYFUNCTION("IFERROR(LET(who,$T18,block,$U18,st,$V18,calDates,'School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8" s="8" t="str">
        <f>IFERROR(__xludf.DUMMYFUNCTION("IFERROR(LET(who,$T18,block,$U18,st,$V18,pace,$W18,calDates,'School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8" s="8" t="str">
        <f t="shared" si="2"/>
        <v>Compatible</v>
      </c>
    </row>
    <row r="19">
      <c r="A19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19" s="8" t="str">
        <f>IF(AND('Resource Planner'!$A$10="☑",15&lt;='Resource Planner'!$N$10),'Resource Planner'!$C$10,"")</f>
        <v/>
      </c>
      <c r="C19" s="8" t="str">
        <f>IF(AND('Resource Planner'!$A$10="☑",15&lt;='Resource Planner'!$N$10),'Resource Planner'!$B$10,"")</f>
        <v/>
      </c>
      <c r="D19" s="8" t="str">
        <f>IF(AND('Resource Planner'!$A$10="☑",15&lt;='Resource Planner'!$N$10),'Resource Planner'!$D$10,"")</f>
        <v/>
      </c>
      <c r="E19" s="8" t="str">
        <f>IF(AND('Resource Planner'!$A$10="☑",15&lt;='Resource Planner'!$N$10),'Resource Planner'!$E$10,"")</f>
        <v/>
      </c>
      <c r="F19" s="8" t="str">
        <f>IF(AND('Resource Planner'!$A$10="☑",15&lt;='Resource Planner'!$N$10),'Resource Planner'!$F$10&amp;" "&amp;('Resource Planner'!$G$10+(15-1)*'Resource Planner'!$I$10)&amp;IF(('Resource Planner'!$G$10+(15-1)*'Resource Planner'!$I$10)=MIN('Resource Planner'!$G$10+15*'Resource Planner'!$I$10-1,'Resource Planner'!$H$10),"","–"&amp;MIN('Resource Planner'!$G$10+15*'Resource Planner'!$I$10-1,'Resource Planner'!$H$10)),"")</f>
        <v/>
      </c>
      <c r="G19" s="8" t="s">
        <v>109</v>
      </c>
      <c r="H19" s="8" t="str">
        <f>IF(AND('Resource Planner'!$A$10="☑",15&lt;='Resource Planner'!$N$10),'Resource Planner'!$M$10,"")</f>
        <v/>
      </c>
      <c r="I19" s="8"/>
      <c r="J19" s="229" t="s">
        <v>636</v>
      </c>
      <c r="K19" s="229" t="s">
        <v>170</v>
      </c>
      <c r="L19" s="229" t="s">
        <v>558</v>
      </c>
      <c r="M19" s="446">
        <f>'School Calendar'!A54</f>
        <v>46254</v>
      </c>
      <c r="N19" s="8" t="b">
        <f t="array" ref="N19">IFERROR(XLOOKUP($M19,'School Calendar'!$A$44:$A$408,'School Calendar'!$H$44:$H$408,FALSE),FALSE)</f>
        <v>1</v>
      </c>
      <c r="O19" s="8" t="b">
        <f t="array" ref="O19">IF($L19="Outside / Co-op",TRUE,IFERROR(INDEX('Helper Data'!$AF$5:$AJ$22,MATCH($K19,'Helper Data'!$AD$5:$AD$22,0),MATCH(TEXT($M19,"dddd"),'Helper Data'!$AF$4:$AJ$4,0)),FALSE))</f>
        <v>0</v>
      </c>
      <c r="P19" s="8" t="b">
        <f t="array" ref="P19">IFERROR(XLOOKUP($M19,'School Calendar'!$A$44:$A$408,'School Calendar'!$M$44:$M$408,FALSE),FALSE)</f>
        <v>0</v>
      </c>
      <c r="Q19" s="8" t="b">
        <f t="shared" si="3"/>
        <v>0</v>
      </c>
      <c r="R19" s="8" t="str">
        <f t="shared" si="4"/>
        <v>Blocked by Regular Work Days</v>
      </c>
      <c r="S19" s="229" t="s">
        <v>637</v>
      </c>
      <c r="T19" s="229" t="s">
        <v>130</v>
      </c>
      <c r="U19" s="229" t="s">
        <v>123</v>
      </c>
      <c r="V19" s="446">
        <f>'School Calendar'!A56</f>
        <v>46256</v>
      </c>
      <c r="W19" s="229" t="s">
        <v>222</v>
      </c>
      <c r="X19" s="447">
        <v>1.0</v>
      </c>
      <c r="Y19" s="446">
        <f>IFERROR(__xludf.DUMMYFUNCTION("IFERROR(LET(who,$T19,block,$U19,st,$V19,pace,$W19,n,$X19,calDates,'School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46258.0)</f>
        <v>46258</v>
      </c>
      <c r="Z19" s="446">
        <f>'School Calendar'!A58</f>
        <v>46258</v>
      </c>
      <c r="AA19" s="8" t="str">
        <f t="shared" si="1"/>
        <v>PASS</v>
      </c>
      <c r="AB19" s="8" t="str">
        <f>IFERROR(__xludf.DUMMYFUNCTION("IFERROR(LET(who,$T19,block,$U19,st,$V19,calDates,'School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19" s="8" t="str">
        <f>IFERROR(__xludf.DUMMYFUNCTION("IFERROR(LET(who,$T19,block,$U19,st,$V19,pace,$W19,calDates,'School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19" s="8" t="str">
        <f t="shared" si="2"/>
        <v>Compatible</v>
      </c>
    </row>
    <row r="20">
      <c r="A20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0" s="8" t="str">
        <f>IF(AND('Resource Planner'!$A$10="☑",16&lt;='Resource Planner'!$N$10),'Resource Planner'!$C$10,"")</f>
        <v/>
      </c>
      <c r="C20" s="8" t="str">
        <f>IF(AND('Resource Planner'!$A$10="☑",16&lt;='Resource Planner'!$N$10),'Resource Planner'!$B$10,"")</f>
        <v/>
      </c>
      <c r="D20" s="8" t="str">
        <f>IF(AND('Resource Planner'!$A$10="☑",16&lt;='Resource Planner'!$N$10),'Resource Planner'!$D$10,"")</f>
        <v/>
      </c>
      <c r="E20" s="8" t="str">
        <f>IF(AND('Resource Planner'!$A$10="☑",16&lt;='Resource Planner'!$N$10),'Resource Planner'!$E$10,"")</f>
        <v/>
      </c>
      <c r="F20" s="8" t="str">
        <f>IF(AND('Resource Planner'!$A$10="☑",16&lt;='Resource Planner'!$N$10),'Resource Planner'!$F$10&amp;" "&amp;('Resource Planner'!$G$10+(16-1)*'Resource Planner'!$I$10)&amp;IF(('Resource Planner'!$G$10+(16-1)*'Resource Planner'!$I$10)=MIN('Resource Planner'!$G$10+16*'Resource Planner'!$I$10-1,'Resource Planner'!$H$10),"","–"&amp;MIN('Resource Planner'!$G$10+16*'Resource Planner'!$I$10-1,'Resource Planner'!$H$10)),"")</f>
        <v/>
      </c>
      <c r="G20" s="8" t="s">
        <v>109</v>
      </c>
      <c r="H20" s="8" t="str">
        <f>IF(AND('Resource Planner'!$A$10="☑",16&lt;='Resource Planner'!$N$10),'Resource Planner'!$M$10,"")</f>
        <v/>
      </c>
      <c r="I20" s="8"/>
      <c r="J20" s="229" t="s">
        <v>639</v>
      </c>
      <c r="K20" s="229" t="s">
        <v>130</v>
      </c>
      <c r="L20" s="229" t="s">
        <v>123</v>
      </c>
      <c r="M20" s="446">
        <f>'School Calendar'!A52</f>
        <v>46252</v>
      </c>
      <c r="N20" s="8" t="b">
        <f t="array" ref="N20">IFERROR(XLOOKUP($M20,'School Calendar'!$A$44:$A$408,'School Calendar'!$H$44:$H$408,FALSE),FALSE)</f>
        <v>1</v>
      </c>
      <c r="O20" s="8" t="b">
        <f t="array" ref="O20">IF($L20="Outside / Co-op",TRUE,IFERROR(INDEX('Helper Data'!$AF$5:$AJ$22,MATCH($K20,'Helper Data'!$AD$5:$AD$22,0),MATCH(TEXT($M20,"dddd"),'Helper Data'!$AF$4:$AJ$4,0)),FALSE))</f>
        <v>1</v>
      </c>
      <c r="P20" s="8" t="b">
        <f t="array" ref="P20">IFERROR(XLOOKUP($M20,'School Calendar'!$A$44:$A$408,'School Calendar'!$M$44:$M$408,FALSE),FALSE)</f>
        <v>0</v>
      </c>
      <c r="Q20" s="8" t="b">
        <f t="shared" si="3"/>
        <v>1</v>
      </c>
      <c r="R20" s="8" t="str">
        <f t="shared" si="4"/>
        <v>Eligible</v>
      </c>
      <c r="S20" s="229" t="s">
        <v>640</v>
      </c>
      <c r="T20" s="229" t="s">
        <v>85</v>
      </c>
      <c r="U20" s="229" t="s">
        <v>558</v>
      </c>
      <c r="V20" s="446">
        <f>'School Calendar'!A121</f>
        <v>46321</v>
      </c>
      <c r="W20" s="229" t="s">
        <v>222</v>
      </c>
      <c r="X20" s="447">
        <v>1.0</v>
      </c>
      <c r="Y20" s="446">
        <f>IFERROR(__xludf.DUMMYFUNCTION("IFERROR(LET(who,$T20,block,$U20,st,$V20,pace,$W20,n,$X20,calDates,'School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46328.0)</f>
        <v>46328</v>
      </c>
      <c r="Z20" s="446">
        <f>'School Calendar'!A128</f>
        <v>46328</v>
      </c>
      <c r="AA20" s="8" t="str">
        <f t="shared" si="1"/>
        <v>PASS</v>
      </c>
      <c r="AB20" s="8" t="str">
        <f>IFERROR(__xludf.DUMMYFUNCTION("IFERROR(LET(who,$T20,block,$U20,st,$V20,calDates,'School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20" s="8" t="str">
        <f>IFERROR(__xludf.DUMMYFUNCTION("IFERROR(LET(who,$T20,block,$U20,st,$V20,pace,$W20,calDates,'School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20" s="8" t="str">
        <f t="shared" si="2"/>
        <v>Compatible</v>
      </c>
    </row>
    <row r="21" ht="15.75" customHeight="1">
      <c r="A21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1" s="8" t="str">
        <f>IF(AND('Resource Planner'!$A$10="☑",17&lt;='Resource Planner'!$N$10),'Resource Planner'!$C$10,"")</f>
        <v/>
      </c>
      <c r="C21" s="8" t="str">
        <f>IF(AND('Resource Planner'!$A$10="☑",17&lt;='Resource Planner'!$N$10),'Resource Planner'!$B$10,"")</f>
        <v/>
      </c>
      <c r="D21" s="8" t="str">
        <f>IF(AND('Resource Planner'!$A$10="☑",17&lt;='Resource Planner'!$N$10),'Resource Planner'!$D$10,"")</f>
        <v/>
      </c>
      <c r="E21" s="8" t="str">
        <f>IF(AND('Resource Planner'!$A$10="☑",17&lt;='Resource Planner'!$N$10),'Resource Planner'!$E$10,"")</f>
        <v/>
      </c>
      <c r="F21" s="8" t="str">
        <f>IF(AND('Resource Planner'!$A$10="☑",17&lt;='Resource Planner'!$N$10),'Resource Planner'!$F$10&amp;" "&amp;('Resource Planner'!$G$10+(17-1)*'Resource Planner'!$I$10)&amp;IF(('Resource Planner'!$G$10+(17-1)*'Resource Planner'!$I$10)=MIN('Resource Planner'!$G$10+17*'Resource Planner'!$I$10-1,'Resource Planner'!$H$10),"","–"&amp;MIN('Resource Planner'!$G$10+17*'Resource Planner'!$I$10-1,'Resource Planner'!$H$10)),"")</f>
        <v/>
      </c>
      <c r="G21" s="8" t="s">
        <v>109</v>
      </c>
      <c r="H21" s="8" t="str">
        <f>IF(AND('Resource Planner'!$A$10="☑",17&lt;='Resource Planner'!$N$10),'Resource Planner'!$M$10,"")</f>
        <v/>
      </c>
      <c r="I21" s="8"/>
      <c r="J21" s="229" t="s">
        <v>642</v>
      </c>
      <c r="K21" s="229" t="s">
        <v>130</v>
      </c>
      <c r="L21" s="229" t="s">
        <v>123</v>
      </c>
      <c r="M21" s="446">
        <f>'School Calendar'!A54</f>
        <v>46254</v>
      </c>
      <c r="N21" s="8" t="b">
        <f t="array" ref="N21">IFERROR(XLOOKUP($M21,'School Calendar'!$A$44:$A$408,'School Calendar'!$H$44:$H$408,FALSE),FALSE)</f>
        <v>1</v>
      </c>
      <c r="O21" s="8" t="b">
        <f t="array" ref="O21">IF($L21="Outside / Co-op",TRUE,IFERROR(INDEX('Helper Data'!$AF$5:$AJ$22,MATCH($K21,'Helper Data'!$AD$5:$AD$22,0),MATCH(TEXT($M21,"dddd"),'Helper Data'!$AF$4:$AJ$4,0)),FALSE))</f>
        <v>1</v>
      </c>
      <c r="P21" s="8" t="b">
        <f t="array" ref="P21">IFERROR(XLOOKUP($M21,'School Calendar'!$A$44:$A$408,'School Calendar'!$M$44:$M$408,FALSE),FALSE)</f>
        <v>0</v>
      </c>
      <c r="Q21" s="8" t="b">
        <f t="shared" si="3"/>
        <v>1</v>
      </c>
      <c r="R21" s="8" t="str">
        <f t="shared" si="4"/>
        <v>Eligible</v>
      </c>
      <c r="S21" s="229" t="s">
        <v>643</v>
      </c>
      <c r="T21" s="229" t="s">
        <v>130</v>
      </c>
      <c r="U21" s="229" t="s">
        <v>123</v>
      </c>
      <c r="V21" s="446">
        <f>'School Calendar'!A121</f>
        <v>46321</v>
      </c>
      <c r="W21" s="229" t="s">
        <v>222</v>
      </c>
      <c r="X21" s="447">
        <v>1.0</v>
      </c>
      <c r="Y21" s="446">
        <f>IFERROR(__xludf.DUMMYFUNCTION("IFERROR(LET(who,$T21,block,$U21,st,$V21,pace,$W21,n,$X21,calDates,'School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46328.0)</f>
        <v>46328</v>
      </c>
      <c r="Z21" s="446">
        <f>'School Calendar'!A128</f>
        <v>46328</v>
      </c>
      <c r="AA21" s="8" t="str">
        <f t="shared" si="1"/>
        <v>PASS</v>
      </c>
      <c r="AB21" s="8" t="str">
        <f>IFERROR(__xludf.DUMMYFUNCTION("IFERROR(LET(who,$T21,block,$U21,st,$V21,calDates,'School Calendar'!$A$44:$A$408,calSchool,'School Calendar'!$H$44:$H$408,calWeek,'School Calendar'!$J$44:$J$408,exam,'School Calendar'!$M$44:$M$408,baseDates,FILTER(calDates,(calDates&gt;=st)*(calSchool=TRUE)*("&amp;"exam=FALSE)),available,MAP(baseDates,LAMBDA(d,IF(block=""Outside / Co-op"",TRUE,IFERROR(INDEX('Helper Data'!$AF$5:$AJ$22,MATCH(who,'Helper Data'!$AD$5:$AD$22,0),MATCH(TEXT(d,""dddd""),'Helper Data'!$AF$4:$AJ$4,0)),FALSE)))),effDates,FILTER(baseDates,avail"&amp;"able),effWeeks,XLOOKUP(effDates,calDates,calWeek,""""),firstWeek,INDEX(effWeeks,1),TEXTJOIN("", "",TRUE,TEXT(FILTER(effDates,effWeeks=firstWeek),""m/d""))),"""")"),"")</f>
        <v/>
      </c>
      <c r="AC21" s="8" t="str">
        <f>IFERROR(__xludf.DUMMYFUNCTION("IFERROR(LET(who,$T21,block,$U21,st,$V21,pace,$W21,calDates,'School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dates"")"),"OK")</f>
        <v>OK</v>
      </c>
      <c r="AD21" s="8" t="str">
        <f t="shared" si="2"/>
        <v>Compatible</v>
      </c>
    </row>
    <row r="22" ht="15.75" customHeight="1">
      <c r="A22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2" s="8" t="str">
        <f>IF(AND('Resource Planner'!$A$10="☑",18&lt;='Resource Planner'!$N$10),'Resource Planner'!$C$10,"")</f>
        <v/>
      </c>
      <c r="C22" s="8" t="str">
        <f>IF(AND('Resource Planner'!$A$10="☑",18&lt;='Resource Planner'!$N$10),'Resource Planner'!$B$10,"")</f>
        <v/>
      </c>
      <c r="D22" s="8" t="str">
        <f>IF(AND('Resource Planner'!$A$10="☑",18&lt;='Resource Planner'!$N$10),'Resource Planner'!$D$10,"")</f>
        <v/>
      </c>
      <c r="E22" s="8" t="str">
        <f>IF(AND('Resource Planner'!$A$10="☑",18&lt;='Resource Planner'!$N$10),'Resource Planner'!$E$10,"")</f>
        <v/>
      </c>
      <c r="F22" s="8" t="str">
        <f>IF(AND('Resource Planner'!$A$10="☑",18&lt;='Resource Planner'!$N$10),'Resource Planner'!$F$10&amp;" "&amp;('Resource Planner'!$G$10+(18-1)*'Resource Planner'!$I$10)&amp;IF(('Resource Planner'!$G$10+(18-1)*'Resource Planner'!$I$10)=MIN('Resource Planner'!$G$10+18*'Resource Planner'!$I$10-1,'Resource Planner'!$H$10),"","–"&amp;MIN('Resource Planner'!$G$10+18*'Resource Planner'!$I$10-1,'Resource Planner'!$H$10)),"")</f>
        <v/>
      </c>
      <c r="G22" s="8" t="s">
        <v>109</v>
      </c>
      <c r="H22" s="8" t="str">
        <f>IF(AND('Resource Planner'!$A$10="☑",18&lt;='Resource Planner'!$N$10),'Resource Planner'!$M$10,"")</f>
        <v/>
      </c>
      <c r="I22" s="8"/>
      <c r="J22" s="229" t="s">
        <v>645</v>
      </c>
      <c r="K22" s="229" t="s">
        <v>130</v>
      </c>
      <c r="L22" s="229" t="s">
        <v>558</v>
      </c>
      <c r="M22" s="446">
        <f>'School Calendar'!A56</f>
        <v>46256</v>
      </c>
      <c r="N22" s="8" t="b">
        <f t="array" ref="N22">IFERROR(XLOOKUP($M22,'School Calendar'!$A$44:$A$408,'School Calendar'!$H$44:$H$408,FALSE),FALSE)</f>
        <v>0</v>
      </c>
      <c r="O22" s="8" t="b">
        <f t="array" ref="O22">IF($L22="Outside / Co-op",TRUE,IFERROR(INDEX('Helper Data'!$AF$5:$AJ$22,MATCH($K22,'Helper Data'!$AD$5:$AD$22,0),MATCH(TEXT($M22,"dddd"),'Helper Data'!$AF$4:$AJ$4,0)),FALSE))</f>
        <v>0</v>
      </c>
      <c r="P22" s="8" t="b">
        <f t="array" ref="P22">IFERROR(XLOOKUP($M22,'School Calendar'!$A$44:$A$408,'School Calendar'!$M$44:$M$408,FALSE),FALSE)</f>
        <v>0</v>
      </c>
      <c r="Q22" s="8" t="b">
        <f t="shared" si="3"/>
        <v>0</v>
      </c>
      <c r="R22" s="8" t="str">
        <f t="shared" si="4"/>
        <v>Blocked globally</v>
      </c>
      <c r="S22" s="229" t="s">
        <v>646</v>
      </c>
      <c r="T22" s="229" t="s">
        <v>130</v>
      </c>
      <c r="U22" s="229" t="s">
        <v>558</v>
      </c>
      <c r="V22" s="446">
        <f>'School Calendar'!A51</f>
        <v>46251</v>
      </c>
      <c r="W22" s="229" t="s">
        <v>220</v>
      </c>
      <c r="X22" s="447">
        <v>4.0</v>
      </c>
      <c r="Y22" s="446">
        <f>IFERROR(__xludf.DUMMYFUNCTION("IFERROR(LET(who,$T22,block,$U22,st,$V22,pace,$W22,n,$X22,calDates,'School Calendar'!$A$44:$A$408,calSchool,'School Calendar'!$H$44:$H$408,calWeek,'School Calendar'!$J$44:$J$408,exam,'School Calendar'!$M$44:$M$408,cap,SWITCH(pace,""1x/week"",1,""2x/week"","&amp;"2,""3x/week"",3,""4x/week"",4,""Daily"",99,1),baseDates,FILTER(calDates,(calDates&gt;=st)*(calSchool=TRUE)*(exam=FALSE)),available,MAP(baseDates,LAMBDA(d,IF(block=""Outside / Co-op"",TRUE,IFERROR(INDEX('Helper Data'!$AF$5:$AJ$22,MATCH(who,'Helper Data'!$AD$5"&amp;":$AD$22,0),MATCH(TEXT(d,""dddd""),'Helper Data'!$AF$4:$AJ$4,0)),FALSE)))),effDates,FILTER(baseDates,available),effWeeks,XLOOKUP(effDates,calDates,calWeek,""""),weekRank,MAP(effDates,LAMBDA(d,SUM((effDates&lt;=d)*(effWeeks=XLOOKUP(d,calDates,calWeek,"""")))))"&amp;",eligibleSchedule,FILTER(effDates,weekRank&lt;=cap),IF(n&lt;=ROWS(eligibleSchedule),INDEX(eligibleSchedule,n),"""")),"""")"),46258.0)</f>
        <v>46258</v>
      </c>
      <c r="Z22" s="446">
        <f>'School Calendar'!A58</f>
        <v>46258</v>
      </c>
      <c r="AA22" s="8" t="str">
        <f t="shared" si="1"/>
        <v>PASS</v>
      </c>
      <c r="AB22" s="8" t="str">
        <f>IFERROR(__xludf.DUMMYFUNCTION("LET(w,XLOOKUP($V22,'School Calendar'!$A$44:$A$408,'School Calendar'!$J$44:$J$408,""""),who,$T22,dates,FILTER('School Calendar'!$A$44:$A$408,('School Calendar'!$J$44:$J$408=w)*('School Calendar'!$H$44:$H$408=TRUE)*('School Calendar'!$M$44:$M$408=FALSE)),av"&amp;"ail,MAP(dates,LAMBDA(d,IFERROR(INDEX('Helper Data'!$AF$5:$AJ$22,MATCH(who,'Helper Data'!$AD$5:$AD$22,0),MATCH(TEXT(d,""dddd""),'Helper Data'!$AF$4:$AJ$4,0)),FALSE))),TEXTJOIN("", "",TRUE,FILTER(TEXT(dates,""m/d""),avail)))"),"8/17, 8/19, 8/21")</f>
        <v>8/17, 8/19, 8/21</v>
      </c>
      <c r="AC22" s="8" t="str">
        <f>IFERROR(__xludf.DUMMYFUNCTION("IFERROR(LET(who,$T22,block,$U22,st,$V22,pace,$W22,calDates,'School Calendar'!$A$44:$A$408,calSchool,'School Calendar'!$H$44:$H$408,calWeek,'School Calendar'!$J$44:$J$408,exam,'School Calendar'!$M$44:$M$408,cap,SWITCH(pace,""1x/week"",1,""2x/week"",2,""3x/"&amp;"week"",3,""4x/week"",4,""Daily"",99,1),baseDates,FILTER(calDates,(calDates&gt;=st)*(calSchool=TRUE)*(exam=FALSE)),available,MAP(baseDates,LAMBDA(d,IF(block=""Outside / Co-op"",TRUE,IFERROR(INDEX('Helper Data'!$AF$5:$AJ$22,MATCH(who,'Helper Data'!$AD$5:$AD$22"&amp;",0),MATCH(TEXT(d,""dddd""),'Helper Data'!$AF$4:$AJ$4,0)),FALSE)))),effDates,FILTER(baseDates,available),effWeeks,XLOOKUP(effDates,calDates,calWeek,""""),firstWeek,INDEX(effWeeks,1),availCount,COUNTIF(effWeeks,firstWeek),IF(cap=99,""OK"",IF(availCount&lt;cap,"&amp;"""⚠ requested pace exceeds available days in School Week ""&amp;firstWeek,""OK""))),""⚠ no eligible dates"")"),"⚠ requested pace exceeds available days in School Week 2")</f>
        <v>⚠ requested pace exceeds available days in School Week 2</v>
      </c>
      <c r="AD22" s="8" t="str">
        <f t="shared" si="2"/>
        <v>Compatible</v>
      </c>
    </row>
    <row r="23" ht="15.75" customHeight="1">
      <c r="A23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3" s="8" t="str">
        <f>IF(AND('Resource Planner'!$A$10="☑",19&lt;='Resource Planner'!$N$10),'Resource Planner'!$C$10,"")</f>
        <v/>
      </c>
      <c r="C23" s="8" t="str">
        <f>IF(AND('Resource Planner'!$A$10="☑",19&lt;='Resource Planner'!$N$10),'Resource Planner'!$B$10,"")</f>
        <v/>
      </c>
      <c r="D23" s="8" t="str">
        <f>IF(AND('Resource Planner'!$A$10="☑",19&lt;='Resource Planner'!$N$10),'Resource Planner'!$D$10,"")</f>
        <v/>
      </c>
      <c r="E23" s="8" t="str">
        <f>IF(AND('Resource Planner'!$A$10="☑",19&lt;='Resource Planner'!$N$10),'Resource Planner'!$E$10,"")</f>
        <v/>
      </c>
      <c r="F23" s="8" t="str">
        <f>IF(AND('Resource Planner'!$A$10="☑",19&lt;='Resource Planner'!$N$10),'Resource Planner'!$F$10&amp;" "&amp;('Resource Planner'!$G$10+(19-1)*'Resource Planner'!$I$10)&amp;IF(('Resource Planner'!$G$10+(19-1)*'Resource Planner'!$I$10)=MIN('Resource Planner'!$G$10+19*'Resource Planner'!$I$10-1,'Resource Planner'!$H$10),"","–"&amp;MIN('Resource Planner'!$G$10+19*'Resource Planner'!$I$10-1,'Resource Planner'!$H$10)),"")</f>
        <v/>
      </c>
      <c r="G23" s="8" t="s">
        <v>109</v>
      </c>
      <c r="H23" s="8" t="str">
        <f>IF(AND('Resource Planner'!$A$10="☑",19&lt;='Resource Planner'!$N$10),'Resource Planner'!$M$10,"")</f>
        <v/>
      </c>
      <c r="I23" s="8"/>
      <c r="J23" s="229" t="s">
        <v>647</v>
      </c>
      <c r="K23" s="229" t="s">
        <v>85</v>
      </c>
      <c r="L23" s="229" t="s">
        <v>558</v>
      </c>
      <c r="M23" s="446">
        <f>'School Calendar'!A121</f>
        <v>46321</v>
      </c>
      <c r="N23" s="8" t="b">
        <f t="array" ref="N23">IFERROR(XLOOKUP($M23,'School Calendar'!$A$44:$A$408,'School Calendar'!$H$44:$H$408,FALSE),FALSE)</f>
        <v>1</v>
      </c>
      <c r="O23" s="8" t="b">
        <f t="array" ref="O23">IF($L23="Outside / Co-op",TRUE,IFERROR(INDEX('Helper Data'!$AF$5:$AJ$22,MATCH($K23,'Helper Data'!$AD$5:$AD$22,0),MATCH(TEXT($M23,"dddd"),'Helper Data'!$AF$4:$AJ$4,0)),FALSE))</f>
        <v>1</v>
      </c>
      <c r="P23" s="8" t="b">
        <f t="array" ref="P23">IFERROR(XLOOKUP($M23,'School Calendar'!$A$44:$A$408,'School Calendar'!$M$44:$M$408,FALSE),FALSE)</f>
        <v>1</v>
      </c>
      <c r="Q23" s="8" t="b">
        <f t="shared" si="3"/>
        <v>0</v>
      </c>
      <c r="R23" s="8" t="str">
        <f t="shared" si="4"/>
        <v>Paused for exam week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4" s="8" t="str">
        <f>IF(AND('Resource Planner'!$A$10="☑",20&lt;='Resource Planner'!$N$10),'Resource Planner'!$C$10,"")</f>
        <v/>
      </c>
      <c r="C24" s="8" t="str">
        <f>IF(AND('Resource Planner'!$A$10="☑",20&lt;='Resource Planner'!$N$10),'Resource Planner'!$B$10,"")</f>
        <v/>
      </c>
      <c r="D24" s="8" t="str">
        <f>IF(AND('Resource Planner'!$A$10="☑",20&lt;='Resource Planner'!$N$10),'Resource Planner'!$D$10,"")</f>
        <v/>
      </c>
      <c r="E24" s="8" t="str">
        <f>IF(AND('Resource Planner'!$A$10="☑",20&lt;='Resource Planner'!$N$10),'Resource Planner'!$E$10,"")</f>
        <v/>
      </c>
      <c r="F24" s="8" t="str">
        <f>IF(AND('Resource Planner'!$A$10="☑",20&lt;='Resource Planner'!$N$10),'Resource Planner'!$F$10&amp;" "&amp;('Resource Planner'!$G$10+(20-1)*'Resource Planner'!$I$10)&amp;IF(('Resource Planner'!$G$10+(20-1)*'Resource Planner'!$I$10)=MIN('Resource Planner'!$G$10+20*'Resource Planner'!$I$10-1,'Resource Planner'!$H$10),"","–"&amp;MIN('Resource Planner'!$G$10+20*'Resource Planner'!$I$10-1,'Resource Planner'!$H$10)),"")</f>
        <v/>
      </c>
      <c r="G24" s="8" t="s">
        <v>109</v>
      </c>
      <c r="H24" s="8" t="str">
        <f>IF(AND('Resource Planner'!$A$10="☑",20&lt;='Resource Planner'!$N$10),'Resource Planner'!$M$10,"")</f>
        <v/>
      </c>
      <c r="I24" s="8"/>
      <c r="J24" s="229" t="s">
        <v>650</v>
      </c>
      <c r="K24" s="229" t="s">
        <v>130</v>
      </c>
      <c r="L24" s="229" t="s">
        <v>651</v>
      </c>
      <c r="M24" s="447">
        <v>4.0</v>
      </c>
      <c r="N24" s="8" t="str">
        <f>IFERROR(__xludf.DUMMYFUNCTION("LET(w,2,who,$K24,dates,FILTER('School Calendar'!$A$44:$A$408,('School Calendar'!$J$44:$J$408=w)*('School Calendar'!$H$44:$H$408=TRUE)*('School Calendar'!$M$44:$M$408=FALSE)),avail,MAP(dates,LAMBDA(d,IFERROR(INDEX('Helper Data'!$AF$5:$AJ$22,MATCH(who,'Help"&amp;"er Data'!$AD$5:$AD$22,0),MATCH(TEXT(d,""dddd""),'Helper Data'!$AF$4:$AJ$4,0)),FALSE))),TEXTJOIN("", "",TRUE,FILTER(TEXT(dates,""m/d""),avail)))"),"8/17, 8/19, 8/21")</f>
        <v>8/17, 8/19, 8/21</v>
      </c>
      <c r="O24" s="8">
        <f>IFERROR(__xludf.DUMMYFUNCTION("LET(w,2,who,$K24,dates,FILTER('School Calendar'!$A$44:$A$408,('School Calendar'!$J$44:$J$408=w)*('School Calendar'!$H$44:$H$408=TRUE)*('School Calendar'!$M$44:$M$408=FALSE)),avail,MAP(dates,LAMBDA(d,IFERROR(INDEX('Helper Data'!$AF$5:$AJ$22,MATCH(who,'Help"&amp;"er Data'!$AD$5:$AD$22,0),MATCH(TEXT(d,""dddd""),'Helper Data'!$AF$4:$AJ$4,0)),FALSE))),ROWS(FILTER(dates,avail)))"),3.0)</f>
        <v>3</v>
      </c>
      <c r="P24" s="8"/>
      <c r="Q24" s="8">
        <f>MIN($M24,$O24)</f>
        <v>3</v>
      </c>
      <c r="R24" s="8" t="str">
        <f>IF($M24&gt;$O24,"⚠ requested pace exceeds available days; use all eligible dates in this School Week only","OK")</f>
        <v>⚠ requested pace exceeds available days; use all eligible dates in this School Week only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5" s="8" t="str">
        <f>IF(AND('Resource Planner'!$A$10="☑",21&lt;='Resource Planner'!$N$10),'Resource Planner'!$C$10,"")</f>
        <v/>
      </c>
      <c r="C25" s="8" t="str">
        <f>IF(AND('Resource Planner'!$A$10="☑",21&lt;='Resource Planner'!$N$10),'Resource Planner'!$B$10,"")</f>
        <v/>
      </c>
      <c r="D25" s="8" t="str">
        <f>IF(AND('Resource Planner'!$A$10="☑",21&lt;='Resource Planner'!$N$10),'Resource Planner'!$D$10,"")</f>
        <v/>
      </c>
      <c r="E25" s="8" t="str">
        <f>IF(AND('Resource Planner'!$A$10="☑",21&lt;='Resource Planner'!$N$10),'Resource Planner'!$E$10,"")</f>
        <v/>
      </c>
      <c r="F25" s="8" t="str">
        <f>IF(AND('Resource Planner'!$A$10="☑",21&lt;='Resource Planner'!$N$10),'Resource Planner'!$F$10&amp;" "&amp;('Resource Planner'!$G$10+(21-1)*'Resource Planner'!$I$10)&amp;IF(('Resource Planner'!$G$10+(21-1)*'Resource Planner'!$I$10)=MIN('Resource Planner'!$G$10+21*'Resource Planner'!$I$10-1,'Resource Planner'!$H$10),"","–"&amp;MIN('Resource Planner'!$G$10+21*'Resource Planner'!$I$10-1,'Resource Planner'!$H$10)),"")</f>
        <v/>
      </c>
      <c r="G25" s="8" t="s">
        <v>109</v>
      </c>
      <c r="H25" s="8" t="str">
        <f>IF(AND('Resource Planner'!$A$10="☑",21&lt;='Resource Planner'!$N$10),'Resource Planner'!$M$10,"")</f>
        <v/>
      </c>
      <c r="I25" s="8"/>
      <c r="J25" s="229" t="s">
        <v>654</v>
      </c>
      <c r="K25" s="229" t="s">
        <v>130</v>
      </c>
      <c r="L25" s="229" t="s">
        <v>558</v>
      </c>
      <c r="M25" s="446">
        <f>'School Calendar'!A52</f>
        <v>46252</v>
      </c>
      <c r="N25" s="8" t="b">
        <f t="array" ref="N25">IFERROR(XLOOKUP($M25,'School Calendar'!$A$44:$A$408,'School Calendar'!$H$44:$H$408,FALSE),FALSE)</f>
        <v>1</v>
      </c>
      <c r="O25" s="8" t="b">
        <f t="array" ref="O25">IFERROR(INDEX('Helper Data'!$AF$5:$AJ$22,MATCH($K25,'Helper Data'!$AD$5:$AD$22,0),MATCH(TEXT($M25,"dddd"),'Helper Data'!$AF$4:$AJ$4,0)),FALSE)</f>
        <v>0</v>
      </c>
      <c r="P25" s="8" t="b">
        <f t="array" ref="P25">IFERROR(XLOOKUP($M25,'School Calendar'!$A$44:$A$408,'School Calendar'!$M$44:$M$408,FALSE),FALSE)</f>
        <v>0</v>
      </c>
      <c r="Q25" s="446">
        <f>IFERROR(__xludf.DUMMYFUNCTION("LET(who,$K25,st,$M25,dates,FILTER('School Calendar'!$A$44:$A$408,('School Calendar'!$A$44:$A$408&gt;=st)*('School Calendar'!$H$44:$H$408=TRUE)*('School Calendar'!$M$44:$M$408=FALSE)),avail,MAP(dates,LAMBDA(d,IFERROR(INDEX('Helper Data'!$AF$5:$AJ$22,MATCH(who"&amp;",'Helper Data'!$AD$5:$AD$22,0),MATCH(TEXT(d,""dddd""),'Helper Data'!$AF$4:$AJ$4,0)),FALSE))),MIN(FILTER(dates,avail)))"),46253.0)</f>
        <v>46253</v>
      </c>
      <c r="R25" s="8" t="str">
        <f>IF($Q25=$M25,"Start date eligible","Moved to next eligible date")</f>
        <v>Moved to next eligible date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6" s="8" t="str">
        <f>IF(AND('Resource Planner'!$A$10="☑",22&lt;='Resource Planner'!$N$10),'Resource Planner'!$C$10,"")</f>
        <v/>
      </c>
      <c r="C26" s="8" t="str">
        <f>IF(AND('Resource Planner'!$A$10="☑",22&lt;='Resource Planner'!$N$10),'Resource Planner'!$B$10,"")</f>
        <v/>
      </c>
      <c r="D26" s="8" t="str">
        <f>IF(AND('Resource Planner'!$A$10="☑",22&lt;='Resource Planner'!$N$10),'Resource Planner'!$D$10,"")</f>
        <v/>
      </c>
      <c r="E26" s="8" t="str">
        <f>IF(AND('Resource Planner'!$A$10="☑",22&lt;='Resource Planner'!$N$10),'Resource Planner'!$E$10,"")</f>
        <v/>
      </c>
      <c r="F26" s="8" t="str">
        <f>IF(AND('Resource Planner'!$A$10="☑",22&lt;='Resource Planner'!$N$10),'Resource Planner'!$F$10&amp;" "&amp;('Resource Planner'!$G$10+(22-1)*'Resource Planner'!$I$10)&amp;IF(('Resource Planner'!$G$10+(22-1)*'Resource Planner'!$I$10)=MIN('Resource Planner'!$G$10+22*'Resource Planner'!$I$10-1,'Resource Planner'!$H$10),"","–"&amp;MIN('Resource Planner'!$G$10+22*'Resource Planner'!$I$10-1,'Resource Planner'!$H$10)),"")</f>
        <v/>
      </c>
      <c r="G26" s="8" t="s">
        <v>109</v>
      </c>
      <c r="H26" s="8" t="str">
        <f>IF(AND('Resource Planner'!$A$10="☑",22&lt;='Resource Planner'!$N$10),'Resource Planner'!$M$10,"")</f>
        <v/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7" s="8" t="str">
        <f>IF(AND('Resource Planner'!$A$10="☑",23&lt;='Resource Planner'!$N$10),'Resource Planner'!$C$10,"")</f>
        <v/>
      </c>
      <c r="C27" s="8" t="str">
        <f>IF(AND('Resource Planner'!$A$10="☑",23&lt;='Resource Planner'!$N$10),'Resource Planner'!$B$10,"")</f>
        <v/>
      </c>
      <c r="D27" s="8" t="str">
        <f>IF(AND('Resource Planner'!$A$10="☑",23&lt;='Resource Planner'!$N$10),'Resource Planner'!$D$10,"")</f>
        <v/>
      </c>
      <c r="E27" s="8" t="str">
        <f>IF(AND('Resource Planner'!$A$10="☑",23&lt;='Resource Planner'!$N$10),'Resource Planner'!$E$10,"")</f>
        <v/>
      </c>
      <c r="F27" s="8" t="str">
        <f>IF(AND('Resource Planner'!$A$10="☑",23&lt;='Resource Planner'!$N$10),'Resource Planner'!$F$10&amp;" "&amp;('Resource Planner'!$G$10+(23-1)*'Resource Planner'!$I$10)&amp;IF(('Resource Planner'!$G$10+(23-1)*'Resource Planner'!$I$10)=MIN('Resource Planner'!$G$10+23*'Resource Planner'!$I$10-1,'Resource Planner'!$H$10),"","–"&amp;MIN('Resource Planner'!$G$10+23*'Resource Planner'!$I$10-1,'Resource Planner'!$H$10)),"")</f>
        <v/>
      </c>
      <c r="G27" s="8" t="s">
        <v>109</v>
      </c>
      <c r="H27" s="8" t="str">
        <f>IF(AND('Resource Planner'!$A$10="☑",23&lt;='Resource Planner'!$N$10),'Resource Planner'!$M$10,"")</f>
        <v/>
      </c>
      <c r="I27" s="8"/>
      <c r="J27" s="229" t="s">
        <v>657</v>
      </c>
      <c r="K27" s="229" t="s">
        <v>130</v>
      </c>
      <c r="L27" s="229" t="s">
        <v>242</v>
      </c>
      <c r="M27" s="447">
        <v>1.0</v>
      </c>
      <c r="N27" s="8" t="str">
        <f>IFERROR(__xludf.DUMMYFUNCTION("LET(w,2,who,$K27,cap,$M27,dates,FILTER('School Calendar'!$A$44:$A$408,('School Calendar'!$J$44:$J$408=w)*('School Calendar'!$H$44:$H$408=TRUE)*('School Calendar'!$M$44:$M$408=FALSE)),avail,MAP(dates,LAMBDA(d,IFERROR(INDEX('Helper Data'!$AF$5:$AJ$22,MATCH("&amp;"who,'Helper Data'!$AD$5:$AD$22,0),MATCH(TEXT(d,""dddd""),'Helper Data'!$AF$4:$AJ$4,0)),FALSE))),eligible,FILTER(TEXT(dates,""m/d""),avail),TEXTJOIN("", "",TRUE,FILTER(eligible,SEQUENCE(ROWS(eligible))&lt;=MIN(cap,ROWS(eligible)))))"),"8/17")</f>
        <v>8/17</v>
      </c>
      <c r="O27" s="8">
        <f>IFERROR(__xludf.DUMMYFUNCTION("LET(w,2,who,$K27,dates,FILTER('School Calendar'!$A$44:$A$408,('School Calendar'!$J$44:$J$408=w)*('School Calendar'!$H$44:$H$408=TRUE)*('School Calendar'!$M$44:$M$408=FALSE)),avail,MAP(dates,LAMBDA(d,IFERROR(INDEX('Helper Data'!$AF$5:$AJ$22,MATCH(who,'Help"&amp;"er Data'!$AD$5:$AD$22,0),MATCH(TEXT(d,""dddd""),'Helper Data'!$AF$4:$AJ$4,0)),FALSE))),ROWS(FILTER(dates,avail)))"),3.0)</f>
        <v>3</v>
      </c>
      <c r="P27" s="8"/>
      <c r="Q27" s="8">
        <f t="shared" ref="Q27:Q31" si="5">MIN($M27,$O27)</f>
        <v>1</v>
      </c>
      <c r="R27" s="8" t="str">
        <f t="shared" ref="R27:R31" si="6">IF($M27&gt;$O27,"⚠ capped within School Week","OK")</f>
        <v>OK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8" s="8" t="str">
        <f>IF(AND('Resource Planner'!$A$10="☑",24&lt;='Resource Planner'!$N$10),'Resource Planner'!$C$10,"")</f>
        <v/>
      </c>
      <c r="C28" s="8" t="str">
        <f>IF(AND('Resource Planner'!$A$10="☑",24&lt;='Resource Planner'!$N$10),'Resource Planner'!$B$10,"")</f>
        <v/>
      </c>
      <c r="D28" s="8" t="str">
        <f>IF(AND('Resource Planner'!$A$10="☑",24&lt;='Resource Planner'!$N$10),'Resource Planner'!$D$10,"")</f>
        <v/>
      </c>
      <c r="E28" s="8" t="str">
        <f>IF(AND('Resource Planner'!$A$10="☑",24&lt;='Resource Planner'!$N$10),'Resource Planner'!$E$10,"")</f>
        <v/>
      </c>
      <c r="F28" s="8" t="str">
        <f>IF(AND('Resource Planner'!$A$10="☑",24&lt;='Resource Planner'!$N$10),'Resource Planner'!$F$10&amp;" "&amp;('Resource Planner'!$G$10+(24-1)*'Resource Planner'!$I$10)&amp;IF(('Resource Planner'!$G$10+(24-1)*'Resource Planner'!$I$10)=MIN('Resource Planner'!$G$10+24*'Resource Planner'!$I$10-1,'Resource Planner'!$H$10),"","–"&amp;MIN('Resource Planner'!$G$10+24*'Resource Planner'!$I$10-1,'Resource Planner'!$H$10)),"")</f>
        <v/>
      </c>
      <c r="G28" s="8" t="s">
        <v>109</v>
      </c>
      <c r="H28" s="8" t="str">
        <f>IF(AND('Resource Planner'!$A$10="☑",24&lt;='Resource Planner'!$N$10),'Resource Planner'!$M$10,"")</f>
        <v/>
      </c>
      <c r="I28" s="8"/>
      <c r="J28" s="229" t="s">
        <v>659</v>
      </c>
      <c r="K28" s="229" t="s">
        <v>130</v>
      </c>
      <c r="L28" s="229" t="s">
        <v>252</v>
      </c>
      <c r="M28" s="447">
        <v>2.0</v>
      </c>
      <c r="N28" s="8" t="str">
        <f>IFERROR(__xludf.DUMMYFUNCTION("LET(w,2,who,$K28,cap,$M28,dates,FILTER('School Calendar'!$A$44:$A$408,('School Calendar'!$J$44:$J$408=w)*('School Calendar'!$H$44:$H$408=TRUE)*('School Calendar'!$M$44:$M$408=FALSE)),avail,MAP(dates,LAMBDA(d,IFERROR(INDEX('Helper Data'!$AF$5:$AJ$22,MATCH("&amp;"who,'Helper Data'!$AD$5:$AD$22,0),MATCH(TEXT(d,""dddd""),'Helper Data'!$AF$4:$AJ$4,0)),FALSE))),eligible,FILTER(TEXT(dates,""m/d""),avail),TEXTJOIN("", "",TRUE,FILTER(eligible,SEQUENCE(ROWS(eligible))&lt;=MIN(cap,ROWS(eligible)))))"),"8/17, 8/19")</f>
        <v>8/17, 8/19</v>
      </c>
      <c r="O28" s="8">
        <f>IFERROR(__xludf.DUMMYFUNCTION("LET(w,2,who,$K28,dates,FILTER('School Calendar'!$A$44:$A$408,('School Calendar'!$J$44:$J$408=w)*('School Calendar'!$H$44:$H$408=TRUE)*('School Calendar'!$M$44:$M$408=FALSE)),avail,MAP(dates,LAMBDA(d,IFERROR(INDEX('Helper Data'!$AF$5:$AJ$22,MATCH(who,'Help"&amp;"er Data'!$AD$5:$AD$22,0),MATCH(TEXT(d,""dddd""),'Helper Data'!$AF$4:$AJ$4,0)),FALSE))),ROWS(FILTER(dates,avail)))"),3.0)</f>
        <v>3</v>
      </c>
      <c r="P28" s="8"/>
      <c r="Q28" s="8">
        <f t="shared" si="5"/>
        <v>2</v>
      </c>
      <c r="R28" s="8" t="str">
        <f t="shared" si="6"/>
        <v>OK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29" s="8" t="str">
        <f>IF(AND('Resource Planner'!$A$10="☑",25&lt;='Resource Planner'!$N$10),'Resource Planner'!$C$10,"")</f>
        <v/>
      </c>
      <c r="C29" s="8" t="str">
        <f>IF(AND('Resource Planner'!$A$10="☑",25&lt;='Resource Planner'!$N$10),'Resource Planner'!$B$10,"")</f>
        <v/>
      </c>
      <c r="D29" s="8" t="str">
        <f>IF(AND('Resource Planner'!$A$10="☑",25&lt;='Resource Planner'!$N$10),'Resource Planner'!$D$10,"")</f>
        <v/>
      </c>
      <c r="E29" s="8" t="str">
        <f>IF(AND('Resource Planner'!$A$10="☑",25&lt;='Resource Planner'!$N$10),'Resource Planner'!$E$10,"")</f>
        <v/>
      </c>
      <c r="F29" s="8" t="str">
        <f>IF(AND('Resource Planner'!$A$10="☑",25&lt;='Resource Planner'!$N$10),'Resource Planner'!$F$10&amp;" "&amp;('Resource Planner'!$G$10+(25-1)*'Resource Planner'!$I$10)&amp;IF(('Resource Planner'!$G$10+(25-1)*'Resource Planner'!$I$10)=MIN('Resource Planner'!$G$10+25*'Resource Planner'!$I$10-1,'Resource Planner'!$H$10),"","–"&amp;MIN('Resource Planner'!$G$10+25*'Resource Planner'!$I$10-1,'Resource Planner'!$H$10)),"")</f>
        <v/>
      </c>
      <c r="G29" s="8" t="s">
        <v>109</v>
      </c>
      <c r="H29" s="8" t="str">
        <f>IF(AND('Resource Planner'!$A$10="☑",25&lt;='Resource Planner'!$N$10),'Resource Planner'!$M$10,"")</f>
        <v/>
      </c>
      <c r="I29" s="8"/>
      <c r="J29" s="229" t="s">
        <v>661</v>
      </c>
      <c r="K29" s="229" t="s">
        <v>130</v>
      </c>
      <c r="L29" s="229" t="s">
        <v>249</v>
      </c>
      <c r="M29" s="447">
        <v>3.0</v>
      </c>
      <c r="N29" s="8" t="str">
        <f>IFERROR(__xludf.DUMMYFUNCTION("LET(w,2,who,$K29,cap,$M29,dates,FILTER('School Calendar'!$A$44:$A$408,('School Calendar'!$J$44:$J$408=w)*('School Calendar'!$H$44:$H$408=TRUE)*('School Calendar'!$M$44:$M$408=FALSE)),avail,MAP(dates,LAMBDA(d,IFERROR(INDEX('Helper Data'!$AF$5:$AJ$22,MATCH("&amp;"who,'Helper Data'!$AD$5:$AD$22,0),MATCH(TEXT(d,""dddd""),'Helper Data'!$AF$4:$AJ$4,0)),FALSE))),eligible,FILTER(TEXT(dates,""m/d""),avail),TEXTJOIN("", "",TRUE,FILTER(eligible,SEQUENCE(ROWS(eligible))&lt;=MIN(cap,ROWS(eligible)))))"),"8/17, 8/19, 8/21")</f>
        <v>8/17, 8/19, 8/21</v>
      </c>
      <c r="O29" s="8">
        <f>IFERROR(__xludf.DUMMYFUNCTION("LET(w,2,who,$K29,dates,FILTER('School Calendar'!$A$44:$A$408,('School Calendar'!$J$44:$J$408=w)*('School Calendar'!$H$44:$H$408=TRUE)*('School Calendar'!$M$44:$M$408=FALSE)),avail,MAP(dates,LAMBDA(d,IFERROR(INDEX('Helper Data'!$AF$5:$AJ$22,MATCH(who,'Help"&amp;"er Data'!$AD$5:$AD$22,0),MATCH(TEXT(d,""dddd""),'Helper Data'!$AF$4:$AJ$4,0)),FALSE))),ROWS(FILTER(dates,avail)))"),3.0)</f>
        <v>3</v>
      </c>
      <c r="P29" s="8"/>
      <c r="Q29" s="8">
        <f t="shared" si="5"/>
        <v>3</v>
      </c>
      <c r="R29" s="8" t="str">
        <f t="shared" si="6"/>
        <v>OK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0" s="8" t="str">
        <f>IF(AND('Resource Planner'!$A$10="☑",26&lt;='Resource Planner'!$N$10),'Resource Planner'!$C$10,"")</f>
        <v/>
      </c>
      <c r="C30" s="8" t="str">
        <f>IF(AND('Resource Planner'!$A$10="☑",26&lt;='Resource Planner'!$N$10),'Resource Planner'!$B$10,"")</f>
        <v/>
      </c>
      <c r="D30" s="8" t="str">
        <f>IF(AND('Resource Planner'!$A$10="☑",26&lt;='Resource Planner'!$N$10),'Resource Planner'!$D$10,"")</f>
        <v/>
      </c>
      <c r="E30" s="8" t="str">
        <f>IF(AND('Resource Planner'!$A$10="☑",26&lt;='Resource Planner'!$N$10),'Resource Planner'!$E$10,"")</f>
        <v/>
      </c>
      <c r="F30" s="8" t="str">
        <f>IF(AND('Resource Planner'!$A$10="☑",26&lt;='Resource Planner'!$N$10),'Resource Planner'!$F$10&amp;" "&amp;('Resource Planner'!$G$10+(26-1)*'Resource Planner'!$I$10)&amp;IF(('Resource Planner'!$G$10+(26-1)*'Resource Planner'!$I$10)=MIN('Resource Planner'!$G$10+26*'Resource Planner'!$I$10-1,'Resource Planner'!$H$10),"","–"&amp;MIN('Resource Planner'!$G$10+26*'Resource Planner'!$I$10-1,'Resource Planner'!$H$10)),"")</f>
        <v/>
      </c>
      <c r="G30" s="8" t="s">
        <v>109</v>
      </c>
      <c r="H30" s="8" t="str">
        <f>IF(AND('Resource Planner'!$A$10="☑",26&lt;='Resource Planner'!$N$10),'Resource Planner'!$M$10,"")</f>
        <v/>
      </c>
      <c r="I30" s="8"/>
      <c r="J30" s="229" t="s">
        <v>663</v>
      </c>
      <c r="K30" s="229" t="s">
        <v>130</v>
      </c>
      <c r="L30" s="229" t="s">
        <v>220</v>
      </c>
      <c r="M30" s="447">
        <v>4.0</v>
      </c>
      <c r="N30" s="8" t="str">
        <f>IFERROR(__xludf.DUMMYFUNCTION("LET(w,2,who,$K30,cap,$M30,dates,FILTER('School Calendar'!$A$44:$A$408,('School Calendar'!$J$44:$J$408=w)*('School Calendar'!$H$44:$H$408=TRUE)*('School Calendar'!$M$44:$M$408=FALSE)),avail,MAP(dates,LAMBDA(d,IFERROR(INDEX('Helper Data'!$AF$5:$AJ$22,MATCH("&amp;"who,'Helper Data'!$AD$5:$AD$22,0),MATCH(TEXT(d,""dddd""),'Helper Data'!$AF$4:$AJ$4,0)),FALSE))),eligible,FILTER(TEXT(dates,""m/d""),avail),TEXTJOIN("", "",TRUE,FILTER(eligible,SEQUENCE(ROWS(eligible))&lt;=MIN(cap,ROWS(eligible)))))"),"8/17, 8/19, 8/21")</f>
        <v>8/17, 8/19, 8/21</v>
      </c>
      <c r="O30" s="8">
        <f>IFERROR(__xludf.DUMMYFUNCTION("LET(w,2,who,$K30,dates,FILTER('School Calendar'!$A$44:$A$408,('School Calendar'!$J$44:$J$408=w)*('School Calendar'!$H$44:$H$408=TRUE)*('School Calendar'!$M$44:$M$408=FALSE)),avail,MAP(dates,LAMBDA(d,IFERROR(INDEX('Helper Data'!$AF$5:$AJ$22,MATCH(who,'Help"&amp;"er Data'!$AD$5:$AD$22,0),MATCH(TEXT(d,""dddd""),'Helper Data'!$AF$4:$AJ$4,0)),FALSE))),ROWS(FILTER(dates,avail)))"),3.0)</f>
        <v>3</v>
      </c>
      <c r="P30" s="8"/>
      <c r="Q30" s="8">
        <f t="shared" si="5"/>
        <v>3</v>
      </c>
      <c r="R30" s="8" t="str">
        <f t="shared" si="6"/>
        <v>⚠ capped within School Week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1" s="8" t="str">
        <f>IF(AND('Resource Planner'!$A$10="☑",27&lt;='Resource Planner'!$N$10),'Resource Planner'!$C$10,"")</f>
        <v/>
      </c>
      <c r="C31" s="8" t="str">
        <f>IF(AND('Resource Planner'!$A$10="☑",27&lt;='Resource Planner'!$N$10),'Resource Planner'!$B$10,"")</f>
        <v/>
      </c>
      <c r="D31" s="8" t="str">
        <f>IF(AND('Resource Planner'!$A$10="☑",27&lt;='Resource Planner'!$N$10),'Resource Planner'!$D$10,"")</f>
        <v/>
      </c>
      <c r="E31" s="8" t="str">
        <f>IF(AND('Resource Planner'!$A$10="☑",27&lt;='Resource Planner'!$N$10),'Resource Planner'!$E$10,"")</f>
        <v/>
      </c>
      <c r="F31" s="8" t="str">
        <f>IF(AND('Resource Planner'!$A$10="☑",27&lt;='Resource Planner'!$N$10),'Resource Planner'!$F$10&amp;" "&amp;('Resource Planner'!$G$10+(27-1)*'Resource Planner'!$I$10)&amp;IF(('Resource Planner'!$G$10+(27-1)*'Resource Planner'!$I$10)=MIN('Resource Planner'!$G$10+27*'Resource Planner'!$I$10-1,'Resource Planner'!$H$10),"","–"&amp;MIN('Resource Planner'!$G$10+27*'Resource Planner'!$I$10-1,'Resource Planner'!$H$10)),"")</f>
        <v/>
      </c>
      <c r="G31" s="8" t="s">
        <v>109</v>
      </c>
      <c r="H31" s="8" t="str">
        <f>IF(AND('Resource Planner'!$A$10="☑",27&lt;='Resource Planner'!$N$10),'Resource Planner'!$M$10,"")</f>
        <v/>
      </c>
      <c r="I31" s="8"/>
      <c r="J31" s="229" t="s">
        <v>666</v>
      </c>
      <c r="K31" s="229" t="s">
        <v>130</v>
      </c>
      <c r="L31" s="229" t="s">
        <v>222</v>
      </c>
      <c r="M31" s="447">
        <v>99.0</v>
      </c>
      <c r="N31" s="8" t="str">
        <f>IFERROR(__xludf.DUMMYFUNCTION("LET(w,2,who,$K31,cap,$M31,dates,FILTER('School Calendar'!$A$44:$A$408,('School Calendar'!$J$44:$J$408=w)*('School Calendar'!$H$44:$H$408=TRUE)*('School Calendar'!$M$44:$M$408=FALSE)),avail,MAP(dates,LAMBDA(d,IFERROR(INDEX('Helper Data'!$AF$5:$AJ$22,MATCH("&amp;"who,'Helper Data'!$AD$5:$AD$22,0),MATCH(TEXT(d,""dddd""),'Helper Data'!$AF$4:$AJ$4,0)),FALSE))),eligible,FILTER(TEXT(dates,""m/d""),avail),TEXTJOIN("", "",TRUE,FILTER(eligible,SEQUENCE(ROWS(eligible))&lt;=MIN(cap,ROWS(eligible)))))"),"8/17, 8/19, 8/21")</f>
        <v>8/17, 8/19, 8/21</v>
      </c>
      <c r="O31" s="8">
        <f>IFERROR(__xludf.DUMMYFUNCTION("LET(w,2,who,$K31,dates,FILTER('School Calendar'!$A$44:$A$408,('School Calendar'!$J$44:$J$408=w)*('School Calendar'!$H$44:$H$408=TRUE)*('School Calendar'!$M$44:$M$408=FALSE)),avail,MAP(dates,LAMBDA(d,IFERROR(INDEX('Helper Data'!$AF$5:$AJ$22,MATCH(who,'Help"&amp;"er Data'!$AD$5:$AD$22,0),MATCH(TEXT(d,""dddd""),'Helper Data'!$AF$4:$AJ$4,0)),FALSE))),ROWS(FILTER(dates,avail)))"),3.0)</f>
        <v>3</v>
      </c>
      <c r="P31" s="8"/>
      <c r="Q31" s="8">
        <f t="shared" si="5"/>
        <v>3</v>
      </c>
      <c r="R31" s="8" t="str">
        <f t="shared" si="6"/>
        <v>⚠ capped within School Week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2" s="8" t="str">
        <f>IF(AND('Resource Planner'!$A$10="☑",28&lt;='Resource Planner'!$N$10),'Resource Planner'!$C$10,"")</f>
        <v/>
      </c>
      <c r="C32" s="8" t="str">
        <f>IF(AND('Resource Planner'!$A$10="☑",28&lt;='Resource Planner'!$N$10),'Resource Planner'!$B$10,"")</f>
        <v/>
      </c>
      <c r="D32" s="8" t="str">
        <f>IF(AND('Resource Planner'!$A$10="☑",28&lt;='Resource Planner'!$N$10),'Resource Planner'!$D$10,"")</f>
        <v/>
      </c>
      <c r="E32" s="8" t="str">
        <f>IF(AND('Resource Planner'!$A$10="☑",28&lt;='Resource Planner'!$N$10),'Resource Planner'!$E$10,"")</f>
        <v/>
      </c>
      <c r="F32" s="8" t="str">
        <f>IF(AND('Resource Planner'!$A$10="☑",28&lt;='Resource Planner'!$N$10),'Resource Planner'!$F$10&amp;" "&amp;('Resource Planner'!$G$10+(28-1)*'Resource Planner'!$I$10)&amp;IF(('Resource Planner'!$G$10+(28-1)*'Resource Planner'!$I$10)=MIN('Resource Planner'!$G$10+28*'Resource Planner'!$I$10-1,'Resource Planner'!$H$10),"","–"&amp;MIN('Resource Planner'!$G$10+28*'Resource Planner'!$I$10-1,'Resource Planner'!$H$10)),"")</f>
        <v/>
      </c>
      <c r="G32" s="8" t="s">
        <v>109</v>
      </c>
      <c r="H32" s="8" t="str">
        <f>IF(AND('Resource Planner'!$A$10="☑",28&lt;='Resource Planner'!$N$10),'Resource Planner'!$M$10,"")</f>
        <v/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3" s="8" t="str">
        <f>IF(AND('Resource Planner'!$A$10="☑",29&lt;='Resource Planner'!$N$10),'Resource Planner'!$C$10,"")</f>
        <v/>
      </c>
      <c r="C33" s="8" t="str">
        <f>IF(AND('Resource Planner'!$A$10="☑",29&lt;='Resource Planner'!$N$10),'Resource Planner'!$B$10,"")</f>
        <v/>
      </c>
      <c r="D33" s="8" t="str">
        <f>IF(AND('Resource Planner'!$A$10="☑",29&lt;='Resource Planner'!$N$10),'Resource Planner'!$D$10,"")</f>
        <v/>
      </c>
      <c r="E33" s="8" t="str">
        <f>IF(AND('Resource Planner'!$A$10="☑",29&lt;='Resource Planner'!$N$10),'Resource Planner'!$E$10,"")</f>
        <v/>
      </c>
      <c r="F33" s="8" t="str">
        <f>IF(AND('Resource Planner'!$A$10="☑",29&lt;='Resource Planner'!$N$10),'Resource Planner'!$F$10&amp;" "&amp;('Resource Planner'!$G$10+(29-1)*'Resource Planner'!$I$10)&amp;IF(('Resource Planner'!$G$10+(29-1)*'Resource Planner'!$I$10)=MIN('Resource Planner'!$G$10+29*'Resource Planner'!$I$10-1,'Resource Planner'!$H$10),"","–"&amp;MIN('Resource Planner'!$G$10+29*'Resource Planner'!$I$10-1,'Resource Planner'!$H$10)),"")</f>
        <v/>
      </c>
      <c r="G33" s="8" t="s">
        <v>109</v>
      </c>
      <c r="H33" s="8" t="str">
        <f>IF(AND('Resource Planner'!$A$10="☑",29&lt;='Resource Planner'!$N$10),'Resource Planner'!$M$10,"")</f>
        <v/>
      </c>
      <c r="I33" s="8"/>
      <c r="J33" s="229"/>
      <c r="K33" s="229"/>
      <c r="L33" s="2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4" s="8" t="str">
        <f>IF(AND('Resource Planner'!$A$10="☑",30&lt;='Resource Planner'!$N$10),'Resource Planner'!$C$10,"")</f>
        <v/>
      </c>
      <c r="C34" s="8" t="str">
        <f>IF(AND('Resource Planner'!$A$10="☑",30&lt;='Resource Planner'!$N$10),'Resource Planner'!$B$10,"")</f>
        <v/>
      </c>
      <c r="D34" s="8" t="str">
        <f>IF(AND('Resource Planner'!$A$10="☑",30&lt;='Resource Planner'!$N$10),'Resource Planner'!$D$10,"")</f>
        <v/>
      </c>
      <c r="E34" s="8" t="str">
        <f>IF(AND('Resource Planner'!$A$10="☑",30&lt;='Resource Planner'!$N$10),'Resource Planner'!$E$10,"")</f>
        <v/>
      </c>
      <c r="F34" s="8" t="str">
        <f>IF(AND('Resource Planner'!$A$10="☑",30&lt;='Resource Planner'!$N$10),'Resource Planner'!$F$10&amp;" "&amp;('Resource Planner'!$G$10+(30-1)*'Resource Planner'!$I$10)&amp;IF(('Resource Planner'!$G$10+(30-1)*'Resource Planner'!$I$10)=MIN('Resource Planner'!$G$10+30*'Resource Planner'!$I$10-1,'Resource Planner'!$H$10),"","–"&amp;MIN('Resource Planner'!$G$10+30*'Resource Planner'!$I$10-1,'Resource Planner'!$H$10)),"")</f>
        <v/>
      </c>
      <c r="G34" s="8" t="s">
        <v>109</v>
      </c>
      <c r="H34" s="8" t="str">
        <f>IF(AND('Resource Planner'!$A$10="☑",30&lt;='Resource Planner'!$N$10),'Resource Planner'!$M$10,"")</f>
        <v/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5" s="8" t="str">
        <f>IF(AND('Resource Planner'!$A$10="☑",31&lt;='Resource Planner'!$N$10),'Resource Planner'!$C$10,"")</f>
        <v/>
      </c>
      <c r="C35" s="8" t="str">
        <f>IF(AND('Resource Planner'!$A$10="☑",31&lt;='Resource Planner'!$N$10),'Resource Planner'!$B$10,"")</f>
        <v/>
      </c>
      <c r="D35" s="8" t="str">
        <f>IF(AND('Resource Planner'!$A$10="☑",31&lt;='Resource Planner'!$N$10),'Resource Planner'!$D$10,"")</f>
        <v/>
      </c>
      <c r="E35" s="8" t="str">
        <f>IF(AND('Resource Planner'!$A$10="☑",31&lt;='Resource Planner'!$N$10),'Resource Planner'!$E$10,"")</f>
        <v/>
      </c>
      <c r="F35" s="8" t="str">
        <f>IF(AND('Resource Planner'!$A$10="☑",31&lt;='Resource Planner'!$N$10),'Resource Planner'!$F$10&amp;" "&amp;('Resource Planner'!$G$10+(31-1)*'Resource Planner'!$I$10)&amp;IF(('Resource Planner'!$G$10+(31-1)*'Resource Planner'!$I$10)=MIN('Resource Planner'!$G$10+31*'Resource Planner'!$I$10-1,'Resource Planner'!$H$10),"","–"&amp;MIN('Resource Planner'!$G$10+31*'Resource Planner'!$I$10-1,'Resource Planner'!$H$10)),"")</f>
        <v/>
      </c>
      <c r="G35" s="8" t="s">
        <v>109</v>
      </c>
      <c r="H35" s="8" t="str">
        <f>IF(AND('Resource Planner'!$A$10="☑",31&lt;='Resource Planner'!$N$10),'Resource Planner'!$M$10,"")</f>
        <v/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6" s="8" t="str">
        <f>IF(AND('Resource Planner'!$A$10="☑",32&lt;='Resource Planner'!$N$10),'Resource Planner'!$C$10,"")</f>
        <v/>
      </c>
      <c r="C36" s="8" t="str">
        <f>IF(AND('Resource Planner'!$A$10="☑",32&lt;='Resource Planner'!$N$10),'Resource Planner'!$B$10,"")</f>
        <v/>
      </c>
      <c r="D36" s="8" t="str">
        <f>IF(AND('Resource Planner'!$A$10="☑",32&lt;='Resource Planner'!$N$10),'Resource Planner'!$D$10,"")</f>
        <v/>
      </c>
      <c r="E36" s="8" t="str">
        <f>IF(AND('Resource Planner'!$A$10="☑",32&lt;='Resource Planner'!$N$10),'Resource Planner'!$E$10,"")</f>
        <v/>
      </c>
      <c r="F36" s="8" t="str">
        <f>IF(AND('Resource Planner'!$A$10="☑",32&lt;='Resource Planner'!$N$10),'Resource Planner'!$F$10&amp;" "&amp;('Resource Planner'!$G$10+(32-1)*'Resource Planner'!$I$10)&amp;IF(('Resource Planner'!$G$10+(32-1)*'Resource Planner'!$I$10)=MIN('Resource Planner'!$G$10+32*'Resource Planner'!$I$10-1,'Resource Planner'!$H$10),"","–"&amp;MIN('Resource Planner'!$G$10+32*'Resource Planner'!$I$10-1,'Resource Planner'!$H$10)),"")</f>
        <v/>
      </c>
      <c r="G36" s="8" t="s">
        <v>109</v>
      </c>
      <c r="H36" s="8" t="str">
        <f>IF(AND('Resource Planner'!$A$10="☑",32&lt;='Resource Planner'!$N$10),'Resource Planner'!$M$10,"")</f>
        <v/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7" s="8" t="str">
        <f>IF(AND('Resource Planner'!$A$10="☑",33&lt;='Resource Planner'!$N$10),'Resource Planner'!$C$10,"")</f>
        <v/>
      </c>
      <c r="C37" s="8" t="str">
        <f>IF(AND('Resource Planner'!$A$10="☑",33&lt;='Resource Planner'!$N$10),'Resource Planner'!$B$10,"")</f>
        <v/>
      </c>
      <c r="D37" s="8" t="str">
        <f>IF(AND('Resource Planner'!$A$10="☑",33&lt;='Resource Planner'!$N$10),'Resource Planner'!$D$10,"")</f>
        <v/>
      </c>
      <c r="E37" s="8" t="str">
        <f>IF(AND('Resource Planner'!$A$10="☑",33&lt;='Resource Planner'!$N$10),'Resource Planner'!$E$10,"")</f>
        <v/>
      </c>
      <c r="F37" s="8" t="str">
        <f>IF(AND('Resource Planner'!$A$10="☑",33&lt;='Resource Planner'!$N$10),'Resource Planner'!$F$10&amp;" "&amp;('Resource Planner'!$G$10+(33-1)*'Resource Planner'!$I$10)&amp;IF(('Resource Planner'!$G$10+(33-1)*'Resource Planner'!$I$10)=MIN('Resource Planner'!$G$10+33*'Resource Planner'!$I$10-1,'Resource Planner'!$H$10),"","–"&amp;MIN('Resource Planner'!$G$10+33*'Resource Planner'!$I$10-1,'Resource Planner'!$H$10)),"")</f>
        <v/>
      </c>
      <c r="G37" s="8" t="s">
        <v>109</v>
      </c>
      <c r="H37" s="8" t="str">
        <f>IF(AND('Resource Planner'!$A$10="☑",33&lt;='Resource Planner'!$N$10),'Resource Planner'!$M$10,"")</f>
        <v/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8" s="8" t="str">
        <f>IF(AND('Resource Planner'!$A$10="☑",34&lt;='Resource Planner'!$N$10),'Resource Planner'!$C$10,"")</f>
        <v/>
      </c>
      <c r="C38" s="8" t="str">
        <f>IF(AND('Resource Planner'!$A$10="☑",34&lt;='Resource Planner'!$N$10),'Resource Planner'!$B$10,"")</f>
        <v/>
      </c>
      <c r="D38" s="8" t="str">
        <f>IF(AND('Resource Planner'!$A$10="☑",34&lt;='Resource Planner'!$N$10),'Resource Planner'!$D$10,"")</f>
        <v/>
      </c>
      <c r="E38" s="8" t="str">
        <f>IF(AND('Resource Planner'!$A$10="☑",34&lt;='Resource Planner'!$N$10),'Resource Planner'!$E$10,"")</f>
        <v/>
      </c>
      <c r="F38" s="8" t="str">
        <f>IF(AND('Resource Planner'!$A$10="☑",34&lt;='Resource Planner'!$N$10),'Resource Planner'!$F$10&amp;" "&amp;('Resource Planner'!$G$10+(34-1)*'Resource Planner'!$I$10)&amp;IF(('Resource Planner'!$G$10+(34-1)*'Resource Planner'!$I$10)=MIN('Resource Planner'!$G$10+34*'Resource Planner'!$I$10-1,'Resource Planner'!$H$10),"","–"&amp;MIN('Resource Planner'!$G$10+34*'Resource Planner'!$I$10-1,'Resource Planner'!$H$10)),"")</f>
        <v/>
      </c>
      <c r="G38" s="8" t="s">
        <v>109</v>
      </c>
      <c r="H38" s="8" t="str">
        <f>IF(AND('Resource Planner'!$A$10="☑",34&lt;='Resource Planner'!$N$10),'Resource Planner'!$M$10,"")</f>
        <v/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39" s="8" t="str">
        <f>IF(AND('Resource Planner'!$A$10="☑",35&lt;='Resource Planner'!$N$10),'Resource Planner'!$C$10,"")</f>
        <v/>
      </c>
      <c r="C39" s="8" t="str">
        <f>IF(AND('Resource Planner'!$A$10="☑",35&lt;='Resource Planner'!$N$10),'Resource Planner'!$B$10,"")</f>
        <v/>
      </c>
      <c r="D39" s="8" t="str">
        <f>IF(AND('Resource Planner'!$A$10="☑",35&lt;='Resource Planner'!$N$10),'Resource Planner'!$D$10,"")</f>
        <v/>
      </c>
      <c r="E39" s="8" t="str">
        <f>IF(AND('Resource Planner'!$A$10="☑",35&lt;='Resource Planner'!$N$10),'Resource Planner'!$E$10,"")</f>
        <v/>
      </c>
      <c r="F39" s="8" t="str">
        <f>IF(AND('Resource Planner'!$A$10="☑",35&lt;='Resource Planner'!$N$10),'Resource Planner'!$F$10&amp;" "&amp;('Resource Planner'!$G$10+(35-1)*'Resource Planner'!$I$10)&amp;IF(('Resource Planner'!$G$10+(35-1)*'Resource Planner'!$I$10)=MIN('Resource Planner'!$G$10+35*'Resource Planner'!$I$10-1,'Resource Planner'!$H$10),"","–"&amp;MIN('Resource Planner'!$G$10+35*'Resource Planner'!$I$10-1,'Resource Planner'!$H$10)),"")</f>
        <v/>
      </c>
      <c r="G39" s="8" t="s">
        <v>109</v>
      </c>
      <c r="H39" s="8" t="str">
        <f>IF(AND('Resource Planner'!$A$10="☑",35&lt;='Resource Planner'!$N$10),'Resource Planner'!$M$10,"")</f>
        <v/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0" s="8" t="str">
        <f>IF(AND('Resource Planner'!$A$10="☑",36&lt;='Resource Planner'!$N$10),'Resource Planner'!$C$10,"")</f>
        <v/>
      </c>
      <c r="C40" s="8" t="str">
        <f>IF(AND('Resource Planner'!$A$10="☑",36&lt;='Resource Planner'!$N$10),'Resource Planner'!$B$10,"")</f>
        <v/>
      </c>
      <c r="D40" s="8" t="str">
        <f>IF(AND('Resource Planner'!$A$10="☑",36&lt;='Resource Planner'!$N$10),'Resource Planner'!$D$10,"")</f>
        <v/>
      </c>
      <c r="E40" s="8" t="str">
        <f>IF(AND('Resource Planner'!$A$10="☑",36&lt;='Resource Planner'!$N$10),'Resource Planner'!$E$10,"")</f>
        <v/>
      </c>
      <c r="F40" s="8" t="str">
        <f>IF(AND('Resource Planner'!$A$10="☑",36&lt;='Resource Planner'!$N$10),'Resource Planner'!$F$10&amp;" "&amp;('Resource Planner'!$G$10+(36-1)*'Resource Planner'!$I$10)&amp;IF(('Resource Planner'!$G$10+(36-1)*'Resource Planner'!$I$10)=MIN('Resource Planner'!$G$10+36*'Resource Planner'!$I$10-1,'Resource Planner'!$H$10),"","–"&amp;MIN('Resource Planner'!$G$10+36*'Resource Planner'!$I$10-1,'Resource Planner'!$H$10)),"")</f>
        <v/>
      </c>
      <c r="G40" s="8" t="s">
        <v>109</v>
      </c>
      <c r="H40" s="8" t="str">
        <f>IF(AND('Resource Planner'!$A$10="☑",36&lt;='Resource Planner'!$N$10),'Resource Planner'!$M$10,"")</f>
        <v/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1" s="8" t="str">
        <f>IF(AND('Resource Planner'!$A$10="☑",37&lt;='Resource Planner'!$N$10),'Resource Planner'!$C$10,"")</f>
        <v/>
      </c>
      <c r="C41" s="8" t="str">
        <f>IF(AND('Resource Planner'!$A$10="☑",37&lt;='Resource Planner'!$N$10),'Resource Planner'!$B$10,"")</f>
        <v/>
      </c>
      <c r="D41" s="8" t="str">
        <f>IF(AND('Resource Planner'!$A$10="☑",37&lt;='Resource Planner'!$N$10),'Resource Planner'!$D$10,"")</f>
        <v/>
      </c>
      <c r="E41" s="8" t="str">
        <f>IF(AND('Resource Planner'!$A$10="☑",37&lt;='Resource Planner'!$N$10),'Resource Planner'!$E$10,"")</f>
        <v/>
      </c>
      <c r="F41" s="8" t="str">
        <f>IF(AND('Resource Planner'!$A$10="☑",37&lt;='Resource Planner'!$N$10),'Resource Planner'!$F$10&amp;" "&amp;('Resource Planner'!$G$10+(37-1)*'Resource Planner'!$I$10)&amp;IF(('Resource Planner'!$G$10+(37-1)*'Resource Planner'!$I$10)=MIN('Resource Planner'!$G$10+37*'Resource Planner'!$I$10-1,'Resource Planner'!$H$10),"","–"&amp;MIN('Resource Planner'!$G$10+37*'Resource Planner'!$I$10-1,'Resource Planner'!$H$10)),"")</f>
        <v/>
      </c>
      <c r="G41" s="8" t="s">
        <v>109</v>
      </c>
      <c r="H41" s="8" t="str">
        <f>IF(AND('Resource Planner'!$A$10="☑",37&lt;='Resource Planner'!$N$10),'Resource Planner'!$M$10,"")</f>
        <v/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2" s="8" t="str">
        <f>IF(AND('Resource Planner'!$A$10="☑",38&lt;='Resource Planner'!$N$10),'Resource Planner'!$C$10,"")</f>
        <v/>
      </c>
      <c r="C42" s="8" t="str">
        <f>IF(AND('Resource Planner'!$A$10="☑",38&lt;='Resource Planner'!$N$10),'Resource Planner'!$B$10,"")</f>
        <v/>
      </c>
      <c r="D42" s="8" t="str">
        <f>IF(AND('Resource Planner'!$A$10="☑",38&lt;='Resource Planner'!$N$10),'Resource Planner'!$D$10,"")</f>
        <v/>
      </c>
      <c r="E42" s="8" t="str">
        <f>IF(AND('Resource Planner'!$A$10="☑",38&lt;='Resource Planner'!$N$10),'Resource Planner'!$E$10,"")</f>
        <v/>
      </c>
      <c r="F42" s="8" t="str">
        <f>IF(AND('Resource Planner'!$A$10="☑",38&lt;='Resource Planner'!$N$10),'Resource Planner'!$F$10&amp;" "&amp;('Resource Planner'!$G$10+(38-1)*'Resource Planner'!$I$10)&amp;IF(('Resource Planner'!$G$10+(38-1)*'Resource Planner'!$I$10)=MIN('Resource Planner'!$G$10+38*'Resource Planner'!$I$10-1,'Resource Planner'!$H$10),"","–"&amp;MIN('Resource Planner'!$G$10+38*'Resource Planner'!$I$10-1,'Resource Planner'!$H$10)),"")</f>
        <v/>
      </c>
      <c r="G42" s="8" t="s">
        <v>109</v>
      </c>
      <c r="H42" s="8" t="str">
        <f>IF(AND('Resource Planner'!$A$10="☑",38&lt;='Resource Planner'!$N$10),'Resource Planner'!$M$10,"")</f>
        <v/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3" s="8" t="str">
        <f>IF(AND('Resource Planner'!$A$10="☑",39&lt;='Resource Planner'!$N$10),'Resource Planner'!$C$10,"")</f>
        <v/>
      </c>
      <c r="C43" s="8" t="str">
        <f>IF(AND('Resource Planner'!$A$10="☑",39&lt;='Resource Planner'!$N$10),'Resource Planner'!$B$10,"")</f>
        <v/>
      </c>
      <c r="D43" s="8" t="str">
        <f>IF(AND('Resource Planner'!$A$10="☑",39&lt;='Resource Planner'!$N$10),'Resource Planner'!$D$10,"")</f>
        <v/>
      </c>
      <c r="E43" s="8" t="str">
        <f>IF(AND('Resource Planner'!$A$10="☑",39&lt;='Resource Planner'!$N$10),'Resource Planner'!$E$10,"")</f>
        <v/>
      </c>
      <c r="F43" s="8" t="str">
        <f>IF(AND('Resource Planner'!$A$10="☑",39&lt;='Resource Planner'!$N$10),'Resource Planner'!$F$10&amp;" "&amp;('Resource Planner'!$G$10+(39-1)*'Resource Planner'!$I$10)&amp;IF(('Resource Planner'!$G$10+(39-1)*'Resource Planner'!$I$10)=MIN('Resource Planner'!$G$10+39*'Resource Planner'!$I$10-1,'Resource Planner'!$H$10),"","–"&amp;MIN('Resource Planner'!$G$10+39*'Resource Planner'!$I$10-1,'Resource Planner'!$H$10)),"")</f>
        <v/>
      </c>
      <c r="G43" s="8" t="s">
        <v>109</v>
      </c>
      <c r="H43" s="8" t="str">
        <f>IF(AND('Resource Planner'!$A$10="☑",39&lt;='Resource Planner'!$N$10),'Resource Planner'!$M$10,"")</f>
        <v/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4" s="8" t="str">
        <f>IF(AND('Resource Planner'!$A$10="☑",40&lt;='Resource Planner'!$N$10),'Resource Planner'!$C$10,"")</f>
        <v/>
      </c>
      <c r="C44" s="8" t="str">
        <f>IF(AND('Resource Planner'!$A$10="☑",40&lt;='Resource Planner'!$N$10),'Resource Planner'!$B$10,"")</f>
        <v/>
      </c>
      <c r="D44" s="8" t="str">
        <f>IF(AND('Resource Planner'!$A$10="☑",40&lt;='Resource Planner'!$N$10),'Resource Planner'!$D$10,"")</f>
        <v/>
      </c>
      <c r="E44" s="8" t="str">
        <f>IF(AND('Resource Planner'!$A$10="☑",40&lt;='Resource Planner'!$N$10),'Resource Planner'!$E$10,"")</f>
        <v/>
      </c>
      <c r="F44" s="8" t="str">
        <f>IF(AND('Resource Planner'!$A$10="☑",40&lt;='Resource Planner'!$N$10),'Resource Planner'!$F$10&amp;" "&amp;('Resource Planner'!$G$10+(40-1)*'Resource Planner'!$I$10)&amp;IF(('Resource Planner'!$G$10+(40-1)*'Resource Planner'!$I$10)=MIN('Resource Planner'!$G$10+40*'Resource Planner'!$I$10-1,'Resource Planner'!$H$10),"","–"&amp;MIN('Resource Planner'!$G$10+40*'Resource Planner'!$I$10-1,'Resource Planner'!$H$10)),"")</f>
        <v/>
      </c>
      <c r="G44" s="8" t="s">
        <v>109</v>
      </c>
      <c r="H44" s="8" t="str">
        <f>IF(AND('Resource Planner'!$A$10="☑",40&lt;='Resource Planner'!$N$10),'Resource Planner'!$M$10,"")</f>
        <v/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5" s="8" t="str">
        <f>IF(AND('Resource Planner'!$A$10="☑",41&lt;='Resource Planner'!$N$10),'Resource Planner'!$C$10,"")</f>
        <v/>
      </c>
      <c r="C45" s="8" t="str">
        <f>IF(AND('Resource Planner'!$A$10="☑",41&lt;='Resource Planner'!$N$10),'Resource Planner'!$B$10,"")</f>
        <v/>
      </c>
      <c r="D45" s="8" t="str">
        <f>IF(AND('Resource Planner'!$A$10="☑",41&lt;='Resource Planner'!$N$10),'Resource Planner'!$D$10,"")</f>
        <v/>
      </c>
      <c r="E45" s="8" t="str">
        <f>IF(AND('Resource Planner'!$A$10="☑",41&lt;='Resource Planner'!$N$10),'Resource Planner'!$E$10,"")</f>
        <v/>
      </c>
      <c r="F45" s="8" t="str">
        <f>IF(AND('Resource Planner'!$A$10="☑",41&lt;='Resource Planner'!$N$10),'Resource Planner'!$F$10&amp;" "&amp;('Resource Planner'!$G$10+(41-1)*'Resource Planner'!$I$10)&amp;IF(('Resource Planner'!$G$10+(41-1)*'Resource Planner'!$I$10)=MIN('Resource Planner'!$G$10+41*'Resource Planner'!$I$10-1,'Resource Planner'!$H$10),"","–"&amp;MIN('Resource Planner'!$G$10+41*'Resource Planner'!$I$10-1,'Resource Planner'!$H$10)),"")</f>
        <v/>
      </c>
      <c r="G45" s="8" t="s">
        <v>109</v>
      </c>
      <c r="H45" s="8" t="str">
        <f>IF(AND('Resource Planner'!$A$10="☑",41&lt;='Resource Planner'!$N$10),'Resource Planner'!$M$10,"")</f>
        <v/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6" s="8" t="str">
        <f>IF(AND('Resource Planner'!$A$10="☑",42&lt;='Resource Planner'!$N$10),'Resource Planner'!$C$10,"")</f>
        <v/>
      </c>
      <c r="C46" s="8" t="str">
        <f>IF(AND('Resource Planner'!$A$10="☑",42&lt;='Resource Planner'!$N$10),'Resource Planner'!$B$10,"")</f>
        <v/>
      </c>
      <c r="D46" s="8" t="str">
        <f>IF(AND('Resource Planner'!$A$10="☑",42&lt;='Resource Planner'!$N$10),'Resource Planner'!$D$10,"")</f>
        <v/>
      </c>
      <c r="E46" s="8" t="str">
        <f>IF(AND('Resource Planner'!$A$10="☑",42&lt;='Resource Planner'!$N$10),'Resource Planner'!$E$10,"")</f>
        <v/>
      </c>
      <c r="F46" s="8" t="str">
        <f>IF(AND('Resource Planner'!$A$10="☑",42&lt;='Resource Planner'!$N$10),'Resource Planner'!$F$10&amp;" "&amp;('Resource Planner'!$G$10+(42-1)*'Resource Planner'!$I$10)&amp;IF(('Resource Planner'!$G$10+(42-1)*'Resource Planner'!$I$10)=MIN('Resource Planner'!$G$10+42*'Resource Planner'!$I$10-1,'Resource Planner'!$H$10),"","–"&amp;MIN('Resource Planner'!$G$10+42*'Resource Planner'!$I$10-1,'Resource Planner'!$H$10)),"")</f>
        <v/>
      </c>
      <c r="G46" s="8" t="s">
        <v>109</v>
      </c>
      <c r="H46" s="8" t="str">
        <f>IF(AND('Resource Planner'!$A$10="☑",42&lt;='Resource Planner'!$N$10),'Resource Planner'!$M$10,"")</f>
        <v/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7" s="8" t="str">
        <f>IF(AND('Resource Planner'!$A$10="☑",43&lt;='Resource Planner'!$N$10),'Resource Planner'!$C$10,"")</f>
        <v/>
      </c>
      <c r="C47" s="8" t="str">
        <f>IF(AND('Resource Planner'!$A$10="☑",43&lt;='Resource Planner'!$N$10),'Resource Planner'!$B$10,"")</f>
        <v/>
      </c>
      <c r="D47" s="8" t="str">
        <f>IF(AND('Resource Planner'!$A$10="☑",43&lt;='Resource Planner'!$N$10),'Resource Planner'!$D$10,"")</f>
        <v/>
      </c>
      <c r="E47" s="8" t="str">
        <f>IF(AND('Resource Planner'!$A$10="☑",43&lt;='Resource Planner'!$N$10),'Resource Planner'!$E$10,"")</f>
        <v/>
      </c>
      <c r="F47" s="8" t="str">
        <f>IF(AND('Resource Planner'!$A$10="☑",43&lt;='Resource Planner'!$N$10),'Resource Planner'!$F$10&amp;" "&amp;('Resource Planner'!$G$10+(43-1)*'Resource Planner'!$I$10)&amp;IF(('Resource Planner'!$G$10+(43-1)*'Resource Planner'!$I$10)=MIN('Resource Planner'!$G$10+43*'Resource Planner'!$I$10-1,'Resource Planner'!$H$10),"","–"&amp;MIN('Resource Planner'!$G$10+43*'Resource Planner'!$I$10-1,'Resource Planner'!$H$10)),"")</f>
        <v/>
      </c>
      <c r="G47" s="8" t="s">
        <v>109</v>
      </c>
      <c r="H47" s="8" t="str">
        <f>IF(AND('Resource Planner'!$A$10="☑",43&lt;='Resource Planner'!$N$10),'Resource Planner'!$M$10,"")</f>
        <v/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8" s="8" t="str">
        <f>IF(AND('Resource Planner'!$A$10="☑",44&lt;='Resource Planner'!$N$10),'Resource Planner'!$C$10,"")</f>
        <v/>
      </c>
      <c r="C48" s="8" t="str">
        <f>IF(AND('Resource Planner'!$A$10="☑",44&lt;='Resource Planner'!$N$10),'Resource Planner'!$B$10,"")</f>
        <v/>
      </c>
      <c r="D48" s="8" t="str">
        <f>IF(AND('Resource Planner'!$A$10="☑",44&lt;='Resource Planner'!$N$10),'Resource Planner'!$D$10,"")</f>
        <v/>
      </c>
      <c r="E48" s="8" t="str">
        <f>IF(AND('Resource Planner'!$A$10="☑",44&lt;='Resource Planner'!$N$10),'Resource Planner'!$E$10,"")</f>
        <v/>
      </c>
      <c r="F48" s="8" t="str">
        <f>IF(AND('Resource Planner'!$A$10="☑",44&lt;='Resource Planner'!$N$10),'Resource Planner'!$F$10&amp;" "&amp;('Resource Planner'!$G$10+(44-1)*'Resource Planner'!$I$10)&amp;IF(('Resource Planner'!$G$10+(44-1)*'Resource Planner'!$I$10)=MIN('Resource Planner'!$G$10+44*'Resource Planner'!$I$10-1,'Resource Planner'!$H$10),"","–"&amp;MIN('Resource Planner'!$G$10+44*'Resource Planner'!$I$10-1,'Resource Planner'!$H$10)),"")</f>
        <v/>
      </c>
      <c r="G48" s="8" t="s">
        <v>109</v>
      </c>
      <c r="H48" s="8" t="str">
        <f>IF(AND('Resource Planner'!$A$10="☑",44&lt;='Resource Planner'!$N$10),'Resource Planner'!$M$10,"")</f>
        <v/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49" s="8" t="str">
        <f>IF(AND('Resource Planner'!$A$10="☑",45&lt;='Resource Planner'!$N$10),'Resource Planner'!$C$10,"")</f>
        <v/>
      </c>
      <c r="C49" s="8" t="str">
        <f>IF(AND('Resource Planner'!$A$10="☑",45&lt;='Resource Planner'!$N$10),'Resource Planner'!$B$10,"")</f>
        <v/>
      </c>
      <c r="D49" s="8" t="str">
        <f>IF(AND('Resource Planner'!$A$10="☑",45&lt;='Resource Planner'!$N$10),'Resource Planner'!$D$10,"")</f>
        <v/>
      </c>
      <c r="E49" s="8" t="str">
        <f>IF(AND('Resource Planner'!$A$10="☑",45&lt;='Resource Planner'!$N$10),'Resource Planner'!$E$10,"")</f>
        <v/>
      </c>
      <c r="F49" s="8" t="str">
        <f>IF(AND('Resource Planner'!$A$10="☑",45&lt;='Resource Planner'!$N$10),'Resource Planner'!$F$10&amp;" "&amp;('Resource Planner'!$G$10+(45-1)*'Resource Planner'!$I$10)&amp;IF(('Resource Planner'!$G$10+(45-1)*'Resource Planner'!$I$10)=MIN('Resource Planner'!$G$10+45*'Resource Planner'!$I$10-1,'Resource Planner'!$H$10),"","–"&amp;MIN('Resource Planner'!$G$10+45*'Resource Planner'!$I$10-1,'Resource Planner'!$H$10)),"")</f>
        <v/>
      </c>
      <c r="G49" s="8" t="s">
        <v>109</v>
      </c>
      <c r="H49" s="8" t="str">
        <f>IF(AND('Resource Planner'!$A$10="☑",45&lt;='Resource Planner'!$N$10),'Resource Planner'!$M$10,"")</f>
        <v/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50" s="8" t="str">
        <f>IF(AND('Resource Planner'!$A$10="☑",46&lt;='Resource Planner'!$N$10),'Resource Planner'!$C$10,"")</f>
        <v/>
      </c>
      <c r="C50" s="8" t="str">
        <f>IF(AND('Resource Planner'!$A$10="☑",46&lt;='Resource Planner'!$N$10),'Resource Planner'!$B$10,"")</f>
        <v/>
      </c>
      <c r="D50" s="8" t="str">
        <f>IF(AND('Resource Planner'!$A$10="☑",46&lt;='Resource Planner'!$N$10),'Resource Planner'!$D$10,"")</f>
        <v/>
      </c>
      <c r="E50" s="8" t="str">
        <f>IF(AND('Resource Planner'!$A$10="☑",46&lt;='Resource Planner'!$N$10),'Resource Planner'!$E$10,"")</f>
        <v/>
      </c>
      <c r="F50" s="8" t="str">
        <f>IF(AND('Resource Planner'!$A$10="☑",46&lt;='Resource Planner'!$N$10),'Resource Planner'!$F$10&amp;" "&amp;('Resource Planner'!$G$10+(46-1)*'Resource Planner'!$I$10)&amp;IF(('Resource Planner'!$G$10+(46-1)*'Resource Planner'!$I$10)=MIN('Resource Planner'!$G$10+46*'Resource Planner'!$I$10-1,'Resource Planner'!$H$10),"","–"&amp;MIN('Resource Planner'!$G$10+46*'Resource Planner'!$I$10-1,'Resource Planner'!$H$10)),"")</f>
        <v/>
      </c>
      <c r="G50" s="8" t="s">
        <v>109</v>
      </c>
      <c r="H50" s="8" t="str">
        <f>IF(AND('Resource Planner'!$A$10="☑",46&lt;='Resource Planner'!$N$10),'Resource Planner'!$M$10,"")</f>
        <v/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51" s="8" t="str">
        <f>IF(AND('Resource Planner'!$A$10="☑",47&lt;='Resource Planner'!$N$10),'Resource Planner'!$C$10,"")</f>
        <v/>
      </c>
      <c r="C51" s="8" t="str">
        <f>IF(AND('Resource Planner'!$A$10="☑",47&lt;='Resource Planner'!$N$10),'Resource Planner'!$B$10,"")</f>
        <v/>
      </c>
      <c r="D51" s="8" t="str">
        <f>IF(AND('Resource Planner'!$A$10="☑",47&lt;='Resource Planner'!$N$10),'Resource Planner'!$D$10,"")</f>
        <v/>
      </c>
      <c r="E51" s="8" t="str">
        <f>IF(AND('Resource Planner'!$A$10="☑",47&lt;='Resource Planner'!$N$10),'Resource Planner'!$E$10,"")</f>
        <v/>
      </c>
      <c r="F51" s="8" t="str">
        <f>IF(AND('Resource Planner'!$A$10="☑",47&lt;='Resource Planner'!$N$10),'Resource Planner'!$F$10&amp;" "&amp;('Resource Planner'!$G$10+(47-1)*'Resource Planner'!$I$10)&amp;IF(('Resource Planner'!$G$10+(47-1)*'Resource Planner'!$I$10)=MIN('Resource Planner'!$G$10+47*'Resource Planner'!$I$10-1,'Resource Planner'!$H$10),"","–"&amp;MIN('Resource Planner'!$G$10+47*'Resource Planner'!$I$10-1,'Resource Planner'!$H$10)),"")</f>
        <v/>
      </c>
      <c r="G51" s="8" t="s">
        <v>109</v>
      </c>
      <c r="H51" s="8" t="str">
        <f>IF(AND('Resource Planner'!$A$10="☑",47&lt;='Resource Planner'!$N$10),'Resource Planner'!$M$10,"")</f>
        <v/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52" s="8" t="str">
        <f>IF(AND('Resource Planner'!$A$10="☑",48&lt;='Resource Planner'!$N$10),'Resource Planner'!$C$10,"")</f>
        <v/>
      </c>
      <c r="C52" s="8" t="str">
        <f>IF(AND('Resource Planner'!$A$10="☑",48&lt;='Resource Planner'!$N$10),'Resource Planner'!$B$10,"")</f>
        <v/>
      </c>
      <c r="D52" s="8" t="str">
        <f>IF(AND('Resource Planner'!$A$10="☑",48&lt;='Resource Planner'!$N$10),'Resource Planner'!$D$10,"")</f>
        <v/>
      </c>
      <c r="E52" s="8" t="str">
        <f>IF(AND('Resource Planner'!$A$10="☑",48&lt;='Resource Planner'!$N$10),'Resource Planner'!$E$10,"")</f>
        <v/>
      </c>
      <c r="F52" s="8" t="str">
        <f>IF(AND('Resource Planner'!$A$10="☑",48&lt;='Resource Planner'!$N$10),'Resource Planner'!$F$10&amp;" "&amp;('Resource Planner'!$G$10+(48-1)*'Resource Planner'!$I$10)&amp;IF(('Resource Planner'!$G$10+(48-1)*'Resource Planner'!$I$10)=MIN('Resource Planner'!$G$10+48*'Resource Planner'!$I$10-1,'Resource Planner'!$H$10),"","–"&amp;MIN('Resource Planner'!$G$10+48*'Resource Planner'!$I$10-1,'Resource Planner'!$H$10)),"")</f>
        <v/>
      </c>
      <c r="G52" s="8" t="s">
        <v>109</v>
      </c>
      <c r="H52" s="8" t="str">
        <f>IF(AND('Resource Planner'!$A$10="☑",48&lt;='Resource Planner'!$N$10),'Resource Planner'!$M$10,"")</f>
        <v/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53" s="8" t="str">
        <f>IF(AND('Resource Planner'!$A$10="☑",49&lt;='Resource Planner'!$N$10),'Resource Planner'!$C$10,"")</f>
        <v/>
      </c>
      <c r="C53" s="8" t="str">
        <f>IF(AND('Resource Planner'!$A$10="☑",49&lt;='Resource Planner'!$N$10),'Resource Planner'!$B$10,"")</f>
        <v/>
      </c>
      <c r="D53" s="8" t="str">
        <f>IF(AND('Resource Planner'!$A$10="☑",49&lt;='Resource Planner'!$N$10),'Resource Planner'!$D$10,"")</f>
        <v/>
      </c>
      <c r="E53" s="8" t="str">
        <f>IF(AND('Resource Planner'!$A$10="☑",49&lt;='Resource Planner'!$N$10),'Resource Planner'!$E$10,"")</f>
        <v/>
      </c>
      <c r="F53" s="8" t="str">
        <f>IF(AND('Resource Planner'!$A$10="☑",49&lt;='Resource Planner'!$N$10),'Resource Planner'!$F$10&amp;" "&amp;('Resource Planner'!$G$10+(49-1)*'Resource Planner'!$I$10)&amp;IF(('Resource Planner'!$G$10+(49-1)*'Resource Planner'!$I$10)=MIN('Resource Planner'!$G$10+49*'Resource Planner'!$I$10-1,'Resource Planner'!$H$10),"","–"&amp;MIN('Resource Planner'!$G$10+49*'Resource Planner'!$I$10-1,'Resource Planner'!$H$10)),"")</f>
        <v/>
      </c>
      <c r="G53" s="8" t="s">
        <v>109</v>
      </c>
      <c r="H53" s="8" t="str">
        <f>IF(AND('Resource Planner'!$A$10="☑",49&lt;='Resource Planner'!$N$10),'Resource Planner'!$M$10,"")</f>
        <v/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450" t="str">
        <f>IFERROR(__xludf.DUMMYFUNCTION("IFERROR(LET(r,INT((ROW()-5)/50)+1,n,MOD(ROW()-5,50)+1,active,INDEX('Resource Planner'!$A$10:$A$69,r),who,INDEX('Resource Planner'!$C$10:$C$69,r),block,INDEX('Resource Planner'!$B$10:$B$69,r),lessons,INDEX('Resource Planner'!$N$10:$N$69,r),st,INDEX('Resour"&amp;"ce Planner'!$R$10:$R$69,r),pace,INDEX('Resource Planner'!$K$10:$K$69,r),gap,MAX(1,INDEX('Resource Planner'!$L$10:$L$69,r)),calDates,'School Calendar'!$A$44:$A$408,calSchool,'School Calendar'!$H$44:$H$408,calWeek,'School Calendar'!$J$44:$J$408,exam,'School"&amp;" Calendar'!$M$44:$M$408,useExam,'School Calendar'!$B$9=""Yes"",cap,SWITCH(pace,""1x/week"",1,""2x/week"",2,""3x/week"",3,""4x/week"",4,""Daily"",99,0),legacyDates,FILTER(calDates,(calSchool=TRUE)*(1-useExam*exam)),legacyStart,MIN(FILTER(legacyDates,legacy"&amp;"Dates&gt;=st)),legacyPos,MATCH(legacyStart,legacyDates,0),legacyOffset,SWITCH(pace,""Every other week"",10*(n-1),""Custom"",gap*(n-1),n-1),baseDates,FILTER(calDates,(calDates&gt;=st)*(calSchool=TRUE)*(1-useExam*exam)),available,MAP(baseDates,LAMBDA(d,IF(block="&amp;"""Outside / Co-op"",TRUE,IFERROR(INDEX('Helper Data'!$AF$5:$AJ$22,MATCH(who,'Helper Data'!$AD$5:$AD$22,0),MATCH(TEXT(d,""dddd""),'Helper Data'!$AF$4:$AJ$4,0)),FALSE)))),effDates,FILTER(baseDates,available),effWeeks,XLOOKUP(effDates,calDates,calWeek,""""),"&amp;"weekRank,MAP(effDates,LAMBDA(d,SUM((effDates&lt;=d)*(effWeeks=XLOOKUP(d,calDates,calWeek,""""))))),weeklySchedule,FILTER(effDates,weekRank&lt;=IF(cap=0,99,cap)),scheduled,IF(cap=0,INDEX(legacyDates,legacyPos+legacyOffset),IF(n&lt;=ROWS(weeklySchedule),INDEX(weekly"&amp;"Schedule,n),"""")),IF(AND(active=""☑"",n&lt;=lessons,st&lt;&gt;""""),scheduled,"""")),"""")"),"")</f>
        <v/>
      </c>
      <c r="B54" s="8" t="str">
        <f>IF(AND('Resource Planner'!$A$10="☑",50&lt;='Resource Planner'!$N$10),'Resource Planner'!$C$10,"")</f>
        <v/>
      </c>
      <c r="C54" s="8" t="str">
        <f>IF(AND('Resource Planner'!$A$10="☑",50&lt;='Resource Planner'!$N$10),'Resource Planner'!$B$10,"")</f>
        <v/>
      </c>
      <c r="D54" s="8" t="str">
        <f>IF(AND('Resource Planner'!$A$10="☑",50&lt;='Resource Planner'!$N$10),'Resource Planner'!$D$10,"")</f>
        <v/>
      </c>
      <c r="E54" s="8" t="str">
        <f>IF(AND('Resource Planner'!$A$10="☑",50&lt;='Resource Planner'!$N$10),'Resource Planner'!$E$10,"")</f>
        <v/>
      </c>
      <c r="F54" s="8" t="str">
        <f>IF(AND('Resource Planner'!$A$10="☑",50&lt;='Resource Planner'!$N$10),'Resource Planner'!$F$10&amp;" "&amp;('Resource Planner'!$G$10+(50-1)*'Resource Planner'!$I$10)&amp;IF(('Resource Planner'!$G$10+(50-1)*'Resource Planner'!$I$10)=MIN('Resource Planner'!$G$10+50*'Resource Planner'!$I$10-1,'Resource Planner'!$H$10),"","–"&amp;MIN('Resource Planner'!$G$10+50*'Resource Planner'!$I$10-1,'Resource Planner'!$H$10)),"")</f>
        <v/>
      </c>
      <c r="G54" s="8" t="s">
        <v>109</v>
      </c>
      <c r="H54" s="8" t="str">
        <f>IF(AND('Resource Planner'!$A$10="☑",50&lt;='Resource Planner'!$N$10),'Resource Planner'!$M$10,"")</f>
        <v/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week"",10*(n-1),""Custom"",gap*(n-1),n-1),IF(AND(active=""☑"",n&lt;=lessons,st&lt;&gt;""""),INDEX(eligibleDates,startPos+offset),"""")),"""")"),46251.0)</f>
        <v>46251</v>
      </c>
      <c r="B55" s="451" t="str">
        <f>IF(AND('Resource Planner'!$A$11="☑",1&lt;='Resource Planner'!$N$11),'Resource Planner'!$C$11,"")</f>
        <v>Little Girls</v>
      </c>
      <c r="C55" s="451" t="str">
        <f>IF(AND('Resource Planner'!$A$11="☑",1&lt;='Resource Planner'!$N$11),'Resource Planner'!$B$11,"")</f>
        <v>Hands + Beauty Loop</v>
      </c>
      <c r="D55" s="451" t="str">
        <f>IF(AND('Resource Planner'!$A$11="☑",1&lt;='Resource Planner'!$N$11),'Resource Planner'!$D$11,"")</f>
        <v>All Together / Science / Nature — Nature Walk</v>
      </c>
      <c r="E55" s="451" t="str">
        <f>IF(AND('Resource Planner'!$A$11="☑",1&lt;='Resource Planner'!$N$11),'Resource Planner'!$E$11,"")</f>
        <v>Nature Reader</v>
      </c>
      <c r="F55" s="8" t="str">
        <f>IF(AND('Resource Planner'!$A$11="☑",1&lt;='Resource Planner'!$N$11),'Resource Planner'!$F$11&amp;" "&amp;('Resource Planner'!$G$11+(1-1)*'Resource Planner'!$I$11)&amp;IF(('Resource Planner'!$G$11+(1-1)*'Resource Planner'!$I$11)=MIN('Resource Planner'!$G$11+1*'Resource Planner'!$I$11-1,'Resource Planner'!$H$11),"","–"&amp;MIN('Resource Planner'!$G$11+1*'Resource Planner'!$I$11-1,'Resource Planner'!$H$11)),"")</f>
        <v>Chapter 1</v>
      </c>
      <c r="G55" s="8" t="s">
        <v>109</v>
      </c>
      <c r="H55" s="451" t="str">
        <f>IF(AND('Resource Planner'!$A$11="☑",1&lt;='Resource Planner'!$N$11),'Resource Planner'!$M$11,"")</f>
        <v>sample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week"",10*(n-1),""Custom"",gap*(n-1),n-1),IF(AND(active=""☑"",n&lt;=lessons,st&lt;&gt;""""),INDEX(eligibleDates,startPos+offset),"""")),"""")"),46258.0)</f>
        <v>46258</v>
      </c>
      <c r="B56" s="451" t="str">
        <f>IF(AND('Resource Planner'!$A$11="☑",2&lt;='Resource Planner'!$N$11),'Resource Planner'!$C$11,"")</f>
        <v>Little Girls</v>
      </c>
      <c r="C56" s="451" t="str">
        <f>IF(AND('Resource Planner'!$A$11="☑",2&lt;='Resource Planner'!$N$11),'Resource Planner'!$B$11,"")</f>
        <v>Hands + Beauty Loop</v>
      </c>
      <c r="D56" s="451" t="str">
        <f>IF(AND('Resource Planner'!$A$11="☑",2&lt;='Resource Planner'!$N$11),'Resource Planner'!$D$11,"")</f>
        <v>All Together / Science / Nature — Nature Walk</v>
      </c>
      <c r="E56" s="451" t="str">
        <f>IF(AND('Resource Planner'!$A$11="☑",2&lt;='Resource Planner'!$N$11),'Resource Planner'!$E$11,"")</f>
        <v>Nature Reader</v>
      </c>
      <c r="F56" s="8" t="str">
        <f>IF(AND('Resource Planner'!$A$11="☑",2&lt;='Resource Planner'!$N$11),'Resource Planner'!$F$11&amp;" "&amp;('Resource Planner'!$G$11+(2-1)*'Resource Planner'!$I$11)&amp;IF(('Resource Planner'!$G$11+(2-1)*'Resource Planner'!$I$11)=MIN('Resource Planner'!$G$11+2*'Resource Planner'!$I$11-1,'Resource Planner'!$H$11),"","–"&amp;MIN('Resource Planner'!$G$11+2*'Resource Planner'!$I$11-1,'Resource Planner'!$H$11)),"")</f>
        <v>Chapter 2</v>
      </c>
      <c r="G56" s="8" t="s">
        <v>109</v>
      </c>
      <c r="H56" s="451" t="str">
        <f>IF(AND('Resource Planner'!$A$11="☑",2&lt;='Resource Planner'!$N$11),'Resource Planner'!$M$11,"")</f>
        <v>sample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week"",10*(n-1),""Custom"",gap*(n-1),n-1),IF(AND(active=""☑"",n&lt;=lessons,st&lt;&gt;""""),INDEX(eligibleDates,startPos+offset),"""")),"""")"),46265.0)</f>
        <v>46265</v>
      </c>
      <c r="B57" s="451" t="str">
        <f>IF(AND('Resource Planner'!$A$11="☑",3&lt;='Resource Planner'!$N$11),'Resource Planner'!$C$11,"")</f>
        <v>Little Girls</v>
      </c>
      <c r="C57" s="451" t="str">
        <f>IF(AND('Resource Planner'!$A$11="☑",3&lt;='Resource Planner'!$N$11),'Resource Planner'!$B$11,"")</f>
        <v>Hands + Beauty Loop</v>
      </c>
      <c r="D57" s="451" t="str">
        <f>IF(AND('Resource Planner'!$A$11="☑",3&lt;='Resource Planner'!$N$11),'Resource Planner'!$D$11,"")</f>
        <v>All Together / Science / Nature — Nature Walk</v>
      </c>
      <c r="E57" s="451" t="str">
        <f>IF(AND('Resource Planner'!$A$11="☑",3&lt;='Resource Planner'!$N$11),'Resource Planner'!$E$11,"")</f>
        <v>Nature Reader</v>
      </c>
      <c r="F57" s="8" t="str">
        <f>IF(AND('Resource Planner'!$A$11="☑",3&lt;='Resource Planner'!$N$11),'Resource Planner'!$F$11&amp;" "&amp;('Resource Planner'!$G$11+(3-1)*'Resource Planner'!$I$11)&amp;IF(('Resource Planner'!$G$11+(3-1)*'Resource Planner'!$I$11)=MIN('Resource Planner'!$G$11+3*'Resource Planner'!$I$11-1,'Resource Planner'!$H$11),"","–"&amp;MIN('Resource Planner'!$G$11+3*'Resource Planner'!$I$11-1,'Resource Planner'!$H$11)),"")</f>
        <v>Chapter 3</v>
      </c>
      <c r="G57" s="8" t="s">
        <v>109</v>
      </c>
      <c r="H57" s="451" t="str">
        <f>IF(AND('Resource Planner'!$A$11="☑",3&lt;='Resource Planner'!$N$11),'Resource Planner'!$M$11,"")</f>
        <v>sample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week"",10*(n-1),""Custom"",gap*(n-1),n-1),IF(AND(active=""☑"",n&lt;=lessons,st&lt;&gt;""""),INDEX(eligibleDates,startPos+offset),"""")),"""")"),46272.0)</f>
        <v>46272</v>
      </c>
      <c r="B58" s="451" t="str">
        <f>IF(AND('Resource Planner'!$A$11="☑",4&lt;='Resource Planner'!$N$11),'Resource Planner'!$C$11,"")</f>
        <v>Little Girls</v>
      </c>
      <c r="C58" s="451" t="str">
        <f>IF(AND('Resource Planner'!$A$11="☑",4&lt;='Resource Planner'!$N$11),'Resource Planner'!$B$11,"")</f>
        <v>Hands + Beauty Loop</v>
      </c>
      <c r="D58" s="451" t="str">
        <f>IF(AND('Resource Planner'!$A$11="☑",4&lt;='Resource Planner'!$N$11),'Resource Planner'!$D$11,"")</f>
        <v>All Together / Science / Nature — Nature Walk</v>
      </c>
      <c r="E58" s="451" t="str">
        <f>IF(AND('Resource Planner'!$A$11="☑",4&lt;='Resource Planner'!$N$11),'Resource Planner'!$E$11,"")</f>
        <v>Nature Reader</v>
      </c>
      <c r="F58" s="8" t="str">
        <f>IF(AND('Resource Planner'!$A$11="☑",4&lt;='Resource Planner'!$N$11),'Resource Planner'!$F$11&amp;" "&amp;('Resource Planner'!$G$11+(4-1)*'Resource Planner'!$I$11)&amp;IF(('Resource Planner'!$G$11+(4-1)*'Resource Planner'!$I$11)=MIN('Resource Planner'!$G$11+4*'Resource Planner'!$I$11-1,'Resource Planner'!$H$11),"","–"&amp;MIN('Resource Planner'!$G$11+4*'Resource Planner'!$I$11-1,'Resource Planner'!$H$11)),"")</f>
        <v>Chapter 4</v>
      </c>
      <c r="G58" s="8" t="s">
        <v>109</v>
      </c>
      <c r="H58" s="451" t="str">
        <f>IF(AND('Resource Planner'!$A$11="☑",4&lt;='Resource Planner'!$N$11),'Resource Planner'!$M$11,"")</f>
        <v>sample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week"",10*(n-1),""Custom"",gap*(n-1),n-1),IF(AND(active=""☑"",n&lt;=lessons,st&lt;&gt;""""),INDEX(eligibleDates,startPos+offset),"""")),"""")"),46279.0)</f>
        <v>46279</v>
      </c>
      <c r="B59" s="451" t="str">
        <f>IF(AND('Resource Planner'!$A$11="☑",5&lt;='Resource Planner'!$N$11),'Resource Planner'!$C$11,"")</f>
        <v>Little Girls</v>
      </c>
      <c r="C59" s="451" t="str">
        <f>IF(AND('Resource Planner'!$A$11="☑",5&lt;='Resource Planner'!$N$11),'Resource Planner'!$B$11,"")</f>
        <v>Hands + Beauty Loop</v>
      </c>
      <c r="D59" s="451" t="str">
        <f>IF(AND('Resource Planner'!$A$11="☑",5&lt;='Resource Planner'!$N$11),'Resource Planner'!$D$11,"")</f>
        <v>All Together / Science / Nature — Nature Walk</v>
      </c>
      <c r="E59" s="451" t="str">
        <f>IF(AND('Resource Planner'!$A$11="☑",5&lt;='Resource Planner'!$N$11),'Resource Planner'!$E$11,"")</f>
        <v>Nature Reader</v>
      </c>
      <c r="F59" s="8" t="str">
        <f>IF(AND('Resource Planner'!$A$11="☑",5&lt;='Resource Planner'!$N$11),'Resource Planner'!$F$11&amp;" "&amp;('Resource Planner'!$G$11+(5-1)*'Resource Planner'!$I$11)&amp;IF(('Resource Planner'!$G$11+(5-1)*'Resource Planner'!$I$11)=MIN('Resource Planner'!$G$11+5*'Resource Planner'!$I$11-1,'Resource Planner'!$H$11),"","–"&amp;MIN('Resource Planner'!$G$11+5*'Resource Planner'!$I$11-1,'Resource Planner'!$H$11)),"")</f>
        <v>Chapter 5</v>
      </c>
      <c r="G59" s="8" t="s">
        <v>109</v>
      </c>
      <c r="H59" s="451" t="str">
        <f>IF(AND('Resource Planner'!$A$11="☑",5&lt;='Resource Planner'!$N$11),'Resource Planner'!$M$11,"")</f>
        <v>sample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week"",10*(n-1),""Custom"",gap*(n-1),n-1),IF(AND(active=""☑"",n&lt;=lessons,st&lt;&gt;""""),INDEX(eligibleDates,startPos+offset),"""")),"""")"),46286.0)</f>
        <v>46286</v>
      </c>
      <c r="B60" s="451" t="str">
        <f>IF(AND('Resource Planner'!$A$11="☑",6&lt;='Resource Planner'!$N$11),'Resource Planner'!$C$11,"")</f>
        <v>Little Girls</v>
      </c>
      <c r="C60" s="451" t="str">
        <f>IF(AND('Resource Planner'!$A$11="☑",6&lt;='Resource Planner'!$N$11),'Resource Planner'!$B$11,"")</f>
        <v>Hands + Beauty Loop</v>
      </c>
      <c r="D60" s="451" t="str">
        <f>IF(AND('Resource Planner'!$A$11="☑",6&lt;='Resource Planner'!$N$11),'Resource Planner'!$D$11,"")</f>
        <v>All Together / Science / Nature — Nature Walk</v>
      </c>
      <c r="E60" s="451" t="str">
        <f>IF(AND('Resource Planner'!$A$11="☑",6&lt;='Resource Planner'!$N$11),'Resource Planner'!$E$11,"")</f>
        <v>Nature Reader</v>
      </c>
      <c r="F60" s="8" t="str">
        <f>IF(AND('Resource Planner'!$A$11="☑",6&lt;='Resource Planner'!$N$11),'Resource Planner'!$F$11&amp;" "&amp;('Resource Planner'!$G$11+(6-1)*'Resource Planner'!$I$11)&amp;IF(('Resource Planner'!$G$11+(6-1)*'Resource Planner'!$I$11)=MIN('Resource Planner'!$G$11+6*'Resource Planner'!$I$11-1,'Resource Planner'!$H$11),"","–"&amp;MIN('Resource Planner'!$G$11+6*'Resource Planner'!$I$11-1,'Resource Planner'!$H$11)),"")</f>
        <v>Chapter 6</v>
      </c>
      <c r="G60" s="8" t="s">
        <v>109</v>
      </c>
      <c r="H60" s="451" t="str">
        <f>IF(AND('Resource Planner'!$A$11="☑",6&lt;='Resource Planner'!$N$11),'Resource Planner'!$M$11,"")</f>
        <v>sample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week"",10*(n-1),""Custom"",gap*(n-1),n-1),IF(AND(active=""☑"",n&lt;=lessons,st&lt;&gt;""""),INDEX(eligibleDates,startPos+offset),"""")),"""")"),46293.0)</f>
        <v>46293</v>
      </c>
      <c r="B61" s="451" t="str">
        <f>IF(AND('Resource Planner'!$A$11="☑",7&lt;='Resource Planner'!$N$11),'Resource Planner'!$C$11,"")</f>
        <v>Little Girls</v>
      </c>
      <c r="C61" s="451" t="str">
        <f>IF(AND('Resource Planner'!$A$11="☑",7&lt;='Resource Planner'!$N$11),'Resource Planner'!$B$11,"")</f>
        <v>Hands + Beauty Loop</v>
      </c>
      <c r="D61" s="451" t="str">
        <f>IF(AND('Resource Planner'!$A$11="☑",7&lt;='Resource Planner'!$N$11),'Resource Planner'!$D$11,"")</f>
        <v>All Together / Science / Nature — Nature Walk</v>
      </c>
      <c r="E61" s="451" t="str">
        <f>IF(AND('Resource Planner'!$A$11="☑",7&lt;='Resource Planner'!$N$11),'Resource Planner'!$E$11,"")</f>
        <v>Nature Reader</v>
      </c>
      <c r="F61" s="8" t="str">
        <f>IF(AND('Resource Planner'!$A$11="☑",7&lt;='Resource Planner'!$N$11),'Resource Planner'!$F$11&amp;" "&amp;('Resource Planner'!$G$11+(7-1)*'Resource Planner'!$I$11)&amp;IF(('Resource Planner'!$G$11+(7-1)*'Resource Planner'!$I$11)=MIN('Resource Planner'!$G$11+7*'Resource Planner'!$I$11-1,'Resource Planner'!$H$11),"","–"&amp;MIN('Resource Planner'!$G$11+7*'Resource Planner'!$I$11-1,'Resource Planner'!$H$11)),"")</f>
        <v>Chapter 7</v>
      </c>
      <c r="G61" s="8" t="s">
        <v>109</v>
      </c>
      <c r="H61" s="451" t="str">
        <f>IF(AND('Resource Planner'!$A$11="☑",7&lt;='Resource Planner'!$N$11),'Resource Planner'!$M$11,"")</f>
        <v>sample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week"",10*(n-1),""Custom"",gap*(n-1),n-1),IF(AND(active=""☑"",n&lt;=lessons,st&lt;&gt;""""),INDEX(eligibleDates,startPos+offset),"""")),"""")"),46300.0)</f>
        <v>46300</v>
      </c>
      <c r="B62" s="451" t="str">
        <f>IF(AND('Resource Planner'!$A$11="☑",8&lt;='Resource Planner'!$N$11),'Resource Planner'!$C$11,"")</f>
        <v>Little Girls</v>
      </c>
      <c r="C62" s="451" t="str">
        <f>IF(AND('Resource Planner'!$A$11="☑",8&lt;='Resource Planner'!$N$11),'Resource Planner'!$B$11,"")</f>
        <v>Hands + Beauty Loop</v>
      </c>
      <c r="D62" s="451" t="str">
        <f>IF(AND('Resource Planner'!$A$11="☑",8&lt;='Resource Planner'!$N$11),'Resource Planner'!$D$11,"")</f>
        <v>All Together / Science / Nature — Nature Walk</v>
      </c>
      <c r="E62" s="451" t="str">
        <f>IF(AND('Resource Planner'!$A$11="☑",8&lt;='Resource Planner'!$N$11),'Resource Planner'!$E$11,"")</f>
        <v>Nature Reader</v>
      </c>
      <c r="F62" s="8" t="str">
        <f>IF(AND('Resource Planner'!$A$11="☑",8&lt;='Resource Planner'!$N$11),'Resource Planner'!$F$11&amp;" "&amp;('Resource Planner'!$G$11+(8-1)*'Resource Planner'!$I$11)&amp;IF(('Resource Planner'!$G$11+(8-1)*'Resource Planner'!$I$11)=MIN('Resource Planner'!$G$11+8*'Resource Planner'!$I$11-1,'Resource Planner'!$H$11),"","–"&amp;MIN('Resource Planner'!$G$11+8*'Resource Planner'!$I$11-1,'Resource Planner'!$H$11)),"")</f>
        <v>Chapter 8</v>
      </c>
      <c r="G62" s="8" t="s">
        <v>109</v>
      </c>
      <c r="H62" s="451" t="str">
        <f>IF(AND('Resource Planner'!$A$11="☑",8&lt;='Resource Planner'!$N$11),'Resource Planner'!$M$11,"")</f>
        <v>sample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week"",10*(n-1),""Custom"",gap*(n-1),n-1),IF(AND(active=""☑"",n&lt;=lessons,st&lt;&gt;""""),INDEX(eligibleDates,startPos+offset),"""")),"""")"),46307.0)</f>
        <v>46307</v>
      </c>
      <c r="B63" s="451" t="str">
        <f>IF(AND('Resource Planner'!$A$11="☑",9&lt;='Resource Planner'!$N$11),'Resource Planner'!$C$11,"")</f>
        <v>Little Girls</v>
      </c>
      <c r="C63" s="451" t="str">
        <f>IF(AND('Resource Planner'!$A$11="☑",9&lt;='Resource Planner'!$N$11),'Resource Planner'!$B$11,"")</f>
        <v>Hands + Beauty Loop</v>
      </c>
      <c r="D63" s="451" t="str">
        <f>IF(AND('Resource Planner'!$A$11="☑",9&lt;='Resource Planner'!$N$11),'Resource Planner'!$D$11,"")</f>
        <v>All Together / Science / Nature — Nature Walk</v>
      </c>
      <c r="E63" s="451" t="str">
        <f>IF(AND('Resource Planner'!$A$11="☑",9&lt;='Resource Planner'!$N$11),'Resource Planner'!$E$11,"")</f>
        <v>Nature Reader</v>
      </c>
      <c r="F63" s="8" t="str">
        <f>IF(AND('Resource Planner'!$A$11="☑",9&lt;='Resource Planner'!$N$11),'Resource Planner'!$F$11&amp;" "&amp;('Resource Planner'!$G$11+(9-1)*'Resource Planner'!$I$11)&amp;IF(('Resource Planner'!$G$11+(9-1)*'Resource Planner'!$I$11)=MIN('Resource Planner'!$G$11+9*'Resource Planner'!$I$11-1,'Resource Planner'!$H$11),"","–"&amp;MIN('Resource Planner'!$G$11+9*'Resource Planner'!$I$11-1,'Resource Planner'!$H$11)),"")</f>
        <v>Chapter 9</v>
      </c>
      <c r="G63" s="8" t="s">
        <v>109</v>
      </c>
      <c r="H63" s="451" t="str">
        <f>IF(AND('Resource Planner'!$A$11="☑",9&lt;='Resource Planner'!$N$11),'Resource Planner'!$M$11,"")</f>
        <v>sample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week"",10*(n-1),""Custom"",gap*(n-1),n-1),IF(AND(active=""☑"",n&lt;=lessons,st&lt;&gt;""""),INDEX(eligibleDates,startPos+offset),"""")),"""")"),46314.0)</f>
        <v>46314</v>
      </c>
      <c r="B64" s="451" t="str">
        <f>IF(AND('Resource Planner'!$A$11="☑",10&lt;='Resource Planner'!$N$11),'Resource Planner'!$C$11,"")</f>
        <v>Little Girls</v>
      </c>
      <c r="C64" s="451" t="str">
        <f>IF(AND('Resource Planner'!$A$11="☑",10&lt;='Resource Planner'!$N$11),'Resource Planner'!$B$11,"")</f>
        <v>Hands + Beauty Loop</v>
      </c>
      <c r="D64" s="451" t="str">
        <f>IF(AND('Resource Planner'!$A$11="☑",10&lt;='Resource Planner'!$N$11),'Resource Planner'!$D$11,"")</f>
        <v>All Together / Science / Nature — Nature Walk</v>
      </c>
      <c r="E64" s="451" t="str">
        <f>IF(AND('Resource Planner'!$A$11="☑",10&lt;='Resource Planner'!$N$11),'Resource Planner'!$E$11,"")</f>
        <v>Nature Reader</v>
      </c>
      <c r="F64" s="8" t="str">
        <f>IF(AND('Resource Planner'!$A$11="☑",10&lt;='Resource Planner'!$N$11),'Resource Planner'!$F$11&amp;" "&amp;('Resource Planner'!$G$11+(10-1)*'Resource Planner'!$I$11)&amp;IF(('Resource Planner'!$G$11+(10-1)*'Resource Planner'!$I$11)=MIN('Resource Planner'!$G$11+10*'Resource Planner'!$I$11-1,'Resource Planner'!$H$11),"","–"&amp;MIN('Resource Planner'!$G$11+10*'Resource Planner'!$I$11-1,'Resource Planner'!$H$11)),"")</f>
        <v>Chapter 10</v>
      </c>
      <c r="G64" s="8" t="s">
        <v>109</v>
      </c>
      <c r="H64" s="451" t="str">
        <f>IF(AND('Resource Planner'!$A$11="☑",10&lt;='Resource Planner'!$N$11),'Resource Planner'!$M$11,"")</f>
        <v>sample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week"",10*(n-1),""Custom"",gap*(n-1),n-1),IF(AND(active=""☑"",n&lt;=lessons,st&lt;&gt;""""),INDEX(eligibleDates,startPos+offset),"""")),"""")"),46328.0)</f>
        <v>46328</v>
      </c>
      <c r="B65" s="451" t="str">
        <f>IF(AND('Resource Planner'!$A$11="☑",11&lt;='Resource Planner'!$N$11),'Resource Planner'!$C$11,"")</f>
        <v>Little Girls</v>
      </c>
      <c r="C65" s="451" t="str">
        <f>IF(AND('Resource Planner'!$A$11="☑",11&lt;='Resource Planner'!$N$11),'Resource Planner'!$B$11,"")</f>
        <v>Hands + Beauty Loop</v>
      </c>
      <c r="D65" s="451" t="str">
        <f>IF(AND('Resource Planner'!$A$11="☑",11&lt;='Resource Planner'!$N$11),'Resource Planner'!$D$11,"")</f>
        <v>All Together / Science / Nature — Nature Walk</v>
      </c>
      <c r="E65" s="451" t="str">
        <f>IF(AND('Resource Planner'!$A$11="☑",11&lt;='Resource Planner'!$N$11),'Resource Planner'!$E$11,"")</f>
        <v>Nature Reader</v>
      </c>
      <c r="F65" s="8" t="str">
        <f>IF(AND('Resource Planner'!$A$11="☑",11&lt;='Resource Planner'!$N$11),'Resource Planner'!$F$11&amp;" "&amp;('Resource Planner'!$G$11+(11-1)*'Resource Planner'!$I$11)&amp;IF(('Resource Planner'!$G$11+(11-1)*'Resource Planner'!$I$11)=MIN('Resource Planner'!$G$11+11*'Resource Planner'!$I$11-1,'Resource Planner'!$H$11),"","–"&amp;MIN('Resource Planner'!$G$11+11*'Resource Planner'!$I$11-1,'Resource Planner'!$H$11)),"")</f>
        <v>Chapter 11</v>
      </c>
      <c r="G65" s="8" t="s">
        <v>109</v>
      </c>
      <c r="H65" s="451" t="str">
        <f>IF(AND('Resource Planner'!$A$11="☑",11&lt;='Resource Planner'!$N$11),'Resource Planner'!$M$11,"")</f>
        <v>sample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week"",10*(n-1),""Custom"",gap*(n-1),n-1),IF(AND(active=""☑"",n&lt;=lessons,st&lt;&gt;""""),INDEX(eligibleDates,startPos+offset),"""")),"""")"),46335.0)</f>
        <v>46335</v>
      </c>
      <c r="B66" s="451" t="str">
        <f>IF(AND('Resource Planner'!$A$11="☑",12&lt;='Resource Planner'!$N$11),'Resource Planner'!$C$11,"")</f>
        <v>Little Girls</v>
      </c>
      <c r="C66" s="451" t="str">
        <f>IF(AND('Resource Planner'!$A$11="☑",12&lt;='Resource Planner'!$N$11),'Resource Planner'!$B$11,"")</f>
        <v>Hands + Beauty Loop</v>
      </c>
      <c r="D66" s="451" t="str">
        <f>IF(AND('Resource Planner'!$A$11="☑",12&lt;='Resource Planner'!$N$11),'Resource Planner'!$D$11,"")</f>
        <v>All Together / Science / Nature — Nature Walk</v>
      </c>
      <c r="E66" s="451" t="str">
        <f>IF(AND('Resource Planner'!$A$11="☑",12&lt;='Resource Planner'!$N$11),'Resource Planner'!$E$11,"")</f>
        <v>Nature Reader</v>
      </c>
      <c r="F66" s="8" t="str">
        <f>IF(AND('Resource Planner'!$A$11="☑",12&lt;='Resource Planner'!$N$11),'Resource Planner'!$F$11&amp;" "&amp;('Resource Planner'!$G$11+(12-1)*'Resource Planner'!$I$11)&amp;IF(('Resource Planner'!$G$11+(12-1)*'Resource Planner'!$I$11)=MIN('Resource Planner'!$G$11+12*'Resource Planner'!$I$11-1,'Resource Planner'!$H$11),"","–"&amp;MIN('Resource Planner'!$G$11+12*'Resource Planner'!$I$11-1,'Resource Planner'!$H$11)),"")</f>
        <v>Chapter 12</v>
      </c>
      <c r="G66" s="8" t="s">
        <v>109</v>
      </c>
      <c r="H66" s="451" t="str">
        <f>IF(AND('Resource Planner'!$A$11="☑",12&lt;='Resource Planner'!$N$11),'Resource Planner'!$M$11,"")</f>
        <v>sample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" s="8" t="str">
        <f>IF(AND('Resource Planner'!$A$11="☑",13&lt;='Resource Planner'!$N$11),'Resource Planner'!$C$11,"")</f>
        <v/>
      </c>
      <c r="C67" s="8" t="str">
        <f>IF(AND('Resource Planner'!$A$11="☑",13&lt;='Resource Planner'!$N$11),'Resource Planner'!$B$11,"")</f>
        <v/>
      </c>
      <c r="D67" s="8" t="str">
        <f>IF(AND('Resource Planner'!$A$11="☑",13&lt;='Resource Planner'!$N$11),'Resource Planner'!$D$11,"")</f>
        <v/>
      </c>
      <c r="E67" s="8" t="str">
        <f>IF(AND('Resource Planner'!$A$11="☑",13&lt;='Resource Planner'!$N$11),'Resource Planner'!$E$11,"")</f>
        <v/>
      </c>
      <c r="F67" s="8" t="str">
        <f>IF(AND('Resource Planner'!$A$11="☑",13&lt;='Resource Planner'!$N$11),'Resource Planner'!$F$11&amp;" "&amp;('Resource Planner'!$G$11+(13-1)*'Resource Planner'!$I$11)&amp;IF(('Resource Planner'!$G$11+(13-1)*'Resource Planner'!$I$11)=MIN('Resource Planner'!$G$11+13*'Resource Planner'!$I$11-1,'Resource Planner'!$H$11),"","–"&amp;MIN('Resource Planner'!$G$11+13*'Resource Planner'!$I$11-1,'Resource Planner'!$H$11)),"")</f>
        <v/>
      </c>
      <c r="G67" s="8" t="s">
        <v>109</v>
      </c>
      <c r="H67" s="8" t="str">
        <f>IF(AND('Resource Planner'!$A$11="☑",13&lt;='Resource Planner'!$N$11),'Resource Planner'!$M$11,"")</f>
        <v/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" s="8" t="str">
        <f>IF(AND('Resource Planner'!$A$11="☑",14&lt;='Resource Planner'!$N$11),'Resource Planner'!$C$11,"")</f>
        <v/>
      </c>
      <c r="C68" s="8" t="str">
        <f>IF(AND('Resource Planner'!$A$11="☑",14&lt;='Resource Planner'!$N$11),'Resource Planner'!$B$11,"")</f>
        <v/>
      </c>
      <c r="D68" s="8" t="str">
        <f>IF(AND('Resource Planner'!$A$11="☑",14&lt;='Resource Planner'!$N$11),'Resource Planner'!$D$11,"")</f>
        <v/>
      </c>
      <c r="E68" s="8" t="str">
        <f>IF(AND('Resource Planner'!$A$11="☑",14&lt;='Resource Planner'!$N$11),'Resource Planner'!$E$11,"")</f>
        <v/>
      </c>
      <c r="F68" s="8" t="str">
        <f>IF(AND('Resource Planner'!$A$11="☑",14&lt;='Resource Planner'!$N$11),'Resource Planner'!$F$11&amp;" "&amp;('Resource Planner'!$G$11+(14-1)*'Resource Planner'!$I$11)&amp;IF(('Resource Planner'!$G$11+(14-1)*'Resource Planner'!$I$11)=MIN('Resource Planner'!$G$11+14*'Resource Planner'!$I$11-1,'Resource Planner'!$H$11),"","–"&amp;MIN('Resource Planner'!$G$11+14*'Resource Planner'!$I$11-1,'Resource Planner'!$H$11)),"")</f>
        <v/>
      </c>
      <c r="G68" s="8" t="s">
        <v>109</v>
      </c>
      <c r="H68" s="8" t="str">
        <f>IF(AND('Resource Planner'!$A$11="☑",14&lt;='Resource Planner'!$N$11),'Resource Planner'!$M$11,"")</f>
        <v/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" s="8" t="str">
        <f>IF(AND('Resource Planner'!$A$11="☑",15&lt;='Resource Planner'!$N$11),'Resource Planner'!$C$11,"")</f>
        <v/>
      </c>
      <c r="C69" s="8" t="str">
        <f>IF(AND('Resource Planner'!$A$11="☑",15&lt;='Resource Planner'!$N$11),'Resource Planner'!$B$11,"")</f>
        <v/>
      </c>
      <c r="D69" s="8" t="str">
        <f>IF(AND('Resource Planner'!$A$11="☑",15&lt;='Resource Planner'!$N$11),'Resource Planner'!$D$11,"")</f>
        <v/>
      </c>
      <c r="E69" s="8" t="str">
        <f>IF(AND('Resource Planner'!$A$11="☑",15&lt;='Resource Planner'!$N$11),'Resource Planner'!$E$11,"")</f>
        <v/>
      </c>
      <c r="F69" s="8" t="str">
        <f>IF(AND('Resource Planner'!$A$11="☑",15&lt;='Resource Planner'!$N$11),'Resource Planner'!$F$11&amp;" "&amp;('Resource Planner'!$G$11+(15-1)*'Resource Planner'!$I$11)&amp;IF(('Resource Planner'!$G$11+(15-1)*'Resource Planner'!$I$11)=MIN('Resource Planner'!$G$11+15*'Resource Planner'!$I$11-1,'Resource Planner'!$H$11),"","–"&amp;MIN('Resource Planner'!$G$11+15*'Resource Planner'!$I$11-1,'Resource Planner'!$H$11)),"")</f>
        <v/>
      </c>
      <c r="G69" s="8" t="s">
        <v>109</v>
      </c>
      <c r="H69" s="8" t="str">
        <f>IF(AND('Resource Planner'!$A$11="☑",15&lt;='Resource Planner'!$N$11),'Resource Planner'!$M$11,"")</f>
        <v/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" s="8" t="str">
        <f>IF(AND('Resource Planner'!$A$11="☑",16&lt;='Resource Planner'!$N$11),'Resource Planner'!$C$11,"")</f>
        <v/>
      </c>
      <c r="C70" s="8" t="str">
        <f>IF(AND('Resource Planner'!$A$11="☑",16&lt;='Resource Planner'!$N$11),'Resource Planner'!$B$11,"")</f>
        <v/>
      </c>
      <c r="D70" s="8" t="str">
        <f>IF(AND('Resource Planner'!$A$11="☑",16&lt;='Resource Planner'!$N$11),'Resource Planner'!$D$11,"")</f>
        <v/>
      </c>
      <c r="E70" s="8" t="str">
        <f>IF(AND('Resource Planner'!$A$11="☑",16&lt;='Resource Planner'!$N$11),'Resource Planner'!$E$11,"")</f>
        <v/>
      </c>
      <c r="F70" s="8" t="str">
        <f>IF(AND('Resource Planner'!$A$11="☑",16&lt;='Resource Planner'!$N$11),'Resource Planner'!$F$11&amp;" "&amp;('Resource Planner'!$G$11+(16-1)*'Resource Planner'!$I$11)&amp;IF(('Resource Planner'!$G$11+(16-1)*'Resource Planner'!$I$11)=MIN('Resource Planner'!$G$11+16*'Resource Planner'!$I$11-1,'Resource Planner'!$H$11),"","–"&amp;MIN('Resource Planner'!$G$11+16*'Resource Planner'!$I$11-1,'Resource Planner'!$H$11)),"")</f>
        <v/>
      </c>
      <c r="G70" s="8" t="s">
        <v>109</v>
      </c>
      <c r="H70" s="8" t="str">
        <f>IF(AND('Resource Planner'!$A$11="☑",16&lt;='Resource Planner'!$N$11),'Resource Planner'!$M$11,"")</f>
        <v/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" s="8" t="str">
        <f>IF(AND('Resource Planner'!$A$11="☑",17&lt;='Resource Planner'!$N$11),'Resource Planner'!$C$11,"")</f>
        <v/>
      </c>
      <c r="C71" s="8" t="str">
        <f>IF(AND('Resource Planner'!$A$11="☑",17&lt;='Resource Planner'!$N$11),'Resource Planner'!$B$11,"")</f>
        <v/>
      </c>
      <c r="D71" s="8" t="str">
        <f>IF(AND('Resource Planner'!$A$11="☑",17&lt;='Resource Planner'!$N$11),'Resource Planner'!$D$11,"")</f>
        <v/>
      </c>
      <c r="E71" s="8" t="str">
        <f>IF(AND('Resource Planner'!$A$11="☑",17&lt;='Resource Planner'!$N$11),'Resource Planner'!$E$11,"")</f>
        <v/>
      </c>
      <c r="F71" s="8" t="str">
        <f>IF(AND('Resource Planner'!$A$11="☑",17&lt;='Resource Planner'!$N$11),'Resource Planner'!$F$11&amp;" "&amp;('Resource Planner'!$G$11+(17-1)*'Resource Planner'!$I$11)&amp;IF(('Resource Planner'!$G$11+(17-1)*'Resource Planner'!$I$11)=MIN('Resource Planner'!$G$11+17*'Resource Planner'!$I$11-1,'Resource Planner'!$H$11),"","–"&amp;MIN('Resource Planner'!$G$11+17*'Resource Planner'!$I$11-1,'Resource Planner'!$H$11)),"")</f>
        <v/>
      </c>
      <c r="G71" s="8" t="s">
        <v>109</v>
      </c>
      <c r="H71" s="8" t="str">
        <f>IF(AND('Resource Planner'!$A$11="☑",17&lt;='Resource Planner'!$N$11),'Resource Planner'!$M$11,"")</f>
        <v/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" s="8" t="str">
        <f>IF(AND('Resource Planner'!$A$11="☑",18&lt;='Resource Planner'!$N$11),'Resource Planner'!$C$11,"")</f>
        <v/>
      </c>
      <c r="C72" s="8" t="str">
        <f>IF(AND('Resource Planner'!$A$11="☑",18&lt;='Resource Planner'!$N$11),'Resource Planner'!$B$11,"")</f>
        <v/>
      </c>
      <c r="D72" s="8" t="str">
        <f>IF(AND('Resource Planner'!$A$11="☑",18&lt;='Resource Planner'!$N$11),'Resource Planner'!$D$11,"")</f>
        <v/>
      </c>
      <c r="E72" s="8" t="str">
        <f>IF(AND('Resource Planner'!$A$11="☑",18&lt;='Resource Planner'!$N$11),'Resource Planner'!$E$11,"")</f>
        <v/>
      </c>
      <c r="F72" s="8" t="str">
        <f>IF(AND('Resource Planner'!$A$11="☑",18&lt;='Resource Planner'!$N$11),'Resource Planner'!$F$11&amp;" "&amp;('Resource Planner'!$G$11+(18-1)*'Resource Planner'!$I$11)&amp;IF(('Resource Planner'!$G$11+(18-1)*'Resource Planner'!$I$11)=MIN('Resource Planner'!$G$11+18*'Resource Planner'!$I$11-1,'Resource Planner'!$H$11),"","–"&amp;MIN('Resource Planner'!$G$11+18*'Resource Planner'!$I$11-1,'Resource Planner'!$H$11)),"")</f>
        <v/>
      </c>
      <c r="G72" s="8" t="s">
        <v>109</v>
      </c>
      <c r="H72" s="8" t="str">
        <f>IF(AND('Resource Planner'!$A$11="☑",18&lt;='Resource Planner'!$N$11),'Resource Planner'!$M$11,"")</f>
        <v/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" s="8" t="str">
        <f>IF(AND('Resource Planner'!$A$11="☑",19&lt;='Resource Planner'!$N$11),'Resource Planner'!$C$11,"")</f>
        <v/>
      </c>
      <c r="C73" s="8" t="str">
        <f>IF(AND('Resource Planner'!$A$11="☑",19&lt;='Resource Planner'!$N$11),'Resource Planner'!$B$11,"")</f>
        <v/>
      </c>
      <c r="D73" s="8" t="str">
        <f>IF(AND('Resource Planner'!$A$11="☑",19&lt;='Resource Planner'!$N$11),'Resource Planner'!$D$11,"")</f>
        <v/>
      </c>
      <c r="E73" s="8" t="str">
        <f>IF(AND('Resource Planner'!$A$11="☑",19&lt;='Resource Planner'!$N$11),'Resource Planner'!$E$11,"")</f>
        <v/>
      </c>
      <c r="F73" s="8" t="str">
        <f>IF(AND('Resource Planner'!$A$11="☑",19&lt;='Resource Planner'!$N$11),'Resource Planner'!$F$11&amp;" "&amp;('Resource Planner'!$G$11+(19-1)*'Resource Planner'!$I$11)&amp;IF(('Resource Planner'!$G$11+(19-1)*'Resource Planner'!$I$11)=MIN('Resource Planner'!$G$11+19*'Resource Planner'!$I$11-1,'Resource Planner'!$H$11),"","–"&amp;MIN('Resource Planner'!$G$11+19*'Resource Planner'!$I$11-1,'Resource Planner'!$H$11)),"")</f>
        <v/>
      </c>
      <c r="G73" s="8" t="s">
        <v>109</v>
      </c>
      <c r="H73" s="8" t="str">
        <f>IF(AND('Resource Planner'!$A$11="☑",19&lt;='Resource Planner'!$N$11),'Resource Planner'!$M$11,"")</f>
        <v/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" s="8" t="str">
        <f>IF(AND('Resource Planner'!$A$11="☑",20&lt;='Resource Planner'!$N$11),'Resource Planner'!$C$11,"")</f>
        <v/>
      </c>
      <c r="C74" s="8" t="str">
        <f>IF(AND('Resource Planner'!$A$11="☑",20&lt;='Resource Planner'!$N$11),'Resource Planner'!$B$11,"")</f>
        <v/>
      </c>
      <c r="D74" s="8" t="str">
        <f>IF(AND('Resource Planner'!$A$11="☑",20&lt;='Resource Planner'!$N$11),'Resource Planner'!$D$11,"")</f>
        <v/>
      </c>
      <c r="E74" s="8" t="str">
        <f>IF(AND('Resource Planner'!$A$11="☑",20&lt;='Resource Planner'!$N$11),'Resource Planner'!$E$11,"")</f>
        <v/>
      </c>
      <c r="F74" s="8" t="str">
        <f>IF(AND('Resource Planner'!$A$11="☑",20&lt;='Resource Planner'!$N$11),'Resource Planner'!$F$11&amp;" "&amp;('Resource Planner'!$G$11+(20-1)*'Resource Planner'!$I$11)&amp;IF(('Resource Planner'!$G$11+(20-1)*'Resource Planner'!$I$11)=MIN('Resource Planner'!$G$11+20*'Resource Planner'!$I$11-1,'Resource Planner'!$H$11),"","–"&amp;MIN('Resource Planner'!$G$11+20*'Resource Planner'!$I$11-1,'Resource Planner'!$H$11)),"")</f>
        <v/>
      </c>
      <c r="G74" s="8" t="s">
        <v>109</v>
      </c>
      <c r="H74" s="8" t="str">
        <f>IF(AND('Resource Planner'!$A$11="☑",20&lt;='Resource Planner'!$N$11),'Resource Planner'!$M$11,"")</f>
        <v/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" s="8" t="str">
        <f>IF(AND('Resource Planner'!$A$11="☑",21&lt;='Resource Planner'!$N$11),'Resource Planner'!$C$11,"")</f>
        <v/>
      </c>
      <c r="C75" s="8" t="str">
        <f>IF(AND('Resource Planner'!$A$11="☑",21&lt;='Resource Planner'!$N$11),'Resource Planner'!$B$11,"")</f>
        <v/>
      </c>
      <c r="D75" s="8" t="str">
        <f>IF(AND('Resource Planner'!$A$11="☑",21&lt;='Resource Planner'!$N$11),'Resource Planner'!$D$11,"")</f>
        <v/>
      </c>
      <c r="E75" s="8" t="str">
        <f>IF(AND('Resource Planner'!$A$11="☑",21&lt;='Resource Planner'!$N$11),'Resource Planner'!$E$11,"")</f>
        <v/>
      </c>
      <c r="F75" s="8" t="str">
        <f>IF(AND('Resource Planner'!$A$11="☑",21&lt;='Resource Planner'!$N$11),'Resource Planner'!$F$11&amp;" "&amp;('Resource Planner'!$G$11+(21-1)*'Resource Planner'!$I$11)&amp;IF(('Resource Planner'!$G$11+(21-1)*'Resource Planner'!$I$11)=MIN('Resource Planner'!$G$11+21*'Resource Planner'!$I$11-1,'Resource Planner'!$H$11),"","–"&amp;MIN('Resource Planner'!$G$11+21*'Resource Planner'!$I$11-1,'Resource Planner'!$H$11)),"")</f>
        <v/>
      </c>
      <c r="G75" s="8" t="s">
        <v>109</v>
      </c>
      <c r="H75" s="8" t="str">
        <f>IF(AND('Resource Planner'!$A$11="☑",21&lt;='Resource Planner'!$N$11),'Resource Planner'!$M$11,"")</f>
        <v/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" s="8" t="str">
        <f>IF(AND('Resource Planner'!$A$11="☑",22&lt;='Resource Planner'!$N$11),'Resource Planner'!$C$11,"")</f>
        <v/>
      </c>
      <c r="C76" s="8" t="str">
        <f>IF(AND('Resource Planner'!$A$11="☑",22&lt;='Resource Planner'!$N$11),'Resource Planner'!$B$11,"")</f>
        <v/>
      </c>
      <c r="D76" s="8" t="str">
        <f>IF(AND('Resource Planner'!$A$11="☑",22&lt;='Resource Planner'!$N$11),'Resource Planner'!$D$11,"")</f>
        <v/>
      </c>
      <c r="E76" s="8" t="str">
        <f>IF(AND('Resource Planner'!$A$11="☑",22&lt;='Resource Planner'!$N$11),'Resource Planner'!$E$11,"")</f>
        <v/>
      </c>
      <c r="F76" s="8" t="str">
        <f>IF(AND('Resource Planner'!$A$11="☑",22&lt;='Resource Planner'!$N$11),'Resource Planner'!$F$11&amp;" "&amp;('Resource Planner'!$G$11+(22-1)*'Resource Planner'!$I$11)&amp;IF(('Resource Planner'!$G$11+(22-1)*'Resource Planner'!$I$11)=MIN('Resource Planner'!$G$11+22*'Resource Planner'!$I$11-1,'Resource Planner'!$H$11),"","–"&amp;MIN('Resource Planner'!$G$11+22*'Resource Planner'!$I$11-1,'Resource Planner'!$H$11)),"")</f>
        <v/>
      </c>
      <c r="G76" s="8" t="s">
        <v>109</v>
      </c>
      <c r="H76" s="8" t="str">
        <f>IF(AND('Resource Planner'!$A$11="☑",22&lt;='Resource Planner'!$N$11),'Resource Planner'!$M$11,"")</f>
        <v/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" s="8" t="str">
        <f>IF(AND('Resource Planner'!$A$11="☑",23&lt;='Resource Planner'!$N$11),'Resource Planner'!$C$11,"")</f>
        <v/>
      </c>
      <c r="C77" s="8" t="str">
        <f>IF(AND('Resource Planner'!$A$11="☑",23&lt;='Resource Planner'!$N$11),'Resource Planner'!$B$11,"")</f>
        <v/>
      </c>
      <c r="D77" s="8" t="str">
        <f>IF(AND('Resource Planner'!$A$11="☑",23&lt;='Resource Planner'!$N$11),'Resource Planner'!$D$11,"")</f>
        <v/>
      </c>
      <c r="E77" s="8" t="str">
        <f>IF(AND('Resource Planner'!$A$11="☑",23&lt;='Resource Planner'!$N$11),'Resource Planner'!$E$11,"")</f>
        <v/>
      </c>
      <c r="F77" s="8" t="str">
        <f>IF(AND('Resource Planner'!$A$11="☑",23&lt;='Resource Planner'!$N$11),'Resource Planner'!$F$11&amp;" "&amp;('Resource Planner'!$G$11+(23-1)*'Resource Planner'!$I$11)&amp;IF(('Resource Planner'!$G$11+(23-1)*'Resource Planner'!$I$11)=MIN('Resource Planner'!$G$11+23*'Resource Planner'!$I$11-1,'Resource Planner'!$H$11),"","–"&amp;MIN('Resource Planner'!$G$11+23*'Resource Planner'!$I$11-1,'Resource Planner'!$H$11)),"")</f>
        <v/>
      </c>
      <c r="G77" s="8" t="s">
        <v>109</v>
      </c>
      <c r="H77" s="8" t="str">
        <f>IF(AND('Resource Planner'!$A$11="☑",23&lt;='Resource Planner'!$N$11),'Resource Planner'!$M$11,"")</f>
        <v/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" s="8" t="str">
        <f>IF(AND('Resource Planner'!$A$11="☑",24&lt;='Resource Planner'!$N$11),'Resource Planner'!$C$11,"")</f>
        <v/>
      </c>
      <c r="C78" s="8" t="str">
        <f>IF(AND('Resource Planner'!$A$11="☑",24&lt;='Resource Planner'!$N$11),'Resource Planner'!$B$11,"")</f>
        <v/>
      </c>
      <c r="D78" s="8" t="str">
        <f>IF(AND('Resource Planner'!$A$11="☑",24&lt;='Resource Planner'!$N$11),'Resource Planner'!$D$11,"")</f>
        <v/>
      </c>
      <c r="E78" s="8" t="str">
        <f>IF(AND('Resource Planner'!$A$11="☑",24&lt;='Resource Planner'!$N$11),'Resource Planner'!$E$11,"")</f>
        <v/>
      </c>
      <c r="F78" s="8" t="str">
        <f>IF(AND('Resource Planner'!$A$11="☑",24&lt;='Resource Planner'!$N$11),'Resource Planner'!$F$11&amp;" "&amp;('Resource Planner'!$G$11+(24-1)*'Resource Planner'!$I$11)&amp;IF(('Resource Planner'!$G$11+(24-1)*'Resource Planner'!$I$11)=MIN('Resource Planner'!$G$11+24*'Resource Planner'!$I$11-1,'Resource Planner'!$H$11),"","–"&amp;MIN('Resource Planner'!$G$11+24*'Resource Planner'!$I$11-1,'Resource Planner'!$H$11)),"")</f>
        <v/>
      </c>
      <c r="G78" s="8" t="s">
        <v>109</v>
      </c>
      <c r="H78" s="8" t="str">
        <f>IF(AND('Resource Planner'!$A$11="☑",24&lt;='Resource Planner'!$N$11),'Resource Planner'!$M$11,"")</f>
        <v/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" s="8" t="str">
        <f>IF(AND('Resource Planner'!$A$11="☑",25&lt;='Resource Planner'!$N$11),'Resource Planner'!$C$11,"")</f>
        <v/>
      </c>
      <c r="C79" s="8" t="str">
        <f>IF(AND('Resource Planner'!$A$11="☑",25&lt;='Resource Planner'!$N$11),'Resource Planner'!$B$11,"")</f>
        <v/>
      </c>
      <c r="D79" s="8" t="str">
        <f>IF(AND('Resource Planner'!$A$11="☑",25&lt;='Resource Planner'!$N$11),'Resource Planner'!$D$11,"")</f>
        <v/>
      </c>
      <c r="E79" s="8" t="str">
        <f>IF(AND('Resource Planner'!$A$11="☑",25&lt;='Resource Planner'!$N$11),'Resource Planner'!$E$11,"")</f>
        <v/>
      </c>
      <c r="F79" s="8" t="str">
        <f>IF(AND('Resource Planner'!$A$11="☑",25&lt;='Resource Planner'!$N$11),'Resource Planner'!$F$11&amp;" "&amp;('Resource Planner'!$G$11+(25-1)*'Resource Planner'!$I$11)&amp;IF(('Resource Planner'!$G$11+(25-1)*'Resource Planner'!$I$11)=MIN('Resource Planner'!$G$11+25*'Resource Planner'!$I$11-1,'Resource Planner'!$H$11),"","–"&amp;MIN('Resource Planner'!$G$11+25*'Resource Planner'!$I$11-1,'Resource Planner'!$H$11)),"")</f>
        <v/>
      </c>
      <c r="G79" s="8" t="s">
        <v>109</v>
      </c>
      <c r="H79" s="8" t="str">
        <f>IF(AND('Resource Planner'!$A$11="☑",25&lt;='Resource Planner'!$N$11),'Resource Planner'!$M$11,"")</f>
        <v/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" s="8" t="str">
        <f>IF(AND('Resource Planner'!$A$11="☑",26&lt;='Resource Planner'!$N$11),'Resource Planner'!$C$11,"")</f>
        <v/>
      </c>
      <c r="C80" s="8" t="str">
        <f>IF(AND('Resource Planner'!$A$11="☑",26&lt;='Resource Planner'!$N$11),'Resource Planner'!$B$11,"")</f>
        <v/>
      </c>
      <c r="D80" s="8" t="str">
        <f>IF(AND('Resource Planner'!$A$11="☑",26&lt;='Resource Planner'!$N$11),'Resource Planner'!$D$11,"")</f>
        <v/>
      </c>
      <c r="E80" s="8" t="str">
        <f>IF(AND('Resource Planner'!$A$11="☑",26&lt;='Resource Planner'!$N$11),'Resource Planner'!$E$11,"")</f>
        <v/>
      </c>
      <c r="F80" s="8" t="str">
        <f>IF(AND('Resource Planner'!$A$11="☑",26&lt;='Resource Planner'!$N$11),'Resource Planner'!$F$11&amp;" "&amp;('Resource Planner'!$G$11+(26-1)*'Resource Planner'!$I$11)&amp;IF(('Resource Planner'!$G$11+(26-1)*'Resource Planner'!$I$11)=MIN('Resource Planner'!$G$11+26*'Resource Planner'!$I$11-1,'Resource Planner'!$H$11),"","–"&amp;MIN('Resource Planner'!$G$11+26*'Resource Planner'!$I$11-1,'Resource Planner'!$H$11)),"")</f>
        <v/>
      </c>
      <c r="G80" s="8" t="s">
        <v>109</v>
      </c>
      <c r="H80" s="8" t="str">
        <f>IF(AND('Resource Planner'!$A$11="☑",26&lt;='Resource Planner'!$N$11),'Resource Planner'!$M$11,"")</f>
        <v/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" s="8" t="str">
        <f>IF(AND('Resource Planner'!$A$11="☑",27&lt;='Resource Planner'!$N$11),'Resource Planner'!$C$11,"")</f>
        <v/>
      </c>
      <c r="C81" s="8" t="str">
        <f>IF(AND('Resource Planner'!$A$11="☑",27&lt;='Resource Planner'!$N$11),'Resource Planner'!$B$11,"")</f>
        <v/>
      </c>
      <c r="D81" s="8" t="str">
        <f>IF(AND('Resource Planner'!$A$11="☑",27&lt;='Resource Planner'!$N$11),'Resource Planner'!$D$11,"")</f>
        <v/>
      </c>
      <c r="E81" s="8" t="str">
        <f>IF(AND('Resource Planner'!$A$11="☑",27&lt;='Resource Planner'!$N$11),'Resource Planner'!$E$11,"")</f>
        <v/>
      </c>
      <c r="F81" s="8" t="str">
        <f>IF(AND('Resource Planner'!$A$11="☑",27&lt;='Resource Planner'!$N$11),'Resource Planner'!$F$11&amp;" "&amp;('Resource Planner'!$G$11+(27-1)*'Resource Planner'!$I$11)&amp;IF(('Resource Planner'!$G$11+(27-1)*'Resource Planner'!$I$11)=MIN('Resource Planner'!$G$11+27*'Resource Planner'!$I$11-1,'Resource Planner'!$H$11),"","–"&amp;MIN('Resource Planner'!$G$11+27*'Resource Planner'!$I$11-1,'Resource Planner'!$H$11)),"")</f>
        <v/>
      </c>
      <c r="G81" s="8" t="s">
        <v>109</v>
      </c>
      <c r="H81" s="8" t="str">
        <f>IF(AND('Resource Planner'!$A$11="☑",27&lt;='Resource Planner'!$N$11),'Resource Planner'!$M$11,"")</f>
        <v/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" s="8" t="str">
        <f>IF(AND('Resource Planner'!$A$11="☑",28&lt;='Resource Planner'!$N$11),'Resource Planner'!$C$11,"")</f>
        <v/>
      </c>
      <c r="C82" s="8" t="str">
        <f>IF(AND('Resource Planner'!$A$11="☑",28&lt;='Resource Planner'!$N$11),'Resource Planner'!$B$11,"")</f>
        <v/>
      </c>
      <c r="D82" s="8" t="str">
        <f>IF(AND('Resource Planner'!$A$11="☑",28&lt;='Resource Planner'!$N$11),'Resource Planner'!$D$11,"")</f>
        <v/>
      </c>
      <c r="E82" s="8" t="str">
        <f>IF(AND('Resource Planner'!$A$11="☑",28&lt;='Resource Planner'!$N$11),'Resource Planner'!$E$11,"")</f>
        <v/>
      </c>
      <c r="F82" s="8" t="str">
        <f>IF(AND('Resource Planner'!$A$11="☑",28&lt;='Resource Planner'!$N$11),'Resource Planner'!$F$11&amp;" "&amp;('Resource Planner'!$G$11+(28-1)*'Resource Planner'!$I$11)&amp;IF(('Resource Planner'!$G$11+(28-1)*'Resource Planner'!$I$11)=MIN('Resource Planner'!$G$11+28*'Resource Planner'!$I$11-1,'Resource Planner'!$H$11),"","–"&amp;MIN('Resource Planner'!$G$11+28*'Resource Planner'!$I$11-1,'Resource Planner'!$H$11)),"")</f>
        <v/>
      </c>
      <c r="G82" s="8" t="s">
        <v>109</v>
      </c>
      <c r="H82" s="8" t="str">
        <f>IF(AND('Resource Planner'!$A$11="☑",28&lt;='Resource Planner'!$N$11),'Resource Planner'!$M$11,"")</f>
        <v/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" s="8" t="str">
        <f>IF(AND('Resource Planner'!$A$11="☑",29&lt;='Resource Planner'!$N$11),'Resource Planner'!$C$11,"")</f>
        <v/>
      </c>
      <c r="C83" s="8" t="str">
        <f>IF(AND('Resource Planner'!$A$11="☑",29&lt;='Resource Planner'!$N$11),'Resource Planner'!$B$11,"")</f>
        <v/>
      </c>
      <c r="D83" s="8" t="str">
        <f>IF(AND('Resource Planner'!$A$11="☑",29&lt;='Resource Planner'!$N$11),'Resource Planner'!$D$11,"")</f>
        <v/>
      </c>
      <c r="E83" s="8" t="str">
        <f>IF(AND('Resource Planner'!$A$11="☑",29&lt;='Resource Planner'!$N$11),'Resource Planner'!$E$11,"")</f>
        <v/>
      </c>
      <c r="F83" s="8" t="str">
        <f>IF(AND('Resource Planner'!$A$11="☑",29&lt;='Resource Planner'!$N$11),'Resource Planner'!$F$11&amp;" "&amp;('Resource Planner'!$G$11+(29-1)*'Resource Planner'!$I$11)&amp;IF(('Resource Planner'!$G$11+(29-1)*'Resource Planner'!$I$11)=MIN('Resource Planner'!$G$11+29*'Resource Planner'!$I$11-1,'Resource Planner'!$H$11),"","–"&amp;MIN('Resource Planner'!$G$11+29*'Resource Planner'!$I$11-1,'Resource Planner'!$H$11)),"")</f>
        <v/>
      </c>
      <c r="G83" s="8" t="s">
        <v>109</v>
      </c>
      <c r="H83" s="8" t="str">
        <f>IF(AND('Resource Planner'!$A$11="☑",29&lt;='Resource Planner'!$N$11),'Resource Planner'!$M$11,"")</f>
        <v/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" s="8" t="str">
        <f>IF(AND('Resource Planner'!$A$11="☑",30&lt;='Resource Planner'!$N$11),'Resource Planner'!$C$11,"")</f>
        <v/>
      </c>
      <c r="C84" s="8" t="str">
        <f>IF(AND('Resource Planner'!$A$11="☑",30&lt;='Resource Planner'!$N$11),'Resource Planner'!$B$11,"")</f>
        <v/>
      </c>
      <c r="D84" s="8" t="str">
        <f>IF(AND('Resource Planner'!$A$11="☑",30&lt;='Resource Planner'!$N$11),'Resource Planner'!$D$11,"")</f>
        <v/>
      </c>
      <c r="E84" s="8" t="str">
        <f>IF(AND('Resource Planner'!$A$11="☑",30&lt;='Resource Planner'!$N$11),'Resource Planner'!$E$11,"")</f>
        <v/>
      </c>
      <c r="F84" s="8" t="str">
        <f>IF(AND('Resource Planner'!$A$11="☑",30&lt;='Resource Planner'!$N$11),'Resource Planner'!$F$11&amp;" "&amp;('Resource Planner'!$G$11+(30-1)*'Resource Planner'!$I$11)&amp;IF(('Resource Planner'!$G$11+(30-1)*'Resource Planner'!$I$11)=MIN('Resource Planner'!$G$11+30*'Resource Planner'!$I$11-1,'Resource Planner'!$H$11),"","–"&amp;MIN('Resource Planner'!$G$11+30*'Resource Planner'!$I$11-1,'Resource Planner'!$H$11)),"")</f>
        <v/>
      </c>
      <c r="G84" s="8" t="s">
        <v>109</v>
      </c>
      <c r="H84" s="8" t="str">
        <f>IF(AND('Resource Planner'!$A$11="☑",30&lt;='Resource Planner'!$N$11),'Resource Planner'!$M$11,"")</f>
        <v/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" s="8" t="str">
        <f>IF(AND('Resource Planner'!$A$11="☑",31&lt;='Resource Planner'!$N$11),'Resource Planner'!$C$11,"")</f>
        <v/>
      </c>
      <c r="C85" s="8" t="str">
        <f>IF(AND('Resource Planner'!$A$11="☑",31&lt;='Resource Planner'!$N$11),'Resource Planner'!$B$11,"")</f>
        <v/>
      </c>
      <c r="D85" s="8" t="str">
        <f>IF(AND('Resource Planner'!$A$11="☑",31&lt;='Resource Planner'!$N$11),'Resource Planner'!$D$11,"")</f>
        <v/>
      </c>
      <c r="E85" s="8" t="str">
        <f>IF(AND('Resource Planner'!$A$11="☑",31&lt;='Resource Planner'!$N$11),'Resource Planner'!$E$11,"")</f>
        <v/>
      </c>
      <c r="F85" s="8" t="str">
        <f>IF(AND('Resource Planner'!$A$11="☑",31&lt;='Resource Planner'!$N$11),'Resource Planner'!$F$11&amp;" "&amp;('Resource Planner'!$G$11+(31-1)*'Resource Planner'!$I$11)&amp;IF(('Resource Planner'!$G$11+(31-1)*'Resource Planner'!$I$11)=MIN('Resource Planner'!$G$11+31*'Resource Planner'!$I$11-1,'Resource Planner'!$H$11),"","–"&amp;MIN('Resource Planner'!$G$11+31*'Resource Planner'!$I$11-1,'Resource Planner'!$H$11)),"")</f>
        <v/>
      </c>
      <c r="G85" s="8" t="s">
        <v>109</v>
      </c>
      <c r="H85" s="8" t="str">
        <f>IF(AND('Resource Planner'!$A$11="☑",31&lt;='Resource Planner'!$N$11),'Resource Planner'!$M$11,"")</f>
        <v/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" s="8" t="str">
        <f>IF(AND('Resource Planner'!$A$11="☑",32&lt;='Resource Planner'!$N$11),'Resource Planner'!$C$11,"")</f>
        <v/>
      </c>
      <c r="C86" s="8" t="str">
        <f>IF(AND('Resource Planner'!$A$11="☑",32&lt;='Resource Planner'!$N$11),'Resource Planner'!$B$11,"")</f>
        <v/>
      </c>
      <c r="D86" s="8" t="str">
        <f>IF(AND('Resource Planner'!$A$11="☑",32&lt;='Resource Planner'!$N$11),'Resource Planner'!$D$11,"")</f>
        <v/>
      </c>
      <c r="E86" s="8" t="str">
        <f>IF(AND('Resource Planner'!$A$11="☑",32&lt;='Resource Planner'!$N$11),'Resource Planner'!$E$11,"")</f>
        <v/>
      </c>
      <c r="F86" s="8" t="str">
        <f>IF(AND('Resource Planner'!$A$11="☑",32&lt;='Resource Planner'!$N$11),'Resource Planner'!$F$11&amp;" "&amp;('Resource Planner'!$G$11+(32-1)*'Resource Planner'!$I$11)&amp;IF(('Resource Planner'!$G$11+(32-1)*'Resource Planner'!$I$11)=MIN('Resource Planner'!$G$11+32*'Resource Planner'!$I$11-1,'Resource Planner'!$H$11),"","–"&amp;MIN('Resource Planner'!$G$11+32*'Resource Planner'!$I$11-1,'Resource Planner'!$H$11)),"")</f>
        <v/>
      </c>
      <c r="G86" s="8" t="s">
        <v>109</v>
      </c>
      <c r="H86" s="8" t="str">
        <f>IF(AND('Resource Planner'!$A$11="☑",32&lt;='Resource Planner'!$N$11),'Resource Planner'!$M$11,"")</f>
        <v/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" s="8" t="str">
        <f>IF(AND('Resource Planner'!$A$11="☑",33&lt;='Resource Planner'!$N$11),'Resource Planner'!$C$11,"")</f>
        <v/>
      </c>
      <c r="C87" s="8" t="str">
        <f>IF(AND('Resource Planner'!$A$11="☑",33&lt;='Resource Planner'!$N$11),'Resource Planner'!$B$11,"")</f>
        <v/>
      </c>
      <c r="D87" s="8" t="str">
        <f>IF(AND('Resource Planner'!$A$11="☑",33&lt;='Resource Planner'!$N$11),'Resource Planner'!$D$11,"")</f>
        <v/>
      </c>
      <c r="E87" s="8" t="str">
        <f>IF(AND('Resource Planner'!$A$11="☑",33&lt;='Resource Planner'!$N$11),'Resource Planner'!$E$11,"")</f>
        <v/>
      </c>
      <c r="F87" s="8" t="str">
        <f>IF(AND('Resource Planner'!$A$11="☑",33&lt;='Resource Planner'!$N$11),'Resource Planner'!$F$11&amp;" "&amp;('Resource Planner'!$G$11+(33-1)*'Resource Planner'!$I$11)&amp;IF(('Resource Planner'!$G$11+(33-1)*'Resource Planner'!$I$11)=MIN('Resource Planner'!$G$11+33*'Resource Planner'!$I$11-1,'Resource Planner'!$H$11),"","–"&amp;MIN('Resource Planner'!$G$11+33*'Resource Planner'!$I$11-1,'Resource Planner'!$H$11)),"")</f>
        <v/>
      </c>
      <c r="G87" s="8" t="s">
        <v>109</v>
      </c>
      <c r="H87" s="8" t="str">
        <f>IF(AND('Resource Planner'!$A$11="☑",33&lt;='Resource Planner'!$N$11),'Resource Planner'!$M$11,"")</f>
        <v/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" s="8" t="str">
        <f>IF(AND('Resource Planner'!$A$11="☑",34&lt;='Resource Planner'!$N$11),'Resource Planner'!$C$11,"")</f>
        <v/>
      </c>
      <c r="C88" s="8" t="str">
        <f>IF(AND('Resource Planner'!$A$11="☑",34&lt;='Resource Planner'!$N$11),'Resource Planner'!$B$11,"")</f>
        <v/>
      </c>
      <c r="D88" s="8" t="str">
        <f>IF(AND('Resource Planner'!$A$11="☑",34&lt;='Resource Planner'!$N$11),'Resource Planner'!$D$11,"")</f>
        <v/>
      </c>
      <c r="E88" s="8" t="str">
        <f>IF(AND('Resource Planner'!$A$11="☑",34&lt;='Resource Planner'!$N$11),'Resource Planner'!$E$11,"")</f>
        <v/>
      </c>
      <c r="F88" s="8" t="str">
        <f>IF(AND('Resource Planner'!$A$11="☑",34&lt;='Resource Planner'!$N$11),'Resource Planner'!$F$11&amp;" "&amp;('Resource Planner'!$G$11+(34-1)*'Resource Planner'!$I$11)&amp;IF(('Resource Planner'!$G$11+(34-1)*'Resource Planner'!$I$11)=MIN('Resource Planner'!$G$11+34*'Resource Planner'!$I$11-1,'Resource Planner'!$H$11),"","–"&amp;MIN('Resource Planner'!$G$11+34*'Resource Planner'!$I$11-1,'Resource Planner'!$H$11)),"")</f>
        <v/>
      </c>
      <c r="G88" s="8" t="s">
        <v>109</v>
      </c>
      <c r="H88" s="8" t="str">
        <f>IF(AND('Resource Planner'!$A$11="☑",34&lt;='Resource Planner'!$N$11),'Resource Planner'!$M$11,"")</f>
        <v/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" s="8" t="str">
        <f>IF(AND('Resource Planner'!$A$11="☑",35&lt;='Resource Planner'!$N$11),'Resource Planner'!$C$11,"")</f>
        <v/>
      </c>
      <c r="C89" s="8" t="str">
        <f>IF(AND('Resource Planner'!$A$11="☑",35&lt;='Resource Planner'!$N$11),'Resource Planner'!$B$11,"")</f>
        <v/>
      </c>
      <c r="D89" s="8" t="str">
        <f>IF(AND('Resource Planner'!$A$11="☑",35&lt;='Resource Planner'!$N$11),'Resource Planner'!$D$11,"")</f>
        <v/>
      </c>
      <c r="E89" s="8" t="str">
        <f>IF(AND('Resource Planner'!$A$11="☑",35&lt;='Resource Planner'!$N$11),'Resource Planner'!$E$11,"")</f>
        <v/>
      </c>
      <c r="F89" s="8" t="str">
        <f>IF(AND('Resource Planner'!$A$11="☑",35&lt;='Resource Planner'!$N$11),'Resource Planner'!$F$11&amp;" "&amp;('Resource Planner'!$G$11+(35-1)*'Resource Planner'!$I$11)&amp;IF(('Resource Planner'!$G$11+(35-1)*'Resource Planner'!$I$11)=MIN('Resource Planner'!$G$11+35*'Resource Planner'!$I$11-1,'Resource Planner'!$H$11),"","–"&amp;MIN('Resource Planner'!$G$11+35*'Resource Planner'!$I$11-1,'Resource Planner'!$H$11)),"")</f>
        <v/>
      </c>
      <c r="G89" s="8" t="s">
        <v>109</v>
      </c>
      <c r="H89" s="8" t="str">
        <f>IF(AND('Resource Planner'!$A$11="☑",35&lt;='Resource Planner'!$N$11),'Resource Planner'!$M$11,"")</f>
        <v/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" s="8" t="str">
        <f>IF(AND('Resource Planner'!$A$11="☑",36&lt;='Resource Planner'!$N$11),'Resource Planner'!$C$11,"")</f>
        <v/>
      </c>
      <c r="C90" s="8" t="str">
        <f>IF(AND('Resource Planner'!$A$11="☑",36&lt;='Resource Planner'!$N$11),'Resource Planner'!$B$11,"")</f>
        <v/>
      </c>
      <c r="D90" s="8" t="str">
        <f>IF(AND('Resource Planner'!$A$11="☑",36&lt;='Resource Planner'!$N$11),'Resource Planner'!$D$11,"")</f>
        <v/>
      </c>
      <c r="E90" s="8" t="str">
        <f>IF(AND('Resource Planner'!$A$11="☑",36&lt;='Resource Planner'!$N$11),'Resource Planner'!$E$11,"")</f>
        <v/>
      </c>
      <c r="F90" s="8" t="str">
        <f>IF(AND('Resource Planner'!$A$11="☑",36&lt;='Resource Planner'!$N$11),'Resource Planner'!$F$11&amp;" "&amp;('Resource Planner'!$G$11+(36-1)*'Resource Planner'!$I$11)&amp;IF(('Resource Planner'!$G$11+(36-1)*'Resource Planner'!$I$11)=MIN('Resource Planner'!$G$11+36*'Resource Planner'!$I$11-1,'Resource Planner'!$H$11),"","–"&amp;MIN('Resource Planner'!$G$11+36*'Resource Planner'!$I$11-1,'Resource Planner'!$H$11)),"")</f>
        <v/>
      </c>
      <c r="G90" s="8" t="s">
        <v>109</v>
      </c>
      <c r="H90" s="8" t="str">
        <f>IF(AND('Resource Planner'!$A$11="☑",36&lt;='Resource Planner'!$N$11),'Resource Planner'!$M$11,"")</f>
        <v/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" s="8" t="str">
        <f>IF(AND('Resource Planner'!$A$11="☑",37&lt;='Resource Planner'!$N$11),'Resource Planner'!$C$11,"")</f>
        <v/>
      </c>
      <c r="C91" s="8" t="str">
        <f>IF(AND('Resource Planner'!$A$11="☑",37&lt;='Resource Planner'!$N$11),'Resource Planner'!$B$11,"")</f>
        <v/>
      </c>
      <c r="D91" s="8" t="str">
        <f>IF(AND('Resource Planner'!$A$11="☑",37&lt;='Resource Planner'!$N$11),'Resource Planner'!$D$11,"")</f>
        <v/>
      </c>
      <c r="E91" s="8" t="str">
        <f>IF(AND('Resource Planner'!$A$11="☑",37&lt;='Resource Planner'!$N$11),'Resource Planner'!$E$11,"")</f>
        <v/>
      </c>
      <c r="F91" s="8" t="str">
        <f>IF(AND('Resource Planner'!$A$11="☑",37&lt;='Resource Planner'!$N$11),'Resource Planner'!$F$11&amp;" "&amp;('Resource Planner'!$G$11+(37-1)*'Resource Planner'!$I$11)&amp;IF(('Resource Planner'!$G$11+(37-1)*'Resource Planner'!$I$11)=MIN('Resource Planner'!$G$11+37*'Resource Planner'!$I$11-1,'Resource Planner'!$H$11),"","–"&amp;MIN('Resource Planner'!$G$11+37*'Resource Planner'!$I$11-1,'Resource Planner'!$H$11)),"")</f>
        <v/>
      </c>
      <c r="G91" s="8" t="s">
        <v>109</v>
      </c>
      <c r="H91" s="8" t="str">
        <f>IF(AND('Resource Planner'!$A$11="☑",37&lt;='Resource Planner'!$N$11),'Resource Planner'!$M$11,"")</f>
        <v/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" s="8" t="str">
        <f>IF(AND('Resource Planner'!$A$11="☑",38&lt;='Resource Planner'!$N$11),'Resource Planner'!$C$11,"")</f>
        <v/>
      </c>
      <c r="C92" s="8" t="str">
        <f>IF(AND('Resource Planner'!$A$11="☑",38&lt;='Resource Planner'!$N$11),'Resource Planner'!$B$11,"")</f>
        <v/>
      </c>
      <c r="D92" s="8" t="str">
        <f>IF(AND('Resource Planner'!$A$11="☑",38&lt;='Resource Planner'!$N$11),'Resource Planner'!$D$11,"")</f>
        <v/>
      </c>
      <c r="E92" s="8" t="str">
        <f>IF(AND('Resource Planner'!$A$11="☑",38&lt;='Resource Planner'!$N$11),'Resource Planner'!$E$11,"")</f>
        <v/>
      </c>
      <c r="F92" s="8" t="str">
        <f>IF(AND('Resource Planner'!$A$11="☑",38&lt;='Resource Planner'!$N$11),'Resource Planner'!$F$11&amp;" "&amp;('Resource Planner'!$G$11+(38-1)*'Resource Planner'!$I$11)&amp;IF(('Resource Planner'!$G$11+(38-1)*'Resource Planner'!$I$11)=MIN('Resource Planner'!$G$11+38*'Resource Planner'!$I$11-1,'Resource Planner'!$H$11),"","–"&amp;MIN('Resource Planner'!$G$11+38*'Resource Planner'!$I$11-1,'Resource Planner'!$H$11)),"")</f>
        <v/>
      </c>
      <c r="G92" s="8" t="s">
        <v>109</v>
      </c>
      <c r="H92" s="8" t="str">
        <f>IF(AND('Resource Planner'!$A$11="☑",38&lt;='Resource Planner'!$N$11),'Resource Planner'!$M$11,"")</f>
        <v/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" s="8" t="str">
        <f>IF(AND('Resource Planner'!$A$11="☑",39&lt;='Resource Planner'!$N$11),'Resource Planner'!$C$11,"")</f>
        <v/>
      </c>
      <c r="C93" s="8" t="str">
        <f>IF(AND('Resource Planner'!$A$11="☑",39&lt;='Resource Planner'!$N$11),'Resource Planner'!$B$11,"")</f>
        <v/>
      </c>
      <c r="D93" s="8" t="str">
        <f>IF(AND('Resource Planner'!$A$11="☑",39&lt;='Resource Planner'!$N$11),'Resource Planner'!$D$11,"")</f>
        <v/>
      </c>
      <c r="E93" s="8" t="str">
        <f>IF(AND('Resource Planner'!$A$11="☑",39&lt;='Resource Planner'!$N$11),'Resource Planner'!$E$11,"")</f>
        <v/>
      </c>
      <c r="F93" s="8" t="str">
        <f>IF(AND('Resource Planner'!$A$11="☑",39&lt;='Resource Planner'!$N$11),'Resource Planner'!$F$11&amp;" "&amp;('Resource Planner'!$G$11+(39-1)*'Resource Planner'!$I$11)&amp;IF(('Resource Planner'!$G$11+(39-1)*'Resource Planner'!$I$11)=MIN('Resource Planner'!$G$11+39*'Resource Planner'!$I$11-1,'Resource Planner'!$H$11),"","–"&amp;MIN('Resource Planner'!$G$11+39*'Resource Planner'!$I$11-1,'Resource Planner'!$H$11)),"")</f>
        <v/>
      </c>
      <c r="G93" s="8" t="s">
        <v>109</v>
      </c>
      <c r="H93" s="8" t="str">
        <f>IF(AND('Resource Planner'!$A$11="☑",39&lt;='Resource Planner'!$N$11),'Resource Planner'!$M$11,"")</f>
        <v/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" s="8" t="str">
        <f>IF(AND('Resource Planner'!$A$11="☑",40&lt;='Resource Planner'!$N$11),'Resource Planner'!$C$11,"")</f>
        <v/>
      </c>
      <c r="C94" s="8" t="str">
        <f>IF(AND('Resource Planner'!$A$11="☑",40&lt;='Resource Planner'!$N$11),'Resource Planner'!$B$11,"")</f>
        <v/>
      </c>
      <c r="D94" s="8" t="str">
        <f>IF(AND('Resource Planner'!$A$11="☑",40&lt;='Resource Planner'!$N$11),'Resource Planner'!$D$11,"")</f>
        <v/>
      </c>
      <c r="E94" s="8" t="str">
        <f>IF(AND('Resource Planner'!$A$11="☑",40&lt;='Resource Planner'!$N$11),'Resource Planner'!$E$11,"")</f>
        <v/>
      </c>
      <c r="F94" s="8" t="str">
        <f>IF(AND('Resource Planner'!$A$11="☑",40&lt;='Resource Planner'!$N$11),'Resource Planner'!$F$11&amp;" "&amp;('Resource Planner'!$G$11+(40-1)*'Resource Planner'!$I$11)&amp;IF(('Resource Planner'!$G$11+(40-1)*'Resource Planner'!$I$11)=MIN('Resource Planner'!$G$11+40*'Resource Planner'!$I$11-1,'Resource Planner'!$H$11),"","–"&amp;MIN('Resource Planner'!$G$11+40*'Resource Planner'!$I$11-1,'Resource Planner'!$H$11)),"")</f>
        <v/>
      </c>
      <c r="G94" s="8" t="s">
        <v>109</v>
      </c>
      <c r="H94" s="8" t="str">
        <f>IF(AND('Resource Planner'!$A$11="☑",40&lt;='Resource Planner'!$N$11),'Resource Planner'!$M$11,"")</f>
        <v/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" s="8" t="str">
        <f>IF(AND('Resource Planner'!$A$11="☑",41&lt;='Resource Planner'!$N$11),'Resource Planner'!$C$11,"")</f>
        <v/>
      </c>
      <c r="C95" s="8" t="str">
        <f>IF(AND('Resource Planner'!$A$11="☑",41&lt;='Resource Planner'!$N$11),'Resource Planner'!$B$11,"")</f>
        <v/>
      </c>
      <c r="D95" s="8" t="str">
        <f>IF(AND('Resource Planner'!$A$11="☑",41&lt;='Resource Planner'!$N$11),'Resource Planner'!$D$11,"")</f>
        <v/>
      </c>
      <c r="E95" s="8" t="str">
        <f>IF(AND('Resource Planner'!$A$11="☑",41&lt;='Resource Planner'!$N$11),'Resource Planner'!$E$11,"")</f>
        <v/>
      </c>
      <c r="F95" s="8" t="str">
        <f>IF(AND('Resource Planner'!$A$11="☑",41&lt;='Resource Planner'!$N$11),'Resource Planner'!$F$11&amp;" "&amp;('Resource Planner'!$G$11+(41-1)*'Resource Planner'!$I$11)&amp;IF(('Resource Planner'!$G$11+(41-1)*'Resource Planner'!$I$11)=MIN('Resource Planner'!$G$11+41*'Resource Planner'!$I$11-1,'Resource Planner'!$H$11),"","–"&amp;MIN('Resource Planner'!$G$11+41*'Resource Planner'!$I$11-1,'Resource Planner'!$H$11)),"")</f>
        <v/>
      </c>
      <c r="G95" s="8" t="s">
        <v>109</v>
      </c>
      <c r="H95" s="8" t="str">
        <f>IF(AND('Resource Planner'!$A$11="☑",41&lt;='Resource Planner'!$N$11),'Resource Planner'!$M$11,"")</f>
        <v/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" s="8" t="str">
        <f>IF(AND('Resource Planner'!$A$11="☑",42&lt;='Resource Planner'!$N$11),'Resource Planner'!$C$11,"")</f>
        <v/>
      </c>
      <c r="C96" s="8" t="str">
        <f>IF(AND('Resource Planner'!$A$11="☑",42&lt;='Resource Planner'!$N$11),'Resource Planner'!$B$11,"")</f>
        <v/>
      </c>
      <c r="D96" s="8" t="str">
        <f>IF(AND('Resource Planner'!$A$11="☑",42&lt;='Resource Planner'!$N$11),'Resource Planner'!$D$11,"")</f>
        <v/>
      </c>
      <c r="E96" s="8" t="str">
        <f>IF(AND('Resource Planner'!$A$11="☑",42&lt;='Resource Planner'!$N$11),'Resource Planner'!$E$11,"")</f>
        <v/>
      </c>
      <c r="F96" s="8" t="str">
        <f>IF(AND('Resource Planner'!$A$11="☑",42&lt;='Resource Planner'!$N$11),'Resource Planner'!$F$11&amp;" "&amp;('Resource Planner'!$G$11+(42-1)*'Resource Planner'!$I$11)&amp;IF(('Resource Planner'!$G$11+(42-1)*'Resource Planner'!$I$11)=MIN('Resource Planner'!$G$11+42*'Resource Planner'!$I$11-1,'Resource Planner'!$H$11),"","–"&amp;MIN('Resource Planner'!$G$11+42*'Resource Planner'!$I$11-1,'Resource Planner'!$H$11)),"")</f>
        <v/>
      </c>
      <c r="G96" s="8" t="s">
        <v>109</v>
      </c>
      <c r="H96" s="8" t="str">
        <f>IF(AND('Resource Planner'!$A$11="☑",42&lt;='Resource Planner'!$N$11),'Resource Planner'!$M$11,"")</f>
        <v/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" s="8" t="str">
        <f>IF(AND('Resource Planner'!$A$11="☑",43&lt;='Resource Planner'!$N$11),'Resource Planner'!$C$11,"")</f>
        <v/>
      </c>
      <c r="C97" s="8" t="str">
        <f>IF(AND('Resource Planner'!$A$11="☑",43&lt;='Resource Planner'!$N$11),'Resource Planner'!$B$11,"")</f>
        <v/>
      </c>
      <c r="D97" s="8" t="str">
        <f>IF(AND('Resource Planner'!$A$11="☑",43&lt;='Resource Planner'!$N$11),'Resource Planner'!$D$11,"")</f>
        <v/>
      </c>
      <c r="E97" s="8" t="str">
        <f>IF(AND('Resource Planner'!$A$11="☑",43&lt;='Resource Planner'!$N$11),'Resource Planner'!$E$11,"")</f>
        <v/>
      </c>
      <c r="F97" s="8" t="str">
        <f>IF(AND('Resource Planner'!$A$11="☑",43&lt;='Resource Planner'!$N$11),'Resource Planner'!$F$11&amp;" "&amp;('Resource Planner'!$G$11+(43-1)*'Resource Planner'!$I$11)&amp;IF(('Resource Planner'!$G$11+(43-1)*'Resource Planner'!$I$11)=MIN('Resource Planner'!$G$11+43*'Resource Planner'!$I$11-1,'Resource Planner'!$H$11),"","–"&amp;MIN('Resource Planner'!$G$11+43*'Resource Planner'!$I$11-1,'Resource Planner'!$H$11)),"")</f>
        <v/>
      </c>
      <c r="G97" s="8" t="s">
        <v>109</v>
      </c>
      <c r="H97" s="8" t="str">
        <f>IF(AND('Resource Planner'!$A$11="☑",43&lt;='Resource Planner'!$N$11),'Resource Planner'!$M$11,"")</f>
        <v/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" s="8" t="str">
        <f>IF(AND('Resource Planner'!$A$11="☑",44&lt;='Resource Planner'!$N$11),'Resource Planner'!$C$11,"")</f>
        <v/>
      </c>
      <c r="C98" s="8" t="str">
        <f>IF(AND('Resource Planner'!$A$11="☑",44&lt;='Resource Planner'!$N$11),'Resource Planner'!$B$11,"")</f>
        <v/>
      </c>
      <c r="D98" s="8" t="str">
        <f>IF(AND('Resource Planner'!$A$11="☑",44&lt;='Resource Planner'!$N$11),'Resource Planner'!$D$11,"")</f>
        <v/>
      </c>
      <c r="E98" s="8" t="str">
        <f>IF(AND('Resource Planner'!$A$11="☑",44&lt;='Resource Planner'!$N$11),'Resource Planner'!$E$11,"")</f>
        <v/>
      </c>
      <c r="F98" s="8" t="str">
        <f>IF(AND('Resource Planner'!$A$11="☑",44&lt;='Resource Planner'!$N$11),'Resource Planner'!$F$11&amp;" "&amp;('Resource Planner'!$G$11+(44-1)*'Resource Planner'!$I$11)&amp;IF(('Resource Planner'!$G$11+(44-1)*'Resource Planner'!$I$11)=MIN('Resource Planner'!$G$11+44*'Resource Planner'!$I$11-1,'Resource Planner'!$H$11),"","–"&amp;MIN('Resource Planner'!$G$11+44*'Resource Planner'!$I$11-1,'Resource Planner'!$H$11)),"")</f>
        <v/>
      </c>
      <c r="G98" s="8" t="s">
        <v>109</v>
      </c>
      <c r="H98" s="8" t="str">
        <f>IF(AND('Resource Planner'!$A$11="☑",44&lt;='Resource Planner'!$N$11),'Resource Planner'!$M$11,"")</f>
        <v/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" s="8" t="str">
        <f>IF(AND('Resource Planner'!$A$11="☑",45&lt;='Resource Planner'!$N$11),'Resource Planner'!$C$11,"")</f>
        <v/>
      </c>
      <c r="C99" s="8" t="str">
        <f>IF(AND('Resource Planner'!$A$11="☑",45&lt;='Resource Planner'!$N$11),'Resource Planner'!$B$11,"")</f>
        <v/>
      </c>
      <c r="D99" s="8" t="str">
        <f>IF(AND('Resource Planner'!$A$11="☑",45&lt;='Resource Planner'!$N$11),'Resource Planner'!$D$11,"")</f>
        <v/>
      </c>
      <c r="E99" s="8" t="str">
        <f>IF(AND('Resource Planner'!$A$11="☑",45&lt;='Resource Planner'!$N$11),'Resource Planner'!$E$11,"")</f>
        <v/>
      </c>
      <c r="F99" s="8" t="str">
        <f>IF(AND('Resource Planner'!$A$11="☑",45&lt;='Resource Planner'!$N$11),'Resource Planner'!$F$11&amp;" "&amp;('Resource Planner'!$G$11+(45-1)*'Resource Planner'!$I$11)&amp;IF(('Resource Planner'!$G$11+(45-1)*'Resource Planner'!$I$11)=MIN('Resource Planner'!$G$11+45*'Resource Planner'!$I$11-1,'Resource Planner'!$H$11),"","–"&amp;MIN('Resource Planner'!$G$11+45*'Resource Planner'!$I$11-1,'Resource Planner'!$H$11)),"")</f>
        <v/>
      </c>
      <c r="G99" s="8" t="s">
        <v>109</v>
      </c>
      <c r="H99" s="8" t="str">
        <f>IF(AND('Resource Planner'!$A$11="☑",45&lt;='Resource Planner'!$N$11),'Resource Planner'!$M$11,"")</f>
        <v/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" s="8" t="str">
        <f>IF(AND('Resource Planner'!$A$11="☑",46&lt;='Resource Planner'!$N$11),'Resource Planner'!$C$11,"")</f>
        <v/>
      </c>
      <c r="C100" s="8" t="str">
        <f>IF(AND('Resource Planner'!$A$11="☑",46&lt;='Resource Planner'!$N$11),'Resource Planner'!$B$11,"")</f>
        <v/>
      </c>
      <c r="D100" s="8" t="str">
        <f>IF(AND('Resource Planner'!$A$11="☑",46&lt;='Resource Planner'!$N$11),'Resource Planner'!$D$11,"")</f>
        <v/>
      </c>
      <c r="E100" s="8" t="str">
        <f>IF(AND('Resource Planner'!$A$11="☑",46&lt;='Resource Planner'!$N$11),'Resource Planner'!$E$11,"")</f>
        <v/>
      </c>
      <c r="F100" s="8" t="str">
        <f>IF(AND('Resource Planner'!$A$11="☑",46&lt;='Resource Planner'!$N$11),'Resource Planner'!$F$11&amp;" "&amp;('Resource Planner'!$G$11+(46-1)*'Resource Planner'!$I$11)&amp;IF(('Resource Planner'!$G$11+(46-1)*'Resource Planner'!$I$11)=MIN('Resource Planner'!$G$11+46*'Resource Planner'!$I$11-1,'Resource Planner'!$H$11),"","–"&amp;MIN('Resource Planner'!$G$11+46*'Resource Planner'!$I$11-1,'Resource Planner'!$H$11)),"")</f>
        <v/>
      </c>
      <c r="G100" s="8" t="s">
        <v>109</v>
      </c>
      <c r="H100" s="8" t="str">
        <f>IF(AND('Resource Planner'!$A$11="☑",46&lt;='Resource Planner'!$N$11),'Resource Planner'!$M$11,"")</f>
        <v/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" s="8" t="str">
        <f>IF(AND('Resource Planner'!$A$11="☑",47&lt;='Resource Planner'!$N$11),'Resource Planner'!$C$11,"")</f>
        <v/>
      </c>
      <c r="C101" s="8" t="str">
        <f>IF(AND('Resource Planner'!$A$11="☑",47&lt;='Resource Planner'!$N$11),'Resource Planner'!$B$11,"")</f>
        <v/>
      </c>
      <c r="D101" s="8" t="str">
        <f>IF(AND('Resource Planner'!$A$11="☑",47&lt;='Resource Planner'!$N$11),'Resource Planner'!$D$11,"")</f>
        <v/>
      </c>
      <c r="E101" s="8" t="str">
        <f>IF(AND('Resource Planner'!$A$11="☑",47&lt;='Resource Planner'!$N$11),'Resource Planner'!$E$11,"")</f>
        <v/>
      </c>
      <c r="F101" s="8" t="str">
        <f>IF(AND('Resource Planner'!$A$11="☑",47&lt;='Resource Planner'!$N$11),'Resource Planner'!$F$11&amp;" "&amp;('Resource Planner'!$G$11+(47-1)*'Resource Planner'!$I$11)&amp;IF(('Resource Planner'!$G$11+(47-1)*'Resource Planner'!$I$11)=MIN('Resource Planner'!$G$11+47*'Resource Planner'!$I$11-1,'Resource Planner'!$H$11),"","–"&amp;MIN('Resource Planner'!$G$11+47*'Resource Planner'!$I$11-1,'Resource Planner'!$H$11)),"")</f>
        <v/>
      </c>
      <c r="G101" s="8" t="s">
        <v>109</v>
      </c>
      <c r="H101" s="8" t="str">
        <f>IF(AND('Resource Planner'!$A$11="☑",47&lt;='Resource Planner'!$N$11),'Resource Planner'!$M$11,"")</f>
        <v/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" s="8" t="str">
        <f>IF(AND('Resource Planner'!$A$11="☑",48&lt;='Resource Planner'!$N$11),'Resource Planner'!$C$11,"")</f>
        <v/>
      </c>
      <c r="C102" s="8" t="str">
        <f>IF(AND('Resource Planner'!$A$11="☑",48&lt;='Resource Planner'!$N$11),'Resource Planner'!$B$11,"")</f>
        <v/>
      </c>
      <c r="D102" s="8" t="str">
        <f>IF(AND('Resource Planner'!$A$11="☑",48&lt;='Resource Planner'!$N$11),'Resource Planner'!$D$11,"")</f>
        <v/>
      </c>
      <c r="E102" s="8" t="str">
        <f>IF(AND('Resource Planner'!$A$11="☑",48&lt;='Resource Planner'!$N$11),'Resource Planner'!$E$11,"")</f>
        <v/>
      </c>
      <c r="F102" s="8" t="str">
        <f>IF(AND('Resource Planner'!$A$11="☑",48&lt;='Resource Planner'!$N$11),'Resource Planner'!$F$11&amp;" "&amp;('Resource Planner'!$G$11+(48-1)*'Resource Planner'!$I$11)&amp;IF(('Resource Planner'!$G$11+(48-1)*'Resource Planner'!$I$11)=MIN('Resource Planner'!$G$11+48*'Resource Planner'!$I$11-1,'Resource Planner'!$H$11),"","–"&amp;MIN('Resource Planner'!$G$11+48*'Resource Planner'!$I$11-1,'Resource Planner'!$H$11)),"")</f>
        <v/>
      </c>
      <c r="G102" s="8" t="s">
        <v>109</v>
      </c>
      <c r="H102" s="8" t="str">
        <f>IF(AND('Resource Planner'!$A$11="☑",48&lt;='Resource Planner'!$N$11),'Resource Planner'!$M$11,"")</f>
        <v/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" s="8" t="str">
        <f>IF(AND('Resource Planner'!$A$11="☑",49&lt;='Resource Planner'!$N$11),'Resource Planner'!$C$11,"")</f>
        <v/>
      </c>
      <c r="C103" s="8" t="str">
        <f>IF(AND('Resource Planner'!$A$11="☑",49&lt;='Resource Planner'!$N$11),'Resource Planner'!$B$11,"")</f>
        <v/>
      </c>
      <c r="D103" s="8" t="str">
        <f>IF(AND('Resource Planner'!$A$11="☑",49&lt;='Resource Planner'!$N$11),'Resource Planner'!$D$11,"")</f>
        <v/>
      </c>
      <c r="E103" s="8" t="str">
        <f>IF(AND('Resource Planner'!$A$11="☑",49&lt;='Resource Planner'!$N$11),'Resource Planner'!$E$11,"")</f>
        <v/>
      </c>
      <c r="F103" s="8" t="str">
        <f>IF(AND('Resource Planner'!$A$11="☑",49&lt;='Resource Planner'!$N$11),'Resource Planner'!$F$11&amp;" "&amp;('Resource Planner'!$G$11+(49-1)*'Resource Planner'!$I$11)&amp;IF(('Resource Planner'!$G$11+(49-1)*'Resource Planner'!$I$11)=MIN('Resource Planner'!$G$11+49*'Resource Planner'!$I$11-1,'Resource Planner'!$H$11),"","–"&amp;MIN('Resource Planner'!$G$11+49*'Resource Planner'!$I$11-1,'Resource Planner'!$H$11)),"")</f>
        <v/>
      </c>
      <c r="G103" s="8" t="s">
        <v>109</v>
      </c>
      <c r="H103" s="8" t="str">
        <f>IF(AND('Resource Planner'!$A$11="☑",49&lt;='Resource Planner'!$N$11),'Resource Planner'!$M$11,"")</f>
        <v/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" s="8" t="str">
        <f>IF(AND('Resource Planner'!$A$11="☑",50&lt;='Resource Planner'!$N$11),'Resource Planner'!$C$11,"")</f>
        <v/>
      </c>
      <c r="C104" s="8" t="str">
        <f>IF(AND('Resource Planner'!$A$11="☑",50&lt;='Resource Planner'!$N$11),'Resource Planner'!$B$11,"")</f>
        <v/>
      </c>
      <c r="D104" s="8" t="str">
        <f>IF(AND('Resource Planner'!$A$11="☑",50&lt;='Resource Planner'!$N$11),'Resource Planner'!$D$11,"")</f>
        <v/>
      </c>
      <c r="E104" s="8" t="str">
        <f>IF(AND('Resource Planner'!$A$11="☑",50&lt;='Resource Planner'!$N$11),'Resource Planner'!$E$11,"")</f>
        <v/>
      </c>
      <c r="F104" s="8" t="str">
        <f>IF(AND('Resource Planner'!$A$11="☑",50&lt;='Resource Planner'!$N$11),'Resource Planner'!$F$11&amp;" "&amp;('Resource Planner'!$G$11+(50-1)*'Resource Planner'!$I$11)&amp;IF(('Resource Planner'!$G$11+(50-1)*'Resource Planner'!$I$11)=MIN('Resource Planner'!$G$11+50*'Resource Planner'!$I$11-1,'Resource Planner'!$H$11),"","–"&amp;MIN('Resource Planner'!$G$11+50*'Resource Planner'!$I$11-1,'Resource Planner'!$H$11)),"")</f>
        <v/>
      </c>
      <c r="G104" s="8" t="s">
        <v>109</v>
      </c>
      <c r="H104" s="8" t="str">
        <f>IF(AND('Resource Planner'!$A$11="☑",50&lt;='Resource Planner'!$N$11),'Resource Planner'!$M$11,"")</f>
        <v/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Co-op"",n&lt;=lessons,st&lt;&gt;""""),INDEX(eligibleDates,startPos+offset),"""")),"""")"),46252.0)</f>
        <v>46252</v>
      </c>
      <c r="B105" s="451" t="str">
        <f>IF(AND('Resource Planner'!$A$12="☑",1&lt;='Resource Planner'!$N$12),'Resource Planner'!$C$12,"")</f>
        <v>Jeremiah</v>
      </c>
      <c r="C105" s="451" t="str">
        <f>IF(AND('Resource Planner'!$A$12="☑",1&lt;='Resource Planner'!$N$12),'Resource Planner'!$B$12,"")</f>
        <v>Outside / Co-op</v>
      </c>
      <c r="D105" s="451" t="str">
        <f>IF(AND('Resource Planner'!$A$12="☑",1&lt;='Resource Planner'!$N$12),'Resource Planner'!$D$12,"")</f>
        <v>Form IV / Science / Nature — Science</v>
      </c>
      <c r="E105" s="451" t="str">
        <f>IF(AND('Resource Planner'!$A$12="☑",1&lt;='Resource Planner'!$N$12),'Resource Planner'!$E$12,"")</f>
        <v>Biology Course</v>
      </c>
      <c r="F105" s="8" t="str">
        <f>IF(AND('Resource Planner'!$A$12="☑",1&lt;='Resource Planner'!$N$12),'Resource Planner'!$F$12&amp;" "&amp;('Resource Planner'!$G$12+(1-1)*'Resource Planner'!$I$12)&amp;IF(('Resource Planner'!$G$12+(1-1)*'Resource Planner'!$I$12)=MIN('Resource Planner'!$G$12+1*'Resource Planner'!$I$12-1,'Resource Planner'!$H$12),"","–"&amp;MIN('Resource Planner'!$G$12+1*'Resource Planner'!$I$12-1,'Resource Planner'!$H$12)),"")</f>
        <v>Lesson 1</v>
      </c>
      <c r="G105" s="8" t="s">
        <v>109</v>
      </c>
      <c r="H105" s="451" t="str">
        <f>IF(AND('Resource Planner'!$A$12="☑",1&lt;='Resource Planner'!$N$12),'Resource Planner'!$M$12,"")</f>
        <v>sample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Co-op"",n&lt;=lessons,st&lt;&gt;""""),INDEX(eligibleDates,startPos+offset),"""")),"""")"),46259.0)</f>
        <v>46259</v>
      </c>
      <c r="B106" s="451" t="str">
        <f>IF(AND('Resource Planner'!$A$12="☑",2&lt;='Resource Planner'!$N$12),'Resource Planner'!$C$12,"")</f>
        <v>Jeremiah</v>
      </c>
      <c r="C106" s="451" t="str">
        <f>IF(AND('Resource Planner'!$A$12="☑",2&lt;='Resource Planner'!$N$12),'Resource Planner'!$B$12,"")</f>
        <v>Outside / Co-op</v>
      </c>
      <c r="D106" s="451" t="str">
        <f>IF(AND('Resource Planner'!$A$12="☑",2&lt;='Resource Planner'!$N$12),'Resource Planner'!$D$12,"")</f>
        <v>Form IV / Science / Nature — Science</v>
      </c>
      <c r="E106" s="451" t="str">
        <f>IF(AND('Resource Planner'!$A$12="☑",2&lt;='Resource Planner'!$N$12),'Resource Planner'!$E$12,"")</f>
        <v>Biology Course</v>
      </c>
      <c r="F106" s="8" t="str">
        <f>IF(AND('Resource Planner'!$A$12="☑",2&lt;='Resource Planner'!$N$12),'Resource Planner'!$F$12&amp;" "&amp;('Resource Planner'!$G$12+(2-1)*'Resource Planner'!$I$12)&amp;IF(('Resource Planner'!$G$12+(2-1)*'Resource Planner'!$I$12)=MIN('Resource Planner'!$G$12+2*'Resource Planner'!$I$12-1,'Resource Planner'!$H$12),"","–"&amp;MIN('Resource Planner'!$G$12+2*'Resource Planner'!$I$12-1,'Resource Planner'!$H$12)),"")</f>
        <v>Lesson 2</v>
      </c>
      <c r="G106" s="8" t="s">
        <v>109</v>
      </c>
      <c r="H106" s="451" t="str">
        <f>IF(AND('Resource Planner'!$A$12="☑",2&lt;='Resource Planner'!$N$12),'Resource Planner'!$M$12,"")</f>
        <v>sample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Co-op"",n&lt;=lessons,st&lt;&gt;""""),INDEX(eligibleDates,startPos+offset),"""")),"""")"),46266.0)</f>
        <v>46266</v>
      </c>
      <c r="B107" s="451" t="str">
        <f>IF(AND('Resource Planner'!$A$12="☑",3&lt;='Resource Planner'!$N$12),'Resource Planner'!$C$12,"")</f>
        <v>Jeremiah</v>
      </c>
      <c r="C107" s="451" t="str">
        <f>IF(AND('Resource Planner'!$A$12="☑",3&lt;='Resource Planner'!$N$12),'Resource Planner'!$B$12,"")</f>
        <v>Outside / Co-op</v>
      </c>
      <c r="D107" s="451" t="str">
        <f>IF(AND('Resource Planner'!$A$12="☑",3&lt;='Resource Planner'!$N$12),'Resource Planner'!$D$12,"")</f>
        <v>Form IV / Science / Nature — Science</v>
      </c>
      <c r="E107" s="451" t="str">
        <f>IF(AND('Resource Planner'!$A$12="☑",3&lt;='Resource Planner'!$N$12),'Resource Planner'!$E$12,"")</f>
        <v>Biology Course</v>
      </c>
      <c r="F107" s="8" t="str">
        <f>IF(AND('Resource Planner'!$A$12="☑",3&lt;='Resource Planner'!$N$12),'Resource Planner'!$F$12&amp;" "&amp;('Resource Planner'!$G$12+(3-1)*'Resource Planner'!$I$12)&amp;IF(('Resource Planner'!$G$12+(3-1)*'Resource Planner'!$I$12)=MIN('Resource Planner'!$G$12+3*'Resource Planner'!$I$12-1,'Resource Planner'!$H$12),"","–"&amp;MIN('Resource Planner'!$G$12+3*'Resource Planner'!$I$12-1,'Resource Planner'!$H$12)),"")</f>
        <v>Lesson 3</v>
      </c>
      <c r="G107" s="8" t="s">
        <v>109</v>
      </c>
      <c r="H107" s="451" t="str">
        <f>IF(AND('Resource Planner'!$A$12="☑",3&lt;='Resource Planner'!$N$12),'Resource Planner'!$M$12,"")</f>
        <v>sample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Co-op"",n&lt;=lessons,st&lt;&gt;""""),INDEX(eligibleDates,startPos+offset),"""")),"""")"),46273.0)</f>
        <v>46273</v>
      </c>
      <c r="B108" s="451" t="str">
        <f>IF(AND('Resource Planner'!$A$12="☑",4&lt;='Resource Planner'!$N$12),'Resource Planner'!$C$12,"")</f>
        <v>Jeremiah</v>
      </c>
      <c r="C108" s="451" t="str">
        <f>IF(AND('Resource Planner'!$A$12="☑",4&lt;='Resource Planner'!$N$12),'Resource Planner'!$B$12,"")</f>
        <v>Outside / Co-op</v>
      </c>
      <c r="D108" s="451" t="str">
        <f>IF(AND('Resource Planner'!$A$12="☑",4&lt;='Resource Planner'!$N$12),'Resource Planner'!$D$12,"")</f>
        <v>Form IV / Science / Nature — Science</v>
      </c>
      <c r="E108" s="451" t="str">
        <f>IF(AND('Resource Planner'!$A$12="☑",4&lt;='Resource Planner'!$N$12),'Resource Planner'!$E$12,"")</f>
        <v>Biology Course</v>
      </c>
      <c r="F108" s="8" t="str">
        <f>IF(AND('Resource Planner'!$A$12="☑",4&lt;='Resource Planner'!$N$12),'Resource Planner'!$F$12&amp;" "&amp;('Resource Planner'!$G$12+(4-1)*'Resource Planner'!$I$12)&amp;IF(('Resource Planner'!$G$12+(4-1)*'Resource Planner'!$I$12)=MIN('Resource Planner'!$G$12+4*'Resource Planner'!$I$12-1,'Resource Planner'!$H$12),"","–"&amp;MIN('Resource Planner'!$G$12+4*'Resource Planner'!$I$12-1,'Resource Planner'!$H$12)),"")</f>
        <v>Lesson 4</v>
      </c>
      <c r="G108" s="8" t="s">
        <v>109</v>
      </c>
      <c r="H108" s="451" t="str">
        <f>IF(AND('Resource Planner'!$A$12="☑",4&lt;='Resource Planner'!$N$12),'Resource Planner'!$M$12,"")</f>
        <v>sample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Co-op"",n&lt;=lessons,st&lt;&gt;""""),INDEX(eligibleDates,startPos+offset),"""")),"""")"),46280.0)</f>
        <v>46280</v>
      </c>
      <c r="B109" s="451" t="str">
        <f>IF(AND('Resource Planner'!$A$12="☑",5&lt;='Resource Planner'!$N$12),'Resource Planner'!$C$12,"")</f>
        <v>Jeremiah</v>
      </c>
      <c r="C109" s="451" t="str">
        <f>IF(AND('Resource Planner'!$A$12="☑",5&lt;='Resource Planner'!$N$12),'Resource Planner'!$B$12,"")</f>
        <v>Outside / Co-op</v>
      </c>
      <c r="D109" s="451" t="str">
        <f>IF(AND('Resource Planner'!$A$12="☑",5&lt;='Resource Planner'!$N$12),'Resource Planner'!$D$12,"")</f>
        <v>Form IV / Science / Nature — Science</v>
      </c>
      <c r="E109" s="451" t="str">
        <f>IF(AND('Resource Planner'!$A$12="☑",5&lt;='Resource Planner'!$N$12),'Resource Planner'!$E$12,"")</f>
        <v>Biology Course</v>
      </c>
      <c r="F109" s="8" t="str">
        <f>IF(AND('Resource Planner'!$A$12="☑",5&lt;='Resource Planner'!$N$12),'Resource Planner'!$F$12&amp;" "&amp;('Resource Planner'!$G$12+(5-1)*'Resource Planner'!$I$12)&amp;IF(('Resource Planner'!$G$12+(5-1)*'Resource Planner'!$I$12)=MIN('Resource Planner'!$G$12+5*'Resource Planner'!$I$12-1,'Resource Planner'!$H$12),"","–"&amp;MIN('Resource Planner'!$G$12+5*'Resource Planner'!$I$12-1,'Resource Planner'!$H$12)),"")</f>
        <v>Lesson 5</v>
      </c>
      <c r="G109" s="8" t="s">
        <v>109</v>
      </c>
      <c r="H109" s="451" t="str">
        <f>IF(AND('Resource Planner'!$A$12="☑",5&lt;='Resource Planner'!$N$12),'Resource Planner'!$M$12,"")</f>
        <v>sample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Co-op"",n&lt;=lessons,st&lt;&gt;""""),INDEX(eligibleDates,startPos+offset),"""")),"""")"),46287.0)</f>
        <v>46287</v>
      </c>
      <c r="B110" s="451" t="str">
        <f>IF(AND('Resource Planner'!$A$12="☑",6&lt;='Resource Planner'!$N$12),'Resource Planner'!$C$12,"")</f>
        <v>Jeremiah</v>
      </c>
      <c r="C110" s="451" t="str">
        <f>IF(AND('Resource Planner'!$A$12="☑",6&lt;='Resource Planner'!$N$12),'Resource Planner'!$B$12,"")</f>
        <v>Outside / Co-op</v>
      </c>
      <c r="D110" s="451" t="str">
        <f>IF(AND('Resource Planner'!$A$12="☑",6&lt;='Resource Planner'!$N$12),'Resource Planner'!$D$12,"")</f>
        <v>Form IV / Science / Nature — Science</v>
      </c>
      <c r="E110" s="451" t="str">
        <f>IF(AND('Resource Planner'!$A$12="☑",6&lt;='Resource Planner'!$N$12),'Resource Planner'!$E$12,"")</f>
        <v>Biology Course</v>
      </c>
      <c r="F110" s="8" t="str">
        <f>IF(AND('Resource Planner'!$A$12="☑",6&lt;='Resource Planner'!$N$12),'Resource Planner'!$F$12&amp;" "&amp;('Resource Planner'!$G$12+(6-1)*'Resource Planner'!$I$12)&amp;IF(('Resource Planner'!$G$12+(6-1)*'Resource Planner'!$I$12)=MIN('Resource Planner'!$G$12+6*'Resource Planner'!$I$12-1,'Resource Planner'!$H$12),"","–"&amp;MIN('Resource Planner'!$G$12+6*'Resource Planner'!$I$12-1,'Resource Planner'!$H$12)),"")</f>
        <v>Lesson 6</v>
      </c>
      <c r="G110" s="8" t="s">
        <v>109</v>
      </c>
      <c r="H110" s="451" t="str">
        <f>IF(AND('Resource Planner'!$A$12="☑",6&lt;='Resource Planner'!$N$12),'Resource Planner'!$M$12,"")</f>
        <v>sample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Co-op"",n&lt;=lessons,st&lt;&gt;""""),INDEX(eligibleDates,startPos+offset),"""")),"""")"),46294.0)</f>
        <v>46294</v>
      </c>
      <c r="B111" s="451" t="str">
        <f>IF(AND('Resource Planner'!$A$12="☑",7&lt;='Resource Planner'!$N$12),'Resource Planner'!$C$12,"")</f>
        <v>Jeremiah</v>
      </c>
      <c r="C111" s="451" t="str">
        <f>IF(AND('Resource Planner'!$A$12="☑",7&lt;='Resource Planner'!$N$12),'Resource Planner'!$B$12,"")</f>
        <v>Outside / Co-op</v>
      </c>
      <c r="D111" s="451" t="str">
        <f>IF(AND('Resource Planner'!$A$12="☑",7&lt;='Resource Planner'!$N$12),'Resource Planner'!$D$12,"")</f>
        <v>Form IV / Science / Nature — Science</v>
      </c>
      <c r="E111" s="451" t="str">
        <f>IF(AND('Resource Planner'!$A$12="☑",7&lt;='Resource Planner'!$N$12),'Resource Planner'!$E$12,"")</f>
        <v>Biology Course</v>
      </c>
      <c r="F111" s="8" t="str">
        <f>IF(AND('Resource Planner'!$A$12="☑",7&lt;='Resource Planner'!$N$12),'Resource Planner'!$F$12&amp;" "&amp;('Resource Planner'!$G$12+(7-1)*'Resource Planner'!$I$12)&amp;IF(('Resource Planner'!$G$12+(7-1)*'Resource Planner'!$I$12)=MIN('Resource Planner'!$G$12+7*'Resource Planner'!$I$12-1,'Resource Planner'!$H$12),"","–"&amp;MIN('Resource Planner'!$G$12+7*'Resource Planner'!$I$12-1,'Resource Planner'!$H$12)),"")</f>
        <v>Lesson 7</v>
      </c>
      <c r="G111" s="8" t="s">
        <v>109</v>
      </c>
      <c r="H111" s="451" t="str">
        <f>IF(AND('Resource Planner'!$A$12="☑",7&lt;='Resource Planner'!$N$12),'Resource Planner'!$M$12,"")</f>
        <v>sample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Co-op"",n&lt;=lessons,st&lt;&gt;""""),INDEX(eligibleDates,startPos+offset),"""")),"""")"),46301.0)</f>
        <v>46301</v>
      </c>
      <c r="B112" s="451" t="str">
        <f>IF(AND('Resource Planner'!$A$12="☑",8&lt;='Resource Planner'!$N$12),'Resource Planner'!$C$12,"")</f>
        <v>Jeremiah</v>
      </c>
      <c r="C112" s="451" t="str">
        <f>IF(AND('Resource Planner'!$A$12="☑",8&lt;='Resource Planner'!$N$12),'Resource Planner'!$B$12,"")</f>
        <v>Outside / Co-op</v>
      </c>
      <c r="D112" s="451" t="str">
        <f>IF(AND('Resource Planner'!$A$12="☑",8&lt;='Resource Planner'!$N$12),'Resource Planner'!$D$12,"")</f>
        <v>Form IV / Science / Nature — Science</v>
      </c>
      <c r="E112" s="451" t="str">
        <f>IF(AND('Resource Planner'!$A$12="☑",8&lt;='Resource Planner'!$N$12),'Resource Planner'!$E$12,"")</f>
        <v>Biology Course</v>
      </c>
      <c r="F112" s="8" t="str">
        <f>IF(AND('Resource Planner'!$A$12="☑",8&lt;='Resource Planner'!$N$12),'Resource Planner'!$F$12&amp;" "&amp;('Resource Planner'!$G$12+(8-1)*'Resource Planner'!$I$12)&amp;IF(('Resource Planner'!$G$12+(8-1)*'Resource Planner'!$I$12)=MIN('Resource Planner'!$G$12+8*'Resource Planner'!$I$12-1,'Resource Planner'!$H$12),"","–"&amp;MIN('Resource Planner'!$G$12+8*'Resource Planner'!$I$12-1,'Resource Planner'!$H$12)),"")</f>
        <v>Lesson 8</v>
      </c>
      <c r="G112" s="8" t="s">
        <v>109</v>
      </c>
      <c r="H112" s="451" t="str">
        <f>IF(AND('Resource Planner'!$A$12="☑",8&lt;='Resource Planner'!$N$12),'Resource Planner'!$M$12,"")</f>
        <v>sample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Co-op"",n&lt;=lessons,st&lt;&gt;""""),INDEX(eligibleDates,startPos+offset),"""")),"""")"),46308.0)</f>
        <v>46308</v>
      </c>
      <c r="B113" s="451" t="str">
        <f>IF(AND('Resource Planner'!$A$12="☑",9&lt;='Resource Planner'!$N$12),'Resource Planner'!$C$12,"")</f>
        <v>Jeremiah</v>
      </c>
      <c r="C113" s="451" t="str">
        <f>IF(AND('Resource Planner'!$A$12="☑",9&lt;='Resource Planner'!$N$12),'Resource Planner'!$B$12,"")</f>
        <v>Outside / Co-op</v>
      </c>
      <c r="D113" s="451" t="str">
        <f>IF(AND('Resource Planner'!$A$12="☑",9&lt;='Resource Planner'!$N$12),'Resource Planner'!$D$12,"")</f>
        <v>Form IV / Science / Nature — Science</v>
      </c>
      <c r="E113" s="451" t="str">
        <f>IF(AND('Resource Planner'!$A$12="☑",9&lt;='Resource Planner'!$N$12),'Resource Planner'!$E$12,"")</f>
        <v>Biology Course</v>
      </c>
      <c r="F113" s="8" t="str">
        <f>IF(AND('Resource Planner'!$A$12="☑",9&lt;='Resource Planner'!$N$12),'Resource Planner'!$F$12&amp;" "&amp;('Resource Planner'!$G$12+(9-1)*'Resource Planner'!$I$12)&amp;IF(('Resource Planner'!$G$12+(9-1)*'Resource Planner'!$I$12)=MIN('Resource Planner'!$G$12+9*'Resource Planner'!$I$12-1,'Resource Planner'!$H$12),"","–"&amp;MIN('Resource Planner'!$G$12+9*'Resource Planner'!$I$12-1,'Resource Planner'!$H$12)),"")</f>
        <v>Lesson 9</v>
      </c>
      <c r="G113" s="8" t="s">
        <v>109</v>
      </c>
      <c r="H113" s="451" t="str">
        <f>IF(AND('Resource Planner'!$A$12="☑",9&lt;='Resource Planner'!$N$12),'Resource Planner'!$M$12,"")</f>
        <v>sample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Co-op"",n&lt;=lessons,st&lt;&gt;""""),INDEX(eligibleDates,startPos+offset),"""")),"""")"),46315.0)</f>
        <v>46315</v>
      </c>
      <c r="B114" s="451" t="str">
        <f>IF(AND('Resource Planner'!$A$12="☑",10&lt;='Resource Planner'!$N$12),'Resource Planner'!$C$12,"")</f>
        <v>Jeremiah</v>
      </c>
      <c r="C114" s="451" t="str">
        <f>IF(AND('Resource Planner'!$A$12="☑",10&lt;='Resource Planner'!$N$12),'Resource Planner'!$B$12,"")</f>
        <v>Outside / Co-op</v>
      </c>
      <c r="D114" s="451" t="str">
        <f>IF(AND('Resource Planner'!$A$12="☑",10&lt;='Resource Planner'!$N$12),'Resource Planner'!$D$12,"")</f>
        <v>Form IV / Science / Nature — Science</v>
      </c>
      <c r="E114" s="451" t="str">
        <f>IF(AND('Resource Planner'!$A$12="☑",10&lt;='Resource Planner'!$N$12),'Resource Planner'!$E$12,"")</f>
        <v>Biology Course</v>
      </c>
      <c r="F114" s="8" t="str">
        <f>IF(AND('Resource Planner'!$A$12="☑",10&lt;='Resource Planner'!$N$12),'Resource Planner'!$F$12&amp;" "&amp;('Resource Planner'!$G$12+(10-1)*'Resource Planner'!$I$12)&amp;IF(('Resource Planner'!$G$12+(10-1)*'Resource Planner'!$I$12)=MIN('Resource Planner'!$G$12+10*'Resource Planner'!$I$12-1,'Resource Planner'!$H$12),"","–"&amp;MIN('Resource Planner'!$G$12+10*'Resource Planner'!$I$12-1,'Resource Planner'!$H$12)),"")</f>
        <v>Lesson 10</v>
      </c>
      <c r="G114" s="8" t="s">
        <v>109</v>
      </c>
      <c r="H114" s="451" t="str">
        <f>IF(AND('Resource Planner'!$A$12="☑",10&lt;='Resource Planner'!$N$12),'Resource Planner'!$M$12,"")</f>
        <v>sample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Co-op"",n&lt;=lessons,st&lt;&gt;""""),INDEX(eligibleDates,startPos+offset),"""")),"""")"),46329.0)</f>
        <v>46329</v>
      </c>
      <c r="B115" s="451" t="str">
        <f>IF(AND('Resource Planner'!$A$12="☑",11&lt;='Resource Planner'!$N$12),'Resource Planner'!$C$12,"")</f>
        <v>Jeremiah</v>
      </c>
      <c r="C115" s="451" t="str">
        <f>IF(AND('Resource Planner'!$A$12="☑",11&lt;='Resource Planner'!$N$12),'Resource Planner'!$B$12,"")</f>
        <v>Outside / Co-op</v>
      </c>
      <c r="D115" s="451" t="str">
        <f>IF(AND('Resource Planner'!$A$12="☑",11&lt;='Resource Planner'!$N$12),'Resource Planner'!$D$12,"")</f>
        <v>Form IV / Science / Nature — Science</v>
      </c>
      <c r="E115" s="451" t="str">
        <f>IF(AND('Resource Planner'!$A$12="☑",11&lt;='Resource Planner'!$N$12),'Resource Planner'!$E$12,"")</f>
        <v>Biology Course</v>
      </c>
      <c r="F115" s="8" t="str">
        <f>IF(AND('Resource Planner'!$A$12="☑",11&lt;='Resource Planner'!$N$12),'Resource Planner'!$F$12&amp;" "&amp;('Resource Planner'!$G$12+(11-1)*'Resource Planner'!$I$12)&amp;IF(('Resource Planner'!$G$12+(11-1)*'Resource Planner'!$I$12)=MIN('Resource Planner'!$G$12+11*'Resource Planner'!$I$12-1,'Resource Planner'!$H$12),"","–"&amp;MIN('Resource Planner'!$G$12+11*'Resource Planner'!$I$12-1,'Resource Planner'!$H$12)),"")</f>
        <v>Lesson 11</v>
      </c>
      <c r="G115" s="8" t="s">
        <v>109</v>
      </c>
      <c r="H115" s="451" t="str">
        <f>IF(AND('Resource Planner'!$A$12="☑",11&lt;='Resource Planner'!$N$12),'Resource Planner'!$M$12,"")</f>
        <v>sample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Co-op"",n&lt;=lessons,st&lt;&gt;""""),INDEX(eligibleDates,startPos+offset),"""")),"""")"),46336.0)</f>
        <v>46336</v>
      </c>
      <c r="B116" s="451" t="str">
        <f>IF(AND('Resource Planner'!$A$12="☑",12&lt;='Resource Planner'!$N$12),'Resource Planner'!$C$12,"")</f>
        <v>Jeremiah</v>
      </c>
      <c r="C116" s="451" t="str">
        <f>IF(AND('Resource Planner'!$A$12="☑",12&lt;='Resource Planner'!$N$12),'Resource Planner'!$B$12,"")</f>
        <v>Outside / Co-op</v>
      </c>
      <c r="D116" s="451" t="str">
        <f>IF(AND('Resource Planner'!$A$12="☑",12&lt;='Resource Planner'!$N$12),'Resource Planner'!$D$12,"")</f>
        <v>Form IV / Science / Nature — Science</v>
      </c>
      <c r="E116" s="451" t="str">
        <f>IF(AND('Resource Planner'!$A$12="☑",12&lt;='Resource Planner'!$N$12),'Resource Planner'!$E$12,"")</f>
        <v>Biology Course</v>
      </c>
      <c r="F116" s="8" t="str">
        <f>IF(AND('Resource Planner'!$A$12="☑",12&lt;='Resource Planner'!$N$12),'Resource Planner'!$F$12&amp;" "&amp;('Resource Planner'!$G$12+(12-1)*'Resource Planner'!$I$12)&amp;IF(('Resource Planner'!$G$12+(12-1)*'Resource Planner'!$I$12)=MIN('Resource Planner'!$G$12+12*'Resource Planner'!$I$12-1,'Resource Planner'!$H$12),"","–"&amp;MIN('Resource Planner'!$G$12+12*'Resource Planner'!$I$12-1,'Resource Planner'!$H$12)),"")</f>
        <v>Lesson 12</v>
      </c>
      <c r="G116" s="8" t="s">
        <v>109</v>
      </c>
      <c r="H116" s="451" t="str">
        <f>IF(AND('Resource Planner'!$A$12="☑",12&lt;='Resource Planner'!$N$12),'Resource Planner'!$M$12,"")</f>
        <v>sample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Co-op"",n&lt;=lessons,st&lt;&gt;""""),INDEX(eligibleDates,startPos+offset),"""")),"""")"),46343.0)</f>
        <v>46343</v>
      </c>
      <c r="B117" s="451" t="str">
        <f>IF(AND('Resource Planner'!$A$12="☑",13&lt;='Resource Planner'!$N$12),'Resource Planner'!$C$12,"")</f>
        <v>Jeremiah</v>
      </c>
      <c r="C117" s="451" t="str">
        <f>IF(AND('Resource Planner'!$A$12="☑",13&lt;='Resource Planner'!$N$12),'Resource Planner'!$B$12,"")</f>
        <v>Outside / Co-op</v>
      </c>
      <c r="D117" s="451" t="str">
        <f>IF(AND('Resource Planner'!$A$12="☑",13&lt;='Resource Planner'!$N$12),'Resource Planner'!$D$12,"")</f>
        <v>Form IV / Science / Nature — Science</v>
      </c>
      <c r="E117" s="451" t="str">
        <f>IF(AND('Resource Planner'!$A$12="☑",13&lt;='Resource Planner'!$N$12),'Resource Planner'!$E$12,"")</f>
        <v>Biology Course</v>
      </c>
      <c r="F117" s="8" t="str">
        <f>IF(AND('Resource Planner'!$A$12="☑",13&lt;='Resource Planner'!$N$12),'Resource Planner'!$F$12&amp;" "&amp;('Resource Planner'!$G$12+(13-1)*'Resource Planner'!$I$12)&amp;IF(('Resource Planner'!$G$12+(13-1)*'Resource Planner'!$I$12)=MIN('Resource Planner'!$G$12+13*'Resource Planner'!$I$12-1,'Resource Planner'!$H$12),"","–"&amp;MIN('Resource Planner'!$G$12+13*'Resource Planner'!$I$12-1,'Resource Planner'!$H$12)),"")</f>
        <v>Lesson 13</v>
      </c>
      <c r="G117" s="8" t="s">
        <v>109</v>
      </c>
      <c r="H117" s="451" t="str">
        <f>IF(AND('Resource Planner'!$A$12="☑",13&lt;='Resource Planner'!$N$12),'Resource Planner'!$M$12,"")</f>
        <v>sample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Co-op"",n&lt;=lessons,st&lt;&gt;""""),INDEX(eligibleDates,startPos+offset),"""")),"""")"),46350.0)</f>
        <v>46350</v>
      </c>
      <c r="B118" s="451" t="str">
        <f>IF(AND('Resource Planner'!$A$12="☑",14&lt;='Resource Planner'!$N$12),'Resource Planner'!$C$12,"")</f>
        <v>Jeremiah</v>
      </c>
      <c r="C118" s="451" t="str">
        <f>IF(AND('Resource Planner'!$A$12="☑",14&lt;='Resource Planner'!$N$12),'Resource Planner'!$B$12,"")</f>
        <v>Outside / Co-op</v>
      </c>
      <c r="D118" s="451" t="str">
        <f>IF(AND('Resource Planner'!$A$12="☑",14&lt;='Resource Planner'!$N$12),'Resource Planner'!$D$12,"")</f>
        <v>Form IV / Science / Nature — Science</v>
      </c>
      <c r="E118" s="451" t="str">
        <f>IF(AND('Resource Planner'!$A$12="☑",14&lt;='Resource Planner'!$N$12),'Resource Planner'!$E$12,"")</f>
        <v>Biology Course</v>
      </c>
      <c r="F118" s="8" t="str">
        <f>IF(AND('Resource Planner'!$A$12="☑",14&lt;='Resource Planner'!$N$12),'Resource Planner'!$F$12&amp;" "&amp;('Resource Planner'!$G$12+(14-1)*'Resource Planner'!$I$12)&amp;IF(('Resource Planner'!$G$12+(14-1)*'Resource Planner'!$I$12)=MIN('Resource Planner'!$G$12+14*'Resource Planner'!$I$12-1,'Resource Planner'!$H$12),"","–"&amp;MIN('Resource Planner'!$G$12+14*'Resource Planner'!$I$12-1,'Resource Planner'!$H$12)),"")</f>
        <v>Lesson 14</v>
      </c>
      <c r="G118" s="8" t="s">
        <v>109</v>
      </c>
      <c r="H118" s="451" t="str">
        <f>IF(AND('Resource Planner'!$A$12="☑",14&lt;='Resource Planner'!$N$12),'Resource Planner'!$M$12,"")</f>
        <v>sample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Co-op"",n&lt;=lessons,st&lt;&gt;""""),INDEX(eligibleDates,startPos+offset),"""")),"""")"),46357.0)</f>
        <v>46357</v>
      </c>
      <c r="B119" s="451" t="str">
        <f>IF(AND('Resource Planner'!$A$12="☑",15&lt;='Resource Planner'!$N$12),'Resource Planner'!$C$12,"")</f>
        <v>Jeremiah</v>
      </c>
      <c r="C119" s="451" t="str">
        <f>IF(AND('Resource Planner'!$A$12="☑",15&lt;='Resource Planner'!$N$12),'Resource Planner'!$B$12,"")</f>
        <v>Outside / Co-op</v>
      </c>
      <c r="D119" s="451" t="str">
        <f>IF(AND('Resource Planner'!$A$12="☑",15&lt;='Resource Planner'!$N$12),'Resource Planner'!$D$12,"")</f>
        <v>Form IV / Science / Nature — Science</v>
      </c>
      <c r="E119" s="451" t="str">
        <f>IF(AND('Resource Planner'!$A$12="☑",15&lt;='Resource Planner'!$N$12),'Resource Planner'!$E$12,"")</f>
        <v>Biology Course</v>
      </c>
      <c r="F119" s="8" t="str">
        <f>IF(AND('Resource Planner'!$A$12="☑",15&lt;='Resource Planner'!$N$12),'Resource Planner'!$F$12&amp;" "&amp;('Resource Planner'!$G$12+(15-1)*'Resource Planner'!$I$12)&amp;IF(('Resource Planner'!$G$12+(15-1)*'Resource Planner'!$I$12)=MIN('Resource Planner'!$G$12+15*'Resource Planner'!$I$12-1,'Resource Planner'!$H$12),"","–"&amp;MIN('Resource Planner'!$G$12+15*'Resource Planner'!$I$12-1,'Resource Planner'!$H$12)),"")</f>
        <v>Lesson 15</v>
      </c>
      <c r="G119" s="8" t="s">
        <v>109</v>
      </c>
      <c r="H119" s="451" t="str">
        <f>IF(AND('Resource Planner'!$A$12="☑",15&lt;='Resource Planner'!$N$12),'Resource Planner'!$M$12,"")</f>
        <v>sample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Co-op"",n&lt;=lessons,st&lt;&gt;""""),INDEX(eligibleDates,startPos+offset),"""")),"""")"),46364.0)</f>
        <v>46364</v>
      </c>
      <c r="B120" s="451" t="str">
        <f>IF(AND('Resource Planner'!$A$12="☑",16&lt;='Resource Planner'!$N$12),'Resource Planner'!$C$12,"")</f>
        <v>Jeremiah</v>
      </c>
      <c r="C120" s="451" t="str">
        <f>IF(AND('Resource Planner'!$A$12="☑",16&lt;='Resource Planner'!$N$12),'Resource Planner'!$B$12,"")</f>
        <v>Outside / Co-op</v>
      </c>
      <c r="D120" s="451" t="str">
        <f>IF(AND('Resource Planner'!$A$12="☑",16&lt;='Resource Planner'!$N$12),'Resource Planner'!$D$12,"")</f>
        <v>Form IV / Science / Nature — Science</v>
      </c>
      <c r="E120" s="451" t="str">
        <f>IF(AND('Resource Planner'!$A$12="☑",16&lt;='Resource Planner'!$N$12),'Resource Planner'!$E$12,"")</f>
        <v>Biology Course</v>
      </c>
      <c r="F120" s="8" t="str">
        <f>IF(AND('Resource Planner'!$A$12="☑",16&lt;='Resource Planner'!$N$12),'Resource Planner'!$F$12&amp;" "&amp;('Resource Planner'!$G$12+(16-1)*'Resource Planner'!$I$12)&amp;IF(('Resource Planner'!$G$12+(16-1)*'Resource Planner'!$I$12)=MIN('Resource Planner'!$G$12+16*'Resource Planner'!$I$12-1,'Resource Planner'!$H$12),"","–"&amp;MIN('Resource Planner'!$G$12+16*'Resource Planner'!$I$12-1,'Resource Planner'!$H$12)),"")</f>
        <v>Lesson 16</v>
      </c>
      <c r="G120" s="8" t="s">
        <v>109</v>
      </c>
      <c r="H120" s="451" t="str">
        <f>IF(AND('Resource Planner'!$A$12="☑",16&lt;='Resource Planner'!$N$12),'Resource Planner'!$M$12,"")</f>
        <v>sample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Co-op"",n&lt;=lessons,st&lt;&gt;""""),INDEX(eligibleDates,startPos+offset),"""")),"""")"),46371.0)</f>
        <v>46371</v>
      </c>
      <c r="B121" s="451" t="str">
        <f>IF(AND('Resource Planner'!$A$12="☑",17&lt;='Resource Planner'!$N$12),'Resource Planner'!$C$12,"")</f>
        <v>Jeremiah</v>
      </c>
      <c r="C121" s="451" t="str">
        <f>IF(AND('Resource Planner'!$A$12="☑",17&lt;='Resource Planner'!$N$12),'Resource Planner'!$B$12,"")</f>
        <v>Outside / Co-op</v>
      </c>
      <c r="D121" s="451" t="str">
        <f>IF(AND('Resource Planner'!$A$12="☑",17&lt;='Resource Planner'!$N$12),'Resource Planner'!$D$12,"")</f>
        <v>Form IV / Science / Nature — Science</v>
      </c>
      <c r="E121" s="451" t="str">
        <f>IF(AND('Resource Planner'!$A$12="☑",17&lt;='Resource Planner'!$N$12),'Resource Planner'!$E$12,"")</f>
        <v>Biology Course</v>
      </c>
      <c r="F121" s="8" t="str">
        <f>IF(AND('Resource Planner'!$A$12="☑",17&lt;='Resource Planner'!$N$12),'Resource Planner'!$F$12&amp;" "&amp;('Resource Planner'!$G$12+(17-1)*'Resource Planner'!$I$12)&amp;IF(('Resource Planner'!$G$12+(17-1)*'Resource Planner'!$I$12)=MIN('Resource Planner'!$G$12+17*'Resource Planner'!$I$12-1,'Resource Planner'!$H$12),"","–"&amp;MIN('Resource Planner'!$G$12+17*'Resource Planner'!$I$12-1,'Resource Planner'!$H$12)),"")</f>
        <v>Lesson 17</v>
      </c>
      <c r="G121" s="8" t="s">
        <v>109</v>
      </c>
      <c r="H121" s="451" t="str">
        <f>IF(AND('Resource Planner'!$A$12="☑",17&lt;='Resource Planner'!$N$12),'Resource Planner'!$M$12,"")</f>
        <v>sample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Co-op"",n&lt;=lessons,st&lt;&gt;""""),INDEX(eligibleDates,startPos+offset),"""")),"""")"),46378.0)</f>
        <v>46378</v>
      </c>
      <c r="B122" s="451" t="str">
        <f>IF(AND('Resource Planner'!$A$12="☑",18&lt;='Resource Planner'!$N$12),'Resource Planner'!$C$12,"")</f>
        <v>Jeremiah</v>
      </c>
      <c r="C122" s="451" t="str">
        <f>IF(AND('Resource Planner'!$A$12="☑",18&lt;='Resource Planner'!$N$12),'Resource Planner'!$B$12,"")</f>
        <v>Outside / Co-op</v>
      </c>
      <c r="D122" s="451" t="str">
        <f>IF(AND('Resource Planner'!$A$12="☑",18&lt;='Resource Planner'!$N$12),'Resource Planner'!$D$12,"")</f>
        <v>Form IV / Science / Nature — Science</v>
      </c>
      <c r="E122" s="451" t="str">
        <f>IF(AND('Resource Planner'!$A$12="☑",18&lt;='Resource Planner'!$N$12),'Resource Planner'!$E$12,"")</f>
        <v>Biology Course</v>
      </c>
      <c r="F122" s="8" t="str">
        <f>IF(AND('Resource Planner'!$A$12="☑",18&lt;='Resource Planner'!$N$12),'Resource Planner'!$F$12&amp;" "&amp;('Resource Planner'!$G$12+(18-1)*'Resource Planner'!$I$12)&amp;IF(('Resource Planner'!$G$12+(18-1)*'Resource Planner'!$I$12)=MIN('Resource Planner'!$G$12+18*'Resource Planner'!$I$12-1,'Resource Planner'!$H$12),"","–"&amp;MIN('Resource Planner'!$G$12+18*'Resource Planner'!$I$12-1,'Resource Planner'!$H$12)),"")</f>
        <v>Lesson 18</v>
      </c>
      <c r="G122" s="8" t="s">
        <v>109</v>
      </c>
      <c r="H122" s="451" t="str">
        <f>IF(AND('Resource Planner'!$A$12="☑",18&lt;='Resource Planner'!$N$12),'Resource Planner'!$M$12,"")</f>
        <v>sample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Co-op"",n&lt;=lessons,st&lt;&gt;""""),INDEX(eligibleDates,startPos+offset),"""")),"""")"),46385.0)</f>
        <v>46385</v>
      </c>
      <c r="B123" s="451" t="str">
        <f>IF(AND('Resource Planner'!$A$12="☑",19&lt;='Resource Planner'!$N$12),'Resource Planner'!$C$12,"")</f>
        <v>Jeremiah</v>
      </c>
      <c r="C123" s="451" t="str">
        <f>IF(AND('Resource Planner'!$A$12="☑",19&lt;='Resource Planner'!$N$12),'Resource Planner'!$B$12,"")</f>
        <v>Outside / Co-op</v>
      </c>
      <c r="D123" s="451" t="str">
        <f>IF(AND('Resource Planner'!$A$12="☑",19&lt;='Resource Planner'!$N$12),'Resource Planner'!$D$12,"")</f>
        <v>Form IV / Science / Nature — Science</v>
      </c>
      <c r="E123" s="451" t="str">
        <f>IF(AND('Resource Planner'!$A$12="☑",19&lt;='Resource Planner'!$N$12),'Resource Planner'!$E$12,"")</f>
        <v>Biology Course</v>
      </c>
      <c r="F123" s="8" t="str">
        <f>IF(AND('Resource Planner'!$A$12="☑",19&lt;='Resource Planner'!$N$12),'Resource Planner'!$F$12&amp;" "&amp;('Resource Planner'!$G$12+(19-1)*'Resource Planner'!$I$12)&amp;IF(('Resource Planner'!$G$12+(19-1)*'Resource Planner'!$I$12)=MIN('Resource Planner'!$G$12+19*'Resource Planner'!$I$12-1,'Resource Planner'!$H$12),"","–"&amp;MIN('Resource Planner'!$G$12+19*'Resource Planner'!$I$12-1,'Resource Planner'!$H$12)),"")</f>
        <v>Lesson 19</v>
      </c>
      <c r="G123" s="8" t="s">
        <v>109</v>
      </c>
      <c r="H123" s="451" t="str">
        <f>IF(AND('Resource Planner'!$A$12="☑",19&lt;='Resource Planner'!$N$12),'Resource Planner'!$M$12,"")</f>
        <v>sample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450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Co-op"",n&lt;=lessons,st&lt;&gt;""""),INDEX(eligibleDates,startPos+offset),"""")),"""")"),46392.0)</f>
        <v>46392</v>
      </c>
      <c r="B124" s="451" t="str">
        <f>IF(AND('Resource Planner'!$A$12="☑",20&lt;='Resource Planner'!$N$12),'Resource Planner'!$C$12,"")</f>
        <v>Jeremiah</v>
      </c>
      <c r="C124" s="451" t="str">
        <f>IF(AND('Resource Planner'!$A$12="☑",20&lt;='Resource Planner'!$N$12),'Resource Planner'!$B$12,"")</f>
        <v>Outside / Co-op</v>
      </c>
      <c r="D124" s="451" t="str">
        <f>IF(AND('Resource Planner'!$A$12="☑",20&lt;='Resource Planner'!$N$12),'Resource Planner'!$D$12,"")</f>
        <v>Form IV / Science / Nature — Science</v>
      </c>
      <c r="E124" s="451" t="str">
        <f>IF(AND('Resource Planner'!$A$12="☑",20&lt;='Resource Planner'!$N$12),'Resource Planner'!$E$12,"")</f>
        <v>Biology Course</v>
      </c>
      <c r="F124" s="8" t="str">
        <f>IF(AND('Resource Planner'!$A$12="☑",20&lt;='Resource Planner'!$N$12),'Resource Planner'!$F$12&amp;" "&amp;('Resource Planner'!$G$12+(20-1)*'Resource Planner'!$I$12)&amp;IF(('Resource Planner'!$G$12+(20-1)*'Resource Planner'!$I$12)=MIN('Resource Planner'!$G$12+20*'Resource Planner'!$I$12-1,'Resource Planner'!$H$12),"","–"&amp;MIN('Resource Planner'!$G$12+20*'Resource Planner'!$I$12-1,'Resource Planner'!$H$12)),"")</f>
        <v>Lesson 20</v>
      </c>
      <c r="G124" s="8" t="s">
        <v>109</v>
      </c>
      <c r="H124" s="451" t="str">
        <f>IF(AND('Resource Planner'!$A$12="☑",20&lt;='Resource Planner'!$N$12),'Resource Planner'!$M$12,"")</f>
        <v>sample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25" s="8" t="str">
        <f>IF(AND('Resource Planner'!$A$12="☑",21&lt;='Resource Planner'!$N$12),'Resource Planner'!$C$12,"")</f>
        <v/>
      </c>
      <c r="C125" s="8" t="str">
        <f>IF(AND('Resource Planner'!$A$12="☑",21&lt;='Resource Planner'!$N$12),'Resource Planner'!$B$12,"")</f>
        <v/>
      </c>
      <c r="D125" s="8" t="str">
        <f>IF(AND('Resource Planner'!$A$12="☑",21&lt;='Resource Planner'!$N$12),'Resource Planner'!$D$12,"")</f>
        <v/>
      </c>
      <c r="E125" s="8" t="str">
        <f>IF(AND('Resource Planner'!$A$12="☑",21&lt;='Resource Planner'!$N$12),'Resource Planner'!$E$12,"")</f>
        <v/>
      </c>
      <c r="F125" s="8" t="str">
        <f>IF(AND('Resource Planner'!$A$12="☑",21&lt;='Resource Planner'!$N$12),'Resource Planner'!$F$12&amp;" "&amp;('Resource Planner'!$G$12+(21-1)*'Resource Planner'!$I$12)&amp;IF(('Resource Planner'!$G$12+(21-1)*'Resource Planner'!$I$12)=MIN('Resource Planner'!$G$12+21*'Resource Planner'!$I$12-1,'Resource Planner'!$H$12),"","–"&amp;MIN('Resource Planner'!$G$12+21*'Resource Planner'!$I$12-1,'Resource Planner'!$H$12)),"")</f>
        <v/>
      </c>
      <c r="G125" s="8" t="s">
        <v>109</v>
      </c>
      <c r="H125" s="8" t="str">
        <f>IF(AND('Resource Planner'!$A$12="☑",21&lt;='Resource Planner'!$N$12),'Resource Planner'!$M$12,"")</f>
        <v/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26" s="8" t="str">
        <f>IF(AND('Resource Planner'!$A$12="☑",22&lt;='Resource Planner'!$N$12),'Resource Planner'!$C$12,"")</f>
        <v/>
      </c>
      <c r="C126" s="8" t="str">
        <f>IF(AND('Resource Planner'!$A$12="☑",22&lt;='Resource Planner'!$N$12),'Resource Planner'!$B$12,"")</f>
        <v/>
      </c>
      <c r="D126" s="8" t="str">
        <f>IF(AND('Resource Planner'!$A$12="☑",22&lt;='Resource Planner'!$N$12),'Resource Planner'!$D$12,"")</f>
        <v/>
      </c>
      <c r="E126" s="8" t="str">
        <f>IF(AND('Resource Planner'!$A$12="☑",22&lt;='Resource Planner'!$N$12),'Resource Planner'!$E$12,"")</f>
        <v/>
      </c>
      <c r="F126" s="8" t="str">
        <f>IF(AND('Resource Planner'!$A$12="☑",22&lt;='Resource Planner'!$N$12),'Resource Planner'!$F$12&amp;" "&amp;('Resource Planner'!$G$12+(22-1)*'Resource Planner'!$I$12)&amp;IF(('Resource Planner'!$G$12+(22-1)*'Resource Planner'!$I$12)=MIN('Resource Planner'!$G$12+22*'Resource Planner'!$I$12-1,'Resource Planner'!$H$12),"","–"&amp;MIN('Resource Planner'!$G$12+22*'Resource Planner'!$I$12-1,'Resource Planner'!$H$12)),"")</f>
        <v/>
      </c>
      <c r="G126" s="8" t="s">
        <v>109</v>
      </c>
      <c r="H126" s="8" t="str">
        <f>IF(AND('Resource Planner'!$A$12="☑",22&lt;='Resource Planner'!$N$12),'Resource Planner'!$M$12,"")</f>
        <v/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27" s="8" t="str">
        <f>IF(AND('Resource Planner'!$A$12="☑",23&lt;='Resource Planner'!$N$12),'Resource Planner'!$C$12,"")</f>
        <v/>
      </c>
      <c r="C127" s="8" t="str">
        <f>IF(AND('Resource Planner'!$A$12="☑",23&lt;='Resource Planner'!$N$12),'Resource Planner'!$B$12,"")</f>
        <v/>
      </c>
      <c r="D127" s="8" t="str">
        <f>IF(AND('Resource Planner'!$A$12="☑",23&lt;='Resource Planner'!$N$12),'Resource Planner'!$D$12,"")</f>
        <v/>
      </c>
      <c r="E127" s="8" t="str">
        <f>IF(AND('Resource Planner'!$A$12="☑",23&lt;='Resource Planner'!$N$12),'Resource Planner'!$E$12,"")</f>
        <v/>
      </c>
      <c r="F127" s="8" t="str">
        <f>IF(AND('Resource Planner'!$A$12="☑",23&lt;='Resource Planner'!$N$12),'Resource Planner'!$F$12&amp;" "&amp;('Resource Planner'!$G$12+(23-1)*'Resource Planner'!$I$12)&amp;IF(('Resource Planner'!$G$12+(23-1)*'Resource Planner'!$I$12)=MIN('Resource Planner'!$G$12+23*'Resource Planner'!$I$12-1,'Resource Planner'!$H$12),"","–"&amp;MIN('Resource Planner'!$G$12+23*'Resource Planner'!$I$12-1,'Resource Planner'!$H$12)),"")</f>
        <v/>
      </c>
      <c r="G127" s="8" t="s">
        <v>109</v>
      </c>
      <c r="H127" s="8" t="str">
        <f>IF(AND('Resource Planner'!$A$12="☑",23&lt;='Resource Planner'!$N$12),'Resource Planner'!$M$12,"")</f>
        <v/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28" s="8" t="str">
        <f>IF(AND('Resource Planner'!$A$12="☑",24&lt;='Resource Planner'!$N$12),'Resource Planner'!$C$12,"")</f>
        <v/>
      </c>
      <c r="C128" s="8" t="str">
        <f>IF(AND('Resource Planner'!$A$12="☑",24&lt;='Resource Planner'!$N$12),'Resource Planner'!$B$12,"")</f>
        <v/>
      </c>
      <c r="D128" s="8" t="str">
        <f>IF(AND('Resource Planner'!$A$12="☑",24&lt;='Resource Planner'!$N$12),'Resource Planner'!$D$12,"")</f>
        <v/>
      </c>
      <c r="E128" s="8" t="str">
        <f>IF(AND('Resource Planner'!$A$12="☑",24&lt;='Resource Planner'!$N$12),'Resource Planner'!$E$12,"")</f>
        <v/>
      </c>
      <c r="F128" s="8" t="str">
        <f>IF(AND('Resource Planner'!$A$12="☑",24&lt;='Resource Planner'!$N$12),'Resource Planner'!$F$12&amp;" "&amp;('Resource Planner'!$G$12+(24-1)*'Resource Planner'!$I$12)&amp;IF(('Resource Planner'!$G$12+(24-1)*'Resource Planner'!$I$12)=MIN('Resource Planner'!$G$12+24*'Resource Planner'!$I$12-1,'Resource Planner'!$H$12),"","–"&amp;MIN('Resource Planner'!$G$12+24*'Resource Planner'!$I$12-1,'Resource Planner'!$H$12)),"")</f>
        <v/>
      </c>
      <c r="G128" s="8" t="s">
        <v>109</v>
      </c>
      <c r="H128" s="8" t="str">
        <f>IF(AND('Resource Planner'!$A$12="☑",24&lt;='Resource Planner'!$N$12),'Resource Planner'!$M$12,"")</f>
        <v/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29" s="8" t="str">
        <f>IF(AND('Resource Planner'!$A$12="☑",25&lt;='Resource Planner'!$N$12),'Resource Planner'!$C$12,"")</f>
        <v/>
      </c>
      <c r="C129" s="8" t="str">
        <f>IF(AND('Resource Planner'!$A$12="☑",25&lt;='Resource Planner'!$N$12),'Resource Planner'!$B$12,"")</f>
        <v/>
      </c>
      <c r="D129" s="8" t="str">
        <f>IF(AND('Resource Planner'!$A$12="☑",25&lt;='Resource Planner'!$N$12),'Resource Planner'!$D$12,"")</f>
        <v/>
      </c>
      <c r="E129" s="8" t="str">
        <f>IF(AND('Resource Planner'!$A$12="☑",25&lt;='Resource Planner'!$N$12),'Resource Planner'!$E$12,"")</f>
        <v/>
      </c>
      <c r="F129" s="8" t="str">
        <f>IF(AND('Resource Planner'!$A$12="☑",25&lt;='Resource Planner'!$N$12),'Resource Planner'!$F$12&amp;" "&amp;('Resource Planner'!$G$12+(25-1)*'Resource Planner'!$I$12)&amp;IF(('Resource Planner'!$G$12+(25-1)*'Resource Planner'!$I$12)=MIN('Resource Planner'!$G$12+25*'Resource Planner'!$I$12-1,'Resource Planner'!$H$12),"","–"&amp;MIN('Resource Planner'!$G$12+25*'Resource Planner'!$I$12-1,'Resource Planner'!$H$12)),"")</f>
        <v/>
      </c>
      <c r="G129" s="8" t="s">
        <v>109</v>
      </c>
      <c r="H129" s="8" t="str">
        <f>IF(AND('Resource Planner'!$A$12="☑",25&lt;='Resource Planner'!$N$12),'Resource Planner'!$M$12,"")</f>
        <v/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0" s="8" t="str">
        <f>IF(AND('Resource Planner'!$A$12="☑",26&lt;='Resource Planner'!$N$12),'Resource Planner'!$C$12,"")</f>
        <v/>
      </c>
      <c r="C130" s="8" t="str">
        <f>IF(AND('Resource Planner'!$A$12="☑",26&lt;='Resource Planner'!$N$12),'Resource Planner'!$B$12,"")</f>
        <v/>
      </c>
      <c r="D130" s="8" t="str">
        <f>IF(AND('Resource Planner'!$A$12="☑",26&lt;='Resource Planner'!$N$12),'Resource Planner'!$D$12,"")</f>
        <v/>
      </c>
      <c r="E130" s="8" t="str">
        <f>IF(AND('Resource Planner'!$A$12="☑",26&lt;='Resource Planner'!$N$12),'Resource Planner'!$E$12,"")</f>
        <v/>
      </c>
      <c r="F130" s="8" t="str">
        <f>IF(AND('Resource Planner'!$A$12="☑",26&lt;='Resource Planner'!$N$12),'Resource Planner'!$F$12&amp;" "&amp;('Resource Planner'!$G$12+(26-1)*'Resource Planner'!$I$12)&amp;IF(('Resource Planner'!$G$12+(26-1)*'Resource Planner'!$I$12)=MIN('Resource Planner'!$G$12+26*'Resource Planner'!$I$12-1,'Resource Planner'!$H$12),"","–"&amp;MIN('Resource Planner'!$G$12+26*'Resource Planner'!$I$12-1,'Resource Planner'!$H$12)),"")</f>
        <v/>
      </c>
      <c r="G130" s="8" t="s">
        <v>109</v>
      </c>
      <c r="H130" s="8" t="str">
        <f>IF(AND('Resource Planner'!$A$12="☑",26&lt;='Resource Planner'!$N$12),'Resource Planner'!$M$12,"")</f>
        <v/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1" s="8" t="str">
        <f>IF(AND('Resource Planner'!$A$12="☑",27&lt;='Resource Planner'!$N$12),'Resource Planner'!$C$12,"")</f>
        <v/>
      </c>
      <c r="C131" s="8" t="str">
        <f>IF(AND('Resource Planner'!$A$12="☑",27&lt;='Resource Planner'!$N$12),'Resource Planner'!$B$12,"")</f>
        <v/>
      </c>
      <c r="D131" s="8" t="str">
        <f>IF(AND('Resource Planner'!$A$12="☑",27&lt;='Resource Planner'!$N$12),'Resource Planner'!$D$12,"")</f>
        <v/>
      </c>
      <c r="E131" s="8" t="str">
        <f>IF(AND('Resource Planner'!$A$12="☑",27&lt;='Resource Planner'!$N$12),'Resource Planner'!$E$12,"")</f>
        <v/>
      </c>
      <c r="F131" s="8" t="str">
        <f>IF(AND('Resource Planner'!$A$12="☑",27&lt;='Resource Planner'!$N$12),'Resource Planner'!$F$12&amp;" "&amp;('Resource Planner'!$G$12+(27-1)*'Resource Planner'!$I$12)&amp;IF(('Resource Planner'!$G$12+(27-1)*'Resource Planner'!$I$12)=MIN('Resource Planner'!$G$12+27*'Resource Planner'!$I$12-1,'Resource Planner'!$H$12),"","–"&amp;MIN('Resource Planner'!$G$12+27*'Resource Planner'!$I$12-1,'Resource Planner'!$H$12)),"")</f>
        <v/>
      </c>
      <c r="G131" s="8" t="s">
        <v>109</v>
      </c>
      <c r="H131" s="8" t="str">
        <f>IF(AND('Resource Planner'!$A$12="☑",27&lt;='Resource Planner'!$N$12),'Resource Planner'!$M$12,"")</f>
        <v/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2" s="8" t="str">
        <f>IF(AND('Resource Planner'!$A$12="☑",28&lt;='Resource Planner'!$N$12),'Resource Planner'!$C$12,"")</f>
        <v/>
      </c>
      <c r="C132" s="8" t="str">
        <f>IF(AND('Resource Planner'!$A$12="☑",28&lt;='Resource Planner'!$N$12),'Resource Planner'!$B$12,"")</f>
        <v/>
      </c>
      <c r="D132" s="8" t="str">
        <f>IF(AND('Resource Planner'!$A$12="☑",28&lt;='Resource Planner'!$N$12),'Resource Planner'!$D$12,"")</f>
        <v/>
      </c>
      <c r="E132" s="8" t="str">
        <f>IF(AND('Resource Planner'!$A$12="☑",28&lt;='Resource Planner'!$N$12),'Resource Planner'!$E$12,"")</f>
        <v/>
      </c>
      <c r="F132" s="8" t="str">
        <f>IF(AND('Resource Planner'!$A$12="☑",28&lt;='Resource Planner'!$N$12),'Resource Planner'!$F$12&amp;" "&amp;('Resource Planner'!$G$12+(28-1)*'Resource Planner'!$I$12)&amp;IF(('Resource Planner'!$G$12+(28-1)*'Resource Planner'!$I$12)=MIN('Resource Planner'!$G$12+28*'Resource Planner'!$I$12-1,'Resource Planner'!$H$12),"","–"&amp;MIN('Resource Planner'!$G$12+28*'Resource Planner'!$I$12-1,'Resource Planner'!$H$12)),"")</f>
        <v/>
      </c>
      <c r="G132" s="8" t="s">
        <v>109</v>
      </c>
      <c r="H132" s="8" t="str">
        <f>IF(AND('Resource Planner'!$A$12="☑",28&lt;='Resource Planner'!$N$12),'Resource Planner'!$M$12,"")</f>
        <v/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3" s="8" t="str">
        <f>IF(AND('Resource Planner'!$A$12="☑",29&lt;='Resource Planner'!$N$12),'Resource Planner'!$C$12,"")</f>
        <v/>
      </c>
      <c r="C133" s="8" t="str">
        <f>IF(AND('Resource Planner'!$A$12="☑",29&lt;='Resource Planner'!$N$12),'Resource Planner'!$B$12,"")</f>
        <v/>
      </c>
      <c r="D133" s="8" t="str">
        <f>IF(AND('Resource Planner'!$A$12="☑",29&lt;='Resource Planner'!$N$12),'Resource Planner'!$D$12,"")</f>
        <v/>
      </c>
      <c r="E133" s="8" t="str">
        <f>IF(AND('Resource Planner'!$A$12="☑",29&lt;='Resource Planner'!$N$12),'Resource Planner'!$E$12,"")</f>
        <v/>
      </c>
      <c r="F133" s="8" t="str">
        <f>IF(AND('Resource Planner'!$A$12="☑",29&lt;='Resource Planner'!$N$12),'Resource Planner'!$F$12&amp;" "&amp;('Resource Planner'!$G$12+(29-1)*'Resource Planner'!$I$12)&amp;IF(('Resource Planner'!$G$12+(29-1)*'Resource Planner'!$I$12)=MIN('Resource Planner'!$G$12+29*'Resource Planner'!$I$12-1,'Resource Planner'!$H$12),"","–"&amp;MIN('Resource Planner'!$G$12+29*'Resource Planner'!$I$12-1,'Resource Planner'!$H$12)),"")</f>
        <v/>
      </c>
      <c r="G133" s="8" t="s">
        <v>109</v>
      </c>
      <c r="H133" s="8" t="str">
        <f>IF(AND('Resource Planner'!$A$12="☑",29&lt;='Resource Planner'!$N$12),'Resource Planner'!$M$12,"")</f>
        <v/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4" s="8" t="str">
        <f>IF(AND('Resource Planner'!$A$12="☑",30&lt;='Resource Planner'!$N$12),'Resource Planner'!$C$12,"")</f>
        <v/>
      </c>
      <c r="C134" s="8" t="str">
        <f>IF(AND('Resource Planner'!$A$12="☑",30&lt;='Resource Planner'!$N$12),'Resource Planner'!$B$12,"")</f>
        <v/>
      </c>
      <c r="D134" s="8" t="str">
        <f>IF(AND('Resource Planner'!$A$12="☑",30&lt;='Resource Planner'!$N$12),'Resource Planner'!$D$12,"")</f>
        <v/>
      </c>
      <c r="E134" s="8" t="str">
        <f>IF(AND('Resource Planner'!$A$12="☑",30&lt;='Resource Planner'!$N$12),'Resource Planner'!$E$12,"")</f>
        <v/>
      </c>
      <c r="F134" s="8" t="str">
        <f>IF(AND('Resource Planner'!$A$12="☑",30&lt;='Resource Planner'!$N$12),'Resource Planner'!$F$12&amp;" "&amp;('Resource Planner'!$G$12+(30-1)*'Resource Planner'!$I$12)&amp;IF(('Resource Planner'!$G$12+(30-1)*'Resource Planner'!$I$12)=MIN('Resource Planner'!$G$12+30*'Resource Planner'!$I$12-1,'Resource Planner'!$H$12),"","–"&amp;MIN('Resource Planner'!$G$12+30*'Resource Planner'!$I$12-1,'Resource Planner'!$H$12)),"")</f>
        <v/>
      </c>
      <c r="G134" s="8" t="s">
        <v>109</v>
      </c>
      <c r="H134" s="8" t="str">
        <f>IF(AND('Resource Planner'!$A$12="☑",30&lt;='Resource Planner'!$N$12),'Resource Planner'!$M$12,"")</f>
        <v/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5" s="8" t="str">
        <f>IF(AND('Resource Planner'!$A$12="☑",31&lt;='Resource Planner'!$N$12),'Resource Planner'!$C$12,"")</f>
        <v/>
      </c>
      <c r="C135" s="8" t="str">
        <f>IF(AND('Resource Planner'!$A$12="☑",31&lt;='Resource Planner'!$N$12),'Resource Planner'!$B$12,"")</f>
        <v/>
      </c>
      <c r="D135" s="8" t="str">
        <f>IF(AND('Resource Planner'!$A$12="☑",31&lt;='Resource Planner'!$N$12),'Resource Planner'!$D$12,"")</f>
        <v/>
      </c>
      <c r="E135" s="8" t="str">
        <f>IF(AND('Resource Planner'!$A$12="☑",31&lt;='Resource Planner'!$N$12),'Resource Planner'!$E$12,"")</f>
        <v/>
      </c>
      <c r="F135" s="8" t="str">
        <f>IF(AND('Resource Planner'!$A$12="☑",31&lt;='Resource Planner'!$N$12),'Resource Planner'!$F$12&amp;" "&amp;('Resource Planner'!$G$12+(31-1)*'Resource Planner'!$I$12)&amp;IF(('Resource Planner'!$G$12+(31-1)*'Resource Planner'!$I$12)=MIN('Resource Planner'!$G$12+31*'Resource Planner'!$I$12-1,'Resource Planner'!$H$12),"","–"&amp;MIN('Resource Planner'!$G$12+31*'Resource Planner'!$I$12-1,'Resource Planner'!$H$12)),"")</f>
        <v/>
      </c>
      <c r="G135" s="8" t="s">
        <v>109</v>
      </c>
      <c r="H135" s="8" t="str">
        <f>IF(AND('Resource Planner'!$A$12="☑",31&lt;='Resource Planner'!$N$12),'Resource Planner'!$M$12,"")</f>
        <v/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6" s="8" t="str">
        <f>IF(AND('Resource Planner'!$A$12="☑",32&lt;='Resource Planner'!$N$12),'Resource Planner'!$C$12,"")</f>
        <v/>
      </c>
      <c r="C136" s="8" t="str">
        <f>IF(AND('Resource Planner'!$A$12="☑",32&lt;='Resource Planner'!$N$12),'Resource Planner'!$B$12,"")</f>
        <v/>
      </c>
      <c r="D136" s="8" t="str">
        <f>IF(AND('Resource Planner'!$A$12="☑",32&lt;='Resource Planner'!$N$12),'Resource Planner'!$D$12,"")</f>
        <v/>
      </c>
      <c r="E136" s="8" t="str">
        <f>IF(AND('Resource Planner'!$A$12="☑",32&lt;='Resource Planner'!$N$12),'Resource Planner'!$E$12,"")</f>
        <v/>
      </c>
      <c r="F136" s="8" t="str">
        <f>IF(AND('Resource Planner'!$A$12="☑",32&lt;='Resource Planner'!$N$12),'Resource Planner'!$F$12&amp;" "&amp;('Resource Planner'!$G$12+(32-1)*'Resource Planner'!$I$12)&amp;IF(('Resource Planner'!$G$12+(32-1)*'Resource Planner'!$I$12)=MIN('Resource Planner'!$G$12+32*'Resource Planner'!$I$12-1,'Resource Planner'!$H$12),"","–"&amp;MIN('Resource Planner'!$G$12+32*'Resource Planner'!$I$12-1,'Resource Planner'!$H$12)),"")</f>
        <v/>
      </c>
      <c r="G136" s="8" t="s">
        <v>109</v>
      </c>
      <c r="H136" s="8" t="str">
        <f>IF(AND('Resource Planner'!$A$12="☑",32&lt;='Resource Planner'!$N$12),'Resource Planner'!$M$12,"")</f>
        <v/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7" s="8" t="str">
        <f>IF(AND('Resource Planner'!$A$12="☑",33&lt;='Resource Planner'!$N$12),'Resource Planner'!$C$12,"")</f>
        <v/>
      </c>
      <c r="C137" s="8" t="str">
        <f>IF(AND('Resource Planner'!$A$12="☑",33&lt;='Resource Planner'!$N$12),'Resource Planner'!$B$12,"")</f>
        <v/>
      </c>
      <c r="D137" s="8" t="str">
        <f>IF(AND('Resource Planner'!$A$12="☑",33&lt;='Resource Planner'!$N$12),'Resource Planner'!$D$12,"")</f>
        <v/>
      </c>
      <c r="E137" s="8" t="str">
        <f>IF(AND('Resource Planner'!$A$12="☑",33&lt;='Resource Planner'!$N$12),'Resource Planner'!$E$12,"")</f>
        <v/>
      </c>
      <c r="F137" s="8" t="str">
        <f>IF(AND('Resource Planner'!$A$12="☑",33&lt;='Resource Planner'!$N$12),'Resource Planner'!$F$12&amp;" "&amp;('Resource Planner'!$G$12+(33-1)*'Resource Planner'!$I$12)&amp;IF(('Resource Planner'!$G$12+(33-1)*'Resource Planner'!$I$12)=MIN('Resource Planner'!$G$12+33*'Resource Planner'!$I$12-1,'Resource Planner'!$H$12),"","–"&amp;MIN('Resource Planner'!$G$12+33*'Resource Planner'!$I$12-1,'Resource Planner'!$H$12)),"")</f>
        <v/>
      </c>
      <c r="G137" s="8" t="s">
        <v>109</v>
      </c>
      <c r="H137" s="8" t="str">
        <f>IF(AND('Resource Planner'!$A$12="☑",33&lt;='Resource Planner'!$N$12),'Resource Planner'!$M$12,"")</f>
        <v/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8" s="8" t="str">
        <f>IF(AND('Resource Planner'!$A$12="☑",34&lt;='Resource Planner'!$N$12),'Resource Planner'!$C$12,"")</f>
        <v/>
      </c>
      <c r="C138" s="8" t="str">
        <f>IF(AND('Resource Planner'!$A$12="☑",34&lt;='Resource Planner'!$N$12),'Resource Planner'!$B$12,"")</f>
        <v/>
      </c>
      <c r="D138" s="8" t="str">
        <f>IF(AND('Resource Planner'!$A$12="☑",34&lt;='Resource Planner'!$N$12),'Resource Planner'!$D$12,"")</f>
        <v/>
      </c>
      <c r="E138" s="8" t="str">
        <f>IF(AND('Resource Planner'!$A$12="☑",34&lt;='Resource Planner'!$N$12),'Resource Planner'!$E$12,"")</f>
        <v/>
      </c>
      <c r="F138" s="8" t="str">
        <f>IF(AND('Resource Planner'!$A$12="☑",34&lt;='Resource Planner'!$N$12),'Resource Planner'!$F$12&amp;" "&amp;('Resource Planner'!$G$12+(34-1)*'Resource Planner'!$I$12)&amp;IF(('Resource Planner'!$G$12+(34-1)*'Resource Planner'!$I$12)=MIN('Resource Planner'!$G$12+34*'Resource Planner'!$I$12-1,'Resource Planner'!$H$12),"","–"&amp;MIN('Resource Planner'!$G$12+34*'Resource Planner'!$I$12-1,'Resource Planner'!$H$12)),"")</f>
        <v/>
      </c>
      <c r="G138" s="8" t="s">
        <v>109</v>
      </c>
      <c r="H138" s="8" t="str">
        <f>IF(AND('Resource Planner'!$A$12="☑",34&lt;='Resource Planner'!$N$12),'Resource Planner'!$M$12,"")</f>
        <v/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39" s="8" t="str">
        <f>IF(AND('Resource Planner'!$A$12="☑",35&lt;='Resource Planner'!$N$12),'Resource Planner'!$C$12,"")</f>
        <v/>
      </c>
      <c r="C139" s="8" t="str">
        <f>IF(AND('Resource Planner'!$A$12="☑",35&lt;='Resource Planner'!$N$12),'Resource Planner'!$B$12,"")</f>
        <v/>
      </c>
      <c r="D139" s="8" t="str">
        <f>IF(AND('Resource Planner'!$A$12="☑",35&lt;='Resource Planner'!$N$12),'Resource Planner'!$D$12,"")</f>
        <v/>
      </c>
      <c r="E139" s="8" t="str">
        <f>IF(AND('Resource Planner'!$A$12="☑",35&lt;='Resource Planner'!$N$12),'Resource Planner'!$E$12,"")</f>
        <v/>
      </c>
      <c r="F139" s="8" t="str">
        <f>IF(AND('Resource Planner'!$A$12="☑",35&lt;='Resource Planner'!$N$12),'Resource Planner'!$F$12&amp;" "&amp;('Resource Planner'!$G$12+(35-1)*'Resource Planner'!$I$12)&amp;IF(('Resource Planner'!$G$12+(35-1)*'Resource Planner'!$I$12)=MIN('Resource Planner'!$G$12+35*'Resource Planner'!$I$12-1,'Resource Planner'!$H$12),"","–"&amp;MIN('Resource Planner'!$G$12+35*'Resource Planner'!$I$12-1,'Resource Planner'!$H$12)),"")</f>
        <v/>
      </c>
      <c r="G139" s="8" t="s">
        <v>109</v>
      </c>
      <c r="H139" s="8" t="str">
        <f>IF(AND('Resource Planner'!$A$12="☑",35&lt;='Resource Planner'!$N$12),'Resource Planner'!$M$12,"")</f>
        <v/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0" s="8" t="str">
        <f>IF(AND('Resource Planner'!$A$12="☑",36&lt;='Resource Planner'!$N$12),'Resource Planner'!$C$12,"")</f>
        <v/>
      </c>
      <c r="C140" s="8" t="str">
        <f>IF(AND('Resource Planner'!$A$12="☑",36&lt;='Resource Planner'!$N$12),'Resource Planner'!$B$12,"")</f>
        <v/>
      </c>
      <c r="D140" s="8" t="str">
        <f>IF(AND('Resource Planner'!$A$12="☑",36&lt;='Resource Planner'!$N$12),'Resource Planner'!$D$12,"")</f>
        <v/>
      </c>
      <c r="E140" s="8" t="str">
        <f>IF(AND('Resource Planner'!$A$12="☑",36&lt;='Resource Planner'!$N$12),'Resource Planner'!$E$12,"")</f>
        <v/>
      </c>
      <c r="F140" s="8" t="str">
        <f>IF(AND('Resource Planner'!$A$12="☑",36&lt;='Resource Planner'!$N$12),'Resource Planner'!$F$12&amp;" "&amp;('Resource Planner'!$G$12+(36-1)*'Resource Planner'!$I$12)&amp;IF(('Resource Planner'!$G$12+(36-1)*'Resource Planner'!$I$12)=MIN('Resource Planner'!$G$12+36*'Resource Planner'!$I$12-1,'Resource Planner'!$H$12),"","–"&amp;MIN('Resource Planner'!$G$12+36*'Resource Planner'!$I$12-1,'Resource Planner'!$H$12)),"")</f>
        <v/>
      </c>
      <c r="G140" s="8" t="s">
        <v>109</v>
      </c>
      <c r="H140" s="8" t="str">
        <f>IF(AND('Resource Planner'!$A$12="☑",36&lt;='Resource Planner'!$N$12),'Resource Planner'!$M$12,"")</f>
        <v/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1" s="8" t="str">
        <f>IF(AND('Resource Planner'!$A$12="☑",37&lt;='Resource Planner'!$N$12),'Resource Planner'!$C$12,"")</f>
        <v/>
      </c>
      <c r="C141" s="8" t="str">
        <f>IF(AND('Resource Planner'!$A$12="☑",37&lt;='Resource Planner'!$N$12),'Resource Planner'!$B$12,"")</f>
        <v/>
      </c>
      <c r="D141" s="8" t="str">
        <f>IF(AND('Resource Planner'!$A$12="☑",37&lt;='Resource Planner'!$N$12),'Resource Planner'!$D$12,"")</f>
        <v/>
      </c>
      <c r="E141" s="8" t="str">
        <f>IF(AND('Resource Planner'!$A$12="☑",37&lt;='Resource Planner'!$N$12),'Resource Planner'!$E$12,"")</f>
        <v/>
      </c>
      <c r="F141" s="8" t="str">
        <f>IF(AND('Resource Planner'!$A$12="☑",37&lt;='Resource Planner'!$N$12),'Resource Planner'!$F$12&amp;" "&amp;('Resource Planner'!$G$12+(37-1)*'Resource Planner'!$I$12)&amp;IF(('Resource Planner'!$G$12+(37-1)*'Resource Planner'!$I$12)=MIN('Resource Planner'!$G$12+37*'Resource Planner'!$I$12-1,'Resource Planner'!$H$12),"","–"&amp;MIN('Resource Planner'!$G$12+37*'Resource Planner'!$I$12-1,'Resource Planner'!$H$12)),"")</f>
        <v/>
      </c>
      <c r="G141" s="8" t="s">
        <v>109</v>
      </c>
      <c r="H141" s="8" t="str">
        <f>IF(AND('Resource Planner'!$A$12="☑",37&lt;='Resource Planner'!$N$12),'Resource Planner'!$M$12,"")</f>
        <v/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2" s="8" t="str">
        <f>IF(AND('Resource Planner'!$A$12="☑",38&lt;='Resource Planner'!$N$12),'Resource Planner'!$C$12,"")</f>
        <v/>
      </c>
      <c r="C142" s="8" t="str">
        <f>IF(AND('Resource Planner'!$A$12="☑",38&lt;='Resource Planner'!$N$12),'Resource Planner'!$B$12,"")</f>
        <v/>
      </c>
      <c r="D142" s="8" t="str">
        <f>IF(AND('Resource Planner'!$A$12="☑",38&lt;='Resource Planner'!$N$12),'Resource Planner'!$D$12,"")</f>
        <v/>
      </c>
      <c r="E142" s="8" t="str">
        <f>IF(AND('Resource Planner'!$A$12="☑",38&lt;='Resource Planner'!$N$12),'Resource Planner'!$E$12,"")</f>
        <v/>
      </c>
      <c r="F142" s="8" t="str">
        <f>IF(AND('Resource Planner'!$A$12="☑",38&lt;='Resource Planner'!$N$12),'Resource Planner'!$F$12&amp;" "&amp;('Resource Planner'!$G$12+(38-1)*'Resource Planner'!$I$12)&amp;IF(('Resource Planner'!$G$12+(38-1)*'Resource Planner'!$I$12)=MIN('Resource Planner'!$G$12+38*'Resource Planner'!$I$12-1,'Resource Planner'!$H$12),"","–"&amp;MIN('Resource Planner'!$G$12+38*'Resource Planner'!$I$12-1,'Resource Planner'!$H$12)),"")</f>
        <v/>
      </c>
      <c r="G142" s="8" t="s">
        <v>109</v>
      </c>
      <c r="H142" s="8" t="str">
        <f>IF(AND('Resource Planner'!$A$12="☑",38&lt;='Resource Planner'!$N$12),'Resource Planner'!$M$12,"")</f>
        <v/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3" s="8" t="str">
        <f>IF(AND('Resource Planner'!$A$12="☑",39&lt;='Resource Planner'!$N$12),'Resource Planner'!$C$12,"")</f>
        <v/>
      </c>
      <c r="C143" s="8" t="str">
        <f>IF(AND('Resource Planner'!$A$12="☑",39&lt;='Resource Planner'!$N$12),'Resource Planner'!$B$12,"")</f>
        <v/>
      </c>
      <c r="D143" s="8" t="str">
        <f>IF(AND('Resource Planner'!$A$12="☑",39&lt;='Resource Planner'!$N$12),'Resource Planner'!$D$12,"")</f>
        <v/>
      </c>
      <c r="E143" s="8" t="str">
        <f>IF(AND('Resource Planner'!$A$12="☑",39&lt;='Resource Planner'!$N$12),'Resource Planner'!$E$12,"")</f>
        <v/>
      </c>
      <c r="F143" s="8" t="str">
        <f>IF(AND('Resource Planner'!$A$12="☑",39&lt;='Resource Planner'!$N$12),'Resource Planner'!$F$12&amp;" "&amp;('Resource Planner'!$G$12+(39-1)*'Resource Planner'!$I$12)&amp;IF(('Resource Planner'!$G$12+(39-1)*'Resource Planner'!$I$12)=MIN('Resource Planner'!$G$12+39*'Resource Planner'!$I$12-1,'Resource Planner'!$H$12),"","–"&amp;MIN('Resource Planner'!$G$12+39*'Resource Planner'!$I$12-1,'Resource Planner'!$H$12)),"")</f>
        <v/>
      </c>
      <c r="G143" s="8" t="s">
        <v>109</v>
      </c>
      <c r="H143" s="8" t="str">
        <f>IF(AND('Resource Planner'!$A$12="☑",39&lt;='Resource Planner'!$N$12),'Resource Planner'!$M$12,"")</f>
        <v/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4" s="8" t="str">
        <f>IF(AND('Resource Planner'!$A$12="☑",40&lt;='Resource Planner'!$N$12),'Resource Planner'!$C$12,"")</f>
        <v/>
      </c>
      <c r="C144" s="8" t="str">
        <f>IF(AND('Resource Planner'!$A$12="☑",40&lt;='Resource Planner'!$N$12),'Resource Planner'!$B$12,"")</f>
        <v/>
      </c>
      <c r="D144" s="8" t="str">
        <f>IF(AND('Resource Planner'!$A$12="☑",40&lt;='Resource Planner'!$N$12),'Resource Planner'!$D$12,"")</f>
        <v/>
      </c>
      <c r="E144" s="8" t="str">
        <f>IF(AND('Resource Planner'!$A$12="☑",40&lt;='Resource Planner'!$N$12),'Resource Planner'!$E$12,"")</f>
        <v/>
      </c>
      <c r="F144" s="8" t="str">
        <f>IF(AND('Resource Planner'!$A$12="☑",40&lt;='Resource Planner'!$N$12),'Resource Planner'!$F$12&amp;" "&amp;('Resource Planner'!$G$12+(40-1)*'Resource Planner'!$I$12)&amp;IF(('Resource Planner'!$G$12+(40-1)*'Resource Planner'!$I$12)=MIN('Resource Planner'!$G$12+40*'Resource Planner'!$I$12-1,'Resource Planner'!$H$12),"","–"&amp;MIN('Resource Planner'!$G$12+40*'Resource Planner'!$I$12-1,'Resource Planner'!$H$12)),"")</f>
        <v/>
      </c>
      <c r="G144" s="8" t="s">
        <v>109</v>
      </c>
      <c r="H144" s="8" t="str">
        <f>IF(AND('Resource Planner'!$A$12="☑",40&lt;='Resource Planner'!$N$12),'Resource Planner'!$M$12,"")</f>
        <v/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5" s="8" t="str">
        <f>IF(AND('Resource Planner'!$A$12="☑",41&lt;='Resource Planner'!$N$12),'Resource Planner'!$C$12,"")</f>
        <v/>
      </c>
      <c r="C145" s="8" t="str">
        <f>IF(AND('Resource Planner'!$A$12="☑",41&lt;='Resource Planner'!$N$12),'Resource Planner'!$B$12,"")</f>
        <v/>
      </c>
      <c r="D145" s="8" t="str">
        <f>IF(AND('Resource Planner'!$A$12="☑",41&lt;='Resource Planner'!$N$12),'Resource Planner'!$D$12,"")</f>
        <v/>
      </c>
      <c r="E145" s="8" t="str">
        <f>IF(AND('Resource Planner'!$A$12="☑",41&lt;='Resource Planner'!$N$12),'Resource Planner'!$E$12,"")</f>
        <v/>
      </c>
      <c r="F145" s="8" t="str">
        <f>IF(AND('Resource Planner'!$A$12="☑",41&lt;='Resource Planner'!$N$12),'Resource Planner'!$F$12&amp;" "&amp;('Resource Planner'!$G$12+(41-1)*'Resource Planner'!$I$12)&amp;IF(('Resource Planner'!$G$12+(41-1)*'Resource Planner'!$I$12)=MIN('Resource Planner'!$G$12+41*'Resource Planner'!$I$12-1,'Resource Planner'!$H$12),"","–"&amp;MIN('Resource Planner'!$G$12+41*'Resource Planner'!$I$12-1,'Resource Planner'!$H$12)),"")</f>
        <v/>
      </c>
      <c r="G145" s="8" t="s">
        <v>109</v>
      </c>
      <c r="H145" s="8" t="str">
        <f>IF(AND('Resource Planner'!$A$12="☑",41&lt;='Resource Planner'!$N$12),'Resource Planner'!$M$12,"")</f>
        <v/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6" s="8" t="str">
        <f>IF(AND('Resource Planner'!$A$12="☑",42&lt;='Resource Planner'!$N$12),'Resource Planner'!$C$12,"")</f>
        <v/>
      </c>
      <c r="C146" s="8" t="str">
        <f>IF(AND('Resource Planner'!$A$12="☑",42&lt;='Resource Planner'!$N$12),'Resource Planner'!$B$12,"")</f>
        <v/>
      </c>
      <c r="D146" s="8" t="str">
        <f>IF(AND('Resource Planner'!$A$12="☑",42&lt;='Resource Planner'!$N$12),'Resource Planner'!$D$12,"")</f>
        <v/>
      </c>
      <c r="E146" s="8" t="str">
        <f>IF(AND('Resource Planner'!$A$12="☑",42&lt;='Resource Planner'!$N$12),'Resource Planner'!$E$12,"")</f>
        <v/>
      </c>
      <c r="F146" s="8" t="str">
        <f>IF(AND('Resource Planner'!$A$12="☑",42&lt;='Resource Planner'!$N$12),'Resource Planner'!$F$12&amp;" "&amp;('Resource Planner'!$G$12+(42-1)*'Resource Planner'!$I$12)&amp;IF(('Resource Planner'!$G$12+(42-1)*'Resource Planner'!$I$12)=MIN('Resource Planner'!$G$12+42*'Resource Planner'!$I$12-1,'Resource Planner'!$H$12),"","–"&amp;MIN('Resource Planner'!$G$12+42*'Resource Planner'!$I$12-1,'Resource Planner'!$H$12)),"")</f>
        <v/>
      </c>
      <c r="G146" s="8" t="s">
        <v>109</v>
      </c>
      <c r="H146" s="8" t="str">
        <f>IF(AND('Resource Planner'!$A$12="☑",42&lt;='Resource Planner'!$N$12),'Resource Planner'!$M$12,"")</f>
        <v/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7" s="8" t="str">
        <f>IF(AND('Resource Planner'!$A$12="☑",43&lt;='Resource Planner'!$N$12),'Resource Planner'!$C$12,"")</f>
        <v/>
      </c>
      <c r="C147" s="8" t="str">
        <f>IF(AND('Resource Planner'!$A$12="☑",43&lt;='Resource Planner'!$N$12),'Resource Planner'!$B$12,"")</f>
        <v/>
      </c>
      <c r="D147" s="8" t="str">
        <f>IF(AND('Resource Planner'!$A$12="☑",43&lt;='Resource Planner'!$N$12),'Resource Planner'!$D$12,"")</f>
        <v/>
      </c>
      <c r="E147" s="8" t="str">
        <f>IF(AND('Resource Planner'!$A$12="☑",43&lt;='Resource Planner'!$N$12),'Resource Planner'!$E$12,"")</f>
        <v/>
      </c>
      <c r="F147" s="8" t="str">
        <f>IF(AND('Resource Planner'!$A$12="☑",43&lt;='Resource Planner'!$N$12),'Resource Planner'!$F$12&amp;" "&amp;('Resource Planner'!$G$12+(43-1)*'Resource Planner'!$I$12)&amp;IF(('Resource Planner'!$G$12+(43-1)*'Resource Planner'!$I$12)=MIN('Resource Planner'!$G$12+43*'Resource Planner'!$I$12-1,'Resource Planner'!$H$12),"","–"&amp;MIN('Resource Planner'!$G$12+43*'Resource Planner'!$I$12-1,'Resource Planner'!$H$12)),"")</f>
        <v/>
      </c>
      <c r="G147" s="8" t="s">
        <v>109</v>
      </c>
      <c r="H147" s="8" t="str">
        <f>IF(AND('Resource Planner'!$A$12="☑",43&lt;='Resource Planner'!$N$12),'Resource Planner'!$M$12,"")</f>
        <v/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8" s="8" t="str">
        <f>IF(AND('Resource Planner'!$A$12="☑",44&lt;='Resource Planner'!$N$12),'Resource Planner'!$C$12,"")</f>
        <v/>
      </c>
      <c r="C148" s="8" t="str">
        <f>IF(AND('Resource Planner'!$A$12="☑",44&lt;='Resource Planner'!$N$12),'Resource Planner'!$B$12,"")</f>
        <v/>
      </c>
      <c r="D148" s="8" t="str">
        <f>IF(AND('Resource Planner'!$A$12="☑",44&lt;='Resource Planner'!$N$12),'Resource Planner'!$D$12,"")</f>
        <v/>
      </c>
      <c r="E148" s="8" t="str">
        <f>IF(AND('Resource Planner'!$A$12="☑",44&lt;='Resource Planner'!$N$12),'Resource Planner'!$E$12,"")</f>
        <v/>
      </c>
      <c r="F148" s="8" t="str">
        <f>IF(AND('Resource Planner'!$A$12="☑",44&lt;='Resource Planner'!$N$12),'Resource Planner'!$F$12&amp;" "&amp;('Resource Planner'!$G$12+(44-1)*'Resource Planner'!$I$12)&amp;IF(('Resource Planner'!$G$12+(44-1)*'Resource Planner'!$I$12)=MIN('Resource Planner'!$G$12+44*'Resource Planner'!$I$12-1,'Resource Planner'!$H$12),"","–"&amp;MIN('Resource Planner'!$G$12+44*'Resource Planner'!$I$12-1,'Resource Planner'!$H$12)),"")</f>
        <v/>
      </c>
      <c r="G148" s="8" t="s">
        <v>109</v>
      </c>
      <c r="H148" s="8" t="str">
        <f>IF(AND('Resource Planner'!$A$12="☑",44&lt;='Resource Planner'!$N$12),'Resource Planner'!$M$12,"")</f>
        <v/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49" s="8" t="str">
        <f>IF(AND('Resource Planner'!$A$12="☑",45&lt;='Resource Planner'!$N$12),'Resource Planner'!$C$12,"")</f>
        <v/>
      </c>
      <c r="C149" s="8" t="str">
        <f>IF(AND('Resource Planner'!$A$12="☑",45&lt;='Resource Planner'!$N$12),'Resource Planner'!$B$12,"")</f>
        <v/>
      </c>
      <c r="D149" s="8" t="str">
        <f>IF(AND('Resource Planner'!$A$12="☑",45&lt;='Resource Planner'!$N$12),'Resource Planner'!$D$12,"")</f>
        <v/>
      </c>
      <c r="E149" s="8" t="str">
        <f>IF(AND('Resource Planner'!$A$12="☑",45&lt;='Resource Planner'!$N$12),'Resource Planner'!$E$12,"")</f>
        <v/>
      </c>
      <c r="F149" s="8" t="str">
        <f>IF(AND('Resource Planner'!$A$12="☑",45&lt;='Resource Planner'!$N$12),'Resource Planner'!$F$12&amp;" "&amp;('Resource Planner'!$G$12+(45-1)*'Resource Planner'!$I$12)&amp;IF(('Resource Planner'!$G$12+(45-1)*'Resource Planner'!$I$12)=MIN('Resource Planner'!$G$12+45*'Resource Planner'!$I$12-1,'Resource Planner'!$H$12),"","–"&amp;MIN('Resource Planner'!$G$12+45*'Resource Planner'!$I$12-1,'Resource Planner'!$H$12)),"")</f>
        <v/>
      </c>
      <c r="G149" s="8" t="s">
        <v>109</v>
      </c>
      <c r="H149" s="8" t="str">
        <f>IF(AND('Resource Planner'!$A$12="☑",45&lt;='Resource Planner'!$N$12),'Resource Planner'!$M$12,"")</f>
        <v/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50" s="8" t="str">
        <f>IF(AND('Resource Planner'!$A$12="☑",46&lt;='Resource Planner'!$N$12),'Resource Planner'!$C$12,"")</f>
        <v/>
      </c>
      <c r="C150" s="8" t="str">
        <f>IF(AND('Resource Planner'!$A$12="☑",46&lt;='Resource Planner'!$N$12),'Resource Planner'!$B$12,"")</f>
        <v/>
      </c>
      <c r="D150" s="8" t="str">
        <f>IF(AND('Resource Planner'!$A$12="☑",46&lt;='Resource Planner'!$N$12),'Resource Planner'!$D$12,"")</f>
        <v/>
      </c>
      <c r="E150" s="8" t="str">
        <f>IF(AND('Resource Planner'!$A$12="☑",46&lt;='Resource Planner'!$N$12),'Resource Planner'!$E$12,"")</f>
        <v/>
      </c>
      <c r="F150" s="8" t="str">
        <f>IF(AND('Resource Planner'!$A$12="☑",46&lt;='Resource Planner'!$N$12),'Resource Planner'!$F$12&amp;" "&amp;('Resource Planner'!$G$12+(46-1)*'Resource Planner'!$I$12)&amp;IF(('Resource Planner'!$G$12+(46-1)*'Resource Planner'!$I$12)=MIN('Resource Planner'!$G$12+46*'Resource Planner'!$I$12-1,'Resource Planner'!$H$12),"","–"&amp;MIN('Resource Planner'!$G$12+46*'Resource Planner'!$I$12-1,'Resource Planner'!$H$12)),"")</f>
        <v/>
      </c>
      <c r="G150" s="8" t="s">
        <v>109</v>
      </c>
      <c r="H150" s="8" t="str">
        <f>IF(AND('Resource Planner'!$A$12="☑",46&lt;='Resource Planner'!$N$12),'Resource Planner'!$M$12,"")</f>
        <v/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51" s="8" t="str">
        <f>IF(AND('Resource Planner'!$A$12="☑",47&lt;='Resource Planner'!$N$12),'Resource Planner'!$C$12,"")</f>
        <v/>
      </c>
      <c r="C151" s="8" t="str">
        <f>IF(AND('Resource Planner'!$A$12="☑",47&lt;='Resource Planner'!$N$12),'Resource Planner'!$B$12,"")</f>
        <v/>
      </c>
      <c r="D151" s="8" t="str">
        <f>IF(AND('Resource Planner'!$A$12="☑",47&lt;='Resource Planner'!$N$12),'Resource Planner'!$D$12,"")</f>
        <v/>
      </c>
      <c r="E151" s="8" t="str">
        <f>IF(AND('Resource Planner'!$A$12="☑",47&lt;='Resource Planner'!$N$12),'Resource Planner'!$E$12,"")</f>
        <v/>
      </c>
      <c r="F151" s="8" t="str">
        <f>IF(AND('Resource Planner'!$A$12="☑",47&lt;='Resource Planner'!$N$12),'Resource Planner'!$F$12&amp;" "&amp;('Resource Planner'!$G$12+(47-1)*'Resource Planner'!$I$12)&amp;IF(('Resource Planner'!$G$12+(47-1)*'Resource Planner'!$I$12)=MIN('Resource Planner'!$G$12+47*'Resource Planner'!$I$12-1,'Resource Planner'!$H$12),"","–"&amp;MIN('Resource Planner'!$G$12+47*'Resource Planner'!$I$12-1,'Resource Planner'!$H$12)),"")</f>
        <v/>
      </c>
      <c r="G151" s="8" t="s">
        <v>109</v>
      </c>
      <c r="H151" s="8" t="str">
        <f>IF(AND('Resource Planner'!$A$12="☑",47&lt;='Resource Planner'!$N$12),'Resource Planner'!$M$12,"")</f>
        <v/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52" s="8" t="str">
        <f>IF(AND('Resource Planner'!$A$12="☑",48&lt;='Resource Planner'!$N$12),'Resource Planner'!$C$12,"")</f>
        <v/>
      </c>
      <c r="C152" s="8" t="str">
        <f>IF(AND('Resource Planner'!$A$12="☑",48&lt;='Resource Planner'!$N$12),'Resource Planner'!$B$12,"")</f>
        <v/>
      </c>
      <c r="D152" s="8" t="str">
        <f>IF(AND('Resource Planner'!$A$12="☑",48&lt;='Resource Planner'!$N$12),'Resource Planner'!$D$12,"")</f>
        <v/>
      </c>
      <c r="E152" s="8" t="str">
        <f>IF(AND('Resource Planner'!$A$12="☑",48&lt;='Resource Planner'!$N$12),'Resource Planner'!$E$12,"")</f>
        <v/>
      </c>
      <c r="F152" s="8" t="str">
        <f>IF(AND('Resource Planner'!$A$12="☑",48&lt;='Resource Planner'!$N$12),'Resource Planner'!$F$12&amp;" "&amp;('Resource Planner'!$G$12+(48-1)*'Resource Planner'!$I$12)&amp;IF(('Resource Planner'!$G$12+(48-1)*'Resource Planner'!$I$12)=MIN('Resource Planner'!$G$12+48*'Resource Planner'!$I$12-1,'Resource Planner'!$H$12),"","–"&amp;MIN('Resource Planner'!$G$12+48*'Resource Planner'!$I$12-1,'Resource Planner'!$H$12)),"")</f>
        <v/>
      </c>
      <c r="G152" s="8" t="s">
        <v>109</v>
      </c>
      <c r="H152" s="8" t="str">
        <f>IF(AND('Resource Planner'!$A$12="☑",48&lt;='Resource Planner'!$N$12),'Resource Planner'!$M$12,"")</f>
        <v/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53" s="8" t="str">
        <f>IF(AND('Resource Planner'!$A$12="☑",49&lt;='Resource Planner'!$N$12),'Resource Planner'!$C$12,"")</f>
        <v/>
      </c>
      <c r="C153" s="8" t="str">
        <f>IF(AND('Resource Planner'!$A$12="☑",49&lt;='Resource Planner'!$N$12),'Resource Planner'!$B$12,"")</f>
        <v/>
      </c>
      <c r="D153" s="8" t="str">
        <f>IF(AND('Resource Planner'!$A$12="☑",49&lt;='Resource Planner'!$N$12),'Resource Planner'!$D$12,"")</f>
        <v/>
      </c>
      <c r="E153" s="8" t="str">
        <f>IF(AND('Resource Planner'!$A$12="☑",49&lt;='Resource Planner'!$N$12),'Resource Planner'!$E$12,"")</f>
        <v/>
      </c>
      <c r="F153" s="8" t="str">
        <f>IF(AND('Resource Planner'!$A$12="☑",49&lt;='Resource Planner'!$N$12),'Resource Planner'!$F$12&amp;" "&amp;('Resource Planner'!$G$12+(49-1)*'Resource Planner'!$I$12)&amp;IF(('Resource Planner'!$G$12+(49-1)*'Resource Planner'!$I$12)=MIN('Resource Planner'!$G$12+49*'Resource Planner'!$I$12-1,'Resource Planner'!$H$12),"","–"&amp;MIN('Resource Planner'!$G$12+49*'Resource Planner'!$I$12-1,'Resource Planner'!$H$12)),"")</f>
        <v/>
      </c>
      <c r="G153" s="8" t="s">
        <v>109</v>
      </c>
      <c r="H153" s="8" t="str">
        <f>IF(AND('Resource Planner'!$A$12="☑",49&lt;='Resource Planner'!$N$12),'Resource Planner'!$M$12,"")</f>
        <v/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450" t="str">
        <f>IFERROR(__xludf.DUMMYFUNCTION("IFERROR(LET(r,INT((ROW()-5)/50)+1,n,MOD(ROW()-5,50)+1,active,INDEX('Resource Planner'!$A$10:$A$69,r),block,INDEX('Resource Planner'!$B$10:$B$69,r),lessons,INDEX('Resource Planner'!$N$10:$N$69,r),st,INDEX('Resource Planner'!$R$10:$R$69,r),pace,INDEX('Resou"&amp;"rce Planner'!$K$10:$K$69,r),gap,MAX(1,INDEX('Resource Planner'!$L$10:$L$69,r)),calDates,'School Calendar'!$A$44:$A$408,calSchool,'School Calendar'!$H$44:$H$408,exam,'School Calendar'!$M$44:$M$408,useExam,'School Calendar'!$B$9=""Yes"",eligibleDates,FILTER"&amp;"(calDates,(calSchool=TRUE)*(1-useExam*exam)),startDate,MIN(FILTER(eligibleDates,eligibleDates&gt;=st)),startPos,MATCH(startDate,eligibleDates,0),offset,SWITCH(pace,""4x/week"",5*INT((n-1)/4)+MOD(n-1,4),""3x/week"",5*INT((n-1)/3)+MOD(n-1,3),""2x/week"",5*INT("&amp;"(n-1)/2)+MOD(n-1,2),""1x/week"",5*(n-1),""Every other week"",10*(n-1),""Custom"",gap*(n-1),n-1),IF(AND(active=""☑"",block=""Outside / Co-op"",n&lt;=lessons,st&lt;&gt;""""),INDEX(eligibleDates,startPos+offset),"""")),"""")"),"")</f>
        <v/>
      </c>
      <c r="B154" s="8" t="str">
        <f>IF(AND('Resource Planner'!$A$12="☑",50&lt;='Resource Planner'!$N$12),'Resource Planner'!$C$12,"")</f>
        <v/>
      </c>
      <c r="C154" s="8" t="str">
        <f>IF(AND('Resource Planner'!$A$12="☑",50&lt;='Resource Planner'!$N$12),'Resource Planner'!$B$12,"")</f>
        <v/>
      </c>
      <c r="D154" s="8" t="str">
        <f>IF(AND('Resource Planner'!$A$12="☑",50&lt;='Resource Planner'!$N$12),'Resource Planner'!$D$12,"")</f>
        <v/>
      </c>
      <c r="E154" s="8" t="str">
        <f>IF(AND('Resource Planner'!$A$12="☑",50&lt;='Resource Planner'!$N$12),'Resource Planner'!$E$12,"")</f>
        <v/>
      </c>
      <c r="F154" s="8" t="str">
        <f>IF(AND('Resource Planner'!$A$12="☑",50&lt;='Resource Planner'!$N$12),'Resource Planner'!$F$12&amp;" "&amp;('Resource Planner'!$G$12+(50-1)*'Resource Planner'!$I$12)&amp;IF(('Resource Planner'!$G$12+(50-1)*'Resource Planner'!$I$12)=MIN('Resource Planner'!$G$12+50*'Resource Planner'!$I$12-1,'Resource Planner'!$H$12),"","–"&amp;MIN('Resource Planner'!$G$12+50*'Resource Planner'!$I$12-1,'Resource Planner'!$H$12)),"")</f>
        <v/>
      </c>
      <c r="G154" s="8" t="s">
        <v>109</v>
      </c>
      <c r="H154" s="8" t="str">
        <f>IF(AND('Resource Planner'!$A$12="☑",50&lt;='Resource Planner'!$N$12),'Resource Planner'!$M$12,"")</f>
        <v/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week"",10*(n-1),""Custom"",gap*(n-1),n-1),IF(AND(active=""☑"",n&lt;=lessons,st&lt;&gt;""""),INDEX(eligibleDates,startPos+offset),"""")),"""")"),46252.0)</f>
        <v>46252</v>
      </c>
      <c r="B155" s="451" t="str">
        <f>IF(AND('Resource Planner'!$A$13="☑",1&lt;='Resource Planner'!$N$13),'Resource Planner'!$C$13,"")</f>
        <v>Everyone</v>
      </c>
      <c r="C155" s="451" t="str">
        <f>IF(AND('Resource Planner'!$A$13="☑",1&lt;='Resource Planner'!$N$13),'Resource Planner'!$B$13,"")</f>
        <v>Reading Loop</v>
      </c>
      <c r="D155" s="451" t="str">
        <f>IF(AND('Resource Planner'!$A$13="☑",1&lt;='Resource Planner'!$N$13),'Resource Planner'!$D$13,"")</f>
        <v>Form I / Literature — Tales / Fairy Tales / Myths</v>
      </c>
      <c r="E155" s="451" t="str">
        <f>IF(AND('Resource Planner'!$A$13="☑",1&lt;='Resource Planner'!$N$13),'Resource Planner'!$E$13,"")</f>
        <v>Goobers</v>
      </c>
      <c r="F155" s="8" t="str">
        <f>IF(AND('Resource Planner'!$A$13="☑",1&lt;='Resource Planner'!$N$13),'Resource Planner'!$F$13&amp;" "&amp;('Resource Planner'!$G$13+(1-1)*'Resource Planner'!$I$13)&amp;IF(('Resource Planner'!$G$13+(1-1)*'Resource Planner'!$I$13)=MIN('Resource Planner'!$G$13+1*'Resource Planner'!$I$13-1,'Resource Planner'!$H$13),"","–"&amp;MIN('Resource Planner'!$G$13+1*'Resource Planner'!$I$13-1,'Resource Planner'!$H$13)),"")</f>
        <v>Page 1–15</v>
      </c>
      <c r="G155" s="8" t="s">
        <v>109</v>
      </c>
      <c r="H155" s="451" t="str">
        <f>IF(AND('Resource Planner'!$A$13="☑",1&lt;='Resource Planner'!$N$13),'Resource Planner'!$M$13,"")</f>
        <v>sample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week"",10*(n-1),""Custom"",gap*(n-1),n-1),IF(AND(active=""☑"",n&lt;=lessons,st&lt;&gt;""""),INDEX(eligibleDates,startPos+offset),"""")),"""")"),46259.0)</f>
        <v>46259</v>
      </c>
      <c r="B156" s="451" t="str">
        <f>IF(AND('Resource Planner'!$A$13="☑",2&lt;='Resource Planner'!$N$13),'Resource Planner'!$C$13,"")</f>
        <v>Everyone</v>
      </c>
      <c r="C156" s="451" t="str">
        <f>IF(AND('Resource Planner'!$A$13="☑",2&lt;='Resource Planner'!$N$13),'Resource Planner'!$B$13,"")</f>
        <v>Reading Loop</v>
      </c>
      <c r="D156" s="451" t="str">
        <f>IF(AND('Resource Planner'!$A$13="☑",2&lt;='Resource Planner'!$N$13),'Resource Planner'!$D$13,"")</f>
        <v>Form I / Literature — Tales / Fairy Tales / Myths</v>
      </c>
      <c r="E156" s="451" t="str">
        <f>IF(AND('Resource Planner'!$A$13="☑",2&lt;='Resource Planner'!$N$13),'Resource Planner'!$E$13,"")</f>
        <v>Goobers</v>
      </c>
      <c r="F156" s="8" t="str">
        <f>IF(AND('Resource Planner'!$A$13="☑",2&lt;='Resource Planner'!$N$13),'Resource Planner'!$F$13&amp;" "&amp;('Resource Planner'!$G$13+(2-1)*'Resource Planner'!$I$13)&amp;IF(('Resource Planner'!$G$13+(2-1)*'Resource Planner'!$I$13)=MIN('Resource Planner'!$G$13+2*'Resource Planner'!$I$13-1,'Resource Planner'!$H$13),"","–"&amp;MIN('Resource Planner'!$G$13+2*'Resource Planner'!$I$13-1,'Resource Planner'!$H$13)),"")</f>
        <v>Page 16–30</v>
      </c>
      <c r="G156" s="8" t="s">
        <v>109</v>
      </c>
      <c r="H156" s="451" t="str">
        <f>IF(AND('Resource Planner'!$A$13="☑",2&lt;='Resource Planner'!$N$13),'Resource Planner'!$M$13,"")</f>
        <v>sample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week"",10*(n-1),""Custom"",gap*(n-1),n-1),IF(AND(active=""☑"",n&lt;=lessons,st&lt;&gt;""""),INDEX(eligibleDates,startPos+offset),"""")),"""")"),46266.0)</f>
        <v>46266</v>
      </c>
      <c r="B157" s="451" t="str">
        <f>IF(AND('Resource Planner'!$A$13="☑",3&lt;='Resource Planner'!$N$13),'Resource Planner'!$C$13,"")</f>
        <v>Everyone</v>
      </c>
      <c r="C157" s="451" t="str">
        <f>IF(AND('Resource Planner'!$A$13="☑",3&lt;='Resource Planner'!$N$13),'Resource Planner'!$B$13,"")</f>
        <v>Reading Loop</v>
      </c>
      <c r="D157" s="451" t="str">
        <f>IF(AND('Resource Planner'!$A$13="☑",3&lt;='Resource Planner'!$N$13),'Resource Planner'!$D$13,"")</f>
        <v>Form I / Literature — Tales / Fairy Tales / Myths</v>
      </c>
      <c r="E157" s="451" t="str">
        <f>IF(AND('Resource Planner'!$A$13="☑",3&lt;='Resource Planner'!$N$13),'Resource Planner'!$E$13,"")</f>
        <v>Goobers</v>
      </c>
      <c r="F157" s="8" t="str">
        <f>IF(AND('Resource Planner'!$A$13="☑",3&lt;='Resource Planner'!$N$13),'Resource Planner'!$F$13&amp;" "&amp;('Resource Planner'!$G$13+(3-1)*'Resource Planner'!$I$13)&amp;IF(('Resource Planner'!$G$13+(3-1)*'Resource Planner'!$I$13)=MIN('Resource Planner'!$G$13+3*'Resource Planner'!$I$13-1,'Resource Planner'!$H$13),"","–"&amp;MIN('Resource Planner'!$G$13+3*'Resource Planner'!$I$13-1,'Resource Planner'!$H$13)),"")</f>
        <v>Page 31–45</v>
      </c>
      <c r="G157" s="8" t="s">
        <v>109</v>
      </c>
      <c r="H157" s="451" t="str">
        <f>IF(AND('Resource Planner'!$A$13="☑",3&lt;='Resource Planner'!$N$13),'Resource Planner'!$M$13,"")</f>
        <v>sample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week"",10*(n-1),""Custom"",gap*(n-1),n-1),IF(AND(active=""☑"",n&lt;=lessons,st&lt;&gt;""""),INDEX(eligibleDates,startPos+offset),"""")),"""")"),46273.0)</f>
        <v>46273</v>
      </c>
      <c r="B158" s="451" t="str">
        <f>IF(AND('Resource Planner'!$A$13="☑",4&lt;='Resource Planner'!$N$13),'Resource Planner'!$C$13,"")</f>
        <v>Everyone</v>
      </c>
      <c r="C158" s="451" t="str">
        <f>IF(AND('Resource Planner'!$A$13="☑",4&lt;='Resource Planner'!$N$13),'Resource Planner'!$B$13,"")</f>
        <v>Reading Loop</v>
      </c>
      <c r="D158" s="451" t="str">
        <f>IF(AND('Resource Planner'!$A$13="☑",4&lt;='Resource Planner'!$N$13),'Resource Planner'!$D$13,"")</f>
        <v>Form I / Literature — Tales / Fairy Tales / Myths</v>
      </c>
      <c r="E158" s="451" t="str">
        <f>IF(AND('Resource Planner'!$A$13="☑",4&lt;='Resource Planner'!$N$13),'Resource Planner'!$E$13,"")</f>
        <v>Goobers</v>
      </c>
      <c r="F158" s="8" t="str">
        <f>IF(AND('Resource Planner'!$A$13="☑",4&lt;='Resource Planner'!$N$13),'Resource Planner'!$F$13&amp;" "&amp;('Resource Planner'!$G$13+(4-1)*'Resource Planner'!$I$13)&amp;IF(('Resource Planner'!$G$13+(4-1)*'Resource Planner'!$I$13)=MIN('Resource Planner'!$G$13+4*'Resource Planner'!$I$13-1,'Resource Planner'!$H$13),"","–"&amp;MIN('Resource Planner'!$G$13+4*'Resource Planner'!$I$13-1,'Resource Planner'!$H$13)),"")</f>
        <v>Page 46–60</v>
      </c>
      <c r="G158" s="8" t="s">
        <v>109</v>
      </c>
      <c r="H158" s="451" t="str">
        <f>IF(AND('Resource Planner'!$A$13="☑",4&lt;='Resource Planner'!$N$13),'Resource Planner'!$M$13,"")</f>
        <v>sample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week"",10*(n-1),""Custom"",gap*(n-1),n-1),IF(AND(active=""☑"",n&lt;=lessons,st&lt;&gt;""""),INDEX(eligibleDates,startPos+offset),"""")),"""")"),46280.0)</f>
        <v>46280</v>
      </c>
      <c r="B159" s="451" t="str">
        <f>IF(AND('Resource Planner'!$A$13="☑",5&lt;='Resource Planner'!$N$13),'Resource Planner'!$C$13,"")</f>
        <v>Everyone</v>
      </c>
      <c r="C159" s="451" t="str">
        <f>IF(AND('Resource Planner'!$A$13="☑",5&lt;='Resource Planner'!$N$13),'Resource Planner'!$B$13,"")</f>
        <v>Reading Loop</v>
      </c>
      <c r="D159" s="451" t="str">
        <f>IF(AND('Resource Planner'!$A$13="☑",5&lt;='Resource Planner'!$N$13),'Resource Planner'!$D$13,"")</f>
        <v>Form I / Literature — Tales / Fairy Tales / Myths</v>
      </c>
      <c r="E159" s="451" t="str">
        <f>IF(AND('Resource Planner'!$A$13="☑",5&lt;='Resource Planner'!$N$13),'Resource Planner'!$E$13,"")</f>
        <v>Goobers</v>
      </c>
      <c r="F159" s="8" t="str">
        <f>IF(AND('Resource Planner'!$A$13="☑",5&lt;='Resource Planner'!$N$13),'Resource Planner'!$F$13&amp;" "&amp;('Resource Planner'!$G$13+(5-1)*'Resource Planner'!$I$13)&amp;IF(('Resource Planner'!$G$13+(5-1)*'Resource Planner'!$I$13)=MIN('Resource Planner'!$G$13+5*'Resource Planner'!$I$13-1,'Resource Planner'!$H$13),"","–"&amp;MIN('Resource Planner'!$G$13+5*'Resource Planner'!$I$13-1,'Resource Planner'!$H$13)),"")</f>
        <v>Page 61–75</v>
      </c>
      <c r="G159" s="8" t="s">
        <v>109</v>
      </c>
      <c r="H159" s="451" t="str">
        <f>IF(AND('Resource Planner'!$A$13="☑",5&lt;='Resource Planner'!$N$13),'Resource Planner'!$M$13,"")</f>
        <v>sample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week"",10*(n-1),""Custom"",gap*(n-1),n-1),IF(AND(active=""☑"",n&lt;=lessons,st&lt;&gt;""""),INDEX(eligibleDates,startPos+offset),"""")),"""")"),46287.0)</f>
        <v>46287</v>
      </c>
      <c r="B160" s="451" t="str">
        <f>IF(AND('Resource Planner'!$A$13="☑",6&lt;='Resource Planner'!$N$13),'Resource Planner'!$C$13,"")</f>
        <v>Everyone</v>
      </c>
      <c r="C160" s="451" t="str">
        <f>IF(AND('Resource Planner'!$A$13="☑",6&lt;='Resource Planner'!$N$13),'Resource Planner'!$B$13,"")</f>
        <v>Reading Loop</v>
      </c>
      <c r="D160" s="451" t="str">
        <f>IF(AND('Resource Planner'!$A$13="☑",6&lt;='Resource Planner'!$N$13),'Resource Planner'!$D$13,"")</f>
        <v>Form I / Literature — Tales / Fairy Tales / Myths</v>
      </c>
      <c r="E160" s="451" t="str">
        <f>IF(AND('Resource Planner'!$A$13="☑",6&lt;='Resource Planner'!$N$13),'Resource Planner'!$E$13,"")</f>
        <v>Goobers</v>
      </c>
      <c r="F160" s="8" t="str">
        <f>IF(AND('Resource Planner'!$A$13="☑",6&lt;='Resource Planner'!$N$13),'Resource Planner'!$F$13&amp;" "&amp;('Resource Planner'!$G$13+(6-1)*'Resource Planner'!$I$13)&amp;IF(('Resource Planner'!$G$13+(6-1)*'Resource Planner'!$I$13)=MIN('Resource Planner'!$G$13+6*'Resource Planner'!$I$13-1,'Resource Planner'!$H$13),"","–"&amp;MIN('Resource Planner'!$G$13+6*'Resource Planner'!$I$13-1,'Resource Planner'!$H$13)),"")</f>
        <v>Page 76–90</v>
      </c>
      <c r="G160" s="8" t="s">
        <v>109</v>
      </c>
      <c r="H160" s="451" t="str">
        <f>IF(AND('Resource Planner'!$A$13="☑",6&lt;='Resource Planner'!$N$13),'Resource Planner'!$M$13,"")</f>
        <v>sample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week"",10*(n-1),""Custom"",gap*(n-1),n-1),IF(AND(active=""☑"",n&lt;=lessons,st&lt;&gt;""""),INDEX(eligibleDates,startPos+offset),"""")),"""")"),46294.0)</f>
        <v>46294</v>
      </c>
      <c r="B161" s="451" t="str">
        <f>IF(AND('Resource Planner'!$A$13="☑",7&lt;='Resource Planner'!$N$13),'Resource Planner'!$C$13,"")</f>
        <v>Everyone</v>
      </c>
      <c r="C161" s="451" t="str">
        <f>IF(AND('Resource Planner'!$A$13="☑",7&lt;='Resource Planner'!$N$13),'Resource Planner'!$B$13,"")</f>
        <v>Reading Loop</v>
      </c>
      <c r="D161" s="451" t="str">
        <f>IF(AND('Resource Planner'!$A$13="☑",7&lt;='Resource Planner'!$N$13),'Resource Planner'!$D$13,"")</f>
        <v>Form I / Literature — Tales / Fairy Tales / Myths</v>
      </c>
      <c r="E161" s="451" t="str">
        <f>IF(AND('Resource Planner'!$A$13="☑",7&lt;='Resource Planner'!$N$13),'Resource Planner'!$E$13,"")</f>
        <v>Goobers</v>
      </c>
      <c r="F161" s="8" t="str">
        <f>IF(AND('Resource Planner'!$A$13="☑",7&lt;='Resource Planner'!$N$13),'Resource Planner'!$F$13&amp;" "&amp;('Resource Planner'!$G$13+(7-1)*'Resource Planner'!$I$13)&amp;IF(('Resource Planner'!$G$13+(7-1)*'Resource Planner'!$I$13)=MIN('Resource Planner'!$G$13+7*'Resource Planner'!$I$13-1,'Resource Planner'!$H$13),"","–"&amp;MIN('Resource Planner'!$G$13+7*'Resource Planner'!$I$13-1,'Resource Planner'!$H$13)),"")</f>
        <v>Page 91–105</v>
      </c>
      <c r="G161" s="8" t="s">
        <v>109</v>
      </c>
      <c r="H161" s="451" t="str">
        <f>IF(AND('Resource Planner'!$A$13="☑",7&lt;='Resource Planner'!$N$13),'Resource Planner'!$M$13,"")</f>
        <v>sample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week"",10*(n-1),""Custom"",gap*(n-1),n-1),IF(AND(active=""☑"",n&lt;=lessons,st&lt;&gt;""""),INDEX(eligibleDates,startPos+offset),"""")),"""")"),46301.0)</f>
        <v>46301</v>
      </c>
      <c r="B162" s="451" t="str">
        <f>IF(AND('Resource Planner'!$A$13="☑",8&lt;='Resource Planner'!$N$13),'Resource Planner'!$C$13,"")</f>
        <v>Everyone</v>
      </c>
      <c r="C162" s="451" t="str">
        <f>IF(AND('Resource Planner'!$A$13="☑",8&lt;='Resource Planner'!$N$13),'Resource Planner'!$B$13,"")</f>
        <v>Reading Loop</v>
      </c>
      <c r="D162" s="451" t="str">
        <f>IF(AND('Resource Planner'!$A$13="☑",8&lt;='Resource Planner'!$N$13),'Resource Planner'!$D$13,"")</f>
        <v>Form I / Literature — Tales / Fairy Tales / Myths</v>
      </c>
      <c r="E162" s="451" t="str">
        <f>IF(AND('Resource Planner'!$A$13="☑",8&lt;='Resource Planner'!$N$13),'Resource Planner'!$E$13,"")</f>
        <v>Goobers</v>
      </c>
      <c r="F162" s="8" t="str">
        <f>IF(AND('Resource Planner'!$A$13="☑",8&lt;='Resource Planner'!$N$13),'Resource Planner'!$F$13&amp;" "&amp;('Resource Planner'!$G$13+(8-1)*'Resource Planner'!$I$13)&amp;IF(('Resource Planner'!$G$13+(8-1)*'Resource Planner'!$I$13)=MIN('Resource Planner'!$G$13+8*'Resource Planner'!$I$13-1,'Resource Planner'!$H$13),"","–"&amp;MIN('Resource Planner'!$G$13+8*'Resource Planner'!$I$13-1,'Resource Planner'!$H$13)),"")</f>
        <v>Page 106–120</v>
      </c>
      <c r="G162" s="8" t="s">
        <v>109</v>
      </c>
      <c r="H162" s="451" t="str">
        <f>IF(AND('Resource Planner'!$A$13="☑",8&lt;='Resource Planner'!$N$13),'Resource Planner'!$M$13,"")</f>
        <v>sample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week"",10*(n-1),""Custom"",gap*(n-1),n-1),IF(AND(active=""☑"",n&lt;=lessons,st&lt;&gt;""""),INDEX(eligibleDates,startPos+offset),"""")),"""")"),46308.0)</f>
        <v>46308</v>
      </c>
      <c r="B163" s="451" t="str">
        <f>IF(AND('Resource Planner'!$A$13="☑",9&lt;='Resource Planner'!$N$13),'Resource Planner'!$C$13,"")</f>
        <v>Everyone</v>
      </c>
      <c r="C163" s="451" t="str">
        <f>IF(AND('Resource Planner'!$A$13="☑",9&lt;='Resource Planner'!$N$13),'Resource Planner'!$B$13,"")</f>
        <v>Reading Loop</v>
      </c>
      <c r="D163" s="451" t="str">
        <f>IF(AND('Resource Planner'!$A$13="☑",9&lt;='Resource Planner'!$N$13),'Resource Planner'!$D$13,"")</f>
        <v>Form I / Literature — Tales / Fairy Tales / Myths</v>
      </c>
      <c r="E163" s="451" t="str">
        <f>IF(AND('Resource Planner'!$A$13="☑",9&lt;='Resource Planner'!$N$13),'Resource Planner'!$E$13,"")</f>
        <v>Goobers</v>
      </c>
      <c r="F163" s="8" t="str">
        <f>IF(AND('Resource Planner'!$A$13="☑",9&lt;='Resource Planner'!$N$13),'Resource Planner'!$F$13&amp;" "&amp;('Resource Planner'!$G$13+(9-1)*'Resource Planner'!$I$13)&amp;IF(('Resource Planner'!$G$13+(9-1)*'Resource Planner'!$I$13)=MIN('Resource Planner'!$G$13+9*'Resource Planner'!$I$13-1,'Resource Planner'!$H$13),"","–"&amp;MIN('Resource Planner'!$G$13+9*'Resource Planner'!$I$13-1,'Resource Planner'!$H$13)),"")</f>
        <v>Page 121–135</v>
      </c>
      <c r="G163" s="8" t="s">
        <v>109</v>
      </c>
      <c r="H163" s="451" t="str">
        <f>IF(AND('Resource Planner'!$A$13="☑",9&lt;='Resource Planner'!$N$13),'Resource Planner'!$M$13,"")</f>
        <v>sample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week"",10*(n-1),""Custom"",gap*(n-1),n-1),IF(AND(active=""☑"",n&lt;=lessons,st&lt;&gt;""""),INDEX(eligibleDates,startPos+offset),"""")),"""")"),46315.0)</f>
        <v>46315</v>
      </c>
      <c r="B164" s="451" t="str">
        <f>IF(AND('Resource Planner'!$A$13="☑",10&lt;='Resource Planner'!$N$13),'Resource Planner'!$C$13,"")</f>
        <v>Everyone</v>
      </c>
      <c r="C164" s="451" t="str">
        <f>IF(AND('Resource Planner'!$A$13="☑",10&lt;='Resource Planner'!$N$13),'Resource Planner'!$B$13,"")</f>
        <v>Reading Loop</v>
      </c>
      <c r="D164" s="451" t="str">
        <f>IF(AND('Resource Planner'!$A$13="☑",10&lt;='Resource Planner'!$N$13),'Resource Planner'!$D$13,"")</f>
        <v>Form I / Literature — Tales / Fairy Tales / Myths</v>
      </c>
      <c r="E164" s="451" t="str">
        <f>IF(AND('Resource Planner'!$A$13="☑",10&lt;='Resource Planner'!$N$13),'Resource Planner'!$E$13,"")</f>
        <v>Goobers</v>
      </c>
      <c r="F164" s="8" t="str">
        <f>IF(AND('Resource Planner'!$A$13="☑",10&lt;='Resource Planner'!$N$13),'Resource Planner'!$F$13&amp;" "&amp;('Resource Planner'!$G$13+(10-1)*'Resource Planner'!$I$13)&amp;IF(('Resource Planner'!$G$13+(10-1)*'Resource Planner'!$I$13)=MIN('Resource Planner'!$G$13+10*'Resource Planner'!$I$13-1,'Resource Planner'!$H$13),"","–"&amp;MIN('Resource Planner'!$G$13+10*'Resource Planner'!$I$13-1,'Resource Planner'!$H$13)),"")</f>
        <v>Page 136–150</v>
      </c>
      <c r="G164" s="8" t="s">
        <v>109</v>
      </c>
      <c r="H164" s="451" t="str">
        <f>IF(AND('Resource Planner'!$A$13="☑",10&lt;='Resource Planner'!$N$13),'Resource Planner'!$M$13,"")</f>
        <v>sample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week"",10*(n-1),""Custom"",gap*(n-1),n-1),IF(AND(active=""☑"",n&lt;=lessons,st&lt;&gt;""""),INDEX(eligibleDates,startPos+offset),"""")),"""")"),46329.0)</f>
        <v>46329</v>
      </c>
      <c r="B165" s="451" t="str">
        <f>IF(AND('Resource Planner'!$A$13="☑",11&lt;='Resource Planner'!$N$13),'Resource Planner'!$C$13,"")</f>
        <v>Everyone</v>
      </c>
      <c r="C165" s="451" t="str">
        <f>IF(AND('Resource Planner'!$A$13="☑",11&lt;='Resource Planner'!$N$13),'Resource Planner'!$B$13,"")</f>
        <v>Reading Loop</v>
      </c>
      <c r="D165" s="451" t="str">
        <f>IF(AND('Resource Planner'!$A$13="☑",11&lt;='Resource Planner'!$N$13),'Resource Planner'!$D$13,"")</f>
        <v>Form I / Literature — Tales / Fairy Tales / Myths</v>
      </c>
      <c r="E165" s="451" t="str">
        <f>IF(AND('Resource Planner'!$A$13="☑",11&lt;='Resource Planner'!$N$13),'Resource Planner'!$E$13,"")</f>
        <v>Goobers</v>
      </c>
      <c r="F165" s="8" t="str">
        <f>IF(AND('Resource Planner'!$A$13="☑",11&lt;='Resource Planner'!$N$13),'Resource Planner'!$F$13&amp;" "&amp;('Resource Planner'!$G$13+(11-1)*'Resource Planner'!$I$13)&amp;IF(('Resource Planner'!$G$13+(11-1)*'Resource Planner'!$I$13)=MIN('Resource Planner'!$G$13+11*'Resource Planner'!$I$13-1,'Resource Planner'!$H$13),"","–"&amp;MIN('Resource Planner'!$G$13+11*'Resource Planner'!$I$13-1,'Resource Planner'!$H$13)),"")</f>
        <v>Page 151–165</v>
      </c>
      <c r="G165" s="8" t="s">
        <v>109</v>
      </c>
      <c r="H165" s="451" t="str">
        <f>IF(AND('Resource Planner'!$A$13="☑",11&lt;='Resource Planner'!$N$13),'Resource Planner'!$M$13,"")</f>
        <v>sample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week"",10*(n-1),""Custom"",gap*(n-1),n-1),IF(AND(active=""☑"",n&lt;=lessons,st&lt;&gt;""""),INDEX(eligibleDates,startPos+offset),"""")),"""")"),46336.0)</f>
        <v>46336</v>
      </c>
      <c r="B166" s="451" t="str">
        <f>IF(AND('Resource Planner'!$A$13="☑",12&lt;='Resource Planner'!$N$13),'Resource Planner'!$C$13,"")</f>
        <v>Everyone</v>
      </c>
      <c r="C166" s="451" t="str">
        <f>IF(AND('Resource Planner'!$A$13="☑",12&lt;='Resource Planner'!$N$13),'Resource Planner'!$B$13,"")</f>
        <v>Reading Loop</v>
      </c>
      <c r="D166" s="451" t="str">
        <f>IF(AND('Resource Planner'!$A$13="☑",12&lt;='Resource Planner'!$N$13),'Resource Planner'!$D$13,"")</f>
        <v>Form I / Literature — Tales / Fairy Tales / Myths</v>
      </c>
      <c r="E166" s="451" t="str">
        <f>IF(AND('Resource Planner'!$A$13="☑",12&lt;='Resource Planner'!$N$13),'Resource Planner'!$E$13,"")</f>
        <v>Goobers</v>
      </c>
      <c r="F166" s="8" t="str">
        <f>IF(AND('Resource Planner'!$A$13="☑",12&lt;='Resource Planner'!$N$13),'Resource Planner'!$F$13&amp;" "&amp;('Resource Planner'!$G$13+(12-1)*'Resource Planner'!$I$13)&amp;IF(('Resource Planner'!$G$13+(12-1)*'Resource Planner'!$I$13)=MIN('Resource Planner'!$G$13+12*'Resource Planner'!$I$13-1,'Resource Planner'!$H$13),"","–"&amp;MIN('Resource Planner'!$G$13+12*'Resource Planner'!$I$13-1,'Resource Planner'!$H$13)),"")</f>
        <v>Page 166–180</v>
      </c>
      <c r="G166" s="8" t="s">
        <v>109</v>
      </c>
      <c r="H166" s="451" t="str">
        <f>IF(AND('Resource Planner'!$A$13="☑",12&lt;='Resource Planner'!$N$13),'Resource Planner'!$M$13,"")</f>
        <v>sample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week"",10*(n-1),""Custom"",gap*(n-1),n-1),IF(AND(active=""☑"",n&lt;=lessons,st&lt;&gt;""""),INDEX(eligibleDates,startPos+offset),"""")),"""")"),46343.0)</f>
        <v>46343</v>
      </c>
      <c r="B167" s="451" t="str">
        <f>IF(AND('Resource Planner'!$A$13="☑",13&lt;='Resource Planner'!$N$13),'Resource Planner'!$C$13,"")</f>
        <v>Everyone</v>
      </c>
      <c r="C167" s="451" t="str">
        <f>IF(AND('Resource Planner'!$A$13="☑",13&lt;='Resource Planner'!$N$13),'Resource Planner'!$B$13,"")</f>
        <v>Reading Loop</v>
      </c>
      <c r="D167" s="451" t="str">
        <f>IF(AND('Resource Planner'!$A$13="☑",13&lt;='Resource Planner'!$N$13),'Resource Planner'!$D$13,"")</f>
        <v>Form I / Literature — Tales / Fairy Tales / Myths</v>
      </c>
      <c r="E167" s="451" t="str">
        <f>IF(AND('Resource Planner'!$A$13="☑",13&lt;='Resource Planner'!$N$13),'Resource Planner'!$E$13,"")</f>
        <v>Goobers</v>
      </c>
      <c r="F167" s="8" t="str">
        <f>IF(AND('Resource Planner'!$A$13="☑",13&lt;='Resource Planner'!$N$13),'Resource Planner'!$F$13&amp;" "&amp;('Resource Planner'!$G$13+(13-1)*'Resource Planner'!$I$13)&amp;IF(('Resource Planner'!$G$13+(13-1)*'Resource Planner'!$I$13)=MIN('Resource Planner'!$G$13+13*'Resource Planner'!$I$13-1,'Resource Planner'!$H$13),"","–"&amp;MIN('Resource Planner'!$G$13+13*'Resource Planner'!$I$13-1,'Resource Planner'!$H$13)),"")</f>
        <v>Page 181–195</v>
      </c>
      <c r="G167" s="8" t="s">
        <v>109</v>
      </c>
      <c r="H167" s="451" t="str">
        <f>IF(AND('Resource Planner'!$A$13="☑",13&lt;='Resource Planner'!$N$13),'Resource Planner'!$M$13,"")</f>
        <v>sample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week"",10*(n-1),""Custom"",gap*(n-1),n-1),IF(AND(active=""☑"",n&lt;=lessons,st&lt;&gt;""""),INDEX(eligibleDates,startPos+offset),"""")),"""")"),46350.0)</f>
        <v>46350</v>
      </c>
      <c r="B168" s="451" t="str">
        <f>IF(AND('Resource Planner'!$A$13="☑",14&lt;='Resource Planner'!$N$13),'Resource Planner'!$C$13,"")</f>
        <v>Everyone</v>
      </c>
      <c r="C168" s="451" t="str">
        <f>IF(AND('Resource Planner'!$A$13="☑",14&lt;='Resource Planner'!$N$13),'Resource Planner'!$B$13,"")</f>
        <v>Reading Loop</v>
      </c>
      <c r="D168" s="451" t="str">
        <f>IF(AND('Resource Planner'!$A$13="☑",14&lt;='Resource Planner'!$N$13),'Resource Planner'!$D$13,"")</f>
        <v>Form I / Literature — Tales / Fairy Tales / Myths</v>
      </c>
      <c r="E168" s="451" t="str">
        <f>IF(AND('Resource Planner'!$A$13="☑",14&lt;='Resource Planner'!$N$13),'Resource Planner'!$E$13,"")</f>
        <v>Goobers</v>
      </c>
      <c r="F168" s="8" t="str">
        <f>IF(AND('Resource Planner'!$A$13="☑",14&lt;='Resource Planner'!$N$13),'Resource Planner'!$F$13&amp;" "&amp;('Resource Planner'!$G$13+(14-1)*'Resource Planner'!$I$13)&amp;IF(('Resource Planner'!$G$13+(14-1)*'Resource Planner'!$I$13)=MIN('Resource Planner'!$G$13+14*'Resource Planner'!$I$13-1,'Resource Planner'!$H$13),"","–"&amp;MIN('Resource Planner'!$G$13+14*'Resource Planner'!$I$13-1,'Resource Planner'!$H$13)),"")</f>
        <v>Page 196–210</v>
      </c>
      <c r="G168" s="8" t="s">
        <v>109</v>
      </c>
      <c r="H168" s="451" t="str">
        <f>IF(AND('Resource Planner'!$A$13="☑",14&lt;='Resource Planner'!$N$13),'Resource Planner'!$M$13,"")</f>
        <v>sample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week"",10*(n-1),""Custom"",gap*(n-1),n-1),IF(AND(active=""☑"",n&lt;=lessons,st&lt;&gt;""""),INDEX(eligibleDates,startPos+offset),"""")),"""")"),46357.0)</f>
        <v>46357</v>
      </c>
      <c r="B169" s="451" t="str">
        <f>IF(AND('Resource Planner'!$A$13="☑",15&lt;='Resource Planner'!$N$13),'Resource Planner'!$C$13,"")</f>
        <v>Everyone</v>
      </c>
      <c r="C169" s="451" t="str">
        <f>IF(AND('Resource Planner'!$A$13="☑",15&lt;='Resource Planner'!$N$13),'Resource Planner'!$B$13,"")</f>
        <v>Reading Loop</v>
      </c>
      <c r="D169" s="451" t="str">
        <f>IF(AND('Resource Planner'!$A$13="☑",15&lt;='Resource Planner'!$N$13),'Resource Planner'!$D$13,"")</f>
        <v>Form I / Literature — Tales / Fairy Tales / Myths</v>
      </c>
      <c r="E169" s="451" t="str">
        <f>IF(AND('Resource Planner'!$A$13="☑",15&lt;='Resource Planner'!$N$13),'Resource Planner'!$E$13,"")</f>
        <v>Goobers</v>
      </c>
      <c r="F169" s="8" t="str">
        <f>IF(AND('Resource Planner'!$A$13="☑",15&lt;='Resource Planner'!$N$13),'Resource Planner'!$F$13&amp;" "&amp;('Resource Planner'!$G$13+(15-1)*'Resource Planner'!$I$13)&amp;IF(('Resource Planner'!$G$13+(15-1)*'Resource Planner'!$I$13)=MIN('Resource Planner'!$G$13+15*'Resource Planner'!$I$13-1,'Resource Planner'!$H$13),"","–"&amp;MIN('Resource Planner'!$G$13+15*'Resource Planner'!$I$13-1,'Resource Planner'!$H$13)),"")</f>
        <v>Page 211</v>
      </c>
      <c r="G169" s="8" t="s">
        <v>109</v>
      </c>
      <c r="H169" s="451" t="str">
        <f>IF(AND('Resource Planner'!$A$13="☑",15&lt;='Resource Planner'!$N$13),'Resource Planner'!$M$13,"")</f>
        <v>sample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" s="8" t="str">
        <f>IF(AND('Resource Planner'!$A$13="☑",16&lt;='Resource Planner'!$N$13),'Resource Planner'!$C$13,"")</f>
        <v/>
      </c>
      <c r="C170" s="8" t="str">
        <f>IF(AND('Resource Planner'!$A$13="☑",16&lt;='Resource Planner'!$N$13),'Resource Planner'!$B$13,"")</f>
        <v/>
      </c>
      <c r="D170" s="8" t="str">
        <f>IF(AND('Resource Planner'!$A$13="☑",16&lt;='Resource Planner'!$N$13),'Resource Planner'!$D$13,"")</f>
        <v/>
      </c>
      <c r="E170" s="8" t="str">
        <f>IF(AND('Resource Planner'!$A$13="☑",16&lt;='Resource Planner'!$N$13),'Resource Planner'!$E$13,"")</f>
        <v/>
      </c>
      <c r="F170" s="8" t="str">
        <f>IF(AND('Resource Planner'!$A$13="☑",16&lt;='Resource Planner'!$N$13),'Resource Planner'!$F$13&amp;" "&amp;('Resource Planner'!$G$13+(16-1)*'Resource Planner'!$I$13)&amp;IF(('Resource Planner'!$G$13+(16-1)*'Resource Planner'!$I$13)=MIN('Resource Planner'!$G$13+16*'Resource Planner'!$I$13-1,'Resource Planner'!$H$13),"","–"&amp;MIN('Resource Planner'!$G$13+16*'Resource Planner'!$I$13-1,'Resource Planner'!$H$13)),"")</f>
        <v/>
      </c>
      <c r="G170" s="8" t="s">
        <v>109</v>
      </c>
      <c r="H170" s="8" t="str">
        <f>IF(AND('Resource Planner'!$A$13="☑",16&lt;='Resource Planner'!$N$13),'Resource Planner'!$M$13,"")</f>
        <v/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" s="8" t="str">
        <f>IF(AND('Resource Planner'!$A$13="☑",17&lt;='Resource Planner'!$N$13),'Resource Planner'!$C$13,"")</f>
        <v/>
      </c>
      <c r="C171" s="8" t="str">
        <f>IF(AND('Resource Planner'!$A$13="☑",17&lt;='Resource Planner'!$N$13),'Resource Planner'!$B$13,"")</f>
        <v/>
      </c>
      <c r="D171" s="8" t="str">
        <f>IF(AND('Resource Planner'!$A$13="☑",17&lt;='Resource Planner'!$N$13),'Resource Planner'!$D$13,"")</f>
        <v/>
      </c>
      <c r="E171" s="8" t="str">
        <f>IF(AND('Resource Planner'!$A$13="☑",17&lt;='Resource Planner'!$N$13),'Resource Planner'!$E$13,"")</f>
        <v/>
      </c>
      <c r="F171" s="8" t="str">
        <f>IF(AND('Resource Planner'!$A$13="☑",17&lt;='Resource Planner'!$N$13),'Resource Planner'!$F$13&amp;" "&amp;('Resource Planner'!$G$13+(17-1)*'Resource Planner'!$I$13)&amp;IF(('Resource Planner'!$G$13+(17-1)*'Resource Planner'!$I$13)=MIN('Resource Planner'!$G$13+17*'Resource Planner'!$I$13-1,'Resource Planner'!$H$13),"","–"&amp;MIN('Resource Planner'!$G$13+17*'Resource Planner'!$I$13-1,'Resource Planner'!$H$13)),"")</f>
        <v/>
      </c>
      <c r="G171" s="8" t="s">
        <v>109</v>
      </c>
      <c r="H171" s="8" t="str">
        <f>IF(AND('Resource Planner'!$A$13="☑",17&lt;='Resource Planner'!$N$13),'Resource Planner'!$M$13,"")</f>
        <v/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" s="8" t="str">
        <f>IF(AND('Resource Planner'!$A$13="☑",18&lt;='Resource Planner'!$N$13),'Resource Planner'!$C$13,"")</f>
        <v/>
      </c>
      <c r="C172" s="8" t="str">
        <f>IF(AND('Resource Planner'!$A$13="☑",18&lt;='Resource Planner'!$N$13),'Resource Planner'!$B$13,"")</f>
        <v/>
      </c>
      <c r="D172" s="8" t="str">
        <f>IF(AND('Resource Planner'!$A$13="☑",18&lt;='Resource Planner'!$N$13),'Resource Planner'!$D$13,"")</f>
        <v/>
      </c>
      <c r="E172" s="8" t="str">
        <f>IF(AND('Resource Planner'!$A$13="☑",18&lt;='Resource Planner'!$N$13),'Resource Planner'!$E$13,"")</f>
        <v/>
      </c>
      <c r="F172" s="8" t="str">
        <f>IF(AND('Resource Planner'!$A$13="☑",18&lt;='Resource Planner'!$N$13),'Resource Planner'!$F$13&amp;" "&amp;('Resource Planner'!$G$13+(18-1)*'Resource Planner'!$I$13)&amp;IF(('Resource Planner'!$G$13+(18-1)*'Resource Planner'!$I$13)=MIN('Resource Planner'!$G$13+18*'Resource Planner'!$I$13-1,'Resource Planner'!$H$13),"","–"&amp;MIN('Resource Planner'!$G$13+18*'Resource Planner'!$I$13-1,'Resource Planner'!$H$13)),"")</f>
        <v/>
      </c>
      <c r="G172" s="8" t="s">
        <v>109</v>
      </c>
      <c r="H172" s="8" t="str">
        <f>IF(AND('Resource Planner'!$A$13="☑",18&lt;='Resource Planner'!$N$13),'Resource Planner'!$M$13,"")</f>
        <v/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" s="8" t="str">
        <f>IF(AND('Resource Planner'!$A$13="☑",19&lt;='Resource Planner'!$N$13),'Resource Planner'!$C$13,"")</f>
        <v/>
      </c>
      <c r="C173" s="8" t="str">
        <f>IF(AND('Resource Planner'!$A$13="☑",19&lt;='Resource Planner'!$N$13),'Resource Planner'!$B$13,"")</f>
        <v/>
      </c>
      <c r="D173" s="8" t="str">
        <f>IF(AND('Resource Planner'!$A$13="☑",19&lt;='Resource Planner'!$N$13),'Resource Planner'!$D$13,"")</f>
        <v/>
      </c>
      <c r="E173" s="8" t="str">
        <f>IF(AND('Resource Planner'!$A$13="☑",19&lt;='Resource Planner'!$N$13),'Resource Planner'!$E$13,"")</f>
        <v/>
      </c>
      <c r="F173" s="8" t="str">
        <f>IF(AND('Resource Planner'!$A$13="☑",19&lt;='Resource Planner'!$N$13),'Resource Planner'!$F$13&amp;" "&amp;('Resource Planner'!$G$13+(19-1)*'Resource Planner'!$I$13)&amp;IF(('Resource Planner'!$G$13+(19-1)*'Resource Planner'!$I$13)=MIN('Resource Planner'!$G$13+19*'Resource Planner'!$I$13-1,'Resource Planner'!$H$13),"","–"&amp;MIN('Resource Planner'!$G$13+19*'Resource Planner'!$I$13-1,'Resource Planner'!$H$13)),"")</f>
        <v/>
      </c>
      <c r="G173" s="8" t="s">
        <v>109</v>
      </c>
      <c r="H173" s="8" t="str">
        <f>IF(AND('Resource Planner'!$A$13="☑",19&lt;='Resource Planner'!$N$13),'Resource Planner'!$M$13,"")</f>
        <v/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" s="8" t="str">
        <f>IF(AND('Resource Planner'!$A$13="☑",20&lt;='Resource Planner'!$N$13),'Resource Planner'!$C$13,"")</f>
        <v/>
      </c>
      <c r="C174" s="8" t="str">
        <f>IF(AND('Resource Planner'!$A$13="☑",20&lt;='Resource Planner'!$N$13),'Resource Planner'!$B$13,"")</f>
        <v/>
      </c>
      <c r="D174" s="8" t="str">
        <f>IF(AND('Resource Planner'!$A$13="☑",20&lt;='Resource Planner'!$N$13),'Resource Planner'!$D$13,"")</f>
        <v/>
      </c>
      <c r="E174" s="8" t="str">
        <f>IF(AND('Resource Planner'!$A$13="☑",20&lt;='Resource Planner'!$N$13),'Resource Planner'!$E$13,"")</f>
        <v/>
      </c>
      <c r="F174" s="8" t="str">
        <f>IF(AND('Resource Planner'!$A$13="☑",20&lt;='Resource Planner'!$N$13),'Resource Planner'!$F$13&amp;" "&amp;('Resource Planner'!$G$13+(20-1)*'Resource Planner'!$I$13)&amp;IF(('Resource Planner'!$G$13+(20-1)*'Resource Planner'!$I$13)=MIN('Resource Planner'!$G$13+20*'Resource Planner'!$I$13-1,'Resource Planner'!$H$13),"","–"&amp;MIN('Resource Planner'!$G$13+20*'Resource Planner'!$I$13-1,'Resource Planner'!$H$13)),"")</f>
        <v/>
      </c>
      <c r="G174" s="8" t="s">
        <v>109</v>
      </c>
      <c r="H174" s="8" t="str">
        <f>IF(AND('Resource Planner'!$A$13="☑",20&lt;='Resource Planner'!$N$13),'Resource Planner'!$M$13,"")</f>
        <v/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" s="8" t="str">
        <f>IF(AND('Resource Planner'!$A$13="☑",21&lt;='Resource Planner'!$N$13),'Resource Planner'!$C$13,"")</f>
        <v/>
      </c>
      <c r="C175" s="8" t="str">
        <f>IF(AND('Resource Planner'!$A$13="☑",21&lt;='Resource Planner'!$N$13),'Resource Planner'!$B$13,"")</f>
        <v/>
      </c>
      <c r="D175" s="8" t="str">
        <f>IF(AND('Resource Planner'!$A$13="☑",21&lt;='Resource Planner'!$N$13),'Resource Planner'!$D$13,"")</f>
        <v/>
      </c>
      <c r="E175" s="8" t="str">
        <f>IF(AND('Resource Planner'!$A$13="☑",21&lt;='Resource Planner'!$N$13),'Resource Planner'!$E$13,"")</f>
        <v/>
      </c>
      <c r="F175" s="8" t="str">
        <f>IF(AND('Resource Planner'!$A$13="☑",21&lt;='Resource Planner'!$N$13),'Resource Planner'!$F$13&amp;" "&amp;('Resource Planner'!$G$13+(21-1)*'Resource Planner'!$I$13)&amp;IF(('Resource Planner'!$G$13+(21-1)*'Resource Planner'!$I$13)=MIN('Resource Planner'!$G$13+21*'Resource Planner'!$I$13-1,'Resource Planner'!$H$13),"","–"&amp;MIN('Resource Planner'!$G$13+21*'Resource Planner'!$I$13-1,'Resource Planner'!$H$13)),"")</f>
        <v/>
      </c>
      <c r="G175" s="8" t="s">
        <v>109</v>
      </c>
      <c r="H175" s="8" t="str">
        <f>IF(AND('Resource Planner'!$A$13="☑",21&lt;='Resource Planner'!$N$13),'Resource Planner'!$M$13,"")</f>
        <v/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" s="8" t="str">
        <f>IF(AND('Resource Planner'!$A$13="☑",22&lt;='Resource Planner'!$N$13),'Resource Planner'!$C$13,"")</f>
        <v/>
      </c>
      <c r="C176" s="8" t="str">
        <f>IF(AND('Resource Planner'!$A$13="☑",22&lt;='Resource Planner'!$N$13),'Resource Planner'!$B$13,"")</f>
        <v/>
      </c>
      <c r="D176" s="8" t="str">
        <f>IF(AND('Resource Planner'!$A$13="☑",22&lt;='Resource Planner'!$N$13),'Resource Planner'!$D$13,"")</f>
        <v/>
      </c>
      <c r="E176" s="8" t="str">
        <f>IF(AND('Resource Planner'!$A$13="☑",22&lt;='Resource Planner'!$N$13),'Resource Planner'!$E$13,"")</f>
        <v/>
      </c>
      <c r="F176" s="8" t="str">
        <f>IF(AND('Resource Planner'!$A$13="☑",22&lt;='Resource Planner'!$N$13),'Resource Planner'!$F$13&amp;" "&amp;('Resource Planner'!$G$13+(22-1)*'Resource Planner'!$I$13)&amp;IF(('Resource Planner'!$G$13+(22-1)*'Resource Planner'!$I$13)=MIN('Resource Planner'!$G$13+22*'Resource Planner'!$I$13-1,'Resource Planner'!$H$13),"","–"&amp;MIN('Resource Planner'!$G$13+22*'Resource Planner'!$I$13-1,'Resource Planner'!$H$13)),"")</f>
        <v/>
      </c>
      <c r="G176" s="8" t="s">
        <v>109</v>
      </c>
      <c r="H176" s="8" t="str">
        <f>IF(AND('Resource Planner'!$A$13="☑",22&lt;='Resource Planner'!$N$13),'Resource Planner'!$M$13,"")</f>
        <v/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" s="8" t="str">
        <f>IF(AND('Resource Planner'!$A$13="☑",23&lt;='Resource Planner'!$N$13),'Resource Planner'!$C$13,"")</f>
        <v/>
      </c>
      <c r="C177" s="8" t="str">
        <f>IF(AND('Resource Planner'!$A$13="☑",23&lt;='Resource Planner'!$N$13),'Resource Planner'!$B$13,"")</f>
        <v/>
      </c>
      <c r="D177" s="8" t="str">
        <f>IF(AND('Resource Planner'!$A$13="☑",23&lt;='Resource Planner'!$N$13),'Resource Planner'!$D$13,"")</f>
        <v/>
      </c>
      <c r="E177" s="8" t="str">
        <f>IF(AND('Resource Planner'!$A$13="☑",23&lt;='Resource Planner'!$N$13),'Resource Planner'!$E$13,"")</f>
        <v/>
      </c>
      <c r="F177" s="8" t="str">
        <f>IF(AND('Resource Planner'!$A$13="☑",23&lt;='Resource Planner'!$N$13),'Resource Planner'!$F$13&amp;" "&amp;('Resource Planner'!$G$13+(23-1)*'Resource Planner'!$I$13)&amp;IF(('Resource Planner'!$G$13+(23-1)*'Resource Planner'!$I$13)=MIN('Resource Planner'!$G$13+23*'Resource Planner'!$I$13-1,'Resource Planner'!$H$13),"","–"&amp;MIN('Resource Planner'!$G$13+23*'Resource Planner'!$I$13-1,'Resource Planner'!$H$13)),"")</f>
        <v/>
      </c>
      <c r="G177" s="8" t="s">
        <v>109</v>
      </c>
      <c r="H177" s="8" t="str">
        <f>IF(AND('Resource Planner'!$A$13="☑",23&lt;='Resource Planner'!$N$13),'Resource Planner'!$M$13,"")</f>
        <v/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" s="8" t="str">
        <f>IF(AND('Resource Planner'!$A$13="☑",24&lt;='Resource Planner'!$N$13),'Resource Planner'!$C$13,"")</f>
        <v/>
      </c>
      <c r="C178" s="8" t="str">
        <f>IF(AND('Resource Planner'!$A$13="☑",24&lt;='Resource Planner'!$N$13),'Resource Planner'!$B$13,"")</f>
        <v/>
      </c>
      <c r="D178" s="8" t="str">
        <f>IF(AND('Resource Planner'!$A$13="☑",24&lt;='Resource Planner'!$N$13),'Resource Planner'!$D$13,"")</f>
        <v/>
      </c>
      <c r="E178" s="8" t="str">
        <f>IF(AND('Resource Planner'!$A$13="☑",24&lt;='Resource Planner'!$N$13),'Resource Planner'!$E$13,"")</f>
        <v/>
      </c>
      <c r="F178" s="8" t="str">
        <f>IF(AND('Resource Planner'!$A$13="☑",24&lt;='Resource Planner'!$N$13),'Resource Planner'!$F$13&amp;" "&amp;('Resource Planner'!$G$13+(24-1)*'Resource Planner'!$I$13)&amp;IF(('Resource Planner'!$G$13+(24-1)*'Resource Planner'!$I$13)=MIN('Resource Planner'!$G$13+24*'Resource Planner'!$I$13-1,'Resource Planner'!$H$13),"","–"&amp;MIN('Resource Planner'!$G$13+24*'Resource Planner'!$I$13-1,'Resource Planner'!$H$13)),"")</f>
        <v/>
      </c>
      <c r="G178" s="8" t="s">
        <v>109</v>
      </c>
      <c r="H178" s="8" t="str">
        <f>IF(AND('Resource Planner'!$A$13="☑",24&lt;='Resource Planner'!$N$13),'Resource Planner'!$M$13,"")</f>
        <v/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" s="8" t="str">
        <f>IF(AND('Resource Planner'!$A$13="☑",25&lt;='Resource Planner'!$N$13),'Resource Planner'!$C$13,"")</f>
        <v/>
      </c>
      <c r="C179" s="8" t="str">
        <f>IF(AND('Resource Planner'!$A$13="☑",25&lt;='Resource Planner'!$N$13),'Resource Planner'!$B$13,"")</f>
        <v/>
      </c>
      <c r="D179" s="8" t="str">
        <f>IF(AND('Resource Planner'!$A$13="☑",25&lt;='Resource Planner'!$N$13),'Resource Planner'!$D$13,"")</f>
        <v/>
      </c>
      <c r="E179" s="8" t="str">
        <f>IF(AND('Resource Planner'!$A$13="☑",25&lt;='Resource Planner'!$N$13),'Resource Planner'!$E$13,"")</f>
        <v/>
      </c>
      <c r="F179" s="8" t="str">
        <f>IF(AND('Resource Planner'!$A$13="☑",25&lt;='Resource Planner'!$N$13),'Resource Planner'!$F$13&amp;" "&amp;('Resource Planner'!$G$13+(25-1)*'Resource Planner'!$I$13)&amp;IF(('Resource Planner'!$G$13+(25-1)*'Resource Planner'!$I$13)=MIN('Resource Planner'!$G$13+25*'Resource Planner'!$I$13-1,'Resource Planner'!$H$13),"","–"&amp;MIN('Resource Planner'!$G$13+25*'Resource Planner'!$I$13-1,'Resource Planner'!$H$13)),"")</f>
        <v/>
      </c>
      <c r="G179" s="8" t="s">
        <v>109</v>
      </c>
      <c r="H179" s="8" t="str">
        <f>IF(AND('Resource Planner'!$A$13="☑",25&lt;='Resource Planner'!$N$13),'Resource Planner'!$M$13,"")</f>
        <v/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" s="8" t="str">
        <f>IF(AND('Resource Planner'!$A$13="☑",26&lt;='Resource Planner'!$N$13),'Resource Planner'!$C$13,"")</f>
        <v/>
      </c>
      <c r="C180" s="8" t="str">
        <f>IF(AND('Resource Planner'!$A$13="☑",26&lt;='Resource Planner'!$N$13),'Resource Planner'!$B$13,"")</f>
        <v/>
      </c>
      <c r="D180" s="8" t="str">
        <f>IF(AND('Resource Planner'!$A$13="☑",26&lt;='Resource Planner'!$N$13),'Resource Planner'!$D$13,"")</f>
        <v/>
      </c>
      <c r="E180" s="8" t="str">
        <f>IF(AND('Resource Planner'!$A$13="☑",26&lt;='Resource Planner'!$N$13),'Resource Planner'!$E$13,"")</f>
        <v/>
      </c>
      <c r="F180" s="8" t="str">
        <f>IF(AND('Resource Planner'!$A$13="☑",26&lt;='Resource Planner'!$N$13),'Resource Planner'!$F$13&amp;" "&amp;('Resource Planner'!$G$13+(26-1)*'Resource Planner'!$I$13)&amp;IF(('Resource Planner'!$G$13+(26-1)*'Resource Planner'!$I$13)=MIN('Resource Planner'!$G$13+26*'Resource Planner'!$I$13-1,'Resource Planner'!$H$13),"","–"&amp;MIN('Resource Planner'!$G$13+26*'Resource Planner'!$I$13-1,'Resource Planner'!$H$13)),"")</f>
        <v/>
      </c>
      <c r="G180" s="8" t="s">
        <v>109</v>
      </c>
      <c r="H180" s="8" t="str">
        <f>IF(AND('Resource Planner'!$A$13="☑",26&lt;='Resource Planner'!$N$13),'Resource Planner'!$M$13,"")</f>
        <v/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" s="8" t="str">
        <f>IF(AND('Resource Planner'!$A$13="☑",27&lt;='Resource Planner'!$N$13),'Resource Planner'!$C$13,"")</f>
        <v/>
      </c>
      <c r="C181" s="8" t="str">
        <f>IF(AND('Resource Planner'!$A$13="☑",27&lt;='Resource Planner'!$N$13),'Resource Planner'!$B$13,"")</f>
        <v/>
      </c>
      <c r="D181" s="8" t="str">
        <f>IF(AND('Resource Planner'!$A$13="☑",27&lt;='Resource Planner'!$N$13),'Resource Planner'!$D$13,"")</f>
        <v/>
      </c>
      <c r="E181" s="8" t="str">
        <f>IF(AND('Resource Planner'!$A$13="☑",27&lt;='Resource Planner'!$N$13),'Resource Planner'!$E$13,"")</f>
        <v/>
      </c>
      <c r="F181" s="8" t="str">
        <f>IF(AND('Resource Planner'!$A$13="☑",27&lt;='Resource Planner'!$N$13),'Resource Planner'!$F$13&amp;" "&amp;('Resource Planner'!$G$13+(27-1)*'Resource Planner'!$I$13)&amp;IF(('Resource Planner'!$G$13+(27-1)*'Resource Planner'!$I$13)=MIN('Resource Planner'!$G$13+27*'Resource Planner'!$I$13-1,'Resource Planner'!$H$13),"","–"&amp;MIN('Resource Planner'!$G$13+27*'Resource Planner'!$I$13-1,'Resource Planner'!$H$13)),"")</f>
        <v/>
      </c>
      <c r="G181" s="8" t="s">
        <v>109</v>
      </c>
      <c r="H181" s="8" t="str">
        <f>IF(AND('Resource Planner'!$A$13="☑",27&lt;='Resource Planner'!$N$13),'Resource Planner'!$M$13,"")</f>
        <v/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" s="8" t="str">
        <f>IF(AND('Resource Planner'!$A$13="☑",28&lt;='Resource Planner'!$N$13),'Resource Planner'!$C$13,"")</f>
        <v/>
      </c>
      <c r="C182" s="8" t="str">
        <f>IF(AND('Resource Planner'!$A$13="☑",28&lt;='Resource Planner'!$N$13),'Resource Planner'!$B$13,"")</f>
        <v/>
      </c>
      <c r="D182" s="8" t="str">
        <f>IF(AND('Resource Planner'!$A$13="☑",28&lt;='Resource Planner'!$N$13),'Resource Planner'!$D$13,"")</f>
        <v/>
      </c>
      <c r="E182" s="8" t="str">
        <f>IF(AND('Resource Planner'!$A$13="☑",28&lt;='Resource Planner'!$N$13),'Resource Planner'!$E$13,"")</f>
        <v/>
      </c>
      <c r="F182" s="8" t="str">
        <f>IF(AND('Resource Planner'!$A$13="☑",28&lt;='Resource Planner'!$N$13),'Resource Planner'!$F$13&amp;" "&amp;('Resource Planner'!$G$13+(28-1)*'Resource Planner'!$I$13)&amp;IF(('Resource Planner'!$G$13+(28-1)*'Resource Planner'!$I$13)=MIN('Resource Planner'!$G$13+28*'Resource Planner'!$I$13-1,'Resource Planner'!$H$13),"","–"&amp;MIN('Resource Planner'!$G$13+28*'Resource Planner'!$I$13-1,'Resource Planner'!$H$13)),"")</f>
        <v/>
      </c>
      <c r="G182" s="8" t="s">
        <v>109</v>
      </c>
      <c r="H182" s="8" t="str">
        <f>IF(AND('Resource Planner'!$A$13="☑",28&lt;='Resource Planner'!$N$13),'Resource Planner'!$M$13,"")</f>
        <v/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" s="8" t="str">
        <f>IF(AND('Resource Planner'!$A$13="☑",29&lt;='Resource Planner'!$N$13),'Resource Planner'!$C$13,"")</f>
        <v/>
      </c>
      <c r="C183" s="8" t="str">
        <f>IF(AND('Resource Planner'!$A$13="☑",29&lt;='Resource Planner'!$N$13),'Resource Planner'!$B$13,"")</f>
        <v/>
      </c>
      <c r="D183" s="8" t="str">
        <f>IF(AND('Resource Planner'!$A$13="☑",29&lt;='Resource Planner'!$N$13),'Resource Planner'!$D$13,"")</f>
        <v/>
      </c>
      <c r="E183" s="8" t="str">
        <f>IF(AND('Resource Planner'!$A$13="☑",29&lt;='Resource Planner'!$N$13),'Resource Planner'!$E$13,"")</f>
        <v/>
      </c>
      <c r="F183" s="8" t="str">
        <f>IF(AND('Resource Planner'!$A$13="☑",29&lt;='Resource Planner'!$N$13),'Resource Planner'!$F$13&amp;" "&amp;('Resource Planner'!$G$13+(29-1)*'Resource Planner'!$I$13)&amp;IF(('Resource Planner'!$G$13+(29-1)*'Resource Planner'!$I$13)=MIN('Resource Planner'!$G$13+29*'Resource Planner'!$I$13-1,'Resource Planner'!$H$13),"","–"&amp;MIN('Resource Planner'!$G$13+29*'Resource Planner'!$I$13-1,'Resource Planner'!$H$13)),"")</f>
        <v/>
      </c>
      <c r="G183" s="8" t="s">
        <v>109</v>
      </c>
      <c r="H183" s="8" t="str">
        <f>IF(AND('Resource Planner'!$A$13="☑",29&lt;='Resource Planner'!$N$13),'Resource Planner'!$M$13,"")</f>
        <v/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" s="8" t="str">
        <f>IF(AND('Resource Planner'!$A$13="☑",30&lt;='Resource Planner'!$N$13),'Resource Planner'!$C$13,"")</f>
        <v/>
      </c>
      <c r="C184" s="8" t="str">
        <f>IF(AND('Resource Planner'!$A$13="☑",30&lt;='Resource Planner'!$N$13),'Resource Planner'!$B$13,"")</f>
        <v/>
      </c>
      <c r="D184" s="8" t="str">
        <f>IF(AND('Resource Planner'!$A$13="☑",30&lt;='Resource Planner'!$N$13),'Resource Planner'!$D$13,"")</f>
        <v/>
      </c>
      <c r="E184" s="8" t="str">
        <f>IF(AND('Resource Planner'!$A$13="☑",30&lt;='Resource Planner'!$N$13),'Resource Planner'!$E$13,"")</f>
        <v/>
      </c>
      <c r="F184" s="8" t="str">
        <f>IF(AND('Resource Planner'!$A$13="☑",30&lt;='Resource Planner'!$N$13),'Resource Planner'!$F$13&amp;" "&amp;('Resource Planner'!$G$13+(30-1)*'Resource Planner'!$I$13)&amp;IF(('Resource Planner'!$G$13+(30-1)*'Resource Planner'!$I$13)=MIN('Resource Planner'!$G$13+30*'Resource Planner'!$I$13-1,'Resource Planner'!$H$13),"","–"&amp;MIN('Resource Planner'!$G$13+30*'Resource Planner'!$I$13-1,'Resource Planner'!$H$13)),"")</f>
        <v/>
      </c>
      <c r="G184" s="8" t="s">
        <v>109</v>
      </c>
      <c r="H184" s="8" t="str">
        <f>IF(AND('Resource Planner'!$A$13="☑",30&lt;='Resource Planner'!$N$13),'Resource Planner'!$M$13,"")</f>
        <v/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" s="8" t="str">
        <f>IF(AND('Resource Planner'!$A$13="☑",31&lt;='Resource Planner'!$N$13),'Resource Planner'!$C$13,"")</f>
        <v/>
      </c>
      <c r="C185" s="8" t="str">
        <f>IF(AND('Resource Planner'!$A$13="☑",31&lt;='Resource Planner'!$N$13),'Resource Planner'!$B$13,"")</f>
        <v/>
      </c>
      <c r="D185" s="8" t="str">
        <f>IF(AND('Resource Planner'!$A$13="☑",31&lt;='Resource Planner'!$N$13),'Resource Planner'!$D$13,"")</f>
        <v/>
      </c>
      <c r="E185" s="8" t="str">
        <f>IF(AND('Resource Planner'!$A$13="☑",31&lt;='Resource Planner'!$N$13),'Resource Planner'!$E$13,"")</f>
        <v/>
      </c>
      <c r="F185" s="8" t="str">
        <f>IF(AND('Resource Planner'!$A$13="☑",31&lt;='Resource Planner'!$N$13),'Resource Planner'!$F$13&amp;" "&amp;('Resource Planner'!$G$13+(31-1)*'Resource Planner'!$I$13)&amp;IF(('Resource Planner'!$G$13+(31-1)*'Resource Planner'!$I$13)=MIN('Resource Planner'!$G$13+31*'Resource Planner'!$I$13-1,'Resource Planner'!$H$13),"","–"&amp;MIN('Resource Planner'!$G$13+31*'Resource Planner'!$I$13-1,'Resource Planner'!$H$13)),"")</f>
        <v/>
      </c>
      <c r="G185" s="8" t="s">
        <v>109</v>
      </c>
      <c r="H185" s="8" t="str">
        <f>IF(AND('Resource Planner'!$A$13="☑",31&lt;='Resource Planner'!$N$13),'Resource Planner'!$M$13,"")</f>
        <v/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" s="8" t="str">
        <f>IF(AND('Resource Planner'!$A$13="☑",32&lt;='Resource Planner'!$N$13),'Resource Planner'!$C$13,"")</f>
        <v/>
      </c>
      <c r="C186" s="8" t="str">
        <f>IF(AND('Resource Planner'!$A$13="☑",32&lt;='Resource Planner'!$N$13),'Resource Planner'!$B$13,"")</f>
        <v/>
      </c>
      <c r="D186" s="8" t="str">
        <f>IF(AND('Resource Planner'!$A$13="☑",32&lt;='Resource Planner'!$N$13),'Resource Planner'!$D$13,"")</f>
        <v/>
      </c>
      <c r="E186" s="8" t="str">
        <f>IF(AND('Resource Planner'!$A$13="☑",32&lt;='Resource Planner'!$N$13),'Resource Planner'!$E$13,"")</f>
        <v/>
      </c>
      <c r="F186" s="8" t="str">
        <f>IF(AND('Resource Planner'!$A$13="☑",32&lt;='Resource Planner'!$N$13),'Resource Planner'!$F$13&amp;" "&amp;('Resource Planner'!$G$13+(32-1)*'Resource Planner'!$I$13)&amp;IF(('Resource Planner'!$G$13+(32-1)*'Resource Planner'!$I$13)=MIN('Resource Planner'!$G$13+32*'Resource Planner'!$I$13-1,'Resource Planner'!$H$13),"","–"&amp;MIN('Resource Planner'!$G$13+32*'Resource Planner'!$I$13-1,'Resource Planner'!$H$13)),"")</f>
        <v/>
      </c>
      <c r="G186" s="8" t="s">
        <v>109</v>
      </c>
      <c r="H186" s="8" t="str">
        <f>IF(AND('Resource Planner'!$A$13="☑",32&lt;='Resource Planner'!$N$13),'Resource Planner'!$M$13,"")</f>
        <v/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" s="8" t="str">
        <f>IF(AND('Resource Planner'!$A$13="☑",33&lt;='Resource Planner'!$N$13),'Resource Planner'!$C$13,"")</f>
        <v/>
      </c>
      <c r="C187" s="8" t="str">
        <f>IF(AND('Resource Planner'!$A$13="☑",33&lt;='Resource Planner'!$N$13),'Resource Planner'!$B$13,"")</f>
        <v/>
      </c>
      <c r="D187" s="8" t="str">
        <f>IF(AND('Resource Planner'!$A$13="☑",33&lt;='Resource Planner'!$N$13),'Resource Planner'!$D$13,"")</f>
        <v/>
      </c>
      <c r="E187" s="8" t="str">
        <f>IF(AND('Resource Planner'!$A$13="☑",33&lt;='Resource Planner'!$N$13),'Resource Planner'!$E$13,"")</f>
        <v/>
      </c>
      <c r="F187" s="8" t="str">
        <f>IF(AND('Resource Planner'!$A$13="☑",33&lt;='Resource Planner'!$N$13),'Resource Planner'!$F$13&amp;" "&amp;('Resource Planner'!$G$13+(33-1)*'Resource Planner'!$I$13)&amp;IF(('Resource Planner'!$G$13+(33-1)*'Resource Planner'!$I$13)=MIN('Resource Planner'!$G$13+33*'Resource Planner'!$I$13-1,'Resource Planner'!$H$13),"","–"&amp;MIN('Resource Planner'!$G$13+33*'Resource Planner'!$I$13-1,'Resource Planner'!$H$13)),"")</f>
        <v/>
      </c>
      <c r="G187" s="8" t="s">
        <v>109</v>
      </c>
      <c r="H187" s="8" t="str">
        <f>IF(AND('Resource Planner'!$A$13="☑",33&lt;='Resource Planner'!$N$13),'Resource Planner'!$M$13,"")</f>
        <v/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" s="8" t="str">
        <f>IF(AND('Resource Planner'!$A$13="☑",34&lt;='Resource Planner'!$N$13),'Resource Planner'!$C$13,"")</f>
        <v/>
      </c>
      <c r="C188" s="8" t="str">
        <f>IF(AND('Resource Planner'!$A$13="☑",34&lt;='Resource Planner'!$N$13),'Resource Planner'!$B$13,"")</f>
        <v/>
      </c>
      <c r="D188" s="8" t="str">
        <f>IF(AND('Resource Planner'!$A$13="☑",34&lt;='Resource Planner'!$N$13),'Resource Planner'!$D$13,"")</f>
        <v/>
      </c>
      <c r="E188" s="8" t="str">
        <f>IF(AND('Resource Planner'!$A$13="☑",34&lt;='Resource Planner'!$N$13),'Resource Planner'!$E$13,"")</f>
        <v/>
      </c>
      <c r="F188" s="8" t="str">
        <f>IF(AND('Resource Planner'!$A$13="☑",34&lt;='Resource Planner'!$N$13),'Resource Planner'!$F$13&amp;" "&amp;('Resource Planner'!$G$13+(34-1)*'Resource Planner'!$I$13)&amp;IF(('Resource Planner'!$G$13+(34-1)*'Resource Planner'!$I$13)=MIN('Resource Planner'!$G$13+34*'Resource Planner'!$I$13-1,'Resource Planner'!$H$13),"","–"&amp;MIN('Resource Planner'!$G$13+34*'Resource Planner'!$I$13-1,'Resource Planner'!$H$13)),"")</f>
        <v/>
      </c>
      <c r="G188" s="8" t="s">
        <v>109</v>
      </c>
      <c r="H188" s="8" t="str">
        <f>IF(AND('Resource Planner'!$A$13="☑",34&lt;='Resource Planner'!$N$13),'Resource Planner'!$M$13,"")</f>
        <v/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" s="8" t="str">
        <f>IF(AND('Resource Planner'!$A$13="☑",35&lt;='Resource Planner'!$N$13),'Resource Planner'!$C$13,"")</f>
        <v/>
      </c>
      <c r="C189" s="8" t="str">
        <f>IF(AND('Resource Planner'!$A$13="☑",35&lt;='Resource Planner'!$N$13),'Resource Planner'!$B$13,"")</f>
        <v/>
      </c>
      <c r="D189" s="8" t="str">
        <f>IF(AND('Resource Planner'!$A$13="☑",35&lt;='Resource Planner'!$N$13),'Resource Planner'!$D$13,"")</f>
        <v/>
      </c>
      <c r="E189" s="8" t="str">
        <f>IF(AND('Resource Planner'!$A$13="☑",35&lt;='Resource Planner'!$N$13),'Resource Planner'!$E$13,"")</f>
        <v/>
      </c>
      <c r="F189" s="8" t="str">
        <f>IF(AND('Resource Planner'!$A$13="☑",35&lt;='Resource Planner'!$N$13),'Resource Planner'!$F$13&amp;" "&amp;('Resource Planner'!$G$13+(35-1)*'Resource Planner'!$I$13)&amp;IF(('Resource Planner'!$G$13+(35-1)*'Resource Planner'!$I$13)=MIN('Resource Planner'!$G$13+35*'Resource Planner'!$I$13-1,'Resource Planner'!$H$13),"","–"&amp;MIN('Resource Planner'!$G$13+35*'Resource Planner'!$I$13-1,'Resource Planner'!$H$13)),"")</f>
        <v/>
      </c>
      <c r="G189" s="8" t="s">
        <v>109</v>
      </c>
      <c r="H189" s="8" t="str">
        <f>IF(AND('Resource Planner'!$A$13="☑",35&lt;='Resource Planner'!$N$13),'Resource Planner'!$M$13,"")</f>
        <v/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" s="8" t="str">
        <f>IF(AND('Resource Planner'!$A$13="☑",36&lt;='Resource Planner'!$N$13),'Resource Planner'!$C$13,"")</f>
        <v/>
      </c>
      <c r="C190" s="8" t="str">
        <f>IF(AND('Resource Planner'!$A$13="☑",36&lt;='Resource Planner'!$N$13),'Resource Planner'!$B$13,"")</f>
        <v/>
      </c>
      <c r="D190" s="8" t="str">
        <f>IF(AND('Resource Planner'!$A$13="☑",36&lt;='Resource Planner'!$N$13),'Resource Planner'!$D$13,"")</f>
        <v/>
      </c>
      <c r="E190" s="8" t="str">
        <f>IF(AND('Resource Planner'!$A$13="☑",36&lt;='Resource Planner'!$N$13),'Resource Planner'!$E$13,"")</f>
        <v/>
      </c>
      <c r="F190" s="8" t="str">
        <f>IF(AND('Resource Planner'!$A$13="☑",36&lt;='Resource Planner'!$N$13),'Resource Planner'!$F$13&amp;" "&amp;('Resource Planner'!$G$13+(36-1)*'Resource Planner'!$I$13)&amp;IF(('Resource Planner'!$G$13+(36-1)*'Resource Planner'!$I$13)=MIN('Resource Planner'!$G$13+36*'Resource Planner'!$I$13-1,'Resource Planner'!$H$13),"","–"&amp;MIN('Resource Planner'!$G$13+36*'Resource Planner'!$I$13-1,'Resource Planner'!$H$13)),"")</f>
        <v/>
      </c>
      <c r="G190" s="8" t="s">
        <v>109</v>
      </c>
      <c r="H190" s="8" t="str">
        <f>IF(AND('Resource Planner'!$A$13="☑",36&lt;='Resource Planner'!$N$13),'Resource Planner'!$M$13,"")</f>
        <v/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" s="8" t="str">
        <f>IF(AND('Resource Planner'!$A$13="☑",37&lt;='Resource Planner'!$N$13),'Resource Planner'!$C$13,"")</f>
        <v/>
      </c>
      <c r="C191" s="8" t="str">
        <f>IF(AND('Resource Planner'!$A$13="☑",37&lt;='Resource Planner'!$N$13),'Resource Planner'!$B$13,"")</f>
        <v/>
      </c>
      <c r="D191" s="8" t="str">
        <f>IF(AND('Resource Planner'!$A$13="☑",37&lt;='Resource Planner'!$N$13),'Resource Planner'!$D$13,"")</f>
        <v/>
      </c>
      <c r="E191" s="8" t="str">
        <f>IF(AND('Resource Planner'!$A$13="☑",37&lt;='Resource Planner'!$N$13),'Resource Planner'!$E$13,"")</f>
        <v/>
      </c>
      <c r="F191" s="8" t="str">
        <f>IF(AND('Resource Planner'!$A$13="☑",37&lt;='Resource Planner'!$N$13),'Resource Planner'!$F$13&amp;" "&amp;('Resource Planner'!$G$13+(37-1)*'Resource Planner'!$I$13)&amp;IF(('Resource Planner'!$G$13+(37-1)*'Resource Planner'!$I$13)=MIN('Resource Planner'!$G$13+37*'Resource Planner'!$I$13-1,'Resource Planner'!$H$13),"","–"&amp;MIN('Resource Planner'!$G$13+37*'Resource Planner'!$I$13-1,'Resource Planner'!$H$13)),"")</f>
        <v/>
      </c>
      <c r="G191" s="8" t="s">
        <v>109</v>
      </c>
      <c r="H191" s="8" t="str">
        <f>IF(AND('Resource Planner'!$A$13="☑",37&lt;='Resource Planner'!$N$13),'Resource Planner'!$M$13,"")</f>
        <v/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" s="8" t="str">
        <f>IF(AND('Resource Planner'!$A$13="☑",38&lt;='Resource Planner'!$N$13),'Resource Planner'!$C$13,"")</f>
        <v/>
      </c>
      <c r="C192" s="8" t="str">
        <f>IF(AND('Resource Planner'!$A$13="☑",38&lt;='Resource Planner'!$N$13),'Resource Planner'!$B$13,"")</f>
        <v/>
      </c>
      <c r="D192" s="8" t="str">
        <f>IF(AND('Resource Planner'!$A$13="☑",38&lt;='Resource Planner'!$N$13),'Resource Planner'!$D$13,"")</f>
        <v/>
      </c>
      <c r="E192" s="8" t="str">
        <f>IF(AND('Resource Planner'!$A$13="☑",38&lt;='Resource Planner'!$N$13),'Resource Planner'!$E$13,"")</f>
        <v/>
      </c>
      <c r="F192" s="8" t="str">
        <f>IF(AND('Resource Planner'!$A$13="☑",38&lt;='Resource Planner'!$N$13),'Resource Planner'!$F$13&amp;" "&amp;('Resource Planner'!$G$13+(38-1)*'Resource Planner'!$I$13)&amp;IF(('Resource Planner'!$G$13+(38-1)*'Resource Planner'!$I$13)=MIN('Resource Planner'!$G$13+38*'Resource Planner'!$I$13-1,'Resource Planner'!$H$13),"","–"&amp;MIN('Resource Planner'!$G$13+38*'Resource Planner'!$I$13-1,'Resource Planner'!$H$13)),"")</f>
        <v/>
      </c>
      <c r="G192" s="8" t="s">
        <v>109</v>
      </c>
      <c r="H192" s="8" t="str">
        <f>IF(AND('Resource Planner'!$A$13="☑",38&lt;='Resource Planner'!$N$13),'Resource Planner'!$M$13,"")</f>
        <v/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" s="8" t="str">
        <f>IF(AND('Resource Planner'!$A$13="☑",39&lt;='Resource Planner'!$N$13),'Resource Planner'!$C$13,"")</f>
        <v/>
      </c>
      <c r="C193" s="8" t="str">
        <f>IF(AND('Resource Planner'!$A$13="☑",39&lt;='Resource Planner'!$N$13),'Resource Planner'!$B$13,"")</f>
        <v/>
      </c>
      <c r="D193" s="8" t="str">
        <f>IF(AND('Resource Planner'!$A$13="☑",39&lt;='Resource Planner'!$N$13),'Resource Planner'!$D$13,"")</f>
        <v/>
      </c>
      <c r="E193" s="8" t="str">
        <f>IF(AND('Resource Planner'!$A$13="☑",39&lt;='Resource Planner'!$N$13),'Resource Planner'!$E$13,"")</f>
        <v/>
      </c>
      <c r="F193" s="8" t="str">
        <f>IF(AND('Resource Planner'!$A$13="☑",39&lt;='Resource Planner'!$N$13),'Resource Planner'!$F$13&amp;" "&amp;('Resource Planner'!$G$13+(39-1)*'Resource Planner'!$I$13)&amp;IF(('Resource Planner'!$G$13+(39-1)*'Resource Planner'!$I$13)=MIN('Resource Planner'!$G$13+39*'Resource Planner'!$I$13-1,'Resource Planner'!$H$13),"","–"&amp;MIN('Resource Planner'!$G$13+39*'Resource Planner'!$I$13-1,'Resource Planner'!$H$13)),"")</f>
        <v/>
      </c>
      <c r="G193" s="8" t="s">
        <v>109</v>
      </c>
      <c r="H193" s="8" t="str">
        <f>IF(AND('Resource Planner'!$A$13="☑",39&lt;='Resource Planner'!$N$13),'Resource Planner'!$M$13,"")</f>
        <v/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" s="8" t="str">
        <f>IF(AND('Resource Planner'!$A$13="☑",40&lt;='Resource Planner'!$N$13),'Resource Planner'!$C$13,"")</f>
        <v/>
      </c>
      <c r="C194" s="8" t="str">
        <f>IF(AND('Resource Planner'!$A$13="☑",40&lt;='Resource Planner'!$N$13),'Resource Planner'!$B$13,"")</f>
        <v/>
      </c>
      <c r="D194" s="8" t="str">
        <f>IF(AND('Resource Planner'!$A$13="☑",40&lt;='Resource Planner'!$N$13),'Resource Planner'!$D$13,"")</f>
        <v/>
      </c>
      <c r="E194" s="8" t="str">
        <f>IF(AND('Resource Planner'!$A$13="☑",40&lt;='Resource Planner'!$N$13),'Resource Planner'!$E$13,"")</f>
        <v/>
      </c>
      <c r="F194" s="8" t="str">
        <f>IF(AND('Resource Planner'!$A$13="☑",40&lt;='Resource Planner'!$N$13),'Resource Planner'!$F$13&amp;" "&amp;('Resource Planner'!$G$13+(40-1)*'Resource Planner'!$I$13)&amp;IF(('Resource Planner'!$G$13+(40-1)*'Resource Planner'!$I$13)=MIN('Resource Planner'!$G$13+40*'Resource Planner'!$I$13-1,'Resource Planner'!$H$13),"","–"&amp;MIN('Resource Planner'!$G$13+40*'Resource Planner'!$I$13-1,'Resource Planner'!$H$13)),"")</f>
        <v/>
      </c>
      <c r="G194" s="8" t="s">
        <v>109</v>
      </c>
      <c r="H194" s="8" t="str">
        <f>IF(AND('Resource Planner'!$A$13="☑",40&lt;='Resource Planner'!$N$13),'Resource Planner'!$M$13,"")</f>
        <v/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" s="8" t="str">
        <f>IF(AND('Resource Planner'!$A$13="☑",41&lt;='Resource Planner'!$N$13),'Resource Planner'!$C$13,"")</f>
        <v/>
      </c>
      <c r="C195" s="8" t="str">
        <f>IF(AND('Resource Planner'!$A$13="☑",41&lt;='Resource Planner'!$N$13),'Resource Planner'!$B$13,"")</f>
        <v/>
      </c>
      <c r="D195" s="8" t="str">
        <f>IF(AND('Resource Planner'!$A$13="☑",41&lt;='Resource Planner'!$N$13),'Resource Planner'!$D$13,"")</f>
        <v/>
      </c>
      <c r="E195" s="8" t="str">
        <f>IF(AND('Resource Planner'!$A$13="☑",41&lt;='Resource Planner'!$N$13),'Resource Planner'!$E$13,"")</f>
        <v/>
      </c>
      <c r="F195" s="8" t="str">
        <f>IF(AND('Resource Planner'!$A$13="☑",41&lt;='Resource Planner'!$N$13),'Resource Planner'!$F$13&amp;" "&amp;('Resource Planner'!$G$13+(41-1)*'Resource Planner'!$I$13)&amp;IF(('Resource Planner'!$G$13+(41-1)*'Resource Planner'!$I$13)=MIN('Resource Planner'!$G$13+41*'Resource Planner'!$I$13-1,'Resource Planner'!$H$13),"","–"&amp;MIN('Resource Planner'!$G$13+41*'Resource Planner'!$I$13-1,'Resource Planner'!$H$13)),"")</f>
        <v/>
      </c>
      <c r="G195" s="8" t="s">
        <v>109</v>
      </c>
      <c r="H195" s="8" t="str">
        <f>IF(AND('Resource Planner'!$A$13="☑",41&lt;='Resource Planner'!$N$13),'Resource Planner'!$M$13,"")</f>
        <v/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" s="8" t="str">
        <f>IF(AND('Resource Planner'!$A$13="☑",42&lt;='Resource Planner'!$N$13),'Resource Planner'!$C$13,"")</f>
        <v/>
      </c>
      <c r="C196" s="8" t="str">
        <f>IF(AND('Resource Planner'!$A$13="☑",42&lt;='Resource Planner'!$N$13),'Resource Planner'!$B$13,"")</f>
        <v/>
      </c>
      <c r="D196" s="8" t="str">
        <f>IF(AND('Resource Planner'!$A$13="☑",42&lt;='Resource Planner'!$N$13),'Resource Planner'!$D$13,"")</f>
        <v/>
      </c>
      <c r="E196" s="8" t="str">
        <f>IF(AND('Resource Planner'!$A$13="☑",42&lt;='Resource Planner'!$N$13),'Resource Planner'!$E$13,"")</f>
        <v/>
      </c>
      <c r="F196" s="8" t="str">
        <f>IF(AND('Resource Planner'!$A$13="☑",42&lt;='Resource Planner'!$N$13),'Resource Planner'!$F$13&amp;" "&amp;('Resource Planner'!$G$13+(42-1)*'Resource Planner'!$I$13)&amp;IF(('Resource Planner'!$G$13+(42-1)*'Resource Planner'!$I$13)=MIN('Resource Planner'!$G$13+42*'Resource Planner'!$I$13-1,'Resource Planner'!$H$13),"","–"&amp;MIN('Resource Planner'!$G$13+42*'Resource Planner'!$I$13-1,'Resource Planner'!$H$13)),"")</f>
        <v/>
      </c>
      <c r="G196" s="8" t="s">
        <v>109</v>
      </c>
      <c r="H196" s="8" t="str">
        <f>IF(AND('Resource Planner'!$A$13="☑",42&lt;='Resource Planner'!$N$13),'Resource Planner'!$M$13,"")</f>
        <v/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" s="8" t="str">
        <f>IF(AND('Resource Planner'!$A$13="☑",43&lt;='Resource Planner'!$N$13),'Resource Planner'!$C$13,"")</f>
        <v/>
      </c>
      <c r="C197" s="8" t="str">
        <f>IF(AND('Resource Planner'!$A$13="☑",43&lt;='Resource Planner'!$N$13),'Resource Planner'!$B$13,"")</f>
        <v/>
      </c>
      <c r="D197" s="8" t="str">
        <f>IF(AND('Resource Planner'!$A$13="☑",43&lt;='Resource Planner'!$N$13),'Resource Planner'!$D$13,"")</f>
        <v/>
      </c>
      <c r="E197" s="8" t="str">
        <f>IF(AND('Resource Planner'!$A$13="☑",43&lt;='Resource Planner'!$N$13),'Resource Planner'!$E$13,"")</f>
        <v/>
      </c>
      <c r="F197" s="8" t="str">
        <f>IF(AND('Resource Planner'!$A$13="☑",43&lt;='Resource Planner'!$N$13),'Resource Planner'!$F$13&amp;" "&amp;('Resource Planner'!$G$13+(43-1)*'Resource Planner'!$I$13)&amp;IF(('Resource Planner'!$G$13+(43-1)*'Resource Planner'!$I$13)=MIN('Resource Planner'!$G$13+43*'Resource Planner'!$I$13-1,'Resource Planner'!$H$13),"","–"&amp;MIN('Resource Planner'!$G$13+43*'Resource Planner'!$I$13-1,'Resource Planner'!$H$13)),"")</f>
        <v/>
      </c>
      <c r="G197" s="8" t="s">
        <v>109</v>
      </c>
      <c r="H197" s="8" t="str">
        <f>IF(AND('Resource Planner'!$A$13="☑",43&lt;='Resource Planner'!$N$13),'Resource Planner'!$M$13,"")</f>
        <v/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" s="8" t="str">
        <f>IF(AND('Resource Planner'!$A$13="☑",44&lt;='Resource Planner'!$N$13),'Resource Planner'!$C$13,"")</f>
        <v/>
      </c>
      <c r="C198" s="8" t="str">
        <f>IF(AND('Resource Planner'!$A$13="☑",44&lt;='Resource Planner'!$N$13),'Resource Planner'!$B$13,"")</f>
        <v/>
      </c>
      <c r="D198" s="8" t="str">
        <f>IF(AND('Resource Planner'!$A$13="☑",44&lt;='Resource Planner'!$N$13),'Resource Planner'!$D$13,"")</f>
        <v/>
      </c>
      <c r="E198" s="8" t="str">
        <f>IF(AND('Resource Planner'!$A$13="☑",44&lt;='Resource Planner'!$N$13),'Resource Planner'!$E$13,"")</f>
        <v/>
      </c>
      <c r="F198" s="8" t="str">
        <f>IF(AND('Resource Planner'!$A$13="☑",44&lt;='Resource Planner'!$N$13),'Resource Planner'!$F$13&amp;" "&amp;('Resource Planner'!$G$13+(44-1)*'Resource Planner'!$I$13)&amp;IF(('Resource Planner'!$G$13+(44-1)*'Resource Planner'!$I$13)=MIN('Resource Planner'!$G$13+44*'Resource Planner'!$I$13-1,'Resource Planner'!$H$13),"","–"&amp;MIN('Resource Planner'!$G$13+44*'Resource Planner'!$I$13-1,'Resource Planner'!$H$13)),"")</f>
        <v/>
      </c>
      <c r="G198" s="8" t="s">
        <v>109</v>
      </c>
      <c r="H198" s="8" t="str">
        <f>IF(AND('Resource Planner'!$A$13="☑",44&lt;='Resource Planner'!$N$13),'Resource Planner'!$M$13,"")</f>
        <v/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" s="8" t="str">
        <f>IF(AND('Resource Planner'!$A$13="☑",45&lt;='Resource Planner'!$N$13),'Resource Planner'!$C$13,"")</f>
        <v/>
      </c>
      <c r="C199" s="8" t="str">
        <f>IF(AND('Resource Planner'!$A$13="☑",45&lt;='Resource Planner'!$N$13),'Resource Planner'!$B$13,"")</f>
        <v/>
      </c>
      <c r="D199" s="8" t="str">
        <f>IF(AND('Resource Planner'!$A$13="☑",45&lt;='Resource Planner'!$N$13),'Resource Planner'!$D$13,"")</f>
        <v/>
      </c>
      <c r="E199" s="8" t="str">
        <f>IF(AND('Resource Planner'!$A$13="☑",45&lt;='Resource Planner'!$N$13),'Resource Planner'!$E$13,"")</f>
        <v/>
      </c>
      <c r="F199" s="8" t="str">
        <f>IF(AND('Resource Planner'!$A$13="☑",45&lt;='Resource Planner'!$N$13),'Resource Planner'!$F$13&amp;" "&amp;('Resource Planner'!$G$13+(45-1)*'Resource Planner'!$I$13)&amp;IF(('Resource Planner'!$G$13+(45-1)*'Resource Planner'!$I$13)=MIN('Resource Planner'!$G$13+45*'Resource Planner'!$I$13-1,'Resource Planner'!$H$13),"","–"&amp;MIN('Resource Planner'!$G$13+45*'Resource Planner'!$I$13-1,'Resource Planner'!$H$13)),"")</f>
        <v/>
      </c>
      <c r="G199" s="8" t="s">
        <v>109</v>
      </c>
      <c r="H199" s="8" t="str">
        <f>IF(AND('Resource Planner'!$A$13="☑",45&lt;='Resource Planner'!$N$13),'Resource Planner'!$M$13,"")</f>
        <v/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" s="8" t="str">
        <f>IF(AND('Resource Planner'!$A$13="☑",46&lt;='Resource Planner'!$N$13),'Resource Planner'!$C$13,"")</f>
        <v/>
      </c>
      <c r="C200" s="8" t="str">
        <f>IF(AND('Resource Planner'!$A$13="☑",46&lt;='Resource Planner'!$N$13),'Resource Planner'!$B$13,"")</f>
        <v/>
      </c>
      <c r="D200" s="8" t="str">
        <f>IF(AND('Resource Planner'!$A$13="☑",46&lt;='Resource Planner'!$N$13),'Resource Planner'!$D$13,"")</f>
        <v/>
      </c>
      <c r="E200" s="8" t="str">
        <f>IF(AND('Resource Planner'!$A$13="☑",46&lt;='Resource Planner'!$N$13),'Resource Planner'!$E$13,"")</f>
        <v/>
      </c>
      <c r="F200" s="8" t="str">
        <f>IF(AND('Resource Planner'!$A$13="☑",46&lt;='Resource Planner'!$N$13),'Resource Planner'!$F$13&amp;" "&amp;('Resource Planner'!$G$13+(46-1)*'Resource Planner'!$I$13)&amp;IF(('Resource Planner'!$G$13+(46-1)*'Resource Planner'!$I$13)=MIN('Resource Planner'!$G$13+46*'Resource Planner'!$I$13-1,'Resource Planner'!$H$13),"","–"&amp;MIN('Resource Planner'!$G$13+46*'Resource Planner'!$I$13-1,'Resource Planner'!$H$13)),"")</f>
        <v/>
      </c>
      <c r="G200" s="8" t="s">
        <v>109</v>
      </c>
      <c r="H200" s="8" t="str">
        <f>IF(AND('Resource Planner'!$A$13="☑",46&lt;='Resource Planner'!$N$13),'Resource Planner'!$M$13,"")</f>
        <v/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" s="163" t="str">
        <f>IF(AND('Resource Planner'!$A$13="☑",47&lt;='Resource Planner'!$N$13),'Resource Planner'!$C$13,"")</f>
        <v/>
      </c>
      <c r="C201" s="163" t="str">
        <f>IF(AND('Resource Planner'!$A$13="☑",47&lt;='Resource Planner'!$N$13),'Resource Planner'!$B$13,"")</f>
        <v/>
      </c>
      <c r="D201" s="163" t="str">
        <f>IF(AND('Resource Planner'!$A$13="☑",47&lt;='Resource Planner'!$N$13),'Resource Planner'!$D$13,"")</f>
        <v/>
      </c>
      <c r="E201" s="163" t="str">
        <f>IF(AND('Resource Planner'!$A$13="☑",47&lt;='Resource Planner'!$N$13),'Resource Planner'!$E$13,"")</f>
        <v/>
      </c>
      <c r="F201" s="163" t="str">
        <f>IF(AND('Resource Planner'!$A$13="☑",47&lt;='Resource Planner'!$N$13),'Resource Planner'!$F$13&amp;" "&amp;('Resource Planner'!$G$13+(47-1)*'Resource Planner'!$I$13)&amp;IF(('Resource Planner'!$G$13+(47-1)*'Resource Planner'!$I$13)=MIN('Resource Planner'!$G$13+47*'Resource Planner'!$I$13-1,'Resource Planner'!$H$13),"","–"&amp;MIN('Resource Planner'!$G$13+47*'Resource Planner'!$I$13-1,'Resource Planner'!$H$13)),"")</f>
        <v/>
      </c>
      <c r="G201" s="163" t="s">
        <v>109</v>
      </c>
      <c r="H201" s="163" t="str">
        <f>IF(AND('Resource Planner'!$A$13="☑",47&lt;='Resource Planner'!$N$13),'Resource Planner'!$M$13,"")</f>
        <v/>
      </c>
    </row>
    <row r="202" ht="15.75" customHeight="1">
      <c r="A2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" s="163" t="str">
        <f>IF(AND('Resource Planner'!$A$13="☑",48&lt;='Resource Planner'!$N$13),'Resource Planner'!$C$13,"")</f>
        <v/>
      </c>
      <c r="C202" s="163" t="str">
        <f>IF(AND('Resource Planner'!$A$13="☑",48&lt;='Resource Planner'!$N$13),'Resource Planner'!$B$13,"")</f>
        <v/>
      </c>
      <c r="D202" s="163" t="str">
        <f>IF(AND('Resource Planner'!$A$13="☑",48&lt;='Resource Planner'!$N$13),'Resource Planner'!$D$13,"")</f>
        <v/>
      </c>
      <c r="E202" s="163" t="str">
        <f>IF(AND('Resource Planner'!$A$13="☑",48&lt;='Resource Planner'!$N$13),'Resource Planner'!$E$13,"")</f>
        <v/>
      </c>
      <c r="F202" s="163" t="str">
        <f>IF(AND('Resource Planner'!$A$13="☑",48&lt;='Resource Planner'!$N$13),'Resource Planner'!$F$13&amp;" "&amp;('Resource Planner'!$G$13+(48-1)*'Resource Planner'!$I$13)&amp;IF(('Resource Planner'!$G$13+(48-1)*'Resource Planner'!$I$13)=MIN('Resource Planner'!$G$13+48*'Resource Planner'!$I$13-1,'Resource Planner'!$H$13),"","–"&amp;MIN('Resource Planner'!$G$13+48*'Resource Planner'!$I$13-1,'Resource Planner'!$H$13)),"")</f>
        <v/>
      </c>
      <c r="G202" s="163" t="s">
        <v>109</v>
      </c>
      <c r="H202" s="163" t="str">
        <f>IF(AND('Resource Planner'!$A$13="☑",48&lt;='Resource Planner'!$N$13),'Resource Planner'!$M$13,"")</f>
        <v/>
      </c>
    </row>
    <row r="203" ht="15.75" customHeight="1">
      <c r="A2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" s="163" t="str">
        <f>IF(AND('Resource Planner'!$A$13="☑",49&lt;='Resource Planner'!$N$13),'Resource Planner'!$C$13,"")</f>
        <v/>
      </c>
      <c r="C203" s="163" t="str">
        <f>IF(AND('Resource Planner'!$A$13="☑",49&lt;='Resource Planner'!$N$13),'Resource Planner'!$B$13,"")</f>
        <v/>
      </c>
      <c r="D203" s="163" t="str">
        <f>IF(AND('Resource Planner'!$A$13="☑",49&lt;='Resource Planner'!$N$13),'Resource Planner'!$D$13,"")</f>
        <v/>
      </c>
      <c r="E203" s="163" t="str">
        <f>IF(AND('Resource Planner'!$A$13="☑",49&lt;='Resource Planner'!$N$13),'Resource Planner'!$E$13,"")</f>
        <v/>
      </c>
      <c r="F203" s="163" t="str">
        <f>IF(AND('Resource Planner'!$A$13="☑",49&lt;='Resource Planner'!$N$13),'Resource Planner'!$F$13&amp;" "&amp;('Resource Planner'!$G$13+(49-1)*'Resource Planner'!$I$13)&amp;IF(('Resource Planner'!$G$13+(49-1)*'Resource Planner'!$I$13)=MIN('Resource Planner'!$G$13+49*'Resource Planner'!$I$13-1,'Resource Planner'!$H$13),"","–"&amp;MIN('Resource Planner'!$G$13+49*'Resource Planner'!$I$13-1,'Resource Planner'!$H$13)),"")</f>
        <v/>
      </c>
      <c r="G203" s="163" t="s">
        <v>109</v>
      </c>
      <c r="H203" s="163" t="str">
        <f>IF(AND('Resource Planner'!$A$13="☑",49&lt;='Resource Planner'!$N$13),'Resource Planner'!$M$13,"")</f>
        <v/>
      </c>
    </row>
    <row r="204" ht="15.75" customHeight="1">
      <c r="A2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" s="163" t="str">
        <f>IF(AND('Resource Planner'!$A$13="☑",50&lt;='Resource Planner'!$N$13),'Resource Planner'!$C$13,"")</f>
        <v/>
      </c>
      <c r="C204" s="163" t="str">
        <f>IF(AND('Resource Planner'!$A$13="☑",50&lt;='Resource Planner'!$N$13),'Resource Planner'!$B$13,"")</f>
        <v/>
      </c>
      <c r="D204" s="163" t="str">
        <f>IF(AND('Resource Planner'!$A$13="☑",50&lt;='Resource Planner'!$N$13),'Resource Planner'!$D$13,"")</f>
        <v/>
      </c>
      <c r="E204" s="163" t="str">
        <f>IF(AND('Resource Planner'!$A$13="☑",50&lt;='Resource Planner'!$N$13),'Resource Planner'!$E$13,"")</f>
        <v/>
      </c>
      <c r="F204" s="163" t="str">
        <f>IF(AND('Resource Planner'!$A$13="☑",50&lt;='Resource Planner'!$N$13),'Resource Planner'!$F$13&amp;" "&amp;('Resource Planner'!$G$13+(50-1)*'Resource Planner'!$I$13)&amp;IF(('Resource Planner'!$G$13+(50-1)*'Resource Planner'!$I$13)=MIN('Resource Planner'!$G$13+50*'Resource Planner'!$I$13-1,'Resource Planner'!$H$13),"","–"&amp;MIN('Resource Planner'!$G$13+50*'Resource Planner'!$I$13-1,'Resource Planner'!$H$13)),"")</f>
        <v/>
      </c>
      <c r="G204" s="163" t="s">
        <v>109</v>
      </c>
      <c r="H204" s="163" t="str">
        <f>IF(AND('Resource Planner'!$A$13="☑",50&lt;='Resource Planner'!$N$13),'Resource Planner'!$M$13,"")</f>
        <v/>
      </c>
    </row>
    <row r="205" ht="15.75" customHeight="1">
      <c r="A20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week"",10*(n-1),""Custom"",gap*(n-1),n-1),IF(AND(active=""☑"",n&lt;=lessons,st&lt;&gt;""""),INDEX(eligibleDates,startPos+offset),"""")),"""")"),46252.0)</f>
        <v>46252</v>
      </c>
      <c r="B205" s="33" t="str">
        <f>IF(AND('Resource Planner'!$A$14="☑",1&lt;='Resource Planner'!$N$14),'Resource Planner'!$C$14,"")</f>
        <v>Everyone</v>
      </c>
      <c r="C205" s="33" t="str">
        <f>IF(AND('Resource Planner'!$A$14="☑",1&lt;='Resource Planner'!$N$14),'Resource Planner'!$B$14,"")</f>
        <v>Faith</v>
      </c>
      <c r="D205" s="33" t="str">
        <f>IF(AND('Resource Planner'!$A$14="☑",1&lt;='Resource Planner'!$N$14),'Resource Planner'!$D$14,"")</f>
        <v>All Together / Bible — Scripture Memory</v>
      </c>
      <c r="E205" s="33" t="str">
        <f>IF(AND('Resource Planner'!$A$14="☑",1&lt;='Resource Planner'!$N$14),'Resource Planner'!$E$14,"")</f>
        <v>AGF</v>
      </c>
      <c r="F205" s="163" t="str">
        <f>IF(AND('Resource Planner'!$A$14="☑",1&lt;='Resource Planner'!$N$14),'Resource Planner'!$F$14&amp;" "&amp;('Resource Planner'!$G$14+(1-1)*'Resource Planner'!$I$14)&amp;IF(('Resource Planner'!$G$14+(1-1)*'Resource Planner'!$I$14)=MIN('Resource Planner'!$G$14+1*'Resource Planner'!$I$14-1,'Resource Planner'!$H$14),"","–"&amp;MIN('Resource Planner'!$G$14+1*'Resource Planner'!$I$14-1,'Resource Planner'!$H$14)),"")</f>
        <v>Week 1</v>
      </c>
      <c r="G205" s="163" t="s">
        <v>109</v>
      </c>
      <c r="H205" s="33" t="str">
        <f>IF(AND('Resource Planner'!$A$14="☑",1&lt;='Resource Planner'!$N$14),'Resource Planner'!$M$14,"")</f>
        <v/>
      </c>
    </row>
    <row r="206" ht="15.75" customHeight="1">
      <c r="A20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week"",10*(n-1),""Custom"",gap*(n-1),n-1),IF(AND(active=""☑"",n&lt;=lessons,st&lt;&gt;""""),INDEX(eligibleDates,startPos+offset),"""")),"""")"),46259.0)</f>
        <v>46259</v>
      </c>
      <c r="B206" s="33" t="str">
        <f>IF(AND('Resource Planner'!$A$14="☑",2&lt;='Resource Planner'!$N$14),'Resource Planner'!$C$14,"")</f>
        <v>Everyone</v>
      </c>
      <c r="C206" s="33" t="str">
        <f>IF(AND('Resource Planner'!$A$14="☑",2&lt;='Resource Planner'!$N$14),'Resource Planner'!$B$14,"")</f>
        <v>Faith</v>
      </c>
      <c r="D206" s="33" t="str">
        <f>IF(AND('Resource Planner'!$A$14="☑",2&lt;='Resource Planner'!$N$14),'Resource Planner'!$D$14,"")</f>
        <v>All Together / Bible — Scripture Memory</v>
      </c>
      <c r="E206" s="33" t="str">
        <f>IF(AND('Resource Planner'!$A$14="☑",2&lt;='Resource Planner'!$N$14),'Resource Planner'!$E$14,"")</f>
        <v>AGF</v>
      </c>
      <c r="F206" s="163" t="str">
        <f>IF(AND('Resource Planner'!$A$14="☑",2&lt;='Resource Planner'!$N$14),'Resource Planner'!$F$14&amp;" "&amp;('Resource Planner'!$G$14+(2-1)*'Resource Planner'!$I$14)&amp;IF(('Resource Planner'!$G$14+(2-1)*'Resource Planner'!$I$14)=MIN('Resource Planner'!$G$14+2*'Resource Planner'!$I$14-1,'Resource Planner'!$H$14),"","–"&amp;MIN('Resource Planner'!$G$14+2*'Resource Planner'!$I$14-1,'Resource Planner'!$H$14)),"")</f>
        <v>Week 2</v>
      </c>
      <c r="G206" s="163" t="s">
        <v>109</v>
      </c>
      <c r="H206" s="33" t="str">
        <f>IF(AND('Resource Planner'!$A$14="☑",2&lt;='Resource Planner'!$N$14),'Resource Planner'!$M$14,"")</f>
        <v/>
      </c>
    </row>
    <row r="207" ht="15.75" customHeight="1">
      <c r="A20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week"",10*(n-1),""Custom"",gap*(n-1),n-1),IF(AND(active=""☑"",n&lt;=lessons,st&lt;&gt;""""),INDEX(eligibleDates,startPos+offset),"""")),"""")"),46266.0)</f>
        <v>46266</v>
      </c>
      <c r="B207" s="33" t="str">
        <f>IF(AND('Resource Planner'!$A$14="☑",3&lt;='Resource Planner'!$N$14),'Resource Planner'!$C$14,"")</f>
        <v>Everyone</v>
      </c>
      <c r="C207" s="33" t="str">
        <f>IF(AND('Resource Planner'!$A$14="☑",3&lt;='Resource Planner'!$N$14),'Resource Planner'!$B$14,"")</f>
        <v>Faith</v>
      </c>
      <c r="D207" s="33" t="str">
        <f>IF(AND('Resource Planner'!$A$14="☑",3&lt;='Resource Planner'!$N$14),'Resource Planner'!$D$14,"")</f>
        <v>All Together / Bible — Scripture Memory</v>
      </c>
      <c r="E207" s="33" t="str">
        <f>IF(AND('Resource Planner'!$A$14="☑",3&lt;='Resource Planner'!$N$14),'Resource Planner'!$E$14,"")</f>
        <v>AGF</v>
      </c>
      <c r="F207" s="163" t="str">
        <f>IF(AND('Resource Planner'!$A$14="☑",3&lt;='Resource Planner'!$N$14),'Resource Planner'!$F$14&amp;" "&amp;('Resource Planner'!$G$14+(3-1)*'Resource Planner'!$I$14)&amp;IF(('Resource Planner'!$G$14+(3-1)*'Resource Planner'!$I$14)=MIN('Resource Planner'!$G$14+3*'Resource Planner'!$I$14-1,'Resource Planner'!$H$14),"","–"&amp;MIN('Resource Planner'!$G$14+3*'Resource Planner'!$I$14-1,'Resource Planner'!$H$14)),"")</f>
        <v>Week 3</v>
      </c>
      <c r="G207" s="163" t="s">
        <v>109</v>
      </c>
      <c r="H207" s="33" t="str">
        <f>IF(AND('Resource Planner'!$A$14="☑",3&lt;='Resource Planner'!$N$14),'Resource Planner'!$M$14,"")</f>
        <v/>
      </c>
    </row>
    <row r="208" ht="15.75" customHeight="1">
      <c r="A20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week"",10*(n-1),""Custom"",gap*(n-1),n-1),IF(AND(active=""☑"",n&lt;=lessons,st&lt;&gt;""""),INDEX(eligibleDates,startPos+offset),"""")),"""")"),46273.0)</f>
        <v>46273</v>
      </c>
      <c r="B208" s="33" t="str">
        <f>IF(AND('Resource Planner'!$A$14="☑",4&lt;='Resource Planner'!$N$14),'Resource Planner'!$C$14,"")</f>
        <v>Everyone</v>
      </c>
      <c r="C208" s="33" t="str">
        <f>IF(AND('Resource Planner'!$A$14="☑",4&lt;='Resource Planner'!$N$14),'Resource Planner'!$B$14,"")</f>
        <v>Faith</v>
      </c>
      <c r="D208" s="33" t="str">
        <f>IF(AND('Resource Planner'!$A$14="☑",4&lt;='Resource Planner'!$N$14),'Resource Planner'!$D$14,"")</f>
        <v>All Together / Bible — Scripture Memory</v>
      </c>
      <c r="E208" s="33" t="str">
        <f>IF(AND('Resource Planner'!$A$14="☑",4&lt;='Resource Planner'!$N$14),'Resource Planner'!$E$14,"")</f>
        <v>AGF</v>
      </c>
      <c r="F208" s="163" t="str">
        <f>IF(AND('Resource Planner'!$A$14="☑",4&lt;='Resource Planner'!$N$14),'Resource Planner'!$F$14&amp;" "&amp;('Resource Planner'!$G$14+(4-1)*'Resource Planner'!$I$14)&amp;IF(('Resource Planner'!$G$14+(4-1)*'Resource Planner'!$I$14)=MIN('Resource Planner'!$G$14+4*'Resource Planner'!$I$14-1,'Resource Planner'!$H$14),"","–"&amp;MIN('Resource Planner'!$G$14+4*'Resource Planner'!$I$14-1,'Resource Planner'!$H$14)),"")</f>
        <v>Week 4</v>
      </c>
      <c r="G208" s="163" t="s">
        <v>109</v>
      </c>
      <c r="H208" s="33" t="str">
        <f>IF(AND('Resource Planner'!$A$14="☑",4&lt;='Resource Planner'!$N$14),'Resource Planner'!$M$14,"")</f>
        <v/>
      </c>
    </row>
    <row r="209" ht="15.75" customHeight="1">
      <c r="A20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week"",10*(n-1),""Custom"",gap*(n-1),n-1),IF(AND(active=""☑"",n&lt;=lessons,st&lt;&gt;""""),INDEX(eligibleDates,startPos+offset),"""")),"""")"),46280.0)</f>
        <v>46280</v>
      </c>
      <c r="B209" s="33" t="str">
        <f>IF(AND('Resource Planner'!$A$14="☑",5&lt;='Resource Planner'!$N$14),'Resource Planner'!$C$14,"")</f>
        <v>Everyone</v>
      </c>
      <c r="C209" s="33" t="str">
        <f>IF(AND('Resource Planner'!$A$14="☑",5&lt;='Resource Planner'!$N$14),'Resource Planner'!$B$14,"")</f>
        <v>Faith</v>
      </c>
      <c r="D209" s="33" t="str">
        <f>IF(AND('Resource Planner'!$A$14="☑",5&lt;='Resource Planner'!$N$14),'Resource Planner'!$D$14,"")</f>
        <v>All Together / Bible — Scripture Memory</v>
      </c>
      <c r="E209" s="33" t="str">
        <f>IF(AND('Resource Planner'!$A$14="☑",5&lt;='Resource Planner'!$N$14),'Resource Planner'!$E$14,"")</f>
        <v>AGF</v>
      </c>
      <c r="F209" s="163" t="str">
        <f>IF(AND('Resource Planner'!$A$14="☑",5&lt;='Resource Planner'!$N$14),'Resource Planner'!$F$14&amp;" "&amp;('Resource Planner'!$G$14+(5-1)*'Resource Planner'!$I$14)&amp;IF(('Resource Planner'!$G$14+(5-1)*'Resource Planner'!$I$14)=MIN('Resource Planner'!$G$14+5*'Resource Planner'!$I$14-1,'Resource Planner'!$H$14),"","–"&amp;MIN('Resource Planner'!$G$14+5*'Resource Planner'!$I$14-1,'Resource Planner'!$H$14)),"")</f>
        <v>Week 5</v>
      </c>
      <c r="G209" s="163" t="s">
        <v>109</v>
      </c>
      <c r="H209" s="33" t="str">
        <f>IF(AND('Resource Planner'!$A$14="☑",5&lt;='Resource Planner'!$N$14),'Resource Planner'!$M$14,"")</f>
        <v/>
      </c>
    </row>
    <row r="210" ht="15.75" customHeight="1">
      <c r="A21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week"",10*(n-1),""Custom"",gap*(n-1),n-1),IF(AND(active=""☑"",n&lt;=lessons,st&lt;&gt;""""),INDEX(eligibleDates,startPos+offset),"""")),"""")"),46287.0)</f>
        <v>46287</v>
      </c>
      <c r="B210" s="33" t="str">
        <f>IF(AND('Resource Planner'!$A$14="☑",6&lt;='Resource Planner'!$N$14),'Resource Planner'!$C$14,"")</f>
        <v>Everyone</v>
      </c>
      <c r="C210" s="33" t="str">
        <f>IF(AND('Resource Planner'!$A$14="☑",6&lt;='Resource Planner'!$N$14),'Resource Planner'!$B$14,"")</f>
        <v>Faith</v>
      </c>
      <c r="D210" s="33" t="str">
        <f>IF(AND('Resource Planner'!$A$14="☑",6&lt;='Resource Planner'!$N$14),'Resource Planner'!$D$14,"")</f>
        <v>All Together / Bible — Scripture Memory</v>
      </c>
      <c r="E210" s="33" t="str">
        <f>IF(AND('Resource Planner'!$A$14="☑",6&lt;='Resource Planner'!$N$14),'Resource Planner'!$E$14,"")</f>
        <v>AGF</v>
      </c>
      <c r="F210" s="163" t="str">
        <f>IF(AND('Resource Planner'!$A$14="☑",6&lt;='Resource Planner'!$N$14),'Resource Planner'!$F$14&amp;" "&amp;('Resource Planner'!$G$14+(6-1)*'Resource Planner'!$I$14)&amp;IF(('Resource Planner'!$G$14+(6-1)*'Resource Planner'!$I$14)=MIN('Resource Planner'!$G$14+6*'Resource Planner'!$I$14-1,'Resource Planner'!$H$14),"","–"&amp;MIN('Resource Planner'!$G$14+6*'Resource Planner'!$I$14-1,'Resource Planner'!$H$14)),"")</f>
        <v>Week 6</v>
      </c>
      <c r="G210" s="163" t="s">
        <v>109</v>
      </c>
      <c r="H210" s="33" t="str">
        <f>IF(AND('Resource Planner'!$A$14="☑",6&lt;='Resource Planner'!$N$14),'Resource Planner'!$M$14,"")</f>
        <v/>
      </c>
    </row>
    <row r="211" ht="15.75" customHeight="1">
      <c r="A21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week"",10*(n-1),""Custom"",gap*(n-1),n-1),IF(AND(active=""☑"",n&lt;=lessons,st&lt;&gt;""""),INDEX(eligibleDates,startPos+offset),"""")),"""")"),46294.0)</f>
        <v>46294</v>
      </c>
      <c r="B211" s="33" t="str">
        <f>IF(AND('Resource Planner'!$A$14="☑",7&lt;='Resource Planner'!$N$14),'Resource Planner'!$C$14,"")</f>
        <v>Everyone</v>
      </c>
      <c r="C211" s="33" t="str">
        <f>IF(AND('Resource Planner'!$A$14="☑",7&lt;='Resource Planner'!$N$14),'Resource Planner'!$B$14,"")</f>
        <v>Faith</v>
      </c>
      <c r="D211" s="33" t="str">
        <f>IF(AND('Resource Planner'!$A$14="☑",7&lt;='Resource Planner'!$N$14),'Resource Planner'!$D$14,"")</f>
        <v>All Together / Bible — Scripture Memory</v>
      </c>
      <c r="E211" s="33" t="str">
        <f>IF(AND('Resource Planner'!$A$14="☑",7&lt;='Resource Planner'!$N$14),'Resource Planner'!$E$14,"")</f>
        <v>AGF</v>
      </c>
      <c r="F211" s="163" t="str">
        <f>IF(AND('Resource Planner'!$A$14="☑",7&lt;='Resource Planner'!$N$14),'Resource Planner'!$F$14&amp;" "&amp;('Resource Planner'!$G$14+(7-1)*'Resource Planner'!$I$14)&amp;IF(('Resource Planner'!$G$14+(7-1)*'Resource Planner'!$I$14)=MIN('Resource Planner'!$G$14+7*'Resource Planner'!$I$14-1,'Resource Planner'!$H$14),"","–"&amp;MIN('Resource Planner'!$G$14+7*'Resource Planner'!$I$14-1,'Resource Planner'!$H$14)),"")</f>
        <v>Week 7</v>
      </c>
      <c r="G211" s="163" t="s">
        <v>109</v>
      </c>
      <c r="H211" s="33" t="str">
        <f>IF(AND('Resource Planner'!$A$14="☑",7&lt;='Resource Planner'!$N$14),'Resource Planner'!$M$14,"")</f>
        <v/>
      </c>
    </row>
    <row r="212" ht="15.75" customHeight="1">
      <c r="A21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week"",10*(n-1),""Custom"",gap*(n-1),n-1),IF(AND(active=""☑"",n&lt;=lessons,st&lt;&gt;""""),INDEX(eligibleDates,startPos+offset),"""")),"""")"),46301.0)</f>
        <v>46301</v>
      </c>
      <c r="B212" s="33" t="str">
        <f>IF(AND('Resource Planner'!$A$14="☑",8&lt;='Resource Planner'!$N$14),'Resource Planner'!$C$14,"")</f>
        <v>Everyone</v>
      </c>
      <c r="C212" s="33" t="str">
        <f>IF(AND('Resource Planner'!$A$14="☑",8&lt;='Resource Planner'!$N$14),'Resource Planner'!$B$14,"")</f>
        <v>Faith</v>
      </c>
      <c r="D212" s="33" t="str">
        <f>IF(AND('Resource Planner'!$A$14="☑",8&lt;='Resource Planner'!$N$14),'Resource Planner'!$D$14,"")</f>
        <v>All Together / Bible — Scripture Memory</v>
      </c>
      <c r="E212" s="33" t="str">
        <f>IF(AND('Resource Planner'!$A$14="☑",8&lt;='Resource Planner'!$N$14),'Resource Planner'!$E$14,"")</f>
        <v>AGF</v>
      </c>
      <c r="F212" s="163" t="str">
        <f>IF(AND('Resource Planner'!$A$14="☑",8&lt;='Resource Planner'!$N$14),'Resource Planner'!$F$14&amp;" "&amp;('Resource Planner'!$G$14+(8-1)*'Resource Planner'!$I$14)&amp;IF(('Resource Planner'!$G$14+(8-1)*'Resource Planner'!$I$14)=MIN('Resource Planner'!$G$14+8*'Resource Planner'!$I$14-1,'Resource Planner'!$H$14),"","–"&amp;MIN('Resource Planner'!$G$14+8*'Resource Planner'!$I$14-1,'Resource Planner'!$H$14)),"")</f>
        <v>Week 8</v>
      </c>
      <c r="G212" s="163" t="s">
        <v>109</v>
      </c>
      <c r="H212" s="33" t="str">
        <f>IF(AND('Resource Planner'!$A$14="☑",8&lt;='Resource Planner'!$N$14),'Resource Planner'!$M$14,"")</f>
        <v/>
      </c>
    </row>
    <row r="213" ht="15.75" customHeight="1">
      <c r="A21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week"",10*(n-1),""Custom"",gap*(n-1),n-1),IF(AND(active=""☑"",n&lt;=lessons,st&lt;&gt;""""),INDEX(eligibleDates,startPos+offset),"""")),"""")"),46308.0)</f>
        <v>46308</v>
      </c>
      <c r="B213" s="33" t="str">
        <f>IF(AND('Resource Planner'!$A$14="☑",9&lt;='Resource Planner'!$N$14),'Resource Planner'!$C$14,"")</f>
        <v>Everyone</v>
      </c>
      <c r="C213" s="33" t="str">
        <f>IF(AND('Resource Planner'!$A$14="☑",9&lt;='Resource Planner'!$N$14),'Resource Planner'!$B$14,"")</f>
        <v>Faith</v>
      </c>
      <c r="D213" s="33" t="str">
        <f>IF(AND('Resource Planner'!$A$14="☑",9&lt;='Resource Planner'!$N$14),'Resource Planner'!$D$14,"")</f>
        <v>All Together / Bible — Scripture Memory</v>
      </c>
      <c r="E213" s="33" t="str">
        <f>IF(AND('Resource Planner'!$A$14="☑",9&lt;='Resource Planner'!$N$14),'Resource Planner'!$E$14,"")</f>
        <v>AGF</v>
      </c>
      <c r="F213" s="163" t="str">
        <f>IF(AND('Resource Planner'!$A$14="☑",9&lt;='Resource Planner'!$N$14),'Resource Planner'!$F$14&amp;" "&amp;('Resource Planner'!$G$14+(9-1)*'Resource Planner'!$I$14)&amp;IF(('Resource Planner'!$G$14+(9-1)*'Resource Planner'!$I$14)=MIN('Resource Planner'!$G$14+9*'Resource Planner'!$I$14-1,'Resource Planner'!$H$14),"","–"&amp;MIN('Resource Planner'!$G$14+9*'Resource Planner'!$I$14-1,'Resource Planner'!$H$14)),"")</f>
        <v>Week 9</v>
      </c>
      <c r="G213" s="163" t="s">
        <v>109</v>
      </c>
      <c r="H213" s="33" t="str">
        <f>IF(AND('Resource Planner'!$A$14="☑",9&lt;='Resource Planner'!$N$14),'Resource Planner'!$M$14,"")</f>
        <v/>
      </c>
    </row>
    <row r="214" ht="15.75" customHeight="1">
      <c r="A21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week"",10*(n-1),""Custom"",gap*(n-1),n-1),IF(AND(active=""☑"",n&lt;=lessons,st&lt;&gt;""""),INDEX(eligibleDates,startPos+offset),"""")),"""")"),46315.0)</f>
        <v>46315</v>
      </c>
      <c r="B214" s="33" t="str">
        <f>IF(AND('Resource Planner'!$A$14="☑",10&lt;='Resource Planner'!$N$14),'Resource Planner'!$C$14,"")</f>
        <v>Everyone</v>
      </c>
      <c r="C214" s="33" t="str">
        <f>IF(AND('Resource Planner'!$A$14="☑",10&lt;='Resource Planner'!$N$14),'Resource Planner'!$B$14,"")</f>
        <v>Faith</v>
      </c>
      <c r="D214" s="33" t="str">
        <f>IF(AND('Resource Planner'!$A$14="☑",10&lt;='Resource Planner'!$N$14),'Resource Planner'!$D$14,"")</f>
        <v>All Together / Bible — Scripture Memory</v>
      </c>
      <c r="E214" s="33" t="str">
        <f>IF(AND('Resource Planner'!$A$14="☑",10&lt;='Resource Planner'!$N$14),'Resource Planner'!$E$14,"")</f>
        <v>AGF</v>
      </c>
      <c r="F214" s="163" t="str">
        <f>IF(AND('Resource Planner'!$A$14="☑",10&lt;='Resource Planner'!$N$14),'Resource Planner'!$F$14&amp;" "&amp;('Resource Planner'!$G$14+(10-1)*'Resource Planner'!$I$14)&amp;IF(('Resource Planner'!$G$14+(10-1)*'Resource Planner'!$I$14)=MIN('Resource Planner'!$G$14+10*'Resource Planner'!$I$14-1,'Resource Planner'!$H$14),"","–"&amp;MIN('Resource Planner'!$G$14+10*'Resource Planner'!$I$14-1,'Resource Planner'!$H$14)),"")</f>
        <v>Week 10</v>
      </c>
      <c r="G214" s="163" t="s">
        <v>109</v>
      </c>
      <c r="H214" s="33" t="str">
        <f>IF(AND('Resource Planner'!$A$14="☑",10&lt;='Resource Planner'!$N$14),'Resource Planner'!$M$14,"")</f>
        <v/>
      </c>
    </row>
    <row r="215" ht="15.75" customHeight="1">
      <c r="A21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week"",10*(n-1),""Custom"",gap*(n-1),n-1),IF(AND(active=""☑"",n&lt;=lessons,st&lt;&gt;""""),INDEX(eligibleDates,startPos+offset),"""")),"""")"),46329.0)</f>
        <v>46329</v>
      </c>
      <c r="B215" s="33" t="str">
        <f>IF(AND('Resource Planner'!$A$14="☑",11&lt;='Resource Planner'!$N$14),'Resource Planner'!$C$14,"")</f>
        <v>Everyone</v>
      </c>
      <c r="C215" s="33" t="str">
        <f>IF(AND('Resource Planner'!$A$14="☑",11&lt;='Resource Planner'!$N$14),'Resource Planner'!$B$14,"")</f>
        <v>Faith</v>
      </c>
      <c r="D215" s="33" t="str">
        <f>IF(AND('Resource Planner'!$A$14="☑",11&lt;='Resource Planner'!$N$14),'Resource Planner'!$D$14,"")</f>
        <v>All Together / Bible — Scripture Memory</v>
      </c>
      <c r="E215" s="33" t="str">
        <f>IF(AND('Resource Planner'!$A$14="☑",11&lt;='Resource Planner'!$N$14),'Resource Planner'!$E$14,"")</f>
        <v>AGF</v>
      </c>
      <c r="F215" s="163" t="str">
        <f>IF(AND('Resource Planner'!$A$14="☑",11&lt;='Resource Planner'!$N$14),'Resource Planner'!$F$14&amp;" "&amp;('Resource Planner'!$G$14+(11-1)*'Resource Planner'!$I$14)&amp;IF(('Resource Planner'!$G$14+(11-1)*'Resource Planner'!$I$14)=MIN('Resource Planner'!$G$14+11*'Resource Planner'!$I$14-1,'Resource Planner'!$H$14),"","–"&amp;MIN('Resource Planner'!$G$14+11*'Resource Planner'!$I$14-1,'Resource Planner'!$H$14)),"")</f>
        <v>Week 11</v>
      </c>
      <c r="G215" s="163" t="s">
        <v>109</v>
      </c>
      <c r="H215" s="33" t="str">
        <f>IF(AND('Resource Planner'!$A$14="☑",11&lt;='Resource Planner'!$N$14),'Resource Planner'!$M$14,"")</f>
        <v/>
      </c>
    </row>
    <row r="216" ht="15.75" customHeight="1">
      <c r="A21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week"",10*(n-1),""Custom"",gap*(n-1),n-1),IF(AND(active=""☑"",n&lt;=lessons,st&lt;&gt;""""),INDEX(eligibleDates,startPos+offset),"""")),"""")"),46336.0)</f>
        <v>46336</v>
      </c>
      <c r="B216" s="33" t="str">
        <f>IF(AND('Resource Planner'!$A$14="☑",12&lt;='Resource Planner'!$N$14),'Resource Planner'!$C$14,"")</f>
        <v>Everyone</v>
      </c>
      <c r="C216" s="33" t="str">
        <f>IF(AND('Resource Planner'!$A$14="☑",12&lt;='Resource Planner'!$N$14),'Resource Planner'!$B$14,"")</f>
        <v>Faith</v>
      </c>
      <c r="D216" s="33" t="str">
        <f>IF(AND('Resource Planner'!$A$14="☑",12&lt;='Resource Planner'!$N$14),'Resource Planner'!$D$14,"")</f>
        <v>All Together / Bible — Scripture Memory</v>
      </c>
      <c r="E216" s="33" t="str">
        <f>IF(AND('Resource Planner'!$A$14="☑",12&lt;='Resource Planner'!$N$14),'Resource Planner'!$E$14,"")</f>
        <v>AGF</v>
      </c>
      <c r="F216" s="163" t="str">
        <f>IF(AND('Resource Planner'!$A$14="☑",12&lt;='Resource Planner'!$N$14),'Resource Planner'!$F$14&amp;" "&amp;('Resource Planner'!$G$14+(12-1)*'Resource Planner'!$I$14)&amp;IF(('Resource Planner'!$G$14+(12-1)*'Resource Planner'!$I$14)=MIN('Resource Planner'!$G$14+12*'Resource Planner'!$I$14-1,'Resource Planner'!$H$14),"","–"&amp;MIN('Resource Planner'!$G$14+12*'Resource Planner'!$I$14-1,'Resource Planner'!$H$14)),"")</f>
        <v>Week 12</v>
      </c>
      <c r="G216" s="163" t="s">
        <v>109</v>
      </c>
      <c r="H216" s="33" t="str">
        <f>IF(AND('Resource Planner'!$A$14="☑",12&lt;='Resource Planner'!$N$14),'Resource Planner'!$M$14,"")</f>
        <v/>
      </c>
    </row>
    <row r="217" ht="15.75" customHeight="1">
      <c r="A21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week"",10*(n-1),""Custom"",gap*(n-1),n-1),IF(AND(active=""☑"",n&lt;=lessons,st&lt;&gt;""""),INDEX(eligibleDates,startPos+offset),"""")),"""")"),46343.0)</f>
        <v>46343</v>
      </c>
      <c r="B217" s="33" t="str">
        <f>IF(AND('Resource Planner'!$A$14="☑",13&lt;='Resource Planner'!$N$14),'Resource Planner'!$C$14,"")</f>
        <v>Everyone</v>
      </c>
      <c r="C217" s="33" t="str">
        <f>IF(AND('Resource Planner'!$A$14="☑",13&lt;='Resource Planner'!$N$14),'Resource Planner'!$B$14,"")</f>
        <v>Faith</v>
      </c>
      <c r="D217" s="33" t="str">
        <f>IF(AND('Resource Planner'!$A$14="☑",13&lt;='Resource Planner'!$N$14),'Resource Planner'!$D$14,"")</f>
        <v>All Together / Bible — Scripture Memory</v>
      </c>
      <c r="E217" s="33" t="str">
        <f>IF(AND('Resource Planner'!$A$14="☑",13&lt;='Resource Planner'!$N$14),'Resource Planner'!$E$14,"")</f>
        <v>AGF</v>
      </c>
      <c r="F217" s="163" t="str">
        <f>IF(AND('Resource Planner'!$A$14="☑",13&lt;='Resource Planner'!$N$14),'Resource Planner'!$F$14&amp;" "&amp;('Resource Planner'!$G$14+(13-1)*'Resource Planner'!$I$14)&amp;IF(('Resource Planner'!$G$14+(13-1)*'Resource Planner'!$I$14)=MIN('Resource Planner'!$G$14+13*'Resource Planner'!$I$14-1,'Resource Planner'!$H$14),"","–"&amp;MIN('Resource Planner'!$G$14+13*'Resource Planner'!$I$14-1,'Resource Planner'!$H$14)),"")</f>
        <v>Week 13</v>
      </c>
      <c r="G217" s="163" t="s">
        <v>109</v>
      </c>
      <c r="H217" s="33" t="str">
        <f>IF(AND('Resource Planner'!$A$14="☑",13&lt;='Resource Planner'!$N$14),'Resource Planner'!$M$14,"")</f>
        <v/>
      </c>
    </row>
    <row r="218" ht="15.75" customHeight="1">
      <c r="A21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week"",10*(n-1),""Custom"",gap*(n-1),n-1),IF(AND(active=""☑"",n&lt;=lessons,st&lt;&gt;""""),INDEX(eligibleDates,startPos+offset),"""")),"""")"),46350.0)</f>
        <v>46350</v>
      </c>
      <c r="B218" s="33" t="str">
        <f>IF(AND('Resource Planner'!$A$14="☑",14&lt;='Resource Planner'!$N$14),'Resource Planner'!$C$14,"")</f>
        <v>Everyone</v>
      </c>
      <c r="C218" s="33" t="str">
        <f>IF(AND('Resource Planner'!$A$14="☑",14&lt;='Resource Planner'!$N$14),'Resource Planner'!$B$14,"")</f>
        <v>Faith</v>
      </c>
      <c r="D218" s="33" t="str">
        <f>IF(AND('Resource Planner'!$A$14="☑",14&lt;='Resource Planner'!$N$14),'Resource Planner'!$D$14,"")</f>
        <v>All Together / Bible — Scripture Memory</v>
      </c>
      <c r="E218" s="33" t="str">
        <f>IF(AND('Resource Planner'!$A$14="☑",14&lt;='Resource Planner'!$N$14),'Resource Planner'!$E$14,"")</f>
        <v>AGF</v>
      </c>
      <c r="F218" s="163" t="str">
        <f>IF(AND('Resource Planner'!$A$14="☑",14&lt;='Resource Planner'!$N$14),'Resource Planner'!$F$14&amp;" "&amp;('Resource Planner'!$G$14+(14-1)*'Resource Planner'!$I$14)&amp;IF(('Resource Planner'!$G$14+(14-1)*'Resource Planner'!$I$14)=MIN('Resource Planner'!$G$14+14*'Resource Planner'!$I$14-1,'Resource Planner'!$H$14),"","–"&amp;MIN('Resource Planner'!$G$14+14*'Resource Planner'!$I$14-1,'Resource Planner'!$H$14)),"")</f>
        <v>Week 14</v>
      </c>
      <c r="G218" s="163" t="s">
        <v>109</v>
      </c>
      <c r="H218" s="33" t="str">
        <f>IF(AND('Resource Planner'!$A$14="☑",14&lt;='Resource Planner'!$N$14),'Resource Planner'!$M$14,"")</f>
        <v/>
      </c>
    </row>
    <row r="219" ht="15.75" customHeight="1">
      <c r="A21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week"",10*(n-1),""Custom"",gap*(n-1),n-1),IF(AND(active=""☑"",n&lt;=lessons,st&lt;&gt;""""),INDEX(eligibleDates,startPos+offset),"""")),"""")"),46357.0)</f>
        <v>46357</v>
      </c>
      <c r="B219" s="33" t="str">
        <f>IF(AND('Resource Planner'!$A$14="☑",15&lt;='Resource Planner'!$N$14),'Resource Planner'!$C$14,"")</f>
        <v>Everyone</v>
      </c>
      <c r="C219" s="33" t="str">
        <f>IF(AND('Resource Planner'!$A$14="☑",15&lt;='Resource Planner'!$N$14),'Resource Planner'!$B$14,"")</f>
        <v>Faith</v>
      </c>
      <c r="D219" s="33" t="str">
        <f>IF(AND('Resource Planner'!$A$14="☑",15&lt;='Resource Planner'!$N$14),'Resource Planner'!$D$14,"")</f>
        <v>All Together / Bible — Scripture Memory</v>
      </c>
      <c r="E219" s="33" t="str">
        <f>IF(AND('Resource Planner'!$A$14="☑",15&lt;='Resource Planner'!$N$14),'Resource Planner'!$E$14,"")</f>
        <v>AGF</v>
      </c>
      <c r="F219" s="163" t="str">
        <f>IF(AND('Resource Planner'!$A$14="☑",15&lt;='Resource Planner'!$N$14),'Resource Planner'!$F$14&amp;" "&amp;('Resource Planner'!$G$14+(15-1)*'Resource Planner'!$I$14)&amp;IF(('Resource Planner'!$G$14+(15-1)*'Resource Planner'!$I$14)=MIN('Resource Planner'!$G$14+15*'Resource Planner'!$I$14-1,'Resource Planner'!$H$14),"","–"&amp;MIN('Resource Planner'!$G$14+15*'Resource Planner'!$I$14-1,'Resource Planner'!$H$14)),"")</f>
        <v>Week 15</v>
      </c>
      <c r="G219" s="163" t="s">
        <v>109</v>
      </c>
      <c r="H219" s="33" t="str">
        <f>IF(AND('Resource Planner'!$A$14="☑",15&lt;='Resource Planner'!$N$14),'Resource Planner'!$M$14,"")</f>
        <v/>
      </c>
    </row>
    <row r="220" ht="15.75" customHeight="1">
      <c r="A22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week"",10*(n-1),""Custom"",gap*(n-1),n-1),IF(AND(active=""☑"",n&lt;=lessons,st&lt;&gt;""""),INDEX(eligibleDates,startPos+offset),"""")),"""")"),46364.0)</f>
        <v>46364</v>
      </c>
      <c r="B220" s="33" t="str">
        <f>IF(AND('Resource Planner'!$A$14="☑",16&lt;='Resource Planner'!$N$14),'Resource Planner'!$C$14,"")</f>
        <v>Everyone</v>
      </c>
      <c r="C220" s="33" t="str">
        <f>IF(AND('Resource Planner'!$A$14="☑",16&lt;='Resource Planner'!$N$14),'Resource Planner'!$B$14,"")</f>
        <v>Faith</v>
      </c>
      <c r="D220" s="33" t="str">
        <f>IF(AND('Resource Planner'!$A$14="☑",16&lt;='Resource Planner'!$N$14),'Resource Planner'!$D$14,"")</f>
        <v>All Together / Bible — Scripture Memory</v>
      </c>
      <c r="E220" s="33" t="str">
        <f>IF(AND('Resource Planner'!$A$14="☑",16&lt;='Resource Planner'!$N$14),'Resource Planner'!$E$14,"")</f>
        <v>AGF</v>
      </c>
      <c r="F220" s="163" t="str">
        <f>IF(AND('Resource Planner'!$A$14="☑",16&lt;='Resource Planner'!$N$14),'Resource Planner'!$F$14&amp;" "&amp;('Resource Planner'!$G$14+(16-1)*'Resource Planner'!$I$14)&amp;IF(('Resource Planner'!$G$14+(16-1)*'Resource Planner'!$I$14)=MIN('Resource Planner'!$G$14+16*'Resource Planner'!$I$14-1,'Resource Planner'!$H$14),"","–"&amp;MIN('Resource Planner'!$G$14+16*'Resource Planner'!$I$14-1,'Resource Planner'!$H$14)),"")</f>
        <v>Week 16</v>
      </c>
      <c r="G220" s="163" t="s">
        <v>109</v>
      </c>
      <c r="H220" s="33" t="str">
        <f>IF(AND('Resource Planner'!$A$14="☑",16&lt;='Resource Planner'!$N$14),'Resource Planner'!$M$14,"")</f>
        <v/>
      </c>
    </row>
    <row r="221" ht="15.75" customHeight="1">
      <c r="A22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week"",10*(n-1),""Custom"",gap*(n-1),n-1),IF(AND(active=""☑"",n&lt;=lessons,st&lt;&gt;""""),INDEX(eligibleDates,startPos+offset),"""")),"""")"),46371.0)</f>
        <v>46371</v>
      </c>
      <c r="B221" s="33" t="str">
        <f>IF(AND('Resource Planner'!$A$14="☑",17&lt;='Resource Planner'!$N$14),'Resource Planner'!$C$14,"")</f>
        <v>Everyone</v>
      </c>
      <c r="C221" s="33" t="str">
        <f>IF(AND('Resource Planner'!$A$14="☑",17&lt;='Resource Planner'!$N$14),'Resource Planner'!$B$14,"")</f>
        <v>Faith</v>
      </c>
      <c r="D221" s="33" t="str">
        <f>IF(AND('Resource Planner'!$A$14="☑",17&lt;='Resource Planner'!$N$14),'Resource Planner'!$D$14,"")</f>
        <v>All Together / Bible — Scripture Memory</v>
      </c>
      <c r="E221" s="33" t="str">
        <f>IF(AND('Resource Planner'!$A$14="☑",17&lt;='Resource Planner'!$N$14),'Resource Planner'!$E$14,"")</f>
        <v>AGF</v>
      </c>
      <c r="F221" s="163" t="str">
        <f>IF(AND('Resource Planner'!$A$14="☑",17&lt;='Resource Planner'!$N$14),'Resource Planner'!$F$14&amp;" "&amp;('Resource Planner'!$G$14+(17-1)*'Resource Planner'!$I$14)&amp;IF(('Resource Planner'!$G$14+(17-1)*'Resource Planner'!$I$14)=MIN('Resource Planner'!$G$14+17*'Resource Planner'!$I$14-1,'Resource Planner'!$H$14),"","–"&amp;MIN('Resource Planner'!$G$14+17*'Resource Planner'!$I$14-1,'Resource Planner'!$H$14)),"")</f>
        <v>Week 17</v>
      </c>
      <c r="G221" s="163" t="s">
        <v>109</v>
      </c>
      <c r="H221" s="33" t="str">
        <f>IF(AND('Resource Planner'!$A$14="☑",17&lt;='Resource Planner'!$N$14),'Resource Planner'!$M$14,"")</f>
        <v/>
      </c>
    </row>
    <row r="222" ht="15.75" customHeight="1">
      <c r="A22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week"",10*(n-1),""Custom"",gap*(n-1),n-1),IF(AND(active=""☑"",n&lt;=lessons,st&lt;&gt;""""),INDEX(eligibleDates,startPos+offset),"""")),"""")"),46378.0)</f>
        <v>46378</v>
      </c>
      <c r="B222" s="33" t="str">
        <f>IF(AND('Resource Planner'!$A$14="☑",18&lt;='Resource Planner'!$N$14),'Resource Planner'!$C$14,"")</f>
        <v>Everyone</v>
      </c>
      <c r="C222" s="33" t="str">
        <f>IF(AND('Resource Planner'!$A$14="☑",18&lt;='Resource Planner'!$N$14),'Resource Planner'!$B$14,"")</f>
        <v>Faith</v>
      </c>
      <c r="D222" s="33" t="str">
        <f>IF(AND('Resource Planner'!$A$14="☑",18&lt;='Resource Planner'!$N$14),'Resource Planner'!$D$14,"")</f>
        <v>All Together / Bible — Scripture Memory</v>
      </c>
      <c r="E222" s="33" t="str">
        <f>IF(AND('Resource Planner'!$A$14="☑",18&lt;='Resource Planner'!$N$14),'Resource Planner'!$E$14,"")</f>
        <v>AGF</v>
      </c>
      <c r="F222" s="163" t="str">
        <f>IF(AND('Resource Planner'!$A$14="☑",18&lt;='Resource Planner'!$N$14),'Resource Planner'!$F$14&amp;" "&amp;('Resource Planner'!$G$14+(18-1)*'Resource Planner'!$I$14)&amp;IF(('Resource Planner'!$G$14+(18-1)*'Resource Planner'!$I$14)=MIN('Resource Planner'!$G$14+18*'Resource Planner'!$I$14-1,'Resource Planner'!$H$14),"","–"&amp;MIN('Resource Planner'!$G$14+18*'Resource Planner'!$I$14-1,'Resource Planner'!$H$14)),"")</f>
        <v>Week 18</v>
      </c>
      <c r="G222" s="163" t="s">
        <v>109</v>
      </c>
      <c r="H222" s="33" t="str">
        <f>IF(AND('Resource Planner'!$A$14="☑",18&lt;='Resource Planner'!$N$14),'Resource Planner'!$M$14,"")</f>
        <v/>
      </c>
    </row>
    <row r="223" ht="15.75" customHeight="1">
      <c r="A22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week"",10*(n-1),""Custom"",gap*(n-1),n-1),IF(AND(active=""☑"",n&lt;=lessons,st&lt;&gt;""""),INDEX(eligibleDates,startPos+offset),"""")),"""")"),46385.0)</f>
        <v>46385</v>
      </c>
      <c r="B223" s="33" t="str">
        <f>IF(AND('Resource Planner'!$A$14="☑",19&lt;='Resource Planner'!$N$14),'Resource Planner'!$C$14,"")</f>
        <v>Everyone</v>
      </c>
      <c r="C223" s="33" t="str">
        <f>IF(AND('Resource Planner'!$A$14="☑",19&lt;='Resource Planner'!$N$14),'Resource Planner'!$B$14,"")</f>
        <v>Faith</v>
      </c>
      <c r="D223" s="33" t="str">
        <f>IF(AND('Resource Planner'!$A$14="☑",19&lt;='Resource Planner'!$N$14),'Resource Planner'!$D$14,"")</f>
        <v>All Together / Bible — Scripture Memory</v>
      </c>
      <c r="E223" s="33" t="str">
        <f>IF(AND('Resource Planner'!$A$14="☑",19&lt;='Resource Planner'!$N$14),'Resource Planner'!$E$14,"")</f>
        <v>AGF</v>
      </c>
      <c r="F223" s="163" t="str">
        <f>IF(AND('Resource Planner'!$A$14="☑",19&lt;='Resource Planner'!$N$14),'Resource Planner'!$F$14&amp;" "&amp;('Resource Planner'!$G$14+(19-1)*'Resource Planner'!$I$14)&amp;IF(('Resource Planner'!$G$14+(19-1)*'Resource Planner'!$I$14)=MIN('Resource Planner'!$G$14+19*'Resource Planner'!$I$14-1,'Resource Planner'!$H$14),"","–"&amp;MIN('Resource Planner'!$G$14+19*'Resource Planner'!$I$14-1,'Resource Planner'!$H$14)),"")</f>
        <v>Week 19</v>
      </c>
      <c r="G223" s="163" t="s">
        <v>109</v>
      </c>
      <c r="H223" s="33" t="str">
        <f>IF(AND('Resource Planner'!$A$14="☑",19&lt;='Resource Planner'!$N$14),'Resource Planner'!$M$14,"")</f>
        <v/>
      </c>
    </row>
    <row r="224" ht="15.75" customHeight="1">
      <c r="A22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week"",10*(n-1),""Custom"",gap*(n-1),n-1),IF(AND(active=""☑"",n&lt;=lessons,st&lt;&gt;""""),INDEX(eligibleDates,startPos+offset),"""")),"""")"),46392.0)</f>
        <v>46392</v>
      </c>
      <c r="B224" s="33" t="str">
        <f>IF(AND('Resource Planner'!$A$14="☑",20&lt;='Resource Planner'!$N$14),'Resource Planner'!$C$14,"")</f>
        <v>Everyone</v>
      </c>
      <c r="C224" s="33" t="str">
        <f>IF(AND('Resource Planner'!$A$14="☑",20&lt;='Resource Planner'!$N$14),'Resource Planner'!$B$14,"")</f>
        <v>Faith</v>
      </c>
      <c r="D224" s="33" t="str">
        <f>IF(AND('Resource Planner'!$A$14="☑",20&lt;='Resource Planner'!$N$14),'Resource Planner'!$D$14,"")</f>
        <v>All Together / Bible — Scripture Memory</v>
      </c>
      <c r="E224" s="33" t="str">
        <f>IF(AND('Resource Planner'!$A$14="☑",20&lt;='Resource Planner'!$N$14),'Resource Planner'!$E$14,"")</f>
        <v>AGF</v>
      </c>
      <c r="F224" s="163" t="str">
        <f>IF(AND('Resource Planner'!$A$14="☑",20&lt;='Resource Planner'!$N$14),'Resource Planner'!$F$14&amp;" "&amp;('Resource Planner'!$G$14+(20-1)*'Resource Planner'!$I$14)&amp;IF(('Resource Planner'!$G$14+(20-1)*'Resource Planner'!$I$14)=MIN('Resource Planner'!$G$14+20*'Resource Planner'!$I$14-1,'Resource Planner'!$H$14),"","–"&amp;MIN('Resource Planner'!$G$14+20*'Resource Planner'!$I$14-1,'Resource Planner'!$H$14)),"")</f>
        <v>Week 20</v>
      </c>
      <c r="G224" s="163" t="s">
        <v>109</v>
      </c>
      <c r="H224" s="33" t="str">
        <f>IF(AND('Resource Planner'!$A$14="☑",20&lt;='Resource Planner'!$N$14),'Resource Planner'!$M$14,"")</f>
        <v/>
      </c>
    </row>
    <row r="225" ht="15.75" customHeight="1">
      <c r="A22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week"",10*(n-1),""Custom"",gap*(n-1),n-1),IF(AND(active=""☑"",n&lt;=lessons,st&lt;&gt;""""),INDEX(eligibleDates,startPos+offset),"""")),"""")"),46399.0)</f>
        <v>46399</v>
      </c>
      <c r="B225" s="33" t="str">
        <f>IF(AND('Resource Planner'!$A$14="☑",21&lt;='Resource Planner'!$N$14),'Resource Planner'!$C$14,"")</f>
        <v>Everyone</v>
      </c>
      <c r="C225" s="33" t="str">
        <f>IF(AND('Resource Planner'!$A$14="☑",21&lt;='Resource Planner'!$N$14),'Resource Planner'!$B$14,"")</f>
        <v>Faith</v>
      </c>
      <c r="D225" s="33" t="str">
        <f>IF(AND('Resource Planner'!$A$14="☑",21&lt;='Resource Planner'!$N$14),'Resource Planner'!$D$14,"")</f>
        <v>All Together / Bible — Scripture Memory</v>
      </c>
      <c r="E225" s="33" t="str">
        <f>IF(AND('Resource Planner'!$A$14="☑",21&lt;='Resource Planner'!$N$14),'Resource Planner'!$E$14,"")</f>
        <v>AGF</v>
      </c>
      <c r="F225" s="163" t="str">
        <f>IF(AND('Resource Planner'!$A$14="☑",21&lt;='Resource Planner'!$N$14),'Resource Planner'!$F$14&amp;" "&amp;('Resource Planner'!$G$14+(21-1)*'Resource Planner'!$I$14)&amp;IF(('Resource Planner'!$G$14+(21-1)*'Resource Planner'!$I$14)=MIN('Resource Planner'!$G$14+21*'Resource Planner'!$I$14-1,'Resource Planner'!$H$14),"","–"&amp;MIN('Resource Planner'!$G$14+21*'Resource Planner'!$I$14-1,'Resource Planner'!$H$14)),"")</f>
        <v>Week 21</v>
      </c>
      <c r="G225" s="163" t="s">
        <v>109</v>
      </c>
      <c r="H225" s="33" t="str">
        <f>IF(AND('Resource Planner'!$A$14="☑",21&lt;='Resource Planner'!$N$14),'Resource Planner'!$M$14,"")</f>
        <v/>
      </c>
    </row>
    <row r="226" ht="15.75" customHeight="1">
      <c r="A22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week"",10*(n-1),""Custom"",gap*(n-1),n-1),IF(AND(active=""☑"",n&lt;=lessons,st&lt;&gt;""""),INDEX(eligibleDates,startPos+offset),"""")),"""")"),46413.0)</f>
        <v>46413</v>
      </c>
      <c r="B226" s="33" t="str">
        <f>IF(AND('Resource Planner'!$A$14="☑",22&lt;='Resource Planner'!$N$14),'Resource Planner'!$C$14,"")</f>
        <v>Everyone</v>
      </c>
      <c r="C226" s="33" t="str">
        <f>IF(AND('Resource Planner'!$A$14="☑",22&lt;='Resource Planner'!$N$14),'Resource Planner'!$B$14,"")</f>
        <v>Faith</v>
      </c>
      <c r="D226" s="33" t="str">
        <f>IF(AND('Resource Planner'!$A$14="☑",22&lt;='Resource Planner'!$N$14),'Resource Planner'!$D$14,"")</f>
        <v>All Together / Bible — Scripture Memory</v>
      </c>
      <c r="E226" s="33" t="str">
        <f>IF(AND('Resource Planner'!$A$14="☑",22&lt;='Resource Planner'!$N$14),'Resource Planner'!$E$14,"")</f>
        <v>AGF</v>
      </c>
      <c r="F226" s="163" t="str">
        <f>IF(AND('Resource Planner'!$A$14="☑",22&lt;='Resource Planner'!$N$14),'Resource Planner'!$F$14&amp;" "&amp;('Resource Planner'!$G$14+(22-1)*'Resource Planner'!$I$14)&amp;IF(('Resource Planner'!$G$14+(22-1)*'Resource Planner'!$I$14)=MIN('Resource Planner'!$G$14+22*'Resource Planner'!$I$14-1,'Resource Planner'!$H$14),"","–"&amp;MIN('Resource Planner'!$G$14+22*'Resource Planner'!$I$14-1,'Resource Planner'!$H$14)),"")</f>
        <v>Week 22</v>
      </c>
      <c r="G226" s="163" t="s">
        <v>109</v>
      </c>
      <c r="H226" s="33" t="str">
        <f>IF(AND('Resource Planner'!$A$14="☑",22&lt;='Resource Planner'!$N$14),'Resource Planner'!$M$14,"")</f>
        <v/>
      </c>
    </row>
    <row r="227" ht="15.75" customHeight="1">
      <c r="A22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week"",10*(n-1),""Custom"",gap*(n-1),n-1),IF(AND(active=""☑"",n&lt;=lessons,st&lt;&gt;""""),INDEX(eligibleDates,startPos+offset),"""")),"""")"),46420.0)</f>
        <v>46420</v>
      </c>
      <c r="B227" s="33" t="str">
        <f>IF(AND('Resource Planner'!$A$14="☑",23&lt;='Resource Planner'!$N$14),'Resource Planner'!$C$14,"")</f>
        <v>Everyone</v>
      </c>
      <c r="C227" s="33" t="str">
        <f>IF(AND('Resource Planner'!$A$14="☑",23&lt;='Resource Planner'!$N$14),'Resource Planner'!$B$14,"")</f>
        <v>Faith</v>
      </c>
      <c r="D227" s="33" t="str">
        <f>IF(AND('Resource Planner'!$A$14="☑",23&lt;='Resource Planner'!$N$14),'Resource Planner'!$D$14,"")</f>
        <v>All Together / Bible — Scripture Memory</v>
      </c>
      <c r="E227" s="33" t="str">
        <f>IF(AND('Resource Planner'!$A$14="☑",23&lt;='Resource Planner'!$N$14),'Resource Planner'!$E$14,"")</f>
        <v>AGF</v>
      </c>
      <c r="F227" s="163" t="str">
        <f>IF(AND('Resource Planner'!$A$14="☑",23&lt;='Resource Planner'!$N$14),'Resource Planner'!$F$14&amp;" "&amp;('Resource Planner'!$G$14+(23-1)*'Resource Planner'!$I$14)&amp;IF(('Resource Planner'!$G$14+(23-1)*'Resource Planner'!$I$14)=MIN('Resource Planner'!$G$14+23*'Resource Planner'!$I$14-1,'Resource Planner'!$H$14),"","–"&amp;MIN('Resource Planner'!$G$14+23*'Resource Planner'!$I$14-1,'Resource Planner'!$H$14)),"")</f>
        <v>Week 23</v>
      </c>
      <c r="G227" s="163" t="s">
        <v>109</v>
      </c>
      <c r="H227" s="33" t="str">
        <f>IF(AND('Resource Planner'!$A$14="☑",23&lt;='Resource Planner'!$N$14),'Resource Planner'!$M$14,"")</f>
        <v/>
      </c>
    </row>
    <row r="228" ht="15.75" customHeight="1">
      <c r="A22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week"",10*(n-1),""Custom"",gap*(n-1),n-1),IF(AND(active=""☑"",n&lt;=lessons,st&lt;&gt;""""),INDEX(eligibleDates,startPos+offset),"""")),"""")"),46427.0)</f>
        <v>46427</v>
      </c>
      <c r="B228" s="33" t="str">
        <f>IF(AND('Resource Planner'!$A$14="☑",24&lt;='Resource Planner'!$N$14),'Resource Planner'!$C$14,"")</f>
        <v>Everyone</v>
      </c>
      <c r="C228" s="33" t="str">
        <f>IF(AND('Resource Planner'!$A$14="☑",24&lt;='Resource Planner'!$N$14),'Resource Planner'!$B$14,"")</f>
        <v>Faith</v>
      </c>
      <c r="D228" s="33" t="str">
        <f>IF(AND('Resource Planner'!$A$14="☑",24&lt;='Resource Planner'!$N$14),'Resource Planner'!$D$14,"")</f>
        <v>All Together / Bible — Scripture Memory</v>
      </c>
      <c r="E228" s="33" t="str">
        <f>IF(AND('Resource Planner'!$A$14="☑",24&lt;='Resource Planner'!$N$14),'Resource Planner'!$E$14,"")</f>
        <v>AGF</v>
      </c>
      <c r="F228" s="163" t="str">
        <f>IF(AND('Resource Planner'!$A$14="☑",24&lt;='Resource Planner'!$N$14),'Resource Planner'!$F$14&amp;" "&amp;('Resource Planner'!$G$14+(24-1)*'Resource Planner'!$I$14)&amp;IF(('Resource Planner'!$G$14+(24-1)*'Resource Planner'!$I$14)=MIN('Resource Planner'!$G$14+24*'Resource Planner'!$I$14-1,'Resource Planner'!$H$14),"","–"&amp;MIN('Resource Planner'!$G$14+24*'Resource Planner'!$I$14-1,'Resource Planner'!$H$14)),"")</f>
        <v>Week 24</v>
      </c>
      <c r="G228" s="163" t="s">
        <v>109</v>
      </c>
      <c r="H228" s="33" t="str">
        <f>IF(AND('Resource Planner'!$A$14="☑",24&lt;='Resource Planner'!$N$14),'Resource Planner'!$M$14,"")</f>
        <v/>
      </c>
    </row>
    <row r="229" ht="15.75" customHeight="1">
      <c r="A2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" s="163" t="str">
        <f>IF(AND('Resource Planner'!$A$14="☑",25&lt;='Resource Planner'!$N$14),'Resource Planner'!$C$14,"")</f>
        <v/>
      </c>
      <c r="C229" s="163" t="str">
        <f>IF(AND('Resource Planner'!$A$14="☑",25&lt;='Resource Planner'!$N$14),'Resource Planner'!$B$14,"")</f>
        <v/>
      </c>
      <c r="D229" s="163" t="str">
        <f>IF(AND('Resource Planner'!$A$14="☑",25&lt;='Resource Planner'!$N$14),'Resource Planner'!$D$14,"")</f>
        <v/>
      </c>
      <c r="E229" s="163" t="str">
        <f>IF(AND('Resource Planner'!$A$14="☑",25&lt;='Resource Planner'!$N$14),'Resource Planner'!$E$14,"")</f>
        <v/>
      </c>
      <c r="F229" s="163" t="str">
        <f>IF(AND('Resource Planner'!$A$14="☑",25&lt;='Resource Planner'!$N$14),'Resource Planner'!$F$14&amp;" "&amp;('Resource Planner'!$G$14+(25-1)*'Resource Planner'!$I$14)&amp;IF(('Resource Planner'!$G$14+(25-1)*'Resource Planner'!$I$14)=MIN('Resource Planner'!$G$14+25*'Resource Planner'!$I$14-1,'Resource Planner'!$H$14),"","–"&amp;MIN('Resource Planner'!$G$14+25*'Resource Planner'!$I$14-1,'Resource Planner'!$H$14)),"")</f>
        <v/>
      </c>
      <c r="G229" s="163" t="s">
        <v>109</v>
      </c>
      <c r="H229" s="163" t="str">
        <f>IF(AND('Resource Planner'!$A$14="☑",25&lt;='Resource Planner'!$N$14),'Resource Planner'!$M$14,"")</f>
        <v/>
      </c>
    </row>
    <row r="230" ht="15.75" customHeight="1">
      <c r="A2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" s="163" t="str">
        <f>IF(AND('Resource Planner'!$A$14="☑",26&lt;='Resource Planner'!$N$14),'Resource Planner'!$C$14,"")</f>
        <v/>
      </c>
      <c r="C230" s="163" t="str">
        <f>IF(AND('Resource Planner'!$A$14="☑",26&lt;='Resource Planner'!$N$14),'Resource Planner'!$B$14,"")</f>
        <v/>
      </c>
      <c r="D230" s="163" t="str">
        <f>IF(AND('Resource Planner'!$A$14="☑",26&lt;='Resource Planner'!$N$14),'Resource Planner'!$D$14,"")</f>
        <v/>
      </c>
      <c r="E230" s="163" t="str">
        <f>IF(AND('Resource Planner'!$A$14="☑",26&lt;='Resource Planner'!$N$14),'Resource Planner'!$E$14,"")</f>
        <v/>
      </c>
      <c r="F230" s="163" t="str">
        <f>IF(AND('Resource Planner'!$A$14="☑",26&lt;='Resource Planner'!$N$14),'Resource Planner'!$F$14&amp;" "&amp;('Resource Planner'!$G$14+(26-1)*'Resource Planner'!$I$14)&amp;IF(('Resource Planner'!$G$14+(26-1)*'Resource Planner'!$I$14)=MIN('Resource Planner'!$G$14+26*'Resource Planner'!$I$14-1,'Resource Planner'!$H$14),"","–"&amp;MIN('Resource Planner'!$G$14+26*'Resource Planner'!$I$14-1,'Resource Planner'!$H$14)),"")</f>
        <v/>
      </c>
      <c r="G230" s="163" t="s">
        <v>109</v>
      </c>
      <c r="H230" s="163" t="str">
        <f>IF(AND('Resource Planner'!$A$14="☑",26&lt;='Resource Planner'!$N$14),'Resource Planner'!$M$14,"")</f>
        <v/>
      </c>
    </row>
    <row r="231" ht="15.75" customHeight="1">
      <c r="A2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" s="163" t="str">
        <f>IF(AND('Resource Planner'!$A$14="☑",27&lt;='Resource Planner'!$N$14),'Resource Planner'!$C$14,"")</f>
        <v/>
      </c>
      <c r="C231" s="163" t="str">
        <f>IF(AND('Resource Planner'!$A$14="☑",27&lt;='Resource Planner'!$N$14),'Resource Planner'!$B$14,"")</f>
        <v/>
      </c>
      <c r="D231" s="163" t="str">
        <f>IF(AND('Resource Planner'!$A$14="☑",27&lt;='Resource Planner'!$N$14),'Resource Planner'!$D$14,"")</f>
        <v/>
      </c>
      <c r="E231" s="163" t="str">
        <f>IF(AND('Resource Planner'!$A$14="☑",27&lt;='Resource Planner'!$N$14),'Resource Planner'!$E$14,"")</f>
        <v/>
      </c>
      <c r="F231" s="163" t="str">
        <f>IF(AND('Resource Planner'!$A$14="☑",27&lt;='Resource Planner'!$N$14),'Resource Planner'!$F$14&amp;" "&amp;('Resource Planner'!$G$14+(27-1)*'Resource Planner'!$I$14)&amp;IF(('Resource Planner'!$G$14+(27-1)*'Resource Planner'!$I$14)=MIN('Resource Planner'!$G$14+27*'Resource Planner'!$I$14-1,'Resource Planner'!$H$14),"","–"&amp;MIN('Resource Planner'!$G$14+27*'Resource Planner'!$I$14-1,'Resource Planner'!$H$14)),"")</f>
        <v/>
      </c>
      <c r="G231" s="163" t="s">
        <v>109</v>
      </c>
      <c r="H231" s="163" t="str">
        <f>IF(AND('Resource Planner'!$A$14="☑",27&lt;='Resource Planner'!$N$14),'Resource Planner'!$M$14,"")</f>
        <v/>
      </c>
    </row>
    <row r="232" ht="15.75" customHeight="1">
      <c r="A2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" s="163" t="str">
        <f>IF(AND('Resource Planner'!$A$14="☑",28&lt;='Resource Planner'!$N$14),'Resource Planner'!$C$14,"")</f>
        <v/>
      </c>
      <c r="C232" s="163" t="str">
        <f>IF(AND('Resource Planner'!$A$14="☑",28&lt;='Resource Planner'!$N$14),'Resource Planner'!$B$14,"")</f>
        <v/>
      </c>
      <c r="D232" s="163" t="str">
        <f>IF(AND('Resource Planner'!$A$14="☑",28&lt;='Resource Planner'!$N$14),'Resource Planner'!$D$14,"")</f>
        <v/>
      </c>
      <c r="E232" s="163" t="str">
        <f>IF(AND('Resource Planner'!$A$14="☑",28&lt;='Resource Planner'!$N$14),'Resource Planner'!$E$14,"")</f>
        <v/>
      </c>
      <c r="F232" s="163" t="str">
        <f>IF(AND('Resource Planner'!$A$14="☑",28&lt;='Resource Planner'!$N$14),'Resource Planner'!$F$14&amp;" "&amp;('Resource Planner'!$G$14+(28-1)*'Resource Planner'!$I$14)&amp;IF(('Resource Planner'!$G$14+(28-1)*'Resource Planner'!$I$14)=MIN('Resource Planner'!$G$14+28*'Resource Planner'!$I$14-1,'Resource Planner'!$H$14),"","–"&amp;MIN('Resource Planner'!$G$14+28*'Resource Planner'!$I$14-1,'Resource Planner'!$H$14)),"")</f>
        <v/>
      </c>
      <c r="G232" s="163" t="s">
        <v>109</v>
      </c>
      <c r="H232" s="163" t="str">
        <f>IF(AND('Resource Planner'!$A$14="☑",28&lt;='Resource Planner'!$N$14),'Resource Planner'!$M$14,"")</f>
        <v/>
      </c>
    </row>
    <row r="233" ht="15.75" customHeight="1">
      <c r="A2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" s="163" t="str">
        <f>IF(AND('Resource Planner'!$A$14="☑",29&lt;='Resource Planner'!$N$14),'Resource Planner'!$C$14,"")</f>
        <v/>
      </c>
      <c r="C233" s="163" t="str">
        <f>IF(AND('Resource Planner'!$A$14="☑",29&lt;='Resource Planner'!$N$14),'Resource Planner'!$B$14,"")</f>
        <v/>
      </c>
      <c r="D233" s="163" t="str">
        <f>IF(AND('Resource Planner'!$A$14="☑",29&lt;='Resource Planner'!$N$14),'Resource Planner'!$D$14,"")</f>
        <v/>
      </c>
      <c r="E233" s="163" t="str">
        <f>IF(AND('Resource Planner'!$A$14="☑",29&lt;='Resource Planner'!$N$14),'Resource Planner'!$E$14,"")</f>
        <v/>
      </c>
      <c r="F233" s="163" t="str">
        <f>IF(AND('Resource Planner'!$A$14="☑",29&lt;='Resource Planner'!$N$14),'Resource Planner'!$F$14&amp;" "&amp;('Resource Planner'!$G$14+(29-1)*'Resource Planner'!$I$14)&amp;IF(('Resource Planner'!$G$14+(29-1)*'Resource Planner'!$I$14)=MIN('Resource Planner'!$G$14+29*'Resource Planner'!$I$14-1,'Resource Planner'!$H$14),"","–"&amp;MIN('Resource Planner'!$G$14+29*'Resource Planner'!$I$14-1,'Resource Planner'!$H$14)),"")</f>
        <v/>
      </c>
      <c r="G233" s="163" t="s">
        <v>109</v>
      </c>
      <c r="H233" s="163" t="str">
        <f>IF(AND('Resource Planner'!$A$14="☑",29&lt;='Resource Planner'!$N$14),'Resource Planner'!$M$14,"")</f>
        <v/>
      </c>
    </row>
    <row r="234" ht="15.75" customHeight="1">
      <c r="A2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" s="163" t="str">
        <f>IF(AND('Resource Planner'!$A$14="☑",30&lt;='Resource Planner'!$N$14),'Resource Planner'!$C$14,"")</f>
        <v/>
      </c>
      <c r="C234" s="163" t="str">
        <f>IF(AND('Resource Planner'!$A$14="☑",30&lt;='Resource Planner'!$N$14),'Resource Planner'!$B$14,"")</f>
        <v/>
      </c>
      <c r="D234" s="163" t="str">
        <f>IF(AND('Resource Planner'!$A$14="☑",30&lt;='Resource Planner'!$N$14),'Resource Planner'!$D$14,"")</f>
        <v/>
      </c>
      <c r="E234" s="163" t="str">
        <f>IF(AND('Resource Planner'!$A$14="☑",30&lt;='Resource Planner'!$N$14),'Resource Planner'!$E$14,"")</f>
        <v/>
      </c>
      <c r="F234" s="163" t="str">
        <f>IF(AND('Resource Planner'!$A$14="☑",30&lt;='Resource Planner'!$N$14),'Resource Planner'!$F$14&amp;" "&amp;('Resource Planner'!$G$14+(30-1)*'Resource Planner'!$I$14)&amp;IF(('Resource Planner'!$G$14+(30-1)*'Resource Planner'!$I$14)=MIN('Resource Planner'!$G$14+30*'Resource Planner'!$I$14-1,'Resource Planner'!$H$14),"","–"&amp;MIN('Resource Planner'!$G$14+30*'Resource Planner'!$I$14-1,'Resource Planner'!$H$14)),"")</f>
        <v/>
      </c>
      <c r="G234" s="163" t="s">
        <v>109</v>
      </c>
      <c r="H234" s="163" t="str">
        <f>IF(AND('Resource Planner'!$A$14="☑",30&lt;='Resource Planner'!$N$14),'Resource Planner'!$M$14,"")</f>
        <v/>
      </c>
    </row>
    <row r="235" ht="15.75" customHeight="1">
      <c r="A2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" s="163" t="str">
        <f>IF(AND('Resource Planner'!$A$14="☑",31&lt;='Resource Planner'!$N$14),'Resource Planner'!$C$14,"")</f>
        <v/>
      </c>
      <c r="C235" s="163" t="str">
        <f>IF(AND('Resource Planner'!$A$14="☑",31&lt;='Resource Planner'!$N$14),'Resource Planner'!$B$14,"")</f>
        <v/>
      </c>
      <c r="D235" s="163" t="str">
        <f>IF(AND('Resource Planner'!$A$14="☑",31&lt;='Resource Planner'!$N$14),'Resource Planner'!$D$14,"")</f>
        <v/>
      </c>
      <c r="E235" s="163" t="str">
        <f>IF(AND('Resource Planner'!$A$14="☑",31&lt;='Resource Planner'!$N$14),'Resource Planner'!$E$14,"")</f>
        <v/>
      </c>
      <c r="F235" s="163" t="str">
        <f>IF(AND('Resource Planner'!$A$14="☑",31&lt;='Resource Planner'!$N$14),'Resource Planner'!$F$14&amp;" "&amp;('Resource Planner'!$G$14+(31-1)*'Resource Planner'!$I$14)&amp;IF(('Resource Planner'!$G$14+(31-1)*'Resource Planner'!$I$14)=MIN('Resource Planner'!$G$14+31*'Resource Planner'!$I$14-1,'Resource Planner'!$H$14),"","–"&amp;MIN('Resource Planner'!$G$14+31*'Resource Planner'!$I$14-1,'Resource Planner'!$H$14)),"")</f>
        <v/>
      </c>
      <c r="G235" s="163" t="s">
        <v>109</v>
      </c>
      <c r="H235" s="163" t="str">
        <f>IF(AND('Resource Planner'!$A$14="☑",31&lt;='Resource Planner'!$N$14),'Resource Planner'!$M$14,"")</f>
        <v/>
      </c>
    </row>
    <row r="236" ht="15.75" customHeight="1">
      <c r="A2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" s="163" t="str">
        <f>IF(AND('Resource Planner'!$A$14="☑",32&lt;='Resource Planner'!$N$14),'Resource Planner'!$C$14,"")</f>
        <v/>
      </c>
      <c r="C236" s="163" t="str">
        <f>IF(AND('Resource Planner'!$A$14="☑",32&lt;='Resource Planner'!$N$14),'Resource Planner'!$B$14,"")</f>
        <v/>
      </c>
      <c r="D236" s="163" t="str">
        <f>IF(AND('Resource Planner'!$A$14="☑",32&lt;='Resource Planner'!$N$14),'Resource Planner'!$D$14,"")</f>
        <v/>
      </c>
      <c r="E236" s="163" t="str">
        <f>IF(AND('Resource Planner'!$A$14="☑",32&lt;='Resource Planner'!$N$14),'Resource Planner'!$E$14,"")</f>
        <v/>
      </c>
      <c r="F236" s="163" t="str">
        <f>IF(AND('Resource Planner'!$A$14="☑",32&lt;='Resource Planner'!$N$14),'Resource Planner'!$F$14&amp;" "&amp;('Resource Planner'!$G$14+(32-1)*'Resource Planner'!$I$14)&amp;IF(('Resource Planner'!$G$14+(32-1)*'Resource Planner'!$I$14)=MIN('Resource Planner'!$G$14+32*'Resource Planner'!$I$14-1,'Resource Planner'!$H$14),"","–"&amp;MIN('Resource Planner'!$G$14+32*'Resource Planner'!$I$14-1,'Resource Planner'!$H$14)),"")</f>
        <v/>
      </c>
      <c r="G236" s="163" t="s">
        <v>109</v>
      </c>
      <c r="H236" s="163" t="str">
        <f>IF(AND('Resource Planner'!$A$14="☑",32&lt;='Resource Planner'!$N$14),'Resource Planner'!$M$14,"")</f>
        <v/>
      </c>
    </row>
    <row r="237" ht="15.75" customHeight="1">
      <c r="A2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" s="163" t="str">
        <f>IF(AND('Resource Planner'!$A$14="☑",33&lt;='Resource Planner'!$N$14),'Resource Planner'!$C$14,"")</f>
        <v/>
      </c>
      <c r="C237" s="163" t="str">
        <f>IF(AND('Resource Planner'!$A$14="☑",33&lt;='Resource Planner'!$N$14),'Resource Planner'!$B$14,"")</f>
        <v/>
      </c>
      <c r="D237" s="163" t="str">
        <f>IF(AND('Resource Planner'!$A$14="☑",33&lt;='Resource Planner'!$N$14),'Resource Planner'!$D$14,"")</f>
        <v/>
      </c>
      <c r="E237" s="163" t="str">
        <f>IF(AND('Resource Planner'!$A$14="☑",33&lt;='Resource Planner'!$N$14),'Resource Planner'!$E$14,"")</f>
        <v/>
      </c>
      <c r="F237" s="163" t="str">
        <f>IF(AND('Resource Planner'!$A$14="☑",33&lt;='Resource Planner'!$N$14),'Resource Planner'!$F$14&amp;" "&amp;('Resource Planner'!$G$14+(33-1)*'Resource Planner'!$I$14)&amp;IF(('Resource Planner'!$G$14+(33-1)*'Resource Planner'!$I$14)=MIN('Resource Planner'!$G$14+33*'Resource Planner'!$I$14-1,'Resource Planner'!$H$14),"","–"&amp;MIN('Resource Planner'!$G$14+33*'Resource Planner'!$I$14-1,'Resource Planner'!$H$14)),"")</f>
        <v/>
      </c>
      <c r="G237" s="163" t="s">
        <v>109</v>
      </c>
      <c r="H237" s="163" t="str">
        <f>IF(AND('Resource Planner'!$A$14="☑",33&lt;='Resource Planner'!$N$14),'Resource Planner'!$M$14,"")</f>
        <v/>
      </c>
    </row>
    <row r="238" ht="15.75" customHeight="1">
      <c r="A2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" s="163" t="str">
        <f>IF(AND('Resource Planner'!$A$14="☑",34&lt;='Resource Planner'!$N$14),'Resource Planner'!$C$14,"")</f>
        <v/>
      </c>
      <c r="C238" s="163" t="str">
        <f>IF(AND('Resource Planner'!$A$14="☑",34&lt;='Resource Planner'!$N$14),'Resource Planner'!$B$14,"")</f>
        <v/>
      </c>
      <c r="D238" s="163" t="str">
        <f>IF(AND('Resource Planner'!$A$14="☑",34&lt;='Resource Planner'!$N$14),'Resource Planner'!$D$14,"")</f>
        <v/>
      </c>
      <c r="E238" s="163" t="str">
        <f>IF(AND('Resource Planner'!$A$14="☑",34&lt;='Resource Planner'!$N$14),'Resource Planner'!$E$14,"")</f>
        <v/>
      </c>
      <c r="F238" s="163" t="str">
        <f>IF(AND('Resource Planner'!$A$14="☑",34&lt;='Resource Planner'!$N$14),'Resource Planner'!$F$14&amp;" "&amp;('Resource Planner'!$G$14+(34-1)*'Resource Planner'!$I$14)&amp;IF(('Resource Planner'!$G$14+(34-1)*'Resource Planner'!$I$14)=MIN('Resource Planner'!$G$14+34*'Resource Planner'!$I$14-1,'Resource Planner'!$H$14),"","–"&amp;MIN('Resource Planner'!$G$14+34*'Resource Planner'!$I$14-1,'Resource Planner'!$H$14)),"")</f>
        <v/>
      </c>
      <c r="G238" s="163" t="s">
        <v>109</v>
      </c>
      <c r="H238" s="163" t="str">
        <f>IF(AND('Resource Planner'!$A$14="☑",34&lt;='Resource Planner'!$N$14),'Resource Planner'!$M$14,"")</f>
        <v/>
      </c>
    </row>
    <row r="239" ht="15.75" customHeight="1">
      <c r="A2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" s="163" t="str">
        <f>IF(AND('Resource Planner'!$A$14="☑",35&lt;='Resource Planner'!$N$14),'Resource Planner'!$C$14,"")</f>
        <v/>
      </c>
      <c r="C239" s="163" t="str">
        <f>IF(AND('Resource Planner'!$A$14="☑",35&lt;='Resource Planner'!$N$14),'Resource Planner'!$B$14,"")</f>
        <v/>
      </c>
      <c r="D239" s="163" t="str">
        <f>IF(AND('Resource Planner'!$A$14="☑",35&lt;='Resource Planner'!$N$14),'Resource Planner'!$D$14,"")</f>
        <v/>
      </c>
      <c r="E239" s="163" t="str">
        <f>IF(AND('Resource Planner'!$A$14="☑",35&lt;='Resource Planner'!$N$14),'Resource Planner'!$E$14,"")</f>
        <v/>
      </c>
      <c r="F239" s="163" t="str">
        <f>IF(AND('Resource Planner'!$A$14="☑",35&lt;='Resource Planner'!$N$14),'Resource Planner'!$F$14&amp;" "&amp;('Resource Planner'!$G$14+(35-1)*'Resource Planner'!$I$14)&amp;IF(('Resource Planner'!$G$14+(35-1)*'Resource Planner'!$I$14)=MIN('Resource Planner'!$G$14+35*'Resource Planner'!$I$14-1,'Resource Planner'!$H$14),"","–"&amp;MIN('Resource Planner'!$G$14+35*'Resource Planner'!$I$14-1,'Resource Planner'!$H$14)),"")</f>
        <v/>
      </c>
      <c r="G239" s="163" t="s">
        <v>109</v>
      </c>
      <c r="H239" s="163" t="str">
        <f>IF(AND('Resource Planner'!$A$14="☑",35&lt;='Resource Planner'!$N$14),'Resource Planner'!$M$14,"")</f>
        <v/>
      </c>
    </row>
    <row r="240" ht="15.75" customHeight="1">
      <c r="A2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" s="163" t="str">
        <f>IF(AND('Resource Planner'!$A$14="☑",36&lt;='Resource Planner'!$N$14),'Resource Planner'!$C$14,"")</f>
        <v/>
      </c>
      <c r="C240" s="163" t="str">
        <f>IF(AND('Resource Planner'!$A$14="☑",36&lt;='Resource Planner'!$N$14),'Resource Planner'!$B$14,"")</f>
        <v/>
      </c>
      <c r="D240" s="163" t="str">
        <f>IF(AND('Resource Planner'!$A$14="☑",36&lt;='Resource Planner'!$N$14),'Resource Planner'!$D$14,"")</f>
        <v/>
      </c>
      <c r="E240" s="163" t="str">
        <f>IF(AND('Resource Planner'!$A$14="☑",36&lt;='Resource Planner'!$N$14),'Resource Planner'!$E$14,"")</f>
        <v/>
      </c>
      <c r="F240" s="163" t="str">
        <f>IF(AND('Resource Planner'!$A$14="☑",36&lt;='Resource Planner'!$N$14),'Resource Planner'!$F$14&amp;" "&amp;('Resource Planner'!$G$14+(36-1)*'Resource Planner'!$I$14)&amp;IF(('Resource Planner'!$G$14+(36-1)*'Resource Planner'!$I$14)=MIN('Resource Planner'!$G$14+36*'Resource Planner'!$I$14-1,'Resource Planner'!$H$14),"","–"&amp;MIN('Resource Planner'!$G$14+36*'Resource Planner'!$I$14-1,'Resource Planner'!$H$14)),"")</f>
        <v/>
      </c>
      <c r="G240" s="163" t="s">
        <v>109</v>
      </c>
      <c r="H240" s="163" t="str">
        <f>IF(AND('Resource Planner'!$A$14="☑",36&lt;='Resource Planner'!$N$14),'Resource Planner'!$M$14,"")</f>
        <v/>
      </c>
    </row>
    <row r="241" ht="15.75" customHeight="1">
      <c r="A2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" s="163" t="str">
        <f>IF(AND('Resource Planner'!$A$14="☑",37&lt;='Resource Planner'!$N$14),'Resource Planner'!$C$14,"")</f>
        <v/>
      </c>
      <c r="C241" s="163" t="str">
        <f>IF(AND('Resource Planner'!$A$14="☑",37&lt;='Resource Planner'!$N$14),'Resource Planner'!$B$14,"")</f>
        <v/>
      </c>
      <c r="D241" s="163" t="str">
        <f>IF(AND('Resource Planner'!$A$14="☑",37&lt;='Resource Planner'!$N$14),'Resource Planner'!$D$14,"")</f>
        <v/>
      </c>
      <c r="E241" s="163" t="str">
        <f>IF(AND('Resource Planner'!$A$14="☑",37&lt;='Resource Planner'!$N$14),'Resource Planner'!$E$14,"")</f>
        <v/>
      </c>
      <c r="F241" s="163" t="str">
        <f>IF(AND('Resource Planner'!$A$14="☑",37&lt;='Resource Planner'!$N$14),'Resource Planner'!$F$14&amp;" "&amp;('Resource Planner'!$G$14+(37-1)*'Resource Planner'!$I$14)&amp;IF(('Resource Planner'!$G$14+(37-1)*'Resource Planner'!$I$14)=MIN('Resource Planner'!$G$14+37*'Resource Planner'!$I$14-1,'Resource Planner'!$H$14),"","–"&amp;MIN('Resource Planner'!$G$14+37*'Resource Planner'!$I$14-1,'Resource Planner'!$H$14)),"")</f>
        <v/>
      </c>
      <c r="G241" s="163" t="s">
        <v>109</v>
      </c>
      <c r="H241" s="163" t="str">
        <f>IF(AND('Resource Planner'!$A$14="☑",37&lt;='Resource Planner'!$N$14),'Resource Planner'!$M$14,"")</f>
        <v/>
      </c>
    </row>
    <row r="242" ht="15.75" customHeight="1">
      <c r="A2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" s="163" t="str">
        <f>IF(AND('Resource Planner'!$A$14="☑",38&lt;='Resource Planner'!$N$14),'Resource Planner'!$C$14,"")</f>
        <v/>
      </c>
      <c r="C242" s="163" t="str">
        <f>IF(AND('Resource Planner'!$A$14="☑",38&lt;='Resource Planner'!$N$14),'Resource Planner'!$B$14,"")</f>
        <v/>
      </c>
      <c r="D242" s="163" t="str">
        <f>IF(AND('Resource Planner'!$A$14="☑",38&lt;='Resource Planner'!$N$14),'Resource Planner'!$D$14,"")</f>
        <v/>
      </c>
      <c r="E242" s="163" t="str">
        <f>IF(AND('Resource Planner'!$A$14="☑",38&lt;='Resource Planner'!$N$14),'Resource Planner'!$E$14,"")</f>
        <v/>
      </c>
      <c r="F242" s="163" t="str">
        <f>IF(AND('Resource Planner'!$A$14="☑",38&lt;='Resource Planner'!$N$14),'Resource Planner'!$F$14&amp;" "&amp;('Resource Planner'!$G$14+(38-1)*'Resource Planner'!$I$14)&amp;IF(('Resource Planner'!$G$14+(38-1)*'Resource Planner'!$I$14)=MIN('Resource Planner'!$G$14+38*'Resource Planner'!$I$14-1,'Resource Planner'!$H$14),"","–"&amp;MIN('Resource Planner'!$G$14+38*'Resource Planner'!$I$14-1,'Resource Planner'!$H$14)),"")</f>
        <v/>
      </c>
      <c r="G242" s="163" t="s">
        <v>109</v>
      </c>
      <c r="H242" s="163" t="str">
        <f>IF(AND('Resource Planner'!$A$14="☑",38&lt;='Resource Planner'!$N$14),'Resource Planner'!$M$14,"")</f>
        <v/>
      </c>
    </row>
    <row r="243" ht="15.75" customHeight="1">
      <c r="A2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" s="163" t="str">
        <f>IF(AND('Resource Planner'!$A$14="☑",39&lt;='Resource Planner'!$N$14),'Resource Planner'!$C$14,"")</f>
        <v/>
      </c>
      <c r="C243" s="163" t="str">
        <f>IF(AND('Resource Planner'!$A$14="☑",39&lt;='Resource Planner'!$N$14),'Resource Planner'!$B$14,"")</f>
        <v/>
      </c>
      <c r="D243" s="163" t="str">
        <f>IF(AND('Resource Planner'!$A$14="☑",39&lt;='Resource Planner'!$N$14),'Resource Planner'!$D$14,"")</f>
        <v/>
      </c>
      <c r="E243" s="163" t="str">
        <f>IF(AND('Resource Planner'!$A$14="☑",39&lt;='Resource Planner'!$N$14),'Resource Planner'!$E$14,"")</f>
        <v/>
      </c>
      <c r="F243" s="163" t="str">
        <f>IF(AND('Resource Planner'!$A$14="☑",39&lt;='Resource Planner'!$N$14),'Resource Planner'!$F$14&amp;" "&amp;('Resource Planner'!$G$14+(39-1)*'Resource Planner'!$I$14)&amp;IF(('Resource Planner'!$G$14+(39-1)*'Resource Planner'!$I$14)=MIN('Resource Planner'!$G$14+39*'Resource Planner'!$I$14-1,'Resource Planner'!$H$14),"","–"&amp;MIN('Resource Planner'!$G$14+39*'Resource Planner'!$I$14-1,'Resource Planner'!$H$14)),"")</f>
        <v/>
      </c>
      <c r="G243" s="163" t="s">
        <v>109</v>
      </c>
      <c r="H243" s="163" t="str">
        <f>IF(AND('Resource Planner'!$A$14="☑",39&lt;='Resource Planner'!$N$14),'Resource Planner'!$M$14,"")</f>
        <v/>
      </c>
    </row>
    <row r="244" ht="15.75" customHeight="1">
      <c r="A2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" s="163" t="str">
        <f>IF(AND('Resource Planner'!$A$14="☑",40&lt;='Resource Planner'!$N$14),'Resource Planner'!$C$14,"")</f>
        <v/>
      </c>
      <c r="C244" s="163" t="str">
        <f>IF(AND('Resource Planner'!$A$14="☑",40&lt;='Resource Planner'!$N$14),'Resource Planner'!$B$14,"")</f>
        <v/>
      </c>
      <c r="D244" s="163" t="str">
        <f>IF(AND('Resource Planner'!$A$14="☑",40&lt;='Resource Planner'!$N$14),'Resource Planner'!$D$14,"")</f>
        <v/>
      </c>
      <c r="E244" s="163" t="str">
        <f>IF(AND('Resource Planner'!$A$14="☑",40&lt;='Resource Planner'!$N$14),'Resource Planner'!$E$14,"")</f>
        <v/>
      </c>
      <c r="F244" s="163" t="str">
        <f>IF(AND('Resource Planner'!$A$14="☑",40&lt;='Resource Planner'!$N$14),'Resource Planner'!$F$14&amp;" "&amp;('Resource Planner'!$G$14+(40-1)*'Resource Planner'!$I$14)&amp;IF(('Resource Planner'!$G$14+(40-1)*'Resource Planner'!$I$14)=MIN('Resource Planner'!$G$14+40*'Resource Planner'!$I$14-1,'Resource Planner'!$H$14),"","–"&amp;MIN('Resource Planner'!$G$14+40*'Resource Planner'!$I$14-1,'Resource Planner'!$H$14)),"")</f>
        <v/>
      </c>
      <c r="G244" s="163" t="s">
        <v>109</v>
      </c>
      <c r="H244" s="163" t="str">
        <f>IF(AND('Resource Planner'!$A$14="☑",40&lt;='Resource Planner'!$N$14),'Resource Planner'!$M$14,"")</f>
        <v/>
      </c>
    </row>
    <row r="245" ht="15.75" customHeight="1">
      <c r="A2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" s="163" t="str">
        <f>IF(AND('Resource Planner'!$A$14="☑",41&lt;='Resource Planner'!$N$14),'Resource Planner'!$C$14,"")</f>
        <v/>
      </c>
      <c r="C245" s="163" t="str">
        <f>IF(AND('Resource Planner'!$A$14="☑",41&lt;='Resource Planner'!$N$14),'Resource Planner'!$B$14,"")</f>
        <v/>
      </c>
      <c r="D245" s="163" t="str">
        <f>IF(AND('Resource Planner'!$A$14="☑",41&lt;='Resource Planner'!$N$14),'Resource Planner'!$D$14,"")</f>
        <v/>
      </c>
      <c r="E245" s="163" t="str">
        <f>IF(AND('Resource Planner'!$A$14="☑",41&lt;='Resource Planner'!$N$14),'Resource Planner'!$E$14,"")</f>
        <v/>
      </c>
      <c r="F245" s="163" t="str">
        <f>IF(AND('Resource Planner'!$A$14="☑",41&lt;='Resource Planner'!$N$14),'Resource Planner'!$F$14&amp;" "&amp;('Resource Planner'!$G$14+(41-1)*'Resource Planner'!$I$14)&amp;IF(('Resource Planner'!$G$14+(41-1)*'Resource Planner'!$I$14)=MIN('Resource Planner'!$G$14+41*'Resource Planner'!$I$14-1,'Resource Planner'!$H$14),"","–"&amp;MIN('Resource Planner'!$G$14+41*'Resource Planner'!$I$14-1,'Resource Planner'!$H$14)),"")</f>
        <v/>
      </c>
      <c r="G245" s="163" t="s">
        <v>109</v>
      </c>
      <c r="H245" s="163" t="str">
        <f>IF(AND('Resource Planner'!$A$14="☑",41&lt;='Resource Planner'!$N$14),'Resource Planner'!$M$14,"")</f>
        <v/>
      </c>
    </row>
    <row r="246" ht="15.75" customHeight="1">
      <c r="A2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" s="163" t="str">
        <f>IF(AND('Resource Planner'!$A$14="☑",42&lt;='Resource Planner'!$N$14),'Resource Planner'!$C$14,"")</f>
        <v/>
      </c>
      <c r="C246" s="163" t="str">
        <f>IF(AND('Resource Planner'!$A$14="☑",42&lt;='Resource Planner'!$N$14),'Resource Planner'!$B$14,"")</f>
        <v/>
      </c>
      <c r="D246" s="163" t="str">
        <f>IF(AND('Resource Planner'!$A$14="☑",42&lt;='Resource Planner'!$N$14),'Resource Planner'!$D$14,"")</f>
        <v/>
      </c>
      <c r="E246" s="163" t="str">
        <f>IF(AND('Resource Planner'!$A$14="☑",42&lt;='Resource Planner'!$N$14),'Resource Planner'!$E$14,"")</f>
        <v/>
      </c>
      <c r="F246" s="163" t="str">
        <f>IF(AND('Resource Planner'!$A$14="☑",42&lt;='Resource Planner'!$N$14),'Resource Planner'!$F$14&amp;" "&amp;('Resource Planner'!$G$14+(42-1)*'Resource Planner'!$I$14)&amp;IF(('Resource Planner'!$G$14+(42-1)*'Resource Planner'!$I$14)=MIN('Resource Planner'!$G$14+42*'Resource Planner'!$I$14-1,'Resource Planner'!$H$14),"","–"&amp;MIN('Resource Planner'!$G$14+42*'Resource Planner'!$I$14-1,'Resource Planner'!$H$14)),"")</f>
        <v/>
      </c>
      <c r="G246" s="163" t="s">
        <v>109</v>
      </c>
      <c r="H246" s="163" t="str">
        <f>IF(AND('Resource Planner'!$A$14="☑",42&lt;='Resource Planner'!$N$14),'Resource Planner'!$M$14,"")</f>
        <v/>
      </c>
    </row>
    <row r="247" ht="15.75" customHeight="1">
      <c r="A2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" s="163" t="str">
        <f>IF(AND('Resource Planner'!$A$14="☑",43&lt;='Resource Planner'!$N$14),'Resource Planner'!$C$14,"")</f>
        <v/>
      </c>
      <c r="C247" s="163" t="str">
        <f>IF(AND('Resource Planner'!$A$14="☑",43&lt;='Resource Planner'!$N$14),'Resource Planner'!$B$14,"")</f>
        <v/>
      </c>
      <c r="D247" s="163" t="str">
        <f>IF(AND('Resource Planner'!$A$14="☑",43&lt;='Resource Planner'!$N$14),'Resource Planner'!$D$14,"")</f>
        <v/>
      </c>
      <c r="E247" s="163" t="str">
        <f>IF(AND('Resource Planner'!$A$14="☑",43&lt;='Resource Planner'!$N$14),'Resource Planner'!$E$14,"")</f>
        <v/>
      </c>
      <c r="F247" s="163" t="str">
        <f>IF(AND('Resource Planner'!$A$14="☑",43&lt;='Resource Planner'!$N$14),'Resource Planner'!$F$14&amp;" "&amp;('Resource Planner'!$G$14+(43-1)*'Resource Planner'!$I$14)&amp;IF(('Resource Planner'!$G$14+(43-1)*'Resource Planner'!$I$14)=MIN('Resource Planner'!$G$14+43*'Resource Planner'!$I$14-1,'Resource Planner'!$H$14),"","–"&amp;MIN('Resource Planner'!$G$14+43*'Resource Planner'!$I$14-1,'Resource Planner'!$H$14)),"")</f>
        <v/>
      </c>
      <c r="G247" s="163" t="s">
        <v>109</v>
      </c>
      <c r="H247" s="163" t="str">
        <f>IF(AND('Resource Planner'!$A$14="☑",43&lt;='Resource Planner'!$N$14),'Resource Planner'!$M$14,"")</f>
        <v/>
      </c>
    </row>
    <row r="248" ht="15.75" customHeight="1">
      <c r="A2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" s="163" t="str">
        <f>IF(AND('Resource Planner'!$A$14="☑",44&lt;='Resource Planner'!$N$14),'Resource Planner'!$C$14,"")</f>
        <v/>
      </c>
      <c r="C248" s="163" t="str">
        <f>IF(AND('Resource Planner'!$A$14="☑",44&lt;='Resource Planner'!$N$14),'Resource Planner'!$B$14,"")</f>
        <v/>
      </c>
      <c r="D248" s="163" t="str">
        <f>IF(AND('Resource Planner'!$A$14="☑",44&lt;='Resource Planner'!$N$14),'Resource Planner'!$D$14,"")</f>
        <v/>
      </c>
      <c r="E248" s="163" t="str">
        <f>IF(AND('Resource Planner'!$A$14="☑",44&lt;='Resource Planner'!$N$14),'Resource Planner'!$E$14,"")</f>
        <v/>
      </c>
      <c r="F248" s="163" t="str">
        <f>IF(AND('Resource Planner'!$A$14="☑",44&lt;='Resource Planner'!$N$14),'Resource Planner'!$F$14&amp;" "&amp;('Resource Planner'!$G$14+(44-1)*'Resource Planner'!$I$14)&amp;IF(('Resource Planner'!$G$14+(44-1)*'Resource Planner'!$I$14)=MIN('Resource Planner'!$G$14+44*'Resource Planner'!$I$14-1,'Resource Planner'!$H$14),"","–"&amp;MIN('Resource Planner'!$G$14+44*'Resource Planner'!$I$14-1,'Resource Planner'!$H$14)),"")</f>
        <v/>
      </c>
      <c r="G248" s="163" t="s">
        <v>109</v>
      </c>
      <c r="H248" s="163" t="str">
        <f>IF(AND('Resource Planner'!$A$14="☑",44&lt;='Resource Planner'!$N$14),'Resource Planner'!$M$14,"")</f>
        <v/>
      </c>
    </row>
    <row r="249" ht="15.75" customHeight="1">
      <c r="A2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" s="163" t="str">
        <f>IF(AND('Resource Planner'!$A$14="☑",45&lt;='Resource Planner'!$N$14),'Resource Planner'!$C$14,"")</f>
        <v/>
      </c>
      <c r="C249" s="163" t="str">
        <f>IF(AND('Resource Planner'!$A$14="☑",45&lt;='Resource Planner'!$N$14),'Resource Planner'!$B$14,"")</f>
        <v/>
      </c>
      <c r="D249" s="163" t="str">
        <f>IF(AND('Resource Planner'!$A$14="☑",45&lt;='Resource Planner'!$N$14),'Resource Planner'!$D$14,"")</f>
        <v/>
      </c>
      <c r="E249" s="163" t="str">
        <f>IF(AND('Resource Planner'!$A$14="☑",45&lt;='Resource Planner'!$N$14),'Resource Planner'!$E$14,"")</f>
        <v/>
      </c>
      <c r="F249" s="163" t="str">
        <f>IF(AND('Resource Planner'!$A$14="☑",45&lt;='Resource Planner'!$N$14),'Resource Planner'!$F$14&amp;" "&amp;('Resource Planner'!$G$14+(45-1)*'Resource Planner'!$I$14)&amp;IF(('Resource Planner'!$G$14+(45-1)*'Resource Planner'!$I$14)=MIN('Resource Planner'!$G$14+45*'Resource Planner'!$I$14-1,'Resource Planner'!$H$14),"","–"&amp;MIN('Resource Planner'!$G$14+45*'Resource Planner'!$I$14-1,'Resource Planner'!$H$14)),"")</f>
        <v/>
      </c>
      <c r="G249" s="163" t="s">
        <v>109</v>
      </c>
      <c r="H249" s="163" t="str">
        <f>IF(AND('Resource Planner'!$A$14="☑",45&lt;='Resource Planner'!$N$14),'Resource Planner'!$M$14,"")</f>
        <v/>
      </c>
    </row>
    <row r="250" ht="15.75" customHeight="1">
      <c r="A2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" s="163" t="str">
        <f>IF(AND('Resource Planner'!$A$14="☑",46&lt;='Resource Planner'!$N$14),'Resource Planner'!$C$14,"")</f>
        <v/>
      </c>
      <c r="C250" s="163" t="str">
        <f>IF(AND('Resource Planner'!$A$14="☑",46&lt;='Resource Planner'!$N$14),'Resource Planner'!$B$14,"")</f>
        <v/>
      </c>
      <c r="D250" s="163" t="str">
        <f>IF(AND('Resource Planner'!$A$14="☑",46&lt;='Resource Planner'!$N$14),'Resource Planner'!$D$14,"")</f>
        <v/>
      </c>
      <c r="E250" s="163" t="str">
        <f>IF(AND('Resource Planner'!$A$14="☑",46&lt;='Resource Planner'!$N$14),'Resource Planner'!$E$14,"")</f>
        <v/>
      </c>
      <c r="F250" s="163" t="str">
        <f>IF(AND('Resource Planner'!$A$14="☑",46&lt;='Resource Planner'!$N$14),'Resource Planner'!$F$14&amp;" "&amp;('Resource Planner'!$G$14+(46-1)*'Resource Planner'!$I$14)&amp;IF(('Resource Planner'!$G$14+(46-1)*'Resource Planner'!$I$14)=MIN('Resource Planner'!$G$14+46*'Resource Planner'!$I$14-1,'Resource Planner'!$H$14),"","–"&amp;MIN('Resource Planner'!$G$14+46*'Resource Planner'!$I$14-1,'Resource Planner'!$H$14)),"")</f>
        <v/>
      </c>
      <c r="G250" s="163" t="s">
        <v>109</v>
      </c>
      <c r="H250" s="163" t="str">
        <f>IF(AND('Resource Planner'!$A$14="☑",46&lt;='Resource Planner'!$N$14),'Resource Planner'!$M$14,"")</f>
        <v/>
      </c>
    </row>
    <row r="251" ht="15.75" customHeight="1">
      <c r="A2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" s="163" t="str">
        <f>IF(AND('Resource Planner'!$A$14="☑",47&lt;='Resource Planner'!$N$14),'Resource Planner'!$C$14,"")</f>
        <v/>
      </c>
      <c r="C251" s="163" t="str">
        <f>IF(AND('Resource Planner'!$A$14="☑",47&lt;='Resource Planner'!$N$14),'Resource Planner'!$B$14,"")</f>
        <v/>
      </c>
      <c r="D251" s="163" t="str">
        <f>IF(AND('Resource Planner'!$A$14="☑",47&lt;='Resource Planner'!$N$14),'Resource Planner'!$D$14,"")</f>
        <v/>
      </c>
      <c r="E251" s="163" t="str">
        <f>IF(AND('Resource Planner'!$A$14="☑",47&lt;='Resource Planner'!$N$14),'Resource Planner'!$E$14,"")</f>
        <v/>
      </c>
      <c r="F251" s="163" t="str">
        <f>IF(AND('Resource Planner'!$A$14="☑",47&lt;='Resource Planner'!$N$14),'Resource Planner'!$F$14&amp;" "&amp;('Resource Planner'!$G$14+(47-1)*'Resource Planner'!$I$14)&amp;IF(('Resource Planner'!$G$14+(47-1)*'Resource Planner'!$I$14)=MIN('Resource Planner'!$G$14+47*'Resource Planner'!$I$14-1,'Resource Planner'!$H$14),"","–"&amp;MIN('Resource Planner'!$G$14+47*'Resource Planner'!$I$14-1,'Resource Planner'!$H$14)),"")</f>
        <v/>
      </c>
      <c r="G251" s="163" t="s">
        <v>109</v>
      </c>
      <c r="H251" s="163" t="str">
        <f>IF(AND('Resource Planner'!$A$14="☑",47&lt;='Resource Planner'!$N$14),'Resource Planner'!$M$14,"")</f>
        <v/>
      </c>
    </row>
    <row r="252" ht="15.75" customHeight="1">
      <c r="A2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" s="163" t="str">
        <f>IF(AND('Resource Planner'!$A$14="☑",48&lt;='Resource Planner'!$N$14),'Resource Planner'!$C$14,"")</f>
        <v/>
      </c>
      <c r="C252" s="163" t="str">
        <f>IF(AND('Resource Planner'!$A$14="☑",48&lt;='Resource Planner'!$N$14),'Resource Planner'!$B$14,"")</f>
        <v/>
      </c>
      <c r="D252" s="163" t="str">
        <f>IF(AND('Resource Planner'!$A$14="☑",48&lt;='Resource Planner'!$N$14),'Resource Planner'!$D$14,"")</f>
        <v/>
      </c>
      <c r="E252" s="163" t="str">
        <f>IF(AND('Resource Planner'!$A$14="☑",48&lt;='Resource Planner'!$N$14),'Resource Planner'!$E$14,"")</f>
        <v/>
      </c>
      <c r="F252" s="163" t="str">
        <f>IF(AND('Resource Planner'!$A$14="☑",48&lt;='Resource Planner'!$N$14),'Resource Planner'!$F$14&amp;" "&amp;('Resource Planner'!$G$14+(48-1)*'Resource Planner'!$I$14)&amp;IF(('Resource Planner'!$G$14+(48-1)*'Resource Planner'!$I$14)=MIN('Resource Planner'!$G$14+48*'Resource Planner'!$I$14-1,'Resource Planner'!$H$14),"","–"&amp;MIN('Resource Planner'!$G$14+48*'Resource Planner'!$I$14-1,'Resource Planner'!$H$14)),"")</f>
        <v/>
      </c>
      <c r="G252" s="163" t="s">
        <v>109</v>
      </c>
      <c r="H252" s="163" t="str">
        <f>IF(AND('Resource Planner'!$A$14="☑",48&lt;='Resource Planner'!$N$14),'Resource Planner'!$M$14,"")</f>
        <v/>
      </c>
    </row>
    <row r="253" ht="15.75" customHeight="1">
      <c r="A2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" s="163" t="str">
        <f>IF(AND('Resource Planner'!$A$14="☑",49&lt;='Resource Planner'!$N$14),'Resource Planner'!$C$14,"")</f>
        <v/>
      </c>
      <c r="C253" s="163" t="str">
        <f>IF(AND('Resource Planner'!$A$14="☑",49&lt;='Resource Planner'!$N$14),'Resource Planner'!$B$14,"")</f>
        <v/>
      </c>
      <c r="D253" s="163" t="str">
        <f>IF(AND('Resource Planner'!$A$14="☑",49&lt;='Resource Planner'!$N$14),'Resource Planner'!$D$14,"")</f>
        <v/>
      </c>
      <c r="E253" s="163" t="str">
        <f>IF(AND('Resource Planner'!$A$14="☑",49&lt;='Resource Planner'!$N$14),'Resource Planner'!$E$14,"")</f>
        <v/>
      </c>
      <c r="F253" s="163" t="str">
        <f>IF(AND('Resource Planner'!$A$14="☑",49&lt;='Resource Planner'!$N$14),'Resource Planner'!$F$14&amp;" "&amp;('Resource Planner'!$G$14+(49-1)*'Resource Planner'!$I$14)&amp;IF(('Resource Planner'!$G$14+(49-1)*'Resource Planner'!$I$14)=MIN('Resource Planner'!$G$14+49*'Resource Planner'!$I$14-1,'Resource Planner'!$H$14),"","–"&amp;MIN('Resource Planner'!$G$14+49*'Resource Planner'!$I$14-1,'Resource Planner'!$H$14)),"")</f>
        <v/>
      </c>
      <c r="G253" s="163" t="s">
        <v>109</v>
      </c>
      <c r="H253" s="163" t="str">
        <f>IF(AND('Resource Planner'!$A$14="☑",49&lt;='Resource Planner'!$N$14),'Resource Planner'!$M$14,"")</f>
        <v/>
      </c>
    </row>
    <row r="254" ht="15.75" customHeight="1">
      <c r="A2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" s="163" t="str">
        <f>IF(AND('Resource Planner'!$A$14="☑",50&lt;='Resource Planner'!$N$14),'Resource Planner'!$C$14,"")</f>
        <v/>
      </c>
      <c r="C254" s="163" t="str">
        <f>IF(AND('Resource Planner'!$A$14="☑",50&lt;='Resource Planner'!$N$14),'Resource Planner'!$B$14,"")</f>
        <v/>
      </c>
      <c r="D254" s="163" t="str">
        <f>IF(AND('Resource Planner'!$A$14="☑",50&lt;='Resource Planner'!$N$14),'Resource Planner'!$D$14,"")</f>
        <v/>
      </c>
      <c r="E254" s="163" t="str">
        <f>IF(AND('Resource Planner'!$A$14="☑",50&lt;='Resource Planner'!$N$14),'Resource Planner'!$E$14,"")</f>
        <v/>
      </c>
      <c r="F254" s="163" t="str">
        <f>IF(AND('Resource Planner'!$A$14="☑",50&lt;='Resource Planner'!$N$14),'Resource Planner'!$F$14&amp;" "&amp;('Resource Planner'!$G$14+(50-1)*'Resource Planner'!$I$14)&amp;IF(('Resource Planner'!$G$14+(50-1)*'Resource Planner'!$I$14)=MIN('Resource Planner'!$G$14+50*'Resource Planner'!$I$14-1,'Resource Planner'!$H$14),"","–"&amp;MIN('Resource Planner'!$G$14+50*'Resource Planner'!$I$14-1,'Resource Planner'!$H$14)),"")</f>
        <v/>
      </c>
      <c r="G254" s="163" t="s">
        <v>109</v>
      </c>
      <c r="H254" s="163" t="str">
        <f>IF(AND('Resource Planner'!$A$14="☑",50&lt;='Resource Planner'!$N$14),'Resource Planner'!$M$14,"")</f>
        <v/>
      </c>
    </row>
    <row r="255" ht="15.75" customHeight="1">
      <c r="A25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week"",10*(n-1),""Custom"",gap*(n-1),n-1),IF(AND(active=""☑"",n&lt;=lessons,st&lt;&gt;""""),INDEX(eligibleDates,startPos+offset),"""")),"""")"),46252.0)</f>
        <v>46252</v>
      </c>
      <c r="B255" s="33" t="str">
        <f>IF(AND('Resource Planner'!$A$15="☑",1&lt;='Resource Planner'!$N$15),'Resource Planner'!$C$15,"")</f>
        <v/>
      </c>
      <c r="C255" s="33" t="str">
        <f>IF(AND('Resource Planner'!$A$15="☑",1&lt;='Resource Planner'!$N$15),'Resource Planner'!$B$15,"")</f>
        <v/>
      </c>
      <c r="D255" s="33" t="str">
        <f>IF(AND('Resource Planner'!$A$15="☑",1&lt;='Resource Planner'!$N$15),'Resource Planner'!$D$15,"")</f>
        <v>Form III / Literature — Literature</v>
      </c>
      <c r="E255" s="33" t="str">
        <f>IF(AND('Resource Planner'!$A$15="☑",1&lt;='Resource Planner'!$N$15),'Resource Planner'!$E$15,"")</f>
        <v>Peter Pan</v>
      </c>
      <c r="F255" s="163" t="str">
        <f>IF(AND('Resource Planner'!$A$15="☑",1&lt;='Resource Planner'!$N$15),'Resource Planner'!$F$15&amp;" "&amp;('Resource Planner'!$G$15+(1-1)*'Resource Planner'!$I$15)&amp;IF(('Resource Planner'!$G$15+(1-1)*'Resource Planner'!$I$15)=MIN('Resource Planner'!$G$15+1*'Resource Planner'!$I$15-1,'Resource Planner'!$H$15),"","–"&amp;MIN('Resource Planner'!$G$15+1*'Resource Planner'!$I$15-1,'Resource Planner'!$H$15)),"")</f>
        <v>Chapter 1–2</v>
      </c>
      <c r="G255" s="163" t="s">
        <v>109</v>
      </c>
      <c r="H255" s="33" t="str">
        <f>IF(AND('Resource Planner'!$A$15="☑",1&lt;='Resource Planner'!$N$15),'Resource Planner'!$M$15,"")</f>
        <v/>
      </c>
    </row>
    <row r="256" ht="15.75" customHeight="1">
      <c r="A25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week"",10*(n-1),""Custom"",gap*(n-1),n-1),IF(AND(active=""☑"",n&lt;=lessons,st&lt;&gt;""""),INDEX(eligibleDates,startPos+offset),"""")),"""")"),46253.0)</f>
        <v>46253</v>
      </c>
      <c r="B256" s="33" t="str">
        <f>IF(AND('Resource Planner'!$A$15="☑",2&lt;='Resource Planner'!$N$15),'Resource Planner'!$C$15,"")</f>
        <v/>
      </c>
      <c r="C256" s="33" t="str">
        <f>IF(AND('Resource Planner'!$A$15="☑",2&lt;='Resource Planner'!$N$15),'Resource Planner'!$B$15,"")</f>
        <v/>
      </c>
      <c r="D256" s="33" t="str">
        <f>IF(AND('Resource Planner'!$A$15="☑",2&lt;='Resource Planner'!$N$15),'Resource Planner'!$D$15,"")</f>
        <v>Form III / Literature — Literature</v>
      </c>
      <c r="E256" s="33" t="str">
        <f>IF(AND('Resource Planner'!$A$15="☑",2&lt;='Resource Planner'!$N$15),'Resource Planner'!$E$15,"")</f>
        <v>Peter Pan</v>
      </c>
      <c r="F256" s="163" t="str">
        <f>IF(AND('Resource Planner'!$A$15="☑",2&lt;='Resource Planner'!$N$15),'Resource Planner'!$F$15&amp;" "&amp;('Resource Planner'!$G$15+(2-1)*'Resource Planner'!$I$15)&amp;IF(('Resource Planner'!$G$15+(2-1)*'Resource Planner'!$I$15)=MIN('Resource Planner'!$G$15+2*'Resource Planner'!$I$15-1,'Resource Planner'!$H$15),"","–"&amp;MIN('Resource Planner'!$G$15+2*'Resource Planner'!$I$15-1,'Resource Planner'!$H$15)),"")</f>
        <v>Chapter 3–4</v>
      </c>
      <c r="G256" s="163" t="s">
        <v>109</v>
      </c>
      <c r="H256" s="33" t="str">
        <f>IF(AND('Resource Planner'!$A$15="☑",2&lt;='Resource Planner'!$N$15),'Resource Planner'!$M$15,"")</f>
        <v/>
      </c>
    </row>
    <row r="257" ht="15.75" customHeight="1">
      <c r="A25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week"",10*(n-1),""Custom"",gap*(n-1),n-1),IF(AND(active=""☑"",n&lt;=lessons,st&lt;&gt;""""),INDEX(eligibleDates,startPos+offset),"""")),"""")"),46254.0)</f>
        <v>46254</v>
      </c>
      <c r="B257" s="33" t="str">
        <f>IF(AND('Resource Planner'!$A$15="☑",3&lt;='Resource Planner'!$N$15),'Resource Planner'!$C$15,"")</f>
        <v/>
      </c>
      <c r="C257" s="33" t="str">
        <f>IF(AND('Resource Planner'!$A$15="☑",3&lt;='Resource Planner'!$N$15),'Resource Planner'!$B$15,"")</f>
        <v/>
      </c>
      <c r="D257" s="33" t="str">
        <f>IF(AND('Resource Planner'!$A$15="☑",3&lt;='Resource Planner'!$N$15),'Resource Planner'!$D$15,"")</f>
        <v>Form III / Literature — Literature</v>
      </c>
      <c r="E257" s="33" t="str">
        <f>IF(AND('Resource Planner'!$A$15="☑",3&lt;='Resource Planner'!$N$15),'Resource Planner'!$E$15,"")</f>
        <v>Peter Pan</v>
      </c>
      <c r="F257" s="163" t="str">
        <f>IF(AND('Resource Planner'!$A$15="☑",3&lt;='Resource Planner'!$N$15),'Resource Planner'!$F$15&amp;" "&amp;('Resource Planner'!$G$15+(3-1)*'Resource Planner'!$I$15)&amp;IF(('Resource Planner'!$G$15+(3-1)*'Resource Planner'!$I$15)=MIN('Resource Planner'!$G$15+3*'Resource Planner'!$I$15-1,'Resource Planner'!$H$15),"","–"&amp;MIN('Resource Planner'!$G$15+3*'Resource Planner'!$I$15-1,'Resource Planner'!$H$15)),"")</f>
        <v>Chapter 5–6</v>
      </c>
      <c r="G257" s="163" t="s">
        <v>109</v>
      </c>
      <c r="H257" s="33" t="str">
        <f>IF(AND('Resource Planner'!$A$15="☑",3&lt;='Resource Planner'!$N$15),'Resource Planner'!$M$15,"")</f>
        <v/>
      </c>
    </row>
    <row r="258" ht="15.75" customHeight="1">
      <c r="A25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week"",10*(n-1),""Custom"",gap*(n-1),n-1),IF(AND(active=""☑"",n&lt;=lessons,st&lt;&gt;""""),INDEX(eligibleDates,startPos+offset),"""")),"""")"),46255.0)</f>
        <v>46255</v>
      </c>
      <c r="B258" s="33" t="str">
        <f>IF(AND('Resource Planner'!$A$15="☑",4&lt;='Resource Planner'!$N$15),'Resource Planner'!$C$15,"")</f>
        <v/>
      </c>
      <c r="C258" s="33" t="str">
        <f>IF(AND('Resource Planner'!$A$15="☑",4&lt;='Resource Planner'!$N$15),'Resource Planner'!$B$15,"")</f>
        <v/>
      </c>
      <c r="D258" s="33" t="str">
        <f>IF(AND('Resource Planner'!$A$15="☑",4&lt;='Resource Planner'!$N$15),'Resource Planner'!$D$15,"")</f>
        <v>Form III / Literature — Literature</v>
      </c>
      <c r="E258" s="33" t="str">
        <f>IF(AND('Resource Planner'!$A$15="☑",4&lt;='Resource Planner'!$N$15),'Resource Planner'!$E$15,"")</f>
        <v>Peter Pan</v>
      </c>
      <c r="F258" s="163" t="str">
        <f>IF(AND('Resource Planner'!$A$15="☑",4&lt;='Resource Planner'!$N$15),'Resource Planner'!$F$15&amp;" "&amp;('Resource Planner'!$G$15+(4-1)*'Resource Planner'!$I$15)&amp;IF(('Resource Planner'!$G$15+(4-1)*'Resource Planner'!$I$15)=MIN('Resource Planner'!$G$15+4*'Resource Planner'!$I$15-1,'Resource Planner'!$H$15),"","–"&amp;MIN('Resource Planner'!$G$15+4*'Resource Planner'!$I$15-1,'Resource Planner'!$H$15)),"")</f>
        <v>Chapter 7–8</v>
      </c>
      <c r="G258" s="163" t="s">
        <v>109</v>
      </c>
      <c r="H258" s="33" t="str">
        <f>IF(AND('Resource Planner'!$A$15="☑",4&lt;='Resource Planner'!$N$15),'Resource Planner'!$M$15,"")</f>
        <v/>
      </c>
    </row>
    <row r="259" ht="15.75" customHeight="1">
      <c r="A25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week"",10*(n-1),""Custom"",gap*(n-1),n-1),IF(AND(active=""☑"",n&lt;=lessons,st&lt;&gt;""""),INDEX(eligibleDates,startPos+offset),"""")),"""")"),46258.0)</f>
        <v>46258</v>
      </c>
      <c r="B259" s="33" t="str">
        <f>IF(AND('Resource Planner'!$A$15="☑",5&lt;='Resource Planner'!$N$15),'Resource Planner'!$C$15,"")</f>
        <v/>
      </c>
      <c r="C259" s="33" t="str">
        <f>IF(AND('Resource Planner'!$A$15="☑",5&lt;='Resource Planner'!$N$15),'Resource Planner'!$B$15,"")</f>
        <v/>
      </c>
      <c r="D259" s="33" t="str">
        <f>IF(AND('Resource Planner'!$A$15="☑",5&lt;='Resource Planner'!$N$15),'Resource Planner'!$D$15,"")</f>
        <v>Form III / Literature — Literature</v>
      </c>
      <c r="E259" s="33" t="str">
        <f>IF(AND('Resource Planner'!$A$15="☑",5&lt;='Resource Planner'!$N$15),'Resource Planner'!$E$15,"")</f>
        <v>Peter Pan</v>
      </c>
      <c r="F259" s="163" t="str">
        <f>IF(AND('Resource Planner'!$A$15="☑",5&lt;='Resource Planner'!$N$15),'Resource Planner'!$F$15&amp;" "&amp;('Resource Planner'!$G$15+(5-1)*'Resource Planner'!$I$15)&amp;IF(('Resource Planner'!$G$15+(5-1)*'Resource Planner'!$I$15)=MIN('Resource Planner'!$G$15+5*'Resource Planner'!$I$15-1,'Resource Planner'!$H$15),"","–"&amp;MIN('Resource Planner'!$G$15+5*'Resource Planner'!$I$15-1,'Resource Planner'!$H$15)),"")</f>
        <v>Chapter 9–10</v>
      </c>
      <c r="G259" s="163" t="s">
        <v>109</v>
      </c>
      <c r="H259" s="33" t="str">
        <f>IF(AND('Resource Planner'!$A$15="☑",5&lt;='Resource Planner'!$N$15),'Resource Planner'!$M$15,"")</f>
        <v/>
      </c>
    </row>
    <row r="260" ht="15.75" customHeight="1">
      <c r="A26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week"",10*(n-1),""Custom"",gap*(n-1),n-1),IF(AND(active=""☑"",n&lt;=lessons,st&lt;&gt;""""),INDEX(eligibleDates,startPos+offset),"""")),"""")"),46259.0)</f>
        <v>46259</v>
      </c>
      <c r="B260" s="33" t="str">
        <f>IF(AND('Resource Planner'!$A$15="☑",6&lt;='Resource Planner'!$N$15),'Resource Planner'!$C$15,"")</f>
        <v/>
      </c>
      <c r="C260" s="33" t="str">
        <f>IF(AND('Resource Planner'!$A$15="☑",6&lt;='Resource Planner'!$N$15),'Resource Planner'!$B$15,"")</f>
        <v/>
      </c>
      <c r="D260" s="33" t="str">
        <f>IF(AND('Resource Planner'!$A$15="☑",6&lt;='Resource Planner'!$N$15),'Resource Planner'!$D$15,"")</f>
        <v>Form III / Literature — Literature</v>
      </c>
      <c r="E260" s="33" t="str">
        <f>IF(AND('Resource Planner'!$A$15="☑",6&lt;='Resource Planner'!$N$15),'Resource Planner'!$E$15,"")</f>
        <v>Peter Pan</v>
      </c>
      <c r="F260" s="163" t="str">
        <f>IF(AND('Resource Planner'!$A$15="☑",6&lt;='Resource Planner'!$N$15),'Resource Planner'!$F$15&amp;" "&amp;('Resource Planner'!$G$15+(6-1)*'Resource Planner'!$I$15)&amp;IF(('Resource Planner'!$G$15+(6-1)*'Resource Planner'!$I$15)=MIN('Resource Planner'!$G$15+6*'Resource Planner'!$I$15-1,'Resource Planner'!$H$15),"","–"&amp;MIN('Resource Planner'!$G$15+6*'Resource Planner'!$I$15-1,'Resource Planner'!$H$15)),"")</f>
        <v>Chapter 11–12</v>
      </c>
      <c r="G260" s="163" t="s">
        <v>109</v>
      </c>
      <c r="H260" s="33" t="str">
        <f>IF(AND('Resource Planner'!$A$15="☑",6&lt;='Resource Planner'!$N$15),'Resource Planner'!$M$15,"")</f>
        <v/>
      </c>
    </row>
    <row r="261" ht="15.75" customHeight="1">
      <c r="A26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week"",10*(n-1),""Custom"",gap*(n-1),n-1),IF(AND(active=""☑"",n&lt;=lessons,st&lt;&gt;""""),INDEX(eligibleDates,startPos+offset),"""")),"""")"),46260.0)</f>
        <v>46260</v>
      </c>
      <c r="B261" s="33" t="str">
        <f>IF(AND('Resource Planner'!$A$15="☑",7&lt;='Resource Planner'!$N$15),'Resource Planner'!$C$15,"")</f>
        <v/>
      </c>
      <c r="C261" s="33" t="str">
        <f>IF(AND('Resource Planner'!$A$15="☑",7&lt;='Resource Planner'!$N$15),'Resource Planner'!$B$15,"")</f>
        <v/>
      </c>
      <c r="D261" s="33" t="str">
        <f>IF(AND('Resource Planner'!$A$15="☑",7&lt;='Resource Planner'!$N$15),'Resource Planner'!$D$15,"")</f>
        <v>Form III / Literature — Literature</v>
      </c>
      <c r="E261" s="33" t="str">
        <f>IF(AND('Resource Planner'!$A$15="☑",7&lt;='Resource Planner'!$N$15),'Resource Planner'!$E$15,"")</f>
        <v>Peter Pan</v>
      </c>
      <c r="F261" s="163" t="str">
        <f>IF(AND('Resource Planner'!$A$15="☑",7&lt;='Resource Planner'!$N$15),'Resource Planner'!$F$15&amp;" "&amp;('Resource Planner'!$G$15+(7-1)*'Resource Planner'!$I$15)&amp;IF(('Resource Planner'!$G$15+(7-1)*'Resource Planner'!$I$15)=MIN('Resource Planner'!$G$15+7*'Resource Planner'!$I$15-1,'Resource Planner'!$H$15),"","–"&amp;MIN('Resource Planner'!$G$15+7*'Resource Planner'!$I$15-1,'Resource Planner'!$H$15)),"")</f>
        <v>Chapter 13–14</v>
      </c>
      <c r="G261" s="163" t="s">
        <v>109</v>
      </c>
      <c r="H261" s="33" t="str">
        <f>IF(AND('Resource Planner'!$A$15="☑",7&lt;='Resource Planner'!$N$15),'Resource Planner'!$M$15,"")</f>
        <v/>
      </c>
    </row>
    <row r="262" ht="15.75" customHeight="1">
      <c r="A26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week"",10*(n-1),""Custom"",gap*(n-1),n-1),IF(AND(active=""☑"",n&lt;=lessons,st&lt;&gt;""""),INDEX(eligibleDates,startPos+offset),"""")),"""")"),46261.0)</f>
        <v>46261</v>
      </c>
      <c r="B262" s="33" t="str">
        <f>IF(AND('Resource Planner'!$A$15="☑",8&lt;='Resource Planner'!$N$15),'Resource Planner'!$C$15,"")</f>
        <v/>
      </c>
      <c r="C262" s="33" t="str">
        <f>IF(AND('Resource Planner'!$A$15="☑",8&lt;='Resource Planner'!$N$15),'Resource Planner'!$B$15,"")</f>
        <v/>
      </c>
      <c r="D262" s="33" t="str">
        <f>IF(AND('Resource Planner'!$A$15="☑",8&lt;='Resource Planner'!$N$15),'Resource Planner'!$D$15,"")</f>
        <v>Form III / Literature — Literature</v>
      </c>
      <c r="E262" s="33" t="str">
        <f>IF(AND('Resource Planner'!$A$15="☑",8&lt;='Resource Planner'!$N$15),'Resource Planner'!$E$15,"")</f>
        <v>Peter Pan</v>
      </c>
      <c r="F262" s="163" t="str">
        <f>IF(AND('Resource Planner'!$A$15="☑",8&lt;='Resource Planner'!$N$15),'Resource Planner'!$F$15&amp;" "&amp;('Resource Planner'!$G$15+(8-1)*'Resource Planner'!$I$15)&amp;IF(('Resource Planner'!$G$15+(8-1)*'Resource Planner'!$I$15)=MIN('Resource Planner'!$G$15+8*'Resource Planner'!$I$15-1,'Resource Planner'!$H$15),"","–"&amp;MIN('Resource Planner'!$G$15+8*'Resource Planner'!$I$15-1,'Resource Planner'!$H$15)),"")</f>
        <v>Chapter 15–16</v>
      </c>
      <c r="G262" s="163" t="s">
        <v>109</v>
      </c>
      <c r="H262" s="33" t="str">
        <f>IF(AND('Resource Planner'!$A$15="☑",8&lt;='Resource Planner'!$N$15),'Resource Planner'!$M$15,"")</f>
        <v/>
      </c>
    </row>
    <row r="263" ht="15.75" customHeight="1">
      <c r="A26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week"",10*(n-1),""Custom"",gap*(n-1),n-1),IF(AND(active=""☑"",n&lt;=lessons,st&lt;&gt;""""),INDEX(eligibleDates,startPos+offset),"""")),"""")"),46262.0)</f>
        <v>46262</v>
      </c>
      <c r="B263" s="33" t="str">
        <f>IF(AND('Resource Planner'!$A$15="☑",9&lt;='Resource Planner'!$N$15),'Resource Planner'!$C$15,"")</f>
        <v/>
      </c>
      <c r="C263" s="33" t="str">
        <f>IF(AND('Resource Planner'!$A$15="☑",9&lt;='Resource Planner'!$N$15),'Resource Planner'!$B$15,"")</f>
        <v/>
      </c>
      <c r="D263" s="33" t="str">
        <f>IF(AND('Resource Planner'!$A$15="☑",9&lt;='Resource Planner'!$N$15),'Resource Planner'!$D$15,"")</f>
        <v>Form III / Literature — Literature</v>
      </c>
      <c r="E263" s="33" t="str">
        <f>IF(AND('Resource Planner'!$A$15="☑",9&lt;='Resource Planner'!$N$15),'Resource Planner'!$E$15,"")</f>
        <v>Peter Pan</v>
      </c>
      <c r="F263" s="163" t="str">
        <f>IF(AND('Resource Planner'!$A$15="☑",9&lt;='Resource Planner'!$N$15),'Resource Planner'!$F$15&amp;" "&amp;('Resource Planner'!$G$15+(9-1)*'Resource Planner'!$I$15)&amp;IF(('Resource Planner'!$G$15+(9-1)*'Resource Planner'!$I$15)=MIN('Resource Planner'!$G$15+9*'Resource Planner'!$I$15-1,'Resource Planner'!$H$15),"","–"&amp;MIN('Resource Planner'!$G$15+9*'Resource Planner'!$I$15-1,'Resource Planner'!$H$15)),"")</f>
        <v>Chapter 17</v>
      </c>
      <c r="G263" s="163" t="s">
        <v>109</v>
      </c>
      <c r="H263" s="33" t="str">
        <f>IF(AND('Resource Planner'!$A$15="☑",9&lt;='Resource Planner'!$N$15),'Resource Planner'!$M$15,"")</f>
        <v/>
      </c>
    </row>
    <row r="264" ht="15.75" customHeight="1">
      <c r="A2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" s="163" t="str">
        <f>IF(AND('Resource Planner'!$A$15="☑",10&lt;='Resource Planner'!$N$15),'Resource Planner'!$C$15,"")</f>
        <v/>
      </c>
      <c r="C264" s="163" t="str">
        <f>IF(AND('Resource Planner'!$A$15="☑",10&lt;='Resource Planner'!$N$15),'Resource Planner'!$B$15,"")</f>
        <v/>
      </c>
      <c r="D264" s="163" t="str">
        <f>IF(AND('Resource Planner'!$A$15="☑",10&lt;='Resource Planner'!$N$15),'Resource Planner'!$D$15,"")</f>
        <v/>
      </c>
      <c r="E264" s="163" t="str">
        <f>IF(AND('Resource Planner'!$A$15="☑",10&lt;='Resource Planner'!$N$15),'Resource Planner'!$E$15,"")</f>
        <v/>
      </c>
      <c r="F264" s="163" t="str">
        <f>IF(AND('Resource Planner'!$A$15="☑",10&lt;='Resource Planner'!$N$15),'Resource Planner'!$F$15&amp;" "&amp;('Resource Planner'!$G$15+(10-1)*'Resource Planner'!$I$15)&amp;IF(('Resource Planner'!$G$15+(10-1)*'Resource Planner'!$I$15)=MIN('Resource Planner'!$G$15+10*'Resource Planner'!$I$15-1,'Resource Planner'!$H$15),"","–"&amp;MIN('Resource Planner'!$G$15+10*'Resource Planner'!$I$15-1,'Resource Planner'!$H$15)),"")</f>
        <v/>
      </c>
      <c r="G264" s="163" t="s">
        <v>109</v>
      </c>
      <c r="H264" s="163" t="str">
        <f>IF(AND('Resource Planner'!$A$15="☑",10&lt;='Resource Planner'!$N$15),'Resource Planner'!$M$15,"")</f>
        <v/>
      </c>
    </row>
    <row r="265" ht="15.75" customHeight="1">
      <c r="A2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" s="163" t="str">
        <f>IF(AND('Resource Planner'!$A$15="☑",11&lt;='Resource Planner'!$N$15),'Resource Planner'!$C$15,"")</f>
        <v/>
      </c>
      <c r="C265" s="163" t="str">
        <f>IF(AND('Resource Planner'!$A$15="☑",11&lt;='Resource Planner'!$N$15),'Resource Planner'!$B$15,"")</f>
        <v/>
      </c>
      <c r="D265" s="163" t="str">
        <f>IF(AND('Resource Planner'!$A$15="☑",11&lt;='Resource Planner'!$N$15),'Resource Planner'!$D$15,"")</f>
        <v/>
      </c>
      <c r="E265" s="163" t="str">
        <f>IF(AND('Resource Planner'!$A$15="☑",11&lt;='Resource Planner'!$N$15),'Resource Planner'!$E$15,"")</f>
        <v/>
      </c>
      <c r="F265" s="163" t="str">
        <f>IF(AND('Resource Planner'!$A$15="☑",11&lt;='Resource Planner'!$N$15),'Resource Planner'!$F$15&amp;" "&amp;('Resource Planner'!$G$15+(11-1)*'Resource Planner'!$I$15)&amp;IF(('Resource Planner'!$G$15+(11-1)*'Resource Planner'!$I$15)=MIN('Resource Planner'!$G$15+11*'Resource Planner'!$I$15-1,'Resource Planner'!$H$15),"","–"&amp;MIN('Resource Planner'!$G$15+11*'Resource Planner'!$I$15-1,'Resource Planner'!$H$15)),"")</f>
        <v/>
      </c>
      <c r="G265" s="163" t="s">
        <v>109</v>
      </c>
      <c r="H265" s="163" t="str">
        <f>IF(AND('Resource Planner'!$A$15="☑",11&lt;='Resource Planner'!$N$15),'Resource Planner'!$M$15,"")</f>
        <v/>
      </c>
    </row>
    <row r="266" ht="15.75" customHeight="1">
      <c r="A2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" s="163" t="str">
        <f>IF(AND('Resource Planner'!$A$15="☑",12&lt;='Resource Planner'!$N$15),'Resource Planner'!$C$15,"")</f>
        <v/>
      </c>
      <c r="C266" s="163" t="str">
        <f>IF(AND('Resource Planner'!$A$15="☑",12&lt;='Resource Planner'!$N$15),'Resource Planner'!$B$15,"")</f>
        <v/>
      </c>
      <c r="D266" s="163" t="str">
        <f>IF(AND('Resource Planner'!$A$15="☑",12&lt;='Resource Planner'!$N$15),'Resource Planner'!$D$15,"")</f>
        <v/>
      </c>
      <c r="E266" s="163" t="str">
        <f>IF(AND('Resource Planner'!$A$15="☑",12&lt;='Resource Planner'!$N$15),'Resource Planner'!$E$15,"")</f>
        <v/>
      </c>
      <c r="F266" s="163" t="str">
        <f>IF(AND('Resource Planner'!$A$15="☑",12&lt;='Resource Planner'!$N$15),'Resource Planner'!$F$15&amp;" "&amp;('Resource Planner'!$G$15+(12-1)*'Resource Planner'!$I$15)&amp;IF(('Resource Planner'!$G$15+(12-1)*'Resource Planner'!$I$15)=MIN('Resource Planner'!$G$15+12*'Resource Planner'!$I$15-1,'Resource Planner'!$H$15),"","–"&amp;MIN('Resource Planner'!$G$15+12*'Resource Planner'!$I$15-1,'Resource Planner'!$H$15)),"")</f>
        <v/>
      </c>
      <c r="G266" s="163" t="s">
        <v>109</v>
      </c>
      <c r="H266" s="163" t="str">
        <f>IF(AND('Resource Planner'!$A$15="☑",12&lt;='Resource Planner'!$N$15),'Resource Planner'!$M$15,"")</f>
        <v/>
      </c>
    </row>
    <row r="267" ht="15.75" customHeight="1">
      <c r="A2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" s="163" t="str">
        <f>IF(AND('Resource Planner'!$A$15="☑",13&lt;='Resource Planner'!$N$15),'Resource Planner'!$C$15,"")</f>
        <v/>
      </c>
      <c r="C267" s="163" t="str">
        <f>IF(AND('Resource Planner'!$A$15="☑",13&lt;='Resource Planner'!$N$15),'Resource Planner'!$B$15,"")</f>
        <v/>
      </c>
      <c r="D267" s="163" t="str">
        <f>IF(AND('Resource Planner'!$A$15="☑",13&lt;='Resource Planner'!$N$15),'Resource Planner'!$D$15,"")</f>
        <v/>
      </c>
      <c r="E267" s="163" t="str">
        <f>IF(AND('Resource Planner'!$A$15="☑",13&lt;='Resource Planner'!$N$15),'Resource Planner'!$E$15,"")</f>
        <v/>
      </c>
      <c r="F267" s="163" t="str">
        <f>IF(AND('Resource Planner'!$A$15="☑",13&lt;='Resource Planner'!$N$15),'Resource Planner'!$F$15&amp;" "&amp;('Resource Planner'!$G$15+(13-1)*'Resource Planner'!$I$15)&amp;IF(('Resource Planner'!$G$15+(13-1)*'Resource Planner'!$I$15)=MIN('Resource Planner'!$G$15+13*'Resource Planner'!$I$15-1,'Resource Planner'!$H$15),"","–"&amp;MIN('Resource Planner'!$G$15+13*'Resource Planner'!$I$15-1,'Resource Planner'!$H$15)),"")</f>
        <v/>
      </c>
      <c r="G267" s="163" t="s">
        <v>109</v>
      </c>
      <c r="H267" s="163" t="str">
        <f>IF(AND('Resource Planner'!$A$15="☑",13&lt;='Resource Planner'!$N$15),'Resource Planner'!$M$15,"")</f>
        <v/>
      </c>
    </row>
    <row r="268" ht="15.75" customHeight="1">
      <c r="A2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" s="163" t="str">
        <f>IF(AND('Resource Planner'!$A$15="☑",14&lt;='Resource Planner'!$N$15),'Resource Planner'!$C$15,"")</f>
        <v/>
      </c>
      <c r="C268" s="163" t="str">
        <f>IF(AND('Resource Planner'!$A$15="☑",14&lt;='Resource Planner'!$N$15),'Resource Planner'!$B$15,"")</f>
        <v/>
      </c>
      <c r="D268" s="163" t="str">
        <f>IF(AND('Resource Planner'!$A$15="☑",14&lt;='Resource Planner'!$N$15),'Resource Planner'!$D$15,"")</f>
        <v/>
      </c>
      <c r="E268" s="163" t="str">
        <f>IF(AND('Resource Planner'!$A$15="☑",14&lt;='Resource Planner'!$N$15),'Resource Planner'!$E$15,"")</f>
        <v/>
      </c>
      <c r="F268" s="163" t="str">
        <f>IF(AND('Resource Planner'!$A$15="☑",14&lt;='Resource Planner'!$N$15),'Resource Planner'!$F$15&amp;" "&amp;('Resource Planner'!$G$15+(14-1)*'Resource Planner'!$I$15)&amp;IF(('Resource Planner'!$G$15+(14-1)*'Resource Planner'!$I$15)=MIN('Resource Planner'!$G$15+14*'Resource Planner'!$I$15-1,'Resource Planner'!$H$15),"","–"&amp;MIN('Resource Planner'!$G$15+14*'Resource Planner'!$I$15-1,'Resource Planner'!$H$15)),"")</f>
        <v/>
      </c>
      <c r="G268" s="163" t="s">
        <v>109</v>
      </c>
      <c r="H268" s="163" t="str">
        <f>IF(AND('Resource Planner'!$A$15="☑",14&lt;='Resource Planner'!$N$15),'Resource Planner'!$M$15,"")</f>
        <v/>
      </c>
    </row>
    <row r="269" ht="15.75" customHeight="1">
      <c r="A2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" s="163" t="str">
        <f>IF(AND('Resource Planner'!$A$15="☑",15&lt;='Resource Planner'!$N$15),'Resource Planner'!$C$15,"")</f>
        <v/>
      </c>
      <c r="C269" s="163" t="str">
        <f>IF(AND('Resource Planner'!$A$15="☑",15&lt;='Resource Planner'!$N$15),'Resource Planner'!$B$15,"")</f>
        <v/>
      </c>
      <c r="D269" s="163" t="str">
        <f>IF(AND('Resource Planner'!$A$15="☑",15&lt;='Resource Planner'!$N$15),'Resource Planner'!$D$15,"")</f>
        <v/>
      </c>
      <c r="E269" s="163" t="str">
        <f>IF(AND('Resource Planner'!$A$15="☑",15&lt;='Resource Planner'!$N$15),'Resource Planner'!$E$15,"")</f>
        <v/>
      </c>
      <c r="F269" s="163" t="str">
        <f>IF(AND('Resource Planner'!$A$15="☑",15&lt;='Resource Planner'!$N$15),'Resource Planner'!$F$15&amp;" "&amp;('Resource Planner'!$G$15+(15-1)*'Resource Planner'!$I$15)&amp;IF(('Resource Planner'!$G$15+(15-1)*'Resource Planner'!$I$15)=MIN('Resource Planner'!$G$15+15*'Resource Planner'!$I$15-1,'Resource Planner'!$H$15),"","–"&amp;MIN('Resource Planner'!$G$15+15*'Resource Planner'!$I$15-1,'Resource Planner'!$H$15)),"")</f>
        <v/>
      </c>
      <c r="G269" s="163" t="s">
        <v>109</v>
      </c>
      <c r="H269" s="163" t="str">
        <f>IF(AND('Resource Planner'!$A$15="☑",15&lt;='Resource Planner'!$N$15),'Resource Planner'!$M$15,"")</f>
        <v/>
      </c>
    </row>
    <row r="270" ht="15.75" customHeight="1">
      <c r="A2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" s="163" t="str">
        <f>IF(AND('Resource Planner'!$A$15="☑",16&lt;='Resource Planner'!$N$15),'Resource Planner'!$C$15,"")</f>
        <v/>
      </c>
      <c r="C270" s="163" t="str">
        <f>IF(AND('Resource Planner'!$A$15="☑",16&lt;='Resource Planner'!$N$15),'Resource Planner'!$B$15,"")</f>
        <v/>
      </c>
      <c r="D270" s="163" t="str">
        <f>IF(AND('Resource Planner'!$A$15="☑",16&lt;='Resource Planner'!$N$15),'Resource Planner'!$D$15,"")</f>
        <v/>
      </c>
      <c r="E270" s="163" t="str">
        <f>IF(AND('Resource Planner'!$A$15="☑",16&lt;='Resource Planner'!$N$15),'Resource Planner'!$E$15,"")</f>
        <v/>
      </c>
      <c r="F270" s="163" t="str">
        <f>IF(AND('Resource Planner'!$A$15="☑",16&lt;='Resource Planner'!$N$15),'Resource Planner'!$F$15&amp;" "&amp;('Resource Planner'!$G$15+(16-1)*'Resource Planner'!$I$15)&amp;IF(('Resource Planner'!$G$15+(16-1)*'Resource Planner'!$I$15)=MIN('Resource Planner'!$G$15+16*'Resource Planner'!$I$15-1,'Resource Planner'!$H$15),"","–"&amp;MIN('Resource Planner'!$G$15+16*'Resource Planner'!$I$15-1,'Resource Planner'!$H$15)),"")</f>
        <v/>
      </c>
      <c r="G270" s="163" t="s">
        <v>109</v>
      </c>
      <c r="H270" s="163" t="str">
        <f>IF(AND('Resource Planner'!$A$15="☑",16&lt;='Resource Planner'!$N$15),'Resource Planner'!$M$15,"")</f>
        <v/>
      </c>
    </row>
    <row r="271" ht="15.75" customHeight="1">
      <c r="A2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" s="163" t="str">
        <f>IF(AND('Resource Planner'!$A$15="☑",17&lt;='Resource Planner'!$N$15),'Resource Planner'!$C$15,"")</f>
        <v/>
      </c>
      <c r="C271" s="163" t="str">
        <f>IF(AND('Resource Planner'!$A$15="☑",17&lt;='Resource Planner'!$N$15),'Resource Planner'!$B$15,"")</f>
        <v/>
      </c>
      <c r="D271" s="163" t="str">
        <f>IF(AND('Resource Planner'!$A$15="☑",17&lt;='Resource Planner'!$N$15),'Resource Planner'!$D$15,"")</f>
        <v/>
      </c>
      <c r="E271" s="163" t="str">
        <f>IF(AND('Resource Planner'!$A$15="☑",17&lt;='Resource Planner'!$N$15),'Resource Planner'!$E$15,"")</f>
        <v/>
      </c>
      <c r="F271" s="163" t="str">
        <f>IF(AND('Resource Planner'!$A$15="☑",17&lt;='Resource Planner'!$N$15),'Resource Planner'!$F$15&amp;" "&amp;('Resource Planner'!$G$15+(17-1)*'Resource Planner'!$I$15)&amp;IF(('Resource Planner'!$G$15+(17-1)*'Resource Planner'!$I$15)=MIN('Resource Planner'!$G$15+17*'Resource Planner'!$I$15-1,'Resource Planner'!$H$15),"","–"&amp;MIN('Resource Planner'!$G$15+17*'Resource Planner'!$I$15-1,'Resource Planner'!$H$15)),"")</f>
        <v/>
      </c>
      <c r="G271" s="163" t="s">
        <v>109</v>
      </c>
      <c r="H271" s="163" t="str">
        <f>IF(AND('Resource Planner'!$A$15="☑",17&lt;='Resource Planner'!$N$15),'Resource Planner'!$M$15,"")</f>
        <v/>
      </c>
    </row>
    <row r="272" ht="15.75" customHeight="1">
      <c r="A2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" s="163" t="str">
        <f>IF(AND('Resource Planner'!$A$15="☑",18&lt;='Resource Planner'!$N$15),'Resource Planner'!$C$15,"")</f>
        <v/>
      </c>
      <c r="C272" s="163" t="str">
        <f>IF(AND('Resource Planner'!$A$15="☑",18&lt;='Resource Planner'!$N$15),'Resource Planner'!$B$15,"")</f>
        <v/>
      </c>
      <c r="D272" s="163" t="str">
        <f>IF(AND('Resource Planner'!$A$15="☑",18&lt;='Resource Planner'!$N$15),'Resource Planner'!$D$15,"")</f>
        <v/>
      </c>
      <c r="E272" s="163" t="str">
        <f>IF(AND('Resource Planner'!$A$15="☑",18&lt;='Resource Planner'!$N$15),'Resource Planner'!$E$15,"")</f>
        <v/>
      </c>
      <c r="F272" s="163" t="str">
        <f>IF(AND('Resource Planner'!$A$15="☑",18&lt;='Resource Planner'!$N$15),'Resource Planner'!$F$15&amp;" "&amp;('Resource Planner'!$G$15+(18-1)*'Resource Planner'!$I$15)&amp;IF(('Resource Planner'!$G$15+(18-1)*'Resource Planner'!$I$15)=MIN('Resource Planner'!$G$15+18*'Resource Planner'!$I$15-1,'Resource Planner'!$H$15),"","–"&amp;MIN('Resource Planner'!$G$15+18*'Resource Planner'!$I$15-1,'Resource Planner'!$H$15)),"")</f>
        <v/>
      </c>
      <c r="G272" s="163" t="s">
        <v>109</v>
      </c>
      <c r="H272" s="163" t="str">
        <f>IF(AND('Resource Planner'!$A$15="☑",18&lt;='Resource Planner'!$N$15),'Resource Planner'!$M$15,"")</f>
        <v/>
      </c>
    </row>
    <row r="273" ht="15.75" customHeight="1">
      <c r="A2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" s="163" t="str">
        <f>IF(AND('Resource Planner'!$A$15="☑",19&lt;='Resource Planner'!$N$15),'Resource Planner'!$C$15,"")</f>
        <v/>
      </c>
      <c r="C273" s="163" t="str">
        <f>IF(AND('Resource Planner'!$A$15="☑",19&lt;='Resource Planner'!$N$15),'Resource Planner'!$B$15,"")</f>
        <v/>
      </c>
      <c r="D273" s="163" t="str">
        <f>IF(AND('Resource Planner'!$A$15="☑",19&lt;='Resource Planner'!$N$15),'Resource Planner'!$D$15,"")</f>
        <v/>
      </c>
      <c r="E273" s="163" t="str">
        <f>IF(AND('Resource Planner'!$A$15="☑",19&lt;='Resource Planner'!$N$15),'Resource Planner'!$E$15,"")</f>
        <v/>
      </c>
      <c r="F273" s="163" t="str">
        <f>IF(AND('Resource Planner'!$A$15="☑",19&lt;='Resource Planner'!$N$15),'Resource Planner'!$F$15&amp;" "&amp;('Resource Planner'!$G$15+(19-1)*'Resource Planner'!$I$15)&amp;IF(('Resource Planner'!$G$15+(19-1)*'Resource Planner'!$I$15)=MIN('Resource Planner'!$G$15+19*'Resource Planner'!$I$15-1,'Resource Planner'!$H$15),"","–"&amp;MIN('Resource Planner'!$G$15+19*'Resource Planner'!$I$15-1,'Resource Planner'!$H$15)),"")</f>
        <v/>
      </c>
      <c r="G273" s="163" t="s">
        <v>109</v>
      </c>
      <c r="H273" s="163" t="str">
        <f>IF(AND('Resource Planner'!$A$15="☑",19&lt;='Resource Planner'!$N$15),'Resource Planner'!$M$15,"")</f>
        <v/>
      </c>
    </row>
    <row r="274" ht="15.75" customHeight="1">
      <c r="A2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" s="163" t="str">
        <f>IF(AND('Resource Planner'!$A$15="☑",20&lt;='Resource Planner'!$N$15),'Resource Planner'!$C$15,"")</f>
        <v/>
      </c>
      <c r="C274" s="163" t="str">
        <f>IF(AND('Resource Planner'!$A$15="☑",20&lt;='Resource Planner'!$N$15),'Resource Planner'!$B$15,"")</f>
        <v/>
      </c>
      <c r="D274" s="163" t="str">
        <f>IF(AND('Resource Planner'!$A$15="☑",20&lt;='Resource Planner'!$N$15),'Resource Planner'!$D$15,"")</f>
        <v/>
      </c>
      <c r="E274" s="163" t="str">
        <f>IF(AND('Resource Planner'!$A$15="☑",20&lt;='Resource Planner'!$N$15),'Resource Planner'!$E$15,"")</f>
        <v/>
      </c>
      <c r="F274" s="163" t="str">
        <f>IF(AND('Resource Planner'!$A$15="☑",20&lt;='Resource Planner'!$N$15),'Resource Planner'!$F$15&amp;" "&amp;('Resource Planner'!$G$15+(20-1)*'Resource Planner'!$I$15)&amp;IF(('Resource Planner'!$G$15+(20-1)*'Resource Planner'!$I$15)=MIN('Resource Planner'!$G$15+20*'Resource Planner'!$I$15-1,'Resource Planner'!$H$15),"","–"&amp;MIN('Resource Planner'!$G$15+20*'Resource Planner'!$I$15-1,'Resource Planner'!$H$15)),"")</f>
        <v/>
      </c>
      <c r="G274" s="163" t="s">
        <v>109</v>
      </c>
      <c r="H274" s="163" t="str">
        <f>IF(AND('Resource Planner'!$A$15="☑",20&lt;='Resource Planner'!$N$15),'Resource Planner'!$M$15,"")</f>
        <v/>
      </c>
    </row>
    <row r="275" ht="15.75" customHeight="1">
      <c r="A2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" s="163" t="str">
        <f>IF(AND('Resource Planner'!$A$15="☑",21&lt;='Resource Planner'!$N$15),'Resource Planner'!$C$15,"")</f>
        <v/>
      </c>
      <c r="C275" s="163" t="str">
        <f>IF(AND('Resource Planner'!$A$15="☑",21&lt;='Resource Planner'!$N$15),'Resource Planner'!$B$15,"")</f>
        <v/>
      </c>
      <c r="D275" s="163" t="str">
        <f>IF(AND('Resource Planner'!$A$15="☑",21&lt;='Resource Planner'!$N$15),'Resource Planner'!$D$15,"")</f>
        <v/>
      </c>
      <c r="E275" s="163" t="str">
        <f>IF(AND('Resource Planner'!$A$15="☑",21&lt;='Resource Planner'!$N$15),'Resource Planner'!$E$15,"")</f>
        <v/>
      </c>
      <c r="F275" s="163" t="str">
        <f>IF(AND('Resource Planner'!$A$15="☑",21&lt;='Resource Planner'!$N$15),'Resource Planner'!$F$15&amp;" "&amp;('Resource Planner'!$G$15+(21-1)*'Resource Planner'!$I$15)&amp;IF(('Resource Planner'!$G$15+(21-1)*'Resource Planner'!$I$15)=MIN('Resource Planner'!$G$15+21*'Resource Planner'!$I$15-1,'Resource Planner'!$H$15),"","–"&amp;MIN('Resource Planner'!$G$15+21*'Resource Planner'!$I$15-1,'Resource Planner'!$H$15)),"")</f>
        <v/>
      </c>
      <c r="G275" s="163" t="s">
        <v>109</v>
      </c>
      <c r="H275" s="163" t="str">
        <f>IF(AND('Resource Planner'!$A$15="☑",21&lt;='Resource Planner'!$N$15),'Resource Planner'!$M$15,"")</f>
        <v/>
      </c>
    </row>
    <row r="276" ht="15.75" customHeight="1">
      <c r="A2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" s="163" t="str">
        <f>IF(AND('Resource Planner'!$A$15="☑",22&lt;='Resource Planner'!$N$15),'Resource Planner'!$C$15,"")</f>
        <v/>
      </c>
      <c r="C276" s="163" t="str">
        <f>IF(AND('Resource Planner'!$A$15="☑",22&lt;='Resource Planner'!$N$15),'Resource Planner'!$B$15,"")</f>
        <v/>
      </c>
      <c r="D276" s="163" t="str">
        <f>IF(AND('Resource Planner'!$A$15="☑",22&lt;='Resource Planner'!$N$15),'Resource Planner'!$D$15,"")</f>
        <v/>
      </c>
      <c r="E276" s="163" t="str">
        <f>IF(AND('Resource Planner'!$A$15="☑",22&lt;='Resource Planner'!$N$15),'Resource Planner'!$E$15,"")</f>
        <v/>
      </c>
      <c r="F276" s="163" t="str">
        <f>IF(AND('Resource Planner'!$A$15="☑",22&lt;='Resource Planner'!$N$15),'Resource Planner'!$F$15&amp;" "&amp;('Resource Planner'!$G$15+(22-1)*'Resource Planner'!$I$15)&amp;IF(('Resource Planner'!$G$15+(22-1)*'Resource Planner'!$I$15)=MIN('Resource Planner'!$G$15+22*'Resource Planner'!$I$15-1,'Resource Planner'!$H$15),"","–"&amp;MIN('Resource Planner'!$G$15+22*'Resource Planner'!$I$15-1,'Resource Planner'!$H$15)),"")</f>
        <v/>
      </c>
      <c r="G276" s="163" t="s">
        <v>109</v>
      </c>
      <c r="H276" s="163" t="str">
        <f>IF(AND('Resource Planner'!$A$15="☑",22&lt;='Resource Planner'!$N$15),'Resource Planner'!$M$15,"")</f>
        <v/>
      </c>
    </row>
    <row r="277" ht="15.75" customHeight="1">
      <c r="A2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" s="163" t="str">
        <f>IF(AND('Resource Planner'!$A$15="☑",23&lt;='Resource Planner'!$N$15),'Resource Planner'!$C$15,"")</f>
        <v/>
      </c>
      <c r="C277" s="163" t="str">
        <f>IF(AND('Resource Planner'!$A$15="☑",23&lt;='Resource Planner'!$N$15),'Resource Planner'!$B$15,"")</f>
        <v/>
      </c>
      <c r="D277" s="163" t="str">
        <f>IF(AND('Resource Planner'!$A$15="☑",23&lt;='Resource Planner'!$N$15),'Resource Planner'!$D$15,"")</f>
        <v/>
      </c>
      <c r="E277" s="163" t="str">
        <f>IF(AND('Resource Planner'!$A$15="☑",23&lt;='Resource Planner'!$N$15),'Resource Planner'!$E$15,"")</f>
        <v/>
      </c>
      <c r="F277" s="163" t="str">
        <f>IF(AND('Resource Planner'!$A$15="☑",23&lt;='Resource Planner'!$N$15),'Resource Planner'!$F$15&amp;" "&amp;('Resource Planner'!$G$15+(23-1)*'Resource Planner'!$I$15)&amp;IF(('Resource Planner'!$G$15+(23-1)*'Resource Planner'!$I$15)=MIN('Resource Planner'!$G$15+23*'Resource Planner'!$I$15-1,'Resource Planner'!$H$15),"","–"&amp;MIN('Resource Planner'!$G$15+23*'Resource Planner'!$I$15-1,'Resource Planner'!$H$15)),"")</f>
        <v/>
      </c>
      <c r="G277" s="163" t="s">
        <v>109</v>
      </c>
      <c r="H277" s="163" t="str">
        <f>IF(AND('Resource Planner'!$A$15="☑",23&lt;='Resource Planner'!$N$15),'Resource Planner'!$M$15,"")</f>
        <v/>
      </c>
    </row>
    <row r="278" ht="15.75" customHeight="1">
      <c r="A2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" s="163" t="str">
        <f>IF(AND('Resource Planner'!$A$15="☑",24&lt;='Resource Planner'!$N$15),'Resource Planner'!$C$15,"")</f>
        <v/>
      </c>
      <c r="C278" s="163" t="str">
        <f>IF(AND('Resource Planner'!$A$15="☑",24&lt;='Resource Planner'!$N$15),'Resource Planner'!$B$15,"")</f>
        <v/>
      </c>
      <c r="D278" s="163" t="str">
        <f>IF(AND('Resource Planner'!$A$15="☑",24&lt;='Resource Planner'!$N$15),'Resource Planner'!$D$15,"")</f>
        <v/>
      </c>
      <c r="E278" s="163" t="str">
        <f>IF(AND('Resource Planner'!$A$15="☑",24&lt;='Resource Planner'!$N$15),'Resource Planner'!$E$15,"")</f>
        <v/>
      </c>
      <c r="F278" s="163" t="str">
        <f>IF(AND('Resource Planner'!$A$15="☑",24&lt;='Resource Planner'!$N$15),'Resource Planner'!$F$15&amp;" "&amp;('Resource Planner'!$G$15+(24-1)*'Resource Planner'!$I$15)&amp;IF(('Resource Planner'!$G$15+(24-1)*'Resource Planner'!$I$15)=MIN('Resource Planner'!$G$15+24*'Resource Planner'!$I$15-1,'Resource Planner'!$H$15),"","–"&amp;MIN('Resource Planner'!$G$15+24*'Resource Planner'!$I$15-1,'Resource Planner'!$H$15)),"")</f>
        <v/>
      </c>
      <c r="G278" s="163" t="s">
        <v>109</v>
      </c>
      <c r="H278" s="163" t="str">
        <f>IF(AND('Resource Planner'!$A$15="☑",24&lt;='Resource Planner'!$N$15),'Resource Planner'!$M$15,"")</f>
        <v/>
      </c>
    </row>
    <row r="279" ht="15.75" customHeight="1">
      <c r="A2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" s="163" t="str">
        <f>IF(AND('Resource Planner'!$A$15="☑",25&lt;='Resource Planner'!$N$15),'Resource Planner'!$C$15,"")</f>
        <v/>
      </c>
      <c r="C279" s="163" t="str">
        <f>IF(AND('Resource Planner'!$A$15="☑",25&lt;='Resource Planner'!$N$15),'Resource Planner'!$B$15,"")</f>
        <v/>
      </c>
      <c r="D279" s="163" t="str">
        <f>IF(AND('Resource Planner'!$A$15="☑",25&lt;='Resource Planner'!$N$15),'Resource Planner'!$D$15,"")</f>
        <v/>
      </c>
      <c r="E279" s="163" t="str">
        <f>IF(AND('Resource Planner'!$A$15="☑",25&lt;='Resource Planner'!$N$15),'Resource Planner'!$E$15,"")</f>
        <v/>
      </c>
      <c r="F279" s="163" t="str">
        <f>IF(AND('Resource Planner'!$A$15="☑",25&lt;='Resource Planner'!$N$15),'Resource Planner'!$F$15&amp;" "&amp;('Resource Planner'!$G$15+(25-1)*'Resource Planner'!$I$15)&amp;IF(('Resource Planner'!$G$15+(25-1)*'Resource Planner'!$I$15)=MIN('Resource Planner'!$G$15+25*'Resource Planner'!$I$15-1,'Resource Planner'!$H$15),"","–"&amp;MIN('Resource Planner'!$G$15+25*'Resource Planner'!$I$15-1,'Resource Planner'!$H$15)),"")</f>
        <v/>
      </c>
      <c r="G279" s="163" t="s">
        <v>109</v>
      </c>
      <c r="H279" s="163" t="str">
        <f>IF(AND('Resource Planner'!$A$15="☑",25&lt;='Resource Planner'!$N$15),'Resource Planner'!$M$15,"")</f>
        <v/>
      </c>
    </row>
    <row r="280" ht="15.75" customHeight="1">
      <c r="A2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" s="163" t="str">
        <f>IF(AND('Resource Planner'!$A$15="☑",26&lt;='Resource Planner'!$N$15),'Resource Planner'!$C$15,"")</f>
        <v/>
      </c>
      <c r="C280" s="163" t="str">
        <f>IF(AND('Resource Planner'!$A$15="☑",26&lt;='Resource Planner'!$N$15),'Resource Planner'!$B$15,"")</f>
        <v/>
      </c>
      <c r="D280" s="163" t="str">
        <f>IF(AND('Resource Planner'!$A$15="☑",26&lt;='Resource Planner'!$N$15),'Resource Planner'!$D$15,"")</f>
        <v/>
      </c>
      <c r="E280" s="163" t="str">
        <f>IF(AND('Resource Planner'!$A$15="☑",26&lt;='Resource Planner'!$N$15),'Resource Planner'!$E$15,"")</f>
        <v/>
      </c>
      <c r="F280" s="163" t="str">
        <f>IF(AND('Resource Planner'!$A$15="☑",26&lt;='Resource Planner'!$N$15),'Resource Planner'!$F$15&amp;" "&amp;('Resource Planner'!$G$15+(26-1)*'Resource Planner'!$I$15)&amp;IF(('Resource Planner'!$G$15+(26-1)*'Resource Planner'!$I$15)=MIN('Resource Planner'!$G$15+26*'Resource Planner'!$I$15-1,'Resource Planner'!$H$15),"","–"&amp;MIN('Resource Planner'!$G$15+26*'Resource Planner'!$I$15-1,'Resource Planner'!$H$15)),"")</f>
        <v/>
      </c>
      <c r="G280" s="163" t="s">
        <v>109</v>
      </c>
      <c r="H280" s="163" t="str">
        <f>IF(AND('Resource Planner'!$A$15="☑",26&lt;='Resource Planner'!$N$15),'Resource Planner'!$M$15,"")</f>
        <v/>
      </c>
    </row>
    <row r="281" ht="15.75" customHeight="1">
      <c r="A2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" s="163" t="str">
        <f>IF(AND('Resource Planner'!$A$15="☑",27&lt;='Resource Planner'!$N$15),'Resource Planner'!$C$15,"")</f>
        <v/>
      </c>
      <c r="C281" s="163" t="str">
        <f>IF(AND('Resource Planner'!$A$15="☑",27&lt;='Resource Planner'!$N$15),'Resource Planner'!$B$15,"")</f>
        <v/>
      </c>
      <c r="D281" s="163" t="str">
        <f>IF(AND('Resource Planner'!$A$15="☑",27&lt;='Resource Planner'!$N$15),'Resource Planner'!$D$15,"")</f>
        <v/>
      </c>
      <c r="E281" s="163" t="str">
        <f>IF(AND('Resource Planner'!$A$15="☑",27&lt;='Resource Planner'!$N$15),'Resource Planner'!$E$15,"")</f>
        <v/>
      </c>
      <c r="F281" s="163" t="str">
        <f>IF(AND('Resource Planner'!$A$15="☑",27&lt;='Resource Planner'!$N$15),'Resource Planner'!$F$15&amp;" "&amp;('Resource Planner'!$G$15+(27-1)*'Resource Planner'!$I$15)&amp;IF(('Resource Planner'!$G$15+(27-1)*'Resource Planner'!$I$15)=MIN('Resource Planner'!$G$15+27*'Resource Planner'!$I$15-1,'Resource Planner'!$H$15),"","–"&amp;MIN('Resource Planner'!$G$15+27*'Resource Planner'!$I$15-1,'Resource Planner'!$H$15)),"")</f>
        <v/>
      </c>
      <c r="G281" s="163" t="s">
        <v>109</v>
      </c>
      <c r="H281" s="163" t="str">
        <f>IF(AND('Resource Planner'!$A$15="☑",27&lt;='Resource Planner'!$N$15),'Resource Planner'!$M$15,"")</f>
        <v/>
      </c>
    </row>
    <row r="282" ht="15.75" customHeight="1">
      <c r="A2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" s="163" t="str">
        <f>IF(AND('Resource Planner'!$A$15="☑",28&lt;='Resource Planner'!$N$15),'Resource Planner'!$C$15,"")</f>
        <v/>
      </c>
      <c r="C282" s="163" t="str">
        <f>IF(AND('Resource Planner'!$A$15="☑",28&lt;='Resource Planner'!$N$15),'Resource Planner'!$B$15,"")</f>
        <v/>
      </c>
      <c r="D282" s="163" t="str">
        <f>IF(AND('Resource Planner'!$A$15="☑",28&lt;='Resource Planner'!$N$15),'Resource Planner'!$D$15,"")</f>
        <v/>
      </c>
      <c r="E282" s="163" t="str">
        <f>IF(AND('Resource Planner'!$A$15="☑",28&lt;='Resource Planner'!$N$15),'Resource Planner'!$E$15,"")</f>
        <v/>
      </c>
      <c r="F282" s="163" t="str">
        <f>IF(AND('Resource Planner'!$A$15="☑",28&lt;='Resource Planner'!$N$15),'Resource Planner'!$F$15&amp;" "&amp;('Resource Planner'!$G$15+(28-1)*'Resource Planner'!$I$15)&amp;IF(('Resource Planner'!$G$15+(28-1)*'Resource Planner'!$I$15)=MIN('Resource Planner'!$G$15+28*'Resource Planner'!$I$15-1,'Resource Planner'!$H$15),"","–"&amp;MIN('Resource Planner'!$G$15+28*'Resource Planner'!$I$15-1,'Resource Planner'!$H$15)),"")</f>
        <v/>
      </c>
      <c r="G282" s="163" t="s">
        <v>109</v>
      </c>
      <c r="H282" s="163" t="str">
        <f>IF(AND('Resource Planner'!$A$15="☑",28&lt;='Resource Planner'!$N$15),'Resource Planner'!$M$15,"")</f>
        <v/>
      </c>
    </row>
    <row r="283" ht="15.75" customHeight="1">
      <c r="A2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" s="163" t="str">
        <f>IF(AND('Resource Planner'!$A$15="☑",29&lt;='Resource Planner'!$N$15),'Resource Planner'!$C$15,"")</f>
        <v/>
      </c>
      <c r="C283" s="163" t="str">
        <f>IF(AND('Resource Planner'!$A$15="☑",29&lt;='Resource Planner'!$N$15),'Resource Planner'!$B$15,"")</f>
        <v/>
      </c>
      <c r="D283" s="163" t="str">
        <f>IF(AND('Resource Planner'!$A$15="☑",29&lt;='Resource Planner'!$N$15),'Resource Planner'!$D$15,"")</f>
        <v/>
      </c>
      <c r="E283" s="163" t="str">
        <f>IF(AND('Resource Planner'!$A$15="☑",29&lt;='Resource Planner'!$N$15),'Resource Planner'!$E$15,"")</f>
        <v/>
      </c>
      <c r="F283" s="163" t="str">
        <f>IF(AND('Resource Planner'!$A$15="☑",29&lt;='Resource Planner'!$N$15),'Resource Planner'!$F$15&amp;" "&amp;('Resource Planner'!$G$15+(29-1)*'Resource Planner'!$I$15)&amp;IF(('Resource Planner'!$G$15+(29-1)*'Resource Planner'!$I$15)=MIN('Resource Planner'!$G$15+29*'Resource Planner'!$I$15-1,'Resource Planner'!$H$15),"","–"&amp;MIN('Resource Planner'!$G$15+29*'Resource Planner'!$I$15-1,'Resource Planner'!$H$15)),"")</f>
        <v/>
      </c>
      <c r="G283" s="163" t="s">
        <v>109</v>
      </c>
      <c r="H283" s="163" t="str">
        <f>IF(AND('Resource Planner'!$A$15="☑",29&lt;='Resource Planner'!$N$15),'Resource Planner'!$M$15,"")</f>
        <v/>
      </c>
    </row>
    <row r="284" ht="15.75" customHeight="1">
      <c r="A2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" s="163" t="str">
        <f>IF(AND('Resource Planner'!$A$15="☑",30&lt;='Resource Planner'!$N$15),'Resource Planner'!$C$15,"")</f>
        <v/>
      </c>
      <c r="C284" s="163" t="str">
        <f>IF(AND('Resource Planner'!$A$15="☑",30&lt;='Resource Planner'!$N$15),'Resource Planner'!$B$15,"")</f>
        <v/>
      </c>
      <c r="D284" s="163" t="str">
        <f>IF(AND('Resource Planner'!$A$15="☑",30&lt;='Resource Planner'!$N$15),'Resource Planner'!$D$15,"")</f>
        <v/>
      </c>
      <c r="E284" s="163" t="str">
        <f>IF(AND('Resource Planner'!$A$15="☑",30&lt;='Resource Planner'!$N$15),'Resource Planner'!$E$15,"")</f>
        <v/>
      </c>
      <c r="F284" s="163" t="str">
        <f>IF(AND('Resource Planner'!$A$15="☑",30&lt;='Resource Planner'!$N$15),'Resource Planner'!$F$15&amp;" "&amp;('Resource Planner'!$G$15+(30-1)*'Resource Planner'!$I$15)&amp;IF(('Resource Planner'!$G$15+(30-1)*'Resource Planner'!$I$15)=MIN('Resource Planner'!$G$15+30*'Resource Planner'!$I$15-1,'Resource Planner'!$H$15),"","–"&amp;MIN('Resource Planner'!$G$15+30*'Resource Planner'!$I$15-1,'Resource Planner'!$H$15)),"")</f>
        <v/>
      </c>
      <c r="G284" s="163" t="s">
        <v>109</v>
      </c>
      <c r="H284" s="163" t="str">
        <f>IF(AND('Resource Planner'!$A$15="☑",30&lt;='Resource Planner'!$N$15),'Resource Planner'!$M$15,"")</f>
        <v/>
      </c>
    </row>
    <row r="285" ht="15.75" customHeight="1">
      <c r="A2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" s="163" t="str">
        <f>IF(AND('Resource Planner'!$A$15="☑",31&lt;='Resource Planner'!$N$15),'Resource Planner'!$C$15,"")</f>
        <v/>
      </c>
      <c r="C285" s="163" t="str">
        <f>IF(AND('Resource Planner'!$A$15="☑",31&lt;='Resource Planner'!$N$15),'Resource Planner'!$B$15,"")</f>
        <v/>
      </c>
      <c r="D285" s="163" t="str">
        <f>IF(AND('Resource Planner'!$A$15="☑",31&lt;='Resource Planner'!$N$15),'Resource Planner'!$D$15,"")</f>
        <v/>
      </c>
      <c r="E285" s="163" t="str">
        <f>IF(AND('Resource Planner'!$A$15="☑",31&lt;='Resource Planner'!$N$15),'Resource Planner'!$E$15,"")</f>
        <v/>
      </c>
      <c r="F285" s="163" t="str">
        <f>IF(AND('Resource Planner'!$A$15="☑",31&lt;='Resource Planner'!$N$15),'Resource Planner'!$F$15&amp;" "&amp;('Resource Planner'!$G$15+(31-1)*'Resource Planner'!$I$15)&amp;IF(('Resource Planner'!$G$15+(31-1)*'Resource Planner'!$I$15)=MIN('Resource Planner'!$G$15+31*'Resource Planner'!$I$15-1,'Resource Planner'!$H$15),"","–"&amp;MIN('Resource Planner'!$G$15+31*'Resource Planner'!$I$15-1,'Resource Planner'!$H$15)),"")</f>
        <v/>
      </c>
      <c r="G285" s="163" t="s">
        <v>109</v>
      </c>
      <c r="H285" s="163" t="str">
        <f>IF(AND('Resource Planner'!$A$15="☑",31&lt;='Resource Planner'!$N$15),'Resource Planner'!$M$15,"")</f>
        <v/>
      </c>
    </row>
    <row r="286" ht="15.75" customHeight="1">
      <c r="A2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" s="163" t="str">
        <f>IF(AND('Resource Planner'!$A$15="☑",32&lt;='Resource Planner'!$N$15),'Resource Planner'!$C$15,"")</f>
        <v/>
      </c>
      <c r="C286" s="163" t="str">
        <f>IF(AND('Resource Planner'!$A$15="☑",32&lt;='Resource Planner'!$N$15),'Resource Planner'!$B$15,"")</f>
        <v/>
      </c>
      <c r="D286" s="163" t="str">
        <f>IF(AND('Resource Planner'!$A$15="☑",32&lt;='Resource Planner'!$N$15),'Resource Planner'!$D$15,"")</f>
        <v/>
      </c>
      <c r="E286" s="163" t="str">
        <f>IF(AND('Resource Planner'!$A$15="☑",32&lt;='Resource Planner'!$N$15),'Resource Planner'!$E$15,"")</f>
        <v/>
      </c>
      <c r="F286" s="163" t="str">
        <f>IF(AND('Resource Planner'!$A$15="☑",32&lt;='Resource Planner'!$N$15),'Resource Planner'!$F$15&amp;" "&amp;('Resource Planner'!$G$15+(32-1)*'Resource Planner'!$I$15)&amp;IF(('Resource Planner'!$G$15+(32-1)*'Resource Planner'!$I$15)=MIN('Resource Planner'!$G$15+32*'Resource Planner'!$I$15-1,'Resource Planner'!$H$15),"","–"&amp;MIN('Resource Planner'!$G$15+32*'Resource Planner'!$I$15-1,'Resource Planner'!$H$15)),"")</f>
        <v/>
      </c>
      <c r="G286" s="163" t="s">
        <v>109</v>
      </c>
      <c r="H286" s="163" t="str">
        <f>IF(AND('Resource Planner'!$A$15="☑",32&lt;='Resource Planner'!$N$15),'Resource Planner'!$M$15,"")</f>
        <v/>
      </c>
    </row>
    <row r="287" ht="15.75" customHeight="1">
      <c r="A2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" s="163" t="str">
        <f>IF(AND('Resource Planner'!$A$15="☑",33&lt;='Resource Planner'!$N$15),'Resource Planner'!$C$15,"")</f>
        <v/>
      </c>
      <c r="C287" s="163" t="str">
        <f>IF(AND('Resource Planner'!$A$15="☑",33&lt;='Resource Planner'!$N$15),'Resource Planner'!$B$15,"")</f>
        <v/>
      </c>
      <c r="D287" s="163" t="str">
        <f>IF(AND('Resource Planner'!$A$15="☑",33&lt;='Resource Planner'!$N$15),'Resource Planner'!$D$15,"")</f>
        <v/>
      </c>
      <c r="E287" s="163" t="str">
        <f>IF(AND('Resource Planner'!$A$15="☑",33&lt;='Resource Planner'!$N$15),'Resource Planner'!$E$15,"")</f>
        <v/>
      </c>
      <c r="F287" s="163" t="str">
        <f>IF(AND('Resource Planner'!$A$15="☑",33&lt;='Resource Planner'!$N$15),'Resource Planner'!$F$15&amp;" "&amp;('Resource Planner'!$G$15+(33-1)*'Resource Planner'!$I$15)&amp;IF(('Resource Planner'!$G$15+(33-1)*'Resource Planner'!$I$15)=MIN('Resource Planner'!$G$15+33*'Resource Planner'!$I$15-1,'Resource Planner'!$H$15),"","–"&amp;MIN('Resource Planner'!$G$15+33*'Resource Planner'!$I$15-1,'Resource Planner'!$H$15)),"")</f>
        <v/>
      </c>
      <c r="G287" s="163" t="s">
        <v>109</v>
      </c>
      <c r="H287" s="163" t="str">
        <f>IF(AND('Resource Planner'!$A$15="☑",33&lt;='Resource Planner'!$N$15),'Resource Planner'!$M$15,"")</f>
        <v/>
      </c>
    </row>
    <row r="288" ht="15.75" customHeight="1">
      <c r="A2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" s="163" t="str">
        <f>IF(AND('Resource Planner'!$A$15="☑",34&lt;='Resource Planner'!$N$15),'Resource Planner'!$C$15,"")</f>
        <v/>
      </c>
      <c r="C288" s="163" t="str">
        <f>IF(AND('Resource Planner'!$A$15="☑",34&lt;='Resource Planner'!$N$15),'Resource Planner'!$B$15,"")</f>
        <v/>
      </c>
      <c r="D288" s="163" t="str">
        <f>IF(AND('Resource Planner'!$A$15="☑",34&lt;='Resource Planner'!$N$15),'Resource Planner'!$D$15,"")</f>
        <v/>
      </c>
      <c r="E288" s="163" t="str">
        <f>IF(AND('Resource Planner'!$A$15="☑",34&lt;='Resource Planner'!$N$15),'Resource Planner'!$E$15,"")</f>
        <v/>
      </c>
      <c r="F288" s="163" t="str">
        <f>IF(AND('Resource Planner'!$A$15="☑",34&lt;='Resource Planner'!$N$15),'Resource Planner'!$F$15&amp;" "&amp;('Resource Planner'!$G$15+(34-1)*'Resource Planner'!$I$15)&amp;IF(('Resource Planner'!$G$15+(34-1)*'Resource Planner'!$I$15)=MIN('Resource Planner'!$G$15+34*'Resource Planner'!$I$15-1,'Resource Planner'!$H$15),"","–"&amp;MIN('Resource Planner'!$G$15+34*'Resource Planner'!$I$15-1,'Resource Planner'!$H$15)),"")</f>
        <v/>
      </c>
      <c r="G288" s="163" t="s">
        <v>109</v>
      </c>
      <c r="H288" s="163" t="str">
        <f>IF(AND('Resource Planner'!$A$15="☑",34&lt;='Resource Planner'!$N$15),'Resource Planner'!$M$15,"")</f>
        <v/>
      </c>
    </row>
    <row r="289" ht="15.75" customHeight="1">
      <c r="A2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" s="163" t="str">
        <f>IF(AND('Resource Planner'!$A$15="☑",35&lt;='Resource Planner'!$N$15),'Resource Planner'!$C$15,"")</f>
        <v/>
      </c>
      <c r="C289" s="163" t="str">
        <f>IF(AND('Resource Planner'!$A$15="☑",35&lt;='Resource Planner'!$N$15),'Resource Planner'!$B$15,"")</f>
        <v/>
      </c>
      <c r="D289" s="163" t="str">
        <f>IF(AND('Resource Planner'!$A$15="☑",35&lt;='Resource Planner'!$N$15),'Resource Planner'!$D$15,"")</f>
        <v/>
      </c>
      <c r="E289" s="163" t="str">
        <f>IF(AND('Resource Planner'!$A$15="☑",35&lt;='Resource Planner'!$N$15),'Resource Planner'!$E$15,"")</f>
        <v/>
      </c>
      <c r="F289" s="163" t="str">
        <f>IF(AND('Resource Planner'!$A$15="☑",35&lt;='Resource Planner'!$N$15),'Resource Planner'!$F$15&amp;" "&amp;('Resource Planner'!$G$15+(35-1)*'Resource Planner'!$I$15)&amp;IF(('Resource Planner'!$G$15+(35-1)*'Resource Planner'!$I$15)=MIN('Resource Planner'!$G$15+35*'Resource Planner'!$I$15-1,'Resource Planner'!$H$15),"","–"&amp;MIN('Resource Planner'!$G$15+35*'Resource Planner'!$I$15-1,'Resource Planner'!$H$15)),"")</f>
        <v/>
      </c>
      <c r="G289" s="163" t="s">
        <v>109</v>
      </c>
      <c r="H289" s="163" t="str">
        <f>IF(AND('Resource Planner'!$A$15="☑",35&lt;='Resource Planner'!$N$15),'Resource Planner'!$M$15,"")</f>
        <v/>
      </c>
    </row>
    <row r="290" ht="15.75" customHeight="1">
      <c r="A2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" s="163" t="str">
        <f>IF(AND('Resource Planner'!$A$15="☑",36&lt;='Resource Planner'!$N$15),'Resource Planner'!$C$15,"")</f>
        <v/>
      </c>
      <c r="C290" s="163" t="str">
        <f>IF(AND('Resource Planner'!$A$15="☑",36&lt;='Resource Planner'!$N$15),'Resource Planner'!$B$15,"")</f>
        <v/>
      </c>
      <c r="D290" s="163" t="str">
        <f>IF(AND('Resource Planner'!$A$15="☑",36&lt;='Resource Planner'!$N$15),'Resource Planner'!$D$15,"")</f>
        <v/>
      </c>
      <c r="E290" s="163" t="str">
        <f>IF(AND('Resource Planner'!$A$15="☑",36&lt;='Resource Planner'!$N$15),'Resource Planner'!$E$15,"")</f>
        <v/>
      </c>
      <c r="F290" s="163" t="str">
        <f>IF(AND('Resource Planner'!$A$15="☑",36&lt;='Resource Planner'!$N$15),'Resource Planner'!$F$15&amp;" "&amp;('Resource Planner'!$G$15+(36-1)*'Resource Planner'!$I$15)&amp;IF(('Resource Planner'!$G$15+(36-1)*'Resource Planner'!$I$15)=MIN('Resource Planner'!$G$15+36*'Resource Planner'!$I$15-1,'Resource Planner'!$H$15),"","–"&amp;MIN('Resource Planner'!$G$15+36*'Resource Planner'!$I$15-1,'Resource Planner'!$H$15)),"")</f>
        <v/>
      </c>
      <c r="G290" s="163" t="s">
        <v>109</v>
      </c>
      <c r="H290" s="163" t="str">
        <f>IF(AND('Resource Planner'!$A$15="☑",36&lt;='Resource Planner'!$N$15),'Resource Planner'!$M$15,"")</f>
        <v/>
      </c>
    </row>
    <row r="291" ht="15.75" customHeight="1">
      <c r="A2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" s="163" t="str">
        <f>IF(AND('Resource Planner'!$A$15="☑",37&lt;='Resource Planner'!$N$15),'Resource Planner'!$C$15,"")</f>
        <v/>
      </c>
      <c r="C291" s="163" t="str">
        <f>IF(AND('Resource Planner'!$A$15="☑",37&lt;='Resource Planner'!$N$15),'Resource Planner'!$B$15,"")</f>
        <v/>
      </c>
      <c r="D291" s="163" t="str">
        <f>IF(AND('Resource Planner'!$A$15="☑",37&lt;='Resource Planner'!$N$15),'Resource Planner'!$D$15,"")</f>
        <v/>
      </c>
      <c r="E291" s="163" t="str">
        <f>IF(AND('Resource Planner'!$A$15="☑",37&lt;='Resource Planner'!$N$15),'Resource Planner'!$E$15,"")</f>
        <v/>
      </c>
      <c r="F291" s="163" t="str">
        <f>IF(AND('Resource Planner'!$A$15="☑",37&lt;='Resource Planner'!$N$15),'Resource Planner'!$F$15&amp;" "&amp;('Resource Planner'!$G$15+(37-1)*'Resource Planner'!$I$15)&amp;IF(('Resource Planner'!$G$15+(37-1)*'Resource Planner'!$I$15)=MIN('Resource Planner'!$G$15+37*'Resource Planner'!$I$15-1,'Resource Planner'!$H$15),"","–"&amp;MIN('Resource Planner'!$G$15+37*'Resource Planner'!$I$15-1,'Resource Planner'!$H$15)),"")</f>
        <v/>
      </c>
      <c r="G291" s="163" t="s">
        <v>109</v>
      </c>
      <c r="H291" s="163" t="str">
        <f>IF(AND('Resource Planner'!$A$15="☑",37&lt;='Resource Planner'!$N$15),'Resource Planner'!$M$15,"")</f>
        <v/>
      </c>
    </row>
    <row r="292" ht="15.75" customHeight="1">
      <c r="A2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" s="163" t="str">
        <f>IF(AND('Resource Planner'!$A$15="☑",38&lt;='Resource Planner'!$N$15),'Resource Planner'!$C$15,"")</f>
        <v/>
      </c>
      <c r="C292" s="163" t="str">
        <f>IF(AND('Resource Planner'!$A$15="☑",38&lt;='Resource Planner'!$N$15),'Resource Planner'!$B$15,"")</f>
        <v/>
      </c>
      <c r="D292" s="163" t="str">
        <f>IF(AND('Resource Planner'!$A$15="☑",38&lt;='Resource Planner'!$N$15),'Resource Planner'!$D$15,"")</f>
        <v/>
      </c>
      <c r="E292" s="163" t="str">
        <f>IF(AND('Resource Planner'!$A$15="☑",38&lt;='Resource Planner'!$N$15),'Resource Planner'!$E$15,"")</f>
        <v/>
      </c>
      <c r="F292" s="163" t="str">
        <f>IF(AND('Resource Planner'!$A$15="☑",38&lt;='Resource Planner'!$N$15),'Resource Planner'!$F$15&amp;" "&amp;('Resource Planner'!$G$15+(38-1)*'Resource Planner'!$I$15)&amp;IF(('Resource Planner'!$G$15+(38-1)*'Resource Planner'!$I$15)=MIN('Resource Planner'!$G$15+38*'Resource Planner'!$I$15-1,'Resource Planner'!$H$15),"","–"&amp;MIN('Resource Planner'!$G$15+38*'Resource Planner'!$I$15-1,'Resource Planner'!$H$15)),"")</f>
        <v/>
      </c>
      <c r="G292" s="163" t="s">
        <v>109</v>
      </c>
      <c r="H292" s="163" t="str">
        <f>IF(AND('Resource Planner'!$A$15="☑",38&lt;='Resource Planner'!$N$15),'Resource Planner'!$M$15,"")</f>
        <v/>
      </c>
    </row>
    <row r="293" ht="15.75" customHeight="1">
      <c r="A2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" s="163" t="str">
        <f>IF(AND('Resource Planner'!$A$15="☑",39&lt;='Resource Planner'!$N$15),'Resource Planner'!$C$15,"")</f>
        <v/>
      </c>
      <c r="C293" s="163" t="str">
        <f>IF(AND('Resource Planner'!$A$15="☑",39&lt;='Resource Planner'!$N$15),'Resource Planner'!$B$15,"")</f>
        <v/>
      </c>
      <c r="D293" s="163" t="str">
        <f>IF(AND('Resource Planner'!$A$15="☑",39&lt;='Resource Planner'!$N$15),'Resource Planner'!$D$15,"")</f>
        <v/>
      </c>
      <c r="E293" s="163" t="str">
        <f>IF(AND('Resource Planner'!$A$15="☑",39&lt;='Resource Planner'!$N$15),'Resource Planner'!$E$15,"")</f>
        <v/>
      </c>
      <c r="F293" s="163" t="str">
        <f>IF(AND('Resource Planner'!$A$15="☑",39&lt;='Resource Planner'!$N$15),'Resource Planner'!$F$15&amp;" "&amp;('Resource Planner'!$G$15+(39-1)*'Resource Planner'!$I$15)&amp;IF(('Resource Planner'!$G$15+(39-1)*'Resource Planner'!$I$15)=MIN('Resource Planner'!$G$15+39*'Resource Planner'!$I$15-1,'Resource Planner'!$H$15),"","–"&amp;MIN('Resource Planner'!$G$15+39*'Resource Planner'!$I$15-1,'Resource Planner'!$H$15)),"")</f>
        <v/>
      </c>
      <c r="G293" s="163" t="s">
        <v>109</v>
      </c>
      <c r="H293" s="163" t="str">
        <f>IF(AND('Resource Planner'!$A$15="☑",39&lt;='Resource Planner'!$N$15),'Resource Planner'!$M$15,"")</f>
        <v/>
      </c>
    </row>
    <row r="294" ht="15.75" customHeight="1">
      <c r="A2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" s="163" t="str">
        <f>IF(AND('Resource Planner'!$A$15="☑",40&lt;='Resource Planner'!$N$15),'Resource Planner'!$C$15,"")</f>
        <v/>
      </c>
      <c r="C294" s="163" t="str">
        <f>IF(AND('Resource Planner'!$A$15="☑",40&lt;='Resource Planner'!$N$15),'Resource Planner'!$B$15,"")</f>
        <v/>
      </c>
      <c r="D294" s="163" t="str">
        <f>IF(AND('Resource Planner'!$A$15="☑",40&lt;='Resource Planner'!$N$15),'Resource Planner'!$D$15,"")</f>
        <v/>
      </c>
      <c r="E294" s="163" t="str">
        <f>IF(AND('Resource Planner'!$A$15="☑",40&lt;='Resource Planner'!$N$15),'Resource Planner'!$E$15,"")</f>
        <v/>
      </c>
      <c r="F294" s="163" t="str">
        <f>IF(AND('Resource Planner'!$A$15="☑",40&lt;='Resource Planner'!$N$15),'Resource Planner'!$F$15&amp;" "&amp;('Resource Planner'!$G$15+(40-1)*'Resource Planner'!$I$15)&amp;IF(('Resource Planner'!$G$15+(40-1)*'Resource Planner'!$I$15)=MIN('Resource Planner'!$G$15+40*'Resource Planner'!$I$15-1,'Resource Planner'!$H$15),"","–"&amp;MIN('Resource Planner'!$G$15+40*'Resource Planner'!$I$15-1,'Resource Planner'!$H$15)),"")</f>
        <v/>
      </c>
      <c r="G294" s="163" t="s">
        <v>109</v>
      </c>
      <c r="H294" s="163" t="str">
        <f>IF(AND('Resource Planner'!$A$15="☑",40&lt;='Resource Planner'!$N$15),'Resource Planner'!$M$15,"")</f>
        <v/>
      </c>
    </row>
    <row r="295" ht="15.75" customHeight="1">
      <c r="A2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" s="163" t="str">
        <f>IF(AND('Resource Planner'!$A$15="☑",41&lt;='Resource Planner'!$N$15),'Resource Planner'!$C$15,"")</f>
        <v/>
      </c>
      <c r="C295" s="163" t="str">
        <f>IF(AND('Resource Planner'!$A$15="☑",41&lt;='Resource Planner'!$N$15),'Resource Planner'!$B$15,"")</f>
        <v/>
      </c>
      <c r="D295" s="163" t="str">
        <f>IF(AND('Resource Planner'!$A$15="☑",41&lt;='Resource Planner'!$N$15),'Resource Planner'!$D$15,"")</f>
        <v/>
      </c>
      <c r="E295" s="163" t="str">
        <f>IF(AND('Resource Planner'!$A$15="☑",41&lt;='Resource Planner'!$N$15),'Resource Planner'!$E$15,"")</f>
        <v/>
      </c>
      <c r="F295" s="163" t="str">
        <f>IF(AND('Resource Planner'!$A$15="☑",41&lt;='Resource Planner'!$N$15),'Resource Planner'!$F$15&amp;" "&amp;('Resource Planner'!$G$15+(41-1)*'Resource Planner'!$I$15)&amp;IF(('Resource Planner'!$G$15+(41-1)*'Resource Planner'!$I$15)=MIN('Resource Planner'!$G$15+41*'Resource Planner'!$I$15-1,'Resource Planner'!$H$15),"","–"&amp;MIN('Resource Planner'!$G$15+41*'Resource Planner'!$I$15-1,'Resource Planner'!$H$15)),"")</f>
        <v/>
      </c>
      <c r="G295" s="163" t="s">
        <v>109</v>
      </c>
      <c r="H295" s="163" t="str">
        <f>IF(AND('Resource Planner'!$A$15="☑",41&lt;='Resource Planner'!$N$15),'Resource Planner'!$M$15,"")</f>
        <v/>
      </c>
    </row>
    <row r="296" ht="15.75" customHeight="1">
      <c r="A2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" s="163" t="str">
        <f>IF(AND('Resource Planner'!$A$15="☑",42&lt;='Resource Planner'!$N$15),'Resource Planner'!$C$15,"")</f>
        <v/>
      </c>
      <c r="C296" s="163" t="str">
        <f>IF(AND('Resource Planner'!$A$15="☑",42&lt;='Resource Planner'!$N$15),'Resource Planner'!$B$15,"")</f>
        <v/>
      </c>
      <c r="D296" s="163" t="str">
        <f>IF(AND('Resource Planner'!$A$15="☑",42&lt;='Resource Planner'!$N$15),'Resource Planner'!$D$15,"")</f>
        <v/>
      </c>
      <c r="E296" s="163" t="str">
        <f>IF(AND('Resource Planner'!$A$15="☑",42&lt;='Resource Planner'!$N$15),'Resource Planner'!$E$15,"")</f>
        <v/>
      </c>
      <c r="F296" s="163" t="str">
        <f>IF(AND('Resource Planner'!$A$15="☑",42&lt;='Resource Planner'!$N$15),'Resource Planner'!$F$15&amp;" "&amp;('Resource Planner'!$G$15+(42-1)*'Resource Planner'!$I$15)&amp;IF(('Resource Planner'!$G$15+(42-1)*'Resource Planner'!$I$15)=MIN('Resource Planner'!$G$15+42*'Resource Planner'!$I$15-1,'Resource Planner'!$H$15),"","–"&amp;MIN('Resource Planner'!$G$15+42*'Resource Planner'!$I$15-1,'Resource Planner'!$H$15)),"")</f>
        <v/>
      </c>
      <c r="G296" s="163" t="s">
        <v>109</v>
      </c>
      <c r="H296" s="163" t="str">
        <f>IF(AND('Resource Planner'!$A$15="☑",42&lt;='Resource Planner'!$N$15),'Resource Planner'!$M$15,"")</f>
        <v/>
      </c>
    </row>
    <row r="297" ht="15.75" customHeight="1">
      <c r="A2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" s="163" t="str">
        <f>IF(AND('Resource Planner'!$A$15="☑",43&lt;='Resource Planner'!$N$15),'Resource Planner'!$C$15,"")</f>
        <v/>
      </c>
      <c r="C297" s="163" t="str">
        <f>IF(AND('Resource Planner'!$A$15="☑",43&lt;='Resource Planner'!$N$15),'Resource Planner'!$B$15,"")</f>
        <v/>
      </c>
      <c r="D297" s="163" t="str">
        <f>IF(AND('Resource Planner'!$A$15="☑",43&lt;='Resource Planner'!$N$15),'Resource Planner'!$D$15,"")</f>
        <v/>
      </c>
      <c r="E297" s="163" t="str">
        <f>IF(AND('Resource Planner'!$A$15="☑",43&lt;='Resource Planner'!$N$15),'Resource Planner'!$E$15,"")</f>
        <v/>
      </c>
      <c r="F297" s="163" t="str">
        <f>IF(AND('Resource Planner'!$A$15="☑",43&lt;='Resource Planner'!$N$15),'Resource Planner'!$F$15&amp;" "&amp;('Resource Planner'!$G$15+(43-1)*'Resource Planner'!$I$15)&amp;IF(('Resource Planner'!$G$15+(43-1)*'Resource Planner'!$I$15)=MIN('Resource Planner'!$G$15+43*'Resource Planner'!$I$15-1,'Resource Planner'!$H$15),"","–"&amp;MIN('Resource Planner'!$G$15+43*'Resource Planner'!$I$15-1,'Resource Planner'!$H$15)),"")</f>
        <v/>
      </c>
      <c r="G297" s="163" t="s">
        <v>109</v>
      </c>
      <c r="H297" s="163" t="str">
        <f>IF(AND('Resource Planner'!$A$15="☑",43&lt;='Resource Planner'!$N$15),'Resource Planner'!$M$15,"")</f>
        <v/>
      </c>
    </row>
    <row r="298" ht="15.75" customHeight="1">
      <c r="A2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" s="163" t="str">
        <f>IF(AND('Resource Planner'!$A$15="☑",44&lt;='Resource Planner'!$N$15),'Resource Planner'!$C$15,"")</f>
        <v/>
      </c>
      <c r="C298" s="163" t="str">
        <f>IF(AND('Resource Planner'!$A$15="☑",44&lt;='Resource Planner'!$N$15),'Resource Planner'!$B$15,"")</f>
        <v/>
      </c>
      <c r="D298" s="163" t="str">
        <f>IF(AND('Resource Planner'!$A$15="☑",44&lt;='Resource Planner'!$N$15),'Resource Planner'!$D$15,"")</f>
        <v/>
      </c>
      <c r="E298" s="163" t="str">
        <f>IF(AND('Resource Planner'!$A$15="☑",44&lt;='Resource Planner'!$N$15),'Resource Planner'!$E$15,"")</f>
        <v/>
      </c>
      <c r="F298" s="163" t="str">
        <f>IF(AND('Resource Planner'!$A$15="☑",44&lt;='Resource Planner'!$N$15),'Resource Planner'!$F$15&amp;" "&amp;('Resource Planner'!$G$15+(44-1)*'Resource Planner'!$I$15)&amp;IF(('Resource Planner'!$G$15+(44-1)*'Resource Planner'!$I$15)=MIN('Resource Planner'!$G$15+44*'Resource Planner'!$I$15-1,'Resource Planner'!$H$15),"","–"&amp;MIN('Resource Planner'!$G$15+44*'Resource Planner'!$I$15-1,'Resource Planner'!$H$15)),"")</f>
        <v/>
      </c>
      <c r="G298" s="163" t="s">
        <v>109</v>
      </c>
      <c r="H298" s="163" t="str">
        <f>IF(AND('Resource Planner'!$A$15="☑",44&lt;='Resource Planner'!$N$15),'Resource Planner'!$M$15,"")</f>
        <v/>
      </c>
    </row>
    <row r="299" ht="15.75" customHeight="1">
      <c r="A2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" s="163" t="str">
        <f>IF(AND('Resource Planner'!$A$15="☑",45&lt;='Resource Planner'!$N$15),'Resource Planner'!$C$15,"")</f>
        <v/>
      </c>
      <c r="C299" s="163" t="str">
        <f>IF(AND('Resource Planner'!$A$15="☑",45&lt;='Resource Planner'!$N$15),'Resource Planner'!$B$15,"")</f>
        <v/>
      </c>
      <c r="D299" s="163" t="str">
        <f>IF(AND('Resource Planner'!$A$15="☑",45&lt;='Resource Planner'!$N$15),'Resource Planner'!$D$15,"")</f>
        <v/>
      </c>
      <c r="E299" s="163" t="str">
        <f>IF(AND('Resource Planner'!$A$15="☑",45&lt;='Resource Planner'!$N$15),'Resource Planner'!$E$15,"")</f>
        <v/>
      </c>
      <c r="F299" s="163" t="str">
        <f>IF(AND('Resource Planner'!$A$15="☑",45&lt;='Resource Planner'!$N$15),'Resource Planner'!$F$15&amp;" "&amp;('Resource Planner'!$G$15+(45-1)*'Resource Planner'!$I$15)&amp;IF(('Resource Planner'!$G$15+(45-1)*'Resource Planner'!$I$15)=MIN('Resource Planner'!$G$15+45*'Resource Planner'!$I$15-1,'Resource Planner'!$H$15),"","–"&amp;MIN('Resource Planner'!$G$15+45*'Resource Planner'!$I$15-1,'Resource Planner'!$H$15)),"")</f>
        <v/>
      </c>
      <c r="G299" s="163" t="s">
        <v>109</v>
      </c>
      <c r="H299" s="163" t="str">
        <f>IF(AND('Resource Planner'!$A$15="☑",45&lt;='Resource Planner'!$N$15),'Resource Planner'!$M$15,"")</f>
        <v/>
      </c>
    </row>
    <row r="300" ht="15.75" customHeight="1">
      <c r="A3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0" s="163" t="str">
        <f>IF(AND('Resource Planner'!$A$15="☑",46&lt;='Resource Planner'!$N$15),'Resource Planner'!$C$15,"")</f>
        <v/>
      </c>
      <c r="C300" s="163" t="str">
        <f>IF(AND('Resource Planner'!$A$15="☑",46&lt;='Resource Planner'!$N$15),'Resource Planner'!$B$15,"")</f>
        <v/>
      </c>
      <c r="D300" s="163" t="str">
        <f>IF(AND('Resource Planner'!$A$15="☑",46&lt;='Resource Planner'!$N$15),'Resource Planner'!$D$15,"")</f>
        <v/>
      </c>
      <c r="E300" s="163" t="str">
        <f>IF(AND('Resource Planner'!$A$15="☑",46&lt;='Resource Planner'!$N$15),'Resource Planner'!$E$15,"")</f>
        <v/>
      </c>
      <c r="F300" s="163" t="str">
        <f>IF(AND('Resource Planner'!$A$15="☑",46&lt;='Resource Planner'!$N$15),'Resource Planner'!$F$15&amp;" "&amp;('Resource Planner'!$G$15+(46-1)*'Resource Planner'!$I$15)&amp;IF(('Resource Planner'!$G$15+(46-1)*'Resource Planner'!$I$15)=MIN('Resource Planner'!$G$15+46*'Resource Planner'!$I$15-1,'Resource Planner'!$H$15),"","–"&amp;MIN('Resource Planner'!$G$15+46*'Resource Planner'!$I$15-1,'Resource Planner'!$H$15)),"")</f>
        <v/>
      </c>
      <c r="G300" s="163" t="s">
        <v>109</v>
      </c>
      <c r="H300" s="163" t="str">
        <f>IF(AND('Resource Planner'!$A$15="☑",46&lt;='Resource Planner'!$N$15),'Resource Planner'!$M$15,"")</f>
        <v/>
      </c>
    </row>
    <row r="301" ht="15.75" customHeight="1">
      <c r="A3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1" s="163" t="str">
        <f>IF(AND('Resource Planner'!$A$15="☑",47&lt;='Resource Planner'!$N$15),'Resource Planner'!$C$15,"")</f>
        <v/>
      </c>
      <c r="C301" s="163" t="str">
        <f>IF(AND('Resource Planner'!$A$15="☑",47&lt;='Resource Planner'!$N$15),'Resource Planner'!$B$15,"")</f>
        <v/>
      </c>
      <c r="D301" s="163" t="str">
        <f>IF(AND('Resource Planner'!$A$15="☑",47&lt;='Resource Planner'!$N$15),'Resource Planner'!$D$15,"")</f>
        <v/>
      </c>
      <c r="E301" s="163" t="str">
        <f>IF(AND('Resource Planner'!$A$15="☑",47&lt;='Resource Planner'!$N$15),'Resource Planner'!$E$15,"")</f>
        <v/>
      </c>
      <c r="F301" s="163" t="str">
        <f>IF(AND('Resource Planner'!$A$15="☑",47&lt;='Resource Planner'!$N$15),'Resource Planner'!$F$15&amp;" "&amp;('Resource Planner'!$G$15+(47-1)*'Resource Planner'!$I$15)&amp;IF(('Resource Planner'!$G$15+(47-1)*'Resource Planner'!$I$15)=MIN('Resource Planner'!$G$15+47*'Resource Planner'!$I$15-1,'Resource Planner'!$H$15),"","–"&amp;MIN('Resource Planner'!$G$15+47*'Resource Planner'!$I$15-1,'Resource Planner'!$H$15)),"")</f>
        <v/>
      </c>
      <c r="G301" s="163" t="s">
        <v>109</v>
      </c>
      <c r="H301" s="163" t="str">
        <f>IF(AND('Resource Planner'!$A$15="☑",47&lt;='Resource Planner'!$N$15),'Resource Planner'!$M$15,"")</f>
        <v/>
      </c>
    </row>
    <row r="302" ht="15.75" customHeight="1">
      <c r="A3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2" s="163" t="str">
        <f>IF(AND('Resource Planner'!$A$15="☑",48&lt;='Resource Planner'!$N$15),'Resource Planner'!$C$15,"")</f>
        <v/>
      </c>
      <c r="C302" s="163" t="str">
        <f>IF(AND('Resource Planner'!$A$15="☑",48&lt;='Resource Planner'!$N$15),'Resource Planner'!$B$15,"")</f>
        <v/>
      </c>
      <c r="D302" s="163" t="str">
        <f>IF(AND('Resource Planner'!$A$15="☑",48&lt;='Resource Planner'!$N$15),'Resource Planner'!$D$15,"")</f>
        <v/>
      </c>
      <c r="E302" s="163" t="str">
        <f>IF(AND('Resource Planner'!$A$15="☑",48&lt;='Resource Planner'!$N$15),'Resource Planner'!$E$15,"")</f>
        <v/>
      </c>
      <c r="F302" s="163" t="str">
        <f>IF(AND('Resource Planner'!$A$15="☑",48&lt;='Resource Planner'!$N$15),'Resource Planner'!$F$15&amp;" "&amp;('Resource Planner'!$G$15+(48-1)*'Resource Planner'!$I$15)&amp;IF(('Resource Planner'!$G$15+(48-1)*'Resource Planner'!$I$15)=MIN('Resource Planner'!$G$15+48*'Resource Planner'!$I$15-1,'Resource Planner'!$H$15),"","–"&amp;MIN('Resource Planner'!$G$15+48*'Resource Planner'!$I$15-1,'Resource Planner'!$H$15)),"")</f>
        <v/>
      </c>
      <c r="G302" s="163" t="s">
        <v>109</v>
      </c>
      <c r="H302" s="163" t="str">
        <f>IF(AND('Resource Planner'!$A$15="☑",48&lt;='Resource Planner'!$N$15),'Resource Planner'!$M$15,"")</f>
        <v/>
      </c>
    </row>
    <row r="303" ht="15.75" customHeight="1">
      <c r="A3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3" s="163" t="str">
        <f>IF(AND('Resource Planner'!$A$15="☑",49&lt;='Resource Planner'!$N$15),'Resource Planner'!$C$15,"")</f>
        <v/>
      </c>
      <c r="C303" s="163" t="str">
        <f>IF(AND('Resource Planner'!$A$15="☑",49&lt;='Resource Planner'!$N$15),'Resource Planner'!$B$15,"")</f>
        <v/>
      </c>
      <c r="D303" s="163" t="str">
        <f>IF(AND('Resource Planner'!$A$15="☑",49&lt;='Resource Planner'!$N$15),'Resource Planner'!$D$15,"")</f>
        <v/>
      </c>
      <c r="E303" s="163" t="str">
        <f>IF(AND('Resource Planner'!$A$15="☑",49&lt;='Resource Planner'!$N$15),'Resource Planner'!$E$15,"")</f>
        <v/>
      </c>
      <c r="F303" s="163" t="str">
        <f>IF(AND('Resource Planner'!$A$15="☑",49&lt;='Resource Planner'!$N$15),'Resource Planner'!$F$15&amp;" "&amp;('Resource Planner'!$G$15+(49-1)*'Resource Planner'!$I$15)&amp;IF(('Resource Planner'!$G$15+(49-1)*'Resource Planner'!$I$15)=MIN('Resource Planner'!$G$15+49*'Resource Planner'!$I$15-1,'Resource Planner'!$H$15),"","–"&amp;MIN('Resource Planner'!$G$15+49*'Resource Planner'!$I$15-1,'Resource Planner'!$H$15)),"")</f>
        <v/>
      </c>
      <c r="G303" s="163" t="s">
        <v>109</v>
      </c>
      <c r="H303" s="163" t="str">
        <f>IF(AND('Resource Planner'!$A$15="☑",49&lt;='Resource Planner'!$N$15),'Resource Planner'!$M$15,"")</f>
        <v/>
      </c>
    </row>
    <row r="304" ht="15.75" customHeight="1">
      <c r="A3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4" s="163" t="str">
        <f>IF(AND('Resource Planner'!$A$15="☑",50&lt;='Resource Planner'!$N$15),'Resource Planner'!$C$15,"")</f>
        <v/>
      </c>
      <c r="C304" s="163" t="str">
        <f>IF(AND('Resource Planner'!$A$15="☑",50&lt;='Resource Planner'!$N$15),'Resource Planner'!$B$15,"")</f>
        <v/>
      </c>
      <c r="D304" s="163" t="str">
        <f>IF(AND('Resource Planner'!$A$15="☑",50&lt;='Resource Planner'!$N$15),'Resource Planner'!$D$15,"")</f>
        <v/>
      </c>
      <c r="E304" s="163" t="str">
        <f>IF(AND('Resource Planner'!$A$15="☑",50&lt;='Resource Planner'!$N$15),'Resource Planner'!$E$15,"")</f>
        <v/>
      </c>
      <c r="F304" s="163" t="str">
        <f>IF(AND('Resource Planner'!$A$15="☑",50&lt;='Resource Planner'!$N$15),'Resource Planner'!$F$15&amp;" "&amp;('Resource Planner'!$G$15+(50-1)*'Resource Planner'!$I$15)&amp;IF(('Resource Planner'!$G$15+(50-1)*'Resource Planner'!$I$15)=MIN('Resource Planner'!$G$15+50*'Resource Planner'!$I$15-1,'Resource Planner'!$H$15),"","–"&amp;MIN('Resource Planner'!$G$15+50*'Resource Planner'!$I$15-1,'Resource Planner'!$H$15)),"")</f>
        <v/>
      </c>
      <c r="G304" s="163" t="s">
        <v>109</v>
      </c>
      <c r="H304" s="163" t="str">
        <f>IF(AND('Resource Planner'!$A$15="☑",50&lt;='Resource Planner'!$N$15),'Resource Planner'!$M$15,"")</f>
        <v/>
      </c>
    </row>
    <row r="305" ht="15.75" customHeight="1">
      <c r="A30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week"",10*(n-1),""Custom"",gap*(n-1),n-1),IF(AND(active=""☑"",n&lt;=lessons,st&lt;&gt;""""),INDEX(eligibleDates,startPos+offset),"""")),"""")"),46251.0)</f>
        <v>46251</v>
      </c>
      <c r="B305" s="33" t="str">
        <f>IF(AND('Resource Planner'!$A$16="☑",1&lt;='Resource Planner'!$N$16),'Resource Planner'!$C$16,"")</f>
        <v>Everyone</v>
      </c>
      <c r="C305" s="33" t="str">
        <f>IF(AND('Resource Planner'!$A$16="☑",1&lt;='Resource Planner'!$N$16),'Resource Planner'!$B$16,"")</f>
        <v>Reading Loop</v>
      </c>
      <c r="D305" s="33" t="str">
        <f>IF(AND('Resource Planner'!$A$16="☑",1&lt;='Resource Planner'!$N$16),'Resource Planner'!$D$16,"")</f>
        <v>All Together / Literature — Family Read-Aloud</v>
      </c>
      <c r="E305" s="33" t="str">
        <f>IF(AND('Resource Planner'!$A$16="☑",1&lt;='Resource Planner'!$N$16),'Resource Planner'!$E$16,"")</f>
        <v>Charlotte’s Web</v>
      </c>
      <c r="F305" s="163" t="str">
        <f>IF(AND('Resource Planner'!$A$16="☑",1&lt;='Resource Planner'!$N$16),'Resource Planner'!$F$16&amp;" "&amp;('Resource Planner'!$G$16+(1-1)*'Resource Planner'!$I$16)&amp;IF(('Resource Planner'!$G$16+(1-1)*'Resource Planner'!$I$16)=MIN('Resource Planner'!$G$16+1*'Resource Planner'!$I$16-1,'Resource Planner'!$H$16),"","–"&amp;MIN('Resource Planner'!$G$16+1*'Resource Planner'!$I$16-1,'Resource Planner'!$H$16)),"")</f>
        <v>Chapter 1–2</v>
      </c>
      <c r="G305" s="163" t="s">
        <v>109</v>
      </c>
      <c r="H305" s="33" t="str">
        <f>IF(AND('Resource Planner'!$A$16="☑",1&lt;='Resource Planner'!$N$16),'Resource Planner'!$M$16,"")</f>
        <v>sequencing sample</v>
      </c>
    </row>
    <row r="306" ht="15.75" customHeight="1">
      <c r="A30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week"",10*(n-1),""Custom"",gap*(n-1),n-1),IF(AND(active=""☑"",n&lt;=lessons,st&lt;&gt;""""),INDEX(eligibleDates,startPos+offset),"""")),"""")"),46252.0)</f>
        <v>46252</v>
      </c>
      <c r="B306" s="33" t="str">
        <f>IF(AND('Resource Planner'!$A$16="☑",2&lt;='Resource Planner'!$N$16),'Resource Planner'!$C$16,"")</f>
        <v>Everyone</v>
      </c>
      <c r="C306" s="33" t="str">
        <f>IF(AND('Resource Planner'!$A$16="☑",2&lt;='Resource Planner'!$N$16),'Resource Planner'!$B$16,"")</f>
        <v>Reading Loop</v>
      </c>
      <c r="D306" s="33" t="str">
        <f>IF(AND('Resource Planner'!$A$16="☑",2&lt;='Resource Planner'!$N$16),'Resource Planner'!$D$16,"")</f>
        <v>All Together / Literature — Family Read-Aloud</v>
      </c>
      <c r="E306" s="33" t="str">
        <f>IF(AND('Resource Planner'!$A$16="☑",2&lt;='Resource Planner'!$N$16),'Resource Planner'!$E$16,"")</f>
        <v>Charlotte’s Web</v>
      </c>
      <c r="F306" s="163" t="str">
        <f>IF(AND('Resource Planner'!$A$16="☑",2&lt;='Resource Planner'!$N$16),'Resource Planner'!$F$16&amp;" "&amp;('Resource Planner'!$G$16+(2-1)*'Resource Planner'!$I$16)&amp;IF(('Resource Planner'!$G$16+(2-1)*'Resource Planner'!$I$16)=MIN('Resource Planner'!$G$16+2*'Resource Planner'!$I$16-1,'Resource Planner'!$H$16),"","–"&amp;MIN('Resource Planner'!$G$16+2*'Resource Planner'!$I$16-1,'Resource Planner'!$H$16)),"")</f>
        <v>Chapter 3–4</v>
      </c>
      <c r="G306" s="163" t="s">
        <v>109</v>
      </c>
      <c r="H306" s="33" t="str">
        <f>IF(AND('Resource Planner'!$A$16="☑",2&lt;='Resource Planner'!$N$16),'Resource Planner'!$M$16,"")</f>
        <v>sequencing sample</v>
      </c>
    </row>
    <row r="307" ht="15.75" customHeight="1">
      <c r="A30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week"",10*(n-1),""Custom"",gap*(n-1),n-1),IF(AND(active=""☑"",n&lt;=lessons,st&lt;&gt;""""),INDEX(eligibleDates,startPos+offset),"""")),"""")"),46253.0)</f>
        <v>46253</v>
      </c>
      <c r="B307" s="33" t="str">
        <f>IF(AND('Resource Planner'!$A$16="☑",3&lt;='Resource Planner'!$N$16),'Resource Planner'!$C$16,"")</f>
        <v>Everyone</v>
      </c>
      <c r="C307" s="33" t="str">
        <f>IF(AND('Resource Planner'!$A$16="☑",3&lt;='Resource Planner'!$N$16),'Resource Planner'!$B$16,"")</f>
        <v>Reading Loop</v>
      </c>
      <c r="D307" s="33" t="str">
        <f>IF(AND('Resource Planner'!$A$16="☑",3&lt;='Resource Planner'!$N$16),'Resource Planner'!$D$16,"")</f>
        <v>All Together / Literature — Family Read-Aloud</v>
      </c>
      <c r="E307" s="33" t="str">
        <f>IF(AND('Resource Planner'!$A$16="☑",3&lt;='Resource Planner'!$N$16),'Resource Planner'!$E$16,"")</f>
        <v>Charlotte’s Web</v>
      </c>
      <c r="F307" s="163" t="str">
        <f>IF(AND('Resource Planner'!$A$16="☑",3&lt;='Resource Planner'!$N$16),'Resource Planner'!$F$16&amp;" "&amp;('Resource Planner'!$G$16+(3-1)*'Resource Planner'!$I$16)&amp;IF(('Resource Planner'!$G$16+(3-1)*'Resource Planner'!$I$16)=MIN('Resource Planner'!$G$16+3*'Resource Planner'!$I$16-1,'Resource Planner'!$H$16),"","–"&amp;MIN('Resource Planner'!$G$16+3*'Resource Planner'!$I$16-1,'Resource Planner'!$H$16)),"")</f>
        <v>Chapter 5–6</v>
      </c>
      <c r="G307" s="163" t="s">
        <v>109</v>
      </c>
      <c r="H307" s="33" t="str">
        <f>IF(AND('Resource Planner'!$A$16="☑",3&lt;='Resource Planner'!$N$16),'Resource Planner'!$M$16,"")</f>
        <v>sequencing sample</v>
      </c>
    </row>
    <row r="308" ht="15.75" customHeight="1">
      <c r="A30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week"",10*(n-1),""Custom"",gap*(n-1),n-1),IF(AND(active=""☑"",n&lt;=lessons,st&lt;&gt;""""),INDEX(eligibleDates,startPos+offset),"""")),"""")"),46258.0)</f>
        <v>46258</v>
      </c>
      <c r="B308" s="33" t="str">
        <f>IF(AND('Resource Planner'!$A$16="☑",4&lt;='Resource Planner'!$N$16),'Resource Planner'!$C$16,"")</f>
        <v>Everyone</v>
      </c>
      <c r="C308" s="33" t="str">
        <f>IF(AND('Resource Planner'!$A$16="☑",4&lt;='Resource Planner'!$N$16),'Resource Planner'!$B$16,"")</f>
        <v>Reading Loop</v>
      </c>
      <c r="D308" s="33" t="str">
        <f>IF(AND('Resource Planner'!$A$16="☑",4&lt;='Resource Planner'!$N$16),'Resource Planner'!$D$16,"")</f>
        <v>All Together / Literature — Family Read-Aloud</v>
      </c>
      <c r="E308" s="33" t="str">
        <f>IF(AND('Resource Planner'!$A$16="☑",4&lt;='Resource Planner'!$N$16),'Resource Planner'!$E$16,"")</f>
        <v>Charlotte’s Web</v>
      </c>
      <c r="F308" s="163" t="str">
        <f>IF(AND('Resource Planner'!$A$16="☑",4&lt;='Resource Planner'!$N$16),'Resource Planner'!$F$16&amp;" "&amp;('Resource Planner'!$G$16+(4-1)*'Resource Planner'!$I$16)&amp;IF(('Resource Planner'!$G$16+(4-1)*'Resource Planner'!$I$16)=MIN('Resource Planner'!$G$16+4*'Resource Planner'!$I$16-1,'Resource Planner'!$H$16),"","–"&amp;MIN('Resource Planner'!$G$16+4*'Resource Planner'!$I$16-1,'Resource Planner'!$H$16)),"")</f>
        <v>Chapter 7–8</v>
      </c>
      <c r="G308" s="163" t="s">
        <v>109</v>
      </c>
      <c r="H308" s="33" t="str">
        <f>IF(AND('Resource Planner'!$A$16="☑",4&lt;='Resource Planner'!$N$16),'Resource Planner'!$M$16,"")</f>
        <v>sequencing sample</v>
      </c>
    </row>
    <row r="309" ht="15.75" customHeight="1">
      <c r="A30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week"",10*(n-1),""Custom"",gap*(n-1),n-1),IF(AND(active=""☑"",n&lt;=lessons,st&lt;&gt;""""),INDEX(eligibleDates,startPos+offset),"""")),"""")"),46259.0)</f>
        <v>46259</v>
      </c>
      <c r="B309" s="33" t="str">
        <f>IF(AND('Resource Planner'!$A$16="☑",5&lt;='Resource Planner'!$N$16),'Resource Planner'!$C$16,"")</f>
        <v>Everyone</v>
      </c>
      <c r="C309" s="33" t="str">
        <f>IF(AND('Resource Planner'!$A$16="☑",5&lt;='Resource Planner'!$N$16),'Resource Planner'!$B$16,"")</f>
        <v>Reading Loop</v>
      </c>
      <c r="D309" s="33" t="str">
        <f>IF(AND('Resource Planner'!$A$16="☑",5&lt;='Resource Planner'!$N$16),'Resource Planner'!$D$16,"")</f>
        <v>All Together / Literature — Family Read-Aloud</v>
      </c>
      <c r="E309" s="33" t="str">
        <f>IF(AND('Resource Planner'!$A$16="☑",5&lt;='Resource Planner'!$N$16),'Resource Planner'!$E$16,"")</f>
        <v>Charlotte’s Web</v>
      </c>
      <c r="F309" s="163" t="str">
        <f>IF(AND('Resource Planner'!$A$16="☑",5&lt;='Resource Planner'!$N$16),'Resource Planner'!$F$16&amp;" "&amp;('Resource Planner'!$G$16+(5-1)*'Resource Planner'!$I$16)&amp;IF(('Resource Planner'!$G$16+(5-1)*'Resource Planner'!$I$16)=MIN('Resource Planner'!$G$16+5*'Resource Planner'!$I$16-1,'Resource Planner'!$H$16),"","–"&amp;MIN('Resource Planner'!$G$16+5*'Resource Planner'!$I$16-1,'Resource Planner'!$H$16)),"")</f>
        <v>Chapter 9–10</v>
      </c>
      <c r="G309" s="163" t="s">
        <v>109</v>
      </c>
      <c r="H309" s="33" t="str">
        <f>IF(AND('Resource Planner'!$A$16="☑",5&lt;='Resource Planner'!$N$16),'Resource Planner'!$M$16,"")</f>
        <v>sequencing sample</v>
      </c>
    </row>
    <row r="310" ht="15.75" customHeight="1">
      <c r="A31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week"",10*(n-1),""Custom"",gap*(n-1),n-1),IF(AND(active=""☑"",n&lt;=lessons,st&lt;&gt;""""),INDEX(eligibleDates,startPos+offset),"""")),"""")"),46260.0)</f>
        <v>46260</v>
      </c>
      <c r="B310" s="33" t="str">
        <f>IF(AND('Resource Planner'!$A$16="☑",6&lt;='Resource Planner'!$N$16),'Resource Planner'!$C$16,"")</f>
        <v>Everyone</v>
      </c>
      <c r="C310" s="33" t="str">
        <f>IF(AND('Resource Planner'!$A$16="☑",6&lt;='Resource Planner'!$N$16),'Resource Planner'!$B$16,"")</f>
        <v>Reading Loop</v>
      </c>
      <c r="D310" s="33" t="str">
        <f>IF(AND('Resource Planner'!$A$16="☑",6&lt;='Resource Planner'!$N$16),'Resource Planner'!$D$16,"")</f>
        <v>All Together / Literature — Family Read-Aloud</v>
      </c>
      <c r="E310" s="33" t="str">
        <f>IF(AND('Resource Planner'!$A$16="☑",6&lt;='Resource Planner'!$N$16),'Resource Planner'!$E$16,"")</f>
        <v>Charlotte’s Web</v>
      </c>
      <c r="F310" s="163" t="str">
        <f>IF(AND('Resource Planner'!$A$16="☑",6&lt;='Resource Planner'!$N$16),'Resource Planner'!$F$16&amp;" "&amp;('Resource Planner'!$G$16+(6-1)*'Resource Planner'!$I$16)&amp;IF(('Resource Planner'!$G$16+(6-1)*'Resource Planner'!$I$16)=MIN('Resource Planner'!$G$16+6*'Resource Planner'!$I$16-1,'Resource Planner'!$H$16),"","–"&amp;MIN('Resource Planner'!$G$16+6*'Resource Planner'!$I$16-1,'Resource Planner'!$H$16)),"")</f>
        <v>Chapter 11–12</v>
      </c>
      <c r="G310" s="163" t="s">
        <v>109</v>
      </c>
      <c r="H310" s="33" t="str">
        <f>IF(AND('Resource Planner'!$A$16="☑",6&lt;='Resource Planner'!$N$16),'Resource Planner'!$M$16,"")</f>
        <v>sequencing sample</v>
      </c>
    </row>
    <row r="311" ht="15.75" customHeight="1">
      <c r="A31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week"",10*(n-1),""Custom"",gap*(n-1),n-1),IF(AND(active=""☑"",n&lt;=lessons,st&lt;&gt;""""),INDEX(eligibleDates,startPos+offset),"""")),"""")"),46265.0)</f>
        <v>46265</v>
      </c>
      <c r="B311" s="33" t="str">
        <f>IF(AND('Resource Planner'!$A$16="☑",7&lt;='Resource Planner'!$N$16),'Resource Planner'!$C$16,"")</f>
        <v>Everyone</v>
      </c>
      <c r="C311" s="33" t="str">
        <f>IF(AND('Resource Planner'!$A$16="☑",7&lt;='Resource Planner'!$N$16),'Resource Planner'!$B$16,"")</f>
        <v>Reading Loop</v>
      </c>
      <c r="D311" s="33" t="str">
        <f>IF(AND('Resource Planner'!$A$16="☑",7&lt;='Resource Planner'!$N$16),'Resource Planner'!$D$16,"")</f>
        <v>All Together / Literature — Family Read-Aloud</v>
      </c>
      <c r="E311" s="33" t="str">
        <f>IF(AND('Resource Planner'!$A$16="☑",7&lt;='Resource Planner'!$N$16),'Resource Planner'!$E$16,"")</f>
        <v>Charlotte’s Web</v>
      </c>
      <c r="F311" s="163" t="str">
        <f>IF(AND('Resource Planner'!$A$16="☑",7&lt;='Resource Planner'!$N$16),'Resource Planner'!$F$16&amp;" "&amp;('Resource Planner'!$G$16+(7-1)*'Resource Planner'!$I$16)&amp;IF(('Resource Planner'!$G$16+(7-1)*'Resource Planner'!$I$16)=MIN('Resource Planner'!$G$16+7*'Resource Planner'!$I$16-1,'Resource Planner'!$H$16),"","–"&amp;MIN('Resource Planner'!$G$16+7*'Resource Planner'!$I$16-1,'Resource Planner'!$H$16)),"")</f>
        <v>Chapter 13–14</v>
      </c>
      <c r="G311" s="163" t="s">
        <v>109</v>
      </c>
      <c r="H311" s="33" t="str">
        <f>IF(AND('Resource Planner'!$A$16="☑",7&lt;='Resource Planner'!$N$16),'Resource Planner'!$M$16,"")</f>
        <v>sequencing sample</v>
      </c>
    </row>
    <row r="312" ht="15.75" customHeight="1">
      <c r="A31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week"",10*(n-1),""Custom"",gap*(n-1),n-1),IF(AND(active=""☑"",n&lt;=lessons,st&lt;&gt;""""),INDEX(eligibleDates,startPos+offset),"""")),"""")"),46266.0)</f>
        <v>46266</v>
      </c>
      <c r="B312" s="33" t="str">
        <f>IF(AND('Resource Planner'!$A$16="☑",8&lt;='Resource Planner'!$N$16),'Resource Planner'!$C$16,"")</f>
        <v>Everyone</v>
      </c>
      <c r="C312" s="33" t="str">
        <f>IF(AND('Resource Planner'!$A$16="☑",8&lt;='Resource Planner'!$N$16),'Resource Planner'!$B$16,"")</f>
        <v>Reading Loop</v>
      </c>
      <c r="D312" s="33" t="str">
        <f>IF(AND('Resource Planner'!$A$16="☑",8&lt;='Resource Planner'!$N$16),'Resource Planner'!$D$16,"")</f>
        <v>All Together / Literature — Family Read-Aloud</v>
      </c>
      <c r="E312" s="33" t="str">
        <f>IF(AND('Resource Planner'!$A$16="☑",8&lt;='Resource Planner'!$N$16),'Resource Planner'!$E$16,"")</f>
        <v>Charlotte’s Web</v>
      </c>
      <c r="F312" s="163" t="str">
        <f>IF(AND('Resource Planner'!$A$16="☑",8&lt;='Resource Planner'!$N$16),'Resource Planner'!$F$16&amp;" "&amp;('Resource Planner'!$G$16+(8-1)*'Resource Planner'!$I$16)&amp;IF(('Resource Planner'!$G$16+(8-1)*'Resource Planner'!$I$16)=MIN('Resource Planner'!$G$16+8*'Resource Planner'!$I$16-1,'Resource Planner'!$H$16),"","–"&amp;MIN('Resource Planner'!$G$16+8*'Resource Planner'!$I$16-1,'Resource Planner'!$H$16)),"")</f>
        <v>Chapter 15–16</v>
      </c>
      <c r="G312" s="163" t="s">
        <v>109</v>
      </c>
      <c r="H312" s="33" t="str">
        <f>IF(AND('Resource Planner'!$A$16="☑",8&lt;='Resource Planner'!$N$16),'Resource Planner'!$M$16,"")</f>
        <v>sequencing sample</v>
      </c>
    </row>
    <row r="313" ht="15.75" customHeight="1">
      <c r="A31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week"",10*(n-1),""Custom"",gap*(n-1),n-1),IF(AND(active=""☑"",n&lt;=lessons,st&lt;&gt;""""),INDEX(eligibleDates,startPos+offset),"""")),"""")"),46267.0)</f>
        <v>46267</v>
      </c>
      <c r="B313" s="33" t="str">
        <f>IF(AND('Resource Planner'!$A$16="☑",9&lt;='Resource Planner'!$N$16),'Resource Planner'!$C$16,"")</f>
        <v>Everyone</v>
      </c>
      <c r="C313" s="33" t="str">
        <f>IF(AND('Resource Planner'!$A$16="☑",9&lt;='Resource Planner'!$N$16),'Resource Planner'!$B$16,"")</f>
        <v>Reading Loop</v>
      </c>
      <c r="D313" s="33" t="str">
        <f>IF(AND('Resource Planner'!$A$16="☑",9&lt;='Resource Planner'!$N$16),'Resource Planner'!$D$16,"")</f>
        <v>All Together / Literature — Family Read-Aloud</v>
      </c>
      <c r="E313" s="33" t="str">
        <f>IF(AND('Resource Planner'!$A$16="☑",9&lt;='Resource Planner'!$N$16),'Resource Planner'!$E$16,"")</f>
        <v>Charlotte’s Web</v>
      </c>
      <c r="F313" s="163" t="str">
        <f>IF(AND('Resource Planner'!$A$16="☑",9&lt;='Resource Planner'!$N$16),'Resource Planner'!$F$16&amp;" "&amp;('Resource Planner'!$G$16+(9-1)*'Resource Planner'!$I$16)&amp;IF(('Resource Planner'!$G$16+(9-1)*'Resource Planner'!$I$16)=MIN('Resource Planner'!$G$16+9*'Resource Planner'!$I$16-1,'Resource Planner'!$H$16),"","–"&amp;MIN('Resource Planner'!$G$16+9*'Resource Planner'!$I$16-1,'Resource Planner'!$H$16)),"")</f>
        <v>Chapter 17–18</v>
      </c>
      <c r="G313" s="163" t="s">
        <v>109</v>
      </c>
      <c r="H313" s="33" t="str">
        <f>IF(AND('Resource Planner'!$A$16="☑",9&lt;='Resource Planner'!$N$16),'Resource Planner'!$M$16,"")</f>
        <v>sequencing sample</v>
      </c>
    </row>
    <row r="314" ht="15.75" customHeight="1">
      <c r="A31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week"",10*(n-1),""Custom"",gap*(n-1),n-1),IF(AND(active=""☑"",n&lt;=lessons,st&lt;&gt;""""),INDEX(eligibleDates,startPos+offset),"""")),"""")"),46272.0)</f>
        <v>46272</v>
      </c>
      <c r="B314" s="33" t="str">
        <f>IF(AND('Resource Planner'!$A$16="☑",10&lt;='Resource Planner'!$N$16),'Resource Planner'!$C$16,"")</f>
        <v>Everyone</v>
      </c>
      <c r="C314" s="33" t="str">
        <f>IF(AND('Resource Planner'!$A$16="☑",10&lt;='Resource Planner'!$N$16),'Resource Planner'!$B$16,"")</f>
        <v>Reading Loop</v>
      </c>
      <c r="D314" s="33" t="str">
        <f>IF(AND('Resource Planner'!$A$16="☑",10&lt;='Resource Planner'!$N$16),'Resource Planner'!$D$16,"")</f>
        <v>All Together / Literature — Family Read-Aloud</v>
      </c>
      <c r="E314" s="33" t="str">
        <f>IF(AND('Resource Planner'!$A$16="☑",10&lt;='Resource Planner'!$N$16),'Resource Planner'!$E$16,"")</f>
        <v>Charlotte’s Web</v>
      </c>
      <c r="F314" s="163" t="str">
        <f>IF(AND('Resource Planner'!$A$16="☑",10&lt;='Resource Planner'!$N$16),'Resource Planner'!$F$16&amp;" "&amp;('Resource Planner'!$G$16+(10-1)*'Resource Planner'!$I$16)&amp;IF(('Resource Planner'!$G$16+(10-1)*'Resource Planner'!$I$16)=MIN('Resource Planner'!$G$16+10*'Resource Planner'!$I$16-1,'Resource Planner'!$H$16),"","–"&amp;MIN('Resource Planner'!$G$16+10*'Resource Planner'!$I$16-1,'Resource Planner'!$H$16)),"")</f>
        <v>Chapter 19–20</v>
      </c>
      <c r="G314" s="163" t="s">
        <v>109</v>
      </c>
      <c r="H314" s="33" t="str">
        <f>IF(AND('Resource Planner'!$A$16="☑",10&lt;='Resource Planner'!$N$16),'Resource Planner'!$M$16,"")</f>
        <v>sequencing sample</v>
      </c>
    </row>
    <row r="315" ht="15.75" customHeight="1">
      <c r="A31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week"",10*(n-1),""Custom"",gap*(n-1),n-1),IF(AND(active=""☑"",n&lt;=lessons,st&lt;&gt;""""),INDEX(eligibleDates,startPos+offset),"""")),"""")"),46273.0)</f>
        <v>46273</v>
      </c>
      <c r="B315" s="33" t="str">
        <f>IF(AND('Resource Planner'!$A$16="☑",11&lt;='Resource Planner'!$N$16),'Resource Planner'!$C$16,"")</f>
        <v>Everyone</v>
      </c>
      <c r="C315" s="33" t="str">
        <f>IF(AND('Resource Planner'!$A$16="☑",11&lt;='Resource Planner'!$N$16),'Resource Planner'!$B$16,"")</f>
        <v>Reading Loop</v>
      </c>
      <c r="D315" s="33" t="str">
        <f>IF(AND('Resource Planner'!$A$16="☑",11&lt;='Resource Planner'!$N$16),'Resource Planner'!$D$16,"")</f>
        <v>All Together / Literature — Family Read-Aloud</v>
      </c>
      <c r="E315" s="33" t="str">
        <f>IF(AND('Resource Planner'!$A$16="☑",11&lt;='Resource Planner'!$N$16),'Resource Planner'!$E$16,"")</f>
        <v>Charlotte’s Web</v>
      </c>
      <c r="F315" s="163" t="str">
        <f>IF(AND('Resource Planner'!$A$16="☑",11&lt;='Resource Planner'!$N$16),'Resource Planner'!$F$16&amp;" "&amp;('Resource Planner'!$G$16+(11-1)*'Resource Planner'!$I$16)&amp;IF(('Resource Planner'!$G$16+(11-1)*'Resource Planner'!$I$16)=MIN('Resource Planner'!$G$16+11*'Resource Planner'!$I$16-1,'Resource Planner'!$H$16),"","–"&amp;MIN('Resource Planner'!$G$16+11*'Resource Planner'!$I$16-1,'Resource Planner'!$H$16)),"")</f>
        <v>Chapter 21–22</v>
      </c>
      <c r="G315" s="163" t="s">
        <v>109</v>
      </c>
      <c r="H315" s="33" t="str">
        <f>IF(AND('Resource Planner'!$A$16="☑",11&lt;='Resource Planner'!$N$16),'Resource Planner'!$M$16,"")</f>
        <v>sequencing sample</v>
      </c>
    </row>
    <row r="316" ht="15.75" customHeight="1">
      <c r="A3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16" s="163" t="str">
        <f>IF(AND('Resource Planner'!$A$16="☑",12&lt;='Resource Planner'!$N$16),'Resource Planner'!$C$16,"")</f>
        <v/>
      </c>
      <c r="C316" s="163" t="str">
        <f>IF(AND('Resource Planner'!$A$16="☑",12&lt;='Resource Planner'!$N$16),'Resource Planner'!$B$16,"")</f>
        <v/>
      </c>
      <c r="D316" s="163" t="str">
        <f>IF(AND('Resource Planner'!$A$16="☑",12&lt;='Resource Planner'!$N$16),'Resource Planner'!$D$16,"")</f>
        <v/>
      </c>
      <c r="E316" s="163" t="str">
        <f>IF(AND('Resource Planner'!$A$16="☑",12&lt;='Resource Planner'!$N$16),'Resource Planner'!$E$16,"")</f>
        <v/>
      </c>
      <c r="F316" s="163" t="str">
        <f>IF(AND('Resource Planner'!$A$16="☑",12&lt;='Resource Planner'!$N$16),'Resource Planner'!$F$16&amp;" "&amp;('Resource Planner'!$G$16+(12-1)*'Resource Planner'!$I$16)&amp;IF(('Resource Planner'!$G$16+(12-1)*'Resource Planner'!$I$16)=MIN('Resource Planner'!$G$16+12*'Resource Planner'!$I$16-1,'Resource Planner'!$H$16),"","–"&amp;MIN('Resource Planner'!$G$16+12*'Resource Planner'!$I$16-1,'Resource Planner'!$H$16)),"")</f>
        <v/>
      </c>
      <c r="G316" s="163" t="s">
        <v>109</v>
      </c>
      <c r="H316" s="163" t="str">
        <f>IF(AND('Resource Planner'!$A$16="☑",12&lt;='Resource Planner'!$N$16),'Resource Planner'!$M$16,"")</f>
        <v/>
      </c>
    </row>
    <row r="317" ht="15.75" customHeight="1">
      <c r="A3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17" s="163" t="str">
        <f>IF(AND('Resource Planner'!$A$16="☑",13&lt;='Resource Planner'!$N$16),'Resource Planner'!$C$16,"")</f>
        <v/>
      </c>
      <c r="C317" s="163" t="str">
        <f>IF(AND('Resource Planner'!$A$16="☑",13&lt;='Resource Planner'!$N$16),'Resource Planner'!$B$16,"")</f>
        <v/>
      </c>
      <c r="D317" s="163" t="str">
        <f>IF(AND('Resource Planner'!$A$16="☑",13&lt;='Resource Planner'!$N$16),'Resource Planner'!$D$16,"")</f>
        <v/>
      </c>
      <c r="E317" s="163" t="str">
        <f>IF(AND('Resource Planner'!$A$16="☑",13&lt;='Resource Planner'!$N$16),'Resource Planner'!$E$16,"")</f>
        <v/>
      </c>
      <c r="F317" s="163" t="str">
        <f>IF(AND('Resource Planner'!$A$16="☑",13&lt;='Resource Planner'!$N$16),'Resource Planner'!$F$16&amp;" "&amp;('Resource Planner'!$G$16+(13-1)*'Resource Planner'!$I$16)&amp;IF(('Resource Planner'!$G$16+(13-1)*'Resource Planner'!$I$16)=MIN('Resource Planner'!$G$16+13*'Resource Planner'!$I$16-1,'Resource Planner'!$H$16),"","–"&amp;MIN('Resource Planner'!$G$16+13*'Resource Planner'!$I$16-1,'Resource Planner'!$H$16)),"")</f>
        <v/>
      </c>
      <c r="G317" s="163" t="s">
        <v>109</v>
      </c>
      <c r="H317" s="163" t="str">
        <f>IF(AND('Resource Planner'!$A$16="☑",13&lt;='Resource Planner'!$N$16),'Resource Planner'!$M$16,"")</f>
        <v/>
      </c>
    </row>
    <row r="318" ht="15.75" customHeight="1">
      <c r="A3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18" s="163" t="str">
        <f>IF(AND('Resource Planner'!$A$16="☑",14&lt;='Resource Planner'!$N$16),'Resource Planner'!$C$16,"")</f>
        <v/>
      </c>
      <c r="C318" s="163" t="str">
        <f>IF(AND('Resource Planner'!$A$16="☑",14&lt;='Resource Planner'!$N$16),'Resource Planner'!$B$16,"")</f>
        <v/>
      </c>
      <c r="D318" s="163" t="str">
        <f>IF(AND('Resource Planner'!$A$16="☑",14&lt;='Resource Planner'!$N$16),'Resource Planner'!$D$16,"")</f>
        <v/>
      </c>
      <c r="E318" s="163" t="str">
        <f>IF(AND('Resource Planner'!$A$16="☑",14&lt;='Resource Planner'!$N$16),'Resource Planner'!$E$16,"")</f>
        <v/>
      </c>
      <c r="F318" s="163" t="str">
        <f>IF(AND('Resource Planner'!$A$16="☑",14&lt;='Resource Planner'!$N$16),'Resource Planner'!$F$16&amp;" "&amp;('Resource Planner'!$G$16+(14-1)*'Resource Planner'!$I$16)&amp;IF(('Resource Planner'!$G$16+(14-1)*'Resource Planner'!$I$16)=MIN('Resource Planner'!$G$16+14*'Resource Planner'!$I$16-1,'Resource Planner'!$H$16),"","–"&amp;MIN('Resource Planner'!$G$16+14*'Resource Planner'!$I$16-1,'Resource Planner'!$H$16)),"")</f>
        <v/>
      </c>
      <c r="G318" s="163" t="s">
        <v>109</v>
      </c>
      <c r="H318" s="163" t="str">
        <f>IF(AND('Resource Planner'!$A$16="☑",14&lt;='Resource Planner'!$N$16),'Resource Planner'!$M$16,"")</f>
        <v/>
      </c>
    </row>
    <row r="319" ht="15.75" customHeight="1">
      <c r="A3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19" s="163" t="str">
        <f>IF(AND('Resource Planner'!$A$16="☑",15&lt;='Resource Planner'!$N$16),'Resource Planner'!$C$16,"")</f>
        <v/>
      </c>
      <c r="C319" s="163" t="str">
        <f>IF(AND('Resource Planner'!$A$16="☑",15&lt;='Resource Planner'!$N$16),'Resource Planner'!$B$16,"")</f>
        <v/>
      </c>
      <c r="D319" s="163" t="str">
        <f>IF(AND('Resource Planner'!$A$16="☑",15&lt;='Resource Planner'!$N$16),'Resource Planner'!$D$16,"")</f>
        <v/>
      </c>
      <c r="E319" s="163" t="str">
        <f>IF(AND('Resource Planner'!$A$16="☑",15&lt;='Resource Planner'!$N$16),'Resource Planner'!$E$16,"")</f>
        <v/>
      </c>
      <c r="F319" s="163" t="str">
        <f>IF(AND('Resource Planner'!$A$16="☑",15&lt;='Resource Planner'!$N$16),'Resource Planner'!$F$16&amp;" "&amp;('Resource Planner'!$G$16+(15-1)*'Resource Planner'!$I$16)&amp;IF(('Resource Planner'!$G$16+(15-1)*'Resource Planner'!$I$16)=MIN('Resource Planner'!$G$16+15*'Resource Planner'!$I$16-1,'Resource Planner'!$H$16),"","–"&amp;MIN('Resource Planner'!$G$16+15*'Resource Planner'!$I$16-1,'Resource Planner'!$H$16)),"")</f>
        <v/>
      </c>
      <c r="G319" s="163" t="s">
        <v>109</v>
      </c>
      <c r="H319" s="163" t="str">
        <f>IF(AND('Resource Planner'!$A$16="☑",15&lt;='Resource Planner'!$N$16),'Resource Planner'!$M$16,"")</f>
        <v/>
      </c>
    </row>
    <row r="320" ht="15.75" customHeight="1">
      <c r="A3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0" s="163" t="str">
        <f>IF(AND('Resource Planner'!$A$16="☑",16&lt;='Resource Planner'!$N$16),'Resource Planner'!$C$16,"")</f>
        <v/>
      </c>
      <c r="C320" s="163" t="str">
        <f>IF(AND('Resource Planner'!$A$16="☑",16&lt;='Resource Planner'!$N$16),'Resource Planner'!$B$16,"")</f>
        <v/>
      </c>
      <c r="D320" s="163" t="str">
        <f>IF(AND('Resource Planner'!$A$16="☑",16&lt;='Resource Planner'!$N$16),'Resource Planner'!$D$16,"")</f>
        <v/>
      </c>
      <c r="E320" s="163" t="str">
        <f>IF(AND('Resource Planner'!$A$16="☑",16&lt;='Resource Planner'!$N$16),'Resource Planner'!$E$16,"")</f>
        <v/>
      </c>
      <c r="F320" s="163" t="str">
        <f>IF(AND('Resource Planner'!$A$16="☑",16&lt;='Resource Planner'!$N$16),'Resource Planner'!$F$16&amp;" "&amp;('Resource Planner'!$G$16+(16-1)*'Resource Planner'!$I$16)&amp;IF(('Resource Planner'!$G$16+(16-1)*'Resource Planner'!$I$16)=MIN('Resource Planner'!$G$16+16*'Resource Planner'!$I$16-1,'Resource Planner'!$H$16),"","–"&amp;MIN('Resource Planner'!$G$16+16*'Resource Planner'!$I$16-1,'Resource Planner'!$H$16)),"")</f>
        <v/>
      </c>
      <c r="G320" s="163" t="s">
        <v>109</v>
      </c>
      <c r="H320" s="163" t="str">
        <f>IF(AND('Resource Planner'!$A$16="☑",16&lt;='Resource Planner'!$N$16),'Resource Planner'!$M$16,"")</f>
        <v/>
      </c>
    </row>
    <row r="321" ht="15.75" customHeight="1">
      <c r="A3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1" s="163" t="str">
        <f>IF(AND('Resource Planner'!$A$16="☑",17&lt;='Resource Planner'!$N$16),'Resource Planner'!$C$16,"")</f>
        <v/>
      </c>
      <c r="C321" s="163" t="str">
        <f>IF(AND('Resource Planner'!$A$16="☑",17&lt;='Resource Planner'!$N$16),'Resource Planner'!$B$16,"")</f>
        <v/>
      </c>
      <c r="D321" s="163" t="str">
        <f>IF(AND('Resource Planner'!$A$16="☑",17&lt;='Resource Planner'!$N$16),'Resource Planner'!$D$16,"")</f>
        <v/>
      </c>
      <c r="E321" s="163" t="str">
        <f>IF(AND('Resource Planner'!$A$16="☑",17&lt;='Resource Planner'!$N$16),'Resource Planner'!$E$16,"")</f>
        <v/>
      </c>
      <c r="F321" s="163" t="str">
        <f>IF(AND('Resource Planner'!$A$16="☑",17&lt;='Resource Planner'!$N$16),'Resource Planner'!$F$16&amp;" "&amp;('Resource Planner'!$G$16+(17-1)*'Resource Planner'!$I$16)&amp;IF(('Resource Planner'!$G$16+(17-1)*'Resource Planner'!$I$16)=MIN('Resource Planner'!$G$16+17*'Resource Planner'!$I$16-1,'Resource Planner'!$H$16),"","–"&amp;MIN('Resource Planner'!$G$16+17*'Resource Planner'!$I$16-1,'Resource Planner'!$H$16)),"")</f>
        <v/>
      </c>
      <c r="G321" s="163" t="s">
        <v>109</v>
      </c>
      <c r="H321" s="163" t="str">
        <f>IF(AND('Resource Planner'!$A$16="☑",17&lt;='Resource Planner'!$N$16),'Resource Planner'!$M$16,"")</f>
        <v/>
      </c>
    </row>
    <row r="322" ht="15.75" customHeight="1">
      <c r="A3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2" s="163" t="str">
        <f>IF(AND('Resource Planner'!$A$16="☑",18&lt;='Resource Planner'!$N$16),'Resource Planner'!$C$16,"")</f>
        <v/>
      </c>
      <c r="C322" s="163" t="str">
        <f>IF(AND('Resource Planner'!$A$16="☑",18&lt;='Resource Planner'!$N$16),'Resource Planner'!$B$16,"")</f>
        <v/>
      </c>
      <c r="D322" s="163" t="str">
        <f>IF(AND('Resource Planner'!$A$16="☑",18&lt;='Resource Planner'!$N$16),'Resource Planner'!$D$16,"")</f>
        <v/>
      </c>
      <c r="E322" s="163" t="str">
        <f>IF(AND('Resource Planner'!$A$16="☑",18&lt;='Resource Planner'!$N$16),'Resource Planner'!$E$16,"")</f>
        <v/>
      </c>
      <c r="F322" s="163" t="str">
        <f>IF(AND('Resource Planner'!$A$16="☑",18&lt;='Resource Planner'!$N$16),'Resource Planner'!$F$16&amp;" "&amp;('Resource Planner'!$G$16+(18-1)*'Resource Planner'!$I$16)&amp;IF(('Resource Planner'!$G$16+(18-1)*'Resource Planner'!$I$16)=MIN('Resource Planner'!$G$16+18*'Resource Planner'!$I$16-1,'Resource Planner'!$H$16),"","–"&amp;MIN('Resource Planner'!$G$16+18*'Resource Planner'!$I$16-1,'Resource Planner'!$H$16)),"")</f>
        <v/>
      </c>
      <c r="G322" s="163" t="s">
        <v>109</v>
      </c>
      <c r="H322" s="163" t="str">
        <f>IF(AND('Resource Planner'!$A$16="☑",18&lt;='Resource Planner'!$N$16),'Resource Planner'!$M$16,"")</f>
        <v/>
      </c>
    </row>
    <row r="323" ht="15.75" customHeight="1">
      <c r="A3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3" s="163" t="str">
        <f>IF(AND('Resource Planner'!$A$16="☑",19&lt;='Resource Planner'!$N$16),'Resource Planner'!$C$16,"")</f>
        <v/>
      </c>
      <c r="C323" s="163" t="str">
        <f>IF(AND('Resource Planner'!$A$16="☑",19&lt;='Resource Planner'!$N$16),'Resource Planner'!$B$16,"")</f>
        <v/>
      </c>
      <c r="D323" s="163" t="str">
        <f>IF(AND('Resource Planner'!$A$16="☑",19&lt;='Resource Planner'!$N$16),'Resource Planner'!$D$16,"")</f>
        <v/>
      </c>
      <c r="E323" s="163" t="str">
        <f>IF(AND('Resource Planner'!$A$16="☑",19&lt;='Resource Planner'!$N$16),'Resource Planner'!$E$16,"")</f>
        <v/>
      </c>
      <c r="F323" s="163" t="str">
        <f>IF(AND('Resource Planner'!$A$16="☑",19&lt;='Resource Planner'!$N$16),'Resource Planner'!$F$16&amp;" "&amp;('Resource Planner'!$G$16+(19-1)*'Resource Planner'!$I$16)&amp;IF(('Resource Planner'!$G$16+(19-1)*'Resource Planner'!$I$16)=MIN('Resource Planner'!$G$16+19*'Resource Planner'!$I$16-1,'Resource Planner'!$H$16),"","–"&amp;MIN('Resource Planner'!$G$16+19*'Resource Planner'!$I$16-1,'Resource Planner'!$H$16)),"")</f>
        <v/>
      </c>
      <c r="G323" s="163" t="s">
        <v>109</v>
      </c>
      <c r="H323" s="163" t="str">
        <f>IF(AND('Resource Planner'!$A$16="☑",19&lt;='Resource Planner'!$N$16),'Resource Planner'!$M$16,"")</f>
        <v/>
      </c>
    </row>
    <row r="324" ht="15.75" customHeight="1">
      <c r="A3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4" s="163" t="str">
        <f>IF(AND('Resource Planner'!$A$16="☑",20&lt;='Resource Planner'!$N$16),'Resource Planner'!$C$16,"")</f>
        <v/>
      </c>
      <c r="C324" s="163" t="str">
        <f>IF(AND('Resource Planner'!$A$16="☑",20&lt;='Resource Planner'!$N$16),'Resource Planner'!$B$16,"")</f>
        <v/>
      </c>
      <c r="D324" s="163" t="str">
        <f>IF(AND('Resource Planner'!$A$16="☑",20&lt;='Resource Planner'!$N$16),'Resource Planner'!$D$16,"")</f>
        <v/>
      </c>
      <c r="E324" s="163" t="str">
        <f>IF(AND('Resource Planner'!$A$16="☑",20&lt;='Resource Planner'!$N$16),'Resource Planner'!$E$16,"")</f>
        <v/>
      </c>
      <c r="F324" s="163" t="str">
        <f>IF(AND('Resource Planner'!$A$16="☑",20&lt;='Resource Planner'!$N$16),'Resource Planner'!$F$16&amp;" "&amp;('Resource Planner'!$G$16+(20-1)*'Resource Planner'!$I$16)&amp;IF(('Resource Planner'!$G$16+(20-1)*'Resource Planner'!$I$16)=MIN('Resource Planner'!$G$16+20*'Resource Planner'!$I$16-1,'Resource Planner'!$H$16),"","–"&amp;MIN('Resource Planner'!$G$16+20*'Resource Planner'!$I$16-1,'Resource Planner'!$H$16)),"")</f>
        <v/>
      </c>
      <c r="G324" s="163" t="s">
        <v>109</v>
      </c>
      <c r="H324" s="163" t="str">
        <f>IF(AND('Resource Planner'!$A$16="☑",20&lt;='Resource Planner'!$N$16),'Resource Planner'!$M$16,"")</f>
        <v/>
      </c>
    </row>
    <row r="325" ht="15.75" customHeight="1">
      <c r="A3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5" s="163" t="str">
        <f>IF(AND('Resource Planner'!$A$16="☑",21&lt;='Resource Planner'!$N$16),'Resource Planner'!$C$16,"")</f>
        <v/>
      </c>
      <c r="C325" s="163" t="str">
        <f>IF(AND('Resource Planner'!$A$16="☑",21&lt;='Resource Planner'!$N$16),'Resource Planner'!$B$16,"")</f>
        <v/>
      </c>
      <c r="D325" s="163" t="str">
        <f>IF(AND('Resource Planner'!$A$16="☑",21&lt;='Resource Planner'!$N$16),'Resource Planner'!$D$16,"")</f>
        <v/>
      </c>
      <c r="E325" s="163" t="str">
        <f>IF(AND('Resource Planner'!$A$16="☑",21&lt;='Resource Planner'!$N$16),'Resource Planner'!$E$16,"")</f>
        <v/>
      </c>
      <c r="F325" s="163" t="str">
        <f>IF(AND('Resource Planner'!$A$16="☑",21&lt;='Resource Planner'!$N$16),'Resource Planner'!$F$16&amp;" "&amp;('Resource Planner'!$G$16+(21-1)*'Resource Planner'!$I$16)&amp;IF(('Resource Planner'!$G$16+(21-1)*'Resource Planner'!$I$16)=MIN('Resource Planner'!$G$16+21*'Resource Planner'!$I$16-1,'Resource Planner'!$H$16),"","–"&amp;MIN('Resource Planner'!$G$16+21*'Resource Planner'!$I$16-1,'Resource Planner'!$H$16)),"")</f>
        <v/>
      </c>
      <c r="G325" s="163" t="s">
        <v>109</v>
      </c>
      <c r="H325" s="163" t="str">
        <f>IF(AND('Resource Planner'!$A$16="☑",21&lt;='Resource Planner'!$N$16),'Resource Planner'!$M$16,"")</f>
        <v/>
      </c>
    </row>
    <row r="326" ht="15.75" customHeight="1">
      <c r="A3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6" s="163" t="str">
        <f>IF(AND('Resource Planner'!$A$16="☑",22&lt;='Resource Planner'!$N$16),'Resource Planner'!$C$16,"")</f>
        <v/>
      </c>
      <c r="C326" s="163" t="str">
        <f>IF(AND('Resource Planner'!$A$16="☑",22&lt;='Resource Planner'!$N$16),'Resource Planner'!$B$16,"")</f>
        <v/>
      </c>
      <c r="D326" s="163" t="str">
        <f>IF(AND('Resource Planner'!$A$16="☑",22&lt;='Resource Planner'!$N$16),'Resource Planner'!$D$16,"")</f>
        <v/>
      </c>
      <c r="E326" s="163" t="str">
        <f>IF(AND('Resource Planner'!$A$16="☑",22&lt;='Resource Planner'!$N$16),'Resource Planner'!$E$16,"")</f>
        <v/>
      </c>
      <c r="F326" s="163" t="str">
        <f>IF(AND('Resource Planner'!$A$16="☑",22&lt;='Resource Planner'!$N$16),'Resource Planner'!$F$16&amp;" "&amp;('Resource Planner'!$G$16+(22-1)*'Resource Planner'!$I$16)&amp;IF(('Resource Planner'!$G$16+(22-1)*'Resource Planner'!$I$16)=MIN('Resource Planner'!$G$16+22*'Resource Planner'!$I$16-1,'Resource Planner'!$H$16),"","–"&amp;MIN('Resource Planner'!$G$16+22*'Resource Planner'!$I$16-1,'Resource Planner'!$H$16)),"")</f>
        <v/>
      </c>
      <c r="G326" s="163" t="s">
        <v>109</v>
      </c>
      <c r="H326" s="163" t="str">
        <f>IF(AND('Resource Planner'!$A$16="☑",22&lt;='Resource Planner'!$N$16),'Resource Planner'!$M$16,"")</f>
        <v/>
      </c>
    </row>
    <row r="327" ht="15.75" customHeight="1">
      <c r="A3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7" s="163" t="str">
        <f>IF(AND('Resource Planner'!$A$16="☑",23&lt;='Resource Planner'!$N$16),'Resource Planner'!$C$16,"")</f>
        <v/>
      </c>
      <c r="C327" s="163" t="str">
        <f>IF(AND('Resource Planner'!$A$16="☑",23&lt;='Resource Planner'!$N$16),'Resource Planner'!$B$16,"")</f>
        <v/>
      </c>
      <c r="D327" s="163" t="str">
        <f>IF(AND('Resource Planner'!$A$16="☑",23&lt;='Resource Planner'!$N$16),'Resource Planner'!$D$16,"")</f>
        <v/>
      </c>
      <c r="E327" s="163" t="str">
        <f>IF(AND('Resource Planner'!$A$16="☑",23&lt;='Resource Planner'!$N$16),'Resource Planner'!$E$16,"")</f>
        <v/>
      </c>
      <c r="F327" s="163" t="str">
        <f>IF(AND('Resource Planner'!$A$16="☑",23&lt;='Resource Planner'!$N$16),'Resource Planner'!$F$16&amp;" "&amp;('Resource Planner'!$G$16+(23-1)*'Resource Planner'!$I$16)&amp;IF(('Resource Planner'!$G$16+(23-1)*'Resource Planner'!$I$16)=MIN('Resource Planner'!$G$16+23*'Resource Planner'!$I$16-1,'Resource Planner'!$H$16),"","–"&amp;MIN('Resource Planner'!$G$16+23*'Resource Planner'!$I$16-1,'Resource Planner'!$H$16)),"")</f>
        <v/>
      </c>
      <c r="G327" s="163" t="s">
        <v>109</v>
      </c>
      <c r="H327" s="163" t="str">
        <f>IF(AND('Resource Planner'!$A$16="☑",23&lt;='Resource Planner'!$N$16),'Resource Planner'!$M$16,"")</f>
        <v/>
      </c>
    </row>
    <row r="328" ht="15.75" customHeight="1">
      <c r="A3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8" s="163" t="str">
        <f>IF(AND('Resource Planner'!$A$16="☑",24&lt;='Resource Planner'!$N$16),'Resource Planner'!$C$16,"")</f>
        <v/>
      </c>
      <c r="C328" s="163" t="str">
        <f>IF(AND('Resource Planner'!$A$16="☑",24&lt;='Resource Planner'!$N$16),'Resource Planner'!$B$16,"")</f>
        <v/>
      </c>
      <c r="D328" s="163" t="str">
        <f>IF(AND('Resource Planner'!$A$16="☑",24&lt;='Resource Planner'!$N$16),'Resource Planner'!$D$16,"")</f>
        <v/>
      </c>
      <c r="E328" s="163" t="str">
        <f>IF(AND('Resource Planner'!$A$16="☑",24&lt;='Resource Planner'!$N$16),'Resource Planner'!$E$16,"")</f>
        <v/>
      </c>
      <c r="F328" s="163" t="str">
        <f>IF(AND('Resource Planner'!$A$16="☑",24&lt;='Resource Planner'!$N$16),'Resource Planner'!$F$16&amp;" "&amp;('Resource Planner'!$G$16+(24-1)*'Resource Planner'!$I$16)&amp;IF(('Resource Planner'!$G$16+(24-1)*'Resource Planner'!$I$16)=MIN('Resource Planner'!$G$16+24*'Resource Planner'!$I$16-1,'Resource Planner'!$H$16),"","–"&amp;MIN('Resource Planner'!$G$16+24*'Resource Planner'!$I$16-1,'Resource Planner'!$H$16)),"")</f>
        <v/>
      </c>
      <c r="G328" s="163" t="s">
        <v>109</v>
      </c>
      <c r="H328" s="163" t="str">
        <f>IF(AND('Resource Planner'!$A$16="☑",24&lt;='Resource Planner'!$N$16),'Resource Planner'!$M$16,"")</f>
        <v/>
      </c>
    </row>
    <row r="329" ht="15.75" customHeight="1">
      <c r="A3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29" s="163" t="str">
        <f>IF(AND('Resource Planner'!$A$16="☑",25&lt;='Resource Planner'!$N$16),'Resource Planner'!$C$16,"")</f>
        <v/>
      </c>
      <c r="C329" s="163" t="str">
        <f>IF(AND('Resource Planner'!$A$16="☑",25&lt;='Resource Planner'!$N$16),'Resource Planner'!$B$16,"")</f>
        <v/>
      </c>
      <c r="D329" s="163" t="str">
        <f>IF(AND('Resource Planner'!$A$16="☑",25&lt;='Resource Planner'!$N$16),'Resource Planner'!$D$16,"")</f>
        <v/>
      </c>
      <c r="E329" s="163" t="str">
        <f>IF(AND('Resource Planner'!$A$16="☑",25&lt;='Resource Planner'!$N$16),'Resource Planner'!$E$16,"")</f>
        <v/>
      </c>
      <c r="F329" s="163" t="str">
        <f>IF(AND('Resource Planner'!$A$16="☑",25&lt;='Resource Planner'!$N$16),'Resource Planner'!$F$16&amp;" "&amp;('Resource Planner'!$G$16+(25-1)*'Resource Planner'!$I$16)&amp;IF(('Resource Planner'!$G$16+(25-1)*'Resource Planner'!$I$16)=MIN('Resource Planner'!$G$16+25*'Resource Planner'!$I$16-1,'Resource Planner'!$H$16),"","–"&amp;MIN('Resource Planner'!$G$16+25*'Resource Planner'!$I$16-1,'Resource Planner'!$H$16)),"")</f>
        <v/>
      </c>
      <c r="G329" s="163" t="s">
        <v>109</v>
      </c>
      <c r="H329" s="163" t="str">
        <f>IF(AND('Resource Planner'!$A$16="☑",25&lt;='Resource Planner'!$N$16),'Resource Planner'!$M$16,"")</f>
        <v/>
      </c>
    </row>
    <row r="330" ht="15.75" customHeight="1">
      <c r="A3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0" s="163" t="str">
        <f>IF(AND('Resource Planner'!$A$16="☑",26&lt;='Resource Planner'!$N$16),'Resource Planner'!$C$16,"")</f>
        <v/>
      </c>
      <c r="C330" s="163" t="str">
        <f>IF(AND('Resource Planner'!$A$16="☑",26&lt;='Resource Planner'!$N$16),'Resource Planner'!$B$16,"")</f>
        <v/>
      </c>
      <c r="D330" s="163" t="str">
        <f>IF(AND('Resource Planner'!$A$16="☑",26&lt;='Resource Planner'!$N$16),'Resource Planner'!$D$16,"")</f>
        <v/>
      </c>
      <c r="E330" s="163" t="str">
        <f>IF(AND('Resource Planner'!$A$16="☑",26&lt;='Resource Planner'!$N$16),'Resource Planner'!$E$16,"")</f>
        <v/>
      </c>
      <c r="F330" s="163" t="str">
        <f>IF(AND('Resource Planner'!$A$16="☑",26&lt;='Resource Planner'!$N$16),'Resource Planner'!$F$16&amp;" "&amp;('Resource Planner'!$G$16+(26-1)*'Resource Planner'!$I$16)&amp;IF(('Resource Planner'!$G$16+(26-1)*'Resource Planner'!$I$16)=MIN('Resource Planner'!$G$16+26*'Resource Planner'!$I$16-1,'Resource Planner'!$H$16),"","–"&amp;MIN('Resource Planner'!$G$16+26*'Resource Planner'!$I$16-1,'Resource Planner'!$H$16)),"")</f>
        <v/>
      </c>
      <c r="G330" s="163" t="s">
        <v>109</v>
      </c>
      <c r="H330" s="163" t="str">
        <f>IF(AND('Resource Planner'!$A$16="☑",26&lt;='Resource Planner'!$N$16),'Resource Planner'!$M$16,"")</f>
        <v/>
      </c>
    </row>
    <row r="331" ht="15.75" customHeight="1">
      <c r="A3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1" s="163" t="str">
        <f>IF(AND('Resource Planner'!$A$16="☑",27&lt;='Resource Planner'!$N$16),'Resource Planner'!$C$16,"")</f>
        <v/>
      </c>
      <c r="C331" s="163" t="str">
        <f>IF(AND('Resource Planner'!$A$16="☑",27&lt;='Resource Planner'!$N$16),'Resource Planner'!$B$16,"")</f>
        <v/>
      </c>
      <c r="D331" s="163" t="str">
        <f>IF(AND('Resource Planner'!$A$16="☑",27&lt;='Resource Planner'!$N$16),'Resource Planner'!$D$16,"")</f>
        <v/>
      </c>
      <c r="E331" s="163" t="str">
        <f>IF(AND('Resource Planner'!$A$16="☑",27&lt;='Resource Planner'!$N$16),'Resource Planner'!$E$16,"")</f>
        <v/>
      </c>
      <c r="F331" s="163" t="str">
        <f>IF(AND('Resource Planner'!$A$16="☑",27&lt;='Resource Planner'!$N$16),'Resource Planner'!$F$16&amp;" "&amp;('Resource Planner'!$G$16+(27-1)*'Resource Planner'!$I$16)&amp;IF(('Resource Planner'!$G$16+(27-1)*'Resource Planner'!$I$16)=MIN('Resource Planner'!$G$16+27*'Resource Planner'!$I$16-1,'Resource Planner'!$H$16),"","–"&amp;MIN('Resource Planner'!$G$16+27*'Resource Planner'!$I$16-1,'Resource Planner'!$H$16)),"")</f>
        <v/>
      </c>
      <c r="G331" s="163" t="s">
        <v>109</v>
      </c>
      <c r="H331" s="163" t="str">
        <f>IF(AND('Resource Planner'!$A$16="☑",27&lt;='Resource Planner'!$N$16),'Resource Planner'!$M$16,"")</f>
        <v/>
      </c>
    </row>
    <row r="332" ht="15.75" customHeight="1">
      <c r="A3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2" s="163" t="str">
        <f>IF(AND('Resource Planner'!$A$16="☑",28&lt;='Resource Planner'!$N$16),'Resource Planner'!$C$16,"")</f>
        <v/>
      </c>
      <c r="C332" s="163" t="str">
        <f>IF(AND('Resource Planner'!$A$16="☑",28&lt;='Resource Planner'!$N$16),'Resource Planner'!$B$16,"")</f>
        <v/>
      </c>
      <c r="D332" s="163" t="str">
        <f>IF(AND('Resource Planner'!$A$16="☑",28&lt;='Resource Planner'!$N$16),'Resource Planner'!$D$16,"")</f>
        <v/>
      </c>
      <c r="E332" s="163" t="str">
        <f>IF(AND('Resource Planner'!$A$16="☑",28&lt;='Resource Planner'!$N$16),'Resource Planner'!$E$16,"")</f>
        <v/>
      </c>
      <c r="F332" s="163" t="str">
        <f>IF(AND('Resource Planner'!$A$16="☑",28&lt;='Resource Planner'!$N$16),'Resource Planner'!$F$16&amp;" "&amp;('Resource Planner'!$G$16+(28-1)*'Resource Planner'!$I$16)&amp;IF(('Resource Planner'!$G$16+(28-1)*'Resource Planner'!$I$16)=MIN('Resource Planner'!$G$16+28*'Resource Planner'!$I$16-1,'Resource Planner'!$H$16),"","–"&amp;MIN('Resource Planner'!$G$16+28*'Resource Planner'!$I$16-1,'Resource Planner'!$H$16)),"")</f>
        <v/>
      </c>
      <c r="G332" s="163" t="s">
        <v>109</v>
      </c>
      <c r="H332" s="163" t="str">
        <f>IF(AND('Resource Planner'!$A$16="☑",28&lt;='Resource Planner'!$N$16),'Resource Planner'!$M$16,"")</f>
        <v/>
      </c>
    </row>
    <row r="333" ht="15.75" customHeight="1">
      <c r="A3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3" s="163" t="str">
        <f>IF(AND('Resource Planner'!$A$16="☑",29&lt;='Resource Planner'!$N$16),'Resource Planner'!$C$16,"")</f>
        <v/>
      </c>
      <c r="C333" s="163" t="str">
        <f>IF(AND('Resource Planner'!$A$16="☑",29&lt;='Resource Planner'!$N$16),'Resource Planner'!$B$16,"")</f>
        <v/>
      </c>
      <c r="D333" s="163" t="str">
        <f>IF(AND('Resource Planner'!$A$16="☑",29&lt;='Resource Planner'!$N$16),'Resource Planner'!$D$16,"")</f>
        <v/>
      </c>
      <c r="E333" s="163" t="str">
        <f>IF(AND('Resource Planner'!$A$16="☑",29&lt;='Resource Planner'!$N$16),'Resource Planner'!$E$16,"")</f>
        <v/>
      </c>
      <c r="F333" s="163" t="str">
        <f>IF(AND('Resource Planner'!$A$16="☑",29&lt;='Resource Planner'!$N$16),'Resource Planner'!$F$16&amp;" "&amp;('Resource Planner'!$G$16+(29-1)*'Resource Planner'!$I$16)&amp;IF(('Resource Planner'!$G$16+(29-1)*'Resource Planner'!$I$16)=MIN('Resource Planner'!$G$16+29*'Resource Planner'!$I$16-1,'Resource Planner'!$H$16),"","–"&amp;MIN('Resource Planner'!$G$16+29*'Resource Planner'!$I$16-1,'Resource Planner'!$H$16)),"")</f>
        <v/>
      </c>
      <c r="G333" s="163" t="s">
        <v>109</v>
      </c>
      <c r="H333" s="163" t="str">
        <f>IF(AND('Resource Planner'!$A$16="☑",29&lt;='Resource Planner'!$N$16),'Resource Planner'!$M$16,"")</f>
        <v/>
      </c>
    </row>
    <row r="334" ht="15.75" customHeight="1">
      <c r="A3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4" s="163" t="str">
        <f>IF(AND('Resource Planner'!$A$16="☑",30&lt;='Resource Planner'!$N$16),'Resource Planner'!$C$16,"")</f>
        <v/>
      </c>
      <c r="C334" s="163" t="str">
        <f>IF(AND('Resource Planner'!$A$16="☑",30&lt;='Resource Planner'!$N$16),'Resource Planner'!$B$16,"")</f>
        <v/>
      </c>
      <c r="D334" s="163" t="str">
        <f>IF(AND('Resource Planner'!$A$16="☑",30&lt;='Resource Planner'!$N$16),'Resource Planner'!$D$16,"")</f>
        <v/>
      </c>
      <c r="E334" s="163" t="str">
        <f>IF(AND('Resource Planner'!$A$16="☑",30&lt;='Resource Planner'!$N$16),'Resource Planner'!$E$16,"")</f>
        <v/>
      </c>
      <c r="F334" s="163" t="str">
        <f>IF(AND('Resource Planner'!$A$16="☑",30&lt;='Resource Planner'!$N$16),'Resource Planner'!$F$16&amp;" "&amp;('Resource Planner'!$G$16+(30-1)*'Resource Planner'!$I$16)&amp;IF(('Resource Planner'!$G$16+(30-1)*'Resource Planner'!$I$16)=MIN('Resource Planner'!$G$16+30*'Resource Planner'!$I$16-1,'Resource Planner'!$H$16),"","–"&amp;MIN('Resource Planner'!$G$16+30*'Resource Planner'!$I$16-1,'Resource Planner'!$H$16)),"")</f>
        <v/>
      </c>
      <c r="G334" s="163" t="s">
        <v>109</v>
      </c>
      <c r="H334" s="163" t="str">
        <f>IF(AND('Resource Planner'!$A$16="☑",30&lt;='Resource Planner'!$N$16),'Resource Planner'!$M$16,"")</f>
        <v/>
      </c>
    </row>
    <row r="335" ht="15.75" customHeight="1">
      <c r="A3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5" s="163" t="str">
        <f>IF(AND('Resource Planner'!$A$16="☑",31&lt;='Resource Planner'!$N$16),'Resource Planner'!$C$16,"")</f>
        <v/>
      </c>
      <c r="C335" s="163" t="str">
        <f>IF(AND('Resource Planner'!$A$16="☑",31&lt;='Resource Planner'!$N$16),'Resource Planner'!$B$16,"")</f>
        <v/>
      </c>
      <c r="D335" s="163" t="str">
        <f>IF(AND('Resource Planner'!$A$16="☑",31&lt;='Resource Planner'!$N$16),'Resource Planner'!$D$16,"")</f>
        <v/>
      </c>
      <c r="E335" s="163" t="str">
        <f>IF(AND('Resource Planner'!$A$16="☑",31&lt;='Resource Planner'!$N$16),'Resource Planner'!$E$16,"")</f>
        <v/>
      </c>
      <c r="F335" s="163" t="str">
        <f>IF(AND('Resource Planner'!$A$16="☑",31&lt;='Resource Planner'!$N$16),'Resource Planner'!$F$16&amp;" "&amp;('Resource Planner'!$G$16+(31-1)*'Resource Planner'!$I$16)&amp;IF(('Resource Planner'!$G$16+(31-1)*'Resource Planner'!$I$16)=MIN('Resource Planner'!$G$16+31*'Resource Planner'!$I$16-1,'Resource Planner'!$H$16),"","–"&amp;MIN('Resource Planner'!$G$16+31*'Resource Planner'!$I$16-1,'Resource Planner'!$H$16)),"")</f>
        <v/>
      </c>
      <c r="G335" s="163" t="s">
        <v>109</v>
      </c>
      <c r="H335" s="163" t="str">
        <f>IF(AND('Resource Planner'!$A$16="☑",31&lt;='Resource Planner'!$N$16),'Resource Planner'!$M$16,"")</f>
        <v/>
      </c>
    </row>
    <row r="336" ht="15.75" customHeight="1">
      <c r="A3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6" s="163" t="str">
        <f>IF(AND('Resource Planner'!$A$16="☑",32&lt;='Resource Planner'!$N$16),'Resource Planner'!$C$16,"")</f>
        <v/>
      </c>
      <c r="C336" s="163" t="str">
        <f>IF(AND('Resource Planner'!$A$16="☑",32&lt;='Resource Planner'!$N$16),'Resource Planner'!$B$16,"")</f>
        <v/>
      </c>
      <c r="D336" s="163" t="str">
        <f>IF(AND('Resource Planner'!$A$16="☑",32&lt;='Resource Planner'!$N$16),'Resource Planner'!$D$16,"")</f>
        <v/>
      </c>
      <c r="E336" s="163" t="str">
        <f>IF(AND('Resource Planner'!$A$16="☑",32&lt;='Resource Planner'!$N$16),'Resource Planner'!$E$16,"")</f>
        <v/>
      </c>
      <c r="F336" s="163" t="str">
        <f>IF(AND('Resource Planner'!$A$16="☑",32&lt;='Resource Planner'!$N$16),'Resource Planner'!$F$16&amp;" "&amp;('Resource Planner'!$G$16+(32-1)*'Resource Planner'!$I$16)&amp;IF(('Resource Planner'!$G$16+(32-1)*'Resource Planner'!$I$16)=MIN('Resource Planner'!$G$16+32*'Resource Planner'!$I$16-1,'Resource Planner'!$H$16),"","–"&amp;MIN('Resource Planner'!$G$16+32*'Resource Planner'!$I$16-1,'Resource Planner'!$H$16)),"")</f>
        <v/>
      </c>
      <c r="G336" s="163" t="s">
        <v>109</v>
      </c>
      <c r="H336" s="163" t="str">
        <f>IF(AND('Resource Planner'!$A$16="☑",32&lt;='Resource Planner'!$N$16),'Resource Planner'!$M$16,"")</f>
        <v/>
      </c>
    </row>
    <row r="337" ht="15.75" customHeight="1">
      <c r="A3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7" s="163" t="str">
        <f>IF(AND('Resource Planner'!$A$16="☑",33&lt;='Resource Planner'!$N$16),'Resource Planner'!$C$16,"")</f>
        <v/>
      </c>
      <c r="C337" s="163" t="str">
        <f>IF(AND('Resource Planner'!$A$16="☑",33&lt;='Resource Planner'!$N$16),'Resource Planner'!$B$16,"")</f>
        <v/>
      </c>
      <c r="D337" s="163" t="str">
        <f>IF(AND('Resource Planner'!$A$16="☑",33&lt;='Resource Planner'!$N$16),'Resource Planner'!$D$16,"")</f>
        <v/>
      </c>
      <c r="E337" s="163" t="str">
        <f>IF(AND('Resource Planner'!$A$16="☑",33&lt;='Resource Planner'!$N$16),'Resource Planner'!$E$16,"")</f>
        <v/>
      </c>
      <c r="F337" s="163" t="str">
        <f>IF(AND('Resource Planner'!$A$16="☑",33&lt;='Resource Planner'!$N$16),'Resource Planner'!$F$16&amp;" "&amp;('Resource Planner'!$G$16+(33-1)*'Resource Planner'!$I$16)&amp;IF(('Resource Planner'!$G$16+(33-1)*'Resource Planner'!$I$16)=MIN('Resource Planner'!$G$16+33*'Resource Planner'!$I$16-1,'Resource Planner'!$H$16),"","–"&amp;MIN('Resource Planner'!$G$16+33*'Resource Planner'!$I$16-1,'Resource Planner'!$H$16)),"")</f>
        <v/>
      </c>
      <c r="G337" s="163" t="s">
        <v>109</v>
      </c>
      <c r="H337" s="163" t="str">
        <f>IF(AND('Resource Planner'!$A$16="☑",33&lt;='Resource Planner'!$N$16),'Resource Planner'!$M$16,"")</f>
        <v/>
      </c>
    </row>
    <row r="338" ht="15.75" customHeight="1">
      <c r="A3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8" s="163" t="str">
        <f>IF(AND('Resource Planner'!$A$16="☑",34&lt;='Resource Planner'!$N$16),'Resource Planner'!$C$16,"")</f>
        <v/>
      </c>
      <c r="C338" s="163" t="str">
        <f>IF(AND('Resource Planner'!$A$16="☑",34&lt;='Resource Planner'!$N$16),'Resource Planner'!$B$16,"")</f>
        <v/>
      </c>
      <c r="D338" s="163" t="str">
        <f>IF(AND('Resource Planner'!$A$16="☑",34&lt;='Resource Planner'!$N$16),'Resource Planner'!$D$16,"")</f>
        <v/>
      </c>
      <c r="E338" s="163" t="str">
        <f>IF(AND('Resource Planner'!$A$16="☑",34&lt;='Resource Planner'!$N$16),'Resource Planner'!$E$16,"")</f>
        <v/>
      </c>
      <c r="F338" s="163" t="str">
        <f>IF(AND('Resource Planner'!$A$16="☑",34&lt;='Resource Planner'!$N$16),'Resource Planner'!$F$16&amp;" "&amp;('Resource Planner'!$G$16+(34-1)*'Resource Planner'!$I$16)&amp;IF(('Resource Planner'!$G$16+(34-1)*'Resource Planner'!$I$16)=MIN('Resource Planner'!$G$16+34*'Resource Planner'!$I$16-1,'Resource Planner'!$H$16),"","–"&amp;MIN('Resource Planner'!$G$16+34*'Resource Planner'!$I$16-1,'Resource Planner'!$H$16)),"")</f>
        <v/>
      </c>
      <c r="G338" s="163" t="s">
        <v>109</v>
      </c>
      <c r="H338" s="163" t="str">
        <f>IF(AND('Resource Planner'!$A$16="☑",34&lt;='Resource Planner'!$N$16),'Resource Planner'!$M$16,"")</f>
        <v/>
      </c>
    </row>
    <row r="339" ht="15.75" customHeight="1">
      <c r="A3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39" s="163" t="str">
        <f>IF(AND('Resource Planner'!$A$16="☑",35&lt;='Resource Planner'!$N$16),'Resource Planner'!$C$16,"")</f>
        <v/>
      </c>
      <c r="C339" s="163" t="str">
        <f>IF(AND('Resource Planner'!$A$16="☑",35&lt;='Resource Planner'!$N$16),'Resource Planner'!$B$16,"")</f>
        <v/>
      </c>
      <c r="D339" s="163" t="str">
        <f>IF(AND('Resource Planner'!$A$16="☑",35&lt;='Resource Planner'!$N$16),'Resource Planner'!$D$16,"")</f>
        <v/>
      </c>
      <c r="E339" s="163" t="str">
        <f>IF(AND('Resource Planner'!$A$16="☑",35&lt;='Resource Planner'!$N$16),'Resource Planner'!$E$16,"")</f>
        <v/>
      </c>
      <c r="F339" s="163" t="str">
        <f>IF(AND('Resource Planner'!$A$16="☑",35&lt;='Resource Planner'!$N$16),'Resource Planner'!$F$16&amp;" "&amp;('Resource Planner'!$G$16+(35-1)*'Resource Planner'!$I$16)&amp;IF(('Resource Planner'!$G$16+(35-1)*'Resource Planner'!$I$16)=MIN('Resource Planner'!$G$16+35*'Resource Planner'!$I$16-1,'Resource Planner'!$H$16),"","–"&amp;MIN('Resource Planner'!$G$16+35*'Resource Planner'!$I$16-1,'Resource Planner'!$H$16)),"")</f>
        <v/>
      </c>
      <c r="G339" s="163" t="s">
        <v>109</v>
      </c>
      <c r="H339" s="163" t="str">
        <f>IF(AND('Resource Planner'!$A$16="☑",35&lt;='Resource Planner'!$N$16),'Resource Planner'!$M$16,"")</f>
        <v/>
      </c>
    </row>
    <row r="340" ht="15.75" customHeight="1">
      <c r="A3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0" s="163" t="str">
        <f>IF(AND('Resource Planner'!$A$16="☑",36&lt;='Resource Planner'!$N$16),'Resource Planner'!$C$16,"")</f>
        <v/>
      </c>
      <c r="C340" s="163" t="str">
        <f>IF(AND('Resource Planner'!$A$16="☑",36&lt;='Resource Planner'!$N$16),'Resource Planner'!$B$16,"")</f>
        <v/>
      </c>
      <c r="D340" s="163" t="str">
        <f>IF(AND('Resource Planner'!$A$16="☑",36&lt;='Resource Planner'!$N$16),'Resource Planner'!$D$16,"")</f>
        <v/>
      </c>
      <c r="E340" s="163" t="str">
        <f>IF(AND('Resource Planner'!$A$16="☑",36&lt;='Resource Planner'!$N$16),'Resource Planner'!$E$16,"")</f>
        <v/>
      </c>
      <c r="F340" s="163" t="str">
        <f>IF(AND('Resource Planner'!$A$16="☑",36&lt;='Resource Planner'!$N$16),'Resource Planner'!$F$16&amp;" "&amp;('Resource Planner'!$G$16+(36-1)*'Resource Planner'!$I$16)&amp;IF(('Resource Planner'!$G$16+(36-1)*'Resource Planner'!$I$16)=MIN('Resource Planner'!$G$16+36*'Resource Planner'!$I$16-1,'Resource Planner'!$H$16),"","–"&amp;MIN('Resource Planner'!$G$16+36*'Resource Planner'!$I$16-1,'Resource Planner'!$H$16)),"")</f>
        <v/>
      </c>
      <c r="G340" s="163" t="s">
        <v>109</v>
      </c>
      <c r="H340" s="163" t="str">
        <f>IF(AND('Resource Planner'!$A$16="☑",36&lt;='Resource Planner'!$N$16),'Resource Planner'!$M$16,"")</f>
        <v/>
      </c>
    </row>
    <row r="341" ht="15.75" customHeight="1">
      <c r="A3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1" s="163" t="str">
        <f>IF(AND('Resource Planner'!$A$16="☑",37&lt;='Resource Planner'!$N$16),'Resource Planner'!$C$16,"")</f>
        <v/>
      </c>
      <c r="C341" s="163" t="str">
        <f>IF(AND('Resource Planner'!$A$16="☑",37&lt;='Resource Planner'!$N$16),'Resource Planner'!$B$16,"")</f>
        <v/>
      </c>
      <c r="D341" s="163" t="str">
        <f>IF(AND('Resource Planner'!$A$16="☑",37&lt;='Resource Planner'!$N$16),'Resource Planner'!$D$16,"")</f>
        <v/>
      </c>
      <c r="E341" s="163" t="str">
        <f>IF(AND('Resource Planner'!$A$16="☑",37&lt;='Resource Planner'!$N$16),'Resource Planner'!$E$16,"")</f>
        <v/>
      </c>
      <c r="F341" s="163" t="str">
        <f>IF(AND('Resource Planner'!$A$16="☑",37&lt;='Resource Planner'!$N$16),'Resource Planner'!$F$16&amp;" "&amp;('Resource Planner'!$G$16+(37-1)*'Resource Planner'!$I$16)&amp;IF(('Resource Planner'!$G$16+(37-1)*'Resource Planner'!$I$16)=MIN('Resource Planner'!$G$16+37*'Resource Planner'!$I$16-1,'Resource Planner'!$H$16),"","–"&amp;MIN('Resource Planner'!$G$16+37*'Resource Planner'!$I$16-1,'Resource Planner'!$H$16)),"")</f>
        <v/>
      </c>
      <c r="G341" s="163" t="s">
        <v>109</v>
      </c>
      <c r="H341" s="163" t="str">
        <f>IF(AND('Resource Planner'!$A$16="☑",37&lt;='Resource Planner'!$N$16),'Resource Planner'!$M$16,"")</f>
        <v/>
      </c>
    </row>
    <row r="342" ht="15.75" customHeight="1">
      <c r="A3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2" s="163" t="str">
        <f>IF(AND('Resource Planner'!$A$16="☑",38&lt;='Resource Planner'!$N$16),'Resource Planner'!$C$16,"")</f>
        <v/>
      </c>
      <c r="C342" s="163" t="str">
        <f>IF(AND('Resource Planner'!$A$16="☑",38&lt;='Resource Planner'!$N$16),'Resource Planner'!$B$16,"")</f>
        <v/>
      </c>
      <c r="D342" s="163" t="str">
        <f>IF(AND('Resource Planner'!$A$16="☑",38&lt;='Resource Planner'!$N$16),'Resource Planner'!$D$16,"")</f>
        <v/>
      </c>
      <c r="E342" s="163" t="str">
        <f>IF(AND('Resource Planner'!$A$16="☑",38&lt;='Resource Planner'!$N$16),'Resource Planner'!$E$16,"")</f>
        <v/>
      </c>
      <c r="F342" s="163" t="str">
        <f>IF(AND('Resource Planner'!$A$16="☑",38&lt;='Resource Planner'!$N$16),'Resource Planner'!$F$16&amp;" "&amp;('Resource Planner'!$G$16+(38-1)*'Resource Planner'!$I$16)&amp;IF(('Resource Planner'!$G$16+(38-1)*'Resource Planner'!$I$16)=MIN('Resource Planner'!$G$16+38*'Resource Planner'!$I$16-1,'Resource Planner'!$H$16),"","–"&amp;MIN('Resource Planner'!$G$16+38*'Resource Planner'!$I$16-1,'Resource Planner'!$H$16)),"")</f>
        <v/>
      </c>
      <c r="G342" s="163" t="s">
        <v>109</v>
      </c>
      <c r="H342" s="163" t="str">
        <f>IF(AND('Resource Planner'!$A$16="☑",38&lt;='Resource Planner'!$N$16),'Resource Planner'!$M$16,"")</f>
        <v/>
      </c>
    </row>
    <row r="343" ht="15.75" customHeight="1">
      <c r="A3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3" s="163" t="str">
        <f>IF(AND('Resource Planner'!$A$16="☑",39&lt;='Resource Planner'!$N$16),'Resource Planner'!$C$16,"")</f>
        <v/>
      </c>
      <c r="C343" s="163" t="str">
        <f>IF(AND('Resource Planner'!$A$16="☑",39&lt;='Resource Planner'!$N$16),'Resource Planner'!$B$16,"")</f>
        <v/>
      </c>
      <c r="D343" s="163" t="str">
        <f>IF(AND('Resource Planner'!$A$16="☑",39&lt;='Resource Planner'!$N$16),'Resource Planner'!$D$16,"")</f>
        <v/>
      </c>
      <c r="E343" s="163" t="str">
        <f>IF(AND('Resource Planner'!$A$16="☑",39&lt;='Resource Planner'!$N$16),'Resource Planner'!$E$16,"")</f>
        <v/>
      </c>
      <c r="F343" s="163" t="str">
        <f>IF(AND('Resource Planner'!$A$16="☑",39&lt;='Resource Planner'!$N$16),'Resource Planner'!$F$16&amp;" "&amp;('Resource Planner'!$G$16+(39-1)*'Resource Planner'!$I$16)&amp;IF(('Resource Planner'!$G$16+(39-1)*'Resource Planner'!$I$16)=MIN('Resource Planner'!$G$16+39*'Resource Planner'!$I$16-1,'Resource Planner'!$H$16),"","–"&amp;MIN('Resource Planner'!$G$16+39*'Resource Planner'!$I$16-1,'Resource Planner'!$H$16)),"")</f>
        <v/>
      </c>
      <c r="G343" s="163" t="s">
        <v>109</v>
      </c>
      <c r="H343" s="163" t="str">
        <f>IF(AND('Resource Planner'!$A$16="☑",39&lt;='Resource Planner'!$N$16),'Resource Planner'!$M$16,"")</f>
        <v/>
      </c>
    </row>
    <row r="344" ht="15.75" customHeight="1">
      <c r="A3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4" s="163" t="str">
        <f>IF(AND('Resource Planner'!$A$16="☑",40&lt;='Resource Planner'!$N$16),'Resource Planner'!$C$16,"")</f>
        <v/>
      </c>
      <c r="C344" s="163" t="str">
        <f>IF(AND('Resource Planner'!$A$16="☑",40&lt;='Resource Planner'!$N$16),'Resource Planner'!$B$16,"")</f>
        <v/>
      </c>
      <c r="D344" s="163" t="str">
        <f>IF(AND('Resource Planner'!$A$16="☑",40&lt;='Resource Planner'!$N$16),'Resource Planner'!$D$16,"")</f>
        <v/>
      </c>
      <c r="E344" s="163" t="str">
        <f>IF(AND('Resource Planner'!$A$16="☑",40&lt;='Resource Planner'!$N$16),'Resource Planner'!$E$16,"")</f>
        <v/>
      </c>
      <c r="F344" s="163" t="str">
        <f>IF(AND('Resource Planner'!$A$16="☑",40&lt;='Resource Planner'!$N$16),'Resource Planner'!$F$16&amp;" "&amp;('Resource Planner'!$G$16+(40-1)*'Resource Planner'!$I$16)&amp;IF(('Resource Planner'!$G$16+(40-1)*'Resource Planner'!$I$16)=MIN('Resource Planner'!$G$16+40*'Resource Planner'!$I$16-1,'Resource Planner'!$H$16),"","–"&amp;MIN('Resource Planner'!$G$16+40*'Resource Planner'!$I$16-1,'Resource Planner'!$H$16)),"")</f>
        <v/>
      </c>
      <c r="G344" s="163" t="s">
        <v>109</v>
      </c>
      <c r="H344" s="163" t="str">
        <f>IF(AND('Resource Planner'!$A$16="☑",40&lt;='Resource Planner'!$N$16),'Resource Planner'!$M$16,"")</f>
        <v/>
      </c>
    </row>
    <row r="345" ht="15.75" customHeight="1">
      <c r="A3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5" s="163" t="str">
        <f>IF(AND('Resource Planner'!$A$16="☑",41&lt;='Resource Planner'!$N$16),'Resource Planner'!$C$16,"")</f>
        <v/>
      </c>
      <c r="C345" s="163" t="str">
        <f>IF(AND('Resource Planner'!$A$16="☑",41&lt;='Resource Planner'!$N$16),'Resource Planner'!$B$16,"")</f>
        <v/>
      </c>
      <c r="D345" s="163" t="str">
        <f>IF(AND('Resource Planner'!$A$16="☑",41&lt;='Resource Planner'!$N$16),'Resource Planner'!$D$16,"")</f>
        <v/>
      </c>
      <c r="E345" s="163" t="str">
        <f>IF(AND('Resource Planner'!$A$16="☑",41&lt;='Resource Planner'!$N$16),'Resource Planner'!$E$16,"")</f>
        <v/>
      </c>
      <c r="F345" s="163" t="str">
        <f>IF(AND('Resource Planner'!$A$16="☑",41&lt;='Resource Planner'!$N$16),'Resource Planner'!$F$16&amp;" "&amp;('Resource Planner'!$G$16+(41-1)*'Resource Planner'!$I$16)&amp;IF(('Resource Planner'!$G$16+(41-1)*'Resource Planner'!$I$16)=MIN('Resource Planner'!$G$16+41*'Resource Planner'!$I$16-1,'Resource Planner'!$H$16),"","–"&amp;MIN('Resource Planner'!$G$16+41*'Resource Planner'!$I$16-1,'Resource Planner'!$H$16)),"")</f>
        <v/>
      </c>
      <c r="G345" s="163" t="s">
        <v>109</v>
      </c>
      <c r="H345" s="163" t="str">
        <f>IF(AND('Resource Planner'!$A$16="☑",41&lt;='Resource Planner'!$N$16),'Resource Planner'!$M$16,"")</f>
        <v/>
      </c>
    </row>
    <row r="346" ht="15.75" customHeight="1">
      <c r="A3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6" s="163" t="str">
        <f>IF(AND('Resource Planner'!$A$16="☑",42&lt;='Resource Planner'!$N$16),'Resource Planner'!$C$16,"")</f>
        <v/>
      </c>
      <c r="C346" s="163" t="str">
        <f>IF(AND('Resource Planner'!$A$16="☑",42&lt;='Resource Planner'!$N$16),'Resource Planner'!$B$16,"")</f>
        <v/>
      </c>
      <c r="D346" s="163" t="str">
        <f>IF(AND('Resource Planner'!$A$16="☑",42&lt;='Resource Planner'!$N$16),'Resource Planner'!$D$16,"")</f>
        <v/>
      </c>
      <c r="E346" s="163" t="str">
        <f>IF(AND('Resource Planner'!$A$16="☑",42&lt;='Resource Planner'!$N$16),'Resource Planner'!$E$16,"")</f>
        <v/>
      </c>
      <c r="F346" s="163" t="str">
        <f>IF(AND('Resource Planner'!$A$16="☑",42&lt;='Resource Planner'!$N$16),'Resource Planner'!$F$16&amp;" "&amp;('Resource Planner'!$G$16+(42-1)*'Resource Planner'!$I$16)&amp;IF(('Resource Planner'!$G$16+(42-1)*'Resource Planner'!$I$16)=MIN('Resource Planner'!$G$16+42*'Resource Planner'!$I$16-1,'Resource Planner'!$H$16),"","–"&amp;MIN('Resource Planner'!$G$16+42*'Resource Planner'!$I$16-1,'Resource Planner'!$H$16)),"")</f>
        <v/>
      </c>
      <c r="G346" s="163" t="s">
        <v>109</v>
      </c>
      <c r="H346" s="163" t="str">
        <f>IF(AND('Resource Planner'!$A$16="☑",42&lt;='Resource Planner'!$N$16),'Resource Planner'!$M$16,"")</f>
        <v/>
      </c>
    </row>
    <row r="347" ht="15.75" customHeight="1">
      <c r="A3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7" s="163" t="str">
        <f>IF(AND('Resource Planner'!$A$16="☑",43&lt;='Resource Planner'!$N$16),'Resource Planner'!$C$16,"")</f>
        <v/>
      </c>
      <c r="C347" s="163" t="str">
        <f>IF(AND('Resource Planner'!$A$16="☑",43&lt;='Resource Planner'!$N$16),'Resource Planner'!$B$16,"")</f>
        <v/>
      </c>
      <c r="D347" s="163" t="str">
        <f>IF(AND('Resource Planner'!$A$16="☑",43&lt;='Resource Planner'!$N$16),'Resource Planner'!$D$16,"")</f>
        <v/>
      </c>
      <c r="E347" s="163" t="str">
        <f>IF(AND('Resource Planner'!$A$16="☑",43&lt;='Resource Planner'!$N$16),'Resource Planner'!$E$16,"")</f>
        <v/>
      </c>
      <c r="F347" s="163" t="str">
        <f>IF(AND('Resource Planner'!$A$16="☑",43&lt;='Resource Planner'!$N$16),'Resource Planner'!$F$16&amp;" "&amp;('Resource Planner'!$G$16+(43-1)*'Resource Planner'!$I$16)&amp;IF(('Resource Planner'!$G$16+(43-1)*'Resource Planner'!$I$16)=MIN('Resource Planner'!$G$16+43*'Resource Planner'!$I$16-1,'Resource Planner'!$H$16),"","–"&amp;MIN('Resource Planner'!$G$16+43*'Resource Planner'!$I$16-1,'Resource Planner'!$H$16)),"")</f>
        <v/>
      </c>
      <c r="G347" s="163" t="s">
        <v>109</v>
      </c>
      <c r="H347" s="163" t="str">
        <f>IF(AND('Resource Planner'!$A$16="☑",43&lt;='Resource Planner'!$N$16),'Resource Planner'!$M$16,"")</f>
        <v/>
      </c>
    </row>
    <row r="348" ht="15.75" customHeight="1">
      <c r="A3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8" s="163" t="str">
        <f>IF(AND('Resource Planner'!$A$16="☑",44&lt;='Resource Planner'!$N$16),'Resource Planner'!$C$16,"")</f>
        <v/>
      </c>
      <c r="C348" s="163" t="str">
        <f>IF(AND('Resource Planner'!$A$16="☑",44&lt;='Resource Planner'!$N$16),'Resource Planner'!$B$16,"")</f>
        <v/>
      </c>
      <c r="D348" s="163" t="str">
        <f>IF(AND('Resource Planner'!$A$16="☑",44&lt;='Resource Planner'!$N$16),'Resource Planner'!$D$16,"")</f>
        <v/>
      </c>
      <c r="E348" s="163" t="str">
        <f>IF(AND('Resource Planner'!$A$16="☑",44&lt;='Resource Planner'!$N$16),'Resource Planner'!$E$16,"")</f>
        <v/>
      </c>
      <c r="F348" s="163" t="str">
        <f>IF(AND('Resource Planner'!$A$16="☑",44&lt;='Resource Planner'!$N$16),'Resource Planner'!$F$16&amp;" "&amp;('Resource Planner'!$G$16+(44-1)*'Resource Planner'!$I$16)&amp;IF(('Resource Planner'!$G$16+(44-1)*'Resource Planner'!$I$16)=MIN('Resource Planner'!$G$16+44*'Resource Planner'!$I$16-1,'Resource Planner'!$H$16),"","–"&amp;MIN('Resource Planner'!$G$16+44*'Resource Planner'!$I$16-1,'Resource Planner'!$H$16)),"")</f>
        <v/>
      </c>
      <c r="G348" s="163" t="s">
        <v>109</v>
      </c>
      <c r="H348" s="163" t="str">
        <f>IF(AND('Resource Planner'!$A$16="☑",44&lt;='Resource Planner'!$N$16),'Resource Planner'!$M$16,"")</f>
        <v/>
      </c>
    </row>
    <row r="349" ht="15.75" customHeight="1">
      <c r="A3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49" s="163" t="str">
        <f>IF(AND('Resource Planner'!$A$16="☑",45&lt;='Resource Planner'!$N$16),'Resource Planner'!$C$16,"")</f>
        <v/>
      </c>
      <c r="C349" s="163" t="str">
        <f>IF(AND('Resource Planner'!$A$16="☑",45&lt;='Resource Planner'!$N$16),'Resource Planner'!$B$16,"")</f>
        <v/>
      </c>
      <c r="D349" s="163" t="str">
        <f>IF(AND('Resource Planner'!$A$16="☑",45&lt;='Resource Planner'!$N$16),'Resource Planner'!$D$16,"")</f>
        <v/>
      </c>
      <c r="E349" s="163" t="str">
        <f>IF(AND('Resource Planner'!$A$16="☑",45&lt;='Resource Planner'!$N$16),'Resource Planner'!$E$16,"")</f>
        <v/>
      </c>
      <c r="F349" s="163" t="str">
        <f>IF(AND('Resource Planner'!$A$16="☑",45&lt;='Resource Planner'!$N$16),'Resource Planner'!$F$16&amp;" "&amp;('Resource Planner'!$G$16+(45-1)*'Resource Planner'!$I$16)&amp;IF(('Resource Planner'!$G$16+(45-1)*'Resource Planner'!$I$16)=MIN('Resource Planner'!$G$16+45*'Resource Planner'!$I$16-1,'Resource Planner'!$H$16),"","–"&amp;MIN('Resource Planner'!$G$16+45*'Resource Planner'!$I$16-1,'Resource Planner'!$H$16)),"")</f>
        <v/>
      </c>
      <c r="G349" s="163" t="s">
        <v>109</v>
      </c>
      <c r="H349" s="163" t="str">
        <f>IF(AND('Resource Planner'!$A$16="☑",45&lt;='Resource Planner'!$N$16),'Resource Planner'!$M$16,"")</f>
        <v/>
      </c>
    </row>
    <row r="350" ht="15.75" customHeight="1">
      <c r="A3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50" s="163" t="str">
        <f>IF(AND('Resource Planner'!$A$16="☑",46&lt;='Resource Planner'!$N$16),'Resource Planner'!$C$16,"")</f>
        <v/>
      </c>
      <c r="C350" s="163" t="str">
        <f>IF(AND('Resource Planner'!$A$16="☑",46&lt;='Resource Planner'!$N$16),'Resource Planner'!$B$16,"")</f>
        <v/>
      </c>
      <c r="D350" s="163" t="str">
        <f>IF(AND('Resource Planner'!$A$16="☑",46&lt;='Resource Planner'!$N$16),'Resource Planner'!$D$16,"")</f>
        <v/>
      </c>
      <c r="E350" s="163" t="str">
        <f>IF(AND('Resource Planner'!$A$16="☑",46&lt;='Resource Planner'!$N$16),'Resource Planner'!$E$16,"")</f>
        <v/>
      </c>
      <c r="F350" s="163" t="str">
        <f>IF(AND('Resource Planner'!$A$16="☑",46&lt;='Resource Planner'!$N$16),'Resource Planner'!$F$16&amp;" "&amp;('Resource Planner'!$G$16+(46-1)*'Resource Planner'!$I$16)&amp;IF(('Resource Planner'!$G$16+(46-1)*'Resource Planner'!$I$16)=MIN('Resource Planner'!$G$16+46*'Resource Planner'!$I$16-1,'Resource Planner'!$H$16),"","–"&amp;MIN('Resource Planner'!$G$16+46*'Resource Planner'!$I$16-1,'Resource Planner'!$H$16)),"")</f>
        <v/>
      </c>
      <c r="G350" s="163" t="s">
        <v>109</v>
      </c>
      <c r="H350" s="163" t="str">
        <f>IF(AND('Resource Planner'!$A$16="☑",46&lt;='Resource Planner'!$N$16),'Resource Planner'!$M$16,"")</f>
        <v/>
      </c>
    </row>
    <row r="351" ht="15.75" customHeight="1">
      <c r="A3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51" s="163" t="str">
        <f>IF(AND('Resource Planner'!$A$16="☑",47&lt;='Resource Planner'!$N$16),'Resource Planner'!$C$16,"")</f>
        <v/>
      </c>
      <c r="C351" s="163" t="str">
        <f>IF(AND('Resource Planner'!$A$16="☑",47&lt;='Resource Planner'!$N$16),'Resource Planner'!$B$16,"")</f>
        <v/>
      </c>
      <c r="D351" s="163" t="str">
        <f>IF(AND('Resource Planner'!$A$16="☑",47&lt;='Resource Planner'!$N$16),'Resource Planner'!$D$16,"")</f>
        <v/>
      </c>
      <c r="E351" s="163" t="str">
        <f>IF(AND('Resource Planner'!$A$16="☑",47&lt;='Resource Planner'!$N$16),'Resource Planner'!$E$16,"")</f>
        <v/>
      </c>
      <c r="F351" s="163" t="str">
        <f>IF(AND('Resource Planner'!$A$16="☑",47&lt;='Resource Planner'!$N$16),'Resource Planner'!$F$16&amp;" "&amp;('Resource Planner'!$G$16+(47-1)*'Resource Planner'!$I$16)&amp;IF(('Resource Planner'!$G$16+(47-1)*'Resource Planner'!$I$16)=MIN('Resource Planner'!$G$16+47*'Resource Planner'!$I$16-1,'Resource Planner'!$H$16),"","–"&amp;MIN('Resource Planner'!$G$16+47*'Resource Planner'!$I$16-1,'Resource Planner'!$H$16)),"")</f>
        <v/>
      </c>
      <c r="G351" s="163" t="s">
        <v>109</v>
      </c>
      <c r="H351" s="163" t="str">
        <f>IF(AND('Resource Planner'!$A$16="☑",47&lt;='Resource Planner'!$N$16),'Resource Planner'!$M$16,"")</f>
        <v/>
      </c>
    </row>
    <row r="352" ht="15.75" customHeight="1">
      <c r="A3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52" s="163" t="str">
        <f>IF(AND('Resource Planner'!$A$16="☑",48&lt;='Resource Planner'!$N$16),'Resource Planner'!$C$16,"")</f>
        <v/>
      </c>
      <c r="C352" s="163" t="str">
        <f>IF(AND('Resource Planner'!$A$16="☑",48&lt;='Resource Planner'!$N$16),'Resource Planner'!$B$16,"")</f>
        <v/>
      </c>
      <c r="D352" s="163" t="str">
        <f>IF(AND('Resource Planner'!$A$16="☑",48&lt;='Resource Planner'!$N$16),'Resource Planner'!$D$16,"")</f>
        <v/>
      </c>
      <c r="E352" s="163" t="str">
        <f>IF(AND('Resource Planner'!$A$16="☑",48&lt;='Resource Planner'!$N$16),'Resource Planner'!$E$16,"")</f>
        <v/>
      </c>
      <c r="F352" s="163" t="str">
        <f>IF(AND('Resource Planner'!$A$16="☑",48&lt;='Resource Planner'!$N$16),'Resource Planner'!$F$16&amp;" "&amp;('Resource Planner'!$G$16+(48-1)*'Resource Planner'!$I$16)&amp;IF(('Resource Planner'!$G$16+(48-1)*'Resource Planner'!$I$16)=MIN('Resource Planner'!$G$16+48*'Resource Planner'!$I$16-1,'Resource Planner'!$H$16),"","–"&amp;MIN('Resource Planner'!$G$16+48*'Resource Planner'!$I$16-1,'Resource Planner'!$H$16)),"")</f>
        <v/>
      </c>
      <c r="G352" s="163" t="s">
        <v>109</v>
      </c>
      <c r="H352" s="163" t="str">
        <f>IF(AND('Resource Planner'!$A$16="☑",48&lt;='Resource Planner'!$N$16),'Resource Planner'!$M$16,"")</f>
        <v/>
      </c>
    </row>
    <row r="353" ht="15.75" customHeight="1">
      <c r="A3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53" s="163" t="str">
        <f>IF(AND('Resource Planner'!$A$16="☑",49&lt;='Resource Planner'!$N$16),'Resource Planner'!$C$16,"")</f>
        <v/>
      </c>
      <c r="C353" s="163" t="str">
        <f>IF(AND('Resource Planner'!$A$16="☑",49&lt;='Resource Planner'!$N$16),'Resource Planner'!$B$16,"")</f>
        <v/>
      </c>
      <c r="D353" s="163" t="str">
        <f>IF(AND('Resource Planner'!$A$16="☑",49&lt;='Resource Planner'!$N$16),'Resource Planner'!$D$16,"")</f>
        <v/>
      </c>
      <c r="E353" s="163" t="str">
        <f>IF(AND('Resource Planner'!$A$16="☑",49&lt;='Resource Planner'!$N$16),'Resource Planner'!$E$16,"")</f>
        <v/>
      </c>
      <c r="F353" s="163" t="str">
        <f>IF(AND('Resource Planner'!$A$16="☑",49&lt;='Resource Planner'!$N$16),'Resource Planner'!$F$16&amp;" "&amp;('Resource Planner'!$G$16+(49-1)*'Resource Planner'!$I$16)&amp;IF(('Resource Planner'!$G$16+(49-1)*'Resource Planner'!$I$16)=MIN('Resource Planner'!$G$16+49*'Resource Planner'!$I$16-1,'Resource Planner'!$H$16),"","–"&amp;MIN('Resource Planner'!$G$16+49*'Resource Planner'!$I$16-1,'Resource Planner'!$H$16)),"")</f>
        <v/>
      </c>
      <c r="G353" s="163" t="s">
        <v>109</v>
      </c>
      <c r="H353" s="163" t="str">
        <f>IF(AND('Resource Planner'!$A$16="☑",49&lt;='Resource Planner'!$N$16),'Resource Planner'!$M$16,"")</f>
        <v/>
      </c>
    </row>
    <row r="354" ht="15.75" customHeight="1">
      <c r="A3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54" s="163" t="str">
        <f>IF(AND('Resource Planner'!$A$16="☑",50&lt;='Resource Planner'!$N$16),'Resource Planner'!$C$16,"")</f>
        <v/>
      </c>
      <c r="C354" s="163" t="str">
        <f>IF(AND('Resource Planner'!$A$16="☑",50&lt;='Resource Planner'!$N$16),'Resource Planner'!$B$16,"")</f>
        <v/>
      </c>
      <c r="D354" s="163" t="str">
        <f>IF(AND('Resource Planner'!$A$16="☑",50&lt;='Resource Planner'!$N$16),'Resource Planner'!$D$16,"")</f>
        <v/>
      </c>
      <c r="E354" s="163" t="str">
        <f>IF(AND('Resource Planner'!$A$16="☑",50&lt;='Resource Planner'!$N$16),'Resource Planner'!$E$16,"")</f>
        <v/>
      </c>
      <c r="F354" s="163" t="str">
        <f>IF(AND('Resource Planner'!$A$16="☑",50&lt;='Resource Planner'!$N$16),'Resource Planner'!$F$16&amp;" "&amp;('Resource Planner'!$G$16+(50-1)*'Resource Planner'!$I$16)&amp;IF(('Resource Planner'!$G$16+(50-1)*'Resource Planner'!$I$16)=MIN('Resource Planner'!$G$16+50*'Resource Planner'!$I$16-1,'Resource Planner'!$H$16),"","–"&amp;MIN('Resource Planner'!$G$16+50*'Resource Planner'!$I$16-1,'Resource Planner'!$H$16)),"")</f>
        <v/>
      </c>
      <c r="G354" s="163" t="s">
        <v>109</v>
      </c>
      <c r="H354" s="163" t="str">
        <f>IF(AND('Resource Planner'!$A$16="☑",50&lt;='Resource Planner'!$N$16),'Resource Planner'!$M$16,"")</f>
        <v/>
      </c>
    </row>
    <row r="355" ht="15.75" customHeight="1">
      <c r="A35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week"",10*(n-1),""Custom"",gap*(n-1),n-1),IF(AND(active=""☑"",n&lt;=lessons,st&lt;&gt;""""),INDEX(eligibleDates,startPos+offset),"""")),"""")"),46274.0)</f>
        <v>46274</v>
      </c>
      <c r="B355" s="33" t="str">
        <f>IF(AND('Resource Planner'!$A$17="☑",1&lt;='Resource Planner'!$N$17),'Resource Planner'!$C$17,"")</f>
        <v>Everyone</v>
      </c>
      <c r="C355" s="33" t="str">
        <f>IF(AND('Resource Planner'!$A$17="☑",1&lt;='Resource Planner'!$N$17),'Resource Planner'!$B$17,"")</f>
        <v>Reading Loop</v>
      </c>
      <c r="D355" s="33" t="str">
        <f>IF(AND('Resource Planner'!$A$17="☑",1&lt;='Resource Planner'!$N$17),'Resource Planner'!$D$17,"")</f>
        <v>All Together / Literature — Family Read-Aloud</v>
      </c>
      <c r="E355" s="33" t="str">
        <f>IF(AND('Resource Planner'!$A$17="☑",1&lt;='Resource Planner'!$N$17),'Resource Planner'!$E$17,"")</f>
        <v>Pinocchio</v>
      </c>
      <c r="F355" s="163" t="str">
        <f>IF(AND('Resource Planner'!$A$17="☑",1&lt;='Resource Planner'!$N$17),'Resource Planner'!$F$17&amp;" "&amp;('Resource Planner'!$G$17+(1-1)*'Resource Planner'!$I$17)&amp;IF(('Resource Planner'!$G$17+(1-1)*'Resource Planner'!$I$17)=MIN('Resource Planner'!$G$17+1*'Resource Planner'!$I$17-1,'Resource Planner'!$H$17),"","–"&amp;MIN('Resource Planner'!$G$17+1*'Resource Planner'!$I$17-1,'Resource Planner'!$H$17)),"")</f>
        <v>Chapter 1–2</v>
      </c>
      <c r="G355" s="163" t="s">
        <v>109</v>
      </c>
      <c r="H355" s="33" t="str">
        <f>IF(AND('Resource Planner'!$A$17="☑",1&lt;='Resource Planner'!$N$17),'Resource Planner'!$M$17,"")</f>
        <v>sequencing sample</v>
      </c>
    </row>
    <row r="356" ht="15.75" customHeight="1">
      <c r="A35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week"",10*(n-1),""Custom"",gap*(n-1),n-1),IF(AND(active=""☑"",n&lt;=lessons,st&lt;&gt;""""),INDEX(eligibleDates,startPos+offset),"""")),"""")"),46275.0)</f>
        <v>46275</v>
      </c>
      <c r="B356" s="33" t="str">
        <f>IF(AND('Resource Planner'!$A$17="☑",2&lt;='Resource Planner'!$N$17),'Resource Planner'!$C$17,"")</f>
        <v>Everyone</v>
      </c>
      <c r="C356" s="33" t="str">
        <f>IF(AND('Resource Planner'!$A$17="☑",2&lt;='Resource Planner'!$N$17),'Resource Planner'!$B$17,"")</f>
        <v>Reading Loop</v>
      </c>
      <c r="D356" s="33" t="str">
        <f>IF(AND('Resource Planner'!$A$17="☑",2&lt;='Resource Planner'!$N$17),'Resource Planner'!$D$17,"")</f>
        <v>All Together / Literature — Family Read-Aloud</v>
      </c>
      <c r="E356" s="33" t="str">
        <f>IF(AND('Resource Planner'!$A$17="☑",2&lt;='Resource Planner'!$N$17),'Resource Planner'!$E$17,"")</f>
        <v>Pinocchio</v>
      </c>
      <c r="F356" s="163" t="str">
        <f>IF(AND('Resource Planner'!$A$17="☑",2&lt;='Resource Planner'!$N$17),'Resource Planner'!$F$17&amp;" "&amp;('Resource Planner'!$G$17+(2-1)*'Resource Planner'!$I$17)&amp;IF(('Resource Planner'!$G$17+(2-1)*'Resource Planner'!$I$17)=MIN('Resource Planner'!$G$17+2*'Resource Planner'!$I$17-1,'Resource Planner'!$H$17),"","–"&amp;MIN('Resource Planner'!$G$17+2*'Resource Planner'!$I$17-1,'Resource Planner'!$H$17)),"")</f>
        <v>Chapter 3–4</v>
      </c>
      <c r="G356" s="163" t="s">
        <v>109</v>
      </c>
      <c r="H356" s="33" t="str">
        <f>IF(AND('Resource Planner'!$A$17="☑",2&lt;='Resource Planner'!$N$17),'Resource Planner'!$M$17,"")</f>
        <v>sequencing sample</v>
      </c>
    </row>
    <row r="357" ht="15.75" customHeight="1">
      <c r="A35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week"",10*(n-1),""Custom"",gap*(n-1),n-1),IF(AND(active=""☑"",n&lt;=lessons,st&lt;&gt;""""),INDEX(eligibleDates,startPos+offset),"""")),"""")"),46276.0)</f>
        <v>46276</v>
      </c>
      <c r="B357" s="33" t="str">
        <f>IF(AND('Resource Planner'!$A$17="☑",3&lt;='Resource Planner'!$N$17),'Resource Planner'!$C$17,"")</f>
        <v>Everyone</v>
      </c>
      <c r="C357" s="33" t="str">
        <f>IF(AND('Resource Planner'!$A$17="☑",3&lt;='Resource Planner'!$N$17),'Resource Planner'!$B$17,"")</f>
        <v>Reading Loop</v>
      </c>
      <c r="D357" s="33" t="str">
        <f>IF(AND('Resource Planner'!$A$17="☑",3&lt;='Resource Planner'!$N$17),'Resource Planner'!$D$17,"")</f>
        <v>All Together / Literature — Family Read-Aloud</v>
      </c>
      <c r="E357" s="33" t="str">
        <f>IF(AND('Resource Planner'!$A$17="☑",3&lt;='Resource Planner'!$N$17),'Resource Planner'!$E$17,"")</f>
        <v>Pinocchio</v>
      </c>
      <c r="F357" s="163" t="str">
        <f>IF(AND('Resource Planner'!$A$17="☑",3&lt;='Resource Planner'!$N$17),'Resource Planner'!$F$17&amp;" "&amp;('Resource Planner'!$G$17+(3-1)*'Resource Planner'!$I$17)&amp;IF(('Resource Planner'!$G$17+(3-1)*'Resource Planner'!$I$17)=MIN('Resource Planner'!$G$17+3*'Resource Planner'!$I$17-1,'Resource Planner'!$H$17),"","–"&amp;MIN('Resource Planner'!$G$17+3*'Resource Planner'!$I$17-1,'Resource Planner'!$H$17)),"")</f>
        <v>Chapter 5–6</v>
      </c>
      <c r="G357" s="163" t="s">
        <v>109</v>
      </c>
      <c r="H357" s="33" t="str">
        <f>IF(AND('Resource Planner'!$A$17="☑",3&lt;='Resource Planner'!$N$17),'Resource Planner'!$M$17,"")</f>
        <v>sequencing sample</v>
      </c>
    </row>
    <row r="358" ht="15.75" customHeight="1">
      <c r="A35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week"",10*(n-1),""Custom"",gap*(n-1),n-1),IF(AND(active=""☑"",n&lt;=lessons,st&lt;&gt;""""),INDEX(eligibleDates,startPos+offset),"""")),"""")"),46281.0)</f>
        <v>46281</v>
      </c>
      <c r="B358" s="33" t="str">
        <f>IF(AND('Resource Planner'!$A$17="☑",4&lt;='Resource Planner'!$N$17),'Resource Planner'!$C$17,"")</f>
        <v>Everyone</v>
      </c>
      <c r="C358" s="33" t="str">
        <f>IF(AND('Resource Planner'!$A$17="☑",4&lt;='Resource Planner'!$N$17),'Resource Planner'!$B$17,"")</f>
        <v>Reading Loop</v>
      </c>
      <c r="D358" s="33" t="str">
        <f>IF(AND('Resource Planner'!$A$17="☑",4&lt;='Resource Planner'!$N$17),'Resource Planner'!$D$17,"")</f>
        <v>All Together / Literature — Family Read-Aloud</v>
      </c>
      <c r="E358" s="33" t="str">
        <f>IF(AND('Resource Planner'!$A$17="☑",4&lt;='Resource Planner'!$N$17),'Resource Planner'!$E$17,"")</f>
        <v>Pinocchio</v>
      </c>
      <c r="F358" s="163" t="str">
        <f>IF(AND('Resource Planner'!$A$17="☑",4&lt;='Resource Planner'!$N$17),'Resource Planner'!$F$17&amp;" "&amp;('Resource Planner'!$G$17+(4-1)*'Resource Planner'!$I$17)&amp;IF(('Resource Planner'!$G$17+(4-1)*'Resource Planner'!$I$17)=MIN('Resource Planner'!$G$17+4*'Resource Planner'!$I$17-1,'Resource Planner'!$H$17),"","–"&amp;MIN('Resource Planner'!$G$17+4*'Resource Planner'!$I$17-1,'Resource Planner'!$H$17)),"")</f>
        <v>Chapter 7–8</v>
      </c>
      <c r="G358" s="163" t="s">
        <v>109</v>
      </c>
      <c r="H358" s="33" t="str">
        <f>IF(AND('Resource Planner'!$A$17="☑",4&lt;='Resource Planner'!$N$17),'Resource Planner'!$M$17,"")</f>
        <v>sequencing sample</v>
      </c>
    </row>
    <row r="359" ht="15.75" customHeight="1">
      <c r="A35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week"",10*(n-1),""Custom"",gap*(n-1),n-1),IF(AND(active=""☑"",n&lt;=lessons,st&lt;&gt;""""),INDEX(eligibleDates,startPos+offset),"""")),"""")"),46282.0)</f>
        <v>46282</v>
      </c>
      <c r="B359" s="33" t="str">
        <f>IF(AND('Resource Planner'!$A$17="☑",5&lt;='Resource Planner'!$N$17),'Resource Planner'!$C$17,"")</f>
        <v>Everyone</v>
      </c>
      <c r="C359" s="33" t="str">
        <f>IF(AND('Resource Planner'!$A$17="☑",5&lt;='Resource Planner'!$N$17),'Resource Planner'!$B$17,"")</f>
        <v>Reading Loop</v>
      </c>
      <c r="D359" s="33" t="str">
        <f>IF(AND('Resource Planner'!$A$17="☑",5&lt;='Resource Planner'!$N$17),'Resource Planner'!$D$17,"")</f>
        <v>All Together / Literature — Family Read-Aloud</v>
      </c>
      <c r="E359" s="33" t="str">
        <f>IF(AND('Resource Planner'!$A$17="☑",5&lt;='Resource Planner'!$N$17),'Resource Planner'!$E$17,"")</f>
        <v>Pinocchio</v>
      </c>
      <c r="F359" s="163" t="str">
        <f>IF(AND('Resource Planner'!$A$17="☑",5&lt;='Resource Planner'!$N$17),'Resource Planner'!$F$17&amp;" "&amp;('Resource Planner'!$G$17+(5-1)*'Resource Planner'!$I$17)&amp;IF(('Resource Planner'!$G$17+(5-1)*'Resource Planner'!$I$17)=MIN('Resource Planner'!$G$17+5*'Resource Planner'!$I$17-1,'Resource Planner'!$H$17),"","–"&amp;MIN('Resource Planner'!$G$17+5*'Resource Planner'!$I$17-1,'Resource Planner'!$H$17)),"")</f>
        <v>Chapter 9–10</v>
      </c>
      <c r="G359" s="163" t="s">
        <v>109</v>
      </c>
      <c r="H359" s="33" t="str">
        <f>IF(AND('Resource Planner'!$A$17="☑",5&lt;='Resource Planner'!$N$17),'Resource Planner'!$M$17,"")</f>
        <v>sequencing sample</v>
      </c>
    </row>
    <row r="360" ht="15.75" customHeight="1">
      <c r="A36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week"",10*(n-1),""Custom"",gap*(n-1),n-1),IF(AND(active=""☑"",n&lt;=lessons,st&lt;&gt;""""),INDEX(eligibleDates,startPos+offset),"""")),"""")"),46283.0)</f>
        <v>46283</v>
      </c>
      <c r="B360" s="33" t="str">
        <f>IF(AND('Resource Planner'!$A$17="☑",6&lt;='Resource Planner'!$N$17),'Resource Planner'!$C$17,"")</f>
        <v>Everyone</v>
      </c>
      <c r="C360" s="33" t="str">
        <f>IF(AND('Resource Planner'!$A$17="☑",6&lt;='Resource Planner'!$N$17),'Resource Planner'!$B$17,"")</f>
        <v>Reading Loop</v>
      </c>
      <c r="D360" s="33" t="str">
        <f>IF(AND('Resource Planner'!$A$17="☑",6&lt;='Resource Planner'!$N$17),'Resource Planner'!$D$17,"")</f>
        <v>All Together / Literature — Family Read-Aloud</v>
      </c>
      <c r="E360" s="33" t="str">
        <f>IF(AND('Resource Planner'!$A$17="☑",6&lt;='Resource Planner'!$N$17),'Resource Planner'!$E$17,"")</f>
        <v>Pinocchio</v>
      </c>
      <c r="F360" s="163" t="str">
        <f>IF(AND('Resource Planner'!$A$17="☑",6&lt;='Resource Planner'!$N$17),'Resource Planner'!$F$17&amp;" "&amp;('Resource Planner'!$G$17+(6-1)*'Resource Planner'!$I$17)&amp;IF(('Resource Planner'!$G$17+(6-1)*'Resource Planner'!$I$17)=MIN('Resource Planner'!$G$17+6*'Resource Planner'!$I$17-1,'Resource Planner'!$H$17),"","–"&amp;MIN('Resource Planner'!$G$17+6*'Resource Planner'!$I$17-1,'Resource Planner'!$H$17)),"")</f>
        <v>Chapter 11–12</v>
      </c>
      <c r="G360" s="163" t="s">
        <v>109</v>
      </c>
      <c r="H360" s="33" t="str">
        <f>IF(AND('Resource Planner'!$A$17="☑",6&lt;='Resource Planner'!$N$17),'Resource Planner'!$M$17,"")</f>
        <v>sequencing sample</v>
      </c>
    </row>
    <row r="361" ht="15.75" customHeight="1">
      <c r="A36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week"",10*(n-1),""Custom"",gap*(n-1),n-1),IF(AND(active=""☑"",n&lt;=lessons,st&lt;&gt;""""),INDEX(eligibleDates,startPos+offset),"""")),"""")"),46288.0)</f>
        <v>46288</v>
      </c>
      <c r="B361" s="33" t="str">
        <f>IF(AND('Resource Planner'!$A$17="☑",7&lt;='Resource Planner'!$N$17),'Resource Planner'!$C$17,"")</f>
        <v>Everyone</v>
      </c>
      <c r="C361" s="33" t="str">
        <f>IF(AND('Resource Planner'!$A$17="☑",7&lt;='Resource Planner'!$N$17),'Resource Planner'!$B$17,"")</f>
        <v>Reading Loop</v>
      </c>
      <c r="D361" s="33" t="str">
        <f>IF(AND('Resource Planner'!$A$17="☑",7&lt;='Resource Planner'!$N$17),'Resource Planner'!$D$17,"")</f>
        <v>All Together / Literature — Family Read-Aloud</v>
      </c>
      <c r="E361" s="33" t="str">
        <f>IF(AND('Resource Planner'!$A$17="☑",7&lt;='Resource Planner'!$N$17),'Resource Planner'!$E$17,"")</f>
        <v>Pinocchio</v>
      </c>
      <c r="F361" s="163" t="str">
        <f>IF(AND('Resource Planner'!$A$17="☑",7&lt;='Resource Planner'!$N$17),'Resource Planner'!$F$17&amp;" "&amp;('Resource Planner'!$G$17+(7-1)*'Resource Planner'!$I$17)&amp;IF(('Resource Planner'!$G$17+(7-1)*'Resource Planner'!$I$17)=MIN('Resource Planner'!$G$17+7*'Resource Planner'!$I$17-1,'Resource Planner'!$H$17),"","–"&amp;MIN('Resource Planner'!$G$17+7*'Resource Planner'!$I$17-1,'Resource Planner'!$H$17)),"")</f>
        <v>Chapter 13–14</v>
      </c>
      <c r="G361" s="163" t="s">
        <v>109</v>
      </c>
      <c r="H361" s="33" t="str">
        <f>IF(AND('Resource Planner'!$A$17="☑",7&lt;='Resource Planner'!$N$17),'Resource Planner'!$M$17,"")</f>
        <v>sequencing sample</v>
      </c>
    </row>
    <row r="362" ht="15.75" customHeight="1">
      <c r="A36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week"",10*(n-1),""Custom"",gap*(n-1),n-1),IF(AND(active=""☑"",n&lt;=lessons,st&lt;&gt;""""),INDEX(eligibleDates,startPos+offset),"""")),"""")"),46289.0)</f>
        <v>46289</v>
      </c>
      <c r="B362" s="33" t="str">
        <f>IF(AND('Resource Planner'!$A$17="☑",8&lt;='Resource Planner'!$N$17),'Resource Planner'!$C$17,"")</f>
        <v>Everyone</v>
      </c>
      <c r="C362" s="33" t="str">
        <f>IF(AND('Resource Planner'!$A$17="☑",8&lt;='Resource Planner'!$N$17),'Resource Planner'!$B$17,"")</f>
        <v>Reading Loop</v>
      </c>
      <c r="D362" s="33" t="str">
        <f>IF(AND('Resource Planner'!$A$17="☑",8&lt;='Resource Planner'!$N$17),'Resource Planner'!$D$17,"")</f>
        <v>All Together / Literature — Family Read-Aloud</v>
      </c>
      <c r="E362" s="33" t="str">
        <f>IF(AND('Resource Planner'!$A$17="☑",8&lt;='Resource Planner'!$N$17),'Resource Planner'!$E$17,"")</f>
        <v>Pinocchio</v>
      </c>
      <c r="F362" s="163" t="str">
        <f>IF(AND('Resource Planner'!$A$17="☑",8&lt;='Resource Planner'!$N$17),'Resource Planner'!$F$17&amp;" "&amp;('Resource Planner'!$G$17+(8-1)*'Resource Planner'!$I$17)&amp;IF(('Resource Planner'!$G$17+(8-1)*'Resource Planner'!$I$17)=MIN('Resource Planner'!$G$17+8*'Resource Planner'!$I$17-1,'Resource Planner'!$H$17),"","–"&amp;MIN('Resource Planner'!$G$17+8*'Resource Planner'!$I$17-1,'Resource Planner'!$H$17)),"")</f>
        <v>Chapter 15–16</v>
      </c>
      <c r="G362" s="163" t="s">
        <v>109</v>
      </c>
      <c r="H362" s="33" t="str">
        <f>IF(AND('Resource Planner'!$A$17="☑",8&lt;='Resource Planner'!$N$17),'Resource Planner'!$M$17,"")</f>
        <v>sequencing sample</v>
      </c>
    </row>
    <row r="363" ht="15.75" customHeight="1">
      <c r="A36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week"",10*(n-1),""Custom"",gap*(n-1),n-1),IF(AND(active=""☑"",n&lt;=lessons,st&lt;&gt;""""),INDEX(eligibleDates,startPos+offset),"""")),"""")"),46290.0)</f>
        <v>46290</v>
      </c>
      <c r="B363" s="33" t="str">
        <f>IF(AND('Resource Planner'!$A$17="☑",9&lt;='Resource Planner'!$N$17),'Resource Planner'!$C$17,"")</f>
        <v>Everyone</v>
      </c>
      <c r="C363" s="33" t="str">
        <f>IF(AND('Resource Planner'!$A$17="☑",9&lt;='Resource Planner'!$N$17),'Resource Planner'!$B$17,"")</f>
        <v>Reading Loop</v>
      </c>
      <c r="D363" s="33" t="str">
        <f>IF(AND('Resource Planner'!$A$17="☑",9&lt;='Resource Planner'!$N$17),'Resource Planner'!$D$17,"")</f>
        <v>All Together / Literature — Family Read-Aloud</v>
      </c>
      <c r="E363" s="33" t="str">
        <f>IF(AND('Resource Planner'!$A$17="☑",9&lt;='Resource Planner'!$N$17),'Resource Planner'!$E$17,"")</f>
        <v>Pinocchio</v>
      </c>
      <c r="F363" s="163" t="str">
        <f>IF(AND('Resource Planner'!$A$17="☑",9&lt;='Resource Planner'!$N$17),'Resource Planner'!$F$17&amp;" "&amp;('Resource Planner'!$G$17+(9-1)*'Resource Planner'!$I$17)&amp;IF(('Resource Planner'!$G$17+(9-1)*'Resource Planner'!$I$17)=MIN('Resource Planner'!$G$17+9*'Resource Planner'!$I$17-1,'Resource Planner'!$H$17),"","–"&amp;MIN('Resource Planner'!$G$17+9*'Resource Planner'!$I$17-1,'Resource Planner'!$H$17)),"")</f>
        <v>Chapter 17–18</v>
      </c>
      <c r="G363" s="163" t="s">
        <v>109</v>
      </c>
      <c r="H363" s="33" t="str">
        <f>IF(AND('Resource Planner'!$A$17="☑",9&lt;='Resource Planner'!$N$17),'Resource Planner'!$M$17,"")</f>
        <v>sequencing sample</v>
      </c>
    </row>
    <row r="364" ht="15.75" customHeight="1">
      <c r="A36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week"",10*(n-1),""Custom"",gap*(n-1),n-1),IF(AND(active=""☑"",n&lt;=lessons,st&lt;&gt;""""),INDEX(eligibleDates,startPos+offset),"""")),"""")"),46295.0)</f>
        <v>46295</v>
      </c>
      <c r="B364" s="33" t="str">
        <f>IF(AND('Resource Planner'!$A$17="☑",10&lt;='Resource Planner'!$N$17),'Resource Planner'!$C$17,"")</f>
        <v>Everyone</v>
      </c>
      <c r="C364" s="33" t="str">
        <f>IF(AND('Resource Planner'!$A$17="☑",10&lt;='Resource Planner'!$N$17),'Resource Planner'!$B$17,"")</f>
        <v>Reading Loop</v>
      </c>
      <c r="D364" s="33" t="str">
        <f>IF(AND('Resource Planner'!$A$17="☑",10&lt;='Resource Planner'!$N$17),'Resource Planner'!$D$17,"")</f>
        <v>All Together / Literature — Family Read-Aloud</v>
      </c>
      <c r="E364" s="33" t="str">
        <f>IF(AND('Resource Planner'!$A$17="☑",10&lt;='Resource Planner'!$N$17),'Resource Planner'!$E$17,"")</f>
        <v>Pinocchio</v>
      </c>
      <c r="F364" s="163" t="str">
        <f>IF(AND('Resource Planner'!$A$17="☑",10&lt;='Resource Planner'!$N$17),'Resource Planner'!$F$17&amp;" "&amp;('Resource Planner'!$G$17+(10-1)*'Resource Planner'!$I$17)&amp;IF(('Resource Planner'!$G$17+(10-1)*'Resource Planner'!$I$17)=MIN('Resource Planner'!$G$17+10*'Resource Planner'!$I$17-1,'Resource Planner'!$H$17),"","–"&amp;MIN('Resource Planner'!$G$17+10*'Resource Planner'!$I$17-1,'Resource Planner'!$H$17)),"")</f>
        <v>Chapter 19–20</v>
      </c>
      <c r="G364" s="163" t="s">
        <v>109</v>
      </c>
      <c r="H364" s="33" t="str">
        <f>IF(AND('Resource Planner'!$A$17="☑",10&lt;='Resource Planner'!$N$17),'Resource Planner'!$M$17,"")</f>
        <v>sequencing sample</v>
      </c>
    </row>
    <row r="365" ht="15.75" customHeight="1">
      <c r="A36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week"",10*(n-1),""Custom"",gap*(n-1),n-1),IF(AND(active=""☑"",n&lt;=lessons,st&lt;&gt;""""),INDEX(eligibleDates,startPos+offset),"""")),"""")"),46296.0)</f>
        <v>46296</v>
      </c>
      <c r="B365" s="33" t="str">
        <f>IF(AND('Resource Planner'!$A$17="☑",11&lt;='Resource Planner'!$N$17),'Resource Planner'!$C$17,"")</f>
        <v>Everyone</v>
      </c>
      <c r="C365" s="33" t="str">
        <f>IF(AND('Resource Planner'!$A$17="☑",11&lt;='Resource Planner'!$N$17),'Resource Planner'!$B$17,"")</f>
        <v>Reading Loop</v>
      </c>
      <c r="D365" s="33" t="str">
        <f>IF(AND('Resource Planner'!$A$17="☑",11&lt;='Resource Planner'!$N$17),'Resource Planner'!$D$17,"")</f>
        <v>All Together / Literature — Family Read-Aloud</v>
      </c>
      <c r="E365" s="33" t="str">
        <f>IF(AND('Resource Planner'!$A$17="☑",11&lt;='Resource Planner'!$N$17),'Resource Planner'!$E$17,"")</f>
        <v>Pinocchio</v>
      </c>
      <c r="F365" s="163" t="str">
        <f>IF(AND('Resource Planner'!$A$17="☑",11&lt;='Resource Planner'!$N$17),'Resource Planner'!$F$17&amp;" "&amp;('Resource Planner'!$G$17+(11-1)*'Resource Planner'!$I$17)&amp;IF(('Resource Planner'!$G$17+(11-1)*'Resource Planner'!$I$17)=MIN('Resource Planner'!$G$17+11*'Resource Planner'!$I$17-1,'Resource Planner'!$H$17),"","–"&amp;MIN('Resource Planner'!$G$17+11*'Resource Planner'!$I$17-1,'Resource Planner'!$H$17)),"")</f>
        <v>Chapter 21–22</v>
      </c>
      <c r="G365" s="163" t="s">
        <v>109</v>
      </c>
      <c r="H365" s="33" t="str">
        <f>IF(AND('Resource Planner'!$A$17="☑",11&lt;='Resource Planner'!$N$17),'Resource Planner'!$M$17,"")</f>
        <v>sequencing sample</v>
      </c>
    </row>
    <row r="366" ht="15.75" customHeight="1">
      <c r="A36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week"",10*(n-1),""Custom"",gap*(n-1),n-1),IF(AND(active=""☑"",n&lt;=lessons,st&lt;&gt;""""),INDEX(eligibleDates,startPos+offset),"""")),"""")"),46297.0)</f>
        <v>46297</v>
      </c>
      <c r="B366" s="33" t="str">
        <f>IF(AND('Resource Planner'!$A$17="☑",12&lt;='Resource Planner'!$N$17),'Resource Planner'!$C$17,"")</f>
        <v>Everyone</v>
      </c>
      <c r="C366" s="33" t="str">
        <f>IF(AND('Resource Planner'!$A$17="☑",12&lt;='Resource Planner'!$N$17),'Resource Planner'!$B$17,"")</f>
        <v>Reading Loop</v>
      </c>
      <c r="D366" s="33" t="str">
        <f>IF(AND('Resource Planner'!$A$17="☑",12&lt;='Resource Planner'!$N$17),'Resource Planner'!$D$17,"")</f>
        <v>All Together / Literature — Family Read-Aloud</v>
      </c>
      <c r="E366" s="33" t="str">
        <f>IF(AND('Resource Planner'!$A$17="☑",12&lt;='Resource Planner'!$N$17),'Resource Planner'!$E$17,"")</f>
        <v>Pinocchio</v>
      </c>
      <c r="F366" s="163" t="str">
        <f>IF(AND('Resource Planner'!$A$17="☑",12&lt;='Resource Planner'!$N$17),'Resource Planner'!$F$17&amp;" "&amp;('Resource Planner'!$G$17+(12-1)*'Resource Planner'!$I$17)&amp;IF(('Resource Planner'!$G$17+(12-1)*'Resource Planner'!$I$17)=MIN('Resource Planner'!$G$17+12*'Resource Planner'!$I$17-1,'Resource Planner'!$H$17),"","–"&amp;MIN('Resource Planner'!$G$17+12*'Resource Planner'!$I$17-1,'Resource Planner'!$H$17)),"")</f>
        <v>Chapter 23–24</v>
      </c>
      <c r="G366" s="163" t="s">
        <v>109</v>
      </c>
      <c r="H366" s="33" t="str">
        <f>IF(AND('Resource Planner'!$A$17="☑",12&lt;='Resource Planner'!$N$17),'Resource Planner'!$M$17,"")</f>
        <v>sequencing sample</v>
      </c>
    </row>
    <row r="367" ht="15.75" customHeight="1">
      <c r="A36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week"",10*(n-1),""Custom"",gap*(n-1),n-1),IF(AND(active=""☑"",n&lt;=lessons,st&lt;&gt;""""),INDEX(eligibleDates,startPos+offset),"""")),"""")"),46302.0)</f>
        <v>46302</v>
      </c>
      <c r="B367" s="33" t="str">
        <f>IF(AND('Resource Planner'!$A$17="☑",13&lt;='Resource Planner'!$N$17),'Resource Planner'!$C$17,"")</f>
        <v>Everyone</v>
      </c>
      <c r="C367" s="33" t="str">
        <f>IF(AND('Resource Planner'!$A$17="☑",13&lt;='Resource Planner'!$N$17),'Resource Planner'!$B$17,"")</f>
        <v>Reading Loop</v>
      </c>
      <c r="D367" s="33" t="str">
        <f>IF(AND('Resource Planner'!$A$17="☑",13&lt;='Resource Planner'!$N$17),'Resource Planner'!$D$17,"")</f>
        <v>All Together / Literature — Family Read-Aloud</v>
      </c>
      <c r="E367" s="33" t="str">
        <f>IF(AND('Resource Planner'!$A$17="☑",13&lt;='Resource Planner'!$N$17),'Resource Planner'!$E$17,"")</f>
        <v>Pinocchio</v>
      </c>
      <c r="F367" s="163" t="str">
        <f>IF(AND('Resource Planner'!$A$17="☑",13&lt;='Resource Planner'!$N$17),'Resource Planner'!$F$17&amp;" "&amp;('Resource Planner'!$G$17+(13-1)*'Resource Planner'!$I$17)&amp;IF(('Resource Planner'!$G$17+(13-1)*'Resource Planner'!$I$17)=MIN('Resource Planner'!$G$17+13*'Resource Planner'!$I$17-1,'Resource Planner'!$H$17),"","–"&amp;MIN('Resource Planner'!$G$17+13*'Resource Planner'!$I$17-1,'Resource Planner'!$H$17)),"")</f>
        <v>Chapter 25–26</v>
      </c>
      <c r="G367" s="163" t="s">
        <v>109</v>
      </c>
      <c r="H367" s="33" t="str">
        <f>IF(AND('Resource Planner'!$A$17="☑",13&lt;='Resource Planner'!$N$17),'Resource Planner'!$M$17,"")</f>
        <v>sequencing sample</v>
      </c>
    </row>
    <row r="368" ht="15.75" customHeight="1">
      <c r="A36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week"",10*(n-1),""Custom"",gap*(n-1),n-1),IF(AND(active=""☑"",n&lt;=lessons,st&lt;&gt;""""),INDEX(eligibleDates,startPos+offset),"""")),"""")"),46303.0)</f>
        <v>46303</v>
      </c>
      <c r="B368" s="33" t="str">
        <f>IF(AND('Resource Planner'!$A$17="☑",14&lt;='Resource Planner'!$N$17),'Resource Planner'!$C$17,"")</f>
        <v>Everyone</v>
      </c>
      <c r="C368" s="33" t="str">
        <f>IF(AND('Resource Planner'!$A$17="☑",14&lt;='Resource Planner'!$N$17),'Resource Planner'!$B$17,"")</f>
        <v>Reading Loop</v>
      </c>
      <c r="D368" s="33" t="str">
        <f>IF(AND('Resource Planner'!$A$17="☑",14&lt;='Resource Planner'!$N$17),'Resource Planner'!$D$17,"")</f>
        <v>All Together / Literature — Family Read-Aloud</v>
      </c>
      <c r="E368" s="33" t="str">
        <f>IF(AND('Resource Planner'!$A$17="☑",14&lt;='Resource Planner'!$N$17),'Resource Planner'!$E$17,"")</f>
        <v>Pinocchio</v>
      </c>
      <c r="F368" s="163" t="str">
        <f>IF(AND('Resource Planner'!$A$17="☑",14&lt;='Resource Planner'!$N$17),'Resource Planner'!$F$17&amp;" "&amp;('Resource Planner'!$G$17+(14-1)*'Resource Planner'!$I$17)&amp;IF(('Resource Planner'!$G$17+(14-1)*'Resource Planner'!$I$17)=MIN('Resource Planner'!$G$17+14*'Resource Planner'!$I$17-1,'Resource Planner'!$H$17),"","–"&amp;MIN('Resource Planner'!$G$17+14*'Resource Planner'!$I$17-1,'Resource Planner'!$H$17)),"")</f>
        <v>Chapter 27–28</v>
      </c>
      <c r="G368" s="163" t="s">
        <v>109</v>
      </c>
      <c r="H368" s="33" t="str">
        <f>IF(AND('Resource Planner'!$A$17="☑",14&lt;='Resource Planner'!$N$17),'Resource Planner'!$M$17,"")</f>
        <v>sequencing sample</v>
      </c>
    </row>
    <row r="369" ht="15.75" customHeight="1">
      <c r="A36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week"",10*(n-1),""Custom"",gap*(n-1),n-1),IF(AND(active=""☑"",n&lt;=lessons,st&lt;&gt;""""),INDEX(eligibleDates,startPos+offset),"""")),"""")"),46304.0)</f>
        <v>46304</v>
      </c>
      <c r="B369" s="33" t="str">
        <f>IF(AND('Resource Planner'!$A$17="☑",15&lt;='Resource Planner'!$N$17),'Resource Planner'!$C$17,"")</f>
        <v>Everyone</v>
      </c>
      <c r="C369" s="33" t="str">
        <f>IF(AND('Resource Planner'!$A$17="☑",15&lt;='Resource Planner'!$N$17),'Resource Planner'!$B$17,"")</f>
        <v>Reading Loop</v>
      </c>
      <c r="D369" s="33" t="str">
        <f>IF(AND('Resource Planner'!$A$17="☑",15&lt;='Resource Planner'!$N$17),'Resource Planner'!$D$17,"")</f>
        <v>All Together / Literature — Family Read-Aloud</v>
      </c>
      <c r="E369" s="33" t="str">
        <f>IF(AND('Resource Planner'!$A$17="☑",15&lt;='Resource Planner'!$N$17),'Resource Planner'!$E$17,"")</f>
        <v>Pinocchio</v>
      </c>
      <c r="F369" s="163" t="str">
        <f>IF(AND('Resource Planner'!$A$17="☑",15&lt;='Resource Planner'!$N$17),'Resource Planner'!$F$17&amp;" "&amp;('Resource Planner'!$G$17+(15-1)*'Resource Planner'!$I$17)&amp;IF(('Resource Planner'!$G$17+(15-1)*'Resource Planner'!$I$17)=MIN('Resource Planner'!$G$17+15*'Resource Planner'!$I$17-1,'Resource Planner'!$H$17),"","–"&amp;MIN('Resource Planner'!$G$17+15*'Resource Planner'!$I$17-1,'Resource Planner'!$H$17)),"")</f>
        <v>Chapter 29–30</v>
      </c>
      <c r="G369" s="163" t="s">
        <v>109</v>
      </c>
      <c r="H369" s="33" t="str">
        <f>IF(AND('Resource Planner'!$A$17="☑",15&lt;='Resource Planner'!$N$17),'Resource Planner'!$M$17,"")</f>
        <v>sequencing sample</v>
      </c>
    </row>
    <row r="370" ht="15.75" customHeight="1">
      <c r="A37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week"",10*(n-1),""Custom"",gap*(n-1),n-1),IF(AND(active=""☑"",n&lt;=lessons,st&lt;&gt;""""),INDEX(eligibleDates,startPos+offset),"""")),"""")"),46309.0)</f>
        <v>46309</v>
      </c>
      <c r="B370" s="33" t="str">
        <f>IF(AND('Resource Planner'!$A$17="☑",16&lt;='Resource Planner'!$N$17),'Resource Planner'!$C$17,"")</f>
        <v>Everyone</v>
      </c>
      <c r="C370" s="33" t="str">
        <f>IF(AND('Resource Planner'!$A$17="☑",16&lt;='Resource Planner'!$N$17),'Resource Planner'!$B$17,"")</f>
        <v>Reading Loop</v>
      </c>
      <c r="D370" s="33" t="str">
        <f>IF(AND('Resource Planner'!$A$17="☑",16&lt;='Resource Planner'!$N$17),'Resource Planner'!$D$17,"")</f>
        <v>All Together / Literature — Family Read-Aloud</v>
      </c>
      <c r="E370" s="33" t="str">
        <f>IF(AND('Resource Planner'!$A$17="☑",16&lt;='Resource Planner'!$N$17),'Resource Planner'!$E$17,"")</f>
        <v>Pinocchio</v>
      </c>
      <c r="F370" s="163" t="str">
        <f>IF(AND('Resource Planner'!$A$17="☑",16&lt;='Resource Planner'!$N$17),'Resource Planner'!$F$17&amp;" "&amp;('Resource Planner'!$G$17+(16-1)*'Resource Planner'!$I$17)&amp;IF(('Resource Planner'!$G$17+(16-1)*'Resource Planner'!$I$17)=MIN('Resource Planner'!$G$17+16*'Resource Planner'!$I$17-1,'Resource Planner'!$H$17),"","–"&amp;MIN('Resource Planner'!$G$17+16*'Resource Planner'!$I$17-1,'Resource Planner'!$H$17)),"")</f>
        <v>Chapter 31–32</v>
      </c>
      <c r="G370" s="163" t="s">
        <v>109</v>
      </c>
      <c r="H370" s="33" t="str">
        <f>IF(AND('Resource Planner'!$A$17="☑",16&lt;='Resource Planner'!$N$17),'Resource Planner'!$M$17,"")</f>
        <v>sequencing sample</v>
      </c>
    </row>
    <row r="371" ht="15.75" customHeight="1">
      <c r="A37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week"",10*(n-1),""Custom"",gap*(n-1),n-1),IF(AND(active=""☑"",n&lt;=lessons,st&lt;&gt;""""),INDEX(eligibleDates,startPos+offset),"""")),"""")"),46310.0)</f>
        <v>46310</v>
      </c>
      <c r="B371" s="33" t="str">
        <f>IF(AND('Resource Planner'!$A$17="☑",17&lt;='Resource Planner'!$N$17),'Resource Planner'!$C$17,"")</f>
        <v>Everyone</v>
      </c>
      <c r="C371" s="33" t="str">
        <f>IF(AND('Resource Planner'!$A$17="☑",17&lt;='Resource Planner'!$N$17),'Resource Planner'!$B$17,"")</f>
        <v>Reading Loop</v>
      </c>
      <c r="D371" s="33" t="str">
        <f>IF(AND('Resource Planner'!$A$17="☑",17&lt;='Resource Planner'!$N$17),'Resource Planner'!$D$17,"")</f>
        <v>All Together / Literature — Family Read-Aloud</v>
      </c>
      <c r="E371" s="33" t="str">
        <f>IF(AND('Resource Planner'!$A$17="☑",17&lt;='Resource Planner'!$N$17),'Resource Planner'!$E$17,"")</f>
        <v>Pinocchio</v>
      </c>
      <c r="F371" s="163" t="str">
        <f>IF(AND('Resource Planner'!$A$17="☑",17&lt;='Resource Planner'!$N$17),'Resource Planner'!$F$17&amp;" "&amp;('Resource Planner'!$G$17+(17-1)*'Resource Planner'!$I$17)&amp;IF(('Resource Planner'!$G$17+(17-1)*'Resource Planner'!$I$17)=MIN('Resource Planner'!$G$17+17*'Resource Planner'!$I$17-1,'Resource Planner'!$H$17),"","–"&amp;MIN('Resource Planner'!$G$17+17*'Resource Planner'!$I$17-1,'Resource Planner'!$H$17)),"")</f>
        <v>Chapter 33–34</v>
      </c>
      <c r="G371" s="163" t="s">
        <v>109</v>
      </c>
      <c r="H371" s="33" t="str">
        <f>IF(AND('Resource Planner'!$A$17="☑",17&lt;='Resource Planner'!$N$17),'Resource Planner'!$M$17,"")</f>
        <v>sequencing sample</v>
      </c>
    </row>
    <row r="372" ht="15.75" customHeight="1">
      <c r="A37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week"",10*(n-1),""Custom"",gap*(n-1),n-1),IF(AND(active=""☑"",n&lt;=lessons,st&lt;&gt;""""),INDEX(eligibleDates,startPos+offset),"""")),"""")"),46311.0)</f>
        <v>46311</v>
      </c>
      <c r="B372" s="33" t="str">
        <f>IF(AND('Resource Planner'!$A$17="☑",18&lt;='Resource Planner'!$N$17),'Resource Planner'!$C$17,"")</f>
        <v>Everyone</v>
      </c>
      <c r="C372" s="33" t="str">
        <f>IF(AND('Resource Planner'!$A$17="☑",18&lt;='Resource Planner'!$N$17),'Resource Planner'!$B$17,"")</f>
        <v>Reading Loop</v>
      </c>
      <c r="D372" s="33" t="str">
        <f>IF(AND('Resource Planner'!$A$17="☑",18&lt;='Resource Planner'!$N$17),'Resource Planner'!$D$17,"")</f>
        <v>All Together / Literature — Family Read-Aloud</v>
      </c>
      <c r="E372" s="33" t="str">
        <f>IF(AND('Resource Planner'!$A$17="☑",18&lt;='Resource Planner'!$N$17),'Resource Planner'!$E$17,"")</f>
        <v>Pinocchio</v>
      </c>
      <c r="F372" s="163" t="str">
        <f>IF(AND('Resource Planner'!$A$17="☑",18&lt;='Resource Planner'!$N$17),'Resource Planner'!$F$17&amp;" "&amp;('Resource Planner'!$G$17+(18-1)*'Resource Planner'!$I$17)&amp;IF(('Resource Planner'!$G$17+(18-1)*'Resource Planner'!$I$17)=MIN('Resource Planner'!$G$17+18*'Resource Planner'!$I$17-1,'Resource Planner'!$H$17),"","–"&amp;MIN('Resource Planner'!$G$17+18*'Resource Planner'!$I$17-1,'Resource Planner'!$H$17)),"")</f>
        <v>Chapter 35–36</v>
      </c>
      <c r="G372" s="163" t="s">
        <v>109</v>
      </c>
      <c r="H372" s="33" t="str">
        <f>IF(AND('Resource Planner'!$A$17="☑",18&lt;='Resource Planner'!$N$17),'Resource Planner'!$M$17,"")</f>
        <v>sequencing sample</v>
      </c>
    </row>
    <row r="373" ht="15.75" customHeight="1">
      <c r="A3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73" s="163" t="str">
        <f>IF(AND('Resource Planner'!$A$17="☑",19&lt;='Resource Planner'!$N$17),'Resource Planner'!$C$17,"")</f>
        <v/>
      </c>
      <c r="C373" s="163" t="str">
        <f>IF(AND('Resource Planner'!$A$17="☑",19&lt;='Resource Planner'!$N$17),'Resource Planner'!$B$17,"")</f>
        <v/>
      </c>
      <c r="D373" s="163" t="str">
        <f>IF(AND('Resource Planner'!$A$17="☑",19&lt;='Resource Planner'!$N$17),'Resource Planner'!$D$17,"")</f>
        <v/>
      </c>
      <c r="E373" s="163" t="str">
        <f>IF(AND('Resource Planner'!$A$17="☑",19&lt;='Resource Planner'!$N$17),'Resource Planner'!$E$17,"")</f>
        <v/>
      </c>
      <c r="F373" s="163" t="str">
        <f>IF(AND('Resource Planner'!$A$17="☑",19&lt;='Resource Planner'!$N$17),'Resource Planner'!$F$17&amp;" "&amp;('Resource Planner'!$G$17+(19-1)*'Resource Planner'!$I$17)&amp;IF(('Resource Planner'!$G$17+(19-1)*'Resource Planner'!$I$17)=MIN('Resource Planner'!$G$17+19*'Resource Planner'!$I$17-1,'Resource Planner'!$H$17),"","–"&amp;MIN('Resource Planner'!$G$17+19*'Resource Planner'!$I$17-1,'Resource Planner'!$H$17)),"")</f>
        <v/>
      </c>
      <c r="G373" s="163" t="s">
        <v>109</v>
      </c>
      <c r="H373" s="163" t="str">
        <f>IF(AND('Resource Planner'!$A$17="☑",19&lt;='Resource Planner'!$N$17),'Resource Planner'!$M$17,"")</f>
        <v/>
      </c>
    </row>
    <row r="374" ht="15.75" customHeight="1">
      <c r="A3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74" s="163" t="str">
        <f>IF(AND('Resource Planner'!$A$17="☑",20&lt;='Resource Planner'!$N$17),'Resource Planner'!$C$17,"")</f>
        <v/>
      </c>
      <c r="C374" s="163" t="str">
        <f>IF(AND('Resource Planner'!$A$17="☑",20&lt;='Resource Planner'!$N$17),'Resource Planner'!$B$17,"")</f>
        <v/>
      </c>
      <c r="D374" s="163" t="str">
        <f>IF(AND('Resource Planner'!$A$17="☑",20&lt;='Resource Planner'!$N$17),'Resource Planner'!$D$17,"")</f>
        <v/>
      </c>
      <c r="E374" s="163" t="str">
        <f>IF(AND('Resource Planner'!$A$17="☑",20&lt;='Resource Planner'!$N$17),'Resource Planner'!$E$17,"")</f>
        <v/>
      </c>
      <c r="F374" s="163" t="str">
        <f>IF(AND('Resource Planner'!$A$17="☑",20&lt;='Resource Planner'!$N$17),'Resource Planner'!$F$17&amp;" "&amp;('Resource Planner'!$G$17+(20-1)*'Resource Planner'!$I$17)&amp;IF(('Resource Planner'!$G$17+(20-1)*'Resource Planner'!$I$17)=MIN('Resource Planner'!$G$17+20*'Resource Planner'!$I$17-1,'Resource Planner'!$H$17),"","–"&amp;MIN('Resource Planner'!$G$17+20*'Resource Planner'!$I$17-1,'Resource Planner'!$H$17)),"")</f>
        <v/>
      </c>
      <c r="G374" s="163" t="s">
        <v>109</v>
      </c>
      <c r="H374" s="163" t="str">
        <f>IF(AND('Resource Planner'!$A$17="☑",20&lt;='Resource Planner'!$N$17),'Resource Planner'!$M$17,"")</f>
        <v/>
      </c>
    </row>
    <row r="375" ht="15.75" customHeight="1">
      <c r="A3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75" s="163" t="str">
        <f>IF(AND('Resource Planner'!$A$17="☑",21&lt;='Resource Planner'!$N$17),'Resource Planner'!$C$17,"")</f>
        <v/>
      </c>
      <c r="C375" s="163" t="str">
        <f>IF(AND('Resource Planner'!$A$17="☑",21&lt;='Resource Planner'!$N$17),'Resource Planner'!$B$17,"")</f>
        <v/>
      </c>
      <c r="D375" s="163" t="str">
        <f>IF(AND('Resource Planner'!$A$17="☑",21&lt;='Resource Planner'!$N$17),'Resource Planner'!$D$17,"")</f>
        <v/>
      </c>
      <c r="E375" s="163" t="str">
        <f>IF(AND('Resource Planner'!$A$17="☑",21&lt;='Resource Planner'!$N$17),'Resource Planner'!$E$17,"")</f>
        <v/>
      </c>
      <c r="F375" s="163" t="str">
        <f>IF(AND('Resource Planner'!$A$17="☑",21&lt;='Resource Planner'!$N$17),'Resource Planner'!$F$17&amp;" "&amp;('Resource Planner'!$G$17+(21-1)*'Resource Planner'!$I$17)&amp;IF(('Resource Planner'!$G$17+(21-1)*'Resource Planner'!$I$17)=MIN('Resource Planner'!$G$17+21*'Resource Planner'!$I$17-1,'Resource Planner'!$H$17),"","–"&amp;MIN('Resource Planner'!$G$17+21*'Resource Planner'!$I$17-1,'Resource Planner'!$H$17)),"")</f>
        <v/>
      </c>
      <c r="G375" s="163" t="s">
        <v>109</v>
      </c>
      <c r="H375" s="163" t="str">
        <f>IF(AND('Resource Planner'!$A$17="☑",21&lt;='Resource Planner'!$N$17),'Resource Planner'!$M$17,"")</f>
        <v/>
      </c>
    </row>
    <row r="376" ht="15.75" customHeight="1">
      <c r="A3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76" s="163" t="str">
        <f>IF(AND('Resource Planner'!$A$17="☑",22&lt;='Resource Planner'!$N$17),'Resource Planner'!$C$17,"")</f>
        <v/>
      </c>
      <c r="C376" s="163" t="str">
        <f>IF(AND('Resource Planner'!$A$17="☑",22&lt;='Resource Planner'!$N$17),'Resource Planner'!$B$17,"")</f>
        <v/>
      </c>
      <c r="D376" s="163" t="str">
        <f>IF(AND('Resource Planner'!$A$17="☑",22&lt;='Resource Planner'!$N$17),'Resource Planner'!$D$17,"")</f>
        <v/>
      </c>
      <c r="E376" s="163" t="str">
        <f>IF(AND('Resource Planner'!$A$17="☑",22&lt;='Resource Planner'!$N$17),'Resource Planner'!$E$17,"")</f>
        <v/>
      </c>
      <c r="F376" s="163" t="str">
        <f>IF(AND('Resource Planner'!$A$17="☑",22&lt;='Resource Planner'!$N$17),'Resource Planner'!$F$17&amp;" "&amp;('Resource Planner'!$G$17+(22-1)*'Resource Planner'!$I$17)&amp;IF(('Resource Planner'!$G$17+(22-1)*'Resource Planner'!$I$17)=MIN('Resource Planner'!$G$17+22*'Resource Planner'!$I$17-1,'Resource Planner'!$H$17),"","–"&amp;MIN('Resource Planner'!$G$17+22*'Resource Planner'!$I$17-1,'Resource Planner'!$H$17)),"")</f>
        <v/>
      </c>
      <c r="G376" s="163" t="s">
        <v>109</v>
      </c>
      <c r="H376" s="163" t="str">
        <f>IF(AND('Resource Planner'!$A$17="☑",22&lt;='Resource Planner'!$N$17),'Resource Planner'!$M$17,"")</f>
        <v/>
      </c>
    </row>
    <row r="377" ht="15.75" customHeight="1">
      <c r="A3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77" s="163" t="str">
        <f>IF(AND('Resource Planner'!$A$17="☑",23&lt;='Resource Planner'!$N$17),'Resource Planner'!$C$17,"")</f>
        <v/>
      </c>
      <c r="C377" s="163" t="str">
        <f>IF(AND('Resource Planner'!$A$17="☑",23&lt;='Resource Planner'!$N$17),'Resource Planner'!$B$17,"")</f>
        <v/>
      </c>
      <c r="D377" s="163" t="str">
        <f>IF(AND('Resource Planner'!$A$17="☑",23&lt;='Resource Planner'!$N$17),'Resource Planner'!$D$17,"")</f>
        <v/>
      </c>
      <c r="E377" s="163" t="str">
        <f>IF(AND('Resource Planner'!$A$17="☑",23&lt;='Resource Planner'!$N$17),'Resource Planner'!$E$17,"")</f>
        <v/>
      </c>
      <c r="F377" s="163" t="str">
        <f>IF(AND('Resource Planner'!$A$17="☑",23&lt;='Resource Planner'!$N$17),'Resource Planner'!$F$17&amp;" "&amp;('Resource Planner'!$G$17+(23-1)*'Resource Planner'!$I$17)&amp;IF(('Resource Planner'!$G$17+(23-1)*'Resource Planner'!$I$17)=MIN('Resource Planner'!$G$17+23*'Resource Planner'!$I$17-1,'Resource Planner'!$H$17),"","–"&amp;MIN('Resource Planner'!$G$17+23*'Resource Planner'!$I$17-1,'Resource Planner'!$H$17)),"")</f>
        <v/>
      </c>
      <c r="G377" s="163" t="s">
        <v>109</v>
      </c>
      <c r="H377" s="163" t="str">
        <f>IF(AND('Resource Planner'!$A$17="☑",23&lt;='Resource Planner'!$N$17),'Resource Planner'!$M$17,"")</f>
        <v/>
      </c>
    </row>
    <row r="378" ht="15.75" customHeight="1">
      <c r="A3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78" s="163" t="str">
        <f>IF(AND('Resource Planner'!$A$17="☑",24&lt;='Resource Planner'!$N$17),'Resource Planner'!$C$17,"")</f>
        <v/>
      </c>
      <c r="C378" s="163" t="str">
        <f>IF(AND('Resource Planner'!$A$17="☑",24&lt;='Resource Planner'!$N$17),'Resource Planner'!$B$17,"")</f>
        <v/>
      </c>
      <c r="D378" s="163" t="str">
        <f>IF(AND('Resource Planner'!$A$17="☑",24&lt;='Resource Planner'!$N$17),'Resource Planner'!$D$17,"")</f>
        <v/>
      </c>
      <c r="E378" s="163" t="str">
        <f>IF(AND('Resource Planner'!$A$17="☑",24&lt;='Resource Planner'!$N$17),'Resource Planner'!$E$17,"")</f>
        <v/>
      </c>
      <c r="F378" s="163" t="str">
        <f>IF(AND('Resource Planner'!$A$17="☑",24&lt;='Resource Planner'!$N$17),'Resource Planner'!$F$17&amp;" "&amp;('Resource Planner'!$G$17+(24-1)*'Resource Planner'!$I$17)&amp;IF(('Resource Planner'!$G$17+(24-1)*'Resource Planner'!$I$17)=MIN('Resource Planner'!$G$17+24*'Resource Planner'!$I$17-1,'Resource Planner'!$H$17),"","–"&amp;MIN('Resource Planner'!$G$17+24*'Resource Planner'!$I$17-1,'Resource Planner'!$H$17)),"")</f>
        <v/>
      </c>
      <c r="G378" s="163" t="s">
        <v>109</v>
      </c>
      <c r="H378" s="163" t="str">
        <f>IF(AND('Resource Planner'!$A$17="☑",24&lt;='Resource Planner'!$N$17),'Resource Planner'!$M$17,"")</f>
        <v/>
      </c>
    </row>
    <row r="379" ht="15.75" customHeight="1">
      <c r="A3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79" s="163" t="str">
        <f>IF(AND('Resource Planner'!$A$17="☑",25&lt;='Resource Planner'!$N$17),'Resource Planner'!$C$17,"")</f>
        <v/>
      </c>
      <c r="C379" s="163" t="str">
        <f>IF(AND('Resource Planner'!$A$17="☑",25&lt;='Resource Planner'!$N$17),'Resource Planner'!$B$17,"")</f>
        <v/>
      </c>
      <c r="D379" s="163" t="str">
        <f>IF(AND('Resource Planner'!$A$17="☑",25&lt;='Resource Planner'!$N$17),'Resource Planner'!$D$17,"")</f>
        <v/>
      </c>
      <c r="E379" s="163" t="str">
        <f>IF(AND('Resource Planner'!$A$17="☑",25&lt;='Resource Planner'!$N$17),'Resource Planner'!$E$17,"")</f>
        <v/>
      </c>
      <c r="F379" s="163" t="str">
        <f>IF(AND('Resource Planner'!$A$17="☑",25&lt;='Resource Planner'!$N$17),'Resource Planner'!$F$17&amp;" "&amp;('Resource Planner'!$G$17+(25-1)*'Resource Planner'!$I$17)&amp;IF(('Resource Planner'!$G$17+(25-1)*'Resource Planner'!$I$17)=MIN('Resource Planner'!$G$17+25*'Resource Planner'!$I$17-1,'Resource Planner'!$H$17),"","–"&amp;MIN('Resource Planner'!$G$17+25*'Resource Planner'!$I$17-1,'Resource Planner'!$H$17)),"")</f>
        <v/>
      </c>
      <c r="G379" s="163" t="s">
        <v>109</v>
      </c>
      <c r="H379" s="163" t="str">
        <f>IF(AND('Resource Planner'!$A$17="☑",25&lt;='Resource Planner'!$N$17),'Resource Planner'!$M$17,"")</f>
        <v/>
      </c>
    </row>
    <row r="380" ht="15.75" customHeight="1">
      <c r="A3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0" s="163" t="str">
        <f>IF(AND('Resource Planner'!$A$17="☑",26&lt;='Resource Planner'!$N$17),'Resource Planner'!$C$17,"")</f>
        <v/>
      </c>
      <c r="C380" s="163" t="str">
        <f>IF(AND('Resource Planner'!$A$17="☑",26&lt;='Resource Planner'!$N$17),'Resource Planner'!$B$17,"")</f>
        <v/>
      </c>
      <c r="D380" s="163" t="str">
        <f>IF(AND('Resource Planner'!$A$17="☑",26&lt;='Resource Planner'!$N$17),'Resource Planner'!$D$17,"")</f>
        <v/>
      </c>
      <c r="E380" s="163" t="str">
        <f>IF(AND('Resource Planner'!$A$17="☑",26&lt;='Resource Planner'!$N$17),'Resource Planner'!$E$17,"")</f>
        <v/>
      </c>
      <c r="F380" s="163" t="str">
        <f>IF(AND('Resource Planner'!$A$17="☑",26&lt;='Resource Planner'!$N$17),'Resource Planner'!$F$17&amp;" "&amp;('Resource Planner'!$G$17+(26-1)*'Resource Planner'!$I$17)&amp;IF(('Resource Planner'!$G$17+(26-1)*'Resource Planner'!$I$17)=MIN('Resource Planner'!$G$17+26*'Resource Planner'!$I$17-1,'Resource Planner'!$H$17),"","–"&amp;MIN('Resource Planner'!$G$17+26*'Resource Planner'!$I$17-1,'Resource Planner'!$H$17)),"")</f>
        <v/>
      </c>
      <c r="G380" s="163" t="s">
        <v>109</v>
      </c>
      <c r="H380" s="163" t="str">
        <f>IF(AND('Resource Planner'!$A$17="☑",26&lt;='Resource Planner'!$N$17),'Resource Planner'!$M$17,"")</f>
        <v/>
      </c>
    </row>
    <row r="381" ht="15.75" customHeight="1">
      <c r="A3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1" s="163" t="str">
        <f>IF(AND('Resource Planner'!$A$17="☑",27&lt;='Resource Planner'!$N$17),'Resource Planner'!$C$17,"")</f>
        <v/>
      </c>
      <c r="C381" s="163" t="str">
        <f>IF(AND('Resource Planner'!$A$17="☑",27&lt;='Resource Planner'!$N$17),'Resource Planner'!$B$17,"")</f>
        <v/>
      </c>
      <c r="D381" s="163" t="str">
        <f>IF(AND('Resource Planner'!$A$17="☑",27&lt;='Resource Planner'!$N$17),'Resource Planner'!$D$17,"")</f>
        <v/>
      </c>
      <c r="E381" s="163" t="str">
        <f>IF(AND('Resource Planner'!$A$17="☑",27&lt;='Resource Planner'!$N$17),'Resource Planner'!$E$17,"")</f>
        <v/>
      </c>
      <c r="F381" s="163" t="str">
        <f>IF(AND('Resource Planner'!$A$17="☑",27&lt;='Resource Planner'!$N$17),'Resource Planner'!$F$17&amp;" "&amp;('Resource Planner'!$G$17+(27-1)*'Resource Planner'!$I$17)&amp;IF(('Resource Planner'!$G$17+(27-1)*'Resource Planner'!$I$17)=MIN('Resource Planner'!$G$17+27*'Resource Planner'!$I$17-1,'Resource Planner'!$H$17),"","–"&amp;MIN('Resource Planner'!$G$17+27*'Resource Planner'!$I$17-1,'Resource Planner'!$H$17)),"")</f>
        <v/>
      </c>
      <c r="G381" s="163" t="s">
        <v>109</v>
      </c>
      <c r="H381" s="163" t="str">
        <f>IF(AND('Resource Planner'!$A$17="☑",27&lt;='Resource Planner'!$N$17),'Resource Planner'!$M$17,"")</f>
        <v/>
      </c>
    </row>
    <row r="382" ht="15.75" customHeight="1">
      <c r="A3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2" s="163" t="str">
        <f>IF(AND('Resource Planner'!$A$17="☑",28&lt;='Resource Planner'!$N$17),'Resource Planner'!$C$17,"")</f>
        <v/>
      </c>
      <c r="C382" s="163" t="str">
        <f>IF(AND('Resource Planner'!$A$17="☑",28&lt;='Resource Planner'!$N$17),'Resource Planner'!$B$17,"")</f>
        <v/>
      </c>
      <c r="D382" s="163" t="str">
        <f>IF(AND('Resource Planner'!$A$17="☑",28&lt;='Resource Planner'!$N$17),'Resource Planner'!$D$17,"")</f>
        <v/>
      </c>
      <c r="E382" s="163" t="str">
        <f>IF(AND('Resource Planner'!$A$17="☑",28&lt;='Resource Planner'!$N$17),'Resource Planner'!$E$17,"")</f>
        <v/>
      </c>
      <c r="F382" s="163" t="str">
        <f>IF(AND('Resource Planner'!$A$17="☑",28&lt;='Resource Planner'!$N$17),'Resource Planner'!$F$17&amp;" "&amp;('Resource Planner'!$G$17+(28-1)*'Resource Planner'!$I$17)&amp;IF(('Resource Planner'!$G$17+(28-1)*'Resource Planner'!$I$17)=MIN('Resource Planner'!$G$17+28*'Resource Planner'!$I$17-1,'Resource Planner'!$H$17),"","–"&amp;MIN('Resource Planner'!$G$17+28*'Resource Planner'!$I$17-1,'Resource Planner'!$H$17)),"")</f>
        <v/>
      </c>
      <c r="G382" s="163" t="s">
        <v>109</v>
      </c>
      <c r="H382" s="163" t="str">
        <f>IF(AND('Resource Planner'!$A$17="☑",28&lt;='Resource Planner'!$N$17),'Resource Planner'!$M$17,"")</f>
        <v/>
      </c>
    </row>
    <row r="383" ht="15.75" customHeight="1">
      <c r="A3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3" s="163" t="str">
        <f>IF(AND('Resource Planner'!$A$17="☑",29&lt;='Resource Planner'!$N$17),'Resource Planner'!$C$17,"")</f>
        <v/>
      </c>
      <c r="C383" s="163" t="str">
        <f>IF(AND('Resource Planner'!$A$17="☑",29&lt;='Resource Planner'!$N$17),'Resource Planner'!$B$17,"")</f>
        <v/>
      </c>
      <c r="D383" s="163" t="str">
        <f>IF(AND('Resource Planner'!$A$17="☑",29&lt;='Resource Planner'!$N$17),'Resource Planner'!$D$17,"")</f>
        <v/>
      </c>
      <c r="E383" s="163" t="str">
        <f>IF(AND('Resource Planner'!$A$17="☑",29&lt;='Resource Planner'!$N$17),'Resource Planner'!$E$17,"")</f>
        <v/>
      </c>
      <c r="F383" s="163" t="str">
        <f>IF(AND('Resource Planner'!$A$17="☑",29&lt;='Resource Planner'!$N$17),'Resource Planner'!$F$17&amp;" "&amp;('Resource Planner'!$G$17+(29-1)*'Resource Planner'!$I$17)&amp;IF(('Resource Planner'!$G$17+(29-1)*'Resource Planner'!$I$17)=MIN('Resource Planner'!$G$17+29*'Resource Planner'!$I$17-1,'Resource Planner'!$H$17),"","–"&amp;MIN('Resource Planner'!$G$17+29*'Resource Planner'!$I$17-1,'Resource Planner'!$H$17)),"")</f>
        <v/>
      </c>
      <c r="G383" s="163" t="s">
        <v>109</v>
      </c>
      <c r="H383" s="163" t="str">
        <f>IF(AND('Resource Planner'!$A$17="☑",29&lt;='Resource Planner'!$N$17),'Resource Planner'!$M$17,"")</f>
        <v/>
      </c>
    </row>
    <row r="384" ht="15.75" customHeight="1">
      <c r="A3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4" s="163" t="str">
        <f>IF(AND('Resource Planner'!$A$17="☑",30&lt;='Resource Planner'!$N$17),'Resource Planner'!$C$17,"")</f>
        <v/>
      </c>
      <c r="C384" s="163" t="str">
        <f>IF(AND('Resource Planner'!$A$17="☑",30&lt;='Resource Planner'!$N$17),'Resource Planner'!$B$17,"")</f>
        <v/>
      </c>
      <c r="D384" s="163" t="str">
        <f>IF(AND('Resource Planner'!$A$17="☑",30&lt;='Resource Planner'!$N$17),'Resource Planner'!$D$17,"")</f>
        <v/>
      </c>
      <c r="E384" s="163" t="str">
        <f>IF(AND('Resource Planner'!$A$17="☑",30&lt;='Resource Planner'!$N$17),'Resource Planner'!$E$17,"")</f>
        <v/>
      </c>
      <c r="F384" s="163" t="str">
        <f>IF(AND('Resource Planner'!$A$17="☑",30&lt;='Resource Planner'!$N$17),'Resource Planner'!$F$17&amp;" "&amp;('Resource Planner'!$G$17+(30-1)*'Resource Planner'!$I$17)&amp;IF(('Resource Planner'!$G$17+(30-1)*'Resource Planner'!$I$17)=MIN('Resource Planner'!$G$17+30*'Resource Planner'!$I$17-1,'Resource Planner'!$H$17),"","–"&amp;MIN('Resource Planner'!$G$17+30*'Resource Planner'!$I$17-1,'Resource Planner'!$H$17)),"")</f>
        <v/>
      </c>
      <c r="G384" s="163" t="s">
        <v>109</v>
      </c>
      <c r="H384" s="163" t="str">
        <f>IF(AND('Resource Planner'!$A$17="☑",30&lt;='Resource Planner'!$N$17),'Resource Planner'!$M$17,"")</f>
        <v/>
      </c>
    </row>
    <row r="385" ht="15.75" customHeight="1">
      <c r="A3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5" s="163" t="str">
        <f>IF(AND('Resource Planner'!$A$17="☑",31&lt;='Resource Planner'!$N$17),'Resource Planner'!$C$17,"")</f>
        <v/>
      </c>
      <c r="C385" s="163" t="str">
        <f>IF(AND('Resource Planner'!$A$17="☑",31&lt;='Resource Planner'!$N$17),'Resource Planner'!$B$17,"")</f>
        <v/>
      </c>
      <c r="D385" s="163" t="str">
        <f>IF(AND('Resource Planner'!$A$17="☑",31&lt;='Resource Planner'!$N$17),'Resource Planner'!$D$17,"")</f>
        <v/>
      </c>
      <c r="E385" s="163" t="str">
        <f>IF(AND('Resource Planner'!$A$17="☑",31&lt;='Resource Planner'!$N$17),'Resource Planner'!$E$17,"")</f>
        <v/>
      </c>
      <c r="F385" s="163" t="str">
        <f>IF(AND('Resource Planner'!$A$17="☑",31&lt;='Resource Planner'!$N$17),'Resource Planner'!$F$17&amp;" "&amp;('Resource Planner'!$G$17+(31-1)*'Resource Planner'!$I$17)&amp;IF(('Resource Planner'!$G$17+(31-1)*'Resource Planner'!$I$17)=MIN('Resource Planner'!$G$17+31*'Resource Planner'!$I$17-1,'Resource Planner'!$H$17),"","–"&amp;MIN('Resource Planner'!$G$17+31*'Resource Planner'!$I$17-1,'Resource Planner'!$H$17)),"")</f>
        <v/>
      </c>
      <c r="G385" s="163" t="s">
        <v>109</v>
      </c>
      <c r="H385" s="163" t="str">
        <f>IF(AND('Resource Planner'!$A$17="☑",31&lt;='Resource Planner'!$N$17),'Resource Planner'!$M$17,"")</f>
        <v/>
      </c>
    </row>
    <row r="386" ht="15.75" customHeight="1">
      <c r="A3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6" s="163" t="str">
        <f>IF(AND('Resource Planner'!$A$17="☑",32&lt;='Resource Planner'!$N$17),'Resource Planner'!$C$17,"")</f>
        <v/>
      </c>
      <c r="C386" s="163" t="str">
        <f>IF(AND('Resource Planner'!$A$17="☑",32&lt;='Resource Planner'!$N$17),'Resource Planner'!$B$17,"")</f>
        <v/>
      </c>
      <c r="D386" s="163" t="str">
        <f>IF(AND('Resource Planner'!$A$17="☑",32&lt;='Resource Planner'!$N$17),'Resource Planner'!$D$17,"")</f>
        <v/>
      </c>
      <c r="E386" s="163" t="str">
        <f>IF(AND('Resource Planner'!$A$17="☑",32&lt;='Resource Planner'!$N$17),'Resource Planner'!$E$17,"")</f>
        <v/>
      </c>
      <c r="F386" s="163" t="str">
        <f>IF(AND('Resource Planner'!$A$17="☑",32&lt;='Resource Planner'!$N$17),'Resource Planner'!$F$17&amp;" "&amp;('Resource Planner'!$G$17+(32-1)*'Resource Planner'!$I$17)&amp;IF(('Resource Planner'!$G$17+(32-1)*'Resource Planner'!$I$17)=MIN('Resource Planner'!$G$17+32*'Resource Planner'!$I$17-1,'Resource Planner'!$H$17),"","–"&amp;MIN('Resource Planner'!$G$17+32*'Resource Planner'!$I$17-1,'Resource Planner'!$H$17)),"")</f>
        <v/>
      </c>
      <c r="G386" s="163" t="s">
        <v>109</v>
      </c>
      <c r="H386" s="163" t="str">
        <f>IF(AND('Resource Planner'!$A$17="☑",32&lt;='Resource Planner'!$N$17),'Resource Planner'!$M$17,"")</f>
        <v/>
      </c>
    </row>
    <row r="387" ht="15.75" customHeight="1">
      <c r="A3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7" s="163" t="str">
        <f>IF(AND('Resource Planner'!$A$17="☑",33&lt;='Resource Planner'!$N$17),'Resource Planner'!$C$17,"")</f>
        <v/>
      </c>
      <c r="C387" s="163" t="str">
        <f>IF(AND('Resource Planner'!$A$17="☑",33&lt;='Resource Planner'!$N$17),'Resource Planner'!$B$17,"")</f>
        <v/>
      </c>
      <c r="D387" s="163" t="str">
        <f>IF(AND('Resource Planner'!$A$17="☑",33&lt;='Resource Planner'!$N$17),'Resource Planner'!$D$17,"")</f>
        <v/>
      </c>
      <c r="E387" s="163" t="str">
        <f>IF(AND('Resource Planner'!$A$17="☑",33&lt;='Resource Planner'!$N$17),'Resource Planner'!$E$17,"")</f>
        <v/>
      </c>
      <c r="F387" s="163" t="str">
        <f>IF(AND('Resource Planner'!$A$17="☑",33&lt;='Resource Planner'!$N$17),'Resource Planner'!$F$17&amp;" "&amp;('Resource Planner'!$G$17+(33-1)*'Resource Planner'!$I$17)&amp;IF(('Resource Planner'!$G$17+(33-1)*'Resource Planner'!$I$17)=MIN('Resource Planner'!$G$17+33*'Resource Planner'!$I$17-1,'Resource Planner'!$H$17),"","–"&amp;MIN('Resource Planner'!$G$17+33*'Resource Planner'!$I$17-1,'Resource Planner'!$H$17)),"")</f>
        <v/>
      </c>
      <c r="G387" s="163" t="s">
        <v>109</v>
      </c>
      <c r="H387" s="163" t="str">
        <f>IF(AND('Resource Planner'!$A$17="☑",33&lt;='Resource Planner'!$N$17),'Resource Planner'!$M$17,"")</f>
        <v/>
      </c>
    </row>
    <row r="388" ht="15.75" customHeight="1">
      <c r="A3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8" s="163" t="str">
        <f>IF(AND('Resource Planner'!$A$17="☑",34&lt;='Resource Planner'!$N$17),'Resource Planner'!$C$17,"")</f>
        <v/>
      </c>
      <c r="C388" s="163" t="str">
        <f>IF(AND('Resource Planner'!$A$17="☑",34&lt;='Resource Planner'!$N$17),'Resource Planner'!$B$17,"")</f>
        <v/>
      </c>
      <c r="D388" s="163" t="str">
        <f>IF(AND('Resource Planner'!$A$17="☑",34&lt;='Resource Planner'!$N$17),'Resource Planner'!$D$17,"")</f>
        <v/>
      </c>
      <c r="E388" s="163" t="str">
        <f>IF(AND('Resource Planner'!$A$17="☑",34&lt;='Resource Planner'!$N$17),'Resource Planner'!$E$17,"")</f>
        <v/>
      </c>
      <c r="F388" s="163" t="str">
        <f>IF(AND('Resource Planner'!$A$17="☑",34&lt;='Resource Planner'!$N$17),'Resource Planner'!$F$17&amp;" "&amp;('Resource Planner'!$G$17+(34-1)*'Resource Planner'!$I$17)&amp;IF(('Resource Planner'!$G$17+(34-1)*'Resource Planner'!$I$17)=MIN('Resource Planner'!$G$17+34*'Resource Planner'!$I$17-1,'Resource Planner'!$H$17),"","–"&amp;MIN('Resource Planner'!$G$17+34*'Resource Planner'!$I$17-1,'Resource Planner'!$H$17)),"")</f>
        <v/>
      </c>
      <c r="G388" s="163" t="s">
        <v>109</v>
      </c>
      <c r="H388" s="163" t="str">
        <f>IF(AND('Resource Planner'!$A$17="☑",34&lt;='Resource Planner'!$N$17),'Resource Planner'!$M$17,"")</f>
        <v/>
      </c>
    </row>
    <row r="389" ht="15.75" customHeight="1">
      <c r="A3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89" s="163" t="str">
        <f>IF(AND('Resource Planner'!$A$17="☑",35&lt;='Resource Planner'!$N$17),'Resource Planner'!$C$17,"")</f>
        <v/>
      </c>
      <c r="C389" s="163" t="str">
        <f>IF(AND('Resource Planner'!$A$17="☑",35&lt;='Resource Planner'!$N$17),'Resource Planner'!$B$17,"")</f>
        <v/>
      </c>
      <c r="D389" s="163" t="str">
        <f>IF(AND('Resource Planner'!$A$17="☑",35&lt;='Resource Planner'!$N$17),'Resource Planner'!$D$17,"")</f>
        <v/>
      </c>
      <c r="E389" s="163" t="str">
        <f>IF(AND('Resource Planner'!$A$17="☑",35&lt;='Resource Planner'!$N$17),'Resource Planner'!$E$17,"")</f>
        <v/>
      </c>
      <c r="F389" s="163" t="str">
        <f>IF(AND('Resource Planner'!$A$17="☑",35&lt;='Resource Planner'!$N$17),'Resource Planner'!$F$17&amp;" "&amp;('Resource Planner'!$G$17+(35-1)*'Resource Planner'!$I$17)&amp;IF(('Resource Planner'!$G$17+(35-1)*'Resource Planner'!$I$17)=MIN('Resource Planner'!$G$17+35*'Resource Planner'!$I$17-1,'Resource Planner'!$H$17),"","–"&amp;MIN('Resource Planner'!$G$17+35*'Resource Planner'!$I$17-1,'Resource Planner'!$H$17)),"")</f>
        <v/>
      </c>
      <c r="G389" s="163" t="s">
        <v>109</v>
      </c>
      <c r="H389" s="163" t="str">
        <f>IF(AND('Resource Planner'!$A$17="☑",35&lt;='Resource Planner'!$N$17),'Resource Planner'!$M$17,"")</f>
        <v/>
      </c>
    </row>
    <row r="390" ht="15.75" customHeight="1">
      <c r="A3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0" s="163" t="str">
        <f>IF(AND('Resource Planner'!$A$17="☑",36&lt;='Resource Planner'!$N$17),'Resource Planner'!$C$17,"")</f>
        <v/>
      </c>
      <c r="C390" s="163" t="str">
        <f>IF(AND('Resource Planner'!$A$17="☑",36&lt;='Resource Planner'!$N$17),'Resource Planner'!$B$17,"")</f>
        <v/>
      </c>
      <c r="D390" s="163" t="str">
        <f>IF(AND('Resource Planner'!$A$17="☑",36&lt;='Resource Planner'!$N$17),'Resource Planner'!$D$17,"")</f>
        <v/>
      </c>
      <c r="E390" s="163" t="str">
        <f>IF(AND('Resource Planner'!$A$17="☑",36&lt;='Resource Planner'!$N$17),'Resource Planner'!$E$17,"")</f>
        <v/>
      </c>
      <c r="F390" s="163" t="str">
        <f>IF(AND('Resource Planner'!$A$17="☑",36&lt;='Resource Planner'!$N$17),'Resource Planner'!$F$17&amp;" "&amp;('Resource Planner'!$G$17+(36-1)*'Resource Planner'!$I$17)&amp;IF(('Resource Planner'!$G$17+(36-1)*'Resource Planner'!$I$17)=MIN('Resource Planner'!$G$17+36*'Resource Planner'!$I$17-1,'Resource Planner'!$H$17),"","–"&amp;MIN('Resource Planner'!$G$17+36*'Resource Planner'!$I$17-1,'Resource Planner'!$H$17)),"")</f>
        <v/>
      </c>
      <c r="G390" s="163" t="s">
        <v>109</v>
      </c>
      <c r="H390" s="163" t="str">
        <f>IF(AND('Resource Planner'!$A$17="☑",36&lt;='Resource Planner'!$N$17),'Resource Planner'!$M$17,"")</f>
        <v/>
      </c>
    </row>
    <row r="391" ht="15.75" customHeight="1">
      <c r="A3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1" s="163" t="str">
        <f>IF(AND('Resource Planner'!$A$17="☑",37&lt;='Resource Planner'!$N$17),'Resource Planner'!$C$17,"")</f>
        <v/>
      </c>
      <c r="C391" s="163" t="str">
        <f>IF(AND('Resource Planner'!$A$17="☑",37&lt;='Resource Planner'!$N$17),'Resource Planner'!$B$17,"")</f>
        <v/>
      </c>
      <c r="D391" s="163" t="str">
        <f>IF(AND('Resource Planner'!$A$17="☑",37&lt;='Resource Planner'!$N$17),'Resource Planner'!$D$17,"")</f>
        <v/>
      </c>
      <c r="E391" s="163" t="str">
        <f>IF(AND('Resource Planner'!$A$17="☑",37&lt;='Resource Planner'!$N$17),'Resource Planner'!$E$17,"")</f>
        <v/>
      </c>
      <c r="F391" s="163" t="str">
        <f>IF(AND('Resource Planner'!$A$17="☑",37&lt;='Resource Planner'!$N$17),'Resource Planner'!$F$17&amp;" "&amp;('Resource Planner'!$G$17+(37-1)*'Resource Planner'!$I$17)&amp;IF(('Resource Planner'!$G$17+(37-1)*'Resource Planner'!$I$17)=MIN('Resource Planner'!$G$17+37*'Resource Planner'!$I$17-1,'Resource Planner'!$H$17),"","–"&amp;MIN('Resource Planner'!$G$17+37*'Resource Planner'!$I$17-1,'Resource Planner'!$H$17)),"")</f>
        <v/>
      </c>
      <c r="G391" s="163" t="s">
        <v>109</v>
      </c>
      <c r="H391" s="163" t="str">
        <f>IF(AND('Resource Planner'!$A$17="☑",37&lt;='Resource Planner'!$N$17),'Resource Planner'!$M$17,"")</f>
        <v/>
      </c>
    </row>
    <row r="392" ht="15.75" customHeight="1">
      <c r="A3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2" s="163" t="str">
        <f>IF(AND('Resource Planner'!$A$17="☑",38&lt;='Resource Planner'!$N$17),'Resource Planner'!$C$17,"")</f>
        <v/>
      </c>
      <c r="C392" s="163" t="str">
        <f>IF(AND('Resource Planner'!$A$17="☑",38&lt;='Resource Planner'!$N$17),'Resource Planner'!$B$17,"")</f>
        <v/>
      </c>
      <c r="D392" s="163" t="str">
        <f>IF(AND('Resource Planner'!$A$17="☑",38&lt;='Resource Planner'!$N$17),'Resource Planner'!$D$17,"")</f>
        <v/>
      </c>
      <c r="E392" s="163" t="str">
        <f>IF(AND('Resource Planner'!$A$17="☑",38&lt;='Resource Planner'!$N$17),'Resource Planner'!$E$17,"")</f>
        <v/>
      </c>
      <c r="F392" s="163" t="str">
        <f>IF(AND('Resource Planner'!$A$17="☑",38&lt;='Resource Planner'!$N$17),'Resource Planner'!$F$17&amp;" "&amp;('Resource Planner'!$G$17+(38-1)*'Resource Planner'!$I$17)&amp;IF(('Resource Planner'!$G$17+(38-1)*'Resource Planner'!$I$17)=MIN('Resource Planner'!$G$17+38*'Resource Planner'!$I$17-1,'Resource Planner'!$H$17),"","–"&amp;MIN('Resource Planner'!$G$17+38*'Resource Planner'!$I$17-1,'Resource Planner'!$H$17)),"")</f>
        <v/>
      </c>
      <c r="G392" s="163" t="s">
        <v>109</v>
      </c>
      <c r="H392" s="163" t="str">
        <f>IF(AND('Resource Planner'!$A$17="☑",38&lt;='Resource Planner'!$N$17),'Resource Planner'!$M$17,"")</f>
        <v/>
      </c>
    </row>
    <row r="393" ht="15.75" customHeight="1">
      <c r="A3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3" s="163" t="str">
        <f>IF(AND('Resource Planner'!$A$17="☑",39&lt;='Resource Planner'!$N$17),'Resource Planner'!$C$17,"")</f>
        <v/>
      </c>
      <c r="C393" s="163" t="str">
        <f>IF(AND('Resource Planner'!$A$17="☑",39&lt;='Resource Planner'!$N$17),'Resource Planner'!$B$17,"")</f>
        <v/>
      </c>
      <c r="D393" s="163" t="str">
        <f>IF(AND('Resource Planner'!$A$17="☑",39&lt;='Resource Planner'!$N$17),'Resource Planner'!$D$17,"")</f>
        <v/>
      </c>
      <c r="E393" s="163" t="str">
        <f>IF(AND('Resource Planner'!$A$17="☑",39&lt;='Resource Planner'!$N$17),'Resource Planner'!$E$17,"")</f>
        <v/>
      </c>
      <c r="F393" s="163" t="str">
        <f>IF(AND('Resource Planner'!$A$17="☑",39&lt;='Resource Planner'!$N$17),'Resource Planner'!$F$17&amp;" "&amp;('Resource Planner'!$G$17+(39-1)*'Resource Planner'!$I$17)&amp;IF(('Resource Planner'!$G$17+(39-1)*'Resource Planner'!$I$17)=MIN('Resource Planner'!$G$17+39*'Resource Planner'!$I$17-1,'Resource Planner'!$H$17),"","–"&amp;MIN('Resource Planner'!$G$17+39*'Resource Planner'!$I$17-1,'Resource Planner'!$H$17)),"")</f>
        <v/>
      </c>
      <c r="G393" s="163" t="s">
        <v>109</v>
      </c>
      <c r="H393" s="163" t="str">
        <f>IF(AND('Resource Planner'!$A$17="☑",39&lt;='Resource Planner'!$N$17),'Resource Planner'!$M$17,"")</f>
        <v/>
      </c>
    </row>
    <row r="394" ht="15.75" customHeight="1">
      <c r="A3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4" s="163" t="str">
        <f>IF(AND('Resource Planner'!$A$17="☑",40&lt;='Resource Planner'!$N$17),'Resource Planner'!$C$17,"")</f>
        <v/>
      </c>
      <c r="C394" s="163" t="str">
        <f>IF(AND('Resource Planner'!$A$17="☑",40&lt;='Resource Planner'!$N$17),'Resource Planner'!$B$17,"")</f>
        <v/>
      </c>
      <c r="D394" s="163" t="str">
        <f>IF(AND('Resource Planner'!$A$17="☑",40&lt;='Resource Planner'!$N$17),'Resource Planner'!$D$17,"")</f>
        <v/>
      </c>
      <c r="E394" s="163" t="str">
        <f>IF(AND('Resource Planner'!$A$17="☑",40&lt;='Resource Planner'!$N$17),'Resource Planner'!$E$17,"")</f>
        <v/>
      </c>
      <c r="F394" s="163" t="str">
        <f>IF(AND('Resource Planner'!$A$17="☑",40&lt;='Resource Planner'!$N$17),'Resource Planner'!$F$17&amp;" "&amp;('Resource Planner'!$G$17+(40-1)*'Resource Planner'!$I$17)&amp;IF(('Resource Planner'!$G$17+(40-1)*'Resource Planner'!$I$17)=MIN('Resource Planner'!$G$17+40*'Resource Planner'!$I$17-1,'Resource Planner'!$H$17),"","–"&amp;MIN('Resource Planner'!$G$17+40*'Resource Planner'!$I$17-1,'Resource Planner'!$H$17)),"")</f>
        <v/>
      </c>
      <c r="G394" s="163" t="s">
        <v>109</v>
      </c>
      <c r="H394" s="163" t="str">
        <f>IF(AND('Resource Planner'!$A$17="☑",40&lt;='Resource Planner'!$N$17),'Resource Planner'!$M$17,"")</f>
        <v/>
      </c>
    </row>
    <row r="395" ht="15.75" customHeight="1">
      <c r="A3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5" s="163" t="str">
        <f>IF(AND('Resource Planner'!$A$17="☑",41&lt;='Resource Planner'!$N$17),'Resource Planner'!$C$17,"")</f>
        <v/>
      </c>
      <c r="C395" s="163" t="str">
        <f>IF(AND('Resource Planner'!$A$17="☑",41&lt;='Resource Planner'!$N$17),'Resource Planner'!$B$17,"")</f>
        <v/>
      </c>
      <c r="D395" s="163" t="str">
        <f>IF(AND('Resource Planner'!$A$17="☑",41&lt;='Resource Planner'!$N$17),'Resource Planner'!$D$17,"")</f>
        <v/>
      </c>
      <c r="E395" s="163" t="str">
        <f>IF(AND('Resource Planner'!$A$17="☑",41&lt;='Resource Planner'!$N$17),'Resource Planner'!$E$17,"")</f>
        <v/>
      </c>
      <c r="F395" s="163" t="str">
        <f>IF(AND('Resource Planner'!$A$17="☑",41&lt;='Resource Planner'!$N$17),'Resource Planner'!$F$17&amp;" "&amp;('Resource Planner'!$G$17+(41-1)*'Resource Planner'!$I$17)&amp;IF(('Resource Planner'!$G$17+(41-1)*'Resource Planner'!$I$17)=MIN('Resource Planner'!$G$17+41*'Resource Planner'!$I$17-1,'Resource Planner'!$H$17),"","–"&amp;MIN('Resource Planner'!$G$17+41*'Resource Planner'!$I$17-1,'Resource Planner'!$H$17)),"")</f>
        <v/>
      </c>
      <c r="G395" s="163" t="s">
        <v>109</v>
      </c>
      <c r="H395" s="163" t="str">
        <f>IF(AND('Resource Planner'!$A$17="☑",41&lt;='Resource Planner'!$N$17),'Resource Planner'!$M$17,"")</f>
        <v/>
      </c>
    </row>
    <row r="396" ht="15.75" customHeight="1">
      <c r="A3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6" s="163" t="str">
        <f>IF(AND('Resource Planner'!$A$17="☑",42&lt;='Resource Planner'!$N$17),'Resource Planner'!$C$17,"")</f>
        <v/>
      </c>
      <c r="C396" s="163" t="str">
        <f>IF(AND('Resource Planner'!$A$17="☑",42&lt;='Resource Planner'!$N$17),'Resource Planner'!$B$17,"")</f>
        <v/>
      </c>
      <c r="D396" s="163" t="str">
        <f>IF(AND('Resource Planner'!$A$17="☑",42&lt;='Resource Planner'!$N$17),'Resource Planner'!$D$17,"")</f>
        <v/>
      </c>
      <c r="E396" s="163" t="str">
        <f>IF(AND('Resource Planner'!$A$17="☑",42&lt;='Resource Planner'!$N$17),'Resource Planner'!$E$17,"")</f>
        <v/>
      </c>
      <c r="F396" s="163" t="str">
        <f>IF(AND('Resource Planner'!$A$17="☑",42&lt;='Resource Planner'!$N$17),'Resource Planner'!$F$17&amp;" "&amp;('Resource Planner'!$G$17+(42-1)*'Resource Planner'!$I$17)&amp;IF(('Resource Planner'!$G$17+(42-1)*'Resource Planner'!$I$17)=MIN('Resource Planner'!$G$17+42*'Resource Planner'!$I$17-1,'Resource Planner'!$H$17),"","–"&amp;MIN('Resource Planner'!$G$17+42*'Resource Planner'!$I$17-1,'Resource Planner'!$H$17)),"")</f>
        <v/>
      </c>
      <c r="G396" s="163" t="s">
        <v>109</v>
      </c>
      <c r="H396" s="163" t="str">
        <f>IF(AND('Resource Planner'!$A$17="☑",42&lt;='Resource Planner'!$N$17),'Resource Planner'!$M$17,"")</f>
        <v/>
      </c>
    </row>
    <row r="397" ht="15.75" customHeight="1">
      <c r="A3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7" s="163" t="str">
        <f>IF(AND('Resource Planner'!$A$17="☑",43&lt;='Resource Planner'!$N$17),'Resource Planner'!$C$17,"")</f>
        <v/>
      </c>
      <c r="C397" s="163" t="str">
        <f>IF(AND('Resource Planner'!$A$17="☑",43&lt;='Resource Planner'!$N$17),'Resource Planner'!$B$17,"")</f>
        <v/>
      </c>
      <c r="D397" s="163" t="str">
        <f>IF(AND('Resource Planner'!$A$17="☑",43&lt;='Resource Planner'!$N$17),'Resource Planner'!$D$17,"")</f>
        <v/>
      </c>
      <c r="E397" s="163" t="str">
        <f>IF(AND('Resource Planner'!$A$17="☑",43&lt;='Resource Planner'!$N$17),'Resource Planner'!$E$17,"")</f>
        <v/>
      </c>
      <c r="F397" s="163" t="str">
        <f>IF(AND('Resource Planner'!$A$17="☑",43&lt;='Resource Planner'!$N$17),'Resource Planner'!$F$17&amp;" "&amp;('Resource Planner'!$G$17+(43-1)*'Resource Planner'!$I$17)&amp;IF(('Resource Planner'!$G$17+(43-1)*'Resource Planner'!$I$17)=MIN('Resource Planner'!$G$17+43*'Resource Planner'!$I$17-1,'Resource Planner'!$H$17),"","–"&amp;MIN('Resource Planner'!$G$17+43*'Resource Planner'!$I$17-1,'Resource Planner'!$H$17)),"")</f>
        <v/>
      </c>
      <c r="G397" s="163" t="s">
        <v>109</v>
      </c>
      <c r="H397" s="163" t="str">
        <f>IF(AND('Resource Planner'!$A$17="☑",43&lt;='Resource Planner'!$N$17),'Resource Planner'!$M$17,"")</f>
        <v/>
      </c>
    </row>
    <row r="398" ht="15.75" customHeight="1">
      <c r="A3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8" s="163" t="str">
        <f>IF(AND('Resource Planner'!$A$17="☑",44&lt;='Resource Planner'!$N$17),'Resource Planner'!$C$17,"")</f>
        <v/>
      </c>
      <c r="C398" s="163" t="str">
        <f>IF(AND('Resource Planner'!$A$17="☑",44&lt;='Resource Planner'!$N$17),'Resource Planner'!$B$17,"")</f>
        <v/>
      </c>
      <c r="D398" s="163" t="str">
        <f>IF(AND('Resource Planner'!$A$17="☑",44&lt;='Resource Planner'!$N$17),'Resource Planner'!$D$17,"")</f>
        <v/>
      </c>
      <c r="E398" s="163" t="str">
        <f>IF(AND('Resource Planner'!$A$17="☑",44&lt;='Resource Planner'!$N$17),'Resource Planner'!$E$17,"")</f>
        <v/>
      </c>
      <c r="F398" s="163" t="str">
        <f>IF(AND('Resource Planner'!$A$17="☑",44&lt;='Resource Planner'!$N$17),'Resource Planner'!$F$17&amp;" "&amp;('Resource Planner'!$G$17+(44-1)*'Resource Planner'!$I$17)&amp;IF(('Resource Planner'!$G$17+(44-1)*'Resource Planner'!$I$17)=MIN('Resource Planner'!$G$17+44*'Resource Planner'!$I$17-1,'Resource Planner'!$H$17),"","–"&amp;MIN('Resource Planner'!$G$17+44*'Resource Planner'!$I$17-1,'Resource Planner'!$H$17)),"")</f>
        <v/>
      </c>
      <c r="G398" s="163" t="s">
        <v>109</v>
      </c>
      <c r="H398" s="163" t="str">
        <f>IF(AND('Resource Planner'!$A$17="☑",44&lt;='Resource Planner'!$N$17),'Resource Planner'!$M$17,"")</f>
        <v/>
      </c>
    </row>
    <row r="399" ht="15.75" customHeight="1">
      <c r="A3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99" s="163" t="str">
        <f>IF(AND('Resource Planner'!$A$17="☑",45&lt;='Resource Planner'!$N$17),'Resource Planner'!$C$17,"")</f>
        <v/>
      </c>
      <c r="C399" s="163" t="str">
        <f>IF(AND('Resource Planner'!$A$17="☑",45&lt;='Resource Planner'!$N$17),'Resource Planner'!$B$17,"")</f>
        <v/>
      </c>
      <c r="D399" s="163" t="str">
        <f>IF(AND('Resource Planner'!$A$17="☑",45&lt;='Resource Planner'!$N$17),'Resource Planner'!$D$17,"")</f>
        <v/>
      </c>
      <c r="E399" s="163" t="str">
        <f>IF(AND('Resource Planner'!$A$17="☑",45&lt;='Resource Planner'!$N$17),'Resource Planner'!$E$17,"")</f>
        <v/>
      </c>
      <c r="F399" s="163" t="str">
        <f>IF(AND('Resource Planner'!$A$17="☑",45&lt;='Resource Planner'!$N$17),'Resource Planner'!$F$17&amp;" "&amp;('Resource Planner'!$G$17+(45-1)*'Resource Planner'!$I$17)&amp;IF(('Resource Planner'!$G$17+(45-1)*'Resource Planner'!$I$17)=MIN('Resource Planner'!$G$17+45*'Resource Planner'!$I$17-1,'Resource Planner'!$H$17),"","–"&amp;MIN('Resource Planner'!$G$17+45*'Resource Planner'!$I$17-1,'Resource Planner'!$H$17)),"")</f>
        <v/>
      </c>
      <c r="G399" s="163" t="s">
        <v>109</v>
      </c>
      <c r="H399" s="163" t="str">
        <f>IF(AND('Resource Planner'!$A$17="☑",45&lt;='Resource Planner'!$N$17),'Resource Planner'!$M$17,"")</f>
        <v/>
      </c>
    </row>
    <row r="400" ht="15.75" customHeight="1">
      <c r="A4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00" s="163" t="str">
        <f>IF(AND('Resource Planner'!$A$17="☑",46&lt;='Resource Planner'!$N$17),'Resource Planner'!$C$17,"")</f>
        <v/>
      </c>
      <c r="C400" s="163" t="str">
        <f>IF(AND('Resource Planner'!$A$17="☑",46&lt;='Resource Planner'!$N$17),'Resource Planner'!$B$17,"")</f>
        <v/>
      </c>
      <c r="D400" s="163" t="str">
        <f>IF(AND('Resource Planner'!$A$17="☑",46&lt;='Resource Planner'!$N$17),'Resource Planner'!$D$17,"")</f>
        <v/>
      </c>
      <c r="E400" s="163" t="str">
        <f>IF(AND('Resource Planner'!$A$17="☑",46&lt;='Resource Planner'!$N$17),'Resource Planner'!$E$17,"")</f>
        <v/>
      </c>
      <c r="F400" s="163" t="str">
        <f>IF(AND('Resource Planner'!$A$17="☑",46&lt;='Resource Planner'!$N$17),'Resource Planner'!$F$17&amp;" "&amp;('Resource Planner'!$G$17+(46-1)*'Resource Planner'!$I$17)&amp;IF(('Resource Planner'!$G$17+(46-1)*'Resource Planner'!$I$17)=MIN('Resource Planner'!$G$17+46*'Resource Planner'!$I$17-1,'Resource Planner'!$H$17),"","–"&amp;MIN('Resource Planner'!$G$17+46*'Resource Planner'!$I$17-1,'Resource Planner'!$H$17)),"")</f>
        <v/>
      </c>
      <c r="G400" s="163" t="s">
        <v>109</v>
      </c>
      <c r="H400" s="163" t="str">
        <f>IF(AND('Resource Planner'!$A$17="☑",46&lt;='Resource Planner'!$N$17),'Resource Planner'!$M$17,"")</f>
        <v/>
      </c>
    </row>
    <row r="401" ht="15.75" customHeight="1">
      <c r="A4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01" s="163" t="str">
        <f>IF(AND('Resource Planner'!$A$17="☑",47&lt;='Resource Planner'!$N$17),'Resource Planner'!$C$17,"")</f>
        <v/>
      </c>
      <c r="C401" s="163" t="str">
        <f>IF(AND('Resource Planner'!$A$17="☑",47&lt;='Resource Planner'!$N$17),'Resource Planner'!$B$17,"")</f>
        <v/>
      </c>
      <c r="D401" s="163" t="str">
        <f>IF(AND('Resource Planner'!$A$17="☑",47&lt;='Resource Planner'!$N$17),'Resource Planner'!$D$17,"")</f>
        <v/>
      </c>
      <c r="E401" s="163" t="str">
        <f>IF(AND('Resource Planner'!$A$17="☑",47&lt;='Resource Planner'!$N$17),'Resource Planner'!$E$17,"")</f>
        <v/>
      </c>
      <c r="F401" s="163" t="str">
        <f>IF(AND('Resource Planner'!$A$17="☑",47&lt;='Resource Planner'!$N$17),'Resource Planner'!$F$17&amp;" "&amp;('Resource Planner'!$G$17+(47-1)*'Resource Planner'!$I$17)&amp;IF(('Resource Planner'!$G$17+(47-1)*'Resource Planner'!$I$17)=MIN('Resource Planner'!$G$17+47*'Resource Planner'!$I$17-1,'Resource Planner'!$H$17),"","–"&amp;MIN('Resource Planner'!$G$17+47*'Resource Planner'!$I$17-1,'Resource Planner'!$H$17)),"")</f>
        <v/>
      </c>
      <c r="G401" s="163" t="s">
        <v>109</v>
      </c>
      <c r="H401" s="163" t="str">
        <f>IF(AND('Resource Planner'!$A$17="☑",47&lt;='Resource Planner'!$N$17),'Resource Planner'!$M$17,"")</f>
        <v/>
      </c>
    </row>
    <row r="402" ht="15.75" customHeight="1">
      <c r="A4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02" s="163" t="str">
        <f>IF(AND('Resource Planner'!$A$17="☑",48&lt;='Resource Planner'!$N$17),'Resource Planner'!$C$17,"")</f>
        <v/>
      </c>
      <c r="C402" s="163" t="str">
        <f>IF(AND('Resource Planner'!$A$17="☑",48&lt;='Resource Planner'!$N$17),'Resource Planner'!$B$17,"")</f>
        <v/>
      </c>
      <c r="D402" s="163" t="str">
        <f>IF(AND('Resource Planner'!$A$17="☑",48&lt;='Resource Planner'!$N$17),'Resource Planner'!$D$17,"")</f>
        <v/>
      </c>
      <c r="E402" s="163" t="str">
        <f>IF(AND('Resource Planner'!$A$17="☑",48&lt;='Resource Planner'!$N$17),'Resource Planner'!$E$17,"")</f>
        <v/>
      </c>
      <c r="F402" s="163" t="str">
        <f>IF(AND('Resource Planner'!$A$17="☑",48&lt;='Resource Planner'!$N$17),'Resource Planner'!$F$17&amp;" "&amp;('Resource Planner'!$G$17+(48-1)*'Resource Planner'!$I$17)&amp;IF(('Resource Planner'!$G$17+(48-1)*'Resource Planner'!$I$17)=MIN('Resource Planner'!$G$17+48*'Resource Planner'!$I$17-1,'Resource Planner'!$H$17),"","–"&amp;MIN('Resource Planner'!$G$17+48*'Resource Planner'!$I$17-1,'Resource Planner'!$H$17)),"")</f>
        <v/>
      </c>
      <c r="G402" s="163" t="s">
        <v>109</v>
      </c>
      <c r="H402" s="163" t="str">
        <f>IF(AND('Resource Planner'!$A$17="☑",48&lt;='Resource Planner'!$N$17),'Resource Planner'!$M$17,"")</f>
        <v/>
      </c>
    </row>
    <row r="403" ht="15.75" customHeight="1">
      <c r="A4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03" s="163" t="str">
        <f>IF(AND('Resource Planner'!$A$17="☑",49&lt;='Resource Planner'!$N$17),'Resource Planner'!$C$17,"")</f>
        <v/>
      </c>
      <c r="C403" s="163" t="str">
        <f>IF(AND('Resource Planner'!$A$17="☑",49&lt;='Resource Planner'!$N$17),'Resource Planner'!$B$17,"")</f>
        <v/>
      </c>
      <c r="D403" s="163" t="str">
        <f>IF(AND('Resource Planner'!$A$17="☑",49&lt;='Resource Planner'!$N$17),'Resource Planner'!$D$17,"")</f>
        <v/>
      </c>
      <c r="E403" s="163" t="str">
        <f>IF(AND('Resource Planner'!$A$17="☑",49&lt;='Resource Planner'!$N$17),'Resource Planner'!$E$17,"")</f>
        <v/>
      </c>
      <c r="F403" s="163" t="str">
        <f>IF(AND('Resource Planner'!$A$17="☑",49&lt;='Resource Planner'!$N$17),'Resource Planner'!$F$17&amp;" "&amp;('Resource Planner'!$G$17+(49-1)*'Resource Planner'!$I$17)&amp;IF(('Resource Planner'!$G$17+(49-1)*'Resource Planner'!$I$17)=MIN('Resource Planner'!$G$17+49*'Resource Planner'!$I$17-1,'Resource Planner'!$H$17),"","–"&amp;MIN('Resource Planner'!$G$17+49*'Resource Planner'!$I$17-1,'Resource Planner'!$H$17)),"")</f>
        <v/>
      </c>
      <c r="G403" s="163" t="s">
        <v>109</v>
      </c>
      <c r="H403" s="163" t="str">
        <f>IF(AND('Resource Planner'!$A$17="☑",49&lt;='Resource Planner'!$N$17),'Resource Planner'!$M$17,"")</f>
        <v/>
      </c>
    </row>
    <row r="404" ht="15.75" customHeight="1">
      <c r="A4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04" s="163" t="str">
        <f>IF(AND('Resource Planner'!$A$17="☑",50&lt;='Resource Planner'!$N$17),'Resource Planner'!$C$17,"")</f>
        <v/>
      </c>
      <c r="C404" s="163" t="str">
        <f>IF(AND('Resource Planner'!$A$17="☑",50&lt;='Resource Planner'!$N$17),'Resource Planner'!$B$17,"")</f>
        <v/>
      </c>
      <c r="D404" s="163" t="str">
        <f>IF(AND('Resource Planner'!$A$17="☑",50&lt;='Resource Planner'!$N$17),'Resource Planner'!$D$17,"")</f>
        <v/>
      </c>
      <c r="E404" s="163" t="str">
        <f>IF(AND('Resource Planner'!$A$17="☑",50&lt;='Resource Planner'!$N$17),'Resource Planner'!$E$17,"")</f>
        <v/>
      </c>
      <c r="F404" s="163" t="str">
        <f>IF(AND('Resource Planner'!$A$17="☑",50&lt;='Resource Planner'!$N$17),'Resource Planner'!$F$17&amp;" "&amp;('Resource Planner'!$G$17+(50-1)*'Resource Planner'!$I$17)&amp;IF(('Resource Planner'!$G$17+(50-1)*'Resource Planner'!$I$17)=MIN('Resource Planner'!$G$17+50*'Resource Planner'!$I$17-1,'Resource Planner'!$H$17),"","–"&amp;MIN('Resource Planner'!$G$17+50*'Resource Planner'!$I$17-1,'Resource Planner'!$H$17)),"")</f>
        <v/>
      </c>
      <c r="G404" s="163" t="s">
        <v>109</v>
      </c>
      <c r="H404" s="163" t="str">
        <f>IF(AND('Resource Planner'!$A$17="☑",50&lt;='Resource Planner'!$N$17),'Resource Planner'!$M$17,"")</f>
        <v/>
      </c>
    </row>
    <row r="405" ht="15.75" customHeight="1">
      <c r="A40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week"",10*(n-1),""Custom"",gap*(n-1),n-1),IF(AND(active=""☑"",n&lt;=lessons,st&lt;&gt;""""),INDEX(eligibleDates,startPos+offset),"""")),"""")"),46251.0)</f>
        <v>46251</v>
      </c>
      <c r="B405" s="33" t="str">
        <f>IF(AND('Resource Planner'!$A$18="☑",1&lt;='Resource Planner'!$N$18),'Resource Planner'!$C$18,"")</f>
        <v>Everyone</v>
      </c>
      <c r="C405" s="33" t="str">
        <f>IF(AND('Resource Planner'!$A$18="☑",1&lt;='Resource Planner'!$N$18),'Resource Planner'!$B$18,"")</f>
        <v>Hands + Beauty Loop</v>
      </c>
      <c r="D405" s="33" t="str">
        <f>IF(AND('Resource Planner'!$A$18="☑",1&lt;='Resource Planner'!$N$18),'Resource Planner'!$D$18,"")</f>
        <v>All Together / Beauty + Hands — Hymn</v>
      </c>
      <c r="E405" s="33" t="str">
        <f>IF(AND('Resource Planner'!$A$18="☑",1&lt;='Resource Planner'!$N$18),'Resource Planner'!$E$18,"")</f>
        <v>How Great Thou Art</v>
      </c>
      <c r="F405" s="163" t="str">
        <f>IF(AND('Resource Planner'!$A$18="☑",1&lt;='Resource Planner'!$N$18),'Resource Planner'!$F$18&amp;" "&amp;('Resource Planner'!$G$18+(1-1)*'Resource Planner'!$I$18)&amp;IF(('Resource Planner'!$G$18+(1-1)*'Resource Planner'!$I$18)=MIN('Resource Planner'!$G$18+1*'Resource Planner'!$I$18-1,'Resource Planner'!$H$18),"","–"&amp;MIN('Resource Planner'!$G$18+1*'Resource Planner'!$I$18-1,'Resource Planner'!$H$18)),"")</f>
        <v>Week 1</v>
      </c>
      <c r="G405" s="163" t="s">
        <v>109</v>
      </c>
      <c r="H405" s="33" t="str">
        <f>IF(AND('Resource Planner'!$A$18="☑",1&lt;='Resource Planner'!$N$18),'Resource Planner'!$M$18,"")</f>
        <v/>
      </c>
    </row>
    <row r="406" ht="15.75" customHeight="1">
      <c r="A40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week"",10*(n-1),""Custom"",gap*(n-1),n-1),IF(AND(active=""☑"",n&lt;=lessons,st&lt;&gt;""""),INDEX(eligibleDates,startPos+offset),"""")),"""")"),46258.0)</f>
        <v>46258</v>
      </c>
      <c r="B406" s="33" t="str">
        <f>IF(AND('Resource Planner'!$A$18="☑",2&lt;='Resource Planner'!$N$18),'Resource Planner'!$C$18,"")</f>
        <v>Everyone</v>
      </c>
      <c r="C406" s="33" t="str">
        <f>IF(AND('Resource Planner'!$A$18="☑",2&lt;='Resource Planner'!$N$18),'Resource Planner'!$B$18,"")</f>
        <v>Hands + Beauty Loop</v>
      </c>
      <c r="D406" s="33" t="str">
        <f>IF(AND('Resource Planner'!$A$18="☑",2&lt;='Resource Planner'!$N$18),'Resource Planner'!$D$18,"")</f>
        <v>All Together / Beauty + Hands — Hymn</v>
      </c>
      <c r="E406" s="33" t="str">
        <f>IF(AND('Resource Planner'!$A$18="☑",2&lt;='Resource Planner'!$N$18),'Resource Planner'!$E$18,"")</f>
        <v>How Great Thou Art</v>
      </c>
      <c r="F406" s="163" t="str">
        <f>IF(AND('Resource Planner'!$A$18="☑",2&lt;='Resource Planner'!$N$18),'Resource Planner'!$F$18&amp;" "&amp;('Resource Planner'!$G$18+(2-1)*'Resource Planner'!$I$18)&amp;IF(('Resource Planner'!$G$18+(2-1)*'Resource Planner'!$I$18)=MIN('Resource Planner'!$G$18+2*'Resource Planner'!$I$18-1,'Resource Planner'!$H$18),"","–"&amp;MIN('Resource Planner'!$G$18+2*'Resource Planner'!$I$18-1,'Resource Planner'!$H$18)),"")</f>
        <v>Week 2</v>
      </c>
      <c r="G406" s="163" t="s">
        <v>109</v>
      </c>
      <c r="H406" s="33" t="str">
        <f>IF(AND('Resource Planner'!$A$18="☑",2&lt;='Resource Planner'!$N$18),'Resource Planner'!$M$18,"")</f>
        <v/>
      </c>
    </row>
    <row r="407" ht="15.75" customHeight="1">
      <c r="A40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week"",10*(n-1),""Custom"",gap*(n-1),n-1),IF(AND(active=""☑"",n&lt;=lessons,st&lt;&gt;""""),INDEX(eligibleDates,startPos+offset),"""")),"""")"),46265.0)</f>
        <v>46265</v>
      </c>
      <c r="B407" s="33" t="str">
        <f>IF(AND('Resource Planner'!$A$18="☑",3&lt;='Resource Planner'!$N$18),'Resource Planner'!$C$18,"")</f>
        <v>Everyone</v>
      </c>
      <c r="C407" s="33" t="str">
        <f>IF(AND('Resource Planner'!$A$18="☑",3&lt;='Resource Planner'!$N$18),'Resource Planner'!$B$18,"")</f>
        <v>Hands + Beauty Loop</v>
      </c>
      <c r="D407" s="33" t="str">
        <f>IF(AND('Resource Planner'!$A$18="☑",3&lt;='Resource Planner'!$N$18),'Resource Planner'!$D$18,"")</f>
        <v>All Together / Beauty + Hands — Hymn</v>
      </c>
      <c r="E407" s="33" t="str">
        <f>IF(AND('Resource Planner'!$A$18="☑",3&lt;='Resource Planner'!$N$18),'Resource Planner'!$E$18,"")</f>
        <v>How Great Thou Art</v>
      </c>
      <c r="F407" s="163" t="str">
        <f>IF(AND('Resource Planner'!$A$18="☑",3&lt;='Resource Planner'!$N$18),'Resource Planner'!$F$18&amp;" "&amp;('Resource Planner'!$G$18+(3-1)*'Resource Planner'!$I$18)&amp;IF(('Resource Planner'!$G$18+(3-1)*'Resource Planner'!$I$18)=MIN('Resource Planner'!$G$18+3*'Resource Planner'!$I$18-1,'Resource Planner'!$H$18),"","–"&amp;MIN('Resource Planner'!$G$18+3*'Resource Planner'!$I$18-1,'Resource Planner'!$H$18)),"")</f>
        <v>Week 3</v>
      </c>
      <c r="G407" s="163" t="s">
        <v>109</v>
      </c>
      <c r="H407" s="33" t="str">
        <f>IF(AND('Resource Planner'!$A$18="☑",3&lt;='Resource Planner'!$N$18),'Resource Planner'!$M$18,"")</f>
        <v/>
      </c>
    </row>
    <row r="408" ht="15.75" customHeight="1">
      <c r="A40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week"",10*(n-1),""Custom"",gap*(n-1),n-1),IF(AND(active=""☑"",n&lt;=lessons,st&lt;&gt;""""),INDEX(eligibleDates,startPos+offset),"""")),"""")"),46272.0)</f>
        <v>46272</v>
      </c>
      <c r="B408" s="33" t="str">
        <f>IF(AND('Resource Planner'!$A$18="☑",4&lt;='Resource Planner'!$N$18),'Resource Planner'!$C$18,"")</f>
        <v>Everyone</v>
      </c>
      <c r="C408" s="33" t="str">
        <f>IF(AND('Resource Planner'!$A$18="☑",4&lt;='Resource Planner'!$N$18),'Resource Planner'!$B$18,"")</f>
        <v>Hands + Beauty Loop</v>
      </c>
      <c r="D408" s="33" t="str">
        <f>IF(AND('Resource Planner'!$A$18="☑",4&lt;='Resource Planner'!$N$18),'Resource Planner'!$D$18,"")</f>
        <v>All Together / Beauty + Hands — Hymn</v>
      </c>
      <c r="E408" s="33" t="str">
        <f>IF(AND('Resource Planner'!$A$18="☑",4&lt;='Resource Planner'!$N$18),'Resource Planner'!$E$18,"")</f>
        <v>How Great Thou Art</v>
      </c>
      <c r="F408" s="163" t="str">
        <f>IF(AND('Resource Planner'!$A$18="☑",4&lt;='Resource Planner'!$N$18),'Resource Planner'!$F$18&amp;" "&amp;('Resource Planner'!$G$18+(4-1)*'Resource Planner'!$I$18)&amp;IF(('Resource Planner'!$G$18+(4-1)*'Resource Planner'!$I$18)=MIN('Resource Planner'!$G$18+4*'Resource Planner'!$I$18-1,'Resource Planner'!$H$18),"","–"&amp;MIN('Resource Planner'!$G$18+4*'Resource Planner'!$I$18-1,'Resource Planner'!$H$18)),"")</f>
        <v>Week 4</v>
      </c>
      <c r="G408" s="163" t="s">
        <v>109</v>
      </c>
      <c r="H408" s="33" t="str">
        <f>IF(AND('Resource Planner'!$A$18="☑",4&lt;='Resource Planner'!$N$18),'Resource Planner'!$M$18,"")</f>
        <v/>
      </c>
    </row>
    <row r="409" ht="15.75" customHeight="1">
      <c r="A40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week"",10*(n-1),""Custom"",gap*(n-1),n-1),IF(AND(active=""☑"",n&lt;=lessons,st&lt;&gt;""""),INDEX(eligibleDates,startPos+offset),"""")),"""")"),46279.0)</f>
        <v>46279</v>
      </c>
      <c r="B409" s="33" t="str">
        <f>IF(AND('Resource Planner'!$A$18="☑",5&lt;='Resource Planner'!$N$18),'Resource Planner'!$C$18,"")</f>
        <v>Everyone</v>
      </c>
      <c r="C409" s="33" t="str">
        <f>IF(AND('Resource Planner'!$A$18="☑",5&lt;='Resource Planner'!$N$18),'Resource Planner'!$B$18,"")</f>
        <v>Hands + Beauty Loop</v>
      </c>
      <c r="D409" s="33" t="str">
        <f>IF(AND('Resource Planner'!$A$18="☑",5&lt;='Resource Planner'!$N$18),'Resource Planner'!$D$18,"")</f>
        <v>All Together / Beauty + Hands — Hymn</v>
      </c>
      <c r="E409" s="33" t="str">
        <f>IF(AND('Resource Planner'!$A$18="☑",5&lt;='Resource Planner'!$N$18),'Resource Planner'!$E$18,"")</f>
        <v>How Great Thou Art</v>
      </c>
      <c r="F409" s="163" t="str">
        <f>IF(AND('Resource Planner'!$A$18="☑",5&lt;='Resource Planner'!$N$18),'Resource Planner'!$F$18&amp;" "&amp;('Resource Planner'!$G$18+(5-1)*'Resource Planner'!$I$18)&amp;IF(('Resource Planner'!$G$18+(5-1)*'Resource Planner'!$I$18)=MIN('Resource Planner'!$G$18+5*'Resource Planner'!$I$18-1,'Resource Planner'!$H$18),"","–"&amp;MIN('Resource Planner'!$G$18+5*'Resource Planner'!$I$18-1,'Resource Planner'!$H$18)),"")</f>
        <v>Week 5</v>
      </c>
      <c r="G409" s="163" t="s">
        <v>109</v>
      </c>
      <c r="H409" s="33" t="str">
        <f>IF(AND('Resource Planner'!$A$18="☑",5&lt;='Resource Planner'!$N$18),'Resource Planner'!$M$18,"")</f>
        <v/>
      </c>
    </row>
    <row r="410" ht="15.75" customHeight="1">
      <c r="A41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week"",10*(n-1),""Custom"",gap*(n-1),n-1),IF(AND(active=""☑"",n&lt;=lessons,st&lt;&gt;""""),INDEX(eligibleDates,startPos+offset),"""")),"""")"),46286.0)</f>
        <v>46286</v>
      </c>
      <c r="B410" s="33" t="str">
        <f>IF(AND('Resource Planner'!$A$18="☑",6&lt;='Resource Planner'!$N$18),'Resource Planner'!$C$18,"")</f>
        <v>Everyone</v>
      </c>
      <c r="C410" s="33" t="str">
        <f>IF(AND('Resource Planner'!$A$18="☑",6&lt;='Resource Planner'!$N$18),'Resource Planner'!$B$18,"")</f>
        <v>Hands + Beauty Loop</v>
      </c>
      <c r="D410" s="33" t="str">
        <f>IF(AND('Resource Planner'!$A$18="☑",6&lt;='Resource Planner'!$N$18),'Resource Planner'!$D$18,"")</f>
        <v>All Together / Beauty + Hands — Hymn</v>
      </c>
      <c r="E410" s="33" t="str">
        <f>IF(AND('Resource Planner'!$A$18="☑",6&lt;='Resource Planner'!$N$18),'Resource Planner'!$E$18,"")</f>
        <v>How Great Thou Art</v>
      </c>
      <c r="F410" s="163" t="str">
        <f>IF(AND('Resource Planner'!$A$18="☑",6&lt;='Resource Planner'!$N$18),'Resource Planner'!$F$18&amp;" "&amp;('Resource Planner'!$G$18+(6-1)*'Resource Planner'!$I$18)&amp;IF(('Resource Planner'!$G$18+(6-1)*'Resource Planner'!$I$18)=MIN('Resource Planner'!$G$18+6*'Resource Planner'!$I$18-1,'Resource Planner'!$H$18),"","–"&amp;MIN('Resource Planner'!$G$18+6*'Resource Planner'!$I$18-1,'Resource Planner'!$H$18)),"")</f>
        <v>Week 6</v>
      </c>
      <c r="G410" s="163" t="s">
        <v>109</v>
      </c>
      <c r="H410" s="33" t="str">
        <f>IF(AND('Resource Planner'!$A$18="☑",6&lt;='Resource Planner'!$N$18),'Resource Planner'!$M$18,"")</f>
        <v/>
      </c>
    </row>
    <row r="411" ht="15.75" customHeight="1">
      <c r="A4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11" s="163" t="str">
        <f>IF(AND('Resource Planner'!$A$18="☑",7&lt;='Resource Planner'!$N$18),'Resource Planner'!$C$18,"")</f>
        <v/>
      </c>
      <c r="C411" s="163" t="str">
        <f>IF(AND('Resource Planner'!$A$18="☑",7&lt;='Resource Planner'!$N$18),'Resource Planner'!$B$18,"")</f>
        <v/>
      </c>
      <c r="D411" s="163" t="str">
        <f>IF(AND('Resource Planner'!$A$18="☑",7&lt;='Resource Planner'!$N$18),'Resource Planner'!$D$18,"")</f>
        <v/>
      </c>
      <c r="E411" s="163" t="str">
        <f>IF(AND('Resource Planner'!$A$18="☑",7&lt;='Resource Planner'!$N$18),'Resource Planner'!$E$18,"")</f>
        <v/>
      </c>
      <c r="F411" s="163" t="str">
        <f>IF(AND('Resource Planner'!$A$18="☑",7&lt;='Resource Planner'!$N$18),'Resource Planner'!$F$18&amp;" "&amp;('Resource Planner'!$G$18+(7-1)*'Resource Planner'!$I$18)&amp;IF(('Resource Planner'!$G$18+(7-1)*'Resource Planner'!$I$18)=MIN('Resource Planner'!$G$18+7*'Resource Planner'!$I$18-1,'Resource Planner'!$H$18),"","–"&amp;MIN('Resource Planner'!$G$18+7*'Resource Planner'!$I$18-1,'Resource Planner'!$H$18)),"")</f>
        <v/>
      </c>
      <c r="G411" s="163" t="s">
        <v>109</v>
      </c>
      <c r="H411" s="163" t="str">
        <f>IF(AND('Resource Planner'!$A$18="☑",7&lt;='Resource Planner'!$N$18),'Resource Planner'!$M$18,"")</f>
        <v/>
      </c>
    </row>
    <row r="412" ht="15.75" customHeight="1">
      <c r="A4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12" s="163" t="str">
        <f>IF(AND('Resource Planner'!$A$18="☑",8&lt;='Resource Planner'!$N$18),'Resource Planner'!$C$18,"")</f>
        <v/>
      </c>
      <c r="C412" s="163" t="str">
        <f>IF(AND('Resource Planner'!$A$18="☑",8&lt;='Resource Planner'!$N$18),'Resource Planner'!$B$18,"")</f>
        <v/>
      </c>
      <c r="D412" s="163" t="str">
        <f>IF(AND('Resource Planner'!$A$18="☑",8&lt;='Resource Planner'!$N$18),'Resource Planner'!$D$18,"")</f>
        <v/>
      </c>
      <c r="E412" s="163" t="str">
        <f>IF(AND('Resource Planner'!$A$18="☑",8&lt;='Resource Planner'!$N$18),'Resource Planner'!$E$18,"")</f>
        <v/>
      </c>
      <c r="F412" s="163" t="str">
        <f>IF(AND('Resource Planner'!$A$18="☑",8&lt;='Resource Planner'!$N$18),'Resource Planner'!$F$18&amp;" "&amp;('Resource Planner'!$G$18+(8-1)*'Resource Planner'!$I$18)&amp;IF(('Resource Planner'!$G$18+(8-1)*'Resource Planner'!$I$18)=MIN('Resource Planner'!$G$18+8*'Resource Planner'!$I$18-1,'Resource Planner'!$H$18),"","–"&amp;MIN('Resource Planner'!$G$18+8*'Resource Planner'!$I$18-1,'Resource Planner'!$H$18)),"")</f>
        <v/>
      </c>
      <c r="G412" s="163" t="s">
        <v>109</v>
      </c>
      <c r="H412" s="163" t="str">
        <f>IF(AND('Resource Planner'!$A$18="☑",8&lt;='Resource Planner'!$N$18),'Resource Planner'!$M$18,"")</f>
        <v/>
      </c>
    </row>
    <row r="413" ht="15.75" customHeight="1">
      <c r="A4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13" s="163" t="str">
        <f>IF(AND('Resource Planner'!$A$18="☑",9&lt;='Resource Planner'!$N$18),'Resource Planner'!$C$18,"")</f>
        <v/>
      </c>
      <c r="C413" s="163" t="str">
        <f>IF(AND('Resource Planner'!$A$18="☑",9&lt;='Resource Planner'!$N$18),'Resource Planner'!$B$18,"")</f>
        <v/>
      </c>
      <c r="D413" s="163" t="str">
        <f>IF(AND('Resource Planner'!$A$18="☑",9&lt;='Resource Planner'!$N$18),'Resource Planner'!$D$18,"")</f>
        <v/>
      </c>
      <c r="E413" s="163" t="str">
        <f>IF(AND('Resource Planner'!$A$18="☑",9&lt;='Resource Planner'!$N$18),'Resource Planner'!$E$18,"")</f>
        <v/>
      </c>
      <c r="F413" s="163" t="str">
        <f>IF(AND('Resource Planner'!$A$18="☑",9&lt;='Resource Planner'!$N$18),'Resource Planner'!$F$18&amp;" "&amp;('Resource Planner'!$G$18+(9-1)*'Resource Planner'!$I$18)&amp;IF(('Resource Planner'!$G$18+(9-1)*'Resource Planner'!$I$18)=MIN('Resource Planner'!$G$18+9*'Resource Planner'!$I$18-1,'Resource Planner'!$H$18),"","–"&amp;MIN('Resource Planner'!$G$18+9*'Resource Planner'!$I$18-1,'Resource Planner'!$H$18)),"")</f>
        <v/>
      </c>
      <c r="G413" s="163" t="s">
        <v>109</v>
      </c>
      <c r="H413" s="163" t="str">
        <f>IF(AND('Resource Planner'!$A$18="☑",9&lt;='Resource Planner'!$N$18),'Resource Planner'!$M$18,"")</f>
        <v/>
      </c>
    </row>
    <row r="414" ht="15.75" customHeight="1">
      <c r="A4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14" s="163" t="str">
        <f>IF(AND('Resource Planner'!$A$18="☑",10&lt;='Resource Planner'!$N$18),'Resource Planner'!$C$18,"")</f>
        <v/>
      </c>
      <c r="C414" s="163" t="str">
        <f>IF(AND('Resource Planner'!$A$18="☑",10&lt;='Resource Planner'!$N$18),'Resource Planner'!$B$18,"")</f>
        <v/>
      </c>
      <c r="D414" s="163" t="str">
        <f>IF(AND('Resource Planner'!$A$18="☑",10&lt;='Resource Planner'!$N$18),'Resource Planner'!$D$18,"")</f>
        <v/>
      </c>
      <c r="E414" s="163" t="str">
        <f>IF(AND('Resource Planner'!$A$18="☑",10&lt;='Resource Planner'!$N$18),'Resource Planner'!$E$18,"")</f>
        <v/>
      </c>
      <c r="F414" s="163" t="str">
        <f>IF(AND('Resource Planner'!$A$18="☑",10&lt;='Resource Planner'!$N$18),'Resource Planner'!$F$18&amp;" "&amp;('Resource Planner'!$G$18+(10-1)*'Resource Planner'!$I$18)&amp;IF(('Resource Planner'!$G$18+(10-1)*'Resource Planner'!$I$18)=MIN('Resource Planner'!$G$18+10*'Resource Planner'!$I$18-1,'Resource Planner'!$H$18),"","–"&amp;MIN('Resource Planner'!$G$18+10*'Resource Planner'!$I$18-1,'Resource Planner'!$H$18)),"")</f>
        <v/>
      </c>
      <c r="G414" s="163" t="s">
        <v>109</v>
      </c>
      <c r="H414" s="163" t="str">
        <f>IF(AND('Resource Planner'!$A$18="☑",10&lt;='Resource Planner'!$N$18),'Resource Planner'!$M$18,"")</f>
        <v/>
      </c>
    </row>
    <row r="415" ht="15.75" customHeight="1">
      <c r="A4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15" s="163" t="str">
        <f>IF(AND('Resource Planner'!$A$18="☑",11&lt;='Resource Planner'!$N$18),'Resource Planner'!$C$18,"")</f>
        <v/>
      </c>
      <c r="C415" s="163" t="str">
        <f>IF(AND('Resource Planner'!$A$18="☑",11&lt;='Resource Planner'!$N$18),'Resource Planner'!$B$18,"")</f>
        <v/>
      </c>
      <c r="D415" s="163" t="str">
        <f>IF(AND('Resource Planner'!$A$18="☑",11&lt;='Resource Planner'!$N$18),'Resource Planner'!$D$18,"")</f>
        <v/>
      </c>
      <c r="E415" s="163" t="str">
        <f>IF(AND('Resource Planner'!$A$18="☑",11&lt;='Resource Planner'!$N$18),'Resource Planner'!$E$18,"")</f>
        <v/>
      </c>
      <c r="F415" s="163" t="str">
        <f>IF(AND('Resource Planner'!$A$18="☑",11&lt;='Resource Planner'!$N$18),'Resource Planner'!$F$18&amp;" "&amp;('Resource Planner'!$G$18+(11-1)*'Resource Planner'!$I$18)&amp;IF(('Resource Planner'!$G$18+(11-1)*'Resource Planner'!$I$18)=MIN('Resource Planner'!$G$18+11*'Resource Planner'!$I$18-1,'Resource Planner'!$H$18),"","–"&amp;MIN('Resource Planner'!$G$18+11*'Resource Planner'!$I$18-1,'Resource Planner'!$H$18)),"")</f>
        <v/>
      </c>
      <c r="G415" s="163" t="s">
        <v>109</v>
      </c>
      <c r="H415" s="163" t="str">
        <f>IF(AND('Resource Planner'!$A$18="☑",11&lt;='Resource Planner'!$N$18),'Resource Planner'!$M$18,"")</f>
        <v/>
      </c>
    </row>
    <row r="416" ht="15.75" customHeight="1">
      <c r="A4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16" s="163" t="str">
        <f>IF(AND('Resource Planner'!$A$18="☑",12&lt;='Resource Planner'!$N$18),'Resource Planner'!$C$18,"")</f>
        <v/>
      </c>
      <c r="C416" s="163" t="str">
        <f>IF(AND('Resource Planner'!$A$18="☑",12&lt;='Resource Planner'!$N$18),'Resource Planner'!$B$18,"")</f>
        <v/>
      </c>
      <c r="D416" s="163" t="str">
        <f>IF(AND('Resource Planner'!$A$18="☑",12&lt;='Resource Planner'!$N$18),'Resource Planner'!$D$18,"")</f>
        <v/>
      </c>
      <c r="E416" s="163" t="str">
        <f>IF(AND('Resource Planner'!$A$18="☑",12&lt;='Resource Planner'!$N$18),'Resource Planner'!$E$18,"")</f>
        <v/>
      </c>
      <c r="F416" s="163" t="str">
        <f>IF(AND('Resource Planner'!$A$18="☑",12&lt;='Resource Planner'!$N$18),'Resource Planner'!$F$18&amp;" "&amp;('Resource Planner'!$G$18+(12-1)*'Resource Planner'!$I$18)&amp;IF(('Resource Planner'!$G$18+(12-1)*'Resource Planner'!$I$18)=MIN('Resource Planner'!$G$18+12*'Resource Planner'!$I$18-1,'Resource Planner'!$H$18),"","–"&amp;MIN('Resource Planner'!$G$18+12*'Resource Planner'!$I$18-1,'Resource Planner'!$H$18)),"")</f>
        <v/>
      </c>
      <c r="G416" s="163" t="s">
        <v>109</v>
      </c>
      <c r="H416" s="163" t="str">
        <f>IF(AND('Resource Planner'!$A$18="☑",12&lt;='Resource Planner'!$N$18),'Resource Planner'!$M$18,"")</f>
        <v/>
      </c>
    </row>
    <row r="417" ht="15.75" customHeight="1">
      <c r="A4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17" s="163" t="str">
        <f>IF(AND('Resource Planner'!$A$18="☑",13&lt;='Resource Planner'!$N$18),'Resource Planner'!$C$18,"")</f>
        <v/>
      </c>
      <c r="C417" s="163" t="str">
        <f>IF(AND('Resource Planner'!$A$18="☑",13&lt;='Resource Planner'!$N$18),'Resource Planner'!$B$18,"")</f>
        <v/>
      </c>
      <c r="D417" s="163" t="str">
        <f>IF(AND('Resource Planner'!$A$18="☑",13&lt;='Resource Planner'!$N$18),'Resource Planner'!$D$18,"")</f>
        <v/>
      </c>
      <c r="E417" s="163" t="str">
        <f>IF(AND('Resource Planner'!$A$18="☑",13&lt;='Resource Planner'!$N$18),'Resource Planner'!$E$18,"")</f>
        <v/>
      </c>
      <c r="F417" s="163" t="str">
        <f>IF(AND('Resource Planner'!$A$18="☑",13&lt;='Resource Planner'!$N$18),'Resource Planner'!$F$18&amp;" "&amp;('Resource Planner'!$G$18+(13-1)*'Resource Planner'!$I$18)&amp;IF(('Resource Planner'!$G$18+(13-1)*'Resource Planner'!$I$18)=MIN('Resource Planner'!$G$18+13*'Resource Planner'!$I$18-1,'Resource Planner'!$H$18),"","–"&amp;MIN('Resource Planner'!$G$18+13*'Resource Planner'!$I$18-1,'Resource Planner'!$H$18)),"")</f>
        <v/>
      </c>
      <c r="G417" s="163" t="s">
        <v>109</v>
      </c>
      <c r="H417" s="163" t="str">
        <f>IF(AND('Resource Planner'!$A$18="☑",13&lt;='Resource Planner'!$N$18),'Resource Planner'!$M$18,"")</f>
        <v/>
      </c>
    </row>
    <row r="418" ht="15.75" customHeight="1">
      <c r="A4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18" s="163" t="str">
        <f>IF(AND('Resource Planner'!$A$18="☑",14&lt;='Resource Planner'!$N$18),'Resource Planner'!$C$18,"")</f>
        <v/>
      </c>
      <c r="C418" s="163" t="str">
        <f>IF(AND('Resource Planner'!$A$18="☑",14&lt;='Resource Planner'!$N$18),'Resource Planner'!$B$18,"")</f>
        <v/>
      </c>
      <c r="D418" s="163" t="str">
        <f>IF(AND('Resource Planner'!$A$18="☑",14&lt;='Resource Planner'!$N$18),'Resource Planner'!$D$18,"")</f>
        <v/>
      </c>
      <c r="E418" s="163" t="str">
        <f>IF(AND('Resource Planner'!$A$18="☑",14&lt;='Resource Planner'!$N$18),'Resource Planner'!$E$18,"")</f>
        <v/>
      </c>
      <c r="F418" s="163" t="str">
        <f>IF(AND('Resource Planner'!$A$18="☑",14&lt;='Resource Planner'!$N$18),'Resource Planner'!$F$18&amp;" "&amp;('Resource Planner'!$G$18+(14-1)*'Resource Planner'!$I$18)&amp;IF(('Resource Planner'!$G$18+(14-1)*'Resource Planner'!$I$18)=MIN('Resource Planner'!$G$18+14*'Resource Planner'!$I$18-1,'Resource Planner'!$H$18),"","–"&amp;MIN('Resource Planner'!$G$18+14*'Resource Planner'!$I$18-1,'Resource Planner'!$H$18)),"")</f>
        <v/>
      </c>
      <c r="G418" s="163" t="s">
        <v>109</v>
      </c>
      <c r="H418" s="163" t="str">
        <f>IF(AND('Resource Planner'!$A$18="☑",14&lt;='Resource Planner'!$N$18),'Resource Planner'!$M$18,"")</f>
        <v/>
      </c>
    </row>
    <row r="419" ht="15.75" customHeight="1">
      <c r="A4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19" s="163" t="str">
        <f>IF(AND('Resource Planner'!$A$18="☑",15&lt;='Resource Planner'!$N$18),'Resource Planner'!$C$18,"")</f>
        <v/>
      </c>
      <c r="C419" s="163" t="str">
        <f>IF(AND('Resource Planner'!$A$18="☑",15&lt;='Resource Planner'!$N$18),'Resource Planner'!$B$18,"")</f>
        <v/>
      </c>
      <c r="D419" s="163" t="str">
        <f>IF(AND('Resource Planner'!$A$18="☑",15&lt;='Resource Planner'!$N$18),'Resource Planner'!$D$18,"")</f>
        <v/>
      </c>
      <c r="E419" s="163" t="str">
        <f>IF(AND('Resource Planner'!$A$18="☑",15&lt;='Resource Planner'!$N$18),'Resource Planner'!$E$18,"")</f>
        <v/>
      </c>
      <c r="F419" s="163" t="str">
        <f>IF(AND('Resource Planner'!$A$18="☑",15&lt;='Resource Planner'!$N$18),'Resource Planner'!$F$18&amp;" "&amp;('Resource Planner'!$G$18+(15-1)*'Resource Planner'!$I$18)&amp;IF(('Resource Planner'!$G$18+(15-1)*'Resource Planner'!$I$18)=MIN('Resource Planner'!$G$18+15*'Resource Planner'!$I$18-1,'Resource Planner'!$H$18),"","–"&amp;MIN('Resource Planner'!$G$18+15*'Resource Planner'!$I$18-1,'Resource Planner'!$H$18)),"")</f>
        <v/>
      </c>
      <c r="G419" s="163" t="s">
        <v>109</v>
      </c>
      <c r="H419" s="163" t="str">
        <f>IF(AND('Resource Planner'!$A$18="☑",15&lt;='Resource Planner'!$N$18),'Resource Planner'!$M$18,"")</f>
        <v/>
      </c>
    </row>
    <row r="420" ht="15.75" customHeight="1">
      <c r="A4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0" s="163" t="str">
        <f>IF(AND('Resource Planner'!$A$18="☑",16&lt;='Resource Planner'!$N$18),'Resource Planner'!$C$18,"")</f>
        <v/>
      </c>
      <c r="C420" s="163" t="str">
        <f>IF(AND('Resource Planner'!$A$18="☑",16&lt;='Resource Planner'!$N$18),'Resource Planner'!$B$18,"")</f>
        <v/>
      </c>
      <c r="D420" s="163" t="str">
        <f>IF(AND('Resource Planner'!$A$18="☑",16&lt;='Resource Planner'!$N$18),'Resource Planner'!$D$18,"")</f>
        <v/>
      </c>
      <c r="E420" s="163" t="str">
        <f>IF(AND('Resource Planner'!$A$18="☑",16&lt;='Resource Planner'!$N$18),'Resource Planner'!$E$18,"")</f>
        <v/>
      </c>
      <c r="F420" s="163" t="str">
        <f>IF(AND('Resource Planner'!$A$18="☑",16&lt;='Resource Planner'!$N$18),'Resource Planner'!$F$18&amp;" "&amp;('Resource Planner'!$G$18+(16-1)*'Resource Planner'!$I$18)&amp;IF(('Resource Planner'!$G$18+(16-1)*'Resource Planner'!$I$18)=MIN('Resource Planner'!$G$18+16*'Resource Planner'!$I$18-1,'Resource Planner'!$H$18),"","–"&amp;MIN('Resource Planner'!$G$18+16*'Resource Planner'!$I$18-1,'Resource Planner'!$H$18)),"")</f>
        <v/>
      </c>
      <c r="G420" s="163" t="s">
        <v>109</v>
      </c>
      <c r="H420" s="163" t="str">
        <f>IF(AND('Resource Planner'!$A$18="☑",16&lt;='Resource Planner'!$N$18),'Resource Planner'!$M$18,"")</f>
        <v/>
      </c>
    </row>
    <row r="421" ht="15.75" customHeight="1">
      <c r="A4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1" s="163" t="str">
        <f>IF(AND('Resource Planner'!$A$18="☑",17&lt;='Resource Planner'!$N$18),'Resource Planner'!$C$18,"")</f>
        <v/>
      </c>
      <c r="C421" s="163" t="str">
        <f>IF(AND('Resource Planner'!$A$18="☑",17&lt;='Resource Planner'!$N$18),'Resource Planner'!$B$18,"")</f>
        <v/>
      </c>
      <c r="D421" s="163" t="str">
        <f>IF(AND('Resource Planner'!$A$18="☑",17&lt;='Resource Planner'!$N$18),'Resource Planner'!$D$18,"")</f>
        <v/>
      </c>
      <c r="E421" s="163" t="str">
        <f>IF(AND('Resource Planner'!$A$18="☑",17&lt;='Resource Planner'!$N$18),'Resource Planner'!$E$18,"")</f>
        <v/>
      </c>
      <c r="F421" s="163" t="str">
        <f>IF(AND('Resource Planner'!$A$18="☑",17&lt;='Resource Planner'!$N$18),'Resource Planner'!$F$18&amp;" "&amp;('Resource Planner'!$G$18+(17-1)*'Resource Planner'!$I$18)&amp;IF(('Resource Planner'!$G$18+(17-1)*'Resource Planner'!$I$18)=MIN('Resource Planner'!$G$18+17*'Resource Planner'!$I$18-1,'Resource Planner'!$H$18),"","–"&amp;MIN('Resource Planner'!$G$18+17*'Resource Planner'!$I$18-1,'Resource Planner'!$H$18)),"")</f>
        <v/>
      </c>
      <c r="G421" s="163" t="s">
        <v>109</v>
      </c>
      <c r="H421" s="163" t="str">
        <f>IF(AND('Resource Planner'!$A$18="☑",17&lt;='Resource Planner'!$N$18),'Resource Planner'!$M$18,"")</f>
        <v/>
      </c>
    </row>
    <row r="422" ht="15.75" customHeight="1">
      <c r="A4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2" s="163" t="str">
        <f>IF(AND('Resource Planner'!$A$18="☑",18&lt;='Resource Planner'!$N$18),'Resource Planner'!$C$18,"")</f>
        <v/>
      </c>
      <c r="C422" s="163" t="str">
        <f>IF(AND('Resource Planner'!$A$18="☑",18&lt;='Resource Planner'!$N$18),'Resource Planner'!$B$18,"")</f>
        <v/>
      </c>
      <c r="D422" s="163" t="str">
        <f>IF(AND('Resource Planner'!$A$18="☑",18&lt;='Resource Planner'!$N$18),'Resource Planner'!$D$18,"")</f>
        <v/>
      </c>
      <c r="E422" s="163" t="str">
        <f>IF(AND('Resource Planner'!$A$18="☑",18&lt;='Resource Planner'!$N$18),'Resource Planner'!$E$18,"")</f>
        <v/>
      </c>
      <c r="F422" s="163" t="str">
        <f>IF(AND('Resource Planner'!$A$18="☑",18&lt;='Resource Planner'!$N$18),'Resource Planner'!$F$18&amp;" "&amp;('Resource Planner'!$G$18+(18-1)*'Resource Planner'!$I$18)&amp;IF(('Resource Planner'!$G$18+(18-1)*'Resource Planner'!$I$18)=MIN('Resource Planner'!$G$18+18*'Resource Planner'!$I$18-1,'Resource Planner'!$H$18),"","–"&amp;MIN('Resource Planner'!$G$18+18*'Resource Planner'!$I$18-1,'Resource Planner'!$H$18)),"")</f>
        <v/>
      </c>
      <c r="G422" s="163" t="s">
        <v>109</v>
      </c>
      <c r="H422" s="163" t="str">
        <f>IF(AND('Resource Planner'!$A$18="☑",18&lt;='Resource Planner'!$N$18),'Resource Planner'!$M$18,"")</f>
        <v/>
      </c>
    </row>
    <row r="423" ht="15.75" customHeight="1">
      <c r="A4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3" s="163" t="str">
        <f>IF(AND('Resource Planner'!$A$18="☑",19&lt;='Resource Planner'!$N$18),'Resource Planner'!$C$18,"")</f>
        <v/>
      </c>
      <c r="C423" s="163" t="str">
        <f>IF(AND('Resource Planner'!$A$18="☑",19&lt;='Resource Planner'!$N$18),'Resource Planner'!$B$18,"")</f>
        <v/>
      </c>
      <c r="D423" s="163" t="str">
        <f>IF(AND('Resource Planner'!$A$18="☑",19&lt;='Resource Planner'!$N$18),'Resource Planner'!$D$18,"")</f>
        <v/>
      </c>
      <c r="E423" s="163" t="str">
        <f>IF(AND('Resource Planner'!$A$18="☑",19&lt;='Resource Planner'!$N$18),'Resource Planner'!$E$18,"")</f>
        <v/>
      </c>
      <c r="F423" s="163" t="str">
        <f>IF(AND('Resource Planner'!$A$18="☑",19&lt;='Resource Planner'!$N$18),'Resource Planner'!$F$18&amp;" "&amp;('Resource Planner'!$G$18+(19-1)*'Resource Planner'!$I$18)&amp;IF(('Resource Planner'!$G$18+(19-1)*'Resource Planner'!$I$18)=MIN('Resource Planner'!$G$18+19*'Resource Planner'!$I$18-1,'Resource Planner'!$H$18),"","–"&amp;MIN('Resource Planner'!$G$18+19*'Resource Planner'!$I$18-1,'Resource Planner'!$H$18)),"")</f>
        <v/>
      </c>
      <c r="G423" s="163" t="s">
        <v>109</v>
      </c>
      <c r="H423" s="163" t="str">
        <f>IF(AND('Resource Planner'!$A$18="☑",19&lt;='Resource Planner'!$N$18),'Resource Planner'!$M$18,"")</f>
        <v/>
      </c>
    </row>
    <row r="424" ht="15.75" customHeight="1">
      <c r="A4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4" s="163" t="str">
        <f>IF(AND('Resource Planner'!$A$18="☑",20&lt;='Resource Planner'!$N$18),'Resource Planner'!$C$18,"")</f>
        <v/>
      </c>
      <c r="C424" s="163" t="str">
        <f>IF(AND('Resource Planner'!$A$18="☑",20&lt;='Resource Planner'!$N$18),'Resource Planner'!$B$18,"")</f>
        <v/>
      </c>
      <c r="D424" s="163" t="str">
        <f>IF(AND('Resource Planner'!$A$18="☑",20&lt;='Resource Planner'!$N$18),'Resource Planner'!$D$18,"")</f>
        <v/>
      </c>
      <c r="E424" s="163" t="str">
        <f>IF(AND('Resource Planner'!$A$18="☑",20&lt;='Resource Planner'!$N$18),'Resource Planner'!$E$18,"")</f>
        <v/>
      </c>
      <c r="F424" s="163" t="str">
        <f>IF(AND('Resource Planner'!$A$18="☑",20&lt;='Resource Planner'!$N$18),'Resource Planner'!$F$18&amp;" "&amp;('Resource Planner'!$G$18+(20-1)*'Resource Planner'!$I$18)&amp;IF(('Resource Planner'!$G$18+(20-1)*'Resource Planner'!$I$18)=MIN('Resource Planner'!$G$18+20*'Resource Planner'!$I$18-1,'Resource Planner'!$H$18),"","–"&amp;MIN('Resource Planner'!$G$18+20*'Resource Planner'!$I$18-1,'Resource Planner'!$H$18)),"")</f>
        <v/>
      </c>
      <c r="G424" s="163" t="s">
        <v>109</v>
      </c>
      <c r="H424" s="163" t="str">
        <f>IF(AND('Resource Planner'!$A$18="☑",20&lt;='Resource Planner'!$N$18),'Resource Planner'!$M$18,"")</f>
        <v/>
      </c>
    </row>
    <row r="425" ht="15.75" customHeight="1">
      <c r="A4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5" s="163" t="str">
        <f>IF(AND('Resource Planner'!$A$18="☑",21&lt;='Resource Planner'!$N$18),'Resource Planner'!$C$18,"")</f>
        <v/>
      </c>
      <c r="C425" s="163" t="str">
        <f>IF(AND('Resource Planner'!$A$18="☑",21&lt;='Resource Planner'!$N$18),'Resource Planner'!$B$18,"")</f>
        <v/>
      </c>
      <c r="D425" s="163" t="str">
        <f>IF(AND('Resource Planner'!$A$18="☑",21&lt;='Resource Planner'!$N$18),'Resource Planner'!$D$18,"")</f>
        <v/>
      </c>
      <c r="E425" s="163" t="str">
        <f>IF(AND('Resource Planner'!$A$18="☑",21&lt;='Resource Planner'!$N$18),'Resource Planner'!$E$18,"")</f>
        <v/>
      </c>
      <c r="F425" s="163" t="str">
        <f>IF(AND('Resource Planner'!$A$18="☑",21&lt;='Resource Planner'!$N$18),'Resource Planner'!$F$18&amp;" "&amp;('Resource Planner'!$G$18+(21-1)*'Resource Planner'!$I$18)&amp;IF(('Resource Planner'!$G$18+(21-1)*'Resource Planner'!$I$18)=MIN('Resource Planner'!$G$18+21*'Resource Planner'!$I$18-1,'Resource Planner'!$H$18),"","–"&amp;MIN('Resource Planner'!$G$18+21*'Resource Planner'!$I$18-1,'Resource Planner'!$H$18)),"")</f>
        <v/>
      </c>
      <c r="G425" s="163" t="s">
        <v>109</v>
      </c>
      <c r="H425" s="163" t="str">
        <f>IF(AND('Resource Planner'!$A$18="☑",21&lt;='Resource Planner'!$N$18),'Resource Planner'!$M$18,"")</f>
        <v/>
      </c>
    </row>
    <row r="426" ht="15.75" customHeight="1">
      <c r="A4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6" s="163" t="str">
        <f>IF(AND('Resource Planner'!$A$18="☑",22&lt;='Resource Planner'!$N$18),'Resource Planner'!$C$18,"")</f>
        <v/>
      </c>
      <c r="C426" s="163" t="str">
        <f>IF(AND('Resource Planner'!$A$18="☑",22&lt;='Resource Planner'!$N$18),'Resource Planner'!$B$18,"")</f>
        <v/>
      </c>
      <c r="D426" s="163" t="str">
        <f>IF(AND('Resource Planner'!$A$18="☑",22&lt;='Resource Planner'!$N$18),'Resource Planner'!$D$18,"")</f>
        <v/>
      </c>
      <c r="E426" s="163" t="str">
        <f>IF(AND('Resource Planner'!$A$18="☑",22&lt;='Resource Planner'!$N$18),'Resource Planner'!$E$18,"")</f>
        <v/>
      </c>
      <c r="F426" s="163" t="str">
        <f>IF(AND('Resource Planner'!$A$18="☑",22&lt;='Resource Planner'!$N$18),'Resource Planner'!$F$18&amp;" "&amp;('Resource Planner'!$G$18+(22-1)*'Resource Planner'!$I$18)&amp;IF(('Resource Planner'!$G$18+(22-1)*'Resource Planner'!$I$18)=MIN('Resource Planner'!$G$18+22*'Resource Planner'!$I$18-1,'Resource Planner'!$H$18),"","–"&amp;MIN('Resource Planner'!$G$18+22*'Resource Planner'!$I$18-1,'Resource Planner'!$H$18)),"")</f>
        <v/>
      </c>
      <c r="G426" s="163" t="s">
        <v>109</v>
      </c>
      <c r="H426" s="163" t="str">
        <f>IF(AND('Resource Planner'!$A$18="☑",22&lt;='Resource Planner'!$N$18),'Resource Planner'!$M$18,"")</f>
        <v/>
      </c>
    </row>
    <row r="427" ht="15.75" customHeight="1">
      <c r="A4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7" s="163" t="str">
        <f>IF(AND('Resource Planner'!$A$18="☑",23&lt;='Resource Planner'!$N$18),'Resource Planner'!$C$18,"")</f>
        <v/>
      </c>
      <c r="C427" s="163" t="str">
        <f>IF(AND('Resource Planner'!$A$18="☑",23&lt;='Resource Planner'!$N$18),'Resource Planner'!$B$18,"")</f>
        <v/>
      </c>
      <c r="D427" s="163" t="str">
        <f>IF(AND('Resource Planner'!$A$18="☑",23&lt;='Resource Planner'!$N$18),'Resource Planner'!$D$18,"")</f>
        <v/>
      </c>
      <c r="E427" s="163" t="str">
        <f>IF(AND('Resource Planner'!$A$18="☑",23&lt;='Resource Planner'!$N$18),'Resource Planner'!$E$18,"")</f>
        <v/>
      </c>
      <c r="F427" s="163" t="str">
        <f>IF(AND('Resource Planner'!$A$18="☑",23&lt;='Resource Planner'!$N$18),'Resource Planner'!$F$18&amp;" "&amp;('Resource Planner'!$G$18+(23-1)*'Resource Planner'!$I$18)&amp;IF(('Resource Planner'!$G$18+(23-1)*'Resource Planner'!$I$18)=MIN('Resource Planner'!$G$18+23*'Resource Planner'!$I$18-1,'Resource Planner'!$H$18),"","–"&amp;MIN('Resource Planner'!$G$18+23*'Resource Planner'!$I$18-1,'Resource Planner'!$H$18)),"")</f>
        <v/>
      </c>
      <c r="G427" s="163" t="s">
        <v>109</v>
      </c>
      <c r="H427" s="163" t="str">
        <f>IF(AND('Resource Planner'!$A$18="☑",23&lt;='Resource Planner'!$N$18),'Resource Planner'!$M$18,"")</f>
        <v/>
      </c>
    </row>
    <row r="428" ht="15.75" customHeight="1">
      <c r="A4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8" s="163" t="str">
        <f>IF(AND('Resource Planner'!$A$18="☑",24&lt;='Resource Planner'!$N$18),'Resource Planner'!$C$18,"")</f>
        <v/>
      </c>
      <c r="C428" s="163" t="str">
        <f>IF(AND('Resource Planner'!$A$18="☑",24&lt;='Resource Planner'!$N$18),'Resource Planner'!$B$18,"")</f>
        <v/>
      </c>
      <c r="D428" s="163" t="str">
        <f>IF(AND('Resource Planner'!$A$18="☑",24&lt;='Resource Planner'!$N$18),'Resource Planner'!$D$18,"")</f>
        <v/>
      </c>
      <c r="E428" s="163" t="str">
        <f>IF(AND('Resource Planner'!$A$18="☑",24&lt;='Resource Planner'!$N$18),'Resource Planner'!$E$18,"")</f>
        <v/>
      </c>
      <c r="F428" s="163" t="str">
        <f>IF(AND('Resource Planner'!$A$18="☑",24&lt;='Resource Planner'!$N$18),'Resource Planner'!$F$18&amp;" "&amp;('Resource Planner'!$G$18+(24-1)*'Resource Planner'!$I$18)&amp;IF(('Resource Planner'!$G$18+(24-1)*'Resource Planner'!$I$18)=MIN('Resource Planner'!$G$18+24*'Resource Planner'!$I$18-1,'Resource Planner'!$H$18),"","–"&amp;MIN('Resource Planner'!$G$18+24*'Resource Planner'!$I$18-1,'Resource Planner'!$H$18)),"")</f>
        <v/>
      </c>
      <c r="G428" s="163" t="s">
        <v>109</v>
      </c>
      <c r="H428" s="163" t="str">
        <f>IF(AND('Resource Planner'!$A$18="☑",24&lt;='Resource Planner'!$N$18),'Resource Planner'!$M$18,"")</f>
        <v/>
      </c>
    </row>
    <row r="429" ht="15.75" customHeight="1">
      <c r="A4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29" s="163" t="str">
        <f>IF(AND('Resource Planner'!$A$18="☑",25&lt;='Resource Planner'!$N$18),'Resource Planner'!$C$18,"")</f>
        <v/>
      </c>
      <c r="C429" s="163" t="str">
        <f>IF(AND('Resource Planner'!$A$18="☑",25&lt;='Resource Planner'!$N$18),'Resource Planner'!$B$18,"")</f>
        <v/>
      </c>
      <c r="D429" s="163" t="str">
        <f>IF(AND('Resource Planner'!$A$18="☑",25&lt;='Resource Planner'!$N$18),'Resource Planner'!$D$18,"")</f>
        <v/>
      </c>
      <c r="E429" s="163" t="str">
        <f>IF(AND('Resource Planner'!$A$18="☑",25&lt;='Resource Planner'!$N$18),'Resource Planner'!$E$18,"")</f>
        <v/>
      </c>
      <c r="F429" s="163" t="str">
        <f>IF(AND('Resource Planner'!$A$18="☑",25&lt;='Resource Planner'!$N$18),'Resource Planner'!$F$18&amp;" "&amp;('Resource Planner'!$G$18+(25-1)*'Resource Planner'!$I$18)&amp;IF(('Resource Planner'!$G$18+(25-1)*'Resource Planner'!$I$18)=MIN('Resource Planner'!$G$18+25*'Resource Planner'!$I$18-1,'Resource Planner'!$H$18),"","–"&amp;MIN('Resource Planner'!$G$18+25*'Resource Planner'!$I$18-1,'Resource Planner'!$H$18)),"")</f>
        <v/>
      </c>
      <c r="G429" s="163" t="s">
        <v>109</v>
      </c>
      <c r="H429" s="163" t="str">
        <f>IF(AND('Resource Planner'!$A$18="☑",25&lt;='Resource Planner'!$N$18),'Resource Planner'!$M$18,"")</f>
        <v/>
      </c>
    </row>
    <row r="430" ht="15.75" customHeight="1">
      <c r="A4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0" s="163" t="str">
        <f>IF(AND('Resource Planner'!$A$18="☑",26&lt;='Resource Planner'!$N$18),'Resource Planner'!$C$18,"")</f>
        <v/>
      </c>
      <c r="C430" s="163" t="str">
        <f>IF(AND('Resource Planner'!$A$18="☑",26&lt;='Resource Planner'!$N$18),'Resource Planner'!$B$18,"")</f>
        <v/>
      </c>
      <c r="D430" s="163" t="str">
        <f>IF(AND('Resource Planner'!$A$18="☑",26&lt;='Resource Planner'!$N$18),'Resource Planner'!$D$18,"")</f>
        <v/>
      </c>
      <c r="E430" s="163" t="str">
        <f>IF(AND('Resource Planner'!$A$18="☑",26&lt;='Resource Planner'!$N$18),'Resource Planner'!$E$18,"")</f>
        <v/>
      </c>
      <c r="F430" s="163" t="str">
        <f>IF(AND('Resource Planner'!$A$18="☑",26&lt;='Resource Planner'!$N$18),'Resource Planner'!$F$18&amp;" "&amp;('Resource Planner'!$G$18+(26-1)*'Resource Planner'!$I$18)&amp;IF(('Resource Planner'!$G$18+(26-1)*'Resource Planner'!$I$18)=MIN('Resource Planner'!$G$18+26*'Resource Planner'!$I$18-1,'Resource Planner'!$H$18),"","–"&amp;MIN('Resource Planner'!$G$18+26*'Resource Planner'!$I$18-1,'Resource Planner'!$H$18)),"")</f>
        <v/>
      </c>
      <c r="G430" s="163" t="s">
        <v>109</v>
      </c>
      <c r="H430" s="163" t="str">
        <f>IF(AND('Resource Planner'!$A$18="☑",26&lt;='Resource Planner'!$N$18),'Resource Planner'!$M$18,"")</f>
        <v/>
      </c>
    </row>
    <row r="431" ht="15.75" customHeight="1">
      <c r="A4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1" s="163" t="str">
        <f>IF(AND('Resource Planner'!$A$18="☑",27&lt;='Resource Planner'!$N$18),'Resource Planner'!$C$18,"")</f>
        <v/>
      </c>
      <c r="C431" s="163" t="str">
        <f>IF(AND('Resource Planner'!$A$18="☑",27&lt;='Resource Planner'!$N$18),'Resource Planner'!$B$18,"")</f>
        <v/>
      </c>
      <c r="D431" s="163" t="str">
        <f>IF(AND('Resource Planner'!$A$18="☑",27&lt;='Resource Planner'!$N$18),'Resource Planner'!$D$18,"")</f>
        <v/>
      </c>
      <c r="E431" s="163" t="str">
        <f>IF(AND('Resource Planner'!$A$18="☑",27&lt;='Resource Planner'!$N$18),'Resource Planner'!$E$18,"")</f>
        <v/>
      </c>
      <c r="F431" s="163" t="str">
        <f>IF(AND('Resource Planner'!$A$18="☑",27&lt;='Resource Planner'!$N$18),'Resource Planner'!$F$18&amp;" "&amp;('Resource Planner'!$G$18+(27-1)*'Resource Planner'!$I$18)&amp;IF(('Resource Planner'!$G$18+(27-1)*'Resource Planner'!$I$18)=MIN('Resource Planner'!$G$18+27*'Resource Planner'!$I$18-1,'Resource Planner'!$H$18),"","–"&amp;MIN('Resource Planner'!$G$18+27*'Resource Planner'!$I$18-1,'Resource Planner'!$H$18)),"")</f>
        <v/>
      </c>
      <c r="G431" s="163" t="s">
        <v>109</v>
      </c>
      <c r="H431" s="163" t="str">
        <f>IF(AND('Resource Planner'!$A$18="☑",27&lt;='Resource Planner'!$N$18),'Resource Planner'!$M$18,"")</f>
        <v/>
      </c>
    </row>
    <row r="432" ht="15.75" customHeight="1">
      <c r="A4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2" s="163" t="str">
        <f>IF(AND('Resource Planner'!$A$18="☑",28&lt;='Resource Planner'!$N$18),'Resource Planner'!$C$18,"")</f>
        <v/>
      </c>
      <c r="C432" s="163" t="str">
        <f>IF(AND('Resource Planner'!$A$18="☑",28&lt;='Resource Planner'!$N$18),'Resource Planner'!$B$18,"")</f>
        <v/>
      </c>
      <c r="D432" s="163" t="str">
        <f>IF(AND('Resource Planner'!$A$18="☑",28&lt;='Resource Planner'!$N$18),'Resource Planner'!$D$18,"")</f>
        <v/>
      </c>
      <c r="E432" s="163" t="str">
        <f>IF(AND('Resource Planner'!$A$18="☑",28&lt;='Resource Planner'!$N$18),'Resource Planner'!$E$18,"")</f>
        <v/>
      </c>
      <c r="F432" s="163" t="str">
        <f>IF(AND('Resource Planner'!$A$18="☑",28&lt;='Resource Planner'!$N$18),'Resource Planner'!$F$18&amp;" "&amp;('Resource Planner'!$G$18+(28-1)*'Resource Planner'!$I$18)&amp;IF(('Resource Planner'!$G$18+(28-1)*'Resource Planner'!$I$18)=MIN('Resource Planner'!$G$18+28*'Resource Planner'!$I$18-1,'Resource Planner'!$H$18),"","–"&amp;MIN('Resource Planner'!$G$18+28*'Resource Planner'!$I$18-1,'Resource Planner'!$H$18)),"")</f>
        <v/>
      </c>
      <c r="G432" s="163" t="s">
        <v>109</v>
      </c>
      <c r="H432" s="163" t="str">
        <f>IF(AND('Resource Planner'!$A$18="☑",28&lt;='Resource Planner'!$N$18),'Resource Planner'!$M$18,"")</f>
        <v/>
      </c>
    </row>
    <row r="433" ht="15.75" customHeight="1">
      <c r="A4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3" s="163" t="str">
        <f>IF(AND('Resource Planner'!$A$18="☑",29&lt;='Resource Planner'!$N$18),'Resource Planner'!$C$18,"")</f>
        <v/>
      </c>
      <c r="C433" s="163" t="str">
        <f>IF(AND('Resource Planner'!$A$18="☑",29&lt;='Resource Planner'!$N$18),'Resource Planner'!$B$18,"")</f>
        <v/>
      </c>
      <c r="D433" s="163" t="str">
        <f>IF(AND('Resource Planner'!$A$18="☑",29&lt;='Resource Planner'!$N$18),'Resource Planner'!$D$18,"")</f>
        <v/>
      </c>
      <c r="E433" s="163" t="str">
        <f>IF(AND('Resource Planner'!$A$18="☑",29&lt;='Resource Planner'!$N$18),'Resource Planner'!$E$18,"")</f>
        <v/>
      </c>
      <c r="F433" s="163" t="str">
        <f>IF(AND('Resource Planner'!$A$18="☑",29&lt;='Resource Planner'!$N$18),'Resource Planner'!$F$18&amp;" "&amp;('Resource Planner'!$G$18+(29-1)*'Resource Planner'!$I$18)&amp;IF(('Resource Planner'!$G$18+(29-1)*'Resource Planner'!$I$18)=MIN('Resource Planner'!$G$18+29*'Resource Planner'!$I$18-1,'Resource Planner'!$H$18),"","–"&amp;MIN('Resource Planner'!$G$18+29*'Resource Planner'!$I$18-1,'Resource Planner'!$H$18)),"")</f>
        <v/>
      </c>
      <c r="G433" s="163" t="s">
        <v>109</v>
      </c>
      <c r="H433" s="163" t="str">
        <f>IF(AND('Resource Planner'!$A$18="☑",29&lt;='Resource Planner'!$N$18),'Resource Planner'!$M$18,"")</f>
        <v/>
      </c>
    </row>
    <row r="434" ht="15.75" customHeight="1">
      <c r="A4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4" s="163" t="str">
        <f>IF(AND('Resource Planner'!$A$18="☑",30&lt;='Resource Planner'!$N$18),'Resource Planner'!$C$18,"")</f>
        <v/>
      </c>
      <c r="C434" s="163" t="str">
        <f>IF(AND('Resource Planner'!$A$18="☑",30&lt;='Resource Planner'!$N$18),'Resource Planner'!$B$18,"")</f>
        <v/>
      </c>
      <c r="D434" s="163" t="str">
        <f>IF(AND('Resource Planner'!$A$18="☑",30&lt;='Resource Planner'!$N$18),'Resource Planner'!$D$18,"")</f>
        <v/>
      </c>
      <c r="E434" s="163" t="str">
        <f>IF(AND('Resource Planner'!$A$18="☑",30&lt;='Resource Planner'!$N$18),'Resource Planner'!$E$18,"")</f>
        <v/>
      </c>
      <c r="F434" s="163" t="str">
        <f>IF(AND('Resource Planner'!$A$18="☑",30&lt;='Resource Planner'!$N$18),'Resource Planner'!$F$18&amp;" "&amp;('Resource Planner'!$G$18+(30-1)*'Resource Planner'!$I$18)&amp;IF(('Resource Planner'!$G$18+(30-1)*'Resource Planner'!$I$18)=MIN('Resource Planner'!$G$18+30*'Resource Planner'!$I$18-1,'Resource Planner'!$H$18),"","–"&amp;MIN('Resource Planner'!$G$18+30*'Resource Planner'!$I$18-1,'Resource Planner'!$H$18)),"")</f>
        <v/>
      </c>
      <c r="G434" s="163" t="s">
        <v>109</v>
      </c>
      <c r="H434" s="163" t="str">
        <f>IF(AND('Resource Planner'!$A$18="☑",30&lt;='Resource Planner'!$N$18),'Resource Planner'!$M$18,"")</f>
        <v/>
      </c>
    </row>
    <row r="435" ht="15.75" customHeight="1">
      <c r="A4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5" s="163" t="str">
        <f>IF(AND('Resource Planner'!$A$18="☑",31&lt;='Resource Planner'!$N$18),'Resource Planner'!$C$18,"")</f>
        <v/>
      </c>
      <c r="C435" s="163" t="str">
        <f>IF(AND('Resource Planner'!$A$18="☑",31&lt;='Resource Planner'!$N$18),'Resource Planner'!$B$18,"")</f>
        <v/>
      </c>
      <c r="D435" s="163" t="str">
        <f>IF(AND('Resource Planner'!$A$18="☑",31&lt;='Resource Planner'!$N$18),'Resource Planner'!$D$18,"")</f>
        <v/>
      </c>
      <c r="E435" s="163" t="str">
        <f>IF(AND('Resource Planner'!$A$18="☑",31&lt;='Resource Planner'!$N$18),'Resource Planner'!$E$18,"")</f>
        <v/>
      </c>
      <c r="F435" s="163" t="str">
        <f>IF(AND('Resource Planner'!$A$18="☑",31&lt;='Resource Planner'!$N$18),'Resource Planner'!$F$18&amp;" "&amp;('Resource Planner'!$G$18+(31-1)*'Resource Planner'!$I$18)&amp;IF(('Resource Planner'!$G$18+(31-1)*'Resource Planner'!$I$18)=MIN('Resource Planner'!$G$18+31*'Resource Planner'!$I$18-1,'Resource Planner'!$H$18),"","–"&amp;MIN('Resource Planner'!$G$18+31*'Resource Planner'!$I$18-1,'Resource Planner'!$H$18)),"")</f>
        <v/>
      </c>
      <c r="G435" s="163" t="s">
        <v>109</v>
      </c>
      <c r="H435" s="163" t="str">
        <f>IF(AND('Resource Planner'!$A$18="☑",31&lt;='Resource Planner'!$N$18),'Resource Planner'!$M$18,"")</f>
        <v/>
      </c>
    </row>
    <row r="436" ht="15.75" customHeight="1">
      <c r="A4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6" s="163" t="str">
        <f>IF(AND('Resource Planner'!$A$18="☑",32&lt;='Resource Planner'!$N$18),'Resource Planner'!$C$18,"")</f>
        <v/>
      </c>
      <c r="C436" s="163" t="str">
        <f>IF(AND('Resource Planner'!$A$18="☑",32&lt;='Resource Planner'!$N$18),'Resource Planner'!$B$18,"")</f>
        <v/>
      </c>
      <c r="D436" s="163" t="str">
        <f>IF(AND('Resource Planner'!$A$18="☑",32&lt;='Resource Planner'!$N$18),'Resource Planner'!$D$18,"")</f>
        <v/>
      </c>
      <c r="E436" s="163" t="str">
        <f>IF(AND('Resource Planner'!$A$18="☑",32&lt;='Resource Planner'!$N$18),'Resource Planner'!$E$18,"")</f>
        <v/>
      </c>
      <c r="F436" s="163" t="str">
        <f>IF(AND('Resource Planner'!$A$18="☑",32&lt;='Resource Planner'!$N$18),'Resource Planner'!$F$18&amp;" "&amp;('Resource Planner'!$G$18+(32-1)*'Resource Planner'!$I$18)&amp;IF(('Resource Planner'!$G$18+(32-1)*'Resource Planner'!$I$18)=MIN('Resource Planner'!$G$18+32*'Resource Planner'!$I$18-1,'Resource Planner'!$H$18),"","–"&amp;MIN('Resource Planner'!$G$18+32*'Resource Planner'!$I$18-1,'Resource Planner'!$H$18)),"")</f>
        <v/>
      </c>
      <c r="G436" s="163" t="s">
        <v>109</v>
      </c>
      <c r="H436" s="163" t="str">
        <f>IF(AND('Resource Planner'!$A$18="☑",32&lt;='Resource Planner'!$N$18),'Resource Planner'!$M$18,"")</f>
        <v/>
      </c>
    </row>
    <row r="437" ht="15.75" customHeight="1">
      <c r="A4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7" s="163" t="str">
        <f>IF(AND('Resource Planner'!$A$18="☑",33&lt;='Resource Planner'!$N$18),'Resource Planner'!$C$18,"")</f>
        <v/>
      </c>
      <c r="C437" s="163" t="str">
        <f>IF(AND('Resource Planner'!$A$18="☑",33&lt;='Resource Planner'!$N$18),'Resource Planner'!$B$18,"")</f>
        <v/>
      </c>
      <c r="D437" s="163" t="str">
        <f>IF(AND('Resource Planner'!$A$18="☑",33&lt;='Resource Planner'!$N$18),'Resource Planner'!$D$18,"")</f>
        <v/>
      </c>
      <c r="E437" s="163" t="str">
        <f>IF(AND('Resource Planner'!$A$18="☑",33&lt;='Resource Planner'!$N$18),'Resource Planner'!$E$18,"")</f>
        <v/>
      </c>
      <c r="F437" s="163" t="str">
        <f>IF(AND('Resource Planner'!$A$18="☑",33&lt;='Resource Planner'!$N$18),'Resource Planner'!$F$18&amp;" "&amp;('Resource Planner'!$G$18+(33-1)*'Resource Planner'!$I$18)&amp;IF(('Resource Planner'!$G$18+(33-1)*'Resource Planner'!$I$18)=MIN('Resource Planner'!$G$18+33*'Resource Planner'!$I$18-1,'Resource Planner'!$H$18),"","–"&amp;MIN('Resource Planner'!$G$18+33*'Resource Planner'!$I$18-1,'Resource Planner'!$H$18)),"")</f>
        <v/>
      </c>
      <c r="G437" s="163" t="s">
        <v>109</v>
      </c>
      <c r="H437" s="163" t="str">
        <f>IF(AND('Resource Planner'!$A$18="☑",33&lt;='Resource Planner'!$N$18),'Resource Planner'!$M$18,"")</f>
        <v/>
      </c>
    </row>
    <row r="438" ht="15.75" customHeight="1">
      <c r="A4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8" s="163" t="str">
        <f>IF(AND('Resource Planner'!$A$18="☑",34&lt;='Resource Planner'!$N$18),'Resource Planner'!$C$18,"")</f>
        <v/>
      </c>
      <c r="C438" s="163" t="str">
        <f>IF(AND('Resource Planner'!$A$18="☑",34&lt;='Resource Planner'!$N$18),'Resource Planner'!$B$18,"")</f>
        <v/>
      </c>
      <c r="D438" s="163" t="str">
        <f>IF(AND('Resource Planner'!$A$18="☑",34&lt;='Resource Planner'!$N$18),'Resource Planner'!$D$18,"")</f>
        <v/>
      </c>
      <c r="E438" s="163" t="str">
        <f>IF(AND('Resource Planner'!$A$18="☑",34&lt;='Resource Planner'!$N$18),'Resource Planner'!$E$18,"")</f>
        <v/>
      </c>
      <c r="F438" s="163" t="str">
        <f>IF(AND('Resource Planner'!$A$18="☑",34&lt;='Resource Planner'!$N$18),'Resource Planner'!$F$18&amp;" "&amp;('Resource Planner'!$G$18+(34-1)*'Resource Planner'!$I$18)&amp;IF(('Resource Planner'!$G$18+(34-1)*'Resource Planner'!$I$18)=MIN('Resource Planner'!$G$18+34*'Resource Planner'!$I$18-1,'Resource Planner'!$H$18),"","–"&amp;MIN('Resource Planner'!$G$18+34*'Resource Planner'!$I$18-1,'Resource Planner'!$H$18)),"")</f>
        <v/>
      </c>
      <c r="G438" s="163" t="s">
        <v>109</v>
      </c>
      <c r="H438" s="163" t="str">
        <f>IF(AND('Resource Planner'!$A$18="☑",34&lt;='Resource Planner'!$N$18),'Resource Planner'!$M$18,"")</f>
        <v/>
      </c>
    </row>
    <row r="439" ht="15.75" customHeight="1">
      <c r="A4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39" s="163" t="str">
        <f>IF(AND('Resource Planner'!$A$18="☑",35&lt;='Resource Planner'!$N$18),'Resource Planner'!$C$18,"")</f>
        <v/>
      </c>
      <c r="C439" s="163" t="str">
        <f>IF(AND('Resource Planner'!$A$18="☑",35&lt;='Resource Planner'!$N$18),'Resource Planner'!$B$18,"")</f>
        <v/>
      </c>
      <c r="D439" s="163" t="str">
        <f>IF(AND('Resource Planner'!$A$18="☑",35&lt;='Resource Planner'!$N$18),'Resource Planner'!$D$18,"")</f>
        <v/>
      </c>
      <c r="E439" s="163" t="str">
        <f>IF(AND('Resource Planner'!$A$18="☑",35&lt;='Resource Planner'!$N$18),'Resource Planner'!$E$18,"")</f>
        <v/>
      </c>
      <c r="F439" s="163" t="str">
        <f>IF(AND('Resource Planner'!$A$18="☑",35&lt;='Resource Planner'!$N$18),'Resource Planner'!$F$18&amp;" "&amp;('Resource Planner'!$G$18+(35-1)*'Resource Planner'!$I$18)&amp;IF(('Resource Planner'!$G$18+(35-1)*'Resource Planner'!$I$18)=MIN('Resource Planner'!$G$18+35*'Resource Planner'!$I$18-1,'Resource Planner'!$H$18),"","–"&amp;MIN('Resource Planner'!$G$18+35*'Resource Planner'!$I$18-1,'Resource Planner'!$H$18)),"")</f>
        <v/>
      </c>
      <c r="G439" s="163" t="s">
        <v>109</v>
      </c>
      <c r="H439" s="163" t="str">
        <f>IF(AND('Resource Planner'!$A$18="☑",35&lt;='Resource Planner'!$N$18),'Resource Planner'!$M$18,"")</f>
        <v/>
      </c>
    </row>
    <row r="440" ht="15.75" customHeight="1">
      <c r="A4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0" s="163" t="str">
        <f>IF(AND('Resource Planner'!$A$18="☑",36&lt;='Resource Planner'!$N$18),'Resource Planner'!$C$18,"")</f>
        <v/>
      </c>
      <c r="C440" s="163" t="str">
        <f>IF(AND('Resource Planner'!$A$18="☑",36&lt;='Resource Planner'!$N$18),'Resource Planner'!$B$18,"")</f>
        <v/>
      </c>
      <c r="D440" s="163" t="str">
        <f>IF(AND('Resource Planner'!$A$18="☑",36&lt;='Resource Planner'!$N$18),'Resource Planner'!$D$18,"")</f>
        <v/>
      </c>
      <c r="E440" s="163" t="str">
        <f>IF(AND('Resource Planner'!$A$18="☑",36&lt;='Resource Planner'!$N$18),'Resource Planner'!$E$18,"")</f>
        <v/>
      </c>
      <c r="F440" s="163" t="str">
        <f>IF(AND('Resource Planner'!$A$18="☑",36&lt;='Resource Planner'!$N$18),'Resource Planner'!$F$18&amp;" "&amp;('Resource Planner'!$G$18+(36-1)*'Resource Planner'!$I$18)&amp;IF(('Resource Planner'!$G$18+(36-1)*'Resource Planner'!$I$18)=MIN('Resource Planner'!$G$18+36*'Resource Planner'!$I$18-1,'Resource Planner'!$H$18),"","–"&amp;MIN('Resource Planner'!$G$18+36*'Resource Planner'!$I$18-1,'Resource Planner'!$H$18)),"")</f>
        <v/>
      </c>
      <c r="G440" s="163" t="s">
        <v>109</v>
      </c>
      <c r="H440" s="163" t="str">
        <f>IF(AND('Resource Planner'!$A$18="☑",36&lt;='Resource Planner'!$N$18),'Resource Planner'!$M$18,"")</f>
        <v/>
      </c>
    </row>
    <row r="441" ht="15.75" customHeight="1">
      <c r="A4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1" s="163" t="str">
        <f>IF(AND('Resource Planner'!$A$18="☑",37&lt;='Resource Planner'!$N$18),'Resource Planner'!$C$18,"")</f>
        <v/>
      </c>
      <c r="C441" s="163" t="str">
        <f>IF(AND('Resource Planner'!$A$18="☑",37&lt;='Resource Planner'!$N$18),'Resource Planner'!$B$18,"")</f>
        <v/>
      </c>
      <c r="D441" s="163" t="str">
        <f>IF(AND('Resource Planner'!$A$18="☑",37&lt;='Resource Planner'!$N$18),'Resource Planner'!$D$18,"")</f>
        <v/>
      </c>
      <c r="E441" s="163" t="str">
        <f>IF(AND('Resource Planner'!$A$18="☑",37&lt;='Resource Planner'!$N$18),'Resource Planner'!$E$18,"")</f>
        <v/>
      </c>
      <c r="F441" s="163" t="str">
        <f>IF(AND('Resource Planner'!$A$18="☑",37&lt;='Resource Planner'!$N$18),'Resource Planner'!$F$18&amp;" "&amp;('Resource Planner'!$G$18+(37-1)*'Resource Planner'!$I$18)&amp;IF(('Resource Planner'!$G$18+(37-1)*'Resource Planner'!$I$18)=MIN('Resource Planner'!$G$18+37*'Resource Planner'!$I$18-1,'Resource Planner'!$H$18),"","–"&amp;MIN('Resource Planner'!$G$18+37*'Resource Planner'!$I$18-1,'Resource Planner'!$H$18)),"")</f>
        <v/>
      </c>
      <c r="G441" s="163" t="s">
        <v>109</v>
      </c>
      <c r="H441" s="163" t="str">
        <f>IF(AND('Resource Planner'!$A$18="☑",37&lt;='Resource Planner'!$N$18),'Resource Planner'!$M$18,"")</f>
        <v/>
      </c>
    </row>
    <row r="442" ht="15.75" customHeight="1">
      <c r="A4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2" s="163" t="str">
        <f>IF(AND('Resource Planner'!$A$18="☑",38&lt;='Resource Planner'!$N$18),'Resource Planner'!$C$18,"")</f>
        <v/>
      </c>
      <c r="C442" s="163" t="str">
        <f>IF(AND('Resource Planner'!$A$18="☑",38&lt;='Resource Planner'!$N$18),'Resource Planner'!$B$18,"")</f>
        <v/>
      </c>
      <c r="D442" s="163" t="str">
        <f>IF(AND('Resource Planner'!$A$18="☑",38&lt;='Resource Planner'!$N$18),'Resource Planner'!$D$18,"")</f>
        <v/>
      </c>
      <c r="E442" s="163" t="str">
        <f>IF(AND('Resource Planner'!$A$18="☑",38&lt;='Resource Planner'!$N$18),'Resource Planner'!$E$18,"")</f>
        <v/>
      </c>
      <c r="F442" s="163" t="str">
        <f>IF(AND('Resource Planner'!$A$18="☑",38&lt;='Resource Planner'!$N$18),'Resource Planner'!$F$18&amp;" "&amp;('Resource Planner'!$G$18+(38-1)*'Resource Planner'!$I$18)&amp;IF(('Resource Planner'!$G$18+(38-1)*'Resource Planner'!$I$18)=MIN('Resource Planner'!$G$18+38*'Resource Planner'!$I$18-1,'Resource Planner'!$H$18),"","–"&amp;MIN('Resource Planner'!$G$18+38*'Resource Planner'!$I$18-1,'Resource Planner'!$H$18)),"")</f>
        <v/>
      </c>
      <c r="G442" s="163" t="s">
        <v>109</v>
      </c>
      <c r="H442" s="163" t="str">
        <f>IF(AND('Resource Planner'!$A$18="☑",38&lt;='Resource Planner'!$N$18),'Resource Planner'!$M$18,"")</f>
        <v/>
      </c>
    </row>
    <row r="443" ht="15.75" customHeight="1">
      <c r="A4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3" s="163" t="str">
        <f>IF(AND('Resource Planner'!$A$18="☑",39&lt;='Resource Planner'!$N$18),'Resource Planner'!$C$18,"")</f>
        <v/>
      </c>
      <c r="C443" s="163" t="str">
        <f>IF(AND('Resource Planner'!$A$18="☑",39&lt;='Resource Planner'!$N$18),'Resource Planner'!$B$18,"")</f>
        <v/>
      </c>
      <c r="D443" s="163" t="str">
        <f>IF(AND('Resource Planner'!$A$18="☑",39&lt;='Resource Planner'!$N$18),'Resource Planner'!$D$18,"")</f>
        <v/>
      </c>
      <c r="E443" s="163" t="str">
        <f>IF(AND('Resource Planner'!$A$18="☑",39&lt;='Resource Planner'!$N$18),'Resource Planner'!$E$18,"")</f>
        <v/>
      </c>
      <c r="F443" s="163" t="str">
        <f>IF(AND('Resource Planner'!$A$18="☑",39&lt;='Resource Planner'!$N$18),'Resource Planner'!$F$18&amp;" "&amp;('Resource Planner'!$G$18+(39-1)*'Resource Planner'!$I$18)&amp;IF(('Resource Planner'!$G$18+(39-1)*'Resource Planner'!$I$18)=MIN('Resource Planner'!$G$18+39*'Resource Planner'!$I$18-1,'Resource Planner'!$H$18),"","–"&amp;MIN('Resource Planner'!$G$18+39*'Resource Planner'!$I$18-1,'Resource Planner'!$H$18)),"")</f>
        <v/>
      </c>
      <c r="G443" s="163" t="s">
        <v>109</v>
      </c>
      <c r="H443" s="163" t="str">
        <f>IF(AND('Resource Planner'!$A$18="☑",39&lt;='Resource Planner'!$N$18),'Resource Planner'!$M$18,"")</f>
        <v/>
      </c>
    </row>
    <row r="444" ht="15.75" customHeight="1">
      <c r="A4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4" s="163" t="str">
        <f>IF(AND('Resource Planner'!$A$18="☑",40&lt;='Resource Planner'!$N$18),'Resource Planner'!$C$18,"")</f>
        <v/>
      </c>
      <c r="C444" s="163" t="str">
        <f>IF(AND('Resource Planner'!$A$18="☑",40&lt;='Resource Planner'!$N$18),'Resource Planner'!$B$18,"")</f>
        <v/>
      </c>
      <c r="D444" s="163" t="str">
        <f>IF(AND('Resource Planner'!$A$18="☑",40&lt;='Resource Planner'!$N$18),'Resource Planner'!$D$18,"")</f>
        <v/>
      </c>
      <c r="E444" s="163" t="str">
        <f>IF(AND('Resource Planner'!$A$18="☑",40&lt;='Resource Planner'!$N$18),'Resource Planner'!$E$18,"")</f>
        <v/>
      </c>
      <c r="F444" s="163" t="str">
        <f>IF(AND('Resource Planner'!$A$18="☑",40&lt;='Resource Planner'!$N$18),'Resource Planner'!$F$18&amp;" "&amp;('Resource Planner'!$G$18+(40-1)*'Resource Planner'!$I$18)&amp;IF(('Resource Planner'!$G$18+(40-1)*'Resource Planner'!$I$18)=MIN('Resource Planner'!$G$18+40*'Resource Planner'!$I$18-1,'Resource Planner'!$H$18),"","–"&amp;MIN('Resource Planner'!$G$18+40*'Resource Planner'!$I$18-1,'Resource Planner'!$H$18)),"")</f>
        <v/>
      </c>
      <c r="G444" s="163" t="s">
        <v>109</v>
      </c>
      <c r="H444" s="163" t="str">
        <f>IF(AND('Resource Planner'!$A$18="☑",40&lt;='Resource Planner'!$N$18),'Resource Planner'!$M$18,"")</f>
        <v/>
      </c>
    </row>
    <row r="445" ht="15.75" customHeight="1">
      <c r="A4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5" s="163" t="str">
        <f>IF(AND('Resource Planner'!$A$18="☑",41&lt;='Resource Planner'!$N$18),'Resource Planner'!$C$18,"")</f>
        <v/>
      </c>
      <c r="C445" s="163" t="str">
        <f>IF(AND('Resource Planner'!$A$18="☑",41&lt;='Resource Planner'!$N$18),'Resource Planner'!$B$18,"")</f>
        <v/>
      </c>
      <c r="D445" s="163" t="str">
        <f>IF(AND('Resource Planner'!$A$18="☑",41&lt;='Resource Planner'!$N$18),'Resource Planner'!$D$18,"")</f>
        <v/>
      </c>
      <c r="E445" s="163" t="str">
        <f>IF(AND('Resource Planner'!$A$18="☑",41&lt;='Resource Planner'!$N$18),'Resource Planner'!$E$18,"")</f>
        <v/>
      </c>
      <c r="F445" s="163" t="str">
        <f>IF(AND('Resource Planner'!$A$18="☑",41&lt;='Resource Planner'!$N$18),'Resource Planner'!$F$18&amp;" "&amp;('Resource Planner'!$G$18+(41-1)*'Resource Planner'!$I$18)&amp;IF(('Resource Planner'!$G$18+(41-1)*'Resource Planner'!$I$18)=MIN('Resource Planner'!$G$18+41*'Resource Planner'!$I$18-1,'Resource Planner'!$H$18),"","–"&amp;MIN('Resource Planner'!$G$18+41*'Resource Planner'!$I$18-1,'Resource Planner'!$H$18)),"")</f>
        <v/>
      </c>
      <c r="G445" s="163" t="s">
        <v>109</v>
      </c>
      <c r="H445" s="163" t="str">
        <f>IF(AND('Resource Planner'!$A$18="☑",41&lt;='Resource Planner'!$N$18),'Resource Planner'!$M$18,"")</f>
        <v/>
      </c>
    </row>
    <row r="446" ht="15.75" customHeight="1">
      <c r="A4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6" s="163" t="str">
        <f>IF(AND('Resource Planner'!$A$18="☑",42&lt;='Resource Planner'!$N$18),'Resource Planner'!$C$18,"")</f>
        <v/>
      </c>
      <c r="C446" s="163" t="str">
        <f>IF(AND('Resource Planner'!$A$18="☑",42&lt;='Resource Planner'!$N$18),'Resource Planner'!$B$18,"")</f>
        <v/>
      </c>
      <c r="D446" s="163" t="str">
        <f>IF(AND('Resource Planner'!$A$18="☑",42&lt;='Resource Planner'!$N$18),'Resource Planner'!$D$18,"")</f>
        <v/>
      </c>
      <c r="E446" s="163" t="str">
        <f>IF(AND('Resource Planner'!$A$18="☑",42&lt;='Resource Planner'!$N$18),'Resource Planner'!$E$18,"")</f>
        <v/>
      </c>
      <c r="F446" s="163" t="str">
        <f>IF(AND('Resource Planner'!$A$18="☑",42&lt;='Resource Planner'!$N$18),'Resource Planner'!$F$18&amp;" "&amp;('Resource Planner'!$G$18+(42-1)*'Resource Planner'!$I$18)&amp;IF(('Resource Planner'!$G$18+(42-1)*'Resource Planner'!$I$18)=MIN('Resource Planner'!$G$18+42*'Resource Planner'!$I$18-1,'Resource Planner'!$H$18),"","–"&amp;MIN('Resource Planner'!$G$18+42*'Resource Planner'!$I$18-1,'Resource Planner'!$H$18)),"")</f>
        <v/>
      </c>
      <c r="G446" s="163" t="s">
        <v>109</v>
      </c>
      <c r="H446" s="163" t="str">
        <f>IF(AND('Resource Planner'!$A$18="☑",42&lt;='Resource Planner'!$N$18),'Resource Planner'!$M$18,"")</f>
        <v/>
      </c>
    </row>
    <row r="447" ht="15.75" customHeight="1">
      <c r="A4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7" s="163" t="str">
        <f>IF(AND('Resource Planner'!$A$18="☑",43&lt;='Resource Planner'!$N$18),'Resource Planner'!$C$18,"")</f>
        <v/>
      </c>
      <c r="C447" s="163" t="str">
        <f>IF(AND('Resource Planner'!$A$18="☑",43&lt;='Resource Planner'!$N$18),'Resource Planner'!$B$18,"")</f>
        <v/>
      </c>
      <c r="D447" s="163" t="str">
        <f>IF(AND('Resource Planner'!$A$18="☑",43&lt;='Resource Planner'!$N$18),'Resource Planner'!$D$18,"")</f>
        <v/>
      </c>
      <c r="E447" s="163" t="str">
        <f>IF(AND('Resource Planner'!$A$18="☑",43&lt;='Resource Planner'!$N$18),'Resource Planner'!$E$18,"")</f>
        <v/>
      </c>
      <c r="F447" s="163" t="str">
        <f>IF(AND('Resource Planner'!$A$18="☑",43&lt;='Resource Planner'!$N$18),'Resource Planner'!$F$18&amp;" "&amp;('Resource Planner'!$G$18+(43-1)*'Resource Planner'!$I$18)&amp;IF(('Resource Planner'!$G$18+(43-1)*'Resource Planner'!$I$18)=MIN('Resource Planner'!$G$18+43*'Resource Planner'!$I$18-1,'Resource Planner'!$H$18),"","–"&amp;MIN('Resource Planner'!$G$18+43*'Resource Planner'!$I$18-1,'Resource Planner'!$H$18)),"")</f>
        <v/>
      </c>
      <c r="G447" s="163" t="s">
        <v>109</v>
      </c>
      <c r="H447" s="163" t="str">
        <f>IF(AND('Resource Planner'!$A$18="☑",43&lt;='Resource Planner'!$N$18),'Resource Planner'!$M$18,"")</f>
        <v/>
      </c>
    </row>
    <row r="448" ht="15.75" customHeight="1">
      <c r="A4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8" s="163" t="str">
        <f>IF(AND('Resource Planner'!$A$18="☑",44&lt;='Resource Planner'!$N$18),'Resource Planner'!$C$18,"")</f>
        <v/>
      </c>
      <c r="C448" s="163" t="str">
        <f>IF(AND('Resource Planner'!$A$18="☑",44&lt;='Resource Planner'!$N$18),'Resource Planner'!$B$18,"")</f>
        <v/>
      </c>
      <c r="D448" s="163" t="str">
        <f>IF(AND('Resource Planner'!$A$18="☑",44&lt;='Resource Planner'!$N$18),'Resource Planner'!$D$18,"")</f>
        <v/>
      </c>
      <c r="E448" s="163" t="str">
        <f>IF(AND('Resource Planner'!$A$18="☑",44&lt;='Resource Planner'!$N$18),'Resource Planner'!$E$18,"")</f>
        <v/>
      </c>
      <c r="F448" s="163" t="str">
        <f>IF(AND('Resource Planner'!$A$18="☑",44&lt;='Resource Planner'!$N$18),'Resource Planner'!$F$18&amp;" "&amp;('Resource Planner'!$G$18+(44-1)*'Resource Planner'!$I$18)&amp;IF(('Resource Planner'!$G$18+(44-1)*'Resource Planner'!$I$18)=MIN('Resource Planner'!$G$18+44*'Resource Planner'!$I$18-1,'Resource Planner'!$H$18),"","–"&amp;MIN('Resource Planner'!$G$18+44*'Resource Planner'!$I$18-1,'Resource Planner'!$H$18)),"")</f>
        <v/>
      </c>
      <c r="G448" s="163" t="s">
        <v>109</v>
      </c>
      <c r="H448" s="163" t="str">
        <f>IF(AND('Resource Planner'!$A$18="☑",44&lt;='Resource Planner'!$N$18),'Resource Planner'!$M$18,"")</f>
        <v/>
      </c>
    </row>
    <row r="449" ht="15.75" customHeight="1">
      <c r="A4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49" s="163" t="str">
        <f>IF(AND('Resource Planner'!$A$18="☑",45&lt;='Resource Planner'!$N$18),'Resource Planner'!$C$18,"")</f>
        <v/>
      </c>
      <c r="C449" s="163" t="str">
        <f>IF(AND('Resource Planner'!$A$18="☑",45&lt;='Resource Planner'!$N$18),'Resource Planner'!$B$18,"")</f>
        <v/>
      </c>
      <c r="D449" s="163" t="str">
        <f>IF(AND('Resource Planner'!$A$18="☑",45&lt;='Resource Planner'!$N$18),'Resource Planner'!$D$18,"")</f>
        <v/>
      </c>
      <c r="E449" s="163" t="str">
        <f>IF(AND('Resource Planner'!$A$18="☑",45&lt;='Resource Planner'!$N$18),'Resource Planner'!$E$18,"")</f>
        <v/>
      </c>
      <c r="F449" s="163" t="str">
        <f>IF(AND('Resource Planner'!$A$18="☑",45&lt;='Resource Planner'!$N$18),'Resource Planner'!$F$18&amp;" "&amp;('Resource Planner'!$G$18+(45-1)*'Resource Planner'!$I$18)&amp;IF(('Resource Planner'!$G$18+(45-1)*'Resource Planner'!$I$18)=MIN('Resource Planner'!$G$18+45*'Resource Planner'!$I$18-1,'Resource Planner'!$H$18),"","–"&amp;MIN('Resource Planner'!$G$18+45*'Resource Planner'!$I$18-1,'Resource Planner'!$H$18)),"")</f>
        <v/>
      </c>
      <c r="G449" s="163" t="s">
        <v>109</v>
      </c>
      <c r="H449" s="163" t="str">
        <f>IF(AND('Resource Planner'!$A$18="☑",45&lt;='Resource Planner'!$N$18),'Resource Planner'!$M$18,"")</f>
        <v/>
      </c>
    </row>
    <row r="450" ht="15.75" customHeight="1">
      <c r="A4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50" s="163" t="str">
        <f>IF(AND('Resource Planner'!$A$18="☑",46&lt;='Resource Planner'!$N$18),'Resource Planner'!$C$18,"")</f>
        <v/>
      </c>
      <c r="C450" s="163" t="str">
        <f>IF(AND('Resource Planner'!$A$18="☑",46&lt;='Resource Planner'!$N$18),'Resource Planner'!$B$18,"")</f>
        <v/>
      </c>
      <c r="D450" s="163" t="str">
        <f>IF(AND('Resource Planner'!$A$18="☑",46&lt;='Resource Planner'!$N$18),'Resource Planner'!$D$18,"")</f>
        <v/>
      </c>
      <c r="E450" s="163" t="str">
        <f>IF(AND('Resource Planner'!$A$18="☑",46&lt;='Resource Planner'!$N$18),'Resource Planner'!$E$18,"")</f>
        <v/>
      </c>
      <c r="F450" s="163" t="str">
        <f>IF(AND('Resource Planner'!$A$18="☑",46&lt;='Resource Planner'!$N$18),'Resource Planner'!$F$18&amp;" "&amp;('Resource Planner'!$G$18+(46-1)*'Resource Planner'!$I$18)&amp;IF(('Resource Planner'!$G$18+(46-1)*'Resource Planner'!$I$18)=MIN('Resource Planner'!$G$18+46*'Resource Planner'!$I$18-1,'Resource Planner'!$H$18),"","–"&amp;MIN('Resource Planner'!$G$18+46*'Resource Planner'!$I$18-1,'Resource Planner'!$H$18)),"")</f>
        <v/>
      </c>
      <c r="G450" s="163" t="s">
        <v>109</v>
      </c>
      <c r="H450" s="163" t="str">
        <f>IF(AND('Resource Planner'!$A$18="☑",46&lt;='Resource Planner'!$N$18),'Resource Planner'!$M$18,"")</f>
        <v/>
      </c>
    </row>
    <row r="451" ht="15.75" customHeight="1">
      <c r="A4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51" s="163" t="str">
        <f>IF(AND('Resource Planner'!$A$18="☑",47&lt;='Resource Planner'!$N$18),'Resource Planner'!$C$18,"")</f>
        <v/>
      </c>
      <c r="C451" s="163" t="str">
        <f>IF(AND('Resource Planner'!$A$18="☑",47&lt;='Resource Planner'!$N$18),'Resource Planner'!$B$18,"")</f>
        <v/>
      </c>
      <c r="D451" s="163" t="str">
        <f>IF(AND('Resource Planner'!$A$18="☑",47&lt;='Resource Planner'!$N$18),'Resource Planner'!$D$18,"")</f>
        <v/>
      </c>
      <c r="E451" s="163" t="str">
        <f>IF(AND('Resource Planner'!$A$18="☑",47&lt;='Resource Planner'!$N$18),'Resource Planner'!$E$18,"")</f>
        <v/>
      </c>
      <c r="F451" s="163" t="str">
        <f>IF(AND('Resource Planner'!$A$18="☑",47&lt;='Resource Planner'!$N$18),'Resource Planner'!$F$18&amp;" "&amp;('Resource Planner'!$G$18+(47-1)*'Resource Planner'!$I$18)&amp;IF(('Resource Planner'!$G$18+(47-1)*'Resource Planner'!$I$18)=MIN('Resource Planner'!$G$18+47*'Resource Planner'!$I$18-1,'Resource Planner'!$H$18),"","–"&amp;MIN('Resource Planner'!$G$18+47*'Resource Planner'!$I$18-1,'Resource Planner'!$H$18)),"")</f>
        <v/>
      </c>
      <c r="G451" s="163" t="s">
        <v>109</v>
      </c>
      <c r="H451" s="163" t="str">
        <f>IF(AND('Resource Planner'!$A$18="☑",47&lt;='Resource Planner'!$N$18),'Resource Planner'!$M$18,"")</f>
        <v/>
      </c>
    </row>
    <row r="452" ht="15.75" customHeight="1">
      <c r="A4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52" s="163" t="str">
        <f>IF(AND('Resource Planner'!$A$18="☑",48&lt;='Resource Planner'!$N$18),'Resource Planner'!$C$18,"")</f>
        <v/>
      </c>
      <c r="C452" s="163" t="str">
        <f>IF(AND('Resource Planner'!$A$18="☑",48&lt;='Resource Planner'!$N$18),'Resource Planner'!$B$18,"")</f>
        <v/>
      </c>
      <c r="D452" s="163" t="str">
        <f>IF(AND('Resource Planner'!$A$18="☑",48&lt;='Resource Planner'!$N$18),'Resource Planner'!$D$18,"")</f>
        <v/>
      </c>
      <c r="E452" s="163" t="str">
        <f>IF(AND('Resource Planner'!$A$18="☑",48&lt;='Resource Planner'!$N$18),'Resource Planner'!$E$18,"")</f>
        <v/>
      </c>
      <c r="F452" s="163" t="str">
        <f>IF(AND('Resource Planner'!$A$18="☑",48&lt;='Resource Planner'!$N$18),'Resource Planner'!$F$18&amp;" "&amp;('Resource Planner'!$G$18+(48-1)*'Resource Planner'!$I$18)&amp;IF(('Resource Planner'!$G$18+(48-1)*'Resource Planner'!$I$18)=MIN('Resource Planner'!$G$18+48*'Resource Planner'!$I$18-1,'Resource Planner'!$H$18),"","–"&amp;MIN('Resource Planner'!$G$18+48*'Resource Planner'!$I$18-1,'Resource Planner'!$H$18)),"")</f>
        <v/>
      </c>
      <c r="G452" s="163" t="s">
        <v>109</v>
      </c>
      <c r="H452" s="163" t="str">
        <f>IF(AND('Resource Planner'!$A$18="☑",48&lt;='Resource Planner'!$N$18),'Resource Planner'!$M$18,"")</f>
        <v/>
      </c>
    </row>
    <row r="453" ht="15.75" customHeight="1">
      <c r="A4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53" s="163" t="str">
        <f>IF(AND('Resource Planner'!$A$18="☑",49&lt;='Resource Planner'!$N$18),'Resource Planner'!$C$18,"")</f>
        <v/>
      </c>
      <c r="C453" s="163" t="str">
        <f>IF(AND('Resource Planner'!$A$18="☑",49&lt;='Resource Planner'!$N$18),'Resource Planner'!$B$18,"")</f>
        <v/>
      </c>
      <c r="D453" s="163" t="str">
        <f>IF(AND('Resource Planner'!$A$18="☑",49&lt;='Resource Planner'!$N$18),'Resource Planner'!$D$18,"")</f>
        <v/>
      </c>
      <c r="E453" s="163" t="str">
        <f>IF(AND('Resource Planner'!$A$18="☑",49&lt;='Resource Planner'!$N$18),'Resource Planner'!$E$18,"")</f>
        <v/>
      </c>
      <c r="F453" s="163" t="str">
        <f>IF(AND('Resource Planner'!$A$18="☑",49&lt;='Resource Planner'!$N$18),'Resource Planner'!$F$18&amp;" "&amp;('Resource Planner'!$G$18+(49-1)*'Resource Planner'!$I$18)&amp;IF(('Resource Planner'!$G$18+(49-1)*'Resource Planner'!$I$18)=MIN('Resource Planner'!$G$18+49*'Resource Planner'!$I$18-1,'Resource Planner'!$H$18),"","–"&amp;MIN('Resource Planner'!$G$18+49*'Resource Planner'!$I$18-1,'Resource Planner'!$H$18)),"")</f>
        <v/>
      </c>
      <c r="G453" s="163" t="s">
        <v>109</v>
      </c>
      <c r="H453" s="163" t="str">
        <f>IF(AND('Resource Planner'!$A$18="☑",49&lt;='Resource Planner'!$N$18),'Resource Planner'!$M$18,"")</f>
        <v/>
      </c>
    </row>
    <row r="454" ht="15.75" customHeight="1">
      <c r="A4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54" s="163" t="str">
        <f>IF(AND('Resource Planner'!$A$18="☑",50&lt;='Resource Planner'!$N$18),'Resource Planner'!$C$18,"")</f>
        <v/>
      </c>
      <c r="C454" s="163" t="str">
        <f>IF(AND('Resource Planner'!$A$18="☑",50&lt;='Resource Planner'!$N$18),'Resource Planner'!$B$18,"")</f>
        <v/>
      </c>
      <c r="D454" s="163" t="str">
        <f>IF(AND('Resource Planner'!$A$18="☑",50&lt;='Resource Planner'!$N$18),'Resource Planner'!$D$18,"")</f>
        <v/>
      </c>
      <c r="E454" s="163" t="str">
        <f>IF(AND('Resource Planner'!$A$18="☑",50&lt;='Resource Planner'!$N$18),'Resource Planner'!$E$18,"")</f>
        <v/>
      </c>
      <c r="F454" s="163" t="str">
        <f>IF(AND('Resource Planner'!$A$18="☑",50&lt;='Resource Planner'!$N$18),'Resource Planner'!$F$18&amp;" "&amp;('Resource Planner'!$G$18+(50-1)*'Resource Planner'!$I$18)&amp;IF(('Resource Planner'!$G$18+(50-1)*'Resource Planner'!$I$18)=MIN('Resource Planner'!$G$18+50*'Resource Planner'!$I$18-1,'Resource Planner'!$H$18),"","–"&amp;MIN('Resource Planner'!$G$18+50*'Resource Planner'!$I$18-1,'Resource Planner'!$H$18)),"")</f>
        <v/>
      </c>
      <c r="G454" s="163" t="s">
        <v>109</v>
      </c>
      <c r="H454" s="163" t="str">
        <f>IF(AND('Resource Planner'!$A$18="☑",50&lt;='Resource Planner'!$N$18),'Resource Planner'!$M$18,"")</f>
        <v/>
      </c>
    </row>
    <row r="455" ht="15.75" customHeight="1">
      <c r="A45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week"",10*(n-1),""Custom"",gap*(n-1),n-1),IF(AND(active=""☑"",n&lt;=lessons,st&lt;&gt;""""),INDEX(eligibleDates,startPos+offset),"""")),"""")"),46287.0)</f>
        <v>46287</v>
      </c>
      <c r="B455" s="33" t="str">
        <f>IF(AND('Resource Planner'!$A$19="☑",1&lt;='Resource Planner'!$N$19),'Resource Planner'!$C$19,"")</f>
        <v>Everyone</v>
      </c>
      <c r="C455" s="33" t="str">
        <f>IF(AND('Resource Planner'!$A$19="☑",1&lt;='Resource Planner'!$N$19),'Resource Planner'!$B$19,"")</f>
        <v>Hands + Beauty Loop</v>
      </c>
      <c r="D455" s="33" t="str">
        <f>IF(AND('Resource Planner'!$A$19="☑",1&lt;='Resource Planner'!$N$19),'Resource Planner'!$D$19,"")</f>
        <v>All Together / Beauty + Hands — Hymn</v>
      </c>
      <c r="E455" s="33" t="str">
        <f>IF(AND('Resource Planner'!$A$19="☑",1&lt;='Resource Planner'!$N$19),'Resource Planner'!$E$19,"")</f>
        <v>Come Thou Fount</v>
      </c>
      <c r="F455" s="163" t="str">
        <f>IF(AND('Resource Planner'!$A$19="☑",1&lt;='Resource Planner'!$N$19),'Resource Planner'!$F$19&amp;" "&amp;('Resource Planner'!$G$19+(1-1)*'Resource Planner'!$I$19)&amp;IF(('Resource Planner'!$G$19+(1-1)*'Resource Planner'!$I$19)=MIN('Resource Planner'!$G$19+1*'Resource Planner'!$I$19-1,'Resource Planner'!$H$19),"","–"&amp;MIN('Resource Planner'!$G$19+1*'Resource Planner'!$I$19-1,'Resource Planner'!$H$19)),"")</f>
        <v>Week 1</v>
      </c>
      <c r="G455" s="163" t="s">
        <v>109</v>
      </c>
      <c r="H455" s="33" t="str">
        <f>IF(AND('Resource Planner'!$A$19="☑",1&lt;='Resource Planner'!$N$19),'Resource Planner'!$M$19,"")</f>
        <v/>
      </c>
    </row>
    <row r="456" ht="15.75" customHeight="1">
      <c r="A45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week"",10*(n-1),""Custom"",gap*(n-1),n-1),IF(AND(active=""☑"",n&lt;=lessons,st&lt;&gt;""""),INDEX(eligibleDates,startPos+offset),"""")),"""")"),46294.0)</f>
        <v>46294</v>
      </c>
      <c r="B456" s="33" t="str">
        <f>IF(AND('Resource Planner'!$A$19="☑",2&lt;='Resource Planner'!$N$19),'Resource Planner'!$C$19,"")</f>
        <v>Everyone</v>
      </c>
      <c r="C456" s="33" t="str">
        <f>IF(AND('Resource Planner'!$A$19="☑",2&lt;='Resource Planner'!$N$19),'Resource Planner'!$B$19,"")</f>
        <v>Hands + Beauty Loop</v>
      </c>
      <c r="D456" s="33" t="str">
        <f>IF(AND('Resource Planner'!$A$19="☑",2&lt;='Resource Planner'!$N$19),'Resource Planner'!$D$19,"")</f>
        <v>All Together / Beauty + Hands — Hymn</v>
      </c>
      <c r="E456" s="33" t="str">
        <f>IF(AND('Resource Planner'!$A$19="☑",2&lt;='Resource Planner'!$N$19),'Resource Planner'!$E$19,"")</f>
        <v>Come Thou Fount</v>
      </c>
      <c r="F456" s="163" t="str">
        <f>IF(AND('Resource Planner'!$A$19="☑",2&lt;='Resource Planner'!$N$19),'Resource Planner'!$F$19&amp;" "&amp;('Resource Planner'!$G$19+(2-1)*'Resource Planner'!$I$19)&amp;IF(('Resource Planner'!$G$19+(2-1)*'Resource Planner'!$I$19)=MIN('Resource Planner'!$G$19+2*'Resource Planner'!$I$19-1,'Resource Planner'!$H$19),"","–"&amp;MIN('Resource Planner'!$G$19+2*'Resource Planner'!$I$19-1,'Resource Planner'!$H$19)),"")</f>
        <v>Week 2</v>
      </c>
      <c r="G456" s="163" t="s">
        <v>109</v>
      </c>
      <c r="H456" s="33" t="str">
        <f>IF(AND('Resource Planner'!$A$19="☑",2&lt;='Resource Planner'!$N$19),'Resource Planner'!$M$19,"")</f>
        <v/>
      </c>
    </row>
    <row r="457" ht="15.75" customHeight="1">
      <c r="A45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week"",10*(n-1),""Custom"",gap*(n-1),n-1),IF(AND(active=""☑"",n&lt;=lessons,st&lt;&gt;""""),INDEX(eligibleDates,startPos+offset),"""")),"""")"),46301.0)</f>
        <v>46301</v>
      </c>
      <c r="B457" s="33" t="str">
        <f>IF(AND('Resource Planner'!$A$19="☑",3&lt;='Resource Planner'!$N$19),'Resource Planner'!$C$19,"")</f>
        <v>Everyone</v>
      </c>
      <c r="C457" s="33" t="str">
        <f>IF(AND('Resource Planner'!$A$19="☑",3&lt;='Resource Planner'!$N$19),'Resource Planner'!$B$19,"")</f>
        <v>Hands + Beauty Loop</v>
      </c>
      <c r="D457" s="33" t="str">
        <f>IF(AND('Resource Planner'!$A$19="☑",3&lt;='Resource Planner'!$N$19),'Resource Planner'!$D$19,"")</f>
        <v>All Together / Beauty + Hands — Hymn</v>
      </c>
      <c r="E457" s="33" t="str">
        <f>IF(AND('Resource Planner'!$A$19="☑",3&lt;='Resource Planner'!$N$19),'Resource Planner'!$E$19,"")</f>
        <v>Come Thou Fount</v>
      </c>
      <c r="F457" s="163" t="str">
        <f>IF(AND('Resource Planner'!$A$19="☑",3&lt;='Resource Planner'!$N$19),'Resource Planner'!$F$19&amp;" "&amp;('Resource Planner'!$G$19+(3-1)*'Resource Planner'!$I$19)&amp;IF(('Resource Planner'!$G$19+(3-1)*'Resource Planner'!$I$19)=MIN('Resource Planner'!$G$19+3*'Resource Planner'!$I$19-1,'Resource Planner'!$H$19),"","–"&amp;MIN('Resource Planner'!$G$19+3*'Resource Planner'!$I$19-1,'Resource Planner'!$H$19)),"")</f>
        <v>Week 3</v>
      </c>
      <c r="G457" s="163" t="s">
        <v>109</v>
      </c>
      <c r="H457" s="33" t="str">
        <f>IF(AND('Resource Planner'!$A$19="☑",3&lt;='Resource Planner'!$N$19),'Resource Planner'!$M$19,"")</f>
        <v/>
      </c>
    </row>
    <row r="458" ht="15.75" customHeight="1">
      <c r="A45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week"",10*(n-1),""Custom"",gap*(n-1),n-1),IF(AND(active=""☑"",n&lt;=lessons,st&lt;&gt;""""),INDEX(eligibleDates,startPos+offset),"""")),"""")"),46308.0)</f>
        <v>46308</v>
      </c>
      <c r="B458" s="33" t="str">
        <f>IF(AND('Resource Planner'!$A$19="☑",4&lt;='Resource Planner'!$N$19),'Resource Planner'!$C$19,"")</f>
        <v>Everyone</v>
      </c>
      <c r="C458" s="33" t="str">
        <f>IF(AND('Resource Planner'!$A$19="☑",4&lt;='Resource Planner'!$N$19),'Resource Planner'!$B$19,"")</f>
        <v>Hands + Beauty Loop</v>
      </c>
      <c r="D458" s="33" t="str">
        <f>IF(AND('Resource Planner'!$A$19="☑",4&lt;='Resource Planner'!$N$19),'Resource Planner'!$D$19,"")</f>
        <v>All Together / Beauty + Hands — Hymn</v>
      </c>
      <c r="E458" s="33" t="str">
        <f>IF(AND('Resource Planner'!$A$19="☑",4&lt;='Resource Planner'!$N$19),'Resource Planner'!$E$19,"")</f>
        <v>Come Thou Fount</v>
      </c>
      <c r="F458" s="163" t="str">
        <f>IF(AND('Resource Planner'!$A$19="☑",4&lt;='Resource Planner'!$N$19),'Resource Planner'!$F$19&amp;" "&amp;('Resource Planner'!$G$19+(4-1)*'Resource Planner'!$I$19)&amp;IF(('Resource Planner'!$G$19+(4-1)*'Resource Planner'!$I$19)=MIN('Resource Planner'!$G$19+4*'Resource Planner'!$I$19-1,'Resource Planner'!$H$19),"","–"&amp;MIN('Resource Planner'!$G$19+4*'Resource Planner'!$I$19-1,'Resource Planner'!$H$19)),"")</f>
        <v>Week 4</v>
      </c>
      <c r="G458" s="163" t="s">
        <v>109</v>
      </c>
      <c r="H458" s="33" t="str">
        <f>IF(AND('Resource Planner'!$A$19="☑",4&lt;='Resource Planner'!$N$19),'Resource Planner'!$M$19,"")</f>
        <v/>
      </c>
    </row>
    <row r="459" ht="15.75" customHeight="1">
      <c r="A45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week"",10*(n-1),""Custom"",gap*(n-1),n-1),IF(AND(active=""☑"",n&lt;=lessons,st&lt;&gt;""""),INDEX(eligibleDates,startPos+offset),"""")),"""")"),46315.0)</f>
        <v>46315</v>
      </c>
      <c r="B459" s="33" t="str">
        <f>IF(AND('Resource Planner'!$A$19="☑",5&lt;='Resource Planner'!$N$19),'Resource Planner'!$C$19,"")</f>
        <v>Everyone</v>
      </c>
      <c r="C459" s="33" t="str">
        <f>IF(AND('Resource Planner'!$A$19="☑",5&lt;='Resource Planner'!$N$19),'Resource Planner'!$B$19,"")</f>
        <v>Hands + Beauty Loop</v>
      </c>
      <c r="D459" s="33" t="str">
        <f>IF(AND('Resource Planner'!$A$19="☑",5&lt;='Resource Planner'!$N$19),'Resource Planner'!$D$19,"")</f>
        <v>All Together / Beauty + Hands — Hymn</v>
      </c>
      <c r="E459" s="33" t="str">
        <f>IF(AND('Resource Planner'!$A$19="☑",5&lt;='Resource Planner'!$N$19),'Resource Planner'!$E$19,"")</f>
        <v>Come Thou Fount</v>
      </c>
      <c r="F459" s="163" t="str">
        <f>IF(AND('Resource Planner'!$A$19="☑",5&lt;='Resource Planner'!$N$19),'Resource Planner'!$F$19&amp;" "&amp;('Resource Planner'!$G$19+(5-1)*'Resource Planner'!$I$19)&amp;IF(('Resource Planner'!$G$19+(5-1)*'Resource Planner'!$I$19)=MIN('Resource Planner'!$G$19+5*'Resource Planner'!$I$19-1,'Resource Planner'!$H$19),"","–"&amp;MIN('Resource Planner'!$G$19+5*'Resource Planner'!$I$19-1,'Resource Planner'!$H$19)),"")</f>
        <v>Week 5</v>
      </c>
      <c r="G459" s="163" t="s">
        <v>109</v>
      </c>
      <c r="H459" s="33" t="str">
        <f>IF(AND('Resource Planner'!$A$19="☑",5&lt;='Resource Planner'!$N$19),'Resource Planner'!$M$19,"")</f>
        <v/>
      </c>
    </row>
    <row r="460" ht="15.75" customHeight="1">
      <c r="A46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week"",10*(n-1),""Custom"",gap*(n-1),n-1),IF(AND(active=""☑"",n&lt;=lessons,st&lt;&gt;""""),INDEX(eligibleDates,startPos+offset),"""")),"""")"),46329.0)</f>
        <v>46329</v>
      </c>
      <c r="B460" s="33" t="str">
        <f>IF(AND('Resource Planner'!$A$19="☑",6&lt;='Resource Planner'!$N$19),'Resource Planner'!$C$19,"")</f>
        <v>Everyone</v>
      </c>
      <c r="C460" s="33" t="str">
        <f>IF(AND('Resource Planner'!$A$19="☑",6&lt;='Resource Planner'!$N$19),'Resource Planner'!$B$19,"")</f>
        <v>Hands + Beauty Loop</v>
      </c>
      <c r="D460" s="33" t="str">
        <f>IF(AND('Resource Planner'!$A$19="☑",6&lt;='Resource Planner'!$N$19),'Resource Planner'!$D$19,"")</f>
        <v>All Together / Beauty + Hands — Hymn</v>
      </c>
      <c r="E460" s="33" t="str">
        <f>IF(AND('Resource Planner'!$A$19="☑",6&lt;='Resource Planner'!$N$19),'Resource Planner'!$E$19,"")</f>
        <v>Come Thou Fount</v>
      </c>
      <c r="F460" s="163" t="str">
        <f>IF(AND('Resource Planner'!$A$19="☑",6&lt;='Resource Planner'!$N$19),'Resource Planner'!$F$19&amp;" "&amp;('Resource Planner'!$G$19+(6-1)*'Resource Planner'!$I$19)&amp;IF(('Resource Planner'!$G$19+(6-1)*'Resource Planner'!$I$19)=MIN('Resource Planner'!$G$19+6*'Resource Planner'!$I$19-1,'Resource Planner'!$H$19),"","–"&amp;MIN('Resource Planner'!$G$19+6*'Resource Planner'!$I$19-1,'Resource Planner'!$H$19)),"")</f>
        <v>Week 6</v>
      </c>
      <c r="G460" s="163" t="s">
        <v>109</v>
      </c>
      <c r="H460" s="33" t="str">
        <f>IF(AND('Resource Planner'!$A$19="☑",6&lt;='Resource Planner'!$N$19),'Resource Planner'!$M$19,"")</f>
        <v/>
      </c>
    </row>
    <row r="461" ht="15.75" customHeight="1">
      <c r="A4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61" s="163" t="str">
        <f>IF(AND('Resource Planner'!$A$19="☑",7&lt;='Resource Planner'!$N$19),'Resource Planner'!$C$19,"")</f>
        <v/>
      </c>
      <c r="C461" s="163" t="str">
        <f>IF(AND('Resource Planner'!$A$19="☑",7&lt;='Resource Planner'!$N$19),'Resource Planner'!$B$19,"")</f>
        <v/>
      </c>
      <c r="D461" s="163" t="str">
        <f>IF(AND('Resource Planner'!$A$19="☑",7&lt;='Resource Planner'!$N$19),'Resource Planner'!$D$19,"")</f>
        <v/>
      </c>
      <c r="E461" s="163" t="str">
        <f>IF(AND('Resource Planner'!$A$19="☑",7&lt;='Resource Planner'!$N$19),'Resource Planner'!$E$19,"")</f>
        <v/>
      </c>
      <c r="F461" s="163" t="str">
        <f>IF(AND('Resource Planner'!$A$19="☑",7&lt;='Resource Planner'!$N$19),'Resource Planner'!$F$19&amp;" "&amp;('Resource Planner'!$G$19+(7-1)*'Resource Planner'!$I$19)&amp;IF(('Resource Planner'!$G$19+(7-1)*'Resource Planner'!$I$19)=MIN('Resource Planner'!$G$19+7*'Resource Planner'!$I$19-1,'Resource Planner'!$H$19),"","–"&amp;MIN('Resource Planner'!$G$19+7*'Resource Planner'!$I$19-1,'Resource Planner'!$H$19)),"")</f>
        <v/>
      </c>
      <c r="G461" s="163" t="s">
        <v>109</v>
      </c>
      <c r="H461" s="163" t="str">
        <f>IF(AND('Resource Planner'!$A$19="☑",7&lt;='Resource Planner'!$N$19),'Resource Planner'!$M$19,"")</f>
        <v/>
      </c>
    </row>
    <row r="462" ht="15.75" customHeight="1">
      <c r="A4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62" s="163" t="str">
        <f>IF(AND('Resource Planner'!$A$19="☑",8&lt;='Resource Planner'!$N$19),'Resource Planner'!$C$19,"")</f>
        <v/>
      </c>
      <c r="C462" s="163" t="str">
        <f>IF(AND('Resource Planner'!$A$19="☑",8&lt;='Resource Planner'!$N$19),'Resource Planner'!$B$19,"")</f>
        <v/>
      </c>
      <c r="D462" s="163" t="str">
        <f>IF(AND('Resource Planner'!$A$19="☑",8&lt;='Resource Planner'!$N$19),'Resource Planner'!$D$19,"")</f>
        <v/>
      </c>
      <c r="E462" s="163" t="str">
        <f>IF(AND('Resource Planner'!$A$19="☑",8&lt;='Resource Planner'!$N$19),'Resource Planner'!$E$19,"")</f>
        <v/>
      </c>
      <c r="F462" s="163" t="str">
        <f>IF(AND('Resource Planner'!$A$19="☑",8&lt;='Resource Planner'!$N$19),'Resource Planner'!$F$19&amp;" "&amp;('Resource Planner'!$G$19+(8-1)*'Resource Planner'!$I$19)&amp;IF(('Resource Planner'!$G$19+(8-1)*'Resource Planner'!$I$19)=MIN('Resource Planner'!$G$19+8*'Resource Planner'!$I$19-1,'Resource Planner'!$H$19),"","–"&amp;MIN('Resource Planner'!$G$19+8*'Resource Planner'!$I$19-1,'Resource Planner'!$H$19)),"")</f>
        <v/>
      </c>
      <c r="G462" s="163" t="s">
        <v>109</v>
      </c>
      <c r="H462" s="163" t="str">
        <f>IF(AND('Resource Planner'!$A$19="☑",8&lt;='Resource Planner'!$N$19),'Resource Planner'!$M$19,"")</f>
        <v/>
      </c>
    </row>
    <row r="463" ht="15.75" customHeight="1">
      <c r="A4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63" s="163" t="str">
        <f>IF(AND('Resource Planner'!$A$19="☑",9&lt;='Resource Planner'!$N$19),'Resource Planner'!$C$19,"")</f>
        <v/>
      </c>
      <c r="C463" s="163" t="str">
        <f>IF(AND('Resource Planner'!$A$19="☑",9&lt;='Resource Planner'!$N$19),'Resource Planner'!$B$19,"")</f>
        <v/>
      </c>
      <c r="D463" s="163" t="str">
        <f>IF(AND('Resource Planner'!$A$19="☑",9&lt;='Resource Planner'!$N$19),'Resource Planner'!$D$19,"")</f>
        <v/>
      </c>
      <c r="E463" s="163" t="str">
        <f>IF(AND('Resource Planner'!$A$19="☑",9&lt;='Resource Planner'!$N$19),'Resource Planner'!$E$19,"")</f>
        <v/>
      </c>
      <c r="F463" s="163" t="str">
        <f>IF(AND('Resource Planner'!$A$19="☑",9&lt;='Resource Planner'!$N$19),'Resource Planner'!$F$19&amp;" "&amp;('Resource Planner'!$G$19+(9-1)*'Resource Planner'!$I$19)&amp;IF(('Resource Planner'!$G$19+(9-1)*'Resource Planner'!$I$19)=MIN('Resource Planner'!$G$19+9*'Resource Planner'!$I$19-1,'Resource Planner'!$H$19),"","–"&amp;MIN('Resource Planner'!$G$19+9*'Resource Planner'!$I$19-1,'Resource Planner'!$H$19)),"")</f>
        <v/>
      </c>
      <c r="G463" s="163" t="s">
        <v>109</v>
      </c>
      <c r="H463" s="163" t="str">
        <f>IF(AND('Resource Planner'!$A$19="☑",9&lt;='Resource Planner'!$N$19),'Resource Planner'!$M$19,"")</f>
        <v/>
      </c>
    </row>
    <row r="464" ht="15.75" customHeight="1">
      <c r="A4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64" s="163" t="str">
        <f>IF(AND('Resource Planner'!$A$19="☑",10&lt;='Resource Planner'!$N$19),'Resource Planner'!$C$19,"")</f>
        <v/>
      </c>
      <c r="C464" s="163" t="str">
        <f>IF(AND('Resource Planner'!$A$19="☑",10&lt;='Resource Planner'!$N$19),'Resource Planner'!$B$19,"")</f>
        <v/>
      </c>
      <c r="D464" s="163" t="str">
        <f>IF(AND('Resource Planner'!$A$19="☑",10&lt;='Resource Planner'!$N$19),'Resource Planner'!$D$19,"")</f>
        <v/>
      </c>
      <c r="E464" s="163" t="str">
        <f>IF(AND('Resource Planner'!$A$19="☑",10&lt;='Resource Planner'!$N$19),'Resource Planner'!$E$19,"")</f>
        <v/>
      </c>
      <c r="F464" s="163" t="str">
        <f>IF(AND('Resource Planner'!$A$19="☑",10&lt;='Resource Planner'!$N$19),'Resource Planner'!$F$19&amp;" "&amp;('Resource Planner'!$G$19+(10-1)*'Resource Planner'!$I$19)&amp;IF(('Resource Planner'!$G$19+(10-1)*'Resource Planner'!$I$19)=MIN('Resource Planner'!$G$19+10*'Resource Planner'!$I$19-1,'Resource Planner'!$H$19),"","–"&amp;MIN('Resource Planner'!$G$19+10*'Resource Planner'!$I$19-1,'Resource Planner'!$H$19)),"")</f>
        <v/>
      </c>
      <c r="G464" s="163" t="s">
        <v>109</v>
      </c>
      <c r="H464" s="163" t="str">
        <f>IF(AND('Resource Planner'!$A$19="☑",10&lt;='Resource Planner'!$N$19),'Resource Planner'!$M$19,"")</f>
        <v/>
      </c>
    </row>
    <row r="465" ht="15.75" customHeight="1">
      <c r="A4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65" s="163" t="str">
        <f>IF(AND('Resource Planner'!$A$19="☑",11&lt;='Resource Planner'!$N$19),'Resource Planner'!$C$19,"")</f>
        <v/>
      </c>
      <c r="C465" s="163" t="str">
        <f>IF(AND('Resource Planner'!$A$19="☑",11&lt;='Resource Planner'!$N$19),'Resource Planner'!$B$19,"")</f>
        <v/>
      </c>
      <c r="D465" s="163" t="str">
        <f>IF(AND('Resource Planner'!$A$19="☑",11&lt;='Resource Planner'!$N$19),'Resource Planner'!$D$19,"")</f>
        <v/>
      </c>
      <c r="E465" s="163" t="str">
        <f>IF(AND('Resource Planner'!$A$19="☑",11&lt;='Resource Planner'!$N$19),'Resource Planner'!$E$19,"")</f>
        <v/>
      </c>
      <c r="F465" s="163" t="str">
        <f>IF(AND('Resource Planner'!$A$19="☑",11&lt;='Resource Planner'!$N$19),'Resource Planner'!$F$19&amp;" "&amp;('Resource Planner'!$G$19+(11-1)*'Resource Planner'!$I$19)&amp;IF(('Resource Planner'!$G$19+(11-1)*'Resource Planner'!$I$19)=MIN('Resource Planner'!$G$19+11*'Resource Planner'!$I$19-1,'Resource Planner'!$H$19),"","–"&amp;MIN('Resource Planner'!$G$19+11*'Resource Planner'!$I$19-1,'Resource Planner'!$H$19)),"")</f>
        <v/>
      </c>
      <c r="G465" s="163" t="s">
        <v>109</v>
      </c>
      <c r="H465" s="163" t="str">
        <f>IF(AND('Resource Planner'!$A$19="☑",11&lt;='Resource Planner'!$N$19),'Resource Planner'!$M$19,"")</f>
        <v/>
      </c>
    </row>
    <row r="466" ht="15.75" customHeight="1">
      <c r="A4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66" s="163" t="str">
        <f>IF(AND('Resource Planner'!$A$19="☑",12&lt;='Resource Planner'!$N$19),'Resource Planner'!$C$19,"")</f>
        <v/>
      </c>
      <c r="C466" s="163" t="str">
        <f>IF(AND('Resource Planner'!$A$19="☑",12&lt;='Resource Planner'!$N$19),'Resource Planner'!$B$19,"")</f>
        <v/>
      </c>
      <c r="D466" s="163" t="str">
        <f>IF(AND('Resource Planner'!$A$19="☑",12&lt;='Resource Planner'!$N$19),'Resource Planner'!$D$19,"")</f>
        <v/>
      </c>
      <c r="E466" s="163" t="str">
        <f>IF(AND('Resource Planner'!$A$19="☑",12&lt;='Resource Planner'!$N$19),'Resource Planner'!$E$19,"")</f>
        <v/>
      </c>
      <c r="F466" s="163" t="str">
        <f>IF(AND('Resource Planner'!$A$19="☑",12&lt;='Resource Planner'!$N$19),'Resource Planner'!$F$19&amp;" "&amp;('Resource Planner'!$G$19+(12-1)*'Resource Planner'!$I$19)&amp;IF(('Resource Planner'!$G$19+(12-1)*'Resource Planner'!$I$19)=MIN('Resource Planner'!$G$19+12*'Resource Planner'!$I$19-1,'Resource Planner'!$H$19),"","–"&amp;MIN('Resource Planner'!$G$19+12*'Resource Planner'!$I$19-1,'Resource Planner'!$H$19)),"")</f>
        <v/>
      </c>
      <c r="G466" s="163" t="s">
        <v>109</v>
      </c>
      <c r="H466" s="163" t="str">
        <f>IF(AND('Resource Planner'!$A$19="☑",12&lt;='Resource Planner'!$N$19),'Resource Planner'!$M$19,"")</f>
        <v/>
      </c>
    </row>
    <row r="467" ht="15.75" customHeight="1">
      <c r="A4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67" s="163" t="str">
        <f>IF(AND('Resource Planner'!$A$19="☑",13&lt;='Resource Planner'!$N$19),'Resource Planner'!$C$19,"")</f>
        <v/>
      </c>
      <c r="C467" s="163" t="str">
        <f>IF(AND('Resource Planner'!$A$19="☑",13&lt;='Resource Planner'!$N$19),'Resource Planner'!$B$19,"")</f>
        <v/>
      </c>
      <c r="D467" s="163" t="str">
        <f>IF(AND('Resource Planner'!$A$19="☑",13&lt;='Resource Planner'!$N$19),'Resource Planner'!$D$19,"")</f>
        <v/>
      </c>
      <c r="E467" s="163" t="str">
        <f>IF(AND('Resource Planner'!$A$19="☑",13&lt;='Resource Planner'!$N$19),'Resource Planner'!$E$19,"")</f>
        <v/>
      </c>
      <c r="F467" s="163" t="str">
        <f>IF(AND('Resource Planner'!$A$19="☑",13&lt;='Resource Planner'!$N$19),'Resource Planner'!$F$19&amp;" "&amp;('Resource Planner'!$G$19+(13-1)*'Resource Planner'!$I$19)&amp;IF(('Resource Planner'!$G$19+(13-1)*'Resource Planner'!$I$19)=MIN('Resource Planner'!$G$19+13*'Resource Planner'!$I$19-1,'Resource Planner'!$H$19),"","–"&amp;MIN('Resource Planner'!$G$19+13*'Resource Planner'!$I$19-1,'Resource Planner'!$H$19)),"")</f>
        <v/>
      </c>
      <c r="G467" s="163" t="s">
        <v>109</v>
      </c>
      <c r="H467" s="163" t="str">
        <f>IF(AND('Resource Planner'!$A$19="☑",13&lt;='Resource Planner'!$N$19),'Resource Planner'!$M$19,"")</f>
        <v/>
      </c>
    </row>
    <row r="468" ht="15.75" customHeight="1">
      <c r="A4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68" s="163" t="str">
        <f>IF(AND('Resource Planner'!$A$19="☑",14&lt;='Resource Planner'!$N$19),'Resource Planner'!$C$19,"")</f>
        <v/>
      </c>
      <c r="C468" s="163" t="str">
        <f>IF(AND('Resource Planner'!$A$19="☑",14&lt;='Resource Planner'!$N$19),'Resource Planner'!$B$19,"")</f>
        <v/>
      </c>
      <c r="D468" s="163" t="str">
        <f>IF(AND('Resource Planner'!$A$19="☑",14&lt;='Resource Planner'!$N$19),'Resource Planner'!$D$19,"")</f>
        <v/>
      </c>
      <c r="E468" s="163" t="str">
        <f>IF(AND('Resource Planner'!$A$19="☑",14&lt;='Resource Planner'!$N$19),'Resource Planner'!$E$19,"")</f>
        <v/>
      </c>
      <c r="F468" s="163" t="str">
        <f>IF(AND('Resource Planner'!$A$19="☑",14&lt;='Resource Planner'!$N$19),'Resource Planner'!$F$19&amp;" "&amp;('Resource Planner'!$G$19+(14-1)*'Resource Planner'!$I$19)&amp;IF(('Resource Planner'!$G$19+(14-1)*'Resource Planner'!$I$19)=MIN('Resource Planner'!$G$19+14*'Resource Planner'!$I$19-1,'Resource Planner'!$H$19),"","–"&amp;MIN('Resource Planner'!$G$19+14*'Resource Planner'!$I$19-1,'Resource Planner'!$H$19)),"")</f>
        <v/>
      </c>
      <c r="G468" s="163" t="s">
        <v>109</v>
      </c>
      <c r="H468" s="163" t="str">
        <f>IF(AND('Resource Planner'!$A$19="☑",14&lt;='Resource Planner'!$N$19),'Resource Planner'!$M$19,"")</f>
        <v/>
      </c>
    </row>
    <row r="469" ht="15.75" customHeight="1">
      <c r="A4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69" s="163" t="str">
        <f>IF(AND('Resource Planner'!$A$19="☑",15&lt;='Resource Planner'!$N$19),'Resource Planner'!$C$19,"")</f>
        <v/>
      </c>
      <c r="C469" s="163" t="str">
        <f>IF(AND('Resource Planner'!$A$19="☑",15&lt;='Resource Planner'!$N$19),'Resource Planner'!$B$19,"")</f>
        <v/>
      </c>
      <c r="D469" s="163" t="str">
        <f>IF(AND('Resource Planner'!$A$19="☑",15&lt;='Resource Planner'!$N$19),'Resource Planner'!$D$19,"")</f>
        <v/>
      </c>
      <c r="E469" s="163" t="str">
        <f>IF(AND('Resource Planner'!$A$19="☑",15&lt;='Resource Planner'!$N$19),'Resource Planner'!$E$19,"")</f>
        <v/>
      </c>
      <c r="F469" s="163" t="str">
        <f>IF(AND('Resource Planner'!$A$19="☑",15&lt;='Resource Planner'!$N$19),'Resource Planner'!$F$19&amp;" "&amp;('Resource Planner'!$G$19+(15-1)*'Resource Planner'!$I$19)&amp;IF(('Resource Planner'!$G$19+(15-1)*'Resource Planner'!$I$19)=MIN('Resource Planner'!$G$19+15*'Resource Planner'!$I$19-1,'Resource Planner'!$H$19),"","–"&amp;MIN('Resource Planner'!$G$19+15*'Resource Planner'!$I$19-1,'Resource Planner'!$H$19)),"")</f>
        <v/>
      </c>
      <c r="G469" s="163" t="s">
        <v>109</v>
      </c>
      <c r="H469" s="163" t="str">
        <f>IF(AND('Resource Planner'!$A$19="☑",15&lt;='Resource Planner'!$N$19),'Resource Planner'!$M$19,"")</f>
        <v/>
      </c>
    </row>
    <row r="470" ht="15.75" customHeight="1">
      <c r="A4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0" s="163" t="str">
        <f>IF(AND('Resource Planner'!$A$19="☑",16&lt;='Resource Planner'!$N$19),'Resource Planner'!$C$19,"")</f>
        <v/>
      </c>
      <c r="C470" s="163" t="str">
        <f>IF(AND('Resource Planner'!$A$19="☑",16&lt;='Resource Planner'!$N$19),'Resource Planner'!$B$19,"")</f>
        <v/>
      </c>
      <c r="D470" s="163" t="str">
        <f>IF(AND('Resource Planner'!$A$19="☑",16&lt;='Resource Planner'!$N$19),'Resource Planner'!$D$19,"")</f>
        <v/>
      </c>
      <c r="E470" s="163" t="str">
        <f>IF(AND('Resource Planner'!$A$19="☑",16&lt;='Resource Planner'!$N$19),'Resource Planner'!$E$19,"")</f>
        <v/>
      </c>
      <c r="F470" s="163" t="str">
        <f>IF(AND('Resource Planner'!$A$19="☑",16&lt;='Resource Planner'!$N$19),'Resource Planner'!$F$19&amp;" "&amp;('Resource Planner'!$G$19+(16-1)*'Resource Planner'!$I$19)&amp;IF(('Resource Planner'!$G$19+(16-1)*'Resource Planner'!$I$19)=MIN('Resource Planner'!$G$19+16*'Resource Planner'!$I$19-1,'Resource Planner'!$H$19),"","–"&amp;MIN('Resource Planner'!$G$19+16*'Resource Planner'!$I$19-1,'Resource Planner'!$H$19)),"")</f>
        <v/>
      </c>
      <c r="G470" s="163" t="s">
        <v>109</v>
      </c>
      <c r="H470" s="163" t="str">
        <f>IF(AND('Resource Planner'!$A$19="☑",16&lt;='Resource Planner'!$N$19),'Resource Planner'!$M$19,"")</f>
        <v/>
      </c>
    </row>
    <row r="471" ht="15.75" customHeight="1">
      <c r="A4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1" s="163" t="str">
        <f>IF(AND('Resource Planner'!$A$19="☑",17&lt;='Resource Planner'!$N$19),'Resource Planner'!$C$19,"")</f>
        <v/>
      </c>
      <c r="C471" s="163" t="str">
        <f>IF(AND('Resource Planner'!$A$19="☑",17&lt;='Resource Planner'!$N$19),'Resource Planner'!$B$19,"")</f>
        <v/>
      </c>
      <c r="D471" s="163" t="str">
        <f>IF(AND('Resource Planner'!$A$19="☑",17&lt;='Resource Planner'!$N$19),'Resource Planner'!$D$19,"")</f>
        <v/>
      </c>
      <c r="E471" s="163" t="str">
        <f>IF(AND('Resource Planner'!$A$19="☑",17&lt;='Resource Planner'!$N$19),'Resource Planner'!$E$19,"")</f>
        <v/>
      </c>
      <c r="F471" s="163" t="str">
        <f>IF(AND('Resource Planner'!$A$19="☑",17&lt;='Resource Planner'!$N$19),'Resource Planner'!$F$19&amp;" "&amp;('Resource Planner'!$G$19+(17-1)*'Resource Planner'!$I$19)&amp;IF(('Resource Planner'!$G$19+(17-1)*'Resource Planner'!$I$19)=MIN('Resource Planner'!$G$19+17*'Resource Planner'!$I$19-1,'Resource Planner'!$H$19),"","–"&amp;MIN('Resource Planner'!$G$19+17*'Resource Planner'!$I$19-1,'Resource Planner'!$H$19)),"")</f>
        <v/>
      </c>
      <c r="G471" s="163" t="s">
        <v>109</v>
      </c>
      <c r="H471" s="163" t="str">
        <f>IF(AND('Resource Planner'!$A$19="☑",17&lt;='Resource Planner'!$N$19),'Resource Planner'!$M$19,"")</f>
        <v/>
      </c>
    </row>
    <row r="472" ht="15.75" customHeight="1">
      <c r="A4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2" s="163" t="str">
        <f>IF(AND('Resource Planner'!$A$19="☑",18&lt;='Resource Planner'!$N$19),'Resource Planner'!$C$19,"")</f>
        <v/>
      </c>
      <c r="C472" s="163" t="str">
        <f>IF(AND('Resource Planner'!$A$19="☑",18&lt;='Resource Planner'!$N$19),'Resource Planner'!$B$19,"")</f>
        <v/>
      </c>
      <c r="D472" s="163" t="str">
        <f>IF(AND('Resource Planner'!$A$19="☑",18&lt;='Resource Planner'!$N$19),'Resource Planner'!$D$19,"")</f>
        <v/>
      </c>
      <c r="E472" s="163" t="str">
        <f>IF(AND('Resource Planner'!$A$19="☑",18&lt;='Resource Planner'!$N$19),'Resource Planner'!$E$19,"")</f>
        <v/>
      </c>
      <c r="F472" s="163" t="str">
        <f>IF(AND('Resource Planner'!$A$19="☑",18&lt;='Resource Planner'!$N$19),'Resource Planner'!$F$19&amp;" "&amp;('Resource Planner'!$G$19+(18-1)*'Resource Planner'!$I$19)&amp;IF(('Resource Planner'!$G$19+(18-1)*'Resource Planner'!$I$19)=MIN('Resource Planner'!$G$19+18*'Resource Planner'!$I$19-1,'Resource Planner'!$H$19),"","–"&amp;MIN('Resource Planner'!$G$19+18*'Resource Planner'!$I$19-1,'Resource Planner'!$H$19)),"")</f>
        <v/>
      </c>
      <c r="G472" s="163" t="s">
        <v>109</v>
      </c>
      <c r="H472" s="163" t="str">
        <f>IF(AND('Resource Planner'!$A$19="☑",18&lt;='Resource Planner'!$N$19),'Resource Planner'!$M$19,"")</f>
        <v/>
      </c>
    </row>
    <row r="473" ht="15.75" customHeight="1">
      <c r="A4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3" s="163" t="str">
        <f>IF(AND('Resource Planner'!$A$19="☑",19&lt;='Resource Planner'!$N$19),'Resource Planner'!$C$19,"")</f>
        <v/>
      </c>
      <c r="C473" s="163" t="str">
        <f>IF(AND('Resource Planner'!$A$19="☑",19&lt;='Resource Planner'!$N$19),'Resource Planner'!$B$19,"")</f>
        <v/>
      </c>
      <c r="D473" s="163" t="str">
        <f>IF(AND('Resource Planner'!$A$19="☑",19&lt;='Resource Planner'!$N$19),'Resource Planner'!$D$19,"")</f>
        <v/>
      </c>
      <c r="E473" s="163" t="str">
        <f>IF(AND('Resource Planner'!$A$19="☑",19&lt;='Resource Planner'!$N$19),'Resource Planner'!$E$19,"")</f>
        <v/>
      </c>
      <c r="F473" s="163" t="str">
        <f>IF(AND('Resource Planner'!$A$19="☑",19&lt;='Resource Planner'!$N$19),'Resource Planner'!$F$19&amp;" "&amp;('Resource Planner'!$G$19+(19-1)*'Resource Planner'!$I$19)&amp;IF(('Resource Planner'!$G$19+(19-1)*'Resource Planner'!$I$19)=MIN('Resource Planner'!$G$19+19*'Resource Planner'!$I$19-1,'Resource Planner'!$H$19),"","–"&amp;MIN('Resource Planner'!$G$19+19*'Resource Planner'!$I$19-1,'Resource Planner'!$H$19)),"")</f>
        <v/>
      </c>
      <c r="G473" s="163" t="s">
        <v>109</v>
      </c>
      <c r="H473" s="163" t="str">
        <f>IF(AND('Resource Planner'!$A$19="☑",19&lt;='Resource Planner'!$N$19),'Resource Planner'!$M$19,"")</f>
        <v/>
      </c>
    </row>
    <row r="474" ht="15.75" customHeight="1">
      <c r="A4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4" s="163" t="str">
        <f>IF(AND('Resource Planner'!$A$19="☑",20&lt;='Resource Planner'!$N$19),'Resource Planner'!$C$19,"")</f>
        <v/>
      </c>
      <c r="C474" s="163" t="str">
        <f>IF(AND('Resource Planner'!$A$19="☑",20&lt;='Resource Planner'!$N$19),'Resource Planner'!$B$19,"")</f>
        <v/>
      </c>
      <c r="D474" s="163" t="str">
        <f>IF(AND('Resource Planner'!$A$19="☑",20&lt;='Resource Planner'!$N$19),'Resource Planner'!$D$19,"")</f>
        <v/>
      </c>
      <c r="E474" s="163" t="str">
        <f>IF(AND('Resource Planner'!$A$19="☑",20&lt;='Resource Planner'!$N$19),'Resource Planner'!$E$19,"")</f>
        <v/>
      </c>
      <c r="F474" s="163" t="str">
        <f>IF(AND('Resource Planner'!$A$19="☑",20&lt;='Resource Planner'!$N$19),'Resource Planner'!$F$19&amp;" "&amp;('Resource Planner'!$G$19+(20-1)*'Resource Planner'!$I$19)&amp;IF(('Resource Planner'!$G$19+(20-1)*'Resource Planner'!$I$19)=MIN('Resource Planner'!$G$19+20*'Resource Planner'!$I$19-1,'Resource Planner'!$H$19),"","–"&amp;MIN('Resource Planner'!$G$19+20*'Resource Planner'!$I$19-1,'Resource Planner'!$H$19)),"")</f>
        <v/>
      </c>
      <c r="G474" s="163" t="s">
        <v>109</v>
      </c>
      <c r="H474" s="163" t="str">
        <f>IF(AND('Resource Planner'!$A$19="☑",20&lt;='Resource Planner'!$N$19),'Resource Planner'!$M$19,"")</f>
        <v/>
      </c>
    </row>
    <row r="475" ht="15.75" customHeight="1">
      <c r="A4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5" s="163" t="str">
        <f>IF(AND('Resource Planner'!$A$19="☑",21&lt;='Resource Planner'!$N$19),'Resource Planner'!$C$19,"")</f>
        <v/>
      </c>
      <c r="C475" s="163" t="str">
        <f>IF(AND('Resource Planner'!$A$19="☑",21&lt;='Resource Planner'!$N$19),'Resource Planner'!$B$19,"")</f>
        <v/>
      </c>
      <c r="D475" s="163" t="str">
        <f>IF(AND('Resource Planner'!$A$19="☑",21&lt;='Resource Planner'!$N$19),'Resource Planner'!$D$19,"")</f>
        <v/>
      </c>
      <c r="E475" s="163" t="str">
        <f>IF(AND('Resource Planner'!$A$19="☑",21&lt;='Resource Planner'!$N$19),'Resource Planner'!$E$19,"")</f>
        <v/>
      </c>
      <c r="F475" s="163" t="str">
        <f>IF(AND('Resource Planner'!$A$19="☑",21&lt;='Resource Planner'!$N$19),'Resource Planner'!$F$19&amp;" "&amp;('Resource Planner'!$G$19+(21-1)*'Resource Planner'!$I$19)&amp;IF(('Resource Planner'!$G$19+(21-1)*'Resource Planner'!$I$19)=MIN('Resource Planner'!$G$19+21*'Resource Planner'!$I$19-1,'Resource Planner'!$H$19),"","–"&amp;MIN('Resource Planner'!$G$19+21*'Resource Planner'!$I$19-1,'Resource Planner'!$H$19)),"")</f>
        <v/>
      </c>
      <c r="G475" s="163" t="s">
        <v>109</v>
      </c>
      <c r="H475" s="163" t="str">
        <f>IF(AND('Resource Planner'!$A$19="☑",21&lt;='Resource Planner'!$N$19),'Resource Planner'!$M$19,"")</f>
        <v/>
      </c>
    </row>
    <row r="476" ht="15.75" customHeight="1">
      <c r="A4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6" s="163" t="str">
        <f>IF(AND('Resource Planner'!$A$19="☑",22&lt;='Resource Planner'!$N$19),'Resource Planner'!$C$19,"")</f>
        <v/>
      </c>
      <c r="C476" s="163" t="str">
        <f>IF(AND('Resource Planner'!$A$19="☑",22&lt;='Resource Planner'!$N$19),'Resource Planner'!$B$19,"")</f>
        <v/>
      </c>
      <c r="D476" s="163" t="str">
        <f>IF(AND('Resource Planner'!$A$19="☑",22&lt;='Resource Planner'!$N$19),'Resource Planner'!$D$19,"")</f>
        <v/>
      </c>
      <c r="E476" s="163" t="str">
        <f>IF(AND('Resource Planner'!$A$19="☑",22&lt;='Resource Planner'!$N$19),'Resource Planner'!$E$19,"")</f>
        <v/>
      </c>
      <c r="F476" s="163" t="str">
        <f>IF(AND('Resource Planner'!$A$19="☑",22&lt;='Resource Planner'!$N$19),'Resource Planner'!$F$19&amp;" "&amp;('Resource Planner'!$G$19+(22-1)*'Resource Planner'!$I$19)&amp;IF(('Resource Planner'!$G$19+(22-1)*'Resource Planner'!$I$19)=MIN('Resource Planner'!$G$19+22*'Resource Planner'!$I$19-1,'Resource Planner'!$H$19),"","–"&amp;MIN('Resource Planner'!$G$19+22*'Resource Planner'!$I$19-1,'Resource Planner'!$H$19)),"")</f>
        <v/>
      </c>
      <c r="G476" s="163" t="s">
        <v>109</v>
      </c>
      <c r="H476" s="163" t="str">
        <f>IF(AND('Resource Planner'!$A$19="☑",22&lt;='Resource Planner'!$N$19),'Resource Planner'!$M$19,"")</f>
        <v/>
      </c>
    </row>
    <row r="477" ht="15.75" customHeight="1">
      <c r="A4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7" s="163" t="str">
        <f>IF(AND('Resource Planner'!$A$19="☑",23&lt;='Resource Planner'!$N$19),'Resource Planner'!$C$19,"")</f>
        <v/>
      </c>
      <c r="C477" s="163" t="str">
        <f>IF(AND('Resource Planner'!$A$19="☑",23&lt;='Resource Planner'!$N$19),'Resource Planner'!$B$19,"")</f>
        <v/>
      </c>
      <c r="D477" s="163" t="str">
        <f>IF(AND('Resource Planner'!$A$19="☑",23&lt;='Resource Planner'!$N$19),'Resource Planner'!$D$19,"")</f>
        <v/>
      </c>
      <c r="E477" s="163" t="str">
        <f>IF(AND('Resource Planner'!$A$19="☑",23&lt;='Resource Planner'!$N$19),'Resource Planner'!$E$19,"")</f>
        <v/>
      </c>
      <c r="F477" s="163" t="str">
        <f>IF(AND('Resource Planner'!$A$19="☑",23&lt;='Resource Planner'!$N$19),'Resource Planner'!$F$19&amp;" "&amp;('Resource Planner'!$G$19+(23-1)*'Resource Planner'!$I$19)&amp;IF(('Resource Planner'!$G$19+(23-1)*'Resource Planner'!$I$19)=MIN('Resource Planner'!$G$19+23*'Resource Planner'!$I$19-1,'Resource Planner'!$H$19),"","–"&amp;MIN('Resource Planner'!$G$19+23*'Resource Planner'!$I$19-1,'Resource Planner'!$H$19)),"")</f>
        <v/>
      </c>
      <c r="G477" s="163" t="s">
        <v>109</v>
      </c>
      <c r="H477" s="163" t="str">
        <f>IF(AND('Resource Planner'!$A$19="☑",23&lt;='Resource Planner'!$N$19),'Resource Planner'!$M$19,"")</f>
        <v/>
      </c>
    </row>
    <row r="478" ht="15.75" customHeight="1">
      <c r="A4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8" s="163" t="str">
        <f>IF(AND('Resource Planner'!$A$19="☑",24&lt;='Resource Planner'!$N$19),'Resource Planner'!$C$19,"")</f>
        <v/>
      </c>
      <c r="C478" s="163" t="str">
        <f>IF(AND('Resource Planner'!$A$19="☑",24&lt;='Resource Planner'!$N$19),'Resource Planner'!$B$19,"")</f>
        <v/>
      </c>
      <c r="D478" s="163" t="str">
        <f>IF(AND('Resource Planner'!$A$19="☑",24&lt;='Resource Planner'!$N$19),'Resource Planner'!$D$19,"")</f>
        <v/>
      </c>
      <c r="E478" s="163" t="str">
        <f>IF(AND('Resource Planner'!$A$19="☑",24&lt;='Resource Planner'!$N$19),'Resource Planner'!$E$19,"")</f>
        <v/>
      </c>
      <c r="F478" s="163" t="str">
        <f>IF(AND('Resource Planner'!$A$19="☑",24&lt;='Resource Planner'!$N$19),'Resource Planner'!$F$19&amp;" "&amp;('Resource Planner'!$G$19+(24-1)*'Resource Planner'!$I$19)&amp;IF(('Resource Planner'!$G$19+(24-1)*'Resource Planner'!$I$19)=MIN('Resource Planner'!$G$19+24*'Resource Planner'!$I$19-1,'Resource Planner'!$H$19),"","–"&amp;MIN('Resource Planner'!$G$19+24*'Resource Planner'!$I$19-1,'Resource Planner'!$H$19)),"")</f>
        <v/>
      </c>
      <c r="G478" s="163" t="s">
        <v>109</v>
      </c>
      <c r="H478" s="163" t="str">
        <f>IF(AND('Resource Planner'!$A$19="☑",24&lt;='Resource Planner'!$N$19),'Resource Planner'!$M$19,"")</f>
        <v/>
      </c>
    </row>
    <row r="479" ht="15.75" customHeight="1">
      <c r="A4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79" s="163" t="str">
        <f>IF(AND('Resource Planner'!$A$19="☑",25&lt;='Resource Planner'!$N$19),'Resource Planner'!$C$19,"")</f>
        <v/>
      </c>
      <c r="C479" s="163" t="str">
        <f>IF(AND('Resource Planner'!$A$19="☑",25&lt;='Resource Planner'!$N$19),'Resource Planner'!$B$19,"")</f>
        <v/>
      </c>
      <c r="D479" s="163" t="str">
        <f>IF(AND('Resource Planner'!$A$19="☑",25&lt;='Resource Planner'!$N$19),'Resource Planner'!$D$19,"")</f>
        <v/>
      </c>
      <c r="E479" s="163" t="str">
        <f>IF(AND('Resource Planner'!$A$19="☑",25&lt;='Resource Planner'!$N$19),'Resource Planner'!$E$19,"")</f>
        <v/>
      </c>
      <c r="F479" s="163" t="str">
        <f>IF(AND('Resource Planner'!$A$19="☑",25&lt;='Resource Planner'!$N$19),'Resource Planner'!$F$19&amp;" "&amp;('Resource Planner'!$G$19+(25-1)*'Resource Planner'!$I$19)&amp;IF(('Resource Planner'!$G$19+(25-1)*'Resource Planner'!$I$19)=MIN('Resource Planner'!$G$19+25*'Resource Planner'!$I$19-1,'Resource Planner'!$H$19),"","–"&amp;MIN('Resource Planner'!$G$19+25*'Resource Planner'!$I$19-1,'Resource Planner'!$H$19)),"")</f>
        <v/>
      </c>
      <c r="G479" s="163" t="s">
        <v>109</v>
      </c>
      <c r="H479" s="163" t="str">
        <f>IF(AND('Resource Planner'!$A$19="☑",25&lt;='Resource Planner'!$N$19),'Resource Planner'!$M$19,"")</f>
        <v/>
      </c>
    </row>
    <row r="480" ht="15.75" customHeight="1">
      <c r="A4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0" s="163" t="str">
        <f>IF(AND('Resource Planner'!$A$19="☑",26&lt;='Resource Planner'!$N$19),'Resource Planner'!$C$19,"")</f>
        <v/>
      </c>
      <c r="C480" s="163" t="str">
        <f>IF(AND('Resource Planner'!$A$19="☑",26&lt;='Resource Planner'!$N$19),'Resource Planner'!$B$19,"")</f>
        <v/>
      </c>
      <c r="D480" s="163" t="str">
        <f>IF(AND('Resource Planner'!$A$19="☑",26&lt;='Resource Planner'!$N$19),'Resource Planner'!$D$19,"")</f>
        <v/>
      </c>
      <c r="E480" s="163" t="str">
        <f>IF(AND('Resource Planner'!$A$19="☑",26&lt;='Resource Planner'!$N$19),'Resource Planner'!$E$19,"")</f>
        <v/>
      </c>
      <c r="F480" s="163" t="str">
        <f>IF(AND('Resource Planner'!$A$19="☑",26&lt;='Resource Planner'!$N$19),'Resource Planner'!$F$19&amp;" "&amp;('Resource Planner'!$G$19+(26-1)*'Resource Planner'!$I$19)&amp;IF(('Resource Planner'!$G$19+(26-1)*'Resource Planner'!$I$19)=MIN('Resource Planner'!$G$19+26*'Resource Planner'!$I$19-1,'Resource Planner'!$H$19),"","–"&amp;MIN('Resource Planner'!$G$19+26*'Resource Planner'!$I$19-1,'Resource Planner'!$H$19)),"")</f>
        <v/>
      </c>
      <c r="G480" s="163" t="s">
        <v>109</v>
      </c>
      <c r="H480" s="163" t="str">
        <f>IF(AND('Resource Planner'!$A$19="☑",26&lt;='Resource Planner'!$N$19),'Resource Planner'!$M$19,"")</f>
        <v/>
      </c>
    </row>
    <row r="481" ht="15.75" customHeight="1">
      <c r="A4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1" s="163" t="str">
        <f>IF(AND('Resource Planner'!$A$19="☑",27&lt;='Resource Planner'!$N$19),'Resource Planner'!$C$19,"")</f>
        <v/>
      </c>
      <c r="C481" s="163" t="str">
        <f>IF(AND('Resource Planner'!$A$19="☑",27&lt;='Resource Planner'!$N$19),'Resource Planner'!$B$19,"")</f>
        <v/>
      </c>
      <c r="D481" s="163" t="str">
        <f>IF(AND('Resource Planner'!$A$19="☑",27&lt;='Resource Planner'!$N$19),'Resource Planner'!$D$19,"")</f>
        <v/>
      </c>
      <c r="E481" s="163" t="str">
        <f>IF(AND('Resource Planner'!$A$19="☑",27&lt;='Resource Planner'!$N$19),'Resource Planner'!$E$19,"")</f>
        <v/>
      </c>
      <c r="F481" s="163" t="str">
        <f>IF(AND('Resource Planner'!$A$19="☑",27&lt;='Resource Planner'!$N$19),'Resource Planner'!$F$19&amp;" "&amp;('Resource Planner'!$G$19+(27-1)*'Resource Planner'!$I$19)&amp;IF(('Resource Planner'!$G$19+(27-1)*'Resource Planner'!$I$19)=MIN('Resource Planner'!$G$19+27*'Resource Planner'!$I$19-1,'Resource Planner'!$H$19),"","–"&amp;MIN('Resource Planner'!$G$19+27*'Resource Planner'!$I$19-1,'Resource Planner'!$H$19)),"")</f>
        <v/>
      </c>
      <c r="G481" s="163" t="s">
        <v>109</v>
      </c>
      <c r="H481" s="163" t="str">
        <f>IF(AND('Resource Planner'!$A$19="☑",27&lt;='Resource Planner'!$N$19),'Resource Planner'!$M$19,"")</f>
        <v/>
      </c>
    </row>
    <row r="482" ht="15.75" customHeight="1">
      <c r="A4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2" s="163" t="str">
        <f>IF(AND('Resource Planner'!$A$19="☑",28&lt;='Resource Planner'!$N$19),'Resource Planner'!$C$19,"")</f>
        <v/>
      </c>
      <c r="C482" s="163" t="str">
        <f>IF(AND('Resource Planner'!$A$19="☑",28&lt;='Resource Planner'!$N$19),'Resource Planner'!$B$19,"")</f>
        <v/>
      </c>
      <c r="D482" s="163" t="str">
        <f>IF(AND('Resource Planner'!$A$19="☑",28&lt;='Resource Planner'!$N$19),'Resource Planner'!$D$19,"")</f>
        <v/>
      </c>
      <c r="E482" s="163" t="str">
        <f>IF(AND('Resource Planner'!$A$19="☑",28&lt;='Resource Planner'!$N$19),'Resource Planner'!$E$19,"")</f>
        <v/>
      </c>
      <c r="F482" s="163" t="str">
        <f>IF(AND('Resource Planner'!$A$19="☑",28&lt;='Resource Planner'!$N$19),'Resource Planner'!$F$19&amp;" "&amp;('Resource Planner'!$G$19+(28-1)*'Resource Planner'!$I$19)&amp;IF(('Resource Planner'!$G$19+(28-1)*'Resource Planner'!$I$19)=MIN('Resource Planner'!$G$19+28*'Resource Planner'!$I$19-1,'Resource Planner'!$H$19),"","–"&amp;MIN('Resource Planner'!$G$19+28*'Resource Planner'!$I$19-1,'Resource Planner'!$H$19)),"")</f>
        <v/>
      </c>
      <c r="G482" s="163" t="s">
        <v>109</v>
      </c>
      <c r="H482" s="163" t="str">
        <f>IF(AND('Resource Planner'!$A$19="☑",28&lt;='Resource Planner'!$N$19),'Resource Planner'!$M$19,"")</f>
        <v/>
      </c>
    </row>
    <row r="483" ht="15.75" customHeight="1">
      <c r="A4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3" s="163" t="str">
        <f>IF(AND('Resource Planner'!$A$19="☑",29&lt;='Resource Planner'!$N$19),'Resource Planner'!$C$19,"")</f>
        <v/>
      </c>
      <c r="C483" s="163" t="str">
        <f>IF(AND('Resource Planner'!$A$19="☑",29&lt;='Resource Planner'!$N$19),'Resource Planner'!$B$19,"")</f>
        <v/>
      </c>
      <c r="D483" s="163" t="str">
        <f>IF(AND('Resource Planner'!$A$19="☑",29&lt;='Resource Planner'!$N$19),'Resource Planner'!$D$19,"")</f>
        <v/>
      </c>
      <c r="E483" s="163" t="str">
        <f>IF(AND('Resource Planner'!$A$19="☑",29&lt;='Resource Planner'!$N$19),'Resource Planner'!$E$19,"")</f>
        <v/>
      </c>
      <c r="F483" s="163" t="str">
        <f>IF(AND('Resource Planner'!$A$19="☑",29&lt;='Resource Planner'!$N$19),'Resource Planner'!$F$19&amp;" "&amp;('Resource Planner'!$G$19+(29-1)*'Resource Planner'!$I$19)&amp;IF(('Resource Planner'!$G$19+(29-1)*'Resource Planner'!$I$19)=MIN('Resource Planner'!$G$19+29*'Resource Planner'!$I$19-1,'Resource Planner'!$H$19),"","–"&amp;MIN('Resource Planner'!$G$19+29*'Resource Planner'!$I$19-1,'Resource Planner'!$H$19)),"")</f>
        <v/>
      </c>
      <c r="G483" s="163" t="s">
        <v>109</v>
      </c>
      <c r="H483" s="163" t="str">
        <f>IF(AND('Resource Planner'!$A$19="☑",29&lt;='Resource Planner'!$N$19),'Resource Planner'!$M$19,"")</f>
        <v/>
      </c>
    </row>
    <row r="484" ht="15.75" customHeight="1">
      <c r="A4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4" s="163" t="str">
        <f>IF(AND('Resource Planner'!$A$19="☑",30&lt;='Resource Planner'!$N$19),'Resource Planner'!$C$19,"")</f>
        <v/>
      </c>
      <c r="C484" s="163" t="str">
        <f>IF(AND('Resource Planner'!$A$19="☑",30&lt;='Resource Planner'!$N$19),'Resource Planner'!$B$19,"")</f>
        <v/>
      </c>
      <c r="D484" s="163" t="str">
        <f>IF(AND('Resource Planner'!$A$19="☑",30&lt;='Resource Planner'!$N$19),'Resource Planner'!$D$19,"")</f>
        <v/>
      </c>
      <c r="E484" s="163" t="str">
        <f>IF(AND('Resource Planner'!$A$19="☑",30&lt;='Resource Planner'!$N$19),'Resource Planner'!$E$19,"")</f>
        <v/>
      </c>
      <c r="F484" s="163" t="str">
        <f>IF(AND('Resource Planner'!$A$19="☑",30&lt;='Resource Planner'!$N$19),'Resource Planner'!$F$19&amp;" "&amp;('Resource Planner'!$G$19+(30-1)*'Resource Planner'!$I$19)&amp;IF(('Resource Planner'!$G$19+(30-1)*'Resource Planner'!$I$19)=MIN('Resource Planner'!$G$19+30*'Resource Planner'!$I$19-1,'Resource Planner'!$H$19),"","–"&amp;MIN('Resource Planner'!$G$19+30*'Resource Planner'!$I$19-1,'Resource Planner'!$H$19)),"")</f>
        <v/>
      </c>
      <c r="G484" s="163" t="s">
        <v>109</v>
      </c>
      <c r="H484" s="163" t="str">
        <f>IF(AND('Resource Planner'!$A$19="☑",30&lt;='Resource Planner'!$N$19),'Resource Planner'!$M$19,"")</f>
        <v/>
      </c>
    </row>
    <row r="485" ht="15.75" customHeight="1">
      <c r="A4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5" s="163" t="str">
        <f>IF(AND('Resource Planner'!$A$19="☑",31&lt;='Resource Planner'!$N$19),'Resource Planner'!$C$19,"")</f>
        <v/>
      </c>
      <c r="C485" s="163" t="str">
        <f>IF(AND('Resource Planner'!$A$19="☑",31&lt;='Resource Planner'!$N$19),'Resource Planner'!$B$19,"")</f>
        <v/>
      </c>
      <c r="D485" s="163" t="str">
        <f>IF(AND('Resource Planner'!$A$19="☑",31&lt;='Resource Planner'!$N$19),'Resource Planner'!$D$19,"")</f>
        <v/>
      </c>
      <c r="E485" s="163" t="str">
        <f>IF(AND('Resource Planner'!$A$19="☑",31&lt;='Resource Planner'!$N$19),'Resource Planner'!$E$19,"")</f>
        <v/>
      </c>
      <c r="F485" s="163" t="str">
        <f>IF(AND('Resource Planner'!$A$19="☑",31&lt;='Resource Planner'!$N$19),'Resource Planner'!$F$19&amp;" "&amp;('Resource Planner'!$G$19+(31-1)*'Resource Planner'!$I$19)&amp;IF(('Resource Planner'!$G$19+(31-1)*'Resource Planner'!$I$19)=MIN('Resource Planner'!$G$19+31*'Resource Planner'!$I$19-1,'Resource Planner'!$H$19),"","–"&amp;MIN('Resource Planner'!$G$19+31*'Resource Planner'!$I$19-1,'Resource Planner'!$H$19)),"")</f>
        <v/>
      </c>
      <c r="G485" s="163" t="s">
        <v>109</v>
      </c>
      <c r="H485" s="163" t="str">
        <f>IF(AND('Resource Planner'!$A$19="☑",31&lt;='Resource Planner'!$N$19),'Resource Planner'!$M$19,"")</f>
        <v/>
      </c>
    </row>
    <row r="486" ht="15.75" customHeight="1">
      <c r="A4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6" s="163" t="str">
        <f>IF(AND('Resource Planner'!$A$19="☑",32&lt;='Resource Planner'!$N$19),'Resource Planner'!$C$19,"")</f>
        <v/>
      </c>
      <c r="C486" s="163" t="str">
        <f>IF(AND('Resource Planner'!$A$19="☑",32&lt;='Resource Planner'!$N$19),'Resource Planner'!$B$19,"")</f>
        <v/>
      </c>
      <c r="D486" s="163" t="str">
        <f>IF(AND('Resource Planner'!$A$19="☑",32&lt;='Resource Planner'!$N$19),'Resource Planner'!$D$19,"")</f>
        <v/>
      </c>
      <c r="E486" s="163" t="str">
        <f>IF(AND('Resource Planner'!$A$19="☑",32&lt;='Resource Planner'!$N$19),'Resource Planner'!$E$19,"")</f>
        <v/>
      </c>
      <c r="F486" s="163" t="str">
        <f>IF(AND('Resource Planner'!$A$19="☑",32&lt;='Resource Planner'!$N$19),'Resource Planner'!$F$19&amp;" "&amp;('Resource Planner'!$G$19+(32-1)*'Resource Planner'!$I$19)&amp;IF(('Resource Planner'!$G$19+(32-1)*'Resource Planner'!$I$19)=MIN('Resource Planner'!$G$19+32*'Resource Planner'!$I$19-1,'Resource Planner'!$H$19),"","–"&amp;MIN('Resource Planner'!$G$19+32*'Resource Planner'!$I$19-1,'Resource Planner'!$H$19)),"")</f>
        <v/>
      </c>
      <c r="G486" s="163" t="s">
        <v>109</v>
      </c>
      <c r="H486" s="163" t="str">
        <f>IF(AND('Resource Planner'!$A$19="☑",32&lt;='Resource Planner'!$N$19),'Resource Planner'!$M$19,"")</f>
        <v/>
      </c>
    </row>
    <row r="487" ht="15.75" customHeight="1">
      <c r="A4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7" s="163" t="str">
        <f>IF(AND('Resource Planner'!$A$19="☑",33&lt;='Resource Planner'!$N$19),'Resource Planner'!$C$19,"")</f>
        <v/>
      </c>
      <c r="C487" s="163" t="str">
        <f>IF(AND('Resource Planner'!$A$19="☑",33&lt;='Resource Planner'!$N$19),'Resource Planner'!$B$19,"")</f>
        <v/>
      </c>
      <c r="D487" s="163" t="str">
        <f>IF(AND('Resource Planner'!$A$19="☑",33&lt;='Resource Planner'!$N$19),'Resource Planner'!$D$19,"")</f>
        <v/>
      </c>
      <c r="E487" s="163" t="str">
        <f>IF(AND('Resource Planner'!$A$19="☑",33&lt;='Resource Planner'!$N$19),'Resource Planner'!$E$19,"")</f>
        <v/>
      </c>
      <c r="F487" s="163" t="str">
        <f>IF(AND('Resource Planner'!$A$19="☑",33&lt;='Resource Planner'!$N$19),'Resource Planner'!$F$19&amp;" "&amp;('Resource Planner'!$G$19+(33-1)*'Resource Planner'!$I$19)&amp;IF(('Resource Planner'!$G$19+(33-1)*'Resource Planner'!$I$19)=MIN('Resource Planner'!$G$19+33*'Resource Planner'!$I$19-1,'Resource Planner'!$H$19),"","–"&amp;MIN('Resource Planner'!$G$19+33*'Resource Planner'!$I$19-1,'Resource Planner'!$H$19)),"")</f>
        <v/>
      </c>
      <c r="G487" s="163" t="s">
        <v>109</v>
      </c>
      <c r="H487" s="163" t="str">
        <f>IF(AND('Resource Planner'!$A$19="☑",33&lt;='Resource Planner'!$N$19),'Resource Planner'!$M$19,"")</f>
        <v/>
      </c>
    </row>
    <row r="488" ht="15.75" customHeight="1">
      <c r="A4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8" s="163" t="str">
        <f>IF(AND('Resource Planner'!$A$19="☑",34&lt;='Resource Planner'!$N$19),'Resource Planner'!$C$19,"")</f>
        <v/>
      </c>
      <c r="C488" s="163" t="str">
        <f>IF(AND('Resource Planner'!$A$19="☑",34&lt;='Resource Planner'!$N$19),'Resource Planner'!$B$19,"")</f>
        <v/>
      </c>
      <c r="D488" s="163" t="str">
        <f>IF(AND('Resource Planner'!$A$19="☑",34&lt;='Resource Planner'!$N$19),'Resource Planner'!$D$19,"")</f>
        <v/>
      </c>
      <c r="E488" s="163" t="str">
        <f>IF(AND('Resource Planner'!$A$19="☑",34&lt;='Resource Planner'!$N$19),'Resource Planner'!$E$19,"")</f>
        <v/>
      </c>
      <c r="F488" s="163" t="str">
        <f>IF(AND('Resource Planner'!$A$19="☑",34&lt;='Resource Planner'!$N$19),'Resource Planner'!$F$19&amp;" "&amp;('Resource Planner'!$G$19+(34-1)*'Resource Planner'!$I$19)&amp;IF(('Resource Planner'!$G$19+(34-1)*'Resource Planner'!$I$19)=MIN('Resource Planner'!$G$19+34*'Resource Planner'!$I$19-1,'Resource Planner'!$H$19),"","–"&amp;MIN('Resource Planner'!$G$19+34*'Resource Planner'!$I$19-1,'Resource Planner'!$H$19)),"")</f>
        <v/>
      </c>
      <c r="G488" s="163" t="s">
        <v>109</v>
      </c>
      <c r="H488" s="163" t="str">
        <f>IF(AND('Resource Planner'!$A$19="☑",34&lt;='Resource Planner'!$N$19),'Resource Planner'!$M$19,"")</f>
        <v/>
      </c>
    </row>
    <row r="489" ht="15.75" customHeight="1">
      <c r="A4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89" s="163" t="str">
        <f>IF(AND('Resource Planner'!$A$19="☑",35&lt;='Resource Planner'!$N$19),'Resource Planner'!$C$19,"")</f>
        <v/>
      </c>
      <c r="C489" s="163" t="str">
        <f>IF(AND('Resource Planner'!$A$19="☑",35&lt;='Resource Planner'!$N$19),'Resource Planner'!$B$19,"")</f>
        <v/>
      </c>
      <c r="D489" s="163" t="str">
        <f>IF(AND('Resource Planner'!$A$19="☑",35&lt;='Resource Planner'!$N$19),'Resource Planner'!$D$19,"")</f>
        <v/>
      </c>
      <c r="E489" s="163" t="str">
        <f>IF(AND('Resource Planner'!$A$19="☑",35&lt;='Resource Planner'!$N$19),'Resource Planner'!$E$19,"")</f>
        <v/>
      </c>
      <c r="F489" s="163" t="str">
        <f>IF(AND('Resource Planner'!$A$19="☑",35&lt;='Resource Planner'!$N$19),'Resource Planner'!$F$19&amp;" "&amp;('Resource Planner'!$G$19+(35-1)*'Resource Planner'!$I$19)&amp;IF(('Resource Planner'!$G$19+(35-1)*'Resource Planner'!$I$19)=MIN('Resource Planner'!$G$19+35*'Resource Planner'!$I$19-1,'Resource Planner'!$H$19),"","–"&amp;MIN('Resource Planner'!$G$19+35*'Resource Planner'!$I$19-1,'Resource Planner'!$H$19)),"")</f>
        <v/>
      </c>
      <c r="G489" s="163" t="s">
        <v>109</v>
      </c>
      <c r="H489" s="163" t="str">
        <f>IF(AND('Resource Planner'!$A$19="☑",35&lt;='Resource Planner'!$N$19),'Resource Planner'!$M$19,"")</f>
        <v/>
      </c>
    </row>
    <row r="490" ht="15.75" customHeight="1">
      <c r="A4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0" s="163" t="str">
        <f>IF(AND('Resource Planner'!$A$19="☑",36&lt;='Resource Planner'!$N$19),'Resource Planner'!$C$19,"")</f>
        <v/>
      </c>
      <c r="C490" s="163" t="str">
        <f>IF(AND('Resource Planner'!$A$19="☑",36&lt;='Resource Planner'!$N$19),'Resource Planner'!$B$19,"")</f>
        <v/>
      </c>
      <c r="D490" s="163" t="str">
        <f>IF(AND('Resource Planner'!$A$19="☑",36&lt;='Resource Planner'!$N$19),'Resource Planner'!$D$19,"")</f>
        <v/>
      </c>
      <c r="E490" s="163" t="str">
        <f>IF(AND('Resource Planner'!$A$19="☑",36&lt;='Resource Planner'!$N$19),'Resource Planner'!$E$19,"")</f>
        <v/>
      </c>
      <c r="F490" s="163" t="str">
        <f>IF(AND('Resource Planner'!$A$19="☑",36&lt;='Resource Planner'!$N$19),'Resource Planner'!$F$19&amp;" "&amp;('Resource Planner'!$G$19+(36-1)*'Resource Planner'!$I$19)&amp;IF(('Resource Planner'!$G$19+(36-1)*'Resource Planner'!$I$19)=MIN('Resource Planner'!$G$19+36*'Resource Planner'!$I$19-1,'Resource Planner'!$H$19),"","–"&amp;MIN('Resource Planner'!$G$19+36*'Resource Planner'!$I$19-1,'Resource Planner'!$H$19)),"")</f>
        <v/>
      </c>
      <c r="G490" s="163" t="s">
        <v>109</v>
      </c>
      <c r="H490" s="163" t="str">
        <f>IF(AND('Resource Planner'!$A$19="☑",36&lt;='Resource Planner'!$N$19),'Resource Planner'!$M$19,"")</f>
        <v/>
      </c>
    </row>
    <row r="491" ht="15.75" customHeight="1">
      <c r="A4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1" s="163" t="str">
        <f>IF(AND('Resource Planner'!$A$19="☑",37&lt;='Resource Planner'!$N$19),'Resource Planner'!$C$19,"")</f>
        <v/>
      </c>
      <c r="C491" s="163" t="str">
        <f>IF(AND('Resource Planner'!$A$19="☑",37&lt;='Resource Planner'!$N$19),'Resource Planner'!$B$19,"")</f>
        <v/>
      </c>
      <c r="D491" s="163" t="str">
        <f>IF(AND('Resource Planner'!$A$19="☑",37&lt;='Resource Planner'!$N$19),'Resource Planner'!$D$19,"")</f>
        <v/>
      </c>
      <c r="E491" s="163" t="str">
        <f>IF(AND('Resource Planner'!$A$19="☑",37&lt;='Resource Planner'!$N$19),'Resource Planner'!$E$19,"")</f>
        <v/>
      </c>
      <c r="F491" s="163" t="str">
        <f>IF(AND('Resource Planner'!$A$19="☑",37&lt;='Resource Planner'!$N$19),'Resource Planner'!$F$19&amp;" "&amp;('Resource Planner'!$G$19+(37-1)*'Resource Planner'!$I$19)&amp;IF(('Resource Planner'!$G$19+(37-1)*'Resource Planner'!$I$19)=MIN('Resource Planner'!$G$19+37*'Resource Planner'!$I$19-1,'Resource Planner'!$H$19),"","–"&amp;MIN('Resource Planner'!$G$19+37*'Resource Planner'!$I$19-1,'Resource Planner'!$H$19)),"")</f>
        <v/>
      </c>
      <c r="G491" s="163" t="s">
        <v>109</v>
      </c>
      <c r="H491" s="163" t="str">
        <f>IF(AND('Resource Planner'!$A$19="☑",37&lt;='Resource Planner'!$N$19),'Resource Planner'!$M$19,"")</f>
        <v/>
      </c>
    </row>
    <row r="492" ht="15.75" customHeight="1">
      <c r="A4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2" s="163" t="str">
        <f>IF(AND('Resource Planner'!$A$19="☑",38&lt;='Resource Planner'!$N$19),'Resource Planner'!$C$19,"")</f>
        <v/>
      </c>
      <c r="C492" s="163" t="str">
        <f>IF(AND('Resource Planner'!$A$19="☑",38&lt;='Resource Planner'!$N$19),'Resource Planner'!$B$19,"")</f>
        <v/>
      </c>
      <c r="D492" s="163" t="str">
        <f>IF(AND('Resource Planner'!$A$19="☑",38&lt;='Resource Planner'!$N$19),'Resource Planner'!$D$19,"")</f>
        <v/>
      </c>
      <c r="E492" s="163" t="str">
        <f>IF(AND('Resource Planner'!$A$19="☑",38&lt;='Resource Planner'!$N$19),'Resource Planner'!$E$19,"")</f>
        <v/>
      </c>
      <c r="F492" s="163" t="str">
        <f>IF(AND('Resource Planner'!$A$19="☑",38&lt;='Resource Planner'!$N$19),'Resource Planner'!$F$19&amp;" "&amp;('Resource Planner'!$G$19+(38-1)*'Resource Planner'!$I$19)&amp;IF(('Resource Planner'!$G$19+(38-1)*'Resource Planner'!$I$19)=MIN('Resource Planner'!$G$19+38*'Resource Planner'!$I$19-1,'Resource Planner'!$H$19),"","–"&amp;MIN('Resource Planner'!$G$19+38*'Resource Planner'!$I$19-1,'Resource Planner'!$H$19)),"")</f>
        <v/>
      </c>
      <c r="G492" s="163" t="s">
        <v>109</v>
      </c>
      <c r="H492" s="163" t="str">
        <f>IF(AND('Resource Planner'!$A$19="☑",38&lt;='Resource Planner'!$N$19),'Resource Planner'!$M$19,"")</f>
        <v/>
      </c>
    </row>
    <row r="493" ht="15.75" customHeight="1">
      <c r="A4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3" s="163" t="str">
        <f>IF(AND('Resource Planner'!$A$19="☑",39&lt;='Resource Planner'!$N$19),'Resource Planner'!$C$19,"")</f>
        <v/>
      </c>
      <c r="C493" s="163" t="str">
        <f>IF(AND('Resource Planner'!$A$19="☑",39&lt;='Resource Planner'!$N$19),'Resource Planner'!$B$19,"")</f>
        <v/>
      </c>
      <c r="D493" s="163" t="str">
        <f>IF(AND('Resource Planner'!$A$19="☑",39&lt;='Resource Planner'!$N$19),'Resource Planner'!$D$19,"")</f>
        <v/>
      </c>
      <c r="E493" s="163" t="str">
        <f>IF(AND('Resource Planner'!$A$19="☑",39&lt;='Resource Planner'!$N$19),'Resource Planner'!$E$19,"")</f>
        <v/>
      </c>
      <c r="F493" s="163" t="str">
        <f>IF(AND('Resource Planner'!$A$19="☑",39&lt;='Resource Planner'!$N$19),'Resource Planner'!$F$19&amp;" "&amp;('Resource Planner'!$G$19+(39-1)*'Resource Planner'!$I$19)&amp;IF(('Resource Planner'!$G$19+(39-1)*'Resource Planner'!$I$19)=MIN('Resource Planner'!$G$19+39*'Resource Planner'!$I$19-1,'Resource Planner'!$H$19),"","–"&amp;MIN('Resource Planner'!$G$19+39*'Resource Planner'!$I$19-1,'Resource Planner'!$H$19)),"")</f>
        <v/>
      </c>
      <c r="G493" s="163" t="s">
        <v>109</v>
      </c>
      <c r="H493" s="163" t="str">
        <f>IF(AND('Resource Planner'!$A$19="☑",39&lt;='Resource Planner'!$N$19),'Resource Planner'!$M$19,"")</f>
        <v/>
      </c>
    </row>
    <row r="494" ht="15.75" customHeight="1">
      <c r="A4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4" s="163" t="str">
        <f>IF(AND('Resource Planner'!$A$19="☑",40&lt;='Resource Planner'!$N$19),'Resource Planner'!$C$19,"")</f>
        <v/>
      </c>
      <c r="C494" s="163" t="str">
        <f>IF(AND('Resource Planner'!$A$19="☑",40&lt;='Resource Planner'!$N$19),'Resource Planner'!$B$19,"")</f>
        <v/>
      </c>
      <c r="D494" s="163" t="str">
        <f>IF(AND('Resource Planner'!$A$19="☑",40&lt;='Resource Planner'!$N$19),'Resource Planner'!$D$19,"")</f>
        <v/>
      </c>
      <c r="E494" s="163" t="str">
        <f>IF(AND('Resource Planner'!$A$19="☑",40&lt;='Resource Planner'!$N$19),'Resource Planner'!$E$19,"")</f>
        <v/>
      </c>
      <c r="F494" s="163" t="str">
        <f>IF(AND('Resource Planner'!$A$19="☑",40&lt;='Resource Planner'!$N$19),'Resource Planner'!$F$19&amp;" "&amp;('Resource Planner'!$G$19+(40-1)*'Resource Planner'!$I$19)&amp;IF(('Resource Planner'!$G$19+(40-1)*'Resource Planner'!$I$19)=MIN('Resource Planner'!$G$19+40*'Resource Planner'!$I$19-1,'Resource Planner'!$H$19),"","–"&amp;MIN('Resource Planner'!$G$19+40*'Resource Planner'!$I$19-1,'Resource Planner'!$H$19)),"")</f>
        <v/>
      </c>
      <c r="G494" s="163" t="s">
        <v>109</v>
      </c>
      <c r="H494" s="163" t="str">
        <f>IF(AND('Resource Planner'!$A$19="☑",40&lt;='Resource Planner'!$N$19),'Resource Planner'!$M$19,"")</f>
        <v/>
      </c>
    </row>
    <row r="495" ht="15.75" customHeight="1">
      <c r="A4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5" s="163" t="str">
        <f>IF(AND('Resource Planner'!$A$19="☑",41&lt;='Resource Planner'!$N$19),'Resource Planner'!$C$19,"")</f>
        <v/>
      </c>
      <c r="C495" s="163" t="str">
        <f>IF(AND('Resource Planner'!$A$19="☑",41&lt;='Resource Planner'!$N$19),'Resource Planner'!$B$19,"")</f>
        <v/>
      </c>
      <c r="D495" s="163" t="str">
        <f>IF(AND('Resource Planner'!$A$19="☑",41&lt;='Resource Planner'!$N$19),'Resource Planner'!$D$19,"")</f>
        <v/>
      </c>
      <c r="E495" s="163" t="str">
        <f>IF(AND('Resource Planner'!$A$19="☑",41&lt;='Resource Planner'!$N$19),'Resource Planner'!$E$19,"")</f>
        <v/>
      </c>
      <c r="F495" s="163" t="str">
        <f>IF(AND('Resource Planner'!$A$19="☑",41&lt;='Resource Planner'!$N$19),'Resource Planner'!$F$19&amp;" "&amp;('Resource Planner'!$G$19+(41-1)*'Resource Planner'!$I$19)&amp;IF(('Resource Planner'!$G$19+(41-1)*'Resource Planner'!$I$19)=MIN('Resource Planner'!$G$19+41*'Resource Planner'!$I$19-1,'Resource Planner'!$H$19),"","–"&amp;MIN('Resource Planner'!$G$19+41*'Resource Planner'!$I$19-1,'Resource Planner'!$H$19)),"")</f>
        <v/>
      </c>
      <c r="G495" s="163" t="s">
        <v>109</v>
      </c>
      <c r="H495" s="163" t="str">
        <f>IF(AND('Resource Planner'!$A$19="☑",41&lt;='Resource Planner'!$N$19),'Resource Planner'!$M$19,"")</f>
        <v/>
      </c>
    </row>
    <row r="496" ht="15.75" customHeight="1">
      <c r="A4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6" s="163" t="str">
        <f>IF(AND('Resource Planner'!$A$19="☑",42&lt;='Resource Planner'!$N$19),'Resource Planner'!$C$19,"")</f>
        <v/>
      </c>
      <c r="C496" s="163" t="str">
        <f>IF(AND('Resource Planner'!$A$19="☑",42&lt;='Resource Planner'!$N$19),'Resource Planner'!$B$19,"")</f>
        <v/>
      </c>
      <c r="D496" s="163" t="str">
        <f>IF(AND('Resource Planner'!$A$19="☑",42&lt;='Resource Planner'!$N$19),'Resource Planner'!$D$19,"")</f>
        <v/>
      </c>
      <c r="E496" s="163" t="str">
        <f>IF(AND('Resource Planner'!$A$19="☑",42&lt;='Resource Planner'!$N$19),'Resource Planner'!$E$19,"")</f>
        <v/>
      </c>
      <c r="F496" s="163" t="str">
        <f>IF(AND('Resource Planner'!$A$19="☑",42&lt;='Resource Planner'!$N$19),'Resource Planner'!$F$19&amp;" "&amp;('Resource Planner'!$G$19+(42-1)*'Resource Planner'!$I$19)&amp;IF(('Resource Planner'!$G$19+(42-1)*'Resource Planner'!$I$19)=MIN('Resource Planner'!$G$19+42*'Resource Planner'!$I$19-1,'Resource Planner'!$H$19),"","–"&amp;MIN('Resource Planner'!$G$19+42*'Resource Planner'!$I$19-1,'Resource Planner'!$H$19)),"")</f>
        <v/>
      </c>
      <c r="G496" s="163" t="s">
        <v>109</v>
      </c>
      <c r="H496" s="163" t="str">
        <f>IF(AND('Resource Planner'!$A$19="☑",42&lt;='Resource Planner'!$N$19),'Resource Planner'!$M$19,"")</f>
        <v/>
      </c>
    </row>
    <row r="497" ht="15.75" customHeight="1">
      <c r="A4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7" s="163" t="str">
        <f>IF(AND('Resource Planner'!$A$19="☑",43&lt;='Resource Planner'!$N$19),'Resource Planner'!$C$19,"")</f>
        <v/>
      </c>
      <c r="C497" s="163" t="str">
        <f>IF(AND('Resource Planner'!$A$19="☑",43&lt;='Resource Planner'!$N$19),'Resource Planner'!$B$19,"")</f>
        <v/>
      </c>
      <c r="D497" s="163" t="str">
        <f>IF(AND('Resource Planner'!$A$19="☑",43&lt;='Resource Planner'!$N$19),'Resource Planner'!$D$19,"")</f>
        <v/>
      </c>
      <c r="E497" s="163" t="str">
        <f>IF(AND('Resource Planner'!$A$19="☑",43&lt;='Resource Planner'!$N$19),'Resource Planner'!$E$19,"")</f>
        <v/>
      </c>
      <c r="F497" s="163" t="str">
        <f>IF(AND('Resource Planner'!$A$19="☑",43&lt;='Resource Planner'!$N$19),'Resource Planner'!$F$19&amp;" "&amp;('Resource Planner'!$G$19+(43-1)*'Resource Planner'!$I$19)&amp;IF(('Resource Planner'!$G$19+(43-1)*'Resource Planner'!$I$19)=MIN('Resource Planner'!$G$19+43*'Resource Planner'!$I$19-1,'Resource Planner'!$H$19),"","–"&amp;MIN('Resource Planner'!$G$19+43*'Resource Planner'!$I$19-1,'Resource Planner'!$H$19)),"")</f>
        <v/>
      </c>
      <c r="G497" s="163" t="s">
        <v>109</v>
      </c>
      <c r="H497" s="163" t="str">
        <f>IF(AND('Resource Planner'!$A$19="☑",43&lt;='Resource Planner'!$N$19),'Resource Planner'!$M$19,"")</f>
        <v/>
      </c>
    </row>
    <row r="498" ht="15.75" customHeight="1">
      <c r="A4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8" s="163" t="str">
        <f>IF(AND('Resource Planner'!$A$19="☑",44&lt;='Resource Planner'!$N$19),'Resource Planner'!$C$19,"")</f>
        <v/>
      </c>
      <c r="C498" s="163" t="str">
        <f>IF(AND('Resource Planner'!$A$19="☑",44&lt;='Resource Planner'!$N$19),'Resource Planner'!$B$19,"")</f>
        <v/>
      </c>
      <c r="D498" s="163" t="str">
        <f>IF(AND('Resource Planner'!$A$19="☑",44&lt;='Resource Planner'!$N$19),'Resource Planner'!$D$19,"")</f>
        <v/>
      </c>
      <c r="E498" s="163" t="str">
        <f>IF(AND('Resource Planner'!$A$19="☑",44&lt;='Resource Planner'!$N$19),'Resource Planner'!$E$19,"")</f>
        <v/>
      </c>
      <c r="F498" s="163" t="str">
        <f>IF(AND('Resource Planner'!$A$19="☑",44&lt;='Resource Planner'!$N$19),'Resource Planner'!$F$19&amp;" "&amp;('Resource Planner'!$G$19+(44-1)*'Resource Planner'!$I$19)&amp;IF(('Resource Planner'!$G$19+(44-1)*'Resource Planner'!$I$19)=MIN('Resource Planner'!$G$19+44*'Resource Planner'!$I$19-1,'Resource Planner'!$H$19),"","–"&amp;MIN('Resource Planner'!$G$19+44*'Resource Planner'!$I$19-1,'Resource Planner'!$H$19)),"")</f>
        <v/>
      </c>
      <c r="G498" s="163" t="s">
        <v>109</v>
      </c>
      <c r="H498" s="163" t="str">
        <f>IF(AND('Resource Planner'!$A$19="☑",44&lt;='Resource Planner'!$N$19),'Resource Planner'!$M$19,"")</f>
        <v/>
      </c>
    </row>
    <row r="499" ht="15.75" customHeight="1">
      <c r="A4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499" s="163" t="str">
        <f>IF(AND('Resource Planner'!$A$19="☑",45&lt;='Resource Planner'!$N$19),'Resource Planner'!$C$19,"")</f>
        <v/>
      </c>
      <c r="C499" s="163" t="str">
        <f>IF(AND('Resource Planner'!$A$19="☑",45&lt;='Resource Planner'!$N$19),'Resource Planner'!$B$19,"")</f>
        <v/>
      </c>
      <c r="D499" s="163" t="str">
        <f>IF(AND('Resource Planner'!$A$19="☑",45&lt;='Resource Planner'!$N$19),'Resource Planner'!$D$19,"")</f>
        <v/>
      </c>
      <c r="E499" s="163" t="str">
        <f>IF(AND('Resource Planner'!$A$19="☑",45&lt;='Resource Planner'!$N$19),'Resource Planner'!$E$19,"")</f>
        <v/>
      </c>
      <c r="F499" s="163" t="str">
        <f>IF(AND('Resource Planner'!$A$19="☑",45&lt;='Resource Planner'!$N$19),'Resource Planner'!$F$19&amp;" "&amp;('Resource Planner'!$G$19+(45-1)*'Resource Planner'!$I$19)&amp;IF(('Resource Planner'!$G$19+(45-1)*'Resource Planner'!$I$19)=MIN('Resource Planner'!$G$19+45*'Resource Planner'!$I$19-1,'Resource Planner'!$H$19),"","–"&amp;MIN('Resource Planner'!$G$19+45*'Resource Planner'!$I$19-1,'Resource Planner'!$H$19)),"")</f>
        <v/>
      </c>
      <c r="G499" s="163" t="s">
        <v>109</v>
      </c>
      <c r="H499" s="163" t="str">
        <f>IF(AND('Resource Planner'!$A$19="☑",45&lt;='Resource Planner'!$N$19),'Resource Planner'!$M$19,"")</f>
        <v/>
      </c>
    </row>
    <row r="500" ht="15.75" customHeight="1">
      <c r="A5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00" s="163" t="str">
        <f>IF(AND('Resource Planner'!$A$19="☑",46&lt;='Resource Planner'!$N$19),'Resource Planner'!$C$19,"")</f>
        <v/>
      </c>
      <c r="C500" s="163" t="str">
        <f>IF(AND('Resource Planner'!$A$19="☑",46&lt;='Resource Planner'!$N$19),'Resource Planner'!$B$19,"")</f>
        <v/>
      </c>
      <c r="D500" s="163" t="str">
        <f>IF(AND('Resource Planner'!$A$19="☑",46&lt;='Resource Planner'!$N$19),'Resource Planner'!$D$19,"")</f>
        <v/>
      </c>
      <c r="E500" s="163" t="str">
        <f>IF(AND('Resource Planner'!$A$19="☑",46&lt;='Resource Planner'!$N$19),'Resource Planner'!$E$19,"")</f>
        <v/>
      </c>
      <c r="F500" s="163" t="str">
        <f>IF(AND('Resource Planner'!$A$19="☑",46&lt;='Resource Planner'!$N$19),'Resource Planner'!$F$19&amp;" "&amp;('Resource Planner'!$G$19+(46-1)*'Resource Planner'!$I$19)&amp;IF(('Resource Planner'!$G$19+(46-1)*'Resource Planner'!$I$19)=MIN('Resource Planner'!$G$19+46*'Resource Planner'!$I$19-1,'Resource Planner'!$H$19),"","–"&amp;MIN('Resource Planner'!$G$19+46*'Resource Planner'!$I$19-1,'Resource Planner'!$H$19)),"")</f>
        <v/>
      </c>
      <c r="G500" s="163" t="s">
        <v>109</v>
      </c>
      <c r="H500" s="163" t="str">
        <f>IF(AND('Resource Planner'!$A$19="☑",46&lt;='Resource Planner'!$N$19),'Resource Planner'!$M$19,"")</f>
        <v/>
      </c>
    </row>
    <row r="501" ht="15.75" customHeight="1">
      <c r="A5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01" s="163" t="str">
        <f>IF(AND('Resource Planner'!$A$19="☑",47&lt;='Resource Planner'!$N$19),'Resource Planner'!$C$19,"")</f>
        <v/>
      </c>
      <c r="C501" s="163" t="str">
        <f>IF(AND('Resource Planner'!$A$19="☑",47&lt;='Resource Planner'!$N$19),'Resource Planner'!$B$19,"")</f>
        <v/>
      </c>
      <c r="D501" s="163" t="str">
        <f>IF(AND('Resource Planner'!$A$19="☑",47&lt;='Resource Planner'!$N$19),'Resource Planner'!$D$19,"")</f>
        <v/>
      </c>
      <c r="E501" s="163" t="str">
        <f>IF(AND('Resource Planner'!$A$19="☑",47&lt;='Resource Planner'!$N$19),'Resource Planner'!$E$19,"")</f>
        <v/>
      </c>
      <c r="F501" s="163" t="str">
        <f>IF(AND('Resource Planner'!$A$19="☑",47&lt;='Resource Planner'!$N$19),'Resource Planner'!$F$19&amp;" "&amp;('Resource Planner'!$G$19+(47-1)*'Resource Planner'!$I$19)&amp;IF(('Resource Planner'!$G$19+(47-1)*'Resource Planner'!$I$19)=MIN('Resource Planner'!$G$19+47*'Resource Planner'!$I$19-1,'Resource Planner'!$H$19),"","–"&amp;MIN('Resource Planner'!$G$19+47*'Resource Planner'!$I$19-1,'Resource Planner'!$H$19)),"")</f>
        <v/>
      </c>
      <c r="G501" s="163" t="s">
        <v>109</v>
      </c>
      <c r="H501" s="163" t="str">
        <f>IF(AND('Resource Planner'!$A$19="☑",47&lt;='Resource Planner'!$N$19),'Resource Planner'!$M$19,"")</f>
        <v/>
      </c>
    </row>
    <row r="502" ht="15.75" customHeight="1">
      <c r="A5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02" s="163" t="str">
        <f>IF(AND('Resource Planner'!$A$19="☑",48&lt;='Resource Planner'!$N$19),'Resource Planner'!$C$19,"")</f>
        <v/>
      </c>
      <c r="C502" s="163" t="str">
        <f>IF(AND('Resource Planner'!$A$19="☑",48&lt;='Resource Planner'!$N$19),'Resource Planner'!$B$19,"")</f>
        <v/>
      </c>
      <c r="D502" s="163" t="str">
        <f>IF(AND('Resource Planner'!$A$19="☑",48&lt;='Resource Planner'!$N$19),'Resource Planner'!$D$19,"")</f>
        <v/>
      </c>
      <c r="E502" s="163" t="str">
        <f>IF(AND('Resource Planner'!$A$19="☑",48&lt;='Resource Planner'!$N$19),'Resource Planner'!$E$19,"")</f>
        <v/>
      </c>
      <c r="F502" s="163" t="str">
        <f>IF(AND('Resource Planner'!$A$19="☑",48&lt;='Resource Planner'!$N$19),'Resource Planner'!$F$19&amp;" "&amp;('Resource Planner'!$G$19+(48-1)*'Resource Planner'!$I$19)&amp;IF(('Resource Planner'!$G$19+(48-1)*'Resource Planner'!$I$19)=MIN('Resource Planner'!$G$19+48*'Resource Planner'!$I$19-1,'Resource Planner'!$H$19),"","–"&amp;MIN('Resource Planner'!$G$19+48*'Resource Planner'!$I$19-1,'Resource Planner'!$H$19)),"")</f>
        <v/>
      </c>
      <c r="G502" s="163" t="s">
        <v>109</v>
      </c>
      <c r="H502" s="163" t="str">
        <f>IF(AND('Resource Planner'!$A$19="☑",48&lt;='Resource Planner'!$N$19),'Resource Planner'!$M$19,"")</f>
        <v/>
      </c>
    </row>
    <row r="503" ht="15.75" customHeight="1">
      <c r="A5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03" s="163" t="str">
        <f>IF(AND('Resource Planner'!$A$19="☑",49&lt;='Resource Planner'!$N$19),'Resource Planner'!$C$19,"")</f>
        <v/>
      </c>
      <c r="C503" s="163" t="str">
        <f>IF(AND('Resource Planner'!$A$19="☑",49&lt;='Resource Planner'!$N$19),'Resource Planner'!$B$19,"")</f>
        <v/>
      </c>
      <c r="D503" s="163" t="str">
        <f>IF(AND('Resource Planner'!$A$19="☑",49&lt;='Resource Planner'!$N$19),'Resource Planner'!$D$19,"")</f>
        <v/>
      </c>
      <c r="E503" s="163" t="str">
        <f>IF(AND('Resource Planner'!$A$19="☑",49&lt;='Resource Planner'!$N$19),'Resource Planner'!$E$19,"")</f>
        <v/>
      </c>
      <c r="F503" s="163" t="str">
        <f>IF(AND('Resource Planner'!$A$19="☑",49&lt;='Resource Planner'!$N$19),'Resource Planner'!$F$19&amp;" "&amp;('Resource Planner'!$G$19+(49-1)*'Resource Planner'!$I$19)&amp;IF(('Resource Planner'!$G$19+(49-1)*'Resource Planner'!$I$19)=MIN('Resource Planner'!$G$19+49*'Resource Planner'!$I$19-1,'Resource Planner'!$H$19),"","–"&amp;MIN('Resource Planner'!$G$19+49*'Resource Planner'!$I$19-1,'Resource Planner'!$H$19)),"")</f>
        <v/>
      </c>
      <c r="G503" s="163" t="s">
        <v>109</v>
      </c>
      <c r="H503" s="163" t="str">
        <f>IF(AND('Resource Planner'!$A$19="☑",49&lt;='Resource Planner'!$N$19),'Resource Planner'!$M$19,"")</f>
        <v/>
      </c>
    </row>
    <row r="504" ht="15.75" customHeight="1">
      <c r="A5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04" s="163" t="str">
        <f>IF(AND('Resource Planner'!$A$19="☑",50&lt;='Resource Planner'!$N$19),'Resource Planner'!$C$19,"")</f>
        <v/>
      </c>
      <c r="C504" s="163" t="str">
        <f>IF(AND('Resource Planner'!$A$19="☑",50&lt;='Resource Planner'!$N$19),'Resource Planner'!$B$19,"")</f>
        <v/>
      </c>
      <c r="D504" s="163" t="str">
        <f>IF(AND('Resource Planner'!$A$19="☑",50&lt;='Resource Planner'!$N$19),'Resource Planner'!$D$19,"")</f>
        <v/>
      </c>
      <c r="E504" s="163" t="str">
        <f>IF(AND('Resource Planner'!$A$19="☑",50&lt;='Resource Planner'!$N$19),'Resource Planner'!$E$19,"")</f>
        <v/>
      </c>
      <c r="F504" s="163" t="str">
        <f>IF(AND('Resource Planner'!$A$19="☑",50&lt;='Resource Planner'!$N$19),'Resource Planner'!$F$19&amp;" "&amp;('Resource Planner'!$G$19+(50-1)*'Resource Planner'!$I$19)&amp;IF(('Resource Planner'!$G$19+(50-1)*'Resource Planner'!$I$19)=MIN('Resource Planner'!$G$19+50*'Resource Planner'!$I$19-1,'Resource Planner'!$H$19),"","–"&amp;MIN('Resource Planner'!$G$19+50*'Resource Planner'!$I$19-1,'Resource Planner'!$H$19)),"")</f>
        <v/>
      </c>
      <c r="G504" s="163" t="s">
        <v>109</v>
      </c>
      <c r="H504" s="163" t="str">
        <f>IF(AND('Resource Planner'!$A$19="☑",50&lt;='Resource Planner'!$N$19),'Resource Planner'!$M$19,"")</f>
        <v/>
      </c>
    </row>
    <row r="505" ht="15.75" customHeight="1">
      <c r="A50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week"",10*(n-1),""Custom"",gap*(n-1),n-1),IF(AND(active=""☑"",n&lt;=lessons,st&lt;&gt;""""),INDEX(eligibleDates,startPos+offset),"""")),"""")"),46251.0)</f>
        <v>46251</v>
      </c>
      <c r="B505" s="33" t="str">
        <f>IF(AND('Resource Planner'!$A$20="☑",1&lt;='Resource Planner'!$N$20),'Resource Planner'!$C$20,"")</f>
        <v>Everyone</v>
      </c>
      <c r="C505" s="33" t="str">
        <f>IF(AND('Resource Planner'!$A$20="☑",1&lt;='Resource Planner'!$N$20),'Resource Planner'!$B$20,"")</f>
        <v>Faith</v>
      </c>
      <c r="D505" s="33" t="str">
        <f>IF(AND('Resource Planner'!$A$20="☑",1&lt;='Resource Planner'!$N$20),'Resource Planner'!$D$20,"")</f>
        <v>All Together / Bible — Old Testament</v>
      </c>
      <c r="E505" s="33" t="str">
        <f>IF(AND('Resource Planner'!$A$20="☑",1&lt;='Resource Planner'!$N$20),'Resource Planner'!$E$20,"")</f>
        <v>Genesis</v>
      </c>
      <c r="F505" s="163" t="str">
        <f>IF(AND('Resource Planner'!$A$20="☑",1&lt;='Resource Planner'!$N$20),'Resource Planner'!$F$20&amp;" "&amp;('Resource Planner'!$G$20+(1-1)*'Resource Planner'!$I$20)&amp;IF(('Resource Planner'!$G$20+(1-1)*'Resource Planner'!$I$20)=MIN('Resource Planner'!$G$20+1*'Resource Planner'!$I$20-1,'Resource Planner'!$H$20),"","–"&amp;MIN('Resource Planner'!$G$20+1*'Resource Planner'!$I$20-1,'Resource Planner'!$H$20)),"")</f>
        <v>Chapter 1–3</v>
      </c>
      <c r="G505" s="163" t="s">
        <v>109</v>
      </c>
      <c r="H505" s="33" t="str">
        <f>IF(AND('Resource Planner'!$A$20="☑",1&lt;='Resource Planner'!$N$20),'Resource Planner'!$M$20,"")</f>
        <v/>
      </c>
    </row>
    <row r="506" ht="15.75" customHeight="1">
      <c r="A50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week"",10*(n-1),""Custom"",gap*(n-1),n-1),IF(AND(active=""☑"",n&lt;=lessons,st&lt;&gt;""""),INDEX(eligibleDates,startPos+offset),"""")),"""")"),46258.0)</f>
        <v>46258</v>
      </c>
      <c r="B506" s="33" t="str">
        <f>IF(AND('Resource Planner'!$A$20="☑",2&lt;='Resource Planner'!$N$20),'Resource Planner'!$C$20,"")</f>
        <v>Everyone</v>
      </c>
      <c r="C506" s="33" t="str">
        <f>IF(AND('Resource Planner'!$A$20="☑",2&lt;='Resource Planner'!$N$20),'Resource Planner'!$B$20,"")</f>
        <v>Faith</v>
      </c>
      <c r="D506" s="33" t="str">
        <f>IF(AND('Resource Planner'!$A$20="☑",2&lt;='Resource Planner'!$N$20),'Resource Planner'!$D$20,"")</f>
        <v>All Together / Bible — Old Testament</v>
      </c>
      <c r="E506" s="33" t="str">
        <f>IF(AND('Resource Planner'!$A$20="☑",2&lt;='Resource Planner'!$N$20),'Resource Planner'!$E$20,"")</f>
        <v>Genesis</v>
      </c>
      <c r="F506" s="163" t="str">
        <f>IF(AND('Resource Planner'!$A$20="☑",2&lt;='Resource Planner'!$N$20),'Resource Planner'!$F$20&amp;" "&amp;('Resource Planner'!$G$20+(2-1)*'Resource Planner'!$I$20)&amp;IF(('Resource Planner'!$G$20+(2-1)*'Resource Planner'!$I$20)=MIN('Resource Planner'!$G$20+2*'Resource Planner'!$I$20-1,'Resource Planner'!$H$20),"","–"&amp;MIN('Resource Planner'!$G$20+2*'Resource Planner'!$I$20-1,'Resource Planner'!$H$20)),"")</f>
        <v>Chapter 4–6</v>
      </c>
      <c r="G506" s="163" t="s">
        <v>109</v>
      </c>
      <c r="H506" s="33" t="str">
        <f>IF(AND('Resource Planner'!$A$20="☑",2&lt;='Resource Planner'!$N$20),'Resource Planner'!$M$20,"")</f>
        <v/>
      </c>
    </row>
    <row r="507" ht="15.75" customHeight="1">
      <c r="A50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week"",10*(n-1),""Custom"",gap*(n-1),n-1),IF(AND(active=""☑"",n&lt;=lessons,st&lt;&gt;""""),INDEX(eligibleDates,startPos+offset),"""")),"""")"),46265.0)</f>
        <v>46265</v>
      </c>
      <c r="B507" s="33" t="str">
        <f>IF(AND('Resource Planner'!$A$20="☑",3&lt;='Resource Planner'!$N$20),'Resource Planner'!$C$20,"")</f>
        <v>Everyone</v>
      </c>
      <c r="C507" s="33" t="str">
        <f>IF(AND('Resource Planner'!$A$20="☑",3&lt;='Resource Planner'!$N$20),'Resource Planner'!$B$20,"")</f>
        <v>Faith</v>
      </c>
      <c r="D507" s="33" t="str">
        <f>IF(AND('Resource Planner'!$A$20="☑",3&lt;='Resource Planner'!$N$20),'Resource Planner'!$D$20,"")</f>
        <v>All Together / Bible — Old Testament</v>
      </c>
      <c r="E507" s="33" t="str">
        <f>IF(AND('Resource Planner'!$A$20="☑",3&lt;='Resource Planner'!$N$20),'Resource Planner'!$E$20,"")</f>
        <v>Genesis</v>
      </c>
      <c r="F507" s="163" t="str">
        <f>IF(AND('Resource Planner'!$A$20="☑",3&lt;='Resource Planner'!$N$20),'Resource Planner'!$F$20&amp;" "&amp;('Resource Planner'!$G$20+(3-1)*'Resource Planner'!$I$20)&amp;IF(('Resource Planner'!$G$20+(3-1)*'Resource Planner'!$I$20)=MIN('Resource Planner'!$G$20+3*'Resource Planner'!$I$20-1,'Resource Planner'!$H$20),"","–"&amp;MIN('Resource Planner'!$G$20+3*'Resource Planner'!$I$20-1,'Resource Planner'!$H$20)),"")</f>
        <v>Chapter 7–9</v>
      </c>
      <c r="G507" s="163" t="s">
        <v>109</v>
      </c>
      <c r="H507" s="33" t="str">
        <f>IF(AND('Resource Planner'!$A$20="☑",3&lt;='Resource Planner'!$N$20),'Resource Planner'!$M$20,"")</f>
        <v/>
      </c>
    </row>
    <row r="508" ht="15.75" customHeight="1">
      <c r="A50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week"",10*(n-1),""Custom"",gap*(n-1),n-1),IF(AND(active=""☑"",n&lt;=lessons,st&lt;&gt;""""),INDEX(eligibleDates,startPos+offset),"""")),"""")"),46272.0)</f>
        <v>46272</v>
      </c>
      <c r="B508" s="33" t="str">
        <f>IF(AND('Resource Planner'!$A$20="☑",4&lt;='Resource Planner'!$N$20),'Resource Planner'!$C$20,"")</f>
        <v>Everyone</v>
      </c>
      <c r="C508" s="33" t="str">
        <f>IF(AND('Resource Planner'!$A$20="☑",4&lt;='Resource Planner'!$N$20),'Resource Planner'!$B$20,"")</f>
        <v>Faith</v>
      </c>
      <c r="D508" s="33" t="str">
        <f>IF(AND('Resource Planner'!$A$20="☑",4&lt;='Resource Planner'!$N$20),'Resource Planner'!$D$20,"")</f>
        <v>All Together / Bible — Old Testament</v>
      </c>
      <c r="E508" s="33" t="str">
        <f>IF(AND('Resource Planner'!$A$20="☑",4&lt;='Resource Planner'!$N$20),'Resource Planner'!$E$20,"")</f>
        <v>Genesis</v>
      </c>
      <c r="F508" s="163" t="str">
        <f>IF(AND('Resource Planner'!$A$20="☑",4&lt;='Resource Planner'!$N$20),'Resource Planner'!$F$20&amp;" "&amp;('Resource Planner'!$G$20+(4-1)*'Resource Planner'!$I$20)&amp;IF(('Resource Planner'!$G$20+(4-1)*'Resource Planner'!$I$20)=MIN('Resource Planner'!$G$20+4*'Resource Planner'!$I$20-1,'Resource Planner'!$H$20),"","–"&amp;MIN('Resource Planner'!$G$20+4*'Resource Planner'!$I$20-1,'Resource Planner'!$H$20)),"")</f>
        <v>Chapter 10–12</v>
      </c>
      <c r="G508" s="163" t="s">
        <v>109</v>
      </c>
      <c r="H508" s="33" t="str">
        <f>IF(AND('Resource Planner'!$A$20="☑",4&lt;='Resource Planner'!$N$20),'Resource Planner'!$M$20,"")</f>
        <v/>
      </c>
    </row>
    <row r="509" ht="15.75" customHeight="1">
      <c r="A50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week"",10*(n-1),""Custom"",gap*(n-1),n-1),IF(AND(active=""☑"",n&lt;=lessons,st&lt;&gt;""""),INDEX(eligibleDates,startPos+offset),"""")),"""")"),46279.0)</f>
        <v>46279</v>
      </c>
      <c r="B509" s="33" t="str">
        <f>IF(AND('Resource Planner'!$A$20="☑",5&lt;='Resource Planner'!$N$20),'Resource Planner'!$C$20,"")</f>
        <v>Everyone</v>
      </c>
      <c r="C509" s="33" t="str">
        <f>IF(AND('Resource Planner'!$A$20="☑",5&lt;='Resource Planner'!$N$20),'Resource Planner'!$B$20,"")</f>
        <v>Faith</v>
      </c>
      <c r="D509" s="33" t="str">
        <f>IF(AND('Resource Planner'!$A$20="☑",5&lt;='Resource Planner'!$N$20),'Resource Planner'!$D$20,"")</f>
        <v>All Together / Bible — Old Testament</v>
      </c>
      <c r="E509" s="33" t="str">
        <f>IF(AND('Resource Planner'!$A$20="☑",5&lt;='Resource Planner'!$N$20),'Resource Planner'!$E$20,"")</f>
        <v>Genesis</v>
      </c>
      <c r="F509" s="163" t="str">
        <f>IF(AND('Resource Planner'!$A$20="☑",5&lt;='Resource Planner'!$N$20),'Resource Planner'!$F$20&amp;" "&amp;('Resource Planner'!$G$20+(5-1)*'Resource Planner'!$I$20)&amp;IF(('Resource Planner'!$G$20+(5-1)*'Resource Planner'!$I$20)=MIN('Resource Planner'!$G$20+5*'Resource Planner'!$I$20-1,'Resource Planner'!$H$20),"","–"&amp;MIN('Resource Planner'!$G$20+5*'Resource Planner'!$I$20-1,'Resource Planner'!$H$20)),"")</f>
        <v>Chapter 13–15</v>
      </c>
      <c r="G509" s="163" t="s">
        <v>109</v>
      </c>
      <c r="H509" s="33" t="str">
        <f>IF(AND('Resource Planner'!$A$20="☑",5&lt;='Resource Planner'!$N$20),'Resource Planner'!$M$20,"")</f>
        <v/>
      </c>
    </row>
    <row r="510" ht="15.75" customHeight="1">
      <c r="A51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week"",10*(n-1),""Custom"",gap*(n-1),n-1),IF(AND(active=""☑"",n&lt;=lessons,st&lt;&gt;""""),INDEX(eligibleDates,startPos+offset),"""")),"""")"),46286.0)</f>
        <v>46286</v>
      </c>
      <c r="B510" s="33" t="str">
        <f>IF(AND('Resource Planner'!$A$20="☑",6&lt;='Resource Planner'!$N$20),'Resource Planner'!$C$20,"")</f>
        <v>Everyone</v>
      </c>
      <c r="C510" s="33" t="str">
        <f>IF(AND('Resource Planner'!$A$20="☑",6&lt;='Resource Planner'!$N$20),'Resource Planner'!$B$20,"")</f>
        <v>Faith</v>
      </c>
      <c r="D510" s="33" t="str">
        <f>IF(AND('Resource Planner'!$A$20="☑",6&lt;='Resource Planner'!$N$20),'Resource Planner'!$D$20,"")</f>
        <v>All Together / Bible — Old Testament</v>
      </c>
      <c r="E510" s="33" t="str">
        <f>IF(AND('Resource Planner'!$A$20="☑",6&lt;='Resource Planner'!$N$20),'Resource Planner'!$E$20,"")</f>
        <v>Genesis</v>
      </c>
      <c r="F510" s="163" t="str">
        <f>IF(AND('Resource Planner'!$A$20="☑",6&lt;='Resource Planner'!$N$20),'Resource Planner'!$F$20&amp;" "&amp;('Resource Planner'!$G$20+(6-1)*'Resource Planner'!$I$20)&amp;IF(('Resource Planner'!$G$20+(6-1)*'Resource Planner'!$I$20)=MIN('Resource Planner'!$G$20+6*'Resource Planner'!$I$20-1,'Resource Planner'!$H$20),"","–"&amp;MIN('Resource Planner'!$G$20+6*'Resource Planner'!$I$20-1,'Resource Planner'!$H$20)),"")</f>
        <v>Chapter 16–18</v>
      </c>
      <c r="G510" s="163" t="s">
        <v>109</v>
      </c>
      <c r="H510" s="33" t="str">
        <f>IF(AND('Resource Planner'!$A$20="☑",6&lt;='Resource Planner'!$N$20),'Resource Planner'!$M$20,"")</f>
        <v/>
      </c>
    </row>
    <row r="511" ht="15.75" customHeight="1">
      <c r="A51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week"",10*(n-1),""Custom"",gap*(n-1),n-1),IF(AND(active=""☑"",n&lt;=lessons,st&lt;&gt;""""),INDEX(eligibleDates,startPos+offset),"""")),"""")"),46293.0)</f>
        <v>46293</v>
      </c>
      <c r="B511" s="33" t="str">
        <f>IF(AND('Resource Planner'!$A$20="☑",7&lt;='Resource Planner'!$N$20),'Resource Planner'!$C$20,"")</f>
        <v>Everyone</v>
      </c>
      <c r="C511" s="33" t="str">
        <f>IF(AND('Resource Planner'!$A$20="☑",7&lt;='Resource Planner'!$N$20),'Resource Planner'!$B$20,"")</f>
        <v>Faith</v>
      </c>
      <c r="D511" s="33" t="str">
        <f>IF(AND('Resource Planner'!$A$20="☑",7&lt;='Resource Planner'!$N$20),'Resource Planner'!$D$20,"")</f>
        <v>All Together / Bible — Old Testament</v>
      </c>
      <c r="E511" s="33" t="str">
        <f>IF(AND('Resource Planner'!$A$20="☑",7&lt;='Resource Planner'!$N$20),'Resource Planner'!$E$20,"")</f>
        <v>Genesis</v>
      </c>
      <c r="F511" s="163" t="str">
        <f>IF(AND('Resource Planner'!$A$20="☑",7&lt;='Resource Planner'!$N$20),'Resource Planner'!$F$20&amp;" "&amp;('Resource Planner'!$G$20+(7-1)*'Resource Planner'!$I$20)&amp;IF(('Resource Planner'!$G$20+(7-1)*'Resource Planner'!$I$20)=MIN('Resource Planner'!$G$20+7*'Resource Planner'!$I$20-1,'Resource Planner'!$H$20),"","–"&amp;MIN('Resource Planner'!$G$20+7*'Resource Planner'!$I$20-1,'Resource Planner'!$H$20)),"")</f>
        <v>Chapter 19–21</v>
      </c>
      <c r="G511" s="163" t="s">
        <v>109</v>
      </c>
      <c r="H511" s="33" t="str">
        <f>IF(AND('Resource Planner'!$A$20="☑",7&lt;='Resource Planner'!$N$20),'Resource Planner'!$M$20,"")</f>
        <v/>
      </c>
    </row>
    <row r="512" ht="15.75" customHeight="1">
      <c r="A51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week"",10*(n-1),""Custom"",gap*(n-1),n-1),IF(AND(active=""☑"",n&lt;=lessons,st&lt;&gt;""""),INDEX(eligibleDates,startPos+offset),"""")),"""")"),46300.0)</f>
        <v>46300</v>
      </c>
      <c r="B512" s="33" t="str">
        <f>IF(AND('Resource Planner'!$A$20="☑",8&lt;='Resource Planner'!$N$20),'Resource Planner'!$C$20,"")</f>
        <v>Everyone</v>
      </c>
      <c r="C512" s="33" t="str">
        <f>IF(AND('Resource Planner'!$A$20="☑",8&lt;='Resource Planner'!$N$20),'Resource Planner'!$B$20,"")</f>
        <v>Faith</v>
      </c>
      <c r="D512" s="33" t="str">
        <f>IF(AND('Resource Planner'!$A$20="☑",8&lt;='Resource Planner'!$N$20),'Resource Planner'!$D$20,"")</f>
        <v>All Together / Bible — Old Testament</v>
      </c>
      <c r="E512" s="33" t="str">
        <f>IF(AND('Resource Planner'!$A$20="☑",8&lt;='Resource Planner'!$N$20),'Resource Planner'!$E$20,"")</f>
        <v>Genesis</v>
      </c>
      <c r="F512" s="163" t="str">
        <f>IF(AND('Resource Planner'!$A$20="☑",8&lt;='Resource Planner'!$N$20),'Resource Planner'!$F$20&amp;" "&amp;('Resource Planner'!$G$20+(8-1)*'Resource Planner'!$I$20)&amp;IF(('Resource Planner'!$G$20+(8-1)*'Resource Planner'!$I$20)=MIN('Resource Planner'!$G$20+8*'Resource Planner'!$I$20-1,'Resource Planner'!$H$20),"","–"&amp;MIN('Resource Planner'!$G$20+8*'Resource Planner'!$I$20-1,'Resource Planner'!$H$20)),"")</f>
        <v>Chapter 22–24</v>
      </c>
      <c r="G512" s="163" t="s">
        <v>109</v>
      </c>
      <c r="H512" s="33" t="str">
        <f>IF(AND('Resource Planner'!$A$20="☑",8&lt;='Resource Planner'!$N$20),'Resource Planner'!$M$20,"")</f>
        <v/>
      </c>
    </row>
    <row r="513" ht="15.75" customHeight="1">
      <c r="A51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week"",10*(n-1),""Custom"",gap*(n-1),n-1),IF(AND(active=""☑"",n&lt;=lessons,st&lt;&gt;""""),INDEX(eligibleDates,startPos+offset),"""")),"""")"),46307.0)</f>
        <v>46307</v>
      </c>
      <c r="B513" s="33" t="str">
        <f>IF(AND('Resource Planner'!$A$20="☑",9&lt;='Resource Planner'!$N$20),'Resource Planner'!$C$20,"")</f>
        <v>Everyone</v>
      </c>
      <c r="C513" s="33" t="str">
        <f>IF(AND('Resource Planner'!$A$20="☑",9&lt;='Resource Planner'!$N$20),'Resource Planner'!$B$20,"")</f>
        <v>Faith</v>
      </c>
      <c r="D513" s="33" t="str">
        <f>IF(AND('Resource Planner'!$A$20="☑",9&lt;='Resource Planner'!$N$20),'Resource Planner'!$D$20,"")</f>
        <v>All Together / Bible — Old Testament</v>
      </c>
      <c r="E513" s="33" t="str">
        <f>IF(AND('Resource Planner'!$A$20="☑",9&lt;='Resource Planner'!$N$20),'Resource Planner'!$E$20,"")</f>
        <v>Genesis</v>
      </c>
      <c r="F513" s="163" t="str">
        <f>IF(AND('Resource Planner'!$A$20="☑",9&lt;='Resource Planner'!$N$20),'Resource Planner'!$F$20&amp;" "&amp;('Resource Planner'!$G$20+(9-1)*'Resource Planner'!$I$20)&amp;IF(('Resource Planner'!$G$20+(9-1)*'Resource Planner'!$I$20)=MIN('Resource Planner'!$G$20+9*'Resource Planner'!$I$20-1,'Resource Planner'!$H$20),"","–"&amp;MIN('Resource Planner'!$G$20+9*'Resource Planner'!$I$20-1,'Resource Planner'!$H$20)),"")</f>
        <v>Chapter 25–27</v>
      </c>
      <c r="G513" s="163" t="s">
        <v>109</v>
      </c>
      <c r="H513" s="33" t="str">
        <f>IF(AND('Resource Planner'!$A$20="☑",9&lt;='Resource Planner'!$N$20),'Resource Planner'!$M$20,"")</f>
        <v/>
      </c>
    </row>
    <row r="514" ht="15.75" customHeight="1">
      <c r="A51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week"",10*(n-1),""Custom"",gap*(n-1),n-1),IF(AND(active=""☑"",n&lt;=lessons,st&lt;&gt;""""),INDEX(eligibleDates,startPos+offset),"""")),"""")"),46314.0)</f>
        <v>46314</v>
      </c>
      <c r="B514" s="33" t="str">
        <f>IF(AND('Resource Planner'!$A$20="☑",10&lt;='Resource Planner'!$N$20),'Resource Planner'!$C$20,"")</f>
        <v>Everyone</v>
      </c>
      <c r="C514" s="33" t="str">
        <f>IF(AND('Resource Planner'!$A$20="☑",10&lt;='Resource Planner'!$N$20),'Resource Planner'!$B$20,"")</f>
        <v>Faith</v>
      </c>
      <c r="D514" s="33" t="str">
        <f>IF(AND('Resource Planner'!$A$20="☑",10&lt;='Resource Planner'!$N$20),'Resource Planner'!$D$20,"")</f>
        <v>All Together / Bible — Old Testament</v>
      </c>
      <c r="E514" s="33" t="str">
        <f>IF(AND('Resource Planner'!$A$20="☑",10&lt;='Resource Planner'!$N$20),'Resource Planner'!$E$20,"")</f>
        <v>Genesis</v>
      </c>
      <c r="F514" s="163" t="str">
        <f>IF(AND('Resource Planner'!$A$20="☑",10&lt;='Resource Planner'!$N$20),'Resource Planner'!$F$20&amp;" "&amp;('Resource Planner'!$G$20+(10-1)*'Resource Planner'!$I$20)&amp;IF(('Resource Planner'!$G$20+(10-1)*'Resource Planner'!$I$20)=MIN('Resource Planner'!$G$20+10*'Resource Planner'!$I$20-1,'Resource Planner'!$H$20),"","–"&amp;MIN('Resource Planner'!$G$20+10*'Resource Planner'!$I$20-1,'Resource Planner'!$H$20)),"")</f>
        <v>Chapter 28–30</v>
      </c>
      <c r="G514" s="163" t="s">
        <v>109</v>
      </c>
      <c r="H514" s="33" t="str">
        <f>IF(AND('Resource Planner'!$A$20="☑",10&lt;='Resource Planner'!$N$20),'Resource Planner'!$M$20,"")</f>
        <v/>
      </c>
    </row>
    <row r="515" ht="15.75" customHeight="1">
      <c r="A51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week"",10*(n-1),""Custom"",gap*(n-1),n-1),IF(AND(active=""☑"",n&lt;=lessons,st&lt;&gt;""""),INDEX(eligibleDates,startPos+offset),"""")),"""")"),46328.0)</f>
        <v>46328</v>
      </c>
      <c r="B515" s="33" t="str">
        <f>IF(AND('Resource Planner'!$A$20="☑",11&lt;='Resource Planner'!$N$20),'Resource Planner'!$C$20,"")</f>
        <v>Everyone</v>
      </c>
      <c r="C515" s="33" t="str">
        <f>IF(AND('Resource Planner'!$A$20="☑",11&lt;='Resource Planner'!$N$20),'Resource Planner'!$B$20,"")</f>
        <v>Faith</v>
      </c>
      <c r="D515" s="33" t="str">
        <f>IF(AND('Resource Planner'!$A$20="☑",11&lt;='Resource Planner'!$N$20),'Resource Planner'!$D$20,"")</f>
        <v>All Together / Bible — Old Testament</v>
      </c>
      <c r="E515" s="33" t="str">
        <f>IF(AND('Resource Planner'!$A$20="☑",11&lt;='Resource Planner'!$N$20),'Resource Planner'!$E$20,"")</f>
        <v>Genesis</v>
      </c>
      <c r="F515" s="163" t="str">
        <f>IF(AND('Resource Planner'!$A$20="☑",11&lt;='Resource Planner'!$N$20),'Resource Planner'!$F$20&amp;" "&amp;('Resource Planner'!$G$20+(11-1)*'Resource Planner'!$I$20)&amp;IF(('Resource Planner'!$G$20+(11-1)*'Resource Planner'!$I$20)=MIN('Resource Planner'!$G$20+11*'Resource Planner'!$I$20-1,'Resource Planner'!$H$20),"","–"&amp;MIN('Resource Planner'!$G$20+11*'Resource Planner'!$I$20-1,'Resource Planner'!$H$20)),"")</f>
        <v>Chapter 31–33</v>
      </c>
      <c r="G515" s="163" t="s">
        <v>109</v>
      </c>
      <c r="H515" s="33" t="str">
        <f>IF(AND('Resource Planner'!$A$20="☑",11&lt;='Resource Planner'!$N$20),'Resource Planner'!$M$20,"")</f>
        <v/>
      </c>
    </row>
    <row r="516" ht="15.75" customHeight="1">
      <c r="A51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week"",10*(n-1),""Custom"",gap*(n-1),n-1),IF(AND(active=""☑"",n&lt;=lessons,st&lt;&gt;""""),INDEX(eligibleDates,startPos+offset),"""")),"""")"),46335.0)</f>
        <v>46335</v>
      </c>
      <c r="B516" s="33" t="str">
        <f>IF(AND('Resource Planner'!$A$20="☑",12&lt;='Resource Planner'!$N$20),'Resource Planner'!$C$20,"")</f>
        <v>Everyone</v>
      </c>
      <c r="C516" s="33" t="str">
        <f>IF(AND('Resource Planner'!$A$20="☑",12&lt;='Resource Planner'!$N$20),'Resource Planner'!$B$20,"")</f>
        <v>Faith</v>
      </c>
      <c r="D516" s="33" t="str">
        <f>IF(AND('Resource Planner'!$A$20="☑",12&lt;='Resource Planner'!$N$20),'Resource Planner'!$D$20,"")</f>
        <v>All Together / Bible — Old Testament</v>
      </c>
      <c r="E516" s="33" t="str">
        <f>IF(AND('Resource Planner'!$A$20="☑",12&lt;='Resource Planner'!$N$20),'Resource Planner'!$E$20,"")</f>
        <v>Genesis</v>
      </c>
      <c r="F516" s="163" t="str">
        <f>IF(AND('Resource Planner'!$A$20="☑",12&lt;='Resource Planner'!$N$20),'Resource Planner'!$F$20&amp;" "&amp;('Resource Planner'!$G$20+(12-1)*'Resource Planner'!$I$20)&amp;IF(('Resource Planner'!$G$20+(12-1)*'Resource Planner'!$I$20)=MIN('Resource Planner'!$G$20+12*'Resource Planner'!$I$20-1,'Resource Planner'!$H$20),"","–"&amp;MIN('Resource Planner'!$G$20+12*'Resource Planner'!$I$20-1,'Resource Planner'!$H$20)),"")</f>
        <v>Chapter 34–36</v>
      </c>
      <c r="G516" s="163" t="s">
        <v>109</v>
      </c>
      <c r="H516" s="33" t="str">
        <f>IF(AND('Resource Planner'!$A$20="☑",12&lt;='Resource Planner'!$N$20),'Resource Planner'!$M$20,"")</f>
        <v/>
      </c>
    </row>
    <row r="517" ht="15.75" customHeight="1">
      <c r="A51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week"",10*(n-1),""Custom"",gap*(n-1),n-1),IF(AND(active=""☑"",n&lt;=lessons,st&lt;&gt;""""),INDEX(eligibleDates,startPos+offset),"""")),"""")"),46342.0)</f>
        <v>46342</v>
      </c>
      <c r="B517" s="33" t="str">
        <f>IF(AND('Resource Planner'!$A$20="☑",13&lt;='Resource Planner'!$N$20),'Resource Planner'!$C$20,"")</f>
        <v>Everyone</v>
      </c>
      <c r="C517" s="33" t="str">
        <f>IF(AND('Resource Planner'!$A$20="☑",13&lt;='Resource Planner'!$N$20),'Resource Planner'!$B$20,"")</f>
        <v>Faith</v>
      </c>
      <c r="D517" s="33" t="str">
        <f>IF(AND('Resource Planner'!$A$20="☑",13&lt;='Resource Planner'!$N$20),'Resource Planner'!$D$20,"")</f>
        <v>All Together / Bible — Old Testament</v>
      </c>
      <c r="E517" s="33" t="str">
        <f>IF(AND('Resource Planner'!$A$20="☑",13&lt;='Resource Planner'!$N$20),'Resource Planner'!$E$20,"")</f>
        <v>Genesis</v>
      </c>
      <c r="F517" s="163" t="str">
        <f>IF(AND('Resource Planner'!$A$20="☑",13&lt;='Resource Planner'!$N$20),'Resource Planner'!$F$20&amp;" "&amp;('Resource Planner'!$G$20+(13-1)*'Resource Planner'!$I$20)&amp;IF(('Resource Planner'!$G$20+(13-1)*'Resource Planner'!$I$20)=MIN('Resource Planner'!$G$20+13*'Resource Planner'!$I$20-1,'Resource Planner'!$H$20),"","–"&amp;MIN('Resource Planner'!$G$20+13*'Resource Planner'!$I$20-1,'Resource Planner'!$H$20)),"")</f>
        <v>Chapter 37–39</v>
      </c>
      <c r="G517" s="163" t="s">
        <v>109</v>
      </c>
      <c r="H517" s="33" t="str">
        <f>IF(AND('Resource Planner'!$A$20="☑",13&lt;='Resource Planner'!$N$20),'Resource Planner'!$M$20,"")</f>
        <v/>
      </c>
    </row>
    <row r="518" ht="15.75" customHeight="1">
      <c r="A51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week"",10*(n-1),""Custom"",gap*(n-1),n-1),IF(AND(active=""☑"",n&lt;=lessons,st&lt;&gt;""""),INDEX(eligibleDates,startPos+offset),"""")),"""")"),46349.0)</f>
        <v>46349</v>
      </c>
      <c r="B518" s="33" t="str">
        <f>IF(AND('Resource Planner'!$A$20="☑",14&lt;='Resource Planner'!$N$20),'Resource Planner'!$C$20,"")</f>
        <v>Everyone</v>
      </c>
      <c r="C518" s="33" t="str">
        <f>IF(AND('Resource Planner'!$A$20="☑",14&lt;='Resource Planner'!$N$20),'Resource Planner'!$B$20,"")</f>
        <v>Faith</v>
      </c>
      <c r="D518" s="33" t="str">
        <f>IF(AND('Resource Planner'!$A$20="☑",14&lt;='Resource Planner'!$N$20),'Resource Planner'!$D$20,"")</f>
        <v>All Together / Bible — Old Testament</v>
      </c>
      <c r="E518" s="33" t="str">
        <f>IF(AND('Resource Planner'!$A$20="☑",14&lt;='Resource Planner'!$N$20),'Resource Planner'!$E$20,"")</f>
        <v>Genesis</v>
      </c>
      <c r="F518" s="163" t="str">
        <f>IF(AND('Resource Planner'!$A$20="☑",14&lt;='Resource Planner'!$N$20),'Resource Planner'!$F$20&amp;" "&amp;('Resource Planner'!$G$20+(14-1)*'Resource Planner'!$I$20)&amp;IF(('Resource Planner'!$G$20+(14-1)*'Resource Planner'!$I$20)=MIN('Resource Planner'!$G$20+14*'Resource Planner'!$I$20-1,'Resource Planner'!$H$20),"","–"&amp;MIN('Resource Planner'!$G$20+14*'Resource Planner'!$I$20-1,'Resource Planner'!$H$20)),"")</f>
        <v>Chapter 40–42</v>
      </c>
      <c r="G518" s="163" t="s">
        <v>109</v>
      </c>
      <c r="H518" s="33" t="str">
        <f>IF(AND('Resource Planner'!$A$20="☑",14&lt;='Resource Planner'!$N$20),'Resource Planner'!$M$20,"")</f>
        <v/>
      </c>
    </row>
    <row r="519" ht="15.75" customHeight="1">
      <c r="A51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week"",10*(n-1),""Custom"",gap*(n-1),n-1),IF(AND(active=""☑"",n&lt;=lessons,st&lt;&gt;""""),INDEX(eligibleDates,startPos+offset),"""")),"""")"),46356.0)</f>
        <v>46356</v>
      </c>
      <c r="B519" s="33" t="str">
        <f>IF(AND('Resource Planner'!$A$20="☑",15&lt;='Resource Planner'!$N$20),'Resource Planner'!$C$20,"")</f>
        <v>Everyone</v>
      </c>
      <c r="C519" s="33" t="str">
        <f>IF(AND('Resource Planner'!$A$20="☑",15&lt;='Resource Planner'!$N$20),'Resource Planner'!$B$20,"")</f>
        <v>Faith</v>
      </c>
      <c r="D519" s="33" t="str">
        <f>IF(AND('Resource Planner'!$A$20="☑",15&lt;='Resource Planner'!$N$20),'Resource Planner'!$D$20,"")</f>
        <v>All Together / Bible — Old Testament</v>
      </c>
      <c r="E519" s="33" t="str">
        <f>IF(AND('Resource Planner'!$A$20="☑",15&lt;='Resource Planner'!$N$20),'Resource Planner'!$E$20,"")</f>
        <v>Genesis</v>
      </c>
      <c r="F519" s="163" t="str">
        <f>IF(AND('Resource Planner'!$A$20="☑",15&lt;='Resource Planner'!$N$20),'Resource Planner'!$F$20&amp;" "&amp;('Resource Planner'!$G$20+(15-1)*'Resource Planner'!$I$20)&amp;IF(('Resource Planner'!$G$20+(15-1)*'Resource Planner'!$I$20)=MIN('Resource Planner'!$G$20+15*'Resource Planner'!$I$20-1,'Resource Planner'!$H$20),"","–"&amp;MIN('Resource Planner'!$G$20+15*'Resource Planner'!$I$20-1,'Resource Planner'!$H$20)),"")</f>
        <v>Chapter 43–45</v>
      </c>
      <c r="G519" s="163" t="s">
        <v>109</v>
      </c>
      <c r="H519" s="33" t="str">
        <f>IF(AND('Resource Planner'!$A$20="☑",15&lt;='Resource Planner'!$N$20),'Resource Planner'!$M$20,"")</f>
        <v/>
      </c>
    </row>
    <row r="520" ht="15.75" customHeight="1">
      <c r="A52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week"",10*(n-1),""Custom"",gap*(n-1),n-1),IF(AND(active=""☑"",n&lt;=lessons,st&lt;&gt;""""),INDEX(eligibleDates,startPos+offset),"""")),"""")"),46363.0)</f>
        <v>46363</v>
      </c>
      <c r="B520" s="33" t="str">
        <f>IF(AND('Resource Planner'!$A$20="☑",16&lt;='Resource Planner'!$N$20),'Resource Planner'!$C$20,"")</f>
        <v>Everyone</v>
      </c>
      <c r="C520" s="33" t="str">
        <f>IF(AND('Resource Planner'!$A$20="☑",16&lt;='Resource Planner'!$N$20),'Resource Planner'!$B$20,"")</f>
        <v>Faith</v>
      </c>
      <c r="D520" s="33" t="str">
        <f>IF(AND('Resource Planner'!$A$20="☑",16&lt;='Resource Planner'!$N$20),'Resource Planner'!$D$20,"")</f>
        <v>All Together / Bible — Old Testament</v>
      </c>
      <c r="E520" s="33" t="str">
        <f>IF(AND('Resource Planner'!$A$20="☑",16&lt;='Resource Planner'!$N$20),'Resource Planner'!$E$20,"")</f>
        <v>Genesis</v>
      </c>
      <c r="F520" s="163" t="str">
        <f>IF(AND('Resource Planner'!$A$20="☑",16&lt;='Resource Planner'!$N$20),'Resource Planner'!$F$20&amp;" "&amp;('Resource Planner'!$G$20+(16-1)*'Resource Planner'!$I$20)&amp;IF(('Resource Planner'!$G$20+(16-1)*'Resource Planner'!$I$20)=MIN('Resource Planner'!$G$20+16*'Resource Planner'!$I$20-1,'Resource Planner'!$H$20),"","–"&amp;MIN('Resource Planner'!$G$20+16*'Resource Planner'!$I$20-1,'Resource Planner'!$H$20)),"")</f>
        <v>Chapter 46–48</v>
      </c>
      <c r="G520" s="163" t="s">
        <v>109</v>
      </c>
      <c r="H520" s="33" t="str">
        <f>IF(AND('Resource Planner'!$A$20="☑",16&lt;='Resource Planner'!$N$20),'Resource Planner'!$M$20,"")</f>
        <v/>
      </c>
    </row>
    <row r="521" ht="15.75" customHeight="1">
      <c r="A52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week"",10*(n-1),""Custom"",gap*(n-1),n-1),IF(AND(active=""☑"",n&lt;=lessons,st&lt;&gt;""""),INDEX(eligibleDates,startPos+offset),"""")),"""")"),46370.0)</f>
        <v>46370</v>
      </c>
      <c r="B521" s="33" t="str">
        <f>IF(AND('Resource Planner'!$A$20="☑",17&lt;='Resource Planner'!$N$20),'Resource Planner'!$C$20,"")</f>
        <v>Everyone</v>
      </c>
      <c r="C521" s="33" t="str">
        <f>IF(AND('Resource Planner'!$A$20="☑",17&lt;='Resource Planner'!$N$20),'Resource Planner'!$B$20,"")</f>
        <v>Faith</v>
      </c>
      <c r="D521" s="33" t="str">
        <f>IF(AND('Resource Planner'!$A$20="☑",17&lt;='Resource Planner'!$N$20),'Resource Planner'!$D$20,"")</f>
        <v>All Together / Bible — Old Testament</v>
      </c>
      <c r="E521" s="33" t="str">
        <f>IF(AND('Resource Planner'!$A$20="☑",17&lt;='Resource Planner'!$N$20),'Resource Planner'!$E$20,"")</f>
        <v>Genesis</v>
      </c>
      <c r="F521" s="163" t="str">
        <f>IF(AND('Resource Planner'!$A$20="☑",17&lt;='Resource Planner'!$N$20),'Resource Planner'!$F$20&amp;" "&amp;('Resource Planner'!$G$20+(17-1)*'Resource Planner'!$I$20)&amp;IF(('Resource Planner'!$G$20+(17-1)*'Resource Planner'!$I$20)=MIN('Resource Planner'!$G$20+17*'Resource Planner'!$I$20-1,'Resource Planner'!$H$20),"","–"&amp;MIN('Resource Planner'!$G$20+17*'Resource Planner'!$I$20-1,'Resource Planner'!$H$20)),"")</f>
        <v>Chapter 49–51</v>
      </c>
      <c r="G521" s="163" t="s">
        <v>109</v>
      </c>
      <c r="H521" s="33" t="str">
        <f>IF(AND('Resource Planner'!$A$20="☑",17&lt;='Resource Planner'!$N$20),'Resource Planner'!$M$20,"")</f>
        <v/>
      </c>
    </row>
    <row r="522" ht="15.75" customHeight="1">
      <c r="A52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week"",10*(n-1),""Custom"",gap*(n-1),n-1),IF(AND(active=""☑"",n&lt;=lessons,st&lt;&gt;""""),INDEX(eligibleDates,startPos+offset),"""")),"""")"),46377.0)</f>
        <v>46377</v>
      </c>
      <c r="B522" s="33" t="str">
        <f>IF(AND('Resource Planner'!$A$20="☑",18&lt;='Resource Planner'!$N$20),'Resource Planner'!$C$20,"")</f>
        <v>Everyone</v>
      </c>
      <c r="C522" s="33" t="str">
        <f>IF(AND('Resource Planner'!$A$20="☑",18&lt;='Resource Planner'!$N$20),'Resource Planner'!$B$20,"")</f>
        <v>Faith</v>
      </c>
      <c r="D522" s="33" t="str">
        <f>IF(AND('Resource Planner'!$A$20="☑",18&lt;='Resource Planner'!$N$20),'Resource Planner'!$D$20,"")</f>
        <v>All Together / Bible — Old Testament</v>
      </c>
      <c r="E522" s="33" t="str">
        <f>IF(AND('Resource Planner'!$A$20="☑",18&lt;='Resource Planner'!$N$20),'Resource Planner'!$E$20,"")</f>
        <v>Genesis</v>
      </c>
      <c r="F522" s="163" t="str">
        <f>IF(AND('Resource Planner'!$A$20="☑",18&lt;='Resource Planner'!$N$20),'Resource Planner'!$F$20&amp;" "&amp;('Resource Planner'!$G$20+(18-1)*'Resource Planner'!$I$20)&amp;IF(('Resource Planner'!$G$20+(18-1)*'Resource Planner'!$I$20)=MIN('Resource Planner'!$G$20+18*'Resource Planner'!$I$20-1,'Resource Planner'!$H$20),"","–"&amp;MIN('Resource Planner'!$G$20+18*'Resource Planner'!$I$20-1,'Resource Planner'!$H$20)),"")</f>
        <v>Chapter 52–54</v>
      </c>
      <c r="G522" s="163" t="s">
        <v>109</v>
      </c>
      <c r="H522" s="33" t="str">
        <f>IF(AND('Resource Planner'!$A$20="☑",18&lt;='Resource Planner'!$N$20),'Resource Planner'!$M$20,"")</f>
        <v/>
      </c>
    </row>
    <row r="523" ht="15.75" customHeight="1">
      <c r="A52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week"",10*(n-1),""Custom"",gap*(n-1),n-1),IF(AND(active=""☑"",n&lt;=lessons,st&lt;&gt;""""),INDEX(eligibleDates,startPos+offset),"""")),"""")"),46384.0)</f>
        <v>46384</v>
      </c>
      <c r="B523" s="33" t="str">
        <f>IF(AND('Resource Planner'!$A$20="☑",19&lt;='Resource Planner'!$N$20),'Resource Planner'!$C$20,"")</f>
        <v>Everyone</v>
      </c>
      <c r="C523" s="33" t="str">
        <f>IF(AND('Resource Planner'!$A$20="☑",19&lt;='Resource Planner'!$N$20),'Resource Planner'!$B$20,"")</f>
        <v>Faith</v>
      </c>
      <c r="D523" s="33" t="str">
        <f>IF(AND('Resource Planner'!$A$20="☑",19&lt;='Resource Planner'!$N$20),'Resource Planner'!$D$20,"")</f>
        <v>All Together / Bible — Old Testament</v>
      </c>
      <c r="E523" s="33" t="str">
        <f>IF(AND('Resource Planner'!$A$20="☑",19&lt;='Resource Planner'!$N$20),'Resource Planner'!$E$20,"")</f>
        <v>Genesis</v>
      </c>
      <c r="F523" s="163" t="str">
        <f>IF(AND('Resource Planner'!$A$20="☑",19&lt;='Resource Planner'!$N$20),'Resource Planner'!$F$20&amp;" "&amp;('Resource Planner'!$G$20+(19-1)*'Resource Planner'!$I$20)&amp;IF(('Resource Planner'!$G$20+(19-1)*'Resource Planner'!$I$20)=MIN('Resource Planner'!$G$20+19*'Resource Planner'!$I$20-1,'Resource Planner'!$H$20),"","–"&amp;MIN('Resource Planner'!$G$20+19*'Resource Planner'!$I$20-1,'Resource Planner'!$H$20)),"")</f>
        <v>Chapter 55</v>
      </c>
      <c r="G523" s="163" t="s">
        <v>109</v>
      </c>
      <c r="H523" s="33" t="str">
        <f>IF(AND('Resource Planner'!$A$20="☑",19&lt;='Resource Planner'!$N$20),'Resource Planner'!$M$20,"")</f>
        <v/>
      </c>
    </row>
    <row r="524" ht="15.75" customHeight="1">
      <c r="A5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24" s="163" t="str">
        <f>IF(AND('Resource Planner'!$A$20="☑",20&lt;='Resource Planner'!$N$20),'Resource Planner'!$C$20,"")</f>
        <v/>
      </c>
      <c r="C524" s="163" t="str">
        <f>IF(AND('Resource Planner'!$A$20="☑",20&lt;='Resource Planner'!$N$20),'Resource Planner'!$B$20,"")</f>
        <v/>
      </c>
      <c r="D524" s="163" t="str">
        <f>IF(AND('Resource Planner'!$A$20="☑",20&lt;='Resource Planner'!$N$20),'Resource Planner'!$D$20,"")</f>
        <v/>
      </c>
      <c r="E524" s="163" t="str">
        <f>IF(AND('Resource Planner'!$A$20="☑",20&lt;='Resource Planner'!$N$20),'Resource Planner'!$E$20,"")</f>
        <v/>
      </c>
      <c r="F524" s="163" t="str">
        <f>IF(AND('Resource Planner'!$A$20="☑",20&lt;='Resource Planner'!$N$20),'Resource Planner'!$F$20&amp;" "&amp;('Resource Planner'!$G$20+(20-1)*'Resource Planner'!$I$20)&amp;IF(('Resource Planner'!$G$20+(20-1)*'Resource Planner'!$I$20)=MIN('Resource Planner'!$G$20+20*'Resource Planner'!$I$20-1,'Resource Planner'!$H$20),"","–"&amp;MIN('Resource Planner'!$G$20+20*'Resource Planner'!$I$20-1,'Resource Planner'!$H$20)),"")</f>
        <v/>
      </c>
      <c r="G524" s="163" t="s">
        <v>109</v>
      </c>
      <c r="H524" s="163" t="str">
        <f>IF(AND('Resource Planner'!$A$20="☑",20&lt;='Resource Planner'!$N$20),'Resource Planner'!$M$20,"")</f>
        <v/>
      </c>
    </row>
    <row r="525" ht="15.75" customHeight="1">
      <c r="A5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25" s="163" t="str">
        <f>IF(AND('Resource Planner'!$A$20="☑",21&lt;='Resource Planner'!$N$20),'Resource Planner'!$C$20,"")</f>
        <v/>
      </c>
      <c r="C525" s="163" t="str">
        <f>IF(AND('Resource Planner'!$A$20="☑",21&lt;='Resource Planner'!$N$20),'Resource Planner'!$B$20,"")</f>
        <v/>
      </c>
      <c r="D525" s="163" t="str">
        <f>IF(AND('Resource Planner'!$A$20="☑",21&lt;='Resource Planner'!$N$20),'Resource Planner'!$D$20,"")</f>
        <v/>
      </c>
      <c r="E525" s="163" t="str">
        <f>IF(AND('Resource Planner'!$A$20="☑",21&lt;='Resource Planner'!$N$20),'Resource Planner'!$E$20,"")</f>
        <v/>
      </c>
      <c r="F525" s="163" t="str">
        <f>IF(AND('Resource Planner'!$A$20="☑",21&lt;='Resource Planner'!$N$20),'Resource Planner'!$F$20&amp;" "&amp;('Resource Planner'!$G$20+(21-1)*'Resource Planner'!$I$20)&amp;IF(('Resource Planner'!$G$20+(21-1)*'Resource Planner'!$I$20)=MIN('Resource Planner'!$G$20+21*'Resource Planner'!$I$20-1,'Resource Planner'!$H$20),"","–"&amp;MIN('Resource Planner'!$G$20+21*'Resource Planner'!$I$20-1,'Resource Planner'!$H$20)),"")</f>
        <v/>
      </c>
      <c r="G525" s="163" t="s">
        <v>109</v>
      </c>
      <c r="H525" s="163" t="str">
        <f>IF(AND('Resource Planner'!$A$20="☑",21&lt;='Resource Planner'!$N$20),'Resource Planner'!$M$20,"")</f>
        <v/>
      </c>
    </row>
    <row r="526" ht="15.75" customHeight="1">
      <c r="A5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26" s="163" t="str">
        <f>IF(AND('Resource Planner'!$A$20="☑",22&lt;='Resource Planner'!$N$20),'Resource Planner'!$C$20,"")</f>
        <v/>
      </c>
      <c r="C526" s="163" t="str">
        <f>IF(AND('Resource Planner'!$A$20="☑",22&lt;='Resource Planner'!$N$20),'Resource Planner'!$B$20,"")</f>
        <v/>
      </c>
      <c r="D526" s="163" t="str">
        <f>IF(AND('Resource Planner'!$A$20="☑",22&lt;='Resource Planner'!$N$20),'Resource Planner'!$D$20,"")</f>
        <v/>
      </c>
      <c r="E526" s="163" t="str">
        <f>IF(AND('Resource Planner'!$A$20="☑",22&lt;='Resource Planner'!$N$20),'Resource Planner'!$E$20,"")</f>
        <v/>
      </c>
      <c r="F526" s="163" t="str">
        <f>IF(AND('Resource Planner'!$A$20="☑",22&lt;='Resource Planner'!$N$20),'Resource Planner'!$F$20&amp;" "&amp;('Resource Planner'!$G$20+(22-1)*'Resource Planner'!$I$20)&amp;IF(('Resource Planner'!$G$20+(22-1)*'Resource Planner'!$I$20)=MIN('Resource Planner'!$G$20+22*'Resource Planner'!$I$20-1,'Resource Planner'!$H$20),"","–"&amp;MIN('Resource Planner'!$G$20+22*'Resource Planner'!$I$20-1,'Resource Planner'!$H$20)),"")</f>
        <v/>
      </c>
      <c r="G526" s="163" t="s">
        <v>109</v>
      </c>
      <c r="H526" s="163" t="str">
        <f>IF(AND('Resource Planner'!$A$20="☑",22&lt;='Resource Planner'!$N$20),'Resource Planner'!$M$20,"")</f>
        <v/>
      </c>
    </row>
    <row r="527" ht="15.75" customHeight="1">
      <c r="A5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27" s="163" t="str">
        <f>IF(AND('Resource Planner'!$A$20="☑",23&lt;='Resource Planner'!$N$20),'Resource Planner'!$C$20,"")</f>
        <v/>
      </c>
      <c r="C527" s="163" t="str">
        <f>IF(AND('Resource Planner'!$A$20="☑",23&lt;='Resource Planner'!$N$20),'Resource Planner'!$B$20,"")</f>
        <v/>
      </c>
      <c r="D527" s="163" t="str">
        <f>IF(AND('Resource Planner'!$A$20="☑",23&lt;='Resource Planner'!$N$20),'Resource Planner'!$D$20,"")</f>
        <v/>
      </c>
      <c r="E527" s="163" t="str">
        <f>IF(AND('Resource Planner'!$A$20="☑",23&lt;='Resource Planner'!$N$20),'Resource Planner'!$E$20,"")</f>
        <v/>
      </c>
      <c r="F527" s="163" t="str">
        <f>IF(AND('Resource Planner'!$A$20="☑",23&lt;='Resource Planner'!$N$20),'Resource Planner'!$F$20&amp;" "&amp;('Resource Planner'!$G$20+(23-1)*'Resource Planner'!$I$20)&amp;IF(('Resource Planner'!$G$20+(23-1)*'Resource Planner'!$I$20)=MIN('Resource Planner'!$G$20+23*'Resource Planner'!$I$20-1,'Resource Planner'!$H$20),"","–"&amp;MIN('Resource Planner'!$G$20+23*'Resource Planner'!$I$20-1,'Resource Planner'!$H$20)),"")</f>
        <v/>
      </c>
      <c r="G527" s="163" t="s">
        <v>109</v>
      </c>
      <c r="H527" s="163" t="str">
        <f>IF(AND('Resource Planner'!$A$20="☑",23&lt;='Resource Planner'!$N$20),'Resource Planner'!$M$20,"")</f>
        <v/>
      </c>
    </row>
    <row r="528" ht="15.75" customHeight="1">
      <c r="A5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28" s="163" t="str">
        <f>IF(AND('Resource Planner'!$A$20="☑",24&lt;='Resource Planner'!$N$20),'Resource Planner'!$C$20,"")</f>
        <v/>
      </c>
      <c r="C528" s="163" t="str">
        <f>IF(AND('Resource Planner'!$A$20="☑",24&lt;='Resource Planner'!$N$20),'Resource Planner'!$B$20,"")</f>
        <v/>
      </c>
      <c r="D528" s="163" t="str">
        <f>IF(AND('Resource Planner'!$A$20="☑",24&lt;='Resource Planner'!$N$20),'Resource Planner'!$D$20,"")</f>
        <v/>
      </c>
      <c r="E528" s="163" t="str">
        <f>IF(AND('Resource Planner'!$A$20="☑",24&lt;='Resource Planner'!$N$20),'Resource Planner'!$E$20,"")</f>
        <v/>
      </c>
      <c r="F528" s="163" t="str">
        <f>IF(AND('Resource Planner'!$A$20="☑",24&lt;='Resource Planner'!$N$20),'Resource Planner'!$F$20&amp;" "&amp;('Resource Planner'!$G$20+(24-1)*'Resource Planner'!$I$20)&amp;IF(('Resource Planner'!$G$20+(24-1)*'Resource Planner'!$I$20)=MIN('Resource Planner'!$G$20+24*'Resource Planner'!$I$20-1,'Resource Planner'!$H$20),"","–"&amp;MIN('Resource Planner'!$G$20+24*'Resource Planner'!$I$20-1,'Resource Planner'!$H$20)),"")</f>
        <v/>
      </c>
      <c r="G528" s="163" t="s">
        <v>109</v>
      </c>
      <c r="H528" s="163" t="str">
        <f>IF(AND('Resource Planner'!$A$20="☑",24&lt;='Resource Planner'!$N$20),'Resource Planner'!$M$20,"")</f>
        <v/>
      </c>
    </row>
    <row r="529" ht="15.75" customHeight="1">
      <c r="A5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29" s="163" t="str">
        <f>IF(AND('Resource Planner'!$A$20="☑",25&lt;='Resource Planner'!$N$20),'Resource Planner'!$C$20,"")</f>
        <v/>
      </c>
      <c r="C529" s="163" t="str">
        <f>IF(AND('Resource Planner'!$A$20="☑",25&lt;='Resource Planner'!$N$20),'Resource Planner'!$B$20,"")</f>
        <v/>
      </c>
      <c r="D529" s="163" t="str">
        <f>IF(AND('Resource Planner'!$A$20="☑",25&lt;='Resource Planner'!$N$20),'Resource Planner'!$D$20,"")</f>
        <v/>
      </c>
      <c r="E529" s="163" t="str">
        <f>IF(AND('Resource Planner'!$A$20="☑",25&lt;='Resource Planner'!$N$20),'Resource Planner'!$E$20,"")</f>
        <v/>
      </c>
      <c r="F529" s="163" t="str">
        <f>IF(AND('Resource Planner'!$A$20="☑",25&lt;='Resource Planner'!$N$20),'Resource Planner'!$F$20&amp;" "&amp;('Resource Planner'!$G$20+(25-1)*'Resource Planner'!$I$20)&amp;IF(('Resource Planner'!$G$20+(25-1)*'Resource Planner'!$I$20)=MIN('Resource Planner'!$G$20+25*'Resource Planner'!$I$20-1,'Resource Planner'!$H$20),"","–"&amp;MIN('Resource Planner'!$G$20+25*'Resource Planner'!$I$20-1,'Resource Planner'!$H$20)),"")</f>
        <v/>
      </c>
      <c r="G529" s="163" t="s">
        <v>109</v>
      </c>
      <c r="H529" s="163" t="str">
        <f>IF(AND('Resource Planner'!$A$20="☑",25&lt;='Resource Planner'!$N$20),'Resource Planner'!$M$20,"")</f>
        <v/>
      </c>
    </row>
    <row r="530" ht="15.75" customHeight="1">
      <c r="A5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0" s="163" t="str">
        <f>IF(AND('Resource Planner'!$A$20="☑",26&lt;='Resource Planner'!$N$20),'Resource Planner'!$C$20,"")</f>
        <v/>
      </c>
      <c r="C530" s="163" t="str">
        <f>IF(AND('Resource Planner'!$A$20="☑",26&lt;='Resource Planner'!$N$20),'Resource Planner'!$B$20,"")</f>
        <v/>
      </c>
      <c r="D530" s="163" t="str">
        <f>IF(AND('Resource Planner'!$A$20="☑",26&lt;='Resource Planner'!$N$20),'Resource Planner'!$D$20,"")</f>
        <v/>
      </c>
      <c r="E530" s="163" t="str">
        <f>IF(AND('Resource Planner'!$A$20="☑",26&lt;='Resource Planner'!$N$20),'Resource Planner'!$E$20,"")</f>
        <v/>
      </c>
      <c r="F530" s="163" t="str">
        <f>IF(AND('Resource Planner'!$A$20="☑",26&lt;='Resource Planner'!$N$20),'Resource Planner'!$F$20&amp;" "&amp;('Resource Planner'!$G$20+(26-1)*'Resource Planner'!$I$20)&amp;IF(('Resource Planner'!$G$20+(26-1)*'Resource Planner'!$I$20)=MIN('Resource Planner'!$G$20+26*'Resource Planner'!$I$20-1,'Resource Planner'!$H$20),"","–"&amp;MIN('Resource Planner'!$G$20+26*'Resource Planner'!$I$20-1,'Resource Planner'!$H$20)),"")</f>
        <v/>
      </c>
      <c r="G530" s="163" t="s">
        <v>109</v>
      </c>
      <c r="H530" s="163" t="str">
        <f>IF(AND('Resource Planner'!$A$20="☑",26&lt;='Resource Planner'!$N$20),'Resource Planner'!$M$20,"")</f>
        <v/>
      </c>
    </row>
    <row r="531" ht="15.75" customHeight="1">
      <c r="A5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1" s="163" t="str">
        <f>IF(AND('Resource Planner'!$A$20="☑",27&lt;='Resource Planner'!$N$20),'Resource Planner'!$C$20,"")</f>
        <v/>
      </c>
      <c r="C531" s="163" t="str">
        <f>IF(AND('Resource Planner'!$A$20="☑",27&lt;='Resource Planner'!$N$20),'Resource Planner'!$B$20,"")</f>
        <v/>
      </c>
      <c r="D531" s="163" t="str">
        <f>IF(AND('Resource Planner'!$A$20="☑",27&lt;='Resource Planner'!$N$20),'Resource Planner'!$D$20,"")</f>
        <v/>
      </c>
      <c r="E531" s="163" t="str">
        <f>IF(AND('Resource Planner'!$A$20="☑",27&lt;='Resource Planner'!$N$20),'Resource Planner'!$E$20,"")</f>
        <v/>
      </c>
      <c r="F531" s="163" t="str">
        <f>IF(AND('Resource Planner'!$A$20="☑",27&lt;='Resource Planner'!$N$20),'Resource Planner'!$F$20&amp;" "&amp;('Resource Planner'!$G$20+(27-1)*'Resource Planner'!$I$20)&amp;IF(('Resource Planner'!$G$20+(27-1)*'Resource Planner'!$I$20)=MIN('Resource Planner'!$G$20+27*'Resource Planner'!$I$20-1,'Resource Planner'!$H$20),"","–"&amp;MIN('Resource Planner'!$G$20+27*'Resource Planner'!$I$20-1,'Resource Planner'!$H$20)),"")</f>
        <v/>
      </c>
      <c r="G531" s="163" t="s">
        <v>109</v>
      </c>
      <c r="H531" s="163" t="str">
        <f>IF(AND('Resource Planner'!$A$20="☑",27&lt;='Resource Planner'!$N$20),'Resource Planner'!$M$20,"")</f>
        <v/>
      </c>
    </row>
    <row r="532" ht="15.75" customHeight="1">
      <c r="A5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2" s="163" t="str">
        <f>IF(AND('Resource Planner'!$A$20="☑",28&lt;='Resource Planner'!$N$20),'Resource Planner'!$C$20,"")</f>
        <v/>
      </c>
      <c r="C532" s="163" t="str">
        <f>IF(AND('Resource Planner'!$A$20="☑",28&lt;='Resource Planner'!$N$20),'Resource Planner'!$B$20,"")</f>
        <v/>
      </c>
      <c r="D532" s="163" t="str">
        <f>IF(AND('Resource Planner'!$A$20="☑",28&lt;='Resource Planner'!$N$20),'Resource Planner'!$D$20,"")</f>
        <v/>
      </c>
      <c r="E532" s="163" t="str">
        <f>IF(AND('Resource Planner'!$A$20="☑",28&lt;='Resource Planner'!$N$20),'Resource Planner'!$E$20,"")</f>
        <v/>
      </c>
      <c r="F532" s="163" t="str">
        <f>IF(AND('Resource Planner'!$A$20="☑",28&lt;='Resource Planner'!$N$20),'Resource Planner'!$F$20&amp;" "&amp;('Resource Planner'!$G$20+(28-1)*'Resource Planner'!$I$20)&amp;IF(('Resource Planner'!$G$20+(28-1)*'Resource Planner'!$I$20)=MIN('Resource Planner'!$G$20+28*'Resource Planner'!$I$20-1,'Resource Planner'!$H$20),"","–"&amp;MIN('Resource Planner'!$G$20+28*'Resource Planner'!$I$20-1,'Resource Planner'!$H$20)),"")</f>
        <v/>
      </c>
      <c r="G532" s="163" t="s">
        <v>109</v>
      </c>
      <c r="H532" s="163" t="str">
        <f>IF(AND('Resource Planner'!$A$20="☑",28&lt;='Resource Planner'!$N$20),'Resource Planner'!$M$20,"")</f>
        <v/>
      </c>
    </row>
    <row r="533" ht="15.75" customHeight="1">
      <c r="A5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3" s="163" t="str">
        <f>IF(AND('Resource Planner'!$A$20="☑",29&lt;='Resource Planner'!$N$20),'Resource Planner'!$C$20,"")</f>
        <v/>
      </c>
      <c r="C533" s="163" t="str">
        <f>IF(AND('Resource Planner'!$A$20="☑",29&lt;='Resource Planner'!$N$20),'Resource Planner'!$B$20,"")</f>
        <v/>
      </c>
      <c r="D533" s="163" t="str">
        <f>IF(AND('Resource Planner'!$A$20="☑",29&lt;='Resource Planner'!$N$20),'Resource Planner'!$D$20,"")</f>
        <v/>
      </c>
      <c r="E533" s="163" t="str">
        <f>IF(AND('Resource Planner'!$A$20="☑",29&lt;='Resource Planner'!$N$20),'Resource Planner'!$E$20,"")</f>
        <v/>
      </c>
      <c r="F533" s="163" t="str">
        <f>IF(AND('Resource Planner'!$A$20="☑",29&lt;='Resource Planner'!$N$20),'Resource Planner'!$F$20&amp;" "&amp;('Resource Planner'!$G$20+(29-1)*'Resource Planner'!$I$20)&amp;IF(('Resource Planner'!$G$20+(29-1)*'Resource Planner'!$I$20)=MIN('Resource Planner'!$G$20+29*'Resource Planner'!$I$20-1,'Resource Planner'!$H$20),"","–"&amp;MIN('Resource Planner'!$G$20+29*'Resource Planner'!$I$20-1,'Resource Planner'!$H$20)),"")</f>
        <v/>
      </c>
      <c r="G533" s="163" t="s">
        <v>109</v>
      </c>
      <c r="H533" s="163" t="str">
        <f>IF(AND('Resource Planner'!$A$20="☑",29&lt;='Resource Planner'!$N$20),'Resource Planner'!$M$20,"")</f>
        <v/>
      </c>
    </row>
    <row r="534" ht="15.75" customHeight="1">
      <c r="A5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4" s="163" t="str">
        <f>IF(AND('Resource Planner'!$A$20="☑",30&lt;='Resource Planner'!$N$20),'Resource Planner'!$C$20,"")</f>
        <v/>
      </c>
      <c r="C534" s="163" t="str">
        <f>IF(AND('Resource Planner'!$A$20="☑",30&lt;='Resource Planner'!$N$20),'Resource Planner'!$B$20,"")</f>
        <v/>
      </c>
      <c r="D534" s="163" t="str">
        <f>IF(AND('Resource Planner'!$A$20="☑",30&lt;='Resource Planner'!$N$20),'Resource Planner'!$D$20,"")</f>
        <v/>
      </c>
      <c r="E534" s="163" t="str">
        <f>IF(AND('Resource Planner'!$A$20="☑",30&lt;='Resource Planner'!$N$20),'Resource Planner'!$E$20,"")</f>
        <v/>
      </c>
      <c r="F534" s="163" t="str">
        <f>IF(AND('Resource Planner'!$A$20="☑",30&lt;='Resource Planner'!$N$20),'Resource Planner'!$F$20&amp;" "&amp;('Resource Planner'!$G$20+(30-1)*'Resource Planner'!$I$20)&amp;IF(('Resource Planner'!$G$20+(30-1)*'Resource Planner'!$I$20)=MIN('Resource Planner'!$G$20+30*'Resource Planner'!$I$20-1,'Resource Planner'!$H$20),"","–"&amp;MIN('Resource Planner'!$G$20+30*'Resource Planner'!$I$20-1,'Resource Planner'!$H$20)),"")</f>
        <v/>
      </c>
      <c r="G534" s="163" t="s">
        <v>109</v>
      </c>
      <c r="H534" s="163" t="str">
        <f>IF(AND('Resource Planner'!$A$20="☑",30&lt;='Resource Planner'!$N$20),'Resource Planner'!$M$20,"")</f>
        <v/>
      </c>
    </row>
    <row r="535" ht="15.75" customHeight="1">
      <c r="A5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5" s="163" t="str">
        <f>IF(AND('Resource Planner'!$A$20="☑",31&lt;='Resource Planner'!$N$20),'Resource Planner'!$C$20,"")</f>
        <v/>
      </c>
      <c r="C535" s="163" t="str">
        <f>IF(AND('Resource Planner'!$A$20="☑",31&lt;='Resource Planner'!$N$20),'Resource Planner'!$B$20,"")</f>
        <v/>
      </c>
      <c r="D535" s="163" t="str">
        <f>IF(AND('Resource Planner'!$A$20="☑",31&lt;='Resource Planner'!$N$20),'Resource Planner'!$D$20,"")</f>
        <v/>
      </c>
      <c r="E535" s="163" t="str">
        <f>IF(AND('Resource Planner'!$A$20="☑",31&lt;='Resource Planner'!$N$20),'Resource Planner'!$E$20,"")</f>
        <v/>
      </c>
      <c r="F535" s="163" t="str">
        <f>IF(AND('Resource Planner'!$A$20="☑",31&lt;='Resource Planner'!$N$20),'Resource Planner'!$F$20&amp;" "&amp;('Resource Planner'!$G$20+(31-1)*'Resource Planner'!$I$20)&amp;IF(('Resource Planner'!$G$20+(31-1)*'Resource Planner'!$I$20)=MIN('Resource Planner'!$G$20+31*'Resource Planner'!$I$20-1,'Resource Planner'!$H$20),"","–"&amp;MIN('Resource Planner'!$G$20+31*'Resource Planner'!$I$20-1,'Resource Planner'!$H$20)),"")</f>
        <v/>
      </c>
      <c r="G535" s="163" t="s">
        <v>109</v>
      </c>
      <c r="H535" s="163" t="str">
        <f>IF(AND('Resource Planner'!$A$20="☑",31&lt;='Resource Planner'!$N$20),'Resource Planner'!$M$20,"")</f>
        <v/>
      </c>
    </row>
    <row r="536" ht="15.75" customHeight="1">
      <c r="A5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6" s="163" t="str">
        <f>IF(AND('Resource Planner'!$A$20="☑",32&lt;='Resource Planner'!$N$20),'Resource Planner'!$C$20,"")</f>
        <v/>
      </c>
      <c r="C536" s="163" t="str">
        <f>IF(AND('Resource Planner'!$A$20="☑",32&lt;='Resource Planner'!$N$20),'Resource Planner'!$B$20,"")</f>
        <v/>
      </c>
      <c r="D536" s="163" t="str">
        <f>IF(AND('Resource Planner'!$A$20="☑",32&lt;='Resource Planner'!$N$20),'Resource Planner'!$D$20,"")</f>
        <v/>
      </c>
      <c r="E536" s="163" t="str">
        <f>IF(AND('Resource Planner'!$A$20="☑",32&lt;='Resource Planner'!$N$20),'Resource Planner'!$E$20,"")</f>
        <v/>
      </c>
      <c r="F536" s="163" t="str">
        <f>IF(AND('Resource Planner'!$A$20="☑",32&lt;='Resource Planner'!$N$20),'Resource Planner'!$F$20&amp;" "&amp;('Resource Planner'!$G$20+(32-1)*'Resource Planner'!$I$20)&amp;IF(('Resource Planner'!$G$20+(32-1)*'Resource Planner'!$I$20)=MIN('Resource Planner'!$G$20+32*'Resource Planner'!$I$20-1,'Resource Planner'!$H$20),"","–"&amp;MIN('Resource Planner'!$G$20+32*'Resource Planner'!$I$20-1,'Resource Planner'!$H$20)),"")</f>
        <v/>
      </c>
      <c r="G536" s="163" t="s">
        <v>109</v>
      </c>
      <c r="H536" s="163" t="str">
        <f>IF(AND('Resource Planner'!$A$20="☑",32&lt;='Resource Planner'!$N$20),'Resource Planner'!$M$20,"")</f>
        <v/>
      </c>
    </row>
    <row r="537" ht="15.75" customHeight="1">
      <c r="A5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7" s="163" t="str">
        <f>IF(AND('Resource Planner'!$A$20="☑",33&lt;='Resource Planner'!$N$20),'Resource Planner'!$C$20,"")</f>
        <v/>
      </c>
      <c r="C537" s="163" t="str">
        <f>IF(AND('Resource Planner'!$A$20="☑",33&lt;='Resource Planner'!$N$20),'Resource Planner'!$B$20,"")</f>
        <v/>
      </c>
      <c r="D537" s="163" t="str">
        <f>IF(AND('Resource Planner'!$A$20="☑",33&lt;='Resource Planner'!$N$20),'Resource Planner'!$D$20,"")</f>
        <v/>
      </c>
      <c r="E537" s="163" t="str">
        <f>IF(AND('Resource Planner'!$A$20="☑",33&lt;='Resource Planner'!$N$20),'Resource Planner'!$E$20,"")</f>
        <v/>
      </c>
      <c r="F537" s="163" t="str">
        <f>IF(AND('Resource Planner'!$A$20="☑",33&lt;='Resource Planner'!$N$20),'Resource Planner'!$F$20&amp;" "&amp;('Resource Planner'!$G$20+(33-1)*'Resource Planner'!$I$20)&amp;IF(('Resource Planner'!$G$20+(33-1)*'Resource Planner'!$I$20)=MIN('Resource Planner'!$G$20+33*'Resource Planner'!$I$20-1,'Resource Planner'!$H$20),"","–"&amp;MIN('Resource Planner'!$G$20+33*'Resource Planner'!$I$20-1,'Resource Planner'!$H$20)),"")</f>
        <v/>
      </c>
      <c r="G537" s="163" t="s">
        <v>109</v>
      </c>
      <c r="H537" s="163" t="str">
        <f>IF(AND('Resource Planner'!$A$20="☑",33&lt;='Resource Planner'!$N$20),'Resource Planner'!$M$20,"")</f>
        <v/>
      </c>
    </row>
    <row r="538" ht="15.75" customHeight="1">
      <c r="A5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8" s="163" t="str">
        <f>IF(AND('Resource Planner'!$A$20="☑",34&lt;='Resource Planner'!$N$20),'Resource Planner'!$C$20,"")</f>
        <v/>
      </c>
      <c r="C538" s="163" t="str">
        <f>IF(AND('Resource Planner'!$A$20="☑",34&lt;='Resource Planner'!$N$20),'Resource Planner'!$B$20,"")</f>
        <v/>
      </c>
      <c r="D538" s="163" t="str">
        <f>IF(AND('Resource Planner'!$A$20="☑",34&lt;='Resource Planner'!$N$20),'Resource Planner'!$D$20,"")</f>
        <v/>
      </c>
      <c r="E538" s="163" t="str">
        <f>IF(AND('Resource Planner'!$A$20="☑",34&lt;='Resource Planner'!$N$20),'Resource Planner'!$E$20,"")</f>
        <v/>
      </c>
      <c r="F538" s="163" t="str">
        <f>IF(AND('Resource Planner'!$A$20="☑",34&lt;='Resource Planner'!$N$20),'Resource Planner'!$F$20&amp;" "&amp;('Resource Planner'!$G$20+(34-1)*'Resource Planner'!$I$20)&amp;IF(('Resource Planner'!$G$20+(34-1)*'Resource Planner'!$I$20)=MIN('Resource Planner'!$G$20+34*'Resource Planner'!$I$20-1,'Resource Planner'!$H$20),"","–"&amp;MIN('Resource Planner'!$G$20+34*'Resource Planner'!$I$20-1,'Resource Planner'!$H$20)),"")</f>
        <v/>
      </c>
      <c r="G538" s="163" t="s">
        <v>109</v>
      </c>
      <c r="H538" s="163" t="str">
        <f>IF(AND('Resource Planner'!$A$20="☑",34&lt;='Resource Planner'!$N$20),'Resource Planner'!$M$20,"")</f>
        <v/>
      </c>
    </row>
    <row r="539" ht="15.75" customHeight="1">
      <c r="A5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39" s="163" t="str">
        <f>IF(AND('Resource Planner'!$A$20="☑",35&lt;='Resource Planner'!$N$20),'Resource Planner'!$C$20,"")</f>
        <v/>
      </c>
      <c r="C539" s="163" t="str">
        <f>IF(AND('Resource Planner'!$A$20="☑",35&lt;='Resource Planner'!$N$20),'Resource Planner'!$B$20,"")</f>
        <v/>
      </c>
      <c r="D539" s="163" t="str">
        <f>IF(AND('Resource Planner'!$A$20="☑",35&lt;='Resource Planner'!$N$20),'Resource Planner'!$D$20,"")</f>
        <v/>
      </c>
      <c r="E539" s="163" t="str">
        <f>IF(AND('Resource Planner'!$A$20="☑",35&lt;='Resource Planner'!$N$20),'Resource Planner'!$E$20,"")</f>
        <v/>
      </c>
      <c r="F539" s="163" t="str">
        <f>IF(AND('Resource Planner'!$A$20="☑",35&lt;='Resource Planner'!$N$20),'Resource Planner'!$F$20&amp;" "&amp;('Resource Planner'!$G$20+(35-1)*'Resource Planner'!$I$20)&amp;IF(('Resource Planner'!$G$20+(35-1)*'Resource Planner'!$I$20)=MIN('Resource Planner'!$G$20+35*'Resource Planner'!$I$20-1,'Resource Planner'!$H$20),"","–"&amp;MIN('Resource Planner'!$G$20+35*'Resource Planner'!$I$20-1,'Resource Planner'!$H$20)),"")</f>
        <v/>
      </c>
      <c r="G539" s="163" t="s">
        <v>109</v>
      </c>
      <c r="H539" s="163" t="str">
        <f>IF(AND('Resource Planner'!$A$20="☑",35&lt;='Resource Planner'!$N$20),'Resource Planner'!$M$20,"")</f>
        <v/>
      </c>
    </row>
    <row r="540" ht="15.75" customHeight="1">
      <c r="A5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0" s="163" t="str">
        <f>IF(AND('Resource Planner'!$A$20="☑",36&lt;='Resource Planner'!$N$20),'Resource Planner'!$C$20,"")</f>
        <v/>
      </c>
      <c r="C540" s="163" t="str">
        <f>IF(AND('Resource Planner'!$A$20="☑",36&lt;='Resource Planner'!$N$20),'Resource Planner'!$B$20,"")</f>
        <v/>
      </c>
      <c r="D540" s="163" t="str">
        <f>IF(AND('Resource Planner'!$A$20="☑",36&lt;='Resource Planner'!$N$20),'Resource Planner'!$D$20,"")</f>
        <v/>
      </c>
      <c r="E540" s="163" t="str">
        <f>IF(AND('Resource Planner'!$A$20="☑",36&lt;='Resource Planner'!$N$20),'Resource Planner'!$E$20,"")</f>
        <v/>
      </c>
      <c r="F540" s="163" t="str">
        <f>IF(AND('Resource Planner'!$A$20="☑",36&lt;='Resource Planner'!$N$20),'Resource Planner'!$F$20&amp;" "&amp;('Resource Planner'!$G$20+(36-1)*'Resource Planner'!$I$20)&amp;IF(('Resource Planner'!$G$20+(36-1)*'Resource Planner'!$I$20)=MIN('Resource Planner'!$G$20+36*'Resource Planner'!$I$20-1,'Resource Planner'!$H$20),"","–"&amp;MIN('Resource Planner'!$G$20+36*'Resource Planner'!$I$20-1,'Resource Planner'!$H$20)),"")</f>
        <v/>
      </c>
      <c r="G540" s="163" t="s">
        <v>109</v>
      </c>
      <c r="H540" s="163" t="str">
        <f>IF(AND('Resource Planner'!$A$20="☑",36&lt;='Resource Planner'!$N$20),'Resource Planner'!$M$20,"")</f>
        <v/>
      </c>
    </row>
    <row r="541" ht="15.75" customHeight="1">
      <c r="A5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1" s="163" t="str">
        <f>IF(AND('Resource Planner'!$A$20="☑",37&lt;='Resource Planner'!$N$20),'Resource Planner'!$C$20,"")</f>
        <v/>
      </c>
      <c r="C541" s="163" t="str">
        <f>IF(AND('Resource Planner'!$A$20="☑",37&lt;='Resource Planner'!$N$20),'Resource Planner'!$B$20,"")</f>
        <v/>
      </c>
      <c r="D541" s="163" t="str">
        <f>IF(AND('Resource Planner'!$A$20="☑",37&lt;='Resource Planner'!$N$20),'Resource Planner'!$D$20,"")</f>
        <v/>
      </c>
      <c r="E541" s="163" t="str">
        <f>IF(AND('Resource Planner'!$A$20="☑",37&lt;='Resource Planner'!$N$20),'Resource Planner'!$E$20,"")</f>
        <v/>
      </c>
      <c r="F541" s="163" t="str">
        <f>IF(AND('Resource Planner'!$A$20="☑",37&lt;='Resource Planner'!$N$20),'Resource Planner'!$F$20&amp;" "&amp;('Resource Planner'!$G$20+(37-1)*'Resource Planner'!$I$20)&amp;IF(('Resource Planner'!$G$20+(37-1)*'Resource Planner'!$I$20)=MIN('Resource Planner'!$G$20+37*'Resource Planner'!$I$20-1,'Resource Planner'!$H$20),"","–"&amp;MIN('Resource Planner'!$G$20+37*'Resource Planner'!$I$20-1,'Resource Planner'!$H$20)),"")</f>
        <v/>
      </c>
      <c r="G541" s="163" t="s">
        <v>109</v>
      </c>
      <c r="H541" s="163" t="str">
        <f>IF(AND('Resource Planner'!$A$20="☑",37&lt;='Resource Planner'!$N$20),'Resource Planner'!$M$20,"")</f>
        <v/>
      </c>
    </row>
    <row r="542" ht="15.75" customHeight="1">
      <c r="A5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2" s="163" t="str">
        <f>IF(AND('Resource Planner'!$A$20="☑",38&lt;='Resource Planner'!$N$20),'Resource Planner'!$C$20,"")</f>
        <v/>
      </c>
      <c r="C542" s="163" t="str">
        <f>IF(AND('Resource Planner'!$A$20="☑",38&lt;='Resource Planner'!$N$20),'Resource Planner'!$B$20,"")</f>
        <v/>
      </c>
      <c r="D542" s="163" t="str">
        <f>IF(AND('Resource Planner'!$A$20="☑",38&lt;='Resource Planner'!$N$20),'Resource Planner'!$D$20,"")</f>
        <v/>
      </c>
      <c r="E542" s="163" t="str">
        <f>IF(AND('Resource Planner'!$A$20="☑",38&lt;='Resource Planner'!$N$20),'Resource Planner'!$E$20,"")</f>
        <v/>
      </c>
      <c r="F542" s="163" t="str">
        <f>IF(AND('Resource Planner'!$A$20="☑",38&lt;='Resource Planner'!$N$20),'Resource Planner'!$F$20&amp;" "&amp;('Resource Planner'!$G$20+(38-1)*'Resource Planner'!$I$20)&amp;IF(('Resource Planner'!$G$20+(38-1)*'Resource Planner'!$I$20)=MIN('Resource Planner'!$G$20+38*'Resource Planner'!$I$20-1,'Resource Planner'!$H$20),"","–"&amp;MIN('Resource Planner'!$G$20+38*'Resource Planner'!$I$20-1,'Resource Planner'!$H$20)),"")</f>
        <v/>
      </c>
      <c r="G542" s="163" t="s">
        <v>109</v>
      </c>
      <c r="H542" s="163" t="str">
        <f>IF(AND('Resource Planner'!$A$20="☑",38&lt;='Resource Planner'!$N$20),'Resource Planner'!$M$20,"")</f>
        <v/>
      </c>
    </row>
    <row r="543" ht="15.75" customHeight="1">
      <c r="A5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3" s="163" t="str">
        <f>IF(AND('Resource Planner'!$A$20="☑",39&lt;='Resource Planner'!$N$20),'Resource Planner'!$C$20,"")</f>
        <v/>
      </c>
      <c r="C543" s="163" t="str">
        <f>IF(AND('Resource Planner'!$A$20="☑",39&lt;='Resource Planner'!$N$20),'Resource Planner'!$B$20,"")</f>
        <v/>
      </c>
      <c r="D543" s="163" t="str">
        <f>IF(AND('Resource Planner'!$A$20="☑",39&lt;='Resource Planner'!$N$20),'Resource Planner'!$D$20,"")</f>
        <v/>
      </c>
      <c r="E543" s="163" t="str">
        <f>IF(AND('Resource Planner'!$A$20="☑",39&lt;='Resource Planner'!$N$20),'Resource Planner'!$E$20,"")</f>
        <v/>
      </c>
      <c r="F543" s="163" t="str">
        <f>IF(AND('Resource Planner'!$A$20="☑",39&lt;='Resource Planner'!$N$20),'Resource Planner'!$F$20&amp;" "&amp;('Resource Planner'!$G$20+(39-1)*'Resource Planner'!$I$20)&amp;IF(('Resource Planner'!$G$20+(39-1)*'Resource Planner'!$I$20)=MIN('Resource Planner'!$G$20+39*'Resource Planner'!$I$20-1,'Resource Planner'!$H$20),"","–"&amp;MIN('Resource Planner'!$G$20+39*'Resource Planner'!$I$20-1,'Resource Planner'!$H$20)),"")</f>
        <v/>
      </c>
      <c r="G543" s="163" t="s">
        <v>109</v>
      </c>
      <c r="H543" s="163" t="str">
        <f>IF(AND('Resource Planner'!$A$20="☑",39&lt;='Resource Planner'!$N$20),'Resource Planner'!$M$20,"")</f>
        <v/>
      </c>
    </row>
    <row r="544" ht="15.75" customHeight="1">
      <c r="A5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4" s="163" t="str">
        <f>IF(AND('Resource Planner'!$A$20="☑",40&lt;='Resource Planner'!$N$20),'Resource Planner'!$C$20,"")</f>
        <v/>
      </c>
      <c r="C544" s="163" t="str">
        <f>IF(AND('Resource Planner'!$A$20="☑",40&lt;='Resource Planner'!$N$20),'Resource Planner'!$B$20,"")</f>
        <v/>
      </c>
      <c r="D544" s="163" t="str">
        <f>IF(AND('Resource Planner'!$A$20="☑",40&lt;='Resource Planner'!$N$20),'Resource Planner'!$D$20,"")</f>
        <v/>
      </c>
      <c r="E544" s="163" t="str">
        <f>IF(AND('Resource Planner'!$A$20="☑",40&lt;='Resource Planner'!$N$20),'Resource Planner'!$E$20,"")</f>
        <v/>
      </c>
      <c r="F544" s="163" t="str">
        <f>IF(AND('Resource Planner'!$A$20="☑",40&lt;='Resource Planner'!$N$20),'Resource Planner'!$F$20&amp;" "&amp;('Resource Planner'!$G$20+(40-1)*'Resource Planner'!$I$20)&amp;IF(('Resource Planner'!$G$20+(40-1)*'Resource Planner'!$I$20)=MIN('Resource Planner'!$G$20+40*'Resource Planner'!$I$20-1,'Resource Planner'!$H$20),"","–"&amp;MIN('Resource Planner'!$G$20+40*'Resource Planner'!$I$20-1,'Resource Planner'!$H$20)),"")</f>
        <v/>
      </c>
      <c r="G544" s="163" t="s">
        <v>109</v>
      </c>
      <c r="H544" s="163" t="str">
        <f>IF(AND('Resource Planner'!$A$20="☑",40&lt;='Resource Planner'!$N$20),'Resource Planner'!$M$20,"")</f>
        <v/>
      </c>
    </row>
    <row r="545" ht="15.75" customHeight="1">
      <c r="A5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5" s="163" t="str">
        <f>IF(AND('Resource Planner'!$A$20="☑",41&lt;='Resource Planner'!$N$20),'Resource Planner'!$C$20,"")</f>
        <v/>
      </c>
      <c r="C545" s="163" t="str">
        <f>IF(AND('Resource Planner'!$A$20="☑",41&lt;='Resource Planner'!$N$20),'Resource Planner'!$B$20,"")</f>
        <v/>
      </c>
      <c r="D545" s="163" t="str">
        <f>IF(AND('Resource Planner'!$A$20="☑",41&lt;='Resource Planner'!$N$20),'Resource Planner'!$D$20,"")</f>
        <v/>
      </c>
      <c r="E545" s="163" t="str">
        <f>IF(AND('Resource Planner'!$A$20="☑",41&lt;='Resource Planner'!$N$20),'Resource Planner'!$E$20,"")</f>
        <v/>
      </c>
      <c r="F545" s="163" t="str">
        <f>IF(AND('Resource Planner'!$A$20="☑",41&lt;='Resource Planner'!$N$20),'Resource Planner'!$F$20&amp;" "&amp;('Resource Planner'!$G$20+(41-1)*'Resource Planner'!$I$20)&amp;IF(('Resource Planner'!$G$20+(41-1)*'Resource Planner'!$I$20)=MIN('Resource Planner'!$G$20+41*'Resource Planner'!$I$20-1,'Resource Planner'!$H$20),"","–"&amp;MIN('Resource Planner'!$G$20+41*'Resource Planner'!$I$20-1,'Resource Planner'!$H$20)),"")</f>
        <v/>
      </c>
      <c r="G545" s="163" t="s">
        <v>109</v>
      </c>
      <c r="H545" s="163" t="str">
        <f>IF(AND('Resource Planner'!$A$20="☑",41&lt;='Resource Planner'!$N$20),'Resource Planner'!$M$20,"")</f>
        <v/>
      </c>
    </row>
    <row r="546" ht="15.75" customHeight="1">
      <c r="A5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6" s="163" t="str">
        <f>IF(AND('Resource Planner'!$A$20="☑",42&lt;='Resource Planner'!$N$20),'Resource Planner'!$C$20,"")</f>
        <v/>
      </c>
      <c r="C546" s="163" t="str">
        <f>IF(AND('Resource Planner'!$A$20="☑",42&lt;='Resource Planner'!$N$20),'Resource Planner'!$B$20,"")</f>
        <v/>
      </c>
      <c r="D546" s="163" t="str">
        <f>IF(AND('Resource Planner'!$A$20="☑",42&lt;='Resource Planner'!$N$20),'Resource Planner'!$D$20,"")</f>
        <v/>
      </c>
      <c r="E546" s="163" t="str">
        <f>IF(AND('Resource Planner'!$A$20="☑",42&lt;='Resource Planner'!$N$20),'Resource Planner'!$E$20,"")</f>
        <v/>
      </c>
      <c r="F546" s="163" t="str">
        <f>IF(AND('Resource Planner'!$A$20="☑",42&lt;='Resource Planner'!$N$20),'Resource Planner'!$F$20&amp;" "&amp;('Resource Planner'!$G$20+(42-1)*'Resource Planner'!$I$20)&amp;IF(('Resource Planner'!$G$20+(42-1)*'Resource Planner'!$I$20)=MIN('Resource Planner'!$G$20+42*'Resource Planner'!$I$20-1,'Resource Planner'!$H$20),"","–"&amp;MIN('Resource Planner'!$G$20+42*'Resource Planner'!$I$20-1,'Resource Planner'!$H$20)),"")</f>
        <v/>
      </c>
      <c r="G546" s="163" t="s">
        <v>109</v>
      </c>
      <c r="H546" s="163" t="str">
        <f>IF(AND('Resource Planner'!$A$20="☑",42&lt;='Resource Planner'!$N$20),'Resource Planner'!$M$20,"")</f>
        <v/>
      </c>
    </row>
    <row r="547" ht="15.75" customHeight="1">
      <c r="A5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7" s="163" t="str">
        <f>IF(AND('Resource Planner'!$A$20="☑",43&lt;='Resource Planner'!$N$20),'Resource Planner'!$C$20,"")</f>
        <v/>
      </c>
      <c r="C547" s="163" t="str">
        <f>IF(AND('Resource Planner'!$A$20="☑",43&lt;='Resource Planner'!$N$20),'Resource Planner'!$B$20,"")</f>
        <v/>
      </c>
      <c r="D547" s="163" t="str">
        <f>IF(AND('Resource Planner'!$A$20="☑",43&lt;='Resource Planner'!$N$20),'Resource Planner'!$D$20,"")</f>
        <v/>
      </c>
      <c r="E547" s="163" t="str">
        <f>IF(AND('Resource Planner'!$A$20="☑",43&lt;='Resource Planner'!$N$20),'Resource Planner'!$E$20,"")</f>
        <v/>
      </c>
      <c r="F547" s="163" t="str">
        <f>IF(AND('Resource Planner'!$A$20="☑",43&lt;='Resource Planner'!$N$20),'Resource Planner'!$F$20&amp;" "&amp;('Resource Planner'!$G$20+(43-1)*'Resource Planner'!$I$20)&amp;IF(('Resource Planner'!$G$20+(43-1)*'Resource Planner'!$I$20)=MIN('Resource Planner'!$G$20+43*'Resource Planner'!$I$20-1,'Resource Planner'!$H$20),"","–"&amp;MIN('Resource Planner'!$G$20+43*'Resource Planner'!$I$20-1,'Resource Planner'!$H$20)),"")</f>
        <v/>
      </c>
      <c r="G547" s="163" t="s">
        <v>109</v>
      </c>
      <c r="H547" s="163" t="str">
        <f>IF(AND('Resource Planner'!$A$20="☑",43&lt;='Resource Planner'!$N$20),'Resource Planner'!$M$20,"")</f>
        <v/>
      </c>
    </row>
    <row r="548" ht="15.75" customHeight="1">
      <c r="A5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8" s="163" t="str">
        <f>IF(AND('Resource Planner'!$A$20="☑",44&lt;='Resource Planner'!$N$20),'Resource Planner'!$C$20,"")</f>
        <v/>
      </c>
      <c r="C548" s="163" t="str">
        <f>IF(AND('Resource Planner'!$A$20="☑",44&lt;='Resource Planner'!$N$20),'Resource Planner'!$B$20,"")</f>
        <v/>
      </c>
      <c r="D548" s="163" t="str">
        <f>IF(AND('Resource Planner'!$A$20="☑",44&lt;='Resource Planner'!$N$20),'Resource Planner'!$D$20,"")</f>
        <v/>
      </c>
      <c r="E548" s="163" t="str">
        <f>IF(AND('Resource Planner'!$A$20="☑",44&lt;='Resource Planner'!$N$20),'Resource Planner'!$E$20,"")</f>
        <v/>
      </c>
      <c r="F548" s="163" t="str">
        <f>IF(AND('Resource Planner'!$A$20="☑",44&lt;='Resource Planner'!$N$20),'Resource Planner'!$F$20&amp;" "&amp;('Resource Planner'!$G$20+(44-1)*'Resource Planner'!$I$20)&amp;IF(('Resource Planner'!$G$20+(44-1)*'Resource Planner'!$I$20)=MIN('Resource Planner'!$G$20+44*'Resource Planner'!$I$20-1,'Resource Planner'!$H$20),"","–"&amp;MIN('Resource Planner'!$G$20+44*'Resource Planner'!$I$20-1,'Resource Planner'!$H$20)),"")</f>
        <v/>
      </c>
      <c r="G548" s="163" t="s">
        <v>109</v>
      </c>
      <c r="H548" s="163" t="str">
        <f>IF(AND('Resource Planner'!$A$20="☑",44&lt;='Resource Planner'!$N$20),'Resource Planner'!$M$20,"")</f>
        <v/>
      </c>
    </row>
    <row r="549" ht="15.75" customHeight="1">
      <c r="A5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49" s="163" t="str">
        <f>IF(AND('Resource Planner'!$A$20="☑",45&lt;='Resource Planner'!$N$20),'Resource Planner'!$C$20,"")</f>
        <v/>
      </c>
      <c r="C549" s="163" t="str">
        <f>IF(AND('Resource Planner'!$A$20="☑",45&lt;='Resource Planner'!$N$20),'Resource Planner'!$B$20,"")</f>
        <v/>
      </c>
      <c r="D549" s="163" t="str">
        <f>IF(AND('Resource Planner'!$A$20="☑",45&lt;='Resource Planner'!$N$20),'Resource Planner'!$D$20,"")</f>
        <v/>
      </c>
      <c r="E549" s="163" t="str">
        <f>IF(AND('Resource Planner'!$A$20="☑",45&lt;='Resource Planner'!$N$20),'Resource Planner'!$E$20,"")</f>
        <v/>
      </c>
      <c r="F549" s="163" t="str">
        <f>IF(AND('Resource Planner'!$A$20="☑",45&lt;='Resource Planner'!$N$20),'Resource Planner'!$F$20&amp;" "&amp;('Resource Planner'!$G$20+(45-1)*'Resource Planner'!$I$20)&amp;IF(('Resource Planner'!$G$20+(45-1)*'Resource Planner'!$I$20)=MIN('Resource Planner'!$G$20+45*'Resource Planner'!$I$20-1,'Resource Planner'!$H$20),"","–"&amp;MIN('Resource Planner'!$G$20+45*'Resource Planner'!$I$20-1,'Resource Planner'!$H$20)),"")</f>
        <v/>
      </c>
      <c r="G549" s="163" t="s">
        <v>109</v>
      </c>
      <c r="H549" s="163" t="str">
        <f>IF(AND('Resource Planner'!$A$20="☑",45&lt;='Resource Planner'!$N$20),'Resource Planner'!$M$20,"")</f>
        <v/>
      </c>
    </row>
    <row r="550" ht="15.75" customHeight="1">
      <c r="A5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50" s="163" t="str">
        <f>IF(AND('Resource Planner'!$A$20="☑",46&lt;='Resource Planner'!$N$20),'Resource Planner'!$C$20,"")</f>
        <v/>
      </c>
      <c r="C550" s="163" t="str">
        <f>IF(AND('Resource Planner'!$A$20="☑",46&lt;='Resource Planner'!$N$20),'Resource Planner'!$B$20,"")</f>
        <v/>
      </c>
      <c r="D550" s="163" t="str">
        <f>IF(AND('Resource Planner'!$A$20="☑",46&lt;='Resource Planner'!$N$20),'Resource Planner'!$D$20,"")</f>
        <v/>
      </c>
      <c r="E550" s="163" t="str">
        <f>IF(AND('Resource Planner'!$A$20="☑",46&lt;='Resource Planner'!$N$20),'Resource Planner'!$E$20,"")</f>
        <v/>
      </c>
      <c r="F550" s="163" t="str">
        <f>IF(AND('Resource Planner'!$A$20="☑",46&lt;='Resource Planner'!$N$20),'Resource Planner'!$F$20&amp;" "&amp;('Resource Planner'!$G$20+(46-1)*'Resource Planner'!$I$20)&amp;IF(('Resource Planner'!$G$20+(46-1)*'Resource Planner'!$I$20)=MIN('Resource Planner'!$G$20+46*'Resource Planner'!$I$20-1,'Resource Planner'!$H$20),"","–"&amp;MIN('Resource Planner'!$G$20+46*'Resource Planner'!$I$20-1,'Resource Planner'!$H$20)),"")</f>
        <v/>
      </c>
      <c r="G550" s="163" t="s">
        <v>109</v>
      </c>
      <c r="H550" s="163" t="str">
        <f>IF(AND('Resource Planner'!$A$20="☑",46&lt;='Resource Planner'!$N$20),'Resource Planner'!$M$20,"")</f>
        <v/>
      </c>
    </row>
    <row r="551" ht="15.75" customHeight="1">
      <c r="A5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51" s="163" t="str">
        <f>IF(AND('Resource Planner'!$A$20="☑",47&lt;='Resource Planner'!$N$20),'Resource Planner'!$C$20,"")</f>
        <v/>
      </c>
      <c r="C551" s="163" t="str">
        <f>IF(AND('Resource Planner'!$A$20="☑",47&lt;='Resource Planner'!$N$20),'Resource Planner'!$B$20,"")</f>
        <v/>
      </c>
      <c r="D551" s="163" t="str">
        <f>IF(AND('Resource Planner'!$A$20="☑",47&lt;='Resource Planner'!$N$20),'Resource Planner'!$D$20,"")</f>
        <v/>
      </c>
      <c r="E551" s="163" t="str">
        <f>IF(AND('Resource Planner'!$A$20="☑",47&lt;='Resource Planner'!$N$20),'Resource Planner'!$E$20,"")</f>
        <v/>
      </c>
      <c r="F551" s="163" t="str">
        <f>IF(AND('Resource Planner'!$A$20="☑",47&lt;='Resource Planner'!$N$20),'Resource Planner'!$F$20&amp;" "&amp;('Resource Planner'!$G$20+(47-1)*'Resource Planner'!$I$20)&amp;IF(('Resource Planner'!$G$20+(47-1)*'Resource Planner'!$I$20)=MIN('Resource Planner'!$G$20+47*'Resource Planner'!$I$20-1,'Resource Planner'!$H$20),"","–"&amp;MIN('Resource Planner'!$G$20+47*'Resource Planner'!$I$20-1,'Resource Planner'!$H$20)),"")</f>
        <v/>
      </c>
      <c r="G551" s="163" t="s">
        <v>109</v>
      </c>
      <c r="H551" s="163" t="str">
        <f>IF(AND('Resource Planner'!$A$20="☑",47&lt;='Resource Planner'!$N$20),'Resource Planner'!$M$20,"")</f>
        <v/>
      </c>
    </row>
    <row r="552" ht="15.75" customHeight="1">
      <c r="A5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52" s="163" t="str">
        <f>IF(AND('Resource Planner'!$A$20="☑",48&lt;='Resource Planner'!$N$20),'Resource Planner'!$C$20,"")</f>
        <v/>
      </c>
      <c r="C552" s="163" t="str">
        <f>IF(AND('Resource Planner'!$A$20="☑",48&lt;='Resource Planner'!$N$20),'Resource Planner'!$B$20,"")</f>
        <v/>
      </c>
      <c r="D552" s="163" t="str">
        <f>IF(AND('Resource Planner'!$A$20="☑",48&lt;='Resource Planner'!$N$20),'Resource Planner'!$D$20,"")</f>
        <v/>
      </c>
      <c r="E552" s="163" t="str">
        <f>IF(AND('Resource Planner'!$A$20="☑",48&lt;='Resource Planner'!$N$20),'Resource Planner'!$E$20,"")</f>
        <v/>
      </c>
      <c r="F552" s="163" t="str">
        <f>IF(AND('Resource Planner'!$A$20="☑",48&lt;='Resource Planner'!$N$20),'Resource Planner'!$F$20&amp;" "&amp;('Resource Planner'!$G$20+(48-1)*'Resource Planner'!$I$20)&amp;IF(('Resource Planner'!$G$20+(48-1)*'Resource Planner'!$I$20)=MIN('Resource Planner'!$G$20+48*'Resource Planner'!$I$20-1,'Resource Planner'!$H$20),"","–"&amp;MIN('Resource Planner'!$G$20+48*'Resource Planner'!$I$20-1,'Resource Planner'!$H$20)),"")</f>
        <v/>
      </c>
      <c r="G552" s="163" t="s">
        <v>109</v>
      </c>
      <c r="H552" s="163" t="str">
        <f>IF(AND('Resource Planner'!$A$20="☑",48&lt;='Resource Planner'!$N$20),'Resource Planner'!$M$20,"")</f>
        <v/>
      </c>
    </row>
    <row r="553" ht="15.75" customHeight="1">
      <c r="A5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53" s="163" t="str">
        <f>IF(AND('Resource Planner'!$A$20="☑",49&lt;='Resource Planner'!$N$20),'Resource Planner'!$C$20,"")</f>
        <v/>
      </c>
      <c r="C553" s="163" t="str">
        <f>IF(AND('Resource Planner'!$A$20="☑",49&lt;='Resource Planner'!$N$20),'Resource Planner'!$B$20,"")</f>
        <v/>
      </c>
      <c r="D553" s="163" t="str">
        <f>IF(AND('Resource Planner'!$A$20="☑",49&lt;='Resource Planner'!$N$20),'Resource Planner'!$D$20,"")</f>
        <v/>
      </c>
      <c r="E553" s="163" t="str">
        <f>IF(AND('Resource Planner'!$A$20="☑",49&lt;='Resource Planner'!$N$20),'Resource Planner'!$E$20,"")</f>
        <v/>
      </c>
      <c r="F553" s="163" t="str">
        <f>IF(AND('Resource Planner'!$A$20="☑",49&lt;='Resource Planner'!$N$20),'Resource Planner'!$F$20&amp;" "&amp;('Resource Planner'!$G$20+(49-1)*'Resource Planner'!$I$20)&amp;IF(('Resource Planner'!$G$20+(49-1)*'Resource Planner'!$I$20)=MIN('Resource Planner'!$G$20+49*'Resource Planner'!$I$20-1,'Resource Planner'!$H$20),"","–"&amp;MIN('Resource Planner'!$G$20+49*'Resource Planner'!$I$20-1,'Resource Planner'!$H$20)),"")</f>
        <v/>
      </c>
      <c r="G553" s="163" t="s">
        <v>109</v>
      </c>
      <c r="H553" s="163" t="str">
        <f>IF(AND('Resource Planner'!$A$20="☑",49&lt;='Resource Planner'!$N$20),'Resource Planner'!$M$20,"")</f>
        <v/>
      </c>
    </row>
    <row r="554" ht="15.75" customHeight="1">
      <c r="A5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54" s="163" t="str">
        <f>IF(AND('Resource Planner'!$A$20="☑",50&lt;='Resource Planner'!$N$20),'Resource Planner'!$C$20,"")</f>
        <v/>
      </c>
      <c r="C554" s="163" t="str">
        <f>IF(AND('Resource Planner'!$A$20="☑",50&lt;='Resource Planner'!$N$20),'Resource Planner'!$B$20,"")</f>
        <v/>
      </c>
      <c r="D554" s="163" t="str">
        <f>IF(AND('Resource Planner'!$A$20="☑",50&lt;='Resource Planner'!$N$20),'Resource Planner'!$D$20,"")</f>
        <v/>
      </c>
      <c r="E554" s="163" t="str">
        <f>IF(AND('Resource Planner'!$A$20="☑",50&lt;='Resource Planner'!$N$20),'Resource Planner'!$E$20,"")</f>
        <v/>
      </c>
      <c r="F554" s="163" t="str">
        <f>IF(AND('Resource Planner'!$A$20="☑",50&lt;='Resource Planner'!$N$20),'Resource Planner'!$F$20&amp;" "&amp;('Resource Planner'!$G$20+(50-1)*'Resource Planner'!$I$20)&amp;IF(('Resource Planner'!$G$20+(50-1)*'Resource Planner'!$I$20)=MIN('Resource Planner'!$G$20+50*'Resource Planner'!$I$20-1,'Resource Planner'!$H$20),"","–"&amp;MIN('Resource Planner'!$G$20+50*'Resource Planner'!$I$20-1,'Resource Planner'!$H$20)),"")</f>
        <v/>
      </c>
      <c r="G554" s="163" t="s">
        <v>109</v>
      </c>
      <c r="H554" s="163" t="str">
        <f>IF(AND('Resource Planner'!$A$20="☑",50&lt;='Resource Planner'!$N$20),'Resource Planner'!$M$20,"")</f>
        <v/>
      </c>
    </row>
    <row r="555" ht="15.75" customHeight="1">
      <c r="A55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week"",10*(n-1),""Custom"",gap*(n-1),n-1),IF(AND(active=""☑"",n&lt;=lessons,st&lt;&gt;""""),INDEX(eligibleDates,startPos+offset),"""")),"""")"),46385.0)</f>
        <v>46385</v>
      </c>
      <c r="B555" s="33" t="str">
        <f>IF(AND('Resource Planner'!$A$21="☑",1&lt;='Resource Planner'!$N$21),'Resource Planner'!$C$21,"")</f>
        <v>Everyone</v>
      </c>
      <c r="C555" s="33" t="str">
        <f>IF(AND('Resource Planner'!$A$21="☑",1&lt;='Resource Planner'!$N$21),'Resource Planner'!$B$21,"")</f>
        <v>Faith</v>
      </c>
      <c r="D555" s="33" t="str">
        <f>IF(AND('Resource Planner'!$A$21="☑",1&lt;='Resource Planner'!$N$21),'Resource Planner'!$D$21,"")</f>
        <v>All Together / Bible — Old Testament</v>
      </c>
      <c r="E555" s="33" t="str">
        <f>IF(AND('Resource Planner'!$A$21="☑",1&lt;='Resource Planner'!$N$21),'Resource Planner'!$E$21,"")</f>
        <v>Exodus</v>
      </c>
      <c r="F555" s="163" t="str">
        <f>IF(AND('Resource Planner'!$A$21="☑",1&lt;='Resource Planner'!$N$21),'Resource Planner'!$F$21&amp;" "&amp;('Resource Planner'!$G$21+(1-1)*'Resource Planner'!$I$21)&amp;IF(('Resource Planner'!$G$21+(1-1)*'Resource Planner'!$I$21)=MIN('Resource Planner'!$G$21+1*'Resource Planner'!$I$21-1,'Resource Planner'!$H$21),"","–"&amp;MIN('Resource Planner'!$G$21+1*'Resource Planner'!$I$21-1,'Resource Planner'!$H$21)),"")</f>
        <v>Chapter 1</v>
      </c>
      <c r="G555" s="163" t="s">
        <v>109</v>
      </c>
      <c r="H555" s="33" t="str">
        <f>IF(AND('Resource Planner'!$A$21="☑",1&lt;='Resource Planner'!$N$21),'Resource Planner'!$M$21,"")</f>
        <v/>
      </c>
    </row>
    <row r="556" ht="15.75" customHeight="1">
      <c r="A55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week"",10*(n-1),""Custom"",gap*(n-1),n-1),IF(AND(active=""☑"",n&lt;=lessons,st&lt;&gt;""""),INDEX(eligibleDates,startPos+offset),"""")),"""")"),46392.0)</f>
        <v>46392</v>
      </c>
      <c r="B556" s="33" t="str">
        <f>IF(AND('Resource Planner'!$A$21="☑",2&lt;='Resource Planner'!$N$21),'Resource Planner'!$C$21,"")</f>
        <v>Everyone</v>
      </c>
      <c r="C556" s="33" t="str">
        <f>IF(AND('Resource Planner'!$A$21="☑",2&lt;='Resource Planner'!$N$21),'Resource Planner'!$B$21,"")</f>
        <v>Faith</v>
      </c>
      <c r="D556" s="33" t="str">
        <f>IF(AND('Resource Planner'!$A$21="☑",2&lt;='Resource Planner'!$N$21),'Resource Planner'!$D$21,"")</f>
        <v>All Together / Bible — Old Testament</v>
      </c>
      <c r="E556" s="33" t="str">
        <f>IF(AND('Resource Planner'!$A$21="☑",2&lt;='Resource Planner'!$N$21),'Resource Planner'!$E$21,"")</f>
        <v>Exodus</v>
      </c>
      <c r="F556" s="163" t="str">
        <f>IF(AND('Resource Planner'!$A$21="☑",2&lt;='Resource Planner'!$N$21),'Resource Planner'!$F$21&amp;" "&amp;('Resource Planner'!$G$21+(2-1)*'Resource Planner'!$I$21)&amp;IF(('Resource Planner'!$G$21+(2-1)*'Resource Planner'!$I$21)=MIN('Resource Planner'!$G$21+2*'Resource Planner'!$I$21-1,'Resource Planner'!$H$21),"","–"&amp;MIN('Resource Planner'!$G$21+2*'Resource Planner'!$I$21-1,'Resource Planner'!$H$21)),"")</f>
        <v>Chapter 2</v>
      </c>
      <c r="G556" s="163" t="s">
        <v>109</v>
      </c>
      <c r="H556" s="33" t="str">
        <f>IF(AND('Resource Planner'!$A$21="☑",2&lt;='Resource Planner'!$N$21),'Resource Planner'!$M$21,"")</f>
        <v/>
      </c>
    </row>
    <row r="557" ht="15.75" customHeight="1">
      <c r="A55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week"",10*(n-1),""Custom"",gap*(n-1),n-1),IF(AND(active=""☑"",n&lt;=lessons,st&lt;&gt;""""),INDEX(eligibleDates,startPos+offset),"""")),"""")"),46399.0)</f>
        <v>46399</v>
      </c>
      <c r="B557" s="33" t="str">
        <f>IF(AND('Resource Planner'!$A$21="☑",3&lt;='Resource Planner'!$N$21),'Resource Planner'!$C$21,"")</f>
        <v>Everyone</v>
      </c>
      <c r="C557" s="33" t="str">
        <f>IF(AND('Resource Planner'!$A$21="☑",3&lt;='Resource Planner'!$N$21),'Resource Planner'!$B$21,"")</f>
        <v>Faith</v>
      </c>
      <c r="D557" s="33" t="str">
        <f>IF(AND('Resource Planner'!$A$21="☑",3&lt;='Resource Planner'!$N$21),'Resource Planner'!$D$21,"")</f>
        <v>All Together / Bible — Old Testament</v>
      </c>
      <c r="E557" s="33" t="str">
        <f>IF(AND('Resource Planner'!$A$21="☑",3&lt;='Resource Planner'!$N$21),'Resource Planner'!$E$21,"")</f>
        <v>Exodus</v>
      </c>
      <c r="F557" s="163" t="str">
        <f>IF(AND('Resource Planner'!$A$21="☑",3&lt;='Resource Planner'!$N$21),'Resource Planner'!$F$21&amp;" "&amp;('Resource Planner'!$G$21+(3-1)*'Resource Planner'!$I$21)&amp;IF(('Resource Planner'!$G$21+(3-1)*'Resource Planner'!$I$21)=MIN('Resource Planner'!$G$21+3*'Resource Planner'!$I$21-1,'Resource Planner'!$H$21),"","–"&amp;MIN('Resource Planner'!$G$21+3*'Resource Planner'!$I$21-1,'Resource Planner'!$H$21)),"")</f>
        <v>Chapter 3</v>
      </c>
      <c r="G557" s="163" t="s">
        <v>109</v>
      </c>
      <c r="H557" s="33" t="str">
        <f>IF(AND('Resource Planner'!$A$21="☑",3&lt;='Resource Planner'!$N$21),'Resource Planner'!$M$21,"")</f>
        <v/>
      </c>
    </row>
    <row r="558" ht="15.75" customHeight="1">
      <c r="A55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week"",10*(n-1),""Custom"",gap*(n-1),n-1),IF(AND(active=""☑"",n&lt;=lessons,st&lt;&gt;""""),INDEX(eligibleDates,startPos+offset),"""")),"""")"),46413.0)</f>
        <v>46413</v>
      </c>
      <c r="B558" s="33" t="str">
        <f>IF(AND('Resource Planner'!$A$21="☑",4&lt;='Resource Planner'!$N$21),'Resource Planner'!$C$21,"")</f>
        <v>Everyone</v>
      </c>
      <c r="C558" s="33" t="str">
        <f>IF(AND('Resource Planner'!$A$21="☑",4&lt;='Resource Planner'!$N$21),'Resource Planner'!$B$21,"")</f>
        <v>Faith</v>
      </c>
      <c r="D558" s="33" t="str">
        <f>IF(AND('Resource Planner'!$A$21="☑",4&lt;='Resource Planner'!$N$21),'Resource Planner'!$D$21,"")</f>
        <v>All Together / Bible — Old Testament</v>
      </c>
      <c r="E558" s="33" t="str">
        <f>IF(AND('Resource Planner'!$A$21="☑",4&lt;='Resource Planner'!$N$21),'Resource Planner'!$E$21,"")</f>
        <v>Exodus</v>
      </c>
      <c r="F558" s="163" t="str">
        <f>IF(AND('Resource Planner'!$A$21="☑",4&lt;='Resource Planner'!$N$21),'Resource Planner'!$F$21&amp;" "&amp;('Resource Planner'!$G$21+(4-1)*'Resource Planner'!$I$21)&amp;IF(('Resource Planner'!$G$21+(4-1)*'Resource Planner'!$I$21)=MIN('Resource Planner'!$G$21+4*'Resource Planner'!$I$21-1,'Resource Planner'!$H$21),"","–"&amp;MIN('Resource Planner'!$G$21+4*'Resource Planner'!$I$21-1,'Resource Planner'!$H$21)),"")</f>
        <v>Chapter 4</v>
      </c>
      <c r="G558" s="163" t="s">
        <v>109</v>
      </c>
      <c r="H558" s="33" t="str">
        <f>IF(AND('Resource Planner'!$A$21="☑",4&lt;='Resource Planner'!$N$21),'Resource Planner'!$M$21,"")</f>
        <v/>
      </c>
    </row>
    <row r="559" ht="15.75" customHeight="1">
      <c r="A55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week"",10*(n-1),""Custom"",gap*(n-1),n-1),IF(AND(active=""☑"",n&lt;=lessons,st&lt;&gt;""""),INDEX(eligibleDates,startPos+offset),"""")),"""")"),46420.0)</f>
        <v>46420</v>
      </c>
      <c r="B559" s="33" t="str">
        <f>IF(AND('Resource Planner'!$A$21="☑",5&lt;='Resource Planner'!$N$21),'Resource Planner'!$C$21,"")</f>
        <v>Everyone</v>
      </c>
      <c r="C559" s="33" t="str">
        <f>IF(AND('Resource Planner'!$A$21="☑",5&lt;='Resource Planner'!$N$21),'Resource Planner'!$B$21,"")</f>
        <v>Faith</v>
      </c>
      <c r="D559" s="33" t="str">
        <f>IF(AND('Resource Planner'!$A$21="☑",5&lt;='Resource Planner'!$N$21),'Resource Planner'!$D$21,"")</f>
        <v>All Together / Bible — Old Testament</v>
      </c>
      <c r="E559" s="33" t="str">
        <f>IF(AND('Resource Planner'!$A$21="☑",5&lt;='Resource Planner'!$N$21),'Resource Planner'!$E$21,"")</f>
        <v>Exodus</v>
      </c>
      <c r="F559" s="163" t="str">
        <f>IF(AND('Resource Planner'!$A$21="☑",5&lt;='Resource Planner'!$N$21),'Resource Planner'!$F$21&amp;" "&amp;('Resource Planner'!$G$21+(5-1)*'Resource Planner'!$I$21)&amp;IF(('Resource Planner'!$G$21+(5-1)*'Resource Planner'!$I$21)=MIN('Resource Planner'!$G$21+5*'Resource Planner'!$I$21-1,'Resource Planner'!$H$21),"","–"&amp;MIN('Resource Planner'!$G$21+5*'Resource Planner'!$I$21-1,'Resource Planner'!$H$21)),"")</f>
        <v>Chapter 5</v>
      </c>
      <c r="G559" s="163" t="s">
        <v>109</v>
      </c>
      <c r="H559" s="33" t="str">
        <f>IF(AND('Resource Planner'!$A$21="☑",5&lt;='Resource Planner'!$N$21),'Resource Planner'!$M$21,"")</f>
        <v/>
      </c>
    </row>
    <row r="560" ht="15.75" customHeight="1">
      <c r="A56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week"",10*(n-1),""Custom"",gap*(n-1),n-1),IF(AND(active=""☑"",n&lt;=lessons,st&lt;&gt;""""),INDEX(eligibleDates,startPos+offset),"""")),"""")"),46427.0)</f>
        <v>46427</v>
      </c>
      <c r="B560" s="33" t="str">
        <f>IF(AND('Resource Planner'!$A$21="☑",6&lt;='Resource Planner'!$N$21),'Resource Planner'!$C$21,"")</f>
        <v>Everyone</v>
      </c>
      <c r="C560" s="33" t="str">
        <f>IF(AND('Resource Planner'!$A$21="☑",6&lt;='Resource Planner'!$N$21),'Resource Planner'!$B$21,"")</f>
        <v>Faith</v>
      </c>
      <c r="D560" s="33" t="str">
        <f>IF(AND('Resource Planner'!$A$21="☑",6&lt;='Resource Planner'!$N$21),'Resource Planner'!$D$21,"")</f>
        <v>All Together / Bible — Old Testament</v>
      </c>
      <c r="E560" s="33" t="str">
        <f>IF(AND('Resource Planner'!$A$21="☑",6&lt;='Resource Planner'!$N$21),'Resource Planner'!$E$21,"")</f>
        <v>Exodus</v>
      </c>
      <c r="F560" s="163" t="str">
        <f>IF(AND('Resource Planner'!$A$21="☑",6&lt;='Resource Planner'!$N$21),'Resource Planner'!$F$21&amp;" "&amp;('Resource Planner'!$G$21+(6-1)*'Resource Planner'!$I$21)&amp;IF(('Resource Planner'!$G$21+(6-1)*'Resource Planner'!$I$21)=MIN('Resource Planner'!$G$21+6*'Resource Planner'!$I$21-1,'Resource Planner'!$H$21),"","–"&amp;MIN('Resource Planner'!$G$21+6*'Resource Planner'!$I$21-1,'Resource Planner'!$H$21)),"")</f>
        <v>Chapter 6</v>
      </c>
      <c r="G560" s="163" t="s">
        <v>109</v>
      </c>
      <c r="H560" s="33" t="str">
        <f>IF(AND('Resource Planner'!$A$21="☑",6&lt;='Resource Planner'!$N$21),'Resource Planner'!$M$21,"")</f>
        <v/>
      </c>
    </row>
    <row r="561" ht="15.75" customHeight="1">
      <c r="A56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week"",10*(n-1),""Custom"",gap*(n-1),n-1),IF(AND(active=""☑"",n&lt;=lessons,st&lt;&gt;""""),INDEX(eligibleDates,startPos+offset),"""")),"""")"),46434.0)</f>
        <v>46434</v>
      </c>
      <c r="B561" s="33" t="str">
        <f>IF(AND('Resource Planner'!$A$21="☑",7&lt;='Resource Planner'!$N$21),'Resource Planner'!$C$21,"")</f>
        <v>Everyone</v>
      </c>
      <c r="C561" s="33" t="str">
        <f>IF(AND('Resource Planner'!$A$21="☑",7&lt;='Resource Planner'!$N$21),'Resource Planner'!$B$21,"")</f>
        <v>Faith</v>
      </c>
      <c r="D561" s="33" t="str">
        <f>IF(AND('Resource Planner'!$A$21="☑",7&lt;='Resource Planner'!$N$21),'Resource Planner'!$D$21,"")</f>
        <v>All Together / Bible — Old Testament</v>
      </c>
      <c r="E561" s="33" t="str">
        <f>IF(AND('Resource Planner'!$A$21="☑",7&lt;='Resource Planner'!$N$21),'Resource Planner'!$E$21,"")</f>
        <v>Exodus</v>
      </c>
      <c r="F561" s="163" t="str">
        <f>IF(AND('Resource Planner'!$A$21="☑",7&lt;='Resource Planner'!$N$21),'Resource Planner'!$F$21&amp;" "&amp;('Resource Planner'!$G$21+(7-1)*'Resource Planner'!$I$21)&amp;IF(('Resource Planner'!$G$21+(7-1)*'Resource Planner'!$I$21)=MIN('Resource Planner'!$G$21+7*'Resource Planner'!$I$21-1,'Resource Planner'!$H$21),"","–"&amp;MIN('Resource Planner'!$G$21+7*'Resource Planner'!$I$21-1,'Resource Planner'!$H$21)),"")</f>
        <v>Chapter 7</v>
      </c>
      <c r="G561" s="163" t="s">
        <v>109</v>
      </c>
      <c r="H561" s="33" t="str">
        <f>IF(AND('Resource Planner'!$A$21="☑",7&lt;='Resource Planner'!$N$21),'Resource Planner'!$M$21,"")</f>
        <v/>
      </c>
    </row>
    <row r="562" ht="15.75" customHeight="1">
      <c r="A56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week"",10*(n-1),""Custom"",gap*(n-1),n-1),IF(AND(active=""☑"",n&lt;=lessons,st&lt;&gt;""""),INDEX(eligibleDates,startPos+offset),"""")),"""")"),46441.0)</f>
        <v>46441</v>
      </c>
      <c r="B562" s="33" t="str">
        <f>IF(AND('Resource Planner'!$A$21="☑",8&lt;='Resource Planner'!$N$21),'Resource Planner'!$C$21,"")</f>
        <v>Everyone</v>
      </c>
      <c r="C562" s="33" t="str">
        <f>IF(AND('Resource Planner'!$A$21="☑",8&lt;='Resource Planner'!$N$21),'Resource Planner'!$B$21,"")</f>
        <v>Faith</v>
      </c>
      <c r="D562" s="33" t="str">
        <f>IF(AND('Resource Planner'!$A$21="☑",8&lt;='Resource Planner'!$N$21),'Resource Planner'!$D$21,"")</f>
        <v>All Together / Bible — Old Testament</v>
      </c>
      <c r="E562" s="33" t="str">
        <f>IF(AND('Resource Planner'!$A$21="☑",8&lt;='Resource Planner'!$N$21),'Resource Planner'!$E$21,"")</f>
        <v>Exodus</v>
      </c>
      <c r="F562" s="163" t="str">
        <f>IF(AND('Resource Planner'!$A$21="☑",8&lt;='Resource Planner'!$N$21),'Resource Planner'!$F$21&amp;" "&amp;('Resource Planner'!$G$21+(8-1)*'Resource Planner'!$I$21)&amp;IF(('Resource Planner'!$G$21+(8-1)*'Resource Planner'!$I$21)=MIN('Resource Planner'!$G$21+8*'Resource Planner'!$I$21-1,'Resource Planner'!$H$21),"","–"&amp;MIN('Resource Planner'!$G$21+8*'Resource Planner'!$I$21-1,'Resource Planner'!$H$21)),"")</f>
        <v>Chapter 8</v>
      </c>
      <c r="G562" s="163" t="s">
        <v>109</v>
      </c>
      <c r="H562" s="33" t="str">
        <f>IF(AND('Resource Planner'!$A$21="☑",8&lt;='Resource Planner'!$N$21),'Resource Planner'!$M$21,"")</f>
        <v/>
      </c>
    </row>
    <row r="563" ht="15.75" customHeight="1">
      <c r="A56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week"",10*(n-1),""Custom"",gap*(n-1),n-1),IF(AND(active=""☑"",n&lt;=lessons,st&lt;&gt;""""),INDEX(eligibleDates,startPos+offset),"""")),"""")"),46448.0)</f>
        <v>46448</v>
      </c>
      <c r="B563" s="33" t="str">
        <f>IF(AND('Resource Planner'!$A$21="☑",9&lt;='Resource Planner'!$N$21),'Resource Planner'!$C$21,"")</f>
        <v>Everyone</v>
      </c>
      <c r="C563" s="33" t="str">
        <f>IF(AND('Resource Planner'!$A$21="☑",9&lt;='Resource Planner'!$N$21),'Resource Planner'!$B$21,"")</f>
        <v>Faith</v>
      </c>
      <c r="D563" s="33" t="str">
        <f>IF(AND('Resource Planner'!$A$21="☑",9&lt;='Resource Planner'!$N$21),'Resource Planner'!$D$21,"")</f>
        <v>All Together / Bible — Old Testament</v>
      </c>
      <c r="E563" s="33" t="str">
        <f>IF(AND('Resource Planner'!$A$21="☑",9&lt;='Resource Planner'!$N$21),'Resource Planner'!$E$21,"")</f>
        <v>Exodus</v>
      </c>
      <c r="F563" s="163" t="str">
        <f>IF(AND('Resource Planner'!$A$21="☑",9&lt;='Resource Planner'!$N$21),'Resource Planner'!$F$21&amp;" "&amp;('Resource Planner'!$G$21+(9-1)*'Resource Planner'!$I$21)&amp;IF(('Resource Planner'!$G$21+(9-1)*'Resource Planner'!$I$21)=MIN('Resource Planner'!$G$21+9*'Resource Planner'!$I$21-1,'Resource Planner'!$H$21),"","–"&amp;MIN('Resource Planner'!$G$21+9*'Resource Planner'!$I$21-1,'Resource Planner'!$H$21)),"")</f>
        <v>Chapter 9</v>
      </c>
      <c r="G563" s="163" t="s">
        <v>109</v>
      </c>
      <c r="H563" s="33" t="str">
        <f>IF(AND('Resource Planner'!$A$21="☑",9&lt;='Resource Planner'!$N$21),'Resource Planner'!$M$21,"")</f>
        <v/>
      </c>
    </row>
    <row r="564" ht="15.75" customHeight="1">
      <c r="A56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week"",10*(n-1),""Custom"",gap*(n-1),n-1),IF(AND(active=""☑"",n&lt;=lessons,st&lt;&gt;""""),INDEX(eligibleDates,startPos+offset),"""")),"""")"),46455.0)</f>
        <v>46455</v>
      </c>
      <c r="B564" s="33" t="str">
        <f>IF(AND('Resource Planner'!$A$21="☑",10&lt;='Resource Planner'!$N$21),'Resource Planner'!$C$21,"")</f>
        <v>Everyone</v>
      </c>
      <c r="C564" s="33" t="str">
        <f>IF(AND('Resource Planner'!$A$21="☑",10&lt;='Resource Planner'!$N$21),'Resource Planner'!$B$21,"")</f>
        <v>Faith</v>
      </c>
      <c r="D564" s="33" t="str">
        <f>IF(AND('Resource Planner'!$A$21="☑",10&lt;='Resource Planner'!$N$21),'Resource Planner'!$D$21,"")</f>
        <v>All Together / Bible — Old Testament</v>
      </c>
      <c r="E564" s="33" t="str">
        <f>IF(AND('Resource Planner'!$A$21="☑",10&lt;='Resource Planner'!$N$21),'Resource Planner'!$E$21,"")</f>
        <v>Exodus</v>
      </c>
      <c r="F564" s="163" t="str">
        <f>IF(AND('Resource Planner'!$A$21="☑",10&lt;='Resource Planner'!$N$21),'Resource Planner'!$F$21&amp;" "&amp;('Resource Planner'!$G$21+(10-1)*'Resource Planner'!$I$21)&amp;IF(('Resource Planner'!$G$21+(10-1)*'Resource Planner'!$I$21)=MIN('Resource Planner'!$G$21+10*'Resource Planner'!$I$21-1,'Resource Planner'!$H$21),"","–"&amp;MIN('Resource Planner'!$G$21+10*'Resource Planner'!$I$21-1,'Resource Planner'!$H$21)),"")</f>
        <v>Chapter 10</v>
      </c>
      <c r="G564" s="163" t="s">
        <v>109</v>
      </c>
      <c r="H564" s="33" t="str">
        <f>IF(AND('Resource Planner'!$A$21="☑",10&lt;='Resource Planner'!$N$21),'Resource Planner'!$M$21,"")</f>
        <v/>
      </c>
    </row>
    <row r="565" ht="15.75" customHeight="1">
      <c r="A56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week"",10*(n-1),""Custom"",gap*(n-1),n-1),IF(AND(active=""☑"",n&lt;=lessons,st&lt;&gt;""""),INDEX(eligibleDates,startPos+offset),"""")),"""")"),46462.0)</f>
        <v>46462</v>
      </c>
      <c r="B565" s="33" t="str">
        <f>IF(AND('Resource Planner'!$A$21="☑",11&lt;='Resource Planner'!$N$21),'Resource Planner'!$C$21,"")</f>
        <v>Everyone</v>
      </c>
      <c r="C565" s="33" t="str">
        <f>IF(AND('Resource Planner'!$A$21="☑",11&lt;='Resource Planner'!$N$21),'Resource Planner'!$B$21,"")</f>
        <v>Faith</v>
      </c>
      <c r="D565" s="33" t="str">
        <f>IF(AND('Resource Planner'!$A$21="☑",11&lt;='Resource Planner'!$N$21),'Resource Planner'!$D$21,"")</f>
        <v>All Together / Bible — Old Testament</v>
      </c>
      <c r="E565" s="33" t="str">
        <f>IF(AND('Resource Planner'!$A$21="☑",11&lt;='Resource Planner'!$N$21),'Resource Planner'!$E$21,"")</f>
        <v>Exodus</v>
      </c>
      <c r="F565" s="163" t="str">
        <f>IF(AND('Resource Planner'!$A$21="☑",11&lt;='Resource Planner'!$N$21),'Resource Planner'!$F$21&amp;" "&amp;('Resource Planner'!$G$21+(11-1)*'Resource Planner'!$I$21)&amp;IF(('Resource Planner'!$G$21+(11-1)*'Resource Planner'!$I$21)=MIN('Resource Planner'!$G$21+11*'Resource Planner'!$I$21-1,'Resource Planner'!$H$21),"","–"&amp;MIN('Resource Planner'!$G$21+11*'Resource Planner'!$I$21-1,'Resource Planner'!$H$21)),"")</f>
        <v>Chapter 11</v>
      </c>
      <c r="G565" s="163" t="s">
        <v>109</v>
      </c>
      <c r="H565" s="33" t="str">
        <f>IF(AND('Resource Planner'!$A$21="☑",11&lt;='Resource Planner'!$N$21),'Resource Planner'!$M$21,"")</f>
        <v/>
      </c>
    </row>
    <row r="566" ht="15.75" customHeight="1">
      <c r="A56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week"",10*(n-1),""Custom"",gap*(n-1),n-1),IF(AND(active=""☑"",n&lt;=lessons,st&lt;&gt;""""),INDEX(eligibleDates,startPos+offset),"""")),"""")"),46469.0)</f>
        <v>46469</v>
      </c>
      <c r="B566" s="33" t="str">
        <f>IF(AND('Resource Planner'!$A$21="☑",12&lt;='Resource Planner'!$N$21),'Resource Planner'!$C$21,"")</f>
        <v>Everyone</v>
      </c>
      <c r="C566" s="33" t="str">
        <f>IF(AND('Resource Planner'!$A$21="☑",12&lt;='Resource Planner'!$N$21),'Resource Planner'!$B$21,"")</f>
        <v>Faith</v>
      </c>
      <c r="D566" s="33" t="str">
        <f>IF(AND('Resource Planner'!$A$21="☑",12&lt;='Resource Planner'!$N$21),'Resource Planner'!$D$21,"")</f>
        <v>All Together / Bible — Old Testament</v>
      </c>
      <c r="E566" s="33" t="str">
        <f>IF(AND('Resource Planner'!$A$21="☑",12&lt;='Resource Planner'!$N$21),'Resource Planner'!$E$21,"")</f>
        <v>Exodus</v>
      </c>
      <c r="F566" s="163" t="str">
        <f>IF(AND('Resource Planner'!$A$21="☑",12&lt;='Resource Planner'!$N$21),'Resource Planner'!$F$21&amp;" "&amp;('Resource Planner'!$G$21+(12-1)*'Resource Planner'!$I$21)&amp;IF(('Resource Planner'!$G$21+(12-1)*'Resource Planner'!$I$21)=MIN('Resource Planner'!$G$21+12*'Resource Planner'!$I$21-1,'Resource Planner'!$H$21),"","–"&amp;MIN('Resource Planner'!$G$21+12*'Resource Planner'!$I$21-1,'Resource Planner'!$H$21)),"")</f>
        <v>Chapter 12</v>
      </c>
      <c r="G566" s="163" t="s">
        <v>109</v>
      </c>
      <c r="H566" s="33" t="str">
        <f>IF(AND('Resource Planner'!$A$21="☑",12&lt;='Resource Planner'!$N$21),'Resource Planner'!$M$21,"")</f>
        <v/>
      </c>
    </row>
    <row r="567" ht="15.75" customHeight="1">
      <c r="A56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week"",10*(n-1),""Custom"",gap*(n-1),n-1),IF(AND(active=""☑"",n&lt;=lessons,st&lt;&gt;""""),INDEX(eligibleDates,startPos+offset),"""")),"""")"),46476.0)</f>
        <v>46476</v>
      </c>
      <c r="B567" s="33" t="str">
        <f>IF(AND('Resource Planner'!$A$21="☑",13&lt;='Resource Planner'!$N$21),'Resource Planner'!$C$21,"")</f>
        <v>Everyone</v>
      </c>
      <c r="C567" s="33" t="str">
        <f>IF(AND('Resource Planner'!$A$21="☑",13&lt;='Resource Planner'!$N$21),'Resource Planner'!$B$21,"")</f>
        <v>Faith</v>
      </c>
      <c r="D567" s="33" t="str">
        <f>IF(AND('Resource Planner'!$A$21="☑",13&lt;='Resource Planner'!$N$21),'Resource Planner'!$D$21,"")</f>
        <v>All Together / Bible — Old Testament</v>
      </c>
      <c r="E567" s="33" t="str">
        <f>IF(AND('Resource Planner'!$A$21="☑",13&lt;='Resource Planner'!$N$21),'Resource Planner'!$E$21,"")</f>
        <v>Exodus</v>
      </c>
      <c r="F567" s="163" t="str">
        <f>IF(AND('Resource Planner'!$A$21="☑",13&lt;='Resource Planner'!$N$21),'Resource Planner'!$F$21&amp;" "&amp;('Resource Planner'!$G$21+(13-1)*'Resource Planner'!$I$21)&amp;IF(('Resource Planner'!$G$21+(13-1)*'Resource Planner'!$I$21)=MIN('Resource Planner'!$G$21+13*'Resource Planner'!$I$21-1,'Resource Planner'!$H$21),"","–"&amp;MIN('Resource Planner'!$G$21+13*'Resource Planner'!$I$21-1,'Resource Planner'!$H$21)),"")</f>
        <v>Chapter 13</v>
      </c>
      <c r="G567" s="163" t="s">
        <v>109</v>
      </c>
      <c r="H567" s="33" t="str">
        <f>IF(AND('Resource Planner'!$A$21="☑",13&lt;='Resource Planner'!$N$21),'Resource Planner'!$M$21,"")</f>
        <v/>
      </c>
    </row>
    <row r="568" ht="15.75" customHeight="1">
      <c r="A56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week"",10*(n-1),""Custom"",gap*(n-1),n-1),IF(AND(active=""☑"",n&lt;=lessons,st&lt;&gt;""""),INDEX(eligibleDates,startPos+offset),"""")),"""")"),46483.0)</f>
        <v>46483</v>
      </c>
      <c r="B568" s="33" t="str">
        <f>IF(AND('Resource Planner'!$A$21="☑",14&lt;='Resource Planner'!$N$21),'Resource Planner'!$C$21,"")</f>
        <v>Everyone</v>
      </c>
      <c r="C568" s="33" t="str">
        <f>IF(AND('Resource Planner'!$A$21="☑",14&lt;='Resource Planner'!$N$21),'Resource Planner'!$B$21,"")</f>
        <v>Faith</v>
      </c>
      <c r="D568" s="33" t="str">
        <f>IF(AND('Resource Planner'!$A$21="☑",14&lt;='Resource Planner'!$N$21),'Resource Planner'!$D$21,"")</f>
        <v>All Together / Bible — Old Testament</v>
      </c>
      <c r="E568" s="33" t="str">
        <f>IF(AND('Resource Planner'!$A$21="☑",14&lt;='Resource Planner'!$N$21),'Resource Planner'!$E$21,"")</f>
        <v>Exodus</v>
      </c>
      <c r="F568" s="163" t="str">
        <f>IF(AND('Resource Planner'!$A$21="☑",14&lt;='Resource Planner'!$N$21),'Resource Planner'!$F$21&amp;" "&amp;('Resource Planner'!$G$21+(14-1)*'Resource Planner'!$I$21)&amp;IF(('Resource Planner'!$G$21+(14-1)*'Resource Planner'!$I$21)=MIN('Resource Planner'!$G$21+14*'Resource Planner'!$I$21-1,'Resource Planner'!$H$21),"","–"&amp;MIN('Resource Planner'!$G$21+14*'Resource Planner'!$I$21-1,'Resource Planner'!$H$21)),"")</f>
        <v>Chapter 14</v>
      </c>
      <c r="G568" s="163" t="s">
        <v>109</v>
      </c>
      <c r="H568" s="33" t="str">
        <f>IF(AND('Resource Planner'!$A$21="☑",14&lt;='Resource Planner'!$N$21),'Resource Planner'!$M$21,"")</f>
        <v/>
      </c>
    </row>
    <row r="569" ht="15.75" customHeight="1">
      <c r="A56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week"",10*(n-1),""Custom"",gap*(n-1),n-1),IF(AND(active=""☑"",n&lt;=lessons,st&lt;&gt;""""),INDEX(eligibleDates,startPos+offset),"""")),"""")"),46497.0)</f>
        <v>46497</v>
      </c>
      <c r="B569" s="33" t="str">
        <f>IF(AND('Resource Planner'!$A$21="☑",15&lt;='Resource Planner'!$N$21),'Resource Planner'!$C$21,"")</f>
        <v>Everyone</v>
      </c>
      <c r="C569" s="33" t="str">
        <f>IF(AND('Resource Planner'!$A$21="☑",15&lt;='Resource Planner'!$N$21),'Resource Planner'!$B$21,"")</f>
        <v>Faith</v>
      </c>
      <c r="D569" s="33" t="str">
        <f>IF(AND('Resource Planner'!$A$21="☑",15&lt;='Resource Planner'!$N$21),'Resource Planner'!$D$21,"")</f>
        <v>All Together / Bible — Old Testament</v>
      </c>
      <c r="E569" s="33" t="str">
        <f>IF(AND('Resource Planner'!$A$21="☑",15&lt;='Resource Planner'!$N$21),'Resource Planner'!$E$21,"")</f>
        <v>Exodus</v>
      </c>
      <c r="F569" s="163" t="str">
        <f>IF(AND('Resource Planner'!$A$21="☑",15&lt;='Resource Planner'!$N$21),'Resource Planner'!$F$21&amp;" "&amp;('Resource Planner'!$G$21+(15-1)*'Resource Planner'!$I$21)&amp;IF(('Resource Planner'!$G$21+(15-1)*'Resource Planner'!$I$21)=MIN('Resource Planner'!$G$21+15*'Resource Planner'!$I$21-1,'Resource Planner'!$H$21),"","–"&amp;MIN('Resource Planner'!$G$21+15*'Resource Planner'!$I$21-1,'Resource Planner'!$H$21)),"")</f>
        <v>Chapter 15</v>
      </c>
      <c r="G569" s="163" t="s">
        <v>109</v>
      </c>
      <c r="H569" s="33" t="str">
        <f>IF(AND('Resource Planner'!$A$21="☑",15&lt;='Resource Planner'!$N$21),'Resource Planner'!$M$21,"")</f>
        <v/>
      </c>
    </row>
    <row r="570" ht="15.75" customHeight="1">
      <c r="A57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week"",10*(n-1),""Custom"",gap*(n-1),n-1),IF(AND(active=""☑"",n&lt;=lessons,st&lt;&gt;""""),INDEX(eligibleDates,startPos+offset),"""")),"""")"),46504.0)</f>
        <v>46504</v>
      </c>
      <c r="B570" s="33" t="str">
        <f>IF(AND('Resource Planner'!$A$21="☑",16&lt;='Resource Planner'!$N$21),'Resource Planner'!$C$21,"")</f>
        <v>Everyone</v>
      </c>
      <c r="C570" s="33" t="str">
        <f>IF(AND('Resource Planner'!$A$21="☑",16&lt;='Resource Planner'!$N$21),'Resource Planner'!$B$21,"")</f>
        <v>Faith</v>
      </c>
      <c r="D570" s="33" t="str">
        <f>IF(AND('Resource Planner'!$A$21="☑",16&lt;='Resource Planner'!$N$21),'Resource Planner'!$D$21,"")</f>
        <v>All Together / Bible — Old Testament</v>
      </c>
      <c r="E570" s="33" t="str">
        <f>IF(AND('Resource Planner'!$A$21="☑",16&lt;='Resource Planner'!$N$21),'Resource Planner'!$E$21,"")</f>
        <v>Exodus</v>
      </c>
      <c r="F570" s="163" t="str">
        <f>IF(AND('Resource Planner'!$A$21="☑",16&lt;='Resource Planner'!$N$21),'Resource Planner'!$F$21&amp;" "&amp;('Resource Planner'!$G$21+(16-1)*'Resource Planner'!$I$21)&amp;IF(('Resource Planner'!$G$21+(16-1)*'Resource Planner'!$I$21)=MIN('Resource Planner'!$G$21+16*'Resource Planner'!$I$21-1,'Resource Planner'!$H$21),"","–"&amp;MIN('Resource Planner'!$G$21+16*'Resource Planner'!$I$21-1,'Resource Planner'!$H$21)),"")</f>
        <v>Chapter 16</v>
      </c>
      <c r="G570" s="163" t="s">
        <v>109</v>
      </c>
      <c r="H570" s="33" t="str">
        <f>IF(AND('Resource Planner'!$A$21="☑",16&lt;='Resource Planner'!$N$21),'Resource Planner'!$M$21,"")</f>
        <v/>
      </c>
    </row>
    <row r="571" ht="15.75" customHeight="1">
      <c r="A57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week"",10*(n-1),""Custom"",gap*(n-1),n-1),IF(AND(active=""☑"",n&lt;=lessons,st&lt;&gt;""""),INDEX(eligibleDates,startPos+offset),"""")),"""")"),46511.0)</f>
        <v>46511</v>
      </c>
      <c r="B571" s="33" t="str">
        <f>IF(AND('Resource Planner'!$A$21="☑",17&lt;='Resource Planner'!$N$21),'Resource Planner'!$C$21,"")</f>
        <v>Everyone</v>
      </c>
      <c r="C571" s="33" t="str">
        <f>IF(AND('Resource Planner'!$A$21="☑",17&lt;='Resource Planner'!$N$21),'Resource Planner'!$B$21,"")</f>
        <v>Faith</v>
      </c>
      <c r="D571" s="33" t="str">
        <f>IF(AND('Resource Planner'!$A$21="☑",17&lt;='Resource Planner'!$N$21),'Resource Planner'!$D$21,"")</f>
        <v>All Together / Bible — Old Testament</v>
      </c>
      <c r="E571" s="33" t="str">
        <f>IF(AND('Resource Planner'!$A$21="☑",17&lt;='Resource Planner'!$N$21),'Resource Planner'!$E$21,"")</f>
        <v>Exodus</v>
      </c>
      <c r="F571" s="163" t="str">
        <f>IF(AND('Resource Planner'!$A$21="☑",17&lt;='Resource Planner'!$N$21),'Resource Planner'!$F$21&amp;" "&amp;('Resource Planner'!$G$21+(17-1)*'Resource Planner'!$I$21)&amp;IF(('Resource Planner'!$G$21+(17-1)*'Resource Planner'!$I$21)=MIN('Resource Planner'!$G$21+17*'Resource Planner'!$I$21-1,'Resource Planner'!$H$21),"","–"&amp;MIN('Resource Planner'!$G$21+17*'Resource Planner'!$I$21-1,'Resource Planner'!$H$21)),"")</f>
        <v>Chapter 17</v>
      </c>
      <c r="G571" s="163" t="s">
        <v>109</v>
      </c>
      <c r="H571" s="33" t="str">
        <f>IF(AND('Resource Planner'!$A$21="☑",17&lt;='Resource Planner'!$N$21),'Resource Planner'!$M$21,"")</f>
        <v/>
      </c>
    </row>
    <row r="572" ht="15.75" customHeight="1">
      <c r="A57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week"",10*(n-1),""Custom"",gap*(n-1),n-1),IF(AND(active=""☑"",n&lt;=lessons,st&lt;&gt;""""),INDEX(eligibleDates,startPos+offset),"""")),"""")"),46518.0)</f>
        <v>46518</v>
      </c>
      <c r="B572" s="33" t="str">
        <f>IF(AND('Resource Planner'!$A$21="☑",18&lt;='Resource Planner'!$N$21),'Resource Planner'!$C$21,"")</f>
        <v>Everyone</v>
      </c>
      <c r="C572" s="33" t="str">
        <f>IF(AND('Resource Planner'!$A$21="☑",18&lt;='Resource Planner'!$N$21),'Resource Planner'!$B$21,"")</f>
        <v>Faith</v>
      </c>
      <c r="D572" s="33" t="str">
        <f>IF(AND('Resource Planner'!$A$21="☑",18&lt;='Resource Planner'!$N$21),'Resource Planner'!$D$21,"")</f>
        <v>All Together / Bible — Old Testament</v>
      </c>
      <c r="E572" s="33" t="str">
        <f>IF(AND('Resource Planner'!$A$21="☑",18&lt;='Resource Planner'!$N$21),'Resource Planner'!$E$21,"")</f>
        <v>Exodus</v>
      </c>
      <c r="F572" s="163" t="str">
        <f>IF(AND('Resource Planner'!$A$21="☑",18&lt;='Resource Planner'!$N$21),'Resource Planner'!$F$21&amp;" "&amp;('Resource Planner'!$G$21+(18-1)*'Resource Planner'!$I$21)&amp;IF(('Resource Planner'!$G$21+(18-1)*'Resource Planner'!$I$21)=MIN('Resource Planner'!$G$21+18*'Resource Planner'!$I$21-1,'Resource Planner'!$H$21),"","–"&amp;MIN('Resource Planner'!$G$21+18*'Resource Planner'!$I$21-1,'Resource Planner'!$H$21)),"")</f>
        <v>Chapter 18</v>
      </c>
      <c r="G572" s="163" t="s">
        <v>109</v>
      </c>
      <c r="H572" s="33" t="str">
        <f>IF(AND('Resource Planner'!$A$21="☑",18&lt;='Resource Planner'!$N$21),'Resource Planner'!$M$21,"")</f>
        <v/>
      </c>
    </row>
    <row r="573" ht="15.75" customHeight="1">
      <c r="A57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week"",10*(n-1),""Custom"",gap*(n-1),n-1),IF(AND(active=""☑"",n&lt;=lessons,st&lt;&gt;""""),INDEX(eligibleDates,startPos+offset),"""")),"""")"),46525.0)</f>
        <v>46525</v>
      </c>
      <c r="B573" s="33" t="str">
        <f>IF(AND('Resource Planner'!$A$21="☑",19&lt;='Resource Planner'!$N$21),'Resource Planner'!$C$21,"")</f>
        <v>Everyone</v>
      </c>
      <c r="C573" s="33" t="str">
        <f>IF(AND('Resource Planner'!$A$21="☑",19&lt;='Resource Planner'!$N$21),'Resource Planner'!$B$21,"")</f>
        <v>Faith</v>
      </c>
      <c r="D573" s="33" t="str">
        <f>IF(AND('Resource Planner'!$A$21="☑",19&lt;='Resource Planner'!$N$21),'Resource Planner'!$D$21,"")</f>
        <v>All Together / Bible — Old Testament</v>
      </c>
      <c r="E573" s="33" t="str">
        <f>IF(AND('Resource Planner'!$A$21="☑",19&lt;='Resource Planner'!$N$21),'Resource Planner'!$E$21,"")</f>
        <v>Exodus</v>
      </c>
      <c r="F573" s="163" t="str">
        <f>IF(AND('Resource Planner'!$A$21="☑",19&lt;='Resource Planner'!$N$21),'Resource Planner'!$F$21&amp;" "&amp;('Resource Planner'!$G$21+(19-1)*'Resource Planner'!$I$21)&amp;IF(('Resource Planner'!$G$21+(19-1)*'Resource Planner'!$I$21)=MIN('Resource Planner'!$G$21+19*'Resource Planner'!$I$21-1,'Resource Planner'!$H$21),"","–"&amp;MIN('Resource Planner'!$G$21+19*'Resource Planner'!$I$21-1,'Resource Planner'!$H$21)),"")</f>
        <v>Chapter 19</v>
      </c>
      <c r="G573" s="163" t="s">
        <v>109</v>
      </c>
      <c r="H573" s="33" t="str">
        <f>IF(AND('Resource Planner'!$A$21="☑",19&lt;='Resource Planner'!$N$21),'Resource Planner'!$M$21,"")</f>
        <v/>
      </c>
    </row>
    <row r="574" ht="15.75" customHeight="1">
      <c r="A57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week"",10*(n-1),""Custom"",gap*(n-1),n-1),IF(AND(active=""☑"",n&lt;=lessons,st&lt;&gt;""""),INDEX(eligibleDates,startPos+offset),"""")),"""")"),46532.0)</f>
        <v>46532</v>
      </c>
      <c r="B574" s="33" t="str">
        <f>IF(AND('Resource Planner'!$A$21="☑",20&lt;='Resource Planner'!$N$21),'Resource Planner'!$C$21,"")</f>
        <v>Everyone</v>
      </c>
      <c r="C574" s="33" t="str">
        <f>IF(AND('Resource Planner'!$A$21="☑",20&lt;='Resource Planner'!$N$21),'Resource Planner'!$B$21,"")</f>
        <v>Faith</v>
      </c>
      <c r="D574" s="33" t="str">
        <f>IF(AND('Resource Planner'!$A$21="☑",20&lt;='Resource Planner'!$N$21),'Resource Planner'!$D$21,"")</f>
        <v>All Together / Bible — Old Testament</v>
      </c>
      <c r="E574" s="33" t="str">
        <f>IF(AND('Resource Planner'!$A$21="☑",20&lt;='Resource Planner'!$N$21),'Resource Planner'!$E$21,"")</f>
        <v>Exodus</v>
      </c>
      <c r="F574" s="163" t="str">
        <f>IF(AND('Resource Planner'!$A$21="☑",20&lt;='Resource Planner'!$N$21),'Resource Planner'!$F$21&amp;" "&amp;('Resource Planner'!$G$21+(20-1)*'Resource Planner'!$I$21)&amp;IF(('Resource Planner'!$G$21+(20-1)*'Resource Planner'!$I$21)=MIN('Resource Planner'!$G$21+20*'Resource Planner'!$I$21-1,'Resource Planner'!$H$21),"","–"&amp;MIN('Resource Planner'!$G$21+20*'Resource Planner'!$I$21-1,'Resource Planner'!$H$21)),"")</f>
        <v>Chapter 20</v>
      </c>
      <c r="G574" s="163" t="s">
        <v>109</v>
      </c>
      <c r="H574" s="33" t="str">
        <f>IF(AND('Resource Planner'!$A$21="☑",20&lt;='Resource Planner'!$N$21),'Resource Planner'!$M$21,"")</f>
        <v/>
      </c>
    </row>
    <row r="575" ht="15.75" customHeight="1">
      <c r="A57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week"",10*(n-1),""Custom"",gap*(n-1),n-1),IF(AND(active=""☑"",n&lt;=lessons,st&lt;&gt;""""),INDEX(eligibleDates,startPos+offset),"""")),"""")"),46539.0)</f>
        <v>46539</v>
      </c>
      <c r="B575" s="33" t="str">
        <f>IF(AND('Resource Planner'!$A$21="☑",21&lt;='Resource Planner'!$N$21),'Resource Planner'!$C$21,"")</f>
        <v>Everyone</v>
      </c>
      <c r="C575" s="33" t="str">
        <f>IF(AND('Resource Planner'!$A$21="☑",21&lt;='Resource Planner'!$N$21),'Resource Planner'!$B$21,"")</f>
        <v>Faith</v>
      </c>
      <c r="D575" s="33" t="str">
        <f>IF(AND('Resource Planner'!$A$21="☑",21&lt;='Resource Planner'!$N$21),'Resource Planner'!$D$21,"")</f>
        <v>All Together / Bible — Old Testament</v>
      </c>
      <c r="E575" s="33" t="str">
        <f>IF(AND('Resource Planner'!$A$21="☑",21&lt;='Resource Planner'!$N$21),'Resource Planner'!$E$21,"")</f>
        <v>Exodus</v>
      </c>
      <c r="F575" s="163" t="str">
        <f>IF(AND('Resource Planner'!$A$21="☑",21&lt;='Resource Planner'!$N$21),'Resource Planner'!$F$21&amp;" "&amp;('Resource Planner'!$G$21+(21-1)*'Resource Planner'!$I$21)&amp;IF(('Resource Planner'!$G$21+(21-1)*'Resource Planner'!$I$21)=MIN('Resource Planner'!$G$21+21*'Resource Planner'!$I$21-1,'Resource Planner'!$H$21),"","–"&amp;MIN('Resource Planner'!$G$21+21*'Resource Planner'!$I$21-1,'Resource Planner'!$H$21)),"")</f>
        <v>Chapter 21</v>
      </c>
      <c r="G575" s="163" t="s">
        <v>109</v>
      </c>
      <c r="H575" s="33" t="str">
        <f>IF(AND('Resource Planner'!$A$21="☑",21&lt;='Resource Planner'!$N$21),'Resource Planner'!$M$21,"")</f>
        <v/>
      </c>
    </row>
    <row r="576" ht="15.75" customHeight="1">
      <c r="A57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week"",10*(n-1),""Custom"",gap*(n-1),n-1),IF(AND(active=""☑"",n&lt;=lessons,st&lt;&gt;""""),INDEX(eligibleDates,startPos+offset),"""")),"""")"),46546.0)</f>
        <v>46546</v>
      </c>
      <c r="B576" s="33" t="str">
        <f>IF(AND('Resource Planner'!$A$21="☑",22&lt;='Resource Planner'!$N$21),'Resource Planner'!$C$21,"")</f>
        <v>Everyone</v>
      </c>
      <c r="C576" s="33" t="str">
        <f>IF(AND('Resource Planner'!$A$21="☑",22&lt;='Resource Planner'!$N$21),'Resource Planner'!$B$21,"")</f>
        <v>Faith</v>
      </c>
      <c r="D576" s="33" t="str">
        <f>IF(AND('Resource Planner'!$A$21="☑",22&lt;='Resource Planner'!$N$21),'Resource Planner'!$D$21,"")</f>
        <v>All Together / Bible — Old Testament</v>
      </c>
      <c r="E576" s="33" t="str">
        <f>IF(AND('Resource Planner'!$A$21="☑",22&lt;='Resource Planner'!$N$21),'Resource Planner'!$E$21,"")</f>
        <v>Exodus</v>
      </c>
      <c r="F576" s="163" t="str">
        <f>IF(AND('Resource Planner'!$A$21="☑",22&lt;='Resource Planner'!$N$21),'Resource Planner'!$F$21&amp;" "&amp;('Resource Planner'!$G$21+(22-1)*'Resource Planner'!$I$21)&amp;IF(('Resource Planner'!$G$21+(22-1)*'Resource Planner'!$I$21)=MIN('Resource Planner'!$G$21+22*'Resource Planner'!$I$21-1,'Resource Planner'!$H$21),"","–"&amp;MIN('Resource Planner'!$G$21+22*'Resource Planner'!$I$21-1,'Resource Planner'!$H$21)),"")</f>
        <v>Chapter 22</v>
      </c>
      <c r="G576" s="163" t="s">
        <v>109</v>
      </c>
      <c r="H576" s="33" t="str">
        <f>IF(AND('Resource Planner'!$A$21="☑",22&lt;='Resource Planner'!$N$21),'Resource Planner'!$M$21,"")</f>
        <v/>
      </c>
    </row>
    <row r="577" ht="15.75" customHeight="1">
      <c r="A57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week"",10*(n-1),""Custom"",gap*(n-1),n-1),IF(AND(active=""☑"",n&lt;=lessons,st&lt;&gt;""""),INDEX(eligibleDates,startPos+offset),"""")),"""")"),46553.0)</f>
        <v>46553</v>
      </c>
      <c r="B577" s="33" t="str">
        <f>IF(AND('Resource Planner'!$A$21="☑",23&lt;='Resource Planner'!$N$21),'Resource Planner'!$C$21,"")</f>
        <v>Everyone</v>
      </c>
      <c r="C577" s="33" t="str">
        <f>IF(AND('Resource Planner'!$A$21="☑",23&lt;='Resource Planner'!$N$21),'Resource Planner'!$B$21,"")</f>
        <v>Faith</v>
      </c>
      <c r="D577" s="33" t="str">
        <f>IF(AND('Resource Planner'!$A$21="☑",23&lt;='Resource Planner'!$N$21),'Resource Planner'!$D$21,"")</f>
        <v>All Together / Bible — Old Testament</v>
      </c>
      <c r="E577" s="33" t="str">
        <f>IF(AND('Resource Planner'!$A$21="☑",23&lt;='Resource Planner'!$N$21),'Resource Planner'!$E$21,"")</f>
        <v>Exodus</v>
      </c>
      <c r="F577" s="163" t="str">
        <f>IF(AND('Resource Planner'!$A$21="☑",23&lt;='Resource Planner'!$N$21),'Resource Planner'!$F$21&amp;" "&amp;('Resource Planner'!$G$21+(23-1)*'Resource Planner'!$I$21)&amp;IF(('Resource Planner'!$G$21+(23-1)*'Resource Planner'!$I$21)=MIN('Resource Planner'!$G$21+23*'Resource Planner'!$I$21-1,'Resource Planner'!$H$21),"","–"&amp;MIN('Resource Planner'!$G$21+23*'Resource Planner'!$I$21-1,'Resource Planner'!$H$21)),"")</f>
        <v>Chapter 23</v>
      </c>
      <c r="G577" s="163" t="s">
        <v>109</v>
      </c>
      <c r="H577" s="33" t="str">
        <f>IF(AND('Resource Planner'!$A$21="☑",23&lt;='Resource Planner'!$N$21),'Resource Planner'!$M$21,"")</f>
        <v/>
      </c>
    </row>
    <row r="578" ht="15.75" customHeight="1">
      <c r="A57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week"",10*(n-1),""Custom"",gap*(n-1),n-1),IF(AND(active=""☑"",n&lt;=lessons,st&lt;&gt;""""),INDEX(eligibleDates,startPos+offset),"""")),"""")"),46560.0)</f>
        <v>46560</v>
      </c>
      <c r="B578" s="33" t="str">
        <f>IF(AND('Resource Planner'!$A$21="☑",24&lt;='Resource Planner'!$N$21),'Resource Planner'!$C$21,"")</f>
        <v>Everyone</v>
      </c>
      <c r="C578" s="33" t="str">
        <f>IF(AND('Resource Planner'!$A$21="☑",24&lt;='Resource Planner'!$N$21),'Resource Planner'!$B$21,"")</f>
        <v>Faith</v>
      </c>
      <c r="D578" s="33" t="str">
        <f>IF(AND('Resource Planner'!$A$21="☑",24&lt;='Resource Planner'!$N$21),'Resource Planner'!$D$21,"")</f>
        <v>All Together / Bible — Old Testament</v>
      </c>
      <c r="E578" s="33" t="str">
        <f>IF(AND('Resource Planner'!$A$21="☑",24&lt;='Resource Planner'!$N$21),'Resource Planner'!$E$21,"")</f>
        <v>Exodus</v>
      </c>
      <c r="F578" s="163" t="str">
        <f>IF(AND('Resource Planner'!$A$21="☑",24&lt;='Resource Planner'!$N$21),'Resource Planner'!$F$21&amp;" "&amp;('Resource Planner'!$G$21+(24-1)*'Resource Planner'!$I$21)&amp;IF(('Resource Planner'!$G$21+(24-1)*'Resource Planner'!$I$21)=MIN('Resource Planner'!$G$21+24*'Resource Planner'!$I$21-1,'Resource Planner'!$H$21),"","–"&amp;MIN('Resource Planner'!$G$21+24*'Resource Planner'!$I$21-1,'Resource Planner'!$H$21)),"")</f>
        <v>Chapter 24</v>
      </c>
      <c r="G578" s="163" t="s">
        <v>109</v>
      </c>
      <c r="H578" s="33" t="str">
        <f>IF(AND('Resource Planner'!$A$21="☑",24&lt;='Resource Planner'!$N$21),'Resource Planner'!$M$21,"")</f>
        <v/>
      </c>
    </row>
    <row r="579" ht="15.75" customHeight="1">
      <c r="A57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week"",10*(n-1),""Custom"",gap*(n-1),n-1),IF(AND(active=""☑"",n&lt;=lessons,st&lt;&gt;""""),INDEX(eligibleDates,startPos+offset),"""")),"""")"),46567.0)</f>
        <v>46567</v>
      </c>
      <c r="B579" s="33" t="str">
        <f>IF(AND('Resource Planner'!$A$21="☑",25&lt;='Resource Planner'!$N$21),'Resource Planner'!$C$21,"")</f>
        <v>Everyone</v>
      </c>
      <c r="C579" s="33" t="str">
        <f>IF(AND('Resource Planner'!$A$21="☑",25&lt;='Resource Planner'!$N$21),'Resource Planner'!$B$21,"")</f>
        <v>Faith</v>
      </c>
      <c r="D579" s="33" t="str">
        <f>IF(AND('Resource Planner'!$A$21="☑",25&lt;='Resource Planner'!$N$21),'Resource Planner'!$D$21,"")</f>
        <v>All Together / Bible — Old Testament</v>
      </c>
      <c r="E579" s="33" t="str">
        <f>IF(AND('Resource Planner'!$A$21="☑",25&lt;='Resource Planner'!$N$21),'Resource Planner'!$E$21,"")</f>
        <v>Exodus</v>
      </c>
      <c r="F579" s="163" t="str">
        <f>IF(AND('Resource Planner'!$A$21="☑",25&lt;='Resource Planner'!$N$21),'Resource Planner'!$F$21&amp;" "&amp;('Resource Planner'!$G$21+(25-1)*'Resource Planner'!$I$21)&amp;IF(('Resource Planner'!$G$21+(25-1)*'Resource Planner'!$I$21)=MIN('Resource Planner'!$G$21+25*'Resource Planner'!$I$21-1,'Resource Planner'!$H$21),"","–"&amp;MIN('Resource Planner'!$G$21+25*'Resource Planner'!$I$21-1,'Resource Planner'!$H$21)),"")</f>
        <v>Chapter 25</v>
      </c>
      <c r="G579" s="163" t="s">
        <v>109</v>
      </c>
      <c r="H579" s="33" t="str">
        <f>IF(AND('Resource Planner'!$A$21="☑",25&lt;='Resource Planner'!$N$21),'Resource Planner'!$M$21,"")</f>
        <v/>
      </c>
    </row>
    <row r="580" ht="15.75" customHeight="1">
      <c r="A5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0" s="163" t="str">
        <f>IF(AND('Resource Planner'!$A$21="☑",26&lt;='Resource Planner'!$N$21),'Resource Planner'!$C$21,"")</f>
        <v/>
      </c>
      <c r="C580" s="163" t="str">
        <f>IF(AND('Resource Planner'!$A$21="☑",26&lt;='Resource Planner'!$N$21),'Resource Planner'!$B$21,"")</f>
        <v/>
      </c>
      <c r="D580" s="163" t="str">
        <f>IF(AND('Resource Planner'!$A$21="☑",26&lt;='Resource Planner'!$N$21),'Resource Planner'!$D$21,"")</f>
        <v/>
      </c>
      <c r="E580" s="163" t="str">
        <f>IF(AND('Resource Planner'!$A$21="☑",26&lt;='Resource Planner'!$N$21),'Resource Planner'!$E$21,"")</f>
        <v/>
      </c>
      <c r="F580" s="163" t="str">
        <f>IF(AND('Resource Planner'!$A$21="☑",26&lt;='Resource Planner'!$N$21),'Resource Planner'!$F$21&amp;" "&amp;('Resource Planner'!$G$21+(26-1)*'Resource Planner'!$I$21)&amp;IF(('Resource Planner'!$G$21+(26-1)*'Resource Planner'!$I$21)=MIN('Resource Planner'!$G$21+26*'Resource Planner'!$I$21-1,'Resource Planner'!$H$21),"","–"&amp;MIN('Resource Planner'!$G$21+26*'Resource Planner'!$I$21-1,'Resource Planner'!$H$21)),"")</f>
        <v/>
      </c>
      <c r="G580" s="163" t="s">
        <v>109</v>
      </c>
      <c r="H580" s="163" t="str">
        <f>IF(AND('Resource Planner'!$A$21="☑",26&lt;='Resource Planner'!$N$21),'Resource Planner'!$M$21,"")</f>
        <v/>
      </c>
    </row>
    <row r="581" ht="15.75" customHeight="1">
      <c r="A5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1" s="163" t="str">
        <f>IF(AND('Resource Planner'!$A$21="☑",27&lt;='Resource Planner'!$N$21),'Resource Planner'!$C$21,"")</f>
        <v/>
      </c>
      <c r="C581" s="163" t="str">
        <f>IF(AND('Resource Planner'!$A$21="☑",27&lt;='Resource Planner'!$N$21),'Resource Planner'!$B$21,"")</f>
        <v/>
      </c>
      <c r="D581" s="163" t="str">
        <f>IF(AND('Resource Planner'!$A$21="☑",27&lt;='Resource Planner'!$N$21),'Resource Planner'!$D$21,"")</f>
        <v/>
      </c>
      <c r="E581" s="163" t="str">
        <f>IF(AND('Resource Planner'!$A$21="☑",27&lt;='Resource Planner'!$N$21),'Resource Planner'!$E$21,"")</f>
        <v/>
      </c>
      <c r="F581" s="163" t="str">
        <f>IF(AND('Resource Planner'!$A$21="☑",27&lt;='Resource Planner'!$N$21),'Resource Planner'!$F$21&amp;" "&amp;('Resource Planner'!$G$21+(27-1)*'Resource Planner'!$I$21)&amp;IF(('Resource Planner'!$G$21+(27-1)*'Resource Planner'!$I$21)=MIN('Resource Planner'!$G$21+27*'Resource Planner'!$I$21-1,'Resource Planner'!$H$21),"","–"&amp;MIN('Resource Planner'!$G$21+27*'Resource Planner'!$I$21-1,'Resource Planner'!$H$21)),"")</f>
        <v/>
      </c>
      <c r="G581" s="163" t="s">
        <v>109</v>
      </c>
      <c r="H581" s="163" t="str">
        <f>IF(AND('Resource Planner'!$A$21="☑",27&lt;='Resource Planner'!$N$21),'Resource Planner'!$M$21,"")</f>
        <v/>
      </c>
    </row>
    <row r="582" ht="15.75" customHeight="1">
      <c r="A5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2" s="163" t="str">
        <f>IF(AND('Resource Planner'!$A$21="☑",28&lt;='Resource Planner'!$N$21),'Resource Planner'!$C$21,"")</f>
        <v/>
      </c>
      <c r="C582" s="163" t="str">
        <f>IF(AND('Resource Planner'!$A$21="☑",28&lt;='Resource Planner'!$N$21),'Resource Planner'!$B$21,"")</f>
        <v/>
      </c>
      <c r="D582" s="163" t="str">
        <f>IF(AND('Resource Planner'!$A$21="☑",28&lt;='Resource Planner'!$N$21),'Resource Planner'!$D$21,"")</f>
        <v/>
      </c>
      <c r="E582" s="163" t="str">
        <f>IF(AND('Resource Planner'!$A$21="☑",28&lt;='Resource Planner'!$N$21),'Resource Planner'!$E$21,"")</f>
        <v/>
      </c>
      <c r="F582" s="163" t="str">
        <f>IF(AND('Resource Planner'!$A$21="☑",28&lt;='Resource Planner'!$N$21),'Resource Planner'!$F$21&amp;" "&amp;('Resource Planner'!$G$21+(28-1)*'Resource Planner'!$I$21)&amp;IF(('Resource Planner'!$G$21+(28-1)*'Resource Planner'!$I$21)=MIN('Resource Planner'!$G$21+28*'Resource Planner'!$I$21-1,'Resource Planner'!$H$21),"","–"&amp;MIN('Resource Planner'!$G$21+28*'Resource Planner'!$I$21-1,'Resource Planner'!$H$21)),"")</f>
        <v/>
      </c>
      <c r="G582" s="163" t="s">
        <v>109</v>
      </c>
      <c r="H582" s="163" t="str">
        <f>IF(AND('Resource Planner'!$A$21="☑",28&lt;='Resource Planner'!$N$21),'Resource Planner'!$M$21,"")</f>
        <v/>
      </c>
    </row>
    <row r="583" ht="15.75" customHeight="1">
      <c r="A5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3" s="163" t="str">
        <f>IF(AND('Resource Planner'!$A$21="☑",29&lt;='Resource Planner'!$N$21),'Resource Planner'!$C$21,"")</f>
        <v/>
      </c>
      <c r="C583" s="163" t="str">
        <f>IF(AND('Resource Planner'!$A$21="☑",29&lt;='Resource Planner'!$N$21),'Resource Planner'!$B$21,"")</f>
        <v/>
      </c>
      <c r="D583" s="163" t="str">
        <f>IF(AND('Resource Planner'!$A$21="☑",29&lt;='Resource Planner'!$N$21),'Resource Planner'!$D$21,"")</f>
        <v/>
      </c>
      <c r="E583" s="163" t="str">
        <f>IF(AND('Resource Planner'!$A$21="☑",29&lt;='Resource Planner'!$N$21),'Resource Planner'!$E$21,"")</f>
        <v/>
      </c>
      <c r="F583" s="163" t="str">
        <f>IF(AND('Resource Planner'!$A$21="☑",29&lt;='Resource Planner'!$N$21),'Resource Planner'!$F$21&amp;" "&amp;('Resource Planner'!$G$21+(29-1)*'Resource Planner'!$I$21)&amp;IF(('Resource Planner'!$G$21+(29-1)*'Resource Planner'!$I$21)=MIN('Resource Planner'!$G$21+29*'Resource Planner'!$I$21-1,'Resource Planner'!$H$21),"","–"&amp;MIN('Resource Planner'!$G$21+29*'Resource Planner'!$I$21-1,'Resource Planner'!$H$21)),"")</f>
        <v/>
      </c>
      <c r="G583" s="163" t="s">
        <v>109</v>
      </c>
      <c r="H583" s="163" t="str">
        <f>IF(AND('Resource Planner'!$A$21="☑",29&lt;='Resource Planner'!$N$21),'Resource Planner'!$M$21,"")</f>
        <v/>
      </c>
    </row>
    <row r="584" ht="15.75" customHeight="1">
      <c r="A5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4" s="163" t="str">
        <f>IF(AND('Resource Planner'!$A$21="☑",30&lt;='Resource Planner'!$N$21),'Resource Planner'!$C$21,"")</f>
        <v/>
      </c>
      <c r="C584" s="163" t="str">
        <f>IF(AND('Resource Planner'!$A$21="☑",30&lt;='Resource Planner'!$N$21),'Resource Planner'!$B$21,"")</f>
        <v/>
      </c>
      <c r="D584" s="163" t="str">
        <f>IF(AND('Resource Planner'!$A$21="☑",30&lt;='Resource Planner'!$N$21),'Resource Planner'!$D$21,"")</f>
        <v/>
      </c>
      <c r="E584" s="163" t="str">
        <f>IF(AND('Resource Planner'!$A$21="☑",30&lt;='Resource Planner'!$N$21),'Resource Planner'!$E$21,"")</f>
        <v/>
      </c>
      <c r="F584" s="163" t="str">
        <f>IF(AND('Resource Planner'!$A$21="☑",30&lt;='Resource Planner'!$N$21),'Resource Planner'!$F$21&amp;" "&amp;('Resource Planner'!$G$21+(30-1)*'Resource Planner'!$I$21)&amp;IF(('Resource Planner'!$G$21+(30-1)*'Resource Planner'!$I$21)=MIN('Resource Planner'!$G$21+30*'Resource Planner'!$I$21-1,'Resource Planner'!$H$21),"","–"&amp;MIN('Resource Planner'!$G$21+30*'Resource Planner'!$I$21-1,'Resource Planner'!$H$21)),"")</f>
        <v/>
      </c>
      <c r="G584" s="163" t="s">
        <v>109</v>
      </c>
      <c r="H584" s="163" t="str">
        <f>IF(AND('Resource Planner'!$A$21="☑",30&lt;='Resource Planner'!$N$21),'Resource Planner'!$M$21,"")</f>
        <v/>
      </c>
    </row>
    <row r="585" ht="15.75" customHeight="1">
      <c r="A5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5" s="163" t="str">
        <f>IF(AND('Resource Planner'!$A$21="☑",31&lt;='Resource Planner'!$N$21),'Resource Planner'!$C$21,"")</f>
        <v/>
      </c>
      <c r="C585" s="163" t="str">
        <f>IF(AND('Resource Planner'!$A$21="☑",31&lt;='Resource Planner'!$N$21),'Resource Planner'!$B$21,"")</f>
        <v/>
      </c>
      <c r="D585" s="163" t="str">
        <f>IF(AND('Resource Planner'!$A$21="☑",31&lt;='Resource Planner'!$N$21),'Resource Planner'!$D$21,"")</f>
        <v/>
      </c>
      <c r="E585" s="163" t="str">
        <f>IF(AND('Resource Planner'!$A$21="☑",31&lt;='Resource Planner'!$N$21),'Resource Planner'!$E$21,"")</f>
        <v/>
      </c>
      <c r="F585" s="163" t="str">
        <f>IF(AND('Resource Planner'!$A$21="☑",31&lt;='Resource Planner'!$N$21),'Resource Planner'!$F$21&amp;" "&amp;('Resource Planner'!$G$21+(31-1)*'Resource Planner'!$I$21)&amp;IF(('Resource Planner'!$G$21+(31-1)*'Resource Planner'!$I$21)=MIN('Resource Planner'!$G$21+31*'Resource Planner'!$I$21-1,'Resource Planner'!$H$21),"","–"&amp;MIN('Resource Planner'!$G$21+31*'Resource Planner'!$I$21-1,'Resource Planner'!$H$21)),"")</f>
        <v/>
      </c>
      <c r="G585" s="163" t="s">
        <v>109</v>
      </c>
      <c r="H585" s="163" t="str">
        <f>IF(AND('Resource Planner'!$A$21="☑",31&lt;='Resource Planner'!$N$21),'Resource Planner'!$M$21,"")</f>
        <v/>
      </c>
    </row>
    <row r="586" ht="15.75" customHeight="1">
      <c r="A5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6" s="163" t="str">
        <f>IF(AND('Resource Planner'!$A$21="☑",32&lt;='Resource Planner'!$N$21),'Resource Planner'!$C$21,"")</f>
        <v/>
      </c>
      <c r="C586" s="163" t="str">
        <f>IF(AND('Resource Planner'!$A$21="☑",32&lt;='Resource Planner'!$N$21),'Resource Planner'!$B$21,"")</f>
        <v/>
      </c>
      <c r="D586" s="163" t="str">
        <f>IF(AND('Resource Planner'!$A$21="☑",32&lt;='Resource Planner'!$N$21),'Resource Planner'!$D$21,"")</f>
        <v/>
      </c>
      <c r="E586" s="163" t="str">
        <f>IF(AND('Resource Planner'!$A$21="☑",32&lt;='Resource Planner'!$N$21),'Resource Planner'!$E$21,"")</f>
        <v/>
      </c>
      <c r="F586" s="163" t="str">
        <f>IF(AND('Resource Planner'!$A$21="☑",32&lt;='Resource Planner'!$N$21),'Resource Planner'!$F$21&amp;" "&amp;('Resource Planner'!$G$21+(32-1)*'Resource Planner'!$I$21)&amp;IF(('Resource Planner'!$G$21+(32-1)*'Resource Planner'!$I$21)=MIN('Resource Planner'!$G$21+32*'Resource Planner'!$I$21-1,'Resource Planner'!$H$21),"","–"&amp;MIN('Resource Planner'!$G$21+32*'Resource Planner'!$I$21-1,'Resource Planner'!$H$21)),"")</f>
        <v/>
      </c>
      <c r="G586" s="163" t="s">
        <v>109</v>
      </c>
      <c r="H586" s="163" t="str">
        <f>IF(AND('Resource Planner'!$A$21="☑",32&lt;='Resource Planner'!$N$21),'Resource Planner'!$M$21,"")</f>
        <v/>
      </c>
    </row>
    <row r="587" ht="15.75" customHeight="1">
      <c r="A5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7" s="163" t="str">
        <f>IF(AND('Resource Planner'!$A$21="☑",33&lt;='Resource Planner'!$N$21),'Resource Planner'!$C$21,"")</f>
        <v/>
      </c>
      <c r="C587" s="163" t="str">
        <f>IF(AND('Resource Planner'!$A$21="☑",33&lt;='Resource Planner'!$N$21),'Resource Planner'!$B$21,"")</f>
        <v/>
      </c>
      <c r="D587" s="163" t="str">
        <f>IF(AND('Resource Planner'!$A$21="☑",33&lt;='Resource Planner'!$N$21),'Resource Planner'!$D$21,"")</f>
        <v/>
      </c>
      <c r="E587" s="163" t="str">
        <f>IF(AND('Resource Planner'!$A$21="☑",33&lt;='Resource Planner'!$N$21),'Resource Planner'!$E$21,"")</f>
        <v/>
      </c>
      <c r="F587" s="163" t="str">
        <f>IF(AND('Resource Planner'!$A$21="☑",33&lt;='Resource Planner'!$N$21),'Resource Planner'!$F$21&amp;" "&amp;('Resource Planner'!$G$21+(33-1)*'Resource Planner'!$I$21)&amp;IF(('Resource Planner'!$G$21+(33-1)*'Resource Planner'!$I$21)=MIN('Resource Planner'!$G$21+33*'Resource Planner'!$I$21-1,'Resource Planner'!$H$21),"","–"&amp;MIN('Resource Planner'!$G$21+33*'Resource Planner'!$I$21-1,'Resource Planner'!$H$21)),"")</f>
        <v/>
      </c>
      <c r="G587" s="163" t="s">
        <v>109</v>
      </c>
      <c r="H587" s="163" t="str">
        <f>IF(AND('Resource Planner'!$A$21="☑",33&lt;='Resource Planner'!$N$21),'Resource Planner'!$M$21,"")</f>
        <v/>
      </c>
    </row>
    <row r="588" ht="15.75" customHeight="1">
      <c r="A5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8" s="163" t="str">
        <f>IF(AND('Resource Planner'!$A$21="☑",34&lt;='Resource Planner'!$N$21),'Resource Planner'!$C$21,"")</f>
        <v/>
      </c>
      <c r="C588" s="163" t="str">
        <f>IF(AND('Resource Planner'!$A$21="☑",34&lt;='Resource Planner'!$N$21),'Resource Planner'!$B$21,"")</f>
        <v/>
      </c>
      <c r="D588" s="163" t="str">
        <f>IF(AND('Resource Planner'!$A$21="☑",34&lt;='Resource Planner'!$N$21),'Resource Planner'!$D$21,"")</f>
        <v/>
      </c>
      <c r="E588" s="163" t="str">
        <f>IF(AND('Resource Planner'!$A$21="☑",34&lt;='Resource Planner'!$N$21),'Resource Planner'!$E$21,"")</f>
        <v/>
      </c>
      <c r="F588" s="163" t="str">
        <f>IF(AND('Resource Planner'!$A$21="☑",34&lt;='Resource Planner'!$N$21),'Resource Planner'!$F$21&amp;" "&amp;('Resource Planner'!$G$21+(34-1)*'Resource Planner'!$I$21)&amp;IF(('Resource Planner'!$G$21+(34-1)*'Resource Planner'!$I$21)=MIN('Resource Planner'!$G$21+34*'Resource Planner'!$I$21-1,'Resource Planner'!$H$21),"","–"&amp;MIN('Resource Planner'!$G$21+34*'Resource Planner'!$I$21-1,'Resource Planner'!$H$21)),"")</f>
        <v/>
      </c>
      <c r="G588" s="163" t="s">
        <v>109</v>
      </c>
      <c r="H588" s="163" t="str">
        <f>IF(AND('Resource Planner'!$A$21="☑",34&lt;='Resource Planner'!$N$21),'Resource Planner'!$M$21,"")</f>
        <v/>
      </c>
    </row>
    <row r="589" ht="15.75" customHeight="1">
      <c r="A5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89" s="163" t="str">
        <f>IF(AND('Resource Planner'!$A$21="☑",35&lt;='Resource Planner'!$N$21),'Resource Planner'!$C$21,"")</f>
        <v/>
      </c>
      <c r="C589" s="163" t="str">
        <f>IF(AND('Resource Planner'!$A$21="☑",35&lt;='Resource Planner'!$N$21),'Resource Planner'!$B$21,"")</f>
        <v/>
      </c>
      <c r="D589" s="163" t="str">
        <f>IF(AND('Resource Planner'!$A$21="☑",35&lt;='Resource Planner'!$N$21),'Resource Planner'!$D$21,"")</f>
        <v/>
      </c>
      <c r="E589" s="163" t="str">
        <f>IF(AND('Resource Planner'!$A$21="☑",35&lt;='Resource Planner'!$N$21),'Resource Planner'!$E$21,"")</f>
        <v/>
      </c>
      <c r="F589" s="163" t="str">
        <f>IF(AND('Resource Planner'!$A$21="☑",35&lt;='Resource Planner'!$N$21),'Resource Planner'!$F$21&amp;" "&amp;('Resource Planner'!$G$21+(35-1)*'Resource Planner'!$I$21)&amp;IF(('Resource Planner'!$G$21+(35-1)*'Resource Planner'!$I$21)=MIN('Resource Planner'!$G$21+35*'Resource Planner'!$I$21-1,'Resource Planner'!$H$21),"","–"&amp;MIN('Resource Planner'!$G$21+35*'Resource Planner'!$I$21-1,'Resource Planner'!$H$21)),"")</f>
        <v/>
      </c>
      <c r="G589" s="163" t="s">
        <v>109</v>
      </c>
      <c r="H589" s="163" t="str">
        <f>IF(AND('Resource Planner'!$A$21="☑",35&lt;='Resource Planner'!$N$21),'Resource Planner'!$M$21,"")</f>
        <v/>
      </c>
    </row>
    <row r="590" ht="15.75" customHeight="1">
      <c r="A5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0" s="163" t="str">
        <f>IF(AND('Resource Planner'!$A$21="☑",36&lt;='Resource Planner'!$N$21),'Resource Planner'!$C$21,"")</f>
        <v/>
      </c>
      <c r="C590" s="163" t="str">
        <f>IF(AND('Resource Planner'!$A$21="☑",36&lt;='Resource Planner'!$N$21),'Resource Planner'!$B$21,"")</f>
        <v/>
      </c>
      <c r="D590" s="163" t="str">
        <f>IF(AND('Resource Planner'!$A$21="☑",36&lt;='Resource Planner'!$N$21),'Resource Planner'!$D$21,"")</f>
        <v/>
      </c>
      <c r="E590" s="163" t="str">
        <f>IF(AND('Resource Planner'!$A$21="☑",36&lt;='Resource Planner'!$N$21),'Resource Planner'!$E$21,"")</f>
        <v/>
      </c>
      <c r="F590" s="163" t="str">
        <f>IF(AND('Resource Planner'!$A$21="☑",36&lt;='Resource Planner'!$N$21),'Resource Planner'!$F$21&amp;" "&amp;('Resource Planner'!$G$21+(36-1)*'Resource Planner'!$I$21)&amp;IF(('Resource Planner'!$G$21+(36-1)*'Resource Planner'!$I$21)=MIN('Resource Planner'!$G$21+36*'Resource Planner'!$I$21-1,'Resource Planner'!$H$21),"","–"&amp;MIN('Resource Planner'!$G$21+36*'Resource Planner'!$I$21-1,'Resource Planner'!$H$21)),"")</f>
        <v/>
      </c>
      <c r="G590" s="163" t="s">
        <v>109</v>
      </c>
      <c r="H590" s="163" t="str">
        <f>IF(AND('Resource Planner'!$A$21="☑",36&lt;='Resource Planner'!$N$21),'Resource Planner'!$M$21,"")</f>
        <v/>
      </c>
    </row>
    <row r="591" ht="15.75" customHeight="1">
      <c r="A5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1" s="163" t="str">
        <f>IF(AND('Resource Planner'!$A$21="☑",37&lt;='Resource Planner'!$N$21),'Resource Planner'!$C$21,"")</f>
        <v/>
      </c>
      <c r="C591" s="163" t="str">
        <f>IF(AND('Resource Planner'!$A$21="☑",37&lt;='Resource Planner'!$N$21),'Resource Planner'!$B$21,"")</f>
        <v/>
      </c>
      <c r="D591" s="163" t="str">
        <f>IF(AND('Resource Planner'!$A$21="☑",37&lt;='Resource Planner'!$N$21),'Resource Planner'!$D$21,"")</f>
        <v/>
      </c>
      <c r="E591" s="163" t="str">
        <f>IF(AND('Resource Planner'!$A$21="☑",37&lt;='Resource Planner'!$N$21),'Resource Planner'!$E$21,"")</f>
        <v/>
      </c>
      <c r="F591" s="163" t="str">
        <f>IF(AND('Resource Planner'!$A$21="☑",37&lt;='Resource Planner'!$N$21),'Resource Planner'!$F$21&amp;" "&amp;('Resource Planner'!$G$21+(37-1)*'Resource Planner'!$I$21)&amp;IF(('Resource Planner'!$G$21+(37-1)*'Resource Planner'!$I$21)=MIN('Resource Planner'!$G$21+37*'Resource Planner'!$I$21-1,'Resource Planner'!$H$21),"","–"&amp;MIN('Resource Planner'!$G$21+37*'Resource Planner'!$I$21-1,'Resource Planner'!$H$21)),"")</f>
        <v/>
      </c>
      <c r="G591" s="163" t="s">
        <v>109</v>
      </c>
      <c r="H591" s="163" t="str">
        <f>IF(AND('Resource Planner'!$A$21="☑",37&lt;='Resource Planner'!$N$21),'Resource Planner'!$M$21,"")</f>
        <v/>
      </c>
    </row>
    <row r="592" ht="15.75" customHeight="1">
      <c r="A5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2" s="163" t="str">
        <f>IF(AND('Resource Planner'!$A$21="☑",38&lt;='Resource Planner'!$N$21),'Resource Planner'!$C$21,"")</f>
        <v/>
      </c>
      <c r="C592" s="163" t="str">
        <f>IF(AND('Resource Planner'!$A$21="☑",38&lt;='Resource Planner'!$N$21),'Resource Planner'!$B$21,"")</f>
        <v/>
      </c>
      <c r="D592" s="163" t="str">
        <f>IF(AND('Resource Planner'!$A$21="☑",38&lt;='Resource Planner'!$N$21),'Resource Planner'!$D$21,"")</f>
        <v/>
      </c>
      <c r="E592" s="163" t="str">
        <f>IF(AND('Resource Planner'!$A$21="☑",38&lt;='Resource Planner'!$N$21),'Resource Planner'!$E$21,"")</f>
        <v/>
      </c>
      <c r="F592" s="163" t="str">
        <f>IF(AND('Resource Planner'!$A$21="☑",38&lt;='Resource Planner'!$N$21),'Resource Planner'!$F$21&amp;" "&amp;('Resource Planner'!$G$21+(38-1)*'Resource Planner'!$I$21)&amp;IF(('Resource Planner'!$G$21+(38-1)*'Resource Planner'!$I$21)=MIN('Resource Planner'!$G$21+38*'Resource Planner'!$I$21-1,'Resource Planner'!$H$21),"","–"&amp;MIN('Resource Planner'!$G$21+38*'Resource Planner'!$I$21-1,'Resource Planner'!$H$21)),"")</f>
        <v/>
      </c>
      <c r="G592" s="163" t="s">
        <v>109</v>
      </c>
      <c r="H592" s="163" t="str">
        <f>IF(AND('Resource Planner'!$A$21="☑",38&lt;='Resource Planner'!$N$21),'Resource Planner'!$M$21,"")</f>
        <v/>
      </c>
    </row>
    <row r="593" ht="15.75" customHeight="1">
      <c r="A5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3" s="163" t="str">
        <f>IF(AND('Resource Planner'!$A$21="☑",39&lt;='Resource Planner'!$N$21),'Resource Planner'!$C$21,"")</f>
        <v/>
      </c>
      <c r="C593" s="163" t="str">
        <f>IF(AND('Resource Planner'!$A$21="☑",39&lt;='Resource Planner'!$N$21),'Resource Planner'!$B$21,"")</f>
        <v/>
      </c>
      <c r="D593" s="163" t="str">
        <f>IF(AND('Resource Planner'!$A$21="☑",39&lt;='Resource Planner'!$N$21),'Resource Planner'!$D$21,"")</f>
        <v/>
      </c>
      <c r="E593" s="163" t="str">
        <f>IF(AND('Resource Planner'!$A$21="☑",39&lt;='Resource Planner'!$N$21),'Resource Planner'!$E$21,"")</f>
        <v/>
      </c>
      <c r="F593" s="163" t="str">
        <f>IF(AND('Resource Planner'!$A$21="☑",39&lt;='Resource Planner'!$N$21),'Resource Planner'!$F$21&amp;" "&amp;('Resource Planner'!$G$21+(39-1)*'Resource Planner'!$I$21)&amp;IF(('Resource Planner'!$G$21+(39-1)*'Resource Planner'!$I$21)=MIN('Resource Planner'!$G$21+39*'Resource Planner'!$I$21-1,'Resource Planner'!$H$21),"","–"&amp;MIN('Resource Planner'!$G$21+39*'Resource Planner'!$I$21-1,'Resource Planner'!$H$21)),"")</f>
        <v/>
      </c>
      <c r="G593" s="163" t="s">
        <v>109</v>
      </c>
      <c r="H593" s="163" t="str">
        <f>IF(AND('Resource Planner'!$A$21="☑",39&lt;='Resource Planner'!$N$21),'Resource Planner'!$M$21,"")</f>
        <v/>
      </c>
    </row>
    <row r="594" ht="15.75" customHeight="1">
      <c r="A5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4" s="163" t="str">
        <f>IF(AND('Resource Planner'!$A$21="☑",40&lt;='Resource Planner'!$N$21),'Resource Planner'!$C$21,"")</f>
        <v/>
      </c>
      <c r="C594" s="163" t="str">
        <f>IF(AND('Resource Planner'!$A$21="☑",40&lt;='Resource Planner'!$N$21),'Resource Planner'!$B$21,"")</f>
        <v/>
      </c>
      <c r="D594" s="163" t="str">
        <f>IF(AND('Resource Planner'!$A$21="☑",40&lt;='Resource Planner'!$N$21),'Resource Planner'!$D$21,"")</f>
        <v/>
      </c>
      <c r="E594" s="163" t="str">
        <f>IF(AND('Resource Planner'!$A$21="☑",40&lt;='Resource Planner'!$N$21),'Resource Planner'!$E$21,"")</f>
        <v/>
      </c>
      <c r="F594" s="163" t="str">
        <f>IF(AND('Resource Planner'!$A$21="☑",40&lt;='Resource Planner'!$N$21),'Resource Planner'!$F$21&amp;" "&amp;('Resource Planner'!$G$21+(40-1)*'Resource Planner'!$I$21)&amp;IF(('Resource Planner'!$G$21+(40-1)*'Resource Planner'!$I$21)=MIN('Resource Planner'!$G$21+40*'Resource Planner'!$I$21-1,'Resource Planner'!$H$21),"","–"&amp;MIN('Resource Planner'!$G$21+40*'Resource Planner'!$I$21-1,'Resource Planner'!$H$21)),"")</f>
        <v/>
      </c>
      <c r="G594" s="163" t="s">
        <v>109</v>
      </c>
      <c r="H594" s="163" t="str">
        <f>IF(AND('Resource Planner'!$A$21="☑",40&lt;='Resource Planner'!$N$21),'Resource Planner'!$M$21,"")</f>
        <v/>
      </c>
    </row>
    <row r="595" ht="15.75" customHeight="1">
      <c r="A5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5" s="163" t="str">
        <f>IF(AND('Resource Planner'!$A$21="☑",41&lt;='Resource Planner'!$N$21),'Resource Planner'!$C$21,"")</f>
        <v/>
      </c>
      <c r="C595" s="163" t="str">
        <f>IF(AND('Resource Planner'!$A$21="☑",41&lt;='Resource Planner'!$N$21),'Resource Planner'!$B$21,"")</f>
        <v/>
      </c>
      <c r="D595" s="163" t="str">
        <f>IF(AND('Resource Planner'!$A$21="☑",41&lt;='Resource Planner'!$N$21),'Resource Planner'!$D$21,"")</f>
        <v/>
      </c>
      <c r="E595" s="163" t="str">
        <f>IF(AND('Resource Planner'!$A$21="☑",41&lt;='Resource Planner'!$N$21),'Resource Planner'!$E$21,"")</f>
        <v/>
      </c>
      <c r="F595" s="163" t="str">
        <f>IF(AND('Resource Planner'!$A$21="☑",41&lt;='Resource Planner'!$N$21),'Resource Planner'!$F$21&amp;" "&amp;('Resource Planner'!$G$21+(41-1)*'Resource Planner'!$I$21)&amp;IF(('Resource Planner'!$G$21+(41-1)*'Resource Planner'!$I$21)=MIN('Resource Planner'!$G$21+41*'Resource Planner'!$I$21-1,'Resource Planner'!$H$21),"","–"&amp;MIN('Resource Planner'!$G$21+41*'Resource Planner'!$I$21-1,'Resource Planner'!$H$21)),"")</f>
        <v/>
      </c>
      <c r="G595" s="163" t="s">
        <v>109</v>
      </c>
      <c r="H595" s="163" t="str">
        <f>IF(AND('Resource Planner'!$A$21="☑",41&lt;='Resource Planner'!$N$21),'Resource Planner'!$M$21,"")</f>
        <v/>
      </c>
    </row>
    <row r="596" ht="15.75" customHeight="1">
      <c r="A5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6" s="163" t="str">
        <f>IF(AND('Resource Planner'!$A$21="☑",42&lt;='Resource Planner'!$N$21),'Resource Planner'!$C$21,"")</f>
        <v/>
      </c>
      <c r="C596" s="163" t="str">
        <f>IF(AND('Resource Planner'!$A$21="☑",42&lt;='Resource Planner'!$N$21),'Resource Planner'!$B$21,"")</f>
        <v/>
      </c>
      <c r="D596" s="163" t="str">
        <f>IF(AND('Resource Planner'!$A$21="☑",42&lt;='Resource Planner'!$N$21),'Resource Planner'!$D$21,"")</f>
        <v/>
      </c>
      <c r="E596" s="163" t="str">
        <f>IF(AND('Resource Planner'!$A$21="☑",42&lt;='Resource Planner'!$N$21),'Resource Planner'!$E$21,"")</f>
        <v/>
      </c>
      <c r="F596" s="163" t="str">
        <f>IF(AND('Resource Planner'!$A$21="☑",42&lt;='Resource Planner'!$N$21),'Resource Planner'!$F$21&amp;" "&amp;('Resource Planner'!$G$21+(42-1)*'Resource Planner'!$I$21)&amp;IF(('Resource Planner'!$G$21+(42-1)*'Resource Planner'!$I$21)=MIN('Resource Planner'!$G$21+42*'Resource Planner'!$I$21-1,'Resource Planner'!$H$21),"","–"&amp;MIN('Resource Planner'!$G$21+42*'Resource Planner'!$I$21-1,'Resource Planner'!$H$21)),"")</f>
        <v/>
      </c>
      <c r="G596" s="163" t="s">
        <v>109</v>
      </c>
      <c r="H596" s="163" t="str">
        <f>IF(AND('Resource Planner'!$A$21="☑",42&lt;='Resource Planner'!$N$21),'Resource Planner'!$M$21,"")</f>
        <v/>
      </c>
    </row>
    <row r="597" ht="15.75" customHeight="1">
      <c r="A5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7" s="163" t="str">
        <f>IF(AND('Resource Planner'!$A$21="☑",43&lt;='Resource Planner'!$N$21),'Resource Planner'!$C$21,"")</f>
        <v/>
      </c>
      <c r="C597" s="163" t="str">
        <f>IF(AND('Resource Planner'!$A$21="☑",43&lt;='Resource Planner'!$N$21),'Resource Planner'!$B$21,"")</f>
        <v/>
      </c>
      <c r="D597" s="163" t="str">
        <f>IF(AND('Resource Planner'!$A$21="☑",43&lt;='Resource Planner'!$N$21),'Resource Planner'!$D$21,"")</f>
        <v/>
      </c>
      <c r="E597" s="163" t="str">
        <f>IF(AND('Resource Planner'!$A$21="☑",43&lt;='Resource Planner'!$N$21),'Resource Planner'!$E$21,"")</f>
        <v/>
      </c>
      <c r="F597" s="163" t="str">
        <f>IF(AND('Resource Planner'!$A$21="☑",43&lt;='Resource Planner'!$N$21),'Resource Planner'!$F$21&amp;" "&amp;('Resource Planner'!$G$21+(43-1)*'Resource Planner'!$I$21)&amp;IF(('Resource Planner'!$G$21+(43-1)*'Resource Planner'!$I$21)=MIN('Resource Planner'!$G$21+43*'Resource Planner'!$I$21-1,'Resource Planner'!$H$21),"","–"&amp;MIN('Resource Planner'!$G$21+43*'Resource Planner'!$I$21-1,'Resource Planner'!$H$21)),"")</f>
        <v/>
      </c>
      <c r="G597" s="163" t="s">
        <v>109</v>
      </c>
      <c r="H597" s="163" t="str">
        <f>IF(AND('Resource Planner'!$A$21="☑",43&lt;='Resource Planner'!$N$21),'Resource Planner'!$M$21,"")</f>
        <v/>
      </c>
    </row>
    <row r="598" ht="15.75" customHeight="1">
      <c r="A5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8" s="163" t="str">
        <f>IF(AND('Resource Planner'!$A$21="☑",44&lt;='Resource Planner'!$N$21),'Resource Planner'!$C$21,"")</f>
        <v/>
      </c>
      <c r="C598" s="163" t="str">
        <f>IF(AND('Resource Planner'!$A$21="☑",44&lt;='Resource Planner'!$N$21),'Resource Planner'!$B$21,"")</f>
        <v/>
      </c>
      <c r="D598" s="163" t="str">
        <f>IF(AND('Resource Planner'!$A$21="☑",44&lt;='Resource Planner'!$N$21),'Resource Planner'!$D$21,"")</f>
        <v/>
      </c>
      <c r="E598" s="163" t="str">
        <f>IF(AND('Resource Planner'!$A$21="☑",44&lt;='Resource Planner'!$N$21),'Resource Planner'!$E$21,"")</f>
        <v/>
      </c>
      <c r="F598" s="163" t="str">
        <f>IF(AND('Resource Planner'!$A$21="☑",44&lt;='Resource Planner'!$N$21),'Resource Planner'!$F$21&amp;" "&amp;('Resource Planner'!$G$21+(44-1)*'Resource Planner'!$I$21)&amp;IF(('Resource Planner'!$G$21+(44-1)*'Resource Planner'!$I$21)=MIN('Resource Planner'!$G$21+44*'Resource Planner'!$I$21-1,'Resource Planner'!$H$21),"","–"&amp;MIN('Resource Planner'!$G$21+44*'Resource Planner'!$I$21-1,'Resource Planner'!$H$21)),"")</f>
        <v/>
      </c>
      <c r="G598" s="163" t="s">
        <v>109</v>
      </c>
      <c r="H598" s="163" t="str">
        <f>IF(AND('Resource Planner'!$A$21="☑",44&lt;='Resource Planner'!$N$21),'Resource Planner'!$M$21,"")</f>
        <v/>
      </c>
    </row>
    <row r="599" ht="15.75" customHeight="1">
      <c r="A5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599" s="163" t="str">
        <f>IF(AND('Resource Planner'!$A$21="☑",45&lt;='Resource Planner'!$N$21),'Resource Planner'!$C$21,"")</f>
        <v/>
      </c>
      <c r="C599" s="163" t="str">
        <f>IF(AND('Resource Planner'!$A$21="☑",45&lt;='Resource Planner'!$N$21),'Resource Planner'!$B$21,"")</f>
        <v/>
      </c>
      <c r="D599" s="163" t="str">
        <f>IF(AND('Resource Planner'!$A$21="☑",45&lt;='Resource Planner'!$N$21),'Resource Planner'!$D$21,"")</f>
        <v/>
      </c>
      <c r="E599" s="163" t="str">
        <f>IF(AND('Resource Planner'!$A$21="☑",45&lt;='Resource Planner'!$N$21),'Resource Planner'!$E$21,"")</f>
        <v/>
      </c>
      <c r="F599" s="163" t="str">
        <f>IF(AND('Resource Planner'!$A$21="☑",45&lt;='Resource Planner'!$N$21),'Resource Planner'!$F$21&amp;" "&amp;('Resource Planner'!$G$21+(45-1)*'Resource Planner'!$I$21)&amp;IF(('Resource Planner'!$G$21+(45-1)*'Resource Planner'!$I$21)=MIN('Resource Planner'!$G$21+45*'Resource Planner'!$I$21-1,'Resource Planner'!$H$21),"","–"&amp;MIN('Resource Planner'!$G$21+45*'Resource Planner'!$I$21-1,'Resource Planner'!$H$21)),"")</f>
        <v/>
      </c>
      <c r="G599" s="163" t="s">
        <v>109</v>
      </c>
      <c r="H599" s="163" t="str">
        <f>IF(AND('Resource Planner'!$A$21="☑",45&lt;='Resource Planner'!$N$21),'Resource Planner'!$M$21,"")</f>
        <v/>
      </c>
    </row>
    <row r="600" ht="15.75" customHeight="1">
      <c r="A6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00" s="163" t="str">
        <f>IF(AND('Resource Planner'!$A$21="☑",46&lt;='Resource Planner'!$N$21),'Resource Planner'!$C$21,"")</f>
        <v/>
      </c>
      <c r="C600" s="163" t="str">
        <f>IF(AND('Resource Planner'!$A$21="☑",46&lt;='Resource Planner'!$N$21),'Resource Planner'!$B$21,"")</f>
        <v/>
      </c>
      <c r="D600" s="163" t="str">
        <f>IF(AND('Resource Planner'!$A$21="☑",46&lt;='Resource Planner'!$N$21),'Resource Planner'!$D$21,"")</f>
        <v/>
      </c>
      <c r="E600" s="163" t="str">
        <f>IF(AND('Resource Planner'!$A$21="☑",46&lt;='Resource Planner'!$N$21),'Resource Planner'!$E$21,"")</f>
        <v/>
      </c>
      <c r="F600" s="163" t="str">
        <f>IF(AND('Resource Planner'!$A$21="☑",46&lt;='Resource Planner'!$N$21),'Resource Planner'!$F$21&amp;" "&amp;('Resource Planner'!$G$21+(46-1)*'Resource Planner'!$I$21)&amp;IF(('Resource Planner'!$G$21+(46-1)*'Resource Planner'!$I$21)=MIN('Resource Planner'!$G$21+46*'Resource Planner'!$I$21-1,'Resource Planner'!$H$21),"","–"&amp;MIN('Resource Planner'!$G$21+46*'Resource Planner'!$I$21-1,'Resource Planner'!$H$21)),"")</f>
        <v/>
      </c>
      <c r="G600" s="163" t="s">
        <v>109</v>
      </c>
      <c r="H600" s="163" t="str">
        <f>IF(AND('Resource Planner'!$A$21="☑",46&lt;='Resource Planner'!$N$21),'Resource Planner'!$M$21,"")</f>
        <v/>
      </c>
    </row>
    <row r="601" ht="15.75" customHeight="1">
      <c r="A6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01" s="163" t="str">
        <f>IF(AND('Resource Planner'!$A$21="☑",47&lt;='Resource Planner'!$N$21),'Resource Planner'!$C$21,"")</f>
        <v/>
      </c>
      <c r="C601" s="163" t="str">
        <f>IF(AND('Resource Planner'!$A$21="☑",47&lt;='Resource Planner'!$N$21),'Resource Planner'!$B$21,"")</f>
        <v/>
      </c>
      <c r="D601" s="163" t="str">
        <f>IF(AND('Resource Planner'!$A$21="☑",47&lt;='Resource Planner'!$N$21),'Resource Planner'!$D$21,"")</f>
        <v/>
      </c>
      <c r="E601" s="163" t="str">
        <f>IF(AND('Resource Planner'!$A$21="☑",47&lt;='Resource Planner'!$N$21),'Resource Planner'!$E$21,"")</f>
        <v/>
      </c>
      <c r="F601" s="163" t="str">
        <f>IF(AND('Resource Planner'!$A$21="☑",47&lt;='Resource Planner'!$N$21),'Resource Planner'!$F$21&amp;" "&amp;('Resource Planner'!$G$21+(47-1)*'Resource Planner'!$I$21)&amp;IF(('Resource Planner'!$G$21+(47-1)*'Resource Planner'!$I$21)=MIN('Resource Planner'!$G$21+47*'Resource Planner'!$I$21-1,'Resource Planner'!$H$21),"","–"&amp;MIN('Resource Planner'!$G$21+47*'Resource Planner'!$I$21-1,'Resource Planner'!$H$21)),"")</f>
        <v/>
      </c>
      <c r="G601" s="163" t="s">
        <v>109</v>
      </c>
      <c r="H601" s="163" t="str">
        <f>IF(AND('Resource Planner'!$A$21="☑",47&lt;='Resource Planner'!$N$21),'Resource Planner'!$M$21,"")</f>
        <v/>
      </c>
    </row>
    <row r="602" ht="15.75" customHeight="1">
      <c r="A6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02" s="163" t="str">
        <f>IF(AND('Resource Planner'!$A$21="☑",48&lt;='Resource Planner'!$N$21),'Resource Planner'!$C$21,"")</f>
        <v/>
      </c>
      <c r="C602" s="163" t="str">
        <f>IF(AND('Resource Planner'!$A$21="☑",48&lt;='Resource Planner'!$N$21),'Resource Planner'!$B$21,"")</f>
        <v/>
      </c>
      <c r="D602" s="163" t="str">
        <f>IF(AND('Resource Planner'!$A$21="☑",48&lt;='Resource Planner'!$N$21),'Resource Planner'!$D$21,"")</f>
        <v/>
      </c>
      <c r="E602" s="163" t="str">
        <f>IF(AND('Resource Planner'!$A$21="☑",48&lt;='Resource Planner'!$N$21),'Resource Planner'!$E$21,"")</f>
        <v/>
      </c>
      <c r="F602" s="163" t="str">
        <f>IF(AND('Resource Planner'!$A$21="☑",48&lt;='Resource Planner'!$N$21),'Resource Planner'!$F$21&amp;" "&amp;('Resource Planner'!$G$21+(48-1)*'Resource Planner'!$I$21)&amp;IF(('Resource Planner'!$G$21+(48-1)*'Resource Planner'!$I$21)=MIN('Resource Planner'!$G$21+48*'Resource Planner'!$I$21-1,'Resource Planner'!$H$21),"","–"&amp;MIN('Resource Planner'!$G$21+48*'Resource Planner'!$I$21-1,'Resource Planner'!$H$21)),"")</f>
        <v/>
      </c>
      <c r="G602" s="163" t="s">
        <v>109</v>
      </c>
      <c r="H602" s="163" t="str">
        <f>IF(AND('Resource Planner'!$A$21="☑",48&lt;='Resource Planner'!$N$21),'Resource Planner'!$M$21,"")</f>
        <v/>
      </c>
    </row>
    <row r="603" ht="15.75" customHeight="1">
      <c r="A6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03" s="163" t="str">
        <f>IF(AND('Resource Planner'!$A$21="☑",49&lt;='Resource Planner'!$N$21),'Resource Planner'!$C$21,"")</f>
        <v/>
      </c>
      <c r="C603" s="163" t="str">
        <f>IF(AND('Resource Planner'!$A$21="☑",49&lt;='Resource Planner'!$N$21),'Resource Planner'!$B$21,"")</f>
        <v/>
      </c>
      <c r="D603" s="163" t="str">
        <f>IF(AND('Resource Planner'!$A$21="☑",49&lt;='Resource Planner'!$N$21),'Resource Planner'!$D$21,"")</f>
        <v/>
      </c>
      <c r="E603" s="163" t="str">
        <f>IF(AND('Resource Planner'!$A$21="☑",49&lt;='Resource Planner'!$N$21),'Resource Planner'!$E$21,"")</f>
        <v/>
      </c>
      <c r="F603" s="163" t="str">
        <f>IF(AND('Resource Planner'!$A$21="☑",49&lt;='Resource Planner'!$N$21),'Resource Planner'!$F$21&amp;" "&amp;('Resource Planner'!$G$21+(49-1)*'Resource Planner'!$I$21)&amp;IF(('Resource Planner'!$G$21+(49-1)*'Resource Planner'!$I$21)=MIN('Resource Planner'!$G$21+49*'Resource Planner'!$I$21-1,'Resource Planner'!$H$21),"","–"&amp;MIN('Resource Planner'!$G$21+49*'Resource Planner'!$I$21-1,'Resource Planner'!$H$21)),"")</f>
        <v/>
      </c>
      <c r="G603" s="163" t="s">
        <v>109</v>
      </c>
      <c r="H603" s="163" t="str">
        <f>IF(AND('Resource Planner'!$A$21="☑",49&lt;='Resource Planner'!$N$21),'Resource Planner'!$M$21,"")</f>
        <v/>
      </c>
    </row>
    <row r="604" ht="15.75" customHeight="1">
      <c r="A6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04" s="163" t="str">
        <f>IF(AND('Resource Planner'!$A$21="☑",50&lt;='Resource Planner'!$N$21),'Resource Planner'!$C$21,"")</f>
        <v/>
      </c>
      <c r="C604" s="163" t="str">
        <f>IF(AND('Resource Planner'!$A$21="☑",50&lt;='Resource Planner'!$N$21),'Resource Planner'!$B$21,"")</f>
        <v/>
      </c>
      <c r="D604" s="163" t="str">
        <f>IF(AND('Resource Planner'!$A$21="☑",50&lt;='Resource Planner'!$N$21),'Resource Planner'!$D$21,"")</f>
        <v/>
      </c>
      <c r="E604" s="163" t="str">
        <f>IF(AND('Resource Planner'!$A$21="☑",50&lt;='Resource Planner'!$N$21),'Resource Planner'!$E$21,"")</f>
        <v/>
      </c>
      <c r="F604" s="163" t="str">
        <f>IF(AND('Resource Planner'!$A$21="☑",50&lt;='Resource Planner'!$N$21),'Resource Planner'!$F$21&amp;" "&amp;('Resource Planner'!$G$21+(50-1)*'Resource Planner'!$I$21)&amp;IF(('Resource Planner'!$G$21+(50-1)*'Resource Planner'!$I$21)=MIN('Resource Planner'!$G$21+50*'Resource Planner'!$I$21-1,'Resource Planner'!$H$21),"","–"&amp;MIN('Resource Planner'!$G$21+50*'Resource Planner'!$I$21-1,'Resource Planner'!$H$21)),"")</f>
        <v/>
      </c>
      <c r="G604" s="163" t="s">
        <v>109</v>
      </c>
      <c r="H604" s="163" t="str">
        <f>IF(AND('Resource Planner'!$A$21="☑",50&lt;='Resource Planner'!$N$21),'Resource Planner'!$M$21,"")</f>
        <v/>
      </c>
    </row>
    <row r="605" ht="15.75" customHeight="1">
      <c r="A60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week"",10*(n-1),""Custom"",gap*(n-1),n-1),IF(AND(active=""☑"",n&lt;=lessons,st&lt;&gt;""""),INDEX(eligibleDates,startPos+offset),"""")),"""")"),46251.0)</f>
        <v>46251</v>
      </c>
      <c r="B605" s="33" t="str">
        <f>IF(AND('Resource Planner'!$A$22="☑",1&lt;='Resource Planner'!$N$22),'Resource Planner'!$C$22,"")</f>
        <v>Everyone</v>
      </c>
      <c r="C605" s="33" t="str">
        <f>IF(AND('Resource Planner'!$A$22="☑",1&lt;='Resource Planner'!$N$22),'Resource Planner'!$B$22,"")</f>
        <v>Faith</v>
      </c>
      <c r="D605" s="33" t="str">
        <f>IF(AND('Resource Planner'!$A$22="☑",1&lt;='Resource Planner'!$N$22),'Resource Planner'!$D$22,"")</f>
        <v>All Together / Bible — New Testament</v>
      </c>
      <c r="E605" s="33" t="str">
        <f>IF(AND('Resource Planner'!$A$22="☑",1&lt;='Resource Planner'!$N$22),'Resource Planner'!$E$22,"")</f>
        <v>Matthew</v>
      </c>
      <c r="F605" s="163" t="str">
        <f>IF(AND('Resource Planner'!$A$22="☑",1&lt;='Resource Planner'!$N$22),'Resource Planner'!$F$22&amp;" "&amp;('Resource Planner'!$G$22+(1-1)*'Resource Planner'!$I$22)&amp;IF(('Resource Planner'!$G$22+(1-1)*'Resource Planner'!$I$22)=MIN('Resource Planner'!$G$22+1*'Resource Planner'!$I$22-1,'Resource Planner'!$H$22),"","–"&amp;MIN('Resource Planner'!$G$22+1*'Resource Planner'!$I$22-1,'Resource Planner'!$H$22)),"")</f>
        <v>Chapter 1</v>
      </c>
      <c r="G605" s="163" t="s">
        <v>109</v>
      </c>
      <c r="H605" s="33" t="str">
        <f>IF(AND('Resource Planner'!$A$22="☑",1&lt;='Resource Planner'!$N$22),'Resource Planner'!$M$22,"")</f>
        <v/>
      </c>
    </row>
    <row r="606" ht="15.75" customHeight="1">
      <c r="A60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week"",10*(n-1),""Custom"",gap*(n-1),n-1),IF(AND(active=""☑"",n&lt;=lessons,st&lt;&gt;""""),INDEX(eligibleDates,startPos+offset),"""")),"""")"),46258.0)</f>
        <v>46258</v>
      </c>
      <c r="B606" s="33" t="str">
        <f>IF(AND('Resource Planner'!$A$22="☑",2&lt;='Resource Planner'!$N$22),'Resource Planner'!$C$22,"")</f>
        <v>Everyone</v>
      </c>
      <c r="C606" s="33" t="str">
        <f>IF(AND('Resource Planner'!$A$22="☑",2&lt;='Resource Planner'!$N$22),'Resource Planner'!$B$22,"")</f>
        <v>Faith</v>
      </c>
      <c r="D606" s="33" t="str">
        <f>IF(AND('Resource Planner'!$A$22="☑",2&lt;='Resource Planner'!$N$22),'Resource Planner'!$D$22,"")</f>
        <v>All Together / Bible — New Testament</v>
      </c>
      <c r="E606" s="33" t="str">
        <f>IF(AND('Resource Planner'!$A$22="☑",2&lt;='Resource Planner'!$N$22),'Resource Planner'!$E$22,"")</f>
        <v>Matthew</v>
      </c>
      <c r="F606" s="163" t="str">
        <f>IF(AND('Resource Planner'!$A$22="☑",2&lt;='Resource Planner'!$N$22),'Resource Planner'!$F$22&amp;" "&amp;('Resource Planner'!$G$22+(2-1)*'Resource Planner'!$I$22)&amp;IF(('Resource Planner'!$G$22+(2-1)*'Resource Planner'!$I$22)=MIN('Resource Planner'!$G$22+2*'Resource Planner'!$I$22-1,'Resource Planner'!$H$22),"","–"&amp;MIN('Resource Planner'!$G$22+2*'Resource Planner'!$I$22-1,'Resource Planner'!$H$22)),"")</f>
        <v>Chapter 2</v>
      </c>
      <c r="G606" s="163" t="s">
        <v>109</v>
      </c>
      <c r="H606" s="33" t="str">
        <f>IF(AND('Resource Planner'!$A$22="☑",2&lt;='Resource Planner'!$N$22),'Resource Planner'!$M$22,"")</f>
        <v/>
      </c>
    </row>
    <row r="607" ht="15.75" customHeight="1">
      <c r="A60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week"",10*(n-1),""Custom"",gap*(n-1),n-1),IF(AND(active=""☑"",n&lt;=lessons,st&lt;&gt;""""),INDEX(eligibleDates,startPos+offset),"""")),"""")"),46265.0)</f>
        <v>46265</v>
      </c>
      <c r="B607" s="33" t="str">
        <f>IF(AND('Resource Planner'!$A$22="☑",3&lt;='Resource Planner'!$N$22),'Resource Planner'!$C$22,"")</f>
        <v>Everyone</v>
      </c>
      <c r="C607" s="33" t="str">
        <f>IF(AND('Resource Planner'!$A$22="☑",3&lt;='Resource Planner'!$N$22),'Resource Planner'!$B$22,"")</f>
        <v>Faith</v>
      </c>
      <c r="D607" s="33" t="str">
        <f>IF(AND('Resource Planner'!$A$22="☑",3&lt;='Resource Planner'!$N$22),'Resource Planner'!$D$22,"")</f>
        <v>All Together / Bible — New Testament</v>
      </c>
      <c r="E607" s="33" t="str">
        <f>IF(AND('Resource Planner'!$A$22="☑",3&lt;='Resource Planner'!$N$22),'Resource Planner'!$E$22,"")</f>
        <v>Matthew</v>
      </c>
      <c r="F607" s="163" t="str">
        <f>IF(AND('Resource Planner'!$A$22="☑",3&lt;='Resource Planner'!$N$22),'Resource Planner'!$F$22&amp;" "&amp;('Resource Planner'!$G$22+(3-1)*'Resource Planner'!$I$22)&amp;IF(('Resource Planner'!$G$22+(3-1)*'Resource Planner'!$I$22)=MIN('Resource Planner'!$G$22+3*'Resource Planner'!$I$22-1,'Resource Planner'!$H$22),"","–"&amp;MIN('Resource Planner'!$G$22+3*'Resource Planner'!$I$22-1,'Resource Planner'!$H$22)),"")</f>
        <v>Chapter 3</v>
      </c>
      <c r="G607" s="163" t="s">
        <v>109</v>
      </c>
      <c r="H607" s="33" t="str">
        <f>IF(AND('Resource Planner'!$A$22="☑",3&lt;='Resource Planner'!$N$22),'Resource Planner'!$M$22,"")</f>
        <v/>
      </c>
    </row>
    <row r="608" ht="15.75" customHeight="1">
      <c r="A60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week"",10*(n-1),""Custom"",gap*(n-1),n-1),IF(AND(active=""☑"",n&lt;=lessons,st&lt;&gt;""""),INDEX(eligibleDates,startPos+offset),"""")),"""")"),46272.0)</f>
        <v>46272</v>
      </c>
      <c r="B608" s="33" t="str">
        <f>IF(AND('Resource Planner'!$A$22="☑",4&lt;='Resource Planner'!$N$22),'Resource Planner'!$C$22,"")</f>
        <v>Everyone</v>
      </c>
      <c r="C608" s="33" t="str">
        <f>IF(AND('Resource Planner'!$A$22="☑",4&lt;='Resource Planner'!$N$22),'Resource Planner'!$B$22,"")</f>
        <v>Faith</v>
      </c>
      <c r="D608" s="33" t="str">
        <f>IF(AND('Resource Planner'!$A$22="☑",4&lt;='Resource Planner'!$N$22),'Resource Planner'!$D$22,"")</f>
        <v>All Together / Bible — New Testament</v>
      </c>
      <c r="E608" s="33" t="str">
        <f>IF(AND('Resource Planner'!$A$22="☑",4&lt;='Resource Planner'!$N$22),'Resource Planner'!$E$22,"")</f>
        <v>Matthew</v>
      </c>
      <c r="F608" s="163" t="str">
        <f>IF(AND('Resource Planner'!$A$22="☑",4&lt;='Resource Planner'!$N$22),'Resource Planner'!$F$22&amp;" "&amp;('Resource Planner'!$G$22+(4-1)*'Resource Planner'!$I$22)&amp;IF(('Resource Planner'!$G$22+(4-1)*'Resource Planner'!$I$22)=MIN('Resource Planner'!$G$22+4*'Resource Planner'!$I$22-1,'Resource Planner'!$H$22),"","–"&amp;MIN('Resource Planner'!$G$22+4*'Resource Planner'!$I$22-1,'Resource Planner'!$H$22)),"")</f>
        <v>Chapter 4</v>
      </c>
      <c r="G608" s="163" t="s">
        <v>109</v>
      </c>
      <c r="H608" s="33" t="str">
        <f>IF(AND('Resource Planner'!$A$22="☑",4&lt;='Resource Planner'!$N$22),'Resource Planner'!$M$22,"")</f>
        <v/>
      </c>
    </row>
    <row r="609" ht="15.75" customHeight="1">
      <c r="A60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week"",10*(n-1),""Custom"",gap*(n-1),n-1),IF(AND(active=""☑"",n&lt;=lessons,st&lt;&gt;""""),INDEX(eligibleDates,startPos+offset),"""")),"""")"),46279.0)</f>
        <v>46279</v>
      </c>
      <c r="B609" s="33" t="str">
        <f>IF(AND('Resource Planner'!$A$22="☑",5&lt;='Resource Planner'!$N$22),'Resource Planner'!$C$22,"")</f>
        <v>Everyone</v>
      </c>
      <c r="C609" s="33" t="str">
        <f>IF(AND('Resource Planner'!$A$22="☑",5&lt;='Resource Planner'!$N$22),'Resource Planner'!$B$22,"")</f>
        <v>Faith</v>
      </c>
      <c r="D609" s="33" t="str">
        <f>IF(AND('Resource Planner'!$A$22="☑",5&lt;='Resource Planner'!$N$22),'Resource Planner'!$D$22,"")</f>
        <v>All Together / Bible — New Testament</v>
      </c>
      <c r="E609" s="33" t="str">
        <f>IF(AND('Resource Planner'!$A$22="☑",5&lt;='Resource Planner'!$N$22),'Resource Planner'!$E$22,"")</f>
        <v>Matthew</v>
      </c>
      <c r="F609" s="163" t="str">
        <f>IF(AND('Resource Planner'!$A$22="☑",5&lt;='Resource Planner'!$N$22),'Resource Planner'!$F$22&amp;" "&amp;('Resource Planner'!$G$22+(5-1)*'Resource Planner'!$I$22)&amp;IF(('Resource Planner'!$G$22+(5-1)*'Resource Planner'!$I$22)=MIN('Resource Planner'!$G$22+5*'Resource Planner'!$I$22-1,'Resource Planner'!$H$22),"","–"&amp;MIN('Resource Planner'!$G$22+5*'Resource Planner'!$I$22-1,'Resource Planner'!$H$22)),"")</f>
        <v>Chapter 5</v>
      </c>
      <c r="G609" s="163" t="s">
        <v>109</v>
      </c>
      <c r="H609" s="33" t="str">
        <f>IF(AND('Resource Planner'!$A$22="☑",5&lt;='Resource Planner'!$N$22),'Resource Planner'!$M$22,"")</f>
        <v/>
      </c>
    </row>
    <row r="610" ht="15.75" customHeight="1">
      <c r="A61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week"",10*(n-1),""Custom"",gap*(n-1),n-1),IF(AND(active=""☑"",n&lt;=lessons,st&lt;&gt;""""),INDEX(eligibleDates,startPos+offset),"""")),"""")"),46286.0)</f>
        <v>46286</v>
      </c>
      <c r="B610" s="33" t="str">
        <f>IF(AND('Resource Planner'!$A$22="☑",6&lt;='Resource Planner'!$N$22),'Resource Planner'!$C$22,"")</f>
        <v>Everyone</v>
      </c>
      <c r="C610" s="33" t="str">
        <f>IF(AND('Resource Planner'!$A$22="☑",6&lt;='Resource Planner'!$N$22),'Resource Planner'!$B$22,"")</f>
        <v>Faith</v>
      </c>
      <c r="D610" s="33" t="str">
        <f>IF(AND('Resource Planner'!$A$22="☑",6&lt;='Resource Planner'!$N$22),'Resource Planner'!$D$22,"")</f>
        <v>All Together / Bible — New Testament</v>
      </c>
      <c r="E610" s="33" t="str">
        <f>IF(AND('Resource Planner'!$A$22="☑",6&lt;='Resource Planner'!$N$22),'Resource Planner'!$E$22,"")</f>
        <v>Matthew</v>
      </c>
      <c r="F610" s="163" t="str">
        <f>IF(AND('Resource Planner'!$A$22="☑",6&lt;='Resource Planner'!$N$22),'Resource Planner'!$F$22&amp;" "&amp;('Resource Planner'!$G$22+(6-1)*'Resource Planner'!$I$22)&amp;IF(('Resource Planner'!$G$22+(6-1)*'Resource Planner'!$I$22)=MIN('Resource Planner'!$G$22+6*'Resource Planner'!$I$22-1,'Resource Planner'!$H$22),"","–"&amp;MIN('Resource Planner'!$G$22+6*'Resource Planner'!$I$22-1,'Resource Planner'!$H$22)),"")</f>
        <v>Chapter 6</v>
      </c>
      <c r="G610" s="163" t="s">
        <v>109</v>
      </c>
      <c r="H610" s="33" t="str">
        <f>IF(AND('Resource Planner'!$A$22="☑",6&lt;='Resource Planner'!$N$22),'Resource Planner'!$M$22,"")</f>
        <v/>
      </c>
    </row>
    <row r="611" ht="15.75" customHeight="1">
      <c r="A61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week"",10*(n-1),""Custom"",gap*(n-1),n-1),IF(AND(active=""☑"",n&lt;=lessons,st&lt;&gt;""""),INDEX(eligibleDates,startPos+offset),"""")),"""")"),46293.0)</f>
        <v>46293</v>
      </c>
      <c r="B611" s="33" t="str">
        <f>IF(AND('Resource Planner'!$A$22="☑",7&lt;='Resource Planner'!$N$22),'Resource Planner'!$C$22,"")</f>
        <v>Everyone</v>
      </c>
      <c r="C611" s="33" t="str">
        <f>IF(AND('Resource Planner'!$A$22="☑",7&lt;='Resource Planner'!$N$22),'Resource Planner'!$B$22,"")</f>
        <v>Faith</v>
      </c>
      <c r="D611" s="33" t="str">
        <f>IF(AND('Resource Planner'!$A$22="☑",7&lt;='Resource Planner'!$N$22),'Resource Planner'!$D$22,"")</f>
        <v>All Together / Bible — New Testament</v>
      </c>
      <c r="E611" s="33" t="str">
        <f>IF(AND('Resource Planner'!$A$22="☑",7&lt;='Resource Planner'!$N$22),'Resource Planner'!$E$22,"")</f>
        <v>Matthew</v>
      </c>
      <c r="F611" s="163" t="str">
        <f>IF(AND('Resource Planner'!$A$22="☑",7&lt;='Resource Planner'!$N$22),'Resource Planner'!$F$22&amp;" "&amp;('Resource Planner'!$G$22+(7-1)*'Resource Planner'!$I$22)&amp;IF(('Resource Planner'!$G$22+(7-1)*'Resource Planner'!$I$22)=MIN('Resource Planner'!$G$22+7*'Resource Planner'!$I$22-1,'Resource Planner'!$H$22),"","–"&amp;MIN('Resource Planner'!$G$22+7*'Resource Planner'!$I$22-1,'Resource Planner'!$H$22)),"")</f>
        <v>Chapter 7</v>
      </c>
      <c r="G611" s="163" t="s">
        <v>109</v>
      </c>
      <c r="H611" s="33" t="str">
        <f>IF(AND('Resource Planner'!$A$22="☑",7&lt;='Resource Planner'!$N$22),'Resource Planner'!$M$22,"")</f>
        <v/>
      </c>
    </row>
    <row r="612" ht="15.75" customHeight="1">
      <c r="A61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week"",10*(n-1),""Custom"",gap*(n-1),n-1),IF(AND(active=""☑"",n&lt;=lessons,st&lt;&gt;""""),INDEX(eligibleDates,startPos+offset),"""")),"""")"),46300.0)</f>
        <v>46300</v>
      </c>
      <c r="B612" s="33" t="str">
        <f>IF(AND('Resource Planner'!$A$22="☑",8&lt;='Resource Planner'!$N$22),'Resource Planner'!$C$22,"")</f>
        <v>Everyone</v>
      </c>
      <c r="C612" s="33" t="str">
        <f>IF(AND('Resource Planner'!$A$22="☑",8&lt;='Resource Planner'!$N$22),'Resource Planner'!$B$22,"")</f>
        <v>Faith</v>
      </c>
      <c r="D612" s="33" t="str">
        <f>IF(AND('Resource Planner'!$A$22="☑",8&lt;='Resource Planner'!$N$22),'Resource Planner'!$D$22,"")</f>
        <v>All Together / Bible — New Testament</v>
      </c>
      <c r="E612" s="33" t="str">
        <f>IF(AND('Resource Planner'!$A$22="☑",8&lt;='Resource Planner'!$N$22),'Resource Planner'!$E$22,"")</f>
        <v>Matthew</v>
      </c>
      <c r="F612" s="163" t="str">
        <f>IF(AND('Resource Planner'!$A$22="☑",8&lt;='Resource Planner'!$N$22),'Resource Planner'!$F$22&amp;" "&amp;('Resource Planner'!$G$22+(8-1)*'Resource Planner'!$I$22)&amp;IF(('Resource Planner'!$G$22+(8-1)*'Resource Planner'!$I$22)=MIN('Resource Planner'!$G$22+8*'Resource Planner'!$I$22-1,'Resource Planner'!$H$22),"","–"&amp;MIN('Resource Planner'!$G$22+8*'Resource Planner'!$I$22-1,'Resource Planner'!$H$22)),"")</f>
        <v>Chapter 8</v>
      </c>
      <c r="G612" s="163" t="s">
        <v>109</v>
      </c>
      <c r="H612" s="33" t="str">
        <f>IF(AND('Resource Planner'!$A$22="☑",8&lt;='Resource Planner'!$N$22),'Resource Planner'!$M$22,"")</f>
        <v/>
      </c>
    </row>
    <row r="613" ht="15.75" customHeight="1">
      <c r="A61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week"",10*(n-1),""Custom"",gap*(n-1),n-1),IF(AND(active=""☑"",n&lt;=lessons,st&lt;&gt;""""),INDEX(eligibleDates,startPos+offset),"""")),"""")"),46307.0)</f>
        <v>46307</v>
      </c>
      <c r="B613" s="33" t="str">
        <f>IF(AND('Resource Planner'!$A$22="☑",9&lt;='Resource Planner'!$N$22),'Resource Planner'!$C$22,"")</f>
        <v>Everyone</v>
      </c>
      <c r="C613" s="33" t="str">
        <f>IF(AND('Resource Planner'!$A$22="☑",9&lt;='Resource Planner'!$N$22),'Resource Planner'!$B$22,"")</f>
        <v>Faith</v>
      </c>
      <c r="D613" s="33" t="str">
        <f>IF(AND('Resource Planner'!$A$22="☑",9&lt;='Resource Planner'!$N$22),'Resource Planner'!$D$22,"")</f>
        <v>All Together / Bible — New Testament</v>
      </c>
      <c r="E613" s="33" t="str">
        <f>IF(AND('Resource Planner'!$A$22="☑",9&lt;='Resource Planner'!$N$22),'Resource Planner'!$E$22,"")</f>
        <v>Matthew</v>
      </c>
      <c r="F613" s="163" t="str">
        <f>IF(AND('Resource Planner'!$A$22="☑",9&lt;='Resource Planner'!$N$22),'Resource Planner'!$F$22&amp;" "&amp;('Resource Planner'!$G$22+(9-1)*'Resource Planner'!$I$22)&amp;IF(('Resource Planner'!$G$22+(9-1)*'Resource Planner'!$I$22)=MIN('Resource Planner'!$G$22+9*'Resource Planner'!$I$22-1,'Resource Planner'!$H$22),"","–"&amp;MIN('Resource Planner'!$G$22+9*'Resource Planner'!$I$22-1,'Resource Planner'!$H$22)),"")</f>
        <v>Chapter 9</v>
      </c>
      <c r="G613" s="163" t="s">
        <v>109</v>
      </c>
      <c r="H613" s="33" t="str">
        <f>IF(AND('Resource Planner'!$A$22="☑",9&lt;='Resource Planner'!$N$22),'Resource Planner'!$M$22,"")</f>
        <v/>
      </c>
    </row>
    <row r="614" ht="15.75" customHeight="1">
      <c r="A61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week"",10*(n-1),""Custom"",gap*(n-1),n-1),IF(AND(active=""☑"",n&lt;=lessons,st&lt;&gt;""""),INDEX(eligibleDates,startPos+offset),"""")),"""")"),46314.0)</f>
        <v>46314</v>
      </c>
      <c r="B614" s="33" t="str">
        <f>IF(AND('Resource Planner'!$A$22="☑",10&lt;='Resource Planner'!$N$22),'Resource Planner'!$C$22,"")</f>
        <v>Everyone</v>
      </c>
      <c r="C614" s="33" t="str">
        <f>IF(AND('Resource Planner'!$A$22="☑",10&lt;='Resource Planner'!$N$22),'Resource Planner'!$B$22,"")</f>
        <v>Faith</v>
      </c>
      <c r="D614" s="33" t="str">
        <f>IF(AND('Resource Planner'!$A$22="☑",10&lt;='Resource Planner'!$N$22),'Resource Planner'!$D$22,"")</f>
        <v>All Together / Bible — New Testament</v>
      </c>
      <c r="E614" s="33" t="str">
        <f>IF(AND('Resource Planner'!$A$22="☑",10&lt;='Resource Planner'!$N$22),'Resource Planner'!$E$22,"")</f>
        <v>Matthew</v>
      </c>
      <c r="F614" s="163" t="str">
        <f>IF(AND('Resource Planner'!$A$22="☑",10&lt;='Resource Planner'!$N$22),'Resource Planner'!$F$22&amp;" "&amp;('Resource Planner'!$G$22+(10-1)*'Resource Planner'!$I$22)&amp;IF(('Resource Planner'!$G$22+(10-1)*'Resource Planner'!$I$22)=MIN('Resource Planner'!$G$22+10*'Resource Planner'!$I$22-1,'Resource Planner'!$H$22),"","–"&amp;MIN('Resource Planner'!$G$22+10*'Resource Planner'!$I$22-1,'Resource Planner'!$H$22)),"")</f>
        <v>Chapter 10</v>
      </c>
      <c r="G614" s="163" t="s">
        <v>109</v>
      </c>
      <c r="H614" s="33" t="str">
        <f>IF(AND('Resource Planner'!$A$22="☑",10&lt;='Resource Planner'!$N$22),'Resource Planner'!$M$22,"")</f>
        <v/>
      </c>
    </row>
    <row r="615" ht="15.75" customHeight="1">
      <c r="A61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week"",10*(n-1),""Custom"",gap*(n-1),n-1),IF(AND(active=""☑"",n&lt;=lessons,st&lt;&gt;""""),INDEX(eligibleDates,startPos+offset),"""")),"""")"),46328.0)</f>
        <v>46328</v>
      </c>
      <c r="B615" s="33" t="str">
        <f>IF(AND('Resource Planner'!$A$22="☑",11&lt;='Resource Planner'!$N$22),'Resource Planner'!$C$22,"")</f>
        <v>Everyone</v>
      </c>
      <c r="C615" s="33" t="str">
        <f>IF(AND('Resource Planner'!$A$22="☑",11&lt;='Resource Planner'!$N$22),'Resource Planner'!$B$22,"")</f>
        <v>Faith</v>
      </c>
      <c r="D615" s="33" t="str">
        <f>IF(AND('Resource Planner'!$A$22="☑",11&lt;='Resource Planner'!$N$22),'Resource Planner'!$D$22,"")</f>
        <v>All Together / Bible — New Testament</v>
      </c>
      <c r="E615" s="33" t="str">
        <f>IF(AND('Resource Planner'!$A$22="☑",11&lt;='Resource Planner'!$N$22),'Resource Planner'!$E$22,"")</f>
        <v>Matthew</v>
      </c>
      <c r="F615" s="163" t="str">
        <f>IF(AND('Resource Planner'!$A$22="☑",11&lt;='Resource Planner'!$N$22),'Resource Planner'!$F$22&amp;" "&amp;('Resource Planner'!$G$22+(11-1)*'Resource Planner'!$I$22)&amp;IF(('Resource Planner'!$G$22+(11-1)*'Resource Planner'!$I$22)=MIN('Resource Planner'!$G$22+11*'Resource Planner'!$I$22-1,'Resource Planner'!$H$22),"","–"&amp;MIN('Resource Planner'!$G$22+11*'Resource Planner'!$I$22-1,'Resource Planner'!$H$22)),"")</f>
        <v>Chapter 11</v>
      </c>
      <c r="G615" s="163" t="s">
        <v>109</v>
      </c>
      <c r="H615" s="33" t="str">
        <f>IF(AND('Resource Planner'!$A$22="☑",11&lt;='Resource Planner'!$N$22),'Resource Planner'!$M$22,"")</f>
        <v/>
      </c>
    </row>
    <row r="616" ht="15.75" customHeight="1">
      <c r="A61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week"",10*(n-1),""Custom"",gap*(n-1),n-1),IF(AND(active=""☑"",n&lt;=lessons,st&lt;&gt;""""),INDEX(eligibleDates,startPos+offset),"""")),"""")"),46335.0)</f>
        <v>46335</v>
      </c>
      <c r="B616" s="33" t="str">
        <f>IF(AND('Resource Planner'!$A$22="☑",12&lt;='Resource Planner'!$N$22),'Resource Planner'!$C$22,"")</f>
        <v>Everyone</v>
      </c>
      <c r="C616" s="33" t="str">
        <f>IF(AND('Resource Planner'!$A$22="☑",12&lt;='Resource Planner'!$N$22),'Resource Planner'!$B$22,"")</f>
        <v>Faith</v>
      </c>
      <c r="D616" s="33" t="str">
        <f>IF(AND('Resource Planner'!$A$22="☑",12&lt;='Resource Planner'!$N$22),'Resource Planner'!$D$22,"")</f>
        <v>All Together / Bible — New Testament</v>
      </c>
      <c r="E616" s="33" t="str">
        <f>IF(AND('Resource Planner'!$A$22="☑",12&lt;='Resource Planner'!$N$22),'Resource Planner'!$E$22,"")</f>
        <v>Matthew</v>
      </c>
      <c r="F616" s="163" t="str">
        <f>IF(AND('Resource Planner'!$A$22="☑",12&lt;='Resource Planner'!$N$22),'Resource Planner'!$F$22&amp;" "&amp;('Resource Planner'!$G$22+(12-1)*'Resource Planner'!$I$22)&amp;IF(('Resource Planner'!$G$22+(12-1)*'Resource Planner'!$I$22)=MIN('Resource Planner'!$G$22+12*'Resource Planner'!$I$22-1,'Resource Planner'!$H$22),"","–"&amp;MIN('Resource Planner'!$G$22+12*'Resource Planner'!$I$22-1,'Resource Planner'!$H$22)),"")</f>
        <v>Chapter 12</v>
      </c>
      <c r="G616" s="163" t="s">
        <v>109</v>
      </c>
      <c r="H616" s="33" t="str">
        <f>IF(AND('Resource Planner'!$A$22="☑",12&lt;='Resource Planner'!$N$22),'Resource Planner'!$M$22,"")</f>
        <v/>
      </c>
    </row>
    <row r="617" ht="15.75" customHeight="1">
      <c r="A61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week"",10*(n-1),""Custom"",gap*(n-1),n-1),IF(AND(active=""☑"",n&lt;=lessons,st&lt;&gt;""""),INDEX(eligibleDates,startPos+offset),"""")),"""")"),46342.0)</f>
        <v>46342</v>
      </c>
      <c r="B617" s="33" t="str">
        <f>IF(AND('Resource Planner'!$A$22="☑",13&lt;='Resource Planner'!$N$22),'Resource Planner'!$C$22,"")</f>
        <v>Everyone</v>
      </c>
      <c r="C617" s="33" t="str">
        <f>IF(AND('Resource Planner'!$A$22="☑",13&lt;='Resource Planner'!$N$22),'Resource Planner'!$B$22,"")</f>
        <v>Faith</v>
      </c>
      <c r="D617" s="33" t="str">
        <f>IF(AND('Resource Planner'!$A$22="☑",13&lt;='Resource Planner'!$N$22),'Resource Planner'!$D$22,"")</f>
        <v>All Together / Bible — New Testament</v>
      </c>
      <c r="E617" s="33" t="str">
        <f>IF(AND('Resource Planner'!$A$22="☑",13&lt;='Resource Planner'!$N$22),'Resource Planner'!$E$22,"")</f>
        <v>Matthew</v>
      </c>
      <c r="F617" s="163" t="str">
        <f>IF(AND('Resource Planner'!$A$22="☑",13&lt;='Resource Planner'!$N$22),'Resource Planner'!$F$22&amp;" "&amp;('Resource Planner'!$G$22+(13-1)*'Resource Planner'!$I$22)&amp;IF(('Resource Planner'!$G$22+(13-1)*'Resource Planner'!$I$22)=MIN('Resource Planner'!$G$22+13*'Resource Planner'!$I$22-1,'Resource Planner'!$H$22),"","–"&amp;MIN('Resource Planner'!$G$22+13*'Resource Planner'!$I$22-1,'Resource Planner'!$H$22)),"")</f>
        <v>Chapter 13</v>
      </c>
      <c r="G617" s="163" t="s">
        <v>109</v>
      </c>
      <c r="H617" s="33" t="str">
        <f>IF(AND('Resource Planner'!$A$22="☑",13&lt;='Resource Planner'!$N$22),'Resource Planner'!$M$22,"")</f>
        <v/>
      </c>
    </row>
    <row r="618" ht="15.75" customHeight="1">
      <c r="A61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week"",10*(n-1),""Custom"",gap*(n-1),n-1),IF(AND(active=""☑"",n&lt;=lessons,st&lt;&gt;""""),INDEX(eligibleDates,startPos+offset),"""")),"""")"),46349.0)</f>
        <v>46349</v>
      </c>
      <c r="B618" s="33" t="str">
        <f>IF(AND('Resource Planner'!$A$22="☑",14&lt;='Resource Planner'!$N$22),'Resource Planner'!$C$22,"")</f>
        <v>Everyone</v>
      </c>
      <c r="C618" s="33" t="str">
        <f>IF(AND('Resource Planner'!$A$22="☑",14&lt;='Resource Planner'!$N$22),'Resource Planner'!$B$22,"")</f>
        <v>Faith</v>
      </c>
      <c r="D618" s="33" t="str">
        <f>IF(AND('Resource Planner'!$A$22="☑",14&lt;='Resource Planner'!$N$22),'Resource Planner'!$D$22,"")</f>
        <v>All Together / Bible — New Testament</v>
      </c>
      <c r="E618" s="33" t="str">
        <f>IF(AND('Resource Planner'!$A$22="☑",14&lt;='Resource Planner'!$N$22),'Resource Planner'!$E$22,"")</f>
        <v>Matthew</v>
      </c>
      <c r="F618" s="163" t="str">
        <f>IF(AND('Resource Planner'!$A$22="☑",14&lt;='Resource Planner'!$N$22),'Resource Planner'!$F$22&amp;" "&amp;('Resource Planner'!$G$22+(14-1)*'Resource Planner'!$I$22)&amp;IF(('Resource Planner'!$G$22+(14-1)*'Resource Planner'!$I$22)=MIN('Resource Planner'!$G$22+14*'Resource Planner'!$I$22-1,'Resource Planner'!$H$22),"","–"&amp;MIN('Resource Planner'!$G$22+14*'Resource Planner'!$I$22-1,'Resource Planner'!$H$22)),"")</f>
        <v>Chapter 14</v>
      </c>
      <c r="G618" s="163" t="s">
        <v>109</v>
      </c>
      <c r="H618" s="33" t="str">
        <f>IF(AND('Resource Planner'!$A$22="☑",14&lt;='Resource Planner'!$N$22),'Resource Planner'!$M$22,"")</f>
        <v/>
      </c>
    </row>
    <row r="619" ht="15.75" customHeight="1">
      <c r="A61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week"",10*(n-1),""Custom"",gap*(n-1),n-1),IF(AND(active=""☑"",n&lt;=lessons,st&lt;&gt;""""),INDEX(eligibleDates,startPos+offset),"""")),"""")"),46356.0)</f>
        <v>46356</v>
      </c>
      <c r="B619" s="33" t="str">
        <f>IF(AND('Resource Planner'!$A$22="☑",15&lt;='Resource Planner'!$N$22),'Resource Planner'!$C$22,"")</f>
        <v>Everyone</v>
      </c>
      <c r="C619" s="33" t="str">
        <f>IF(AND('Resource Planner'!$A$22="☑",15&lt;='Resource Planner'!$N$22),'Resource Planner'!$B$22,"")</f>
        <v>Faith</v>
      </c>
      <c r="D619" s="33" t="str">
        <f>IF(AND('Resource Planner'!$A$22="☑",15&lt;='Resource Planner'!$N$22),'Resource Planner'!$D$22,"")</f>
        <v>All Together / Bible — New Testament</v>
      </c>
      <c r="E619" s="33" t="str">
        <f>IF(AND('Resource Planner'!$A$22="☑",15&lt;='Resource Planner'!$N$22),'Resource Planner'!$E$22,"")</f>
        <v>Matthew</v>
      </c>
      <c r="F619" s="163" t="str">
        <f>IF(AND('Resource Planner'!$A$22="☑",15&lt;='Resource Planner'!$N$22),'Resource Planner'!$F$22&amp;" "&amp;('Resource Planner'!$G$22+(15-1)*'Resource Planner'!$I$22)&amp;IF(('Resource Planner'!$G$22+(15-1)*'Resource Planner'!$I$22)=MIN('Resource Planner'!$G$22+15*'Resource Planner'!$I$22-1,'Resource Planner'!$H$22),"","–"&amp;MIN('Resource Planner'!$G$22+15*'Resource Planner'!$I$22-1,'Resource Planner'!$H$22)),"")</f>
        <v>Chapter 15</v>
      </c>
      <c r="G619" s="163" t="s">
        <v>109</v>
      </c>
      <c r="H619" s="33" t="str">
        <f>IF(AND('Resource Planner'!$A$22="☑",15&lt;='Resource Planner'!$N$22),'Resource Planner'!$M$22,"")</f>
        <v/>
      </c>
    </row>
    <row r="620" ht="15.75" customHeight="1">
      <c r="A62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week"",10*(n-1),""Custom"",gap*(n-1),n-1),IF(AND(active=""☑"",n&lt;=lessons,st&lt;&gt;""""),INDEX(eligibleDates,startPos+offset),"""")),"""")"),46363.0)</f>
        <v>46363</v>
      </c>
      <c r="B620" s="33" t="str">
        <f>IF(AND('Resource Planner'!$A$22="☑",16&lt;='Resource Planner'!$N$22),'Resource Planner'!$C$22,"")</f>
        <v>Everyone</v>
      </c>
      <c r="C620" s="33" t="str">
        <f>IF(AND('Resource Planner'!$A$22="☑",16&lt;='Resource Planner'!$N$22),'Resource Planner'!$B$22,"")</f>
        <v>Faith</v>
      </c>
      <c r="D620" s="33" t="str">
        <f>IF(AND('Resource Planner'!$A$22="☑",16&lt;='Resource Planner'!$N$22),'Resource Planner'!$D$22,"")</f>
        <v>All Together / Bible — New Testament</v>
      </c>
      <c r="E620" s="33" t="str">
        <f>IF(AND('Resource Planner'!$A$22="☑",16&lt;='Resource Planner'!$N$22),'Resource Planner'!$E$22,"")</f>
        <v>Matthew</v>
      </c>
      <c r="F620" s="163" t="str">
        <f>IF(AND('Resource Planner'!$A$22="☑",16&lt;='Resource Planner'!$N$22),'Resource Planner'!$F$22&amp;" "&amp;('Resource Planner'!$G$22+(16-1)*'Resource Planner'!$I$22)&amp;IF(('Resource Planner'!$G$22+(16-1)*'Resource Planner'!$I$22)=MIN('Resource Planner'!$G$22+16*'Resource Planner'!$I$22-1,'Resource Planner'!$H$22),"","–"&amp;MIN('Resource Planner'!$G$22+16*'Resource Planner'!$I$22-1,'Resource Planner'!$H$22)),"")</f>
        <v>Chapter 16</v>
      </c>
      <c r="G620" s="163" t="s">
        <v>109</v>
      </c>
      <c r="H620" s="33" t="str">
        <f>IF(AND('Resource Planner'!$A$22="☑",16&lt;='Resource Planner'!$N$22),'Resource Planner'!$M$22,"")</f>
        <v/>
      </c>
    </row>
    <row r="621" ht="15.75" customHeight="1">
      <c r="A62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week"",10*(n-1),""Custom"",gap*(n-1),n-1),IF(AND(active=""☑"",n&lt;=lessons,st&lt;&gt;""""),INDEX(eligibleDates,startPos+offset),"""")),"""")"),46370.0)</f>
        <v>46370</v>
      </c>
      <c r="B621" s="33" t="str">
        <f>IF(AND('Resource Planner'!$A$22="☑",17&lt;='Resource Planner'!$N$22),'Resource Planner'!$C$22,"")</f>
        <v>Everyone</v>
      </c>
      <c r="C621" s="33" t="str">
        <f>IF(AND('Resource Planner'!$A$22="☑",17&lt;='Resource Planner'!$N$22),'Resource Planner'!$B$22,"")</f>
        <v>Faith</v>
      </c>
      <c r="D621" s="33" t="str">
        <f>IF(AND('Resource Planner'!$A$22="☑",17&lt;='Resource Planner'!$N$22),'Resource Planner'!$D$22,"")</f>
        <v>All Together / Bible — New Testament</v>
      </c>
      <c r="E621" s="33" t="str">
        <f>IF(AND('Resource Planner'!$A$22="☑",17&lt;='Resource Planner'!$N$22),'Resource Planner'!$E$22,"")</f>
        <v>Matthew</v>
      </c>
      <c r="F621" s="163" t="str">
        <f>IF(AND('Resource Planner'!$A$22="☑",17&lt;='Resource Planner'!$N$22),'Resource Planner'!$F$22&amp;" "&amp;('Resource Planner'!$G$22+(17-1)*'Resource Planner'!$I$22)&amp;IF(('Resource Planner'!$G$22+(17-1)*'Resource Planner'!$I$22)=MIN('Resource Planner'!$G$22+17*'Resource Planner'!$I$22-1,'Resource Planner'!$H$22),"","–"&amp;MIN('Resource Planner'!$G$22+17*'Resource Planner'!$I$22-1,'Resource Planner'!$H$22)),"")</f>
        <v>Chapter 17</v>
      </c>
      <c r="G621" s="163" t="s">
        <v>109</v>
      </c>
      <c r="H621" s="33" t="str">
        <f>IF(AND('Resource Planner'!$A$22="☑",17&lt;='Resource Planner'!$N$22),'Resource Planner'!$M$22,"")</f>
        <v/>
      </c>
    </row>
    <row r="622" ht="15.75" customHeight="1">
      <c r="A62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week"",10*(n-1),""Custom"",gap*(n-1),n-1),IF(AND(active=""☑"",n&lt;=lessons,st&lt;&gt;""""),INDEX(eligibleDates,startPos+offset),"""")),"""")"),46377.0)</f>
        <v>46377</v>
      </c>
      <c r="B622" s="33" t="str">
        <f>IF(AND('Resource Planner'!$A$22="☑",18&lt;='Resource Planner'!$N$22),'Resource Planner'!$C$22,"")</f>
        <v>Everyone</v>
      </c>
      <c r="C622" s="33" t="str">
        <f>IF(AND('Resource Planner'!$A$22="☑",18&lt;='Resource Planner'!$N$22),'Resource Planner'!$B$22,"")</f>
        <v>Faith</v>
      </c>
      <c r="D622" s="33" t="str">
        <f>IF(AND('Resource Planner'!$A$22="☑",18&lt;='Resource Planner'!$N$22),'Resource Planner'!$D$22,"")</f>
        <v>All Together / Bible — New Testament</v>
      </c>
      <c r="E622" s="33" t="str">
        <f>IF(AND('Resource Planner'!$A$22="☑",18&lt;='Resource Planner'!$N$22),'Resource Planner'!$E$22,"")</f>
        <v>Matthew</v>
      </c>
      <c r="F622" s="163" t="str">
        <f>IF(AND('Resource Planner'!$A$22="☑",18&lt;='Resource Planner'!$N$22),'Resource Planner'!$F$22&amp;" "&amp;('Resource Planner'!$G$22+(18-1)*'Resource Planner'!$I$22)&amp;IF(('Resource Planner'!$G$22+(18-1)*'Resource Planner'!$I$22)=MIN('Resource Planner'!$G$22+18*'Resource Planner'!$I$22-1,'Resource Planner'!$H$22),"","–"&amp;MIN('Resource Planner'!$G$22+18*'Resource Planner'!$I$22-1,'Resource Planner'!$H$22)),"")</f>
        <v>Chapter 18</v>
      </c>
      <c r="G622" s="163" t="s">
        <v>109</v>
      </c>
      <c r="H622" s="33" t="str">
        <f>IF(AND('Resource Planner'!$A$22="☑",18&lt;='Resource Planner'!$N$22),'Resource Planner'!$M$22,"")</f>
        <v/>
      </c>
    </row>
    <row r="623" ht="15.75" customHeight="1">
      <c r="A62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week"",10*(n-1),""Custom"",gap*(n-1),n-1),IF(AND(active=""☑"",n&lt;=lessons,st&lt;&gt;""""),INDEX(eligibleDates,startPos+offset),"""")),"""")"),46384.0)</f>
        <v>46384</v>
      </c>
      <c r="B623" s="33" t="str">
        <f>IF(AND('Resource Planner'!$A$22="☑",19&lt;='Resource Planner'!$N$22),'Resource Planner'!$C$22,"")</f>
        <v>Everyone</v>
      </c>
      <c r="C623" s="33" t="str">
        <f>IF(AND('Resource Planner'!$A$22="☑",19&lt;='Resource Planner'!$N$22),'Resource Planner'!$B$22,"")</f>
        <v>Faith</v>
      </c>
      <c r="D623" s="33" t="str">
        <f>IF(AND('Resource Planner'!$A$22="☑",19&lt;='Resource Planner'!$N$22),'Resource Planner'!$D$22,"")</f>
        <v>All Together / Bible — New Testament</v>
      </c>
      <c r="E623" s="33" t="str">
        <f>IF(AND('Resource Planner'!$A$22="☑",19&lt;='Resource Planner'!$N$22),'Resource Planner'!$E$22,"")</f>
        <v>Matthew</v>
      </c>
      <c r="F623" s="163" t="str">
        <f>IF(AND('Resource Planner'!$A$22="☑",19&lt;='Resource Planner'!$N$22),'Resource Planner'!$F$22&amp;" "&amp;('Resource Planner'!$G$22+(19-1)*'Resource Planner'!$I$22)&amp;IF(('Resource Planner'!$G$22+(19-1)*'Resource Planner'!$I$22)=MIN('Resource Planner'!$G$22+19*'Resource Planner'!$I$22-1,'Resource Planner'!$H$22),"","–"&amp;MIN('Resource Planner'!$G$22+19*'Resource Planner'!$I$22-1,'Resource Planner'!$H$22)),"")</f>
        <v>Chapter 19</v>
      </c>
      <c r="G623" s="163" t="s">
        <v>109</v>
      </c>
      <c r="H623" s="33" t="str">
        <f>IF(AND('Resource Planner'!$A$22="☑",19&lt;='Resource Planner'!$N$22),'Resource Planner'!$M$22,"")</f>
        <v/>
      </c>
    </row>
    <row r="624" ht="15.75" customHeight="1">
      <c r="A62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week"",10*(n-1),""Custom"",gap*(n-1),n-1),IF(AND(active=""☑"",n&lt;=lessons,st&lt;&gt;""""),INDEX(eligibleDates,startPos+offset),"""")),"""")"),46391.0)</f>
        <v>46391</v>
      </c>
      <c r="B624" s="33" t="str">
        <f>IF(AND('Resource Planner'!$A$22="☑",20&lt;='Resource Planner'!$N$22),'Resource Planner'!$C$22,"")</f>
        <v>Everyone</v>
      </c>
      <c r="C624" s="33" t="str">
        <f>IF(AND('Resource Planner'!$A$22="☑",20&lt;='Resource Planner'!$N$22),'Resource Planner'!$B$22,"")</f>
        <v>Faith</v>
      </c>
      <c r="D624" s="33" t="str">
        <f>IF(AND('Resource Planner'!$A$22="☑",20&lt;='Resource Planner'!$N$22),'Resource Planner'!$D$22,"")</f>
        <v>All Together / Bible — New Testament</v>
      </c>
      <c r="E624" s="33" t="str">
        <f>IF(AND('Resource Planner'!$A$22="☑",20&lt;='Resource Planner'!$N$22),'Resource Planner'!$E$22,"")</f>
        <v>Matthew</v>
      </c>
      <c r="F624" s="163" t="str">
        <f>IF(AND('Resource Planner'!$A$22="☑",20&lt;='Resource Planner'!$N$22),'Resource Planner'!$F$22&amp;" "&amp;('Resource Planner'!$G$22+(20-1)*'Resource Planner'!$I$22)&amp;IF(('Resource Planner'!$G$22+(20-1)*'Resource Planner'!$I$22)=MIN('Resource Planner'!$G$22+20*'Resource Planner'!$I$22-1,'Resource Planner'!$H$22),"","–"&amp;MIN('Resource Planner'!$G$22+20*'Resource Planner'!$I$22-1,'Resource Planner'!$H$22)),"")</f>
        <v>Chapter 20</v>
      </c>
      <c r="G624" s="163" t="s">
        <v>109</v>
      </c>
      <c r="H624" s="33" t="str">
        <f>IF(AND('Resource Planner'!$A$22="☑",20&lt;='Resource Planner'!$N$22),'Resource Planner'!$M$22,"")</f>
        <v/>
      </c>
    </row>
    <row r="625" ht="15.75" customHeight="1">
      <c r="A625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week"",10*(n-1),""Custom"",gap*(n-1),n-1),IF(AND(active=""☑"",n&lt;=lessons,st&lt;&gt;""""),INDEX(eligibleDates,startPos+offset),"""")),"""")"),46398.0)</f>
        <v>46398</v>
      </c>
      <c r="B625" s="33" t="str">
        <f>IF(AND('Resource Planner'!$A$22="☑",21&lt;='Resource Planner'!$N$22),'Resource Planner'!$C$22,"")</f>
        <v>Everyone</v>
      </c>
      <c r="C625" s="33" t="str">
        <f>IF(AND('Resource Planner'!$A$22="☑",21&lt;='Resource Planner'!$N$22),'Resource Planner'!$B$22,"")</f>
        <v>Faith</v>
      </c>
      <c r="D625" s="33" t="str">
        <f>IF(AND('Resource Planner'!$A$22="☑",21&lt;='Resource Planner'!$N$22),'Resource Planner'!$D$22,"")</f>
        <v>All Together / Bible — New Testament</v>
      </c>
      <c r="E625" s="33" t="str">
        <f>IF(AND('Resource Planner'!$A$22="☑",21&lt;='Resource Planner'!$N$22),'Resource Planner'!$E$22,"")</f>
        <v>Matthew</v>
      </c>
      <c r="F625" s="163" t="str">
        <f>IF(AND('Resource Planner'!$A$22="☑",21&lt;='Resource Planner'!$N$22),'Resource Planner'!$F$22&amp;" "&amp;('Resource Planner'!$G$22+(21-1)*'Resource Planner'!$I$22)&amp;IF(('Resource Planner'!$G$22+(21-1)*'Resource Planner'!$I$22)=MIN('Resource Planner'!$G$22+21*'Resource Planner'!$I$22-1,'Resource Planner'!$H$22),"","–"&amp;MIN('Resource Planner'!$G$22+21*'Resource Planner'!$I$22-1,'Resource Planner'!$H$22)),"")</f>
        <v>Chapter 21</v>
      </c>
      <c r="G625" s="163" t="s">
        <v>109</v>
      </c>
      <c r="H625" s="33" t="str">
        <f>IF(AND('Resource Planner'!$A$22="☑",21&lt;='Resource Planner'!$N$22),'Resource Planner'!$M$22,"")</f>
        <v/>
      </c>
    </row>
    <row r="626" ht="15.75" customHeight="1">
      <c r="A626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week"",10*(n-1),""Custom"",gap*(n-1),n-1),IF(AND(active=""☑"",n&lt;=lessons,st&lt;&gt;""""),INDEX(eligibleDates,startPos+offset),"""")),"""")"),46412.0)</f>
        <v>46412</v>
      </c>
      <c r="B626" s="33" t="str">
        <f>IF(AND('Resource Planner'!$A$22="☑",22&lt;='Resource Planner'!$N$22),'Resource Planner'!$C$22,"")</f>
        <v>Everyone</v>
      </c>
      <c r="C626" s="33" t="str">
        <f>IF(AND('Resource Planner'!$A$22="☑",22&lt;='Resource Planner'!$N$22),'Resource Planner'!$B$22,"")</f>
        <v>Faith</v>
      </c>
      <c r="D626" s="33" t="str">
        <f>IF(AND('Resource Planner'!$A$22="☑",22&lt;='Resource Planner'!$N$22),'Resource Planner'!$D$22,"")</f>
        <v>All Together / Bible — New Testament</v>
      </c>
      <c r="E626" s="33" t="str">
        <f>IF(AND('Resource Planner'!$A$22="☑",22&lt;='Resource Planner'!$N$22),'Resource Planner'!$E$22,"")</f>
        <v>Matthew</v>
      </c>
      <c r="F626" s="163" t="str">
        <f>IF(AND('Resource Planner'!$A$22="☑",22&lt;='Resource Planner'!$N$22),'Resource Planner'!$F$22&amp;" "&amp;('Resource Planner'!$G$22+(22-1)*'Resource Planner'!$I$22)&amp;IF(('Resource Planner'!$G$22+(22-1)*'Resource Planner'!$I$22)=MIN('Resource Planner'!$G$22+22*'Resource Planner'!$I$22-1,'Resource Planner'!$H$22),"","–"&amp;MIN('Resource Planner'!$G$22+22*'Resource Planner'!$I$22-1,'Resource Planner'!$H$22)),"")</f>
        <v>Chapter 22</v>
      </c>
      <c r="G626" s="163" t="s">
        <v>109</v>
      </c>
      <c r="H626" s="33" t="str">
        <f>IF(AND('Resource Planner'!$A$22="☑",22&lt;='Resource Planner'!$N$22),'Resource Planner'!$M$22,"")</f>
        <v/>
      </c>
    </row>
    <row r="627" ht="15.75" customHeight="1">
      <c r="A627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week"",10*(n-1),""Custom"",gap*(n-1),n-1),IF(AND(active=""☑"",n&lt;=lessons,st&lt;&gt;""""),INDEX(eligibleDates,startPos+offset),"""")),"""")"),46419.0)</f>
        <v>46419</v>
      </c>
      <c r="B627" s="33" t="str">
        <f>IF(AND('Resource Planner'!$A$22="☑",23&lt;='Resource Planner'!$N$22),'Resource Planner'!$C$22,"")</f>
        <v>Everyone</v>
      </c>
      <c r="C627" s="33" t="str">
        <f>IF(AND('Resource Planner'!$A$22="☑",23&lt;='Resource Planner'!$N$22),'Resource Planner'!$B$22,"")</f>
        <v>Faith</v>
      </c>
      <c r="D627" s="33" t="str">
        <f>IF(AND('Resource Planner'!$A$22="☑",23&lt;='Resource Planner'!$N$22),'Resource Planner'!$D$22,"")</f>
        <v>All Together / Bible — New Testament</v>
      </c>
      <c r="E627" s="33" t="str">
        <f>IF(AND('Resource Planner'!$A$22="☑",23&lt;='Resource Planner'!$N$22),'Resource Planner'!$E$22,"")</f>
        <v>Matthew</v>
      </c>
      <c r="F627" s="163" t="str">
        <f>IF(AND('Resource Planner'!$A$22="☑",23&lt;='Resource Planner'!$N$22),'Resource Planner'!$F$22&amp;" "&amp;('Resource Planner'!$G$22+(23-1)*'Resource Planner'!$I$22)&amp;IF(('Resource Planner'!$G$22+(23-1)*'Resource Planner'!$I$22)=MIN('Resource Planner'!$G$22+23*'Resource Planner'!$I$22-1,'Resource Planner'!$H$22),"","–"&amp;MIN('Resource Planner'!$G$22+23*'Resource Planner'!$I$22-1,'Resource Planner'!$H$22)),"")</f>
        <v>Chapter 23</v>
      </c>
      <c r="G627" s="163" t="s">
        <v>109</v>
      </c>
      <c r="H627" s="33" t="str">
        <f>IF(AND('Resource Planner'!$A$22="☑",23&lt;='Resource Planner'!$N$22),'Resource Planner'!$M$22,"")</f>
        <v/>
      </c>
    </row>
    <row r="628" ht="15.75" customHeight="1">
      <c r="A628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week"",10*(n-1),""Custom"",gap*(n-1),n-1),IF(AND(active=""☑"",n&lt;=lessons,st&lt;&gt;""""),INDEX(eligibleDates,startPos+offset),"""")),"""")"),46426.0)</f>
        <v>46426</v>
      </c>
      <c r="B628" s="33" t="str">
        <f>IF(AND('Resource Planner'!$A$22="☑",24&lt;='Resource Planner'!$N$22),'Resource Planner'!$C$22,"")</f>
        <v>Everyone</v>
      </c>
      <c r="C628" s="33" t="str">
        <f>IF(AND('Resource Planner'!$A$22="☑",24&lt;='Resource Planner'!$N$22),'Resource Planner'!$B$22,"")</f>
        <v>Faith</v>
      </c>
      <c r="D628" s="33" t="str">
        <f>IF(AND('Resource Planner'!$A$22="☑",24&lt;='Resource Planner'!$N$22),'Resource Planner'!$D$22,"")</f>
        <v>All Together / Bible — New Testament</v>
      </c>
      <c r="E628" s="33" t="str">
        <f>IF(AND('Resource Planner'!$A$22="☑",24&lt;='Resource Planner'!$N$22),'Resource Planner'!$E$22,"")</f>
        <v>Matthew</v>
      </c>
      <c r="F628" s="163" t="str">
        <f>IF(AND('Resource Planner'!$A$22="☑",24&lt;='Resource Planner'!$N$22),'Resource Planner'!$F$22&amp;" "&amp;('Resource Planner'!$G$22+(24-1)*'Resource Planner'!$I$22)&amp;IF(('Resource Planner'!$G$22+(24-1)*'Resource Planner'!$I$22)=MIN('Resource Planner'!$G$22+24*'Resource Planner'!$I$22-1,'Resource Planner'!$H$22),"","–"&amp;MIN('Resource Planner'!$G$22+24*'Resource Planner'!$I$22-1,'Resource Planner'!$H$22)),"")</f>
        <v>Chapter 24</v>
      </c>
      <c r="G628" s="163" t="s">
        <v>109</v>
      </c>
      <c r="H628" s="33" t="str">
        <f>IF(AND('Resource Planner'!$A$22="☑",24&lt;='Resource Planner'!$N$22),'Resource Planner'!$M$22,"")</f>
        <v/>
      </c>
    </row>
    <row r="629" ht="15.75" customHeight="1">
      <c r="A629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week"",10*(n-1),""Custom"",gap*(n-1),n-1),IF(AND(active=""☑"",n&lt;=lessons,st&lt;&gt;""""),INDEX(eligibleDates,startPos+offset),"""")),"""")"),46433.0)</f>
        <v>46433</v>
      </c>
      <c r="B629" s="33" t="str">
        <f>IF(AND('Resource Planner'!$A$22="☑",25&lt;='Resource Planner'!$N$22),'Resource Planner'!$C$22,"")</f>
        <v>Everyone</v>
      </c>
      <c r="C629" s="33" t="str">
        <f>IF(AND('Resource Planner'!$A$22="☑",25&lt;='Resource Planner'!$N$22),'Resource Planner'!$B$22,"")</f>
        <v>Faith</v>
      </c>
      <c r="D629" s="33" t="str">
        <f>IF(AND('Resource Planner'!$A$22="☑",25&lt;='Resource Planner'!$N$22),'Resource Planner'!$D$22,"")</f>
        <v>All Together / Bible — New Testament</v>
      </c>
      <c r="E629" s="33" t="str">
        <f>IF(AND('Resource Planner'!$A$22="☑",25&lt;='Resource Planner'!$N$22),'Resource Planner'!$E$22,"")</f>
        <v>Matthew</v>
      </c>
      <c r="F629" s="163" t="str">
        <f>IF(AND('Resource Planner'!$A$22="☑",25&lt;='Resource Planner'!$N$22),'Resource Planner'!$F$22&amp;" "&amp;('Resource Planner'!$G$22+(25-1)*'Resource Planner'!$I$22)&amp;IF(('Resource Planner'!$G$22+(25-1)*'Resource Planner'!$I$22)=MIN('Resource Planner'!$G$22+25*'Resource Planner'!$I$22-1,'Resource Planner'!$H$22),"","–"&amp;MIN('Resource Planner'!$G$22+25*'Resource Planner'!$I$22-1,'Resource Planner'!$H$22)),"")</f>
        <v>Chapter 25</v>
      </c>
      <c r="G629" s="163" t="s">
        <v>109</v>
      </c>
      <c r="H629" s="33" t="str">
        <f>IF(AND('Resource Planner'!$A$22="☑",25&lt;='Resource Planner'!$N$22),'Resource Planner'!$M$22,"")</f>
        <v/>
      </c>
    </row>
    <row r="630" ht="15.75" customHeight="1">
      <c r="A630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week"",10*(n-1),""Custom"",gap*(n-1),n-1),IF(AND(active=""☑"",n&lt;=lessons,st&lt;&gt;""""),INDEX(eligibleDates,startPos+offset),"""")),"""")"),46440.0)</f>
        <v>46440</v>
      </c>
      <c r="B630" s="33" t="str">
        <f>IF(AND('Resource Planner'!$A$22="☑",26&lt;='Resource Planner'!$N$22),'Resource Planner'!$C$22,"")</f>
        <v>Everyone</v>
      </c>
      <c r="C630" s="33" t="str">
        <f>IF(AND('Resource Planner'!$A$22="☑",26&lt;='Resource Planner'!$N$22),'Resource Planner'!$B$22,"")</f>
        <v>Faith</v>
      </c>
      <c r="D630" s="33" t="str">
        <f>IF(AND('Resource Planner'!$A$22="☑",26&lt;='Resource Planner'!$N$22),'Resource Planner'!$D$22,"")</f>
        <v>All Together / Bible — New Testament</v>
      </c>
      <c r="E630" s="33" t="str">
        <f>IF(AND('Resource Planner'!$A$22="☑",26&lt;='Resource Planner'!$N$22),'Resource Planner'!$E$22,"")</f>
        <v>Matthew</v>
      </c>
      <c r="F630" s="163" t="str">
        <f>IF(AND('Resource Planner'!$A$22="☑",26&lt;='Resource Planner'!$N$22),'Resource Planner'!$F$22&amp;" "&amp;('Resource Planner'!$G$22+(26-1)*'Resource Planner'!$I$22)&amp;IF(('Resource Planner'!$G$22+(26-1)*'Resource Planner'!$I$22)=MIN('Resource Planner'!$G$22+26*'Resource Planner'!$I$22-1,'Resource Planner'!$H$22),"","–"&amp;MIN('Resource Planner'!$G$22+26*'Resource Planner'!$I$22-1,'Resource Planner'!$H$22)),"")</f>
        <v>Chapter 26</v>
      </c>
      <c r="G630" s="163" t="s">
        <v>109</v>
      </c>
      <c r="H630" s="33" t="str">
        <f>IF(AND('Resource Planner'!$A$22="☑",26&lt;='Resource Planner'!$N$22),'Resource Planner'!$M$22,"")</f>
        <v/>
      </c>
    </row>
    <row r="631" ht="15.75" customHeight="1">
      <c r="A631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week"",10*(n-1),""Custom"",gap*(n-1),n-1),IF(AND(active=""☑"",n&lt;=lessons,st&lt;&gt;""""),INDEX(eligibleDates,startPos+offset),"""")),"""")"),46447.0)</f>
        <v>46447</v>
      </c>
      <c r="B631" s="33" t="str">
        <f>IF(AND('Resource Planner'!$A$22="☑",27&lt;='Resource Planner'!$N$22),'Resource Planner'!$C$22,"")</f>
        <v>Everyone</v>
      </c>
      <c r="C631" s="33" t="str">
        <f>IF(AND('Resource Planner'!$A$22="☑",27&lt;='Resource Planner'!$N$22),'Resource Planner'!$B$22,"")</f>
        <v>Faith</v>
      </c>
      <c r="D631" s="33" t="str">
        <f>IF(AND('Resource Planner'!$A$22="☑",27&lt;='Resource Planner'!$N$22),'Resource Planner'!$D$22,"")</f>
        <v>All Together / Bible — New Testament</v>
      </c>
      <c r="E631" s="33" t="str">
        <f>IF(AND('Resource Planner'!$A$22="☑",27&lt;='Resource Planner'!$N$22),'Resource Planner'!$E$22,"")</f>
        <v>Matthew</v>
      </c>
      <c r="F631" s="163" t="str">
        <f>IF(AND('Resource Planner'!$A$22="☑",27&lt;='Resource Planner'!$N$22),'Resource Planner'!$F$22&amp;" "&amp;('Resource Planner'!$G$22+(27-1)*'Resource Planner'!$I$22)&amp;IF(('Resource Planner'!$G$22+(27-1)*'Resource Planner'!$I$22)=MIN('Resource Planner'!$G$22+27*'Resource Planner'!$I$22-1,'Resource Planner'!$H$22),"","–"&amp;MIN('Resource Planner'!$G$22+27*'Resource Planner'!$I$22-1,'Resource Planner'!$H$22)),"")</f>
        <v>Chapter 27</v>
      </c>
      <c r="G631" s="163" t="s">
        <v>109</v>
      </c>
      <c r="H631" s="33" t="str">
        <f>IF(AND('Resource Planner'!$A$22="☑",27&lt;='Resource Planner'!$N$22),'Resource Planner'!$M$22,"")</f>
        <v/>
      </c>
    </row>
    <row r="632" ht="15.75" customHeight="1">
      <c r="A632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week"",10*(n-1),""Custom"",gap*(n-1),n-1),IF(AND(active=""☑"",n&lt;=lessons,st&lt;&gt;""""),INDEX(eligibleDates,startPos+offset),"""")),"""")"),46454.0)</f>
        <v>46454</v>
      </c>
      <c r="B632" s="33" t="str">
        <f>IF(AND('Resource Planner'!$A$22="☑",28&lt;='Resource Planner'!$N$22),'Resource Planner'!$C$22,"")</f>
        <v>Everyone</v>
      </c>
      <c r="C632" s="33" t="str">
        <f>IF(AND('Resource Planner'!$A$22="☑",28&lt;='Resource Planner'!$N$22),'Resource Planner'!$B$22,"")</f>
        <v>Faith</v>
      </c>
      <c r="D632" s="33" t="str">
        <f>IF(AND('Resource Planner'!$A$22="☑",28&lt;='Resource Planner'!$N$22),'Resource Planner'!$D$22,"")</f>
        <v>All Together / Bible — New Testament</v>
      </c>
      <c r="E632" s="33" t="str">
        <f>IF(AND('Resource Planner'!$A$22="☑",28&lt;='Resource Planner'!$N$22),'Resource Planner'!$E$22,"")</f>
        <v>Matthew</v>
      </c>
      <c r="F632" s="163" t="str">
        <f>IF(AND('Resource Planner'!$A$22="☑",28&lt;='Resource Planner'!$N$22),'Resource Planner'!$F$22&amp;" "&amp;('Resource Planner'!$G$22+(28-1)*'Resource Planner'!$I$22)&amp;IF(('Resource Planner'!$G$22+(28-1)*'Resource Planner'!$I$22)=MIN('Resource Planner'!$G$22+28*'Resource Planner'!$I$22-1,'Resource Planner'!$H$22),"","–"&amp;MIN('Resource Planner'!$G$22+28*'Resource Planner'!$I$22-1,'Resource Planner'!$H$22)),"")</f>
        <v>Chapter 28</v>
      </c>
      <c r="G632" s="163" t="s">
        <v>109</v>
      </c>
      <c r="H632" s="33" t="str">
        <f>IF(AND('Resource Planner'!$A$22="☑",28&lt;='Resource Planner'!$N$22),'Resource Planner'!$M$22,"")</f>
        <v/>
      </c>
    </row>
    <row r="633" ht="15.75" customHeight="1">
      <c r="A633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week"",10*(n-1),""Custom"",gap*(n-1),n-1),IF(AND(active=""☑"",n&lt;=lessons,st&lt;&gt;""""),INDEX(eligibleDates,startPos+offset),"""")),"""")"),46461.0)</f>
        <v>46461</v>
      </c>
      <c r="B633" s="33" t="str">
        <f>IF(AND('Resource Planner'!$A$22="☑",29&lt;='Resource Planner'!$N$22),'Resource Planner'!$C$22,"")</f>
        <v>Everyone</v>
      </c>
      <c r="C633" s="33" t="str">
        <f>IF(AND('Resource Planner'!$A$22="☑",29&lt;='Resource Planner'!$N$22),'Resource Planner'!$B$22,"")</f>
        <v>Faith</v>
      </c>
      <c r="D633" s="33" t="str">
        <f>IF(AND('Resource Planner'!$A$22="☑",29&lt;='Resource Planner'!$N$22),'Resource Planner'!$D$22,"")</f>
        <v>All Together / Bible — New Testament</v>
      </c>
      <c r="E633" s="33" t="str">
        <f>IF(AND('Resource Planner'!$A$22="☑",29&lt;='Resource Planner'!$N$22),'Resource Planner'!$E$22,"")</f>
        <v>Matthew</v>
      </c>
      <c r="F633" s="163" t="str">
        <f>IF(AND('Resource Planner'!$A$22="☑",29&lt;='Resource Planner'!$N$22),'Resource Planner'!$F$22&amp;" "&amp;('Resource Planner'!$G$22+(29-1)*'Resource Planner'!$I$22)&amp;IF(('Resource Planner'!$G$22+(29-1)*'Resource Planner'!$I$22)=MIN('Resource Planner'!$G$22+29*'Resource Planner'!$I$22-1,'Resource Planner'!$H$22),"","–"&amp;MIN('Resource Planner'!$G$22+29*'Resource Planner'!$I$22-1,'Resource Planner'!$H$22)),"")</f>
        <v>Chapter 29</v>
      </c>
      <c r="G633" s="163" t="s">
        <v>109</v>
      </c>
      <c r="H633" s="33" t="str">
        <f>IF(AND('Resource Planner'!$A$22="☑",29&lt;='Resource Planner'!$N$22),'Resource Planner'!$M$22,"")</f>
        <v/>
      </c>
    </row>
    <row r="634" ht="15.75" customHeight="1">
      <c r="A634" s="450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week"",10*(n-1),""Custom"",gap*(n-1),n-1),IF(AND(active=""☑"",n&lt;=lessons,st&lt;&gt;""""),INDEX(eligibleDates,startPos+offset),"""")),"""")"),46468.0)</f>
        <v>46468</v>
      </c>
      <c r="B634" s="33" t="str">
        <f>IF(AND('Resource Planner'!$A$22="☑",30&lt;='Resource Planner'!$N$22),'Resource Planner'!$C$22,"")</f>
        <v>Everyone</v>
      </c>
      <c r="C634" s="33" t="str">
        <f>IF(AND('Resource Planner'!$A$22="☑",30&lt;='Resource Planner'!$N$22),'Resource Planner'!$B$22,"")</f>
        <v>Faith</v>
      </c>
      <c r="D634" s="33" t="str">
        <f>IF(AND('Resource Planner'!$A$22="☑",30&lt;='Resource Planner'!$N$22),'Resource Planner'!$D$22,"")</f>
        <v>All Together / Bible — New Testament</v>
      </c>
      <c r="E634" s="33" t="str">
        <f>IF(AND('Resource Planner'!$A$22="☑",30&lt;='Resource Planner'!$N$22),'Resource Planner'!$E$22,"")</f>
        <v>Matthew</v>
      </c>
      <c r="F634" s="163" t="str">
        <f>IF(AND('Resource Planner'!$A$22="☑",30&lt;='Resource Planner'!$N$22),'Resource Planner'!$F$22&amp;" "&amp;('Resource Planner'!$G$22+(30-1)*'Resource Planner'!$I$22)&amp;IF(('Resource Planner'!$G$22+(30-1)*'Resource Planner'!$I$22)=MIN('Resource Planner'!$G$22+30*'Resource Planner'!$I$22-1,'Resource Planner'!$H$22),"","–"&amp;MIN('Resource Planner'!$G$22+30*'Resource Planner'!$I$22-1,'Resource Planner'!$H$22)),"")</f>
        <v>Chapter 30</v>
      </c>
      <c r="G634" s="163" t="s">
        <v>109</v>
      </c>
      <c r="H634" s="33" t="str">
        <f>IF(AND('Resource Planner'!$A$22="☑",30&lt;='Resource Planner'!$N$22),'Resource Planner'!$M$22,"")</f>
        <v/>
      </c>
    </row>
    <row r="635" ht="15.75" customHeight="1">
      <c r="A6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35" s="163" t="str">
        <f>IF(AND('Resource Planner'!$A$22="☑",31&lt;='Resource Planner'!$N$22),'Resource Planner'!$C$22,"")</f>
        <v/>
      </c>
      <c r="C635" s="163" t="str">
        <f>IF(AND('Resource Planner'!$A$22="☑",31&lt;='Resource Planner'!$N$22),'Resource Planner'!$B$22,"")</f>
        <v/>
      </c>
      <c r="D635" s="163" t="str">
        <f>IF(AND('Resource Planner'!$A$22="☑",31&lt;='Resource Planner'!$N$22),'Resource Planner'!$D$22,"")</f>
        <v/>
      </c>
      <c r="E635" s="163" t="str">
        <f>IF(AND('Resource Planner'!$A$22="☑",31&lt;='Resource Planner'!$N$22),'Resource Planner'!$E$22,"")</f>
        <v/>
      </c>
      <c r="F635" s="163" t="str">
        <f>IF(AND('Resource Planner'!$A$22="☑",31&lt;='Resource Planner'!$N$22),'Resource Planner'!$F$22&amp;" "&amp;('Resource Planner'!$G$22+(31-1)*'Resource Planner'!$I$22)&amp;IF(('Resource Planner'!$G$22+(31-1)*'Resource Planner'!$I$22)=MIN('Resource Planner'!$G$22+31*'Resource Planner'!$I$22-1,'Resource Planner'!$H$22),"","–"&amp;MIN('Resource Planner'!$G$22+31*'Resource Planner'!$I$22-1,'Resource Planner'!$H$22)),"")</f>
        <v/>
      </c>
      <c r="G635" s="163" t="s">
        <v>109</v>
      </c>
      <c r="H635" s="163" t="str">
        <f>IF(AND('Resource Planner'!$A$22="☑",31&lt;='Resource Planner'!$N$22),'Resource Planner'!$M$22,"")</f>
        <v/>
      </c>
    </row>
    <row r="636" ht="15.75" customHeight="1">
      <c r="A6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36" s="163" t="str">
        <f>IF(AND('Resource Planner'!$A$22="☑",32&lt;='Resource Planner'!$N$22),'Resource Planner'!$C$22,"")</f>
        <v/>
      </c>
      <c r="C636" s="163" t="str">
        <f>IF(AND('Resource Planner'!$A$22="☑",32&lt;='Resource Planner'!$N$22),'Resource Planner'!$B$22,"")</f>
        <v/>
      </c>
      <c r="D636" s="163" t="str">
        <f>IF(AND('Resource Planner'!$A$22="☑",32&lt;='Resource Planner'!$N$22),'Resource Planner'!$D$22,"")</f>
        <v/>
      </c>
      <c r="E636" s="163" t="str">
        <f>IF(AND('Resource Planner'!$A$22="☑",32&lt;='Resource Planner'!$N$22),'Resource Planner'!$E$22,"")</f>
        <v/>
      </c>
      <c r="F636" s="163" t="str">
        <f>IF(AND('Resource Planner'!$A$22="☑",32&lt;='Resource Planner'!$N$22),'Resource Planner'!$F$22&amp;" "&amp;('Resource Planner'!$G$22+(32-1)*'Resource Planner'!$I$22)&amp;IF(('Resource Planner'!$G$22+(32-1)*'Resource Planner'!$I$22)=MIN('Resource Planner'!$G$22+32*'Resource Planner'!$I$22-1,'Resource Planner'!$H$22),"","–"&amp;MIN('Resource Planner'!$G$22+32*'Resource Planner'!$I$22-1,'Resource Planner'!$H$22)),"")</f>
        <v/>
      </c>
      <c r="G636" s="163" t="s">
        <v>109</v>
      </c>
      <c r="H636" s="163" t="str">
        <f>IF(AND('Resource Planner'!$A$22="☑",32&lt;='Resource Planner'!$N$22),'Resource Planner'!$M$22,"")</f>
        <v/>
      </c>
    </row>
    <row r="637" ht="15.75" customHeight="1">
      <c r="A6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37" s="163" t="str">
        <f>IF(AND('Resource Planner'!$A$22="☑",33&lt;='Resource Planner'!$N$22),'Resource Planner'!$C$22,"")</f>
        <v/>
      </c>
      <c r="C637" s="163" t="str">
        <f>IF(AND('Resource Planner'!$A$22="☑",33&lt;='Resource Planner'!$N$22),'Resource Planner'!$B$22,"")</f>
        <v/>
      </c>
      <c r="D637" s="163" t="str">
        <f>IF(AND('Resource Planner'!$A$22="☑",33&lt;='Resource Planner'!$N$22),'Resource Planner'!$D$22,"")</f>
        <v/>
      </c>
      <c r="E637" s="163" t="str">
        <f>IF(AND('Resource Planner'!$A$22="☑",33&lt;='Resource Planner'!$N$22),'Resource Planner'!$E$22,"")</f>
        <v/>
      </c>
      <c r="F637" s="163" t="str">
        <f>IF(AND('Resource Planner'!$A$22="☑",33&lt;='Resource Planner'!$N$22),'Resource Planner'!$F$22&amp;" "&amp;('Resource Planner'!$G$22+(33-1)*'Resource Planner'!$I$22)&amp;IF(('Resource Planner'!$G$22+(33-1)*'Resource Planner'!$I$22)=MIN('Resource Planner'!$G$22+33*'Resource Planner'!$I$22-1,'Resource Planner'!$H$22),"","–"&amp;MIN('Resource Planner'!$G$22+33*'Resource Planner'!$I$22-1,'Resource Planner'!$H$22)),"")</f>
        <v/>
      </c>
      <c r="G637" s="163" t="s">
        <v>109</v>
      </c>
      <c r="H637" s="163" t="str">
        <f>IF(AND('Resource Planner'!$A$22="☑",33&lt;='Resource Planner'!$N$22),'Resource Planner'!$M$22,"")</f>
        <v/>
      </c>
    </row>
    <row r="638" ht="15.75" customHeight="1">
      <c r="A6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38" s="163" t="str">
        <f>IF(AND('Resource Planner'!$A$22="☑",34&lt;='Resource Planner'!$N$22),'Resource Planner'!$C$22,"")</f>
        <v/>
      </c>
      <c r="C638" s="163" t="str">
        <f>IF(AND('Resource Planner'!$A$22="☑",34&lt;='Resource Planner'!$N$22),'Resource Planner'!$B$22,"")</f>
        <v/>
      </c>
      <c r="D638" s="163" t="str">
        <f>IF(AND('Resource Planner'!$A$22="☑",34&lt;='Resource Planner'!$N$22),'Resource Planner'!$D$22,"")</f>
        <v/>
      </c>
      <c r="E638" s="163" t="str">
        <f>IF(AND('Resource Planner'!$A$22="☑",34&lt;='Resource Planner'!$N$22),'Resource Planner'!$E$22,"")</f>
        <v/>
      </c>
      <c r="F638" s="163" t="str">
        <f>IF(AND('Resource Planner'!$A$22="☑",34&lt;='Resource Planner'!$N$22),'Resource Planner'!$F$22&amp;" "&amp;('Resource Planner'!$G$22+(34-1)*'Resource Planner'!$I$22)&amp;IF(('Resource Planner'!$G$22+(34-1)*'Resource Planner'!$I$22)=MIN('Resource Planner'!$G$22+34*'Resource Planner'!$I$22-1,'Resource Planner'!$H$22),"","–"&amp;MIN('Resource Planner'!$G$22+34*'Resource Planner'!$I$22-1,'Resource Planner'!$H$22)),"")</f>
        <v/>
      </c>
      <c r="G638" s="163" t="s">
        <v>109</v>
      </c>
      <c r="H638" s="163" t="str">
        <f>IF(AND('Resource Planner'!$A$22="☑",34&lt;='Resource Planner'!$N$22),'Resource Planner'!$M$22,"")</f>
        <v/>
      </c>
    </row>
    <row r="639" ht="15.75" customHeight="1">
      <c r="A6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39" s="163" t="str">
        <f>IF(AND('Resource Planner'!$A$22="☑",35&lt;='Resource Planner'!$N$22),'Resource Planner'!$C$22,"")</f>
        <v/>
      </c>
      <c r="C639" s="163" t="str">
        <f>IF(AND('Resource Planner'!$A$22="☑",35&lt;='Resource Planner'!$N$22),'Resource Planner'!$B$22,"")</f>
        <v/>
      </c>
      <c r="D639" s="163" t="str">
        <f>IF(AND('Resource Planner'!$A$22="☑",35&lt;='Resource Planner'!$N$22),'Resource Planner'!$D$22,"")</f>
        <v/>
      </c>
      <c r="E639" s="163" t="str">
        <f>IF(AND('Resource Planner'!$A$22="☑",35&lt;='Resource Planner'!$N$22),'Resource Planner'!$E$22,"")</f>
        <v/>
      </c>
      <c r="F639" s="163" t="str">
        <f>IF(AND('Resource Planner'!$A$22="☑",35&lt;='Resource Planner'!$N$22),'Resource Planner'!$F$22&amp;" "&amp;('Resource Planner'!$G$22+(35-1)*'Resource Planner'!$I$22)&amp;IF(('Resource Planner'!$G$22+(35-1)*'Resource Planner'!$I$22)=MIN('Resource Planner'!$G$22+35*'Resource Planner'!$I$22-1,'Resource Planner'!$H$22),"","–"&amp;MIN('Resource Planner'!$G$22+35*'Resource Planner'!$I$22-1,'Resource Planner'!$H$22)),"")</f>
        <v/>
      </c>
      <c r="G639" s="163" t="s">
        <v>109</v>
      </c>
      <c r="H639" s="163" t="str">
        <f>IF(AND('Resource Planner'!$A$22="☑",35&lt;='Resource Planner'!$N$22),'Resource Planner'!$M$22,"")</f>
        <v/>
      </c>
    </row>
    <row r="640" ht="15.75" customHeight="1">
      <c r="A6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0" s="163" t="str">
        <f>IF(AND('Resource Planner'!$A$22="☑",36&lt;='Resource Planner'!$N$22),'Resource Planner'!$C$22,"")</f>
        <v/>
      </c>
      <c r="C640" s="163" t="str">
        <f>IF(AND('Resource Planner'!$A$22="☑",36&lt;='Resource Planner'!$N$22),'Resource Planner'!$B$22,"")</f>
        <v/>
      </c>
      <c r="D640" s="163" t="str">
        <f>IF(AND('Resource Planner'!$A$22="☑",36&lt;='Resource Planner'!$N$22),'Resource Planner'!$D$22,"")</f>
        <v/>
      </c>
      <c r="E640" s="163" t="str">
        <f>IF(AND('Resource Planner'!$A$22="☑",36&lt;='Resource Planner'!$N$22),'Resource Planner'!$E$22,"")</f>
        <v/>
      </c>
      <c r="F640" s="163" t="str">
        <f>IF(AND('Resource Planner'!$A$22="☑",36&lt;='Resource Planner'!$N$22),'Resource Planner'!$F$22&amp;" "&amp;('Resource Planner'!$G$22+(36-1)*'Resource Planner'!$I$22)&amp;IF(('Resource Planner'!$G$22+(36-1)*'Resource Planner'!$I$22)=MIN('Resource Planner'!$G$22+36*'Resource Planner'!$I$22-1,'Resource Planner'!$H$22),"","–"&amp;MIN('Resource Planner'!$G$22+36*'Resource Planner'!$I$22-1,'Resource Planner'!$H$22)),"")</f>
        <v/>
      </c>
      <c r="G640" s="163" t="s">
        <v>109</v>
      </c>
      <c r="H640" s="163" t="str">
        <f>IF(AND('Resource Planner'!$A$22="☑",36&lt;='Resource Planner'!$N$22),'Resource Planner'!$M$22,"")</f>
        <v/>
      </c>
    </row>
    <row r="641" ht="15.75" customHeight="1">
      <c r="A6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1" s="163" t="str">
        <f>IF(AND('Resource Planner'!$A$22="☑",37&lt;='Resource Planner'!$N$22),'Resource Planner'!$C$22,"")</f>
        <v/>
      </c>
      <c r="C641" s="163" t="str">
        <f>IF(AND('Resource Planner'!$A$22="☑",37&lt;='Resource Planner'!$N$22),'Resource Planner'!$B$22,"")</f>
        <v/>
      </c>
      <c r="D641" s="163" t="str">
        <f>IF(AND('Resource Planner'!$A$22="☑",37&lt;='Resource Planner'!$N$22),'Resource Planner'!$D$22,"")</f>
        <v/>
      </c>
      <c r="E641" s="163" t="str">
        <f>IF(AND('Resource Planner'!$A$22="☑",37&lt;='Resource Planner'!$N$22),'Resource Planner'!$E$22,"")</f>
        <v/>
      </c>
      <c r="F641" s="163" t="str">
        <f>IF(AND('Resource Planner'!$A$22="☑",37&lt;='Resource Planner'!$N$22),'Resource Planner'!$F$22&amp;" "&amp;('Resource Planner'!$G$22+(37-1)*'Resource Planner'!$I$22)&amp;IF(('Resource Planner'!$G$22+(37-1)*'Resource Planner'!$I$22)=MIN('Resource Planner'!$G$22+37*'Resource Planner'!$I$22-1,'Resource Planner'!$H$22),"","–"&amp;MIN('Resource Planner'!$G$22+37*'Resource Planner'!$I$22-1,'Resource Planner'!$H$22)),"")</f>
        <v/>
      </c>
      <c r="G641" s="163" t="s">
        <v>109</v>
      </c>
      <c r="H641" s="163" t="str">
        <f>IF(AND('Resource Planner'!$A$22="☑",37&lt;='Resource Planner'!$N$22),'Resource Planner'!$M$22,"")</f>
        <v/>
      </c>
    </row>
    <row r="642" ht="15.75" customHeight="1">
      <c r="A6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2" s="163" t="str">
        <f>IF(AND('Resource Planner'!$A$22="☑",38&lt;='Resource Planner'!$N$22),'Resource Planner'!$C$22,"")</f>
        <v/>
      </c>
      <c r="C642" s="163" t="str">
        <f>IF(AND('Resource Planner'!$A$22="☑",38&lt;='Resource Planner'!$N$22),'Resource Planner'!$B$22,"")</f>
        <v/>
      </c>
      <c r="D642" s="163" t="str">
        <f>IF(AND('Resource Planner'!$A$22="☑",38&lt;='Resource Planner'!$N$22),'Resource Planner'!$D$22,"")</f>
        <v/>
      </c>
      <c r="E642" s="163" t="str">
        <f>IF(AND('Resource Planner'!$A$22="☑",38&lt;='Resource Planner'!$N$22),'Resource Planner'!$E$22,"")</f>
        <v/>
      </c>
      <c r="F642" s="163" t="str">
        <f>IF(AND('Resource Planner'!$A$22="☑",38&lt;='Resource Planner'!$N$22),'Resource Planner'!$F$22&amp;" "&amp;('Resource Planner'!$G$22+(38-1)*'Resource Planner'!$I$22)&amp;IF(('Resource Planner'!$G$22+(38-1)*'Resource Planner'!$I$22)=MIN('Resource Planner'!$G$22+38*'Resource Planner'!$I$22-1,'Resource Planner'!$H$22),"","–"&amp;MIN('Resource Planner'!$G$22+38*'Resource Planner'!$I$22-1,'Resource Planner'!$H$22)),"")</f>
        <v/>
      </c>
      <c r="G642" s="163" t="s">
        <v>109</v>
      </c>
      <c r="H642" s="163" t="str">
        <f>IF(AND('Resource Planner'!$A$22="☑",38&lt;='Resource Planner'!$N$22),'Resource Planner'!$M$22,"")</f>
        <v/>
      </c>
    </row>
    <row r="643" ht="15.75" customHeight="1">
      <c r="A6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3" s="163" t="str">
        <f>IF(AND('Resource Planner'!$A$22="☑",39&lt;='Resource Planner'!$N$22),'Resource Planner'!$C$22,"")</f>
        <v/>
      </c>
      <c r="C643" s="163" t="str">
        <f>IF(AND('Resource Planner'!$A$22="☑",39&lt;='Resource Planner'!$N$22),'Resource Planner'!$B$22,"")</f>
        <v/>
      </c>
      <c r="D643" s="163" t="str">
        <f>IF(AND('Resource Planner'!$A$22="☑",39&lt;='Resource Planner'!$N$22),'Resource Planner'!$D$22,"")</f>
        <v/>
      </c>
      <c r="E643" s="163" t="str">
        <f>IF(AND('Resource Planner'!$A$22="☑",39&lt;='Resource Planner'!$N$22),'Resource Planner'!$E$22,"")</f>
        <v/>
      </c>
      <c r="F643" s="163" t="str">
        <f>IF(AND('Resource Planner'!$A$22="☑",39&lt;='Resource Planner'!$N$22),'Resource Planner'!$F$22&amp;" "&amp;('Resource Planner'!$G$22+(39-1)*'Resource Planner'!$I$22)&amp;IF(('Resource Planner'!$G$22+(39-1)*'Resource Planner'!$I$22)=MIN('Resource Planner'!$G$22+39*'Resource Planner'!$I$22-1,'Resource Planner'!$H$22),"","–"&amp;MIN('Resource Planner'!$G$22+39*'Resource Planner'!$I$22-1,'Resource Planner'!$H$22)),"")</f>
        <v/>
      </c>
      <c r="G643" s="163" t="s">
        <v>109</v>
      </c>
      <c r="H643" s="163" t="str">
        <f>IF(AND('Resource Planner'!$A$22="☑",39&lt;='Resource Planner'!$N$22),'Resource Planner'!$M$22,"")</f>
        <v/>
      </c>
    </row>
    <row r="644" ht="15.75" customHeight="1">
      <c r="A6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4" s="163" t="str">
        <f>IF(AND('Resource Planner'!$A$22="☑",40&lt;='Resource Planner'!$N$22),'Resource Planner'!$C$22,"")</f>
        <v/>
      </c>
      <c r="C644" s="163" t="str">
        <f>IF(AND('Resource Planner'!$A$22="☑",40&lt;='Resource Planner'!$N$22),'Resource Planner'!$B$22,"")</f>
        <v/>
      </c>
      <c r="D644" s="163" t="str">
        <f>IF(AND('Resource Planner'!$A$22="☑",40&lt;='Resource Planner'!$N$22),'Resource Planner'!$D$22,"")</f>
        <v/>
      </c>
      <c r="E644" s="163" t="str">
        <f>IF(AND('Resource Planner'!$A$22="☑",40&lt;='Resource Planner'!$N$22),'Resource Planner'!$E$22,"")</f>
        <v/>
      </c>
      <c r="F644" s="163" t="str">
        <f>IF(AND('Resource Planner'!$A$22="☑",40&lt;='Resource Planner'!$N$22),'Resource Planner'!$F$22&amp;" "&amp;('Resource Planner'!$G$22+(40-1)*'Resource Planner'!$I$22)&amp;IF(('Resource Planner'!$G$22+(40-1)*'Resource Planner'!$I$22)=MIN('Resource Planner'!$G$22+40*'Resource Planner'!$I$22-1,'Resource Planner'!$H$22),"","–"&amp;MIN('Resource Planner'!$G$22+40*'Resource Planner'!$I$22-1,'Resource Planner'!$H$22)),"")</f>
        <v/>
      </c>
      <c r="G644" s="163" t="s">
        <v>109</v>
      </c>
      <c r="H644" s="163" t="str">
        <f>IF(AND('Resource Planner'!$A$22="☑",40&lt;='Resource Planner'!$N$22),'Resource Planner'!$M$22,"")</f>
        <v/>
      </c>
    </row>
    <row r="645" ht="15.75" customHeight="1">
      <c r="A6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5" s="163" t="str">
        <f>IF(AND('Resource Planner'!$A$22="☑",41&lt;='Resource Planner'!$N$22),'Resource Planner'!$C$22,"")</f>
        <v/>
      </c>
      <c r="C645" s="163" t="str">
        <f>IF(AND('Resource Planner'!$A$22="☑",41&lt;='Resource Planner'!$N$22),'Resource Planner'!$B$22,"")</f>
        <v/>
      </c>
      <c r="D645" s="163" t="str">
        <f>IF(AND('Resource Planner'!$A$22="☑",41&lt;='Resource Planner'!$N$22),'Resource Planner'!$D$22,"")</f>
        <v/>
      </c>
      <c r="E645" s="163" t="str">
        <f>IF(AND('Resource Planner'!$A$22="☑",41&lt;='Resource Planner'!$N$22),'Resource Planner'!$E$22,"")</f>
        <v/>
      </c>
      <c r="F645" s="163" t="str">
        <f>IF(AND('Resource Planner'!$A$22="☑",41&lt;='Resource Planner'!$N$22),'Resource Planner'!$F$22&amp;" "&amp;('Resource Planner'!$G$22+(41-1)*'Resource Planner'!$I$22)&amp;IF(('Resource Planner'!$G$22+(41-1)*'Resource Planner'!$I$22)=MIN('Resource Planner'!$G$22+41*'Resource Planner'!$I$22-1,'Resource Planner'!$H$22),"","–"&amp;MIN('Resource Planner'!$G$22+41*'Resource Planner'!$I$22-1,'Resource Planner'!$H$22)),"")</f>
        <v/>
      </c>
      <c r="G645" s="163" t="s">
        <v>109</v>
      </c>
      <c r="H645" s="163" t="str">
        <f>IF(AND('Resource Planner'!$A$22="☑",41&lt;='Resource Planner'!$N$22),'Resource Planner'!$M$22,"")</f>
        <v/>
      </c>
    </row>
    <row r="646" ht="15.75" customHeight="1">
      <c r="A6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6" s="163" t="str">
        <f>IF(AND('Resource Planner'!$A$22="☑",42&lt;='Resource Planner'!$N$22),'Resource Planner'!$C$22,"")</f>
        <v/>
      </c>
      <c r="C646" s="163" t="str">
        <f>IF(AND('Resource Planner'!$A$22="☑",42&lt;='Resource Planner'!$N$22),'Resource Planner'!$B$22,"")</f>
        <v/>
      </c>
      <c r="D646" s="163" t="str">
        <f>IF(AND('Resource Planner'!$A$22="☑",42&lt;='Resource Planner'!$N$22),'Resource Planner'!$D$22,"")</f>
        <v/>
      </c>
      <c r="E646" s="163" t="str">
        <f>IF(AND('Resource Planner'!$A$22="☑",42&lt;='Resource Planner'!$N$22),'Resource Planner'!$E$22,"")</f>
        <v/>
      </c>
      <c r="F646" s="163" t="str">
        <f>IF(AND('Resource Planner'!$A$22="☑",42&lt;='Resource Planner'!$N$22),'Resource Planner'!$F$22&amp;" "&amp;('Resource Planner'!$G$22+(42-1)*'Resource Planner'!$I$22)&amp;IF(('Resource Planner'!$G$22+(42-1)*'Resource Planner'!$I$22)=MIN('Resource Planner'!$G$22+42*'Resource Planner'!$I$22-1,'Resource Planner'!$H$22),"","–"&amp;MIN('Resource Planner'!$G$22+42*'Resource Planner'!$I$22-1,'Resource Planner'!$H$22)),"")</f>
        <v/>
      </c>
      <c r="G646" s="163" t="s">
        <v>109</v>
      </c>
      <c r="H646" s="163" t="str">
        <f>IF(AND('Resource Planner'!$A$22="☑",42&lt;='Resource Planner'!$N$22),'Resource Planner'!$M$22,"")</f>
        <v/>
      </c>
    </row>
    <row r="647" ht="15.75" customHeight="1">
      <c r="A6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7" s="163" t="str">
        <f>IF(AND('Resource Planner'!$A$22="☑",43&lt;='Resource Planner'!$N$22),'Resource Planner'!$C$22,"")</f>
        <v/>
      </c>
      <c r="C647" s="163" t="str">
        <f>IF(AND('Resource Planner'!$A$22="☑",43&lt;='Resource Planner'!$N$22),'Resource Planner'!$B$22,"")</f>
        <v/>
      </c>
      <c r="D647" s="163" t="str">
        <f>IF(AND('Resource Planner'!$A$22="☑",43&lt;='Resource Planner'!$N$22),'Resource Planner'!$D$22,"")</f>
        <v/>
      </c>
      <c r="E647" s="163" t="str">
        <f>IF(AND('Resource Planner'!$A$22="☑",43&lt;='Resource Planner'!$N$22),'Resource Planner'!$E$22,"")</f>
        <v/>
      </c>
      <c r="F647" s="163" t="str">
        <f>IF(AND('Resource Planner'!$A$22="☑",43&lt;='Resource Planner'!$N$22),'Resource Planner'!$F$22&amp;" "&amp;('Resource Planner'!$G$22+(43-1)*'Resource Planner'!$I$22)&amp;IF(('Resource Planner'!$G$22+(43-1)*'Resource Planner'!$I$22)=MIN('Resource Planner'!$G$22+43*'Resource Planner'!$I$22-1,'Resource Planner'!$H$22),"","–"&amp;MIN('Resource Planner'!$G$22+43*'Resource Planner'!$I$22-1,'Resource Planner'!$H$22)),"")</f>
        <v/>
      </c>
      <c r="G647" s="163" t="s">
        <v>109</v>
      </c>
      <c r="H647" s="163" t="str">
        <f>IF(AND('Resource Planner'!$A$22="☑",43&lt;='Resource Planner'!$N$22),'Resource Planner'!$M$22,"")</f>
        <v/>
      </c>
    </row>
    <row r="648" ht="15.75" customHeight="1">
      <c r="A6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8" s="163" t="str">
        <f>IF(AND('Resource Planner'!$A$22="☑",44&lt;='Resource Planner'!$N$22),'Resource Planner'!$C$22,"")</f>
        <v/>
      </c>
      <c r="C648" s="163" t="str">
        <f>IF(AND('Resource Planner'!$A$22="☑",44&lt;='Resource Planner'!$N$22),'Resource Planner'!$B$22,"")</f>
        <v/>
      </c>
      <c r="D648" s="163" t="str">
        <f>IF(AND('Resource Planner'!$A$22="☑",44&lt;='Resource Planner'!$N$22),'Resource Planner'!$D$22,"")</f>
        <v/>
      </c>
      <c r="E648" s="163" t="str">
        <f>IF(AND('Resource Planner'!$A$22="☑",44&lt;='Resource Planner'!$N$22),'Resource Planner'!$E$22,"")</f>
        <v/>
      </c>
      <c r="F648" s="163" t="str">
        <f>IF(AND('Resource Planner'!$A$22="☑",44&lt;='Resource Planner'!$N$22),'Resource Planner'!$F$22&amp;" "&amp;('Resource Planner'!$G$22+(44-1)*'Resource Planner'!$I$22)&amp;IF(('Resource Planner'!$G$22+(44-1)*'Resource Planner'!$I$22)=MIN('Resource Planner'!$G$22+44*'Resource Planner'!$I$22-1,'Resource Planner'!$H$22),"","–"&amp;MIN('Resource Planner'!$G$22+44*'Resource Planner'!$I$22-1,'Resource Planner'!$H$22)),"")</f>
        <v/>
      </c>
      <c r="G648" s="163" t="s">
        <v>109</v>
      </c>
      <c r="H648" s="163" t="str">
        <f>IF(AND('Resource Planner'!$A$22="☑",44&lt;='Resource Planner'!$N$22),'Resource Planner'!$M$22,"")</f>
        <v/>
      </c>
    </row>
    <row r="649" ht="15.75" customHeight="1">
      <c r="A6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49" s="163" t="str">
        <f>IF(AND('Resource Planner'!$A$22="☑",45&lt;='Resource Planner'!$N$22),'Resource Planner'!$C$22,"")</f>
        <v/>
      </c>
      <c r="C649" s="163" t="str">
        <f>IF(AND('Resource Planner'!$A$22="☑",45&lt;='Resource Planner'!$N$22),'Resource Planner'!$B$22,"")</f>
        <v/>
      </c>
      <c r="D649" s="163" t="str">
        <f>IF(AND('Resource Planner'!$A$22="☑",45&lt;='Resource Planner'!$N$22),'Resource Planner'!$D$22,"")</f>
        <v/>
      </c>
      <c r="E649" s="163" t="str">
        <f>IF(AND('Resource Planner'!$A$22="☑",45&lt;='Resource Planner'!$N$22),'Resource Planner'!$E$22,"")</f>
        <v/>
      </c>
      <c r="F649" s="163" t="str">
        <f>IF(AND('Resource Planner'!$A$22="☑",45&lt;='Resource Planner'!$N$22),'Resource Planner'!$F$22&amp;" "&amp;('Resource Planner'!$G$22+(45-1)*'Resource Planner'!$I$22)&amp;IF(('Resource Planner'!$G$22+(45-1)*'Resource Planner'!$I$22)=MIN('Resource Planner'!$G$22+45*'Resource Planner'!$I$22-1,'Resource Planner'!$H$22),"","–"&amp;MIN('Resource Planner'!$G$22+45*'Resource Planner'!$I$22-1,'Resource Planner'!$H$22)),"")</f>
        <v/>
      </c>
      <c r="G649" s="163" t="s">
        <v>109</v>
      </c>
      <c r="H649" s="163" t="str">
        <f>IF(AND('Resource Planner'!$A$22="☑",45&lt;='Resource Planner'!$N$22),'Resource Planner'!$M$22,"")</f>
        <v/>
      </c>
    </row>
    <row r="650" ht="15.75" customHeight="1">
      <c r="A6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0" s="163" t="str">
        <f>IF(AND('Resource Planner'!$A$22="☑",46&lt;='Resource Planner'!$N$22),'Resource Planner'!$C$22,"")</f>
        <v/>
      </c>
      <c r="C650" s="163" t="str">
        <f>IF(AND('Resource Planner'!$A$22="☑",46&lt;='Resource Planner'!$N$22),'Resource Planner'!$B$22,"")</f>
        <v/>
      </c>
      <c r="D650" s="163" t="str">
        <f>IF(AND('Resource Planner'!$A$22="☑",46&lt;='Resource Planner'!$N$22),'Resource Planner'!$D$22,"")</f>
        <v/>
      </c>
      <c r="E650" s="163" t="str">
        <f>IF(AND('Resource Planner'!$A$22="☑",46&lt;='Resource Planner'!$N$22),'Resource Planner'!$E$22,"")</f>
        <v/>
      </c>
      <c r="F650" s="163" t="str">
        <f>IF(AND('Resource Planner'!$A$22="☑",46&lt;='Resource Planner'!$N$22),'Resource Planner'!$F$22&amp;" "&amp;('Resource Planner'!$G$22+(46-1)*'Resource Planner'!$I$22)&amp;IF(('Resource Planner'!$G$22+(46-1)*'Resource Planner'!$I$22)=MIN('Resource Planner'!$G$22+46*'Resource Planner'!$I$22-1,'Resource Planner'!$H$22),"","–"&amp;MIN('Resource Planner'!$G$22+46*'Resource Planner'!$I$22-1,'Resource Planner'!$H$22)),"")</f>
        <v/>
      </c>
      <c r="G650" s="163" t="s">
        <v>109</v>
      </c>
      <c r="H650" s="163" t="str">
        <f>IF(AND('Resource Planner'!$A$22="☑",46&lt;='Resource Planner'!$N$22),'Resource Planner'!$M$22,"")</f>
        <v/>
      </c>
    </row>
    <row r="651" ht="15.75" customHeight="1">
      <c r="A6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1" s="163" t="str">
        <f>IF(AND('Resource Planner'!$A$22="☑",47&lt;='Resource Planner'!$N$22),'Resource Planner'!$C$22,"")</f>
        <v/>
      </c>
      <c r="C651" s="163" t="str">
        <f>IF(AND('Resource Planner'!$A$22="☑",47&lt;='Resource Planner'!$N$22),'Resource Planner'!$B$22,"")</f>
        <v/>
      </c>
      <c r="D651" s="163" t="str">
        <f>IF(AND('Resource Planner'!$A$22="☑",47&lt;='Resource Planner'!$N$22),'Resource Planner'!$D$22,"")</f>
        <v/>
      </c>
      <c r="E651" s="163" t="str">
        <f>IF(AND('Resource Planner'!$A$22="☑",47&lt;='Resource Planner'!$N$22),'Resource Planner'!$E$22,"")</f>
        <v/>
      </c>
      <c r="F651" s="163" t="str">
        <f>IF(AND('Resource Planner'!$A$22="☑",47&lt;='Resource Planner'!$N$22),'Resource Planner'!$F$22&amp;" "&amp;('Resource Planner'!$G$22+(47-1)*'Resource Planner'!$I$22)&amp;IF(('Resource Planner'!$G$22+(47-1)*'Resource Planner'!$I$22)=MIN('Resource Planner'!$G$22+47*'Resource Planner'!$I$22-1,'Resource Planner'!$H$22),"","–"&amp;MIN('Resource Planner'!$G$22+47*'Resource Planner'!$I$22-1,'Resource Planner'!$H$22)),"")</f>
        <v/>
      </c>
      <c r="G651" s="163" t="s">
        <v>109</v>
      </c>
      <c r="H651" s="163" t="str">
        <f>IF(AND('Resource Planner'!$A$22="☑",47&lt;='Resource Planner'!$N$22),'Resource Planner'!$M$22,"")</f>
        <v/>
      </c>
    </row>
    <row r="652" ht="15.75" customHeight="1">
      <c r="A6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2" s="163" t="str">
        <f>IF(AND('Resource Planner'!$A$22="☑",48&lt;='Resource Planner'!$N$22),'Resource Planner'!$C$22,"")</f>
        <v/>
      </c>
      <c r="C652" s="163" t="str">
        <f>IF(AND('Resource Planner'!$A$22="☑",48&lt;='Resource Planner'!$N$22),'Resource Planner'!$B$22,"")</f>
        <v/>
      </c>
      <c r="D652" s="163" t="str">
        <f>IF(AND('Resource Planner'!$A$22="☑",48&lt;='Resource Planner'!$N$22),'Resource Planner'!$D$22,"")</f>
        <v/>
      </c>
      <c r="E652" s="163" t="str">
        <f>IF(AND('Resource Planner'!$A$22="☑",48&lt;='Resource Planner'!$N$22),'Resource Planner'!$E$22,"")</f>
        <v/>
      </c>
      <c r="F652" s="163" t="str">
        <f>IF(AND('Resource Planner'!$A$22="☑",48&lt;='Resource Planner'!$N$22),'Resource Planner'!$F$22&amp;" "&amp;('Resource Planner'!$G$22+(48-1)*'Resource Planner'!$I$22)&amp;IF(('Resource Planner'!$G$22+(48-1)*'Resource Planner'!$I$22)=MIN('Resource Planner'!$G$22+48*'Resource Planner'!$I$22-1,'Resource Planner'!$H$22),"","–"&amp;MIN('Resource Planner'!$G$22+48*'Resource Planner'!$I$22-1,'Resource Planner'!$H$22)),"")</f>
        <v/>
      </c>
      <c r="G652" s="163" t="s">
        <v>109</v>
      </c>
      <c r="H652" s="163" t="str">
        <f>IF(AND('Resource Planner'!$A$22="☑",48&lt;='Resource Planner'!$N$22),'Resource Planner'!$M$22,"")</f>
        <v/>
      </c>
    </row>
    <row r="653" ht="15.75" customHeight="1">
      <c r="A6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3" s="163" t="str">
        <f>IF(AND('Resource Planner'!$A$22="☑",49&lt;='Resource Planner'!$N$22),'Resource Planner'!$C$22,"")</f>
        <v/>
      </c>
      <c r="C653" s="163" t="str">
        <f>IF(AND('Resource Planner'!$A$22="☑",49&lt;='Resource Planner'!$N$22),'Resource Planner'!$B$22,"")</f>
        <v/>
      </c>
      <c r="D653" s="163" t="str">
        <f>IF(AND('Resource Planner'!$A$22="☑",49&lt;='Resource Planner'!$N$22),'Resource Planner'!$D$22,"")</f>
        <v/>
      </c>
      <c r="E653" s="163" t="str">
        <f>IF(AND('Resource Planner'!$A$22="☑",49&lt;='Resource Planner'!$N$22),'Resource Planner'!$E$22,"")</f>
        <v/>
      </c>
      <c r="F653" s="163" t="str">
        <f>IF(AND('Resource Planner'!$A$22="☑",49&lt;='Resource Planner'!$N$22),'Resource Planner'!$F$22&amp;" "&amp;('Resource Planner'!$G$22+(49-1)*'Resource Planner'!$I$22)&amp;IF(('Resource Planner'!$G$22+(49-1)*'Resource Planner'!$I$22)=MIN('Resource Planner'!$G$22+49*'Resource Planner'!$I$22-1,'Resource Planner'!$H$22),"","–"&amp;MIN('Resource Planner'!$G$22+49*'Resource Planner'!$I$22-1,'Resource Planner'!$H$22)),"")</f>
        <v/>
      </c>
      <c r="G653" s="163" t="s">
        <v>109</v>
      </c>
      <c r="H653" s="163" t="str">
        <f>IF(AND('Resource Planner'!$A$22="☑",49&lt;='Resource Planner'!$N$22),'Resource Planner'!$M$22,"")</f>
        <v/>
      </c>
    </row>
    <row r="654" ht="15.75" customHeight="1">
      <c r="A6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4" s="163" t="str">
        <f>IF(AND('Resource Planner'!$A$22="☑",50&lt;='Resource Planner'!$N$22),'Resource Planner'!$C$22,"")</f>
        <v/>
      </c>
      <c r="C654" s="163" t="str">
        <f>IF(AND('Resource Planner'!$A$22="☑",50&lt;='Resource Planner'!$N$22),'Resource Planner'!$B$22,"")</f>
        <v/>
      </c>
      <c r="D654" s="163" t="str">
        <f>IF(AND('Resource Planner'!$A$22="☑",50&lt;='Resource Planner'!$N$22),'Resource Planner'!$D$22,"")</f>
        <v/>
      </c>
      <c r="E654" s="163" t="str">
        <f>IF(AND('Resource Planner'!$A$22="☑",50&lt;='Resource Planner'!$N$22),'Resource Planner'!$E$22,"")</f>
        <v/>
      </c>
      <c r="F654" s="163" t="str">
        <f>IF(AND('Resource Planner'!$A$22="☑",50&lt;='Resource Planner'!$N$22),'Resource Planner'!$F$22&amp;" "&amp;('Resource Planner'!$G$22+(50-1)*'Resource Planner'!$I$22)&amp;IF(('Resource Planner'!$G$22+(50-1)*'Resource Planner'!$I$22)=MIN('Resource Planner'!$G$22+50*'Resource Planner'!$I$22-1,'Resource Planner'!$H$22),"","–"&amp;MIN('Resource Planner'!$G$22+50*'Resource Planner'!$I$22-1,'Resource Planner'!$H$22)),"")</f>
        <v/>
      </c>
      <c r="G654" s="163" t="s">
        <v>109</v>
      </c>
      <c r="H654" s="163" t="str">
        <f>IF(AND('Resource Planner'!$A$22="☑",50&lt;='Resource Planner'!$N$22),'Resource Planner'!$M$22,"")</f>
        <v/>
      </c>
    </row>
    <row r="655" ht="15.75" customHeight="1">
      <c r="A6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5" s="163" t="str">
        <f>IF(AND('Resource Planner'!$A$23="☑",1&lt;='Resource Planner'!$N$23),'Resource Planner'!$C$23,"")</f>
        <v/>
      </c>
      <c r="C655" s="163" t="str">
        <f>IF(AND('Resource Planner'!$A$23="☑",1&lt;='Resource Planner'!$N$23),'Resource Planner'!$B$23,"")</f>
        <v/>
      </c>
      <c r="D655" s="163" t="str">
        <f>IF(AND('Resource Planner'!$A$23="☑",1&lt;='Resource Planner'!$N$23),'Resource Planner'!$D$23,"")</f>
        <v/>
      </c>
      <c r="E655" s="163" t="str">
        <f>IF(AND('Resource Planner'!$A$23="☑",1&lt;='Resource Planner'!$N$23),'Resource Planner'!$E$23,"")</f>
        <v/>
      </c>
      <c r="F655" s="163" t="str">
        <f>IF(AND('Resource Planner'!$A$23="☑",1&lt;='Resource Planner'!$N$23),'Resource Planner'!$F$23&amp;" "&amp;('Resource Planner'!$G$23+(1-1)*'Resource Planner'!$I$23)&amp;IF(('Resource Planner'!$G$23+(1-1)*'Resource Planner'!$I$23)=MIN('Resource Planner'!$G$23+1*'Resource Planner'!$I$23-1,'Resource Planner'!$H$23),"","–"&amp;MIN('Resource Planner'!$G$23+1*'Resource Planner'!$I$23-1,'Resource Planner'!$H$23)),"")</f>
        <v/>
      </c>
      <c r="G655" s="163" t="s">
        <v>109</v>
      </c>
      <c r="H655" s="163" t="str">
        <f>IF(AND('Resource Planner'!$A$23="☑",1&lt;='Resource Planner'!$N$23),'Resource Planner'!$M$23,"")</f>
        <v/>
      </c>
    </row>
    <row r="656" ht="15.75" customHeight="1">
      <c r="A6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6" s="163" t="str">
        <f>IF(AND('Resource Planner'!$A$23="☑",2&lt;='Resource Planner'!$N$23),'Resource Planner'!$C$23,"")</f>
        <v/>
      </c>
      <c r="C656" s="163" t="str">
        <f>IF(AND('Resource Planner'!$A$23="☑",2&lt;='Resource Planner'!$N$23),'Resource Planner'!$B$23,"")</f>
        <v/>
      </c>
      <c r="D656" s="163" t="str">
        <f>IF(AND('Resource Planner'!$A$23="☑",2&lt;='Resource Planner'!$N$23),'Resource Planner'!$D$23,"")</f>
        <v/>
      </c>
      <c r="E656" s="163" t="str">
        <f>IF(AND('Resource Planner'!$A$23="☑",2&lt;='Resource Planner'!$N$23),'Resource Planner'!$E$23,"")</f>
        <v/>
      </c>
      <c r="F656" s="163" t="str">
        <f>IF(AND('Resource Planner'!$A$23="☑",2&lt;='Resource Planner'!$N$23),'Resource Planner'!$F$23&amp;" "&amp;('Resource Planner'!$G$23+(2-1)*'Resource Planner'!$I$23)&amp;IF(('Resource Planner'!$G$23+(2-1)*'Resource Planner'!$I$23)=MIN('Resource Planner'!$G$23+2*'Resource Planner'!$I$23-1,'Resource Planner'!$H$23),"","–"&amp;MIN('Resource Planner'!$G$23+2*'Resource Planner'!$I$23-1,'Resource Planner'!$H$23)),"")</f>
        <v/>
      </c>
      <c r="G656" s="163" t="s">
        <v>109</v>
      </c>
      <c r="H656" s="163" t="str">
        <f>IF(AND('Resource Planner'!$A$23="☑",2&lt;='Resource Planner'!$N$23),'Resource Planner'!$M$23,"")</f>
        <v/>
      </c>
    </row>
    <row r="657" ht="15.75" customHeight="1">
      <c r="A6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7" s="163" t="str">
        <f>IF(AND('Resource Planner'!$A$23="☑",3&lt;='Resource Planner'!$N$23),'Resource Planner'!$C$23,"")</f>
        <v/>
      </c>
      <c r="C657" s="163" t="str">
        <f>IF(AND('Resource Planner'!$A$23="☑",3&lt;='Resource Planner'!$N$23),'Resource Planner'!$B$23,"")</f>
        <v/>
      </c>
      <c r="D657" s="163" t="str">
        <f>IF(AND('Resource Planner'!$A$23="☑",3&lt;='Resource Planner'!$N$23),'Resource Planner'!$D$23,"")</f>
        <v/>
      </c>
      <c r="E657" s="163" t="str">
        <f>IF(AND('Resource Planner'!$A$23="☑",3&lt;='Resource Planner'!$N$23),'Resource Planner'!$E$23,"")</f>
        <v/>
      </c>
      <c r="F657" s="163" t="str">
        <f>IF(AND('Resource Planner'!$A$23="☑",3&lt;='Resource Planner'!$N$23),'Resource Planner'!$F$23&amp;" "&amp;('Resource Planner'!$G$23+(3-1)*'Resource Planner'!$I$23)&amp;IF(('Resource Planner'!$G$23+(3-1)*'Resource Planner'!$I$23)=MIN('Resource Planner'!$G$23+3*'Resource Planner'!$I$23-1,'Resource Planner'!$H$23),"","–"&amp;MIN('Resource Planner'!$G$23+3*'Resource Planner'!$I$23-1,'Resource Planner'!$H$23)),"")</f>
        <v/>
      </c>
      <c r="G657" s="163" t="s">
        <v>109</v>
      </c>
      <c r="H657" s="163" t="str">
        <f>IF(AND('Resource Planner'!$A$23="☑",3&lt;='Resource Planner'!$N$23),'Resource Planner'!$M$23,"")</f>
        <v/>
      </c>
    </row>
    <row r="658" ht="15.75" customHeight="1">
      <c r="A6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8" s="163" t="str">
        <f>IF(AND('Resource Planner'!$A$23="☑",4&lt;='Resource Planner'!$N$23),'Resource Planner'!$C$23,"")</f>
        <v/>
      </c>
      <c r="C658" s="163" t="str">
        <f>IF(AND('Resource Planner'!$A$23="☑",4&lt;='Resource Planner'!$N$23),'Resource Planner'!$B$23,"")</f>
        <v/>
      </c>
      <c r="D658" s="163" t="str">
        <f>IF(AND('Resource Planner'!$A$23="☑",4&lt;='Resource Planner'!$N$23),'Resource Planner'!$D$23,"")</f>
        <v/>
      </c>
      <c r="E658" s="163" t="str">
        <f>IF(AND('Resource Planner'!$A$23="☑",4&lt;='Resource Planner'!$N$23),'Resource Planner'!$E$23,"")</f>
        <v/>
      </c>
      <c r="F658" s="163" t="str">
        <f>IF(AND('Resource Planner'!$A$23="☑",4&lt;='Resource Planner'!$N$23),'Resource Planner'!$F$23&amp;" "&amp;('Resource Planner'!$G$23+(4-1)*'Resource Planner'!$I$23)&amp;IF(('Resource Planner'!$G$23+(4-1)*'Resource Planner'!$I$23)=MIN('Resource Planner'!$G$23+4*'Resource Planner'!$I$23-1,'Resource Planner'!$H$23),"","–"&amp;MIN('Resource Planner'!$G$23+4*'Resource Planner'!$I$23-1,'Resource Planner'!$H$23)),"")</f>
        <v/>
      </c>
      <c r="G658" s="163" t="s">
        <v>109</v>
      </c>
      <c r="H658" s="163" t="str">
        <f>IF(AND('Resource Planner'!$A$23="☑",4&lt;='Resource Planner'!$N$23),'Resource Planner'!$M$23,"")</f>
        <v/>
      </c>
    </row>
    <row r="659" ht="15.75" customHeight="1">
      <c r="A6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59" s="163" t="str">
        <f>IF(AND('Resource Planner'!$A$23="☑",5&lt;='Resource Planner'!$N$23),'Resource Planner'!$C$23,"")</f>
        <v/>
      </c>
      <c r="C659" s="163" t="str">
        <f>IF(AND('Resource Planner'!$A$23="☑",5&lt;='Resource Planner'!$N$23),'Resource Planner'!$B$23,"")</f>
        <v/>
      </c>
      <c r="D659" s="163" t="str">
        <f>IF(AND('Resource Planner'!$A$23="☑",5&lt;='Resource Planner'!$N$23),'Resource Planner'!$D$23,"")</f>
        <v/>
      </c>
      <c r="E659" s="163" t="str">
        <f>IF(AND('Resource Planner'!$A$23="☑",5&lt;='Resource Planner'!$N$23),'Resource Planner'!$E$23,"")</f>
        <v/>
      </c>
      <c r="F659" s="163" t="str">
        <f>IF(AND('Resource Planner'!$A$23="☑",5&lt;='Resource Planner'!$N$23),'Resource Planner'!$F$23&amp;" "&amp;('Resource Planner'!$G$23+(5-1)*'Resource Planner'!$I$23)&amp;IF(('Resource Planner'!$G$23+(5-1)*'Resource Planner'!$I$23)=MIN('Resource Planner'!$G$23+5*'Resource Planner'!$I$23-1,'Resource Planner'!$H$23),"","–"&amp;MIN('Resource Planner'!$G$23+5*'Resource Planner'!$I$23-1,'Resource Planner'!$H$23)),"")</f>
        <v/>
      </c>
      <c r="G659" s="163" t="s">
        <v>109</v>
      </c>
      <c r="H659" s="163" t="str">
        <f>IF(AND('Resource Planner'!$A$23="☑",5&lt;='Resource Planner'!$N$23),'Resource Planner'!$M$23,"")</f>
        <v/>
      </c>
    </row>
    <row r="660" ht="15.75" customHeight="1">
      <c r="A6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0" s="163" t="str">
        <f>IF(AND('Resource Planner'!$A$23="☑",6&lt;='Resource Planner'!$N$23),'Resource Planner'!$C$23,"")</f>
        <v/>
      </c>
      <c r="C660" s="163" t="str">
        <f>IF(AND('Resource Planner'!$A$23="☑",6&lt;='Resource Planner'!$N$23),'Resource Planner'!$B$23,"")</f>
        <v/>
      </c>
      <c r="D660" s="163" t="str">
        <f>IF(AND('Resource Planner'!$A$23="☑",6&lt;='Resource Planner'!$N$23),'Resource Planner'!$D$23,"")</f>
        <v/>
      </c>
      <c r="E660" s="163" t="str">
        <f>IF(AND('Resource Planner'!$A$23="☑",6&lt;='Resource Planner'!$N$23),'Resource Planner'!$E$23,"")</f>
        <v/>
      </c>
      <c r="F660" s="163" t="str">
        <f>IF(AND('Resource Planner'!$A$23="☑",6&lt;='Resource Planner'!$N$23),'Resource Planner'!$F$23&amp;" "&amp;('Resource Planner'!$G$23+(6-1)*'Resource Planner'!$I$23)&amp;IF(('Resource Planner'!$G$23+(6-1)*'Resource Planner'!$I$23)=MIN('Resource Planner'!$G$23+6*'Resource Planner'!$I$23-1,'Resource Planner'!$H$23),"","–"&amp;MIN('Resource Planner'!$G$23+6*'Resource Planner'!$I$23-1,'Resource Planner'!$H$23)),"")</f>
        <v/>
      </c>
      <c r="G660" s="163" t="s">
        <v>109</v>
      </c>
      <c r="H660" s="163" t="str">
        <f>IF(AND('Resource Planner'!$A$23="☑",6&lt;='Resource Planner'!$N$23),'Resource Planner'!$M$23,"")</f>
        <v/>
      </c>
    </row>
    <row r="661" ht="15.75" customHeight="1">
      <c r="A6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1" s="163" t="str">
        <f>IF(AND('Resource Planner'!$A$23="☑",7&lt;='Resource Planner'!$N$23),'Resource Planner'!$C$23,"")</f>
        <v/>
      </c>
      <c r="C661" s="163" t="str">
        <f>IF(AND('Resource Planner'!$A$23="☑",7&lt;='Resource Planner'!$N$23),'Resource Planner'!$B$23,"")</f>
        <v/>
      </c>
      <c r="D661" s="163" t="str">
        <f>IF(AND('Resource Planner'!$A$23="☑",7&lt;='Resource Planner'!$N$23),'Resource Planner'!$D$23,"")</f>
        <v/>
      </c>
      <c r="E661" s="163" t="str">
        <f>IF(AND('Resource Planner'!$A$23="☑",7&lt;='Resource Planner'!$N$23),'Resource Planner'!$E$23,"")</f>
        <v/>
      </c>
      <c r="F661" s="163" t="str">
        <f>IF(AND('Resource Planner'!$A$23="☑",7&lt;='Resource Planner'!$N$23),'Resource Planner'!$F$23&amp;" "&amp;('Resource Planner'!$G$23+(7-1)*'Resource Planner'!$I$23)&amp;IF(('Resource Planner'!$G$23+(7-1)*'Resource Planner'!$I$23)=MIN('Resource Planner'!$G$23+7*'Resource Planner'!$I$23-1,'Resource Planner'!$H$23),"","–"&amp;MIN('Resource Planner'!$G$23+7*'Resource Planner'!$I$23-1,'Resource Planner'!$H$23)),"")</f>
        <v/>
      </c>
      <c r="G661" s="163" t="s">
        <v>109</v>
      </c>
      <c r="H661" s="163" t="str">
        <f>IF(AND('Resource Planner'!$A$23="☑",7&lt;='Resource Planner'!$N$23),'Resource Planner'!$M$23,"")</f>
        <v/>
      </c>
    </row>
    <row r="662" ht="15.75" customHeight="1">
      <c r="A6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2" s="163" t="str">
        <f>IF(AND('Resource Planner'!$A$23="☑",8&lt;='Resource Planner'!$N$23),'Resource Planner'!$C$23,"")</f>
        <v/>
      </c>
      <c r="C662" s="163" t="str">
        <f>IF(AND('Resource Planner'!$A$23="☑",8&lt;='Resource Planner'!$N$23),'Resource Planner'!$B$23,"")</f>
        <v/>
      </c>
      <c r="D662" s="163" t="str">
        <f>IF(AND('Resource Planner'!$A$23="☑",8&lt;='Resource Planner'!$N$23),'Resource Planner'!$D$23,"")</f>
        <v/>
      </c>
      <c r="E662" s="163" t="str">
        <f>IF(AND('Resource Planner'!$A$23="☑",8&lt;='Resource Planner'!$N$23),'Resource Planner'!$E$23,"")</f>
        <v/>
      </c>
      <c r="F662" s="163" t="str">
        <f>IF(AND('Resource Planner'!$A$23="☑",8&lt;='Resource Planner'!$N$23),'Resource Planner'!$F$23&amp;" "&amp;('Resource Planner'!$G$23+(8-1)*'Resource Planner'!$I$23)&amp;IF(('Resource Planner'!$G$23+(8-1)*'Resource Planner'!$I$23)=MIN('Resource Planner'!$G$23+8*'Resource Planner'!$I$23-1,'Resource Planner'!$H$23),"","–"&amp;MIN('Resource Planner'!$G$23+8*'Resource Planner'!$I$23-1,'Resource Planner'!$H$23)),"")</f>
        <v/>
      </c>
      <c r="G662" s="163" t="s">
        <v>109</v>
      </c>
      <c r="H662" s="163" t="str">
        <f>IF(AND('Resource Planner'!$A$23="☑",8&lt;='Resource Planner'!$N$23),'Resource Planner'!$M$23,"")</f>
        <v/>
      </c>
    </row>
    <row r="663" ht="15.75" customHeight="1">
      <c r="A6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3" s="163" t="str">
        <f>IF(AND('Resource Planner'!$A$23="☑",9&lt;='Resource Planner'!$N$23),'Resource Planner'!$C$23,"")</f>
        <v/>
      </c>
      <c r="C663" s="163" t="str">
        <f>IF(AND('Resource Planner'!$A$23="☑",9&lt;='Resource Planner'!$N$23),'Resource Planner'!$B$23,"")</f>
        <v/>
      </c>
      <c r="D663" s="163" t="str">
        <f>IF(AND('Resource Planner'!$A$23="☑",9&lt;='Resource Planner'!$N$23),'Resource Planner'!$D$23,"")</f>
        <v/>
      </c>
      <c r="E663" s="163" t="str">
        <f>IF(AND('Resource Planner'!$A$23="☑",9&lt;='Resource Planner'!$N$23),'Resource Planner'!$E$23,"")</f>
        <v/>
      </c>
      <c r="F663" s="163" t="str">
        <f>IF(AND('Resource Planner'!$A$23="☑",9&lt;='Resource Planner'!$N$23),'Resource Planner'!$F$23&amp;" "&amp;('Resource Planner'!$G$23+(9-1)*'Resource Planner'!$I$23)&amp;IF(('Resource Planner'!$G$23+(9-1)*'Resource Planner'!$I$23)=MIN('Resource Planner'!$G$23+9*'Resource Planner'!$I$23-1,'Resource Planner'!$H$23),"","–"&amp;MIN('Resource Planner'!$G$23+9*'Resource Planner'!$I$23-1,'Resource Planner'!$H$23)),"")</f>
        <v/>
      </c>
      <c r="G663" s="163" t="s">
        <v>109</v>
      </c>
      <c r="H663" s="163" t="str">
        <f>IF(AND('Resource Planner'!$A$23="☑",9&lt;='Resource Planner'!$N$23),'Resource Planner'!$M$23,"")</f>
        <v/>
      </c>
    </row>
    <row r="664" ht="15.75" customHeight="1">
      <c r="A6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4" s="163" t="str">
        <f>IF(AND('Resource Planner'!$A$23="☑",10&lt;='Resource Planner'!$N$23),'Resource Planner'!$C$23,"")</f>
        <v/>
      </c>
      <c r="C664" s="163" t="str">
        <f>IF(AND('Resource Planner'!$A$23="☑",10&lt;='Resource Planner'!$N$23),'Resource Planner'!$B$23,"")</f>
        <v/>
      </c>
      <c r="D664" s="163" t="str">
        <f>IF(AND('Resource Planner'!$A$23="☑",10&lt;='Resource Planner'!$N$23),'Resource Planner'!$D$23,"")</f>
        <v/>
      </c>
      <c r="E664" s="163" t="str">
        <f>IF(AND('Resource Planner'!$A$23="☑",10&lt;='Resource Planner'!$N$23),'Resource Planner'!$E$23,"")</f>
        <v/>
      </c>
      <c r="F664" s="163" t="str">
        <f>IF(AND('Resource Planner'!$A$23="☑",10&lt;='Resource Planner'!$N$23),'Resource Planner'!$F$23&amp;" "&amp;('Resource Planner'!$G$23+(10-1)*'Resource Planner'!$I$23)&amp;IF(('Resource Planner'!$G$23+(10-1)*'Resource Planner'!$I$23)=MIN('Resource Planner'!$G$23+10*'Resource Planner'!$I$23-1,'Resource Planner'!$H$23),"","–"&amp;MIN('Resource Planner'!$G$23+10*'Resource Planner'!$I$23-1,'Resource Planner'!$H$23)),"")</f>
        <v/>
      </c>
      <c r="G664" s="163" t="s">
        <v>109</v>
      </c>
      <c r="H664" s="163" t="str">
        <f>IF(AND('Resource Planner'!$A$23="☑",10&lt;='Resource Planner'!$N$23),'Resource Planner'!$M$23,"")</f>
        <v/>
      </c>
    </row>
    <row r="665" ht="15.75" customHeight="1">
      <c r="A6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5" s="163" t="str">
        <f>IF(AND('Resource Planner'!$A$23="☑",11&lt;='Resource Planner'!$N$23),'Resource Planner'!$C$23,"")</f>
        <v/>
      </c>
      <c r="C665" s="163" t="str">
        <f>IF(AND('Resource Planner'!$A$23="☑",11&lt;='Resource Planner'!$N$23),'Resource Planner'!$B$23,"")</f>
        <v/>
      </c>
      <c r="D665" s="163" t="str">
        <f>IF(AND('Resource Planner'!$A$23="☑",11&lt;='Resource Planner'!$N$23),'Resource Planner'!$D$23,"")</f>
        <v/>
      </c>
      <c r="E665" s="163" t="str">
        <f>IF(AND('Resource Planner'!$A$23="☑",11&lt;='Resource Planner'!$N$23),'Resource Planner'!$E$23,"")</f>
        <v/>
      </c>
      <c r="F665" s="163" t="str">
        <f>IF(AND('Resource Planner'!$A$23="☑",11&lt;='Resource Planner'!$N$23),'Resource Planner'!$F$23&amp;" "&amp;('Resource Planner'!$G$23+(11-1)*'Resource Planner'!$I$23)&amp;IF(('Resource Planner'!$G$23+(11-1)*'Resource Planner'!$I$23)=MIN('Resource Planner'!$G$23+11*'Resource Planner'!$I$23-1,'Resource Planner'!$H$23),"","–"&amp;MIN('Resource Planner'!$G$23+11*'Resource Planner'!$I$23-1,'Resource Planner'!$H$23)),"")</f>
        <v/>
      </c>
      <c r="G665" s="163" t="s">
        <v>109</v>
      </c>
      <c r="H665" s="163" t="str">
        <f>IF(AND('Resource Planner'!$A$23="☑",11&lt;='Resource Planner'!$N$23),'Resource Planner'!$M$23,"")</f>
        <v/>
      </c>
    </row>
    <row r="666" ht="15.75" customHeight="1">
      <c r="A6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6" s="163" t="str">
        <f>IF(AND('Resource Planner'!$A$23="☑",12&lt;='Resource Planner'!$N$23),'Resource Planner'!$C$23,"")</f>
        <v/>
      </c>
      <c r="C666" s="163" t="str">
        <f>IF(AND('Resource Planner'!$A$23="☑",12&lt;='Resource Planner'!$N$23),'Resource Planner'!$B$23,"")</f>
        <v/>
      </c>
      <c r="D666" s="163" t="str">
        <f>IF(AND('Resource Planner'!$A$23="☑",12&lt;='Resource Planner'!$N$23),'Resource Planner'!$D$23,"")</f>
        <v/>
      </c>
      <c r="E666" s="163" t="str">
        <f>IF(AND('Resource Planner'!$A$23="☑",12&lt;='Resource Planner'!$N$23),'Resource Planner'!$E$23,"")</f>
        <v/>
      </c>
      <c r="F666" s="163" t="str">
        <f>IF(AND('Resource Planner'!$A$23="☑",12&lt;='Resource Planner'!$N$23),'Resource Planner'!$F$23&amp;" "&amp;('Resource Planner'!$G$23+(12-1)*'Resource Planner'!$I$23)&amp;IF(('Resource Planner'!$G$23+(12-1)*'Resource Planner'!$I$23)=MIN('Resource Planner'!$G$23+12*'Resource Planner'!$I$23-1,'Resource Planner'!$H$23),"","–"&amp;MIN('Resource Planner'!$G$23+12*'Resource Planner'!$I$23-1,'Resource Planner'!$H$23)),"")</f>
        <v/>
      </c>
      <c r="G666" s="163" t="s">
        <v>109</v>
      </c>
      <c r="H666" s="163" t="str">
        <f>IF(AND('Resource Planner'!$A$23="☑",12&lt;='Resource Planner'!$N$23),'Resource Planner'!$M$23,"")</f>
        <v/>
      </c>
    </row>
    <row r="667" ht="15.75" customHeight="1">
      <c r="A6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7" s="163" t="str">
        <f>IF(AND('Resource Planner'!$A$23="☑",13&lt;='Resource Planner'!$N$23),'Resource Planner'!$C$23,"")</f>
        <v/>
      </c>
      <c r="C667" s="163" t="str">
        <f>IF(AND('Resource Planner'!$A$23="☑",13&lt;='Resource Planner'!$N$23),'Resource Planner'!$B$23,"")</f>
        <v/>
      </c>
      <c r="D667" s="163" t="str">
        <f>IF(AND('Resource Planner'!$A$23="☑",13&lt;='Resource Planner'!$N$23),'Resource Planner'!$D$23,"")</f>
        <v/>
      </c>
      <c r="E667" s="163" t="str">
        <f>IF(AND('Resource Planner'!$A$23="☑",13&lt;='Resource Planner'!$N$23),'Resource Planner'!$E$23,"")</f>
        <v/>
      </c>
      <c r="F667" s="163" t="str">
        <f>IF(AND('Resource Planner'!$A$23="☑",13&lt;='Resource Planner'!$N$23),'Resource Planner'!$F$23&amp;" "&amp;('Resource Planner'!$G$23+(13-1)*'Resource Planner'!$I$23)&amp;IF(('Resource Planner'!$G$23+(13-1)*'Resource Planner'!$I$23)=MIN('Resource Planner'!$G$23+13*'Resource Planner'!$I$23-1,'Resource Planner'!$H$23),"","–"&amp;MIN('Resource Planner'!$G$23+13*'Resource Planner'!$I$23-1,'Resource Planner'!$H$23)),"")</f>
        <v/>
      </c>
      <c r="G667" s="163" t="s">
        <v>109</v>
      </c>
      <c r="H667" s="163" t="str">
        <f>IF(AND('Resource Planner'!$A$23="☑",13&lt;='Resource Planner'!$N$23),'Resource Planner'!$M$23,"")</f>
        <v/>
      </c>
    </row>
    <row r="668" ht="15.75" customHeight="1">
      <c r="A6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8" s="163" t="str">
        <f>IF(AND('Resource Planner'!$A$23="☑",14&lt;='Resource Planner'!$N$23),'Resource Planner'!$C$23,"")</f>
        <v/>
      </c>
      <c r="C668" s="163" t="str">
        <f>IF(AND('Resource Planner'!$A$23="☑",14&lt;='Resource Planner'!$N$23),'Resource Planner'!$B$23,"")</f>
        <v/>
      </c>
      <c r="D668" s="163" t="str">
        <f>IF(AND('Resource Planner'!$A$23="☑",14&lt;='Resource Planner'!$N$23),'Resource Planner'!$D$23,"")</f>
        <v/>
      </c>
      <c r="E668" s="163" t="str">
        <f>IF(AND('Resource Planner'!$A$23="☑",14&lt;='Resource Planner'!$N$23),'Resource Planner'!$E$23,"")</f>
        <v/>
      </c>
      <c r="F668" s="163" t="str">
        <f>IF(AND('Resource Planner'!$A$23="☑",14&lt;='Resource Planner'!$N$23),'Resource Planner'!$F$23&amp;" "&amp;('Resource Planner'!$G$23+(14-1)*'Resource Planner'!$I$23)&amp;IF(('Resource Planner'!$G$23+(14-1)*'Resource Planner'!$I$23)=MIN('Resource Planner'!$G$23+14*'Resource Planner'!$I$23-1,'Resource Planner'!$H$23),"","–"&amp;MIN('Resource Planner'!$G$23+14*'Resource Planner'!$I$23-1,'Resource Planner'!$H$23)),"")</f>
        <v/>
      </c>
      <c r="G668" s="163" t="s">
        <v>109</v>
      </c>
      <c r="H668" s="163" t="str">
        <f>IF(AND('Resource Planner'!$A$23="☑",14&lt;='Resource Planner'!$N$23),'Resource Planner'!$M$23,"")</f>
        <v/>
      </c>
    </row>
    <row r="669" ht="15.75" customHeight="1">
      <c r="A6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69" s="163" t="str">
        <f>IF(AND('Resource Planner'!$A$23="☑",15&lt;='Resource Planner'!$N$23),'Resource Planner'!$C$23,"")</f>
        <v/>
      </c>
      <c r="C669" s="163" t="str">
        <f>IF(AND('Resource Planner'!$A$23="☑",15&lt;='Resource Planner'!$N$23),'Resource Planner'!$B$23,"")</f>
        <v/>
      </c>
      <c r="D669" s="163" t="str">
        <f>IF(AND('Resource Planner'!$A$23="☑",15&lt;='Resource Planner'!$N$23),'Resource Planner'!$D$23,"")</f>
        <v/>
      </c>
      <c r="E669" s="163" t="str">
        <f>IF(AND('Resource Planner'!$A$23="☑",15&lt;='Resource Planner'!$N$23),'Resource Planner'!$E$23,"")</f>
        <v/>
      </c>
      <c r="F669" s="163" t="str">
        <f>IF(AND('Resource Planner'!$A$23="☑",15&lt;='Resource Planner'!$N$23),'Resource Planner'!$F$23&amp;" "&amp;('Resource Planner'!$G$23+(15-1)*'Resource Planner'!$I$23)&amp;IF(('Resource Planner'!$G$23+(15-1)*'Resource Planner'!$I$23)=MIN('Resource Planner'!$G$23+15*'Resource Planner'!$I$23-1,'Resource Planner'!$H$23),"","–"&amp;MIN('Resource Planner'!$G$23+15*'Resource Planner'!$I$23-1,'Resource Planner'!$H$23)),"")</f>
        <v/>
      </c>
      <c r="G669" s="163" t="s">
        <v>109</v>
      </c>
      <c r="H669" s="163" t="str">
        <f>IF(AND('Resource Planner'!$A$23="☑",15&lt;='Resource Planner'!$N$23),'Resource Planner'!$M$23,"")</f>
        <v/>
      </c>
    </row>
    <row r="670" ht="15.75" customHeight="1">
      <c r="A6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0" s="163" t="str">
        <f>IF(AND('Resource Planner'!$A$23="☑",16&lt;='Resource Planner'!$N$23),'Resource Planner'!$C$23,"")</f>
        <v/>
      </c>
      <c r="C670" s="163" t="str">
        <f>IF(AND('Resource Planner'!$A$23="☑",16&lt;='Resource Planner'!$N$23),'Resource Planner'!$B$23,"")</f>
        <v/>
      </c>
      <c r="D670" s="163" t="str">
        <f>IF(AND('Resource Planner'!$A$23="☑",16&lt;='Resource Planner'!$N$23),'Resource Planner'!$D$23,"")</f>
        <v/>
      </c>
      <c r="E670" s="163" t="str">
        <f>IF(AND('Resource Planner'!$A$23="☑",16&lt;='Resource Planner'!$N$23),'Resource Planner'!$E$23,"")</f>
        <v/>
      </c>
      <c r="F670" s="163" t="str">
        <f>IF(AND('Resource Planner'!$A$23="☑",16&lt;='Resource Planner'!$N$23),'Resource Planner'!$F$23&amp;" "&amp;('Resource Planner'!$G$23+(16-1)*'Resource Planner'!$I$23)&amp;IF(('Resource Planner'!$G$23+(16-1)*'Resource Planner'!$I$23)=MIN('Resource Planner'!$G$23+16*'Resource Planner'!$I$23-1,'Resource Planner'!$H$23),"","–"&amp;MIN('Resource Planner'!$G$23+16*'Resource Planner'!$I$23-1,'Resource Planner'!$H$23)),"")</f>
        <v/>
      </c>
      <c r="G670" s="163" t="s">
        <v>109</v>
      </c>
      <c r="H670" s="163" t="str">
        <f>IF(AND('Resource Planner'!$A$23="☑",16&lt;='Resource Planner'!$N$23),'Resource Planner'!$M$23,"")</f>
        <v/>
      </c>
    </row>
    <row r="671" ht="15.75" customHeight="1">
      <c r="A6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1" s="163" t="str">
        <f>IF(AND('Resource Planner'!$A$23="☑",17&lt;='Resource Planner'!$N$23),'Resource Planner'!$C$23,"")</f>
        <v/>
      </c>
      <c r="C671" s="163" t="str">
        <f>IF(AND('Resource Planner'!$A$23="☑",17&lt;='Resource Planner'!$N$23),'Resource Planner'!$B$23,"")</f>
        <v/>
      </c>
      <c r="D671" s="163" t="str">
        <f>IF(AND('Resource Planner'!$A$23="☑",17&lt;='Resource Planner'!$N$23),'Resource Planner'!$D$23,"")</f>
        <v/>
      </c>
      <c r="E671" s="163" t="str">
        <f>IF(AND('Resource Planner'!$A$23="☑",17&lt;='Resource Planner'!$N$23),'Resource Planner'!$E$23,"")</f>
        <v/>
      </c>
      <c r="F671" s="163" t="str">
        <f>IF(AND('Resource Planner'!$A$23="☑",17&lt;='Resource Planner'!$N$23),'Resource Planner'!$F$23&amp;" "&amp;('Resource Planner'!$G$23+(17-1)*'Resource Planner'!$I$23)&amp;IF(('Resource Planner'!$G$23+(17-1)*'Resource Planner'!$I$23)=MIN('Resource Planner'!$G$23+17*'Resource Planner'!$I$23-1,'Resource Planner'!$H$23),"","–"&amp;MIN('Resource Planner'!$G$23+17*'Resource Planner'!$I$23-1,'Resource Planner'!$H$23)),"")</f>
        <v/>
      </c>
      <c r="G671" s="163" t="s">
        <v>109</v>
      </c>
      <c r="H671" s="163" t="str">
        <f>IF(AND('Resource Planner'!$A$23="☑",17&lt;='Resource Planner'!$N$23),'Resource Planner'!$M$23,"")</f>
        <v/>
      </c>
    </row>
    <row r="672" ht="15.75" customHeight="1">
      <c r="A6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2" s="163" t="str">
        <f>IF(AND('Resource Planner'!$A$23="☑",18&lt;='Resource Planner'!$N$23),'Resource Planner'!$C$23,"")</f>
        <v/>
      </c>
      <c r="C672" s="163" t="str">
        <f>IF(AND('Resource Planner'!$A$23="☑",18&lt;='Resource Planner'!$N$23),'Resource Planner'!$B$23,"")</f>
        <v/>
      </c>
      <c r="D672" s="163" t="str">
        <f>IF(AND('Resource Planner'!$A$23="☑",18&lt;='Resource Planner'!$N$23),'Resource Planner'!$D$23,"")</f>
        <v/>
      </c>
      <c r="E672" s="163" t="str">
        <f>IF(AND('Resource Planner'!$A$23="☑",18&lt;='Resource Planner'!$N$23),'Resource Planner'!$E$23,"")</f>
        <v/>
      </c>
      <c r="F672" s="163" t="str">
        <f>IF(AND('Resource Planner'!$A$23="☑",18&lt;='Resource Planner'!$N$23),'Resource Planner'!$F$23&amp;" "&amp;('Resource Planner'!$G$23+(18-1)*'Resource Planner'!$I$23)&amp;IF(('Resource Planner'!$G$23+(18-1)*'Resource Planner'!$I$23)=MIN('Resource Planner'!$G$23+18*'Resource Planner'!$I$23-1,'Resource Planner'!$H$23),"","–"&amp;MIN('Resource Planner'!$G$23+18*'Resource Planner'!$I$23-1,'Resource Planner'!$H$23)),"")</f>
        <v/>
      </c>
      <c r="G672" s="163" t="s">
        <v>109</v>
      </c>
      <c r="H672" s="163" t="str">
        <f>IF(AND('Resource Planner'!$A$23="☑",18&lt;='Resource Planner'!$N$23),'Resource Planner'!$M$23,"")</f>
        <v/>
      </c>
    </row>
    <row r="673" ht="15.75" customHeight="1">
      <c r="A6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3" s="163" t="str">
        <f>IF(AND('Resource Planner'!$A$23="☑",19&lt;='Resource Planner'!$N$23),'Resource Planner'!$C$23,"")</f>
        <v/>
      </c>
      <c r="C673" s="163" t="str">
        <f>IF(AND('Resource Planner'!$A$23="☑",19&lt;='Resource Planner'!$N$23),'Resource Planner'!$B$23,"")</f>
        <v/>
      </c>
      <c r="D673" s="163" t="str">
        <f>IF(AND('Resource Planner'!$A$23="☑",19&lt;='Resource Planner'!$N$23),'Resource Planner'!$D$23,"")</f>
        <v/>
      </c>
      <c r="E673" s="163" t="str">
        <f>IF(AND('Resource Planner'!$A$23="☑",19&lt;='Resource Planner'!$N$23),'Resource Planner'!$E$23,"")</f>
        <v/>
      </c>
      <c r="F673" s="163" t="str">
        <f>IF(AND('Resource Planner'!$A$23="☑",19&lt;='Resource Planner'!$N$23),'Resource Planner'!$F$23&amp;" "&amp;('Resource Planner'!$G$23+(19-1)*'Resource Planner'!$I$23)&amp;IF(('Resource Planner'!$G$23+(19-1)*'Resource Planner'!$I$23)=MIN('Resource Planner'!$G$23+19*'Resource Planner'!$I$23-1,'Resource Planner'!$H$23),"","–"&amp;MIN('Resource Planner'!$G$23+19*'Resource Planner'!$I$23-1,'Resource Planner'!$H$23)),"")</f>
        <v/>
      </c>
      <c r="G673" s="163" t="s">
        <v>109</v>
      </c>
      <c r="H673" s="163" t="str">
        <f>IF(AND('Resource Planner'!$A$23="☑",19&lt;='Resource Planner'!$N$23),'Resource Planner'!$M$23,"")</f>
        <v/>
      </c>
    </row>
    <row r="674" ht="15.75" customHeight="1">
      <c r="A6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4" s="163" t="str">
        <f>IF(AND('Resource Planner'!$A$23="☑",20&lt;='Resource Planner'!$N$23),'Resource Planner'!$C$23,"")</f>
        <v/>
      </c>
      <c r="C674" s="163" t="str">
        <f>IF(AND('Resource Planner'!$A$23="☑",20&lt;='Resource Planner'!$N$23),'Resource Planner'!$B$23,"")</f>
        <v/>
      </c>
      <c r="D674" s="163" t="str">
        <f>IF(AND('Resource Planner'!$A$23="☑",20&lt;='Resource Planner'!$N$23),'Resource Planner'!$D$23,"")</f>
        <v/>
      </c>
      <c r="E674" s="163" t="str">
        <f>IF(AND('Resource Planner'!$A$23="☑",20&lt;='Resource Planner'!$N$23),'Resource Planner'!$E$23,"")</f>
        <v/>
      </c>
      <c r="F674" s="163" t="str">
        <f>IF(AND('Resource Planner'!$A$23="☑",20&lt;='Resource Planner'!$N$23),'Resource Planner'!$F$23&amp;" "&amp;('Resource Planner'!$G$23+(20-1)*'Resource Planner'!$I$23)&amp;IF(('Resource Planner'!$G$23+(20-1)*'Resource Planner'!$I$23)=MIN('Resource Planner'!$G$23+20*'Resource Planner'!$I$23-1,'Resource Planner'!$H$23),"","–"&amp;MIN('Resource Planner'!$G$23+20*'Resource Planner'!$I$23-1,'Resource Planner'!$H$23)),"")</f>
        <v/>
      </c>
      <c r="G674" s="163" t="s">
        <v>109</v>
      </c>
      <c r="H674" s="163" t="str">
        <f>IF(AND('Resource Planner'!$A$23="☑",20&lt;='Resource Planner'!$N$23),'Resource Planner'!$M$23,"")</f>
        <v/>
      </c>
    </row>
    <row r="675" ht="15.75" customHeight="1">
      <c r="A6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5" s="163" t="str">
        <f>IF(AND('Resource Planner'!$A$23="☑",21&lt;='Resource Planner'!$N$23),'Resource Planner'!$C$23,"")</f>
        <v/>
      </c>
      <c r="C675" s="163" t="str">
        <f>IF(AND('Resource Planner'!$A$23="☑",21&lt;='Resource Planner'!$N$23),'Resource Planner'!$B$23,"")</f>
        <v/>
      </c>
      <c r="D675" s="163" t="str">
        <f>IF(AND('Resource Planner'!$A$23="☑",21&lt;='Resource Planner'!$N$23),'Resource Planner'!$D$23,"")</f>
        <v/>
      </c>
      <c r="E675" s="163" t="str">
        <f>IF(AND('Resource Planner'!$A$23="☑",21&lt;='Resource Planner'!$N$23),'Resource Planner'!$E$23,"")</f>
        <v/>
      </c>
      <c r="F675" s="163" t="str">
        <f>IF(AND('Resource Planner'!$A$23="☑",21&lt;='Resource Planner'!$N$23),'Resource Planner'!$F$23&amp;" "&amp;('Resource Planner'!$G$23+(21-1)*'Resource Planner'!$I$23)&amp;IF(('Resource Planner'!$G$23+(21-1)*'Resource Planner'!$I$23)=MIN('Resource Planner'!$G$23+21*'Resource Planner'!$I$23-1,'Resource Planner'!$H$23),"","–"&amp;MIN('Resource Planner'!$G$23+21*'Resource Planner'!$I$23-1,'Resource Planner'!$H$23)),"")</f>
        <v/>
      </c>
      <c r="G675" s="163" t="s">
        <v>109</v>
      </c>
      <c r="H675" s="163" t="str">
        <f>IF(AND('Resource Planner'!$A$23="☑",21&lt;='Resource Planner'!$N$23),'Resource Planner'!$M$23,"")</f>
        <v/>
      </c>
    </row>
    <row r="676" ht="15.75" customHeight="1">
      <c r="A6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6" s="163" t="str">
        <f>IF(AND('Resource Planner'!$A$23="☑",22&lt;='Resource Planner'!$N$23),'Resource Planner'!$C$23,"")</f>
        <v/>
      </c>
      <c r="C676" s="163" t="str">
        <f>IF(AND('Resource Planner'!$A$23="☑",22&lt;='Resource Planner'!$N$23),'Resource Planner'!$B$23,"")</f>
        <v/>
      </c>
      <c r="D676" s="163" t="str">
        <f>IF(AND('Resource Planner'!$A$23="☑",22&lt;='Resource Planner'!$N$23),'Resource Planner'!$D$23,"")</f>
        <v/>
      </c>
      <c r="E676" s="163" t="str">
        <f>IF(AND('Resource Planner'!$A$23="☑",22&lt;='Resource Planner'!$N$23),'Resource Planner'!$E$23,"")</f>
        <v/>
      </c>
      <c r="F676" s="163" t="str">
        <f>IF(AND('Resource Planner'!$A$23="☑",22&lt;='Resource Planner'!$N$23),'Resource Planner'!$F$23&amp;" "&amp;('Resource Planner'!$G$23+(22-1)*'Resource Planner'!$I$23)&amp;IF(('Resource Planner'!$G$23+(22-1)*'Resource Planner'!$I$23)=MIN('Resource Planner'!$G$23+22*'Resource Planner'!$I$23-1,'Resource Planner'!$H$23),"","–"&amp;MIN('Resource Planner'!$G$23+22*'Resource Planner'!$I$23-1,'Resource Planner'!$H$23)),"")</f>
        <v/>
      </c>
      <c r="G676" s="163" t="s">
        <v>109</v>
      </c>
      <c r="H676" s="163" t="str">
        <f>IF(AND('Resource Planner'!$A$23="☑",22&lt;='Resource Planner'!$N$23),'Resource Planner'!$M$23,"")</f>
        <v/>
      </c>
    </row>
    <row r="677" ht="15.75" customHeight="1">
      <c r="A6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7" s="163" t="str">
        <f>IF(AND('Resource Planner'!$A$23="☑",23&lt;='Resource Planner'!$N$23),'Resource Planner'!$C$23,"")</f>
        <v/>
      </c>
      <c r="C677" s="163" t="str">
        <f>IF(AND('Resource Planner'!$A$23="☑",23&lt;='Resource Planner'!$N$23),'Resource Planner'!$B$23,"")</f>
        <v/>
      </c>
      <c r="D677" s="163" t="str">
        <f>IF(AND('Resource Planner'!$A$23="☑",23&lt;='Resource Planner'!$N$23),'Resource Planner'!$D$23,"")</f>
        <v/>
      </c>
      <c r="E677" s="163" t="str">
        <f>IF(AND('Resource Planner'!$A$23="☑",23&lt;='Resource Planner'!$N$23),'Resource Planner'!$E$23,"")</f>
        <v/>
      </c>
      <c r="F677" s="163" t="str">
        <f>IF(AND('Resource Planner'!$A$23="☑",23&lt;='Resource Planner'!$N$23),'Resource Planner'!$F$23&amp;" "&amp;('Resource Planner'!$G$23+(23-1)*'Resource Planner'!$I$23)&amp;IF(('Resource Planner'!$G$23+(23-1)*'Resource Planner'!$I$23)=MIN('Resource Planner'!$G$23+23*'Resource Planner'!$I$23-1,'Resource Planner'!$H$23),"","–"&amp;MIN('Resource Planner'!$G$23+23*'Resource Planner'!$I$23-1,'Resource Planner'!$H$23)),"")</f>
        <v/>
      </c>
      <c r="G677" s="163" t="s">
        <v>109</v>
      </c>
      <c r="H677" s="163" t="str">
        <f>IF(AND('Resource Planner'!$A$23="☑",23&lt;='Resource Planner'!$N$23),'Resource Planner'!$M$23,"")</f>
        <v/>
      </c>
    </row>
    <row r="678" ht="15.75" customHeight="1">
      <c r="A6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8" s="163" t="str">
        <f>IF(AND('Resource Planner'!$A$23="☑",24&lt;='Resource Planner'!$N$23),'Resource Planner'!$C$23,"")</f>
        <v/>
      </c>
      <c r="C678" s="163" t="str">
        <f>IF(AND('Resource Planner'!$A$23="☑",24&lt;='Resource Planner'!$N$23),'Resource Planner'!$B$23,"")</f>
        <v/>
      </c>
      <c r="D678" s="163" t="str">
        <f>IF(AND('Resource Planner'!$A$23="☑",24&lt;='Resource Planner'!$N$23),'Resource Planner'!$D$23,"")</f>
        <v/>
      </c>
      <c r="E678" s="163" t="str">
        <f>IF(AND('Resource Planner'!$A$23="☑",24&lt;='Resource Planner'!$N$23),'Resource Planner'!$E$23,"")</f>
        <v/>
      </c>
      <c r="F678" s="163" t="str">
        <f>IF(AND('Resource Planner'!$A$23="☑",24&lt;='Resource Planner'!$N$23),'Resource Planner'!$F$23&amp;" "&amp;('Resource Planner'!$G$23+(24-1)*'Resource Planner'!$I$23)&amp;IF(('Resource Planner'!$G$23+(24-1)*'Resource Planner'!$I$23)=MIN('Resource Planner'!$G$23+24*'Resource Planner'!$I$23-1,'Resource Planner'!$H$23),"","–"&amp;MIN('Resource Planner'!$G$23+24*'Resource Planner'!$I$23-1,'Resource Planner'!$H$23)),"")</f>
        <v/>
      </c>
      <c r="G678" s="163" t="s">
        <v>109</v>
      </c>
      <c r="H678" s="163" t="str">
        <f>IF(AND('Resource Planner'!$A$23="☑",24&lt;='Resource Planner'!$N$23),'Resource Planner'!$M$23,"")</f>
        <v/>
      </c>
    </row>
    <row r="679" ht="15.75" customHeight="1">
      <c r="A6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79" s="163" t="str">
        <f>IF(AND('Resource Planner'!$A$23="☑",25&lt;='Resource Planner'!$N$23),'Resource Planner'!$C$23,"")</f>
        <v/>
      </c>
      <c r="C679" s="163" t="str">
        <f>IF(AND('Resource Planner'!$A$23="☑",25&lt;='Resource Planner'!$N$23),'Resource Planner'!$B$23,"")</f>
        <v/>
      </c>
      <c r="D679" s="163" t="str">
        <f>IF(AND('Resource Planner'!$A$23="☑",25&lt;='Resource Planner'!$N$23),'Resource Planner'!$D$23,"")</f>
        <v/>
      </c>
      <c r="E679" s="163" t="str">
        <f>IF(AND('Resource Planner'!$A$23="☑",25&lt;='Resource Planner'!$N$23),'Resource Planner'!$E$23,"")</f>
        <v/>
      </c>
      <c r="F679" s="163" t="str">
        <f>IF(AND('Resource Planner'!$A$23="☑",25&lt;='Resource Planner'!$N$23),'Resource Planner'!$F$23&amp;" "&amp;('Resource Planner'!$G$23+(25-1)*'Resource Planner'!$I$23)&amp;IF(('Resource Planner'!$G$23+(25-1)*'Resource Planner'!$I$23)=MIN('Resource Planner'!$G$23+25*'Resource Planner'!$I$23-1,'Resource Planner'!$H$23),"","–"&amp;MIN('Resource Planner'!$G$23+25*'Resource Planner'!$I$23-1,'Resource Planner'!$H$23)),"")</f>
        <v/>
      </c>
      <c r="G679" s="163" t="s">
        <v>109</v>
      </c>
      <c r="H679" s="163" t="str">
        <f>IF(AND('Resource Planner'!$A$23="☑",25&lt;='Resource Planner'!$N$23),'Resource Planner'!$M$23,"")</f>
        <v/>
      </c>
    </row>
    <row r="680" ht="15.75" customHeight="1">
      <c r="A6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0" s="163" t="str">
        <f>IF(AND('Resource Planner'!$A$23="☑",26&lt;='Resource Planner'!$N$23),'Resource Planner'!$C$23,"")</f>
        <v/>
      </c>
      <c r="C680" s="163" t="str">
        <f>IF(AND('Resource Planner'!$A$23="☑",26&lt;='Resource Planner'!$N$23),'Resource Planner'!$B$23,"")</f>
        <v/>
      </c>
      <c r="D680" s="163" t="str">
        <f>IF(AND('Resource Planner'!$A$23="☑",26&lt;='Resource Planner'!$N$23),'Resource Planner'!$D$23,"")</f>
        <v/>
      </c>
      <c r="E680" s="163" t="str">
        <f>IF(AND('Resource Planner'!$A$23="☑",26&lt;='Resource Planner'!$N$23),'Resource Planner'!$E$23,"")</f>
        <v/>
      </c>
      <c r="F680" s="163" t="str">
        <f>IF(AND('Resource Planner'!$A$23="☑",26&lt;='Resource Planner'!$N$23),'Resource Planner'!$F$23&amp;" "&amp;('Resource Planner'!$G$23+(26-1)*'Resource Planner'!$I$23)&amp;IF(('Resource Planner'!$G$23+(26-1)*'Resource Planner'!$I$23)=MIN('Resource Planner'!$G$23+26*'Resource Planner'!$I$23-1,'Resource Planner'!$H$23),"","–"&amp;MIN('Resource Planner'!$G$23+26*'Resource Planner'!$I$23-1,'Resource Planner'!$H$23)),"")</f>
        <v/>
      </c>
      <c r="G680" s="163" t="s">
        <v>109</v>
      </c>
      <c r="H680" s="163" t="str">
        <f>IF(AND('Resource Planner'!$A$23="☑",26&lt;='Resource Planner'!$N$23),'Resource Planner'!$M$23,"")</f>
        <v/>
      </c>
    </row>
    <row r="681" ht="15.75" customHeight="1">
      <c r="A6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1" s="163" t="str">
        <f>IF(AND('Resource Planner'!$A$23="☑",27&lt;='Resource Planner'!$N$23),'Resource Planner'!$C$23,"")</f>
        <v/>
      </c>
      <c r="C681" s="163" t="str">
        <f>IF(AND('Resource Planner'!$A$23="☑",27&lt;='Resource Planner'!$N$23),'Resource Planner'!$B$23,"")</f>
        <v/>
      </c>
      <c r="D681" s="163" t="str">
        <f>IF(AND('Resource Planner'!$A$23="☑",27&lt;='Resource Planner'!$N$23),'Resource Planner'!$D$23,"")</f>
        <v/>
      </c>
      <c r="E681" s="163" t="str">
        <f>IF(AND('Resource Planner'!$A$23="☑",27&lt;='Resource Planner'!$N$23),'Resource Planner'!$E$23,"")</f>
        <v/>
      </c>
      <c r="F681" s="163" t="str">
        <f>IF(AND('Resource Planner'!$A$23="☑",27&lt;='Resource Planner'!$N$23),'Resource Planner'!$F$23&amp;" "&amp;('Resource Planner'!$G$23+(27-1)*'Resource Planner'!$I$23)&amp;IF(('Resource Planner'!$G$23+(27-1)*'Resource Planner'!$I$23)=MIN('Resource Planner'!$G$23+27*'Resource Planner'!$I$23-1,'Resource Planner'!$H$23),"","–"&amp;MIN('Resource Planner'!$G$23+27*'Resource Planner'!$I$23-1,'Resource Planner'!$H$23)),"")</f>
        <v/>
      </c>
      <c r="G681" s="163" t="s">
        <v>109</v>
      </c>
      <c r="H681" s="163" t="str">
        <f>IF(AND('Resource Planner'!$A$23="☑",27&lt;='Resource Planner'!$N$23),'Resource Planner'!$M$23,"")</f>
        <v/>
      </c>
    </row>
    <row r="682" ht="15.75" customHeight="1">
      <c r="A6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2" s="163" t="str">
        <f>IF(AND('Resource Planner'!$A$23="☑",28&lt;='Resource Planner'!$N$23),'Resource Planner'!$C$23,"")</f>
        <v/>
      </c>
      <c r="C682" s="163" t="str">
        <f>IF(AND('Resource Planner'!$A$23="☑",28&lt;='Resource Planner'!$N$23),'Resource Planner'!$B$23,"")</f>
        <v/>
      </c>
      <c r="D682" s="163" t="str">
        <f>IF(AND('Resource Planner'!$A$23="☑",28&lt;='Resource Planner'!$N$23),'Resource Planner'!$D$23,"")</f>
        <v/>
      </c>
      <c r="E682" s="163" t="str">
        <f>IF(AND('Resource Planner'!$A$23="☑",28&lt;='Resource Planner'!$N$23),'Resource Planner'!$E$23,"")</f>
        <v/>
      </c>
      <c r="F682" s="163" t="str">
        <f>IF(AND('Resource Planner'!$A$23="☑",28&lt;='Resource Planner'!$N$23),'Resource Planner'!$F$23&amp;" "&amp;('Resource Planner'!$G$23+(28-1)*'Resource Planner'!$I$23)&amp;IF(('Resource Planner'!$G$23+(28-1)*'Resource Planner'!$I$23)=MIN('Resource Planner'!$G$23+28*'Resource Planner'!$I$23-1,'Resource Planner'!$H$23),"","–"&amp;MIN('Resource Planner'!$G$23+28*'Resource Planner'!$I$23-1,'Resource Planner'!$H$23)),"")</f>
        <v/>
      </c>
      <c r="G682" s="163" t="s">
        <v>109</v>
      </c>
      <c r="H682" s="163" t="str">
        <f>IF(AND('Resource Planner'!$A$23="☑",28&lt;='Resource Planner'!$N$23),'Resource Planner'!$M$23,"")</f>
        <v/>
      </c>
    </row>
    <row r="683" ht="15.75" customHeight="1">
      <c r="A6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3" s="163" t="str">
        <f>IF(AND('Resource Planner'!$A$23="☑",29&lt;='Resource Planner'!$N$23),'Resource Planner'!$C$23,"")</f>
        <v/>
      </c>
      <c r="C683" s="163" t="str">
        <f>IF(AND('Resource Planner'!$A$23="☑",29&lt;='Resource Planner'!$N$23),'Resource Planner'!$B$23,"")</f>
        <v/>
      </c>
      <c r="D683" s="163" t="str">
        <f>IF(AND('Resource Planner'!$A$23="☑",29&lt;='Resource Planner'!$N$23),'Resource Planner'!$D$23,"")</f>
        <v/>
      </c>
      <c r="E683" s="163" t="str">
        <f>IF(AND('Resource Planner'!$A$23="☑",29&lt;='Resource Planner'!$N$23),'Resource Planner'!$E$23,"")</f>
        <v/>
      </c>
      <c r="F683" s="163" t="str">
        <f>IF(AND('Resource Planner'!$A$23="☑",29&lt;='Resource Planner'!$N$23),'Resource Planner'!$F$23&amp;" "&amp;('Resource Planner'!$G$23+(29-1)*'Resource Planner'!$I$23)&amp;IF(('Resource Planner'!$G$23+(29-1)*'Resource Planner'!$I$23)=MIN('Resource Planner'!$G$23+29*'Resource Planner'!$I$23-1,'Resource Planner'!$H$23),"","–"&amp;MIN('Resource Planner'!$G$23+29*'Resource Planner'!$I$23-1,'Resource Planner'!$H$23)),"")</f>
        <v/>
      </c>
      <c r="G683" s="163" t="s">
        <v>109</v>
      </c>
      <c r="H683" s="163" t="str">
        <f>IF(AND('Resource Planner'!$A$23="☑",29&lt;='Resource Planner'!$N$23),'Resource Planner'!$M$23,"")</f>
        <v/>
      </c>
    </row>
    <row r="684" ht="15.75" customHeight="1">
      <c r="A6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4" s="163" t="str">
        <f>IF(AND('Resource Planner'!$A$23="☑",30&lt;='Resource Planner'!$N$23),'Resource Planner'!$C$23,"")</f>
        <v/>
      </c>
      <c r="C684" s="163" t="str">
        <f>IF(AND('Resource Planner'!$A$23="☑",30&lt;='Resource Planner'!$N$23),'Resource Planner'!$B$23,"")</f>
        <v/>
      </c>
      <c r="D684" s="163" t="str">
        <f>IF(AND('Resource Planner'!$A$23="☑",30&lt;='Resource Planner'!$N$23),'Resource Planner'!$D$23,"")</f>
        <v/>
      </c>
      <c r="E684" s="163" t="str">
        <f>IF(AND('Resource Planner'!$A$23="☑",30&lt;='Resource Planner'!$N$23),'Resource Planner'!$E$23,"")</f>
        <v/>
      </c>
      <c r="F684" s="163" t="str">
        <f>IF(AND('Resource Planner'!$A$23="☑",30&lt;='Resource Planner'!$N$23),'Resource Planner'!$F$23&amp;" "&amp;('Resource Planner'!$G$23+(30-1)*'Resource Planner'!$I$23)&amp;IF(('Resource Planner'!$G$23+(30-1)*'Resource Planner'!$I$23)=MIN('Resource Planner'!$G$23+30*'Resource Planner'!$I$23-1,'Resource Planner'!$H$23),"","–"&amp;MIN('Resource Planner'!$G$23+30*'Resource Planner'!$I$23-1,'Resource Planner'!$H$23)),"")</f>
        <v/>
      </c>
      <c r="G684" s="163" t="s">
        <v>109</v>
      </c>
      <c r="H684" s="163" t="str">
        <f>IF(AND('Resource Planner'!$A$23="☑",30&lt;='Resource Planner'!$N$23),'Resource Planner'!$M$23,"")</f>
        <v/>
      </c>
    </row>
    <row r="685" ht="15.75" customHeight="1">
      <c r="A6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5" s="163" t="str">
        <f>IF(AND('Resource Planner'!$A$23="☑",31&lt;='Resource Planner'!$N$23),'Resource Planner'!$C$23,"")</f>
        <v/>
      </c>
      <c r="C685" s="163" t="str">
        <f>IF(AND('Resource Planner'!$A$23="☑",31&lt;='Resource Planner'!$N$23),'Resource Planner'!$B$23,"")</f>
        <v/>
      </c>
      <c r="D685" s="163" t="str">
        <f>IF(AND('Resource Planner'!$A$23="☑",31&lt;='Resource Planner'!$N$23),'Resource Planner'!$D$23,"")</f>
        <v/>
      </c>
      <c r="E685" s="163" t="str">
        <f>IF(AND('Resource Planner'!$A$23="☑",31&lt;='Resource Planner'!$N$23),'Resource Planner'!$E$23,"")</f>
        <v/>
      </c>
      <c r="F685" s="163" t="str">
        <f>IF(AND('Resource Planner'!$A$23="☑",31&lt;='Resource Planner'!$N$23),'Resource Planner'!$F$23&amp;" "&amp;('Resource Planner'!$G$23+(31-1)*'Resource Planner'!$I$23)&amp;IF(('Resource Planner'!$G$23+(31-1)*'Resource Planner'!$I$23)=MIN('Resource Planner'!$G$23+31*'Resource Planner'!$I$23-1,'Resource Planner'!$H$23),"","–"&amp;MIN('Resource Planner'!$G$23+31*'Resource Planner'!$I$23-1,'Resource Planner'!$H$23)),"")</f>
        <v/>
      </c>
      <c r="G685" s="163" t="s">
        <v>109</v>
      </c>
      <c r="H685" s="163" t="str">
        <f>IF(AND('Resource Planner'!$A$23="☑",31&lt;='Resource Planner'!$N$23),'Resource Planner'!$M$23,"")</f>
        <v/>
      </c>
    </row>
    <row r="686" ht="15.75" customHeight="1">
      <c r="A6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6" s="163" t="str">
        <f>IF(AND('Resource Planner'!$A$23="☑",32&lt;='Resource Planner'!$N$23),'Resource Planner'!$C$23,"")</f>
        <v/>
      </c>
      <c r="C686" s="163" t="str">
        <f>IF(AND('Resource Planner'!$A$23="☑",32&lt;='Resource Planner'!$N$23),'Resource Planner'!$B$23,"")</f>
        <v/>
      </c>
      <c r="D686" s="163" t="str">
        <f>IF(AND('Resource Planner'!$A$23="☑",32&lt;='Resource Planner'!$N$23),'Resource Planner'!$D$23,"")</f>
        <v/>
      </c>
      <c r="E686" s="163" t="str">
        <f>IF(AND('Resource Planner'!$A$23="☑",32&lt;='Resource Planner'!$N$23),'Resource Planner'!$E$23,"")</f>
        <v/>
      </c>
      <c r="F686" s="163" t="str">
        <f>IF(AND('Resource Planner'!$A$23="☑",32&lt;='Resource Planner'!$N$23),'Resource Planner'!$F$23&amp;" "&amp;('Resource Planner'!$G$23+(32-1)*'Resource Planner'!$I$23)&amp;IF(('Resource Planner'!$G$23+(32-1)*'Resource Planner'!$I$23)=MIN('Resource Planner'!$G$23+32*'Resource Planner'!$I$23-1,'Resource Planner'!$H$23),"","–"&amp;MIN('Resource Planner'!$G$23+32*'Resource Planner'!$I$23-1,'Resource Planner'!$H$23)),"")</f>
        <v/>
      </c>
      <c r="G686" s="163" t="s">
        <v>109</v>
      </c>
      <c r="H686" s="163" t="str">
        <f>IF(AND('Resource Planner'!$A$23="☑",32&lt;='Resource Planner'!$N$23),'Resource Planner'!$M$23,"")</f>
        <v/>
      </c>
    </row>
    <row r="687" ht="15.75" customHeight="1">
      <c r="A6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7" s="163" t="str">
        <f>IF(AND('Resource Planner'!$A$23="☑",33&lt;='Resource Planner'!$N$23),'Resource Planner'!$C$23,"")</f>
        <v/>
      </c>
      <c r="C687" s="163" t="str">
        <f>IF(AND('Resource Planner'!$A$23="☑",33&lt;='Resource Planner'!$N$23),'Resource Planner'!$B$23,"")</f>
        <v/>
      </c>
      <c r="D687" s="163" t="str">
        <f>IF(AND('Resource Planner'!$A$23="☑",33&lt;='Resource Planner'!$N$23),'Resource Planner'!$D$23,"")</f>
        <v/>
      </c>
      <c r="E687" s="163" t="str">
        <f>IF(AND('Resource Planner'!$A$23="☑",33&lt;='Resource Planner'!$N$23),'Resource Planner'!$E$23,"")</f>
        <v/>
      </c>
      <c r="F687" s="163" t="str">
        <f>IF(AND('Resource Planner'!$A$23="☑",33&lt;='Resource Planner'!$N$23),'Resource Planner'!$F$23&amp;" "&amp;('Resource Planner'!$G$23+(33-1)*'Resource Planner'!$I$23)&amp;IF(('Resource Planner'!$G$23+(33-1)*'Resource Planner'!$I$23)=MIN('Resource Planner'!$G$23+33*'Resource Planner'!$I$23-1,'Resource Planner'!$H$23),"","–"&amp;MIN('Resource Planner'!$G$23+33*'Resource Planner'!$I$23-1,'Resource Planner'!$H$23)),"")</f>
        <v/>
      </c>
      <c r="G687" s="163" t="s">
        <v>109</v>
      </c>
      <c r="H687" s="163" t="str">
        <f>IF(AND('Resource Planner'!$A$23="☑",33&lt;='Resource Planner'!$N$23),'Resource Planner'!$M$23,"")</f>
        <v/>
      </c>
    </row>
    <row r="688" ht="15.75" customHeight="1">
      <c r="A6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8" s="163" t="str">
        <f>IF(AND('Resource Planner'!$A$23="☑",34&lt;='Resource Planner'!$N$23),'Resource Planner'!$C$23,"")</f>
        <v/>
      </c>
      <c r="C688" s="163" t="str">
        <f>IF(AND('Resource Planner'!$A$23="☑",34&lt;='Resource Planner'!$N$23),'Resource Planner'!$B$23,"")</f>
        <v/>
      </c>
      <c r="D688" s="163" t="str">
        <f>IF(AND('Resource Planner'!$A$23="☑",34&lt;='Resource Planner'!$N$23),'Resource Planner'!$D$23,"")</f>
        <v/>
      </c>
      <c r="E688" s="163" t="str">
        <f>IF(AND('Resource Planner'!$A$23="☑",34&lt;='Resource Planner'!$N$23),'Resource Planner'!$E$23,"")</f>
        <v/>
      </c>
      <c r="F688" s="163" t="str">
        <f>IF(AND('Resource Planner'!$A$23="☑",34&lt;='Resource Planner'!$N$23),'Resource Planner'!$F$23&amp;" "&amp;('Resource Planner'!$G$23+(34-1)*'Resource Planner'!$I$23)&amp;IF(('Resource Planner'!$G$23+(34-1)*'Resource Planner'!$I$23)=MIN('Resource Planner'!$G$23+34*'Resource Planner'!$I$23-1,'Resource Planner'!$H$23),"","–"&amp;MIN('Resource Planner'!$G$23+34*'Resource Planner'!$I$23-1,'Resource Planner'!$H$23)),"")</f>
        <v/>
      </c>
      <c r="G688" s="163" t="s">
        <v>109</v>
      </c>
      <c r="H688" s="163" t="str">
        <f>IF(AND('Resource Planner'!$A$23="☑",34&lt;='Resource Planner'!$N$23),'Resource Planner'!$M$23,"")</f>
        <v/>
      </c>
    </row>
    <row r="689" ht="15.75" customHeight="1">
      <c r="A6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89" s="163" t="str">
        <f>IF(AND('Resource Planner'!$A$23="☑",35&lt;='Resource Planner'!$N$23),'Resource Planner'!$C$23,"")</f>
        <v/>
      </c>
      <c r="C689" s="163" t="str">
        <f>IF(AND('Resource Planner'!$A$23="☑",35&lt;='Resource Planner'!$N$23),'Resource Planner'!$B$23,"")</f>
        <v/>
      </c>
      <c r="D689" s="163" t="str">
        <f>IF(AND('Resource Planner'!$A$23="☑",35&lt;='Resource Planner'!$N$23),'Resource Planner'!$D$23,"")</f>
        <v/>
      </c>
      <c r="E689" s="163" t="str">
        <f>IF(AND('Resource Planner'!$A$23="☑",35&lt;='Resource Planner'!$N$23),'Resource Planner'!$E$23,"")</f>
        <v/>
      </c>
      <c r="F689" s="163" t="str">
        <f>IF(AND('Resource Planner'!$A$23="☑",35&lt;='Resource Planner'!$N$23),'Resource Planner'!$F$23&amp;" "&amp;('Resource Planner'!$G$23+(35-1)*'Resource Planner'!$I$23)&amp;IF(('Resource Planner'!$G$23+(35-1)*'Resource Planner'!$I$23)=MIN('Resource Planner'!$G$23+35*'Resource Planner'!$I$23-1,'Resource Planner'!$H$23),"","–"&amp;MIN('Resource Planner'!$G$23+35*'Resource Planner'!$I$23-1,'Resource Planner'!$H$23)),"")</f>
        <v/>
      </c>
      <c r="G689" s="163" t="s">
        <v>109</v>
      </c>
      <c r="H689" s="163" t="str">
        <f>IF(AND('Resource Planner'!$A$23="☑",35&lt;='Resource Planner'!$N$23),'Resource Planner'!$M$23,"")</f>
        <v/>
      </c>
    </row>
    <row r="690" ht="15.75" customHeight="1">
      <c r="A6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0" s="163" t="str">
        <f>IF(AND('Resource Planner'!$A$23="☑",36&lt;='Resource Planner'!$N$23),'Resource Planner'!$C$23,"")</f>
        <v/>
      </c>
      <c r="C690" s="163" t="str">
        <f>IF(AND('Resource Planner'!$A$23="☑",36&lt;='Resource Planner'!$N$23),'Resource Planner'!$B$23,"")</f>
        <v/>
      </c>
      <c r="D690" s="163" t="str">
        <f>IF(AND('Resource Planner'!$A$23="☑",36&lt;='Resource Planner'!$N$23),'Resource Planner'!$D$23,"")</f>
        <v/>
      </c>
      <c r="E690" s="163" t="str">
        <f>IF(AND('Resource Planner'!$A$23="☑",36&lt;='Resource Planner'!$N$23),'Resource Planner'!$E$23,"")</f>
        <v/>
      </c>
      <c r="F690" s="163" t="str">
        <f>IF(AND('Resource Planner'!$A$23="☑",36&lt;='Resource Planner'!$N$23),'Resource Planner'!$F$23&amp;" "&amp;('Resource Planner'!$G$23+(36-1)*'Resource Planner'!$I$23)&amp;IF(('Resource Planner'!$G$23+(36-1)*'Resource Planner'!$I$23)=MIN('Resource Planner'!$G$23+36*'Resource Planner'!$I$23-1,'Resource Planner'!$H$23),"","–"&amp;MIN('Resource Planner'!$G$23+36*'Resource Planner'!$I$23-1,'Resource Planner'!$H$23)),"")</f>
        <v/>
      </c>
      <c r="G690" s="163" t="s">
        <v>109</v>
      </c>
      <c r="H690" s="163" t="str">
        <f>IF(AND('Resource Planner'!$A$23="☑",36&lt;='Resource Planner'!$N$23),'Resource Planner'!$M$23,"")</f>
        <v/>
      </c>
    </row>
    <row r="691" ht="15.75" customHeight="1">
      <c r="A6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1" s="163" t="str">
        <f>IF(AND('Resource Planner'!$A$23="☑",37&lt;='Resource Planner'!$N$23),'Resource Planner'!$C$23,"")</f>
        <v/>
      </c>
      <c r="C691" s="163" t="str">
        <f>IF(AND('Resource Planner'!$A$23="☑",37&lt;='Resource Planner'!$N$23),'Resource Planner'!$B$23,"")</f>
        <v/>
      </c>
      <c r="D691" s="163" t="str">
        <f>IF(AND('Resource Planner'!$A$23="☑",37&lt;='Resource Planner'!$N$23),'Resource Planner'!$D$23,"")</f>
        <v/>
      </c>
      <c r="E691" s="163" t="str">
        <f>IF(AND('Resource Planner'!$A$23="☑",37&lt;='Resource Planner'!$N$23),'Resource Planner'!$E$23,"")</f>
        <v/>
      </c>
      <c r="F691" s="163" t="str">
        <f>IF(AND('Resource Planner'!$A$23="☑",37&lt;='Resource Planner'!$N$23),'Resource Planner'!$F$23&amp;" "&amp;('Resource Planner'!$G$23+(37-1)*'Resource Planner'!$I$23)&amp;IF(('Resource Planner'!$G$23+(37-1)*'Resource Planner'!$I$23)=MIN('Resource Planner'!$G$23+37*'Resource Planner'!$I$23-1,'Resource Planner'!$H$23),"","–"&amp;MIN('Resource Planner'!$G$23+37*'Resource Planner'!$I$23-1,'Resource Planner'!$H$23)),"")</f>
        <v/>
      </c>
      <c r="G691" s="163" t="s">
        <v>109</v>
      </c>
      <c r="H691" s="163" t="str">
        <f>IF(AND('Resource Planner'!$A$23="☑",37&lt;='Resource Planner'!$N$23),'Resource Planner'!$M$23,"")</f>
        <v/>
      </c>
    </row>
    <row r="692" ht="15.75" customHeight="1">
      <c r="A6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2" s="163" t="str">
        <f>IF(AND('Resource Planner'!$A$23="☑",38&lt;='Resource Planner'!$N$23),'Resource Planner'!$C$23,"")</f>
        <v/>
      </c>
      <c r="C692" s="163" t="str">
        <f>IF(AND('Resource Planner'!$A$23="☑",38&lt;='Resource Planner'!$N$23),'Resource Planner'!$B$23,"")</f>
        <v/>
      </c>
      <c r="D692" s="163" t="str">
        <f>IF(AND('Resource Planner'!$A$23="☑",38&lt;='Resource Planner'!$N$23),'Resource Planner'!$D$23,"")</f>
        <v/>
      </c>
      <c r="E692" s="163" t="str">
        <f>IF(AND('Resource Planner'!$A$23="☑",38&lt;='Resource Planner'!$N$23),'Resource Planner'!$E$23,"")</f>
        <v/>
      </c>
      <c r="F692" s="163" t="str">
        <f>IF(AND('Resource Planner'!$A$23="☑",38&lt;='Resource Planner'!$N$23),'Resource Planner'!$F$23&amp;" "&amp;('Resource Planner'!$G$23+(38-1)*'Resource Planner'!$I$23)&amp;IF(('Resource Planner'!$G$23+(38-1)*'Resource Planner'!$I$23)=MIN('Resource Planner'!$G$23+38*'Resource Planner'!$I$23-1,'Resource Planner'!$H$23),"","–"&amp;MIN('Resource Planner'!$G$23+38*'Resource Planner'!$I$23-1,'Resource Planner'!$H$23)),"")</f>
        <v/>
      </c>
      <c r="G692" s="163" t="s">
        <v>109</v>
      </c>
      <c r="H692" s="163" t="str">
        <f>IF(AND('Resource Planner'!$A$23="☑",38&lt;='Resource Planner'!$N$23),'Resource Planner'!$M$23,"")</f>
        <v/>
      </c>
    </row>
    <row r="693" ht="15.75" customHeight="1">
      <c r="A6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3" s="163" t="str">
        <f>IF(AND('Resource Planner'!$A$23="☑",39&lt;='Resource Planner'!$N$23),'Resource Planner'!$C$23,"")</f>
        <v/>
      </c>
      <c r="C693" s="163" t="str">
        <f>IF(AND('Resource Planner'!$A$23="☑",39&lt;='Resource Planner'!$N$23),'Resource Planner'!$B$23,"")</f>
        <v/>
      </c>
      <c r="D693" s="163" t="str">
        <f>IF(AND('Resource Planner'!$A$23="☑",39&lt;='Resource Planner'!$N$23),'Resource Planner'!$D$23,"")</f>
        <v/>
      </c>
      <c r="E693" s="163" t="str">
        <f>IF(AND('Resource Planner'!$A$23="☑",39&lt;='Resource Planner'!$N$23),'Resource Planner'!$E$23,"")</f>
        <v/>
      </c>
      <c r="F693" s="163" t="str">
        <f>IF(AND('Resource Planner'!$A$23="☑",39&lt;='Resource Planner'!$N$23),'Resource Planner'!$F$23&amp;" "&amp;('Resource Planner'!$G$23+(39-1)*'Resource Planner'!$I$23)&amp;IF(('Resource Planner'!$G$23+(39-1)*'Resource Planner'!$I$23)=MIN('Resource Planner'!$G$23+39*'Resource Planner'!$I$23-1,'Resource Planner'!$H$23),"","–"&amp;MIN('Resource Planner'!$G$23+39*'Resource Planner'!$I$23-1,'Resource Planner'!$H$23)),"")</f>
        <v/>
      </c>
      <c r="G693" s="163" t="s">
        <v>109</v>
      </c>
      <c r="H693" s="163" t="str">
        <f>IF(AND('Resource Planner'!$A$23="☑",39&lt;='Resource Planner'!$N$23),'Resource Planner'!$M$23,"")</f>
        <v/>
      </c>
    </row>
    <row r="694" ht="15.75" customHeight="1">
      <c r="A6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4" s="163" t="str">
        <f>IF(AND('Resource Planner'!$A$23="☑",40&lt;='Resource Planner'!$N$23),'Resource Planner'!$C$23,"")</f>
        <v/>
      </c>
      <c r="C694" s="163" t="str">
        <f>IF(AND('Resource Planner'!$A$23="☑",40&lt;='Resource Planner'!$N$23),'Resource Planner'!$B$23,"")</f>
        <v/>
      </c>
      <c r="D694" s="163" t="str">
        <f>IF(AND('Resource Planner'!$A$23="☑",40&lt;='Resource Planner'!$N$23),'Resource Planner'!$D$23,"")</f>
        <v/>
      </c>
      <c r="E694" s="163" t="str">
        <f>IF(AND('Resource Planner'!$A$23="☑",40&lt;='Resource Planner'!$N$23),'Resource Planner'!$E$23,"")</f>
        <v/>
      </c>
      <c r="F694" s="163" t="str">
        <f>IF(AND('Resource Planner'!$A$23="☑",40&lt;='Resource Planner'!$N$23),'Resource Planner'!$F$23&amp;" "&amp;('Resource Planner'!$G$23+(40-1)*'Resource Planner'!$I$23)&amp;IF(('Resource Planner'!$G$23+(40-1)*'Resource Planner'!$I$23)=MIN('Resource Planner'!$G$23+40*'Resource Planner'!$I$23-1,'Resource Planner'!$H$23),"","–"&amp;MIN('Resource Planner'!$G$23+40*'Resource Planner'!$I$23-1,'Resource Planner'!$H$23)),"")</f>
        <v/>
      </c>
      <c r="G694" s="163" t="s">
        <v>109</v>
      </c>
      <c r="H694" s="163" t="str">
        <f>IF(AND('Resource Planner'!$A$23="☑",40&lt;='Resource Planner'!$N$23),'Resource Planner'!$M$23,"")</f>
        <v/>
      </c>
    </row>
    <row r="695" ht="15.75" customHeight="1">
      <c r="A6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5" s="163" t="str">
        <f>IF(AND('Resource Planner'!$A$23="☑",41&lt;='Resource Planner'!$N$23),'Resource Planner'!$C$23,"")</f>
        <v/>
      </c>
      <c r="C695" s="163" t="str">
        <f>IF(AND('Resource Planner'!$A$23="☑",41&lt;='Resource Planner'!$N$23),'Resource Planner'!$B$23,"")</f>
        <v/>
      </c>
      <c r="D695" s="163" t="str">
        <f>IF(AND('Resource Planner'!$A$23="☑",41&lt;='Resource Planner'!$N$23),'Resource Planner'!$D$23,"")</f>
        <v/>
      </c>
      <c r="E695" s="163" t="str">
        <f>IF(AND('Resource Planner'!$A$23="☑",41&lt;='Resource Planner'!$N$23),'Resource Planner'!$E$23,"")</f>
        <v/>
      </c>
      <c r="F695" s="163" t="str">
        <f>IF(AND('Resource Planner'!$A$23="☑",41&lt;='Resource Planner'!$N$23),'Resource Planner'!$F$23&amp;" "&amp;('Resource Planner'!$G$23+(41-1)*'Resource Planner'!$I$23)&amp;IF(('Resource Planner'!$G$23+(41-1)*'Resource Planner'!$I$23)=MIN('Resource Planner'!$G$23+41*'Resource Planner'!$I$23-1,'Resource Planner'!$H$23),"","–"&amp;MIN('Resource Planner'!$G$23+41*'Resource Planner'!$I$23-1,'Resource Planner'!$H$23)),"")</f>
        <v/>
      </c>
      <c r="G695" s="163" t="s">
        <v>109</v>
      </c>
      <c r="H695" s="163" t="str">
        <f>IF(AND('Resource Planner'!$A$23="☑",41&lt;='Resource Planner'!$N$23),'Resource Planner'!$M$23,"")</f>
        <v/>
      </c>
    </row>
    <row r="696" ht="15.75" customHeight="1">
      <c r="A6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6" s="163" t="str">
        <f>IF(AND('Resource Planner'!$A$23="☑",42&lt;='Resource Planner'!$N$23),'Resource Planner'!$C$23,"")</f>
        <v/>
      </c>
      <c r="C696" s="163" t="str">
        <f>IF(AND('Resource Planner'!$A$23="☑",42&lt;='Resource Planner'!$N$23),'Resource Planner'!$B$23,"")</f>
        <v/>
      </c>
      <c r="D696" s="163" t="str">
        <f>IF(AND('Resource Planner'!$A$23="☑",42&lt;='Resource Planner'!$N$23),'Resource Planner'!$D$23,"")</f>
        <v/>
      </c>
      <c r="E696" s="163" t="str">
        <f>IF(AND('Resource Planner'!$A$23="☑",42&lt;='Resource Planner'!$N$23),'Resource Planner'!$E$23,"")</f>
        <v/>
      </c>
      <c r="F696" s="163" t="str">
        <f>IF(AND('Resource Planner'!$A$23="☑",42&lt;='Resource Planner'!$N$23),'Resource Planner'!$F$23&amp;" "&amp;('Resource Planner'!$G$23+(42-1)*'Resource Planner'!$I$23)&amp;IF(('Resource Planner'!$G$23+(42-1)*'Resource Planner'!$I$23)=MIN('Resource Planner'!$G$23+42*'Resource Planner'!$I$23-1,'Resource Planner'!$H$23),"","–"&amp;MIN('Resource Planner'!$G$23+42*'Resource Planner'!$I$23-1,'Resource Planner'!$H$23)),"")</f>
        <v/>
      </c>
      <c r="G696" s="163" t="s">
        <v>109</v>
      </c>
      <c r="H696" s="163" t="str">
        <f>IF(AND('Resource Planner'!$A$23="☑",42&lt;='Resource Planner'!$N$23),'Resource Planner'!$M$23,"")</f>
        <v/>
      </c>
    </row>
    <row r="697" ht="15.75" customHeight="1">
      <c r="A6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7" s="163" t="str">
        <f>IF(AND('Resource Planner'!$A$23="☑",43&lt;='Resource Planner'!$N$23),'Resource Planner'!$C$23,"")</f>
        <v/>
      </c>
      <c r="C697" s="163" t="str">
        <f>IF(AND('Resource Planner'!$A$23="☑",43&lt;='Resource Planner'!$N$23),'Resource Planner'!$B$23,"")</f>
        <v/>
      </c>
      <c r="D697" s="163" t="str">
        <f>IF(AND('Resource Planner'!$A$23="☑",43&lt;='Resource Planner'!$N$23),'Resource Planner'!$D$23,"")</f>
        <v/>
      </c>
      <c r="E697" s="163" t="str">
        <f>IF(AND('Resource Planner'!$A$23="☑",43&lt;='Resource Planner'!$N$23),'Resource Planner'!$E$23,"")</f>
        <v/>
      </c>
      <c r="F697" s="163" t="str">
        <f>IF(AND('Resource Planner'!$A$23="☑",43&lt;='Resource Planner'!$N$23),'Resource Planner'!$F$23&amp;" "&amp;('Resource Planner'!$G$23+(43-1)*'Resource Planner'!$I$23)&amp;IF(('Resource Planner'!$G$23+(43-1)*'Resource Planner'!$I$23)=MIN('Resource Planner'!$G$23+43*'Resource Planner'!$I$23-1,'Resource Planner'!$H$23),"","–"&amp;MIN('Resource Planner'!$G$23+43*'Resource Planner'!$I$23-1,'Resource Planner'!$H$23)),"")</f>
        <v/>
      </c>
      <c r="G697" s="163" t="s">
        <v>109</v>
      </c>
      <c r="H697" s="163" t="str">
        <f>IF(AND('Resource Planner'!$A$23="☑",43&lt;='Resource Planner'!$N$23),'Resource Planner'!$M$23,"")</f>
        <v/>
      </c>
    </row>
    <row r="698" ht="15.75" customHeight="1">
      <c r="A6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8" s="163" t="str">
        <f>IF(AND('Resource Planner'!$A$23="☑",44&lt;='Resource Planner'!$N$23),'Resource Planner'!$C$23,"")</f>
        <v/>
      </c>
      <c r="C698" s="163" t="str">
        <f>IF(AND('Resource Planner'!$A$23="☑",44&lt;='Resource Planner'!$N$23),'Resource Planner'!$B$23,"")</f>
        <v/>
      </c>
      <c r="D698" s="163" t="str">
        <f>IF(AND('Resource Planner'!$A$23="☑",44&lt;='Resource Planner'!$N$23),'Resource Planner'!$D$23,"")</f>
        <v/>
      </c>
      <c r="E698" s="163" t="str">
        <f>IF(AND('Resource Planner'!$A$23="☑",44&lt;='Resource Planner'!$N$23),'Resource Planner'!$E$23,"")</f>
        <v/>
      </c>
      <c r="F698" s="163" t="str">
        <f>IF(AND('Resource Planner'!$A$23="☑",44&lt;='Resource Planner'!$N$23),'Resource Planner'!$F$23&amp;" "&amp;('Resource Planner'!$G$23+(44-1)*'Resource Planner'!$I$23)&amp;IF(('Resource Planner'!$G$23+(44-1)*'Resource Planner'!$I$23)=MIN('Resource Planner'!$G$23+44*'Resource Planner'!$I$23-1,'Resource Planner'!$H$23),"","–"&amp;MIN('Resource Planner'!$G$23+44*'Resource Planner'!$I$23-1,'Resource Planner'!$H$23)),"")</f>
        <v/>
      </c>
      <c r="G698" s="163" t="s">
        <v>109</v>
      </c>
      <c r="H698" s="163" t="str">
        <f>IF(AND('Resource Planner'!$A$23="☑",44&lt;='Resource Planner'!$N$23),'Resource Planner'!$M$23,"")</f>
        <v/>
      </c>
    </row>
    <row r="699" ht="15.75" customHeight="1">
      <c r="A6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699" s="163" t="str">
        <f>IF(AND('Resource Planner'!$A$23="☑",45&lt;='Resource Planner'!$N$23),'Resource Planner'!$C$23,"")</f>
        <v/>
      </c>
      <c r="C699" s="163" t="str">
        <f>IF(AND('Resource Planner'!$A$23="☑",45&lt;='Resource Planner'!$N$23),'Resource Planner'!$B$23,"")</f>
        <v/>
      </c>
      <c r="D699" s="163" t="str">
        <f>IF(AND('Resource Planner'!$A$23="☑",45&lt;='Resource Planner'!$N$23),'Resource Planner'!$D$23,"")</f>
        <v/>
      </c>
      <c r="E699" s="163" t="str">
        <f>IF(AND('Resource Planner'!$A$23="☑",45&lt;='Resource Planner'!$N$23),'Resource Planner'!$E$23,"")</f>
        <v/>
      </c>
      <c r="F699" s="163" t="str">
        <f>IF(AND('Resource Planner'!$A$23="☑",45&lt;='Resource Planner'!$N$23),'Resource Planner'!$F$23&amp;" "&amp;('Resource Planner'!$G$23+(45-1)*'Resource Planner'!$I$23)&amp;IF(('Resource Planner'!$G$23+(45-1)*'Resource Planner'!$I$23)=MIN('Resource Planner'!$G$23+45*'Resource Planner'!$I$23-1,'Resource Planner'!$H$23),"","–"&amp;MIN('Resource Planner'!$G$23+45*'Resource Planner'!$I$23-1,'Resource Planner'!$H$23)),"")</f>
        <v/>
      </c>
      <c r="G699" s="163" t="s">
        <v>109</v>
      </c>
      <c r="H699" s="163" t="str">
        <f>IF(AND('Resource Planner'!$A$23="☑",45&lt;='Resource Planner'!$N$23),'Resource Planner'!$M$23,"")</f>
        <v/>
      </c>
    </row>
    <row r="700" ht="15.75" customHeight="1">
      <c r="A7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0" s="163" t="str">
        <f>IF(AND('Resource Planner'!$A$23="☑",46&lt;='Resource Planner'!$N$23),'Resource Planner'!$C$23,"")</f>
        <v/>
      </c>
      <c r="C700" s="163" t="str">
        <f>IF(AND('Resource Planner'!$A$23="☑",46&lt;='Resource Planner'!$N$23),'Resource Planner'!$B$23,"")</f>
        <v/>
      </c>
      <c r="D700" s="163" t="str">
        <f>IF(AND('Resource Planner'!$A$23="☑",46&lt;='Resource Planner'!$N$23),'Resource Planner'!$D$23,"")</f>
        <v/>
      </c>
      <c r="E700" s="163" t="str">
        <f>IF(AND('Resource Planner'!$A$23="☑",46&lt;='Resource Planner'!$N$23),'Resource Planner'!$E$23,"")</f>
        <v/>
      </c>
      <c r="F700" s="163" t="str">
        <f>IF(AND('Resource Planner'!$A$23="☑",46&lt;='Resource Planner'!$N$23),'Resource Planner'!$F$23&amp;" "&amp;('Resource Planner'!$G$23+(46-1)*'Resource Planner'!$I$23)&amp;IF(('Resource Planner'!$G$23+(46-1)*'Resource Planner'!$I$23)=MIN('Resource Planner'!$G$23+46*'Resource Planner'!$I$23-1,'Resource Planner'!$H$23),"","–"&amp;MIN('Resource Planner'!$G$23+46*'Resource Planner'!$I$23-1,'Resource Planner'!$H$23)),"")</f>
        <v/>
      </c>
      <c r="G700" s="163" t="s">
        <v>109</v>
      </c>
      <c r="H700" s="163" t="str">
        <f>IF(AND('Resource Planner'!$A$23="☑",46&lt;='Resource Planner'!$N$23),'Resource Planner'!$M$23,"")</f>
        <v/>
      </c>
    </row>
    <row r="701" ht="15.75" customHeight="1">
      <c r="A7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1" s="163" t="str">
        <f>IF(AND('Resource Planner'!$A$23="☑",47&lt;='Resource Planner'!$N$23),'Resource Planner'!$C$23,"")</f>
        <v/>
      </c>
      <c r="C701" s="163" t="str">
        <f>IF(AND('Resource Planner'!$A$23="☑",47&lt;='Resource Planner'!$N$23),'Resource Planner'!$B$23,"")</f>
        <v/>
      </c>
      <c r="D701" s="163" t="str">
        <f>IF(AND('Resource Planner'!$A$23="☑",47&lt;='Resource Planner'!$N$23),'Resource Planner'!$D$23,"")</f>
        <v/>
      </c>
      <c r="E701" s="163" t="str">
        <f>IF(AND('Resource Planner'!$A$23="☑",47&lt;='Resource Planner'!$N$23),'Resource Planner'!$E$23,"")</f>
        <v/>
      </c>
      <c r="F701" s="163" t="str">
        <f>IF(AND('Resource Planner'!$A$23="☑",47&lt;='Resource Planner'!$N$23),'Resource Planner'!$F$23&amp;" "&amp;('Resource Planner'!$G$23+(47-1)*'Resource Planner'!$I$23)&amp;IF(('Resource Planner'!$G$23+(47-1)*'Resource Planner'!$I$23)=MIN('Resource Planner'!$G$23+47*'Resource Planner'!$I$23-1,'Resource Planner'!$H$23),"","–"&amp;MIN('Resource Planner'!$G$23+47*'Resource Planner'!$I$23-1,'Resource Planner'!$H$23)),"")</f>
        <v/>
      </c>
      <c r="G701" s="163" t="s">
        <v>109</v>
      </c>
      <c r="H701" s="163" t="str">
        <f>IF(AND('Resource Planner'!$A$23="☑",47&lt;='Resource Planner'!$N$23),'Resource Planner'!$M$23,"")</f>
        <v/>
      </c>
    </row>
    <row r="702" ht="15.75" customHeight="1">
      <c r="A7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2" s="163" t="str">
        <f>IF(AND('Resource Planner'!$A$23="☑",48&lt;='Resource Planner'!$N$23),'Resource Planner'!$C$23,"")</f>
        <v/>
      </c>
      <c r="C702" s="163" t="str">
        <f>IF(AND('Resource Planner'!$A$23="☑",48&lt;='Resource Planner'!$N$23),'Resource Planner'!$B$23,"")</f>
        <v/>
      </c>
      <c r="D702" s="163" t="str">
        <f>IF(AND('Resource Planner'!$A$23="☑",48&lt;='Resource Planner'!$N$23),'Resource Planner'!$D$23,"")</f>
        <v/>
      </c>
      <c r="E702" s="163" t="str">
        <f>IF(AND('Resource Planner'!$A$23="☑",48&lt;='Resource Planner'!$N$23),'Resource Planner'!$E$23,"")</f>
        <v/>
      </c>
      <c r="F702" s="163" t="str">
        <f>IF(AND('Resource Planner'!$A$23="☑",48&lt;='Resource Planner'!$N$23),'Resource Planner'!$F$23&amp;" "&amp;('Resource Planner'!$G$23+(48-1)*'Resource Planner'!$I$23)&amp;IF(('Resource Planner'!$G$23+(48-1)*'Resource Planner'!$I$23)=MIN('Resource Planner'!$G$23+48*'Resource Planner'!$I$23-1,'Resource Planner'!$H$23),"","–"&amp;MIN('Resource Planner'!$G$23+48*'Resource Planner'!$I$23-1,'Resource Planner'!$H$23)),"")</f>
        <v/>
      </c>
      <c r="G702" s="163" t="s">
        <v>109</v>
      </c>
      <c r="H702" s="163" t="str">
        <f>IF(AND('Resource Planner'!$A$23="☑",48&lt;='Resource Planner'!$N$23),'Resource Planner'!$M$23,"")</f>
        <v/>
      </c>
    </row>
    <row r="703" ht="15.75" customHeight="1">
      <c r="A7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3" s="163" t="str">
        <f>IF(AND('Resource Planner'!$A$23="☑",49&lt;='Resource Planner'!$N$23),'Resource Planner'!$C$23,"")</f>
        <v/>
      </c>
      <c r="C703" s="163" t="str">
        <f>IF(AND('Resource Planner'!$A$23="☑",49&lt;='Resource Planner'!$N$23),'Resource Planner'!$B$23,"")</f>
        <v/>
      </c>
      <c r="D703" s="163" t="str">
        <f>IF(AND('Resource Planner'!$A$23="☑",49&lt;='Resource Planner'!$N$23),'Resource Planner'!$D$23,"")</f>
        <v/>
      </c>
      <c r="E703" s="163" t="str">
        <f>IF(AND('Resource Planner'!$A$23="☑",49&lt;='Resource Planner'!$N$23),'Resource Planner'!$E$23,"")</f>
        <v/>
      </c>
      <c r="F703" s="163" t="str">
        <f>IF(AND('Resource Planner'!$A$23="☑",49&lt;='Resource Planner'!$N$23),'Resource Planner'!$F$23&amp;" "&amp;('Resource Planner'!$G$23+(49-1)*'Resource Planner'!$I$23)&amp;IF(('Resource Planner'!$G$23+(49-1)*'Resource Planner'!$I$23)=MIN('Resource Planner'!$G$23+49*'Resource Planner'!$I$23-1,'Resource Planner'!$H$23),"","–"&amp;MIN('Resource Planner'!$G$23+49*'Resource Planner'!$I$23-1,'Resource Planner'!$H$23)),"")</f>
        <v/>
      </c>
      <c r="G703" s="163" t="s">
        <v>109</v>
      </c>
      <c r="H703" s="163" t="str">
        <f>IF(AND('Resource Planner'!$A$23="☑",49&lt;='Resource Planner'!$N$23),'Resource Planner'!$M$23,"")</f>
        <v/>
      </c>
    </row>
    <row r="704" ht="15.75" customHeight="1">
      <c r="A7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4" s="163" t="str">
        <f>IF(AND('Resource Planner'!$A$23="☑",50&lt;='Resource Planner'!$N$23),'Resource Planner'!$C$23,"")</f>
        <v/>
      </c>
      <c r="C704" s="163" t="str">
        <f>IF(AND('Resource Planner'!$A$23="☑",50&lt;='Resource Planner'!$N$23),'Resource Planner'!$B$23,"")</f>
        <v/>
      </c>
      <c r="D704" s="163" t="str">
        <f>IF(AND('Resource Planner'!$A$23="☑",50&lt;='Resource Planner'!$N$23),'Resource Planner'!$D$23,"")</f>
        <v/>
      </c>
      <c r="E704" s="163" t="str">
        <f>IF(AND('Resource Planner'!$A$23="☑",50&lt;='Resource Planner'!$N$23),'Resource Planner'!$E$23,"")</f>
        <v/>
      </c>
      <c r="F704" s="163" t="str">
        <f>IF(AND('Resource Planner'!$A$23="☑",50&lt;='Resource Planner'!$N$23),'Resource Planner'!$F$23&amp;" "&amp;('Resource Planner'!$G$23+(50-1)*'Resource Planner'!$I$23)&amp;IF(('Resource Planner'!$G$23+(50-1)*'Resource Planner'!$I$23)=MIN('Resource Planner'!$G$23+50*'Resource Planner'!$I$23-1,'Resource Planner'!$H$23),"","–"&amp;MIN('Resource Planner'!$G$23+50*'Resource Planner'!$I$23-1,'Resource Planner'!$H$23)),"")</f>
        <v/>
      </c>
      <c r="G704" s="163" t="s">
        <v>109</v>
      </c>
      <c r="H704" s="163" t="str">
        <f>IF(AND('Resource Planner'!$A$23="☑",50&lt;='Resource Planner'!$N$23),'Resource Planner'!$M$23,"")</f>
        <v/>
      </c>
    </row>
    <row r="705" ht="15.75" customHeight="1">
      <c r="A7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5" s="163" t="str">
        <f>IF(AND('Resource Planner'!$A$24="☑",1&lt;='Resource Planner'!$N$24),'Resource Planner'!$C$24,"")</f>
        <v/>
      </c>
      <c r="C705" s="163" t="str">
        <f>IF(AND('Resource Planner'!$A$24="☑",1&lt;='Resource Planner'!$N$24),'Resource Planner'!$B$24,"")</f>
        <v/>
      </c>
      <c r="D705" s="163" t="str">
        <f>IF(AND('Resource Planner'!$A$24="☑",1&lt;='Resource Planner'!$N$24),'Resource Planner'!$D$24,"")</f>
        <v/>
      </c>
      <c r="E705" s="163" t="str">
        <f>IF(AND('Resource Planner'!$A$24="☑",1&lt;='Resource Planner'!$N$24),'Resource Planner'!$E$24,"")</f>
        <v/>
      </c>
      <c r="F705" s="163" t="str">
        <f>IF(AND('Resource Planner'!$A$24="☑",1&lt;='Resource Planner'!$N$24),'Resource Planner'!$F$24&amp;" "&amp;('Resource Planner'!$G$24+(1-1)*'Resource Planner'!$I$24)&amp;IF(('Resource Planner'!$G$24+(1-1)*'Resource Planner'!$I$24)=MIN('Resource Planner'!$G$24+1*'Resource Planner'!$I$24-1,'Resource Planner'!$H$24),"","–"&amp;MIN('Resource Planner'!$G$24+1*'Resource Planner'!$I$24-1,'Resource Planner'!$H$24)),"")</f>
        <v/>
      </c>
      <c r="G705" s="163" t="s">
        <v>109</v>
      </c>
      <c r="H705" s="163" t="str">
        <f>IF(AND('Resource Planner'!$A$24="☑",1&lt;='Resource Planner'!$N$24),'Resource Planner'!$M$24,"")</f>
        <v/>
      </c>
    </row>
    <row r="706" ht="15.75" customHeight="1">
      <c r="A7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6" s="163" t="str">
        <f>IF(AND('Resource Planner'!$A$24="☑",2&lt;='Resource Planner'!$N$24),'Resource Planner'!$C$24,"")</f>
        <v/>
      </c>
      <c r="C706" s="163" t="str">
        <f>IF(AND('Resource Planner'!$A$24="☑",2&lt;='Resource Planner'!$N$24),'Resource Planner'!$B$24,"")</f>
        <v/>
      </c>
      <c r="D706" s="163" t="str">
        <f>IF(AND('Resource Planner'!$A$24="☑",2&lt;='Resource Planner'!$N$24),'Resource Planner'!$D$24,"")</f>
        <v/>
      </c>
      <c r="E706" s="163" t="str">
        <f>IF(AND('Resource Planner'!$A$24="☑",2&lt;='Resource Planner'!$N$24),'Resource Planner'!$E$24,"")</f>
        <v/>
      </c>
      <c r="F706" s="163" t="str">
        <f>IF(AND('Resource Planner'!$A$24="☑",2&lt;='Resource Planner'!$N$24),'Resource Planner'!$F$24&amp;" "&amp;('Resource Planner'!$G$24+(2-1)*'Resource Planner'!$I$24)&amp;IF(('Resource Planner'!$G$24+(2-1)*'Resource Planner'!$I$24)=MIN('Resource Planner'!$G$24+2*'Resource Planner'!$I$24-1,'Resource Planner'!$H$24),"","–"&amp;MIN('Resource Planner'!$G$24+2*'Resource Planner'!$I$24-1,'Resource Planner'!$H$24)),"")</f>
        <v/>
      </c>
      <c r="G706" s="163" t="s">
        <v>109</v>
      </c>
      <c r="H706" s="163" t="str">
        <f>IF(AND('Resource Planner'!$A$24="☑",2&lt;='Resource Planner'!$N$24),'Resource Planner'!$M$24,"")</f>
        <v/>
      </c>
    </row>
    <row r="707" ht="15.75" customHeight="1">
      <c r="A7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7" s="163" t="str">
        <f>IF(AND('Resource Planner'!$A$24="☑",3&lt;='Resource Planner'!$N$24),'Resource Planner'!$C$24,"")</f>
        <v/>
      </c>
      <c r="C707" s="163" t="str">
        <f>IF(AND('Resource Planner'!$A$24="☑",3&lt;='Resource Planner'!$N$24),'Resource Planner'!$B$24,"")</f>
        <v/>
      </c>
      <c r="D707" s="163" t="str">
        <f>IF(AND('Resource Planner'!$A$24="☑",3&lt;='Resource Planner'!$N$24),'Resource Planner'!$D$24,"")</f>
        <v/>
      </c>
      <c r="E707" s="163" t="str">
        <f>IF(AND('Resource Planner'!$A$24="☑",3&lt;='Resource Planner'!$N$24),'Resource Planner'!$E$24,"")</f>
        <v/>
      </c>
      <c r="F707" s="163" t="str">
        <f>IF(AND('Resource Planner'!$A$24="☑",3&lt;='Resource Planner'!$N$24),'Resource Planner'!$F$24&amp;" "&amp;('Resource Planner'!$G$24+(3-1)*'Resource Planner'!$I$24)&amp;IF(('Resource Planner'!$G$24+(3-1)*'Resource Planner'!$I$24)=MIN('Resource Planner'!$G$24+3*'Resource Planner'!$I$24-1,'Resource Planner'!$H$24),"","–"&amp;MIN('Resource Planner'!$G$24+3*'Resource Planner'!$I$24-1,'Resource Planner'!$H$24)),"")</f>
        <v/>
      </c>
      <c r="G707" s="163" t="s">
        <v>109</v>
      </c>
      <c r="H707" s="163" t="str">
        <f>IF(AND('Resource Planner'!$A$24="☑",3&lt;='Resource Planner'!$N$24),'Resource Planner'!$M$24,"")</f>
        <v/>
      </c>
    </row>
    <row r="708" ht="15.75" customHeight="1">
      <c r="A7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8" s="163" t="str">
        <f>IF(AND('Resource Planner'!$A$24="☑",4&lt;='Resource Planner'!$N$24),'Resource Planner'!$C$24,"")</f>
        <v/>
      </c>
      <c r="C708" s="163" t="str">
        <f>IF(AND('Resource Planner'!$A$24="☑",4&lt;='Resource Planner'!$N$24),'Resource Planner'!$B$24,"")</f>
        <v/>
      </c>
      <c r="D708" s="163" t="str">
        <f>IF(AND('Resource Planner'!$A$24="☑",4&lt;='Resource Planner'!$N$24),'Resource Planner'!$D$24,"")</f>
        <v/>
      </c>
      <c r="E708" s="163" t="str">
        <f>IF(AND('Resource Planner'!$A$24="☑",4&lt;='Resource Planner'!$N$24),'Resource Planner'!$E$24,"")</f>
        <v/>
      </c>
      <c r="F708" s="163" t="str">
        <f>IF(AND('Resource Planner'!$A$24="☑",4&lt;='Resource Planner'!$N$24),'Resource Planner'!$F$24&amp;" "&amp;('Resource Planner'!$G$24+(4-1)*'Resource Planner'!$I$24)&amp;IF(('Resource Planner'!$G$24+(4-1)*'Resource Planner'!$I$24)=MIN('Resource Planner'!$G$24+4*'Resource Planner'!$I$24-1,'Resource Planner'!$H$24),"","–"&amp;MIN('Resource Planner'!$G$24+4*'Resource Planner'!$I$24-1,'Resource Planner'!$H$24)),"")</f>
        <v/>
      </c>
      <c r="G708" s="163" t="s">
        <v>109</v>
      </c>
      <c r="H708" s="163" t="str">
        <f>IF(AND('Resource Planner'!$A$24="☑",4&lt;='Resource Planner'!$N$24),'Resource Planner'!$M$24,"")</f>
        <v/>
      </c>
    </row>
    <row r="709" ht="15.75" customHeight="1">
      <c r="A7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09" s="163" t="str">
        <f>IF(AND('Resource Planner'!$A$24="☑",5&lt;='Resource Planner'!$N$24),'Resource Planner'!$C$24,"")</f>
        <v/>
      </c>
      <c r="C709" s="163" t="str">
        <f>IF(AND('Resource Planner'!$A$24="☑",5&lt;='Resource Planner'!$N$24),'Resource Planner'!$B$24,"")</f>
        <v/>
      </c>
      <c r="D709" s="163" t="str">
        <f>IF(AND('Resource Planner'!$A$24="☑",5&lt;='Resource Planner'!$N$24),'Resource Planner'!$D$24,"")</f>
        <v/>
      </c>
      <c r="E709" s="163" t="str">
        <f>IF(AND('Resource Planner'!$A$24="☑",5&lt;='Resource Planner'!$N$24),'Resource Planner'!$E$24,"")</f>
        <v/>
      </c>
      <c r="F709" s="163" t="str">
        <f>IF(AND('Resource Planner'!$A$24="☑",5&lt;='Resource Planner'!$N$24),'Resource Planner'!$F$24&amp;" "&amp;('Resource Planner'!$G$24+(5-1)*'Resource Planner'!$I$24)&amp;IF(('Resource Planner'!$G$24+(5-1)*'Resource Planner'!$I$24)=MIN('Resource Planner'!$G$24+5*'Resource Planner'!$I$24-1,'Resource Planner'!$H$24),"","–"&amp;MIN('Resource Planner'!$G$24+5*'Resource Planner'!$I$24-1,'Resource Planner'!$H$24)),"")</f>
        <v/>
      </c>
      <c r="G709" s="163" t="s">
        <v>109</v>
      </c>
      <c r="H709" s="163" t="str">
        <f>IF(AND('Resource Planner'!$A$24="☑",5&lt;='Resource Planner'!$N$24),'Resource Planner'!$M$24,"")</f>
        <v/>
      </c>
    </row>
    <row r="710" ht="15.75" customHeight="1">
      <c r="A7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0" s="163" t="str">
        <f>IF(AND('Resource Planner'!$A$24="☑",6&lt;='Resource Planner'!$N$24),'Resource Planner'!$C$24,"")</f>
        <v/>
      </c>
      <c r="C710" s="163" t="str">
        <f>IF(AND('Resource Planner'!$A$24="☑",6&lt;='Resource Planner'!$N$24),'Resource Planner'!$B$24,"")</f>
        <v/>
      </c>
      <c r="D710" s="163" t="str">
        <f>IF(AND('Resource Planner'!$A$24="☑",6&lt;='Resource Planner'!$N$24),'Resource Planner'!$D$24,"")</f>
        <v/>
      </c>
      <c r="E710" s="163" t="str">
        <f>IF(AND('Resource Planner'!$A$24="☑",6&lt;='Resource Planner'!$N$24),'Resource Planner'!$E$24,"")</f>
        <v/>
      </c>
      <c r="F710" s="163" t="str">
        <f>IF(AND('Resource Planner'!$A$24="☑",6&lt;='Resource Planner'!$N$24),'Resource Planner'!$F$24&amp;" "&amp;('Resource Planner'!$G$24+(6-1)*'Resource Planner'!$I$24)&amp;IF(('Resource Planner'!$G$24+(6-1)*'Resource Planner'!$I$24)=MIN('Resource Planner'!$G$24+6*'Resource Planner'!$I$24-1,'Resource Planner'!$H$24),"","–"&amp;MIN('Resource Planner'!$G$24+6*'Resource Planner'!$I$24-1,'Resource Planner'!$H$24)),"")</f>
        <v/>
      </c>
      <c r="G710" s="163" t="s">
        <v>109</v>
      </c>
      <c r="H710" s="163" t="str">
        <f>IF(AND('Resource Planner'!$A$24="☑",6&lt;='Resource Planner'!$N$24),'Resource Planner'!$M$24,"")</f>
        <v/>
      </c>
    </row>
    <row r="711" ht="15.75" customHeight="1">
      <c r="A7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1" s="163" t="str">
        <f>IF(AND('Resource Planner'!$A$24="☑",7&lt;='Resource Planner'!$N$24),'Resource Planner'!$C$24,"")</f>
        <v/>
      </c>
      <c r="C711" s="163" t="str">
        <f>IF(AND('Resource Planner'!$A$24="☑",7&lt;='Resource Planner'!$N$24),'Resource Planner'!$B$24,"")</f>
        <v/>
      </c>
      <c r="D711" s="163" t="str">
        <f>IF(AND('Resource Planner'!$A$24="☑",7&lt;='Resource Planner'!$N$24),'Resource Planner'!$D$24,"")</f>
        <v/>
      </c>
      <c r="E711" s="163" t="str">
        <f>IF(AND('Resource Planner'!$A$24="☑",7&lt;='Resource Planner'!$N$24),'Resource Planner'!$E$24,"")</f>
        <v/>
      </c>
      <c r="F711" s="163" t="str">
        <f>IF(AND('Resource Planner'!$A$24="☑",7&lt;='Resource Planner'!$N$24),'Resource Planner'!$F$24&amp;" "&amp;('Resource Planner'!$G$24+(7-1)*'Resource Planner'!$I$24)&amp;IF(('Resource Planner'!$G$24+(7-1)*'Resource Planner'!$I$24)=MIN('Resource Planner'!$G$24+7*'Resource Planner'!$I$24-1,'Resource Planner'!$H$24),"","–"&amp;MIN('Resource Planner'!$G$24+7*'Resource Planner'!$I$24-1,'Resource Planner'!$H$24)),"")</f>
        <v/>
      </c>
      <c r="G711" s="163" t="s">
        <v>109</v>
      </c>
      <c r="H711" s="163" t="str">
        <f>IF(AND('Resource Planner'!$A$24="☑",7&lt;='Resource Planner'!$N$24),'Resource Planner'!$M$24,"")</f>
        <v/>
      </c>
    </row>
    <row r="712" ht="15.75" customHeight="1">
      <c r="A7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2" s="163" t="str">
        <f>IF(AND('Resource Planner'!$A$24="☑",8&lt;='Resource Planner'!$N$24),'Resource Planner'!$C$24,"")</f>
        <v/>
      </c>
      <c r="C712" s="163" t="str">
        <f>IF(AND('Resource Planner'!$A$24="☑",8&lt;='Resource Planner'!$N$24),'Resource Planner'!$B$24,"")</f>
        <v/>
      </c>
      <c r="D712" s="163" t="str">
        <f>IF(AND('Resource Planner'!$A$24="☑",8&lt;='Resource Planner'!$N$24),'Resource Planner'!$D$24,"")</f>
        <v/>
      </c>
      <c r="E712" s="163" t="str">
        <f>IF(AND('Resource Planner'!$A$24="☑",8&lt;='Resource Planner'!$N$24),'Resource Planner'!$E$24,"")</f>
        <v/>
      </c>
      <c r="F712" s="163" t="str">
        <f>IF(AND('Resource Planner'!$A$24="☑",8&lt;='Resource Planner'!$N$24),'Resource Planner'!$F$24&amp;" "&amp;('Resource Planner'!$G$24+(8-1)*'Resource Planner'!$I$24)&amp;IF(('Resource Planner'!$G$24+(8-1)*'Resource Planner'!$I$24)=MIN('Resource Planner'!$G$24+8*'Resource Planner'!$I$24-1,'Resource Planner'!$H$24),"","–"&amp;MIN('Resource Planner'!$G$24+8*'Resource Planner'!$I$24-1,'Resource Planner'!$H$24)),"")</f>
        <v/>
      </c>
      <c r="G712" s="163" t="s">
        <v>109</v>
      </c>
      <c r="H712" s="163" t="str">
        <f>IF(AND('Resource Planner'!$A$24="☑",8&lt;='Resource Planner'!$N$24),'Resource Planner'!$M$24,"")</f>
        <v/>
      </c>
    </row>
    <row r="713" ht="15.75" customHeight="1">
      <c r="A7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3" s="163" t="str">
        <f>IF(AND('Resource Planner'!$A$24="☑",9&lt;='Resource Planner'!$N$24),'Resource Planner'!$C$24,"")</f>
        <v/>
      </c>
      <c r="C713" s="163" t="str">
        <f>IF(AND('Resource Planner'!$A$24="☑",9&lt;='Resource Planner'!$N$24),'Resource Planner'!$B$24,"")</f>
        <v/>
      </c>
      <c r="D713" s="163" t="str">
        <f>IF(AND('Resource Planner'!$A$24="☑",9&lt;='Resource Planner'!$N$24),'Resource Planner'!$D$24,"")</f>
        <v/>
      </c>
      <c r="E713" s="163" t="str">
        <f>IF(AND('Resource Planner'!$A$24="☑",9&lt;='Resource Planner'!$N$24),'Resource Planner'!$E$24,"")</f>
        <v/>
      </c>
      <c r="F713" s="163" t="str">
        <f>IF(AND('Resource Planner'!$A$24="☑",9&lt;='Resource Planner'!$N$24),'Resource Planner'!$F$24&amp;" "&amp;('Resource Planner'!$G$24+(9-1)*'Resource Planner'!$I$24)&amp;IF(('Resource Planner'!$G$24+(9-1)*'Resource Planner'!$I$24)=MIN('Resource Planner'!$G$24+9*'Resource Planner'!$I$24-1,'Resource Planner'!$H$24),"","–"&amp;MIN('Resource Planner'!$G$24+9*'Resource Planner'!$I$24-1,'Resource Planner'!$H$24)),"")</f>
        <v/>
      </c>
      <c r="G713" s="163" t="s">
        <v>109</v>
      </c>
      <c r="H713" s="163" t="str">
        <f>IF(AND('Resource Planner'!$A$24="☑",9&lt;='Resource Planner'!$N$24),'Resource Planner'!$M$24,"")</f>
        <v/>
      </c>
    </row>
    <row r="714" ht="15.75" customHeight="1">
      <c r="A7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4" s="163" t="str">
        <f>IF(AND('Resource Planner'!$A$24="☑",10&lt;='Resource Planner'!$N$24),'Resource Planner'!$C$24,"")</f>
        <v/>
      </c>
      <c r="C714" s="163" t="str">
        <f>IF(AND('Resource Planner'!$A$24="☑",10&lt;='Resource Planner'!$N$24),'Resource Planner'!$B$24,"")</f>
        <v/>
      </c>
      <c r="D714" s="163" t="str">
        <f>IF(AND('Resource Planner'!$A$24="☑",10&lt;='Resource Planner'!$N$24),'Resource Planner'!$D$24,"")</f>
        <v/>
      </c>
      <c r="E714" s="163" t="str">
        <f>IF(AND('Resource Planner'!$A$24="☑",10&lt;='Resource Planner'!$N$24),'Resource Planner'!$E$24,"")</f>
        <v/>
      </c>
      <c r="F714" s="163" t="str">
        <f>IF(AND('Resource Planner'!$A$24="☑",10&lt;='Resource Planner'!$N$24),'Resource Planner'!$F$24&amp;" "&amp;('Resource Planner'!$G$24+(10-1)*'Resource Planner'!$I$24)&amp;IF(('Resource Planner'!$G$24+(10-1)*'Resource Planner'!$I$24)=MIN('Resource Planner'!$G$24+10*'Resource Planner'!$I$24-1,'Resource Planner'!$H$24),"","–"&amp;MIN('Resource Planner'!$G$24+10*'Resource Planner'!$I$24-1,'Resource Planner'!$H$24)),"")</f>
        <v/>
      </c>
      <c r="G714" s="163" t="s">
        <v>109</v>
      </c>
      <c r="H714" s="163" t="str">
        <f>IF(AND('Resource Planner'!$A$24="☑",10&lt;='Resource Planner'!$N$24),'Resource Planner'!$M$24,"")</f>
        <v/>
      </c>
    </row>
    <row r="715" ht="15.75" customHeight="1">
      <c r="A7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5" s="163" t="str">
        <f>IF(AND('Resource Planner'!$A$24="☑",11&lt;='Resource Planner'!$N$24),'Resource Planner'!$C$24,"")</f>
        <v/>
      </c>
      <c r="C715" s="163" t="str">
        <f>IF(AND('Resource Planner'!$A$24="☑",11&lt;='Resource Planner'!$N$24),'Resource Planner'!$B$24,"")</f>
        <v/>
      </c>
      <c r="D715" s="163" t="str">
        <f>IF(AND('Resource Planner'!$A$24="☑",11&lt;='Resource Planner'!$N$24),'Resource Planner'!$D$24,"")</f>
        <v/>
      </c>
      <c r="E715" s="163" t="str">
        <f>IF(AND('Resource Planner'!$A$24="☑",11&lt;='Resource Planner'!$N$24),'Resource Planner'!$E$24,"")</f>
        <v/>
      </c>
      <c r="F715" s="163" t="str">
        <f>IF(AND('Resource Planner'!$A$24="☑",11&lt;='Resource Planner'!$N$24),'Resource Planner'!$F$24&amp;" "&amp;('Resource Planner'!$G$24+(11-1)*'Resource Planner'!$I$24)&amp;IF(('Resource Planner'!$G$24+(11-1)*'Resource Planner'!$I$24)=MIN('Resource Planner'!$G$24+11*'Resource Planner'!$I$24-1,'Resource Planner'!$H$24),"","–"&amp;MIN('Resource Planner'!$G$24+11*'Resource Planner'!$I$24-1,'Resource Planner'!$H$24)),"")</f>
        <v/>
      </c>
      <c r="G715" s="163" t="s">
        <v>109</v>
      </c>
      <c r="H715" s="163" t="str">
        <f>IF(AND('Resource Planner'!$A$24="☑",11&lt;='Resource Planner'!$N$24),'Resource Planner'!$M$24,"")</f>
        <v/>
      </c>
    </row>
    <row r="716" ht="15.75" customHeight="1">
      <c r="A7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6" s="163" t="str">
        <f>IF(AND('Resource Planner'!$A$24="☑",12&lt;='Resource Planner'!$N$24),'Resource Planner'!$C$24,"")</f>
        <v/>
      </c>
      <c r="C716" s="163" t="str">
        <f>IF(AND('Resource Planner'!$A$24="☑",12&lt;='Resource Planner'!$N$24),'Resource Planner'!$B$24,"")</f>
        <v/>
      </c>
      <c r="D716" s="163" t="str">
        <f>IF(AND('Resource Planner'!$A$24="☑",12&lt;='Resource Planner'!$N$24),'Resource Planner'!$D$24,"")</f>
        <v/>
      </c>
      <c r="E716" s="163" t="str">
        <f>IF(AND('Resource Planner'!$A$24="☑",12&lt;='Resource Planner'!$N$24),'Resource Planner'!$E$24,"")</f>
        <v/>
      </c>
      <c r="F716" s="163" t="str">
        <f>IF(AND('Resource Planner'!$A$24="☑",12&lt;='Resource Planner'!$N$24),'Resource Planner'!$F$24&amp;" "&amp;('Resource Planner'!$G$24+(12-1)*'Resource Planner'!$I$24)&amp;IF(('Resource Planner'!$G$24+(12-1)*'Resource Planner'!$I$24)=MIN('Resource Planner'!$G$24+12*'Resource Planner'!$I$24-1,'Resource Planner'!$H$24),"","–"&amp;MIN('Resource Planner'!$G$24+12*'Resource Planner'!$I$24-1,'Resource Planner'!$H$24)),"")</f>
        <v/>
      </c>
      <c r="G716" s="163" t="s">
        <v>109</v>
      </c>
      <c r="H716" s="163" t="str">
        <f>IF(AND('Resource Planner'!$A$24="☑",12&lt;='Resource Planner'!$N$24),'Resource Planner'!$M$24,"")</f>
        <v/>
      </c>
    </row>
    <row r="717" ht="15.75" customHeight="1">
      <c r="A7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7" s="163" t="str">
        <f>IF(AND('Resource Planner'!$A$24="☑",13&lt;='Resource Planner'!$N$24),'Resource Planner'!$C$24,"")</f>
        <v/>
      </c>
      <c r="C717" s="163" t="str">
        <f>IF(AND('Resource Planner'!$A$24="☑",13&lt;='Resource Planner'!$N$24),'Resource Planner'!$B$24,"")</f>
        <v/>
      </c>
      <c r="D717" s="163" t="str">
        <f>IF(AND('Resource Planner'!$A$24="☑",13&lt;='Resource Planner'!$N$24),'Resource Planner'!$D$24,"")</f>
        <v/>
      </c>
      <c r="E717" s="163" t="str">
        <f>IF(AND('Resource Planner'!$A$24="☑",13&lt;='Resource Planner'!$N$24),'Resource Planner'!$E$24,"")</f>
        <v/>
      </c>
      <c r="F717" s="163" t="str">
        <f>IF(AND('Resource Planner'!$A$24="☑",13&lt;='Resource Planner'!$N$24),'Resource Planner'!$F$24&amp;" "&amp;('Resource Planner'!$G$24+(13-1)*'Resource Planner'!$I$24)&amp;IF(('Resource Planner'!$G$24+(13-1)*'Resource Planner'!$I$24)=MIN('Resource Planner'!$G$24+13*'Resource Planner'!$I$24-1,'Resource Planner'!$H$24),"","–"&amp;MIN('Resource Planner'!$G$24+13*'Resource Planner'!$I$24-1,'Resource Planner'!$H$24)),"")</f>
        <v/>
      </c>
      <c r="G717" s="163" t="s">
        <v>109</v>
      </c>
      <c r="H717" s="163" t="str">
        <f>IF(AND('Resource Planner'!$A$24="☑",13&lt;='Resource Planner'!$N$24),'Resource Planner'!$M$24,"")</f>
        <v/>
      </c>
    </row>
    <row r="718" ht="15.75" customHeight="1">
      <c r="A7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8" s="163" t="str">
        <f>IF(AND('Resource Planner'!$A$24="☑",14&lt;='Resource Planner'!$N$24),'Resource Planner'!$C$24,"")</f>
        <v/>
      </c>
      <c r="C718" s="163" t="str">
        <f>IF(AND('Resource Planner'!$A$24="☑",14&lt;='Resource Planner'!$N$24),'Resource Planner'!$B$24,"")</f>
        <v/>
      </c>
      <c r="D718" s="163" t="str">
        <f>IF(AND('Resource Planner'!$A$24="☑",14&lt;='Resource Planner'!$N$24),'Resource Planner'!$D$24,"")</f>
        <v/>
      </c>
      <c r="E718" s="163" t="str">
        <f>IF(AND('Resource Planner'!$A$24="☑",14&lt;='Resource Planner'!$N$24),'Resource Planner'!$E$24,"")</f>
        <v/>
      </c>
      <c r="F718" s="163" t="str">
        <f>IF(AND('Resource Planner'!$A$24="☑",14&lt;='Resource Planner'!$N$24),'Resource Planner'!$F$24&amp;" "&amp;('Resource Planner'!$G$24+(14-1)*'Resource Planner'!$I$24)&amp;IF(('Resource Planner'!$G$24+(14-1)*'Resource Planner'!$I$24)=MIN('Resource Planner'!$G$24+14*'Resource Planner'!$I$24-1,'Resource Planner'!$H$24),"","–"&amp;MIN('Resource Planner'!$G$24+14*'Resource Planner'!$I$24-1,'Resource Planner'!$H$24)),"")</f>
        <v/>
      </c>
      <c r="G718" s="163" t="s">
        <v>109</v>
      </c>
      <c r="H718" s="163" t="str">
        <f>IF(AND('Resource Planner'!$A$24="☑",14&lt;='Resource Planner'!$N$24),'Resource Planner'!$M$24,"")</f>
        <v/>
      </c>
    </row>
    <row r="719" ht="15.75" customHeight="1">
      <c r="A7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19" s="163" t="str">
        <f>IF(AND('Resource Planner'!$A$24="☑",15&lt;='Resource Planner'!$N$24),'Resource Planner'!$C$24,"")</f>
        <v/>
      </c>
      <c r="C719" s="163" t="str">
        <f>IF(AND('Resource Planner'!$A$24="☑",15&lt;='Resource Planner'!$N$24),'Resource Planner'!$B$24,"")</f>
        <v/>
      </c>
      <c r="D719" s="163" t="str">
        <f>IF(AND('Resource Planner'!$A$24="☑",15&lt;='Resource Planner'!$N$24),'Resource Planner'!$D$24,"")</f>
        <v/>
      </c>
      <c r="E719" s="163" t="str">
        <f>IF(AND('Resource Planner'!$A$24="☑",15&lt;='Resource Planner'!$N$24),'Resource Planner'!$E$24,"")</f>
        <v/>
      </c>
      <c r="F719" s="163" t="str">
        <f>IF(AND('Resource Planner'!$A$24="☑",15&lt;='Resource Planner'!$N$24),'Resource Planner'!$F$24&amp;" "&amp;('Resource Planner'!$G$24+(15-1)*'Resource Planner'!$I$24)&amp;IF(('Resource Planner'!$G$24+(15-1)*'Resource Planner'!$I$24)=MIN('Resource Planner'!$G$24+15*'Resource Planner'!$I$24-1,'Resource Planner'!$H$24),"","–"&amp;MIN('Resource Planner'!$G$24+15*'Resource Planner'!$I$24-1,'Resource Planner'!$H$24)),"")</f>
        <v/>
      </c>
      <c r="G719" s="163" t="s">
        <v>109</v>
      </c>
      <c r="H719" s="163" t="str">
        <f>IF(AND('Resource Planner'!$A$24="☑",15&lt;='Resource Planner'!$N$24),'Resource Planner'!$M$24,"")</f>
        <v/>
      </c>
    </row>
    <row r="720" ht="15.75" customHeight="1">
      <c r="A7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0" s="163" t="str">
        <f>IF(AND('Resource Planner'!$A$24="☑",16&lt;='Resource Planner'!$N$24),'Resource Planner'!$C$24,"")</f>
        <v/>
      </c>
      <c r="C720" s="163" t="str">
        <f>IF(AND('Resource Planner'!$A$24="☑",16&lt;='Resource Planner'!$N$24),'Resource Planner'!$B$24,"")</f>
        <v/>
      </c>
      <c r="D720" s="163" t="str">
        <f>IF(AND('Resource Planner'!$A$24="☑",16&lt;='Resource Planner'!$N$24),'Resource Planner'!$D$24,"")</f>
        <v/>
      </c>
      <c r="E720" s="163" t="str">
        <f>IF(AND('Resource Planner'!$A$24="☑",16&lt;='Resource Planner'!$N$24),'Resource Planner'!$E$24,"")</f>
        <v/>
      </c>
      <c r="F720" s="163" t="str">
        <f>IF(AND('Resource Planner'!$A$24="☑",16&lt;='Resource Planner'!$N$24),'Resource Planner'!$F$24&amp;" "&amp;('Resource Planner'!$G$24+(16-1)*'Resource Planner'!$I$24)&amp;IF(('Resource Planner'!$G$24+(16-1)*'Resource Planner'!$I$24)=MIN('Resource Planner'!$G$24+16*'Resource Planner'!$I$24-1,'Resource Planner'!$H$24),"","–"&amp;MIN('Resource Planner'!$G$24+16*'Resource Planner'!$I$24-1,'Resource Planner'!$H$24)),"")</f>
        <v/>
      </c>
      <c r="G720" s="163" t="s">
        <v>109</v>
      </c>
      <c r="H720" s="163" t="str">
        <f>IF(AND('Resource Planner'!$A$24="☑",16&lt;='Resource Planner'!$N$24),'Resource Planner'!$M$24,"")</f>
        <v/>
      </c>
    </row>
    <row r="721" ht="15.75" customHeight="1">
      <c r="A7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1" s="163" t="str">
        <f>IF(AND('Resource Planner'!$A$24="☑",17&lt;='Resource Planner'!$N$24),'Resource Planner'!$C$24,"")</f>
        <v/>
      </c>
      <c r="C721" s="163" t="str">
        <f>IF(AND('Resource Planner'!$A$24="☑",17&lt;='Resource Planner'!$N$24),'Resource Planner'!$B$24,"")</f>
        <v/>
      </c>
      <c r="D721" s="163" t="str">
        <f>IF(AND('Resource Planner'!$A$24="☑",17&lt;='Resource Planner'!$N$24),'Resource Planner'!$D$24,"")</f>
        <v/>
      </c>
      <c r="E721" s="163" t="str">
        <f>IF(AND('Resource Planner'!$A$24="☑",17&lt;='Resource Planner'!$N$24),'Resource Planner'!$E$24,"")</f>
        <v/>
      </c>
      <c r="F721" s="163" t="str">
        <f>IF(AND('Resource Planner'!$A$24="☑",17&lt;='Resource Planner'!$N$24),'Resource Planner'!$F$24&amp;" "&amp;('Resource Planner'!$G$24+(17-1)*'Resource Planner'!$I$24)&amp;IF(('Resource Planner'!$G$24+(17-1)*'Resource Planner'!$I$24)=MIN('Resource Planner'!$G$24+17*'Resource Planner'!$I$24-1,'Resource Planner'!$H$24),"","–"&amp;MIN('Resource Planner'!$G$24+17*'Resource Planner'!$I$24-1,'Resource Planner'!$H$24)),"")</f>
        <v/>
      </c>
      <c r="G721" s="163" t="s">
        <v>109</v>
      </c>
      <c r="H721" s="163" t="str">
        <f>IF(AND('Resource Planner'!$A$24="☑",17&lt;='Resource Planner'!$N$24),'Resource Planner'!$M$24,"")</f>
        <v/>
      </c>
    </row>
    <row r="722" ht="15.75" customHeight="1">
      <c r="A7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2" s="163" t="str">
        <f>IF(AND('Resource Planner'!$A$24="☑",18&lt;='Resource Planner'!$N$24),'Resource Planner'!$C$24,"")</f>
        <v/>
      </c>
      <c r="C722" s="163" t="str">
        <f>IF(AND('Resource Planner'!$A$24="☑",18&lt;='Resource Planner'!$N$24),'Resource Planner'!$B$24,"")</f>
        <v/>
      </c>
      <c r="D722" s="163" t="str">
        <f>IF(AND('Resource Planner'!$A$24="☑",18&lt;='Resource Planner'!$N$24),'Resource Planner'!$D$24,"")</f>
        <v/>
      </c>
      <c r="E722" s="163" t="str">
        <f>IF(AND('Resource Planner'!$A$24="☑",18&lt;='Resource Planner'!$N$24),'Resource Planner'!$E$24,"")</f>
        <v/>
      </c>
      <c r="F722" s="163" t="str">
        <f>IF(AND('Resource Planner'!$A$24="☑",18&lt;='Resource Planner'!$N$24),'Resource Planner'!$F$24&amp;" "&amp;('Resource Planner'!$G$24+(18-1)*'Resource Planner'!$I$24)&amp;IF(('Resource Planner'!$G$24+(18-1)*'Resource Planner'!$I$24)=MIN('Resource Planner'!$G$24+18*'Resource Planner'!$I$24-1,'Resource Planner'!$H$24),"","–"&amp;MIN('Resource Planner'!$G$24+18*'Resource Planner'!$I$24-1,'Resource Planner'!$H$24)),"")</f>
        <v/>
      </c>
      <c r="G722" s="163" t="s">
        <v>109</v>
      </c>
      <c r="H722" s="163" t="str">
        <f>IF(AND('Resource Planner'!$A$24="☑",18&lt;='Resource Planner'!$N$24),'Resource Planner'!$M$24,"")</f>
        <v/>
      </c>
    </row>
    <row r="723" ht="15.75" customHeight="1">
      <c r="A7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3" s="163" t="str">
        <f>IF(AND('Resource Planner'!$A$24="☑",19&lt;='Resource Planner'!$N$24),'Resource Planner'!$C$24,"")</f>
        <v/>
      </c>
      <c r="C723" s="163" t="str">
        <f>IF(AND('Resource Planner'!$A$24="☑",19&lt;='Resource Planner'!$N$24),'Resource Planner'!$B$24,"")</f>
        <v/>
      </c>
      <c r="D723" s="163" t="str">
        <f>IF(AND('Resource Planner'!$A$24="☑",19&lt;='Resource Planner'!$N$24),'Resource Planner'!$D$24,"")</f>
        <v/>
      </c>
      <c r="E723" s="163" t="str">
        <f>IF(AND('Resource Planner'!$A$24="☑",19&lt;='Resource Planner'!$N$24),'Resource Planner'!$E$24,"")</f>
        <v/>
      </c>
      <c r="F723" s="163" t="str">
        <f>IF(AND('Resource Planner'!$A$24="☑",19&lt;='Resource Planner'!$N$24),'Resource Planner'!$F$24&amp;" "&amp;('Resource Planner'!$G$24+(19-1)*'Resource Planner'!$I$24)&amp;IF(('Resource Planner'!$G$24+(19-1)*'Resource Planner'!$I$24)=MIN('Resource Planner'!$G$24+19*'Resource Planner'!$I$24-1,'Resource Planner'!$H$24),"","–"&amp;MIN('Resource Planner'!$G$24+19*'Resource Planner'!$I$24-1,'Resource Planner'!$H$24)),"")</f>
        <v/>
      </c>
      <c r="G723" s="163" t="s">
        <v>109</v>
      </c>
      <c r="H723" s="163" t="str">
        <f>IF(AND('Resource Planner'!$A$24="☑",19&lt;='Resource Planner'!$N$24),'Resource Planner'!$M$24,"")</f>
        <v/>
      </c>
    </row>
    <row r="724" ht="15.75" customHeight="1">
      <c r="A7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4" s="163" t="str">
        <f>IF(AND('Resource Planner'!$A$24="☑",20&lt;='Resource Planner'!$N$24),'Resource Planner'!$C$24,"")</f>
        <v/>
      </c>
      <c r="C724" s="163" t="str">
        <f>IF(AND('Resource Planner'!$A$24="☑",20&lt;='Resource Planner'!$N$24),'Resource Planner'!$B$24,"")</f>
        <v/>
      </c>
      <c r="D724" s="163" t="str">
        <f>IF(AND('Resource Planner'!$A$24="☑",20&lt;='Resource Planner'!$N$24),'Resource Planner'!$D$24,"")</f>
        <v/>
      </c>
      <c r="E724" s="163" t="str">
        <f>IF(AND('Resource Planner'!$A$24="☑",20&lt;='Resource Planner'!$N$24),'Resource Planner'!$E$24,"")</f>
        <v/>
      </c>
      <c r="F724" s="163" t="str">
        <f>IF(AND('Resource Planner'!$A$24="☑",20&lt;='Resource Planner'!$N$24),'Resource Planner'!$F$24&amp;" "&amp;('Resource Planner'!$G$24+(20-1)*'Resource Planner'!$I$24)&amp;IF(('Resource Planner'!$G$24+(20-1)*'Resource Planner'!$I$24)=MIN('Resource Planner'!$G$24+20*'Resource Planner'!$I$24-1,'Resource Planner'!$H$24),"","–"&amp;MIN('Resource Planner'!$G$24+20*'Resource Planner'!$I$24-1,'Resource Planner'!$H$24)),"")</f>
        <v/>
      </c>
      <c r="G724" s="163" t="s">
        <v>109</v>
      </c>
      <c r="H724" s="163" t="str">
        <f>IF(AND('Resource Planner'!$A$24="☑",20&lt;='Resource Planner'!$N$24),'Resource Planner'!$M$24,"")</f>
        <v/>
      </c>
    </row>
    <row r="725" ht="15.75" customHeight="1">
      <c r="A7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5" s="163" t="str">
        <f>IF(AND('Resource Planner'!$A$24="☑",21&lt;='Resource Planner'!$N$24),'Resource Planner'!$C$24,"")</f>
        <v/>
      </c>
      <c r="C725" s="163" t="str">
        <f>IF(AND('Resource Planner'!$A$24="☑",21&lt;='Resource Planner'!$N$24),'Resource Planner'!$B$24,"")</f>
        <v/>
      </c>
      <c r="D725" s="163" t="str">
        <f>IF(AND('Resource Planner'!$A$24="☑",21&lt;='Resource Planner'!$N$24),'Resource Planner'!$D$24,"")</f>
        <v/>
      </c>
      <c r="E725" s="163" t="str">
        <f>IF(AND('Resource Planner'!$A$24="☑",21&lt;='Resource Planner'!$N$24),'Resource Planner'!$E$24,"")</f>
        <v/>
      </c>
      <c r="F725" s="163" t="str">
        <f>IF(AND('Resource Planner'!$A$24="☑",21&lt;='Resource Planner'!$N$24),'Resource Planner'!$F$24&amp;" "&amp;('Resource Planner'!$G$24+(21-1)*'Resource Planner'!$I$24)&amp;IF(('Resource Planner'!$G$24+(21-1)*'Resource Planner'!$I$24)=MIN('Resource Planner'!$G$24+21*'Resource Planner'!$I$24-1,'Resource Planner'!$H$24),"","–"&amp;MIN('Resource Planner'!$G$24+21*'Resource Planner'!$I$24-1,'Resource Planner'!$H$24)),"")</f>
        <v/>
      </c>
      <c r="G725" s="163" t="s">
        <v>109</v>
      </c>
      <c r="H725" s="163" t="str">
        <f>IF(AND('Resource Planner'!$A$24="☑",21&lt;='Resource Planner'!$N$24),'Resource Planner'!$M$24,"")</f>
        <v/>
      </c>
    </row>
    <row r="726" ht="15.75" customHeight="1">
      <c r="A7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6" s="163" t="str">
        <f>IF(AND('Resource Planner'!$A$24="☑",22&lt;='Resource Planner'!$N$24),'Resource Planner'!$C$24,"")</f>
        <v/>
      </c>
      <c r="C726" s="163" t="str">
        <f>IF(AND('Resource Planner'!$A$24="☑",22&lt;='Resource Planner'!$N$24),'Resource Planner'!$B$24,"")</f>
        <v/>
      </c>
      <c r="D726" s="163" t="str">
        <f>IF(AND('Resource Planner'!$A$24="☑",22&lt;='Resource Planner'!$N$24),'Resource Planner'!$D$24,"")</f>
        <v/>
      </c>
      <c r="E726" s="163" t="str">
        <f>IF(AND('Resource Planner'!$A$24="☑",22&lt;='Resource Planner'!$N$24),'Resource Planner'!$E$24,"")</f>
        <v/>
      </c>
      <c r="F726" s="163" t="str">
        <f>IF(AND('Resource Planner'!$A$24="☑",22&lt;='Resource Planner'!$N$24),'Resource Planner'!$F$24&amp;" "&amp;('Resource Planner'!$G$24+(22-1)*'Resource Planner'!$I$24)&amp;IF(('Resource Planner'!$G$24+(22-1)*'Resource Planner'!$I$24)=MIN('Resource Planner'!$G$24+22*'Resource Planner'!$I$24-1,'Resource Planner'!$H$24),"","–"&amp;MIN('Resource Planner'!$G$24+22*'Resource Planner'!$I$24-1,'Resource Planner'!$H$24)),"")</f>
        <v/>
      </c>
      <c r="G726" s="163" t="s">
        <v>109</v>
      </c>
      <c r="H726" s="163" t="str">
        <f>IF(AND('Resource Planner'!$A$24="☑",22&lt;='Resource Planner'!$N$24),'Resource Planner'!$M$24,"")</f>
        <v/>
      </c>
    </row>
    <row r="727" ht="15.75" customHeight="1">
      <c r="A7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7" s="163" t="str">
        <f>IF(AND('Resource Planner'!$A$24="☑",23&lt;='Resource Planner'!$N$24),'Resource Planner'!$C$24,"")</f>
        <v/>
      </c>
      <c r="C727" s="163" t="str">
        <f>IF(AND('Resource Planner'!$A$24="☑",23&lt;='Resource Planner'!$N$24),'Resource Planner'!$B$24,"")</f>
        <v/>
      </c>
      <c r="D727" s="163" t="str">
        <f>IF(AND('Resource Planner'!$A$24="☑",23&lt;='Resource Planner'!$N$24),'Resource Planner'!$D$24,"")</f>
        <v/>
      </c>
      <c r="E727" s="163" t="str">
        <f>IF(AND('Resource Planner'!$A$24="☑",23&lt;='Resource Planner'!$N$24),'Resource Planner'!$E$24,"")</f>
        <v/>
      </c>
      <c r="F727" s="163" t="str">
        <f>IF(AND('Resource Planner'!$A$24="☑",23&lt;='Resource Planner'!$N$24),'Resource Planner'!$F$24&amp;" "&amp;('Resource Planner'!$G$24+(23-1)*'Resource Planner'!$I$24)&amp;IF(('Resource Planner'!$G$24+(23-1)*'Resource Planner'!$I$24)=MIN('Resource Planner'!$G$24+23*'Resource Planner'!$I$24-1,'Resource Planner'!$H$24),"","–"&amp;MIN('Resource Planner'!$G$24+23*'Resource Planner'!$I$24-1,'Resource Planner'!$H$24)),"")</f>
        <v/>
      </c>
      <c r="G727" s="163" t="s">
        <v>109</v>
      </c>
      <c r="H727" s="163" t="str">
        <f>IF(AND('Resource Planner'!$A$24="☑",23&lt;='Resource Planner'!$N$24),'Resource Planner'!$M$24,"")</f>
        <v/>
      </c>
    </row>
    <row r="728" ht="15.75" customHeight="1">
      <c r="A7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8" s="163" t="str">
        <f>IF(AND('Resource Planner'!$A$24="☑",24&lt;='Resource Planner'!$N$24),'Resource Planner'!$C$24,"")</f>
        <v/>
      </c>
      <c r="C728" s="163" t="str">
        <f>IF(AND('Resource Planner'!$A$24="☑",24&lt;='Resource Planner'!$N$24),'Resource Planner'!$B$24,"")</f>
        <v/>
      </c>
      <c r="D728" s="163" t="str">
        <f>IF(AND('Resource Planner'!$A$24="☑",24&lt;='Resource Planner'!$N$24),'Resource Planner'!$D$24,"")</f>
        <v/>
      </c>
      <c r="E728" s="163" t="str">
        <f>IF(AND('Resource Planner'!$A$24="☑",24&lt;='Resource Planner'!$N$24),'Resource Planner'!$E$24,"")</f>
        <v/>
      </c>
      <c r="F728" s="163" t="str">
        <f>IF(AND('Resource Planner'!$A$24="☑",24&lt;='Resource Planner'!$N$24),'Resource Planner'!$F$24&amp;" "&amp;('Resource Planner'!$G$24+(24-1)*'Resource Planner'!$I$24)&amp;IF(('Resource Planner'!$G$24+(24-1)*'Resource Planner'!$I$24)=MIN('Resource Planner'!$G$24+24*'Resource Planner'!$I$24-1,'Resource Planner'!$H$24),"","–"&amp;MIN('Resource Planner'!$G$24+24*'Resource Planner'!$I$24-1,'Resource Planner'!$H$24)),"")</f>
        <v/>
      </c>
      <c r="G728" s="163" t="s">
        <v>109</v>
      </c>
      <c r="H728" s="163" t="str">
        <f>IF(AND('Resource Planner'!$A$24="☑",24&lt;='Resource Planner'!$N$24),'Resource Planner'!$M$24,"")</f>
        <v/>
      </c>
    </row>
    <row r="729" ht="15.75" customHeight="1">
      <c r="A7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29" s="163" t="str">
        <f>IF(AND('Resource Planner'!$A$24="☑",25&lt;='Resource Planner'!$N$24),'Resource Planner'!$C$24,"")</f>
        <v/>
      </c>
      <c r="C729" s="163" t="str">
        <f>IF(AND('Resource Planner'!$A$24="☑",25&lt;='Resource Planner'!$N$24),'Resource Planner'!$B$24,"")</f>
        <v/>
      </c>
      <c r="D729" s="163" t="str">
        <f>IF(AND('Resource Planner'!$A$24="☑",25&lt;='Resource Planner'!$N$24),'Resource Planner'!$D$24,"")</f>
        <v/>
      </c>
      <c r="E729" s="163" t="str">
        <f>IF(AND('Resource Planner'!$A$24="☑",25&lt;='Resource Planner'!$N$24),'Resource Planner'!$E$24,"")</f>
        <v/>
      </c>
      <c r="F729" s="163" t="str">
        <f>IF(AND('Resource Planner'!$A$24="☑",25&lt;='Resource Planner'!$N$24),'Resource Planner'!$F$24&amp;" "&amp;('Resource Planner'!$G$24+(25-1)*'Resource Planner'!$I$24)&amp;IF(('Resource Planner'!$G$24+(25-1)*'Resource Planner'!$I$24)=MIN('Resource Planner'!$G$24+25*'Resource Planner'!$I$24-1,'Resource Planner'!$H$24),"","–"&amp;MIN('Resource Planner'!$G$24+25*'Resource Planner'!$I$24-1,'Resource Planner'!$H$24)),"")</f>
        <v/>
      </c>
      <c r="G729" s="163" t="s">
        <v>109</v>
      </c>
      <c r="H729" s="163" t="str">
        <f>IF(AND('Resource Planner'!$A$24="☑",25&lt;='Resource Planner'!$N$24),'Resource Planner'!$M$24,"")</f>
        <v/>
      </c>
    </row>
    <row r="730" ht="15.75" customHeight="1">
      <c r="A7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0" s="163" t="str">
        <f>IF(AND('Resource Planner'!$A$24="☑",26&lt;='Resource Planner'!$N$24),'Resource Planner'!$C$24,"")</f>
        <v/>
      </c>
      <c r="C730" s="163" t="str">
        <f>IF(AND('Resource Planner'!$A$24="☑",26&lt;='Resource Planner'!$N$24),'Resource Planner'!$B$24,"")</f>
        <v/>
      </c>
      <c r="D730" s="163" t="str">
        <f>IF(AND('Resource Planner'!$A$24="☑",26&lt;='Resource Planner'!$N$24),'Resource Planner'!$D$24,"")</f>
        <v/>
      </c>
      <c r="E730" s="163" t="str">
        <f>IF(AND('Resource Planner'!$A$24="☑",26&lt;='Resource Planner'!$N$24),'Resource Planner'!$E$24,"")</f>
        <v/>
      </c>
      <c r="F730" s="163" t="str">
        <f>IF(AND('Resource Planner'!$A$24="☑",26&lt;='Resource Planner'!$N$24),'Resource Planner'!$F$24&amp;" "&amp;('Resource Planner'!$G$24+(26-1)*'Resource Planner'!$I$24)&amp;IF(('Resource Planner'!$G$24+(26-1)*'Resource Planner'!$I$24)=MIN('Resource Planner'!$G$24+26*'Resource Planner'!$I$24-1,'Resource Planner'!$H$24),"","–"&amp;MIN('Resource Planner'!$G$24+26*'Resource Planner'!$I$24-1,'Resource Planner'!$H$24)),"")</f>
        <v/>
      </c>
      <c r="G730" s="163" t="s">
        <v>109</v>
      </c>
      <c r="H730" s="163" t="str">
        <f>IF(AND('Resource Planner'!$A$24="☑",26&lt;='Resource Planner'!$N$24),'Resource Planner'!$M$24,"")</f>
        <v/>
      </c>
    </row>
    <row r="731" ht="15.75" customHeight="1">
      <c r="A7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1" s="163" t="str">
        <f>IF(AND('Resource Planner'!$A$24="☑",27&lt;='Resource Planner'!$N$24),'Resource Planner'!$C$24,"")</f>
        <v/>
      </c>
      <c r="C731" s="163" t="str">
        <f>IF(AND('Resource Planner'!$A$24="☑",27&lt;='Resource Planner'!$N$24),'Resource Planner'!$B$24,"")</f>
        <v/>
      </c>
      <c r="D731" s="163" t="str">
        <f>IF(AND('Resource Planner'!$A$24="☑",27&lt;='Resource Planner'!$N$24),'Resource Planner'!$D$24,"")</f>
        <v/>
      </c>
      <c r="E731" s="163" t="str">
        <f>IF(AND('Resource Planner'!$A$24="☑",27&lt;='Resource Planner'!$N$24),'Resource Planner'!$E$24,"")</f>
        <v/>
      </c>
      <c r="F731" s="163" t="str">
        <f>IF(AND('Resource Planner'!$A$24="☑",27&lt;='Resource Planner'!$N$24),'Resource Planner'!$F$24&amp;" "&amp;('Resource Planner'!$G$24+(27-1)*'Resource Planner'!$I$24)&amp;IF(('Resource Planner'!$G$24+(27-1)*'Resource Planner'!$I$24)=MIN('Resource Planner'!$G$24+27*'Resource Planner'!$I$24-1,'Resource Planner'!$H$24),"","–"&amp;MIN('Resource Planner'!$G$24+27*'Resource Planner'!$I$24-1,'Resource Planner'!$H$24)),"")</f>
        <v/>
      </c>
      <c r="G731" s="163" t="s">
        <v>109</v>
      </c>
      <c r="H731" s="163" t="str">
        <f>IF(AND('Resource Planner'!$A$24="☑",27&lt;='Resource Planner'!$N$24),'Resource Planner'!$M$24,"")</f>
        <v/>
      </c>
    </row>
    <row r="732" ht="15.75" customHeight="1">
      <c r="A7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2" s="163" t="str">
        <f>IF(AND('Resource Planner'!$A$24="☑",28&lt;='Resource Planner'!$N$24),'Resource Planner'!$C$24,"")</f>
        <v/>
      </c>
      <c r="C732" s="163" t="str">
        <f>IF(AND('Resource Planner'!$A$24="☑",28&lt;='Resource Planner'!$N$24),'Resource Planner'!$B$24,"")</f>
        <v/>
      </c>
      <c r="D732" s="163" t="str">
        <f>IF(AND('Resource Planner'!$A$24="☑",28&lt;='Resource Planner'!$N$24),'Resource Planner'!$D$24,"")</f>
        <v/>
      </c>
      <c r="E732" s="163" t="str">
        <f>IF(AND('Resource Planner'!$A$24="☑",28&lt;='Resource Planner'!$N$24),'Resource Planner'!$E$24,"")</f>
        <v/>
      </c>
      <c r="F732" s="163" t="str">
        <f>IF(AND('Resource Planner'!$A$24="☑",28&lt;='Resource Planner'!$N$24),'Resource Planner'!$F$24&amp;" "&amp;('Resource Planner'!$G$24+(28-1)*'Resource Planner'!$I$24)&amp;IF(('Resource Planner'!$G$24+(28-1)*'Resource Planner'!$I$24)=MIN('Resource Planner'!$G$24+28*'Resource Planner'!$I$24-1,'Resource Planner'!$H$24),"","–"&amp;MIN('Resource Planner'!$G$24+28*'Resource Planner'!$I$24-1,'Resource Planner'!$H$24)),"")</f>
        <v/>
      </c>
      <c r="G732" s="163" t="s">
        <v>109</v>
      </c>
      <c r="H732" s="163" t="str">
        <f>IF(AND('Resource Planner'!$A$24="☑",28&lt;='Resource Planner'!$N$24),'Resource Planner'!$M$24,"")</f>
        <v/>
      </c>
    </row>
    <row r="733" ht="15.75" customHeight="1">
      <c r="A7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3" s="163" t="str">
        <f>IF(AND('Resource Planner'!$A$24="☑",29&lt;='Resource Planner'!$N$24),'Resource Planner'!$C$24,"")</f>
        <v/>
      </c>
      <c r="C733" s="163" t="str">
        <f>IF(AND('Resource Planner'!$A$24="☑",29&lt;='Resource Planner'!$N$24),'Resource Planner'!$B$24,"")</f>
        <v/>
      </c>
      <c r="D733" s="163" t="str">
        <f>IF(AND('Resource Planner'!$A$24="☑",29&lt;='Resource Planner'!$N$24),'Resource Planner'!$D$24,"")</f>
        <v/>
      </c>
      <c r="E733" s="163" t="str">
        <f>IF(AND('Resource Planner'!$A$24="☑",29&lt;='Resource Planner'!$N$24),'Resource Planner'!$E$24,"")</f>
        <v/>
      </c>
      <c r="F733" s="163" t="str">
        <f>IF(AND('Resource Planner'!$A$24="☑",29&lt;='Resource Planner'!$N$24),'Resource Planner'!$F$24&amp;" "&amp;('Resource Planner'!$G$24+(29-1)*'Resource Planner'!$I$24)&amp;IF(('Resource Planner'!$G$24+(29-1)*'Resource Planner'!$I$24)=MIN('Resource Planner'!$G$24+29*'Resource Planner'!$I$24-1,'Resource Planner'!$H$24),"","–"&amp;MIN('Resource Planner'!$G$24+29*'Resource Planner'!$I$24-1,'Resource Planner'!$H$24)),"")</f>
        <v/>
      </c>
      <c r="G733" s="163" t="s">
        <v>109</v>
      </c>
      <c r="H733" s="163" t="str">
        <f>IF(AND('Resource Planner'!$A$24="☑",29&lt;='Resource Planner'!$N$24),'Resource Planner'!$M$24,"")</f>
        <v/>
      </c>
    </row>
    <row r="734" ht="15.75" customHeight="1">
      <c r="A7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4" s="163" t="str">
        <f>IF(AND('Resource Planner'!$A$24="☑",30&lt;='Resource Planner'!$N$24),'Resource Planner'!$C$24,"")</f>
        <v/>
      </c>
      <c r="C734" s="163" t="str">
        <f>IF(AND('Resource Planner'!$A$24="☑",30&lt;='Resource Planner'!$N$24),'Resource Planner'!$B$24,"")</f>
        <v/>
      </c>
      <c r="D734" s="163" t="str">
        <f>IF(AND('Resource Planner'!$A$24="☑",30&lt;='Resource Planner'!$N$24),'Resource Planner'!$D$24,"")</f>
        <v/>
      </c>
      <c r="E734" s="163" t="str">
        <f>IF(AND('Resource Planner'!$A$24="☑",30&lt;='Resource Planner'!$N$24),'Resource Planner'!$E$24,"")</f>
        <v/>
      </c>
      <c r="F734" s="163" t="str">
        <f>IF(AND('Resource Planner'!$A$24="☑",30&lt;='Resource Planner'!$N$24),'Resource Planner'!$F$24&amp;" "&amp;('Resource Planner'!$G$24+(30-1)*'Resource Planner'!$I$24)&amp;IF(('Resource Planner'!$G$24+(30-1)*'Resource Planner'!$I$24)=MIN('Resource Planner'!$G$24+30*'Resource Planner'!$I$24-1,'Resource Planner'!$H$24),"","–"&amp;MIN('Resource Planner'!$G$24+30*'Resource Planner'!$I$24-1,'Resource Planner'!$H$24)),"")</f>
        <v/>
      </c>
      <c r="G734" s="163" t="s">
        <v>109</v>
      </c>
      <c r="H734" s="163" t="str">
        <f>IF(AND('Resource Planner'!$A$24="☑",30&lt;='Resource Planner'!$N$24),'Resource Planner'!$M$24,"")</f>
        <v/>
      </c>
    </row>
    <row r="735" ht="15.75" customHeight="1">
      <c r="A7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5" s="163" t="str">
        <f>IF(AND('Resource Planner'!$A$24="☑",31&lt;='Resource Planner'!$N$24),'Resource Planner'!$C$24,"")</f>
        <v/>
      </c>
      <c r="C735" s="163" t="str">
        <f>IF(AND('Resource Planner'!$A$24="☑",31&lt;='Resource Planner'!$N$24),'Resource Planner'!$B$24,"")</f>
        <v/>
      </c>
      <c r="D735" s="163" t="str">
        <f>IF(AND('Resource Planner'!$A$24="☑",31&lt;='Resource Planner'!$N$24),'Resource Planner'!$D$24,"")</f>
        <v/>
      </c>
      <c r="E735" s="163" t="str">
        <f>IF(AND('Resource Planner'!$A$24="☑",31&lt;='Resource Planner'!$N$24),'Resource Planner'!$E$24,"")</f>
        <v/>
      </c>
      <c r="F735" s="163" t="str">
        <f>IF(AND('Resource Planner'!$A$24="☑",31&lt;='Resource Planner'!$N$24),'Resource Planner'!$F$24&amp;" "&amp;('Resource Planner'!$G$24+(31-1)*'Resource Planner'!$I$24)&amp;IF(('Resource Planner'!$G$24+(31-1)*'Resource Planner'!$I$24)=MIN('Resource Planner'!$G$24+31*'Resource Planner'!$I$24-1,'Resource Planner'!$H$24),"","–"&amp;MIN('Resource Planner'!$G$24+31*'Resource Planner'!$I$24-1,'Resource Planner'!$H$24)),"")</f>
        <v/>
      </c>
      <c r="G735" s="163" t="s">
        <v>109</v>
      </c>
      <c r="H735" s="163" t="str">
        <f>IF(AND('Resource Planner'!$A$24="☑",31&lt;='Resource Planner'!$N$24),'Resource Planner'!$M$24,"")</f>
        <v/>
      </c>
    </row>
    <row r="736" ht="15.75" customHeight="1">
      <c r="A7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6" s="163" t="str">
        <f>IF(AND('Resource Planner'!$A$24="☑",32&lt;='Resource Planner'!$N$24),'Resource Planner'!$C$24,"")</f>
        <v/>
      </c>
      <c r="C736" s="163" t="str">
        <f>IF(AND('Resource Planner'!$A$24="☑",32&lt;='Resource Planner'!$N$24),'Resource Planner'!$B$24,"")</f>
        <v/>
      </c>
      <c r="D736" s="163" t="str">
        <f>IF(AND('Resource Planner'!$A$24="☑",32&lt;='Resource Planner'!$N$24),'Resource Planner'!$D$24,"")</f>
        <v/>
      </c>
      <c r="E736" s="163" t="str">
        <f>IF(AND('Resource Planner'!$A$24="☑",32&lt;='Resource Planner'!$N$24),'Resource Planner'!$E$24,"")</f>
        <v/>
      </c>
      <c r="F736" s="163" t="str">
        <f>IF(AND('Resource Planner'!$A$24="☑",32&lt;='Resource Planner'!$N$24),'Resource Planner'!$F$24&amp;" "&amp;('Resource Planner'!$G$24+(32-1)*'Resource Planner'!$I$24)&amp;IF(('Resource Planner'!$G$24+(32-1)*'Resource Planner'!$I$24)=MIN('Resource Planner'!$G$24+32*'Resource Planner'!$I$24-1,'Resource Planner'!$H$24),"","–"&amp;MIN('Resource Planner'!$G$24+32*'Resource Planner'!$I$24-1,'Resource Planner'!$H$24)),"")</f>
        <v/>
      </c>
      <c r="G736" s="163" t="s">
        <v>109</v>
      </c>
      <c r="H736" s="163" t="str">
        <f>IF(AND('Resource Planner'!$A$24="☑",32&lt;='Resource Planner'!$N$24),'Resource Planner'!$M$24,"")</f>
        <v/>
      </c>
    </row>
    <row r="737" ht="15.75" customHeight="1">
      <c r="A7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7" s="163" t="str">
        <f>IF(AND('Resource Planner'!$A$24="☑",33&lt;='Resource Planner'!$N$24),'Resource Planner'!$C$24,"")</f>
        <v/>
      </c>
      <c r="C737" s="163" t="str">
        <f>IF(AND('Resource Planner'!$A$24="☑",33&lt;='Resource Planner'!$N$24),'Resource Planner'!$B$24,"")</f>
        <v/>
      </c>
      <c r="D737" s="163" t="str">
        <f>IF(AND('Resource Planner'!$A$24="☑",33&lt;='Resource Planner'!$N$24),'Resource Planner'!$D$24,"")</f>
        <v/>
      </c>
      <c r="E737" s="163" t="str">
        <f>IF(AND('Resource Planner'!$A$24="☑",33&lt;='Resource Planner'!$N$24),'Resource Planner'!$E$24,"")</f>
        <v/>
      </c>
      <c r="F737" s="163" t="str">
        <f>IF(AND('Resource Planner'!$A$24="☑",33&lt;='Resource Planner'!$N$24),'Resource Planner'!$F$24&amp;" "&amp;('Resource Planner'!$G$24+(33-1)*'Resource Planner'!$I$24)&amp;IF(('Resource Planner'!$G$24+(33-1)*'Resource Planner'!$I$24)=MIN('Resource Planner'!$G$24+33*'Resource Planner'!$I$24-1,'Resource Planner'!$H$24),"","–"&amp;MIN('Resource Planner'!$G$24+33*'Resource Planner'!$I$24-1,'Resource Planner'!$H$24)),"")</f>
        <v/>
      </c>
      <c r="G737" s="163" t="s">
        <v>109</v>
      </c>
      <c r="H737" s="163" t="str">
        <f>IF(AND('Resource Planner'!$A$24="☑",33&lt;='Resource Planner'!$N$24),'Resource Planner'!$M$24,"")</f>
        <v/>
      </c>
    </row>
    <row r="738" ht="15.75" customHeight="1">
      <c r="A7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8" s="163" t="str">
        <f>IF(AND('Resource Planner'!$A$24="☑",34&lt;='Resource Planner'!$N$24),'Resource Planner'!$C$24,"")</f>
        <v/>
      </c>
      <c r="C738" s="163" t="str">
        <f>IF(AND('Resource Planner'!$A$24="☑",34&lt;='Resource Planner'!$N$24),'Resource Planner'!$B$24,"")</f>
        <v/>
      </c>
      <c r="D738" s="163" t="str">
        <f>IF(AND('Resource Planner'!$A$24="☑",34&lt;='Resource Planner'!$N$24),'Resource Planner'!$D$24,"")</f>
        <v/>
      </c>
      <c r="E738" s="163" t="str">
        <f>IF(AND('Resource Planner'!$A$24="☑",34&lt;='Resource Planner'!$N$24),'Resource Planner'!$E$24,"")</f>
        <v/>
      </c>
      <c r="F738" s="163" t="str">
        <f>IF(AND('Resource Planner'!$A$24="☑",34&lt;='Resource Planner'!$N$24),'Resource Planner'!$F$24&amp;" "&amp;('Resource Planner'!$G$24+(34-1)*'Resource Planner'!$I$24)&amp;IF(('Resource Planner'!$G$24+(34-1)*'Resource Planner'!$I$24)=MIN('Resource Planner'!$G$24+34*'Resource Planner'!$I$24-1,'Resource Planner'!$H$24),"","–"&amp;MIN('Resource Planner'!$G$24+34*'Resource Planner'!$I$24-1,'Resource Planner'!$H$24)),"")</f>
        <v/>
      </c>
      <c r="G738" s="163" t="s">
        <v>109</v>
      </c>
      <c r="H738" s="163" t="str">
        <f>IF(AND('Resource Planner'!$A$24="☑",34&lt;='Resource Planner'!$N$24),'Resource Planner'!$M$24,"")</f>
        <v/>
      </c>
    </row>
    <row r="739" ht="15.75" customHeight="1">
      <c r="A7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39" s="163" t="str">
        <f>IF(AND('Resource Planner'!$A$24="☑",35&lt;='Resource Planner'!$N$24),'Resource Planner'!$C$24,"")</f>
        <v/>
      </c>
      <c r="C739" s="163" t="str">
        <f>IF(AND('Resource Planner'!$A$24="☑",35&lt;='Resource Planner'!$N$24),'Resource Planner'!$B$24,"")</f>
        <v/>
      </c>
      <c r="D739" s="163" t="str">
        <f>IF(AND('Resource Planner'!$A$24="☑",35&lt;='Resource Planner'!$N$24),'Resource Planner'!$D$24,"")</f>
        <v/>
      </c>
      <c r="E739" s="163" t="str">
        <f>IF(AND('Resource Planner'!$A$24="☑",35&lt;='Resource Planner'!$N$24),'Resource Planner'!$E$24,"")</f>
        <v/>
      </c>
      <c r="F739" s="163" t="str">
        <f>IF(AND('Resource Planner'!$A$24="☑",35&lt;='Resource Planner'!$N$24),'Resource Planner'!$F$24&amp;" "&amp;('Resource Planner'!$G$24+(35-1)*'Resource Planner'!$I$24)&amp;IF(('Resource Planner'!$G$24+(35-1)*'Resource Planner'!$I$24)=MIN('Resource Planner'!$G$24+35*'Resource Planner'!$I$24-1,'Resource Planner'!$H$24),"","–"&amp;MIN('Resource Planner'!$G$24+35*'Resource Planner'!$I$24-1,'Resource Planner'!$H$24)),"")</f>
        <v/>
      </c>
      <c r="G739" s="163" t="s">
        <v>109</v>
      </c>
      <c r="H739" s="163" t="str">
        <f>IF(AND('Resource Planner'!$A$24="☑",35&lt;='Resource Planner'!$N$24),'Resource Planner'!$M$24,"")</f>
        <v/>
      </c>
    </row>
    <row r="740" ht="15.75" customHeight="1">
      <c r="A7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0" s="163" t="str">
        <f>IF(AND('Resource Planner'!$A$24="☑",36&lt;='Resource Planner'!$N$24),'Resource Planner'!$C$24,"")</f>
        <v/>
      </c>
      <c r="C740" s="163" t="str">
        <f>IF(AND('Resource Planner'!$A$24="☑",36&lt;='Resource Planner'!$N$24),'Resource Planner'!$B$24,"")</f>
        <v/>
      </c>
      <c r="D740" s="163" t="str">
        <f>IF(AND('Resource Planner'!$A$24="☑",36&lt;='Resource Planner'!$N$24),'Resource Planner'!$D$24,"")</f>
        <v/>
      </c>
      <c r="E740" s="163" t="str">
        <f>IF(AND('Resource Planner'!$A$24="☑",36&lt;='Resource Planner'!$N$24),'Resource Planner'!$E$24,"")</f>
        <v/>
      </c>
      <c r="F740" s="163" t="str">
        <f>IF(AND('Resource Planner'!$A$24="☑",36&lt;='Resource Planner'!$N$24),'Resource Planner'!$F$24&amp;" "&amp;('Resource Planner'!$G$24+(36-1)*'Resource Planner'!$I$24)&amp;IF(('Resource Planner'!$G$24+(36-1)*'Resource Planner'!$I$24)=MIN('Resource Planner'!$G$24+36*'Resource Planner'!$I$24-1,'Resource Planner'!$H$24),"","–"&amp;MIN('Resource Planner'!$G$24+36*'Resource Planner'!$I$24-1,'Resource Planner'!$H$24)),"")</f>
        <v/>
      </c>
      <c r="G740" s="163" t="s">
        <v>109</v>
      </c>
      <c r="H740" s="163" t="str">
        <f>IF(AND('Resource Planner'!$A$24="☑",36&lt;='Resource Planner'!$N$24),'Resource Planner'!$M$24,"")</f>
        <v/>
      </c>
    </row>
    <row r="741" ht="15.75" customHeight="1">
      <c r="A7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1" s="163" t="str">
        <f>IF(AND('Resource Planner'!$A$24="☑",37&lt;='Resource Planner'!$N$24),'Resource Planner'!$C$24,"")</f>
        <v/>
      </c>
      <c r="C741" s="163" t="str">
        <f>IF(AND('Resource Planner'!$A$24="☑",37&lt;='Resource Planner'!$N$24),'Resource Planner'!$B$24,"")</f>
        <v/>
      </c>
      <c r="D741" s="163" t="str">
        <f>IF(AND('Resource Planner'!$A$24="☑",37&lt;='Resource Planner'!$N$24),'Resource Planner'!$D$24,"")</f>
        <v/>
      </c>
      <c r="E741" s="163" t="str">
        <f>IF(AND('Resource Planner'!$A$24="☑",37&lt;='Resource Planner'!$N$24),'Resource Planner'!$E$24,"")</f>
        <v/>
      </c>
      <c r="F741" s="163" t="str">
        <f>IF(AND('Resource Planner'!$A$24="☑",37&lt;='Resource Planner'!$N$24),'Resource Planner'!$F$24&amp;" "&amp;('Resource Planner'!$G$24+(37-1)*'Resource Planner'!$I$24)&amp;IF(('Resource Planner'!$G$24+(37-1)*'Resource Planner'!$I$24)=MIN('Resource Planner'!$G$24+37*'Resource Planner'!$I$24-1,'Resource Planner'!$H$24),"","–"&amp;MIN('Resource Planner'!$G$24+37*'Resource Planner'!$I$24-1,'Resource Planner'!$H$24)),"")</f>
        <v/>
      </c>
      <c r="G741" s="163" t="s">
        <v>109</v>
      </c>
      <c r="H741" s="163" t="str">
        <f>IF(AND('Resource Planner'!$A$24="☑",37&lt;='Resource Planner'!$N$24),'Resource Planner'!$M$24,"")</f>
        <v/>
      </c>
    </row>
    <row r="742" ht="15.75" customHeight="1">
      <c r="A7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2" s="163" t="str">
        <f>IF(AND('Resource Planner'!$A$24="☑",38&lt;='Resource Planner'!$N$24),'Resource Planner'!$C$24,"")</f>
        <v/>
      </c>
      <c r="C742" s="163" t="str">
        <f>IF(AND('Resource Planner'!$A$24="☑",38&lt;='Resource Planner'!$N$24),'Resource Planner'!$B$24,"")</f>
        <v/>
      </c>
      <c r="D742" s="163" t="str">
        <f>IF(AND('Resource Planner'!$A$24="☑",38&lt;='Resource Planner'!$N$24),'Resource Planner'!$D$24,"")</f>
        <v/>
      </c>
      <c r="E742" s="163" t="str">
        <f>IF(AND('Resource Planner'!$A$24="☑",38&lt;='Resource Planner'!$N$24),'Resource Planner'!$E$24,"")</f>
        <v/>
      </c>
      <c r="F742" s="163" t="str">
        <f>IF(AND('Resource Planner'!$A$24="☑",38&lt;='Resource Planner'!$N$24),'Resource Planner'!$F$24&amp;" "&amp;('Resource Planner'!$G$24+(38-1)*'Resource Planner'!$I$24)&amp;IF(('Resource Planner'!$G$24+(38-1)*'Resource Planner'!$I$24)=MIN('Resource Planner'!$G$24+38*'Resource Planner'!$I$24-1,'Resource Planner'!$H$24),"","–"&amp;MIN('Resource Planner'!$G$24+38*'Resource Planner'!$I$24-1,'Resource Planner'!$H$24)),"")</f>
        <v/>
      </c>
      <c r="G742" s="163" t="s">
        <v>109</v>
      </c>
      <c r="H742" s="163" t="str">
        <f>IF(AND('Resource Planner'!$A$24="☑",38&lt;='Resource Planner'!$N$24),'Resource Planner'!$M$24,"")</f>
        <v/>
      </c>
    </row>
    <row r="743" ht="15.75" customHeight="1">
      <c r="A7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3" s="163" t="str">
        <f>IF(AND('Resource Planner'!$A$24="☑",39&lt;='Resource Planner'!$N$24),'Resource Planner'!$C$24,"")</f>
        <v/>
      </c>
      <c r="C743" s="163" t="str">
        <f>IF(AND('Resource Planner'!$A$24="☑",39&lt;='Resource Planner'!$N$24),'Resource Planner'!$B$24,"")</f>
        <v/>
      </c>
      <c r="D743" s="163" t="str">
        <f>IF(AND('Resource Planner'!$A$24="☑",39&lt;='Resource Planner'!$N$24),'Resource Planner'!$D$24,"")</f>
        <v/>
      </c>
      <c r="E743" s="163" t="str">
        <f>IF(AND('Resource Planner'!$A$24="☑",39&lt;='Resource Planner'!$N$24),'Resource Planner'!$E$24,"")</f>
        <v/>
      </c>
      <c r="F743" s="163" t="str">
        <f>IF(AND('Resource Planner'!$A$24="☑",39&lt;='Resource Planner'!$N$24),'Resource Planner'!$F$24&amp;" "&amp;('Resource Planner'!$G$24+(39-1)*'Resource Planner'!$I$24)&amp;IF(('Resource Planner'!$G$24+(39-1)*'Resource Planner'!$I$24)=MIN('Resource Planner'!$G$24+39*'Resource Planner'!$I$24-1,'Resource Planner'!$H$24),"","–"&amp;MIN('Resource Planner'!$G$24+39*'Resource Planner'!$I$24-1,'Resource Planner'!$H$24)),"")</f>
        <v/>
      </c>
      <c r="G743" s="163" t="s">
        <v>109</v>
      </c>
      <c r="H743" s="163" t="str">
        <f>IF(AND('Resource Planner'!$A$24="☑",39&lt;='Resource Planner'!$N$24),'Resource Planner'!$M$24,"")</f>
        <v/>
      </c>
    </row>
    <row r="744" ht="15.75" customHeight="1">
      <c r="A7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4" s="163" t="str">
        <f>IF(AND('Resource Planner'!$A$24="☑",40&lt;='Resource Planner'!$N$24),'Resource Planner'!$C$24,"")</f>
        <v/>
      </c>
      <c r="C744" s="163" t="str">
        <f>IF(AND('Resource Planner'!$A$24="☑",40&lt;='Resource Planner'!$N$24),'Resource Planner'!$B$24,"")</f>
        <v/>
      </c>
      <c r="D744" s="163" t="str">
        <f>IF(AND('Resource Planner'!$A$24="☑",40&lt;='Resource Planner'!$N$24),'Resource Planner'!$D$24,"")</f>
        <v/>
      </c>
      <c r="E744" s="163" t="str">
        <f>IF(AND('Resource Planner'!$A$24="☑",40&lt;='Resource Planner'!$N$24),'Resource Planner'!$E$24,"")</f>
        <v/>
      </c>
      <c r="F744" s="163" t="str">
        <f>IF(AND('Resource Planner'!$A$24="☑",40&lt;='Resource Planner'!$N$24),'Resource Planner'!$F$24&amp;" "&amp;('Resource Planner'!$G$24+(40-1)*'Resource Planner'!$I$24)&amp;IF(('Resource Planner'!$G$24+(40-1)*'Resource Planner'!$I$24)=MIN('Resource Planner'!$G$24+40*'Resource Planner'!$I$24-1,'Resource Planner'!$H$24),"","–"&amp;MIN('Resource Planner'!$G$24+40*'Resource Planner'!$I$24-1,'Resource Planner'!$H$24)),"")</f>
        <v/>
      </c>
      <c r="G744" s="163" t="s">
        <v>109</v>
      </c>
      <c r="H744" s="163" t="str">
        <f>IF(AND('Resource Planner'!$A$24="☑",40&lt;='Resource Planner'!$N$24),'Resource Planner'!$M$24,"")</f>
        <v/>
      </c>
    </row>
    <row r="745" ht="15.75" customHeight="1">
      <c r="A7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5" s="163" t="str">
        <f>IF(AND('Resource Planner'!$A$24="☑",41&lt;='Resource Planner'!$N$24),'Resource Planner'!$C$24,"")</f>
        <v/>
      </c>
      <c r="C745" s="163" t="str">
        <f>IF(AND('Resource Planner'!$A$24="☑",41&lt;='Resource Planner'!$N$24),'Resource Planner'!$B$24,"")</f>
        <v/>
      </c>
      <c r="D745" s="163" t="str">
        <f>IF(AND('Resource Planner'!$A$24="☑",41&lt;='Resource Planner'!$N$24),'Resource Planner'!$D$24,"")</f>
        <v/>
      </c>
      <c r="E745" s="163" t="str">
        <f>IF(AND('Resource Planner'!$A$24="☑",41&lt;='Resource Planner'!$N$24),'Resource Planner'!$E$24,"")</f>
        <v/>
      </c>
      <c r="F745" s="163" t="str">
        <f>IF(AND('Resource Planner'!$A$24="☑",41&lt;='Resource Planner'!$N$24),'Resource Planner'!$F$24&amp;" "&amp;('Resource Planner'!$G$24+(41-1)*'Resource Planner'!$I$24)&amp;IF(('Resource Planner'!$G$24+(41-1)*'Resource Planner'!$I$24)=MIN('Resource Planner'!$G$24+41*'Resource Planner'!$I$24-1,'Resource Planner'!$H$24),"","–"&amp;MIN('Resource Planner'!$G$24+41*'Resource Planner'!$I$24-1,'Resource Planner'!$H$24)),"")</f>
        <v/>
      </c>
      <c r="G745" s="163" t="s">
        <v>109</v>
      </c>
      <c r="H745" s="163" t="str">
        <f>IF(AND('Resource Planner'!$A$24="☑",41&lt;='Resource Planner'!$N$24),'Resource Planner'!$M$24,"")</f>
        <v/>
      </c>
    </row>
    <row r="746" ht="15.75" customHeight="1">
      <c r="A7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6" s="163" t="str">
        <f>IF(AND('Resource Planner'!$A$24="☑",42&lt;='Resource Planner'!$N$24),'Resource Planner'!$C$24,"")</f>
        <v/>
      </c>
      <c r="C746" s="163" t="str">
        <f>IF(AND('Resource Planner'!$A$24="☑",42&lt;='Resource Planner'!$N$24),'Resource Planner'!$B$24,"")</f>
        <v/>
      </c>
      <c r="D746" s="163" t="str">
        <f>IF(AND('Resource Planner'!$A$24="☑",42&lt;='Resource Planner'!$N$24),'Resource Planner'!$D$24,"")</f>
        <v/>
      </c>
      <c r="E746" s="163" t="str">
        <f>IF(AND('Resource Planner'!$A$24="☑",42&lt;='Resource Planner'!$N$24),'Resource Planner'!$E$24,"")</f>
        <v/>
      </c>
      <c r="F746" s="163" t="str">
        <f>IF(AND('Resource Planner'!$A$24="☑",42&lt;='Resource Planner'!$N$24),'Resource Planner'!$F$24&amp;" "&amp;('Resource Planner'!$G$24+(42-1)*'Resource Planner'!$I$24)&amp;IF(('Resource Planner'!$G$24+(42-1)*'Resource Planner'!$I$24)=MIN('Resource Planner'!$G$24+42*'Resource Planner'!$I$24-1,'Resource Planner'!$H$24),"","–"&amp;MIN('Resource Planner'!$G$24+42*'Resource Planner'!$I$24-1,'Resource Planner'!$H$24)),"")</f>
        <v/>
      </c>
      <c r="G746" s="163" t="s">
        <v>109</v>
      </c>
      <c r="H746" s="163" t="str">
        <f>IF(AND('Resource Planner'!$A$24="☑",42&lt;='Resource Planner'!$N$24),'Resource Planner'!$M$24,"")</f>
        <v/>
      </c>
    </row>
    <row r="747" ht="15.75" customHeight="1">
      <c r="A7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7" s="163" t="str">
        <f>IF(AND('Resource Planner'!$A$24="☑",43&lt;='Resource Planner'!$N$24),'Resource Planner'!$C$24,"")</f>
        <v/>
      </c>
      <c r="C747" s="163" t="str">
        <f>IF(AND('Resource Planner'!$A$24="☑",43&lt;='Resource Planner'!$N$24),'Resource Planner'!$B$24,"")</f>
        <v/>
      </c>
      <c r="D747" s="163" t="str">
        <f>IF(AND('Resource Planner'!$A$24="☑",43&lt;='Resource Planner'!$N$24),'Resource Planner'!$D$24,"")</f>
        <v/>
      </c>
      <c r="E747" s="163" t="str">
        <f>IF(AND('Resource Planner'!$A$24="☑",43&lt;='Resource Planner'!$N$24),'Resource Planner'!$E$24,"")</f>
        <v/>
      </c>
      <c r="F747" s="163" t="str">
        <f>IF(AND('Resource Planner'!$A$24="☑",43&lt;='Resource Planner'!$N$24),'Resource Planner'!$F$24&amp;" "&amp;('Resource Planner'!$G$24+(43-1)*'Resource Planner'!$I$24)&amp;IF(('Resource Planner'!$G$24+(43-1)*'Resource Planner'!$I$24)=MIN('Resource Planner'!$G$24+43*'Resource Planner'!$I$24-1,'Resource Planner'!$H$24),"","–"&amp;MIN('Resource Planner'!$G$24+43*'Resource Planner'!$I$24-1,'Resource Planner'!$H$24)),"")</f>
        <v/>
      </c>
      <c r="G747" s="163" t="s">
        <v>109</v>
      </c>
      <c r="H747" s="163" t="str">
        <f>IF(AND('Resource Planner'!$A$24="☑",43&lt;='Resource Planner'!$N$24),'Resource Planner'!$M$24,"")</f>
        <v/>
      </c>
    </row>
    <row r="748" ht="15.75" customHeight="1">
      <c r="A7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8" s="163" t="str">
        <f>IF(AND('Resource Planner'!$A$24="☑",44&lt;='Resource Planner'!$N$24),'Resource Planner'!$C$24,"")</f>
        <v/>
      </c>
      <c r="C748" s="163" t="str">
        <f>IF(AND('Resource Planner'!$A$24="☑",44&lt;='Resource Planner'!$N$24),'Resource Planner'!$B$24,"")</f>
        <v/>
      </c>
      <c r="D748" s="163" t="str">
        <f>IF(AND('Resource Planner'!$A$24="☑",44&lt;='Resource Planner'!$N$24),'Resource Planner'!$D$24,"")</f>
        <v/>
      </c>
      <c r="E748" s="163" t="str">
        <f>IF(AND('Resource Planner'!$A$24="☑",44&lt;='Resource Planner'!$N$24),'Resource Planner'!$E$24,"")</f>
        <v/>
      </c>
      <c r="F748" s="163" t="str">
        <f>IF(AND('Resource Planner'!$A$24="☑",44&lt;='Resource Planner'!$N$24),'Resource Planner'!$F$24&amp;" "&amp;('Resource Planner'!$G$24+(44-1)*'Resource Planner'!$I$24)&amp;IF(('Resource Planner'!$G$24+(44-1)*'Resource Planner'!$I$24)=MIN('Resource Planner'!$G$24+44*'Resource Planner'!$I$24-1,'Resource Planner'!$H$24),"","–"&amp;MIN('Resource Planner'!$G$24+44*'Resource Planner'!$I$24-1,'Resource Planner'!$H$24)),"")</f>
        <v/>
      </c>
      <c r="G748" s="163" t="s">
        <v>109</v>
      </c>
      <c r="H748" s="163" t="str">
        <f>IF(AND('Resource Planner'!$A$24="☑",44&lt;='Resource Planner'!$N$24),'Resource Planner'!$M$24,"")</f>
        <v/>
      </c>
    </row>
    <row r="749" ht="15.75" customHeight="1">
      <c r="A7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49" s="163" t="str">
        <f>IF(AND('Resource Planner'!$A$24="☑",45&lt;='Resource Planner'!$N$24),'Resource Planner'!$C$24,"")</f>
        <v/>
      </c>
      <c r="C749" s="163" t="str">
        <f>IF(AND('Resource Planner'!$A$24="☑",45&lt;='Resource Planner'!$N$24),'Resource Planner'!$B$24,"")</f>
        <v/>
      </c>
      <c r="D749" s="163" t="str">
        <f>IF(AND('Resource Planner'!$A$24="☑",45&lt;='Resource Planner'!$N$24),'Resource Planner'!$D$24,"")</f>
        <v/>
      </c>
      <c r="E749" s="163" t="str">
        <f>IF(AND('Resource Planner'!$A$24="☑",45&lt;='Resource Planner'!$N$24),'Resource Planner'!$E$24,"")</f>
        <v/>
      </c>
      <c r="F749" s="163" t="str">
        <f>IF(AND('Resource Planner'!$A$24="☑",45&lt;='Resource Planner'!$N$24),'Resource Planner'!$F$24&amp;" "&amp;('Resource Planner'!$G$24+(45-1)*'Resource Planner'!$I$24)&amp;IF(('Resource Planner'!$G$24+(45-1)*'Resource Planner'!$I$24)=MIN('Resource Planner'!$G$24+45*'Resource Planner'!$I$24-1,'Resource Planner'!$H$24),"","–"&amp;MIN('Resource Planner'!$G$24+45*'Resource Planner'!$I$24-1,'Resource Planner'!$H$24)),"")</f>
        <v/>
      </c>
      <c r="G749" s="163" t="s">
        <v>109</v>
      </c>
      <c r="H749" s="163" t="str">
        <f>IF(AND('Resource Planner'!$A$24="☑",45&lt;='Resource Planner'!$N$24),'Resource Planner'!$M$24,"")</f>
        <v/>
      </c>
    </row>
    <row r="750" ht="15.75" customHeight="1">
      <c r="A7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0" s="163" t="str">
        <f>IF(AND('Resource Planner'!$A$24="☑",46&lt;='Resource Planner'!$N$24),'Resource Planner'!$C$24,"")</f>
        <v/>
      </c>
      <c r="C750" s="163" t="str">
        <f>IF(AND('Resource Planner'!$A$24="☑",46&lt;='Resource Planner'!$N$24),'Resource Planner'!$B$24,"")</f>
        <v/>
      </c>
      <c r="D750" s="163" t="str">
        <f>IF(AND('Resource Planner'!$A$24="☑",46&lt;='Resource Planner'!$N$24),'Resource Planner'!$D$24,"")</f>
        <v/>
      </c>
      <c r="E750" s="163" t="str">
        <f>IF(AND('Resource Planner'!$A$24="☑",46&lt;='Resource Planner'!$N$24),'Resource Planner'!$E$24,"")</f>
        <v/>
      </c>
      <c r="F750" s="163" t="str">
        <f>IF(AND('Resource Planner'!$A$24="☑",46&lt;='Resource Planner'!$N$24),'Resource Planner'!$F$24&amp;" "&amp;('Resource Planner'!$G$24+(46-1)*'Resource Planner'!$I$24)&amp;IF(('Resource Planner'!$G$24+(46-1)*'Resource Planner'!$I$24)=MIN('Resource Planner'!$G$24+46*'Resource Planner'!$I$24-1,'Resource Planner'!$H$24),"","–"&amp;MIN('Resource Planner'!$G$24+46*'Resource Planner'!$I$24-1,'Resource Planner'!$H$24)),"")</f>
        <v/>
      </c>
      <c r="G750" s="163" t="s">
        <v>109</v>
      </c>
      <c r="H750" s="163" t="str">
        <f>IF(AND('Resource Planner'!$A$24="☑",46&lt;='Resource Planner'!$N$24),'Resource Planner'!$M$24,"")</f>
        <v/>
      </c>
    </row>
    <row r="751" ht="15.75" customHeight="1">
      <c r="A7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1" s="163" t="str">
        <f>IF(AND('Resource Planner'!$A$24="☑",47&lt;='Resource Planner'!$N$24),'Resource Planner'!$C$24,"")</f>
        <v/>
      </c>
      <c r="C751" s="163" t="str">
        <f>IF(AND('Resource Planner'!$A$24="☑",47&lt;='Resource Planner'!$N$24),'Resource Planner'!$B$24,"")</f>
        <v/>
      </c>
      <c r="D751" s="163" t="str">
        <f>IF(AND('Resource Planner'!$A$24="☑",47&lt;='Resource Planner'!$N$24),'Resource Planner'!$D$24,"")</f>
        <v/>
      </c>
      <c r="E751" s="163" t="str">
        <f>IF(AND('Resource Planner'!$A$24="☑",47&lt;='Resource Planner'!$N$24),'Resource Planner'!$E$24,"")</f>
        <v/>
      </c>
      <c r="F751" s="163" t="str">
        <f>IF(AND('Resource Planner'!$A$24="☑",47&lt;='Resource Planner'!$N$24),'Resource Planner'!$F$24&amp;" "&amp;('Resource Planner'!$G$24+(47-1)*'Resource Planner'!$I$24)&amp;IF(('Resource Planner'!$G$24+(47-1)*'Resource Planner'!$I$24)=MIN('Resource Planner'!$G$24+47*'Resource Planner'!$I$24-1,'Resource Planner'!$H$24),"","–"&amp;MIN('Resource Planner'!$G$24+47*'Resource Planner'!$I$24-1,'Resource Planner'!$H$24)),"")</f>
        <v/>
      </c>
      <c r="G751" s="163" t="s">
        <v>109</v>
      </c>
      <c r="H751" s="163" t="str">
        <f>IF(AND('Resource Planner'!$A$24="☑",47&lt;='Resource Planner'!$N$24),'Resource Planner'!$M$24,"")</f>
        <v/>
      </c>
    </row>
    <row r="752" ht="15.75" customHeight="1">
      <c r="A7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2" s="163" t="str">
        <f>IF(AND('Resource Planner'!$A$24="☑",48&lt;='Resource Planner'!$N$24),'Resource Planner'!$C$24,"")</f>
        <v/>
      </c>
      <c r="C752" s="163" t="str">
        <f>IF(AND('Resource Planner'!$A$24="☑",48&lt;='Resource Planner'!$N$24),'Resource Planner'!$B$24,"")</f>
        <v/>
      </c>
      <c r="D752" s="163" t="str">
        <f>IF(AND('Resource Planner'!$A$24="☑",48&lt;='Resource Planner'!$N$24),'Resource Planner'!$D$24,"")</f>
        <v/>
      </c>
      <c r="E752" s="163" t="str">
        <f>IF(AND('Resource Planner'!$A$24="☑",48&lt;='Resource Planner'!$N$24),'Resource Planner'!$E$24,"")</f>
        <v/>
      </c>
      <c r="F752" s="163" t="str">
        <f>IF(AND('Resource Planner'!$A$24="☑",48&lt;='Resource Planner'!$N$24),'Resource Planner'!$F$24&amp;" "&amp;('Resource Planner'!$G$24+(48-1)*'Resource Planner'!$I$24)&amp;IF(('Resource Planner'!$G$24+(48-1)*'Resource Planner'!$I$24)=MIN('Resource Planner'!$G$24+48*'Resource Planner'!$I$24-1,'Resource Planner'!$H$24),"","–"&amp;MIN('Resource Planner'!$G$24+48*'Resource Planner'!$I$24-1,'Resource Planner'!$H$24)),"")</f>
        <v/>
      </c>
      <c r="G752" s="163" t="s">
        <v>109</v>
      </c>
      <c r="H752" s="163" t="str">
        <f>IF(AND('Resource Planner'!$A$24="☑",48&lt;='Resource Planner'!$N$24),'Resource Planner'!$M$24,"")</f>
        <v/>
      </c>
    </row>
    <row r="753" ht="15.75" customHeight="1">
      <c r="A7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3" s="163" t="str">
        <f>IF(AND('Resource Planner'!$A$24="☑",49&lt;='Resource Planner'!$N$24),'Resource Planner'!$C$24,"")</f>
        <v/>
      </c>
      <c r="C753" s="163" t="str">
        <f>IF(AND('Resource Planner'!$A$24="☑",49&lt;='Resource Planner'!$N$24),'Resource Planner'!$B$24,"")</f>
        <v/>
      </c>
      <c r="D753" s="163" t="str">
        <f>IF(AND('Resource Planner'!$A$24="☑",49&lt;='Resource Planner'!$N$24),'Resource Planner'!$D$24,"")</f>
        <v/>
      </c>
      <c r="E753" s="163" t="str">
        <f>IF(AND('Resource Planner'!$A$24="☑",49&lt;='Resource Planner'!$N$24),'Resource Planner'!$E$24,"")</f>
        <v/>
      </c>
      <c r="F753" s="163" t="str">
        <f>IF(AND('Resource Planner'!$A$24="☑",49&lt;='Resource Planner'!$N$24),'Resource Planner'!$F$24&amp;" "&amp;('Resource Planner'!$G$24+(49-1)*'Resource Planner'!$I$24)&amp;IF(('Resource Planner'!$G$24+(49-1)*'Resource Planner'!$I$24)=MIN('Resource Planner'!$G$24+49*'Resource Planner'!$I$24-1,'Resource Planner'!$H$24),"","–"&amp;MIN('Resource Planner'!$G$24+49*'Resource Planner'!$I$24-1,'Resource Planner'!$H$24)),"")</f>
        <v/>
      </c>
      <c r="G753" s="163" t="s">
        <v>109</v>
      </c>
      <c r="H753" s="163" t="str">
        <f>IF(AND('Resource Planner'!$A$24="☑",49&lt;='Resource Planner'!$N$24),'Resource Planner'!$M$24,"")</f>
        <v/>
      </c>
    </row>
    <row r="754" ht="15.75" customHeight="1">
      <c r="A7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4" s="163" t="str">
        <f>IF(AND('Resource Planner'!$A$24="☑",50&lt;='Resource Planner'!$N$24),'Resource Planner'!$C$24,"")</f>
        <v/>
      </c>
      <c r="C754" s="163" t="str">
        <f>IF(AND('Resource Planner'!$A$24="☑",50&lt;='Resource Planner'!$N$24),'Resource Planner'!$B$24,"")</f>
        <v/>
      </c>
      <c r="D754" s="163" t="str">
        <f>IF(AND('Resource Planner'!$A$24="☑",50&lt;='Resource Planner'!$N$24),'Resource Planner'!$D$24,"")</f>
        <v/>
      </c>
      <c r="E754" s="163" t="str">
        <f>IF(AND('Resource Planner'!$A$24="☑",50&lt;='Resource Planner'!$N$24),'Resource Planner'!$E$24,"")</f>
        <v/>
      </c>
      <c r="F754" s="163" t="str">
        <f>IF(AND('Resource Planner'!$A$24="☑",50&lt;='Resource Planner'!$N$24),'Resource Planner'!$F$24&amp;" "&amp;('Resource Planner'!$G$24+(50-1)*'Resource Planner'!$I$24)&amp;IF(('Resource Planner'!$G$24+(50-1)*'Resource Planner'!$I$24)=MIN('Resource Planner'!$G$24+50*'Resource Planner'!$I$24-1,'Resource Planner'!$H$24),"","–"&amp;MIN('Resource Planner'!$G$24+50*'Resource Planner'!$I$24-1,'Resource Planner'!$H$24)),"")</f>
        <v/>
      </c>
      <c r="G754" s="163" t="s">
        <v>109</v>
      </c>
      <c r="H754" s="163" t="str">
        <f>IF(AND('Resource Planner'!$A$24="☑",50&lt;='Resource Planner'!$N$24),'Resource Planner'!$M$24,"")</f>
        <v/>
      </c>
    </row>
    <row r="755" ht="15.75" customHeight="1">
      <c r="A7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5" s="163" t="str">
        <f>IF(AND('Resource Planner'!$A$25="☑",1&lt;='Resource Planner'!$N$25),'Resource Planner'!$C$25,"")</f>
        <v/>
      </c>
      <c r="C755" s="163" t="str">
        <f>IF(AND('Resource Planner'!$A$25="☑",1&lt;='Resource Planner'!$N$25),'Resource Planner'!$B$25,"")</f>
        <v/>
      </c>
      <c r="D755" s="163" t="str">
        <f>IF(AND('Resource Planner'!$A$25="☑",1&lt;='Resource Planner'!$N$25),'Resource Planner'!$D$25,"")</f>
        <v/>
      </c>
      <c r="E755" s="163" t="str">
        <f>IF(AND('Resource Planner'!$A$25="☑",1&lt;='Resource Planner'!$N$25),'Resource Planner'!$E$25,"")</f>
        <v/>
      </c>
      <c r="F755" s="163" t="str">
        <f>IF(AND('Resource Planner'!$A$25="☑",1&lt;='Resource Planner'!$N$25),'Resource Planner'!$F$25&amp;" "&amp;('Resource Planner'!$G$25+(1-1)*'Resource Planner'!$I$25)&amp;IF(('Resource Planner'!$G$25+(1-1)*'Resource Planner'!$I$25)=MIN('Resource Planner'!$G$25+1*'Resource Planner'!$I$25-1,'Resource Planner'!$H$25),"","–"&amp;MIN('Resource Planner'!$G$25+1*'Resource Planner'!$I$25-1,'Resource Planner'!$H$25)),"")</f>
        <v/>
      </c>
      <c r="G755" s="163" t="s">
        <v>109</v>
      </c>
      <c r="H755" s="163" t="str">
        <f>IF(AND('Resource Planner'!$A$25="☑",1&lt;='Resource Planner'!$N$25),'Resource Planner'!$M$25,"")</f>
        <v/>
      </c>
    </row>
    <row r="756" ht="15.75" customHeight="1">
      <c r="A7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6" s="163" t="str">
        <f>IF(AND('Resource Planner'!$A$25="☑",2&lt;='Resource Planner'!$N$25),'Resource Planner'!$C$25,"")</f>
        <v/>
      </c>
      <c r="C756" s="163" t="str">
        <f>IF(AND('Resource Planner'!$A$25="☑",2&lt;='Resource Planner'!$N$25),'Resource Planner'!$B$25,"")</f>
        <v/>
      </c>
      <c r="D756" s="163" t="str">
        <f>IF(AND('Resource Planner'!$A$25="☑",2&lt;='Resource Planner'!$N$25),'Resource Planner'!$D$25,"")</f>
        <v/>
      </c>
      <c r="E756" s="163" t="str">
        <f>IF(AND('Resource Planner'!$A$25="☑",2&lt;='Resource Planner'!$N$25),'Resource Planner'!$E$25,"")</f>
        <v/>
      </c>
      <c r="F756" s="163" t="str">
        <f>IF(AND('Resource Planner'!$A$25="☑",2&lt;='Resource Planner'!$N$25),'Resource Planner'!$F$25&amp;" "&amp;('Resource Planner'!$G$25+(2-1)*'Resource Planner'!$I$25)&amp;IF(('Resource Planner'!$G$25+(2-1)*'Resource Planner'!$I$25)=MIN('Resource Planner'!$G$25+2*'Resource Planner'!$I$25-1,'Resource Planner'!$H$25),"","–"&amp;MIN('Resource Planner'!$G$25+2*'Resource Planner'!$I$25-1,'Resource Planner'!$H$25)),"")</f>
        <v/>
      </c>
      <c r="G756" s="163" t="s">
        <v>109</v>
      </c>
      <c r="H756" s="163" t="str">
        <f>IF(AND('Resource Planner'!$A$25="☑",2&lt;='Resource Planner'!$N$25),'Resource Planner'!$M$25,"")</f>
        <v/>
      </c>
    </row>
    <row r="757" ht="15.75" customHeight="1">
      <c r="A7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7" s="163" t="str">
        <f>IF(AND('Resource Planner'!$A$25="☑",3&lt;='Resource Planner'!$N$25),'Resource Planner'!$C$25,"")</f>
        <v/>
      </c>
      <c r="C757" s="163" t="str">
        <f>IF(AND('Resource Planner'!$A$25="☑",3&lt;='Resource Planner'!$N$25),'Resource Planner'!$B$25,"")</f>
        <v/>
      </c>
      <c r="D757" s="163" t="str">
        <f>IF(AND('Resource Planner'!$A$25="☑",3&lt;='Resource Planner'!$N$25),'Resource Planner'!$D$25,"")</f>
        <v/>
      </c>
      <c r="E757" s="163" t="str">
        <f>IF(AND('Resource Planner'!$A$25="☑",3&lt;='Resource Planner'!$N$25),'Resource Planner'!$E$25,"")</f>
        <v/>
      </c>
      <c r="F757" s="163" t="str">
        <f>IF(AND('Resource Planner'!$A$25="☑",3&lt;='Resource Planner'!$N$25),'Resource Planner'!$F$25&amp;" "&amp;('Resource Planner'!$G$25+(3-1)*'Resource Planner'!$I$25)&amp;IF(('Resource Planner'!$G$25+(3-1)*'Resource Planner'!$I$25)=MIN('Resource Planner'!$G$25+3*'Resource Planner'!$I$25-1,'Resource Planner'!$H$25),"","–"&amp;MIN('Resource Planner'!$G$25+3*'Resource Planner'!$I$25-1,'Resource Planner'!$H$25)),"")</f>
        <v/>
      </c>
      <c r="G757" s="163" t="s">
        <v>109</v>
      </c>
      <c r="H757" s="163" t="str">
        <f>IF(AND('Resource Planner'!$A$25="☑",3&lt;='Resource Planner'!$N$25),'Resource Planner'!$M$25,"")</f>
        <v/>
      </c>
    </row>
    <row r="758" ht="15.75" customHeight="1">
      <c r="A7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8" s="163" t="str">
        <f>IF(AND('Resource Planner'!$A$25="☑",4&lt;='Resource Planner'!$N$25),'Resource Planner'!$C$25,"")</f>
        <v/>
      </c>
      <c r="C758" s="163" t="str">
        <f>IF(AND('Resource Planner'!$A$25="☑",4&lt;='Resource Planner'!$N$25),'Resource Planner'!$B$25,"")</f>
        <v/>
      </c>
      <c r="D758" s="163" t="str">
        <f>IF(AND('Resource Planner'!$A$25="☑",4&lt;='Resource Planner'!$N$25),'Resource Planner'!$D$25,"")</f>
        <v/>
      </c>
      <c r="E758" s="163" t="str">
        <f>IF(AND('Resource Planner'!$A$25="☑",4&lt;='Resource Planner'!$N$25),'Resource Planner'!$E$25,"")</f>
        <v/>
      </c>
      <c r="F758" s="163" t="str">
        <f>IF(AND('Resource Planner'!$A$25="☑",4&lt;='Resource Planner'!$N$25),'Resource Planner'!$F$25&amp;" "&amp;('Resource Planner'!$G$25+(4-1)*'Resource Planner'!$I$25)&amp;IF(('Resource Planner'!$G$25+(4-1)*'Resource Planner'!$I$25)=MIN('Resource Planner'!$G$25+4*'Resource Planner'!$I$25-1,'Resource Planner'!$H$25),"","–"&amp;MIN('Resource Planner'!$G$25+4*'Resource Planner'!$I$25-1,'Resource Planner'!$H$25)),"")</f>
        <v/>
      </c>
      <c r="G758" s="163" t="s">
        <v>109</v>
      </c>
      <c r="H758" s="163" t="str">
        <f>IF(AND('Resource Planner'!$A$25="☑",4&lt;='Resource Planner'!$N$25),'Resource Planner'!$M$25,"")</f>
        <v/>
      </c>
    </row>
    <row r="759" ht="15.75" customHeight="1">
      <c r="A7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59" s="163" t="str">
        <f>IF(AND('Resource Planner'!$A$25="☑",5&lt;='Resource Planner'!$N$25),'Resource Planner'!$C$25,"")</f>
        <v/>
      </c>
      <c r="C759" s="163" t="str">
        <f>IF(AND('Resource Planner'!$A$25="☑",5&lt;='Resource Planner'!$N$25),'Resource Planner'!$B$25,"")</f>
        <v/>
      </c>
      <c r="D759" s="163" t="str">
        <f>IF(AND('Resource Planner'!$A$25="☑",5&lt;='Resource Planner'!$N$25),'Resource Planner'!$D$25,"")</f>
        <v/>
      </c>
      <c r="E759" s="163" t="str">
        <f>IF(AND('Resource Planner'!$A$25="☑",5&lt;='Resource Planner'!$N$25),'Resource Planner'!$E$25,"")</f>
        <v/>
      </c>
      <c r="F759" s="163" t="str">
        <f>IF(AND('Resource Planner'!$A$25="☑",5&lt;='Resource Planner'!$N$25),'Resource Planner'!$F$25&amp;" "&amp;('Resource Planner'!$G$25+(5-1)*'Resource Planner'!$I$25)&amp;IF(('Resource Planner'!$G$25+(5-1)*'Resource Planner'!$I$25)=MIN('Resource Planner'!$G$25+5*'Resource Planner'!$I$25-1,'Resource Planner'!$H$25),"","–"&amp;MIN('Resource Planner'!$G$25+5*'Resource Planner'!$I$25-1,'Resource Planner'!$H$25)),"")</f>
        <v/>
      </c>
      <c r="G759" s="163" t="s">
        <v>109</v>
      </c>
      <c r="H759" s="163" t="str">
        <f>IF(AND('Resource Planner'!$A$25="☑",5&lt;='Resource Planner'!$N$25),'Resource Planner'!$M$25,"")</f>
        <v/>
      </c>
    </row>
    <row r="760" ht="15.75" customHeight="1">
      <c r="A7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0" s="163" t="str">
        <f>IF(AND('Resource Planner'!$A$25="☑",6&lt;='Resource Planner'!$N$25),'Resource Planner'!$C$25,"")</f>
        <v/>
      </c>
      <c r="C760" s="163" t="str">
        <f>IF(AND('Resource Planner'!$A$25="☑",6&lt;='Resource Planner'!$N$25),'Resource Planner'!$B$25,"")</f>
        <v/>
      </c>
      <c r="D760" s="163" t="str">
        <f>IF(AND('Resource Planner'!$A$25="☑",6&lt;='Resource Planner'!$N$25),'Resource Planner'!$D$25,"")</f>
        <v/>
      </c>
      <c r="E760" s="163" t="str">
        <f>IF(AND('Resource Planner'!$A$25="☑",6&lt;='Resource Planner'!$N$25),'Resource Planner'!$E$25,"")</f>
        <v/>
      </c>
      <c r="F760" s="163" t="str">
        <f>IF(AND('Resource Planner'!$A$25="☑",6&lt;='Resource Planner'!$N$25),'Resource Planner'!$F$25&amp;" "&amp;('Resource Planner'!$G$25+(6-1)*'Resource Planner'!$I$25)&amp;IF(('Resource Planner'!$G$25+(6-1)*'Resource Planner'!$I$25)=MIN('Resource Planner'!$G$25+6*'Resource Planner'!$I$25-1,'Resource Planner'!$H$25),"","–"&amp;MIN('Resource Planner'!$G$25+6*'Resource Planner'!$I$25-1,'Resource Planner'!$H$25)),"")</f>
        <v/>
      </c>
      <c r="G760" s="163" t="s">
        <v>109</v>
      </c>
      <c r="H760" s="163" t="str">
        <f>IF(AND('Resource Planner'!$A$25="☑",6&lt;='Resource Planner'!$N$25),'Resource Planner'!$M$25,"")</f>
        <v/>
      </c>
    </row>
    <row r="761" ht="15.75" customHeight="1">
      <c r="A7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1" s="163" t="str">
        <f>IF(AND('Resource Planner'!$A$25="☑",7&lt;='Resource Planner'!$N$25),'Resource Planner'!$C$25,"")</f>
        <v/>
      </c>
      <c r="C761" s="163" t="str">
        <f>IF(AND('Resource Planner'!$A$25="☑",7&lt;='Resource Planner'!$N$25),'Resource Planner'!$B$25,"")</f>
        <v/>
      </c>
      <c r="D761" s="163" t="str">
        <f>IF(AND('Resource Planner'!$A$25="☑",7&lt;='Resource Planner'!$N$25),'Resource Planner'!$D$25,"")</f>
        <v/>
      </c>
      <c r="E761" s="163" t="str">
        <f>IF(AND('Resource Planner'!$A$25="☑",7&lt;='Resource Planner'!$N$25),'Resource Planner'!$E$25,"")</f>
        <v/>
      </c>
      <c r="F761" s="163" t="str">
        <f>IF(AND('Resource Planner'!$A$25="☑",7&lt;='Resource Planner'!$N$25),'Resource Planner'!$F$25&amp;" "&amp;('Resource Planner'!$G$25+(7-1)*'Resource Planner'!$I$25)&amp;IF(('Resource Planner'!$G$25+(7-1)*'Resource Planner'!$I$25)=MIN('Resource Planner'!$G$25+7*'Resource Planner'!$I$25-1,'Resource Planner'!$H$25),"","–"&amp;MIN('Resource Planner'!$G$25+7*'Resource Planner'!$I$25-1,'Resource Planner'!$H$25)),"")</f>
        <v/>
      </c>
      <c r="G761" s="163" t="s">
        <v>109</v>
      </c>
      <c r="H761" s="163" t="str">
        <f>IF(AND('Resource Planner'!$A$25="☑",7&lt;='Resource Planner'!$N$25),'Resource Planner'!$M$25,"")</f>
        <v/>
      </c>
    </row>
    <row r="762" ht="15.75" customHeight="1">
      <c r="A7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2" s="163" t="str">
        <f>IF(AND('Resource Planner'!$A$25="☑",8&lt;='Resource Planner'!$N$25),'Resource Planner'!$C$25,"")</f>
        <v/>
      </c>
      <c r="C762" s="163" t="str">
        <f>IF(AND('Resource Planner'!$A$25="☑",8&lt;='Resource Planner'!$N$25),'Resource Planner'!$B$25,"")</f>
        <v/>
      </c>
      <c r="D762" s="163" t="str">
        <f>IF(AND('Resource Planner'!$A$25="☑",8&lt;='Resource Planner'!$N$25),'Resource Planner'!$D$25,"")</f>
        <v/>
      </c>
      <c r="E762" s="163" t="str">
        <f>IF(AND('Resource Planner'!$A$25="☑",8&lt;='Resource Planner'!$N$25),'Resource Planner'!$E$25,"")</f>
        <v/>
      </c>
      <c r="F762" s="163" t="str">
        <f>IF(AND('Resource Planner'!$A$25="☑",8&lt;='Resource Planner'!$N$25),'Resource Planner'!$F$25&amp;" "&amp;('Resource Planner'!$G$25+(8-1)*'Resource Planner'!$I$25)&amp;IF(('Resource Planner'!$G$25+(8-1)*'Resource Planner'!$I$25)=MIN('Resource Planner'!$G$25+8*'Resource Planner'!$I$25-1,'Resource Planner'!$H$25),"","–"&amp;MIN('Resource Planner'!$G$25+8*'Resource Planner'!$I$25-1,'Resource Planner'!$H$25)),"")</f>
        <v/>
      </c>
      <c r="G762" s="163" t="s">
        <v>109</v>
      </c>
      <c r="H762" s="163" t="str">
        <f>IF(AND('Resource Planner'!$A$25="☑",8&lt;='Resource Planner'!$N$25),'Resource Planner'!$M$25,"")</f>
        <v/>
      </c>
    </row>
    <row r="763" ht="15.75" customHeight="1">
      <c r="A7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3" s="163" t="str">
        <f>IF(AND('Resource Planner'!$A$25="☑",9&lt;='Resource Planner'!$N$25),'Resource Planner'!$C$25,"")</f>
        <v/>
      </c>
      <c r="C763" s="163" t="str">
        <f>IF(AND('Resource Planner'!$A$25="☑",9&lt;='Resource Planner'!$N$25),'Resource Planner'!$B$25,"")</f>
        <v/>
      </c>
      <c r="D763" s="163" t="str">
        <f>IF(AND('Resource Planner'!$A$25="☑",9&lt;='Resource Planner'!$N$25),'Resource Planner'!$D$25,"")</f>
        <v/>
      </c>
      <c r="E763" s="163" t="str">
        <f>IF(AND('Resource Planner'!$A$25="☑",9&lt;='Resource Planner'!$N$25),'Resource Planner'!$E$25,"")</f>
        <v/>
      </c>
      <c r="F763" s="163" t="str">
        <f>IF(AND('Resource Planner'!$A$25="☑",9&lt;='Resource Planner'!$N$25),'Resource Planner'!$F$25&amp;" "&amp;('Resource Planner'!$G$25+(9-1)*'Resource Planner'!$I$25)&amp;IF(('Resource Planner'!$G$25+(9-1)*'Resource Planner'!$I$25)=MIN('Resource Planner'!$G$25+9*'Resource Planner'!$I$25-1,'Resource Planner'!$H$25),"","–"&amp;MIN('Resource Planner'!$G$25+9*'Resource Planner'!$I$25-1,'Resource Planner'!$H$25)),"")</f>
        <v/>
      </c>
      <c r="G763" s="163" t="s">
        <v>109</v>
      </c>
      <c r="H763" s="163" t="str">
        <f>IF(AND('Resource Planner'!$A$25="☑",9&lt;='Resource Planner'!$N$25),'Resource Planner'!$M$25,"")</f>
        <v/>
      </c>
    </row>
    <row r="764" ht="15.75" customHeight="1">
      <c r="A7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4" s="163" t="str">
        <f>IF(AND('Resource Planner'!$A$25="☑",10&lt;='Resource Planner'!$N$25),'Resource Planner'!$C$25,"")</f>
        <v/>
      </c>
      <c r="C764" s="163" t="str">
        <f>IF(AND('Resource Planner'!$A$25="☑",10&lt;='Resource Planner'!$N$25),'Resource Planner'!$B$25,"")</f>
        <v/>
      </c>
      <c r="D764" s="163" t="str">
        <f>IF(AND('Resource Planner'!$A$25="☑",10&lt;='Resource Planner'!$N$25),'Resource Planner'!$D$25,"")</f>
        <v/>
      </c>
      <c r="E764" s="163" t="str">
        <f>IF(AND('Resource Planner'!$A$25="☑",10&lt;='Resource Planner'!$N$25),'Resource Planner'!$E$25,"")</f>
        <v/>
      </c>
      <c r="F764" s="163" t="str">
        <f>IF(AND('Resource Planner'!$A$25="☑",10&lt;='Resource Planner'!$N$25),'Resource Planner'!$F$25&amp;" "&amp;('Resource Planner'!$G$25+(10-1)*'Resource Planner'!$I$25)&amp;IF(('Resource Planner'!$G$25+(10-1)*'Resource Planner'!$I$25)=MIN('Resource Planner'!$G$25+10*'Resource Planner'!$I$25-1,'Resource Planner'!$H$25),"","–"&amp;MIN('Resource Planner'!$G$25+10*'Resource Planner'!$I$25-1,'Resource Planner'!$H$25)),"")</f>
        <v/>
      </c>
      <c r="G764" s="163" t="s">
        <v>109</v>
      </c>
      <c r="H764" s="163" t="str">
        <f>IF(AND('Resource Planner'!$A$25="☑",10&lt;='Resource Planner'!$N$25),'Resource Planner'!$M$25,"")</f>
        <v/>
      </c>
    </row>
    <row r="765" ht="15.75" customHeight="1">
      <c r="A7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5" s="163" t="str">
        <f>IF(AND('Resource Planner'!$A$25="☑",11&lt;='Resource Planner'!$N$25),'Resource Planner'!$C$25,"")</f>
        <v/>
      </c>
      <c r="C765" s="163" t="str">
        <f>IF(AND('Resource Planner'!$A$25="☑",11&lt;='Resource Planner'!$N$25),'Resource Planner'!$B$25,"")</f>
        <v/>
      </c>
      <c r="D765" s="163" t="str">
        <f>IF(AND('Resource Planner'!$A$25="☑",11&lt;='Resource Planner'!$N$25),'Resource Planner'!$D$25,"")</f>
        <v/>
      </c>
      <c r="E765" s="163" t="str">
        <f>IF(AND('Resource Planner'!$A$25="☑",11&lt;='Resource Planner'!$N$25),'Resource Planner'!$E$25,"")</f>
        <v/>
      </c>
      <c r="F765" s="163" t="str">
        <f>IF(AND('Resource Planner'!$A$25="☑",11&lt;='Resource Planner'!$N$25),'Resource Planner'!$F$25&amp;" "&amp;('Resource Planner'!$G$25+(11-1)*'Resource Planner'!$I$25)&amp;IF(('Resource Planner'!$G$25+(11-1)*'Resource Planner'!$I$25)=MIN('Resource Planner'!$G$25+11*'Resource Planner'!$I$25-1,'Resource Planner'!$H$25),"","–"&amp;MIN('Resource Planner'!$G$25+11*'Resource Planner'!$I$25-1,'Resource Planner'!$H$25)),"")</f>
        <v/>
      </c>
      <c r="G765" s="163" t="s">
        <v>109</v>
      </c>
      <c r="H765" s="163" t="str">
        <f>IF(AND('Resource Planner'!$A$25="☑",11&lt;='Resource Planner'!$N$25),'Resource Planner'!$M$25,"")</f>
        <v/>
      </c>
    </row>
    <row r="766" ht="15.75" customHeight="1">
      <c r="A7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6" s="163" t="str">
        <f>IF(AND('Resource Planner'!$A$25="☑",12&lt;='Resource Planner'!$N$25),'Resource Planner'!$C$25,"")</f>
        <v/>
      </c>
      <c r="C766" s="163" t="str">
        <f>IF(AND('Resource Planner'!$A$25="☑",12&lt;='Resource Planner'!$N$25),'Resource Planner'!$B$25,"")</f>
        <v/>
      </c>
      <c r="D766" s="163" t="str">
        <f>IF(AND('Resource Planner'!$A$25="☑",12&lt;='Resource Planner'!$N$25),'Resource Planner'!$D$25,"")</f>
        <v/>
      </c>
      <c r="E766" s="163" t="str">
        <f>IF(AND('Resource Planner'!$A$25="☑",12&lt;='Resource Planner'!$N$25),'Resource Planner'!$E$25,"")</f>
        <v/>
      </c>
      <c r="F766" s="163" t="str">
        <f>IF(AND('Resource Planner'!$A$25="☑",12&lt;='Resource Planner'!$N$25),'Resource Planner'!$F$25&amp;" "&amp;('Resource Planner'!$G$25+(12-1)*'Resource Planner'!$I$25)&amp;IF(('Resource Planner'!$G$25+(12-1)*'Resource Planner'!$I$25)=MIN('Resource Planner'!$G$25+12*'Resource Planner'!$I$25-1,'Resource Planner'!$H$25),"","–"&amp;MIN('Resource Planner'!$G$25+12*'Resource Planner'!$I$25-1,'Resource Planner'!$H$25)),"")</f>
        <v/>
      </c>
      <c r="G766" s="163" t="s">
        <v>109</v>
      </c>
      <c r="H766" s="163" t="str">
        <f>IF(AND('Resource Planner'!$A$25="☑",12&lt;='Resource Planner'!$N$25),'Resource Planner'!$M$25,"")</f>
        <v/>
      </c>
    </row>
    <row r="767" ht="15.75" customHeight="1">
      <c r="A7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7" s="163" t="str">
        <f>IF(AND('Resource Planner'!$A$25="☑",13&lt;='Resource Planner'!$N$25),'Resource Planner'!$C$25,"")</f>
        <v/>
      </c>
      <c r="C767" s="163" t="str">
        <f>IF(AND('Resource Planner'!$A$25="☑",13&lt;='Resource Planner'!$N$25),'Resource Planner'!$B$25,"")</f>
        <v/>
      </c>
      <c r="D767" s="163" t="str">
        <f>IF(AND('Resource Planner'!$A$25="☑",13&lt;='Resource Planner'!$N$25),'Resource Planner'!$D$25,"")</f>
        <v/>
      </c>
      <c r="E767" s="163" t="str">
        <f>IF(AND('Resource Planner'!$A$25="☑",13&lt;='Resource Planner'!$N$25),'Resource Planner'!$E$25,"")</f>
        <v/>
      </c>
      <c r="F767" s="163" t="str">
        <f>IF(AND('Resource Planner'!$A$25="☑",13&lt;='Resource Planner'!$N$25),'Resource Planner'!$F$25&amp;" "&amp;('Resource Planner'!$G$25+(13-1)*'Resource Planner'!$I$25)&amp;IF(('Resource Planner'!$G$25+(13-1)*'Resource Planner'!$I$25)=MIN('Resource Planner'!$G$25+13*'Resource Planner'!$I$25-1,'Resource Planner'!$H$25),"","–"&amp;MIN('Resource Planner'!$G$25+13*'Resource Planner'!$I$25-1,'Resource Planner'!$H$25)),"")</f>
        <v/>
      </c>
      <c r="G767" s="163" t="s">
        <v>109</v>
      </c>
      <c r="H767" s="163" t="str">
        <f>IF(AND('Resource Planner'!$A$25="☑",13&lt;='Resource Planner'!$N$25),'Resource Planner'!$M$25,"")</f>
        <v/>
      </c>
    </row>
    <row r="768" ht="15.75" customHeight="1">
      <c r="A7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8" s="163" t="str">
        <f>IF(AND('Resource Planner'!$A$25="☑",14&lt;='Resource Planner'!$N$25),'Resource Planner'!$C$25,"")</f>
        <v/>
      </c>
      <c r="C768" s="163" t="str">
        <f>IF(AND('Resource Planner'!$A$25="☑",14&lt;='Resource Planner'!$N$25),'Resource Planner'!$B$25,"")</f>
        <v/>
      </c>
      <c r="D768" s="163" t="str">
        <f>IF(AND('Resource Planner'!$A$25="☑",14&lt;='Resource Planner'!$N$25),'Resource Planner'!$D$25,"")</f>
        <v/>
      </c>
      <c r="E768" s="163" t="str">
        <f>IF(AND('Resource Planner'!$A$25="☑",14&lt;='Resource Planner'!$N$25),'Resource Planner'!$E$25,"")</f>
        <v/>
      </c>
      <c r="F768" s="163" t="str">
        <f>IF(AND('Resource Planner'!$A$25="☑",14&lt;='Resource Planner'!$N$25),'Resource Planner'!$F$25&amp;" "&amp;('Resource Planner'!$G$25+(14-1)*'Resource Planner'!$I$25)&amp;IF(('Resource Planner'!$G$25+(14-1)*'Resource Planner'!$I$25)=MIN('Resource Planner'!$G$25+14*'Resource Planner'!$I$25-1,'Resource Planner'!$H$25),"","–"&amp;MIN('Resource Planner'!$G$25+14*'Resource Planner'!$I$25-1,'Resource Planner'!$H$25)),"")</f>
        <v/>
      </c>
      <c r="G768" s="163" t="s">
        <v>109</v>
      </c>
      <c r="H768" s="163" t="str">
        <f>IF(AND('Resource Planner'!$A$25="☑",14&lt;='Resource Planner'!$N$25),'Resource Planner'!$M$25,"")</f>
        <v/>
      </c>
    </row>
    <row r="769" ht="15.75" customHeight="1">
      <c r="A7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69" s="163" t="str">
        <f>IF(AND('Resource Planner'!$A$25="☑",15&lt;='Resource Planner'!$N$25),'Resource Planner'!$C$25,"")</f>
        <v/>
      </c>
      <c r="C769" s="163" t="str">
        <f>IF(AND('Resource Planner'!$A$25="☑",15&lt;='Resource Planner'!$N$25),'Resource Planner'!$B$25,"")</f>
        <v/>
      </c>
      <c r="D769" s="163" t="str">
        <f>IF(AND('Resource Planner'!$A$25="☑",15&lt;='Resource Planner'!$N$25),'Resource Planner'!$D$25,"")</f>
        <v/>
      </c>
      <c r="E769" s="163" t="str">
        <f>IF(AND('Resource Planner'!$A$25="☑",15&lt;='Resource Planner'!$N$25),'Resource Planner'!$E$25,"")</f>
        <v/>
      </c>
      <c r="F769" s="163" t="str">
        <f>IF(AND('Resource Planner'!$A$25="☑",15&lt;='Resource Planner'!$N$25),'Resource Planner'!$F$25&amp;" "&amp;('Resource Planner'!$G$25+(15-1)*'Resource Planner'!$I$25)&amp;IF(('Resource Planner'!$G$25+(15-1)*'Resource Planner'!$I$25)=MIN('Resource Planner'!$G$25+15*'Resource Planner'!$I$25-1,'Resource Planner'!$H$25),"","–"&amp;MIN('Resource Planner'!$G$25+15*'Resource Planner'!$I$25-1,'Resource Planner'!$H$25)),"")</f>
        <v/>
      </c>
      <c r="G769" s="163" t="s">
        <v>109</v>
      </c>
      <c r="H769" s="163" t="str">
        <f>IF(AND('Resource Planner'!$A$25="☑",15&lt;='Resource Planner'!$N$25),'Resource Planner'!$M$25,"")</f>
        <v/>
      </c>
    </row>
    <row r="770" ht="15.75" customHeight="1">
      <c r="A7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0" s="163" t="str">
        <f>IF(AND('Resource Planner'!$A$25="☑",16&lt;='Resource Planner'!$N$25),'Resource Planner'!$C$25,"")</f>
        <v/>
      </c>
      <c r="C770" s="163" t="str">
        <f>IF(AND('Resource Planner'!$A$25="☑",16&lt;='Resource Planner'!$N$25),'Resource Planner'!$B$25,"")</f>
        <v/>
      </c>
      <c r="D770" s="163" t="str">
        <f>IF(AND('Resource Planner'!$A$25="☑",16&lt;='Resource Planner'!$N$25),'Resource Planner'!$D$25,"")</f>
        <v/>
      </c>
      <c r="E770" s="163" t="str">
        <f>IF(AND('Resource Planner'!$A$25="☑",16&lt;='Resource Planner'!$N$25),'Resource Planner'!$E$25,"")</f>
        <v/>
      </c>
      <c r="F770" s="163" t="str">
        <f>IF(AND('Resource Planner'!$A$25="☑",16&lt;='Resource Planner'!$N$25),'Resource Planner'!$F$25&amp;" "&amp;('Resource Planner'!$G$25+(16-1)*'Resource Planner'!$I$25)&amp;IF(('Resource Planner'!$G$25+(16-1)*'Resource Planner'!$I$25)=MIN('Resource Planner'!$G$25+16*'Resource Planner'!$I$25-1,'Resource Planner'!$H$25),"","–"&amp;MIN('Resource Planner'!$G$25+16*'Resource Planner'!$I$25-1,'Resource Planner'!$H$25)),"")</f>
        <v/>
      </c>
      <c r="G770" s="163" t="s">
        <v>109</v>
      </c>
      <c r="H770" s="163" t="str">
        <f>IF(AND('Resource Planner'!$A$25="☑",16&lt;='Resource Planner'!$N$25),'Resource Planner'!$M$25,"")</f>
        <v/>
      </c>
    </row>
    <row r="771" ht="15.75" customHeight="1">
      <c r="A7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1" s="163" t="str">
        <f>IF(AND('Resource Planner'!$A$25="☑",17&lt;='Resource Planner'!$N$25),'Resource Planner'!$C$25,"")</f>
        <v/>
      </c>
      <c r="C771" s="163" t="str">
        <f>IF(AND('Resource Planner'!$A$25="☑",17&lt;='Resource Planner'!$N$25),'Resource Planner'!$B$25,"")</f>
        <v/>
      </c>
      <c r="D771" s="163" t="str">
        <f>IF(AND('Resource Planner'!$A$25="☑",17&lt;='Resource Planner'!$N$25),'Resource Planner'!$D$25,"")</f>
        <v/>
      </c>
      <c r="E771" s="163" t="str">
        <f>IF(AND('Resource Planner'!$A$25="☑",17&lt;='Resource Planner'!$N$25),'Resource Planner'!$E$25,"")</f>
        <v/>
      </c>
      <c r="F771" s="163" t="str">
        <f>IF(AND('Resource Planner'!$A$25="☑",17&lt;='Resource Planner'!$N$25),'Resource Planner'!$F$25&amp;" "&amp;('Resource Planner'!$G$25+(17-1)*'Resource Planner'!$I$25)&amp;IF(('Resource Planner'!$G$25+(17-1)*'Resource Planner'!$I$25)=MIN('Resource Planner'!$G$25+17*'Resource Planner'!$I$25-1,'Resource Planner'!$H$25),"","–"&amp;MIN('Resource Planner'!$G$25+17*'Resource Planner'!$I$25-1,'Resource Planner'!$H$25)),"")</f>
        <v/>
      </c>
      <c r="G771" s="163" t="s">
        <v>109</v>
      </c>
      <c r="H771" s="163" t="str">
        <f>IF(AND('Resource Planner'!$A$25="☑",17&lt;='Resource Planner'!$N$25),'Resource Planner'!$M$25,"")</f>
        <v/>
      </c>
    </row>
    <row r="772" ht="15.75" customHeight="1">
      <c r="A7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2" s="163" t="str">
        <f>IF(AND('Resource Planner'!$A$25="☑",18&lt;='Resource Planner'!$N$25),'Resource Planner'!$C$25,"")</f>
        <v/>
      </c>
      <c r="C772" s="163" t="str">
        <f>IF(AND('Resource Planner'!$A$25="☑",18&lt;='Resource Planner'!$N$25),'Resource Planner'!$B$25,"")</f>
        <v/>
      </c>
      <c r="D772" s="163" t="str">
        <f>IF(AND('Resource Planner'!$A$25="☑",18&lt;='Resource Planner'!$N$25),'Resource Planner'!$D$25,"")</f>
        <v/>
      </c>
      <c r="E772" s="163" t="str">
        <f>IF(AND('Resource Planner'!$A$25="☑",18&lt;='Resource Planner'!$N$25),'Resource Planner'!$E$25,"")</f>
        <v/>
      </c>
      <c r="F772" s="163" t="str">
        <f>IF(AND('Resource Planner'!$A$25="☑",18&lt;='Resource Planner'!$N$25),'Resource Planner'!$F$25&amp;" "&amp;('Resource Planner'!$G$25+(18-1)*'Resource Planner'!$I$25)&amp;IF(('Resource Planner'!$G$25+(18-1)*'Resource Planner'!$I$25)=MIN('Resource Planner'!$G$25+18*'Resource Planner'!$I$25-1,'Resource Planner'!$H$25),"","–"&amp;MIN('Resource Planner'!$G$25+18*'Resource Planner'!$I$25-1,'Resource Planner'!$H$25)),"")</f>
        <v/>
      </c>
      <c r="G772" s="163" t="s">
        <v>109</v>
      </c>
      <c r="H772" s="163" t="str">
        <f>IF(AND('Resource Planner'!$A$25="☑",18&lt;='Resource Planner'!$N$25),'Resource Planner'!$M$25,"")</f>
        <v/>
      </c>
    </row>
    <row r="773" ht="15.75" customHeight="1">
      <c r="A7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3" s="163" t="str">
        <f>IF(AND('Resource Planner'!$A$25="☑",19&lt;='Resource Planner'!$N$25),'Resource Planner'!$C$25,"")</f>
        <v/>
      </c>
      <c r="C773" s="163" t="str">
        <f>IF(AND('Resource Planner'!$A$25="☑",19&lt;='Resource Planner'!$N$25),'Resource Planner'!$B$25,"")</f>
        <v/>
      </c>
      <c r="D773" s="163" t="str">
        <f>IF(AND('Resource Planner'!$A$25="☑",19&lt;='Resource Planner'!$N$25),'Resource Planner'!$D$25,"")</f>
        <v/>
      </c>
      <c r="E773" s="163" t="str">
        <f>IF(AND('Resource Planner'!$A$25="☑",19&lt;='Resource Planner'!$N$25),'Resource Planner'!$E$25,"")</f>
        <v/>
      </c>
      <c r="F773" s="163" t="str">
        <f>IF(AND('Resource Planner'!$A$25="☑",19&lt;='Resource Planner'!$N$25),'Resource Planner'!$F$25&amp;" "&amp;('Resource Planner'!$G$25+(19-1)*'Resource Planner'!$I$25)&amp;IF(('Resource Planner'!$G$25+(19-1)*'Resource Planner'!$I$25)=MIN('Resource Planner'!$G$25+19*'Resource Planner'!$I$25-1,'Resource Planner'!$H$25),"","–"&amp;MIN('Resource Planner'!$G$25+19*'Resource Planner'!$I$25-1,'Resource Planner'!$H$25)),"")</f>
        <v/>
      </c>
      <c r="G773" s="163" t="s">
        <v>109</v>
      </c>
      <c r="H773" s="163" t="str">
        <f>IF(AND('Resource Planner'!$A$25="☑",19&lt;='Resource Planner'!$N$25),'Resource Planner'!$M$25,"")</f>
        <v/>
      </c>
    </row>
    <row r="774" ht="15.75" customHeight="1">
      <c r="A7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4" s="163" t="str">
        <f>IF(AND('Resource Planner'!$A$25="☑",20&lt;='Resource Planner'!$N$25),'Resource Planner'!$C$25,"")</f>
        <v/>
      </c>
      <c r="C774" s="163" t="str">
        <f>IF(AND('Resource Planner'!$A$25="☑",20&lt;='Resource Planner'!$N$25),'Resource Planner'!$B$25,"")</f>
        <v/>
      </c>
      <c r="D774" s="163" t="str">
        <f>IF(AND('Resource Planner'!$A$25="☑",20&lt;='Resource Planner'!$N$25),'Resource Planner'!$D$25,"")</f>
        <v/>
      </c>
      <c r="E774" s="163" t="str">
        <f>IF(AND('Resource Planner'!$A$25="☑",20&lt;='Resource Planner'!$N$25),'Resource Planner'!$E$25,"")</f>
        <v/>
      </c>
      <c r="F774" s="163" t="str">
        <f>IF(AND('Resource Planner'!$A$25="☑",20&lt;='Resource Planner'!$N$25),'Resource Planner'!$F$25&amp;" "&amp;('Resource Planner'!$G$25+(20-1)*'Resource Planner'!$I$25)&amp;IF(('Resource Planner'!$G$25+(20-1)*'Resource Planner'!$I$25)=MIN('Resource Planner'!$G$25+20*'Resource Planner'!$I$25-1,'Resource Planner'!$H$25),"","–"&amp;MIN('Resource Planner'!$G$25+20*'Resource Planner'!$I$25-1,'Resource Planner'!$H$25)),"")</f>
        <v/>
      </c>
      <c r="G774" s="163" t="s">
        <v>109</v>
      </c>
      <c r="H774" s="163" t="str">
        <f>IF(AND('Resource Planner'!$A$25="☑",20&lt;='Resource Planner'!$N$25),'Resource Planner'!$M$25,"")</f>
        <v/>
      </c>
    </row>
    <row r="775" ht="15.75" customHeight="1">
      <c r="A7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5" s="163" t="str">
        <f>IF(AND('Resource Planner'!$A$25="☑",21&lt;='Resource Planner'!$N$25),'Resource Planner'!$C$25,"")</f>
        <v/>
      </c>
      <c r="C775" s="163" t="str">
        <f>IF(AND('Resource Planner'!$A$25="☑",21&lt;='Resource Planner'!$N$25),'Resource Planner'!$B$25,"")</f>
        <v/>
      </c>
      <c r="D775" s="163" t="str">
        <f>IF(AND('Resource Planner'!$A$25="☑",21&lt;='Resource Planner'!$N$25),'Resource Planner'!$D$25,"")</f>
        <v/>
      </c>
      <c r="E775" s="163" t="str">
        <f>IF(AND('Resource Planner'!$A$25="☑",21&lt;='Resource Planner'!$N$25),'Resource Planner'!$E$25,"")</f>
        <v/>
      </c>
      <c r="F775" s="163" t="str">
        <f>IF(AND('Resource Planner'!$A$25="☑",21&lt;='Resource Planner'!$N$25),'Resource Planner'!$F$25&amp;" "&amp;('Resource Planner'!$G$25+(21-1)*'Resource Planner'!$I$25)&amp;IF(('Resource Planner'!$G$25+(21-1)*'Resource Planner'!$I$25)=MIN('Resource Planner'!$G$25+21*'Resource Planner'!$I$25-1,'Resource Planner'!$H$25),"","–"&amp;MIN('Resource Planner'!$G$25+21*'Resource Planner'!$I$25-1,'Resource Planner'!$H$25)),"")</f>
        <v/>
      </c>
      <c r="G775" s="163" t="s">
        <v>109</v>
      </c>
      <c r="H775" s="163" t="str">
        <f>IF(AND('Resource Planner'!$A$25="☑",21&lt;='Resource Planner'!$N$25),'Resource Planner'!$M$25,"")</f>
        <v/>
      </c>
    </row>
    <row r="776" ht="15.75" customHeight="1">
      <c r="A7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6" s="163" t="str">
        <f>IF(AND('Resource Planner'!$A$25="☑",22&lt;='Resource Planner'!$N$25),'Resource Planner'!$C$25,"")</f>
        <v/>
      </c>
      <c r="C776" s="163" t="str">
        <f>IF(AND('Resource Planner'!$A$25="☑",22&lt;='Resource Planner'!$N$25),'Resource Planner'!$B$25,"")</f>
        <v/>
      </c>
      <c r="D776" s="163" t="str">
        <f>IF(AND('Resource Planner'!$A$25="☑",22&lt;='Resource Planner'!$N$25),'Resource Planner'!$D$25,"")</f>
        <v/>
      </c>
      <c r="E776" s="163" t="str">
        <f>IF(AND('Resource Planner'!$A$25="☑",22&lt;='Resource Planner'!$N$25),'Resource Planner'!$E$25,"")</f>
        <v/>
      </c>
      <c r="F776" s="163" t="str">
        <f>IF(AND('Resource Planner'!$A$25="☑",22&lt;='Resource Planner'!$N$25),'Resource Planner'!$F$25&amp;" "&amp;('Resource Planner'!$G$25+(22-1)*'Resource Planner'!$I$25)&amp;IF(('Resource Planner'!$G$25+(22-1)*'Resource Planner'!$I$25)=MIN('Resource Planner'!$G$25+22*'Resource Planner'!$I$25-1,'Resource Planner'!$H$25),"","–"&amp;MIN('Resource Planner'!$G$25+22*'Resource Planner'!$I$25-1,'Resource Planner'!$H$25)),"")</f>
        <v/>
      </c>
      <c r="G776" s="163" t="s">
        <v>109</v>
      </c>
      <c r="H776" s="163" t="str">
        <f>IF(AND('Resource Planner'!$A$25="☑",22&lt;='Resource Planner'!$N$25),'Resource Planner'!$M$25,"")</f>
        <v/>
      </c>
    </row>
    <row r="777" ht="15.75" customHeight="1">
      <c r="A7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7" s="163" t="str">
        <f>IF(AND('Resource Planner'!$A$25="☑",23&lt;='Resource Planner'!$N$25),'Resource Planner'!$C$25,"")</f>
        <v/>
      </c>
      <c r="C777" s="163" t="str">
        <f>IF(AND('Resource Planner'!$A$25="☑",23&lt;='Resource Planner'!$N$25),'Resource Planner'!$B$25,"")</f>
        <v/>
      </c>
      <c r="D777" s="163" t="str">
        <f>IF(AND('Resource Planner'!$A$25="☑",23&lt;='Resource Planner'!$N$25),'Resource Planner'!$D$25,"")</f>
        <v/>
      </c>
      <c r="E777" s="163" t="str">
        <f>IF(AND('Resource Planner'!$A$25="☑",23&lt;='Resource Planner'!$N$25),'Resource Planner'!$E$25,"")</f>
        <v/>
      </c>
      <c r="F777" s="163" t="str">
        <f>IF(AND('Resource Planner'!$A$25="☑",23&lt;='Resource Planner'!$N$25),'Resource Planner'!$F$25&amp;" "&amp;('Resource Planner'!$G$25+(23-1)*'Resource Planner'!$I$25)&amp;IF(('Resource Planner'!$G$25+(23-1)*'Resource Planner'!$I$25)=MIN('Resource Planner'!$G$25+23*'Resource Planner'!$I$25-1,'Resource Planner'!$H$25),"","–"&amp;MIN('Resource Planner'!$G$25+23*'Resource Planner'!$I$25-1,'Resource Planner'!$H$25)),"")</f>
        <v/>
      </c>
      <c r="G777" s="163" t="s">
        <v>109</v>
      </c>
      <c r="H777" s="163" t="str">
        <f>IF(AND('Resource Planner'!$A$25="☑",23&lt;='Resource Planner'!$N$25),'Resource Planner'!$M$25,"")</f>
        <v/>
      </c>
    </row>
    <row r="778" ht="15.75" customHeight="1">
      <c r="A7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8" s="163" t="str">
        <f>IF(AND('Resource Planner'!$A$25="☑",24&lt;='Resource Planner'!$N$25),'Resource Planner'!$C$25,"")</f>
        <v/>
      </c>
      <c r="C778" s="163" t="str">
        <f>IF(AND('Resource Planner'!$A$25="☑",24&lt;='Resource Planner'!$N$25),'Resource Planner'!$B$25,"")</f>
        <v/>
      </c>
      <c r="D778" s="163" t="str">
        <f>IF(AND('Resource Planner'!$A$25="☑",24&lt;='Resource Planner'!$N$25),'Resource Planner'!$D$25,"")</f>
        <v/>
      </c>
      <c r="E778" s="163" t="str">
        <f>IF(AND('Resource Planner'!$A$25="☑",24&lt;='Resource Planner'!$N$25),'Resource Planner'!$E$25,"")</f>
        <v/>
      </c>
      <c r="F778" s="163" t="str">
        <f>IF(AND('Resource Planner'!$A$25="☑",24&lt;='Resource Planner'!$N$25),'Resource Planner'!$F$25&amp;" "&amp;('Resource Planner'!$G$25+(24-1)*'Resource Planner'!$I$25)&amp;IF(('Resource Planner'!$G$25+(24-1)*'Resource Planner'!$I$25)=MIN('Resource Planner'!$G$25+24*'Resource Planner'!$I$25-1,'Resource Planner'!$H$25),"","–"&amp;MIN('Resource Planner'!$G$25+24*'Resource Planner'!$I$25-1,'Resource Planner'!$H$25)),"")</f>
        <v/>
      </c>
      <c r="G778" s="163" t="s">
        <v>109</v>
      </c>
      <c r="H778" s="163" t="str">
        <f>IF(AND('Resource Planner'!$A$25="☑",24&lt;='Resource Planner'!$N$25),'Resource Planner'!$M$25,"")</f>
        <v/>
      </c>
    </row>
    <row r="779" ht="15.75" customHeight="1">
      <c r="A7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79" s="163" t="str">
        <f>IF(AND('Resource Planner'!$A$25="☑",25&lt;='Resource Planner'!$N$25),'Resource Planner'!$C$25,"")</f>
        <v/>
      </c>
      <c r="C779" s="163" t="str">
        <f>IF(AND('Resource Planner'!$A$25="☑",25&lt;='Resource Planner'!$N$25),'Resource Planner'!$B$25,"")</f>
        <v/>
      </c>
      <c r="D779" s="163" t="str">
        <f>IF(AND('Resource Planner'!$A$25="☑",25&lt;='Resource Planner'!$N$25),'Resource Planner'!$D$25,"")</f>
        <v/>
      </c>
      <c r="E779" s="163" t="str">
        <f>IF(AND('Resource Planner'!$A$25="☑",25&lt;='Resource Planner'!$N$25),'Resource Planner'!$E$25,"")</f>
        <v/>
      </c>
      <c r="F779" s="163" t="str">
        <f>IF(AND('Resource Planner'!$A$25="☑",25&lt;='Resource Planner'!$N$25),'Resource Planner'!$F$25&amp;" "&amp;('Resource Planner'!$G$25+(25-1)*'Resource Planner'!$I$25)&amp;IF(('Resource Planner'!$G$25+(25-1)*'Resource Planner'!$I$25)=MIN('Resource Planner'!$G$25+25*'Resource Planner'!$I$25-1,'Resource Planner'!$H$25),"","–"&amp;MIN('Resource Planner'!$G$25+25*'Resource Planner'!$I$25-1,'Resource Planner'!$H$25)),"")</f>
        <v/>
      </c>
      <c r="G779" s="163" t="s">
        <v>109</v>
      </c>
      <c r="H779" s="163" t="str">
        <f>IF(AND('Resource Planner'!$A$25="☑",25&lt;='Resource Planner'!$N$25),'Resource Planner'!$M$25,"")</f>
        <v/>
      </c>
    </row>
    <row r="780" ht="15.75" customHeight="1">
      <c r="A7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0" s="163" t="str">
        <f>IF(AND('Resource Planner'!$A$25="☑",26&lt;='Resource Planner'!$N$25),'Resource Planner'!$C$25,"")</f>
        <v/>
      </c>
      <c r="C780" s="163" t="str">
        <f>IF(AND('Resource Planner'!$A$25="☑",26&lt;='Resource Planner'!$N$25),'Resource Planner'!$B$25,"")</f>
        <v/>
      </c>
      <c r="D780" s="163" t="str">
        <f>IF(AND('Resource Planner'!$A$25="☑",26&lt;='Resource Planner'!$N$25),'Resource Planner'!$D$25,"")</f>
        <v/>
      </c>
      <c r="E780" s="163" t="str">
        <f>IF(AND('Resource Planner'!$A$25="☑",26&lt;='Resource Planner'!$N$25),'Resource Planner'!$E$25,"")</f>
        <v/>
      </c>
      <c r="F780" s="163" t="str">
        <f>IF(AND('Resource Planner'!$A$25="☑",26&lt;='Resource Planner'!$N$25),'Resource Planner'!$F$25&amp;" "&amp;('Resource Planner'!$G$25+(26-1)*'Resource Planner'!$I$25)&amp;IF(('Resource Planner'!$G$25+(26-1)*'Resource Planner'!$I$25)=MIN('Resource Planner'!$G$25+26*'Resource Planner'!$I$25-1,'Resource Planner'!$H$25),"","–"&amp;MIN('Resource Planner'!$G$25+26*'Resource Planner'!$I$25-1,'Resource Planner'!$H$25)),"")</f>
        <v/>
      </c>
      <c r="G780" s="163" t="s">
        <v>109</v>
      </c>
      <c r="H780" s="163" t="str">
        <f>IF(AND('Resource Planner'!$A$25="☑",26&lt;='Resource Planner'!$N$25),'Resource Planner'!$M$25,"")</f>
        <v/>
      </c>
    </row>
    <row r="781" ht="15.75" customHeight="1">
      <c r="A7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1" s="163" t="str">
        <f>IF(AND('Resource Planner'!$A$25="☑",27&lt;='Resource Planner'!$N$25),'Resource Planner'!$C$25,"")</f>
        <v/>
      </c>
      <c r="C781" s="163" t="str">
        <f>IF(AND('Resource Planner'!$A$25="☑",27&lt;='Resource Planner'!$N$25),'Resource Planner'!$B$25,"")</f>
        <v/>
      </c>
      <c r="D781" s="163" t="str">
        <f>IF(AND('Resource Planner'!$A$25="☑",27&lt;='Resource Planner'!$N$25),'Resource Planner'!$D$25,"")</f>
        <v/>
      </c>
      <c r="E781" s="163" t="str">
        <f>IF(AND('Resource Planner'!$A$25="☑",27&lt;='Resource Planner'!$N$25),'Resource Planner'!$E$25,"")</f>
        <v/>
      </c>
      <c r="F781" s="163" t="str">
        <f>IF(AND('Resource Planner'!$A$25="☑",27&lt;='Resource Planner'!$N$25),'Resource Planner'!$F$25&amp;" "&amp;('Resource Planner'!$G$25+(27-1)*'Resource Planner'!$I$25)&amp;IF(('Resource Planner'!$G$25+(27-1)*'Resource Planner'!$I$25)=MIN('Resource Planner'!$G$25+27*'Resource Planner'!$I$25-1,'Resource Planner'!$H$25),"","–"&amp;MIN('Resource Planner'!$G$25+27*'Resource Planner'!$I$25-1,'Resource Planner'!$H$25)),"")</f>
        <v/>
      </c>
      <c r="G781" s="163" t="s">
        <v>109</v>
      </c>
      <c r="H781" s="163" t="str">
        <f>IF(AND('Resource Planner'!$A$25="☑",27&lt;='Resource Planner'!$N$25),'Resource Planner'!$M$25,"")</f>
        <v/>
      </c>
    </row>
    <row r="782" ht="15.75" customHeight="1">
      <c r="A7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2" s="163" t="str">
        <f>IF(AND('Resource Planner'!$A$25="☑",28&lt;='Resource Planner'!$N$25),'Resource Planner'!$C$25,"")</f>
        <v/>
      </c>
      <c r="C782" s="163" t="str">
        <f>IF(AND('Resource Planner'!$A$25="☑",28&lt;='Resource Planner'!$N$25),'Resource Planner'!$B$25,"")</f>
        <v/>
      </c>
      <c r="D782" s="163" t="str">
        <f>IF(AND('Resource Planner'!$A$25="☑",28&lt;='Resource Planner'!$N$25),'Resource Planner'!$D$25,"")</f>
        <v/>
      </c>
      <c r="E782" s="163" t="str">
        <f>IF(AND('Resource Planner'!$A$25="☑",28&lt;='Resource Planner'!$N$25),'Resource Planner'!$E$25,"")</f>
        <v/>
      </c>
      <c r="F782" s="163" t="str">
        <f>IF(AND('Resource Planner'!$A$25="☑",28&lt;='Resource Planner'!$N$25),'Resource Planner'!$F$25&amp;" "&amp;('Resource Planner'!$G$25+(28-1)*'Resource Planner'!$I$25)&amp;IF(('Resource Planner'!$G$25+(28-1)*'Resource Planner'!$I$25)=MIN('Resource Planner'!$G$25+28*'Resource Planner'!$I$25-1,'Resource Planner'!$H$25),"","–"&amp;MIN('Resource Planner'!$G$25+28*'Resource Planner'!$I$25-1,'Resource Planner'!$H$25)),"")</f>
        <v/>
      </c>
      <c r="G782" s="163" t="s">
        <v>109</v>
      </c>
      <c r="H782" s="163" t="str">
        <f>IF(AND('Resource Planner'!$A$25="☑",28&lt;='Resource Planner'!$N$25),'Resource Planner'!$M$25,"")</f>
        <v/>
      </c>
    </row>
    <row r="783" ht="15.75" customHeight="1">
      <c r="A7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3" s="163" t="str">
        <f>IF(AND('Resource Planner'!$A$25="☑",29&lt;='Resource Planner'!$N$25),'Resource Planner'!$C$25,"")</f>
        <v/>
      </c>
      <c r="C783" s="163" t="str">
        <f>IF(AND('Resource Planner'!$A$25="☑",29&lt;='Resource Planner'!$N$25),'Resource Planner'!$B$25,"")</f>
        <v/>
      </c>
      <c r="D783" s="163" t="str">
        <f>IF(AND('Resource Planner'!$A$25="☑",29&lt;='Resource Planner'!$N$25),'Resource Planner'!$D$25,"")</f>
        <v/>
      </c>
      <c r="E783" s="163" t="str">
        <f>IF(AND('Resource Planner'!$A$25="☑",29&lt;='Resource Planner'!$N$25),'Resource Planner'!$E$25,"")</f>
        <v/>
      </c>
      <c r="F783" s="163" t="str">
        <f>IF(AND('Resource Planner'!$A$25="☑",29&lt;='Resource Planner'!$N$25),'Resource Planner'!$F$25&amp;" "&amp;('Resource Planner'!$G$25+(29-1)*'Resource Planner'!$I$25)&amp;IF(('Resource Planner'!$G$25+(29-1)*'Resource Planner'!$I$25)=MIN('Resource Planner'!$G$25+29*'Resource Planner'!$I$25-1,'Resource Planner'!$H$25),"","–"&amp;MIN('Resource Planner'!$G$25+29*'Resource Planner'!$I$25-1,'Resource Planner'!$H$25)),"")</f>
        <v/>
      </c>
      <c r="G783" s="163" t="s">
        <v>109</v>
      </c>
      <c r="H783" s="163" t="str">
        <f>IF(AND('Resource Planner'!$A$25="☑",29&lt;='Resource Planner'!$N$25),'Resource Planner'!$M$25,"")</f>
        <v/>
      </c>
    </row>
    <row r="784" ht="15.75" customHeight="1">
      <c r="A7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4" s="163" t="str">
        <f>IF(AND('Resource Planner'!$A$25="☑",30&lt;='Resource Planner'!$N$25),'Resource Planner'!$C$25,"")</f>
        <v/>
      </c>
      <c r="C784" s="163" t="str">
        <f>IF(AND('Resource Planner'!$A$25="☑",30&lt;='Resource Planner'!$N$25),'Resource Planner'!$B$25,"")</f>
        <v/>
      </c>
      <c r="D784" s="163" t="str">
        <f>IF(AND('Resource Planner'!$A$25="☑",30&lt;='Resource Planner'!$N$25),'Resource Planner'!$D$25,"")</f>
        <v/>
      </c>
      <c r="E784" s="163" t="str">
        <f>IF(AND('Resource Planner'!$A$25="☑",30&lt;='Resource Planner'!$N$25),'Resource Planner'!$E$25,"")</f>
        <v/>
      </c>
      <c r="F784" s="163" t="str">
        <f>IF(AND('Resource Planner'!$A$25="☑",30&lt;='Resource Planner'!$N$25),'Resource Planner'!$F$25&amp;" "&amp;('Resource Planner'!$G$25+(30-1)*'Resource Planner'!$I$25)&amp;IF(('Resource Planner'!$G$25+(30-1)*'Resource Planner'!$I$25)=MIN('Resource Planner'!$G$25+30*'Resource Planner'!$I$25-1,'Resource Planner'!$H$25),"","–"&amp;MIN('Resource Planner'!$G$25+30*'Resource Planner'!$I$25-1,'Resource Planner'!$H$25)),"")</f>
        <v/>
      </c>
      <c r="G784" s="163" t="s">
        <v>109</v>
      </c>
      <c r="H784" s="163" t="str">
        <f>IF(AND('Resource Planner'!$A$25="☑",30&lt;='Resource Planner'!$N$25),'Resource Planner'!$M$25,"")</f>
        <v/>
      </c>
    </row>
    <row r="785" ht="15.75" customHeight="1">
      <c r="A7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5" s="163" t="str">
        <f>IF(AND('Resource Planner'!$A$25="☑",31&lt;='Resource Planner'!$N$25),'Resource Planner'!$C$25,"")</f>
        <v/>
      </c>
      <c r="C785" s="163" t="str">
        <f>IF(AND('Resource Planner'!$A$25="☑",31&lt;='Resource Planner'!$N$25),'Resource Planner'!$B$25,"")</f>
        <v/>
      </c>
      <c r="D785" s="163" t="str">
        <f>IF(AND('Resource Planner'!$A$25="☑",31&lt;='Resource Planner'!$N$25),'Resource Planner'!$D$25,"")</f>
        <v/>
      </c>
      <c r="E785" s="163" t="str">
        <f>IF(AND('Resource Planner'!$A$25="☑",31&lt;='Resource Planner'!$N$25),'Resource Planner'!$E$25,"")</f>
        <v/>
      </c>
      <c r="F785" s="163" t="str">
        <f>IF(AND('Resource Planner'!$A$25="☑",31&lt;='Resource Planner'!$N$25),'Resource Planner'!$F$25&amp;" "&amp;('Resource Planner'!$G$25+(31-1)*'Resource Planner'!$I$25)&amp;IF(('Resource Planner'!$G$25+(31-1)*'Resource Planner'!$I$25)=MIN('Resource Planner'!$G$25+31*'Resource Planner'!$I$25-1,'Resource Planner'!$H$25),"","–"&amp;MIN('Resource Planner'!$G$25+31*'Resource Planner'!$I$25-1,'Resource Planner'!$H$25)),"")</f>
        <v/>
      </c>
      <c r="G785" s="163" t="s">
        <v>109</v>
      </c>
      <c r="H785" s="163" t="str">
        <f>IF(AND('Resource Planner'!$A$25="☑",31&lt;='Resource Planner'!$N$25),'Resource Planner'!$M$25,"")</f>
        <v/>
      </c>
    </row>
    <row r="786" ht="15.75" customHeight="1">
      <c r="A7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6" s="163" t="str">
        <f>IF(AND('Resource Planner'!$A$25="☑",32&lt;='Resource Planner'!$N$25),'Resource Planner'!$C$25,"")</f>
        <v/>
      </c>
      <c r="C786" s="163" t="str">
        <f>IF(AND('Resource Planner'!$A$25="☑",32&lt;='Resource Planner'!$N$25),'Resource Planner'!$B$25,"")</f>
        <v/>
      </c>
      <c r="D786" s="163" t="str">
        <f>IF(AND('Resource Planner'!$A$25="☑",32&lt;='Resource Planner'!$N$25),'Resource Planner'!$D$25,"")</f>
        <v/>
      </c>
      <c r="E786" s="163" t="str">
        <f>IF(AND('Resource Planner'!$A$25="☑",32&lt;='Resource Planner'!$N$25),'Resource Planner'!$E$25,"")</f>
        <v/>
      </c>
      <c r="F786" s="163" t="str">
        <f>IF(AND('Resource Planner'!$A$25="☑",32&lt;='Resource Planner'!$N$25),'Resource Planner'!$F$25&amp;" "&amp;('Resource Planner'!$G$25+(32-1)*'Resource Planner'!$I$25)&amp;IF(('Resource Planner'!$G$25+(32-1)*'Resource Planner'!$I$25)=MIN('Resource Planner'!$G$25+32*'Resource Planner'!$I$25-1,'Resource Planner'!$H$25),"","–"&amp;MIN('Resource Planner'!$G$25+32*'Resource Planner'!$I$25-1,'Resource Planner'!$H$25)),"")</f>
        <v/>
      </c>
      <c r="G786" s="163" t="s">
        <v>109</v>
      </c>
      <c r="H786" s="163" t="str">
        <f>IF(AND('Resource Planner'!$A$25="☑",32&lt;='Resource Planner'!$N$25),'Resource Planner'!$M$25,"")</f>
        <v/>
      </c>
    </row>
    <row r="787" ht="15.75" customHeight="1">
      <c r="A7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7" s="163" t="str">
        <f>IF(AND('Resource Planner'!$A$25="☑",33&lt;='Resource Planner'!$N$25),'Resource Planner'!$C$25,"")</f>
        <v/>
      </c>
      <c r="C787" s="163" t="str">
        <f>IF(AND('Resource Planner'!$A$25="☑",33&lt;='Resource Planner'!$N$25),'Resource Planner'!$B$25,"")</f>
        <v/>
      </c>
      <c r="D787" s="163" t="str">
        <f>IF(AND('Resource Planner'!$A$25="☑",33&lt;='Resource Planner'!$N$25),'Resource Planner'!$D$25,"")</f>
        <v/>
      </c>
      <c r="E787" s="163" t="str">
        <f>IF(AND('Resource Planner'!$A$25="☑",33&lt;='Resource Planner'!$N$25),'Resource Planner'!$E$25,"")</f>
        <v/>
      </c>
      <c r="F787" s="163" t="str">
        <f>IF(AND('Resource Planner'!$A$25="☑",33&lt;='Resource Planner'!$N$25),'Resource Planner'!$F$25&amp;" "&amp;('Resource Planner'!$G$25+(33-1)*'Resource Planner'!$I$25)&amp;IF(('Resource Planner'!$G$25+(33-1)*'Resource Planner'!$I$25)=MIN('Resource Planner'!$G$25+33*'Resource Planner'!$I$25-1,'Resource Planner'!$H$25),"","–"&amp;MIN('Resource Planner'!$G$25+33*'Resource Planner'!$I$25-1,'Resource Planner'!$H$25)),"")</f>
        <v/>
      </c>
      <c r="G787" s="163" t="s">
        <v>109</v>
      </c>
      <c r="H787" s="163" t="str">
        <f>IF(AND('Resource Planner'!$A$25="☑",33&lt;='Resource Planner'!$N$25),'Resource Planner'!$M$25,"")</f>
        <v/>
      </c>
    </row>
    <row r="788" ht="15.75" customHeight="1">
      <c r="A7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8" s="163" t="str">
        <f>IF(AND('Resource Planner'!$A$25="☑",34&lt;='Resource Planner'!$N$25),'Resource Planner'!$C$25,"")</f>
        <v/>
      </c>
      <c r="C788" s="163" t="str">
        <f>IF(AND('Resource Planner'!$A$25="☑",34&lt;='Resource Planner'!$N$25),'Resource Planner'!$B$25,"")</f>
        <v/>
      </c>
      <c r="D788" s="163" t="str">
        <f>IF(AND('Resource Planner'!$A$25="☑",34&lt;='Resource Planner'!$N$25),'Resource Planner'!$D$25,"")</f>
        <v/>
      </c>
      <c r="E788" s="163" t="str">
        <f>IF(AND('Resource Planner'!$A$25="☑",34&lt;='Resource Planner'!$N$25),'Resource Planner'!$E$25,"")</f>
        <v/>
      </c>
      <c r="F788" s="163" t="str">
        <f>IF(AND('Resource Planner'!$A$25="☑",34&lt;='Resource Planner'!$N$25),'Resource Planner'!$F$25&amp;" "&amp;('Resource Planner'!$G$25+(34-1)*'Resource Planner'!$I$25)&amp;IF(('Resource Planner'!$G$25+(34-1)*'Resource Planner'!$I$25)=MIN('Resource Planner'!$G$25+34*'Resource Planner'!$I$25-1,'Resource Planner'!$H$25),"","–"&amp;MIN('Resource Planner'!$G$25+34*'Resource Planner'!$I$25-1,'Resource Planner'!$H$25)),"")</f>
        <v/>
      </c>
      <c r="G788" s="163" t="s">
        <v>109</v>
      </c>
      <c r="H788" s="163" t="str">
        <f>IF(AND('Resource Planner'!$A$25="☑",34&lt;='Resource Planner'!$N$25),'Resource Planner'!$M$25,"")</f>
        <v/>
      </c>
    </row>
    <row r="789" ht="15.75" customHeight="1">
      <c r="A7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89" s="163" t="str">
        <f>IF(AND('Resource Planner'!$A$25="☑",35&lt;='Resource Planner'!$N$25),'Resource Planner'!$C$25,"")</f>
        <v/>
      </c>
      <c r="C789" s="163" t="str">
        <f>IF(AND('Resource Planner'!$A$25="☑",35&lt;='Resource Planner'!$N$25),'Resource Planner'!$B$25,"")</f>
        <v/>
      </c>
      <c r="D789" s="163" t="str">
        <f>IF(AND('Resource Planner'!$A$25="☑",35&lt;='Resource Planner'!$N$25),'Resource Planner'!$D$25,"")</f>
        <v/>
      </c>
      <c r="E789" s="163" t="str">
        <f>IF(AND('Resource Planner'!$A$25="☑",35&lt;='Resource Planner'!$N$25),'Resource Planner'!$E$25,"")</f>
        <v/>
      </c>
      <c r="F789" s="163" t="str">
        <f>IF(AND('Resource Planner'!$A$25="☑",35&lt;='Resource Planner'!$N$25),'Resource Planner'!$F$25&amp;" "&amp;('Resource Planner'!$G$25+(35-1)*'Resource Planner'!$I$25)&amp;IF(('Resource Planner'!$G$25+(35-1)*'Resource Planner'!$I$25)=MIN('Resource Planner'!$G$25+35*'Resource Planner'!$I$25-1,'Resource Planner'!$H$25),"","–"&amp;MIN('Resource Planner'!$G$25+35*'Resource Planner'!$I$25-1,'Resource Planner'!$H$25)),"")</f>
        <v/>
      </c>
      <c r="G789" s="163" t="s">
        <v>109</v>
      </c>
      <c r="H789" s="163" t="str">
        <f>IF(AND('Resource Planner'!$A$25="☑",35&lt;='Resource Planner'!$N$25),'Resource Planner'!$M$25,"")</f>
        <v/>
      </c>
    </row>
    <row r="790" ht="15.75" customHeight="1">
      <c r="A7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0" s="163" t="str">
        <f>IF(AND('Resource Planner'!$A$25="☑",36&lt;='Resource Planner'!$N$25),'Resource Planner'!$C$25,"")</f>
        <v/>
      </c>
      <c r="C790" s="163" t="str">
        <f>IF(AND('Resource Planner'!$A$25="☑",36&lt;='Resource Planner'!$N$25),'Resource Planner'!$B$25,"")</f>
        <v/>
      </c>
      <c r="D790" s="163" t="str">
        <f>IF(AND('Resource Planner'!$A$25="☑",36&lt;='Resource Planner'!$N$25),'Resource Planner'!$D$25,"")</f>
        <v/>
      </c>
      <c r="E790" s="163" t="str">
        <f>IF(AND('Resource Planner'!$A$25="☑",36&lt;='Resource Planner'!$N$25),'Resource Planner'!$E$25,"")</f>
        <v/>
      </c>
      <c r="F790" s="163" t="str">
        <f>IF(AND('Resource Planner'!$A$25="☑",36&lt;='Resource Planner'!$N$25),'Resource Planner'!$F$25&amp;" "&amp;('Resource Planner'!$G$25+(36-1)*'Resource Planner'!$I$25)&amp;IF(('Resource Planner'!$G$25+(36-1)*'Resource Planner'!$I$25)=MIN('Resource Planner'!$G$25+36*'Resource Planner'!$I$25-1,'Resource Planner'!$H$25),"","–"&amp;MIN('Resource Planner'!$G$25+36*'Resource Planner'!$I$25-1,'Resource Planner'!$H$25)),"")</f>
        <v/>
      </c>
      <c r="G790" s="163" t="s">
        <v>109</v>
      </c>
      <c r="H790" s="163" t="str">
        <f>IF(AND('Resource Planner'!$A$25="☑",36&lt;='Resource Planner'!$N$25),'Resource Planner'!$M$25,"")</f>
        <v/>
      </c>
    </row>
    <row r="791" ht="15.75" customHeight="1">
      <c r="A7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1" s="163" t="str">
        <f>IF(AND('Resource Planner'!$A$25="☑",37&lt;='Resource Planner'!$N$25),'Resource Planner'!$C$25,"")</f>
        <v/>
      </c>
      <c r="C791" s="163" t="str">
        <f>IF(AND('Resource Planner'!$A$25="☑",37&lt;='Resource Planner'!$N$25),'Resource Planner'!$B$25,"")</f>
        <v/>
      </c>
      <c r="D791" s="163" t="str">
        <f>IF(AND('Resource Planner'!$A$25="☑",37&lt;='Resource Planner'!$N$25),'Resource Planner'!$D$25,"")</f>
        <v/>
      </c>
      <c r="E791" s="163" t="str">
        <f>IF(AND('Resource Planner'!$A$25="☑",37&lt;='Resource Planner'!$N$25),'Resource Planner'!$E$25,"")</f>
        <v/>
      </c>
      <c r="F791" s="163" t="str">
        <f>IF(AND('Resource Planner'!$A$25="☑",37&lt;='Resource Planner'!$N$25),'Resource Planner'!$F$25&amp;" "&amp;('Resource Planner'!$G$25+(37-1)*'Resource Planner'!$I$25)&amp;IF(('Resource Planner'!$G$25+(37-1)*'Resource Planner'!$I$25)=MIN('Resource Planner'!$G$25+37*'Resource Planner'!$I$25-1,'Resource Planner'!$H$25),"","–"&amp;MIN('Resource Planner'!$G$25+37*'Resource Planner'!$I$25-1,'Resource Planner'!$H$25)),"")</f>
        <v/>
      </c>
      <c r="G791" s="163" t="s">
        <v>109</v>
      </c>
      <c r="H791" s="163" t="str">
        <f>IF(AND('Resource Planner'!$A$25="☑",37&lt;='Resource Planner'!$N$25),'Resource Planner'!$M$25,"")</f>
        <v/>
      </c>
    </row>
    <row r="792" ht="15.75" customHeight="1">
      <c r="A7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2" s="163" t="str">
        <f>IF(AND('Resource Planner'!$A$25="☑",38&lt;='Resource Planner'!$N$25),'Resource Planner'!$C$25,"")</f>
        <v/>
      </c>
      <c r="C792" s="163" t="str">
        <f>IF(AND('Resource Planner'!$A$25="☑",38&lt;='Resource Planner'!$N$25),'Resource Planner'!$B$25,"")</f>
        <v/>
      </c>
      <c r="D792" s="163" t="str">
        <f>IF(AND('Resource Planner'!$A$25="☑",38&lt;='Resource Planner'!$N$25),'Resource Planner'!$D$25,"")</f>
        <v/>
      </c>
      <c r="E792" s="163" t="str">
        <f>IF(AND('Resource Planner'!$A$25="☑",38&lt;='Resource Planner'!$N$25),'Resource Planner'!$E$25,"")</f>
        <v/>
      </c>
      <c r="F792" s="163" t="str">
        <f>IF(AND('Resource Planner'!$A$25="☑",38&lt;='Resource Planner'!$N$25),'Resource Planner'!$F$25&amp;" "&amp;('Resource Planner'!$G$25+(38-1)*'Resource Planner'!$I$25)&amp;IF(('Resource Planner'!$G$25+(38-1)*'Resource Planner'!$I$25)=MIN('Resource Planner'!$G$25+38*'Resource Planner'!$I$25-1,'Resource Planner'!$H$25),"","–"&amp;MIN('Resource Planner'!$G$25+38*'Resource Planner'!$I$25-1,'Resource Planner'!$H$25)),"")</f>
        <v/>
      </c>
      <c r="G792" s="163" t="s">
        <v>109</v>
      </c>
      <c r="H792" s="163" t="str">
        <f>IF(AND('Resource Planner'!$A$25="☑",38&lt;='Resource Planner'!$N$25),'Resource Planner'!$M$25,"")</f>
        <v/>
      </c>
    </row>
    <row r="793" ht="15.75" customHeight="1">
      <c r="A7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3" s="163" t="str">
        <f>IF(AND('Resource Planner'!$A$25="☑",39&lt;='Resource Planner'!$N$25),'Resource Planner'!$C$25,"")</f>
        <v/>
      </c>
      <c r="C793" s="163" t="str">
        <f>IF(AND('Resource Planner'!$A$25="☑",39&lt;='Resource Planner'!$N$25),'Resource Planner'!$B$25,"")</f>
        <v/>
      </c>
      <c r="D793" s="163" t="str">
        <f>IF(AND('Resource Planner'!$A$25="☑",39&lt;='Resource Planner'!$N$25),'Resource Planner'!$D$25,"")</f>
        <v/>
      </c>
      <c r="E793" s="163" t="str">
        <f>IF(AND('Resource Planner'!$A$25="☑",39&lt;='Resource Planner'!$N$25),'Resource Planner'!$E$25,"")</f>
        <v/>
      </c>
      <c r="F793" s="163" t="str">
        <f>IF(AND('Resource Planner'!$A$25="☑",39&lt;='Resource Planner'!$N$25),'Resource Planner'!$F$25&amp;" "&amp;('Resource Planner'!$G$25+(39-1)*'Resource Planner'!$I$25)&amp;IF(('Resource Planner'!$G$25+(39-1)*'Resource Planner'!$I$25)=MIN('Resource Planner'!$G$25+39*'Resource Planner'!$I$25-1,'Resource Planner'!$H$25),"","–"&amp;MIN('Resource Planner'!$G$25+39*'Resource Planner'!$I$25-1,'Resource Planner'!$H$25)),"")</f>
        <v/>
      </c>
      <c r="G793" s="163" t="s">
        <v>109</v>
      </c>
      <c r="H793" s="163" t="str">
        <f>IF(AND('Resource Planner'!$A$25="☑",39&lt;='Resource Planner'!$N$25),'Resource Planner'!$M$25,"")</f>
        <v/>
      </c>
    </row>
    <row r="794" ht="15.75" customHeight="1">
      <c r="A7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4" s="163" t="str">
        <f>IF(AND('Resource Planner'!$A$25="☑",40&lt;='Resource Planner'!$N$25),'Resource Planner'!$C$25,"")</f>
        <v/>
      </c>
      <c r="C794" s="163" t="str">
        <f>IF(AND('Resource Planner'!$A$25="☑",40&lt;='Resource Planner'!$N$25),'Resource Planner'!$B$25,"")</f>
        <v/>
      </c>
      <c r="D794" s="163" t="str">
        <f>IF(AND('Resource Planner'!$A$25="☑",40&lt;='Resource Planner'!$N$25),'Resource Planner'!$D$25,"")</f>
        <v/>
      </c>
      <c r="E794" s="163" t="str">
        <f>IF(AND('Resource Planner'!$A$25="☑",40&lt;='Resource Planner'!$N$25),'Resource Planner'!$E$25,"")</f>
        <v/>
      </c>
      <c r="F794" s="163" t="str">
        <f>IF(AND('Resource Planner'!$A$25="☑",40&lt;='Resource Planner'!$N$25),'Resource Planner'!$F$25&amp;" "&amp;('Resource Planner'!$G$25+(40-1)*'Resource Planner'!$I$25)&amp;IF(('Resource Planner'!$G$25+(40-1)*'Resource Planner'!$I$25)=MIN('Resource Planner'!$G$25+40*'Resource Planner'!$I$25-1,'Resource Planner'!$H$25),"","–"&amp;MIN('Resource Planner'!$G$25+40*'Resource Planner'!$I$25-1,'Resource Planner'!$H$25)),"")</f>
        <v/>
      </c>
      <c r="G794" s="163" t="s">
        <v>109</v>
      </c>
      <c r="H794" s="163" t="str">
        <f>IF(AND('Resource Planner'!$A$25="☑",40&lt;='Resource Planner'!$N$25),'Resource Planner'!$M$25,"")</f>
        <v/>
      </c>
    </row>
    <row r="795" ht="15.75" customHeight="1">
      <c r="A7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5" s="163" t="str">
        <f>IF(AND('Resource Planner'!$A$25="☑",41&lt;='Resource Planner'!$N$25),'Resource Planner'!$C$25,"")</f>
        <v/>
      </c>
      <c r="C795" s="163" t="str">
        <f>IF(AND('Resource Planner'!$A$25="☑",41&lt;='Resource Planner'!$N$25),'Resource Planner'!$B$25,"")</f>
        <v/>
      </c>
      <c r="D795" s="163" t="str">
        <f>IF(AND('Resource Planner'!$A$25="☑",41&lt;='Resource Planner'!$N$25),'Resource Planner'!$D$25,"")</f>
        <v/>
      </c>
      <c r="E795" s="163" t="str">
        <f>IF(AND('Resource Planner'!$A$25="☑",41&lt;='Resource Planner'!$N$25),'Resource Planner'!$E$25,"")</f>
        <v/>
      </c>
      <c r="F795" s="163" t="str">
        <f>IF(AND('Resource Planner'!$A$25="☑",41&lt;='Resource Planner'!$N$25),'Resource Planner'!$F$25&amp;" "&amp;('Resource Planner'!$G$25+(41-1)*'Resource Planner'!$I$25)&amp;IF(('Resource Planner'!$G$25+(41-1)*'Resource Planner'!$I$25)=MIN('Resource Planner'!$G$25+41*'Resource Planner'!$I$25-1,'Resource Planner'!$H$25),"","–"&amp;MIN('Resource Planner'!$G$25+41*'Resource Planner'!$I$25-1,'Resource Planner'!$H$25)),"")</f>
        <v/>
      </c>
      <c r="G795" s="163" t="s">
        <v>109</v>
      </c>
      <c r="H795" s="163" t="str">
        <f>IF(AND('Resource Planner'!$A$25="☑",41&lt;='Resource Planner'!$N$25),'Resource Planner'!$M$25,"")</f>
        <v/>
      </c>
    </row>
    <row r="796" ht="15.75" customHeight="1">
      <c r="A7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6" s="163" t="str">
        <f>IF(AND('Resource Planner'!$A$25="☑",42&lt;='Resource Planner'!$N$25),'Resource Planner'!$C$25,"")</f>
        <v/>
      </c>
      <c r="C796" s="163" t="str">
        <f>IF(AND('Resource Planner'!$A$25="☑",42&lt;='Resource Planner'!$N$25),'Resource Planner'!$B$25,"")</f>
        <v/>
      </c>
      <c r="D796" s="163" t="str">
        <f>IF(AND('Resource Planner'!$A$25="☑",42&lt;='Resource Planner'!$N$25),'Resource Planner'!$D$25,"")</f>
        <v/>
      </c>
      <c r="E796" s="163" t="str">
        <f>IF(AND('Resource Planner'!$A$25="☑",42&lt;='Resource Planner'!$N$25),'Resource Planner'!$E$25,"")</f>
        <v/>
      </c>
      <c r="F796" s="163" t="str">
        <f>IF(AND('Resource Planner'!$A$25="☑",42&lt;='Resource Planner'!$N$25),'Resource Planner'!$F$25&amp;" "&amp;('Resource Planner'!$G$25+(42-1)*'Resource Planner'!$I$25)&amp;IF(('Resource Planner'!$G$25+(42-1)*'Resource Planner'!$I$25)=MIN('Resource Planner'!$G$25+42*'Resource Planner'!$I$25-1,'Resource Planner'!$H$25),"","–"&amp;MIN('Resource Planner'!$G$25+42*'Resource Planner'!$I$25-1,'Resource Planner'!$H$25)),"")</f>
        <v/>
      </c>
      <c r="G796" s="163" t="s">
        <v>109</v>
      </c>
      <c r="H796" s="163" t="str">
        <f>IF(AND('Resource Planner'!$A$25="☑",42&lt;='Resource Planner'!$N$25),'Resource Planner'!$M$25,"")</f>
        <v/>
      </c>
    </row>
    <row r="797" ht="15.75" customHeight="1">
      <c r="A7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7" s="163" t="str">
        <f>IF(AND('Resource Planner'!$A$25="☑",43&lt;='Resource Planner'!$N$25),'Resource Planner'!$C$25,"")</f>
        <v/>
      </c>
      <c r="C797" s="163" t="str">
        <f>IF(AND('Resource Planner'!$A$25="☑",43&lt;='Resource Planner'!$N$25),'Resource Planner'!$B$25,"")</f>
        <v/>
      </c>
      <c r="D797" s="163" t="str">
        <f>IF(AND('Resource Planner'!$A$25="☑",43&lt;='Resource Planner'!$N$25),'Resource Planner'!$D$25,"")</f>
        <v/>
      </c>
      <c r="E797" s="163" t="str">
        <f>IF(AND('Resource Planner'!$A$25="☑",43&lt;='Resource Planner'!$N$25),'Resource Planner'!$E$25,"")</f>
        <v/>
      </c>
      <c r="F797" s="163" t="str">
        <f>IF(AND('Resource Planner'!$A$25="☑",43&lt;='Resource Planner'!$N$25),'Resource Planner'!$F$25&amp;" "&amp;('Resource Planner'!$G$25+(43-1)*'Resource Planner'!$I$25)&amp;IF(('Resource Planner'!$G$25+(43-1)*'Resource Planner'!$I$25)=MIN('Resource Planner'!$G$25+43*'Resource Planner'!$I$25-1,'Resource Planner'!$H$25),"","–"&amp;MIN('Resource Planner'!$G$25+43*'Resource Planner'!$I$25-1,'Resource Planner'!$H$25)),"")</f>
        <v/>
      </c>
      <c r="G797" s="163" t="s">
        <v>109</v>
      </c>
      <c r="H797" s="163" t="str">
        <f>IF(AND('Resource Planner'!$A$25="☑",43&lt;='Resource Planner'!$N$25),'Resource Planner'!$M$25,"")</f>
        <v/>
      </c>
    </row>
    <row r="798" ht="15.75" customHeight="1">
      <c r="A7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8" s="163" t="str">
        <f>IF(AND('Resource Planner'!$A$25="☑",44&lt;='Resource Planner'!$N$25),'Resource Planner'!$C$25,"")</f>
        <v/>
      </c>
      <c r="C798" s="163" t="str">
        <f>IF(AND('Resource Planner'!$A$25="☑",44&lt;='Resource Planner'!$N$25),'Resource Planner'!$B$25,"")</f>
        <v/>
      </c>
      <c r="D798" s="163" t="str">
        <f>IF(AND('Resource Planner'!$A$25="☑",44&lt;='Resource Planner'!$N$25),'Resource Planner'!$D$25,"")</f>
        <v/>
      </c>
      <c r="E798" s="163" t="str">
        <f>IF(AND('Resource Planner'!$A$25="☑",44&lt;='Resource Planner'!$N$25),'Resource Planner'!$E$25,"")</f>
        <v/>
      </c>
      <c r="F798" s="163" t="str">
        <f>IF(AND('Resource Planner'!$A$25="☑",44&lt;='Resource Planner'!$N$25),'Resource Planner'!$F$25&amp;" "&amp;('Resource Planner'!$G$25+(44-1)*'Resource Planner'!$I$25)&amp;IF(('Resource Planner'!$G$25+(44-1)*'Resource Planner'!$I$25)=MIN('Resource Planner'!$G$25+44*'Resource Planner'!$I$25-1,'Resource Planner'!$H$25),"","–"&amp;MIN('Resource Planner'!$G$25+44*'Resource Planner'!$I$25-1,'Resource Planner'!$H$25)),"")</f>
        <v/>
      </c>
      <c r="G798" s="163" t="s">
        <v>109</v>
      </c>
      <c r="H798" s="163" t="str">
        <f>IF(AND('Resource Planner'!$A$25="☑",44&lt;='Resource Planner'!$N$25),'Resource Planner'!$M$25,"")</f>
        <v/>
      </c>
    </row>
    <row r="799" ht="15.75" customHeight="1">
      <c r="A7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799" s="163" t="str">
        <f>IF(AND('Resource Planner'!$A$25="☑",45&lt;='Resource Planner'!$N$25),'Resource Planner'!$C$25,"")</f>
        <v/>
      </c>
      <c r="C799" s="163" t="str">
        <f>IF(AND('Resource Planner'!$A$25="☑",45&lt;='Resource Planner'!$N$25),'Resource Planner'!$B$25,"")</f>
        <v/>
      </c>
      <c r="D799" s="163" t="str">
        <f>IF(AND('Resource Planner'!$A$25="☑",45&lt;='Resource Planner'!$N$25),'Resource Planner'!$D$25,"")</f>
        <v/>
      </c>
      <c r="E799" s="163" t="str">
        <f>IF(AND('Resource Planner'!$A$25="☑",45&lt;='Resource Planner'!$N$25),'Resource Planner'!$E$25,"")</f>
        <v/>
      </c>
      <c r="F799" s="163" t="str">
        <f>IF(AND('Resource Planner'!$A$25="☑",45&lt;='Resource Planner'!$N$25),'Resource Planner'!$F$25&amp;" "&amp;('Resource Planner'!$G$25+(45-1)*'Resource Planner'!$I$25)&amp;IF(('Resource Planner'!$G$25+(45-1)*'Resource Planner'!$I$25)=MIN('Resource Planner'!$G$25+45*'Resource Planner'!$I$25-1,'Resource Planner'!$H$25),"","–"&amp;MIN('Resource Planner'!$G$25+45*'Resource Planner'!$I$25-1,'Resource Planner'!$H$25)),"")</f>
        <v/>
      </c>
      <c r="G799" s="163" t="s">
        <v>109</v>
      </c>
      <c r="H799" s="163" t="str">
        <f>IF(AND('Resource Planner'!$A$25="☑",45&lt;='Resource Planner'!$N$25),'Resource Planner'!$M$25,"")</f>
        <v/>
      </c>
    </row>
    <row r="800" ht="15.75" customHeight="1">
      <c r="A8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0" s="163" t="str">
        <f>IF(AND('Resource Planner'!$A$25="☑",46&lt;='Resource Planner'!$N$25),'Resource Planner'!$C$25,"")</f>
        <v/>
      </c>
      <c r="C800" s="163" t="str">
        <f>IF(AND('Resource Planner'!$A$25="☑",46&lt;='Resource Planner'!$N$25),'Resource Planner'!$B$25,"")</f>
        <v/>
      </c>
      <c r="D800" s="163" t="str">
        <f>IF(AND('Resource Planner'!$A$25="☑",46&lt;='Resource Planner'!$N$25),'Resource Planner'!$D$25,"")</f>
        <v/>
      </c>
      <c r="E800" s="163" t="str">
        <f>IF(AND('Resource Planner'!$A$25="☑",46&lt;='Resource Planner'!$N$25),'Resource Planner'!$E$25,"")</f>
        <v/>
      </c>
      <c r="F800" s="163" t="str">
        <f>IF(AND('Resource Planner'!$A$25="☑",46&lt;='Resource Planner'!$N$25),'Resource Planner'!$F$25&amp;" "&amp;('Resource Planner'!$G$25+(46-1)*'Resource Planner'!$I$25)&amp;IF(('Resource Planner'!$G$25+(46-1)*'Resource Planner'!$I$25)=MIN('Resource Planner'!$G$25+46*'Resource Planner'!$I$25-1,'Resource Planner'!$H$25),"","–"&amp;MIN('Resource Planner'!$G$25+46*'Resource Planner'!$I$25-1,'Resource Planner'!$H$25)),"")</f>
        <v/>
      </c>
      <c r="G800" s="163" t="s">
        <v>109</v>
      </c>
      <c r="H800" s="163" t="str">
        <f>IF(AND('Resource Planner'!$A$25="☑",46&lt;='Resource Planner'!$N$25),'Resource Planner'!$M$25,"")</f>
        <v/>
      </c>
    </row>
    <row r="801" ht="15.75" customHeight="1">
      <c r="A8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1" s="163" t="str">
        <f>IF(AND('Resource Planner'!$A$25="☑",47&lt;='Resource Planner'!$N$25),'Resource Planner'!$C$25,"")</f>
        <v/>
      </c>
      <c r="C801" s="163" t="str">
        <f>IF(AND('Resource Planner'!$A$25="☑",47&lt;='Resource Planner'!$N$25),'Resource Planner'!$B$25,"")</f>
        <v/>
      </c>
      <c r="D801" s="163" t="str">
        <f>IF(AND('Resource Planner'!$A$25="☑",47&lt;='Resource Planner'!$N$25),'Resource Planner'!$D$25,"")</f>
        <v/>
      </c>
      <c r="E801" s="163" t="str">
        <f>IF(AND('Resource Planner'!$A$25="☑",47&lt;='Resource Planner'!$N$25),'Resource Planner'!$E$25,"")</f>
        <v/>
      </c>
      <c r="F801" s="163" t="str">
        <f>IF(AND('Resource Planner'!$A$25="☑",47&lt;='Resource Planner'!$N$25),'Resource Planner'!$F$25&amp;" "&amp;('Resource Planner'!$G$25+(47-1)*'Resource Planner'!$I$25)&amp;IF(('Resource Planner'!$G$25+(47-1)*'Resource Planner'!$I$25)=MIN('Resource Planner'!$G$25+47*'Resource Planner'!$I$25-1,'Resource Planner'!$H$25),"","–"&amp;MIN('Resource Planner'!$G$25+47*'Resource Planner'!$I$25-1,'Resource Planner'!$H$25)),"")</f>
        <v/>
      </c>
      <c r="G801" s="163" t="s">
        <v>109</v>
      </c>
      <c r="H801" s="163" t="str">
        <f>IF(AND('Resource Planner'!$A$25="☑",47&lt;='Resource Planner'!$N$25),'Resource Planner'!$M$25,"")</f>
        <v/>
      </c>
    </row>
    <row r="802" ht="15.75" customHeight="1">
      <c r="A8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2" s="163" t="str">
        <f>IF(AND('Resource Planner'!$A$25="☑",48&lt;='Resource Planner'!$N$25),'Resource Planner'!$C$25,"")</f>
        <v/>
      </c>
      <c r="C802" s="163" t="str">
        <f>IF(AND('Resource Planner'!$A$25="☑",48&lt;='Resource Planner'!$N$25),'Resource Planner'!$B$25,"")</f>
        <v/>
      </c>
      <c r="D802" s="163" t="str">
        <f>IF(AND('Resource Planner'!$A$25="☑",48&lt;='Resource Planner'!$N$25),'Resource Planner'!$D$25,"")</f>
        <v/>
      </c>
      <c r="E802" s="163" t="str">
        <f>IF(AND('Resource Planner'!$A$25="☑",48&lt;='Resource Planner'!$N$25),'Resource Planner'!$E$25,"")</f>
        <v/>
      </c>
      <c r="F802" s="163" t="str">
        <f>IF(AND('Resource Planner'!$A$25="☑",48&lt;='Resource Planner'!$N$25),'Resource Planner'!$F$25&amp;" "&amp;('Resource Planner'!$G$25+(48-1)*'Resource Planner'!$I$25)&amp;IF(('Resource Planner'!$G$25+(48-1)*'Resource Planner'!$I$25)=MIN('Resource Planner'!$G$25+48*'Resource Planner'!$I$25-1,'Resource Planner'!$H$25),"","–"&amp;MIN('Resource Planner'!$G$25+48*'Resource Planner'!$I$25-1,'Resource Planner'!$H$25)),"")</f>
        <v/>
      </c>
      <c r="G802" s="163" t="s">
        <v>109</v>
      </c>
      <c r="H802" s="163" t="str">
        <f>IF(AND('Resource Planner'!$A$25="☑",48&lt;='Resource Planner'!$N$25),'Resource Planner'!$M$25,"")</f>
        <v/>
      </c>
    </row>
    <row r="803" ht="15.75" customHeight="1">
      <c r="A8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3" s="163" t="str">
        <f>IF(AND('Resource Planner'!$A$25="☑",49&lt;='Resource Planner'!$N$25),'Resource Planner'!$C$25,"")</f>
        <v/>
      </c>
      <c r="C803" s="163" t="str">
        <f>IF(AND('Resource Planner'!$A$25="☑",49&lt;='Resource Planner'!$N$25),'Resource Planner'!$B$25,"")</f>
        <v/>
      </c>
      <c r="D803" s="163" t="str">
        <f>IF(AND('Resource Planner'!$A$25="☑",49&lt;='Resource Planner'!$N$25),'Resource Planner'!$D$25,"")</f>
        <v/>
      </c>
      <c r="E803" s="163" t="str">
        <f>IF(AND('Resource Planner'!$A$25="☑",49&lt;='Resource Planner'!$N$25),'Resource Planner'!$E$25,"")</f>
        <v/>
      </c>
      <c r="F803" s="163" t="str">
        <f>IF(AND('Resource Planner'!$A$25="☑",49&lt;='Resource Planner'!$N$25),'Resource Planner'!$F$25&amp;" "&amp;('Resource Planner'!$G$25+(49-1)*'Resource Planner'!$I$25)&amp;IF(('Resource Planner'!$G$25+(49-1)*'Resource Planner'!$I$25)=MIN('Resource Planner'!$G$25+49*'Resource Planner'!$I$25-1,'Resource Planner'!$H$25),"","–"&amp;MIN('Resource Planner'!$G$25+49*'Resource Planner'!$I$25-1,'Resource Planner'!$H$25)),"")</f>
        <v/>
      </c>
      <c r="G803" s="163" t="s">
        <v>109</v>
      </c>
      <c r="H803" s="163" t="str">
        <f>IF(AND('Resource Planner'!$A$25="☑",49&lt;='Resource Planner'!$N$25),'Resource Planner'!$M$25,"")</f>
        <v/>
      </c>
    </row>
    <row r="804" ht="15.75" customHeight="1">
      <c r="A8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4" s="163" t="str">
        <f>IF(AND('Resource Planner'!$A$25="☑",50&lt;='Resource Planner'!$N$25),'Resource Planner'!$C$25,"")</f>
        <v/>
      </c>
      <c r="C804" s="163" t="str">
        <f>IF(AND('Resource Planner'!$A$25="☑",50&lt;='Resource Planner'!$N$25),'Resource Planner'!$B$25,"")</f>
        <v/>
      </c>
      <c r="D804" s="163" t="str">
        <f>IF(AND('Resource Planner'!$A$25="☑",50&lt;='Resource Planner'!$N$25),'Resource Planner'!$D$25,"")</f>
        <v/>
      </c>
      <c r="E804" s="163" t="str">
        <f>IF(AND('Resource Planner'!$A$25="☑",50&lt;='Resource Planner'!$N$25),'Resource Planner'!$E$25,"")</f>
        <v/>
      </c>
      <c r="F804" s="163" t="str">
        <f>IF(AND('Resource Planner'!$A$25="☑",50&lt;='Resource Planner'!$N$25),'Resource Planner'!$F$25&amp;" "&amp;('Resource Planner'!$G$25+(50-1)*'Resource Planner'!$I$25)&amp;IF(('Resource Planner'!$G$25+(50-1)*'Resource Planner'!$I$25)=MIN('Resource Planner'!$G$25+50*'Resource Planner'!$I$25-1,'Resource Planner'!$H$25),"","–"&amp;MIN('Resource Planner'!$G$25+50*'Resource Planner'!$I$25-1,'Resource Planner'!$H$25)),"")</f>
        <v/>
      </c>
      <c r="G804" s="163" t="s">
        <v>109</v>
      </c>
      <c r="H804" s="163" t="str">
        <f>IF(AND('Resource Planner'!$A$25="☑",50&lt;='Resource Planner'!$N$25),'Resource Planner'!$M$25,"")</f>
        <v/>
      </c>
    </row>
    <row r="805" ht="15.75" customHeight="1">
      <c r="A8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5" s="163" t="str">
        <f>IF(AND('Resource Planner'!$A$26="☑",1&lt;='Resource Planner'!$N$26),'Resource Planner'!$C$26,"")</f>
        <v/>
      </c>
      <c r="C805" s="163" t="str">
        <f>IF(AND('Resource Planner'!$A$26="☑",1&lt;='Resource Planner'!$N$26),'Resource Planner'!$B$26,"")</f>
        <v/>
      </c>
      <c r="D805" s="163" t="str">
        <f>IF(AND('Resource Planner'!$A$26="☑",1&lt;='Resource Planner'!$N$26),'Resource Planner'!$D$26,"")</f>
        <v/>
      </c>
      <c r="E805" s="163" t="str">
        <f>IF(AND('Resource Planner'!$A$26="☑",1&lt;='Resource Planner'!$N$26),'Resource Planner'!$E$26,"")</f>
        <v/>
      </c>
      <c r="F805" s="163" t="str">
        <f>IF(AND('Resource Planner'!$A$26="☑",1&lt;='Resource Planner'!$N$26),'Resource Planner'!$F$26&amp;" "&amp;('Resource Planner'!$G$26+(1-1)*'Resource Planner'!$I$26)&amp;IF(('Resource Planner'!$G$26+(1-1)*'Resource Planner'!$I$26)=MIN('Resource Planner'!$G$26+1*'Resource Planner'!$I$26-1,'Resource Planner'!$H$26),"","–"&amp;MIN('Resource Planner'!$G$26+1*'Resource Planner'!$I$26-1,'Resource Planner'!$H$26)),"")</f>
        <v/>
      </c>
      <c r="G805" s="163" t="s">
        <v>109</v>
      </c>
      <c r="H805" s="163" t="str">
        <f>IF(AND('Resource Planner'!$A$26="☑",1&lt;='Resource Planner'!$N$26),'Resource Planner'!$M$26,"")</f>
        <v/>
      </c>
    </row>
    <row r="806" ht="15.75" customHeight="1">
      <c r="A8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6" s="163" t="str">
        <f>IF(AND('Resource Planner'!$A$26="☑",2&lt;='Resource Planner'!$N$26),'Resource Planner'!$C$26,"")</f>
        <v/>
      </c>
      <c r="C806" s="163" t="str">
        <f>IF(AND('Resource Planner'!$A$26="☑",2&lt;='Resource Planner'!$N$26),'Resource Planner'!$B$26,"")</f>
        <v/>
      </c>
      <c r="D806" s="163" t="str">
        <f>IF(AND('Resource Planner'!$A$26="☑",2&lt;='Resource Planner'!$N$26),'Resource Planner'!$D$26,"")</f>
        <v/>
      </c>
      <c r="E806" s="163" t="str">
        <f>IF(AND('Resource Planner'!$A$26="☑",2&lt;='Resource Planner'!$N$26),'Resource Planner'!$E$26,"")</f>
        <v/>
      </c>
      <c r="F806" s="163" t="str">
        <f>IF(AND('Resource Planner'!$A$26="☑",2&lt;='Resource Planner'!$N$26),'Resource Planner'!$F$26&amp;" "&amp;('Resource Planner'!$G$26+(2-1)*'Resource Planner'!$I$26)&amp;IF(('Resource Planner'!$G$26+(2-1)*'Resource Planner'!$I$26)=MIN('Resource Planner'!$G$26+2*'Resource Planner'!$I$26-1,'Resource Planner'!$H$26),"","–"&amp;MIN('Resource Planner'!$G$26+2*'Resource Planner'!$I$26-1,'Resource Planner'!$H$26)),"")</f>
        <v/>
      </c>
      <c r="G806" s="163" t="s">
        <v>109</v>
      </c>
      <c r="H806" s="163" t="str">
        <f>IF(AND('Resource Planner'!$A$26="☑",2&lt;='Resource Planner'!$N$26),'Resource Planner'!$M$26,"")</f>
        <v/>
      </c>
    </row>
    <row r="807" ht="15.75" customHeight="1">
      <c r="A8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7" s="163" t="str">
        <f>IF(AND('Resource Planner'!$A$26="☑",3&lt;='Resource Planner'!$N$26),'Resource Planner'!$C$26,"")</f>
        <v/>
      </c>
      <c r="C807" s="163" t="str">
        <f>IF(AND('Resource Planner'!$A$26="☑",3&lt;='Resource Planner'!$N$26),'Resource Planner'!$B$26,"")</f>
        <v/>
      </c>
      <c r="D807" s="163" t="str">
        <f>IF(AND('Resource Planner'!$A$26="☑",3&lt;='Resource Planner'!$N$26),'Resource Planner'!$D$26,"")</f>
        <v/>
      </c>
      <c r="E807" s="163" t="str">
        <f>IF(AND('Resource Planner'!$A$26="☑",3&lt;='Resource Planner'!$N$26),'Resource Planner'!$E$26,"")</f>
        <v/>
      </c>
      <c r="F807" s="163" t="str">
        <f>IF(AND('Resource Planner'!$A$26="☑",3&lt;='Resource Planner'!$N$26),'Resource Planner'!$F$26&amp;" "&amp;('Resource Planner'!$G$26+(3-1)*'Resource Planner'!$I$26)&amp;IF(('Resource Planner'!$G$26+(3-1)*'Resource Planner'!$I$26)=MIN('Resource Planner'!$G$26+3*'Resource Planner'!$I$26-1,'Resource Planner'!$H$26),"","–"&amp;MIN('Resource Planner'!$G$26+3*'Resource Planner'!$I$26-1,'Resource Planner'!$H$26)),"")</f>
        <v/>
      </c>
      <c r="G807" s="163" t="s">
        <v>109</v>
      </c>
      <c r="H807" s="163" t="str">
        <f>IF(AND('Resource Planner'!$A$26="☑",3&lt;='Resource Planner'!$N$26),'Resource Planner'!$M$26,"")</f>
        <v/>
      </c>
    </row>
    <row r="808" ht="15.75" customHeight="1">
      <c r="A8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8" s="163" t="str">
        <f>IF(AND('Resource Planner'!$A$26="☑",4&lt;='Resource Planner'!$N$26),'Resource Planner'!$C$26,"")</f>
        <v/>
      </c>
      <c r="C808" s="163" t="str">
        <f>IF(AND('Resource Planner'!$A$26="☑",4&lt;='Resource Planner'!$N$26),'Resource Planner'!$B$26,"")</f>
        <v/>
      </c>
      <c r="D808" s="163" t="str">
        <f>IF(AND('Resource Planner'!$A$26="☑",4&lt;='Resource Planner'!$N$26),'Resource Planner'!$D$26,"")</f>
        <v/>
      </c>
      <c r="E808" s="163" t="str">
        <f>IF(AND('Resource Planner'!$A$26="☑",4&lt;='Resource Planner'!$N$26),'Resource Planner'!$E$26,"")</f>
        <v/>
      </c>
      <c r="F808" s="163" t="str">
        <f>IF(AND('Resource Planner'!$A$26="☑",4&lt;='Resource Planner'!$N$26),'Resource Planner'!$F$26&amp;" "&amp;('Resource Planner'!$G$26+(4-1)*'Resource Planner'!$I$26)&amp;IF(('Resource Planner'!$G$26+(4-1)*'Resource Planner'!$I$26)=MIN('Resource Planner'!$G$26+4*'Resource Planner'!$I$26-1,'Resource Planner'!$H$26),"","–"&amp;MIN('Resource Planner'!$G$26+4*'Resource Planner'!$I$26-1,'Resource Planner'!$H$26)),"")</f>
        <v/>
      </c>
      <c r="G808" s="163" t="s">
        <v>109</v>
      </c>
      <c r="H808" s="163" t="str">
        <f>IF(AND('Resource Planner'!$A$26="☑",4&lt;='Resource Planner'!$N$26),'Resource Planner'!$M$26,"")</f>
        <v/>
      </c>
    </row>
    <row r="809" ht="15.75" customHeight="1">
      <c r="A8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09" s="163" t="str">
        <f>IF(AND('Resource Planner'!$A$26="☑",5&lt;='Resource Planner'!$N$26),'Resource Planner'!$C$26,"")</f>
        <v/>
      </c>
      <c r="C809" s="163" t="str">
        <f>IF(AND('Resource Planner'!$A$26="☑",5&lt;='Resource Planner'!$N$26),'Resource Planner'!$B$26,"")</f>
        <v/>
      </c>
      <c r="D809" s="163" t="str">
        <f>IF(AND('Resource Planner'!$A$26="☑",5&lt;='Resource Planner'!$N$26),'Resource Planner'!$D$26,"")</f>
        <v/>
      </c>
      <c r="E809" s="163" t="str">
        <f>IF(AND('Resource Planner'!$A$26="☑",5&lt;='Resource Planner'!$N$26),'Resource Planner'!$E$26,"")</f>
        <v/>
      </c>
      <c r="F809" s="163" t="str">
        <f>IF(AND('Resource Planner'!$A$26="☑",5&lt;='Resource Planner'!$N$26),'Resource Planner'!$F$26&amp;" "&amp;('Resource Planner'!$G$26+(5-1)*'Resource Planner'!$I$26)&amp;IF(('Resource Planner'!$G$26+(5-1)*'Resource Planner'!$I$26)=MIN('Resource Planner'!$G$26+5*'Resource Planner'!$I$26-1,'Resource Planner'!$H$26),"","–"&amp;MIN('Resource Planner'!$G$26+5*'Resource Planner'!$I$26-1,'Resource Planner'!$H$26)),"")</f>
        <v/>
      </c>
      <c r="G809" s="163" t="s">
        <v>109</v>
      </c>
      <c r="H809" s="163" t="str">
        <f>IF(AND('Resource Planner'!$A$26="☑",5&lt;='Resource Planner'!$N$26),'Resource Planner'!$M$26,"")</f>
        <v/>
      </c>
    </row>
    <row r="810" ht="15.75" customHeight="1">
      <c r="A8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0" s="163" t="str">
        <f>IF(AND('Resource Planner'!$A$26="☑",6&lt;='Resource Planner'!$N$26),'Resource Planner'!$C$26,"")</f>
        <v/>
      </c>
      <c r="C810" s="163" t="str">
        <f>IF(AND('Resource Planner'!$A$26="☑",6&lt;='Resource Planner'!$N$26),'Resource Planner'!$B$26,"")</f>
        <v/>
      </c>
      <c r="D810" s="163" t="str">
        <f>IF(AND('Resource Planner'!$A$26="☑",6&lt;='Resource Planner'!$N$26),'Resource Planner'!$D$26,"")</f>
        <v/>
      </c>
      <c r="E810" s="163" t="str">
        <f>IF(AND('Resource Planner'!$A$26="☑",6&lt;='Resource Planner'!$N$26),'Resource Planner'!$E$26,"")</f>
        <v/>
      </c>
      <c r="F810" s="163" t="str">
        <f>IF(AND('Resource Planner'!$A$26="☑",6&lt;='Resource Planner'!$N$26),'Resource Planner'!$F$26&amp;" "&amp;('Resource Planner'!$G$26+(6-1)*'Resource Planner'!$I$26)&amp;IF(('Resource Planner'!$G$26+(6-1)*'Resource Planner'!$I$26)=MIN('Resource Planner'!$G$26+6*'Resource Planner'!$I$26-1,'Resource Planner'!$H$26),"","–"&amp;MIN('Resource Planner'!$G$26+6*'Resource Planner'!$I$26-1,'Resource Planner'!$H$26)),"")</f>
        <v/>
      </c>
      <c r="G810" s="163" t="s">
        <v>109</v>
      </c>
      <c r="H810" s="163" t="str">
        <f>IF(AND('Resource Planner'!$A$26="☑",6&lt;='Resource Planner'!$N$26),'Resource Planner'!$M$26,"")</f>
        <v/>
      </c>
    </row>
    <row r="811" ht="15.75" customHeight="1">
      <c r="A8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1" s="163" t="str">
        <f>IF(AND('Resource Planner'!$A$26="☑",7&lt;='Resource Planner'!$N$26),'Resource Planner'!$C$26,"")</f>
        <v/>
      </c>
      <c r="C811" s="163" t="str">
        <f>IF(AND('Resource Planner'!$A$26="☑",7&lt;='Resource Planner'!$N$26),'Resource Planner'!$B$26,"")</f>
        <v/>
      </c>
      <c r="D811" s="163" t="str">
        <f>IF(AND('Resource Planner'!$A$26="☑",7&lt;='Resource Planner'!$N$26),'Resource Planner'!$D$26,"")</f>
        <v/>
      </c>
      <c r="E811" s="163" t="str">
        <f>IF(AND('Resource Planner'!$A$26="☑",7&lt;='Resource Planner'!$N$26),'Resource Planner'!$E$26,"")</f>
        <v/>
      </c>
      <c r="F811" s="163" t="str">
        <f>IF(AND('Resource Planner'!$A$26="☑",7&lt;='Resource Planner'!$N$26),'Resource Planner'!$F$26&amp;" "&amp;('Resource Planner'!$G$26+(7-1)*'Resource Planner'!$I$26)&amp;IF(('Resource Planner'!$G$26+(7-1)*'Resource Planner'!$I$26)=MIN('Resource Planner'!$G$26+7*'Resource Planner'!$I$26-1,'Resource Planner'!$H$26),"","–"&amp;MIN('Resource Planner'!$G$26+7*'Resource Planner'!$I$26-1,'Resource Planner'!$H$26)),"")</f>
        <v/>
      </c>
      <c r="G811" s="163" t="s">
        <v>109</v>
      </c>
      <c r="H811" s="163" t="str">
        <f>IF(AND('Resource Planner'!$A$26="☑",7&lt;='Resource Planner'!$N$26),'Resource Planner'!$M$26,"")</f>
        <v/>
      </c>
    </row>
    <row r="812" ht="15.75" customHeight="1">
      <c r="A8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2" s="163" t="str">
        <f>IF(AND('Resource Planner'!$A$26="☑",8&lt;='Resource Planner'!$N$26),'Resource Planner'!$C$26,"")</f>
        <v/>
      </c>
      <c r="C812" s="163" t="str">
        <f>IF(AND('Resource Planner'!$A$26="☑",8&lt;='Resource Planner'!$N$26),'Resource Planner'!$B$26,"")</f>
        <v/>
      </c>
      <c r="D812" s="163" t="str">
        <f>IF(AND('Resource Planner'!$A$26="☑",8&lt;='Resource Planner'!$N$26),'Resource Planner'!$D$26,"")</f>
        <v/>
      </c>
      <c r="E812" s="163" t="str">
        <f>IF(AND('Resource Planner'!$A$26="☑",8&lt;='Resource Planner'!$N$26),'Resource Planner'!$E$26,"")</f>
        <v/>
      </c>
      <c r="F812" s="163" t="str">
        <f>IF(AND('Resource Planner'!$A$26="☑",8&lt;='Resource Planner'!$N$26),'Resource Planner'!$F$26&amp;" "&amp;('Resource Planner'!$G$26+(8-1)*'Resource Planner'!$I$26)&amp;IF(('Resource Planner'!$G$26+(8-1)*'Resource Planner'!$I$26)=MIN('Resource Planner'!$G$26+8*'Resource Planner'!$I$26-1,'Resource Planner'!$H$26),"","–"&amp;MIN('Resource Planner'!$G$26+8*'Resource Planner'!$I$26-1,'Resource Planner'!$H$26)),"")</f>
        <v/>
      </c>
      <c r="G812" s="163" t="s">
        <v>109</v>
      </c>
      <c r="H812" s="163" t="str">
        <f>IF(AND('Resource Planner'!$A$26="☑",8&lt;='Resource Planner'!$N$26),'Resource Planner'!$M$26,"")</f>
        <v/>
      </c>
    </row>
    <row r="813" ht="15.75" customHeight="1">
      <c r="A8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3" s="163" t="str">
        <f>IF(AND('Resource Planner'!$A$26="☑",9&lt;='Resource Planner'!$N$26),'Resource Planner'!$C$26,"")</f>
        <v/>
      </c>
      <c r="C813" s="163" t="str">
        <f>IF(AND('Resource Planner'!$A$26="☑",9&lt;='Resource Planner'!$N$26),'Resource Planner'!$B$26,"")</f>
        <v/>
      </c>
      <c r="D813" s="163" t="str">
        <f>IF(AND('Resource Planner'!$A$26="☑",9&lt;='Resource Planner'!$N$26),'Resource Planner'!$D$26,"")</f>
        <v/>
      </c>
      <c r="E813" s="163" t="str">
        <f>IF(AND('Resource Planner'!$A$26="☑",9&lt;='Resource Planner'!$N$26),'Resource Planner'!$E$26,"")</f>
        <v/>
      </c>
      <c r="F813" s="163" t="str">
        <f>IF(AND('Resource Planner'!$A$26="☑",9&lt;='Resource Planner'!$N$26),'Resource Planner'!$F$26&amp;" "&amp;('Resource Planner'!$G$26+(9-1)*'Resource Planner'!$I$26)&amp;IF(('Resource Planner'!$G$26+(9-1)*'Resource Planner'!$I$26)=MIN('Resource Planner'!$G$26+9*'Resource Planner'!$I$26-1,'Resource Planner'!$H$26),"","–"&amp;MIN('Resource Planner'!$G$26+9*'Resource Planner'!$I$26-1,'Resource Planner'!$H$26)),"")</f>
        <v/>
      </c>
      <c r="G813" s="163" t="s">
        <v>109</v>
      </c>
      <c r="H813" s="163" t="str">
        <f>IF(AND('Resource Planner'!$A$26="☑",9&lt;='Resource Planner'!$N$26),'Resource Planner'!$M$26,"")</f>
        <v/>
      </c>
    </row>
    <row r="814" ht="15.75" customHeight="1">
      <c r="A8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4" s="163" t="str">
        <f>IF(AND('Resource Planner'!$A$26="☑",10&lt;='Resource Planner'!$N$26),'Resource Planner'!$C$26,"")</f>
        <v/>
      </c>
      <c r="C814" s="163" t="str">
        <f>IF(AND('Resource Planner'!$A$26="☑",10&lt;='Resource Planner'!$N$26),'Resource Planner'!$B$26,"")</f>
        <v/>
      </c>
      <c r="D814" s="163" t="str">
        <f>IF(AND('Resource Planner'!$A$26="☑",10&lt;='Resource Planner'!$N$26),'Resource Planner'!$D$26,"")</f>
        <v/>
      </c>
      <c r="E814" s="163" t="str">
        <f>IF(AND('Resource Planner'!$A$26="☑",10&lt;='Resource Planner'!$N$26),'Resource Planner'!$E$26,"")</f>
        <v/>
      </c>
      <c r="F814" s="163" t="str">
        <f>IF(AND('Resource Planner'!$A$26="☑",10&lt;='Resource Planner'!$N$26),'Resource Planner'!$F$26&amp;" "&amp;('Resource Planner'!$G$26+(10-1)*'Resource Planner'!$I$26)&amp;IF(('Resource Planner'!$G$26+(10-1)*'Resource Planner'!$I$26)=MIN('Resource Planner'!$G$26+10*'Resource Planner'!$I$26-1,'Resource Planner'!$H$26),"","–"&amp;MIN('Resource Planner'!$G$26+10*'Resource Planner'!$I$26-1,'Resource Planner'!$H$26)),"")</f>
        <v/>
      </c>
      <c r="G814" s="163" t="s">
        <v>109</v>
      </c>
      <c r="H814" s="163" t="str">
        <f>IF(AND('Resource Planner'!$A$26="☑",10&lt;='Resource Planner'!$N$26),'Resource Planner'!$M$26,"")</f>
        <v/>
      </c>
    </row>
    <row r="815" ht="15.75" customHeight="1">
      <c r="A8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5" s="163" t="str">
        <f>IF(AND('Resource Planner'!$A$26="☑",11&lt;='Resource Planner'!$N$26),'Resource Planner'!$C$26,"")</f>
        <v/>
      </c>
      <c r="C815" s="163" t="str">
        <f>IF(AND('Resource Planner'!$A$26="☑",11&lt;='Resource Planner'!$N$26),'Resource Planner'!$B$26,"")</f>
        <v/>
      </c>
      <c r="D815" s="163" t="str">
        <f>IF(AND('Resource Planner'!$A$26="☑",11&lt;='Resource Planner'!$N$26),'Resource Planner'!$D$26,"")</f>
        <v/>
      </c>
      <c r="E815" s="163" t="str">
        <f>IF(AND('Resource Planner'!$A$26="☑",11&lt;='Resource Planner'!$N$26),'Resource Planner'!$E$26,"")</f>
        <v/>
      </c>
      <c r="F815" s="163" t="str">
        <f>IF(AND('Resource Planner'!$A$26="☑",11&lt;='Resource Planner'!$N$26),'Resource Planner'!$F$26&amp;" "&amp;('Resource Planner'!$G$26+(11-1)*'Resource Planner'!$I$26)&amp;IF(('Resource Planner'!$G$26+(11-1)*'Resource Planner'!$I$26)=MIN('Resource Planner'!$G$26+11*'Resource Planner'!$I$26-1,'Resource Planner'!$H$26),"","–"&amp;MIN('Resource Planner'!$G$26+11*'Resource Planner'!$I$26-1,'Resource Planner'!$H$26)),"")</f>
        <v/>
      </c>
      <c r="G815" s="163" t="s">
        <v>109</v>
      </c>
      <c r="H815" s="163" t="str">
        <f>IF(AND('Resource Planner'!$A$26="☑",11&lt;='Resource Planner'!$N$26),'Resource Planner'!$M$26,"")</f>
        <v/>
      </c>
    </row>
    <row r="816" ht="15.75" customHeight="1">
      <c r="A8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6" s="163" t="str">
        <f>IF(AND('Resource Planner'!$A$26="☑",12&lt;='Resource Planner'!$N$26),'Resource Planner'!$C$26,"")</f>
        <v/>
      </c>
      <c r="C816" s="163" t="str">
        <f>IF(AND('Resource Planner'!$A$26="☑",12&lt;='Resource Planner'!$N$26),'Resource Planner'!$B$26,"")</f>
        <v/>
      </c>
      <c r="D816" s="163" t="str">
        <f>IF(AND('Resource Planner'!$A$26="☑",12&lt;='Resource Planner'!$N$26),'Resource Planner'!$D$26,"")</f>
        <v/>
      </c>
      <c r="E816" s="163" t="str">
        <f>IF(AND('Resource Planner'!$A$26="☑",12&lt;='Resource Planner'!$N$26),'Resource Planner'!$E$26,"")</f>
        <v/>
      </c>
      <c r="F816" s="163" t="str">
        <f>IF(AND('Resource Planner'!$A$26="☑",12&lt;='Resource Planner'!$N$26),'Resource Planner'!$F$26&amp;" "&amp;('Resource Planner'!$G$26+(12-1)*'Resource Planner'!$I$26)&amp;IF(('Resource Planner'!$G$26+(12-1)*'Resource Planner'!$I$26)=MIN('Resource Planner'!$G$26+12*'Resource Planner'!$I$26-1,'Resource Planner'!$H$26),"","–"&amp;MIN('Resource Planner'!$G$26+12*'Resource Planner'!$I$26-1,'Resource Planner'!$H$26)),"")</f>
        <v/>
      </c>
      <c r="G816" s="163" t="s">
        <v>109</v>
      </c>
      <c r="H816" s="163" t="str">
        <f>IF(AND('Resource Planner'!$A$26="☑",12&lt;='Resource Planner'!$N$26),'Resource Planner'!$M$26,"")</f>
        <v/>
      </c>
    </row>
    <row r="817" ht="15.75" customHeight="1">
      <c r="A8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7" s="163" t="str">
        <f>IF(AND('Resource Planner'!$A$26="☑",13&lt;='Resource Planner'!$N$26),'Resource Planner'!$C$26,"")</f>
        <v/>
      </c>
      <c r="C817" s="163" t="str">
        <f>IF(AND('Resource Planner'!$A$26="☑",13&lt;='Resource Planner'!$N$26),'Resource Planner'!$B$26,"")</f>
        <v/>
      </c>
      <c r="D817" s="163" t="str">
        <f>IF(AND('Resource Planner'!$A$26="☑",13&lt;='Resource Planner'!$N$26),'Resource Planner'!$D$26,"")</f>
        <v/>
      </c>
      <c r="E817" s="163" t="str">
        <f>IF(AND('Resource Planner'!$A$26="☑",13&lt;='Resource Planner'!$N$26),'Resource Planner'!$E$26,"")</f>
        <v/>
      </c>
      <c r="F817" s="163" t="str">
        <f>IF(AND('Resource Planner'!$A$26="☑",13&lt;='Resource Planner'!$N$26),'Resource Planner'!$F$26&amp;" "&amp;('Resource Planner'!$G$26+(13-1)*'Resource Planner'!$I$26)&amp;IF(('Resource Planner'!$G$26+(13-1)*'Resource Planner'!$I$26)=MIN('Resource Planner'!$G$26+13*'Resource Planner'!$I$26-1,'Resource Planner'!$H$26),"","–"&amp;MIN('Resource Planner'!$G$26+13*'Resource Planner'!$I$26-1,'Resource Planner'!$H$26)),"")</f>
        <v/>
      </c>
      <c r="G817" s="163" t="s">
        <v>109</v>
      </c>
      <c r="H817" s="163" t="str">
        <f>IF(AND('Resource Planner'!$A$26="☑",13&lt;='Resource Planner'!$N$26),'Resource Planner'!$M$26,"")</f>
        <v/>
      </c>
    </row>
    <row r="818" ht="15.75" customHeight="1">
      <c r="A8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8" s="163" t="str">
        <f>IF(AND('Resource Planner'!$A$26="☑",14&lt;='Resource Planner'!$N$26),'Resource Planner'!$C$26,"")</f>
        <v/>
      </c>
      <c r="C818" s="163" t="str">
        <f>IF(AND('Resource Planner'!$A$26="☑",14&lt;='Resource Planner'!$N$26),'Resource Planner'!$B$26,"")</f>
        <v/>
      </c>
      <c r="D818" s="163" t="str">
        <f>IF(AND('Resource Planner'!$A$26="☑",14&lt;='Resource Planner'!$N$26),'Resource Planner'!$D$26,"")</f>
        <v/>
      </c>
      <c r="E818" s="163" t="str">
        <f>IF(AND('Resource Planner'!$A$26="☑",14&lt;='Resource Planner'!$N$26),'Resource Planner'!$E$26,"")</f>
        <v/>
      </c>
      <c r="F818" s="163" t="str">
        <f>IF(AND('Resource Planner'!$A$26="☑",14&lt;='Resource Planner'!$N$26),'Resource Planner'!$F$26&amp;" "&amp;('Resource Planner'!$G$26+(14-1)*'Resource Planner'!$I$26)&amp;IF(('Resource Planner'!$G$26+(14-1)*'Resource Planner'!$I$26)=MIN('Resource Planner'!$G$26+14*'Resource Planner'!$I$26-1,'Resource Planner'!$H$26),"","–"&amp;MIN('Resource Planner'!$G$26+14*'Resource Planner'!$I$26-1,'Resource Planner'!$H$26)),"")</f>
        <v/>
      </c>
      <c r="G818" s="163" t="s">
        <v>109</v>
      </c>
      <c r="H818" s="163" t="str">
        <f>IF(AND('Resource Planner'!$A$26="☑",14&lt;='Resource Planner'!$N$26),'Resource Planner'!$M$26,"")</f>
        <v/>
      </c>
    </row>
    <row r="819" ht="15.75" customHeight="1">
      <c r="A8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19" s="163" t="str">
        <f>IF(AND('Resource Planner'!$A$26="☑",15&lt;='Resource Planner'!$N$26),'Resource Planner'!$C$26,"")</f>
        <v/>
      </c>
      <c r="C819" s="163" t="str">
        <f>IF(AND('Resource Planner'!$A$26="☑",15&lt;='Resource Planner'!$N$26),'Resource Planner'!$B$26,"")</f>
        <v/>
      </c>
      <c r="D819" s="163" t="str">
        <f>IF(AND('Resource Planner'!$A$26="☑",15&lt;='Resource Planner'!$N$26),'Resource Planner'!$D$26,"")</f>
        <v/>
      </c>
      <c r="E819" s="163" t="str">
        <f>IF(AND('Resource Planner'!$A$26="☑",15&lt;='Resource Planner'!$N$26),'Resource Planner'!$E$26,"")</f>
        <v/>
      </c>
      <c r="F819" s="163" t="str">
        <f>IF(AND('Resource Planner'!$A$26="☑",15&lt;='Resource Planner'!$N$26),'Resource Planner'!$F$26&amp;" "&amp;('Resource Planner'!$G$26+(15-1)*'Resource Planner'!$I$26)&amp;IF(('Resource Planner'!$G$26+(15-1)*'Resource Planner'!$I$26)=MIN('Resource Planner'!$G$26+15*'Resource Planner'!$I$26-1,'Resource Planner'!$H$26),"","–"&amp;MIN('Resource Planner'!$G$26+15*'Resource Planner'!$I$26-1,'Resource Planner'!$H$26)),"")</f>
        <v/>
      </c>
      <c r="G819" s="163" t="s">
        <v>109</v>
      </c>
      <c r="H819" s="163" t="str">
        <f>IF(AND('Resource Planner'!$A$26="☑",15&lt;='Resource Planner'!$N$26),'Resource Planner'!$M$26,"")</f>
        <v/>
      </c>
    </row>
    <row r="820" ht="15.75" customHeight="1">
      <c r="A8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0" s="163" t="str">
        <f>IF(AND('Resource Planner'!$A$26="☑",16&lt;='Resource Planner'!$N$26),'Resource Planner'!$C$26,"")</f>
        <v/>
      </c>
      <c r="C820" s="163" t="str">
        <f>IF(AND('Resource Planner'!$A$26="☑",16&lt;='Resource Planner'!$N$26),'Resource Planner'!$B$26,"")</f>
        <v/>
      </c>
      <c r="D820" s="163" t="str">
        <f>IF(AND('Resource Planner'!$A$26="☑",16&lt;='Resource Planner'!$N$26),'Resource Planner'!$D$26,"")</f>
        <v/>
      </c>
      <c r="E820" s="163" t="str">
        <f>IF(AND('Resource Planner'!$A$26="☑",16&lt;='Resource Planner'!$N$26),'Resource Planner'!$E$26,"")</f>
        <v/>
      </c>
      <c r="F820" s="163" t="str">
        <f>IF(AND('Resource Planner'!$A$26="☑",16&lt;='Resource Planner'!$N$26),'Resource Planner'!$F$26&amp;" "&amp;('Resource Planner'!$G$26+(16-1)*'Resource Planner'!$I$26)&amp;IF(('Resource Planner'!$G$26+(16-1)*'Resource Planner'!$I$26)=MIN('Resource Planner'!$G$26+16*'Resource Planner'!$I$26-1,'Resource Planner'!$H$26),"","–"&amp;MIN('Resource Planner'!$G$26+16*'Resource Planner'!$I$26-1,'Resource Planner'!$H$26)),"")</f>
        <v/>
      </c>
      <c r="G820" s="163" t="s">
        <v>109</v>
      </c>
      <c r="H820" s="163" t="str">
        <f>IF(AND('Resource Planner'!$A$26="☑",16&lt;='Resource Planner'!$N$26),'Resource Planner'!$M$26,"")</f>
        <v/>
      </c>
    </row>
    <row r="821" ht="15.75" customHeight="1">
      <c r="A8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1" s="163" t="str">
        <f>IF(AND('Resource Planner'!$A$26="☑",17&lt;='Resource Planner'!$N$26),'Resource Planner'!$C$26,"")</f>
        <v/>
      </c>
      <c r="C821" s="163" t="str">
        <f>IF(AND('Resource Planner'!$A$26="☑",17&lt;='Resource Planner'!$N$26),'Resource Planner'!$B$26,"")</f>
        <v/>
      </c>
      <c r="D821" s="163" t="str">
        <f>IF(AND('Resource Planner'!$A$26="☑",17&lt;='Resource Planner'!$N$26),'Resource Planner'!$D$26,"")</f>
        <v/>
      </c>
      <c r="E821" s="163" t="str">
        <f>IF(AND('Resource Planner'!$A$26="☑",17&lt;='Resource Planner'!$N$26),'Resource Planner'!$E$26,"")</f>
        <v/>
      </c>
      <c r="F821" s="163" t="str">
        <f>IF(AND('Resource Planner'!$A$26="☑",17&lt;='Resource Planner'!$N$26),'Resource Planner'!$F$26&amp;" "&amp;('Resource Planner'!$G$26+(17-1)*'Resource Planner'!$I$26)&amp;IF(('Resource Planner'!$G$26+(17-1)*'Resource Planner'!$I$26)=MIN('Resource Planner'!$G$26+17*'Resource Planner'!$I$26-1,'Resource Planner'!$H$26),"","–"&amp;MIN('Resource Planner'!$G$26+17*'Resource Planner'!$I$26-1,'Resource Planner'!$H$26)),"")</f>
        <v/>
      </c>
      <c r="G821" s="163" t="s">
        <v>109</v>
      </c>
      <c r="H821" s="163" t="str">
        <f>IF(AND('Resource Planner'!$A$26="☑",17&lt;='Resource Planner'!$N$26),'Resource Planner'!$M$26,"")</f>
        <v/>
      </c>
    </row>
    <row r="822" ht="15.75" customHeight="1">
      <c r="A8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2" s="163" t="str">
        <f>IF(AND('Resource Planner'!$A$26="☑",18&lt;='Resource Planner'!$N$26),'Resource Planner'!$C$26,"")</f>
        <v/>
      </c>
      <c r="C822" s="163" t="str">
        <f>IF(AND('Resource Planner'!$A$26="☑",18&lt;='Resource Planner'!$N$26),'Resource Planner'!$B$26,"")</f>
        <v/>
      </c>
      <c r="D822" s="163" t="str">
        <f>IF(AND('Resource Planner'!$A$26="☑",18&lt;='Resource Planner'!$N$26),'Resource Planner'!$D$26,"")</f>
        <v/>
      </c>
      <c r="E822" s="163" t="str">
        <f>IF(AND('Resource Planner'!$A$26="☑",18&lt;='Resource Planner'!$N$26),'Resource Planner'!$E$26,"")</f>
        <v/>
      </c>
      <c r="F822" s="163" t="str">
        <f>IF(AND('Resource Planner'!$A$26="☑",18&lt;='Resource Planner'!$N$26),'Resource Planner'!$F$26&amp;" "&amp;('Resource Planner'!$G$26+(18-1)*'Resource Planner'!$I$26)&amp;IF(('Resource Planner'!$G$26+(18-1)*'Resource Planner'!$I$26)=MIN('Resource Planner'!$G$26+18*'Resource Planner'!$I$26-1,'Resource Planner'!$H$26),"","–"&amp;MIN('Resource Planner'!$G$26+18*'Resource Planner'!$I$26-1,'Resource Planner'!$H$26)),"")</f>
        <v/>
      </c>
      <c r="G822" s="163" t="s">
        <v>109</v>
      </c>
      <c r="H822" s="163" t="str">
        <f>IF(AND('Resource Planner'!$A$26="☑",18&lt;='Resource Planner'!$N$26),'Resource Planner'!$M$26,"")</f>
        <v/>
      </c>
    </row>
    <row r="823" ht="15.75" customHeight="1">
      <c r="A8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3" s="163" t="str">
        <f>IF(AND('Resource Planner'!$A$26="☑",19&lt;='Resource Planner'!$N$26),'Resource Planner'!$C$26,"")</f>
        <v/>
      </c>
      <c r="C823" s="163" t="str">
        <f>IF(AND('Resource Planner'!$A$26="☑",19&lt;='Resource Planner'!$N$26),'Resource Planner'!$B$26,"")</f>
        <v/>
      </c>
      <c r="D823" s="163" t="str">
        <f>IF(AND('Resource Planner'!$A$26="☑",19&lt;='Resource Planner'!$N$26),'Resource Planner'!$D$26,"")</f>
        <v/>
      </c>
      <c r="E823" s="163" t="str">
        <f>IF(AND('Resource Planner'!$A$26="☑",19&lt;='Resource Planner'!$N$26),'Resource Planner'!$E$26,"")</f>
        <v/>
      </c>
      <c r="F823" s="163" t="str">
        <f>IF(AND('Resource Planner'!$A$26="☑",19&lt;='Resource Planner'!$N$26),'Resource Planner'!$F$26&amp;" "&amp;('Resource Planner'!$G$26+(19-1)*'Resource Planner'!$I$26)&amp;IF(('Resource Planner'!$G$26+(19-1)*'Resource Planner'!$I$26)=MIN('Resource Planner'!$G$26+19*'Resource Planner'!$I$26-1,'Resource Planner'!$H$26),"","–"&amp;MIN('Resource Planner'!$G$26+19*'Resource Planner'!$I$26-1,'Resource Planner'!$H$26)),"")</f>
        <v/>
      </c>
      <c r="G823" s="163" t="s">
        <v>109</v>
      </c>
      <c r="H823" s="163" t="str">
        <f>IF(AND('Resource Planner'!$A$26="☑",19&lt;='Resource Planner'!$N$26),'Resource Planner'!$M$26,"")</f>
        <v/>
      </c>
    </row>
    <row r="824" ht="15.75" customHeight="1">
      <c r="A8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4" s="163" t="str">
        <f>IF(AND('Resource Planner'!$A$26="☑",20&lt;='Resource Planner'!$N$26),'Resource Planner'!$C$26,"")</f>
        <v/>
      </c>
      <c r="C824" s="163" t="str">
        <f>IF(AND('Resource Planner'!$A$26="☑",20&lt;='Resource Planner'!$N$26),'Resource Planner'!$B$26,"")</f>
        <v/>
      </c>
      <c r="D824" s="163" t="str">
        <f>IF(AND('Resource Planner'!$A$26="☑",20&lt;='Resource Planner'!$N$26),'Resource Planner'!$D$26,"")</f>
        <v/>
      </c>
      <c r="E824" s="163" t="str">
        <f>IF(AND('Resource Planner'!$A$26="☑",20&lt;='Resource Planner'!$N$26),'Resource Planner'!$E$26,"")</f>
        <v/>
      </c>
      <c r="F824" s="163" t="str">
        <f>IF(AND('Resource Planner'!$A$26="☑",20&lt;='Resource Planner'!$N$26),'Resource Planner'!$F$26&amp;" "&amp;('Resource Planner'!$G$26+(20-1)*'Resource Planner'!$I$26)&amp;IF(('Resource Planner'!$G$26+(20-1)*'Resource Planner'!$I$26)=MIN('Resource Planner'!$G$26+20*'Resource Planner'!$I$26-1,'Resource Planner'!$H$26),"","–"&amp;MIN('Resource Planner'!$G$26+20*'Resource Planner'!$I$26-1,'Resource Planner'!$H$26)),"")</f>
        <v/>
      </c>
      <c r="G824" s="163" t="s">
        <v>109</v>
      </c>
      <c r="H824" s="163" t="str">
        <f>IF(AND('Resource Planner'!$A$26="☑",20&lt;='Resource Planner'!$N$26),'Resource Planner'!$M$26,"")</f>
        <v/>
      </c>
    </row>
    <row r="825" ht="15.75" customHeight="1">
      <c r="A8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5" s="163" t="str">
        <f>IF(AND('Resource Planner'!$A$26="☑",21&lt;='Resource Planner'!$N$26),'Resource Planner'!$C$26,"")</f>
        <v/>
      </c>
      <c r="C825" s="163" t="str">
        <f>IF(AND('Resource Planner'!$A$26="☑",21&lt;='Resource Planner'!$N$26),'Resource Planner'!$B$26,"")</f>
        <v/>
      </c>
      <c r="D825" s="163" t="str">
        <f>IF(AND('Resource Planner'!$A$26="☑",21&lt;='Resource Planner'!$N$26),'Resource Planner'!$D$26,"")</f>
        <v/>
      </c>
      <c r="E825" s="163" t="str">
        <f>IF(AND('Resource Planner'!$A$26="☑",21&lt;='Resource Planner'!$N$26),'Resource Planner'!$E$26,"")</f>
        <v/>
      </c>
      <c r="F825" s="163" t="str">
        <f>IF(AND('Resource Planner'!$A$26="☑",21&lt;='Resource Planner'!$N$26),'Resource Planner'!$F$26&amp;" "&amp;('Resource Planner'!$G$26+(21-1)*'Resource Planner'!$I$26)&amp;IF(('Resource Planner'!$G$26+(21-1)*'Resource Planner'!$I$26)=MIN('Resource Planner'!$G$26+21*'Resource Planner'!$I$26-1,'Resource Planner'!$H$26),"","–"&amp;MIN('Resource Planner'!$G$26+21*'Resource Planner'!$I$26-1,'Resource Planner'!$H$26)),"")</f>
        <v/>
      </c>
      <c r="G825" s="163" t="s">
        <v>109</v>
      </c>
      <c r="H825" s="163" t="str">
        <f>IF(AND('Resource Planner'!$A$26="☑",21&lt;='Resource Planner'!$N$26),'Resource Planner'!$M$26,"")</f>
        <v/>
      </c>
    </row>
    <row r="826" ht="15.75" customHeight="1">
      <c r="A8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6" s="163" t="str">
        <f>IF(AND('Resource Planner'!$A$26="☑",22&lt;='Resource Planner'!$N$26),'Resource Planner'!$C$26,"")</f>
        <v/>
      </c>
      <c r="C826" s="163" t="str">
        <f>IF(AND('Resource Planner'!$A$26="☑",22&lt;='Resource Planner'!$N$26),'Resource Planner'!$B$26,"")</f>
        <v/>
      </c>
      <c r="D826" s="163" t="str">
        <f>IF(AND('Resource Planner'!$A$26="☑",22&lt;='Resource Planner'!$N$26),'Resource Planner'!$D$26,"")</f>
        <v/>
      </c>
      <c r="E826" s="163" t="str">
        <f>IF(AND('Resource Planner'!$A$26="☑",22&lt;='Resource Planner'!$N$26),'Resource Planner'!$E$26,"")</f>
        <v/>
      </c>
      <c r="F826" s="163" t="str">
        <f>IF(AND('Resource Planner'!$A$26="☑",22&lt;='Resource Planner'!$N$26),'Resource Planner'!$F$26&amp;" "&amp;('Resource Planner'!$G$26+(22-1)*'Resource Planner'!$I$26)&amp;IF(('Resource Planner'!$G$26+(22-1)*'Resource Planner'!$I$26)=MIN('Resource Planner'!$G$26+22*'Resource Planner'!$I$26-1,'Resource Planner'!$H$26),"","–"&amp;MIN('Resource Planner'!$G$26+22*'Resource Planner'!$I$26-1,'Resource Planner'!$H$26)),"")</f>
        <v/>
      </c>
      <c r="G826" s="163" t="s">
        <v>109</v>
      </c>
      <c r="H826" s="163" t="str">
        <f>IF(AND('Resource Planner'!$A$26="☑",22&lt;='Resource Planner'!$N$26),'Resource Planner'!$M$26,"")</f>
        <v/>
      </c>
    </row>
    <row r="827" ht="15.75" customHeight="1">
      <c r="A8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7" s="163" t="str">
        <f>IF(AND('Resource Planner'!$A$26="☑",23&lt;='Resource Planner'!$N$26),'Resource Planner'!$C$26,"")</f>
        <v/>
      </c>
      <c r="C827" s="163" t="str">
        <f>IF(AND('Resource Planner'!$A$26="☑",23&lt;='Resource Planner'!$N$26),'Resource Planner'!$B$26,"")</f>
        <v/>
      </c>
      <c r="D827" s="163" t="str">
        <f>IF(AND('Resource Planner'!$A$26="☑",23&lt;='Resource Planner'!$N$26),'Resource Planner'!$D$26,"")</f>
        <v/>
      </c>
      <c r="E827" s="163" t="str">
        <f>IF(AND('Resource Planner'!$A$26="☑",23&lt;='Resource Planner'!$N$26),'Resource Planner'!$E$26,"")</f>
        <v/>
      </c>
      <c r="F827" s="163" t="str">
        <f>IF(AND('Resource Planner'!$A$26="☑",23&lt;='Resource Planner'!$N$26),'Resource Planner'!$F$26&amp;" "&amp;('Resource Planner'!$G$26+(23-1)*'Resource Planner'!$I$26)&amp;IF(('Resource Planner'!$G$26+(23-1)*'Resource Planner'!$I$26)=MIN('Resource Planner'!$G$26+23*'Resource Planner'!$I$26-1,'Resource Planner'!$H$26),"","–"&amp;MIN('Resource Planner'!$G$26+23*'Resource Planner'!$I$26-1,'Resource Planner'!$H$26)),"")</f>
        <v/>
      </c>
      <c r="G827" s="163" t="s">
        <v>109</v>
      </c>
      <c r="H827" s="163" t="str">
        <f>IF(AND('Resource Planner'!$A$26="☑",23&lt;='Resource Planner'!$N$26),'Resource Planner'!$M$26,"")</f>
        <v/>
      </c>
    </row>
    <row r="828" ht="15.75" customHeight="1">
      <c r="A8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8" s="163" t="str">
        <f>IF(AND('Resource Planner'!$A$26="☑",24&lt;='Resource Planner'!$N$26),'Resource Planner'!$C$26,"")</f>
        <v/>
      </c>
      <c r="C828" s="163" t="str">
        <f>IF(AND('Resource Planner'!$A$26="☑",24&lt;='Resource Planner'!$N$26),'Resource Planner'!$B$26,"")</f>
        <v/>
      </c>
      <c r="D828" s="163" t="str">
        <f>IF(AND('Resource Planner'!$A$26="☑",24&lt;='Resource Planner'!$N$26),'Resource Planner'!$D$26,"")</f>
        <v/>
      </c>
      <c r="E828" s="163" t="str">
        <f>IF(AND('Resource Planner'!$A$26="☑",24&lt;='Resource Planner'!$N$26),'Resource Planner'!$E$26,"")</f>
        <v/>
      </c>
      <c r="F828" s="163" t="str">
        <f>IF(AND('Resource Planner'!$A$26="☑",24&lt;='Resource Planner'!$N$26),'Resource Planner'!$F$26&amp;" "&amp;('Resource Planner'!$G$26+(24-1)*'Resource Planner'!$I$26)&amp;IF(('Resource Planner'!$G$26+(24-1)*'Resource Planner'!$I$26)=MIN('Resource Planner'!$G$26+24*'Resource Planner'!$I$26-1,'Resource Planner'!$H$26),"","–"&amp;MIN('Resource Planner'!$G$26+24*'Resource Planner'!$I$26-1,'Resource Planner'!$H$26)),"")</f>
        <v/>
      </c>
      <c r="G828" s="163" t="s">
        <v>109</v>
      </c>
      <c r="H828" s="163" t="str">
        <f>IF(AND('Resource Planner'!$A$26="☑",24&lt;='Resource Planner'!$N$26),'Resource Planner'!$M$26,"")</f>
        <v/>
      </c>
    </row>
    <row r="829" ht="15.75" customHeight="1">
      <c r="A8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29" s="163" t="str">
        <f>IF(AND('Resource Planner'!$A$26="☑",25&lt;='Resource Planner'!$N$26),'Resource Planner'!$C$26,"")</f>
        <v/>
      </c>
      <c r="C829" s="163" t="str">
        <f>IF(AND('Resource Planner'!$A$26="☑",25&lt;='Resource Planner'!$N$26),'Resource Planner'!$B$26,"")</f>
        <v/>
      </c>
      <c r="D829" s="163" t="str">
        <f>IF(AND('Resource Planner'!$A$26="☑",25&lt;='Resource Planner'!$N$26),'Resource Planner'!$D$26,"")</f>
        <v/>
      </c>
      <c r="E829" s="163" t="str">
        <f>IF(AND('Resource Planner'!$A$26="☑",25&lt;='Resource Planner'!$N$26),'Resource Planner'!$E$26,"")</f>
        <v/>
      </c>
      <c r="F829" s="163" t="str">
        <f>IF(AND('Resource Planner'!$A$26="☑",25&lt;='Resource Planner'!$N$26),'Resource Planner'!$F$26&amp;" "&amp;('Resource Planner'!$G$26+(25-1)*'Resource Planner'!$I$26)&amp;IF(('Resource Planner'!$G$26+(25-1)*'Resource Planner'!$I$26)=MIN('Resource Planner'!$G$26+25*'Resource Planner'!$I$26-1,'Resource Planner'!$H$26),"","–"&amp;MIN('Resource Planner'!$G$26+25*'Resource Planner'!$I$26-1,'Resource Planner'!$H$26)),"")</f>
        <v/>
      </c>
      <c r="G829" s="163" t="s">
        <v>109</v>
      </c>
      <c r="H829" s="163" t="str">
        <f>IF(AND('Resource Planner'!$A$26="☑",25&lt;='Resource Planner'!$N$26),'Resource Planner'!$M$26,"")</f>
        <v/>
      </c>
    </row>
    <row r="830" ht="15.75" customHeight="1">
      <c r="A8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0" s="163" t="str">
        <f>IF(AND('Resource Planner'!$A$26="☑",26&lt;='Resource Planner'!$N$26),'Resource Planner'!$C$26,"")</f>
        <v/>
      </c>
      <c r="C830" s="163" t="str">
        <f>IF(AND('Resource Planner'!$A$26="☑",26&lt;='Resource Planner'!$N$26),'Resource Planner'!$B$26,"")</f>
        <v/>
      </c>
      <c r="D830" s="163" t="str">
        <f>IF(AND('Resource Planner'!$A$26="☑",26&lt;='Resource Planner'!$N$26),'Resource Planner'!$D$26,"")</f>
        <v/>
      </c>
      <c r="E830" s="163" t="str">
        <f>IF(AND('Resource Planner'!$A$26="☑",26&lt;='Resource Planner'!$N$26),'Resource Planner'!$E$26,"")</f>
        <v/>
      </c>
      <c r="F830" s="163" t="str">
        <f>IF(AND('Resource Planner'!$A$26="☑",26&lt;='Resource Planner'!$N$26),'Resource Planner'!$F$26&amp;" "&amp;('Resource Planner'!$G$26+(26-1)*'Resource Planner'!$I$26)&amp;IF(('Resource Planner'!$G$26+(26-1)*'Resource Planner'!$I$26)=MIN('Resource Planner'!$G$26+26*'Resource Planner'!$I$26-1,'Resource Planner'!$H$26),"","–"&amp;MIN('Resource Planner'!$G$26+26*'Resource Planner'!$I$26-1,'Resource Planner'!$H$26)),"")</f>
        <v/>
      </c>
      <c r="G830" s="163" t="s">
        <v>109</v>
      </c>
      <c r="H830" s="163" t="str">
        <f>IF(AND('Resource Planner'!$A$26="☑",26&lt;='Resource Planner'!$N$26),'Resource Planner'!$M$26,"")</f>
        <v/>
      </c>
    </row>
    <row r="831" ht="15.75" customHeight="1">
      <c r="A8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1" s="163" t="str">
        <f>IF(AND('Resource Planner'!$A$26="☑",27&lt;='Resource Planner'!$N$26),'Resource Planner'!$C$26,"")</f>
        <v/>
      </c>
      <c r="C831" s="163" t="str">
        <f>IF(AND('Resource Planner'!$A$26="☑",27&lt;='Resource Planner'!$N$26),'Resource Planner'!$B$26,"")</f>
        <v/>
      </c>
      <c r="D831" s="163" t="str">
        <f>IF(AND('Resource Planner'!$A$26="☑",27&lt;='Resource Planner'!$N$26),'Resource Planner'!$D$26,"")</f>
        <v/>
      </c>
      <c r="E831" s="163" t="str">
        <f>IF(AND('Resource Planner'!$A$26="☑",27&lt;='Resource Planner'!$N$26),'Resource Planner'!$E$26,"")</f>
        <v/>
      </c>
      <c r="F831" s="163" t="str">
        <f>IF(AND('Resource Planner'!$A$26="☑",27&lt;='Resource Planner'!$N$26),'Resource Planner'!$F$26&amp;" "&amp;('Resource Planner'!$G$26+(27-1)*'Resource Planner'!$I$26)&amp;IF(('Resource Planner'!$G$26+(27-1)*'Resource Planner'!$I$26)=MIN('Resource Planner'!$G$26+27*'Resource Planner'!$I$26-1,'Resource Planner'!$H$26),"","–"&amp;MIN('Resource Planner'!$G$26+27*'Resource Planner'!$I$26-1,'Resource Planner'!$H$26)),"")</f>
        <v/>
      </c>
      <c r="G831" s="163" t="s">
        <v>109</v>
      </c>
      <c r="H831" s="163" t="str">
        <f>IF(AND('Resource Planner'!$A$26="☑",27&lt;='Resource Planner'!$N$26),'Resource Planner'!$M$26,"")</f>
        <v/>
      </c>
    </row>
    <row r="832" ht="15.75" customHeight="1">
      <c r="A8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2" s="163" t="str">
        <f>IF(AND('Resource Planner'!$A$26="☑",28&lt;='Resource Planner'!$N$26),'Resource Planner'!$C$26,"")</f>
        <v/>
      </c>
      <c r="C832" s="163" t="str">
        <f>IF(AND('Resource Planner'!$A$26="☑",28&lt;='Resource Planner'!$N$26),'Resource Planner'!$B$26,"")</f>
        <v/>
      </c>
      <c r="D832" s="163" t="str">
        <f>IF(AND('Resource Planner'!$A$26="☑",28&lt;='Resource Planner'!$N$26),'Resource Planner'!$D$26,"")</f>
        <v/>
      </c>
      <c r="E832" s="163" t="str">
        <f>IF(AND('Resource Planner'!$A$26="☑",28&lt;='Resource Planner'!$N$26),'Resource Planner'!$E$26,"")</f>
        <v/>
      </c>
      <c r="F832" s="163" t="str">
        <f>IF(AND('Resource Planner'!$A$26="☑",28&lt;='Resource Planner'!$N$26),'Resource Planner'!$F$26&amp;" "&amp;('Resource Planner'!$G$26+(28-1)*'Resource Planner'!$I$26)&amp;IF(('Resource Planner'!$G$26+(28-1)*'Resource Planner'!$I$26)=MIN('Resource Planner'!$G$26+28*'Resource Planner'!$I$26-1,'Resource Planner'!$H$26),"","–"&amp;MIN('Resource Planner'!$G$26+28*'Resource Planner'!$I$26-1,'Resource Planner'!$H$26)),"")</f>
        <v/>
      </c>
      <c r="G832" s="163" t="s">
        <v>109</v>
      </c>
      <c r="H832" s="163" t="str">
        <f>IF(AND('Resource Planner'!$A$26="☑",28&lt;='Resource Planner'!$N$26),'Resource Planner'!$M$26,"")</f>
        <v/>
      </c>
    </row>
    <row r="833" ht="15.75" customHeight="1">
      <c r="A8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3" s="163" t="str">
        <f>IF(AND('Resource Planner'!$A$26="☑",29&lt;='Resource Planner'!$N$26),'Resource Planner'!$C$26,"")</f>
        <v/>
      </c>
      <c r="C833" s="163" t="str">
        <f>IF(AND('Resource Planner'!$A$26="☑",29&lt;='Resource Planner'!$N$26),'Resource Planner'!$B$26,"")</f>
        <v/>
      </c>
      <c r="D833" s="163" t="str">
        <f>IF(AND('Resource Planner'!$A$26="☑",29&lt;='Resource Planner'!$N$26),'Resource Planner'!$D$26,"")</f>
        <v/>
      </c>
      <c r="E833" s="163" t="str">
        <f>IF(AND('Resource Planner'!$A$26="☑",29&lt;='Resource Planner'!$N$26),'Resource Planner'!$E$26,"")</f>
        <v/>
      </c>
      <c r="F833" s="163" t="str">
        <f>IF(AND('Resource Planner'!$A$26="☑",29&lt;='Resource Planner'!$N$26),'Resource Planner'!$F$26&amp;" "&amp;('Resource Planner'!$G$26+(29-1)*'Resource Planner'!$I$26)&amp;IF(('Resource Planner'!$G$26+(29-1)*'Resource Planner'!$I$26)=MIN('Resource Planner'!$G$26+29*'Resource Planner'!$I$26-1,'Resource Planner'!$H$26),"","–"&amp;MIN('Resource Planner'!$G$26+29*'Resource Planner'!$I$26-1,'Resource Planner'!$H$26)),"")</f>
        <v/>
      </c>
      <c r="G833" s="163" t="s">
        <v>109</v>
      </c>
      <c r="H833" s="163" t="str">
        <f>IF(AND('Resource Planner'!$A$26="☑",29&lt;='Resource Planner'!$N$26),'Resource Planner'!$M$26,"")</f>
        <v/>
      </c>
    </row>
    <row r="834" ht="15.75" customHeight="1">
      <c r="A8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4" s="163" t="str">
        <f>IF(AND('Resource Planner'!$A$26="☑",30&lt;='Resource Planner'!$N$26),'Resource Planner'!$C$26,"")</f>
        <v/>
      </c>
      <c r="C834" s="163" t="str">
        <f>IF(AND('Resource Planner'!$A$26="☑",30&lt;='Resource Planner'!$N$26),'Resource Planner'!$B$26,"")</f>
        <v/>
      </c>
      <c r="D834" s="163" t="str">
        <f>IF(AND('Resource Planner'!$A$26="☑",30&lt;='Resource Planner'!$N$26),'Resource Planner'!$D$26,"")</f>
        <v/>
      </c>
      <c r="E834" s="163" t="str">
        <f>IF(AND('Resource Planner'!$A$26="☑",30&lt;='Resource Planner'!$N$26),'Resource Planner'!$E$26,"")</f>
        <v/>
      </c>
      <c r="F834" s="163" t="str">
        <f>IF(AND('Resource Planner'!$A$26="☑",30&lt;='Resource Planner'!$N$26),'Resource Planner'!$F$26&amp;" "&amp;('Resource Planner'!$G$26+(30-1)*'Resource Planner'!$I$26)&amp;IF(('Resource Planner'!$G$26+(30-1)*'Resource Planner'!$I$26)=MIN('Resource Planner'!$G$26+30*'Resource Planner'!$I$26-1,'Resource Planner'!$H$26),"","–"&amp;MIN('Resource Planner'!$G$26+30*'Resource Planner'!$I$26-1,'Resource Planner'!$H$26)),"")</f>
        <v/>
      </c>
      <c r="G834" s="163" t="s">
        <v>109</v>
      </c>
      <c r="H834" s="163" t="str">
        <f>IF(AND('Resource Planner'!$A$26="☑",30&lt;='Resource Planner'!$N$26),'Resource Planner'!$M$26,"")</f>
        <v/>
      </c>
    </row>
    <row r="835" ht="15.75" customHeight="1">
      <c r="A8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5" s="163" t="str">
        <f>IF(AND('Resource Planner'!$A$26="☑",31&lt;='Resource Planner'!$N$26),'Resource Planner'!$C$26,"")</f>
        <v/>
      </c>
      <c r="C835" s="163" t="str">
        <f>IF(AND('Resource Planner'!$A$26="☑",31&lt;='Resource Planner'!$N$26),'Resource Planner'!$B$26,"")</f>
        <v/>
      </c>
      <c r="D835" s="163" t="str">
        <f>IF(AND('Resource Planner'!$A$26="☑",31&lt;='Resource Planner'!$N$26),'Resource Planner'!$D$26,"")</f>
        <v/>
      </c>
      <c r="E835" s="163" t="str">
        <f>IF(AND('Resource Planner'!$A$26="☑",31&lt;='Resource Planner'!$N$26),'Resource Planner'!$E$26,"")</f>
        <v/>
      </c>
      <c r="F835" s="163" t="str">
        <f>IF(AND('Resource Planner'!$A$26="☑",31&lt;='Resource Planner'!$N$26),'Resource Planner'!$F$26&amp;" "&amp;('Resource Planner'!$G$26+(31-1)*'Resource Planner'!$I$26)&amp;IF(('Resource Planner'!$G$26+(31-1)*'Resource Planner'!$I$26)=MIN('Resource Planner'!$G$26+31*'Resource Planner'!$I$26-1,'Resource Planner'!$H$26),"","–"&amp;MIN('Resource Planner'!$G$26+31*'Resource Planner'!$I$26-1,'Resource Planner'!$H$26)),"")</f>
        <v/>
      </c>
      <c r="G835" s="163" t="s">
        <v>109</v>
      </c>
      <c r="H835" s="163" t="str">
        <f>IF(AND('Resource Planner'!$A$26="☑",31&lt;='Resource Planner'!$N$26),'Resource Planner'!$M$26,"")</f>
        <v/>
      </c>
    </row>
    <row r="836" ht="15.75" customHeight="1">
      <c r="A8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6" s="163" t="str">
        <f>IF(AND('Resource Planner'!$A$26="☑",32&lt;='Resource Planner'!$N$26),'Resource Planner'!$C$26,"")</f>
        <v/>
      </c>
      <c r="C836" s="163" t="str">
        <f>IF(AND('Resource Planner'!$A$26="☑",32&lt;='Resource Planner'!$N$26),'Resource Planner'!$B$26,"")</f>
        <v/>
      </c>
      <c r="D836" s="163" t="str">
        <f>IF(AND('Resource Planner'!$A$26="☑",32&lt;='Resource Planner'!$N$26),'Resource Planner'!$D$26,"")</f>
        <v/>
      </c>
      <c r="E836" s="163" t="str">
        <f>IF(AND('Resource Planner'!$A$26="☑",32&lt;='Resource Planner'!$N$26),'Resource Planner'!$E$26,"")</f>
        <v/>
      </c>
      <c r="F836" s="163" t="str">
        <f>IF(AND('Resource Planner'!$A$26="☑",32&lt;='Resource Planner'!$N$26),'Resource Planner'!$F$26&amp;" "&amp;('Resource Planner'!$G$26+(32-1)*'Resource Planner'!$I$26)&amp;IF(('Resource Planner'!$G$26+(32-1)*'Resource Planner'!$I$26)=MIN('Resource Planner'!$G$26+32*'Resource Planner'!$I$26-1,'Resource Planner'!$H$26),"","–"&amp;MIN('Resource Planner'!$G$26+32*'Resource Planner'!$I$26-1,'Resource Planner'!$H$26)),"")</f>
        <v/>
      </c>
      <c r="G836" s="163" t="s">
        <v>109</v>
      </c>
      <c r="H836" s="163" t="str">
        <f>IF(AND('Resource Planner'!$A$26="☑",32&lt;='Resource Planner'!$N$26),'Resource Planner'!$M$26,"")</f>
        <v/>
      </c>
    </row>
    <row r="837" ht="15.75" customHeight="1">
      <c r="A8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7" s="163" t="str">
        <f>IF(AND('Resource Planner'!$A$26="☑",33&lt;='Resource Planner'!$N$26),'Resource Planner'!$C$26,"")</f>
        <v/>
      </c>
      <c r="C837" s="163" t="str">
        <f>IF(AND('Resource Planner'!$A$26="☑",33&lt;='Resource Planner'!$N$26),'Resource Planner'!$B$26,"")</f>
        <v/>
      </c>
      <c r="D837" s="163" t="str">
        <f>IF(AND('Resource Planner'!$A$26="☑",33&lt;='Resource Planner'!$N$26),'Resource Planner'!$D$26,"")</f>
        <v/>
      </c>
      <c r="E837" s="163" t="str">
        <f>IF(AND('Resource Planner'!$A$26="☑",33&lt;='Resource Planner'!$N$26),'Resource Planner'!$E$26,"")</f>
        <v/>
      </c>
      <c r="F837" s="163" t="str">
        <f>IF(AND('Resource Planner'!$A$26="☑",33&lt;='Resource Planner'!$N$26),'Resource Planner'!$F$26&amp;" "&amp;('Resource Planner'!$G$26+(33-1)*'Resource Planner'!$I$26)&amp;IF(('Resource Planner'!$G$26+(33-1)*'Resource Planner'!$I$26)=MIN('Resource Planner'!$G$26+33*'Resource Planner'!$I$26-1,'Resource Planner'!$H$26),"","–"&amp;MIN('Resource Planner'!$G$26+33*'Resource Planner'!$I$26-1,'Resource Planner'!$H$26)),"")</f>
        <v/>
      </c>
      <c r="G837" s="163" t="s">
        <v>109</v>
      </c>
      <c r="H837" s="163" t="str">
        <f>IF(AND('Resource Planner'!$A$26="☑",33&lt;='Resource Planner'!$N$26),'Resource Planner'!$M$26,"")</f>
        <v/>
      </c>
    </row>
    <row r="838" ht="15.75" customHeight="1">
      <c r="A8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8" s="163" t="str">
        <f>IF(AND('Resource Planner'!$A$26="☑",34&lt;='Resource Planner'!$N$26),'Resource Planner'!$C$26,"")</f>
        <v/>
      </c>
      <c r="C838" s="163" t="str">
        <f>IF(AND('Resource Planner'!$A$26="☑",34&lt;='Resource Planner'!$N$26),'Resource Planner'!$B$26,"")</f>
        <v/>
      </c>
      <c r="D838" s="163" t="str">
        <f>IF(AND('Resource Planner'!$A$26="☑",34&lt;='Resource Planner'!$N$26),'Resource Planner'!$D$26,"")</f>
        <v/>
      </c>
      <c r="E838" s="163" t="str">
        <f>IF(AND('Resource Planner'!$A$26="☑",34&lt;='Resource Planner'!$N$26),'Resource Planner'!$E$26,"")</f>
        <v/>
      </c>
      <c r="F838" s="163" t="str">
        <f>IF(AND('Resource Planner'!$A$26="☑",34&lt;='Resource Planner'!$N$26),'Resource Planner'!$F$26&amp;" "&amp;('Resource Planner'!$G$26+(34-1)*'Resource Planner'!$I$26)&amp;IF(('Resource Planner'!$G$26+(34-1)*'Resource Planner'!$I$26)=MIN('Resource Planner'!$G$26+34*'Resource Planner'!$I$26-1,'Resource Planner'!$H$26),"","–"&amp;MIN('Resource Planner'!$G$26+34*'Resource Planner'!$I$26-1,'Resource Planner'!$H$26)),"")</f>
        <v/>
      </c>
      <c r="G838" s="163" t="s">
        <v>109</v>
      </c>
      <c r="H838" s="163" t="str">
        <f>IF(AND('Resource Planner'!$A$26="☑",34&lt;='Resource Planner'!$N$26),'Resource Planner'!$M$26,"")</f>
        <v/>
      </c>
    </row>
    <row r="839" ht="15.75" customHeight="1">
      <c r="A8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39" s="163" t="str">
        <f>IF(AND('Resource Planner'!$A$26="☑",35&lt;='Resource Planner'!$N$26),'Resource Planner'!$C$26,"")</f>
        <v/>
      </c>
      <c r="C839" s="163" t="str">
        <f>IF(AND('Resource Planner'!$A$26="☑",35&lt;='Resource Planner'!$N$26),'Resource Planner'!$B$26,"")</f>
        <v/>
      </c>
      <c r="D839" s="163" t="str">
        <f>IF(AND('Resource Planner'!$A$26="☑",35&lt;='Resource Planner'!$N$26),'Resource Planner'!$D$26,"")</f>
        <v/>
      </c>
      <c r="E839" s="163" t="str">
        <f>IF(AND('Resource Planner'!$A$26="☑",35&lt;='Resource Planner'!$N$26),'Resource Planner'!$E$26,"")</f>
        <v/>
      </c>
      <c r="F839" s="163" t="str">
        <f>IF(AND('Resource Planner'!$A$26="☑",35&lt;='Resource Planner'!$N$26),'Resource Planner'!$F$26&amp;" "&amp;('Resource Planner'!$G$26+(35-1)*'Resource Planner'!$I$26)&amp;IF(('Resource Planner'!$G$26+(35-1)*'Resource Planner'!$I$26)=MIN('Resource Planner'!$G$26+35*'Resource Planner'!$I$26-1,'Resource Planner'!$H$26),"","–"&amp;MIN('Resource Planner'!$G$26+35*'Resource Planner'!$I$26-1,'Resource Planner'!$H$26)),"")</f>
        <v/>
      </c>
      <c r="G839" s="163" t="s">
        <v>109</v>
      </c>
      <c r="H839" s="163" t="str">
        <f>IF(AND('Resource Planner'!$A$26="☑",35&lt;='Resource Planner'!$N$26),'Resource Planner'!$M$26,"")</f>
        <v/>
      </c>
    </row>
    <row r="840" ht="15.75" customHeight="1">
      <c r="A8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0" s="163" t="str">
        <f>IF(AND('Resource Planner'!$A$26="☑",36&lt;='Resource Planner'!$N$26),'Resource Planner'!$C$26,"")</f>
        <v/>
      </c>
      <c r="C840" s="163" t="str">
        <f>IF(AND('Resource Planner'!$A$26="☑",36&lt;='Resource Planner'!$N$26),'Resource Planner'!$B$26,"")</f>
        <v/>
      </c>
      <c r="D840" s="163" t="str">
        <f>IF(AND('Resource Planner'!$A$26="☑",36&lt;='Resource Planner'!$N$26),'Resource Planner'!$D$26,"")</f>
        <v/>
      </c>
      <c r="E840" s="163" t="str">
        <f>IF(AND('Resource Planner'!$A$26="☑",36&lt;='Resource Planner'!$N$26),'Resource Planner'!$E$26,"")</f>
        <v/>
      </c>
      <c r="F840" s="163" t="str">
        <f>IF(AND('Resource Planner'!$A$26="☑",36&lt;='Resource Planner'!$N$26),'Resource Planner'!$F$26&amp;" "&amp;('Resource Planner'!$G$26+(36-1)*'Resource Planner'!$I$26)&amp;IF(('Resource Planner'!$G$26+(36-1)*'Resource Planner'!$I$26)=MIN('Resource Planner'!$G$26+36*'Resource Planner'!$I$26-1,'Resource Planner'!$H$26),"","–"&amp;MIN('Resource Planner'!$G$26+36*'Resource Planner'!$I$26-1,'Resource Planner'!$H$26)),"")</f>
        <v/>
      </c>
      <c r="G840" s="163" t="s">
        <v>109</v>
      </c>
      <c r="H840" s="163" t="str">
        <f>IF(AND('Resource Planner'!$A$26="☑",36&lt;='Resource Planner'!$N$26),'Resource Planner'!$M$26,"")</f>
        <v/>
      </c>
    </row>
    <row r="841" ht="15.75" customHeight="1">
      <c r="A8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1" s="163" t="str">
        <f>IF(AND('Resource Planner'!$A$26="☑",37&lt;='Resource Planner'!$N$26),'Resource Planner'!$C$26,"")</f>
        <v/>
      </c>
      <c r="C841" s="163" t="str">
        <f>IF(AND('Resource Planner'!$A$26="☑",37&lt;='Resource Planner'!$N$26),'Resource Planner'!$B$26,"")</f>
        <v/>
      </c>
      <c r="D841" s="163" t="str">
        <f>IF(AND('Resource Planner'!$A$26="☑",37&lt;='Resource Planner'!$N$26),'Resource Planner'!$D$26,"")</f>
        <v/>
      </c>
      <c r="E841" s="163" t="str">
        <f>IF(AND('Resource Planner'!$A$26="☑",37&lt;='Resource Planner'!$N$26),'Resource Planner'!$E$26,"")</f>
        <v/>
      </c>
      <c r="F841" s="163" t="str">
        <f>IF(AND('Resource Planner'!$A$26="☑",37&lt;='Resource Planner'!$N$26),'Resource Planner'!$F$26&amp;" "&amp;('Resource Planner'!$G$26+(37-1)*'Resource Planner'!$I$26)&amp;IF(('Resource Planner'!$G$26+(37-1)*'Resource Planner'!$I$26)=MIN('Resource Planner'!$G$26+37*'Resource Planner'!$I$26-1,'Resource Planner'!$H$26),"","–"&amp;MIN('Resource Planner'!$G$26+37*'Resource Planner'!$I$26-1,'Resource Planner'!$H$26)),"")</f>
        <v/>
      </c>
      <c r="G841" s="163" t="s">
        <v>109</v>
      </c>
      <c r="H841" s="163" t="str">
        <f>IF(AND('Resource Planner'!$A$26="☑",37&lt;='Resource Planner'!$N$26),'Resource Planner'!$M$26,"")</f>
        <v/>
      </c>
    </row>
    <row r="842" ht="15.75" customHeight="1">
      <c r="A8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2" s="163" t="str">
        <f>IF(AND('Resource Planner'!$A$26="☑",38&lt;='Resource Planner'!$N$26),'Resource Planner'!$C$26,"")</f>
        <v/>
      </c>
      <c r="C842" s="163" t="str">
        <f>IF(AND('Resource Planner'!$A$26="☑",38&lt;='Resource Planner'!$N$26),'Resource Planner'!$B$26,"")</f>
        <v/>
      </c>
      <c r="D842" s="163" t="str">
        <f>IF(AND('Resource Planner'!$A$26="☑",38&lt;='Resource Planner'!$N$26),'Resource Planner'!$D$26,"")</f>
        <v/>
      </c>
      <c r="E842" s="163" t="str">
        <f>IF(AND('Resource Planner'!$A$26="☑",38&lt;='Resource Planner'!$N$26),'Resource Planner'!$E$26,"")</f>
        <v/>
      </c>
      <c r="F842" s="163" t="str">
        <f>IF(AND('Resource Planner'!$A$26="☑",38&lt;='Resource Planner'!$N$26),'Resource Planner'!$F$26&amp;" "&amp;('Resource Planner'!$G$26+(38-1)*'Resource Planner'!$I$26)&amp;IF(('Resource Planner'!$G$26+(38-1)*'Resource Planner'!$I$26)=MIN('Resource Planner'!$G$26+38*'Resource Planner'!$I$26-1,'Resource Planner'!$H$26),"","–"&amp;MIN('Resource Planner'!$G$26+38*'Resource Planner'!$I$26-1,'Resource Planner'!$H$26)),"")</f>
        <v/>
      </c>
      <c r="G842" s="163" t="s">
        <v>109</v>
      </c>
      <c r="H842" s="163" t="str">
        <f>IF(AND('Resource Planner'!$A$26="☑",38&lt;='Resource Planner'!$N$26),'Resource Planner'!$M$26,"")</f>
        <v/>
      </c>
    </row>
    <row r="843" ht="15.75" customHeight="1">
      <c r="A8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3" s="163" t="str">
        <f>IF(AND('Resource Planner'!$A$26="☑",39&lt;='Resource Planner'!$N$26),'Resource Planner'!$C$26,"")</f>
        <v/>
      </c>
      <c r="C843" s="163" t="str">
        <f>IF(AND('Resource Planner'!$A$26="☑",39&lt;='Resource Planner'!$N$26),'Resource Planner'!$B$26,"")</f>
        <v/>
      </c>
      <c r="D843" s="163" t="str">
        <f>IF(AND('Resource Planner'!$A$26="☑",39&lt;='Resource Planner'!$N$26),'Resource Planner'!$D$26,"")</f>
        <v/>
      </c>
      <c r="E843" s="163" t="str">
        <f>IF(AND('Resource Planner'!$A$26="☑",39&lt;='Resource Planner'!$N$26),'Resource Planner'!$E$26,"")</f>
        <v/>
      </c>
      <c r="F843" s="163" t="str">
        <f>IF(AND('Resource Planner'!$A$26="☑",39&lt;='Resource Planner'!$N$26),'Resource Planner'!$F$26&amp;" "&amp;('Resource Planner'!$G$26+(39-1)*'Resource Planner'!$I$26)&amp;IF(('Resource Planner'!$G$26+(39-1)*'Resource Planner'!$I$26)=MIN('Resource Planner'!$G$26+39*'Resource Planner'!$I$26-1,'Resource Planner'!$H$26),"","–"&amp;MIN('Resource Planner'!$G$26+39*'Resource Planner'!$I$26-1,'Resource Planner'!$H$26)),"")</f>
        <v/>
      </c>
      <c r="G843" s="163" t="s">
        <v>109</v>
      </c>
      <c r="H843" s="163" t="str">
        <f>IF(AND('Resource Planner'!$A$26="☑",39&lt;='Resource Planner'!$N$26),'Resource Planner'!$M$26,"")</f>
        <v/>
      </c>
    </row>
    <row r="844" ht="15.75" customHeight="1">
      <c r="A8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4" s="163" t="str">
        <f>IF(AND('Resource Planner'!$A$26="☑",40&lt;='Resource Planner'!$N$26),'Resource Planner'!$C$26,"")</f>
        <v/>
      </c>
      <c r="C844" s="163" t="str">
        <f>IF(AND('Resource Planner'!$A$26="☑",40&lt;='Resource Planner'!$N$26),'Resource Planner'!$B$26,"")</f>
        <v/>
      </c>
      <c r="D844" s="163" t="str">
        <f>IF(AND('Resource Planner'!$A$26="☑",40&lt;='Resource Planner'!$N$26),'Resource Planner'!$D$26,"")</f>
        <v/>
      </c>
      <c r="E844" s="163" t="str">
        <f>IF(AND('Resource Planner'!$A$26="☑",40&lt;='Resource Planner'!$N$26),'Resource Planner'!$E$26,"")</f>
        <v/>
      </c>
      <c r="F844" s="163" t="str">
        <f>IF(AND('Resource Planner'!$A$26="☑",40&lt;='Resource Planner'!$N$26),'Resource Planner'!$F$26&amp;" "&amp;('Resource Planner'!$G$26+(40-1)*'Resource Planner'!$I$26)&amp;IF(('Resource Planner'!$G$26+(40-1)*'Resource Planner'!$I$26)=MIN('Resource Planner'!$G$26+40*'Resource Planner'!$I$26-1,'Resource Planner'!$H$26),"","–"&amp;MIN('Resource Planner'!$G$26+40*'Resource Planner'!$I$26-1,'Resource Planner'!$H$26)),"")</f>
        <v/>
      </c>
      <c r="G844" s="163" t="s">
        <v>109</v>
      </c>
      <c r="H844" s="163" t="str">
        <f>IF(AND('Resource Planner'!$A$26="☑",40&lt;='Resource Planner'!$N$26),'Resource Planner'!$M$26,"")</f>
        <v/>
      </c>
    </row>
    <row r="845" ht="15.75" customHeight="1">
      <c r="A8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5" s="163" t="str">
        <f>IF(AND('Resource Planner'!$A$26="☑",41&lt;='Resource Planner'!$N$26),'Resource Planner'!$C$26,"")</f>
        <v/>
      </c>
      <c r="C845" s="163" t="str">
        <f>IF(AND('Resource Planner'!$A$26="☑",41&lt;='Resource Planner'!$N$26),'Resource Planner'!$B$26,"")</f>
        <v/>
      </c>
      <c r="D845" s="163" t="str">
        <f>IF(AND('Resource Planner'!$A$26="☑",41&lt;='Resource Planner'!$N$26),'Resource Planner'!$D$26,"")</f>
        <v/>
      </c>
      <c r="E845" s="163" t="str">
        <f>IF(AND('Resource Planner'!$A$26="☑",41&lt;='Resource Planner'!$N$26),'Resource Planner'!$E$26,"")</f>
        <v/>
      </c>
      <c r="F845" s="163" t="str">
        <f>IF(AND('Resource Planner'!$A$26="☑",41&lt;='Resource Planner'!$N$26),'Resource Planner'!$F$26&amp;" "&amp;('Resource Planner'!$G$26+(41-1)*'Resource Planner'!$I$26)&amp;IF(('Resource Planner'!$G$26+(41-1)*'Resource Planner'!$I$26)=MIN('Resource Planner'!$G$26+41*'Resource Planner'!$I$26-1,'Resource Planner'!$H$26),"","–"&amp;MIN('Resource Planner'!$G$26+41*'Resource Planner'!$I$26-1,'Resource Planner'!$H$26)),"")</f>
        <v/>
      </c>
      <c r="G845" s="163" t="s">
        <v>109</v>
      </c>
      <c r="H845" s="163" t="str">
        <f>IF(AND('Resource Planner'!$A$26="☑",41&lt;='Resource Planner'!$N$26),'Resource Planner'!$M$26,"")</f>
        <v/>
      </c>
    </row>
    <row r="846" ht="15.75" customHeight="1">
      <c r="A8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6" s="163" t="str">
        <f>IF(AND('Resource Planner'!$A$26="☑",42&lt;='Resource Planner'!$N$26),'Resource Planner'!$C$26,"")</f>
        <v/>
      </c>
      <c r="C846" s="163" t="str">
        <f>IF(AND('Resource Planner'!$A$26="☑",42&lt;='Resource Planner'!$N$26),'Resource Planner'!$B$26,"")</f>
        <v/>
      </c>
      <c r="D846" s="163" t="str">
        <f>IF(AND('Resource Planner'!$A$26="☑",42&lt;='Resource Planner'!$N$26),'Resource Planner'!$D$26,"")</f>
        <v/>
      </c>
      <c r="E846" s="163" t="str">
        <f>IF(AND('Resource Planner'!$A$26="☑",42&lt;='Resource Planner'!$N$26),'Resource Planner'!$E$26,"")</f>
        <v/>
      </c>
      <c r="F846" s="163" t="str">
        <f>IF(AND('Resource Planner'!$A$26="☑",42&lt;='Resource Planner'!$N$26),'Resource Planner'!$F$26&amp;" "&amp;('Resource Planner'!$G$26+(42-1)*'Resource Planner'!$I$26)&amp;IF(('Resource Planner'!$G$26+(42-1)*'Resource Planner'!$I$26)=MIN('Resource Planner'!$G$26+42*'Resource Planner'!$I$26-1,'Resource Planner'!$H$26),"","–"&amp;MIN('Resource Planner'!$G$26+42*'Resource Planner'!$I$26-1,'Resource Planner'!$H$26)),"")</f>
        <v/>
      </c>
      <c r="G846" s="163" t="s">
        <v>109</v>
      </c>
      <c r="H846" s="163" t="str">
        <f>IF(AND('Resource Planner'!$A$26="☑",42&lt;='Resource Planner'!$N$26),'Resource Planner'!$M$26,"")</f>
        <v/>
      </c>
    </row>
    <row r="847" ht="15.75" customHeight="1">
      <c r="A8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7" s="163" t="str">
        <f>IF(AND('Resource Planner'!$A$26="☑",43&lt;='Resource Planner'!$N$26),'Resource Planner'!$C$26,"")</f>
        <v/>
      </c>
      <c r="C847" s="163" t="str">
        <f>IF(AND('Resource Planner'!$A$26="☑",43&lt;='Resource Planner'!$N$26),'Resource Planner'!$B$26,"")</f>
        <v/>
      </c>
      <c r="D847" s="163" t="str">
        <f>IF(AND('Resource Planner'!$A$26="☑",43&lt;='Resource Planner'!$N$26),'Resource Planner'!$D$26,"")</f>
        <v/>
      </c>
      <c r="E847" s="163" t="str">
        <f>IF(AND('Resource Planner'!$A$26="☑",43&lt;='Resource Planner'!$N$26),'Resource Planner'!$E$26,"")</f>
        <v/>
      </c>
      <c r="F847" s="163" t="str">
        <f>IF(AND('Resource Planner'!$A$26="☑",43&lt;='Resource Planner'!$N$26),'Resource Planner'!$F$26&amp;" "&amp;('Resource Planner'!$G$26+(43-1)*'Resource Planner'!$I$26)&amp;IF(('Resource Planner'!$G$26+(43-1)*'Resource Planner'!$I$26)=MIN('Resource Planner'!$G$26+43*'Resource Planner'!$I$26-1,'Resource Planner'!$H$26),"","–"&amp;MIN('Resource Planner'!$G$26+43*'Resource Planner'!$I$26-1,'Resource Planner'!$H$26)),"")</f>
        <v/>
      </c>
      <c r="G847" s="163" t="s">
        <v>109</v>
      </c>
      <c r="H847" s="163" t="str">
        <f>IF(AND('Resource Planner'!$A$26="☑",43&lt;='Resource Planner'!$N$26),'Resource Planner'!$M$26,"")</f>
        <v/>
      </c>
    </row>
    <row r="848" ht="15.75" customHeight="1">
      <c r="A8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8" s="163" t="str">
        <f>IF(AND('Resource Planner'!$A$26="☑",44&lt;='Resource Planner'!$N$26),'Resource Planner'!$C$26,"")</f>
        <v/>
      </c>
      <c r="C848" s="163" t="str">
        <f>IF(AND('Resource Planner'!$A$26="☑",44&lt;='Resource Planner'!$N$26),'Resource Planner'!$B$26,"")</f>
        <v/>
      </c>
      <c r="D848" s="163" t="str">
        <f>IF(AND('Resource Planner'!$A$26="☑",44&lt;='Resource Planner'!$N$26),'Resource Planner'!$D$26,"")</f>
        <v/>
      </c>
      <c r="E848" s="163" t="str">
        <f>IF(AND('Resource Planner'!$A$26="☑",44&lt;='Resource Planner'!$N$26),'Resource Planner'!$E$26,"")</f>
        <v/>
      </c>
      <c r="F848" s="163" t="str">
        <f>IF(AND('Resource Planner'!$A$26="☑",44&lt;='Resource Planner'!$N$26),'Resource Planner'!$F$26&amp;" "&amp;('Resource Planner'!$G$26+(44-1)*'Resource Planner'!$I$26)&amp;IF(('Resource Planner'!$G$26+(44-1)*'Resource Planner'!$I$26)=MIN('Resource Planner'!$G$26+44*'Resource Planner'!$I$26-1,'Resource Planner'!$H$26),"","–"&amp;MIN('Resource Planner'!$G$26+44*'Resource Planner'!$I$26-1,'Resource Planner'!$H$26)),"")</f>
        <v/>
      </c>
      <c r="G848" s="163" t="s">
        <v>109</v>
      </c>
      <c r="H848" s="163" t="str">
        <f>IF(AND('Resource Planner'!$A$26="☑",44&lt;='Resource Planner'!$N$26),'Resource Planner'!$M$26,"")</f>
        <v/>
      </c>
    </row>
    <row r="849" ht="15.75" customHeight="1">
      <c r="A8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49" s="163" t="str">
        <f>IF(AND('Resource Planner'!$A$26="☑",45&lt;='Resource Planner'!$N$26),'Resource Planner'!$C$26,"")</f>
        <v/>
      </c>
      <c r="C849" s="163" t="str">
        <f>IF(AND('Resource Planner'!$A$26="☑",45&lt;='Resource Planner'!$N$26),'Resource Planner'!$B$26,"")</f>
        <v/>
      </c>
      <c r="D849" s="163" t="str">
        <f>IF(AND('Resource Planner'!$A$26="☑",45&lt;='Resource Planner'!$N$26),'Resource Planner'!$D$26,"")</f>
        <v/>
      </c>
      <c r="E849" s="163" t="str">
        <f>IF(AND('Resource Planner'!$A$26="☑",45&lt;='Resource Planner'!$N$26),'Resource Planner'!$E$26,"")</f>
        <v/>
      </c>
      <c r="F849" s="163" t="str">
        <f>IF(AND('Resource Planner'!$A$26="☑",45&lt;='Resource Planner'!$N$26),'Resource Planner'!$F$26&amp;" "&amp;('Resource Planner'!$G$26+(45-1)*'Resource Planner'!$I$26)&amp;IF(('Resource Planner'!$G$26+(45-1)*'Resource Planner'!$I$26)=MIN('Resource Planner'!$G$26+45*'Resource Planner'!$I$26-1,'Resource Planner'!$H$26),"","–"&amp;MIN('Resource Planner'!$G$26+45*'Resource Planner'!$I$26-1,'Resource Planner'!$H$26)),"")</f>
        <v/>
      </c>
      <c r="G849" s="163" t="s">
        <v>109</v>
      </c>
      <c r="H849" s="163" t="str">
        <f>IF(AND('Resource Planner'!$A$26="☑",45&lt;='Resource Planner'!$N$26),'Resource Planner'!$M$26,"")</f>
        <v/>
      </c>
    </row>
    <row r="850" ht="15.75" customHeight="1">
      <c r="A8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0" s="163" t="str">
        <f>IF(AND('Resource Planner'!$A$26="☑",46&lt;='Resource Planner'!$N$26),'Resource Planner'!$C$26,"")</f>
        <v/>
      </c>
      <c r="C850" s="163" t="str">
        <f>IF(AND('Resource Planner'!$A$26="☑",46&lt;='Resource Planner'!$N$26),'Resource Planner'!$B$26,"")</f>
        <v/>
      </c>
      <c r="D850" s="163" t="str">
        <f>IF(AND('Resource Planner'!$A$26="☑",46&lt;='Resource Planner'!$N$26),'Resource Planner'!$D$26,"")</f>
        <v/>
      </c>
      <c r="E850" s="163" t="str">
        <f>IF(AND('Resource Planner'!$A$26="☑",46&lt;='Resource Planner'!$N$26),'Resource Planner'!$E$26,"")</f>
        <v/>
      </c>
      <c r="F850" s="163" t="str">
        <f>IF(AND('Resource Planner'!$A$26="☑",46&lt;='Resource Planner'!$N$26),'Resource Planner'!$F$26&amp;" "&amp;('Resource Planner'!$G$26+(46-1)*'Resource Planner'!$I$26)&amp;IF(('Resource Planner'!$G$26+(46-1)*'Resource Planner'!$I$26)=MIN('Resource Planner'!$G$26+46*'Resource Planner'!$I$26-1,'Resource Planner'!$H$26),"","–"&amp;MIN('Resource Planner'!$G$26+46*'Resource Planner'!$I$26-1,'Resource Planner'!$H$26)),"")</f>
        <v/>
      </c>
      <c r="G850" s="163" t="s">
        <v>109</v>
      </c>
      <c r="H850" s="163" t="str">
        <f>IF(AND('Resource Planner'!$A$26="☑",46&lt;='Resource Planner'!$N$26),'Resource Planner'!$M$26,"")</f>
        <v/>
      </c>
    </row>
    <row r="851" ht="15.75" customHeight="1">
      <c r="A8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1" s="163" t="str">
        <f>IF(AND('Resource Planner'!$A$26="☑",47&lt;='Resource Planner'!$N$26),'Resource Planner'!$C$26,"")</f>
        <v/>
      </c>
      <c r="C851" s="163" t="str">
        <f>IF(AND('Resource Planner'!$A$26="☑",47&lt;='Resource Planner'!$N$26),'Resource Planner'!$B$26,"")</f>
        <v/>
      </c>
      <c r="D851" s="163" t="str">
        <f>IF(AND('Resource Planner'!$A$26="☑",47&lt;='Resource Planner'!$N$26),'Resource Planner'!$D$26,"")</f>
        <v/>
      </c>
      <c r="E851" s="163" t="str">
        <f>IF(AND('Resource Planner'!$A$26="☑",47&lt;='Resource Planner'!$N$26),'Resource Planner'!$E$26,"")</f>
        <v/>
      </c>
      <c r="F851" s="163" t="str">
        <f>IF(AND('Resource Planner'!$A$26="☑",47&lt;='Resource Planner'!$N$26),'Resource Planner'!$F$26&amp;" "&amp;('Resource Planner'!$G$26+(47-1)*'Resource Planner'!$I$26)&amp;IF(('Resource Planner'!$G$26+(47-1)*'Resource Planner'!$I$26)=MIN('Resource Planner'!$G$26+47*'Resource Planner'!$I$26-1,'Resource Planner'!$H$26),"","–"&amp;MIN('Resource Planner'!$G$26+47*'Resource Planner'!$I$26-1,'Resource Planner'!$H$26)),"")</f>
        <v/>
      </c>
      <c r="G851" s="163" t="s">
        <v>109</v>
      </c>
      <c r="H851" s="163" t="str">
        <f>IF(AND('Resource Planner'!$A$26="☑",47&lt;='Resource Planner'!$N$26),'Resource Planner'!$M$26,"")</f>
        <v/>
      </c>
    </row>
    <row r="852" ht="15.75" customHeight="1">
      <c r="A8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2" s="163" t="str">
        <f>IF(AND('Resource Planner'!$A$26="☑",48&lt;='Resource Planner'!$N$26),'Resource Planner'!$C$26,"")</f>
        <v/>
      </c>
      <c r="C852" s="163" t="str">
        <f>IF(AND('Resource Planner'!$A$26="☑",48&lt;='Resource Planner'!$N$26),'Resource Planner'!$B$26,"")</f>
        <v/>
      </c>
      <c r="D852" s="163" t="str">
        <f>IF(AND('Resource Planner'!$A$26="☑",48&lt;='Resource Planner'!$N$26),'Resource Planner'!$D$26,"")</f>
        <v/>
      </c>
      <c r="E852" s="163" t="str">
        <f>IF(AND('Resource Planner'!$A$26="☑",48&lt;='Resource Planner'!$N$26),'Resource Planner'!$E$26,"")</f>
        <v/>
      </c>
      <c r="F852" s="163" t="str">
        <f>IF(AND('Resource Planner'!$A$26="☑",48&lt;='Resource Planner'!$N$26),'Resource Planner'!$F$26&amp;" "&amp;('Resource Planner'!$G$26+(48-1)*'Resource Planner'!$I$26)&amp;IF(('Resource Planner'!$G$26+(48-1)*'Resource Planner'!$I$26)=MIN('Resource Planner'!$G$26+48*'Resource Planner'!$I$26-1,'Resource Planner'!$H$26),"","–"&amp;MIN('Resource Planner'!$G$26+48*'Resource Planner'!$I$26-1,'Resource Planner'!$H$26)),"")</f>
        <v/>
      </c>
      <c r="G852" s="163" t="s">
        <v>109</v>
      </c>
      <c r="H852" s="163" t="str">
        <f>IF(AND('Resource Planner'!$A$26="☑",48&lt;='Resource Planner'!$N$26),'Resource Planner'!$M$26,"")</f>
        <v/>
      </c>
    </row>
    <row r="853" ht="15.75" customHeight="1">
      <c r="A8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3" s="163" t="str">
        <f>IF(AND('Resource Planner'!$A$26="☑",49&lt;='Resource Planner'!$N$26),'Resource Planner'!$C$26,"")</f>
        <v/>
      </c>
      <c r="C853" s="163" t="str">
        <f>IF(AND('Resource Planner'!$A$26="☑",49&lt;='Resource Planner'!$N$26),'Resource Planner'!$B$26,"")</f>
        <v/>
      </c>
      <c r="D853" s="163" t="str">
        <f>IF(AND('Resource Planner'!$A$26="☑",49&lt;='Resource Planner'!$N$26),'Resource Planner'!$D$26,"")</f>
        <v/>
      </c>
      <c r="E853" s="163" t="str">
        <f>IF(AND('Resource Planner'!$A$26="☑",49&lt;='Resource Planner'!$N$26),'Resource Planner'!$E$26,"")</f>
        <v/>
      </c>
      <c r="F853" s="163" t="str">
        <f>IF(AND('Resource Planner'!$A$26="☑",49&lt;='Resource Planner'!$N$26),'Resource Planner'!$F$26&amp;" "&amp;('Resource Planner'!$G$26+(49-1)*'Resource Planner'!$I$26)&amp;IF(('Resource Planner'!$G$26+(49-1)*'Resource Planner'!$I$26)=MIN('Resource Planner'!$G$26+49*'Resource Planner'!$I$26-1,'Resource Planner'!$H$26),"","–"&amp;MIN('Resource Planner'!$G$26+49*'Resource Planner'!$I$26-1,'Resource Planner'!$H$26)),"")</f>
        <v/>
      </c>
      <c r="G853" s="163" t="s">
        <v>109</v>
      </c>
      <c r="H853" s="163" t="str">
        <f>IF(AND('Resource Planner'!$A$26="☑",49&lt;='Resource Planner'!$N$26),'Resource Planner'!$M$26,"")</f>
        <v/>
      </c>
    </row>
    <row r="854" ht="15.75" customHeight="1">
      <c r="A8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4" s="163" t="str">
        <f>IF(AND('Resource Planner'!$A$26="☑",50&lt;='Resource Planner'!$N$26),'Resource Planner'!$C$26,"")</f>
        <v/>
      </c>
      <c r="C854" s="163" t="str">
        <f>IF(AND('Resource Planner'!$A$26="☑",50&lt;='Resource Planner'!$N$26),'Resource Planner'!$B$26,"")</f>
        <v/>
      </c>
      <c r="D854" s="163" t="str">
        <f>IF(AND('Resource Planner'!$A$26="☑",50&lt;='Resource Planner'!$N$26),'Resource Planner'!$D$26,"")</f>
        <v/>
      </c>
      <c r="E854" s="163" t="str">
        <f>IF(AND('Resource Planner'!$A$26="☑",50&lt;='Resource Planner'!$N$26),'Resource Planner'!$E$26,"")</f>
        <v/>
      </c>
      <c r="F854" s="163" t="str">
        <f>IF(AND('Resource Planner'!$A$26="☑",50&lt;='Resource Planner'!$N$26),'Resource Planner'!$F$26&amp;" "&amp;('Resource Planner'!$G$26+(50-1)*'Resource Planner'!$I$26)&amp;IF(('Resource Planner'!$G$26+(50-1)*'Resource Planner'!$I$26)=MIN('Resource Planner'!$G$26+50*'Resource Planner'!$I$26-1,'Resource Planner'!$H$26),"","–"&amp;MIN('Resource Planner'!$G$26+50*'Resource Planner'!$I$26-1,'Resource Planner'!$H$26)),"")</f>
        <v/>
      </c>
      <c r="G854" s="163" t="s">
        <v>109</v>
      </c>
      <c r="H854" s="163" t="str">
        <f>IF(AND('Resource Planner'!$A$26="☑",50&lt;='Resource Planner'!$N$26),'Resource Planner'!$M$26,"")</f>
        <v/>
      </c>
    </row>
    <row r="855" ht="15.75" customHeight="1">
      <c r="A8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5" s="163" t="str">
        <f>IF(AND('Resource Planner'!$A$27="☑",1&lt;='Resource Planner'!$N$27),'Resource Planner'!$C$27,"")</f>
        <v/>
      </c>
      <c r="C855" s="163" t="str">
        <f>IF(AND('Resource Planner'!$A$27="☑",1&lt;='Resource Planner'!$N$27),'Resource Planner'!$B$27,"")</f>
        <v/>
      </c>
      <c r="D855" s="163" t="str">
        <f>IF(AND('Resource Planner'!$A$27="☑",1&lt;='Resource Planner'!$N$27),'Resource Planner'!$D$27,"")</f>
        <v/>
      </c>
      <c r="E855" s="163" t="str">
        <f>IF(AND('Resource Planner'!$A$27="☑",1&lt;='Resource Planner'!$N$27),'Resource Planner'!$E$27,"")</f>
        <v/>
      </c>
      <c r="F855" s="163" t="str">
        <f>IF(AND('Resource Planner'!$A$27="☑",1&lt;='Resource Planner'!$N$27),'Resource Planner'!$F$27&amp;" "&amp;('Resource Planner'!$G$27+(1-1)*'Resource Planner'!$I$27)&amp;IF(('Resource Planner'!$G$27+(1-1)*'Resource Planner'!$I$27)=MIN('Resource Planner'!$G$27+1*'Resource Planner'!$I$27-1,'Resource Planner'!$H$27),"","–"&amp;MIN('Resource Planner'!$G$27+1*'Resource Planner'!$I$27-1,'Resource Planner'!$H$27)),"")</f>
        <v/>
      </c>
      <c r="G855" s="163" t="s">
        <v>109</v>
      </c>
      <c r="H855" s="163" t="str">
        <f>IF(AND('Resource Planner'!$A$27="☑",1&lt;='Resource Planner'!$N$27),'Resource Planner'!$M$27,"")</f>
        <v/>
      </c>
    </row>
    <row r="856" ht="15.75" customHeight="1">
      <c r="A8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6" s="163" t="str">
        <f>IF(AND('Resource Planner'!$A$27="☑",2&lt;='Resource Planner'!$N$27),'Resource Planner'!$C$27,"")</f>
        <v/>
      </c>
      <c r="C856" s="163" t="str">
        <f>IF(AND('Resource Planner'!$A$27="☑",2&lt;='Resource Planner'!$N$27),'Resource Planner'!$B$27,"")</f>
        <v/>
      </c>
      <c r="D856" s="163" t="str">
        <f>IF(AND('Resource Planner'!$A$27="☑",2&lt;='Resource Planner'!$N$27),'Resource Planner'!$D$27,"")</f>
        <v/>
      </c>
      <c r="E856" s="163" t="str">
        <f>IF(AND('Resource Planner'!$A$27="☑",2&lt;='Resource Planner'!$N$27),'Resource Planner'!$E$27,"")</f>
        <v/>
      </c>
      <c r="F856" s="163" t="str">
        <f>IF(AND('Resource Planner'!$A$27="☑",2&lt;='Resource Planner'!$N$27),'Resource Planner'!$F$27&amp;" "&amp;('Resource Planner'!$G$27+(2-1)*'Resource Planner'!$I$27)&amp;IF(('Resource Planner'!$G$27+(2-1)*'Resource Planner'!$I$27)=MIN('Resource Planner'!$G$27+2*'Resource Planner'!$I$27-1,'Resource Planner'!$H$27),"","–"&amp;MIN('Resource Planner'!$G$27+2*'Resource Planner'!$I$27-1,'Resource Planner'!$H$27)),"")</f>
        <v/>
      </c>
      <c r="G856" s="163" t="s">
        <v>109</v>
      </c>
      <c r="H856" s="163" t="str">
        <f>IF(AND('Resource Planner'!$A$27="☑",2&lt;='Resource Planner'!$N$27),'Resource Planner'!$M$27,"")</f>
        <v/>
      </c>
    </row>
    <row r="857" ht="15.75" customHeight="1">
      <c r="A8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7" s="163" t="str">
        <f>IF(AND('Resource Planner'!$A$27="☑",3&lt;='Resource Planner'!$N$27),'Resource Planner'!$C$27,"")</f>
        <v/>
      </c>
      <c r="C857" s="163" t="str">
        <f>IF(AND('Resource Planner'!$A$27="☑",3&lt;='Resource Planner'!$N$27),'Resource Planner'!$B$27,"")</f>
        <v/>
      </c>
      <c r="D857" s="163" t="str">
        <f>IF(AND('Resource Planner'!$A$27="☑",3&lt;='Resource Planner'!$N$27),'Resource Planner'!$D$27,"")</f>
        <v/>
      </c>
      <c r="E857" s="163" t="str">
        <f>IF(AND('Resource Planner'!$A$27="☑",3&lt;='Resource Planner'!$N$27),'Resource Planner'!$E$27,"")</f>
        <v/>
      </c>
      <c r="F857" s="163" t="str">
        <f>IF(AND('Resource Planner'!$A$27="☑",3&lt;='Resource Planner'!$N$27),'Resource Planner'!$F$27&amp;" "&amp;('Resource Planner'!$G$27+(3-1)*'Resource Planner'!$I$27)&amp;IF(('Resource Planner'!$G$27+(3-1)*'Resource Planner'!$I$27)=MIN('Resource Planner'!$G$27+3*'Resource Planner'!$I$27-1,'Resource Planner'!$H$27),"","–"&amp;MIN('Resource Planner'!$G$27+3*'Resource Planner'!$I$27-1,'Resource Planner'!$H$27)),"")</f>
        <v/>
      </c>
      <c r="G857" s="163" t="s">
        <v>109</v>
      </c>
      <c r="H857" s="163" t="str">
        <f>IF(AND('Resource Planner'!$A$27="☑",3&lt;='Resource Planner'!$N$27),'Resource Planner'!$M$27,"")</f>
        <v/>
      </c>
    </row>
    <row r="858" ht="15.75" customHeight="1">
      <c r="A8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8" s="163" t="str">
        <f>IF(AND('Resource Planner'!$A$27="☑",4&lt;='Resource Planner'!$N$27),'Resource Planner'!$C$27,"")</f>
        <v/>
      </c>
      <c r="C858" s="163" t="str">
        <f>IF(AND('Resource Planner'!$A$27="☑",4&lt;='Resource Planner'!$N$27),'Resource Planner'!$B$27,"")</f>
        <v/>
      </c>
      <c r="D858" s="163" t="str">
        <f>IF(AND('Resource Planner'!$A$27="☑",4&lt;='Resource Planner'!$N$27),'Resource Planner'!$D$27,"")</f>
        <v/>
      </c>
      <c r="E858" s="163" t="str">
        <f>IF(AND('Resource Planner'!$A$27="☑",4&lt;='Resource Planner'!$N$27),'Resource Planner'!$E$27,"")</f>
        <v/>
      </c>
      <c r="F858" s="163" t="str">
        <f>IF(AND('Resource Planner'!$A$27="☑",4&lt;='Resource Planner'!$N$27),'Resource Planner'!$F$27&amp;" "&amp;('Resource Planner'!$G$27+(4-1)*'Resource Planner'!$I$27)&amp;IF(('Resource Planner'!$G$27+(4-1)*'Resource Planner'!$I$27)=MIN('Resource Planner'!$G$27+4*'Resource Planner'!$I$27-1,'Resource Planner'!$H$27),"","–"&amp;MIN('Resource Planner'!$G$27+4*'Resource Planner'!$I$27-1,'Resource Planner'!$H$27)),"")</f>
        <v/>
      </c>
      <c r="G858" s="163" t="s">
        <v>109</v>
      </c>
      <c r="H858" s="163" t="str">
        <f>IF(AND('Resource Planner'!$A$27="☑",4&lt;='Resource Planner'!$N$27),'Resource Planner'!$M$27,"")</f>
        <v/>
      </c>
    </row>
    <row r="859" ht="15.75" customHeight="1">
      <c r="A8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59" s="163" t="str">
        <f>IF(AND('Resource Planner'!$A$27="☑",5&lt;='Resource Planner'!$N$27),'Resource Planner'!$C$27,"")</f>
        <v/>
      </c>
      <c r="C859" s="163" t="str">
        <f>IF(AND('Resource Planner'!$A$27="☑",5&lt;='Resource Planner'!$N$27),'Resource Planner'!$B$27,"")</f>
        <v/>
      </c>
      <c r="D859" s="163" t="str">
        <f>IF(AND('Resource Planner'!$A$27="☑",5&lt;='Resource Planner'!$N$27),'Resource Planner'!$D$27,"")</f>
        <v/>
      </c>
      <c r="E859" s="163" t="str">
        <f>IF(AND('Resource Planner'!$A$27="☑",5&lt;='Resource Planner'!$N$27),'Resource Planner'!$E$27,"")</f>
        <v/>
      </c>
      <c r="F859" s="163" t="str">
        <f>IF(AND('Resource Planner'!$A$27="☑",5&lt;='Resource Planner'!$N$27),'Resource Planner'!$F$27&amp;" "&amp;('Resource Planner'!$G$27+(5-1)*'Resource Planner'!$I$27)&amp;IF(('Resource Planner'!$G$27+(5-1)*'Resource Planner'!$I$27)=MIN('Resource Planner'!$G$27+5*'Resource Planner'!$I$27-1,'Resource Planner'!$H$27),"","–"&amp;MIN('Resource Planner'!$G$27+5*'Resource Planner'!$I$27-1,'Resource Planner'!$H$27)),"")</f>
        <v/>
      </c>
      <c r="G859" s="163" t="s">
        <v>109</v>
      </c>
      <c r="H859" s="163" t="str">
        <f>IF(AND('Resource Planner'!$A$27="☑",5&lt;='Resource Planner'!$N$27),'Resource Planner'!$M$27,"")</f>
        <v/>
      </c>
    </row>
    <row r="860" ht="15.75" customHeight="1">
      <c r="A8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0" s="163" t="str">
        <f>IF(AND('Resource Planner'!$A$27="☑",6&lt;='Resource Planner'!$N$27),'Resource Planner'!$C$27,"")</f>
        <v/>
      </c>
      <c r="C860" s="163" t="str">
        <f>IF(AND('Resource Planner'!$A$27="☑",6&lt;='Resource Planner'!$N$27),'Resource Planner'!$B$27,"")</f>
        <v/>
      </c>
      <c r="D860" s="163" t="str">
        <f>IF(AND('Resource Planner'!$A$27="☑",6&lt;='Resource Planner'!$N$27),'Resource Planner'!$D$27,"")</f>
        <v/>
      </c>
      <c r="E860" s="163" t="str">
        <f>IF(AND('Resource Planner'!$A$27="☑",6&lt;='Resource Planner'!$N$27),'Resource Planner'!$E$27,"")</f>
        <v/>
      </c>
      <c r="F860" s="163" t="str">
        <f>IF(AND('Resource Planner'!$A$27="☑",6&lt;='Resource Planner'!$N$27),'Resource Planner'!$F$27&amp;" "&amp;('Resource Planner'!$G$27+(6-1)*'Resource Planner'!$I$27)&amp;IF(('Resource Planner'!$G$27+(6-1)*'Resource Planner'!$I$27)=MIN('Resource Planner'!$G$27+6*'Resource Planner'!$I$27-1,'Resource Planner'!$H$27),"","–"&amp;MIN('Resource Planner'!$G$27+6*'Resource Planner'!$I$27-1,'Resource Planner'!$H$27)),"")</f>
        <v/>
      </c>
      <c r="G860" s="163" t="s">
        <v>109</v>
      </c>
      <c r="H860" s="163" t="str">
        <f>IF(AND('Resource Planner'!$A$27="☑",6&lt;='Resource Planner'!$N$27),'Resource Planner'!$M$27,"")</f>
        <v/>
      </c>
    </row>
    <row r="861" ht="15.75" customHeight="1">
      <c r="A8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1" s="163" t="str">
        <f>IF(AND('Resource Planner'!$A$27="☑",7&lt;='Resource Planner'!$N$27),'Resource Planner'!$C$27,"")</f>
        <v/>
      </c>
      <c r="C861" s="163" t="str">
        <f>IF(AND('Resource Planner'!$A$27="☑",7&lt;='Resource Planner'!$N$27),'Resource Planner'!$B$27,"")</f>
        <v/>
      </c>
      <c r="D861" s="163" t="str">
        <f>IF(AND('Resource Planner'!$A$27="☑",7&lt;='Resource Planner'!$N$27),'Resource Planner'!$D$27,"")</f>
        <v/>
      </c>
      <c r="E861" s="163" t="str">
        <f>IF(AND('Resource Planner'!$A$27="☑",7&lt;='Resource Planner'!$N$27),'Resource Planner'!$E$27,"")</f>
        <v/>
      </c>
      <c r="F861" s="163" t="str">
        <f>IF(AND('Resource Planner'!$A$27="☑",7&lt;='Resource Planner'!$N$27),'Resource Planner'!$F$27&amp;" "&amp;('Resource Planner'!$G$27+(7-1)*'Resource Planner'!$I$27)&amp;IF(('Resource Planner'!$G$27+(7-1)*'Resource Planner'!$I$27)=MIN('Resource Planner'!$G$27+7*'Resource Planner'!$I$27-1,'Resource Planner'!$H$27),"","–"&amp;MIN('Resource Planner'!$G$27+7*'Resource Planner'!$I$27-1,'Resource Planner'!$H$27)),"")</f>
        <v/>
      </c>
      <c r="G861" s="163" t="s">
        <v>109</v>
      </c>
      <c r="H861" s="163" t="str">
        <f>IF(AND('Resource Planner'!$A$27="☑",7&lt;='Resource Planner'!$N$27),'Resource Planner'!$M$27,"")</f>
        <v/>
      </c>
    </row>
    <row r="862" ht="15.75" customHeight="1">
      <c r="A8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2" s="163" t="str">
        <f>IF(AND('Resource Planner'!$A$27="☑",8&lt;='Resource Planner'!$N$27),'Resource Planner'!$C$27,"")</f>
        <v/>
      </c>
      <c r="C862" s="163" t="str">
        <f>IF(AND('Resource Planner'!$A$27="☑",8&lt;='Resource Planner'!$N$27),'Resource Planner'!$B$27,"")</f>
        <v/>
      </c>
      <c r="D862" s="163" t="str">
        <f>IF(AND('Resource Planner'!$A$27="☑",8&lt;='Resource Planner'!$N$27),'Resource Planner'!$D$27,"")</f>
        <v/>
      </c>
      <c r="E862" s="163" t="str">
        <f>IF(AND('Resource Planner'!$A$27="☑",8&lt;='Resource Planner'!$N$27),'Resource Planner'!$E$27,"")</f>
        <v/>
      </c>
      <c r="F862" s="163" t="str">
        <f>IF(AND('Resource Planner'!$A$27="☑",8&lt;='Resource Planner'!$N$27),'Resource Planner'!$F$27&amp;" "&amp;('Resource Planner'!$G$27+(8-1)*'Resource Planner'!$I$27)&amp;IF(('Resource Planner'!$G$27+(8-1)*'Resource Planner'!$I$27)=MIN('Resource Planner'!$G$27+8*'Resource Planner'!$I$27-1,'Resource Planner'!$H$27),"","–"&amp;MIN('Resource Planner'!$G$27+8*'Resource Planner'!$I$27-1,'Resource Planner'!$H$27)),"")</f>
        <v/>
      </c>
      <c r="G862" s="163" t="s">
        <v>109</v>
      </c>
      <c r="H862" s="163" t="str">
        <f>IF(AND('Resource Planner'!$A$27="☑",8&lt;='Resource Planner'!$N$27),'Resource Planner'!$M$27,"")</f>
        <v/>
      </c>
    </row>
    <row r="863" ht="15.75" customHeight="1">
      <c r="A8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3" s="163" t="str">
        <f>IF(AND('Resource Planner'!$A$27="☑",9&lt;='Resource Planner'!$N$27),'Resource Planner'!$C$27,"")</f>
        <v/>
      </c>
      <c r="C863" s="163" t="str">
        <f>IF(AND('Resource Planner'!$A$27="☑",9&lt;='Resource Planner'!$N$27),'Resource Planner'!$B$27,"")</f>
        <v/>
      </c>
      <c r="D863" s="163" t="str">
        <f>IF(AND('Resource Planner'!$A$27="☑",9&lt;='Resource Planner'!$N$27),'Resource Planner'!$D$27,"")</f>
        <v/>
      </c>
      <c r="E863" s="163" t="str">
        <f>IF(AND('Resource Planner'!$A$27="☑",9&lt;='Resource Planner'!$N$27),'Resource Planner'!$E$27,"")</f>
        <v/>
      </c>
      <c r="F863" s="163" t="str">
        <f>IF(AND('Resource Planner'!$A$27="☑",9&lt;='Resource Planner'!$N$27),'Resource Planner'!$F$27&amp;" "&amp;('Resource Planner'!$G$27+(9-1)*'Resource Planner'!$I$27)&amp;IF(('Resource Planner'!$G$27+(9-1)*'Resource Planner'!$I$27)=MIN('Resource Planner'!$G$27+9*'Resource Planner'!$I$27-1,'Resource Planner'!$H$27),"","–"&amp;MIN('Resource Planner'!$G$27+9*'Resource Planner'!$I$27-1,'Resource Planner'!$H$27)),"")</f>
        <v/>
      </c>
      <c r="G863" s="163" t="s">
        <v>109</v>
      </c>
      <c r="H863" s="163" t="str">
        <f>IF(AND('Resource Planner'!$A$27="☑",9&lt;='Resource Planner'!$N$27),'Resource Planner'!$M$27,"")</f>
        <v/>
      </c>
    </row>
    <row r="864" ht="15.75" customHeight="1">
      <c r="A8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4" s="163" t="str">
        <f>IF(AND('Resource Planner'!$A$27="☑",10&lt;='Resource Planner'!$N$27),'Resource Planner'!$C$27,"")</f>
        <v/>
      </c>
      <c r="C864" s="163" t="str">
        <f>IF(AND('Resource Planner'!$A$27="☑",10&lt;='Resource Planner'!$N$27),'Resource Planner'!$B$27,"")</f>
        <v/>
      </c>
      <c r="D864" s="163" t="str">
        <f>IF(AND('Resource Planner'!$A$27="☑",10&lt;='Resource Planner'!$N$27),'Resource Planner'!$D$27,"")</f>
        <v/>
      </c>
      <c r="E864" s="163" t="str">
        <f>IF(AND('Resource Planner'!$A$27="☑",10&lt;='Resource Planner'!$N$27),'Resource Planner'!$E$27,"")</f>
        <v/>
      </c>
      <c r="F864" s="163" t="str">
        <f>IF(AND('Resource Planner'!$A$27="☑",10&lt;='Resource Planner'!$N$27),'Resource Planner'!$F$27&amp;" "&amp;('Resource Planner'!$G$27+(10-1)*'Resource Planner'!$I$27)&amp;IF(('Resource Planner'!$G$27+(10-1)*'Resource Planner'!$I$27)=MIN('Resource Planner'!$G$27+10*'Resource Planner'!$I$27-1,'Resource Planner'!$H$27),"","–"&amp;MIN('Resource Planner'!$G$27+10*'Resource Planner'!$I$27-1,'Resource Planner'!$H$27)),"")</f>
        <v/>
      </c>
      <c r="G864" s="163" t="s">
        <v>109</v>
      </c>
      <c r="H864" s="163" t="str">
        <f>IF(AND('Resource Planner'!$A$27="☑",10&lt;='Resource Planner'!$N$27),'Resource Planner'!$M$27,"")</f>
        <v/>
      </c>
    </row>
    <row r="865" ht="15.75" customHeight="1">
      <c r="A8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5" s="163" t="str">
        <f>IF(AND('Resource Planner'!$A$27="☑",11&lt;='Resource Planner'!$N$27),'Resource Planner'!$C$27,"")</f>
        <v/>
      </c>
      <c r="C865" s="163" t="str">
        <f>IF(AND('Resource Planner'!$A$27="☑",11&lt;='Resource Planner'!$N$27),'Resource Planner'!$B$27,"")</f>
        <v/>
      </c>
      <c r="D865" s="163" t="str">
        <f>IF(AND('Resource Planner'!$A$27="☑",11&lt;='Resource Planner'!$N$27),'Resource Planner'!$D$27,"")</f>
        <v/>
      </c>
      <c r="E865" s="163" t="str">
        <f>IF(AND('Resource Planner'!$A$27="☑",11&lt;='Resource Planner'!$N$27),'Resource Planner'!$E$27,"")</f>
        <v/>
      </c>
      <c r="F865" s="163" t="str">
        <f>IF(AND('Resource Planner'!$A$27="☑",11&lt;='Resource Planner'!$N$27),'Resource Planner'!$F$27&amp;" "&amp;('Resource Planner'!$G$27+(11-1)*'Resource Planner'!$I$27)&amp;IF(('Resource Planner'!$G$27+(11-1)*'Resource Planner'!$I$27)=MIN('Resource Planner'!$G$27+11*'Resource Planner'!$I$27-1,'Resource Planner'!$H$27),"","–"&amp;MIN('Resource Planner'!$G$27+11*'Resource Planner'!$I$27-1,'Resource Planner'!$H$27)),"")</f>
        <v/>
      </c>
      <c r="G865" s="163" t="s">
        <v>109</v>
      </c>
      <c r="H865" s="163" t="str">
        <f>IF(AND('Resource Planner'!$A$27="☑",11&lt;='Resource Planner'!$N$27),'Resource Planner'!$M$27,"")</f>
        <v/>
      </c>
    </row>
    <row r="866" ht="15.75" customHeight="1">
      <c r="A8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6" s="163" t="str">
        <f>IF(AND('Resource Planner'!$A$27="☑",12&lt;='Resource Planner'!$N$27),'Resource Planner'!$C$27,"")</f>
        <v/>
      </c>
      <c r="C866" s="163" t="str">
        <f>IF(AND('Resource Planner'!$A$27="☑",12&lt;='Resource Planner'!$N$27),'Resource Planner'!$B$27,"")</f>
        <v/>
      </c>
      <c r="D866" s="163" t="str">
        <f>IF(AND('Resource Planner'!$A$27="☑",12&lt;='Resource Planner'!$N$27),'Resource Planner'!$D$27,"")</f>
        <v/>
      </c>
      <c r="E866" s="163" t="str">
        <f>IF(AND('Resource Planner'!$A$27="☑",12&lt;='Resource Planner'!$N$27),'Resource Planner'!$E$27,"")</f>
        <v/>
      </c>
      <c r="F866" s="163" t="str">
        <f>IF(AND('Resource Planner'!$A$27="☑",12&lt;='Resource Planner'!$N$27),'Resource Planner'!$F$27&amp;" "&amp;('Resource Planner'!$G$27+(12-1)*'Resource Planner'!$I$27)&amp;IF(('Resource Planner'!$G$27+(12-1)*'Resource Planner'!$I$27)=MIN('Resource Planner'!$G$27+12*'Resource Planner'!$I$27-1,'Resource Planner'!$H$27),"","–"&amp;MIN('Resource Planner'!$G$27+12*'Resource Planner'!$I$27-1,'Resource Planner'!$H$27)),"")</f>
        <v/>
      </c>
      <c r="G866" s="163" t="s">
        <v>109</v>
      </c>
      <c r="H866" s="163" t="str">
        <f>IF(AND('Resource Planner'!$A$27="☑",12&lt;='Resource Planner'!$N$27),'Resource Planner'!$M$27,"")</f>
        <v/>
      </c>
    </row>
    <row r="867" ht="15.75" customHeight="1">
      <c r="A8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7" s="163" t="str">
        <f>IF(AND('Resource Planner'!$A$27="☑",13&lt;='Resource Planner'!$N$27),'Resource Planner'!$C$27,"")</f>
        <v/>
      </c>
      <c r="C867" s="163" t="str">
        <f>IF(AND('Resource Planner'!$A$27="☑",13&lt;='Resource Planner'!$N$27),'Resource Planner'!$B$27,"")</f>
        <v/>
      </c>
      <c r="D867" s="163" t="str">
        <f>IF(AND('Resource Planner'!$A$27="☑",13&lt;='Resource Planner'!$N$27),'Resource Planner'!$D$27,"")</f>
        <v/>
      </c>
      <c r="E867" s="163" t="str">
        <f>IF(AND('Resource Planner'!$A$27="☑",13&lt;='Resource Planner'!$N$27),'Resource Planner'!$E$27,"")</f>
        <v/>
      </c>
      <c r="F867" s="163" t="str">
        <f>IF(AND('Resource Planner'!$A$27="☑",13&lt;='Resource Planner'!$N$27),'Resource Planner'!$F$27&amp;" "&amp;('Resource Planner'!$G$27+(13-1)*'Resource Planner'!$I$27)&amp;IF(('Resource Planner'!$G$27+(13-1)*'Resource Planner'!$I$27)=MIN('Resource Planner'!$G$27+13*'Resource Planner'!$I$27-1,'Resource Planner'!$H$27),"","–"&amp;MIN('Resource Planner'!$G$27+13*'Resource Planner'!$I$27-1,'Resource Planner'!$H$27)),"")</f>
        <v/>
      </c>
      <c r="G867" s="163" t="s">
        <v>109</v>
      </c>
      <c r="H867" s="163" t="str">
        <f>IF(AND('Resource Planner'!$A$27="☑",13&lt;='Resource Planner'!$N$27),'Resource Planner'!$M$27,"")</f>
        <v/>
      </c>
    </row>
    <row r="868" ht="15.75" customHeight="1">
      <c r="A8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8" s="163" t="str">
        <f>IF(AND('Resource Planner'!$A$27="☑",14&lt;='Resource Planner'!$N$27),'Resource Planner'!$C$27,"")</f>
        <v/>
      </c>
      <c r="C868" s="163" t="str">
        <f>IF(AND('Resource Planner'!$A$27="☑",14&lt;='Resource Planner'!$N$27),'Resource Planner'!$B$27,"")</f>
        <v/>
      </c>
      <c r="D868" s="163" t="str">
        <f>IF(AND('Resource Planner'!$A$27="☑",14&lt;='Resource Planner'!$N$27),'Resource Planner'!$D$27,"")</f>
        <v/>
      </c>
      <c r="E868" s="163" t="str">
        <f>IF(AND('Resource Planner'!$A$27="☑",14&lt;='Resource Planner'!$N$27),'Resource Planner'!$E$27,"")</f>
        <v/>
      </c>
      <c r="F868" s="163" t="str">
        <f>IF(AND('Resource Planner'!$A$27="☑",14&lt;='Resource Planner'!$N$27),'Resource Planner'!$F$27&amp;" "&amp;('Resource Planner'!$G$27+(14-1)*'Resource Planner'!$I$27)&amp;IF(('Resource Planner'!$G$27+(14-1)*'Resource Planner'!$I$27)=MIN('Resource Planner'!$G$27+14*'Resource Planner'!$I$27-1,'Resource Planner'!$H$27),"","–"&amp;MIN('Resource Planner'!$G$27+14*'Resource Planner'!$I$27-1,'Resource Planner'!$H$27)),"")</f>
        <v/>
      </c>
      <c r="G868" s="163" t="s">
        <v>109</v>
      </c>
      <c r="H868" s="163" t="str">
        <f>IF(AND('Resource Planner'!$A$27="☑",14&lt;='Resource Planner'!$N$27),'Resource Planner'!$M$27,"")</f>
        <v/>
      </c>
    </row>
    <row r="869" ht="15.75" customHeight="1">
      <c r="A8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69" s="163" t="str">
        <f>IF(AND('Resource Planner'!$A$27="☑",15&lt;='Resource Planner'!$N$27),'Resource Planner'!$C$27,"")</f>
        <v/>
      </c>
      <c r="C869" s="163" t="str">
        <f>IF(AND('Resource Planner'!$A$27="☑",15&lt;='Resource Planner'!$N$27),'Resource Planner'!$B$27,"")</f>
        <v/>
      </c>
      <c r="D869" s="163" t="str">
        <f>IF(AND('Resource Planner'!$A$27="☑",15&lt;='Resource Planner'!$N$27),'Resource Planner'!$D$27,"")</f>
        <v/>
      </c>
      <c r="E869" s="163" t="str">
        <f>IF(AND('Resource Planner'!$A$27="☑",15&lt;='Resource Planner'!$N$27),'Resource Planner'!$E$27,"")</f>
        <v/>
      </c>
      <c r="F869" s="163" t="str">
        <f>IF(AND('Resource Planner'!$A$27="☑",15&lt;='Resource Planner'!$N$27),'Resource Planner'!$F$27&amp;" "&amp;('Resource Planner'!$G$27+(15-1)*'Resource Planner'!$I$27)&amp;IF(('Resource Planner'!$G$27+(15-1)*'Resource Planner'!$I$27)=MIN('Resource Planner'!$G$27+15*'Resource Planner'!$I$27-1,'Resource Planner'!$H$27),"","–"&amp;MIN('Resource Planner'!$G$27+15*'Resource Planner'!$I$27-1,'Resource Planner'!$H$27)),"")</f>
        <v/>
      </c>
      <c r="G869" s="163" t="s">
        <v>109</v>
      </c>
      <c r="H869" s="163" t="str">
        <f>IF(AND('Resource Planner'!$A$27="☑",15&lt;='Resource Planner'!$N$27),'Resource Planner'!$M$27,"")</f>
        <v/>
      </c>
    </row>
    <row r="870" ht="15.75" customHeight="1">
      <c r="A8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0" s="163" t="str">
        <f>IF(AND('Resource Planner'!$A$27="☑",16&lt;='Resource Planner'!$N$27),'Resource Planner'!$C$27,"")</f>
        <v/>
      </c>
      <c r="C870" s="163" t="str">
        <f>IF(AND('Resource Planner'!$A$27="☑",16&lt;='Resource Planner'!$N$27),'Resource Planner'!$B$27,"")</f>
        <v/>
      </c>
      <c r="D870" s="163" t="str">
        <f>IF(AND('Resource Planner'!$A$27="☑",16&lt;='Resource Planner'!$N$27),'Resource Planner'!$D$27,"")</f>
        <v/>
      </c>
      <c r="E870" s="163" t="str">
        <f>IF(AND('Resource Planner'!$A$27="☑",16&lt;='Resource Planner'!$N$27),'Resource Planner'!$E$27,"")</f>
        <v/>
      </c>
      <c r="F870" s="163" t="str">
        <f>IF(AND('Resource Planner'!$A$27="☑",16&lt;='Resource Planner'!$N$27),'Resource Planner'!$F$27&amp;" "&amp;('Resource Planner'!$G$27+(16-1)*'Resource Planner'!$I$27)&amp;IF(('Resource Planner'!$G$27+(16-1)*'Resource Planner'!$I$27)=MIN('Resource Planner'!$G$27+16*'Resource Planner'!$I$27-1,'Resource Planner'!$H$27),"","–"&amp;MIN('Resource Planner'!$G$27+16*'Resource Planner'!$I$27-1,'Resource Planner'!$H$27)),"")</f>
        <v/>
      </c>
      <c r="G870" s="163" t="s">
        <v>109</v>
      </c>
      <c r="H870" s="163" t="str">
        <f>IF(AND('Resource Planner'!$A$27="☑",16&lt;='Resource Planner'!$N$27),'Resource Planner'!$M$27,"")</f>
        <v/>
      </c>
    </row>
    <row r="871" ht="15.75" customHeight="1">
      <c r="A8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1" s="163" t="str">
        <f>IF(AND('Resource Planner'!$A$27="☑",17&lt;='Resource Planner'!$N$27),'Resource Planner'!$C$27,"")</f>
        <v/>
      </c>
      <c r="C871" s="163" t="str">
        <f>IF(AND('Resource Planner'!$A$27="☑",17&lt;='Resource Planner'!$N$27),'Resource Planner'!$B$27,"")</f>
        <v/>
      </c>
      <c r="D871" s="163" t="str">
        <f>IF(AND('Resource Planner'!$A$27="☑",17&lt;='Resource Planner'!$N$27),'Resource Planner'!$D$27,"")</f>
        <v/>
      </c>
      <c r="E871" s="163" t="str">
        <f>IF(AND('Resource Planner'!$A$27="☑",17&lt;='Resource Planner'!$N$27),'Resource Planner'!$E$27,"")</f>
        <v/>
      </c>
      <c r="F871" s="163" t="str">
        <f>IF(AND('Resource Planner'!$A$27="☑",17&lt;='Resource Planner'!$N$27),'Resource Planner'!$F$27&amp;" "&amp;('Resource Planner'!$G$27+(17-1)*'Resource Planner'!$I$27)&amp;IF(('Resource Planner'!$G$27+(17-1)*'Resource Planner'!$I$27)=MIN('Resource Planner'!$G$27+17*'Resource Planner'!$I$27-1,'Resource Planner'!$H$27),"","–"&amp;MIN('Resource Planner'!$G$27+17*'Resource Planner'!$I$27-1,'Resource Planner'!$H$27)),"")</f>
        <v/>
      </c>
      <c r="G871" s="163" t="s">
        <v>109</v>
      </c>
      <c r="H871" s="163" t="str">
        <f>IF(AND('Resource Planner'!$A$27="☑",17&lt;='Resource Planner'!$N$27),'Resource Planner'!$M$27,"")</f>
        <v/>
      </c>
    </row>
    <row r="872" ht="15.75" customHeight="1">
      <c r="A8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2" s="163" t="str">
        <f>IF(AND('Resource Planner'!$A$27="☑",18&lt;='Resource Planner'!$N$27),'Resource Planner'!$C$27,"")</f>
        <v/>
      </c>
      <c r="C872" s="163" t="str">
        <f>IF(AND('Resource Planner'!$A$27="☑",18&lt;='Resource Planner'!$N$27),'Resource Planner'!$B$27,"")</f>
        <v/>
      </c>
      <c r="D872" s="163" t="str">
        <f>IF(AND('Resource Planner'!$A$27="☑",18&lt;='Resource Planner'!$N$27),'Resource Planner'!$D$27,"")</f>
        <v/>
      </c>
      <c r="E872" s="163" t="str">
        <f>IF(AND('Resource Planner'!$A$27="☑",18&lt;='Resource Planner'!$N$27),'Resource Planner'!$E$27,"")</f>
        <v/>
      </c>
      <c r="F872" s="163" t="str">
        <f>IF(AND('Resource Planner'!$A$27="☑",18&lt;='Resource Planner'!$N$27),'Resource Planner'!$F$27&amp;" "&amp;('Resource Planner'!$G$27+(18-1)*'Resource Planner'!$I$27)&amp;IF(('Resource Planner'!$G$27+(18-1)*'Resource Planner'!$I$27)=MIN('Resource Planner'!$G$27+18*'Resource Planner'!$I$27-1,'Resource Planner'!$H$27),"","–"&amp;MIN('Resource Planner'!$G$27+18*'Resource Planner'!$I$27-1,'Resource Planner'!$H$27)),"")</f>
        <v/>
      </c>
      <c r="G872" s="163" t="s">
        <v>109</v>
      </c>
      <c r="H872" s="163" t="str">
        <f>IF(AND('Resource Planner'!$A$27="☑",18&lt;='Resource Planner'!$N$27),'Resource Planner'!$M$27,"")</f>
        <v/>
      </c>
    </row>
    <row r="873" ht="15.75" customHeight="1">
      <c r="A8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3" s="163" t="str">
        <f>IF(AND('Resource Planner'!$A$27="☑",19&lt;='Resource Planner'!$N$27),'Resource Planner'!$C$27,"")</f>
        <v/>
      </c>
      <c r="C873" s="163" t="str">
        <f>IF(AND('Resource Planner'!$A$27="☑",19&lt;='Resource Planner'!$N$27),'Resource Planner'!$B$27,"")</f>
        <v/>
      </c>
      <c r="D873" s="163" t="str">
        <f>IF(AND('Resource Planner'!$A$27="☑",19&lt;='Resource Planner'!$N$27),'Resource Planner'!$D$27,"")</f>
        <v/>
      </c>
      <c r="E873" s="163" t="str">
        <f>IF(AND('Resource Planner'!$A$27="☑",19&lt;='Resource Planner'!$N$27),'Resource Planner'!$E$27,"")</f>
        <v/>
      </c>
      <c r="F873" s="163" t="str">
        <f>IF(AND('Resource Planner'!$A$27="☑",19&lt;='Resource Planner'!$N$27),'Resource Planner'!$F$27&amp;" "&amp;('Resource Planner'!$G$27+(19-1)*'Resource Planner'!$I$27)&amp;IF(('Resource Planner'!$G$27+(19-1)*'Resource Planner'!$I$27)=MIN('Resource Planner'!$G$27+19*'Resource Planner'!$I$27-1,'Resource Planner'!$H$27),"","–"&amp;MIN('Resource Planner'!$G$27+19*'Resource Planner'!$I$27-1,'Resource Planner'!$H$27)),"")</f>
        <v/>
      </c>
      <c r="G873" s="163" t="s">
        <v>109</v>
      </c>
      <c r="H873" s="163" t="str">
        <f>IF(AND('Resource Planner'!$A$27="☑",19&lt;='Resource Planner'!$N$27),'Resource Planner'!$M$27,"")</f>
        <v/>
      </c>
    </row>
    <row r="874" ht="15.75" customHeight="1">
      <c r="A8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4" s="163" t="str">
        <f>IF(AND('Resource Planner'!$A$27="☑",20&lt;='Resource Planner'!$N$27),'Resource Planner'!$C$27,"")</f>
        <v/>
      </c>
      <c r="C874" s="163" t="str">
        <f>IF(AND('Resource Planner'!$A$27="☑",20&lt;='Resource Planner'!$N$27),'Resource Planner'!$B$27,"")</f>
        <v/>
      </c>
      <c r="D874" s="163" t="str">
        <f>IF(AND('Resource Planner'!$A$27="☑",20&lt;='Resource Planner'!$N$27),'Resource Planner'!$D$27,"")</f>
        <v/>
      </c>
      <c r="E874" s="163" t="str">
        <f>IF(AND('Resource Planner'!$A$27="☑",20&lt;='Resource Planner'!$N$27),'Resource Planner'!$E$27,"")</f>
        <v/>
      </c>
      <c r="F874" s="163" t="str">
        <f>IF(AND('Resource Planner'!$A$27="☑",20&lt;='Resource Planner'!$N$27),'Resource Planner'!$F$27&amp;" "&amp;('Resource Planner'!$G$27+(20-1)*'Resource Planner'!$I$27)&amp;IF(('Resource Planner'!$G$27+(20-1)*'Resource Planner'!$I$27)=MIN('Resource Planner'!$G$27+20*'Resource Planner'!$I$27-1,'Resource Planner'!$H$27),"","–"&amp;MIN('Resource Planner'!$G$27+20*'Resource Planner'!$I$27-1,'Resource Planner'!$H$27)),"")</f>
        <v/>
      </c>
      <c r="G874" s="163" t="s">
        <v>109</v>
      </c>
      <c r="H874" s="163" t="str">
        <f>IF(AND('Resource Planner'!$A$27="☑",20&lt;='Resource Planner'!$N$27),'Resource Planner'!$M$27,"")</f>
        <v/>
      </c>
    </row>
    <row r="875" ht="15.75" customHeight="1">
      <c r="A8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5" s="163" t="str">
        <f>IF(AND('Resource Planner'!$A$27="☑",21&lt;='Resource Planner'!$N$27),'Resource Planner'!$C$27,"")</f>
        <v/>
      </c>
      <c r="C875" s="163" t="str">
        <f>IF(AND('Resource Planner'!$A$27="☑",21&lt;='Resource Planner'!$N$27),'Resource Planner'!$B$27,"")</f>
        <v/>
      </c>
      <c r="D875" s="163" t="str">
        <f>IF(AND('Resource Planner'!$A$27="☑",21&lt;='Resource Planner'!$N$27),'Resource Planner'!$D$27,"")</f>
        <v/>
      </c>
      <c r="E875" s="163" t="str">
        <f>IF(AND('Resource Planner'!$A$27="☑",21&lt;='Resource Planner'!$N$27),'Resource Planner'!$E$27,"")</f>
        <v/>
      </c>
      <c r="F875" s="163" t="str">
        <f>IF(AND('Resource Planner'!$A$27="☑",21&lt;='Resource Planner'!$N$27),'Resource Planner'!$F$27&amp;" "&amp;('Resource Planner'!$G$27+(21-1)*'Resource Planner'!$I$27)&amp;IF(('Resource Planner'!$G$27+(21-1)*'Resource Planner'!$I$27)=MIN('Resource Planner'!$G$27+21*'Resource Planner'!$I$27-1,'Resource Planner'!$H$27),"","–"&amp;MIN('Resource Planner'!$G$27+21*'Resource Planner'!$I$27-1,'Resource Planner'!$H$27)),"")</f>
        <v/>
      </c>
      <c r="G875" s="163" t="s">
        <v>109</v>
      </c>
      <c r="H875" s="163" t="str">
        <f>IF(AND('Resource Planner'!$A$27="☑",21&lt;='Resource Planner'!$N$27),'Resource Planner'!$M$27,"")</f>
        <v/>
      </c>
    </row>
    <row r="876" ht="15.75" customHeight="1">
      <c r="A8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6" s="163" t="str">
        <f>IF(AND('Resource Planner'!$A$27="☑",22&lt;='Resource Planner'!$N$27),'Resource Planner'!$C$27,"")</f>
        <v/>
      </c>
      <c r="C876" s="163" t="str">
        <f>IF(AND('Resource Planner'!$A$27="☑",22&lt;='Resource Planner'!$N$27),'Resource Planner'!$B$27,"")</f>
        <v/>
      </c>
      <c r="D876" s="163" t="str">
        <f>IF(AND('Resource Planner'!$A$27="☑",22&lt;='Resource Planner'!$N$27),'Resource Planner'!$D$27,"")</f>
        <v/>
      </c>
      <c r="E876" s="163" t="str">
        <f>IF(AND('Resource Planner'!$A$27="☑",22&lt;='Resource Planner'!$N$27),'Resource Planner'!$E$27,"")</f>
        <v/>
      </c>
      <c r="F876" s="163" t="str">
        <f>IF(AND('Resource Planner'!$A$27="☑",22&lt;='Resource Planner'!$N$27),'Resource Planner'!$F$27&amp;" "&amp;('Resource Planner'!$G$27+(22-1)*'Resource Planner'!$I$27)&amp;IF(('Resource Planner'!$G$27+(22-1)*'Resource Planner'!$I$27)=MIN('Resource Planner'!$G$27+22*'Resource Planner'!$I$27-1,'Resource Planner'!$H$27),"","–"&amp;MIN('Resource Planner'!$G$27+22*'Resource Planner'!$I$27-1,'Resource Planner'!$H$27)),"")</f>
        <v/>
      </c>
      <c r="G876" s="163" t="s">
        <v>109</v>
      </c>
      <c r="H876" s="163" t="str">
        <f>IF(AND('Resource Planner'!$A$27="☑",22&lt;='Resource Planner'!$N$27),'Resource Planner'!$M$27,"")</f>
        <v/>
      </c>
    </row>
    <row r="877" ht="15.75" customHeight="1">
      <c r="A8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7" s="163" t="str">
        <f>IF(AND('Resource Planner'!$A$27="☑",23&lt;='Resource Planner'!$N$27),'Resource Planner'!$C$27,"")</f>
        <v/>
      </c>
      <c r="C877" s="163" t="str">
        <f>IF(AND('Resource Planner'!$A$27="☑",23&lt;='Resource Planner'!$N$27),'Resource Planner'!$B$27,"")</f>
        <v/>
      </c>
      <c r="D877" s="163" t="str">
        <f>IF(AND('Resource Planner'!$A$27="☑",23&lt;='Resource Planner'!$N$27),'Resource Planner'!$D$27,"")</f>
        <v/>
      </c>
      <c r="E877" s="163" t="str">
        <f>IF(AND('Resource Planner'!$A$27="☑",23&lt;='Resource Planner'!$N$27),'Resource Planner'!$E$27,"")</f>
        <v/>
      </c>
      <c r="F877" s="163" t="str">
        <f>IF(AND('Resource Planner'!$A$27="☑",23&lt;='Resource Planner'!$N$27),'Resource Planner'!$F$27&amp;" "&amp;('Resource Planner'!$G$27+(23-1)*'Resource Planner'!$I$27)&amp;IF(('Resource Planner'!$G$27+(23-1)*'Resource Planner'!$I$27)=MIN('Resource Planner'!$G$27+23*'Resource Planner'!$I$27-1,'Resource Planner'!$H$27),"","–"&amp;MIN('Resource Planner'!$G$27+23*'Resource Planner'!$I$27-1,'Resource Planner'!$H$27)),"")</f>
        <v/>
      </c>
      <c r="G877" s="163" t="s">
        <v>109</v>
      </c>
      <c r="H877" s="163" t="str">
        <f>IF(AND('Resource Planner'!$A$27="☑",23&lt;='Resource Planner'!$N$27),'Resource Planner'!$M$27,"")</f>
        <v/>
      </c>
    </row>
    <row r="878" ht="15.75" customHeight="1">
      <c r="A8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8" s="163" t="str">
        <f>IF(AND('Resource Planner'!$A$27="☑",24&lt;='Resource Planner'!$N$27),'Resource Planner'!$C$27,"")</f>
        <v/>
      </c>
      <c r="C878" s="163" t="str">
        <f>IF(AND('Resource Planner'!$A$27="☑",24&lt;='Resource Planner'!$N$27),'Resource Planner'!$B$27,"")</f>
        <v/>
      </c>
      <c r="D878" s="163" t="str">
        <f>IF(AND('Resource Planner'!$A$27="☑",24&lt;='Resource Planner'!$N$27),'Resource Planner'!$D$27,"")</f>
        <v/>
      </c>
      <c r="E878" s="163" t="str">
        <f>IF(AND('Resource Planner'!$A$27="☑",24&lt;='Resource Planner'!$N$27),'Resource Planner'!$E$27,"")</f>
        <v/>
      </c>
      <c r="F878" s="163" t="str">
        <f>IF(AND('Resource Planner'!$A$27="☑",24&lt;='Resource Planner'!$N$27),'Resource Planner'!$F$27&amp;" "&amp;('Resource Planner'!$G$27+(24-1)*'Resource Planner'!$I$27)&amp;IF(('Resource Planner'!$G$27+(24-1)*'Resource Planner'!$I$27)=MIN('Resource Planner'!$G$27+24*'Resource Planner'!$I$27-1,'Resource Planner'!$H$27),"","–"&amp;MIN('Resource Planner'!$G$27+24*'Resource Planner'!$I$27-1,'Resource Planner'!$H$27)),"")</f>
        <v/>
      </c>
      <c r="G878" s="163" t="s">
        <v>109</v>
      </c>
      <c r="H878" s="163" t="str">
        <f>IF(AND('Resource Planner'!$A$27="☑",24&lt;='Resource Planner'!$N$27),'Resource Planner'!$M$27,"")</f>
        <v/>
      </c>
    </row>
    <row r="879" ht="15.75" customHeight="1">
      <c r="A8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79" s="163" t="str">
        <f>IF(AND('Resource Planner'!$A$27="☑",25&lt;='Resource Planner'!$N$27),'Resource Planner'!$C$27,"")</f>
        <v/>
      </c>
      <c r="C879" s="163" t="str">
        <f>IF(AND('Resource Planner'!$A$27="☑",25&lt;='Resource Planner'!$N$27),'Resource Planner'!$B$27,"")</f>
        <v/>
      </c>
      <c r="D879" s="163" t="str">
        <f>IF(AND('Resource Planner'!$A$27="☑",25&lt;='Resource Planner'!$N$27),'Resource Planner'!$D$27,"")</f>
        <v/>
      </c>
      <c r="E879" s="163" t="str">
        <f>IF(AND('Resource Planner'!$A$27="☑",25&lt;='Resource Planner'!$N$27),'Resource Planner'!$E$27,"")</f>
        <v/>
      </c>
      <c r="F879" s="163" t="str">
        <f>IF(AND('Resource Planner'!$A$27="☑",25&lt;='Resource Planner'!$N$27),'Resource Planner'!$F$27&amp;" "&amp;('Resource Planner'!$G$27+(25-1)*'Resource Planner'!$I$27)&amp;IF(('Resource Planner'!$G$27+(25-1)*'Resource Planner'!$I$27)=MIN('Resource Planner'!$G$27+25*'Resource Planner'!$I$27-1,'Resource Planner'!$H$27),"","–"&amp;MIN('Resource Planner'!$G$27+25*'Resource Planner'!$I$27-1,'Resource Planner'!$H$27)),"")</f>
        <v/>
      </c>
      <c r="G879" s="163" t="s">
        <v>109</v>
      </c>
      <c r="H879" s="163" t="str">
        <f>IF(AND('Resource Planner'!$A$27="☑",25&lt;='Resource Planner'!$N$27),'Resource Planner'!$M$27,"")</f>
        <v/>
      </c>
    </row>
    <row r="880" ht="15.75" customHeight="1">
      <c r="A8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0" s="163" t="str">
        <f>IF(AND('Resource Planner'!$A$27="☑",26&lt;='Resource Planner'!$N$27),'Resource Planner'!$C$27,"")</f>
        <v/>
      </c>
      <c r="C880" s="163" t="str">
        <f>IF(AND('Resource Planner'!$A$27="☑",26&lt;='Resource Planner'!$N$27),'Resource Planner'!$B$27,"")</f>
        <v/>
      </c>
      <c r="D880" s="163" t="str">
        <f>IF(AND('Resource Planner'!$A$27="☑",26&lt;='Resource Planner'!$N$27),'Resource Planner'!$D$27,"")</f>
        <v/>
      </c>
      <c r="E880" s="163" t="str">
        <f>IF(AND('Resource Planner'!$A$27="☑",26&lt;='Resource Planner'!$N$27),'Resource Planner'!$E$27,"")</f>
        <v/>
      </c>
      <c r="F880" s="163" t="str">
        <f>IF(AND('Resource Planner'!$A$27="☑",26&lt;='Resource Planner'!$N$27),'Resource Planner'!$F$27&amp;" "&amp;('Resource Planner'!$G$27+(26-1)*'Resource Planner'!$I$27)&amp;IF(('Resource Planner'!$G$27+(26-1)*'Resource Planner'!$I$27)=MIN('Resource Planner'!$G$27+26*'Resource Planner'!$I$27-1,'Resource Planner'!$H$27),"","–"&amp;MIN('Resource Planner'!$G$27+26*'Resource Planner'!$I$27-1,'Resource Planner'!$H$27)),"")</f>
        <v/>
      </c>
      <c r="G880" s="163" t="s">
        <v>109</v>
      </c>
      <c r="H880" s="163" t="str">
        <f>IF(AND('Resource Planner'!$A$27="☑",26&lt;='Resource Planner'!$N$27),'Resource Planner'!$M$27,"")</f>
        <v/>
      </c>
    </row>
    <row r="881" ht="15.75" customHeight="1">
      <c r="A8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1" s="163" t="str">
        <f>IF(AND('Resource Planner'!$A$27="☑",27&lt;='Resource Planner'!$N$27),'Resource Planner'!$C$27,"")</f>
        <v/>
      </c>
      <c r="C881" s="163" t="str">
        <f>IF(AND('Resource Planner'!$A$27="☑",27&lt;='Resource Planner'!$N$27),'Resource Planner'!$B$27,"")</f>
        <v/>
      </c>
      <c r="D881" s="163" t="str">
        <f>IF(AND('Resource Planner'!$A$27="☑",27&lt;='Resource Planner'!$N$27),'Resource Planner'!$D$27,"")</f>
        <v/>
      </c>
      <c r="E881" s="163" t="str">
        <f>IF(AND('Resource Planner'!$A$27="☑",27&lt;='Resource Planner'!$N$27),'Resource Planner'!$E$27,"")</f>
        <v/>
      </c>
      <c r="F881" s="163" t="str">
        <f>IF(AND('Resource Planner'!$A$27="☑",27&lt;='Resource Planner'!$N$27),'Resource Planner'!$F$27&amp;" "&amp;('Resource Planner'!$G$27+(27-1)*'Resource Planner'!$I$27)&amp;IF(('Resource Planner'!$G$27+(27-1)*'Resource Planner'!$I$27)=MIN('Resource Planner'!$G$27+27*'Resource Planner'!$I$27-1,'Resource Planner'!$H$27),"","–"&amp;MIN('Resource Planner'!$G$27+27*'Resource Planner'!$I$27-1,'Resource Planner'!$H$27)),"")</f>
        <v/>
      </c>
      <c r="G881" s="163" t="s">
        <v>109</v>
      </c>
      <c r="H881" s="163" t="str">
        <f>IF(AND('Resource Planner'!$A$27="☑",27&lt;='Resource Planner'!$N$27),'Resource Planner'!$M$27,"")</f>
        <v/>
      </c>
    </row>
    <row r="882" ht="15.75" customHeight="1">
      <c r="A8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2" s="163" t="str">
        <f>IF(AND('Resource Planner'!$A$27="☑",28&lt;='Resource Planner'!$N$27),'Resource Planner'!$C$27,"")</f>
        <v/>
      </c>
      <c r="C882" s="163" t="str">
        <f>IF(AND('Resource Planner'!$A$27="☑",28&lt;='Resource Planner'!$N$27),'Resource Planner'!$B$27,"")</f>
        <v/>
      </c>
      <c r="D882" s="163" t="str">
        <f>IF(AND('Resource Planner'!$A$27="☑",28&lt;='Resource Planner'!$N$27),'Resource Planner'!$D$27,"")</f>
        <v/>
      </c>
      <c r="E882" s="163" t="str">
        <f>IF(AND('Resource Planner'!$A$27="☑",28&lt;='Resource Planner'!$N$27),'Resource Planner'!$E$27,"")</f>
        <v/>
      </c>
      <c r="F882" s="163" t="str">
        <f>IF(AND('Resource Planner'!$A$27="☑",28&lt;='Resource Planner'!$N$27),'Resource Planner'!$F$27&amp;" "&amp;('Resource Planner'!$G$27+(28-1)*'Resource Planner'!$I$27)&amp;IF(('Resource Planner'!$G$27+(28-1)*'Resource Planner'!$I$27)=MIN('Resource Planner'!$G$27+28*'Resource Planner'!$I$27-1,'Resource Planner'!$H$27),"","–"&amp;MIN('Resource Planner'!$G$27+28*'Resource Planner'!$I$27-1,'Resource Planner'!$H$27)),"")</f>
        <v/>
      </c>
      <c r="G882" s="163" t="s">
        <v>109</v>
      </c>
      <c r="H882" s="163" t="str">
        <f>IF(AND('Resource Planner'!$A$27="☑",28&lt;='Resource Planner'!$N$27),'Resource Planner'!$M$27,"")</f>
        <v/>
      </c>
    </row>
    <row r="883" ht="15.75" customHeight="1">
      <c r="A8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3" s="163" t="str">
        <f>IF(AND('Resource Planner'!$A$27="☑",29&lt;='Resource Planner'!$N$27),'Resource Planner'!$C$27,"")</f>
        <v/>
      </c>
      <c r="C883" s="163" t="str">
        <f>IF(AND('Resource Planner'!$A$27="☑",29&lt;='Resource Planner'!$N$27),'Resource Planner'!$B$27,"")</f>
        <v/>
      </c>
      <c r="D883" s="163" t="str">
        <f>IF(AND('Resource Planner'!$A$27="☑",29&lt;='Resource Planner'!$N$27),'Resource Planner'!$D$27,"")</f>
        <v/>
      </c>
      <c r="E883" s="163" t="str">
        <f>IF(AND('Resource Planner'!$A$27="☑",29&lt;='Resource Planner'!$N$27),'Resource Planner'!$E$27,"")</f>
        <v/>
      </c>
      <c r="F883" s="163" t="str">
        <f>IF(AND('Resource Planner'!$A$27="☑",29&lt;='Resource Planner'!$N$27),'Resource Planner'!$F$27&amp;" "&amp;('Resource Planner'!$G$27+(29-1)*'Resource Planner'!$I$27)&amp;IF(('Resource Planner'!$G$27+(29-1)*'Resource Planner'!$I$27)=MIN('Resource Planner'!$G$27+29*'Resource Planner'!$I$27-1,'Resource Planner'!$H$27),"","–"&amp;MIN('Resource Planner'!$G$27+29*'Resource Planner'!$I$27-1,'Resource Planner'!$H$27)),"")</f>
        <v/>
      </c>
      <c r="G883" s="163" t="s">
        <v>109</v>
      </c>
      <c r="H883" s="163" t="str">
        <f>IF(AND('Resource Planner'!$A$27="☑",29&lt;='Resource Planner'!$N$27),'Resource Planner'!$M$27,"")</f>
        <v/>
      </c>
    </row>
    <row r="884" ht="15.75" customHeight="1">
      <c r="A8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4" s="163" t="str">
        <f>IF(AND('Resource Planner'!$A$27="☑",30&lt;='Resource Planner'!$N$27),'Resource Planner'!$C$27,"")</f>
        <v/>
      </c>
      <c r="C884" s="163" t="str">
        <f>IF(AND('Resource Planner'!$A$27="☑",30&lt;='Resource Planner'!$N$27),'Resource Planner'!$B$27,"")</f>
        <v/>
      </c>
      <c r="D884" s="163" t="str">
        <f>IF(AND('Resource Planner'!$A$27="☑",30&lt;='Resource Planner'!$N$27),'Resource Planner'!$D$27,"")</f>
        <v/>
      </c>
      <c r="E884" s="163" t="str">
        <f>IF(AND('Resource Planner'!$A$27="☑",30&lt;='Resource Planner'!$N$27),'Resource Planner'!$E$27,"")</f>
        <v/>
      </c>
      <c r="F884" s="163" t="str">
        <f>IF(AND('Resource Planner'!$A$27="☑",30&lt;='Resource Planner'!$N$27),'Resource Planner'!$F$27&amp;" "&amp;('Resource Planner'!$G$27+(30-1)*'Resource Planner'!$I$27)&amp;IF(('Resource Planner'!$G$27+(30-1)*'Resource Planner'!$I$27)=MIN('Resource Planner'!$G$27+30*'Resource Planner'!$I$27-1,'Resource Planner'!$H$27),"","–"&amp;MIN('Resource Planner'!$G$27+30*'Resource Planner'!$I$27-1,'Resource Planner'!$H$27)),"")</f>
        <v/>
      </c>
      <c r="G884" s="163" t="s">
        <v>109</v>
      </c>
      <c r="H884" s="163" t="str">
        <f>IF(AND('Resource Planner'!$A$27="☑",30&lt;='Resource Planner'!$N$27),'Resource Planner'!$M$27,"")</f>
        <v/>
      </c>
    </row>
    <row r="885" ht="15.75" customHeight="1">
      <c r="A8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5" s="163" t="str">
        <f>IF(AND('Resource Planner'!$A$27="☑",31&lt;='Resource Planner'!$N$27),'Resource Planner'!$C$27,"")</f>
        <v/>
      </c>
      <c r="C885" s="163" t="str">
        <f>IF(AND('Resource Planner'!$A$27="☑",31&lt;='Resource Planner'!$N$27),'Resource Planner'!$B$27,"")</f>
        <v/>
      </c>
      <c r="D885" s="163" t="str">
        <f>IF(AND('Resource Planner'!$A$27="☑",31&lt;='Resource Planner'!$N$27),'Resource Planner'!$D$27,"")</f>
        <v/>
      </c>
      <c r="E885" s="163" t="str">
        <f>IF(AND('Resource Planner'!$A$27="☑",31&lt;='Resource Planner'!$N$27),'Resource Planner'!$E$27,"")</f>
        <v/>
      </c>
      <c r="F885" s="163" t="str">
        <f>IF(AND('Resource Planner'!$A$27="☑",31&lt;='Resource Planner'!$N$27),'Resource Planner'!$F$27&amp;" "&amp;('Resource Planner'!$G$27+(31-1)*'Resource Planner'!$I$27)&amp;IF(('Resource Planner'!$G$27+(31-1)*'Resource Planner'!$I$27)=MIN('Resource Planner'!$G$27+31*'Resource Planner'!$I$27-1,'Resource Planner'!$H$27),"","–"&amp;MIN('Resource Planner'!$G$27+31*'Resource Planner'!$I$27-1,'Resource Planner'!$H$27)),"")</f>
        <v/>
      </c>
      <c r="G885" s="163" t="s">
        <v>109</v>
      </c>
      <c r="H885" s="163" t="str">
        <f>IF(AND('Resource Planner'!$A$27="☑",31&lt;='Resource Planner'!$N$27),'Resource Planner'!$M$27,"")</f>
        <v/>
      </c>
    </row>
    <row r="886" ht="15.75" customHeight="1">
      <c r="A8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6" s="163" t="str">
        <f>IF(AND('Resource Planner'!$A$27="☑",32&lt;='Resource Planner'!$N$27),'Resource Planner'!$C$27,"")</f>
        <v/>
      </c>
      <c r="C886" s="163" t="str">
        <f>IF(AND('Resource Planner'!$A$27="☑",32&lt;='Resource Planner'!$N$27),'Resource Planner'!$B$27,"")</f>
        <v/>
      </c>
      <c r="D886" s="163" t="str">
        <f>IF(AND('Resource Planner'!$A$27="☑",32&lt;='Resource Planner'!$N$27),'Resource Planner'!$D$27,"")</f>
        <v/>
      </c>
      <c r="E886" s="163" t="str">
        <f>IF(AND('Resource Planner'!$A$27="☑",32&lt;='Resource Planner'!$N$27),'Resource Planner'!$E$27,"")</f>
        <v/>
      </c>
      <c r="F886" s="163" t="str">
        <f>IF(AND('Resource Planner'!$A$27="☑",32&lt;='Resource Planner'!$N$27),'Resource Planner'!$F$27&amp;" "&amp;('Resource Planner'!$G$27+(32-1)*'Resource Planner'!$I$27)&amp;IF(('Resource Planner'!$G$27+(32-1)*'Resource Planner'!$I$27)=MIN('Resource Planner'!$G$27+32*'Resource Planner'!$I$27-1,'Resource Planner'!$H$27),"","–"&amp;MIN('Resource Planner'!$G$27+32*'Resource Planner'!$I$27-1,'Resource Planner'!$H$27)),"")</f>
        <v/>
      </c>
      <c r="G886" s="163" t="s">
        <v>109</v>
      </c>
      <c r="H886" s="163" t="str">
        <f>IF(AND('Resource Planner'!$A$27="☑",32&lt;='Resource Planner'!$N$27),'Resource Planner'!$M$27,"")</f>
        <v/>
      </c>
    </row>
    <row r="887" ht="15.75" customHeight="1">
      <c r="A8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7" s="163" t="str">
        <f>IF(AND('Resource Planner'!$A$27="☑",33&lt;='Resource Planner'!$N$27),'Resource Planner'!$C$27,"")</f>
        <v/>
      </c>
      <c r="C887" s="163" t="str">
        <f>IF(AND('Resource Planner'!$A$27="☑",33&lt;='Resource Planner'!$N$27),'Resource Planner'!$B$27,"")</f>
        <v/>
      </c>
      <c r="D887" s="163" t="str">
        <f>IF(AND('Resource Planner'!$A$27="☑",33&lt;='Resource Planner'!$N$27),'Resource Planner'!$D$27,"")</f>
        <v/>
      </c>
      <c r="E887" s="163" t="str">
        <f>IF(AND('Resource Planner'!$A$27="☑",33&lt;='Resource Planner'!$N$27),'Resource Planner'!$E$27,"")</f>
        <v/>
      </c>
      <c r="F887" s="163" t="str">
        <f>IF(AND('Resource Planner'!$A$27="☑",33&lt;='Resource Planner'!$N$27),'Resource Planner'!$F$27&amp;" "&amp;('Resource Planner'!$G$27+(33-1)*'Resource Planner'!$I$27)&amp;IF(('Resource Planner'!$G$27+(33-1)*'Resource Planner'!$I$27)=MIN('Resource Planner'!$G$27+33*'Resource Planner'!$I$27-1,'Resource Planner'!$H$27),"","–"&amp;MIN('Resource Planner'!$G$27+33*'Resource Planner'!$I$27-1,'Resource Planner'!$H$27)),"")</f>
        <v/>
      </c>
      <c r="G887" s="163" t="s">
        <v>109</v>
      </c>
      <c r="H887" s="163" t="str">
        <f>IF(AND('Resource Planner'!$A$27="☑",33&lt;='Resource Planner'!$N$27),'Resource Planner'!$M$27,"")</f>
        <v/>
      </c>
    </row>
    <row r="888" ht="15.75" customHeight="1">
      <c r="A8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8" s="163" t="str">
        <f>IF(AND('Resource Planner'!$A$27="☑",34&lt;='Resource Planner'!$N$27),'Resource Planner'!$C$27,"")</f>
        <v/>
      </c>
      <c r="C888" s="163" t="str">
        <f>IF(AND('Resource Planner'!$A$27="☑",34&lt;='Resource Planner'!$N$27),'Resource Planner'!$B$27,"")</f>
        <v/>
      </c>
      <c r="D888" s="163" t="str">
        <f>IF(AND('Resource Planner'!$A$27="☑",34&lt;='Resource Planner'!$N$27),'Resource Planner'!$D$27,"")</f>
        <v/>
      </c>
      <c r="E888" s="163" t="str">
        <f>IF(AND('Resource Planner'!$A$27="☑",34&lt;='Resource Planner'!$N$27),'Resource Planner'!$E$27,"")</f>
        <v/>
      </c>
      <c r="F888" s="163" t="str">
        <f>IF(AND('Resource Planner'!$A$27="☑",34&lt;='Resource Planner'!$N$27),'Resource Planner'!$F$27&amp;" "&amp;('Resource Planner'!$G$27+(34-1)*'Resource Planner'!$I$27)&amp;IF(('Resource Planner'!$G$27+(34-1)*'Resource Planner'!$I$27)=MIN('Resource Planner'!$G$27+34*'Resource Planner'!$I$27-1,'Resource Planner'!$H$27),"","–"&amp;MIN('Resource Planner'!$G$27+34*'Resource Planner'!$I$27-1,'Resource Planner'!$H$27)),"")</f>
        <v/>
      </c>
      <c r="G888" s="163" t="s">
        <v>109</v>
      </c>
      <c r="H888" s="163" t="str">
        <f>IF(AND('Resource Planner'!$A$27="☑",34&lt;='Resource Planner'!$N$27),'Resource Planner'!$M$27,"")</f>
        <v/>
      </c>
    </row>
    <row r="889" ht="15.75" customHeight="1">
      <c r="A8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89" s="163" t="str">
        <f>IF(AND('Resource Planner'!$A$27="☑",35&lt;='Resource Planner'!$N$27),'Resource Planner'!$C$27,"")</f>
        <v/>
      </c>
      <c r="C889" s="163" t="str">
        <f>IF(AND('Resource Planner'!$A$27="☑",35&lt;='Resource Planner'!$N$27),'Resource Planner'!$B$27,"")</f>
        <v/>
      </c>
      <c r="D889" s="163" t="str">
        <f>IF(AND('Resource Planner'!$A$27="☑",35&lt;='Resource Planner'!$N$27),'Resource Planner'!$D$27,"")</f>
        <v/>
      </c>
      <c r="E889" s="163" t="str">
        <f>IF(AND('Resource Planner'!$A$27="☑",35&lt;='Resource Planner'!$N$27),'Resource Planner'!$E$27,"")</f>
        <v/>
      </c>
      <c r="F889" s="163" t="str">
        <f>IF(AND('Resource Planner'!$A$27="☑",35&lt;='Resource Planner'!$N$27),'Resource Planner'!$F$27&amp;" "&amp;('Resource Planner'!$G$27+(35-1)*'Resource Planner'!$I$27)&amp;IF(('Resource Planner'!$G$27+(35-1)*'Resource Planner'!$I$27)=MIN('Resource Planner'!$G$27+35*'Resource Planner'!$I$27-1,'Resource Planner'!$H$27),"","–"&amp;MIN('Resource Planner'!$G$27+35*'Resource Planner'!$I$27-1,'Resource Planner'!$H$27)),"")</f>
        <v/>
      </c>
      <c r="G889" s="163" t="s">
        <v>109</v>
      </c>
      <c r="H889" s="163" t="str">
        <f>IF(AND('Resource Planner'!$A$27="☑",35&lt;='Resource Planner'!$N$27),'Resource Planner'!$M$27,"")</f>
        <v/>
      </c>
    </row>
    <row r="890" ht="15.75" customHeight="1">
      <c r="A8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0" s="163" t="str">
        <f>IF(AND('Resource Planner'!$A$27="☑",36&lt;='Resource Planner'!$N$27),'Resource Planner'!$C$27,"")</f>
        <v/>
      </c>
      <c r="C890" s="163" t="str">
        <f>IF(AND('Resource Planner'!$A$27="☑",36&lt;='Resource Planner'!$N$27),'Resource Planner'!$B$27,"")</f>
        <v/>
      </c>
      <c r="D890" s="163" t="str">
        <f>IF(AND('Resource Planner'!$A$27="☑",36&lt;='Resource Planner'!$N$27),'Resource Planner'!$D$27,"")</f>
        <v/>
      </c>
      <c r="E890" s="163" t="str">
        <f>IF(AND('Resource Planner'!$A$27="☑",36&lt;='Resource Planner'!$N$27),'Resource Planner'!$E$27,"")</f>
        <v/>
      </c>
      <c r="F890" s="163" t="str">
        <f>IF(AND('Resource Planner'!$A$27="☑",36&lt;='Resource Planner'!$N$27),'Resource Planner'!$F$27&amp;" "&amp;('Resource Planner'!$G$27+(36-1)*'Resource Planner'!$I$27)&amp;IF(('Resource Planner'!$G$27+(36-1)*'Resource Planner'!$I$27)=MIN('Resource Planner'!$G$27+36*'Resource Planner'!$I$27-1,'Resource Planner'!$H$27),"","–"&amp;MIN('Resource Planner'!$G$27+36*'Resource Planner'!$I$27-1,'Resource Planner'!$H$27)),"")</f>
        <v/>
      </c>
      <c r="G890" s="163" t="s">
        <v>109</v>
      </c>
      <c r="H890" s="163" t="str">
        <f>IF(AND('Resource Planner'!$A$27="☑",36&lt;='Resource Planner'!$N$27),'Resource Planner'!$M$27,"")</f>
        <v/>
      </c>
    </row>
    <row r="891" ht="15.75" customHeight="1">
      <c r="A8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1" s="163" t="str">
        <f>IF(AND('Resource Planner'!$A$27="☑",37&lt;='Resource Planner'!$N$27),'Resource Planner'!$C$27,"")</f>
        <v/>
      </c>
      <c r="C891" s="163" t="str">
        <f>IF(AND('Resource Planner'!$A$27="☑",37&lt;='Resource Planner'!$N$27),'Resource Planner'!$B$27,"")</f>
        <v/>
      </c>
      <c r="D891" s="163" t="str">
        <f>IF(AND('Resource Planner'!$A$27="☑",37&lt;='Resource Planner'!$N$27),'Resource Planner'!$D$27,"")</f>
        <v/>
      </c>
      <c r="E891" s="163" t="str">
        <f>IF(AND('Resource Planner'!$A$27="☑",37&lt;='Resource Planner'!$N$27),'Resource Planner'!$E$27,"")</f>
        <v/>
      </c>
      <c r="F891" s="163" t="str">
        <f>IF(AND('Resource Planner'!$A$27="☑",37&lt;='Resource Planner'!$N$27),'Resource Planner'!$F$27&amp;" "&amp;('Resource Planner'!$G$27+(37-1)*'Resource Planner'!$I$27)&amp;IF(('Resource Planner'!$G$27+(37-1)*'Resource Planner'!$I$27)=MIN('Resource Planner'!$G$27+37*'Resource Planner'!$I$27-1,'Resource Planner'!$H$27),"","–"&amp;MIN('Resource Planner'!$G$27+37*'Resource Planner'!$I$27-1,'Resource Planner'!$H$27)),"")</f>
        <v/>
      </c>
      <c r="G891" s="163" t="s">
        <v>109</v>
      </c>
      <c r="H891" s="163" t="str">
        <f>IF(AND('Resource Planner'!$A$27="☑",37&lt;='Resource Planner'!$N$27),'Resource Planner'!$M$27,"")</f>
        <v/>
      </c>
    </row>
    <row r="892" ht="15.75" customHeight="1">
      <c r="A8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2" s="163" t="str">
        <f>IF(AND('Resource Planner'!$A$27="☑",38&lt;='Resource Planner'!$N$27),'Resource Planner'!$C$27,"")</f>
        <v/>
      </c>
      <c r="C892" s="163" t="str">
        <f>IF(AND('Resource Planner'!$A$27="☑",38&lt;='Resource Planner'!$N$27),'Resource Planner'!$B$27,"")</f>
        <v/>
      </c>
      <c r="D892" s="163" t="str">
        <f>IF(AND('Resource Planner'!$A$27="☑",38&lt;='Resource Planner'!$N$27),'Resource Planner'!$D$27,"")</f>
        <v/>
      </c>
      <c r="E892" s="163" t="str">
        <f>IF(AND('Resource Planner'!$A$27="☑",38&lt;='Resource Planner'!$N$27),'Resource Planner'!$E$27,"")</f>
        <v/>
      </c>
      <c r="F892" s="163" t="str">
        <f>IF(AND('Resource Planner'!$A$27="☑",38&lt;='Resource Planner'!$N$27),'Resource Planner'!$F$27&amp;" "&amp;('Resource Planner'!$G$27+(38-1)*'Resource Planner'!$I$27)&amp;IF(('Resource Planner'!$G$27+(38-1)*'Resource Planner'!$I$27)=MIN('Resource Planner'!$G$27+38*'Resource Planner'!$I$27-1,'Resource Planner'!$H$27),"","–"&amp;MIN('Resource Planner'!$G$27+38*'Resource Planner'!$I$27-1,'Resource Planner'!$H$27)),"")</f>
        <v/>
      </c>
      <c r="G892" s="163" t="s">
        <v>109</v>
      </c>
      <c r="H892" s="163" t="str">
        <f>IF(AND('Resource Planner'!$A$27="☑",38&lt;='Resource Planner'!$N$27),'Resource Planner'!$M$27,"")</f>
        <v/>
      </c>
    </row>
    <row r="893" ht="15.75" customHeight="1">
      <c r="A8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3" s="163" t="str">
        <f>IF(AND('Resource Planner'!$A$27="☑",39&lt;='Resource Planner'!$N$27),'Resource Planner'!$C$27,"")</f>
        <v/>
      </c>
      <c r="C893" s="163" t="str">
        <f>IF(AND('Resource Planner'!$A$27="☑",39&lt;='Resource Planner'!$N$27),'Resource Planner'!$B$27,"")</f>
        <v/>
      </c>
      <c r="D893" s="163" t="str">
        <f>IF(AND('Resource Planner'!$A$27="☑",39&lt;='Resource Planner'!$N$27),'Resource Planner'!$D$27,"")</f>
        <v/>
      </c>
      <c r="E893" s="163" t="str">
        <f>IF(AND('Resource Planner'!$A$27="☑",39&lt;='Resource Planner'!$N$27),'Resource Planner'!$E$27,"")</f>
        <v/>
      </c>
      <c r="F893" s="163" t="str">
        <f>IF(AND('Resource Planner'!$A$27="☑",39&lt;='Resource Planner'!$N$27),'Resource Planner'!$F$27&amp;" "&amp;('Resource Planner'!$G$27+(39-1)*'Resource Planner'!$I$27)&amp;IF(('Resource Planner'!$G$27+(39-1)*'Resource Planner'!$I$27)=MIN('Resource Planner'!$G$27+39*'Resource Planner'!$I$27-1,'Resource Planner'!$H$27),"","–"&amp;MIN('Resource Planner'!$G$27+39*'Resource Planner'!$I$27-1,'Resource Planner'!$H$27)),"")</f>
        <v/>
      </c>
      <c r="G893" s="163" t="s">
        <v>109</v>
      </c>
      <c r="H893" s="163" t="str">
        <f>IF(AND('Resource Planner'!$A$27="☑",39&lt;='Resource Planner'!$N$27),'Resource Planner'!$M$27,"")</f>
        <v/>
      </c>
    </row>
    <row r="894" ht="15.75" customHeight="1">
      <c r="A8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4" s="163" t="str">
        <f>IF(AND('Resource Planner'!$A$27="☑",40&lt;='Resource Planner'!$N$27),'Resource Planner'!$C$27,"")</f>
        <v/>
      </c>
      <c r="C894" s="163" t="str">
        <f>IF(AND('Resource Planner'!$A$27="☑",40&lt;='Resource Planner'!$N$27),'Resource Planner'!$B$27,"")</f>
        <v/>
      </c>
      <c r="D894" s="163" t="str">
        <f>IF(AND('Resource Planner'!$A$27="☑",40&lt;='Resource Planner'!$N$27),'Resource Planner'!$D$27,"")</f>
        <v/>
      </c>
      <c r="E894" s="163" t="str">
        <f>IF(AND('Resource Planner'!$A$27="☑",40&lt;='Resource Planner'!$N$27),'Resource Planner'!$E$27,"")</f>
        <v/>
      </c>
      <c r="F894" s="163" t="str">
        <f>IF(AND('Resource Planner'!$A$27="☑",40&lt;='Resource Planner'!$N$27),'Resource Planner'!$F$27&amp;" "&amp;('Resource Planner'!$G$27+(40-1)*'Resource Planner'!$I$27)&amp;IF(('Resource Planner'!$G$27+(40-1)*'Resource Planner'!$I$27)=MIN('Resource Planner'!$G$27+40*'Resource Planner'!$I$27-1,'Resource Planner'!$H$27),"","–"&amp;MIN('Resource Planner'!$G$27+40*'Resource Planner'!$I$27-1,'Resource Planner'!$H$27)),"")</f>
        <v/>
      </c>
      <c r="G894" s="163" t="s">
        <v>109</v>
      </c>
      <c r="H894" s="163" t="str">
        <f>IF(AND('Resource Planner'!$A$27="☑",40&lt;='Resource Planner'!$N$27),'Resource Planner'!$M$27,"")</f>
        <v/>
      </c>
    </row>
    <row r="895" ht="15.75" customHeight="1">
      <c r="A8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5" s="163" t="str">
        <f>IF(AND('Resource Planner'!$A$27="☑",41&lt;='Resource Planner'!$N$27),'Resource Planner'!$C$27,"")</f>
        <v/>
      </c>
      <c r="C895" s="163" t="str">
        <f>IF(AND('Resource Planner'!$A$27="☑",41&lt;='Resource Planner'!$N$27),'Resource Planner'!$B$27,"")</f>
        <v/>
      </c>
      <c r="D895" s="163" t="str">
        <f>IF(AND('Resource Planner'!$A$27="☑",41&lt;='Resource Planner'!$N$27),'Resource Planner'!$D$27,"")</f>
        <v/>
      </c>
      <c r="E895" s="163" t="str">
        <f>IF(AND('Resource Planner'!$A$27="☑",41&lt;='Resource Planner'!$N$27),'Resource Planner'!$E$27,"")</f>
        <v/>
      </c>
      <c r="F895" s="163" t="str">
        <f>IF(AND('Resource Planner'!$A$27="☑",41&lt;='Resource Planner'!$N$27),'Resource Planner'!$F$27&amp;" "&amp;('Resource Planner'!$G$27+(41-1)*'Resource Planner'!$I$27)&amp;IF(('Resource Planner'!$G$27+(41-1)*'Resource Planner'!$I$27)=MIN('Resource Planner'!$G$27+41*'Resource Planner'!$I$27-1,'Resource Planner'!$H$27),"","–"&amp;MIN('Resource Planner'!$G$27+41*'Resource Planner'!$I$27-1,'Resource Planner'!$H$27)),"")</f>
        <v/>
      </c>
      <c r="G895" s="163" t="s">
        <v>109</v>
      </c>
      <c r="H895" s="163" t="str">
        <f>IF(AND('Resource Planner'!$A$27="☑",41&lt;='Resource Planner'!$N$27),'Resource Planner'!$M$27,"")</f>
        <v/>
      </c>
    </row>
    <row r="896" ht="15.75" customHeight="1">
      <c r="A8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6" s="163" t="str">
        <f>IF(AND('Resource Planner'!$A$27="☑",42&lt;='Resource Planner'!$N$27),'Resource Planner'!$C$27,"")</f>
        <v/>
      </c>
      <c r="C896" s="163" t="str">
        <f>IF(AND('Resource Planner'!$A$27="☑",42&lt;='Resource Planner'!$N$27),'Resource Planner'!$B$27,"")</f>
        <v/>
      </c>
      <c r="D896" s="163" t="str">
        <f>IF(AND('Resource Planner'!$A$27="☑",42&lt;='Resource Planner'!$N$27),'Resource Planner'!$D$27,"")</f>
        <v/>
      </c>
      <c r="E896" s="163" t="str">
        <f>IF(AND('Resource Planner'!$A$27="☑",42&lt;='Resource Planner'!$N$27),'Resource Planner'!$E$27,"")</f>
        <v/>
      </c>
      <c r="F896" s="163" t="str">
        <f>IF(AND('Resource Planner'!$A$27="☑",42&lt;='Resource Planner'!$N$27),'Resource Planner'!$F$27&amp;" "&amp;('Resource Planner'!$G$27+(42-1)*'Resource Planner'!$I$27)&amp;IF(('Resource Planner'!$G$27+(42-1)*'Resource Planner'!$I$27)=MIN('Resource Planner'!$G$27+42*'Resource Planner'!$I$27-1,'Resource Planner'!$H$27),"","–"&amp;MIN('Resource Planner'!$G$27+42*'Resource Planner'!$I$27-1,'Resource Planner'!$H$27)),"")</f>
        <v/>
      </c>
      <c r="G896" s="163" t="s">
        <v>109</v>
      </c>
      <c r="H896" s="163" t="str">
        <f>IF(AND('Resource Planner'!$A$27="☑",42&lt;='Resource Planner'!$N$27),'Resource Planner'!$M$27,"")</f>
        <v/>
      </c>
    </row>
    <row r="897" ht="15.75" customHeight="1">
      <c r="A8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7" s="163" t="str">
        <f>IF(AND('Resource Planner'!$A$27="☑",43&lt;='Resource Planner'!$N$27),'Resource Planner'!$C$27,"")</f>
        <v/>
      </c>
      <c r="C897" s="163" t="str">
        <f>IF(AND('Resource Planner'!$A$27="☑",43&lt;='Resource Planner'!$N$27),'Resource Planner'!$B$27,"")</f>
        <v/>
      </c>
      <c r="D897" s="163" t="str">
        <f>IF(AND('Resource Planner'!$A$27="☑",43&lt;='Resource Planner'!$N$27),'Resource Planner'!$D$27,"")</f>
        <v/>
      </c>
      <c r="E897" s="163" t="str">
        <f>IF(AND('Resource Planner'!$A$27="☑",43&lt;='Resource Planner'!$N$27),'Resource Planner'!$E$27,"")</f>
        <v/>
      </c>
      <c r="F897" s="163" t="str">
        <f>IF(AND('Resource Planner'!$A$27="☑",43&lt;='Resource Planner'!$N$27),'Resource Planner'!$F$27&amp;" "&amp;('Resource Planner'!$G$27+(43-1)*'Resource Planner'!$I$27)&amp;IF(('Resource Planner'!$G$27+(43-1)*'Resource Planner'!$I$27)=MIN('Resource Planner'!$G$27+43*'Resource Planner'!$I$27-1,'Resource Planner'!$H$27),"","–"&amp;MIN('Resource Planner'!$G$27+43*'Resource Planner'!$I$27-1,'Resource Planner'!$H$27)),"")</f>
        <v/>
      </c>
      <c r="G897" s="163" t="s">
        <v>109</v>
      </c>
      <c r="H897" s="163" t="str">
        <f>IF(AND('Resource Planner'!$A$27="☑",43&lt;='Resource Planner'!$N$27),'Resource Planner'!$M$27,"")</f>
        <v/>
      </c>
    </row>
    <row r="898" ht="15.75" customHeight="1">
      <c r="A8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8" s="163" t="str">
        <f>IF(AND('Resource Planner'!$A$27="☑",44&lt;='Resource Planner'!$N$27),'Resource Planner'!$C$27,"")</f>
        <v/>
      </c>
      <c r="C898" s="163" t="str">
        <f>IF(AND('Resource Planner'!$A$27="☑",44&lt;='Resource Planner'!$N$27),'Resource Planner'!$B$27,"")</f>
        <v/>
      </c>
      <c r="D898" s="163" t="str">
        <f>IF(AND('Resource Planner'!$A$27="☑",44&lt;='Resource Planner'!$N$27),'Resource Planner'!$D$27,"")</f>
        <v/>
      </c>
      <c r="E898" s="163" t="str">
        <f>IF(AND('Resource Planner'!$A$27="☑",44&lt;='Resource Planner'!$N$27),'Resource Planner'!$E$27,"")</f>
        <v/>
      </c>
      <c r="F898" s="163" t="str">
        <f>IF(AND('Resource Planner'!$A$27="☑",44&lt;='Resource Planner'!$N$27),'Resource Planner'!$F$27&amp;" "&amp;('Resource Planner'!$G$27+(44-1)*'Resource Planner'!$I$27)&amp;IF(('Resource Planner'!$G$27+(44-1)*'Resource Planner'!$I$27)=MIN('Resource Planner'!$G$27+44*'Resource Planner'!$I$27-1,'Resource Planner'!$H$27),"","–"&amp;MIN('Resource Planner'!$G$27+44*'Resource Planner'!$I$27-1,'Resource Planner'!$H$27)),"")</f>
        <v/>
      </c>
      <c r="G898" s="163" t="s">
        <v>109</v>
      </c>
      <c r="H898" s="163" t="str">
        <f>IF(AND('Resource Planner'!$A$27="☑",44&lt;='Resource Planner'!$N$27),'Resource Planner'!$M$27,"")</f>
        <v/>
      </c>
    </row>
    <row r="899" ht="15.75" customHeight="1">
      <c r="A8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899" s="163" t="str">
        <f>IF(AND('Resource Planner'!$A$27="☑",45&lt;='Resource Planner'!$N$27),'Resource Planner'!$C$27,"")</f>
        <v/>
      </c>
      <c r="C899" s="163" t="str">
        <f>IF(AND('Resource Planner'!$A$27="☑",45&lt;='Resource Planner'!$N$27),'Resource Planner'!$B$27,"")</f>
        <v/>
      </c>
      <c r="D899" s="163" t="str">
        <f>IF(AND('Resource Planner'!$A$27="☑",45&lt;='Resource Planner'!$N$27),'Resource Planner'!$D$27,"")</f>
        <v/>
      </c>
      <c r="E899" s="163" t="str">
        <f>IF(AND('Resource Planner'!$A$27="☑",45&lt;='Resource Planner'!$N$27),'Resource Planner'!$E$27,"")</f>
        <v/>
      </c>
      <c r="F899" s="163" t="str">
        <f>IF(AND('Resource Planner'!$A$27="☑",45&lt;='Resource Planner'!$N$27),'Resource Planner'!$F$27&amp;" "&amp;('Resource Planner'!$G$27+(45-1)*'Resource Planner'!$I$27)&amp;IF(('Resource Planner'!$G$27+(45-1)*'Resource Planner'!$I$27)=MIN('Resource Planner'!$G$27+45*'Resource Planner'!$I$27-1,'Resource Planner'!$H$27),"","–"&amp;MIN('Resource Planner'!$G$27+45*'Resource Planner'!$I$27-1,'Resource Planner'!$H$27)),"")</f>
        <v/>
      </c>
      <c r="G899" s="163" t="s">
        <v>109</v>
      </c>
      <c r="H899" s="163" t="str">
        <f>IF(AND('Resource Planner'!$A$27="☑",45&lt;='Resource Planner'!$N$27),'Resource Planner'!$M$27,"")</f>
        <v/>
      </c>
    </row>
    <row r="900" ht="15.75" customHeight="1">
      <c r="A9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0" s="163" t="str">
        <f>IF(AND('Resource Planner'!$A$27="☑",46&lt;='Resource Planner'!$N$27),'Resource Planner'!$C$27,"")</f>
        <v/>
      </c>
      <c r="C900" s="163" t="str">
        <f>IF(AND('Resource Planner'!$A$27="☑",46&lt;='Resource Planner'!$N$27),'Resource Planner'!$B$27,"")</f>
        <v/>
      </c>
      <c r="D900" s="163" t="str">
        <f>IF(AND('Resource Planner'!$A$27="☑",46&lt;='Resource Planner'!$N$27),'Resource Planner'!$D$27,"")</f>
        <v/>
      </c>
      <c r="E900" s="163" t="str">
        <f>IF(AND('Resource Planner'!$A$27="☑",46&lt;='Resource Planner'!$N$27),'Resource Planner'!$E$27,"")</f>
        <v/>
      </c>
      <c r="F900" s="163" t="str">
        <f>IF(AND('Resource Planner'!$A$27="☑",46&lt;='Resource Planner'!$N$27),'Resource Planner'!$F$27&amp;" "&amp;('Resource Planner'!$G$27+(46-1)*'Resource Planner'!$I$27)&amp;IF(('Resource Planner'!$G$27+(46-1)*'Resource Planner'!$I$27)=MIN('Resource Planner'!$G$27+46*'Resource Planner'!$I$27-1,'Resource Planner'!$H$27),"","–"&amp;MIN('Resource Planner'!$G$27+46*'Resource Planner'!$I$27-1,'Resource Planner'!$H$27)),"")</f>
        <v/>
      </c>
      <c r="G900" s="163" t="s">
        <v>109</v>
      </c>
      <c r="H900" s="163" t="str">
        <f>IF(AND('Resource Planner'!$A$27="☑",46&lt;='Resource Planner'!$N$27),'Resource Planner'!$M$27,"")</f>
        <v/>
      </c>
    </row>
    <row r="901" ht="15.75" customHeight="1">
      <c r="A9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1" s="163" t="str">
        <f>IF(AND('Resource Planner'!$A$27="☑",47&lt;='Resource Planner'!$N$27),'Resource Planner'!$C$27,"")</f>
        <v/>
      </c>
      <c r="C901" s="163" t="str">
        <f>IF(AND('Resource Planner'!$A$27="☑",47&lt;='Resource Planner'!$N$27),'Resource Planner'!$B$27,"")</f>
        <v/>
      </c>
      <c r="D901" s="163" t="str">
        <f>IF(AND('Resource Planner'!$A$27="☑",47&lt;='Resource Planner'!$N$27),'Resource Planner'!$D$27,"")</f>
        <v/>
      </c>
      <c r="E901" s="163" t="str">
        <f>IF(AND('Resource Planner'!$A$27="☑",47&lt;='Resource Planner'!$N$27),'Resource Planner'!$E$27,"")</f>
        <v/>
      </c>
      <c r="F901" s="163" t="str">
        <f>IF(AND('Resource Planner'!$A$27="☑",47&lt;='Resource Planner'!$N$27),'Resource Planner'!$F$27&amp;" "&amp;('Resource Planner'!$G$27+(47-1)*'Resource Planner'!$I$27)&amp;IF(('Resource Planner'!$G$27+(47-1)*'Resource Planner'!$I$27)=MIN('Resource Planner'!$G$27+47*'Resource Planner'!$I$27-1,'Resource Planner'!$H$27),"","–"&amp;MIN('Resource Planner'!$G$27+47*'Resource Planner'!$I$27-1,'Resource Planner'!$H$27)),"")</f>
        <v/>
      </c>
      <c r="G901" s="163" t="s">
        <v>109</v>
      </c>
      <c r="H901" s="163" t="str">
        <f>IF(AND('Resource Planner'!$A$27="☑",47&lt;='Resource Planner'!$N$27),'Resource Planner'!$M$27,"")</f>
        <v/>
      </c>
    </row>
    <row r="902" ht="15.75" customHeight="1">
      <c r="A9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2" s="163" t="str">
        <f>IF(AND('Resource Planner'!$A$27="☑",48&lt;='Resource Planner'!$N$27),'Resource Planner'!$C$27,"")</f>
        <v/>
      </c>
      <c r="C902" s="163" t="str">
        <f>IF(AND('Resource Planner'!$A$27="☑",48&lt;='Resource Planner'!$N$27),'Resource Planner'!$B$27,"")</f>
        <v/>
      </c>
      <c r="D902" s="163" t="str">
        <f>IF(AND('Resource Planner'!$A$27="☑",48&lt;='Resource Planner'!$N$27),'Resource Planner'!$D$27,"")</f>
        <v/>
      </c>
      <c r="E902" s="163" t="str">
        <f>IF(AND('Resource Planner'!$A$27="☑",48&lt;='Resource Planner'!$N$27),'Resource Planner'!$E$27,"")</f>
        <v/>
      </c>
      <c r="F902" s="163" t="str">
        <f>IF(AND('Resource Planner'!$A$27="☑",48&lt;='Resource Planner'!$N$27),'Resource Planner'!$F$27&amp;" "&amp;('Resource Planner'!$G$27+(48-1)*'Resource Planner'!$I$27)&amp;IF(('Resource Planner'!$G$27+(48-1)*'Resource Planner'!$I$27)=MIN('Resource Planner'!$G$27+48*'Resource Planner'!$I$27-1,'Resource Planner'!$H$27),"","–"&amp;MIN('Resource Planner'!$G$27+48*'Resource Planner'!$I$27-1,'Resource Planner'!$H$27)),"")</f>
        <v/>
      </c>
      <c r="G902" s="163" t="s">
        <v>109</v>
      </c>
      <c r="H902" s="163" t="str">
        <f>IF(AND('Resource Planner'!$A$27="☑",48&lt;='Resource Planner'!$N$27),'Resource Planner'!$M$27,"")</f>
        <v/>
      </c>
    </row>
    <row r="903" ht="15.75" customHeight="1">
      <c r="A9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3" s="163" t="str">
        <f>IF(AND('Resource Planner'!$A$27="☑",49&lt;='Resource Planner'!$N$27),'Resource Planner'!$C$27,"")</f>
        <v/>
      </c>
      <c r="C903" s="163" t="str">
        <f>IF(AND('Resource Planner'!$A$27="☑",49&lt;='Resource Planner'!$N$27),'Resource Planner'!$B$27,"")</f>
        <v/>
      </c>
      <c r="D903" s="163" t="str">
        <f>IF(AND('Resource Planner'!$A$27="☑",49&lt;='Resource Planner'!$N$27),'Resource Planner'!$D$27,"")</f>
        <v/>
      </c>
      <c r="E903" s="163" t="str">
        <f>IF(AND('Resource Planner'!$A$27="☑",49&lt;='Resource Planner'!$N$27),'Resource Planner'!$E$27,"")</f>
        <v/>
      </c>
      <c r="F903" s="163" t="str">
        <f>IF(AND('Resource Planner'!$A$27="☑",49&lt;='Resource Planner'!$N$27),'Resource Planner'!$F$27&amp;" "&amp;('Resource Planner'!$G$27+(49-1)*'Resource Planner'!$I$27)&amp;IF(('Resource Planner'!$G$27+(49-1)*'Resource Planner'!$I$27)=MIN('Resource Planner'!$G$27+49*'Resource Planner'!$I$27-1,'Resource Planner'!$H$27),"","–"&amp;MIN('Resource Planner'!$G$27+49*'Resource Planner'!$I$27-1,'Resource Planner'!$H$27)),"")</f>
        <v/>
      </c>
      <c r="G903" s="163" t="s">
        <v>109</v>
      </c>
      <c r="H903" s="163" t="str">
        <f>IF(AND('Resource Planner'!$A$27="☑",49&lt;='Resource Planner'!$N$27),'Resource Planner'!$M$27,"")</f>
        <v/>
      </c>
    </row>
    <row r="904" ht="15.75" customHeight="1">
      <c r="A9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4" s="163" t="str">
        <f>IF(AND('Resource Planner'!$A$27="☑",50&lt;='Resource Planner'!$N$27),'Resource Planner'!$C$27,"")</f>
        <v/>
      </c>
      <c r="C904" s="163" t="str">
        <f>IF(AND('Resource Planner'!$A$27="☑",50&lt;='Resource Planner'!$N$27),'Resource Planner'!$B$27,"")</f>
        <v/>
      </c>
      <c r="D904" s="163" t="str">
        <f>IF(AND('Resource Planner'!$A$27="☑",50&lt;='Resource Planner'!$N$27),'Resource Planner'!$D$27,"")</f>
        <v/>
      </c>
      <c r="E904" s="163" t="str">
        <f>IF(AND('Resource Planner'!$A$27="☑",50&lt;='Resource Planner'!$N$27),'Resource Planner'!$E$27,"")</f>
        <v/>
      </c>
      <c r="F904" s="163" t="str">
        <f>IF(AND('Resource Planner'!$A$27="☑",50&lt;='Resource Planner'!$N$27),'Resource Planner'!$F$27&amp;" "&amp;('Resource Planner'!$G$27+(50-1)*'Resource Planner'!$I$27)&amp;IF(('Resource Planner'!$G$27+(50-1)*'Resource Planner'!$I$27)=MIN('Resource Planner'!$G$27+50*'Resource Planner'!$I$27-1,'Resource Planner'!$H$27),"","–"&amp;MIN('Resource Planner'!$G$27+50*'Resource Planner'!$I$27-1,'Resource Planner'!$H$27)),"")</f>
        <v/>
      </c>
      <c r="G904" s="163" t="s">
        <v>109</v>
      </c>
      <c r="H904" s="163" t="str">
        <f>IF(AND('Resource Planner'!$A$27="☑",50&lt;='Resource Planner'!$N$27),'Resource Planner'!$M$27,"")</f>
        <v/>
      </c>
    </row>
    <row r="905" ht="15.75" customHeight="1">
      <c r="A9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5" s="163" t="str">
        <f>IF(AND('Resource Planner'!$A$28="☑",1&lt;='Resource Planner'!$N$28),'Resource Planner'!$C$28,"")</f>
        <v/>
      </c>
      <c r="C905" s="163" t="str">
        <f>IF(AND('Resource Planner'!$A$28="☑",1&lt;='Resource Planner'!$N$28),'Resource Planner'!$B$28,"")</f>
        <v/>
      </c>
      <c r="D905" s="163" t="str">
        <f>IF(AND('Resource Planner'!$A$28="☑",1&lt;='Resource Planner'!$N$28),'Resource Planner'!$D$28,"")</f>
        <v/>
      </c>
      <c r="E905" s="163" t="str">
        <f>IF(AND('Resource Planner'!$A$28="☑",1&lt;='Resource Planner'!$N$28),'Resource Planner'!$E$28,"")</f>
        <v/>
      </c>
      <c r="F905" s="163" t="str">
        <f>IF(AND('Resource Planner'!$A$28="☑",1&lt;='Resource Planner'!$N$28),'Resource Planner'!$F$28&amp;" "&amp;('Resource Planner'!$G$28+(1-1)*'Resource Planner'!$I$28)&amp;IF(('Resource Planner'!$G$28+(1-1)*'Resource Planner'!$I$28)=MIN('Resource Planner'!$G$28+1*'Resource Planner'!$I$28-1,'Resource Planner'!$H$28),"","–"&amp;MIN('Resource Planner'!$G$28+1*'Resource Planner'!$I$28-1,'Resource Planner'!$H$28)),"")</f>
        <v/>
      </c>
      <c r="G905" s="163" t="s">
        <v>109</v>
      </c>
      <c r="H905" s="163" t="str">
        <f>IF(AND('Resource Planner'!$A$28="☑",1&lt;='Resource Planner'!$N$28),'Resource Planner'!$M$28,"")</f>
        <v/>
      </c>
    </row>
    <row r="906" ht="15.75" customHeight="1">
      <c r="A9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6" s="163" t="str">
        <f>IF(AND('Resource Planner'!$A$28="☑",2&lt;='Resource Planner'!$N$28),'Resource Planner'!$C$28,"")</f>
        <v/>
      </c>
      <c r="C906" s="163" t="str">
        <f>IF(AND('Resource Planner'!$A$28="☑",2&lt;='Resource Planner'!$N$28),'Resource Planner'!$B$28,"")</f>
        <v/>
      </c>
      <c r="D906" s="163" t="str">
        <f>IF(AND('Resource Planner'!$A$28="☑",2&lt;='Resource Planner'!$N$28),'Resource Planner'!$D$28,"")</f>
        <v/>
      </c>
      <c r="E906" s="163" t="str">
        <f>IF(AND('Resource Planner'!$A$28="☑",2&lt;='Resource Planner'!$N$28),'Resource Planner'!$E$28,"")</f>
        <v/>
      </c>
      <c r="F906" s="163" t="str">
        <f>IF(AND('Resource Planner'!$A$28="☑",2&lt;='Resource Planner'!$N$28),'Resource Planner'!$F$28&amp;" "&amp;('Resource Planner'!$G$28+(2-1)*'Resource Planner'!$I$28)&amp;IF(('Resource Planner'!$G$28+(2-1)*'Resource Planner'!$I$28)=MIN('Resource Planner'!$G$28+2*'Resource Planner'!$I$28-1,'Resource Planner'!$H$28),"","–"&amp;MIN('Resource Planner'!$G$28+2*'Resource Planner'!$I$28-1,'Resource Planner'!$H$28)),"")</f>
        <v/>
      </c>
      <c r="G906" s="163" t="s">
        <v>109</v>
      </c>
      <c r="H906" s="163" t="str">
        <f>IF(AND('Resource Planner'!$A$28="☑",2&lt;='Resource Planner'!$N$28),'Resource Planner'!$M$28,"")</f>
        <v/>
      </c>
    </row>
    <row r="907" ht="15.75" customHeight="1">
      <c r="A9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7" s="163" t="str">
        <f>IF(AND('Resource Planner'!$A$28="☑",3&lt;='Resource Planner'!$N$28),'Resource Planner'!$C$28,"")</f>
        <v/>
      </c>
      <c r="C907" s="163" t="str">
        <f>IF(AND('Resource Planner'!$A$28="☑",3&lt;='Resource Planner'!$N$28),'Resource Planner'!$B$28,"")</f>
        <v/>
      </c>
      <c r="D907" s="163" t="str">
        <f>IF(AND('Resource Planner'!$A$28="☑",3&lt;='Resource Planner'!$N$28),'Resource Planner'!$D$28,"")</f>
        <v/>
      </c>
      <c r="E907" s="163" t="str">
        <f>IF(AND('Resource Planner'!$A$28="☑",3&lt;='Resource Planner'!$N$28),'Resource Planner'!$E$28,"")</f>
        <v/>
      </c>
      <c r="F907" s="163" t="str">
        <f>IF(AND('Resource Planner'!$A$28="☑",3&lt;='Resource Planner'!$N$28),'Resource Planner'!$F$28&amp;" "&amp;('Resource Planner'!$G$28+(3-1)*'Resource Planner'!$I$28)&amp;IF(('Resource Planner'!$G$28+(3-1)*'Resource Planner'!$I$28)=MIN('Resource Planner'!$G$28+3*'Resource Planner'!$I$28-1,'Resource Planner'!$H$28),"","–"&amp;MIN('Resource Planner'!$G$28+3*'Resource Planner'!$I$28-1,'Resource Planner'!$H$28)),"")</f>
        <v/>
      </c>
      <c r="G907" s="163" t="s">
        <v>109</v>
      </c>
      <c r="H907" s="163" t="str">
        <f>IF(AND('Resource Planner'!$A$28="☑",3&lt;='Resource Planner'!$N$28),'Resource Planner'!$M$28,"")</f>
        <v/>
      </c>
    </row>
    <row r="908" ht="15.75" customHeight="1">
      <c r="A9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8" s="163" t="str">
        <f>IF(AND('Resource Planner'!$A$28="☑",4&lt;='Resource Planner'!$N$28),'Resource Planner'!$C$28,"")</f>
        <v/>
      </c>
      <c r="C908" s="163" t="str">
        <f>IF(AND('Resource Planner'!$A$28="☑",4&lt;='Resource Planner'!$N$28),'Resource Planner'!$B$28,"")</f>
        <v/>
      </c>
      <c r="D908" s="163" t="str">
        <f>IF(AND('Resource Planner'!$A$28="☑",4&lt;='Resource Planner'!$N$28),'Resource Planner'!$D$28,"")</f>
        <v/>
      </c>
      <c r="E908" s="163" t="str">
        <f>IF(AND('Resource Planner'!$A$28="☑",4&lt;='Resource Planner'!$N$28),'Resource Planner'!$E$28,"")</f>
        <v/>
      </c>
      <c r="F908" s="163" t="str">
        <f>IF(AND('Resource Planner'!$A$28="☑",4&lt;='Resource Planner'!$N$28),'Resource Planner'!$F$28&amp;" "&amp;('Resource Planner'!$G$28+(4-1)*'Resource Planner'!$I$28)&amp;IF(('Resource Planner'!$G$28+(4-1)*'Resource Planner'!$I$28)=MIN('Resource Planner'!$G$28+4*'Resource Planner'!$I$28-1,'Resource Planner'!$H$28),"","–"&amp;MIN('Resource Planner'!$G$28+4*'Resource Planner'!$I$28-1,'Resource Planner'!$H$28)),"")</f>
        <v/>
      </c>
      <c r="G908" s="163" t="s">
        <v>109</v>
      </c>
      <c r="H908" s="163" t="str">
        <f>IF(AND('Resource Planner'!$A$28="☑",4&lt;='Resource Planner'!$N$28),'Resource Planner'!$M$28,"")</f>
        <v/>
      </c>
    </row>
    <row r="909" ht="15.75" customHeight="1">
      <c r="A9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09" s="163" t="str">
        <f>IF(AND('Resource Planner'!$A$28="☑",5&lt;='Resource Planner'!$N$28),'Resource Planner'!$C$28,"")</f>
        <v/>
      </c>
      <c r="C909" s="163" t="str">
        <f>IF(AND('Resource Planner'!$A$28="☑",5&lt;='Resource Planner'!$N$28),'Resource Planner'!$B$28,"")</f>
        <v/>
      </c>
      <c r="D909" s="163" t="str">
        <f>IF(AND('Resource Planner'!$A$28="☑",5&lt;='Resource Planner'!$N$28),'Resource Planner'!$D$28,"")</f>
        <v/>
      </c>
      <c r="E909" s="163" t="str">
        <f>IF(AND('Resource Planner'!$A$28="☑",5&lt;='Resource Planner'!$N$28),'Resource Planner'!$E$28,"")</f>
        <v/>
      </c>
      <c r="F909" s="163" t="str">
        <f>IF(AND('Resource Planner'!$A$28="☑",5&lt;='Resource Planner'!$N$28),'Resource Planner'!$F$28&amp;" "&amp;('Resource Planner'!$G$28+(5-1)*'Resource Planner'!$I$28)&amp;IF(('Resource Planner'!$G$28+(5-1)*'Resource Planner'!$I$28)=MIN('Resource Planner'!$G$28+5*'Resource Planner'!$I$28-1,'Resource Planner'!$H$28),"","–"&amp;MIN('Resource Planner'!$G$28+5*'Resource Planner'!$I$28-1,'Resource Planner'!$H$28)),"")</f>
        <v/>
      </c>
      <c r="G909" s="163" t="s">
        <v>109</v>
      </c>
      <c r="H909" s="163" t="str">
        <f>IF(AND('Resource Planner'!$A$28="☑",5&lt;='Resource Planner'!$N$28),'Resource Planner'!$M$28,"")</f>
        <v/>
      </c>
    </row>
    <row r="910" ht="15.75" customHeight="1">
      <c r="A9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0" s="163" t="str">
        <f>IF(AND('Resource Planner'!$A$28="☑",6&lt;='Resource Planner'!$N$28),'Resource Planner'!$C$28,"")</f>
        <v/>
      </c>
      <c r="C910" s="163" t="str">
        <f>IF(AND('Resource Planner'!$A$28="☑",6&lt;='Resource Planner'!$N$28),'Resource Planner'!$B$28,"")</f>
        <v/>
      </c>
      <c r="D910" s="163" t="str">
        <f>IF(AND('Resource Planner'!$A$28="☑",6&lt;='Resource Planner'!$N$28),'Resource Planner'!$D$28,"")</f>
        <v/>
      </c>
      <c r="E910" s="163" t="str">
        <f>IF(AND('Resource Planner'!$A$28="☑",6&lt;='Resource Planner'!$N$28),'Resource Planner'!$E$28,"")</f>
        <v/>
      </c>
      <c r="F910" s="163" t="str">
        <f>IF(AND('Resource Planner'!$A$28="☑",6&lt;='Resource Planner'!$N$28),'Resource Planner'!$F$28&amp;" "&amp;('Resource Planner'!$G$28+(6-1)*'Resource Planner'!$I$28)&amp;IF(('Resource Planner'!$G$28+(6-1)*'Resource Planner'!$I$28)=MIN('Resource Planner'!$G$28+6*'Resource Planner'!$I$28-1,'Resource Planner'!$H$28),"","–"&amp;MIN('Resource Planner'!$G$28+6*'Resource Planner'!$I$28-1,'Resource Planner'!$H$28)),"")</f>
        <v/>
      </c>
      <c r="G910" s="163" t="s">
        <v>109</v>
      </c>
      <c r="H910" s="163" t="str">
        <f>IF(AND('Resource Planner'!$A$28="☑",6&lt;='Resource Planner'!$N$28),'Resource Planner'!$M$28,"")</f>
        <v/>
      </c>
    </row>
    <row r="911" ht="15.75" customHeight="1">
      <c r="A9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1" s="163" t="str">
        <f>IF(AND('Resource Planner'!$A$28="☑",7&lt;='Resource Planner'!$N$28),'Resource Planner'!$C$28,"")</f>
        <v/>
      </c>
      <c r="C911" s="163" t="str">
        <f>IF(AND('Resource Planner'!$A$28="☑",7&lt;='Resource Planner'!$N$28),'Resource Planner'!$B$28,"")</f>
        <v/>
      </c>
      <c r="D911" s="163" t="str">
        <f>IF(AND('Resource Planner'!$A$28="☑",7&lt;='Resource Planner'!$N$28),'Resource Planner'!$D$28,"")</f>
        <v/>
      </c>
      <c r="E911" s="163" t="str">
        <f>IF(AND('Resource Planner'!$A$28="☑",7&lt;='Resource Planner'!$N$28),'Resource Planner'!$E$28,"")</f>
        <v/>
      </c>
      <c r="F911" s="163" t="str">
        <f>IF(AND('Resource Planner'!$A$28="☑",7&lt;='Resource Planner'!$N$28),'Resource Planner'!$F$28&amp;" "&amp;('Resource Planner'!$G$28+(7-1)*'Resource Planner'!$I$28)&amp;IF(('Resource Planner'!$G$28+(7-1)*'Resource Planner'!$I$28)=MIN('Resource Planner'!$G$28+7*'Resource Planner'!$I$28-1,'Resource Planner'!$H$28),"","–"&amp;MIN('Resource Planner'!$G$28+7*'Resource Planner'!$I$28-1,'Resource Planner'!$H$28)),"")</f>
        <v/>
      </c>
      <c r="G911" s="163" t="s">
        <v>109</v>
      </c>
      <c r="H911" s="163" t="str">
        <f>IF(AND('Resource Planner'!$A$28="☑",7&lt;='Resource Planner'!$N$28),'Resource Planner'!$M$28,"")</f>
        <v/>
      </c>
    </row>
    <row r="912" ht="15.75" customHeight="1">
      <c r="A9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2" s="163" t="str">
        <f>IF(AND('Resource Planner'!$A$28="☑",8&lt;='Resource Planner'!$N$28),'Resource Planner'!$C$28,"")</f>
        <v/>
      </c>
      <c r="C912" s="163" t="str">
        <f>IF(AND('Resource Planner'!$A$28="☑",8&lt;='Resource Planner'!$N$28),'Resource Planner'!$B$28,"")</f>
        <v/>
      </c>
      <c r="D912" s="163" t="str">
        <f>IF(AND('Resource Planner'!$A$28="☑",8&lt;='Resource Planner'!$N$28),'Resource Planner'!$D$28,"")</f>
        <v/>
      </c>
      <c r="E912" s="163" t="str">
        <f>IF(AND('Resource Planner'!$A$28="☑",8&lt;='Resource Planner'!$N$28),'Resource Planner'!$E$28,"")</f>
        <v/>
      </c>
      <c r="F912" s="163" t="str">
        <f>IF(AND('Resource Planner'!$A$28="☑",8&lt;='Resource Planner'!$N$28),'Resource Planner'!$F$28&amp;" "&amp;('Resource Planner'!$G$28+(8-1)*'Resource Planner'!$I$28)&amp;IF(('Resource Planner'!$G$28+(8-1)*'Resource Planner'!$I$28)=MIN('Resource Planner'!$G$28+8*'Resource Planner'!$I$28-1,'Resource Planner'!$H$28),"","–"&amp;MIN('Resource Planner'!$G$28+8*'Resource Planner'!$I$28-1,'Resource Planner'!$H$28)),"")</f>
        <v/>
      </c>
      <c r="G912" s="163" t="s">
        <v>109</v>
      </c>
      <c r="H912" s="163" t="str">
        <f>IF(AND('Resource Planner'!$A$28="☑",8&lt;='Resource Planner'!$N$28),'Resource Planner'!$M$28,"")</f>
        <v/>
      </c>
    </row>
    <row r="913" ht="15.75" customHeight="1">
      <c r="A9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3" s="163" t="str">
        <f>IF(AND('Resource Planner'!$A$28="☑",9&lt;='Resource Planner'!$N$28),'Resource Planner'!$C$28,"")</f>
        <v/>
      </c>
      <c r="C913" s="163" t="str">
        <f>IF(AND('Resource Planner'!$A$28="☑",9&lt;='Resource Planner'!$N$28),'Resource Planner'!$B$28,"")</f>
        <v/>
      </c>
      <c r="D913" s="163" t="str">
        <f>IF(AND('Resource Planner'!$A$28="☑",9&lt;='Resource Planner'!$N$28),'Resource Planner'!$D$28,"")</f>
        <v/>
      </c>
      <c r="E913" s="163" t="str">
        <f>IF(AND('Resource Planner'!$A$28="☑",9&lt;='Resource Planner'!$N$28),'Resource Planner'!$E$28,"")</f>
        <v/>
      </c>
      <c r="F913" s="163" t="str">
        <f>IF(AND('Resource Planner'!$A$28="☑",9&lt;='Resource Planner'!$N$28),'Resource Planner'!$F$28&amp;" "&amp;('Resource Planner'!$G$28+(9-1)*'Resource Planner'!$I$28)&amp;IF(('Resource Planner'!$G$28+(9-1)*'Resource Planner'!$I$28)=MIN('Resource Planner'!$G$28+9*'Resource Planner'!$I$28-1,'Resource Planner'!$H$28),"","–"&amp;MIN('Resource Planner'!$G$28+9*'Resource Planner'!$I$28-1,'Resource Planner'!$H$28)),"")</f>
        <v/>
      </c>
      <c r="G913" s="163" t="s">
        <v>109</v>
      </c>
      <c r="H913" s="163" t="str">
        <f>IF(AND('Resource Planner'!$A$28="☑",9&lt;='Resource Planner'!$N$28),'Resource Planner'!$M$28,"")</f>
        <v/>
      </c>
    </row>
    <row r="914" ht="15.75" customHeight="1">
      <c r="A9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4" s="163" t="str">
        <f>IF(AND('Resource Planner'!$A$28="☑",10&lt;='Resource Planner'!$N$28),'Resource Planner'!$C$28,"")</f>
        <v/>
      </c>
      <c r="C914" s="163" t="str">
        <f>IF(AND('Resource Planner'!$A$28="☑",10&lt;='Resource Planner'!$N$28),'Resource Planner'!$B$28,"")</f>
        <v/>
      </c>
      <c r="D914" s="163" t="str">
        <f>IF(AND('Resource Planner'!$A$28="☑",10&lt;='Resource Planner'!$N$28),'Resource Planner'!$D$28,"")</f>
        <v/>
      </c>
      <c r="E914" s="163" t="str">
        <f>IF(AND('Resource Planner'!$A$28="☑",10&lt;='Resource Planner'!$N$28),'Resource Planner'!$E$28,"")</f>
        <v/>
      </c>
      <c r="F914" s="163" t="str">
        <f>IF(AND('Resource Planner'!$A$28="☑",10&lt;='Resource Planner'!$N$28),'Resource Planner'!$F$28&amp;" "&amp;('Resource Planner'!$G$28+(10-1)*'Resource Planner'!$I$28)&amp;IF(('Resource Planner'!$G$28+(10-1)*'Resource Planner'!$I$28)=MIN('Resource Planner'!$G$28+10*'Resource Planner'!$I$28-1,'Resource Planner'!$H$28),"","–"&amp;MIN('Resource Planner'!$G$28+10*'Resource Planner'!$I$28-1,'Resource Planner'!$H$28)),"")</f>
        <v/>
      </c>
      <c r="G914" s="163" t="s">
        <v>109</v>
      </c>
      <c r="H914" s="163" t="str">
        <f>IF(AND('Resource Planner'!$A$28="☑",10&lt;='Resource Planner'!$N$28),'Resource Planner'!$M$28,"")</f>
        <v/>
      </c>
    </row>
    <row r="915" ht="15.75" customHeight="1">
      <c r="A9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5" s="163" t="str">
        <f>IF(AND('Resource Planner'!$A$28="☑",11&lt;='Resource Planner'!$N$28),'Resource Planner'!$C$28,"")</f>
        <v/>
      </c>
      <c r="C915" s="163" t="str">
        <f>IF(AND('Resource Planner'!$A$28="☑",11&lt;='Resource Planner'!$N$28),'Resource Planner'!$B$28,"")</f>
        <v/>
      </c>
      <c r="D915" s="163" t="str">
        <f>IF(AND('Resource Planner'!$A$28="☑",11&lt;='Resource Planner'!$N$28),'Resource Planner'!$D$28,"")</f>
        <v/>
      </c>
      <c r="E915" s="163" t="str">
        <f>IF(AND('Resource Planner'!$A$28="☑",11&lt;='Resource Planner'!$N$28),'Resource Planner'!$E$28,"")</f>
        <v/>
      </c>
      <c r="F915" s="163" t="str">
        <f>IF(AND('Resource Planner'!$A$28="☑",11&lt;='Resource Planner'!$N$28),'Resource Planner'!$F$28&amp;" "&amp;('Resource Planner'!$G$28+(11-1)*'Resource Planner'!$I$28)&amp;IF(('Resource Planner'!$G$28+(11-1)*'Resource Planner'!$I$28)=MIN('Resource Planner'!$G$28+11*'Resource Planner'!$I$28-1,'Resource Planner'!$H$28),"","–"&amp;MIN('Resource Planner'!$G$28+11*'Resource Planner'!$I$28-1,'Resource Planner'!$H$28)),"")</f>
        <v/>
      </c>
      <c r="G915" s="163" t="s">
        <v>109</v>
      </c>
      <c r="H915" s="163" t="str">
        <f>IF(AND('Resource Planner'!$A$28="☑",11&lt;='Resource Planner'!$N$28),'Resource Planner'!$M$28,"")</f>
        <v/>
      </c>
    </row>
    <row r="916" ht="15.75" customHeight="1">
      <c r="A9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6" s="163" t="str">
        <f>IF(AND('Resource Planner'!$A$28="☑",12&lt;='Resource Planner'!$N$28),'Resource Planner'!$C$28,"")</f>
        <v/>
      </c>
      <c r="C916" s="163" t="str">
        <f>IF(AND('Resource Planner'!$A$28="☑",12&lt;='Resource Planner'!$N$28),'Resource Planner'!$B$28,"")</f>
        <v/>
      </c>
      <c r="D916" s="163" t="str">
        <f>IF(AND('Resource Planner'!$A$28="☑",12&lt;='Resource Planner'!$N$28),'Resource Planner'!$D$28,"")</f>
        <v/>
      </c>
      <c r="E916" s="163" t="str">
        <f>IF(AND('Resource Planner'!$A$28="☑",12&lt;='Resource Planner'!$N$28),'Resource Planner'!$E$28,"")</f>
        <v/>
      </c>
      <c r="F916" s="163" t="str">
        <f>IF(AND('Resource Planner'!$A$28="☑",12&lt;='Resource Planner'!$N$28),'Resource Planner'!$F$28&amp;" "&amp;('Resource Planner'!$G$28+(12-1)*'Resource Planner'!$I$28)&amp;IF(('Resource Planner'!$G$28+(12-1)*'Resource Planner'!$I$28)=MIN('Resource Planner'!$G$28+12*'Resource Planner'!$I$28-1,'Resource Planner'!$H$28),"","–"&amp;MIN('Resource Planner'!$G$28+12*'Resource Planner'!$I$28-1,'Resource Planner'!$H$28)),"")</f>
        <v/>
      </c>
      <c r="G916" s="163" t="s">
        <v>109</v>
      </c>
      <c r="H916" s="163" t="str">
        <f>IF(AND('Resource Planner'!$A$28="☑",12&lt;='Resource Planner'!$N$28),'Resource Planner'!$M$28,"")</f>
        <v/>
      </c>
    </row>
    <row r="917" ht="15.75" customHeight="1">
      <c r="A9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7" s="163" t="str">
        <f>IF(AND('Resource Planner'!$A$28="☑",13&lt;='Resource Planner'!$N$28),'Resource Planner'!$C$28,"")</f>
        <v/>
      </c>
      <c r="C917" s="163" t="str">
        <f>IF(AND('Resource Planner'!$A$28="☑",13&lt;='Resource Planner'!$N$28),'Resource Planner'!$B$28,"")</f>
        <v/>
      </c>
      <c r="D917" s="163" t="str">
        <f>IF(AND('Resource Planner'!$A$28="☑",13&lt;='Resource Planner'!$N$28),'Resource Planner'!$D$28,"")</f>
        <v/>
      </c>
      <c r="E917" s="163" t="str">
        <f>IF(AND('Resource Planner'!$A$28="☑",13&lt;='Resource Planner'!$N$28),'Resource Planner'!$E$28,"")</f>
        <v/>
      </c>
      <c r="F917" s="163" t="str">
        <f>IF(AND('Resource Planner'!$A$28="☑",13&lt;='Resource Planner'!$N$28),'Resource Planner'!$F$28&amp;" "&amp;('Resource Planner'!$G$28+(13-1)*'Resource Planner'!$I$28)&amp;IF(('Resource Planner'!$G$28+(13-1)*'Resource Planner'!$I$28)=MIN('Resource Planner'!$G$28+13*'Resource Planner'!$I$28-1,'Resource Planner'!$H$28),"","–"&amp;MIN('Resource Planner'!$G$28+13*'Resource Planner'!$I$28-1,'Resource Planner'!$H$28)),"")</f>
        <v/>
      </c>
      <c r="G917" s="163" t="s">
        <v>109</v>
      </c>
      <c r="H917" s="163" t="str">
        <f>IF(AND('Resource Planner'!$A$28="☑",13&lt;='Resource Planner'!$N$28),'Resource Planner'!$M$28,"")</f>
        <v/>
      </c>
    </row>
    <row r="918" ht="15.75" customHeight="1">
      <c r="A9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8" s="163" t="str">
        <f>IF(AND('Resource Planner'!$A$28="☑",14&lt;='Resource Planner'!$N$28),'Resource Planner'!$C$28,"")</f>
        <v/>
      </c>
      <c r="C918" s="163" t="str">
        <f>IF(AND('Resource Planner'!$A$28="☑",14&lt;='Resource Planner'!$N$28),'Resource Planner'!$B$28,"")</f>
        <v/>
      </c>
      <c r="D918" s="163" t="str">
        <f>IF(AND('Resource Planner'!$A$28="☑",14&lt;='Resource Planner'!$N$28),'Resource Planner'!$D$28,"")</f>
        <v/>
      </c>
      <c r="E918" s="163" t="str">
        <f>IF(AND('Resource Planner'!$A$28="☑",14&lt;='Resource Planner'!$N$28),'Resource Planner'!$E$28,"")</f>
        <v/>
      </c>
      <c r="F918" s="163" t="str">
        <f>IF(AND('Resource Planner'!$A$28="☑",14&lt;='Resource Planner'!$N$28),'Resource Planner'!$F$28&amp;" "&amp;('Resource Planner'!$G$28+(14-1)*'Resource Planner'!$I$28)&amp;IF(('Resource Planner'!$G$28+(14-1)*'Resource Planner'!$I$28)=MIN('Resource Planner'!$G$28+14*'Resource Planner'!$I$28-1,'Resource Planner'!$H$28),"","–"&amp;MIN('Resource Planner'!$G$28+14*'Resource Planner'!$I$28-1,'Resource Planner'!$H$28)),"")</f>
        <v/>
      </c>
      <c r="G918" s="163" t="s">
        <v>109</v>
      </c>
      <c r="H918" s="163" t="str">
        <f>IF(AND('Resource Planner'!$A$28="☑",14&lt;='Resource Planner'!$N$28),'Resource Planner'!$M$28,"")</f>
        <v/>
      </c>
    </row>
    <row r="919" ht="15.75" customHeight="1">
      <c r="A9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19" s="163" t="str">
        <f>IF(AND('Resource Planner'!$A$28="☑",15&lt;='Resource Planner'!$N$28),'Resource Planner'!$C$28,"")</f>
        <v/>
      </c>
      <c r="C919" s="163" t="str">
        <f>IF(AND('Resource Planner'!$A$28="☑",15&lt;='Resource Planner'!$N$28),'Resource Planner'!$B$28,"")</f>
        <v/>
      </c>
      <c r="D919" s="163" t="str">
        <f>IF(AND('Resource Planner'!$A$28="☑",15&lt;='Resource Planner'!$N$28),'Resource Planner'!$D$28,"")</f>
        <v/>
      </c>
      <c r="E919" s="163" t="str">
        <f>IF(AND('Resource Planner'!$A$28="☑",15&lt;='Resource Planner'!$N$28),'Resource Planner'!$E$28,"")</f>
        <v/>
      </c>
      <c r="F919" s="163" t="str">
        <f>IF(AND('Resource Planner'!$A$28="☑",15&lt;='Resource Planner'!$N$28),'Resource Planner'!$F$28&amp;" "&amp;('Resource Planner'!$G$28+(15-1)*'Resource Planner'!$I$28)&amp;IF(('Resource Planner'!$G$28+(15-1)*'Resource Planner'!$I$28)=MIN('Resource Planner'!$G$28+15*'Resource Planner'!$I$28-1,'Resource Planner'!$H$28),"","–"&amp;MIN('Resource Planner'!$G$28+15*'Resource Planner'!$I$28-1,'Resource Planner'!$H$28)),"")</f>
        <v/>
      </c>
      <c r="G919" s="163" t="s">
        <v>109</v>
      </c>
      <c r="H919" s="163" t="str">
        <f>IF(AND('Resource Planner'!$A$28="☑",15&lt;='Resource Planner'!$N$28),'Resource Planner'!$M$28,"")</f>
        <v/>
      </c>
    </row>
    <row r="920" ht="15.75" customHeight="1">
      <c r="A9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0" s="163" t="str">
        <f>IF(AND('Resource Planner'!$A$28="☑",16&lt;='Resource Planner'!$N$28),'Resource Planner'!$C$28,"")</f>
        <v/>
      </c>
      <c r="C920" s="163" t="str">
        <f>IF(AND('Resource Planner'!$A$28="☑",16&lt;='Resource Planner'!$N$28),'Resource Planner'!$B$28,"")</f>
        <v/>
      </c>
      <c r="D920" s="163" t="str">
        <f>IF(AND('Resource Planner'!$A$28="☑",16&lt;='Resource Planner'!$N$28),'Resource Planner'!$D$28,"")</f>
        <v/>
      </c>
      <c r="E920" s="163" t="str">
        <f>IF(AND('Resource Planner'!$A$28="☑",16&lt;='Resource Planner'!$N$28),'Resource Planner'!$E$28,"")</f>
        <v/>
      </c>
      <c r="F920" s="163" t="str">
        <f>IF(AND('Resource Planner'!$A$28="☑",16&lt;='Resource Planner'!$N$28),'Resource Planner'!$F$28&amp;" "&amp;('Resource Planner'!$G$28+(16-1)*'Resource Planner'!$I$28)&amp;IF(('Resource Planner'!$G$28+(16-1)*'Resource Planner'!$I$28)=MIN('Resource Planner'!$G$28+16*'Resource Planner'!$I$28-1,'Resource Planner'!$H$28),"","–"&amp;MIN('Resource Planner'!$G$28+16*'Resource Planner'!$I$28-1,'Resource Planner'!$H$28)),"")</f>
        <v/>
      </c>
      <c r="G920" s="163" t="s">
        <v>109</v>
      </c>
      <c r="H920" s="163" t="str">
        <f>IF(AND('Resource Planner'!$A$28="☑",16&lt;='Resource Planner'!$N$28),'Resource Planner'!$M$28,"")</f>
        <v/>
      </c>
    </row>
    <row r="921" ht="15.75" customHeight="1">
      <c r="A9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1" s="163" t="str">
        <f>IF(AND('Resource Planner'!$A$28="☑",17&lt;='Resource Planner'!$N$28),'Resource Planner'!$C$28,"")</f>
        <v/>
      </c>
      <c r="C921" s="163" t="str">
        <f>IF(AND('Resource Planner'!$A$28="☑",17&lt;='Resource Planner'!$N$28),'Resource Planner'!$B$28,"")</f>
        <v/>
      </c>
      <c r="D921" s="163" t="str">
        <f>IF(AND('Resource Planner'!$A$28="☑",17&lt;='Resource Planner'!$N$28),'Resource Planner'!$D$28,"")</f>
        <v/>
      </c>
      <c r="E921" s="163" t="str">
        <f>IF(AND('Resource Planner'!$A$28="☑",17&lt;='Resource Planner'!$N$28),'Resource Planner'!$E$28,"")</f>
        <v/>
      </c>
      <c r="F921" s="163" t="str">
        <f>IF(AND('Resource Planner'!$A$28="☑",17&lt;='Resource Planner'!$N$28),'Resource Planner'!$F$28&amp;" "&amp;('Resource Planner'!$G$28+(17-1)*'Resource Planner'!$I$28)&amp;IF(('Resource Planner'!$G$28+(17-1)*'Resource Planner'!$I$28)=MIN('Resource Planner'!$G$28+17*'Resource Planner'!$I$28-1,'Resource Planner'!$H$28),"","–"&amp;MIN('Resource Planner'!$G$28+17*'Resource Planner'!$I$28-1,'Resource Planner'!$H$28)),"")</f>
        <v/>
      </c>
      <c r="G921" s="163" t="s">
        <v>109</v>
      </c>
      <c r="H921" s="163" t="str">
        <f>IF(AND('Resource Planner'!$A$28="☑",17&lt;='Resource Planner'!$N$28),'Resource Planner'!$M$28,"")</f>
        <v/>
      </c>
    </row>
    <row r="922" ht="15.75" customHeight="1">
      <c r="A9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2" s="163" t="str">
        <f>IF(AND('Resource Planner'!$A$28="☑",18&lt;='Resource Planner'!$N$28),'Resource Planner'!$C$28,"")</f>
        <v/>
      </c>
      <c r="C922" s="163" t="str">
        <f>IF(AND('Resource Planner'!$A$28="☑",18&lt;='Resource Planner'!$N$28),'Resource Planner'!$B$28,"")</f>
        <v/>
      </c>
      <c r="D922" s="163" t="str">
        <f>IF(AND('Resource Planner'!$A$28="☑",18&lt;='Resource Planner'!$N$28),'Resource Planner'!$D$28,"")</f>
        <v/>
      </c>
      <c r="E922" s="163" t="str">
        <f>IF(AND('Resource Planner'!$A$28="☑",18&lt;='Resource Planner'!$N$28),'Resource Planner'!$E$28,"")</f>
        <v/>
      </c>
      <c r="F922" s="163" t="str">
        <f>IF(AND('Resource Planner'!$A$28="☑",18&lt;='Resource Planner'!$N$28),'Resource Planner'!$F$28&amp;" "&amp;('Resource Planner'!$G$28+(18-1)*'Resource Planner'!$I$28)&amp;IF(('Resource Planner'!$G$28+(18-1)*'Resource Planner'!$I$28)=MIN('Resource Planner'!$G$28+18*'Resource Planner'!$I$28-1,'Resource Planner'!$H$28),"","–"&amp;MIN('Resource Planner'!$G$28+18*'Resource Planner'!$I$28-1,'Resource Planner'!$H$28)),"")</f>
        <v/>
      </c>
      <c r="G922" s="163" t="s">
        <v>109</v>
      </c>
      <c r="H922" s="163" t="str">
        <f>IF(AND('Resource Planner'!$A$28="☑",18&lt;='Resource Planner'!$N$28),'Resource Planner'!$M$28,"")</f>
        <v/>
      </c>
    </row>
    <row r="923" ht="15.75" customHeight="1">
      <c r="A9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3" s="163" t="str">
        <f>IF(AND('Resource Planner'!$A$28="☑",19&lt;='Resource Planner'!$N$28),'Resource Planner'!$C$28,"")</f>
        <v/>
      </c>
      <c r="C923" s="163" t="str">
        <f>IF(AND('Resource Planner'!$A$28="☑",19&lt;='Resource Planner'!$N$28),'Resource Planner'!$B$28,"")</f>
        <v/>
      </c>
      <c r="D923" s="163" t="str">
        <f>IF(AND('Resource Planner'!$A$28="☑",19&lt;='Resource Planner'!$N$28),'Resource Planner'!$D$28,"")</f>
        <v/>
      </c>
      <c r="E923" s="163" t="str">
        <f>IF(AND('Resource Planner'!$A$28="☑",19&lt;='Resource Planner'!$N$28),'Resource Planner'!$E$28,"")</f>
        <v/>
      </c>
      <c r="F923" s="163" t="str">
        <f>IF(AND('Resource Planner'!$A$28="☑",19&lt;='Resource Planner'!$N$28),'Resource Planner'!$F$28&amp;" "&amp;('Resource Planner'!$G$28+(19-1)*'Resource Planner'!$I$28)&amp;IF(('Resource Planner'!$G$28+(19-1)*'Resource Planner'!$I$28)=MIN('Resource Planner'!$G$28+19*'Resource Planner'!$I$28-1,'Resource Planner'!$H$28),"","–"&amp;MIN('Resource Planner'!$G$28+19*'Resource Planner'!$I$28-1,'Resource Planner'!$H$28)),"")</f>
        <v/>
      </c>
      <c r="G923" s="163" t="s">
        <v>109</v>
      </c>
      <c r="H923" s="163" t="str">
        <f>IF(AND('Resource Planner'!$A$28="☑",19&lt;='Resource Planner'!$N$28),'Resource Planner'!$M$28,"")</f>
        <v/>
      </c>
    </row>
    <row r="924" ht="15.75" customHeight="1">
      <c r="A9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4" s="163" t="str">
        <f>IF(AND('Resource Planner'!$A$28="☑",20&lt;='Resource Planner'!$N$28),'Resource Planner'!$C$28,"")</f>
        <v/>
      </c>
      <c r="C924" s="163" t="str">
        <f>IF(AND('Resource Planner'!$A$28="☑",20&lt;='Resource Planner'!$N$28),'Resource Planner'!$B$28,"")</f>
        <v/>
      </c>
      <c r="D924" s="163" t="str">
        <f>IF(AND('Resource Planner'!$A$28="☑",20&lt;='Resource Planner'!$N$28),'Resource Planner'!$D$28,"")</f>
        <v/>
      </c>
      <c r="E924" s="163" t="str">
        <f>IF(AND('Resource Planner'!$A$28="☑",20&lt;='Resource Planner'!$N$28),'Resource Planner'!$E$28,"")</f>
        <v/>
      </c>
      <c r="F924" s="163" t="str">
        <f>IF(AND('Resource Planner'!$A$28="☑",20&lt;='Resource Planner'!$N$28),'Resource Planner'!$F$28&amp;" "&amp;('Resource Planner'!$G$28+(20-1)*'Resource Planner'!$I$28)&amp;IF(('Resource Planner'!$G$28+(20-1)*'Resource Planner'!$I$28)=MIN('Resource Planner'!$G$28+20*'Resource Planner'!$I$28-1,'Resource Planner'!$H$28),"","–"&amp;MIN('Resource Planner'!$G$28+20*'Resource Planner'!$I$28-1,'Resource Planner'!$H$28)),"")</f>
        <v/>
      </c>
      <c r="G924" s="163" t="s">
        <v>109</v>
      </c>
      <c r="H924" s="163" t="str">
        <f>IF(AND('Resource Planner'!$A$28="☑",20&lt;='Resource Planner'!$N$28),'Resource Planner'!$M$28,"")</f>
        <v/>
      </c>
    </row>
    <row r="925" ht="15.75" customHeight="1">
      <c r="A9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5" s="163" t="str">
        <f>IF(AND('Resource Planner'!$A$28="☑",21&lt;='Resource Planner'!$N$28),'Resource Planner'!$C$28,"")</f>
        <v/>
      </c>
      <c r="C925" s="163" t="str">
        <f>IF(AND('Resource Planner'!$A$28="☑",21&lt;='Resource Planner'!$N$28),'Resource Planner'!$B$28,"")</f>
        <v/>
      </c>
      <c r="D925" s="163" t="str">
        <f>IF(AND('Resource Planner'!$A$28="☑",21&lt;='Resource Planner'!$N$28),'Resource Planner'!$D$28,"")</f>
        <v/>
      </c>
      <c r="E925" s="163" t="str">
        <f>IF(AND('Resource Planner'!$A$28="☑",21&lt;='Resource Planner'!$N$28),'Resource Planner'!$E$28,"")</f>
        <v/>
      </c>
      <c r="F925" s="163" t="str">
        <f>IF(AND('Resource Planner'!$A$28="☑",21&lt;='Resource Planner'!$N$28),'Resource Planner'!$F$28&amp;" "&amp;('Resource Planner'!$G$28+(21-1)*'Resource Planner'!$I$28)&amp;IF(('Resource Planner'!$G$28+(21-1)*'Resource Planner'!$I$28)=MIN('Resource Planner'!$G$28+21*'Resource Planner'!$I$28-1,'Resource Planner'!$H$28),"","–"&amp;MIN('Resource Planner'!$G$28+21*'Resource Planner'!$I$28-1,'Resource Planner'!$H$28)),"")</f>
        <v/>
      </c>
      <c r="G925" s="163" t="s">
        <v>109</v>
      </c>
      <c r="H925" s="163" t="str">
        <f>IF(AND('Resource Planner'!$A$28="☑",21&lt;='Resource Planner'!$N$28),'Resource Planner'!$M$28,"")</f>
        <v/>
      </c>
    </row>
    <row r="926" ht="15.75" customHeight="1">
      <c r="A9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6" s="163" t="str">
        <f>IF(AND('Resource Planner'!$A$28="☑",22&lt;='Resource Planner'!$N$28),'Resource Planner'!$C$28,"")</f>
        <v/>
      </c>
      <c r="C926" s="163" t="str">
        <f>IF(AND('Resource Planner'!$A$28="☑",22&lt;='Resource Planner'!$N$28),'Resource Planner'!$B$28,"")</f>
        <v/>
      </c>
      <c r="D926" s="163" t="str">
        <f>IF(AND('Resource Planner'!$A$28="☑",22&lt;='Resource Planner'!$N$28),'Resource Planner'!$D$28,"")</f>
        <v/>
      </c>
      <c r="E926" s="163" t="str">
        <f>IF(AND('Resource Planner'!$A$28="☑",22&lt;='Resource Planner'!$N$28),'Resource Planner'!$E$28,"")</f>
        <v/>
      </c>
      <c r="F926" s="163" t="str">
        <f>IF(AND('Resource Planner'!$A$28="☑",22&lt;='Resource Planner'!$N$28),'Resource Planner'!$F$28&amp;" "&amp;('Resource Planner'!$G$28+(22-1)*'Resource Planner'!$I$28)&amp;IF(('Resource Planner'!$G$28+(22-1)*'Resource Planner'!$I$28)=MIN('Resource Planner'!$G$28+22*'Resource Planner'!$I$28-1,'Resource Planner'!$H$28),"","–"&amp;MIN('Resource Planner'!$G$28+22*'Resource Planner'!$I$28-1,'Resource Planner'!$H$28)),"")</f>
        <v/>
      </c>
      <c r="G926" s="163" t="s">
        <v>109</v>
      </c>
      <c r="H926" s="163" t="str">
        <f>IF(AND('Resource Planner'!$A$28="☑",22&lt;='Resource Planner'!$N$28),'Resource Planner'!$M$28,"")</f>
        <v/>
      </c>
    </row>
    <row r="927" ht="15.75" customHeight="1">
      <c r="A9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7" s="163" t="str">
        <f>IF(AND('Resource Planner'!$A$28="☑",23&lt;='Resource Planner'!$N$28),'Resource Planner'!$C$28,"")</f>
        <v/>
      </c>
      <c r="C927" s="163" t="str">
        <f>IF(AND('Resource Planner'!$A$28="☑",23&lt;='Resource Planner'!$N$28),'Resource Planner'!$B$28,"")</f>
        <v/>
      </c>
      <c r="D927" s="163" t="str">
        <f>IF(AND('Resource Planner'!$A$28="☑",23&lt;='Resource Planner'!$N$28),'Resource Planner'!$D$28,"")</f>
        <v/>
      </c>
      <c r="E927" s="163" t="str">
        <f>IF(AND('Resource Planner'!$A$28="☑",23&lt;='Resource Planner'!$N$28),'Resource Planner'!$E$28,"")</f>
        <v/>
      </c>
      <c r="F927" s="163" t="str">
        <f>IF(AND('Resource Planner'!$A$28="☑",23&lt;='Resource Planner'!$N$28),'Resource Planner'!$F$28&amp;" "&amp;('Resource Planner'!$G$28+(23-1)*'Resource Planner'!$I$28)&amp;IF(('Resource Planner'!$G$28+(23-1)*'Resource Planner'!$I$28)=MIN('Resource Planner'!$G$28+23*'Resource Planner'!$I$28-1,'Resource Planner'!$H$28),"","–"&amp;MIN('Resource Planner'!$G$28+23*'Resource Planner'!$I$28-1,'Resource Planner'!$H$28)),"")</f>
        <v/>
      </c>
      <c r="G927" s="163" t="s">
        <v>109</v>
      </c>
      <c r="H927" s="163" t="str">
        <f>IF(AND('Resource Planner'!$A$28="☑",23&lt;='Resource Planner'!$N$28),'Resource Planner'!$M$28,"")</f>
        <v/>
      </c>
    </row>
    <row r="928" ht="15.75" customHeight="1">
      <c r="A9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8" s="163" t="str">
        <f>IF(AND('Resource Planner'!$A$28="☑",24&lt;='Resource Planner'!$N$28),'Resource Planner'!$C$28,"")</f>
        <v/>
      </c>
      <c r="C928" s="163" t="str">
        <f>IF(AND('Resource Planner'!$A$28="☑",24&lt;='Resource Planner'!$N$28),'Resource Planner'!$B$28,"")</f>
        <v/>
      </c>
      <c r="D928" s="163" t="str">
        <f>IF(AND('Resource Planner'!$A$28="☑",24&lt;='Resource Planner'!$N$28),'Resource Planner'!$D$28,"")</f>
        <v/>
      </c>
      <c r="E928" s="163" t="str">
        <f>IF(AND('Resource Planner'!$A$28="☑",24&lt;='Resource Planner'!$N$28),'Resource Planner'!$E$28,"")</f>
        <v/>
      </c>
      <c r="F928" s="163" t="str">
        <f>IF(AND('Resource Planner'!$A$28="☑",24&lt;='Resource Planner'!$N$28),'Resource Planner'!$F$28&amp;" "&amp;('Resource Planner'!$G$28+(24-1)*'Resource Planner'!$I$28)&amp;IF(('Resource Planner'!$G$28+(24-1)*'Resource Planner'!$I$28)=MIN('Resource Planner'!$G$28+24*'Resource Planner'!$I$28-1,'Resource Planner'!$H$28),"","–"&amp;MIN('Resource Planner'!$G$28+24*'Resource Planner'!$I$28-1,'Resource Planner'!$H$28)),"")</f>
        <v/>
      </c>
      <c r="G928" s="163" t="s">
        <v>109</v>
      </c>
      <c r="H928" s="163" t="str">
        <f>IF(AND('Resource Planner'!$A$28="☑",24&lt;='Resource Planner'!$N$28),'Resource Planner'!$M$28,"")</f>
        <v/>
      </c>
    </row>
    <row r="929" ht="15.75" customHeight="1">
      <c r="A9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29" s="163" t="str">
        <f>IF(AND('Resource Planner'!$A$28="☑",25&lt;='Resource Planner'!$N$28),'Resource Planner'!$C$28,"")</f>
        <v/>
      </c>
      <c r="C929" s="163" t="str">
        <f>IF(AND('Resource Planner'!$A$28="☑",25&lt;='Resource Planner'!$N$28),'Resource Planner'!$B$28,"")</f>
        <v/>
      </c>
      <c r="D929" s="163" t="str">
        <f>IF(AND('Resource Planner'!$A$28="☑",25&lt;='Resource Planner'!$N$28),'Resource Planner'!$D$28,"")</f>
        <v/>
      </c>
      <c r="E929" s="163" t="str">
        <f>IF(AND('Resource Planner'!$A$28="☑",25&lt;='Resource Planner'!$N$28),'Resource Planner'!$E$28,"")</f>
        <v/>
      </c>
      <c r="F929" s="163" t="str">
        <f>IF(AND('Resource Planner'!$A$28="☑",25&lt;='Resource Planner'!$N$28),'Resource Planner'!$F$28&amp;" "&amp;('Resource Planner'!$G$28+(25-1)*'Resource Planner'!$I$28)&amp;IF(('Resource Planner'!$G$28+(25-1)*'Resource Planner'!$I$28)=MIN('Resource Planner'!$G$28+25*'Resource Planner'!$I$28-1,'Resource Planner'!$H$28),"","–"&amp;MIN('Resource Planner'!$G$28+25*'Resource Planner'!$I$28-1,'Resource Planner'!$H$28)),"")</f>
        <v/>
      </c>
      <c r="G929" s="163" t="s">
        <v>109</v>
      </c>
      <c r="H929" s="163" t="str">
        <f>IF(AND('Resource Planner'!$A$28="☑",25&lt;='Resource Planner'!$N$28),'Resource Planner'!$M$28,"")</f>
        <v/>
      </c>
    </row>
    <row r="930" ht="15.75" customHeight="1">
      <c r="A9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0" s="163" t="str">
        <f>IF(AND('Resource Planner'!$A$28="☑",26&lt;='Resource Planner'!$N$28),'Resource Planner'!$C$28,"")</f>
        <v/>
      </c>
      <c r="C930" s="163" t="str">
        <f>IF(AND('Resource Planner'!$A$28="☑",26&lt;='Resource Planner'!$N$28),'Resource Planner'!$B$28,"")</f>
        <v/>
      </c>
      <c r="D930" s="163" t="str">
        <f>IF(AND('Resource Planner'!$A$28="☑",26&lt;='Resource Planner'!$N$28),'Resource Planner'!$D$28,"")</f>
        <v/>
      </c>
      <c r="E930" s="163" t="str">
        <f>IF(AND('Resource Planner'!$A$28="☑",26&lt;='Resource Planner'!$N$28),'Resource Planner'!$E$28,"")</f>
        <v/>
      </c>
      <c r="F930" s="163" t="str">
        <f>IF(AND('Resource Planner'!$A$28="☑",26&lt;='Resource Planner'!$N$28),'Resource Planner'!$F$28&amp;" "&amp;('Resource Planner'!$G$28+(26-1)*'Resource Planner'!$I$28)&amp;IF(('Resource Planner'!$G$28+(26-1)*'Resource Planner'!$I$28)=MIN('Resource Planner'!$G$28+26*'Resource Planner'!$I$28-1,'Resource Planner'!$H$28),"","–"&amp;MIN('Resource Planner'!$G$28+26*'Resource Planner'!$I$28-1,'Resource Planner'!$H$28)),"")</f>
        <v/>
      </c>
      <c r="G930" s="163" t="s">
        <v>109</v>
      </c>
      <c r="H930" s="163" t="str">
        <f>IF(AND('Resource Planner'!$A$28="☑",26&lt;='Resource Planner'!$N$28),'Resource Planner'!$M$28,"")</f>
        <v/>
      </c>
    </row>
    <row r="931" ht="15.75" customHeight="1">
      <c r="A9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1" s="163" t="str">
        <f>IF(AND('Resource Planner'!$A$28="☑",27&lt;='Resource Planner'!$N$28),'Resource Planner'!$C$28,"")</f>
        <v/>
      </c>
      <c r="C931" s="163" t="str">
        <f>IF(AND('Resource Planner'!$A$28="☑",27&lt;='Resource Planner'!$N$28),'Resource Planner'!$B$28,"")</f>
        <v/>
      </c>
      <c r="D931" s="163" t="str">
        <f>IF(AND('Resource Planner'!$A$28="☑",27&lt;='Resource Planner'!$N$28),'Resource Planner'!$D$28,"")</f>
        <v/>
      </c>
      <c r="E931" s="163" t="str">
        <f>IF(AND('Resource Planner'!$A$28="☑",27&lt;='Resource Planner'!$N$28),'Resource Planner'!$E$28,"")</f>
        <v/>
      </c>
      <c r="F931" s="163" t="str">
        <f>IF(AND('Resource Planner'!$A$28="☑",27&lt;='Resource Planner'!$N$28),'Resource Planner'!$F$28&amp;" "&amp;('Resource Planner'!$G$28+(27-1)*'Resource Planner'!$I$28)&amp;IF(('Resource Planner'!$G$28+(27-1)*'Resource Planner'!$I$28)=MIN('Resource Planner'!$G$28+27*'Resource Planner'!$I$28-1,'Resource Planner'!$H$28),"","–"&amp;MIN('Resource Planner'!$G$28+27*'Resource Planner'!$I$28-1,'Resource Planner'!$H$28)),"")</f>
        <v/>
      </c>
      <c r="G931" s="163" t="s">
        <v>109</v>
      </c>
      <c r="H931" s="163" t="str">
        <f>IF(AND('Resource Planner'!$A$28="☑",27&lt;='Resource Planner'!$N$28),'Resource Planner'!$M$28,"")</f>
        <v/>
      </c>
    </row>
    <row r="932" ht="15.75" customHeight="1">
      <c r="A9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2" s="163" t="str">
        <f>IF(AND('Resource Planner'!$A$28="☑",28&lt;='Resource Planner'!$N$28),'Resource Planner'!$C$28,"")</f>
        <v/>
      </c>
      <c r="C932" s="163" t="str">
        <f>IF(AND('Resource Planner'!$A$28="☑",28&lt;='Resource Planner'!$N$28),'Resource Planner'!$B$28,"")</f>
        <v/>
      </c>
      <c r="D932" s="163" t="str">
        <f>IF(AND('Resource Planner'!$A$28="☑",28&lt;='Resource Planner'!$N$28),'Resource Planner'!$D$28,"")</f>
        <v/>
      </c>
      <c r="E932" s="163" t="str">
        <f>IF(AND('Resource Planner'!$A$28="☑",28&lt;='Resource Planner'!$N$28),'Resource Planner'!$E$28,"")</f>
        <v/>
      </c>
      <c r="F932" s="163" t="str">
        <f>IF(AND('Resource Planner'!$A$28="☑",28&lt;='Resource Planner'!$N$28),'Resource Planner'!$F$28&amp;" "&amp;('Resource Planner'!$G$28+(28-1)*'Resource Planner'!$I$28)&amp;IF(('Resource Planner'!$G$28+(28-1)*'Resource Planner'!$I$28)=MIN('Resource Planner'!$G$28+28*'Resource Planner'!$I$28-1,'Resource Planner'!$H$28),"","–"&amp;MIN('Resource Planner'!$G$28+28*'Resource Planner'!$I$28-1,'Resource Planner'!$H$28)),"")</f>
        <v/>
      </c>
      <c r="G932" s="163" t="s">
        <v>109</v>
      </c>
      <c r="H932" s="163" t="str">
        <f>IF(AND('Resource Planner'!$A$28="☑",28&lt;='Resource Planner'!$N$28),'Resource Planner'!$M$28,"")</f>
        <v/>
      </c>
    </row>
    <row r="933" ht="15.75" customHeight="1">
      <c r="A9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3" s="163" t="str">
        <f>IF(AND('Resource Planner'!$A$28="☑",29&lt;='Resource Planner'!$N$28),'Resource Planner'!$C$28,"")</f>
        <v/>
      </c>
      <c r="C933" s="163" t="str">
        <f>IF(AND('Resource Planner'!$A$28="☑",29&lt;='Resource Planner'!$N$28),'Resource Planner'!$B$28,"")</f>
        <v/>
      </c>
      <c r="D933" s="163" t="str">
        <f>IF(AND('Resource Planner'!$A$28="☑",29&lt;='Resource Planner'!$N$28),'Resource Planner'!$D$28,"")</f>
        <v/>
      </c>
      <c r="E933" s="163" t="str">
        <f>IF(AND('Resource Planner'!$A$28="☑",29&lt;='Resource Planner'!$N$28),'Resource Planner'!$E$28,"")</f>
        <v/>
      </c>
      <c r="F933" s="163" t="str">
        <f>IF(AND('Resource Planner'!$A$28="☑",29&lt;='Resource Planner'!$N$28),'Resource Planner'!$F$28&amp;" "&amp;('Resource Planner'!$G$28+(29-1)*'Resource Planner'!$I$28)&amp;IF(('Resource Planner'!$G$28+(29-1)*'Resource Planner'!$I$28)=MIN('Resource Planner'!$G$28+29*'Resource Planner'!$I$28-1,'Resource Planner'!$H$28),"","–"&amp;MIN('Resource Planner'!$G$28+29*'Resource Planner'!$I$28-1,'Resource Planner'!$H$28)),"")</f>
        <v/>
      </c>
      <c r="G933" s="163" t="s">
        <v>109</v>
      </c>
      <c r="H933" s="163" t="str">
        <f>IF(AND('Resource Planner'!$A$28="☑",29&lt;='Resource Planner'!$N$28),'Resource Planner'!$M$28,"")</f>
        <v/>
      </c>
    </row>
    <row r="934" ht="15.75" customHeight="1">
      <c r="A9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4" s="163" t="str">
        <f>IF(AND('Resource Planner'!$A$28="☑",30&lt;='Resource Planner'!$N$28),'Resource Planner'!$C$28,"")</f>
        <v/>
      </c>
      <c r="C934" s="163" t="str">
        <f>IF(AND('Resource Planner'!$A$28="☑",30&lt;='Resource Planner'!$N$28),'Resource Planner'!$B$28,"")</f>
        <v/>
      </c>
      <c r="D934" s="163" t="str">
        <f>IF(AND('Resource Planner'!$A$28="☑",30&lt;='Resource Planner'!$N$28),'Resource Planner'!$D$28,"")</f>
        <v/>
      </c>
      <c r="E934" s="163" t="str">
        <f>IF(AND('Resource Planner'!$A$28="☑",30&lt;='Resource Planner'!$N$28),'Resource Planner'!$E$28,"")</f>
        <v/>
      </c>
      <c r="F934" s="163" t="str">
        <f>IF(AND('Resource Planner'!$A$28="☑",30&lt;='Resource Planner'!$N$28),'Resource Planner'!$F$28&amp;" "&amp;('Resource Planner'!$G$28+(30-1)*'Resource Planner'!$I$28)&amp;IF(('Resource Planner'!$G$28+(30-1)*'Resource Planner'!$I$28)=MIN('Resource Planner'!$G$28+30*'Resource Planner'!$I$28-1,'Resource Planner'!$H$28),"","–"&amp;MIN('Resource Planner'!$G$28+30*'Resource Planner'!$I$28-1,'Resource Planner'!$H$28)),"")</f>
        <v/>
      </c>
      <c r="G934" s="163" t="s">
        <v>109</v>
      </c>
      <c r="H934" s="163" t="str">
        <f>IF(AND('Resource Planner'!$A$28="☑",30&lt;='Resource Planner'!$N$28),'Resource Planner'!$M$28,"")</f>
        <v/>
      </c>
    </row>
    <row r="935" ht="15.75" customHeight="1">
      <c r="A9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5" s="163" t="str">
        <f>IF(AND('Resource Planner'!$A$28="☑",31&lt;='Resource Planner'!$N$28),'Resource Planner'!$C$28,"")</f>
        <v/>
      </c>
      <c r="C935" s="163" t="str">
        <f>IF(AND('Resource Planner'!$A$28="☑",31&lt;='Resource Planner'!$N$28),'Resource Planner'!$B$28,"")</f>
        <v/>
      </c>
      <c r="D935" s="163" t="str">
        <f>IF(AND('Resource Planner'!$A$28="☑",31&lt;='Resource Planner'!$N$28),'Resource Planner'!$D$28,"")</f>
        <v/>
      </c>
      <c r="E935" s="163" t="str">
        <f>IF(AND('Resource Planner'!$A$28="☑",31&lt;='Resource Planner'!$N$28),'Resource Planner'!$E$28,"")</f>
        <v/>
      </c>
      <c r="F935" s="163" t="str">
        <f>IF(AND('Resource Planner'!$A$28="☑",31&lt;='Resource Planner'!$N$28),'Resource Planner'!$F$28&amp;" "&amp;('Resource Planner'!$G$28+(31-1)*'Resource Planner'!$I$28)&amp;IF(('Resource Planner'!$G$28+(31-1)*'Resource Planner'!$I$28)=MIN('Resource Planner'!$G$28+31*'Resource Planner'!$I$28-1,'Resource Planner'!$H$28),"","–"&amp;MIN('Resource Planner'!$G$28+31*'Resource Planner'!$I$28-1,'Resource Planner'!$H$28)),"")</f>
        <v/>
      </c>
      <c r="G935" s="163" t="s">
        <v>109</v>
      </c>
      <c r="H935" s="163" t="str">
        <f>IF(AND('Resource Planner'!$A$28="☑",31&lt;='Resource Planner'!$N$28),'Resource Planner'!$M$28,"")</f>
        <v/>
      </c>
    </row>
    <row r="936" ht="15.75" customHeight="1">
      <c r="A9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6" s="163" t="str">
        <f>IF(AND('Resource Planner'!$A$28="☑",32&lt;='Resource Planner'!$N$28),'Resource Planner'!$C$28,"")</f>
        <v/>
      </c>
      <c r="C936" s="163" t="str">
        <f>IF(AND('Resource Planner'!$A$28="☑",32&lt;='Resource Planner'!$N$28),'Resource Planner'!$B$28,"")</f>
        <v/>
      </c>
      <c r="D936" s="163" t="str">
        <f>IF(AND('Resource Planner'!$A$28="☑",32&lt;='Resource Planner'!$N$28),'Resource Planner'!$D$28,"")</f>
        <v/>
      </c>
      <c r="E936" s="163" t="str">
        <f>IF(AND('Resource Planner'!$A$28="☑",32&lt;='Resource Planner'!$N$28),'Resource Planner'!$E$28,"")</f>
        <v/>
      </c>
      <c r="F936" s="163" t="str">
        <f>IF(AND('Resource Planner'!$A$28="☑",32&lt;='Resource Planner'!$N$28),'Resource Planner'!$F$28&amp;" "&amp;('Resource Planner'!$G$28+(32-1)*'Resource Planner'!$I$28)&amp;IF(('Resource Planner'!$G$28+(32-1)*'Resource Planner'!$I$28)=MIN('Resource Planner'!$G$28+32*'Resource Planner'!$I$28-1,'Resource Planner'!$H$28),"","–"&amp;MIN('Resource Planner'!$G$28+32*'Resource Planner'!$I$28-1,'Resource Planner'!$H$28)),"")</f>
        <v/>
      </c>
      <c r="G936" s="163" t="s">
        <v>109</v>
      </c>
      <c r="H936" s="163" t="str">
        <f>IF(AND('Resource Planner'!$A$28="☑",32&lt;='Resource Planner'!$N$28),'Resource Planner'!$M$28,"")</f>
        <v/>
      </c>
    </row>
    <row r="937" ht="15.75" customHeight="1">
      <c r="A9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7" s="163" t="str">
        <f>IF(AND('Resource Planner'!$A$28="☑",33&lt;='Resource Planner'!$N$28),'Resource Planner'!$C$28,"")</f>
        <v/>
      </c>
      <c r="C937" s="163" t="str">
        <f>IF(AND('Resource Planner'!$A$28="☑",33&lt;='Resource Planner'!$N$28),'Resource Planner'!$B$28,"")</f>
        <v/>
      </c>
      <c r="D937" s="163" t="str">
        <f>IF(AND('Resource Planner'!$A$28="☑",33&lt;='Resource Planner'!$N$28),'Resource Planner'!$D$28,"")</f>
        <v/>
      </c>
      <c r="E937" s="163" t="str">
        <f>IF(AND('Resource Planner'!$A$28="☑",33&lt;='Resource Planner'!$N$28),'Resource Planner'!$E$28,"")</f>
        <v/>
      </c>
      <c r="F937" s="163" t="str">
        <f>IF(AND('Resource Planner'!$A$28="☑",33&lt;='Resource Planner'!$N$28),'Resource Planner'!$F$28&amp;" "&amp;('Resource Planner'!$G$28+(33-1)*'Resource Planner'!$I$28)&amp;IF(('Resource Planner'!$G$28+(33-1)*'Resource Planner'!$I$28)=MIN('Resource Planner'!$G$28+33*'Resource Planner'!$I$28-1,'Resource Planner'!$H$28),"","–"&amp;MIN('Resource Planner'!$G$28+33*'Resource Planner'!$I$28-1,'Resource Planner'!$H$28)),"")</f>
        <v/>
      </c>
      <c r="G937" s="163" t="s">
        <v>109</v>
      </c>
      <c r="H937" s="163" t="str">
        <f>IF(AND('Resource Planner'!$A$28="☑",33&lt;='Resource Planner'!$N$28),'Resource Planner'!$M$28,"")</f>
        <v/>
      </c>
    </row>
    <row r="938" ht="15.75" customHeight="1">
      <c r="A9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8" s="163" t="str">
        <f>IF(AND('Resource Planner'!$A$28="☑",34&lt;='Resource Planner'!$N$28),'Resource Planner'!$C$28,"")</f>
        <v/>
      </c>
      <c r="C938" s="163" t="str">
        <f>IF(AND('Resource Planner'!$A$28="☑",34&lt;='Resource Planner'!$N$28),'Resource Planner'!$B$28,"")</f>
        <v/>
      </c>
      <c r="D938" s="163" t="str">
        <f>IF(AND('Resource Planner'!$A$28="☑",34&lt;='Resource Planner'!$N$28),'Resource Planner'!$D$28,"")</f>
        <v/>
      </c>
      <c r="E938" s="163" t="str">
        <f>IF(AND('Resource Planner'!$A$28="☑",34&lt;='Resource Planner'!$N$28),'Resource Planner'!$E$28,"")</f>
        <v/>
      </c>
      <c r="F938" s="163" t="str">
        <f>IF(AND('Resource Planner'!$A$28="☑",34&lt;='Resource Planner'!$N$28),'Resource Planner'!$F$28&amp;" "&amp;('Resource Planner'!$G$28+(34-1)*'Resource Planner'!$I$28)&amp;IF(('Resource Planner'!$G$28+(34-1)*'Resource Planner'!$I$28)=MIN('Resource Planner'!$G$28+34*'Resource Planner'!$I$28-1,'Resource Planner'!$H$28),"","–"&amp;MIN('Resource Planner'!$G$28+34*'Resource Planner'!$I$28-1,'Resource Planner'!$H$28)),"")</f>
        <v/>
      </c>
      <c r="G938" s="163" t="s">
        <v>109</v>
      </c>
      <c r="H938" s="163" t="str">
        <f>IF(AND('Resource Planner'!$A$28="☑",34&lt;='Resource Planner'!$N$28),'Resource Planner'!$M$28,"")</f>
        <v/>
      </c>
    </row>
    <row r="939" ht="15.75" customHeight="1">
      <c r="A9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39" s="163" t="str">
        <f>IF(AND('Resource Planner'!$A$28="☑",35&lt;='Resource Planner'!$N$28),'Resource Planner'!$C$28,"")</f>
        <v/>
      </c>
      <c r="C939" s="163" t="str">
        <f>IF(AND('Resource Planner'!$A$28="☑",35&lt;='Resource Planner'!$N$28),'Resource Planner'!$B$28,"")</f>
        <v/>
      </c>
      <c r="D939" s="163" t="str">
        <f>IF(AND('Resource Planner'!$A$28="☑",35&lt;='Resource Planner'!$N$28),'Resource Planner'!$D$28,"")</f>
        <v/>
      </c>
      <c r="E939" s="163" t="str">
        <f>IF(AND('Resource Planner'!$A$28="☑",35&lt;='Resource Planner'!$N$28),'Resource Planner'!$E$28,"")</f>
        <v/>
      </c>
      <c r="F939" s="163" t="str">
        <f>IF(AND('Resource Planner'!$A$28="☑",35&lt;='Resource Planner'!$N$28),'Resource Planner'!$F$28&amp;" "&amp;('Resource Planner'!$G$28+(35-1)*'Resource Planner'!$I$28)&amp;IF(('Resource Planner'!$G$28+(35-1)*'Resource Planner'!$I$28)=MIN('Resource Planner'!$G$28+35*'Resource Planner'!$I$28-1,'Resource Planner'!$H$28),"","–"&amp;MIN('Resource Planner'!$G$28+35*'Resource Planner'!$I$28-1,'Resource Planner'!$H$28)),"")</f>
        <v/>
      </c>
      <c r="G939" s="163" t="s">
        <v>109</v>
      </c>
      <c r="H939" s="163" t="str">
        <f>IF(AND('Resource Planner'!$A$28="☑",35&lt;='Resource Planner'!$N$28),'Resource Planner'!$M$28,"")</f>
        <v/>
      </c>
    </row>
    <row r="940" ht="15.75" customHeight="1">
      <c r="A9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0" s="163" t="str">
        <f>IF(AND('Resource Planner'!$A$28="☑",36&lt;='Resource Planner'!$N$28),'Resource Planner'!$C$28,"")</f>
        <v/>
      </c>
      <c r="C940" s="163" t="str">
        <f>IF(AND('Resource Planner'!$A$28="☑",36&lt;='Resource Planner'!$N$28),'Resource Planner'!$B$28,"")</f>
        <v/>
      </c>
      <c r="D940" s="163" t="str">
        <f>IF(AND('Resource Planner'!$A$28="☑",36&lt;='Resource Planner'!$N$28),'Resource Planner'!$D$28,"")</f>
        <v/>
      </c>
      <c r="E940" s="163" t="str">
        <f>IF(AND('Resource Planner'!$A$28="☑",36&lt;='Resource Planner'!$N$28),'Resource Planner'!$E$28,"")</f>
        <v/>
      </c>
      <c r="F940" s="163" t="str">
        <f>IF(AND('Resource Planner'!$A$28="☑",36&lt;='Resource Planner'!$N$28),'Resource Planner'!$F$28&amp;" "&amp;('Resource Planner'!$G$28+(36-1)*'Resource Planner'!$I$28)&amp;IF(('Resource Planner'!$G$28+(36-1)*'Resource Planner'!$I$28)=MIN('Resource Planner'!$G$28+36*'Resource Planner'!$I$28-1,'Resource Planner'!$H$28),"","–"&amp;MIN('Resource Planner'!$G$28+36*'Resource Planner'!$I$28-1,'Resource Planner'!$H$28)),"")</f>
        <v/>
      </c>
      <c r="G940" s="163" t="s">
        <v>109</v>
      </c>
      <c r="H940" s="163" t="str">
        <f>IF(AND('Resource Planner'!$A$28="☑",36&lt;='Resource Planner'!$N$28),'Resource Planner'!$M$28,"")</f>
        <v/>
      </c>
    </row>
    <row r="941" ht="15.75" customHeight="1">
      <c r="A9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1" s="163" t="str">
        <f>IF(AND('Resource Planner'!$A$28="☑",37&lt;='Resource Planner'!$N$28),'Resource Planner'!$C$28,"")</f>
        <v/>
      </c>
      <c r="C941" s="163" t="str">
        <f>IF(AND('Resource Planner'!$A$28="☑",37&lt;='Resource Planner'!$N$28),'Resource Planner'!$B$28,"")</f>
        <v/>
      </c>
      <c r="D941" s="163" t="str">
        <f>IF(AND('Resource Planner'!$A$28="☑",37&lt;='Resource Planner'!$N$28),'Resource Planner'!$D$28,"")</f>
        <v/>
      </c>
      <c r="E941" s="163" t="str">
        <f>IF(AND('Resource Planner'!$A$28="☑",37&lt;='Resource Planner'!$N$28),'Resource Planner'!$E$28,"")</f>
        <v/>
      </c>
      <c r="F941" s="163" t="str">
        <f>IF(AND('Resource Planner'!$A$28="☑",37&lt;='Resource Planner'!$N$28),'Resource Planner'!$F$28&amp;" "&amp;('Resource Planner'!$G$28+(37-1)*'Resource Planner'!$I$28)&amp;IF(('Resource Planner'!$G$28+(37-1)*'Resource Planner'!$I$28)=MIN('Resource Planner'!$G$28+37*'Resource Planner'!$I$28-1,'Resource Planner'!$H$28),"","–"&amp;MIN('Resource Planner'!$G$28+37*'Resource Planner'!$I$28-1,'Resource Planner'!$H$28)),"")</f>
        <v/>
      </c>
      <c r="G941" s="163" t="s">
        <v>109</v>
      </c>
      <c r="H941" s="163" t="str">
        <f>IF(AND('Resource Planner'!$A$28="☑",37&lt;='Resource Planner'!$N$28),'Resource Planner'!$M$28,"")</f>
        <v/>
      </c>
    </row>
    <row r="942" ht="15.75" customHeight="1">
      <c r="A9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2" s="163" t="str">
        <f>IF(AND('Resource Planner'!$A$28="☑",38&lt;='Resource Planner'!$N$28),'Resource Planner'!$C$28,"")</f>
        <v/>
      </c>
      <c r="C942" s="163" t="str">
        <f>IF(AND('Resource Planner'!$A$28="☑",38&lt;='Resource Planner'!$N$28),'Resource Planner'!$B$28,"")</f>
        <v/>
      </c>
      <c r="D942" s="163" t="str">
        <f>IF(AND('Resource Planner'!$A$28="☑",38&lt;='Resource Planner'!$N$28),'Resource Planner'!$D$28,"")</f>
        <v/>
      </c>
      <c r="E942" s="163" t="str">
        <f>IF(AND('Resource Planner'!$A$28="☑",38&lt;='Resource Planner'!$N$28),'Resource Planner'!$E$28,"")</f>
        <v/>
      </c>
      <c r="F942" s="163" t="str">
        <f>IF(AND('Resource Planner'!$A$28="☑",38&lt;='Resource Planner'!$N$28),'Resource Planner'!$F$28&amp;" "&amp;('Resource Planner'!$G$28+(38-1)*'Resource Planner'!$I$28)&amp;IF(('Resource Planner'!$G$28+(38-1)*'Resource Planner'!$I$28)=MIN('Resource Planner'!$G$28+38*'Resource Planner'!$I$28-1,'Resource Planner'!$H$28),"","–"&amp;MIN('Resource Planner'!$G$28+38*'Resource Planner'!$I$28-1,'Resource Planner'!$H$28)),"")</f>
        <v/>
      </c>
      <c r="G942" s="163" t="s">
        <v>109</v>
      </c>
      <c r="H942" s="163" t="str">
        <f>IF(AND('Resource Planner'!$A$28="☑",38&lt;='Resource Planner'!$N$28),'Resource Planner'!$M$28,"")</f>
        <v/>
      </c>
    </row>
    <row r="943" ht="15.75" customHeight="1">
      <c r="A9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3" s="163" t="str">
        <f>IF(AND('Resource Planner'!$A$28="☑",39&lt;='Resource Planner'!$N$28),'Resource Planner'!$C$28,"")</f>
        <v/>
      </c>
      <c r="C943" s="163" t="str">
        <f>IF(AND('Resource Planner'!$A$28="☑",39&lt;='Resource Planner'!$N$28),'Resource Planner'!$B$28,"")</f>
        <v/>
      </c>
      <c r="D943" s="163" t="str">
        <f>IF(AND('Resource Planner'!$A$28="☑",39&lt;='Resource Planner'!$N$28),'Resource Planner'!$D$28,"")</f>
        <v/>
      </c>
      <c r="E943" s="163" t="str">
        <f>IF(AND('Resource Planner'!$A$28="☑",39&lt;='Resource Planner'!$N$28),'Resource Planner'!$E$28,"")</f>
        <v/>
      </c>
      <c r="F943" s="163" t="str">
        <f>IF(AND('Resource Planner'!$A$28="☑",39&lt;='Resource Planner'!$N$28),'Resource Planner'!$F$28&amp;" "&amp;('Resource Planner'!$G$28+(39-1)*'Resource Planner'!$I$28)&amp;IF(('Resource Planner'!$G$28+(39-1)*'Resource Planner'!$I$28)=MIN('Resource Planner'!$G$28+39*'Resource Planner'!$I$28-1,'Resource Planner'!$H$28),"","–"&amp;MIN('Resource Planner'!$G$28+39*'Resource Planner'!$I$28-1,'Resource Planner'!$H$28)),"")</f>
        <v/>
      </c>
      <c r="G943" s="163" t="s">
        <v>109</v>
      </c>
      <c r="H943" s="163" t="str">
        <f>IF(AND('Resource Planner'!$A$28="☑",39&lt;='Resource Planner'!$N$28),'Resource Planner'!$M$28,"")</f>
        <v/>
      </c>
    </row>
    <row r="944" ht="15.75" customHeight="1">
      <c r="A9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4" s="163" t="str">
        <f>IF(AND('Resource Planner'!$A$28="☑",40&lt;='Resource Planner'!$N$28),'Resource Planner'!$C$28,"")</f>
        <v/>
      </c>
      <c r="C944" s="163" t="str">
        <f>IF(AND('Resource Planner'!$A$28="☑",40&lt;='Resource Planner'!$N$28),'Resource Planner'!$B$28,"")</f>
        <v/>
      </c>
      <c r="D944" s="163" t="str">
        <f>IF(AND('Resource Planner'!$A$28="☑",40&lt;='Resource Planner'!$N$28),'Resource Planner'!$D$28,"")</f>
        <v/>
      </c>
      <c r="E944" s="163" t="str">
        <f>IF(AND('Resource Planner'!$A$28="☑",40&lt;='Resource Planner'!$N$28),'Resource Planner'!$E$28,"")</f>
        <v/>
      </c>
      <c r="F944" s="163" t="str">
        <f>IF(AND('Resource Planner'!$A$28="☑",40&lt;='Resource Planner'!$N$28),'Resource Planner'!$F$28&amp;" "&amp;('Resource Planner'!$G$28+(40-1)*'Resource Planner'!$I$28)&amp;IF(('Resource Planner'!$G$28+(40-1)*'Resource Planner'!$I$28)=MIN('Resource Planner'!$G$28+40*'Resource Planner'!$I$28-1,'Resource Planner'!$H$28),"","–"&amp;MIN('Resource Planner'!$G$28+40*'Resource Planner'!$I$28-1,'Resource Planner'!$H$28)),"")</f>
        <v/>
      </c>
      <c r="G944" s="163" t="s">
        <v>109</v>
      </c>
      <c r="H944" s="163" t="str">
        <f>IF(AND('Resource Planner'!$A$28="☑",40&lt;='Resource Planner'!$N$28),'Resource Planner'!$M$28,"")</f>
        <v/>
      </c>
    </row>
    <row r="945" ht="15.75" customHeight="1">
      <c r="A9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5" s="163" t="str">
        <f>IF(AND('Resource Planner'!$A$28="☑",41&lt;='Resource Planner'!$N$28),'Resource Planner'!$C$28,"")</f>
        <v/>
      </c>
      <c r="C945" s="163" t="str">
        <f>IF(AND('Resource Planner'!$A$28="☑",41&lt;='Resource Planner'!$N$28),'Resource Planner'!$B$28,"")</f>
        <v/>
      </c>
      <c r="D945" s="163" t="str">
        <f>IF(AND('Resource Planner'!$A$28="☑",41&lt;='Resource Planner'!$N$28),'Resource Planner'!$D$28,"")</f>
        <v/>
      </c>
      <c r="E945" s="163" t="str">
        <f>IF(AND('Resource Planner'!$A$28="☑",41&lt;='Resource Planner'!$N$28),'Resource Planner'!$E$28,"")</f>
        <v/>
      </c>
      <c r="F945" s="163" t="str">
        <f>IF(AND('Resource Planner'!$A$28="☑",41&lt;='Resource Planner'!$N$28),'Resource Planner'!$F$28&amp;" "&amp;('Resource Planner'!$G$28+(41-1)*'Resource Planner'!$I$28)&amp;IF(('Resource Planner'!$G$28+(41-1)*'Resource Planner'!$I$28)=MIN('Resource Planner'!$G$28+41*'Resource Planner'!$I$28-1,'Resource Planner'!$H$28),"","–"&amp;MIN('Resource Planner'!$G$28+41*'Resource Planner'!$I$28-1,'Resource Planner'!$H$28)),"")</f>
        <v/>
      </c>
      <c r="G945" s="163" t="s">
        <v>109</v>
      </c>
      <c r="H945" s="163" t="str">
        <f>IF(AND('Resource Planner'!$A$28="☑",41&lt;='Resource Planner'!$N$28),'Resource Planner'!$M$28,"")</f>
        <v/>
      </c>
    </row>
    <row r="946" ht="15.75" customHeight="1">
      <c r="A9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6" s="163" t="str">
        <f>IF(AND('Resource Planner'!$A$28="☑",42&lt;='Resource Planner'!$N$28),'Resource Planner'!$C$28,"")</f>
        <v/>
      </c>
      <c r="C946" s="163" t="str">
        <f>IF(AND('Resource Planner'!$A$28="☑",42&lt;='Resource Planner'!$N$28),'Resource Planner'!$B$28,"")</f>
        <v/>
      </c>
      <c r="D946" s="163" t="str">
        <f>IF(AND('Resource Planner'!$A$28="☑",42&lt;='Resource Planner'!$N$28),'Resource Planner'!$D$28,"")</f>
        <v/>
      </c>
      <c r="E946" s="163" t="str">
        <f>IF(AND('Resource Planner'!$A$28="☑",42&lt;='Resource Planner'!$N$28),'Resource Planner'!$E$28,"")</f>
        <v/>
      </c>
      <c r="F946" s="163" t="str">
        <f>IF(AND('Resource Planner'!$A$28="☑",42&lt;='Resource Planner'!$N$28),'Resource Planner'!$F$28&amp;" "&amp;('Resource Planner'!$G$28+(42-1)*'Resource Planner'!$I$28)&amp;IF(('Resource Planner'!$G$28+(42-1)*'Resource Planner'!$I$28)=MIN('Resource Planner'!$G$28+42*'Resource Planner'!$I$28-1,'Resource Planner'!$H$28),"","–"&amp;MIN('Resource Planner'!$G$28+42*'Resource Planner'!$I$28-1,'Resource Planner'!$H$28)),"")</f>
        <v/>
      </c>
      <c r="G946" s="163" t="s">
        <v>109</v>
      </c>
      <c r="H946" s="163" t="str">
        <f>IF(AND('Resource Planner'!$A$28="☑",42&lt;='Resource Planner'!$N$28),'Resource Planner'!$M$28,"")</f>
        <v/>
      </c>
    </row>
    <row r="947" ht="15.75" customHeight="1">
      <c r="A9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7" s="163" t="str">
        <f>IF(AND('Resource Planner'!$A$28="☑",43&lt;='Resource Planner'!$N$28),'Resource Planner'!$C$28,"")</f>
        <v/>
      </c>
      <c r="C947" s="163" t="str">
        <f>IF(AND('Resource Planner'!$A$28="☑",43&lt;='Resource Planner'!$N$28),'Resource Planner'!$B$28,"")</f>
        <v/>
      </c>
      <c r="D947" s="163" t="str">
        <f>IF(AND('Resource Planner'!$A$28="☑",43&lt;='Resource Planner'!$N$28),'Resource Planner'!$D$28,"")</f>
        <v/>
      </c>
      <c r="E947" s="163" t="str">
        <f>IF(AND('Resource Planner'!$A$28="☑",43&lt;='Resource Planner'!$N$28),'Resource Planner'!$E$28,"")</f>
        <v/>
      </c>
      <c r="F947" s="163" t="str">
        <f>IF(AND('Resource Planner'!$A$28="☑",43&lt;='Resource Planner'!$N$28),'Resource Planner'!$F$28&amp;" "&amp;('Resource Planner'!$G$28+(43-1)*'Resource Planner'!$I$28)&amp;IF(('Resource Planner'!$G$28+(43-1)*'Resource Planner'!$I$28)=MIN('Resource Planner'!$G$28+43*'Resource Planner'!$I$28-1,'Resource Planner'!$H$28),"","–"&amp;MIN('Resource Planner'!$G$28+43*'Resource Planner'!$I$28-1,'Resource Planner'!$H$28)),"")</f>
        <v/>
      </c>
      <c r="G947" s="163" t="s">
        <v>109</v>
      </c>
      <c r="H947" s="163" t="str">
        <f>IF(AND('Resource Planner'!$A$28="☑",43&lt;='Resource Planner'!$N$28),'Resource Planner'!$M$28,"")</f>
        <v/>
      </c>
    </row>
    <row r="948" ht="15.75" customHeight="1">
      <c r="A9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8" s="163" t="str">
        <f>IF(AND('Resource Planner'!$A$28="☑",44&lt;='Resource Planner'!$N$28),'Resource Planner'!$C$28,"")</f>
        <v/>
      </c>
      <c r="C948" s="163" t="str">
        <f>IF(AND('Resource Planner'!$A$28="☑",44&lt;='Resource Planner'!$N$28),'Resource Planner'!$B$28,"")</f>
        <v/>
      </c>
      <c r="D948" s="163" t="str">
        <f>IF(AND('Resource Planner'!$A$28="☑",44&lt;='Resource Planner'!$N$28),'Resource Planner'!$D$28,"")</f>
        <v/>
      </c>
      <c r="E948" s="163" t="str">
        <f>IF(AND('Resource Planner'!$A$28="☑",44&lt;='Resource Planner'!$N$28),'Resource Planner'!$E$28,"")</f>
        <v/>
      </c>
      <c r="F948" s="163" t="str">
        <f>IF(AND('Resource Planner'!$A$28="☑",44&lt;='Resource Planner'!$N$28),'Resource Planner'!$F$28&amp;" "&amp;('Resource Planner'!$G$28+(44-1)*'Resource Planner'!$I$28)&amp;IF(('Resource Planner'!$G$28+(44-1)*'Resource Planner'!$I$28)=MIN('Resource Planner'!$G$28+44*'Resource Planner'!$I$28-1,'Resource Planner'!$H$28),"","–"&amp;MIN('Resource Planner'!$G$28+44*'Resource Planner'!$I$28-1,'Resource Planner'!$H$28)),"")</f>
        <v/>
      </c>
      <c r="G948" s="163" t="s">
        <v>109</v>
      </c>
      <c r="H948" s="163" t="str">
        <f>IF(AND('Resource Planner'!$A$28="☑",44&lt;='Resource Planner'!$N$28),'Resource Planner'!$M$28,"")</f>
        <v/>
      </c>
    </row>
    <row r="949" ht="15.75" customHeight="1">
      <c r="A9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49" s="163" t="str">
        <f>IF(AND('Resource Planner'!$A$28="☑",45&lt;='Resource Planner'!$N$28),'Resource Planner'!$C$28,"")</f>
        <v/>
      </c>
      <c r="C949" s="163" t="str">
        <f>IF(AND('Resource Planner'!$A$28="☑",45&lt;='Resource Planner'!$N$28),'Resource Planner'!$B$28,"")</f>
        <v/>
      </c>
      <c r="D949" s="163" t="str">
        <f>IF(AND('Resource Planner'!$A$28="☑",45&lt;='Resource Planner'!$N$28),'Resource Planner'!$D$28,"")</f>
        <v/>
      </c>
      <c r="E949" s="163" t="str">
        <f>IF(AND('Resource Planner'!$A$28="☑",45&lt;='Resource Planner'!$N$28),'Resource Planner'!$E$28,"")</f>
        <v/>
      </c>
      <c r="F949" s="163" t="str">
        <f>IF(AND('Resource Planner'!$A$28="☑",45&lt;='Resource Planner'!$N$28),'Resource Planner'!$F$28&amp;" "&amp;('Resource Planner'!$G$28+(45-1)*'Resource Planner'!$I$28)&amp;IF(('Resource Planner'!$G$28+(45-1)*'Resource Planner'!$I$28)=MIN('Resource Planner'!$G$28+45*'Resource Planner'!$I$28-1,'Resource Planner'!$H$28),"","–"&amp;MIN('Resource Planner'!$G$28+45*'Resource Planner'!$I$28-1,'Resource Planner'!$H$28)),"")</f>
        <v/>
      </c>
      <c r="G949" s="163" t="s">
        <v>109</v>
      </c>
      <c r="H949" s="163" t="str">
        <f>IF(AND('Resource Planner'!$A$28="☑",45&lt;='Resource Planner'!$N$28),'Resource Planner'!$M$28,"")</f>
        <v/>
      </c>
    </row>
    <row r="950" ht="15.75" customHeight="1">
      <c r="A9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0" s="163" t="str">
        <f>IF(AND('Resource Planner'!$A$28="☑",46&lt;='Resource Planner'!$N$28),'Resource Planner'!$C$28,"")</f>
        <v/>
      </c>
      <c r="C950" s="163" t="str">
        <f>IF(AND('Resource Planner'!$A$28="☑",46&lt;='Resource Planner'!$N$28),'Resource Planner'!$B$28,"")</f>
        <v/>
      </c>
      <c r="D950" s="163" t="str">
        <f>IF(AND('Resource Planner'!$A$28="☑",46&lt;='Resource Planner'!$N$28),'Resource Planner'!$D$28,"")</f>
        <v/>
      </c>
      <c r="E950" s="163" t="str">
        <f>IF(AND('Resource Planner'!$A$28="☑",46&lt;='Resource Planner'!$N$28),'Resource Planner'!$E$28,"")</f>
        <v/>
      </c>
      <c r="F950" s="163" t="str">
        <f>IF(AND('Resource Planner'!$A$28="☑",46&lt;='Resource Planner'!$N$28),'Resource Planner'!$F$28&amp;" "&amp;('Resource Planner'!$G$28+(46-1)*'Resource Planner'!$I$28)&amp;IF(('Resource Planner'!$G$28+(46-1)*'Resource Planner'!$I$28)=MIN('Resource Planner'!$G$28+46*'Resource Planner'!$I$28-1,'Resource Planner'!$H$28),"","–"&amp;MIN('Resource Planner'!$G$28+46*'Resource Planner'!$I$28-1,'Resource Planner'!$H$28)),"")</f>
        <v/>
      </c>
      <c r="G950" s="163" t="s">
        <v>109</v>
      </c>
      <c r="H950" s="163" t="str">
        <f>IF(AND('Resource Planner'!$A$28="☑",46&lt;='Resource Planner'!$N$28),'Resource Planner'!$M$28,"")</f>
        <v/>
      </c>
    </row>
    <row r="951" ht="15.75" customHeight="1">
      <c r="A9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1" s="163" t="str">
        <f>IF(AND('Resource Planner'!$A$28="☑",47&lt;='Resource Planner'!$N$28),'Resource Planner'!$C$28,"")</f>
        <v/>
      </c>
      <c r="C951" s="163" t="str">
        <f>IF(AND('Resource Planner'!$A$28="☑",47&lt;='Resource Planner'!$N$28),'Resource Planner'!$B$28,"")</f>
        <v/>
      </c>
      <c r="D951" s="163" t="str">
        <f>IF(AND('Resource Planner'!$A$28="☑",47&lt;='Resource Planner'!$N$28),'Resource Planner'!$D$28,"")</f>
        <v/>
      </c>
      <c r="E951" s="163" t="str">
        <f>IF(AND('Resource Planner'!$A$28="☑",47&lt;='Resource Planner'!$N$28),'Resource Planner'!$E$28,"")</f>
        <v/>
      </c>
      <c r="F951" s="163" t="str">
        <f>IF(AND('Resource Planner'!$A$28="☑",47&lt;='Resource Planner'!$N$28),'Resource Planner'!$F$28&amp;" "&amp;('Resource Planner'!$G$28+(47-1)*'Resource Planner'!$I$28)&amp;IF(('Resource Planner'!$G$28+(47-1)*'Resource Planner'!$I$28)=MIN('Resource Planner'!$G$28+47*'Resource Planner'!$I$28-1,'Resource Planner'!$H$28),"","–"&amp;MIN('Resource Planner'!$G$28+47*'Resource Planner'!$I$28-1,'Resource Planner'!$H$28)),"")</f>
        <v/>
      </c>
      <c r="G951" s="163" t="s">
        <v>109</v>
      </c>
      <c r="H951" s="163" t="str">
        <f>IF(AND('Resource Planner'!$A$28="☑",47&lt;='Resource Planner'!$N$28),'Resource Planner'!$M$28,"")</f>
        <v/>
      </c>
    </row>
    <row r="952" ht="15.75" customHeight="1">
      <c r="A9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2" s="163" t="str">
        <f>IF(AND('Resource Planner'!$A$28="☑",48&lt;='Resource Planner'!$N$28),'Resource Planner'!$C$28,"")</f>
        <v/>
      </c>
      <c r="C952" s="163" t="str">
        <f>IF(AND('Resource Planner'!$A$28="☑",48&lt;='Resource Planner'!$N$28),'Resource Planner'!$B$28,"")</f>
        <v/>
      </c>
      <c r="D952" s="163" t="str">
        <f>IF(AND('Resource Planner'!$A$28="☑",48&lt;='Resource Planner'!$N$28),'Resource Planner'!$D$28,"")</f>
        <v/>
      </c>
      <c r="E952" s="163" t="str">
        <f>IF(AND('Resource Planner'!$A$28="☑",48&lt;='Resource Planner'!$N$28),'Resource Planner'!$E$28,"")</f>
        <v/>
      </c>
      <c r="F952" s="163" t="str">
        <f>IF(AND('Resource Planner'!$A$28="☑",48&lt;='Resource Planner'!$N$28),'Resource Planner'!$F$28&amp;" "&amp;('Resource Planner'!$G$28+(48-1)*'Resource Planner'!$I$28)&amp;IF(('Resource Planner'!$G$28+(48-1)*'Resource Planner'!$I$28)=MIN('Resource Planner'!$G$28+48*'Resource Planner'!$I$28-1,'Resource Planner'!$H$28),"","–"&amp;MIN('Resource Planner'!$G$28+48*'Resource Planner'!$I$28-1,'Resource Planner'!$H$28)),"")</f>
        <v/>
      </c>
      <c r="G952" s="163" t="s">
        <v>109</v>
      </c>
      <c r="H952" s="163" t="str">
        <f>IF(AND('Resource Planner'!$A$28="☑",48&lt;='Resource Planner'!$N$28),'Resource Planner'!$M$28,"")</f>
        <v/>
      </c>
    </row>
    <row r="953" ht="15.75" customHeight="1">
      <c r="A9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3" s="163" t="str">
        <f>IF(AND('Resource Planner'!$A$28="☑",49&lt;='Resource Planner'!$N$28),'Resource Planner'!$C$28,"")</f>
        <v/>
      </c>
      <c r="C953" s="163" t="str">
        <f>IF(AND('Resource Planner'!$A$28="☑",49&lt;='Resource Planner'!$N$28),'Resource Planner'!$B$28,"")</f>
        <v/>
      </c>
      <c r="D953" s="163" t="str">
        <f>IF(AND('Resource Planner'!$A$28="☑",49&lt;='Resource Planner'!$N$28),'Resource Planner'!$D$28,"")</f>
        <v/>
      </c>
      <c r="E953" s="163" t="str">
        <f>IF(AND('Resource Planner'!$A$28="☑",49&lt;='Resource Planner'!$N$28),'Resource Planner'!$E$28,"")</f>
        <v/>
      </c>
      <c r="F953" s="163" t="str">
        <f>IF(AND('Resource Planner'!$A$28="☑",49&lt;='Resource Planner'!$N$28),'Resource Planner'!$F$28&amp;" "&amp;('Resource Planner'!$G$28+(49-1)*'Resource Planner'!$I$28)&amp;IF(('Resource Planner'!$G$28+(49-1)*'Resource Planner'!$I$28)=MIN('Resource Planner'!$G$28+49*'Resource Planner'!$I$28-1,'Resource Planner'!$H$28),"","–"&amp;MIN('Resource Planner'!$G$28+49*'Resource Planner'!$I$28-1,'Resource Planner'!$H$28)),"")</f>
        <v/>
      </c>
      <c r="G953" s="163" t="s">
        <v>109</v>
      </c>
      <c r="H953" s="163" t="str">
        <f>IF(AND('Resource Planner'!$A$28="☑",49&lt;='Resource Planner'!$N$28),'Resource Planner'!$M$28,"")</f>
        <v/>
      </c>
    </row>
    <row r="954" ht="15.75" customHeight="1">
      <c r="A9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4" s="163" t="str">
        <f>IF(AND('Resource Planner'!$A$28="☑",50&lt;='Resource Planner'!$N$28),'Resource Planner'!$C$28,"")</f>
        <v/>
      </c>
      <c r="C954" s="163" t="str">
        <f>IF(AND('Resource Planner'!$A$28="☑",50&lt;='Resource Planner'!$N$28),'Resource Planner'!$B$28,"")</f>
        <v/>
      </c>
      <c r="D954" s="163" t="str">
        <f>IF(AND('Resource Planner'!$A$28="☑",50&lt;='Resource Planner'!$N$28),'Resource Planner'!$D$28,"")</f>
        <v/>
      </c>
      <c r="E954" s="163" t="str">
        <f>IF(AND('Resource Planner'!$A$28="☑",50&lt;='Resource Planner'!$N$28),'Resource Planner'!$E$28,"")</f>
        <v/>
      </c>
      <c r="F954" s="163" t="str">
        <f>IF(AND('Resource Planner'!$A$28="☑",50&lt;='Resource Planner'!$N$28),'Resource Planner'!$F$28&amp;" "&amp;('Resource Planner'!$G$28+(50-1)*'Resource Planner'!$I$28)&amp;IF(('Resource Planner'!$G$28+(50-1)*'Resource Planner'!$I$28)=MIN('Resource Planner'!$G$28+50*'Resource Planner'!$I$28-1,'Resource Planner'!$H$28),"","–"&amp;MIN('Resource Planner'!$G$28+50*'Resource Planner'!$I$28-1,'Resource Planner'!$H$28)),"")</f>
        <v/>
      </c>
      <c r="G954" s="163" t="s">
        <v>109</v>
      </c>
      <c r="H954" s="163" t="str">
        <f>IF(AND('Resource Planner'!$A$28="☑",50&lt;='Resource Planner'!$N$28),'Resource Planner'!$M$28,"")</f>
        <v/>
      </c>
    </row>
    <row r="955" ht="15.75" customHeight="1">
      <c r="A9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5" s="163" t="str">
        <f>IF(AND('Resource Planner'!$A$29="☑",1&lt;='Resource Planner'!$N$29),'Resource Planner'!$C$29,"")</f>
        <v/>
      </c>
      <c r="C955" s="163" t="str">
        <f>IF(AND('Resource Planner'!$A$29="☑",1&lt;='Resource Planner'!$N$29),'Resource Planner'!$B$29,"")</f>
        <v/>
      </c>
      <c r="D955" s="163" t="str">
        <f>IF(AND('Resource Planner'!$A$29="☑",1&lt;='Resource Planner'!$N$29),'Resource Planner'!$D$29,"")</f>
        <v/>
      </c>
      <c r="E955" s="163" t="str">
        <f>IF(AND('Resource Planner'!$A$29="☑",1&lt;='Resource Planner'!$N$29),'Resource Planner'!$E$29,"")</f>
        <v/>
      </c>
      <c r="F955" s="163" t="str">
        <f>IF(AND('Resource Planner'!$A$29="☑",1&lt;='Resource Planner'!$N$29),'Resource Planner'!$F$29&amp;" "&amp;('Resource Planner'!$G$29+(1-1)*'Resource Planner'!$I$29)&amp;IF(('Resource Planner'!$G$29+(1-1)*'Resource Planner'!$I$29)=MIN('Resource Planner'!$G$29+1*'Resource Planner'!$I$29-1,'Resource Planner'!$H$29),"","–"&amp;MIN('Resource Planner'!$G$29+1*'Resource Planner'!$I$29-1,'Resource Planner'!$H$29)),"")</f>
        <v/>
      </c>
      <c r="G955" s="163" t="s">
        <v>109</v>
      </c>
      <c r="H955" s="163" t="str">
        <f>IF(AND('Resource Planner'!$A$29="☑",1&lt;='Resource Planner'!$N$29),'Resource Planner'!$M$29,"")</f>
        <v/>
      </c>
    </row>
    <row r="956" ht="15.75" customHeight="1">
      <c r="A9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6" s="163" t="str">
        <f>IF(AND('Resource Planner'!$A$29="☑",2&lt;='Resource Planner'!$N$29),'Resource Planner'!$C$29,"")</f>
        <v/>
      </c>
      <c r="C956" s="163" t="str">
        <f>IF(AND('Resource Planner'!$A$29="☑",2&lt;='Resource Planner'!$N$29),'Resource Planner'!$B$29,"")</f>
        <v/>
      </c>
      <c r="D956" s="163" t="str">
        <f>IF(AND('Resource Planner'!$A$29="☑",2&lt;='Resource Planner'!$N$29),'Resource Planner'!$D$29,"")</f>
        <v/>
      </c>
      <c r="E956" s="163" t="str">
        <f>IF(AND('Resource Planner'!$A$29="☑",2&lt;='Resource Planner'!$N$29),'Resource Planner'!$E$29,"")</f>
        <v/>
      </c>
      <c r="F956" s="163" t="str">
        <f>IF(AND('Resource Planner'!$A$29="☑",2&lt;='Resource Planner'!$N$29),'Resource Planner'!$F$29&amp;" "&amp;('Resource Planner'!$G$29+(2-1)*'Resource Planner'!$I$29)&amp;IF(('Resource Planner'!$G$29+(2-1)*'Resource Planner'!$I$29)=MIN('Resource Planner'!$G$29+2*'Resource Planner'!$I$29-1,'Resource Planner'!$H$29),"","–"&amp;MIN('Resource Planner'!$G$29+2*'Resource Planner'!$I$29-1,'Resource Planner'!$H$29)),"")</f>
        <v/>
      </c>
      <c r="G956" s="163" t="s">
        <v>109</v>
      </c>
      <c r="H956" s="163" t="str">
        <f>IF(AND('Resource Planner'!$A$29="☑",2&lt;='Resource Planner'!$N$29),'Resource Planner'!$M$29,"")</f>
        <v/>
      </c>
    </row>
    <row r="957" ht="15.75" customHeight="1">
      <c r="A9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7" s="163" t="str">
        <f>IF(AND('Resource Planner'!$A$29="☑",3&lt;='Resource Planner'!$N$29),'Resource Planner'!$C$29,"")</f>
        <v/>
      </c>
      <c r="C957" s="163" t="str">
        <f>IF(AND('Resource Planner'!$A$29="☑",3&lt;='Resource Planner'!$N$29),'Resource Planner'!$B$29,"")</f>
        <v/>
      </c>
      <c r="D957" s="163" t="str">
        <f>IF(AND('Resource Planner'!$A$29="☑",3&lt;='Resource Planner'!$N$29),'Resource Planner'!$D$29,"")</f>
        <v/>
      </c>
      <c r="E957" s="163" t="str">
        <f>IF(AND('Resource Planner'!$A$29="☑",3&lt;='Resource Planner'!$N$29),'Resource Planner'!$E$29,"")</f>
        <v/>
      </c>
      <c r="F957" s="163" t="str">
        <f>IF(AND('Resource Planner'!$A$29="☑",3&lt;='Resource Planner'!$N$29),'Resource Planner'!$F$29&amp;" "&amp;('Resource Planner'!$G$29+(3-1)*'Resource Planner'!$I$29)&amp;IF(('Resource Planner'!$G$29+(3-1)*'Resource Planner'!$I$29)=MIN('Resource Planner'!$G$29+3*'Resource Planner'!$I$29-1,'Resource Planner'!$H$29),"","–"&amp;MIN('Resource Planner'!$G$29+3*'Resource Planner'!$I$29-1,'Resource Planner'!$H$29)),"")</f>
        <v/>
      </c>
      <c r="G957" s="163" t="s">
        <v>109</v>
      </c>
      <c r="H957" s="163" t="str">
        <f>IF(AND('Resource Planner'!$A$29="☑",3&lt;='Resource Planner'!$N$29),'Resource Planner'!$M$29,"")</f>
        <v/>
      </c>
    </row>
    <row r="958" ht="15.75" customHeight="1">
      <c r="A9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8" s="163" t="str">
        <f>IF(AND('Resource Planner'!$A$29="☑",4&lt;='Resource Planner'!$N$29),'Resource Planner'!$C$29,"")</f>
        <v/>
      </c>
      <c r="C958" s="163" t="str">
        <f>IF(AND('Resource Planner'!$A$29="☑",4&lt;='Resource Planner'!$N$29),'Resource Planner'!$B$29,"")</f>
        <v/>
      </c>
      <c r="D958" s="163" t="str">
        <f>IF(AND('Resource Planner'!$A$29="☑",4&lt;='Resource Planner'!$N$29),'Resource Planner'!$D$29,"")</f>
        <v/>
      </c>
      <c r="E958" s="163" t="str">
        <f>IF(AND('Resource Planner'!$A$29="☑",4&lt;='Resource Planner'!$N$29),'Resource Planner'!$E$29,"")</f>
        <v/>
      </c>
      <c r="F958" s="163" t="str">
        <f>IF(AND('Resource Planner'!$A$29="☑",4&lt;='Resource Planner'!$N$29),'Resource Planner'!$F$29&amp;" "&amp;('Resource Planner'!$G$29+(4-1)*'Resource Planner'!$I$29)&amp;IF(('Resource Planner'!$G$29+(4-1)*'Resource Planner'!$I$29)=MIN('Resource Planner'!$G$29+4*'Resource Planner'!$I$29-1,'Resource Planner'!$H$29),"","–"&amp;MIN('Resource Planner'!$G$29+4*'Resource Planner'!$I$29-1,'Resource Planner'!$H$29)),"")</f>
        <v/>
      </c>
      <c r="G958" s="163" t="s">
        <v>109</v>
      </c>
      <c r="H958" s="163" t="str">
        <f>IF(AND('Resource Planner'!$A$29="☑",4&lt;='Resource Planner'!$N$29),'Resource Planner'!$M$29,"")</f>
        <v/>
      </c>
    </row>
    <row r="959" ht="15.75" customHeight="1">
      <c r="A9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59" s="163" t="str">
        <f>IF(AND('Resource Planner'!$A$29="☑",5&lt;='Resource Planner'!$N$29),'Resource Planner'!$C$29,"")</f>
        <v/>
      </c>
      <c r="C959" s="163" t="str">
        <f>IF(AND('Resource Planner'!$A$29="☑",5&lt;='Resource Planner'!$N$29),'Resource Planner'!$B$29,"")</f>
        <v/>
      </c>
      <c r="D959" s="163" t="str">
        <f>IF(AND('Resource Planner'!$A$29="☑",5&lt;='Resource Planner'!$N$29),'Resource Planner'!$D$29,"")</f>
        <v/>
      </c>
      <c r="E959" s="163" t="str">
        <f>IF(AND('Resource Planner'!$A$29="☑",5&lt;='Resource Planner'!$N$29),'Resource Planner'!$E$29,"")</f>
        <v/>
      </c>
      <c r="F959" s="163" t="str">
        <f>IF(AND('Resource Planner'!$A$29="☑",5&lt;='Resource Planner'!$N$29),'Resource Planner'!$F$29&amp;" "&amp;('Resource Planner'!$G$29+(5-1)*'Resource Planner'!$I$29)&amp;IF(('Resource Planner'!$G$29+(5-1)*'Resource Planner'!$I$29)=MIN('Resource Planner'!$G$29+5*'Resource Planner'!$I$29-1,'Resource Planner'!$H$29),"","–"&amp;MIN('Resource Planner'!$G$29+5*'Resource Planner'!$I$29-1,'Resource Planner'!$H$29)),"")</f>
        <v/>
      </c>
      <c r="G959" s="163" t="s">
        <v>109</v>
      </c>
      <c r="H959" s="163" t="str">
        <f>IF(AND('Resource Planner'!$A$29="☑",5&lt;='Resource Planner'!$N$29),'Resource Planner'!$M$29,"")</f>
        <v/>
      </c>
    </row>
    <row r="960" ht="15.75" customHeight="1">
      <c r="A9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0" s="163" t="str">
        <f>IF(AND('Resource Planner'!$A$29="☑",6&lt;='Resource Planner'!$N$29),'Resource Planner'!$C$29,"")</f>
        <v/>
      </c>
      <c r="C960" s="163" t="str">
        <f>IF(AND('Resource Planner'!$A$29="☑",6&lt;='Resource Planner'!$N$29),'Resource Planner'!$B$29,"")</f>
        <v/>
      </c>
      <c r="D960" s="163" t="str">
        <f>IF(AND('Resource Planner'!$A$29="☑",6&lt;='Resource Planner'!$N$29),'Resource Planner'!$D$29,"")</f>
        <v/>
      </c>
      <c r="E960" s="163" t="str">
        <f>IF(AND('Resource Planner'!$A$29="☑",6&lt;='Resource Planner'!$N$29),'Resource Planner'!$E$29,"")</f>
        <v/>
      </c>
      <c r="F960" s="163" t="str">
        <f>IF(AND('Resource Planner'!$A$29="☑",6&lt;='Resource Planner'!$N$29),'Resource Planner'!$F$29&amp;" "&amp;('Resource Planner'!$G$29+(6-1)*'Resource Planner'!$I$29)&amp;IF(('Resource Planner'!$G$29+(6-1)*'Resource Planner'!$I$29)=MIN('Resource Planner'!$G$29+6*'Resource Planner'!$I$29-1,'Resource Planner'!$H$29),"","–"&amp;MIN('Resource Planner'!$G$29+6*'Resource Planner'!$I$29-1,'Resource Planner'!$H$29)),"")</f>
        <v/>
      </c>
      <c r="G960" s="163" t="s">
        <v>109</v>
      </c>
      <c r="H960" s="163" t="str">
        <f>IF(AND('Resource Planner'!$A$29="☑",6&lt;='Resource Planner'!$N$29),'Resource Planner'!$M$29,"")</f>
        <v/>
      </c>
    </row>
    <row r="961" ht="15.75" customHeight="1">
      <c r="A9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1" s="163" t="str">
        <f>IF(AND('Resource Planner'!$A$29="☑",7&lt;='Resource Planner'!$N$29),'Resource Planner'!$C$29,"")</f>
        <v/>
      </c>
      <c r="C961" s="163" t="str">
        <f>IF(AND('Resource Planner'!$A$29="☑",7&lt;='Resource Planner'!$N$29),'Resource Planner'!$B$29,"")</f>
        <v/>
      </c>
      <c r="D961" s="163" t="str">
        <f>IF(AND('Resource Planner'!$A$29="☑",7&lt;='Resource Planner'!$N$29),'Resource Planner'!$D$29,"")</f>
        <v/>
      </c>
      <c r="E961" s="163" t="str">
        <f>IF(AND('Resource Planner'!$A$29="☑",7&lt;='Resource Planner'!$N$29),'Resource Planner'!$E$29,"")</f>
        <v/>
      </c>
      <c r="F961" s="163" t="str">
        <f>IF(AND('Resource Planner'!$A$29="☑",7&lt;='Resource Planner'!$N$29),'Resource Planner'!$F$29&amp;" "&amp;('Resource Planner'!$G$29+(7-1)*'Resource Planner'!$I$29)&amp;IF(('Resource Planner'!$G$29+(7-1)*'Resource Planner'!$I$29)=MIN('Resource Planner'!$G$29+7*'Resource Planner'!$I$29-1,'Resource Planner'!$H$29),"","–"&amp;MIN('Resource Planner'!$G$29+7*'Resource Planner'!$I$29-1,'Resource Planner'!$H$29)),"")</f>
        <v/>
      </c>
      <c r="G961" s="163" t="s">
        <v>109</v>
      </c>
      <c r="H961" s="163" t="str">
        <f>IF(AND('Resource Planner'!$A$29="☑",7&lt;='Resource Planner'!$N$29),'Resource Planner'!$M$29,"")</f>
        <v/>
      </c>
    </row>
    <row r="962" ht="15.75" customHeight="1">
      <c r="A9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2" s="163" t="str">
        <f>IF(AND('Resource Planner'!$A$29="☑",8&lt;='Resource Planner'!$N$29),'Resource Planner'!$C$29,"")</f>
        <v/>
      </c>
      <c r="C962" s="163" t="str">
        <f>IF(AND('Resource Planner'!$A$29="☑",8&lt;='Resource Planner'!$N$29),'Resource Planner'!$B$29,"")</f>
        <v/>
      </c>
      <c r="D962" s="163" t="str">
        <f>IF(AND('Resource Planner'!$A$29="☑",8&lt;='Resource Planner'!$N$29),'Resource Planner'!$D$29,"")</f>
        <v/>
      </c>
      <c r="E962" s="163" t="str">
        <f>IF(AND('Resource Planner'!$A$29="☑",8&lt;='Resource Planner'!$N$29),'Resource Planner'!$E$29,"")</f>
        <v/>
      </c>
      <c r="F962" s="163" t="str">
        <f>IF(AND('Resource Planner'!$A$29="☑",8&lt;='Resource Planner'!$N$29),'Resource Planner'!$F$29&amp;" "&amp;('Resource Planner'!$G$29+(8-1)*'Resource Planner'!$I$29)&amp;IF(('Resource Planner'!$G$29+(8-1)*'Resource Planner'!$I$29)=MIN('Resource Planner'!$G$29+8*'Resource Planner'!$I$29-1,'Resource Planner'!$H$29),"","–"&amp;MIN('Resource Planner'!$G$29+8*'Resource Planner'!$I$29-1,'Resource Planner'!$H$29)),"")</f>
        <v/>
      </c>
      <c r="G962" s="163" t="s">
        <v>109</v>
      </c>
      <c r="H962" s="163" t="str">
        <f>IF(AND('Resource Planner'!$A$29="☑",8&lt;='Resource Planner'!$N$29),'Resource Planner'!$M$29,"")</f>
        <v/>
      </c>
    </row>
    <row r="963" ht="15.75" customHeight="1">
      <c r="A9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3" s="163" t="str">
        <f>IF(AND('Resource Planner'!$A$29="☑",9&lt;='Resource Planner'!$N$29),'Resource Planner'!$C$29,"")</f>
        <v/>
      </c>
      <c r="C963" s="163" t="str">
        <f>IF(AND('Resource Planner'!$A$29="☑",9&lt;='Resource Planner'!$N$29),'Resource Planner'!$B$29,"")</f>
        <v/>
      </c>
      <c r="D963" s="163" t="str">
        <f>IF(AND('Resource Planner'!$A$29="☑",9&lt;='Resource Planner'!$N$29),'Resource Planner'!$D$29,"")</f>
        <v/>
      </c>
      <c r="E963" s="163" t="str">
        <f>IF(AND('Resource Planner'!$A$29="☑",9&lt;='Resource Planner'!$N$29),'Resource Planner'!$E$29,"")</f>
        <v/>
      </c>
      <c r="F963" s="163" t="str">
        <f>IF(AND('Resource Planner'!$A$29="☑",9&lt;='Resource Planner'!$N$29),'Resource Planner'!$F$29&amp;" "&amp;('Resource Planner'!$G$29+(9-1)*'Resource Planner'!$I$29)&amp;IF(('Resource Planner'!$G$29+(9-1)*'Resource Planner'!$I$29)=MIN('Resource Planner'!$G$29+9*'Resource Planner'!$I$29-1,'Resource Planner'!$H$29),"","–"&amp;MIN('Resource Planner'!$G$29+9*'Resource Planner'!$I$29-1,'Resource Planner'!$H$29)),"")</f>
        <v/>
      </c>
      <c r="G963" s="163" t="s">
        <v>109</v>
      </c>
      <c r="H963" s="163" t="str">
        <f>IF(AND('Resource Planner'!$A$29="☑",9&lt;='Resource Planner'!$N$29),'Resource Planner'!$M$29,"")</f>
        <v/>
      </c>
    </row>
    <row r="964" ht="15.75" customHeight="1">
      <c r="A9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4" s="163" t="str">
        <f>IF(AND('Resource Planner'!$A$29="☑",10&lt;='Resource Planner'!$N$29),'Resource Planner'!$C$29,"")</f>
        <v/>
      </c>
      <c r="C964" s="163" t="str">
        <f>IF(AND('Resource Planner'!$A$29="☑",10&lt;='Resource Planner'!$N$29),'Resource Planner'!$B$29,"")</f>
        <v/>
      </c>
      <c r="D964" s="163" t="str">
        <f>IF(AND('Resource Planner'!$A$29="☑",10&lt;='Resource Planner'!$N$29),'Resource Planner'!$D$29,"")</f>
        <v/>
      </c>
      <c r="E964" s="163" t="str">
        <f>IF(AND('Resource Planner'!$A$29="☑",10&lt;='Resource Planner'!$N$29),'Resource Planner'!$E$29,"")</f>
        <v/>
      </c>
      <c r="F964" s="163" t="str">
        <f>IF(AND('Resource Planner'!$A$29="☑",10&lt;='Resource Planner'!$N$29),'Resource Planner'!$F$29&amp;" "&amp;('Resource Planner'!$G$29+(10-1)*'Resource Planner'!$I$29)&amp;IF(('Resource Planner'!$G$29+(10-1)*'Resource Planner'!$I$29)=MIN('Resource Planner'!$G$29+10*'Resource Planner'!$I$29-1,'Resource Planner'!$H$29),"","–"&amp;MIN('Resource Planner'!$G$29+10*'Resource Planner'!$I$29-1,'Resource Planner'!$H$29)),"")</f>
        <v/>
      </c>
      <c r="G964" s="163" t="s">
        <v>109</v>
      </c>
      <c r="H964" s="163" t="str">
        <f>IF(AND('Resource Planner'!$A$29="☑",10&lt;='Resource Planner'!$N$29),'Resource Planner'!$M$29,"")</f>
        <v/>
      </c>
    </row>
    <row r="965" ht="15.75" customHeight="1">
      <c r="A9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5" s="163" t="str">
        <f>IF(AND('Resource Planner'!$A$29="☑",11&lt;='Resource Planner'!$N$29),'Resource Planner'!$C$29,"")</f>
        <v/>
      </c>
      <c r="C965" s="163" t="str">
        <f>IF(AND('Resource Planner'!$A$29="☑",11&lt;='Resource Planner'!$N$29),'Resource Planner'!$B$29,"")</f>
        <v/>
      </c>
      <c r="D965" s="163" t="str">
        <f>IF(AND('Resource Planner'!$A$29="☑",11&lt;='Resource Planner'!$N$29),'Resource Planner'!$D$29,"")</f>
        <v/>
      </c>
      <c r="E965" s="163" t="str">
        <f>IF(AND('Resource Planner'!$A$29="☑",11&lt;='Resource Planner'!$N$29),'Resource Planner'!$E$29,"")</f>
        <v/>
      </c>
      <c r="F965" s="163" t="str">
        <f>IF(AND('Resource Planner'!$A$29="☑",11&lt;='Resource Planner'!$N$29),'Resource Planner'!$F$29&amp;" "&amp;('Resource Planner'!$G$29+(11-1)*'Resource Planner'!$I$29)&amp;IF(('Resource Planner'!$G$29+(11-1)*'Resource Planner'!$I$29)=MIN('Resource Planner'!$G$29+11*'Resource Planner'!$I$29-1,'Resource Planner'!$H$29),"","–"&amp;MIN('Resource Planner'!$G$29+11*'Resource Planner'!$I$29-1,'Resource Planner'!$H$29)),"")</f>
        <v/>
      </c>
      <c r="G965" s="163" t="s">
        <v>109</v>
      </c>
      <c r="H965" s="163" t="str">
        <f>IF(AND('Resource Planner'!$A$29="☑",11&lt;='Resource Planner'!$N$29),'Resource Planner'!$M$29,"")</f>
        <v/>
      </c>
    </row>
    <row r="966" ht="15.75" customHeight="1">
      <c r="A9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6" s="163" t="str">
        <f>IF(AND('Resource Planner'!$A$29="☑",12&lt;='Resource Planner'!$N$29),'Resource Planner'!$C$29,"")</f>
        <v/>
      </c>
      <c r="C966" s="163" t="str">
        <f>IF(AND('Resource Planner'!$A$29="☑",12&lt;='Resource Planner'!$N$29),'Resource Planner'!$B$29,"")</f>
        <v/>
      </c>
      <c r="D966" s="163" t="str">
        <f>IF(AND('Resource Planner'!$A$29="☑",12&lt;='Resource Planner'!$N$29),'Resource Planner'!$D$29,"")</f>
        <v/>
      </c>
      <c r="E966" s="163" t="str">
        <f>IF(AND('Resource Planner'!$A$29="☑",12&lt;='Resource Planner'!$N$29),'Resource Planner'!$E$29,"")</f>
        <v/>
      </c>
      <c r="F966" s="163" t="str">
        <f>IF(AND('Resource Planner'!$A$29="☑",12&lt;='Resource Planner'!$N$29),'Resource Planner'!$F$29&amp;" "&amp;('Resource Planner'!$G$29+(12-1)*'Resource Planner'!$I$29)&amp;IF(('Resource Planner'!$G$29+(12-1)*'Resource Planner'!$I$29)=MIN('Resource Planner'!$G$29+12*'Resource Planner'!$I$29-1,'Resource Planner'!$H$29),"","–"&amp;MIN('Resource Planner'!$G$29+12*'Resource Planner'!$I$29-1,'Resource Planner'!$H$29)),"")</f>
        <v/>
      </c>
      <c r="G966" s="163" t="s">
        <v>109</v>
      </c>
      <c r="H966" s="163" t="str">
        <f>IF(AND('Resource Planner'!$A$29="☑",12&lt;='Resource Planner'!$N$29),'Resource Planner'!$M$29,"")</f>
        <v/>
      </c>
    </row>
    <row r="967" ht="15.75" customHeight="1">
      <c r="A9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7" s="163" t="str">
        <f>IF(AND('Resource Planner'!$A$29="☑",13&lt;='Resource Planner'!$N$29),'Resource Planner'!$C$29,"")</f>
        <v/>
      </c>
      <c r="C967" s="163" t="str">
        <f>IF(AND('Resource Planner'!$A$29="☑",13&lt;='Resource Planner'!$N$29),'Resource Planner'!$B$29,"")</f>
        <v/>
      </c>
      <c r="D967" s="163" t="str">
        <f>IF(AND('Resource Planner'!$A$29="☑",13&lt;='Resource Planner'!$N$29),'Resource Planner'!$D$29,"")</f>
        <v/>
      </c>
      <c r="E967" s="163" t="str">
        <f>IF(AND('Resource Planner'!$A$29="☑",13&lt;='Resource Planner'!$N$29),'Resource Planner'!$E$29,"")</f>
        <v/>
      </c>
      <c r="F967" s="163" t="str">
        <f>IF(AND('Resource Planner'!$A$29="☑",13&lt;='Resource Planner'!$N$29),'Resource Planner'!$F$29&amp;" "&amp;('Resource Planner'!$G$29+(13-1)*'Resource Planner'!$I$29)&amp;IF(('Resource Planner'!$G$29+(13-1)*'Resource Planner'!$I$29)=MIN('Resource Planner'!$G$29+13*'Resource Planner'!$I$29-1,'Resource Planner'!$H$29),"","–"&amp;MIN('Resource Planner'!$G$29+13*'Resource Planner'!$I$29-1,'Resource Planner'!$H$29)),"")</f>
        <v/>
      </c>
      <c r="G967" s="163" t="s">
        <v>109</v>
      </c>
      <c r="H967" s="163" t="str">
        <f>IF(AND('Resource Planner'!$A$29="☑",13&lt;='Resource Planner'!$N$29),'Resource Planner'!$M$29,"")</f>
        <v/>
      </c>
    </row>
    <row r="968" ht="15.75" customHeight="1">
      <c r="A9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8" s="163" t="str">
        <f>IF(AND('Resource Planner'!$A$29="☑",14&lt;='Resource Planner'!$N$29),'Resource Planner'!$C$29,"")</f>
        <v/>
      </c>
      <c r="C968" s="163" t="str">
        <f>IF(AND('Resource Planner'!$A$29="☑",14&lt;='Resource Planner'!$N$29),'Resource Planner'!$B$29,"")</f>
        <v/>
      </c>
      <c r="D968" s="163" t="str">
        <f>IF(AND('Resource Planner'!$A$29="☑",14&lt;='Resource Planner'!$N$29),'Resource Planner'!$D$29,"")</f>
        <v/>
      </c>
      <c r="E968" s="163" t="str">
        <f>IF(AND('Resource Planner'!$A$29="☑",14&lt;='Resource Planner'!$N$29),'Resource Planner'!$E$29,"")</f>
        <v/>
      </c>
      <c r="F968" s="163" t="str">
        <f>IF(AND('Resource Planner'!$A$29="☑",14&lt;='Resource Planner'!$N$29),'Resource Planner'!$F$29&amp;" "&amp;('Resource Planner'!$G$29+(14-1)*'Resource Planner'!$I$29)&amp;IF(('Resource Planner'!$G$29+(14-1)*'Resource Planner'!$I$29)=MIN('Resource Planner'!$G$29+14*'Resource Planner'!$I$29-1,'Resource Planner'!$H$29),"","–"&amp;MIN('Resource Planner'!$G$29+14*'Resource Planner'!$I$29-1,'Resource Planner'!$H$29)),"")</f>
        <v/>
      </c>
      <c r="G968" s="163" t="s">
        <v>109</v>
      </c>
      <c r="H968" s="163" t="str">
        <f>IF(AND('Resource Planner'!$A$29="☑",14&lt;='Resource Planner'!$N$29),'Resource Planner'!$M$29,"")</f>
        <v/>
      </c>
    </row>
    <row r="969" ht="15.75" customHeight="1">
      <c r="A9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69" s="163" t="str">
        <f>IF(AND('Resource Planner'!$A$29="☑",15&lt;='Resource Planner'!$N$29),'Resource Planner'!$C$29,"")</f>
        <v/>
      </c>
      <c r="C969" s="163" t="str">
        <f>IF(AND('Resource Planner'!$A$29="☑",15&lt;='Resource Planner'!$N$29),'Resource Planner'!$B$29,"")</f>
        <v/>
      </c>
      <c r="D969" s="163" t="str">
        <f>IF(AND('Resource Planner'!$A$29="☑",15&lt;='Resource Planner'!$N$29),'Resource Planner'!$D$29,"")</f>
        <v/>
      </c>
      <c r="E969" s="163" t="str">
        <f>IF(AND('Resource Planner'!$A$29="☑",15&lt;='Resource Planner'!$N$29),'Resource Planner'!$E$29,"")</f>
        <v/>
      </c>
      <c r="F969" s="163" t="str">
        <f>IF(AND('Resource Planner'!$A$29="☑",15&lt;='Resource Planner'!$N$29),'Resource Planner'!$F$29&amp;" "&amp;('Resource Planner'!$G$29+(15-1)*'Resource Planner'!$I$29)&amp;IF(('Resource Planner'!$G$29+(15-1)*'Resource Planner'!$I$29)=MIN('Resource Planner'!$G$29+15*'Resource Planner'!$I$29-1,'Resource Planner'!$H$29),"","–"&amp;MIN('Resource Planner'!$G$29+15*'Resource Planner'!$I$29-1,'Resource Planner'!$H$29)),"")</f>
        <v/>
      </c>
      <c r="G969" s="163" t="s">
        <v>109</v>
      </c>
      <c r="H969" s="163" t="str">
        <f>IF(AND('Resource Planner'!$A$29="☑",15&lt;='Resource Planner'!$N$29),'Resource Planner'!$M$29,"")</f>
        <v/>
      </c>
    </row>
    <row r="970" ht="15.75" customHeight="1">
      <c r="A9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0" s="163" t="str">
        <f>IF(AND('Resource Planner'!$A$29="☑",16&lt;='Resource Planner'!$N$29),'Resource Planner'!$C$29,"")</f>
        <v/>
      </c>
      <c r="C970" s="163" t="str">
        <f>IF(AND('Resource Planner'!$A$29="☑",16&lt;='Resource Planner'!$N$29),'Resource Planner'!$B$29,"")</f>
        <v/>
      </c>
      <c r="D970" s="163" t="str">
        <f>IF(AND('Resource Planner'!$A$29="☑",16&lt;='Resource Planner'!$N$29),'Resource Planner'!$D$29,"")</f>
        <v/>
      </c>
      <c r="E970" s="163" t="str">
        <f>IF(AND('Resource Planner'!$A$29="☑",16&lt;='Resource Planner'!$N$29),'Resource Planner'!$E$29,"")</f>
        <v/>
      </c>
      <c r="F970" s="163" t="str">
        <f>IF(AND('Resource Planner'!$A$29="☑",16&lt;='Resource Planner'!$N$29),'Resource Planner'!$F$29&amp;" "&amp;('Resource Planner'!$G$29+(16-1)*'Resource Planner'!$I$29)&amp;IF(('Resource Planner'!$G$29+(16-1)*'Resource Planner'!$I$29)=MIN('Resource Planner'!$G$29+16*'Resource Planner'!$I$29-1,'Resource Planner'!$H$29),"","–"&amp;MIN('Resource Planner'!$G$29+16*'Resource Planner'!$I$29-1,'Resource Planner'!$H$29)),"")</f>
        <v/>
      </c>
      <c r="G970" s="163" t="s">
        <v>109</v>
      </c>
      <c r="H970" s="163" t="str">
        <f>IF(AND('Resource Planner'!$A$29="☑",16&lt;='Resource Planner'!$N$29),'Resource Planner'!$M$29,"")</f>
        <v/>
      </c>
    </row>
    <row r="971" ht="15.75" customHeight="1">
      <c r="A9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1" s="163" t="str">
        <f>IF(AND('Resource Planner'!$A$29="☑",17&lt;='Resource Planner'!$N$29),'Resource Planner'!$C$29,"")</f>
        <v/>
      </c>
      <c r="C971" s="163" t="str">
        <f>IF(AND('Resource Planner'!$A$29="☑",17&lt;='Resource Planner'!$N$29),'Resource Planner'!$B$29,"")</f>
        <v/>
      </c>
      <c r="D971" s="163" t="str">
        <f>IF(AND('Resource Planner'!$A$29="☑",17&lt;='Resource Planner'!$N$29),'Resource Planner'!$D$29,"")</f>
        <v/>
      </c>
      <c r="E971" s="163" t="str">
        <f>IF(AND('Resource Planner'!$A$29="☑",17&lt;='Resource Planner'!$N$29),'Resource Planner'!$E$29,"")</f>
        <v/>
      </c>
      <c r="F971" s="163" t="str">
        <f>IF(AND('Resource Planner'!$A$29="☑",17&lt;='Resource Planner'!$N$29),'Resource Planner'!$F$29&amp;" "&amp;('Resource Planner'!$G$29+(17-1)*'Resource Planner'!$I$29)&amp;IF(('Resource Planner'!$G$29+(17-1)*'Resource Planner'!$I$29)=MIN('Resource Planner'!$G$29+17*'Resource Planner'!$I$29-1,'Resource Planner'!$H$29),"","–"&amp;MIN('Resource Planner'!$G$29+17*'Resource Planner'!$I$29-1,'Resource Planner'!$H$29)),"")</f>
        <v/>
      </c>
      <c r="G971" s="163" t="s">
        <v>109</v>
      </c>
      <c r="H971" s="163" t="str">
        <f>IF(AND('Resource Planner'!$A$29="☑",17&lt;='Resource Planner'!$N$29),'Resource Planner'!$M$29,"")</f>
        <v/>
      </c>
    </row>
    <row r="972" ht="15.75" customHeight="1">
      <c r="A9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2" s="163" t="str">
        <f>IF(AND('Resource Planner'!$A$29="☑",18&lt;='Resource Planner'!$N$29),'Resource Planner'!$C$29,"")</f>
        <v/>
      </c>
      <c r="C972" s="163" t="str">
        <f>IF(AND('Resource Planner'!$A$29="☑",18&lt;='Resource Planner'!$N$29),'Resource Planner'!$B$29,"")</f>
        <v/>
      </c>
      <c r="D972" s="163" t="str">
        <f>IF(AND('Resource Planner'!$A$29="☑",18&lt;='Resource Planner'!$N$29),'Resource Planner'!$D$29,"")</f>
        <v/>
      </c>
      <c r="E972" s="163" t="str">
        <f>IF(AND('Resource Planner'!$A$29="☑",18&lt;='Resource Planner'!$N$29),'Resource Planner'!$E$29,"")</f>
        <v/>
      </c>
      <c r="F972" s="163" t="str">
        <f>IF(AND('Resource Planner'!$A$29="☑",18&lt;='Resource Planner'!$N$29),'Resource Planner'!$F$29&amp;" "&amp;('Resource Planner'!$G$29+(18-1)*'Resource Planner'!$I$29)&amp;IF(('Resource Planner'!$G$29+(18-1)*'Resource Planner'!$I$29)=MIN('Resource Planner'!$G$29+18*'Resource Planner'!$I$29-1,'Resource Planner'!$H$29),"","–"&amp;MIN('Resource Planner'!$G$29+18*'Resource Planner'!$I$29-1,'Resource Planner'!$H$29)),"")</f>
        <v/>
      </c>
      <c r="G972" s="163" t="s">
        <v>109</v>
      </c>
      <c r="H972" s="163" t="str">
        <f>IF(AND('Resource Planner'!$A$29="☑",18&lt;='Resource Planner'!$N$29),'Resource Planner'!$M$29,"")</f>
        <v/>
      </c>
    </row>
    <row r="973" ht="15.75" customHeight="1">
      <c r="A9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3" s="163" t="str">
        <f>IF(AND('Resource Planner'!$A$29="☑",19&lt;='Resource Planner'!$N$29),'Resource Planner'!$C$29,"")</f>
        <v/>
      </c>
      <c r="C973" s="163" t="str">
        <f>IF(AND('Resource Planner'!$A$29="☑",19&lt;='Resource Planner'!$N$29),'Resource Planner'!$B$29,"")</f>
        <v/>
      </c>
      <c r="D973" s="163" t="str">
        <f>IF(AND('Resource Planner'!$A$29="☑",19&lt;='Resource Planner'!$N$29),'Resource Planner'!$D$29,"")</f>
        <v/>
      </c>
      <c r="E973" s="163" t="str">
        <f>IF(AND('Resource Planner'!$A$29="☑",19&lt;='Resource Planner'!$N$29),'Resource Planner'!$E$29,"")</f>
        <v/>
      </c>
      <c r="F973" s="163" t="str">
        <f>IF(AND('Resource Planner'!$A$29="☑",19&lt;='Resource Planner'!$N$29),'Resource Planner'!$F$29&amp;" "&amp;('Resource Planner'!$G$29+(19-1)*'Resource Planner'!$I$29)&amp;IF(('Resource Planner'!$G$29+(19-1)*'Resource Planner'!$I$29)=MIN('Resource Planner'!$G$29+19*'Resource Planner'!$I$29-1,'Resource Planner'!$H$29),"","–"&amp;MIN('Resource Planner'!$G$29+19*'Resource Planner'!$I$29-1,'Resource Planner'!$H$29)),"")</f>
        <v/>
      </c>
      <c r="G973" s="163" t="s">
        <v>109</v>
      </c>
      <c r="H973" s="163" t="str">
        <f>IF(AND('Resource Planner'!$A$29="☑",19&lt;='Resource Planner'!$N$29),'Resource Planner'!$M$29,"")</f>
        <v/>
      </c>
    </row>
    <row r="974" ht="15.75" customHeight="1">
      <c r="A9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4" s="163" t="str">
        <f>IF(AND('Resource Planner'!$A$29="☑",20&lt;='Resource Planner'!$N$29),'Resource Planner'!$C$29,"")</f>
        <v/>
      </c>
      <c r="C974" s="163" t="str">
        <f>IF(AND('Resource Planner'!$A$29="☑",20&lt;='Resource Planner'!$N$29),'Resource Planner'!$B$29,"")</f>
        <v/>
      </c>
      <c r="D974" s="163" t="str">
        <f>IF(AND('Resource Planner'!$A$29="☑",20&lt;='Resource Planner'!$N$29),'Resource Planner'!$D$29,"")</f>
        <v/>
      </c>
      <c r="E974" s="163" t="str">
        <f>IF(AND('Resource Planner'!$A$29="☑",20&lt;='Resource Planner'!$N$29),'Resource Planner'!$E$29,"")</f>
        <v/>
      </c>
      <c r="F974" s="163" t="str">
        <f>IF(AND('Resource Planner'!$A$29="☑",20&lt;='Resource Planner'!$N$29),'Resource Planner'!$F$29&amp;" "&amp;('Resource Planner'!$G$29+(20-1)*'Resource Planner'!$I$29)&amp;IF(('Resource Planner'!$G$29+(20-1)*'Resource Planner'!$I$29)=MIN('Resource Planner'!$G$29+20*'Resource Planner'!$I$29-1,'Resource Planner'!$H$29),"","–"&amp;MIN('Resource Planner'!$G$29+20*'Resource Planner'!$I$29-1,'Resource Planner'!$H$29)),"")</f>
        <v/>
      </c>
      <c r="G974" s="163" t="s">
        <v>109</v>
      </c>
      <c r="H974" s="163" t="str">
        <f>IF(AND('Resource Planner'!$A$29="☑",20&lt;='Resource Planner'!$N$29),'Resource Planner'!$M$29,"")</f>
        <v/>
      </c>
    </row>
    <row r="975" ht="15.75" customHeight="1">
      <c r="A9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5" s="163" t="str">
        <f>IF(AND('Resource Planner'!$A$29="☑",21&lt;='Resource Planner'!$N$29),'Resource Planner'!$C$29,"")</f>
        <v/>
      </c>
      <c r="C975" s="163" t="str">
        <f>IF(AND('Resource Planner'!$A$29="☑",21&lt;='Resource Planner'!$N$29),'Resource Planner'!$B$29,"")</f>
        <v/>
      </c>
      <c r="D975" s="163" t="str">
        <f>IF(AND('Resource Planner'!$A$29="☑",21&lt;='Resource Planner'!$N$29),'Resource Planner'!$D$29,"")</f>
        <v/>
      </c>
      <c r="E975" s="163" t="str">
        <f>IF(AND('Resource Planner'!$A$29="☑",21&lt;='Resource Planner'!$N$29),'Resource Planner'!$E$29,"")</f>
        <v/>
      </c>
      <c r="F975" s="163" t="str">
        <f>IF(AND('Resource Planner'!$A$29="☑",21&lt;='Resource Planner'!$N$29),'Resource Planner'!$F$29&amp;" "&amp;('Resource Planner'!$G$29+(21-1)*'Resource Planner'!$I$29)&amp;IF(('Resource Planner'!$G$29+(21-1)*'Resource Planner'!$I$29)=MIN('Resource Planner'!$G$29+21*'Resource Planner'!$I$29-1,'Resource Planner'!$H$29),"","–"&amp;MIN('Resource Planner'!$G$29+21*'Resource Planner'!$I$29-1,'Resource Planner'!$H$29)),"")</f>
        <v/>
      </c>
      <c r="G975" s="163" t="s">
        <v>109</v>
      </c>
      <c r="H975" s="163" t="str">
        <f>IF(AND('Resource Planner'!$A$29="☑",21&lt;='Resource Planner'!$N$29),'Resource Planner'!$M$29,"")</f>
        <v/>
      </c>
    </row>
    <row r="976" ht="15.75" customHeight="1">
      <c r="A9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6" s="163" t="str">
        <f>IF(AND('Resource Planner'!$A$29="☑",22&lt;='Resource Planner'!$N$29),'Resource Planner'!$C$29,"")</f>
        <v/>
      </c>
      <c r="C976" s="163" t="str">
        <f>IF(AND('Resource Planner'!$A$29="☑",22&lt;='Resource Planner'!$N$29),'Resource Planner'!$B$29,"")</f>
        <v/>
      </c>
      <c r="D976" s="163" t="str">
        <f>IF(AND('Resource Planner'!$A$29="☑",22&lt;='Resource Planner'!$N$29),'Resource Planner'!$D$29,"")</f>
        <v/>
      </c>
      <c r="E976" s="163" t="str">
        <f>IF(AND('Resource Planner'!$A$29="☑",22&lt;='Resource Planner'!$N$29),'Resource Planner'!$E$29,"")</f>
        <v/>
      </c>
      <c r="F976" s="163" t="str">
        <f>IF(AND('Resource Planner'!$A$29="☑",22&lt;='Resource Planner'!$N$29),'Resource Planner'!$F$29&amp;" "&amp;('Resource Planner'!$G$29+(22-1)*'Resource Planner'!$I$29)&amp;IF(('Resource Planner'!$G$29+(22-1)*'Resource Planner'!$I$29)=MIN('Resource Planner'!$G$29+22*'Resource Planner'!$I$29-1,'Resource Planner'!$H$29),"","–"&amp;MIN('Resource Planner'!$G$29+22*'Resource Planner'!$I$29-1,'Resource Planner'!$H$29)),"")</f>
        <v/>
      </c>
      <c r="G976" s="163" t="s">
        <v>109</v>
      </c>
      <c r="H976" s="163" t="str">
        <f>IF(AND('Resource Planner'!$A$29="☑",22&lt;='Resource Planner'!$N$29),'Resource Planner'!$M$29,"")</f>
        <v/>
      </c>
    </row>
    <row r="977" ht="15.75" customHeight="1">
      <c r="A9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7" s="163" t="str">
        <f>IF(AND('Resource Planner'!$A$29="☑",23&lt;='Resource Planner'!$N$29),'Resource Planner'!$C$29,"")</f>
        <v/>
      </c>
      <c r="C977" s="163" t="str">
        <f>IF(AND('Resource Planner'!$A$29="☑",23&lt;='Resource Planner'!$N$29),'Resource Planner'!$B$29,"")</f>
        <v/>
      </c>
      <c r="D977" s="163" t="str">
        <f>IF(AND('Resource Planner'!$A$29="☑",23&lt;='Resource Planner'!$N$29),'Resource Planner'!$D$29,"")</f>
        <v/>
      </c>
      <c r="E977" s="163" t="str">
        <f>IF(AND('Resource Planner'!$A$29="☑",23&lt;='Resource Planner'!$N$29),'Resource Planner'!$E$29,"")</f>
        <v/>
      </c>
      <c r="F977" s="163" t="str">
        <f>IF(AND('Resource Planner'!$A$29="☑",23&lt;='Resource Planner'!$N$29),'Resource Planner'!$F$29&amp;" "&amp;('Resource Planner'!$G$29+(23-1)*'Resource Planner'!$I$29)&amp;IF(('Resource Planner'!$G$29+(23-1)*'Resource Planner'!$I$29)=MIN('Resource Planner'!$G$29+23*'Resource Planner'!$I$29-1,'Resource Planner'!$H$29),"","–"&amp;MIN('Resource Planner'!$G$29+23*'Resource Planner'!$I$29-1,'Resource Planner'!$H$29)),"")</f>
        <v/>
      </c>
      <c r="G977" s="163" t="s">
        <v>109</v>
      </c>
      <c r="H977" s="163" t="str">
        <f>IF(AND('Resource Planner'!$A$29="☑",23&lt;='Resource Planner'!$N$29),'Resource Planner'!$M$29,"")</f>
        <v/>
      </c>
    </row>
    <row r="978" ht="15.75" customHeight="1">
      <c r="A9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8" s="163" t="str">
        <f>IF(AND('Resource Planner'!$A$29="☑",24&lt;='Resource Planner'!$N$29),'Resource Planner'!$C$29,"")</f>
        <v/>
      </c>
      <c r="C978" s="163" t="str">
        <f>IF(AND('Resource Planner'!$A$29="☑",24&lt;='Resource Planner'!$N$29),'Resource Planner'!$B$29,"")</f>
        <v/>
      </c>
      <c r="D978" s="163" t="str">
        <f>IF(AND('Resource Planner'!$A$29="☑",24&lt;='Resource Planner'!$N$29),'Resource Planner'!$D$29,"")</f>
        <v/>
      </c>
      <c r="E978" s="163" t="str">
        <f>IF(AND('Resource Planner'!$A$29="☑",24&lt;='Resource Planner'!$N$29),'Resource Planner'!$E$29,"")</f>
        <v/>
      </c>
      <c r="F978" s="163" t="str">
        <f>IF(AND('Resource Planner'!$A$29="☑",24&lt;='Resource Planner'!$N$29),'Resource Planner'!$F$29&amp;" "&amp;('Resource Planner'!$G$29+(24-1)*'Resource Planner'!$I$29)&amp;IF(('Resource Planner'!$G$29+(24-1)*'Resource Planner'!$I$29)=MIN('Resource Planner'!$G$29+24*'Resource Planner'!$I$29-1,'Resource Planner'!$H$29),"","–"&amp;MIN('Resource Planner'!$G$29+24*'Resource Planner'!$I$29-1,'Resource Planner'!$H$29)),"")</f>
        <v/>
      </c>
      <c r="G978" s="163" t="s">
        <v>109</v>
      </c>
      <c r="H978" s="163" t="str">
        <f>IF(AND('Resource Planner'!$A$29="☑",24&lt;='Resource Planner'!$N$29),'Resource Planner'!$M$29,"")</f>
        <v/>
      </c>
    </row>
    <row r="979" ht="15.75" customHeight="1">
      <c r="A9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79" s="163" t="str">
        <f>IF(AND('Resource Planner'!$A$29="☑",25&lt;='Resource Planner'!$N$29),'Resource Planner'!$C$29,"")</f>
        <v/>
      </c>
      <c r="C979" s="163" t="str">
        <f>IF(AND('Resource Planner'!$A$29="☑",25&lt;='Resource Planner'!$N$29),'Resource Planner'!$B$29,"")</f>
        <v/>
      </c>
      <c r="D979" s="163" t="str">
        <f>IF(AND('Resource Planner'!$A$29="☑",25&lt;='Resource Planner'!$N$29),'Resource Planner'!$D$29,"")</f>
        <v/>
      </c>
      <c r="E979" s="163" t="str">
        <f>IF(AND('Resource Planner'!$A$29="☑",25&lt;='Resource Planner'!$N$29),'Resource Planner'!$E$29,"")</f>
        <v/>
      </c>
      <c r="F979" s="163" t="str">
        <f>IF(AND('Resource Planner'!$A$29="☑",25&lt;='Resource Planner'!$N$29),'Resource Planner'!$F$29&amp;" "&amp;('Resource Planner'!$G$29+(25-1)*'Resource Planner'!$I$29)&amp;IF(('Resource Planner'!$G$29+(25-1)*'Resource Planner'!$I$29)=MIN('Resource Planner'!$G$29+25*'Resource Planner'!$I$29-1,'Resource Planner'!$H$29),"","–"&amp;MIN('Resource Planner'!$G$29+25*'Resource Planner'!$I$29-1,'Resource Planner'!$H$29)),"")</f>
        <v/>
      </c>
      <c r="G979" s="163" t="s">
        <v>109</v>
      </c>
      <c r="H979" s="163" t="str">
        <f>IF(AND('Resource Planner'!$A$29="☑",25&lt;='Resource Planner'!$N$29),'Resource Planner'!$M$29,"")</f>
        <v/>
      </c>
    </row>
    <row r="980" ht="15.75" customHeight="1">
      <c r="A9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0" s="163" t="str">
        <f>IF(AND('Resource Planner'!$A$29="☑",26&lt;='Resource Planner'!$N$29),'Resource Planner'!$C$29,"")</f>
        <v/>
      </c>
      <c r="C980" s="163" t="str">
        <f>IF(AND('Resource Planner'!$A$29="☑",26&lt;='Resource Planner'!$N$29),'Resource Planner'!$B$29,"")</f>
        <v/>
      </c>
      <c r="D980" s="163" t="str">
        <f>IF(AND('Resource Planner'!$A$29="☑",26&lt;='Resource Planner'!$N$29),'Resource Planner'!$D$29,"")</f>
        <v/>
      </c>
      <c r="E980" s="163" t="str">
        <f>IF(AND('Resource Planner'!$A$29="☑",26&lt;='Resource Planner'!$N$29),'Resource Planner'!$E$29,"")</f>
        <v/>
      </c>
      <c r="F980" s="163" t="str">
        <f>IF(AND('Resource Planner'!$A$29="☑",26&lt;='Resource Planner'!$N$29),'Resource Planner'!$F$29&amp;" "&amp;('Resource Planner'!$G$29+(26-1)*'Resource Planner'!$I$29)&amp;IF(('Resource Planner'!$G$29+(26-1)*'Resource Planner'!$I$29)=MIN('Resource Planner'!$G$29+26*'Resource Planner'!$I$29-1,'Resource Planner'!$H$29),"","–"&amp;MIN('Resource Planner'!$G$29+26*'Resource Planner'!$I$29-1,'Resource Planner'!$H$29)),"")</f>
        <v/>
      </c>
      <c r="G980" s="163" t="s">
        <v>109</v>
      </c>
      <c r="H980" s="163" t="str">
        <f>IF(AND('Resource Planner'!$A$29="☑",26&lt;='Resource Planner'!$N$29),'Resource Planner'!$M$29,"")</f>
        <v/>
      </c>
    </row>
    <row r="981" ht="15.75" customHeight="1">
      <c r="A9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1" s="163" t="str">
        <f>IF(AND('Resource Planner'!$A$29="☑",27&lt;='Resource Planner'!$N$29),'Resource Planner'!$C$29,"")</f>
        <v/>
      </c>
      <c r="C981" s="163" t="str">
        <f>IF(AND('Resource Planner'!$A$29="☑",27&lt;='Resource Planner'!$N$29),'Resource Planner'!$B$29,"")</f>
        <v/>
      </c>
      <c r="D981" s="163" t="str">
        <f>IF(AND('Resource Planner'!$A$29="☑",27&lt;='Resource Planner'!$N$29),'Resource Planner'!$D$29,"")</f>
        <v/>
      </c>
      <c r="E981" s="163" t="str">
        <f>IF(AND('Resource Planner'!$A$29="☑",27&lt;='Resource Planner'!$N$29),'Resource Planner'!$E$29,"")</f>
        <v/>
      </c>
      <c r="F981" s="163" t="str">
        <f>IF(AND('Resource Planner'!$A$29="☑",27&lt;='Resource Planner'!$N$29),'Resource Planner'!$F$29&amp;" "&amp;('Resource Planner'!$G$29+(27-1)*'Resource Planner'!$I$29)&amp;IF(('Resource Planner'!$G$29+(27-1)*'Resource Planner'!$I$29)=MIN('Resource Planner'!$G$29+27*'Resource Planner'!$I$29-1,'Resource Planner'!$H$29),"","–"&amp;MIN('Resource Planner'!$G$29+27*'Resource Planner'!$I$29-1,'Resource Planner'!$H$29)),"")</f>
        <v/>
      </c>
      <c r="G981" s="163" t="s">
        <v>109</v>
      </c>
      <c r="H981" s="163" t="str">
        <f>IF(AND('Resource Planner'!$A$29="☑",27&lt;='Resource Planner'!$N$29),'Resource Planner'!$M$29,"")</f>
        <v/>
      </c>
    </row>
    <row r="982" ht="15.75" customHeight="1">
      <c r="A9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2" s="163" t="str">
        <f>IF(AND('Resource Planner'!$A$29="☑",28&lt;='Resource Planner'!$N$29),'Resource Planner'!$C$29,"")</f>
        <v/>
      </c>
      <c r="C982" s="163" t="str">
        <f>IF(AND('Resource Planner'!$A$29="☑",28&lt;='Resource Planner'!$N$29),'Resource Planner'!$B$29,"")</f>
        <v/>
      </c>
      <c r="D982" s="163" t="str">
        <f>IF(AND('Resource Planner'!$A$29="☑",28&lt;='Resource Planner'!$N$29),'Resource Planner'!$D$29,"")</f>
        <v/>
      </c>
      <c r="E982" s="163" t="str">
        <f>IF(AND('Resource Planner'!$A$29="☑",28&lt;='Resource Planner'!$N$29),'Resource Planner'!$E$29,"")</f>
        <v/>
      </c>
      <c r="F982" s="163" t="str">
        <f>IF(AND('Resource Planner'!$A$29="☑",28&lt;='Resource Planner'!$N$29),'Resource Planner'!$F$29&amp;" "&amp;('Resource Planner'!$G$29+(28-1)*'Resource Planner'!$I$29)&amp;IF(('Resource Planner'!$G$29+(28-1)*'Resource Planner'!$I$29)=MIN('Resource Planner'!$G$29+28*'Resource Planner'!$I$29-1,'Resource Planner'!$H$29),"","–"&amp;MIN('Resource Planner'!$G$29+28*'Resource Planner'!$I$29-1,'Resource Planner'!$H$29)),"")</f>
        <v/>
      </c>
      <c r="G982" s="163" t="s">
        <v>109</v>
      </c>
      <c r="H982" s="163" t="str">
        <f>IF(AND('Resource Planner'!$A$29="☑",28&lt;='Resource Planner'!$N$29),'Resource Planner'!$M$29,"")</f>
        <v/>
      </c>
    </row>
    <row r="983" ht="15.75" customHeight="1">
      <c r="A9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3" s="163" t="str">
        <f>IF(AND('Resource Planner'!$A$29="☑",29&lt;='Resource Planner'!$N$29),'Resource Planner'!$C$29,"")</f>
        <v/>
      </c>
      <c r="C983" s="163" t="str">
        <f>IF(AND('Resource Planner'!$A$29="☑",29&lt;='Resource Planner'!$N$29),'Resource Planner'!$B$29,"")</f>
        <v/>
      </c>
      <c r="D983" s="163" t="str">
        <f>IF(AND('Resource Planner'!$A$29="☑",29&lt;='Resource Planner'!$N$29),'Resource Planner'!$D$29,"")</f>
        <v/>
      </c>
      <c r="E983" s="163" t="str">
        <f>IF(AND('Resource Planner'!$A$29="☑",29&lt;='Resource Planner'!$N$29),'Resource Planner'!$E$29,"")</f>
        <v/>
      </c>
      <c r="F983" s="163" t="str">
        <f>IF(AND('Resource Planner'!$A$29="☑",29&lt;='Resource Planner'!$N$29),'Resource Planner'!$F$29&amp;" "&amp;('Resource Planner'!$G$29+(29-1)*'Resource Planner'!$I$29)&amp;IF(('Resource Planner'!$G$29+(29-1)*'Resource Planner'!$I$29)=MIN('Resource Planner'!$G$29+29*'Resource Planner'!$I$29-1,'Resource Planner'!$H$29),"","–"&amp;MIN('Resource Planner'!$G$29+29*'Resource Planner'!$I$29-1,'Resource Planner'!$H$29)),"")</f>
        <v/>
      </c>
      <c r="G983" s="163" t="s">
        <v>109</v>
      </c>
      <c r="H983" s="163" t="str">
        <f>IF(AND('Resource Planner'!$A$29="☑",29&lt;='Resource Planner'!$N$29),'Resource Planner'!$M$29,"")</f>
        <v/>
      </c>
    </row>
    <row r="984" ht="15.75" customHeight="1">
      <c r="A9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4" s="163" t="str">
        <f>IF(AND('Resource Planner'!$A$29="☑",30&lt;='Resource Planner'!$N$29),'Resource Planner'!$C$29,"")</f>
        <v/>
      </c>
      <c r="C984" s="163" t="str">
        <f>IF(AND('Resource Planner'!$A$29="☑",30&lt;='Resource Planner'!$N$29),'Resource Planner'!$B$29,"")</f>
        <v/>
      </c>
      <c r="D984" s="163" t="str">
        <f>IF(AND('Resource Planner'!$A$29="☑",30&lt;='Resource Planner'!$N$29),'Resource Planner'!$D$29,"")</f>
        <v/>
      </c>
      <c r="E984" s="163" t="str">
        <f>IF(AND('Resource Planner'!$A$29="☑",30&lt;='Resource Planner'!$N$29),'Resource Planner'!$E$29,"")</f>
        <v/>
      </c>
      <c r="F984" s="163" t="str">
        <f>IF(AND('Resource Planner'!$A$29="☑",30&lt;='Resource Planner'!$N$29),'Resource Planner'!$F$29&amp;" "&amp;('Resource Planner'!$G$29+(30-1)*'Resource Planner'!$I$29)&amp;IF(('Resource Planner'!$G$29+(30-1)*'Resource Planner'!$I$29)=MIN('Resource Planner'!$G$29+30*'Resource Planner'!$I$29-1,'Resource Planner'!$H$29),"","–"&amp;MIN('Resource Planner'!$G$29+30*'Resource Planner'!$I$29-1,'Resource Planner'!$H$29)),"")</f>
        <v/>
      </c>
      <c r="G984" s="163" t="s">
        <v>109</v>
      </c>
      <c r="H984" s="163" t="str">
        <f>IF(AND('Resource Planner'!$A$29="☑",30&lt;='Resource Planner'!$N$29),'Resource Planner'!$M$29,"")</f>
        <v/>
      </c>
    </row>
    <row r="985" ht="15.75" customHeight="1">
      <c r="A9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5" s="163" t="str">
        <f>IF(AND('Resource Planner'!$A$29="☑",31&lt;='Resource Planner'!$N$29),'Resource Planner'!$C$29,"")</f>
        <v/>
      </c>
      <c r="C985" s="163" t="str">
        <f>IF(AND('Resource Planner'!$A$29="☑",31&lt;='Resource Planner'!$N$29),'Resource Planner'!$B$29,"")</f>
        <v/>
      </c>
      <c r="D985" s="163" t="str">
        <f>IF(AND('Resource Planner'!$A$29="☑",31&lt;='Resource Planner'!$N$29),'Resource Planner'!$D$29,"")</f>
        <v/>
      </c>
      <c r="E985" s="163" t="str">
        <f>IF(AND('Resource Planner'!$A$29="☑",31&lt;='Resource Planner'!$N$29),'Resource Planner'!$E$29,"")</f>
        <v/>
      </c>
      <c r="F985" s="163" t="str">
        <f>IF(AND('Resource Planner'!$A$29="☑",31&lt;='Resource Planner'!$N$29),'Resource Planner'!$F$29&amp;" "&amp;('Resource Planner'!$G$29+(31-1)*'Resource Planner'!$I$29)&amp;IF(('Resource Planner'!$G$29+(31-1)*'Resource Planner'!$I$29)=MIN('Resource Planner'!$G$29+31*'Resource Planner'!$I$29-1,'Resource Planner'!$H$29),"","–"&amp;MIN('Resource Planner'!$G$29+31*'Resource Planner'!$I$29-1,'Resource Planner'!$H$29)),"")</f>
        <v/>
      </c>
      <c r="G985" s="163" t="s">
        <v>109</v>
      </c>
      <c r="H985" s="163" t="str">
        <f>IF(AND('Resource Planner'!$A$29="☑",31&lt;='Resource Planner'!$N$29),'Resource Planner'!$M$29,"")</f>
        <v/>
      </c>
    </row>
    <row r="986" ht="15.75" customHeight="1">
      <c r="A9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6" s="163" t="str">
        <f>IF(AND('Resource Planner'!$A$29="☑",32&lt;='Resource Planner'!$N$29),'Resource Planner'!$C$29,"")</f>
        <v/>
      </c>
      <c r="C986" s="163" t="str">
        <f>IF(AND('Resource Planner'!$A$29="☑",32&lt;='Resource Planner'!$N$29),'Resource Planner'!$B$29,"")</f>
        <v/>
      </c>
      <c r="D986" s="163" t="str">
        <f>IF(AND('Resource Planner'!$A$29="☑",32&lt;='Resource Planner'!$N$29),'Resource Planner'!$D$29,"")</f>
        <v/>
      </c>
      <c r="E986" s="163" t="str">
        <f>IF(AND('Resource Planner'!$A$29="☑",32&lt;='Resource Planner'!$N$29),'Resource Planner'!$E$29,"")</f>
        <v/>
      </c>
      <c r="F986" s="163" t="str">
        <f>IF(AND('Resource Planner'!$A$29="☑",32&lt;='Resource Planner'!$N$29),'Resource Planner'!$F$29&amp;" "&amp;('Resource Planner'!$G$29+(32-1)*'Resource Planner'!$I$29)&amp;IF(('Resource Planner'!$G$29+(32-1)*'Resource Planner'!$I$29)=MIN('Resource Planner'!$G$29+32*'Resource Planner'!$I$29-1,'Resource Planner'!$H$29),"","–"&amp;MIN('Resource Planner'!$G$29+32*'Resource Planner'!$I$29-1,'Resource Planner'!$H$29)),"")</f>
        <v/>
      </c>
      <c r="G986" s="163" t="s">
        <v>109</v>
      </c>
      <c r="H986" s="163" t="str">
        <f>IF(AND('Resource Planner'!$A$29="☑",32&lt;='Resource Planner'!$N$29),'Resource Planner'!$M$29,"")</f>
        <v/>
      </c>
    </row>
    <row r="987" ht="15.75" customHeight="1">
      <c r="A9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7" s="163" t="str">
        <f>IF(AND('Resource Planner'!$A$29="☑",33&lt;='Resource Planner'!$N$29),'Resource Planner'!$C$29,"")</f>
        <v/>
      </c>
      <c r="C987" s="163" t="str">
        <f>IF(AND('Resource Planner'!$A$29="☑",33&lt;='Resource Planner'!$N$29),'Resource Planner'!$B$29,"")</f>
        <v/>
      </c>
      <c r="D987" s="163" t="str">
        <f>IF(AND('Resource Planner'!$A$29="☑",33&lt;='Resource Planner'!$N$29),'Resource Planner'!$D$29,"")</f>
        <v/>
      </c>
      <c r="E987" s="163" t="str">
        <f>IF(AND('Resource Planner'!$A$29="☑",33&lt;='Resource Planner'!$N$29),'Resource Planner'!$E$29,"")</f>
        <v/>
      </c>
      <c r="F987" s="163" t="str">
        <f>IF(AND('Resource Planner'!$A$29="☑",33&lt;='Resource Planner'!$N$29),'Resource Planner'!$F$29&amp;" "&amp;('Resource Planner'!$G$29+(33-1)*'Resource Planner'!$I$29)&amp;IF(('Resource Planner'!$G$29+(33-1)*'Resource Planner'!$I$29)=MIN('Resource Planner'!$G$29+33*'Resource Planner'!$I$29-1,'Resource Planner'!$H$29),"","–"&amp;MIN('Resource Planner'!$G$29+33*'Resource Planner'!$I$29-1,'Resource Planner'!$H$29)),"")</f>
        <v/>
      </c>
      <c r="G987" s="163" t="s">
        <v>109</v>
      </c>
      <c r="H987" s="163" t="str">
        <f>IF(AND('Resource Planner'!$A$29="☑",33&lt;='Resource Planner'!$N$29),'Resource Planner'!$M$29,"")</f>
        <v/>
      </c>
    </row>
    <row r="988" ht="15.75" customHeight="1">
      <c r="A9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8" s="163" t="str">
        <f>IF(AND('Resource Planner'!$A$29="☑",34&lt;='Resource Planner'!$N$29),'Resource Planner'!$C$29,"")</f>
        <v/>
      </c>
      <c r="C988" s="163" t="str">
        <f>IF(AND('Resource Planner'!$A$29="☑",34&lt;='Resource Planner'!$N$29),'Resource Planner'!$B$29,"")</f>
        <v/>
      </c>
      <c r="D988" s="163" t="str">
        <f>IF(AND('Resource Planner'!$A$29="☑",34&lt;='Resource Planner'!$N$29),'Resource Planner'!$D$29,"")</f>
        <v/>
      </c>
      <c r="E988" s="163" t="str">
        <f>IF(AND('Resource Planner'!$A$29="☑",34&lt;='Resource Planner'!$N$29),'Resource Planner'!$E$29,"")</f>
        <v/>
      </c>
      <c r="F988" s="163" t="str">
        <f>IF(AND('Resource Planner'!$A$29="☑",34&lt;='Resource Planner'!$N$29),'Resource Planner'!$F$29&amp;" "&amp;('Resource Planner'!$G$29+(34-1)*'Resource Planner'!$I$29)&amp;IF(('Resource Planner'!$G$29+(34-1)*'Resource Planner'!$I$29)=MIN('Resource Planner'!$G$29+34*'Resource Planner'!$I$29-1,'Resource Planner'!$H$29),"","–"&amp;MIN('Resource Planner'!$G$29+34*'Resource Planner'!$I$29-1,'Resource Planner'!$H$29)),"")</f>
        <v/>
      </c>
      <c r="G988" s="163" t="s">
        <v>109</v>
      </c>
      <c r="H988" s="163" t="str">
        <f>IF(AND('Resource Planner'!$A$29="☑",34&lt;='Resource Planner'!$N$29),'Resource Planner'!$M$29,"")</f>
        <v/>
      </c>
    </row>
    <row r="989" ht="15.75" customHeight="1">
      <c r="A9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89" s="163" t="str">
        <f>IF(AND('Resource Planner'!$A$29="☑",35&lt;='Resource Planner'!$N$29),'Resource Planner'!$C$29,"")</f>
        <v/>
      </c>
      <c r="C989" s="163" t="str">
        <f>IF(AND('Resource Planner'!$A$29="☑",35&lt;='Resource Planner'!$N$29),'Resource Planner'!$B$29,"")</f>
        <v/>
      </c>
      <c r="D989" s="163" t="str">
        <f>IF(AND('Resource Planner'!$A$29="☑",35&lt;='Resource Planner'!$N$29),'Resource Planner'!$D$29,"")</f>
        <v/>
      </c>
      <c r="E989" s="163" t="str">
        <f>IF(AND('Resource Planner'!$A$29="☑",35&lt;='Resource Planner'!$N$29),'Resource Planner'!$E$29,"")</f>
        <v/>
      </c>
      <c r="F989" s="163" t="str">
        <f>IF(AND('Resource Planner'!$A$29="☑",35&lt;='Resource Planner'!$N$29),'Resource Planner'!$F$29&amp;" "&amp;('Resource Planner'!$G$29+(35-1)*'Resource Planner'!$I$29)&amp;IF(('Resource Planner'!$G$29+(35-1)*'Resource Planner'!$I$29)=MIN('Resource Planner'!$G$29+35*'Resource Planner'!$I$29-1,'Resource Planner'!$H$29),"","–"&amp;MIN('Resource Planner'!$G$29+35*'Resource Planner'!$I$29-1,'Resource Planner'!$H$29)),"")</f>
        <v/>
      </c>
      <c r="G989" s="163" t="s">
        <v>109</v>
      </c>
      <c r="H989" s="163" t="str">
        <f>IF(AND('Resource Planner'!$A$29="☑",35&lt;='Resource Planner'!$N$29),'Resource Planner'!$M$29,"")</f>
        <v/>
      </c>
    </row>
    <row r="990" ht="15.75" customHeight="1">
      <c r="A9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0" s="163" t="str">
        <f>IF(AND('Resource Planner'!$A$29="☑",36&lt;='Resource Planner'!$N$29),'Resource Planner'!$C$29,"")</f>
        <v/>
      </c>
      <c r="C990" s="163" t="str">
        <f>IF(AND('Resource Planner'!$A$29="☑",36&lt;='Resource Planner'!$N$29),'Resource Planner'!$B$29,"")</f>
        <v/>
      </c>
      <c r="D990" s="163" t="str">
        <f>IF(AND('Resource Planner'!$A$29="☑",36&lt;='Resource Planner'!$N$29),'Resource Planner'!$D$29,"")</f>
        <v/>
      </c>
      <c r="E990" s="163" t="str">
        <f>IF(AND('Resource Planner'!$A$29="☑",36&lt;='Resource Planner'!$N$29),'Resource Planner'!$E$29,"")</f>
        <v/>
      </c>
      <c r="F990" s="163" t="str">
        <f>IF(AND('Resource Planner'!$A$29="☑",36&lt;='Resource Planner'!$N$29),'Resource Planner'!$F$29&amp;" "&amp;('Resource Planner'!$G$29+(36-1)*'Resource Planner'!$I$29)&amp;IF(('Resource Planner'!$G$29+(36-1)*'Resource Planner'!$I$29)=MIN('Resource Planner'!$G$29+36*'Resource Planner'!$I$29-1,'Resource Planner'!$H$29),"","–"&amp;MIN('Resource Planner'!$G$29+36*'Resource Planner'!$I$29-1,'Resource Planner'!$H$29)),"")</f>
        <v/>
      </c>
      <c r="G990" s="163" t="s">
        <v>109</v>
      </c>
      <c r="H990" s="163" t="str">
        <f>IF(AND('Resource Planner'!$A$29="☑",36&lt;='Resource Planner'!$N$29),'Resource Planner'!$M$29,"")</f>
        <v/>
      </c>
    </row>
    <row r="991" ht="15.75" customHeight="1">
      <c r="A9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1" s="163" t="str">
        <f>IF(AND('Resource Planner'!$A$29="☑",37&lt;='Resource Planner'!$N$29),'Resource Planner'!$C$29,"")</f>
        <v/>
      </c>
      <c r="C991" s="163" t="str">
        <f>IF(AND('Resource Planner'!$A$29="☑",37&lt;='Resource Planner'!$N$29),'Resource Planner'!$B$29,"")</f>
        <v/>
      </c>
      <c r="D991" s="163" t="str">
        <f>IF(AND('Resource Planner'!$A$29="☑",37&lt;='Resource Planner'!$N$29),'Resource Planner'!$D$29,"")</f>
        <v/>
      </c>
      <c r="E991" s="163" t="str">
        <f>IF(AND('Resource Planner'!$A$29="☑",37&lt;='Resource Planner'!$N$29),'Resource Planner'!$E$29,"")</f>
        <v/>
      </c>
      <c r="F991" s="163" t="str">
        <f>IF(AND('Resource Planner'!$A$29="☑",37&lt;='Resource Planner'!$N$29),'Resource Planner'!$F$29&amp;" "&amp;('Resource Planner'!$G$29+(37-1)*'Resource Planner'!$I$29)&amp;IF(('Resource Planner'!$G$29+(37-1)*'Resource Planner'!$I$29)=MIN('Resource Planner'!$G$29+37*'Resource Planner'!$I$29-1,'Resource Planner'!$H$29),"","–"&amp;MIN('Resource Planner'!$G$29+37*'Resource Planner'!$I$29-1,'Resource Planner'!$H$29)),"")</f>
        <v/>
      </c>
      <c r="G991" s="163" t="s">
        <v>109</v>
      </c>
      <c r="H991" s="163" t="str">
        <f>IF(AND('Resource Planner'!$A$29="☑",37&lt;='Resource Planner'!$N$29),'Resource Planner'!$M$29,"")</f>
        <v/>
      </c>
    </row>
    <row r="992" ht="15.75" customHeight="1">
      <c r="A9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2" s="163" t="str">
        <f>IF(AND('Resource Planner'!$A$29="☑",38&lt;='Resource Planner'!$N$29),'Resource Planner'!$C$29,"")</f>
        <v/>
      </c>
      <c r="C992" s="163" t="str">
        <f>IF(AND('Resource Planner'!$A$29="☑",38&lt;='Resource Planner'!$N$29),'Resource Planner'!$B$29,"")</f>
        <v/>
      </c>
      <c r="D992" s="163" t="str">
        <f>IF(AND('Resource Planner'!$A$29="☑",38&lt;='Resource Planner'!$N$29),'Resource Planner'!$D$29,"")</f>
        <v/>
      </c>
      <c r="E992" s="163" t="str">
        <f>IF(AND('Resource Planner'!$A$29="☑",38&lt;='Resource Planner'!$N$29),'Resource Planner'!$E$29,"")</f>
        <v/>
      </c>
      <c r="F992" s="163" t="str">
        <f>IF(AND('Resource Planner'!$A$29="☑",38&lt;='Resource Planner'!$N$29),'Resource Planner'!$F$29&amp;" "&amp;('Resource Planner'!$G$29+(38-1)*'Resource Planner'!$I$29)&amp;IF(('Resource Planner'!$G$29+(38-1)*'Resource Planner'!$I$29)=MIN('Resource Planner'!$G$29+38*'Resource Planner'!$I$29-1,'Resource Planner'!$H$29),"","–"&amp;MIN('Resource Planner'!$G$29+38*'Resource Planner'!$I$29-1,'Resource Planner'!$H$29)),"")</f>
        <v/>
      </c>
      <c r="G992" s="163" t="s">
        <v>109</v>
      </c>
      <c r="H992" s="163" t="str">
        <f>IF(AND('Resource Planner'!$A$29="☑",38&lt;='Resource Planner'!$N$29),'Resource Planner'!$M$29,"")</f>
        <v/>
      </c>
    </row>
    <row r="993" ht="15.75" customHeight="1">
      <c r="A9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3" s="163" t="str">
        <f>IF(AND('Resource Planner'!$A$29="☑",39&lt;='Resource Planner'!$N$29),'Resource Planner'!$C$29,"")</f>
        <v/>
      </c>
      <c r="C993" s="163" t="str">
        <f>IF(AND('Resource Planner'!$A$29="☑",39&lt;='Resource Planner'!$N$29),'Resource Planner'!$B$29,"")</f>
        <v/>
      </c>
      <c r="D993" s="163" t="str">
        <f>IF(AND('Resource Planner'!$A$29="☑",39&lt;='Resource Planner'!$N$29),'Resource Planner'!$D$29,"")</f>
        <v/>
      </c>
      <c r="E993" s="163" t="str">
        <f>IF(AND('Resource Planner'!$A$29="☑",39&lt;='Resource Planner'!$N$29),'Resource Planner'!$E$29,"")</f>
        <v/>
      </c>
      <c r="F993" s="163" t="str">
        <f>IF(AND('Resource Planner'!$A$29="☑",39&lt;='Resource Planner'!$N$29),'Resource Planner'!$F$29&amp;" "&amp;('Resource Planner'!$G$29+(39-1)*'Resource Planner'!$I$29)&amp;IF(('Resource Planner'!$G$29+(39-1)*'Resource Planner'!$I$29)=MIN('Resource Planner'!$G$29+39*'Resource Planner'!$I$29-1,'Resource Planner'!$H$29),"","–"&amp;MIN('Resource Planner'!$G$29+39*'Resource Planner'!$I$29-1,'Resource Planner'!$H$29)),"")</f>
        <v/>
      </c>
      <c r="G993" s="163" t="s">
        <v>109</v>
      </c>
      <c r="H993" s="163" t="str">
        <f>IF(AND('Resource Planner'!$A$29="☑",39&lt;='Resource Planner'!$N$29),'Resource Planner'!$M$29,"")</f>
        <v/>
      </c>
    </row>
    <row r="994" ht="15.75" customHeight="1">
      <c r="A9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4" s="163" t="str">
        <f>IF(AND('Resource Planner'!$A$29="☑",40&lt;='Resource Planner'!$N$29),'Resource Planner'!$C$29,"")</f>
        <v/>
      </c>
      <c r="C994" s="163" t="str">
        <f>IF(AND('Resource Planner'!$A$29="☑",40&lt;='Resource Planner'!$N$29),'Resource Planner'!$B$29,"")</f>
        <v/>
      </c>
      <c r="D994" s="163" t="str">
        <f>IF(AND('Resource Planner'!$A$29="☑",40&lt;='Resource Planner'!$N$29),'Resource Planner'!$D$29,"")</f>
        <v/>
      </c>
      <c r="E994" s="163" t="str">
        <f>IF(AND('Resource Planner'!$A$29="☑",40&lt;='Resource Planner'!$N$29),'Resource Planner'!$E$29,"")</f>
        <v/>
      </c>
      <c r="F994" s="163" t="str">
        <f>IF(AND('Resource Planner'!$A$29="☑",40&lt;='Resource Planner'!$N$29),'Resource Planner'!$F$29&amp;" "&amp;('Resource Planner'!$G$29+(40-1)*'Resource Planner'!$I$29)&amp;IF(('Resource Planner'!$G$29+(40-1)*'Resource Planner'!$I$29)=MIN('Resource Planner'!$G$29+40*'Resource Planner'!$I$29-1,'Resource Planner'!$H$29),"","–"&amp;MIN('Resource Planner'!$G$29+40*'Resource Planner'!$I$29-1,'Resource Planner'!$H$29)),"")</f>
        <v/>
      </c>
      <c r="G994" s="163" t="s">
        <v>109</v>
      </c>
      <c r="H994" s="163" t="str">
        <f>IF(AND('Resource Planner'!$A$29="☑",40&lt;='Resource Planner'!$N$29),'Resource Planner'!$M$29,"")</f>
        <v/>
      </c>
    </row>
    <row r="995" ht="15.75" customHeight="1">
      <c r="A9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5" s="163" t="str">
        <f>IF(AND('Resource Planner'!$A$29="☑",41&lt;='Resource Planner'!$N$29),'Resource Planner'!$C$29,"")</f>
        <v/>
      </c>
      <c r="C995" s="163" t="str">
        <f>IF(AND('Resource Planner'!$A$29="☑",41&lt;='Resource Planner'!$N$29),'Resource Planner'!$B$29,"")</f>
        <v/>
      </c>
      <c r="D995" s="163" t="str">
        <f>IF(AND('Resource Planner'!$A$29="☑",41&lt;='Resource Planner'!$N$29),'Resource Planner'!$D$29,"")</f>
        <v/>
      </c>
      <c r="E995" s="163" t="str">
        <f>IF(AND('Resource Planner'!$A$29="☑",41&lt;='Resource Planner'!$N$29),'Resource Planner'!$E$29,"")</f>
        <v/>
      </c>
      <c r="F995" s="163" t="str">
        <f>IF(AND('Resource Planner'!$A$29="☑",41&lt;='Resource Planner'!$N$29),'Resource Planner'!$F$29&amp;" "&amp;('Resource Planner'!$G$29+(41-1)*'Resource Planner'!$I$29)&amp;IF(('Resource Planner'!$G$29+(41-1)*'Resource Planner'!$I$29)=MIN('Resource Planner'!$G$29+41*'Resource Planner'!$I$29-1,'Resource Planner'!$H$29),"","–"&amp;MIN('Resource Planner'!$G$29+41*'Resource Planner'!$I$29-1,'Resource Planner'!$H$29)),"")</f>
        <v/>
      </c>
      <c r="G995" s="163" t="s">
        <v>109</v>
      </c>
      <c r="H995" s="163" t="str">
        <f>IF(AND('Resource Planner'!$A$29="☑",41&lt;='Resource Planner'!$N$29),'Resource Planner'!$M$29,"")</f>
        <v/>
      </c>
    </row>
    <row r="996" ht="15.75" customHeight="1">
      <c r="A9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6" s="163" t="str">
        <f>IF(AND('Resource Planner'!$A$29="☑",42&lt;='Resource Planner'!$N$29),'Resource Planner'!$C$29,"")</f>
        <v/>
      </c>
      <c r="C996" s="163" t="str">
        <f>IF(AND('Resource Planner'!$A$29="☑",42&lt;='Resource Planner'!$N$29),'Resource Planner'!$B$29,"")</f>
        <v/>
      </c>
      <c r="D996" s="163" t="str">
        <f>IF(AND('Resource Planner'!$A$29="☑",42&lt;='Resource Planner'!$N$29),'Resource Planner'!$D$29,"")</f>
        <v/>
      </c>
      <c r="E996" s="163" t="str">
        <f>IF(AND('Resource Planner'!$A$29="☑",42&lt;='Resource Planner'!$N$29),'Resource Planner'!$E$29,"")</f>
        <v/>
      </c>
      <c r="F996" s="163" t="str">
        <f>IF(AND('Resource Planner'!$A$29="☑",42&lt;='Resource Planner'!$N$29),'Resource Planner'!$F$29&amp;" "&amp;('Resource Planner'!$G$29+(42-1)*'Resource Planner'!$I$29)&amp;IF(('Resource Planner'!$G$29+(42-1)*'Resource Planner'!$I$29)=MIN('Resource Planner'!$G$29+42*'Resource Planner'!$I$29-1,'Resource Planner'!$H$29),"","–"&amp;MIN('Resource Planner'!$G$29+42*'Resource Planner'!$I$29-1,'Resource Planner'!$H$29)),"")</f>
        <v/>
      </c>
      <c r="G996" s="163" t="s">
        <v>109</v>
      </c>
      <c r="H996" s="163" t="str">
        <f>IF(AND('Resource Planner'!$A$29="☑",42&lt;='Resource Planner'!$N$29),'Resource Planner'!$M$29,"")</f>
        <v/>
      </c>
    </row>
    <row r="997" ht="15.75" customHeight="1">
      <c r="A9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7" s="163" t="str">
        <f>IF(AND('Resource Planner'!$A$29="☑",43&lt;='Resource Planner'!$N$29),'Resource Planner'!$C$29,"")</f>
        <v/>
      </c>
      <c r="C997" s="163" t="str">
        <f>IF(AND('Resource Planner'!$A$29="☑",43&lt;='Resource Planner'!$N$29),'Resource Planner'!$B$29,"")</f>
        <v/>
      </c>
      <c r="D997" s="163" t="str">
        <f>IF(AND('Resource Planner'!$A$29="☑",43&lt;='Resource Planner'!$N$29),'Resource Planner'!$D$29,"")</f>
        <v/>
      </c>
      <c r="E997" s="163" t="str">
        <f>IF(AND('Resource Planner'!$A$29="☑",43&lt;='Resource Planner'!$N$29),'Resource Planner'!$E$29,"")</f>
        <v/>
      </c>
      <c r="F997" s="163" t="str">
        <f>IF(AND('Resource Planner'!$A$29="☑",43&lt;='Resource Planner'!$N$29),'Resource Planner'!$F$29&amp;" "&amp;('Resource Planner'!$G$29+(43-1)*'Resource Planner'!$I$29)&amp;IF(('Resource Planner'!$G$29+(43-1)*'Resource Planner'!$I$29)=MIN('Resource Planner'!$G$29+43*'Resource Planner'!$I$29-1,'Resource Planner'!$H$29),"","–"&amp;MIN('Resource Planner'!$G$29+43*'Resource Planner'!$I$29-1,'Resource Planner'!$H$29)),"")</f>
        <v/>
      </c>
      <c r="G997" s="163" t="s">
        <v>109</v>
      </c>
      <c r="H997" s="163" t="str">
        <f>IF(AND('Resource Planner'!$A$29="☑",43&lt;='Resource Planner'!$N$29),'Resource Planner'!$M$29,"")</f>
        <v/>
      </c>
    </row>
    <row r="998" ht="15.75" customHeight="1">
      <c r="A9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8" s="163" t="str">
        <f>IF(AND('Resource Planner'!$A$29="☑",44&lt;='Resource Planner'!$N$29),'Resource Planner'!$C$29,"")</f>
        <v/>
      </c>
      <c r="C998" s="163" t="str">
        <f>IF(AND('Resource Planner'!$A$29="☑",44&lt;='Resource Planner'!$N$29),'Resource Planner'!$B$29,"")</f>
        <v/>
      </c>
      <c r="D998" s="163" t="str">
        <f>IF(AND('Resource Planner'!$A$29="☑",44&lt;='Resource Planner'!$N$29),'Resource Planner'!$D$29,"")</f>
        <v/>
      </c>
      <c r="E998" s="163" t="str">
        <f>IF(AND('Resource Planner'!$A$29="☑",44&lt;='Resource Planner'!$N$29),'Resource Planner'!$E$29,"")</f>
        <v/>
      </c>
      <c r="F998" s="163" t="str">
        <f>IF(AND('Resource Planner'!$A$29="☑",44&lt;='Resource Planner'!$N$29),'Resource Planner'!$F$29&amp;" "&amp;('Resource Planner'!$G$29+(44-1)*'Resource Planner'!$I$29)&amp;IF(('Resource Planner'!$G$29+(44-1)*'Resource Planner'!$I$29)=MIN('Resource Planner'!$G$29+44*'Resource Planner'!$I$29-1,'Resource Planner'!$H$29),"","–"&amp;MIN('Resource Planner'!$G$29+44*'Resource Planner'!$I$29-1,'Resource Planner'!$H$29)),"")</f>
        <v/>
      </c>
      <c r="G998" s="163" t="s">
        <v>109</v>
      </c>
      <c r="H998" s="163" t="str">
        <f>IF(AND('Resource Planner'!$A$29="☑",44&lt;='Resource Planner'!$N$29),'Resource Planner'!$M$29,"")</f>
        <v/>
      </c>
    </row>
    <row r="999" ht="15.75" customHeight="1">
      <c r="A9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999" s="163" t="str">
        <f>IF(AND('Resource Planner'!$A$29="☑",45&lt;='Resource Planner'!$N$29),'Resource Planner'!$C$29,"")</f>
        <v/>
      </c>
      <c r="C999" s="163" t="str">
        <f>IF(AND('Resource Planner'!$A$29="☑",45&lt;='Resource Planner'!$N$29),'Resource Planner'!$B$29,"")</f>
        <v/>
      </c>
      <c r="D999" s="163" t="str">
        <f>IF(AND('Resource Planner'!$A$29="☑",45&lt;='Resource Planner'!$N$29),'Resource Planner'!$D$29,"")</f>
        <v/>
      </c>
      <c r="E999" s="163" t="str">
        <f>IF(AND('Resource Planner'!$A$29="☑",45&lt;='Resource Planner'!$N$29),'Resource Planner'!$E$29,"")</f>
        <v/>
      </c>
      <c r="F999" s="163" t="str">
        <f>IF(AND('Resource Planner'!$A$29="☑",45&lt;='Resource Planner'!$N$29),'Resource Planner'!$F$29&amp;" "&amp;('Resource Planner'!$G$29+(45-1)*'Resource Planner'!$I$29)&amp;IF(('Resource Planner'!$G$29+(45-1)*'Resource Planner'!$I$29)=MIN('Resource Planner'!$G$29+45*'Resource Planner'!$I$29-1,'Resource Planner'!$H$29),"","–"&amp;MIN('Resource Planner'!$G$29+45*'Resource Planner'!$I$29-1,'Resource Planner'!$H$29)),"")</f>
        <v/>
      </c>
      <c r="G999" s="163" t="s">
        <v>109</v>
      </c>
      <c r="H999" s="163" t="str">
        <f>IF(AND('Resource Planner'!$A$29="☑",45&lt;='Resource Planner'!$N$29),'Resource Planner'!$M$29,"")</f>
        <v/>
      </c>
    </row>
    <row r="1000" ht="15.75" customHeight="1">
      <c r="A10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0" s="163" t="str">
        <f>IF(AND('Resource Planner'!$A$29="☑",46&lt;='Resource Planner'!$N$29),'Resource Planner'!$C$29,"")</f>
        <v/>
      </c>
      <c r="C1000" s="163" t="str">
        <f>IF(AND('Resource Planner'!$A$29="☑",46&lt;='Resource Planner'!$N$29),'Resource Planner'!$B$29,"")</f>
        <v/>
      </c>
      <c r="D1000" s="163" t="str">
        <f>IF(AND('Resource Planner'!$A$29="☑",46&lt;='Resource Planner'!$N$29),'Resource Planner'!$D$29,"")</f>
        <v/>
      </c>
      <c r="E1000" s="163" t="str">
        <f>IF(AND('Resource Planner'!$A$29="☑",46&lt;='Resource Planner'!$N$29),'Resource Planner'!$E$29,"")</f>
        <v/>
      </c>
      <c r="F1000" s="163" t="str">
        <f>IF(AND('Resource Planner'!$A$29="☑",46&lt;='Resource Planner'!$N$29),'Resource Planner'!$F$29&amp;" "&amp;('Resource Planner'!$G$29+(46-1)*'Resource Planner'!$I$29)&amp;IF(('Resource Planner'!$G$29+(46-1)*'Resource Planner'!$I$29)=MIN('Resource Planner'!$G$29+46*'Resource Planner'!$I$29-1,'Resource Planner'!$H$29),"","–"&amp;MIN('Resource Planner'!$G$29+46*'Resource Planner'!$I$29-1,'Resource Planner'!$H$29)),"")</f>
        <v/>
      </c>
      <c r="G1000" s="163" t="s">
        <v>109</v>
      </c>
      <c r="H1000" s="163" t="str">
        <f>IF(AND('Resource Planner'!$A$29="☑",46&lt;='Resource Planner'!$N$29),'Resource Planner'!$M$29,"")</f>
        <v/>
      </c>
    </row>
    <row r="1001" ht="15.75" customHeight="1">
      <c r="A10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1" s="163" t="str">
        <f>IF(AND('Resource Planner'!$A$29="☑",47&lt;='Resource Planner'!$N$29),'Resource Planner'!$C$29,"")</f>
        <v/>
      </c>
      <c r="C1001" s="163" t="str">
        <f>IF(AND('Resource Planner'!$A$29="☑",47&lt;='Resource Planner'!$N$29),'Resource Planner'!$B$29,"")</f>
        <v/>
      </c>
      <c r="D1001" s="163" t="str">
        <f>IF(AND('Resource Planner'!$A$29="☑",47&lt;='Resource Planner'!$N$29),'Resource Planner'!$D$29,"")</f>
        <v/>
      </c>
      <c r="E1001" s="163" t="str">
        <f>IF(AND('Resource Planner'!$A$29="☑",47&lt;='Resource Planner'!$N$29),'Resource Planner'!$E$29,"")</f>
        <v/>
      </c>
      <c r="F1001" s="163" t="str">
        <f>IF(AND('Resource Planner'!$A$29="☑",47&lt;='Resource Planner'!$N$29),'Resource Planner'!$F$29&amp;" "&amp;('Resource Planner'!$G$29+(47-1)*'Resource Planner'!$I$29)&amp;IF(('Resource Planner'!$G$29+(47-1)*'Resource Planner'!$I$29)=MIN('Resource Planner'!$G$29+47*'Resource Planner'!$I$29-1,'Resource Planner'!$H$29),"","–"&amp;MIN('Resource Planner'!$G$29+47*'Resource Planner'!$I$29-1,'Resource Planner'!$H$29)),"")</f>
        <v/>
      </c>
      <c r="G1001" s="163" t="s">
        <v>109</v>
      </c>
      <c r="H1001" s="163" t="str">
        <f>IF(AND('Resource Planner'!$A$29="☑",47&lt;='Resource Planner'!$N$29),'Resource Planner'!$M$29,"")</f>
        <v/>
      </c>
    </row>
    <row r="1002" ht="15.75" customHeight="1">
      <c r="A10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2" s="163" t="str">
        <f>IF(AND('Resource Planner'!$A$29="☑",48&lt;='Resource Planner'!$N$29),'Resource Planner'!$C$29,"")</f>
        <v/>
      </c>
      <c r="C1002" s="163" t="str">
        <f>IF(AND('Resource Planner'!$A$29="☑",48&lt;='Resource Planner'!$N$29),'Resource Planner'!$B$29,"")</f>
        <v/>
      </c>
      <c r="D1002" s="163" t="str">
        <f>IF(AND('Resource Planner'!$A$29="☑",48&lt;='Resource Planner'!$N$29),'Resource Planner'!$D$29,"")</f>
        <v/>
      </c>
      <c r="E1002" s="163" t="str">
        <f>IF(AND('Resource Planner'!$A$29="☑",48&lt;='Resource Planner'!$N$29),'Resource Planner'!$E$29,"")</f>
        <v/>
      </c>
      <c r="F1002" s="163" t="str">
        <f>IF(AND('Resource Planner'!$A$29="☑",48&lt;='Resource Planner'!$N$29),'Resource Planner'!$F$29&amp;" "&amp;('Resource Planner'!$G$29+(48-1)*'Resource Planner'!$I$29)&amp;IF(('Resource Planner'!$G$29+(48-1)*'Resource Planner'!$I$29)=MIN('Resource Planner'!$G$29+48*'Resource Planner'!$I$29-1,'Resource Planner'!$H$29),"","–"&amp;MIN('Resource Planner'!$G$29+48*'Resource Planner'!$I$29-1,'Resource Planner'!$H$29)),"")</f>
        <v/>
      </c>
      <c r="G1002" s="163" t="s">
        <v>109</v>
      </c>
      <c r="H1002" s="163" t="str">
        <f>IF(AND('Resource Planner'!$A$29="☑",48&lt;='Resource Planner'!$N$29),'Resource Planner'!$M$29,"")</f>
        <v/>
      </c>
    </row>
    <row r="1003" ht="15.75" customHeight="1">
      <c r="A10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3" s="163" t="str">
        <f>IF(AND('Resource Planner'!$A$29="☑",49&lt;='Resource Planner'!$N$29),'Resource Planner'!$C$29,"")</f>
        <v/>
      </c>
      <c r="C1003" s="163" t="str">
        <f>IF(AND('Resource Planner'!$A$29="☑",49&lt;='Resource Planner'!$N$29),'Resource Planner'!$B$29,"")</f>
        <v/>
      </c>
      <c r="D1003" s="163" t="str">
        <f>IF(AND('Resource Planner'!$A$29="☑",49&lt;='Resource Planner'!$N$29),'Resource Planner'!$D$29,"")</f>
        <v/>
      </c>
      <c r="E1003" s="163" t="str">
        <f>IF(AND('Resource Planner'!$A$29="☑",49&lt;='Resource Planner'!$N$29),'Resource Planner'!$E$29,"")</f>
        <v/>
      </c>
      <c r="F1003" s="163" t="str">
        <f>IF(AND('Resource Planner'!$A$29="☑",49&lt;='Resource Planner'!$N$29),'Resource Planner'!$F$29&amp;" "&amp;('Resource Planner'!$G$29+(49-1)*'Resource Planner'!$I$29)&amp;IF(('Resource Planner'!$G$29+(49-1)*'Resource Planner'!$I$29)=MIN('Resource Planner'!$G$29+49*'Resource Planner'!$I$29-1,'Resource Planner'!$H$29),"","–"&amp;MIN('Resource Planner'!$G$29+49*'Resource Planner'!$I$29-1,'Resource Planner'!$H$29)),"")</f>
        <v/>
      </c>
      <c r="G1003" s="163" t="s">
        <v>109</v>
      </c>
      <c r="H1003" s="163" t="str">
        <f>IF(AND('Resource Planner'!$A$29="☑",49&lt;='Resource Planner'!$N$29),'Resource Planner'!$M$29,"")</f>
        <v/>
      </c>
    </row>
    <row r="1004" ht="15.75" customHeight="1">
      <c r="A10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4" s="163" t="str">
        <f>IF(AND('Resource Planner'!$A$29="☑",50&lt;='Resource Planner'!$N$29),'Resource Planner'!$C$29,"")</f>
        <v/>
      </c>
      <c r="C1004" s="163" t="str">
        <f>IF(AND('Resource Planner'!$A$29="☑",50&lt;='Resource Planner'!$N$29),'Resource Planner'!$B$29,"")</f>
        <v/>
      </c>
      <c r="D1004" s="163" t="str">
        <f>IF(AND('Resource Planner'!$A$29="☑",50&lt;='Resource Planner'!$N$29),'Resource Planner'!$D$29,"")</f>
        <v/>
      </c>
      <c r="E1004" s="163" t="str">
        <f>IF(AND('Resource Planner'!$A$29="☑",50&lt;='Resource Planner'!$N$29),'Resource Planner'!$E$29,"")</f>
        <v/>
      </c>
      <c r="F1004" s="163" t="str">
        <f>IF(AND('Resource Planner'!$A$29="☑",50&lt;='Resource Planner'!$N$29),'Resource Planner'!$F$29&amp;" "&amp;('Resource Planner'!$G$29+(50-1)*'Resource Planner'!$I$29)&amp;IF(('Resource Planner'!$G$29+(50-1)*'Resource Planner'!$I$29)=MIN('Resource Planner'!$G$29+50*'Resource Planner'!$I$29-1,'Resource Planner'!$H$29),"","–"&amp;MIN('Resource Planner'!$G$29+50*'Resource Planner'!$I$29-1,'Resource Planner'!$H$29)),"")</f>
        <v/>
      </c>
      <c r="G1004" s="163" t="s">
        <v>109</v>
      </c>
      <c r="H1004" s="163" t="str">
        <f>IF(AND('Resource Planner'!$A$29="☑",50&lt;='Resource Planner'!$N$29),'Resource Planner'!$M$29,"")</f>
        <v/>
      </c>
    </row>
    <row r="1005" ht="15.75" customHeight="1">
      <c r="A10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5" s="163" t="str">
        <f>IF(AND('Resource Planner'!$A$30="☑",1&lt;='Resource Planner'!$N$30),'Resource Planner'!$C$30,"")</f>
        <v/>
      </c>
      <c r="C1005" s="163" t="str">
        <f>IF(AND('Resource Planner'!$A$30="☑",1&lt;='Resource Planner'!$N$30),'Resource Planner'!$B$30,"")</f>
        <v/>
      </c>
      <c r="D1005" s="163" t="str">
        <f>IF(AND('Resource Planner'!$A$30="☑",1&lt;='Resource Planner'!$N$30),'Resource Planner'!$D$30,"")</f>
        <v/>
      </c>
      <c r="E1005" s="163" t="str">
        <f>IF(AND('Resource Planner'!$A$30="☑",1&lt;='Resource Planner'!$N$30),'Resource Planner'!$E$30,"")</f>
        <v/>
      </c>
      <c r="F1005" s="163" t="str">
        <f>IF(AND('Resource Planner'!$A$30="☑",1&lt;='Resource Planner'!$N$30),'Resource Planner'!$F$30&amp;" "&amp;('Resource Planner'!$G$30+(1-1)*'Resource Planner'!$I$30)&amp;IF(('Resource Planner'!$G$30+(1-1)*'Resource Planner'!$I$30)=MIN('Resource Planner'!$G$30+1*'Resource Planner'!$I$30-1,'Resource Planner'!$H$30),"","–"&amp;MIN('Resource Planner'!$G$30+1*'Resource Planner'!$I$30-1,'Resource Planner'!$H$30)),"")</f>
        <v/>
      </c>
      <c r="G1005" s="163" t="s">
        <v>109</v>
      </c>
      <c r="H1005" s="163" t="str">
        <f>IF(AND('Resource Planner'!$A$30="☑",1&lt;='Resource Planner'!$N$30),'Resource Planner'!$M$30,"")</f>
        <v/>
      </c>
    </row>
    <row r="1006" ht="15.75" customHeight="1">
      <c r="A10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6" s="163" t="str">
        <f>IF(AND('Resource Planner'!$A$30="☑",2&lt;='Resource Planner'!$N$30),'Resource Planner'!$C$30,"")</f>
        <v/>
      </c>
      <c r="C1006" s="163" t="str">
        <f>IF(AND('Resource Planner'!$A$30="☑",2&lt;='Resource Planner'!$N$30),'Resource Planner'!$B$30,"")</f>
        <v/>
      </c>
      <c r="D1006" s="163" t="str">
        <f>IF(AND('Resource Planner'!$A$30="☑",2&lt;='Resource Planner'!$N$30),'Resource Planner'!$D$30,"")</f>
        <v/>
      </c>
      <c r="E1006" s="163" t="str">
        <f>IF(AND('Resource Planner'!$A$30="☑",2&lt;='Resource Planner'!$N$30),'Resource Planner'!$E$30,"")</f>
        <v/>
      </c>
      <c r="F1006" s="163" t="str">
        <f>IF(AND('Resource Planner'!$A$30="☑",2&lt;='Resource Planner'!$N$30),'Resource Planner'!$F$30&amp;" "&amp;('Resource Planner'!$G$30+(2-1)*'Resource Planner'!$I$30)&amp;IF(('Resource Planner'!$G$30+(2-1)*'Resource Planner'!$I$30)=MIN('Resource Planner'!$G$30+2*'Resource Planner'!$I$30-1,'Resource Planner'!$H$30),"","–"&amp;MIN('Resource Planner'!$G$30+2*'Resource Planner'!$I$30-1,'Resource Planner'!$H$30)),"")</f>
        <v/>
      </c>
      <c r="G1006" s="163" t="s">
        <v>109</v>
      </c>
      <c r="H1006" s="163" t="str">
        <f>IF(AND('Resource Planner'!$A$30="☑",2&lt;='Resource Planner'!$N$30),'Resource Planner'!$M$30,"")</f>
        <v/>
      </c>
    </row>
    <row r="1007" ht="15.75" customHeight="1">
      <c r="A10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7" s="163" t="str">
        <f>IF(AND('Resource Planner'!$A$30="☑",3&lt;='Resource Planner'!$N$30),'Resource Planner'!$C$30,"")</f>
        <v/>
      </c>
      <c r="C1007" s="163" t="str">
        <f>IF(AND('Resource Planner'!$A$30="☑",3&lt;='Resource Planner'!$N$30),'Resource Planner'!$B$30,"")</f>
        <v/>
      </c>
      <c r="D1007" s="163" t="str">
        <f>IF(AND('Resource Planner'!$A$30="☑",3&lt;='Resource Planner'!$N$30),'Resource Planner'!$D$30,"")</f>
        <v/>
      </c>
      <c r="E1007" s="163" t="str">
        <f>IF(AND('Resource Planner'!$A$30="☑",3&lt;='Resource Planner'!$N$30),'Resource Planner'!$E$30,"")</f>
        <v/>
      </c>
      <c r="F1007" s="163" t="str">
        <f>IF(AND('Resource Planner'!$A$30="☑",3&lt;='Resource Planner'!$N$30),'Resource Planner'!$F$30&amp;" "&amp;('Resource Planner'!$G$30+(3-1)*'Resource Planner'!$I$30)&amp;IF(('Resource Planner'!$G$30+(3-1)*'Resource Planner'!$I$30)=MIN('Resource Planner'!$G$30+3*'Resource Planner'!$I$30-1,'Resource Planner'!$H$30),"","–"&amp;MIN('Resource Planner'!$G$30+3*'Resource Planner'!$I$30-1,'Resource Planner'!$H$30)),"")</f>
        <v/>
      </c>
      <c r="G1007" s="163" t="s">
        <v>109</v>
      </c>
      <c r="H1007" s="163" t="str">
        <f>IF(AND('Resource Planner'!$A$30="☑",3&lt;='Resource Planner'!$N$30),'Resource Planner'!$M$30,"")</f>
        <v/>
      </c>
    </row>
    <row r="1008" ht="15.75" customHeight="1">
      <c r="A10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8" s="163" t="str">
        <f>IF(AND('Resource Planner'!$A$30="☑",4&lt;='Resource Planner'!$N$30),'Resource Planner'!$C$30,"")</f>
        <v/>
      </c>
      <c r="C1008" s="163" t="str">
        <f>IF(AND('Resource Planner'!$A$30="☑",4&lt;='Resource Planner'!$N$30),'Resource Planner'!$B$30,"")</f>
        <v/>
      </c>
      <c r="D1008" s="163" t="str">
        <f>IF(AND('Resource Planner'!$A$30="☑",4&lt;='Resource Planner'!$N$30),'Resource Planner'!$D$30,"")</f>
        <v/>
      </c>
      <c r="E1008" s="163" t="str">
        <f>IF(AND('Resource Planner'!$A$30="☑",4&lt;='Resource Planner'!$N$30),'Resource Planner'!$E$30,"")</f>
        <v/>
      </c>
      <c r="F1008" s="163" t="str">
        <f>IF(AND('Resource Planner'!$A$30="☑",4&lt;='Resource Planner'!$N$30),'Resource Planner'!$F$30&amp;" "&amp;('Resource Planner'!$G$30+(4-1)*'Resource Planner'!$I$30)&amp;IF(('Resource Planner'!$G$30+(4-1)*'Resource Planner'!$I$30)=MIN('Resource Planner'!$G$30+4*'Resource Planner'!$I$30-1,'Resource Planner'!$H$30),"","–"&amp;MIN('Resource Planner'!$G$30+4*'Resource Planner'!$I$30-1,'Resource Planner'!$H$30)),"")</f>
        <v/>
      </c>
      <c r="G1008" s="163" t="s">
        <v>109</v>
      </c>
      <c r="H1008" s="163" t="str">
        <f>IF(AND('Resource Planner'!$A$30="☑",4&lt;='Resource Planner'!$N$30),'Resource Planner'!$M$30,"")</f>
        <v/>
      </c>
    </row>
    <row r="1009" ht="15.75" customHeight="1">
      <c r="A10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09" s="163" t="str">
        <f>IF(AND('Resource Planner'!$A$30="☑",5&lt;='Resource Planner'!$N$30),'Resource Planner'!$C$30,"")</f>
        <v/>
      </c>
      <c r="C1009" s="163" t="str">
        <f>IF(AND('Resource Planner'!$A$30="☑",5&lt;='Resource Planner'!$N$30),'Resource Planner'!$B$30,"")</f>
        <v/>
      </c>
      <c r="D1009" s="163" t="str">
        <f>IF(AND('Resource Planner'!$A$30="☑",5&lt;='Resource Planner'!$N$30),'Resource Planner'!$D$30,"")</f>
        <v/>
      </c>
      <c r="E1009" s="163" t="str">
        <f>IF(AND('Resource Planner'!$A$30="☑",5&lt;='Resource Planner'!$N$30),'Resource Planner'!$E$30,"")</f>
        <v/>
      </c>
      <c r="F1009" s="163" t="str">
        <f>IF(AND('Resource Planner'!$A$30="☑",5&lt;='Resource Planner'!$N$30),'Resource Planner'!$F$30&amp;" "&amp;('Resource Planner'!$G$30+(5-1)*'Resource Planner'!$I$30)&amp;IF(('Resource Planner'!$G$30+(5-1)*'Resource Planner'!$I$30)=MIN('Resource Planner'!$G$30+5*'Resource Planner'!$I$30-1,'Resource Planner'!$H$30),"","–"&amp;MIN('Resource Planner'!$G$30+5*'Resource Planner'!$I$30-1,'Resource Planner'!$H$30)),"")</f>
        <v/>
      </c>
      <c r="G1009" s="163" t="s">
        <v>109</v>
      </c>
      <c r="H1009" s="163" t="str">
        <f>IF(AND('Resource Planner'!$A$30="☑",5&lt;='Resource Planner'!$N$30),'Resource Planner'!$M$30,"")</f>
        <v/>
      </c>
    </row>
    <row r="1010" ht="15.75" customHeight="1">
      <c r="A10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0" s="163" t="str">
        <f>IF(AND('Resource Planner'!$A$30="☑",6&lt;='Resource Planner'!$N$30),'Resource Planner'!$C$30,"")</f>
        <v/>
      </c>
      <c r="C1010" s="163" t="str">
        <f>IF(AND('Resource Planner'!$A$30="☑",6&lt;='Resource Planner'!$N$30),'Resource Planner'!$B$30,"")</f>
        <v/>
      </c>
      <c r="D1010" s="163" t="str">
        <f>IF(AND('Resource Planner'!$A$30="☑",6&lt;='Resource Planner'!$N$30),'Resource Planner'!$D$30,"")</f>
        <v/>
      </c>
      <c r="E1010" s="163" t="str">
        <f>IF(AND('Resource Planner'!$A$30="☑",6&lt;='Resource Planner'!$N$30),'Resource Planner'!$E$30,"")</f>
        <v/>
      </c>
      <c r="F1010" s="163" t="str">
        <f>IF(AND('Resource Planner'!$A$30="☑",6&lt;='Resource Planner'!$N$30),'Resource Planner'!$F$30&amp;" "&amp;('Resource Planner'!$G$30+(6-1)*'Resource Planner'!$I$30)&amp;IF(('Resource Planner'!$G$30+(6-1)*'Resource Planner'!$I$30)=MIN('Resource Planner'!$G$30+6*'Resource Planner'!$I$30-1,'Resource Planner'!$H$30),"","–"&amp;MIN('Resource Planner'!$G$30+6*'Resource Planner'!$I$30-1,'Resource Planner'!$H$30)),"")</f>
        <v/>
      </c>
      <c r="G1010" s="163" t="s">
        <v>109</v>
      </c>
      <c r="H1010" s="163" t="str">
        <f>IF(AND('Resource Planner'!$A$30="☑",6&lt;='Resource Planner'!$N$30),'Resource Planner'!$M$30,"")</f>
        <v/>
      </c>
    </row>
    <row r="1011" ht="15.75" customHeight="1">
      <c r="A10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1" s="163" t="str">
        <f>IF(AND('Resource Planner'!$A$30="☑",7&lt;='Resource Planner'!$N$30),'Resource Planner'!$C$30,"")</f>
        <v/>
      </c>
      <c r="C1011" s="163" t="str">
        <f>IF(AND('Resource Planner'!$A$30="☑",7&lt;='Resource Planner'!$N$30),'Resource Planner'!$B$30,"")</f>
        <v/>
      </c>
      <c r="D1011" s="163" t="str">
        <f>IF(AND('Resource Planner'!$A$30="☑",7&lt;='Resource Planner'!$N$30),'Resource Planner'!$D$30,"")</f>
        <v/>
      </c>
      <c r="E1011" s="163" t="str">
        <f>IF(AND('Resource Planner'!$A$30="☑",7&lt;='Resource Planner'!$N$30),'Resource Planner'!$E$30,"")</f>
        <v/>
      </c>
      <c r="F1011" s="163" t="str">
        <f>IF(AND('Resource Planner'!$A$30="☑",7&lt;='Resource Planner'!$N$30),'Resource Planner'!$F$30&amp;" "&amp;('Resource Planner'!$G$30+(7-1)*'Resource Planner'!$I$30)&amp;IF(('Resource Planner'!$G$30+(7-1)*'Resource Planner'!$I$30)=MIN('Resource Planner'!$G$30+7*'Resource Planner'!$I$30-1,'Resource Planner'!$H$30),"","–"&amp;MIN('Resource Planner'!$G$30+7*'Resource Planner'!$I$30-1,'Resource Planner'!$H$30)),"")</f>
        <v/>
      </c>
      <c r="G1011" s="163" t="s">
        <v>109</v>
      </c>
      <c r="H1011" s="163" t="str">
        <f>IF(AND('Resource Planner'!$A$30="☑",7&lt;='Resource Planner'!$N$30),'Resource Planner'!$M$30,"")</f>
        <v/>
      </c>
    </row>
    <row r="1012" ht="15.75" customHeight="1">
      <c r="A10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2" s="163" t="str">
        <f>IF(AND('Resource Planner'!$A$30="☑",8&lt;='Resource Planner'!$N$30),'Resource Planner'!$C$30,"")</f>
        <v/>
      </c>
      <c r="C1012" s="163" t="str">
        <f>IF(AND('Resource Planner'!$A$30="☑",8&lt;='Resource Planner'!$N$30),'Resource Planner'!$B$30,"")</f>
        <v/>
      </c>
      <c r="D1012" s="163" t="str">
        <f>IF(AND('Resource Planner'!$A$30="☑",8&lt;='Resource Planner'!$N$30),'Resource Planner'!$D$30,"")</f>
        <v/>
      </c>
      <c r="E1012" s="163" t="str">
        <f>IF(AND('Resource Planner'!$A$30="☑",8&lt;='Resource Planner'!$N$30),'Resource Planner'!$E$30,"")</f>
        <v/>
      </c>
      <c r="F1012" s="163" t="str">
        <f>IF(AND('Resource Planner'!$A$30="☑",8&lt;='Resource Planner'!$N$30),'Resource Planner'!$F$30&amp;" "&amp;('Resource Planner'!$G$30+(8-1)*'Resource Planner'!$I$30)&amp;IF(('Resource Planner'!$G$30+(8-1)*'Resource Planner'!$I$30)=MIN('Resource Planner'!$G$30+8*'Resource Planner'!$I$30-1,'Resource Planner'!$H$30),"","–"&amp;MIN('Resource Planner'!$G$30+8*'Resource Planner'!$I$30-1,'Resource Planner'!$H$30)),"")</f>
        <v/>
      </c>
      <c r="G1012" s="163" t="s">
        <v>109</v>
      </c>
      <c r="H1012" s="163" t="str">
        <f>IF(AND('Resource Planner'!$A$30="☑",8&lt;='Resource Planner'!$N$30),'Resource Planner'!$M$30,"")</f>
        <v/>
      </c>
    </row>
    <row r="1013" ht="15.75" customHeight="1">
      <c r="A10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3" s="163" t="str">
        <f>IF(AND('Resource Planner'!$A$30="☑",9&lt;='Resource Planner'!$N$30),'Resource Planner'!$C$30,"")</f>
        <v/>
      </c>
      <c r="C1013" s="163" t="str">
        <f>IF(AND('Resource Planner'!$A$30="☑",9&lt;='Resource Planner'!$N$30),'Resource Planner'!$B$30,"")</f>
        <v/>
      </c>
      <c r="D1013" s="163" t="str">
        <f>IF(AND('Resource Planner'!$A$30="☑",9&lt;='Resource Planner'!$N$30),'Resource Planner'!$D$30,"")</f>
        <v/>
      </c>
      <c r="E1013" s="163" t="str">
        <f>IF(AND('Resource Planner'!$A$30="☑",9&lt;='Resource Planner'!$N$30),'Resource Planner'!$E$30,"")</f>
        <v/>
      </c>
      <c r="F1013" s="163" t="str">
        <f>IF(AND('Resource Planner'!$A$30="☑",9&lt;='Resource Planner'!$N$30),'Resource Planner'!$F$30&amp;" "&amp;('Resource Planner'!$G$30+(9-1)*'Resource Planner'!$I$30)&amp;IF(('Resource Planner'!$G$30+(9-1)*'Resource Planner'!$I$30)=MIN('Resource Planner'!$G$30+9*'Resource Planner'!$I$30-1,'Resource Planner'!$H$30),"","–"&amp;MIN('Resource Planner'!$G$30+9*'Resource Planner'!$I$30-1,'Resource Planner'!$H$30)),"")</f>
        <v/>
      </c>
      <c r="G1013" s="163" t="s">
        <v>109</v>
      </c>
      <c r="H1013" s="163" t="str">
        <f>IF(AND('Resource Planner'!$A$30="☑",9&lt;='Resource Planner'!$N$30),'Resource Planner'!$M$30,"")</f>
        <v/>
      </c>
    </row>
    <row r="1014" ht="15.75" customHeight="1">
      <c r="A10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4" s="163" t="str">
        <f>IF(AND('Resource Planner'!$A$30="☑",10&lt;='Resource Planner'!$N$30),'Resource Planner'!$C$30,"")</f>
        <v/>
      </c>
      <c r="C1014" s="163" t="str">
        <f>IF(AND('Resource Planner'!$A$30="☑",10&lt;='Resource Planner'!$N$30),'Resource Planner'!$B$30,"")</f>
        <v/>
      </c>
      <c r="D1014" s="163" t="str">
        <f>IF(AND('Resource Planner'!$A$30="☑",10&lt;='Resource Planner'!$N$30),'Resource Planner'!$D$30,"")</f>
        <v/>
      </c>
      <c r="E1014" s="163" t="str">
        <f>IF(AND('Resource Planner'!$A$30="☑",10&lt;='Resource Planner'!$N$30),'Resource Planner'!$E$30,"")</f>
        <v/>
      </c>
      <c r="F1014" s="163" t="str">
        <f>IF(AND('Resource Planner'!$A$30="☑",10&lt;='Resource Planner'!$N$30),'Resource Planner'!$F$30&amp;" "&amp;('Resource Planner'!$G$30+(10-1)*'Resource Planner'!$I$30)&amp;IF(('Resource Planner'!$G$30+(10-1)*'Resource Planner'!$I$30)=MIN('Resource Planner'!$G$30+10*'Resource Planner'!$I$30-1,'Resource Planner'!$H$30),"","–"&amp;MIN('Resource Planner'!$G$30+10*'Resource Planner'!$I$30-1,'Resource Planner'!$H$30)),"")</f>
        <v/>
      </c>
      <c r="G1014" s="163" t="s">
        <v>109</v>
      </c>
      <c r="H1014" s="163" t="str">
        <f>IF(AND('Resource Planner'!$A$30="☑",10&lt;='Resource Planner'!$N$30),'Resource Planner'!$M$30,"")</f>
        <v/>
      </c>
    </row>
    <row r="1015" ht="15.75" customHeight="1">
      <c r="A10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5" s="163" t="str">
        <f>IF(AND('Resource Planner'!$A$30="☑",11&lt;='Resource Planner'!$N$30),'Resource Planner'!$C$30,"")</f>
        <v/>
      </c>
      <c r="C1015" s="163" t="str">
        <f>IF(AND('Resource Planner'!$A$30="☑",11&lt;='Resource Planner'!$N$30),'Resource Planner'!$B$30,"")</f>
        <v/>
      </c>
      <c r="D1015" s="163" t="str">
        <f>IF(AND('Resource Planner'!$A$30="☑",11&lt;='Resource Planner'!$N$30),'Resource Planner'!$D$30,"")</f>
        <v/>
      </c>
      <c r="E1015" s="163" t="str">
        <f>IF(AND('Resource Planner'!$A$30="☑",11&lt;='Resource Planner'!$N$30),'Resource Planner'!$E$30,"")</f>
        <v/>
      </c>
      <c r="F1015" s="163" t="str">
        <f>IF(AND('Resource Planner'!$A$30="☑",11&lt;='Resource Planner'!$N$30),'Resource Planner'!$F$30&amp;" "&amp;('Resource Planner'!$G$30+(11-1)*'Resource Planner'!$I$30)&amp;IF(('Resource Planner'!$G$30+(11-1)*'Resource Planner'!$I$30)=MIN('Resource Planner'!$G$30+11*'Resource Planner'!$I$30-1,'Resource Planner'!$H$30),"","–"&amp;MIN('Resource Planner'!$G$30+11*'Resource Planner'!$I$30-1,'Resource Planner'!$H$30)),"")</f>
        <v/>
      </c>
      <c r="G1015" s="163" t="s">
        <v>109</v>
      </c>
      <c r="H1015" s="163" t="str">
        <f>IF(AND('Resource Planner'!$A$30="☑",11&lt;='Resource Planner'!$N$30),'Resource Planner'!$M$30,"")</f>
        <v/>
      </c>
    </row>
    <row r="1016" ht="15.75" customHeight="1">
      <c r="A10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6" s="163" t="str">
        <f>IF(AND('Resource Planner'!$A$30="☑",12&lt;='Resource Planner'!$N$30),'Resource Planner'!$C$30,"")</f>
        <v/>
      </c>
      <c r="C1016" s="163" t="str">
        <f>IF(AND('Resource Planner'!$A$30="☑",12&lt;='Resource Planner'!$N$30),'Resource Planner'!$B$30,"")</f>
        <v/>
      </c>
      <c r="D1016" s="163" t="str">
        <f>IF(AND('Resource Planner'!$A$30="☑",12&lt;='Resource Planner'!$N$30),'Resource Planner'!$D$30,"")</f>
        <v/>
      </c>
      <c r="E1016" s="163" t="str">
        <f>IF(AND('Resource Planner'!$A$30="☑",12&lt;='Resource Planner'!$N$30),'Resource Planner'!$E$30,"")</f>
        <v/>
      </c>
      <c r="F1016" s="163" t="str">
        <f>IF(AND('Resource Planner'!$A$30="☑",12&lt;='Resource Planner'!$N$30),'Resource Planner'!$F$30&amp;" "&amp;('Resource Planner'!$G$30+(12-1)*'Resource Planner'!$I$30)&amp;IF(('Resource Planner'!$G$30+(12-1)*'Resource Planner'!$I$30)=MIN('Resource Planner'!$G$30+12*'Resource Planner'!$I$30-1,'Resource Planner'!$H$30),"","–"&amp;MIN('Resource Planner'!$G$30+12*'Resource Planner'!$I$30-1,'Resource Planner'!$H$30)),"")</f>
        <v/>
      </c>
      <c r="G1016" s="163" t="s">
        <v>109</v>
      </c>
      <c r="H1016" s="163" t="str">
        <f>IF(AND('Resource Planner'!$A$30="☑",12&lt;='Resource Planner'!$N$30),'Resource Planner'!$M$30,"")</f>
        <v/>
      </c>
    </row>
    <row r="1017" ht="15.75" customHeight="1">
      <c r="A10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7" s="163" t="str">
        <f>IF(AND('Resource Planner'!$A$30="☑",13&lt;='Resource Planner'!$N$30),'Resource Planner'!$C$30,"")</f>
        <v/>
      </c>
      <c r="C1017" s="163" t="str">
        <f>IF(AND('Resource Planner'!$A$30="☑",13&lt;='Resource Planner'!$N$30),'Resource Planner'!$B$30,"")</f>
        <v/>
      </c>
      <c r="D1017" s="163" t="str">
        <f>IF(AND('Resource Planner'!$A$30="☑",13&lt;='Resource Planner'!$N$30),'Resource Planner'!$D$30,"")</f>
        <v/>
      </c>
      <c r="E1017" s="163" t="str">
        <f>IF(AND('Resource Planner'!$A$30="☑",13&lt;='Resource Planner'!$N$30),'Resource Planner'!$E$30,"")</f>
        <v/>
      </c>
      <c r="F1017" s="163" t="str">
        <f>IF(AND('Resource Planner'!$A$30="☑",13&lt;='Resource Planner'!$N$30),'Resource Planner'!$F$30&amp;" "&amp;('Resource Planner'!$G$30+(13-1)*'Resource Planner'!$I$30)&amp;IF(('Resource Planner'!$G$30+(13-1)*'Resource Planner'!$I$30)=MIN('Resource Planner'!$G$30+13*'Resource Planner'!$I$30-1,'Resource Planner'!$H$30),"","–"&amp;MIN('Resource Planner'!$G$30+13*'Resource Planner'!$I$30-1,'Resource Planner'!$H$30)),"")</f>
        <v/>
      </c>
      <c r="G1017" s="163" t="s">
        <v>109</v>
      </c>
      <c r="H1017" s="163" t="str">
        <f>IF(AND('Resource Planner'!$A$30="☑",13&lt;='Resource Planner'!$N$30),'Resource Planner'!$M$30,"")</f>
        <v/>
      </c>
    </row>
    <row r="1018" ht="15.75" customHeight="1">
      <c r="A10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8" s="163" t="str">
        <f>IF(AND('Resource Planner'!$A$30="☑",14&lt;='Resource Planner'!$N$30),'Resource Planner'!$C$30,"")</f>
        <v/>
      </c>
      <c r="C1018" s="163" t="str">
        <f>IF(AND('Resource Planner'!$A$30="☑",14&lt;='Resource Planner'!$N$30),'Resource Planner'!$B$30,"")</f>
        <v/>
      </c>
      <c r="D1018" s="163" t="str">
        <f>IF(AND('Resource Planner'!$A$30="☑",14&lt;='Resource Planner'!$N$30),'Resource Planner'!$D$30,"")</f>
        <v/>
      </c>
      <c r="E1018" s="163" t="str">
        <f>IF(AND('Resource Planner'!$A$30="☑",14&lt;='Resource Planner'!$N$30),'Resource Planner'!$E$30,"")</f>
        <v/>
      </c>
      <c r="F1018" s="163" t="str">
        <f>IF(AND('Resource Planner'!$A$30="☑",14&lt;='Resource Planner'!$N$30),'Resource Planner'!$F$30&amp;" "&amp;('Resource Planner'!$G$30+(14-1)*'Resource Planner'!$I$30)&amp;IF(('Resource Planner'!$G$30+(14-1)*'Resource Planner'!$I$30)=MIN('Resource Planner'!$G$30+14*'Resource Planner'!$I$30-1,'Resource Planner'!$H$30),"","–"&amp;MIN('Resource Planner'!$G$30+14*'Resource Planner'!$I$30-1,'Resource Planner'!$H$30)),"")</f>
        <v/>
      </c>
      <c r="G1018" s="163" t="s">
        <v>109</v>
      </c>
      <c r="H1018" s="163" t="str">
        <f>IF(AND('Resource Planner'!$A$30="☑",14&lt;='Resource Planner'!$N$30),'Resource Planner'!$M$30,"")</f>
        <v/>
      </c>
    </row>
    <row r="1019" ht="15.75" customHeight="1">
      <c r="A10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19" s="163" t="str">
        <f>IF(AND('Resource Planner'!$A$30="☑",15&lt;='Resource Planner'!$N$30),'Resource Planner'!$C$30,"")</f>
        <v/>
      </c>
      <c r="C1019" s="163" t="str">
        <f>IF(AND('Resource Planner'!$A$30="☑",15&lt;='Resource Planner'!$N$30),'Resource Planner'!$B$30,"")</f>
        <v/>
      </c>
      <c r="D1019" s="163" t="str">
        <f>IF(AND('Resource Planner'!$A$30="☑",15&lt;='Resource Planner'!$N$30),'Resource Planner'!$D$30,"")</f>
        <v/>
      </c>
      <c r="E1019" s="163" t="str">
        <f>IF(AND('Resource Planner'!$A$30="☑",15&lt;='Resource Planner'!$N$30),'Resource Planner'!$E$30,"")</f>
        <v/>
      </c>
      <c r="F1019" s="163" t="str">
        <f>IF(AND('Resource Planner'!$A$30="☑",15&lt;='Resource Planner'!$N$30),'Resource Planner'!$F$30&amp;" "&amp;('Resource Planner'!$G$30+(15-1)*'Resource Planner'!$I$30)&amp;IF(('Resource Planner'!$G$30+(15-1)*'Resource Planner'!$I$30)=MIN('Resource Planner'!$G$30+15*'Resource Planner'!$I$30-1,'Resource Planner'!$H$30),"","–"&amp;MIN('Resource Planner'!$G$30+15*'Resource Planner'!$I$30-1,'Resource Planner'!$H$30)),"")</f>
        <v/>
      </c>
      <c r="G1019" s="163" t="s">
        <v>109</v>
      </c>
      <c r="H1019" s="163" t="str">
        <f>IF(AND('Resource Planner'!$A$30="☑",15&lt;='Resource Planner'!$N$30),'Resource Planner'!$M$30,"")</f>
        <v/>
      </c>
    </row>
    <row r="1020" ht="15.75" customHeight="1">
      <c r="A10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0" s="163" t="str">
        <f>IF(AND('Resource Planner'!$A$30="☑",16&lt;='Resource Planner'!$N$30),'Resource Planner'!$C$30,"")</f>
        <v/>
      </c>
      <c r="C1020" s="163" t="str">
        <f>IF(AND('Resource Planner'!$A$30="☑",16&lt;='Resource Planner'!$N$30),'Resource Planner'!$B$30,"")</f>
        <v/>
      </c>
      <c r="D1020" s="163" t="str">
        <f>IF(AND('Resource Planner'!$A$30="☑",16&lt;='Resource Planner'!$N$30),'Resource Planner'!$D$30,"")</f>
        <v/>
      </c>
      <c r="E1020" s="163" t="str">
        <f>IF(AND('Resource Planner'!$A$30="☑",16&lt;='Resource Planner'!$N$30),'Resource Planner'!$E$30,"")</f>
        <v/>
      </c>
      <c r="F1020" s="163" t="str">
        <f>IF(AND('Resource Planner'!$A$30="☑",16&lt;='Resource Planner'!$N$30),'Resource Planner'!$F$30&amp;" "&amp;('Resource Planner'!$G$30+(16-1)*'Resource Planner'!$I$30)&amp;IF(('Resource Planner'!$G$30+(16-1)*'Resource Planner'!$I$30)=MIN('Resource Planner'!$G$30+16*'Resource Planner'!$I$30-1,'Resource Planner'!$H$30),"","–"&amp;MIN('Resource Planner'!$G$30+16*'Resource Planner'!$I$30-1,'Resource Planner'!$H$30)),"")</f>
        <v/>
      </c>
      <c r="G1020" s="163" t="s">
        <v>109</v>
      </c>
      <c r="H1020" s="163" t="str">
        <f>IF(AND('Resource Planner'!$A$30="☑",16&lt;='Resource Planner'!$N$30),'Resource Planner'!$M$30,"")</f>
        <v/>
      </c>
    </row>
    <row r="1021" ht="15.75" customHeight="1">
      <c r="A10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1" s="163" t="str">
        <f>IF(AND('Resource Planner'!$A$30="☑",17&lt;='Resource Planner'!$N$30),'Resource Planner'!$C$30,"")</f>
        <v/>
      </c>
      <c r="C1021" s="163" t="str">
        <f>IF(AND('Resource Planner'!$A$30="☑",17&lt;='Resource Planner'!$N$30),'Resource Planner'!$B$30,"")</f>
        <v/>
      </c>
      <c r="D1021" s="163" t="str">
        <f>IF(AND('Resource Planner'!$A$30="☑",17&lt;='Resource Planner'!$N$30),'Resource Planner'!$D$30,"")</f>
        <v/>
      </c>
      <c r="E1021" s="163" t="str">
        <f>IF(AND('Resource Planner'!$A$30="☑",17&lt;='Resource Planner'!$N$30),'Resource Planner'!$E$30,"")</f>
        <v/>
      </c>
      <c r="F1021" s="163" t="str">
        <f>IF(AND('Resource Planner'!$A$30="☑",17&lt;='Resource Planner'!$N$30),'Resource Planner'!$F$30&amp;" "&amp;('Resource Planner'!$G$30+(17-1)*'Resource Planner'!$I$30)&amp;IF(('Resource Planner'!$G$30+(17-1)*'Resource Planner'!$I$30)=MIN('Resource Planner'!$G$30+17*'Resource Planner'!$I$30-1,'Resource Planner'!$H$30),"","–"&amp;MIN('Resource Planner'!$G$30+17*'Resource Planner'!$I$30-1,'Resource Planner'!$H$30)),"")</f>
        <v/>
      </c>
      <c r="G1021" s="163" t="s">
        <v>109</v>
      </c>
      <c r="H1021" s="163" t="str">
        <f>IF(AND('Resource Planner'!$A$30="☑",17&lt;='Resource Planner'!$N$30),'Resource Planner'!$M$30,"")</f>
        <v/>
      </c>
    </row>
    <row r="1022" ht="15.75" customHeight="1">
      <c r="A10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2" s="163" t="str">
        <f>IF(AND('Resource Planner'!$A$30="☑",18&lt;='Resource Planner'!$N$30),'Resource Planner'!$C$30,"")</f>
        <v/>
      </c>
      <c r="C1022" s="163" t="str">
        <f>IF(AND('Resource Planner'!$A$30="☑",18&lt;='Resource Planner'!$N$30),'Resource Planner'!$B$30,"")</f>
        <v/>
      </c>
      <c r="D1022" s="163" t="str">
        <f>IF(AND('Resource Planner'!$A$30="☑",18&lt;='Resource Planner'!$N$30),'Resource Planner'!$D$30,"")</f>
        <v/>
      </c>
      <c r="E1022" s="163" t="str">
        <f>IF(AND('Resource Planner'!$A$30="☑",18&lt;='Resource Planner'!$N$30),'Resource Planner'!$E$30,"")</f>
        <v/>
      </c>
      <c r="F1022" s="163" t="str">
        <f>IF(AND('Resource Planner'!$A$30="☑",18&lt;='Resource Planner'!$N$30),'Resource Planner'!$F$30&amp;" "&amp;('Resource Planner'!$G$30+(18-1)*'Resource Planner'!$I$30)&amp;IF(('Resource Planner'!$G$30+(18-1)*'Resource Planner'!$I$30)=MIN('Resource Planner'!$G$30+18*'Resource Planner'!$I$30-1,'Resource Planner'!$H$30),"","–"&amp;MIN('Resource Planner'!$G$30+18*'Resource Planner'!$I$30-1,'Resource Planner'!$H$30)),"")</f>
        <v/>
      </c>
      <c r="G1022" s="163" t="s">
        <v>109</v>
      </c>
      <c r="H1022" s="163" t="str">
        <f>IF(AND('Resource Planner'!$A$30="☑",18&lt;='Resource Planner'!$N$30),'Resource Planner'!$M$30,"")</f>
        <v/>
      </c>
    </row>
    <row r="1023" ht="15.75" customHeight="1">
      <c r="A10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3" s="163" t="str">
        <f>IF(AND('Resource Planner'!$A$30="☑",19&lt;='Resource Planner'!$N$30),'Resource Planner'!$C$30,"")</f>
        <v/>
      </c>
      <c r="C1023" s="163" t="str">
        <f>IF(AND('Resource Planner'!$A$30="☑",19&lt;='Resource Planner'!$N$30),'Resource Planner'!$B$30,"")</f>
        <v/>
      </c>
      <c r="D1023" s="163" t="str">
        <f>IF(AND('Resource Planner'!$A$30="☑",19&lt;='Resource Planner'!$N$30),'Resource Planner'!$D$30,"")</f>
        <v/>
      </c>
      <c r="E1023" s="163" t="str">
        <f>IF(AND('Resource Planner'!$A$30="☑",19&lt;='Resource Planner'!$N$30),'Resource Planner'!$E$30,"")</f>
        <v/>
      </c>
      <c r="F1023" s="163" t="str">
        <f>IF(AND('Resource Planner'!$A$30="☑",19&lt;='Resource Planner'!$N$30),'Resource Planner'!$F$30&amp;" "&amp;('Resource Planner'!$G$30+(19-1)*'Resource Planner'!$I$30)&amp;IF(('Resource Planner'!$G$30+(19-1)*'Resource Planner'!$I$30)=MIN('Resource Planner'!$G$30+19*'Resource Planner'!$I$30-1,'Resource Planner'!$H$30),"","–"&amp;MIN('Resource Planner'!$G$30+19*'Resource Planner'!$I$30-1,'Resource Planner'!$H$30)),"")</f>
        <v/>
      </c>
      <c r="G1023" s="163" t="s">
        <v>109</v>
      </c>
      <c r="H1023" s="163" t="str">
        <f>IF(AND('Resource Planner'!$A$30="☑",19&lt;='Resource Planner'!$N$30),'Resource Planner'!$M$30,"")</f>
        <v/>
      </c>
    </row>
    <row r="1024" ht="15.75" customHeight="1">
      <c r="A10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4" s="163" t="str">
        <f>IF(AND('Resource Planner'!$A$30="☑",20&lt;='Resource Planner'!$N$30),'Resource Planner'!$C$30,"")</f>
        <v/>
      </c>
      <c r="C1024" s="163" t="str">
        <f>IF(AND('Resource Planner'!$A$30="☑",20&lt;='Resource Planner'!$N$30),'Resource Planner'!$B$30,"")</f>
        <v/>
      </c>
      <c r="D1024" s="163" t="str">
        <f>IF(AND('Resource Planner'!$A$30="☑",20&lt;='Resource Planner'!$N$30),'Resource Planner'!$D$30,"")</f>
        <v/>
      </c>
      <c r="E1024" s="163" t="str">
        <f>IF(AND('Resource Planner'!$A$30="☑",20&lt;='Resource Planner'!$N$30),'Resource Planner'!$E$30,"")</f>
        <v/>
      </c>
      <c r="F1024" s="163" t="str">
        <f>IF(AND('Resource Planner'!$A$30="☑",20&lt;='Resource Planner'!$N$30),'Resource Planner'!$F$30&amp;" "&amp;('Resource Planner'!$G$30+(20-1)*'Resource Planner'!$I$30)&amp;IF(('Resource Planner'!$G$30+(20-1)*'Resource Planner'!$I$30)=MIN('Resource Planner'!$G$30+20*'Resource Planner'!$I$30-1,'Resource Planner'!$H$30),"","–"&amp;MIN('Resource Planner'!$G$30+20*'Resource Planner'!$I$30-1,'Resource Planner'!$H$30)),"")</f>
        <v/>
      </c>
      <c r="G1024" s="163" t="s">
        <v>109</v>
      </c>
      <c r="H1024" s="163" t="str">
        <f>IF(AND('Resource Planner'!$A$30="☑",20&lt;='Resource Planner'!$N$30),'Resource Planner'!$M$30,"")</f>
        <v/>
      </c>
    </row>
    <row r="1025" ht="15.75" customHeight="1">
      <c r="A10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5" s="163" t="str">
        <f>IF(AND('Resource Planner'!$A$30="☑",21&lt;='Resource Planner'!$N$30),'Resource Planner'!$C$30,"")</f>
        <v/>
      </c>
      <c r="C1025" s="163" t="str">
        <f>IF(AND('Resource Planner'!$A$30="☑",21&lt;='Resource Planner'!$N$30),'Resource Planner'!$B$30,"")</f>
        <v/>
      </c>
      <c r="D1025" s="163" t="str">
        <f>IF(AND('Resource Planner'!$A$30="☑",21&lt;='Resource Planner'!$N$30),'Resource Planner'!$D$30,"")</f>
        <v/>
      </c>
      <c r="E1025" s="163" t="str">
        <f>IF(AND('Resource Planner'!$A$30="☑",21&lt;='Resource Planner'!$N$30),'Resource Planner'!$E$30,"")</f>
        <v/>
      </c>
      <c r="F1025" s="163" t="str">
        <f>IF(AND('Resource Planner'!$A$30="☑",21&lt;='Resource Planner'!$N$30),'Resource Planner'!$F$30&amp;" "&amp;('Resource Planner'!$G$30+(21-1)*'Resource Planner'!$I$30)&amp;IF(('Resource Planner'!$G$30+(21-1)*'Resource Planner'!$I$30)=MIN('Resource Planner'!$G$30+21*'Resource Planner'!$I$30-1,'Resource Planner'!$H$30),"","–"&amp;MIN('Resource Planner'!$G$30+21*'Resource Planner'!$I$30-1,'Resource Planner'!$H$30)),"")</f>
        <v/>
      </c>
      <c r="G1025" s="163" t="s">
        <v>109</v>
      </c>
      <c r="H1025" s="163" t="str">
        <f>IF(AND('Resource Planner'!$A$30="☑",21&lt;='Resource Planner'!$N$30),'Resource Planner'!$M$30,"")</f>
        <v/>
      </c>
    </row>
    <row r="1026" ht="15.75" customHeight="1">
      <c r="A10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6" s="163" t="str">
        <f>IF(AND('Resource Planner'!$A$30="☑",22&lt;='Resource Planner'!$N$30),'Resource Planner'!$C$30,"")</f>
        <v/>
      </c>
      <c r="C1026" s="163" t="str">
        <f>IF(AND('Resource Planner'!$A$30="☑",22&lt;='Resource Planner'!$N$30),'Resource Planner'!$B$30,"")</f>
        <v/>
      </c>
      <c r="D1026" s="163" t="str">
        <f>IF(AND('Resource Planner'!$A$30="☑",22&lt;='Resource Planner'!$N$30),'Resource Planner'!$D$30,"")</f>
        <v/>
      </c>
      <c r="E1026" s="163" t="str">
        <f>IF(AND('Resource Planner'!$A$30="☑",22&lt;='Resource Planner'!$N$30),'Resource Planner'!$E$30,"")</f>
        <v/>
      </c>
      <c r="F1026" s="163" t="str">
        <f>IF(AND('Resource Planner'!$A$30="☑",22&lt;='Resource Planner'!$N$30),'Resource Planner'!$F$30&amp;" "&amp;('Resource Planner'!$G$30+(22-1)*'Resource Planner'!$I$30)&amp;IF(('Resource Planner'!$G$30+(22-1)*'Resource Planner'!$I$30)=MIN('Resource Planner'!$G$30+22*'Resource Planner'!$I$30-1,'Resource Planner'!$H$30),"","–"&amp;MIN('Resource Planner'!$G$30+22*'Resource Planner'!$I$30-1,'Resource Planner'!$H$30)),"")</f>
        <v/>
      </c>
      <c r="G1026" s="163" t="s">
        <v>109</v>
      </c>
      <c r="H1026" s="163" t="str">
        <f>IF(AND('Resource Planner'!$A$30="☑",22&lt;='Resource Planner'!$N$30),'Resource Planner'!$M$30,"")</f>
        <v/>
      </c>
    </row>
    <row r="1027" ht="15.75" customHeight="1">
      <c r="A10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7" s="163" t="str">
        <f>IF(AND('Resource Planner'!$A$30="☑",23&lt;='Resource Planner'!$N$30),'Resource Planner'!$C$30,"")</f>
        <v/>
      </c>
      <c r="C1027" s="163" t="str">
        <f>IF(AND('Resource Planner'!$A$30="☑",23&lt;='Resource Planner'!$N$30),'Resource Planner'!$B$30,"")</f>
        <v/>
      </c>
      <c r="D1027" s="163" t="str">
        <f>IF(AND('Resource Planner'!$A$30="☑",23&lt;='Resource Planner'!$N$30),'Resource Planner'!$D$30,"")</f>
        <v/>
      </c>
      <c r="E1027" s="163" t="str">
        <f>IF(AND('Resource Planner'!$A$30="☑",23&lt;='Resource Planner'!$N$30),'Resource Planner'!$E$30,"")</f>
        <v/>
      </c>
      <c r="F1027" s="163" t="str">
        <f>IF(AND('Resource Planner'!$A$30="☑",23&lt;='Resource Planner'!$N$30),'Resource Planner'!$F$30&amp;" "&amp;('Resource Planner'!$G$30+(23-1)*'Resource Planner'!$I$30)&amp;IF(('Resource Planner'!$G$30+(23-1)*'Resource Planner'!$I$30)=MIN('Resource Planner'!$G$30+23*'Resource Planner'!$I$30-1,'Resource Planner'!$H$30),"","–"&amp;MIN('Resource Planner'!$G$30+23*'Resource Planner'!$I$30-1,'Resource Planner'!$H$30)),"")</f>
        <v/>
      </c>
      <c r="G1027" s="163" t="s">
        <v>109</v>
      </c>
      <c r="H1027" s="163" t="str">
        <f>IF(AND('Resource Planner'!$A$30="☑",23&lt;='Resource Planner'!$N$30),'Resource Planner'!$M$30,"")</f>
        <v/>
      </c>
    </row>
    <row r="1028" ht="15.75" customHeight="1">
      <c r="A10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8" s="163" t="str">
        <f>IF(AND('Resource Planner'!$A$30="☑",24&lt;='Resource Planner'!$N$30),'Resource Planner'!$C$30,"")</f>
        <v/>
      </c>
      <c r="C1028" s="163" t="str">
        <f>IF(AND('Resource Planner'!$A$30="☑",24&lt;='Resource Planner'!$N$30),'Resource Planner'!$B$30,"")</f>
        <v/>
      </c>
      <c r="D1028" s="163" t="str">
        <f>IF(AND('Resource Planner'!$A$30="☑",24&lt;='Resource Planner'!$N$30),'Resource Planner'!$D$30,"")</f>
        <v/>
      </c>
      <c r="E1028" s="163" t="str">
        <f>IF(AND('Resource Planner'!$A$30="☑",24&lt;='Resource Planner'!$N$30),'Resource Planner'!$E$30,"")</f>
        <v/>
      </c>
      <c r="F1028" s="163" t="str">
        <f>IF(AND('Resource Planner'!$A$30="☑",24&lt;='Resource Planner'!$N$30),'Resource Planner'!$F$30&amp;" "&amp;('Resource Planner'!$G$30+(24-1)*'Resource Planner'!$I$30)&amp;IF(('Resource Planner'!$G$30+(24-1)*'Resource Planner'!$I$30)=MIN('Resource Planner'!$G$30+24*'Resource Planner'!$I$30-1,'Resource Planner'!$H$30),"","–"&amp;MIN('Resource Planner'!$G$30+24*'Resource Planner'!$I$30-1,'Resource Planner'!$H$30)),"")</f>
        <v/>
      </c>
      <c r="G1028" s="163" t="s">
        <v>109</v>
      </c>
      <c r="H1028" s="163" t="str">
        <f>IF(AND('Resource Planner'!$A$30="☑",24&lt;='Resource Planner'!$N$30),'Resource Planner'!$M$30,"")</f>
        <v/>
      </c>
    </row>
    <row r="1029" ht="15.75" customHeight="1">
      <c r="A10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29" s="163" t="str">
        <f>IF(AND('Resource Planner'!$A$30="☑",25&lt;='Resource Planner'!$N$30),'Resource Planner'!$C$30,"")</f>
        <v/>
      </c>
      <c r="C1029" s="163" t="str">
        <f>IF(AND('Resource Planner'!$A$30="☑",25&lt;='Resource Planner'!$N$30),'Resource Planner'!$B$30,"")</f>
        <v/>
      </c>
      <c r="D1029" s="163" t="str">
        <f>IF(AND('Resource Planner'!$A$30="☑",25&lt;='Resource Planner'!$N$30),'Resource Planner'!$D$30,"")</f>
        <v/>
      </c>
      <c r="E1029" s="163" t="str">
        <f>IF(AND('Resource Planner'!$A$30="☑",25&lt;='Resource Planner'!$N$30),'Resource Planner'!$E$30,"")</f>
        <v/>
      </c>
      <c r="F1029" s="163" t="str">
        <f>IF(AND('Resource Planner'!$A$30="☑",25&lt;='Resource Planner'!$N$30),'Resource Planner'!$F$30&amp;" "&amp;('Resource Planner'!$G$30+(25-1)*'Resource Planner'!$I$30)&amp;IF(('Resource Planner'!$G$30+(25-1)*'Resource Planner'!$I$30)=MIN('Resource Planner'!$G$30+25*'Resource Planner'!$I$30-1,'Resource Planner'!$H$30),"","–"&amp;MIN('Resource Planner'!$G$30+25*'Resource Planner'!$I$30-1,'Resource Planner'!$H$30)),"")</f>
        <v/>
      </c>
      <c r="G1029" s="163" t="s">
        <v>109</v>
      </c>
      <c r="H1029" s="163" t="str">
        <f>IF(AND('Resource Planner'!$A$30="☑",25&lt;='Resource Planner'!$N$30),'Resource Planner'!$M$30,"")</f>
        <v/>
      </c>
    </row>
    <row r="1030" ht="15.75" customHeight="1">
      <c r="A10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0" s="163" t="str">
        <f>IF(AND('Resource Planner'!$A$30="☑",26&lt;='Resource Planner'!$N$30),'Resource Planner'!$C$30,"")</f>
        <v/>
      </c>
      <c r="C1030" s="163" t="str">
        <f>IF(AND('Resource Planner'!$A$30="☑",26&lt;='Resource Planner'!$N$30),'Resource Planner'!$B$30,"")</f>
        <v/>
      </c>
      <c r="D1030" s="163" t="str">
        <f>IF(AND('Resource Planner'!$A$30="☑",26&lt;='Resource Planner'!$N$30),'Resource Planner'!$D$30,"")</f>
        <v/>
      </c>
      <c r="E1030" s="163" t="str">
        <f>IF(AND('Resource Planner'!$A$30="☑",26&lt;='Resource Planner'!$N$30),'Resource Planner'!$E$30,"")</f>
        <v/>
      </c>
      <c r="F1030" s="163" t="str">
        <f>IF(AND('Resource Planner'!$A$30="☑",26&lt;='Resource Planner'!$N$30),'Resource Planner'!$F$30&amp;" "&amp;('Resource Planner'!$G$30+(26-1)*'Resource Planner'!$I$30)&amp;IF(('Resource Planner'!$G$30+(26-1)*'Resource Planner'!$I$30)=MIN('Resource Planner'!$G$30+26*'Resource Planner'!$I$30-1,'Resource Planner'!$H$30),"","–"&amp;MIN('Resource Planner'!$G$30+26*'Resource Planner'!$I$30-1,'Resource Planner'!$H$30)),"")</f>
        <v/>
      </c>
      <c r="G1030" s="163" t="s">
        <v>109</v>
      </c>
      <c r="H1030" s="163" t="str">
        <f>IF(AND('Resource Planner'!$A$30="☑",26&lt;='Resource Planner'!$N$30),'Resource Planner'!$M$30,"")</f>
        <v/>
      </c>
    </row>
    <row r="1031" ht="15.75" customHeight="1">
      <c r="A10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1" s="163" t="str">
        <f>IF(AND('Resource Planner'!$A$30="☑",27&lt;='Resource Planner'!$N$30),'Resource Planner'!$C$30,"")</f>
        <v/>
      </c>
      <c r="C1031" s="163" t="str">
        <f>IF(AND('Resource Planner'!$A$30="☑",27&lt;='Resource Planner'!$N$30),'Resource Planner'!$B$30,"")</f>
        <v/>
      </c>
      <c r="D1031" s="163" t="str">
        <f>IF(AND('Resource Planner'!$A$30="☑",27&lt;='Resource Planner'!$N$30),'Resource Planner'!$D$30,"")</f>
        <v/>
      </c>
      <c r="E1031" s="163" t="str">
        <f>IF(AND('Resource Planner'!$A$30="☑",27&lt;='Resource Planner'!$N$30),'Resource Planner'!$E$30,"")</f>
        <v/>
      </c>
      <c r="F1031" s="163" t="str">
        <f>IF(AND('Resource Planner'!$A$30="☑",27&lt;='Resource Planner'!$N$30),'Resource Planner'!$F$30&amp;" "&amp;('Resource Planner'!$G$30+(27-1)*'Resource Planner'!$I$30)&amp;IF(('Resource Planner'!$G$30+(27-1)*'Resource Planner'!$I$30)=MIN('Resource Planner'!$G$30+27*'Resource Planner'!$I$30-1,'Resource Planner'!$H$30),"","–"&amp;MIN('Resource Planner'!$G$30+27*'Resource Planner'!$I$30-1,'Resource Planner'!$H$30)),"")</f>
        <v/>
      </c>
      <c r="G1031" s="163" t="s">
        <v>109</v>
      </c>
      <c r="H1031" s="163" t="str">
        <f>IF(AND('Resource Planner'!$A$30="☑",27&lt;='Resource Planner'!$N$30),'Resource Planner'!$M$30,"")</f>
        <v/>
      </c>
    </row>
    <row r="1032" ht="15.75" customHeight="1">
      <c r="A10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2" s="163" t="str">
        <f>IF(AND('Resource Planner'!$A$30="☑",28&lt;='Resource Planner'!$N$30),'Resource Planner'!$C$30,"")</f>
        <v/>
      </c>
      <c r="C1032" s="163" t="str">
        <f>IF(AND('Resource Planner'!$A$30="☑",28&lt;='Resource Planner'!$N$30),'Resource Planner'!$B$30,"")</f>
        <v/>
      </c>
      <c r="D1032" s="163" t="str">
        <f>IF(AND('Resource Planner'!$A$30="☑",28&lt;='Resource Planner'!$N$30),'Resource Planner'!$D$30,"")</f>
        <v/>
      </c>
      <c r="E1032" s="163" t="str">
        <f>IF(AND('Resource Planner'!$A$30="☑",28&lt;='Resource Planner'!$N$30),'Resource Planner'!$E$30,"")</f>
        <v/>
      </c>
      <c r="F1032" s="163" t="str">
        <f>IF(AND('Resource Planner'!$A$30="☑",28&lt;='Resource Planner'!$N$30),'Resource Planner'!$F$30&amp;" "&amp;('Resource Planner'!$G$30+(28-1)*'Resource Planner'!$I$30)&amp;IF(('Resource Planner'!$G$30+(28-1)*'Resource Planner'!$I$30)=MIN('Resource Planner'!$G$30+28*'Resource Planner'!$I$30-1,'Resource Planner'!$H$30),"","–"&amp;MIN('Resource Planner'!$G$30+28*'Resource Planner'!$I$30-1,'Resource Planner'!$H$30)),"")</f>
        <v/>
      </c>
      <c r="G1032" s="163" t="s">
        <v>109</v>
      </c>
      <c r="H1032" s="163" t="str">
        <f>IF(AND('Resource Planner'!$A$30="☑",28&lt;='Resource Planner'!$N$30),'Resource Planner'!$M$30,"")</f>
        <v/>
      </c>
    </row>
    <row r="1033" ht="15.75" customHeight="1">
      <c r="A10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3" s="163" t="str">
        <f>IF(AND('Resource Planner'!$A$30="☑",29&lt;='Resource Planner'!$N$30),'Resource Planner'!$C$30,"")</f>
        <v/>
      </c>
      <c r="C1033" s="163" t="str">
        <f>IF(AND('Resource Planner'!$A$30="☑",29&lt;='Resource Planner'!$N$30),'Resource Planner'!$B$30,"")</f>
        <v/>
      </c>
      <c r="D1033" s="163" t="str">
        <f>IF(AND('Resource Planner'!$A$30="☑",29&lt;='Resource Planner'!$N$30),'Resource Planner'!$D$30,"")</f>
        <v/>
      </c>
      <c r="E1033" s="163" t="str">
        <f>IF(AND('Resource Planner'!$A$30="☑",29&lt;='Resource Planner'!$N$30),'Resource Planner'!$E$30,"")</f>
        <v/>
      </c>
      <c r="F1033" s="163" t="str">
        <f>IF(AND('Resource Planner'!$A$30="☑",29&lt;='Resource Planner'!$N$30),'Resource Planner'!$F$30&amp;" "&amp;('Resource Planner'!$G$30+(29-1)*'Resource Planner'!$I$30)&amp;IF(('Resource Planner'!$G$30+(29-1)*'Resource Planner'!$I$30)=MIN('Resource Planner'!$G$30+29*'Resource Planner'!$I$30-1,'Resource Planner'!$H$30),"","–"&amp;MIN('Resource Planner'!$G$30+29*'Resource Planner'!$I$30-1,'Resource Planner'!$H$30)),"")</f>
        <v/>
      </c>
      <c r="G1033" s="163" t="s">
        <v>109</v>
      </c>
      <c r="H1033" s="163" t="str">
        <f>IF(AND('Resource Planner'!$A$30="☑",29&lt;='Resource Planner'!$N$30),'Resource Planner'!$M$30,"")</f>
        <v/>
      </c>
    </row>
    <row r="1034" ht="15.75" customHeight="1">
      <c r="A10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4" s="163" t="str">
        <f>IF(AND('Resource Planner'!$A$30="☑",30&lt;='Resource Planner'!$N$30),'Resource Planner'!$C$30,"")</f>
        <v/>
      </c>
      <c r="C1034" s="163" t="str">
        <f>IF(AND('Resource Planner'!$A$30="☑",30&lt;='Resource Planner'!$N$30),'Resource Planner'!$B$30,"")</f>
        <v/>
      </c>
      <c r="D1034" s="163" t="str">
        <f>IF(AND('Resource Planner'!$A$30="☑",30&lt;='Resource Planner'!$N$30),'Resource Planner'!$D$30,"")</f>
        <v/>
      </c>
      <c r="E1034" s="163" t="str">
        <f>IF(AND('Resource Planner'!$A$30="☑",30&lt;='Resource Planner'!$N$30),'Resource Planner'!$E$30,"")</f>
        <v/>
      </c>
      <c r="F1034" s="163" t="str">
        <f>IF(AND('Resource Planner'!$A$30="☑",30&lt;='Resource Planner'!$N$30),'Resource Planner'!$F$30&amp;" "&amp;('Resource Planner'!$G$30+(30-1)*'Resource Planner'!$I$30)&amp;IF(('Resource Planner'!$G$30+(30-1)*'Resource Planner'!$I$30)=MIN('Resource Planner'!$G$30+30*'Resource Planner'!$I$30-1,'Resource Planner'!$H$30),"","–"&amp;MIN('Resource Planner'!$G$30+30*'Resource Planner'!$I$30-1,'Resource Planner'!$H$30)),"")</f>
        <v/>
      </c>
      <c r="G1034" s="163" t="s">
        <v>109</v>
      </c>
      <c r="H1034" s="163" t="str">
        <f>IF(AND('Resource Planner'!$A$30="☑",30&lt;='Resource Planner'!$N$30),'Resource Planner'!$M$30,"")</f>
        <v/>
      </c>
    </row>
    <row r="1035" ht="15.75" customHeight="1">
      <c r="A10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5" s="163" t="str">
        <f>IF(AND('Resource Planner'!$A$30="☑",31&lt;='Resource Planner'!$N$30),'Resource Planner'!$C$30,"")</f>
        <v/>
      </c>
      <c r="C1035" s="163" t="str">
        <f>IF(AND('Resource Planner'!$A$30="☑",31&lt;='Resource Planner'!$N$30),'Resource Planner'!$B$30,"")</f>
        <v/>
      </c>
      <c r="D1035" s="163" t="str">
        <f>IF(AND('Resource Planner'!$A$30="☑",31&lt;='Resource Planner'!$N$30),'Resource Planner'!$D$30,"")</f>
        <v/>
      </c>
      <c r="E1035" s="163" t="str">
        <f>IF(AND('Resource Planner'!$A$30="☑",31&lt;='Resource Planner'!$N$30),'Resource Planner'!$E$30,"")</f>
        <v/>
      </c>
      <c r="F1035" s="163" t="str">
        <f>IF(AND('Resource Planner'!$A$30="☑",31&lt;='Resource Planner'!$N$30),'Resource Planner'!$F$30&amp;" "&amp;('Resource Planner'!$G$30+(31-1)*'Resource Planner'!$I$30)&amp;IF(('Resource Planner'!$G$30+(31-1)*'Resource Planner'!$I$30)=MIN('Resource Planner'!$G$30+31*'Resource Planner'!$I$30-1,'Resource Planner'!$H$30),"","–"&amp;MIN('Resource Planner'!$G$30+31*'Resource Planner'!$I$30-1,'Resource Planner'!$H$30)),"")</f>
        <v/>
      </c>
      <c r="G1035" s="163" t="s">
        <v>109</v>
      </c>
      <c r="H1035" s="163" t="str">
        <f>IF(AND('Resource Planner'!$A$30="☑",31&lt;='Resource Planner'!$N$30),'Resource Planner'!$M$30,"")</f>
        <v/>
      </c>
    </row>
    <row r="1036" ht="15.75" customHeight="1">
      <c r="A10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6" s="163" t="str">
        <f>IF(AND('Resource Planner'!$A$30="☑",32&lt;='Resource Planner'!$N$30),'Resource Planner'!$C$30,"")</f>
        <v/>
      </c>
      <c r="C1036" s="163" t="str">
        <f>IF(AND('Resource Planner'!$A$30="☑",32&lt;='Resource Planner'!$N$30),'Resource Planner'!$B$30,"")</f>
        <v/>
      </c>
      <c r="D1036" s="163" t="str">
        <f>IF(AND('Resource Planner'!$A$30="☑",32&lt;='Resource Planner'!$N$30),'Resource Planner'!$D$30,"")</f>
        <v/>
      </c>
      <c r="E1036" s="163" t="str">
        <f>IF(AND('Resource Planner'!$A$30="☑",32&lt;='Resource Planner'!$N$30),'Resource Planner'!$E$30,"")</f>
        <v/>
      </c>
      <c r="F1036" s="163" t="str">
        <f>IF(AND('Resource Planner'!$A$30="☑",32&lt;='Resource Planner'!$N$30),'Resource Planner'!$F$30&amp;" "&amp;('Resource Planner'!$G$30+(32-1)*'Resource Planner'!$I$30)&amp;IF(('Resource Planner'!$G$30+(32-1)*'Resource Planner'!$I$30)=MIN('Resource Planner'!$G$30+32*'Resource Planner'!$I$30-1,'Resource Planner'!$H$30),"","–"&amp;MIN('Resource Planner'!$G$30+32*'Resource Planner'!$I$30-1,'Resource Planner'!$H$30)),"")</f>
        <v/>
      </c>
      <c r="G1036" s="163" t="s">
        <v>109</v>
      </c>
      <c r="H1036" s="163" t="str">
        <f>IF(AND('Resource Planner'!$A$30="☑",32&lt;='Resource Planner'!$N$30),'Resource Planner'!$M$30,"")</f>
        <v/>
      </c>
    </row>
    <row r="1037" ht="15.75" customHeight="1">
      <c r="A10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7" s="163" t="str">
        <f>IF(AND('Resource Planner'!$A$30="☑",33&lt;='Resource Planner'!$N$30),'Resource Planner'!$C$30,"")</f>
        <v/>
      </c>
      <c r="C1037" s="163" t="str">
        <f>IF(AND('Resource Planner'!$A$30="☑",33&lt;='Resource Planner'!$N$30),'Resource Planner'!$B$30,"")</f>
        <v/>
      </c>
      <c r="D1037" s="163" t="str">
        <f>IF(AND('Resource Planner'!$A$30="☑",33&lt;='Resource Planner'!$N$30),'Resource Planner'!$D$30,"")</f>
        <v/>
      </c>
      <c r="E1037" s="163" t="str">
        <f>IF(AND('Resource Planner'!$A$30="☑",33&lt;='Resource Planner'!$N$30),'Resource Planner'!$E$30,"")</f>
        <v/>
      </c>
      <c r="F1037" s="163" t="str">
        <f>IF(AND('Resource Planner'!$A$30="☑",33&lt;='Resource Planner'!$N$30),'Resource Planner'!$F$30&amp;" "&amp;('Resource Planner'!$G$30+(33-1)*'Resource Planner'!$I$30)&amp;IF(('Resource Planner'!$G$30+(33-1)*'Resource Planner'!$I$30)=MIN('Resource Planner'!$G$30+33*'Resource Planner'!$I$30-1,'Resource Planner'!$H$30),"","–"&amp;MIN('Resource Planner'!$G$30+33*'Resource Planner'!$I$30-1,'Resource Planner'!$H$30)),"")</f>
        <v/>
      </c>
      <c r="G1037" s="163" t="s">
        <v>109</v>
      </c>
      <c r="H1037" s="163" t="str">
        <f>IF(AND('Resource Planner'!$A$30="☑",33&lt;='Resource Planner'!$N$30),'Resource Planner'!$M$30,"")</f>
        <v/>
      </c>
    </row>
    <row r="1038" ht="15.75" customHeight="1">
      <c r="A10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8" s="163" t="str">
        <f>IF(AND('Resource Planner'!$A$30="☑",34&lt;='Resource Planner'!$N$30),'Resource Planner'!$C$30,"")</f>
        <v/>
      </c>
      <c r="C1038" s="163" t="str">
        <f>IF(AND('Resource Planner'!$A$30="☑",34&lt;='Resource Planner'!$N$30),'Resource Planner'!$B$30,"")</f>
        <v/>
      </c>
      <c r="D1038" s="163" t="str">
        <f>IF(AND('Resource Planner'!$A$30="☑",34&lt;='Resource Planner'!$N$30),'Resource Planner'!$D$30,"")</f>
        <v/>
      </c>
      <c r="E1038" s="163" t="str">
        <f>IF(AND('Resource Planner'!$A$30="☑",34&lt;='Resource Planner'!$N$30),'Resource Planner'!$E$30,"")</f>
        <v/>
      </c>
      <c r="F1038" s="163" t="str">
        <f>IF(AND('Resource Planner'!$A$30="☑",34&lt;='Resource Planner'!$N$30),'Resource Planner'!$F$30&amp;" "&amp;('Resource Planner'!$G$30+(34-1)*'Resource Planner'!$I$30)&amp;IF(('Resource Planner'!$G$30+(34-1)*'Resource Planner'!$I$30)=MIN('Resource Planner'!$G$30+34*'Resource Planner'!$I$30-1,'Resource Planner'!$H$30),"","–"&amp;MIN('Resource Planner'!$G$30+34*'Resource Planner'!$I$30-1,'Resource Planner'!$H$30)),"")</f>
        <v/>
      </c>
      <c r="G1038" s="163" t="s">
        <v>109</v>
      </c>
      <c r="H1038" s="163" t="str">
        <f>IF(AND('Resource Planner'!$A$30="☑",34&lt;='Resource Planner'!$N$30),'Resource Planner'!$M$30,"")</f>
        <v/>
      </c>
    </row>
    <row r="1039" ht="15.75" customHeight="1">
      <c r="A10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39" s="163" t="str">
        <f>IF(AND('Resource Planner'!$A$30="☑",35&lt;='Resource Planner'!$N$30),'Resource Planner'!$C$30,"")</f>
        <v/>
      </c>
      <c r="C1039" s="163" t="str">
        <f>IF(AND('Resource Planner'!$A$30="☑",35&lt;='Resource Planner'!$N$30),'Resource Planner'!$B$30,"")</f>
        <v/>
      </c>
      <c r="D1039" s="163" t="str">
        <f>IF(AND('Resource Planner'!$A$30="☑",35&lt;='Resource Planner'!$N$30),'Resource Planner'!$D$30,"")</f>
        <v/>
      </c>
      <c r="E1039" s="163" t="str">
        <f>IF(AND('Resource Planner'!$A$30="☑",35&lt;='Resource Planner'!$N$30),'Resource Planner'!$E$30,"")</f>
        <v/>
      </c>
      <c r="F1039" s="163" t="str">
        <f>IF(AND('Resource Planner'!$A$30="☑",35&lt;='Resource Planner'!$N$30),'Resource Planner'!$F$30&amp;" "&amp;('Resource Planner'!$G$30+(35-1)*'Resource Planner'!$I$30)&amp;IF(('Resource Planner'!$G$30+(35-1)*'Resource Planner'!$I$30)=MIN('Resource Planner'!$G$30+35*'Resource Planner'!$I$30-1,'Resource Planner'!$H$30),"","–"&amp;MIN('Resource Planner'!$G$30+35*'Resource Planner'!$I$30-1,'Resource Planner'!$H$30)),"")</f>
        <v/>
      </c>
      <c r="G1039" s="163" t="s">
        <v>109</v>
      </c>
      <c r="H1039" s="163" t="str">
        <f>IF(AND('Resource Planner'!$A$30="☑",35&lt;='Resource Planner'!$N$30),'Resource Planner'!$M$30,"")</f>
        <v/>
      </c>
    </row>
    <row r="1040" ht="15.75" customHeight="1">
      <c r="A10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0" s="163" t="str">
        <f>IF(AND('Resource Planner'!$A$30="☑",36&lt;='Resource Planner'!$N$30),'Resource Planner'!$C$30,"")</f>
        <v/>
      </c>
      <c r="C1040" s="163" t="str">
        <f>IF(AND('Resource Planner'!$A$30="☑",36&lt;='Resource Planner'!$N$30),'Resource Planner'!$B$30,"")</f>
        <v/>
      </c>
      <c r="D1040" s="163" t="str">
        <f>IF(AND('Resource Planner'!$A$30="☑",36&lt;='Resource Planner'!$N$30),'Resource Planner'!$D$30,"")</f>
        <v/>
      </c>
      <c r="E1040" s="163" t="str">
        <f>IF(AND('Resource Planner'!$A$30="☑",36&lt;='Resource Planner'!$N$30),'Resource Planner'!$E$30,"")</f>
        <v/>
      </c>
      <c r="F1040" s="163" t="str">
        <f>IF(AND('Resource Planner'!$A$30="☑",36&lt;='Resource Planner'!$N$30),'Resource Planner'!$F$30&amp;" "&amp;('Resource Planner'!$G$30+(36-1)*'Resource Planner'!$I$30)&amp;IF(('Resource Planner'!$G$30+(36-1)*'Resource Planner'!$I$30)=MIN('Resource Planner'!$G$30+36*'Resource Planner'!$I$30-1,'Resource Planner'!$H$30),"","–"&amp;MIN('Resource Planner'!$G$30+36*'Resource Planner'!$I$30-1,'Resource Planner'!$H$30)),"")</f>
        <v/>
      </c>
      <c r="G1040" s="163" t="s">
        <v>109</v>
      </c>
      <c r="H1040" s="163" t="str">
        <f>IF(AND('Resource Planner'!$A$30="☑",36&lt;='Resource Planner'!$N$30),'Resource Planner'!$M$30,"")</f>
        <v/>
      </c>
    </row>
    <row r="1041" ht="15.75" customHeight="1">
      <c r="A10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1" s="163" t="str">
        <f>IF(AND('Resource Planner'!$A$30="☑",37&lt;='Resource Planner'!$N$30),'Resource Planner'!$C$30,"")</f>
        <v/>
      </c>
      <c r="C1041" s="163" t="str">
        <f>IF(AND('Resource Planner'!$A$30="☑",37&lt;='Resource Planner'!$N$30),'Resource Planner'!$B$30,"")</f>
        <v/>
      </c>
      <c r="D1041" s="163" t="str">
        <f>IF(AND('Resource Planner'!$A$30="☑",37&lt;='Resource Planner'!$N$30),'Resource Planner'!$D$30,"")</f>
        <v/>
      </c>
      <c r="E1041" s="163" t="str">
        <f>IF(AND('Resource Planner'!$A$30="☑",37&lt;='Resource Planner'!$N$30),'Resource Planner'!$E$30,"")</f>
        <v/>
      </c>
      <c r="F1041" s="163" t="str">
        <f>IF(AND('Resource Planner'!$A$30="☑",37&lt;='Resource Planner'!$N$30),'Resource Planner'!$F$30&amp;" "&amp;('Resource Planner'!$G$30+(37-1)*'Resource Planner'!$I$30)&amp;IF(('Resource Planner'!$G$30+(37-1)*'Resource Planner'!$I$30)=MIN('Resource Planner'!$G$30+37*'Resource Planner'!$I$30-1,'Resource Planner'!$H$30),"","–"&amp;MIN('Resource Planner'!$G$30+37*'Resource Planner'!$I$30-1,'Resource Planner'!$H$30)),"")</f>
        <v/>
      </c>
      <c r="G1041" s="163" t="s">
        <v>109</v>
      </c>
      <c r="H1041" s="163" t="str">
        <f>IF(AND('Resource Planner'!$A$30="☑",37&lt;='Resource Planner'!$N$30),'Resource Planner'!$M$30,"")</f>
        <v/>
      </c>
    </row>
    <row r="1042" ht="15.75" customHeight="1">
      <c r="A10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2" s="163" t="str">
        <f>IF(AND('Resource Planner'!$A$30="☑",38&lt;='Resource Planner'!$N$30),'Resource Planner'!$C$30,"")</f>
        <v/>
      </c>
      <c r="C1042" s="163" t="str">
        <f>IF(AND('Resource Planner'!$A$30="☑",38&lt;='Resource Planner'!$N$30),'Resource Planner'!$B$30,"")</f>
        <v/>
      </c>
      <c r="D1042" s="163" t="str">
        <f>IF(AND('Resource Planner'!$A$30="☑",38&lt;='Resource Planner'!$N$30),'Resource Planner'!$D$30,"")</f>
        <v/>
      </c>
      <c r="E1042" s="163" t="str">
        <f>IF(AND('Resource Planner'!$A$30="☑",38&lt;='Resource Planner'!$N$30),'Resource Planner'!$E$30,"")</f>
        <v/>
      </c>
      <c r="F1042" s="163" t="str">
        <f>IF(AND('Resource Planner'!$A$30="☑",38&lt;='Resource Planner'!$N$30),'Resource Planner'!$F$30&amp;" "&amp;('Resource Planner'!$G$30+(38-1)*'Resource Planner'!$I$30)&amp;IF(('Resource Planner'!$G$30+(38-1)*'Resource Planner'!$I$30)=MIN('Resource Planner'!$G$30+38*'Resource Planner'!$I$30-1,'Resource Planner'!$H$30),"","–"&amp;MIN('Resource Planner'!$G$30+38*'Resource Planner'!$I$30-1,'Resource Planner'!$H$30)),"")</f>
        <v/>
      </c>
      <c r="G1042" s="163" t="s">
        <v>109</v>
      </c>
      <c r="H1042" s="163" t="str">
        <f>IF(AND('Resource Planner'!$A$30="☑",38&lt;='Resource Planner'!$N$30),'Resource Planner'!$M$30,"")</f>
        <v/>
      </c>
    </row>
    <row r="1043" ht="15.75" customHeight="1">
      <c r="A10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3" s="163" t="str">
        <f>IF(AND('Resource Planner'!$A$30="☑",39&lt;='Resource Planner'!$N$30),'Resource Planner'!$C$30,"")</f>
        <v/>
      </c>
      <c r="C1043" s="163" t="str">
        <f>IF(AND('Resource Planner'!$A$30="☑",39&lt;='Resource Planner'!$N$30),'Resource Planner'!$B$30,"")</f>
        <v/>
      </c>
      <c r="D1043" s="163" t="str">
        <f>IF(AND('Resource Planner'!$A$30="☑",39&lt;='Resource Planner'!$N$30),'Resource Planner'!$D$30,"")</f>
        <v/>
      </c>
      <c r="E1043" s="163" t="str">
        <f>IF(AND('Resource Planner'!$A$30="☑",39&lt;='Resource Planner'!$N$30),'Resource Planner'!$E$30,"")</f>
        <v/>
      </c>
      <c r="F1043" s="163" t="str">
        <f>IF(AND('Resource Planner'!$A$30="☑",39&lt;='Resource Planner'!$N$30),'Resource Planner'!$F$30&amp;" "&amp;('Resource Planner'!$G$30+(39-1)*'Resource Planner'!$I$30)&amp;IF(('Resource Planner'!$G$30+(39-1)*'Resource Planner'!$I$30)=MIN('Resource Planner'!$G$30+39*'Resource Planner'!$I$30-1,'Resource Planner'!$H$30),"","–"&amp;MIN('Resource Planner'!$G$30+39*'Resource Planner'!$I$30-1,'Resource Planner'!$H$30)),"")</f>
        <v/>
      </c>
      <c r="G1043" s="163" t="s">
        <v>109</v>
      </c>
      <c r="H1043" s="163" t="str">
        <f>IF(AND('Resource Planner'!$A$30="☑",39&lt;='Resource Planner'!$N$30),'Resource Planner'!$M$30,"")</f>
        <v/>
      </c>
    </row>
    <row r="1044" ht="15.75" customHeight="1">
      <c r="A10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4" s="163" t="str">
        <f>IF(AND('Resource Planner'!$A$30="☑",40&lt;='Resource Planner'!$N$30),'Resource Planner'!$C$30,"")</f>
        <v/>
      </c>
      <c r="C1044" s="163" t="str">
        <f>IF(AND('Resource Planner'!$A$30="☑",40&lt;='Resource Planner'!$N$30),'Resource Planner'!$B$30,"")</f>
        <v/>
      </c>
      <c r="D1044" s="163" t="str">
        <f>IF(AND('Resource Planner'!$A$30="☑",40&lt;='Resource Planner'!$N$30),'Resource Planner'!$D$30,"")</f>
        <v/>
      </c>
      <c r="E1044" s="163" t="str">
        <f>IF(AND('Resource Planner'!$A$30="☑",40&lt;='Resource Planner'!$N$30),'Resource Planner'!$E$30,"")</f>
        <v/>
      </c>
      <c r="F1044" s="163" t="str">
        <f>IF(AND('Resource Planner'!$A$30="☑",40&lt;='Resource Planner'!$N$30),'Resource Planner'!$F$30&amp;" "&amp;('Resource Planner'!$G$30+(40-1)*'Resource Planner'!$I$30)&amp;IF(('Resource Planner'!$G$30+(40-1)*'Resource Planner'!$I$30)=MIN('Resource Planner'!$G$30+40*'Resource Planner'!$I$30-1,'Resource Planner'!$H$30),"","–"&amp;MIN('Resource Planner'!$G$30+40*'Resource Planner'!$I$30-1,'Resource Planner'!$H$30)),"")</f>
        <v/>
      </c>
      <c r="G1044" s="163" t="s">
        <v>109</v>
      </c>
      <c r="H1044" s="163" t="str">
        <f>IF(AND('Resource Planner'!$A$30="☑",40&lt;='Resource Planner'!$N$30),'Resource Planner'!$M$30,"")</f>
        <v/>
      </c>
    </row>
    <row r="1045" ht="15.75" customHeight="1">
      <c r="A10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5" s="163" t="str">
        <f>IF(AND('Resource Planner'!$A$30="☑",41&lt;='Resource Planner'!$N$30),'Resource Planner'!$C$30,"")</f>
        <v/>
      </c>
      <c r="C1045" s="163" t="str">
        <f>IF(AND('Resource Planner'!$A$30="☑",41&lt;='Resource Planner'!$N$30),'Resource Planner'!$B$30,"")</f>
        <v/>
      </c>
      <c r="D1045" s="163" t="str">
        <f>IF(AND('Resource Planner'!$A$30="☑",41&lt;='Resource Planner'!$N$30),'Resource Planner'!$D$30,"")</f>
        <v/>
      </c>
      <c r="E1045" s="163" t="str">
        <f>IF(AND('Resource Planner'!$A$30="☑",41&lt;='Resource Planner'!$N$30),'Resource Planner'!$E$30,"")</f>
        <v/>
      </c>
      <c r="F1045" s="163" t="str">
        <f>IF(AND('Resource Planner'!$A$30="☑",41&lt;='Resource Planner'!$N$30),'Resource Planner'!$F$30&amp;" "&amp;('Resource Planner'!$G$30+(41-1)*'Resource Planner'!$I$30)&amp;IF(('Resource Planner'!$G$30+(41-1)*'Resource Planner'!$I$30)=MIN('Resource Planner'!$G$30+41*'Resource Planner'!$I$30-1,'Resource Planner'!$H$30),"","–"&amp;MIN('Resource Planner'!$G$30+41*'Resource Planner'!$I$30-1,'Resource Planner'!$H$30)),"")</f>
        <v/>
      </c>
      <c r="G1045" s="163" t="s">
        <v>109</v>
      </c>
      <c r="H1045" s="163" t="str">
        <f>IF(AND('Resource Planner'!$A$30="☑",41&lt;='Resource Planner'!$N$30),'Resource Planner'!$M$30,"")</f>
        <v/>
      </c>
    </row>
    <row r="1046" ht="15.75" customHeight="1">
      <c r="A10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6" s="163" t="str">
        <f>IF(AND('Resource Planner'!$A$30="☑",42&lt;='Resource Planner'!$N$30),'Resource Planner'!$C$30,"")</f>
        <v/>
      </c>
      <c r="C1046" s="163" t="str">
        <f>IF(AND('Resource Planner'!$A$30="☑",42&lt;='Resource Planner'!$N$30),'Resource Planner'!$B$30,"")</f>
        <v/>
      </c>
      <c r="D1046" s="163" t="str">
        <f>IF(AND('Resource Planner'!$A$30="☑",42&lt;='Resource Planner'!$N$30),'Resource Planner'!$D$30,"")</f>
        <v/>
      </c>
      <c r="E1046" s="163" t="str">
        <f>IF(AND('Resource Planner'!$A$30="☑",42&lt;='Resource Planner'!$N$30),'Resource Planner'!$E$30,"")</f>
        <v/>
      </c>
      <c r="F1046" s="163" t="str">
        <f>IF(AND('Resource Planner'!$A$30="☑",42&lt;='Resource Planner'!$N$30),'Resource Planner'!$F$30&amp;" "&amp;('Resource Planner'!$G$30+(42-1)*'Resource Planner'!$I$30)&amp;IF(('Resource Planner'!$G$30+(42-1)*'Resource Planner'!$I$30)=MIN('Resource Planner'!$G$30+42*'Resource Planner'!$I$30-1,'Resource Planner'!$H$30),"","–"&amp;MIN('Resource Planner'!$G$30+42*'Resource Planner'!$I$30-1,'Resource Planner'!$H$30)),"")</f>
        <v/>
      </c>
      <c r="G1046" s="163" t="s">
        <v>109</v>
      </c>
      <c r="H1046" s="163" t="str">
        <f>IF(AND('Resource Planner'!$A$30="☑",42&lt;='Resource Planner'!$N$30),'Resource Planner'!$M$30,"")</f>
        <v/>
      </c>
    </row>
    <row r="1047" ht="15.75" customHeight="1">
      <c r="A10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7" s="163" t="str">
        <f>IF(AND('Resource Planner'!$A$30="☑",43&lt;='Resource Planner'!$N$30),'Resource Planner'!$C$30,"")</f>
        <v/>
      </c>
      <c r="C1047" s="163" t="str">
        <f>IF(AND('Resource Planner'!$A$30="☑",43&lt;='Resource Planner'!$N$30),'Resource Planner'!$B$30,"")</f>
        <v/>
      </c>
      <c r="D1047" s="163" t="str">
        <f>IF(AND('Resource Planner'!$A$30="☑",43&lt;='Resource Planner'!$N$30),'Resource Planner'!$D$30,"")</f>
        <v/>
      </c>
      <c r="E1047" s="163" t="str">
        <f>IF(AND('Resource Planner'!$A$30="☑",43&lt;='Resource Planner'!$N$30),'Resource Planner'!$E$30,"")</f>
        <v/>
      </c>
      <c r="F1047" s="163" t="str">
        <f>IF(AND('Resource Planner'!$A$30="☑",43&lt;='Resource Planner'!$N$30),'Resource Planner'!$F$30&amp;" "&amp;('Resource Planner'!$G$30+(43-1)*'Resource Planner'!$I$30)&amp;IF(('Resource Planner'!$G$30+(43-1)*'Resource Planner'!$I$30)=MIN('Resource Planner'!$G$30+43*'Resource Planner'!$I$30-1,'Resource Planner'!$H$30),"","–"&amp;MIN('Resource Planner'!$G$30+43*'Resource Planner'!$I$30-1,'Resource Planner'!$H$30)),"")</f>
        <v/>
      </c>
      <c r="G1047" s="163" t="s">
        <v>109</v>
      </c>
      <c r="H1047" s="163" t="str">
        <f>IF(AND('Resource Planner'!$A$30="☑",43&lt;='Resource Planner'!$N$30),'Resource Planner'!$M$30,"")</f>
        <v/>
      </c>
    </row>
    <row r="1048" ht="15.75" customHeight="1">
      <c r="A10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8" s="163" t="str">
        <f>IF(AND('Resource Planner'!$A$30="☑",44&lt;='Resource Planner'!$N$30),'Resource Planner'!$C$30,"")</f>
        <v/>
      </c>
      <c r="C1048" s="163" t="str">
        <f>IF(AND('Resource Planner'!$A$30="☑",44&lt;='Resource Planner'!$N$30),'Resource Planner'!$B$30,"")</f>
        <v/>
      </c>
      <c r="D1048" s="163" t="str">
        <f>IF(AND('Resource Planner'!$A$30="☑",44&lt;='Resource Planner'!$N$30),'Resource Planner'!$D$30,"")</f>
        <v/>
      </c>
      <c r="E1048" s="163" t="str">
        <f>IF(AND('Resource Planner'!$A$30="☑",44&lt;='Resource Planner'!$N$30),'Resource Planner'!$E$30,"")</f>
        <v/>
      </c>
      <c r="F1048" s="163" t="str">
        <f>IF(AND('Resource Planner'!$A$30="☑",44&lt;='Resource Planner'!$N$30),'Resource Planner'!$F$30&amp;" "&amp;('Resource Planner'!$G$30+(44-1)*'Resource Planner'!$I$30)&amp;IF(('Resource Planner'!$G$30+(44-1)*'Resource Planner'!$I$30)=MIN('Resource Planner'!$G$30+44*'Resource Planner'!$I$30-1,'Resource Planner'!$H$30),"","–"&amp;MIN('Resource Planner'!$G$30+44*'Resource Planner'!$I$30-1,'Resource Planner'!$H$30)),"")</f>
        <v/>
      </c>
      <c r="G1048" s="163" t="s">
        <v>109</v>
      </c>
      <c r="H1048" s="163" t="str">
        <f>IF(AND('Resource Planner'!$A$30="☑",44&lt;='Resource Planner'!$N$30),'Resource Planner'!$M$30,"")</f>
        <v/>
      </c>
    </row>
    <row r="1049" ht="15.75" customHeight="1">
      <c r="A10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49" s="163" t="str">
        <f>IF(AND('Resource Planner'!$A$30="☑",45&lt;='Resource Planner'!$N$30),'Resource Planner'!$C$30,"")</f>
        <v/>
      </c>
      <c r="C1049" s="163" t="str">
        <f>IF(AND('Resource Planner'!$A$30="☑",45&lt;='Resource Planner'!$N$30),'Resource Planner'!$B$30,"")</f>
        <v/>
      </c>
      <c r="D1049" s="163" t="str">
        <f>IF(AND('Resource Planner'!$A$30="☑",45&lt;='Resource Planner'!$N$30),'Resource Planner'!$D$30,"")</f>
        <v/>
      </c>
      <c r="E1049" s="163" t="str">
        <f>IF(AND('Resource Planner'!$A$30="☑",45&lt;='Resource Planner'!$N$30),'Resource Planner'!$E$30,"")</f>
        <v/>
      </c>
      <c r="F1049" s="163" t="str">
        <f>IF(AND('Resource Planner'!$A$30="☑",45&lt;='Resource Planner'!$N$30),'Resource Planner'!$F$30&amp;" "&amp;('Resource Planner'!$G$30+(45-1)*'Resource Planner'!$I$30)&amp;IF(('Resource Planner'!$G$30+(45-1)*'Resource Planner'!$I$30)=MIN('Resource Planner'!$G$30+45*'Resource Planner'!$I$30-1,'Resource Planner'!$H$30),"","–"&amp;MIN('Resource Planner'!$G$30+45*'Resource Planner'!$I$30-1,'Resource Planner'!$H$30)),"")</f>
        <v/>
      </c>
      <c r="G1049" s="163" t="s">
        <v>109</v>
      </c>
      <c r="H1049" s="163" t="str">
        <f>IF(AND('Resource Planner'!$A$30="☑",45&lt;='Resource Planner'!$N$30),'Resource Planner'!$M$30,"")</f>
        <v/>
      </c>
    </row>
    <row r="1050" ht="15.75" customHeight="1">
      <c r="A10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0" s="163" t="str">
        <f>IF(AND('Resource Planner'!$A$30="☑",46&lt;='Resource Planner'!$N$30),'Resource Planner'!$C$30,"")</f>
        <v/>
      </c>
      <c r="C1050" s="163" t="str">
        <f>IF(AND('Resource Planner'!$A$30="☑",46&lt;='Resource Planner'!$N$30),'Resource Planner'!$B$30,"")</f>
        <v/>
      </c>
      <c r="D1050" s="163" t="str">
        <f>IF(AND('Resource Planner'!$A$30="☑",46&lt;='Resource Planner'!$N$30),'Resource Planner'!$D$30,"")</f>
        <v/>
      </c>
      <c r="E1050" s="163" t="str">
        <f>IF(AND('Resource Planner'!$A$30="☑",46&lt;='Resource Planner'!$N$30),'Resource Planner'!$E$30,"")</f>
        <v/>
      </c>
      <c r="F1050" s="163" t="str">
        <f>IF(AND('Resource Planner'!$A$30="☑",46&lt;='Resource Planner'!$N$30),'Resource Planner'!$F$30&amp;" "&amp;('Resource Planner'!$G$30+(46-1)*'Resource Planner'!$I$30)&amp;IF(('Resource Planner'!$G$30+(46-1)*'Resource Planner'!$I$30)=MIN('Resource Planner'!$G$30+46*'Resource Planner'!$I$30-1,'Resource Planner'!$H$30),"","–"&amp;MIN('Resource Planner'!$G$30+46*'Resource Planner'!$I$30-1,'Resource Planner'!$H$30)),"")</f>
        <v/>
      </c>
      <c r="G1050" s="163" t="s">
        <v>109</v>
      </c>
      <c r="H1050" s="163" t="str">
        <f>IF(AND('Resource Planner'!$A$30="☑",46&lt;='Resource Planner'!$N$30),'Resource Planner'!$M$30,"")</f>
        <v/>
      </c>
    </row>
    <row r="1051" ht="15.75" customHeight="1">
      <c r="A10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1" s="163" t="str">
        <f>IF(AND('Resource Planner'!$A$30="☑",47&lt;='Resource Planner'!$N$30),'Resource Planner'!$C$30,"")</f>
        <v/>
      </c>
      <c r="C1051" s="163" t="str">
        <f>IF(AND('Resource Planner'!$A$30="☑",47&lt;='Resource Planner'!$N$30),'Resource Planner'!$B$30,"")</f>
        <v/>
      </c>
      <c r="D1051" s="163" t="str">
        <f>IF(AND('Resource Planner'!$A$30="☑",47&lt;='Resource Planner'!$N$30),'Resource Planner'!$D$30,"")</f>
        <v/>
      </c>
      <c r="E1051" s="163" t="str">
        <f>IF(AND('Resource Planner'!$A$30="☑",47&lt;='Resource Planner'!$N$30),'Resource Planner'!$E$30,"")</f>
        <v/>
      </c>
      <c r="F1051" s="163" t="str">
        <f>IF(AND('Resource Planner'!$A$30="☑",47&lt;='Resource Planner'!$N$30),'Resource Planner'!$F$30&amp;" "&amp;('Resource Planner'!$G$30+(47-1)*'Resource Planner'!$I$30)&amp;IF(('Resource Planner'!$G$30+(47-1)*'Resource Planner'!$I$30)=MIN('Resource Planner'!$G$30+47*'Resource Planner'!$I$30-1,'Resource Planner'!$H$30),"","–"&amp;MIN('Resource Planner'!$G$30+47*'Resource Planner'!$I$30-1,'Resource Planner'!$H$30)),"")</f>
        <v/>
      </c>
      <c r="G1051" s="163" t="s">
        <v>109</v>
      </c>
      <c r="H1051" s="163" t="str">
        <f>IF(AND('Resource Planner'!$A$30="☑",47&lt;='Resource Planner'!$N$30),'Resource Planner'!$M$30,"")</f>
        <v/>
      </c>
    </row>
    <row r="1052" ht="15.75" customHeight="1">
      <c r="A10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2" s="163" t="str">
        <f>IF(AND('Resource Planner'!$A$30="☑",48&lt;='Resource Planner'!$N$30),'Resource Planner'!$C$30,"")</f>
        <v/>
      </c>
      <c r="C1052" s="163" t="str">
        <f>IF(AND('Resource Planner'!$A$30="☑",48&lt;='Resource Planner'!$N$30),'Resource Planner'!$B$30,"")</f>
        <v/>
      </c>
      <c r="D1052" s="163" t="str">
        <f>IF(AND('Resource Planner'!$A$30="☑",48&lt;='Resource Planner'!$N$30),'Resource Planner'!$D$30,"")</f>
        <v/>
      </c>
      <c r="E1052" s="163" t="str">
        <f>IF(AND('Resource Planner'!$A$30="☑",48&lt;='Resource Planner'!$N$30),'Resource Planner'!$E$30,"")</f>
        <v/>
      </c>
      <c r="F1052" s="163" t="str">
        <f>IF(AND('Resource Planner'!$A$30="☑",48&lt;='Resource Planner'!$N$30),'Resource Planner'!$F$30&amp;" "&amp;('Resource Planner'!$G$30+(48-1)*'Resource Planner'!$I$30)&amp;IF(('Resource Planner'!$G$30+(48-1)*'Resource Planner'!$I$30)=MIN('Resource Planner'!$G$30+48*'Resource Planner'!$I$30-1,'Resource Planner'!$H$30),"","–"&amp;MIN('Resource Planner'!$G$30+48*'Resource Planner'!$I$30-1,'Resource Planner'!$H$30)),"")</f>
        <v/>
      </c>
      <c r="G1052" s="163" t="s">
        <v>109</v>
      </c>
      <c r="H1052" s="163" t="str">
        <f>IF(AND('Resource Planner'!$A$30="☑",48&lt;='Resource Planner'!$N$30),'Resource Planner'!$M$30,"")</f>
        <v/>
      </c>
    </row>
    <row r="1053" ht="15.75" customHeight="1">
      <c r="A10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3" s="163" t="str">
        <f>IF(AND('Resource Planner'!$A$30="☑",49&lt;='Resource Planner'!$N$30),'Resource Planner'!$C$30,"")</f>
        <v/>
      </c>
      <c r="C1053" s="163" t="str">
        <f>IF(AND('Resource Planner'!$A$30="☑",49&lt;='Resource Planner'!$N$30),'Resource Planner'!$B$30,"")</f>
        <v/>
      </c>
      <c r="D1053" s="163" t="str">
        <f>IF(AND('Resource Planner'!$A$30="☑",49&lt;='Resource Planner'!$N$30),'Resource Planner'!$D$30,"")</f>
        <v/>
      </c>
      <c r="E1053" s="163" t="str">
        <f>IF(AND('Resource Planner'!$A$30="☑",49&lt;='Resource Planner'!$N$30),'Resource Planner'!$E$30,"")</f>
        <v/>
      </c>
      <c r="F1053" s="163" t="str">
        <f>IF(AND('Resource Planner'!$A$30="☑",49&lt;='Resource Planner'!$N$30),'Resource Planner'!$F$30&amp;" "&amp;('Resource Planner'!$G$30+(49-1)*'Resource Planner'!$I$30)&amp;IF(('Resource Planner'!$G$30+(49-1)*'Resource Planner'!$I$30)=MIN('Resource Planner'!$G$30+49*'Resource Planner'!$I$30-1,'Resource Planner'!$H$30),"","–"&amp;MIN('Resource Planner'!$G$30+49*'Resource Planner'!$I$30-1,'Resource Planner'!$H$30)),"")</f>
        <v/>
      </c>
      <c r="G1053" s="163" t="s">
        <v>109</v>
      </c>
      <c r="H1053" s="163" t="str">
        <f>IF(AND('Resource Planner'!$A$30="☑",49&lt;='Resource Planner'!$N$30),'Resource Planner'!$M$30,"")</f>
        <v/>
      </c>
    </row>
    <row r="1054" ht="15.75" customHeight="1">
      <c r="A10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4" s="163" t="str">
        <f>IF(AND('Resource Planner'!$A$30="☑",50&lt;='Resource Planner'!$N$30),'Resource Planner'!$C$30,"")</f>
        <v/>
      </c>
      <c r="C1054" s="163" t="str">
        <f>IF(AND('Resource Planner'!$A$30="☑",50&lt;='Resource Planner'!$N$30),'Resource Planner'!$B$30,"")</f>
        <v/>
      </c>
      <c r="D1054" s="163" t="str">
        <f>IF(AND('Resource Planner'!$A$30="☑",50&lt;='Resource Planner'!$N$30),'Resource Planner'!$D$30,"")</f>
        <v/>
      </c>
      <c r="E1054" s="163" t="str">
        <f>IF(AND('Resource Planner'!$A$30="☑",50&lt;='Resource Planner'!$N$30),'Resource Planner'!$E$30,"")</f>
        <v/>
      </c>
      <c r="F1054" s="163" t="str">
        <f>IF(AND('Resource Planner'!$A$30="☑",50&lt;='Resource Planner'!$N$30),'Resource Planner'!$F$30&amp;" "&amp;('Resource Planner'!$G$30+(50-1)*'Resource Planner'!$I$30)&amp;IF(('Resource Planner'!$G$30+(50-1)*'Resource Planner'!$I$30)=MIN('Resource Planner'!$G$30+50*'Resource Planner'!$I$30-1,'Resource Planner'!$H$30),"","–"&amp;MIN('Resource Planner'!$G$30+50*'Resource Planner'!$I$30-1,'Resource Planner'!$H$30)),"")</f>
        <v/>
      </c>
      <c r="G1054" s="163" t="s">
        <v>109</v>
      </c>
      <c r="H1054" s="163" t="str">
        <f>IF(AND('Resource Planner'!$A$30="☑",50&lt;='Resource Planner'!$N$30),'Resource Planner'!$M$30,"")</f>
        <v/>
      </c>
    </row>
    <row r="1055" ht="15.75" customHeight="1">
      <c r="A10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5" s="163" t="str">
        <f>IF(AND('Resource Planner'!$A$31="☑",1&lt;='Resource Planner'!$N$31),'Resource Planner'!$C$31,"")</f>
        <v/>
      </c>
      <c r="C1055" s="163" t="str">
        <f>IF(AND('Resource Planner'!$A$31="☑",1&lt;='Resource Planner'!$N$31),'Resource Planner'!$B$31,"")</f>
        <v/>
      </c>
      <c r="D1055" s="163" t="str">
        <f>IF(AND('Resource Planner'!$A$31="☑",1&lt;='Resource Planner'!$N$31),'Resource Planner'!$D$31,"")</f>
        <v/>
      </c>
      <c r="E1055" s="163" t="str">
        <f>IF(AND('Resource Planner'!$A$31="☑",1&lt;='Resource Planner'!$N$31),'Resource Planner'!$E$31,"")</f>
        <v/>
      </c>
      <c r="F1055" s="163" t="str">
        <f>IF(AND('Resource Planner'!$A$31="☑",1&lt;='Resource Planner'!$N$31),'Resource Planner'!$F$31&amp;" "&amp;('Resource Planner'!$G$31+(1-1)*'Resource Planner'!$I$31)&amp;IF(('Resource Planner'!$G$31+(1-1)*'Resource Planner'!$I$31)=MIN('Resource Planner'!$G$31+1*'Resource Planner'!$I$31-1,'Resource Planner'!$H$31),"","–"&amp;MIN('Resource Planner'!$G$31+1*'Resource Planner'!$I$31-1,'Resource Planner'!$H$31)),"")</f>
        <v/>
      </c>
      <c r="G1055" s="163" t="s">
        <v>109</v>
      </c>
      <c r="H1055" s="163" t="str">
        <f>IF(AND('Resource Planner'!$A$31="☑",1&lt;='Resource Planner'!$N$31),'Resource Planner'!$M$31,"")</f>
        <v/>
      </c>
    </row>
    <row r="1056" ht="15.75" customHeight="1">
      <c r="A10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6" s="163" t="str">
        <f>IF(AND('Resource Planner'!$A$31="☑",2&lt;='Resource Planner'!$N$31),'Resource Planner'!$C$31,"")</f>
        <v/>
      </c>
      <c r="C1056" s="163" t="str">
        <f>IF(AND('Resource Planner'!$A$31="☑",2&lt;='Resource Planner'!$N$31),'Resource Planner'!$B$31,"")</f>
        <v/>
      </c>
      <c r="D1056" s="163" t="str">
        <f>IF(AND('Resource Planner'!$A$31="☑",2&lt;='Resource Planner'!$N$31),'Resource Planner'!$D$31,"")</f>
        <v/>
      </c>
      <c r="E1056" s="163" t="str">
        <f>IF(AND('Resource Planner'!$A$31="☑",2&lt;='Resource Planner'!$N$31),'Resource Planner'!$E$31,"")</f>
        <v/>
      </c>
      <c r="F1056" s="163" t="str">
        <f>IF(AND('Resource Planner'!$A$31="☑",2&lt;='Resource Planner'!$N$31),'Resource Planner'!$F$31&amp;" "&amp;('Resource Planner'!$G$31+(2-1)*'Resource Planner'!$I$31)&amp;IF(('Resource Planner'!$G$31+(2-1)*'Resource Planner'!$I$31)=MIN('Resource Planner'!$G$31+2*'Resource Planner'!$I$31-1,'Resource Planner'!$H$31),"","–"&amp;MIN('Resource Planner'!$G$31+2*'Resource Planner'!$I$31-1,'Resource Planner'!$H$31)),"")</f>
        <v/>
      </c>
      <c r="G1056" s="163" t="s">
        <v>109</v>
      </c>
      <c r="H1056" s="163" t="str">
        <f>IF(AND('Resource Planner'!$A$31="☑",2&lt;='Resource Planner'!$N$31),'Resource Planner'!$M$31,"")</f>
        <v/>
      </c>
    </row>
    <row r="1057" ht="15.75" customHeight="1">
      <c r="A10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7" s="163" t="str">
        <f>IF(AND('Resource Planner'!$A$31="☑",3&lt;='Resource Planner'!$N$31),'Resource Planner'!$C$31,"")</f>
        <v/>
      </c>
      <c r="C1057" s="163" t="str">
        <f>IF(AND('Resource Planner'!$A$31="☑",3&lt;='Resource Planner'!$N$31),'Resource Planner'!$B$31,"")</f>
        <v/>
      </c>
      <c r="D1057" s="163" t="str">
        <f>IF(AND('Resource Planner'!$A$31="☑",3&lt;='Resource Planner'!$N$31),'Resource Planner'!$D$31,"")</f>
        <v/>
      </c>
      <c r="E1057" s="163" t="str">
        <f>IF(AND('Resource Planner'!$A$31="☑",3&lt;='Resource Planner'!$N$31),'Resource Planner'!$E$31,"")</f>
        <v/>
      </c>
      <c r="F1057" s="163" t="str">
        <f>IF(AND('Resource Planner'!$A$31="☑",3&lt;='Resource Planner'!$N$31),'Resource Planner'!$F$31&amp;" "&amp;('Resource Planner'!$G$31+(3-1)*'Resource Planner'!$I$31)&amp;IF(('Resource Planner'!$G$31+(3-1)*'Resource Planner'!$I$31)=MIN('Resource Planner'!$G$31+3*'Resource Planner'!$I$31-1,'Resource Planner'!$H$31),"","–"&amp;MIN('Resource Planner'!$G$31+3*'Resource Planner'!$I$31-1,'Resource Planner'!$H$31)),"")</f>
        <v/>
      </c>
      <c r="G1057" s="163" t="s">
        <v>109</v>
      </c>
      <c r="H1057" s="163" t="str">
        <f>IF(AND('Resource Planner'!$A$31="☑",3&lt;='Resource Planner'!$N$31),'Resource Planner'!$M$31,"")</f>
        <v/>
      </c>
    </row>
    <row r="1058" ht="15.75" customHeight="1">
      <c r="A10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8" s="163" t="str">
        <f>IF(AND('Resource Planner'!$A$31="☑",4&lt;='Resource Planner'!$N$31),'Resource Planner'!$C$31,"")</f>
        <v/>
      </c>
      <c r="C1058" s="163" t="str">
        <f>IF(AND('Resource Planner'!$A$31="☑",4&lt;='Resource Planner'!$N$31),'Resource Planner'!$B$31,"")</f>
        <v/>
      </c>
      <c r="D1058" s="163" t="str">
        <f>IF(AND('Resource Planner'!$A$31="☑",4&lt;='Resource Planner'!$N$31),'Resource Planner'!$D$31,"")</f>
        <v/>
      </c>
      <c r="E1058" s="163" t="str">
        <f>IF(AND('Resource Planner'!$A$31="☑",4&lt;='Resource Planner'!$N$31),'Resource Planner'!$E$31,"")</f>
        <v/>
      </c>
      <c r="F1058" s="163" t="str">
        <f>IF(AND('Resource Planner'!$A$31="☑",4&lt;='Resource Planner'!$N$31),'Resource Planner'!$F$31&amp;" "&amp;('Resource Planner'!$G$31+(4-1)*'Resource Planner'!$I$31)&amp;IF(('Resource Planner'!$G$31+(4-1)*'Resource Planner'!$I$31)=MIN('Resource Planner'!$G$31+4*'Resource Planner'!$I$31-1,'Resource Planner'!$H$31),"","–"&amp;MIN('Resource Planner'!$G$31+4*'Resource Planner'!$I$31-1,'Resource Planner'!$H$31)),"")</f>
        <v/>
      </c>
      <c r="G1058" s="163" t="s">
        <v>109</v>
      </c>
      <c r="H1058" s="163" t="str">
        <f>IF(AND('Resource Planner'!$A$31="☑",4&lt;='Resource Planner'!$N$31),'Resource Planner'!$M$31,"")</f>
        <v/>
      </c>
    </row>
    <row r="1059" ht="15.75" customHeight="1">
      <c r="A10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59" s="163" t="str">
        <f>IF(AND('Resource Planner'!$A$31="☑",5&lt;='Resource Planner'!$N$31),'Resource Planner'!$C$31,"")</f>
        <v/>
      </c>
      <c r="C1059" s="163" t="str">
        <f>IF(AND('Resource Planner'!$A$31="☑",5&lt;='Resource Planner'!$N$31),'Resource Planner'!$B$31,"")</f>
        <v/>
      </c>
      <c r="D1059" s="163" t="str">
        <f>IF(AND('Resource Planner'!$A$31="☑",5&lt;='Resource Planner'!$N$31),'Resource Planner'!$D$31,"")</f>
        <v/>
      </c>
      <c r="E1059" s="163" t="str">
        <f>IF(AND('Resource Planner'!$A$31="☑",5&lt;='Resource Planner'!$N$31),'Resource Planner'!$E$31,"")</f>
        <v/>
      </c>
      <c r="F1059" s="163" t="str">
        <f>IF(AND('Resource Planner'!$A$31="☑",5&lt;='Resource Planner'!$N$31),'Resource Planner'!$F$31&amp;" "&amp;('Resource Planner'!$G$31+(5-1)*'Resource Planner'!$I$31)&amp;IF(('Resource Planner'!$G$31+(5-1)*'Resource Planner'!$I$31)=MIN('Resource Planner'!$G$31+5*'Resource Planner'!$I$31-1,'Resource Planner'!$H$31),"","–"&amp;MIN('Resource Planner'!$G$31+5*'Resource Planner'!$I$31-1,'Resource Planner'!$H$31)),"")</f>
        <v/>
      </c>
      <c r="G1059" s="163" t="s">
        <v>109</v>
      </c>
      <c r="H1059" s="163" t="str">
        <f>IF(AND('Resource Planner'!$A$31="☑",5&lt;='Resource Planner'!$N$31),'Resource Planner'!$M$31,"")</f>
        <v/>
      </c>
    </row>
    <row r="1060" ht="15.75" customHeight="1">
      <c r="A10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0" s="163" t="str">
        <f>IF(AND('Resource Planner'!$A$31="☑",6&lt;='Resource Planner'!$N$31),'Resource Planner'!$C$31,"")</f>
        <v/>
      </c>
      <c r="C1060" s="163" t="str">
        <f>IF(AND('Resource Planner'!$A$31="☑",6&lt;='Resource Planner'!$N$31),'Resource Planner'!$B$31,"")</f>
        <v/>
      </c>
      <c r="D1060" s="163" t="str">
        <f>IF(AND('Resource Planner'!$A$31="☑",6&lt;='Resource Planner'!$N$31),'Resource Planner'!$D$31,"")</f>
        <v/>
      </c>
      <c r="E1060" s="163" t="str">
        <f>IF(AND('Resource Planner'!$A$31="☑",6&lt;='Resource Planner'!$N$31),'Resource Planner'!$E$31,"")</f>
        <v/>
      </c>
      <c r="F1060" s="163" t="str">
        <f>IF(AND('Resource Planner'!$A$31="☑",6&lt;='Resource Planner'!$N$31),'Resource Planner'!$F$31&amp;" "&amp;('Resource Planner'!$G$31+(6-1)*'Resource Planner'!$I$31)&amp;IF(('Resource Planner'!$G$31+(6-1)*'Resource Planner'!$I$31)=MIN('Resource Planner'!$G$31+6*'Resource Planner'!$I$31-1,'Resource Planner'!$H$31),"","–"&amp;MIN('Resource Planner'!$G$31+6*'Resource Planner'!$I$31-1,'Resource Planner'!$H$31)),"")</f>
        <v/>
      </c>
      <c r="G1060" s="163" t="s">
        <v>109</v>
      </c>
      <c r="H1060" s="163" t="str">
        <f>IF(AND('Resource Planner'!$A$31="☑",6&lt;='Resource Planner'!$N$31),'Resource Planner'!$M$31,"")</f>
        <v/>
      </c>
    </row>
    <row r="1061" ht="15.75" customHeight="1">
      <c r="A10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1" s="163" t="str">
        <f>IF(AND('Resource Planner'!$A$31="☑",7&lt;='Resource Planner'!$N$31),'Resource Planner'!$C$31,"")</f>
        <v/>
      </c>
      <c r="C1061" s="163" t="str">
        <f>IF(AND('Resource Planner'!$A$31="☑",7&lt;='Resource Planner'!$N$31),'Resource Planner'!$B$31,"")</f>
        <v/>
      </c>
      <c r="D1061" s="163" t="str">
        <f>IF(AND('Resource Planner'!$A$31="☑",7&lt;='Resource Planner'!$N$31),'Resource Planner'!$D$31,"")</f>
        <v/>
      </c>
      <c r="E1061" s="163" t="str">
        <f>IF(AND('Resource Planner'!$A$31="☑",7&lt;='Resource Planner'!$N$31),'Resource Planner'!$E$31,"")</f>
        <v/>
      </c>
      <c r="F1061" s="163" t="str">
        <f>IF(AND('Resource Planner'!$A$31="☑",7&lt;='Resource Planner'!$N$31),'Resource Planner'!$F$31&amp;" "&amp;('Resource Planner'!$G$31+(7-1)*'Resource Planner'!$I$31)&amp;IF(('Resource Planner'!$G$31+(7-1)*'Resource Planner'!$I$31)=MIN('Resource Planner'!$G$31+7*'Resource Planner'!$I$31-1,'Resource Planner'!$H$31),"","–"&amp;MIN('Resource Planner'!$G$31+7*'Resource Planner'!$I$31-1,'Resource Planner'!$H$31)),"")</f>
        <v/>
      </c>
      <c r="G1061" s="163" t="s">
        <v>109</v>
      </c>
      <c r="H1061" s="163" t="str">
        <f>IF(AND('Resource Planner'!$A$31="☑",7&lt;='Resource Planner'!$N$31),'Resource Planner'!$M$31,"")</f>
        <v/>
      </c>
    </row>
    <row r="1062" ht="15.75" customHeight="1">
      <c r="A10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2" s="163" t="str">
        <f>IF(AND('Resource Planner'!$A$31="☑",8&lt;='Resource Planner'!$N$31),'Resource Planner'!$C$31,"")</f>
        <v/>
      </c>
      <c r="C1062" s="163" t="str">
        <f>IF(AND('Resource Planner'!$A$31="☑",8&lt;='Resource Planner'!$N$31),'Resource Planner'!$B$31,"")</f>
        <v/>
      </c>
      <c r="D1062" s="163" t="str">
        <f>IF(AND('Resource Planner'!$A$31="☑",8&lt;='Resource Planner'!$N$31),'Resource Planner'!$D$31,"")</f>
        <v/>
      </c>
      <c r="E1062" s="163" t="str">
        <f>IF(AND('Resource Planner'!$A$31="☑",8&lt;='Resource Planner'!$N$31),'Resource Planner'!$E$31,"")</f>
        <v/>
      </c>
      <c r="F1062" s="163" t="str">
        <f>IF(AND('Resource Planner'!$A$31="☑",8&lt;='Resource Planner'!$N$31),'Resource Planner'!$F$31&amp;" "&amp;('Resource Planner'!$G$31+(8-1)*'Resource Planner'!$I$31)&amp;IF(('Resource Planner'!$G$31+(8-1)*'Resource Planner'!$I$31)=MIN('Resource Planner'!$G$31+8*'Resource Planner'!$I$31-1,'Resource Planner'!$H$31),"","–"&amp;MIN('Resource Planner'!$G$31+8*'Resource Planner'!$I$31-1,'Resource Planner'!$H$31)),"")</f>
        <v/>
      </c>
      <c r="G1062" s="163" t="s">
        <v>109</v>
      </c>
      <c r="H1062" s="163" t="str">
        <f>IF(AND('Resource Planner'!$A$31="☑",8&lt;='Resource Planner'!$N$31),'Resource Planner'!$M$31,"")</f>
        <v/>
      </c>
    </row>
    <row r="1063" ht="15.75" customHeight="1">
      <c r="A10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3" s="163" t="str">
        <f>IF(AND('Resource Planner'!$A$31="☑",9&lt;='Resource Planner'!$N$31),'Resource Planner'!$C$31,"")</f>
        <v/>
      </c>
      <c r="C1063" s="163" t="str">
        <f>IF(AND('Resource Planner'!$A$31="☑",9&lt;='Resource Planner'!$N$31),'Resource Planner'!$B$31,"")</f>
        <v/>
      </c>
      <c r="D1063" s="163" t="str">
        <f>IF(AND('Resource Planner'!$A$31="☑",9&lt;='Resource Planner'!$N$31),'Resource Planner'!$D$31,"")</f>
        <v/>
      </c>
      <c r="E1063" s="163" t="str">
        <f>IF(AND('Resource Planner'!$A$31="☑",9&lt;='Resource Planner'!$N$31),'Resource Planner'!$E$31,"")</f>
        <v/>
      </c>
      <c r="F1063" s="163" t="str">
        <f>IF(AND('Resource Planner'!$A$31="☑",9&lt;='Resource Planner'!$N$31),'Resource Planner'!$F$31&amp;" "&amp;('Resource Planner'!$G$31+(9-1)*'Resource Planner'!$I$31)&amp;IF(('Resource Planner'!$G$31+(9-1)*'Resource Planner'!$I$31)=MIN('Resource Planner'!$G$31+9*'Resource Planner'!$I$31-1,'Resource Planner'!$H$31),"","–"&amp;MIN('Resource Planner'!$G$31+9*'Resource Planner'!$I$31-1,'Resource Planner'!$H$31)),"")</f>
        <v/>
      </c>
      <c r="G1063" s="163" t="s">
        <v>109</v>
      </c>
      <c r="H1063" s="163" t="str">
        <f>IF(AND('Resource Planner'!$A$31="☑",9&lt;='Resource Planner'!$N$31),'Resource Planner'!$M$31,"")</f>
        <v/>
      </c>
    </row>
    <row r="1064" ht="15.75" customHeight="1">
      <c r="A10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4" s="163" t="str">
        <f>IF(AND('Resource Planner'!$A$31="☑",10&lt;='Resource Planner'!$N$31),'Resource Planner'!$C$31,"")</f>
        <v/>
      </c>
      <c r="C1064" s="163" t="str">
        <f>IF(AND('Resource Planner'!$A$31="☑",10&lt;='Resource Planner'!$N$31),'Resource Planner'!$B$31,"")</f>
        <v/>
      </c>
      <c r="D1064" s="163" t="str">
        <f>IF(AND('Resource Planner'!$A$31="☑",10&lt;='Resource Planner'!$N$31),'Resource Planner'!$D$31,"")</f>
        <v/>
      </c>
      <c r="E1064" s="163" t="str">
        <f>IF(AND('Resource Planner'!$A$31="☑",10&lt;='Resource Planner'!$N$31),'Resource Planner'!$E$31,"")</f>
        <v/>
      </c>
      <c r="F1064" s="163" t="str">
        <f>IF(AND('Resource Planner'!$A$31="☑",10&lt;='Resource Planner'!$N$31),'Resource Planner'!$F$31&amp;" "&amp;('Resource Planner'!$G$31+(10-1)*'Resource Planner'!$I$31)&amp;IF(('Resource Planner'!$G$31+(10-1)*'Resource Planner'!$I$31)=MIN('Resource Planner'!$G$31+10*'Resource Planner'!$I$31-1,'Resource Planner'!$H$31),"","–"&amp;MIN('Resource Planner'!$G$31+10*'Resource Planner'!$I$31-1,'Resource Planner'!$H$31)),"")</f>
        <v/>
      </c>
      <c r="G1064" s="163" t="s">
        <v>109</v>
      </c>
      <c r="H1064" s="163" t="str">
        <f>IF(AND('Resource Planner'!$A$31="☑",10&lt;='Resource Planner'!$N$31),'Resource Planner'!$M$31,"")</f>
        <v/>
      </c>
    </row>
    <row r="1065" ht="15.75" customHeight="1">
      <c r="A10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5" s="163" t="str">
        <f>IF(AND('Resource Planner'!$A$31="☑",11&lt;='Resource Planner'!$N$31),'Resource Planner'!$C$31,"")</f>
        <v/>
      </c>
      <c r="C1065" s="163" t="str">
        <f>IF(AND('Resource Planner'!$A$31="☑",11&lt;='Resource Planner'!$N$31),'Resource Planner'!$B$31,"")</f>
        <v/>
      </c>
      <c r="D1065" s="163" t="str">
        <f>IF(AND('Resource Planner'!$A$31="☑",11&lt;='Resource Planner'!$N$31),'Resource Planner'!$D$31,"")</f>
        <v/>
      </c>
      <c r="E1065" s="163" t="str">
        <f>IF(AND('Resource Planner'!$A$31="☑",11&lt;='Resource Planner'!$N$31),'Resource Planner'!$E$31,"")</f>
        <v/>
      </c>
      <c r="F1065" s="163" t="str">
        <f>IF(AND('Resource Planner'!$A$31="☑",11&lt;='Resource Planner'!$N$31),'Resource Planner'!$F$31&amp;" "&amp;('Resource Planner'!$G$31+(11-1)*'Resource Planner'!$I$31)&amp;IF(('Resource Planner'!$G$31+(11-1)*'Resource Planner'!$I$31)=MIN('Resource Planner'!$G$31+11*'Resource Planner'!$I$31-1,'Resource Planner'!$H$31),"","–"&amp;MIN('Resource Planner'!$G$31+11*'Resource Planner'!$I$31-1,'Resource Planner'!$H$31)),"")</f>
        <v/>
      </c>
      <c r="G1065" s="163" t="s">
        <v>109</v>
      </c>
      <c r="H1065" s="163" t="str">
        <f>IF(AND('Resource Planner'!$A$31="☑",11&lt;='Resource Planner'!$N$31),'Resource Planner'!$M$31,"")</f>
        <v/>
      </c>
    </row>
    <row r="1066" ht="15.75" customHeight="1">
      <c r="A10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6" s="163" t="str">
        <f>IF(AND('Resource Planner'!$A$31="☑",12&lt;='Resource Planner'!$N$31),'Resource Planner'!$C$31,"")</f>
        <v/>
      </c>
      <c r="C1066" s="163" t="str">
        <f>IF(AND('Resource Planner'!$A$31="☑",12&lt;='Resource Planner'!$N$31),'Resource Planner'!$B$31,"")</f>
        <v/>
      </c>
      <c r="D1066" s="163" t="str">
        <f>IF(AND('Resource Planner'!$A$31="☑",12&lt;='Resource Planner'!$N$31),'Resource Planner'!$D$31,"")</f>
        <v/>
      </c>
      <c r="E1066" s="163" t="str">
        <f>IF(AND('Resource Planner'!$A$31="☑",12&lt;='Resource Planner'!$N$31),'Resource Planner'!$E$31,"")</f>
        <v/>
      </c>
      <c r="F1066" s="163" t="str">
        <f>IF(AND('Resource Planner'!$A$31="☑",12&lt;='Resource Planner'!$N$31),'Resource Planner'!$F$31&amp;" "&amp;('Resource Planner'!$G$31+(12-1)*'Resource Planner'!$I$31)&amp;IF(('Resource Planner'!$G$31+(12-1)*'Resource Planner'!$I$31)=MIN('Resource Planner'!$G$31+12*'Resource Planner'!$I$31-1,'Resource Planner'!$H$31),"","–"&amp;MIN('Resource Planner'!$G$31+12*'Resource Planner'!$I$31-1,'Resource Planner'!$H$31)),"")</f>
        <v/>
      </c>
      <c r="G1066" s="163" t="s">
        <v>109</v>
      </c>
      <c r="H1066" s="163" t="str">
        <f>IF(AND('Resource Planner'!$A$31="☑",12&lt;='Resource Planner'!$N$31),'Resource Planner'!$M$31,"")</f>
        <v/>
      </c>
    </row>
    <row r="1067" ht="15.75" customHeight="1">
      <c r="A10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7" s="163" t="str">
        <f>IF(AND('Resource Planner'!$A$31="☑",13&lt;='Resource Planner'!$N$31),'Resource Planner'!$C$31,"")</f>
        <v/>
      </c>
      <c r="C1067" s="163" t="str">
        <f>IF(AND('Resource Planner'!$A$31="☑",13&lt;='Resource Planner'!$N$31),'Resource Planner'!$B$31,"")</f>
        <v/>
      </c>
      <c r="D1067" s="163" t="str">
        <f>IF(AND('Resource Planner'!$A$31="☑",13&lt;='Resource Planner'!$N$31),'Resource Planner'!$D$31,"")</f>
        <v/>
      </c>
      <c r="E1067" s="163" t="str">
        <f>IF(AND('Resource Planner'!$A$31="☑",13&lt;='Resource Planner'!$N$31),'Resource Planner'!$E$31,"")</f>
        <v/>
      </c>
      <c r="F1067" s="163" t="str">
        <f>IF(AND('Resource Planner'!$A$31="☑",13&lt;='Resource Planner'!$N$31),'Resource Planner'!$F$31&amp;" "&amp;('Resource Planner'!$G$31+(13-1)*'Resource Planner'!$I$31)&amp;IF(('Resource Planner'!$G$31+(13-1)*'Resource Planner'!$I$31)=MIN('Resource Planner'!$G$31+13*'Resource Planner'!$I$31-1,'Resource Planner'!$H$31),"","–"&amp;MIN('Resource Planner'!$G$31+13*'Resource Planner'!$I$31-1,'Resource Planner'!$H$31)),"")</f>
        <v/>
      </c>
      <c r="G1067" s="163" t="s">
        <v>109</v>
      </c>
      <c r="H1067" s="163" t="str">
        <f>IF(AND('Resource Planner'!$A$31="☑",13&lt;='Resource Planner'!$N$31),'Resource Planner'!$M$31,"")</f>
        <v/>
      </c>
    </row>
    <row r="1068" ht="15.75" customHeight="1">
      <c r="A10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8" s="163" t="str">
        <f>IF(AND('Resource Planner'!$A$31="☑",14&lt;='Resource Planner'!$N$31),'Resource Planner'!$C$31,"")</f>
        <v/>
      </c>
      <c r="C1068" s="163" t="str">
        <f>IF(AND('Resource Planner'!$A$31="☑",14&lt;='Resource Planner'!$N$31),'Resource Planner'!$B$31,"")</f>
        <v/>
      </c>
      <c r="D1068" s="163" t="str">
        <f>IF(AND('Resource Planner'!$A$31="☑",14&lt;='Resource Planner'!$N$31),'Resource Planner'!$D$31,"")</f>
        <v/>
      </c>
      <c r="E1068" s="163" t="str">
        <f>IF(AND('Resource Planner'!$A$31="☑",14&lt;='Resource Planner'!$N$31),'Resource Planner'!$E$31,"")</f>
        <v/>
      </c>
      <c r="F1068" s="163" t="str">
        <f>IF(AND('Resource Planner'!$A$31="☑",14&lt;='Resource Planner'!$N$31),'Resource Planner'!$F$31&amp;" "&amp;('Resource Planner'!$G$31+(14-1)*'Resource Planner'!$I$31)&amp;IF(('Resource Planner'!$G$31+(14-1)*'Resource Planner'!$I$31)=MIN('Resource Planner'!$G$31+14*'Resource Planner'!$I$31-1,'Resource Planner'!$H$31),"","–"&amp;MIN('Resource Planner'!$G$31+14*'Resource Planner'!$I$31-1,'Resource Planner'!$H$31)),"")</f>
        <v/>
      </c>
      <c r="G1068" s="163" t="s">
        <v>109</v>
      </c>
      <c r="H1068" s="163" t="str">
        <f>IF(AND('Resource Planner'!$A$31="☑",14&lt;='Resource Planner'!$N$31),'Resource Planner'!$M$31,"")</f>
        <v/>
      </c>
    </row>
    <row r="1069" ht="15.75" customHeight="1">
      <c r="A10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69" s="163" t="str">
        <f>IF(AND('Resource Planner'!$A$31="☑",15&lt;='Resource Planner'!$N$31),'Resource Planner'!$C$31,"")</f>
        <v/>
      </c>
      <c r="C1069" s="163" t="str">
        <f>IF(AND('Resource Planner'!$A$31="☑",15&lt;='Resource Planner'!$N$31),'Resource Planner'!$B$31,"")</f>
        <v/>
      </c>
      <c r="D1069" s="163" t="str">
        <f>IF(AND('Resource Planner'!$A$31="☑",15&lt;='Resource Planner'!$N$31),'Resource Planner'!$D$31,"")</f>
        <v/>
      </c>
      <c r="E1069" s="163" t="str">
        <f>IF(AND('Resource Planner'!$A$31="☑",15&lt;='Resource Planner'!$N$31),'Resource Planner'!$E$31,"")</f>
        <v/>
      </c>
      <c r="F1069" s="163" t="str">
        <f>IF(AND('Resource Planner'!$A$31="☑",15&lt;='Resource Planner'!$N$31),'Resource Planner'!$F$31&amp;" "&amp;('Resource Planner'!$G$31+(15-1)*'Resource Planner'!$I$31)&amp;IF(('Resource Planner'!$G$31+(15-1)*'Resource Planner'!$I$31)=MIN('Resource Planner'!$G$31+15*'Resource Planner'!$I$31-1,'Resource Planner'!$H$31),"","–"&amp;MIN('Resource Planner'!$G$31+15*'Resource Planner'!$I$31-1,'Resource Planner'!$H$31)),"")</f>
        <v/>
      </c>
      <c r="G1069" s="163" t="s">
        <v>109</v>
      </c>
      <c r="H1069" s="163" t="str">
        <f>IF(AND('Resource Planner'!$A$31="☑",15&lt;='Resource Planner'!$N$31),'Resource Planner'!$M$31,"")</f>
        <v/>
      </c>
    </row>
    <row r="1070" ht="15.75" customHeight="1">
      <c r="A10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0" s="163" t="str">
        <f>IF(AND('Resource Planner'!$A$31="☑",16&lt;='Resource Planner'!$N$31),'Resource Planner'!$C$31,"")</f>
        <v/>
      </c>
      <c r="C1070" s="163" t="str">
        <f>IF(AND('Resource Planner'!$A$31="☑",16&lt;='Resource Planner'!$N$31),'Resource Planner'!$B$31,"")</f>
        <v/>
      </c>
      <c r="D1070" s="163" t="str">
        <f>IF(AND('Resource Planner'!$A$31="☑",16&lt;='Resource Planner'!$N$31),'Resource Planner'!$D$31,"")</f>
        <v/>
      </c>
      <c r="E1070" s="163" t="str">
        <f>IF(AND('Resource Planner'!$A$31="☑",16&lt;='Resource Planner'!$N$31),'Resource Planner'!$E$31,"")</f>
        <v/>
      </c>
      <c r="F1070" s="163" t="str">
        <f>IF(AND('Resource Planner'!$A$31="☑",16&lt;='Resource Planner'!$N$31),'Resource Planner'!$F$31&amp;" "&amp;('Resource Planner'!$G$31+(16-1)*'Resource Planner'!$I$31)&amp;IF(('Resource Planner'!$G$31+(16-1)*'Resource Planner'!$I$31)=MIN('Resource Planner'!$G$31+16*'Resource Planner'!$I$31-1,'Resource Planner'!$H$31),"","–"&amp;MIN('Resource Planner'!$G$31+16*'Resource Planner'!$I$31-1,'Resource Planner'!$H$31)),"")</f>
        <v/>
      </c>
      <c r="G1070" s="163" t="s">
        <v>109</v>
      </c>
      <c r="H1070" s="163" t="str">
        <f>IF(AND('Resource Planner'!$A$31="☑",16&lt;='Resource Planner'!$N$31),'Resource Planner'!$M$31,"")</f>
        <v/>
      </c>
    </row>
    <row r="1071" ht="15.75" customHeight="1">
      <c r="A10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1" s="163" t="str">
        <f>IF(AND('Resource Planner'!$A$31="☑",17&lt;='Resource Planner'!$N$31),'Resource Planner'!$C$31,"")</f>
        <v/>
      </c>
      <c r="C1071" s="163" t="str">
        <f>IF(AND('Resource Planner'!$A$31="☑",17&lt;='Resource Planner'!$N$31),'Resource Planner'!$B$31,"")</f>
        <v/>
      </c>
      <c r="D1071" s="163" t="str">
        <f>IF(AND('Resource Planner'!$A$31="☑",17&lt;='Resource Planner'!$N$31),'Resource Planner'!$D$31,"")</f>
        <v/>
      </c>
      <c r="E1071" s="163" t="str">
        <f>IF(AND('Resource Planner'!$A$31="☑",17&lt;='Resource Planner'!$N$31),'Resource Planner'!$E$31,"")</f>
        <v/>
      </c>
      <c r="F1071" s="163" t="str">
        <f>IF(AND('Resource Planner'!$A$31="☑",17&lt;='Resource Planner'!$N$31),'Resource Planner'!$F$31&amp;" "&amp;('Resource Planner'!$G$31+(17-1)*'Resource Planner'!$I$31)&amp;IF(('Resource Planner'!$G$31+(17-1)*'Resource Planner'!$I$31)=MIN('Resource Planner'!$G$31+17*'Resource Planner'!$I$31-1,'Resource Planner'!$H$31),"","–"&amp;MIN('Resource Planner'!$G$31+17*'Resource Planner'!$I$31-1,'Resource Planner'!$H$31)),"")</f>
        <v/>
      </c>
      <c r="G1071" s="163" t="s">
        <v>109</v>
      </c>
      <c r="H1071" s="163" t="str">
        <f>IF(AND('Resource Planner'!$A$31="☑",17&lt;='Resource Planner'!$N$31),'Resource Planner'!$M$31,"")</f>
        <v/>
      </c>
    </row>
    <row r="1072" ht="15.75" customHeight="1">
      <c r="A10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2" s="163" t="str">
        <f>IF(AND('Resource Planner'!$A$31="☑",18&lt;='Resource Planner'!$N$31),'Resource Planner'!$C$31,"")</f>
        <v/>
      </c>
      <c r="C1072" s="163" t="str">
        <f>IF(AND('Resource Planner'!$A$31="☑",18&lt;='Resource Planner'!$N$31),'Resource Planner'!$B$31,"")</f>
        <v/>
      </c>
      <c r="D1072" s="163" t="str">
        <f>IF(AND('Resource Planner'!$A$31="☑",18&lt;='Resource Planner'!$N$31),'Resource Planner'!$D$31,"")</f>
        <v/>
      </c>
      <c r="E1072" s="163" t="str">
        <f>IF(AND('Resource Planner'!$A$31="☑",18&lt;='Resource Planner'!$N$31),'Resource Planner'!$E$31,"")</f>
        <v/>
      </c>
      <c r="F1072" s="163" t="str">
        <f>IF(AND('Resource Planner'!$A$31="☑",18&lt;='Resource Planner'!$N$31),'Resource Planner'!$F$31&amp;" "&amp;('Resource Planner'!$G$31+(18-1)*'Resource Planner'!$I$31)&amp;IF(('Resource Planner'!$G$31+(18-1)*'Resource Planner'!$I$31)=MIN('Resource Planner'!$G$31+18*'Resource Planner'!$I$31-1,'Resource Planner'!$H$31),"","–"&amp;MIN('Resource Planner'!$G$31+18*'Resource Planner'!$I$31-1,'Resource Planner'!$H$31)),"")</f>
        <v/>
      </c>
      <c r="G1072" s="163" t="s">
        <v>109</v>
      </c>
      <c r="H1072" s="163" t="str">
        <f>IF(AND('Resource Planner'!$A$31="☑",18&lt;='Resource Planner'!$N$31),'Resource Planner'!$M$31,"")</f>
        <v/>
      </c>
    </row>
    <row r="1073" ht="15.75" customHeight="1">
      <c r="A10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3" s="163" t="str">
        <f>IF(AND('Resource Planner'!$A$31="☑",19&lt;='Resource Planner'!$N$31),'Resource Planner'!$C$31,"")</f>
        <v/>
      </c>
      <c r="C1073" s="163" t="str">
        <f>IF(AND('Resource Planner'!$A$31="☑",19&lt;='Resource Planner'!$N$31),'Resource Planner'!$B$31,"")</f>
        <v/>
      </c>
      <c r="D1073" s="163" t="str">
        <f>IF(AND('Resource Planner'!$A$31="☑",19&lt;='Resource Planner'!$N$31),'Resource Planner'!$D$31,"")</f>
        <v/>
      </c>
      <c r="E1073" s="163" t="str">
        <f>IF(AND('Resource Planner'!$A$31="☑",19&lt;='Resource Planner'!$N$31),'Resource Planner'!$E$31,"")</f>
        <v/>
      </c>
      <c r="F1073" s="163" t="str">
        <f>IF(AND('Resource Planner'!$A$31="☑",19&lt;='Resource Planner'!$N$31),'Resource Planner'!$F$31&amp;" "&amp;('Resource Planner'!$G$31+(19-1)*'Resource Planner'!$I$31)&amp;IF(('Resource Planner'!$G$31+(19-1)*'Resource Planner'!$I$31)=MIN('Resource Planner'!$G$31+19*'Resource Planner'!$I$31-1,'Resource Planner'!$H$31),"","–"&amp;MIN('Resource Planner'!$G$31+19*'Resource Planner'!$I$31-1,'Resource Planner'!$H$31)),"")</f>
        <v/>
      </c>
      <c r="G1073" s="163" t="s">
        <v>109</v>
      </c>
      <c r="H1073" s="163" t="str">
        <f>IF(AND('Resource Planner'!$A$31="☑",19&lt;='Resource Planner'!$N$31),'Resource Planner'!$M$31,"")</f>
        <v/>
      </c>
    </row>
    <row r="1074" ht="15.75" customHeight="1">
      <c r="A10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4" s="163" t="str">
        <f>IF(AND('Resource Planner'!$A$31="☑",20&lt;='Resource Planner'!$N$31),'Resource Planner'!$C$31,"")</f>
        <v/>
      </c>
      <c r="C1074" s="163" t="str">
        <f>IF(AND('Resource Planner'!$A$31="☑",20&lt;='Resource Planner'!$N$31),'Resource Planner'!$B$31,"")</f>
        <v/>
      </c>
      <c r="D1074" s="163" t="str">
        <f>IF(AND('Resource Planner'!$A$31="☑",20&lt;='Resource Planner'!$N$31),'Resource Planner'!$D$31,"")</f>
        <v/>
      </c>
      <c r="E1074" s="163" t="str">
        <f>IF(AND('Resource Planner'!$A$31="☑",20&lt;='Resource Planner'!$N$31),'Resource Planner'!$E$31,"")</f>
        <v/>
      </c>
      <c r="F1074" s="163" t="str">
        <f>IF(AND('Resource Planner'!$A$31="☑",20&lt;='Resource Planner'!$N$31),'Resource Planner'!$F$31&amp;" "&amp;('Resource Planner'!$G$31+(20-1)*'Resource Planner'!$I$31)&amp;IF(('Resource Planner'!$G$31+(20-1)*'Resource Planner'!$I$31)=MIN('Resource Planner'!$G$31+20*'Resource Planner'!$I$31-1,'Resource Planner'!$H$31),"","–"&amp;MIN('Resource Planner'!$G$31+20*'Resource Planner'!$I$31-1,'Resource Planner'!$H$31)),"")</f>
        <v/>
      </c>
      <c r="G1074" s="163" t="s">
        <v>109</v>
      </c>
      <c r="H1074" s="163" t="str">
        <f>IF(AND('Resource Planner'!$A$31="☑",20&lt;='Resource Planner'!$N$31),'Resource Planner'!$M$31,"")</f>
        <v/>
      </c>
    </row>
    <row r="1075" ht="15.75" customHeight="1">
      <c r="A10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5" s="163" t="str">
        <f>IF(AND('Resource Planner'!$A$31="☑",21&lt;='Resource Planner'!$N$31),'Resource Planner'!$C$31,"")</f>
        <v/>
      </c>
      <c r="C1075" s="163" t="str">
        <f>IF(AND('Resource Planner'!$A$31="☑",21&lt;='Resource Planner'!$N$31),'Resource Planner'!$B$31,"")</f>
        <v/>
      </c>
      <c r="D1075" s="163" t="str">
        <f>IF(AND('Resource Planner'!$A$31="☑",21&lt;='Resource Planner'!$N$31),'Resource Planner'!$D$31,"")</f>
        <v/>
      </c>
      <c r="E1075" s="163" t="str">
        <f>IF(AND('Resource Planner'!$A$31="☑",21&lt;='Resource Planner'!$N$31),'Resource Planner'!$E$31,"")</f>
        <v/>
      </c>
      <c r="F1075" s="163" t="str">
        <f>IF(AND('Resource Planner'!$A$31="☑",21&lt;='Resource Planner'!$N$31),'Resource Planner'!$F$31&amp;" "&amp;('Resource Planner'!$G$31+(21-1)*'Resource Planner'!$I$31)&amp;IF(('Resource Planner'!$G$31+(21-1)*'Resource Planner'!$I$31)=MIN('Resource Planner'!$G$31+21*'Resource Planner'!$I$31-1,'Resource Planner'!$H$31),"","–"&amp;MIN('Resource Planner'!$G$31+21*'Resource Planner'!$I$31-1,'Resource Planner'!$H$31)),"")</f>
        <v/>
      </c>
      <c r="G1075" s="163" t="s">
        <v>109</v>
      </c>
      <c r="H1075" s="163" t="str">
        <f>IF(AND('Resource Planner'!$A$31="☑",21&lt;='Resource Planner'!$N$31),'Resource Planner'!$M$31,"")</f>
        <v/>
      </c>
    </row>
    <row r="1076" ht="15.75" customHeight="1">
      <c r="A10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6" s="163" t="str">
        <f>IF(AND('Resource Planner'!$A$31="☑",22&lt;='Resource Planner'!$N$31),'Resource Planner'!$C$31,"")</f>
        <v/>
      </c>
      <c r="C1076" s="163" t="str">
        <f>IF(AND('Resource Planner'!$A$31="☑",22&lt;='Resource Planner'!$N$31),'Resource Planner'!$B$31,"")</f>
        <v/>
      </c>
      <c r="D1076" s="163" t="str">
        <f>IF(AND('Resource Planner'!$A$31="☑",22&lt;='Resource Planner'!$N$31),'Resource Planner'!$D$31,"")</f>
        <v/>
      </c>
      <c r="E1076" s="163" t="str">
        <f>IF(AND('Resource Planner'!$A$31="☑",22&lt;='Resource Planner'!$N$31),'Resource Planner'!$E$31,"")</f>
        <v/>
      </c>
      <c r="F1076" s="163" t="str">
        <f>IF(AND('Resource Planner'!$A$31="☑",22&lt;='Resource Planner'!$N$31),'Resource Planner'!$F$31&amp;" "&amp;('Resource Planner'!$G$31+(22-1)*'Resource Planner'!$I$31)&amp;IF(('Resource Planner'!$G$31+(22-1)*'Resource Planner'!$I$31)=MIN('Resource Planner'!$G$31+22*'Resource Planner'!$I$31-1,'Resource Planner'!$H$31),"","–"&amp;MIN('Resource Planner'!$G$31+22*'Resource Planner'!$I$31-1,'Resource Planner'!$H$31)),"")</f>
        <v/>
      </c>
      <c r="G1076" s="163" t="s">
        <v>109</v>
      </c>
      <c r="H1076" s="163" t="str">
        <f>IF(AND('Resource Planner'!$A$31="☑",22&lt;='Resource Planner'!$N$31),'Resource Planner'!$M$31,"")</f>
        <v/>
      </c>
    </row>
    <row r="1077" ht="15.75" customHeight="1">
      <c r="A10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7" s="163" t="str">
        <f>IF(AND('Resource Planner'!$A$31="☑",23&lt;='Resource Planner'!$N$31),'Resource Planner'!$C$31,"")</f>
        <v/>
      </c>
      <c r="C1077" s="163" t="str">
        <f>IF(AND('Resource Planner'!$A$31="☑",23&lt;='Resource Planner'!$N$31),'Resource Planner'!$B$31,"")</f>
        <v/>
      </c>
      <c r="D1077" s="163" t="str">
        <f>IF(AND('Resource Planner'!$A$31="☑",23&lt;='Resource Planner'!$N$31),'Resource Planner'!$D$31,"")</f>
        <v/>
      </c>
      <c r="E1077" s="163" t="str">
        <f>IF(AND('Resource Planner'!$A$31="☑",23&lt;='Resource Planner'!$N$31),'Resource Planner'!$E$31,"")</f>
        <v/>
      </c>
      <c r="F1077" s="163" t="str">
        <f>IF(AND('Resource Planner'!$A$31="☑",23&lt;='Resource Planner'!$N$31),'Resource Planner'!$F$31&amp;" "&amp;('Resource Planner'!$G$31+(23-1)*'Resource Planner'!$I$31)&amp;IF(('Resource Planner'!$G$31+(23-1)*'Resource Planner'!$I$31)=MIN('Resource Planner'!$G$31+23*'Resource Planner'!$I$31-1,'Resource Planner'!$H$31),"","–"&amp;MIN('Resource Planner'!$G$31+23*'Resource Planner'!$I$31-1,'Resource Planner'!$H$31)),"")</f>
        <v/>
      </c>
      <c r="G1077" s="163" t="s">
        <v>109</v>
      </c>
      <c r="H1077" s="163" t="str">
        <f>IF(AND('Resource Planner'!$A$31="☑",23&lt;='Resource Planner'!$N$31),'Resource Planner'!$M$31,"")</f>
        <v/>
      </c>
    </row>
    <row r="1078" ht="15.75" customHeight="1">
      <c r="A10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8" s="163" t="str">
        <f>IF(AND('Resource Planner'!$A$31="☑",24&lt;='Resource Planner'!$N$31),'Resource Planner'!$C$31,"")</f>
        <v/>
      </c>
      <c r="C1078" s="163" t="str">
        <f>IF(AND('Resource Planner'!$A$31="☑",24&lt;='Resource Planner'!$N$31),'Resource Planner'!$B$31,"")</f>
        <v/>
      </c>
      <c r="D1078" s="163" t="str">
        <f>IF(AND('Resource Planner'!$A$31="☑",24&lt;='Resource Planner'!$N$31),'Resource Planner'!$D$31,"")</f>
        <v/>
      </c>
      <c r="E1078" s="163" t="str">
        <f>IF(AND('Resource Planner'!$A$31="☑",24&lt;='Resource Planner'!$N$31),'Resource Planner'!$E$31,"")</f>
        <v/>
      </c>
      <c r="F1078" s="163" t="str">
        <f>IF(AND('Resource Planner'!$A$31="☑",24&lt;='Resource Planner'!$N$31),'Resource Planner'!$F$31&amp;" "&amp;('Resource Planner'!$G$31+(24-1)*'Resource Planner'!$I$31)&amp;IF(('Resource Planner'!$G$31+(24-1)*'Resource Planner'!$I$31)=MIN('Resource Planner'!$G$31+24*'Resource Planner'!$I$31-1,'Resource Planner'!$H$31),"","–"&amp;MIN('Resource Planner'!$G$31+24*'Resource Planner'!$I$31-1,'Resource Planner'!$H$31)),"")</f>
        <v/>
      </c>
      <c r="G1078" s="163" t="s">
        <v>109</v>
      </c>
      <c r="H1078" s="163" t="str">
        <f>IF(AND('Resource Planner'!$A$31="☑",24&lt;='Resource Planner'!$N$31),'Resource Planner'!$M$31,"")</f>
        <v/>
      </c>
    </row>
    <row r="1079" ht="15.75" customHeight="1">
      <c r="A10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79" s="163" t="str">
        <f>IF(AND('Resource Planner'!$A$31="☑",25&lt;='Resource Planner'!$N$31),'Resource Planner'!$C$31,"")</f>
        <v/>
      </c>
      <c r="C1079" s="163" t="str">
        <f>IF(AND('Resource Planner'!$A$31="☑",25&lt;='Resource Planner'!$N$31),'Resource Planner'!$B$31,"")</f>
        <v/>
      </c>
      <c r="D1079" s="163" t="str">
        <f>IF(AND('Resource Planner'!$A$31="☑",25&lt;='Resource Planner'!$N$31),'Resource Planner'!$D$31,"")</f>
        <v/>
      </c>
      <c r="E1079" s="163" t="str">
        <f>IF(AND('Resource Planner'!$A$31="☑",25&lt;='Resource Planner'!$N$31),'Resource Planner'!$E$31,"")</f>
        <v/>
      </c>
      <c r="F1079" s="163" t="str">
        <f>IF(AND('Resource Planner'!$A$31="☑",25&lt;='Resource Planner'!$N$31),'Resource Planner'!$F$31&amp;" "&amp;('Resource Planner'!$G$31+(25-1)*'Resource Planner'!$I$31)&amp;IF(('Resource Planner'!$G$31+(25-1)*'Resource Planner'!$I$31)=MIN('Resource Planner'!$G$31+25*'Resource Planner'!$I$31-1,'Resource Planner'!$H$31),"","–"&amp;MIN('Resource Planner'!$G$31+25*'Resource Planner'!$I$31-1,'Resource Planner'!$H$31)),"")</f>
        <v/>
      </c>
      <c r="G1079" s="163" t="s">
        <v>109</v>
      </c>
      <c r="H1079" s="163" t="str">
        <f>IF(AND('Resource Planner'!$A$31="☑",25&lt;='Resource Planner'!$N$31),'Resource Planner'!$M$31,"")</f>
        <v/>
      </c>
    </row>
    <row r="1080" ht="15.75" customHeight="1">
      <c r="A10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0" s="163" t="str">
        <f>IF(AND('Resource Planner'!$A$31="☑",26&lt;='Resource Planner'!$N$31),'Resource Planner'!$C$31,"")</f>
        <v/>
      </c>
      <c r="C1080" s="163" t="str">
        <f>IF(AND('Resource Planner'!$A$31="☑",26&lt;='Resource Planner'!$N$31),'Resource Planner'!$B$31,"")</f>
        <v/>
      </c>
      <c r="D1080" s="163" t="str">
        <f>IF(AND('Resource Planner'!$A$31="☑",26&lt;='Resource Planner'!$N$31),'Resource Planner'!$D$31,"")</f>
        <v/>
      </c>
      <c r="E1080" s="163" t="str">
        <f>IF(AND('Resource Planner'!$A$31="☑",26&lt;='Resource Planner'!$N$31),'Resource Planner'!$E$31,"")</f>
        <v/>
      </c>
      <c r="F1080" s="163" t="str">
        <f>IF(AND('Resource Planner'!$A$31="☑",26&lt;='Resource Planner'!$N$31),'Resource Planner'!$F$31&amp;" "&amp;('Resource Planner'!$G$31+(26-1)*'Resource Planner'!$I$31)&amp;IF(('Resource Planner'!$G$31+(26-1)*'Resource Planner'!$I$31)=MIN('Resource Planner'!$G$31+26*'Resource Planner'!$I$31-1,'Resource Planner'!$H$31),"","–"&amp;MIN('Resource Planner'!$G$31+26*'Resource Planner'!$I$31-1,'Resource Planner'!$H$31)),"")</f>
        <v/>
      </c>
      <c r="G1080" s="163" t="s">
        <v>109</v>
      </c>
      <c r="H1080" s="163" t="str">
        <f>IF(AND('Resource Planner'!$A$31="☑",26&lt;='Resource Planner'!$N$31),'Resource Planner'!$M$31,"")</f>
        <v/>
      </c>
    </row>
    <row r="1081" ht="15.75" customHeight="1">
      <c r="A10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1" s="163" t="str">
        <f>IF(AND('Resource Planner'!$A$31="☑",27&lt;='Resource Planner'!$N$31),'Resource Planner'!$C$31,"")</f>
        <v/>
      </c>
      <c r="C1081" s="163" t="str">
        <f>IF(AND('Resource Planner'!$A$31="☑",27&lt;='Resource Planner'!$N$31),'Resource Planner'!$B$31,"")</f>
        <v/>
      </c>
      <c r="D1081" s="163" t="str">
        <f>IF(AND('Resource Planner'!$A$31="☑",27&lt;='Resource Planner'!$N$31),'Resource Planner'!$D$31,"")</f>
        <v/>
      </c>
      <c r="E1081" s="163" t="str">
        <f>IF(AND('Resource Planner'!$A$31="☑",27&lt;='Resource Planner'!$N$31),'Resource Planner'!$E$31,"")</f>
        <v/>
      </c>
      <c r="F1081" s="163" t="str">
        <f>IF(AND('Resource Planner'!$A$31="☑",27&lt;='Resource Planner'!$N$31),'Resource Planner'!$F$31&amp;" "&amp;('Resource Planner'!$G$31+(27-1)*'Resource Planner'!$I$31)&amp;IF(('Resource Planner'!$G$31+(27-1)*'Resource Planner'!$I$31)=MIN('Resource Planner'!$G$31+27*'Resource Planner'!$I$31-1,'Resource Planner'!$H$31),"","–"&amp;MIN('Resource Planner'!$G$31+27*'Resource Planner'!$I$31-1,'Resource Planner'!$H$31)),"")</f>
        <v/>
      </c>
      <c r="G1081" s="163" t="s">
        <v>109</v>
      </c>
      <c r="H1081" s="163" t="str">
        <f>IF(AND('Resource Planner'!$A$31="☑",27&lt;='Resource Planner'!$N$31),'Resource Planner'!$M$31,"")</f>
        <v/>
      </c>
    </row>
    <row r="1082" ht="15.75" customHeight="1">
      <c r="A10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2" s="163" t="str">
        <f>IF(AND('Resource Planner'!$A$31="☑",28&lt;='Resource Planner'!$N$31),'Resource Planner'!$C$31,"")</f>
        <v/>
      </c>
      <c r="C1082" s="163" t="str">
        <f>IF(AND('Resource Planner'!$A$31="☑",28&lt;='Resource Planner'!$N$31),'Resource Planner'!$B$31,"")</f>
        <v/>
      </c>
      <c r="D1082" s="163" t="str">
        <f>IF(AND('Resource Planner'!$A$31="☑",28&lt;='Resource Planner'!$N$31),'Resource Planner'!$D$31,"")</f>
        <v/>
      </c>
      <c r="E1082" s="163" t="str">
        <f>IF(AND('Resource Planner'!$A$31="☑",28&lt;='Resource Planner'!$N$31),'Resource Planner'!$E$31,"")</f>
        <v/>
      </c>
      <c r="F1082" s="163" t="str">
        <f>IF(AND('Resource Planner'!$A$31="☑",28&lt;='Resource Planner'!$N$31),'Resource Planner'!$F$31&amp;" "&amp;('Resource Planner'!$G$31+(28-1)*'Resource Planner'!$I$31)&amp;IF(('Resource Planner'!$G$31+(28-1)*'Resource Planner'!$I$31)=MIN('Resource Planner'!$G$31+28*'Resource Planner'!$I$31-1,'Resource Planner'!$H$31),"","–"&amp;MIN('Resource Planner'!$G$31+28*'Resource Planner'!$I$31-1,'Resource Planner'!$H$31)),"")</f>
        <v/>
      </c>
      <c r="G1082" s="163" t="s">
        <v>109</v>
      </c>
      <c r="H1082" s="163" t="str">
        <f>IF(AND('Resource Planner'!$A$31="☑",28&lt;='Resource Planner'!$N$31),'Resource Planner'!$M$31,"")</f>
        <v/>
      </c>
    </row>
    <row r="1083" ht="15.75" customHeight="1">
      <c r="A10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3" s="163" t="str">
        <f>IF(AND('Resource Planner'!$A$31="☑",29&lt;='Resource Planner'!$N$31),'Resource Planner'!$C$31,"")</f>
        <v/>
      </c>
      <c r="C1083" s="163" t="str">
        <f>IF(AND('Resource Planner'!$A$31="☑",29&lt;='Resource Planner'!$N$31),'Resource Planner'!$B$31,"")</f>
        <v/>
      </c>
      <c r="D1083" s="163" t="str">
        <f>IF(AND('Resource Planner'!$A$31="☑",29&lt;='Resource Planner'!$N$31),'Resource Planner'!$D$31,"")</f>
        <v/>
      </c>
      <c r="E1083" s="163" t="str">
        <f>IF(AND('Resource Planner'!$A$31="☑",29&lt;='Resource Planner'!$N$31),'Resource Planner'!$E$31,"")</f>
        <v/>
      </c>
      <c r="F1083" s="163" t="str">
        <f>IF(AND('Resource Planner'!$A$31="☑",29&lt;='Resource Planner'!$N$31),'Resource Planner'!$F$31&amp;" "&amp;('Resource Planner'!$G$31+(29-1)*'Resource Planner'!$I$31)&amp;IF(('Resource Planner'!$G$31+(29-1)*'Resource Planner'!$I$31)=MIN('Resource Planner'!$G$31+29*'Resource Planner'!$I$31-1,'Resource Planner'!$H$31),"","–"&amp;MIN('Resource Planner'!$G$31+29*'Resource Planner'!$I$31-1,'Resource Planner'!$H$31)),"")</f>
        <v/>
      </c>
      <c r="G1083" s="163" t="s">
        <v>109</v>
      </c>
      <c r="H1083" s="163" t="str">
        <f>IF(AND('Resource Planner'!$A$31="☑",29&lt;='Resource Planner'!$N$31),'Resource Planner'!$M$31,"")</f>
        <v/>
      </c>
    </row>
    <row r="1084" ht="15.75" customHeight="1">
      <c r="A10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4" s="163" t="str">
        <f>IF(AND('Resource Planner'!$A$31="☑",30&lt;='Resource Planner'!$N$31),'Resource Planner'!$C$31,"")</f>
        <v/>
      </c>
      <c r="C1084" s="163" t="str">
        <f>IF(AND('Resource Planner'!$A$31="☑",30&lt;='Resource Planner'!$N$31),'Resource Planner'!$B$31,"")</f>
        <v/>
      </c>
      <c r="D1084" s="163" t="str">
        <f>IF(AND('Resource Planner'!$A$31="☑",30&lt;='Resource Planner'!$N$31),'Resource Planner'!$D$31,"")</f>
        <v/>
      </c>
      <c r="E1084" s="163" t="str">
        <f>IF(AND('Resource Planner'!$A$31="☑",30&lt;='Resource Planner'!$N$31),'Resource Planner'!$E$31,"")</f>
        <v/>
      </c>
      <c r="F1084" s="163" t="str">
        <f>IF(AND('Resource Planner'!$A$31="☑",30&lt;='Resource Planner'!$N$31),'Resource Planner'!$F$31&amp;" "&amp;('Resource Planner'!$G$31+(30-1)*'Resource Planner'!$I$31)&amp;IF(('Resource Planner'!$G$31+(30-1)*'Resource Planner'!$I$31)=MIN('Resource Planner'!$G$31+30*'Resource Planner'!$I$31-1,'Resource Planner'!$H$31),"","–"&amp;MIN('Resource Planner'!$G$31+30*'Resource Planner'!$I$31-1,'Resource Planner'!$H$31)),"")</f>
        <v/>
      </c>
      <c r="G1084" s="163" t="s">
        <v>109</v>
      </c>
      <c r="H1084" s="163" t="str">
        <f>IF(AND('Resource Planner'!$A$31="☑",30&lt;='Resource Planner'!$N$31),'Resource Planner'!$M$31,"")</f>
        <v/>
      </c>
    </row>
    <row r="1085" ht="15.75" customHeight="1">
      <c r="A10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5" s="163" t="str">
        <f>IF(AND('Resource Planner'!$A$31="☑",31&lt;='Resource Planner'!$N$31),'Resource Planner'!$C$31,"")</f>
        <v/>
      </c>
      <c r="C1085" s="163" t="str">
        <f>IF(AND('Resource Planner'!$A$31="☑",31&lt;='Resource Planner'!$N$31),'Resource Planner'!$B$31,"")</f>
        <v/>
      </c>
      <c r="D1085" s="163" t="str">
        <f>IF(AND('Resource Planner'!$A$31="☑",31&lt;='Resource Planner'!$N$31),'Resource Planner'!$D$31,"")</f>
        <v/>
      </c>
      <c r="E1085" s="163" t="str">
        <f>IF(AND('Resource Planner'!$A$31="☑",31&lt;='Resource Planner'!$N$31),'Resource Planner'!$E$31,"")</f>
        <v/>
      </c>
      <c r="F1085" s="163" t="str">
        <f>IF(AND('Resource Planner'!$A$31="☑",31&lt;='Resource Planner'!$N$31),'Resource Planner'!$F$31&amp;" "&amp;('Resource Planner'!$G$31+(31-1)*'Resource Planner'!$I$31)&amp;IF(('Resource Planner'!$G$31+(31-1)*'Resource Planner'!$I$31)=MIN('Resource Planner'!$G$31+31*'Resource Planner'!$I$31-1,'Resource Planner'!$H$31),"","–"&amp;MIN('Resource Planner'!$G$31+31*'Resource Planner'!$I$31-1,'Resource Planner'!$H$31)),"")</f>
        <v/>
      </c>
      <c r="G1085" s="163" t="s">
        <v>109</v>
      </c>
      <c r="H1085" s="163" t="str">
        <f>IF(AND('Resource Planner'!$A$31="☑",31&lt;='Resource Planner'!$N$31),'Resource Planner'!$M$31,"")</f>
        <v/>
      </c>
    </row>
    <row r="1086" ht="15.75" customHeight="1">
      <c r="A10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6" s="163" t="str">
        <f>IF(AND('Resource Planner'!$A$31="☑",32&lt;='Resource Planner'!$N$31),'Resource Planner'!$C$31,"")</f>
        <v/>
      </c>
      <c r="C1086" s="163" t="str">
        <f>IF(AND('Resource Planner'!$A$31="☑",32&lt;='Resource Planner'!$N$31),'Resource Planner'!$B$31,"")</f>
        <v/>
      </c>
      <c r="D1086" s="163" t="str">
        <f>IF(AND('Resource Planner'!$A$31="☑",32&lt;='Resource Planner'!$N$31),'Resource Planner'!$D$31,"")</f>
        <v/>
      </c>
      <c r="E1086" s="163" t="str">
        <f>IF(AND('Resource Planner'!$A$31="☑",32&lt;='Resource Planner'!$N$31),'Resource Planner'!$E$31,"")</f>
        <v/>
      </c>
      <c r="F1086" s="163" t="str">
        <f>IF(AND('Resource Planner'!$A$31="☑",32&lt;='Resource Planner'!$N$31),'Resource Planner'!$F$31&amp;" "&amp;('Resource Planner'!$G$31+(32-1)*'Resource Planner'!$I$31)&amp;IF(('Resource Planner'!$G$31+(32-1)*'Resource Planner'!$I$31)=MIN('Resource Planner'!$G$31+32*'Resource Planner'!$I$31-1,'Resource Planner'!$H$31),"","–"&amp;MIN('Resource Planner'!$G$31+32*'Resource Planner'!$I$31-1,'Resource Planner'!$H$31)),"")</f>
        <v/>
      </c>
      <c r="G1086" s="163" t="s">
        <v>109</v>
      </c>
      <c r="H1086" s="163" t="str">
        <f>IF(AND('Resource Planner'!$A$31="☑",32&lt;='Resource Planner'!$N$31),'Resource Planner'!$M$31,"")</f>
        <v/>
      </c>
    </row>
    <row r="1087" ht="15.75" customHeight="1">
      <c r="A10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7" s="163" t="str">
        <f>IF(AND('Resource Planner'!$A$31="☑",33&lt;='Resource Planner'!$N$31),'Resource Planner'!$C$31,"")</f>
        <v/>
      </c>
      <c r="C1087" s="163" t="str">
        <f>IF(AND('Resource Planner'!$A$31="☑",33&lt;='Resource Planner'!$N$31),'Resource Planner'!$B$31,"")</f>
        <v/>
      </c>
      <c r="D1087" s="163" t="str">
        <f>IF(AND('Resource Planner'!$A$31="☑",33&lt;='Resource Planner'!$N$31),'Resource Planner'!$D$31,"")</f>
        <v/>
      </c>
      <c r="E1087" s="163" t="str">
        <f>IF(AND('Resource Planner'!$A$31="☑",33&lt;='Resource Planner'!$N$31),'Resource Planner'!$E$31,"")</f>
        <v/>
      </c>
      <c r="F1087" s="163" t="str">
        <f>IF(AND('Resource Planner'!$A$31="☑",33&lt;='Resource Planner'!$N$31),'Resource Planner'!$F$31&amp;" "&amp;('Resource Planner'!$G$31+(33-1)*'Resource Planner'!$I$31)&amp;IF(('Resource Planner'!$G$31+(33-1)*'Resource Planner'!$I$31)=MIN('Resource Planner'!$G$31+33*'Resource Planner'!$I$31-1,'Resource Planner'!$H$31),"","–"&amp;MIN('Resource Planner'!$G$31+33*'Resource Planner'!$I$31-1,'Resource Planner'!$H$31)),"")</f>
        <v/>
      </c>
      <c r="G1087" s="163" t="s">
        <v>109</v>
      </c>
      <c r="H1087" s="163" t="str">
        <f>IF(AND('Resource Planner'!$A$31="☑",33&lt;='Resource Planner'!$N$31),'Resource Planner'!$M$31,"")</f>
        <v/>
      </c>
    </row>
    <row r="1088" ht="15.75" customHeight="1">
      <c r="A10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8" s="163" t="str">
        <f>IF(AND('Resource Planner'!$A$31="☑",34&lt;='Resource Planner'!$N$31),'Resource Planner'!$C$31,"")</f>
        <v/>
      </c>
      <c r="C1088" s="163" t="str">
        <f>IF(AND('Resource Planner'!$A$31="☑",34&lt;='Resource Planner'!$N$31),'Resource Planner'!$B$31,"")</f>
        <v/>
      </c>
      <c r="D1088" s="163" t="str">
        <f>IF(AND('Resource Planner'!$A$31="☑",34&lt;='Resource Planner'!$N$31),'Resource Planner'!$D$31,"")</f>
        <v/>
      </c>
      <c r="E1088" s="163" t="str">
        <f>IF(AND('Resource Planner'!$A$31="☑",34&lt;='Resource Planner'!$N$31),'Resource Planner'!$E$31,"")</f>
        <v/>
      </c>
      <c r="F1088" s="163" t="str">
        <f>IF(AND('Resource Planner'!$A$31="☑",34&lt;='Resource Planner'!$N$31),'Resource Planner'!$F$31&amp;" "&amp;('Resource Planner'!$G$31+(34-1)*'Resource Planner'!$I$31)&amp;IF(('Resource Planner'!$G$31+(34-1)*'Resource Planner'!$I$31)=MIN('Resource Planner'!$G$31+34*'Resource Planner'!$I$31-1,'Resource Planner'!$H$31),"","–"&amp;MIN('Resource Planner'!$G$31+34*'Resource Planner'!$I$31-1,'Resource Planner'!$H$31)),"")</f>
        <v/>
      </c>
      <c r="G1088" s="163" t="s">
        <v>109</v>
      </c>
      <c r="H1088" s="163" t="str">
        <f>IF(AND('Resource Planner'!$A$31="☑",34&lt;='Resource Planner'!$N$31),'Resource Planner'!$M$31,"")</f>
        <v/>
      </c>
    </row>
    <row r="1089" ht="15.75" customHeight="1">
      <c r="A10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89" s="163" t="str">
        <f>IF(AND('Resource Planner'!$A$31="☑",35&lt;='Resource Planner'!$N$31),'Resource Planner'!$C$31,"")</f>
        <v/>
      </c>
      <c r="C1089" s="163" t="str">
        <f>IF(AND('Resource Planner'!$A$31="☑",35&lt;='Resource Planner'!$N$31),'Resource Planner'!$B$31,"")</f>
        <v/>
      </c>
      <c r="D1089" s="163" t="str">
        <f>IF(AND('Resource Planner'!$A$31="☑",35&lt;='Resource Planner'!$N$31),'Resource Planner'!$D$31,"")</f>
        <v/>
      </c>
      <c r="E1089" s="163" t="str">
        <f>IF(AND('Resource Planner'!$A$31="☑",35&lt;='Resource Planner'!$N$31),'Resource Planner'!$E$31,"")</f>
        <v/>
      </c>
      <c r="F1089" s="163" t="str">
        <f>IF(AND('Resource Planner'!$A$31="☑",35&lt;='Resource Planner'!$N$31),'Resource Planner'!$F$31&amp;" "&amp;('Resource Planner'!$G$31+(35-1)*'Resource Planner'!$I$31)&amp;IF(('Resource Planner'!$G$31+(35-1)*'Resource Planner'!$I$31)=MIN('Resource Planner'!$G$31+35*'Resource Planner'!$I$31-1,'Resource Planner'!$H$31),"","–"&amp;MIN('Resource Planner'!$G$31+35*'Resource Planner'!$I$31-1,'Resource Planner'!$H$31)),"")</f>
        <v/>
      </c>
      <c r="G1089" s="163" t="s">
        <v>109</v>
      </c>
      <c r="H1089" s="163" t="str">
        <f>IF(AND('Resource Planner'!$A$31="☑",35&lt;='Resource Planner'!$N$31),'Resource Planner'!$M$31,"")</f>
        <v/>
      </c>
    </row>
    <row r="1090" ht="15.75" customHeight="1">
      <c r="A10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0" s="163" t="str">
        <f>IF(AND('Resource Planner'!$A$31="☑",36&lt;='Resource Planner'!$N$31),'Resource Planner'!$C$31,"")</f>
        <v/>
      </c>
      <c r="C1090" s="163" t="str">
        <f>IF(AND('Resource Planner'!$A$31="☑",36&lt;='Resource Planner'!$N$31),'Resource Planner'!$B$31,"")</f>
        <v/>
      </c>
      <c r="D1090" s="163" t="str">
        <f>IF(AND('Resource Planner'!$A$31="☑",36&lt;='Resource Planner'!$N$31),'Resource Planner'!$D$31,"")</f>
        <v/>
      </c>
      <c r="E1090" s="163" t="str">
        <f>IF(AND('Resource Planner'!$A$31="☑",36&lt;='Resource Planner'!$N$31),'Resource Planner'!$E$31,"")</f>
        <v/>
      </c>
      <c r="F1090" s="163" t="str">
        <f>IF(AND('Resource Planner'!$A$31="☑",36&lt;='Resource Planner'!$N$31),'Resource Planner'!$F$31&amp;" "&amp;('Resource Planner'!$G$31+(36-1)*'Resource Planner'!$I$31)&amp;IF(('Resource Planner'!$G$31+(36-1)*'Resource Planner'!$I$31)=MIN('Resource Planner'!$G$31+36*'Resource Planner'!$I$31-1,'Resource Planner'!$H$31),"","–"&amp;MIN('Resource Planner'!$G$31+36*'Resource Planner'!$I$31-1,'Resource Planner'!$H$31)),"")</f>
        <v/>
      </c>
      <c r="G1090" s="163" t="s">
        <v>109</v>
      </c>
      <c r="H1090" s="163" t="str">
        <f>IF(AND('Resource Planner'!$A$31="☑",36&lt;='Resource Planner'!$N$31),'Resource Planner'!$M$31,"")</f>
        <v/>
      </c>
    </row>
    <row r="1091" ht="15.75" customHeight="1">
      <c r="A10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1" s="163" t="str">
        <f>IF(AND('Resource Planner'!$A$31="☑",37&lt;='Resource Planner'!$N$31),'Resource Planner'!$C$31,"")</f>
        <v/>
      </c>
      <c r="C1091" s="163" t="str">
        <f>IF(AND('Resource Planner'!$A$31="☑",37&lt;='Resource Planner'!$N$31),'Resource Planner'!$B$31,"")</f>
        <v/>
      </c>
      <c r="D1091" s="163" t="str">
        <f>IF(AND('Resource Planner'!$A$31="☑",37&lt;='Resource Planner'!$N$31),'Resource Planner'!$D$31,"")</f>
        <v/>
      </c>
      <c r="E1091" s="163" t="str">
        <f>IF(AND('Resource Planner'!$A$31="☑",37&lt;='Resource Planner'!$N$31),'Resource Planner'!$E$31,"")</f>
        <v/>
      </c>
      <c r="F1091" s="163" t="str">
        <f>IF(AND('Resource Planner'!$A$31="☑",37&lt;='Resource Planner'!$N$31),'Resource Planner'!$F$31&amp;" "&amp;('Resource Planner'!$G$31+(37-1)*'Resource Planner'!$I$31)&amp;IF(('Resource Planner'!$G$31+(37-1)*'Resource Planner'!$I$31)=MIN('Resource Planner'!$G$31+37*'Resource Planner'!$I$31-1,'Resource Planner'!$H$31),"","–"&amp;MIN('Resource Planner'!$G$31+37*'Resource Planner'!$I$31-1,'Resource Planner'!$H$31)),"")</f>
        <v/>
      </c>
      <c r="G1091" s="163" t="s">
        <v>109</v>
      </c>
      <c r="H1091" s="163" t="str">
        <f>IF(AND('Resource Planner'!$A$31="☑",37&lt;='Resource Planner'!$N$31),'Resource Planner'!$M$31,"")</f>
        <v/>
      </c>
    </row>
    <row r="1092" ht="15.75" customHeight="1">
      <c r="A10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2" s="163" t="str">
        <f>IF(AND('Resource Planner'!$A$31="☑",38&lt;='Resource Planner'!$N$31),'Resource Planner'!$C$31,"")</f>
        <v/>
      </c>
      <c r="C1092" s="163" t="str">
        <f>IF(AND('Resource Planner'!$A$31="☑",38&lt;='Resource Planner'!$N$31),'Resource Planner'!$B$31,"")</f>
        <v/>
      </c>
      <c r="D1092" s="163" t="str">
        <f>IF(AND('Resource Planner'!$A$31="☑",38&lt;='Resource Planner'!$N$31),'Resource Planner'!$D$31,"")</f>
        <v/>
      </c>
      <c r="E1092" s="163" t="str">
        <f>IF(AND('Resource Planner'!$A$31="☑",38&lt;='Resource Planner'!$N$31),'Resource Planner'!$E$31,"")</f>
        <v/>
      </c>
      <c r="F1092" s="163" t="str">
        <f>IF(AND('Resource Planner'!$A$31="☑",38&lt;='Resource Planner'!$N$31),'Resource Planner'!$F$31&amp;" "&amp;('Resource Planner'!$G$31+(38-1)*'Resource Planner'!$I$31)&amp;IF(('Resource Planner'!$G$31+(38-1)*'Resource Planner'!$I$31)=MIN('Resource Planner'!$G$31+38*'Resource Planner'!$I$31-1,'Resource Planner'!$H$31),"","–"&amp;MIN('Resource Planner'!$G$31+38*'Resource Planner'!$I$31-1,'Resource Planner'!$H$31)),"")</f>
        <v/>
      </c>
      <c r="G1092" s="163" t="s">
        <v>109</v>
      </c>
      <c r="H1092" s="163" t="str">
        <f>IF(AND('Resource Planner'!$A$31="☑",38&lt;='Resource Planner'!$N$31),'Resource Planner'!$M$31,"")</f>
        <v/>
      </c>
    </row>
    <row r="1093" ht="15.75" customHeight="1">
      <c r="A10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3" s="163" t="str">
        <f>IF(AND('Resource Planner'!$A$31="☑",39&lt;='Resource Planner'!$N$31),'Resource Planner'!$C$31,"")</f>
        <v/>
      </c>
      <c r="C1093" s="163" t="str">
        <f>IF(AND('Resource Planner'!$A$31="☑",39&lt;='Resource Planner'!$N$31),'Resource Planner'!$B$31,"")</f>
        <v/>
      </c>
      <c r="D1093" s="163" t="str">
        <f>IF(AND('Resource Planner'!$A$31="☑",39&lt;='Resource Planner'!$N$31),'Resource Planner'!$D$31,"")</f>
        <v/>
      </c>
      <c r="E1093" s="163" t="str">
        <f>IF(AND('Resource Planner'!$A$31="☑",39&lt;='Resource Planner'!$N$31),'Resource Planner'!$E$31,"")</f>
        <v/>
      </c>
      <c r="F1093" s="163" t="str">
        <f>IF(AND('Resource Planner'!$A$31="☑",39&lt;='Resource Planner'!$N$31),'Resource Planner'!$F$31&amp;" "&amp;('Resource Planner'!$G$31+(39-1)*'Resource Planner'!$I$31)&amp;IF(('Resource Planner'!$G$31+(39-1)*'Resource Planner'!$I$31)=MIN('Resource Planner'!$G$31+39*'Resource Planner'!$I$31-1,'Resource Planner'!$H$31),"","–"&amp;MIN('Resource Planner'!$G$31+39*'Resource Planner'!$I$31-1,'Resource Planner'!$H$31)),"")</f>
        <v/>
      </c>
      <c r="G1093" s="163" t="s">
        <v>109</v>
      </c>
      <c r="H1093" s="163" t="str">
        <f>IF(AND('Resource Planner'!$A$31="☑",39&lt;='Resource Planner'!$N$31),'Resource Planner'!$M$31,"")</f>
        <v/>
      </c>
    </row>
    <row r="1094" ht="15.75" customHeight="1">
      <c r="A10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4" s="163" t="str">
        <f>IF(AND('Resource Planner'!$A$31="☑",40&lt;='Resource Planner'!$N$31),'Resource Planner'!$C$31,"")</f>
        <v/>
      </c>
      <c r="C1094" s="163" t="str">
        <f>IF(AND('Resource Planner'!$A$31="☑",40&lt;='Resource Planner'!$N$31),'Resource Planner'!$B$31,"")</f>
        <v/>
      </c>
      <c r="D1094" s="163" t="str">
        <f>IF(AND('Resource Planner'!$A$31="☑",40&lt;='Resource Planner'!$N$31),'Resource Planner'!$D$31,"")</f>
        <v/>
      </c>
      <c r="E1094" s="163" t="str">
        <f>IF(AND('Resource Planner'!$A$31="☑",40&lt;='Resource Planner'!$N$31),'Resource Planner'!$E$31,"")</f>
        <v/>
      </c>
      <c r="F1094" s="163" t="str">
        <f>IF(AND('Resource Planner'!$A$31="☑",40&lt;='Resource Planner'!$N$31),'Resource Planner'!$F$31&amp;" "&amp;('Resource Planner'!$G$31+(40-1)*'Resource Planner'!$I$31)&amp;IF(('Resource Planner'!$G$31+(40-1)*'Resource Planner'!$I$31)=MIN('Resource Planner'!$G$31+40*'Resource Planner'!$I$31-1,'Resource Planner'!$H$31),"","–"&amp;MIN('Resource Planner'!$G$31+40*'Resource Planner'!$I$31-1,'Resource Planner'!$H$31)),"")</f>
        <v/>
      </c>
      <c r="G1094" s="163" t="s">
        <v>109</v>
      </c>
      <c r="H1094" s="163" t="str">
        <f>IF(AND('Resource Planner'!$A$31="☑",40&lt;='Resource Planner'!$N$31),'Resource Planner'!$M$31,"")</f>
        <v/>
      </c>
    </row>
    <row r="1095" ht="15.75" customHeight="1">
      <c r="A10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5" s="163" t="str">
        <f>IF(AND('Resource Planner'!$A$31="☑",41&lt;='Resource Planner'!$N$31),'Resource Planner'!$C$31,"")</f>
        <v/>
      </c>
      <c r="C1095" s="163" t="str">
        <f>IF(AND('Resource Planner'!$A$31="☑",41&lt;='Resource Planner'!$N$31),'Resource Planner'!$B$31,"")</f>
        <v/>
      </c>
      <c r="D1095" s="163" t="str">
        <f>IF(AND('Resource Planner'!$A$31="☑",41&lt;='Resource Planner'!$N$31),'Resource Planner'!$D$31,"")</f>
        <v/>
      </c>
      <c r="E1095" s="163" t="str">
        <f>IF(AND('Resource Planner'!$A$31="☑",41&lt;='Resource Planner'!$N$31),'Resource Planner'!$E$31,"")</f>
        <v/>
      </c>
      <c r="F1095" s="163" t="str">
        <f>IF(AND('Resource Planner'!$A$31="☑",41&lt;='Resource Planner'!$N$31),'Resource Planner'!$F$31&amp;" "&amp;('Resource Planner'!$G$31+(41-1)*'Resource Planner'!$I$31)&amp;IF(('Resource Planner'!$G$31+(41-1)*'Resource Planner'!$I$31)=MIN('Resource Planner'!$G$31+41*'Resource Planner'!$I$31-1,'Resource Planner'!$H$31),"","–"&amp;MIN('Resource Planner'!$G$31+41*'Resource Planner'!$I$31-1,'Resource Planner'!$H$31)),"")</f>
        <v/>
      </c>
      <c r="G1095" s="163" t="s">
        <v>109</v>
      </c>
      <c r="H1095" s="163" t="str">
        <f>IF(AND('Resource Planner'!$A$31="☑",41&lt;='Resource Planner'!$N$31),'Resource Planner'!$M$31,"")</f>
        <v/>
      </c>
    </row>
    <row r="1096" ht="15.75" customHeight="1">
      <c r="A10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6" s="163" t="str">
        <f>IF(AND('Resource Planner'!$A$31="☑",42&lt;='Resource Planner'!$N$31),'Resource Planner'!$C$31,"")</f>
        <v/>
      </c>
      <c r="C1096" s="163" t="str">
        <f>IF(AND('Resource Planner'!$A$31="☑",42&lt;='Resource Planner'!$N$31),'Resource Planner'!$B$31,"")</f>
        <v/>
      </c>
      <c r="D1096" s="163" t="str">
        <f>IF(AND('Resource Planner'!$A$31="☑",42&lt;='Resource Planner'!$N$31),'Resource Planner'!$D$31,"")</f>
        <v/>
      </c>
      <c r="E1096" s="163" t="str">
        <f>IF(AND('Resource Planner'!$A$31="☑",42&lt;='Resource Planner'!$N$31),'Resource Planner'!$E$31,"")</f>
        <v/>
      </c>
      <c r="F1096" s="163" t="str">
        <f>IF(AND('Resource Planner'!$A$31="☑",42&lt;='Resource Planner'!$N$31),'Resource Planner'!$F$31&amp;" "&amp;('Resource Planner'!$G$31+(42-1)*'Resource Planner'!$I$31)&amp;IF(('Resource Planner'!$G$31+(42-1)*'Resource Planner'!$I$31)=MIN('Resource Planner'!$G$31+42*'Resource Planner'!$I$31-1,'Resource Planner'!$H$31),"","–"&amp;MIN('Resource Planner'!$G$31+42*'Resource Planner'!$I$31-1,'Resource Planner'!$H$31)),"")</f>
        <v/>
      </c>
      <c r="G1096" s="163" t="s">
        <v>109</v>
      </c>
      <c r="H1096" s="163" t="str">
        <f>IF(AND('Resource Planner'!$A$31="☑",42&lt;='Resource Planner'!$N$31),'Resource Planner'!$M$31,"")</f>
        <v/>
      </c>
    </row>
    <row r="1097" ht="15.75" customHeight="1">
      <c r="A10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7" s="163" t="str">
        <f>IF(AND('Resource Planner'!$A$31="☑",43&lt;='Resource Planner'!$N$31),'Resource Planner'!$C$31,"")</f>
        <v/>
      </c>
      <c r="C1097" s="163" t="str">
        <f>IF(AND('Resource Planner'!$A$31="☑",43&lt;='Resource Planner'!$N$31),'Resource Planner'!$B$31,"")</f>
        <v/>
      </c>
      <c r="D1097" s="163" t="str">
        <f>IF(AND('Resource Planner'!$A$31="☑",43&lt;='Resource Planner'!$N$31),'Resource Planner'!$D$31,"")</f>
        <v/>
      </c>
      <c r="E1097" s="163" t="str">
        <f>IF(AND('Resource Planner'!$A$31="☑",43&lt;='Resource Planner'!$N$31),'Resource Planner'!$E$31,"")</f>
        <v/>
      </c>
      <c r="F1097" s="163" t="str">
        <f>IF(AND('Resource Planner'!$A$31="☑",43&lt;='Resource Planner'!$N$31),'Resource Planner'!$F$31&amp;" "&amp;('Resource Planner'!$G$31+(43-1)*'Resource Planner'!$I$31)&amp;IF(('Resource Planner'!$G$31+(43-1)*'Resource Planner'!$I$31)=MIN('Resource Planner'!$G$31+43*'Resource Planner'!$I$31-1,'Resource Planner'!$H$31),"","–"&amp;MIN('Resource Planner'!$G$31+43*'Resource Planner'!$I$31-1,'Resource Planner'!$H$31)),"")</f>
        <v/>
      </c>
      <c r="G1097" s="163" t="s">
        <v>109</v>
      </c>
      <c r="H1097" s="163" t="str">
        <f>IF(AND('Resource Planner'!$A$31="☑",43&lt;='Resource Planner'!$N$31),'Resource Planner'!$M$31,"")</f>
        <v/>
      </c>
    </row>
    <row r="1098" ht="15.75" customHeight="1">
      <c r="A10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8" s="163" t="str">
        <f>IF(AND('Resource Planner'!$A$31="☑",44&lt;='Resource Planner'!$N$31),'Resource Planner'!$C$31,"")</f>
        <v/>
      </c>
      <c r="C1098" s="163" t="str">
        <f>IF(AND('Resource Planner'!$A$31="☑",44&lt;='Resource Planner'!$N$31),'Resource Planner'!$B$31,"")</f>
        <v/>
      </c>
      <c r="D1098" s="163" t="str">
        <f>IF(AND('Resource Planner'!$A$31="☑",44&lt;='Resource Planner'!$N$31),'Resource Planner'!$D$31,"")</f>
        <v/>
      </c>
      <c r="E1098" s="163" t="str">
        <f>IF(AND('Resource Planner'!$A$31="☑",44&lt;='Resource Planner'!$N$31),'Resource Planner'!$E$31,"")</f>
        <v/>
      </c>
      <c r="F1098" s="163" t="str">
        <f>IF(AND('Resource Planner'!$A$31="☑",44&lt;='Resource Planner'!$N$31),'Resource Planner'!$F$31&amp;" "&amp;('Resource Planner'!$G$31+(44-1)*'Resource Planner'!$I$31)&amp;IF(('Resource Planner'!$G$31+(44-1)*'Resource Planner'!$I$31)=MIN('Resource Planner'!$G$31+44*'Resource Planner'!$I$31-1,'Resource Planner'!$H$31),"","–"&amp;MIN('Resource Planner'!$G$31+44*'Resource Planner'!$I$31-1,'Resource Planner'!$H$31)),"")</f>
        <v/>
      </c>
      <c r="G1098" s="163" t="s">
        <v>109</v>
      </c>
      <c r="H1098" s="163" t="str">
        <f>IF(AND('Resource Planner'!$A$31="☑",44&lt;='Resource Planner'!$N$31),'Resource Planner'!$M$31,"")</f>
        <v/>
      </c>
    </row>
    <row r="1099" ht="15.75" customHeight="1">
      <c r="A10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099" s="163" t="str">
        <f>IF(AND('Resource Planner'!$A$31="☑",45&lt;='Resource Planner'!$N$31),'Resource Planner'!$C$31,"")</f>
        <v/>
      </c>
      <c r="C1099" s="163" t="str">
        <f>IF(AND('Resource Planner'!$A$31="☑",45&lt;='Resource Planner'!$N$31),'Resource Planner'!$B$31,"")</f>
        <v/>
      </c>
      <c r="D1099" s="163" t="str">
        <f>IF(AND('Resource Planner'!$A$31="☑",45&lt;='Resource Planner'!$N$31),'Resource Planner'!$D$31,"")</f>
        <v/>
      </c>
      <c r="E1099" s="163" t="str">
        <f>IF(AND('Resource Planner'!$A$31="☑",45&lt;='Resource Planner'!$N$31),'Resource Planner'!$E$31,"")</f>
        <v/>
      </c>
      <c r="F1099" s="163" t="str">
        <f>IF(AND('Resource Planner'!$A$31="☑",45&lt;='Resource Planner'!$N$31),'Resource Planner'!$F$31&amp;" "&amp;('Resource Planner'!$G$31+(45-1)*'Resource Planner'!$I$31)&amp;IF(('Resource Planner'!$G$31+(45-1)*'Resource Planner'!$I$31)=MIN('Resource Planner'!$G$31+45*'Resource Planner'!$I$31-1,'Resource Planner'!$H$31),"","–"&amp;MIN('Resource Planner'!$G$31+45*'Resource Planner'!$I$31-1,'Resource Planner'!$H$31)),"")</f>
        <v/>
      </c>
      <c r="G1099" s="163" t="s">
        <v>109</v>
      </c>
      <c r="H1099" s="163" t="str">
        <f>IF(AND('Resource Planner'!$A$31="☑",45&lt;='Resource Planner'!$N$31),'Resource Planner'!$M$31,"")</f>
        <v/>
      </c>
    </row>
    <row r="1100" ht="15.75" customHeight="1">
      <c r="A11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0" s="163" t="str">
        <f>IF(AND('Resource Planner'!$A$31="☑",46&lt;='Resource Planner'!$N$31),'Resource Planner'!$C$31,"")</f>
        <v/>
      </c>
      <c r="C1100" s="163" t="str">
        <f>IF(AND('Resource Planner'!$A$31="☑",46&lt;='Resource Planner'!$N$31),'Resource Planner'!$B$31,"")</f>
        <v/>
      </c>
      <c r="D1100" s="163" t="str">
        <f>IF(AND('Resource Planner'!$A$31="☑",46&lt;='Resource Planner'!$N$31),'Resource Planner'!$D$31,"")</f>
        <v/>
      </c>
      <c r="E1100" s="163" t="str">
        <f>IF(AND('Resource Planner'!$A$31="☑",46&lt;='Resource Planner'!$N$31),'Resource Planner'!$E$31,"")</f>
        <v/>
      </c>
      <c r="F1100" s="163" t="str">
        <f>IF(AND('Resource Planner'!$A$31="☑",46&lt;='Resource Planner'!$N$31),'Resource Planner'!$F$31&amp;" "&amp;('Resource Planner'!$G$31+(46-1)*'Resource Planner'!$I$31)&amp;IF(('Resource Planner'!$G$31+(46-1)*'Resource Planner'!$I$31)=MIN('Resource Planner'!$G$31+46*'Resource Planner'!$I$31-1,'Resource Planner'!$H$31),"","–"&amp;MIN('Resource Planner'!$G$31+46*'Resource Planner'!$I$31-1,'Resource Planner'!$H$31)),"")</f>
        <v/>
      </c>
      <c r="G1100" s="163" t="s">
        <v>109</v>
      </c>
      <c r="H1100" s="163" t="str">
        <f>IF(AND('Resource Planner'!$A$31="☑",46&lt;='Resource Planner'!$N$31),'Resource Planner'!$M$31,"")</f>
        <v/>
      </c>
    </row>
    <row r="1101" ht="15.75" customHeight="1">
      <c r="A11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1" s="163" t="str">
        <f>IF(AND('Resource Planner'!$A$31="☑",47&lt;='Resource Planner'!$N$31),'Resource Planner'!$C$31,"")</f>
        <v/>
      </c>
      <c r="C1101" s="163" t="str">
        <f>IF(AND('Resource Planner'!$A$31="☑",47&lt;='Resource Planner'!$N$31),'Resource Planner'!$B$31,"")</f>
        <v/>
      </c>
      <c r="D1101" s="163" t="str">
        <f>IF(AND('Resource Planner'!$A$31="☑",47&lt;='Resource Planner'!$N$31),'Resource Planner'!$D$31,"")</f>
        <v/>
      </c>
      <c r="E1101" s="163" t="str">
        <f>IF(AND('Resource Planner'!$A$31="☑",47&lt;='Resource Planner'!$N$31),'Resource Planner'!$E$31,"")</f>
        <v/>
      </c>
      <c r="F1101" s="163" t="str">
        <f>IF(AND('Resource Planner'!$A$31="☑",47&lt;='Resource Planner'!$N$31),'Resource Planner'!$F$31&amp;" "&amp;('Resource Planner'!$G$31+(47-1)*'Resource Planner'!$I$31)&amp;IF(('Resource Planner'!$G$31+(47-1)*'Resource Planner'!$I$31)=MIN('Resource Planner'!$G$31+47*'Resource Planner'!$I$31-1,'Resource Planner'!$H$31),"","–"&amp;MIN('Resource Planner'!$G$31+47*'Resource Planner'!$I$31-1,'Resource Planner'!$H$31)),"")</f>
        <v/>
      </c>
      <c r="G1101" s="163" t="s">
        <v>109</v>
      </c>
      <c r="H1101" s="163" t="str">
        <f>IF(AND('Resource Planner'!$A$31="☑",47&lt;='Resource Planner'!$N$31),'Resource Planner'!$M$31,"")</f>
        <v/>
      </c>
    </row>
    <row r="1102" ht="15.75" customHeight="1">
      <c r="A11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2" s="163" t="str">
        <f>IF(AND('Resource Planner'!$A$31="☑",48&lt;='Resource Planner'!$N$31),'Resource Planner'!$C$31,"")</f>
        <v/>
      </c>
      <c r="C1102" s="163" t="str">
        <f>IF(AND('Resource Planner'!$A$31="☑",48&lt;='Resource Planner'!$N$31),'Resource Planner'!$B$31,"")</f>
        <v/>
      </c>
      <c r="D1102" s="163" t="str">
        <f>IF(AND('Resource Planner'!$A$31="☑",48&lt;='Resource Planner'!$N$31),'Resource Planner'!$D$31,"")</f>
        <v/>
      </c>
      <c r="E1102" s="163" t="str">
        <f>IF(AND('Resource Planner'!$A$31="☑",48&lt;='Resource Planner'!$N$31),'Resource Planner'!$E$31,"")</f>
        <v/>
      </c>
      <c r="F1102" s="163" t="str">
        <f>IF(AND('Resource Planner'!$A$31="☑",48&lt;='Resource Planner'!$N$31),'Resource Planner'!$F$31&amp;" "&amp;('Resource Planner'!$G$31+(48-1)*'Resource Planner'!$I$31)&amp;IF(('Resource Planner'!$G$31+(48-1)*'Resource Planner'!$I$31)=MIN('Resource Planner'!$G$31+48*'Resource Planner'!$I$31-1,'Resource Planner'!$H$31),"","–"&amp;MIN('Resource Planner'!$G$31+48*'Resource Planner'!$I$31-1,'Resource Planner'!$H$31)),"")</f>
        <v/>
      </c>
      <c r="G1102" s="163" t="s">
        <v>109</v>
      </c>
      <c r="H1102" s="163" t="str">
        <f>IF(AND('Resource Planner'!$A$31="☑",48&lt;='Resource Planner'!$N$31),'Resource Planner'!$M$31,"")</f>
        <v/>
      </c>
    </row>
    <row r="1103" ht="15.75" customHeight="1">
      <c r="A11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3" s="163" t="str">
        <f>IF(AND('Resource Planner'!$A$31="☑",49&lt;='Resource Planner'!$N$31),'Resource Planner'!$C$31,"")</f>
        <v/>
      </c>
      <c r="C1103" s="163" t="str">
        <f>IF(AND('Resource Planner'!$A$31="☑",49&lt;='Resource Planner'!$N$31),'Resource Planner'!$B$31,"")</f>
        <v/>
      </c>
      <c r="D1103" s="163" t="str">
        <f>IF(AND('Resource Planner'!$A$31="☑",49&lt;='Resource Planner'!$N$31),'Resource Planner'!$D$31,"")</f>
        <v/>
      </c>
      <c r="E1103" s="163" t="str">
        <f>IF(AND('Resource Planner'!$A$31="☑",49&lt;='Resource Planner'!$N$31),'Resource Planner'!$E$31,"")</f>
        <v/>
      </c>
      <c r="F1103" s="163" t="str">
        <f>IF(AND('Resource Planner'!$A$31="☑",49&lt;='Resource Planner'!$N$31),'Resource Planner'!$F$31&amp;" "&amp;('Resource Planner'!$G$31+(49-1)*'Resource Planner'!$I$31)&amp;IF(('Resource Planner'!$G$31+(49-1)*'Resource Planner'!$I$31)=MIN('Resource Planner'!$G$31+49*'Resource Planner'!$I$31-1,'Resource Planner'!$H$31),"","–"&amp;MIN('Resource Planner'!$G$31+49*'Resource Planner'!$I$31-1,'Resource Planner'!$H$31)),"")</f>
        <v/>
      </c>
      <c r="G1103" s="163" t="s">
        <v>109</v>
      </c>
      <c r="H1103" s="163" t="str">
        <f>IF(AND('Resource Planner'!$A$31="☑",49&lt;='Resource Planner'!$N$31),'Resource Planner'!$M$31,"")</f>
        <v/>
      </c>
    </row>
    <row r="1104" ht="15.75" customHeight="1">
      <c r="A11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4" s="163" t="str">
        <f>IF(AND('Resource Planner'!$A$31="☑",50&lt;='Resource Planner'!$N$31),'Resource Planner'!$C$31,"")</f>
        <v/>
      </c>
      <c r="C1104" s="163" t="str">
        <f>IF(AND('Resource Planner'!$A$31="☑",50&lt;='Resource Planner'!$N$31),'Resource Planner'!$B$31,"")</f>
        <v/>
      </c>
      <c r="D1104" s="163" t="str">
        <f>IF(AND('Resource Planner'!$A$31="☑",50&lt;='Resource Planner'!$N$31),'Resource Planner'!$D$31,"")</f>
        <v/>
      </c>
      <c r="E1104" s="163" t="str">
        <f>IF(AND('Resource Planner'!$A$31="☑",50&lt;='Resource Planner'!$N$31),'Resource Planner'!$E$31,"")</f>
        <v/>
      </c>
      <c r="F1104" s="163" t="str">
        <f>IF(AND('Resource Planner'!$A$31="☑",50&lt;='Resource Planner'!$N$31),'Resource Planner'!$F$31&amp;" "&amp;('Resource Planner'!$G$31+(50-1)*'Resource Planner'!$I$31)&amp;IF(('Resource Planner'!$G$31+(50-1)*'Resource Planner'!$I$31)=MIN('Resource Planner'!$G$31+50*'Resource Planner'!$I$31-1,'Resource Planner'!$H$31),"","–"&amp;MIN('Resource Planner'!$G$31+50*'Resource Planner'!$I$31-1,'Resource Planner'!$H$31)),"")</f>
        <v/>
      </c>
      <c r="G1104" s="163" t="s">
        <v>109</v>
      </c>
      <c r="H1104" s="163" t="str">
        <f>IF(AND('Resource Planner'!$A$31="☑",50&lt;='Resource Planner'!$N$31),'Resource Planner'!$M$31,"")</f>
        <v/>
      </c>
    </row>
    <row r="1105" ht="15.75" customHeight="1">
      <c r="A11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5" s="163" t="str">
        <f>IF(AND('Resource Planner'!$A$32="☑",1&lt;='Resource Planner'!$N$32),'Resource Planner'!$C$32,"")</f>
        <v/>
      </c>
      <c r="C1105" s="163" t="str">
        <f>IF(AND('Resource Planner'!$A$32="☑",1&lt;='Resource Planner'!$N$32),'Resource Planner'!$B$32,"")</f>
        <v/>
      </c>
      <c r="D1105" s="163" t="str">
        <f>IF(AND('Resource Planner'!$A$32="☑",1&lt;='Resource Planner'!$N$32),'Resource Planner'!$D$32,"")</f>
        <v/>
      </c>
      <c r="E1105" s="163" t="str">
        <f>IF(AND('Resource Planner'!$A$32="☑",1&lt;='Resource Planner'!$N$32),'Resource Planner'!$E$32,"")</f>
        <v/>
      </c>
      <c r="F1105" s="163" t="str">
        <f>IF(AND('Resource Planner'!$A$32="☑",1&lt;='Resource Planner'!$N$32),'Resource Planner'!$F$32&amp;" "&amp;('Resource Planner'!$G$32+(1-1)*'Resource Planner'!$I$32)&amp;IF(('Resource Planner'!$G$32+(1-1)*'Resource Planner'!$I$32)=MIN('Resource Planner'!$G$32+1*'Resource Planner'!$I$32-1,'Resource Planner'!$H$32),"","–"&amp;MIN('Resource Planner'!$G$32+1*'Resource Planner'!$I$32-1,'Resource Planner'!$H$32)),"")</f>
        <v/>
      </c>
      <c r="G1105" s="163" t="s">
        <v>109</v>
      </c>
      <c r="H1105" s="163" t="str">
        <f>IF(AND('Resource Planner'!$A$32="☑",1&lt;='Resource Planner'!$N$32),'Resource Planner'!$M$32,"")</f>
        <v/>
      </c>
    </row>
    <row r="1106" ht="15.75" customHeight="1">
      <c r="A11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6" s="163" t="str">
        <f>IF(AND('Resource Planner'!$A$32="☑",2&lt;='Resource Planner'!$N$32),'Resource Planner'!$C$32,"")</f>
        <v/>
      </c>
      <c r="C1106" s="163" t="str">
        <f>IF(AND('Resource Planner'!$A$32="☑",2&lt;='Resource Planner'!$N$32),'Resource Planner'!$B$32,"")</f>
        <v/>
      </c>
      <c r="D1106" s="163" t="str">
        <f>IF(AND('Resource Planner'!$A$32="☑",2&lt;='Resource Planner'!$N$32),'Resource Planner'!$D$32,"")</f>
        <v/>
      </c>
      <c r="E1106" s="163" t="str">
        <f>IF(AND('Resource Planner'!$A$32="☑",2&lt;='Resource Planner'!$N$32),'Resource Planner'!$E$32,"")</f>
        <v/>
      </c>
      <c r="F1106" s="163" t="str">
        <f>IF(AND('Resource Planner'!$A$32="☑",2&lt;='Resource Planner'!$N$32),'Resource Planner'!$F$32&amp;" "&amp;('Resource Planner'!$G$32+(2-1)*'Resource Planner'!$I$32)&amp;IF(('Resource Planner'!$G$32+(2-1)*'Resource Planner'!$I$32)=MIN('Resource Planner'!$G$32+2*'Resource Planner'!$I$32-1,'Resource Planner'!$H$32),"","–"&amp;MIN('Resource Planner'!$G$32+2*'Resource Planner'!$I$32-1,'Resource Planner'!$H$32)),"")</f>
        <v/>
      </c>
      <c r="G1106" s="163" t="s">
        <v>109</v>
      </c>
      <c r="H1106" s="163" t="str">
        <f>IF(AND('Resource Planner'!$A$32="☑",2&lt;='Resource Planner'!$N$32),'Resource Planner'!$M$32,"")</f>
        <v/>
      </c>
    </row>
    <row r="1107" ht="15.75" customHeight="1">
      <c r="A11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7" s="163" t="str">
        <f>IF(AND('Resource Planner'!$A$32="☑",3&lt;='Resource Planner'!$N$32),'Resource Planner'!$C$32,"")</f>
        <v/>
      </c>
      <c r="C1107" s="163" t="str">
        <f>IF(AND('Resource Planner'!$A$32="☑",3&lt;='Resource Planner'!$N$32),'Resource Planner'!$B$32,"")</f>
        <v/>
      </c>
      <c r="D1107" s="163" t="str">
        <f>IF(AND('Resource Planner'!$A$32="☑",3&lt;='Resource Planner'!$N$32),'Resource Planner'!$D$32,"")</f>
        <v/>
      </c>
      <c r="E1107" s="163" t="str">
        <f>IF(AND('Resource Planner'!$A$32="☑",3&lt;='Resource Planner'!$N$32),'Resource Planner'!$E$32,"")</f>
        <v/>
      </c>
      <c r="F1107" s="163" t="str">
        <f>IF(AND('Resource Planner'!$A$32="☑",3&lt;='Resource Planner'!$N$32),'Resource Planner'!$F$32&amp;" "&amp;('Resource Planner'!$G$32+(3-1)*'Resource Planner'!$I$32)&amp;IF(('Resource Planner'!$G$32+(3-1)*'Resource Planner'!$I$32)=MIN('Resource Planner'!$G$32+3*'Resource Planner'!$I$32-1,'Resource Planner'!$H$32),"","–"&amp;MIN('Resource Planner'!$G$32+3*'Resource Planner'!$I$32-1,'Resource Planner'!$H$32)),"")</f>
        <v/>
      </c>
      <c r="G1107" s="163" t="s">
        <v>109</v>
      </c>
      <c r="H1107" s="163" t="str">
        <f>IF(AND('Resource Planner'!$A$32="☑",3&lt;='Resource Planner'!$N$32),'Resource Planner'!$M$32,"")</f>
        <v/>
      </c>
    </row>
    <row r="1108" ht="15.75" customHeight="1">
      <c r="A11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8" s="163" t="str">
        <f>IF(AND('Resource Planner'!$A$32="☑",4&lt;='Resource Planner'!$N$32),'Resource Planner'!$C$32,"")</f>
        <v/>
      </c>
      <c r="C1108" s="163" t="str">
        <f>IF(AND('Resource Planner'!$A$32="☑",4&lt;='Resource Planner'!$N$32),'Resource Planner'!$B$32,"")</f>
        <v/>
      </c>
      <c r="D1108" s="163" t="str">
        <f>IF(AND('Resource Planner'!$A$32="☑",4&lt;='Resource Planner'!$N$32),'Resource Planner'!$D$32,"")</f>
        <v/>
      </c>
      <c r="E1108" s="163" t="str">
        <f>IF(AND('Resource Planner'!$A$32="☑",4&lt;='Resource Planner'!$N$32),'Resource Planner'!$E$32,"")</f>
        <v/>
      </c>
      <c r="F1108" s="163" t="str">
        <f>IF(AND('Resource Planner'!$A$32="☑",4&lt;='Resource Planner'!$N$32),'Resource Planner'!$F$32&amp;" "&amp;('Resource Planner'!$G$32+(4-1)*'Resource Planner'!$I$32)&amp;IF(('Resource Planner'!$G$32+(4-1)*'Resource Planner'!$I$32)=MIN('Resource Planner'!$G$32+4*'Resource Planner'!$I$32-1,'Resource Planner'!$H$32),"","–"&amp;MIN('Resource Planner'!$G$32+4*'Resource Planner'!$I$32-1,'Resource Planner'!$H$32)),"")</f>
        <v/>
      </c>
      <c r="G1108" s="163" t="s">
        <v>109</v>
      </c>
      <c r="H1108" s="163" t="str">
        <f>IF(AND('Resource Planner'!$A$32="☑",4&lt;='Resource Planner'!$N$32),'Resource Planner'!$M$32,"")</f>
        <v/>
      </c>
    </row>
    <row r="1109" ht="15.75" customHeight="1">
      <c r="A11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09" s="163" t="str">
        <f>IF(AND('Resource Planner'!$A$32="☑",5&lt;='Resource Planner'!$N$32),'Resource Planner'!$C$32,"")</f>
        <v/>
      </c>
      <c r="C1109" s="163" t="str">
        <f>IF(AND('Resource Planner'!$A$32="☑",5&lt;='Resource Planner'!$N$32),'Resource Planner'!$B$32,"")</f>
        <v/>
      </c>
      <c r="D1109" s="163" t="str">
        <f>IF(AND('Resource Planner'!$A$32="☑",5&lt;='Resource Planner'!$N$32),'Resource Planner'!$D$32,"")</f>
        <v/>
      </c>
      <c r="E1109" s="163" t="str">
        <f>IF(AND('Resource Planner'!$A$32="☑",5&lt;='Resource Planner'!$N$32),'Resource Planner'!$E$32,"")</f>
        <v/>
      </c>
      <c r="F1109" s="163" t="str">
        <f>IF(AND('Resource Planner'!$A$32="☑",5&lt;='Resource Planner'!$N$32),'Resource Planner'!$F$32&amp;" "&amp;('Resource Planner'!$G$32+(5-1)*'Resource Planner'!$I$32)&amp;IF(('Resource Planner'!$G$32+(5-1)*'Resource Planner'!$I$32)=MIN('Resource Planner'!$G$32+5*'Resource Planner'!$I$32-1,'Resource Planner'!$H$32),"","–"&amp;MIN('Resource Planner'!$G$32+5*'Resource Planner'!$I$32-1,'Resource Planner'!$H$32)),"")</f>
        <v/>
      </c>
      <c r="G1109" s="163" t="s">
        <v>109</v>
      </c>
      <c r="H1109" s="163" t="str">
        <f>IF(AND('Resource Planner'!$A$32="☑",5&lt;='Resource Planner'!$N$32),'Resource Planner'!$M$32,"")</f>
        <v/>
      </c>
    </row>
    <row r="1110" ht="15.75" customHeight="1">
      <c r="A11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0" s="163" t="str">
        <f>IF(AND('Resource Planner'!$A$32="☑",6&lt;='Resource Planner'!$N$32),'Resource Planner'!$C$32,"")</f>
        <v/>
      </c>
      <c r="C1110" s="163" t="str">
        <f>IF(AND('Resource Planner'!$A$32="☑",6&lt;='Resource Planner'!$N$32),'Resource Planner'!$B$32,"")</f>
        <v/>
      </c>
      <c r="D1110" s="163" t="str">
        <f>IF(AND('Resource Planner'!$A$32="☑",6&lt;='Resource Planner'!$N$32),'Resource Planner'!$D$32,"")</f>
        <v/>
      </c>
      <c r="E1110" s="163" t="str">
        <f>IF(AND('Resource Planner'!$A$32="☑",6&lt;='Resource Planner'!$N$32),'Resource Planner'!$E$32,"")</f>
        <v/>
      </c>
      <c r="F1110" s="163" t="str">
        <f>IF(AND('Resource Planner'!$A$32="☑",6&lt;='Resource Planner'!$N$32),'Resource Planner'!$F$32&amp;" "&amp;('Resource Planner'!$G$32+(6-1)*'Resource Planner'!$I$32)&amp;IF(('Resource Planner'!$G$32+(6-1)*'Resource Planner'!$I$32)=MIN('Resource Planner'!$G$32+6*'Resource Planner'!$I$32-1,'Resource Planner'!$H$32),"","–"&amp;MIN('Resource Planner'!$G$32+6*'Resource Planner'!$I$32-1,'Resource Planner'!$H$32)),"")</f>
        <v/>
      </c>
      <c r="G1110" s="163" t="s">
        <v>109</v>
      </c>
      <c r="H1110" s="163" t="str">
        <f>IF(AND('Resource Planner'!$A$32="☑",6&lt;='Resource Planner'!$N$32),'Resource Planner'!$M$32,"")</f>
        <v/>
      </c>
    </row>
    <row r="1111" ht="15.75" customHeight="1">
      <c r="A11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1" s="163" t="str">
        <f>IF(AND('Resource Planner'!$A$32="☑",7&lt;='Resource Planner'!$N$32),'Resource Planner'!$C$32,"")</f>
        <v/>
      </c>
      <c r="C1111" s="163" t="str">
        <f>IF(AND('Resource Planner'!$A$32="☑",7&lt;='Resource Planner'!$N$32),'Resource Planner'!$B$32,"")</f>
        <v/>
      </c>
      <c r="D1111" s="163" t="str">
        <f>IF(AND('Resource Planner'!$A$32="☑",7&lt;='Resource Planner'!$N$32),'Resource Planner'!$D$32,"")</f>
        <v/>
      </c>
      <c r="E1111" s="163" t="str">
        <f>IF(AND('Resource Planner'!$A$32="☑",7&lt;='Resource Planner'!$N$32),'Resource Planner'!$E$32,"")</f>
        <v/>
      </c>
      <c r="F1111" s="163" t="str">
        <f>IF(AND('Resource Planner'!$A$32="☑",7&lt;='Resource Planner'!$N$32),'Resource Planner'!$F$32&amp;" "&amp;('Resource Planner'!$G$32+(7-1)*'Resource Planner'!$I$32)&amp;IF(('Resource Planner'!$G$32+(7-1)*'Resource Planner'!$I$32)=MIN('Resource Planner'!$G$32+7*'Resource Planner'!$I$32-1,'Resource Planner'!$H$32),"","–"&amp;MIN('Resource Planner'!$G$32+7*'Resource Planner'!$I$32-1,'Resource Planner'!$H$32)),"")</f>
        <v/>
      </c>
      <c r="G1111" s="163" t="s">
        <v>109</v>
      </c>
      <c r="H1111" s="163" t="str">
        <f>IF(AND('Resource Planner'!$A$32="☑",7&lt;='Resource Planner'!$N$32),'Resource Planner'!$M$32,"")</f>
        <v/>
      </c>
    </row>
    <row r="1112" ht="15.75" customHeight="1">
      <c r="A11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2" s="163" t="str">
        <f>IF(AND('Resource Planner'!$A$32="☑",8&lt;='Resource Planner'!$N$32),'Resource Planner'!$C$32,"")</f>
        <v/>
      </c>
      <c r="C1112" s="163" t="str">
        <f>IF(AND('Resource Planner'!$A$32="☑",8&lt;='Resource Planner'!$N$32),'Resource Planner'!$B$32,"")</f>
        <v/>
      </c>
      <c r="D1112" s="163" t="str">
        <f>IF(AND('Resource Planner'!$A$32="☑",8&lt;='Resource Planner'!$N$32),'Resource Planner'!$D$32,"")</f>
        <v/>
      </c>
      <c r="E1112" s="163" t="str">
        <f>IF(AND('Resource Planner'!$A$32="☑",8&lt;='Resource Planner'!$N$32),'Resource Planner'!$E$32,"")</f>
        <v/>
      </c>
      <c r="F1112" s="163" t="str">
        <f>IF(AND('Resource Planner'!$A$32="☑",8&lt;='Resource Planner'!$N$32),'Resource Planner'!$F$32&amp;" "&amp;('Resource Planner'!$G$32+(8-1)*'Resource Planner'!$I$32)&amp;IF(('Resource Planner'!$G$32+(8-1)*'Resource Planner'!$I$32)=MIN('Resource Planner'!$G$32+8*'Resource Planner'!$I$32-1,'Resource Planner'!$H$32),"","–"&amp;MIN('Resource Planner'!$G$32+8*'Resource Planner'!$I$32-1,'Resource Planner'!$H$32)),"")</f>
        <v/>
      </c>
      <c r="G1112" s="163" t="s">
        <v>109</v>
      </c>
      <c r="H1112" s="163" t="str">
        <f>IF(AND('Resource Planner'!$A$32="☑",8&lt;='Resource Planner'!$N$32),'Resource Planner'!$M$32,"")</f>
        <v/>
      </c>
    </row>
    <row r="1113" ht="15.75" customHeight="1">
      <c r="A11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3" s="163" t="str">
        <f>IF(AND('Resource Planner'!$A$32="☑",9&lt;='Resource Planner'!$N$32),'Resource Planner'!$C$32,"")</f>
        <v/>
      </c>
      <c r="C1113" s="163" t="str">
        <f>IF(AND('Resource Planner'!$A$32="☑",9&lt;='Resource Planner'!$N$32),'Resource Planner'!$B$32,"")</f>
        <v/>
      </c>
      <c r="D1113" s="163" t="str">
        <f>IF(AND('Resource Planner'!$A$32="☑",9&lt;='Resource Planner'!$N$32),'Resource Planner'!$D$32,"")</f>
        <v/>
      </c>
      <c r="E1113" s="163" t="str">
        <f>IF(AND('Resource Planner'!$A$32="☑",9&lt;='Resource Planner'!$N$32),'Resource Planner'!$E$32,"")</f>
        <v/>
      </c>
      <c r="F1113" s="163" t="str">
        <f>IF(AND('Resource Planner'!$A$32="☑",9&lt;='Resource Planner'!$N$32),'Resource Planner'!$F$32&amp;" "&amp;('Resource Planner'!$G$32+(9-1)*'Resource Planner'!$I$32)&amp;IF(('Resource Planner'!$G$32+(9-1)*'Resource Planner'!$I$32)=MIN('Resource Planner'!$G$32+9*'Resource Planner'!$I$32-1,'Resource Planner'!$H$32),"","–"&amp;MIN('Resource Planner'!$G$32+9*'Resource Planner'!$I$32-1,'Resource Planner'!$H$32)),"")</f>
        <v/>
      </c>
      <c r="G1113" s="163" t="s">
        <v>109</v>
      </c>
      <c r="H1113" s="163" t="str">
        <f>IF(AND('Resource Planner'!$A$32="☑",9&lt;='Resource Planner'!$N$32),'Resource Planner'!$M$32,"")</f>
        <v/>
      </c>
    </row>
    <row r="1114" ht="15.75" customHeight="1">
      <c r="A11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4" s="163" t="str">
        <f>IF(AND('Resource Planner'!$A$32="☑",10&lt;='Resource Planner'!$N$32),'Resource Planner'!$C$32,"")</f>
        <v/>
      </c>
      <c r="C1114" s="163" t="str">
        <f>IF(AND('Resource Planner'!$A$32="☑",10&lt;='Resource Planner'!$N$32),'Resource Planner'!$B$32,"")</f>
        <v/>
      </c>
      <c r="D1114" s="163" t="str">
        <f>IF(AND('Resource Planner'!$A$32="☑",10&lt;='Resource Planner'!$N$32),'Resource Planner'!$D$32,"")</f>
        <v/>
      </c>
      <c r="E1114" s="163" t="str">
        <f>IF(AND('Resource Planner'!$A$32="☑",10&lt;='Resource Planner'!$N$32),'Resource Planner'!$E$32,"")</f>
        <v/>
      </c>
      <c r="F1114" s="163" t="str">
        <f>IF(AND('Resource Planner'!$A$32="☑",10&lt;='Resource Planner'!$N$32),'Resource Planner'!$F$32&amp;" "&amp;('Resource Planner'!$G$32+(10-1)*'Resource Planner'!$I$32)&amp;IF(('Resource Planner'!$G$32+(10-1)*'Resource Planner'!$I$32)=MIN('Resource Planner'!$G$32+10*'Resource Planner'!$I$32-1,'Resource Planner'!$H$32),"","–"&amp;MIN('Resource Planner'!$G$32+10*'Resource Planner'!$I$32-1,'Resource Planner'!$H$32)),"")</f>
        <v/>
      </c>
      <c r="G1114" s="163" t="s">
        <v>109</v>
      </c>
      <c r="H1114" s="163" t="str">
        <f>IF(AND('Resource Planner'!$A$32="☑",10&lt;='Resource Planner'!$N$32),'Resource Planner'!$M$32,"")</f>
        <v/>
      </c>
    </row>
    <row r="1115" ht="15.75" customHeight="1">
      <c r="A11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5" s="163" t="str">
        <f>IF(AND('Resource Planner'!$A$32="☑",11&lt;='Resource Planner'!$N$32),'Resource Planner'!$C$32,"")</f>
        <v/>
      </c>
      <c r="C1115" s="163" t="str">
        <f>IF(AND('Resource Planner'!$A$32="☑",11&lt;='Resource Planner'!$N$32),'Resource Planner'!$B$32,"")</f>
        <v/>
      </c>
      <c r="D1115" s="163" t="str">
        <f>IF(AND('Resource Planner'!$A$32="☑",11&lt;='Resource Planner'!$N$32),'Resource Planner'!$D$32,"")</f>
        <v/>
      </c>
      <c r="E1115" s="163" t="str">
        <f>IF(AND('Resource Planner'!$A$32="☑",11&lt;='Resource Planner'!$N$32),'Resource Planner'!$E$32,"")</f>
        <v/>
      </c>
      <c r="F1115" s="163" t="str">
        <f>IF(AND('Resource Planner'!$A$32="☑",11&lt;='Resource Planner'!$N$32),'Resource Planner'!$F$32&amp;" "&amp;('Resource Planner'!$G$32+(11-1)*'Resource Planner'!$I$32)&amp;IF(('Resource Planner'!$G$32+(11-1)*'Resource Planner'!$I$32)=MIN('Resource Planner'!$G$32+11*'Resource Planner'!$I$32-1,'Resource Planner'!$H$32),"","–"&amp;MIN('Resource Planner'!$G$32+11*'Resource Planner'!$I$32-1,'Resource Planner'!$H$32)),"")</f>
        <v/>
      </c>
      <c r="G1115" s="163" t="s">
        <v>109</v>
      </c>
      <c r="H1115" s="163" t="str">
        <f>IF(AND('Resource Planner'!$A$32="☑",11&lt;='Resource Planner'!$N$32),'Resource Planner'!$M$32,"")</f>
        <v/>
      </c>
    </row>
    <row r="1116" ht="15.75" customHeight="1">
      <c r="A11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6" s="163" t="str">
        <f>IF(AND('Resource Planner'!$A$32="☑",12&lt;='Resource Planner'!$N$32),'Resource Planner'!$C$32,"")</f>
        <v/>
      </c>
      <c r="C1116" s="163" t="str">
        <f>IF(AND('Resource Planner'!$A$32="☑",12&lt;='Resource Planner'!$N$32),'Resource Planner'!$B$32,"")</f>
        <v/>
      </c>
      <c r="D1116" s="163" t="str">
        <f>IF(AND('Resource Planner'!$A$32="☑",12&lt;='Resource Planner'!$N$32),'Resource Planner'!$D$32,"")</f>
        <v/>
      </c>
      <c r="E1116" s="163" t="str">
        <f>IF(AND('Resource Planner'!$A$32="☑",12&lt;='Resource Planner'!$N$32),'Resource Planner'!$E$32,"")</f>
        <v/>
      </c>
      <c r="F1116" s="163" t="str">
        <f>IF(AND('Resource Planner'!$A$32="☑",12&lt;='Resource Planner'!$N$32),'Resource Planner'!$F$32&amp;" "&amp;('Resource Planner'!$G$32+(12-1)*'Resource Planner'!$I$32)&amp;IF(('Resource Planner'!$G$32+(12-1)*'Resource Planner'!$I$32)=MIN('Resource Planner'!$G$32+12*'Resource Planner'!$I$32-1,'Resource Planner'!$H$32),"","–"&amp;MIN('Resource Planner'!$G$32+12*'Resource Planner'!$I$32-1,'Resource Planner'!$H$32)),"")</f>
        <v/>
      </c>
      <c r="G1116" s="163" t="s">
        <v>109</v>
      </c>
      <c r="H1116" s="163" t="str">
        <f>IF(AND('Resource Planner'!$A$32="☑",12&lt;='Resource Planner'!$N$32),'Resource Planner'!$M$32,"")</f>
        <v/>
      </c>
    </row>
    <row r="1117" ht="15.75" customHeight="1">
      <c r="A11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7" s="163" t="str">
        <f>IF(AND('Resource Planner'!$A$32="☑",13&lt;='Resource Planner'!$N$32),'Resource Planner'!$C$32,"")</f>
        <v/>
      </c>
      <c r="C1117" s="163" t="str">
        <f>IF(AND('Resource Planner'!$A$32="☑",13&lt;='Resource Planner'!$N$32),'Resource Planner'!$B$32,"")</f>
        <v/>
      </c>
      <c r="D1117" s="163" t="str">
        <f>IF(AND('Resource Planner'!$A$32="☑",13&lt;='Resource Planner'!$N$32),'Resource Planner'!$D$32,"")</f>
        <v/>
      </c>
      <c r="E1117" s="163" t="str">
        <f>IF(AND('Resource Planner'!$A$32="☑",13&lt;='Resource Planner'!$N$32),'Resource Planner'!$E$32,"")</f>
        <v/>
      </c>
      <c r="F1117" s="163" t="str">
        <f>IF(AND('Resource Planner'!$A$32="☑",13&lt;='Resource Planner'!$N$32),'Resource Planner'!$F$32&amp;" "&amp;('Resource Planner'!$G$32+(13-1)*'Resource Planner'!$I$32)&amp;IF(('Resource Planner'!$G$32+(13-1)*'Resource Planner'!$I$32)=MIN('Resource Planner'!$G$32+13*'Resource Planner'!$I$32-1,'Resource Planner'!$H$32),"","–"&amp;MIN('Resource Planner'!$G$32+13*'Resource Planner'!$I$32-1,'Resource Planner'!$H$32)),"")</f>
        <v/>
      </c>
      <c r="G1117" s="163" t="s">
        <v>109</v>
      </c>
      <c r="H1117" s="163" t="str">
        <f>IF(AND('Resource Planner'!$A$32="☑",13&lt;='Resource Planner'!$N$32),'Resource Planner'!$M$32,"")</f>
        <v/>
      </c>
    </row>
    <row r="1118" ht="15.75" customHeight="1">
      <c r="A11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8" s="163" t="str">
        <f>IF(AND('Resource Planner'!$A$32="☑",14&lt;='Resource Planner'!$N$32),'Resource Planner'!$C$32,"")</f>
        <v/>
      </c>
      <c r="C1118" s="163" t="str">
        <f>IF(AND('Resource Planner'!$A$32="☑",14&lt;='Resource Planner'!$N$32),'Resource Planner'!$B$32,"")</f>
        <v/>
      </c>
      <c r="D1118" s="163" t="str">
        <f>IF(AND('Resource Planner'!$A$32="☑",14&lt;='Resource Planner'!$N$32),'Resource Planner'!$D$32,"")</f>
        <v/>
      </c>
      <c r="E1118" s="163" t="str">
        <f>IF(AND('Resource Planner'!$A$32="☑",14&lt;='Resource Planner'!$N$32),'Resource Planner'!$E$32,"")</f>
        <v/>
      </c>
      <c r="F1118" s="163" t="str">
        <f>IF(AND('Resource Planner'!$A$32="☑",14&lt;='Resource Planner'!$N$32),'Resource Planner'!$F$32&amp;" "&amp;('Resource Planner'!$G$32+(14-1)*'Resource Planner'!$I$32)&amp;IF(('Resource Planner'!$G$32+(14-1)*'Resource Planner'!$I$32)=MIN('Resource Planner'!$G$32+14*'Resource Planner'!$I$32-1,'Resource Planner'!$H$32),"","–"&amp;MIN('Resource Planner'!$G$32+14*'Resource Planner'!$I$32-1,'Resource Planner'!$H$32)),"")</f>
        <v/>
      </c>
      <c r="G1118" s="163" t="s">
        <v>109</v>
      </c>
      <c r="H1118" s="163" t="str">
        <f>IF(AND('Resource Planner'!$A$32="☑",14&lt;='Resource Planner'!$N$32),'Resource Planner'!$M$32,"")</f>
        <v/>
      </c>
    </row>
    <row r="1119" ht="15.75" customHeight="1">
      <c r="A11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19" s="163" t="str">
        <f>IF(AND('Resource Planner'!$A$32="☑",15&lt;='Resource Planner'!$N$32),'Resource Planner'!$C$32,"")</f>
        <v/>
      </c>
      <c r="C1119" s="163" t="str">
        <f>IF(AND('Resource Planner'!$A$32="☑",15&lt;='Resource Planner'!$N$32),'Resource Planner'!$B$32,"")</f>
        <v/>
      </c>
      <c r="D1119" s="163" t="str">
        <f>IF(AND('Resource Planner'!$A$32="☑",15&lt;='Resource Planner'!$N$32),'Resource Planner'!$D$32,"")</f>
        <v/>
      </c>
      <c r="E1119" s="163" t="str">
        <f>IF(AND('Resource Planner'!$A$32="☑",15&lt;='Resource Planner'!$N$32),'Resource Planner'!$E$32,"")</f>
        <v/>
      </c>
      <c r="F1119" s="163" t="str">
        <f>IF(AND('Resource Planner'!$A$32="☑",15&lt;='Resource Planner'!$N$32),'Resource Planner'!$F$32&amp;" "&amp;('Resource Planner'!$G$32+(15-1)*'Resource Planner'!$I$32)&amp;IF(('Resource Planner'!$G$32+(15-1)*'Resource Planner'!$I$32)=MIN('Resource Planner'!$G$32+15*'Resource Planner'!$I$32-1,'Resource Planner'!$H$32),"","–"&amp;MIN('Resource Planner'!$G$32+15*'Resource Planner'!$I$32-1,'Resource Planner'!$H$32)),"")</f>
        <v/>
      </c>
      <c r="G1119" s="163" t="s">
        <v>109</v>
      </c>
      <c r="H1119" s="163" t="str">
        <f>IF(AND('Resource Planner'!$A$32="☑",15&lt;='Resource Planner'!$N$32),'Resource Planner'!$M$32,"")</f>
        <v/>
      </c>
    </row>
    <row r="1120" ht="15.75" customHeight="1">
      <c r="A11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0" s="163" t="str">
        <f>IF(AND('Resource Planner'!$A$32="☑",16&lt;='Resource Planner'!$N$32),'Resource Planner'!$C$32,"")</f>
        <v/>
      </c>
      <c r="C1120" s="163" t="str">
        <f>IF(AND('Resource Planner'!$A$32="☑",16&lt;='Resource Planner'!$N$32),'Resource Planner'!$B$32,"")</f>
        <v/>
      </c>
      <c r="D1120" s="163" t="str">
        <f>IF(AND('Resource Planner'!$A$32="☑",16&lt;='Resource Planner'!$N$32),'Resource Planner'!$D$32,"")</f>
        <v/>
      </c>
      <c r="E1120" s="163" t="str">
        <f>IF(AND('Resource Planner'!$A$32="☑",16&lt;='Resource Planner'!$N$32),'Resource Planner'!$E$32,"")</f>
        <v/>
      </c>
      <c r="F1120" s="163" t="str">
        <f>IF(AND('Resource Planner'!$A$32="☑",16&lt;='Resource Planner'!$N$32),'Resource Planner'!$F$32&amp;" "&amp;('Resource Planner'!$G$32+(16-1)*'Resource Planner'!$I$32)&amp;IF(('Resource Planner'!$G$32+(16-1)*'Resource Planner'!$I$32)=MIN('Resource Planner'!$G$32+16*'Resource Planner'!$I$32-1,'Resource Planner'!$H$32),"","–"&amp;MIN('Resource Planner'!$G$32+16*'Resource Planner'!$I$32-1,'Resource Planner'!$H$32)),"")</f>
        <v/>
      </c>
      <c r="G1120" s="163" t="s">
        <v>109</v>
      </c>
      <c r="H1120" s="163" t="str">
        <f>IF(AND('Resource Planner'!$A$32="☑",16&lt;='Resource Planner'!$N$32),'Resource Planner'!$M$32,"")</f>
        <v/>
      </c>
    </row>
    <row r="1121" ht="15.75" customHeight="1">
      <c r="A11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1" s="163" t="str">
        <f>IF(AND('Resource Planner'!$A$32="☑",17&lt;='Resource Planner'!$N$32),'Resource Planner'!$C$32,"")</f>
        <v/>
      </c>
      <c r="C1121" s="163" t="str">
        <f>IF(AND('Resource Planner'!$A$32="☑",17&lt;='Resource Planner'!$N$32),'Resource Planner'!$B$32,"")</f>
        <v/>
      </c>
      <c r="D1121" s="163" t="str">
        <f>IF(AND('Resource Planner'!$A$32="☑",17&lt;='Resource Planner'!$N$32),'Resource Planner'!$D$32,"")</f>
        <v/>
      </c>
      <c r="E1121" s="163" t="str">
        <f>IF(AND('Resource Planner'!$A$32="☑",17&lt;='Resource Planner'!$N$32),'Resource Planner'!$E$32,"")</f>
        <v/>
      </c>
      <c r="F1121" s="163" t="str">
        <f>IF(AND('Resource Planner'!$A$32="☑",17&lt;='Resource Planner'!$N$32),'Resource Planner'!$F$32&amp;" "&amp;('Resource Planner'!$G$32+(17-1)*'Resource Planner'!$I$32)&amp;IF(('Resource Planner'!$G$32+(17-1)*'Resource Planner'!$I$32)=MIN('Resource Planner'!$G$32+17*'Resource Planner'!$I$32-1,'Resource Planner'!$H$32),"","–"&amp;MIN('Resource Planner'!$G$32+17*'Resource Planner'!$I$32-1,'Resource Planner'!$H$32)),"")</f>
        <v/>
      </c>
      <c r="G1121" s="163" t="s">
        <v>109</v>
      </c>
      <c r="H1121" s="163" t="str">
        <f>IF(AND('Resource Planner'!$A$32="☑",17&lt;='Resource Planner'!$N$32),'Resource Planner'!$M$32,"")</f>
        <v/>
      </c>
    </row>
    <row r="1122" ht="15.75" customHeight="1">
      <c r="A11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2" s="163" t="str">
        <f>IF(AND('Resource Planner'!$A$32="☑",18&lt;='Resource Planner'!$N$32),'Resource Planner'!$C$32,"")</f>
        <v/>
      </c>
      <c r="C1122" s="163" t="str">
        <f>IF(AND('Resource Planner'!$A$32="☑",18&lt;='Resource Planner'!$N$32),'Resource Planner'!$B$32,"")</f>
        <v/>
      </c>
      <c r="D1122" s="163" t="str">
        <f>IF(AND('Resource Planner'!$A$32="☑",18&lt;='Resource Planner'!$N$32),'Resource Planner'!$D$32,"")</f>
        <v/>
      </c>
      <c r="E1122" s="163" t="str">
        <f>IF(AND('Resource Planner'!$A$32="☑",18&lt;='Resource Planner'!$N$32),'Resource Planner'!$E$32,"")</f>
        <v/>
      </c>
      <c r="F1122" s="163" t="str">
        <f>IF(AND('Resource Planner'!$A$32="☑",18&lt;='Resource Planner'!$N$32),'Resource Planner'!$F$32&amp;" "&amp;('Resource Planner'!$G$32+(18-1)*'Resource Planner'!$I$32)&amp;IF(('Resource Planner'!$G$32+(18-1)*'Resource Planner'!$I$32)=MIN('Resource Planner'!$G$32+18*'Resource Planner'!$I$32-1,'Resource Planner'!$H$32),"","–"&amp;MIN('Resource Planner'!$G$32+18*'Resource Planner'!$I$32-1,'Resource Planner'!$H$32)),"")</f>
        <v/>
      </c>
      <c r="G1122" s="163" t="s">
        <v>109</v>
      </c>
      <c r="H1122" s="163" t="str">
        <f>IF(AND('Resource Planner'!$A$32="☑",18&lt;='Resource Planner'!$N$32),'Resource Planner'!$M$32,"")</f>
        <v/>
      </c>
    </row>
    <row r="1123" ht="15.75" customHeight="1">
      <c r="A11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3" s="163" t="str">
        <f>IF(AND('Resource Planner'!$A$32="☑",19&lt;='Resource Planner'!$N$32),'Resource Planner'!$C$32,"")</f>
        <v/>
      </c>
      <c r="C1123" s="163" t="str">
        <f>IF(AND('Resource Planner'!$A$32="☑",19&lt;='Resource Planner'!$N$32),'Resource Planner'!$B$32,"")</f>
        <v/>
      </c>
      <c r="D1123" s="163" t="str">
        <f>IF(AND('Resource Planner'!$A$32="☑",19&lt;='Resource Planner'!$N$32),'Resource Planner'!$D$32,"")</f>
        <v/>
      </c>
      <c r="E1123" s="163" t="str">
        <f>IF(AND('Resource Planner'!$A$32="☑",19&lt;='Resource Planner'!$N$32),'Resource Planner'!$E$32,"")</f>
        <v/>
      </c>
      <c r="F1123" s="163" t="str">
        <f>IF(AND('Resource Planner'!$A$32="☑",19&lt;='Resource Planner'!$N$32),'Resource Planner'!$F$32&amp;" "&amp;('Resource Planner'!$G$32+(19-1)*'Resource Planner'!$I$32)&amp;IF(('Resource Planner'!$G$32+(19-1)*'Resource Planner'!$I$32)=MIN('Resource Planner'!$G$32+19*'Resource Planner'!$I$32-1,'Resource Planner'!$H$32),"","–"&amp;MIN('Resource Planner'!$G$32+19*'Resource Planner'!$I$32-1,'Resource Planner'!$H$32)),"")</f>
        <v/>
      </c>
      <c r="G1123" s="163" t="s">
        <v>109</v>
      </c>
      <c r="H1123" s="163" t="str">
        <f>IF(AND('Resource Planner'!$A$32="☑",19&lt;='Resource Planner'!$N$32),'Resource Planner'!$M$32,"")</f>
        <v/>
      </c>
    </row>
    <row r="1124" ht="15.75" customHeight="1">
      <c r="A11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4" s="163" t="str">
        <f>IF(AND('Resource Planner'!$A$32="☑",20&lt;='Resource Planner'!$N$32),'Resource Planner'!$C$32,"")</f>
        <v/>
      </c>
      <c r="C1124" s="163" t="str">
        <f>IF(AND('Resource Planner'!$A$32="☑",20&lt;='Resource Planner'!$N$32),'Resource Planner'!$B$32,"")</f>
        <v/>
      </c>
      <c r="D1124" s="163" t="str">
        <f>IF(AND('Resource Planner'!$A$32="☑",20&lt;='Resource Planner'!$N$32),'Resource Planner'!$D$32,"")</f>
        <v/>
      </c>
      <c r="E1124" s="163" t="str">
        <f>IF(AND('Resource Planner'!$A$32="☑",20&lt;='Resource Planner'!$N$32),'Resource Planner'!$E$32,"")</f>
        <v/>
      </c>
      <c r="F1124" s="163" t="str">
        <f>IF(AND('Resource Planner'!$A$32="☑",20&lt;='Resource Planner'!$N$32),'Resource Planner'!$F$32&amp;" "&amp;('Resource Planner'!$G$32+(20-1)*'Resource Planner'!$I$32)&amp;IF(('Resource Planner'!$G$32+(20-1)*'Resource Planner'!$I$32)=MIN('Resource Planner'!$G$32+20*'Resource Planner'!$I$32-1,'Resource Planner'!$H$32),"","–"&amp;MIN('Resource Planner'!$G$32+20*'Resource Planner'!$I$32-1,'Resource Planner'!$H$32)),"")</f>
        <v/>
      </c>
      <c r="G1124" s="163" t="s">
        <v>109</v>
      </c>
      <c r="H1124" s="163" t="str">
        <f>IF(AND('Resource Planner'!$A$32="☑",20&lt;='Resource Planner'!$N$32),'Resource Planner'!$M$32,"")</f>
        <v/>
      </c>
    </row>
    <row r="1125" ht="15.75" customHeight="1">
      <c r="A11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5" s="163" t="str">
        <f>IF(AND('Resource Planner'!$A$32="☑",21&lt;='Resource Planner'!$N$32),'Resource Planner'!$C$32,"")</f>
        <v/>
      </c>
      <c r="C1125" s="163" t="str">
        <f>IF(AND('Resource Planner'!$A$32="☑",21&lt;='Resource Planner'!$N$32),'Resource Planner'!$B$32,"")</f>
        <v/>
      </c>
      <c r="D1125" s="163" t="str">
        <f>IF(AND('Resource Planner'!$A$32="☑",21&lt;='Resource Planner'!$N$32),'Resource Planner'!$D$32,"")</f>
        <v/>
      </c>
      <c r="E1125" s="163" t="str">
        <f>IF(AND('Resource Planner'!$A$32="☑",21&lt;='Resource Planner'!$N$32),'Resource Planner'!$E$32,"")</f>
        <v/>
      </c>
      <c r="F1125" s="163" t="str">
        <f>IF(AND('Resource Planner'!$A$32="☑",21&lt;='Resource Planner'!$N$32),'Resource Planner'!$F$32&amp;" "&amp;('Resource Planner'!$G$32+(21-1)*'Resource Planner'!$I$32)&amp;IF(('Resource Planner'!$G$32+(21-1)*'Resource Planner'!$I$32)=MIN('Resource Planner'!$G$32+21*'Resource Planner'!$I$32-1,'Resource Planner'!$H$32),"","–"&amp;MIN('Resource Planner'!$G$32+21*'Resource Planner'!$I$32-1,'Resource Planner'!$H$32)),"")</f>
        <v/>
      </c>
      <c r="G1125" s="163" t="s">
        <v>109</v>
      </c>
      <c r="H1125" s="163" t="str">
        <f>IF(AND('Resource Planner'!$A$32="☑",21&lt;='Resource Planner'!$N$32),'Resource Planner'!$M$32,"")</f>
        <v/>
      </c>
    </row>
    <row r="1126" ht="15.75" customHeight="1">
      <c r="A11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6" s="163" t="str">
        <f>IF(AND('Resource Planner'!$A$32="☑",22&lt;='Resource Planner'!$N$32),'Resource Planner'!$C$32,"")</f>
        <v/>
      </c>
      <c r="C1126" s="163" t="str">
        <f>IF(AND('Resource Planner'!$A$32="☑",22&lt;='Resource Planner'!$N$32),'Resource Planner'!$B$32,"")</f>
        <v/>
      </c>
      <c r="D1126" s="163" t="str">
        <f>IF(AND('Resource Planner'!$A$32="☑",22&lt;='Resource Planner'!$N$32),'Resource Planner'!$D$32,"")</f>
        <v/>
      </c>
      <c r="E1126" s="163" t="str">
        <f>IF(AND('Resource Planner'!$A$32="☑",22&lt;='Resource Planner'!$N$32),'Resource Planner'!$E$32,"")</f>
        <v/>
      </c>
      <c r="F1126" s="163" t="str">
        <f>IF(AND('Resource Planner'!$A$32="☑",22&lt;='Resource Planner'!$N$32),'Resource Planner'!$F$32&amp;" "&amp;('Resource Planner'!$G$32+(22-1)*'Resource Planner'!$I$32)&amp;IF(('Resource Planner'!$G$32+(22-1)*'Resource Planner'!$I$32)=MIN('Resource Planner'!$G$32+22*'Resource Planner'!$I$32-1,'Resource Planner'!$H$32),"","–"&amp;MIN('Resource Planner'!$G$32+22*'Resource Planner'!$I$32-1,'Resource Planner'!$H$32)),"")</f>
        <v/>
      </c>
      <c r="G1126" s="163" t="s">
        <v>109</v>
      </c>
      <c r="H1126" s="163" t="str">
        <f>IF(AND('Resource Planner'!$A$32="☑",22&lt;='Resource Planner'!$N$32),'Resource Planner'!$M$32,"")</f>
        <v/>
      </c>
    </row>
    <row r="1127" ht="15.75" customHeight="1">
      <c r="A11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7" s="163" t="str">
        <f>IF(AND('Resource Planner'!$A$32="☑",23&lt;='Resource Planner'!$N$32),'Resource Planner'!$C$32,"")</f>
        <v/>
      </c>
      <c r="C1127" s="163" t="str">
        <f>IF(AND('Resource Planner'!$A$32="☑",23&lt;='Resource Planner'!$N$32),'Resource Planner'!$B$32,"")</f>
        <v/>
      </c>
      <c r="D1127" s="163" t="str">
        <f>IF(AND('Resource Planner'!$A$32="☑",23&lt;='Resource Planner'!$N$32),'Resource Planner'!$D$32,"")</f>
        <v/>
      </c>
      <c r="E1127" s="163" t="str">
        <f>IF(AND('Resource Planner'!$A$32="☑",23&lt;='Resource Planner'!$N$32),'Resource Planner'!$E$32,"")</f>
        <v/>
      </c>
      <c r="F1127" s="163" t="str">
        <f>IF(AND('Resource Planner'!$A$32="☑",23&lt;='Resource Planner'!$N$32),'Resource Planner'!$F$32&amp;" "&amp;('Resource Planner'!$G$32+(23-1)*'Resource Planner'!$I$32)&amp;IF(('Resource Planner'!$G$32+(23-1)*'Resource Planner'!$I$32)=MIN('Resource Planner'!$G$32+23*'Resource Planner'!$I$32-1,'Resource Planner'!$H$32),"","–"&amp;MIN('Resource Planner'!$G$32+23*'Resource Planner'!$I$32-1,'Resource Planner'!$H$32)),"")</f>
        <v/>
      </c>
      <c r="G1127" s="163" t="s">
        <v>109</v>
      </c>
      <c r="H1127" s="163" t="str">
        <f>IF(AND('Resource Planner'!$A$32="☑",23&lt;='Resource Planner'!$N$32),'Resource Planner'!$M$32,"")</f>
        <v/>
      </c>
    </row>
    <row r="1128" ht="15.75" customHeight="1">
      <c r="A11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8" s="163" t="str">
        <f>IF(AND('Resource Planner'!$A$32="☑",24&lt;='Resource Planner'!$N$32),'Resource Planner'!$C$32,"")</f>
        <v/>
      </c>
      <c r="C1128" s="163" t="str">
        <f>IF(AND('Resource Planner'!$A$32="☑",24&lt;='Resource Planner'!$N$32),'Resource Planner'!$B$32,"")</f>
        <v/>
      </c>
      <c r="D1128" s="163" t="str">
        <f>IF(AND('Resource Planner'!$A$32="☑",24&lt;='Resource Planner'!$N$32),'Resource Planner'!$D$32,"")</f>
        <v/>
      </c>
      <c r="E1128" s="163" t="str">
        <f>IF(AND('Resource Planner'!$A$32="☑",24&lt;='Resource Planner'!$N$32),'Resource Planner'!$E$32,"")</f>
        <v/>
      </c>
      <c r="F1128" s="163" t="str">
        <f>IF(AND('Resource Planner'!$A$32="☑",24&lt;='Resource Planner'!$N$32),'Resource Planner'!$F$32&amp;" "&amp;('Resource Planner'!$G$32+(24-1)*'Resource Planner'!$I$32)&amp;IF(('Resource Planner'!$G$32+(24-1)*'Resource Planner'!$I$32)=MIN('Resource Planner'!$G$32+24*'Resource Planner'!$I$32-1,'Resource Planner'!$H$32),"","–"&amp;MIN('Resource Planner'!$G$32+24*'Resource Planner'!$I$32-1,'Resource Planner'!$H$32)),"")</f>
        <v/>
      </c>
      <c r="G1128" s="163" t="s">
        <v>109</v>
      </c>
      <c r="H1128" s="163" t="str">
        <f>IF(AND('Resource Planner'!$A$32="☑",24&lt;='Resource Planner'!$N$32),'Resource Planner'!$M$32,"")</f>
        <v/>
      </c>
    </row>
    <row r="1129" ht="15.75" customHeight="1">
      <c r="A11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29" s="163" t="str">
        <f>IF(AND('Resource Planner'!$A$32="☑",25&lt;='Resource Planner'!$N$32),'Resource Planner'!$C$32,"")</f>
        <v/>
      </c>
      <c r="C1129" s="163" t="str">
        <f>IF(AND('Resource Planner'!$A$32="☑",25&lt;='Resource Planner'!$N$32),'Resource Planner'!$B$32,"")</f>
        <v/>
      </c>
      <c r="D1129" s="163" t="str">
        <f>IF(AND('Resource Planner'!$A$32="☑",25&lt;='Resource Planner'!$N$32),'Resource Planner'!$D$32,"")</f>
        <v/>
      </c>
      <c r="E1129" s="163" t="str">
        <f>IF(AND('Resource Planner'!$A$32="☑",25&lt;='Resource Planner'!$N$32),'Resource Planner'!$E$32,"")</f>
        <v/>
      </c>
      <c r="F1129" s="163" t="str">
        <f>IF(AND('Resource Planner'!$A$32="☑",25&lt;='Resource Planner'!$N$32),'Resource Planner'!$F$32&amp;" "&amp;('Resource Planner'!$G$32+(25-1)*'Resource Planner'!$I$32)&amp;IF(('Resource Planner'!$G$32+(25-1)*'Resource Planner'!$I$32)=MIN('Resource Planner'!$G$32+25*'Resource Planner'!$I$32-1,'Resource Planner'!$H$32),"","–"&amp;MIN('Resource Planner'!$G$32+25*'Resource Planner'!$I$32-1,'Resource Planner'!$H$32)),"")</f>
        <v/>
      </c>
      <c r="G1129" s="163" t="s">
        <v>109</v>
      </c>
      <c r="H1129" s="163" t="str">
        <f>IF(AND('Resource Planner'!$A$32="☑",25&lt;='Resource Planner'!$N$32),'Resource Planner'!$M$32,"")</f>
        <v/>
      </c>
    </row>
    <row r="1130" ht="15.75" customHeight="1">
      <c r="A11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0" s="163" t="str">
        <f>IF(AND('Resource Planner'!$A$32="☑",26&lt;='Resource Planner'!$N$32),'Resource Planner'!$C$32,"")</f>
        <v/>
      </c>
      <c r="C1130" s="163" t="str">
        <f>IF(AND('Resource Planner'!$A$32="☑",26&lt;='Resource Planner'!$N$32),'Resource Planner'!$B$32,"")</f>
        <v/>
      </c>
      <c r="D1130" s="163" t="str">
        <f>IF(AND('Resource Planner'!$A$32="☑",26&lt;='Resource Planner'!$N$32),'Resource Planner'!$D$32,"")</f>
        <v/>
      </c>
      <c r="E1130" s="163" t="str">
        <f>IF(AND('Resource Planner'!$A$32="☑",26&lt;='Resource Planner'!$N$32),'Resource Planner'!$E$32,"")</f>
        <v/>
      </c>
      <c r="F1130" s="163" t="str">
        <f>IF(AND('Resource Planner'!$A$32="☑",26&lt;='Resource Planner'!$N$32),'Resource Planner'!$F$32&amp;" "&amp;('Resource Planner'!$G$32+(26-1)*'Resource Planner'!$I$32)&amp;IF(('Resource Planner'!$G$32+(26-1)*'Resource Planner'!$I$32)=MIN('Resource Planner'!$G$32+26*'Resource Planner'!$I$32-1,'Resource Planner'!$H$32),"","–"&amp;MIN('Resource Planner'!$G$32+26*'Resource Planner'!$I$32-1,'Resource Planner'!$H$32)),"")</f>
        <v/>
      </c>
      <c r="G1130" s="163" t="s">
        <v>109</v>
      </c>
      <c r="H1130" s="163" t="str">
        <f>IF(AND('Resource Planner'!$A$32="☑",26&lt;='Resource Planner'!$N$32),'Resource Planner'!$M$32,"")</f>
        <v/>
      </c>
    </row>
    <row r="1131" ht="15.75" customHeight="1">
      <c r="A11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1" s="163" t="str">
        <f>IF(AND('Resource Planner'!$A$32="☑",27&lt;='Resource Planner'!$N$32),'Resource Planner'!$C$32,"")</f>
        <v/>
      </c>
      <c r="C1131" s="163" t="str">
        <f>IF(AND('Resource Planner'!$A$32="☑",27&lt;='Resource Planner'!$N$32),'Resource Planner'!$B$32,"")</f>
        <v/>
      </c>
      <c r="D1131" s="163" t="str">
        <f>IF(AND('Resource Planner'!$A$32="☑",27&lt;='Resource Planner'!$N$32),'Resource Planner'!$D$32,"")</f>
        <v/>
      </c>
      <c r="E1131" s="163" t="str">
        <f>IF(AND('Resource Planner'!$A$32="☑",27&lt;='Resource Planner'!$N$32),'Resource Planner'!$E$32,"")</f>
        <v/>
      </c>
      <c r="F1131" s="163" t="str">
        <f>IF(AND('Resource Planner'!$A$32="☑",27&lt;='Resource Planner'!$N$32),'Resource Planner'!$F$32&amp;" "&amp;('Resource Planner'!$G$32+(27-1)*'Resource Planner'!$I$32)&amp;IF(('Resource Planner'!$G$32+(27-1)*'Resource Planner'!$I$32)=MIN('Resource Planner'!$G$32+27*'Resource Planner'!$I$32-1,'Resource Planner'!$H$32),"","–"&amp;MIN('Resource Planner'!$G$32+27*'Resource Planner'!$I$32-1,'Resource Planner'!$H$32)),"")</f>
        <v/>
      </c>
      <c r="G1131" s="163" t="s">
        <v>109</v>
      </c>
      <c r="H1131" s="163" t="str">
        <f>IF(AND('Resource Planner'!$A$32="☑",27&lt;='Resource Planner'!$N$32),'Resource Planner'!$M$32,"")</f>
        <v/>
      </c>
    </row>
    <row r="1132" ht="15.75" customHeight="1">
      <c r="A11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2" s="163" t="str">
        <f>IF(AND('Resource Planner'!$A$32="☑",28&lt;='Resource Planner'!$N$32),'Resource Planner'!$C$32,"")</f>
        <v/>
      </c>
      <c r="C1132" s="163" t="str">
        <f>IF(AND('Resource Planner'!$A$32="☑",28&lt;='Resource Planner'!$N$32),'Resource Planner'!$B$32,"")</f>
        <v/>
      </c>
      <c r="D1132" s="163" t="str">
        <f>IF(AND('Resource Planner'!$A$32="☑",28&lt;='Resource Planner'!$N$32),'Resource Planner'!$D$32,"")</f>
        <v/>
      </c>
      <c r="E1132" s="163" t="str">
        <f>IF(AND('Resource Planner'!$A$32="☑",28&lt;='Resource Planner'!$N$32),'Resource Planner'!$E$32,"")</f>
        <v/>
      </c>
      <c r="F1132" s="163" t="str">
        <f>IF(AND('Resource Planner'!$A$32="☑",28&lt;='Resource Planner'!$N$32),'Resource Planner'!$F$32&amp;" "&amp;('Resource Planner'!$G$32+(28-1)*'Resource Planner'!$I$32)&amp;IF(('Resource Planner'!$G$32+(28-1)*'Resource Planner'!$I$32)=MIN('Resource Planner'!$G$32+28*'Resource Planner'!$I$32-1,'Resource Planner'!$H$32),"","–"&amp;MIN('Resource Planner'!$G$32+28*'Resource Planner'!$I$32-1,'Resource Planner'!$H$32)),"")</f>
        <v/>
      </c>
      <c r="G1132" s="163" t="s">
        <v>109</v>
      </c>
      <c r="H1132" s="163" t="str">
        <f>IF(AND('Resource Planner'!$A$32="☑",28&lt;='Resource Planner'!$N$32),'Resource Planner'!$M$32,"")</f>
        <v/>
      </c>
    </row>
    <row r="1133" ht="15.75" customHeight="1">
      <c r="A11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3" s="163" t="str">
        <f>IF(AND('Resource Planner'!$A$32="☑",29&lt;='Resource Planner'!$N$32),'Resource Planner'!$C$32,"")</f>
        <v/>
      </c>
      <c r="C1133" s="163" t="str">
        <f>IF(AND('Resource Planner'!$A$32="☑",29&lt;='Resource Planner'!$N$32),'Resource Planner'!$B$32,"")</f>
        <v/>
      </c>
      <c r="D1133" s="163" t="str">
        <f>IF(AND('Resource Planner'!$A$32="☑",29&lt;='Resource Planner'!$N$32),'Resource Planner'!$D$32,"")</f>
        <v/>
      </c>
      <c r="E1133" s="163" t="str">
        <f>IF(AND('Resource Planner'!$A$32="☑",29&lt;='Resource Planner'!$N$32),'Resource Planner'!$E$32,"")</f>
        <v/>
      </c>
      <c r="F1133" s="163" t="str">
        <f>IF(AND('Resource Planner'!$A$32="☑",29&lt;='Resource Planner'!$N$32),'Resource Planner'!$F$32&amp;" "&amp;('Resource Planner'!$G$32+(29-1)*'Resource Planner'!$I$32)&amp;IF(('Resource Planner'!$G$32+(29-1)*'Resource Planner'!$I$32)=MIN('Resource Planner'!$G$32+29*'Resource Planner'!$I$32-1,'Resource Planner'!$H$32),"","–"&amp;MIN('Resource Planner'!$G$32+29*'Resource Planner'!$I$32-1,'Resource Planner'!$H$32)),"")</f>
        <v/>
      </c>
      <c r="G1133" s="163" t="s">
        <v>109</v>
      </c>
      <c r="H1133" s="163" t="str">
        <f>IF(AND('Resource Planner'!$A$32="☑",29&lt;='Resource Planner'!$N$32),'Resource Planner'!$M$32,"")</f>
        <v/>
      </c>
    </row>
    <row r="1134" ht="15.75" customHeight="1">
      <c r="A11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4" s="163" t="str">
        <f>IF(AND('Resource Planner'!$A$32="☑",30&lt;='Resource Planner'!$N$32),'Resource Planner'!$C$32,"")</f>
        <v/>
      </c>
      <c r="C1134" s="163" t="str">
        <f>IF(AND('Resource Planner'!$A$32="☑",30&lt;='Resource Planner'!$N$32),'Resource Planner'!$B$32,"")</f>
        <v/>
      </c>
      <c r="D1134" s="163" t="str">
        <f>IF(AND('Resource Planner'!$A$32="☑",30&lt;='Resource Planner'!$N$32),'Resource Planner'!$D$32,"")</f>
        <v/>
      </c>
      <c r="E1134" s="163" t="str">
        <f>IF(AND('Resource Planner'!$A$32="☑",30&lt;='Resource Planner'!$N$32),'Resource Planner'!$E$32,"")</f>
        <v/>
      </c>
      <c r="F1134" s="163" t="str">
        <f>IF(AND('Resource Planner'!$A$32="☑",30&lt;='Resource Planner'!$N$32),'Resource Planner'!$F$32&amp;" "&amp;('Resource Planner'!$G$32+(30-1)*'Resource Planner'!$I$32)&amp;IF(('Resource Planner'!$G$32+(30-1)*'Resource Planner'!$I$32)=MIN('Resource Planner'!$G$32+30*'Resource Planner'!$I$32-1,'Resource Planner'!$H$32),"","–"&amp;MIN('Resource Planner'!$G$32+30*'Resource Planner'!$I$32-1,'Resource Planner'!$H$32)),"")</f>
        <v/>
      </c>
      <c r="G1134" s="163" t="s">
        <v>109</v>
      </c>
      <c r="H1134" s="163" t="str">
        <f>IF(AND('Resource Planner'!$A$32="☑",30&lt;='Resource Planner'!$N$32),'Resource Planner'!$M$32,"")</f>
        <v/>
      </c>
    </row>
    <row r="1135" ht="15.75" customHeight="1">
      <c r="A11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5" s="163" t="str">
        <f>IF(AND('Resource Planner'!$A$32="☑",31&lt;='Resource Planner'!$N$32),'Resource Planner'!$C$32,"")</f>
        <v/>
      </c>
      <c r="C1135" s="163" t="str">
        <f>IF(AND('Resource Planner'!$A$32="☑",31&lt;='Resource Planner'!$N$32),'Resource Planner'!$B$32,"")</f>
        <v/>
      </c>
      <c r="D1135" s="163" t="str">
        <f>IF(AND('Resource Planner'!$A$32="☑",31&lt;='Resource Planner'!$N$32),'Resource Planner'!$D$32,"")</f>
        <v/>
      </c>
      <c r="E1135" s="163" t="str">
        <f>IF(AND('Resource Planner'!$A$32="☑",31&lt;='Resource Planner'!$N$32),'Resource Planner'!$E$32,"")</f>
        <v/>
      </c>
      <c r="F1135" s="163" t="str">
        <f>IF(AND('Resource Planner'!$A$32="☑",31&lt;='Resource Planner'!$N$32),'Resource Planner'!$F$32&amp;" "&amp;('Resource Planner'!$G$32+(31-1)*'Resource Planner'!$I$32)&amp;IF(('Resource Planner'!$G$32+(31-1)*'Resource Planner'!$I$32)=MIN('Resource Planner'!$G$32+31*'Resource Planner'!$I$32-1,'Resource Planner'!$H$32),"","–"&amp;MIN('Resource Planner'!$G$32+31*'Resource Planner'!$I$32-1,'Resource Planner'!$H$32)),"")</f>
        <v/>
      </c>
      <c r="G1135" s="163" t="s">
        <v>109</v>
      </c>
      <c r="H1135" s="163" t="str">
        <f>IF(AND('Resource Planner'!$A$32="☑",31&lt;='Resource Planner'!$N$32),'Resource Planner'!$M$32,"")</f>
        <v/>
      </c>
    </row>
    <row r="1136" ht="15.75" customHeight="1">
      <c r="A11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6" s="163" t="str">
        <f>IF(AND('Resource Planner'!$A$32="☑",32&lt;='Resource Planner'!$N$32),'Resource Planner'!$C$32,"")</f>
        <v/>
      </c>
      <c r="C1136" s="163" t="str">
        <f>IF(AND('Resource Planner'!$A$32="☑",32&lt;='Resource Planner'!$N$32),'Resource Planner'!$B$32,"")</f>
        <v/>
      </c>
      <c r="D1136" s="163" t="str">
        <f>IF(AND('Resource Planner'!$A$32="☑",32&lt;='Resource Planner'!$N$32),'Resource Planner'!$D$32,"")</f>
        <v/>
      </c>
      <c r="E1136" s="163" t="str">
        <f>IF(AND('Resource Planner'!$A$32="☑",32&lt;='Resource Planner'!$N$32),'Resource Planner'!$E$32,"")</f>
        <v/>
      </c>
      <c r="F1136" s="163" t="str">
        <f>IF(AND('Resource Planner'!$A$32="☑",32&lt;='Resource Planner'!$N$32),'Resource Planner'!$F$32&amp;" "&amp;('Resource Planner'!$G$32+(32-1)*'Resource Planner'!$I$32)&amp;IF(('Resource Planner'!$G$32+(32-1)*'Resource Planner'!$I$32)=MIN('Resource Planner'!$G$32+32*'Resource Planner'!$I$32-1,'Resource Planner'!$H$32),"","–"&amp;MIN('Resource Planner'!$G$32+32*'Resource Planner'!$I$32-1,'Resource Planner'!$H$32)),"")</f>
        <v/>
      </c>
      <c r="G1136" s="163" t="s">
        <v>109</v>
      </c>
      <c r="H1136" s="163" t="str">
        <f>IF(AND('Resource Planner'!$A$32="☑",32&lt;='Resource Planner'!$N$32),'Resource Planner'!$M$32,"")</f>
        <v/>
      </c>
    </row>
    <row r="1137" ht="15.75" customHeight="1">
      <c r="A11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7" s="163" t="str">
        <f>IF(AND('Resource Planner'!$A$32="☑",33&lt;='Resource Planner'!$N$32),'Resource Planner'!$C$32,"")</f>
        <v/>
      </c>
      <c r="C1137" s="163" t="str">
        <f>IF(AND('Resource Planner'!$A$32="☑",33&lt;='Resource Planner'!$N$32),'Resource Planner'!$B$32,"")</f>
        <v/>
      </c>
      <c r="D1137" s="163" t="str">
        <f>IF(AND('Resource Planner'!$A$32="☑",33&lt;='Resource Planner'!$N$32),'Resource Planner'!$D$32,"")</f>
        <v/>
      </c>
      <c r="E1137" s="163" t="str">
        <f>IF(AND('Resource Planner'!$A$32="☑",33&lt;='Resource Planner'!$N$32),'Resource Planner'!$E$32,"")</f>
        <v/>
      </c>
      <c r="F1137" s="163" t="str">
        <f>IF(AND('Resource Planner'!$A$32="☑",33&lt;='Resource Planner'!$N$32),'Resource Planner'!$F$32&amp;" "&amp;('Resource Planner'!$G$32+(33-1)*'Resource Planner'!$I$32)&amp;IF(('Resource Planner'!$G$32+(33-1)*'Resource Planner'!$I$32)=MIN('Resource Planner'!$G$32+33*'Resource Planner'!$I$32-1,'Resource Planner'!$H$32),"","–"&amp;MIN('Resource Planner'!$G$32+33*'Resource Planner'!$I$32-1,'Resource Planner'!$H$32)),"")</f>
        <v/>
      </c>
      <c r="G1137" s="163" t="s">
        <v>109</v>
      </c>
      <c r="H1137" s="163" t="str">
        <f>IF(AND('Resource Planner'!$A$32="☑",33&lt;='Resource Planner'!$N$32),'Resource Planner'!$M$32,"")</f>
        <v/>
      </c>
    </row>
    <row r="1138" ht="15.75" customHeight="1">
      <c r="A11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8" s="163" t="str">
        <f>IF(AND('Resource Planner'!$A$32="☑",34&lt;='Resource Planner'!$N$32),'Resource Planner'!$C$32,"")</f>
        <v/>
      </c>
      <c r="C1138" s="163" t="str">
        <f>IF(AND('Resource Planner'!$A$32="☑",34&lt;='Resource Planner'!$N$32),'Resource Planner'!$B$32,"")</f>
        <v/>
      </c>
      <c r="D1138" s="163" t="str">
        <f>IF(AND('Resource Planner'!$A$32="☑",34&lt;='Resource Planner'!$N$32),'Resource Planner'!$D$32,"")</f>
        <v/>
      </c>
      <c r="E1138" s="163" t="str">
        <f>IF(AND('Resource Planner'!$A$32="☑",34&lt;='Resource Planner'!$N$32),'Resource Planner'!$E$32,"")</f>
        <v/>
      </c>
      <c r="F1138" s="163" t="str">
        <f>IF(AND('Resource Planner'!$A$32="☑",34&lt;='Resource Planner'!$N$32),'Resource Planner'!$F$32&amp;" "&amp;('Resource Planner'!$G$32+(34-1)*'Resource Planner'!$I$32)&amp;IF(('Resource Planner'!$G$32+(34-1)*'Resource Planner'!$I$32)=MIN('Resource Planner'!$G$32+34*'Resource Planner'!$I$32-1,'Resource Planner'!$H$32),"","–"&amp;MIN('Resource Planner'!$G$32+34*'Resource Planner'!$I$32-1,'Resource Planner'!$H$32)),"")</f>
        <v/>
      </c>
      <c r="G1138" s="163" t="s">
        <v>109</v>
      </c>
      <c r="H1138" s="163" t="str">
        <f>IF(AND('Resource Planner'!$A$32="☑",34&lt;='Resource Planner'!$N$32),'Resource Planner'!$M$32,"")</f>
        <v/>
      </c>
    </row>
    <row r="1139" ht="15.75" customHeight="1">
      <c r="A11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39" s="163" t="str">
        <f>IF(AND('Resource Planner'!$A$32="☑",35&lt;='Resource Planner'!$N$32),'Resource Planner'!$C$32,"")</f>
        <v/>
      </c>
      <c r="C1139" s="163" t="str">
        <f>IF(AND('Resource Planner'!$A$32="☑",35&lt;='Resource Planner'!$N$32),'Resource Planner'!$B$32,"")</f>
        <v/>
      </c>
      <c r="D1139" s="163" t="str">
        <f>IF(AND('Resource Planner'!$A$32="☑",35&lt;='Resource Planner'!$N$32),'Resource Planner'!$D$32,"")</f>
        <v/>
      </c>
      <c r="E1139" s="163" t="str">
        <f>IF(AND('Resource Planner'!$A$32="☑",35&lt;='Resource Planner'!$N$32),'Resource Planner'!$E$32,"")</f>
        <v/>
      </c>
      <c r="F1139" s="163" t="str">
        <f>IF(AND('Resource Planner'!$A$32="☑",35&lt;='Resource Planner'!$N$32),'Resource Planner'!$F$32&amp;" "&amp;('Resource Planner'!$G$32+(35-1)*'Resource Planner'!$I$32)&amp;IF(('Resource Planner'!$G$32+(35-1)*'Resource Planner'!$I$32)=MIN('Resource Planner'!$G$32+35*'Resource Planner'!$I$32-1,'Resource Planner'!$H$32),"","–"&amp;MIN('Resource Planner'!$G$32+35*'Resource Planner'!$I$32-1,'Resource Planner'!$H$32)),"")</f>
        <v/>
      </c>
      <c r="G1139" s="163" t="s">
        <v>109</v>
      </c>
      <c r="H1139" s="163" t="str">
        <f>IF(AND('Resource Planner'!$A$32="☑",35&lt;='Resource Planner'!$N$32),'Resource Planner'!$M$32,"")</f>
        <v/>
      </c>
    </row>
    <row r="1140" ht="15.75" customHeight="1">
      <c r="A11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0" s="163" t="str">
        <f>IF(AND('Resource Planner'!$A$32="☑",36&lt;='Resource Planner'!$N$32),'Resource Planner'!$C$32,"")</f>
        <v/>
      </c>
      <c r="C1140" s="163" t="str">
        <f>IF(AND('Resource Planner'!$A$32="☑",36&lt;='Resource Planner'!$N$32),'Resource Planner'!$B$32,"")</f>
        <v/>
      </c>
      <c r="D1140" s="163" t="str">
        <f>IF(AND('Resource Planner'!$A$32="☑",36&lt;='Resource Planner'!$N$32),'Resource Planner'!$D$32,"")</f>
        <v/>
      </c>
      <c r="E1140" s="163" t="str">
        <f>IF(AND('Resource Planner'!$A$32="☑",36&lt;='Resource Planner'!$N$32),'Resource Planner'!$E$32,"")</f>
        <v/>
      </c>
      <c r="F1140" s="163" t="str">
        <f>IF(AND('Resource Planner'!$A$32="☑",36&lt;='Resource Planner'!$N$32),'Resource Planner'!$F$32&amp;" "&amp;('Resource Planner'!$G$32+(36-1)*'Resource Planner'!$I$32)&amp;IF(('Resource Planner'!$G$32+(36-1)*'Resource Planner'!$I$32)=MIN('Resource Planner'!$G$32+36*'Resource Planner'!$I$32-1,'Resource Planner'!$H$32),"","–"&amp;MIN('Resource Planner'!$G$32+36*'Resource Planner'!$I$32-1,'Resource Planner'!$H$32)),"")</f>
        <v/>
      </c>
      <c r="G1140" s="163" t="s">
        <v>109</v>
      </c>
      <c r="H1140" s="163" t="str">
        <f>IF(AND('Resource Planner'!$A$32="☑",36&lt;='Resource Planner'!$N$32),'Resource Planner'!$M$32,"")</f>
        <v/>
      </c>
    </row>
    <row r="1141" ht="15.75" customHeight="1">
      <c r="A11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1" s="163" t="str">
        <f>IF(AND('Resource Planner'!$A$32="☑",37&lt;='Resource Planner'!$N$32),'Resource Planner'!$C$32,"")</f>
        <v/>
      </c>
      <c r="C1141" s="163" t="str">
        <f>IF(AND('Resource Planner'!$A$32="☑",37&lt;='Resource Planner'!$N$32),'Resource Planner'!$B$32,"")</f>
        <v/>
      </c>
      <c r="D1141" s="163" t="str">
        <f>IF(AND('Resource Planner'!$A$32="☑",37&lt;='Resource Planner'!$N$32),'Resource Planner'!$D$32,"")</f>
        <v/>
      </c>
      <c r="E1141" s="163" t="str">
        <f>IF(AND('Resource Planner'!$A$32="☑",37&lt;='Resource Planner'!$N$32),'Resource Planner'!$E$32,"")</f>
        <v/>
      </c>
      <c r="F1141" s="163" t="str">
        <f>IF(AND('Resource Planner'!$A$32="☑",37&lt;='Resource Planner'!$N$32),'Resource Planner'!$F$32&amp;" "&amp;('Resource Planner'!$G$32+(37-1)*'Resource Planner'!$I$32)&amp;IF(('Resource Planner'!$G$32+(37-1)*'Resource Planner'!$I$32)=MIN('Resource Planner'!$G$32+37*'Resource Planner'!$I$32-1,'Resource Planner'!$H$32),"","–"&amp;MIN('Resource Planner'!$G$32+37*'Resource Planner'!$I$32-1,'Resource Planner'!$H$32)),"")</f>
        <v/>
      </c>
      <c r="G1141" s="163" t="s">
        <v>109</v>
      </c>
      <c r="H1141" s="163" t="str">
        <f>IF(AND('Resource Planner'!$A$32="☑",37&lt;='Resource Planner'!$N$32),'Resource Planner'!$M$32,"")</f>
        <v/>
      </c>
    </row>
    <row r="1142" ht="15.75" customHeight="1">
      <c r="A11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2" s="163" t="str">
        <f>IF(AND('Resource Planner'!$A$32="☑",38&lt;='Resource Planner'!$N$32),'Resource Planner'!$C$32,"")</f>
        <v/>
      </c>
      <c r="C1142" s="163" t="str">
        <f>IF(AND('Resource Planner'!$A$32="☑",38&lt;='Resource Planner'!$N$32),'Resource Planner'!$B$32,"")</f>
        <v/>
      </c>
      <c r="D1142" s="163" t="str">
        <f>IF(AND('Resource Planner'!$A$32="☑",38&lt;='Resource Planner'!$N$32),'Resource Planner'!$D$32,"")</f>
        <v/>
      </c>
      <c r="E1142" s="163" t="str">
        <f>IF(AND('Resource Planner'!$A$32="☑",38&lt;='Resource Planner'!$N$32),'Resource Planner'!$E$32,"")</f>
        <v/>
      </c>
      <c r="F1142" s="163" t="str">
        <f>IF(AND('Resource Planner'!$A$32="☑",38&lt;='Resource Planner'!$N$32),'Resource Planner'!$F$32&amp;" "&amp;('Resource Planner'!$G$32+(38-1)*'Resource Planner'!$I$32)&amp;IF(('Resource Planner'!$G$32+(38-1)*'Resource Planner'!$I$32)=MIN('Resource Planner'!$G$32+38*'Resource Planner'!$I$32-1,'Resource Planner'!$H$32),"","–"&amp;MIN('Resource Planner'!$G$32+38*'Resource Planner'!$I$32-1,'Resource Planner'!$H$32)),"")</f>
        <v/>
      </c>
      <c r="G1142" s="163" t="s">
        <v>109</v>
      </c>
      <c r="H1142" s="163" t="str">
        <f>IF(AND('Resource Planner'!$A$32="☑",38&lt;='Resource Planner'!$N$32),'Resource Planner'!$M$32,"")</f>
        <v/>
      </c>
    </row>
    <row r="1143" ht="15.75" customHeight="1">
      <c r="A11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3" s="163" t="str">
        <f>IF(AND('Resource Planner'!$A$32="☑",39&lt;='Resource Planner'!$N$32),'Resource Planner'!$C$32,"")</f>
        <v/>
      </c>
      <c r="C1143" s="163" t="str">
        <f>IF(AND('Resource Planner'!$A$32="☑",39&lt;='Resource Planner'!$N$32),'Resource Planner'!$B$32,"")</f>
        <v/>
      </c>
      <c r="D1143" s="163" t="str">
        <f>IF(AND('Resource Planner'!$A$32="☑",39&lt;='Resource Planner'!$N$32),'Resource Planner'!$D$32,"")</f>
        <v/>
      </c>
      <c r="E1143" s="163" t="str">
        <f>IF(AND('Resource Planner'!$A$32="☑",39&lt;='Resource Planner'!$N$32),'Resource Planner'!$E$32,"")</f>
        <v/>
      </c>
      <c r="F1143" s="163" t="str">
        <f>IF(AND('Resource Planner'!$A$32="☑",39&lt;='Resource Planner'!$N$32),'Resource Planner'!$F$32&amp;" "&amp;('Resource Planner'!$G$32+(39-1)*'Resource Planner'!$I$32)&amp;IF(('Resource Planner'!$G$32+(39-1)*'Resource Planner'!$I$32)=MIN('Resource Planner'!$G$32+39*'Resource Planner'!$I$32-1,'Resource Planner'!$H$32),"","–"&amp;MIN('Resource Planner'!$G$32+39*'Resource Planner'!$I$32-1,'Resource Planner'!$H$32)),"")</f>
        <v/>
      </c>
      <c r="G1143" s="163" t="s">
        <v>109</v>
      </c>
      <c r="H1143" s="163" t="str">
        <f>IF(AND('Resource Planner'!$A$32="☑",39&lt;='Resource Planner'!$N$32),'Resource Planner'!$M$32,"")</f>
        <v/>
      </c>
    </row>
    <row r="1144" ht="15.75" customHeight="1">
      <c r="A11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4" s="163" t="str">
        <f>IF(AND('Resource Planner'!$A$32="☑",40&lt;='Resource Planner'!$N$32),'Resource Planner'!$C$32,"")</f>
        <v/>
      </c>
      <c r="C1144" s="163" t="str">
        <f>IF(AND('Resource Planner'!$A$32="☑",40&lt;='Resource Planner'!$N$32),'Resource Planner'!$B$32,"")</f>
        <v/>
      </c>
      <c r="D1144" s="163" t="str">
        <f>IF(AND('Resource Planner'!$A$32="☑",40&lt;='Resource Planner'!$N$32),'Resource Planner'!$D$32,"")</f>
        <v/>
      </c>
      <c r="E1144" s="163" t="str">
        <f>IF(AND('Resource Planner'!$A$32="☑",40&lt;='Resource Planner'!$N$32),'Resource Planner'!$E$32,"")</f>
        <v/>
      </c>
      <c r="F1144" s="163" t="str">
        <f>IF(AND('Resource Planner'!$A$32="☑",40&lt;='Resource Planner'!$N$32),'Resource Planner'!$F$32&amp;" "&amp;('Resource Planner'!$G$32+(40-1)*'Resource Planner'!$I$32)&amp;IF(('Resource Planner'!$G$32+(40-1)*'Resource Planner'!$I$32)=MIN('Resource Planner'!$G$32+40*'Resource Planner'!$I$32-1,'Resource Planner'!$H$32),"","–"&amp;MIN('Resource Planner'!$G$32+40*'Resource Planner'!$I$32-1,'Resource Planner'!$H$32)),"")</f>
        <v/>
      </c>
      <c r="G1144" s="163" t="s">
        <v>109</v>
      </c>
      <c r="H1144" s="163" t="str">
        <f>IF(AND('Resource Planner'!$A$32="☑",40&lt;='Resource Planner'!$N$32),'Resource Planner'!$M$32,"")</f>
        <v/>
      </c>
    </row>
    <row r="1145" ht="15.75" customHeight="1">
      <c r="A11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5" s="163" t="str">
        <f>IF(AND('Resource Planner'!$A$32="☑",41&lt;='Resource Planner'!$N$32),'Resource Planner'!$C$32,"")</f>
        <v/>
      </c>
      <c r="C1145" s="163" t="str">
        <f>IF(AND('Resource Planner'!$A$32="☑",41&lt;='Resource Planner'!$N$32),'Resource Planner'!$B$32,"")</f>
        <v/>
      </c>
      <c r="D1145" s="163" t="str">
        <f>IF(AND('Resource Planner'!$A$32="☑",41&lt;='Resource Planner'!$N$32),'Resource Planner'!$D$32,"")</f>
        <v/>
      </c>
      <c r="E1145" s="163" t="str">
        <f>IF(AND('Resource Planner'!$A$32="☑",41&lt;='Resource Planner'!$N$32),'Resource Planner'!$E$32,"")</f>
        <v/>
      </c>
      <c r="F1145" s="163" t="str">
        <f>IF(AND('Resource Planner'!$A$32="☑",41&lt;='Resource Planner'!$N$32),'Resource Planner'!$F$32&amp;" "&amp;('Resource Planner'!$G$32+(41-1)*'Resource Planner'!$I$32)&amp;IF(('Resource Planner'!$G$32+(41-1)*'Resource Planner'!$I$32)=MIN('Resource Planner'!$G$32+41*'Resource Planner'!$I$32-1,'Resource Planner'!$H$32),"","–"&amp;MIN('Resource Planner'!$G$32+41*'Resource Planner'!$I$32-1,'Resource Planner'!$H$32)),"")</f>
        <v/>
      </c>
      <c r="G1145" s="163" t="s">
        <v>109</v>
      </c>
      <c r="H1145" s="163" t="str">
        <f>IF(AND('Resource Planner'!$A$32="☑",41&lt;='Resource Planner'!$N$32),'Resource Planner'!$M$32,"")</f>
        <v/>
      </c>
    </row>
    <row r="1146" ht="15.75" customHeight="1">
      <c r="A11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6" s="163" t="str">
        <f>IF(AND('Resource Planner'!$A$32="☑",42&lt;='Resource Planner'!$N$32),'Resource Planner'!$C$32,"")</f>
        <v/>
      </c>
      <c r="C1146" s="163" t="str">
        <f>IF(AND('Resource Planner'!$A$32="☑",42&lt;='Resource Planner'!$N$32),'Resource Planner'!$B$32,"")</f>
        <v/>
      </c>
      <c r="D1146" s="163" t="str">
        <f>IF(AND('Resource Planner'!$A$32="☑",42&lt;='Resource Planner'!$N$32),'Resource Planner'!$D$32,"")</f>
        <v/>
      </c>
      <c r="E1146" s="163" t="str">
        <f>IF(AND('Resource Planner'!$A$32="☑",42&lt;='Resource Planner'!$N$32),'Resource Planner'!$E$32,"")</f>
        <v/>
      </c>
      <c r="F1146" s="163" t="str">
        <f>IF(AND('Resource Planner'!$A$32="☑",42&lt;='Resource Planner'!$N$32),'Resource Planner'!$F$32&amp;" "&amp;('Resource Planner'!$G$32+(42-1)*'Resource Planner'!$I$32)&amp;IF(('Resource Planner'!$G$32+(42-1)*'Resource Planner'!$I$32)=MIN('Resource Planner'!$G$32+42*'Resource Planner'!$I$32-1,'Resource Planner'!$H$32),"","–"&amp;MIN('Resource Planner'!$G$32+42*'Resource Planner'!$I$32-1,'Resource Planner'!$H$32)),"")</f>
        <v/>
      </c>
      <c r="G1146" s="163" t="s">
        <v>109</v>
      </c>
      <c r="H1146" s="163" t="str">
        <f>IF(AND('Resource Planner'!$A$32="☑",42&lt;='Resource Planner'!$N$32),'Resource Planner'!$M$32,"")</f>
        <v/>
      </c>
    </row>
    <row r="1147" ht="15.75" customHeight="1">
      <c r="A11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7" s="163" t="str">
        <f>IF(AND('Resource Planner'!$A$32="☑",43&lt;='Resource Planner'!$N$32),'Resource Planner'!$C$32,"")</f>
        <v/>
      </c>
      <c r="C1147" s="163" t="str">
        <f>IF(AND('Resource Planner'!$A$32="☑",43&lt;='Resource Planner'!$N$32),'Resource Planner'!$B$32,"")</f>
        <v/>
      </c>
      <c r="D1147" s="163" t="str">
        <f>IF(AND('Resource Planner'!$A$32="☑",43&lt;='Resource Planner'!$N$32),'Resource Planner'!$D$32,"")</f>
        <v/>
      </c>
      <c r="E1147" s="163" t="str">
        <f>IF(AND('Resource Planner'!$A$32="☑",43&lt;='Resource Planner'!$N$32),'Resource Planner'!$E$32,"")</f>
        <v/>
      </c>
      <c r="F1147" s="163" t="str">
        <f>IF(AND('Resource Planner'!$A$32="☑",43&lt;='Resource Planner'!$N$32),'Resource Planner'!$F$32&amp;" "&amp;('Resource Planner'!$G$32+(43-1)*'Resource Planner'!$I$32)&amp;IF(('Resource Planner'!$G$32+(43-1)*'Resource Planner'!$I$32)=MIN('Resource Planner'!$G$32+43*'Resource Planner'!$I$32-1,'Resource Planner'!$H$32),"","–"&amp;MIN('Resource Planner'!$G$32+43*'Resource Planner'!$I$32-1,'Resource Planner'!$H$32)),"")</f>
        <v/>
      </c>
      <c r="G1147" s="163" t="s">
        <v>109</v>
      </c>
      <c r="H1147" s="163" t="str">
        <f>IF(AND('Resource Planner'!$A$32="☑",43&lt;='Resource Planner'!$N$32),'Resource Planner'!$M$32,"")</f>
        <v/>
      </c>
    </row>
    <row r="1148" ht="15.75" customHeight="1">
      <c r="A11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8" s="163" t="str">
        <f>IF(AND('Resource Planner'!$A$32="☑",44&lt;='Resource Planner'!$N$32),'Resource Planner'!$C$32,"")</f>
        <v/>
      </c>
      <c r="C1148" s="163" t="str">
        <f>IF(AND('Resource Planner'!$A$32="☑",44&lt;='Resource Planner'!$N$32),'Resource Planner'!$B$32,"")</f>
        <v/>
      </c>
      <c r="D1148" s="163" t="str">
        <f>IF(AND('Resource Planner'!$A$32="☑",44&lt;='Resource Planner'!$N$32),'Resource Planner'!$D$32,"")</f>
        <v/>
      </c>
      <c r="E1148" s="163" t="str">
        <f>IF(AND('Resource Planner'!$A$32="☑",44&lt;='Resource Planner'!$N$32),'Resource Planner'!$E$32,"")</f>
        <v/>
      </c>
      <c r="F1148" s="163" t="str">
        <f>IF(AND('Resource Planner'!$A$32="☑",44&lt;='Resource Planner'!$N$32),'Resource Planner'!$F$32&amp;" "&amp;('Resource Planner'!$G$32+(44-1)*'Resource Planner'!$I$32)&amp;IF(('Resource Planner'!$G$32+(44-1)*'Resource Planner'!$I$32)=MIN('Resource Planner'!$G$32+44*'Resource Planner'!$I$32-1,'Resource Planner'!$H$32),"","–"&amp;MIN('Resource Planner'!$G$32+44*'Resource Planner'!$I$32-1,'Resource Planner'!$H$32)),"")</f>
        <v/>
      </c>
      <c r="G1148" s="163" t="s">
        <v>109</v>
      </c>
      <c r="H1148" s="163" t="str">
        <f>IF(AND('Resource Planner'!$A$32="☑",44&lt;='Resource Planner'!$N$32),'Resource Planner'!$M$32,"")</f>
        <v/>
      </c>
    </row>
    <row r="1149" ht="15.75" customHeight="1">
      <c r="A11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49" s="163" t="str">
        <f>IF(AND('Resource Planner'!$A$32="☑",45&lt;='Resource Planner'!$N$32),'Resource Planner'!$C$32,"")</f>
        <v/>
      </c>
      <c r="C1149" s="163" t="str">
        <f>IF(AND('Resource Planner'!$A$32="☑",45&lt;='Resource Planner'!$N$32),'Resource Planner'!$B$32,"")</f>
        <v/>
      </c>
      <c r="D1149" s="163" t="str">
        <f>IF(AND('Resource Planner'!$A$32="☑",45&lt;='Resource Planner'!$N$32),'Resource Planner'!$D$32,"")</f>
        <v/>
      </c>
      <c r="E1149" s="163" t="str">
        <f>IF(AND('Resource Planner'!$A$32="☑",45&lt;='Resource Planner'!$N$32),'Resource Planner'!$E$32,"")</f>
        <v/>
      </c>
      <c r="F1149" s="163" t="str">
        <f>IF(AND('Resource Planner'!$A$32="☑",45&lt;='Resource Planner'!$N$32),'Resource Planner'!$F$32&amp;" "&amp;('Resource Planner'!$G$32+(45-1)*'Resource Planner'!$I$32)&amp;IF(('Resource Planner'!$G$32+(45-1)*'Resource Planner'!$I$32)=MIN('Resource Planner'!$G$32+45*'Resource Planner'!$I$32-1,'Resource Planner'!$H$32),"","–"&amp;MIN('Resource Planner'!$G$32+45*'Resource Planner'!$I$32-1,'Resource Planner'!$H$32)),"")</f>
        <v/>
      </c>
      <c r="G1149" s="163" t="s">
        <v>109</v>
      </c>
      <c r="H1149" s="163" t="str">
        <f>IF(AND('Resource Planner'!$A$32="☑",45&lt;='Resource Planner'!$N$32),'Resource Planner'!$M$32,"")</f>
        <v/>
      </c>
    </row>
    <row r="1150" ht="15.75" customHeight="1">
      <c r="A11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0" s="163" t="str">
        <f>IF(AND('Resource Planner'!$A$32="☑",46&lt;='Resource Planner'!$N$32),'Resource Planner'!$C$32,"")</f>
        <v/>
      </c>
      <c r="C1150" s="163" t="str">
        <f>IF(AND('Resource Planner'!$A$32="☑",46&lt;='Resource Planner'!$N$32),'Resource Planner'!$B$32,"")</f>
        <v/>
      </c>
      <c r="D1150" s="163" t="str">
        <f>IF(AND('Resource Planner'!$A$32="☑",46&lt;='Resource Planner'!$N$32),'Resource Planner'!$D$32,"")</f>
        <v/>
      </c>
      <c r="E1150" s="163" t="str">
        <f>IF(AND('Resource Planner'!$A$32="☑",46&lt;='Resource Planner'!$N$32),'Resource Planner'!$E$32,"")</f>
        <v/>
      </c>
      <c r="F1150" s="163" t="str">
        <f>IF(AND('Resource Planner'!$A$32="☑",46&lt;='Resource Planner'!$N$32),'Resource Planner'!$F$32&amp;" "&amp;('Resource Planner'!$G$32+(46-1)*'Resource Planner'!$I$32)&amp;IF(('Resource Planner'!$G$32+(46-1)*'Resource Planner'!$I$32)=MIN('Resource Planner'!$G$32+46*'Resource Planner'!$I$32-1,'Resource Planner'!$H$32),"","–"&amp;MIN('Resource Planner'!$G$32+46*'Resource Planner'!$I$32-1,'Resource Planner'!$H$32)),"")</f>
        <v/>
      </c>
      <c r="G1150" s="163" t="s">
        <v>109</v>
      </c>
      <c r="H1150" s="163" t="str">
        <f>IF(AND('Resource Planner'!$A$32="☑",46&lt;='Resource Planner'!$N$32),'Resource Planner'!$M$32,"")</f>
        <v/>
      </c>
    </row>
    <row r="1151" ht="15.75" customHeight="1">
      <c r="A11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1" s="163" t="str">
        <f>IF(AND('Resource Planner'!$A$32="☑",47&lt;='Resource Planner'!$N$32),'Resource Planner'!$C$32,"")</f>
        <v/>
      </c>
      <c r="C1151" s="163" t="str">
        <f>IF(AND('Resource Planner'!$A$32="☑",47&lt;='Resource Planner'!$N$32),'Resource Planner'!$B$32,"")</f>
        <v/>
      </c>
      <c r="D1151" s="163" t="str">
        <f>IF(AND('Resource Planner'!$A$32="☑",47&lt;='Resource Planner'!$N$32),'Resource Planner'!$D$32,"")</f>
        <v/>
      </c>
      <c r="E1151" s="163" t="str">
        <f>IF(AND('Resource Planner'!$A$32="☑",47&lt;='Resource Planner'!$N$32),'Resource Planner'!$E$32,"")</f>
        <v/>
      </c>
      <c r="F1151" s="163" t="str">
        <f>IF(AND('Resource Planner'!$A$32="☑",47&lt;='Resource Planner'!$N$32),'Resource Planner'!$F$32&amp;" "&amp;('Resource Planner'!$G$32+(47-1)*'Resource Planner'!$I$32)&amp;IF(('Resource Planner'!$G$32+(47-1)*'Resource Planner'!$I$32)=MIN('Resource Planner'!$G$32+47*'Resource Planner'!$I$32-1,'Resource Planner'!$H$32),"","–"&amp;MIN('Resource Planner'!$G$32+47*'Resource Planner'!$I$32-1,'Resource Planner'!$H$32)),"")</f>
        <v/>
      </c>
      <c r="G1151" s="163" t="s">
        <v>109</v>
      </c>
      <c r="H1151" s="163" t="str">
        <f>IF(AND('Resource Planner'!$A$32="☑",47&lt;='Resource Planner'!$N$32),'Resource Planner'!$M$32,"")</f>
        <v/>
      </c>
    </row>
    <row r="1152" ht="15.75" customHeight="1">
      <c r="A11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2" s="163" t="str">
        <f>IF(AND('Resource Planner'!$A$32="☑",48&lt;='Resource Planner'!$N$32),'Resource Planner'!$C$32,"")</f>
        <v/>
      </c>
      <c r="C1152" s="163" t="str">
        <f>IF(AND('Resource Planner'!$A$32="☑",48&lt;='Resource Planner'!$N$32),'Resource Planner'!$B$32,"")</f>
        <v/>
      </c>
      <c r="D1152" s="163" t="str">
        <f>IF(AND('Resource Planner'!$A$32="☑",48&lt;='Resource Planner'!$N$32),'Resource Planner'!$D$32,"")</f>
        <v/>
      </c>
      <c r="E1152" s="163" t="str">
        <f>IF(AND('Resource Planner'!$A$32="☑",48&lt;='Resource Planner'!$N$32),'Resource Planner'!$E$32,"")</f>
        <v/>
      </c>
      <c r="F1152" s="163" t="str">
        <f>IF(AND('Resource Planner'!$A$32="☑",48&lt;='Resource Planner'!$N$32),'Resource Planner'!$F$32&amp;" "&amp;('Resource Planner'!$G$32+(48-1)*'Resource Planner'!$I$32)&amp;IF(('Resource Planner'!$G$32+(48-1)*'Resource Planner'!$I$32)=MIN('Resource Planner'!$G$32+48*'Resource Planner'!$I$32-1,'Resource Planner'!$H$32),"","–"&amp;MIN('Resource Planner'!$G$32+48*'Resource Planner'!$I$32-1,'Resource Planner'!$H$32)),"")</f>
        <v/>
      </c>
      <c r="G1152" s="163" t="s">
        <v>109</v>
      </c>
      <c r="H1152" s="163" t="str">
        <f>IF(AND('Resource Planner'!$A$32="☑",48&lt;='Resource Planner'!$N$32),'Resource Planner'!$M$32,"")</f>
        <v/>
      </c>
    </row>
    <row r="1153" ht="15.75" customHeight="1">
      <c r="A11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3" s="163" t="str">
        <f>IF(AND('Resource Planner'!$A$32="☑",49&lt;='Resource Planner'!$N$32),'Resource Planner'!$C$32,"")</f>
        <v/>
      </c>
      <c r="C1153" s="163" t="str">
        <f>IF(AND('Resource Planner'!$A$32="☑",49&lt;='Resource Planner'!$N$32),'Resource Planner'!$B$32,"")</f>
        <v/>
      </c>
      <c r="D1153" s="163" t="str">
        <f>IF(AND('Resource Planner'!$A$32="☑",49&lt;='Resource Planner'!$N$32),'Resource Planner'!$D$32,"")</f>
        <v/>
      </c>
      <c r="E1153" s="163" t="str">
        <f>IF(AND('Resource Planner'!$A$32="☑",49&lt;='Resource Planner'!$N$32),'Resource Planner'!$E$32,"")</f>
        <v/>
      </c>
      <c r="F1153" s="163" t="str">
        <f>IF(AND('Resource Planner'!$A$32="☑",49&lt;='Resource Planner'!$N$32),'Resource Planner'!$F$32&amp;" "&amp;('Resource Planner'!$G$32+(49-1)*'Resource Planner'!$I$32)&amp;IF(('Resource Planner'!$G$32+(49-1)*'Resource Planner'!$I$32)=MIN('Resource Planner'!$G$32+49*'Resource Planner'!$I$32-1,'Resource Planner'!$H$32),"","–"&amp;MIN('Resource Planner'!$G$32+49*'Resource Planner'!$I$32-1,'Resource Planner'!$H$32)),"")</f>
        <v/>
      </c>
      <c r="G1153" s="163" t="s">
        <v>109</v>
      </c>
      <c r="H1153" s="163" t="str">
        <f>IF(AND('Resource Planner'!$A$32="☑",49&lt;='Resource Planner'!$N$32),'Resource Planner'!$M$32,"")</f>
        <v/>
      </c>
    </row>
    <row r="1154" ht="15.75" customHeight="1">
      <c r="A11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4" s="163" t="str">
        <f>IF(AND('Resource Planner'!$A$32="☑",50&lt;='Resource Planner'!$N$32),'Resource Planner'!$C$32,"")</f>
        <v/>
      </c>
      <c r="C1154" s="163" t="str">
        <f>IF(AND('Resource Planner'!$A$32="☑",50&lt;='Resource Planner'!$N$32),'Resource Planner'!$B$32,"")</f>
        <v/>
      </c>
      <c r="D1154" s="163" t="str">
        <f>IF(AND('Resource Planner'!$A$32="☑",50&lt;='Resource Planner'!$N$32),'Resource Planner'!$D$32,"")</f>
        <v/>
      </c>
      <c r="E1154" s="163" t="str">
        <f>IF(AND('Resource Planner'!$A$32="☑",50&lt;='Resource Planner'!$N$32),'Resource Planner'!$E$32,"")</f>
        <v/>
      </c>
      <c r="F1154" s="163" t="str">
        <f>IF(AND('Resource Planner'!$A$32="☑",50&lt;='Resource Planner'!$N$32),'Resource Planner'!$F$32&amp;" "&amp;('Resource Planner'!$G$32+(50-1)*'Resource Planner'!$I$32)&amp;IF(('Resource Planner'!$G$32+(50-1)*'Resource Planner'!$I$32)=MIN('Resource Planner'!$G$32+50*'Resource Planner'!$I$32-1,'Resource Planner'!$H$32),"","–"&amp;MIN('Resource Planner'!$G$32+50*'Resource Planner'!$I$32-1,'Resource Planner'!$H$32)),"")</f>
        <v/>
      </c>
      <c r="G1154" s="163" t="s">
        <v>109</v>
      </c>
      <c r="H1154" s="163" t="str">
        <f>IF(AND('Resource Planner'!$A$32="☑",50&lt;='Resource Planner'!$N$32),'Resource Planner'!$M$32,"")</f>
        <v/>
      </c>
    </row>
    <row r="1155" ht="15.75" customHeight="1">
      <c r="A11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5" s="163" t="str">
        <f>IF(AND('Resource Planner'!$A$33="☑",1&lt;='Resource Planner'!$N$33),'Resource Planner'!$C$33,"")</f>
        <v/>
      </c>
      <c r="C1155" s="163" t="str">
        <f>IF(AND('Resource Planner'!$A$33="☑",1&lt;='Resource Planner'!$N$33),'Resource Planner'!$B$33,"")</f>
        <v/>
      </c>
      <c r="D1155" s="163" t="str">
        <f>IF(AND('Resource Planner'!$A$33="☑",1&lt;='Resource Planner'!$N$33),'Resource Planner'!$D$33,"")</f>
        <v/>
      </c>
      <c r="E1155" s="163" t="str">
        <f>IF(AND('Resource Planner'!$A$33="☑",1&lt;='Resource Planner'!$N$33),'Resource Planner'!$E$33,"")</f>
        <v/>
      </c>
      <c r="F1155" s="163" t="str">
        <f>IF(AND('Resource Planner'!$A$33="☑",1&lt;='Resource Planner'!$N$33),'Resource Planner'!$F$33&amp;" "&amp;('Resource Planner'!$G$33+(1-1)*'Resource Planner'!$I$33)&amp;IF(('Resource Planner'!$G$33+(1-1)*'Resource Planner'!$I$33)=MIN('Resource Planner'!$G$33+1*'Resource Planner'!$I$33-1,'Resource Planner'!$H$33),"","–"&amp;MIN('Resource Planner'!$G$33+1*'Resource Planner'!$I$33-1,'Resource Planner'!$H$33)),"")</f>
        <v/>
      </c>
      <c r="G1155" s="163" t="s">
        <v>109</v>
      </c>
      <c r="H1155" s="163" t="str">
        <f>IF(AND('Resource Planner'!$A$33="☑",1&lt;='Resource Planner'!$N$33),'Resource Planner'!$M$33,"")</f>
        <v/>
      </c>
    </row>
    <row r="1156" ht="15.75" customHeight="1">
      <c r="A11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6" s="163" t="str">
        <f>IF(AND('Resource Planner'!$A$33="☑",2&lt;='Resource Planner'!$N$33),'Resource Planner'!$C$33,"")</f>
        <v/>
      </c>
      <c r="C1156" s="163" t="str">
        <f>IF(AND('Resource Planner'!$A$33="☑",2&lt;='Resource Planner'!$N$33),'Resource Planner'!$B$33,"")</f>
        <v/>
      </c>
      <c r="D1156" s="163" t="str">
        <f>IF(AND('Resource Planner'!$A$33="☑",2&lt;='Resource Planner'!$N$33),'Resource Planner'!$D$33,"")</f>
        <v/>
      </c>
      <c r="E1156" s="163" t="str">
        <f>IF(AND('Resource Planner'!$A$33="☑",2&lt;='Resource Planner'!$N$33),'Resource Planner'!$E$33,"")</f>
        <v/>
      </c>
      <c r="F1156" s="163" t="str">
        <f>IF(AND('Resource Planner'!$A$33="☑",2&lt;='Resource Planner'!$N$33),'Resource Planner'!$F$33&amp;" "&amp;('Resource Planner'!$G$33+(2-1)*'Resource Planner'!$I$33)&amp;IF(('Resource Planner'!$G$33+(2-1)*'Resource Planner'!$I$33)=MIN('Resource Planner'!$G$33+2*'Resource Planner'!$I$33-1,'Resource Planner'!$H$33),"","–"&amp;MIN('Resource Planner'!$G$33+2*'Resource Planner'!$I$33-1,'Resource Planner'!$H$33)),"")</f>
        <v/>
      </c>
      <c r="G1156" s="163" t="s">
        <v>109</v>
      </c>
      <c r="H1156" s="163" t="str">
        <f>IF(AND('Resource Planner'!$A$33="☑",2&lt;='Resource Planner'!$N$33),'Resource Planner'!$M$33,"")</f>
        <v/>
      </c>
    </row>
    <row r="1157" ht="15.75" customHeight="1">
      <c r="A11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7" s="163" t="str">
        <f>IF(AND('Resource Planner'!$A$33="☑",3&lt;='Resource Planner'!$N$33),'Resource Planner'!$C$33,"")</f>
        <v/>
      </c>
      <c r="C1157" s="163" t="str">
        <f>IF(AND('Resource Planner'!$A$33="☑",3&lt;='Resource Planner'!$N$33),'Resource Planner'!$B$33,"")</f>
        <v/>
      </c>
      <c r="D1157" s="163" t="str">
        <f>IF(AND('Resource Planner'!$A$33="☑",3&lt;='Resource Planner'!$N$33),'Resource Planner'!$D$33,"")</f>
        <v/>
      </c>
      <c r="E1157" s="163" t="str">
        <f>IF(AND('Resource Planner'!$A$33="☑",3&lt;='Resource Planner'!$N$33),'Resource Planner'!$E$33,"")</f>
        <v/>
      </c>
      <c r="F1157" s="163" t="str">
        <f>IF(AND('Resource Planner'!$A$33="☑",3&lt;='Resource Planner'!$N$33),'Resource Planner'!$F$33&amp;" "&amp;('Resource Planner'!$G$33+(3-1)*'Resource Planner'!$I$33)&amp;IF(('Resource Planner'!$G$33+(3-1)*'Resource Planner'!$I$33)=MIN('Resource Planner'!$G$33+3*'Resource Planner'!$I$33-1,'Resource Planner'!$H$33),"","–"&amp;MIN('Resource Planner'!$G$33+3*'Resource Planner'!$I$33-1,'Resource Planner'!$H$33)),"")</f>
        <v/>
      </c>
      <c r="G1157" s="163" t="s">
        <v>109</v>
      </c>
      <c r="H1157" s="163" t="str">
        <f>IF(AND('Resource Planner'!$A$33="☑",3&lt;='Resource Planner'!$N$33),'Resource Planner'!$M$33,"")</f>
        <v/>
      </c>
    </row>
    <row r="1158" ht="15.75" customHeight="1">
      <c r="A11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8" s="163" t="str">
        <f>IF(AND('Resource Planner'!$A$33="☑",4&lt;='Resource Planner'!$N$33),'Resource Planner'!$C$33,"")</f>
        <v/>
      </c>
      <c r="C1158" s="163" t="str">
        <f>IF(AND('Resource Planner'!$A$33="☑",4&lt;='Resource Planner'!$N$33),'Resource Planner'!$B$33,"")</f>
        <v/>
      </c>
      <c r="D1158" s="163" t="str">
        <f>IF(AND('Resource Planner'!$A$33="☑",4&lt;='Resource Planner'!$N$33),'Resource Planner'!$D$33,"")</f>
        <v/>
      </c>
      <c r="E1158" s="163" t="str">
        <f>IF(AND('Resource Planner'!$A$33="☑",4&lt;='Resource Planner'!$N$33),'Resource Planner'!$E$33,"")</f>
        <v/>
      </c>
      <c r="F1158" s="163" t="str">
        <f>IF(AND('Resource Planner'!$A$33="☑",4&lt;='Resource Planner'!$N$33),'Resource Planner'!$F$33&amp;" "&amp;('Resource Planner'!$G$33+(4-1)*'Resource Planner'!$I$33)&amp;IF(('Resource Planner'!$G$33+(4-1)*'Resource Planner'!$I$33)=MIN('Resource Planner'!$G$33+4*'Resource Planner'!$I$33-1,'Resource Planner'!$H$33),"","–"&amp;MIN('Resource Planner'!$G$33+4*'Resource Planner'!$I$33-1,'Resource Planner'!$H$33)),"")</f>
        <v/>
      </c>
      <c r="G1158" s="163" t="s">
        <v>109</v>
      </c>
      <c r="H1158" s="163" t="str">
        <f>IF(AND('Resource Planner'!$A$33="☑",4&lt;='Resource Planner'!$N$33),'Resource Planner'!$M$33,"")</f>
        <v/>
      </c>
    </row>
    <row r="1159" ht="15.75" customHeight="1">
      <c r="A11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59" s="163" t="str">
        <f>IF(AND('Resource Planner'!$A$33="☑",5&lt;='Resource Planner'!$N$33),'Resource Planner'!$C$33,"")</f>
        <v/>
      </c>
      <c r="C1159" s="163" t="str">
        <f>IF(AND('Resource Planner'!$A$33="☑",5&lt;='Resource Planner'!$N$33),'Resource Planner'!$B$33,"")</f>
        <v/>
      </c>
      <c r="D1159" s="163" t="str">
        <f>IF(AND('Resource Planner'!$A$33="☑",5&lt;='Resource Planner'!$N$33),'Resource Planner'!$D$33,"")</f>
        <v/>
      </c>
      <c r="E1159" s="163" t="str">
        <f>IF(AND('Resource Planner'!$A$33="☑",5&lt;='Resource Planner'!$N$33),'Resource Planner'!$E$33,"")</f>
        <v/>
      </c>
      <c r="F1159" s="163" t="str">
        <f>IF(AND('Resource Planner'!$A$33="☑",5&lt;='Resource Planner'!$N$33),'Resource Planner'!$F$33&amp;" "&amp;('Resource Planner'!$G$33+(5-1)*'Resource Planner'!$I$33)&amp;IF(('Resource Planner'!$G$33+(5-1)*'Resource Planner'!$I$33)=MIN('Resource Planner'!$G$33+5*'Resource Planner'!$I$33-1,'Resource Planner'!$H$33),"","–"&amp;MIN('Resource Planner'!$G$33+5*'Resource Planner'!$I$33-1,'Resource Planner'!$H$33)),"")</f>
        <v/>
      </c>
      <c r="G1159" s="163" t="s">
        <v>109</v>
      </c>
      <c r="H1159" s="163" t="str">
        <f>IF(AND('Resource Planner'!$A$33="☑",5&lt;='Resource Planner'!$N$33),'Resource Planner'!$M$33,"")</f>
        <v/>
      </c>
    </row>
    <row r="1160" ht="15.75" customHeight="1">
      <c r="A11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0" s="163" t="str">
        <f>IF(AND('Resource Planner'!$A$33="☑",6&lt;='Resource Planner'!$N$33),'Resource Planner'!$C$33,"")</f>
        <v/>
      </c>
      <c r="C1160" s="163" t="str">
        <f>IF(AND('Resource Planner'!$A$33="☑",6&lt;='Resource Planner'!$N$33),'Resource Planner'!$B$33,"")</f>
        <v/>
      </c>
      <c r="D1160" s="163" t="str">
        <f>IF(AND('Resource Planner'!$A$33="☑",6&lt;='Resource Planner'!$N$33),'Resource Planner'!$D$33,"")</f>
        <v/>
      </c>
      <c r="E1160" s="163" t="str">
        <f>IF(AND('Resource Planner'!$A$33="☑",6&lt;='Resource Planner'!$N$33),'Resource Planner'!$E$33,"")</f>
        <v/>
      </c>
      <c r="F1160" s="163" t="str">
        <f>IF(AND('Resource Planner'!$A$33="☑",6&lt;='Resource Planner'!$N$33),'Resource Planner'!$F$33&amp;" "&amp;('Resource Planner'!$G$33+(6-1)*'Resource Planner'!$I$33)&amp;IF(('Resource Planner'!$G$33+(6-1)*'Resource Planner'!$I$33)=MIN('Resource Planner'!$G$33+6*'Resource Planner'!$I$33-1,'Resource Planner'!$H$33),"","–"&amp;MIN('Resource Planner'!$G$33+6*'Resource Planner'!$I$33-1,'Resource Planner'!$H$33)),"")</f>
        <v/>
      </c>
      <c r="G1160" s="163" t="s">
        <v>109</v>
      </c>
      <c r="H1160" s="163" t="str">
        <f>IF(AND('Resource Planner'!$A$33="☑",6&lt;='Resource Planner'!$N$33),'Resource Planner'!$M$33,"")</f>
        <v/>
      </c>
    </row>
    <row r="1161" ht="15.75" customHeight="1">
      <c r="A11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1" s="163" t="str">
        <f>IF(AND('Resource Planner'!$A$33="☑",7&lt;='Resource Planner'!$N$33),'Resource Planner'!$C$33,"")</f>
        <v/>
      </c>
      <c r="C1161" s="163" t="str">
        <f>IF(AND('Resource Planner'!$A$33="☑",7&lt;='Resource Planner'!$N$33),'Resource Planner'!$B$33,"")</f>
        <v/>
      </c>
      <c r="D1161" s="163" t="str">
        <f>IF(AND('Resource Planner'!$A$33="☑",7&lt;='Resource Planner'!$N$33),'Resource Planner'!$D$33,"")</f>
        <v/>
      </c>
      <c r="E1161" s="163" t="str">
        <f>IF(AND('Resource Planner'!$A$33="☑",7&lt;='Resource Planner'!$N$33),'Resource Planner'!$E$33,"")</f>
        <v/>
      </c>
      <c r="F1161" s="163" t="str">
        <f>IF(AND('Resource Planner'!$A$33="☑",7&lt;='Resource Planner'!$N$33),'Resource Planner'!$F$33&amp;" "&amp;('Resource Planner'!$G$33+(7-1)*'Resource Planner'!$I$33)&amp;IF(('Resource Planner'!$G$33+(7-1)*'Resource Planner'!$I$33)=MIN('Resource Planner'!$G$33+7*'Resource Planner'!$I$33-1,'Resource Planner'!$H$33),"","–"&amp;MIN('Resource Planner'!$G$33+7*'Resource Planner'!$I$33-1,'Resource Planner'!$H$33)),"")</f>
        <v/>
      </c>
      <c r="G1161" s="163" t="s">
        <v>109</v>
      </c>
      <c r="H1161" s="163" t="str">
        <f>IF(AND('Resource Planner'!$A$33="☑",7&lt;='Resource Planner'!$N$33),'Resource Planner'!$M$33,"")</f>
        <v/>
      </c>
    </row>
    <row r="1162" ht="15.75" customHeight="1">
      <c r="A11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2" s="163" t="str">
        <f>IF(AND('Resource Planner'!$A$33="☑",8&lt;='Resource Planner'!$N$33),'Resource Planner'!$C$33,"")</f>
        <v/>
      </c>
      <c r="C1162" s="163" t="str">
        <f>IF(AND('Resource Planner'!$A$33="☑",8&lt;='Resource Planner'!$N$33),'Resource Planner'!$B$33,"")</f>
        <v/>
      </c>
      <c r="D1162" s="163" t="str">
        <f>IF(AND('Resource Planner'!$A$33="☑",8&lt;='Resource Planner'!$N$33),'Resource Planner'!$D$33,"")</f>
        <v/>
      </c>
      <c r="E1162" s="163" t="str">
        <f>IF(AND('Resource Planner'!$A$33="☑",8&lt;='Resource Planner'!$N$33),'Resource Planner'!$E$33,"")</f>
        <v/>
      </c>
      <c r="F1162" s="163" t="str">
        <f>IF(AND('Resource Planner'!$A$33="☑",8&lt;='Resource Planner'!$N$33),'Resource Planner'!$F$33&amp;" "&amp;('Resource Planner'!$G$33+(8-1)*'Resource Planner'!$I$33)&amp;IF(('Resource Planner'!$G$33+(8-1)*'Resource Planner'!$I$33)=MIN('Resource Planner'!$G$33+8*'Resource Planner'!$I$33-1,'Resource Planner'!$H$33),"","–"&amp;MIN('Resource Planner'!$G$33+8*'Resource Planner'!$I$33-1,'Resource Planner'!$H$33)),"")</f>
        <v/>
      </c>
      <c r="G1162" s="163" t="s">
        <v>109</v>
      </c>
      <c r="H1162" s="163" t="str">
        <f>IF(AND('Resource Planner'!$A$33="☑",8&lt;='Resource Planner'!$N$33),'Resource Planner'!$M$33,"")</f>
        <v/>
      </c>
    </row>
    <row r="1163" ht="15.75" customHeight="1">
      <c r="A11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3" s="163" t="str">
        <f>IF(AND('Resource Planner'!$A$33="☑",9&lt;='Resource Planner'!$N$33),'Resource Planner'!$C$33,"")</f>
        <v/>
      </c>
      <c r="C1163" s="163" t="str">
        <f>IF(AND('Resource Planner'!$A$33="☑",9&lt;='Resource Planner'!$N$33),'Resource Planner'!$B$33,"")</f>
        <v/>
      </c>
      <c r="D1163" s="163" t="str">
        <f>IF(AND('Resource Planner'!$A$33="☑",9&lt;='Resource Planner'!$N$33),'Resource Planner'!$D$33,"")</f>
        <v/>
      </c>
      <c r="E1163" s="163" t="str">
        <f>IF(AND('Resource Planner'!$A$33="☑",9&lt;='Resource Planner'!$N$33),'Resource Planner'!$E$33,"")</f>
        <v/>
      </c>
      <c r="F1163" s="163" t="str">
        <f>IF(AND('Resource Planner'!$A$33="☑",9&lt;='Resource Planner'!$N$33),'Resource Planner'!$F$33&amp;" "&amp;('Resource Planner'!$G$33+(9-1)*'Resource Planner'!$I$33)&amp;IF(('Resource Planner'!$G$33+(9-1)*'Resource Planner'!$I$33)=MIN('Resource Planner'!$G$33+9*'Resource Planner'!$I$33-1,'Resource Planner'!$H$33),"","–"&amp;MIN('Resource Planner'!$G$33+9*'Resource Planner'!$I$33-1,'Resource Planner'!$H$33)),"")</f>
        <v/>
      </c>
      <c r="G1163" s="163" t="s">
        <v>109</v>
      </c>
      <c r="H1163" s="163" t="str">
        <f>IF(AND('Resource Planner'!$A$33="☑",9&lt;='Resource Planner'!$N$33),'Resource Planner'!$M$33,"")</f>
        <v/>
      </c>
    </row>
    <row r="1164" ht="15.75" customHeight="1">
      <c r="A11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4" s="163" t="str">
        <f>IF(AND('Resource Planner'!$A$33="☑",10&lt;='Resource Planner'!$N$33),'Resource Planner'!$C$33,"")</f>
        <v/>
      </c>
      <c r="C1164" s="163" t="str">
        <f>IF(AND('Resource Planner'!$A$33="☑",10&lt;='Resource Planner'!$N$33),'Resource Planner'!$B$33,"")</f>
        <v/>
      </c>
      <c r="D1164" s="163" t="str">
        <f>IF(AND('Resource Planner'!$A$33="☑",10&lt;='Resource Planner'!$N$33),'Resource Planner'!$D$33,"")</f>
        <v/>
      </c>
      <c r="E1164" s="163" t="str">
        <f>IF(AND('Resource Planner'!$A$33="☑",10&lt;='Resource Planner'!$N$33),'Resource Planner'!$E$33,"")</f>
        <v/>
      </c>
      <c r="F1164" s="163" t="str">
        <f>IF(AND('Resource Planner'!$A$33="☑",10&lt;='Resource Planner'!$N$33),'Resource Planner'!$F$33&amp;" "&amp;('Resource Planner'!$G$33+(10-1)*'Resource Planner'!$I$33)&amp;IF(('Resource Planner'!$G$33+(10-1)*'Resource Planner'!$I$33)=MIN('Resource Planner'!$G$33+10*'Resource Planner'!$I$33-1,'Resource Planner'!$H$33),"","–"&amp;MIN('Resource Planner'!$G$33+10*'Resource Planner'!$I$33-1,'Resource Planner'!$H$33)),"")</f>
        <v/>
      </c>
      <c r="G1164" s="163" t="s">
        <v>109</v>
      </c>
      <c r="H1164" s="163" t="str">
        <f>IF(AND('Resource Planner'!$A$33="☑",10&lt;='Resource Planner'!$N$33),'Resource Planner'!$M$33,"")</f>
        <v/>
      </c>
    </row>
    <row r="1165" ht="15.75" customHeight="1">
      <c r="A11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5" s="163" t="str">
        <f>IF(AND('Resource Planner'!$A$33="☑",11&lt;='Resource Planner'!$N$33),'Resource Planner'!$C$33,"")</f>
        <v/>
      </c>
      <c r="C1165" s="163" t="str">
        <f>IF(AND('Resource Planner'!$A$33="☑",11&lt;='Resource Planner'!$N$33),'Resource Planner'!$B$33,"")</f>
        <v/>
      </c>
      <c r="D1165" s="163" t="str">
        <f>IF(AND('Resource Planner'!$A$33="☑",11&lt;='Resource Planner'!$N$33),'Resource Planner'!$D$33,"")</f>
        <v/>
      </c>
      <c r="E1165" s="163" t="str">
        <f>IF(AND('Resource Planner'!$A$33="☑",11&lt;='Resource Planner'!$N$33),'Resource Planner'!$E$33,"")</f>
        <v/>
      </c>
      <c r="F1165" s="163" t="str">
        <f>IF(AND('Resource Planner'!$A$33="☑",11&lt;='Resource Planner'!$N$33),'Resource Planner'!$F$33&amp;" "&amp;('Resource Planner'!$G$33+(11-1)*'Resource Planner'!$I$33)&amp;IF(('Resource Planner'!$G$33+(11-1)*'Resource Planner'!$I$33)=MIN('Resource Planner'!$G$33+11*'Resource Planner'!$I$33-1,'Resource Planner'!$H$33),"","–"&amp;MIN('Resource Planner'!$G$33+11*'Resource Planner'!$I$33-1,'Resource Planner'!$H$33)),"")</f>
        <v/>
      </c>
      <c r="G1165" s="163" t="s">
        <v>109</v>
      </c>
      <c r="H1165" s="163" t="str">
        <f>IF(AND('Resource Planner'!$A$33="☑",11&lt;='Resource Planner'!$N$33),'Resource Planner'!$M$33,"")</f>
        <v/>
      </c>
    </row>
    <row r="1166" ht="15.75" customHeight="1">
      <c r="A11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6" s="163" t="str">
        <f>IF(AND('Resource Planner'!$A$33="☑",12&lt;='Resource Planner'!$N$33),'Resource Planner'!$C$33,"")</f>
        <v/>
      </c>
      <c r="C1166" s="163" t="str">
        <f>IF(AND('Resource Planner'!$A$33="☑",12&lt;='Resource Planner'!$N$33),'Resource Planner'!$B$33,"")</f>
        <v/>
      </c>
      <c r="D1166" s="163" t="str">
        <f>IF(AND('Resource Planner'!$A$33="☑",12&lt;='Resource Planner'!$N$33),'Resource Planner'!$D$33,"")</f>
        <v/>
      </c>
      <c r="E1166" s="163" t="str">
        <f>IF(AND('Resource Planner'!$A$33="☑",12&lt;='Resource Planner'!$N$33),'Resource Planner'!$E$33,"")</f>
        <v/>
      </c>
      <c r="F1166" s="163" t="str">
        <f>IF(AND('Resource Planner'!$A$33="☑",12&lt;='Resource Planner'!$N$33),'Resource Planner'!$F$33&amp;" "&amp;('Resource Planner'!$G$33+(12-1)*'Resource Planner'!$I$33)&amp;IF(('Resource Planner'!$G$33+(12-1)*'Resource Planner'!$I$33)=MIN('Resource Planner'!$G$33+12*'Resource Planner'!$I$33-1,'Resource Planner'!$H$33),"","–"&amp;MIN('Resource Planner'!$G$33+12*'Resource Planner'!$I$33-1,'Resource Planner'!$H$33)),"")</f>
        <v/>
      </c>
      <c r="G1166" s="163" t="s">
        <v>109</v>
      </c>
      <c r="H1166" s="163" t="str">
        <f>IF(AND('Resource Planner'!$A$33="☑",12&lt;='Resource Planner'!$N$33),'Resource Planner'!$M$33,"")</f>
        <v/>
      </c>
    </row>
    <row r="1167" ht="15.75" customHeight="1">
      <c r="A11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7" s="163" t="str">
        <f>IF(AND('Resource Planner'!$A$33="☑",13&lt;='Resource Planner'!$N$33),'Resource Planner'!$C$33,"")</f>
        <v/>
      </c>
      <c r="C1167" s="163" t="str">
        <f>IF(AND('Resource Planner'!$A$33="☑",13&lt;='Resource Planner'!$N$33),'Resource Planner'!$B$33,"")</f>
        <v/>
      </c>
      <c r="D1167" s="163" t="str">
        <f>IF(AND('Resource Planner'!$A$33="☑",13&lt;='Resource Planner'!$N$33),'Resource Planner'!$D$33,"")</f>
        <v/>
      </c>
      <c r="E1167" s="163" t="str">
        <f>IF(AND('Resource Planner'!$A$33="☑",13&lt;='Resource Planner'!$N$33),'Resource Planner'!$E$33,"")</f>
        <v/>
      </c>
      <c r="F1167" s="163" t="str">
        <f>IF(AND('Resource Planner'!$A$33="☑",13&lt;='Resource Planner'!$N$33),'Resource Planner'!$F$33&amp;" "&amp;('Resource Planner'!$G$33+(13-1)*'Resource Planner'!$I$33)&amp;IF(('Resource Planner'!$G$33+(13-1)*'Resource Planner'!$I$33)=MIN('Resource Planner'!$G$33+13*'Resource Planner'!$I$33-1,'Resource Planner'!$H$33),"","–"&amp;MIN('Resource Planner'!$G$33+13*'Resource Planner'!$I$33-1,'Resource Planner'!$H$33)),"")</f>
        <v/>
      </c>
      <c r="G1167" s="163" t="s">
        <v>109</v>
      </c>
      <c r="H1167" s="163" t="str">
        <f>IF(AND('Resource Planner'!$A$33="☑",13&lt;='Resource Planner'!$N$33),'Resource Planner'!$M$33,"")</f>
        <v/>
      </c>
    </row>
    <row r="1168" ht="15.75" customHeight="1">
      <c r="A11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8" s="163" t="str">
        <f>IF(AND('Resource Planner'!$A$33="☑",14&lt;='Resource Planner'!$N$33),'Resource Planner'!$C$33,"")</f>
        <v/>
      </c>
      <c r="C1168" s="163" t="str">
        <f>IF(AND('Resource Planner'!$A$33="☑",14&lt;='Resource Planner'!$N$33),'Resource Planner'!$B$33,"")</f>
        <v/>
      </c>
      <c r="D1168" s="163" t="str">
        <f>IF(AND('Resource Planner'!$A$33="☑",14&lt;='Resource Planner'!$N$33),'Resource Planner'!$D$33,"")</f>
        <v/>
      </c>
      <c r="E1168" s="163" t="str">
        <f>IF(AND('Resource Planner'!$A$33="☑",14&lt;='Resource Planner'!$N$33),'Resource Planner'!$E$33,"")</f>
        <v/>
      </c>
      <c r="F1168" s="163" t="str">
        <f>IF(AND('Resource Planner'!$A$33="☑",14&lt;='Resource Planner'!$N$33),'Resource Planner'!$F$33&amp;" "&amp;('Resource Planner'!$G$33+(14-1)*'Resource Planner'!$I$33)&amp;IF(('Resource Planner'!$G$33+(14-1)*'Resource Planner'!$I$33)=MIN('Resource Planner'!$G$33+14*'Resource Planner'!$I$33-1,'Resource Planner'!$H$33),"","–"&amp;MIN('Resource Planner'!$G$33+14*'Resource Planner'!$I$33-1,'Resource Planner'!$H$33)),"")</f>
        <v/>
      </c>
      <c r="G1168" s="163" t="s">
        <v>109</v>
      </c>
      <c r="H1168" s="163" t="str">
        <f>IF(AND('Resource Planner'!$A$33="☑",14&lt;='Resource Planner'!$N$33),'Resource Planner'!$M$33,"")</f>
        <v/>
      </c>
    </row>
    <row r="1169" ht="15.75" customHeight="1">
      <c r="A11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69" s="163" t="str">
        <f>IF(AND('Resource Planner'!$A$33="☑",15&lt;='Resource Planner'!$N$33),'Resource Planner'!$C$33,"")</f>
        <v/>
      </c>
      <c r="C1169" s="163" t="str">
        <f>IF(AND('Resource Planner'!$A$33="☑",15&lt;='Resource Planner'!$N$33),'Resource Planner'!$B$33,"")</f>
        <v/>
      </c>
      <c r="D1169" s="163" t="str">
        <f>IF(AND('Resource Planner'!$A$33="☑",15&lt;='Resource Planner'!$N$33),'Resource Planner'!$D$33,"")</f>
        <v/>
      </c>
      <c r="E1169" s="163" t="str">
        <f>IF(AND('Resource Planner'!$A$33="☑",15&lt;='Resource Planner'!$N$33),'Resource Planner'!$E$33,"")</f>
        <v/>
      </c>
      <c r="F1169" s="163" t="str">
        <f>IF(AND('Resource Planner'!$A$33="☑",15&lt;='Resource Planner'!$N$33),'Resource Planner'!$F$33&amp;" "&amp;('Resource Planner'!$G$33+(15-1)*'Resource Planner'!$I$33)&amp;IF(('Resource Planner'!$G$33+(15-1)*'Resource Planner'!$I$33)=MIN('Resource Planner'!$G$33+15*'Resource Planner'!$I$33-1,'Resource Planner'!$H$33),"","–"&amp;MIN('Resource Planner'!$G$33+15*'Resource Planner'!$I$33-1,'Resource Planner'!$H$33)),"")</f>
        <v/>
      </c>
      <c r="G1169" s="163" t="s">
        <v>109</v>
      </c>
      <c r="H1169" s="163" t="str">
        <f>IF(AND('Resource Planner'!$A$33="☑",15&lt;='Resource Planner'!$N$33),'Resource Planner'!$M$33,"")</f>
        <v/>
      </c>
    </row>
    <row r="1170" ht="15.75" customHeight="1">
      <c r="A11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0" s="163" t="str">
        <f>IF(AND('Resource Planner'!$A$33="☑",16&lt;='Resource Planner'!$N$33),'Resource Planner'!$C$33,"")</f>
        <v/>
      </c>
      <c r="C1170" s="163" t="str">
        <f>IF(AND('Resource Planner'!$A$33="☑",16&lt;='Resource Planner'!$N$33),'Resource Planner'!$B$33,"")</f>
        <v/>
      </c>
      <c r="D1170" s="163" t="str">
        <f>IF(AND('Resource Planner'!$A$33="☑",16&lt;='Resource Planner'!$N$33),'Resource Planner'!$D$33,"")</f>
        <v/>
      </c>
      <c r="E1170" s="163" t="str">
        <f>IF(AND('Resource Planner'!$A$33="☑",16&lt;='Resource Planner'!$N$33),'Resource Planner'!$E$33,"")</f>
        <v/>
      </c>
      <c r="F1170" s="163" t="str">
        <f>IF(AND('Resource Planner'!$A$33="☑",16&lt;='Resource Planner'!$N$33),'Resource Planner'!$F$33&amp;" "&amp;('Resource Planner'!$G$33+(16-1)*'Resource Planner'!$I$33)&amp;IF(('Resource Planner'!$G$33+(16-1)*'Resource Planner'!$I$33)=MIN('Resource Planner'!$G$33+16*'Resource Planner'!$I$33-1,'Resource Planner'!$H$33),"","–"&amp;MIN('Resource Planner'!$G$33+16*'Resource Planner'!$I$33-1,'Resource Planner'!$H$33)),"")</f>
        <v/>
      </c>
      <c r="G1170" s="163" t="s">
        <v>109</v>
      </c>
      <c r="H1170" s="163" t="str">
        <f>IF(AND('Resource Planner'!$A$33="☑",16&lt;='Resource Planner'!$N$33),'Resource Planner'!$M$33,"")</f>
        <v/>
      </c>
    </row>
    <row r="1171" ht="15.75" customHeight="1">
      <c r="A11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1" s="163" t="str">
        <f>IF(AND('Resource Planner'!$A$33="☑",17&lt;='Resource Planner'!$N$33),'Resource Planner'!$C$33,"")</f>
        <v/>
      </c>
      <c r="C1171" s="163" t="str">
        <f>IF(AND('Resource Planner'!$A$33="☑",17&lt;='Resource Planner'!$N$33),'Resource Planner'!$B$33,"")</f>
        <v/>
      </c>
      <c r="D1171" s="163" t="str">
        <f>IF(AND('Resource Planner'!$A$33="☑",17&lt;='Resource Planner'!$N$33),'Resource Planner'!$D$33,"")</f>
        <v/>
      </c>
      <c r="E1171" s="163" t="str">
        <f>IF(AND('Resource Planner'!$A$33="☑",17&lt;='Resource Planner'!$N$33),'Resource Planner'!$E$33,"")</f>
        <v/>
      </c>
      <c r="F1171" s="163" t="str">
        <f>IF(AND('Resource Planner'!$A$33="☑",17&lt;='Resource Planner'!$N$33),'Resource Planner'!$F$33&amp;" "&amp;('Resource Planner'!$G$33+(17-1)*'Resource Planner'!$I$33)&amp;IF(('Resource Planner'!$G$33+(17-1)*'Resource Planner'!$I$33)=MIN('Resource Planner'!$G$33+17*'Resource Planner'!$I$33-1,'Resource Planner'!$H$33),"","–"&amp;MIN('Resource Planner'!$G$33+17*'Resource Planner'!$I$33-1,'Resource Planner'!$H$33)),"")</f>
        <v/>
      </c>
      <c r="G1171" s="163" t="s">
        <v>109</v>
      </c>
      <c r="H1171" s="163" t="str">
        <f>IF(AND('Resource Planner'!$A$33="☑",17&lt;='Resource Planner'!$N$33),'Resource Planner'!$M$33,"")</f>
        <v/>
      </c>
    </row>
    <row r="1172" ht="15.75" customHeight="1">
      <c r="A11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2" s="163" t="str">
        <f>IF(AND('Resource Planner'!$A$33="☑",18&lt;='Resource Planner'!$N$33),'Resource Planner'!$C$33,"")</f>
        <v/>
      </c>
      <c r="C1172" s="163" t="str">
        <f>IF(AND('Resource Planner'!$A$33="☑",18&lt;='Resource Planner'!$N$33),'Resource Planner'!$B$33,"")</f>
        <v/>
      </c>
      <c r="D1172" s="163" t="str">
        <f>IF(AND('Resource Planner'!$A$33="☑",18&lt;='Resource Planner'!$N$33),'Resource Planner'!$D$33,"")</f>
        <v/>
      </c>
      <c r="E1172" s="163" t="str">
        <f>IF(AND('Resource Planner'!$A$33="☑",18&lt;='Resource Planner'!$N$33),'Resource Planner'!$E$33,"")</f>
        <v/>
      </c>
      <c r="F1172" s="163" t="str">
        <f>IF(AND('Resource Planner'!$A$33="☑",18&lt;='Resource Planner'!$N$33),'Resource Planner'!$F$33&amp;" "&amp;('Resource Planner'!$G$33+(18-1)*'Resource Planner'!$I$33)&amp;IF(('Resource Planner'!$G$33+(18-1)*'Resource Planner'!$I$33)=MIN('Resource Planner'!$G$33+18*'Resource Planner'!$I$33-1,'Resource Planner'!$H$33),"","–"&amp;MIN('Resource Planner'!$G$33+18*'Resource Planner'!$I$33-1,'Resource Planner'!$H$33)),"")</f>
        <v/>
      </c>
      <c r="G1172" s="163" t="s">
        <v>109</v>
      </c>
      <c r="H1172" s="163" t="str">
        <f>IF(AND('Resource Planner'!$A$33="☑",18&lt;='Resource Planner'!$N$33),'Resource Planner'!$M$33,"")</f>
        <v/>
      </c>
    </row>
    <row r="1173" ht="15.75" customHeight="1">
      <c r="A11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3" s="163" t="str">
        <f>IF(AND('Resource Planner'!$A$33="☑",19&lt;='Resource Planner'!$N$33),'Resource Planner'!$C$33,"")</f>
        <v/>
      </c>
      <c r="C1173" s="163" t="str">
        <f>IF(AND('Resource Planner'!$A$33="☑",19&lt;='Resource Planner'!$N$33),'Resource Planner'!$B$33,"")</f>
        <v/>
      </c>
      <c r="D1173" s="163" t="str">
        <f>IF(AND('Resource Planner'!$A$33="☑",19&lt;='Resource Planner'!$N$33),'Resource Planner'!$D$33,"")</f>
        <v/>
      </c>
      <c r="E1173" s="163" t="str">
        <f>IF(AND('Resource Planner'!$A$33="☑",19&lt;='Resource Planner'!$N$33),'Resource Planner'!$E$33,"")</f>
        <v/>
      </c>
      <c r="F1173" s="163" t="str">
        <f>IF(AND('Resource Planner'!$A$33="☑",19&lt;='Resource Planner'!$N$33),'Resource Planner'!$F$33&amp;" "&amp;('Resource Planner'!$G$33+(19-1)*'Resource Planner'!$I$33)&amp;IF(('Resource Planner'!$G$33+(19-1)*'Resource Planner'!$I$33)=MIN('Resource Planner'!$G$33+19*'Resource Planner'!$I$33-1,'Resource Planner'!$H$33),"","–"&amp;MIN('Resource Planner'!$G$33+19*'Resource Planner'!$I$33-1,'Resource Planner'!$H$33)),"")</f>
        <v/>
      </c>
      <c r="G1173" s="163" t="s">
        <v>109</v>
      </c>
      <c r="H1173" s="163" t="str">
        <f>IF(AND('Resource Planner'!$A$33="☑",19&lt;='Resource Planner'!$N$33),'Resource Planner'!$M$33,"")</f>
        <v/>
      </c>
    </row>
    <row r="1174" ht="15.75" customHeight="1">
      <c r="A11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4" s="163" t="str">
        <f>IF(AND('Resource Planner'!$A$33="☑",20&lt;='Resource Planner'!$N$33),'Resource Planner'!$C$33,"")</f>
        <v/>
      </c>
      <c r="C1174" s="163" t="str">
        <f>IF(AND('Resource Planner'!$A$33="☑",20&lt;='Resource Planner'!$N$33),'Resource Planner'!$B$33,"")</f>
        <v/>
      </c>
      <c r="D1174" s="163" t="str">
        <f>IF(AND('Resource Planner'!$A$33="☑",20&lt;='Resource Planner'!$N$33),'Resource Planner'!$D$33,"")</f>
        <v/>
      </c>
      <c r="E1174" s="163" t="str">
        <f>IF(AND('Resource Planner'!$A$33="☑",20&lt;='Resource Planner'!$N$33),'Resource Planner'!$E$33,"")</f>
        <v/>
      </c>
      <c r="F1174" s="163" t="str">
        <f>IF(AND('Resource Planner'!$A$33="☑",20&lt;='Resource Planner'!$N$33),'Resource Planner'!$F$33&amp;" "&amp;('Resource Planner'!$G$33+(20-1)*'Resource Planner'!$I$33)&amp;IF(('Resource Planner'!$G$33+(20-1)*'Resource Planner'!$I$33)=MIN('Resource Planner'!$G$33+20*'Resource Planner'!$I$33-1,'Resource Planner'!$H$33),"","–"&amp;MIN('Resource Planner'!$G$33+20*'Resource Planner'!$I$33-1,'Resource Planner'!$H$33)),"")</f>
        <v/>
      </c>
      <c r="G1174" s="163" t="s">
        <v>109</v>
      </c>
      <c r="H1174" s="163" t="str">
        <f>IF(AND('Resource Planner'!$A$33="☑",20&lt;='Resource Planner'!$N$33),'Resource Planner'!$M$33,"")</f>
        <v/>
      </c>
    </row>
    <row r="1175" ht="15.75" customHeight="1">
      <c r="A11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5" s="163" t="str">
        <f>IF(AND('Resource Planner'!$A$33="☑",21&lt;='Resource Planner'!$N$33),'Resource Planner'!$C$33,"")</f>
        <v/>
      </c>
      <c r="C1175" s="163" t="str">
        <f>IF(AND('Resource Planner'!$A$33="☑",21&lt;='Resource Planner'!$N$33),'Resource Planner'!$B$33,"")</f>
        <v/>
      </c>
      <c r="D1175" s="163" t="str">
        <f>IF(AND('Resource Planner'!$A$33="☑",21&lt;='Resource Planner'!$N$33),'Resource Planner'!$D$33,"")</f>
        <v/>
      </c>
      <c r="E1175" s="163" t="str">
        <f>IF(AND('Resource Planner'!$A$33="☑",21&lt;='Resource Planner'!$N$33),'Resource Planner'!$E$33,"")</f>
        <v/>
      </c>
      <c r="F1175" s="163" t="str">
        <f>IF(AND('Resource Planner'!$A$33="☑",21&lt;='Resource Planner'!$N$33),'Resource Planner'!$F$33&amp;" "&amp;('Resource Planner'!$G$33+(21-1)*'Resource Planner'!$I$33)&amp;IF(('Resource Planner'!$G$33+(21-1)*'Resource Planner'!$I$33)=MIN('Resource Planner'!$G$33+21*'Resource Planner'!$I$33-1,'Resource Planner'!$H$33),"","–"&amp;MIN('Resource Planner'!$G$33+21*'Resource Planner'!$I$33-1,'Resource Planner'!$H$33)),"")</f>
        <v/>
      </c>
      <c r="G1175" s="163" t="s">
        <v>109</v>
      </c>
      <c r="H1175" s="163" t="str">
        <f>IF(AND('Resource Planner'!$A$33="☑",21&lt;='Resource Planner'!$N$33),'Resource Planner'!$M$33,"")</f>
        <v/>
      </c>
    </row>
    <row r="1176" ht="15.75" customHeight="1">
      <c r="A11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6" s="163" t="str">
        <f>IF(AND('Resource Planner'!$A$33="☑",22&lt;='Resource Planner'!$N$33),'Resource Planner'!$C$33,"")</f>
        <v/>
      </c>
      <c r="C1176" s="163" t="str">
        <f>IF(AND('Resource Planner'!$A$33="☑",22&lt;='Resource Planner'!$N$33),'Resource Planner'!$B$33,"")</f>
        <v/>
      </c>
      <c r="D1176" s="163" t="str">
        <f>IF(AND('Resource Planner'!$A$33="☑",22&lt;='Resource Planner'!$N$33),'Resource Planner'!$D$33,"")</f>
        <v/>
      </c>
      <c r="E1176" s="163" t="str">
        <f>IF(AND('Resource Planner'!$A$33="☑",22&lt;='Resource Planner'!$N$33),'Resource Planner'!$E$33,"")</f>
        <v/>
      </c>
      <c r="F1176" s="163" t="str">
        <f>IF(AND('Resource Planner'!$A$33="☑",22&lt;='Resource Planner'!$N$33),'Resource Planner'!$F$33&amp;" "&amp;('Resource Planner'!$G$33+(22-1)*'Resource Planner'!$I$33)&amp;IF(('Resource Planner'!$G$33+(22-1)*'Resource Planner'!$I$33)=MIN('Resource Planner'!$G$33+22*'Resource Planner'!$I$33-1,'Resource Planner'!$H$33),"","–"&amp;MIN('Resource Planner'!$G$33+22*'Resource Planner'!$I$33-1,'Resource Planner'!$H$33)),"")</f>
        <v/>
      </c>
      <c r="G1176" s="163" t="s">
        <v>109</v>
      </c>
      <c r="H1176" s="163" t="str">
        <f>IF(AND('Resource Planner'!$A$33="☑",22&lt;='Resource Planner'!$N$33),'Resource Planner'!$M$33,"")</f>
        <v/>
      </c>
    </row>
    <row r="1177" ht="15.75" customHeight="1">
      <c r="A11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7" s="163" t="str">
        <f>IF(AND('Resource Planner'!$A$33="☑",23&lt;='Resource Planner'!$N$33),'Resource Planner'!$C$33,"")</f>
        <v/>
      </c>
      <c r="C1177" s="163" t="str">
        <f>IF(AND('Resource Planner'!$A$33="☑",23&lt;='Resource Planner'!$N$33),'Resource Planner'!$B$33,"")</f>
        <v/>
      </c>
      <c r="D1177" s="163" t="str">
        <f>IF(AND('Resource Planner'!$A$33="☑",23&lt;='Resource Planner'!$N$33),'Resource Planner'!$D$33,"")</f>
        <v/>
      </c>
      <c r="E1177" s="163" t="str">
        <f>IF(AND('Resource Planner'!$A$33="☑",23&lt;='Resource Planner'!$N$33),'Resource Planner'!$E$33,"")</f>
        <v/>
      </c>
      <c r="F1177" s="163" t="str">
        <f>IF(AND('Resource Planner'!$A$33="☑",23&lt;='Resource Planner'!$N$33),'Resource Planner'!$F$33&amp;" "&amp;('Resource Planner'!$G$33+(23-1)*'Resource Planner'!$I$33)&amp;IF(('Resource Planner'!$G$33+(23-1)*'Resource Planner'!$I$33)=MIN('Resource Planner'!$G$33+23*'Resource Planner'!$I$33-1,'Resource Planner'!$H$33),"","–"&amp;MIN('Resource Planner'!$G$33+23*'Resource Planner'!$I$33-1,'Resource Planner'!$H$33)),"")</f>
        <v/>
      </c>
      <c r="G1177" s="163" t="s">
        <v>109</v>
      </c>
      <c r="H1177" s="163" t="str">
        <f>IF(AND('Resource Planner'!$A$33="☑",23&lt;='Resource Planner'!$N$33),'Resource Planner'!$M$33,"")</f>
        <v/>
      </c>
    </row>
    <row r="1178" ht="15.75" customHeight="1">
      <c r="A11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8" s="163" t="str">
        <f>IF(AND('Resource Planner'!$A$33="☑",24&lt;='Resource Planner'!$N$33),'Resource Planner'!$C$33,"")</f>
        <v/>
      </c>
      <c r="C1178" s="163" t="str">
        <f>IF(AND('Resource Planner'!$A$33="☑",24&lt;='Resource Planner'!$N$33),'Resource Planner'!$B$33,"")</f>
        <v/>
      </c>
      <c r="D1178" s="163" t="str">
        <f>IF(AND('Resource Planner'!$A$33="☑",24&lt;='Resource Planner'!$N$33),'Resource Planner'!$D$33,"")</f>
        <v/>
      </c>
      <c r="E1178" s="163" t="str">
        <f>IF(AND('Resource Planner'!$A$33="☑",24&lt;='Resource Planner'!$N$33),'Resource Planner'!$E$33,"")</f>
        <v/>
      </c>
      <c r="F1178" s="163" t="str">
        <f>IF(AND('Resource Planner'!$A$33="☑",24&lt;='Resource Planner'!$N$33),'Resource Planner'!$F$33&amp;" "&amp;('Resource Planner'!$G$33+(24-1)*'Resource Planner'!$I$33)&amp;IF(('Resource Planner'!$G$33+(24-1)*'Resource Planner'!$I$33)=MIN('Resource Planner'!$G$33+24*'Resource Planner'!$I$33-1,'Resource Planner'!$H$33),"","–"&amp;MIN('Resource Planner'!$G$33+24*'Resource Planner'!$I$33-1,'Resource Planner'!$H$33)),"")</f>
        <v/>
      </c>
      <c r="G1178" s="163" t="s">
        <v>109</v>
      </c>
      <c r="H1178" s="163" t="str">
        <f>IF(AND('Resource Planner'!$A$33="☑",24&lt;='Resource Planner'!$N$33),'Resource Planner'!$M$33,"")</f>
        <v/>
      </c>
    </row>
    <row r="1179" ht="15.75" customHeight="1">
      <c r="A11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79" s="163" t="str">
        <f>IF(AND('Resource Planner'!$A$33="☑",25&lt;='Resource Planner'!$N$33),'Resource Planner'!$C$33,"")</f>
        <v/>
      </c>
      <c r="C1179" s="163" t="str">
        <f>IF(AND('Resource Planner'!$A$33="☑",25&lt;='Resource Planner'!$N$33),'Resource Planner'!$B$33,"")</f>
        <v/>
      </c>
      <c r="D1179" s="163" t="str">
        <f>IF(AND('Resource Planner'!$A$33="☑",25&lt;='Resource Planner'!$N$33),'Resource Planner'!$D$33,"")</f>
        <v/>
      </c>
      <c r="E1179" s="163" t="str">
        <f>IF(AND('Resource Planner'!$A$33="☑",25&lt;='Resource Planner'!$N$33),'Resource Planner'!$E$33,"")</f>
        <v/>
      </c>
      <c r="F1179" s="163" t="str">
        <f>IF(AND('Resource Planner'!$A$33="☑",25&lt;='Resource Planner'!$N$33),'Resource Planner'!$F$33&amp;" "&amp;('Resource Planner'!$G$33+(25-1)*'Resource Planner'!$I$33)&amp;IF(('Resource Planner'!$G$33+(25-1)*'Resource Planner'!$I$33)=MIN('Resource Planner'!$G$33+25*'Resource Planner'!$I$33-1,'Resource Planner'!$H$33),"","–"&amp;MIN('Resource Planner'!$G$33+25*'Resource Planner'!$I$33-1,'Resource Planner'!$H$33)),"")</f>
        <v/>
      </c>
      <c r="G1179" s="163" t="s">
        <v>109</v>
      </c>
      <c r="H1179" s="163" t="str">
        <f>IF(AND('Resource Planner'!$A$33="☑",25&lt;='Resource Planner'!$N$33),'Resource Planner'!$M$33,"")</f>
        <v/>
      </c>
    </row>
    <row r="1180" ht="15.75" customHeight="1">
      <c r="A11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0" s="163" t="str">
        <f>IF(AND('Resource Planner'!$A$33="☑",26&lt;='Resource Planner'!$N$33),'Resource Planner'!$C$33,"")</f>
        <v/>
      </c>
      <c r="C1180" s="163" t="str">
        <f>IF(AND('Resource Planner'!$A$33="☑",26&lt;='Resource Planner'!$N$33),'Resource Planner'!$B$33,"")</f>
        <v/>
      </c>
      <c r="D1180" s="163" t="str">
        <f>IF(AND('Resource Planner'!$A$33="☑",26&lt;='Resource Planner'!$N$33),'Resource Planner'!$D$33,"")</f>
        <v/>
      </c>
      <c r="E1180" s="163" t="str">
        <f>IF(AND('Resource Planner'!$A$33="☑",26&lt;='Resource Planner'!$N$33),'Resource Planner'!$E$33,"")</f>
        <v/>
      </c>
      <c r="F1180" s="163" t="str">
        <f>IF(AND('Resource Planner'!$A$33="☑",26&lt;='Resource Planner'!$N$33),'Resource Planner'!$F$33&amp;" "&amp;('Resource Planner'!$G$33+(26-1)*'Resource Planner'!$I$33)&amp;IF(('Resource Planner'!$G$33+(26-1)*'Resource Planner'!$I$33)=MIN('Resource Planner'!$G$33+26*'Resource Planner'!$I$33-1,'Resource Planner'!$H$33),"","–"&amp;MIN('Resource Planner'!$G$33+26*'Resource Planner'!$I$33-1,'Resource Planner'!$H$33)),"")</f>
        <v/>
      </c>
      <c r="G1180" s="163" t="s">
        <v>109</v>
      </c>
      <c r="H1180" s="163" t="str">
        <f>IF(AND('Resource Planner'!$A$33="☑",26&lt;='Resource Planner'!$N$33),'Resource Planner'!$M$33,"")</f>
        <v/>
      </c>
    </row>
    <row r="1181" ht="15.75" customHeight="1">
      <c r="A11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1" s="163" t="str">
        <f>IF(AND('Resource Planner'!$A$33="☑",27&lt;='Resource Planner'!$N$33),'Resource Planner'!$C$33,"")</f>
        <v/>
      </c>
      <c r="C1181" s="163" t="str">
        <f>IF(AND('Resource Planner'!$A$33="☑",27&lt;='Resource Planner'!$N$33),'Resource Planner'!$B$33,"")</f>
        <v/>
      </c>
      <c r="D1181" s="163" t="str">
        <f>IF(AND('Resource Planner'!$A$33="☑",27&lt;='Resource Planner'!$N$33),'Resource Planner'!$D$33,"")</f>
        <v/>
      </c>
      <c r="E1181" s="163" t="str">
        <f>IF(AND('Resource Planner'!$A$33="☑",27&lt;='Resource Planner'!$N$33),'Resource Planner'!$E$33,"")</f>
        <v/>
      </c>
      <c r="F1181" s="163" t="str">
        <f>IF(AND('Resource Planner'!$A$33="☑",27&lt;='Resource Planner'!$N$33),'Resource Planner'!$F$33&amp;" "&amp;('Resource Planner'!$G$33+(27-1)*'Resource Planner'!$I$33)&amp;IF(('Resource Planner'!$G$33+(27-1)*'Resource Planner'!$I$33)=MIN('Resource Planner'!$G$33+27*'Resource Planner'!$I$33-1,'Resource Planner'!$H$33),"","–"&amp;MIN('Resource Planner'!$G$33+27*'Resource Planner'!$I$33-1,'Resource Planner'!$H$33)),"")</f>
        <v/>
      </c>
      <c r="G1181" s="163" t="s">
        <v>109</v>
      </c>
      <c r="H1181" s="163" t="str">
        <f>IF(AND('Resource Planner'!$A$33="☑",27&lt;='Resource Planner'!$N$33),'Resource Planner'!$M$33,"")</f>
        <v/>
      </c>
    </row>
    <row r="1182" ht="15.75" customHeight="1">
      <c r="A11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2" s="163" t="str">
        <f>IF(AND('Resource Planner'!$A$33="☑",28&lt;='Resource Planner'!$N$33),'Resource Planner'!$C$33,"")</f>
        <v/>
      </c>
      <c r="C1182" s="163" t="str">
        <f>IF(AND('Resource Planner'!$A$33="☑",28&lt;='Resource Planner'!$N$33),'Resource Planner'!$B$33,"")</f>
        <v/>
      </c>
      <c r="D1182" s="163" t="str">
        <f>IF(AND('Resource Planner'!$A$33="☑",28&lt;='Resource Planner'!$N$33),'Resource Planner'!$D$33,"")</f>
        <v/>
      </c>
      <c r="E1182" s="163" t="str">
        <f>IF(AND('Resource Planner'!$A$33="☑",28&lt;='Resource Planner'!$N$33),'Resource Planner'!$E$33,"")</f>
        <v/>
      </c>
      <c r="F1182" s="163" t="str">
        <f>IF(AND('Resource Planner'!$A$33="☑",28&lt;='Resource Planner'!$N$33),'Resource Planner'!$F$33&amp;" "&amp;('Resource Planner'!$G$33+(28-1)*'Resource Planner'!$I$33)&amp;IF(('Resource Planner'!$G$33+(28-1)*'Resource Planner'!$I$33)=MIN('Resource Planner'!$G$33+28*'Resource Planner'!$I$33-1,'Resource Planner'!$H$33),"","–"&amp;MIN('Resource Planner'!$G$33+28*'Resource Planner'!$I$33-1,'Resource Planner'!$H$33)),"")</f>
        <v/>
      </c>
      <c r="G1182" s="163" t="s">
        <v>109</v>
      </c>
      <c r="H1182" s="163" t="str">
        <f>IF(AND('Resource Planner'!$A$33="☑",28&lt;='Resource Planner'!$N$33),'Resource Planner'!$M$33,"")</f>
        <v/>
      </c>
    </row>
    <row r="1183" ht="15.75" customHeight="1">
      <c r="A11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3" s="163" t="str">
        <f>IF(AND('Resource Planner'!$A$33="☑",29&lt;='Resource Planner'!$N$33),'Resource Planner'!$C$33,"")</f>
        <v/>
      </c>
      <c r="C1183" s="163" t="str">
        <f>IF(AND('Resource Planner'!$A$33="☑",29&lt;='Resource Planner'!$N$33),'Resource Planner'!$B$33,"")</f>
        <v/>
      </c>
      <c r="D1183" s="163" t="str">
        <f>IF(AND('Resource Planner'!$A$33="☑",29&lt;='Resource Planner'!$N$33),'Resource Planner'!$D$33,"")</f>
        <v/>
      </c>
      <c r="E1183" s="163" t="str">
        <f>IF(AND('Resource Planner'!$A$33="☑",29&lt;='Resource Planner'!$N$33),'Resource Planner'!$E$33,"")</f>
        <v/>
      </c>
      <c r="F1183" s="163" t="str">
        <f>IF(AND('Resource Planner'!$A$33="☑",29&lt;='Resource Planner'!$N$33),'Resource Planner'!$F$33&amp;" "&amp;('Resource Planner'!$G$33+(29-1)*'Resource Planner'!$I$33)&amp;IF(('Resource Planner'!$G$33+(29-1)*'Resource Planner'!$I$33)=MIN('Resource Planner'!$G$33+29*'Resource Planner'!$I$33-1,'Resource Planner'!$H$33),"","–"&amp;MIN('Resource Planner'!$G$33+29*'Resource Planner'!$I$33-1,'Resource Planner'!$H$33)),"")</f>
        <v/>
      </c>
      <c r="G1183" s="163" t="s">
        <v>109</v>
      </c>
      <c r="H1183" s="163" t="str">
        <f>IF(AND('Resource Planner'!$A$33="☑",29&lt;='Resource Planner'!$N$33),'Resource Planner'!$M$33,"")</f>
        <v/>
      </c>
    </row>
    <row r="1184" ht="15.75" customHeight="1">
      <c r="A11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4" s="163" t="str">
        <f>IF(AND('Resource Planner'!$A$33="☑",30&lt;='Resource Planner'!$N$33),'Resource Planner'!$C$33,"")</f>
        <v/>
      </c>
      <c r="C1184" s="163" t="str">
        <f>IF(AND('Resource Planner'!$A$33="☑",30&lt;='Resource Planner'!$N$33),'Resource Planner'!$B$33,"")</f>
        <v/>
      </c>
      <c r="D1184" s="163" t="str">
        <f>IF(AND('Resource Planner'!$A$33="☑",30&lt;='Resource Planner'!$N$33),'Resource Planner'!$D$33,"")</f>
        <v/>
      </c>
      <c r="E1184" s="163" t="str">
        <f>IF(AND('Resource Planner'!$A$33="☑",30&lt;='Resource Planner'!$N$33),'Resource Planner'!$E$33,"")</f>
        <v/>
      </c>
      <c r="F1184" s="163" t="str">
        <f>IF(AND('Resource Planner'!$A$33="☑",30&lt;='Resource Planner'!$N$33),'Resource Planner'!$F$33&amp;" "&amp;('Resource Planner'!$G$33+(30-1)*'Resource Planner'!$I$33)&amp;IF(('Resource Planner'!$G$33+(30-1)*'Resource Planner'!$I$33)=MIN('Resource Planner'!$G$33+30*'Resource Planner'!$I$33-1,'Resource Planner'!$H$33),"","–"&amp;MIN('Resource Planner'!$G$33+30*'Resource Planner'!$I$33-1,'Resource Planner'!$H$33)),"")</f>
        <v/>
      </c>
      <c r="G1184" s="163" t="s">
        <v>109</v>
      </c>
      <c r="H1184" s="163" t="str">
        <f>IF(AND('Resource Planner'!$A$33="☑",30&lt;='Resource Planner'!$N$33),'Resource Planner'!$M$33,"")</f>
        <v/>
      </c>
    </row>
    <row r="1185" ht="15.75" customHeight="1">
      <c r="A11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5" s="163" t="str">
        <f>IF(AND('Resource Planner'!$A$33="☑",31&lt;='Resource Planner'!$N$33),'Resource Planner'!$C$33,"")</f>
        <v/>
      </c>
      <c r="C1185" s="163" t="str">
        <f>IF(AND('Resource Planner'!$A$33="☑",31&lt;='Resource Planner'!$N$33),'Resource Planner'!$B$33,"")</f>
        <v/>
      </c>
      <c r="D1185" s="163" t="str">
        <f>IF(AND('Resource Planner'!$A$33="☑",31&lt;='Resource Planner'!$N$33),'Resource Planner'!$D$33,"")</f>
        <v/>
      </c>
      <c r="E1185" s="163" t="str">
        <f>IF(AND('Resource Planner'!$A$33="☑",31&lt;='Resource Planner'!$N$33),'Resource Planner'!$E$33,"")</f>
        <v/>
      </c>
      <c r="F1185" s="163" t="str">
        <f>IF(AND('Resource Planner'!$A$33="☑",31&lt;='Resource Planner'!$N$33),'Resource Planner'!$F$33&amp;" "&amp;('Resource Planner'!$G$33+(31-1)*'Resource Planner'!$I$33)&amp;IF(('Resource Planner'!$G$33+(31-1)*'Resource Planner'!$I$33)=MIN('Resource Planner'!$G$33+31*'Resource Planner'!$I$33-1,'Resource Planner'!$H$33),"","–"&amp;MIN('Resource Planner'!$G$33+31*'Resource Planner'!$I$33-1,'Resource Planner'!$H$33)),"")</f>
        <v/>
      </c>
      <c r="G1185" s="163" t="s">
        <v>109</v>
      </c>
      <c r="H1185" s="163" t="str">
        <f>IF(AND('Resource Planner'!$A$33="☑",31&lt;='Resource Planner'!$N$33),'Resource Planner'!$M$33,"")</f>
        <v/>
      </c>
    </row>
    <row r="1186" ht="15.75" customHeight="1">
      <c r="A11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6" s="163" t="str">
        <f>IF(AND('Resource Planner'!$A$33="☑",32&lt;='Resource Planner'!$N$33),'Resource Planner'!$C$33,"")</f>
        <v/>
      </c>
      <c r="C1186" s="163" t="str">
        <f>IF(AND('Resource Planner'!$A$33="☑",32&lt;='Resource Planner'!$N$33),'Resource Planner'!$B$33,"")</f>
        <v/>
      </c>
      <c r="D1186" s="163" t="str">
        <f>IF(AND('Resource Planner'!$A$33="☑",32&lt;='Resource Planner'!$N$33),'Resource Planner'!$D$33,"")</f>
        <v/>
      </c>
      <c r="E1186" s="163" t="str">
        <f>IF(AND('Resource Planner'!$A$33="☑",32&lt;='Resource Planner'!$N$33),'Resource Planner'!$E$33,"")</f>
        <v/>
      </c>
      <c r="F1186" s="163" t="str">
        <f>IF(AND('Resource Planner'!$A$33="☑",32&lt;='Resource Planner'!$N$33),'Resource Planner'!$F$33&amp;" "&amp;('Resource Planner'!$G$33+(32-1)*'Resource Planner'!$I$33)&amp;IF(('Resource Planner'!$G$33+(32-1)*'Resource Planner'!$I$33)=MIN('Resource Planner'!$G$33+32*'Resource Planner'!$I$33-1,'Resource Planner'!$H$33),"","–"&amp;MIN('Resource Planner'!$G$33+32*'Resource Planner'!$I$33-1,'Resource Planner'!$H$33)),"")</f>
        <v/>
      </c>
      <c r="G1186" s="163" t="s">
        <v>109</v>
      </c>
      <c r="H1186" s="163" t="str">
        <f>IF(AND('Resource Planner'!$A$33="☑",32&lt;='Resource Planner'!$N$33),'Resource Planner'!$M$33,"")</f>
        <v/>
      </c>
    </row>
    <row r="1187" ht="15.75" customHeight="1">
      <c r="A11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7" s="163" t="str">
        <f>IF(AND('Resource Planner'!$A$33="☑",33&lt;='Resource Planner'!$N$33),'Resource Planner'!$C$33,"")</f>
        <v/>
      </c>
      <c r="C1187" s="163" t="str">
        <f>IF(AND('Resource Planner'!$A$33="☑",33&lt;='Resource Planner'!$N$33),'Resource Planner'!$B$33,"")</f>
        <v/>
      </c>
      <c r="D1187" s="163" t="str">
        <f>IF(AND('Resource Planner'!$A$33="☑",33&lt;='Resource Planner'!$N$33),'Resource Planner'!$D$33,"")</f>
        <v/>
      </c>
      <c r="E1187" s="163" t="str">
        <f>IF(AND('Resource Planner'!$A$33="☑",33&lt;='Resource Planner'!$N$33),'Resource Planner'!$E$33,"")</f>
        <v/>
      </c>
      <c r="F1187" s="163" t="str">
        <f>IF(AND('Resource Planner'!$A$33="☑",33&lt;='Resource Planner'!$N$33),'Resource Planner'!$F$33&amp;" "&amp;('Resource Planner'!$G$33+(33-1)*'Resource Planner'!$I$33)&amp;IF(('Resource Planner'!$G$33+(33-1)*'Resource Planner'!$I$33)=MIN('Resource Planner'!$G$33+33*'Resource Planner'!$I$33-1,'Resource Planner'!$H$33),"","–"&amp;MIN('Resource Planner'!$G$33+33*'Resource Planner'!$I$33-1,'Resource Planner'!$H$33)),"")</f>
        <v/>
      </c>
      <c r="G1187" s="163" t="s">
        <v>109</v>
      </c>
      <c r="H1187" s="163" t="str">
        <f>IF(AND('Resource Planner'!$A$33="☑",33&lt;='Resource Planner'!$N$33),'Resource Planner'!$M$33,"")</f>
        <v/>
      </c>
    </row>
    <row r="1188" ht="15.75" customHeight="1">
      <c r="A11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8" s="163" t="str">
        <f>IF(AND('Resource Planner'!$A$33="☑",34&lt;='Resource Planner'!$N$33),'Resource Planner'!$C$33,"")</f>
        <v/>
      </c>
      <c r="C1188" s="163" t="str">
        <f>IF(AND('Resource Planner'!$A$33="☑",34&lt;='Resource Planner'!$N$33),'Resource Planner'!$B$33,"")</f>
        <v/>
      </c>
      <c r="D1188" s="163" t="str">
        <f>IF(AND('Resource Planner'!$A$33="☑",34&lt;='Resource Planner'!$N$33),'Resource Planner'!$D$33,"")</f>
        <v/>
      </c>
      <c r="E1188" s="163" t="str">
        <f>IF(AND('Resource Planner'!$A$33="☑",34&lt;='Resource Planner'!$N$33),'Resource Planner'!$E$33,"")</f>
        <v/>
      </c>
      <c r="F1188" s="163" t="str">
        <f>IF(AND('Resource Planner'!$A$33="☑",34&lt;='Resource Planner'!$N$33),'Resource Planner'!$F$33&amp;" "&amp;('Resource Planner'!$G$33+(34-1)*'Resource Planner'!$I$33)&amp;IF(('Resource Planner'!$G$33+(34-1)*'Resource Planner'!$I$33)=MIN('Resource Planner'!$G$33+34*'Resource Planner'!$I$33-1,'Resource Planner'!$H$33),"","–"&amp;MIN('Resource Planner'!$G$33+34*'Resource Planner'!$I$33-1,'Resource Planner'!$H$33)),"")</f>
        <v/>
      </c>
      <c r="G1188" s="163" t="s">
        <v>109</v>
      </c>
      <c r="H1188" s="163" t="str">
        <f>IF(AND('Resource Planner'!$A$33="☑",34&lt;='Resource Planner'!$N$33),'Resource Planner'!$M$33,"")</f>
        <v/>
      </c>
    </row>
    <row r="1189" ht="15.75" customHeight="1">
      <c r="A11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89" s="163" t="str">
        <f>IF(AND('Resource Planner'!$A$33="☑",35&lt;='Resource Planner'!$N$33),'Resource Planner'!$C$33,"")</f>
        <v/>
      </c>
      <c r="C1189" s="163" t="str">
        <f>IF(AND('Resource Planner'!$A$33="☑",35&lt;='Resource Planner'!$N$33),'Resource Planner'!$B$33,"")</f>
        <v/>
      </c>
      <c r="D1189" s="163" t="str">
        <f>IF(AND('Resource Planner'!$A$33="☑",35&lt;='Resource Planner'!$N$33),'Resource Planner'!$D$33,"")</f>
        <v/>
      </c>
      <c r="E1189" s="163" t="str">
        <f>IF(AND('Resource Planner'!$A$33="☑",35&lt;='Resource Planner'!$N$33),'Resource Planner'!$E$33,"")</f>
        <v/>
      </c>
      <c r="F1189" s="163" t="str">
        <f>IF(AND('Resource Planner'!$A$33="☑",35&lt;='Resource Planner'!$N$33),'Resource Planner'!$F$33&amp;" "&amp;('Resource Planner'!$G$33+(35-1)*'Resource Planner'!$I$33)&amp;IF(('Resource Planner'!$G$33+(35-1)*'Resource Planner'!$I$33)=MIN('Resource Planner'!$G$33+35*'Resource Planner'!$I$33-1,'Resource Planner'!$H$33),"","–"&amp;MIN('Resource Planner'!$G$33+35*'Resource Planner'!$I$33-1,'Resource Planner'!$H$33)),"")</f>
        <v/>
      </c>
      <c r="G1189" s="163" t="s">
        <v>109</v>
      </c>
      <c r="H1189" s="163" t="str">
        <f>IF(AND('Resource Planner'!$A$33="☑",35&lt;='Resource Planner'!$N$33),'Resource Planner'!$M$33,"")</f>
        <v/>
      </c>
    </row>
    <row r="1190" ht="15.75" customHeight="1">
      <c r="A11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0" s="163" t="str">
        <f>IF(AND('Resource Planner'!$A$33="☑",36&lt;='Resource Planner'!$N$33),'Resource Planner'!$C$33,"")</f>
        <v/>
      </c>
      <c r="C1190" s="163" t="str">
        <f>IF(AND('Resource Planner'!$A$33="☑",36&lt;='Resource Planner'!$N$33),'Resource Planner'!$B$33,"")</f>
        <v/>
      </c>
      <c r="D1190" s="163" t="str">
        <f>IF(AND('Resource Planner'!$A$33="☑",36&lt;='Resource Planner'!$N$33),'Resource Planner'!$D$33,"")</f>
        <v/>
      </c>
      <c r="E1190" s="163" t="str">
        <f>IF(AND('Resource Planner'!$A$33="☑",36&lt;='Resource Planner'!$N$33),'Resource Planner'!$E$33,"")</f>
        <v/>
      </c>
      <c r="F1190" s="163" t="str">
        <f>IF(AND('Resource Planner'!$A$33="☑",36&lt;='Resource Planner'!$N$33),'Resource Planner'!$F$33&amp;" "&amp;('Resource Planner'!$G$33+(36-1)*'Resource Planner'!$I$33)&amp;IF(('Resource Planner'!$G$33+(36-1)*'Resource Planner'!$I$33)=MIN('Resource Planner'!$G$33+36*'Resource Planner'!$I$33-1,'Resource Planner'!$H$33),"","–"&amp;MIN('Resource Planner'!$G$33+36*'Resource Planner'!$I$33-1,'Resource Planner'!$H$33)),"")</f>
        <v/>
      </c>
      <c r="G1190" s="163" t="s">
        <v>109</v>
      </c>
      <c r="H1190" s="163" t="str">
        <f>IF(AND('Resource Planner'!$A$33="☑",36&lt;='Resource Planner'!$N$33),'Resource Planner'!$M$33,"")</f>
        <v/>
      </c>
    </row>
    <row r="1191" ht="15.75" customHeight="1">
      <c r="A11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1" s="163" t="str">
        <f>IF(AND('Resource Planner'!$A$33="☑",37&lt;='Resource Planner'!$N$33),'Resource Planner'!$C$33,"")</f>
        <v/>
      </c>
      <c r="C1191" s="163" t="str">
        <f>IF(AND('Resource Planner'!$A$33="☑",37&lt;='Resource Planner'!$N$33),'Resource Planner'!$B$33,"")</f>
        <v/>
      </c>
      <c r="D1191" s="163" t="str">
        <f>IF(AND('Resource Planner'!$A$33="☑",37&lt;='Resource Planner'!$N$33),'Resource Planner'!$D$33,"")</f>
        <v/>
      </c>
      <c r="E1191" s="163" t="str">
        <f>IF(AND('Resource Planner'!$A$33="☑",37&lt;='Resource Planner'!$N$33),'Resource Planner'!$E$33,"")</f>
        <v/>
      </c>
      <c r="F1191" s="163" t="str">
        <f>IF(AND('Resource Planner'!$A$33="☑",37&lt;='Resource Planner'!$N$33),'Resource Planner'!$F$33&amp;" "&amp;('Resource Planner'!$G$33+(37-1)*'Resource Planner'!$I$33)&amp;IF(('Resource Planner'!$G$33+(37-1)*'Resource Planner'!$I$33)=MIN('Resource Planner'!$G$33+37*'Resource Planner'!$I$33-1,'Resource Planner'!$H$33),"","–"&amp;MIN('Resource Planner'!$G$33+37*'Resource Planner'!$I$33-1,'Resource Planner'!$H$33)),"")</f>
        <v/>
      </c>
      <c r="G1191" s="163" t="s">
        <v>109</v>
      </c>
      <c r="H1191" s="163" t="str">
        <f>IF(AND('Resource Planner'!$A$33="☑",37&lt;='Resource Planner'!$N$33),'Resource Planner'!$M$33,"")</f>
        <v/>
      </c>
    </row>
    <row r="1192" ht="15.75" customHeight="1">
      <c r="A11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2" s="163" t="str">
        <f>IF(AND('Resource Planner'!$A$33="☑",38&lt;='Resource Planner'!$N$33),'Resource Planner'!$C$33,"")</f>
        <v/>
      </c>
      <c r="C1192" s="163" t="str">
        <f>IF(AND('Resource Planner'!$A$33="☑",38&lt;='Resource Planner'!$N$33),'Resource Planner'!$B$33,"")</f>
        <v/>
      </c>
      <c r="D1192" s="163" t="str">
        <f>IF(AND('Resource Planner'!$A$33="☑",38&lt;='Resource Planner'!$N$33),'Resource Planner'!$D$33,"")</f>
        <v/>
      </c>
      <c r="E1192" s="163" t="str">
        <f>IF(AND('Resource Planner'!$A$33="☑",38&lt;='Resource Planner'!$N$33),'Resource Planner'!$E$33,"")</f>
        <v/>
      </c>
      <c r="F1192" s="163" t="str">
        <f>IF(AND('Resource Planner'!$A$33="☑",38&lt;='Resource Planner'!$N$33),'Resource Planner'!$F$33&amp;" "&amp;('Resource Planner'!$G$33+(38-1)*'Resource Planner'!$I$33)&amp;IF(('Resource Planner'!$G$33+(38-1)*'Resource Planner'!$I$33)=MIN('Resource Planner'!$G$33+38*'Resource Planner'!$I$33-1,'Resource Planner'!$H$33),"","–"&amp;MIN('Resource Planner'!$G$33+38*'Resource Planner'!$I$33-1,'Resource Planner'!$H$33)),"")</f>
        <v/>
      </c>
      <c r="G1192" s="163" t="s">
        <v>109</v>
      </c>
      <c r="H1192" s="163" t="str">
        <f>IF(AND('Resource Planner'!$A$33="☑",38&lt;='Resource Planner'!$N$33),'Resource Planner'!$M$33,"")</f>
        <v/>
      </c>
    </row>
    <row r="1193" ht="15.75" customHeight="1">
      <c r="A11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3" s="163" t="str">
        <f>IF(AND('Resource Planner'!$A$33="☑",39&lt;='Resource Planner'!$N$33),'Resource Planner'!$C$33,"")</f>
        <v/>
      </c>
      <c r="C1193" s="163" t="str">
        <f>IF(AND('Resource Planner'!$A$33="☑",39&lt;='Resource Planner'!$N$33),'Resource Planner'!$B$33,"")</f>
        <v/>
      </c>
      <c r="D1193" s="163" t="str">
        <f>IF(AND('Resource Planner'!$A$33="☑",39&lt;='Resource Planner'!$N$33),'Resource Planner'!$D$33,"")</f>
        <v/>
      </c>
      <c r="E1193" s="163" t="str">
        <f>IF(AND('Resource Planner'!$A$33="☑",39&lt;='Resource Planner'!$N$33),'Resource Planner'!$E$33,"")</f>
        <v/>
      </c>
      <c r="F1193" s="163" t="str">
        <f>IF(AND('Resource Planner'!$A$33="☑",39&lt;='Resource Planner'!$N$33),'Resource Planner'!$F$33&amp;" "&amp;('Resource Planner'!$G$33+(39-1)*'Resource Planner'!$I$33)&amp;IF(('Resource Planner'!$G$33+(39-1)*'Resource Planner'!$I$33)=MIN('Resource Planner'!$G$33+39*'Resource Planner'!$I$33-1,'Resource Planner'!$H$33),"","–"&amp;MIN('Resource Planner'!$G$33+39*'Resource Planner'!$I$33-1,'Resource Planner'!$H$33)),"")</f>
        <v/>
      </c>
      <c r="G1193" s="163" t="s">
        <v>109</v>
      </c>
      <c r="H1193" s="163" t="str">
        <f>IF(AND('Resource Planner'!$A$33="☑",39&lt;='Resource Planner'!$N$33),'Resource Planner'!$M$33,"")</f>
        <v/>
      </c>
    </row>
    <row r="1194" ht="15.75" customHeight="1">
      <c r="A11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4" s="163" t="str">
        <f>IF(AND('Resource Planner'!$A$33="☑",40&lt;='Resource Planner'!$N$33),'Resource Planner'!$C$33,"")</f>
        <v/>
      </c>
      <c r="C1194" s="163" t="str">
        <f>IF(AND('Resource Planner'!$A$33="☑",40&lt;='Resource Planner'!$N$33),'Resource Planner'!$B$33,"")</f>
        <v/>
      </c>
      <c r="D1194" s="163" t="str">
        <f>IF(AND('Resource Planner'!$A$33="☑",40&lt;='Resource Planner'!$N$33),'Resource Planner'!$D$33,"")</f>
        <v/>
      </c>
      <c r="E1194" s="163" t="str">
        <f>IF(AND('Resource Planner'!$A$33="☑",40&lt;='Resource Planner'!$N$33),'Resource Planner'!$E$33,"")</f>
        <v/>
      </c>
      <c r="F1194" s="163" t="str">
        <f>IF(AND('Resource Planner'!$A$33="☑",40&lt;='Resource Planner'!$N$33),'Resource Planner'!$F$33&amp;" "&amp;('Resource Planner'!$G$33+(40-1)*'Resource Planner'!$I$33)&amp;IF(('Resource Planner'!$G$33+(40-1)*'Resource Planner'!$I$33)=MIN('Resource Planner'!$G$33+40*'Resource Planner'!$I$33-1,'Resource Planner'!$H$33),"","–"&amp;MIN('Resource Planner'!$G$33+40*'Resource Planner'!$I$33-1,'Resource Planner'!$H$33)),"")</f>
        <v/>
      </c>
      <c r="G1194" s="163" t="s">
        <v>109</v>
      </c>
      <c r="H1194" s="163" t="str">
        <f>IF(AND('Resource Planner'!$A$33="☑",40&lt;='Resource Planner'!$N$33),'Resource Planner'!$M$33,"")</f>
        <v/>
      </c>
    </row>
    <row r="1195" ht="15.75" customHeight="1">
      <c r="A11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5" s="163" t="str">
        <f>IF(AND('Resource Planner'!$A$33="☑",41&lt;='Resource Planner'!$N$33),'Resource Planner'!$C$33,"")</f>
        <v/>
      </c>
      <c r="C1195" s="163" t="str">
        <f>IF(AND('Resource Planner'!$A$33="☑",41&lt;='Resource Planner'!$N$33),'Resource Planner'!$B$33,"")</f>
        <v/>
      </c>
      <c r="D1195" s="163" t="str">
        <f>IF(AND('Resource Planner'!$A$33="☑",41&lt;='Resource Planner'!$N$33),'Resource Planner'!$D$33,"")</f>
        <v/>
      </c>
      <c r="E1195" s="163" t="str">
        <f>IF(AND('Resource Planner'!$A$33="☑",41&lt;='Resource Planner'!$N$33),'Resource Planner'!$E$33,"")</f>
        <v/>
      </c>
      <c r="F1195" s="163" t="str">
        <f>IF(AND('Resource Planner'!$A$33="☑",41&lt;='Resource Planner'!$N$33),'Resource Planner'!$F$33&amp;" "&amp;('Resource Planner'!$G$33+(41-1)*'Resource Planner'!$I$33)&amp;IF(('Resource Planner'!$G$33+(41-1)*'Resource Planner'!$I$33)=MIN('Resource Planner'!$G$33+41*'Resource Planner'!$I$33-1,'Resource Planner'!$H$33),"","–"&amp;MIN('Resource Planner'!$G$33+41*'Resource Planner'!$I$33-1,'Resource Planner'!$H$33)),"")</f>
        <v/>
      </c>
      <c r="G1195" s="163" t="s">
        <v>109</v>
      </c>
      <c r="H1195" s="163" t="str">
        <f>IF(AND('Resource Planner'!$A$33="☑",41&lt;='Resource Planner'!$N$33),'Resource Planner'!$M$33,"")</f>
        <v/>
      </c>
    </row>
    <row r="1196" ht="15.75" customHeight="1">
      <c r="A11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6" s="163" t="str">
        <f>IF(AND('Resource Planner'!$A$33="☑",42&lt;='Resource Planner'!$N$33),'Resource Planner'!$C$33,"")</f>
        <v/>
      </c>
      <c r="C1196" s="163" t="str">
        <f>IF(AND('Resource Planner'!$A$33="☑",42&lt;='Resource Planner'!$N$33),'Resource Planner'!$B$33,"")</f>
        <v/>
      </c>
      <c r="D1196" s="163" t="str">
        <f>IF(AND('Resource Planner'!$A$33="☑",42&lt;='Resource Planner'!$N$33),'Resource Planner'!$D$33,"")</f>
        <v/>
      </c>
      <c r="E1196" s="163" t="str">
        <f>IF(AND('Resource Planner'!$A$33="☑",42&lt;='Resource Planner'!$N$33),'Resource Planner'!$E$33,"")</f>
        <v/>
      </c>
      <c r="F1196" s="163" t="str">
        <f>IF(AND('Resource Planner'!$A$33="☑",42&lt;='Resource Planner'!$N$33),'Resource Planner'!$F$33&amp;" "&amp;('Resource Planner'!$G$33+(42-1)*'Resource Planner'!$I$33)&amp;IF(('Resource Planner'!$G$33+(42-1)*'Resource Planner'!$I$33)=MIN('Resource Planner'!$G$33+42*'Resource Planner'!$I$33-1,'Resource Planner'!$H$33),"","–"&amp;MIN('Resource Planner'!$G$33+42*'Resource Planner'!$I$33-1,'Resource Planner'!$H$33)),"")</f>
        <v/>
      </c>
      <c r="G1196" s="163" t="s">
        <v>109</v>
      </c>
      <c r="H1196" s="163" t="str">
        <f>IF(AND('Resource Planner'!$A$33="☑",42&lt;='Resource Planner'!$N$33),'Resource Planner'!$M$33,"")</f>
        <v/>
      </c>
    </row>
    <row r="1197" ht="15.75" customHeight="1">
      <c r="A11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7" s="163" t="str">
        <f>IF(AND('Resource Planner'!$A$33="☑",43&lt;='Resource Planner'!$N$33),'Resource Planner'!$C$33,"")</f>
        <v/>
      </c>
      <c r="C1197" s="163" t="str">
        <f>IF(AND('Resource Planner'!$A$33="☑",43&lt;='Resource Planner'!$N$33),'Resource Planner'!$B$33,"")</f>
        <v/>
      </c>
      <c r="D1197" s="163" t="str">
        <f>IF(AND('Resource Planner'!$A$33="☑",43&lt;='Resource Planner'!$N$33),'Resource Planner'!$D$33,"")</f>
        <v/>
      </c>
      <c r="E1197" s="163" t="str">
        <f>IF(AND('Resource Planner'!$A$33="☑",43&lt;='Resource Planner'!$N$33),'Resource Planner'!$E$33,"")</f>
        <v/>
      </c>
      <c r="F1197" s="163" t="str">
        <f>IF(AND('Resource Planner'!$A$33="☑",43&lt;='Resource Planner'!$N$33),'Resource Planner'!$F$33&amp;" "&amp;('Resource Planner'!$G$33+(43-1)*'Resource Planner'!$I$33)&amp;IF(('Resource Planner'!$G$33+(43-1)*'Resource Planner'!$I$33)=MIN('Resource Planner'!$G$33+43*'Resource Planner'!$I$33-1,'Resource Planner'!$H$33),"","–"&amp;MIN('Resource Planner'!$G$33+43*'Resource Planner'!$I$33-1,'Resource Planner'!$H$33)),"")</f>
        <v/>
      </c>
      <c r="G1197" s="163" t="s">
        <v>109</v>
      </c>
      <c r="H1197" s="163" t="str">
        <f>IF(AND('Resource Planner'!$A$33="☑",43&lt;='Resource Planner'!$N$33),'Resource Planner'!$M$33,"")</f>
        <v/>
      </c>
    </row>
    <row r="1198" ht="15.75" customHeight="1">
      <c r="A11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8" s="163" t="str">
        <f>IF(AND('Resource Planner'!$A$33="☑",44&lt;='Resource Planner'!$N$33),'Resource Planner'!$C$33,"")</f>
        <v/>
      </c>
      <c r="C1198" s="163" t="str">
        <f>IF(AND('Resource Planner'!$A$33="☑",44&lt;='Resource Planner'!$N$33),'Resource Planner'!$B$33,"")</f>
        <v/>
      </c>
      <c r="D1198" s="163" t="str">
        <f>IF(AND('Resource Planner'!$A$33="☑",44&lt;='Resource Planner'!$N$33),'Resource Planner'!$D$33,"")</f>
        <v/>
      </c>
      <c r="E1198" s="163" t="str">
        <f>IF(AND('Resource Planner'!$A$33="☑",44&lt;='Resource Planner'!$N$33),'Resource Planner'!$E$33,"")</f>
        <v/>
      </c>
      <c r="F1198" s="163" t="str">
        <f>IF(AND('Resource Planner'!$A$33="☑",44&lt;='Resource Planner'!$N$33),'Resource Planner'!$F$33&amp;" "&amp;('Resource Planner'!$G$33+(44-1)*'Resource Planner'!$I$33)&amp;IF(('Resource Planner'!$G$33+(44-1)*'Resource Planner'!$I$33)=MIN('Resource Planner'!$G$33+44*'Resource Planner'!$I$33-1,'Resource Planner'!$H$33),"","–"&amp;MIN('Resource Planner'!$G$33+44*'Resource Planner'!$I$33-1,'Resource Planner'!$H$33)),"")</f>
        <v/>
      </c>
      <c r="G1198" s="163" t="s">
        <v>109</v>
      </c>
      <c r="H1198" s="163" t="str">
        <f>IF(AND('Resource Planner'!$A$33="☑",44&lt;='Resource Planner'!$N$33),'Resource Planner'!$M$33,"")</f>
        <v/>
      </c>
    </row>
    <row r="1199" ht="15.75" customHeight="1">
      <c r="A11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199" s="163" t="str">
        <f>IF(AND('Resource Planner'!$A$33="☑",45&lt;='Resource Planner'!$N$33),'Resource Planner'!$C$33,"")</f>
        <v/>
      </c>
      <c r="C1199" s="163" t="str">
        <f>IF(AND('Resource Planner'!$A$33="☑",45&lt;='Resource Planner'!$N$33),'Resource Planner'!$B$33,"")</f>
        <v/>
      </c>
      <c r="D1199" s="163" t="str">
        <f>IF(AND('Resource Planner'!$A$33="☑",45&lt;='Resource Planner'!$N$33),'Resource Planner'!$D$33,"")</f>
        <v/>
      </c>
      <c r="E1199" s="163" t="str">
        <f>IF(AND('Resource Planner'!$A$33="☑",45&lt;='Resource Planner'!$N$33),'Resource Planner'!$E$33,"")</f>
        <v/>
      </c>
      <c r="F1199" s="163" t="str">
        <f>IF(AND('Resource Planner'!$A$33="☑",45&lt;='Resource Planner'!$N$33),'Resource Planner'!$F$33&amp;" "&amp;('Resource Planner'!$G$33+(45-1)*'Resource Planner'!$I$33)&amp;IF(('Resource Planner'!$G$33+(45-1)*'Resource Planner'!$I$33)=MIN('Resource Planner'!$G$33+45*'Resource Planner'!$I$33-1,'Resource Planner'!$H$33),"","–"&amp;MIN('Resource Planner'!$G$33+45*'Resource Planner'!$I$33-1,'Resource Planner'!$H$33)),"")</f>
        <v/>
      </c>
      <c r="G1199" s="163" t="s">
        <v>109</v>
      </c>
      <c r="H1199" s="163" t="str">
        <f>IF(AND('Resource Planner'!$A$33="☑",45&lt;='Resource Planner'!$N$33),'Resource Planner'!$M$33,"")</f>
        <v/>
      </c>
    </row>
    <row r="1200" ht="15.75" customHeight="1">
      <c r="A12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0" s="163" t="str">
        <f>IF(AND('Resource Planner'!$A$33="☑",46&lt;='Resource Planner'!$N$33),'Resource Planner'!$C$33,"")</f>
        <v/>
      </c>
      <c r="C1200" s="163" t="str">
        <f>IF(AND('Resource Planner'!$A$33="☑",46&lt;='Resource Planner'!$N$33),'Resource Planner'!$B$33,"")</f>
        <v/>
      </c>
      <c r="D1200" s="163" t="str">
        <f>IF(AND('Resource Planner'!$A$33="☑",46&lt;='Resource Planner'!$N$33),'Resource Planner'!$D$33,"")</f>
        <v/>
      </c>
      <c r="E1200" s="163" t="str">
        <f>IF(AND('Resource Planner'!$A$33="☑",46&lt;='Resource Planner'!$N$33),'Resource Planner'!$E$33,"")</f>
        <v/>
      </c>
      <c r="F1200" s="163" t="str">
        <f>IF(AND('Resource Planner'!$A$33="☑",46&lt;='Resource Planner'!$N$33),'Resource Planner'!$F$33&amp;" "&amp;('Resource Planner'!$G$33+(46-1)*'Resource Planner'!$I$33)&amp;IF(('Resource Planner'!$G$33+(46-1)*'Resource Planner'!$I$33)=MIN('Resource Planner'!$G$33+46*'Resource Planner'!$I$33-1,'Resource Planner'!$H$33),"","–"&amp;MIN('Resource Planner'!$G$33+46*'Resource Planner'!$I$33-1,'Resource Planner'!$H$33)),"")</f>
        <v/>
      </c>
      <c r="G1200" s="163" t="s">
        <v>109</v>
      </c>
      <c r="H1200" s="163" t="str">
        <f>IF(AND('Resource Planner'!$A$33="☑",46&lt;='Resource Planner'!$N$33),'Resource Planner'!$M$33,"")</f>
        <v/>
      </c>
    </row>
    <row r="1201" ht="15.75" customHeight="1">
      <c r="A12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1" s="163" t="str">
        <f>IF(AND('Resource Planner'!$A$33="☑",47&lt;='Resource Planner'!$N$33),'Resource Planner'!$C$33,"")</f>
        <v/>
      </c>
      <c r="C1201" s="163" t="str">
        <f>IF(AND('Resource Planner'!$A$33="☑",47&lt;='Resource Planner'!$N$33),'Resource Planner'!$B$33,"")</f>
        <v/>
      </c>
      <c r="D1201" s="163" t="str">
        <f>IF(AND('Resource Planner'!$A$33="☑",47&lt;='Resource Planner'!$N$33),'Resource Planner'!$D$33,"")</f>
        <v/>
      </c>
      <c r="E1201" s="163" t="str">
        <f>IF(AND('Resource Planner'!$A$33="☑",47&lt;='Resource Planner'!$N$33),'Resource Planner'!$E$33,"")</f>
        <v/>
      </c>
      <c r="F1201" s="163" t="str">
        <f>IF(AND('Resource Planner'!$A$33="☑",47&lt;='Resource Planner'!$N$33),'Resource Planner'!$F$33&amp;" "&amp;('Resource Planner'!$G$33+(47-1)*'Resource Planner'!$I$33)&amp;IF(('Resource Planner'!$G$33+(47-1)*'Resource Planner'!$I$33)=MIN('Resource Planner'!$G$33+47*'Resource Planner'!$I$33-1,'Resource Planner'!$H$33),"","–"&amp;MIN('Resource Planner'!$G$33+47*'Resource Planner'!$I$33-1,'Resource Planner'!$H$33)),"")</f>
        <v/>
      </c>
      <c r="G1201" s="163" t="s">
        <v>109</v>
      </c>
      <c r="H1201" s="163" t="str">
        <f>IF(AND('Resource Planner'!$A$33="☑",47&lt;='Resource Planner'!$N$33),'Resource Planner'!$M$33,"")</f>
        <v/>
      </c>
    </row>
    <row r="1202" ht="15.75" customHeight="1">
      <c r="A12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2" s="163" t="str">
        <f>IF(AND('Resource Planner'!$A$33="☑",48&lt;='Resource Planner'!$N$33),'Resource Planner'!$C$33,"")</f>
        <v/>
      </c>
      <c r="C1202" s="163" t="str">
        <f>IF(AND('Resource Planner'!$A$33="☑",48&lt;='Resource Planner'!$N$33),'Resource Planner'!$B$33,"")</f>
        <v/>
      </c>
      <c r="D1202" s="163" t="str">
        <f>IF(AND('Resource Planner'!$A$33="☑",48&lt;='Resource Planner'!$N$33),'Resource Planner'!$D$33,"")</f>
        <v/>
      </c>
      <c r="E1202" s="163" t="str">
        <f>IF(AND('Resource Planner'!$A$33="☑",48&lt;='Resource Planner'!$N$33),'Resource Planner'!$E$33,"")</f>
        <v/>
      </c>
      <c r="F1202" s="163" t="str">
        <f>IF(AND('Resource Planner'!$A$33="☑",48&lt;='Resource Planner'!$N$33),'Resource Planner'!$F$33&amp;" "&amp;('Resource Planner'!$G$33+(48-1)*'Resource Planner'!$I$33)&amp;IF(('Resource Planner'!$G$33+(48-1)*'Resource Planner'!$I$33)=MIN('Resource Planner'!$G$33+48*'Resource Planner'!$I$33-1,'Resource Planner'!$H$33),"","–"&amp;MIN('Resource Planner'!$G$33+48*'Resource Planner'!$I$33-1,'Resource Planner'!$H$33)),"")</f>
        <v/>
      </c>
      <c r="G1202" s="163" t="s">
        <v>109</v>
      </c>
      <c r="H1202" s="163" t="str">
        <f>IF(AND('Resource Planner'!$A$33="☑",48&lt;='Resource Planner'!$N$33),'Resource Planner'!$M$33,"")</f>
        <v/>
      </c>
    </row>
    <row r="1203" ht="15.75" customHeight="1">
      <c r="A12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3" s="163" t="str">
        <f>IF(AND('Resource Planner'!$A$33="☑",49&lt;='Resource Planner'!$N$33),'Resource Planner'!$C$33,"")</f>
        <v/>
      </c>
      <c r="C1203" s="163" t="str">
        <f>IF(AND('Resource Planner'!$A$33="☑",49&lt;='Resource Planner'!$N$33),'Resource Planner'!$B$33,"")</f>
        <v/>
      </c>
      <c r="D1203" s="163" t="str">
        <f>IF(AND('Resource Planner'!$A$33="☑",49&lt;='Resource Planner'!$N$33),'Resource Planner'!$D$33,"")</f>
        <v/>
      </c>
      <c r="E1203" s="163" t="str">
        <f>IF(AND('Resource Planner'!$A$33="☑",49&lt;='Resource Planner'!$N$33),'Resource Planner'!$E$33,"")</f>
        <v/>
      </c>
      <c r="F1203" s="163" t="str">
        <f>IF(AND('Resource Planner'!$A$33="☑",49&lt;='Resource Planner'!$N$33),'Resource Planner'!$F$33&amp;" "&amp;('Resource Planner'!$G$33+(49-1)*'Resource Planner'!$I$33)&amp;IF(('Resource Planner'!$G$33+(49-1)*'Resource Planner'!$I$33)=MIN('Resource Planner'!$G$33+49*'Resource Planner'!$I$33-1,'Resource Planner'!$H$33),"","–"&amp;MIN('Resource Planner'!$G$33+49*'Resource Planner'!$I$33-1,'Resource Planner'!$H$33)),"")</f>
        <v/>
      </c>
      <c r="G1203" s="163" t="s">
        <v>109</v>
      </c>
      <c r="H1203" s="163" t="str">
        <f>IF(AND('Resource Planner'!$A$33="☑",49&lt;='Resource Planner'!$N$33),'Resource Planner'!$M$33,"")</f>
        <v/>
      </c>
    </row>
    <row r="1204" ht="15.75" customHeight="1">
      <c r="A12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4" s="163" t="str">
        <f>IF(AND('Resource Planner'!$A$33="☑",50&lt;='Resource Planner'!$N$33),'Resource Planner'!$C$33,"")</f>
        <v/>
      </c>
      <c r="C1204" s="163" t="str">
        <f>IF(AND('Resource Planner'!$A$33="☑",50&lt;='Resource Planner'!$N$33),'Resource Planner'!$B$33,"")</f>
        <v/>
      </c>
      <c r="D1204" s="163" t="str">
        <f>IF(AND('Resource Planner'!$A$33="☑",50&lt;='Resource Planner'!$N$33),'Resource Planner'!$D$33,"")</f>
        <v/>
      </c>
      <c r="E1204" s="163" t="str">
        <f>IF(AND('Resource Planner'!$A$33="☑",50&lt;='Resource Planner'!$N$33),'Resource Planner'!$E$33,"")</f>
        <v/>
      </c>
      <c r="F1204" s="163" t="str">
        <f>IF(AND('Resource Planner'!$A$33="☑",50&lt;='Resource Planner'!$N$33),'Resource Planner'!$F$33&amp;" "&amp;('Resource Planner'!$G$33+(50-1)*'Resource Planner'!$I$33)&amp;IF(('Resource Planner'!$G$33+(50-1)*'Resource Planner'!$I$33)=MIN('Resource Planner'!$G$33+50*'Resource Planner'!$I$33-1,'Resource Planner'!$H$33),"","–"&amp;MIN('Resource Planner'!$G$33+50*'Resource Planner'!$I$33-1,'Resource Planner'!$H$33)),"")</f>
        <v/>
      </c>
      <c r="G1204" s="163" t="s">
        <v>109</v>
      </c>
      <c r="H1204" s="163" t="str">
        <f>IF(AND('Resource Planner'!$A$33="☑",50&lt;='Resource Planner'!$N$33),'Resource Planner'!$M$33,"")</f>
        <v/>
      </c>
    </row>
    <row r="1205" ht="15.75" customHeight="1">
      <c r="A12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5" s="163" t="str">
        <f>IF(AND('Resource Planner'!$A$34="☑",1&lt;='Resource Planner'!$N$34),'Resource Planner'!$C$34,"")</f>
        <v/>
      </c>
      <c r="C1205" s="163" t="str">
        <f>IF(AND('Resource Planner'!$A$34="☑",1&lt;='Resource Planner'!$N$34),'Resource Planner'!$B$34,"")</f>
        <v/>
      </c>
      <c r="D1205" s="163" t="str">
        <f>IF(AND('Resource Planner'!$A$34="☑",1&lt;='Resource Planner'!$N$34),'Resource Planner'!$D$34,"")</f>
        <v/>
      </c>
      <c r="E1205" s="163" t="str">
        <f>IF(AND('Resource Planner'!$A$34="☑",1&lt;='Resource Planner'!$N$34),'Resource Planner'!$E$34,"")</f>
        <v/>
      </c>
      <c r="F1205" s="163" t="str">
        <f>IF(AND('Resource Planner'!$A$34="☑",1&lt;='Resource Planner'!$N$34),'Resource Planner'!$F$34&amp;" "&amp;('Resource Planner'!$G$34+(1-1)*'Resource Planner'!$I$34)&amp;IF(('Resource Planner'!$G$34+(1-1)*'Resource Planner'!$I$34)=MIN('Resource Planner'!$G$34+1*'Resource Planner'!$I$34-1,'Resource Planner'!$H$34),"","–"&amp;MIN('Resource Planner'!$G$34+1*'Resource Planner'!$I$34-1,'Resource Planner'!$H$34)),"")</f>
        <v/>
      </c>
      <c r="G1205" s="163" t="s">
        <v>109</v>
      </c>
      <c r="H1205" s="163" t="str">
        <f>IF(AND('Resource Planner'!$A$34="☑",1&lt;='Resource Planner'!$N$34),'Resource Planner'!$M$34,"")</f>
        <v/>
      </c>
    </row>
    <row r="1206" ht="15.75" customHeight="1">
      <c r="A12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6" s="163" t="str">
        <f>IF(AND('Resource Planner'!$A$34="☑",2&lt;='Resource Planner'!$N$34),'Resource Planner'!$C$34,"")</f>
        <v/>
      </c>
      <c r="C1206" s="163" t="str">
        <f>IF(AND('Resource Planner'!$A$34="☑",2&lt;='Resource Planner'!$N$34),'Resource Planner'!$B$34,"")</f>
        <v/>
      </c>
      <c r="D1206" s="163" t="str">
        <f>IF(AND('Resource Planner'!$A$34="☑",2&lt;='Resource Planner'!$N$34),'Resource Planner'!$D$34,"")</f>
        <v/>
      </c>
      <c r="E1206" s="163" t="str">
        <f>IF(AND('Resource Planner'!$A$34="☑",2&lt;='Resource Planner'!$N$34),'Resource Planner'!$E$34,"")</f>
        <v/>
      </c>
      <c r="F1206" s="163" t="str">
        <f>IF(AND('Resource Planner'!$A$34="☑",2&lt;='Resource Planner'!$N$34),'Resource Planner'!$F$34&amp;" "&amp;('Resource Planner'!$G$34+(2-1)*'Resource Planner'!$I$34)&amp;IF(('Resource Planner'!$G$34+(2-1)*'Resource Planner'!$I$34)=MIN('Resource Planner'!$G$34+2*'Resource Planner'!$I$34-1,'Resource Planner'!$H$34),"","–"&amp;MIN('Resource Planner'!$G$34+2*'Resource Planner'!$I$34-1,'Resource Planner'!$H$34)),"")</f>
        <v/>
      </c>
      <c r="G1206" s="163" t="s">
        <v>109</v>
      </c>
      <c r="H1206" s="163" t="str">
        <f>IF(AND('Resource Planner'!$A$34="☑",2&lt;='Resource Planner'!$N$34),'Resource Planner'!$M$34,"")</f>
        <v/>
      </c>
    </row>
    <row r="1207" ht="15.75" customHeight="1">
      <c r="A12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7" s="163" t="str">
        <f>IF(AND('Resource Planner'!$A$34="☑",3&lt;='Resource Planner'!$N$34),'Resource Planner'!$C$34,"")</f>
        <v/>
      </c>
      <c r="C1207" s="163" t="str">
        <f>IF(AND('Resource Planner'!$A$34="☑",3&lt;='Resource Planner'!$N$34),'Resource Planner'!$B$34,"")</f>
        <v/>
      </c>
      <c r="D1207" s="163" t="str">
        <f>IF(AND('Resource Planner'!$A$34="☑",3&lt;='Resource Planner'!$N$34),'Resource Planner'!$D$34,"")</f>
        <v/>
      </c>
      <c r="E1207" s="163" t="str">
        <f>IF(AND('Resource Planner'!$A$34="☑",3&lt;='Resource Planner'!$N$34),'Resource Planner'!$E$34,"")</f>
        <v/>
      </c>
      <c r="F1207" s="163" t="str">
        <f>IF(AND('Resource Planner'!$A$34="☑",3&lt;='Resource Planner'!$N$34),'Resource Planner'!$F$34&amp;" "&amp;('Resource Planner'!$G$34+(3-1)*'Resource Planner'!$I$34)&amp;IF(('Resource Planner'!$G$34+(3-1)*'Resource Planner'!$I$34)=MIN('Resource Planner'!$G$34+3*'Resource Planner'!$I$34-1,'Resource Planner'!$H$34),"","–"&amp;MIN('Resource Planner'!$G$34+3*'Resource Planner'!$I$34-1,'Resource Planner'!$H$34)),"")</f>
        <v/>
      </c>
      <c r="G1207" s="163" t="s">
        <v>109</v>
      </c>
      <c r="H1207" s="163" t="str">
        <f>IF(AND('Resource Planner'!$A$34="☑",3&lt;='Resource Planner'!$N$34),'Resource Planner'!$M$34,"")</f>
        <v/>
      </c>
    </row>
    <row r="1208" ht="15.75" customHeight="1">
      <c r="A12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8" s="163" t="str">
        <f>IF(AND('Resource Planner'!$A$34="☑",4&lt;='Resource Planner'!$N$34),'Resource Planner'!$C$34,"")</f>
        <v/>
      </c>
      <c r="C1208" s="163" t="str">
        <f>IF(AND('Resource Planner'!$A$34="☑",4&lt;='Resource Planner'!$N$34),'Resource Planner'!$B$34,"")</f>
        <v/>
      </c>
      <c r="D1208" s="163" t="str">
        <f>IF(AND('Resource Planner'!$A$34="☑",4&lt;='Resource Planner'!$N$34),'Resource Planner'!$D$34,"")</f>
        <v/>
      </c>
      <c r="E1208" s="163" t="str">
        <f>IF(AND('Resource Planner'!$A$34="☑",4&lt;='Resource Planner'!$N$34),'Resource Planner'!$E$34,"")</f>
        <v/>
      </c>
      <c r="F1208" s="163" t="str">
        <f>IF(AND('Resource Planner'!$A$34="☑",4&lt;='Resource Planner'!$N$34),'Resource Planner'!$F$34&amp;" "&amp;('Resource Planner'!$G$34+(4-1)*'Resource Planner'!$I$34)&amp;IF(('Resource Planner'!$G$34+(4-1)*'Resource Planner'!$I$34)=MIN('Resource Planner'!$G$34+4*'Resource Planner'!$I$34-1,'Resource Planner'!$H$34),"","–"&amp;MIN('Resource Planner'!$G$34+4*'Resource Planner'!$I$34-1,'Resource Planner'!$H$34)),"")</f>
        <v/>
      </c>
      <c r="G1208" s="163" t="s">
        <v>109</v>
      </c>
      <c r="H1208" s="163" t="str">
        <f>IF(AND('Resource Planner'!$A$34="☑",4&lt;='Resource Planner'!$N$34),'Resource Planner'!$M$34,"")</f>
        <v/>
      </c>
    </row>
    <row r="1209" ht="15.75" customHeight="1">
      <c r="A12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09" s="163" t="str">
        <f>IF(AND('Resource Planner'!$A$34="☑",5&lt;='Resource Planner'!$N$34),'Resource Planner'!$C$34,"")</f>
        <v/>
      </c>
      <c r="C1209" s="163" t="str">
        <f>IF(AND('Resource Planner'!$A$34="☑",5&lt;='Resource Planner'!$N$34),'Resource Planner'!$B$34,"")</f>
        <v/>
      </c>
      <c r="D1209" s="163" t="str">
        <f>IF(AND('Resource Planner'!$A$34="☑",5&lt;='Resource Planner'!$N$34),'Resource Planner'!$D$34,"")</f>
        <v/>
      </c>
      <c r="E1209" s="163" t="str">
        <f>IF(AND('Resource Planner'!$A$34="☑",5&lt;='Resource Planner'!$N$34),'Resource Planner'!$E$34,"")</f>
        <v/>
      </c>
      <c r="F1209" s="163" t="str">
        <f>IF(AND('Resource Planner'!$A$34="☑",5&lt;='Resource Planner'!$N$34),'Resource Planner'!$F$34&amp;" "&amp;('Resource Planner'!$G$34+(5-1)*'Resource Planner'!$I$34)&amp;IF(('Resource Planner'!$G$34+(5-1)*'Resource Planner'!$I$34)=MIN('Resource Planner'!$G$34+5*'Resource Planner'!$I$34-1,'Resource Planner'!$H$34),"","–"&amp;MIN('Resource Planner'!$G$34+5*'Resource Planner'!$I$34-1,'Resource Planner'!$H$34)),"")</f>
        <v/>
      </c>
      <c r="G1209" s="163" t="s">
        <v>109</v>
      </c>
      <c r="H1209" s="163" t="str">
        <f>IF(AND('Resource Planner'!$A$34="☑",5&lt;='Resource Planner'!$N$34),'Resource Planner'!$M$34,"")</f>
        <v/>
      </c>
    </row>
    <row r="1210" ht="15.75" customHeight="1">
      <c r="A12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0" s="163" t="str">
        <f>IF(AND('Resource Planner'!$A$34="☑",6&lt;='Resource Planner'!$N$34),'Resource Planner'!$C$34,"")</f>
        <v/>
      </c>
      <c r="C1210" s="163" t="str">
        <f>IF(AND('Resource Planner'!$A$34="☑",6&lt;='Resource Planner'!$N$34),'Resource Planner'!$B$34,"")</f>
        <v/>
      </c>
      <c r="D1210" s="163" t="str">
        <f>IF(AND('Resource Planner'!$A$34="☑",6&lt;='Resource Planner'!$N$34),'Resource Planner'!$D$34,"")</f>
        <v/>
      </c>
      <c r="E1210" s="163" t="str">
        <f>IF(AND('Resource Planner'!$A$34="☑",6&lt;='Resource Planner'!$N$34),'Resource Planner'!$E$34,"")</f>
        <v/>
      </c>
      <c r="F1210" s="163" t="str">
        <f>IF(AND('Resource Planner'!$A$34="☑",6&lt;='Resource Planner'!$N$34),'Resource Planner'!$F$34&amp;" "&amp;('Resource Planner'!$G$34+(6-1)*'Resource Planner'!$I$34)&amp;IF(('Resource Planner'!$G$34+(6-1)*'Resource Planner'!$I$34)=MIN('Resource Planner'!$G$34+6*'Resource Planner'!$I$34-1,'Resource Planner'!$H$34),"","–"&amp;MIN('Resource Planner'!$G$34+6*'Resource Planner'!$I$34-1,'Resource Planner'!$H$34)),"")</f>
        <v/>
      </c>
      <c r="G1210" s="163" t="s">
        <v>109</v>
      </c>
      <c r="H1210" s="163" t="str">
        <f>IF(AND('Resource Planner'!$A$34="☑",6&lt;='Resource Planner'!$N$34),'Resource Planner'!$M$34,"")</f>
        <v/>
      </c>
    </row>
    <row r="1211" ht="15.75" customHeight="1">
      <c r="A12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1" s="163" t="str">
        <f>IF(AND('Resource Planner'!$A$34="☑",7&lt;='Resource Planner'!$N$34),'Resource Planner'!$C$34,"")</f>
        <v/>
      </c>
      <c r="C1211" s="163" t="str">
        <f>IF(AND('Resource Planner'!$A$34="☑",7&lt;='Resource Planner'!$N$34),'Resource Planner'!$B$34,"")</f>
        <v/>
      </c>
      <c r="D1211" s="163" t="str">
        <f>IF(AND('Resource Planner'!$A$34="☑",7&lt;='Resource Planner'!$N$34),'Resource Planner'!$D$34,"")</f>
        <v/>
      </c>
      <c r="E1211" s="163" t="str">
        <f>IF(AND('Resource Planner'!$A$34="☑",7&lt;='Resource Planner'!$N$34),'Resource Planner'!$E$34,"")</f>
        <v/>
      </c>
      <c r="F1211" s="163" t="str">
        <f>IF(AND('Resource Planner'!$A$34="☑",7&lt;='Resource Planner'!$N$34),'Resource Planner'!$F$34&amp;" "&amp;('Resource Planner'!$G$34+(7-1)*'Resource Planner'!$I$34)&amp;IF(('Resource Planner'!$G$34+(7-1)*'Resource Planner'!$I$34)=MIN('Resource Planner'!$G$34+7*'Resource Planner'!$I$34-1,'Resource Planner'!$H$34),"","–"&amp;MIN('Resource Planner'!$G$34+7*'Resource Planner'!$I$34-1,'Resource Planner'!$H$34)),"")</f>
        <v/>
      </c>
      <c r="G1211" s="163" t="s">
        <v>109</v>
      </c>
      <c r="H1211" s="163" t="str">
        <f>IF(AND('Resource Planner'!$A$34="☑",7&lt;='Resource Planner'!$N$34),'Resource Planner'!$M$34,"")</f>
        <v/>
      </c>
    </row>
    <row r="1212" ht="15.75" customHeight="1">
      <c r="A12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2" s="163" t="str">
        <f>IF(AND('Resource Planner'!$A$34="☑",8&lt;='Resource Planner'!$N$34),'Resource Planner'!$C$34,"")</f>
        <v/>
      </c>
      <c r="C1212" s="163" t="str">
        <f>IF(AND('Resource Planner'!$A$34="☑",8&lt;='Resource Planner'!$N$34),'Resource Planner'!$B$34,"")</f>
        <v/>
      </c>
      <c r="D1212" s="163" t="str">
        <f>IF(AND('Resource Planner'!$A$34="☑",8&lt;='Resource Planner'!$N$34),'Resource Planner'!$D$34,"")</f>
        <v/>
      </c>
      <c r="E1212" s="163" t="str">
        <f>IF(AND('Resource Planner'!$A$34="☑",8&lt;='Resource Planner'!$N$34),'Resource Planner'!$E$34,"")</f>
        <v/>
      </c>
      <c r="F1212" s="163" t="str">
        <f>IF(AND('Resource Planner'!$A$34="☑",8&lt;='Resource Planner'!$N$34),'Resource Planner'!$F$34&amp;" "&amp;('Resource Planner'!$G$34+(8-1)*'Resource Planner'!$I$34)&amp;IF(('Resource Planner'!$G$34+(8-1)*'Resource Planner'!$I$34)=MIN('Resource Planner'!$G$34+8*'Resource Planner'!$I$34-1,'Resource Planner'!$H$34),"","–"&amp;MIN('Resource Planner'!$G$34+8*'Resource Planner'!$I$34-1,'Resource Planner'!$H$34)),"")</f>
        <v/>
      </c>
      <c r="G1212" s="163" t="s">
        <v>109</v>
      </c>
      <c r="H1212" s="163" t="str">
        <f>IF(AND('Resource Planner'!$A$34="☑",8&lt;='Resource Planner'!$N$34),'Resource Planner'!$M$34,"")</f>
        <v/>
      </c>
    </row>
    <row r="1213" ht="15.75" customHeight="1">
      <c r="A12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3" s="163" t="str">
        <f>IF(AND('Resource Planner'!$A$34="☑",9&lt;='Resource Planner'!$N$34),'Resource Planner'!$C$34,"")</f>
        <v/>
      </c>
      <c r="C1213" s="163" t="str">
        <f>IF(AND('Resource Planner'!$A$34="☑",9&lt;='Resource Planner'!$N$34),'Resource Planner'!$B$34,"")</f>
        <v/>
      </c>
      <c r="D1213" s="163" t="str">
        <f>IF(AND('Resource Planner'!$A$34="☑",9&lt;='Resource Planner'!$N$34),'Resource Planner'!$D$34,"")</f>
        <v/>
      </c>
      <c r="E1213" s="163" t="str">
        <f>IF(AND('Resource Planner'!$A$34="☑",9&lt;='Resource Planner'!$N$34),'Resource Planner'!$E$34,"")</f>
        <v/>
      </c>
      <c r="F1213" s="163" t="str">
        <f>IF(AND('Resource Planner'!$A$34="☑",9&lt;='Resource Planner'!$N$34),'Resource Planner'!$F$34&amp;" "&amp;('Resource Planner'!$G$34+(9-1)*'Resource Planner'!$I$34)&amp;IF(('Resource Planner'!$G$34+(9-1)*'Resource Planner'!$I$34)=MIN('Resource Planner'!$G$34+9*'Resource Planner'!$I$34-1,'Resource Planner'!$H$34),"","–"&amp;MIN('Resource Planner'!$G$34+9*'Resource Planner'!$I$34-1,'Resource Planner'!$H$34)),"")</f>
        <v/>
      </c>
      <c r="G1213" s="163" t="s">
        <v>109</v>
      </c>
      <c r="H1213" s="163" t="str">
        <f>IF(AND('Resource Planner'!$A$34="☑",9&lt;='Resource Planner'!$N$34),'Resource Planner'!$M$34,"")</f>
        <v/>
      </c>
    </row>
    <row r="1214" ht="15.75" customHeight="1">
      <c r="A12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4" s="163" t="str">
        <f>IF(AND('Resource Planner'!$A$34="☑",10&lt;='Resource Planner'!$N$34),'Resource Planner'!$C$34,"")</f>
        <v/>
      </c>
      <c r="C1214" s="163" t="str">
        <f>IF(AND('Resource Planner'!$A$34="☑",10&lt;='Resource Planner'!$N$34),'Resource Planner'!$B$34,"")</f>
        <v/>
      </c>
      <c r="D1214" s="163" t="str">
        <f>IF(AND('Resource Planner'!$A$34="☑",10&lt;='Resource Planner'!$N$34),'Resource Planner'!$D$34,"")</f>
        <v/>
      </c>
      <c r="E1214" s="163" t="str">
        <f>IF(AND('Resource Planner'!$A$34="☑",10&lt;='Resource Planner'!$N$34),'Resource Planner'!$E$34,"")</f>
        <v/>
      </c>
      <c r="F1214" s="163" t="str">
        <f>IF(AND('Resource Planner'!$A$34="☑",10&lt;='Resource Planner'!$N$34),'Resource Planner'!$F$34&amp;" "&amp;('Resource Planner'!$G$34+(10-1)*'Resource Planner'!$I$34)&amp;IF(('Resource Planner'!$G$34+(10-1)*'Resource Planner'!$I$34)=MIN('Resource Planner'!$G$34+10*'Resource Planner'!$I$34-1,'Resource Planner'!$H$34),"","–"&amp;MIN('Resource Planner'!$G$34+10*'Resource Planner'!$I$34-1,'Resource Planner'!$H$34)),"")</f>
        <v/>
      </c>
      <c r="G1214" s="163" t="s">
        <v>109</v>
      </c>
      <c r="H1214" s="163" t="str">
        <f>IF(AND('Resource Planner'!$A$34="☑",10&lt;='Resource Planner'!$N$34),'Resource Planner'!$M$34,"")</f>
        <v/>
      </c>
    </row>
    <row r="1215" ht="15.75" customHeight="1">
      <c r="A12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5" s="163" t="str">
        <f>IF(AND('Resource Planner'!$A$34="☑",11&lt;='Resource Planner'!$N$34),'Resource Planner'!$C$34,"")</f>
        <v/>
      </c>
      <c r="C1215" s="163" t="str">
        <f>IF(AND('Resource Planner'!$A$34="☑",11&lt;='Resource Planner'!$N$34),'Resource Planner'!$B$34,"")</f>
        <v/>
      </c>
      <c r="D1215" s="163" t="str">
        <f>IF(AND('Resource Planner'!$A$34="☑",11&lt;='Resource Planner'!$N$34),'Resource Planner'!$D$34,"")</f>
        <v/>
      </c>
      <c r="E1215" s="163" t="str">
        <f>IF(AND('Resource Planner'!$A$34="☑",11&lt;='Resource Planner'!$N$34),'Resource Planner'!$E$34,"")</f>
        <v/>
      </c>
      <c r="F1215" s="163" t="str">
        <f>IF(AND('Resource Planner'!$A$34="☑",11&lt;='Resource Planner'!$N$34),'Resource Planner'!$F$34&amp;" "&amp;('Resource Planner'!$G$34+(11-1)*'Resource Planner'!$I$34)&amp;IF(('Resource Planner'!$G$34+(11-1)*'Resource Planner'!$I$34)=MIN('Resource Planner'!$G$34+11*'Resource Planner'!$I$34-1,'Resource Planner'!$H$34),"","–"&amp;MIN('Resource Planner'!$G$34+11*'Resource Planner'!$I$34-1,'Resource Planner'!$H$34)),"")</f>
        <v/>
      </c>
      <c r="G1215" s="163" t="s">
        <v>109</v>
      </c>
      <c r="H1215" s="163" t="str">
        <f>IF(AND('Resource Planner'!$A$34="☑",11&lt;='Resource Planner'!$N$34),'Resource Planner'!$M$34,"")</f>
        <v/>
      </c>
    </row>
    <row r="1216" ht="15.75" customHeight="1">
      <c r="A12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6" s="163" t="str">
        <f>IF(AND('Resource Planner'!$A$34="☑",12&lt;='Resource Planner'!$N$34),'Resource Planner'!$C$34,"")</f>
        <v/>
      </c>
      <c r="C1216" s="163" t="str">
        <f>IF(AND('Resource Planner'!$A$34="☑",12&lt;='Resource Planner'!$N$34),'Resource Planner'!$B$34,"")</f>
        <v/>
      </c>
      <c r="D1216" s="163" t="str">
        <f>IF(AND('Resource Planner'!$A$34="☑",12&lt;='Resource Planner'!$N$34),'Resource Planner'!$D$34,"")</f>
        <v/>
      </c>
      <c r="E1216" s="163" t="str">
        <f>IF(AND('Resource Planner'!$A$34="☑",12&lt;='Resource Planner'!$N$34),'Resource Planner'!$E$34,"")</f>
        <v/>
      </c>
      <c r="F1216" s="163" t="str">
        <f>IF(AND('Resource Planner'!$A$34="☑",12&lt;='Resource Planner'!$N$34),'Resource Planner'!$F$34&amp;" "&amp;('Resource Planner'!$G$34+(12-1)*'Resource Planner'!$I$34)&amp;IF(('Resource Planner'!$G$34+(12-1)*'Resource Planner'!$I$34)=MIN('Resource Planner'!$G$34+12*'Resource Planner'!$I$34-1,'Resource Planner'!$H$34),"","–"&amp;MIN('Resource Planner'!$G$34+12*'Resource Planner'!$I$34-1,'Resource Planner'!$H$34)),"")</f>
        <v/>
      </c>
      <c r="G1216" s="163" t="s">
        <v>109</v>
      </c>
      <c r="H1216" s="163" t="str">
        <f>IF(AND('Resource Planner'!$A$34="☑",12&lt;='Resource Planner'!$N$34),'Resource Planner'!$M$34,"")</f>
        <v/>
      </c>
    </row>
    <row r="1217" ht="15.75" customHeight="1">
      <c r="A12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7" s="163" t="str">
        <f>IF(AND('Resource Planner'!$A$34="☑",13&lt;='Resource Planner'!$N$34),'Resource Planner'!$C$34,"")</f>
        <v/>
      </c>
      <c r="C1217" s="163" t="str">
        <f>IF(AND('Resource Planner'!$A$34="☑",13&lt;='Resource Planner'!$N$34),'Resource Planner'!$B$34,"")</f>
        <v/>
      </c>
      <c r="D1217" s="163" t="str">
        <f>IF(AND('Resource Planner'!$A$34="☑",13&lt;='Resource Planner'!$N$34),'Resource Planner'!$D$34,"")</f>
        <v/>
      </c>
      <c r="E1217" s="163" t="str">
        <f>IF(AND('Resource Planner'!$A$34="☑",13&lt;='Resource Planner'!$N$34),'Resource Planner'!$E$34,"")</f>
        <v/>
      </c>
      <c r="F1217" s="163" t="str">
        <f>IF(AND('Resource Planner'!$A$34="☑",13&lt;='Resource Planner'!$N$34),'Resource Planner'!$F$34&amp;" "&amp;('Resource Planner'!$G$34+(13-1)*'Resource Planner'!$I$34)&amp;IF(('Resource Planner'!$G$34+(13-1)*'Resource Planner'!$I$34)=MIN('Resource Planner'!$G$34+13*'Resource Planner'!$I$34-1,'Resource Planner'!$H$34),"","–"&amp;MIN('Resource Planner'!$G$34+13*'Resource Planner'!$I$34-1,'Resource Planner'!$H$34)),"")</f>
        <v/>
      </c>
      <c r="G1217" s="163" t="s">
        <v>109</v>
      </c>
      <c r="H1217" s="163" t="str">
        <f>IF(AND('Resource Planner'!$A$34="☑",13&lt;='Resource Planner'!$N$34),'Resource Planner'!$M$34,"")</f>
        <v/>
      </c>
    </row>
    <row r="1218" ht="15.75" customHeight="1">
      <c r="A12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8" s="163" t="str">
        <f>IF(AND('Resource Planner'!$A$34="☑",14&lt;='Resource Planner'!$N$34),'Resource Planner'!$C$34,"")</f>
        <v/>
      </c>
      <c r="C1218" s="163" t="str">
        <f>IF(AND('Resource Planner'!$A$34="☑",14&lt;='Resource Planner'!$N$34),'Resource Planner'!$B$34,"")</f>
        <v/>
      </c>
      <c r="D1218" s="163" t="str">
        <f>IF(AND('Resource Planner'!$A$34="☑",14&lt;='Resource Planner'!$N$34),'Resource Planner'!$D$34,"")</f>
        <v/>
      </c>
      <c r="E1218" s="163" t="str">
        <f>IF(AND('Resource Planner'!$A$34="☑",14&lt;='Resource Planner'!$N$34),'Resource Planner'!$E$34,"")</f>
        <v/>
      </c>
      <c r="F1218" s="163" t="str">
        <f>IF(AND('Resource Planner'!$A$34="☑",14&lt;='Resource Planner'!$N$34),'Resource Planner'!$F$34&amp;" "&amp;('Resource Planner'!$G$34+(14-1)*'Resource Planner'!$I$34)&amp;IF(('Resource Planner'!$G$34+(14-1)*'Resource Planner'!$I$34)=MIN('Resource Planner'!$G$34+14*'Resource Planner'!$I$34-1,'Resource Planner'!$H$34),"","–"&amp;MIN('Resource Planner'!$G$34+14*'Resource Planner'!$I$34-1,'Resource Planner'!$H$34)),"")</f>
        <v/>
      </c>
      <c r="G1218" s="163" t="s">
        <v>109</v>
      </c>
      <c r="H1218" s="163" t="str">
        <f>IF(AND('Resource Planner'!$A$34="☑",14&lt;='Resource Planner'!$N$34),'Resource Planner'!$M$34,"")</f>
        <v/>
      </c>
    </row>
    <row r="1219" ht="15.75" customHeight="1">
      <c r="A12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19" s="163" t="str">
        <f>IF(AND('Resource Planner'!$A$34="☑",15&lt;='Resource Planner'!$N$34),'Resource Planner'!$C$34,"")</f>
        <v/>
      </c>
      <c r="C1219" s="163" t="str">
        <f>IF(AND('Resource Planner'!$A$34="☑",15&lt;='Resource Planner'!$N$34),'Resource Planner'!$B$34,"")</f>
        <v/>
      </c>
      <c r="D1219" s="163" t="str">
        <f>IF(AND('Resource Planner'!$A$34="☑",15&lt;='Resource Planner'!$N$34),'Resource Planner'!$D$34,"")</f>
        <v/>
      </c>
      <c r="E1219" s="163" t="str">
        <f>IF(AND('Resource Planner'!$A$34="☑",15&lt;='Resource Planner'!$N$34),'Resource Planner'!$E$34,"")</f>
        <v/>
      </c>
      <c r="F1219" s="163" t="str">
        <f>IF(AND('Resource Planner'!$A$34="☑",15&lt;='Resource Planner'!$N$34),'Resource Planner'!$F$34&amp;" "&amp;('Resource Planner'!$G$34+(15-1)*'Resource Planner'!$I$34)&amp;IF(('Resource Planner'!$G$34+(15-1)*'Resource Planner'!$I$34)=MIN('Resource Planner'!$G$34+15*'Resource Planner'!$I$34-1,'Resource Planner'!$H$34),"","–"&amp;MIN('Resource Planner'!$G$34+15*'Resource Planner'!$I$34-1,'Resource Planner'!$H$34)),"")</f>
        <v/>
      </c>
      <c r="G1219" s="163" t="s">
        <v>109</v>
      </c>
      <c r="H1219" s="163" t="str">
        <f>IF(AND('Resource Planner'!$A$34="☑",15&lt;='Resource Planner'!$N$34),'Resource Planner'!$M$34,"")</f>
        <v/>
      </c>
    </row>
    <row r="1220" ht="15.75" customHeight="1">
      <c r="A12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0" s="163" t="str">
        <f>IF(AND('Resource Planner'!$A$34="☑",16&lt;='Resource Planner'!$N$34),'Resource Planner'!$C$34,"")</f>
        <v/>
      </c>
      <c r="C1220" s="163" t="str">
        <f>IF(AND('Resource Planner'!$A$34="☑",16&lt;='Resource Planner'!$N$34),'Resource Planner'!$B$34,"")</f>
        <v/>
      </c>
      <c r="D1220" s="163" t="str">
        <f>IF(AND('Resource Planner'!$A$34="☑",16&lt;='Resource Planner'!$N$34),'Resource Planner'!$D$34,"")</f>
        <v/>
      </c>
      <c r="E1220" s="163" t="str">
        <f>IF(AND('Resource Planner'!$A$34="☑",16&lt;='Resource Planner'!$N$34),'Resource Planner'!$E$34,"")</f>
        <v/>
      </c>
      <c r="F1220" s="163" t="str">
        <f>IF(AND('Resource Planner'!$A$34="☑",16&lt;='Resource Planner'!$N$34),'Resource Planner'!$F$34&amp;" "&amp;('Resource Planner'!$G$34+(16-1)*'Resource Planner'!$I$34)&amp;IF(('Resource Planner'!$G$34+(16-1)*'Resource Planner'!$I$34)=MIN('Resource Planner'!$G$34+16*'Resource Planner'!$I$34-1,'Resource Planner'!$H$34),"","–"&amp;MIN('Resource Planner'!$G$34+16*'Resource Planner'!$I$34-1,'Resource Planner'!$H$34)),"")</f>
        <v/>
      </c>
      <c r="G1220" s="163" t="s">
        <v>109</v>
      </c>
      <c r="H1220" s="163" t="str">
        <f>IF(AND('Resource Planner'!$A$34="☑",16&lt;='Resource Planner'!$N$34),'Resource Planner'!$M$34,"")</f>
        <v/>
      </c>
    </row>
    <row r="1221" ht="15.75" customHeight="1">
      <c r="A12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1" s="163" t="str">
        <f>IF(AND('Resource Planner'!$A$34="☑",17&lt;='Resource Planner'!$N$34),'Resource Planner'!$C$34,"")</f>
        <v/>
      </c>
      <c r="C1221" s="163" t="str">
        <f>IF(AND('Resource Planner'!$A$34="☑",17&lt;='Resource Planner'!$N$34),'Resource Planner'!$B$34,"")</f>
        <v/>
      </c>
      <c r="D1221" s="163" t="str">
        <f>IF(AND('Resource Planner'!$A$34="☑",17&lt;='Resource Planner'!$N$34),'Resource Planner'!$D$34,"")</f>
        <v/>
      </c>
      <c r="E1221" s="163" t="str">
        <f>IF(AND('Resource Planner'!$A$34="☑",17&lt;='Resource Planner'!$N$34),'Resource Planner'!$E$34,"")</f>
        <v/>
      </c>
      <c r="F1221" s="163" t="str">
        <f>IF(AND('Resource Planner'!$A$34="☑",17&lt;='Resource Planner'!$N$34),'Resource Planner'!$F$34&amp;" "&amp;('Resource Planner'!$G$34+(17-1)*'Resource Planner'!$I$34)&amp;IF(('Resource Planner'!$G$34+(17-1)*'Resource Planner'!$I$34)=MIN('Resource Planner'!$G$34+17*'Resource Planner'!$I$34-1,'Resource Planner'!$H$34),"","–"&amp;MIN('Resource Planner'!$G$34+17*'Resource Planner'!$I$34-1,'Resource Planner'!$H$34)),"")</f>
        <v/>
      </c>
      <c r="G1221" s="163" t="s">
        <v>109</v>
      </c>
      <c r="H1221" s="163" t="str">
        <f>IF(AND('Resource Planner'!$A$34="☑",17&lt;='Resource Planner'!$N$34),'Resource Planner'!$M$34,"")</f>
        <v/>
      </c>
    </row>
    <row r="1222" ht="15.75" customHeight="1">
      <c r="A12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2" s="163" t="str">
        <f>IF(AND('Resource Planner'!$A$34="☑",18&lt;='Resource Planner'!$N$34),'Resource Planner'!$C$34,"")</f>
        <v/>
      </c>
      <c r="C1222" s="163" t="str">
        <f>IF(AND('Resource Planner'!$A$34="☑",18&lt;='Resource Planner'!$N$34),'Resource Planner'!$B$34,"")</f>
        <v/>
      </c>
      <c r="D1222" s="163" t="str">
        <f>IF(AND('Resource Planner'!$A$34="☑",18&lt;='Resource Planner'!$N$34),'Resource Planner'!$D$34,"")</f>
        <v/>
      </c>
      <c r="E1222" s="163" t="str">
        <f>IF(AND('Resource Planner'!$A$34="☑",18&lt;='Resource Planner'!$N$34),'Resource Planner'!$E$34,"")</f>
        <v/>
      </c>
      <c r="F1222" s="163" t="str">
        <f>IF(AND('Resource Planner'!$A$34="☑",18&lt;='Resource Planner'!$N$34),'Resource Planner'!$F$34&amp;" "&amp;('Resource Planner'!$G$34+(18-1)*'Resource Planner'!$I$34)&amp;IF(('Resource Planner'!$G$34+(18-1)*'Resource Planner'!$I$34)=MIN('Resource Planner'!$G$34+18*'Resource Planner'!$I$34-1,'Resource Planner'!$H$34),"","–"&amp;MIN('Resource Planner'!$G$34+18*'Resource Planner'!$I$34-1,'Resource Planner'!$H$34)),"")</f>
        <v/>
      </c>
      <c r="G1222" s="163" t="s">
        <v>109</v>
      </c>
      <c r="H1222" s="163" t="str">
        <f>IF(AND('Resource Planner'!$A$34="☑",18&lt;='Resource Planner'!$N$34),'Resource Planner'!$M$34,"")</f>
        <v/>
      </c>
    </row>
    <row r="1223" ht="15.75" customHeight="1">
      <c r="A12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3" s="163" t="str">
        <f>IF(AND('Resource Planner'!$A$34="☑",19&lt;='Resource Planner'!$N$34),'Resource Planner'!$C$34,"")</f>
        <v/>
      </c>
      <c r="C1223" s="163" t="str">
        <f>IF(AND('Resource Planner'!$A$34="☑",19&lt;='Resource Planner'!$N$34),'Resource Planner'!$B$34,"")</f>
        <v/>
      </c>
      <c r="D1223" s="163" t="str">
        <f>IF(AND('Resource Planner'!$A$34="☑",19&lt;='Resource Planner'!$N$34),'Resource Planner'!$D$34,"")</f>
        <v/>
      </c>
      <c r="E1223" s="163" t="str">
        <f>IF(AND('Resource Planner'!$A$34="☑",19&lt;='Resource Planner'!$N$34),'Resource Planner'!$E$34,"")</f>
        <v/>
      </c>
      <c r="F1223" s="163" t="str">
        <f>IF(AND('Resource Planner'!$A$34="☑",19&lt;='Resource Planner'!$N$34),'Resource Planner'!$F$34&amp;" "&amp;('Resource Planner'!$G$34+(19-1)*'Resource Planner'!$I$34)&amp;IF(('Resource Planner'!$G$34+(19-1)*'Resource Planner'!$I$34)=MIN('Resource Planner'!$G$34+19*'Resource Planner'!$I$34-1,'Resource Planner'!$H$34),"","–"&amp;MIN('Resource Planner'!$G$34+19*'Resource Planner'!$I$34-1,'Resource Planner'!$H$34)),"")</f>
        <v/>
      </c>
      <c r="G1223" s="163" t="s">
        <v>109</v>
      </c>
      <c r="H1223" s="163" t="str">
        <f>IF(AND('Resource Planner'!$A$34="☑",19&lt;='Resource Planner'!$N$34),'Resource Planner'!$M$34,"")</f>
        <v/>
      </c>
    </row>
    <row r="1224" ht="15.75" customHeight="1">
      <c r="A12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4" s="163" t="str">
        <f>IF(AND('Resource Planner'!$A$34="☑",20&lt;='Resource Planner'!$N$34),'Resource Planner'!$C$34,"")</f>
        <v/>
      </c>
      <c r="C1224" s="163" t="str">
        <f>IF(AND('Resource Planner'!$A$34="☑",20&lt;='Resource Planner'!$N$34),'Resource Planner'!$B$34,"")</f>
        <v/>
      </c>
      <c r="D1224" s="163" t="str">
        <f>IF(AND('Resource Planner'!$A$34="☑",20&lt;='Resource Planner'!$N$34),'Resource Planner'!$D$34,"")</f>
        <v/>
      </c>
      <c r="E1224" s="163" t="str">
        <f>IF(AND('Resource Planner'!$A$34="☑",20&lt;='Resource Planner'!$N$34),'Resource Planner'!$E$34,"")</f>
        <v/>
      </c>
      <c r="F1224" s="163" t="str">
        <f>IF(AND('Resource Planner'!$A$34="☑",20&lt;='Resource Planner'!$N$34),'Resource Planner'!$F$34&amp;" "&amp;('Resource Planner'!$G$34+(20-1)*'Resource Planner'!$I$34)&amp;IF(('Resource Planner'!$G$34+(20-1)*'Resource Planner'!$I$34)=MIN('Resource Planner'!$G$34+20*'Resource Planner'!$I$34-1,'Resource Planner'!$H$34),"","–"&amp;MIN('Resource Planner'!$G$34+20*'Resource Planner'!$I$34-1,'Resource Planner'!$H$34)),"")</f>
        <v/>
      </c>
      <c r="G1224" s="163" t="s">
        <v>109</v>
      </c>
      <c r="H1224" s="163" t="str">
        <f>IF(AND('Resource Planner'!$A$34="☑",20&lt;='Resource Planner'!$N$34),'Resource Planner'!$M$34,"")</f>
        <v/>
      </c>
    </row>
    <row r="1225" ht="15.75" customHeight="1">
      <c r="A12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5" s="163" t="str">
        <f>IF(AND('Resource Planner'!$A$34="☑",21&lt;='Resource Planner'!$N$34),'Resource Planner'!$C$34,"")</f>
        <v/>
      </c>
      <c r="C1225" s="163" t="str">
        <f>IF(AND('Resource Planner'!$A$34="☑",21&lt;='Resource Planner'!$N$34),'Resource Planner'!$B$34,"")</f>
        <v/>
      </c>
      <c r="D1225" s="163" t="str">
        <f>IF(AND('Resource Planner'!$A$34="☑",21&lt;='Resource Planner'!$N$34),'Resource Planner'!$D$34,"")</f>
        <v/>
      </c>
      <c r="E1225" s="163" t="str">
        <f>IF(AND('Resource Planner'!$A$34="☑",21&lt;='Resource Planner'!$N$34),'Resource Planner'!$E$34,"")</f>
        <v/>
      </c>
      <c r="F1225" s="163" t="str">
        <f>IF(AND('Resource Planner'!$A$34="☑",21&lt;='Resource Planner'!$N$34),'Resource Planner'!$F$34&amp;" "&amp;('Resource Planner'!$G$34+(21-1)*'Resource Planner'!$I$34)&amp;IF(('Resource Planner'!$G$34+(21-1)*'Resource Planner'!$I$34)=MIN('Resource Planner'!$G$34+21*'Resource Planner'!$I$34-1,'Resource Planner'!$H$34),"","–"&amp;MIN('Resource Planner'!$G$34+21*'Resource Planner'!$I$34-1,'Resource Planner'!$H$34)),"")</f>
        <v/>
      </c>
      <c r="G1225" s="163" t="s">
        <v>109</v>
      </c>
      <c r="H1225" s="163" t="str">
        <f>IF(AND('Resource Planner'!$A$34="☑",21&lt;='Resource Planner'!$N$34),'Resource Planner'!$M$34,"")</f>
        <v/>
      </c>
    </row>
    <row r="1226" ht="15.75" customHeight="1">
      <c r="A12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6" s="163" t="str">
        <f>IF(AND('Resource Planner'!$A$34="☑",22&lt;='Resource Planner'!$N$34),'Resource Planner'!$C$34,"")</f>
        <v/>
      </c>
      <c r="C1226" s="163" t="str">
        <f>IF(AND('Resource Planner'!$A$34="☑",22&lt;='Resource Planner'!$N$34),'Resource Planner'!$B$34,"")</f>
        <v/>
      </c>
      <c r="D1226" s="163" t="str">
        <f>IF(AND('Resource Planner'!$A$34="☑",22&lt;='Resource Planner'!$N$34),'Resource Planner'!$D$34,"")</f>
        <v/>
      </c>
      <c r="E1226" s="163" t="str">
        <f>IF(AND('Resource Planner'!$A$34="☑",22&lt;='Resource Planner'!$N$34),'Resource Planner'!$E$34,"")</f>
        <v/>
      </c>
      <c r="F1226" s="163" t="str">
        <f>IF(AND('Resource Planner'!$A$34="☑",22&lt;='Resource Planner'!$N$34),'Resource Planner'!$F$34&amp;" "&amp;('Resource Planner'!$G$34+(22-1)*'Resource Planner'!$I$34)&amp;IF(('Resource Planner'!$G$34+(22-1)*'Resource Planner'!$I$34)=MIN('Resource Planner'!$G$34+22*'Resource Planner'!$I$34-1,'Resource Planner'!$H$34),"","–"&amp;MIN('Resource Planner'!$G$34+22*'Resource Planner'!$I$34-1,'Resource Planner'!$H$34)),"")</f>
        <v/>
      </c>
      <c r="G1226" s="163" t="s">
        <v>109</v>
      </c>
      <c r="H1226" s="163" t="str">
        <f>IF(AND('Resource Planner'!$A$34="☑",22&lt;='Resource Planner'!$N$34),'Resource Planner'!$M$34,"")</f>
        <v/>
      </c>
    </row>
    <row r="1227" ht="15.75" customHeight="1">
      <c r="A12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7" s="163" t="str">
        <f>IF(AND('Resource Planner'!$A$34="☑",23&lt;='Resource Planner'!$N$34),'Resource Planner'!$C$34,"")</f>
        <v/>
      </c>
      <c r="C1227" s="163" t="str">
        <f>IF(AND('Resource Planner'!$A$34="☑",23&lt;='Resource Planner'!$N$34),'Resource Planner'!$B$34,"")</f>
        <v/>
      </c>
      <c r="D1227" s="163" t="str">
        <f>IF(AND('Resource Planner'!$A$34="☑",23&lt;='Resource Planner'!$N$34),'Resource Planner'!$D$34,"")</f>
        <v/>
      </c>
      <c r="E1227" s="163" t="str">
        <f>IF(AND('Resource Planner'!$A$34="☑",23&lt;='Resource Planner'!$N$34),'Resource Planner'!$E$34,"")</f>
        <v/>
      </c>
      <c r="F1227" s="163" t="str">
        <f>IF(AND('Resource Planner'!$A$34="☑",23&lt;='Resource Planner'!$N$34),'Resource Planner'!$F$34&amp;" "&amp;('Resource Planner'!$G$34+(23-1)*'Resource Planner'!$I$34)&amp;IF(('Resource Planner'!$G$34+(23-1)*'Resource Planner'!$I$34)=MIN('Resource Planner'!$G$34+23*'Resource Planner'!$I$34-1,'Resource Planner'!$H$34),"","–"&amp;MIN('Resource Planner'!$G$34+23*'Resource Planner'!$I$34-1,'Resource Planner'!$H$34)),"")</f>
        <v/>
      </c>
      <c r="G1227" s="163" t="s">
        <v>109</v>
      </c>
      <c r="H1227" s="163" t="str">
        <f>IF(AND('Resource Planner'!$A$34="☑",23&lt;='Resource Planner'!$N$34),'Resource Planner'!$M$34,"")</f>
        <v/>
      </c>
    </row>
    <row r="1228" ht="15.75" customHeight="1">
      <c r="A12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8" s="163" t="str">
        <f>IF(AND('Resource Planner'!$A$34="☑",24&lt;='Resource Planner'!$N$34),'Resource Planner'!$C$34,"")</f>
        <v/>
      </c>
      <c r="C1228" s="163" t="str">
        <f>IF(AND('Resource Planner'!$A$34="☑",24&lt;='Resource Planner'!$N$34),'Resource Planner'!$B$34,"")</f>
        <v/>
      </c>
      <c r="D1228" s="163" t="str">
        <f>IF(AND('Resource Planner'!$A$34="☑",24&lt;='Resource Planner'!$N$34),'Resource Planner'!$D$34,"")</f>
        <v/>
      </c>
      <c r="E1228" s="163" t="str">
        <f>IF(AND('Resource Planner'!$A$34="☑",24&lt;='Resource Planner'!$N$34),'Resource Planner'!$E$34,"")</f>
        <v/>
      </c>
      <c r="F1228" s="163" t="str">
        <f>IF(AND('Resource Planner'!$A$34="☑",24&lt;='Resource Planner'!$N$34),'Resource Planner'!$F$34&amp;" "&amp;('Resource Planner'!$G$34+(24-1)*'Resource Planner'!$I$34)&amp;IF(('Resource Planner'!$G$34+(24-1)*'Resource Planner'!$I$34)=MIN('Resource Planner'!$G$34+24*'Resource Planner'!$I$34-1,'Resource Planner'!$H$34),"","–"&amp;MIN('Resource Planner'!$G$34+24*'Resource Planner'!$I$34-1,'Resource Planner'!$H$34)),"")</f>
        <v/>
      </c>
      <c r="G1228" s="163" t="s">
        <v>109</v>
      </c>
      <c r="H1228" s="163" t="str">
        <f>IF(AND('Resource Planner'!$A$34="☑",24&lt;='Resource Planner'!$N$34),'Resource Planner'!$M$34,"")</f>
        <v/>
      </c>
    </row>
    <row r="1229" ht="15.75" customHeight="1">
      <c r="A12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29" s="163" t="str">
        <f>IF(AND('Resource Planner'!$A$34="☑",25&lt;='Resource Planner'!$N$34),'Resource Planner'!$C$34,"")</f>
        <v/>
      </c>
      <c r="C1229" s="163" t="str">
        <f>IF(AND('Resource Planner'!$A$34="☑",25&lt;='Resource Planner'!$N$34),'Resource Planner'!$B$34,"")</f>
        <v/>
      </c>
      <c r="D1229" s="163" t="str">
        <f>IF(AND('Resource Planner'!$A$34="☑",25&lt;='Resource Planner'!$N$34),'Resource Planner'!$D$34,"")</f>
        <v/>
      </c>
      <c r="E1229" s="163" t="str">
        <f>IF(AND('Resource Planner'!$A$34="☑",25&lt;='Resource Planner'!$N$34),'Resource Planner'!$E$34,"")</f>
        <v/>
      </c>
      <c r="F1229" s="163" t="str">
        <f>IF(AND('Resource Planner'!$A$34="☑",25&lt;='Resource Planner'!$N$34),'Resource Planner'!$F$34&amp;" "&amp;('Resource Planner'!$G$34+(25-1)*'Resource Planner'!$I$34)&amp;IF(('Resource Planner'!$G$34+(25-1)*'Resource Planner'!$I$34)=MIN('Resource Planner'!$G$34+25*'Resource Planner'!$I$34-1,'Resource Planner'!$H$34),"","–"&amp;MIN('Resource Planner'!$G$34+25*'Resource Planner'!$I$34-1,'Resource Planner'!$H$34)),"")</f>
        <v/>
      </c>
      <c r="G1229" s="163" t="s">
        <v>109</v>
      </c>
      <c r="H1229" s="163" t="str">
        <f>IF(AND('Resource Planner'!$A$34="☑",25&lt;='Resource Planner'!$N$34),'Resource Planner'!$M$34,"")</f>
        <v/>
      </c>
    </row>
    <row r="1230" ht="15.75" customHeight="1">
      <c r="A12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0" s="163" t="str">
        <f>IF(AND('Resource Planner'!$A$34="☑",26&lt;='Resource Planner'!$N$34),'Resource Planner'!$C$34,"")</f>
        <v/>
      </c>
      <c r="C1230" s="163" t="str">
        <f>IF(AND('Resource Planner'!$A$34="☑",26&lt;='Resource Planner'!$N$34),'Resource Planner'!$B$34,"")</f>
        <v/>
      </c>
      <c r="D1230" s="163" t="str">
        <f>IF(AND('Resource Planner'!$A$34="☑",26&lt;='Resource Planner'!$N$34),'Resource Planner'!$D$34,"")</f>
        <v/>
      </c>
      <c r="E1230" s="163" t="str">
        <f>IF(AND('Resource Planner'!$A$34="☑",26&lt;='Resource Planner'!$N$34),'Resource Planner'!$E$34,"")</f>
        <v/>
      </c>
      <c r="F1230" s="163" t="str">
        <f>IF(AND('Resource Planner'!$A$34="☑",26&lt;='Resource Planner'!$N$34),'Resource Planner'!$F$34&amp;" "&amp;('Resource Planner'!$G$34+(26-1)*'Resource Planner'!$I$34)&amp;IF(('Resource Planner'!$G$34+(26-1)*'Resource Planner'!$I$34)=MIN('Resource Planner'!$G$34+26*'Resource Planner'!$I$34-1,'Resource Planner'!$H$34),"","–"&amp;MIN('Resource Planner'!$G$34+26*'Resource Planner'!$I$34-1,'Resource Planner'!$H$34)),"")</f>
        <v/>
      </c>
      <c r="G1230" s="163" t="s">
        <v>109</v>
      </c>
      <c r="H1230" s="163" t="str">
        <f>IF(AND('Resource Planner'!$A$34="☑",26&lt;='Resource Planner'!$N$34),'Resource Planner'!$M$34,"")</f>
        <v/>
      </c>
    </row>
    <row r="1231" ht="15.75" customHeight="1">
      <c r="A12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1" s="163" t="str">
        <f>IF(AND('Resource Planner'!$A$34="☑",27&lt;='Resource Planner'!$N$34),'Resource Planner'!$C$34,"")</f>
        <v/>
      </c>
      <c r="C1231" s="163" t="str">
        <f>IF(AND('Resource Planner'!$A$34="☑",27&lt;='Resource Planner'!$N$34),'Resource Planner'!$B$34,"")</f>
        <v/>
      </c>
      <c r="D1231" s="163" t="str">
        <f>IF(AND('Resource Planner'!$A$34="☑",27&lt;='Resource Planner'!$N$34),'Resource Planner'!$D$34,"")</f>
        <v/>
      </c>
      <c r="E1231" s="163" t="str">
        <f>IF(AND('Resource Planner'!$A$34="☑",27&lt;='Resource Planner'!$N$34),'Resource Planner'!$E$34,"")</f>
        <v/>
      </c>
      <c r="F1231" s="163" t="str">
        <f>IF(AND('Resource Planner'!$A$34="☑",27&lt;='Resource Planner'!$N$34),'Resource Planner'!$F$34&amp;" "&amp;('Resource Planner'!$G$34+(27-1)*'Resource Planner'!$I$34)&amp;IF(('Resource Planner'!$G$34+(27-1)*'Resource Planner'!$I$34)=MIN('Resource Planner'!$G$34+27*'Resource Planner'!$I$34-1,'Resource Planner'!$H$34),"","–"&amp;MIN('Resource Planner'!$G$34+27*'Resource Planner'!$I$34-1,'Resource Planner'!$H$34)),"")</f>
        <v/>
      </c>
      <c r="G1231" s="163" t="s">
        <v>109</v>
      </c>
      <c r="H1231" s="163" t="str">
        <f>IF(AND('Resource Planner'!$A$34="☑",27&lt;='Resource Planner'!$N$34),'Resource Planner'!$M$34,"")</f>
        <v/>
      </c>
    </row>
    <row r="1232" ht="15.75" customHeight="1">
      <c r="A12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2" s="163" t="str">
        <f>IF(AND('Resource Planner'!$A$34="☑",28&lt;='Resource Planner'!$N$34),'Resource Planner'!$C$34,"")</f>
        <v/>
      </c>
      <c r="C1232" s="163" t="str">
        <f>IF(AND('Resource Planner'!$A$34="☑",28&lt;='Resource Planner'!$N$34),'Resource Planner'!$B$34,"")</f>
        <v/>
      </c>
      <c r="D1232" s="163" t="str">
        <f>IF(AND('Resource Planner'!$A$34="☑",28&lt;='Resource Planner'!$N$34),'Resource Planner'!$D$34,"")</f>
        <v/>
      </c>
      <c r="E1232" s="163" t="str">
        <f>IF(AND('Resource Planner'!$A$34="☑",28&lt;='Resource Planner'!$N$34),'Resource Planner'!$E$34,"")</f>
        <v/>
      </c>
      <c r="F1232" s="163" t="str">
        <f>IF(AND('Resource Planner'!$A$34="☑",28&lt;='Resource Planner'!$N$34),'Resource Planner'!$F$34&amp;" "&amp;('Resource Planner'!$G$34+(28-1)*'Resource Planner'!$I$34)&amp;IF(('Resource Planner'!$G$34+(28-1)*'Resource Planner'!$I$34)=MIN('Resource Planner'!$G$34+28*'Resource Planner'!$I$34-1,'Resource Planner'!$H$34),"","–"&amp;MIN('Resource Planner'!$G$34+28*'Resource Planner'!$I$34-1,'Resource Planner'!$H$34)),"")</f>
        <v/>
      </c>
      <c r="G1232" s="163" t="s">
        <v>109</v>
      </c>
      <c r="H1232" s="163" t="str">
        <f>IF(AND('Resource Planner'!$A$34="☑",28&lt;='Resource Planner'!$N$34),'Resource Planner'!$M$34,"")</f>
        <v/>
      </c>
    </row>
    <row r="1233" ht="15.75" customHeight="1">
      <c r="A12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3" s="163" t="str">
        <f>IF(AND('Resource Planner'!$A$34="☑",29&lt;='Resource Planner'!$N$34),'Resource Planner'!$C$34,"")</f>
        <v/>
      </c>
      <c r="C1233" s="163" t="str">
        <f>IF(AND('Resource Planner'!$A$34="☑",29&lt;='Resource Planner'!$N$34),'Resource Planner'!$B$34,"")</f>
        <v/>
      </c>
      <c r="D1233" s="163" t="str">
        <f>IF(AND('Resource Planner'!$A$34="☑",29&lt;='Resource Planner'!$N$34),'Resource Planner'!$D$34,"")</f>
        <v/>
      </c>
      <c r="E1233" s="163" t="str">
        <f>IF(AND('Resource Planner'!$A$34="☑",29&lt;='Resource Planner'!$N$34),'Resource Planner'!$E$34,"")</f>
        <v/>
      </c>
      <c r="F1233" s="163" t="str">
        <f>IF(AND('Resource Planner'!$A$34="☑",29&lt;='Resource Planner'!$N$34),'Resource Planner'!$F$34&amp;" "&amp;('Resource Planner'!$G$34+(29-1)*'Resource Planner'!$I$34)&amp;IF(('Resource Planner'!$G$34+(29-1)*'Resource Planner'!$I$34)=MIN('Resource Planner'!$G$34+29*'Resource Planner'!$I$34-1,'Resource Planner'!$H$34),"","–"&amp;MIN('Resource Planner'!$G$34+29*'Resource Planner'!$I$34-1,'Resource Planner'!$H$34)),"")</f>
        <v/>
      </c>
      <c r="G1233" s="163" t="s">
        <v>109</v>
      </c>
      <c r="H1233" s="163" t="str">
        <f>IF(AND('Resource Planner'!$A$34="☑",29&lt;='Resource Planner'!$N$34),'Resource Planner'!$M$34,"")</f>
        <v/>
      </c>
    </row>
    <row r="1234" ht="15.75" customHeight="1">
      <c r="A12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4" s="163" t="str">
        <f>IF(AND('Resource Planner'!$A$34="☑",30&lt;='Resource Planner'!$N$34),'Resource Planner'!$C$34,"")</f>
        <v/>
      </c>
      <c r="C1234" s="163" t="str">
        <f>IF(AND('Resource Planner'!$A$34="☑",30&lt;='Resource Planner'!$N$34),'Resource Planner'!$B$34,"")</f>
        <v/>
      </c>
      <c r="D1234" s="163" t="str">
        <f>IF(AND('Resource Planner'!$A$34="☑",30&lt;='Resource Planner'!$N$34),'Resource Planner'!$D$34,"")</f>
        <v/>
      </c>
      <c r="E1234" s="163" t="str">
        <f>IF(AND('Resource Planner'!$A$34="☑",30&lt;='Resource Planner'!$N$34),'Resource Planner'!$E$34,"")</f>
        <v/>
      </c>
      <c r="F1234" s="163" t="str">
        <f>IF(AND('Resource Planner'!$A$34="☑",30&lt;='Resource Planner'!$N$34),'Resource Planner'!$F$34&amp;" "&amp;('Resource Planner'!$G$34+(30-1)*'Resource Planner'!$I$34)&amp;IF(('Resource Planner'!$G$34+(30-1)*'Resource Planner'!$I$34)=MIN('Resource Planner'!$G$34+30*'Resource Planner'!$I$34-1,'Resource Planner'!$H$34),"","–"&amp;MIN('Resource Planner'!$G$34+30*'Resource Planner'!$I$34-1,'Resource Planner'!$H$34)),"")</f>
        <v/>
      </c>
      <c r="G1234" s="163" t="s">
        <v>109</v>
      </c>
      <c r="H1234" s="163" t="str">
        <f>IF(AND('Resource Planner'!$A$34="☑",30&lt;='Resource Planner'!$N$34),'Resource Planner'!$M$34,"")</f>
        <v/>
      </c>
    </row>
    <row r="1235" ht="15.75" customHeight="1">
      <c r="A12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5" s="163" t="str">
        <f>IF(AND('Resource Planner'!$A$34="☑",31&lt;='Resource Planner'!$N$34),'Resource Planner'!$C$34,"")</f>
        <v/>
      </c>
      <c r="C1235" s="163" t="str">
        <f>IF(AND('Resource Planner'!$A$34="☑",31&lt;='Resource Planner'!$N$34),'Resource Planner'!$B$34,"")</f>
        <v/>
      </c>
      <c r="D1235" s="163" t="str">
        <f>IF(AND('Resource Planner'!$A$34="☑",31&lt;='Resource Planner'!$N$34),'Resource Planner'!$D$34,"")</f>
        <v/>
      </c>
      <c r="E1235" s="163" t="str">
        <f>IF(AND('Resource Planner'!$A$34="☑",31&lt;='Resource Planner'!$N$34),'Resource Planner'!$E$34,"")</f>
        <v/>
      </c>
      <c r="F1235" s="163" t="str">
        <f>IF(AND('Resource Planner'!$A$34="☑",31&lt;='Resource Planner'!$N$34),'Resource Planner'!$F$34&amp;" "&amp;('Resource Planner'!$G$34+(31-1)*'Resource Planner'!$I$34)&amp;IF(('Resource Planner'!$G$34+(31-1)*'Resource Planner'!$I$34)=MIN('Resource Planner'!$G$34+31*'Resource Planner'!$I$34-1,'Resource Planner'!$H$34),"","–"&amp;MIN('Resource Planner'!$G$34+31*'Resource Planner'!$I$34-1,'Resource Planner'!$H$34)),"")</f>
        <v/>
      </c>
      <c r="G1235" s="163" t="s">
        <v>109</v>
      </c>
      <c r="H1235" s="163" t="str">
        <f>IF(AND('Resource Planner'!$A$34="☑",31&lt;='Resource Planner'!$N$34),'Resource Planner'!$M$34,"")</f>
        <v/>
      </c>
    </row>
    <row r="1236" ht="15.75" customHeight="1">
      <c r="A12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6" s="163" t="str">
        <f>IF(AND('Resource Planner'!$A$34="☑",32&lt;='Resource Planner'!$N$34),'Resource Planner'!$C$34,"")</f>
        <v/>
      </c>
      <c r="C1236" s="163" t="str">
        <f>IF(AND('Resource Planner'!$A$34="☑",32&lt;='Resource Planner'!$N$34),'Resource Planner'!$B$34,"")</f>
        <v/>
      </c>
      <c r="D1236" s="163" t="str">
        <f>IF(AND('Resource Planner'!$A$34="☑",32&lt;='Resource Planner'!$N$34),'Resource Planner'!$D$34,"")</f>
        <v/>
      </c>
      <c r="E1236" s="163" t="str">
        <f>IF(AND('Resource Planner'!$A$34="☑",32&lt;='Resource Planner'!$N$34),'Resource Planner'!$E$34,"")</f>
        <v/>
      </c>
      <c r="F1236" s="163" t="str">
        <f>IF(AND('Resource Planner'!$A$34="☑",32&lt;='Resource Planner'!$N$34),'Resource Planner'!$F$34&amp;" "&amp;('Resource Planner'!$G$34+(32-1)*'Resource Planner'!$I$34)&amp;IF(('Resource Planner'!$G$34+(32-1)*'Resource Planner'!$I$34)=MIN('Resource Planner'!$G$34+32*'Resource Planner'!$I$34-1,'Resource Planner'!$H$34),"","–"&amp;MIN('Resource Planner'!$G$34+32*'Resource Planner'!$I$34-1,'Resource Planner'!$H$34)),"")</f>
        <v/>
      </c>
      <c r="G1236" s="163" t="s">
        <v>109</v>
      </c>
      <c r="H1236" s="163" t="str">
        <f>IF(AND('Resource Planner'!$A$34="☑",32&lt;='Resource Planner'!$N$34),'Resource Planner'!$M$34,"")</f>
        <v/>
      </c>
    </row>
    <row r="1237" ht="15.75" customHeight="1">
      <c r="A12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7" s="163" t="str">
        <f>IF(AND('Resource Planner'!$A$34="☑",33&lt;='Resource Planner'!$N$34),'Resource Planner'!$C$34,"")</f>
        <v/>
      </c>
      <c r="C1237" s="163" t="str">
        <f>IF(AND('Resource Planner'!$A$34="☑",33&lt;='Resource Planner'!$N$34),'Resource Planner'!$B$34,"")</f>
        <v/>
      </c>
      <c r="D1237" s="163" t="str">
        <f>IF(AND('Resource Planner'!$A$34="☑",33&lt;='Resource Planner'!$N$34),'Resource Planner'!$D$34,"")</f>
        <v/>
      </c>
      <c r="E1237" s="163" t="str">
        <f>IF(AND('Resource Planner'!$A$34="☑",33&lt;='Resource Planner'!$N$34),'Resource Planner'!$E$34,"")</f>
        <v/>
      </c>
      <c r="F1237" s="163" t="str">
        <f>IF(AND('Resource Planner'!$A$34="☑",33&lt;='Resource Planner'!$N$34),'Resource Planner'!$F$34&amp;" "&amp;('Resource Planner'!$G$34+(33-1)*'Resource Planner'!$I$34)&amp;IF(('Resource Planner'!$G$34+(33-1)*'Resource Planner'!$I$34)=MIN('Resource Planner'!$G$34+33*'Resource Planner'!$I$34-1,'Resource Planner'!$H$34),"","–"&amp;MIN('Resource Planner'!$G$34+33*'Resource Planner'!$I$34-1,'Resource Planner'!$H$34)),"")</f>
        <v/>
      </c>
      <c r="G1237" s="163" t="s">
        <v>109</v>
      </c>
      <c r="H1237" s="163" t="str">
        <f>IF(AND('Resource Planner'!$A$34="☑",33&lt;='Resource Planner'!$N$34),'Resource Planner'!$M$34,"")</f>
        <v/>
      </c>
    </row>
    <row r="1238" ht="15.75" customHeight="1">
      <c r="A12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8" s="163" t="str">
        <f>IF(AND('Resource Planner'!$A$34="☑",34&lt;='Resource Planner'!$N$34),'Resource Planner'!$C$34,"")</f>
        <v/>
      </c>
      <c r="C1238" s="163" t="str">
        <f>IF(AND('Resource Planner'!$A$34="☑",34&lt;='Resource Planner'!$N$34),'Resource Planner'!$B$34,"")</f>
        <v/>
      </c>
      <c r="D1238" s="163" t="str">
        <f>IF(AND('Resource Planner'!$A$34="☑",34&lt;='Resource Planner'!$N$34),'Resource Planner'!$D$34,"")</f>
        <v/>
      </c>
      <c r="E1238" s="163" t="str">
        <f>IF(AND('Resource Planner'!$A$34="☑",34&lt;='Resource Planner'!$N$34),'Resource Planner'!$E$34,"")</f>
        <v/>
      </c>
      <c r="F1238" s="163" t="str">
        <f>IF(AND('Resource Planner'!$A$34="☑",34&lt;='Resource Planner'!$N$34),'Resource Planner'!$F$34&amp;" "&amp;('Resource Planner'!$G$34+(34-1)*'Resource Planner'!$I$34)&amp;IF(('Resource Planner'!$G$34+(34-1)*'Resource Planner'!$I$34)=MIN('Resource Planner'!$G$34+34*'Resource Planner'!$I$34-1,'Resource Planner'!$H$34),"","–"&amp;MIN('Resource Planner'!$G$34+34*'Resource Planner'!$I$34-1,'Resource Planner'!$H$34)),"")</f>
        <v/>
      </c>
      <c r="G1238" s="163" t="s">
        <v>109</v>
      </c>
      <c r="H1238" s="163" t="str">
        <f>IF(AND('Resource Planner'!$A$34="☑",34&lt;='Resource Planner'!$N$34),'Resource Planner'!$M$34,"")</f>
        <v/>
      </c>
    </row>
    <row r="1239" ht="15.75" customHeight="1">
      <c r="A12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39" s="163" t="str">
        <f>IF(AND('Resource Planner'!$A$34="☑",35&lt;='Resource Planner'!$N$34),'Resource Planner'!$C$34,"")</f>
        <v/>
      </c>
      <c r="C1239" s="163" t="str">
        <f>IF(AND('Resource Planner'!$A$34="☑",35&lt;='Resource Planner'!$N$34),'Resource Planner'!$B$34,"")</f>
        <v/>
      </c>
      <c r="D1239" s="163" t="str">
        <f>IF(AND('Resource Planner'!$A$34="☑",35&lt;='Resource Planner'!$N$34),'Resource Planner'!$D$34,"")</f>
        <v/>
      </c>
      <c r="E1239" s="163" t="str">
        <f>IF(AND('Resource Planner'!$A$34="☑",35&lt;='Resource Planner'!$N$34),'Resource Planner'!$E$34,"")</f>
        <v/>
      </c>
      <c r="F1239" s="163" t="str">
        <f>IF(AND('Resource Planner'!$A$34="☑",35&lt;='Resource Planner'!$N$34),'Resource Planner'!$F$34&amp;" "&amp;('Resource Planner'!$G$34+(35-1)*'Resource Planner'!$I$34)&amp;IF(('Resource Planner'!$G$34+(35-1)*'Resource Planner'!$I$34)=MIN('Resource Planner'!$G$34+35*'Resource Planner'!$I$34-1,'Resource Planner'!$H$34),"","–"&amp;MIN('Resource Planner'!$G$34+35*'Resource Planner'!$I$34-1,'Resource Planner'!$H$34)),"")</f>
        <v/>
      </c>
      <c r="G1239" s="163" t="s">
        <v>109</v>
      </c>
      <c r="H1239" s="163" t="str">
        <f>IF(AND('Resource Planner'!$A$34="☑",35&lt;='Resource Planner'!$N$34),'Resource Planner'!$M$34,"")</f>
        <v/>
      </c>
    </row>
    <row r="1240" ht="15.75" customHeight="1">
      <c r="A12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0" s="163" t="str">
        <f>IF(AND('Resource Planner'!$A$34="☑",36&lt;='Resource Planner'!$N$34),'Resource Planner'!$C$34,"")</f>
        <v/>
      </c>
      <c r="C1240" s="163" t="str">
        <f>IF(AND('Resource Planner'!$A$34="☑",36&lt;='Resource Planner'!$N$34),'Resource Planner'!$B$34,"")</f>
        <v/>
      </c>
      <c r="D1240" s="163" t="str">
        <f>IF(AND('Resource Planner'!$A$34="☑",36&lt;='Resource Planner'!$N$34),'Resource Planner'!$D$34,"")</f>
        <v/>
      </c>
      <c r="E1240" s="163" t="str">
        <f>IF(AND('Resource Planner'!$A$34="☑",36&lt;='Resource Planner'!$N$34),'Resource Planner'!$E$34,"")</f>
        <v/>
      </c>
      <c r="F1240" s="163" t="str">
        <f>IF(AND('Resource Planner'!$A$34="☑",36&lt;='Resource Planner'!$N$34),'Resource Planner'!$F$34&amp;" "&amp;('Resource Planner'!$G$34+(36-1)*'Resource Planner'!$I$34)&amp;IF(('Resource Planner'!$G$34+(36-1)*'Resource Planner'!$I$34)=MIN('Resource Planner'!$G$34+36*'Resource Planner'!$I$34-1,'Resource Planner'!$H$34),"","–"&amp;MIN('Resource Planner'!$G$34+36*'Resource Planner'!$I$34-1,'Resource Planner'!$H$34)),"")</f>
        <v/>
      </c>
      <c r="G1240" s="163" t="s">
        <v>109</v>
      </c>
      <c r="H1240" s="163" t="str">
        <f>IF(AND('Resource Planner'!$A$34="☑",36&lt;='Resource Planner'!$N$34),'Resource Planner'!$M$34,"")</f>
        <v/>
      </c>
    </row>
    <row r="1241" ht="15.75" customHeight="1">
      <c r="A12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1" s="163" t="str">
        <f>IF(AND('Resource Planner'!$A$34="☑",37&lt;='Resource Planner'!$N$34),'Resource Planner'!$C$34,"")</f>
        <v/>
      </c>
      <c r="C1241" s="163" t="str">
        <f>IF(AND('Resource Planner'!$A$34="☑",37&lt;='Resource Planner'!$N$34),'Resource Planner'!$B$34,"")</f>
        <v/>
      </c>
      <c r="D1241" s="163" t="str">
        <f>IF(AND('Resource Planner'!$A$34="☑",37&lt;='Resource Planner'!$N$34),'Resource Planner'!$D$34,"")</f>
        <v/>
      </c>
      <c r="E1241" s="163" t="str">
        <f>IF(AND('Resource Planner'!$A$34="☑",37&lt;='Resource Planner'!$N$34),'Resource Planner'!$E$34,"")</f>
        <v/>
      </c>
      <c r="F1241" s="163" t="str">
        <f>IF(AND('Resource Planner'!$A$34="☑",37&lt;='Resource Planner'!$N$34),'Resource Planner'!$F$34&amp;" "&amp;('Resource Planner'!$G$34+(37-1)*'Resource Planner'!$I$34)&amp;IF(('Resource Planner'!$G$34+(37-1)*'Resource Planner'!$I$34)=MIN('Resource Planner'!$G$34+37*'Resource Planner'!$I$34-1,'Resource Planner'!$H$34),"","–"&amp;MIN('Resource Planner'!$G$34+37*'Resource Planner'!$I$34-1,'Resource Planner'!$H$34)),"")</f>
        <v/>
      </c>
      <c r="G1241" s="163" t="s">
        <v>109</v>
      </c>
      <c r="H1241" s="163" t="str">
        <f>IF(AND('Resource Planner'!$A$34="☑",37&lt;='Resource Planner'!$N$34),'Resource Planner'!$M$34,"")</f>
        <v/>
      </c>
    </row>
    <row r="1242" ht="15.75" customHeight="1">
      <c r="A12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2" s="163" t="str">
        <f>IF(AND('Resource Planner'!$A$34="☑",38&lt;='Resource Planner'!$N$34),'Resource Planner'!$C$34,"")</f>
        <v/>
      </c>
      <c r="C1242" s="163" t="str">
        <f>IF(AND('Resource Planner'!$A$34="☑",38&lt;='Resource Planner'!$N$34),'Resource Planner'!$B$34,"")</f>
        <v/>
      </c>
      <c r="D1242" s="163" t="str">
        <f>IF(AND('Resource Planner'!$A$34="☑",38&lt;='Resource Planner'!$N$34),'Resource Planner'!$D$34,"")</f>
        <v/>
      </c>
      <c r="E1242" s="163" t="str">
        <f>IF(AND('Resource Planner'!$A$34="☑",38&lt;='Resource Planner'!$N$34),'Resource Planner'!$E$34,"")</f>
        <v/>
      </c>
      <c r="F1242" s="163" t="str">
        <f>IF(AND('Resource Planner'!$A$34="☑",38&lt;='Resource Planner'!$N$34),'Resource Planner'!$F$34&amp;" "&amp;('Resource Planner'!$G$34+(38-1)*'Resource Planner'!$I$34)&amp;IF(('Resource Planner'!$G$34+(38-1)*'Resource Planner'!$I$34)=MIN('Resource Planner'!$G$34+38*'Resource Planner'!$I$34-1,'Resource Planner'!$H$34),"","–"&amp;MIN('Resource Planner'!$G$34+38*'Resource Planner'!$I$34-1,'Resource Planner'!$H$34)),"")</f>
        <v/>
      </c>
      <c r="G1242" s="163" t="s">
        <v>109</v>
      </c>
      <c r="H1242" s="163" t="str">
        <f>IF(AND('Resource Planner'!$A$34="☑",38&lt;='Resource Planner'!$N$34),'Resource Planner'!$M$34,"")</f>
        <v/>
      </c>
    </row>
    <row r="1243" ht="15.75" customHeight="1">
      <c r="A12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3" s="163" t="str">
        <f>IF(AND('Resource Planner'!$A$34="☑",39&lt;='Resource Planner'!$N$34),'Resource Planner'!$C$34,"")</f>
        <v/>
      </c>
      <c r="C1243" s="163" t="str">
        <f>IF(AND('Resource Planner'!$A$34="☑",39&lt;='Resource Planner'!$N$34),'Resource Planner'!$B$34,"")</f>
        <v/>
      </c>
      <c r="D1243" s="163" t="str">
        <f>IF(AND('Resource Planner'!$A$34="☑",39&lt;='Resource Planner'!$N$34),'Resource Planner'!$D$34,"")</f>
        <v/>
      </c>
      <c r="E1243" s="163" t="str">
        <f>IF(AND('Resource Planner'!$A$34="☑",39&lt;='Resource Planner'!$N$34),'Resource Planner'!$E$34,"")</f>
        <v/>
      </c>
      <c r="F1243" s="163" t="str">
        <f>IF(AND('Resource Planner'!$A$34="☑",39&lt;='Resource Planner'!$N$34),'Resource Planner'!$F$34&amp;" "&amp;('Resource Planner'!$G$34+(39-1)*'Resource Planner'!$I$34)&amp;IF(('Resource Planner'!$G$34+(39-1)*'Resource Planner'!$I$34)=MIN('Resource Planner'!$G$34+39*'Resource Planner'!$I$34-1,'Resource Planner'!$H$34),"","–"&amp;MIN('Resource Planner'!$G$34+39*'Resource Planner'!$I$34-1,'Resource Planner'!$H$34)),"")</f>
        <v/>
      </c>
      <c r="G1243" s="163" t="s">
        <v>109</v>
      </c>
      <c r="H1243" s="163" t="str">
        <f>IF(AND('Resource Planner'!$A$34="☑",39&lt;='Resource Planner'!$N$34),'Resource Planner'!$M$34,"")</f>
        <v/>
      </c>
    </row>
    <row r="1244" ht="15.75" customHeight="1">
      <c r="A12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4" s="163" t="str">
        <f>IF(AND('Resource Planner'!$A$34="☑",40&lt;='Resource Planner'!$N$34),'Resource Planner'!$C$34,"")</f>
        <v/>
      </c>
      <c r="C1244" s="163" t="str">
        <f>IF(AND('Resource Planner'!$A$34="☑",40&lt;='Resource Planner'!$N$34),'Resource Planner'!$B$34,"")</f>
        <v/>
      </c>
      <c r="D1244" s="163" t="str">
        <f>IF(AND('Resource Planner'!$A$34="☑",40&lt;='Resource Planner'!$N$34),'Resource Planner'!$D$34,"")</f>
        <v/>
      </c>
      <c r="E1244" s="163" t="str">
        <f>IF(AND('Resource Planner'!$A$34="☑",40&lt;='Resource Planner'!$N$34),'Resource Planner'!$E$34,"")</f>
        <v/>
      </c>
      <c r="F1244" s="163" t="str">
        <f>IF(AND('Resource Planner'!$A$34="☑",40&lt;='Resource Planner'!$N$34),'Resource Planner'!$F$34&amp;" "&amp;('Resource Planner'!$G$34+(40-1)*'Resource Planner'!$I$34)&amp;IF(('Resource Planner'!$G$34+(40-1)*'Resource Planner'!$I$34)=MIN('Resource Planner'!$G$34+40*'Resource Planner'!$I$34-1,'Resource Planner'!$H$34),"","–"&amp;MIN('Resource Planner'!$G$34+40*'Resource Planner'!$I$34-1,'Resource Planner'!$H$34)),"")</f>
        <v/>
      </c>
      <c r="G1244" s="163" t="s">
        <v>109</v>
      </c>
      <c r="H1244" s="163" t="str">
        <f>IF(AND('Resource Planner'!$A$34="☑",40&lt;='Resource Planner'!$N$34),'Resource Planner'!$M$34,"")</f>
        <v/>
      </c>
    </row>
    <row r="1245" ht="15.75" customHeight="1">
      <c r="A12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5" s="163" t="str">
        <f>IF(AND('Resource Planner'!$A$34="☑",41&lt;='Resource Planner'!$N$34),'Resource Planner'!$C$34,"")</f>
        <v/>
      </c>
      <c r="C1245" s="163" t="str">
        <f>IF(AND('Resource Planner'!$A$34="☑",41&lt;='Resource Planner'!$N$34),'Resource Planner'!$B$34,"")</f>
        <v/>
      </c>
      <c r="D1245" s="163" t="str">
        <f>IF(AND('Resource Planner'!$A$34="☑",41&lt;='Resource Planner'!$N$34),'Resource Planner'!$D$34,"")</f>
        <v/>
      </c>
      <c r="E1245" s="163" t="str">
        <f>IF(AND('Resource Planner'!$A$34="☑",41&lt;='Resource Planner'!$N$34),'Resource Planner'!$E$34,"")</f>
        <v/>
      </c>
      <c r="F1245" s="163" t="str">
        <f>IF(AND('Resource Planner'!$A$34="☑",41&lt;='Resource Planner'!$N$34),'Resource Planner'!$F$34&amp;" "&amp;('Resource Planner'!$G$34+(41-1)*'Resource Planner'!$I$34)&amp;IF(('Resource Planner'!$G$34+(41-1)*'Resource Planner'!$I$34)=MIN('Resource Planner'!$G$34+41*'Resource Planner'!$I$34-1,'Resource Planner'!$H$34),"","–"&amp;MIN('Resource Planner'!$G$34+41*'Resource Planner'!$I$34-1,'Resource Planner'!$H$34)),"")</f>
        <v/>
      </c>
      <c r="G1245" s="163" t="s">
        <v>109</v>
      </c>
      <c r="H1245" s="163" t="str">
        <f>IF(AND('Resource Planner'!$A$34="☑",41&lt;='Resource Planner'!$N$34),'Resource Planner'!$M$34,"")</f>
        <v/>
      </c>
    </row>
    <row r="1246" ht="15.75" customHeight="1">
      <c r="A12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6" s="163" t="str">
        <f>IF(AND('Resource Planner'!$A$34="☑",42&lt;='Resource Planner'!$N$34),'Resource Planner'!$C$34,"")</f>
        <v/>
      </c>
      <c r="C1246" s="163" t="str">
        <f>IF(AND('Resource Planner'!$A$34="☑",42&lt;='Resource Planner'!$N$34),'Resource Planner'!$B$34,"")</f>
        <v/>
      </c>
      <c r="D1246" s="163" t="str">
        <f>IF(AND('Resource Planner'!$A$34="☑",42&lt;='Resource Planner'!$N$34),'Resource Planner'!$D$34,"")</f>
        <v/>
      </c>
      <c r="E1246" s="163" t="str">
        <f>IF(AND('Resource Planner'!$A$34="☑",42&lt;='Resource Planner'!$N$34),'Resource Planner'!$E$34,"")</f>
        <v/>
      </c>
      <c r="F1246" s="163" t="str">
        <f>IF(AND('Resource Planner'!$A$34="☑",42&lt;='Resource Planner'!$N$34),'Resource Planner'!$F$34&amp;" "&amp;('Resource Planner'!$G$34+(42-1)*'Resource Planner'!$I$34)&amp;IF(('Resource Planner'!$G$34+(42-1)*'Resource Planner'!$I$34)=MIN('Resource Planner'!$G$34+42*'Resource Planner'!$I$34-1,'Resource Planner'!$H$34),"","–"&amp;MIN('Resource Planner'!$G$34+42*'Resource Planner'!$I$34-1,'Resource Planner'!$H$34)),"")</f>
        <v/>
      </c>
      <c r="G1246" s="163" t="s">
        <v>109</v>
      </c>
      <c r="H1246" s="163" t="str">
        <f>IF(AND('Resource Planner'!$A$34="☑",42&lt;='Resource Planner'!$N$34),'Resource Planner'!$M$34,"")</f>
        <v/>
      </c>
    </row>
    <row r="1247" ht="15.75" customHeight="1">
      <c r="A12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7" s="163" t="str">
        <f>IF(AND('Resource Planner'!$A$34="☑",43&lt;='Resource Planner'!$N$34),'Resource Planner'!$C$34,"")</f>
        <v/>
      </c>
      <c r="C1247" s="163" t="str">
        <f>IF(AND('Resource Planner'!$A$34="☑",43&lt;='Resource Planner'!$N$34),'Resource Planner'!$B$34,"")</f>
        <v/>
      </c>
      <c r="D1247" s="163" t="str">
        <f>IF(AND('Resource Planner'!$A$34="☑",43&lt;='Resource Planner'!$N$34),'Resource Planner'!$D$34,"")</f>
        <v/>
      </c>
      <c r="E1247" s="163" t="str">
        <f>IF(AND('Resource Planner'!$A$34="☑",43&lt;='Resource Planner'!$N$34),'Resource Planner'!$E$34,"")</f>
        <v/>
      </c>
      <c r="F1247" s="163" t="str">
        <f>IF(AND('Resource Planner'!$A$34="☑",43&lt;='Resource Planner'!$N$34),'Resource Planner'!$F$34&amp;" "&amp;('Resource Planner'!$G$34+(43-1)*'Resource Planner'!$I$34)&amp;IF(('Resource Planner'!$G$34+(43-1)*'Resource Planner'!$I$34)=MIN('Resource Planner'!$G$34+43*'Resource Planner'!$I$34-1,'Resource Planner'!$H$34),"","–"&amp;MIN('Resource Planner'!$G$34+43*'Resource Planner'!$I$34-1,'Resource Planner'!$H$34)),"")</f>
        <v/>
      </c>
      <c r="G1247" s="163" t="s">
        <v>109</v>
      </c>
      <c r="H1247" s="163" t="str">
        <f>IF(AND('Resource Planner'!$A$34="☑",43&lt;='Resource Planner'!$N$34),'Resource Planner'!$M$34,"")</f>
        <v/>
      </c>
    </row>
    <row r="1248" ht="15.75" customHeight="1">
      <c r="A12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8" s="163" t="str">
        <f>IF(AND('Resource Planner'!$A$34="☑",44&lt;='Resource Planner'!$N$34),'Resource Planner'!$C$34,"")</f>
        <v/>
      </c>
      <c r="C1248" s="163" t="str">
        <f>IF(AND('Resource Planner'!$A$34="☑",44&lt;='Resource Planner'!$N$34),'Resource Planner'!$B$34,"")</f>
        <v/>
      </c>
      <c r="D1248" s="163" t="str">
        <f>IF(AND('Resource Planner'!$A$34="☑",44&lt;='Resource Planner'!$N$34),'Resource Planner'!$D$34,"")</f>
        <v/>
      </c>
      <c r="E1248" s="163" t="str">
        <f>IF(AND('Resource Planner'!$A$34="☑",44&lt;='Resource Planner'!$N$34),'Resource Planner'!$E$34,"")</f>
        <v/>
      </c>
      <c r="F1248" s="163" t="str">
        <f>IF(AND('Resource Planner'!$A$34="☑",44&lt;='Resource Planner'!$N$34),'Resource Planner'!$F$34&amp;" "&amp;('Resource Planner'!$G$34+(44-1)*'Resource Planner'!$I$34)&amp;IF(('Resource Planner'!$G$34+(44-1)*'Resource Planner'!$I$34)=MIN('Resource Planner'!$G$34+44*'Resource Planner'!$I$34-1,'Resource Planner'!$H$34),"","–"&amp;MIN('Resource Planner'!$G$34+44*'Resource Planner'!$I$34-1,'Resource Planner'!$H$34)),"")</f>
        <v/>
      </c>
      <c r="G1248" s="163" t="s">
        <v>109</v>
      </c>
      <c r="H1248" s="163" t="str">
        <f>IF(AND('Resource Planner'!$A$34="☑",44&lt;='Resource Planner'!$N$34),'Resource Planner'!$M$34,"")</f>
        <v/>
      </c>
    </row>
    <row r="1249" ht="15.75" customHeight="1">
      <c r="A12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49" s="163" t="str">
        <f>IF(AND('Resource Planner'!$A$34="☑",45&lt;='Resource Planner'!$N$34),'Resource Planner'!$C$34,"")</f>
        <v/>
      </c>
      <c r="C1249" s="163" t="str">
        <f>IF(AND('Resource Planner'!$A$34="☑",45&lt;='Resource Planner'!$N$34),'Resource Planner'!$B$34,"")</f>
        <v/>
      </c>
      <c r="D1249" s="163" t="str">
        <f>IF(AND('Resource Planner'!$A$34="☑",45&lt;='Resource Planner'!$N$34),'Resource Planner'!$D$34,"")</f>
        <v/>
      </c>
      <c r="E1249" s="163" t="str">
        <f>IF(AND('Resource Planner'!$A$34="☑",45&lt;='Resource Planner'!$N$34),'Resource Planner'!$E$34,"")</f>
        <v/>
      </c>
      <c r="F1249" s="163" t="str">
        <f>IF(AND('Resource Planner'!$A$34="☑",45&lt;='Resource Planner'!$N$34),'Resource Planner'!$F$34&amp;" "&amp;('Resource Planner'!$G$34+(45-1)*'Resource Planner'!$I$34)&amp;IF(('Resource Planner'!$G$34+(45-1)*'Resource Planner'!$I$34)=MIN('Resource Planner'!$G$34+45*'Resource Planner'!$I$34-1,'Resource Planner'!$H$34),"","–"&amp;MIN('Resource Planner'!$G$34+45*'Resource Planner'!$I$34-1,'Resource Planner'!$H$34)),"")</f>
        <v/>
      </c>
      <c r="G1249" s="163" t="s">
        <v>109</v>
      </c>
      <c r="H1249" s="163" t="str">
        <f>IF(AND('Resource Planner'!$A$34="☑",45&lt;='Resource Planner'!$N$34),'Resource Planner'!$M$34,"")</f>
        <v/>
      </c>
    </row>
    <row r="1250" ht="15.75" customHeight="1">
      <c r="A12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0" s="163" t="str">
        <f>IF(AND('Resource Planner'!$A$34="☑",46&lt;='Resource Planner'!$N$34),'Resource Planner'!$C$34,"")</f>
        <v/>
      </c>
      <c r="C1250" s="163" t="str">
        <f>IF(AND('Resource Planner'!$A$34="☑",46&lt;='Resource Planner'!$N$34),'Resource Planner'!$B$34,"")</f>
        <v/>
      </c>
      <c r="D1250" s="163" t="str">
        <f>IF(AND('Resource Planner'!$A$34="☑",46&lt;='Resource Planner'!$N$34),'Resource Planner'!$D$34,"")</f>
        <v/>
      </c>
      <c r="E1250" s="163" t="str">
        <f>IF(AND('Resource Planner'!$A$34="☑",46&lt;='Resource Planner'!$N$34),'Resource Planner'!$E$34,"")</f>
        <v/>
      </c>
      <c r="F1250" s="163" t="str">
        <f>IF(AND('Resource Planner'!$A$34="☑",46&lt;='Resource Planner'!$N$34),'Resource Planner'!$F$34&amp;" "&amp;('Resource Planner'!$G$34+(46-1)*'Resource Planner'!$I$34)&amp;IF(('Resource Planner'!$G$34+(46-1)*'Resource Planner'!$I$34)=MIN('Resource Planner'!$G$34+46*'Resource Planner'!$I$34-1,'Resource Planner'!$H$34),"","–"&amp;MIN('Resource Planner'!$G$34+46*'Resource Planner'!$I$34-1,'Resource Planner'!$H$34)),"")</f>
        <v/>
      </c>
      <c r="G1250" s="163" t="s">
        <v>109</v>
      </c>
      <c r="H1250" s="163" t="str">
        <f>IF(AND('Resource Planner'!$A$34="☑",46&lt;='Resource Planner'!$N$34),'Resource Planner'!$M$34,"")</f>
        <v/>
      </c>
    </row>
    <row r="1251" ht="15.75" customHeight="1">
      <c r="A12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1" s="163" t="str">
        <f>IF(AND('Resource Planner'!$A$34="☑",47&lt;='Resource Planner'!$N$34),'Resource Planner'!$C$34,"")</f>
        <v/>
      </c>
      <c r="C1251" s="163" t="str">
        <f>IF(AND('Resource Planner'!$A$34="☑",47&lt;='Resource Planner'!$N$34),'Resource Planner'!$B$34,"")</f>
        <v/>
      </c>
      <c r="D1251" s="163" t="str">
        <f>IF(AND('Resource Planner'!$A$34="☑",47&lt;='Resource Planner'!$N$34),'Resource Planner'!$D$34,"")</f>
        <v/>
      </c>
      <c r="E1251" s="163" t="str">
        <f>IF(AND('Resource Planner'!$A$34="☑",47&lt;='Resource Planner'!$N$34),'Resource Planner'!$E$34,"")</f>
        <v/>
      </c>
      <c r="F1251" s="163" t="str">
        <f>IF(AND('Resource Planner'!$A$34="☑",47&lt;='Resource Planner'!$N$34),'Resource Planner'!$F$34&amp;" "&amp;('Resource Planner'!$G$34+(47-1)*'Resource Planner'!$I$34)&amp;IF(('Resource Planner'!$G$34+(47-1)*'Resource Planner'!$I$34)=MIN('Resource Planner'!$G$34+47*'Resource Planner'!$I$34-1,'Resource Planner'!$H$34),"","–"&amp;MIN('Resource Planner'!$G$34+47*'Resource Planner'!$I$34-1,'Resource Planner'!$H$34)),"")</f>
        <v/>
      </c>
      <c r="G1251" s="163" t="s">
        <v>109</v>
      </c>
      <c r="H1251" s="163" t="str">
        <f>IF(AND('Resource Planner'!$A$34="☑",47&lt;='Resource Planner'!$N$34),'Resource Planner'!$M$34,"")</f>
        <v/>
      </c>
    </row>
    <row r="1252" ht="15.75" customHeight="1">
      <c r="A12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2" s="163" t="str">
        <f>IF(AND('Resource Planner'!$A$34="☑",48&lt;='Resource Planner'!$N$34),'Resource Planner'!$C$34,"")</f>
        <v/>
      </c>
      <c r="C1252" s="163" t="str">
        <f>IF(AND('Resource Planner'!$A$34="☑",48&lt;='Resource Planner'!$N$34),'Resource Planner'!$B$34,"")</f>
        <v/>
      </c>
      <c r="D1252" s="163" t="str">
        <f>IF(AND('Resource Planner'!$A$34="☑",48&lt;='Resource Planner'!$N$34),'Resource Planner'!$D$34,"")</f>
        <v/>
      </c>
      <c r="E1252" s="163" t="str">
        <f>IF(AND('Resource Planner'!$A$34="☑",48&lt;='Resource Planner'!$N$34),'Resource Planner'!$E$34,"")</f>
        <v/>
      </c>
      <c r="F1252" s="163" t="str">
        <f>IF(AND('Resource Planner'!$A$34="☑",48&lt;='Resource Planner'!$N$34),'Resource Planner'!$F$34&amp;" "&amp;('Resource Planner'!$G$34+(48-1)*'Resource Planner'!$I$34)&amp;IF(('Resource Planner'!$G$34+(48-1)*'Resource Planner'!$I$34)=MIN('Resource Planner'!$G$34+48*'Resource Planner'!$I$34-1,'Resource Planner'!$H$34),"","–"&amp;MIN('Resource Planner'!$G$34+48*'Resource Planner'!$I$34-1,'Resource Planner'!$H$34)),"")</f>
        <v/>
      </c>
      <c r="G1252" s="163" t="s">
        <v>109</v>
      </c>
      <c r="H1252" s="163" t="str">
        <f>IF(AND('Resource Planner'!$A$34="☑",48&lt;='Resource Planner'!$N$34),'Resource Planner'!$M$34,"")</f>
        <v/>
      </c>
    </row>
    <row r="1253" ht="15.75" customHeight="1">
      <c r="A12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3" s="163" t="str">
        <f>IF(AND('Resource Planner'!$A$34="☑",49&lt;='Resource Planner'!$N$34),'Resource Planner'!$C$34,"")</f>
        <v/>
      </c>
      <c r="C1253" s="163" t="str">
        <f>IF(AND('Resource Planner'!$A$34="☑",49&lt;='Resource Planner'!$N$34),'Resource Planner'!$B$34,"")</f>
        <v/>
      </c>
      <c r="D1253" s="163" t="str">
        <f>IF(AND('Resource Planner'!$A$34="☑",49&lt;='Resource Planner'!$N$34),'Resource Planner'!$D$34,"")</f>
        <v/>
      </c>
      <c r="E1253" s="163" t="str">
        <f>IF(AND('Resource Planner'!$A$34="☑",49&lt;='Resource Planner'!$N$34),'Resource Planner'!$E$34,"")</f>
        <v/>
      </c>
      <c r="F1253" s="163" t="str">
        <f>IF(AND('Resource Planner'!$A$34="☑",49&lt;='Resource Planner'!$N$34),'Resource Planner'!$F$34&amp;" "&amp;('Resource Planner'!$G$34+(49-1)*'Resource Planner'!$I$34)&amp;IF(('Resource Planner'!$G$34+(49-1)*'Resource Planner'!$I$34)=MIN('Resource Planner'!$G$34+49*'Resource Planner'!$I$34-1,'Resource Planner'!$H$34),"","–"&amp;MIN('Resource Planner'!$G$34+49*'Resource Planner'!$I$34-1,'Resource Planner'!$H$34)),"")</f>
        <v/>
      </c>
      <c r="G1253" s="163" t="s">
        <v>109</v>
      </c>
      <c r="H1253" s="163" t="str">
        <f>IF(AND('Resource Planner'!$A$34="☑",49&lt;='Resource Planner'!$N$34),'Resource Planner'!$M$34,"")</f>
        <v/>
      </c>
    </row>
    <row r="1254" ht="15.75" customHeight="1">
      <c r="A12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4" s="163" t="str">
        <f>IF(AND('Resource Planner'!$A$34="☑",50&lt;='Resource Planner'!$N$34),'Resource Planner'!$C$34,"")</f>
        <v/>
      </c>
      <c r="C1254" s="163" t="str">
        <f>IF(AND('Resource Planner'!$A$34="☑",50&lt;='Resource Planner'!$N$34),'Resource Planner'!$B$34,"")</f>
        <v/>
      </c>
      <c r="D1254" s="163" t="str">
        <f>IF(AND('Resource Planner'!$A$34="☑",50&lt;='Resource Planner'!$N$34),'Resource Planner'!$D$34,"")</f>
        <v/>
      </c>
      <c r="E1254" s="163" t="str">
        <f>IF(AND('Resource Planner'!$A$34="☑",50&lt;='Resource Planner'!$N$34),'Resource Planner'!$E$34,"")</f>
        <v/>
      </c>
      <c r="F1254" s="163" t="str">
        <f>IF(AND('Resource Planner'!$A$34="☑",50&lt;='Resource Planner'!$N$34),'Resource Planner'!$F$34&amp;" "&amp;('Resource Planner'!$G$34+(50-1)*'Resource Planner'!$I$34)&amp;IF(('Resource Planner'!$G$34+(50-1)*'Resource Planner'!$I$34)=MIN('Resource Planner'!$G$34+50*'Resource Planner'!$I$34-1,'Resource Planner'!$H$34),"","–"&amp;MIN('Resource Planner'!$G$34+50*'Resource Planner'!$I$34-1,'Resource Planner'!$H$34)),"")</f>
        <v/>
      </c>
      <c r="G1254" s="163" t="s">
        <v>109</v>
      </c>
      <c r="H1254" s="163" t="str">
        <f>IF(AND('Resource Planner'!$A$34="☑",50&lt;='Resource Planner'!$N$34),'Resource Planner'!$M$34,"")</f>
        <v/>
      </c>
    </row>
    <row r="1255" ht="15.75" customHeight="1">
      <c r="A12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5" s="163" t="str">
        <f>IF(AND('Resource Planner'!$A$35="☑",1&lt;='Resource Planner'!$N$35),'Resource Planner'!$C$35,"")</f>
        <v/>
      </c>
      <c r="C1255" s="163" t="str">
        <f>IF(AND('Resource Planner'!$A$35="☑",1&lt;='Resource Planner'!$N$35),'Resource Planner'!$B$35,"")</f>
        <v/>
      </c>
      <c r="D1255" s="163" t="str">
        <f>IF(AND('Resource Planner'!$A$35="☑",1&lt;='Resource Planner'!$N$35),'Resource Planner'!$D$35,"")</f>
        <v/>
      </c>
      <c r="E1255" s="163" t="str">
        <f>IF(AND('Resource Planner'!$A$35="☑",1&lt;='Resource Planner'!$N$35),'Resource Planner'!$E$35,"")</f>
        <v/>
      </c>
      <c r="F1255" s="163" t="str">
        <f>IF(AND('Resource Planner'!$A$35="☑",1&lt;='Resource Planner'!$N$35),'Resource Planner'!$F$35&amp;" "&amp;('Resource Planner'!$G$35+(1-1)*'Resource Planner'!$I$35)&amp;IF(('Resource Planner'!$G$35+(1-1)*'Resource Planner'!$I$35)=MIN('Resource Planner'!$G$35+1*'Resource Planner'!$I$35-1,'Resource Planner'!$H$35),"","–"&amp;MIN('Resource Planner'!$G$35+1*'Resource Planner'!$I$35-1,'Resource Planner'!$H$35)),"")</f>
        <v/>
      </c>
      <c r="G1255" s="163" t="s">
        <v>109</v>
      </c>
      <c r="H1255" s="163" t="str">
        <f>IF(AND('Resource Planner'!$A$35="☑",1&lt;='Resource Planner'!$N$35),'Resource Planner'!$M$35,"")</f>
        <v/>
      </c>
    </row>
    <row r="1256" ht="15.75" customHeight="1">
      <c r="A12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6" s="163" t="str">
        <f>IF(AND('Resource Planner'!$A$35="☑",2&lt;='Resource Planner'!$N$35),'Resource Planner'!$C$35,"")</f>
        <v/>
      </c>
      <c r="C1256" s="163" t="str">
        <f>IF(AND('Resource Planner'!$A$35="☑",2&lt;='Resource Planner'!$N$35),'Resource Planner'!$B$35,"")</f>
        <v/>
      </c>
      <c r="D1256" s="163" t="str">
        <f>IF(AND('Resource Planner'!$A$35="☑",2&lt;='Resource Planner'!$N$35),'Resource Planner'!$D$35,"")</f>
        <v/>
      </c>
      <c r="E1256" s="163" t="str">
        <f>IF(AND('Resource Planner'!$A$35="☑",2&lt;='Resource Planner'!$N$35),'Resource Planner'!$E$35,"")</f>
        <v/>
      </c>
      <c r="F1256" s="163" t="str">
        <f>IF(AND('Resource Planner'!$A$35="☑",2&lt;='Resource Planner'!$N$35),'Resource Planner'!$F$35&amp;" "&amp;('Resource Planner'!$G$35+(2-1)*'Resource Planner'!$I$35)&amp;IF(('Resource Planner'!$G$35+(2-1)*'Resource Planner'!$I$35)=MIN('Resource Planner'!$G$35+2*'Resource Planner'!$I$35-1,'Resource Planner'!$H$35),"","–"&amp;MIN('Resource Planner'!$G$35+2*'Resource Planner'!$I$35-1,'Resource Planner'!$H$35)),"")</f>
        <v/>
      </c>
      <c r="G1256" s="163" t="s">
        <v>109</v>
      </c>
      <c r="H1256" s="163" t="str">
        <f>IF(AND('Resource Planner'!$A$35="☑",2&lt;='Resource Planner'!$N$35),'Resource Planner'!$M$35,"")</f>
        <v/>
      </c>
    </row>
    <row r="1257" ht="15.75" customHeight="1">
      <c r="A12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7" s="163" t="str">
        <f>IF(AND('Resource Planner'!$A$35="☑",3&lt;='Resource Planner'!$N$35),'Resource Planner'!$C$35,"")</f>
        <v/>
      </c>
      <c r="C1257" s="163" t="str">
        <f>IF(AND('Resource Planner'!$A$35="☑",3&lt;='Resource Planner'!$N$35),'Resource Planner'!$B$35,"")</f>
        <v/>
      </c>
      <c r="D1257" s="163" t="str">
        <f>IF(AND('Resource Planner'!$A$35="☑",3&lt;='Resource Planner'!$N$35),'Resource Planner'!$D$35,"")</f>
        <v/>
      </c>
      <c r="E1257" s="163" t="str">
        <f>IF(AND('Resource Planner'!$A$35="☑",3&lt;='Resource Planner'!$N$35),'Resource Planner'!$E$35,"")</f>
        <v/>
      </c>
      <c r="F1257" s="163" t="str">
        <f>IF(AND('Resource Planner'!$A$35="☑",3&lt;='Resource Planner'!$N$35),'Resource Planner'!$F$35&amp;" "&amp;('Resource Planner'!$G$35+(3-1)*'Resource Planner'!$I$35)&amp;IF(('Resource Planner'!$G$35+(3-1)*'Resource Planner'!$I$35)=MIN('Resource Planner'!$G$35+3*'Resource Planner'!$I$35-1,'Resource Planner'!$H$35),"","–"&amp;MIN('Resource Planner'!$G$35+3*'Resource Planner'!$I$35-1,'Resource Planner'!$H$35)),"")</f>
        <v/>
      </c>
      <c r="G1257" s="163" t="s">
        <v>109</v>
      </c>
      <c r="H1257" s="163" t="str">
        <f>IF(AND('Resource Planner'!$A$35="☑",3&lt;='Resource Planner'!$N$35),'Resource Planner'!$M$35,"")</f>
        <v/>
      </c>
    </row>
    <row r="1258" ht="15.75" customHeight="1">
      <c r="A12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8" s="163" t="str">
        <f>IF(AND('Resource Planner'!$A$35="☑",4&lt;='Resource Planner'!$N$35),'Resource Planner'!$C$35,"")</f>
        <v/>
      </c>
      <c r="C1258" s="163" t="str">
        <f>IF(AND('Resource Planner'!$A$35="☑",4&lt;='Resource Planner'!$N$35),'Resource Planner'!$B$35,"")</f>
        <v/>
      </c>
      <c r="D1258" s="163" t="str">
        <f>IF(AND('Resource Planner'!$A$35="☑",4&lt;='Resource Planner'!$N$35),'Resource Planner'!$D$35,"")</f>
        <v/>
      </c>
      <c r="E1258" s="163" t="str">
        <f>IF(AND('Resource Planner'!$A$35="☑",4&lt;='Resource Planner'!$N$35),'Resource Planner'!$E$35,"")</f>
        <v/>
      </c>
      <c r="F1258" s="163" t="str">
        <f>IF(AND('Resource Planner'!$A$35="☑",4&lt;='Resource Planner'!$N$35),'Resource Planner'!$F$35&amp;" "&amp;('Resource Planner'!$G$35+(4-1)*'Resource Planner'!$I$35)&amp;IF(('Resource Planner'!$G$35+(4-1)*'Resource Planner'!$I$35)=MIN('Resource Planner'!$G$35+4*'Resource Planner'!$I$35-1,'Resource Planner'!$H$35),"","–"&amp;MIN('Resource Planner'!$G$35+4*'Resource Planner'!$I$35-1,'Resource Planner'!$H$35)),"")</f>
        <v/>
      </c>
      <c r="G1258" s="163" t="s">
        <v>109</v>
      </c>
      <c r="H1258" s="163" t="str">
        <f>IF(AND('Resource Planner'!$A$35="☑",4&lt;='Resource Planner'!$N$35),'Resource Planner'!$M$35,"")</f>
        <v/>
      </c>
    </row>
    <row r="1259" ht="15.75" customHeight="1">
      <c r="A12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59" s="163" t="str">
        <f>IF(AND('Resource Planner'!$A$35="☑",5&lt;='Resource Planner'!$N$35),'Resource Planner'!$C$35,"")</f>
        <v/>
      </c>
      <c r="C1259" s="163" t="str">
        <f>IF(AND('Resource Planner'!$A$35="☑",5&lt;='Resource Planner'!$N$35),'Resource Planner'!$B$35,"")</f>
        <v/>
      </c>
      <c r="D1259" s="163" t="str">
        <f>IF(AND('Resource Planner'!$A$35="☑",5&lt;='Resource Planner'!$N$35),'Resource Planner'!$D$35,"")</f>
        <v/>
      </c>
      <c r="E1259" s="163" t="str">
        <f>IF(AND('Resource Planner'!$A$35="☑",5&lt;='Resource Planner'!$N$35),'Resource Planner'!$E$35,"")</f>
        <v/>
      </c>
      <c r="F1259" s="163" t="str">
        <f>IF(AND('Resource Planner'!$A$35="☑",5&lt;='Resource Planner'!$N$35),'Resource Planner'!$F$35&amp;" "&amp;('Resource Planner'!$G$35+(5-1)*'Resource Planner'!$I$35)&amp;IF(('Resource Planner'!$G$35+(5-1)*'Resource Planner'!$I$35)=MIN('Resource Planner'!$G$35+5*'Resource Planner'!$I$35-1,'Resource Planner'!$H$35),"","–"&amp;MIN('Resource Planner'!$G$35+5*'Resource Planner'!$I$35-1,'Resource Planner'!$H$35)),"")</f>
        <v/>
      </c>
      <c r="G1259" s="163" t="s">
        <v>109</v>
      </c>
      <c r="H1259" s="163" t="str">
        <f>IF(AND('Resource Planner'!$A$35="☑",5&lt;='Resource Planner'!$N$35),'Resource Planner'!$M$35,"")</f>
        <v/>
      </c>
    </row>
    <row r="1260" ht="15.75" customHeight="1">
      <c r="A12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0" s="163" t="str">
        <f>IF(AND('Resource Planner'!$A$35="☑",6&lt;='Resource Planner'!$N$35),'Resource Planner'!$C$35,"")</f>
        <v/>
      </c>
      <c r="C1260" s="163" t="str">
        <f>IF(AND('Resource Planner'!$A$35="☑",6&lt;='Resource Planner'!$N$35),'Resource Planner'!$B$35,"")</f>
        <v/>
      </c>
      <c r="D1260" s="163" t="str">
        <f>IF(AND('Resource Planner'!$A$35="☑",6&lt;='Resource Planner'!$N$35),'Resource Planner'!$D$35,"")</f>
        <v/>
      </c>
      <c r="E1260" s="163" t="str">
        <f>IF(AND('Resource Planner'!$A$35="☑",6&lt;='Resource Planner'!$N$35),'Resource Planner'!$E$35,"")</f>
        <v/>
      </c>
      <c r="F1260" s="163" t="str">
        <f>IF(AND('Resource Planner'!$A$35="☑",6&lt;='Resource Planner'!$N$35),'Resource Planner'!$F$35&amp;" "&amp;('Resource Planner'!$G$35+(6-1)*'Resource Planner'!$I$35)&amp;IF(('Resource Planner'!$G$35+(6-1)*'Resource Planner'!$I$35)=MIN('Resource Planner'!$G$35+6*'Resource Planner'!$I$35-1,'Resource Planner'!$H$35),"","–"&amp;MIN('Resource Planner'!$G$35+6*'Resource Planner'!$I$35-1,'Resource Planner'!$H$35)),"")</f>
        <v/>
      </c>
      <c r="G1260" s="163" t="s">
        <v>109</v>
      </c>
      <c r="H1260" s="163" t="str">
        <f>IF(AND('Resource Planner'!$A$35="☑",6&lt;='Resource Planner'!$N$35),'Resource Planner'!$M$35,"")</f>
        <v/>
      </c>
    </row>
    <row r="1261" ht="15.75" customHeight="1">
      <c r="A12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1" s="163" t="str">
        <f>IF(AND('Resource Planner'!$A$35="☑",7&lt;='Resource Planner'!$N$35),'Resource Planner'!$C$35,"")</f>
        <v/>
      </c>
      <c r="C1261" s="163" t="str">
        <f>IF(AND('Resource Planner'!$A$35="☑",7&lt;='Resource Planner'!$N$35),'Resource Planner'!$B$35,"")</f>
        <v/>
      </c>
      <c r="D1261" s="163" t="str">
        <f>IF(AND('Resource Planner'!$A$35="☑",7&lt;='Resource Planner'!$N$35),'Resource Planner'!$D$35,"")</f>
        <v/>
      </c>
      <c r="E1261" s="163" t="str">
        <f>IF(AND('Resource Planner'!$A$35="☑",7&lt;='Resource Planner'!$N$35),'Resource Planner'!$E$35,"")</f>
        <v/>
      </c>
      <c r="F1261" s="163" t="str">
        <f>IF(AND('Resource Planner'!$A$35="☑",7&lt;='Resource Planner'!$N$35),'Resource Planner'!$F$35&amp;" "&amp;('Resource Planner'!$G$35+(7-1)*'Resource Planner'!$I$35)&amp;IF(('Resource Planner'!$G$35+(7-1)*'Resource Planner'!$I$35)=MIN('Resource Planner'!$G$35+7*'Resource Planner'!$I$35-1,'Resource Planner'!$H$35),"","–"&amp;MIN('Resource Planner'!$G$35+7*'Resource Planner'!$I$35-1,'Resource Planner'!$H$35)),"")</f>
        <v/>
      </c>
      <c r="G1261" s="163" t="s">
        <v>109</v>
      </c>
      <c r="H1261" s="163" t="str">
        <f>IF(AND('Resource Planner'!$A$35="☑",7&lt;='Resource Planner'!$N$35),'Resource Planner'!$M$35,"")</f>
        <v/>
      </c>
    </row>
    <row r="1262" ht="15.75" customHeight="1">
      <c r="A12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2" s="163" t="str">
        <f>IF(AND('Resource Planner'!$A$35="☑",8&lt;='Resource Planner'!$N$35),'Resource Planner'!$C$35,"")</f>
        <v/>
      </c>
      <c r="C1262" s="163" t="str">
        <f>IF(AND('Resource Planner'!$A$35="☑",8&lt;='Resource Planner'!$N$35),'Resource Planner'!$B$35,"")</f>
        <v/>
      </c>
      <c r="D1262" s="163" t="str">
        <f>IF(AND('Resource Planner'!$A$35="☑",8&lt;='Resource Planner'!$N$35),'Resource Planner'!$D$35,"")</f>
        <v/>
      </c>
      <c r="E1262" s="163" t="str">
        <f>IF(AND('Resource Planner'!$A$35="☑",8&lt;='Resource Planner'!$N$35),'Resource Planner'!$E$35,"")</f>
        <v/>
      </c>
      <c r="F1262" s="163" t="str">
        <f>IF(AND('Resource Planner'!$A$35="☑",8&lt;='Resource Planner'!$N$35),'Resource Planner'!$F$35&amp;" "&amp;('Resource Planner'!$G$35+(8-1)*'Resource Planner'!$I$35)&amp;IF(('Resource Planner'!$G$35+(8-1)*'Resource Planner'!$I$35)=MIN('Resource Planner'!$G$35+8*'Resource Planner'!$I$35-1,'Resource Planner'!$H$35),"","–"&amp;MIN('Resource Planner'!$G$35+8*'Resource Planner'!$I$35-1,'Resource Planner'!$H$35)),"")</f>
        <v/>
      </c>
      <c r="G1262" s="163" t="s">
        <v>109</v>
      </c>
      <c r="H1262" s="163" t="str">
        <f>IF(AND('Resource Planner'!$A$35="☑",8&lt;='Resource Planner'!$N$35),'Resource Planner'!$M$35,"")</f>
        <v/>
      </c>
    </row>
    <row r="1263" ht="15.75" customHeight="1">
      <c r="A12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3" s="163" t="str">
        <f>IF(AND('Resource Planner'!$A$35="☑",9&lt;='Resource Planner'!$N$35),'Resource Planner'!$C$35,"")</f>
        <v/>
      </c>
      <c r="C1263" s="163" t="str">
        <f>IF(AND('Resource Planner'!$A$35="☑",9&lt;='Resource Planner'!$N$35),'Resource Planner'!$B$35,"")</f>
        <v/>
      </c>
      <c r="D1263" s="163" t="str">
        <f>IF(AND('Resource Planner'!$A$35="☑",9&lt;='Resource Planner'!$N$35),'Resource Planner'!$D$35,"")</f>
        <v/>
      </c>
      <c r="E1263" s="163" t="str">
        <f>IF(AND('Resource Planner'!$A$35="☑",9&lt;='Resource Planner'!$N$35),'Resource Planner'!$E$35,"")</f>
        <v/>
      </c>
      <c r="F1263" s="163" t="str">
        <f>IF(AND('Resource Planner'!$A$35="☑",9&lt;='Resource Planner'!$N$35),'Resource Planner'!$F$35&amp;" "&amp;('Resource Planner'!$G$35+(9-1)*'Resource Planner'!$I$35)&amp;IF(('Resource Planner'!$G$35+(9-1)*'Resource Planner'!$I$35)=MIN('Resource Planner'!$G$35+9*'Resource Planner'!$I$35-1,'Resource Planner'!$H$35),"","–"&amp;MIN('Resource Planner'!$G$35+9*'Resource Planner'!$I$35-1,'Resource Planner'!$H$35)),"")</f>
        <v/>
      </c>
      <c r="G1263" s="163" t="s">
        <v>109</v>
      </c>
      <c r="H1263" s="163" t="str">
        <f>IF(AND('Resource Planner'!$A$35="☑",9&lt;='Resource Planner'!$N$35),'Resource Planner'!$M$35,"")</f>
        <v/>
      </c>
    </row>
    <row r="1264" ht="15.75" customHeight="1">
      <c r="A12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4" s="163" t="str">
        <f>IF(AND('Resource Planner'!$A$35="☑",10&lt;='Resource Planner'!$N$35),'Resource Planner'!$C$35,"")</f>
        <v/>
      </c>
      <c r="C1264" s="163" t="str">
        <f>IF(AND('Resource Planner'!$A$35="☑",10&lt;='Resource Planner'!$N$35),'Resource Planner'!$B$35,"")</f>
        <v/>
      </c>
      <c r="D1264" s="163" t="str">
        <f>IF(AND('Resource Planner'!$A$35="☑",10&lt;='Resource Planner'!$N$35),'Resource Planner'!$D$35,"")</f>
        <v/>
      </c>
      <c r="E1264" s="163" t="str">
        <f>IF(AND('Resource Planner'!$A$35="☑",10&lt;='Resource Planner'!$N$35),'Resource Planner'!$E$35,"")</f>
        <v/>
      </c>
      <c r="F1264" s="163" t="str">
        <f>IF(AND('Resource Planner'!$A$35="☑",10&lt;='Resource Planner'!$N$35),'Resource Planner'!$F$35&amp;" "&amp;('Resource Planner'!$G$35+(10-1)*'Resource Planner'!$I$35)&amp;IF(('Resource Planner'!$G$35+(10-1)*'Resource Planner'!$I$35)=MIN('Resource Planner'!$G$35+10*'Resource Planner'!$I$35-1,'Resource Planner'!$H$35),"","–"&amp;MIN('Resource Planner'!$G$35+10*'Resource Planner'!$I$35-1,'Resource Planner'!$H$35)),"")</f>
        <v/>
      </c>
      <c r="G1264" s="163" t="s">
        <v>109</v>
      </c>
      <c r="H1264" s="163" t="str">
        <f>IF(AND('Resource Planner'!$A$35="☑",10&lt;='Resource Planner'!$N$35),'Resource Planner'!$M$35,"")</f>
        <v/>
      </c>
    </row>
    <row r="1265" ht="15.75" customHeight="1">
      <c r="A12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5" s="163" t="str">
        <f>IF(AND('Resource Planner'!$A$35="☑",11&lt;='Resource Planner'!$N$35),'Resource Planner'!$C$35,"")</f>
        <v/>
      </c>
      <c r="C1265" s="163" t="str">
        <f>IF(AND('Resource Planner'!$A$35="☑",11&lt;='Resource Planner'!$N$35),'Resource Planner'!$B$35,"")</f>
        <v/>
      </c>
      <c r="D1265" s="163" t="str">
        <f>IF(AND('Resource Planner'!$A$35="☑",11&lt;='Resource Planner'!$N$35),'Resource Planner'!$D$35,"")</f>
        <v/>
      </c>
      <c r="E1265" s="163" t="str">
        <f>IF(AND('Resource Planner'!$A$35="☑",11&lt;='Resource Planner'!$N$35),'Resource Planner'!$E$35,"")</f>
        <v/>
      </c>
      <c r="F1265" s="163" t="str">
        <f>IF(AND('Resource Planner'!$A$35="☑",11&lt;='Resource Planner'!$N$35),'Resource Planner'!$F$35&amp;" "&amp;('Resource Planner'!$G$35+(11-1)*'Resource Planner'!$I$35)&amp;IF(('Resource Planner'!$G$35+(11-1)*'Resource Planner'!$I$35)=MIN('Resource Planner'!$G$35+11*'Resource Planner'!$I$35-1,'Resource Planner'!$H$35),"","–"&amp;MIN('Resource Planner'!$G$35+11*'Resource Planner'!$I$35-1,'Resource Planner'!$H$35)),"")</f>
        <v/>
      </c>
      <c r="G1265" s="163" t="s">
        <v>109</v>
      </c>
      <c r="H1265" s="163" t="str">
        <f>IF(AND('Resource Planner'!$A$35="☑",11&lt;='Resource Planner'!$N$35),'Resource Planner'!$M$35,"")</f>
        <v/>
      </c>
    </row>
    <row r="1266" ht="15.75" customHeight="1">
      <c r="A12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6" s="163" t="str">
        <f>IF(AND('Resource Planner'!$A$35="☑",12&lt;='Resource Planner'!$N$35),'Resource Planner'!$C$35,"")</f>
        <v/>
      </c>
      <c r="C1266" s="163" t="str">
        <f>IF(AND('Resource Planner'!$A$35="☑",12&lt;='Resource Planner'!$N$35),'Resource Planner'!$B$35,"")</f>
        <v/>
      </c>
      <c r="D1266" s="163" t="str">
        <f>IF(AND('Resource Planner'!$A$35="☑",12&lt;='Resource Planner'!$N$35),'Resource Planner'!$D$35,"")</f>
        <v/>
      </c>
      <c r="E1266" s="163" t="str">
        <f>IF(AND('Resource Planner'!$A$35="☑",12&lt;='Resource Planner'!$N$35),'Resource Planner'!$E$35,"")</f>
        <v/>
      </c>
      <c r="F1266" s="163" t="str">
        <f>IF(AND('Resource Planner'!$A$35="☑",12&lt;='Resource Planner'!$N$35),'Resource Planner'!$F$35&amp;" "&amp;('Resource Planner'!$G$35+(12-1)*'Resource Planner'!$I$35)&amp;IF(('Resource Planner'!$G$35+(12-1)*'Resource Planner'!$I$35)=MIN('Resource Planner'!$G$35+12*'Resource Planner'!$I$35-1,'Resource Planner'!$H$35),"","–"&amp;MIN('Resource Planner'!$G$35+12*'Resource Planner'!$I$35-1,'Resource Planner'!$H$35)),"")</f>
        <v/>
      </c>
      <c r="G1266" s="163" t="s">
        <v>109</v>
      </c>
      <c r="H1266" s="163" t="str">
        <f>IF(AND('Resource Planner'!$A$35="☑",12&lt;='Resource Planner'!$N$35),'Resource Planner'!$M$35,"")</f>
        <v/>
      </c>
    </row>
    <row r="1267" ht="15.75" customHeight="1">
      <c r="A12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7" s="163" t="str">
        <f>IF(AND('Resource Planner'!$A$35="☑",13&lt;='Resource Planner'!$N$35),'Resource Planner'!$C$35,"")</f>
        <v/>
      </c>
      <c r="C1267" s="163" t="str">
        <f>IF(AND('Resource Planner'!$A$35="☑",13&lt;='Resource Planner'!$N$35),'Resource Planner'!$B$35,"")</f>
        <v/>
      </c>
      <c r="D1267" s="163" t="str">
        <f>IF(AND('Resource Planner'!$A$35="☑",13&lt;='Resource Planner'!$N$35),'Resource Planner'!$D$35,"")</f>
        <v/>
      </c>
      <c r="E1267" s="163" t="str">
        <f>IF(AND('Resource Planner'!$A$35="☑",13&lt;='Resource Planner'!$N$35),'Resource Planner'!$E$35,"")</f>
        <v/>
      </c>
      <c r="F1267" s="163" t="str">
        <f>IF(AND('Resource Planner'!$A$35="☑",13&lt;='Resource Planner'!$N$35),'Resource Planner'!$F$35&amp;" "&amp;('Resource Planner'!$G$35+(13-1)*'Resource Planner'!$I$35)&amp;IF(('Resource Planner'!$G$35+(13-1)*'Resource Planner'!$I$35)=MIN('Resource Planner'!$G$35+13*'Resource Planner'!$I$35-1,'Resource Planner'!$H$35),"","–"&amp;MIN('Resource Planner'!$G$35+13*'Resource Planner'!$I$35-1,'Resource Planner'!$H$35)),"")</f>
        <v/>
      </c>
      <c r="G1267" s="163" t="s">
        <v>109</v>
      </c>
      <c r="H1267" s="163" t="str">
        <f>IF(AND('Resource Planner'!$A$35="☑",13&lt;='Resource Planner'!$N$35),'Resource Planner'!$M$35,"")</f>
        <v/>
      </c>
    </row>
    <row r="1268" ht="15.75" customHeight="1">
      <c r="A12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8" s="163" t="str">
        <f>IF(AND('Resource Planner'!$A$35="☑",14&lt;='Resource Planner'!$N$35),'Resource Planner'!$C$35,"")</f>
        <v/>
      </c>
      <c r="C1268" s="163" t="str">
        <f>IF(AND('Resource Planner'!$A$35="☑",14&lt;='Resource Planner'!$N$35),'Resource Planner'!$B$35,"")</f>
        <v/>
      </c>
      <c r="D1268" s="163" t="str">
        <f>IF(AND('Resource Planner'!$A$35="☑",14&lt;='Resource Planner'!$N$35),'Resource Planner'!$D$35,"")</f>
        <v/>
      </c>
      <c r="E1268" s="163" t="str">
        <f>IF(AND('Resource Planner'!$A$35="☑",14&lt;='Resource Planner'!$N$35),'Resource Planner'!$E$35,"")</f>
        <v/>
      </c>
      <c r="F1268" s="163" t="str">
        <f>IF(AND('Resource Planner'!$A$35="☑",14&lt;='Resource Planner'!$N$35),'Resource Planner'!$F$35&amp;" "&amp;('Resource Planner'!$G$35+(14-1)*'Resource Planner'!$I$35)&amp;IF(('Resource Planner'!$G$35+(14-1)*'Resource Planner'!$I$35)=MIN('Resource Planner'!$G$35+14*'Resource Planner'!$I$35-1,'Resource Planner'!$H$35),"","–"&amp;MIN('Resource Planner'!$G$35+14*'Resource Planner'!$I$35-1,'Resource Planner'!$H$35)),"")</f>
        <v/>
      </c>
      <c r="G1268" s="163" t="s">
        <v>109</v>
      </c>
      <c r="H1268" s="163" t="str">
        <f>IF(AND('Resource Planner'!$A$35="☑",14&lt;='Resource Planner'!$N$35),'Resource Planner'!$M$35,"")</f>
        <v/>
      </c>
    </row>
    <row r="1269" ht="15.75" customHeight="1">
      <c r="A12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69" s="163" t="str">
        <f>IF(AND('Resource Planner'!$A$35="☑",15&lt;='Resource Planner'!$N$35),'Resource Planner'!$C$35,"")</f>
        <v/>
      </c>
      <c r="C1269" s="163" t="str">
        <f>IF(AND('Resource Planner'!$A$35="☑",15&lt;='Resource Planner'!$N$35),'Resource Planner'!$B$35,"")</f>
        <v/>
      </c>
      <c r="D1269" s="163" t="str">
        <f>IF(AND('Resource Planner'!$A$35="☑",15&lt;='Resource Planner'!$N$35),'Resource Planner'!$D$35,"")</f>
        <v/>
      </c>
      <c r="E1269" s="163" t="str">
        <f>IF(AND('Resource Planner'!$A$35="☑",15&lt;='Resource Planner'!$N$35),'Resource Planner'!$E$35,"")</f>
        <v/>
      </c>
      <c r="F1269" s="163" t="str">
        <f>IF(AND('Resource Planner'!$A$35="☑",15&lt;='Resource Planner'!$N$35),'Resource Planner'!$F$35&amp;" "&amp;('Resource Planner'!$G$35+(15-1)*'Resource Planner'!$I$35)&amp;IF(('Resource Planner'!$G$35+(15-1)*'Resource Planner'!$I$35)=MIN('Resource Planner'!$G$35+15*'Resource Planner'!$I$35-1,'Resource Planner'!$H$35),"","–"&amp;MIN('Resource Planner'!$G$35+15*'Resource Planner'!$I$35-1,'Resource Planner'!$H$35)),"")</f>
        <v/>
      </c>
      <c r="G1269" s="163" t="s">
        <v>109</v>
      </c>
      <c r="H1269" s="163" t="str">
        <f>IF(AND('Resource Planner'!$A$35="☑",15&lt;='Resource Planner'!$N$35),'Resource Planner'!$M$35,"")</f>
        <v/>
      </c>
    </row>
    <row r="1270" ht="15.75" customHeight="1">
      <c r="A12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0" s="163" t="str">
        <f>IF(AND('Resource Planner'!$A$35="☑",16&lt;='Resource Planner'!$N$35),'Resource Planner'!$C$35,"")</f>
        <v/>
      </c>
      <c r="C1270" s="163" t="str">
        <f>IF(AND('Resource Planner'!$A$35="☑",16&lt;='Resource Planner'!$N$35),'Resource Planner'!$B$35,"")</f>
        <v/>
      </c>
      <c r="D1270" s="163" t="str">
        <f>IF(AND('Resource Planner'!$A$35="☑",16&lt;='Resource Planner'!$N$35),'Resource Planner'!$D$35,"")</f>
        <v/>
      </c>
      <c r="E1270" s="163" t="str">
        <f>IF(AND('Resource Planner'!$A$35="☑",16&lt;='Resource Planner'!$N$35),'Resource Planner'!$E$35,"")</f>
        <v/>
      </c>
      <c r="F1270" s="163" t="str">
        <f>IF(AND('Resource Planner'!$A$35="☑",16&lt;='Resource Planner'!$N$35),'Resource Planner'!$F$35&amp;" "&amp;('Resource Planner'!$G$35+(16-1)*'Resource Planner'!$I$35)&amp;IF(('Resource Planner'!$G$35+(16-1)*'Resource Planner'!$I$35)=MIN('Resource Planner'!$G$35+16*'Resource Planner'!$I$35-1,'Resource Planner'!$H$35),"","–"&amp;MIN('Resource Planner'!$G$35+16*'Resource Planner'!$I$35-1,'Resource Planner'!$H$35)),"")</f>
        <v/>
      </c>
      <c r="G1270" s="163" t="s">
        <v>109</v>
      </c>
      <c r="H1270" s="163" t="str">
        <f>IF(AND('Resource Planner'!$A$35="☑",16&lt;='Resource Planner'!$N$35),'Resource Planner'!$M$35,"")</f>
        <v/>
      </c>
    </row>
    <row r="1271" ht="15.75" customHeight="1">
      <c r="A12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1" s="163" t="str">
        <f>IF(AND('Resource Planner'!$A$35="☑",17&lt;='Resource Planner'!$N$35),'Resource Planner'!$C$35,"")</f>
        <v/>
      </c>
      <c r="C1271" s="163" t="str">
        <f>IF(AND('Resource Planner'!$A$35="☑",17&lt;='Resource Planner'!$N$35),'Resource Planner'!$B$35,"")</f>
        <v/>
      </c>
      <c r="D1271" s="163" t="str">
        <f>IF(AND('Resource Planner'!$A$35="☑",17&lt;='Resource Planner'!$N$35),'Resource Planner'!$D$35,"")</f>
        <v/>
      </c>
      <c r="E1271" s="163" t="str">
        <f>IF(AND('Resource Planner'!$A$35="☑",17&lt;='Resource Planner'!$N$35),'Resource Planner'!$E$35,"")</f>
        <v/>
      </c>
      <c r="F1271" s="163" t="str">
        <f>IF(AND('Resource Planner'!$A$35="☑",17&lt;='Resource Planner'!$N$35),'Resource Planner'!$F$35&amp;" "&amp;('Resource Planner'!$G$35+(17-1)*'Resource Planner'!$I$35)&amp;IF(('Resource Planner'!$G$35+(17-1)*'Resource Planner'!$I$35)=MIN('Resource Planner'!$G$35+17*'Resource Planner'!$I$35-1,'Resource Planner'!$H$35),"","–"&amp;MIN('Resource Planner'!$G$35+17*'Resource Planner'!$I$35-1,'Resource Planner'!$H$35)),"")</f>
        <v/>
      </c>
      <c r="G1271" s="163" t="s">
        <v>109</v>
      </c>
      <c r="H1271" s="163" t="str">
        <f>IF(AND('Resource Planner'!$A$35="☑",17&lt;='Resource Planner'!$N$35),'Resource Planner'!$M$35,"")</f>
        <v/>
      </c>
    </row>
    <row r="1272" ht="15.75" customHeight="1">
      <c r="A12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2" s="163" t="str">
        <f>IF(AND('Resource Planner'!$A$35="☑",18&lt;='Resource Planner'!$N$35),'Resource Planner'!$C$35,"")</f>
        <v/>
      </c>
      <c r="C1272" s="163" t="str">
        <f>IF(AND('Resource Planner'!$A$35="☑",18&lt;='Resource Planner'!$N$35),'Resource Planner'!$B$35,"")</f>
        <v/>
      </c>
      <c r="D1272" s="163" t="str">
        <f>IF(AND('Resource Planner'!$A$35="☑",18&lt;='Resource Planner'!$N$35),'Resource Planner'!$D$35,"")</f>
        <v/>
      </c>
      <c r="E1272" s="163" t="str">
        <f>IF(AND('Resource Planner'!$A$35="☑",18&lt;='Resource Planner'!$N$35),'Resource Planner'!$E$35,"")</f>
        <v/>
      </c>
      <c r="F1272" s="163" t="str">
        <f>IF(AND('Resource Planner'!$A$35="☑",18&lt;='Resource Planner'!$N$35),'Resource Planner'!$F$35&amp;" "&amp;('Resource Planner'!$G$35+(18-1)*'Resource Planner'!$I$35)&amp;IF(('Resource Planner'!$G$35+(18-1)*'Resource Planner'!$I$35)=MIN('Resource Planner'!$G$35+18*'Resource Planner'!$I$35-1,'Resource Planner'!$H$35),"","–"&amp;MIN('Resource Planner'!$G$35+18*'Resource Planner'!$I$35-1,'Resource Planner'!$H$35)),"")</f>
        <v/>
      </c>
      <c r="G1272" s="163" t="s">
        <v>109</v>
      </c>
      <c r="H1272" s="163" t="str">
        <f>IF(AND('Resource Planner'!$A$35="☑",18&lt;='Resource Planner'!$N$35),'Resource Planner'!$M$35,"")</f>
        <v/>
      </c>
    </row>
    <row r="1273" ht="15.75" customHeight="1">
      <c r="A12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3" s="163" t="str">
        <f>IF(AND('Resource Planner'!$A$35="☑",19&lt;='Resource Planner'!$N$35),'Resource Planner'!$C$35,"")</f>
        <v/>
      </c>
      <c r="C1273" s="163" t="str">
        <f>IF(AND('Resource Planner'!$A$35="☑",19&lt;='Resource Planner'!$N$35),'Resource Planner'!$B$35,"")</f>
        <v/>
      </c>
      <c r="D1273" s="163" t="str">
        <f>IF(AND('Resource Planner'!$A$35="☑",19&lt;='Resource Planner'!$N$35),'Resource Planner'!$D$35,"")</f>
        <v/>
      </c>
      <c r="E1273" s="163" t="str">
        <f>IF(AND('Resource Planner'!$A$35="☑",19&lt;='Resource Planner'!$N$35),'Resource Planner'!$E$35,"")</f>
        <v/>
      </c>
      <c r="F1273" s="163" t="str">
        <f>IF(AND('Resource Planner'!$A$35="☑",19&lt;='Resource Planner'!$N$35),'Resource Planner'!$F$35&amp;" "&amp;('Resource Planner'!$G$35+(19-1)*'Resource Planner'!$I$35)&amp;IF(('Resource Planner'!$G$35+(19-1)*'Resource Planner'!$I$35)=MIN('Resource Planner'!$G$35+19*'Resource Planner'!$I$35-1,'Resource Planner'!$H$35),"","–"&amp;MIN('Resource Planner'!$G$35+19*'Resource Planner'!$I$35-1,'Resource Planner'!$H$35)),"")</f>
        <v/>
      </c>
      <c r="G1273" s="163" t="s">
        <v>109</v>
      </c>
      <c r="H1273" s="163" t="str">
        <f>IF(AND('Resource Planner'!$A$35="☑",19&lt;='Resource Planner'!$N$35),'Resource Planner'!$M$35,"")</f>
        <v/>
      </c>
    </row>
    <row r="1274" ht="15.75" customHeight="1">
      <c r="A12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4" s="163" t="str">
        <f>IF(AND('Resource Planner'!$A$35="☑",20&lt;='Resource Planner'!$N$35),'Resource Planner'!$C$35,"")</f>
        <v/>
      </c>
      <c r="C1274" s="163" t="str">
        <f>IF(AND('Resource Planner'!$A$35="☑",20&lt;='Resource Planner'!$N$35),'Resource Planner'!$B$35,"")</f>
        <v/>
      </c>
      <c r="D1274" s="163" t="str">
        <f>IF(AND('Resource Planner'!$A$35="☑",20&lt;='Resource Planner'!$N$35),'Resource Planner'!$D$35,"")</f>
        <v/>
      </c>
      <c r="E1274" s="163" t="str">
        <f>IF(AND('Resource Planner'!$A$35="☑",20&lt;='Resource Planner'!$N$35),'Resource Planner'!$E$35,"")</f>
        <v/>
      </c>
      <c r="F1274" s="163" t="str">
        <f>IF(AND('Resource Planner'!$A$35="☑",20&lt;='Resource Planner'!$N$35),'Resource Planner'!$F$35&amp;" "&amp;('Resource Planner'!$G$35+(20-1)*'Resource Planner'!$I$35)&amp;IF(('Resource Planner'!$G$35+(20-1)*'Resource Planner'!$I$35)=MIN('Resource Planner'!$G$35+20*'Resource Planner'!$I$35-1,'Resource Planner'!$H$35),"","–"&amp;MIN('Resource Planner'!$G$35+20*'Resource Planner'!$I$35-1,'Resource Planner'!$H$35)),"")</f>
        <v/>
      </c>
      <c r="G1274" s="163" t="s">
        <v>109</v>
      </c>
      <c r="H1274" s="163" t="str">
        <f>IF(AND('Resource Planner'!$A$35="☑",20&lt;='Resource Planner'!$N$35),'Resource Planner'!$M$35,"")</f>
        <v/>
      </c>
    </row>
    <row r="1275" ht="15.75" customHeight="1">
      <c r="A12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5" s="163" t="str">
        <f>IF(AND('Resource Planner'!$A$35="☑",21&lt;='Resource Planner'!$N$35),'Resource Planner'!$C$35,"")</f>
        <v/>
      </c>
      <c r="C1275" s="163" t="str">
        <f>IF(AND('Resource Planner'!$A$35="☑",21&lt;='Resource Planner'!$N$35),'Resource Planner'!$B$35,"")</f>
        <v/>
      </c>
      <c r="D1275" s="163" t="str">
        <f>IF(AND('Resource Planner'!$A$35="☑",21&lt;='Resource Planner'!$N$35),'Resource Planner'!$D$35,"")</f>
        <v/>
      </c>
      <c r="E1275" s="163" t="str">
        <f>IF(AND('Resource Planner'!$A$35="☑",21&lt;='Resource Planner'!$N$35),'Resource Planner'!$E$35,"")</f>
        <v/>
      </c>
      <c r="F1275" s="163" t="str">
        <f>IF(AND('Resource Planner'!$A$35="☑",21&lt;='Resource Planner'!$N$35),'Resource Planner'!$F$35&amp;" "&amp;('Resource Planner'!$G$35+(21-1)*'Resource Planner'!$I$35)&amp;IF(('Resource Planner'!$G$35+(21-1)*'Resource Planner'!$I$35)=MIN('Resource Planner'!$G$35+21*'Resource Planner'!$I$35-1,'Resource Planner'!$H$35),"","–"&amp;MIN('Resource Planner'!$G$35+21*'Resource Planner'!$I$35-1,'Resource Planner'!$H$35)),"")</f>
        <v/>
      </c>
      <c r="G1275" s="163" t="s">
        <v>109</v>
      </c>
      <c r="H1275" s="163" t="str">
        <f>IF(AND('Resource Planner'!$A$35="☑",21&lt;='Resource Planner'!$N$35),'Resource Planner'!$M$35,"")</f>
        <v/>
      </c>
    </row>
    <row r="1276" ht="15.75" customHeight="1">
      <c r="A12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6" s="163" t="str">
        <f>IF(AND('Resource Planner'!$A$35="☑",22&lt;='Resource Planner'!$N$35),'Resource Planner'!$C$35,"")</f>
        <v/>
      </c>
      <c r="C1276" s="163" t="str">
        <f>IF(AND('Resource Planner'!$A$35="☑",22&lt;='Resource Planner'!$N$35),'Resource Planner'!$B$35,"")</f>
        <v/>
      </c>
      <c r="D1276" s="163" t="str">
        <f>IF(AND('Resource Planner'!$A$35="☑",22&lt;='Resource Planner'!$N$35),'Resource Planner'!$D$35,"")</f>
        <v/>
      </c>
      <c r="E1276" s="163" t="str">
        <f>IF(AND('Resource Planner'!$A$35="☑",22&lt;='Resource Planner'!$N$35),'Resource Planner'!$E$35,"")</f>
        <v/>
      </c>
      <c r="F1276" s="163" t="str">
        <f>IF(AND('Resource Planner'!$A$35="☑",22&lt;='Resource Planner'!$N$35),'Resource Planner'!$F$35&amp;" "&amp;('Resource Planner'!$G$35+(22-1)*'Resource Planner'!$I$35)&amp;IF(('Resource Planner'!$G$35+(22-1)*'Resource Planner'!$I$35)=MIN('Resource Planner'!$G$35+22*'Resource Planner'!$I$35-1,'Resource Planner'!$H$35),"","–"&amp;MIN('Resource Planner'!$G$35+22*'Resource Planner'!$I$35-1,'Resource Planner'!$H$35)),"")</f>
        <v/>
      </c>
      <c r="G1276" s="163" t="s">
        <v>109</v>
      </c>
      <c r="H1276" s="163" t="str">
        <f>IF(AND('Resource Planner'!$A$35="☑",22&lt;='Resource Planner'!$N$35),'Resource Planner'!$M$35,"")</f>
        <v/>
      </c>
    </row>
    <row r="1277" ht="15.75" customHeight="1">
      <c r="A12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7" s="163" t="str">
        <f>IF(AND('Resource Planner'!$A$35="☑",23&lt;='Resource Planner'!$N$35),'Resource Planner'!$C$35,"")</f>
        <v/>
      </c>
      <c r="C1277" s="163" t="str">
        <f>IF(AND('Resource Planner'!$A$35="☑",23&lt;='Resource Planner'!$N$35),'Resource Planner'!$B$35,"")</f>
        <v/>
      </c>
      <c r="D1277" s="163" t="str">
        <f>IF(AND('Resource Planner'!$A$35="☑",23&lt;='Resource Planner'!$N$35),'Resource Planner'!$D$35,"")</f>
        <v/>
      </c>
      <c r="E1277" s="163" t="str">
        <f>IF(AND('Resource Planner'!$A$35="☑",23&lt;='Resource Planner'!$N$35),'Resource Planner'!$E$35,"")</f>
        <v/>
      </c>
      <c r="F1277" s="163" t="str">
        <f>IF(AND('Resource Planner'!$A$35="☑",23&lt;='Resource Planner'!$N$35),'Resource Planner'!$F$35&amp;" "&amp;('Resource Planner'!$G$35+(23-1)*'Resource Planner'!$I$35)&amp;IF(('Resource Planner'!$G$35+(23-1)*'Resource Planner'!$I$35)=MIN('Resource Planner'!$G$35+23*'Resource Planner'!$I$35-1,'Resource Planner'!$H$35),"","–"&amp;MIN('Resource Planner'!$G$35+23*'Resource Planner'!$I$35-1,'Resource Planner'!$H$35)),"")</f>
        <v/>
      </c>
      <c r="G1277" s="163" t="s">
        <v>109</v>
      </c>
      <c r="H1277" s="163" t="str">
        <f>IF(AND('Resource Planner'!$A$35="☑",23&lt;='Resource Planner'!$N$35),'Resource Planner'!$M$35,"")</f>
        <v/>
      </c>
    </row>
    <row r="1278" ht="15.75" customHeight="1">
      <c r="A12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8" s="163" t="str">
        <f>IF(AND('Resource Planner'!$A$35="☑",24&lt;='Resource Planner'!$N$35),'Resource Planner'!$C$35,"")</f>
        <v/>
      </c>
      <c r="C1278" s="163" t="str">
        <f>IF(AND('Resource Planner'!$A$35="☑",24&lt;='Resource Planner'!$N$35),'Resource Planner'!$B$35,"")</f>
        <v/>
      </c>
      <c r="D1278" s="163" t="str">
        <f>IF(AND('Resource Planner'!$A$35="☑",24&lt;='Resource Planner'!$N$35),'Resource Planner'!$D$35,"")</f>
        <v/>
      </c>
      <c r="E1278" s="163" t="str">
        <f>IF(AND('Resource Planner'!$A$35="☑",24&lt;='Resource Planner'!$N$35),'Resource Planner'!$E$35,"")</f>
        <v/>
      </c>
      <c r="F1278" s="163" t="str">
        <f>IF(AND('Resource Planner'!$A$35="☑",24&lt;='Resource Planner'!$N$35),'Resource Planner'!$F$35&amp;" "&amp;('Resource Planner'!$G$35+(24-1)*'Resource Planner'!$I$35)&amp;IF(('Resource Planner'!$G$35+(24-1)*'Resource Planner'!$I$35)=MIN('Resource Planner'!$G$35+24*'Resource Planner'!$I$35-1,'Resource Planner'!$H$35),"","–"&amp;MIN('Resource Planner'!$G$35+24*'Resource Planner'!$I$35-1,'Resource Planner'!$H$35)),"")</f>
        <v/>
      </c>
      <c r="G1278" s="163" t="s">
        <v>109</v>
      </c>
      <c r="H1278" s="163" t="str">
        <f>IF(AND('Resource Planner'!$A$35="☑",24&lt;='Resource Planner'!$N$35),'Resource Planner'!$M$35,"")</f>
        <v/>
      </c>
    </row>
    <row r="1279" ht="15.75" customHeight="1">
      <c r="A12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79" s="163" t="str">
        <f>IF(AND('Resource Planner'!$A$35="☑",25&lt;='Resource Planner'!$N$35),'Resource Planner'!$C$35,"")</f>
        <v/>
      </c>
      <c r="C1279" s="163" t="str">
        <f>IF(AND('Resource Planner'!$A$35="☑",25&lt;='Resource Planner'!$N$35),'Resource Planner'!$B$35,"")</f>
        <v/>
      </c>
      <c r="D1279" s="163" t="str">
        <f>IF(AND('Resource Planner'!$A$35="☑",25&lt;='Resource Planner'!$N$35),'Resource Planner'!$D$35,"")</f>
        <v/>
      </c>
      <c r="E1279" s="163" t="str">
        <f>IF(AND('Resource Planner'!$A$35="☑",25&lt;='Resource Planner'!$N$35),'Resource Planner'!$E$35,"")</f>
        <v/>
      </c>
      <c r="F1279" s="163" t="str">
        <f>IF(AND('Resource Planner'!$A$35="☑",25&lt;='Resource Planner'!$N$35),'Resource Planner'!$F$35&amp;" "&amp;('Resource Planner'!$G$35+(25-1)*'Resource Planner'!$I$35)&amp;IF(('Resource Planner'!$G$35+(25-1)*'Resource Planner'!$I$35)=MIN('Resource Planner'!$G$35+25*'Resource Planner'!$I$35-1,'Resource Planner'!$H$35),"","–"&amp;MIN('Resource Planner'!$G$35+25*'Resource Planner'!$I$35-1,'Resource Planner'!$H$35)),"")</f>
        <v/>
      </c>
      <c r="G1279" s="163" t="s">
        <v>109</v>
      </c>
      <c r="H1279" s="163" t="str">
        <f>IF(AND('Resource Planner'!$A$35="☑",25&lt;='Resource Planner'!$N$35),'Resource Planner'!$M$35,"")</f>
        <v/>
      </c>
    </row>
    <row r="1280" ht="15.75" customHeight="1">
      <c r="A12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0" s="163" t="str">
        <f>IF(AND('Resource Planner'!$A$35="☑",26&lt;='Resource Planner'!$N$35),'Resource Planner'!$C$35,"")</f>
        <v/>
      </c>
      <c r="C1280" s="163" t="str">
        <f>IF(AND('Resource Planner'!$A$35="☑",26&lt;='Resource Planner'!$N$35),'Resource Planner'!$B$35,"")</f>
        <v/>
      </c>
      <c r="D1280" s="163" t="str">
        <f>IF(AND('Resource Planner'!$A$35="☑",26&lt;='Resource Planner'!$N$35),'Resource Planner'!$D$35,"")</f>
        <v/>
      </c>
      <c r="E1280" s="163" t="str">
        <f>IF(AND('Resource Planner'!$A$35="☑",26&lt;='Resource Planner'!$N$35),'Resource Planner'!$E$35,"")</f>
        <v/>
      </c>
      <c r="F1280" s="163" t="str">
        <f>IF(AND('Resource Planner'!$A$35="☑",26&lt;='Resource Planner'!$N$35),'Resource Planner'!$F$35&amp;" "&amp;('Resource Planner'!$G$35+(26-1)*'Resource Planner'!$I$35)&amp;IF(('Resource Planner'!$G$35+(26-1)*'Resource Planner'!$I$35)=MIN('Resource Planner'!$G$35+26*'Resource Planner'!$I$35-1,'Resource Planner'!$H$35),"","–"&amp;MIN('Resource Planner'!$G$35+26*'Resource Planner'!$I$35-1,'Resource Planner'!$H$35)),"")</f>
        <v/>
      </c>
      <c r="G1280" s="163" t="s">
        <v>109</v>
      </c>
      <c r="H1280" s="163" t="str">
        <f>IF(AND('Resource Planner'!$A$35="☑",26&lt;='Resource Planner'!$N$35),'Resource Planner'!$M$35,"")</f>
        <v/>
      </c>
    </row>
    <row r="1281" ht="15.75" customHeight="1">
      <c r="A12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1" s="163" t="str">
        <f>IF(AND('Resource Planner'!$A$35="☑",27&lt;='Resource Planner'!$N$35),'Resource Planner'!$C$35,"")</f>
        <v/>
      </c>
      <c r="C1281" s="163" t="str">
        <f>IF(AND('Resource Planner'!$A$35="☑",27&lt;='Resource Planner'!$N$35),'Resource Planner'!$B$35,"")</f>
        <v/>
      </c>
      <c r="D1281" s="163" t="str">
        <f>IF(AND('Resource Planner'!$A$35="☑",27&lt;='Resource Planner'!$N$35),'Resource Planner'!$D$35,"")</f>
        <v/>
      </c>
      <c r="E1281" s="163" t="str">
        <f>IF(AND('Resource Planner'!$A$35="☑",27&lt;='Resource Planner'!$N$35),'Resource Planner'!$E$35,"")</f>
        <v/>
      </c>
      <c r="F1281" s="163" t="str">
        <f>IF(AND('Resource Planner'!$A$35="☑",27&lt;='Resource Planner'!$N$35),'Resource Planner'!$F$35&amp;" "&amp;('Resource Planner'!$G$35+(27-1)*'Resource Planner'!$I$35)&amp;IF(('Resource Planner'!$G$35+(27-1)*'Resource Planner'!$I$35)=MIN('Resource Planner'!$G$35+27*'Resource Planner'!$I$35-1,'Resource Planner'!$H$35),"","–"&amp;MIN('Resource Planner'!$G$35+27*'Resource Planner'!$I$35-1,'Resource Planner'!$H$35)),"")</f>
        <v/>
      </c>
      <c r="G1281" s="163" t="s">
        <v>109</v>
      </c>
      <c r="H1281" s="163" t="str">
        <f>IF(AND('Resource Planner'!$A$35="☑",27&lt;='Resource Planner'!$N$35),'Resource Planner'!$M$35,"")</f>
        <v/>
      </c>
    </row>
    <row r="1282" ht="15.75" customHeight="1">
      <c r="A12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2" s="163" t="str">
        <f>IF(AND('Resource Planner'!$A$35="☑",28&lt;='Resource Planner'!$N$35),'Resource Planner'!$C$35,"")</f>
        <v/>
      </c>
      <c r="C1282" s="163" t="str">
        <f>IF(AND('Resource Planner'!$A$35="☑",28&lt;='Resource Planner'!$N$35),'Resource Planner'!$B$35,"")</f>
        <v/>
      </c>
      <c r="D1282" s="163" t="str">
        <f>IF(AND('Resource Planner'!$A$35="☑",28&lt;='Resource Planner'!$N$35),'Resource Planner'!$D$35,"")</f>
        <v/>
      </c>
      <c r="E1282" s="163" t="str">
        <f>IF(AND('Resource Planner'!$A$35="☑",28&lt;='Resource Planner'!$N$35),'Resource Planner'!$E$35,"")</f>
        <v/>
      </c>
      <c r="F1282" s="163" t="str">
        <f>IF(AND('Resource Planner'!$A$35="☑",28&lt;='Resource Planner'!$N$35),'Resource Planner'!$F$35&amp;" "&amp;('Resource Planner'!$G$35+(28-1)*'Resource Planner'!$I$35)&amp;IF(('Resource Planner'!$G$35+(28-1)*'Resource Planner'!$I$35)=MIN('Resource Planner'!$G$35+28*'Resource Planner'!$I$35-1,'Resource Planner'!$H$35),"","–"&amp;MIN('Resource Planner'!$G$35+28*'Resource Planner'!$I$35-1,'Resource Planner'!$H$35)),"")</f>
        <v/>
      </c>
      <c r="G1282" s="163" t="s">
        <v>109</v>
      </c>
      <c r="H1282" s="163" t="str">
        <f>IF(AND('Resource Planner'!$A$35="☑",28&lt;='Resource Planner'!$N$35),'Resource Planner'!$M$35,"")</f>
        <v/>
      </c>
    </row>
    <row r="1283" ht="15.75" customHeight="1">
      <c r="A12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3" s="163" t="str">
        <f>IF(AND('Resource Planner'!$A$35="☑",29&lt;='Resource Planner'!$N$35),'Resource Planner'!$C$35,"")</f>
        <v/>
      </c>
      <c r="C1283" s="163" t="str">
        <f>IF(AND('Resource Planner'!$A$35="☑",29&lt;='Resource Planner'!$N$35),'Resource Planner'!$B$35,"")</f>
        <v/>
      </c>
      <c r="D1283" s="163" t="str">
        <f>IF(AND('Resource Planner'!$A$35="☑",29&lt;='Resource Planner'!$N$35),'Resource Planner'!$D$35,"")</f>
        <v/>
      </c>
      <c r="E1283" s="163" t="str">
        <f>IF(AND('Resource Planner'!$A$35="☑",29&lt;='Resource Planner'!$N$35),'Resource Planner'!$E$35,"")</f>
        <v/>
      </c>
      <c r="F1283" s="163" t="str">
        <f>IF(AND('Resource Planner'!$A$35="☑",29&lt;='Resource Planner'!$N$35),'Resource Planner'!$F$35&amp;" "&amp;('Resource Planner'!$G$35+(29-1)*'Resource Planner'!$I$35)&amp;IF(('Resource Planner'!$G$35+(29-1)*'Resource Planner'!$I$35)=MIN('Resource Planner'!$G$35+29*'Resource Planner'!$I$35-1,'Resource Planner'!$H$35),"","–"&amp;MIN('Resource Planner'!$G$35+29*'Resource Planner'!$I$35-1,'Resource Planner'!$H$35)),"")</f>
        <v/>
      </c>
      <c r="G1283" s="163" t="s">
        <v>109</v>
      </c>
      <c r="H1283" s="163" t="str">
        <f>IF(AND('Resource Planner'!$A$35="☑",29&lt;='Resource Planner'!$N$35),'Resource Planner'!$M$35,"")</f>
        <v/>
      </c>
    </row>
    <row r="1284" ht="15.75" customHeight="1">
      <c r="A12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4" s="163" t="str">
        <f>IF(AND('Resource Planner'!$A$35="☑",30&lt;='Resource Planner'!$N$35),'Resource Planner'!$C$35,"")</f>
        <v/>
      </c>
      <c r="C1284" s="163" t="str">
        <f>IF(AND('Resource Planner'!$A$35="☑",30&lt;='Resource Planner'!$N$35),'Resource Planner'!$B$35,"")</f>
        <v/>
      </c>
      <c r="D1284" s="163" t="str">
        <f>IF(AND('Resource Planner'!$A$35="☑",30&lt;='Resource Planner'!$N$35),'Resource Planner'!$D$35,"")</f>
        <v/>
      </c>
      <c r="E1284" s="163" t="str">
        <f>IF(AND('Resource Planner'!$A$35="☑",30&lt;='Resource Planner'!$N$35),'Resource Planner'!$E$35,"")</f>
        <v/>
      </c>
      <c r="F1284" s="163" t="str">
        <f>IF(AND('Resource Planner'!$A$35="☑",30&lt;='Resource Planner'!$N$35),'Resource Planner'!$F$35&amp;" "&amp;('Resource Planner'!$G$35+(30-1)*'Resource Planner'!$I$35)&amp;IF(('Resource Planner'!$G$35+(30-1)*'Resource Planner'!$I$35)=MIN('Resource Planner'!$G$35+30*'Resource Planner'!$I$35-1,'Resource Planner'!$H$35),"","–"&amp;MIN('Resource Planner'!$G$35+30*'Resource Planner'!$I$35-1,'Resource Planner'!$H$35)),"")</f>
        <v/>
      </c>
      <c r="G1284" s="163" t="s">
        <v>109</v>
      </c>
      <c r="H1284" s="163" t="str">
        <f>IF(AND('Resource Planner'!$A$35="☑",30&lt;='Resource Planner'!$N$35),'Resource Planner'!$M$35,"")</f>
        <v/>
      </c>
    </row>
    <row r="1285" ht="15.75" customHeight="1">
      <c r="A12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5" s="163" t="str">
        <f>IF(AND('Resource Planner'!$A$35="☑",31&lt;='Resource Planner'!$N$35),'Resource Planner'!$C$35,"")</f>
        <v/>
      </c>
      <c r="C1285" s="163" t="str">
        <f>IF(AND('Resource Planner'!$A$35="☑",31&lt;='Resource Planner'!$N$35),'Resource Planner'!$B$35,"")</f>
        <v/>
      </c>
      <c r="D1285" s="163" t="str">
        <f>IF(AND('Resource Planner'!$A$35="☑",31&lt;='Resource Planner'!$N$35),'Resource Planner'!$D$35,"")</f>
        <v/>
      </c>
      <c r="E1285" s="163" t="str">
        <f>IF(AND('Resource Planner'!$A$35="☑",31&lt;='Resource Planner'!$N$35),'Resource Planner'!$E$35,"")</f>
        <v/>
      </c>
      <c r="F1285" s="163" t="str">
        <f>IF(AND('Resource Planner'!$A$35="☑",31&lt;='Resource Planner'!$N$35),'Resource Planner'!$F$35&amp;" "&amp;('Resource Planner'!$G$35+(31-1)*'Resource Planner'!$I$35)&amp;IF(('Resource Planner'!$G$35+(31-1)*'Resource Planner'!$I$35)=MIN('Resource Planner'!$G$35+31*'Resource Planner'!$I$35-1,'Resource Planner'!$H$35),"","–"&amp;MIN('Resource Planner'!$G$35+31*'Resource Planner'!$I$35-1,'Resource Planner'!$H$35)),"")</f>
        <v/>
      </c>
      <c r="G1285" s="163" t="s">
        <v>109</v>
      </c>
      <c r="H1285" s="163" t="str">
        <f>IF(AND('Resource Planner'!$A$35="☑",31&lt;='Resource Planner'!$N$35),'Resource Planner'!$M$35,"")</f>
        <v/>
      </c>
    </row>
    <row r="1286" ht="15.75" customHeight="1">
      <c r="A12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6" s="163" t="str">
        <f>IF(AND('Resource Planner'!$A$35="☑",32&lt;='Resource Planner'!$N$35),'Resource Planner'!$C$35,"")</f>
        <v/>
      </c>
      <c r="C1286" s="163" t="str">
        <f>IF(AND('Resource Planner'!$A$35="☑",32&lt;='Resource Planner'!$N$35),'Resource Planner'!$B$35,"")</f>
        <v/>
      </c>
      <c r="D1286" s="163" t="str">
        <f>IF(AND('Resource Planner'!$A$35="☑",32&lt;='Resource Planner'!$N$35),'Resource Planner'!$D$35,"")</f>
        <v/>
      </c>
      <c r="E1286" s="163" t="str">
        <f>IF(AND('Resource Planner'!$A$35="☑",32&lt;='Resource Planner'!$N$35),'Resource Planner'!$E$35,"")</f>
        <v/>
      </c>
      <c r="F1286" s="163" t="str">
        <f>IF(AND('Resource Planner'!$A$35="☑",32&lt;='Resource Planner'!$N$35),'Resource Planner'!$F$35&amp;" "&amp;('Resource Planner'!$G$35+(32-1)*'Resource Planner'!$I$35)&amp;IF(('Resource Planner'!$G$35+(32-1)*'Resource Planner'!$I$35)=MIN('Resource Planner'!$G$35+32*'Resource Planner'!$I$35-1,'Resource Planner'!$H$35),"","–"&amp;MIN('Resource Planner'!$G$35+32*'Resource Planner'!$I$35-1,'Resource Planner'!$H$35)),"")</f>
        <v/>
      </c>
      <c r="G1286" s="163" t="s">
        <v>109</v>
      </c>
      <c r="H1286" s="163" t="str">
        <f>IF(AND('Resource Planner'!$A$35="☑",32&lt;='Resource Planner'!$N$35),'Resource Planner'!$M$35,"")</f>
        <v/>
      </c>
    </row>
    <row r="1287" ht="15.75" customHeight="1">
      <c r="A12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7" s="163" t="str">
        <f>IF(AND('Resource Planner'!$A$35="☑",33&lt;='Resource Planner'!$N$35),'Resource Planner'!$C$35,"")</f>
        <v/>
      </c>
      <c r="C1287" s="163" t="str">
        <f>IF(AND('Resource Planner'!$A$35="☑",33&lt;='Resource Planner'!$N$35),'Resource Planner'!$B$35,"")</f>
        <v/>
      </c>
      <c r="D1287" s="163" t="str">
        <f>IF(AND('Resource Planner'!$A$35="☑",33&lt;='Resource Planner'!$N$35),'Resource Planner'!$D$35,"")</f>
        <v/>
      </c>
      <c r="E1287" s="163" t="str">
        <f>IF(AND('Resource Planner'!$A$35="☑",33&lt;='Resource Planner'!$N$35),'Resource Planner'!$E$35,"")</f>
        <v/>
      </c>
      <c r="F1287" s="163" t="str">
        <f>IF(AND('Resource Planner'!$A$35="☑",33&lt;='Resource Planner'!$N$35),'Resource Planner'!$F$35&amp;" "&amp;('Resource Planner'!$G$35+(33-1)*'Resource Planner'!$I$35)&amp;IF(('Resource Planner'!$G$35+(33-1)*'Resource Planner'!$I$35)=MIN('Resource Planner'!$G$35+33*'Resource Planner'!$I$35-1,'Resource Planner'!$H$35),"","–"&amp;MIN('Resource Planner'!$G$35+33*'Resource Planner'!$I$35-1,'Resource Planner'!$H$35)),"")</f>
        <v/>
      </c>
      <c r="G1287" s="163" t="s">
        <v>109</v>
      </c>
      <c r="H1287" s="163" t="str">
        <f>IF(AND('Resource Planner'!$A$35="☑",33&lt;='Resource Planner'!$N$35),'Resource Planner'!$M$35,"")</f>
        <v/>
      </c>
    </row>
    <row r="1288" ht="15.75" customHeight="1">
      <c r="A12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8" s="163" t="str">
        <f>IF(AND('Resource Planner'!$A$35="☑",34&lt;='Resource Planner'!$N$35),'Resource Planner'!$C$35,"")</f>
        <v/>
      </c>
      <c r="C1288" s="163" t="str">
        <f>IF(AND('Resource Planner'!$A$35="☑",34&lt;='Resource Planner'!$N$35),'Resource Planner'!$B$35,"")</f>
        <v/>
      </c>
      <c r="D1288" s="163" t="str">
        <f>IF(AND('Resource Planner'!$A$35="☑",34&lt;='Resource Planner'!$N$35),'Resource Planner'!$D$35,"")</f>
        <v/>
      </c>
      <c r="E1288" s="163" t="str">
        <f>IF(AND('Resource Planner'!$A$35="☑",34&lt;='Resource Planner'!$N$35),'Resource Planner'!$E$35,"")</f>
        <v/>
      </c>
      <c r="F1288" s="163" t="str">
        <f>IF(AND('Resource Planner'!$A$35="☑",34&lt;='Resource Planner'!$N$35),'Resource Planner'!$F$35&amp;" "&amp;('Resource Planner'!$G$35+(34-1)*'Resource Planner'!$I$35)&amp;IF(('Resource Planner'!$G$35+(34-1)*'Resource Planner'!$I$35)=MIN('Resource Planner'!$G$35+34*'Resource Planner'!$I$35-1,'Resource Planner'!$H$35),"","–"&amp;MIN('Resource Planner'!$G$35+34*'Resource Planner'!$I$35-1,'Resource Planner'!$H$35)),"")</f>
        <v/>
      </c>
      <c r="G1288" s="163" t="s">
        <v>109</v>
      </c>
      <c r="H1288" s="163" t="str">
        <f>IF(AND('Resource Planner'!$A$35="☑",34&lt;='Resource Planner'!$N$35),'Resource Planner'!$M$35,"")</f>
        <v/>
      </c>
    </row>
    <row r="1289" ht="15.75" customHeight="1">
      <c r="A12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89" s="163" t="str">
        <f>IF(AND('Resource Planner'!$A$35="☑",35&lt;='Resource Planner'!$N$35),'Resource Planner'!$C$35,"")</f>
        <v/>
      </c>
      <c r="C1289" s="163" t="str">
        <f>IF(AND('Resource Planner'!$A$35="☑",35&lt;='Resource Planner'!$N$35),'Resource Planner'!$B$35,"")</f>
        <v/>
      </c>
      <c r="D1289" s="163" t="str">
        <f>IF(AND('Resource Planner'!$A$35="☑",35&lt;='Resource Planner'!$N$35),'Resource Planner'!$D$35,"")</f>
        <v/>
      </c>
      <c r="E1289" s="163" t="str">
        <f>IF(AND('Resource Planner'!$A$35="☑",35&lt;='Resource Planner'!$N$35),'Resource Planner'!$E$35,"")</f>
        <v/>
      </c>
      <c r="F1289" s="163" t="str">
        <f>IF(AND('Resource Planner'!$A$35="☑",35&lt;='Resource Planner'!$N$35),'Resource Planner'!$F$35&amp;" "&amp;('Resource Planner'!$G$35+(35-1)*'Resource Planner'!$I$35)&amp;IF(('Resource Planner'!$G$35+(35-1)*'Resource Planner'!$I$35)=MIN('Resource Planner'!$G$35+35*'Resource Planner'!$I$35-1,'Resource Planner'!$H$35),"","–"&amp;MIN('Resource Planner'!$G$35+35*'Resource Planner'!$I$35-1,'Resource Planner'!$H$35)),"")</f>
        <v/>
      </c>
      <c r="G1289" s="163" t="s">
        <v>109</v>
      </c>
      <c r="H1289" s="163" t="str">
        <f>IF(AND('Resource Planner'!$A$35="☑",35&lt;='Resource Planner'!$N$35),'Resource Planner'!$M$35,"")</f>
        <v/>
      </c>
    </row>
    <row r="1290" ht="15.75" customHeight="1">
      <c r="A12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0" s="163" t="str">
        <f>IF(AND('Resource Planner'!$A$35="☑",36&lt;='Resource Planner'!$N$35),'Resource Planner'!$C$35,"")</f>
        <v/>
      </c>
      <c r="C1290" s="163" t="str">
        <f>IF(AND('Resource Planner'!$A$35="☑",36&lt;='Resource Planner'!$N$35),'Resource Planner'!$B$35,"")</f>
        <v/>
      </c>
      <c r="D1290" s="163" t="str">
        <f>IF(AND('Resource Planner'!$A$35="☑",36&lt;='Resource Planner'!$N$35),'Resource Planner'!$D$35,"")</f>
        <v/>
      </c>
      <c r="E1290" s="163" t="str">
        <f>IF(AND('Resource Planner'!$A$35="☑",36&lt;='Resource Planner'!$N$35),'Resource Planner'!$E$35,"")</f>
        <v/>
      </c>
      <c r="F1290" s="163" t="str">
        <f>IF(AND('Resource Planner'!$A$35="☑",36&lt;='Resource Planner'!$N$35),'Resource Planner'!$F$35&amp;" "&amp;('Resource Planner'!$G$35+(36-1)*'Resource Planner'!$I$35)&amp;IF(('Resource Planner'!$G$35+(36-1)*'Resource Planner'!$I$35)=MIN('Resource Planner'!$G$35+36*'Resource Planner'!$I$35-1,'Resource Planner'!$H$35),"","–"&amp;MIN('Resource Planner'!$G$35+36*'Resource Planner'!$I$35-1,'Resource Planner'!$H$35)),"")</f>
        <v/>
      </c>
      <c r="G1290" s="163" t="s">
        <v>109</v>
      </c>
      <c r="H1290" s="163" t="str">
        <f>IF(AND('Resource Planner'!$A$35="☑",36&lt;='Resource Planner'!$N$35),'Resource Planner'!$M$35,"")</f>
        <v/>
      </c>
    </row>
    <row r="1291" ht="15.75" customHeight="1">
      <c r="A12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1" s="163" t="str">
        <f>IF(AND('Resource Planner'!$A$35="☑",37&lt;='Resource Planner'!$N$35),'Resource Planner'!$C$35,"")</f>
        <v/>
      </c>
      <c r="C1291" s="163" t="str">
        <f>IF(AND('Resource Planner'!$A$35="☑",37&lt;='Resource Planner'!$N$35),'Resource Planner'!$B$35,"")</f>
        <v/>
      </c>
      <c r="D1291" s="163" t="str">
        <f>IF(AND('Resource Planner'!$A$35="☑",37&lt;='Resource Planner'!$N$35),'Resource Planner'!$D$35,"")</f>
        <v/>
      </c>
      <c r="E1291" s="163" t="str">
        <f>IF(AND('Resource Planner'!$A$35="☑",37&lt;='Resource Planner'!$N$35),'Resource Planner'!$E$35,"")</f>
        <v/>
      </c>
      <c r="F1291" s="163" t="str">
        <f>IF(AND('Resource Planner'!$A$35="☑",37&lt;='Resource Planner'!$N$35),'Resource Planner'!$F$35&amp;" "&amp;('Resource Planner'!$G$35+(37-1)*'Resource Planner'!$I$35)&amp;IF(('Resource Planner'!$G$35+(37-1)*'Resource Planner'!$I$35)=MIN('Resource Planner'!$G$35+37*'Resource Planner'!$I$35-1,'Resource Planner'!$H$35),"","–"&amp;MIN('Resource Planner'!$G$35+37*'Resource Planner'!$I$35-1,'Resource Planner'!$H$35)),"")</f>
        <v/>
      </c>
      <c r="G1291" s="163" t="s">
        <v>109</v>
      </c>
      <c r="H1291" s="163" t="str">
        <f>IF(AND('Resource Planner'!$A$35="☑",37&lt;='Resource Planner'!$N$35),'Resource Planner'!$M$35,"")</f>
        <v/>
      </c>
    </row>
    <row r="1292" ht="15.75" customHeight="1">
      <c r="A12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2" s="163" t="str">
        <f>IF(AND('Resource Planner'!$A$35="☑",38&lt;='Resource Planner'!$N$35),'Resource Planner'!$C$35,"")</f>
        <v/>
      </c>
      <c r="C1292" s="163" t="str">
        <f>IF(AND('Resource Planner'!$A$35="☑",38&lt;='Resource Planner'!$N$35),'Resource Planner'!$B$35,"")</f>
        <v/>
      </c>
      <c r="D1292" s="163" t="str">
        <f>IF(AND('Resource Planner'!$A$35="☑",38&lt;='Resource Planner'!$N$35),'Resource Planner'!$D$35,"")</f>
        <v/>
      </c>
      <c r="E1292" s="163" t="str">
        <f>IF(AND('Resource Planner'!$A$35="☑",38&lt;='Resource Planner'!$N$35),'Resource Planner'!$E$35,"")</f>
        <v/>
      </c>
      <c r="F1292" s="163" t="str">
        <f>IF(AND('Resource Planner'!$A$35="☑",38&lt;='Resource Planner'!$N$35),'Resource Planner'!$F$35&amp;" "&amp;('Resource Planner'!$G$35+(38-1)*'Resource Planner'!$I$35)&amp;IF(('Resource Planner'!$G$35+(38-1)*'Resource Planner'!$I$35)=MIN('Resource Planner'!$G$35+38*'Resource Planner'!$I$35-1,'Resource Planner'!$H$35),"","–"&amp;MIN('Resource Planner'!$G$35+38*'Resource Planner'!$I$35-1,'Resource Planner'!$H$35)),"")</f>
        <v/>
      </c>
      <c r="G1292" s="163" t="s">
        <v>109</v>
      </c>
      <c r="H1292" s="163" t="str">
        <f>IF(AND('Resource Planner'!$A$35="☑",38&lt;='Resource Planner'!$N$35),'Resource Planner'!$M$35,"")</f>
        <v/>
      </c>
    </row>
    <row r="1293" ht="15.75" customHeight="1">
      <c r="A12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3" s="163" t="str">
        <f>IF(AND('Resource Planner'!$A$35="☑",39&lt;='Resource Planner'!$N$35),'Resource Planner'!$C$35,"")</f>
        <v/>
      </c>
      <c r="C1293" s="163" t="str">
        <f>IF(AND('Resource Planner'!$A$35="☑",39&lt;='Resource Planner'!$N$35),'Resource Planner'!$B$35,"")</f>
        <v/>
      </c>
      <c r="D1293" s="163" t="str">
        <f>IF(AND('Resource Planner'!$A$35="☑",39&lt;='Resource Planner'!$N$35),'Resource Planner'!$D$35,"")</f>
        <v/>
      </c>
      <c r="E1293" s="163" t="str">
        <f>IF(AND('Resource Planner'!$A$35="☑",39&lt;='Resource Planner'!$N$35),'Resource Planner'!$E$35,"")</f>
        <v/>
      </c>
      <c r="F1293" s="163" t="str">
        <f>IF(AND('Resource Planner'!$A$35="☑",39&lt;='Resource Planner'!$N$35),'Resource Planner'!$F$35&amp;" "&amp;('Resource Planner'!$G$35+(39-1)*'Resource Planner'!$I$35)&amp;IF(('Resource Planner'!$G$35+(39-1)*'Resource Planner'!$I$35)=MIN('Resource Planner'!$G$35+39*'Resource Planner'!$I$35-1,'Resource Planner'!$H$35),"","–"&amp;MIN('Resource Planner'!$G$35+39*'Resource Planner'!$I$35-1,'Resource Planner'!$H$35)),"")</f>
        <v/>
      </c>
      <c r="G1293" s="163" t="s">
        <v>109</v>
      </c>
      <c r="H1293" s="163" t="str">
        <f>IF(AND('Resource Planner'!$A$35="☑",39&lt;='Resource Planner'!$N$35),'Resource Planner'!$M$35,"")</f>
        <v/>
      </c>
    </row>
    <row r="1294" ht="15.75" customHeight="1">
      <c r="A12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4" s="163" t="str">
        <f>IF(AND('Resource Planner'!$A$35="☑",40&lt;='Resource Planner'!$N$35),'Resource Planner'!$C$35,"")</f>
        <v/>
      </c>
      <c r="C1294" s="163" t="str">
        <f>IF(AND('Resource Planner'!$A$35="☑",40&lt;='Resource Planner'!$N$35),'Resource Planner'!$B$35,"")</f>
        <v/>
      </c>
      <c r="D1294" s="163" t="str">
        <f>IF(AND('Resource Planner'!$A$35="☑",40&lt;='Resource Planner'!$N$35),'Resource Planner'!$D$35,"")</f>
        <v/>
      </c>
      <c r="E1294" s="163" t="str">
        <f>IF(AND('Resource Planner'!$A$35="☑",40&lt;='Resource Planner'!$N$35),'Resource Planner'!$E$35,"")</f>
        <v/>
      </c>
      <c r="F1294" s="163" t="str">
        <f>IF(AND('Resource Planner'!$A$35="☑",40&lt;='Resource Planner'!$N$35),'Resource Planner'!$F$35&amp;" "&amp;('Resource Planner'!$G$35+(40-1)*'Resource Planner'!$I$35)&amp;IF(('Resource Planner'!$G$35+(40-1)*'Resource Planner'!$I$35)=MIN('Resource Planner'!$G$35+40*'Resource Planner'!$I$35-1,'Resource Planner'!$H$35),"","–"&amp;MIN('Resource Planner'!$G$35+40*'Resource Planner'!$I$35-1,'Resource Planner'!$H$35)),"")</f>
        <v/>
      </c>
      <c r="G1294" s="163" t="s">
        <v>109</v>
      </c>
      <c r="H1294" s="163" t="str">
        <f>IF(AND('Resource Planner'!$A$35="☑",40&lt;='Resource Planner'!$N$35),'Resource Planner'!$M$35,"")</f>
        <v/>
      </c>
    </row>
    <row r="1295" ht="15.75" customHeight="1">
      <c r="A12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5" s="163" t="str">
        <f>IF(AND('Resource Planner'!$A$35="☑",41&lt;='Resource Planner'!$N$35),'Resource Planner'!$C$35,"")</f>
        <v/>
      </c>
      <c r="C1295" s="163" t="str">
        <f>IF(AND('Resource Planner'!$A$35="☑",41&lt;='Resource Planner'!$N$35),'Resource Planner'!$B$35,"")</f>
        <v/>
      </c>
      <c r="D1295" s="163" t="str">
        <f>IF(AND('Resource Planner'!$A$35="☑",41&lt;='Resource Planner'!$N$35),'Resource Planner'!$D$35,"")</f>
        <v/>
      </c>
      <c r="E1295" s="163" t="str">
        <f>IF(AND('Resource Planner'!$A$35="☑",41&lt;='Resource Planner'!$N$35),'Resource Planner'!$E$35,"")</f>
        <v/>
      </c>
      <c r="F1295" s="163" t="str">
        <f>IF(AND('Resource Planner'!$A$35="☑",41&lt;='Resource Planner'!$N$35),'Resource Planner'!$F$35&amp;" "&amp;('Resource Planner'!$G$35+(41-1)*'Resource Planner'!$I$35)&amp;IF(('Resource Planner'!$G$35+(41-1)*'Resource Planner'!$I$35)=MIN('Resource Planner'!$G$35+41*'Resource Planner'!$I$35-1,'Resource Planner'!$H$35),"","–"&amp;MIN('Resource Planner'!$G$35+41*'Resource Planner'!$I$35-1,'Resource Planner'!$H$35)),"")</f>
        <v/>
      </c>
      <c r="G1295" s="163" t="s">
        <v>109</v>
      </c>
      <c r="H1295" s="163" t="str">
        <f>IF(AND('Resource Planner'!$A$35="☑",41&lt;='Resource Planner'!$N$35),'Resource Planner'!$M$35,"")</f>
        <v/>
      </c>
    </row>
    <row r="1296" ht="15.75" customHeight="1">
      <c r="A12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6" s="163" t="str">
        <f>IF(AND('Resource Planner'!$A$35="☑",42&lt;='Resource Planner'!$N$35),'Resource Planner'!$C$35,"")</f>
        <v/>
      </c>
      <c r="C1296" s="163" t="str">
        <f>IF(AND('Resource Planner'!$A$35="☑",42&lt;='Resource Planner'!$N$35),'Resource Planner'!$B$35,"")</f>
        <v/>
      </c>
      <c r="D1296" s="163" t="str">
        <f>IF(AND('Resource Planner'!$A$35="☑",42&lt;='Resource Planner'!$N$35),'Resource Planner'!$D$35,"")</f>
        <v/>
      </c>
      <c r="E1296" s="163" t="str">
        <f>IF(AND('Resource Planner'!$A$35="☑",42&lt;='Resource Planner'!$N$35),'Resource Planner'!$E$35,"")</f>
        <v/>
      </c>
      <c r="F1296" s="163" t="str">
        <f>IF(AND('Resource Planner'!$A$35="☑",42&lt;='Resource Planner'!$N$35),'Resource Planner'!$F$35&amp;" "&amp;('Resource Planner'!$G$35+(42-1)*'Resource Planner'!$I$35)&amp;IF(('Resource Planner'!$G$35+(42-1)*'Resource Planner'!$I$35)=MIN('Resource Planner'!$G$35+42*'Resource Planner'!$I$35-1,'Resource Planner'!$H$35),"","–"&amp;MIN('Resource Planner'!$G$35+42*'Resource Planner'!$I$35-1,'Resource Planner'!$H$35)),"")</f>
        <v/>
      </c>
      <c r="G1296" s="163" t="s">
        <v>109</v>
      </c>
      <c r="H1296" s="163" t="str">
        <f>IF(AND('Resource Planner'!$A$35="☑",42&lt;='Resource Planner'!$N$35),'Resource Planner'!$M$35,"")</f>
        <v/>
      </c>
    </row>
    <row r="1297" ht="15.75" customHeight="1">
      <c r="A12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7" s="163" t="str">
        <f>IF(AND('Resource Planner'!$A$35="☑",43&lt;='Resource Planner'!$N$35),'Resource Planner'!$C$35,"")</f>
        <v/>
      </c>
      <c r="C1297" s="163" t="str">
        <f>IF(AND('Resource Planner'!$A$35="☑",43&lt;='Resource Planner'!$N$35),'Resource Planner'!$B$35,"")</f>
        <v/>
      </c>
      <c r="D1297" s="163" t="str">
        <f>IF(AND('Resource Planner'!$A$35="☑",43&lt;='Resource Planner'!$N$35),'Resource Planner'!$D$35,"")</f>
        <v/>
      </c>
      <c r="E1297" s="163" t="str">
        <f>IF(AND('Resource Planner'!$A$35="☑",43&lt;='Resource Planner'!$N$35),'Resource Planner'!$E$35,"")</f>
        <v/>
      </c>
      <c r="F1297" s="163" t="str">
        <f>IF(AND('Resource Planner'!$A$35="☑",43&lt;='Resource Planner'!$N$35),'Resource Planner'!$F$35&amp;" "&amp;('Resource Planner'!$G$35+(43-1)*'Resource Planner'!$I$35)&amp;IF(('Resource Planner'!$G$35+(43-1)*'Resource Planner'!$I$35)=MIN('Resource Planner'!$G$35+43*'Resource Planner'!$I$35-1,'Resource Planner'!$H$35),"","–"&amp;MIN('Resource Planner'!$G$35+43*'Resource Planner'!$I$35-1,'Resource Planner'!$H$35)),"")</f>
        <v/>
      </c>
      <c r="G1297" s="163" t="s">
        <v>109</v>
      </c>
      <c r="H1297" s="163" t="str">
        <f>IF(AND('Resource Planner'!$A$35="☑",43&lt;='Resource Planner'!$N$35),'Resource Planner'!$M$35,"")</f>
        <v/>
      </c>
    </row>
    <row r="1298" ht="15.75" customHeight="1">
      <c r="A12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8" s="163" t="str">
        <f>IF(AND('Resource Planner'!$A$35="☑",44&lt;='Resource Planner'!$N$35),'Resource Planner'!$C$35,"")</f>
        <v/>
      </c>
      <c r="C1298" s="163" t="str">
        <f>IF(AND('Resource Planner'!$A$35="☑",44&lt;='Resource Planner'!$N$35),'Resource Planner'!$B$35,"")</f>
        <v/>
      </c>
      <c r="D1298" s="163" t="str">
        <f>IF(AND('Resource Planner'!$A$35="☑",44&lt;='Resource Planner'!$N$35),'Resource Planner'!$D$35,"")</f>
        <v/>
      </c>
      <c r="E1298" s="163" t="str">
        <f>IF(AND('Resource Planner'!$A$35="☑",44&lt;='Resource Planner'!$N$35),'Resource Planner'!$E$35,"")</f>
        <v/>
      </c>
      <c r="F1298" s="163" t="str">
        <f>IF(AND('Resource Planner'!$A$35="☑",44&lt;='Resource Planner'!$N$35),'Resource Planner'!$F$35&amp;" "&amp;('Resource Planner'!$G$35+(44-1)*'Resource Planner'!$I$35)&amp;IF(('Resource Planner'!$G$35+(44-1)*'Resource Planner'!$I$35)=MIN('Resource Planner'!$G$35+44*'Resource Planner'!$I$35-1,'Resource Planner'!$H$35),"","–"&amp;MIN('Resource Planner'!$G$35+44*'Resource Planner'!$I$35-1,'Resource Planner'!$H$35)),"")</f>
        <v/>
      </c>
      <c r="G1298" s="163" t="s">
        <v>109</v>
      </c>
      <c r="H1298" s="163" t="str">
        <f>IF(AND('Resource Planner'!$A$35="☑",44&lt;='Resource Planner'!$N$35),'Resource Planner'!$M$35,"")</f>
        <v/>
      </c>
    </row>
    <row r="1299" ht="15.75" customHeight="1">
      <c r="A12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299" s="163" t="str">
        <f>IF(AND('Resource Planner'!$A$35="☑",45&lt;='Resource Planner'!$N$35),'Resource Planner'!$C$35,"")</f>
        <v/>
      </c>
      <c r="C1299" s="163" t="str">
        <f>IF(AND('Resource Planner'!$A$35="☑",45&lt;='Resource Planner'!$N$35),'Resource Planner'!$B$35,"")</f>
        <v/>
      </c>
      <c r="D1299" s="163" t="str">
        <f>IF(AND('Resource Planner'!$A$35="☑",45&lt;='Resource Planner'!$N$35),'Resource Planner'!$D$35,"")</f>
        <v/>
      </c>
      <c r="E1299" s="163" t="str">
        <f>IF(AND('Resource Planner'!$A$35="☑",45&lt;='Resource Planner'!$N$35),'Resource Planner'!$E$35,"")</f>
        <v/>
      </c>
      <c r="F1299" s="163" t="str">
        <f>IF(AND('Resource Planner'!$A$35="☑",45&lt;='Resource Planner'!$N$35),'Resource Planner'!$F$35&amp;" "&amp;('Resource Planner'!$G$35+(45-1)*'Resource Planner'!$I$35)&amp;IF(('Resource Planner'!$G$35+(45-1)*'Resource Planner'!$I$35)=MIN('Resource Planner'!$G$35+45*'Resource Planner'!$I$35-1,'Resource Planner'!$H$35),"","–"&amp;MIN('Resource Planner'!$G$35+45*'Resource Planner'!$I$35-1,'Resource Planner'!$H$35)),"")</f>
        <v/>
      </c>
      <c r="G1299" s="163" t="s">
        <v>109</v>
      </c>
      <c r="H1299" s="163" t="str">
        <f>IF(AND('Resource Planner'!$A$35="☑",45&lt;='Resource Planner'!$N$35),'Resource Planner'!$M$35,"")</f>
        <v/>
      </c>
    </row>
    <row r="1300" ht="15.75" customHeight="1">
      <c r="A13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0" s="163" t="str">
        <f>IF(AND('Resource Planner'!$A$35="☑",46&lt;='Resource Planner'!$N$35),'Resource Planner'!$C$35,"")</f>
        <v/>
      </c>
      <c r="C1300" s="163" t="str">
        <f>IF(AND('Resource Planner'!$A$35="☑",46&lt;='Resource Planner'!$N$35),'Resource Planner'!$B$35,"")</f>
        <v/>
      </c>
      <c r="D1300" s="163" t="str">
        <f>IF(AND('Resource Planner'!$A$35="☑",46&lt;='Resource Planner'!$N$35),'Resource Planner'!$D$35,"")</f>
        <v/>
      </c>
      <c r="E1300" s="163" t="str">
        <f>IF(AND('Resource Planner'!$A$35="☑",46&lt;='Resource Planner'!$N$35),'Resource Planner'!$E$35,"")</f>
        <v/>
      </c>
      <c r="F1300" s="163" t="str">
        <f>IF(AND('Resource Planner'!$A$35="☑",46&lt;='Resource Planner'!$N$35),'Resource Planner'!$F$35&amp;" "&amp;('Resource Planner'!$G$35+(46-1)*'Resource Planner'!$I$35)&amp;IF(('Resource Planner'!$G$35+(46-1)*'Resource Planner'!$I$35)=MIN('Resource Planner'!$G$35+46*'Resource Planner'!$I$35-1,'Resource Planner'!$H$35),"","–"&amp;MIN('Resource Planner'!$G$35+46*'Resource Planner'!$I$35-1,'Resource Planner'!$H$35)),"")</f>
        <v/>
      </c>
      <c r="G1300" s="163" t="s">
        <v>109</v>
      </c>
      <c r="H1300" s="163" t="str">
        <f>IF(AND('Resource Planner'!$A$35="☑",46&lt;='Resource Planner'!$N$35),'Resource Planner'!$M$35,"")</f>
        <v/>
      </c>
    </row>
    <row r="1301" ht="15.75" customHeight="1">
      <c r="A13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1" s="163" t="str">
        <f>IF(AND('Resource Planner'!$A$35="☑",47&lt;='Resource Planner'!$N$35),'Resource Planner'!$C$35,"")</f>
        <v/>
      </c>
      <c r="C1301" s="163" t="str">
        <f>IF(AND('Resource Planner'!$A$35="☑",47&lt;='Resource Planner'!$N$35),'Resource Planner'!$B$35,"")</f>
        <v/>
      </c>
      <c r="D1301" s="163" t="str">
        <f>IF(AND('Resource Planner'!$A$35="☑",47&lt;='Resource Planner'!$N$35),'Resource Planner'!$D$35,"")</f>
        <v/>
      </c>
      <c r="E1301" s="163" t="str">
        <f>IF(AND('Resource Planner'!$A$35="☑",47&lt;='Resource Planner'!$N$35),'Resource Planner'!$E$35,"")</f>
        <v/>
      </c>
      <c r="F1301" s="163" t="str">
        <f>IF(AND('Resource Planner'!$A$35="☑",47&lt;='Resource Planner'!$N$35),'Resource Planner'!$F$35&amp;" "&amp;('Resource Planner'!$G$35+(47-1)*'Resource Planner'!$I$35)&amp;IF(('Resource Planner'!$G$35+(47-1)*'Resource Planner'!$I$35)=MIN('Resource Planner'!$G$35+47*'Resource Planner'!$I$35-1,'Resource Planner'!$H$35),"","–"&amp;MIN('Resource Planner'!$G$35+47*'Resource Planner'!$I$35-1,'Resource Planner'!$H$35)),"")</f>
        <v/>
      </c>
      <c r="G1301" s="163" t="s">
        <v>109</v>
      </c>
      <c r="H1301" s="163" t="str">
        <f>IF(AND('Resource Planner'!$A$35="☑",47&lt;='Resource Planner'!$N$35),'Resource Planner'!$M$35,"")</f>
        <v/>
      </c>
    </row>
    <row r="1302" ht="15.75" customHeight="1">
      <c r="A13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2" s="163" t="str">
        <f>IF(AND('Resource Planner'!$A$35="☑",48&lt;='Resource Planner'!$N$35),'Resource Planner'!$C$35,"")</f>
        <v/>
      </c>
      <c r="C1302" s="163" t="str">
        <f>IF(AND('Resource Planner'!$A$35="☑",48&lt;='Resource Planner'!$N$35),'Resource Planner'!$B$35,"")</f>
        <v/>
      </c>
      <c r="D1302" s="163" t="str">
        <f>IF(AND('Resource Planner'!$A$35="☑",48&lt;='Resource Planner'!$N$35),'Resource Planner'!$D$35,"")</f>
        <v/>
      </c>
      <c r="E1302" s="163" t="str">
        <f>IF(AND('Resource Planner'!$A$35="☑",48&lt;='Resource Planner'!$N$35),'Resource Planner'!$E$35,"")</f>
        <v/>
      </c>
      <c r="F1302" s="163" t="str">
        <f>IF(AND('Resource Planner'!$A$35="☑",48&lt;='Resource Planner'!$N$35),'Resource Planner'!$F$35&amp;" "&amp;('Resource Planner'!$G$35+(48-1)*'Resource Planner'!$I$35)&amp;IF(('Resource Planner'!$G$35+(48-1)*'Resource Planner'!$I$35)=MIN('Resource Planner'!$G$35+48*'Resource Planner'!$I$35-1,'Resource Planner'!$H$35),"","–"&amp;MIN('Resource Planner'!$G$35+48*'Resource Planner'!$I$35-1,'Resource Planner'!$H$35)),"")</f>
        <v/>
      </c>
      <c r="G1302" s="163" t="s">
        <v>109</v>
      </c>
      <c r="H1302" s="163" t="str">
        <f>IF(AND('Resource Planner'!$A$35="☑",48&lt;='Resource Planner'!$N$35),'Resource Planner'!$M$35,"")</f>
        <v/>
      </c>
    </row>
    <row r="1303" ht="15.75" customHeight="1">
      <c r="A13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3" s="163" t="str">
        <f>IF(AND('Resource Planner'!$A$35="☑",49&lt;='Resource Planner'!$N$35),'Resource Planner'!$C$35,"")</f>
        <v/>
      </c>
      <c r="C1303" s="163" t="str">
        <f>IF(AND('Resource Planner'!$A$35="☑",49&lt;='Resource Planner'!$N$35),'Resource Planner'!$B$35,"")</f>
        <v/>
      </c>
      <c r="D1303" s="163" t="str">
        <f>IF(AND('Resource Planner'!$A$35="☑",49&lt;='Resource Planner'!$N$35),'Resource Planner'!$D$35,"")</f>
        <v/>
      </c>
      <c r="E1303" s="163" t="str">
        <f>IF(AND('Resource Planner'!$A$35="☑",49&lt;='Resource Planner'!$N$35),'Resource Planner'!$E$35,"")</f>
        <v/>
      </c>
      <c r="F1303" s="163" t="str">
        <f>IF(AND('Resource Planner'!$A$35="☑",49&lt;='Resource Planner'!$N$35),'Resource Planner'!$F$35&amp;" "&amp;('Resource Planner'!$G$35+(49-1)*'Resource Planner'!$I$35)&amp;IF(('Resource Planner'!$G$35+(49-1)*'Resource Planner'!$I$35)=MIN('Resource Planner'!$G$35+49*'Resource Planner'!$I$35-1,'Resource Planner'!$H$35),"","–"&amp;MIN('Resource Planner'!$G$35+49*'Resource Planner'!$I$35-1,'Resource Planner'!$H$35)),"")</f>
        <v/>
      </c>
      <c r="G1303" s="163" t="s">
        <v>109</v>
      </c>
      <c r="H1303" s="163" t="str">
        <f>IF(AND('Resource Planner'!$A$35="☑",49&lt;='Resource Planner'!$N$35),'Resource Planner'!$M$35,"")</f>
        <v/>
      </c>
    </row>
    <row r="1304" ht="15.75" customHeight="1">
      <c r="A13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4" s="163" t="str">
        <f>IF(AND('Resource Planner'!$A$35="☑",50&lt;='Resource Planner'!$N$35),'Resource Planner'!$C$35,"")</f>
        <v/>
      </c>
      <c r="C1304" s="163" t="str">
        <f>IF(AND('Resource Planner'!$A$35="☑",50&lt;='Resource Planner'!$N$35),'Resource Planner'!$B$35,"")</f>
        <v/>
      </c>
      <c r="D1304" s="163" t="str">
        <f>IF(AND('Resource Planner'!$A$35="☑",50&lt;='Resource Planner'!$N$35),'Resource Planner'!$D$35,"")</f>
        <v/>
      </c>
      <c r="E1304" s="163" t="str">
        <f>IF(AND('Resource Planner'!$A$35="☑",50&lt;='Resource Planner'!$N$35),'Resource Planner'!$E$35,"")</f>
        <v/>
      </c>
      <c r="F1304" s="163" t="str">
        <f>IF(AND('Resource Planner'!$A$35="☑",50&lt;='Resource Planner'!$N$35),'Resource Planner'!$F$35&amp;" "&amp;('Resource Planner'!$G$35+(50-1)*'Resource Planner'!$I$35)&amp;IF(('Resource Planner'!$G$35+(50-1)*'Resource Planner'!$I$35)=MIN('Resource Planner'!$G$35+50*'Resource Planner'!$I$35-1,'Resource Planner'!$H$35),"","–"&amp;MIN('Resource Planner'!$G$35+50*'Resource Planner'!$I$35-1,'Resource Planner'!$H$35)),"")</f>
        <v/>
      </c>
      <c r="G1304" s="163" t="s">
        <v>109</v>
      </c>
      <c r="H1304" s="163" t="str">
        <f>IF(AND('Resource Planner'!$A$35="☑",50&lt;='Resource Planner'!$N$35),'Resource Planner'!$M$35,"")</f>
        <v/>
      </c>
    </row>
    <row r="1305" ht="15.75" customHeight="1">
      <c r="A13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5" s="163" t="str">
        <f>IF(AND('Resource Planner'!$A$36="☑",1&lt;='Resource Planner'!$N$36),'Resource Planner'!$C$36,"")</f>
        <v/>
      </c>
      <c r="C1305" s="163" t="str">
        <f>IF(AND('Resource Planner'!$A$36="☑",1&lt;='Resource Planner'!$N$36),'Resource Planner'!$B$36,"")</f>
        <v/>
      </c>
      <c r="D1305" s="163" t="str">
        <f>IF(AND('Resource Planner'!$A$36="☑",1&lt;='Resource Planner'!$N$36),'Resource Planner'!$D$36,"")</f>
        <v/>
      </c>
      <c r="E1305" s="163" t="str">
        <f>IF(AND('Resource Planner'!$A$36="☑",1&lt;='Resource Planner'!$N$36),'Resource Planner'!$E$36,"")</f>
        <v/>
      </c>
      <c r="F1305" s="163" t="str">
        <f>IF(AND('Resource Planner'!$A$36="☑",1&lt;='Resource Planner'!$N$36),'Resource Planner'!$F$36&amp;" "&amp;('Resource Planner'!$G$36+(1-1)*'Resource Planner'!$I$36)&amp;IF(('Resource Planner'!$G$36+(1-1)*'Resource Planner'!$I$36)=MIN('Resource Planner'!$G$36+1*'Resource Planner'!$I$36-1,'Resource Planner'!$H$36),"","–"&amp;MIN('Resource Planner'!$G$36+1*'Resource Planner'!$I$36-1,'Resource Planner'!$H$36)),"")</f>
        <v/>
      </c>
      <c r="G1305" s="163" t="s">
        <v>109</v>
      </c>
      <c r="H1305" s="163" t="str">
        <f>IF(AND('Resource Planner'!$A$36="☑",1&lt;='Resource Planner'!$N$36),'Resource Planner'!$M$36,"")</f>
        <v/>
      </c>
    </row>
    <row r="1306" ht="15.75" customHeight="1">
      <c r="A13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6" s="163" t="str">
        <f>IF(AND('Resource Planner'!$A$36="☑",2&lt;='Resource Planner'!$N$36),'Resource Planner'!$C$36,"")</f>
        <v/>
      </c>
      <c r="C1306" s="163" t="str">
        <f>IF(AND('Resource Planner'!$A$36="☑",2&lt;='Resource Planner'!$N$36),'Resource Planner'!$B$36,"")</f>
        <v/>
      </c>
      <c r="D1306" s="163" t="str">
        <f>IF(AND('Resource Planner'!$A$36="☑",2&lt;='Resource Planner'!$N$36),'Resource Planner'!$D$36,"")</f>
        <v/>
      </c>
      <c r="E1306" s="163" t="str">
        <f>IF(AND('Resource Planner'!$A$36="☑",2&lt;='Resource Planner'!$N$36),'Resource Planner'!$E$36,"")</f>
        <v/>
      </c>
      <c r="F1306" s="163" t="str">
        <f>IF(AND('Resource Planner'!$A$36="☑",2&lt;='Resource Planner'!$N$36),'Resource Planner'!$F$36&amp;" "&amp;('Resource Planner'!$G$36+(2-1)*'Resource Planner'!$I$36)&amp;IF(('Resource Planner'!$G$36+(2-1)*'Resource Planner'!$I$36)=MIN('Resource Planner'!$G$36+2*'Resource Planner'!$I$36-1,'Resource Planner'!$H$36),"","–"&amp;MIN('Resource Planner'!$G$36+2*'Resource Planner'!$I$36-1,'Resource Planner'!$H$36)),"")</f>
        <v/>
      </c>
      <c r="G1306" s="163" t="s">
        <v>109</v>
      </c>
      <c r="H1306" s="163" t="str">
        <f>IF(AND('Resource Planner'!$A$36="☑",2&lt;='Resource Planner'!$N$36),'Resource Planner'!$M$36,"")</f>
        <v/>
      </c>
    </row>
    <row r="1307" ht="15.75" customHeight="1">
      <c r="A13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7" s="163" t="str">
        <f>IF(AND('Resource Planner'!$A$36="☑",3&lt;='Resource Planner'!$N$36),'Resource Planner'!$C$36,"")</f>
        <v/>
      </c>
      <c r="C1307" s="163" t="str">
        <f>IF(AND('Resource Planner'!$A$36="☑",3&lt;='Resource Planner'!$N$36),'Resource Planner'!$B$36,"")</f>
        <v/>
      </c>
      <c r="D1307" s="163" t="str">
        <f>IF(AND('Resource Planner'!$A$36="☑",3&lt;='Resource Planner'!$N$36),'Resource Planner'!$D$36,"")</f>
        <v/>
      </c>
      <c r="E1307" s="163" t="str">
        <f>IF(AND('Resource Planner'!$A$36="☑",3&lt;='Resource Planner'!$N$36),'Resource Planner'!$E$36,"")</f>
        <v/>
      </c>
      <c r="F1307" s="163" t="str">
        <f>IF(AND('Resource Planner'!$A$36="☑",3&lt;='Resource Planner'!$N$36),'Resource Planner'!$F$36&amp;" "&amp;('Resource Planner'!$G$36+(3-1)*'Resource Planner'!$I$36)&amp;IF(('Resource Planner'!$G$36+(3-1)*'Resource Planner'!$I$36)=MIN('Resource Planner'!$G$36+3*'Resource Planner'!$I$36-1,'Resource Planner'!$H$36),"","–"&amp;MIN('Resource Planner'!$G$36+3*'Resource Planner'!$I$36-1,'Resource Planner'!$H$36)),"")</f>
        <v/>
      </c>
      <c r="G1307" s="163" t="s">
        <v>109</v>
      </c>
      <c r="H1307" s="163" t="str">
        <f>IF(AND('Resource Planner'!$A$36="☑",3&lt;='Resource Planner'!$N$36),'Resource Planner'!$M$36,"")</f>
        <v/>
      </c>
    </row>
    <row r="1308" ht="15.75" customHeight="1">
      <c r="A13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8" s="163" t="str">
        <f>IF(AND('Resource Planner'!$A$36="☑",4&lt;='Resource Planner'!$N$36),'Resource Planner'!$C$36,"")</f>
        <v/>
      </c>
      <c r="C1308" s="163" t="str">
        <f>IF(AND('Resource Planner'!$A$36="☑",4&lt;='Resource Planner'!$N$36),'Resource Planner'!$B$36,"")</f>
        <v/>
      </c>
      <c r="D1308" s="163" t="str">
        <f>IF(AND('Resource Planner'!$A$36="☑",4&lt;='Resource Planner'!$N$36),'Resource Planner'!$D$36,"")</f>
        <v/>
      </c>
      <c r="E1308" s="163" t="str">
        <f>IF(AND('Resource Planner'!$A$36="☑",4&lt;='Resource Planner'!$N$36),'Resource Planner'!$E$36,"")</f>
        <v/>
      </c>
      <c r="F1308" s="163" t="str">
        <f>IF(AND('Resource Planner'!$A$36="☑",4&lt;='Resource Planner'!$N$36),'Resource Planner'!$F$36&amp;" "&amp;('Resource Planner'!$G$36+(4-1)*'Resource Planner'!$I$36)&amp;IF(('Resource Planner'!$G$36+(4-1)*'Resource Planner'!$I$36)=MIN('Resource Planner'!$G$36+4*'Resource Planner'!$I$36-1,'Resource Planner'!$H$36),"","–"&amp;MIN('Resource Planner'!$G$36+4*'Resource Planner'!$I$36-1,'Resource Planner'!$H$36)),"")</f>
        <v/>
      </c>
      <c r="G1308" s="163" t="s">
        <v>109</v>
      </c>
      <c r="H1308" s="163" t="str">
        <f>IF(AND('Resource Planner'!$A$36="☑",4&lt;='Resource Planner'!$N$36),'Resource Planner'!$M$36,"")</f>
        <v/>
      </c>
    </row>
    <row r="1309" ht="15.75" customHeight="1">
      <c r="A13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09" s="163" t="str">
        <f>IF(AND('Resource Planner'!$A$36="☑",5&lt;='Resource Planner'!$N$36),'Resource Planner'!$C$36,"")</f>
        <v/>
      </c>
      <c r="C1309" s="163" t="str">
        <f>IF(AND('Resource Planner'!$A$36="☑",5&lt;='Resource Planner'!$N$36),'Resource Planner'!$B$36,"")</f>
        <v/>
      </c>
      <c r="D1309" s="163" t="str">
        <f>IF(AND('Resource Planner'!$A$36="☑",5&lt;='Resource Planner'!$N$36),'Resource Planner'!$D$36,"")</f>
        <v/>
      </c>
      <c r="E1309" s="163" t="str">
        <f>IF(AND('Resource Planner'!$A$36="☑",5&lt;='Resource Planner'!$N$36),'Resource Planner'!$E$36,"")</f>
        <v/>
      </c>
      <c r="F1309" s="163" t="str">
        <f>IF(AND('Resource Planner'!$A$36="☑",5&lt;='Resource Planner'!$N$36),'Resource Planner'!$F$36&amp;" "&amp;('Resource Planner'!$G$36+(5-1)*'Resource Planner'!$I$36)&amp;IF(('Resource Planner'!$G$36+(5-1)*'Resource Planner'!$I$36)=MIN('Resource Planner'!$G$36+5*'Resource Planner'!$I$36-1,'Resource Planner'!$H$36),"","–"&amp;MIN('Resource Planner'!$G$36+5*'Resource Planner'!$I$36-1,'Resource Planner'!$H$36)),"")</f>
        <v/>
      </c>
      <c r="G1309" s="163" t="s">
        <v>109</v>
      </c>
      <c r="H1309" s="163" t="str">
        <f>IF(AND('Resource Planner'!$A$36="☑",5&lt;='Resource Planner'!$N$36),'Resource Planner'!$M$36,"")</f>
        <v/>
      </c>
    </row>
    <row r="1310" ht="15.75" customHeight="1">
      <c r="A13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0" s="163" t="str">
        <f>IF(AND('Resource Planner'!$A$36="☑",6&lt;='Resource Planner'!$N$36),'Resource Planner'!$C$36,"")</f>
        <v/>
      </c>
      <c r="C1310" s="163" t="str">
        <f>IF(AND('Resource Planner'!$A$36="☑",6&lt;='Resource Planner'!$N$36),'Resource Planner'!$B$36,"")</f>
        <v/>
      </c>
      <c r="D1310" s="163" t="str">
        <f>IF(AND('Resource Planner'!$A$36="☑",6&lt;='Resource Planner'!$N$36),'Resource Planner'!$D$36,"")</f>
        <v/>
      </c>
      <c r="E1310" s="163" t="str">
        <f>IF(AND('Resource Planner'!$A$36="☑",6&lt;='Resource Planner'!$N$36),'Resource Planner'!$E$36,"")</f>
        <v/>
      </c>
      <c r="F1310" s="163" t="str">
        <f>IF(AND('Resource Planner'!$A$36="☑",6&lt;='Resource Planner'!$N$36),'Resource Planner'!$F$36&amp;" "&amp;('Resource Planner'!$G$36+(6-1)*'Resource Planner'!$I$36)&amp;IF(('Resource Planner'!$G$36+(6-1)*'Resource Planner'!$I$36)=MIN('Resource Planner'!$G$36+6*'Resource Planner'!$I$36-1,'Resource Planner'!$H$36),"","–"&amp;MIN('Resource Planner'!$G$36+6*'Resource Planner'!$I$36-1,'Resource Planner'!$H$36)),"")</f>
        <v/>
      </c>
      <c r="G1310" s="163" t="s">
        <v>109</v>
      </c>
      <c r="H1310" s="163" t="str">
        <f>IF(AND('Resource Planner'!$A$36="☑",6&lt;='Resource Planner'!$N$36),'Resource Planner'!$M$36,"")</f>
        <v/>
      </c>
    </row>
    <row r="1311" ht="15.75" customHeight="1">
      <c r="A13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1" s="163" t="str">
        <f>IF(AND('Resource Planner'!$A$36="☑",7&lt;='Resource Planner'!$N$36),'Resource Planner'!$C$36,"")</f>
        <v/>
      </c>
      <c r="C1311" s="163" t="str">
        <f>IF(AND('Resource Planner'!$A$36="☑",7&lt;='Resource Planner'!$N$36),'Resource Planner'!$B$36,"")</f>
        <v/>
      </c>
      <c r="D1311" s="163" t="str">
        <f>IF(AND('Resource Planner'!$A$36="☑",7&lt;='Resource Planner'!$N$36),'Resource Planner'!$D$36,"")</f>
        <v/>
      </c>
      <c r="E1311" s="163" t="str">
        <f>IF(AND('Resource Planner'!$A$36="☑",7&lt;='Resource Planner'!$N$36),'Resource Planner'!$E$36,"")</f>
        <v/>
      </c>
      <c r="F1311" s="163" t="str">
        <f>IF(AND('Resource Planner'!$A$36="☑",7&lt;='Resource Planner'!$N$36),'Resource Planner'!$F$36&amp;" "&amp;('Resource Planner'!$G$36+(7-1)*'Resource Planner'!$I$36)&amp;IF(('Resource Planner'!$G$36+(7-1)*'Resource Planner'!$I$36)=MIN('Resource Planner'!$G$36+7*'Resource Planner'!$I$36-1,'Resource Planner'!$H$36),"","–"&amp;MIN('Resource Planner'!$G$36+7*'Resource Planner'!$I$36-1,'Resource Planner'!$H$36)),"")</f>
        <v/>
      </c>
      <c r="G1311" s="163" t="s">
        <v>109</v>
      </c>
      <c r="H1311" s="163" t="str">
        <f>IF(AND('Resource Planner'!$A$36="☑",7&lt;='Resource Planner'!$N$36),'Resource Planner'!$M$36,"")</f>
        <v/>
      </c>
    </row>
    <row r="1312" ht="15.75" customHeight="1">
      <c r="A13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2" s="163" t="str">
        <f>IF(AND('Resource Planner'!$A$36="☑",8&lt;='Resource Planner'!$N$36),'Resource Planner'!$C$36,"")</f>
        <v/>
      </c>
      <c r="C1312" s="163" t="str">
        <f>IF(AND('Resource Planner'!$A$36="☑",8&lt;='Resource Planner'!$N$36),'Resource Planner'!$B$36,"")</f>
        <v/>
      </c>
      <c r="D1312" s="163" t="str">
        <f>IF(AND('Resource Planner'!$A$36="☑",8&lt;='Resource Planner'!$N$36),'Resource Planner'!$D$36,"")</f>
        <v/>
      </c>
      <c r="E1312" s="163" t="str">
        <f>IF(AND('Resource Planner'!$A$36="☑",8&lt;='Resource Planner'!$N$36),'Resource Planner'!$E$36,"")</f>
        <v/>
      </c>
      <c r="F1312" s="163" t="str">
        <f>IF(AND('Resource Planner'!$A$36="☑",8&lt;='Resource Planner'!$N$36),'Resource Planner'!$F$36&amp;" "&amp;('Resource Planner'!$G$36+(8-1)*'Resource Planner'!$I$36)&amp;IF(('Resource Planner'!$G$36+(8-1)*'Resource Planner'!$I$36)=MIN('Resource Planner'!$G$36+8*'Resource Planner'!$I$36-1,'Resource Planner'!$H$36),"","–"&amp;MIN('Resource Planner'!$G$36+8*'Resource Planner'!$I$36-1,'Resource Planner'!$H$36)),"")</f>
        <v/>
      </c>
      <c r="G1312" s="163" t="s">
        <v>109</v>
      </c>
      <c r="H1312" s="163" t="str">
        <f>IF(AND('Resource Planner'!$A$36="☑",8&lt;='Resource Planner'!$N$36),'Resource Planner'!$M$36,"")</f>
        <v/>
      </c>
    </row>
    <row r="1313" ht="15.75" customHeight="1">
      <c r="A13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3" s="163" t="str">
        <f>IF(AND('Resource Planner'!$A$36="☑",9&lt;='Resource Planner'!$N$36),'Resource Planner'!$C$36,"")</f>
        <v/>
      </c>
      <c r="C1313" s="163" t="str">
        <f>IF(AND('Resource Planner'!$A$36="☑",9&lt;='Resource Planner'!$N$36),'Resource Planner'!$B$36,"")</f>
        <v/>
      </c>
      <c r="D1313" s="163" t="str">
        <f>IF(AND('Resource Planner'!$A$36="☑",9&lt;='Resource Planner'!$N$36),'Resource Planner'!$D$36,"")</f>
        <v/>
      </c>
      <c r="E1313" s="163" t="str">
        <f>IF(AND('Resource Planner'!$A$36="☑",9&lt;='Resource Planner'!$N$36),'Resource Planner'!$E$36,"")</f>
        <v/>
      </c>
      <c r="F1313" s="163" t="str">
        <f>IF(AND('Resource Planner'!$A$36="☑",9&lt;='Resource Planner'!$N$36),'Resource Planner'!$F$36&amp;" "&amp;('Resource Planner'!$G$36+(9-1)*'Resource Planner'!$I$36)&amp;IF(('Resource Planner'!$G$36+(9-1)*'Resource Planner'!$I$36)=MIN('Resource Planner'!$G$36+9*'Resource Planner'!$I$36-1,'Resource Planner'!$H$36),"","–"&amp;MIN('Resource Planner'!$G$36+9*'Resource Planner'!$I$36-1,'Resource Planner'!$H$36)),"")</f>
        <v/>
      </c>
      <c r="G1313" s="163" t="s">
        <v>109</v>
      </c>
      <c r="H1313" s="163" t="str">
        <f>IF(AND('Resource Planner'!$A$36="☑",9&lt;='Resource Planner'!$N$36),'Resource Planner'!$M$36,"")</f>
        <v/>
      </c>
    </row>
    <row r="1314" ht="15.75" customHeight="1">
      <c r="A13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4" s="163" t="str">
        <f>IF(AND('Resource Planner'!$A$36="☑",10&lt;='Resource Planner'!$N$36),'Resource Planner'!$C$36,"")</f>
        <v/>
      </c>
      <c r="C1314" s="163" t="str">
        <f>IF(AND('Resource Planner'!$A$36="☑",10&lt;='Resource Planner'!$N$36),'Resource Planner'!$B$36,"")</f>
        <v/>
      </c>
      <c r="D1314" s="163" t="str">
        <f>IF(AND('Resource Planner'!$A$36="☑",10&lt;='Resource Planner'!$N$36),'Resource Planner'!$D$36,"")</f>
        <v/>
      </c>
      <c r="E1314" s="163" t="str">
        <f>IF(AND('Resource Planner'!$A$36="☑",10&lt;='Resource Planner'!$N$36),'Resource Planner'!$E$36,"")</f>
        <v/>
      </c>
      <c r="F1314" s="163" t="str">
        <f>IF(AND('Resource Planner'!$A$36="☑",10&lt;='Resource Planner'!$N$36),'Resource Planner'!$F$36&amp;" "&amp;('Resource Planner'!$G$36+(10-1)*'Resource Planner'!$I$36)&amp;IF(('Resource Planner'!$G$36+(10-1)*'Resource Planner'!$I$36)=MIN('Resource Planner'!$G$36+10*'Resource Planner'!$I$36-1,'Resource Planner'!$H$36),"","–"&amp;MIN('Resource Planner'!$G$36+10*'Resource Planner'!$I$36-1,'Resource Planner'!$H$36)),"")</f>
        <v/>
      </c>
      <c r="G1314" s="163" t="s">
        <v>109</v>
      </c>
      <c r="H1314" s="163" t="str">
        <f>IF(AND('Resource Planner'!$A$36="☑",10&lt;='Resource Planner'!$N$36),'Resource Planner'!$M$36,"")</f>
        <v/>
      </c>
    </row>
    <row r="1315" ht="15.75" customHeight="1">
      <c r="A13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5" s="163" t="str">
        <f>IF(AND('Resource Planner'!$A$36="☑",11&lt;='Resource Planner'!$N$36),'Resource Planner'!$C$36,"")</f>
        <v/>
      </c>
      <c r="C1315" s="163" t="str">
        <f>IF(AND('Resource Planner'!$A$36="☑",11&lt;='Resource Planner'!$N$36),'Resource Planner'!$B$36,"")</f>
        <v/>
      </c>
      <c r="D1315" s="163" t="str">
        <f>IF(AND('Resource Planner'!$A$36="☑",11&lt;='Resource Planner'!$N$36),'Resource Planner'!$D$36,"")</f>
        <v/>
      </c>
      <c r="E1315" s="163" t="str">
        <f>IF(AND('Resource Planner'!$A$36="☑",11&lt;='Resource Planner'!$N$36),'Resource Planner'!$E$36,"")</f>
        <v/>
      </c>
      <c r="F1315" s="163" t="str">
        <f>IF(AND('Resource Planner'!$A$36="☑",11&lt;='Resource Planner'!$N$36),'Resource Planner'!$F$36&amp;" "&amp;('Resource Planner'!$G$36+(11-1)*'Resource Planner'!$I$36)&amp;IF(('Resource Planner'!$G$36+(11-1)*'Resource Planner'!$I$36)=MIN('Resource Planner'!$G$36+11*'Resource Planner'!$I$36-1,'Resource Planner'!$H$36),"","–"&amp;MIN('Resource Planner'!$G$36+11*'Resource Planner'!$I$36-1,'Resource Planner'!$H$36)),"")</f>
        <v/>
      </c>
      <c r="G1315" s="163" t="s">
        <v>109</v>
      </c>
      <c r="H1315" s="163" t="str">
        <f>IF(AND('Resource Planner'!$A$36="☑",11&lt;='Resource Planner'!$N$36),'Resource Planner'!$M$36,"")</f>
        <v/>
      </c>
    </row>
    <row r="1316" ht="15.75" customHeight="1">
      <c r="A13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6" s="163" t="str">
        <f>IF(AND('Resource Planner'!$A$36="☑",12&lt;='Resource Planner'!$N$36),'Resource Planner'!$C$36,"")</f>
        <v/>
      </c>
      <c r="C1316" s="163" t="str">
        <f>IF(AND('Resource Planner'!$A$36="☑",12&lt;='Resource Planner'!$N$36),'Resource Planner'!$B$36,"")</f>
        <v/>
      </c>
      <c r="D1316" s="163" t="str">
        <f>IF(AND('Resource Planner'!$A$36="☑",12&lt;='Resource Planner'!$N$36),'Resource Planner'!$D$36,"")</f>
        <v/>
      </c>
      <c r="E1316" s="163" t="str">
        <f>IF(AND('Resource Planner'!$A$36="☑",12&lt;='Resource Planner'!$N$36),'Resource Planner'!$E$36,"")</f>
        <v/>
      </c>
      <c r="F1316" s="163" t="str">
        <f>IF(AND('Resource Planner'!$A$36="☑",12&lt;='Resource Planner'!$N$36),'Resource Planner'!$F$36&amp;" "&amp;('Resource Planner'!$G$36+(12-1)*'Resource Planner'!$I$36)&amp;IF(('Resource Planner'!$G$36+(12-1)*'Resource Planner'!$I$36)=MIN('Resource Planner'!$G$36+12*'Resource Planner'!$I$36-1,'Resource Planner'!$H$36),"","–"&amp;MIN('Resource Planner'!$G$36+12*'Resource Planner'!$I$36-1,'Resource Planner'!$H$36)),"")</f>
        <v/>
      </c>
      <c r="G1316" s="163" t="s">
        <v>109</v>
      </c>
      <c r="H1316" s="163" t="str">
        <f>IF(AND('Resource Planner'!$A$36="☑",12&lt;='Resource Planner'!$N$36),'Resource Planner'!$M$36,"")</f>
        <v/>
      </c>
    </row>
    <row r="1317" ht="15.75" customHeight="1">
      <c r="A13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7" s="163" t="str">
        <f>IF(AND('Resource Planner'!$A$36="☑",13&lt;='Resource Planner'!$N$36),'Resource Planner'!$C$36,"")</f>
        <v/>
      </c>
      <c r="C1317" s="163" t="str">
        <f>IF(AND('Resource Planner'!$A$36="☑",13&lt;='Resource Planner'!$N$36),'Resource Planner'!$B$36,"")</f>
        <v/>
      </c>
      <c r="D1317" s="163" t="str">
        <f>IF(AND('Resource Planner'!$A$36="☑",13&lt;='Resource Planner'!$N$36),'Resource Planner'!$D$36,"")</f>
        <v/>
      </c>
      <c r="E1317" s="163" t="str">
        <f>IF(AND('Resource Planner'!$A$36="☑",13&lt;='Resource Planner'!$N$36),'Resource Planner'!$E$36,"")</f>
        <v/>
      </c>
      <c r="F1317" s="163" t="str">
        <f>IF(AND('Resource Planner'!$A$36="☑",13&lt;='Resource Planner'!$N$36),'Resource Planner'!$F$36&amp;" "&amp;('Resource Planner'!$G$36+(13-1)*'Resource Planner'!$I$36)&amp;IF(('Resource Planner'!$G$36+(13-1)*'Resource Planner'!$I$36)=MIN('Resource Planner'!$G$36+13*'Resource Planner'!$I$36-1,'Resource Planner'!$H$36),"","–"&amp;MIN('Resource Planner'!$G$36+13*'Resource Planner'!$I$36-1,'Resource Planner'!$H$36)),"")</f>
        <v/>
      </c>
      <c r="G1317" s="163" t="s">
        <v>109</v>
      </c>
      <c r="H1317" s="163" t="str">
        <f>IF(AND('Resource Planner'!$A$36="☑",13&lt;='Resource Planner'!$N$36),'Resource Planner'!$M$36,"")</f>
        <v/>
      </c>
    </row>
    <row r="1318" ht="15.75" customHeight="1">
      <c r="A13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8" s="163" t="str">
        <f>IF(AND('Resource Planner'!$A$36="☑",14&lt;='Resource Planner'!$N$36),'Resource Planner'!$C$36,"")</f>
        <v/>
      </c>
      <c r="C1318" s="163" t="str">
        <f>IF(AND('Resource Planner'!$A$36="☑",14&lt;='Resource Planner'!$N$36),'Resource Planner'!$B$36,"")</f>
        <v/>
      </c>
      <c r="D1318" s="163" t="str">
        <f>IF(AND('Resource Planner'!$A$36="☑",14&lt;='Resource Planner'!$N$36),'Resource Planner'!$D$36,"")</f>
        <v/>
      </c>
      <c r="E1318" s="163" t="str">
        <f>IF(AND('Resource Planner'!$A$36="☑",14&lt;='Resource Planner'!$N$36),'Resource Planner'!$E$36,"")</f>
        <v/>
      </c>
      <c r="F1318" s="163" t="str">
        <f>IF(AND('Resource Planner'!$A$36="☑",14&lt;='Resource Planner'!$N$36),'Resource Planner'!$F$36&amp;" "&amp;('Resource Planner'!$G$36+(14-1)*'Resource Planner'!$I$36)&amp;IF(('Resource Planner'!$G$36+(14-1)*'Resource Planner'!$I$36)=MIN('Resource Planner'!$G$36+14*'Resource Planner'!$I$36-1,'Resource Planner'!$H$36),"","–"&amp;MIN('Resource Planner'!$G$36+14*'Resource Planner'!$I$36-1,'Resource Planner'!$H$36)),"")</f>
        <v/>
      </c>
      <c r="G1318" s="163" t="s">
        <v>109</v>
      </c>
      <c r="H1318" s="163" t="str">
        <f>IF(AND('Resource Planner'!$A$36="☑",14&lt;='Resource Planner'!$N$36),'Resource Planner'!$M$36,"")</f>
        <v/>
      </c>
    </row>
    <row r="1319" ht="15.75" customHeight="1">
      <c r="A13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19" s="163" t="str">
        <f>IF(AND('Resource Planner'!$A$36="☑",15&lt;='Resource Planner'!$N$36),'Resource Planner'!$C$36,"")</f>
        <v/>
      </c>
      <c r="C1319" s="163" t="str">
        <f>IF(AND('Resource Planner'!$A$36="☑",15&lt;='Resource Planner'!$N$36),'Resource Planner'!$B$36,"")</f>
        <v/>
      </c>
      <c r="D1319" s="163" t="str">
        <f>IF(AND('Resource Planner'!$A$36="☑",15&lt;='Resource Planner'!$N$36),'Resource Planner'!$D$36,"")</f>
        <v/>
      </c>
      <c r="E1319" s="163" t="str">
        <f>IF(AND('Resource Planner'!$A$36="☑",15&lt;='Resource Planner'!$N$36),'Resource Planner'!$E$36,"")</f>
        <v/>
      </c>
      <c r="F1319" s="163" t="str">
        <f>IF(AND('Resource Planner'!$A$36="☑",15&lt;='Resource Planner'!$N$36),'Resource Planner'!$F$36&amp;" "&amp;('Resource Planner'!$G$36+(15-1)*'Resource Planner'!$I$36)&amp;IF(('Resource Planner'!$G$36+(15-1)*'Resource Planner'!$I$36)=MIN('Resource Planner'!$G$36+15*'Resource Planner'!$I$36-1,'Resource Planner'!$H$36),"","–"&amp;MIN('Resource Planner'!$G$36+15*'Resource Planner'!$I$36-1,'Resource Planner'!$H$36)),"")</f>
        <v/>
      </c>
      <c r="G1319" s="163" t="s">
        <v>109</v>
      </c>
      <c r="H1319" s="163" t="str">
        <f>IF(AND('Resource Planner'!$A$36="☑",15&lt;='Resource Planner'!$N$36),'Resource Planner'!$M$36,"")</f>
        <v/>
      </c>
    </row>
    <row r="1320" ht="15.75" customHeight="1">
      <c r="A13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0" s="163" t="str">
        <f>IF(AND('Resource Planner'!$A$36="☑",16&lt;='Resource Planner'!$N$36),'Resource Planner'!$C$36,"")</f>
        <v/>
      </c>
      <c r="C1320" s="163" t="str">
        <f>IF(AND('Resource Planner'!$A$36="☑",16&lt;='Resource Planner'!$N$36),'Resource Planner'!$B$36,"")</f>
        <v/>
      </c>
      <c r="D1320" s="163" t="str">
        <f>IF(AND('Resource Planner'!$A$36="☑",16&lt;='Resource Planner'!$N$36),'Resource Planner'!$D$36,"")</f>
        <v/>
      </c>
      <c r="E1320" s="163" t="str">
        <f>IF(AND('Resource Planner'!$A$36="☑",16&lt;='Resource Planner'!$N$36),'Resource Planner'!$E$36,"")</f>
        <v/>
      </c>
      <c r="F1320" s="163" t="str">
        <f>IF(AND('Resource Planner'!$A$36="☑",16&lt;='Resource Planner'!$N$36),'Resource Planner'!$F$36&amp;" "&amp;('Resource Planner'!$G$36+(16-1)*'Resource Planner'!$I$36)&amp;IF(('Resource Planner'!$G$36+(16-1)*'Resource Planner'!$I$36)=MIN('Resource Planner'!$G$36+16*'Resource Planner'!$I$36-1,'Resource Planner'!$H$36),"","–"&amp;MIN('Resource Planner'!$G$36+16*'Resource Planner'!$I$36-1,'Resource Planner'!$H$36)),"")</f>
        <v/>
      </c>
      <c r="G1320" s="163" t="s">
        <v>109</v>
      </c>
      <c r="H1320" s="163" t="str">
        <f>IF(AND('Resource Planner'!$A$36="☑",16&lt;='Resource Planner'!$N$36),'Resource Planner'!$M$36,"")</f>
        <v/>
      </c>
    </row>
    <row r="1321" ht="15.75" customHeight="1">
      <c r="A13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1" s="163" t="str">
        <f>IF(AND('Resource Planner'!$A$36="☑",17&lt;='Resource Planner'!$N$36),'Resource Planner'!$C$36,"")</f>
        <v/>
      </c>
      <c r="C1321" s="163" t="str">
        <f>IF(AND('Resource Planner'!$A$36="☑",17&lt;='Resource Planner'!$N$36),'Resource Planner'!$B$36,"")</f>
        <v/>
      </c>
      <c r="D1321" s="163" t="str">
        <f>IF(AND('Resource Planner'!$A$36="☑",17&lt;='Resource Planner'!$N$36),'Resource Planner'!$D$36,"")</f>
        <v/>
      </c>
      <c r="E1321" s="163" t="str">
        <f>IF(AND('Resource Planner'!$A$36="☑",17&lt;='Resource Planner'!$N$36),'Resource Planner'!$E$36,"")</f>
        <v/>
      </c>
      <c r="F1321" s="163" t="str">
        <f>IF(AND('Resource Planner'!$A$36="☑",17&lt;='Resource Planner'!$N$36),'Resource Planner'!$F$36&amp;" "&amp;('Resource Planner'!$G$36+(17-1)*'Resource Planner'!$I$36)&amp;IF(('Resource Planner'!$G$36+(17-1)*'Resource Planner'!$I$36)=MIN('Resource Planner'!$G$36+17*'Resource Planner'!$I$36-1,'Resource Planner'!$H$36),"","–"&amp;MIN('Resource Planner'!$G$36+17*'Resource Planner'!$I$36-1,'Resource Planner'!$H$36)),"")</f>
        <v/>
      </c>
      <c r="G1321" s="163" t="s">
        <v>109</v>
      </c>
      <c r="H1321" s="163" t="str">
        <f>IF(AND('Resource Planner'!$A$36="☑",17&lt;='Resource Planner'!$N$36),'Resource Planner'!$M$36,"")</f>
        <v/>
      </c>
    </row>
    <row r="1322" ht="15.75" customHeight="1">
      <c r="A13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2" s="163" t="str">
        <f>IF(AND('Resource Planner'!$A$36="☑",18&lt;='Resource Planner'!$N$36),'Resource Planner'!$C$36,"")</f>
        <v/>
      </c>
      <c r="C1322" s="163" t="str">
        <f>IF(AND('Resource Planner'!$A$36="☑",18&lt;='Resource Planner'!$N$36),'Resource Planner'!$B$36,"")</f>
        <v/>
      </c>
      <c r="D1322" s="163" t="str">
        <f>IF(AND('Resource Planner'!$A$36="☑",18&lt;='Resource Planner'!$N$36),'Resource Planner'!$D$36,"")</f>
        <v/>
      </c>
      <c r="E1322" s="163" t="str">
        <f>IF(AND('Resource Planner'!$A$36="☑",18&lt;='Resource Planner'!$N$36),'Resource Planner'!$E$36,"")</f>
        <v/>
      </c>
      <c r="F1322" s="163" t="str">
        <f>IF(AND('Resource Planner'!$A$36="☑",18&lt;='Resource Planner'!$N$36),'Resource Planner'!$F$36&amp;" "&amp;('Resource Planner'!$G$36+(18-1)*'Resource Planner'!$I$36)&amp;IF(('Resource Planner'!$G$36+(18-1)*'Resource Planner'!$I$36)=MIN('Resource Planner'!$G$36+18*'Resource Planner'!$I$36-1,'Resource Planner'!$H$36),"","–"&amp;MIN('Resource Planner'!$G$36+18*'Resource Planner'!$I$36-1,'Resource Planner'!$H$36)),"")</f>
        <v/>
      </c>
      <c r="G1322" s="163" t="s">
        <v>109</v>
      </c>
      <c r="H1322" s="163" t="str">
        <f>IF(AND('Resource Planner'!$A$36="☑",18&lt;='Resource Planner'!$N$36),'Resource Planner'!$M$36,"")</f>
        <v/>
      </c>
    </row>
    <row r="1323" ht="15.75" customHeight="1">
      <c r="A13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3" s="163" t="str">
        <f>IF(AND('Resource Planner'!$A$36="☑",19&lt;='Resource Planner'!$N$36),'Resource Planner'!$C$36,"")</f>
        <v/>
      </c>
      <c r="C1323" s="163" t="str">
        <f>IF(AND('Resource Planner'!$A$36="☑",19&lt;='Resource Planner'!$N$36),'Resource Planner'!$B$36,"")</f>
        <v/>
      </c>
      <c r="D1323" s="163" t="str">
        <f>IF(AND('Resource Planner'!$A$36="☑",19&lt;='Resource Planner'!$N$36),'Resource Planner'!$D$36,"")</f>
        <v/>
      </c>
      <c r="E1323" s="163" t="str">
        <f>IF(AND('Resource Planner'!$A$36="☑",19&lt;='Resource Planner'!$N$36),'Resource Planner'!$E$36,"")</f>
        <v/>
      </c>
      <c r="F1323" s="163" t="str">
        <f>IF(AND('Resource Planner'!$A$36="☑",19&lt;='Resource Planner'!$N$36),'Resource Planner'!$F$36&amp;" "&amp;('Resource Planner'!$G$36+(19-1)*'Resource Planner'!$I$36)&amp;IF(('Resource Planner'!$G$36+(19-1)*'Resource Planner'!$I$36)=MIN('Resource Planner'!$G$36+19*'Resource Planner'!$I$36-1,'Resource Planner'!$H$36),"","–"&amp;MIN('Resource Planner'!$G$36+19*'Resource Planner'!$I$36-1,'Resource Planner'!$H$36)),"")</f>
        <v/>
      </c>
      <c r="G1323" s="163" t="s">
        <v>109</v>
      </c>
      <c r="H1323" s="163" t="str">
        <f>IF(AND('Resource Planner'!$A$36="☑",19&lt;='Resource Planner'!$N$36),'Resource Planner'!$M$36,"")</f>
        <v/>
      </c>
    </row>
    <row r="1324" ht="15.75" customHeight="1">
      <c r="A13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4" s="163" t="str">
        <f>IF(AND('Resource Planner'!$A$36="☑",20&lt;='Resource Planner'!$N$36),'Resource Planner'!$C$36,"")</f>
        <v/>
      </c>
      <c r="C1324" s="163" t="str">
        <f>IF(AND('Resource Planner'!$A$36="☑",20&lt;='Resource Planner'!$N$36),'Resource Planner'!$B$36,"")</f>
        <v/>
      </c>
      <c r="D1324" s="163" t="str">
        <f>IF(AND('Resource Planner'!$A$36="☑",20&lt;='Resource Planner'!$N$36),'Resource Planner'!$D$36,"")</f>
        <v/>
      </c>
      <c r="E1324" s="163" t="str">
        <f>IF(AND('Resource Planner'!$A$36="☑",20&lt;='Resource Planner'!$N$36),'Resource Planner'!$E$36,"")</f>
        <v/>
      </c>
      <c r="F1324" s="163" t="str">
        <f>IF(AND('Resource Planner'!$A$36="☑",20&lt;='Resource Planner'!$N$36),'Resource Planner'!$F$36&amp;" "&amp;('Resource Planner'!$G$36+(20-1)*'Resource Planner'!$I$36)&amp;IF(('Resource Planner'!$G$36+(20-1)*'Resource Planner'!$I$36)=MIN('Resource Planner'!$G$36+20*'Resource Planner'!$I$36-1,'Resource Planner'!$H$36),"","–"&amp;MIN('Resource Planner'!$G$36+20*'Resource Planner'!$I$36-1,'Resource Planner'!$H$36)),"")</f>
        <v/>
      </c>
      <c r="G1324" s="163" t="s">
        <v>109</v>
      </c>
      <c r="H1324" s="163" t="str">
        <f>IF(AND('Resource Planner'!$A$36="☑",20&lt;='Resource Planner'!$N$36),'Resource Planner'!$M$36,"")</f>
        <v/>
      </c>
    </row>
    <row r="1325" ht="15.75" customHeight="1">
      <c r="A13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5" s="163" t="str">
        <f>IF(AND('Resource Planner'!$A$36="☑",21&lt;='Resource Planner'!$N$36),'Resource Planner'!$C$36,"")</f>
        <v/>
      </c>
      <c r="C1325" s="163" t="str">
        <f>IF(AND('Resource Planner'!$A$36="☑",21&lt;='Resource Planner'!$N$36),'Resource Planner'!$B$36,"")</f>
        <v/>
      </c>
      <c r="D1325" s="163" t="str">
        <f>IF(AND('Resource Planner'!$A$36="☑",21&lt;='Resource Planner'!$N$36),'Resource Planner'!$D$36,"")</f>
        <v/>
      </c>
      <c r="E1325" s="163" t="str">
        <f>IF(AND('Resource Planner'!$A$36="☑",21&lt;='Resource Planner'!$N$36),'Resource Planner'!$E$36,"")</f>
        <v/>
      </c>
      <c r="F1325" s="163" t="str">
        <f>IF(AND('Resource Planner'!$A$36="☑",21&lt;='Resource Planner'!$N$36),'Resource Planner'!$F$36&amp;" "&amp;('Resource Planner'!$G$36+(21-1)*'Resource Planner'!$I$36)&amp;IF(('Resource Planner'!$G$36+(21-1)*'Resource Planner'!$I$36)=MIN('Resource Planner'!$G$36+21*'Resource Planner'!$I$36-1,'Resource Planner'!$H$36),"","–"&amp;MIN('Resource Planner'!$G$36+21*'Resource Planner'!$I$36-1,'Resource Planner'!$H$36)),"")</f>
        <v/>
      </c>
      <c r="G1325" s="163" t="s">
        <v>109</v>
      </c>
      <c r="H1325" s="163" t="str">
        <f>IF(AND('Resource Planner'!$A$36="☑",21&lt;='Resource Planner'!$N$36),'Resource Planner'!$M$36,"")</f>
        <v/>
      </c>
    </row>
    <row r="1326" ht="15.75" customHeight="1">
      <c r="A13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6" s="163" t="str">
        <f>IF(AND('Resource Planner'!$A$36="☑",22&lt;='Resource Planner'!$N$36),'Resource Planner'!$C$36,"")</f>
        <v/>
      </c>
      <c r="C1326" s="163" t="str">
        <f>IF(AND('Resource Planner'!$A$36="☑",22&lt;='Resource Planner'!$N$36),'Resource Planner'!$B$36,"")</f>
        <v/>
      </c>
      <c r="D1326" s="163" t="str">
        <f>IF(AND('Resource Planner'!$A$36="☑",22&lt;='Resource Planner'!$N$36),'Resource Planner'!$D$36,"")</f>
        <v/>
      </c>
      <c r="E1326" s="163" t="str">
        <f>IF(AND('Resource Planner'!$A$36="☑",22&lt;='Resource Planner'!$N$36),'Resource Planner'!$E$36,"")</f>
        <v/>
      </c>
      <c r="F1326" s="163" t="str">
        <f>IF(AND('Resource Planner'!$A$36="☑",22&lt;='Resource Planner'!$N$36),'Resource Planner'!$F$36&amp;" "&amp;('Resource Planner'!$G$36+(22-1)*'Resource Planner'!$I$36)&amp;IF(('Resource Planner'!$G$36+(22-1)*'Resource Planner'!$I$36)=MIN('Resource Planner'!$G$36+22*'Resource Planner'!$I$36-1,'Resource Planner'!$H$36),"","–"&amp;MIN('Resource Planner'!$G$36+22*'Resource Planner'!$I$36-1,'Resource Planner'!$H$36)),"")</f>
        <v/>
      </c>
      <c r="G1326" s="163" t="s">
        <v>109</v>
      </c>
      <c r="H1326" s="163" t="str">
        <f>IF(AND('Resource Planner'!$A$36="☑",22&lt;='Resource Planner'!$N$36),'Resource Planner'!$M$36,"")</f>
        <v/>
      </c>
    </row>
    <row r="1327" ht="15.75" customHeight="1">
      <c r="A13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7" s="163" t="str">
        <f>IF(AND('Resource Planner'!$A$36="☑",23&lt;='Resource Planner'!$N$36),'Resource Planner'!$C$36,"")</f>
        <v/>
      </c>
      <c r="C1327" s="163" t="str">
        <f>IF(AND('Resource Planner'!$A$36="☑",23&lt;='Resource Planner'!$N$36),'Resource Planner'!$B$36,"")</f>
        <v/>
      </c>
      <c r="D1327" s="163" t="str">
        <f>IF(AND('Resource Planner'!$A$36="☑",23&lt;='Resource Planner'!$N$36),'Resource Planner'!$D$36,"")</f>
        <v/>
      </c>
      <c r="E1327" s="163" t="str">
        <f>IF(AND('Resource Planner'!$A$36="☑",23&lt;='Resource Planner'!$N$36),'Resource Planner'!$E$36,"")</f>
        <v/>
      </c>
      <c r="F1327" s="163" t="str">
        <f>IF(AND('Resource Planner'!$A$36="☑",23&lt;='Resource Planner'!$N$36),'Resource Planner'!$F$36&amp;" "&amp;('Resource Planner'!$G$36+(23-1)*'Resource Planner'!$I$36)&amp;IF(('Resource Planner'!$G$36+(23-1)*'Resource Planner'!$I$36)=MIN('Resource Planner'!$G$36+23*'Resource Planner'!$I$36-1,'Resource Planner'!$H$36),"","–"&amp;MIN('Resource Planner'!$G$36+23*'Resource Planner'!$I$36-1,'Resource Planner'!$H$36)),"")</f>
        <v/>
      </c>
      <c r="G1327" s="163" t="s">
        <v>109</v>
      </c>
      <c r="H1327" s="163" t="str">
        <f>IF(AND('Resource Planner'!$A$36="☑",23&lt;='Resource Planner'!$N$36),'Resource Planner'!$M$36,"")</f>
        <v/>
      </c>
    </row>
    <row r="1328" ht="15.75" customHeight="1">
      <c r="A13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8" s="163" t="str">
        <f>IF(AND('Resource Planner'!$A$36="☑",24&lt;='Resource Planner'!$N$36),'Resource Planner'!$C$36,"")</f>
        <v/>
      </c>
      <c r="C1328" s="163" t="str">
        <f>IF(AND('Resource Planner'!$A$36="☑",24&lt;='Resource Planner'!$N$36),'Resource Planner'!$B$36,"")</f>
        <v/>
      </c>
      <c r="D1328" s="163" t="str">
        <f>IF(AND('Resource Planner'!$A$36="☑",24&lt;='Resource Planner'!$N$36),'Resource Planner'!$D$36,"")</f>
        <v/>
      </c>
      <c r="E1328" s="163" t="str">
        <f>IF(AND('Resource Planner'!$A$36="☑",24&lt;='Resource Planner'!$N$36),'Resource Planner'!$E$36,"")</f>
        <v/>
      </c>
      <c r="F1328" s="163" t="str">
        <f>IF(AND('Resource Planner'!$A$36="☑",24&lt;='Resource Planner'!$N$36),'Resource Planner'!$F$36&amp;" "&amp;('Resource Planner'!$G$36+(24-1)*'Resource Planner'!$I$36)&amp;IF(('Resource Planner'!$G$36+(24-1)*'Resource Planner'!$I$36)=MIN('Resource Planner'!$G$36+24*'Resource Planner'!$I$36-1,'Resource Planner'!$H$36),"","–"&amp;MIN('Resource Planner'!$G$36+24*'Resource Planner'!$I$36-1,'Resource Planner'!$H$36)),"")</f>
        <v/>
      </c>
      <c r="G1328" s="163" t="s">
        <v>109</v>
      </c>
      <c r="H1328" s="163" t="str">
        <f>IF(AND('Resource Planner'!$A$36="☑",24&lt;='Resource Planner'!$N$36),'Resource Planner'!$M$36,"")</f>
        <v/>
      </c>
    </row>
    <row r="1329" ht="15.75" customHeight="1">
      <c r="A13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29" s="163" t="str">
        <f>IF(AND('Resource Planner'!$A$36="☑",25&lt;='Resource Planner'!$N$36),'Resource Planner'!$C$36,"")</f>
        <v/>
      </c>
      <c r="C1329" s="163" t="str">
        <f>IF(AND('Resource Planner'!$A$36="☑",25&lt;='Resource Planner'!$N$36),'Resource Planner'!$B$36,"")</f>
        <v/>
      </c>
      <c r="D1329" s="163" t="str">
        <f>IF(AND('Resource Planner'!$A$36="☑",25&lt;='Resource Planner'!$N$36),'Resource Planner'!$D$36,"")</f>
        <v/>
      </c>
      <c r="E1329" s="163" t="str">
        <f>IF(AND('Resource Planner'!$A$36="☑",25&lt;='Resource Planner'!$N$36),'Resource Planner'!$E$36,"")</f>
        <v/>
      </c>
      <c r="F1329" s="163" t="str">
        <f>IF(AND('Resource Planner'!$A$36="☑",25&lt;='Resource Planner'!$N$36),'Resource Planner'!$F$36&amp;" "&amp;('Resource Planner'!$G$36+(25-1)*'Resource Planner'!$I$36)&amp;IF(('Resource Planner'!$G$36+(25-1)*'Resource Planner'!$I$36)=MIN('Resource Planner'!$G$36+25*'Resource Planner'!$I$36-1,'Resource Planner'!$H$36),"","–"&amp;MIN('Resource Planner'!$G$36+25*'Resource Planner'!$I$36-1,'Resource Planner'!$H$36)),"")</f>
        <v/>
      </c>
      <c r="G1329" s="163" t="s">
        <v>109</v>
      </c>
      <c r="H1329" s="163" t="str">
        <f>IF(AND('Resource Planner'!$A$36="☑",25&lt;='Resource Planner'!$N$36),'Resource Planner'!$M$36,"")</f>
        <v/>
      </c>
    </row>
    <row r="1330" ht="15.75" customHeight="1">
      <c r="A13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0" s="163" t="str">
        <f>IF(AND('Resource Planner'!$A$36="☑",26&lt;='Resource Planner'!$N$36),'Resource Planner'!$C$36,"")</f>
        <v/>
      </c>
      <c r="C1330" s="163" t="str">
        <f>IF(AND('Resource Planner'!$A$36="☑",26&lt;='Resource Planner'!$N$36),'Resource Planner'!$B$36,"")</f>
        <v/>
      </c>
      <c r="D1330" s="163" t="str">
        <f>IF(AND('Resource Planner'!$A$36="☑",26&lt;='Resource Planner'!$N$36),'Resource Planner'!$D$36,"")</f>
        <v/>
      </c>
      <c r="E1330" s="163" t="str">
        <f>IF(AND('Resource Planner'!$A$36="☑",26&lt;='Resource Planner'!$N$36),'Resource Planner'!$E$36,"")</f>
        <v/>
      </c>
      <c r="F1330" s="163" t="str">
        <f>IF(AND('Resource Planner'!$A$36="☑",26&lt;='Resource Planner'!$N$36),'Resource Planner'!$F$36&amp;" "&amp;('Resource Planner'!$G$36+(26-1)*'Resource Planner'!$I$36)&amp;IF(('Resource Planner'!$G$36+(26-1)*'Resource Planner'!$I$36)=MIN('Resource Planner'!$G$36+26*'Resource Planner'!$I$36-1,'Resource Planner'!$H$36),"","–"&amp;MIN('Resource Planner'!$G$36+26*'Resource Planner'!$I$36-1,'Resource Planner'!$H$36)),"")</f>
        <v/>
      </c>
      <c r="G1330" s="163" t="s">
        <v>109</v>
      </c>
      <c r="H1330" s="163" t="str">
        <f>IF(AND('Resource Planner'!$A$36="☑",26&lt;='Resource Planner'!$N$36),'Resource Planner'!$M$36,"")</f>
        <v/>
      </c>
    </row>
    <row r="1331" ht="15.75" customHeight="1">
      <c r="A13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1" s="163" t="str">
        <f>IF(AND('Resource Planner'!$A$36="☑",27&lt;='Resource Planner'!$N$36),'Resource Planner'!$C$36,"")</f>
        <v/>
      </c>
      <c r="C1331" s="163" t="str">
        <f>IF(AND('Resource Planner'!$A$36="☑",27&lt;='Resource Planner'!$N$36),'Resource Planner'!$B$36,"")</f>
        <v/>
      </c>
      <c r="D1331" s="163" t="str">
        <f>IF(AND('Resource Planner'!$A$36="☑",27&lt;='Resource Planner'!$N$36),'Resource Planner'!$D$36,"")</f>
        <v/>
      </c>
      <c r="E1331" s="163" t="str">
        <f>IF(AND('Resource Planner'!$A$36="☑",27&lt;='Resource Planner'!$N$36),'Resource Planner'!$E$36,"")</f>
        <v/>
      </c>
      <c r="F1331" s="163" t="str">
        <f>IF(AND('Resource Planner'!$A$36="☑",27&lt;='Resource Planner'!$N$36),'Resource Planner'!$F$36&amp;" "&amp;('Resource Planner'!$G$36+(27-1)*'Resource Planner'!$I$36)&amp;IF(('Resource Planner'!$G$36+(27-1)*'Resource Planner'!$I$36)=MIN('Resource Planner'!$G$36+27*'Resource Planner'!$I$36-1,'Resource Planner'!$H$36),"","–"&amp;MIN('Resource Planner'!$G$36+27*'Resource Planner'!$I$36-1,'Resource Planner'!$H$36)),"")</f>
        <v/>
      </c>
      <c r="G1331" s="163" t="s">
        <v>109</v>
      </c>
      <c r="H1331" s="163" t="str">
        <f>IF(AND('Resource Planner'!$A$36="☑",27&lt;='Resource Planner'!$N$36),'Resource Planner'!$M$36,"")</f>
        <v/>
      </c>
    </row>
    <row r="1332" ht="15.75" customHeight="1">
      <c r="A13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2" s="163" t="str">
        <f>IF(AND('Resource Planner'!$A$36="☑",28&lt;='Resource Planner'!$N$36),'Resource Planner'!$C$36,"")</f>
        <v/>
      </c>
      <c r="C1332" s="163" t="str">
        <f>IF(AND('Resource Planner'!$A$36="☑",28&lt;='Resource Planner'!$N$36),'Resource Planner'!$B$36,"")</f>
        <v/>
      </c>
      <c r="D1332" s="163" t="str">
        <f>IF(AND('Resource Planner'!$A$36="☑",28&lt;='Resource Planner'!$N$36),'Resource Planner'!$D$36,"")</f>
        <v/>
      </c>
      <c r="E1332" s="163" t="str">
        <f>IF(AND('Resource Planner'!$A$36="☑",28&lt;='Resource Planner'!$N$36),'Resource Planner'!$E$36,"")</f>
        <v/>
      </c>
      <c r="F1332" s="163" t="str">
        <f>IF(AND('Resource Planner'!$A$36="☑",28&lt;='Resource Planner'!$N$36),'Resource Planner'!$F$36&amp;" "&amp;('Resource Planner'!$G$36+(28-1)*'Resource Planner'!$I$36)&amp;IF(('Resource Planner'!$G$36+(28-1)*'Resource Planner'!$I$36)=MIN('Resource Planner'!$G$36+28*'Resource Planner'!$I$36-1,'Resource Planner'!$H$36),"","–"&amp;MIN('Resource Planner'!$G$36+28*'Resource Planner'!$I$36-1,'Resource Planner'!$H$36)),"")</f>
        <v/>
      </c>
      <c r="G1332" s="163" t="s">
        <v>109</v>
      </c>
      <c r="H1332" s="163" t="str">
        <f>IF(AND('Resource Planner'!$A$36="☑",28&lt;='Resource Planner'!$N$36),'Resource Planner'!$M$36,"")</f>
        <v/>
      </c>
    </row>
    <row r="1333" ht="15.75" customHeight="1">
      <c r="A13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3" s="163" t="str">
        <f>IF(AND('Resource Planner'!$A$36="☑",29&lt;='Resource Planner'!$N$36),'Resource Planner'!$C$36,"")</f>
        <v/>
      </c>
      <c r="C1333" s="163" t="str">
        <f>IF(AND('Resource Planner'!$A$36="☑",29&lt;='Resource Planner'!$N$36),'Resource Planner'!$B$36,"")</f>
        <v/>
      </c>
      <c r="D1333" s="163" t="str">
        <f>IF(AND('Resource Planner'!$A$36="☑",29&lt;='Resource Planner'!$N$36),'Resource Planner'!$D$36,"")</f>
        <v/>
      </c>
      <c r="E1333" s="163" t="str">
        <f>IF(AND('Resource Planner'!$A$36="☑",29&lt;='Resource Planner'!$N$36),'Resource Planner'!$E$36,"")</f>
        <v/>
      </c>
      <c r="F1333" s="163" t="str">
        <f>IF(AND('Resource Planner'!$A$36="☑",29&lt;='Resource Planner'!$N$36),'Resource Planner'!$F$36&amp;" "&amp;('Resource Planner'!$G$36+(29-1)*'Resource Planner'!$I$36)&amp;IF(('Resource Planner'!$G$36+(29-1)*'Resource Planner'!$I$36)=MIN('Resource Planner'!$G$36+29*'Resource Planner'!$I$36-1,'Resource Planner'!$H$36),"","–"&amp;MIN('Resource Planner'!$G$36+29*'Resource Planner'!$I$36-1,'Resource Planner'!$H$36)),"")</f>
        <v/>
      </c>
      <c r="G1333" s="163" t="s">
        <v>109</v>
      </c>
      <c r="H1333" s="163" t="str">
        <f>IF(AND('Resource Planner'!$A$36="☑",29&lt;='Resource Planner'!$N$36),'Resource Planner'!$M$36,"")</f>
        <v/>
      </c>
    </row>
    <row r="1334" ht="15.75" customHeight="1">
      <c r="A13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4" s="163" t="str">
        <f>IF(AND('Resource Planner'!$A$36="☑",30&lt;='Resource Planner'!$N$36),'Resource Planner'!$C$36,"")</f>
        <v/>
      </c>
      <c r="C1334" s="163" t="str">
        <f>IF(AND('Resource Planner'!$A$36="☑",30&lt;='Resource Planner'!$N$36),'Resource Planner'!$B$36,"")</f>
        <v/>
      </c>
      <c r="D1334" s="163" t="str">
        <f>IF(AND('Resource Planner'!$A$36="☑",30&lt;='Resource Planner'!$N$36),'Resource Planner'!$D$36,"")</f>
        <v/>
      </c>
      <c r="E1334" s="163" t="str">
        <f>IF(AND('Resource Planner'!$A$36="☑",30&lt;='Resource Planner'!$N$36),'Resource Planner'!$E$36,"")</f>
        <v/>
      </c>
      <c r="F1334" s="163" t="str">
        <f>IF(AND('Resource Planner'!$A$36="☑",30&lt;='Resource Planner'!$N$36),'Resource Planner'!$F$36&amp;" "&amp;('Resource Planner'!$G$36+(30-1)*'Resource Planner'!$I$36)&amp;IF(('Resource Planner'!$G$36+(30-1)*'Resource Planner'!$I$36)=MIN('Resource Planner'!$G$36+30*'Resource Planner'!$I$36-1,'Resource Planner'!$H$36),"","–"&amp;MIN('Resource Planner'!$G$36+30*'Resource Planner'!$I$36-1,'Resource Planner'!$H$36)),"")</f>
        <v/>
      </c>
      <c r="G1334" s="163" t="s">
        <v>109</v>
      </c>
      <c r="H1334" s="163" t="str">
        <f>IF(AND('Resource Planner'!$A$36="☑",30&lt;='Resource Planner'!$N$36),'Resource Planner'!$M$36,"")</f>
        <v/>
      </c>
    </row>
    <row r="1335" ht="15.75" customHeight="1">
      <c r="A13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5" s="163" t="str">
        <f>IF(AND('Resource Planner'!$A$36="☑",31&lt;='Resource Planner'!$N$36),'Resource Planner'!$C$36,"")</f>
        <v/>
      </c>
      <c r="C1335" s="163" t="str">
        <f>IF(AND('Resource Planner'!$A$36="☑",31&lt;='Resource Planner'!$N$36),'Resource Planner'!$B$36,"")</f>
        <v/>
      </c>
      <c r="D1335" s="163" t="str">
        <f>IF(AND('Resource Planner'!$A$36="☑",31&lt;='Resource Planner'!$N$36),'Resource Planner'!$D$36,"")</f>
        <v/>
      </c>
      <c r="E1335" s="163" t="str">
        <f>IF(AND('Resource Planner'!$A$36="☑",31&lt;='Resource Planner'!$N$36),'Resource Planner'!$E$36,"")</f>
        <v/>
      </c>
      <c r="F1335" s="163" t="str">
        <f>IF(AND('Resource Planner'!$A$36="☑",31&lt;='Resource Planner'!$N$36),'Resource Planner'!$F$36&amp;" "&amp;('Resource Planner'!$G$36+(31-1)*'Resource Planner'!$I$36)&amp;IF(('Resource Planner'!$G$36+(31-1)*'Resource Planner'!$I$36)=MIN('Resource Planner'!$G$36+31*'Resource Planner'!$I$36-1,'Resource Planner'!$H$36),"","–"&amp;MIN('Resource Planner'!$G$36+31*'Resource Planner'!$I$36-1,'Resource Planner'!$H$36)),"")</f>
        <v/>
      </c>
      <c r="G1335" s="163" t="s">
        <v>109</v>
      </c>
      <c r="H1335" s="163" t="str">
        <f>IF(AND('Resource Planner'!$A$36="☑",31&lt;='Resource Planner'!$N$36),'Resource Planner'!$M$36,"")</f>
        <v/>
      </c>
    </row>
    <row r="1336" ht="15.75" customHeight="1">
      <c r="A13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6" s="163" t="str">
        <f>IF(AND('Resource Planner'!$A$36="☑",32&lt;='Resource Planner'!$N$36),'Resource Planner'!$C$36,"")</f>
        <v/>
      </c>
      <c r="C1336" s="163" t="str">
        <f>IF(AND('Resource Planner'!$A$36="☑",32&lt;='Resource Planner'!$N$36),'Resource Planner'!$B$36,"")</f>
        <v/>
      </c>
      <c r="D1336" s="163" t="str">
        <f>IF(AND('Resource Planner'!$A$36="☑",32&lt;='Resource Planner'!$N$36),'Resource Planner'!$D$36,"")</f>
        <v/>
      </c>
      <c r="E1336" s="163" t="str">
        <f>IF(AND('Resource Planner'!$A$36="☑",32&lt;='Resource Planner'!$N$36),'Resource Planner'!$E$36,"")</f>
        <v/>
      </c>
      <c r="F1336" s="163" t="str">
        <f>IF(AND('Resource Planner'!$A$36="☑",32&lt;='Resource Planner'!$N$36),'Resource Planner'!$F$36&amp;" "&amp;('Resource Planner'!$G$36+(32-1)*'Resource Planner'!$I$36)&amp;IF(('Resource Planner'!$G$36+(32-1)*'Resource Planner'!$I$36)=MIN('Resource Planner'!$G$36+32*'Resource Planner'!$I$36-1,'Resource Planner'!$H$36),"","–"&amp;MIN('Resource Planner'!$G$36+32*'Resource Planner'!$I$36-1,'Resource Planner'!$H$36)),"")</f>
        <v/>
      </c>
      <c r="G1336" s="163" t="s">
        <v>109</v>
      </c>
      <c r="H1336" s="163" t="str">
        <f>IF(AND('Resource Planner'!$A$36="☑",32&lt;='Resource Planner'!$N$36),'Resource Planner'!$M$36,"")</f>
        <v/>
      </c>
    </row>
    <row r="1337" ht="15.75" customHeight="1">
      <c r="A13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7" s="163" t="str">
        <f>IF(AND('Resource Planner'!$A$36="☑",33&lt;='Resource Planner'!$N$36),'Resource Planner'!$C$36,"")</f>
        <v/>
      </c>
      <c r="C1337" s="163" t="str">
        <f>IF(AND('Resource Planner'!$A$36="☑",33&lt;='Resource Planner'!$N$36),'Resource Planner'!$B$36,"")</f>
        <v/>
      </c>
      <c r="D1337" s="163" t="str">
        <f>IF(AND('Resource Planner'!$A$36="☑",33&lt;='Resource Planner'!$N$36),'Resource Planner'!$D$36,"")</f>
        <v/>
      </c>
      <c r="E1337" s="163" t="str">
        <f>IF(AND('Resource Planner'!$A$36="☑",33&lt;='Resource Planner'!$N$36),'Resource Planner'!$E$36,"")</f>
        <v/>
      </c>
      <c r="F1337" s="163" t="str">
        <f>IF(AND('Resource Planner'!$A$36="☑",33&lt;='Resource Planner'!$N$36),'Resource Planner'!$F$36&amp;" "&amp;('Resource Planner'!$G$36+(33-1)*'Resource Planner'!$I$36)&amp;IF(('Resource Planner'!$G$36+(33-1)*'Resource Planner'!$I$36)=MIN('Resource Planner'!$G$36+33*'Resource Planner'!$I$36-1,'Resource Planner'!$H$36),"","–"&amp;MIN('Resource Planner'!$G$36+33*'Resource Planner'!$I$36-1,'Resource Planner'!$H$36)),"")</f>
        <v/>
      </c>
      <c r="G1337" s="163" t="s">
        <v>109</v>
      </c>
      <c r="H1337" s="163" t="str">
        <f>IF(AND('Resource Planner'!$A$36="☑",33&lt;='Resource Planner'!$N$36),'Resource Planner'!$M$36,"")</f>
        <v/>
      </c>
    </row>
    <row r="1338" ht="15.75" customHeight="1">
      <c r="A13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8" s="163" t="str">
        <f>IF(AND('Resource Planner'!$A$36="☑",34&lt;='Resource Planner'!$N$36),'Resource Planner'!$C$36,"")</f>
        <v/>
      </c>
      <c r="C1338" s="163" t="str">
        <f>IF(AND('Resource Planner'!$A$36="☑",34&lt;='Resource Planner'!$N$36),'Resource Planner'!$B$36,"")</f>
        <v/>
      </c>
      <c r="D1338" s="163" t="str">
        <f>IF(AND('Resource Planner'!$A$36="☑",34&lt;='Resource Planner'!$N$36),'Resource Planner'!$D$36,"")</f>
        <v/>
      </c>
      <c r="E1338" s="163" t="str">
        <f>IF(AND('Resource Planner'!$A$36="☑",34&lt;='Resource Planner'!$N$36),'Resource Planner'!$E$36,"")</f>
        <v/>
      </c>
      <c r="F1338" s="163" t="str">
        <f>IF(AND('Resource Planner'!$A$36="☑",34&lt;='Resource Planner'!$N$36),'Resource Planner'!$F$36&amp;" "&amp;('Resource Planner'!$G$36+(34-1)*'Resource Planner'!$I$36)&amp;IF(('Resource Planner'!$G$36+(34-1)*'Resource Planner'!$I$36)=MIN('Resource Planner'!$G$36+34*'Resource Planner'!$I$36-1,'Resource Planner'!$H$36),"","–"&amp;MIN('Resource Planner'!$G$36+34*'Resource Planner'!$I$36-1,'Resource Planner'!$H$36)),"")</f>
        <v/>
      </c>
      <c r="G1338" s="163" t="s">
        <v>109</v>
      </c>
      <c r="H1338" s="163" t="str">
        <f>IF(AND('Resource Planner'!$A$36="☑",34&lt;='Resource Planner'!$N$36),'Resource Planner'!$M$36,"")</f>
        <v/>
      </c>
    </row>
    <row r="1339" ht="15.75" customHeight="1">
      <c r="A13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39" s="163" t="str">
        <f>IF(AND('Resource Planner'!$A$36="☑",35&lt;='Resource Planner'!$N$36),'Resource Planner'!$C$36,"")</f>
        <v/>
      </c>
      <c r="C1339" s="163" t="str">
        <f>IF(AND('Resource Planner'!$A$36="☑",35&lt;='Resource Planner'!$N$36),'Resource Planner'!$B$36,"")</f>
        <v/>
      </c>
      <c r="D1339" s="163" t="str">
        <f>IF(AND('Resource Planner'!$A$36="☑",35&lt;='Resource Planner'!$N$36),'Resource Planner'!$D$36,"")</f>
        <v/>
      </c>
      <c r="E1339" s="163" t="str">
        <f>IF(AND('Resource Planner'!$A$36="☑",35&lt;='Resource Planner'!$N$36),'Resource Planner'!$E$36,"")</f>
        <v/>
      </c>
      <c r="F1339" s="163" t="str">
        <f>IF(AND('Resource Planner'!$A$36="☑",35&lt;='Resource Planner'!$N$36),'Resource Planner'!$F$36&amp;" "&amp;('Resource Planner'!$G$36+(35-1)*'Resource Planner'!$I$36)&amp;IF(('Resource Planner'!$G$36+(35-1)*'Resource Planner'!$I$36)=MIN('Resource Planner'!$G$36+35*'Resource Planner'!$I$36-1,'Resource Planner'!$H$36),"","–"&amp;MIN('Resource Planner'!$G$36+35*'Resource Planner'!$I$36-1,'Resource Planner'!$H$36)),"")</f>
        <v/>
      </c>
      <c r="G1339" s="163" t="s">
        <v>109</v>
      </c>
      <c r="H1339" s="163" t="str">
        <f>IF(AND('Resource Planner'!$A$36="☑",35&lt;='Resource Planner'!$N$36),'Resource Planner'!$M$36,"")</f>
        <v/>
      </c>
    </row>
    <row r="1340" ht="15.75" customHeight="1">
      <c r="A13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0" s="163" t="str">
        <f>IF(AND('Resource Planner'!$A$36="☑",36&lt;='Resource Planner'!$N$36),'Resource Planner'!$C$36,"")</f>
        <v/>
      </c>
      <c r="C1340" s="163" t="str">
        <f>IF(AND('Resource Planner'!$A$36="☑",36&lt;='Resource Planner'!$N$36),'Resource Planner'!$B$36,"")</f>
        <v/>
      </c>
      <c r="D1340" s="163" t="str">
        <f>IF(AND('Resource Planner'!$A$36="☑",36&lt;='Resource Planner'!$N$36),'Resource Planner'!$D$36,"")</f>
        <v/>
      </c>
      <c r="E1340" s="163" t="str">
        <f>IF(AND('Resource Planner'!$A$36="☑",36&lt;='Resource Planner'!$N$36),'Resource Planner'!$E$36,"")</f>
        <v/>
      </c>
      <c r="F1340" s="163" t="str">
        <f>IF(AND('Resource Planner'!$A$36="☑",36&lt;='Resource Planner'!$N$36),'Resource Planner'!$F$36&amp;" "&amp;('Resource Planner'!$G$36+(36-1)*'Resource Planner'!$I$36)&amp;IF(('Resource Planner'!$G$36+(36-1)*'Resource Planner'!$I$36)=MIN('Resource Planner'!$G$36+36*'Resource Planner'!$I$36-1,'Resource Planner'!$H$36),"","–"&amp;MIN('Resource Planner'!$G$36+36*'Resource Planner'!$I$36-1,'Resource Planner'!$H$36)),"")</f>
        <v/>
      </c>
      <c r="G1340" s="163" t="s">
        <v>109</v>
      </c>
      <c r="H1340" s="163" t="str">
        <f>IF(AND('Resource Planner'!$A$36="☑",36&lt;='Resource Planner'!$N$36),'Resource Planner'!$M$36,"")</f>
        <v/>
      </c>
    </row>
    <row r="1341" ht="15.75" customHeight="1">
      <c r="A13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1" s="163" t="str">
        <f>IF(AND('Resource Planner'!$A$36="☑",37&lt;='Resource Planner'!$N$36),'Resource Planner'!$C$36,"")</f>
        <v/>
      </c>
      <c r="C1341" s="163" t="str">
        <f>IF(AND('Resource Planner'!$A$36="☑",37&lt;='Resource Planner'!$N$36),'Resource Planner'!$B$36,"")</f>
        <v/>
      </c>
      <c r="D1341" s="163" t="str">
        <f>IF(AND('Resource Planner'!$A$36="☑",37&lt;='Resource Planner'!$N$36),'Resource Planner'!$D$36,"")</f>
        <v/>
      </c>
      <c r="E1341" s="163" t="str">
        <f>IF(AND('Resource Planner'!$A$36="☑",37&lt;='Resource Planner'!$N$36),'Resource Planner'!$E$36,"")</f>
        <v/>
      </c>
      <c r="F1341" s="163" t="str">
        <f>IF(AND('Resource Planner'!$A$36="☑",37&lt;='Resource Planner'!$N$36),'Resource Planner'!$F$36&amp;" "&amp;('Resource Planner'!$G$36+(37-1)*'Resource Planner'!$I$36)&amp;IF(('Resource Planner'!$G$36+(37-1)*'Resource Planner'!$I$36)=MIN('Resource Planner'!$G$36+37*'Resource Planner'!$I$36-1,'Resource Planner'!$H$36),"","–"&amp;MIN('Resource Planner'!$G$36+37*'Resource Planner'!$I$36-1,'Resource Planner'!$H$36)),"")</f>
        <v/>
      </c>
      <c r="G1341" s="163" t="s">
        <v>109</v>
      </c>
      <c r="H1341" s="163" t="str">
        <f>IF(AND('Resource Planner'!$A$36="☑",37&lt;='Resource Planner'!$N$36),'Resource Planner'!$M$36,"")</f>
        <v/>
      </c>
    </row>
    <row r="1342" ht="15.75" customHeight="1">
      <c r="A13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2" s="163" t="str">
        <f>IF(AND('Resource Planner'!$A$36="☑",38&lt;='Resource Planner'!$N$36),'Resource Planner'!$C$36,"")</f>
        <v/>
      </c>
      <c r="C1342" s="163" t="str">
        <f>IF(AND('Resource Planner'!$A$36="☑",38&lt;='Resource Planner'!$N$36),'Resource Planner'!$B$36,"")</f>
        <v/>
      </c>
      <c r="D1342" s="163" t="str">
        <f>IF(AND('Resource Planner'!$A$36="☑",38&lt;='Resource Planner'!$N$36),'Resource Planner'!$D$36,"")</f>
        <v/>
      </c>
      <c r="E1342" s="163" t="str">
        <f>IF(AND('Resource Planner'!$A$36="☑",38&lt;='Resource Planner'!$N$36),'Resource Planner'!$E$36,"")</f>
        <v/>
      </c>
      <c r="F1342" s="163" t="str">
        <f>IF(AND('Resource Planner'!$A$36="☑",38&lt;='Resource Planner'!$N$36),'Resource Planner'!$F$36&amp;" "&amp;('Resource Planner'!$G$36+(38-1)*'Resource Planner'!$I$36)&amp;IF(('Resource Planner'!$G$36+(38-1)*'Resource Planner'!$I$36)=MIN('Resource Planner'!$G$36+38*'Resource Planner'!$I$36-1,'Resource Planner'!$H$36),"","–"&amp;MIN('Resource Planner'!$G$36+38*'Resource Planner'!$I$36-1,'Resource Planner'!$H$36)),"")</f>
        <v/>
      </c>
      <c r="G1342" s="163" t="s">
        <v>109</v>
      </c>
      <c r="H1342" s="163" t="str">
        <f>IF(AND('Resource Planner'!$A$36="☑",38&lt;='Resource Planner'!$N$36),'Resource Planner'!$M$36,"")</f>
        <v/>
      </c>
    </row>
    <row r="1343" ht="15.75" customHeight="1">
      <c r="A13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3" s="163" t="str">
        <f>IF(AND('Resource Planner'!$A$36="☑",39&lt;='Resource Planner'!$N$36),'Resource Planner'!$C$36,"")</f>
        <v/>
      </c>
      <c r="C1343" s="163" t="str">
        <f>IF(AND('Resource Planner'!$A$36="☑",39&lt;='Resource Planner'!$N$36),'Resource Planner'!$B$36,"")</f>
        <v/>
      </c>
      <c r="D1343" s="163" t="str">
        <f>IF(AND('Resource Planner'!$A$36="☑",39&lt;='Resource Planner'!$N$36),'Resource Planner'!$D$36,"")</f>
        <v/>
      </c>
      <c r="E1343" s="163" t="str">
        <f>IF(AND('Resource Planner'!$A$36="☑",39&lt;='Resource Planner'!$N$36),'Resource Planner'!$E$36,"")</f>
        <v/>
      </c>
      <c r="F1343" s="163" t="str">
        <f>IF(AND('Resource Planner'!$A$36="☑",39&lt;='Resource Planner'!$N$36),'Resource Planner'!$F$36&amp;" "&amp;('Resource Planner'!$G$36+(39-1)*'Resource Planner'!$I$36)&amp;IF(('Resource Planner'!$G$36+(39-1)*'Resource Planner'!$I$36)=MIN('Resource Planner'!$G$36+39*'Resource Planner'!$I$36-1,'Resource Planner'!$H$36),"","–"&amp;MIN('Resource Planner'!$G$36+39*'Resource Planner'!$I$36-1,'Resource Planner'!$H$36)),"")</f>
        <v/>
      </c>
      <c r="G1343" s="163" t="s">
        <v>109</v>
      </c>
      <c r="H1343" s="163" t="str">
        <f>IF(AND('Resource Planner'!$A$36="☑",39&lt;='Resource Planner'!$N$36),'Resource Planner'!$M$36,"")</f>
        <v/>
      </c>
    </row>
    <row r="1344" ht="15.75" customHeight="1">
      <c r="A13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4" s="163" t="str">
        <f>IF(AND('Resource Planner'!$A$36="☑",40&lt;='Resource Planner'!$N$36),'Resource Planner'!$C$36,"")</f>
        <v/>
      </c>
      <c r="C1344" s="163" t="str">
        <f>IF(AND('Resource Planner'!$A$36="☑",40&lt;='Resource Planner'!$N$36),'Resource Planner'!$B$36,"")</f>
        <v/>
      </c>
      <c r="D1344" s="163" t="str">
        <f>IF(AND('Resource Planner'!$A$36="☑",40&lt;='Resource Planner'!$N$36),'Resource Planner'!$D$36,"")</f>
        <v/>
      </c>
      <c r="E1344" s="163" t="str">
        <f>IF(AND('Resource Planner'!$A$36="☑",40&lt;='Resource Planner'!$N$36),'Resource Planner'!$E$36,"")</f>
        <v/>
      </c>
      <c r="F1344" s="163" t="str">
        <f>IF(AND('Resource Planner'!$A$36="☑",40&lt;='Resource Planner'!$N$36),'Resource Planner'!$F$36&amp;" "&amp;('Resource Planner'!$G$36+(40-1)*'Resource Planner'!$I$36)&amp;IF(('Resource Planner'!$G$36+(40-1)*'Resource Planner'!$I$36)=MIN('Resource Planner'!$G$36+40*'Resource Planner'!$I$36-1,'Resource Planner'!$H$36),"","–"&amp;MIN('Resource Planner'!$G$36+40*'Resource Planner'!$I$36-1,'Resource Planner'!$H$36)),"")</f>
        <v/>
      </c>
      <c r="G1344" s="163" t="s">
        <v>109</v>
      </c>
      <c r="H1344" s="163" t="str">
        <f>IF(AND('Resource Planner'!$A$36="☑",40&lt;='Resource Planner'!$N$36),'Resource Planner'!$M$36,"")</f>
        <v/>
      </c>
    </row>
    <row r="1345" ht="15.75" customHeight="1">
      <c r="A13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5" s="163" t="str">
        <f>IF(AND('Resource Planner'!$A$36="☑",41&lt;='Resource Planner'!$N$36),'Resource Planner'!$C$36,"")</f>
        <v/>
      </c>
      <c r="C1345" s="163" t="str">
        <f>IF(AND('Resource Planner'!$A$36="☑",41&lt;='Resource Planner'!$N$36),'Resource Planner'!$B$36,"")</f>
        <v/>
      </c>
      <c r="D1345" s="163" t="str">
        <f>IF(AND('Resource Planner'!$A$36="☑",41&lt;='Resource Planner'!$N$36),'Resource Planner'!$D$36,"")</f>
        <v/>
      </c>
      <c r="E1345" s="163" t="str">
        <f>IF(AND('Resource Planner'!$A$36="☑",41&lt;='Resource Planner'!$N$36),'Resource Planner'!$E$36,"")</f>
        <v/>
      </c>
      <c r="F1345" s="163" t="str">
        <f>IF(AND('Resource Planner'!$A$36="☑",41&lt;='Resource Planner'!$N$36),'Resource Planner'!$F$36&amp;" "&amp;('Resource Planner'!$G$36+(41-1)*'Resource Planner'!$I$36)&amp;IF(('Resource Planner'!$G$36+(41-1)*'Resource Planner'!$I$36)=MIN('Resource Planner'!$G$36+41*'Resource Planner'!$I$36-1,'Resource Planner'!$H$36),"","–"&amp;MIN('Resource Planner'!$G$36+41*'Resource Planner'!$I$36-1,'Resource Planner'!$H$36)),"")</f>
        <v/>
      </c>
      <c r="G1345" s="163" t="s">
        <v>109</v>
      </c>
      <c r="H1345" s="163" t="str">
        <f>IF(AND('Resource Planner'!$A$36="☑",41&lt;='Resource Planner'!$N$36),'Resource Planner'!$M$36,"")</f>
        <v/>
      </c>
    </row>
    <row r="1346" ht="15.75" customHeight="1">
      <c r="A13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6" s="163" t="str">
        <f>IF(AND('Resource Planner'!$A$36="☑",42&lt;='Resource Planner'!$N$36),'Resource Planner'!$C$36,"")</f>
        <v/>
      </c>
      <c r="C1346" s="163" t="str">
        <f>IF(AND('Resource Planner'!$A$36="☑",42&lt;='Resource Planner'!$N$36),'Resource Planner'!$B$36,"")</f>
        <v/>
      </c>
      <c r="D1346" s="163" t="str">
        <f>IF(AND('Resource Planner'!$A$36="☑",42&lt;='Resource Planner'!$N$36),'Resource Planner'!$D$36,"")</f>
        <v/>
      </c>
      <c r="E1346" s="163" t="str">
        <f>IF(AND('Resource Planner'!$A$36="☑",42&lt;='Resource Planner'!$N$36),'Resource Planner'!$E$36,"")</f>
        <v/>
      </c>
      <c r="F1346" s="163" t="str">
        <f>IF(AND('Resource Planner'!$A$36="☑",42&lt;='Resource Planner'!$N$36),'Resource Planner'!$F$36&amp;" "&amp;('Resource Planner'!$G$36+(42-1)*'Resource Planner'!$I$36)&amp;IF(('Resource Planner'!$G$36+(42-1)*'Resource Planner'!$I$36)=MIN('Resource Planner'!$G$36+42*'Resource Planner'!$I$36-1,'Resource Planner'!$H$36),"","–"&amp;MIN('Resource Planner'!$G$36+42*'Resource Planner'!$I$36-1,'Resource Planner'!$H$36)),"")</f>
        <v/>
      </c>
      <c r="G1346" s="163" t="s">
        <v>109</v>
      </c>
      <c r="H1346" s="163" t="str">
        <f>IF(AND('Resource Planner'!$A$36="☑",42&lt;='Resource Planner'!$N$36),'Resource Planner'!$M$36,"")</f>
        <v/>
      </c>
    </row>
    <row r="1347" ht="15.75" customHeight="1">
      <c r="A13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7" s="163" t="str">
        <f>IF(AND('Resource Planner'!$A$36="☑",43&lt;='Resource Planner'!$N$36),'Resource Planner'!$C$36,"")</f>
        <v/>
      </c>
      <c r="C1347" s="163" t="str">
        <f>IF(AND('Resource Planner'!$A$36="☑",43&lt;='Resource Planner'!$N$36),'Resource Planner'!$B$36,"")</f>
        <v/>
      </c>
      <c r="D1347" s="163" t="str">
        <f>IF(AND('Resource Planner'!$A$36="☑",43&lt;='Resource Planner'!$N$36),'Resource Planner'!$D$36,"")</f>
        <v/>
      </c>
      <c r="E1347" s="163" t="str">
        <f>IF(AND('Resource Planner'!$A$36="☑",43&lt;='Resource Planner'!$N$36),'Resource Planner'!$E$36,"")</f>
        <v/>
      </c>
      <c r="F1347" s="163" t="str">
        <f>IF(AND('Resource Planner'!$A$36="☑",43&lt;='Resource Planner'!$N$36),'Resource Planner'!$F$36&amp;" "&amp;('Resource Planner'!$G$36+(43-1)*'Resource Planner'!$I$36)&amp;IF(('Resource Planner'!$G$36+(43-1)*'Resource Planner'!$I$36)=MIN('Resource Planner'!$G$36+43*'Resource Planner'!$I$36-1,'Resource Planner'!$H$36),"","–"&amp;MIN('Resource Planner'!$G$36+43*'Resource Planner'!$I$36-1,'Resource Planner'!$H$36)),"")</f>
        <v/>
      </c>
      <c r="G1347" s="163" t="s">
        <v>109</v>
      </c>
      <c r="H1347" s="163" t="str">
        <f>IF(AND('Resource Planner'!$A$36="☑",43&lt;='Resource Planner'!$N$36),'Resource Planner'!$M$36,"")</f>
        <v/>
      </c>
    </row>
    <row r="1348" ht="15.75" customHeight="1">
      <c r="A13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8" s="163" t="str">
        <f>IF(AND('Resource Planner'!$A$36="☑",44&lt;='Resource Planner'!$N$36),'Resource Planner'!$C$36,"")</f>
        <v/>
      </c>
      <c r="C1348" s="163" t="str">
        <f>IF(AND('Resource Planner'!$A$36="☑",44&lt;='Resource Planner'!$N$36),'Resource Planner'!$B$36,"")</f>
        <v/>
      </c>
      <c r="D1348" s="163" t="str">
        <f>IF(AND('Resource Planner'!$A$36="☑",44&lt;='Resource Planner'!$N$36),'Resource Planner'!$D$36,"")</f>
        <v/>
      </c>
      <c r="E1348" s="163" t="str">
        <f>IF(AND('Resource Planner'!$A$36="☑",44&lt;='Resource Planner'!$N$36),'Resource Planner'!$E$36,"")</f>
        <v/>
      </c>
      <c r="F1348" s="163" t="str">
        <f>IF(AND('Resource Planner'!$A$36="☑",44&lt;='Resource Planner'!$N$36),'Resource Planner'!$F$36&amp;" "&amp;('Resource Planner'!$G$36+(44-1)*'Resource Planner'!$I$36)&amp;IF(('Resource Planner'!$G$36+(44-1)*'Resource Planner'!$I$36)=MIN('Resource Planner'!$G$36+44*'Resource Planner'!$I$36-1,'Resource Planner'!$H$36),"","–"&amp;MIN('Resource Planner'!$G$36+44*'Resource Planner'!$I$36-1,'Resource Planner'!$H$36)),"")</f>
        <v/>
      </c>
      <c r="G1348" s="163" t="s">
        <v>109</v>
      </c>
      <c r="H1348" s="163" t="str">
        <f>IF(AND('Resource Planner'!$A$36="☑",44&lt;='Resource Planner'!$N$36),'Resource Planner'!$M$36,"")</f>
        <v/>
      </c>
    </row>
    <row r="1349" ht="15.75" customHeight="1">
      <c r="A13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49" s="163" t="str">
        <f>IF(AND('Resource Planner'!$A$36="☑",45&lt;='Resource Planner'!$N$36),'Resource Planner'!$C$36,"")</f>
        <v/>
      </c>
      <c r="C1349" s="163" t="str">
        <f>IF(AND('Resource Planner'!$A$36="☑",45&lt;='Resource Planner'!$N$36),'Resource Planner'!$B$36,"")</f>
        <v/>
      </c>
      <c r="D1349" s="163" t="str">
        <f>IF(AND('Resource Planner'!$A$36="☑",45&lt;='Resource Planner'!$N$36),'Resource Planner'!$D$36,"")</f>
        <v/>
      </c>
      <c r="E1349" s="163" t="str">
        <f>IF(AND('Resource Planner'!$A$36="☑",45&lt;='Resource Planner'!$N$36),'Resource Planner'!$E$36,"")</f>
        <v/>
      </c>
      <c r="F1349" s="163" t="str">
        <f>IF(AND('Resource Planner'!$A$36="☑",45&lt;='Resource Planner'!$N$36),'Resource Planner'!$F$36&amp;" "&amp;('Resource Planner'!$G$36+(45-1)*'Resource Planner'!$I$36)&amp;IF(('Resource Planner'!$G$36+(45-1)*'Resource Planner'!$I$36)=MIN('Resource Planner'!$G$36+45*'Resource Planner'!$I$36-1,'Resource Planner'!$H$36),"","–"&amp;MIN('Resource Planner'!$G$36+45*'Resource Planner'!$I$36-1,'Resource Planner'!$H$36)),"")</f>
        <v/>
      </c>
      <c r="G1349" s="163" t="s">
        <v>109</v>
      </c>
      <c r="H1349" s="163" t="str">
        <f>IF(AND('Resource Planner'!$A$36="☑",45&lt;='Resource Planner'!$N$36),'Resource Planner'!$M$36,"")</f>
        <v/>
      </c>
    </row>
    <row r="1350" ht="15.75" customHeight="1">
      <c r="A13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0" s="163" t="str">
        <f>IF(AND('Resource Planner'!$A$36="☑",46&lt;='Resource Planner'!$N$36),'Resource Planner'!$C$36,"")</f>
        <v/>
      </c>
      <c r="C1350" s="163" t="str">
        <f>IF(AND('Resource Planner'!$A$36="☑",46&lt;='Resource Planner'!$N$36),'Resource Planner'!$B$36,"")</f>
        <v/>
      </c>
      <c r="D1350" s="163" t="str">
        <f>IF(AND('Resource Planner'!$A$36="☑",46&lt;='Resource Planner'!$N$36),'Resource Planner'!$D$36,"")</f>
        <v/>
      </c>
      <c r="E1350" s="163" t="str">
        <f>IF(AND('Resource Planner'!$A$36="☑",46&lt;='Resource Planner'!$N$36),'Resource Planner'!$E$36,"")</f>
        <v/>
      </c>
      <c r="F1350" s="163" t="str">
        <f>IF(AND('Resource Planner'!$A$36="☑",46&lt;='Resource Planner'!$N$36),'Resource Planner'!$F$36&amp;" "&amp;('Resource Planner'!$G$36+(46-1)*'Resource Planner'!$I$36)&amp;IF(('Resource Planner'!$G$36+(46-1)*'Resource Planner'!$I$36)=MIN('Resource Planner'!$G$36+46*'Resource Planner'!$I$36-1,'Resource Planner'!$H$36),"","–"&amp;MIN('Resource Planner'!$G$36+46*'Resource Planner'!$I$36-1,'Resource Planner'!$H$36)),"")</f>
        <v/>
      </c>
      <c r="G1350" s="163" t="s">
        <v>109</v>
      </c>
      <c r="H1350" s="163" t="str">
        <f>IF(AND('Resource Planner'!$A$36="☑",46&lt;='Resource Planner'!$N$36),'Resource Planner'!$M$36,"")</f>
        <v/>
      </c>
    </row>
    <row r="1351" ht="15.75" customHeight="1">
      <c r="A13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1" s="163" t="str">
        <f>IF(AND('Resource Planner'!$A$36="☑",47&lt;='Resource Planner'!$N$36),'Resource Planner'!$C$36,"")</f>
        <v/>
      </c>
      <c r="C1351" s="163" t="str">
        <f>IF(AND('Resource Planner'!$A$36="☑",47&lt;='Resource Planner'!$N$36),'Resource Planner'!$B$36,"")</f>
        <v/>
      </c>
      <c r="D1351" s="163" t="str">
        <f>IF(AND('Resource Planner'!$A$36="☑",47&lt;='Resource Planner'!$N$36),'Resource Planner'!$D$36,"")</f>
        <v/>
      </c>
      <c r="E1351" s="163" t="str">
        <f>IF(AND('Resource Planner'!$A$36="☑",47&lt;='Resource Planner'!$N$36),'Resource Planner'!$E$36,"")</f>
        <v/>
      </c>
      <c r="F1351" s="163" t="str">
        <f>IF(AND('Resource Planner'!$A$36="☑",47&lt;='Resource Planner'!$N$36),'Resource Planner'!$F$36&amp;" "&amp;('Resource Planner'!$G$36+(47-1)*'Resource Planner'!$I$36)&amp;IF(('Resource Planner'!$G$36+(47-1)*'Resource Planner'!$I$36)=MIN('Resource Planner'!$G$36+47*'Resource Planner'!$I$36-1,'Resource Planner'!$H$36),"","–"&amp;MIN('Resource Planner'!$G$36+47*'Resource Planner'!$I$36-1,'Resource Planner'!$H$36)),"")</f>
        <v/>
      </c>
      <c r="G1351" s="163" t="s">
        <v>109</v>
      </c>
      <c r="H1351" s="163" t="str">
        <f>IF(AND('Resource Planner'!$A$36="☑",47&lt;='Resource Planner'!$N$36),'Resource Planner'!$M$36,"")</f>
        <v/>
      </c>
    </row>
    <row r="1352" ht="15.75" customHeight="1">
      <c r="A13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2" s="163" t="str">
        <f>IF(AND('Resource Planner'!$A$36="☑",48&lt;='Resource Planner'!$N$36),'Resource Planner'!$C$36,"")</f>
        <v/>
      </c>
      <c r="C1352" s="163" t="str">
        <f>IF(AND('Resource Planner'!$A$36="☑",48&lt;='Resource Planner'!$N$36),'Resource Planner'!$B$36,"")</f>
        <v/>
      </c>
      <c r="D1352" s="163" t="str">
        <f>IF(AND('Resource Planner'!$A$36="☑",48&lt;='Resource Planner'!$N$36),'Resource Planner'!$D$36,"")</f>
        <v/>
      </c>
      <c r="E1352" s="163" t="str">
        <f>IF(AND('Resource Planner'!$A$36="☑",48&lt;='Resource Planner'!$N$36),'Resource Planner'!$E$36,"")</f>
        <v/>
      </c>
      <c r="F1352" s="163" t="str">
        <f>IF(AND('Resource Planner'!$A$36="☑",48&lt;='Resource Planner'!$N$36),'Resource Planner'!$F$36&amp;" "&amp;('Resource Planner'!$G$36+(48-1)*'Resource Planner'!$I$36)&amp;IF(('Resource Planner'!$G$36+(48-1)*'Resource Planner'!$I$36)=MIN('Resource Planner'!$G$36+48*'Resource Planner'!$I$36-1,'Resource Planner'!$H$36),"","–"&amp;MIN('Resource Planner'!$G$36+48*'Resource Planner'!$I$36-1,'Resource Planner'!$H$36)),"")</f>
        <v/>
      </c>
      <c r="G1352" s="163" t="s">
        <v>109</v>
      </c>
      <c r="H1352" s="163" t="str">
        <f>IF(AND('Resource Planner'!$A$36="☑",48&lt;='Resource Planner'!$N$36),'Resource Planner'!$M$36,"")</f>
        <v/>
      </c>
    </row>
    <row r="1353" ht="15.75" customHeight="1">
      <c r="A13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3" s="163" t="str">
        <f>IF(AND('Resource Planner'!$A$36="☑",49&lt;='Resource Planner'!$N$36),'Resource Planner'!$C$36,"")</f>
        <v/>
      </c>
      <c r="C1353" s="163" t="str">
        <f>IF(AND('Resource Planner'!$A$36="☑",49&lt;='Resource Planner'!$N$36),'Resource Planner'!$B$36,"")</f>
        <v/>
      </c>
      <c r="D1353" s="163" t="str">
        <f>IF(AND('Resource Planner'!$A$36="☑",49&lt;='Resource Planner'!$N$36),'Resource Planner'!$D$36,"")</f>
        <v/>
      </c>
      <c r="E1353" s="163" t="str">
        <f>IF(AND('Resource Planner'!$A$36="☑",49&lt;='Resource Planner'!$N$36),'Resource Planner'!$E$36,"")</f>
        <v/>
      </c>
      <c r="F1353" s="163" t="str">
        <f>IF(AND('Resource Planner'!$A$36="☑",49&lt;='Resource Planner'!$N$36),'Resource Planner'!$F$36&amp;" "&amp;('Resource Planner'!$G$36+(49-1)*'Resource Planner'!$I$36)&amp;IF(('Resource Planner'!$G$36+(49-1)*'Resource Planner'!$I$36)=MIN('Resource Planner'!$G$36+49*'Resource Planner'!$I$36-1,'Resource Planner'!$H$36),"","–"&amp;MIN('Resource Planner'!$G$36+49*'Resource Planner'!$I$36-1,'Resource Planner'!$H$36)),"")</f>
        <v/>
      </c>
      <c r="G1353" s="163" t="s">
        <v>109</v>
      </c>
      <c r="H1353" s="163" t="str">
        <f>IF(AND('Resource Planner'!$A$36="☑",49&lt;='Resource Planner'!$N$36),'Resource Planner'!$M$36,"")</f>
        <v/>
      </c>
    </row>
    <row r="1354" ht="15.75" customHeight="1">
      <c r="A13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4" s="163" t="str">
        <f>IF(AND('Resource Planner'!$A$36="☑",50&lt;='Resource Planner'!$N$36),'Resource Planner'!$C$36,"")</f>
        <v/>
      </c>
      <c r="C1354" s="163" t="str">
        <f>IF(AND('Resource Planner'!$A$36="☑",50&lt;='Resource Planner'!$N$36),'Resource Planner'!$B$36,"")</f>
        <v/>
      </c>
      <c r="D1354" s="163" t="str">
        <f>IF(AND('Resource Planner'!$A$36="☑",50&lt;='Resource Planner'!$N$36),'Resource Planner'!$D$36,"")</f>
        <v/>
      </c>
      <c r="E1354" s="163" t="str">
        <f>IF(AND('Resource Planner'!$A$36="☑",50&lt;='Resource Planner'!$N$36),'Resource Planner'!$E$36,"")</f>
        <v/>
      </c>
      <c r="F1354" s="163" t="str">
        <f>IF(AND('Resource Planner'!$A$36="☑",50&lt;='Resource Planner'!$N$36),'Resource Planner'!$F$36&amp;" "&amp;('Resource Planner'!$G$36+(50-1)*'Resource Planner'!$I$36)&amp;IF(('Resource Planner'!$G$36+(50-1)*'Resource Planner'!$I$36)=MIN('Resource Planner'!$G$36+50*'Resource Planner'!$I$36-1,'Resource Planner'!$H$36),"","–"&amp;MIN('Resource Planner'!$G$36+50*'Resource Planner'!$I$36-1,'Resource Planner'!$H$36)),"")</f>
        <v/>
      </c>
      <c r="G1354" s="163" t="s">
        <v>109</v>
      </c>
      <c r="H1354" s="163" t="str">
        <f>IF(AND('Resource Planner'!$A$36="☑",50&lt;='Resource Planner'!$N$36),'Resource Planner'!$M$36,"")</f>
        <v/>
      </c>
    </row>
    <row r="1355" ht="15.75" customHeight="1">
      <c r="A13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5" s="163" t="str">
        <f>IF(AND('Resource Planner'!$A$37="☑",1&lt;='Resource Planner'!$N$37),'Resource Planner'!$C$37,"")</f>
        <v/>
      </c>
      <c r="C1355" s="163" t="str">
        <f>IF(AND('Resource Planner'!$A$37="☑",1&lt;='Resource Planner'!$N$37),'Resource Planner'!$B$37,"")</f>
        <v/>
      </c>
      <c r="D1355" s="163" t="str">
        <f>IF(AND('Resource Planner'!$A$37="☑",1&lt;='Resource Planner'!$N$37),'Resource Planner'!$D$37,"")</f>
        <v/>
      </c>
      <c r="E1355" s="163" t="str">
        <f>IF(AND('Resource Planner'!$A$37="☑",1&lt;='Resource Planner'!$N$37),'Resource Planner'!$E$37,"")</f>
        <v/>
      </c>
      <c r="F1355" s="163" t="str">
        <f>IF(AND('Resource Planner'!$A$37="☑",1&lt;='Resource Planner'!$N$37),'Resource Planner'!$F$37&amp;" "&amp;('Resource Planner'!$G$37+(1-1)*'Resource Planner'!$I$37)&amp;IF(('Resource Planner'!$G$37+(1-1)*'Resource Planner'!$I$37)=MIN('Resource Planner'!$G$37+1*'Resource Planner'!$I$37-1,'Resource Planner'!$H$37),"","–"&amp;MIN('Resource Planner'!$G$37+1*'Resource Planner'!$I$37-1,'Resource Planner'!$H$37)),"")</f>
        <v/>
      </c>
      <c r="G1355" s="163" t="s">
        <v>109</v>
      </c>
      <c r="H1355" s="163" t="str">
        <f>IF(AND('Resource Planner'!$A$37="☑",1&lt;='Resource Planner'!$N$37),'Resource Planner'!$M$37,"")</f>
        <v/>
      </c>
    </row>
    <row r="1356" ht="15.75" customHeight="1">
      <c r="A13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6" s="163" t="str">
        <f>IF(AND('Resource Planner'!$A$37="☑",2&lt;='Resource Planner'!$N$37),'Resource Planner'!$C$37,"")</f>
        <v/>
      </c>
      <c r="C1356" s="163" t="str">
        <f>IF(AND('Resource Planner'!$A$37="☑",2&lt;='Resource Planner'!$N$37),'Resource Planner'!$B$37,"")</f>
        <v/>
      </c>
      <c r="D1356" s="163" t="str">
        <f>IF(AND('Resource Planner'!$A$37="☑",2&lt;='Resource Planner'!$N$37),'Resource Planner'!$D$37,"")</f>
        <v/>
      </c>
      <c r="E1356" s="163" t="str">
        <f>IF(AND('Resource Planner'!$A$37="☑",2&lt;='Resource Planner'!$N$37),'Resource Planner'!$E$37,"")</f>
        <v/>
      </c>
      <c r="F1356" s="163" t="str">
        <f>IF(AND('Resource Planner'!$A$37="☑",2&lt;='Resource Planner'!$N$37),'Resource Planner'!$F$37&amp;" "&amp;('Resource Planner'!$G$37+(2-1)*'Resource Planner'!$I$37)&amp;IF(('Resource Planner'!$G$37+(2-1)*'Resource Planner'!$I$37)=MIN('Resource Planner'!$G$37+2*'Resource Planner'!$I$37-1,'Resource Planner'!$H$37),"","–"&amp;MIN('Resource Planner'!$G$37+2*'Resource Planner'!$I$37-1,'Resource Planner'!$H$37)),"")</f>
        <v/>
      </c>
      <c r="G1356" s="163" t="s">
        <v>109</v>
      </c>
      <c r="H1356" s="163" t="str">
        <f>IF(AND('Resource Planner'!$A$37="☑",2&lt;='Resource Planner'!$N$37),'Resource Planner'!$M$37,"")</f>
        <v/>
      </c>
    </row>
    <row r="1357" ht="15.75" customHeight="1">
      <c r="A13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7" s="163" t="str">
        <f>IF(AND('Resource Planner'!$A$37="☑",3&lt;='Resource Planner'!$N$37),'Resource Planner'!$C$37,"")</f>
        <v/>
      </c>
      <c r="C1357" s="163" t="str">
        <f>IF(AND('Resource Planner'!$A$37="☑",3&lt;='Resource Planner'!$N$37),'Resource Planner'!$B$37,"")</f>
        <v/>
      </c>
      <c r="D1357" s="163" t="str">
        <f>IF(AND('Resource Planner'!$A$37="☑",3&lt;='Resource Planner'!$N$37),'Resource Planner'!$D$37,"")</f>
        <v/>
      </c>
      <c r="E1357" s="163" t="str">
        <f>IF(AND('Resource Planner'!$A$37="☑",3&lt;='Resource Planner'!$N$37),'Resource Planner'!$E$37,"")</f>
        <v/>
      </c>
      <c r="F1357" s="163" t="str">
        <f>IF(AND('Resource Planner'!$A$37="☑",3&lt;='Resource Planner'!$N$37),'Resource Planner'!$F$37&amp;" "&amp;('Resource Planner'!$G$37+(3-1)*'Resource Planner'!$I$37)&amp;IF(('Resource Planner'!$G$37+(3-1)*'Resource Planner'!$I$37)=MIN('Resource Planner'!$G$37+3*'Resource Planner'!$I$37-1,'Resource Planner'!$H$37),"","–"&amp;MIN('Resource Planner'!$G$37+3*'Resource Planner'!$I$37-1,'Resource Planner'!$H$37)),"")</f>
        <v/>
      </c>
      <c r="G1357" s="163" t="s">
        <v>109</v>
      </c>
      <c r="H1357" s="163" t="str">
        <f>IF(AND('Resource Planner'!$A$37="☑",3&lt;='Resource Planner'!$N$37),'Resource Planner'!$M$37,"")</f>
        <v/>
      </c>
    </row>
    <row r="1358" ht="15.75" customHeight="1">
      <c r="A13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8" s="163" t="str">
        <f>IF(AND('Resource Planner'!$A$37="☑",4&lt;='Resource Planner'!$N$37),'Resource Planner'!$C$37,"")</f>
        <v/>
      </c>
      <c r="C1358" s="163" t="str">
        <f>IF(AND('Resource Planner'!$A$37="☑",4&lt;='Resource Planner'!$N$37),'Resource Planner'!$B$37,"")</f>
        <v/>
      </c>
      <c r="D1358" s="163" t="str">
        <f>IF(AND('Resource Planner'!$A$37="☑",4&lt;='Resource Planner'!$N$37),'Resource Planner'!$D$37,"")</f>
        <v/>
      </c>
      <c r="E1358" s="163" t="str">
        <f>IF(AND('Resource Planner'!$A$37="☑",4&lt;='Resource Planner'!$N$37),'Resource Planner'!$E$37,"")</f>
        <v/>
      </c>
      <c r="F1358" s="163" t="str">
        <f>IF(AND('Resource Planner'!$A$37="☑",4&lt;='Resource Planner'!$N$37),'Resource Planner'!$F$37&amp;" "&amp;('Resource Planner'!$G$37+(4-1)*'Resource Planner'!$I$37)&amp;IF(('Resource Planner'!$G$37+(4-1)*'Resource Planner'!$I$37)=MIN('Resource Planner'!$G$37+4*'Resource Planner'!$I$37-1,'Resource Planner'!$H$37),"","–"&amp;MIN('Resource Planner'!$G$37+4*'Resource Planner'!$I$37-1,'Resource Planner'!$H$37)),"")</f>
        <v/>
      </c>
      <c r="G1358" s="163" t="s">
        <v>109</v>
      </c>
      <c r="H1358" s="163" t="str">
        <f>IF(AND('Resource Planner'!$A$37="☑",4&lt;='Resource Planner'!$N$37),'Resource Planner'!$M$37,"")</f>
        <v/>
      </c>
    </row>
    <row r="1359" ht="15.75" customHeight="1">
      <c r="A13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59" s="163" t="str">
        <f>IF(AND('Resource Planner'!$A$37="☑",5&lt;='Resource Planner'!$N$37),'Resource Planner'!$C$37,"")</f>
        <v/>
      </c>
      <c r="C1359" s="163" t="str">
        <f>IF(AND('Resource Planner'!$A$37="☑",5&lt;='Resource Planner'!$N$37),'Resource Planner'!$B$37,"")</f>
        <v/>
      </c>
      <c r="D1359" s="163" t="str">
        <f>IF(AND('Resource Planner'!$A$37="☑",5&lt;='Resource Planner'!$N$37),'Resource Planner'!$D$37,"")</f>
        <v/>
      </c>
      <c r="E1359" s="163" t="str">
        <f>IF(AND('Resource Planner'!$A$37="☑",5&lt;='Resource Planner'!$N$37),'Resource Planner'!$E$37,"")</f>
        <v/>
      </c>
      <c r="F1359" s="163" t="str">
        <f>IF(AND('Resource Planner'!$A$37="☑",5&lt;='Resource Planner'!$N$37),'Resource Planner'!$F$37&amp;" "&amp;('Resource Planner'!$G$37+(5-1)*'Resource Planner'!$I$37)&amp;IF(('Resource Planner'!$G$37+(5-1)*'Resource Planner'!$I$37)=MIN('Resource Planner'!$G$37+5*'Resource Planner'!$I$37-1,'Resource Planner'!$H$37),"","–"&amp;MIN('Resource Planner'!$G$37+5*'Resource Planner'!$I$37-1,'Resource Planner'!$H$37)),"")</f>
        <v/>
      </c>
      <c r="G1359" s="163" t="s">
        <v>109</v>
      </c>
      <c r="H1359" s="163" t="str">
        <f>IF(AND('Resource Planner'!$A$37="☑",5&lt;='Resource Planner'!$N$37),'Resource Planner'!$M$37,"")</f>
        <v/>
      </c>
    </row>
    <row r="1360" ht="15.75" customHeight="1">
      <c r="A13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0" s="163" t="str">
        <f>IF(AND('Resource Planner'!$A$37="☑",6&lt;='Resource Planner'!$N$37),'Resource Planner'!$C$37,"")</f>
        <v/>
      </c>
      <c r="C1360" s="163" t="str">
        <f>IF(AND('Resource Planner'!$A$37="☑",6&lt;='Resource Planner'!$N$37),'Resource Planner'!$B$37,"")</f>
        <v/>
      </c>
      <c r="D1360" s="163" t="str">
        <f>IF(AND('Resource Planner'!$A$37="☑",6&lt;='Resource Planner'!$N$37),'Resource Planner'!$D$37,"")</f>
        <v/>
      </c>
      <c r="E1360" s="163" t="str">
        <f>IF(AND('Resource Planner'!$A$37="☑",6&lt;='Resource Planner'!$N$37),'Resource Planner'!$E$37,"")</f>
        <v/>
      </c>
      <c r="F1360" s="163" t="str">
        <f>IF(AND('Resource Planner'!$A$37="☑",6&lt;='Resource Planner'!$N$37),'Resource Planner'!$F$37&amp;" "&amp;('Resource Planner'!$G$37+(6-1)*'Resource Planner'!$I$37)&amp;IF(('Resource Planner'!$G$37+(6-1)*'Resource Planner'!$I$37)=MIN('Resource Planner'!$G$37+6*'Resource Planner'!$I$37-1,'Resource Planner'!$H$37),"","–"&amp;MIN('Resource Planner'!$G$37+6*'Resource Planner'!$I$37-1,'Resource Planner'!$H$37)),"")</f>
        <v/>
      </c>
      <c r="G1360" s="163" t="s">
        <v>109</v>
      </c>
      <c r="H1360" s="163" t="str">
        <f>IF(AND('Resource Planner'!$A$37="☑",6&lt;='Resource Planner'!$N$37),'Resource Planner'!$M$37,"")</f>
        <v/>
      </c>
    </row>
    <row r="1361" ht="15.75" customHeight="1">
      <c r="A13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1" s="163" t="str">
        <f>IF(AND('Resource Planner'!$A$37="☑",7&lt;='Resource Planner'!$N$37),'Resource Planner'!$C$37,"")</f>
        <v/>
      </c>
      <c r="C1361" s="163" t="str">
        <f>IF(AND('Resource Planner'!$A$37="☑",7&lt;='Resource Planner'!$N$37),'Resource Planner'!$B$37,"")</f>
        <v/>
      </c>
      <c r="D1361" s="163" t="str">
        <f>IF(AND('Resource Planner'!$A$37="☑",7&lt;='Resource Planner'!$N$37),'Resource Planner'!$D$37,"")</f>
        <v/>
      </c>
      <c r="E1361" s="163" t="str">
        <f>IF(AND('Resource Planner'!$A$37="☑",7&lt;='Resource Planner'!$N$37),'Resource Planner'!$E$37,"")</f>
        <v/>
      </c>
      <c r="F1361" s="163" t="str">
        <f>IF(AND('Resource Planner'!$A$37="☑",7&lt;='Resource Planner'!$N$37),'Resource Planner'!$F$37&amp;" "&amp;('Resource Planner'!$G$37+(7-1)*'Resource Planner'!$I$37)&amp;IF(('Resource Planner'!$G$37+(7-1)*'Resource Planner'!$I$37)=MIN('Resource Planner'!$G$37+7*'Resource Planner'!$I$37-1,'Resource Planner'!$H$37),"","–"&amp;MIN('Resource Planner'!$G$37+7*'Resource Planner'!$I$37-1,'Resource Planner'!$H$37)),"")</f>
        <v/>
      </c>
      <c r="G1361" s="163" t="s">
        <v>109</v>
      </c>
      <c r="H1361" s="163" t="str">
        <f>IF(AND('Resource Planner'!$A$37="☑",7&lt;='Resource Planner'!$N$37),'Resource Planner'!$M$37,"")</f>
        <v/>
      </c>
    </row>
    <row r="1362" ht="15.75" customHeight="1">
      <c r="A13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2" s="163" t="str">
        <f>IF(AND('Resource Planner'!$A$37="☑",8&lt;='Resource Planner'!$N$37),'Resource Planner'!$C$37,"")</f>
        <v/>
      </c>
      <c r="C1362" s="163" t="str">
        <f>IF(AND('Resource Planner'!$A$37="☑",8&lt;='Resource Planner'!$N$37),'Resource Planner'!$B$37,"")</f>
        <v/>
      </c>
      <c r="D1362" s="163" t="str">
        <f>IF(AND('Resource Planner'!$A$37="☑",8&lt;='Resource Planner'!$N$37),'Resource Planner'!$D$37,"")</f>
        <v/>
      </c>
      <c r="E1362" s="163" t="str">
        <f>IF(AND('Resource Planner'!$A$37="☑",8&lt;='Resource Planner'!$N$37),'Resource Planner'!$E$37,"")</f>
        <v/>
      </c>
      <c r="F1362" s="163" t="str">
        <f>IF(AND('Resource Planner'!$A$37="☑",8&lt;='Resource Planner'!$N$37),'Resource Planner'!$F$37&amp;" "&amp;('Resource Planner'!$G$37+(8-1)*'Resource Planner'!$I$37)&amp;IF(('Resource Planner'!$G$37+(8-1)*'Resource Planner'!$I$37)=MIN('Resource Planner'!$G$37+8*'Resource Planner'!$I$37-1,'Resource Planner'!$H$37),"","–"&amp;MIN('Resource Planner'!$G$37+8*'Resource Planner'!$I$37-1,'Resource Planner'!$H$37)),"")</f>
        <v/>
      </c>
      <c r="G1362" s="163" t="s">
        <v>109</v>
      </c>
      <c r="H1362" s="163" t="str">
        <f>IF(AND('Resource Planner'!$A$37="☑",8&lt;='Resource Planner'!$N$37),'Resource Planner'!$M$37,"")</f>
        <v/>
      </c>
    </row>
    <row r="1363" ht="15.75" customHeight="1">
      <c r="A13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3" s="163" t="str">
        <f>IF(AND('Resource Planner'!$A$37="☑",9&lt;='Resource Planner'!$N$37),'Resource Planner'!$C$37,"")</f>
        <v/>
      </c>
      <c r="C1363" s="163" t="str">
        <f>IF(AND('Resource Planner'!$A$37="☑",9&lt;='Resource Planner'!$N$37),'Resource Planner'!$B$37,"")</f>
        <v/>
      </c>
      <c r="D1363" s="163" t="str">
        <f>IF(AND('Resource Planner'!$A$37="☑",9&lt;='Resource Planner'!$N$37),'Resource Planner'!$D$37,"")</f>
        <v/>
      </c>
      <c r="E1363" s="163" t="str">
        <f>IF(AND('Resource Planner'!$A$37="☑",9&lt;='Resource Planner'!$N$37),'Resource Planner'!$E$37,"")</f>
        <v/>
      </c>
      <c r="F1363" s="163" t="str">
        <f>IF(AND('Resource Planner'!$A$37="☑",9&lt;='Resource Planner'!$N$37),'Resource Planner'!$F$37&amp;" "&amp;('Resource Planner'!$G$37+(9-1)*'Resource Planner'!$I$37)&amp;IF(('Resource Planner'!$G$37+(9-1)*'Resource Planner'!$I$37)=MIN('Resource Planner'!$G$37+9*'Resource Planner'!$I$37-1,'Resource Planner'!$H$37),"","–"&amp;MIN('Resource Planner'!$G$37+9*'Resource Planner'!$I$37-1,'Resource Planner'!$H$37)),"")</f>
        <v/>
      </c>
      <c r="G1363" s="163" t="s">
        <v>109</v>
      </c>
      <c r="H1363" s="163" t="str">
        <f>IF(AND('Resource Planner'!$A$37="☑",9&lt;='Resource Planner'!$N$37),'Resource Planner'!$M$37,"")</f>
        <v/>
      </c>
    </row>
    <row r="1364" ht="15.75" customHeight="1">
      <c r="A13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4" s="163" t="str">
        <f>IF(AND('Resource Planner'!$A$37="☑",10&lt;='Resource Planner'!$N$37),'Resource Planner'!$C$37,"")</f>
        <v/>
      </c>
      <c r="C1364" s="163" t="str">
        <f>IF(AND('Resource Planner'!$A$37="☑",10&lt;='Resource Planner'!$N$37),'Resource Planner'!$B$37,"")</f>
        <v/>
      </c>
      <c r="D1364" s="163" t="str">
        <f>IF(AND('Resource Planner'!$A$37="☑",10&lt;='Resource Planner'!$N$37),'Resource Planner'!$D$37,"")</f>
        <v/>
      </c>
      <c r="E1364" s="163" t="str">
        <f>IF(AND('Resource Planner'!$A$37="☑",10&lt;='Resource Planner'!$N$37),'Resource Planner'!$E$37,"")</f>
        <v/>
      </c>
      <c r="F1364" s="163" t="str">
        <f>IF(AND('Resource Planner'!$A$37="☑",10&lt;='Resource Planner'!$N$37),'Resource Planner'!$F$37&amp;" "&amp;('Resource Planner'!$G$37+(10-1)*'Resource Planner'!$I$37)&amp;IF(('Resource Planner'!$G$37+(10-1)*'Resource Planner'!$I$37)=MIN('Resource Planner'!$G$37+10*'Resource Planner'!$I$37-1,'Resource Planner'!$H$37),"","–"&amp;MIN('Resource Planner'!$G$37+10*'Resource Planner'!$I$37-1,'Resource Planner'!$H$37)),"")</f>
        <v/>
      </c>
      <c r="G1364" s="163" t="s">
        <v>109</v>
      </c>
      <c r="H1364" s="163" t="str">
        <f>IF(AND('Resource Planner'!$A$37="☑",10&lt;='Resource Planner'!$N$37),'Resource Planner'!$M$37,"")</f>
        <v/>
      </c>
    </row>
    <row r="1365" ht="15.75" customHeight="1">
      <c r="A13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5" s="163" t="str">
        <f>IF(AND('Resource Planner'!$A$37="☑",11&lt;='Resource Planner'!$N$37),'Resource Planner'!$C$37,"")</f>
        <v/>
      </c>
      <c r="C1365" s="163" t="str">
        <f>IF(AND('Resource Planner'!$A$37="☑",11&lt;='Resource Planner'!$N$37),'Resource Planner'!$B$37,"")</f>
        <v/>
      </c>
      <c r="D1365" s="163" t="str">
        <f>IF(AND('Resource Planner'!$A$37="☑",11&lt;='Resource Planner'!$N$37),'Resource Planner'!$D$37,"")</f>
        <v/>
      </c>
      <c r="E1365" s="163" t="str">
        <f>IF(AND('Resource Planner'!$A$37="☑",11&lt;='Resource Planner'!$N$37),'Resource Planner'!$E$37,"")</f>
        <v/>
      </c>
      <c r="F1365" s="163" t="str">
        <f>IF(AND('Resource Planner'!$A$37="☑",11&lt;='Resource Planner'!$N$37),'Resource Planner'!$F$37&amp;" "&amp;('Resource Planner'!$G$37+(11-1)*'Resource Planner'!$I$37)&amp;IF(('Resource Planner'!$G$37+(11-1)*'Resource Planner'!$I$37)=MIN('Resource Planner'!$G$37+11*'Resource Planner'!$I$37-1,'Resource Planner'!$H$37),"","–"&amp;MIN('Resource Planner'!$G$37+11*'Resource Planner'!$I$37-1,'Resource Planner'!$H$37)),"")</f>
        <v/>
      </c>
      <c r="G1365" s="163" t="s">
        <v>109</v>
      </c>
      <c r="H1365" s="163" t="str">
        <f>IF(AND('Resource Planner'!$A$37="☑",11&lt;='Resource Planner'!$N$37),'Resource Planner'!$M$37,"")</f>
        <v/>
      </c>
    </row>
    <row r="1366" ht="15.75" customHeight="1">
      <c r="A13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6" s="163" t="str">
        <f>IF(AND('Resource Planner'!$A$37="☑",12&lt;='Resource Planner'!$N$37),'Resource Planner'!$C$37,"")</f>
        <v/>
      </c>
      <c r="C1366" s="163" t="str">
        <f>IF(AND('Resource Planner'!$A$37="☑",12&lt;='Resource Planner'!$N$37),'Resource Planner'!$B$37,"")</f>
        <v/>
      </c>
      <c r="D1366" s="163" t="str">
        <f>IF(AND('Resource Planner'!$A$37="☑",12&lt;='Resource Planner'!$N$37),'Resource Planner'!$D$37,"")</f>
        <v/>
      </c>
      <c r="E1366" s="163" t="str">
        <f>IF(AND('Resource Planner'!$A$37="☑",12&lt;='Resource Planner'!$N$37),'Resource Planner'!$E$37,"")</f>
        <v/>
      </c>
      <c r="F1366" s="163" t="str">
        <f>IF(AND('Resource Planner'!$A$37="☑",12&lt;='Resource Planner'!$N$37),'Resource Planner'!$F$37&amp;" "&amp;('Resource Planner'!$G$37+(12-1)*'Resource Planner'!$I$37)&amp;IF(('Resource Planner'!$G$37+(12-1)*'Resource Planner'!$I$37)=MIN('Resource Planner'!$G$37+12*'Resource Planner'!$I$37-1,'Resource Planner'!$H$37),"","–"&amp;MIN('Resource Planner'!$G$37+12*'Resource Planner'!$I$37-1,'Resource Planner'!$H$37)),"")</f>
        <v/>
      </c>
      <c r="G1366" s="163" t="s">
        <v>109</v>
      </c>
      <c r="H1366" s="163" t="str">
        <f>IF(AND('Resource Planner'!$A$37="☑",12&lt;='Resource Planner'!$N$37),'Resource Planner'!$M$37,"")</f>
        <v/>
      </c>
    </row>
    <row r="1367" ht="15.75" customHeight="1">
      <c r="A13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7" s="163" t="str">
        <f>IF(AND('Resource Planner'!$A$37="☑",13&lt;='Resource Planner'!$N$37),'Resource Planner'!$C$37,"")</f>
        <v/>
      </c>
      <c r="C1367" s="163" t="str">
        <f>IF(AND('Resource Planner'!$A$37="☑",13&lt;='Resource Planner'!$N$37),'Resource Planner'!$B$37,"")</f>
        <v/>
      </c>
      <c r="D1367" s="163" t="str">
        <f>IF(AND('Resource Planner'!$A$37="☑",13&lt;='Resource Planner'!$N$37),'Resource Planner'!$D$37,"")</f>
        <v/>
      </c>
      <c r="E1367" s="163" t="str">
        <f>IF(AND('Resource Planner'!$A$37="☑",13&lt;='Resource Planner'!$N$37),'Resource Planner'!$E$37,"")</f>
        <v/>
      </c>
      <c r="F1367" s="163" t="str">
        <f>IF(AND('Resource Planner'!$A$37="☑",13&lt;='Resource Planner'!$N$37),'Resource Planner'!$F$37&amp;" "&amp;('Resource Planner'!$G$37+(13-1)*'Resource Planner'!$I$37)&amp;IF(('Resource Planner'!$G$37+(13-1)*'Resource Planner'!$I$37)=MIN('Resource Planner'!$G$37+13*'Resource Planner'!$I$37-1,'Resource Planner'!$H$37),"","–"&amp;MIN('Resource Planner'!$G$37+13*'Resource Planner'!$I$37-1,'Resource Planner'!$H$37)),"")</f>
        <v/>
      </c>
      <c r="G1367" s="163" t="s">
        <v>109</v>
      </c>
      <c r="H1367" s="163" t="str">
        <f>IF(AND('Resource Planner'!$A$37="☑",13&lt;='Resource Planner'!$N$37),'Resource Planner'!$M$37,"")</f>
        <v/>
      </c>
    </row>
    <row r="1368" ht="15.75" customHeight="1">
      <c r="A13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8" s="163" t="str">
        <f>IF(AND('Resource Planner'!$A$37="☑",14&lt;='Resource Planner'!$N$37),'Resource Planner'!$C$37,"")</f>
        <v/>
      </c>
      <c r="C1368" s="163" t="str">
        <f>IF(AND('Resource Planner'!$A$37="☑",14&lt;='Resource Planner'!$N$37),'Resource Planner'!$B$37,"")</f>
        <v/>
      </c>
      <c r="D1368" s="163" t="str">
        <f>IF(AND('Resource Planner'!$A$37="☑",14&lt;='Resource Planner'!$N$37),'Resource Planner'!$D$37,"")</f>
        <v/>
      </c>
      <c r="E1368" s="163" t="str">
        <f>IF(AND('Resource Planner'!$A$37="☑",14&lt;='Resource Planner'!$N$37),'Resource Planner'!$E$37,"")</f>
        <v/>
      </c>
      <c r="F1368" s="163" t="str">
        <f>IF(AND('Resource Planner'!$A$37="☑",14&lt;='Resource Planner'!$N$37),'Resource Planner'!$F$37&amp;" "&amp;('Resource Planner'!$G$37+(14-1)*'Resource Planner'!$I$37)&amp;IF(('Resource Planner'!$G$37+(14-1)*'Resource Planner'!$I$37)=MIN('Resource Planner'!$G$37+14*'Resource Planner'!$I$37-1,'Resource Planner'!$H$37),"","–"&amp;MIN('Resource Planner'!$G$37+14*'Resource Planner'!$I$37-1,'Resource Planner'!$H$37)),"")</f>
        <v/>
      </c>
      <c r="G1368" s="163" t="s">
        <v>109</v>
      </c>
      <c r="H1368" s="163" t="str">
        <f>IF(AND('Resource Planner'!$A$37="☑",14&lt;='Resource Planner'!$N$37),'Resource Planner'!$M$37,"")</f>
        <v/>
      </c>
    </row>
    <row r="1369" ht="15.75" customHeight="1">
      <c r="A13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69" s="163" t="str">
        <f>IF(AND('Resource Planner'!$A$37="☑",15&lt;='Resource Planner'!$N$37),'Resource Planner'!$C$37,"")</f>
        <v/>
      </c>
      <c r="C1369" s="163" t="str">
        <f>IF(AND('Resource Planner'!$A$37="☑",15&lt;='Resource Planner'!$N$37),'Resource Planner'!$B$37,"")</f>
        <v/>
      </c>
      <c r="D1369" s="163" t="str">
        <f>IF(AND('Resource Planner'!$A$37="☑",15&lt;='Resource Planner'!$N$37),'Resource Planner'!$D$37,"")</f>
        <v/>
      </c>
      <c r="E1369" s="163" t="str">
        <f>IF(AND('Resource Planner'!$A$37="☑",15&lt;='Resource Planner'!$N$37),'Resource Planner'!$E$37,"")</f>
        <v/>
      </c>
      <c r="F1369" s="163" t="str">
        <f>IF(AND('Resource Planner'!$A$37="☑",15&lt;='Resource Planner'!$N$37),'Resource Planner'!$F$37&amp;" "&amp;('Resource Planner'!$G$37+(15-1)*'Resource Planner'!$I$37)&amp;IF(('Resource Planner'!$G$37+(15-1)*'Resource Planner'!$I$37)=MIN('Resource Planner'!$G$37+15*'Resource Planner'!$I$37-1,'Resource Planner'!$H$37),"","–"&amp;MIN('Resource Planner'!$G$37+15*'Resource Planner'!$I$37-1,'Resource Planner'!$H$37)),"")</f>
        <v/>
      </c>
      <c r="G1369" s="163" t="s">
        <v>109</v>
      </c>
      <c r="H1369" s="163" t="str">
        <f>IF(AND('Resource Planner'!$A$37="☑",15&lt;='Resource Planner'!$N$37),'Resource Planner'!$M$37,"")</f>
        <v/>
      </c>
    </row>
    <row r="1370" ht="15.75" customHeight="1">
      <c r="A13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0" s="163" t="str">
        <f>IF(AND('Resource Planner'!$A$37="☑",16&lt;='Resource Planner'!$N$37),'Resource Planner'!$C$37,"")</f>
        <v/>
      </c>
      <c r="C1370" s="163" t="str">
        <f>IF(AND('Resource Planner'!$A$37="☑",16&lt;='Resource Planner'!$N$37),'Resource Planner'!$B$37,"")</f>
        <v/>
      </c>
      <c r="D1370" s="163" t="str">
        <f>IF(AND('Resource Planner'!$A$37="☑",16&lt;='Resource Planner'!$N$37),'Resource Planner'!$D$37,"")</f>
        <v/>
      </c>
      <c r="E1370" s="163" t="str">
        <f>IF(AND('Resource Planner'!$A$37="☑",16&lt;='Resource Planner'!$N$37),'Resource Planner'!$E$37,"")</f>
        <v/>
      </c>
      <c r="F1370" s="163" t="str">
        <f>IF(AND('Resource Planner'!$A$37="☑",16&lt;='Resource Planner'!$N$37),'Resource Planner'!$F$37&amp;" "&amp;('Resource Planner'!$G$37+(16-1)*'Resource Planner'!$I$37)&amp;IF(('Resource Planner'!$G$37+(16-1)*'Resource Planner'!$I$37)=MIN('Resource Planner'!$G$37+16*'Resource Planner'!$I$37-1,'Resource Planner'!$H$37),"","–"&amp;MIN('Resource Planner'!$G$37+16*'Resource Planner'!$I$37-1,'Resource Planner'!$H$37)),"")</f>
        <v/>
      </c>
      <c r="G1370" s="163" t="s">
        <v>109</v>
      </c>
      <c r="H1370" s="163" t="str">
        <f>IF(AND('Resource Planner'!$A$37="☑",16&lt;='Resource Planner'!$N$37),'Resource Planner'!$M$37,"")</f>
        <v/>
      </c>
    </row>
    <row r="1371" ht="15.75" customHeight="1">
      <c r="A13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1" s="163" t="str">
        <f>IF(AND('Resource Planner'!$A$37="☑",17&lt;='Resource Planner'!$N$37),'Resource Planner'!$C$37,"")</f>
        <v/>
      </c>
      <c r="C1371" s="163" t="str">
        <f>IF(AND('Resource Planner'!$A$37="☑",17&lt;='Resource Planner'!$N$37),'Resource Planner'!$B$37,"")</f>
        <v/>
      </c>
      <c r="D1371" s="163" t="str">
        <f>IF(AND('Resource Planner'!$A$37="☑",17&lt;='Resource Planner'!$N$37),'Resource Planner'!$D$37,"")</f>
        <v/>
      </c>
      <c r="E1371" s="163" t="str">
        <f>IF(AND('Resource Planner'!$A$37="☑",17&lt;='Resource Planner'!$N$37),'Resource Planner'!$E$37,"")</f>
        <v/>
      </c>
      <c r="F1371" s="163" t="str">
        <f>IF(AND('Resource Planner'!$A$37="☑",17&lt;='Resource Planner'!$N$37),'Resource Planner'!$F$37&amp;" "&amp;('Resource Planner'!$G$37+(17-1)*'Resource Planner'!$I$37)&amp;IF(('Resource Planner'!$G$37+(17-1)*'Resource Planner'!$I$37)=MIN('Resource Planner'!$G$37+17*'Resource Planner'!$I$37-1,'Resource Planner'!$H$37),"","–"&amp;MIN('Resource Planner'!$G$37+17*'Resource Planner'!$I$37-1,'Resource Planner'!$H$37)),"")</f>
        <v/>
      </c>
      <c r="G1371" s="163" t="s">
        <v>109</v>
      </c>
      <c r="H1371" s="163" t="str">
        <f>IF(AND('Resource Planner'!$A$37="☑",17&lt;='Resource Planner'!$N$37),'Resource Planner'!$M$37,"")</f>
        <v/>
      </c>
    </row>
    <row r="1372" ht="15.75" customHeight="1">
      <c r="A13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2" s="163" t="str">
        <f>IF(AND('Resource Planner'!$A$37="☑",18&lt;='Resource Planner'!$N$37),'Resource Planner'!$C$37,"")</f>
        <v/>
      </c>
      <c r="C1372" s="163" t="str">
        <f>IF(AND('Resource Planner'!$A$37="☑",18&lt;='Resource Planner'!$N$37),'Resource Planner'!$B$37,"")</f>
        <v/>
      </c>
      <c r="D1372" s="163" t="str">
        <f>IF(AND('Resource Planner'!$A$37="☑",18&lt;='Resource Planner'!$N$37),'Resource Planner'!$D$37,"")</f>
        <v/>
      </c>
      <c r="E1372" s="163" t="str">
        <f>IF(AND('Resource Planner'!$A$37="☑",18&lt;='Resource Planner'!$N$37),'Resource Planner'!$E$37,"")</f>
        <v/>
      </c>
      <c r="F1372" s="163" t="str">
        <f>IF(AND('Resource Planner'!$A$37="☑",18&lt;='Resource Planner'!$N$37),'Resource Planner'!$F$37&amp;" "&amp;('Resource Planner'!$G$37+(18-1)*'Resource Planner'!$I$37)&amp;IF(('Resource Planner'!$G$37+(18-1)*'Resource Planner'!$I$37)=MIN('Resource Planner'!$G$37+18*'Resource Planner'!$I$37-1,'Resource Planner'!$H$37),"","–"&amp;MIN('Resource Planner'!$G$37+18*'Resource Planner'!$I$37-1,'Resource Planner'!$H$37)),"")</f>
        <v/>
      </c>
      <c r="G1372" s="163" t="s">
        <v>109</v>
      </c>
      <c r="H1372" s="163" t="str">
        <f>IF(AND('Resource Planner'!$A$37="☑",18&lt;='Resource Planner'!$N$37),'Resource Planner'!$M$37,"")</f>
        <v/>
      </c>
    </row>
    <row r="1373" ht="15.75" customHeight="1">
      <c r="A13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3" s="163" t="str">
        <f>IF(AND('Resource Planner'!$A$37="☑",19&lt;='Resource Planner'!$N$37),'Resource Planner'!$C$37,"")</f>
        <v/>
      </c>
      <c r="C1373" s="163" t="str">
        <f>IF(AND('Resource Planner'!$A$37="☑",19&lt;='Resource Planner'!$N$37),'Resource Planner'!$B$37,"")</f>
        <v/>
      </c>
      <c r="D1373" s="163" t="str">
        <f>IF(AND('Resource Planner'!$A$37="☑",19&lt;='Resource Planner'!$N$37),'Resource Planner'!$D$37,"")</f>
        <v/>
      </c>
      <c r="E1373" s="163" t="str">
        <f>IF(AND('Resource Planner'!$A$37="☑",19&lt;='Resource Planner'!$N$37),'Resource Planner'!$E$37,"")</f>
        <v/>
      </c>
      <c r="F1373" s="163" t="str">
        <f>IF(AND('Resource Planner'!$A$37="☑",19&lt;='Resource Planner'!$N$37),'Resource Planner'!$F$37&amp;" "&amp;('Resource Planner'!$G$37+(19-1)*'Resource Planner'!$I$37)&amp;IF(('Resource Planner'!$G$37+(19-1)*'Resource Planner'!$I$37)=MIN('Resource Planner'!$G$37+19*'Resource Planner'!$I$37-1,'Resource Planner'!$H$37),"","–"&amp;MIN('Resource Planner'!$G$37+19*'Resource Planner'!$I$37-1,'Resource Planner'!$H$37)),"")</f>
        <v/>
      </c>
      <c r="G1373" s="163" t="s">
        <v>109</v>
      </c>
      <c r="H1373" s="163" t="str">
        <f>IF(AND('Resource Planner'!$A$37="☑",19&lt;='Resource Planner'!$N$37),'Resource Planner'!$M$37,"")</f>
        <v/>
      </c>
    </row>
    <row r="1374" ht="15.75" customHeight="1">
      <c r="A13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4" s="163" t="str">
        <f>IF(AND('Resource Planner'!$A$37="☑",20&lt;='Resource Planner'!$N$37),'Resource Planner'!$C$37,"")</f>
        <v/>
      </c>
      <c r="C1374" s="163" t="str">
        <f>IF(AND('Resource Planner'!$A$37="☑",20&lt;='Resource Planner'!$N$37),'Resource Planner'!$B$37,"")</f>
        <v/>
      </c>
      <c r="D1374" s="163" t="str">
        <f>IF(AND('Resource Planner'!$A$37="☑",20&lt;='Resource Planner'!$N$37),'Resource Planner'!$D$37,"")</f>
        <v/>
      </c>
      <c r="E1374" s="163" t="str">
        <f>IF(AND('Resource Planner'!$A$37="☑",20&lt;='Resource Planner'!$N$37),'Resource Planner'!$E$37,"")</f>
        <v/>
      </c>
      <c r="F1374" s="163" t="str">
        <f>IF(AND('Resource Planner'!$A$37="☑",20&lt;='Resource Planner'!$N$37),'Resource Planner'!$F$37&amp;" "&amp;('Resource Planner'!$G$37+(20-1)*'Resource Planner'!$I$37)&amp;IF(('Resource Planner'!$G$37+(20-1)*'Resource Planner'!$I$37)=MIN('Resource Planner'!$G$37+20*'Resource Planner'!$I$37-1,'Resource Planner'!$H$37),"","–"&amp;MIN('Resource Planner'!$G$37+20*'Resource Planner'!$I$37-1,'Resource Planner'!$H$37)),"")</f>
        <v/>
      </c>
      <c r="G1374" s="163" t="s">
        <v>109</v>
      </c>
      <c r="H1374" s="163" t="str">
        <f>IF(AND('Resource Planner'!$A$37="☑",20&lt;='Resource Planner'!$N$37),'Resource Planner'!$M$37,"")</f>
        <v/>
      </c>
    </row>
    <row r="1375" ht="15.75" customHeight="1">
      <c r="A13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5" s="163" t="str">
        <f>IF(AND('Resource Planner'!$A$37="☑",21&lt;='Resource Planner'!$N$37),'Resource Planner'!$C$37,"")</f>
        <v/>
      </c>
      <c r="C1375" s="163" t="str">
        <f>IF(AND('Resource Planner'!$A$37="☑",21&lt;='Resource Planner'!$N$37),'Resource Planner'!$B$37,"")</f>
        <v/>
      </c>
      <c r="D1375" s="163" t="str">
        <f>IF(AND('Resource Planner'!$A$37="☑",21&lt;='Resource Planner'!$N$37),'Resource Planner'!$D$37,"")</f>
        <v/>
      </c>
      <c r="E1375" s="163" t="str">
        <f>IF(AND('Resource Planner'!$A$37="☑",21&lt;='Resource Planner'!$N$37),'Resource Planner'!$E$37,"")</f>
        <v/>
      </c>
      <c r="F1375" s="163" t="str">
        <f>IF(AND('Resource Planner'!$A$37="☑",21&lt;='Resource Planner'!$N$37),'Resource Planner'!$F$37&amp;" "&amp;('Resource Planner'!$G$37+(21-1)*'Resource Planner'!$I$37)&amp;IF(('Resource Planner'!$G$37+(21-1)*'Resource Planner'!$I$37)=MIN('Resource Planner'!$G$37+21*'Resource Planner'!$I$37-1,'Resource Planner'!$H$37),"","–"&amp;MIN('Resource Planner'!$G$37+21*'Resource Planner'!$I$37-1,'Resource Planner'!$H$37)),"")</f>
        <v/>
      </c>
      <c r="G1375" s="163" t="s">
        <v>109</v>
      </c>
      <c r="H1375" s="163" t="str">
        <f>IF(AND('Resource Planner'!$A$37="☑",21&lt;='Resource Planner'!$N$37),'Resource Planner'!$M$37,"")</f>
        <v/>
      </c>
    </row>
    <row r="1376" ht="15.75" customHeight="1">
      <c r="A13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6" s="163" t="str">
        <f>IF(AND('Resource Planner'!$A$37="☑",22&lt;='Resource Planner'!$N$37),'Resource Planner'!$C$37,"")</f>
        <v/>
      </c>
      <c r="C1376" s="163" t="str">
        <f>IF(AND('Resource Planner'!$A$37="☑",22&lt;='Resource Planner'!$N$37),'Resource Planner'!$B$37,"")</f>
        <v/>
      </c>
      <c r="D1376" s="163" t="str">
        <f>IF(AND('Resource Planner'!$A$37="☑",22&lt;='Resource Planner'!$N$37),'Resource Planner'!$D$37,"")</f>
        <v/>
      </c>
      <c r="E1376" s="163" t="str">
        <f>IF(AND('Resource Planner'!$A$37="☑",22&lt;='Resource Planner'!$N$37),'Resource Planner'!$E$37,"")</f>
        <v/>
      </c>
      <c r="F1376" s="163" t="str">
        <f>IF(AND('Resource Planner'!$A$37="☑",22&lt;='Resource Planner'!$N$37),'Resource Planner'!$F$37&amp;" "&amp;('Resource Planner'!$G$37+(22-1)*'Resource Planner'!$I$37)&amp;IF(('Resource Planner'!$G$37+(22-1)*'Resource Planner'!$I$37)=MIN('Resource Planner'!$G$37+22*'Resource Planner'!$I$37-1,'Resource Planner'!$H$37),"","–"&amp;MIN('Resource Planner'!$G$37+22*'Resource Planner'!$I$37-1,'Resource Planner'!$H$37)),"")</f>
        <v/>
      </c>
      <c r="G1376" s="163" t="s">
        <v>109</v>
      </c>
      <c r="H1376" s="163" t="str">
        <f>IF(AND('Resource Planner'!$A$37="☑",22&lt;='Resource Planner'!$N$37),'Resource Planner'!$M$37,"")</f>
        <v/>
      </c>
    </row>
    <row r="1377" ht="15.75" customHeight="1">
      <c r="A13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7" s="163" t="str">
        <f>IF(AND('Resource Planner'!$A$37="☑",23&lt;='Resource Planner'!$N$37),'Resource Planner'!$C$37,"")</f>
        <v/>
      </c>
      <c r="C1377" s="163" t="str">
        <f>IF(AND('Resource Planner'!$A$37="☑",23&lt;='Resource Planner'!$N$37),'Resource Planner'!$B$37,"")</f>
        <v/>
      </c>
      <c r="D1377" s="163" t="str">
        <f>IF(AND('Resource Planner'!$A$37="☑",23&lt;='Resource Planner'!$N$37),'Resource Planner'!$D$37,"")</f>
        <v/>
      </c>
      <c r="E1377" s="163" t="str">
        <f>IF(AND('Resource Planner'!$A$37="☑",23&lt;='Resource Planner'!$N$37),'Resource Planner'!$E$37,"")</f>
        <v/>
      </c>
      <c r="F1377" s="163" t="str">
        <f>IF(AND('Resource Planner'!$A$37="☑",23&lt;='Resource Planner'!$N$37),'Resource Planner'!$F$37&amp;" "&amp;('Resource Planner'!$G$37+(23-1)*'Resource Planner'!$I$37)&amp;IF(('Resource Planner'!$G$37+(23-1)*'Resource Planner'!$I$37)=MIN('Resource Planner'!$G$37+23*'Resource Planner'!$I$37-1,'Resource Planner'!$H$37),"","–"&amp;MIN('Resource Planner'!$G$37+23*'Resource Planner'!$I$37-1,'Resource Planner'!$H$37)),"")</f>
        <v/>
      </c>
      <c r="G1377" s="163" t="s">
        <v>109</v>
      </c>
      <c r="H1377" s="163" t="str">
        <f>IF(AND('Resource Planner'!$A$37="☑",23&lt;='Resource Planner'!$N$37),'Resource Planner'!$M$37,"")</f>
        <v/>
      </c>
    </row>
    <row r="1378" ht="15.75" customHeight="1">
      <c r="A13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8" s="163" t="str">
        <f>IF(AND('Resource Planner'!$A$37="☑",24&lt;='Resource Planner'!$N$37),'Resource Planner'!$C$37,"")</f>
        <v/>
      </c>
      <c r="C1378" s="163" t="str">
        <f>IF(AND('Resource Planner'!$A$37="☑",24&lt;='Resource Planner'!$N$37),'Resource Planner'!$B$37,"")</f>
        <v/>
      </c>
      <c r="D1378" s="163" t="str">
        <f>IF(AND('Resource Planner'!$A$37="☑",24&lt;='Resource Planner'!$N$37),'Resource Planner'!$D$37,"")</f>
        <v/>
      </c>
      <c r="E1378" s="163" t="str">
        <f>IF(AND('Resource Planner'!$A$37="☑",24&lt;='Resource Planner'!$N$37),'Resource Planner'!$E$37,"")</f>
        <v/>
      </c>
      <c r="F1378" s="163" t="str">
        <f>IF(AND('Resource Planner'!$A$37="☑",24&lt;='Resource Planner'!$N$37),'Resource Planner'!$F$37&amp;" "&amp;('Resource Planner'!$G$37+(24-1)*'Resource Planner'!$I$37)&amp;IF(('Resource Planner'!$G$37+(24-1)*'Resource Planner'!$I$37)=MIN('Resource Planner'!$G$37+24*'Resource Planner'!$I$37-1,'Resource Planner'!$H$37),"","–"&amp;MIN('Resource Planner'!$G$37+24*'Resource Planner'!$I$37-1,'Resource Planner'!$H$37)),"")</f>
        <v/>
      </c>
      <c r="G1378" s="163" t="s">
        <v>109</v>
      </c>
      <c r="H1378" s="163" t="str">
        <f>IF(AND('Resource Planner'!$A$37="☑",24&lt;='Resource Planner'!$N$37),'Resource Planner'!$M$37,"")</f>
        <v/>
      </c>
    </row>
    <row r="1379" ht="15.75" customHeight="1">
      <c r="A13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79" s="163" t="str">
        <f>IF(AND('Resource Planner'!$A$37="☑",25&lt;='Resource Planner'!$N$37),'Resource Planner'!$C$37,"")</f>
        <v/>
      </c>
      <c r="C1379" s="163" t="str">
        <f>IF(AND('Resource Planner'!$A$37="☑",25&lt;='Resource Planner'!$N$37),'Resource Planner'!$B$37,"")</f>
        <v/>
      </c>
      <c r="D1379" s="163" t="str">
        <f>IF(AND('Resource Planner'!$A$37="☑",25&lt;='Resource Planner'!$N$37),'Resource Planner'!$D$37,"")</f>
        <v/>
      </c>
      <c r="E1379" s="163" t="str">
        <f>IF(AND('Resource Planner'!$A$37="☑",25&lt;='Resource Planner'!$N$37),'Resource Planner'!$E$37,"")</f>
        <v/>
      </c>
      <c r="F1379" s="163" t="str">
        <f>IF(AND('Resource Planner'!$A$37="☑",25&lt;='Resource Planner'!$N$37),'Resource Planner'!$F$37&amp;" "&amp;('Resource Planner'!$G$37+(25-1)*'Resource Planner'!$I$37)&amp;IF(('Resource Planner'!$G$37+(25-1)*'Resource Planner'!$I$37)=MIN('Resource Planner'!$G$37+25*'Resource Planner'!$I$37-1,'Resource Planner'!$H$37),"","–"&amp;MIN('Resource Planner'!$G$37+25*'Resource Planner'!$I$37-1,'Resource Planner'!$H$37)),"")</f>
        <v/>
      </c>
      <c r="G1379" s="163" t="s">
        <v>109</v>
      </c>
      <c r="H1379" s="163" t="str">
        <f>IF(AND('Resource Planner'!$A$37="☑",25&lt;='Resource Planner'!$N$37),'Resource Planner'!$M$37,"")</f>
        <v/>
      </c>
    </row>
    <row r="1380" ht="15.75" customHeight="1">
      <c r="A13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0" s="163" t="str">
        <f>IF(AND('Resource Planner'!$A$37="☑",26&lt;='Resource Planner'!$N$37),'Resource Planner'!$C$37,"")</f>
        <v/>
      </c>
      <c r="C1380" s="163" t="str">
        <f>IF(AND('Resource Planner'!$A$37="☑",26&lt;='Resource Planner'!$N$37),'Resource Planner'!$B$37,"")</f>
        <v/>
      </c>
      <c r="D1380" s="163" t="str">
        <f>IF(AND('Resource Planner'!$A$37="☑",26&lt;='Resource Planner'!$N$37),'Resource Planner'!$D$37,"")</f>
        <v/>
      </c>
      <c r="E1380" s="163" t="str">
        <f>IF(AND('Resource Planner'!$A$37="☑",26&lt;='Resource Planner'!$N$37),'Resource Planner'!$E$37,"")</f>
        <v/>
      </c>
      <c r="F1380" s="163" t="str">
        <f>IF(AND('Resource Planner'!$A$37="☑",26&lt;='Resource Planner'!$N$37),'Resource Planner'!$F$37&amp;" "&amp;('Resource Planner'!$G$37+(26-1)*'Resource Planner'!$I$37)&amp;IF(('Resource Planner'!$G$37+(26-1)*'Resource Planner'!$I$37)=MIN('Resource Planner'!$G$37+26*'Resource Planner'!$I$37-1,'Resource Planner'!$H$37),"","–"&amp;MIN('Resource Planner'!$G$37+26*'Resource Planner'!$I$37-1,'Resource Planner'!$H$37)),"")</f>
        <v/>
      </c>
      <c r="G1380" s="163" t="s">
        <v>109</v>
      </c>
      <c r="H1380" s="163" t="str">
        <f>IF(AND('Resource Planner'!$A$37="☑",26&lt;='Resource Planner'!$N$37),'Resource Planner'!$M$37,"")</f>
        <v/>
      </c>
    </row>
    <row r="1381" ht="15.75" customHeight="1">
      <c r="A13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1" s="163" t="str">
        <f>IF(AND('Resource Planner'!$A$37="☑",27&lt;='Resource Planner'!$N$37),'Resource Planner'!$C$37,"")</f>
        <v/>
      </c>
      <c r="C1381" s="163" t="str">
        <f>IF(AND('Resource Planner'!$A$37="☑",27&lt;='Resource Planner'!$N$37),'Resource Planner'!$B$37,"")</f>
        <v/>
      </c>
      <c r="D1381" s="163" t="str">
        <f>IF(AND('Resource Planner'!$A$37="☑",27&lt;='Resource Planner'!$N$37),'Resource Planner'!$D$37,"")</f>
        <v/>
      </c>
      <c r="E1381" s="163" t="str">
        <f>IF(AND('Resource Planner'!$A$37="☑",27&lt;='Resource Planner'!$N$37),'Resource Planner'!$E$37,"")</f>
        <v/>
      </c>
      <c r="F1381" s="163" t="str">
        <f>IF(AND('Resource Planner'!$A$37="☑",27&lt;='Resource Planner'!$N$37),'Resource Planner'!$F$37&amp;" "&amp;('Resource Planner'!$G$37+(27-1)*'Resource Planner'!$I$37)&amp;IF(('Resource Planner'!$G$37+(27-1)*'Resource Planner'!$I$37)=MIN('Resource Planner'!$G$37+27*'Resource Planner'!$I$37-1,'Resource Planner'!$H$37),"","–"&amp;MIN('Resource Planner'!$G$37+27*'Resource Planner'!$I$37-1,'Resource Planner'!$H$37)),"")</f>
        <v/>
      </c>
      <c r="G1381" s="163" t="s">
        <v>109</v>
      </c>
      <c r="H1381" s="163" t="str">
        <f>IF(AND('Resource Planner'!$A$37="☑",27&lt;='Resource Planner'!$N$37),'Resource Planner'!$M$37,"")</f>
        <v/>
      </c>
    </row>
    <row r="1382" ht="15.75" customHeight="1">
      <c r="A13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2" s="163" t="str">
        <f>IF(AND('Resource Planner'!$A$37="☑",28&lt;='Resource Planner'!$N$37),'Resource Planner'!$C$37,"")</f>
        <v/>
      </c>
      <c r="C1382" s="163" t="str">
        <f>IF(AND('Resource Planner'!$A$37="☑",28&lt;='Resource Planner'!$N$37),'Resource Planner'!$B$37,"")</f>
        <v/>
      </c>
      <c r="D1382" s="163" t="str">
        <f>IF(AND('Resource Planner'!$A$37="☑",28&lt;='Resource Planner'!$N$37),'Resource Planner'!$D$37,"")</f>
        <v/>
      </c>
      <c r="E1382" s="163" t="str">
        <f>IF(AND('Resource Planner'!$A$37="☑",28&lt;='Resource Planner'!$N$37),'Resource Planner'!$E$37,"")</f>
        <v/>
      </c>
      <c r="F1382" s="163" t="str">
        <f>IF(AND('Resource Planner'!$A$37="☑",28&lt;='Resource Planner'!$N$37),'Resource Planner'!$F$37&amp;" "&amp;('Resource Planner'!$G$37+(28-1)*'Resource Planner'!$I$37)&amp;IF(('Resource Planner'!$G$37+(28-1)*'Resource Planner'!$I$37)=MIN('Resource Planner'!$G$37+28*'Resource Planner'!$I$37-1,'Resource Planner'!$H$37),"","–"&amp;MIN('Resource Planner'!$G$37+28*'Resource Planner'!$I$37-1,'Resource Planner'!$H$37)),"")</f>
        <v/>
      </c>
      <c r="G1382" s="163" t="s">
        <v>109</v>
      </c>
      <c r="H1382" s="163" t="str">
        <f>IF(AND('Resource Planner'!$A$37="☑",28&lt;='Resource Planner'!$N$37),'Resource Planner'!$M$37,"")</f>
        <v/>
      </c>
    </row>
    <row r="1383" ht="15.75" customHeight="1">
      <c r="A13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3" s="163" t="str">
        <f>IF(AND('Resource Planner'!$A$37="☑",29&lt;='Resource Planner'!$N$37),'Resource Planner'!$C$37,"")</f>
        <v/>
      </c>
      <c r="C1383" s="163" t="str">
        <f>IF(AND('Resource Planner'!$A$37="☑",29&lt;='Resource Planner'!$N$37),'Resource Planner'!$B$37,"")</f>
        <v/>
      </c>
      <c r="D1383" s="163" t="str">
        <f>IF(AND('Resource Planner'!$A$37="☑",29&lt;='Resource Planner'!$N$37),'Resource Planner'!$D$37,"")</f>
        <v/>
      </c>
      <c r="E1383" s="163" t="str">
        <f>IF(AND('Resource Planner'!$A$37="☑",29&lt;='Resource Planner'!$N$37),'Resource Planner'!$E$37,"")</f>
        <v/>
      </c>
      <c r="F1383" s="163" t="str">
        <f>IF(AND('Resource Planner'!$A$37="☑",29&lt;='Resource Planner'!$N$37),'Resource Planner'!$F$37&amp;" "&amp;('Resource Planner'!$G$37+(29-1)*'Resource Planner'!$I$37)&amp;IF(('Resource Planner'!$G$37+(29-1)*'Resource Planner'!$I$37)=MIN('Resource Planner'!$G$37+29*'Resource Planner'!$I$37-1,'Resource Planner'!$H$37),"","–"&amp;MIN('Resource Planner'!$G$37+29*'Resource Planner'!$I$37-1,'Resource Planner'!$H$37)),"")</f>
        <v/>
      </c>
      <c r="G1383" s="163" t="s">
        <v>109</v>
      </c>
      <c r="H1383" s="163" t="str">
        <f>IF(AND('Resource Planner'!$A$37="☑",29&lt;='Resource Planner'!$N$37),'Resource Planner'!$M$37,"")</f>
        <v/>
      </c>
    </row>
    <row r="1384" ht="15.75" customHeight="1">
      <c r="A13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4" s="163" t="str">
        <f>IF(AND('Resource Planner'!$A$37="☑",30&lt;='Resource Planner'!$N$37),'Resource Planner'!$C$37,"")</f>
        <v/>
      </c>
      <c r="C1384" s="163" t="str">
        <f>IF(AND('Resource Planner'!$A$37="☑",30&lt;='Resource Planner'!$N$37),'Resource Planner'!$B$37,"")</f>
        <v/>
      </c>
      <c r="D1384" s="163" t="str">
        <f>IF(AND('Resource Planner'!$A$37="☑",30&lt;='Resource Planner'!$N$37),'Resource Planner'!$D$37,"")</f>
        <v/>
      </c>
      <c r="E1384" s="163" t="str">
        <f>IF(AND('Resource Planner'!$A$37="☑",30&lt;='Resource Planner'!$N$37),'Resource Planner'!$E$37,"")</f>
        <v/>
      </c>
      <c r="F1384" s="163" t="str">
        <f>IF(AND('Resource Planner'!$A$37="☑",30&lt;='Resource Planner'!$N$37),'Resource Planner'!$F$37&amp;" "&amp;('Resource Planner'!$G$37+(30-1)*'Resource Planner'!$I$37)&amp;IF(('Resource Planner'!$G$37+(30-1)*'Resource Planner'!$I$37)=MIN('Resource Planner'!$G$37+30*'Resource Planner'!$I$37-1,'Resource Planner'!$H$37),"","–"&amp;MIN('Resource Planner'!$G$37+30*'Resource Planner'!$I$37-1,'Resource Planner'!$H$37)),"")</f>
        <v/>
      </c>
      <c r="G1384" s="163" t="s">
        <v>109</v>
      </c>
      <c r="H1384" s="163" t="str">
        <f>IF(AND('Resource Planner'!$A$37="☑",30&lt;='Resource Planner'!$N$37),'Resource Planner'!$M$37,"")</f>
        <v/>
      </c>
    </row>
    <row r="1385" ht="15.75" customHeight="1">
      <c r="A13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5" s="163" t="str">
        <f>IF(AND('Resource Planner'!$A$37="☑",31&lt;='Resource Planner'!$N$37),'Resource Planner'!$C$37,"")</f>
        <v/>
      </c>
      <c r="C1385" s="163" t="str">
        <f>IF(AND('Resource Planner'!$A$37="☑",31&lt;='Resource Planner'!$N$37),'Resource Planner'!$B$37,"")</f>
        <v/>
      </c>
      <c r="D1385" s="163" t="str">
        <f>IF(AND('Resource Planner'!$A$37="☑",31&lt;='Resource Planner'!$N$37),'Resource Planner'!$D$37,"")</f>
        <v/>
      </c>
      <c r="E1385" s="163" t="str">
        <f>IF(AND('Resource Planner'!$A$37="☑",31&lt;='Resource Planner'!$N$37),'Resource Planner'!$E$37,"")</f>
        <v/>
      </c>
      <c r="F1385" s="163" t="str">
        <f>IF(AND('Resource Planner'!$A$37="☑",31&lt;='Resource Planner'!$N$37),'Resource Planner'!$F$37&amp;" "&amp;('Resource Planner'!$G$37+(31-1)*'Resource Planner'!$I$37)&amp;IF(('Resource Planner'!$G$37+(31-1)*'Resource Planner'!$I$37)=MIN('Resource Planner'!$G$37+31*'Resource Planner'!$I$37-1,'Resource Planner'!$H$37),"","–"&amp;MIN('Resource Planner'!$G$37+31*'Resource Planner'!$I$37-1,'Resource Planner'!$H$37)),"")</f>
        <v/>
      </c>
      <c r="G1385" s="163" t="s">
        <v>109</v>
      </c>
      <c r="H1385" s="163" t="str">
        <f>IF(AND('Resource Planner'!$A$37="☑",31&lt;='Resource Planner'!$N$37),'Resource Planner'!$M$37,"")</f>
        <v/>
      </c>
    </row>
    <row r="1386" ht="15.75" customHeight="1">
      <c r="A13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6" s="163" t="str">
        <f>IF(AND('Resource Planner'!$A$37="☑",32&lt;='Resource Planner'!$N$37),'Resource Planner'!$C$37,"")</f>
        <v/>
      </c>
      <c r="C1386" s="163" t="str">
        <f>IF(AND('Resource Planner'!$A$37="☑",32&lt;='Resource Planner'!$N$37),'Resource Planner'!$B$37,"")</f>
        <v/>
      </c>
      <c r="D1386" s="163" t="str">
        <f>IF(AND('Resource Planner'!$A$37="☑",32&lt;='Resource Planner'!$N$37),'Resource Planner'!$D$37,"")</f>
        <v/>
      </c>
      <c r="E1386" s="163" t="str">
        <f>IF(AND('Resource Planner'!$A$37="☑",32&lt;='Resource Planner'!$N$37),'Resource Planner'!$E$37,"")</f>
        <v/>
      </c>
      <c r="F1386" s="163" t="str">
        <f>IF(AND('Resource Planner'!$A$37="☑",32&lt;='Resource Planner'!$N$37),'Resource Planner'!$F$37&amp;" "&amp;('Resource Planner'!$G$37+(32-1)*'Resource Planner'!$I$37)&amp;IF(('Resource Planner'!$G$37+(32-1)*'Resource Planner'!$I$37)=MIN('Resource Planner'!$G$37+32*'Resource Planner'!$I$37-1,'Resource Planner'!$H$37),"","–"&amp;MIN('Resource Planner'!$G$37+32*'Resource Planner'!$I$37-1,'Resource Planner'!$H$37)),"")</f>
        <v/>
      </c>
      <c r="G1386" s="163" t="s">
        <v>109</v>
      </c>
      <c r="H1386" s="163" t="str">
        <f>IF(AND('Resource Planner'!$A$37="☑",32&lt;='Resource Planner'!$N$37),'Resource Planner'!$M$37,"")</f>
        <v/>
      </c>
    </row>
    <row r="1387" ht="15.75" customHeight="1">
      <c r="A13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7" s="163" t="str">
        <f>IF(AND('Resource Planner'!$A$37="☑",33&lt;='Resource Planner'!$N$37),'Resource Planner'!$C$37,"")</f>
        <v/>
      </c>
      <c r="C1387" s="163" t="str">
        <f>IF(AND('Resource Planner'!$A$37="☑",33&lt;='Resource Planner'!$N$37),'Resource Planner'!$B$37,"")</f>
        <v/>
      </c>
      <c r="D1387" s="163" t="str">
        <f>IF(AND('Resource Planner'!$A$37="☑",33&lt;='Resource Planner'!$N$37),'Resource Planner'!$D$37,"")</f>
        <v/>
      </c>
      <c r="E1387" s="163" t="str">
        <f>IF(AND('Resource Planner'!$A$37="☑",33&lt;='Resource Planner'!$N$37),'Resource Planner'!$E$37,"")</f>
        <v/>
      </c>
      <c r="F1387" s="163" t="str">
        <f>IF(AND('Resource Planner'!$A$37="☑",33&lt;='Resource Planner'!$N$37),'Resource Planner'!$F$37&amp;" "&amp;('Resource Planner'!$G$37+(33-1)*'Resource Planner'!$I$37)&amp;IF(('Resource Planner'!$G$37+(33-1)*'Resource Planner'!$I$37)=MIN('Resource Planner'!$G$37+33*'Resource Planner'!$I$37-1,'Resource Planner'!$H$37),"","–"&amp;MIN('Resource Planner'!$G$37+33*'Resource Planner'!$I$37-1,'Resource Planner'!$H$37)),"")</f>
        <v/>
      </c>
      <c r="G1387" s="163" t="s">
        <v>109</v>
      </c>
      <c r="H1387" s="163" t="str">
        <f>IF(AND('Resource Planner'!$A$37="☑",33&lt;='Resource Planner'!$N$37),'Resource Planner'!$M$37,"")</f>
        <v/>
      </c>
    </row>
    <row r="1388" ht="15.75" customHeight="1">
      <c r="A13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8" s="163" t="str">
        <f>IF(AND('Resource Planner'!$A$37="☑",34&lt;='Resource Planner'!$N$37),'Resource Planner'!$C$37,"")</f>
        <v/>
      </c>
      <c r="C1388" s="163" t="str">
        <f>IF(AND('Resource Planner'!$A$37="☑",34&lt;='Resource Planner'!$N$37),'Resource Planner'!$B$37,"")</f>
        <v/>
      </c>
      <c r="D1388" s="163" t="str">
        <f>IF(AND('Resource Planner'!$A$37="☑",34&lt;='Resource Planner'!$N$37),'Resource Planner'!$D$37,"")</f>
        <v/>
      </c>
      <c r="E1388" s="163" t="str">
        <f>IF(AND('Resource Planner'!$A$37="☑",34&lt;='Resource Planner'!$N$37),'Resource Planner'!$E$37,"")</f>
        <v/>
      </c>
      <c r="F1388" s="163" t="str">
        <f>IF(AND('Resource Planner'!$A$37="☑",34&lt;='Resource Planner'!$N$37),'Resource Planner'!$F$37&amp;" "&amp;('Resource Planner'!$G$37+(34-1)*'Resource Planner'!$I$37)&amp;IF(('Resource Planner'!$G$37+(34-1)*'Resource Planner'!$I$37)=MIN('Resource Planner'!$G$37+34*'Resource Planner'!$I$37-1,'Resource Planner'!$H$37),"","–"&amp;MIN('Resource Planner'!$G$37+34*'Resource Planner'!$I$37-1,'Resource Planner'!$H$37)),"")</f>
        <v/>
      </c>
      <c r="G1388" s="163" t="s">
        <v>109</v>
      </c>
      <c r="H1388" s="163" t="str">
        <f>IF(AND('Resource Planner'!$A$37="☑",34&lt;='Resource Planner'!$N$37),'Resource Planner'!$M$37,"")</f>
        <v/>
      </c>
    </row>
    <row r="1389" ht="15.75" customHeight="1">
      <c r="A13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89" s="163" t="str">
        <f>IF(AND('Resource Planner'!$A$37="☑",35&lt;='Resource Planner'!$N$37),'Resource Planner'!$C$37,"")</f>
        <v/>
      </c>
      <c r="C1389" s="163" t="str">
        <f>IF(AND('Resource Planner'!$A$37="☑",35&lt;='Resource Planner'!$N$37),'Resource Planner'!$B$37,"")</f>
        <v/>
      </c>
      <c r="D1389" s="163" t="str">
        <f>IF(AND('Resource Planner'!$A$37="☑",35&lt;='Resource Planner'!$N$37),'Resource Planner'!$D$37,"")</f>
        <v/>
      </c>
      <c r="E1389" s="163" t="str">
        <f>IF(AND('Resource Planner'!$A$37="☑",35&lt;='Resource Planner'!$N$37),'Resource Planner'!$E$37,"")</f>
        <v/>
      </c>
      <c r="F1389" s="163" t="str">
        <f>IF(AND('Resource Planner'!$A$37="☑",35&lt;='Resource Planner'!$N$37),'Resource Planner'!$F$37&amp;" "&amp;('Resource Planner'!$G$37+(35-1)*'Resource Planner'!$I$37)&amp;IF(('Resource Planner'!$G$37+(35-1)*'Resource Planner'!$I$37)=MIN('Resource Planner'!$G$37+35*'Resource Planner'!$I$37-1,'Resource Planner'!$H$37),"","–"&amp;MIN('Resource Planner'!$G$37+35*'Resource Planner'!$I$37-1,'Resource Planner'!$H$37)),"")</f>
        <v/>
      </c>
      <c r="G1389" s="163" t="s">
        <v>109</v>
      </c>
      <c r="H1389" s="163" t="str">
        <f>IF(AND('Resource Planner'!$A$37="☑",35&lt;='Resource Planner'!$N$37),'Resource Planner'!$M$37,"")</f>
        <v/>
      </c>
    </row>
    <row r="1390" ht="15.75" customHeight="1">
      <c r="A13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0" s="163" t="str">
        <f>IF(AND('Resource Planner'!$A$37="☑",36&lt;='Resource Planner'!$N$37),'Resource Planner'!$C$37,"")</f>
        <v/>
      </c>
      <c r="C1390" s="163" t="str">
        <f>IF(AND('Resource Planner'!$A$37="☑",36&lt;='Resource Planner'!$N$37),'Resource Planner'!$B$37,"")</f>
        <v/>
      </c>
      <c r="D1390" s="163" t="str">
        <f>IF(AND('Resource Planner'!$A$37="☑",36&lt;='Resource Planner'!$N$37),'Resource Planner'!$D$37,"")</f>
        <v/>
      </c>
      <c r="E1390" s="163" t="str">
        <f>IF(AND('Resource Planner'!$A$37="☑",36&lt;='Resource Planner'!$N$37),'Resource Planner'!$E$37,"")</f>
        <v/>
      </c>
      <c r="F1390" s="163" t="str">
        <f>IF(AND('Resource Planner'!$A$37="☑",36&lt;='Resource Planner'!$N$37),'Resource Planner'!$F$37&amp;" "&amp;('Resource Planner'!$G$37+(36-1)*'Resource Planner'!$I$37)&amp;IF(('Resource Planner'!$G$37+(36-1)*'Resource Planner'!$I$37)=MIN('Resource Planner'!$G$37+36*'Resource Planner'!$I$37-1,'Resource Planner'!$H$37),"","–"&amp;MIN('Resource Planner'!$G$37+36*'Resource Planner'!$I$37-1,'Resource Planner'!$H$37)),"")</f>
        <v/>
      </c>
      <c r="G1390" s="163" t="s">
        <v>109</v>
      </c>
      <c r="H1390" s="163" t="str">
        <f>IF(AND('Resource Planner'!$A$37="☑",36&lt;='Resource Planner'!$N$37),'Resource Planner'!$M$37,"")</f>
        <v/>
      </c>
    </row>
    <row r="1391" ht="15.75" customHeight="1">
      <c r="A13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1" s="163" t="str">
        <f>IF(AND('Resource Planner'!$A$37="☑",37&lt;='Resource Planner'!$N$37),'Resource Planner'!$C$37,"")</f>
        <v/>
      </c>
      <c r="C1391" s="163" t="str">
        <f>IF(AND('Resource Planner'!$A$37="☑",37&lt;='Resource Planner'!$N$37),'Resource Planner'!$B$37,"")</f>
        <v/>
      </c>
      <c r="D1391" s="163" t="str">
        <f>IF(AND('Resource Planner'!$A$37="☑",37&lt;='Resource Planner'!$N$37),'Resource Planner'!$D$37,"")</f>
        <v/>
      </c>
      <c r="E1391" s="163" t="str">
        <f>IF(AND('Resource Planner'!$A$37="☑",37&lt;='Resource Planner'!$N$37),'Resource Planner'!$E$37,"")</f>
        <v/>
      </c>
      <c r="F1391" s="163" t="str">
        <f>IF(AND('Resource Planner'!$A$37="☑",37&lt;='Resource Planner'!$N$37),'Resource Planner'!$F$37&amp;" "&amp;('Resource Planner'!$G$37+(37-1)*'Resource Planner'!$I$37)&amp;IF(('Resource Planner'!$G$37+(37-1)*'Resource Planner'!$I$37)=MIN('Resource Planner'!$G$37+37*'Resource Planner'!$I$37-1,'Resource Planner'!$H$37),"","–"&amp;MIN('Resource Planner'!$G$37+37*'Resource Planner'!$I$37-1,'Resource Planner'!$H$37)),"")</f>
        <v/>
      </c>
      <c r="G1391" s="163" t="s">
        <v>109</v>
      </c>
      <c r="H1391" s="163" t="str">
        <f>IF(AND('Resource Planner'!$A$37="☑",37&lt;='Resource Planner'!$N$37),'Resource Planner'!$M$37,"")</f>
        <v/>
      </c>
    </row>
    <row r="1392" ht="15.75" customHeight="1">
      <c r="A13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2" s="163" t="str">
        <f>IF(AND('Resource Planner'!$A$37="☑",38&lt;='Resource Planner'!$N$37),'Resource Planner'!$C$37,"")</f>
        <v/>
      </c>
      <c r="C1392" s="163" t="str">
        <f>IF(AND('Resource Planner'!$A$37="☑",38&lt;='Resource Planner'!$N$37),'Resource Planner'!$B$37,"")</f>
        <v/>
      </c>
      <c r="D1392" s="163" t="str">
        <f>IF(AND('Resource Planner'!$A$37="☑",38&lt;='Resource Planner'!$N$37),'Resource Planner'!$D$37,"")</f>
        <v/>
      </c>
      <c r="E1392" s="163" t="str">
        <f>IF(AND('Resource Planner'!$A$37="☑",38&lt;='Resource Planner'!$N$37),'Resource Planner'!$E$37,"")</f>
        <v/>
      </c>
      <c r="F1392" s="163" t="str">
        <f>IF(AND('Resource Planner'!$A$37="☑",38&lt;='Resource Planner'!$N$37),'Resource Planner'!$F$37&amp;" "&amp;('Resource Planner'!$G$37+(38-1)*'Resource Planner'!$I$37)&amp;IF(('Resource Planner'!$G$37+(38-1)*'Resource Planner'!$I$37)=MIN('Resource Planner'!$G$37+38*'Resource Planner'!$I$37-1,'Resource Planner'!$H$37),"","–"&amp;MIN('Resource Planner'!$G$37+38*'Resource Planner'!$I$37-1,'Resource Planner'!$H$37)),"")</f>
        <v/>
      </c>
      <c r="G1392" s="163" t="s">
        <v>109</v>
      </c>
      <c r="H1392" s="163" t="str">
        <f>IF(AND('Resource Planner'!$A$37="☑",38&lt;='Resource Planner'!$N$37),'Resource Planner'!$M$37,"")</f>
        <v/>
      </c>
    </row>
    <row r="1393" ht="15.75" customHeight="1">
      <c r="A13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3" s="163" t="str">
        <f>IF(AND('Resource Planner'!$A$37="☑",39&lt;='Resource Planner'!$N$37),'Resource Planner'!$C$37,"")</f>
        <v/>
      </c>
      <c r="C1393" s="163" t="str">
        <f>IF(AND('Resource Planner'!$A$37="☑",39&lt;='Resource Planner'!$N$37),'Resource Planner'!$B$37,"")</f>
        <v/>
      </c>
      <c r="D1393" s="163" t="str">
        <f>IF(AND('Resource Planner'!$A$37="☑",39&lt;='Resource Planner'!$N$37),'Resource Planner'!$D$37,"")</f>
        <v/>
      </c>
      <c r="E1393" s="163" t="str">
        <f>IF(AND('Resource Planner'!$A$37="☑",39&lt;='Resource Planner'!$N$37),'Resource Planner'!$E$37,"")</f>
        <v/>
      </c>
      <c r="F1393" s="163" t="str">
        <f>IF(AND('Resource Planner'!$A$37="☑",39&lt;='Resource Planner'!$N$37),'Resource Planner'!$F$37&amp;" "&amp;('Resource Planner'!$G$37+(39-1)*'Resource Planner'!$I$37)&amp;IF(('Resource Planner'!$G$37+(39-1)*'Resource Planner'!$I$37)=MIN('Resource Planner'!$G$37+39*'Resource Planner'!$I$37-1,'Resource Planner'!$H$37),"","–"&amp;MIN('Resource Planner'!$G$37+39*'Resource Planner'!$I$37-1,'Resource Planner'!$H$37)),"")</f>
        <v/>
      </c>
      <c r="G1393" s="163" t="s">
        <v>109</v>
      </c>
      <c r="H1393" s="163" t="str">
        <f>IF(AND('Resource Planner'!$A$37="☑",39&lt;='Resource Planner'!$N$37),'Resource Planner'!$M$37,"")</f>
        <v/>
      </c>
    </row>
    <row r="1394" ht="15.75" customHeight="1">
      <c r="A13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4" s="163" t="str">
        <f>IF(AND('Resource Planner'!$A$37="☑",40&lt;='Resource Planner'!$N$37),'Resource Planner'!$C$37,"")</f>
        <v/>
      </c>
      <c r="C1394" s="163" t="str">
        <f>IF(AND('Resource Planner'!$A$37="☑",40&lt;='Resource Planner'!$N$37),'Resource Planner'!$B$37,"")</f>
        <v/>
      </c>
      <c r="D1394" s="163" t="str">
        <f>IF(AND('Resource Planner'!$A$37="☑",40&lt;='Resource Planner'!$N$37),'Resource Planner'!$D$37,"")</f>
        <v/>
      </c>
      <c r="E1394" s="163" t="str">
        <f>IF(AND('Resource Planner'!$A$37="☑",40&lt;='Resource Planner'!$N$37),'Resource Planner'!$E$37,"")</f>
        <v/>
      </c>
      <c r="F1394" s="163" t="str">
        <f>IF(AND('Resource Planner'!$A$37="☑",40&lt;='Resource Planner'!$N$37),'Resource Planner'!$F$37&amp;" "&amp;('Resource Planner'!$G$37+(40-1)*'Resource Planner'!$I$37)&amp;IF(('Resource Planner'!$G$37+(40-1)*'Resource Planner'!$I$37)=MIN('Resource Planner'!$G$37+40*'Resource Planner'!$I$37-1,'Resource Planner'!$H$37),"","–"&amp;MIN('Resource Planner'!$G$37+40*'Resource Planner'!$I$37-1,'Resource Planner'!$H$37)),"")</f>
        <v/>
      </c>
      <c r="G1394" s="163" t="s">
        <v>109</v>
      </c>
      <c r="H1394" s="163" t="str">
        <f>IF(AND('Resource Planner'!$A$37="☑",40&lt;='Resource Planner'!$N$37),'Resource Planner'!$M$37,"")</f>
        <v/>
      </c>
    </row>
    <row r="1395" ht="15.75" customHeight="1">
      <c r="A13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5" s="163" t="str">
        <f>IF(AND('Resource Planner'!$A$37="☑",41&lt;='Resource Planner'!$N$37),'Resource Planner'!$C$37,"")</f>
        <v/>
      </c>
      <c r="C1395" s="163" t="str">
        <f>IF(AND('Resource Planner'!$A$37="☑",41&lt;='Resource Planner'!$N$37),'Resource Planner'!$B$37,"")</f>
        <v/>
      </c>
      <c r="D1395" s="163" t="str">
        <f>IF(AND('Resource Planner'!$A$37="☑",41&lt;='Resource Planner'!$N$37),'Resource Planner'!$D$37,"")</f>
        <v/>
      </c>
      <c r="E1395" s="163" t="str">
        <f>IF(AND('Resource Planner'!$A$37="☑",41&lt;='Resource Planner'!$N$37),'Resource Planner'!$E$37,"")</f>
        <v/>
      </c>
      <c r="F1395" s="163" t="str">
        <f>IF(AND('Resource Planner'!$A$37="☑",41&lt;='Resource Planner'!$N$37),'Resource Planner'!$F$37&amp;" "&amp;('Resource Planner'!$G$37+(41-1)*'Resource Planner'!$I$37)&amp;IF(('Resource Planner'!$G$37+(41-1)*'Resource Planner'!$I$37)=MIN('Resource Planner'!$G$37+41*'Resource Planner'!$I$37-1,'Resource Planner'!$H$37),"","–"&amp;MIN('Resource Planner'!$G$37+41*'Resource Planner'!$I$37-1,'Resource Planner'!$H$37)),"")</f>
        <v/>
      </c>
      <c r="G1395" s="163" t="s">
        <v>109</v>
      </c>
      <c r="H1395" s="163" t="str">
        <f>IF(AND('Resource Planner'!$A$37="☑",41&lt;='Resource Planner'!$N$37),'Resource Planner'!$M$37,"")</f>
        <v/>
      </c>
    </row>
    <row r="1396" ht="15.75" customHeight="1">
      <c r="A13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6" s="163" t="str">
        <f>IF(AND('Resource Planner'!$A$37="☑",42&lt;='Resource Planner'!$N$37),'Resource Planner'!$C$37,"")</f>
        <v/>
      </c>
      <c r="C1396" s="163" t="str">
        <f>IF(AND('Resource Planner'!$A$37="☑",42&lt;='Resource Planner'!$N$37),'Resource Planner'!$B$37,"")</f>
        <v/>
      </c>
      <c r="D1396" s="163" t="str">
        <f>IF(AND('Resource Planner'!$A$37="☑",42&lt;='Resource Planner'!$N$37),'Resource Planner'!$D$37,"")</f>
        <v/>
      </c>
      <c r="E1396" s="163" t="str">
        <f>IF(AND('Resource Planner'!$A$37="☑",42&lt;='Resource Planner'!$N$37),'Resource Planner'!$E$37,"")</f>
        <v/>
      </c>
      <c r="F1396" s="163" t="str">
        <f>IF(AND('Resource Planner'!$A$37="☑",42&lt;='Resource Planner'!$N$37),'Resource Planner'!$F$37&amp;" "&amp;('Resource Planner'!$G$37+(42-1)*'Resource Planner'!$I$37)&amp;IF(('Resource Planner'!$G$37+(42-1)*'Resource Planner'!$I$37)=MIN('Resource Planner'!$G$37+42*'Resource Planner'!$I$37-1,'Resource Planner'!$H$37),"","–"&amp;MIN('Resource Planner'!$G$37+42*'Resource Planner'!$I$37-1,'Resource Planner'!$H$37)),"")</f>
        <v/>
      </c>
      <c r="G1396" s="163" t="s">
        <v>109</v>
      </c>
      <c r="H1396" s="163" t="str">
        <f>IF(AND('Resource Planner'!$A$37="☑",42&lt;='Resource Planner'!$N$37),'Resource Planner'!$M$37,"")</f>
        <v/>
      </c>
    </row>
    <row r="1397" ht="15.75" customHeight="1">
      <c r="A13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7" s="163" t="str">
        <f>IF(AND('Resource Planner'!$A$37="☑",43&lt;='Resource Planner'!$N$37),'Resource Planner'!$C$37,"")</f>
        <v/>
      </c>
      <c r="C1397" s="163" t="str">
        <f>IF(AND('Resource Planner'!$A$37="☑",43&lt;='Resource Planner'!$N$37),'Resource Planner'!$B$37,"")</f>
        <v/>
      </c>
      <c r="D1397" s="163" t="str">
        <f>IF(AND('Resource Planner'!$A$37="☑",43&lt;='Resource Planner'!$N$37),'Resource Planner'!$D$37,"")</f>
        <v/>
      </c>
      <c r="E1397" s="163" t="str">
        <f>IF(AND('Resource Planner'!$A$37="☑",43&lt;='Resource Planner'!$N$37),'Resource Planner'!$E$37,"")</f>
        <v/>
      </c>
      <c r="F1397" s="163" t="str">
        <f>IF(AND('Resource Planner'!$A$37="☑",43&lt;='Resource Planner'!$N$37),'Resource Planner'!$F$37&amp;" "&amp;('Resource Planner'!$G$37+(43-1)*'Resource Planner'!$I$37)&amp;IF(('Resource Planner'!$G$37+(43-1)*'Resource Planner'!$I$37)=MIN('Resource Planner'!$G$37+43*'Resource Planner'!$I$37-1,'Resource Planner'!$H$37),"","–"&amp;MIN('Resource Planner'!$G$37+43*'Resource Planner'!$I$37-1,'Resource Planner'!$H$37)),"")</f>
        <v/>
      </c>
      <c r="G1397" s="163" t="s">
        <v>109</v>
      </c>
      <c r="H1397" s="163" t="str">
        <f>IF(AND('Resource Planner'!$A$37="☑",43&lt;='Resource Planner'!$N$37),'Resource Planner'!$M$37,"")</f>
        <v/>
      </c>
    </row>
    <row r="1398" ht="15.75" customHeight="1">
      <c r="A13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8" s="163" t="str">
        <f>IF(AND('Resource Planner'!$A$37="☑",44&lt;='Resource Planner'!$N$37),'Resource Planner'!$C$37,"")</f>
        <v/>
      </c>
      <c r="C1398" s="163" t="str">
        <f>IF(AND('Resource Planner'!$A$37="☑",44&lt;='Resource Planner'!$N$37),'Resource Planner'!$B$37,"")</f>
        <v/>
      </c>
      <c r="D1398" s="163" t="str">
        <f>IF(AND('Resource Planner'!$A$37="☑",44&lt;='Resource Planner'!$N$37),'Resource Planner'!$D$37,"")</f>
        <v/>
      </c>
      <c r="E1398" s="163" t="str">
        <f>IF(AND('Resource Planner'!$A$37="☑",44&lt;='Resource Planner'!$N$37),'Resource Planner'!$E$37,"")</f>
        <v/>
      </c>
      <c r="F1398" s="163" t="str">
        <f>IF(AND('Resource Planner'!$A$37="☑",44&lt;='Resource Planner'!$N$37),'Resource Planner'!$F$37&amp;" "&amp;('Resource Planner'!$G$37+(44-1)*'Resource Planner'!$I$37)&amp;IF(('Resource Planner'!$G$37+(44-1)*'Resource Planner'!$I$37)=MIN('Resource Planner'!$G$37+44*'Resource Planner'!$I$37-1,'Resource Planner'!$H$37),"","–"&amp;MIN('Resource Planner'!$G$37+44*'Resource Planner'!$I$37-1,'Resource Planner'!$H$37)),"")</f>
        <v/>
      </c>
      <c r="G1398" s="163" t="s">
        <v>109</v>
      </c>
      <c r="H1398" s="163" t="str">
        <f>IF(AND('Resource Planner'!$A$37="☑",44&lt;='Resource Planner'!$N$37),'Resource Planner'!$M$37,"")</f>
        <v/>
      </c>
    </row>
    <row r="1399" ht="15.75" customHeight="1">
      <c r="A13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399" s="163" t="str">
        <f>IF(AND('Resource Planner'!$A$37="☑",45&lt;='Resource Planner'!$N$37),'Resource Planner'!$C$37,"")</f>
        <v/>
      </c>
      <c r="C1399" s="163" t="str">
        <f>IF(AND('Resource Planner'!$A$37="☑",45&lt;='Resource Planner'!$N$37),'Resource Planner'!$B$37,"")</f>
        <v/>
      </c>
      <c r="D1399" s="163" t="str">
        <f>IF(AND('Resource Planner'!$A$37="☑",45&lt;='Resource Planner'!$N$37),'Resource Planner'!$D$37,"")</f>
        <v/>
      </c>
      <c r="E1399" s="163" t="str">
        <f>IF(AND('Resource Planner'!$A$37="☑",45&lt;='Resource Planner'!$N$37),'Resource Planner'!$E$37,"")</f>
        <v/>
      </c>
      <c r="F1399" s="163" t="str">
        <f>IF(AND('Resource Planner'!$A$37="☑",45&lt;='Resource Planner'!$N$37),'Resource Planner'!$F$37&amp;" "&amp;('Resource Planner'!$G$37+(45-1)*'Resource Planner'!$I$37)&amp;IF(('Resource Planner'!$G$37+(45-1)*'Resource Planner'!$I$37)=MIN('Resource Planner'!$G$37+45*'Resource Planner'!$I$37-1,'Resource Planner'!$H$37),"","–"&amp;MIN('Resource Planner'!$G$37+45*'Resource Planner'!$I$37-1,'Resource Planner'!$H$37)),"")</f>
        <v/>
      </c>
      <c r="G1399" s="163" t="s">
        <v>109</v>
      </c>
      <c r="H1399" s="163" t="str">
        <f>IF(AND('Resource Planner'!$A$37="☑",45&lt;='Resource Planner'!$N$37),'Resource Planner'!$M$37,"")</f>
        <v/>
      </c>
    </row>
    <row r="1400" ht="15.75" customHeight="1">
      <c r="A14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0" s="163" t="str">
        <f>IF(AND('Resource Planner'!$A$37="☑",46&lt;='Resource Planner'!$N$37),'Resource Planner'!$C$37,"")</f>
        <v/>
      </c>
      <c r="C1400" s="163" t="str">
        <f>IF(AND('Resource Planner'!$A$37="☑",46&lt;='Resource Planner'!$N$37),'Resource Planner'!$B$37,"")</f>
        <v/>
      </c>
      <c r="D1400" s="163" t="str">
        <f>IF(AND('Resource Planner'!$A$37="☑",46&lt;='Resource Planner'!$N$37),'Resource Planner'!$D$37,"")</f>
        <v/>
      </c>
      <c r="E1400" s="163" t="str">
        <f>IF(AND('Resource Planner'!$A$37="☑",46&lt;='Resource Planner'!$N$37),'Resource Planner'!$E$37,"")</f>
        <v/>
      </c>
      <c r="F1400" s="163" t="str">
        <f>IF(AND('Resource Planner'!$A$37="☑",46&lt;='Resource Planner'!$N$37),'Resource Planner'!$F$37&amp;" "&amp;('Resource Planner'!$G$37+(46-1)*'Resource Planner'!$I$37)&amp;IF(('Resource Planner'!$G$37+(46-1)*'Resource Planner'!$I$37)=MIN('Resource Planner'!$G$37+46*'Resource Planner'!$I$37-1,'Resource Planner'!$H$37),"","–"&amp;MIN('Resource Planner'!$G$37+46*'Resource Planner'!$I$37-1,'Resource Planner'!$H$37)),"")</f>
        <v/>
      </c>
      <c r="G1400" s="163" t="s">
        <v>109</v>
      </c>
      <c r="H1400" s="163" t="str">
        <f>IF(AND('Resource Planner'!$A$37="☑",46&lt;='Resource Planner'!$N$37),'Resource Planner'!$M$37,"")</f>
        <v/>
      </c>
    </row>
    <row r="1401" ht="15.75" customHeight="1">
      <c r="A14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1" s="163" t="str">
        <f>IF(AND('Resource Planner'!$A$37="☑",47&lt;='Resource Planner'!$N$37),'Resource Planner'!$C$37,"")</f>
        <v/>
      </c>
      <c r="C1401" s="163" t="str">
        <f>IF(AND('Resource Planner'!$A$37="☑",47&lt;='Resource Planner'!$N$37),'Resource Planner'!$B$37,"")</f>
        <v/>
      </c>
      <c r="D1401" s="163" t="str">
        <f>IF(AND('Resource Planner'!$A$37="☑",47&lt;='Resource Planner'!$N$37),'Resource Planner'!$D$37,"")</f>
        <v/>
      </c>
      <c r="E1401" s="163" t="str">
        <f>IF(AND('Resource Planner'!$A$37="☑",47&lt;='Resource Planner'!$N$37),'Resource Planner'!$E$37,"")</f>
        <v/>
      </c>
      <c r="F1401" s="163" t="str">
        <f>IF(AND('Resource Planner'!$A$37="☑",47&lt;='Resource Planner'!$N$37),'Resource Planner'!$F$37&amp;" "&amp;('Resource Planner'!$G$37+(47-1)*'Resource Planner'!$I$37)&amp;IF(('Resource Planner'!$G$37+(47-1)*'Resource Planner'!$I$37)=MIN('Resource Planner'!$G$37+47*'Resource Planner'!$I$37-1,'Resource Planner'!$H$37),"","–"&amp;MIN('Resource Planner'!$G$37+47*'Resource Planner'!$I$37-1,'Resource Planner'!$H$37)),"")</f>
        <v/>
      </c>
      <c r="G1401" s="163" t="s">
        <v>109</v>
      </c>
      <c r="H1401" s="163" t="str">
        <f>IF(AND('Resource Planner'!$A$37="☑",47&lt;='Resource Planner'!$N$37),'Resource Planner'!$M$37,"")</f>
        <v/>
      </c>
    </row>
    <row r="1402" ht="15.75" customHeight="1">
      <c r="A14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2" s="163" t="str">
        <f>IF(AND('Resource Planner'!$A$37="☑",48&lt;='Resource Planner'!$N$37),'Resource Planner'!$C$37,"")</f>
        <v/>
      </c>
      <c r="C1402" s="163" t="str">
        <f>IF(AND('Resource Planner'!$A$37="☑",48&lt;='Resource Planner'!$N$37),'Resource Planner'!$B$37,"")</f>
        <v/>
      </c>
      <c r="D1402" s="163" t="str">
        <f>IF(AND('Resource Planner'!$A$37="☑",48&lt;='Resource Planner'!$N$37),'Resource Planner'!$D$37,"")</f>
        <v/>
      </c>
      <c r="E1402" s="163" t="str">
        <f>IF(AND('Resource Planner'!$A$37="☑",48&lt;='Resource Planner'!$N$37),'Resource Planner'!$E$37,"")</f>
        <v/>
      </c>
      <c r="F1402" s="163" t="str">
        <f>IF(AND('Resource Planner'!$A$37="☑",48&lt;='Resource Planner'!$N$37),'Resource Planner'!$F$37&amp;" "&amp;('Resource Planner'!$G$37+(48-1)*'Resource Planner'!$I$37)&amp;IF(('Resource Planner'!$G$37+(48-1)*'Resource Planner'!$I$37)=MIN('Resource Planner'!$G$37+48*'Resource Planner'!$I$37-1,'Resource Planner'!$H$37),"","–"&amp;MIN('Resource Planner'!$G$37+48*'Resource Planner'!$I$37-1,'Resource Planner'!$H$37)),"")</f>
        <v/>
      </c>
      <c r="G1402" s="163" t="s">
        <v>109</v>
      </c>
      <c r="H1402" s="163" t="str">
        <f>IF(AND('Resource Planner'!$A$37="☑",48&lt;='Resource Planner'!$N$37),'Resource Planner'!$M$37,"")</f>
        <v/>
      </c>
    </row>
    <row r="1403" ht="15.75" customHeight="1">
      <c r="A14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3" s="163" t="str">
        <f>IF(AND('Resource Planner'!$A$37="☑",49&lt;='Resource Planner'!$N$37),'Resource Planner'!$C$37,"")</f>
        <v/>
      </c>
      <c r="C1403" s="163" t="str">
        <f>IF(AND('Resource Planner'!$A$37="☑",49&lt;='Resource Planner'!$N$37),'Resource Planner'!$B$37,"")</f>
        <v/>
      </c>
      <c r="D1403" s="163" t="str">
        <f>IF(AND('Resource Planner'!$A$37="☑",49&lt;='Resource Planner'!$N$37),'Resource Planner'!$D$37,"")</f>
        <v/>
      </c>
      <c r="E1403" s="163" t="str">
        <f>IF(AND('Resource Planner'!$A$37="☑",49&lt;='Resource Planner'!$N$37),'Resource Planner'!$E$37,"")</f>
        <v/>
      </c>
      <c r="F1403" s="163" t="str">
        <f>IF(AND('Resource Planner'!$A$37="☑",49&lt;='Resource Planner'!$N$37),'Resource Planner'!$F$37&amp;" "&amp;('Resource Planner'!$G$37+(49-1)*'Resource Planner'!$I$37)&amp;IF(('Resource Planner'!$G$37+(49-1)*'Resource Planner'!$I$37)=MIN('Resource Planner'!$G$37+49*'Resource Planner'!$I$37-1,'Resource Planner'!$H$37),"","–"&amp;MIN('Resource Planner'!$G$37+49*'Resource Planner'!$I$37-1,'Resource Planner'!$H$37)),"")</f>
        <v/>
      </c>
      <c r="G1403" s="163" t="s">
        <v>109</v>
      </c>
      <c r="H1403" s="163" t="str">
        <f>IF(AND('Resource Planner'!$A$37="☑",49&lt;='Resource Planner'!$N$37),'Resource Planner'!$M$37,"")</f>
        <v/>
      </c>
    </row>
    <row r="1404" ht="15.75" customHeight="1">
      <c r="A14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4" s="163" t="str">
        <f>IF(AND('Resource Planner'!$A$37="☑",50&lt;='Resource Planner'!$N$37),'Resource Planner'!$C$37,"")</f>
        <v/>
      </c>
      <c r="C1404" s="163" t="str">
        <f>IF(AND('Resource Planner'!$A$37="☑",50&lt;='Resource Planner'!$N$37),'Resource Planner'!$B$37,"")</f>
        <v/>
      </c>
      <c r="D1404" s="163" t="str">
        <f>IF(AND('Resource Planner'!$A$37="☑",50&lt;='Resource Planner'!$N$37),'Resource Planner'!$D$37,"")</f>
        <v/>
      </c>
      <c r="E1404" s="163" t="str">
        <f>IF(AND('Resource Planner'!$A$37="☑",50&lt;='Resource Planner'!$N$37),'Resource Planner'!$E$37,"")</f>
        <v/>
      </c>
      <c r="F1404" s="163" t="str">
        <f>IF(AND('Resource Planner'!$A$37="☑",50&lt;='Resource Planner'!$N$37),'Resource Planner'!$F$37&amp;" "&amp;('Resource Planner'!$G$37+(50-1)*'Resource Planner'!$I$37)&amp;IF(('Resource Planner'!$G$37+(50-1)*'Resource Planner'!$I$37)=MIN('Resource Planner'!$G$37+50*'Resource Planner'!$I$37-1,'Resource Planner'!$H$37),"","–"&amp;MIN('Resource Planner'!$G$37+50*'Resource Planner'!$I$37-1,'Resource Planner'!$H$37)),"")</f>
        <v/>
      </c>
      <c r="G1404" s="163" t="s">
        <v>109</v>
      </c>
      <c r="H1404" s="163" t="str">
        <f>IF(AND('Resource Planner'!$A$37="☑",50&lt;='Resource Planner'!$N$37),'Resource Planner'!$M$37,"")</f>
        <v/>
      </c>
    </row>
    <row r="1405" ht="15.75" customHeight="1">
      <c r="A14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5" s="163" t="str">
        <f>IF(AND('Resource Planner'!$A$38="☑",1&lt;='Resource Planner'!$N$38),'Resource Planner'!$C$38,"")</f>
        <v/>
      </c>
      <c r="C1405" s="163" t="str">
        <f>IF(AND('Resource Planner'!$A$38="☑",1&lt;='Resource Planner'!$N$38),'Resource Planner'!$B$38,"")</f>
        <v/>
      </c>
      <c r="D1405" s="163" t="str">
        <f>IF(AND('Resource Planner'!$A$38="☑",1&lt;='Resource Planner'!$N$38),'Resource Planner'!$D$38,"")</f>
        <v/>
      </c>
      <c r="E1405" s="163" t="str">
        <f>IF(AND('Resource Planner'!$A$38="☑",1&lt;='Resource Planner'!$N$38),'Resource Planner'!$E$38,"")</f>
        <v/>
      </c>
      <c r="F1405" s="163" t="str">
        <f>IF(AND('Resource Planner'!$A$38="☑",1&lt;='Resource Planner'!$N$38),'Resource Planner'!$F$38&amp;" "&amp;('Resource Planner'!$G$38+(1-1)*'Resource Planner'!$I$38)&amp;IF(('Resource Planner'!$G$38+(1-1)*'Resource Planner'!$I$38)=MIN('Resource Planner'!$G$38+1*'Resource Planner'!$I$38-1,'Resource Planner'!$H$38),"","–"&amp;MIN('Resource Planner'!$G$38+1*'Resource Planner'!$I$38-1,'Resource Planner'!$H$38)),"")</f>
        <v/>
      </c>
      <c r="G1405" s="163" t="s">
        <v>109</v>
      </c>
      <c r="H1405" s="163" t="str">
        <f>IF(AND('Resource Planner'!$A$38="☑",1&lt;='Resource Planner'!$N$38),'Resource Planner'!$M$38,"")</f>
        <v/>
      </c>
    </row>
    <row r="1406" ht="15.75" customHeight="1">
      <c r="A14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6" s="163" t="str">
        <f>IF(AND('Resource Planner'!$A$38="☑",2&lt;='Resource Planner'!$N$38),'Resource Planner'!$C$38,"")</f>
        <v/>
      </c>
      <c r="C1406" s="163" t="str">
        <f>IF(AND('Resource Planner'!$A$38="☑",2&lt;='Resource Planner'!$N$38),'Resource Planner'!$B$38,"")</f>
        <v/>
      </c>
      <c r="D1406" s="163" t="str">
        <f>IF(AND('Resource Planner'!$A$38="☑",2&lt;='Resource Planner'!$N$38),'Resource Planner'!$D$38,"")</f>
        <v/>
      </c>
      <c r="E1406" s="163" t="str">
        <f>IF(AND('Resource Planner'!$A$38="☑",2&lt;='Resource Planner'!$N$38),'Resource Planner'!$E$38,"")</f>
        <v/>
      </c>
      <c r="F1406" s="163" t="str">
        <f>IF(AND('Resource Planner'!$A$38="☑",2&lt;='Resource Planner'!$N$38),'Resource Planner'!$F$38&amp;" "&amp;('Resource Planner'!$G$38+(2-1)*'Resource Planner'!$I$38)&amp;IF(('Resource Planner'!$G$38+(2-1)*'Resource Planner'!$I$38)=MIN('Resource Planner'!$G$38+2*'Resource Planner'!$I$38-1,'Resource Planner'!$H$38),"","–"&amp;MIN('Resource Planner'!$G$38+2*'Resource Planner'!$I$38-1,'Resource Planner'!$H$38)),"")</f>
        <v/>
      </c>
      <c r="G1406" s="163" t="s">
        <v>109</v>
      </c>
      <c r="H1406" s="163" t="str">
        <f>IF(AND('Resource Planner'!$A$38="☑",2&lt;='Resource Planner'!$N$38),'Resource Planner'!$M$38,"")</f>
        <v/>
      </c>
    </row>
    <row r="1407" ht="15.75" customHeight="1">
      <c r="A14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7" s="163" t="str">
        <f>IF(AND('Resource Planner'!$A$38="☑",3&lt;='Resource Planner'!$N$38),'Resource Planner'!$C$38,"")</f>
        <v/>
      </c>
      <c r="C1407" s="163" t="str">
        <f>IF(AND('Resource Planner'!$A$38="☑",3&lt;='Resource Planner'!$N$38),'Resource Planner'!$B$38,"")</f>
        <v/>
      </c>
      <c r="D1407" s="163" t="str">
        <f>IF(AND('Resource Planner'!$A$38="☑",3&lt;='Resource Planner'!$N$38),'Resource Planner'!$D$38,"")</f>
        <v/>
      </c>
      <c r="E1407" s="163" t="str">
        <f>IF(AND('Resource Planner'!$A$38="☑",3&lt;='Resource Planner'!$N$38),'Resource Planner'!$E$38,"")</f>
        <v/>
      </c>
      <c r="F1407" s="163" t="str">
        <f>IF(AND('Resource Planner'!$A$38="☑",3&lt;='Resource Planner'!$N$38),'Resource Planner'!$F$38&amp;" "&amp;('Resource Planner'!$G$38+(3-1)*'Resource Planner'!$I$38)&amp;IF(('Resource Planner'!$G$38+(3-1)*'Resource Planner'!$I$38)=MIN('Resource Planner'!$G$38+3*'Resource Planner'!$I$38-1,'Resource Planner'!$H$38),"","–"&amp;MIN('Resource Planner'!$G$38+3*'Resource Planner'!$I$38-1,'Resource Planner'!$H$38)),"")</f>
        <v/>
      </c>
      <c r="G1407" s="163" t="s">
        <v>109</v>
      </c>
      <c r="H1407" s="163" t="str">
        <f>IF(AND('Resource Planner'!$A$38="☑",3&lt;='Resource Planner'!$N$38),'Resource Planner'!$M$38,"")</f>
        <v/>
      </c>
    </row>
    <row r="1408" ht="15.75" customHeight="1">
      <c r="A14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8" s="163" t="str">
        <f>IF(AND('Resource Planner'!$A$38="☑",4&lt;='Resource Planner'!$N$38),'Resource Planner'!$C$38,"")</f>
        <v/>
      </c>
      <c r="C1408" s="163" t="str">
        <f>IF(AND('Resource Planner'!$A$38="☑",4&lt;='Resource Planner'!$N$38),'Resource Planner'!$B$38,"")</f>
        <v/>
      </c>
      <c r="D1408" s="163" t="str">
        <f>IF(AND('Resource Planner'!$A$38="☑",4&lt;='Resource Planner'!$N$38),'Resource Planner'!$D$38,"")</f>
        <v/>
      </c>
      <c r="E1408" s="163" t="str">
        <f>IF(AND('Resource Planner'!$A$38="☑",4&lt;='Resource Planner'!$N$38),'Resource Planner'!$E$38,"")</f>
        <v/>
      </c>
      <c r="F1408" s="163" t="str">
        <f>IF(AND('Resource Planner'!$A$38="☑",4&lt;='Resource Planner'!$N$38),'Resource Planner'!$F$38&amp;" "&amp;('Resource Planner'!$G$38+(4-1)*'Resource Planner'!$I$38)&amp;IF(('Resource Planner'!$G$38+(4-1)*'Resource Planner'!$I$38)=MIN('Resource Planner'!$G$38+4*'Resource Planner'!$I$38-1,'Resource Planner'!$H$38),"","–"&amp;MIN('Resource Planner'!$G$38+4*'Resource Planner'!$I$38-1,'Resource Planner'!$H$38)),"")</f>
        <v/>
      </c>
      <c r="G1408" s="163" t="s">
        <v>109</v>
      </c>
      <c r="H1408" s="163" t="str">
        <f>IF(AND('Resource Planner'!$A$38="☑",4&lt;='Resource Planner'!$N$38),'Resource Planner'!$M$38,"")</f>
        <v/>
      </c>
    </row>
    <row r="1409" ht="15.75" customHeight="1">
      <c r="A14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09" s="163" t="str">
        <f>IF(AND('Resource Planner'!$A$38="☑",5&lt;='Resource Planner'!$N$38),'Resource Planner'!$C$38,"")</f>
        <v/>
      </c>
      <c r="C1409" s="163" t="str">
        <f>IF(AND('Resource Planner'!$A$38="☑",5&lt;='Resource Planner'!$N$38),'Resource Planner'!$B$38,"")</f>
        <v/>
      </c>
      <c r="D1409" s="163" t="str">
        <f>IF(AND('Resource Planner'!$A$38="☑",5&lt;='Resource Planner'!$N$38),'Resource Planner'!$D$38,"")</f>
        <v/>
      </c>
      <c r="E1409" s="163" t="str">
        <f>IF(AND('Resource Planner'!$A$38="☑",5&lt;='Resource Planner'!$N$38),'Resource Planner'!$E$38,"")</f>
        <v/>
      </c>
      <c r="F1409" s="163" t="str">
        <f>IF(AND('Resource Planner'!$A$38="☑",5&lt;='Resource Planner'!$N$38),'Resource Planner'!$F$38&amp;" "&amp;('Resource Planner'!$G$38+(5-1)*'Resource Planner'!$I$38)&amp;IF(('Resource Planner'!$G$38+(5-1)*'Resource Planner'!$I$38)=MIN('Resource Planner'!$G$38+5*'Resource Planner'!$I$38-1,'Resource Planner'!$H$38),"","–"&amp;MIN('Resource Planner'!$G$38+5*'Resource Planner'!$I$38-1,'Resource Planner'!$H$38)),"")</f>
        <v/>
      </c>
      <c r="G1409" s="163" t="s">
        <v>109</v>
      </c>
      <c r="H1409" s="163" t="str">
        <f>IF(AND('Resource Planner'!$A$38="☑",5&lt;='Resource Planner'!$N$38),'Resource Planner'!$M$38,"")</f>
        <v/>
      </c>
    </row>
    <row r="1410" ht="15.75" customHeight="1">
      <c r="A14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0" s="163" t="str">
        <f>IF(AND('Resource Planner'!$A$38="☑",6&lt;='Resource Planner'!$N$38),'Resource Planner'!$C$38,"")</f>
        <v/>
      </c>
      <c r="C1410" s="163" t="str">
        <f>IF(AND('Resource Planner'!$A$38="☑",6&lt;='Resource Planner'!$N$38),'Resource Planner'!$B$38,"")</f>
        <v/>
      </c>
      <c r="D1410" s="163" t="str">
        <f>IF(AND('Resource Planner'!$A$38="☑",6&lt;='Resource Planner'!$N$38),'Resource Planner'!$D$38,"")</f>
        <v/>
      </c>
      <c r="E1410" s="163" t="str">
        <f>IF(AND('Resource Planner'!$A$38="☑",6&lt;='Resource Planner'!$N$38),'Resource Planner'!$E$38,"")</f>
        <v/>
      </c>
      <c r="F1410" s="163" t="str">
        <f>IF(AND('Resource Planner'!$A$38="☑",6&lt;='Resource Planner'!$N$38),'Resource Planner'!$F$38&amp;" "&amp;('Resource Planner'!$G$38+(6-1)*'Resource Planner'!$I$38)&amp;IF(('Resource Planner'!$G$38+(6-1)*'Resource Planner'!$I$38)=MIN('Resource Planner'!$G$38+6*'Resource Planner'!$I$38-1,'Resource Planner'!$H$38),"","–"&amp;MIN('Resource Planner'!$G$38+6*'Resource Planner'!$I$38-1,'Resource Planner'!$H$38)),"")</f>
        <v/>
      </c>
      <c r="G1410" s="163" t="s">
        <v>109</v>
      </c>
      <c r="H1410" s="163" t="str">
        <f>IF(AND('Resource Planner'!$A$38="☑",6&lt;='Resource Planner'!$N$38),'Resource Planner'!$M$38,"")</f>
        <v/>
      </c>
    </row>
    <row r="1411" ht="15.75" customHeight="1">
      <c r="A14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1" s="163" t="str">
        <f>IF(AND('Resource Planner'!$A$38="☑",7&lt;='Resource Planner'!$N$38),'Resource Planner'!$C$38,"")</f>
        <v/>
      </c>
      <c r="C1411" s="163" t="str">
        <f>IF(AND('Resource Planner'!$A$38="☑",7&lt;='Resource Planner'!$N$38),'Resource Planner'!$B$38,"")</f>
        <v/>
      </c>
      <c r="D1411" s="163" t="str">
        <f>IF(AND('Resource Planner'!$A$38="☑",7&lt;='Resource Planner'!$N$38),'Resource Planner'!$D$38,"")</f>
        <v/>
      </c>
      <c r="E1411" s="163" t="str">
        <f>IF(AND('Resource Planner'!$A$38="☑",7&lt;='Resource Planner'!$N$38),'Resource Planner'!$E$38,"")</f>
        <v/>
      </c>
      <c r="F1411" s="163" t="str">
        <f>IF(AND('Resource Planner'!$A$38="☑",7&lt;='Resource Planner'!$N$38),'Resource Planner'!$F$38&amp;" "&amp;('Resource Planner'!$G$38+(7-1)*'Resource Planner'!$I$38)&amp;IF(('Resource Planner'!$G$38+(7-1)*'Resource Planner'!$I$38)=MIN('Resource Planner'!$G$38+7*'Resource Planner'!$I$38-1,'Resource Planner'!$H$38),"","–"&amp;MIN('Resource Planner'!$G$38+7*'Resource Planner'!$I$38-1,'Resource Planner'!$H$38)),"")</f>
        <v/>
      </c>
      <c r="G1411" s="163" t="s">
        <v>109</v>
      </c>
      <c r="H1411" s="163" t="str">
        <f>IF(AND('Resource Planner'!$A$38="☑",7&lt;='Resource Planner'!$N$38),'Resource Planner'!$M$38,"")</f>
        <v/>
      </c>
    </row>
    <row r="1412" ht="15.75" customHeight="1">
      <c r="A14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2" s="163" t="str">
        <f>IF(AND('Resource Planner'!$A$38="☑",8&lt;='Resource Planner'!$N$38),'Resource Planner'!$C$38,"")</f>
        <v/>
      </c>
      <c r="C1412" s="163" t="str">
        <f>IF(AND('Resource Planner'!$A$38="☑",8&lt;='Resource Planner'!$N$38),'Resource Planner'!$B$38,"")</f>
        <v/>
      </c>
      <c r="D1412" s="163" t="str">
        <f>IF(AND('Resource Planner'!$A$38="☑",8&lt;='Resource Planner'!$N$38),'Resource Planner'!$D$38,"")</f>
        <v/>
      </c>
      <c r="E1412" s="163" t="str">
        <f>IF(AND('Resource Planner'!$A$38="☑",8&lt;='Resource Planner'!$N$38),'Resource Planner'!$E$38,"")</f>
        <v/>
      </c>
      <c r="F1412" s="163" t="str">
        <f>IF(AND('Resource Planner'!$A$38="☑",8&lt;='Resource Planner'!$N$38),'Resource Planner'!$F$38&amp;" "&amp;('Resource Planner'!$G$38+(8-1)*'Resource Planner'!$I$38)&amp;IF(('Resource Planner'!$G$38+(8-1)*'Resource Planner'!$I$38)=MIN('Resource Planner'!$G$38+8*'Resource Planner'!$I$38-1,'Resource Planner'!$H$38),"","–"&amp;MIN('Resource Planner'!$G$38+8*'Resource Planner'!$I$38-1,'Resource Planner'!$H$38)),"")</f>
        <v/>
      </c>
      <c r="G1412" s="163" t="s">
        <v>109</v>
      </c>
      <c r="H1412" s="163" t="str">
        <f>IF(AND('Resource Planner'!$A$38="☑",8&lt;='Resource Planner'!$N$38),'Resource Planner'!$M$38,"")</f>
        <v/>
      </c>
    </row>
    <row r="1413" ht="15.75" customHeight="1">
      <c r="A14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3" s="163" t="str">
        <f>IF(AND('Resource Planner'!$A$38="☑",9&lt;='Resource Planner'!$N$38),'Resource Planner'!$C$38,"")</f>
        <v/>
      </c>
      <c r="C1413" s="163" t="str">
        <f>IF(AND('Resource Planner'!$A$38="☑",9&lt;='Resource Planner'!$N$38),'Resource Planner'!$B$38,"")</f>
        <v/>
      </c>
      <c r="D1413" s="163" t="str">
        <f>IF(AND('Resource Planner'!$A$38="☑",9&lt;='Resource Planner'!$N$38),'Resource Planner'!$D$38,"")</f>
        <v/>
      </c>
      <c r="E1413" s="163" t="str">
        <f>IF(AND('Resource Planner'!$A$38="☑",9&lt;='Resource Planner'!$N$38),'Resource Planner'!$E$38,"")</f>
        <v/>
      </c>
      <c r="F1413" s="163" t="str">
        <f>IF(AND('Resource Planner'!$A$38="☑",9&lt;='Resource Planner'!$N$38),'Resource Planner'!$F$38&amp;" "&amp;('Resource Planner'!$G$38+(9-1)*'Resource Planner'!$I$38)&amp;IF(('Resource Planner'!$G$38+(9-1)*'Resource Planner'!$I$38)=MIN('Resource Planner'!$G$38+9*'Resource Planner'!$I$38-1,'Resource Planner'!$H$38),"","–"&amp;MIN('Resource Planner'!$G$38+9*'Resource Planner'!$I$38-1,'Resource Planner'!$H$38)),"")</f>
        <v/>
      </c>
      <c r="G1413" s="163" t="s">
        <v>109</v>
      </c>
      <c r="H1413" s="163" t="str">
        <f>IF(AND('Resource Planner'!$A$38="☑",9&lt;='Resource Planner'!$N$38),'Resource Planner'!$M$38,"")</f>
        <v/>
      </c>
    </row>
    <row r="1414" ht="15.75" customHeight="1">
      <c r="A14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4" s="163" t="str">
        <f>IF(AND('Resource Planner'!$A$38="☑",10&lt;='Resource Planner'!$N$38),'Resource Planner'!$C$38,"")</f>
        <v/>
      </c>
      <c r="C1414" s="163" t="str">
        <f>IF(AND('Resource Planner'!$A$38="☑",10&lt;='Resource Planner'!$N$38),'Resource Planner'!$B$38,"")</f>
        <v/>
      </c>
      <c r="D1414" s="163" t="str">
        <f>IF(AND('Resource Planner'!$A$38="☑",10&lt;='Resource Planner'!$N$38),'Resource Planner'!$D$38,"")</f>
        <v/>
      </c>
      <c r="E1414" s="163" t="str">
        <f>IF(AND('Resource Planner'!$A$38="☑",10&lt;='Resource Planner'!$N$38),'Resource Planner'!$E$38,"")</f>
        <v/>
      </c>
      <c r="F1414" s="163" t="str">
        <f>IF(AND('Resource Planner'!$A$38="☑",10&lt;='Resource Planner'!$N$38),'Resource Planner'!$F$38&amp;" "&amp;('Resource Planner'!$G$38+(10-1)*'Resource Planner'!$I$38)&amp;IF(('Resource Planner'!$G$38+(10-1)*'Resource Planner'!$I$38)=MIN('Resource Planner'!$G$38+10*'Resource Planner'!$I$38-1,'Resource Planner'!$H$38),"","–"&amp;MIN('Resource Planner'!$G$38+10*'Resource Planner'!$I$38-1,'Resource Planner'!$H$38)),"")</f>
        <v/>
      </c>
      <c r="G1414" s="163" t="s">
        <v>109</v>
      </c>
      <c r="H1414" s="163" t="str">
        <f>IF(AND('Resource Planner'!$A$38="☑",10&lt;='Resource Planner'!$N$38),'Resource Planner'!$M$38,"")</f>
        <v/>
      </c>
    </row>
    <row r="1415" ht="15.75" customHeight="1">
      <c r="A14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5" s="163" t="str">
        <f>IF(AND('Resource Planner'!$A$38="☑",11&lt;='Resource Planner'!$N$38),'Resource Planner'!$C$38,"")</f>
        <v/>
      </c>
      <c r="C1415" s="163" t="str">
        <f>IF(AND('Resource Planner'!$A$38="☑",11&lt;='Resource Planner'!$N$38),'Resource Planner'!$B$38,"")</f>
        <v/>
      </c>
      <c r="D1415" s="163" t="str">
        <f>IF(AND('Resource Planner'!$A$38="☑",11&lt;='Resource Planner'!$N$38),'Resource Planner'!$D$38,"")</f>
        <v/>
      </c>
      <c r="E1415" s="163" t="str">
        <f>IF(AND('Resource Planner'!$A$38="☑",11&lt;='Resource Planner'!$N$38),'Resource Planner'!$E$38,"")</f>
        <v/>
      </c>
      <c r="F1415" s="163" t="str">
        <f>IF(AND('Resource Planner'!$A$38="☑",11&lt;='Resource Planner'!$N$38),'Resource Planner'!$F$38&amp;" "&amp;('Resource Planner'!$G$38+(11-1)*'Resource Planner'!$I$38)&amp;IF(('Resource Planner'!$G$38+(11-1)*'Resource Planner'!$I$38)=MIN('Resource Planner'!$G$38+11*'Resource Planner'!$I$38-1,'Resource Planner'!$H$38),"","–"&amp;MIN('Resource Planner'!$G$38+11*'Resource Planner'!$I$38-1,'Resource Planner'!$H$38)),"")</f>
        <v/>
      </c>
      <c r="G1415" s="163" t="s">
        <v>109</v>
      </c>
      <c r="H1415" s="163" t="str">
        <f>IF(AND('Resource Planner'!$A$38="☑",11&lt;='Resource Planner'!$N$38),'Resource Planner'!$M$38,"")</f>
        <v/>
      </c>
    </row>
    <row r="1416" ht="15.75" customHeight="1">
      <c r="A14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6" s="163" t="str">
        <f>IF(AND('Resource Planner'!$A$38="☑",12&lt;='Resource Planner'!$N$38),'Resource Planner'!$C$38,"")</f>
        <v/>
      </c>
      <c r="C1416" s="163" t="str">
        <f>IF(AND('Resource Planner'!$A$38="☑",12&lt;='Resource Planner'!$N$38),'Resource Planner'!$B$38,"")</f>
        <v/>
      </c>
      <c r="D1416" s="163" t="str">
        <f>IF(AND('Resource Planner'!$A$38="☑",12&lt;='Resource Planner'!$N$38),'Resource Planner'!$D$38,"")</f>
        <v/>
      </c>
      <c r="E1416" s="163" t="str">
        <f>IF(AND('Resource Planner'!$A$38="☑",12&lt;='Resource Planner'!$N$38),'Resource Planner'!$E$38,"")</f>
        <v/>
      </c>
      <c r="F1416" s="163" t="str">
        <f>IF(AND('Resource Planner'!$A$38="☑",12&lt;='Resource Planner'!$N$38),'Resource Planner'!$F$38&amp;" "&amp;('Resource Planner'!$G$38+(12-1)*'Resource Planner'!$I$38)&amp;IF(('Resource Planner'!$G$38+(12-1)*'Resource Planner'!$I$38)=MIN('Resource Planner'!$G$38+12*'Resource Planner'!$I$38-1,'Resource Planner'!$H$38),"","–"&amp;MIN('Resource Planner'!$G$38+12*'Resource Planner'!$I$38-1,'Resource Planner'!$H$38)),"")</f>
        <v/>
      </c>
      <c r="G1416" s="163" t="s">
        <v>109</v>
      </c>
      <c r="H1416" s="163" t="str">
        <f>IF(AND('Resource Planner'!$A$38="☑",12&lt;='Resource Planner'!$N$38),'Resource Planner'!$M$38,"")</f>
        <v/>
      </c>
    </row>
    <row r="1417" ht="15.75" customHeight="1">
      <c r="A14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7" s="163" t="str">
        <f>IF(AND('Resource Planner'!$A$38="☑",13&lt;='Resource Planner'!$N$38),'Resource Planner'!$C$38,"")</f>
        <v/>
      </c>
      <c r="C1417" s="163" t="str">
        <f>IF(AND('Resource Planner'!$A$38="☑",13&lt;='Resource Planner'!$N$38),'Resource Planner'!$B$38,"")</f>
        <v/>
      </c>
      <c r="D1417" s="163" t="str">
        <f>IF(AND('Resource Planner'!$A$38="☑",13&lt;='Resource Planner'!$N$38),'Resource Planner'!$D$38,"")</f>
        <v/>
      </c>
      <c r="E1417" s="163" t="str">
        <f>IF(AND('Resource Planner'!$A$38="☑",13&lt;='Resource Planner'!$N$38),'Resource Planner'!$E$38,"")</f>
        <v/>
      </c>
      <c r="F1417" s="163" t="str">
        <f>IF(AND('Resource Planner'!$A$38="☑",13&lt;='Resource Planner'!$N$38),'Resource Planner'!$F$38&amp;" "&amp;('Resource Planner'!$G$38+(13-1)*'Resource Planner'!$I$38)&amp;IF(('Resource Planner'!$G$38+(13-1)*'Resource Planner'!$I$38)=MIN('Resource Planner'!$G$38+13*'Resource Planner'!$I$38-1,'Resource Planner'!$H$38),"","–"&amp;MIN('Resource Planner'!$G$38+13*'Resource Planner'!$I$38-1,'Resource Planner'!$H$38)),"")</f>
        <v/>
      </c>
      <c r="G1417" s="163" t="s">
        <v>109</v>
      </c>
      <c r="H1417" s="163" t="str">
        <f>IF(AND('Resource Planner'!$A$38="☑",13&lt;='Resource Planner'!$N$38),'Resource Planner'!$M$38,"")</f>
        <v/>
      </c>
    </row>
    <row r="1418" ht="15.75" customHeight="1">
      <c r="A14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8" s="163" t="str">
        <f>IF(AND('Resource Planner'!$A$38="☑",14&lt;='Resource Planner'!$N$38),'Resource Planner'!$C$38,"")</f>
        <v/>
      </c>
      <c r="C1418" s="163" t="str">
        <f>IF(AND('Resource Planner'!$A$38="☑",14&lt;='Resource Planner'!$N$38),'Resource Planner'!$B$38,"")</f>
        <v/>
      </c>
      <c r="D1418" s="163" t="str">
        <f>IF(AND('Resource Planner'!$A$38="☑",14&lt;='Resource Planner'!$N$38),'Resource Planner'!$D$38,"")</f>
        <v/>
      </c>
      <c r="E1418" s="163" t="str">
        <f>IF(AND('Resource Planner'!$A$38="☑",14&lt;='Resource Planner'!$N$38),'Resource Planner'!$E$38,"")</f>
        <v/>
      </c>
      <c r="F1418" s="163" t="str">
        <f>IF(AND('Resource Planner'!$A$38="☑",14&lt;='Resource Planner'!$N$38),'Resource Planner'!$F$38&amp;" "&amp;('Resource Planner'!$G$38+(14-1)*'Resource Planner'!$I$38)&amp;IF(('Resource Planner'!$G$38+(14-1)*'Resource Planner'!$I$38)=MIN('Resource Planner'!$G$38+14*'Resource Planner'!$I$38-1,'Resource Planner'!$H$38),"","–"&amp;MIN('Resource Planner'!$G$38+14*'Resource Planner'!$I$38-1,'Resource Planner'!$H$38)),"")</f>
        <v/>
      </c>
      <c r="G1418" s="163" t="s">
        <v>109</v>
      </c>
      <c r="H1418" s="163" t="str">
        <f>IF(AND('Resource Planner'!$A$38="☑",14&lt;='Resource Planner'!$N$38),'Resource Planner'!$M$38,"")</f>
        <v/>
      </c>
    </row>
    <row r="1419" ht="15.75" customHeight="1">
      <c r="A14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19" s="163" t="str">
        <f>IF(AND('Resource Planner'!$A$38="☑",15&lt;='Resource Planner'!$N$38),'Resource Planner'!$C$38,"")</f>
        <v/>
      </c>
      <c r="C1419" s="163" t="str">
        <f>IF(AND('Resource Planner'!$A$38="☑",15&lt;='Resource Planner'!$N$38),'Resource Planner'!$B$38,"")</f>
        <v/>
      </c>
      <c r="D1419" s="163" t="str">
        <f>IF(AND('Resource Planner'!$A$38="☑",15&lt;='Resource Planner'!$N$38),'Resource Planner'!$D$38,"")</f>
        <v/>
      </c>
      <c r="E1419" s="163" t="str">
        <f>IF(AND('Resource Planner'!$A$38="☑",15&lt;='Resource Planner'!$N$38),'Resource Planner'!$E$38,"")</f>
        <v/>
      </c>
      <c r="F1419" s="163" t="str">
        <f>IF(AND('Resource Planner'!$A$38="☑",15&lt;='Resource Planner'!$N$38),'Resource Planner'!$F$38&amp;" "&amp;('Resource Planner'!$G$38+(15-1)*'Resource Planner'!$I$38)&amp;IF(('Resource Planner'!$G$38+(15-1)*'Resource Planner'!$I$38)=MIN('Resource Planner'!$G$38+15*'Resource Planner'!$I$38-1,'Resource Planner'!$H$38),"","–"&amp;MIN('Resource Planner'!$G$38+15*'Resource Planner'!$I$38-1,'Resource Planner'!$H$38)),"")</f>
        <v/>
      </c>
      <c r="G1419" s="163" t="s">
        <v>109</v>
      </c>
      <c r="H1419" s="163" t="str">
        <f>IF(AND('Resource Planner'!$A$38="☑",15&lt;='Resource Planner'!$N$38),'Resource Planner'!$M$38,"")</f>
        <v/>
      </c>
    </row>
    <row r="1420" ht="15.75" customHeight="1">
      <c r="A14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0" s="163" t="str">
        <f>IF(AND('Resource Planner'!$A$38="☑",16&lt;='Resource Planner'!$N$38),'Resource Planner'!$C$38,"")</f>
        <v/>
      </c>
      <c r="C1420" s="163" t="str">
        <f>IF(AND('Resource Planner'!$A$38="☑",16&lt;='Resource Planner'!$N$38),'Resource Planner'!$B$38,"")</f>
        <v/>
      </c>
      <c r="D1420" s="163" t="str">
        <f>IF(AND('Resource Planner'!$A$38="☑",16&lt;='Resource Planner'!$N$38),'Resource Planner'!$D$38,"")</f>
        <v/>
      </c>
      <c r="E1420" s="163" t="str">
        <f>IF(AND('Resource Planner'!$A$38="☑",16&lt;='Resource Planner'!$N$38),'Resource Planner'!$E$38,"")</f>
        <v/>
      </c>
      <c r="F1420" s="163" t="str">
        <f>IF(AND('Resource Planner'!$A$38="☑",16&lt;='Resource Planner'!$N$38),'Resource Planner'!$F$38&amp;" "&amp;('Resource Planner'!$G$38+(16-1)*'Resource Planner'!$I$38)&amp;IF(('Resource Planner'!$G$38+(16-1)*'Resource Planner'!$I$38)=MIN('Resource Planner'!$G$38+16*'Resource Planner'!$I$38-1,'Resource Planner'!$H$38),"","–"&amp;MIN('Resource Planner'!$G$38+16*'Resource Planner'!$I$38-1,'Resource Planner'!$H$38)),"")</f>
        <v/>
      </c>
      <c r="G1420" s="163" t="s">
        <v>109</v>
      </c>
      <c r="H1420" s="163" t="str">
        <f>IF(AND('Resource Planner'!$A$38="☑",16&lt;='Resource Planner'!$N$38),'Resource Planner'!$M$38,"")</f>
        <v/>
      </c>
    </row>
    <row r="1421" ht="15.75" customHeight="1">
      <c r="A14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1" s="163" t="str">
        <f>IF(AND('Resource Planner'!$A$38="☑",17&lt;='Resource Planner'!$N$38),'Resource Planner'!$C$38,"")</f>
        <v/>
      </c>
      <c r="C1421" s="163" t="str">
        <f>IF(AND('Resource Planner'!$A$38="☑",17&lt;='Resource Planner'!$N$38),'Resource Planner'!$B$38,"")</f>
        <v/>
      </c>
      <c r="D1421" s="163" t="str">
        <f>IF(AND('Resource Planner'!$A$38="☑",17&lt;='Resource Planner'!$N$38),'Resource Planner'!$D$38,"")</f>
        <v/>
      </c>
      <c r="E1421" s="163" t="str">
        <f>IF(AND('Resource Planner'!$A$38="☑",17&lt;='Resource Planner'!$N$38),'Resource Planner'!$E$38,"")</f>
        <v/>
      </c>
      <c r="F1421" s="163" t="str">
        <f>IF(AND('Resource Planner'!$A$38="☑",17&lt;='Resource Planner'!$N$38),'Resource Planner'!$F$38&amp;" "&amp;('Resource Planner'!$G$38+(17-1)*'Resource Planner'!$I$38)&amp;IF(('Resource Planner'!$G$38+(17-1)*'Resource Planner'!$I$38)=MIN('Resource Planner'!$G$38+17*'Resource Planner'!$I$38-1,'Resource Planner'!$H$38),"","–"&amp;MIN('Resource Planner'!$G$38+17*'Resource Planner'!$I$38-1,'Resource Planner'!$H$38)),"")</f>
        <v/>
      </c>
      <c r="G1421" s="163" t="s">
        <v>109</v>
      </c>
      <c r="H1421" s="163" t="str">
        <f>IF(AND('Resource Planner'!$A$38="☑",17&lt;='Resource Planner'!$N$38),'Resource Planner'!$M$38,"")</f>
        <v/>
      </c>
    </row>
    <row r="1422" ht="15.75" customHeight="1">
      <c r="A14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2" s="163" t="str">
        <f>IF(AND('Resource Planner'!$A$38="☑",18&lt;='Resource Planner'!$N$38),'Resource Planner'!$C$38,"")</f>
        <v/>
      </c>
      <c r="C1422" s="163" t="str">
        <f>IF(AND('Resource Planner'!$A$38="☑",18&lt;='Resource Planner'!$N$38),'Resource Planner'!$B$38,"")</f>
        <v/>
      </c>
      <c r="D1422" s="163" t="str">
        <f>IF(AND('Resource Planner'!$A$38="☑",18&lt;='Resource Planner'!$N$38),'Resource Planner'!$D$38,"")</f>
        <v/>
      </c>
      <c r="E1422" s="163" t="str">
        <f>IF(AND('Resource Planner'!$A$38="☑",18&lt;='Resource Planner'!$N$38),'Resource Planner'!$E$38,"")</f>
        <v/>
      </c>
      <c r="F1422" s="163" t="str">
        <f>IF(AND('Resource Planner'!$A$38="☑",18&lt;='Resource Planner'!$N$38),'Resource Planner'!$F$38&amp;" "&amp;('Resource Planner'!$G$38+(18-1)*'Resource Planner'!$I$38)&amp;IF(('Resource Planner'!$G$38+(18-1)*'Resource Planner'!$I$38)=MIN('Resource Planner'!$G$38+18*'Resource Planner'!$I$38-1,'Resource Planner'!$H$38),"","–"&amp;MIN('Resource Planner'!$G$38+18*'Resource Planner'!$I$38-1,'Resource Planner'!$H$38)),"")</f>
        <v/>
      </c>
      <c r="G1422" s="163" t="s">
        <v>109</v>
      </c>
      <c r="H1422" s="163" t="str">
        <f>IF(AND('Resource Planner'!$A$38="☑",18&lt;='Resource Planner'!$N$38),'Resource Planner'!$M$38,"")</f>
        <v/>
      </c>
    </row>
    <row r="1423" ht="15.75" customHeight="1">
      <c r="A14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3" s="163" t="str">
        <f>IF(AND('Resource Planner'!$A$38="☑",19&lt;='Resource Planner'!$N$38),'Resource Planner'!$C$38,"")</f>
        <v/>
      </c>
      <c r="C1423" s="163" t="str">
        <f>IF(AND('Resource Planner'!$A$38="☑",19&lt;='Resource Planner'!$N$38),'Resource Planner'!$B$38,"")</f>
        <v/>
      </c>
      <c r="D1423" s="163" t="str">
        <f>IF(AND('Resource Planner'!$A$38="☑",19&lt;='Resource Planner'!$N$38),'Resource Planner'!$D$38,"")</f>
        <v/>
      </c>
      <c r="E1423" s="163" t="str">
        <f>IF(AND('Resource Planner'!$A$38="☑",19&lt;='Resource Planner'!$N$38),'Resource Planner'!$E$38,"")</f>
        <v/>
      </c>
      <c r="F1423" s="163" t="str">
        <f>IF(AND('Resource Planner'!$A$38="☑",19&lt;='Resource Planner'!$N$38),'Resource Planner'!$F$38&amp;" "&amp;('Resource Planner'!$G$38+(19-1)*'Resource Planner'!$I$38)&amp;IF(('Resource Planner'!$G$38+(19-1)*'Resource Planner'!$I$38)=MIN('Resource Planner'!$G$38+19*'Resource Planner'!$I$38-1,'Resource Planner'!$H$38),"","–"&amp;MIN('Resource Planner'!$G$38+19*'Resource Planner'!$I$38-1,'Resource Planner'!$H$38)),"")</f>
        <v/>
      </c>
      <c r="G1423" s="163" t="s">
        <v>109</v>
      </c>
      <c r="H1423" s="163" t="str">
        <f>IF(AND('Resource Planner'!$A$38="☑",19&lt;='Resource Planner'!$N$38),'Resource Planner'!$M$38,"")</f>
        <v/>
      </c>
    </row>
    <row r="1424" ht="15.75" customHeight="1">
      <c r="A14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4" s="163" t="str">
        <f>IF(AND('Resource Planner'!$A$38="☑",20&lt;='Resource Planner'!$N$38),'Resource Planner'!$C$38,"")</f>
        <v/>
      </c>
      <c r="C1424" s="163" t="str">
        <f>IF(AND('Resource Planner'!$A$38="☑",20&lt;='Resource Planner'!$N$38),'Resource Planner'!$B$38,"")</f>
        <v/>
      </c>
      <c r="D1424" s="163" t="str">
        <f>IF(AND('Resource Planner'!$A$38="☑",20&lt;='Resource Planner'!$N$38),'Resource Planner'!$D$38,"")</f>
        <v/>
      </c>
      <c r="E1424" s="163" t="str">
        <f>IF(AND('Resource Planner'!$A$38="☑",20&lt;='Resource Planner'!$N$38),'Resource Planner'!$E$38,"")</f>
        <v/>
      </c>
      <c r="F1424" s="163" t="str">
        <f>IF(AND('Resource Planner'!$A$38="☑",20&lt;='Resource Planner'!$N$38),'Resource Planner'!$F$38&amp;" "&amp;('Resource Planner'!$G$38+(20-1)*'Resource Planner'!$I$38)&amp;IF(('Resource Planner'!$G$38+(20-1)*'Resource Planner'!$I$38)=MIN('Resource Planner'!$G$38+20*'Resource Planner'!$I$38-1,'Resource Planner'!$H$38),"","–"&amp;MIN('Resource Planner'!$G$38+20*'Resource Planner'!$I$38-1,'Resource Planner'!$H$38)),"")</f>
        <v/>
      </c>
      <c r="G1424" s="163" t="s">
        <v>109</v>
      </c>
      <c r="H1424" s="163" t="str">
        <f>IF(AND('Resource Planner'!$A$38="☑",20&lt;='Resource Planner'!$N$38),'Resource Planner'!$M$38,"")</f>
        <v/>
      </c>
    </row>
    <row r="1425" ht="15.75" customHeight="1">
      <c r="A14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5" s="163" t="str">
        <f>IF(AND('Resource Planner'!$A$38="☑",21&lt;='Resource Planner'!$N$38),'Resource Planner'!$C$38,"")</f>
        <v/>
      </c>
      <c r="C1425" s="163" t="str">
        <f>IF(AND('Resource Planner'!$A$38="☑",21&lt;='Resource Planner'!$N$38),'Resource Planner'!$B$38,"")</f>
        <v/>
      </c>
      <c r="D1425" s="163" t="str">
        <f>IF(AND('Resource Planner'!$A$38="☑",21&lt;='Resource Planner'!$N$38),'Resource Planner'!$D$38,"")</f>
        <v/>
      </c>
      <c r="E1425" s="163" t="str">
        <f>IF(AND('Resource Planner'!$A$38="☑",21&lt;='Resource Planner'!$N$38),'Resource Planner'!$E$38,"")</f>
        <v/>
      </c>
      <c r="F1425" s="163" t="str">
        <f>IF(AND('Resource Planner'!$A$38="☑",21&lt;='Resource Planner'!$N$38),'Resource Planner'!$F$38&amp;" "&amp;('Resource Planner'!$G$38+(21-1)*'Resource Planner'!$I$38)&amp;IF(('Resource Planner'!$G$38+(21-1)*'Resource Planner'!$I$38)=MIN('Resource Planner'!$G$38+21*'Resource Planner'!$I$38-1,'Resource Planner'!$H$38),"","–"&amp;MIN('Resource Planner'!$G$38+21*'Resource Planner'!$I$38-1,'Resource Planner'!$H$38)),"")</f>
        <v/>
      </c>
      <c r="G1425" s="163" t="s">
        <v>109</v>
      </c>
      <c r="H1425" s="163" t="str">
        <f>IF(AND('Resource Planner'!$A$38="☑",21&lt;='Resource Planner'!$N$38),'Resource Planner'!$M$38,"")</f>
        <v/>
      </c>
    </row>
    <row r="1426" ht="15.75" customHeight="1">
      <c r="A14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6" s="163" t="str">
        <f>IF(AND('Resource Planner'!$A$38="☑",22&lt;='Resource Planner'!$N$38),'Resource Planner'!$C$38,"")</f>
        <v/>
      </c>
      <c r="C1426" s="163" t="str">
        <f>IF(AND('Resource Planner'!$A$38="☑",22&lt;='Resource Planner'!$N$38),'Resource Planner'!$B$38,"")</f>
        <v/>
      </c>
      <c r="D1426" s="163" t="str">
        <f>IF(AND('Resource Planner'!$A$38="☑",22&lt;='Resource Planner'!$N$38),'Resource Planner'!$D$38,"")</f>
        <v/>
      </c>
      <c r="E1426" s="163" t="str">
        <f>IF(AND('Resource Planner'!$A$38="☑",22&lt;='Resource Planner'!$N$38),'Resource Planner'!$E$38,"")</f>
        <v/>
      </c>
      <c r="F1426" s="163" t="str">
        <f>IF(AND('Resource Planner'!$A$38="☑",22&lt;='Resource Planner'!$N$38),'Resource Planner'!$F$38&amp;" "&amp;('Resource Planner'!$G$38+(22-1)*'Resource Planner'!$I$38)&amp;IF(('Resource Planner'!$G$38+(22-1)*'Resource Planner'!$I$38)=MIN('Resource Planner'!$G$38+22*'Resource Planner'!$I$38-1,'Resource Planner'!$H$38),"","–"&amp;MIN('Resource Planner'!$G$38+22*'Resource Planner'!$I$38-1,'Resource Planner'!$H$38)),"")</f>
        <v/>
      </c>
      <c r="G1426" s="163" t="s">
        <v>109</v>
      </c>
      <c r="H1426" s="163" t="str">
        <f>IF(AND('Resource Planner'!$A$38="☑",22&lt;='Resource Planner'!$N$38),'Resource Planner'!$M$38,"")</f>
        <v/>
      </c>
    </row>
    <row r="1427" ht="15.75" customHeight="1">
      <c r="A14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7" s="163" t="str">
        <f>IF(AND('Resource Planner'!$A$38="☑",23&lt;='Resource Planner'!$N$38),'Resource Planner'!$C$38,"")</f>
        <v/>
      </c>
      <c r="C1427" s="163" t="str">
        <f>IF(AND('Resource Planner'!$A$38="☑",23&lt;='Resource Planner'!$N$38),'Resource Planner'!$B$38,"")</f>
        <v/>
      </c>
      <c r="D1427" s="163" t="str">
        <f>IF(AND('Resource Planner'!$A$38="☑",23&lt;='Resource Planner'!$N$38),'Resource Planner'!$D$38,"")</f>
        <v/>
      </c>
      <c r="E1427" s="163" t="str">
        <f>IF(AND('Resource Planner'!$A$38="☑",23&lt;='Resource Planner'!$N$38),'Resource Planner'!$E$38,"")</f>
        <v/>
      </c>
      <c r="F1427" s="163" t="str">
        <f>IF(AND('Resource Planner'!$A$38="☑",23&lt;='Resource Planner'!$N$38),'Resource Planner'!$F$38&amp;" "&amp;('Resource Planner'!$G$38+(23-1)*'Resource Planner'!$I$38)&amp;IF(('Resource Planner'!$G$38+(23-1)*'Resource Planner'!$I$38)=MIN('Resource Planner'!$G$38+23*'Resource Planner'!$I$38-1,'Resource Planner'!$H$38),"","–"&amp;MIN('Resource Planner'!$G$38+23*'Resource Planner'!$I$38-1,'Resource Planner'!$H$38)),"")</f>
        <v/>
      </c>
      <c r="G1427" s="163" t="s">
        <v>109</v>
      </c>
      <c r="H1427" s="163" t="str">
        <f>IF(AND('Resource Planner'!$A$38="☑",23&lt;='Resource Planner'!$N$38),'Resource Planner'!$M$38,"")</f>
        <v/>
      </c>
    </row>
    <row r="1428" ht="15.75" customHeight="1">
      <c r="A14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8" s="163" t="str">
        <f>IF(AND('Resource Planner'!$A$38="☑",24&lt;='Resource Planner'!$N$38),'Resource Planner'!$C$38,"")</f>
        <v/>
      </c>
      <c r="C1428" s="163" t="str">
        <f>IF(AND('Resource Planner'!$A$38="☑",24&lt;='Resource Planner'!$N$38),'Resource Planner'!$B$38,"")</f>
        <v/>
      </c>
      <c r="D1428" s="163" t="str">
        <f>IF(AND('Resource Planner'!$A$38="☑",24&lt;='Resource Planner'!$N$38),'Resource Planner'!$D$38,"")</f>
        <v/>
      </c>
      <c r="E1428" s="163" t="str">
        <f>IF(AND('Resource Planner'!$A$38="☑",24&lt;='Resource Planner'!$N$38),'Resource Planner'!$E$38,"")</f>
        <v/>
      </c>
      <c r="F1428" s="163" t="str">
        <f>IF(AND('Resource Planner'!$A$38="☑",24&lt;='Resource Planner'!$N$38),'Resource Planner'!$F$38&amp;" "&amp;('Resource Planner'!$G$38+(24-1)*'Resource Planner'!$I$38)&amp;IF(('Resource Planner'!$G$38+(24-1)*'Resource Planner'!$I$38)=MIN('Resource Planner'!$G$38+24*'Resource Planner'!$I$38-1,'Resource Planner'!$H$38),"","–"&amp;MIN('Resource Planner'!$G$38+24*'Resource Planner'!$I$38-1,'Resource Planner'!$H$38)),"")</f>
        <v/>
      </c>
      <c r="G1428" s="163" t="s">
        <v>109</v>
      </c>
      <c r="H1428" s="163" t="str">
        <f>IF(AND('Resource Planner'!$A$38="☑",24&lt;='Resource Planner'!$N$38),'Resource Planner'!$M$38,"")</f>
        <v/>
      </c>
    </row>
    <row r="1429" ht="15.75" customHeight="1">
      <c r="A14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29" s="163" t="str">
        <f>IF(AND('Resource Planner'!$A$38="☑",25&lt;='Resource Planner'!$N$38),'Resource Planner'!$C$38,"")</f>
        <v/>
      </c>
      <c r="C1429" s="163" t="str">
        <f>IF(AND('Resource Planner'!$A$38="☑",25&lt;='Resource Planner'!$N$38),'Resource Planner'!$B$38,"")</f>
        <v/>
      </c>
      <c r="D1429" s="163" t="str">
        <f>IF(AND('Resource Planner'!$A$38="☑",25&lt;='Resource Planner'!$N$38),'Resource Planner'!$D$38,"")</f>
        <v/>
      </c>
      <c r="E1429" s="163" t="str">
        <f>IF(AND('Resource Planner'!$A$38="☑",25&lt;='Resource Planner'!$N$38),'Resource Planner'!$E$38,"")</f>
        <v/>
      </c>
      <c r="F1429" s="163" t="str">
        <f>IF(AND('Resource Planner'!$A$38="☑",25&lt;='Resource Planner'!$N$38),'Resource Planner'!$F$38&amp;" "&amp;('Resource Planner'!$G$38+(25-1)*'Resource Planner'!$I$38)&amp;IF(('Resource Planner'!$G$38+(25-1)*'Resource Planner'!$I$38)=MIN('Resource Planner'!$G$38+25*'Resource Planner'!$I$38-1,'Resource Planner'!$H$38),"","–"&amp;MIN('Resource Planner'!$G$38+25*'Resource Planner'!$I$38-1,'Resource Planner'!$H$38)),"")</f>
        <v/>
      </c>
      <c r="G1429" s="163" t="s">
        <v>109</v>
      </c>
      <c r="H1429" s="163" t="str">
        <f>IF(AND('Resource Planner'!$A$38="☑",25&lt;='Resource Planner'!$N$38),'Resource Planner'!$M$38,"")</f>
        <v/>
      </c>
    </row>
    <row r="1430" ht="15.75" customHeight="1">
      <c r="A14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0" s="163" t="str">
        <f>IF(AND('Resource Planner'!$A$38="☑",26&lt;='Resource Planner'!$N$38),'Resource Planner'!$C$38,"")</f>
        <v/>
      </c>
      <c r="C1430" s="163" t="str">
        <f>IF(AND('Resource Planner'!$A$38="☑",26&lt;='Resource Planner'!$N$38),'Resource Planner'!$B$38,"")</f>
        <v/>
      </c>
      <c r="D1430" s="163" t="str">
        <f>IF(AND('Resource Planner'!$A$38="☑",26&lt;='Resource Planner'!$N$38),'Resource Planner'!$D$38,"")</f>
        <v/>
      </c>
      <c r="E1430" s="163" t="str">
        <f>IF(AND('Resource Planner'!$A$38="☑",26&lt;='Resource Planner'!$N$38),'Resource Planner'!$E$38,"")</f>
        <v/>
      </c>
      <c r="F1430" s="163" t="str">
        <f>IF(AND('Resource Planner'!$A$38="☑",26&lt;='Resource Planner'!$N$38),'Resource Planner'!$F$38&amp;" "&amp;('Resource Planner'!$G$38+(26-1)*'Resource Planner'!$I$38)&amp;IF(('Resource Planner'!$G$38+(26-1)*'Resource Planner'!$I$38)=MIN('Resource Planner'!$G$38+26*'Resource Planner'!$I$38-1,'Resource Planner'!$H$38),"","–"&amp;MIN('Resource Planner'!$G$38+26*'Resource Planner'!$I$38-1,'Resource Planner'!$H$38)),"")</f>
        <v/>
      </c>
      <c r="G1430" s="163" t="s">
        <v>109</v>
      </c>
      <c r="H1430" s="163" t="str">
        <f>IF(AND('Resource Planner'!$A$38="☑",26&lt;='Resource Planner'!$N$38),'Resource Planner'!$M$38,"")</f>
        <v/>
      </c>
    </row>
    <row r="1431" ht="15.75" customHeight="1">
      <c r="A14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1" s="163" t="str">
        <f>IF(AND('Resource Planner'!$A$38="☑",27&lt;='Resource Planner'!$N$38),'Resource Planner'!$C$38,"")</f>
        <v/>
      </c>
      <c r="C1431" s="163" t="str">
        <f>IF(AND('Resource Planner'!$A$38="☑",27&lt;='Resource Planner'!$N$38),'Resource Planner'!$B$38,"")</f>
        <v/>
      </c>
      <c r="D1431" s="163" t="str">
        <f>IF(AND('Resource Planner'!$A$38="☑",27&lt;='Resource Planner'!$N$38),'Resource Planner'!$D$38,"")</f>
        <v/>
      </c>
      <c r="E1431" s="163" t="str">
        <f>IF(AND('Resource Planner'!$A$38="☑",27&lt;='Resource Planner'!$N$38),'Resource Planner'!$E$38,"")</f>
        <v/>
      </c>
      <c r="F1431" s="163" t="str">
        <f>IF(AND('Resource Planner'!$A$38="☑",27&lt;='Resource Planner'!$N$38),'Resource Planner'!$F$38&amp;" "&amp;('Resource Planner'!$G$38+(27-1)*'Resource Planner'!$I$38)&amp;IF(('Resource Planner'!$G$38+(27-1)*'Resource Planner'!$I$38)=MIN('Resource Planner'!$G$38+27*'Resource Planner'!$I$38-1,'Resource Planner'!$H$38),"","–"&amp;MIN('Resource Planner'!$G$38+27*'Resource Planner'!$I$38-1,'Resource Planner'!$H$38)),"")</f>
        <v/>
      </c>
      <c r="G1431" s="163" t="s">
        <v>109</v>
      </c>
      <c r="H1431" s="163" t="str">
        <f>IF(AND('Resource Planner'!$A$38="☑",27&lt;='Resource Planner'!$N$38),'Resource Planner'!$M$38,"")</f>
        <v/>
      </c>
    </row>
    <row r="1432" ht="15.75" customHeight="1">
      <c r="A14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2" s="163" t="str">
        <f>IF(AND('Resource Planner'!$A$38="☑",28&lt;='Resource Planner'!$N$38),'Resource Planner'!$C$38,"")</f>
        <v/>
      </c>
      <c r="C1432" s="163" t="str">
        <f>IF(AND('Resource Planner'!$A$38="☑",28&lt;='Resource Planner'!$N$38),'Resource Planner'!$B$38,"")</f>
        <v/>
      </c>
      <c r="D1432" s="163" t="str">
        <f>IF(AND('Resource Planner'!$A$38="☑",28&lt;='Resource Planner'!$N$38),'Resource Planner'!$D$38,"")</f>
        <v/>
      </c>
      <c r="E1432" s="163" t="str">
        <f>IF(AND('Resource Planner'!$A$38="☑",28&lt;='Resource Planner'!$N$38),'Resource Planner'!$E$38,"")</f>
        <v/>
      </c>
      <c r="F1432" s="163" t="str">
        <f>IF(AND('Resource Planner'!$A$38="☑",28&lt;='Resource Planner'!$N$38),'Resource Planner'!$F$38&amp;" "&amp;('Resource Planner'!$G$38+(28-1)*'Resource Planner'!$I$38)&amp;IF(('Resource Planner'!$G$38+(28-1)*'Resource Planner'!$I$38)=MIN('Resource Planner'!$G$38+28*'Resource Planner'!$I$38-1,'Resource Planner'!$H$38),"","–"&amp;MIN('Resource Planner'!$G$38+28*'Resource Planner'!$I$38-1,'Resource Planner'!$H$38)),"")</f>
        <v/>
      </c>
      <c r="G1432" s="163" t="s">
        <v>109</v>
      </c>
      <c r="H1432" s="163" t="str">
        <f>IF(AND('Resource Planner'!$A$38="☑",28&lt;='Resource Planner'!$N$38),'Resource Planner'!$M$38,"")</f>
        <v/>
      </c>
    </row>
    <row r="1433" ht="15.75" customHeight="1">
      <c r="A14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3" s="163" t="str">
        <f>IF(AND('Resource Planner'!$A$38="☑",29&lt;='Resource Planner'!$N$38),'Resource Planner'!$C$38,"")</f>
        <v/>
      </c>
      <c r="C1433" s="163" t="str">
        <f>IF(AND('Resource Planner'!$A$38="☑",29&lt;='Resource Planner'!$N$38),'Resource Planner'!$B$38,"")</f>
        <v/>
      </c>
      <c r="D1433" s="163" t="str">
        <f>IF(AND('Resource Planner'!$A$38="☑",29&lt;='Resource Planner'!$N$38),'Resource Planner'!$D$38,"")</f>
        <v/>
      </c>
      <c r="E1433" s="163" t="str">
        <f>IF(AND('Resource Planner'!$A$38="☑",29&lt;='Resource Planner'!$N$38),'Resource Planner'!$E$38,"")</f>
        <v/>
      </c>
      <c r="F1433" s="163" t="str">
        <f>IF(AND('Resource Planner'!$A$38="☑",29&lt;='Resource Planner'!$N$38),'Resource Planner'!$F$38&amp;" "&amp;('Resource Planner'!$G$38+(29-1)*'Resource Planner'!$I$38)&amp;IF(('Resource Planner'!$G$38+(29-1)*'Resource Planner'!$I$38)=MIN('Resource Planner'!$G$38+29*'Resource Planner'!$I$38-1,'Resource Planner'!$H$38),"","–"&amp;MIN('Resource Planner'!$G$38+29*'Resource Planner'!$I$38-1,'Resource Planner'!$H$38)),"")</f>
        <v/>
      </c>
      <c r="G1433" s="163" t="s">
        <v>109</v>
      </c>
      <c r="H1433" s="163" t="str">
        <f>IF(AND('Resource Planner'!$A$38="☑",29&lt;='Resource Planner'!$N$38),'Resource Planner'!$M$38,"")</f>
        <v/>
      </c>
    </row>
    <row r="1434" ht="15.75" customHeight="1">
      <c r="A14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4" s="163" t="str">
        <f>IF(AND('Resource Planner'!$A$38="☑",30&lt;='Resource Planner'!$N$38),'Resource Planner'!$C$38,"")</f>
        <v/>
      </c>
      <c r="C1434" s="163" t="str">
        <f>IF(AND('Resource Planner'!$A$38="☑",30&lt;='Resource Planner'!$N$38),'Resource Planner'!$B$38,"")</f>
        <v/>
      </c>
      <c r="D1434" s="163" t="str">
        <f>IF(AND('Resource Planner'!$A$38="☑",30&lt;='Resource Planner'!$N$38),'Resource Planner'!$D$38,"")</f>
        <v/>
      </c>
      <c r="E1434" s="163" t="str">
        <f>IF(AND('Resource Planner'!$A$38="☑",30&lt;='Resource Planner'!$N$38),'Resource Planner'!$E$38,"")</f>
        <v/>
      </c>
      <c r="F1434" s="163" t="str">
        <f>IF(AND('Resource Planner'!$A$38="☑",30&lt;='Resource Planner'!$N$38),'Resource Planner'!$F$38&amp;" "&amp;('Resource Planner'!$G$38+(30-1)*'Resource Planner'!$I$38)&amp;IF(('Resource Planner'!$G$38+(30-1)*'Resource Planner'!$I$38)=MIN('Resource Planner'!$G$38+30*'Resource Planner'!$I$38-1,'Resource Planner'!$H$38),"","–"&amp;MIN('Resource Planner'!$G$38+30*'Resource Planner'!$I$38-1,'Resource Planner'!$H$38)),"")</f>
        <v/>
      </c>
      <c r="G1434" s="163" t="s">
        <v>109</v>
      </c>
      <c r="H1434" s="163" t="str">
        <f>IF(AND('Resource Planner'!$A$38="☑",30&lt;='Resource Planner'!$N$38),'Resource Planner'!$M$38,"")</f>
        <v/>
      </c>
    </row>
    <row r="1435" ht="15.75" customHeight="1">
      <c r="A14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5" s="163" t="str">
        <f>IF(AND('Resource Planner'!$A$38="☑",31&lt;='Resource Planner'!$N$38),'Resource Planner'!$C$38,"")</f>
        <v/>
      </c>
      <c r="C1435" s="163" t="str">
        <f>IF(AND('Resource Planner'!$A$38="☑",31&lt;='Resource Planner'!$N$38),'Resource Planner'!$B$38,"")</f>
        <v/>
      </c>
      <c r="D1435" s="163" t="str">
        <f>IF(AND('Resource Planner'!$A$38="☑",31&lt;='Resource Planner'!$N$38),'Resource Planner'!$D$38,"")</f>
        <v/>
      </c>
      <c r="E1435" s="163" t="str">
        <f>IF(AND('Resource Planner'!$A$38="☑",31&lt;='Resource Planner'!$N$38),'Resource Planner'!$E$38,"")</f>
        <v/>
      </c>
      <c r="F1435" s="163" t="str">
        <f>IF(AND('Resource Planner'!$A$38="☑",31&lt;='Resource Planner'!$N$38),'Resource Planner'!$F$38&amp;" "&amp;('Resource Planner'!$G$38+(31-1)*'Resource Planner'!$I$38)&amp;IF(('Resource Planner'!$G$38+(31-1)*'Resource Planner'!$I$38)=MIN('Resource Planner'!$G$38+31*'Resource Planner'!$I$38-1,'Resource Planner'!$H$38),"","–"&amp;MIN('Resource Planner'!$G$38+31*'Resource Planner'!$I$38-1,'Resource Planner'!$H$38)),"")</f>
        <v/>
      </c>
      <c r="G1435" s="163" t="s">
        <v>109</v>
      </c>
      <c r="H1435" s="163" t="str">
        <f>IF(AND('Resource Planner'!$A$38="☑",31&lt;='Resource Planner'!$N$38),'Resource Planner'!$M$38,"")</f>
        <v/>
      </c>
    </row>
    <row r="1436" ht="15.75" customHeight="1">
      <c r="A14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6" s="163" t="str">
        <f>IF(AND('Resource Planner'!$A$38="☑",32&lt;='Resource Planner'!$N$38),'Resource Planner'!$C$38,"")</f>
        <v/>
      </c>
      <c r="C1436" s="163" t="str">
        <f>IF(AND('Resource Planner'!$A$38="☑",32&lt;='Resource Planner'!$N$38),'Resource Planner'!$B$38,"")</f>
        <v/>
      </c>
      <c r="D1436" s="163" t="str">
        <f>IF(AND('Resource Planner'!$A$38="☑",32&lt;='Resource Planner'!$N$38),'Resource Planner'!$D$38,"")</f>
        <v/>
      </c>
      <c r="E1436" s="163" t="str">
        <f>IF(AND('Resource Planner'!$A$38="☑",32&lt;='Resource Planner'!$N$38),'Resource Planner'!$E$38,"")</f>
        <v/>
      </c>
      <c r="F1436" s="163" t="str">
        <f>IF(AND('Resource Planner'!$A$38="☑",32&lt;='Resource Planner'!$N$38),'Resource Planner'!$F$38&amp;" "&amp;('Resource Planner'!$G$38+(32-1)*'Resource Planner'!$I$38)&amp;IF(('Resource Planner'!$G$38+(32-1)*'Resource Planner'!$I$38)=MIN('Resource Planner'!$G$38+32*'Resource Planner'!$I$38-1,'Resource Planner'!$H$38),"","–"&amp;MIN('Resource Planner'!$G$38+32*'Resource Planner'!$I$38-1,'Resource Planner'!$H$38)),"")</f>
        <v/>
      </c>
      <c r="G1436" s="163" t="s">
        <v>109</v>
      </c>
      <c r="H1436" s="163" t="str">
        <f>IF(AND('Resource Planner'!$A$38="☑",32&lt;='Resource Planner'!$N$38),'Resource Planner'!$M$38,"")</f>
        <v/>
      </c>
    </row>
    <row r="1437" ht="15.75" customHeight="1">
      <c r="A14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7" s="163" t="str">
        <f>IF(AND('Resource Planner'!$A$38="☑",33&lt;='Resource Planner'!$N$38),'Resource Planner'!$C$38,"")</f>
        <v/>
      </c>
      <c r="C1437" s="163" t="str">
        <f>IF(AND('Resource Planner'!$A$38="☑",33&lt;='Resource Planner'!$N$38),'Resource Planner'!$B$38,"")</f>
        <v/>
      </c>
      <c r="D1437" s="163" t="str">
        <f>IF(AND('Resource Planner'!$A$38="☑",33&lt;='Resource Planner'!$N$38),'Resource Planner'!$D$38,"")</f>
        <v/>
      </c>
      <c r="E1437" s="163" t="str">
        <f>IF(AND('Resource Planner'!$A$38="☑",33&lt;='Resource Planner'!$N$38),'Resource Planner'!$E$38,"")</f>
        <v/>
      </c>
      <c r="F1437" s="163" t="str">
        <f>IF(AND('Resource Planner'!$A$38="☑",33&lt;='Resource Planner'!$N$38),'Resource Planner'!$F$38&amp;" "&amp;('Resource Planner'!$G$38+(33-1)*'Resource Planner'!$I$38)&amp;IF(('Resource Planner'!$G$38+(33-1)*'Resource Planner'!$I$38)=MIN('Resource Planner'!$G$38+33*'Resource Planner'!$I$38-1,'Resource Planner'!$H$38),"","–"&amp;MIN('Resource Planner'!$G$38+33*'Resource Planner'!$I$38-1,'Resource Planner'!$H$38)),"")</f>
        <v/>
      </c>
      <c r="G1437" s="163" t="s">
        <v>109</v>
      </c>
      <c r="H1437" s="163" t="str">
        <f>IF(AND('Resource Planner'!$A$38="☑",33&lt;='Resource Planner'!$N$38),'Resource Planner'!$M$38,"")</f>
        <v/>
      </c>
    </row>
    <row r="1438" ht="15.75" customHeight="1">
      <c r="A14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8" s="163" t="str">
        <f>IF(AND('Resource Planner'!$A$38="☑",34&lt;='Resource Planner'!$N$38),'Resource Planner'!$C$38,"")</f>
        <v/>
      </c>
      <c r="C1438" s="163" t="str">
        <f>IF(AND('Resource Planner'!$A$38="☑",34&lt;='Resource Planner'!$N$38),'Resource Planner'!$B$38,"")</f>
        <v/>
      </c>
      <c r="D1438" s="163" t="str">
        <f>IF(AND('Resource Planner'!$A$38="☑",34&lt;='Resource Planner'!$N$38),'Resource Planner'!$D$38,"")</f>
        <v/>
      </c>
      <c r="E1438" s="163" t="str">
        <f>IF(AND('Resource Planner'!$A$38="☑",34&lt;='Resource Planner'!$N$38),'Resource Planner'!$E$38,"")</f>
        <v/>
      </c>
      <c r="F1438" s="163" t="str">
        <f>IF(AND('Resource Planner'!$A$38="☑",34&lt;='Resource Planner'!$N$38),'Resource Planner'!$F$38&amp;" "&amp;('Resource Planner'!$G$38+(34-1)*'Resource Planner'!$I$38)&amp;IF(('Resource Planner'!$G$38+(34-1)*'Resource Planner'!$I$38)=MIN('Resource Planner'!$G$38+34*'Resource Planner'!$I$38-1,'Resource Planner'!$H$38),"","–"&amp;MIN('Resource Planner'!$G$38+34*'Resource Planner'!$I$38-1,'Resource Planner'!$H$38)),"")</f>
        <v/>
      </c>
      <c r="G1438" s="163" t="s">
        <v>109</v>
      </c>
      <c r="H1438" s="163" t="str">
        <f>IF(AND('Resource Planner'!$A$38="☑",34&lt;='Resource Planner'!$N$38),'Resource Planner'!$M$38,"")</f>
        <v/>
      </c>
    </row>
    <row r="1439" ht="15.75" customHeight="1">
      <c r="A14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39" s="163" t="str">
        <f>IF(AND('Resource Planner'!$A$38="☑",35&lt;='Resource Planner'!$N$38),'Resource Planner'!$C$38,"")</f>
        <v/>
      </c>
      <c r="C1439" s="163" t="str">
        <f>IF(AND('Resource Planner'!$A$38="☑",35&lt;='Resource Planner'!$N$38),'Resource Planner'!$B$38,"")</f>
        <v/>
      </c>
      <c r="D1439" s="163" t="str">
        <f>IF(AND('Resource Planner'!$A$38="☑",35&lt;='Resource Planner'!$N$38),'Resource Planner'!$D$38,"")</f>
        <v/>
      </c>
      <c r="E1439" s="163" t="str">
        <f>IF(AND('Resource Planner'!$A$38="☑",35&lt;='Resource Planner'!$N$38),'Resource Planner'!$E$38,"")</f>
        <v/>
      </c>
      <c r="F1439" s="163" t="str">
        <f>IF(AND('Resource Planner'!$A$38="☑",35&lt;='Resource Planner'!$N$38),'Resource Planner'!$F$38&amp;" "&amp;('Resource Planner'!$G$38+(35-1)*'Resource Planner'!$I$38)&amp;IF(('Resource Planner'!$G$38+(35-1)*'Resource Planner'!$I$38)=MIN('Resource Planner'!$G$38+35*'Resource Planner'!$I$38-1,'Resource Planner'!$H$38),"","–"&amp;MIN('Resource Planner'!$G$38+35*'Resource Planner'!$I$38-1,'Resource Planner'!$H$38)),"")</f>
        <v/>
      </c>
      <c r="G1439" s="163" t="s">
        <v>109</v>
      </c>
      <c r="H1439" s="163" t="str">
        <f>IF(AND('Resource Planner'!$A$38="☑",35&lt;='Resource Planner'!$N$38),'Resource Planner'!$M$38,"")</f>
        <v/>
      </c>
    </row>
    <row r="1440" ht="15.75" customHeight="1">
      <c r="A14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0" s="163" t="str">
        <f>IF(AND('Resource Planner'!$A$38="☑",36&lt;='Resource Planner'!$N$38),'Resource Planner'!$C$38,"")</f>
        <v/>
      </c>
      <c r="C1440" s="163" t="str">
        <f>IF(AND('Resource Planner'!$A$38="☑",36&lt;='Resource Planner'!$N$38),'Resource Planner'!$B$38,"")</f>
        <v/>
      </c>
      <c r="D1440" s="163" t="str">
        <f>IF(AND('Resource Planner'!$A$38="☑",36&lt;='Resource Planner'!$N$38),'Resource Planner'!$D$38,"")</f>
        <v/>
      </c>
      <c r="E1440" s="163" t="str">
        <f>IF(AND('Resource Planner'!$A$38="☑",36&lt;='Resource Planner'!$N$38),'Resource Planner'!$E$38,"")</f>
        <v/>
      </c>
      <c r="F1440" s="163" t="str">
        <f>IF(AND('Resource Planner'!$A$38="☑",36&lt;='Resource Planner'!$N$38),'Resource Planner'!$F$38&amp;" "&amp;('Resource Planner'!$G$38+(36-1)*'Resource Planner'!$I$38)&amp;IF(('Resource Planner'!$G$38+(36-1)*'Resource Planner'!$I$38)=MIN('Resource Planner'!$G$38+36*'Resource Planner'!$I$38-1,'Resource Planner'!$H$38),"","–"&amp;MIN('Resource Planner'!$G$38+36*'Resource Planner'!$I$38-1,'Resource Planner'!$H$38)),"")</f>
        <v/>
      </c>
      <c r="G1440" s="163" t="s">
        <v>109</v>
      </c>
      <c r="H1440" s="163" t="str">
        <f>IF(AND('Resource Planner'!$A$38="☑",36&lt;='Resource Planner'!$N$38),'Resource Planner'!$M$38,"")</f>
        <v/>
      </c>
    </row>
    <row r="1441" ht="15.75" customHeight="1">
      <c r="A14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1" s="163" t="str">
        <f>IF(AND('Resource Planner'!$A$38="☑",37&lt;='Resource Planner'!$N$38),'Resource Planner'!$C$38,"")</f>
        <v/>
      </c>
      <c r="C1441" s="163" t="str">
        <f>IF(AND('Resource Planner'!$A$38="☑",37&lt;='Resource Planner'!$N$38),'Resource Planner'!$B$38,"")</f>
        <v/>
      </c>
      <c r="D1441" s="163" t="str">
        <f>IF(AND('Resource Planner'!$A$38="☑",37&lt;='Resource Planner'!$N$38),'Resource Planner'!$D$38,"")</f>
        <v/>
      </c>
      <c r="E1441" s="163" t="str">
        <f>IF(AND('Resource Planner'!$A$38="☑",37&lt;='Resource Planner'!$N$38),'Resource Planner'!$E$38,"")</f>
        <v/>
      </c>
      <c r="F1441" s="163" t="str">
        <f>IF(AND('Resource Planner'!$A$38="☑",37&lt;='Resource Planner'!$N$38),'Resource Planner'!$F$38&amp;" "&amp;('Resource Planner'!$G$38+(37-1)*'Resource Planner'!$I$38)&amp;IF(('Resource Planner'!$G$38+(37-1)*'Resource Planner'!$I$38)=MIN('Resource Planner'!$G$38+37*'Resource Planner'!$I$38-1,'Resource Planner'!$H$38),"","–"&amp;MIN('Resource Planner'!$G$38+37*'Resource Planner'!$I$38-1,'Resource Planner'!$H$38)),"")</f>
        <v/>
      </c>
      <c r="G1441" s="163" t="s">
        <v>109</v>
      </c>
      <c r="H1441" s="163" t="str">
        <f>IF(AND('Resource Planner'!$A$38="☑",37&lt;='Resource Planner'!$N$38),'Resource Planner'!$M$38,"")</f>
        <v/>
      </c>
    </row>
    <row r="1442" ht="15.75" customHeight="1">
      <c r="A14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2" s="163" t="str">
        <f>IF(AND('Resource Planner'!$A$38="☑",38&lt;='Resource Planner'!$N$38),'Resource Planner'!$C$38,"")</f>
        <v/>
      </c>
      <c r="C1442" s="163" t="str">
        <f>IF(AND('Resource Planner'!$A$38="☑",38&lt;='Resource Planner'!$N$38),'Resource Planner'!$B$38,"")</f>
        <v/>
      </c>
      <c r="D1442" s="163" t="str">
        <f>IF(AND('Resource Planner'!$A$38="☑",38&lt;='Resource Planner'!$N$38),'Resource Planner'!$D$38,"")</f>
        <v/>
      </c>
      <c r="E1442" s="163" t="str">
        <f>IF(AND('Resource Planner'!$A$38="☑",38&lt;='Resource Planner'!$N$38),'Resource Planner'!$E$38,"")</f>
        <v/>
      </c>
      <c r="F1442" s="163" t="str">
        <f>IF(AND('Resource Planner'!$A$38="☑",38&lt;='Resource Planner'!$N$38),'Resource Planner'!$F$38&amp;" "&amp;('Resource Planner'!$G$38+(38-1)*'Resource Planner'!$I$38)&amp;IF(('Resource Planner'!$G$38+(38-1)*'Resource Planner'!$I$38)=MIN('Resource Planner'!$G$38+38*'Resource Planner'!$I$38-1,'Resource Planner'!$H$38),"","–"&amp;MIN('Resource Planner'!$G$38+38*'Resource Planner'!$I$38-1,'Resource Planner'!$H$38)),"")</f>
        <v/>
      </c>
      <c r="G1442" s="163" t="s">
        <v>109</v>
      </c>
      <c r="H1442" s="163" t="str">
        <f>IF(AND('Resource Planner'!$A$38="☑",38&lt;='Resource Planner'!$N$38),'Resource Planner'!$M$38,"")</f>
        <v/>
      </c>
    </row>
    <row r="1443" ht="15.75" customHeight="1">
      <c r="A14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3" s="163" t="str">
        <f>IF(AND('Resource Planner'!$A$38="☑",39&lt;='Resource Planner'!$N$38),'Resource Planner'!$C$38,"")</f>
        <v/>
      </c>
      <c r="C1443" s="163" t="str">
        <f>IF(AND('Resource Planner'!$A$38="☑",39&lt;='Resource Planner'!$N$38),'Resource Planner'!$B$38,"")</f>
        <v/>
      </c>
      <c r="D1443" s="163" t="str">
        <f>IF(AND('Resource Planner'!$A$38="☑",39&lt;='Resource Planner'!$N$38),'Resource Planner'!$D$38,"")</f>
        <v/>
      </c>
      <c r="E1443" s="163" t="str">
        <f>IF(AND('Resource Planner'!$A$38="☑",39&lt;='Resource Planner'!$N$38),'Resource Planner'!$E$38,"")</f>
        <v/>
      </c>
      <c r="F1443" s="163" t="str">
        <f>IF(AND('Resource Planner'!$A$38="☑",39&lt;='Resource Planner'!$N$38),'Resource Planner'!$F$38&amp;" "&amp;('Resource Planner'!$G$38+(39-1)*'Resource Planner'!$I$38)&amp;IF(('Resource Planner'!$G$38+(39-1)*'Resource Planner'!$I$38)=MIN('Resource Planner'!$G$38+39*'Resource Planner'!$I$38-1,'Resource Planner'!$H$38),"","–"&amp;MIN('Resource Planner'!$G$38+39*'Resource Planner'!$I$38-1,'Resource Planner'!$H$38)),"")</f>
        <v/>
      </c>
      <c r="G1443" s="163" t="s">
        <v>109</v>
      </c>
      <c r="H1443" s="163" t="str">
        <f>IF(AND('Resource Planner'!$A$38="☑",39&lt;='Resource Planner'!$N$38),'Resource Planner'!$M$38,"")</f>
        <v/>
      </c>
    </row>
    <row r="1444" ht="15.75" customHeight="1">
      <c r="A14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4" s="163" t="str">
        <f>IF(AND('Resource Planner'!$A$38="☑",40&lt;='Resource Planner'!$N$38),'Resource Planner'!$C$38,"")</f>
        <v/>
      </c>
      <c r="C1444" s="163" t="str">
        <f>IF(AND('Resource Planner'!$A$38="☑",40&lt;='Resource Planner'!$N$38),'Resource Planner'!$B$38,"")</f>
        <v/>
      </c>
      <c r="D1444" s="163" t="str">
        <f>IF(AND('Resource Planner'!$A$38="☑",40&lt;='Resource Planner'!$N$38),'Resource Planner'!$D$38,"")</f>
        <v/>
      </c>
      <c r="E1444" s="163" t="str">
        <f>IF(AND('Resource Planner'!$A$38="☑",40&lt;='Resource Planner'!$N$38),'Resource Planner'!$E$38,"")</f>
        <v/>
      </c>
      <c r="F1444" s="163" t="str">
        <f>IF(AND('Resource Planner'!$A$38="☑",40&lt;='Resource Planner'!$N$38),'Resource Planner'!$F$38&amp;" "&amp;('Resource Planner'!$G$38+(40-1)*'Resource Planner'!$I$38)&amp;IF(('Resource Planner'!$G$38+(40-1)*'Resource Planner'!$I$38)=MIN('Resource Planner'!$G$38+40*'Resource Planner'!$I$38-1,'Resource Planner'!$H$38),"","–"&amp;MIN('Resource Planner'!$G$38+40*'Resource Planner'!$I$38-1,'Resource Planner'!$H$38)),"")</f>
        <v/>
      </c>
      <c r="G1444" s="163" t="s">
        <v>109</v>
      </c>
      <c r="H1444" s="163" t="str">
        <f>IF(AND('Resource Planner'!$A$38="☑",40&lt;='Resource Planner'!$N$38),'Resource Planner'!$M$38,"")</f>
        <v/>
      </c>
    </row>
    <row r="1445" ht="15.75" customHeight="1">
      <c r="A14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5" s="163" t="str">
        <f>IF(AND('Resource Planner'!$A$38="☑",41&lt;='Resource Planner'!$N$38),'Resource Planner'!$C$38,"")</f>
        <v/>
      </c>
      <c r="C1445" s="163" t="str">
        <f>IF(AND('Resource Planner'!$A$38="☑",41&lt;='Resource Planner'!$N$38),'Resource Planner'!$B$38,"")</f>
        <v/>
      </c>
      <c r="D1445" s="163" t="str">
        <f>IF(AND('Resource Planner'!$A$38="☑",41&lt;='Resource Planner'!$N$38),'Resource Planner'!$D$38,"")</f>
        <v/>
      </c>
      <c r="E1445" s="163" t="str">
        <f>IF(AND('Resource Planner'!$A$38="☑",41&lt;='Resource Planner'!$N$38),'Resource Planner'!$E$38,"")</f>
        <v/>
      </c>
      <c r="F1445" s="163" t="str">
        <f>IF(AND('Resource Planner'!$A$38="☑",41&lt;='Resource Planner'!$N$38),'Resource Planner'!$F$38&amp;" "&amp;('Resource Planner'!$G$38+(41-1)*'Resource Planner'!$I$38)&amp;IF(('Resource Planner'!$G$38+(41-1)*'Resource Planner'!$I$38)=MIN('Resource Planner'!$G$38+41*'Resource Planner'!$I$38-1,'Resource Planner'!$H$38),"","–"&amp;MIN('Resource Planner'!$G$38+41*'Resource Planner'!$I$38-1,'Resource Planner'!$H$38)),"")</f>
        <v/>
      </c>
      <c r="G1445" s="163" t="s">
        <v>109</v>
      </c>
      <c r="H1445" s="163" t="str">
        <f>IF(AND('Resource Planner'!$A$38="☑",41&lt;='Resource Planner'!$N$38),'Resource Planner'!$M$38,"")</f>
        <v/>
      </c>
    </row>
    <row r="1446" ht="15.75" customHeight="1">
      <c r="A14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6" s="163" t="str">
        <f>IF(AND('Resource Planner'!$A$38="☑",42&lt;='Resource Planner'!$N$38),'Resource Planner'!$C$38,"")</f>
        <v/>
      </c>
      <c r="C1446" s="163" t="str">
        <f>IF(AND('Resource Planner'!$A$38="☑",42&lt;='Resource Planner'!$N$38),'Resource Planner'!$B$38,"")</f>
        <v/>
      </c>
      <c r="D1446" s="163" t="str">
        <f>IF(AND('Resource Planner'!$A$38="☑",42&lt;='Resource Planner'!$N$38),'Resource Planner'!$D$38,"")</f>
        <v/>
      </c>
      <c r="E1446" s="163" t="str">
        <f>IF(AND('Resource Planner'!$A$38="☑",42&lt;='Resource Planner'!$N$38),'Resource Planner'!$E$38,"")</f>
        <v/>
      </c>
      <c r="F1446" s="163" t="str">
        <f>IF(AND('Resource Planner'!$A$38="☑",42&lt;='Resource Planner'!$N$38),'Resource Planner'!$F$38&amp;" "&amp;('Resource Planner'!$G$38+(42-1)*'Resource Planner'!$I$38)&amp;IF(('Resource Planner'!$G$38+(42-1)*'Resource Planner'!$I$38)=MIN('Resource Planner'!$G$38+42*'Resource Planner'!$I$38-1,'Resource Planner'!$H$38),"","–"&amp;MIN('Resource Planner'!$G$38+42*'Resource Planner'!$I$38-1,'Resource Planner'!$H$38)),"")</f>
        <v/>
      </c>
      <c r="G1446" s="163" t="s">
        <v>109</v>
      </c>
      <c r="H1446" s="163" t="str">
        <f>IF(AND('Resource Planner'!$A$38="☑",42&lt;='Resource Planner'!$N$38),'Resource Planner'!$M$38,"")</f>
        <v/>
      </c>
    </row>
    <row r="1447" ht="15.75" customHeight="1">
      <c r="A14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7" s="163" t="str">
        <f>IF(AND('Resource Planner'!$A$38="☑",43&lt;='Resource Planner'!$N$38),'Resource Planner'!$C$38,"")</f>
        <v/>
      </c>
      <c r="C1447" s="163" t="str">
        <f>IF(AND('Resource Planner'!$A$38="☑",43&lt;='Resource Planner'!$N$38),'Resource Planner'!$B$38,"")</f>
        <v/>
      </c>
      <c r="D1447" s="163" t="str">
        <f>IF(AND('Resource Planner'!$A$38="☑",43&lt;='Resource Planner'!$N$38),'Resource Planner'!$D$38,"")</f>
        <v/>
      </c>
      <c r="E1447" s="163" t="str">
        <f>IF(AND('Resource Planner'!$A$38="☑",43&lt;='Resource Planner'!$N$38),'Resource Planner'!$E$38,"")</f>
        <v/>
      </c>
      <c r="F1447" s="163" t="str">
        <f>IF(AND('Resource Planner'!$A$38="☑",43&lt;='Resource Planner'!$N$38),'Resource Planner'!$F$38&amp;" "&amp;('Resource Planner'!$G$38+(43-1)*'Resource Planner'!$I$38)&amp;IF(('Resource Planner'!$G$38+(43-1)*'Resource Planner'!$I$38)=MIN('Resource Planner'!$G$38+43*'Resource Planner'!$I$38-1,'Resource Planner'!$H$38),"","–"&amp;MIN('Resource Planner'!$G$38+43*'Resource Planner'!$I$38-1,'Resource Planner'!$H$38)),"")</f>
        <v/>
      </c>
      <c r="G1447" s="163" t="s">
        <v>109</v>
      </c>
      <c r="H1447" s="163" t="str">
        <f>IF(AND('Resource Planner'!$A$38="☑",43&lt;='Resource Planner'!$N$38),'Resource Planner'!$M$38,"")</f>
        <v/>
      </c>
    </row>
    <row r="1448" ht="15.75" customHeight="1">
      <c r="A14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8" s="163" t="str">
        <f>IF(AND('Resource Planner'!$A$38="☑",44&lt;='Resource Planner'!$N$38),'Resource Planner'!$C$38,"")</f>
        <v/>
      </c>
      <c r="C1448" s="163" t="str">
        <f>IF(AND('Resource Planner'!$A$38="☑",44&lt;='Resource Planner'!$N$38),'Resource Planner'!$B$38,"")</f>
        <v/>
      </c>
      <c r="D1448" s="163" t="str">
        <f>IF(AND('Resource Planner'!$A$38="☑",44&lt;='Resource Planner'!$N$38),'Resource Planner'!$D$38,"")</f>
        <v/>
      </c>
      <c r="E1448" s="163" t="str">
        <f>IF(AND('Resource Planner'!$A$38="☑",44&lt;='Resource Planner'!$N$38),'Resource Planner'!$E$38,"")</f>
        <v/>
      </c>
      <c r="F1448" s="163" t="str">
        <f>IF(AND('Resource Planner'!$A$38="☑",44&lt;='Resource Planner'!$N$38),'Resource Planner'!$F$38&amp;" "&amp;('Resource Planner'!$G$38+(44-1)*'Resource Planner'!$I$38)&amp;IF(('Resource Planner'!$G$38+(44-1)*'Resource Planner'!$I$38)=MIN('Resource Planner'!$G$38+44*'Resource Planner'!$I$38-1,'Resource Planner'!$H$38),"","–"&amp;MIN('Resource Planner'!$G$38+44*'Resource Planner'!$I$38-1,'Resource Planner'!$H$38)),"")</f>
        <v/>
      </c>
      <c r="G1448" s="163" t="s">
        <v>109</v>
      </c>
      <c r="H1448" s="163" t="str">
        <f>IF(AND('Resource Planner'!$A$38="☑",44&lt;='Resource Planner'!$N$38),'Resource Planner'!$M$38,"")</f>
        <v/>
      </c>
    </row>
    <row r="1449" ht="15.75" customHeight="1">
      <c r="A14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49" s="163" t="str">
        <f>IF(AND('Resource Planner'!$A$38="☑",45&lt;='Resource Planner'!$N$38),'Resource Planner'!$C$38,"")</f>
        <v/>
      </c>
      <c r="C1449" s="163" t="str">
        <f>IF(AND('Resource Planner'!$A$38="☑",45&lt;='Resource Planner'!$N$38),'Resource Planner'!$B$38,"")</f>
        <v/>
      </c>
      <c r="D1449" s="163" t="str">
        <f>IF(AND('Resource Planner'!$A$38="☑",45&lt;='Resource Planner'!$N$38),'Resource Planner'!$D$38,"")</f>
        <v/>
      </c>
      <c r="E1449" s="163" t="str">
        <f>IF(AND('Resource Planner'!$A$38="☑",45&lt;='Resource Planner'!$N$38),'Resource Planner'!$E$38,"")</f>
        <v/>
      </c>
      <c r="F1449" s="163" t="str">
        <f>IF(AND('Resource Planner'!$A$38="☑",45&lt;='Resource Planner'!$N$38),'Resource Planner'!$F$38&amp;" "&amp;('Resource Planner'!$G$38+(45-1)*'Resource Planner'!$I$38)&amp;IF(('Resource Planner'!$G$38+(45-1)*'Resource Planner'!$I$38)=MIN('Resource Planner'!$G$38+45*'Resource Planner'!$I$38-1,'Resource Planner'!$H$38),"","–"&amp;MIN('Resource Planner'!$G$38+45*'Resource Planner'!$I$38-1,'Resource Planner'!$H$38)),"")</f>
        <v/>
      </c>
      <c r="G1449" s="163" t="s">
        <v>109</v>
      </c>
      <c r="H1449" s="163" t="str">
        <f>IF(AND('Resource Planner'!$A$38="☑",45&lt;='Resource Planner'!$N$38),'Resource Planner'!$M$38,"")</f>
        <v/>
      </c>
    </row>
    <row r="1450" ht="15.75" customHeight="1">
      <c r="A14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0" s="163" t="str">
        <f>IF(AND('Resource Planner'!$A$38="☑",46&lt;='Resource Planner'!$N$38),'Resource Planner'!$C$38,"")</f>
        <v/>
      </c>
      <c r="C1450" s="163" t="str">
        <f>IF(AND('Resource Planner'!$A$38="☑",46&lt;='Resource Planner'!$N$38),'Resource Planner'!$B$38,"")</f>
        <v/>
      </c>
      <c r="D1450" s="163" t="str">
        <f>IF(AND('Resource Planner'!$A$38="☑",46&lt;='Resource Planner'!$N$38),'Resource Planner'!$D$38,"")</f>
        <v/>
      </c>
      <c r="E1450" s="163" t="str">
        <f>IF(AND('Resource Planner'!$A$38="☑",46&lt;='Resource Planner'!$N$38),'Resource Planner'!$E$38,"")</f>
        <v/>
      </c>
      <c r="F1450" s="163" t="str">
        <f>IF(AND('Resource Planner'!$A$38="☑",46&lt;='Resource Planner'!$N$38),'Resource Planner'!$F$38&amp;" "&amp;('Resource Planner'!$G$38+(46-1)*'Resource Planner'!$I$38)&amp;IF(('Resource Planner'!$G$38+(46-1)*'Resource Planner'!$I$38)=MIN('Resource Planner'!$G$38+46*'Resource Planner'!$I$38-1,'Resource Planner'!$H$38),"","–"&amp;MIN('Resource Planner'!$G$38+46*'Resource Planner'!$I$38-1,'Resource Planner'!$H$38)),"")</f>
        <v/>
      </c>
      <c r="G1450" s="163" t="s">
        <v>109</v>
      </c>
      <c r="H1450" s="163" t="str">
        <f>IF(AND('Resource Planner'!$A$38="☑",46&lt;='Resource Planner'!$N$38),'Resource Planner'!$M$38,"")</f>
        <v/>
      </c>
    </row>
    <row r="1451" ht="15.75" customHeight="1">
      <c r="A14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1" s="163" t="str">
        <f>IF(AND('Resource Planner'!$A$38="☑",47&lt;='Resource Planner'!$N$38),'Resource Planner'!$C$38,"")</f>
        <v/>
      </c>
      <c r="C1451" s="163" t="str">
        <f>IF(AND('Resource Planner'!$A$38="☑",47&lt;='Resource Planner'!$N$38),'Resource Planner'!$B$38,"")</f>
        <v/>
      </c>
      <c r="D1451" s="163" t="str">
        <f>IF(AND('Resource Planner'!$A$38="☑",47&lt;='Resource Planner'!$N$38),'Resource Planner'!$D$38,"")</f>
        <v/>
      </c>
      <c r="E1451" s="163" t="str">
        <f>IF(AND('Resource Planner'!$A$38="☑",47&lt;='Resource Planner'!$N$38),'Resource Planner'!$E$38,"")</f>
        <v/>
      </c>
      <c r="F1451" s="163" t="str">
        <f>IF(AND('Resource Planner'!$A$38="☑",47&lt;='Resource Planner'!$N$38),'Resource Planner'!$F$38&amp;" "&amp;('Resource Planner'!$G$38+(47-1)*'Resource Planner'!$I$38)&amp;IF(('Resource Planner'!$G$38+(47-1)*'Resource Planner'!$I$38)=MIN('Resource Planner'!$G$38+47*'Resource Planner'!$I$38-1,'Resource Planner'!$H$38),"","–"&amp;MIN('Resource Planner'!$G$38+47*'Resource Planner'!$I$38-1,'Resource Planner'!$H$38)),"")</f>
        <v/>
      </c>
      <c r="G1451" s="163" t="s">
        <v>109</v>
      </c>
      <c r="H1451" s="163" t="str">
        <f>IF(AND('Resource Planner'!$A$38="☑",47&lt;='Resource Planner'!$N$38),'Resource Planner'!$M$38,"")</f>
        <v/>
      </c>
    </row>
    <row r="1452" ht="15.75" customHeight="1">
      <c r="A14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2" s="163" t="str">
        <f>IF(AND('Resource Planner'!$A$38="☑",48&lt;='Resource Planner'!$N$38),'Resource Planner'!$C$38,"")</f>
        <v/>
      </c>
      <c r="C1452" s="163" t="str">
        <f>IF(AND('Resource Planner'!$A$38="☑",48&lt;='Resource Planner'!$N$38),'Resource Planner'!$B$38,"")</f>
        <v/>
      </c>
      <c r="D1452" s="163" t="str">
        <f>IF(AND('Resource Planner'!$A$38="☑",48&lt;='Resource Planner'!$N$38),'Resource Planner'!$D$38,"")</f>
        <v/>
      </c>
      <c r="E1452" s="163" t="str">
        <f>IF(AND('Resource Planner'!$A$38="☑",48&lt;='Resource Planner'!$N$38),'Resource Planner'!$E$38,"")</f>
        <v/>
      </c>
      <c r="F1452" s="163" t="str">
        <f>IF(AND('Resource Planner'!$A$38="☑",48&lt;='Resource Planner'!$N$38),'Resource Planner'!$F$38&amp;" "&amp;('Resource Planner'!$G$38+(48-1)*'Resource Planner'!$I$38)&amp;IF(('Resource Planner'!$G$38+(48-1)*'Resource Planner'!$I$38)=MIN('Resource Planner'!$G$38+48*'Resource Planner'!$I$38-1,'Resource Planner'!$H$38),"","–"&amp;MIN('Resource Planner'!$G$38+48*'Resource Planner'!$I$38-1,'Resource Planner'!$H$38)),"")</f>
        <v/>
      </c>
      <c r="G1452" s="163" t="s">
        <v>109</v>
      </c>
      <c r="H1452" s="163" t="str">
        <f>IF(AND('Resource Planner'!$A$38="☑",48&lt;='Resource Planner'!$N$38),'Resource Planner'!$M$38,"")</f>
        <v/>
      </c>
    </row>
    <row r="1453" ht="15.75" customHeight="1">
      <c r="A14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3" s="163" t="str">
        <f>IF(AND('Resource Planner'!$A$38="☑",49&lt;='Resource Planner'!$N$38),'Resource Planner'!$C$38,"")</f>
        <v/>
      </c>
      <c r="C1453" s="163" t="str">
        <f>IF(AND('Resource Planner'!$A$38="☑",49&lt;='Resource Planner'!$N$38),'Resource Planner'!$B$38,"")</f>
        <v/>
      </c>
      <c r="D1453" s="163" t="str">
        <f>IF(AND('Resource Planner'!$A$38="☑",49&lt;='Resource Planner'!$N$38),'Resource Planner'!$D$38,"")</f>
        <v/>
      </c>
      <c r="E1453" s="163" t="str">
        <f>IF(AND('Resource Planner'!$A$38="☑",49&lt;='Resource Planner'!$N$38),'Resource Planner'!$E$38,"")</f>
        <v/>
      </c>
      <c r="F1453" s="163" t="str">
        <f>IF(AND('Resource Planner'!$A$38="☑",49&lt;='Resource Planner'!$N$38),'Resource Planner'!$F$38&amp;" "&amp;('Resource Planner'!$G$38+(49-1)*'Resource Planner'!$I$38)&amp;IF(('Resource Planner'!$G$38+(49-1)*'Resource Planner'!$I$38)=MIN('Resource Planner'!$G$38+49*'Resource Planner'!$I$38-1,'Resource Planner'!$H$38),"","–"&amp;MIN('Resource Planner'!$G$38+49*'Resource Planner'!$I$38-1,'Resource Planner'!$H$38)),"")</f>
        <v/>
      </c>
      <c r="G1453" s="163" t="s">
        <v>109</v>
      </c>
      <c r="H1453" s="163" t="str">
        <f>IF(AND('Resource Planner'!$A$38="☑",49&lt;='Resource Planner'!$N$38),'Resource Planner'!$M$38,"")</f>
        <v/>
      </c>
    </row>
    <row r="1454" ht="15.75" customHeight="1">
      <c r="A14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4" s="163" t="str">
        <f>IF(AND('Resource Planner'!$A$38="☑",50&lt;='Resource Planner'!$N$38),'Resource Planner'!$C$38,"")</f>
        <v/>
      </c>
      <c r="C1454" s="163" t="str">
        <f>IF(AND('Resource Planner'!$A$38="☑",50&lt;='Resource Planner'!$N$38),'Resource Planner'!$B$38,"")</f>
        <v/>
      </c>
      <c r="D1454" s="163" t="str">
        <f>IF(AND('Resource Planner'!$A$38="☑",50&lt;='Resource Planner'!$N$38),'Resource Planner'!$D$38,"")</f>
        <v/>
      </c>
      <c r="E1454" s="163" t="str">
        <f>IF(AND('Resource Planner'!$A$38="☑",50&lt;='Resource Planner'!$N$38),'Resource Planner'!$E$38,"")</f>
        <v/>
      </c>
      <c r="F1454" s="163" t="str">
        <f>IF(AND('Resource Planner'!$A$38="☑",50&lt;='Resource Planner'!$N$38),'Resource Planner'!$F$38&amp;" "&amp;('Resource Planner'!$G$38+(50-1)*'Resource Planner'!$I$38)&amp;IF(('Resource Planner'!$G$38+(50-1)*'Resource Planner'!$I$38)=MIN('Resource Planner'!$G$38+50*'Resource Planner'!$I$38-1,'Resource Planner'!$H$38),"","–"&amp;MIN('Resource Planner'!$G$38+50*'Resource Planner'!$I$38-1,'Resource Planner'!$H$38)),"")</f>
        <v/>
      </c>
      <c r="G1454" s="163" t="s">
        <v>109</v>
      </c>
      <c r="H1454" s="163" t="str">
        <f>IF(AND('Resource Planner'!$A$38="☑",50&lt;='Resource Planner'!$N$38),'Resource Planner'!$M$38,"")</f>
        <v/>
      </c>
    </row>
    <row r="1455" ht="15.75" customHeight="1">
      <c r="A14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5" s="163" t="str">
        <f>IF(AND('Resource Planner'!$A$39="☑",1&lt;='Resource Planner'!$N$39),'Resource Planner'!$C$39,"")</f>
        <v/>
      </c>
      <c r="C1455" s="163" t="str">
        <f>IF(AND('Resource Planner'!$A$39="☑",1&lt;='Resource Planner'!$N$39),'Resource Planner'!$B$39,"")</f>
        <v/>
      </c>
      <c r="D1455" s="163" t="str">
        <f>IF(AND('Resource Planner'!$A$39="☑",1&lt;='Resource Planner'!$N$39),'Resource Planner'!$D$39,"")</f>
        <v/>
      </c>
      <c r="E1455" s="163" t="str">
        <f>IF(AND('Resource Planner'!$A$39="☑",1&lt;='Resource Planner'!$N$39),'Resource Planner'!$E$39,"")</f>
        <v/>
      </c>
      <c r="F1455" s="163" t="str">
        <f>IF(AND('Resource Planner'!$A$39="☑",1&lt;='Resource Planner'!$N$39),'Resource Planner'!$F$39&amp;" "&amp;('Resource Planner'!$G$39+(1-1)*'Resource Planner'!$I$39)&amp;IF(('Resource Planner'!$G$39+(1-1)*'Resource Planner'!$I$39)=MIN('Resource Planner'!$G$39+1*'Resource Planner'!$I$39-1,'Resource Planner'!$H$39),"","–"&amp;MIN('Resource Planner'!$G$39+1*'Resource Planner'!$I$39-1,'Resource Planner'!$H$39)),"")</f>
        <v/>
      </c>
      <c r="G1455" s="163" t="s">
        <v>109</v>
      </c>
      <c r="H1455" s="163" t="str">
        <f>IF(AND('Resource Planner'!$A$39="☑",1&lt;='Resource Planner'!$N$39),'Resource Planner'!$M$39,"")</f>
        <v/>
      </c>
    </row>
    <row r="1456" ht="15.75" customHeight="1">
      <c r="A14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6" s="163" t="str">
        <f>IF(AND('Resource Planner'!$A$39="☑",2&lt;='Resource Planner'!$N$39),'Resource Planner'!$C$39,"")</f>
        <v/>
      </c>
      <c r="C1456" s="163" t="str">
        <f>IF(AND('Resource Planner'!$A$39="☑",2&lt;='Resource Planner'!$N$39),'Resource Planner'!$B$39,"")</f>
        <v/>
      </c>
      <c r="D1456" s="163" t="str">
        <f>IF(AND('Resource Planner'!$A$39="☑",2&lt;='Resource Planner'!$N$39),'Resource Planner'!$D$39,"")</f>
        <v/>
      </c>
      <c r="E1456" s="163" t="str">
        <f>IF(AND('Resource Planner'!$A$39="☑",2&lt;='Resource Planner'!$N$39),'Resource Planner'!$E$39,"")</f>
        <v/>
      </c>
      <c r="F1456" s="163" t="str">
        <f>IF(AND('Resource Planner'!$A$39="☑",2&lt;='Resource Planner'!$N$39),'Resource Planner'!$F$39&amp;" "&amp;('Resource Planner'!$G$39+(2-1)*'Resource Planner'!$I$39)&amp;IF(('Resource Planner'!$G$39+(2-1)*'Resource Planner'!$I$39)=MIN('Resource Planner'!$G$39+2*'Resource Planner'!$I$39-1,'Resource Planner'!$H$39),"","–"&amp;MIN('Resource Planner'!$G$39+2*'Resource Planner'!$I$39-1,'Resource Planner'!$H$39)),"")</f>
        <v/>
      </c>
      <c r="G1456" s="163" t="s">
        <v>109</v>
      </c>
      <c r="H1456" s="163" t="str">
        <f>IF(AND('Resource Planner'!$A$39="☑",2&lt;='Resource Planner'!$N$39),'Resource Planner'!$M$39,"")</f>
        <v/>
      </c>
    </row>
    <row r="1457" ht="15.75" customHeight="1">
      <c r="A14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7" s="163" t="str">
        <f>IF(AND('Resource Planner'!$A$39="☑",3&lt;='Resource Planner'!$N$39),'Resource Planner'!$C$39,"")</f>
        <v/>
      </c>
      <c r="C1457" s="163" t="str">
        <f>IF(AND('Resource Planner'!$A$39="☑",3&lt;='Resource Planner'!$N$39),'Resource Planner'!$B$39,"")</f>
        <v/>
      </c>
      <c r="D1457" s="163" t="str">
        <f>IF(AND('Resource Planner'!$A$39="☑",3&lt;='Resource Planner'!$N$39),'Resource Planner'!$D$39,"")</f>
        <v/>
      </c>
      <c r="E1457" s="163" t="str">
        <f>IF(AND('Resource Planner'!$A$39="☑",3&lt;='Resource Planner'!$N$39),'Resource Planner'!$E$39,"")</f>
        <v/>
      </c>
      <c r="F1457" s="163" t="str">
        <f>IF(AND('Resource Planner'!$A$39="☑",3&lt;='Resource Planner'!$N$39),'Resource Planner'!$F$39&amp;" "&amp;('Resource Planner'!$G$39+(3-1)*'Resource Planner'!$I$39)&amp;IF(('Resource Planner'!$G$39+(3-1)*'Resource Planner'!$I$39)=MIN('Resource Planner'!$G$39+3*'Resource Planner'!$I$39-1,'Resource Planner'!$H$39),"","–"&amp;MIN('Resource Planner'!$G$39+3*'Resource Planner'!$I$39-1,'Resource Planner'!$H$39)),"")</f>
        <v/>
      </c>
      <c r="G1457" s="163" t="s">
        <v>109</v>
      </c>
      <c r="H1457" s="163" t="str">
        <f>IF(AND('Resource Planner'!$A$39="☑",3&lt;='Resource Planner'!$N$39),'Resource Planner'!$M$39,"")</f>
        <v/>
      </c>
    </row>
    <row r="1458" ht="15.75" customHeight="1">
      <c r="A14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8" s="163" t="str">
        <f>IF(AND('Resource Planner'!$A$39="☑",4&lt;='Resource Planner'!$N$39),'Resource Planner'!$C$39,"")</f>
        <v/>
      </c>
      <c r="C1458" s="163" t="str">
        <f>IF(AND('Resource Planner'!$A$39="☑",4&lt;='Resource Planner'!$N$39),'Resource Planner'!$B$39,"")</f>
        <v/>
      </c>
      <c r="D1458" s="163" t="str">
        <f>IF(AND('Resource Planner'!$A$39="☑",4&lt;='Resource Planner'!$N$39),'Resource Planner'!$D$39,"")</f>
        <v/>
      </c>
      <c r="E1458" s="163" t="str">
        <f>IF(AND('Resource Planner'!$A$39="☑",4&lt;='Resource Planner'!$N$39),'Resource Planner'!$E$39,"")</f>
        <v/>
      </c>
      <c r="F1458" s="163" t="str">
        <f>IF(AND('Resource Planner'!$A$39="☑",4&lt;='Resource Planner'!$N$39),'Resource Planner'!$F$39&amp;" "&amp;('Resource Planner'!$G$39+(4-1)*'Resource Planner'!$I$39)&amp;IF(('Resource Planner'!$G$39+(4-1)*'Resource Planner'!$I$39)=MIN('Resource Planner'!$G$39+4*'Resource Planner'!$I$39-1,'Resource Planner'!$H$39),"","–"&amp;MIN('Resource Planner'!$G$39+4*'Resource Planner'!$I$39-1,'Resource Planner'!$H$39)),"")</f>
        <v/>
      </c>
      <c r="G1458" s="163" t="s">
        <v>109</v>
      </c>
      <c r="H1458" s="163" t="str">
        <f>IF(AND('Resource Planner'!$A$39="☑",4&lt;='Resource Planner'!$N$39),'Resource Planner'!$M$39,"")</f>
        <v/>
      </c>
    </row>
    <row r="1459" ht="15.75" customHeight="1">
      <c r="A14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59" s="163" t="str">
        <f>IF(AND('Resource Planner'!$A$39="☑",5&lt;='Resource Planner'!$N$39),'Resource Planner'!$C$39,"")</f>
        <v/>
      </c>
      <c r="C1459" s="163" t="str">
        <f>IF(AND('Resource Planner'!$A$39="☑",5&lt;='Resource Planner'!$N$39),'Resource Planner'!$B$39,"")</f>
        <v/>
      </c>
      <c r="D1459" s="163" t="str">
        <f>IF(AND('Resource Planner'!$A$39="☑",5&lt;='Resource Planner'!$N$39),'Resource Planner'!$D$39,"")</f>
        <v/>
      </c>
      <c r="E1459" s="163" t="str">
        <f>IF(AND('Resource Planner'!$A$39="☑",5&lt;='Resource Planner'!$N$39),'Resource Planner'!$E$39,"")</f>
        <v/>
      </c>
      <c r="F1459" s="163" t="str">
        <f>IF(AND('Resource Planner'!$A$39="☑",5&lt;='Resource Planner'!$N$39),'Resource Planner'!$F$39&amp;" "&amp;('Resource Planner'!$G$39+(5-1)*'Resource Planner'!$I$39)&amp;IF(('Resource Planner'!$G$39+(5-1)*'Resource Planner'!$I$39)=MIN('Resource Planner'!$G$39+5*'Resource Planner'!$I$39-1,'Resource Planner'!$H$39),"","–"&amp;MIN('Resource Planner'!$G$39+5*'Resource Planner'!$I$39-1,'Resource Planner'!$H$39)),"")</f>
        <v/>
      </c>
      <c r="G1459" s="163" t="s">
        <v>109</v>
      </c>
      <c r="H1459" s="163" t="str">
        <f>IF(AND('Resource Planner'!$A$39="☑",5&lt;='Resource Planner'!$N$39),'Resource Planner'!$M$39,"")</f>
        <v/>
      </c>
    </row>
    <row r="1460" ht="15.75" customHeight="1">
      <c r="A14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0" s="163" t="str">
        <f>IF(AND('Resource Planner'!$A$39="☑",6&lt;='Resource Planner'!$N$39),'Resource Planner'!$C$39,"")</f>
        <v/>
      </c>
      <c r="C1460" s="163" t="str">
        <f>IF(AND('Resource Planner'!$A$39="☑",6&lt;='Resource Planner'!$N$39),'Resource Planner'!$B$39,"")</f>
        <v/>
      </c>
      <c r="D1460" s="163" t="str">
        <f>IF(AND('Resource Planner'!$A$39="☑",6&lt;='Resource Planner'!$N$39),'Resource Planner'!$D$39,"")</f>
        <v/>
      </c>
      <c r="E1460" s="163" t="str">
        <f>IF(AND('Resource Planner'!$A$39="☑",6&lt;='Resource Planner'!$N$39),'Resource Planner'!$E$39,"")</f>
        <v/>
      </c>
      <c r="F1460" s="163" t="str">
        <f>IF(AND('Resource Planner'!$A$39="☑",6&lt;='Resource Planner'!$N$39),'Resource Planner'!$F$39&amp;" "&amp;('Resource Planner'!$G$39+(6-1)*'Resource Planner'!$I$39)&amp;IF(('Resource Planner'!$G$39+(6-1)*'Resource Planner'!$I$39)=MIN('Resource Planner'!$G$39+6*'Resource Planner'!$I$39-1,'Resource Planner'!$H$39),"","–"&amp;MIN('Resource Planner'!$G$39+6*'Resource Planner'!$I$39-1,'Resource Planner'!$H$39)),"")</f>
        <v/>
      </c>
      <c r="G1460" s="163" t="s">
        <v>109</v>
      </c>
      <c r="H1460" s="163" t="str">
        <f>IF(AND('Resource Planner'!$A$39="☑",6&lt;='Resource Planner'!$N$39),'Resource Planner'!$M$39,"")</f>
        <v/>
      </c>
    </row>
    <row r="1461" ht="15.75" customHeight="1">
      <c r="A14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1" s="163" t="str">
        <f>IF(AND('Resource Planner'!$A$39="☑",7&lt;='Resource Planner'!$N$39),'Resource Planner'!$C$39,"")</f>
        <v/>
      </c>
      <c r="C1461" s="163" t="str">
        <f>IF(AND('Resource Planner'!$A$39="☑",7&lt;='Resource Planner'!$N$39),'Resource Planner'!$B$39,"")</f>
        <v/>
      </c>
      <c r="D1461" s="163" t="str">
        <f>IF(AND('Resource Planner'!$A$39="☑",7&lt;='Resource Planner'!$N$39),'Resource Planner'!$D$39,"")</f>
        <v/>
      </c>
      <c r="E1461" s="163" t="str">
        <f>IF(AND('Resource Planner'!$A$39="☑",7&lt;='Resource Planner'!$N$39),'Resource Planner'!$E$39,"")</f>
        <v/>
      </c>
      <c r="F1461" s="163" t="str">
        <f>IF(AND('Resource Planner'!$A$39="☑",7&lt;='Resource Planner'!$N$39),'Resource Planner'!$F$39&amp;" "&amp;('Resource Planner'!$G$39+(7-1)*'Resource Planner'!$I$39)&amp;IF(('Resource Planner'!$G$39+(7-1)*'Resource Planner'!$I$39)=MIN('Resource Planner'!$G$39+7*'Resource Planner'!$I$39-1,'Resource Planner'!$H$39),"","–"&amp;MIN('Resource Planner'!$G$39+7*'Resource Planner'!$I$39-1,'Resource Planner'!$H$39)),"")</f>
        <v/>
      </c>
      <c r="G1461" s="163" t="s">
        <v>109</v>
      </c>
      <c r="H1461" s="163" t="str">
        <f>IF(AND('Resource Planner'!$A$39="☑",7&lt;='Resource Planner'!$N$39),'Resource Planner'!$M$39,"")</f>
        <v/>
      </c>
    </row>
    <row r="1462" ht="15.75" customHeight="1">
      <c r="A14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2" s="163" t="str">
        <f>IF(AND('Resource Planner'!$A$39="☑",8&lt;='Resource Planner'!$N$39),'Resource Planner'!$C$39,"")</f>
        <v/>
      </c>
      <c r="C1462" s="163" t="str">
        <f>IF(AND('Resource Planner'!$A$39="☑",8&lt;='Resource Planner'!$N$39),'Resource Planner'!$B$39,"")</f>
        <v/>
      </c>
      <c r="D1462" s="163" t="str">
        <f>IF(AND('Resource Planner'!$A$39="☑",8&lt;='Resource Planner'!$N$39),'Resource Planner'!$D$39,"")</f>
        <v/>
      </c>
      <c r="E1462" s="163" t="str">
        <f>IF(AND('Resource Planner'!$A$39="☑",8&lt;='Resource Planner'!$N$39),'Resource Planner'!$E$39,"")</f>
        <v/>
      </c>
      <c r="F1462" s="163" t="str">
        <f>IF(AND('Resource Planner'!$A$39="☑",8&lt;='Resource Planner'!$N$39),'Resource Planner'!$F$39&amp;" "&amp;('Resource Planner'!$G$39+(8-1)*'Resource Planner'!$I$39)&amp;IF(('Resource Planner'!$G$39+(8-1)*'Resource Planner'!$I$39)=MIN('Resource Planner'!$G$39+8*'Resource Planner'!$I$39-1,'Resource Planner'!$H$39),"","–"&amp;MIN('Resource Planner'!$G$39+8*'Resource Planner'!$I$39-1,'Resource Planner'!$H$39)),"")</f>
        <v/>
      </c>
      <c r="G1462" s="163" t="s">
        <v>109</v>
      </c>
      <c r="H1462" s="163" t="str">
        <f>IF(AND('Resource Planner'!$A$39="☑",8&lt;='Resource Planner'!$N$39),'Resource Planner'!$M$39,"")</f>
        <v/>
      </c>
    </row>
    <row r="1463" ht="15.75" customHeight="1">
      <c r="A14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3" s="163" t="str">
        <f>IF(AND('Resource Planner'!$A$39="☑",9&lt;='Resource Planner'!$N$39),'Resource Planner'!$C$39,"")</f>
        <v/>
      </c>
      <c r="C1463" s="163" t="str">
        <f>IF(AND('Resource Planner'!$A$39="☑",9&lt;='Resource Planner'!$N$39),'Resource Planner'!$B$39,"")</f>
        <v/>
      </c>
      <c r="D1463" s="163" t="str">
        <f>IF(AND('Resource Planner'!$A$39="☑",9&lt;='Resource Planner'!$N$39),'Resource Planner'!$D$39,"")</f>
        <v/>
      </c>
      <c r="E1463" s="163" t="str">
        <f>IF(AND('Resource Planner'!$A$39="☑",9&lt;='Resource Planner'!$N$39),'Resource Planner'!$E$39,"")</f>
        <v/>
      </c>
      <c r="F1463" s="163" t="str">
        <f>IF(AND('Resource Planner'!$A$39="☑",9&lt;='Resource Planner'!$N$39),'Resource Planner'!$F$39&amp;" "&amp;('Resource Planner'!$G$39+(9-1)*'Resource Planner'!$I$39)&amp;IF(('Resource Planner'!$G$39+(9-1)*'Resource Planner'!$I$39)=MIN('Resource Planner'!$G$39+9*'Resource Planner'!$I$39-1,'Resource Planner'!$H$39),"","–"&amp;MIN('Resource Planner'!$G$39+9*'Resource Planner'!$I$39-1,'Resource Planner'!$H$39)),"")</f>
        <v/>
      </c>
      <c r="G1463" s="163" t="s">
        <v>109</v>
      </c>
      <c r="H1463" s="163" t="str">
        <f>IF(AND('Resource Planner'!$A$39="☑",9&lt;='Resource Planner'!$N$39),'Resource Planner'!$M$39,"")</f>
        <v/>
      </c>
    </row>
    <row r="1464" ht="15.75" customHeight="1">
      <c r="A14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4" s="163" t="str">
        <f>IF(AND('Resource Planner'!$A$39="☑",10&lt;='Resource Planner'!$N$39),'Resource Planner'!$C$39,"")</f>
        <v/>
      </c>
      <c r="C1464" s="163" t="str">
        <f>IF(AND('Resource Planner'!$A$39="☑",10&lt;='Resource Planner'!$N$39),'Resource Planner'!$B$39,"")</f>
        <v/>
      </c>
      <c r="D1464" s="163" t="str">
        <f>IF(AND('Resource Planner'!$A$39="☑",10&lt;='Resource Planner'!$N$39),'Resource Planner'!$D$39,"")</f>
        <v/>
      </c>
      <c r="E1464" s="163" t="str">
        <f>IF(AND('Resource Planner'!$A$39="☑",10&lt;='Resource Planner'!$N$39),'Resource Planner'!$E$39,"")</f>
        <v/>
      </c>
      <c r="F1464" s="163" t="str">
        <f>IF(AND('Resource Planner'!$A$39="☑",10&lt;='Resource Planner'!$N$39),'Resource Planner'!$F$39&amp;" "&amp;('Resource Planner'!$G$39+(10-1)*'Resource Planner'!$I$39)&amp;IF(('Resource Planner'!$G$39+(10-1)*'Resource Planner'!$I$39)=MIN('Resource Planner'!$G$39+10*'Resource Planner'!$I$39-1,'Resource Planner'!$H$39),"","–"&amp;MIN('Resource Planner'!$G$39+10*'Resource Planner'!$I$39-1,'Resource Planner'!$H$39)),"")</f>
        <v/>
      </c>
      <c r="G1464" s="163" t="s">
        <v>109</v>
      </c>
      <c r="H1464" s="163" t="str">
        <f>IF(AND('Resource Planner'!$A$39="☑",10&lt;='Resource Planner'!$N$39),'Resource Planner'!$M$39,"")</f>
        <v/>
      </c>
    </row>
    <row r="1465" ht="15.75" customHeight="1">
      <c r="A14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5" s="163" t="str">
        <f>IF(AND('Resource Planner'!$A$39="☑",11&lt;='Resource Planner'!$N$39),'Resource Planner'!$C$39,"")</f>
        <v/>
      </c>
      <c r="C1465" s="163" t="str">
        <f>IF(AND('Resource Planner'!$A$39="☑",11&lt;='Resource Planner'!$N$39),'Resource Planner'!$B$39,"")</f>
        <v/>
      </c>
      <c r="D1465" s="163" t="str">
        <f>IF(AND('Resource Planner'!$A$39="☑",11&lt;='Resource Planner'!$N$39),'Resource Planner'!$D$39,"")</f>
        <v/>
      </c>
      <c r="E1465" s="163" t="str">
        <f>IF(AND('Resource Planner'!$A$39="☑",11&lt;='Resource Planner'!$N$39),'Resource Planner'!$E$39,"")</f>
        <v/>
      </c>
      <c r="F1465" s="163" t="str">
        <f>IF(AND('Resource Planner'!$A$39="☑",11&lt;='Resource Planner'!$N$39),'Resource Planner'!$F$39&amp;" "&amp;('Resource Planner'!$G$39+(11-1)*'Resource Planner'!$I$39)&amp;IF(('Resource Planner'!$G$39+(11-1)*'Resource Planner'!$I$39)=MIN('Resource Planner'!$G$39+11*'Resource Planner'!$I$39-1,'Resource Planner'!$H$39),"","–"&amp;MIN('Resource Planner'!$G$39+11*'Resource Planner'!$I$39-1,'Resource Planner'!$H$39)),"")</f>
        <v/>
      </c>
      <c r="G1465" s="163" t="s">
        <v>109</v>
      </c>
      <c r="H1465" s="163" t="str">
        <f>IF(AND('Resource Planner'!$A$39="☑",11&lt;='Resource Planner'!$N$39),'Resource Planner'!$M$39,"")</f>
        <v/>
      </c>
    </row>
    <row r="1466" ht="15.75" customHeight="1">
      <c r="A14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6" s="163" t="str">
        <f>IF(AND('Resource Planner'!$A$39="☑",12&lt;='Resource Planner'!$N$39),'Resource Planner'!$C$39,"")</f>
        <v/>
      </c>
      <c r="C1466" s="163" t="str">
        <f>IF(AND('Resource Planner'!$A$39="☑",12&lt;='Resource Planner'!$N$39),'Resource Planner'!$B$39,"")</f>
        <v/>
      </c>
      <c r="D1466" s="163" t="str">
        <f>IF(AND('Resource Planner'!$A$39="☑",12&lt;='Resource Planner'!$N$39),'Resource Planner'!$D$39,"")</f>
        <v/>
      </c>
      <c r="E1466" s="163" t="str">
        <f>IF(AND('Resource Planner'!$A$39="☑",12&lt;='Resource Planner'!$N$39),'Resource Planner'!$E$39,"")</f>
        <v/>
      </c>
      <c r="F1466" s="163" t="str">
        <f>IF(AND('Resource Planner'!$A$39="☑",12&lt;='Resource Planner'!$N$39),'Resource Planner'!$F$39&amp;" "&amp;('Resource Planner'!$G$39+(12-1)*'Resource Planner'!$I$39)&amp;IF(('Resource Planner'!$G$39+(12-1)*'Resource Planner'!$I$39)=MIN('Resource Planner'!$G$39+12*'Resource Planner'!$I$39-1,'Resource Planner'!$H$39),"","–"&amp;MIN('Resource Planner'!$G$39+12*'Resource Planner'!$I$39-1,'Resource Planner'!$H$39)),"")</f>
        <v/>
      </c>
      <c r="G1466" s="163" t="s">
        <v>109</v>
      </c>
      <c r="H1466" s="163" t="str">
        <f>IF(AND('Resource Planner'!$A$39="☑",12&lt;='Resource Planner'!$N$39),'Resource Planner'!$M$39,"")</f>
        <v/>
      </c>
    </row>
    <row r="1467" ht="15.75" customHeight="1">
      <c r="A14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7" s="163" t="str">
        <f>IF(AND('Resource Planner'!$A$39="☑",13&lt;='Resource Planner'!$N$39),'Resource Planner'!$C$39,"")</f>
        <v/>
      </c>
      <c r="C1467" s="163" t="str">
        <f>IF(AND('Resource Planner'!$A$39="☑",13&lt;='Resource Planner'!$N$39),'Resource Planner'!$B$39,"")</f>
        <v/>
      </c>
      <c r="D1467" s="163" t="str">
        <f>IF(AND('Resource Planner'!$A$39="☑",13&lt;='Resource Planner'!$N$39),'Resource Planner'!$D$39,"")</f>
        <v/>
      </c>
      <c r="E1467" s="163" t="str">
        <f>IF(AND('Resource Planner'!$A$39="☑",13&lt;='Resource Planner'!$N$39),'Resource Planner'!$E$39,"")</f>
        <v/>
      </c>
      <c r="F1467" s="163" t="str">
        <f>IF(AND('Resource Planner'!$A$39="☑",13&lt;='Resource Planner'!$N$39),'Resource Planner'!$F$39&amp;" "&amp;('Resource Planner'!$G$39+(13-1)*'Resource Planner'!$I$39)&amp;IF(('Resource Planner'!$G$39+(13-1)*'Resource Planner'!$I$39)=MIN('Resource Planner'!$G$39+13*'Resource Planner'!$I$39-1,'Resource Planner'!$H$39),"","–"&amp;MIN('Resource Planner'!$G$39+13*'Resource Planner'!$I$39-1,'Resource Planner'!$H$39)),"")</f>
        <v/>
      </c>
      <c r="G1467" s="163" t="s">
        <v>109</v>
      </c>
      <c r="H1467" s="163" t="str">
        <f>IF(AND('Resource Planner'!$A$39="☑",13&lt;='Resource Planner'!$N$39),'Resource Planner'!$M$39,"")</f>
        <v/>
      </c>
    </row>
    <row r="1468" ht="15.75" customHeight="1">
      <c r="A14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8" s="163" t="str">
        <f>IF(AND('Resource Planner'!$A$39="☑",14&lt;='Resource Planner'!$N$39),'Resource Planner'!$C$39,"")</f>
        <v/>
      </c>
      <c r="C1468" s="163" t="str">
        <f>IF(AND('Resource Planner'!$A$39="☑",14&lt;='Resource Planner'!$N$39),'Resource Planner'!$B$39,"")</f>
        <v/>
      </c>
      <c r="D1468" s="163" t="str">
        <f>IF(AND('Resource Planner'!$A$39="☑",14&lt;='Resource Planner'!$N$39),'Resource Planner'!$D$39,"")</f>
        <v/>
      </c>
      <c r="E1468" s="163" t="str">
        <f>IF(AND('Resource Planner'!$A$39="☑",14&lt;='Resource Planner'!$N$39),'Resource Planner'!$E$39,"")</f>
        <v/>
      </c>
      <c r="F1468" s="163" t="str">
        <f>IF(AND('Resource Planner'!$A$39="☑",14&lt;='Resource Planner'!$N$39),'Resource Planner'!$F$39&amp;" "&amp;('Resource Planner'!$G$39+(14-1)*'Resource Planner'!$I$39)&amp;IF(('Resource Planner'!$G$39+(14-1)*'Resource Planner'!$I$39)=MIN('Resource Planner'!$G$39+14*'Resource Planner'!$I$39-1,'Resource Planner'!$H$39),"","–"&amp;MIN('Resource Planner'!$G$39+14*'Resource Planner'!$I$39-1,'Resource Planner'!$H$39)),"")</f>
        <v/>
      </c>
      <c r="G1468" s="163" t="s">
        <v>109</v>
      </c>
      <c r="H1468" s="163" t="str">
        <f>IF(AND('Resource Planner'!$A$39="☑",14&lt;='Resource Planner'!$N$39),'Resource Planner'!$M$39,"")</f>
        <v/>
      </c>
    </row>
    <row r="1469" ht="15.75" customHeight="1">
      <c r="A14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69" s="163" t="str">
        <f>IF(AND('Resource Planner'!$A$39="☑",15&lt;='Resource Planner'!$N$39),'Resource Planner'!$C$39,"")</f>
        <v/>
      </c>
      <c r="C1469" s="163" t="str">
        <f>IF(AND('Resource Planner'!$A$39="☑",15&lt;='Resource Planner'!$N$39),'Resource Planner'!$B$39,"")</f>
        <v/>
      </c>
      <c r="D1469" s="163" t="str">
        <f>IF(AND('Resource Planner'!$A$39="☑",15&lt;='Resource Planner'!$N$39),'Resource Planner'!$D$39,"")</f>
        <v/>
      </c>
      <c r="E1469" s="163" t="str">
        <f>IF(AND('Resource Planner'!$A$39="☑",15&lt;='Resource Planner'!$N$39),'Resource Planner'!$E$39,"")</f>
        <v/>
      </c>
      <c r="F1469" s="163" t="str">
        <f>IF(AND('Resource Planner'!$A$39="☑",15&lt;='Resource Planner'!$N$39),'Resource Planner'!$F$39&amp;" "&amp;('Resource Planner'!$G$39+(15-1)*'Resource Planner'!$I$39)&amp;IF(('Resource Planner'!$G$39+(15-1)*'Resource Planner'!$I$39)=MIN('Resource Planner'!$G$39+15*'Resource Planner'!$I$39-1,'Resource Planner'!$H$39),"","–"&amp;MIN('Resource Planner'!$G$39+15*'Resource Planner'!$I$39-1,'Resource Planner'!$H$39)),"")</f>
        <v/>
      </c>
      <c r="G1469" s="163" t="s">
        <v>109</v>
      </c>
      <c r="H1469" s="163" t="str">
        <f>IF(AND('Resource Planner'!$A$39="☑",15&lt;='Resource Planner'!$N$39),'Resource Planner'!$M$39,"")</f>
        <v/>
      </c>
    </row>
    <row r="1470" ht="15.75" customHeight="1">
      <c r="A14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0" s="163" t="str">
        <f>IF(AND('Resource Planner'!$A$39="☑",16&lt;='Resource Planner'!$N$39),'Resource Planner'!$C$39,"")</f>
        <v/>
      </c>
      <c r="C1470" s="163" t="str">
        <f>IF(AND('Resource Planner'!$A$39="☑",16&lt;='Resource Planner'!$N$39),'Resource Planner'!$B$39,"")</f>
        <v/>
      </c>
      <c r="D1470" s="163" t="str">
        <f>IF(AND('Resource Planner'!$A$39="☑",16&lt;='Resource Planner'!$N$39),'Resource Planner'!$D$39,"")</f>
        <v/>
      </c>
      <c r="E1470" s="163" t="str">
        <f>IF(AND('Resource Planner'!$A$39="☑",16&lt;='Resource Planner'!$N$39),'Resource Planner'!$E$39,"")</f>
        <v/>
      </c>
      <c r="F1470" s="163" t="str">
        <f>IF(AND('Resource Planner'!$A$39="☑",16&lt;='Resource Planner'!$N$39),'Resource Planner'!$F$39&amp;" "&amp;('Resource Planner'!$G$39+(16-1)*'Resource Planner'!$I$39)&amp;IF(('Resource Planner'!$G$39+(16-1)*'Resource Planner'!$I$39)=MIN('Resource Planner'!$G$39+16*'Resource Planner'!$I$39-1,'Resource Planner'!$H$39),"","–"&amp;MIN('Resource Planner'!$G$39+16*'Resource Planner'!$I$39-1,'Resource Planner'!$H$39)),"")</f>
        <v/>
      </c>
      <c r="G1470" s="163" t="s">
        <v>109</v>
      </c>
      <c r="H1470" s="163" t="str">
        <f>IF(AND('Resource Planner'!$A$39="☑",16&lt;='Resource Planner'!$N$39),'Resource Planner'!$M$39,"")</f>
        <v/>
      </c>
    </row>
    <row r="1471" ht="15.75" customHeight="1">
      <c r="A14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1" s="163" t="str">
        <f>IF(AND('Resource Planner'!$A$39="☑",17&lt;='Resource Planner'!$N$39),'Resource Planner'!$C$39,"")</f>
        <v/>
      </c>
      <c r="C1471" s="163" t="str">
        <f>IF(AND('Resource Planner'!$A$39="☑",17&lt;='Resource Planner'!$N$39),'Resource Planner'!$B$39,"")</f>
        <v/>
      </c>
      <c r="D1471" s="163" t="str">
        <f>IF(AND('Resource Planner'!$A$39="☑",17&lt;='Resource Planner'!$N$39),'Resource Planner'!$D$39,"")</f>
        <v/>
      </c>
      <c r="E1471" s="163" t="str">
        <f>IF(AND('Resource Planner'!$A$39="☑",17&lt;='Resource Planner'!$N$39),'Resource Planner'!$E$39,"")</f>
        <v/>
      </c>
      <c r="F1471" s="163" t="str">
        <f>IF(AND('Resource Planner'!$A$39="☑",17&lt;='Resource Planner'!$N$39),'Resource Planner'!$F$39&amp;" "&amp;('Resource Planner'!$G$39+(17-1)*'Resource Planner'!$I$39)&amp;IF(('Resource Planner'!$G$39+(17-1)*'Resource Planner'!$I$39)=MIN('Resource Planner'!$G$39+17*'Resource Planner'!$I$39-1,'Resource Planner'!$H$39),"","–"&amp;MIN('Resource Planner'!$G$39+17*'Resource Planner'!$I$39-1,'Resource Planner'!$H$39)),"")</f>
        <v/>
      </c>
      <c r="G1471" s="163" t="s">
        <v>109</v>
      </c>
      <c r="H1471" s="163" t="str">
        <f>IF(AND('Resource Planner'!$A$39="☑",17&lt;='Resource Planner'!$N$39),'Resource Planner'!$M$39,"")</f>
        <v/>
      </c>
    </row>
    <row r="1472" ht="15.75" customHeight="1">
      <c r="A14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2" s="163" t="str">
        <f>IF(AND('Resource Planner'!$A$39="☑",18&lt;='Resource Planner'!$N$39),'Resource Planner'!$C$39,"")</f>
        <v/>
      </c>
      <c r="C1472" s="163" t="str">
        <f>IF(AND('Resource Planner'!$A$39="☑",18&lt;='Resource Planner'!$N$39),'Resource Planner'!$B$39,"")</f>
        <v/>
      </c>
      <c r="D1472" s="163" t="str">
        <f>IF(AND('Resource Planner'!$A$39="☑",18&lt;='Resource Planner'!$N$39),'Resource Planner'!$D$39,"")</f>
        <v/>
      </c>
      <c r="E1472" s="163" t="str">
        <f>IF(AND('Resource Planner'!$A$39="☑",18&lt;='Resource Planner'!$N$39),'Resource Planner'!$E$39,"")</f>
        <v/>
      </c>
      <c r="F1472" s="163" t="str">
        <f>IF(AND('Resource Planner'!$A$39="☑",18&lt;='Resource Planner'!$N$39),'Resource Planner'!$F$39&amp;" "&amp;('Resource Planner'!$G$39+(18-1)*'Resource Planner'!$I$39)&amp;IF(('Resource Planner'!$G$39+(18-1)*'Resource Planner'!$I$39)=MIN('Resource Planner'!$G$39+18*'Resource Planner'!$I$39-1,'Resource Planner'!$H$39),"","–"&amp;MIN('Resource Planner'!$G$39+18*'Resource Planner'!$I$39-1,'Resource Planner'!$H$39)),"")</f>
        <v/>
      </c>
      <c r="G1472" s="163" t="s">
        <v>109</v>
      </c>
      <c r="H1472" s="163" t="str">
        <f>IF(AND('Resource Planner'!$A$39="☑",18&lt;='Resource Planner'!$N$39),'Resource Planner'!$M$39,"")</f>
        <v/>
      </c>
    </row>
    <row r="1473" ht="15.75" customHeight="1">
      <c r="A14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3" s="163" t="str">
        <f>IF(AND('Resource Planner'!$A$39="☑",19&lt;='Resource Planner'!$N$39),'Resource Planner'!$C$39,"")</f>
        <v/>
      </c>
      <c r="C1473" s="163" t="str">
        <f>IF(AND('Resource Planner'!$A$39="☑",19&lt;='Resource Planner'!$N$39),'Resource Planner'!$B$39,"")</f>
        <v/>
      </c>
      <c r="D1473" s="163" t="str">
        <f>IF(AND('Resource Planner'!$A$39="☑",19&lt;='Resource Planner'!$N$39),'Resource Planner'!$D$39,"")</f>
        <v/>
      </c>
      <c r="E1473" s="163" t="str">
        <f>IF(AND('Resource Planner'!$A$39="☑",19&lt;='Resource Planner'!$N$39),'Resource Planner'!$E$39,"")</f>
        <v/>
      </c>
      <c r="F1473" s="163" t="str">
        <f>IF(AND('Resource Planner'!$A$39="☑",19&lt;='Resource Planner'!$N$39),'Resource Planner'!$F$39&amp;" "&amp;('Resource Planner'!$G$39+(19-1)*'Resource Planner'!$I$39)&amp;IF(('Resource Planner'!$G$39+(19-1)*'Resource Planner'!$I$39)=MIN('Resource Planner'!$G$39+19*'Resource Planner'!$I$39-1,'Resource Planner'!$H$39),"","–"&amp;MIN('Resource Planner'!$G$39+19*'Resource Planner'!$I$39-1,'Resource Planner'!$H$39)),"")</f>
        <v/>
      </c>
      <c r="G1473" s="163" t="s">
        <v>109</v>
      </c>
      <c r="H1473" s="163" t="str">
        <f>IF(AND('Resource Planner'!$A$39="☑",19&lt;='Resource Planner'!$N$39),'Resource Planner'!$M$39,"")</f>
        <v/>
      </c>
    </row>
    <row r="1474" ht="15.75" customHeight="1">
      <c r="A14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4" s="163" t="str">
        <f>IF(AND('Resource Planner'!$A$39="☑",20&lt;='Resource Planner'!$N$39),'Resource Planner'!$C$39,"")</f>
        <v/>
      </c>
      <c r="C1474" s="163" t="str">
        <f>IF(AND('Resource Planner'!$A$39="☑",20&lt;='Resource Planner'!$N$39),'Resource Planner'!$B$39,"")</f>
        <v/>
      </c>
      <c r="D1474" s="163" t="str">
        <f>IF(AND('Resource Planner'!$A$39="☑",20&lt;='Resource Planner'!$N$39),'Resource Planner'!$D$39,"")</f>
        <v/>
      </c>
      <c r="E1474" s="163" t="str">
        <f>IF(AND('Resource Planner'!$A$39="☑",20&lt;='Resource Planner'!$N$39),'Resource Planner'!$E$39,"")</f>
        <v/>
      </c>
      <c r="F1474" s="163" t="str">
        <f>IF(AND('Resource Planner'!$A$39="☑",20&lt;='Resource Planner'!$N$39),'Resource Planner'!$F$39&amp;" "&amp;('Resource Planner'!$G$39+(20-1)*'Resource Planner'!$I$39)&amp;IF(('Resource Planner'!$G$39+(20-1)*'Resource Planner'!$I$39)=MIN('Resource Planner'!$G$39+20*'Resource Planner'!$I$39-1,'Resource Planner'!$H$39),"","–"&amp;MIN('Resource Planner'!$G$39+20*'Resource Planner'!$I$39-1,'Resource Planner'!$H$39)),"")</f>
        <v/>
      </c>
      <c r="G1474" s="163" t="s">
        <v>109</v>
      </c>
      <c r="H1474" s="163" t="str">
        <f>IF(AND('Resource Planner'!$A$39="☑",20&lt;='Resource Planner'!$N$39),'Resource Planner'!$M$39,"")</f>
        <v/>
      </c>
    </row>
    <row r="1475" ht="15.75" customHeight="1">
      <c r="A14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5" s="163" t="str">
        <f>IF(AND('Resource Planner'!$A$39="☑",21&lt;='Resource Planner'!$N$39),'Resource Planner'!$C$39,"")</f>
        <v/>
      </c>
      <c r="C1475" s="163" t="str">
        <f>IF(AND('Resource Planner'!$A$39="☑",21&lt;='Resource Planner'!$N$39),'Resource Planner'!$B$39,"")</f>
        <v/>
      </c>
      <c r="D1475" s="163" t="str">
        <f>IF(AND('Resource Planner'!$A$39="☑",21&lt;='Resource Planner'!$N$39),'Resource Planner'!$D$39,"")</f>
        <v/>
      </c>
      <c r="E1475" s="163" t="str">
        <f>IF(AND('Resource Planner'!$A$39="☑",21&lt;='Resource Planner'!$N$39),'Resource Planner'!$E$39,"")</f>
        <v/>
      </c>
      <c r="F1475" s="163" t="str">
        <f>IF(AND('Resource Planner'!$A$39="☑",21&lt;='Resource Planner'!$N$39),'Resource Planner'!$F$39&amp;" "&amp;('Resource Planner'!$G$39+(21-1)*'Resource Planner'!$I$39)&amp;IF(('Resource Planner'!$G$39+(21-1)*'Resource Planner'!$I$39)=MIN('Resource Planner'!$G$39+21*'Resource Planner'!$I$39-1,'Resource Planner'!$H$39),"","–"&amp;MIN('Resource Planner'!$G$39+21*'Resource Planner'!$I$39-1,'Resource Planner'!$H$39)),"")</f>
        <v/>
      </c>
      <c r="G1475" s="163" t="s">
        <v>109</v>
      </c>
      <c r="H1475" s="163" t="str">
        <f>IF(AND('Resource Planner'!$A$39="☑",21&lt;='Resource Planner'!$N$39),'Resource Planner'!$M$39,"")</f>
        <v/>
      </c>
    </row>
    <row r="1476" ht="15.75" customHeight="1">
      <c r="A14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6" s="163" t="str">
        <f>IF(AND('Resource Planner'!$A$39="☑",22&lt;='Resource Planner'!$N$39),'Resource Planner'!$C$39,"")</f>
        <v/>
      </c>
      <c r="C1476" s="163" t="str">
        <f>IF(AND('Resource Planner'!$A$39="☑",22&lt;='Resource Planner'!$N$39),'Resource Planner'!$B$39,"")</f>
        <v/>
      </c>
      <c r="D1476" s="163" t="str">
        <f>IF(AND('Resource Planner'!$A$39="☑",22&lt;='Resource Planner'!$N$39),'Resource Planner'!$D$39,"")</f>
        <v/>
      </c>
      <c r="E1476" s="163" t="str">
        <f>IF(AND('Resource Planner'!$A$39="☑",22&lt;='Resource Planner'!$N$39),'Resource Planner'!$E$39,"")</f>
        <v/>
      </c>
      <c r="F1476" s="163" t="str">
        <f>IF(AND('Resource Planner'!$A$39="☑",22&lt;='Resource Planner'!$N$39),'Resource Planner'!$F$39&amp;" "&amp;('Resource Planner'!$G$39+(22-1)*'Resource Planner'!$I$39)&amp;IF(('Resource Planner'!$G$39+(22-1)*'Resource Planner'!$I$39)=MIN('Resource Planner'!$G$39+22*'Resource Planner'!$I$39-1,'Resource Planner'!$H$39),"","–"&amp;MIN('Resource Planner'!$G$39+22*'Resource Planner'!$I$39-1,'Resource Planner'!$H$39)),"")</f>
        <v/>
      </c>
      <c r="G1476" s="163" t="s">
        <v>109</v>
      </c>
      <c r="H1476" s="163" t="str">
        <f>IF(AND('Resource Planner'!$A$39="☑",22&lt;='Resource Planner'!$N$39),'Resource Planner'!$M$39,"")</f>
        <v/>
      </c>
    </row>
    <row r="1477" ht="15.75" customHeight="1">
      <c r="A14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7" s="163" t="str">
        <f>IF(AND('Resource Planner'!$A$39="☑",23&lt;='Resource Planner'!$N$39),'Resource Planner'!$C$39,"")</f>
        <v/>
      </c>
      <c r="C1477" s="163" t="str">
        <f>IF(AND('Resource Planner'!$A$39="☑",23&lt;='Resource Planner'!$N$39),'Resource Planner'!$B$39,"")</f>
        <v/>
      </c>
      <c r="D1477" s="163" t="str">
        <f>IF(AND('Resource Planner'!$A$39="☑",23&lt;='Resource Planner'!$N$39),'Resource Planner'!$D$39,"")</f>
        <v/>
      </c>
      <c r="E1477" s="163" t="str">
        <f>IF(AND('Resource Planner'!$A$39="☑",23&lt;='Resource Planner'!$N$39),'Resource Planner'!$E$39,"")</f>
        <v/>
      </c>
      <c r="F1477" s="163" t="str">
        <f>IF(AND('Resource Planner'!$A$39="☑",23&lt;='Resource Planner'!$N$39),'Resource Planner'!$F$39&amp;" "&amp;('Resource Planner'!$G$39+(23-1)*'Resource Planner'!$I$39)&amp;IF(('Resource Planner'!$G$39+(23-1)*'Resource Planner'!$I$39)=MIN('Resource Planner'!$G$39+23*'Resource Planner'!$I$39-1,'Resource Planner'!$H$39),"","–"&amp;MIN('Resource Planner'!$G$39+23*'Resource Planner'!$I$39-1,'Resource Planner'!$H$39)),"")</f>
        <v/>
      </c>
      <c r="G1477" s="163" t="s">
        <v>109</v>
      </c>
      <c r="H1477" s="163" t="str">
        <f>IF(AND('Resource Planner'!$A$39="☑",23&lt;='Resource Planner'!$N$39),'Resource Planner'!$M$39,"")</f>
        <v/>
      </c>
    </row>
    <row r="1478" ht="15.75" customHeight="1">
      <c r="A14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8" s="163" t="str">
        <f>IF(AND('Resource Planner'!$A$39="☑",24&lt;='Resource Planner'!$N$39),'Resource Planner'!$C$39,"")</f>
        <v/>
      </c>
      <c r="C1478" s="163" t="str">
        <f>IF(AND('Resource Planner'!$A$39="☑",24&lt;='Resource Planner'!$N$39),'Resource Planner'!$B$39,"")</f>
        <v/>
      </c>
      <c r="D1478" s="163" t="str">
        <f>IF(AND('Resource Planner'!$A$39="☑",24&lt;='Resource Planner'!$N$39),'Resource Planner'!$D$39,"")</f>
        <v/>
      </c>
      <c r="E1478" s="163" t="str">
        <f>IF(AND('Resource Planner'!$A$39="☑",24&lt;='Resource Planner'!$N$39),'Resource Planner'!$E$39,"")</f>
        <v/>
      </c>
      <c r="F1478" s="163" t="str">
        <f>IF(AND('Resource Planner'!$A$39="☑",24&lt;='Resource Planner'!$N$39),'Resource Planner'!$F$39&amp;" "&amp;('Resource Planner'!$G$39+(24-1)*'Resource Planner'!$I$39)&amp;IF(('Resource Planner'!$G$39+(24-1)*'Resource Planner'!$I$39)=MIN('Resource Planner'!$G$39+24*'Resource Planner'!$I$39-1,'Resource Planner'!$H$39),"","–"&amp;MIN('Resource Planner'!$G$39+24*'Resource Planner'!$I$39-1,'Resource Planner'!$H$39)),"")</f>
        <v/>
      </c>
      <c r="G1478" s="163" t="s">
        <v>109</v>
      </c>
      <c r="H1478" s="163" t="str">
        <f>IF(AND('Resource Planner'!$A$39="☑",24&lt;='Resource Planner'!$N$39),'Resource Planner'!$M$39,"")</f>
        <v/>
      </c>
    </row>
    <row r="1479" ht="15.75" customHeight="1">
      <c r="A14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79" s="163" t="str">
        <f>IF(AND('Resource Planner'!$A$39="☑",25&lt;='Resource Planner'!$N$39),'Resource Planner'!$C$39,"")</f>
        <v/>
      </c>
      <c r="C1479" s="163" t="str">
        <f>IF(AND('Resource Planner'!$A$39="☑",25&lt;='Resource Planner'!$N$39),'Resource Planner'!$B$39,"")</f>
        <v/>
      </c>
      <c r="D1479" s="163" t="str">
        <f>IF(AND('Resource Planner'!$A$39="☑",25&lt;='Resource Planner'!$N$39),'Resource Planner'!$D$39,"")</f>
        <v/>
      </c>
      <c r="E1479" s="163" t="str">
        <f>IF(AND('Resource Planner'!$A$39="☑",25&lt;='Resource Planner'!$N$39),'Resource Planner'!$E$39,"")</f>
        <v/>
      </c>
      <c r="F1479" s="163" t="str">
        <f>IF(AND('Resource Planner'!$A$39="☑",25&lt;='Resource Planner'!$N$39),'Resource Planner'!$F$39&amp;" "&amp;('Resource Planner'!$G$39+(25-1)*'Resource Planner'!$I$39)&amp;IF(('Resource Planner'!$G$39+(25-1)*'Resource Planner'!$I$39)=MIN('Resource Planner'!$G$39+25*'Resource Planner'!$I$39-1,'Resource Planner'!$H$39),"","–"&amp;MIN('Resource Planner'!$G$39+25*'Resource Planner'!$I$39-1,'Resource Planner'!$H$39)),"")</f>
        <v/>
      </c>
      <c r="G1479" s="163" t="s">
        <v>109</v>
      </c>
      <c r="H1479" s="163" t="str">
        <f>IF(AND('Resource Planner'!$A$39="☑",25&lt;='Resource Planner'!$N$39),'Resource Planner'!$M$39,"")</f>
        <v/>
      </c>
    </row>
    <row r="1480" ht="15.75" customHeight="1">
      <c r="A14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0" s="163" t="str">
        <f>IF(AND('Resource Planner'!$A$39="☑",26&lt;='Resource Planner'!$N$39),'Resource Planner'!$C$39,"")</f>
        <v/>
      </c>
      <c r="C1480" s="163" t="str">
        <f>IF(AND('Resource Planner'!$A$39="☑",26&lt;='Resource Planner'!$N$39),'Resource Planner'!$B$39,"")</f>
        <v/>
      </c>
      <c r="D1480" s="163" t="str">
        <f>IF(AND('Resource Planner'!$A$39="☑",26&lt;='Resource Planner'!$N$39),'Resource Planner'!$D$39,"")</f>
        <v/>
      </c>
      <c r="E1480" s="163" t="str">
        <f>IF(AND('Resource Planner'!$A$39="☑",26&lt;='Resource Planner'!$N$39),'Resource Planner'!$E$39,"")</f>
        <v/>
      </c>
      <c r="F1480" s="163" t="str">
        <f>IF(AND('Resource Planner'!$A$39="☑",26&lt;='Resource Planner'!$N$39),'Resource Planner'!$F$39&amp;" "&amp;('Resource Planner'!$G$39+(26-1)*'Resource Planner'!$I$39)&amp;IF(('Resource Planner'!$G$39+(26-1)*'Resource Planner'!$I$39)=MIN('Resource Planner'!$G$39+26*'Resource Planner'!$I$39-1,'Resource Planner'!$H$39),"","–"&amp;MIN('Resource Planner'!$G$39+26*'Resource Planner'!$I$39-1,'Resource Planner'!$H$39)),"")</f>
        <v/>
      </c>
      <c r="G1480" s="163" t="s">
        <v>109</v>
      </c>
      <c r="H1480" s="163" t="str">
        <f>IF(AND('Resource Planner'!$A$39="☑",26&lt;='Resource Planner'!$N$39),'Resource Planner'!$M$39,"")</f>
        <v/>
      </c>
    </row>
    <row r="1481" ht="15.75" customHeight="1">
      <c r="A14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1" s="163" t="str">
        <f>IF(AND('Resource Planner'!$A$39="☑",27&lt;='Resource Planner'!$N$39),'Resource Planner'!$C$39,"")</f>
        <v/>
      </c>
      <c r="C1481" s="163" t="str">
        <f>IF(AND('Resource Planner'!$A$39="☑",27&lt;='Resource Planner'!$N$39),'Resource Planner'!$B$39,"")</f>
        <v/>
      </c>
      <c r="D1481" s="163" t="str">
        <f>IF(AND('Resource Planner'!$A$39="☑",27&lt;='Resource Planner'!$N$39),'Resource Planner'!$D$39,"")</f>
        <v/>
      </c>
      <c r="E1481" s="163" t="str">
        <f>IF(AND('Resource Planner'!$A$39="☑",27&lt;='Resource Planner'!$N$39),'Resource Planner'!$E$39,"")</f>
        <v/>
      </c>
      <c r="F1481" s="163" t="str">
        <f>IF(AND('Resource Planner'!$A$39="☑",27&lt;='Resource Planner'!$N$39),'Resource Planner'!$F$39&amp;" "&amp;('Resource Planner'!$G$39+(27-1)*'Resource Planner'!$I$39)&amp;IF(('Resource Planner'!$G$39+(27-1)*'Resource Planner'!$I$39)=MIN('Resource Planner'!$G$39+27*'Resource Planner'!$I$39-1,'Resource Planner'!$H$39),"","–"&amp;MIN('Resource Planner'!$G$39+27*'Resource Planner'!$I$39-1,'Resource Planner'!$H$39)),"")</f>
        <v/>
      </c>
      <c r="G1481" s="163" t="s">
        <v>109</v>
      </c>
      <c r="H1481" s="163" t="str">
        <f>IF(AND('Resource Planner'!$A$39="☑",27&lt;='Resource Planner'!$N$39),'Resource Planner'!$M$39,"")</f>
        <v/>
      </c>
    </row>
    <row r="1482" ht="15.75" customHeight="1">
      <c r="A14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2" s="163" t="str">
        <f>IF(AND('Resource Planner'!$A$39="☑",28&lt;='Resource Planner'!$N$39),'Resource Planner'!$C$39,"")</f>
        <v/>
      </c>
      <c r="C1482" s="163" t="str">
        <f>IF(AND('Resource Planner'!$A$39="☑",28&lt;='Resource Planner'!$N$39),'Resource Planner'!$B$39,"")</f>
        <v/>
      </c>
      <c r="D1482" s="163" t="str">
        <f>IF(AND('Resource Planner'!$A$39="☑",28&lt;='Resource Planner'!$N$39),'Resource Planner'!$D$39,"")</f>
        <v/>
      </c>
      <c r="E1482" s="163" t="str">
        <f>IF(AND('Resource Planner'!$A$39="☑",28&lt;='Resource Planner'!$N$39),'Resource Planner'!$E$39,"")</f>
        <v/>
      </c>
      <c r="F1482" s="163" t="str">
        <f>IF(AND('Resource Planner'!$A$39="☑",28&lt;='Resource Planner'!$N$39),'Resource Planner'!$F$39&amp;" "&amp;('Resource Planner'!$G$39+(28-1)*'Resource Planner'!$I$39)&amp;IF(('Resource Planner'!$G$39+(28-1)*'Resource Planner'!$I$39)=MIN('Resource Planner'!$G$39+28*'Resource Planner'!$I$39-1,'Resource Planner'!$H$39),"","–"&amp;MIN('Resource Planner'!$G$39+28*'Resource Planner'!$I$39-1,'Resource Planner'!$H$39)),"")</f>
        <v/>
      </c>
      <c r="G1482" s="163" t="s">
        <v>109</v>
      </c>
      <c r="H1482" s="163" t="str">
        <f>IF(AND('Resource Planner'!$A$39="☑",28&lt;='Resource Planner'!$N$39),'Resource Planner'!$M$39,"")</f>
        <v/>
      </c>
    </row>
    <row r="1483" ht="15.75" customHeight="1">
      <c r="A14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3" s="163" t="str">
        <f>IF(AND('Resource Planner'!$A$39="☑",29&lt;='Resource Planner'!$N$39),'Resource Planner'!$C$39,"")</f>
        <v/>
      </c>
      <c r="C1483" s="163" t="str">
        <f>IF(AND('Resource Planner'!$A$39="☑",29&lt;='Resource Planner'!$N$39),'Resource Planner'!$B$39,"")</f>
        <v/>
      </c>
      <c r="D1483" s="163" t="str">
        <f>IF(AND('Resource Planner'!$A$39="☑",29&lt;='Resource Planner'!$N$39),'Resource Planner'!$D$39,"")</f>
        <v/>
      </c>
      <c r="E1483" s="163" t="str">
        <f>IF(AND('Resource Planner'!$A$39="☑",29&lt;='Resource Planner'!$N$39),'Resource Planner'!$E$39,"")</f>
        <v/>
      </c>
      <c r="F1483" s="163" t="str">
        <f>IF(AND('Resource Planner'!$A$39="☑",29&lt;='Resource Planner'!$N$39),'Resource Planner'!$F$39&amp;" "&amp;('Resource Planner'!$G$39+(29-1)*'Resource Planner'!$I$39)&amp;IF(('Resource Planner'!$G$39+(29-1)*'Resource Planner'!$I$39)=MIN('Resource Planner'!$G$39+29*'Resource Planner'!$I$39-1,'Resource Planner'!$H$39),"","–"&amp;MIN('Resource Planner'!$G$39+29*'Resource Planner'!$I$39-1,'Resource Planner'!$H$39)),"")</f>
        <v/>
      </c>
      <c r="G1483" s="163" t="s">
        <v>109</v>
      </c>
      <c r="H1483" s="163" t="str">
        <f>IF(AND('Resource Planner'!$A$39="☑",29&lt;='Resource Planner'!$N$39),'Resource Planner'!$M$39,"")</f>
        <v/>
      </c>
    </row>
    <row r="1484" ht="15.75" customHeight="1">
      <c r="A14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4" s="163" t="str">
        <f>IF(AND('Resource Planner'!$A$39="☑",30&lt;='Resource Planner'!$N$39),'Resource Planner'!$C$39,"")</f>
        <v/>
      </c>
      <c r="C1484" s="163" t="str">
        <f>IF(AND('Resource Planner'!$A$39="☑",30&lt;='Resource Planner'!$N$39),'Resource Planner'!$B$39,"")</f>
        <v/>
      </c>
      <c r="D1484" s="163" t="str">
        <f>IF(AND('Resource Planner'!$A$39="☑",30&lt;='Resource Planner'!$N$39),'Resource Planner'!$D$39,"")</f>
        <v/>
      </c>
      <c r="E1484" s="163" t="str">
        <f>IF(AND('Resource Planner'!$A$39="☑",30&lt;='Resource Planner'!$N$39),'Resource Planner'!$E$39,"")</f>
        <v/>
      </c>
      <c r="F1484" s="163" t="str">
        <f>IF(AND('Resource Planner'!$A$39="☑",30&lt;='Resource Planner'!$N$39),'Resource Planner'!$F$39&amp;" "&amp;('Resource Planner'!$G$39+(30-1)*'Resource Planner'!$I$39)&amp;IF(('Resource Planner'!$G$39+(30-1)*'Resource Planner'!$I$39)=MIN('Resource Planner'!$G$39+30*'Resource Planner'!$I$39-1,'Resource Planner'!$H$39),"","–"&amp;MIN('Resource Planner'!$G$39+30*'Resource Planner'!$I$39-1,'Resource Planner'!$H$39)),"")</f>
        <v/>
      </c>
      <c r="G1484" s="163" t="s">
        <v>109</v>
      </c>
      <c r="H1484" s="163" t="str">
        <f>IF(AND('Resource Planner'!$A$39="☑",30&lt;='Resource Planner'!$N$39),'Resource Planner'!$M$39,"")</f>
        <v/>
      </c>
    </row>
    <row r="1485" ht="15.75" customHeight="1">
      <c r="A14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5" s="163" t="str">
        <f>IF(AND('Resource Planner'!$A$39="☑",31&lt;='Resource Planner'!$N$39),'Resource Planner'!$C$39,"")</f>
        <v/>
      </c>
      <c r="C1485" s="163" t="str">
        <f>IF(AND('Resource Planner'!$A$39="☑",31&lt;='Resource Planner'!$N$39),'Resource Planner'!$B$39,"")</f>
        <v/>
      </c>
      <c r="D1485" s="163" t="str">
        <f>IF(AND('Resource Planner'!$A$39="☑",31&lt;='Resource Planner'!$N$39),'Resource Planner'!$D$39,"")</f>
        <v/>
      </c>
      <c r="E1485" s="163" t="str">
        <f>IF(AND('Resource Planner'!$A$39="☑",31&lt;='Resource Planner'!$N$39),'Resource Planner'!$E$39,"")</f>
        <v/>
      </c>
      <c r="F1485" s="163" t="str">
        <f>IF(AND('Resource Planner'!$A$39="☑",31&lt;='Resource Planner'!$N$39),'Resource Planner'!$F$39&amp;" "&amp;('Resource Planner'!$G$39+(31-1)*'Resource Planner'!$I$39)&amp;IF(('Resource Planner'!$G$39+(31-1)*'Resource Planner'!$I$39)=MIN('Resource Planner'!$G$39+31*'Resource Planner'!$I$39-1,'Resource Planner'!$H$39),"","–"&amp;MIN('Resource Planner'!$G$39+31*'Resource Planner'!$I$39-1,'Resource Planner'!$H$39)),"")</f>
        <v/>
      </c>
      <c r="G1485" s="163" t="s">
        <v>109</v>
      </c>
      <c r="H1485" s="163" t="str">
        <f>IF(AND('Resource Planner'!$A$39="☑",31&lt;='Resource Planner'!$N$39),'Resource Planner'!$M$39,"")</f>
        <v/>
      </c>
    </row>
    <row r="1486" ht="15.75" customHeight="1">
      <c r="A14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6" s="163" t="str">
        <f>IF(AND('Resource Planner'!$A$39="☑",32&lt;='Resource Planner'!$N$39),'Resource Planner'!$C$39,"")</f>
        <v/>
      </c>
      <c r="C1486" s="163" t="str">
        <f>IF(AND('Resource Planner'!$A$39="☑",32&lt;='Resource Planner'!$N$39),'Resource Planner'!$B$39,"")</f>
        <v/>
      </c>
      <c r="D1486" s="163" t="str">
        <f>IF(AND('Resource Planner'!$A$39="☑",32&lt;='Resource Planner'!$N$39),'Resource Planner'!$D$39,"")</f>
        <v/>
      </c>
      <c r="E1486" s="163" t="str">
        <f>IF(AND('Resource Planner'!$A$39="☑",32&lt;='Resource Planner'!$N$39),'Resource Planner'!$E$39,"")</f>
        <v/>
      </c>
      <c r="F1486" s="163" t="str">
        <f>IF(AND('Resource Planner'!$A$39="☑",32&lt;='Resource Planner'!$N$39),'Resource Planner'!$F$39&amp;" "&amp;('Resource Planner'!$G$39+(32-1)*'Resource Planner'!$I$39)&amp;IF(('Resource Planner'!$G$39+(32-1)*'Resource Planner'!$I$39)=MIN('Resource Planner'!$G$39+32*'Resource Planner'!$I$39-1,'Resource Planner'!$H$39),"","–"&amp;MIN('Resource Planner'!$G$39+32*'Resource Planner'!$I$39-1,'Resource Planner'!$H$39)),"")</f>
        <v/>
      </c>
      <c r="G1486" s="163" t="s">
        <v>109</v>
      </c>
      <c r="H1486" s="163" t="str">
        <f>IF(AND('Resource Planner'!$A$39="☑",32&lt;='Resource Planner'!$N$39),'Resource Planner'!$M$39,"")</f>
        <v/>
      </c>
    </row>
    <row r="1487" ht="15.75" customHeight="1">
      <c r="A14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7" s="163" t="str">
        <f>IF(AND('Resource Planner'!$A$39="☑",33&lt;='Resource Planner'!$N$39),'Resource Planner'!$C$39,"")</f>
        <v/>
      </c>
      <c r="C1487" s="163" t="str">
        <f>IF(AND('Resource Planner'!$A$39="☑",33&lt;='Resource Planner'!$N$39),'Resource Planner'!$B$39,"")</f>
        <v/>
      </c>
      <c r="D1487" s="163" t="str">
        <f>IF(AND('Resource Planner'!$A$39="☑",33&lt;='Resource Planner'!$N$39),'Resource Planner'!$D$39,"")</f>
        <v/>
      </c>
      <c r="E1487" s="163" t="str">
        <f>IF(AND('Resource Planner'!$A$39="☑",33&lt;='Resource Planner'!$N$39),'Resource Planner'!$E$39,"")</f>
        <v/>
      </c>
      <c r="F1487" s="163" t="str">
        <f>IF(AND('Resource Planner'!$A$39="☑",33&lt;='Resource Planner'!$N$39),'Resource Planner'!$F$39&amp;" "&amp;('Resource Planner'!$G$39+(33-1)*'Resource Planner'!$I$39)&amp;IF(('Resource Planner'!$G$39+(33-1)*'Resource Planner'!$I$39)=MIN('Resource Planner'!$G$39+33*'Resource Planner'!$I$39-1,'Resource Planner'!$H$39),"","–"&amp;MIN('Resource Planner'!$G$39+33*'Resource Planner'!$I$39-1,'Resource Planner'!$H$39)),"")</f>
        <v/>
      </c>
      <c r="G1487" s="163" t="s">
        <v>109</v>
      </c>
      <c r="H1487" s="163" t="str">
        <f>IF(AND('Resource Planner'!$A$39="☑",33&lt;='Resource Planner'!$N$39),'Resource Planner'!$M$39,"")</f>
        <v/>
      </c>
    </row>
    <row r="1488" ht="15.75" customHeight="1">
      <c r="A14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8" s="163" t="str">
        <f>IF(AND('Resource Planner'!$A$39="☑",34&lt;='Resource Planner'!$N$39),'Resource Planner'!$C$39,"")</f>
        <v/>
      </c>
      <c r="C1488" s="163" t="str">
        <f>IF(AND('Resource Planner'!$A$39="☑",34&lt;='Resource Planner'!$N$39),'Resource Planner'!$B$39,"")</f>
        <v/>
      </c>
      <c r="D1488" s="163" t="str">
        <f>IF(AND('Resource Planner'!$A$39="☑",34&lt;='Resource Planner'!$N$39),'Resource Planner'!$D$39,"")</f>
        <v/>
      </c>
      <c r="E1488" s="163" t="str">
        <f>IF(AND('Resource Planner'!$A$39="☑",34&lt;='Resource Planner'!$N$39),'Resource Planner'!$E$39,"")</f>
        <v/>
      </c>
      <c r="F1488" s="163" t="str">
        <f>IF(AND('Resource Planner'!$A$39="☑",34&lt;='Resource Planner'!$N$39),'Resource Planner'!$F$39&amp;" "&amp;('Resource Planner'!$G$39+(34-1)*'Resource Planner'!$I$39)&amp;IF(('Resource Planner'!$G$39+(34-1)*'Resource Planner'!$I$39)=MIN('Resource Planner'!$G$39+34*'Resource Planner'!$I$39-1,'Resource Planner'!$H$39),"","–"&amp;MIN('Resource Planner'!$G$39+34*'Resource Planner'!$I$39-1,'Resource Planner'!$H$39)),"")</f>
        <v/>
      </c>
      <c r="G1488" s="163" t="s">
        <v>109</v>
      </c>
      <c r="H1488" s="163" t="str">
        <f>IF(AND('Resource Planner'!$A$39="☑",34&lt;='Resource Planner'!$N$39),'Resource Planner'!$M$39,"")</f>
        <v/>
      </c>
    </row>
    <row r="1489" ht="15.75" customHeight="1">
      <c r="A14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89" s="163" t="str">
        <f>IF(AND('Resource Planner'!$A$39="☑",35&lt;='Resource Planner'!$N$39),'Resource Planner'!$C$39,"")</f>
        <v/>
      </c>
      <c r="C1489" s="163" t="str">
        <f>IF(AND('Resource Planner'!$A$39="☑",35&lt;='Resource Planner'!$N$39),'Resource Planner'!$B$39,"")</f>
        <v/>
      </c>
      <c r="D1489" s="163" t="str">
        <f>IF(AND('Resource Planner'!$A$39="☑",35&lt;='Resource Planner'!$N$39),'Resource Planner'!$D$39,"")</f>
        <v/>
      </c>
      <c r="E1489" s="163" t="str">
        <f>IF(AND('Resource Planner'!$A$39="☑",35&lt;='Resource Planner'!$N$39),'Resource Planner'!$E$39,"")</f>
        <v/>
      </c>
      <c r="F1489" s="163" t="str">
        <f>IF(AND('Resource Planner'!$A$39="☑",35&lt;='Resource Planner'!$N$39),'Resource Planner'!$F$39&amp;" "&amp;('Resource Planner'!$G$39+(35-1)*'Resource Planner'!$I$39)&amp;IF(('Resource Planner'!$G$39+(35-1)*'Resource Planner'!$I$39)=MIN('Resource Planner'!$G$39+35*'Resource Planner'!$I$39-1,'Resource Planner'!$H$39),"","–"&amp;MIN('Resource Planner'!$G$39+35*'Resource Planner'!$I$39-1,'Resource Planner'!$H$39)),"")</f>
        <v/>
      </c>
      <c r="G1489" s="163" t="s">
        <v>109</v>
      </c>
      <c r="H1489" s="163" t="str">
        <f>IF(AND('Resource Planner'!$A$39="☑",35&lt;='Resource Planner'!$N$39),'Resource Planner'!$M$39,"")</f>
        <v/>
      </c>
    </row>
    <row r="1490" ht="15.75" customHeight="1">
      <c r="A14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0" s="163" t="str">
        <f>IF(AND('Resource Planner'!$A$39="☑",36&lt;='Resource Planner'!$N$39),'Resource Planner'!$C$39,"")</f>
        <v/>
      </c>
      <c r="C1490" s="163" t="str">
        <f>IF(AND('Resource Planner'!$A$39="☑",36&lt;='Resource Planner'!$N$39),'Resource Planner'!$B$39,"")</f>
        <v/>
      </c>
      <c r="D1490" s="163" t="str">
        <f>IF(AND('Resource Planner'!$A$39="☑",36&lt;='Resource Planner'!$N$39),'Resource Planner'!$D$39,"")</f>
        <v/>
      </c>
      <c r="E1490" s="163" t="str">
        <f>IF(AND('Resource Planner'!$A$39="☑",36&lt;='Resource Planner'!$N$39),'Resource Planner'!$E$39,"")</f>
        <v/>
      </c>
      <c r="F1490" s="163" t="str">
        <f>IF(AND('Resource Planner'!$A$39="☑",36&lt;='Resource Planner'!$N$39),'Resource Planner'!$F$39&amp;" "&amp;('Resource Planner'!$G$39+(36-1)*'Resource Planner'!$I$39)&amp;IF(('Resource Planner'!$G$39+(36-1)*'Resource Planner'!$I$39)=MIN('Resource Planner'!$G$39+36*'Resource Planner'!$I$39-1,'Resource Planner'!$H$39),"","–"&amp;MIN('Resource Planner'!$G$39+36*'Resource Planner'!$I$39-1,'Resource Planner'!$H$39)),"")</f>
        <v/>
      </c>
      <c r="G1490" s="163" t="s">
        <v>109</v>
      </c>
      <c r="H1490" s="163" t="str">
        <f>IF(AND('Resource Planner'!$A$39="☑",36&lt;='Resource Planner'!$N$39),'Resource Planner'!$M$39,"")</f>
        <v/>
      </c>
    </row>
    <row r="1491" ht="15.75" customHeight="1">
      <c r="A14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1" s="163" t="str">
        <f>IF(AND('Resource Planner'!$A$39="☑",37&lt;='Resource Planner'!$N$39),'Resource Planner'!$C$39,"")</f>
        <v/>
      </c>
      <c r="C1491" s="163" t="str">
        <f>IF(AND('Resource Planner'!$A$39="☑",37&lt;='Resource Planner'!$N$39),'Resource Planner'!$B$39,"")</f>
        <v/>
      </c>
      <c r="D1491" s="163" t="str">
        <f>IF(AND('Resource Planner'!$A$39="☑",37&lt;='Resource Planner'!$N$39),'Resource Planner'!$D$39,"")</f>
        <v/>
      </c>
      <c r="E1491" s="163" t="str">
        <f>IF(AND('Resource Planner'!$A$39="☑",37&lt;='Resource Planner'!$N$39),'Resource Planner'!$E$39,"")</f>
        <v/>
      </c>
      <c r="F1491" s="163" t="str">
        <f>IF(AND('Resource Planner'!$A$39="☑",37&lt;='Resource Planner'!$N$39),'Resource Planner'!$F$39&amp;" "&amp;('Resource Planner'!$G$39+(37-1)*'Resource Planner'!$I$39)&amp;IF(('Resource Planner'!$G$39+(37-1)*'Resource Planner'!$I$39)=MIN('Resource Planner'!$G$39+37*'Resource Planner'!$I$39-1,'Resource Planner'!$H$39),"","–"&amp;MIN('Resource Planner'!$G$39+37*'Resource Planner'!$I$39-1,'Resource Planner'!$H$39)),"")</f>
        <v/>
      </c>
      <c r="G1491" s="163" t="s">
        <v>109</v>
      </c>
      <c r="H1491" s="163" t="str">
        <f>IF(AND('Resource Planner'!$A$39="☑",37&lt;='Resource Planner'!$N$39),'Resource Planner'!$M$39,"")</f>
        <v/>
      </c>
    </row>
    <row r="1492" ht="15.75" customHeight="1">
      <c r="A14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2" s="163" t="str">
        <f>IF(AND('Resource Planner'!$A$39="☑",38&lt;='Resource Planner'!$N$39),'Resource Planner'!$C$39,"")</f>
        <v/>
      </c>
      <c r="C1492" s="163" t="str">
        <f>IF(AND('Resource Planner'!$A$39="☑",38&lt;='Resource Planner'!$N$39),'Resource Planner'!$B$39,"")</f>
        <v/>
      </c>
      <c r="D1492" s="163" t="str">
        <f>IF(AND('Resource Planner'!$A$39="☑",38&lt;='Resource Planner'!$N$39),'Resource Planner'!$D$39,"")</f>
        <v/>
      </c>
      <c r="E1492" s="163" t="str">
        <f>IF(AND('Resource Planner'!$A$39="☑",38&lt;='Resource Planner'!$N$39),'Resource Planner'!$E$39,"")</f>
        <v/>
      </c>
      <c r="F1492" s="163" t="str">
        <f>IF(AND('Resource Planner'!$A$39="☑",38&lt;='Resource Planner'!$N$39),'Resource Planner'!$F$39&amp;" "&amp;('Resource Planner'!$G$39+(38-1)*'Resource Planner'!$I$39)&amp;IF(('Resource Planner'!$G$39+(38-1)*'Resource Planner'!$I$39)=MIN('Resource Planner'!$G$39+38*'Resource Planner'!$I$39-1,'Resource Planner'!$H$39),"","–"&amp;MIN('Resource Planner'!$G$39+38*'Resource Planner'!$I$39-1,'Resource Planner'!$H$39)),"")</f>
        <v/>
      </c>
      <c r="G1492" s="163" t="s">
        <v>109</v>
      </c>
      <c r="H1492" s="163" t="str">
        <f>IF(AND('Resource Planner'!$A$39="☑",38&lt;='Resource Planner'!$N$39),'Resource Planner'!$M$39,"")</f>
        <v/>
      </c>
    </row>
    <row r="1493" ht="15.75" customHeight="1">
      <c r="A14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3" s="163" t="str">
        <f>IF(AND('Resource Planner'!$A$39="☑",39&lt;='Resource Planner'!$N$39),'Resource Planner'!$C$39,"")</f>
        <v/>
      </c>
      <c r="C1493" s="163" t="str">
        <f>IF(AND('Resource Planner'!$A$39="☑",39&lt;='Resource Planner'!$N$39),'Resource Planner'!$B$39,"")</f>
        <v/>
      </c>
      <c r="D1493" s="163" t="str">
        <f>IF(AND('Resource Planner'!$A$39="☑",39&lt;='Resource Planner'!$N$39),'Resource Planner'!$D$39,"")</f>
        <v/>
      </c>
      <c r="E1493" s="163" t="str">
        <f>IF(AND('Resource Planner'!$A$39="☑",39&lt;='Resource Planner'!$N$39),'Resource Planner'!$E$39,"")</f>
        <v/>
      </c>
      <c r="F1493" s="163" t="str">
        <f>IF(AND('Resource Planner'!$A$39="☑",39&lt;='Resource Planner'!$N$39),'Resource Planner'!$F$39&amp;" "&amp;('Resource Planner'!$G$39+(39-1)*'Resource Planner'!$I$39)&amp;IF(('Resource Planner'!$G$39+(39-1)*'Resource Planner'!$I$39)=MIN('Resource Planner'!$G$39+39*'Resource Planner'!$I$39-1,'Resource Planner'!$H$39),"","–"&amp;MIN('Resource Planner'!$G$39+39*'Resource Planner'!$I$39-1,'Resource Planner'!$H$39)),"")</f>
        <v/>
      </c>
      <c r="G1493" s="163" t="s">
        <v>109</v>
      </c>
      <c r="H1493" s="163" t="str">
        <f>IF(AND('Resource Planner'!$A$39="☑",39&lt;='Resource Planner'!$N$39),'Resource Planner'!$M$39,"")</f>
        <v/>
      </c>
    </row>
    <row r="1494" ht="15.75" customHeight="1">
      <c r="A14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4" s="163" t="str">
        <f>IF(AND('Resource Planner'!$A$39="☑",40&lt;='Resource Planner'!$N$39),'Resource Planner'!$C$39,"")</f>
        <v/>
      </c>
      <c r="C1494" s="163" t="str">
        <f>IF(AND('Resource Planner'!$A$39="☑",40&lt;='Resource Planner'!$N$39),'Resource Planner'!$B$39,"")</f>
        <v/>
      </c>
      <c r="D1494" s="163" t="str">
        <f>IF(AND('Resource Planner'!$A$39="☑",40&lt;='Resource Planner'!$N$39),'Resource Planner'!$D$39,"")</f>
        <v/>
      </c>
      <c r="E1494" s="163" t="str">
        <f>IF(AND('Resource Planner'!$A$39="☑",40&lt;='Resource Planner'!$N$39),'Resource Planner'!$E$39,"")</f>
        <v/>
      </c>
      <c r="F1494" s="163" t="str">
        <f>IF(AND('Resource Planner'!$A$39="☑",40&lt;='Resource Planner'!$N$39),'Resource Planner'!$F$39&amp;" "&amp;('Resource Planner'!$G$39+(40-1)*'Resource Planner'!$I$39)&amp;IF(('Resource Planner'!$G$39+(40-1)*'Resource Planner'!$I$39)=MIN('Resource Planner'!$G$39+40*'Resource Planner'!$I$39-1,'Resource Planner'!$H$39),"","–"&amp;MIN('Resource Planner'!$G$39+40*'Resource Planner'!$I$39-1,'Resource Planner'!$H$39)),"")</f>
        <v/>
      </c>
      <c r="G1494" s="163" t="s">
        <v>109</v>
      </c>
      <c r="H1494" s="163" t="str">
        <f>IF(AND('Resource Planner'!$A$39="☑",40&lt;='Resource Planner'!$N$39),'Resource Planner'!$M$39,"")</f>
        <v/>
      </c>
    </row>
    <row r="1495" ht="15.75" customHeight="1">
      <c r="A14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5" s="163" t="str">
        <f>IF(AND('Resource Planner'!$A$39="☑",41&lt;='Resource Planner'!$N$39),'Resource Planner'!$C$39,"")</f>
        <v/>
      </c>
      <c r="C1495" s="163" t="str">
        <f>IF(AND('Resource Planner'!$A$39="☑",41&lt;='Resource Planner'!$N$39),'Resource Planner'!$B$39,"")</f>
        <v/>
      </c>
      <c r="D1495" s="163" t="str">
        <f>IF(AND('Resource Planner'!$A$39="☑",41&lt;='Resource Planner'!$N$39),'Resource Planner'!$D$39,"")</f>
        <v/>
      </c>
      <c r="E1495" s="163" t="str">
        <f>IF(AND('Resource Planner'!$A$39="☑",41&lt;='Resource Planner'!$N$39),'Resource Planner'!$E$39,"")</f>
        <v/>
      </c>
      <c r="F1495" s="163" t="str">
        <f>IF(AND('Resource Planner'!$A$39="☑",41&lt;='Resource Planner'!$N$39),'Resource Planner'!$F$39&amp;" "&amp;('Resource Planner'!$G$39+(41-1)*'Resource Planner'!$I$39)&amp;IF(('Resource Planner'!$G$39+(41-1)*'Resource Planner'!$I$39)=MIN('Resource Planner'!$G$39+41*'Resource Planner'!$I$39-1,'Resource Planner'!$H$39),"","–"&amp;MIN('Resource Planner'!$G$39+41*'Resource Planner'!$I$39-1,'Resource Planner'!$H$39)),"")</f>
        <v/>
      </c>
      <c r="G1495" s="163" t="s">
        <v>109</v>
      </c>
      <c r="H1495" s="163" t="str">
        <f>IF(AND('Resource Planner'!$A$39="☑",41&lt;='Resource Planner'!$N$39),'Resource Planner'!$M$39,"")</f>
        <v/>
      </c>
    </row>
    <row r="1496" ht="15.75" customHeight="1">
      <c r="A14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6" s="163" t="str">
        <f>IF(AND('Resource Planner'!$A$39="☑",42&lt;='Resource Planner'!$N$39),'Resource Planner'!$C$39,"")</f>
        <v/>
      </c>
      <c r="C1496" s="163" t="str">
        <f>IF(AND('Resource Planner'!$A$39="☑",42&lt;='Resource Planner'!$N$39),'Resource Planner'!$B$39,"")</f>
        <v/>
      </c>
      <c r="D1496" s="163" t="str">
        <f>IF(AND('Resource Planner'!$A$39="☑",42&lt;='Resource Planner'!$N$39),'Resource Planner'!$D$39,"")</f>
        <v/>
      </c>
      <c r="E1496" s="163" t="str">
        <f>IF(AND('Resource Planner'!$A$39="☑",42&lt;='Resource Planner'!$N$39),'Resource Planner'!$E$39,"")</f>
        <v/>
      </c>
      <c r="F1496" s="163" t="str">
        <f>IF(AND('Resource Planner'!$A$39="☑",42&lt;='Resource Planner'!$N$39),'Resource Planner'!$F$39&amp;" "&amp;('Resource Planner'!$G$39+(42-1)*'Resource Planner'!$I$39)&amp;IF(('Resource Planner'!$G$39+(42-1)*'Resource Planner'!$I$39)=MIN('Resource Planner'!$G$39+42*'Resource Planner'!$I$39-1,'Resource Planner'!$H$39),"","–"&amp;MIN('Resource Planner'!$G$39+42*'Resource Planner'!$I$39-1,'Resource Planner'!$H$39)),"")</f>
        <v/>
      </c>
      <c r="G1496" s="163" t="s">
        <v>109</v>
      </c>
      <c r="H1496" s="163" t="str">
        <f>IF(AND('Resource Planner'!$A$39="☑",42&lt;='Resource Planner'!$N$39),'Resource Planner'!$M$39,"")</f>
        <v/>
      </c>
    </row>
    <row r="1497" ht="15.75" customHeight="1">
      <c r="A14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7" s="163" t="str">
        <f>IF(AND('Resource Planner'!$A$39="☑",43&lt;='Resource Planner'!$N$39),'Resource Planner'!$C$39,"")</f>
        <v/>
      </c>
      <c r="C1497" s="163" t="str">
        <f>IF(AND('Resource Planner'!$A$39="☑",43&lt;='Resource Planner'!$N$39),'Resource Planner'!$B$39,"")</f>
        <v/>
      </c>
      <c r="D1497" s="163" t="str">
        <f>IF(AND('Resource Planner'!$A$39="☑",43&lt;='Resource Planner'!$N$39),'Resource Planner'!$D$39,"")</f>
        <v/>
      </c>
      <c r="E1497" s="163" t="str">
        <f>IF(AND('Resource Planner'!$A$39="☑",43&lt;='Resource Planner'!$N$39),'Resource Planner'!$E$39,"")</f>
        <v/>
      </c>
      <c r="F1497" s="163" t="str">
        <f>IF(AND('Resource Planner'!$A$39="☑",43&lt;='Resource Planner'!$N$39),'Resource Planner'!$F$39&amp;" "&amp;('Resource Planner'!$G$39+(43-1)*'Resource Planner'!$I$39)&amp;IF(('Resource Planner'!$G$39+(43-1)*'Resource Planner'!$I$39)=MIN('Resource Planner'!$G$39+43*'Resource Planner'!$I$39-1,'Resource Planner'!$H$39),"","–"&amp;MIN('Resource Planner'!$G$39+43*'Resource Planner'!$I$39-1,'Resource Planner'!$H$39)),"")</f>
        <v/>
      </c>
      <c r="G1497" s="163" t="s">
        <v>109</v>
      </c>
      <c r="H1497" s="163" t="str">
        <f>IF(AND('Resource Planner'!$A$39="☑",43&lt;='Resource Planner'!$N$39),'Resource Planner'!$M$39,"")</f>
        <v/>
      </c>
    </row>
    <row r="1498" ht="15.75" customHeight="1">
      <c r="A14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8" s="163" t="str">
        <f>IF(AND('Resource Planner'!$A$39="☑",44&lt;='Resource Planner'!$N$39),'Resource Planner'!$C$39,"")</f>
        <v/>
      </c>
      <c r="C1498" s="163" t="str">
        <f>IF(AND('Resource Planner'!$A$39="☑",44&lt;='Resource Planner'!$N$39),'Resource Planner'!$B$39,"")</f>
        <v/>
      </c>
      <c r="D1498" s="163" t="str">
        <f>IF(AND('Resource Planner'!$A$39="☑",44&lt;='Resource Planner'!$N$39),'Resource Planner'!$D$39,"")</f>
        <v/>
      </c>
      <c r="E1498" s="163" t="str">
        <f>IF(AND('Resource Planner'!$A$39="☑",44&lt;='Resource Planner'!$N$39),'Resource Planner'!$E$39,"")</f>
        <v/>
      </c>
      <c r="F1498" s="163" t="str">
        <f>IF(AND('Resource Planner'!$A$39="☑",44&lt;='Resource Planner'!$N$39),'Resource Planner'!$F$39&amp;" "&amp;('Resource Planner'!$G$39+(44-1)*'Resource Planner'!$I$39)&amp;IF(('Resource Planner'!$G$39+(44-1)*'Resource Planner'!$I$39)=MIN('Resource Planner'!$G$39+44*'Resource Planner'!$I$39-1,'Resource Planner'!$H$39),"","–"&amp;MIN('Resource Planner'!$G$39+44*'Resource Planner'!$I$39-1,'Resource Planner'!$H$39)),"")</f>
        <v/>
      </c>
      <c r="G1498" s="163" t="s">
        <v>109</v>
      </c>
      <c r="H1498" s="163" t="str">
        <f>IF(AND('Resource Planner'!$A$39="☑",44&lt;='Resource Planner'!$N$39),'Resource Planner'!$M$39,"")</f>
        <v/>
      </c>
    </row>
    <row r="1499" ht="15.75" customHeight="1">
      <c r="A14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499" s="163" t="str">
        <f>IF(AND('Resource Planner'!$A$39="☑",45&lt;='Resource Planner'!$N$39),'Resource Planner'!$C$39,"")</f>
        <v/>
      </c>
      <c r="C1499" s="163" t="str">
        <f>IF(AND('Resource Planner'!$A$39="☑",45&lt;='Resource Planner'!$N$39),'Resource Planner'!$B$39,"")</f>
        <v/>
      </c>
      <c r="D1499" s="163" t="str">
        <f>IF(AND('Resource Planner'!$A$39="☑",45&lt;='Resource Planner'!$N$39),'Resource Planner'!$D$39,"")</f>
        <v/>
      </c>
      <c r="E1499" s="163" t="str">
        <f>IF(AND('Resource Planner'!$A$39="☑",45&lt;='Resource Planner'!$N$39),'Resource Planner'!$E$39,"")</f>
        <v/>
      </c>
      <c r="F1499" s="163" t="str">
        <f>IF(AND('Resource Planner'!$A$39="☑",45&lt;='Resource Planner'!$N$39),'Resource Planner'!$F$39&amp;" "&amp;('Resource Planner'!$G$39+(45-1)*'Resource Planner'!$I$39)&amp;IF(('Resource Planner'!$G$39+(45-1)*'Resource Planner'!$I$39)=MIN('Resource Planner'!$G$39+45*'Resource Planner'!$I$39-1,'Resource Planner'!$H$39),"","–"&amp;MIN('Resource Planner'!$G$39+45*'Resource Planner'!$I$39-1,'Resource Planner'!$H$39)),"")</f>
        <v/>
      </c>
      <c r="G1499" s="163" t="s">
        <v>109</v>
      </c>
      <c r="H1499" s="163" t="str">
        <f>IF(AND('Resource Planner'!$A$39="☑",45&lt;='Resource Planner'!$N$39),'Resource Planner'!$M$39,"")</f>
        <v/>
      </c>
    </row>
    <row r="1500" ht="15.75" customHeight="1">
      <c r="A15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0" s="163" t="str">
        <f>IF(AND('Resource Planner'!$A$39="☑",46&lt;='Resource Planner'!$N$39),'Resource Planner'!$C$39,"")</f>
        <v/>
      </c>
      <c r="C1500" s="163" t="str">
        <f>IF(AND('Resource Planner'!$A$39="☑",46&lt;='Resource Planner'!$N$39),'Resource Planner'!$B$39,"")</f>
        <v/>
      </c>
      <c r="D1500" s="163" t="str">
        <f>IF(AND('Resource Planner'!$A$39="☑",46&lt;='Resource Planner'!$N$39),'Resource Planner'!$D$39,"")</f>
        <v/>
      </c>
      <c r="E1500" s="163" t="str">
        <f>IF(AND('Resource Planner'!$A$39="☑",46&lt;='Resource Planner'!$N$39),'Resource Planner'!$E$39,"")</f>
        <v/>
      </c>
      <c r="F1500" s="163" t="str">
        <f>IF(AND('Resource Planner'!$A$39="☑",46&lt;='Resource Planner'!$N$39),'Resource Planner'!$F$39&amp;" "&amp;('Resource Planner'!$G$39+(46-1)*'Resource Planner'!$I$39)&amp;IF(('Resource Planner'!$G$39+(46-1)*'Resource Planner'!$I$39)=MIN('Resource Planner'!$G$39+46*'Resource Planner'!$I$39-1,'Resource Planner'!$H$39),"","–"&amp;MIN('Resource Planner'!$G$39+46*'Resource Planner'!$I$39-1,'Resource Planner'!$H$39)),"")</f>
        <v/>
      </c>
      <c r="G1500" s="163" t="s">
        <v>109</v>
      </c>
      <c r="H1500" s="163" t="str">
        <f>IF(AND('Resource Planner'!$A$39="☑",46&lt;='Resource Planner'!$N$39),'Resource Planner'!$M$39,"")</f>
        <v/>
      </c>
    </row>
    <row r="1501" ht="15.75" customHeight="1">
      <c r="A15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1" s="163" t="str">
        <f>IF(AND('Resource Planner'!$A$39="☑",47&lt;='Resource Planner'!$N$39),'Resource Planner'!$C$39,"")</f>
        <v/>
      </c>
      <c r="C1501" s="163" t="str">
        <f>IF(AND('Resource Planner'!$A$39="☑",47&lt;='Resource Planner'!$N$39),'Resource Planner'!$B$39,"")</f>
        <v/>
      </c>
      <c r="D1501" s="163" t="str">
        <f>IF(AND('Resource Planner'!$A$39="☑",47&lt;='Resource Planner'!$N$39),'Resource Planner'!$D$39,"")</f>
        <v/>
      </c>
      <c r="E1501" s="163" t="str">
        <f>IF(AND('Resource Planner'!$A$39="☑",47&lt;='Resource Planner'!$N$39),'Resource Planner'!$E$39,"")</f>
        <v/>
      </c>
      <c r="F1501" s="163" t="str">
        <f>IF(AND('Resource Planner'!$A$39="☑",47&lt;='Resource Planner'!$N$39),'Resource Planner'!$F$39&amp;" "&amp;('Resource Planner'!$G$39+(47-1)*'Resource Planner'!$I$39)&amp;IF(('Resource Planner'!$G$39+(47-1)*'Resource Planner'!$I$39)=MIN('Resource Planner'!$G$39+47*'Resource Planner'!$I$39-1,'Resource Planner'!$H$39),"","–"&amp;MIN('Resource Planner'!$G$39+47*'Resource Planner'!$I$39-1,'Resource Planner'!$H$39)),"")</f>
        <v/>
      </c>
      <c r="G1501" s="163" t="s">
        <v>109</v>
      </c>
      <c r="H1501" s="163" t="str">
        <f>IF(AND('Resource Planner'!$A$39="☑",47&lt;='Resource Planner'!$N$39),'Resource Planner'!$M$39,"")</f>
        <v/>
      </c>
    </row>
    <row r="1502" ht="15.75" customHeight="1">
      <c r="A15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2" s="163" t="str">
        <f>IF(AND('Resource Planner'!$A$39="☑",48&lt;='Resource Planner'!$N$39),'Resource Planner'!$C$39,"")</f>
        <v/>
      </c>
      <c r="C1502" s="163" t="str">
        <f>IF(AND('Resource Planner'!$A$39="☑",48&lt;='Resource Planner'!$N$39),'Resource Planner'!$B$39,"")</f>
        <v/>
      </c>
      <c r="D1502" s="163" t="str">
        <f>IF(AND('Resource Planner'!$A$39="☑",48&lt;='Resource Planner'!$N$39),'Resource Planner'!$D$39,"")</f>
        <v/>
      </c>
      <c r="E1502" s="163" t="str">
        <f>IF(AND('Resource Planner'!$A$39="☑",48&lt;='Resource Planner'!$N$39),'Resource Planner'!$E$39,"")</f>
        <v/>
      </c>
      <c r="F1502" s="163" t="str">
        <f>IF(AND('Resource Planner'!$A$39="☑",48&lt;='Resource Planner'!$N$39),'Resource Planner'!$F$39&amp;" "&amp;('Resource Planner'!$G$39+(48-1)*'Resource Planner'!$I$39)&amp;IF(('Resource Planner'!$G$39+(48-1)*'Resource Planner'!$I$39)=MIN('Resource Planner'!$G$39+48*'Resource Planner'!$I$39-1,'Resource Planner'!$H$39),"","–"&amp;MIN('Resource Planner'!$G$39+48*'Resource Planner'!$I$39-1,'Resource Planner'!$H$39)),"")</f>
        <v/>
      </c>
      <c r="G1502" s="163" t="s">
        <v>109</v>
      </c>
      <c r="H1502" s="163" t="str">
        <f>IF(AND('Resource Planner'!$A$39="☑",48&lt;='Resource Planner'!$N$39),'Resource Planner'!$M$39,"")</f>
        <v/>
      </c>
    </row>
    <row r="1503" ht="15.75" customHeight="1">
      <c r="A15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3" s="163" t="str">
        <f>IF(AND('Resource Planner'!$A$39="☑",49&lt;='Resource Planner'!$N$39),'Resource Planner'!$C$39,"")</f>
        <v/>
      </c>
      <c r="C1503" s="163" t="str">
        <f>IF(AND('Resource Planner'!$A$39="☑",49&lt;='Resource Planner'!$N$39),'Resource Planner'!$B$39,"")</f>
        <v/>
      </c>
      <c r="D1503" s="163" t="str">
        <f>IF(AND('Resource Planner'!$A$39="☑",49&lt;='Resource Planner'!$N$39),'Resource Planner'!$D$39,"")</f>
        <v/>
      </c>
      <c r="E1503" s="163" t="str">
        <f>IF(AND('Resource Planner'!$A$39="☑",49&lt;='Resource Planner'!$N$39),'Resource Planner'!$E$39,"")</f>
        <v/>
      </c>
      <c r="F1503" s="163" t="str">
        <f>IF(AND('Resource Planner'!$A$39="☑",49&lt;='Resource Planner'!$N$39),'Resource Planner'!$F$39&amp;" "&amp;('Resource Planner'!$G$39+(49-1)*'Resource Planner'!$I$39)&amp;IF(('Resource Planner'!$G$39+(49-1)*'Resource Planner'!$I$39)=MIN('Resource Planner'!$G$39+49*'Resource Planner'!$I$39-1,'Resource Planner'!$H$39),"","–"&amp;MIN('Resource Planner'!$G$39+49*'Resource Planner'!$I$39-1,'Resource Planner'!$H$39)),"")</f>
        <v/>
      </c>
      <c r="G1503" s="163" t="s">
        <v>109</v>
      </c>
      <c r="H1503" s="163" t="str">
        <f>IF(AND('Resource Planner'!$A$39="☑",49&lt;='Resource Planner'!$N$39),'Resource Planner'!$M$39,"")</f>
        <v/>
      </c>
    </row>
    <row r="1504" ht="15.75" customHeight="1">
      <c r="A15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4" s="163" t="str">
        <f>IF(AND('Resource Planner'!$A$39="☑",50&lt;='Resource Planner'!$N$39),'Resource Planner'!$C$39,"")</f>
        <v/>
      </c>
      <c r="C1504" s="163" t="str">
        <f>IF(AND('Resource Planner'!$A$39="☑",50&lt;='Resource Planner'!$N$39),'Resource Planner'!$B$39,"")</f>
        <v/>
      </c>
      <c r="D1504" s="163" t="str">
        <f>IF(AND('Resource Planner'!$A$39="☑",50&lt;='Resource Planner'!$N$39),'Resource Planner'!$D$39,"")</f>
        <v/>
      </c>
      <c r="E1504" s="163" t="str">
        <f>IF(AND('Resource Planner'!$A$39="☑",50&lt;='Resource Planner'!$N$39),'Resource Planner'!$E$39,"")</f>
        <v/>
      </c>
      <c r="F1504" s="163" t="str">
        <f>IF(AND('Resource Planner'!$A$39="☑",50&lt;='Resource Planner'!$N$39),'Resource Planner'!$F$39&amp;" "&amp;('Resource Planner'!$G$39+(50-1)*'Resource Planner'!$I$39)&amp;IF(('Resource Planner'!$G$39+(50-1)*'Resource Planner'!$I$39)=MIN('Resource Planner'!$G$39+50*'Resource Planner'!$I$39-1,'Resource Planner'!$H$39),"","–"&amp;MIN('Resource Planner'!$G$39+50*'Resource Planner'!$I$39-1,'Resource Planner'!$H$39)),"")</f>
        <v/>
      </c>
      <c r="G1504" s="163" t="s">
        <v>109</v>
      </c>
      <c r="H1504" s="163" t="str">
        <f>IF(AND('Resource Planner'!$A$39="☑",50&lt;='Resource Planner'!$N$39),'Resource Planner'!$M$39,"")</f>
        <v/>
      </c>
    </row>
    <row r="1505" ht="15.75" customHeight="1">
      <c r="A15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5" s="163" t="str">
        <f>IF(AND('Resource Planner'!$A$40="☑",1&lt;='Resource Planner'!$N$40),'Resource Planner'!$C$40,"")</f>
        <v/>
      </c>
      <c r="C1505" s="163" t="str">
        <f>IF(AND('Resource Planner'!$A$40="☑",1&lt;='Resource Planner'!$N$40),'Resource Planner'!$B$40,"")</f>
        <v/>
      </c>
      <c r="D1505" s="163" t="str">
        <f>IF(AND('Resource Planner'!$A$40="☑",1&lt;='Resource Planner'!$N$40),'Resource Planner'!$D$40,"")</f>
        <v/>
      </c>
      <c r="E1505" s="163" t="str">
        <f>IF(AND('Resource Planner'!$A$40="☑",1&lt;='Resource Planner'!$N$40),'Resource Planner'!$E$40,"")</f>
        <v/>
      </c>
      <c r="F1505" s="163" t="str">
        <f>IF(AND('Resource Planner'!$A$40="☑",1&lt;='Resource Planner'!$N$40),'Resource Planner'!$F$40&amp;" "&amp;('Resource Planner'!$G$40+(1-1)*'Resource Planner'!$I$40)&amp;IF(('Resource Planner'!$G$40+(1-1)*'Resource Planner'!$I$40)=MIN('Resource Planner'!$G$40+1*'Resource Planner'!$I$40-1,'Resource Planner'!$H$40),"","–"&amp;MIN('Resource Planner'!$G$40+1*'Resource Planner'!$I$40-1,'Resource Planner'!$H$40)),"")</f>
        <v/>
      </c>
      <c r="G1505" s="163" t="s">
        <v>109</v>
      </c>
      <c r="H1505" s="163" t="str">
        <f>IF(AND('Resource Planner'!$A$40="☑",1&lt;='Resource Planner'!$N$40),'Resource Planner'!$M$40,"")</f>
        <v/>
      </c>
    </row>
    <row r="1506" ht="15.75" customHeight="1">
      <c r="A15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6" s="163" t="str">
        <f>IF(AND('Resource Planner'!$A$40="☑",2&lt;='Resource Planner'!$N$40),'Resource Planner'!$C$40,"")</f>
        <v/>
      </c>
      <c r="C1506" s="163" t="str">
        <f>IF(AND('Resource Planner'!$A$40="☑",2&lt;='Resource Planner'!$N$40),'Resource Planner'!$B$40,"")</f>
        <v/>
      </c>
      <c r="D1506" s="163" t="str">
        <f>IF(AND('Resource Planner'!$A$40="☑",2&lt;='Resource Planner'!$N$40),'Resource Planner'!$D$40,"")</f>
        <v/>
      </c>
      <c r="E1506" s="163" t="str">
        <f>IF(AND('Resource Planner'!$A$40="☑",2&lt;='Resource Planner'!$N$40),'Resource Planner'!$E$40,"")</f>
        <v/>
      </c>
      <c r="F1506" s="163" t="str">
        <f>IF(AND('Resource Planner'!$A$40="☑",2&lt;='Resource Planner'!$N$40),'Resource Planner'!$F$40&amp;" "&amp;('Resource Planner'!$G$40+(2-1)*'Resource Planner'!$I$40)&amp;IF(('Resource Planner'!$G$40+(2-1)*'Resource Planner'!$I$40)=MIN('Resource Planner'!$G$40+2*'Resource Planner'!$I$40-1,'Resource Planner'!$H$40),"","–"&amp;MIN('Resource Planner'!$G$40+2*'Resource Planner'!$I$40-1,'Resource Planner'!$H$40)),"")</f>
        <v/>
      </c>
      <c r="G1506" s="163" t="s">
        <v>109</v>
      </c>
      <c r="H1506" s="163" t="str">
        <f>IF(AND('Resource Planner'!$A$40="☑",2&lt;='Resource Planner'!$N$40),'Resource Planner'!$M$40,"")</f>
        <v/>
      </c>
    </row>
    <row r="1507" ht="15.75" customHeight="1">
      <c r="A15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7" s="163" t="str">
        <f>IF(AND('Resource Planner'!$A$40="☑",3&lt;='Resource Planner'!$N$40),'Resource Planner'!$C$40,"")</f>
        <v/>
      </c>
      <c r="C1507" s="163" t="str">
        <f>IF(AND('Resource Planner'!$A$40="☑",3&lt;='Resource Planner'!$N$40),'Resource Planner'!$B$40,"")</f>
        <v/>
      </c>
      <c r="D1507" s="163" t="str">
        <f>IF(AND('Resource Planner'!$A$40="☑",3&lt;='Resource Planner'!$N$40),'Resource Planner'!$D$40,"")</f>
        <v/>
      </c>
      <c r="E1507" s="163" t="str">
        <f>IF(AND('Resource Planner'!$A$40="☑",3&lt;='Resource Planner'!$N$40),'Resource Planner'!$E$40,"")</f>
        <v/>
      </c>
      <c r="F1507" s="163" t="str">
        <f>IF(AND('Resource Planner'!$A$40="☑",3&lt;='Resource Planner'!$N$40),'Resource Planner'!$F$40&amp;" "&amp;('Resource Planner'!$G$40+(3-1)*'Resource Planner'!$I$40)&amp;IF(('Resource Planner'!$G$40+(3-1)*'Resource Planner'!$I$40)=MIN('Resource Planner'!$G$40+3*'Resource Planner'!$I$40-1,'Resource Planner'!$H$40),"","–"&amp;MIN('Resource Planner'!$G$40+3*'Resource Planner'!$I$40-1,'Resource Planner'!$H$40)),"")</f>
        <v/>
      </c>
      <c r="G1507" s="163" t="s">
        <v>109</v>
      </c>
      <c r="H1507" s="163" t="str">
        <f>IF(AND('Resource Planner'!$A$40="☑",3&lt;='Resource Planner'!$N$40),'Resource Planner'!$M$40,"")</f>
        <v/>
      </c>
    </row>
    <row r="1508" ht="15.75" customHeight="1">
      <c r="A15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8" s="163" t="str">
        <f>IF(AND('Resource Planner'!$A$40="☑",4&lt;='Resource Planner'!$N$40),'Resource Planner'!$C$40,"")</f>
        <v/>
      </c>
      <c r="C1508" s="163" t="str">
        <f>IF(AND('Resource Planner'!$A$40="☑",4&lt;='Resource Planner'!$N$40),'Resource Planner'!$B$40,"")</f>
        <v/>
      </c>
      <c r="D1508" s="163" t="str">
        <f>IF(AND('Resource Planner'!$A$40="☑",4&lt;='Resource Planner'!$N$40),'Resource Planner'!$D$40,"")</f>
        <v/>
      </c>
      <c r="E1508" s="163" t="str">
        <f>IF(AND('Resource Planner'!$A$40="☑",4&lt;='Resource Planner'!$N$40),'Resource Planner'!$E$40,"")</f>
        <v/>
      </c>
      <c r="F1508" s="163" t="str">
        <f>IF(AND('Resource Planner'!$A$40="☑",4&lt;='Resource Planner'!$N$40),'Resource Planner'!$F$40&amp;" "&amp;('Resource Planner'!$G$40+(4-1)*'Resource Planner'!$I$40)&amp;IF(('Resource Planner'!$G$40+(4-1)*'Resource Planner'!$I$40)=MIN('Resource Planner'!$G$40+4*'Resource Planner'!$I$40-1,'Resource Planner'!$H$40),"","–"&amp;MIN('Resource Planner'!$G$40+4*'Resource Planner'!$I$40-1,'Resource Planner'!$H$40)),"")</f>
        <v/>
      </c>
      <c r="G1508" s="163" t="s">
        <v>109</v>
      </c>
      <c r="H1508" s="163" t="str">
        <f>IF(AND('Resource Planner'!$A$40="☑",4&lt;='Resource Planner'!$N$40),'Resource Planner'!$M$40,"")</f>
        <v/>
      </c>
    </row>
    <row r="1509" ht="15.75" customHeight="1">
      <c r="A15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09" s="163" t="str">
        <f>IF(AND('Resource Planner'!$A$40="☑",5&lt;='Resource Planner'!$N$40),'Resource Planner'!$C$40,"")</f>
        <v/>
      </c>
      <c r="C1509" s="163" t="str">
        <f>IF(AND('Resource Planner'!$A$40="☑",5&lt;='Resource Planner'!$N$40),'Resource Planner'!$B$40,"")</f>
        <v/>
      </c>
      <c r="D1509" s="163" t="str">
        <f>IF(AND('Resource Planner'!$A$40="☑",5&lt;='Resource Planner'!$N$40),'Resource Planner'!$D$40,"")</f>
        <v/>
      </c>
      <c r="E1509" s="163" t="str">
        <f>IF(AND('Resource Planner'!$A$40="☑",5&lt;='Resource Planner'!$N$40),'Resource Planner'!$E$40,"")</f>
        <v/>
      </c>
      <c r="F1509" s="163" t="str">
        <f>IF(AND('Resource Planner'!$A$40="☑",5&lt;='Resource Planner'!$N$40),'Resource Planner'!$F$40&amp;" "&amp;('Resource Planner'!$G$40+(5-1)*'Resource Planner'!$I$40)&amp;IF(('Resource Planner'!$G$40+(5-1)*'Resource Planner'!$I$40)=MIN('Resource Planner'!$G$40+5*'Resource Planner'!$I$40-1,'Resource Planner'!$H$40),"","–"&amp;MIN('Resource Planner'!$G$40+5*'Resource Planner'!$I$40-1,'Resource Planner'!$H$40)),"")</f>
        <v/>
      </c>
      <c r="G1509" s="163" t="s">
        <v>109</v>
      </c>
      <c r="H1509" s="163" t="str">
        <f>IF(AND('Resource Planner'!$A$40="☑",5&lt;='Resource Planner'!$N$40),'Resource Planner'!$M$40,"")</f>
        <v/>
      </c>
    </row>
    <row r="1510" ht="15.75" customHeight="1">
      <c r="A15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0" s="163" t="str">
        <f>IF(AND('Resource Planner'!$A$40="☑",6&lt;='Resource Planner'!$N$40),'Resource Planner'!$C$40,"")</f>
        <v/>
      </c>
      <c r="C1510" s="163" t="str">
        <f>IF(AND('Resource Planner'!$A$40="☑",6&lt;='Resource Planner'!$N$40),'Resource Planner'!$B$40,"")</f>
        <v/>
      </c>
      <c r="D1510" s="163" t="str">
        <f>IF(AND('Resource Planner'!$A$40="☑",6&lt;='Resource Planner'!$N$40),'Resource Planner'!$D$40,"")</f>
        <v/>
      </c>
      <c r="E1510" s="163" t="str">
        <f>IF(AND('Resource Planner'!$A$40="☑",6&lt;='Resource Planner'!$N$40),'Resource Planner'!$E$40,"")</f>
        <v/>
      </c>
      <c r="F1510" s="163" t="str">
        <f>IF(AND('Resource Planner'!$A$40="☑",6&lt;='Resource Planner'!$N$40),'Resource Planner'!$F$40&amp;" "&amp;('Resource Planner'!$G$40+(6-1)*'Resource Planner'!$I$40)&amp;IF(('Resource Planner'!$G$40+(6-1)*'Resource Planner'!$I$40)=MIN('Resource Planner'!$G$40+6*'Resource Planner'!$I$40-1,'Resource Planner'!$H$40),"","–"&amp;MIN('Resource Planner'!$G$40+6*'Resource Planner'!$I$40-1,'Resource Planner'!$H$40)),"")</f>
        <v/>
      </c>
      <c r="G1510" s="163" t="s">
        <v>109</v>
      </c>
      <c r="H1510" s="163" t="str">
        <f>IF(AND('Resource Planner'!$A$40="☑",6&lt;='Resource Planner'!$N$40),'Resource Planner'!$M$40,"")</f>
        <v/>
      </c>
    </row>
    <row r="1511" ht="15.75" customHeight="1">
      <c r="A15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1" s="163" t="str">
        <f>IF(AND('Resource Planner'!$A$40="☑",7&lt;='Resource Planner'!$N$40),'Resource Planner'!$C$40,"")</f>
        <v/>
      </c>
      <c r="C1511" s="163" t="str">
        <f>IF(AND('Resource Planner'!$A$40="☑",7&lt;='Resource Planner'!$N$40),'Resource Planner'!$B$40,"")</f>
        <v/>
      </c>
      <c r="D1511" s="163" t="str">
        <f>IF(AND('Resource Planner'!$A$40="☑",7&lt;='Resource Planner'!$N$40),'Resource Planner'!$D$40,"")</f>
        <v/>
      </c>
      <c r="E1511" s="163" t="str">
        <f>IF(AND('Resource Planner'!$A$40="☑",7&lt;='Resource Planner'!$N$40),'Resource Planner'!$E$40,"")</f>
        <v/>
      </c>
      <c r="F1511" s="163" t="str">
        <f>IF(AND('Resource Planner'!$A$40="☑",7&lt;='Resource Planner'!$N$40),'Resource Planner'!$F$40&amp;" "&amp;('Resource Planner'!$G$40+(7-1)*'Resource Planner'!$I$40)&amp;IF(('Resource Planner'!$G$40+(7-1)*'Resource Planner'!$I$40)=MIN('Resource Planner'!$G$40+7*'Resource Planner'!$I$40-1,'Resource Planner'!$H$40),"","–"&amp;MIN('Resource Planner'!$G$40+7*'Resource Planner'!$I$40-1,'Resource Planner'!$H$40)),"")</f>
        <v/>
      </c>
      <c r="G1511" s="163" t="s">
        <v>109</v>
      </c>
      <c r="H1511" s="163" t="str">
        <f>IF(AND('Resource Planner'!$A$40="☑",7&lt;='Resource Planner'!$N$40),'Resource Planner'!$M$40,"")</f>
        <v/>
      </c>
    </row>
    <row r="1512" ht="15.75" customHeight="1">
      <c r="A15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2" s="163" t="str">
        <f>IF(AND('Resource Planner'!$A$40="☑",8&lt;='Resource Planner'!$N$40),'Resource Planner'!$C$40,"")</f>
        <v/>
      </c>
      <c r="C1512" s="163" t="str">
        <f>IF(AND('Resource Planner'!$A$40="☑",8&lt;='Resource Planner'!$N$40),'Resource Planner'!$B$40,"")</f>
        <v/>
      </c>
      <c r="D1512" s="163" t="str">
        <f>IF(AND('Resource Planner'!$A$40="☑",8&lt;='Resource Planner'!$N$40),'Resource Planner'!$D$40,"")</f>
        <v/>
      </c>
      <c r="E1512" s="163" t="str">
        <f>IF(AND('Resource Planner'!$A$40="☑",8&lt;='Resource Planner'!$N$40),'Resource Planner'!$E$40,"")</f>
        <v/>
      </c>
      <c r="F1512" s="163" t="str">
        <f>IF(AND('Resource Planner'!$A$40="☑",8&lt;='Resource Planner'!$N$40),'Resource Planner'!$F$40&amp;" "&amp;('Resource Planner'!$G$40+(8-1)*'Resource Planner'!$I$40)&amp;IF(('Resource Planner'!$G$40+(8-1)*'Resource Planner'!$I$40)=MIN('Resource Planner'!$G$40+8*'Resource Planner'!$I$40-1,'Resource Planner'!$H$40),"","–"&amp;MIN('Resource Planner'!$G$40+8*'Resource Planner'!$I$40-1,'Resource Planner'!$H$40)),"")</f>
        <v/>
      </c>
      <c r="G1512" s="163" t="s">
        <v>109</v>
      </c>
      <c r="H1512" s="163" t="str">
        <f>IF(AND('Resource Planner'!$A$40="☑",8&lt;='Resource Planner'!$N$40),'Resource Planner'!$M$40,"")</f>
        <v/>
      </c>
    </row>
    <row r="1513" ht="15.75" customHeight="1">
      <c r="A15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3" s="163" t="str">
        <f>IF(AND('Resource Planner'!$A$40="☑",9&lt;='Resource Planner'!$N$40),'Resource Planner'!$C$40,"")</f>
        <v/>
      </c>
      <c r="C1513" s="163" t="str">
        <f>IF(AND('Resource Planner'!$A$40="☑",9&lt;='Resource Planner'!$N$40),'Resource Planner'!$B$40,"")</f>
        <v/>
      </c>
      <c r="D1513" s="163" t="str">
        <f>IF(AND('Resource Planner'!$A$40="☑",9&lt;='Resource Planner'!$N$40),'Resource Planner'!$D$40,"")</f>
        <v/>
      </c>
      <c r="E1513" s="163" t="str">
        <f>IF(AND('Resource Planner'!$A$40="☑",9&lt;='Resource Planner'!$N$40),'Resource Planner'!$E$40,"")</f>
        <v/>
      </c>
      <c r="F1513" s="163" t="str">
        <f>IF(AND('Resource Planner'!$A$40="☑",9&lt;='Resource Planner'!$N$40),'Resource Planner'!$F$40&amp;" "&amp;('Resource Planner'!$G$40+(9-1)*'Resource Planner'!$I$40)&amp;IF(('Resource Planner'!$G$40+(9-1)*'Resource Planner'!$I$40)=MIN('Resource Planner'!$G$40+9*'Resource Planner'!$I$40-1,'Resource Planner'!$H$40),"","–"&amp;MIN('Resource Planner'!$G$40+9*'Resource Planner'!$I$40-1,'Resource Planner'!$H$40)),"")</f>
        <v/>
      </c>
      <c r="G1513" s="163" t="s">
        <v>109</v>
      </c>
      <c r="H1513" s="163" t="str">
        <f>IF(AND('Resource Planner'!$A$40="☑",9&lt;='Resource Planner'!$N$40),'Resource Planner'!$M$40,"")</f>
        <v/>
      </c>
    </row>
    <row r="1514" ht="15.75" customHeight="1">
      <c r="A15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4" s="163" t="str">
        <f>IF(AND('Resource Planner'!$A$40="☑",10&lt;='Resource Planner'!$N$40),'Resource Planner'!$C$40,"")</f>
        <v/>
      </c>
      <c r="C1514" s="163" t="str">
        <f>IF(AND('Resource Planner'!$A$40="☑",10&lt;='Resource Planner'!$N$40),'Resource Planner'!$B$40,"")</f>
        <v/>
      </c>
      <c r="D1514" s="163" t="str">
        <f>IF(AND('Resource Planner'!$A$40="☑",10&lt;='Resource Planner'!$N$40),'Resource Planner'!$D$40,"")</f>
        <v/>
      </c>
      <c r="E1514" s="163" t="str">
        <f>IF(AND('Resource Planner'!$A$40="☑",10&lt;='Resource Planner'!$N$40),'Resource Planner'!$E$40,"")</f>
        <v/>
      </c>
      <c r="F1514" s="163" t="str">
        <f>IF(AND('Resource Planner'!$A$40="☑",10&lt;='Resource Planner'!$N$40),'Resource Planner'!$F$40&amp;" "&amp;('Resource Planner'!$G$40+(10-1)*'Resource Planner'!$I$40)&amp;IF(('Resource Planner'!$G$40+(10-1)*'Resource Planner'!$I$40)=MIN('Resource Planner'!$G$40+10*'Resource Planner'!$I$40-1,'Resource Planner'!$H$40),"","–"&amp;MIN('Resource Planner'!$G$40+10*'Resource Planner'!$I$40-1,'Resource Planner'!$H$40)),"")</f>
        <v/>
      </c>
      <c r="G1514" s="163" t="s">
        <v>109</v>
      </c>
      <c r="H1514" s="163" t="str">
        <f>IF(AND('Resource Planner'!$A$40="☑",10&lt;='Resource Planner'!$N$40),'Resource Planner'!$M$40,"")</f>
        <v/>
      </c>
    </row>
    <row r="1515" ht="15.75" customHeight="1">
      <c r="A15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5" s="163" t="str">
        <f>IF(AND('Resource Planner'!$A$40="☑",11&lt;='Resource Planner'!$N$40),'Resource Planner'!$C$40,"")</f>
        <v/>
      </c>
      <c r="C1515" s="163" t="str">
        <f>IF(AND('Resource Planner'!$A$40="☑",11&lt;='Resource Planner'!$N$40),'Resource Planner'!$B$40,"")</f>
        <v/>
      </c>
      <c r="D1515" s="163" t="str">
        <f>IF(AND('Resource Planner'!$A$40="☑",11&lt;='Resource Planner'!$N$40),'Resource Planner'!$D$40,"")</f>
        <v/>
      </c>
      <c r="E1515" s="163" t="str">
        <f>IF(AND('Resource Planner'!$A$40="☑",11&lt;='Resource Planner'!$N$40),'Resource Planner'!$E$40,"")</f>
        <v/>
      </c>
      <c r="F1515" s="163" t="str">
        <f>IF(AND('Resource Planner'!$A$40="☑",11&lt;='Resource Planner'!$N$40),'Resource Planner'!$F$40&amp;" "&amp;('Resource Planner'!$G$40+(11-1)*'Resource Planner'!$I$40)&amp;IF(('Resource Planner'!$G$40+(11-1)*'Resource Planner'!$I$40)=MIN('Resource Planner'!$G$40+11*'Resource Planner'!$I$40-1,'Resource Planner'!$H$40),"","–"&amp;MIN('Resource Planner'!$G$40+11*'Resource Planner'!$I$40-1,'Resource Planner'!$H$40)),"")</f>
        <v/>
      </c>
      <c r="G1515" s="163" t="s">
        <v>109</v>
      </c>
      <c r="H1515" s="163" t="str">
        <f>IF(AND('Resource Planner'!$A$40="☑",11&lt;='Resource Planner'!$N$40),'Resource Planner'!$M$40,"")</f>
        <v/>
      </c>
    </row>
    <row r="1516" ht="15.75" customHeight="1">
      <c r="A15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6" s="163" t="str">
        <f>IF(AND('Resource Planner'!$A$40="☑",12&lt;='Resource Planner'!$N$40),'Resource Planner'!$C$40,"")</f>
        <v/>
      </c>
      <c r="C1516" s="163" t="str">
        <f>IF(AND('Resource Planner'!$A$40="☑",12&lt;='Resource Planner'!$N$40),'Resource Planner'!$B$40,"")</f>
        <v/>
      </c>
      <c r="D1516" s="163" t="str">
        <f>IF(AND('Resource Planner'!$A$40="☑",12&lt;='Resource Planner'!$N$40),'Resource Planner'!$D$40,"")</f>
        <v/>
      </c>
      <c r="E1516" s="163" t="str">
        <f>IF(AND('Resource Planner'!$A$40="☑",12&lt;='Resource Planner'!$N$40),'Resource Planner'!$E$40,"")</f>
        <v/>
      </c>
      <c r="F1516" s="163" t="str">
        <f>IF(AND('Resource Planner'!$A$40="☑",12&lt;='Resource Planner'!$N$40),'Resource Planner'!$F$40&amp;" "&amp;('Resource Planner'!$G$40+(12-1)*'Resource Planner'!$I$40)&amp;IF(('Resource Planner'!$G$40+(12-1)*'Resource Planner'!$I$40)=MIN('Resource Planner'!$G$40+12*'Resource Planner'!$I$40-1,'Resource Planner'!$H$40),"","–"&amp;MIN('Resource Planner'!$G$40+12*'Resource Planner'!$I$40-1,'Resource Planner'!$H$40)),"")</f>
        <v/>
      </c>
      <c r="G1516" s="163" t="s">
        <v>109</v>
      </c>
      <c r="H1516" s="163" t="str">
        <f>IF(AND('Resource Planner'!$A$40="☑",12&lt;='Resource Planner'!$N$40),'Resource Planner'!$M$40,"")</f>
        <v/>
      </c>
    </row>
    <row r="1517" ht="15.75" customHeight="1">
      <c r="A15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7" s="163" t="str">
        <f>IF(AND('Resource Planner'!$A$40="☑",13&lt;='Resource Planner'!$N$40),'Resource Planner'!$C$40,"")</f>
        <v/>
      </c>
      <c r="C1517" s="163" t="str">
        <f>IF(AND('Resource Planner'!$A$40="☑",13&lt;='Resource Planner'!$N$40),'Resource Planner'!$B$40,"")</f>
        <v/>
      </c>
      <c r="D1517" s="163" t="str">
        <f>IF(AND('Resource Planner'!$A$40="☑",13&lt;='Resource Planner'!$N$40),'Resource Planner'!$D$40,"")</f>
        <v/>
      </c>
      <c r="E1517" s="163" t="str">
        <f>IF(AND('Resource Planner'!$A$40="☑",13&lt;='Resource Planner'!$N$40),'Resource Planner'!$E$40,"")</f>
        <v/>
      </c>
      <c r="F1517" s="163" t="str">
        <f>IF(AND('Resource Planner'!$A$40="☑",13&lt;='Resource Planner'!$N$40),'Resource Planner'!$F$40&amp;" "&amp;('Resource Planner'!$G$40+(13-1)*'Resource Planner'!$I$40)&amp;IF(('Resource Planner'!$G$40+(13-1)*'Resource Planner'!$I$40)=MIN('Resource Planner'!$G$40+13*'Resource Planner'!$I$40-1,'Resource Planner'!$H$40),"","–"&amp;MIN('Resource Planner'!$G$40+13*'Resource Planner'!$I$40-1,'Resource Planner'!$H$40)),"")</f>
        <v/>
      </c>
      <c r="G1517" s="163" t="s">
        <v>109</v>
      </c>
      <c r="H1517" s="163" t="str">
        <f>IF(AND('Resource Planner'!$A$40="☑",13&lt;='Resource Planner'!$N$40),'Resource Planner'!$M$40,"")</f>
        <v/>
      </c>
    </row>
    <row r="1518" ht="15.75" customHeight="1">
      <c r="A15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8" s="163" t="str">
        <f>IF(AND('Resource Planner'!$A$40="☑",14&lt;='Resource Planner'!$N$40),'Resource Planner'!$C$40,"")</f>
        <v/>
      </c>
      <c r="C1518" s="163" t="str">
        <f>IF(AND('Resource Planner'!$A$40="☑",14&lt;='Resource Planner'!$N$40),'Resource Planner'!$B$40,"")</f>
        <v/>
      </c>
      <c r="D1518" s="163" t="str">
        <f>IF(AND('Resource Planner'!$A$40="☑",14&lt;='Resource Planner'!$N$40),'Resource Planner'!$D$40,"")</f>
        <v/>
      </c>
      <c r="E1518" s="163" t="str">
        <f>IF(AND('Resource Planner'!$A$40="☑",14&lt;='Resource Planner'!$N$40),'Resource Planner'!$E$40,"")</f>
        <v/>
      </c>
      <c r="F1518" s="163" t="str">
        <f>IF(AND('Resource Planner'!$A$40="☑",14&lt;='Resource Planner'!$N$40),'Resource Planner'!$F$40&amp;" "&amp;('Resource Planner'!$G$40+(14-1)*'Resource Planner'!$I$40)&amp;IF(('Resource Planner'!$G$40+(14-1)*'Resource Planner'!$I$40)=MIN('Resource Planner'!$G$40+14*'Resource Planner'!$I$40-1,'Resource Planner'!$H$40),"","–"&amp;MIN('Resource Planner'!$G$40+14*'Resource Planner'!$I$40-1,'Resource Planner'!$H$40)),"")</f>
        <v/>
      </c>
      <c r="G1518" s="163" t="s">
        <v>109</v>
      </c>
      <c r="H1518" s="163" t="str">
        <f>IF(AND('Resource Planner'!$A$40="☑",14&lt;='Resource Planner'!$N$40),'Resource Planner'!$M$40,"")</f>
        <v/>
      </c>
    </row>
    <row r="1519" ht="15.75" customHeight="1">
      <c r="A15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19" s="163" t="str">
        <f>IF(AND('Resource Planner'!$A$40="☑",15&lt;='Resource Planner'!$N$40),'Resource Planner'!$C$40,"")</f>
        <v/>
      </c>
      <c r="C1519" s="163" t="str">
        <f>IF(AND('Resource Planner'!$A$40="☑",15&lt;='Resource Planner'!$N$40),'Resource Planner'!$B$40,"")</f>
        <v/>
      </c>
      <c r="D1519" s="163" t="str">
        <f>IF(AND('Resource Planner'!$A$40="☑",15&lt;='Resource Planner'!$N$40),'Resource Planner'!$D$40,"")</f>
        <v/>
      </c>
      <c r="E1519" s="163" t="str">
        <f>IF(AND('Resource Planner'!$A$40="☑",15&lt;='Resource Planner'!$N$40),'Resource Planner'!$E$40,"")</f>
        <v/>
      </c>
      <c r="F1519" s="163" t="str">
        <f>IF(AND('Resource Planner'!$A$40="☑",15&lt;='Resource Planner'!$N$40),'Resource Planner'!$F$40&amp;" "&amp;('Resource Planner'!$G$40+(15-1)*'Resource Planner'!$I$40)&amp;IF(('Resource Planner'!$G$40+(15-1)*'Resource Planner'!$I$40)=MIN('Resource Planner'!$G$40+15*'Resource Planner'!$I$40-1,'Resource Planner'!$H$40),"","–"&amp;MIN('Resource Planner'!$G$40+15*'Resource Planner'!$I$40-1,'Resource Planner'!$H$40)),"")</f>
        <v/>
      </c>
      <c r="G1519" s="163" t="s">
        <v>109</v>
      </c>
      <c r="H1519" s="163" t="str">
        <f>IF(AND('Resource Planner'!$A$40="☑",15&lt;='Resource Planner'!$N$40),'Resource Planner'!$M$40,"")</f>
        <v/>
      </c>
    </row>
    <row r="1520" ht="15.75" customHeight="1">
      <c r="A15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0" s="163" t="str">
        <f>IF(AND('Resource Planner'!$A$40="☑",16&lt;='Resource Planner'!$N$40),'Resource Planner'!$C$40,"")</f>
        <v/>
      </c>
      <c r="C1520" s="163" t="str">
        <f>IF(AND('Resource Planner'!$A$40="☑",16&lt;='Resource Planner'!$N$40),'Resource Planner'!$B$40,"")</f>
        <v/>
      </c>
      <c r="D1520" s="163" t="str">
        <f>IF(AND('Resource Planner'!$A$40="☑",16&lt;='Resource Planner'!$N$40),'Resource Planner'!$D$40,"")</f>
        <v/>
      </c>
      <c r="E1520" s="163" t="str">
        <f>IF(AND('Resource Planner'!$A$40="☑",16&lt;='Resource Planner'!$N$40),'Resource Planner'!$E$40,"")</f>
        <v/>
      </c>
      <c r="F1520" s="163" t="str">
        <f>IF(AND('Resource Planner'!$A$40="☑",16&lt;='Resource Planner'!$N$40),'Resource Planner'!$F$40&amp;" "&amp;('Resource Planner'!$G$40+(16-1)*'Resource Planner'!$I$40)&amp;IF(('Resource Planner'!$G$40+(16-1)*'Resource Planner'!$I$40)=MIN('Resource Planner'!$G$40+16*'Resource Planner'!$I$40-1,'Resource Planner'!$H$40),"","–"&amp;MIN('Resource Planner'!$G$40+16*'Resource Planner'!$I$40-1,'Resource Planner'!$H$40)),"")</f>
        <v/>
      </c>
      <c r="G1520" s="163" t="s">
        <v>109</v>
      </c>
      <c r="H1520" s="163" t="str">
        <f>IF(AND('Resource Planner'!$A$40="☑",16&lt;='Resource Planner'!$N$40),'Resource Planner'!$M$40,"")</f>
        <v/>
      </c>
    </row>
    <row r="1521" ht="15.75" customHeight="1">
      <c r="A15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1" s="163" t="str">
        <f>IF(AND('Resource Planner'!$A$40="☑",17&lt;='Resource Planner'!$N$40),'Resource Planner'!$C$40,"")</f>
        <v/>
      </c>
      <c r="C1521" s="163" t="str">
        <f>IF(AND('Resource Planner'!$A$40="☑",17&lt;='Resource Planner'!$N$40),'Resource Planner'!$B$40,"")</f>
        <v/>
      </c>
      <c r="D1521" s="163" t="str">
        <f>IF(AND('Resource Planner'!$A$40="☑",17&lt;='Resource Planner'!$N$40),'Resource Planner'!$D$40,"")</f>
        <v/>
      </c>
      <c r="E1521" s="163" t="str">
        <f>IF(AND('Resource Planner'!$A$40="☑",17&lt;='Resource Planner'!$N$40),'Resource Planner'!$E$40,"")</f>
        <v/>
      </c>
      <c r="F1521" s="163" t="str">
        <f>IF(AND('Resource Planner'!$A$40="☑",17&lt;='Resource Planner'!$N$40),'Resource Planner'!$F$40&amp;" "&amp;('Resource Planner'!$G$40+(17-1)*'Resource Planner'!$I$40)&amp;IF(('Resource Planner'!$G$40+(17-1)*'Resource Planner'!$I$40)=MIN('Resource Planner'!$G$40+17*'Resource Planner'!$I$40-1,'Resource Planner'!$H$40),"","–"&amp;MIN('Resource Planner'!$G$40+17*'Resource Planner'!$I$40-1,'Resource Planner'!$H$40)),"")</f>
        <v/>
      </c>
      <c r="G1521" s="163" t="s">
        <v>109</v>
      </c>
      <c r="H1521" s="163" t="str">
        <f>IF(AND('Resource Planner'!$A$40="☑",17&lt;='Resource Planner'!$N$40),'Resource Planner'!$M$40,"")</f>
        <v/>
      </c>
    </row>
    <row r="1522" ht="15.75" customHeight="1">
      <c r="A15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2" s="163" t="str">
        <f>IF(AND('Resource Planner'!$A$40="☑",18&lt;='Resource Planner'!$N$40),'Resource Planner'!$C$40,"")</f>
        <v/>
      </c>
      <c r="C1522" s="163" t="str">
        <f>IF(AND('Resource Planner'!$A$40="☑",18&lt;='Resource Planner'!$N$40),'Resource Planner'!$B$40,"")</f>
        <v/>
      </c>
      <c r="D1522" s="163" t="str">
        <f>IF(AND('Resource Planner'!$A$40="☑",18&lt;='Resource Planner'!$N$40),'Resource Planner'!$D$40,"")</f>
        <v/>
      </c>
      <c r="E1522" s="163" t="str">
        <f>IF(AND('Resource Planner'!$A$40="☑",18&lt;='Resource Planner'!$N$40),'Resource Planner'!$E$40,"")</f>
        <v/>
      </c>
      <c r="F1522" s="163" t="str">
        <f>IF(AND('Resource Planner'!$A$40="☑",18&lt;='Resource Planner'!$N$40),'Resource Planner'!$F$40&amp;" "&amp;('Resource Planner'!$G$40+(18-1)*'Resource Planner'!$I$40)&amp;IF(('Resource Planner'!$G$40+(18-1)*'Resource Planner'!$I$40)=MIN('Resource Planner'!$G$40+18*'Resource Planner'!$I$40-1,'Resource Planner'!$H$40),"","–"&amp;MIN('Resource Planner'!$G$40+18*'Resource Planner'!$I$40-1,'Resource Planner'!$H$40)),"")</f>
        <v/>
      </c>
      <c r="G1522" s="163" t="s">
        <v>109</v>
      </c>
      <c r="H1522" s="163" t="str">
        <f>IF(AND('Resource Planner'!$A$40="☑",18&lt;='Resource Planner'!$N$40),'Resource Planner'!$M$40,"")</f>
        <v/>
      </c>
    </row>
    <row r="1523" ht="15.75" customHeight="1">
      <c r="A15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3" s="163" t="str">
        <f>IF(AND('Resource Planner'!$A$40="☑",19&lt;='Resource Planner'!$N$40),'Resource Planner'!$C$40,"")</f>
        <v/>
      </c>
      <c r="C1523" s="163" t="str">
        <f>IF(AND('Resource Planner'!$A$40="☑",19&lt;='Resource Planner'!$N$40),'Resource Planner'!$B$40,"")</f>
        <v/>
      </c>
      <c r="D1523" s="163" t="str">
        <f>IF(AND('Resource Planner'!$A$40="☑",19&lt;='Resource Planner'!$N$40),'Resource Planner'!$D$40,"")</f>
        <v/>
      </c>
      <c r="E1523" s="163" t="str">
        <f>IF(AND('Resource Planner'!$A$40="☑",19&lt;='Resource Planner'!$N$40),'Resource Planner'!$E$40,"")</f>
        <v/>
      </c>
      <c r="F1523" s="163" t="str">
        <f>IF(AND('Resource Planner'!$A$40="☑",19&lt;='Resource Planner'!$N$40),'Resource Planner'!$F$40&amp;" "&amp;('Resource Planner'!$G$40+(19-1)*'Resource Planner'!$I$40)&amp;IF(('Resource Planner'!$G$40+(19-1)*'Resource Planner'!$I$40)=MIN('Resource Planner'!$G$40+19*'Resource Planner'!$I$40-1,'Resource Planner'!$H$40),"","–"&amp;MIN('Resource Planner'!$G$40+19*'Resource Planner'!$I$40-1,'Resource Planner'!$H$40)),"")</f>
        <v/>
      </c>
      <c r="G1523" s="163" t="s">
        <v>109</v>
      </c>
      <c r="H1523" s="163" t="str">
        <f>IF(AND('Resource Planner'!$A$40="☑",19&lt;='Resource Planner'!$N$40),'Resource Planner'!$M$40,"")</f>
        <v/>
      </c>
    </row>
    <row r="1524" ht="15.75" customHeight="1">
      <c r="A15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4" s="163" t="str">
        <f>IF(AND('Resource Planner'!$A$40="☑",20&lt;='Resource Planner'!$N$40),'Resource Planner'!$C$40,"")</f>
        <v/>
      </c>
      <c r="C1524" s="163" t="str">
        <f>IF(AND('Resource Planner'!$A$40="☑",20&lt;='Resource Planner'!$N$40),'Resource Planner'!$B$40,"")</f>
        <v/>
      </c>
      <c r="D1524" s="163" t="str">
        <f>IF(AND('Resource Planner'!$A$40="☑",20&lt;='Resource Planner'!$N$40),'Resource Planner'!$D$40,"")</f>
        <v/>
      </c>
      <c r="E1524" s="163" t="str">
        <f>IF(AND('Resource Planner'!$A$40="☑",20&lt;='Resource Planner'!$N$40),'Resource Planner'!$E$40,"")</f>
        <v/>
      </c>
      <c r="F1524" s="163" t="str">
        <f>IF(AND('Resource Planner'!$A$40="☑",20&lt;='Resource Planner'!$N$40),'Resource Planner'!$F$40&amp;" "&amp;('Resource Planner'!$G$40+(20-1)*'Resource Planner'!$I$40)&amp;IF(('Resource Planner'!$G$40+(20-1)*'Resource Planner'!$I$40)=MIN('Resource Planner'!$G$40+20*'Resource Planner'!$I$40-1,'Resource Planner'!$H$40),"","–"&amp;MIN('Resource Planner'!$G$40+20*'Resource Planner'!$I$40-1,'Resource Planner'!$H$40)),"")</f>
        <v/>
      </c>
      <c r="G1524" s="163" t="s">
        <v>109</v>
      </c>
      <c r="H1524" s="163" t="str">
        <f>IF(AND('Resource Planner'!$A$40="☑",20&lt;='Resource Planner'!$N$40),'Resource Planner'!$M$40,"")</f>
        <v/>
      </c>
    </row>
    <row r="1525" ht="15.75" customHeight="1">
      <c r="A15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5" s="163" t="str">
        <f>IF(AND('Resource Planner'!$A$40="☑",21&lt;='Resource Planner'!$N$40),'Resource Planner'!$C$40,"")</f>
        <v/>
      </c>
      <c r="C1525" s="163" t="str">
        <f>IF(AND('Resource Planner'!$A$40="☑",21&lt;='Resource Planner'!$N$40),'Resource Planner'!$B$40,"")</f>
        <v/>
      </c>
      <c r="D1525" s="163" t="str">
        <f>IF(AND('Resource Planner'!$A$40="☑",21&lt;='Resource Planner'!$N$40),'Resource Planner'!$D$40,"")</f>
        <v/>
      </c>
      <c r="E1525" s="163" t="str">
        <f>IF(AND('Resource Planner'!$A$40="☑",21&lt;='Resource Planner'!$N$40),'Resource Planner'!$E$40,"")</f>
        <v/>
      </c>
      <c r="F1525" s="163" t="str">
        <f>IF(AND('Resource Planner'!$A$40="☑",21&lt;='Resource Planner'!$N$40),'Resource Planner'!$F$40&amp;" "&amp;('Resource Planner'!$G$40+(21-1)*'Resource Planner'!$I$40)&amp;IF(('Resource Planner'!$G$40+(21-1)*'Resource Planner'!$I$40)=MIN('Resource Planner'!$G$40+21*'Resource Planner'!$I$40-1,'Resource Planner'!$H$40),"","–"&amp;MIN('Resource Planner'!$G$40+21*'Resource Planner'!$I$40-1,'Resource Planner'!$H$40)),"")</f>
        <v/>
      </c>
      <c r="G1525" s="163" t="s">
        <v>109</v>
      </c>
      <c r="H1525" s="163" t="str">
        <f>IF(AND('Resource Planner'!$A$40="☑",21&lt;='Resource Planner'!$N$40),'Resource Planner'!$M$40,"")</f>
        <v/>
      </c>
    </row>
    <row r="1526" ht="15.75" customHeight="1">
      <c r="A15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6" s="163" t="str">
        <f>IF(AND('Resource Planner'!$A$40="☑",22&lt;='Resource Planner'!$N$40),'Resource Planner'!$C$40,"")</f>
        <v/>
      </c>
      <c r="C1526" s="163" t="str">
        <f>IF(AND('Resource Planner'!$A$40="☑",22&lt;='Resource Planner'!$N$40),'Resource Planner'!$B$40,"")</f>
        <v/>
      </c>
      <c r="D1526" s="163" t="str">
        <f>IF(AND('Resource Planner'!$A$40="☑",22&lt;='Resource Planner'!$N$40),'Resource Planner'!$D$40,"")</f>
        <v/>
      </c>
      <c r="E1526" s="163" t="str">
        <f>IF(AND('Resource Planner'!$A$40="☑",22&lt;='Resource Planner'!$N$40),'Resource Planner'!$E$40,"")</f>
        <v/>
      </c>
      <c r="F1526" s="163" t="str">
        <f>IF(AND('Resource Planner'!$A$40="☑",22&lt;='Resource Planner'!$N$40),'Resource Planner'!$F$40&amp;" "&amp;('Resource Planner'!$G$40+(22-1)*'Resource Planner'!$I$40)&amp;IF(('Resource Planner'!$G$40+(22-1)*'Resource Planner'!$I$40)=MIN('Resource Planner'!$G$40+22*'Resource Planner'!$I$40-1,'Resource Planner'!$H$40),"","–"&amp;MIN('Resource Planner'!$G$40+22*'Resource Planner'!$I$40-1,'Resource Planner'!$H$40)),"")</f>
        <v/>
      </c>
      <c r="G1526" s="163" t="s">
        <v>109</v>
      </c>
      <c r="H1526" s="163" t="str">
        <f>IF(AND('Resource Planner'!$A$40="☑",22&lt;='Resource Planner'!$N$40),'Resource Planner'!$M$40,"")</f>
        <v/>
      </c>
    </row>
    <row r="1527" ht="15.75" customHeight="1">
      <c r="A15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7" s="163" t="str">
        <f>IF(AND('Resource Planner'!$A$40="☑",23&lt;='Resource Planner'!$N$40),'Resource Planner'!$C$40,"")</f>
        <v/>
      </c>
      <c r="C1527" s="163" t="str">
        <f>IF(AND('Resource Planner'!$A$40="☑",23&lt;='Resource Planner'!$N$40),'Resource Planner'!$B$40,"")</f>
        <v/>
      </c>
      <c r="D1527" s="163" t="str">
        <f>IF(AND('Resource Planner'!$A$40="☑",23&lt;='Resource Planner'!$N$40),'Resource Planner'!$D$40,"")</f>
        <v/>
      </c>
      <c r="E1527" s="163" t="str">
        <f>IF(AND('Resource Planner'!$A$40="☑",23&lt;='Resource Planner'!$N$40),'Resource Planner'!$E$40,"")</f>
        <v/>
      </c>
      <c r="F1527" s="163" t="str">
        <f>IF(AND('Resource Planner'!$A$40="☑",23&lt;='Resource Planner'!$N$40),'Resource Planner'!$F$40&amp;" "&amp;('Resource Planner'!$G$40+(23-1)*'Resource Planner'!$I$40)&amp;IF(('Resource Planner'!$G$40+(23-1)*'Resource Planner'!$I$40)=MIN('Resource Planner'!$G$40+23*'Resource Planner'!$I$40-1,'Resource Planner'!$H$40),"","–"&amp;MIN('Resource Planner'!$G$40+23*'Resource Planner'!$I$40-1,'Resource Planner'!$H$40)),"")</f>
        <v/>
      </c>
      <c r="G1527" s="163" t="s">
        <v>109</v>
      </c>
      <c r="H1527" s="163" t="str">
        <f>IF(AND('Resource Planner'!$A$40="☑",23&lt;='Resource Planner'!$N$40),'Resource Planner'!$M$40,"")</f>
        <v/>
      </c>
    </row>
    <row r="1528" ht="15.75" customHeight="1">
      <c r="A15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8" s="163" t="str">
        <f>IF(AND('Resource Planner'!$A$40="☑",24&lt;='Resource Planner'!$N$40),'Resource Planner'!$C$40,"")</f>
        <v/>
      </c>
      <c r="C1528" s="163" t="str">
        <f>IF(AND('Resource Planner'!$A$40="☑",24&lt;='Resource Planner'!$N$40),'Resource Planner'!$B$40,"")</f>
        <v/>
      </c>
      <c r="D1528" s="163" t="str">
        <f>IF(AND('Resource Planner'!$A$40="☑",24&lt;='Resource Planner'!$N$40),'Resource Planner'!$D$40,"")</f>
        <v/>
      </c>
      <c r="E1528" s="163" t="str">
        <f>IF(AND('Resource Planner'!$A$40="☑",24&lt;='Resource Planner'!$N$40),'Resource Planner'!$E$40,"")</f>
        <v/>
      </c>
      <c r="F1528" s="163" t="str">
        <f>IF(AND('Resource Planner'!$A$40="☑",24&lt;='Resource Planner'!$N$40),'Resource Planner'!$F$40&amp;" "&amp;('Resource Planner'!$G$40+(24-1)*'Resource Planner'!$I$40)&amp;IF(('Resource Planner'!$G$40+(24-1)*'Resource Planner'!$I$40)=MIN('Resource Planner'!$G$40+24*'Resource Planner'!$I$40-1,'Resource Planner'!$H$40),"","–"&amp;MIN('Resource Planner'!$G$40+24*'Resource Planner'!$I$40-1,'Resource Planner'!$H$40)),"")</f>
        <v/>
      </c>
      <c r="G1528" s="163" t="s">
        <v>109</v>
      </c>
      <c r="H1528" s="163" t="str">
        <f>IF(AND('Resource Planner'!$A$40="☑",24&lt;='Resource Planner'!$N$40),'Resource Planner'!$M$40,"")</f>
        <v/>
      </c>
    </row>
    <row r="1529" ht="15.75" customHeight="1">
      <c r="A15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29" s="163" t="str">
        <f>IF(AND('Resource Planner'!$A$40="☑",25&lt;='Resource Planner'!$N$40),'Resource Planner'!$C$40,"")</f>
        <v/>
      </c>
      <c r="C1529" s="163" t="str">
        <f>IF(AND('Resource Planner'!$A$40="☑",25&lt;='Resource Planner'!$N$40),'Resource Planner'!$B$40,"")</f>
        <v/>
      </c>
      <c r="D1529" s="163" t="str">
        <f>IF(AND('Resource Planner'!$A$40="☑",25&lt;='Resource Planner'!$N$40),'Resource Planner'!$D$40,"")</f>
        <v/>
      </c>
      <c r="E1529" s="163" t="str">
        <f>IF(AND('Resource Planner'!$A$40="☑",25&lt;='Resource Planner'!$N$40),'Resource Planner'!$E$40,"")</f>
        <v/>
      </c>
      <c r="F1529" s="163" t="str">
        <f>IF(AND('Resource Planner'!$A$40="☑",25&lt;='Resource Planner'!$N$40),'Resource Planner'!$F$40&amp;" "&amp;('Resource Planner'!$G$40+(25-1)*'Resource Planner'!$I$40)&amp;IF(('Resource Planner'!$G$40+(25-1)*'Resource Planner'!$I$40)=MIN('Resource Planner'!$G$40+25*'Resource Planner'!$I$40-1,'Resource Planner'!$H$40),"","–"&amp;MIN('Resource Planner'!$G$40+25*'Resource Planner'!$I$40-1,'Resource Planner'!$H$40)),"")</f>
        <v/>
      </c>
      <c r="G1529" s="163" t="s">
        <v>109</v>
      </c>
      <c r="H1529" s="163" t="str">
        <f>IF(AND('Resource Planner'!$A$40="☑",25&lt;='Resource Planner'!$N$40),'Resource Planner'!$M$40,"")</f>
        <v/>
      </c>
    </row>
    <row r="1530" ht="15.75" customHeight="1">
      <c r="A15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0" s="163" t="str">
        <f>IF(AND('Resource Planner'!$A$40="☑",26&lt;='Resource Planner'!$N$40),'Resource Planner'!$C$40,"")</f>
        <v/>
      </c>
      <c r="C1530" s="163" t="str">
        <f>IF(AND('Resource Planner'!$A$40="☑",26&lt;='Resource Planner'!$N$40),'Resource Planner'!$B$40,"")</f>
        <v/>
      </c>
      <c r="D1530" s="163" t="str">
        <f>IF(AND('Resource Planner'!$A$40="☑",26&lt;='Resource Planner'!$N$40),'Resource Planner'!$D$40,"")</f>
        <v/>
      </c>
      <c r="E1530" s="163" t="str">
        <f>IF(AND('Resource Planner'!$A$40="☑",26&lt;='Resource Planner'!$N$40),'Resource Planner'!$E$40,"")</f>
        <v/>
      </c>
      <c r="F1530" s="163" t="str">
        <f>IF(AND('Resource Planner'!$A$40="☑",26&lt;='Resource Planner'!$N$40),'Resource Planner'!$F$40&amp;" "&amp;('Resource Planner'!$G$40+(26-1)*'Resource Planner'!$I$40)&amp;IF(('Resource Planner'!$G$40+(26-1)*'Resource Planner'!$I$40)=MIN('Resource Planner'!$G$40+26*'Resource Planner'!$I$40-1,'Resource Planner'!$H$40),"","–"&amp;MIN('Resource Planner'!$G$40+26*'Resource Planner'!$I$40-1,'Resource Planner'!$H$40)),"")</f>
        <v/>
      </c>
      <c r="G1530" s="163" t="s">
        <v>109</v>
      </c>
      <c r="H1530" s="163" t="str">
        <f>IF(AND('Resource Planner'!$A$40="☑",26&lt;='Resource Planner'!$N$40),'Resource Planner'!$M$40,"")</f>
        <v/>
      </c>
    </row>
    <row r="1531" ht="15.75" customHeight="1">
      <c r="A15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1" s="163" t="str">
        <f>IF(AND('Resource Planner'!$A$40="☑",27&lt;='Resource Planner'!$N$40),'Resource Planner'!$C$40,"")</f>
        <v/>
      </c>
      <c r="C1531" s="163" t="str">
        <f>IF(AND('Resource Planner'!$A$40="☑",27&lt;='Resource Planner'!$N$40),'Resource Planner'!$B$40,"")</f>
        <v/>
      </c>
      <c r="D1531" s="163" t="str">
        <f>IF(AND('Resource Planner'!$A$40="☑",27&lt;='Resource Planner'!$N$40),'Resource Planner'!$D$40,"")</f>
        <v/>
      </c>
      <c r="E1531" s="163" t="str">
        <f>IF(AND('Resource Planner'!$A$40="☑",27&lt;='Resource Planner'!$N$40),'Resource Planner'!$E$40,"")</f>
        <v/>
      </c>
      <c r="F1531" s="163" t="str">
        <f>IF(AND('Resource Planner'!$A$40="☑",27&lt;='Resource Planner'!$N$40),'Resource Planner'!$F$40&amp;" "&amp;('Resource Planner'!$G$40+(27-1)*'Resource Planner'!$I$40)&amp;IF(('Resource Planner'!$G$40+(27-1)*'Resource Planner'!$I$40)=MIN('Resource Planner'!$G$40+27*'Resource Planner'!$I$40-1,'Resource Planner'!$H$40),"","–"&amp;MIN('Resource Planner'!$G$40+27*'Resource Planner'!$I$40-1,'Resource Planner'!$H$40)),"")</f>
        <v/>
      </c>
      <c r="G1531" s="163" t="s">
        <v>109</v>
      </c>
      <c r="H1531" s="163" t="str">
        <f>IF(AND('Resource Planner'!$A$40="☑",27&lt;='Resource Planner'!$N$40),'Resource Planner'!$M$40,"")</f>
        <v/>
      </c>
    </row>
    <row r="1532" ht="15.75" customHeight="1">
      <c r="A15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2" s="163" t="str">
        <f>IF(AND('Resource Planner'!$A$40="☑",28&lt;='Resource Planner'!$N$40),'Resource Planner'!$C$40,"")</f>
        <v/>
      </c>
      <c r="C1532" s="163" t="str">
        <f>IF(AND('Resource Planner'!$A$40="☑",28&lt;='Resource Planner'!$N$40),'Resource Planner'!$B$40,"")</f>
        <v/>
      </c>
      <c r="D1532" s="163" t="str">
        <f>IF(AND('Resource Planner'!$A$40="☑",28&lt;='Resource Planner'!$N$40),'Resource Planner'!$D$40,"")</f>
        <v/>
      </c>
      <c r="E1532" s="163" t="str">
        <f>IF(AND('Resource Planner'!$A$40="☑",28&lt;='Resource Planner'!$N$40),'Resource Planner'!$E$40,"")</f>
        <v/>
      </c>
      <c r="F1532" s="163" t="str">
        <f>IF(AND('Resource Planner'!$A$40="☑",28&lt;='Resource Planner'!$N$40),'Resource Planner'!$F$40&amp;" "&amp;('Resource Planner'!$G$40+(28-1)*'Resource Planner'!$I$40)&amp;IF(('Resource Planner'!$G$40+(28-1)*'Resource Planner'!$I$40)=MIN('Resource Planner'!$G$40+28*'Resource Planner'!$I$40-1,'Resource Planner'!$H$40),"","–"&amp;MIN('Resource Planner'!$G$40+28*'Resource Planner'!$I$40-1,'Resource Planner'!$H$40)),"")</f>
        <v/>
      </c>
      <c r="G1532" s="163" t="s">
        <v>109</v>
      </c>
      <c r="H1532" s="163" t="str">
        <f>IF(AND('Resource Planner'!$A$40="☑",28&lt;='Resource Planner'!$N$40),'Resource Planner'!$M$40,"")</f>
        <v/>
      </c>
    </row>
    <row r="1533" ht="15.75" customHeight="1">
      <c r="A15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3" s="163" t="str">
        <f>IF(AND('Resource Planner'!$A$40="☑",29&lt;='Resource Planner'!$N$40),'Resource Planner'!$C$40,"")</f>
        <v/>
      </c>
      <c r="C1533" s="163" t="str">
        <f>IF(AND('Resource Planner'!$A$40="☑",29&lt;='Resource Planner'!$N$40),'Resource Planner'!$B$40,"")</f>
        <v/>
      </c>
      <c r="D1533" s="163" t="str">
        <f>IF(AND('Resource Planner'!$A$40="☑",29&lt;='Resource Planner'!$N$40),'Resource Planner'!$D$40,"")</f>
        <v/>
      </c>
      <c r="E1533" s="163" t="str">
        <f>IF(AND('Resource Planner'!$A$40="☑",29&lt;='Resource Planner'!$N$40),'Resource Planner'!$E$40,"")</f>
        <v/>
      </c>
      <c r="F1533" s="163" t="str">
        <f>IF(AND('Resource Planner'!$A$40="☑",29&lt;='Resource Planner'!$N$40),'Resource Planner'!$F$40&amp;" "&amp;('Resource Planner'!$G$40+(29-1)*'Resource Planner'!$I$40)&amp;IF(('Resource Planner'!$G$40+(29-1)*'Resource Planner'!$I$40)=MIN('Resource Planner'!$G$40+29*'Resource Planner'!$I$40-1,'Resource Planner'!$H$40),"","–"&amp;MIN('Resource Planner'!$G$40+29*'Resource Planner'!$I$40-1,'Resource Planner'!$H$40)),"")</f>
        <v/>
      </c>
      <c r="G1533" s="163" t="s">
        <v>109</v>
      </c>
      <c r="H1533" s="163" t="str">
        <f>IF(AND('Resource Planner'!$A$40="☑",29&lt;='Resource Planner'!$N$40),'Resource Planner'!$M$40,"")</f>
        <v/>
      </c>
    </row>
    <row r="1534" ht="15.75" customHeight="1">
      <c r="A15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4" s="163" t="str">
        <f>IF(AND('Resource Planner'!$A$40="☑",30&lt;='Resource Planner'!$N$40),'Resource Planner'!$C$40,"")</f>
        <v/>
      </c>
      <c r="C1534" s="163" t="str">
        <f>IF(AND('Resource Planner'!$A$40="☑",30&lt;='Resource Planner'!$N$40),'Resource Planner'!$B$40,"")</f>
        <v/>
      </c>
      <c r="D1534" s="163" t="str">
        <f>IF(AND('Resource Planner'!$A$40="☑",30&lt;='Resource Planner'!$N$40),'Resource Planner'!$D$40,"")</f>
        <v/>
      </c>
      <c r="E1534" s="163" t="str">
        <f>IF(AND('Resource Planner'!$A$40="☑",30&lt;='Resource Planner'!$N$40),'Resource Planner'!$E$40,"")</f>
        <v/>
      </c>
      <c r="F1534" s="163" t="str">
        <f>IF(AND('Resource Planner'!$A$40="☑",30&lt;='Resource Planner'!$N$40),'Resource Planner'!$F$40&amp;" "&amp;('Resource Planner'!$G$40+(30-1)*'Resource Planner'!$I$40)&amp;IF(('Resource Planner'!$G$40+(30-1)*'Resource Planner'!$I$40)=MIN('Resource Planner'!$G$40+30*'Resource Planner'!$I$40-1,'Resource Planner'!$H$40),"","–"&amp;MIN('Resource Planner'!$G$40+30*'Resource Planner'!$I$40-1,'Resource Planner'!$H$40)),"")</f>
        <v/>
      </c>
      <c r="G1534" s="163" t="s">
        <v>109</v>
      </c>
      <c r="H1534" s="163" t="str">
        <f>IF(AND('Resource Planner'!$A$40="☑",30&lt;='Resource Planner'!$N$40),'Resource Planner'!$M$40,"")</f>
        <v/>
      </c>
    </row>
    <row r="1535" ht="15.75" customHeight="1">
      <c r="A15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5" s="163" t="str">
        <f>IF(AND('Resource Planner'!$A$40="☑",31&lt;='Resource Planner'!$N$40),'Resource Planner'!$C$40,"")</f>
        <v/>
      </c>
      <c r="C1535" s="163" t="str">
        <f>IF(AND('Resource Planner'!$A$40="☑",31&lt;='Resource Planner'!$N$40),'Resource Planner'!$B$40,"")</f>
        <v/>
      </c>
      <c r="D1535" s="163" t="str">
        <f>IF(AND('Resource Planner'!$A$40="☑",31&lt;='Resource Planner'!$N$40),'Resource Planner'!$D$40,"")</f>
        <v/>
      </c>
      <c r="E1535" s="163" t="str">
        <f>IF(AND('Resource Planner'!$A$40="☑",31&lt;='Resource Planner'!$N$40),'Resource Planner'!$E$40,"")</f>
        <v/>
      </c>
      <c r="F1535" s="163" t="str">
        <f>IF(AND('Resource Planner'!$A$40="☑",31&lt;='Resource Planner'!$N$40),'Resource Planner'!$F$40&amp;" "&amp;('Resource Planner'!$G$40+(31-1)*'Resource Planner'!$I$40)&amp;IF(('Resource Planner'!$G$40+(31-1)*'Resource Planner'!$I$40)=MIN('Resource Planner'!$G$40+31*'Resource Planner'!$I$40-1,'Resource Planner'!$H$40),"","–"&amp;MIN('Resource Planner'!$G$40+31*'Resource Planner'!$I$40-1,'Resource Planner'!$H$40)),"")</f>
        <v/>
      </c>
      <c r="G1535" s="163" t="s">
        <v>109</v>
      </c>
      <c r="H1535" s="163" t="str">
        <f>IF(AND('Resource Planner'!$A$40="☑",31&lt;='Resource Planner'!$N$40),'Resource Planner'!$M$40,"")</f>
        <v/>
      </c>
    </row>
    <row r="1536" ht="15.75" customHeight="1">
      <c r="A15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6" s="163" t="str">
        <f>IF(AND('Resource Planner'!$A$40="☑",32&lt;='Resource Planner'!$N$40),'Resource Planner'!$C$40,"")</f>
        <v/>
      </c>
      <c r="C1536" s="163" t="str">
        <f>IF(AND('Resource Planner'!$A$40="☑",32&lt;='Resource Planner'!$N$40),'Resource Planner'!$B$40,"")</f>
        <v/>
      </c>
      <c r="D1536" s="163" t="str">
        <f>IF(AND('Resource Planner'!$A$40="☑",32&lt;='Resource Planner'!$N$40),'Resource Planner'!$D$40,"")</f>
        <v/>
      </c>
      <c r="E1536" s="163" t="str">
        <f>IF(AND('Resource Planner'!$A$40="☑",32&lt;='Resource Planner'!$N$40),'Resource Planner'!$E$40,"")</f>
        <v/>
      </c>
      <c r="F1536" s="163" t="str">
        <f>IF(AND('Resource Planner'!$A$40="☑",32&lt;='Resource Planner'!$N$40),'Resource Planner'!$F$40&amp;" "&amp;('Resource Planner'!$G$40+(32-1)*'Resource Planner'!$I$40)&amp;IF(('Resource Planner'!$G$40+(32-1)*'Resource Planner'!$I$40)=MIN('Resource Planner'!$G$40+32*'Resource Planner'!$I$40-1,'Resource Planner'!$H$40),"","–"&amp;MIN('Resource Planner'!$G$40+32*'Resource Planner'!$I$40-1,'Resource Planner'!$H$40)),"")</f>
        <v/>
      </c>
      <c r="G1536" s="163" t="s">
        <v>109</v>
      </c>
      <c r="H1536" s="163" t="str">
        <f>IF(AND('Resource Planner'!$A$40="☑",32&lt;='Resource Planner'!$N$40),'Resource Planner'!$M$40,"")</f>
        <v/>
      </c>
    </row>
    <row r="1537" ht="15.75" customHeight="1">
      <c r="A15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7" s="163" t="str">
        <f>IF(AND('Resource Planner'!$A$40="☑",33&lt;='Resource Planner'!$N$40),'Resource Planner'!$C$40,"")</f>
        <v/>
      </c>
      <c r="C1537" s="163" t="str">
        <f>IF(AND('Resource Planner'!$A$40="☑",33&lt;='Resource Planner'!$N$40),'Resource Planner'!$B$40,"")</f>
        <v/>
      </c>
      <c r="D1537" s="163" t="str">
        <f>IF(AND('Resource Planner'!$A$40="☑",33&lt;='Resource Planner'!$N$40),'Resource Planner'!$D$40,"")</f>
        <v/>
      </c>
      <c r="E1537" s="163" t="str">
        <f>IF(AND('Resource Planner'!$A$40="☑",33&lt;='Resource Planner'!$N$40),'Resource Planner'!$E$40,"")</f>
        <v/>
      </c>
      <c r="F1537" s="163" t="str">
        <f>IF(AND('Resource Planner'!$A$40="☑",33&lt;='Resource Planner'!$N$40),'Resource Planner'!$F$40&amp;" "&amp;('Resource Planner'!$G$40+(33-1)*'Resource Planner'!$I$40)&amp;IF(('Resource Planner'!$G$40+(33-1)*'Resource Planner'!$I$40)=MIN('Resource Planner'!$G$40+33*'Resource Planner'!$I$40-1,'Resource Planner'!$H$40),"","–"&amp;MIN('Resource Planner'!$G$40+33*'Resource Planner'!$I$40-1,'Resource Planner'!$H$40)),"")</f>
        <v/>
      </c>
      <c r="G1537" s="163" t="s">
        <v>109</v>
      </c>
      <c r="H1537" s="163" t="str">
        <f>IF(AND('Resource Planner'!$A$40="☑",33&lt;='Resource Planner'!$N$40),'Resource Planner'!$M$40,"")</f>
        <v/>
      </c>
    </row>
    <row r="1538" ht="15.75" customHeight="1">
      <c r="A15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8" s="163" t="str">
        <f>IF(AND('Resource Planner'!$A$40="☑",34&lt;='Resource Planner'!$N$40),'Resource Planner'!$C$40,"")</f>
        <v/>
      </c>
      <c r="C1538" s="163" t="str">
        <f>IF(AND('Resource Planner'!$A$40="☑",34&lt;='Resource Planner'!$N$40),'Resource Planner'!$B$40,"")</f>
        <v/>
      </c>
      <c r="D1538" s="163" t="str">
        <f>IF(AND('Resource Planner'!$A$40="☑",34&lt;='Resource Planner'!$N$40),'Resource Planner'!$D$40,"")</f>
        <v/>
      </c>
      <c r="E1538" s="163" t="str">
        <f>IF(AND('Resource Planner'!$A$40="☑",34&lt;='Resource Planner'!$N$40),'Resource Planner'!$E$40,"")</f>
        <v/>
      </c>
      <c r="F1538" s="163" t="str">
        <f>IF(AND('Resource Planner'!$A$40="☑",34&lt;='Resource Planner'!$N$40),'Resource Planner'!$F$40&amp;" "&amp;('Resource Planner'!$G$40+(34-1)*'Resource Planner'!$I$40)&amp;IF(('Resource Planner'!$G$40+(34-1)*'Resource Planner'!$I$40)=MIN('Resource Planner'!$G$40+34*'Resource Planner'!$I$40-1,'Resource Planner'!$H$40),"","–"&amp;MIN('Resource Planner'!$G$40+34*'Resource Planner'!$I$40-1,'Resource Planner'!$H$40)),"")</f>
        <v/>
      </c>
      <c r="G1538" s="163" t="s">
        <v>109</v>
      </c>
      <c r="H1538" s="163" t="str">
        <f>IF(AND('Resource Planner'!$A$40="☑",34&lt;='Resource Planner'!$N$40),'Resource Planner'!$M$40,"")</f>
        <v/>
      </c>
    </row>
    <row r="1539" ht="15.75" customHeight="1">
      <c r="A15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39" s="163" t="str">
        <f>IF(AND('Resource Planner'!$A$40="☑",35&lt;='Resource Planner'!$N$40),'Resource Planner'!$C$40,"")</f>
        <v/>
      </c>
      <c r="C1539" s="163" t="str">
        <f>IF(AND('Resource Planner'!$A$40="☑",35&lt;='Resource Planner'!$N$40),'Resource Planner'!$B$40,"")</f>
        <v/>
      </c>
      <c r="D1539" s="163" t="str">
        <f>IF(AND('Resource Planner'!$A$40="☑",35&lt;='Resource Planner'!$N$40),'Resource Planner'!$D$40,"")</f>
        <v/>
      </c>
      <c r="E1539" s="163" t="str">
        <f>IF(AND('Resource Planner'!$A$40="☑",35&lt;='Resource Planner'!$N$40),'Resource Planner'!$E$40,"")</f>
        <v/>
      </c>
      <c r="F1539" s="163" t="str">
        <f>IF(AND('Resource Planner'!$A$40="☑",35&lt;='Resource Planner'!$N$40),'Resource Planner'!$F$40&amp;" "&amp;('Resource Planner'!$G$40+(35-1)*'Resource Planner'!$I$40)&amp;IF(('Resource Planner'!$G$40+(35-1)*'Resource Planner'!$I$40)=MIN('Resource Planner'!$G$40+35*'Resource Planner'!$I$40-1,'Resource Planner'!$H$40),"","–"&amp;MIN('Resource Planner'!$G$40+35*'Resource Planner'!$I$40-1,'Resource Planner'!$H$40)),"")</f>
        <v/>
      </c>
      <c r="G1539" s="163" t="s">
        <v>109</v>
      </c>
      <c r="H1539" s="163" t="str">
        <f>IF(AND('Resource Planner'!$A$40="☑",35&lt;='Resource Planner'!$N$40),'Resource Planner'!$M$40,"")</f>
        <v/>
      </c>
    </row>
    <row r="1540" ht="15.75" customHeight="1">
      <c r="A15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0" s="163" t="str">
        <f>IF(AND('Resource Planner'!$A$40="☑",36&lt;='Resource Planner'!$N$40),'Resource Planner'!$C$40,"")</f>
        <v/>
      </c>
      <c r="C1540" s="163" t="str">
        <f>IF(AND('Resource Planner'!$A$40="☑",36&lt;='Resource Planner'!$N$40),'Resource Planner'!$B$40,"")</f>
        <v/>
      </c>
      <c r="D1540" s="163" t="str">
        <f>IF(AND('Resource Planner'!$A$40="☑",36&lt;='Resource Planner'!$N$40),'Resource Planner'!$D$40,"")</f>
        <v/>
      </c>
      <c r="E1540" s="163" t="str">
        <f>IF(AND('Resource Planner'!$A$40="☑",36&lt;='Resource Planner'!$N$40),'Resource Planner'!$E$40,"")</f>
        <v/>
      </c>
      <c r="F1540" s="163" t="str">
        <f>IF(AND('Resource Planner'!$A$40="☑",36&lt;='Resource Planner'!$N$40),'Resource Planner'!$F$40&amp;" "&amp;('Resource Planner'!$G$40+(36-1)*'Resource Planner'!$I$40)&amp;IF(('Resource Planner'!$G$40+(36-1)*'Resource Planner'!$I$40)=MIN('Resource Planner'!$G$40+36*'Resource Planner'!$I$40-1,'Resource Planner'!$H$40),"","–"&amp;MIN('Resource Planner'!$G$40+36*'Resource Planner'!$I$40-1,'Resource Planner'!$H$40)),"")</f>
        <v/>
      </c>
      <c r="G1540" s="163" t="s">
        <v>109</v>
      </c>
      <c r="H1540" s="163" t="str">
        <f>IF(AND('Resource Planner'!$A$40="☑",36&lt;='Resource Planner'!$N$40),'Resource Planner'!$M$40,"")</f>
        <v/>
      </c>
    </row>
    <row r="1541" ht="15.75" customHeight="1">
      <c r="A15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1" s="163" t="str">
        <f>IF(AND('Resource Planner'!$A$40="☑",37&lt;='Resource Planner'!$N$40),'Resource Planner'!$C$40,"")</f>
        <v/>
      </c>
      <c r="C1541" s="163" t="str">
        <f>IF(AND('Resource Planner'!$A$40="☑",37&lt;='Resource Planner'!$N$40),'Resource Planner'!$B$40,"")</f>
        <v/>
      </c>
      <c r="D1541" s="163" t="str">
        <f>IF(AND('Resource Planner'!$A$40="☑",37&lt;='Resource Planner'!$N$40),'Resource Planner'!$D$40,"")</f>
        <v/>
      </c>
      <c r="E1541" s="163" t="str">
        <f>IF(AND('Resource Planner'!$A$40="☑",37&lt;='Resource Planner'!$N$40),'Resource Planner'!$E$40,"")</f>
        <v/>
      </c>
      <c r="F1541" s="163" t="str">
        <f>IF(AND('Resource Planner'!$A$40="☑",37&lt;='Resource Planner'!$N$40),'Resource Planner'!$F$40&amp;" "&amp;('Resource Planner'!$G$40+(37-1)*'Resource Planner'!$I$40)&amp;IF(('Resource Planner'!$G$40+(37-1)*'Resource Planner'!$I$40)=MIN('Resource Planner'!$G$40+37*'Resource Planner'!$I$40-1,'Resource Planner'!$H$40),"","–"&amp;MIN('Resource Planner'!$G$40+37*'Resource Planner'!$I$40-1,'Resource Planner'!$H$40)),"")</f>
        <v/>
      </c>
      <c r="G1541" s="163" t="s">
        <v>109</v>
      </c>
      <c r="H1541" s="163" t="str">
        <f>IF(AND('Resource Planner'!$A$40="☑",37&lt;='Resource Planner'!$N$40),'Resource Planner'!$M$40,"")</f>
        <v/>
      </c>
    </row>
    <row r="1542" ht="15.75" customHeight="1">
      <c r="A15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2" s="163" t="str">
        <f>IF(AND('Resource Planner'!$A$40="☑",38&lt;='Resource Planner'!$N$40),'Resource Planner'!$C$40,"")</f>
        <v/>
      </c>
      <c r="C1542" s="163" t="str">
        <f>IF(AND('Resource Planner'!$A$40="☑",38&lt;='Resource Planner'!$N$40),'Resource Planner'!$B$40,"")</f>
        <v/>
      </c>
      <c r="D1542" s="163" t="str">
        <f>IF(AND('Resource Planner'!$A$40="☑",38&lt;='Resource Planner'!$N$40),'Resource Planner'!$D$40,"")</f>
        <v/>
      </c>
      <c r="E1542" s="163" t="str">
        <f>IF(AND('Resource Planner'!$A$40="☑",38&lt;='Resource Planner'!$N$40),'Resource Planner'!$E$40,"")</f>
        <v/>
      </c>
      <c r="F1542" s="163" t="str">
        <f>IF(AND('Resource Planner'!$A$40="☑",38&lt;='Resource Planner'!$N$40),'Resource Planner'!$F$40&amp;" "&amp;('Resource Planner'!$G$40+(38-1)*'Resource Planner'!$I$40)&amp;IF(('Resource Planner'!$G$40+(38-1)*'Resource Planner'!$I$40)=MIN('Resource Planner'!$G$40+38*'Resource Planner'!$I$40-1,'Resource Planner'!$H$40),"","–"&amp;MIN('Resource Planner'!$G$40+38*'Resource Planner'!$I$40-1,'Resource Planner'!$H$40)),"")</f>
        <v/>
      </c>
      <c r="G1542" s="163" t="s">
        <v>109</v>
      </c>
      <c r="H1542" s="163" t="str">
        <f>IF(AND('Resource Planner'!$A$40="☑",38&lt;='Resource Planner'!$N$40),'Resource Planner'!$M$40,"")</f>
        <v/>
      </c>
    </row>
    <row r="1543" ht="15.75" customHeight="1">
      <c r="A15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3" s="163" t="str">
        <f>IF(AND('Resource Planner'!$A$40="☑",39&lt;='Resource Planner'!$N$40),'Resource Planner'!$C$40,"")</f>
        <v/>
      </c>
      <c r="C1543" s="163" t="str">
        <f>IF(AND('Resource Planner'!$A$40="☑",39&lt;='Resource Planner'!$N$40),'Resource Planner'!$B$40,"")</f>
        <v/>
      </c>
      <c r="D1543" s="163" t="str">
        <f>IF(AND('Resource Planner'!$A$40="☑",39&lt;='Resource Planner'!$N$40),'Resource Planner'!$D$40,"")</f>
        <v/>
      </c>
      <c r="E1543" s="163" t="str">
        <f>IF(AND('Resource Planner'!$A$40="☑",39&lt;='Resource Planner'!$N$40),'Resource Planner'!$E$40,"")</f>
        <v/>
      </c>
      <c r="F1543" s="163" t="str">
        <f>IF(AND('Resource Planner'!$A$40="☑",39&lt;='Resource Planner'!$N$40),'Resource Planner'!$F$40&amp;" "&amp;('Resource Planner'!$G$40+(39-1)*'Resource Planner'!$I$40)&amp;IF(('Resource Planner'!$G$40+(39-1)*'Resource Planner'!$I$40)=MIN('Resource Planner'!$G$40+39*'Resource Planner'!$I$40-1,'Resource Planner'!$H$40),"","–"&amp;MIN('Resource Planner'!$G$40+39*'Resource Planner'!$I$40-1,'Resource Planner'!$H$40)),"")</f>
        <v/>
      </c>
      <c r="G1543" s="163" t="s">
        <v>109</v>
      </c>
      <c r="H1543" s="163" t="str">
        <f>IF(AND('Resource Planner'!$A$40="☑",39&lt;='Resource Planner'!$N$40),'Resource Planner'!$M$40,"")</f>
        <v/>
      </c>
    </row>
    <row r="1544" ht="15.75" customHeight="1">
      <c r="A15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4" s="163" t="str">
        <f>IF(AND('Resource Planner'!$A$40="☑",40&lt;='Resource Planner'!$N$40),'Resource Planner'!$C$40,"")</f>
        <v/>
      </c>
      <c r="C1544" s="163" t="str">
        <f>IF(AND('Resource Planner'!$A$40="☑",40&lt;='Resource Planner'!$N$40),'Resource Planner'!$B$40,"")</f>
        <v/>
      </c>
      <c r="D1544" s="163" t="str">
        <f>IF(AND('Resource Planner'!$A$40="☑",40&lt;='Resource Planner'!$N$40),'Resource Planner'!$D$40,"")</f>
        <v/>
      </c>
      <c r="E1544" s="163" t="str">
        <f>IF(AND('Resource Planner'!$A$40="☑",40&lt;='Resource Planner'!$N$40),'Resource Planner'!$E$40,"")</f>
        <v/>
      </c>
      <c r="F1544" s="163" t="str">
        <f>IF(AND('Resource Planner'!$A$40="☑",40&lt;='Resource Planner'!$N$40),'Resource Planner'!$F$40&amp;" "&amp;('Resource Planner'!$G$40+(40-1)*'Resource Planner'!$I$40)&amp;IF(('Resource Planner'!$G$40+(40-1)*'Resource Planner'!$I$40)=MIN('Resource Planner'!$G$40+40*'Resource Planner'!$I$40-1,'Resource Planner'!$H$40),"","–"&amp;MIN('Resource Planner'!$G$40+40*'Resource Planner'!$I$40-1,'Resource Planner'!$H$40)),"")</f>
        <v/>
      </c>
      <c r="G1544" s="163" t="s">
        <v>109</v>
      </c>
      <c r="H1544" s="163" t="str">
        <f>IF(AND('Resource Planner'!$A$40="☑",40&lt;='Resource Planner'!$N$40),'Resource Planner'!$M$40,"")</f>
        <v/>
      </c>
    </row>
    <row r="1545" ht="15.75" customHeight="1">
      <c r="A15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5" s="163" t="str">
        <f>IF(AND('Resource Planner'!$A$40="☑",41&lt;='Resource Planner'!$N$40),'Resource Planner'!$C$40,"")</f>
        <v/>
      </c>
      <c r="C1545" s="163" t="str">
        <f>IF(AND('Resource Planner'!$A$40="☑",41&lt;='Resource Planner'!$N$40),'Resource Planner'!$B$40,"")</f>
        <v/>
      </c>
      <c r="D1545" s="163" t="str">
        <f>IF(AND('Resource Planner'!$A$40="☑",41&lt;='Resource Planner'!$N$40),'Resource Planner'!$D$40,"")</f>
        <v/>
      </c>
      <c r="E1545" s="163" t="str">
        <f>IF(AND('Resource Planner'!$A$40="☑",41&lt;='Resource Planner'!$N$40),'Resource Planner'!$E$40,"")</f>
        <v/>
      </c>
      <c r="F1545" s="163" t="str">
        <f>IF(AND('Resource Planner'!$A$40="☑",41&lt;='Resource Planner'!$N$40),'Resource Planner'!$F$40&amp;" "&amp;('Resource Planner'!$G$40+(41-1)*'Resource Planner'!$I$40)&amp;IF(('Resource Planner'!$G$40+(41-1)*'Resource Planner'!$I$40)=MIN('Resource Planner'!$G$40+41*'Resource Planner'!$I$40-1,'Resource Planner'!$H$40),"","–"&amp;MIN('Resource Planner'!$G$40+41*'Resource Planner'!$I$40-1,'Resource Planner'!$H$40)),"")</f>
        <v/>
      </c>
      <c r="G1545" s="163" t="s">
        <v>109</v>
      </c>
      <c r="H1545" s="163" t="str">
        <f>IF(AND('Resource Planner'!$A$40="☑",41&lt;='Resource Planner'!$N$40),'Resource Planner'!$M$40,"")</f>
        <v/>
      </c>
    </row>
    <row r="1546" ht="15.75" customHeight="1">
      <c r="A15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6" s="163" t="str">
        <f>IF(AND('Resource Planner'!$A$40="☑",42&lt;='Resource Planner'!$N$40),'Resource Planner'!$C$40,"")</f>
        <v/>
      </c>
      <c r="C1546" s="163" t="str">
        <f>IF(AND('Resource Planner'!$A$40="☑",42&lt;='Resource Planner'!$N$40),'Resource Planner'!$B$40,"")</f>
        <v/>
      </c>
      <c r="D1546" s="163" t="str">
        <f>IF(AND('Resource Planner'!$A$40="☑",42&lt;='Resource Planner'!$N$40),'Resource Planner'!$D$40,"")</f>
        <v/>
      </c>
      <c r="E1546" s="163" t="str">
        <f>IF(AND('Resource Planner'!$A$40="☑",42&lt;='Resource Planner'!$N$40),'Resource Planner'!$E$40,"")</f>
        <v/>
      </c>
      <c r="F1546" s="163" t="str">
        <f>IF(AND('Resource Planner'!$A$40="☑",42&lt;='Resource Planner'!$N$40),'Resource Planner'!$F$40&amp;" "&amp;('Resource Planner'!$G$40+(42-1)*'Resource Planner'!$I$40)&amp;IF(('Resource Planner'!$G$40+(42-1)*'Resource Planner'!$I$40)=MIN('Resource Planner'!$G$40+42*'Resource Planner'!$I$40-1,'Resource Planner'!$H$40),"","–"&amp;MIN('Resource Planner'!$G$40+42*'Resource Planner'!$I$40-1,'Resource Planner'!$H$40)),"")</f>
        <v/>
      </c>
      <c r="G1546" s="163" t="s">
        <v>109</v>
      </c>
      <c r="H1546" s="163" t="str">
        <f>IF(AND('Resource Planner'!$A$40="☑",42&lt;='Resource Planner'!$N$40),'Resource Planner'!$M$40,"")</f>
        <v/>
      </c>
    </row>
    <row r="1547" ht="15.75" customHeight="1">
      <c r="A15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7" s="163" t="str">
        <f>IF(AND('Resource Planner'!$A$40="☑",43&lt;='Resource Planner'!$N$40),'Resource Planner'!$C$40,"")</f>
        <v/>
      </c>
      <c r="C1547" s="163" t="str">
        <f>IF(AND('Resource Planner'!$A$40="☑",43&lt;='Resource Planner'!$N$40),'Resource Planner'!$B$40,"")</f>
        <v/>
      </c>
      <c r="D1547" s="163" t="str">
        <f>IF(AND('Resource Planner'!$A$40="☑",43&lt;='Resource Planner'!$N$40),'Resource Planner'!$D$40,"")</f>
        <v/>
      </c>
      <c r="E1547" s="163" t="str">
        <f>IF(AND('Resource Planner'!$A$40="☑",43&lt;='Resource Planner'!$N$40),'Resource Planner'!$E$40,"")</f>
        <v/>
      </c>
      <c r="F1547" s="163" t="str">
        <f>IF(AND('Resource Planner'!$A$40="☑",43&lt;='Resource Planner'!$N$40),'Resource Planner'!$F$40&amp;" "&amp;('Resource Planner'!$G$40+(43-1)*'Resource Planner'!$I$40)&amp;IF(('Resource Planner'!$G$40+(43-1)*'Resource Planner'!$I$40)=MIN('Resource Planner'!$G$40+43*'Resource Planner'!$I$40-1,'Resource Planner'!$H$40),"","–"&amp;MIN('Resource Planner'!$G$40+43*'Resource Planner'!$I$40-1,'Resource Planner'!$H$40)),"")</f>
        <v/>
      </c>
      <c r="G1547" s="163" t="s">
        <v>109</v>
      </c>
      <c r="H1547" s="163" t="str">
        <f>IF(AND('Resource Planner'!$A$40="☑",43&lt;='Resource Planner'!$N$40),'Resource Planner'!$M$40,"")</f>
        <v/>
      </c>
    </row>
    <row r="1548" ht="15.75" customHeight="1">
      <c r="A15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8" s="163" t="str">
        <f>IF(AND('Resource Planner'!$A$40="☑",44&lt;='Resource Planner'!$N$40),'Resource Planner'!$C$40,"")</f>
        <v/>
      </c>
      <c r="C1548" s="163" t="str">
        <f>IF(AND('Resource Planner'!$A$40="☑",44&lt;='Resource Planner'!$N$40),'Resource Planner'!$B$40,"")</f>
        <v/>
      </c>
      <c r="D1548" s="163" t="str">
        <f>IF(AND('Resource Planner'!$A$40="☑",44&lt;='Resource Planner'!$N$40),'Resource Planner'!$D$40,"")</f>
        <v/>
      </c>
      <c r="E1548" s="163" t="str">
        <f>IF(AND('Resource Planner'!$A$40="☑",44&lt;='Resource Planner'!$N$40),'Resource Planner'!$E$40,"")</f>
        <v/>
      </c>
      <c r="F1548" s="163" t="str">
        <f>IF(AND('Resource Planner'!$A$40="☑",44&lt;='Resource Planner'!$N$40),'Resource Planner'!$F$40&amp;" "&amp;('Resource Planner'!$G$40+(44-1)*'Resource Planner'!$I$40)&amp;IF(('Resource Planner'!$G$40+(44-1)*'Resource Planner'!$I$40)=MIN('Resource Planner'!$G$40+44*'Resource Planner'!$I$40-1,'Resource Planner'!$H$40),"","–"&amp;MIN('Resource Planner'!$G$40+44*'Resource Planner'!$I$40-1,'Resource Planner'!$H$40)),"")</f>
        <v/>
      </c>
      <c r="G1548" s="163" t="s">
        <v>109</v>
      </c>
      <c r="H1548" s="163" t="str">
        <f>IF(AND('Resource Planner'!$A$40="☑",44&lt;='Resource Planner'!$N$40),'Resource Planner'!$M$40,"")</f>
        <v/>
      </c>
    </row>
    <row r="1549" ht="15.75" customHeight="1">
      <c r="A15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49" s="163" t="str">
        <f>IF(AND('Resource Planner'!$A$40="☑",45&lt;='Resource Planner'!$N$40),'Resource Planner'!$C$40,"")</f>
        <v/>
      </c>
      <c r="C1549" s="163" t="str">
        <f>IF(AND('Resource Planner'!$A$40="☑",45&lt;='Resource Planner'!$N$40),'Resource Planner'!$B$40,"")</f>
        <v/>
      </c>
      <c r="D1549" s="163" t="str">
        <f>IF(AND('Resource Planner'!$A$40="☑",45&lt;='Resource Planner'!$N$40),'Resource Planner'!$D$40,"")</f>
        <v/>
      </c>
      <c r="E1549" s="163" t="str">
        <f>IF(AND('Resource Planner'!$A$40="☑",45&lt;='Resource Planner'!$N$40),'Resource Planner'!$E$40,"")</f>
        <v/>
      </c>
      <c r="F1549" s="163" t="str">
        <f>IF(AND('Resource Planner'!$A$40="☑",45&lt;='Resource Planner'!$N$40),'Resource Planner'!$F$40&amp;" "&amp;('Resource Planner'!$G$40+(45-1)*'Resource Planner'!$I$40)&amp;IF(('Resource Planner'!$G$40+(45-1)*'Resource Planner'!$I$40)=MIN('Resource Planner'!$G$40+45*'Resource Planner'!$I$40-1,'Resource Planner'!$H$40),"","–"&amp;MIN('Resource Planner'!$G$40+45*'Resource Planner'!$I$40-1,'Resource Planner'!$H$40)),"")</f>
        <v/>
      </c>
      <c r="G1549" s="163" t="s">
        <v>109</v>
      </c>
      <c r="H1549" s="163" t="str">
        <f>IF(AND('Resource Planner'!$A$40="☑",45&lt;='Resource Planner'!$N$40),'Resource Planner'!$M$40,"")</f>
        <v/>
      </c>
    </row>
    <row r="1550" ht="15.75" customHeight="1">
      <c r="A15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0" s="163" t="str">
        <f>IF(AND('Resource Planner'!$A$40="☑",46&lt;='Resource Planner'!$N$40),'Resource Planner'!$C$40,"")</f>
        <v/>
      </c>
      <c r="C1550" s="163" t="str">
        <f>IF(AND('Resource Planner'!$A$40="☑",46&lt;='Resource Planner'!$N$40),'Resource Planner'!$B$40,"")</f>
        <v/>
      </c>
      <c r="D1550" s="163" t="str">
        <f>IF(AND('Resource Planner'!$A$40="☑",46&lt;='Resource Planner'!$N$40),'Resource Planner'!$D$40,"")</f>
        <v/>
      </c>
      <c r="E1550" s="163" t="str">
        <f>IF(AND('Resource Planner'!$A$40="☑",46&lt;='Resource Planner'!$N$40),'Resource Planner'!$E$40,"")</f>
        <v/>
      </c>
      <c r="F1550" s="163" t="str">
        <f>IF(AND('Resource Planner'!$A$40="☑",46&lt;='Resource Planner'!$N$40),'Resource Planner'!$F$40&amp;" "&amp;('Resource Planner'!$G$40+(46-1)*'Resource Planner'!$I$40)&amp;IF(('Resource Planner'!$G$40+(46-1)*'Resource Planner'!$I$40)=MIN('Resource Planner'!$G$40+46*'Resource Planner'!$I$40-1,'Resource Planner'!$H$40),"","–"&amp;MIN('Resource Planner'!$G$40+46*'Resource Planner'!$I$40-1,'Resource Planner'!$H$40)),"")</f>
        <v/>
      </c>
      <c r="G1550" s="163" t="s">
        <v>109</v>
      </c>
      <c r="H1550" s="163" t="str">
        <f>IF(AND('Resource Planner'!$A$40="☑",46&lt;='Resource Planner'!$N$40),'Resource Planner'!$M$40,"")</f>
        <v/>
      </c>
    </row>
    <row r="1551" ht="15.75" customHeight="1">
      <c r="A15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1" s="163" t="str">
        <f>IF(AND('Resource Planner'!$A$40="☑",47&lt;='Resource Planner'!$N$40),'Resource Planner'!$C$40,"")</f>
        <v/>
      </c>
      <c r="C1551" s="163" t="str">
        <f>IF(AND('Resource Planner'!$A$40="☑",47&lt;='Resource Planner'!$N$40),'Resource Planner'!$B$40,"")</f>
        <v/>
      </c>
      <c r="D1551" s="163" t="str">
        <f>IF(AND('Resource Planner'!$A$40="☑",47&lt;='Resource Planner'!$N$40),'Resource Planner'!$D$40,"")</f>
        <v/>
      </c>
      <c r="E1551" s="163" t="str">
        <f>IF(AND('Resource Planner'!$A$40="☑",47&lt;='Resource Planner'!$N$40),'Resource Planner'!$E$40,"")</f>
        <v/>
      </c>
      <c r="F1551" s="163" t="str">
        <f>IF(AND('Resource Planner'!$A$40="☑",47&lt;='Resource Planner'!$N$40),'Resource Planner'!$F$40&amp;" "&amp;('Resource Planner'!$G$40+(47-1)*'Resource Planner'!$I$40)&amp;IF(('Resource Planner'!$G$40+(47-1)*'Resource Planner'!$I$40)=MIN('Resource Planner'!$G$40+47*'Resource Planner'!$I$40-1,'Resource Planner'!$H$40),"","–"&amp;MIN('Resource Planner'!$G$40+47*'Resource Planner'!$I$40-1,'Resource Planner'!$H$40)),"")</f>
        <v/>
      </c>
      <c r="G1551" s="163" t="s">
        <v>109</v>
      </c>
      <c r="H1551" s="163" t="str">
        <f>IF(AND('Resource Planner'!$A$40="☑",47&lt;='Resource Planner'!$N$40),'Resource Planner'!$M$40,"")</f>
        <v/>
      </c>
    </row>
    <row r="1552" ht="15.75" customHeight="1">
      <c r="A15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2" s="163" t="str">
        <f>IF(AND('Resource Planner'!$A$40="☑",48&lt;='Resource Planner'!$N$40),'Resource Planner'!$C$40,"")</f>
        <v/>
      </c>
      <c r="C1552" s="163" t="str">
        <f>IF(AND('Resource Planner'!$A$40="☑",48&lt;='Resource Planner'!$N$40),'Resource Planner'!$B$40,"")</f>
        <v/>
      </c>
      <c r="D1552" s="163" t="str">
        <f>IF(AND('Resource Planner'!$A$40="☑",48&lt;='Resource Planner'!$N$40),'Resource Planner'!$D$40,"")</f>
        <v/>
      </c>
      <c r="E1552" s="163" t="str">
        <f>IF(AND('Resource Planner'!$A$40="☑",48&lt;='Resource Planner'!$N$40),'Resource Planner'!$E$40,"")</f>
        <v/>
      </c>
      <c r="F1552" s="163" t="str">
        <f>IF(AND('Resource Planner'!$A$40="☑",48&lt;='Resource Planner'!$N$40),'Resource Planner'!$F$40&amp;" "&amp;('Resource Planner'!$G$40+(48-1)*'Resource Planner'!$I$40)&amp;IF(('Resource Planner'!$G$40+(48-1)*'Resource Planner'!$I$40)=MIN('Resource Planner'!$G$40+48*'Resource Planner'!$I$40-1,'Resource Planner'!$H$40),"","–"&amp;MIN('Resource Planner'!$G$40+48*'Resource Planner'!$I$40-1,'Resource Planner'!$H$40)),"")</f>
        <v/>
      </c>
      <c r="G1552" s="163" t="s">
        <v>109</v>
      </c>
      <c r="H1552" s="163" t="str">
        <f>IF(AND('Resource Planner'!$A$40="☑",48&lt;='Resource Planner'!$N$40),'Resource Planner'!$M$40,"")</f>
        <v/>
      </c>
    </row>
    <row r="1553" ht="15.75" customHeight="1">
      <c r="A15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3" s="163" t="str">
        <f>IF(AND('Resource Planner'!$A$40="☑",49&lt;='Resource Planner'!$N$40),'Resource Planner'!$C$40,"")</f>
        <v/>
      </c>
      <c r="C1553" s="163" t="str">
        <f>IF(AND('Resource Planner'!$A$40="☑",49&lt;='Resource Planner'!$N$40),'Resource Planner'!$B$40,"")</f>
        <v/>
      </c>
      <c r="D1553" s="163" t="str">
        <f>IF(AND('Resource Planner'!$A$40="☑",49&lt;='Resource Planner'!$N$40),'Resource Planner'!$D$40,"")</f>
        <v/>
      </c>
      <c r="E1553" s="163" t="str">
        <f>IF(AND('Resource Planner'!$A$40="☑",49&lt;='Resource Planner'!$N$40),'Resource Planner'!$E$40,"")</f>
        <v/>
      </c>
      <c r="F1553" s="163" t="str">
        <f>IF(AND('Resource Planner'!$A$40="☑",49&lt;='Resource Planner'!$N$40),'Resource Planner'!$F$40&amp;" "&amp;('Resource Planner'!$G$40+(49-1)*'Resource Planner'!$I$40)&amp;IF(('Resource Planner'!$G$40+(49-1)*'Resource Planner'!$I$40)=MIN('Resource Planner'!$G$40+49*'Resource Planner'!$I$40-1,'Resource Planner'!$H$40),"","–"&amp;MIN('Resource Planner'!$G$40+49*'Resource Planner'!$I$40-1,'Resource Planner'!$H$40)),"")</f>
        <v/>
      </c>
      <c r="G1553" s="163" t="s">
        <v>109</v>
      </c>
      <c r="H1553" s="163" t="str">
        <f>IF(AND('Resource Planner'!$A$40="☑",49&lt;='Resource Planner'!$N$40),'Resource Planner'!$M$40,"")</f>
        <v/>
      </c>
    </row>
    <row r="1554" ht="15.75" customHeight="1">
      <c r="A15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4" s="163" t="str">
        <f>IF(AND('Resource Planner'!$A$40="☑",50&lt;='Resource Planner'!$N$40),'Resource Planner'!$C$40,"")</f>
        <v/>
      </c>
      <c r="C1554" s="163" t="str">
        <f>IF(AND('Resource Planner'!$A$40="☑",50&lt;='Resource Planner'!$N$40),'Resource Planner'!$B$40,"")</f>
        <v/>
      </c>
      <c r="D1554" s="163" t="str">
        <f>IF(AND('Resource Planner'!$A$40="☑",50&lt;='Resource Planner'!$N$40),'Resource Planner'!$D$40,"")</f>
        <v/>
      </c>
      <c r="E1554" s="163" t="str">
        <f>IF(AND('Resource Planner'!$A$40="☑",50&lt;='Resource Planner'!$N$40),'Resource Planner'!$E$40,"")</f>
        <v/>
      </c>
      <c r="F1554" s="163" t="str">
        <f>IF(AND('Resource Planner'!$A$40="☑",50&lt;='Resource Planner'!$N$40),'Resource Planner'!$F$40&amp;" "&amp;('Resource Planner'!$G$40+(50-1)*'Resource Planner'!$I$40)&amp;IF(('Resource Planner'!$G$40+(50-1)*'Resource Planner'!$I$40)=MIN('Resource Planner'!$G$40+50*'Resource Planner'!$I$40-1,'Resource Planner'!$H$40),"","–"&amp;MIN('Resource Planner'!$G$40+50*'Resource Planner'!$I$40-1,'Resource Planner'!$H$40)),"")</f>
        <v/>
      </c>
      <c r="G1554" s="163" t="s">
        <v>109</v>
      </c>
      <c r="H1554" s="163" t="str">
        <f>IF(AND('Resource Planner'!$A$40="☑",50&lt;='Resource Planner'!$N$40),'Resource Planner'!$M$40,"")</f>
        <v/>
      </c>
    </row>
    <row r="1555" ht="15.75" customHeight="1">
      <c r="A15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5" s="163" t="str">
        <f>IF(AND('Resource Planner'!$A$41="☑",1&lt;='Resource Planner'!$N$41),'Resource Planner'!$C$41,"")</f>
        <v/>
      </c>
      <c r="C1555" s="163" t="str">
        <f>IF(AND('Resource Planner'!$A$41="☑",1&lt;='Resource Planner'!$N$41),'Resource Planner'!$B$41,"")</f>
        <v/>
      </c>
      <c r="D1555" s="163" t="str">
        <f>IF(AND('Resource Planner'!$A$41="☑",1&lt;='Resource Planner'!$N$41),'Resource Planner'!$D$41,"")</f>
        <v/>
      </c>
      <c r="E1555" s="163" t="str">
        <f>IF(AND('Resource Planner'!$A$41="☑",1&lt;='Resource Planner'!$N$41),'Resource Planner'!$E$41,"")</f>
        <v/>
      </c>
      <c r="F1555" s="163" t="str">
        <f>IF(AND('Resource Planner'!$A$41="☑",1&lt;='Resource Planner'!$N$41),'Resource Planner'!$F$41&amp;" "&amp;('Resource Planner'!$G$41+(1-1)*'Resource Planner'!$I$41)&amp;IF(('Resource Planner'!$G$41+(1-1)*'Resource Planner'!$I$41)=MIN('Resource Planner'!$G$41+1*'Resource Planner'!$I$41-1,'Resource Planner'!$H$41),"","–"&amp;MIN('Resource Planner'!$G$41+1*'Resource Planner'!$I$41-1,'Resource Planner'!$H$41)),"")</f>
        <v/>
      </c>
      <c r="G1555" s="163" t="s">
        <v>109</v>
      </c>
      <c r="H1555" s="163" t="str">
        <f>IF(AND('Resource Planner'!$A$41="☑",1&lt;='Resource Planner'!$N$41),'Resource Planner'!$M$41,"")</f>
        <v/>
      </c>
    </row>
    <row r="1556" ht="15.75" customHeight="1">
      <c r="A15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6" s="163" t="str">
        <f>IF(AND('Resource Planner'!$A$41="☑",2&lt;='Resource Planner'!$N$41),'Resource Planner'!$C$41,"")</f>
        <v/>
      </c>
      <c r="C1556" s="163" t="str">
        <f>IF(AND('Resource Planner'!$A$41="☑",2&lt;='Resource Planner'!$N$41),'Resource Planner'!$B$41,"")</f>
        <v/>
      </c>
      <c r="D1556" s="163" t="str">
        <f>IF(AND('Resource Planner'!$A$41="☑",2&lt;='Resource Planner'!$N$41),'Resource Planner'!$D$41,"")</f>
        <v/>
      </c>
      <c r="E1556" s="163" t="str">
        <f>IF(AND('Resource Planner'!$A$41="☑",2&lt;='Resource Planner'!$N$41),'Resource Planner'!$E$41,"")</f>
        <v/>
      </c>
      <c r="F1556" s="163" t="str">
        <f>IF(AND('Resource Planner'!$A$41="☑",2&lt;='Resource Planner'!$N$41),'Resource Planner'!$F$41&amp;" "&amp;('Resource Planner'!$G$41+(2-1)*'Resource Planner'!$I$41)&amp;IF(('Resource Planner'!$G$41+(2-1)*'Resource Planner'!$I$41)=MIN('Resource Planner'!$G$41+2*'Resource Planner'!$I$41-1,'Resource Planner'!$H$41),"","–"&amp;MIN('Resource Planner'!$G$41+2*'Resource Planner'!$I$41-1,'Resource Planner'!$H$41)),"")</f>
        <v/>
      </c>
      <c r="G1556" s="163" t="s">
        <v>109</v>
      </c>
      <c r="H1556" s="163" t="str">
        <f>IF(AND('Resource Planner'!$A$41="☑",2&lt;='Resource Planner'!$N$41),'Resource Planner'!$M$41,"")</f>
        <v/>
      </c>
    </row>
    <row r="1557" ht="15.75" customHeight="1">
      <c r="A15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7" s="163" t="str">
        <f>IF(AND('Resource Planner'!$A$41="☑",3&lt;='Resource Planner'!$N$41),'Resource Planner'!$C$41,"")</f>
        <v/>
      </c>
      <c r="C1557" s="163" t="str">
        <f>IF(AND('Resource Planner'!$A$41="☑",3&lt;='Resource Planner'!$N$41),'Resource Planner'!$B$41,"")</f>
        <v/>
      </c>
      <c r="D1557" s="163" t="str">
        <f>IF(AND('Resource Planner'!$A$41="☑",3&lt;='Resource Planner'!$N$41),'Resource Planner'!$D$41,"")</f>
        <v/>
      </c>
      <c r="E1557" s="163" t="str">
        <f>IF(AND('Resource Planner'!$A$41="☑",3&lt;='Resource Planner'!$N$41),'Resource Planner'!$E$41,"")</f>
        <v/>
      </c>
      <c r="F1557" s="163" t="str">
        <f>IF(AND('Resource Planner'!$A$41="☑",3&lt;='Resource Planner'!$N$41),'Resource Planner'!$F$41&amp;" "&amp;('Resource Planner'!$G$41+(3-1)*'Resource Planner'!$I$41)&amp;IF(('Resource Planner'!$G$41+(3-1)*'Resource Planner'!$I$41)=MIN('Resource Planner'!$G$41+3*'Resource Planner'!$I$41-1,'Resource Planner'!$H$41),"","–"&amp;MIN('Resource Planner'!$G$41+3*'Resource Planner'!$I$41-1,'Resource Planner'!$H$41)),"")</f>
        <v/>
      </c>
      <c r="G1557" s="163" t="s">
        <v>109</v>
      </c>
      <c r="H1557" s="163" t="str">
        <f>IF(AND('Resource Planner'!$A$41="☑",3&lt;='Resource Planner'!$N$41),'Resource Planner'!$M$41,"")</f>
        <v/>
      </c>
    </row>
    <row r="1558" ht="15.75" customHeight="1">
      <c r="A15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8" s="163" t="str">
        <f>IF(AND('Resource Planner'!$A$41="☑",4&lt;='Resource Planner'!$N$41),'Resource Planner'!$C$41,"")</f>
        <v/>
      </c>
      <c r="C1558" s="163" t="str">
        <f>IF(AND('Resource Planner'!$A$41="☑",4&lt;='Resource Planner'!$N$41),'Resource Planner'!$B$41,"")</f>
        <v/>
      </c>
      <c r="D1558" s="163" t="str">
        <f>IF(AND('Resource Planner'!$A$41="☑",4&lt;='Resource Planner'!$N$41),'Resource Planner'!$D$41,"")</f>
        <v/>
      </c>
      <c r="E1558" s="163" t="str">
        <f>IF(AND('Resource Planner'!$A$41="☑",4&lt;='Resource Planner'!$N$41),'Resource Planner'!$E$41,"")</f>
        <v/>
      </c>
      <c r="F1558" s="163" t="str">
        <f>IF(AND('Resource Planner'!$A$41="☑",4&lt;='Resource Planner'!$N$41),'Resource Planner'!$F$41&amp;" "&amp;('Resource Planner'!$G$41+(4-1)*'Resource Planner'!$I$41)&amp;IF(('Resource Planner'!$G$41+(4-1)*'Resource Planner'!$I$41)=MIN('Resource Planner'!$G$41+4*'Resource Planner'!$I$41-1,'Resource Planner'!$H$41),"","–"&amp;MIN('Resource Planner'!$G$41+4*'Resource Planner'!$I$41-1,'Resource Planner'!$H$41)),"")</f>
        <v/>
      </c>
      <c r="G1558" s="163" t="s">
        <v>109</v>
      </c>
      <c r="H1558" s="163" t="str">
        <f>IF(AND('Resource Planner'!$A$41="☑",4&lt;='Resource Planner'!$N$41),'Resource Planner'!$M$41,"")</f>
        <v/>
      </c>
    </row>
    <row r="1559" ht="15.75" customHeight="1">
      <c r="A15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59" s="163" t="str">
        <f>IF(AND('Resource Planner'!$A$41="☑",5&lt;='Resource Planner'!$N$41),'Resource Planner'!$C$41,"")</f>
        <v/>
      </c>
      <c r="C1559" s="163" t="str">
        <f>IF(AND('Resource Planner'!$A$41="☑",5&lt;='Resource Planner'!$N$41),'Resource Planner'!$B$41,"")</f>
        <v/>
      </c>
      <c r="D1559" s="163" t="str">
        <f>IF(AND('Resource Planner'!$A$41="☑",5&lt;='Resource Planner'!$N$41),'Resource Planner'!$D$41,"")</f>
        <v/>
      </c>
      <c r="E1559" s="163" t="str">
        <f>IF(AND('Resource Planner'!$A$41="☑",5&lt;='Resource Planner'!$N$41),'Resource Planner'!$E$41,"")</f>
        <v/>
      </c>
      <c r="F1559" s="163" t="str">
        <f>IF(AND('Resource Planner'!$A$41="☑",5&lt;='Resource Planner'!$N$41),'Resource Planner'!$F$41&amp;" "&amp;('Resource Planner'!$G$41+(5-1)*'Resource Planner'!$I$41)&amp;IF(('Resource Planner'!$G$41+(5-1)*'Resource Planner'!$I$41)=MIN('Resource Planner'!$G$41+5*'Resource Planner'!$I$41-1,'Resource Planner'!$H$41),"","–"&amp;MIN('Resource Planner'!$G$41+5*'Resource Planner'!$I$41-1,'Resource Planner'!$H$41)),"")</f>
        <v/>
      </c>
      <c r="G1559" s="163" t="s">
        <v>109</v>
      </c>
      <c r="H1559" s="163" t="str">
        <f>IF(AND('Resource Planner'!$A$41="☑",5&lt;='Resource Planner'!$N$41),'Resource Planner'!$M$41,"")</f>
        <v/>
      </c>
    </row>
    <row r="1560" ht="15.75" customHeight="1">
      <c r="A15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0" s="163" t="str">
        <f>IF(AND('Resource Planner'!$A$41="☑",6&lt;='Resource Planner'!$N$41),'Resource Planner'!$C$41,"")</f>
        <v/>
      </c>
      <c r="C1560" s="163" t="str">
        <f>IF(AND('Resource Planner'!$A$41="☑",6&lt;='Resource Planner'!$N$41),'Resource Planner'!$B$41,"")</f>
        <v/>
      </c>
      <c r="D1560" s="163" t="str">
        <f>IF(AND('Resource Planner'!$A$41="☑",6&lt;='Resource Planner'!$N$41),'Resource Planner'!$D$41,"")</f>
        <v/>
      </c>
      <c r="E1560" s="163" t="str">
        <f>IF(AND('Resource Planner'!$A$41="☑",6&lt;='Resource Planner'!$N$41),'Resource Planner'!$E$41,"")</f>
        <v/>
      </c>
      <c r="F1560" s="163" t="str">
        <f>IF(AND('Resource Planner'!$A$41="☑",6&lt;='Resource Planner'!$N$41),'Resource Planner'!$F$41&amp;" "&amp;('Resource Planner'!$G$41+(6-1)*'Resource Planner'!$I$41)&amp;IF(('Resource Planner'!$G$41+(6-1)*'Resource Planner'!$I$41)=MIN('Resource Planner'!$G$41+6*'Resource Planner'!$I$41-1,'Resource Planner'!$H$41),"","–"&amp;MIN('Resource Planner'!$G$41+6*'Resource Planner'!$I$41-1,'Resource Planner'!$H$41)),"")</f>
        <v/>
      </c>
      <c r="G1560" s="163" t="s">
        <v>109</v>
      </c>
      <c r="H1560" s="163" t="str">
        <f>IF(AND('Resource Planner'!$A$41="☑",6&lt;='Resource Planner'!$N$41),'Resource Planner'!$M$41,"")</f>
        <v/>
      </c>
    </row>
    <row r="1561" ht="15.75" customHeight="1">
      <c r="A15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1" s="163" t="str">
        <f>IF(AND('Resource Planner'!$A$41="☑",7&lt;='Resource Planner'!$N$41),'Resource Planner'!$C$41,"")</f>
        <v/>
      </c>
      <c r="C1561" s="163" t="str">
        <f>IF(AND('Resource Planner'!$A$41="☑",7&lt;='Resource Planner'!$N$41),'Resource Planner'!$B$41,"")</f>
        <v/>
      </c>
      <c r="D1561" s="163" t="str">
        <f>IF(AND('Resource Planner'!$A$41="☑",7&lt;='Resource Planner'!$N$41),'Resource Planner'!$D$41,"")</f>
        <v/>
      </c>
      <c r="E1561" s="163" t="str">
        <f>IF(AND('Resource Planner'!$A$41="☑",7&lt;='Resource Planner'!$N$41),'Resource Planner'!$E$41,"")</f>
        <v/>
      </c>
      <c r="F1561" s="163" t="str">
        <f>IF(AND('Resource Planner'!$A$41="☑",7&lt;='Resource Planner'!$N$41),'Resource Planner'!$F$41&amp;" "&amp;('Resource Planner'!$G$41+(7-1)*'Resource Planner'!$I$41)&amp;IF(('Resource Planner'!$G$41+(7-1)*'Resource Planner'!$I$41)=MIN('Resource Planner'!$G$41+7*'Resource Planner'!$I$41-1,'Resource Planner'!$H$41),"","–"&amp;MIN('Resource Planner'!$G$41+7*'Resource Planner'!$I$41-1,'Resource Planner'!$H$41)),"")</f>
        <v/>
      </c>
      <c r="G1561" s="163" t="s">
        <v>109</v>
      </c>
      <c r="H1561" s="163" t="str">
        <f>IF(AND('Resource Planner'!$A$41="☑",7&lt;='Resource Planner'!$N$41),'Resource Planner'!$M$41,"")</f>
        <v/>
      </c>
    </row>
    <row r="1562" ht="15.75" customHeight="1">
      <c r="A15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2" s="163" t="str">
        <f>IF(AND('Resource Planner'!$A$41="☑",8&lt;='Resource Planner'!$N$41),'Resource Planner'!$C$41,"")</f>
        <v/>
      </c>
      <c r="C1562" s="163" t="str">
        <f>IF(AND('Resource Planner'!$A$41="☑",8&lt;='Resource Planner'!$N$41),'Resource Planner'!$B$41,"")</f>
        <v/>
      </c>
      <c r="D1562" s="163" t="str">
        <f>IF(AND('Resource Planner'!$A$41="☑",8&lt;='Resource Planner'!$N$41),'Resource Planner'!$D$41,"")</f>
        <v/>
      </c>
      <c r="E1562" s="163" t="str">
        <f>IF(AND('Resource Planner'!$A$41="☑",8&lt;='Resource Planner'!$N$41),'Resource Planner'!$E$41,"")</f>
        <v/>
      </c>
      <c r="F1562" s="163" t="str">
        <f>IF(AND('Resource Planner'!$A$41="☑",8&lt;='Resource Planner'!$N$41),'Resource Planner'!$F$41&amp;" "&amp;('Resource Planner'!$G$41+(8-1)*'Resource Planner'!$I$41)&amp;IF(('Resource Planner'!$G$41+(8-1)*'Resource Planner'!$I$41)=MIN('Resource Planner'!$G$41+8*'Resource Planner'!$I$41-1,'Resource Planner'!$H$41),"","–"&amp;MIN('Resource Planner'!$G$41+8*'Resource Planner'!$I$41-1,'Resource Planner'!$H$41)),"")</f>
        <v/>
      </c>
      <c r="G1562" s="163" t="s">
        <v>109</v>
      </c>
      <c r="H1562" s="163" t="str">
        <f>IF(AND('Resource Planner'!$A$41="☑",8&lt;='Resource Planner'!$N$41),'Resource Planner'!$M$41,"")</f>
        <v/>
      </c>
    </row>
    <row r="1563" ht="15.75" customHeight="1">
      <c r="A15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3" s="163" t="str">
        <f>IF(AND('Resource Planner'!$A$41="☑",9&lt;='Resource Planner'!$N$41),'Resource Planner'!$C$41,"")</f>
        <v/>
      </c>
      <c r="C1563" s="163" t="str">
        <f>IF(AND('Resource Planner'!$A$41="☑",9&lt;='Resource Planner'!$N$41),'Resource Planner'!$B$41,"")</f>
        <v/>
      </c>
      <c r="D1563" s="163" t="str">
        <f>IF(AND('Resource Planner'!$A$41="☑",9&lt;='Resource Planner'!$N$41),'Resource Planner'!$D$41,"")</f>
        <v/>
      </c>
      <c r="E1563" s="163" t="str">
        <f>IF(AND('Resource Planner'!$A$41="☑",9&lt;='Resource Planner'!$N$41),'Resource Planner'!$E$41,"")</f>
        <v/>
      </c>
      <c r="F1563" s="163" t="str">
        <f>IF(AND('Resource Planner'!$A$41="☑",9&lt;='Resource Planner'!$N$41),'Resource Planner'!$F$41&amp;" "&amp;('Resource Planner'!$G$41+(9-1)*'Resource Planner'!$I$41)&amp;IF(('Resource Planner'!$G$41+(9-1)*'Resource Planner'!$I$41)=MIN('Resource Planner'!$G$41+9*'Resource Planner'!$I$41-1,'Resource Planner'!$H$41),"","–"&amp;MIN('Resource Planner'!$G$41+9*'Resource Planner'!$I$41-1,'Resource Planner'!$H$41)),"")</f>
        <v/>
      </c>
      <c r="G1563" s="163" t="s">
        <v>109</v>
      </c>
      <c r="H1563" s="163" t="str">
        <f>IF(AND('Resource Planner'!$A$41="☑",9&lt;='Resource Planner'!$N$41),'Resource Planner'!$M$41,"")</f>
        <v/>
      </c>
    </row>
    <row r="1564" ht="15.75" customHeight="1">
      <c r="A15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4" s="163" t="str">
        <f>IF(AND('Resource Planner'!$A$41="☑",10&lt;='Resource Planner'!$N$41),'Resource Planner'!$C$41,"")</f>
        <v/>
      </c>
      <c r="C1564" s="163" t="str">
        <f>IF(AND('Resource Planner'!$A$41="☑",10&lt;='Resource Planner'!$N$41),'Resource Planner'!$B$41,"")</f>
        <v/>
      </c>
      <c r="D1564" s="163" t="str">
        <f>IF(AND('Resource Planner'!$A$41="☑",10&lt;='Resource Planner'!$N$41),'Resource Planner'!$D$41,"")</f>
        <v/>
      </c>
      <c r="E1564" s="163" t="str">
        <f>IF(AND('Resource Planner'!$A$41="☑",10&lt;='Resource Planner'!$N$41),'Resource Planner'!$E$41,"")</f>
        <v/>
      </c>
      <c r="F1564" s="163" t="str">
        <f>IF(AND('Resource Planner'!$A$41="☑",10&lt;='Resource Planner'!$N$41),'Resource Planner'!$F$41&amp;" "&amp;('Resource Planner'!$G$41+(10-1)*'Resource Planner'!$I$41)&amp;IF(('Resource Planner'!$G$41+(10-1)*'Resource Planner'!$I$41)=MIN('Resource Planner'!$G$41+10*'Resource Planner'!$I$41-1,'Resource Planner'!$H$41),"","–"&amp;MIN('Resource Planner'!$G$41+10*'Resource Planner'!$I$41-1,'Resource Planner'!$H$41)),"")</f>
        <v/>
      </c>
      <c r="G1564" s="163" t="s">
        <v>109</v>
      </c>
      <c r="H1564" s="163" t="str">
        <f>IF(AND('Resource Planner'!$A$41="☑",10&lt;='Resource Planner'!$N$41),'Resource Planner'!$M$41,"")</f>
        <v/>
      </c>
    </row>
    <row r="1565" ht="15.75" customHeight="1">
      <c r="A15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5" s="163" t="str">
        <f>IF(AND('Resource Planner'!$A$41="☑",11&lt;='Resource Planner'!$N$41),'Resource Planner'!$C$41,"")</f>
        <v/>
      </c>
      <c r="C1565" s="163" t="str">
        <f>IF(AND('Resource Planner'!$A$41="☑",11&lt;='Resource Planner'!$N$41),'Resource Planner'!$B$41,"")</f>
        <v/>
      </c>
      <c r="D1565" s="163" t="str">
        <f>IF(AND('Resource Planner'!$A$41="☑",11&lt;='Resource Planner'!$N$41),'Resource Planner'!$D$41,"")</f>
        <v/>
      </c>
      <c r="E1565" s="163" t="str">
        <f>IF(AND('Resource Planner'!$A$41="☑",11&lt;='Resource Planner'!$N$41),'Resource Planner'!$E$41,"")</f>
        <v/>
      </c>
      <c r="F1565" s="163" t="str">
        <f>IF(AND('Resource Planner'!$A$41="☑",11&lt;='Resource Planner'!$N$41),'Resource Planner'!$F$41&amp;" "&amp;('Resource Planner'!$G$41+(11-1)*'Resource Planner'!$I$41)&amp;IF(('Resource Planner'!$G$41+(11-1)*'Resource Planner'!$I$41)=MIN('Resource Planner'!$G$41+11*'Resource Planner'!$I$41-1,'Resource Planner'!$H$41),"","–"&amp;MIN('Resource Planner'!$G$41+11*'Resource Planner'!$I$41-1,'Resource Planner'!$H$41)),"")</f>
        <v/>
      </c>
      <c r="G1565" s="163" t="s">
        <v>109</v>
      </c>
      <c r="H1565" s="163" t="str">
        <f>IF(AND('Resource Planner'!$A$41="☑",11&lt;='Resource Planner'!$N$41),'Resource Planner'!$M$41,"")</f>
        <v/>
      </c>
    </row>
    <row r="1566" ht="15.75" customHeight="1">
      <c r="A15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6" s="163" t="str">
        <f>IF(AND('Resource Planner'!$A$41="☑",12&lt;='Resource Planner'!$N$41),'Resource Planner'!$C$41,"")</f>
        <v/>
      </c>
      <c r="C1566" s="163" t="str">
        <f>IF(AND('Resource Planner'!$A$41="☑",12&lt;='Resource Planner'!$N$41),'Resource Planner'!$B$41,"")</f>
        <v/>
      </c>
      <c r="D1566" s="163" t="str">
        <f>IF(AND('Resource Planner'!$A$41="☑",12&lt;='Resource Planner'!$N$41),'Resource Planner'!$D$41,"")</f>
        <v/>
      </c>
      <c r="E1566" s="163" t="str">
        <f>IF(AND('Resource Planner'!$A$41="☑",12&lt;='Resource Planner'!$N$41),'Resource Planner'!$E$41,"")</f>
        <v/>
      </c>
      <c r="F1566" s="163" t="str">
        <f>IF(AND('Resource Planner'!$A$41="☑",12&lt;='Resource Planner'!$N$41),'Resource Planner'!$F$41&amp;" "&amp;('Resource Planner'!$G$41+(12-1)*'Resource Planner'!$I$41)&amp;IF(('Resource Planner'!$G$41+(12-1)*'Resource Planner'!$I$41)=MIN('Resource Planner'!$G$41+12*'Resource Planner'!$I$41-1,'Resource Planner'!$H$41),"","–"&amp;MIN('Resource Planner'!$G$41+12*'Resource Planner'!$I$41-1,'Resource Planner'!$H$41)),"")</f>
        <v/>
      </c>
      <c r="G1566" s="163" t="s">
        <v>109</v>
      </c>
      <c r="H1566" s="163" t="str">
        <f>IF(AND('Resource Planner'!$A$41="☑",12&lt;='Resource Planner'!$N$41),'Resource Planner'!$M$41,"")</f>
        <v/>
      </c>
    </row>
    <row r="1567" ht="15.75" customHeight="1">
      <c r="A15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7" s="163" t="str">
        <f>IF(AND('Resource Planner'!$A$41="☑",13&lt;='Resource Planner'!$N$41),'Resource Planner'!$C$41,"")</f>
        <v/>
      </c>
      <c r="C1567" s="163" t="str">
        <f>IF(AND('Resource Planner'!$A$41="☑",13&lt;='Resource Planner'!$N$41),'Resource Planner'!$B$41,"")</f>
        <v/>
      </c>
      <c r="D1567" s="163" t="str">
        <f>IF(AND('Resource Planner'!$A$41="☑",13&lt;='Resource Planner'!$N$41),'Resource Planner'!$D$41,"")</f>
        <v/>
      </c>
      <c r="E1567" s="163" t="str">
        <f>IF(AND('Resource Planner'!$A$41="☑",13&lt;='Resource Planner'!$N$41),'Resource Planner'!$E$41,"")</f>
        <v/>
      </c>
      <c r="F1567" s="163" t="str">
        <f>IF(AND('Resource Planner'!$A$41="☑",13&lt;='Resource Planner'!$N$41),'Resource Planner'!$F$41&amp;" "&amp;('Resource Planner'!$G$41+(13-1)*'Resource Planner'!$I$41)&amp;IF(('Resource Planner'!$G$41+(13-1)*'Resource Planner'!$I$41)=MIN('Resource Planner'!$G$41+13*'Resource Planner'!$I$41-1,'Resource Planner'!$H$41),"","–"&amp;MIN('Resource Planner'!$G$41+13*'Resource Planner'!$I$41-1,'Resource Planner'!$H$41)),"")</f>
        <v/>
      </c>
      <c r="G1567" s="163" t="s">
        <v>109</v>
      </c>
      <c r="H1567" s="163" t="str">
        <f>IF(AND('Resource Planner'!$A$41="☑",13&lt;='Resource Planner'!$N$41),'Resource Planner'!$M$41,"")</f>
        <v/>
      </c>
    </row>
    <row r="1568" ht="15.75" customHeight="1">
      <c r="A15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8" s="163" t="str">
        <f>IF(AND('Resource Planner'!$A$41="☑",14&lt;='Resource Planner'!$N$41),'Resource Planner'!$C$41,"")</f>
        <v/>
      </c>
      <c r="C1568" s="163" t="str">
        <f>IF(AND('Resource Planner'!$A$41="☑",14&lt;='Resource Planner'!$N$41),'Resource Planner'!$B$41,"")</f>
        <v/>
      </c>
      <c r="D1568" s="163" t="str">
        <f>IF(AND('Resource Planner'!$A$41="☑",14&lt;='Resource Planner'!$N$41),'Resource Planner'!$D$41,"")</f>
        <v/>
      </c>
      <c r="E1568" s="163" t="str">
        <f>IF(AND('Resource Planner'!$A$41="☑",14&lt;='Resource Planner'!$N$41),'Resource Planner'!$E$41,"")</f>
        <v/>
      </c>
      <c r="F1568" s="163" t="str">
        <f>IF(AND('Resource Planner'!$A$41="☑",14&lt;='Resource Planner'!$N$41),'Resource Planner'!$F$41&amp;" "&amp;('Resource Planner'!$G$41+(14-1)*'Resource Planner'!$I$41)&amp;IF(('Resource Planner'!$G$41+(14-1)*'Resource Planner'!$I$41)=MIN('Resource Planner'!$G$41+14*'Resource Planner'!$I$41-1,'Resource Planner'!$H$41),"","–"&amp;MIN('Resource Planner'!$G$41+14*'Resource Planner'!$I$41-1,'Resource Planner'!$H$41)),"")</f>
        <v/>
      </c>
      <c r="G1568" s="163" t="s">
        <v>109</v>
      </c>
      <c r="H1568" s="163" t="str">
        <f>IF(AND('Resource Planner'!$A$41="☑",14&lt;='Resource Planner'!$N$41),'Resource Planner'!$M$41,"")</f>
        <v/>
      </c>
    </row>
    <row r="1569" ht="15.75" customHeight="1">
      <c r="A15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69" s="163" t="str">
        <f>IF(AND('Resource Planner'!$A$41="☑",15&lt;='Resource Planner'!$N$41),'Resource Planner'!$C$41,"")</f>
        <v/>
      </c>
      <c r="C1569" s="163" t="str">
        <f>IF(AND('Resource Planner'!$A$41="☑",15&lt;='Resource Planner'!$N$41),'Resource Planner'!$B$41,"")</f>
        <v/>
      </c>
      <c r="D1569" s="163" t="str">
        <f>IF(AND('Resource Planner'!$A$41="☑",15&lt;='Resource Planner'!$N$41),'Resource Planner'!$D$41,"")</f>
        <v/>
      </c>
      <c r="E1569" s="163" t="str">
        <f>IF(AND('Resource Planner'!$A$41="☑",15&lt;='Resource Planner'!$N$41),'Resource Planner'!$E$41,"")</f>
        <v/>
      </c>
      <c r="F1569" s="163" t="str">
        <f>IF(AND('Resource Planner'!$A$41="☑",15&lt;='Resource Planner'!$N$41),'Resource Planner'!$F$41&amp;" "&amp;('Resource Planner'!$G$41+(15-1)*'Resource Planner'!$I$41)&amp;IF(('Resource Planner'!$G$41+(15-1)*'Resource Planner'!$I$41)=MIN('Resource Planner'!$G$41+15*'Resource Planner'!$I$41-1,'Resource Planner'!$H$41),"","–"&amp;MIN('Resource Planner'!$G$41+15*'Resource Planner'!$I$41-1,'Resource Planner'!$H$41)),"")</f>
        <v/>
      </c>
      <c r="G1569" s="163" t="s">
        <v>109</v>
      </c>
      <c r="H1569" s="163" t="str">
        <f>IF(AND('Resource Planner'!$A$41="☑",15&lt;='Resource Planner'!$N$41),'Resource Planner'!$M$41,"")</f>
        <v/>
      </c>
    </row>
    <row r="1570" ht="15.75" customHeight="1">
      <c r="A15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0" s="163" t="str">
        <f>IF(AND('Resource Planner'!$A$41="☑",16&lt;='Resource Planner'!$N$41),'Resource Planner'!$C$41,"")</f>
        <v/>
      </c>
      <c r="C1570" s="163" t="str">
        <f>IF(AND('Resource Planner'!$A$41="☑",16&lt;='Resource Planner'!$N$41),'Resource Planner'!$B$41,"")</f>
        <v/>
      </c>
      <c r="D1570" s="163" t="str">
        <f>IF(AND('Resource Planner'!$A$41="☑",16&lt;='Resource Planner'!$N$41),'Resource Planner'!$D$41,"")</f>
        <v/>
      </c>
      <c r="E1570" s="163" t="str">
        <f>IF(AND('Resource Planner'!$A$41="☑",16&lt;='Resource Planner'!$N$41),'Resource Planner'!$E$41,"")</f>
        <v/>
      </c>
      <c r="F1570" s="163" t="str">
        <f>IF(AND('Resource Planner'!$A$41="☑",16&lt;='Resource Planner'!$N$41),'Resource Planner'!$F$41&amp;" "&amp;('Resource Planner'!$G$41+(16-1)*'Resource Planner'!$I$41)&amp;IF(('Resource Planner'!$G$41+(16-1)*'Resource Planner'!$I$41)=MIN('Resource Planner'!$G$41+16*'Resource Planner'!$I$41-1,'Resource Planner'!$H$41),"","–"&amp;MIN('Resource Planner'!$G$41+16*'Resource Planner'!$I$41-1,'Resource Planner'!$H$41)),"")</f>
        <v/>
      </c>
      <c r="G1570" s="163" t="s">
        <v>109</v>
      </c>
      <c r="H1570" s="163" t="str">
        <f>IF(AND('Resource Planner'!$A$41="☑",16&lt;='Resource Planner'!$N$41),'Resource Planner'!$M$41,"")</f>
        <v/>
      </c>
    </row>
    <row r="1571" ht="15.75" customHeight="1">
      <c r="A15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1" s="163" t="str">
        <f>IF(AND('Resource Planner'!$A$41="☑",17&lt;='Resource Planner'!$N$41),'Resource Planner'!$C$41,"")</f>
        <v/>
      </c>
      <c r="C1571" s="163" t="str">
        <f>IF(AND('Resource Planner'!$A$41="☑",17&lt;='Resource Planner'!$N$41),'Resource Planner'!$B$41,"")</f>
        <v/>
      </c>
      <c r="D1571" s="163" t="str">
        <f>IF(AND('Resource Planner'!$A$41="☑",17&lt;='Resource Planner'!$N$41),'Resource Planner'!$D$41,"")</f>
        <v/>
      </c>
      <c r="E1571" s="163" t="str">
        <f>IF(AND('Resource Planner'!$A$41="☑",17&lt;='Resource Planner'!$N$41),'Resource Planner'!$E$41,"")</f>
        <v/>
      </c>
      <c r="F1571" s="163" t="str">
        <f>IF(AND('Resource Planner'!$A$41="☑",17&lt;='Resource Planner'!$N$41),'Resource Planner'!$F$41&amp;" "&amp;('Resource Planner'!$G$41+(17-1)*'Resource Planner'!$I$41)&amp;IF(('Resource Planner'!$G$41+(17-1)*'Resource Planner'!$I$41)=MIN('Resource Planner'!$G$41+17*'Resource Planner'!$I$41-1,'Resource Planner'!$H$41),"","–"&amp;MIN('Resource Planner'!$G$41+17*'Resource Planner'!$I$41-1,'Resource Planner'!$H$41)),"")</f>
        <v/>
      </c>
      <c r="G1571" s="163" t="s">
        <v>109</v>
      </c>
      <c r="H1571" s="163" t="str">
        <f>IF(AND('Resource Planner'!$A$41="☑",17&lt;='Resource Planner'!$N$41),'Resource Planner'!$M$41,"")</f>
        <v/>
      </c>
    </row>
    <row r="1572" ht="15.75" customHeight="1">
      <c r="A15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2" s="163" t="str">
        <f>IF(AND('Resource Planner'!$A$41="☑",18&lt;='Resource Planner'!$N$41),'Resource Planner'!$C$41,"")</f>
        <v/>
      </c>
      <c r="C1572" s="163" t="str">
        <f>IF(AND('Resource Planner'!$A$41="☑",18&lt;='Resource Planner'!$N$41),'Resource Planner'!$B$41,"")</f>
        <v/>
      </c>
      <c r="D1572" s="163" t="str">
        <f>IF(AND('Resource Planner'!$A$41="☑",18&lt;='Resource Planner'!$N$41),'Resource Planner'!$D$41,"")</f>
        <v/>
      </c>
      <c r="E1572" s="163" t="str">
        <f>IF(AND('Resource Planner'!$A$41="☑",18&lt;='Resource Planner'!$N$41),'Resource Planner'!$E$41,"")</f>
        <v/>
      </c>
      <c r="F1572" s="163" t="str">
        <f>IF(AND('Resource Planner'!$A$41="☑",18&lt;='Resource Planner'!$N$41),'Resource Planner'!$F$41&amp;" "&amp;('Resource Planner'!$G$41+(18-1)*'Resource Planner'!$I$41)&amp;IF(('Resource Planner'!$G$41+(18-1)*'Resource Planner'!$I$41)=MIN('Resource Planner'!$G$41+18*'Resource Planner'!$I$41-1,'Resource Planner'!$H$41),"","–"&amp;MIN('Resource Planner'!$G$41+18*'Resource Planner'!$I$41-1,'Resource Planner'!$H$41)),"")</f>
        <v/>
      </c>
      <c r="G1572" s="163" t="s">
        <v>109</v>
      </c>
      <c r="H1572" s="163" t="str">
        <f>IF(AND('Resource Planner'!$A$41="☑",18&lt;='Resource Planner'!$N$41),'Resource Planner'!$M$41,"")</f>
        <v/>
      </c>
    </row>
    <row r="1573" ht="15.75" customHeight="1">
      <c r="A15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3" s="163" t="str">
        <f>IF(AND('Resource Planner'!$A$41="☑",19&lt;='Resource Planner'!$N$41),'Resource Planner'!$C$41,"")</f>
        <v/>
      </c>
      <c r="C1573" s="163" t="str">
        <f>IF(AND('Resource Planner'!$A$41="☑",19&lt;='Resource Planner'!$N$41),'Resource Planner'!$B$41,"")</f>
        <v/>
      </c>
      <c r="D1573" s="163" t="str">
        <f>IF(AND('Resource Planner'!$A$41="☑",19&lt;='Resource Planner'!$N$41),'Resource Planner'!$D$41,"")</f>
        <v/>
      </c>
      <c r="E1573" s="163" t="str">
        <f>IF(AND('Resource Planner'!$A$41="☑",19&lt;='Resource Planner'!$N$41),'Resource Planner'!$E$41,"")</f>
        <v/>
      </c>
      <c r="F1573" s="163" t="str">
        <f>IF(AND('Resource Planner'!$A$41="☑",19&lt;='Resource Planner'!$N$41),'Resource Planner'!$F$41&amp;" "&amp;('Resource Planner'!$G$41+(19-1)*'Resource Planner'!$I$41)&amp;IF(('Resource Planner'!$G$41+(19-1)*'Resource Planner'!$I$41)=MIN('Resource Planner'!$G$41+19*'Resource Planner'!$I$41-1,'Resource Planner'!$H$41),"","–"&amp;MIN('Resource Planner'!$G$41+19*'Resource Planner'!$I$41-1,'Resource Planner'!$H$41)),"")</f>
        <v/>
      </c>
      <c r="G1573" s="163" t="s">
        <v>109</v>
      </c>
      <c r="H1573" s="163" t="str">
        <f>IF(AND('Resource Planner'!$A$41="☑",19&lt;='Resource Planner'!$N$41),'Resource Planner'!$M$41,"")</f>
        <v/>
      </c>
    </row>
    <row r="1574" ht="15.75" customHeight="1">
      <c r="A15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4" s="163" t="str">
        <f>IF(AND('Resource Planner'!$A$41="☑",20&lt;='Resource Planner'!$N$41),'Resource Planner'!$C$41,"")</f>
        <v/>
      </c>
      <c r="C1574" s="163" t="str">
        <f>IF(AND('Resource Planner'!$A$41="☑",20&lt;='Resource Planner'!$N$41),'Resource Planner'!$B$41,"")</f>
        <v/>
      </c>
      <c r="D1574" s="163" t="str">
        <f>IF(AND('Resource Planner'!$A$41="☑",20&lt;='Resource Planner'!$N$41),'Resource Planner'!$D$41,"")</f>
        <v/>
      </c>
      <c r="E1574" s="163" t="str">
        <f>IF(AND('Resource Planner'!$A$41="☑",20&lt;='Resource Planner'!$N$41),'Resource Planner'!$E$41,"")</f>
        <v/>
      </c>
      <c r="F1574" s="163" t="str">
        <f>IF(AND('Resource Planner'!$A$41="☑",20&lt;='Resource Planner'!$N$41),'Resource Planner'!$F$41&amp;" "&amp;('Resource Planner'!$G$41+(20-1)*'Resource Planner'!$I$41)&amp;IF(('Resource Planner'!$G$41+(20-1)*'Resource Planner'!$I$41)=MIN('Resource Planner'!$G$41+20*'Resource Planner'!$I$41-1,'Resource Planner'!$H$41),"","–"&amp;MIN('Resource Planner'!$G$41+20*'Resource Planner'!$I$41-1,'Resource Planner'!$H$41)),"")</f>
        <v/>
      </c>
      <c r="G1574" s="163" t="s">
        <v>109</v>
      </c>
      <c r="H1574" s="163" t="str">
        <f>IF(AND('Resource Planner'!$A$41="☑",20&lt;='Resource Planner'!$N$41),'Resource Planner'!$M$41,"")</f>
        <v/>
      </c>
    </row>
    <row r="1575" ht="15.75" customHeight="1">
      <c r="A15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5" s="163" t="str">
        <f>IF(AND('Resource Planner'!$A$41="☑",21&lt;='Resource Planner'!$N$41),'Resource Planner'!$C$41,"")</f>
        <v/>
      </c>
      <c r="C1575" s="163" t="str">
        <f>IF(AND('Resource Planner'!$A$41="☑",21&lt;='Resource Planner'!$N$41),'Resource Planner'!$B$41,"")</f>
        <v/>
      </c>
      <c r="D1575" s="163" t="str">
        <f>IF(AND('Resource Planner'!$A$41="☑",21&lt;='Resource Planner'!$N$41),'Resource Planner'!$D$41,"")</f>
        <v/>
      </c>
      <c r="E1575" s="163" t="str">
        <f>IF(AND('Resource Planner'!$A$41="☑",21&lt;='Resource Planner'!$N$41),'Resource Planner'!$E$41,"")</f>
        <v/>
      </c>
      <c r="F1575" s="163" t="str">
        <f>IF(AND('Resource Planner'!$A$41="☑",21&lt;='Resource Planner'!$N$41),'Resource Planner'!$F$41&amp;" "&amp;('Resource Planner'!$G$41+(21-1)*'Resource Planner'!$I$41)&amp;IF(('Resource Planner'!$G$41+(21-1)*'Resource Planner'!$I$41)=MIN('Resource Planner'!$G$41+21*'Resource Planner'!$I$41-1,'Resource Planner'!$H$41),"","–"&amp;MIN('Resource Planner'!$G$41+21*'Resource Planner'!$I$41-1,'Resource Planner'!$H$41)),"")</f>
        <v/>
      </c>
      <c r="G1575" s="163" t="s">
        <v>109</v>
      </c>
      <c r="H1575" s="163" t="str">
        <f>IF(AND('Resource Planner'!$A$41="☑",21&lt;='Resource Planner'!$N$41),'Resource Planner'!$M$41,"")</f>
        <v/>
      </c>
    </row>
    <row r="1576" ht="15.75" customHeight="1">
      <c r="A15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6" s="163" t="str">
        <f>IF(AND('Resource Planner'!$A$41="☑",22&lt;='Resource Planner'!$N$41),'Resource Planner'!$C$41,"")</f>
        <v/>
      </c>
      <c r="C1576" s="163" t="str">
        <f>IF(AND('Resource Planner'!$A$41="☑",22&lt;='Resource Planner'!$N$41),'Resource Planner'!$B$41,"")</f>
        <v/>
      </c>
      <c r="D1576" s="163" t="str">
        <f>IF(AND('Resource Planner'!$A$41="☑",22&lt;='Resource Planner'!$N$41),'Resource Planner'!$D$41,"")</f>
        <v/>
      </c>
      <c r="E1576" s="163" t="str">
        <f>IF(AND('Resource Planner'!$A$41="☑",22&lt;='Resource Planner'!$N$41),'Resource Planner'!$E$41,"")</f>
        <v/>
      </c>
      <c r="F1576" s="163" t="str">
        <f>IF(AND('Resource Planner'!$A$41="☑",22&lt;='Resource Planner'!$N$41),'Resource Planner'!$F$41&amp;" "&amp;('Resource Planner'!$G$41+(22-1)*'Resource Planner'!$I$41)&amp;IF(('Resource Planner'!$G$41+(22-1)*'Resource Planner'!$I$41)=MIN('Resource Planner'!$G$41+22*'Resource Planner'!$I$41-1,'Resource Planner'!$H$41),"","–"&amp;MIN('Resource Planner'!$G$41+22*'Resource Planner'!$I$41-1,'Resource Planner'!$H$41)),"")</f>
        <v/>
      </c>
      <c r="G1576" s="163" t="s">
        <v>109</v>
      </c>
      <c r="H1576" s="163" t="str">
        <f>IF(AND('Resource Planner'!$A$41="☑",22&lt;='Resource Planner'!$N$41),'Resource Planner'!$M$41,"")</f>
        <v/>
      </c>
    </row>
    <row r="1577" ht="15.75" customHeight="1">
      <c r="A15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7" s="163" t="str">
        <f>IF(AND('Resource Planner'!$A$41="☑",23&lt;='Resource Planner'!$N$41),'Resource Planner'!$C$41,"")</f>
        <v/>
      </c>
      <c r="C1577" s="163" t="str">
        <f>IF(AND('Resource Planner'!$A$41="☑",23&lt;='Resource Planner'!$N$41),'Resource Planner'!$B$41,"")</f>
        <v/>
      </c>
      <c r="D1577" s="163" t="str">
        <f>IF(AND('Resource Planner'!$A$41="☑",23&lt;='Resource Planner'!$N$41),'Resource Planner'!$D$41,"")</f>
        <v/>
      </c>
      <c r="E1577" s="163" t="str">
        <f>IF(AND('Resource Planner'!$A$41="☑",23&lt;='Resource Planner'!$N$41),'Resource Planner'!$E$41,"")</f>
        <v/>
      </c>
      <c r="F1577" s="163" t="str">
        <f>IF(AND('Resource Planner'!$A$41="☑",23&lt;='Resource Planner'!$N$41),'Resource Planner'!$F$41&amp;" "&amp;('Resource Planner'!$G$41+(23-1)*'Resource Planner'!$I$41)&amp;IF(('Resource Planner'!$G$41+(23-1)*'Resource Planner'!$I$41)=MIN('Resource Planner'!$G$41+23*'Resource Planner'!$I$41-1,'Resource Planner'!$H$41),"","–"&amp;MIN('Resource Planner'!$G$41+23*'Resource Planner'!$I$41-1,'Resource Planner'!$H$41)),"")</f>
        <v/>
      </c>
      <c r="G1577" s="163" t="s">
        <v>109</v>
      </c>
      <c r="H1577" s="163" t="str">
        <f>IF(AND('Resource Planner'!$A$41="☑",23&lt;='Resource Planner'!$N$41),'Resource Planner'!$M$41,"")</f>
        <v/>
      </c>
    </row>
    <row r="1578" ht="15.75" customHeight="1">
      <c r="A15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8" s="163" t="str">
        <f>IF(AND('Resource Planner'!$A$41="☑",24&lt;='Resource Planner'!$N$41),'Resource Planner'!$C$41,"")</f>
        <v/>
      </c>
      <c r="C1578" s="163" t="str">
        <f>IF(AND('Resource Planner'!$A$41="☑",24&lt;='Resource Planner'!$N$41),'Resource Planner'!$B$41,"")</f>
        <v/>
      </c>
      <c r="D1578" s="163" t="str">
        <f>IF(AND('Resource Planner'!$A$41="☑",24&lt;='Resource Planner'!$N$41),'Resource Planner'!$D$41,"")</f>
        <v/>
      </c>
      <c r="E1578" s="163" t="str">
        <f>IF(AND('Resource Planner'!$A$41="☑",24&lt;='Resource Planner'!$N$41),'Resource Planner'!$E$41,"")</f>
        <v/>
      </c>
      <c r="F1578" s="163" t="str">
        <f>IF(AND('Resource Planner'!$A$41="☑",24&lt;='Resource Planner'!$N$41),'Resource Planner'!$F$41&amp;" "&amp;('Resource Planner'!$G$41+(24-1)*'Resource Planner'!$I$41)&amp;IF(('Resource Planner'!$G$41+(24-1)*'Resource Planner'!$I$41)=MIN('Resource Planner'!$G$41+24*'Resource Planner'!$I$41-1,'Resource Planner'!$H$41),"","–"&amp;MIN('Resource Planner'!$G$41+24*'Resource Planner'!$I$41-1,'Resource Planner'!$H$41)),"")</f>
        <v/>
      </c>
      <c r="G1578" s="163" t="s">
        <v>109</v>
      </c>
      <c r="H1578" s="163" t="str">
        <f>IF(AND('Resource Planner'!$A$41="☑",24&lt;='Resource Planner'!$N$41),'Resource Planner'!$M$41,"")</f>
        <v/>
      </c>
    </row>
    <row r="1579" ht="15.75" customHeight="1">
      <c r="A15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79" s="163" t="str">
        <f>IF(AND('Resource Planner'!$A$41="☑",25&lt;='Resource Planner'!$N$41),'Resource Planner'!$C$41,"")</f>
        <v/>
      </c>
      <c r="C1579" s="163" t="str">
        <f>IF(AND('Resource Planner'!$A$41="☑",25&lt;='Resource Planner'!$N$41),'Resource Planner'!$B$41,"")</f>
        <v/>
      </c>
      <c r="D1579" s="163" t="str">
        <f>IF(AND('Resource Planner'!$A$41="☑",25&lt;='Resource Planner'!$N$41),'Resource Planner'!$D$41,"")</f>
        <v/>
      </c>
      <c r="E1579" s="163" t="str">
        <f>IF(AND('Resource Planner'!$A$41="☑",25&lt;='Resource Planner'!$N$41),'Resource Planner'!$E$41,"")</f>
        <v/>
      </c>
      <c r="F1579" s="163" t="str">
        <f>IF(AND('Resource Planner'!$A$41="☑",25&lt;='Resource Planner'!$N$41),'Resource Planner'!$F$41&amp;" "&amp;('Resource Planner'!$G$41+(25-1)*'Resource Planner'!$I$41)&amp;IF(('Resource Planner'!$G$41+(25-1)*'Resource Planner'!$I$41)=MIN('Resource Planner'!$G$41+25*'Resource Planner'!$I$41-1,'Resource Planner'!$H$41),"","–"&amp;MIN('Resource Planner'!$G$41+25*'Resource Planner'!$I$41-1,'Resource Planner'!$H$41)),"")</f>
        <v/>
      </c>
      <c r="G1579" s="163" t="s">
        <v>109</v>
      </c>
      <c r="H1579" s="163" t="str">
        <f>IF(AND('Resource Planner'!$A$41="☑",25&lt;='Resource Planner'!$N$41),'Resource Planner'!$M$41,"")</f>
        <v/>
      </c>
    </row>
    <row r="1580" ht="15.75" customHeight="1">
      <c r="A15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0" s="163" t="str">
        <f>IF(AND('Resource Planner'!$A$41="☑",26&lt;='Resource Planner'!$N$41),'Resource Planner'!$C$41,"")</f>
        <v/>
      </c>
      <c r="C1580" s="163" t="str">
        <f>IF(AND('Resource Planner'!$A$41="☑",26&lt;='Resource Planner'!$N$41),'Resource Planner'!$B$41,"")</f>
        <v/>
      </c>
      <c r="D1580" s="163" t="str">
        <f>IF(AND('Resource Planner'!$A$41="☑",26&lt;='Resource Planner'!$N$41),'Resource Planner'!$D$41,"")</f>
        <v/>
      </c>
      <c r="E1580" s="163" t="str">
        <f>IF(AND('Resource Planner'!$A$41="☑",26&lt;='Resource Planner'!$N$41),'Resource Planner'!$E$41,"")</f>
        <v/>
      </c>
      <c r="F1580" s="163" t="str">
        <f>IF(AND('Resource Planner'!$A$41="☑",26&lt;='Resource Planner'!$N$41),'Resource Planner'!$F$41&amp;" "&amp;('Resource Planner'!$G$41+(26-1)*'Resource Planner'!$I$41)&amp;IF(('Resource Planner'!$G$41+(26-1)*'Resource Planner'!$I$41)=MIN('Resource Planner'!$G$41+26*'Resource Planner'!$I$41-1,'Resource Planner'!$H$41),"","–"&amp;MIN('Resource Planner'!$G$41+26*'Resource Planner'!$I$41-1,'Resource Planner'!$H$41)),"")</f>
        <v/>
      </c>
      <c r="G1580" s="163" t="s">
        <v>109</v>
      </c>
      <c r="H1580" s="163" t="str">
        <f>IF(AND('Resource Planner'!$A$41="☑",26&lt;='Resource Planner'!$N$41),'Resource Planner'!$M$41,"")</f>
        <v/>
      </c>
    </row>
    <row r="1581" ht="15.75" customHeight="1">
      <c r="A15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1" s="163" t="str">
        <f>IF(AND('Resource Planner'!$A$41="☑",27&lt;='Resource Planner'!$N$41),'Resource Planner'!$C$41,"")</f>
        <v/>
      </c>
      <c r="C1581" s="163" t="str">
        <f>IF(AND('Resource Planner'!$A$41="☑",27&lt;='Resource Planner'!$N$41),'Resource Planner'!$B$41,"")</f>
        <v/>
      </c>
      <c r="D1581" s="163" t="str">
        <f>IF(AND('Resource Planner'!$A$41="☑",27&lt;='Resource Planner'!$N$41),'Resource Planner'!$D$41,"")</f>
        <v/>
      </c>
      <c r="E1581" s="163" t="str">
        <f>IF(AND('Resource Planner'!$A$41="☑",27&lt;='Resource Planner'!$N$41),'Resource Planner'!$E$41,"")</f>
        <v/>
      </c>
      <c r="F1581" s="163" t="str">
        <f>IF(AND('Resource Planner'!$A$41="☑",27&lt;='Resource Planner'!$N$41),'Resource Planner'!$F$41&amp;" "&amp;('Resource Planner'!$G$41+(27-1)*'Resource Planner'!$I$41)&amp;IF(('Resource Planner'!$G$41+(27-1)*'Resource Planner'!$I$41)=MIN('Resource Planner'!$G$41+27*'Resource Planner'!$I$41-1,'Resource Planner'!$H$41),"","–"&amp;MIN('Resource Planner'!$G$41+27*'Resource Planner'!$I$41-1,'Resource Planner'!$H$41)),"")</f>
        <v/>
      </c>
      <c r="G1581" s="163" t="s">
        <v>109</v>
      </c>
      <c r="H1581" s="163" t="str">
        <f>IF(AND('Resource Planner'!$A$41="☑",27&lt;='Resource Planner'!$N$41),'Resource Planner'!$M$41,"")</f>
        <v/>
      </c>
    </row>
    <row r="1582" ht="15.75" customHeight="1">
      <c r="A15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2" s="163" t="str">
        <f>IF(AND('Resource Planner'!$A$41="☑",28&lt;='Resource Planner'!$N$41),'Resource Planner'!$C$41,"")</f>
        <v/>
      </c>
      <c r="C1582" s="163" t="str">
        <f>IF(AND('Resource Planner'!$A$41="☑",28&lt;='Resource Planner'!$N$41),'Resource Planner'!$B$41,"")</f>
        <v/>
      </c>
      <c r="D1582" s="163" t="str">
        <f>IF(AND('Resource Planner'!$A$41="☑",28&lt;='Resource Planner'!$N$41),'Resource Planner'!$D$41,"")</f>
        <v/>
      </c>
      <c r="E1582" s="163" t="str">
        <f>IF(AND('Resource Planner'!$A$41="☑",28&lt;='Resource Planner'!$N$41),'Resource Planner'!$E$41,"")</f>
        <v/>
      </c>
      <c r="F1582" s="163" t="str">
        <f>IF(AND('Resource Planner'!$A$41="☑",28&lt;='Resource Planner'!$N$41),'Resource Planner'!$F$41&amp;" "&amp;('Resource Planner'!$G$41+(28-1)*'Resource Planner'!$I$41)&amp;IF(('Resource Planner'!$G$41+(28-1)*'Resource Planner'!$I$41)=MIN('Resource Planner'!$G$41+28*'Resource Planner'!$I$41-1,'Resource Planner'!$H$41),"","–"&amp;MIN('Resource Planner'!$G$41+28*'Resource Planner'!$I$41-1,'Resource Planner'!$H$41)),"")</f>
        <v/>
      </c>
      <c r="G1582" s="163" t="s">
        <v>109</v>
      </c>
      <c r="H1582" s="163" t="str">
        <f>IF(AND('Resource Planner'!$A$41="☑",28&lt;='Resource Planner'!$N$41),'Resource Planner'!$M$41,"")</f>
        <v/>
      </c>
    </row>
    <row r="1583" ht="15.75" customHeight="1">
      <c r="A15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3" s="163" t="str">
        <f>IF(AND('Resource Planner'!$A$41="☑",29&lt;='Resource Planner'!$N$41),'Resource Planner'!$C$41,"")</f>
        <v/>
      </c>
      <c r="C1583" s="163" t="str">
        <f>IF(AND('Resource Planner'!$A$41="☑",29&lt;='Resource Planner'!$N$41),'Resource Planner'!$B$41,"")</f>
        <v/>
      </c>
      <c r="D1583" s="163" t="str">
        <f>IF(AND('Resource Planner'!$A$41="☑",29&lt;='Resource Planner'!$N$41),'Resource Planner'!$D$41,"")</f>
        <v/>
      </c>
      <c r="E1583" s="163" t="str">
        <f>IF(AND('Resource Planner'!$A$41="☑",29&lt;='Resource Planner'!$N$41),'Resource Planner'!$E$41,"")</f>
        <v/>
      </c>
      <c r="F1583" s="163" t="str">
        <f>IF(AND('Resource Planner'!$A$41="☑",29&lt;='Resource Planner'!$N$41),'Resource Planner'!$F$41&amp;" "&amp;('Resource Planner'!$G$41+(29-1)*'Resource Planner'!$I$41)&amp;IF(('Resource Planner'!$G$41+(29-1)*'Resource Planner'!$I$41)=MIN('Resource Planner'!$G$41+29*'Resource Planner'!$I$41-1,'Resource Planner'!$H$41),"","–"&amp;MIN('Resource Planner'!$G$41+29*'Resource Planner'!$I$41-1,'Resource Planner'!$H$41)),"")</f>
        <v/>
      </c>
      <c r="G1583" s="163" t="s">
        <v>109</v>
      </c>
      <c r="H1583" s="163" t="str">
        <f>IF(AND('Resource Planner'!$A$41="☑",29&lt;='Resource Planner'!$N$41),'Resource Planner'!$M$41,"")</f>
        <v/>
      </c>
    </row>
    <row r="1584" ht="15.75" customHeight="1">
      <c r="A15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4" s="163" t="str">
        <f>IF(AND('Resource Planner'!$A$41="☑",30&lt;='Resource Planner'!$N$41),'Resource Planner'!$C$41,"")</f>
        <v/>
      </c>
      <c r="C1584" s="163" t="str">
        <f>IF(AND('Resource Planner'!$A$41="☑",30&lt;='Resource Planner'!$N$41),'Resource Planner'!$B$41,"")</f>
        <v/>
      </c>
      <c r="D1584" s="163" t="str">
        <f>IF(AND('Resource Planner'!$A$41="☑",30&lt;='Resource Planner'!$N$41),'Resource Planner'!$D$41,"")</f>
        <v/>
      </c>
      <c r="E1584" s="163" t="str">
        <f>IF(AND('Resource Planner'!$A$41="☑",30&lt;='Resource Planner'!$N$41),'Resource Planner'!$E$41,"")</f>
        <v/>
      </c>
      <c r="F1584" s="163" t="str">
        <f>IF(AND('Resource Planner'!$A$41="☑",30&lt;='Resource Planner'!$N$41),'Resource Planner'!$F$41&amp;" "&amp;('Resource Planner'!$G$41+(30-1)*'Resource Planner'!$I$41)&amp;IF(('Resource Planner'!$G$41+(30-1)*'Resource Planner'!$I$41)=MIN('Resource Planner'!$G$41+30*'Resource Planner'!$I$41-1,'Resource Planner'!$H$41),"","–"&amp;MIN('Resource Planner'!$G$41+30*'Resource Planner'!$I$41-1,'Resource Planner'!$H$41)),"")</f>
        <v/>
      </c>
      <c r="G1584" s="163" t="s">
        <v>109</v>
      </c>
      <c r="H1584" s="163" t="str">
        <f>IF(AND('Resource Planner'!$A$41="☑",30&lt;='Resource Planner'!$N$41),'Resource Planner'!$M$41,"")</f>
        <v/>
      </c>
    </row>
    <row r="1585" ht="15.75" customHeight="1">
      <c r="A15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5" s="163" t="str">
        <f>IF(AND('Resource Planner'!$A$41="☑",31&lt;='Resource Planner'!$N$41),'Resource Planner'!$C$41,"")</f>
        <v/>
      </c>
      <c r="C1585" s="163" t="str">
        <f>IF(AND('Resource Planner'!$A$41="☑",31&lt;='Resource Planner'!$N$41),'Resource Planner'!$B$41,"")</f>
        <v/>
      </c>
      <c r="D1585" s="163" t="str">
        <f>IF(AND('Resource Planner'!$A$41="☑",31&lt;='Resource Planner'!$N$41),'Resource Planner'!$D$41,"")</f>
        <v/>
      </c>
      <c r="E1585" s="163" t="str">
        <f>IF(AND('Resource Planner'!$A$41="☑",31&lt;='Resource Planner'!$N$41),'Resource Planner'!$E$41,"")</f>
        <v/>
      </c>
      <c r="F1585" s="163" t="str">
        <f>IF(AND('Resource Planner'!$A$41="☑",31&lt;='Resource Planner'!$N$41),'Resource Planner'!$F$41&amp;" "&amp;('Resource Planner'!$G$41+(31-1)*'Resource Planner'!$I$41)&amp;IF(('Resource Planner'!$G$41+(31-1)*'Resource Planner'!$I$41)=MIN('Resource Planner'!$G$41+31*'Resource Planner'!$I$41-1,'Resource Planner'!$H$41),"","–"&amp;MIN('Resource Planner'!$G$41+31*'Resource Planner'!$I$41-1,'Resource Planner'!$H$41)),"")</f>
        <v/>
      </c>
      <c r="G1585" s="163" t="s">
        <v>109</v>
      </c>
      <c r="H1585" s="163" t="str">
        <f>IF(AND('Resource Planner'!$A$41="☑",31&lt;='Resource Planner'!$N$41),'Resource Planner'!$M$41,"")</f>
        <v/>
      </c>
    </row>
    <row r="1586" ht="15.75" customHeight="1">
      <c r="A15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6" s="163" t="str">
        <f>IF(AND('Resource Planner'!$A$41="☑",32&lt;='Resource Planner'!$N$41),'Resource Planner'!$C$41,"")</f>
        <v/>
      </c>
      <c r="C1586" s="163" t="str">
        <f>IF(AND('Resource Planner'!$A$41="☑",32&lt;='Resource Planner'!$N$41),'Resource Planner'!$B$41,"")</f>
        <v/>
      </c>
      <c r="D1586" s="163" t="str">
        <f>IF(AND('Resource Planner'!$A$41="☑",32&lt;='Resource Planner'!$N$41),'Resource Planner'!$D$41,"")</f>
        <v/>
      </c>
      <c r="E1586" s="163" t="str">
        <f>IF(AND('Resource Planner'!$A$41="☑",32&lt;='Resource Planner'!$N$41),'Resource Planner'!$E$41,"")</f>
        <v/>
      </c>
      <c r="F1586" s="163" t="str">
        <f>IF(AND('Resource Planner'!$A$41="☑",32&lt;='Resource Planner'!$N$41),'Resource Planner'!$F$41&amp;" "&amp;('Resource Planner'!$G$41+(32-1)*'Resource Planner'!$I$41)&amp;IF(('Resource Planner'!$G$41+(32-1)*'Resource Planner'!$I$41)=MIN('Resource Planner'!$G$41+32*'Resource Planner'!$I$41-1,'Resource Planner'!$H$41),"","–"&amp;MIN('Resource Planner'!$G$41+32*'Resource Planner'!$I$41-1,'Resource Planner'!$H$41)),"")</f>
        <v/>
      </c>
      <c r="G1586" s="163" t="s">
        <v>109</v>
      </c>
      <c r="H1586" s="163" t="str">
        <f>IF(AND('Resource Planner'!$A$41="☑",32&lt;='Resource Planner'!$N$41),'Resource Planner'!$M$41,"")</f>
        <v/>
      </c>
    </row>
    <row r="1587" ht="15.75" customHeight="1">
      <c r="A15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7" s="163" t="str">
        <f>IF(AND('Resource Planner'!$A$41="☑",33&lt;='Resource Planner'!$N$41),'Resource Planner'!$C$41,"")</f>
        <v/>
      </c>
      <c r="C1587" s="163" t="str">
        <f>IF(AND('Resource Planner'!$A$41="☑",33&lt;='Resource Planner'!$N$41),'Resource Planner'!$B$41,"")</f>
        <v/>
      </c>
      <c r="D1587" s="163" t="str">
        <f>IF(AND('Resource Planner'!$A$41="☑",33&lt;='Resource Planner'!$N$41),'Resource Planner'!$D$41,"")</f>
        <v/>
      </c>
      <c r="E1587" s="163" t="str">
        <f>IF(AND('Resource Planner'!$A$41="☑",33&lt;='Resource Planner'!$N$41),'Resource Planner'!$E$41,"")</f>
        <v/>
      </c>
      <c r="F1587" s="163" t="str">
        <f>IF(AND('Resource Planner'!$A$41="☑",33&lt;='Resource Planner'!$N$41),'Resource Planner'!$F$41&amp;" "&amp;('Resource Planner'!$G$41+(33-1)*'Resource Planner'!$I$41)&amp;IF(('Resource Planner'!$G$41+(33-1)*'Resource Planner'!$I$41)=MIN('Resource Planner'!$G$41+33*'Resource Planner'!$I$41-1,'Resource Planner'!$H$41),"","–"&amp;MIN('Resource Planner'!$G$41+33*'Resource Planner'!$I$41-1,'Resource Planner'!$H$41)),"")</f>
        <v/>
      </c>
      <c r="G1587" s="163" t="s">
        <v>109</v>
      </c>
      <c r="H1587" s="163" t="str">
        <f>IF(AND('Resource Planner'!$A$41="☑",33&lt;='Resource Planner'!$N$41),'Resource Planner'!$M$41,"")</f>
        <v/>
      </c>
    </row>
    <row r="1588" ht="15.75" customHeight="1">
      <c r="A15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8" s="163" t="str">
        <f>IF(AND('Resource Planner'!$A$41="☑",34&lt;='Resource Planner'!$N$41),'Resource Planner'!$C$41,"")</f>
        <v/>
      </c>
      <c r="C1588" s="163" t="str">
        <f>IF(AND('Resource Planner'!$A$41="☑",34&lt;='Resource Planner'!$N$41),'Resource Planner'!$B$41,"")</f>
        <v/>
      </c>
      <c r="D1588" s="163" t="str">
        <f>IF(AND('Resource Planner'!$A$41="☑",34&lt;='Resource Planner'!$N$41),'Resource Planner'!$D$41,"")</f>
        <v/>
      </c>
      <c r="E1588" s="163" t="str">
        <f>IF(AND('Resource Planner'!$A$41="☑",34&lt;='Resource Planner'!$N$41),'Resource Planner'!$E$41,"")</f>
        <v/>
      </c>
      <c r="F1588" s="163" t="str">
        <f>IF(AND('Resource Planner'!$A$41="☑",34&lt;='Resource Planner'!$N$41),'Resource Planner'!$F$41&amp;" "&amp;('Resource Planner'!$G$41+(34-1)*'Resource Planner'!$I$41)&amp;IF(('Resource Planner'!$G$41+(34-1)*'Resource Planner'!$I$41)=MIN('Resource Planner'!$G$41+34*'Resource Planner'!$I$41-1,'Resource Planner'!$H$41),"","–"&amp;MIN('Resource Planner'!$G$41+34*'Resource Planner'!$I$41-1,'Resource Planner'!$H$41)),"")</f>
        <v/>
      </c>
      <c r="G1588" s="163" t="s">
        <v>109</v>
      </c>
      <c r="H1588" s="163" t="str">
        <f>IF(AND('Resource Planner'!$A$41="☑",34&lt;='Resource Planner'!$N$41),'Resource Planner'!$M$41,"")</f>
        <v/>
      </c>
    </row>
    <row r="1589" ht="15.75" customHeight="1">
      <c r="A15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89" s="163" t="str">
        <f>IF(AND('Resource Planner'!$A$41="☑",35&lt;='Resource Planner'!$N$41),'Resource Planner'!$C$41,"")</f>
        <v/>
      </c>
      <c r="C1589" s="163" t="str">
        <f>IF(AND('Resource Planner'!$A$41="☑",35&lt;='Resource Planner'!$N$41),'Resource Planner'!$B$41,"")</f>
        <v/>
      </c>
      <c r="D1589" s="163" t="str">
        <f>IF(AND('Resource Planner'!$A$41="☑",35&lt;='Resource Planner'!$N$41),'Resource Planner'!$D$41,"")</f>
        <v/>
      </c>
      <c r="E1589" s="163" t="str">
        <f>IF(AND('Resource Planner'!$A$41="☑",35&lt;='Resource Planner'!$N$41),'Resource Planner'!$E$41,"")</f>
        <v/>
      </c>
      <c r="F1589" s="163" t="str">
        <f>IF(AND('Resource Planner'!$A$41="☑",35&lt;='Resource Planner'!$N$41),'Resource Planner'!$F$41&amp;" "&amp;('Resource Planner'!$G$41+(35-1)*'Resource Planner'!$I$41)&amp;IF(('Resource Planner'!$G$41+(35-1)*'Resource Planner'!$I$41)=MIN('Resource Planner'!$G$41+35*'Resource Planner'!$I$41-1,'Resource Planner'!$H$41),"","–"&amp;MIN('Resource Planner'!$G$41+35*'Resource Planner'!$I$41-1,'Resource Planner'!$H$41)),"")</f>
        <v/>
      </c>
      <c r="G1589" s="163" t="s">
        <v>109</v>
      </c>
      <c r="H1589" s="163" t="str">
        <f>IF(AND('Resource Planner'!$A$41="☑",35&lt;='Resource Planner'!$N$41),'Resource Planner'!$M$41,"")</f>
        <v/>
      </c>
    </row>
    <row r="1590" ht="15.75" customHeight="1">
      <c r="A15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0" s="163" t="str">
        <f>IF(AND('Resource Planner'!$A$41="☑",36&lt;='Resource Planner'!$N$41),'Resource Planner'!$C$41,"")</f>
        <v/>
      </c>
      <c r="C1590" s="163" t="str">
        <f>IF(AND('Resource Planner'!$A$41="☑",36&lt;='Resource Planner'!$N$41),'Resource Planner'!$B$41,"")</f>
        <v/>
      </c>
      <c r="D1590" s="163" t="str">
        <f>IF(AND('Resource Planner'!$A$41="☑",36&lt;='Resource Planner'!$N$41),'Resource Planner'!$D$41,"")</f>
        <v/>
      </c>
      <c r="E1590" s="163" t="str">
        <f>IF(AND('Resource Planner'!$A$41="☑",36&lt;='Resource Planner'!$N$41),'Resource Planner'!$E$41,"")</f>
        <v/>
      </c>
      <c r="F1590" s="163" t="str">
        <f>IF(AND('Resource Planner'!$A$41="☑",36&lt;='Resource Planner'!$N$41),'Resource Planner'!$F$41&amp;" "&amp;('Resource Planner'!$G$41+(36-1)*'Resource Planner'!$I$41)&amp;IF(('Resource Planner'!$G$41+(36-1)*'Resource Planner'!$I$41)=MIN('Resource Planner'!$G$41+36*'Resource Planner'!$I$41-1,'Resource Planner'!$H$41),"","–"&amp;MIN('Resource Planner'!$G$41+36*'Resource Planner'!$I$41-1,'Resource Planner'!$H$41)),"")</f>
        <v/>
      </c>
      <c r="G1590" s="163" t="s">
        <v>109</v>
      </c>
      <c r="H1590" s="163" t="str">
        <f>IF(AND('Resource Planner'!$A$41="☑",36&lt;='Resource Planner'!$N$41),'Resource Planner'!$M$41,"")</f>
        <v/>
      </c>
    </row>
    <row r="1591" ht="15.75" customHeight="1">
      <c r="A15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1" s="163" t="str">
        <f>IF(AND('Resource Planner'!$A$41="☑",37&lt;='Resource Planner'!$N$41),'Resource Planner'!$C$41,"")</f>
        <v/>
      </c>
      <c r="C1591" s="163" t="str">
        <f>IF(AND('Resource Planner'!$A$41="☑",37&lt;='Resource Planner'!$N$41),'Resource Planner'!$B$41,"")</f>
        <v/>
      </c>
      <c r="D1591" s="163" t="str">
        <f>IF(AND('Resource Planner'!$A$41="☑",37&lt;='Resource Planner'!$N$41),'Resource Planner'!$D$41,"")</f>
        <v/>
      </c>
      <c r="E1591" s="163" t="str">
        <f>IF(AND('Resource Planner'!$A$41="☑",37&lt;='Resource Planner'!$N$41),'Resource Planner'!$E$41,"")</f>
        <v/>
      </c>
      <c r="F1591" s="163" t="str">
        <f>IF(AND('Resource Planner'!$A$41="☑",37&lt;='Resource Planner'!$N$41),'Resource Planner'!$F$41&amp;" "&amp;('Resource Planner'!$G$41+(37-1)*'Resource Planner'!$I$41)&amp;IF(('Resource Planner'!$G$41+(37-1)*'Resource Planner'!$I$41)=MIN('Resource Planner'!$G$41+37*'Resource Planner'!$I$41-1,'Resource Planner'!$H$41),"","–"&amp;MIN('Resource Planner'!$G$41+37*'Resource Planner'!$I$41-1,'Resource Planner'!$H$41)),"")</f>
        <v/>
      </c>
      <c r="G1591" s="163" t="s">
        <v>109</v>
      </c>
      <c r="H1591" s="163" t="str">
        <f>IF(AND('Resource Planner'!$A$41="☑",37&lt;='Resource Planner'!$N$41),'Resource Planner'!$M$41,"")</f>
        <v/>
      </c>
    </row>
    <row r="1592" ht="15.75" customHeight="1">
      <c r="A15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2" s="163" t="str">
        <f>IF(AND('Resource Planner'!$A$41="☑",38&lt;='Resource Planner'!$N$41),'Resource Planner'!$C$41,"")</f>
        <v/>
      </c>
      <c r="C1592" s="163" t="str">
        <f>IF(AND('Resource Planner'!$A$41="☑",38&lt;='Resource Planner'!$N$41),'Resource Planner'!$B$41,"")</f>
        <v/>
      </c>
      <c r="D1592" s="163" t="str">
        <f>IF(AND('Resource Planner'!$A$41="☑",38&lt;='Resource Planner'!$N$41),'Resource Planner'!$D$41,"")</f>
        <v/>
      </c>
      <c r="E1592" s="163" t="str">
        <f>IF(AND('Resource Planner'!$A$41="☑",38&lt;='Resource Planner'!$N$41),'Resource Planner'!$E$41,"")</f>
        <v/>
      </c>
      <c r="F1592" s="163" t="str">
        <f>IF(AND('Resource Planner'!$A$41="☑",38&lt;='Resource Planner'!$N$41),'Resource Planner'!$F$41&amp;" "&amp;('Resource Planner'!$G$41+(38-1)*'Resource Planner'!$I$41)&amp;IF(('Resource Planner'!$G$41+(38-1)*'Resource Planner'!$I$41)=MIN('Resource Planner'!$G$41+38*'Resource Planner'!$I$41-1,'Resource Planner'!$H$41),"","–"&amp;MIN('Resource Planner'!$G$41+38*'Resource Planner'!$I$41-1,'Resource Planner'!$H$41)),"")</f>
        <v/>
      </c>
      <c r="G1592" s="163" t="s">
        <v>109</v>
      </c>
      <c r="H1592" s="163" t="str">
        <f>IF(AND('Resource Planner'!$A$41="☑",38&lt;='Resource Planner'!$N$41),'Resource Planner'!$M$41,"")</f>
        <v/>
      </c>
    </row>
    <row r="1593" ht="15.75" customHeight="1">
      <c r="A15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3" s="163" t="str">
        <f>IF(AND('Resource Planner'!$A$41="☑",39&lt;='Resource Planner'!$N$41),'Resource Planner'!$C$41,"")</f>
        <v/>
      </c>
      <c r="C1593" s="163" t="str">
        <f>IF(AND('Resource Planner'!$A$41="☑",39&lt;='Resource Planner'!$N$41),'Resource Planner'!$B$41,"")</f>
        <v/>
      </c>
      <c r="D1593" s="163" t="str">
        <f>IF(AND('Resource Planner'!$A$41="☑",39&lt;='Resource Planner'!$N$41),'Resource Planner'!$D$41,"")</f>
        <v/>
      </c>
      <c r="E1593" s="163" t="str">
        <f>IF(AND('Resource Planner'!$A$41="☑",39&lt;='Resource Planner'!$N$41),'Resource Planner'!$E$41,"")</f>
        <v/>
      </c>
      <c r="F1593" s="163" t="str">
        <f>IF(AND('Resource Planner'!$A$41="☑",39&lt;='Resource Planner'!$N$41),'Resource Planner'!$F$41&amp;" "&amp;('Resource Planner'!$G$41+(39-1)*'Resource Planner'!$I$41)&amp;IF(('Resource Planner'!$G$41+(39-1)*'Resource Planner'!$I$41)=MIN('Resource Planner'!$G$41+39*'Resource Planner'!$I$41-1,'Resource Planner'!$H$41),"","–"&amp;MIN('Resource Planner'!$G$41+39*'Resource Planner'!$I$41-1,'Resource Planner'!$H$41)),"")</f>
        <v/>
      </c>
      <c r="G1593" s="163" t="s">
        <v>109</v>
      </c>
      <c r="H1593" s="163" t="str">
        <f>IF(AND('Resource Planner'!$A$41="☑",39&lt;='Resource Planner'!$N$41),'Resource Planner'!$M$41,"")</f>
        <v/>
      </c>
    </row>
    <row r="1594" ht="15.75" customHeight="1">
      <c r="A15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4" s="163" t="str">
        <f>IF(AND('Resource Planner'!$A$41="☑",40&lt;='Resource Planner'!$N$41),'Resource Planner'!$C$41,"")</f>
        <v/>
      </c>
      <c r="C1594" s="163" t="str">
        <f>IF(AND('Resource Planner'!$A$41="☑",40&lt;='Resource Planner'!$N$41),'Resource Planner'!$B$41,"")</f>
        <v/>
      </c>
      <c r="D1594" s="163" t="str">
        <f>IF(AND('Resource Planner'!$A$41="☑",40&lt;='Resource Planner'!$N$41),'Resource Planner'!$D$41,"")</f>
        <v/>
      </c>
      <c r="E1594" s="163" t="str">
        <f>IF(AND('Resource Planner'!$A$41="☑",40&lt;='Resource Planner'!$N$41),'Resource Planner'!$E$41,"")</f>
        <v/>
      </c>
      <c r="F1594" s="163" t="str">
        <f>IF(AND('Resource Planner'!$A$41="☑",40&lt;='Resource Planner'!$N$41),'Resource Planner'!$F$41&amp;" "&amp;('Resource Planner'!$G$41+(40-1)*'Resource Planner'!$I$41)&amp;IF(('Resource Planner'!$G$41+(40-1)*'Resource Planner'!$I$41)=MIN('Resource Planner'!$G$41+40*'Resource Planner'!$I$41-1,'Resource Planner'!$H$41),"","–"&amp;MIN('Resource Planner'!$G$41+40*'Resource Planner'!$I$41-1,'Resource Planner'!$H$41)),"")</f>
        <v/>
      </c>
      <c r="G1594" s="163" t="s">
        <v>109</v>
      </c>
      <c r="H1594" s="163" t="str">
        <f>IF(AND('Resource Planner'!$A$41="☑",40&lt;='Resource Planner'!$N$41),'Resource Planner'!$M$41,"")</f>
        <v/>
      </c>
    </row>
    <row r="1595" ht="15.75" customHeight="1">
      <c r="A15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5" s="163" t="str">
        <f>IF(AND('Resource Planner'!$A$41="☑",41&lt;='Resource Planner'!$N$41),'Resource Planner'!$C$41,"")</f>
        <v/>
      </c>
      <c r="C1595" s="163" t="str">
        <f>IF(AND('Resource Planner'!$A$41="☑",41&lt;='Resource Planner'!$N$41),'Resource Planner'!$B$41,"")</f>
        <v/>
      </c>
      <c r="D1595" s="163" t="str">
        <f>IF(AND('Resource Planner'!$A$41="☑",41&lt;='Resource Planner'!$N$41),'Resource Planner'!$D$41,"")</f>
        <v/>
      </c>
      <c r="E1595" s="163" t="str">
        <f>IF(AND('Resource Planner'!$A$41="☑",41&lt;='Resource Planner'!$N$41),'Resource Planner'!$E$41,"")</f>
        <v/>
      </c>
      <c r="F1595" s="163" t="str">
        <f>IF(AND('Resource Planner'!$A$41="☑",41&lt;='Resource Planner'!$N$41),'Resource Planner'!$F$41&amp;" "&amp;('Resource Planner'!$G$41+(41-1)*'Resource Planner'!$I$41)&amp;IF(('Resource Planner'!$G$41+(41-1)*'Resource Planner'!$I$41)=MIN('Resource Planner'!$G$41+41*'Resource Planner'!$I$41-1,'Resource Planner'!$H$41),"","–"&amp;MIN('Resource Planner'!$G$41+41*'Resource Planner'!$I$41-1,'Resource Planner'!$H$41)),"")</f>
        <v/>
      </c>
      <c r="G1595" s="163" t="s">
        <v>109</v>
      </c>
      <c r="H1595" s="163" t="str">
        <f>IF(AND('Resource Planner'!$A$41="☑",41&lt;='Resource Planner'!$N$41),'Resource Planner'!$M$41,"")</f>
        <v/>
      </c>
    </row>
    <row r="1596" ht="15.75" customHeight="1">
      <c r="A15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6" s="163" t="str">
        <f>IF(AND('Resource Planner'!$A$41="☑",42&lt;='Resource Planner'!$N$41),'Resource Planner'!$C$41,"")</f>
        <v/>
      </c>
      <c r="C1596" s="163" t="str">
        <f>IF(AND('Resource Planner'!$A$41="☑",42&lt;='Resource Planner'!$N$41),'Resource Planner'!$B$41,"")</f>
        <v/>
      </c>
      <c r="D1596" s="163" t="str">
        <f>IF(AND('Resource Planner'!$A$41="☑",42&lt;='Resource Planner'!$N$41),'Resource Planner'!$D$41,"")</f>
        <v/>
      </c>
      <c r="E1596" s="163" t="str">
        <f>IF(AND('Resource Planner'!$A$41="☑",42&lt;='Resource Planner'!$N$41),'Resource Planner'!$E$41,"")</f>
        <v/>
      </c>
      <c r="F1596" s="163" t="str">
        <f>IF(AND('Resource Planner'!$A$41="☑",42&lt;='Resource Planner'!$N$41),'Resource Planner'!$F$41&amp;" "&amp;('Resource Planner'!$G$41+(42-1)*'Resource Planner'!$I$41)&amp;IF(('Resource Planner'!$G$41+(42-1)*'Resource Planner'!$I$41)=MIN('Resource Planner'!$G$41+42*'Resource Planner'!$I$41-1,'Resource Planner'!$H$41),"","–"&amp;MIN('Resource Planner'!$G$41+42*'Resource Planner'!$I$41-1,'Resource Planner'!$H$41)),"")</f>
        <v/>
      </c>
      <c r="G1596" s="163" t="s">
        <v>109</v>
      </c>
      <c r="H1596" s="163" t="str">
        <f>IF(AND('Resource Planner'!$A$41="☑",42&lt;='Resource Planner'!$N$41),'Resource Planner'!$M$41,"")</f>
        <v/>
      </c>
    </row>
    <row r="1597" ht="15.75" customHeight="1">
      <c r="A15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7" s="163" t="str">
        <f>IF(AND('Resource Planner'!$A$41="☑",43&lt;='Resource Planner'!$N$41),'Resource Planner'!$C$41,"")</f>
        <v/>
      </c>
      <c r="C1597" s="163" t="str">
        <f>IF(AND('Resource Planner'!$A$41="☑",43&lt;='Resource Planner'!$N$41),'Resource Planner'!$B$41,"")</f>
        <v/>
      </c>
      <c r="D1597" s="163" t="str">
        <f>IF(AND('Resource Planner'!$A$41="☑",43&lt;='Resource Planner'!$N$41),'Resource Planner'!$D$41,"")</f>
        <v/>
      </c>
      <c r="E1597" s="163" t="str">
        <f>IF(AND('Resource Planner'!$A$41="☑",43&lt;='Resource Planner'!$N$41),'Resource Planner'!$E$41,"")</f>
        <v/>
      </c>
      <c r="F1597" s="163" t="str">
        <f>IF(AND('Resource Planner'!$A$41="☑",43&lt;='Resource Planner'!$N$41),'Resource Planner'!$F$41&amp;" "&amp;('Resource Planner'!$G$41+(43-1)*'Resource Planner'!$I$41)&amp;IF(('Resource Planner'!$G$41+(43-1)*'Resource Planner'!$I$41)=MIN('Resource Planner'!$G$41+43*'Resource Planner'!$I$41-1,'Resource Planner'!$H$41),"","–"&amp;MIN('Resource Planner'!$G$41+43*'Resource Planner'!$I$41-1,'Resource Planner'!$H$41)),"")</f>
        <v/>
      </c>
      <c r="G1597" s="163" t="s">
        <v>109</v>
      </c>
      <c r="H1597" s="163" t="str">
        <f>IF(AND('Resource Planner'!$A$41="☑",43&lt;='Resource Planner'!$N$41),'Resource Planner'!$M$41,"")</f>
        <v/>
      </c>
    </row>
    <row r="1598" ht="15.75" customHeight="1">
      <c r="A15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8" s="163" t="str">
        <f>IF(AND('Resource Planner'!$A$41="☑",44&lt;='Resource Planner'!$N$41),'Resource Planner'!$C$41,"")</f>
        <v/>
      </c>
      <c r="C1598" s="163" t="str">
        <f>IF(AND('Resource Planner'!$A$41="☑",44&lt;='Resource Planner'!$N$41),'Resource Planner'!$B$41,"")</f>
        <v/>
      </c>
      <c r="D1598" s="163" t="str">
        <f>IF(AND('Resource Planner'!$A$41="☑",44&lt;='Resource Planner'!$N$41),'Resource Planner'!$D$41,"")</f>
        <v/>
      </c>
      <c r="E1598" s="163" t="str">
        <f>IF(AND('Resource Planner'!$A$41="☑",44&lt;='Resource Planner'!$N$41),'Resource Planner'!$E$41,"")</f>
        <v/>
      </c>
      <c r="F1598" s="163" t="str">
        <f>IF(AND('Resource Planner'!$A$41="☑",44&lt;='Resource Planner'!$N$41),'Resource Planner'!$F$41&amp;" "&amp;('Resource Planner'!$G$41+(44-1)*'Resource Planner'!$I$41)&amp;IF(('Resource Planner'!$G$41+(44-1)*'Resource Planner'!$I$41)=MIN('Resource Planner'!$G$41+44*'Resource Planner'!$I$41-1,'Resource Planner'!$H$41),"","–"&amp;MIN('Resource Planner'!$G$41+44*'Resource Planner'!$I$41-1,'Resource Planner'!$H$41)),"")</f>
        <v/>
      </c>
      <c r="G1598" s="163" t="s">
        <v>109</v>
      </c>
      <c r="H1598" s="163" t="str">
        <f>IF(AND('Resource Planner'!$A$41="☑",44&lt;='Resource Planner'!$N$41),'Resource Planner'!$M$41,"")</f>
        <v/>
      </c>
    </row>
    <row r="1599" ht="15.75" customHeight="1">
      <c r="A15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599" s="163" t="str">
        <f>IF(AND('Resource Planner'!$A$41="☑",45&lt;='Resource Planner'!$N$41),'Resource Planner'!$C$41,"")</f>
        <v/>
      </c>
      <c r="C1599" s="163" t="str">
        <f>IF(AND('Resource Planner'!$A$41="☑",45&lt;='Resource Planner'!$N$41),'Resource Planner'!$B$41,"")</f>
        <v/>
      </c>
      <c r="D1599" s="163" t="str">
        <f>IF(AND('Resource Planner'!$A$41="☑",45&lt;='Resource Planner'!$N$41),'Resource Planner'!$D$41,"")</f>
        <v/>
      </c>
      <c r="E1599" s="163" t="str">
        <f>IF(AND('Resource Planner'!$A$41="☑",45&lt;='Resource Planner'!$N$41),'Resource Planner'!$E$41,"")</f>
        <v/>
      </c>
      <c r="F1599" s="163" t="str">
        <f>IF(AND('Resource Planner'!$A$41="☑",45&lt;='Resource Planner'!$N$41),'Resource Planner'!$F$41&amp;" "&amp;('Resource Planner'!$G$41+(45-1)*'Resource Planner'!$I$41)&amp;IF(('Resource Planner'!$G$41+(45-1)*'Resource Planner'!$I$41)=MIN('Resource Planner'!$G$41+45*'Resource Planner'!$I$41-1,'Resource Planner'!$H$41),"","–"&amp;MIN('Resource Planner'!$G$41+45*'Resource Planner'!$I$41-1,'Resource Planner'!$H$41)),"")</f>
        <v/>
      </c>
      <c r="G1599" s="163" t="s">
        <v>109</v>
      </c>
      <c r="H1599" s="163" t="str">
        <f>IF(AND('Resource Planner'!$A$41="☑",45&lt;='Resource Planner'!$N$41),'Resource Planner'!$M$41,"")</f>
        <v/>
      </c>
    </row>
    <row r="1600" ht="15.75" customHeight="1">
      <c r="A16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0" s="163" t="str">
        <f>IF(AND('Resource Planner'!$A$41="☑",46&lt;='Resource Planner'!$N$41),'Resource Planner'!$C$41,"")</f>
        <v/>
      </c>
      <c r="C1600" s="163" t="str">
        <f>IF(AND('Resource Planner'!$A$41="☑",46&lt;='Resource Planner'!$N$41),'Resource Planner'!$B$41,"")</f>
        <v/>
      </c>
      <c r="D1600" s="163" t="str">
        <f>IF(AND('Resource Planner'!$A$41="☑",46&lt;='Resource Planner'!$N$41),'Resource Planner'!$D$41,"")</f>
        <v/>
      </c>
      <c r="E1600" s="163" t="str">
        <f>IF(AND('Resource Planner'!$A$41="☑",46&lt;='Resource Planner'!$N$41),'Resource Planner'!$E$41,"")</f>
        <v/>
      </c>
      <c r="F1600" s="163" t="str">
        <f>IF(AND('Resource Planner'!$A$41="☑",46&lt;='Resource Planner'!$N$41),'Resource Planner'!$F$41&amp;" "&amp;('Resource Planner'!$G$41+(46-1)*'Resource Planner'!$I$41)&amp;IF(('Resource Planner'!$G$41+(46-1)*'Resource Planner'!$I$41)=MIN('Resource Planner'!$G$41+46*'Resource Planner'!$I$41-1,'Resource Planner'!$H$41),"","–"&amp;MIN('Resource Planner'!$G$41+46*'Resource Planner'!$I$41-1,'Resource Planner'!$H$41)),"")</f>
        <v/>
      </c>
      <c r="G1600" s="163" t="s">
        <v>109</v>
      </c>
      <c r="H1600" s="163" t="str">
        <f>IF(AND('Resource Planner'!$A$41="☑",46&lt;='Resource Planner'!$N$41),'Resource Planner'!$M$41,"")</f>
        <v/>
      </c>
    </row>
    <row r="1601" ht="15.75" customHeight="1">
      <c r="A16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1" s="163" t="str">
        <f>IF(AND('Resource Planner'!$A$41="☑",47&lt;='Resource Planner'!$N$41),'Resource Planner'!$C$41,"")</f>
        <v/>
      </c>
      <c r="C1601" s="163" t="str">
        <f>IF(AND('Resource Planner'!$A$41="☑",47&lt;='Resource Planner'!$N$41),'Resource Planner'!$B$41,"")</f>
        <v/>
      </c>
      <c r="D1601" s="163" t="str">
        <f>IF(AND('Resource Planner'!$A$41="☑",47&lt;='Resource Planner'!$N$41),'Resource Planner'!$D$41,"")</f>
        <v/>
      </c>
      <c r="E1601" s="163" t="str">
        <f>IF(AND('Resource Planner'!$A$41="☑",47&lt;='Resource Planner'!$N$41),'Resource Planner'!$E$41,"")</f>
        <v/>
      </c>
      <c r="F1601" s="163" t="str">
        <f>IF(AND('Resource Planner'!$A$41="☑",47&lt;='Resource Planner'!$N$41),'Resource Planner'!$F$41&amp;" "&amp;('Resource Planner'!$G$41+(47-1)*'Resource Planner'!$I$41)&amp;IF(('Resource Planner'!$G$41+(47-1)*'Resource Planner'!$I$41)=MIN('Resource Planner'!$G$41+47*'Resource Planner'!$I$41-1,'Resource Planner'!$H$41),"","–"&amp;MIN('Resource Planner'!$G$41+47*'Resource Planner'!$I$41-1,'Resource Planner'!$H$41)),"")</f>
        <v/>
      </c>
      <c r="G1601" s="163" t="s">
        <v>109</v>
      </c>
      <c r="H1601" s="163" t="str">
        <f>IF(AND('Resource Planner'!$A$41="☑",47&lt;='Resource Planner'!$N$41),'Resource Planner'!$M$41,"")</f>
        <v/>
      </c>
    </row>
    <row r="1602" ht="15.75" customHeight="1">
      <c r="A16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2" s="163" t="str">
        <f>IF(AND('Resource Planner'!$A$41="☑",48&lt;='Resource Planner'!$N$41),'Resource Planner'!$C$41,"")</f>
        <v/>
      </c>
      <c r="C1602" s="163" t="str">
        <f>IF(AND('Resource Planner'!$A$41="☑",48&lt;='Resource Planner'!$N$41),'Resource Planner'!$B$41,"")</f>
        <v/>
      </c>
      <c r="D1602" s="163" t="str">
        <f>IF(AND('Resource Planner'!$A$41="☑",48&lt;='Resource Planner'!$N$41),'Resource Planner'!$D$41,"")</f>
        <v/>
      </c>
      <c r="E1602" s="163" t="str">
        <f>IF(AND('Resource Planner'!$A$41="☑",48&lt;='Resource Planner'!$N$41),'Resource Planner'!$E$41,"")</f>
        <v/>
      </c>
      <c r="F1602" s="163" t="str">
        <f>IF(AND('Resource Planner'!$A$41="☑",48&lt;='Resource Planner'!$N$41),'Resource Planner'!$F$41&amp;" "&amp;('Resource Planner'!$G$41+(48-1)*'Resource Planner'!$I$41)&amp;IF(('Resource Planner'!$G$41+(48-1)*'Resource Planner'!$I$41)=MIN('Resource Planner'!$G$41+48*'Resource Planner'!$I$41-1,'Resource Planner'!$H$41),"","–"&amp;MIN('Resource Planner'!$G$41+48*'Resource Planner'!$I$41-1,'Resource Planner'!$H$41)),"")</f>
        <v/>
      </c>
      <c r="G1602" s="163" t="s">
        <v>109</v>
      </c>
      <c r="H1602" s="163" t="str">
        <f>IF(AND('Resource Planner'!$A$41="☑",48&lt;='Resource Planner'!$N$41),'Resource Planner'!$M$41,"")</f>
        <v/>
      </c>
    </row>
    <row r="1603" ht="15.75" customHeight="1">
      <c r="A16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3" s="163" t="str">
        <f>IF(AND('Resource Planner'!$A$41="☑",49&lt;='Resource Planner'!$N$41),'Resource Planner'!$C$41,"")</f>
        <v/>
      </c>
      <c r="C1603" s="163" t="str">
        <f>IF(AND('Resource Planner'!$A$41="☑",49&lt;='Resource Planner'!$N$41),'Resource Planner'!$B$41,"")</f>
        <v/>
      </c>
      <c r="D1603" s="163" t="str">
        <f>IF(AND('Resource Planner'!$A$41="☑",49&lt;='Resource Planner'!$N$41),'Resource Planner'!$D$41,"")</f>
        <v/>
      </c>
      <c r="E1603" s="163" t="str">
        <f>IF(AND('Resource Planner'!$A$41="☑",49&lt;='Resource Planner'!$N$41),'Resource Planner'!$E$41,"")</f>
        <v/>
      </c>
      <c r="F1603" s="163" t="str">
        <f>IF(AND('Resource Planner'!$A$41="☑",49&lt;='Resource Planner'!$N$41),'Resource Planner'!$F$41&amp;" "&amp;('Resource Planner'!$G$41+(49-1)*'Resource Planner'!$I$41)&amp;IF(('Resource Planner'!$G$41+(49-1)*'Resource Planner'!$I$41)=MIN('Resource Planner'!$G$41+49*'Resource Planner'!$I$41-1,'Resource Planner'!$H$41),"","–"&amp;MIN('Resource Planner'!$G$41+49*'Resource Planner'!$I$41-1,'Resource Planner'!$H$41)),"")</f>
        <v/>
      </c>
      <c r="G1603" s="163" t="s">
        <v>109</v>
      </c>
      <c r="H1603" s="163" t="str">
        <f>IF(AND('Resource Planner'!$A$41="☑",49&lt;='Resource Planner'!$N$41),'Resource Planner'!$M$41,"")</f>
        <v/>
      </c>
    </row>
    <row r="1604" ht="15.75" customHeight="1">
      <c r="A16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4" s="163" t="str">
        <f>IF(AND('Resource Planner'!$A$41="☑",50&lt;='Resource Planner'!$N$41),'Resource Planner'!$C$41,"")</f>
        <v/>
      </c>
      <c r="C1604" s="163" t="str">
        <f>IF(AND('Resource Planner'!$A$41="☑",50&lt;='Resource Planner'!$N$41),'Resource Planner'!$B$41,"")</f>
        <v/>
      </c>
      <c r="D1604" s="163" t="str">
        <f>IF(AND('Resource Planner'!$A$41="☑",50&lt;='Resource Planner'!$N$41),'Resource Planner'!$D$41,"")</f>
        <v/>
      </c>
      <c r="E1604" s="163" t="str">
        <f>IF(AND('Resource Planner'!$A$41="☑",50&lt;='Resource Planner'!$N$41),'Resource Planner'!$E$41,"")</f>
        <v/>
      </c>
      <c r="F1604" s="163" t="str">
        <f>IF(AND('Resource Planner'!$A$41="☑",50&lt;='Resource Planner'!$N$41),'Resource Planner'!$F$41&amp;" "&amp;('Resource Planner'!$G$41+(50-1)*'Resource Planner'!$I$41)&amp;IF(('Resource Planner'!$G$41+(50-1)*'Resource Planner'!$I$41)=MIN('Resource Planner'!$G$41+50*'Resource Planner'!$I$41-1,'Resource Planner'!$H$41),"","–"&amp;MIN('Resource Planner'!$G$41+50*'Resource Planner'!$I$41-1,'Resource Planner'!$H$41)),"")</f>
        <v/>
      </c>
      <c r="G1604" s="163" t="s">
        <v>109</v>
      </c>
      <c r="H1604" s="163" t="str">
        <f>IF(AND('Resource Planner'!$A$41="☑",50&lt;='Resource Planner'!$N$41),'Resource Planner'!$M$41,"")</f>
        <v/>
      </c>
    </row>
    <row r="1605" ht="15.75" customHeight="1">
      <c r="A16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5" s="163" t="str">
        <f>IF(AND('Resource Planner'!$A$42="☑",1&lt;='Resource Planner'!$N$42),'Resource Planner'!$C$42,"")</f>
        <v/>
      </c>
      <c r="C1605" s="163" t="str">
        <f>IF(AND('Resource Planner'!$A$42="☑",1&lt;='Resource Planner'!$N$42),'Resource Planner'!$B$42,"")</f>
        <v/>
      </c>
      <c r="D1605" s="163" t="str">
        <f>IF(AND('Resource Planner'!$A$42="☑",1&lt;='Resource Planner'!$N$42),'Resource Planner'!$D$42,"")</f>
        <v/>
      </c>
      <c r="E1605" s="163" t="str">
        <f>IF(AND('Resource Planner'!$A$42="☑",1&lt;='Resource Planner'!$N$42),'Resource Planner'!$E$42,"")</f>
        <v/>
      </c>
      <c r="F1605" s="163" t="str">
        <f>IF(AND('Resource Planner'!$A$42="☑",1&lt;='Resource Planner'!$N$42),'Resource Planner'!$F$42&amp;" "&amp;('Resource Planner'!$G$42+(1-1)*'Resource Planner'!$I$42)&amp;IF(('Resource Planner'!$G$42+(1-1)*'Resource Planner'!$I$42)=MIN('Resource Planner'!$G$42+1*'Resource Planner'!$I$42-1,'Resource Planner'!$H$42),"","–"&amp;MIN('Resource Planner'!$G$42+1*'Resource Planner'!$I$42-1,'Resource Planner'!$H$42)),"")</f>
        <v/>
      </c>
      <c r="G1605" s="163" t="s">
        <v>109</v>
      </c>
      <c r="H1605" s="163" t="str">
        <f>IF(AND('Resource Planner'!$A$42="☑",1&lt;='Resource Planner'!$N$42),'Resource Planner'!$M$42,"")</f>
        <v/>
      </c>
    </row>
    <row r="1606" ht="15.75" customHeight="1">
      <c r="A16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6" s="163" t="str">
        <f>IF(AND('Resource Planner'!$A$42="☑",2&lt;='Resource Planner'!$N$42),'Resource Planner'!$C$42,"")</f>
        <v/>
      </c>
      <c r="C1606" s="163" t="str">
        <f>IF(AND('Resource Planner'!$A$42="☑",2&lt;='Resource Planner'!$N$42),'Resource Planner'!$B$42,"")</f>
        <v/>
      </c>
      <c r="D1606" s="163" t="str">
        <f>IF(AND('Resource Planner'!$A$42="☑",2&lt;='Resource Planner'!$N$42),'Resource Planner'!$D$42,"")</f>
        <v/>
      </c>
      <c r="E1606" s="163" t="str">
        <f>IF(AND('Resource Planner'!$A$42="☑",2&lt;='Resource Planner'!$N$42),'Resource Planner'!$E$42,"")</f>
        <v/>
      </c>
      <c r="F1606" s="163" t="str">
        <f>IF(AND('Resource Planner'!$A$42="☑",2&lt;='Resource Planner'!$N$42),'Resource Planner'!$F$42&amp;" "&amp;('Resource Planner'!$G$42+(2-1)*'Resource Planner'!$I$42)&amp;IF(('Resource Planner'!$G$42+(2-1)*'Resource Planner'!$I$42)=MIN('Resource Planner'!$G$42+2*'Resource Planner'!$I$42-1,'Resource Planner'!$H$42),"","–"&amp;MIN('Resource Planner'!$G$42+2*'Resource Planner'!$I$42-1,'Resource Planner'!$H$42)),"")</f>
        <v/>
      </c>
      <c r="G1606" s="163" t="s">
        <v>109</v>
      </c>
      <c r="H1606" s="163" t="str">
        <f>IF(AND('Resource Planner'!$A$42="☑",2&lt;='Resource Planner'!$N$42),'Resource Planner'!$M$42,"")</f>
        <v/>
      </c>
    </row>
    <row r="1607" ht="15.75" customHeight="1">
      <c r="A16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7" s="163" t="str">
        <f>IF(AND('Resource Planner'!$A$42="☑",3&lt;='Resource Planner'!$N$42),'Resource Planner'!$C$42,"")</f>
        <v/>
      </c>
      <c r="C1607" s="163" t="str">
        <f>IF(AND('Resource Planner'!$A$42="☑",3&lt;='Resource Planner'!$N$42),'Resource Planner'!$B$42,"")</f>
        <v/>
      </c>
      <c r="D1607" s="163" t="str">
        <f>IF(AND('Resource Planner'!$A$42="☑",3&lt;='Resource Planner'!$N$42),'Resource Planner'!$D$42,"")</f>
        <v/>
      </c>
      <c r="E1607" s="163" t="str">
        <f>IF(AND('Resource Planner'!$A$42="☑",3&lt;='Resource Planner'!$N$42),'Resource Planner'!$E$42,"")</f>
        <v/>
      </c>
      <c r="F1607" s="163" t="str">
        <f>IF(AND('Resource Planner'!$A$42="☑",3&lt;='Resource Planner'!$N$42),'Resource Planner'!$F$42&amp;" "&amp;('Resource Planner'!$G$42+(3-1)*'Resource Planner'!$I$42)&amp;IF(('Resource Planner'!$G$42+(3-1)*'Resource Planner'!$I$42)=MIN('Resource Planner'!$G$42+3*'Resource Planner'!$I$42-1,'Resource Planner'!$H$42),"","–"&amp;MIN('Resource Planner'!$G$42+3*'Resource Planner'!$I$42-1,'Resource Planner'!$H$42)),"")</f>
        <v/>
      </c>
      <c r="G1607" s="163" t="s">
        <v>109</v>
      </c>
      <c r="H1607" s="163" t="str">
        <f>IF(AND('Resource Planner'!$A$42="☑",3&lt;='Resource Planner'!$N$42),'Resource Planner'!$M$42,"")</f>
        <v/>
      </c>
    </row>
    <row r="1608" ht="15.75" customHeight="1">
      <c r="A16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8" s="163" t="str">
        <f>IF(AND('Resource Planner'!$A$42="☑",4&lt;='Resource Planner'!$N$42),'Resource Planner'!$C$42,"")</f>
        <v/>
      </c>
      <c r="C1608" s="163" t="str">
        <f>IF(AND('Resource Planner'!$A$42="☑",4&lt;='Resource Planner'!$N$42),'Resource Planner'!$B$42,"")</f>
        <v/>
      </c>
      <c r="D1608" s="163" t="str">
        <f>IF(AND('Resource Planner'!$A$42="☑",4&lt;='Resource Planner'!$N$42),'Resource Planner'!$D$42,"")</f>
        <v/>
      </c>
      <c r="E1608" s="163" t="str">
        <f>IF(AND('Resource Planner'!$A$42="☑",4&lt;='Resource Planner'!$N$42),'Resource Planner'!$E$42,"")</f>
        <v/>
      </c>
      <c r="F1608" s="163" t="str">
        <f>IF(AND('Resource Planner'!$A$42="☑",4&lt;='Resource Planner'!$N$42),'Resource Planner'!$F$42&amp;" "&amp;('Resource Planner'!$G$42+(4-1)*'Resource Planner'!$I$42)&amp;IF(('Resource Planner'!$G$42+(4-1)*'Resource Planner'!$I$42)=MIN('Resource Planner'!$G$42+4*'Resource Planner'!$I$42-1,'Resource Planner'!$H$42),"","–"&amp;MIN('Resource Planner'!$G$42+4*'Resource Planner'!$I$42-1,'Resource Planner'!$H$42)),"")</f>
        <v/>
      </c>
      <c r="G1608" s="163" t="s">
        <v>109</v>
      </c>
      <c r="H1608" s="163" t="str">
        <f>IF(AND('Resource Planner'!$A$42="☑",4&lt;='Resource Planner'!$N$42),'Resource Planner'!$M$42,"")</f>
        <v/>
      </c>
    </row>
    <row r="1609" ht="15.75" customHeight="1">
      <c r="A16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09" s="163" t="str">
        <f>IF(AND('Resource Planner'!$A$42="☑",5&lt;='Resource Planner'!$N$42),'Resource Planner'!$C$42,"")</f>
        <v/>
      </c>
      <c r="C1609" s="163" t="str">
        <f>IF(AND('Resource Planner'!$A$42="☑",5&lt;='Resource Planner'!$N$42),'Resource Planner'!$B$42,"")</f>
        <v/>
      </c>
      <c r="D1609" s="163" t="str">
        <f>IF(AND('Resource Planner'!$A$42="☑",5&lt;='Resource Planner'!$N$42),'Resource Planner'!$D$42,"")</f>
        <v/>
      </c>
      <c r="E1609" s="163" t="str">
        <f>IF(AND('Resource Planner'!$A$42="☑",5&lt;='Resource Planner'!$N$42),'Resource Planner'!$E$42,"")</f>
        <v/>
      </c>
      <c r="F1609" s="163" t="str">
        <f>IF(AND('Resource Planner'!$A$42="☑",5&lt;='Resource Planner'!$N$42),'Resource Planner'!$F$42&amp;" "&amp;('Resource Planner'!$G$42+(5-1)*'Resource Planner'!$I$42)&amp;IF(('Resource Planner'!$G$42+(5-1)*'Resource Planner'!$I$42)=MIN('Resource Planner'!$G$42+5*'Resource Planner'!$I$42-1,'Resource Planner'!$H$42),"","–"&amp;MIN('Resource Planner'!$G$42+5*'Resource Planner'!$I$42-1,'Resource Planner'!$H$42)),"")</f>
        <v/>
      </c>
      <c r="G1609" s="163" t="s">
        <v>109</v>
      </c>
      <c r="H1609" s="163" t="str">
        <f>IF(AND('Resource Planner'!$A$42="☑",5&lt;='Resource Planner'!$N$42),'Resource Planner'!$M$42,"")</f>
        <v/>
      </c>
    </row>
    <row r="1610" ht="15.75" customHeight="1">
      <c r="A16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0" s="163" t="str">
        <f>IF(AND('Resource Planner'!$A$42="☑",6&lt;='Resource Planner'!$N$42),'Resource Planner'!$C$42,"")</f>
        <v/>
      </c>
      <c r="C1610" s="163" t="str">
        <f>IF(AND('Resource Planner'!$A$42="☑",6&lt;='Resource Planner'!$N$42),'Resource Planner'!$B$42,"")</f>
        <v/>
      </c>
      <c r="D1610" s="163" t="str">
        <f>IF(AND('Resource Planner'!$A$42="☑",6&lt;='Resource Planner'!$N$42),'Resource Planner'!$D$42,"")</f>
        <v/>
      </c>
      <c r="E1610" s="163" t="str">
        <f>IF(AND('Resource Planner'!$A$42="☑",6&lt;='Resource Planner'!$N$42),'Resource Planner'!$E$42,"")</f>
        <v/>
      </c>
      <c r="F1610" s="163" t="str">
        <f>IF(AND('Resource Planner'!$A$42="☑",6&lt;='Resource Planner'!$N$42),'Resource Planner'!$F$42&amp;" "&amp;('Resource Planner'!$G$42+(6-1)*'Resource Planner'!$I$42)&amp;IF(('Resource Planner'!$G$42+(6-1)*'Resource Planner'!$I$42)=MIN('Resource Planner'!$G$42+6*'Resource Planner'!$I$42-1,'Resource Planner'!$H$42),"","–"&amp;MIN('Resource Planner'!$G$42+6*'Resource Planner'!$I$42-1,'Resource Planner'!$H$42)),"")</f>
        <v/>
      </c>
      <c r="G1610" s="163" t="s">
        <v>109</v>
      </c>
      <c r="H1610" s="163" t="str">
        <f>IF(AND('Resource Planner'!$A$42="☑",6&lt;='Resource Planner'!$N$42),'Resource Planner'!$M$42,"")</f>
        <v/>
      </c>
    </row>
    <row r="1611" ht="15.75" customHeight="1">
      <c r="A16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1" s="163" t="str">
        <f>IF(AND('Resource Planner'!$A$42="☑",7&lt;='Resource Planner'!$N$42),'Resource Planner'!$C$42,"")</f>
        <v/>
      </c>
      <c r="C1611" s="163" t="str">
        <f>IF(AND('Resource Planner'!$A$42="☑",7&lt;='Resource Planner'!$N$42),'Resource Planner'!$B$42,"")</f>
        <v/>
      </c>
      <c r="D1611" s="163" t="str">
        <f>IF(AND('Resource Planner'!$A$42="☑",7&lt;='Resource Planner'!$N$42),'Resource Planner'!$D$42,"")</f>
        <v/>
      </c>
      <c r="E1611" s="163" t="str">
        <f>IF(AND('Resource Planner'!$A$42="☑",7&lt;='Resource Planner'!$N$42),'Resource Planner'!$E$42,"")</f>
        <v/>
      </c>
      <c r="F1611" s="163" t="str">
        <f>IF(AND('Resource Planner'!$A$42="☑",7&lt;='Resource Planner'!$N$42),'Resource Planner'!$F$42&amp;" "&amp;('Resource Planner'!$G$42+(7-1)*'Resource Planner'!$I$42)&amp;IF(('Resource Planner'!$G$42+(7-1)*'Resource Planner'!$I$42)=MIN('Resource Planner'!$G$42+7*'Resource Planner'!$I$42-1,'Resource Planner'!$H$42),"","–"&amp;MIN('Resource Planner'!$G$42+7*'Resource Planner'!$I$42-1,'Resource Planner'!$H$42)),"")</f>
        <v/>
      </c>
      <c r="G1611" s="163" t="s">
        <v>109</v>
      </c>
      <c r="H1611" s="163" t="str">
        <f>IF(AND('Resource Planner'!$A$42="☑",7&lt;='Resource Planner'!$N$42),'Resource Planner'!$M$42,"")</f>
        <v/>
      </c>
    </row>
    <row r="1612" ht="15.75" customHeight="1">
      <c r="A16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2" s="163" t="str">
        <f>IF(AND('Resource Planner'!$A$42="☑",8&lt;='Resource Planner'!$N$42),'Resource Planner'!$C$42,"")</f>
        <v/>
      </c>
      <c r="C1612" s="163" t="str">
        <f>IF(AND('Resource Planner'!$A$42="☑",8&lt;='Resource Planner'!$N$42),'Resource Planner'!$B$42,"")</f>
        <v/>
      </c>
      <c r="D1612" s="163" t="str">
        <f>IF(AND('Resource Planner'!$A$42="☑",8&lt;='Resource Planner'!$N$42),'Resource Planner'!$D$42,"")</f>
        <v/>
      </c>
      <c r="E1612" s="163" t="str">
        <f>IF(AND('Resource Planner'!$A$42="☑",8&lt;='Resource Planner'!$N$42),'Resource Planner'!$E$42,"")</f>
        <v/>
      </c>
      <c r="F1612" s="163" t="str">
        <f>IF(AND('Resource Planner'!$A$42="☑",8&lt;='Resource Planner'!$N$42),'Resource Planner'!$F$42&amp;" "&amp;('Resource Planner'!$G$42+(8-1)*'Resource Planner'!$I$42)&amp;IF(('Resource Planner'!$G$42+(8-1)*'Resource Planner'!$I$42)=MIN('Resource Planner'!$G$42+8*'Resource Planner'!$I$42-1,'Resource Planner'!$H$42),"","–"&amp;MIN('Resource Planner'!$G$42+8*'Resource Planner'!$I$42-1,'Resource Planner'!$H$42)),"")</f>
        <v/>
      </c>
      <c r="G1612" s="163" t="s">
        <v>109</v>
      </c>
      <c r="H1612" s="163" t="str">
        <f>IF(AND('Resource Planner'!$A$42="☑",8&lt;='Resource Planner'!$N$42),'Resource Planner'!$M$42,"")</f>
        <v/>
      </c>
    </row>
    <row r="1613" ht="15.75" customHeight="1">
      <c r="A16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3" s="163" t="str">
        <f>IF(AND('Resource Planner'!$A$42="☑",9&lt;='Resource Planner'!$N$42),'Resource Planner'!$C$42,"")</f>
        <v/>
      </c>
      <c r="C1613" s="163" t="str">
        <f>IF(AND('Resource Planner'!$A$42="☑",9&lt;='Resource Planner'!$N$42),'Resource Planner'!$B$42,"")</f>
        <v/>
      </c>
      <c r="D1613" s="163" t="str">
        <f>IF(AND('Resource Planner'!$A$42="☑",9&lt;='Resource Planner'!$N$42),'Resource Planner'!$D$42,"")</f>
        <v/>
      </c>
      <c r="E1613" s="163" t="str">
        <f>IF(AND('Resource Planner'!$A$42="☑",9&lt;='Resource Planner'!$N$42),'Resource Planner'!$E$42,"")</f>
        <v/>
      </c>
      <c r="F1613" s="163" t="str">
        <f>IF(AND('Resource Planner'!$A$42="☑",9&lt;='Resource Planner'!$N$42),'Resource Planner'!$F$42&amp;" "&amp;('Resource Planner'!$G$42+(9-1)*'Resource Planner'!$I$42)&amp;IF(('Resource Planner'!$G$42+(9-1)*'Resource Planner'!$I$42)=MIN('Resource Planner'!$G$42+9*'Resource Planner'!$I$42-1,'Resource Planner'!$H$42),"","–"&amp;MIN('Resource Planner'!$G$42+9*'Resource Planner'!$I$42-1,'Resource Planner'!$H$42)),"")</f>
        <v/>
      </c>
      <c r="G1613" s="163" t="s">
        <v>109</v>
      </c>
      <c r="H1613" s="163" t="str">
        <f>IF(AND('Resource Planner'!$A$42="☑",9&lt;='Resource Planner'!$N$42),'Resource Planner'!$M$42,"")</f>
        <v/>
      </c>
    </row>
    <row r="1614" ht="15.75" customHeight="1">
      <c r="A16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4" s="163" t="str">
        <f>IF(AND('Resource Planner'!$A$42="☑",10&lt;='Resource Planner'!$N$42),'Resource Planner'!$C$42,"")</f>
        <v/>
      </c>
      <c r="C1614" s="163" t="str">
        <f>IF(AND('Resource Planner'!$A$42="☑",10&lt;='Resource Planner'!$N$42),'Resource Planner'!$B$42,"")</f>
        <v/>
      </c>
      <c r="D1614" s="163" t="str">
        <f>IF(AND('Resource Planner'!$A$42="☑",10&lt;='Resource Planner'!$N$42),'Resource Planner'!$D$42,"")</f>
        <v/>
      </c>
      <c r="E1614" s="163" t="str">
        <f>IF(AND('Resource Planner'!$A$42="☑",10&lt;='Resource Planner'!$N$42),'Resource Planner'!$E$42,"")</f>
        <v/>
      </c>
      <c r="F1614" s="163" t="str">
        <f>IF(AND('Resource Planner'!$A$42="☑",10&lt;='Resource Planner'!$N$42),'Resource Planner'!$F$42&amp;" "&amp;('Resource Planner'!$G$42+(10-1)*'Resource Planner'!$I$42)&amp;IF(('Resource Planner'!$G$42+(10-1)*'Resource Planner'!$I$42)=MIN('Resource Planner'!$G$42+10*'Resource Planner'!$I$42-1,'Resource Planner'!$H$42),"","–"&amp;MIN('Resource Planner'!$G$42+10*'Resource Planner'!$I$42-1,'Resource Planner'!$H$42)),"")</f>
        <v/>
      </c>
      <c r="G1614" s="163" t="s">
        <v>109</v>
      </c>
      <c r="H1614" s="163" t="str">
        <f>IF(AND('Resource Planner'!$A$42="☑",10&lt;='Resource Planner'!$N$42),'Resource Planner'!$M$42,"")</f>
        <v/>
      </c>
    </row>
    <row r="1615" ht="15.75" customHeight="1">
      <c r="A16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5" s="163" t="str">
        <f>IF(AND('Resource Planner'!$A$42="☑",11&lt;='Resource Planner'!$N$42),'Resource Planner'!$C$42,"")</f>
        <v/>
      </c>
      <c r="C1615" s="163" t="str">
        <f>IF(AND('Resource Planner'!$A$42="☑",11&lt;='Resource Planner'!$N$42),'Resource Planner'!$B$42,"")</f>
        <v/>
      </c>
      <c r="D1615" s="163" t="str">
        <f>IF(AND('Resource Planner'!$A$42="☑",11&lt;='Resource Planner'!$N$42),'Resource Planner'!$D$42,"")</f>
        <v/>
      </c>
      <c r="E1615" s="163" t="str">
        <f>IF(AND('Resource Planner'!$A$42="☑",11&lt;='Resource Planner'!$N$42),'Resource Planner'!$E$42,"")</f>
        <v/>
      </c>
      <c r="F1615" s="163" t="str">
        <f>IF(AND('Resource Planner'!$A$42="☑",11&lt;='Resource Planner'!$N$42),'Resource Planner'!$F$42&amp;" "&amp;('Resource Planner'!$G$42+(11-1)*'Resource Planner'!$I$42)&amp;IF(('Resource Planner'!$G$42+(11-1)*'Resource Planner'!$I$42)=MIN('Resource Planner'!$G$42+11*'Resource Planner'!$I$42-1,'Resource Planner'!$H$42),"","–"&amp;MIN('Resource Planner'!$G$42+11*'Resource Planner'!$I$42-1,'Resource Planner'!$H$42)),"")</f>
        <v/>
      </c>
      <c r="G1615" s="163" t="s">
        <v>109</v>
      </c>
      <c r="H1615" s="163" t="str">
        <f>IF(AND('Resource Planner'!$A$42="☑",11&lt;='Resource Planner'!$N$42),'Resource Planner'!$M$42,"")</f>
        <v/>
      </c>
    </row>
    <row r="1616" ht="15.75" customHeight="1">
      <c r="A16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6" s="163" t="str">
        <f>IF(AND('Resource Planner'!$A$42="☑",12&lt;='Resource Planner'!$N$42),'Resource Planner'!$C$42,"")</f>
        <v/>
      </c>
      <c r="C1616" s="163" t="str">
        <f>IF(AND('Resource Planner'!$A$42="☑",12&lt;='Resource Planner'!$N$42),'Resource Planner'!$B$42,"")</f>
        <v/>
      </c>
      <c r="D1616" s="163" t="str">
        <f>IF(AND('Resource Planner'!$A$42="☑",12&lt;='Resource Planner'!$N$42),'Resource Planner'!$D$42,"")</f>
        <v/>
      </c>
      <c r="E1616" s="163" t="str">
        <f>IF(AND('Resource Planner'!$A$42="☑",12&lt;='Resource Planner'!$N$42),'Resource Planner'!$E$42,"")</f>
        <v/>
      </c>
      <c r="F1616" s="163" t="str">
        <f>IF(AND('Resource Planner'!$A$42="☑",12&lt;='Resource Planner'!$N$42),'Resource Planner'!$F$42&amp;" "&amp;('Resource Planner'!$G$42+(12-1)*'Resource Planner'!$I$42)&amp;IF(('Resource Planner'!$G$42+(12-1)*'Resource Planner'!$I$42)=MIN('Resource Planner'!$G$42+12*'Resource Planner'!$I$42-1,'Resource Planner'!$H$42),"","–"&amp;MIN('Resource Planner'!$G$42+12*'Resource Planner'!$I$42-1,'Resource Planner'!$H$42)),"")</f>
        <v/>
      </c>
      <c r="G1616" s="163" t="s">
        <v>109</v>
      </c>
      <c r="H1616" s="163" t="str">
        <f>IF(AND('Resource Planner'!$A$42="☑",12&lt;='Resource Planner'!$N$42),'Resource Planner'!$M$42,"")</f>
        <v/>
      </c>
    </row>
    <row r="1617" ht="15.75" customHeight="1">
      <c r="A16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7" s="163" t="str">
        <f>IF(AND('Resource Planner'!$A$42="☑",13&lt;='Resource Planner'!$N$42),'Resource Planner'!$C$42,"")</f>
        <v/>
      </c>
      <c r="C1617" s="163" t="str">
        <f>IF(AND('Resource Planner'!$A$42="☑",13&lt;='Resource Planner'!$N$42),'Resource Planner'!$B$42,"")</f>
        <v/>
      </c>
      <c r="D1617" s="163" t="str">
        <f>IF(AND('Resource Planner'!$A$42="☑",13&lt;='Resource Planner'!$N$42),'Resource Planner'!$D$42,"")</f>
        <v/>
      </c>
      <c r="E1617" s="163" t="str">
        <f>IF(AND('Resource Planner'!$A$42="☑",13&lt;='Resource Planner'!$N$42),'Resource Planner'!$E$42,"")</f>
        <v/>
      </c>
      <c r="F1617" s="163" t="str">
        <f>IF(AND('Resource Planner'!$A$42="☑",13&lt;='Resource Planner'!$N$42),'Resource Planner'!$F$42&amp;" "&amp;('Resource Planner'!$G$42+(13-1)*'Resource Planner'!$I$42)&amp;IF(('Resource Planner'!$G$42+(13-1)*'Resource Planner'!$I$42)=MIN('Resource Planner'!$G$42+13*'Resource Planner'!$I$42-1,'Resource Planner'!$H$42),"","–"&amp;MIN('Resource Planner'!$G$42+13*'Resource Planner'!$I$42-1,'Resource Planner'!$H$42)),"")</f>
        <v/>
      </c>
      <c r="G1617" s="163" t="s">
        <v>109</v>
      </c>
      <c r="H1617" s="163" t="str">
        <f>IF(AND('Resource Planner'!$A$42="☑",13&lt;='Resource Planner'!$N$42),'Resource Planner'!$M$42,"")</f>
        <v/>
      </c>
    </row>
    <row r="1618" ht="15.75" customHeight="1">
      <c r="A16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8" s="163" t="str">
        <f>IF(AND('Resource Planner'!$A$42="☑",14&lt;='Resource Planner'!$N$42),'Resource Planner'!$C$42,"")</f>
        <v/>
      </c>
      <c r="C1618" s="163" t="str">
        <f>IF(AND('Resource Planner'!$A$42="☑",14&lt;='Resource Planner'!$N$42),'Resource Planner'!$B$42,"")</f>
        <v/>
      </c>
      <c r="D1618" s="163" t="str">
        <f>IF(AND('Resource Planner'!$A$42="☑",14&lt;='Resource Planner'!$N$42),'Resource Planner'!$D$42,"")</f>
        <v/>
      </c>
      <c r="E1618" s="163" t="str">
        <f>IF(AND('Resource Planner'!$A$42="☑",14&lt;='Resource Planner'!$N$42),'Resource Planner'!$E$42,"")</f>
        <v/>
      </c>
      <c r="F1618" s="163" t="str">
        <f>IF(AND('Resource Planner'!$A$42="☑",14&lt;='Resource Planner'!$N$42),'Resource Planner'!$F$42&amp;" "&amp;('Resource Planner'!$G$42+(14-1)*'Resource Planner'!$I$42)&amp;IF(('Resource Planner'!$G$42+(14-1)*'Resource Planner'!$I$42)=MIN('Resource Planner'!$G$42+14*'Resource Planner'!$I$42-1,'Resource Planner'!$H$42),"","–"&amp;MIN('Resource Planner'!$G$42+14*'Resource Planner'!$I$42-1,'Resource Planner'!$H$42)),"")</f>
        <v/>
      </c>
      <c r="G1618" s="163" t="s">
        <v>109</v>
      </c>
      <c r="H1618" s="163" t="str">
        <f>IF(AND('Resource Planner'!$A$42="☑",14&lt;='Resource Planner'!$N$42),'Resource Planner'!$M$42,"")</f>
        <v/>
      </c>
    </row>
    <row r="1619" ht="15.75" customHeight="1">
      <c r="A16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19" s="163" t="str">
        <f>IF(AND('Resource Planner'!$A$42="☑",15&lt;='Resource Planner'!$N$42),'Resource Planner'!$C$42,"")</f>
        <v/>
      </c>
      <c r="C1619" s="163" t="str">
        <f>IF(AND('Resource Planner'!$A$42="☑",15&lt;='Resource Planner'!$N$42),'Resource Planner'!$B$42,"")</f>
        <v/>
      </c>
      <c r="D1619" s="163" t="str">
        <f>IF(AND('Resource Planner'!$A$42="☑",15&lt;='Resource Planner'!$N$42),'Resource Planner'!$D$42,"")</f>
        <v/>
      </c>
      <c r="E1619" s="163" t="str">
        <f>IF(AND('Resource Planner'!$A$42="☑",15&lt;='Resource Planner'!$N$42),'Resource Planner'!$E$42,"")</f>
        <v/>
      </c>
      <c r="F1619" s="163" t="str">
        <f>IF(AND('Resource Planner'!$A$42="☑",15&lt;='Resource Planner'!$N$42),'Resource Planner'!$F$42&amp;" "&amp;('Resource Planner'!$G$42+(15-1)*'Resource Planner'!$I$42)&amp;IF(('Resource Planner'!$G$42+(15-1)*'Resource Planner'!$I$42)=MIN('Resource Planner'!$G$42+15*'Resource Planner'!$I$42-1,'Resource Planner'!$H$42),"","–"&amp;MIN('Resource Planner'!$G$42+15*'Resource Planner'!$I$42-1,'Resource Planner'!$H$42)),"")</f>
        <v/>
      </c>
      <c r="G1619" s="163" t="s">
        <v>109</v>
      </c>
      <c r="H1619" s="163" t="str">
        <f>IF(AND('Resource Planner'!$A$42="☑",15&lt;='Resource Planner'!$N$42),'Resource Planner'!$M$42,"")</f>
        <v/>
      </c>
    </row>
    <row r="1620" ht="15.75" customHeight="1">
      <c r="A16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0" s="163" t="str">
        <f>IF(AND('Resource Planner'!$A$42="☑",16&lt;='Resource Planner'!$N$42),'Resource Planner'!$C$42,"")</f>
        <v/>
      </c>
      <c r="C1620" s="163" t="str">
        <f>IF(AND('Resource Planner'!$A$42="☑",16&lt;='Resource Planner'!$N$42),'Resource Planner'!$B$42,"")</f>
        <v/>
      </c>
      <c r="D1620" s="163" t="str">
        <f>IF(AND('Resource Planner'!$A$42="☑",16&lt;='Resource Planner'!$N$42),'Resource Planner'!$D$42,"")</f>
        <v/>
      </c>
      <c r="E1620" s="163" t="str">
        <f>IF(AND('Resource Planner'!$A$42="☑",16&lt;='Resource Planner'!$N$42),'Resource Planner'!$E$42,"")</f>
        <v/>
      </c>
      <c r="F1620" s="163" t="str">
        <f>IF(AND('Resource Planner'!$A$42="☑",16&lt;='Resource Planner'!$N$42),'Resource Planner'!$F$42&amp;" "&amp;('Resource Planner'!$G$42+(16-1)*'Resource Planner'!$I$42)&amp;IF(('Resource Planner'!$G$42+(16-1)*'Resource Planner'!$I$42)=MIN('Resource Planner'!$G$42+16*'Resource Planner'!$I$42-1,'Resource Planner'!$H$42),"","–"&amp;MIN('Resource Planner'!$G$42+16*'Resource Planner'!$I$42-1,'Resource Planner'!$H$42)),"")</f>
        <v/>
      </c>
      <c r="G1620" s="163" t="s">
        <v>109</v>
      </c>
      <c r="H1620" s="163" t="str">
        <f>IF(AND('Resource Planner'!$A$42="☑",16&lt;='Resource Planner'!$N$42),'Resource Planner'!$M$42,"")</f>
        <v/>
      </c>
    </row>
    <row r="1621" ht="15.75" customHeight="1">
      <c r="A16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1" s="163" t="str">
        <f>IF(AND('Resource Planner'!$A$42="☑",17&lt;='Resource Planner'!$N$42),'Resource Planner'!$C$42,"")</f>
        <v/>
      </c>
      <c r="C1621" s="163" t="str">
        <f>IF(AND('Resource Planner'!$A$42="☑",17&lt;='Resource Planner'!$N$42),'Resource Planner'!$B$42,"")</f>
        <v/>
      </c>
      <c r="D1621" s="163" t="str">
        <f>IF(AND('Resource Planner'!$A$42="☑",17&lt;='Resource Planner'!$N$42),'Resource Planner'!$D$42,"")</f>
        <v/>
      </c>
      <c r="E1621" s="163" t="str">
        <f>IF(AND('Resource Planner'!$A$42="☑",17&lt;='Resource Planner'!$N$42),'Resource Planner'!$E$42,"")</f>
        <v/>
      </c>
      <c r="F1621" s="163" t="str">
        <f>IF(AND('Resource Planner'!$A$42="☑",17&lt;='Resource Planner'!$N$42),'Resource Planner'!$F$42&amp;" "&amp;('Resource Planner'!$G$42+(17-1)*'Resource Planner'!$I$42)&amp;IF(('Resource Planner'!$G$42+(17-1)*'Resource Planner'!$I$42)=MIN('Resource Planner'!$G$42+17*'Resource Planner'!$I$42-1,'Resource Planner'!$H$42),"","–"&amp;MIN('Resource Planner'!$G$42+17*'Resource Planner'!$I$42-1,'Resource Planner'!$H$42)),"")</f>
        <v/>
      </c>
      <c r="G1621" s="163" t="s">
        <v>109</v>
      </c>
      <c r="H1621" s="163" t="str">
        <f>IF(AND('Resource Planner'!$A$42="☑",17&lt;='Resource Planner'!$N$42),'Resource Planner'!$M$42,"")</f>
        <v/>
      </c>
    </row>
    <row r="1622" ht="15.75" customHeight="1">
      <c r="A16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2" s="163" t="str">
        <f>IF(AND('Resource Planner'!$A$42="☑",18&lt;='Resource Planner'!$N$42),'Resource Planner'!$C$42,"")</f>
        <v/>
      </c>
      <c r="C1622" s="163" t="str">
        <f>IF(AND('Resource Planner'!$A$42="☑",18&lt;='Resource Planner'!$N$42),'Resource Planner'!$B$42,"")</f>
        <v/>
      </c>
      <c r="D1622" s="163" t="str">
        <f>IF(AND('Resource Planner'!$A$42="☑",18&lt;='Resource Planner'!$N$42),'Resource Planner'!$D$42,"")</f>
        <v/>
      </c>
      <c r="E1622" s="163" t="str">
        <f>IF(AND('Resource Planner'!$A$42="☑",18&lt;='Resource Planner'!$N$42),'Resource Planner'!$E$42,"")</f>
        <v/>
      </c>
      <c r="F1622" s="163" t="str">
        <f>IF(AND('Resource Planner'!$A$42="☑",18&lt;='Resource Planner'!$N$42),'Resource Planner'!$F$42&amp;" "&amp;('Resource Planner'!$G$42+(18-1)*'Resource Planner'!$I$42)&amp;IF(('Resource Planner'!$G$42+(18-1)*'Resource Planner'!$I$42)=MIN('Resource Planner'!$G$42+18*'Resource Planner'!$I$42-1,'Resource Planner'!$H$42),"","–"&amp;MIN('Resource Planner'!$G$42+18*'Resource Planner'!$I$42-1,'Resource Planner'!$H$42)),"")</f>
        <v/>
      </c>
      <c r="G1622" s="163" t="s">
        <v>109</v>
      </c>
      <c r="H1622" s="163" t="str">
        <f>IF(AND('Resource Planner'!$A$42="☑",18&lt;='Resource Planner'!$N$42),'Resource Planner'!$M$42,"")</f>
        <v/>
      </c>
    </row>
    <row r="1623" ht="15.75" customHeight="1">
      <c r="A16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3" s="163" t="str">
        <f>IF(AND('Resource Planner'!$A$42="☑",19&lt;='Resource Planner'!$N$42),'Resource Planner'!$C$42,"")</f>
        <v/>
      </c>
      <c r="C1623" s="163" t="str">
        <f>IF(AND('Resource Planner'!$A$42="☑",19&lt;='Resource Planner'!$N$42),'Resource Planner'!$B$42,"")</f>
        <v/>
      </c>
      <c r="D1623" s="163" t="str">
        <f>IF(AND('Resource Planner'!$A$42="☑",19&lt;='Resource Planner'!$N$42),'Resource Planner'!$D$42,"")</f>
        <v/>
      </c>
      <c r="E1623" s="163" t="str">
        <f>IF(AND('Resource Planner'!$A$42="☑",19&lt;='Resource Planner'!$N$42),'Resource Planner'!$E$42,"")</f>
        <v/>
      </c>
      <c r="F1623" s="163" t="str">
        <f>IF(AND('Resource Planner'!$A$42="☑",19&lt;='Resource Planner'!$N$42),'Resource Planner'!$F$42&amp;" "&amp;('Resource Planner'!$G$42+(19-1)*'Resource Planner'!$I$42)&amp;IF(('Resource Planner'!$G$42+(19-1)*'Resource Planner'!$I$42)=MIN('Resource Planner'!$G$42+19*'Resource Planner'!$I$42-1,'Resource Planner'!$H$42),"","–"&amp;MIN('Resource Planner'!$G$42+19*'Resource Planner'!$I$42-1,'Resource Planner'!$H$42)),"")</f>
        <v/>
      </c>
      <c r="G1623" s="163" t="s">
        <v>109</v>
      </c>
      <c r="H1623" s="163" t="str">
        <f>IF(AND('Resource Planner'!$A$42="☑",19&lt;='Resource Planner'!$N$42),'Resource Planner'!$M$42,"")</f>
        <v/>
      </c>
    </row>
    <row r="1624" ht="15.75" customHeight="1">
      <c r="A16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4" s="163" t="str">
        <f>IF(AND('Resource Planner'!$A$42="☑",20&lt;='Resource Planner'!$N$42),'Resource Planner'!$C$42,"")</f>
        <v/>
      </c>
      <c r="C1624" s="163" t="str">
        <f>IF(AND('Resource Planner'!$A$42="☑",20&lt;='Resource Planner'!$N$42),'Resource Planner'!$B$42,"")</f>
        <v/>
      </c>
      <c r="D1624" s="163" t="str">
        <f>IF(AND('Resource Planner'!$A$42="☑",20&lt;='Resource Planner'!$N$42),'Resource Planner'!$D$42,"")</f>
        <v/>
      </c>
      <c r="E1624" s="163" t="str">
        <f>IF(AND('Resource Planner'!$A$42="☑",20&lt;='Resource Planner'!$N$42),'Resource Planner'!$E$42,"")</f>
        <v/>
      </c>
      <c r="F1624" s="163" t="str">
        <f>IF(AND('Resource Planner'!$A$42="☑",20&lt;='Resource Planner'!$N$42),'Resource Planner'!$F$42&amp;" "&amp;('Resource Planner'!$G$42+(20-1)*'Resource Planner'!$I$42)&amp;IF(('Resource Planner'!$G$42+(20-1)*'Resource Planner'!$I$42)=MIN('Resource Planner'!$G$42+20*'Resource Planner'!$I$42-1,'Resource Planner'!$H$42),"","–"&amp;MIN('Resource Planner'!$G$42+20*'Resource Planner'!$I$42-1,'Resource Planner'!$H$42)),"")</f>
        <v/>
      </c>
      <c r="G1624" s="163" t="s">
        <v>109</v>
      </c>
      <c r="H1624" s="163" t="str">
        <f>IF(AND('Resource Planner'!$A$42="☑",20&lt;='Resource Planner'!$N$42),'Resource Planner'!$M$42,"")</f>
        <v/>
      </c>
    </row>
    <row r="1625" ht="15.75" customHeight="1">
      <c r="A16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5" s="163" t="str">
        <f>IF(AND('Resource Planner'!$A$42="☑",21&lt;='Resource Planner'!$N$42),'Resource Planner'!$C$42,"")</f>
        <v/>
      </c>
      <c r="C1625" s="163" t="str">
        <f>IF(AND('Resource Planner'!$A$42="☑",21&lt;='Resource Planner'!$N$42),'Resource Planner'!$B$42,"")</f>
        <v/>
      </c>
      <c r="D1625" s="163" t="str">
        <f>IF(AND('Resource Planner'!$A$42="☑",21&lt;='Resource Planner'!$N$42),'Resource Planner'!$D$42,"")</f>
        <v/>
      </c>
      <c r="E1625" s="163" t="str">
        <f>IF(AND('Resource Planner'!$A$42="☑",21&lt;='Resource Planner'!$N$42),'Resource Planner'!$E$42,"")</f>
        <v/>
      </c>
      <c r="F1625" s="163" t="str">
        <f>IF(AND('Resource Planner'!$A$42="☑",21&lt;='Resource Planner'!$N$42),'Resource Planner'!$F$42&amp;" "&amp;('Resource Planner'!$G$42+(21-1)*'Resource Planner'!$I$42)&amp;IF(('Resource Planner'!$G$42+(21-1)*'Resource Planner'!$I$42)=MIN('Resource Planner'!$G$42+21*'Resource Planner'!$I$42-1,'Resource Planner'!$H$42),"","–"&amp;MIN('Resource Planner'!$G$42+21*'Resource Planner'!$I$42-1,'Resource Planner'!$H$42)),"")</f>
        <v/>
      </c>
      <c r="G1625" s="163" t="s">
        <v>109</v>
      </c>
      <c r="H1625" s="163" t="str">
        <f>IF(AND('Resource Planner'!$A$42="☑",21&lt;='Resource Planner'!$N$42),'Resource Planner'!$M$42,"")</f>
        <v/>
      </c>
    </row>
    <row r="1626" ht="15.75" customHeight="1">
      <c r="A16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6" s="163" t="str">
        <f>IF(AND('Resource Planner'!$A$42="☑",22&lt;='Resource Planner'!$N$42),'Resource Planner'!$C$42,"")</f>
        <v/>
      </c>
      <c r="C1626" s="163" t="str">
        <f>IF(AND('Resource Planner'!$A$42="☑",22&lt;='Resource Planner'!$N$42),'Resource Planner'!$B$42,"")</f>
        <v/>
      </c>
      <c r="D1626" s="163" t="str">
        <f>IF(AND('Resource Planner'!$A$42="☑",22&lt;='Resource Planner'!$N$42),'Resource Planner'!$D$42,"")</f>
        <v/>
      </c>
      <c r="E1626" s="163" t="str">
        <f>IF(AND('Resource Planner'!$A$42="☑",22&lt;='Resource Planner'!$N$42),'Resource Planner'!$E$42,"")</f>
        <v/>
      </c>
      <c r="F1626" s="163" t="str">
        <f>IF(AND('Resource Planner'!$A$42="☑",22&lt;='Resource Planner'!$N$42),'Resource Planner'!$F$42&amp;" "&amp;('Resource Planner'!$G$42+(22-1)*'Resource Planner'!$I$42)&amp;IF(('Resource Planner'!$G$42+(22-1)*'Resource Planner'!$I$42)=MIN('Resource Planner'!$G$42+22*'Resource Planner'!$I$42-1,'Resource Planner'!$H$42),"","–"&amp;MIN('Resource Planner'!$G$42+22*'Resource Planner'!$I$42-1,'Resource Planner'!$H$42)),"")</f>
        <v/>
      </c>
      <c r="G1626" s="163" t="s">
        <v>109</v>
      </c>
      <c r="H1626" s="163" t="str">
        <f>IF(AND('Resource Planner'!$A$42="☑",22&lt;='Resource Planner'!$N$42),'Resource Planner'!$M$42,"")</f>
        <v/>
      </c>
    </row>
    <row r="1627" ht="15.75" customHeight="1">
      <c r="A16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7" s="163" t="str">
        <f>IF(AND('Resource Planner'!$A$42="☑",23&lt;='Resource Planner'!$N$42),'Resource Planner'!$C$42,"")</f>
        <v/>
      </c>
      <c r="C1627" s="163" t="str">
        <f>IF(AND('Resource Planner'!$A$42="☑",23&lt;='Resource Planner'!$N$42),'Resource Planner'!$B$42,"")</f>
        <v/>
      </c>
      <c r="D1627" s="163" t="str">
        <f>IF(AND('Resource Planner'!$A$42="☑",23&lt;='Resource Planner'!$N$42),'Resource Planner'!$D$42,"")</f>
        <v/>
      </c>
      <c r="E1627" s="163" t="str">
        <f>IF(AND('Resource Planner'!$A$42="☑",23&lt;='Resource Planner'!$N$42),'Resource Planner'!$E$42,"")</f>
        <v/>
      </c>
      <c r="F1627" s="163" t="str">
        <f>IF(AND('Resource Planner'!$A$42="☑",23&lt;='Resource Planner'!$N$42),'Resource Planner'!$F$42&amp;" "&amp;('Resource Planner'!$G$42+(23-1)*'Resource Planner'!$I$42)&amp;IF(('Resource Planner'!$G$42+(23-1)*'Resource Planner'!$I$42)=MIN('Resource Planner'!$G$42+23*'Resource Planner'!$I$42-1,'Resource Planner'!$H$42),"","–"&amp;MIN('Resource Planner'!$G$42+23*'Resource Planner'!$I$42-1,'Resource Planner'!$H$42)),"")</f>
        <v/>
      </c>
      <c r="G1627" s="163" t="s">
        <v>109</v>
      </c>
      <c r="H1627" s="163" t="str">
        <f>IF(AND('Resource Planner'!$A$42="☑",23&lt;='Resource Planner'!$N$42),'Resource Planner'!$M$42,"")</f>
        <v/>
      </c>
    </row>
    <row r="1628" ht="15.75" customHeight="1">
      <c r="A16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8" s="163" t="str">
        <f>IF(AND('Resource Planner'!$A$42="☑",24&lt;='Resource Planner'!$N$42),'Resource Planner'!$C$42,"")</f>
        <v/>
      </c>
      <c r="C1628" s="163" t="str">
        <f>IF(AND('Resource Planner'!$A$42="☑",24&lt;='Resource Planner'!$N$42),'Resource Planner'!$B$42,"")</f>
        <v/>
      </c>
      <c r="D1628" s="163" t="str">
        <f>IF(AND('Resource Planner'!$A$42="☑",24&lt;='Resource Planner'!$N$42),'Resource Planner'!$D$42,"")</f>
        <v/>
      </c>
      <c r="E1628" s="163" t="str">
        <f>IF(AND('Resource Planner'!$A$42="☑",24&lt;='Resource Planner'!$N$42),'Resource Planner'!$E$42,"")</f>
        <v/>
      </c>
      <c r="F1628" s="163" t="str">
        <f>IF(AND('Resource Planner'!$A$42="☑",24&lt;='Resource Planner'!$N$42),'Resource Planner'!$F$42&amp;" "&amp;('Resource Planner'!$G$42+(24-1)*'Resource Planner'!$I$42)&amp;IF(('Resource Planner'!$G$42+(24-1)*'Resource Planner'!$I$42)=MIN('Resource Planner'!$G$42+24*'Resource Planner'!$I$42-1,'Resource Planner'!$H$42),"","–"&amp;MIN('Resource Planner'!$G$42+24*'Resource Planner'!$I$42-1,'Resource Planner'!$H$42)),"")</f>
        <v/>
      </c>
      <c r="G1628" s="163" t="s">
        <v>109</v>
      </c>
      <c r="H1628" s="163" t="str">
        <f>IF(AND('Resource Planner'!$A$42="☑",24&lt;='Resource Planner'!$N$42),'Resource Planner'!$M$42,"")</f>
        <v/>
      </c>
    </row>
    <row r="1629" ht="15.75" customHeight="1">
      <c r="A16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29" s="163" t="str">
        <f>IF(AND('Resource Planner'!$A$42="☑",25&lt;='Resource Planner'!$N$42),'Resource Planner'!$C$42,"")</f>
        <v/>
      </c>
      <c r="C1629" s="163" t="str">
        <f>IF(AND('Resource Planner'!$A$42="☑",25&lt;='Resource Planner'!$N$42),'Resource Planner'!$B$42,"")</f>
        <v/>
      </c>
      <c r="D1629" s="163" t="str">
        <f>IF(AND('Resource Planner'!$A$42="☑",25&lt;='Resource Planner'!$N$42),'Resource Planner'!$D$42,"")</f>
        <v/>
      </c>
      <c r="E1629" s="163" t="str">
        <f>IF(AND('Resource Planner'!$A$42="☑",25&lt;='Resource Planner'!$N$42),'Resource Planner'!$E$42,"")</f>
        <v/>
      </c>
      <c r="F1629" s="163" t="str">
        <f>IF(AND('Resource Planner'!$A$42="☑",25&lt;='Resource Planner'!$N$42),'Resource Planner'!$F$42&amp;" "&amp;('Resource Planner'!$G$42+(25-1)*'Resource Planner'!$I$42)&amp;IF(('Resource Planner'!$G$42+(25-1)*'Resource Planner'!$I$42)=MIN('Resource Planner'!$G$42+25*'Resource Planner'!$I$42-1,'Resource Planner'!$H$42),"","–"&amp;MIN('Resource Planner'!$G$42+25*'Resource Planner'!$I$42-1,'Resource Planner'!$H$42)),"")</f>
        <v/>
      </c>
      <c r="G1629" s="163" t="s">
        <v>109</v>
      </c>
      <c r="H1629" s="163" t="str">
        <f>IF(AND('Resource Planner'!$A$42="☑",25&lt;='Resource Planner'!$N$42),'Resource Planner'!$M$42,"")</f>
        <v/>
      </c>
    </row>
    <row r="1630" ht="15.75" customHeight="1">
      <c r="A16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0" s="163" t="str">
        <f>IF(AND('Resource Planner'!$A$42="☑",26&lt;='Resource Planner'!$N$42),'Resource Planner'!$C$42,"")</f>
        <v/>
      </c>
      <c r="C1630" s="163" t="str">
        <f>IF(AND('Resource Planner'!$A$42="☑",26&lt;='Resource Planner'!$N$42),'Resource Planner'!$B$42,"")</f>
        <v/>
      </c>
      <c r="D1630" s="163" t="str">
        <f>IF(AND('Resource Planner'!$A$42="☑",26&lt;='Resource Planner'!$N$42),'Resource Planner'!$D$42,"")</f>
        <v/>
      </c>
      <c r="E1630" s="163" t="str">
        <f>IF(AND('Resource Planner'!$A$42="☑",26&lt;='Resource Planner'!$N$42),'Resource Planner'!$E$42,"")</f>
        <v/>
      </c>
      <c r="F1630" s="163" t="str">
        <f>IF(AND('Resource Planner'!$A$42="☑",26&lt;='Resource Planner'!$N$42),'Resource Planner'!$F$42&amp;" "&amp;('Resource Planner'!$G$42+(26-1)*'Resource Planner'!$I$42)&amp;IF(('Resource Planner'!$G$42+(26-1)*'Resource Planner'!$I$42)=MIN('Resource Planner'!$G$42+26*'Resource Planner'!$I$42-1,'Resource Planner'!$H$42),"","–"&amp;MIN('Resource Planner'!$G$42+26*'Resource Planner'!$I$42-1,'Resource Planner'!$H$42)),"")</f>
        <v/>
      </c>
      <c r="G1630" s="163" t="s">
        <v>109</v>
      </c>
      <c r="H1630" s="163" t="str">
        <f>IF(AND('Resource Planner'!$A$42="☑",26&lt;='Resource Planner'!$N$42),'Resource Planner'!$M$42,"")</f>
        <v/>
      </c>
    </row>
    <row r="1631" ht="15.75" customHeight="1">
      <c r="A16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1" s="163" t="str">
        <f>IF(AND('Resource Planner'!$A$42="☑",27&lt;='Resource Planner'!$N$42),'Resource Planner'!$C$42,"")</f>
        <v/>
      </c>
      <c r="C1631" s="163" t="str">
        <f>IF(AND('Resource Planner'!$A$42="☑",27&lt;='Resource Planner'!$N$42),'Resource Planner'!$B$42,"")</f>
        <v/>
      </c>
      <c r="D1631" s="163" t="str">
        <f>IF(AND('Resource Planner'!$A$42="☑",27&lt;='Resource Planner'!$N$42),'Resource Planner'!$D$42,"")</f>
        <v/>
      </c>
      <c r="E1631" s="163" t="str">
        <f>IF(AND('Resource Planner'!$A$42="☑",27&lt;='Resource Planner'!$N$42),'Resource Planner'!$E$42,"")</f>
        <v/>
      </c>
      <c r="F1631" s="163" t="str">
        <f>IF(AND('Resource Planner'!$A$42="☑",27&lt;='Resource Planner'!$N$42),'Resource Planner'!$F$42&amp;" "&amp;('Resource Planner'!$G$42+(27-1)*'Resource Planner'!$I$42)&amp;IF(('Resource Planner'!$G$42+(27-1)*'Resource Planner'!$I$42)=MIN('Resource Planner'!$G$42+27*'Resource Planner'!$I$42-1,'Resource Planner'!$H$42),"","–"&amp;MIN('Resource Planner'!$G$42+27*'Resource Planner'!$I$42-1,'Resource Planner'!$H$42)),"")</f>
        <v/>
      </c>
      <c r="G1631" s="163" t="s">
        <v>109</v>
      </c>
      <c r="H1631" s="163" t="str">
        <f>IF(AND('Resource Planner'!$A$42="☑",27&lt;='Resource Planner'!$N$42),'Resource Planner'!$M$42,"")</f>
        <v/>
      </c>
    </row>
    <row r="1632" ht="15.75" customHeight="1">
      <c r="A16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2" s="163" t="str">
        <f>IF(AND('Resource Planner'!$A$42="☑",28&lt;='Resource Planner'!$N$42),'Resource Planner'!$C$42,"")</f>
        <v/>
      </c>
      <c r="C1632" s="163" t="str">
        <f>IF(AND('Resource Planner'!$A$42="☑",28&lt;='Resource Planner'!$N$42),'Resource Planner'!$B$42,"")</f>
        <v/>
      </c>
      <c r="D1632" s="163" t="str">
        <f>IF(AND('Resource Planner'!$A$42="☑",28&lt;='Resource Planner'!$N$42),'Resource Planner'!$D$42,"")</f>
        <v/>
      </c>
      <c r="E1632" s="163" t="str">
        <f>IF(AND('Resource Planner'!$A$42="☑",28&lt;='Resource Planner'!$N$42),'Resource Planner'!$E$42,"")</f>
        <v/>
      </c>
      <c r="F1632" s="163" t="str">
        <f>IF(AND('Resource Planner'!$A$42="☑",28&lt;='Resource Planner'!$N$42),'Resource Planner'!$F$42&amp;" "&amp;('Resource Planner'!$G$42+(28-1)*'Resource Planner'!$I$42)&amp;IF(('Resource Planner'!$G$42+(28-1)*'Resource Planner'!$I$42)=MIN('Resource Planner'!$G$42+28*'Resource Planner'!$I$42-1,'Resource Planner'!$H$42),"","–"&amp;MIN('Resource Planner'!$G$42+28*'Resource Planner'!$I$42-1,'Resource Planner'!$H$42)),"")</f>
        <v/>
      </c>
      <c r="G1632" s="163" t="s">
        <v>109</v>
      </c>
      <c r="H1632" s="163" t="str">
        <f>IF(AND('Resource Planner'!$A$42="☑",28&lt;='Resource Planner'!$N$42),'Resource Planner'!$M$42,"")</f>
        <v/>
      </c>
    </row>
    <row r="1633" ht="15.75" customHeight="1">
      <c r="A16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3" s="163" t="str">
        <f>IF(AND('Resource Planner'!$A$42="☑",29&lt;='Resource Planner'!$N$42),'Resource Planner'!$C$42,"")</f>
        <v/>
      </c>
      <c r="C1633" s="163" t="str">
        <f>IF(AND('Resource Planner'!$A$42="☑",29&lt;='Resource Planner'!$N$42),'Resource Planner'!$B$42,"")</f>
        <v/>
      </c>
      <c r="D1633" s="163" t="str">
        <f>IF(AND('Resource Planner'!$A$42="☑",29&lt;='Resource Planner'!$N$42),'Resource Planner'!$D$42,"")</f>
        <v/>
      </c>
      <c r="E1633" s="163" t="str">
        <f>IF(AND('Resource Planner'!$A$42="☑",29&lt;='Resource Planner'!$N$42),'Resource Planner'!$E$42,"")</f>
        <v/>
      </c>
      <c r="F1633" s="163" t="str">
        <f>IF(AND('Resource Planner'!$A$42="☑",29&lt;='Resource Planner'!$N$42),'Resource Planner'!$F$42&amp;" "&amp;('Resource Planner'!$G$42+(29-1)*'Resource Planner'!$I$42)&amp;IF(('Resource Planner'!$G$42+(29-1)*'Resource Planner'!$I$42)=MIN('Resource Planner'!$G$42+29*'Resource Planner'!$I$42-1,'Resource Planner'!$H$42),"","–"&amp;MIN('Resource Planner'!$G$42+29*'Resource Planner'!$I$42-1,'Resource Planner'!$H$42)),"")</f>
        <v/>
      </c>
      <c r="G1633" s="163" t="s">
        <v>109</v>
      </c>
      <c r="H1633" s="163" t="str">
        <f>IF(AND('Resource Planner'!$A$42="☑",29&lt;='Resource Planner'!$N$42),'Resource Planner'!$M$42,"")</f>
        <v/>
      </c>
    </row>
    <row r="1634" ht="15.75" customHeight="1">
      <c r="A16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4" s="163" t="str">
        <f>IF(AND('Resource Planner'!$A$42="☑",30&lt;='Resource Planner'!$N$42),'Resource Planner'!$C$42,"")</f>
        <v/>
      </c>
      <c r="C1634" s="163" t="str">
        <f>IF(AND('Resource Planner'!$A$42="☑",30&lt;='Resource Planner'!$N$42),'Resource Planner'!$B$42,"")</f>
        <v/>
      </c>
      <c r="D1634" s="163" t="str">
        <f>IF(AND('Resource Planner'!$A$42="☑",30&lt;='Resource Planner'!$N$42),'Resource Planner'!$D$42,"")</f>
        <v/>
      </c>
      <c r="E1634" s="163" t="str">
        <f>IF(AND('Resource Planner'!$A$42="☑",30&lt;='Resource Planner'!$N$42),'Resource Planner'!$E$42,"")</f>
        <v/>
      </c>
      <c r="F1634" s="163" t="str">
        <f>IF(AND('Resource Planner'!$A$42="☑",30&lt;='Resource Planner'!$N$42),'Resource Planner'!$F$42&amp;" "&amp;('Resource Planner'!$G$42+(30-1)*'Resource Planner'!$I$42)&amp;IF(('Resource Planner'!$G$42+(30-1)*'Resource Planner'!$I$42)=MIN('Resource Planner'!$G$42+30*'Resource Planner'!$I$42-1,'Resource Planner'!$H$42),"","–"&amp;MIN('Resource Planner'!$G$42+30*'Resource Planner'!$I$42-1,'Resource Planner'!$H$42)),"")</f>
        <v/>
      </c>
      <c r="G1634" s="163" t="s">
        <v>109</v>
      </c>
      <c r="H1634" s="163" t="str">
        <f>IF(AND('Resource Planner'!$A$42="☑",30&lt;='Resource Planner'!$N$42),'Resource Planner'!$M$42,"")</f>
        <v/>
      </c>
    </row>
    <row r="1635" ht="15.75" customHeight="1">
      <c r="A16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5" s="163" t="str">
        <f>IF(AND('Resource Planner'!$A$42="☑",31&lt;='Resource Planner'!$N$42),'Resource Planner'!$C$42,"")</f>
        <v/>
      </c>
      <c r="C1635" s="163" t="str">
        <f>IF(AND('Resource Planner'!$A$42="☑",31&lt;='Resource Planner'!$N$42),'Resource Planner'!$B$42,"")</f>
        <v/>
      </c>
      <c r="D1635" s="163" t="str">
        <f>IF(AND('Resource Planner'!$A$42="☑",31&lt;='Resource Planner'!$N$42),'Resource Planner'!$D$42,"")</f>
        <v/>
      </c>
      <c r="E1635" s="163" t="str">
        <f>IF(AND('Resource Planner'!$A$42="☑",31&lt;='Resource Planner'!$N$42),'Resource Planner'!$E$42,"")</f>
        <v/>
      </c>
      <c r="F1635" s="163" t="str">
        <f>IF(AND('Resource Planner'!$A$42="☑",31&lt;='Resource Planner'!$N$42),'Resource Planner'!$F$42&amp;" "&amp;('Resource Planner'!$G$42+(31-1)*'Resource Planner'!$I$42)&amp;IF(('Resource Planner'!$G$42+(31-1)*'Resource Planner'!$I$42)=MIN('Resource Planner'!$G$42+31*'Resource Planner'!$I$42-1,'Resource Planner'!$H$42),"","–"&amp;MIN('Resource Planner'!$G$42+31*'Resource Planner'!$I$42-1,'Resource Planner'!$H$42)),"")</f>
        <v/>
      </c>
      <c r="G1635" s="163" t="s">
        <v>109</v>
      </c>
      <c r="H1635" s="163" t="str">
        <f>IF(AND('Resource Planner'!$A$42="☑",31&lt;='Resource Planner'!$N$42),'Resource Planner'!$M$42,"")</f>
        <v/>
      </c>
    </row>
    <row r="1636" ht="15.75" customHeight="1">
      <c r="A16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6" s="163" t="str">
        <f>IF(AND('Resource Planner'!$A$42="☑",32&lt;='Resource Planner'!$N$42),'Resource Planner'!$C$42,"")</f>
        <v/>
      </c>
      <c r="C1636" s="163" t="str">
        <f>IF(AND('Resource Planner'!$A$42="☑",32&lt;='Resource Planner'!$N$42),'Resource Planner'!$B$42,"")</f>
        <v/>
      </c>
      <c r="D1636" s="163" t="str">
        <f>IF(AND('Resource Planner'!$A$42="☑",32&lt;='Resource Planner'!$N$42),'Resource Planner'!$D$42,"")</f>
        <v/>
      </c>
      <c r="E1636" s="163" t="str">
        <f>IF(AND('Resource Planner'!$A$42="☑",32&lt;='Resource Planner'!$N$42),'Resource Planner'!$E$42,"")</f>
        <v/>
      </c>
      <c r="F1636" s="163" t="str">
        <f>IF(AND('Resource Planner'!$A$42="☑",32&lt;='Resource Planner'!$N$42),'Resource Planner'!$F$42&amp;" "&amp;('Resource Planner'!$G$42+(32-1)*'Resource Planner'!$I$42)&amp;IF(('Resource Planner'!$G$42+(32-1)*'Resource Planner'!$I$42)=MIN('Resource Planner'!$G$42+32*'Resource Planner'!$I$42-1,'Resource Planner'!$H$42),"","–"&amp;MIN('Resource Planner'!$G$42+32*'Resource Planner'!$I$42-1,'Resource Planner'!$H$42)),"")</f>
        <v/>
      </c>
      <c r="G1636" s="163" t="s">
        <v>109</v>
      </c>
      <c r="H1636" s="163" t="str">
        <f>IF(AND('Resource Planner'!$A$42="☑",32&lt;='Resource Planner'!$N$42),'Resource Planner'!$M$42,"")</f>
        <v/>
      </c>
    </row>
    <row r="1637" ht="15.75" customHeight="1">
      <c r="A16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7" s="163" t="str">
        <f>IF(AND('Resource Planner'!$A$42="☑",33&lt;='Resource Planner'!$N$42),'Resource Planner'!$C$42,"")</f>
        <v/>
      </c>
      <c r="C1637" s="163" t="str">
        <f>IF(AND('Resource Planner'!$A$42="☑",33&lt;='Resource Planner'!$N$42),'Resource Planner'!$B$42,"")</f>
        <v/>
      </c>
      <c r="D1637" s="163" t="str">
        <f>IF(AND('Resource Planner'!$A$42="☑",33&lt;='Resource Planner'!$N$42),'Resource Planner'!$D$42,"")</f>
        <v/>
      </c>
      <c r="E1637" s="163" t="str">
        <f>IF(AND('Resource Planner'!$A$42="☑",33&lt;='Resource Planner'!$N$42),'Resource Planner'!$E$42,"")</f>
        <v/>
      </c>
      <c r="F1637" s="163" t="str">
        <f>IF(AND('Resource Planner'!$A$42="☑",33&lt;='Resource Planner'!$N$42),'Resource Planner'!$F$42&amp;" "&amp;('Resource Planner'!$G$42+(33-1)*'Resource Planner'!$I$42)&amp;IF(('Resource Planner'!$G$42+(33-1)*'Resource Planner'!$I$42)=MIN('Resource Planner'!$G$42+33*'Resource Planner'!$I$42-1,'Resource Planner'!$H$42),"","–"&amp;MIN('Resource Planner'!$G$42+33*'Resource Planner'!$I$42-1,'Resource Planner'!$H$42)),"")</f>
        <v/>
      </c>
      <c r="G1637" s="163" t="s">
        <v>109</v>
      </c>
      <c r="H1637" s="163" t="str">
        <f>IF(AND('Resource Planner'!$A$42="☑",33&lt;='Resource Planner'!$N$42),'Resource Planner'!$M$42,"")</f>
        <v/>
      </c>
    </row>
    <row r="1638" ht="15.75" customHeight="1">
      <c r="A16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8" s="163" t="str">
        <f>IF(AND('Resource Planner'!$A$42="☑",34&lt;='Resource Planner'!$N$42),'Resource Planner'!$C$42,"")</f>
        <v/>
      </c>
      <c r="C1638" s="163" t="str">
        <f>IF(AND('Resource Planner'!$A$42="☑",34&lt;='Resource Planner'!$N$42),'Resource Planner'!$B$42,"")</f>
        <v/>
      </c>
      <c r="D1638" s="163" t="str">
        <f>IF(AND('Resource Planner'!$A$42="☑",34&lt;='Resource Planner'!$N$42),'Resource Planner'!$D$42,"")</f>
        <v/>
      </c>
      <c r="E1638" s="163" t="str">
        <f>IF(AND('Resource Planner'!$A$42="☑",34&lt;='Resource Planner'!$N$42),'Resource Planner'!$E$42,"")</f>
        <v/>
      </c>
      <c r="F1638" s="163" t="str">
        <f>IF(AND('Resource Planner'!$A$42="☑",34&lt;='Resource Planner'!$N$42),'Resource Planner'!$F$42&amp;" "&amp;('Resource Planner'!$G$42+(34-1)*'Resource Planner'!$I$42)&amp;IF(('Resource Planner'!$G$42+(34-1)*'Resource Planner'!$I$42)=MIN('Resource Planner'!$G$42+34*'Resource Planner'!$I$42-1,'Resource Planner'!$H$42),"","–"&amp;MIN('Resource Planner'!$G$42+34*'Resource Planner'!$I$42-1,'Resource Planner'!$H$42)),"")</f>
        <v/>
      </c>
      <c r="G1638" s="163" t="s">
        <v>109</v>
      </c>
      <c r="H1638" s="163" t="str">
        <f>IF(AND('Resource Planner'!$A$42="☑",34&lt;='Resource Planner'!$N$42),'Resource Planner'!$M$42,"")</f>
        <v/>
      </c>
    </row>
    <row r="1639" ht="15.75" customHeight="1">
      <c r="A16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39" s="163" t="str">
        <f>IF(AND('Resource Planner'!$A$42="☑",35&lt;='Resource Planner'!$N$42),'Resource Planner'!$C$42,"")</f>
        <v/>
      </c>
      <c r="C1639" s="163" t="str">
        <f>IF(AND('Resource Planner'!$A$42="☑",35&lt;='Resource Planner'!$N$42),'Resource Planner'!$B$42,"")</f>
        <v/>
      </c>
      <c r="D1639" s="163" t="str">
        <f>IF(AND('Resource Planner'!$A$42="☑",35&lt;='Resource Planner'!$N$42),'Resource Planner'!$D$42,"")</f>
        <v/>
      </c>
      <c r="E1639" s="163" t="str">
        <f>IF(AND('Resource Planner'!$A$42="☑",35&lt;='Resource Planner'!$N$42),'Resource Planner'!$E$42,"")</f>
        <v/>
      </c>
      <c r="F1639" s="163" t="str">
        <f>IF(AND('Resource Planner'!$A$42="☑",35&lt;='Resource Planner'!$N$42),'Resource Planner'!$F$42&amp;" "&amp;('Resource Planner'!$G$42+(35-1)*'Resource Planner'!$I$42)&amp;IF(('Resource Planner'!$G$42+(35-1)*'Resource Planner'!$I$42)=MIN('Resource Planner'!$G$42+35*'Resource Planner'!$I$42-1,'Resource Planner'!$H$42),"","–"&amp;MIN('Resource Planner'!$G$42+35*'Resource Planner'!$I$42-1,'Resource Planner'!$H$42)),"")</f>
        <v/>
      </c>
      <c r="G1639" s="163" t="s">
        <v>109</v>
      </c>
      <c r="H1639" s="163" t="str">
        <f>IF(AND('Resource Planner'!$A$42="☑",35&lt;='Resource Planner'!$N$42),'Resource Planner'!$M$42,"")</f>
        <v/>
      </c>
    </row>
    <row r="1640" ht="15.75" customHeight="1">
      <c r="A16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0" s="163" t="str">
        <f>IF(AND('Resource Planner'!$A$42="☑",36&lt;='Resource Planner'!$N$42),'Resource Planner'!$C$42,"")</f>
        <v/>
      </c>
      <c r="C1640" s="163" t="str">
        <f>IF(AND('Resource Planner'!$A$42="☑",36&lt;='Resource Planner'!$N$42),'Resource Planner'!$B$42,"")</f>
        <v/>
      </c>
      <c r="D1640" s="163" t="str">
        <f>IF(AND('Resource Planner'!$A$42="☑",36&lt;='Resource Planner'!$N$42),'Resource Planner'!$D$42,"")</f>
        <v/>
      </c>
      <c r="E1640" s="163" t="str">
        <f>IF(AND('Resource Planner'!$A$42="☑",36&lt;='Resource Planner'!$N$42),'Resource Planner'!$E$42,"")</f>
        <v/>
      </c>
      <c r="F1640" s="163" t="str">
        <f>IF(AND('Resource Planner'!$A$42="☑",36&lt;='Resource Planner'!$N$42),'Resource Planner'!$F$42&amp;" "&amp;('Resource Planner'!$G$42+(36-1)*'Resource Planner'!$I$42)&amp;IF(('Resource Planner'!$G$42+(36-1)*'Resource Planner'!$I$42)=MIN('Resource Planner'!$G$42+36*'Resource Planner'!$I$42-1,'Resource Planner'!$H$42),"","–"&amp;MIN('Resource Planner'!$G$42+36*'Resource Planner'!$I$42-1,'Resource Planner'!$H$42)),"")</f>
        <v/>
      </c>
      <c r="G1640" s="163" t="s">
        <v>109</v>
      </c>
      <c r="H1640" s="163" t="str">
        <f>IF(AND('Resource Planner'!$A$42="☑",36&lt;='Resource Planner'!$N$42),'Resource Planner'!$M$42,"")</f>
        <v/>
      </c>
    </row>
    <row r="1641" ht="15.75" customHeight="1">
      <c r="A16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1" s="163" t="str">
        <f>IF(AND('Resource Planner'!$A$42="☑",37&lt;='Resource Planner'!$N$42),'Resource Planner'!$C$42,"")</f>
        <v/>
      </c>
      <c r="C1641" s="163" t="str">
        <f>IF(AND('Resource Planner'!$A$42="☑",37&lt;='Resource Planner'!$N$42),'Resource Planner'!$B$42,"")</f>
        <v/>
      </c>
      <c r="D1641" s="163" t="str">
        <f>IF(AND('Resource Planner'!$A$42="☑",37&lt;='Resource Planner'!$N$42),'Resource Planner'!$D$42,"")</f>
        <v/>
      </c>
      <c r="E1641" s="163" t="str">
        <f>IF(AND('Resource Planner'!$A$42="☑",37&lt;='Resource Planner'!$N$42),'Resource Planner'!$E$42,"")</f>
        <v/>
      </c>
      <c r="F1641" s="163" t="str">
        <f>IF(AND('Resource Planner'!$A$42="☑",37&lt;='Resource Planner'!$N$42),'Resource Planner'!$F$42&amp;" "&amp;('Resource Planner'!$G$42+(37-1)*'Resource Planner'!$I$42)&amp;IF(('Resource Planner'!$G$42+(37-1)*'Resource Planner'!$I$42)=MIN('Resource Planner'!$G$42+37*'Resource Planner'!$I$42-1,'Resource Planner'!$H$42),"","–"&amp;MIN('Resource Planner'!$G$42+37*'Resource Planner'!$I$42-1,'Resource Planner'!$H$42)),"")</f>
        <v/>
      </c>
      <c r="G1641" s="163" t="s">
        <v>109</v>
      </c>
      <c r="H1641" s="163" t="str">
        <f>IF(AND('Resource Planner'!$A$42="☑",37&lt;='Resource Planner'!$N$42),'Resource Planner'!$M$42,"")</f>
        <v/>
      </c>
    </row>
    <row r="1642" ht="15.75" customHeight="1">
      <c r="A16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2" s="163" t="str">
        <f>IF(AND('Resource Planner'!$A$42="☑",38&lt;='Resource Planner'!$N$42),'Resource Planner'!$C$42,"")</f>
        <v/>
      </c>
      <c r="C1642" s="163" t="str">
        <f>IF(AND('Resource Planner'!$A$42="☑",38&lt;='Resource Planner'!$N$42),'Resource Planner'!$B$42,"")</f>
        <v/>
      </c>
      <c r="D1642" s="163" t="str">
        <f>IF(AND('Resource Planner'!$A$42="☑",38&lt;='Resource Planner'!$N$42),'Resource Planner'!$D$42,"")</f>
        <v/>
      </c>
      <c r="E1642" s="163" t="str">
        <f>IF(AND('Resource Planner'!$A$42="☑",38&lt;='Resource Planner'!$N$42),'Resource Planner'!$E$42,"")</f>
        <v/>
      </c>
      <c r="F1642" s="163" t="str">
        <f>IF(AND('Resource Planner'!$A$42="☑",38&lt;='Resource Planner'!$N$42),'Resource Planner'!$F$42&amp;" "&amp;('Resource Planner'!$G$42+(38-1)*'Resource Planner'!$I$42)&amp;IF(('Resource Planner'!$G$42+(38-1)*'Resource Planner'!$I$42)=MIN('Resource Planner'!$G$42+38*'Resource Planner'!$I$42-1,'Resource Planner'!$H$42),"","–"&amp;MIN('Resource Planner'!$G$42+38*'Resource Planner'!$I$42-1,'Resource Planner'!$H$42)),"")</f>
        <v/>
      </c>
      <c r="G1642" s="163" t="s">
        <v>109</v>
      </c>
      <c r="H1642" s="163" t="str">
        <f>IF(AND('Resource Planner'!$A$42="☑",38&lt;='Resource Planner'!$N$42),'Resource Planner'!$M$42,"")</f>
        <v/>
      </c>
    </row>
    <row r="1643" ht="15.75" customHeight="1">
      <c r="A16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3" s="163" t="str">
        <f>IF(AND('Resource Planner'!$A$42="☑",39&lt;='Resource Planner'!$N$42),'Resource Planner'!$C$42,"")</f>
        <v/>
      </c>
      <c r="C1643" s="163" t="str">
        <f>IF(AND('Resource Planner'!$A$42="☑",39&lt;='Resource Planner'!$N$42),'Resource Planner'!$B$42,"")</f>
        <v/>
      </c>
      <c r="D1643" s="163" t="str">
        <f>IF(AND('Resource Planner'!$A$42="☑",39&lt;='Resource Planner'!$N$42),'Resource Planner'!$D$42,"")</f>
        <v/>
      </c>
      <c r="E1643" s="163" t="str">
        <f>IF(AND('Resource Planner'!$A$42="☑",39&lt;='Resource Planner'!$N$42),'Resource Planner'!$E$42,"")</f>
        <v/>
      </c>
      <c r="F1643" s="163" t="str">
        <f>IF(AND('Resource Planner'!$A$42="☑",39&lt;='Resource Planner'!$N$42),'Resource Planner'!$F$42&amp;" "&amp;('Resource Planner'!$G$42+(39-1)*'Resource Planner'!$I$42)&amp;IF(('Resource Planner'!$G$42+(39-1)*'Resource Planner'!$I$42)=MIN('Resource Planner'!$G$42+39*'Resource Planner'!$I$42-1,'Resource Planner'!$H$42),"","–"&amp;MIN('Resource Planner'!$G$42+39*'Resource Planner'!$I$42-1,'Resource Planner'!$H$42)),"")</f>
        <v/>
      </c>
      <c r="G1643" s="163" t="s">
        <v>109</v>
      </c>
      <c r="H1643" s="163" t="str">
        <f>IF(AND('Resource Planner'!$A$42="☑",39&lt;='Resource Planner'!$N$42),'Resource Planner'!$M$42,"")</f>
        <v/>
      </c>
    </row>
    <row r="1644" ht="15.75" customHeight="1">
      <c r="A16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4" s="163" t="str">
        <f>IF(AND('Resource Planner'!$A$42="☑",40&lt;='Resource Planner'!$N$42),'Resource Planner'!$C$42,"")</f>
        <v/>
      </c>
      <c r="C1644" s="163" t="str">
        <f>IF(AND('Resource Planner'!$A$42="☑",40&lt;='Resource Planner'!$N$42),'Resource Planner'!$B$42,"")</f>
        <v/>
      </c>
      <c r="D1644" s="163" t="str">
        <f>IF(AND('Resource Planner'!$A$42="☑",40&lt;='Resource Planner'!$N$42),'Resource Planner'!$D$42,"")</f>
        <v/>
      </c>
      <c r="E1644" s="163" t="str">
        <f>IF(AND('Resource Planner'!$A$42="☑",40&lt;='Resource Planner'!$N$42),'Resource Planner'!$E$42,"")</f>
        <v/>
      </c>
      <c r="F1644" s="163" t="str">
        <f>IF(AND('Resource Planner'!$A$42="☑",40&lt;='Resource Planner'!$N$42),'Resource Planner'!$F$42&amp;" "&amp;('Resource Planner'!$G$42+(40-1)*'Resource Planner'!$I$42)&amp;IF(('Resource Planner'!$G$42+(40-1)*'Resource Planner'!$I$42)=MIN('Resource Planner'!$G$42+40*'Resource Planner'!$I$42-1,'Resource Planner'!$H$42),"","–"&amp;MIN('Resource Planner'!$G$42+40*'Resource Planner'!$I$42-1,'Resource Planner'!$H$42)),"")</f>
        <v/>
      </c>
      <c r="G1644" s="163" t="s">
        <v>109</v>
      </c>
      <c r="H1644" s="163" t="str">
        <f>IF(AND('Resource Planner'!$A$42="☑",40&lt;='Resource Planner'!$N$42),'Resource Planner'!$M$42,"")</f>
        <v/>
      </c>
    </row>
    <row r="1645" ht="15.75" customHeight="1">
      <c r="A16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5" s="163" t="str">
        <f>IF(AND('Resource Planner'!$A$42="☑",41&lt;='Resource Planner'!$N$42),'Resource Planner'!$C$42,"")</f>
        <v/>
      </c>
      <c r="C1645" s="163" t="str">
        <f>IF(AND('Resource Planner'!$A$42="☑",41&lt;='Resource Planner'!$N$42),'Resource Planner'!$B$42,"")</f>
        <v/>
      </c>
      <c r="D1645" s="163" t="str">
        <f>IF(AND('Resource Planner'!$A$42="☑",41&lt;='Resource Planner'!$N$42),'Resource Planner'!$D$42,"")</f>
        <v/>
      </c>
      <c r="E1645" s="163" t="str">
        <f>IF(AND('Resource Planner'!$A$42="☑",41&lt;='Resource Planner'!$N$42),'Resource Planner'!$E$42,"")</f>
        <v/>
      </c>
      <c r="F1645" s="163" t="str">
        <f>IF(AND('Resource Planner'!$A$42="☑",41&lt;='Resource Planner'!$N$42),'Resource Planner'!$F$42&amp;" "&amp;('Resource Planner'!$G$42+(41-1)*'Resource Planner'!$I$42)&amp;IF(('Resource Planner'!$G$42+(41-1)*'Resource Planner'!$I$42)=MIN('Resource Planner'!$G$42+41*'Resource Planner'!$I$42-1,'Resource Planner'!$H$42),"","–"&amp;MIN('Resource Planner'!$G$42+41*'Resource Planner'!$I$42-1,'Resource Planner'!$H$42)),"")</f>
        <v/>
      </c>
      <c r="G1645" s="163" t="s">
        <v>109</v>
      </c>
      <c r="H1645" s="163" t="str">
        <f>IF(AND('Resource Planner'!$A$42="☑",41&lt;='Resource Planner'!$N$42),'Resource Planner'!$M$42,"")</f>
        <v/>
      </c>
    </row>
    <row r="1646" ht="15.75" customHeight="1">
      <c r="A16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6" s="163" t="str">
        <f>IF(AND('Resource Planner'!$A$42="☑",42&lt;='Resource Planner'!$N$42),'Resource Planner'!$C$42,"")</f>
        <v/>
      </c>
      <c r="C1646" s="163" t="str">
        <f>IF(AND('Resource Planner'!$A$42="☑",42&lt;='Resource Planner'!$N$42),'Resource Planner'!$B$42,"")</f>
        <v/>
      </c>
      <c r="D1646" s="163" t="str">
        <f>IF(AND('Resource Planner'!$A$42="☑",42&lt;='Resource Planner'!$N$42),'Resource Planner'!$D$42,"")</f>
        <v/>
      </c>
      <c r="E1646" s="163" t="str">
        <f>IF(AND('Resource Planner'!$A$42="☑",42&lt;='Resource Planner'!$N$42),'Resource Planner'!$E$42,"")</f>
        <v/>
      </c>
      <c r="F1646" s="163" t="str">
        <f>IF(AND('Resource Planner'!$A$42="☑",42&lt;='Resource Planner'!$N$42),'Resource Planner'!$F$42&amp;" "&amp;('Resource Planner'!$G$42+(42-1)*'Resource Planner'!$I$42)&amp;IF(('Resource Planner'!$G$42+(42-1)*'Resource Planner'!$I$42)=MIN('Resource Planner'!$G$42+42*'Resource Planner'!$I$42-1,'Resource Planner'!$H$42),"","–"&amp;MIN('Resource Planner'!$G$42+42*'Resource Planner'!$I$42-1,'Resource Planner'!$H$42)),"")</f>
        <v/>
      </c>
      <c r="G1646" s="163" t="s">
        <v>109</v>
      </c>
      <c r="H1646" s="163" t="str">
        <f>IF(AND('Resource Planner'!$A$42="☑",42&lt;='Resource Planner'!$N$42),'Resource Planner'!$M$42,"")</f>
        <v/>
      </c>
    </row>
    <row r="1647" ht="15.75" customHeight="1">
      <c r="A16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7" s="163" t="str">
        <f>IF(AND('Resource Planner'!$A$42="☑",43&lt;='Resource Planner'!$N$42),'Resource Planner'!$C$42,"")</f>
        <v/>
      </c>
      <c r="C1647" s="163" t="str">
        <f>IF(AND('Resource Planner'!$A$42="☑",43&lt;='Resource Planner'!$N$42),'Resource Planner'!$B$42,"")</f>
        <v/>
      </c>
      <c r="D1647" s="163" t="str">
        <f>IF(AND('Resource Planner'!$A$42="☑",43&lt;='Resource Planner'!$N$42),'Resource Planner'!$D$42,"")</f>
        <v/>
      </c>
      <c r="E1647" s="163" t="str">
        <f>IF(AND('Resource Planner'!$A$42="☑",43&lt;='Resource Planner'!$N$42),'Resource Planner'!$E$42,"")</f>
        <v/>
      </c>
      <c r="F1647" s="163" t="str">
        <f>IF(AND('Resource Planner'!$A$42="☑",43&lt;='Resource Planner'!$N$42),'Resource Planner'!$F$42&amp;" "&amp;('Resource Planner'!$G$42+(43-1)*'Resource Planner'!$I$42)&amp;IF(('Resource Planner'!$G$42+(43-1)*'Resource Planner'!$I$42)=MIN('Resource Planner'!$G$42+43*'Resource Planner'!$I$42-1,'Resource Planner'!$H$42),"","–"&amp;MIN('Resource Planner'!$G$42+43*'Resource Planner'!$I$42-1,'Resource Planner'!$H$42)),"")</f>
        <v/>
      </c>
      <c r="G1647" s="163" t="s">
        <v>109</v>
      </c>
      <c r="H1647" s="163" t="str">
        <f>IF(AND('Resource Planner'!$A$42="☑",43&lt;='Resource Planner'!$N$42),'Resource Planner'!$M$42,"")</f>
        <v/>
      </c>
    </row>
    <row r="1648" ht="15.75" customHeight="1">
      <c r="A16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8" s="163" t="str">
        <f>IF(AND('Resource Planner'!$A$42="☑",44&lt;='Resource Planner'!$N$42),'Resource Planner'!$C$42,"")</f>
        <v/>
      </c>
      <c r="C1648" s="163" t="str">
        <f>IF(AND('Resource Planner'!$A$42="☑",44&lt;='Resource Planner'!$N$42),'Resource Planner'!$B$42,"")</f>
        <v/>
      </c>
      <c r="D1648" s="163" t="str">
        <f>IF(AND('Resource Planner'!$A$42="☑",44&lt;='Resource Planner'!$N$42),'Resource Planner'!$D$42,"")</f>
        <v/>
      </c>
      <c r="E1648" s="163" t="str">
        <f>IF(AND('Resource Planner'!$A$42="☑",44&lt;='Resource Planner'!$N$42),'Resource Planner'!$E$42,"")</f>
        <v/>
      </c>
      <c r="F1648" s="163" t="str">
        <f>IF(AND('Resource Planner'!$A$42="☑",44&lt;='Resource Planner'!$N$42),'Resource Planner'!$F$42&amp;" "&amp;('Resource Planner'!$G$42+(44-1)*'Resource Planner'!$I$42)&amp;IF(('Resource Planner'!$G$42+(44-1)*'Resource Planner'!$I$42)=MIN('Resource Planner'!$G$42+44*'Resource Planner'!$I$42-1,'Resource Planner'!$H$42),"","–"&amp;MIN('Resource Planner'!$G$42+44*'Resource Planner'!$I$42-1,'Resource Planner'!$H$42)),"")</f>
        <v/>
      </c>
      <c r="G1648" s="163" t="s">
        <v>109</v>
      </c>
      <c r="H1648" s="163" t="str">
        <f>IF(AND('Resource Planner'!$A$42="☑",44&lt;='Resource Planner'!$N$42),'Resource Planner'!$M$42,"")</f>
        <v/>
      </c>
    </row>
    <row r="1649" ht="15.75" customHeight="1">
      <c r="A16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49" s="163" t="str">
        <f>IF(AND('Resource Planner'!$A$42="☑",45&lt;='Resource Planner'!$N$42),'Resource Planner'!$C$42,"")</f>
        <v/>
      </c>
      <c r="C1649" s="163" t="str">
        <f>IF(AND('Resource Planner'!$A$42="☑",45&lt;='Resource Planner'!$N$42),'Resource Planner'!$B$42,"")</f>
        <v/>
      </c>
      <c r="D1649" s="163" t="str">
        <f>IF(AND('Resource Planner'!$A$42="☑",45&lt;='Resource Planner'!$N$42),'Resource Planner'!$D$42,"")</f>
        <v/>
      </c>
      <c r="E1649" s="163" t="str">
        <f>IF(AND('Resource Planner'!$A$42="☑",45&lt;='Resource Planner'!$N$42),'Resource Planner'!$E$42,"")</f>
        <v/>
      </c>
      <c r="F1649" s="163" t="str">
        <f>IF(AND('Resource Planner'!$A$42="☑",45&lt;='Resource Planner'!$N$42),'Resource Planner'!$F$42&amp;" "&amp;('Resource Planner'!$G$42+(45-1)*'Resource Planner'!$I$42)&amp;IF(('Resource Planner'!$G$42+(45-1)*'Resource Planner'!$I$42)=MIN('Resource Planner'!$G$42+45*'Resource Planner'!$I$42-1,'Resource Planner'!$H$42),"","–"&amp;MIN('Resource Planner'!$G$42+45*'Resource Planner'!$I$42-1,'Resource Planner'!$H$42)),"")</f>
        <v/>
      </c>
      <c r="G1649" s="163" t="s">
        <v>109</v>
      </c>
      <c r="H1649" s="163" t="str">
        <f>IF(AND('Resource Planner'!$A$42="☑",45&lt;='Resource Planner'!$N$42),'Resource Planner'!$M$42,"")</f>
        <v/>
      </c>
    </row>
    <row r="1650" ht="15.75" customHeight="1">
      <c r="A16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0" s="163" t="str">
        <f>IF(AND('Resource Planner'!$A$42="☑",46&lt;='Resource Planner'!$N$42),'Resource Planner'!$C$42,"")</f>
        <v/>
      </c>
      <c r="C1650" s="163" t="str">
        <f>IF(AND('Resource Planner'!$A$42="☑",46&lt;='Resource Planner'!$N$42),'Resource Planner'!$B$42,"")</f>
        <v/>
      </c>
      <c r="D1650" s="163" t="str">
        <f>IF(AND('Resource Planner'!$A$42="☑",46&lt;='Resource Planner'!$N$42),'Resource Planner'!$D$42,"")</f>
        <v/>
      </c>
      <c r="E1650" s="163" t="str">
        <f>IF(AND('Resource Planner'!$A$42="☑",46&lt;='Resource Planner'!$N$42),'Resource Planner'!$E$42,"")</f>
        <v/>
      </c>
      <c r="F1650" s="163" t="str">
        <f>IF(AND('Resource Planner'!$A$42="☑",46&lt;='Resource Planner'!$N$42),'Resource Planner'!$F$42&amp;" "&amp;('Resource Planner'!$G$42+(46-1)*'Resource Planner'!$I$42)&amp;IF(('Resource Planner'!$G$42+(46-1)*'Resource Planner'!$I$42)=MIN('Resource Planner'!$G$42+46*'Resource Planner'!$I$42-1,'Resource Planner'!$H$42),"","–"&amp;MIN('Resource Planner'!$G$42+46*'Resource Planner'!$I$42-1,'Resource Planner'!$H$42)),"")</f>
        <v/>
      </c>
      <c r="G1650" s="163" t="s">
        <v>109</v>
      </c>
      <c r="H1650" s="163" t="str">
        <f>IF(AND('Resource Planner'!$A$42="☑",46&lt;='Resource Planner'!$N$42),'Resource Planner'!$M$42,"")</f>
        <v/>
      </c>
    </row>
    <row r="1651" ht="15.75" customHeight="1">
      <c r="A16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1" s="163" t="str">
        <f>IF(AND('Resource Planner'!$A$42="☑",47&lt;='Resource Planner'!$N$42),'Resource Planner'!$C$42,"")</f>
        <v/>
      </c>
      <c r="C1651" s="163" t="str">
        <f>IF(AND('Resource Planner'!$A$42="☑",47&lt;='Resource Planner'!$N$42),'Resource Planner'!$B$42,"")</f>
        <v/>
      </c>
      <c r="D1651" s="163" t="str">
        <f>IF(AND('Resource Planner'!$A$42="☑",47&lt;='Resource Planner'!$N$42),'Resource Planner'!$D$42,"")</f>
        <v/>
      </c>
      <c r="E1651" s="163" t="str">
        <f>IF(AND('Resource Planner'!$A$42="☑",47&lt;='Resource Planner'!$N$42),'Resource Planner'!$E$42,"")</f>
        <v/>
      </c>
      <c r="F1651" s="163" t="str">
        <f>IF(AND('Resource Planner'!$A$42="☑",47&lt;='Resource Planner'!$N$42),'Resource Planner'!$F$42&amp;" "&amp;('Resource Planner'!$G$42+(47-1)*'Resource Planner'!$I$42)&amp;IF(('Resource Planner'!$G$42+(47-1)*'Resource Planner'!$I$42)=MIN('Resource Planner'!$G$42+47*'Resource Planner'!$I$42-1,'Resource Planner'!$H$42),"","–"&amp;MIN('Resource Planner'!$G$42+47*'Resource Planner'!$I$42-1,'Resource Planner'!$H$42)),"")</f>
        <v/>
      </c>
      <c r="G1651" s="163" t="s">
        <v>109</v>
      </c>
      <c r="H1651" s="163" t="str">
        <f>IF(AND('Resource Planner'!$A$42="☑",47&lt;='Resource Planner'!$N$42),'Resource Planner'!$M$42,"")</f>
        <v/>
      </c>
    </row>
    <row r="1652" ht="15.75" customHeight="1">
      <c r="A16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2" s="163" t="str">
        <f>IF(AND('Resource Planner'!$A$42="☑",48&lt;='Resource Planner'!$N$42),'Resource Planner'!$C$42,"")</f>
        <v/>
      </c>
      <c r="C1652" s="163" t="str">
        <f>IF(AND('Resource Planner'!$A$42="☑",48&lt;='Resource Planner'!$N$42),'Resource Planner'!$B$42,"")</f>
        <v/>
      </c>
      <c r="D1652" s="163" t="str">
        <f>IF(AND('Resource Planner'!$A$42="☑",48&lt;='Resource Planner'!$N$42),'Resource Planner'!$D$42,"")</f>
        <v/>
      </c>
      <c r="E1652" s="163" t="str">
        <f>IF(AND('Resource Planner'!$A$42="☑",48&lt;='Resource Planner'!$N$42),'Resource Planner'!$E$42,"")</f>
        <v/>
      </c>
      <c r="F1652" s="163" t="str">
        <f>IF(AND('Resource Planner'!$A$42="☑",48&lt;='Resource Planner'!$N$42),'Resource Planner'!$F$42&amp;" "&amp;('Resource Planner'!$G$42+(48-1)*'Resource Planner'!$I$42)&amp;IF(('Resource Planner'!$G$42+(48-1)*'Resource Planner'!$I$42)=MIN('Resource Planner'!$G$42+48*'Resource Planner'!$I$42-1,'Resource Planner'!$H$42),"","–"&amp;MIN('Resource Planner'!$G$42+48*'Resource Planner'!$I$42-1,'Resource Planner'!$H$42)),"")</f>
        <v/>
      </c>
      <c r="G1652" s="163" t="s">
        <v>109</v>
      </c>
      <c r="H1652" s="163" t="str">
        <f>IF(AND('Resource Planner'!$A$42="☑",48&lt;='Resource Planner'!$N$42),'Resource Planner'!$M$42,"")</f>
        <v/>
      </c>
    </row>
    <row r="1653" ht="15.75" customHeight="1">
      <c r="A16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3" s="163" t="str">
        <f>IF(AND('Resource Planner'!$A$42="☑",49&lt;='Resource Planner'!$N$42),'Resource Planner'!$C$42,"")</f>
        <v/>
      </c>
      <c r="C1653" s="163" t="str">
        <f>IF(AND('Resource Planner'!$A$42="☑",49&lt;='Resource Planner'!$N$42),'Resource Planner'!$B$42,"")</f>
        <v/>
      </c>
      <c r="D1653" s="163" t="str">
        <f>IF(AND('Resource Planner'!$A$42="☑",49&lt;='Resource Planner'!$N$42),'Resource Planner'!$D$42,"")</f>
        <v/>
      </c>
      <c r="E1653" s="163" t="str">
        <f>IF(AND('Resource Planner'!$A$42="☑",49&lt;='Resource Planner'!$N$42),'Resource Planner'!$E$42,"")</f>
        <v/>
      </c>
      <c r="F1653" s="163" t="str">
        <f>IF(AND('Resource Planner'!$A$42="☑",49&lt;='Resource Planner'!$N$42),'Resource Planner'!$F$42&amp;" "&amp;('Resource Planner'!$G$42+(49-1)*'Resource Planner'!$I$42)&amp;IF(('Resource Planner'!$G$42+(49-1)*'Resource Planner'!$I$42)=MIN('Resource Planner'!$G$42+49*'Resource Planner'!$I$42-1,'Resource Planner'!$H$42),"","–"&amp;MIN('Resource Planner'!$G$42+49*'Resource Planner'!$I$42-1,'Resource Planner'!$H$42)),"")</f>
        <v/>
      </c>
      <c r="G1653" s="163" t="s">
        <v>109</v>
      </c>
      <c r="H1653" s="163" t="str">
        <f>IF(AND('Resource Planner'!$A$42="☑",49&lt;='Resource Planner'!$N$42),'Resource Planner'!$M$42,"")</f>
        <v/>
      </c>
    </row>
    <row r="1654" ht="15.75" customHeight="1">
      <c r="A16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4" s="163" t="str">
        <f>IF(AND('Resource Planner'!$A$42="☑",50&lt;='Resource Planner'!$N$42),'Resource Planner'!$C$42,"")</f>
        <v/>
      </c>
      <c r="C1654" s="163" t="str">
        <f>IF(AND('Resource Planner'!$A$42="☑",50&lt;='Resource Planner'!$N$42),'Resource Planner'!$B$42,"")</f>
        <v/>
      </c>
      <c r="D1654" s="163" t="str">
        <f>IF(AND('Resource Planner'!$A$42="☑",50&lt;='Resource Planner'!$N$42),'Resource Planner'!$D$42,"")</f>
        <v/>
      </c>
      <c r="E1654" s="163" t="str">
        <f>IF(AND('Resource Planner'!$A$42="☑",50&lt;='Resource Planner'!$N$42),'Resource Planner'!$E$42,"")</f>
        <v/>
      </c>
      <c r="F1654" s="163" t="str">
        <f>IF(AND('Resource Planner'!$A$42="☑",50&lt;='Resource Planner'!$N$42),'Resource Planner'!$F$42&amp;" "&amp;('Resource Planner'!$G$42+(50-1)*'Resource Planner'!$I$42)&amp;IF(('Resource Planner'!$G$42+(50-1)*'Resource Planner'!$I$42)=MIN('Resource Planner'!$G$42+50*'Resource Planner'!$I$42-1,'Resource Planner'!$H$42),"","–"&amp;MIN('Resource Planner'!$G$42+50*'Resource Planner'!$I$42-1,'Resource Planner'!$H$42)),"")</f>
        <v/>
      </c>
      <c r="G1654" s="163" t="s">
        <v>109</v>
      </c>
      <c r="H1654" s="163" t="str">
        <f>IF(AND('Resource Planner'!$A$42="☑",50&lt;='Resource Planner'!$N$42),'Resource Planner'!$M$42,"")</f>
        <v/>
      </c>
    </row>
    <row r="1655" ht="15.75" customHeight="1">
      <c r="A16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5" s="163" t="str">
        <f>IF(AND('Resource Planner'!$A$43="☑",1&lt;='Resource Planner'!$N$43),'Resource Planner'!$C$43,"")</f>
        <v/>
      </c>
      <c r="C1655" s="163" t="str">
        <f>IF(AND('Resource Planner'!$A$43="☑",1&lt;='Resource Planner'!$N$43),'Resource Planner'!$B$43,"")</f>
        <v/>
      </c>
      <c r="D1655" s="163" t="str">
        <f>IF(AND('Resource Planner'!$A$43="☑",1&lt;='Resource Planner'!$N$43),'Resource Planner'!$D$43,"")</f>
        <v/>
      </c>
      <c r="E1655" s="163" t="str">
        <f>IF(AND('Resource Planner'!$A$43="☑",1&lt;='Resource Planner'!$N$43),'Resource Planner'!$E$43,"")</f>
        <v/>
      </c>
      <c r="F1655" s="163" t="str">
        <f>IF(AND('Resource Planner'!$A$43="☑",1&lt;='Resource Planner'!$N$43),'Resource Planner'!$F$43&amp;" "&amp;('Resource Planner'!$G$43+(1-1)*'Resource Planner'!$I$43)&amp;IF(('Resource Planner'!$G$43+(1-1)*'Resource Planner'!$I$43)=MIN('Resource Planner'!$G$43+1*'Resource Planner'!$I$43-1,'Resource Planner'!$H$43),"","–"&amp;MIN('Resource Planner'!$G$43+1*'Resource Planner'!$I$43-1,'Resource Planner'!$H$43)),"")</f>
        <v/>
      </c>
      <c r="G1655" s="163" t="s">
        <v>109</v>
      </c>
      <c r="H1655" s="163" t="str">
        <f>IF(AND('Resource Planner'!$A$43="☑",1&lt;='Resource Planner'!$N$43),'Resource Planner'!$M$43,"")</f>
        <v/>
      </c>
    </row>
    <row r="1656" ht="15.75" customHeight="1">
      <c r="A16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6" s="163" t="str">
        <f>IF(AND('Resource Planner'!$A$43="☑",2&lt;='Resource Planner'!$N$43),'Resource Planner'!$C$43,"")</f>
        <v/>
      </c>
      <c r="C1656" s="163" t="str">
        <f>IF(AND('Resource Planner'!$A$43="☑",2&lt;='Resource Planner'!$N$43),'Resource Planner'!$B$43,"")</f>
        <v/>
      </c>
      <c r="D1656" s="163" t="str">
        <f>IF(AND('Resource Planner'!$A$43="☑",2&lt;='Resource Planner'!$N$43),'Resource Planner'!$D$43,"")</f>
        <v/>
      </c>
      <c r="E1656" s="163" t="str">
        <f>IF(AND('Resource Planner'!$A$43="☑",2&lt;='Resource Planner'!$N$43),'Resource Planner'!$E$43,"")</f>
        <v/>
      </c>
      <c r="F1656" s="163" t="str">
        <f>IF(AND('Resource Planner'!$A$43="☑",2&lt;='Resource Planner'!$N$43),'Resource Planner'!$F$43&amp;" "&amp;('Resource Planner'!$G$43+(2-1)*'Resource Planner'!$I$43)&amp;IF(('Resource Planner'!$G$43+(2-1)*'Resource Planner'!$I$43)=MIN('Resource Planner'!$G$43+2*'Resource Planner'!$I$43-1,'Resource Planner'!$H$43),"","–"&amp;MIN('Resource Planner'!$G$43+2*'Resource Planner'!$I$43-1,'Resource Planner'!$H$43)),"")</f>
        <v/>
      </c>
      <c r="G1656" s="163" t="s">
        <v>109</v>
      </c>
      <c r="H1656" s="163" t="str">
        <f>IF(AND('Resource Planner'!$A$43="☑",2&lt;='Resource Planner'!$N$43),'Resource Planner'!$M$43,"")</f>
        <v/>
      </c>
    </row>
    <row r="1657" ht="15.75" customHeight="1">
      <c r="A16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7" s="163" t="str">
        <f>IF(AND('Resource Planner'!$A$43="☑",3&lt;='Resource Planner'!$N$43),'Resource Planner'!$C$43,"")</f>
        <v/>
      </c>
      <c r="C1657" s="163" t="str">
        <f>IF(AND('Resource Planner'!$A$43="☑",3&lt;='Resource Planner'!$N$43),'Resource Planner'!$B$43,"")</f>
        <v/>
      </c>
      <c r="D1657" s="163" t="str">
        <f>IF(AND('Resource Planner'!$A$43="☑",3&lt;='Resource Planner'!$N$43),'Resource Planner'!$D$43,"")</f>
        <v/>
      </c>
      <c r="E1657" s="163" t="str">
        <f>IF(AND('Resource Planner'!$A$43="☑",3&lt;='Resource Planner'!$N$43),'Resource Planner'!$E$43,"")</f>
        <v/>
      </c>
      <c r="F1657" s="163" t="str">
        <f>IF(AND('Resource Planner'!$A$43="☑",3&lt;='Resource Planner'!$N$43),'Resource Planner'!$F$43&amp;" "&amp;('Resource Planner'!$G$43+(3-1)*'Resource Planner'!$I$43)&amp;IF(('Resource Planner'!$G$43+(3-1)*'Resource Planner'!$I$43)=MIN('Resource Planner'!$G$43+3*'Resource Planner'!$I$43-1,'Resource Planner'!$H$43),"","–"&amp;MIN('Resource Planner'!$G$43+3*'Resource Planner'!$I$43-1,'Resource Planner'!$H$43)),"")</f>
        <v/>
      </c>
      <c r="G1657" s="163" t="s">
        <v>109</v>
      </c>
      <c r="H1657" s="163" t="str">
        <f>IF(AND('Resource Planner'!$A$43="☑",3&lt;='Resource Planner'!$N$43),'Resource Planner'!$M$43,"")</f>
        <v/>
      </c>
    </row>
    <row r="1658" ht="15.75" customHeight="1">
      <c r="A16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8" s="163" t="str">
        <f>IF(AND('Resource Planner'!$A$43="☑",4&lt;='Resource Planner'!$N$43),'Resource Planner'!$C$43,"")</f>
        <v/>
      </c>
      <c r="C1658" s="163" t="str">
        <f>IF(AND('Resource Planner'!$A$43="☑",4&lt;='Resource Planner'!$N$43),'Resource Planner'!$B$43,"")</f>
        <v/>
      </c>
      <c r="D1658" s="163" t="str">
        <f>IF(AND('Resource Planner'!$A$43="☑",4&lt;='Resource Planner'!$N$43),'Resource Planner'!$D$43,"")</f>
        <v/>
      </c>
      <c r="E1658" s="163" t="str">
        <f>IF(AND('Resource Planner'!$A$43="☑",4&lt;='Resource Planner'!$N$43),'Resource Planner'!$E$43,"")</f>
        <v/>
      </c>
      <c r="F1658" s="163" t="str">
        <f>IF(AND('Resource Planner'!$A$43="☑",4&lt;='Resource Planner'!$N$43),'Resource Planner'!$F$43&amp;" "&amp;('Resource Planner'!$G$43+(4-1)*'Resource Planner'!$I$43)&amp;IF(('Resource Planner'!$G$43+(4-1)*'Resource Planner'!$I$43)=MIN('Resource Planner'!$G$43+4*'Resource Planner'!$I$43-1,'Resource Planner'!$H$43),"","–"&amp;MIN('Resource Planner'!$G$43+4*'Resource Planner'!$I$43-1,'Resource Planner'!$H$43)),"")</f>
        <v/>
      </c>
      <c r="G1658" s="163" t="s">
        <v>109</v>
      </c>
      <c r="H1658" s="163" t="str">
        <f>IF(AND('Resource Planner'!$A$43="☑",4&lt;='Resource Planner'!$N$43),'Resource Planner'!$M$43,"")</f>
        <v/>
      </c>
    </row>
    <row r="1659" ht="15.75" customHeight="1">
      <c r="A16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59" s="163" t="str">
        <f>IF(AND('Resource Planner'!$A$43="☑",5&lt;='Resource Planner'!$N$43),'Resource Planner'!$C$43,"")</f>
        <v/>
      </c>
      <c r="C1659" s="163" t="str">
        <f>IF(AND('Resource Planner'!$A$43="☑",5&lt;='Resource Planner'!$N$43),'Resource Planner'!$B$43,"")</f>
        <v/>
      </c>
      <c r="D1659" s="163" t="str">
        <f>IF(AND('Resource Planner'!$A$43="☑",5&lt;='Resource Planner'!$N$43),'Resource Planner'!$D$43,"")</f>
        <v/>
      </c>
      <c r="E1659" s="163" t="str">
        <f>IF(AND('Resource Planner'!$A$43="☑",5&lt;='Resource Planner'!$N$43),'Resource Planner'!$E$43,"")</f>
        <v/>
      </c>
      <c r="F1659" s="163" t="str">
        <f>IF(AND('Resource Planner'!$A$43="☑",5&lt;='Resource Planner'!$N$43),'Resource Planner'!$F$43&amp;" "&amp;('Resource Planner'!$G$43+(5-1)*'Resource Planner'!$I$43)&amp;IF(('Resource Planner'!$G$43+(5-1)*'Resource Planner'!$I$43)=MIN('Resource Planner'!$G$43+5*'Resource Planner'!$I$43-1,'Resource Planner'!$H$43),"","–"&amp;MIN('Resource Planner'!$G$43+5*'Resource Planner'!$I$43-1,'Resource Planner'!$H$43)),"")</f>
        <v/>
      </c>
      <c r="G1659" s="163" t="s">
        <v>109</v>
      </c>
      <c r="H1659" s="163" t="str">
        <f>IF(AND('Resource Planner'!$A$43="☑",5&lt;='Resource Planner'!$N$43),'Resource Planner'!$M$43,"")</f>
        <v/>
      </c>
    </row>
    <row r="1660" ht="15.75" customHeight="1">
      <c r="A16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0" s="163" t="str">
        <f>IF(AND('Resource Planner'!$A$43="☑",6&lt;='Resource Planner'!$N$43),'Resource Planner'!$C$43,"")</f>
        <v/>
      </c>
      <c r="C1660" s="163" t="str">
        <f>IF(AND('Resource Planner'!$A$43="☑",6&lt;='Resource Planner'!$N$43),'Resource Planner'!$B$43,"")</f>
        <v/>
      </c>
      <c r="D1660" s="163" t="str">
        <f>IF(AND('Resource Planner'!$A$43="☑",6&lt;='Resource Planner'!$N$43),'Resource Planner'!$D$43,"")</f>
        <v/>
      </c>
      <c r="E1660" s="163" t="str">
        <f>IF(AND('Resource Planner'!$A$43="☑",6&lt;='Resource Planner'!$N$43),'Resource Planner'!$E$43,"")</f>
        <v/>
      </c>
      <c r="F1660" s="163" t="str">
        <f>IF(AND('Resource Planner'!$A$43="☑",6&lt;='Resource Planner'!$N$43),'Resource Planner'!$F$43&amp;" "&amp;('Resource Planner'!$G$43+(6-1)*'Resource Planner'!$I$43)&amp;IF(('Resource Planner'!$G$43+(6-1)*'Resource Planner'!$I$43)=MIN('Resource Planner'!$G$43+6*'Resource Planner'!$I$43-1,'Resource Planner'!$H$43),"","–"&amp;MIN('Resource Planner'!$G$43+6*'Resource Planner'!$I$43-1,'Resource Planner'!$H$43)),"")</f>
        <v/>
      </c>
      <c r="G1660" s="163" t="s">
        <v>109</v>
      </c>
      <c r="H1660" s="163" t="str">
        <f>IF(AND('Resource Planner'!$A$43="☑",6&lt;='Resource Planner'!$N$43),'Resource Planner'!$M$43,"")</f>
        <v/>
      </c>
    </row>
    <row r="1661" ht="15.75" customHeight="1">
      <c r="A16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1" s="163" t="str">
        <f>IF(AND('Resource Planner'!$A$43="☑",7&lt;='Resource Planner'!$N$43),'Resource Planner'!$C$43,"")</f>
        <v/>
      </c>
      <c r="C1661" s="163" t="str">
        <f>IF(AND('Resource Planner'!$A$43="☑",7&lt;='Resource Planner'!$N$43),'Resource Planner'!$B$43,"")</f>
        <v/>
      </c>
      <c r="D1661" s="163" t="str">
        <f>IF(AND('Resource Planner'!$A$43="☑",7&lt;='Resource Planner'!$N$43),'Resource Planner'!$D$43,"")</f>
        <v/>
      </c>
      <c r="E1661" s="163" t="str">
        <f>IF(AND('Resource Planner'!$A$43="☑",7&lt;='Resource Planner'!$N$43),'Resource Planner'!$E$43,"")</f>
        <v/>
      </c>
      <c r="F1661" s="163" t="str">
        <f>IF(AND('Resource Planner'!$A$43="☑",7&lt;='Resource Planner'!$N$43),'Resource Planner'!$F$43&amp;" "&amp;('Resource Planner'!$G$43+(7-1)*'Resource Planner'!$I$43)&amp;IF(('Resource Planner'!$G$43+(7-1)*'Resource Planner'!$I$43)=MIN('Resource Planner'!$G$43+7*'Resource Planner'!$I$43-1,'Resource Planner'!$H$43),"","–"&amp;MIN('Resource Planner'!$G$43+7*'Resource Planner'!$I$43-1,'Resource Planner'!$H$43)),"")</f>
        <v/>
      </c>
      <c r="G1661" s="163" t="s">
        <v>109</v>
      </c>
      <c r="H1661" s="163" t="str">
        <f>IF(AND('Resource Planner'!$A$43="☑",7&lt;='Resource Planner'!$N$43),'Resource Planner'!$M$43,"")</f>
        <v/>
      </c>
    </row>
    <row r="1662" ht="15.75" customHeight="1">
      <c r="A16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2" s="163" t="str">
        <f>IF(AND('Resource Planner'!$A$43="☑",8&lt;='Resource Planner'!$N$43),'Resource Planner'!$C$43,"")</f>
        <v/>
      </c>
      <c r="C1662" s="163" t="str">
        <f>IF(AND('Resource Planner'!$A$43="☑",8&lt;='Resource Planner'!$N$43),'Resource Planner'!$B$43,"")</f>
        <v/>
      </c>
      <c r="D1662" s="163" t="str">
        <f>IF(AND('Resource Planner'!$A$43="☑",8&lt;='Resource Planner'!$N$43),'Resource Planner'!$D$43,"")</f>
        <v/>
      </c>
      <c r="E1662" s="163" t="str">
        <f>IF(AND('Resource Planner'!$A$43="☑",8&lt;='Resource Planner'!$N$43),'Resource Planner'!$E$43,"")</f>
        <v/>
      </c>
      <c r="F1662" s="163" t="str">
        <f>IF(AND('Resource Planner'!$A$43="☑",8&lt;='Resource Planner'!$N$43),'Resource Planner'!$F$43&amp;" "&amp;('Resource Planner'!$G$43+(8-1)*'Resource Planner'!$I$43)&amp;IF(('Resource Planner'!$G$43+(8-1)*'Resource Planner'!$I$43)=MIN('Resource Planner'!$G$43+8*'Resource Planner'!$I$43-1,'Resource Planner'!$H$43),"","–"&amp;MIN('Resource Planner'!$G$43+8*'Resource Planner'!$I$43-1,'Resource Planner'!$H$43)),"")</f>
        <v/>
      </c>
      <c r="G1662" s="163" t="s">
        <v>109</v>
      </c>
      <c r="H1662" s="163" t="str">
        <f>IF(AND('Resource Planner'!$A$43="☑",8&lt;='Resource Planner'!$N$43),'Resource Planner'!$M$43,"")</f>
        <v/>
      </c>
    </row>
    <row r="1663" ht="15.75" customHeight="1">
      <c r="A16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3" s="163" t="str">
        <f>IF(AND('Resource Planner'!$A$43="☑",9&lt;='Resource Planner'!$N$43),'Resource Planner'!$C$43,"")</f>
        <v/>
      </c>
      <c r="C1663" s="163" t="str">
        <f>IF(AND('Resource Planner'!$A$43="☑",9&lt;='Resource Planner'!$N$43),'Resource Planner'!$B$43,"")</f>
        <v/>
      </c>
      <c r="D1663" s="163" t="str">
        <f>IF(AND('Resource Planner'!$A$43="☑",9&lt;='Resource Planner'!$N$43),'Resource Planner'!$D$43,"")</f>
        <v/>
      </c>
      <c r="E1663" s="163" t="str">
        <f>IF(AND('Resource Planner'!$A$43="☑",9&lt;='Resource Planner'!$N$43),'Resource Planner'!$E$43,"")</f>
        <v/>
      </c>
      <c r="F1663" s="163" t="str">
        <f>IF(AND('Resource Planner'!$A$43="☑",9&lt;='Resource Planner'!$N$43),'Resource Planner'!$F$43&amp;" "&amp;('Resource Planner'!$G$43+(9-1)*'Resource Planner'!$I$43)&amp;IF(('Resource Planner'!$G$43+(9-1)*'Resource Planner'!$I$43)=MIN('Resource Planner'!$G$43+9*'Resource Planner'!$I$43-1,'Resource Planner'!$H$43),"","–"&amp;MIN('Resource Planner'!$G$43+9*'Resource Planner'!$I$43-1,'Resource Planner'!$H$43)),"")</f>
        <v/>
      </c>
      <c r="G1663" s="163" t="s">
        <v>109</v>
      </c>
      <c r="H1663" s="163" t="str">
        <f>IF(AND('Resource Planner'!$A$43="☑",9&lt;='Resource Planner'!$N$43),'Resource Planner'!$M$43,"")</f>
        <v/>
      </c>
    </row>
    <row r="1664" ht="15.75" customHeight="1">
      <c r="A16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4" s="163" t="str">
        <f>IF(AND('Resource Planner'!$A$43="☑",10&lt;='Resource Planner'!$N$43),'Resource Planner'!$C$43,"")</f>
        <v/>
      </c>
      <c r="C1664" s="163" t="str">
        <f>IF(AND('Resource Planner'!$A$43="☑",10&lt;='Resource Planner'!$N$43),'Resource Planner'!$B$43,"")</f>
        <v/>
      </c>
      <c r="D1664" s="163" t="str">
        <f>IF(AND('Resource Planner'!$A$43="☑",10&lt;='Resource Planner'!$N$43),'Resource Planner'!$D$43,"")</f>
        <v/>
      </c>
      <c r="E1664" s="163" t="str">
        <f>IF(AND('Resource Planner'!$A$43="☑",10&lt;='Resource Planner'!$N$43),'Resource Planner'!$E$43,"")</f>
        <v/>
      </c>
      <c r="F1664" s="163" t="str">
        <f>IF(AND('Resource Planner'!$A$43="☑",10&lt;='Resource Planner'!$N$43),'Resource Planner'!$F$43&amp;" "&amp;('Resource Planner'!$G$43+(10-1)*'Resource Planner'!$I$43)&amp;IF(('Resource Planner'!$G$43+(10-1)*'Resource Planner'!$I$43)=MIN('Resource Planner'!$G$43+10*'Resource Planner'!$I$43-1,'Resource Planner'!$H$43),"","–"&amp;MIN('Resource Planner'!$G$43+10*'Resource Planner'!$I$43-1,'Resource Planner'!$H$43)),"")</f>
        <v/>
      </c>
      <c r="G1664" s="163" t="s">
        <v>109</v>
      </c>
      <c r="H1664" s="163" t="str">
        <f>IF(AND('Resource Planner'!$A$43="☑",10&lt;='Resource Planner'!$N$43),'Resource Planner'!$M$43,"")</f>
        <v/>
      </c>
    </row>
    <row r="1665" ht="15.75" customHeight="1">
      <c r="A16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5" s="163" t="str">
        <f>IF(AND('Resource Planner'!$A$43="☑",11&lt;='Resource Planner'!$N$43),'Resource Planner'!$C$43,"")</f>
        <v/>
      </c>
      <c r="C1665" s="163" t="str">
        <f>IF(AND('Resource Planner'!$A$43="☑",11&lt;='Resource Planner'!$N$43),'Resource Planner'!$B$43,"")</f>
        <v/>
      </c>
      <c r="D1665" s="163" t="str">
        <f>IF(AND('Resource Planner'!$A$43="☑",11&lt;='Resource Planner'!$N$43),'Resource Planner'!$D$43,"")</f>
        <v/>
      </c>
      <c r="E1665" s="163" t="str">
        <f>IF(AND('Resource Planner'!$A$43="☑",11&lt;='Resource Planner'!$N$43),'Resource Planner'!$E$43,"")</f>
        <v/>
      </c>
      <c r="F1665" s="163" t="str">
        <f>IF(AND('Resource Planner'!$A$43="☑",11&lt;='Resource Planner'!$N$43),'Resource Planner'!$F$43&amp;" "&amp;('Resource Planner'!$G$43+(11-1)*'Resource Planner'!$I$43)&amp;IF(('Resource Planner'!$G$43+(11-1)*'Resource Planner'!$I$43)=MIN('Resource Planner'!$G$43+11*'Resource Planner'!$I$43-1,'Resource Planner'!$H$43),"","–"&amp;MIN('Resource Planner'!$G$43+11*'Resource Planner'!$I$43-1,'Resource Planner'!$H$43)),"")</f>
        <v/>
      </c>
      <c r="G1665" s="163" t="s">
        <v>109</v>
      </c>
      <c r="H1665" s="163" t="str">
        <f>IF(AND('Resource Planner'!$A$43="☑",11&lt;='Resource Planner'!$N$43),'Resource Planner'!$M$43,"")</f>
        <v/>
      </c>
    </row>
    <row r="1666" ht="15.75" customHeight="1">
      <c r="A16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6" s="163" t="str">
        <f>IF(AND('Resource Planner'!$A$43="☑",12&lt;='Resource Planner'!$N$43),'Resource Planner'!$C$43,"")</f>
        <v/>
      </c>
      <c r="C1666" s="163" t="str">
        <f>IF(AND('Resource Planner'!$A$43="☑",12&lt;='Resource Planner'!$N$43),'Resource Planner'!$B$43,"")</f>
        <v/>
      </c>
      <c r="D1666" s="163" t="str">
        <f>IF(AND('Resource Planner'!$A$43="☑",12&lt;='Resource Planner'!$N$43),'Resource Planner'!$D$43,"")</f>
        <v/>
      </c>
      <c r="E1666" s="163" t="str">
        <f>IF(AND('Resource Planner'!$A$43="☑",12&lt;='Resource Planner'!$N$43),'Resource Planner'!$E$43,"")</f>
        <v/>
      </c>
      <c r="F1666" s="163" t="str">
        <f>IF(AND('Resource Planner'!$A$43="☑",12&lt;='Resource Planner'!$N$43),'Resource Planner'!$F$43&amp;" "&amp;('Resource Planner'!$G$43+(12-1)*'Resource Planner'!$I$43)&amp;IF(('Resource Planner'!$G$43+(12-1)*'Resource Planner'!$I$43)=MIN('Resource Planner'!$G$43+12*'Resource Planner'!$I$43-1,'Resource Planner'!$H$43),"","–"&amp;MIN('Resource Planner'!$G$43+12*'Resource Planner'!$I$43-1,'Resource Planner'!$H$43)),"")</f>
        <v/>
      </c>
      <c r="G1666" s="163" t="s">
        <v>109</v>
      </c>
      <c r="H1666" s="163" t="str">
        <f>IF(AND('Resource Planner'!$A$43="☑",12&lt;='Resource Planner'!$N$43),'Resource Planner'!$M$43,"")</f>
        <v/>
      </c>
    </row>
    <row r="1667" ht="15.75" customHeight="1">
      <c r="A16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7" s="163" t="str">
        <f>IF(AND('Resource Planner'!$A$43="☑",13&lt;='Resource Planner'!$N$43),'Resource Planner'!$C$43,"")</f>
        <v/>
      </c>
      <c r="C1667" s="163" t="str">
        <f>IF(AND('Resource Planner'!$A$43="☑",13&lt;='Resource Planner'!$N$43),'Resource Planner'!$B$43,"")</f>
        <v/>
      </c>
      <c r="D1667" s="163" t="str">
        <f>IF(AND('Resource Planner'!$A$43="☑",13&lt;='Resource Planner'!$N$43),'Resource Planner'!$D$43,"")</f>
        <v/>
      </c>
      <c r="E1667" s="163" t="str">
        <f>IF(AND('Resource Planner'!$A$43="☑",13&lt;='Resource Planner'!$N$43),'Resource Planner'!$E$43,"")</f>
        <v/>
      </c>
      <c r="F1667" s="163" t="str">
        <f>IF(AND('Resource Planner'!$A$43="☑",13&lt;='Resource Planner'!$N$43),'Resource Planner'!$F$43&amp;" "&amp;('Resource Planner'!$G$43+(13-1)*'Resource Planner'!$I$43)&amp;IF(('Resource Planner'!$G$43+(13-1)*'Resource Planner'!$I$43)=MIN('Resource Planner'!$G$43+13*'Resource Planner'!$I$43-1,'Resource Planner'!$H$43),"","–"&amp;MIN('Resource Planner'!$G$43+13*'Resource Planner'!$I$43-1,'Resource Planner'!$H$43)),"")</f>
        <v/>
      </c>
      <c r="G1667" s="163" t="s">
        <v>109</v>
      </c>
      <c r="H1667" s="163" t="str">
        <f>IF(AND('Resource Planner'!$A$43="☑",13&lt;='Resource Planner'!$N$43),'Resource Planner'!$M$43,"")</f>
        <v/>
      </c>
    </row>
    <row r="1668" ht="15.75" customHeight="1">
      <c r="A16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8" s="163" t="str">
        <f>IF(AND('Resource Planner'!$A$43="☑",14&lt;='Resource Planner'!$N$43),'Resource Planner'!$C$43,"")</f>
        <v/>
      </c>
      <c r="C1668" s="163" t="str">
        <f>IF(AND('Resource Planner'!$A$43="☑",14&lt;='Resource Planner'!$N$43),'Resource Planner'!$B$43,"")</f>
        <v/>
      </c>
      <c r="D1668" s="163" t="str">
        <f>IF(AND('Resource Planner'!$A$43="☑",14&lt;='Resource Planner'!$N$43),'Resource Planner'!$D$43,"")</f>
        <v/>
      </c>
      <c r="E1668" s="163" t="str">
        <f>IF(AND('Resource Planner'!$A$43="☑",14&lt;='Resource Planner'!$N$43),'Resource Planner'!$E$43,"")</f>
        <v/>
      </c>
      <c r="F1668" s="163" t="str">
        <f>IF(AND('Resource Planner'!$A$43="☑",14&lt;='Resource Planner'!$N$43),'Resource Planner'!$F$43&amp;" "&amp;('Resource Planner'!$G$43+(14-1)*'Resource Planner'!$I$43)&amp;IF(('Resource Planner'!$G$43+(14-1)*'Resource Planner'!$I$43)=MIN('Resource Planner'!$G$43+14*'Resource Planner'!$I$43-1,'Resource Planner'!$H$43),"","–"&amp;MIN('Resource Planner'!$G$43+14*'Resource Planner'!$I$43-1,'Resource Planner'!$H$43)),"")</f>
        <v/>
      </c>
      <c r="G1668" s="163" t="s">
        <v>109</v>
      </c>
      <c r="H1668" s="163" t="str">
        <f>IF(AND('Resource Planner'!$A$43="☑",14&lt;='Resource Planner'!$N$43),'Resource Planner'!$M$43,"")</f>
        <v/>
      </c>
    </row>
    <row r="1669" ht="15.75" customHeight="1">
      <c r="A16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69" s="163" t="str">
        <f>IF(AND('Resource Planner'!$A$43="☑",15&lt;='Resource Planner'!$N$43),'Resource Planner'!$C$43,"")</f>
        <v/>
      </c>
      <c r="C1669" s="163" t="str">
        <f>IF(AND('Resource Planner'!$A$43="☑",15&lt;='Resource Planner'!$N$43),'Resource Planner'!$B$43,"")</f>
        <v/>
      </c>
      <c r="D1669" s="163" t="str">
        <f>IF(AND('Resource Planner'!$A$43="☑",15&lt;='Resource Planner'!$N$43),'Resource Planner'!$D$43,"")</f>
        <v/>
      </c>
      <c r="E1669" s="163" t="str">
        <f>IF(AND('Resource Planner'!$A$43="☑",15&lt;='Resource Planner'!$N$43),'Resource Planner'!$E$43,"")</f>
        <v/>
      </c>
      <c r="F1669" s="163" t="str">
        <f>IF(AND('Resource Planner'!$A$43="☑",15&lt;='Resource Planner'!$N$43),'Resource Planner'!$F$43&amp;" "&amp;('Resource Planner'!$G$43+(15-1)*'Resource Planner'!$I$43)&amp;IF(('Resource Planner'!$G$43+(15-1)*'Resource Planner'!$I$43)=MIN('Resource Planner'!$G$43+15*'Resource Planner'!$I$43-1,'Resource Planner'!$H$43),"","–"&amp;MIN('Resource Planner'!$G$43+15*'Resource Planner'!$I$43-1,'Resource Planner'!$H$43)),"")</f>
        <v/>
      </c>
      <c r="G1669" s="163" t="s">
        <v>109</v>
      </c>
      <c r="H1669" s="163" t="str">
        <f>IF(AND('Resource Planner'!$A$43="☑",15&lt;='Resource Planner'!$N$43),'Resource Planner'!$M$43,"")</f>
        <v/>
      </c>
    </row>
    <row r="1670" ht="15.75" customHeight="1">
      <c r="A16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0" s="163" t="str">
        <f>IF(AND('Resource Planner'!$A$43="☑",16&lt;='Resource Planner'!$N$43),'Resource Planner'!$C$43,"")</f>
        <v/>
      </c>
      <c r="C1670" s="163" t="str">
        <f>IF(AND('Resource Planner'!$A$43="☑",16&lt;='Resource Planner'!$N$43),'Resource Planner'!$B$43,"")</f>
        <v/>
      </c>
      <c r="D1670" s="163" t="str">
        <f>IF(AND('Resource Planner'!$A$43="☑",16&lt;='Resource Planner'!$N$43),'Resource Planner'!$D$43,"")</f>
        <v/>
      </c>
      <c r="E1670" s="163" t="str">
        <f>IF(AND('Resource Planner'!$A$43="☑",16&lt;='Resource Planner'!$N$43),'Resource Planner'!$E$43,"")</f>
        <v/>
      </c>
      <c r="F1670" s="163" t="str">
        <f>IF(AND('Resource Planner'!$A$43="☑",16&lt;='Resource Planner'!$N$43),'Resource Planner'!$F$43&amp;" "&amp;('Resource Planner'!$G$43+(16-1)*'Resource Planner'!$I$43)&amp;IF(('Resource Planner'!$G$43+(16-1)*'Resource Planner'!$I$43)=MIN('Resource Planner'!$G$43+16*'Resource Planner'!$I$43-1,'Resource Planner'!$H$43),"","–"&amp;MIN('Resource Planner'!$G$43+16*'Resource Planner'!$I$43-1,'Resource Planner'!$H$43)),"")</f>
        <v/>
      </c>
      <c r="G1670" s="163" t="s">
        <v>109</v>
      </c>
      <c r="H1670" s="163" t="str">
        <f>IF(AND('Resource Planner'!$A$43="☑",16&lt;='Resource Planner'!$N$43),'Resource Planner'!$M$43,"")</f>
        <v/>
      </c>
    </row>
    <row r="1671" ht="15.75" customHeight="1">
      <c r="A16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1" s="163" t="str">
        <f>IF(AND('Resource Planner'!$A$43="☑",17&lt;='Resource Planner'!$N$43),'Resource Planner'!$C$43,"")</f>
        <v/>
      </c>
      <c r="C1671" s="163" t="str">
        <f>IF(AND('Resource Planner'!$A$43="☑",17&lt;='Resource Planner'!$N$43),'Resource Planner'!$B$43,"")</f>
        <v/>
      </c>
      <c r="D1671" s="163" t="str">
        <f>IF(AND('Resource Planner'!$A$43="☑",17&lt;='Resource Planner'!$N$43),'Resource Planner'!$D$43,"")</f>
        <v/>
      </c>
      <c r="E1671" s="163" t="str">
        <f>IF(AND('Resource Planner'!$A$43="☑",17&lt;='Resource Planner'!$N$43),'Resource Planner'!$E$43,"")</f>
        <v/>
      </c>
      <c r="F1671" s="163" t="str">
        <f>IF(AND('Resource Planner'!$A$43="☑",17&lt;='Resource Planner'!$N$43),'Resource Planner'!$F$43&amp;" "&amp;('Resource Planner'!$G$43+(17-1)*'Resource Planner'!$I$43)&amp;IF(('Resource Planner'!$G$43+(17-1)*'Resource Planner'!$I$43)=MIN('Resource Planner'!$G$43+17*'Resource Planner'!$I$43-1,'Resource Planner'!$H$43),"","–"&amp;MIN('Resource Planner'!$G$43+17*'Resource Planner'!$I$43-1,'Resource Planner'!$H$43)),"")</f>
        <v/>
      </c>
      <c r="G1671" s="163" t="s">
        <v>109</v>
      </c>
      <c r="H1671" s="163" t="str">
        <f>IF(AND('Resource Planner'!$A$43="☑",17&lt;='Resource Planner'!$N$43),'Resource Planner'!$M$43,"")</f>
        <v/>
      </c>
    </row>
    <row r="1672" ht="15.75" customHeight="1">
      <c r="A16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2" s="163" t="str">
        <f>IF(AND('Resource Planner'!$A$43="☑",18&lt;='Resource Planner'!$N$43),'Resource Planner'!$C$43,"")</f>
        <v/>
      </c>
      <c r="C1672" s="163" t="str">
        <f>IF(AND('Resource Planner'!$A$43="☑",18&lt;='Resource Planner'!$N$43),'Resource Planner'!$B$43,"")</f>
        <v/>
      </c>
      <c r="D1672" s="163" t="str">
        <f>IF(AND('Resource Planner'!$A$43="☑",18&lt;='Resource Planner'!$N$43),'Resource Planner'!$D$43,"")</f>
        <v/>
      </c>
      <c r="E1672" s="163" t="str">
        <f>IF(AND('Resource Planner'!$A$43="☑",18&lt;='Resource Planner'!$N$43),'Resource Planner'!$E$43,"")</f>
        <v/>
      </c>
      <c r="F1672" s="163" t="str">
        <f>IF(AND('Resource Planner'!$A$43="☑",18&lt;='Resource Planner'!$N$43),'Resource Planner'!$F$43&amp;" "&amp;('Resource Planner'!$G$43+(18-1)*'Resource Planner'!$I$43)&amp;IF(('Resource Planner'!$G$43+(18-1)*'Resource Planner'!$I$43)=MIN('Resource Planner'!$G$43+18*'Resource Planner'!$I$43-1,'Resource Planner'!$H$43),"","–"&amp;MIN('Resource Planner'!$G$43+18*'Resource Planner'!$I$43-1,'Resource Planner'!$H$43)),"")</f>
        <v/>
      </c>
      <c r="G1672" s="163" t="s">
        <v>109</v>
      </c>
      <c r="H1672" s="163" t="str">
        <f>IF(AND('Resource Planner'!$A$43="☑",18&lt;='Resource Planner'!$N$43),'Resource Planner'!$M$43,"")</f>
        <v/>
      </c>
    </row>
    <row r="1673" ht="15.75" customHeight="1">
      <c r="A16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3" s="163" t="str">
        <f>IF(AND('Resource Planner'!$A$43="☑",19&lt;='Resource Planner'!$N$43),'Resource Planner'!$C$43,"")</f>
        <v/>
      </c>
      <c r="C1673" s="163" t="str">
        <f>IF(AND('Resource Planner'!$A$43="☑",19&lt;='Resource Planner'!$N$43),'Resource Planner'!$B$43,"")</f>
        <v/>
      </c>
      <c r="D1673" s="163" t="str">
        <f>IF(AND('Resource Planner'!$A$43="☑",19&lt;='Resource Planner'!$N$43),'Resource Planner'!$D$43,"")</f>
        <v/>
      </c>
      <c r="E1673" s="163" t="str">
        <f>IF(AND('Resource Planner'!$A$43="☑",19&lt;='Resource Planner'!$N$43),'Resource Planner'!$E$43,"")</f>
        <v/>
      </c>
      <c r="F1673" s="163" t="str">
        <f>IF(AND('Resource Planner'!$A$43="☑",19&lt;='Resource Planner'!$N$43),'Resource Planner'!$F$43&amp;" "&amp;('Resource Planner'!$G$43+(19-1)*'Resource Planner'!$I$43)&amp;IF(('Resource Planner'!$G$43+(19-1)*'Resource Planner'!$I$43)=MIN('Resource Planner'!$G$43+19*'Resource Planner'!$I$43-1,'Resource Planner'!$H$43),"","–"&amp;MIN('Resource Planner'!$G$43+19*'Resource Planner'!$I$43-1,'Resource Planner'!$H$43)),"")</f>
        <v/>
      </c>
      <c r="G1673" s="163" t="s">
        <v>109</v>
      </c>
      <c r="H1673" s="163" t="str">
        <f>IF(AND('Resource Planner'!$A$43="☑",19&lt;='Resource Planner'!$N$43),'Resource Planner'!$M$43,"")</f>
        <v/>
      </c>
    </row>
    <row r="1674" ht="15.75" customHeight="1">
      <c r="A16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4" s="163" t="str">
        <f>IF(AND('Resource Planner'!$A$43="☑",20&lt;='Resource Planner'!$N$43),'Resource Planner'!$C$43,"")</f>
        <v/>
      </c>
      <c r="C1674" s="163" t="str">
        <f>IF(AND('Resource Planner'!$A$43="☑",20&lt;='Resource Planner'!$N$43),'Resource Planner'!$B$43,"")</f>
        <v/>
      </c>
      <c r="D1674" s="163" t="str">
        <f>IF(AND('Resource Planner'!$A$43="☑",20&lt;='Resource Planner'!$N$43),'Resource Planner'!$D$43,"")</f>
        <v/>
      </c>
      <c r="E1674" s="163" t="str">
        <f>IF(AND('Resource Planner'!$A$43="☑",20&lt;='Resource Planner'!$N$43),'Resource Planner'!$E$43,"")</f>
        <v/>
      </c>
      <c r="F1674" s="163" t="str">
        <f>IF(AND('Resource Planner'!$A$43="☑",20&lt;='Resource Planner'!$N$43),'Resource Planner'!$F$43&amp;" "&amp;('Resource Planner'!$G$43+(20-1)*'Resource Planner'!$I$43)&amp;IF(('Resource Planner'!$G$43+(20-1)*'Resource Planner'!$I$43)=MIN('Resource Planner'!$G$43+20*'Resource Planner'!$I$43-1,'Resource Planner'!$H$43),"","–"&amp;MIN('Resource Planner'!$G$43+20*'Resource Planner'!$I$43-1,'Resource Planner'!$H$43)),"")</f>
        <v/>
      </c>
      <c r="G1674" s="163" t="s">
        <v>109</v>
      </c>
      <c r="H1674" s="163" t="str">
        <f>IF(AND('Resource Planner'!$A$43="☑",20&lt;='Resource Planner'!$N$43),'Resource Planner'!$M$43,"")</f>
        <v/>
      </c>
    </row>
    <row r="1675" ht="15.75" customHeight="1">
      <c r="A16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5" s="163" t="str">
        <f>IF(AND('Resource Planner'!$A$43="☑",21&lt;='Resource Planner'!$N$43),'Resource Planner'!$C$43,"")</f>
        <v/>
      </c>
      <c r="C1675" s="163" t="str">
        <f>IF(AND('Resource Planner'!$A$43="☑",21&lt;='Resource Planner'!$N$43),'Resource Planner'!$B$43,"")</f>
        <v/>
      </c>
      <c r="D1675" s="163" t="str">
        <f>IF(AND('Resource Planner'!$A$43="☑",21&lt;='Resource Planner'!$N$43),'Resource Planner'!$D$43,"")</f>
        <v/>
      </c>
      <c r="E1675" s="163" t="str">
        <f>IF(AND('Resource Planner'!$A$43="☑",21&lt;='Resource Planner'!$N$43),'Resource Planner'!$E$43,"")</f>
        <v/>
      </c>
      <c r="F1675" s="163" t="str">
        <f>IF(AND('Resource Planner'!$A$43="☑",21&lt;='Resource Planner'!$N$43),'Resource Planner'!$F$43&amp;" "&amp;('Resource Planner'!$G$43+(21-1)*'Resource Planner'!$I$43)&amp;IF(('Resource Planner'!$G$43+(21-1)*'Resource Planner'!$I$43)=MIN('Resource Planner'!$G$43+21*'Resource Planner'!$I$43-1,'Resource Planner'!$H$43),"","–"&amp;MIN('Resource Planner'!$G$43+21*'Resource Planner'!$I$43-1,'Resource Planner'!$H$43)),"")</f>
        <v/>
      </c>
      <c r="G1675" s="163" t="s">
        <v>109</v>
      </c>
      <c r="H1675" s="163" t="str">
        <f>IF(AND('Resource Planner'!$A$43="☑",21&lt;='Resource Planner'!$N$43),'Resource Planner'!$M$43,"")</f>
        <v/>
      </c>
    </row>
    <row r="1676" ht="15.75" customHeight="1">
      <c r="A16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6" s="163" t="str">
        <f>IF(AND('Resource Planner'!$A$43="☑",22&lt;='Resource Planner'!$N$43),'Resource Planner'!$C$43,"")</f>
        <v/>
      </c>
      <c r="C1676" s="163" t="str">
        <f>IF(AND('Resource Planner'!$A$43="☑",22&lt;='Resource Planner'!$N$43),'Resource Planner'!$B$43,"")</f>
        <v/>
      </c>
      <c r="D1676" s="163" t="str">
        <f>IF(AND('Resource Planner'!$A$43="☑",22&lt;='Resource Planner'!$N$43),'Resource Planner'!$D$43,"")</f>
        <v/>
      </c>
      <c r="E1676" s="163" t="str">
        <f>IF(AND('Resource Planner'!$A$43="☑",22&lt;='Resource Planner'!$N$43),'Resource Planner'!$E$43,"")</f>
        <v/>
      </c>
      <c r="F1676" s="163" t="str">
        <f>IF(AND('Resource Planner'!$A$43="☑",22&lt;='Resource Planner'!$N$43),'Resource Planner'!$F$43&amp;" "&amp;('Resource Planner'!$G$43+(22-1)*'Resource Planner'!$I$43)&amp;IF(('Resource Planner'!$G$43+(22-1)*'Resource Planner'!$I$43)=MIN('Resource Planner'!$G$43+22*'Resource Planner'!$I$43-1,'Resource Planner'!$H$43),"","–"&amp;MIN('Resource Planner'!$G$43+22*'Resource Planner'!$I$43-1,'Resource Planner'!$H$43)),"")</f>
        <v/>
      </c>
      <c r="G1676" s="163" t="s">
        <v>109</v>
      </c>
      <c r="H1676" s="163" t="str">
        <f>IF(AND('Resource Planner'!$A$43="☑",22&lt;='Resource Planner'!$N$43),'Resource Planner'!$M$43,"")</f>
        <v/>
      </c>
    </row>
    <row r="1677" ht="15.75" customHeight="1">
      <c r="A16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7" s="163" t="str">
        <f>IF(AND('Resource Planner'!$A$43="☑",23&lt;='Resource Planner'!$N$43),'Resource Planner'!$C$43,"")</f>
        <v/>
      </c>
      <c r="C1677" s="163" t="str">
        <f>IF(AND('Resource Planner'!$A$43="☑",23&lt;='Resource Planner'!$N$43),'Resource Planner'!$B$43,"")</f>
        <v/>
      </c>
      <c r="D1677" s="163" t="str">
        <f>IF(AND('Resource Planner'!$A$43="☑",23&lt;='Resource Planner'!$N$43),'Resource Planner'!$D$43,"")</f>
        <v/>
      </c>
      <c r="E1677" s="163" t="str">
        <f>IF(AND('Resource Planner'!$A$43="☑",23&lt;='Resource Planner'!$N$43),'Resource Planner'!$E$43,"")</f>
        <v/>
      </c>
      <c r="F1677" s="163" t="str">
        <f>IF(AND('Resource Planner'!$A$43="☑",23&lt;='Resource Planner'!$N$43),'Resource Planner'!$F$43&amp;" "&amp;('Resource Planner'!$G$43+(23-1)*'Resource Planner'!$I$43)&amp;IF(('Resource Planner'!$G$43+(23-1)*'Resource Planner'!$I$43)=MIN('Resource Planner'!$G$43+23*'Resource Planner'!$I$43-1,'Resource Planner'!$H$43),"","–"&amp;MIN('Resource Planner'!$G$43+23*'Resource Planner'!$I$43-1,'Resource Planner'!$H$43)),"")</f>
        <v/>
      </c>
      <c r="G1677" s="163" t="s">
        <v>109</v>
      </c>
      <c r="H1677" s="163" t="str">
        <f>IF(AND('Resource Planner'!$A$43="☑",23&lt;='Resource Planner'!$N$43),'Resource Planner'!$M$43,"")</f>
        <v/>
      </c>
    </row>
    <row r="1678" ht="15.75" customHeight="1">
      <c r="A16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8" s="163" t="str">
        <f>IF(AND('Resource Planner'!$A$43="☑",24&lt;='Resource Planner'!$N$43),'Resource Planner'!$C$43,"")</f>
        <v/>
      </c>
      <c r="C1678" s="163" t="str">
        <f>IF(AND('Resource Planner'!$A$43="☑",24&lt;='Resource Planner'!$N$43),'Resource Planner'!$B$43,"")</f>
        <v/>
      </c>
      <c r="D1678" s="163" t="str">
        <f>IF(AND('Resource Planner'!$A$43="☑",24&lt;='Resource Planner'!$N$43),'Resource Planner'!$D$43,"")</f>
        <v/>
      </c>
      <c r="E1678" s="163" t="str">
        <f>IF(AND('Resource Planner'!$A$43="☑",24&lt;='Resource Planner'!$N$43),'Resource Planner'!$E$43,"")</f>
        <v/>
      </c>
      <c r="F1678" s="163" t="str">
        <f>IF(AND('Resource Planner'!$A$43="☑",24&lt;='Resource Planner'!$N$43),'Resource Planner'!$F$43&amp;" "&amp;('Resource Planner'!$G$43+(24-1)*'Resource Planner'!$I$43)&amp;IF(('Resource Planner'!$G$43+(24-1)*'Resource Planner'!$I$43)=MIN('Resource Planner'!$G$43+24*'Resource Planner'!$I$43-1,'Resource Planner'!$H$43),"","–"&amp;MIN('Resource Planner'!$G$43+24*'Resource Planner'!$I$43-1,'Resource Planner'!$H$43)),"")</f>
        <v/>
      </c>
      <c r="G1678" s="163" t="s">
        <v>109</v>
      </c>
      <c r="H1678" s="163" t="str">
        <f>IF(AND('Resource Planner'!$A$43="☑",24&lt;='Resource Planner'!$N$43),'Resource Planner'!$M$43,"")</f>
        <v/>
      </c>
    </row>
    <row r="1679" ht="15.75" customHeight="1">
      <c r="A16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79" s="163" t="str">
        <f>IF(AND('Resource Planner'!$A$43="☑",25&lt;='Resource Planner'!$N$43),'Resource Planner'!$C$43,"")</f>
        <v/>
      </c>
      <c r="C1679" s="163" t="str">
        <f>IF(AND('Resource Planner'!$A$43="☑",25&lt;='Resource Planner'!$N$43),'Resource Planner'!$B$43,"")</f>
        <v/>
      </c>
      <c r="D1679" s="163" t="str">
        <f>IF(AND('Resource Planner'!$A$43="☑",25&lt;='Resource Planner'!$N$43),'Resource Planner'!$D$43,"")</f>
        <v/>
      </c>
      <c r="E1679" s="163" t="str">
        <f>IF(AND('Resource Planner'!$A$43="☑",25&lt;='Resource Planner'!$N$43),'Resource Planner'!$E$43,"")</f>
        <v/>
      </c>
      <c r="F1679" s="163" t="str">
        <f>IF(AND('Resource Planner'!$A$43="☑",25&lt;='Resource Planner'!$N$43),'Resource Planner'!$F$43&amp;" "&amp;('Resource Planner'!$G$43+(25-1)*'Resource Planner'!$I$43)&amp;IF(('Resource Planner'!$G$43+(25-1)*'Resource Planner'!$I$43)=MIN('Resource Planner'!$G$43+25*'Resource Planner'!$I$43-1,'Resource Planner'!$H$43),"","–"&amp;MIN('Resource Planner'!$G$43+25*'Resource Planner'!$I$43-1,'Resource Planner'!$H$43)),"")</f>
        <v/>
      </c>
      <c r="G1679" s="163" t="s">
        <v>109</v>
      </c>
      <c r="H1679" s="163" t="str">
        <f>IF(AND('Resource Planner'!$A$43="☑",25&lt;='Resource Planner'!$N$43),'Resource Planner'!$M$43,"")</f>
        <v/>
      </c>
    </row>
    <row r="1680" ht="15.75" customHeight="1">
      <c r="A16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0" s="163" t="str">
        <f>IF(AND('Resource Planner'!$A$43="☑",26&lt;='Resource Planner'!$N$43),'Resource Planner'!$C$43,"")</f>
        <v/>
      </c>
      <c r="C1680" s="163" t="str">
        <f>IF(AND('Resource Planner'!$A$43="☑",26&lt;='Resource Planner'!$N$43),'Resource Planner'!$B$43,"")</f>
        <v/>
      </c>
      <c r="D1680" s="163" t="str">
        <f>IF(AND('Resource Planner'!$A$43="☑",26&lt;='Resource Planner'!$N$43),'Resource Planner'!$D$43,"")</f>
        <v/>
      </c>
      <c r="E1680" s="163" t="str">
        <f>IF(AND('Resource Planner'!$A$43="☑",26&lt;='Resource Planner'!$N$43),'Resource Planner'!$E$43,"")</f>
        <v/>
      </c>
      <c r="F1680" s="163" t="str">
        <f>IF(AND('Resource Planner'!$A$43="☑",26&lt;='Resource Planner'!$N$43),'Resource Planner'!$F$43&amp;" "&amp;('Resource Planner'!$G$43+(26-1)*'Resource Planner'!$I$43)&amp;IF(('Resource Planner'!$G$43+(26-1)*'Resource Planner'!$I$43)=MIN('Resource Planner'!$G$43+26*'Resource Planner'!$I$43-1,'Resource Planner'!$H$43),"","–"&amp;MIN('Resource Planner'!$G$43+26*'Resource Planner'!$I$43-1,'Resource Planner'!$H$43)),"")</f>
        <v/>
      </c>
      <c r="G1680" s="163" t="s">
        <v>109</v>
      </c>
      <c r="H1680" s="163" t="str">
        <f>IF(AND('Resource Planner'!$A$43="☑",26&lt;='Resource Planner'!$N$43),'Resource Planner'!$M$43,"")</f>
        <v/>
      </c>
    </row>
    <row r="1681" ht="15.75" customHeight="1">
      <c r="A16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1" s="163" t="str">
        <f>IF(AND('Resource Planner'!$A$43="☑",27&lt;='Resource Planner'!$N$43),'Resource Planner'!$C$43,"")</f>
        <v/>
      </c>
      <c r="C1681" s="163" t="str">
        <f>IF(AND('Resource Planner'!$A$43="☑",27&lt;='Resource Planner'!$N$43),'Resource Planner'!$B$43,"")</f>
        <v/>
      </c>
      <c r="D1681" s="163" t="str">
        <f>IF(AND('Resource Planner'!$A$43="☑",27&lt;='Resource Planner'!$N$43),'Resource Planner'!$D$43,"")</f>
        <v/>
      </c>
      <c r="E1681" s="163" t="str">
        <f>IF(AND('Resource Planner'!$A$43="☑",27&lt;='Resource Planner'!$N$43),'Resource Planner'!$E$43,"")</f>
        <v/>
      </c>
      <c r="F1681" s="163" t="str">
        <f>IF(AND('Resource Planner'!$A$43="☑",27&lt;='Resource Planner'!$N$43),'Resource Planner'!$F$43&amp;" "&amp;('Resource Planner'!$G$43+(27-1)*'Resource Planner'!$I$43)&amp;IF(('Resource Planner'!$G$43+(27-1)*'Resource Planner'!$I$43)=MIN('Resource Planner'!$G$43+27*'Resource Planner'!$I$43-1,'Resource Planner'!$H$43),"","–"&amp;MIN('Resource Planner'!$G$43+27*'Resource Planner'!$I$43-1,'Resource Planner'!$H$43)),"")</f>
        <v/>
      </c>
      <c r="G1681" s="163" t="s">
        <v>109</v>
      </c>
      <c r="H1681" s="163" t="str">
        <f>IF(AND('Resource Planner'!$A$43="☑",27&lt;='Resource Planner'!$N$43),'Resource Planner'!$M$43,"")</f>
        <v/>
      </c>
    </row>
    <row r="1682" ht="15.75" customHeight="1">
      <c r="A16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2" s="163" t="str">
        <f>IF(AND('Resource Planner'!$A$43="☑",28&lt;='Resource Planner'!$N$43),'Resource Planner'!$C$43,"")</f>
        <v/>
      </c>
      <c r="C1682" s="163" t="str">
        <f>IF(AND('Resource Planner'!$A$43="☑",28&lt;='Resource Planner'!$N$43),'Resource Planner'!$B$43,"")</f>
        <v/>
      </c>
      <c r="D1682" s="163" t="str">
        <f>IF(AND('Resource Planner'!$A$43="☑",28&lt;='Resource Planner'!$N$43),'Resource Planner'!$D$43,"")</f>
        <v/>
      </c>
      <c r="E1682" s="163" t="str">
        <f>IF(AND('Resource Planner'!$A$43="☑",28&lt;='Resource Planner'!$N$43),'Resource Planner'!$E$43,"")</f>
        <v/>
      </c>
      <c r="F1682" s="163" t="str">
        <f>IF(AND('Resource Planner'!$A$43="☑",28&lt;='Resource Planner'!$N$43),'Resource Planner'!$F$43&amp;" "&amp;('Resource Planner'!$G$43+(28-1)*'Resource Planner'!$I$43)&amp;IF(('Resource Planner'!$G$43+(28-1)*'Resource Planner'!$I$43)=MIN('Resource Planner'!$G$43+28*'Resource Planner'!$I$43-1,'Resource Planner'!$H$43),"","–"&amp;MIN('Resource Planner'!$G$43+28*'Resource Planner'!$I$43-1,'Resource Planner'!$H$43)),"")</f>
        <v/>
      </c>
      <c r="G1682" s="163" t="s">
        <v>109</v>
      </c>
      <c r="H1682" s="163" t="str">
        <f>IF(AND('Resource Planner'!$A$43="☑",28&lt;='Resource Planner'!$N$43),'Resource Planner'!$M$43,"")</f>
        <v/>
      </c>
    </row>
    <row r="1683" ht="15.75" customHeight="1">
      <c r="A16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3" s="163" t="str">
        <f>IF(AND('Resource Planner'!$A$43="☑",29&lt;='Resource Planner'!$N$43),'Resource Planner'!$C$43,"")</f>
        <v/>
      </c>
      <c r="C1683" s="163" t="str">
        <f>IF(AND('Resource Planner'!$A$43="☑",29&lt;='Resource Planner'!$N$43),'Resource Planner'!$B$43,"")</f>
        <v/>
      </c>
      <c r="D1683" s="163" t="str">
        <f>IF(AND('Resource Planner'!$A$43="☑",29&lt;='Resource Planner'!$N$43),'Resource Planner'!$D$43,"")</f>
        <v/>
      </c>
      <c r="E1683" s="163" t="str">
        <f>IF(AND('Resource Planner'!$A$43="☑",29&lt;='Resource Planner'!$N$43),'Resource Planner'!$E$43,"")</f>
        <v/>
      </c>
      <c r="F1683" s="163" t="str">
        <f>IF(AND('Resource Planner'!$A$43="☑",29&lt;='Resource Planner'!$N$43),'Resource Planner'!$F$43&amp;" "&amp;('Resource Planner'!$G$43+(29-1)*'Resource Planner'!$I$43)&amp;IF(('Resource Planner'!$G$43+(29-1)*'Resource Planner'!$I$43)=MIN('Resource Planner'!$G$43+29*'Resource Planner'!$I$43-1,'Resource Planner'!$H$43),"","–"&amp;MIN('Resource Planner'!$G$43+29*'Resource Planner'!$I$43-1,'Resource Planner'!$H$43)),"")</f>
        <v/>
      </c>
      <c r="G1683" s="163" t="s">
        <v>109</v>
      </c>
      <c r="H1683" s="163" t="str">
        <f>IF(AND('Resource Planner'!$A$43="☑",29&lt;='Resource Planner'!$N$43),'Resource Planner'!$M$43,"")</f>
        <v/>
      </c>
    </row>
    <row r="1684" ht="15.75" customHeight="1">
      <c r="A16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4" s="163" t="str">
        <f>IF(AND('Resource Planner'!$A$43="☑",30&lt;='Resource Planner'!$N$43),'Resource Planner'!$C$43,"")</f>
        <v/>
      </c>
      <c r="C1684" s="163" t="str">
        <f>IF(AND('Resource Planner'!$A$43="☑",30&lt;='Resource Planner'!$N$43),'Resource Planner'!$B$43,"")</f>
        <v/>
      </c>
      <c r="D1684" s="163" t="str">
        <f>IF(AND('Resource Planner'!$A$43="☑",30&lt;='Resource Planner'!$N$43),'Resource Planner'!$D$43,"")</f>
        <v/>
      </c>
      <c r="E1684" s="163" t="str">
        <f>IF(AND('Resource Planner'!$A$43="☑",30&lt;='Resource Planner'!$N$43),'Resource Planner'!$E$43,"")</f>
        <v/>
      </c>
      <c r="F1684" s="163" t="str">
        <f>IF(AND('Resource Planner'!$A$43="☑",30&lt;='Resource Planner'!$N$43),'Resource Planner'!$F$43&amp;" "&amp;('Resource Planner'!$G$43+(30-1)*'Resource Planner'!$I$43)&amp;IF(('Resource Planner'!$G$43+(30-1)*'Resource Planner'!$I$43)=MIN('Resource Planner'!$G$43+30*'Resource Planner'!$I$43-1,'Resource Planner'!$H$43),"","–"&amp;MIN('Resource Planner'!$G$43+30*'Resource Planner'!$I$43-1,'Resource Planner'!$H$43)),"")</f>
        <v/>
      </c>
      <c r="G1684" s="163" t="s">
        <v>109</v>
      </c>
      <c r="H1684" s="163" t="str">
        <f>IF(AND('Resource Planner'!$A$43="☑",30&lt;='Resource Planner'!$N$43),'Resource Planner'!$M$43,"")</f>
        <v/>
      </c>
    </row>
    <row r="1685" ht="15.75" customHeight="1">
      <c r="A16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5" s="163" t="str">
        <f>IF(AND('Resource Planner'!$A$43="☑",31&lt;='Resource Planner'!$N$43),'Resource Planner'!$C$43,"")</f>
        <v/>
      </c>
      <c r="C1685" s="163" t="str">
        <f>IF(AND('Resource Planner'!$A$43="☑",31&lt;='Resource Planner'!$N$43),'Resource Planner'!$B$43,"")</f>
        <v/>
      </c>
      <c r="D1685" s="163" t="str">
        <f>IF(AND('Resource Planner'!$A$43="☑",31&lt;='Resource Planner'!$N$43),'Resource Planner'!$D$43,"")</f>
        <v/>
      </c>
      <c r="E1685" s="163" t="str">
        <f>IF(AND('Resource Planner'!$A$43="☑",31&lt;='Resource Planner'!$N$43),'Resource Planner'!$E$43,"")</f>
        <v/>
      </c>
      <c r="F1685" s="163" t="str">
        <f>IF(AND('Resource Planner'!$A$43="☑",31&lt;='Resource Planner'!$N$43),'Resource Planner'!$F$43&amp;" "&amp;('Resource Planner'!$G$43+(31-1)*'Resource Planner'!$I$43)&amp;IF(('Resource Planner'!$G$43+(31-1)*'Resource Planner'!$I$43)=MIN('Resource Planner'!$G$43+31*'Resource Planner'!$I$43-1,'Resource Planner'!$H$43),"","–"&amp;MIN('Resource Planner'!$G$43+31*'Resource Planner'!$I$43-1,'Resource Planner'!$H$43)),"")</f>
        <v/>
      </c>
      <c r="G1685" s="163" t="s">
        <v>109</v>
      </c>
      <c r="H1685" s="163" t="str">
        <f>IF(AND('Resource Planner'!$A$43="☑",31&lt;='Resource Planner'!$N$43),'Resource Planner'!$M$43,"")</f>
        <v/>
      </c>
    </row>
    <row r="1686" ht="15.75" customHeight="1">
      <c r="A16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6" s="163" t="str">
        <f>IF(AND('Resource Planner'!$A$43="☑",32&lt;='Resource Planner'!$N$43),'Resource Planner'!$C$43,"")</f>
        <v/>
      </c>
      <c r="C1686" s="163" t="str">
        <f>IF(AND('Resource Planner'!$A$43="☑",32&lt;='Resource Planner'!$N$43),'Resource Planner'!$B$43,"")</f>
        <v/>
      </c>
      <c r="D1686" s="163" t="str">
        <f>IF(AND('Resource Planner'!$A$43="☑",32&lt;='Resource Planner'!$N$43),'Resource Planner'!$D$43,"")</f>
        <v/>
      </c>
      <c r="E1686" s="163" t="str">
        <f>IF(AND('Resource Planner'!$A$43="☑",32&lt;='Resource Planner'!$N$43),'Resource Planner'!$E$43,"")</f>
        <v/>
      </c>
      <c r="F1686" s="163" t="str">
        <f>IF(AND('Resource Planner'!$A$43="☑",32&lt;='Resource Planner'!$N$43),'Resource Planner'!$F$43&amp;" "&amp;('Resource Planner'!$G$43+(32-1)*'Resource Planner'!$I$43)&amp;IF(('Resource Planner'!$G$43+(32-1)*'Resource Planner'!$I$43)=MIN('Resource Planner'!$G$43+32*'Resource Planner'!$I$43-1,'Resource Planner'!$H$43),"","–"&amp;MIN('Resource Planner'!$G$43+32*'Resource Planner'!$I$43-1,'Resource Planner'!$H$43)),"")</f>
        <v/>
      </c>
      <c r="G1686" s="163" t="s">
        <v>109</v>
      </c>
      <c r="H1686" s="163" t="str">
        <f>IF(AND('Resource Planner'!$A$43="☑",32&lt;='Resource Planner'!$N$43),'Resource Planner'!$M$43,"")</f>
        <v/>
      </c>
    </row>
    <row r="1687" ht="15.75" customHeight="1">
      <c r="A16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7" s="163" t="str">
        <f>IF(AND('Resource Planner'!$A$43="☑",33&lt;='Resource Planner'!$N$43),'Resource Planner'!$C$43,"")</f>
        <v/>
      </c>
      <c r="C1687" s="163" t="str">
        <f>IF(AND('Resource Planner'!$A$43="☑",33&lt;='Resource Planner'!$N$43),'Resource Planner'!$B$43,"")</f>
        <v/>
      </c>
      <c r="D1687" s="163" t="str">
        <f>IF(AND('Resource Planner'!$A$43="☑",33&lt;='Resource Planner'!$N$43),'Resource Planner'!$D$43,"")</f>
        <v/>
      </c>
      <c r="E1687" s="163" t="str">
        <f>IF(AND('Resource Planner'!$A$43="☑",33&lt;='Resource Planner'!$N$43),'Resource Planner'!$E$43,"")</f>
        <v/>
      </c>
      <c r="F1687" s="163" t="str">
        <f>IF(AND('Resource Planner'!$A$43="☑",33&lt;='Resource Planner'!$N$43),'Resource Planner'!$F$43&amp;" "&amp;('Resource Planner'!$G$43+(33-1)*'Resource Planner'!$I$43)&amp;IF(('Resource Planner'!$G$43+(33-1)*'Resource Planner'!$I$43)=MIN('Resource Planner'!$G$43+33*'Resource Planner'!$I$43-1,'Resource Planner'!$H$43),"","–"&amp;MIN('Resource Planner'!$G$43+33*'Resource Planner'!$I$43-1,'Resource Planner'!$H$43)),"")</f>
        <v/>
      </c>
      <c r="G1687" s="163" t="s">
        <v>109</v>
      </c>
      <c r="H1687" s="163" t="str">
        <f>IF(AND('Resource Planner'!$A$43="☑",33&lt;='Resource Planner'!$N$43),'Resource Planner'!$M$43,"")</f>
        <v/>
      </c>
    </row>
    <row r="1688" ht="15.75" customHeight="1">
      <c r="A16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8" s="163" t="str">
        <f>IF(AND('Resource Planner'!$A$43="☑",34&lt;='Resource Planner'!$N$43),'Resource Planner'!$C$43,"")</f>
        <v/>
      </c>
      <c r="C1688" s="163" t="str">
        <f>IF(AND('Resource Planner'!$A$43="☑",34&lt;='Resource Planner'!$N$43),'Resource Planner'!$B$43,"")</f>
        <v/>
      </c>
      <c r="D1688" s="163" t="str">
        <f>IF(AND('Resource Planner'!$A$43="☑",34&lt;='Resource Planner'!$N$43),'Resource Planner'!$D$43,"")</f>
        <v/>
      </c>
      <c r="E1688" s="163" t="str">
        <f>IF(AND('Resource Planner'!$A$43="☑",34&lt;='Resource Planner'!$N$43),'Resource Planner'!$E$43,"")</f>
        <v/>
      </c>
      <c r="F1688" s="163" t="str">
        <f>IF(AND('Resource Planner'!$A$43="☑",34&lt;='Resource Planner'!$N$43),'Resource Planner'!$F$43&amp;" "&amp;('Resource Planner'!$G$43+(34-1)*'Resource Planner'!$I$43)&amp;IF(('Resource Planner'!$G$43+(34-1)*'Resource Planner'!$I$43)=MIN('Resource Planner'!$G$43+34*'Resource Planner'!$I$43-1,'Resource Planner'!$H$43),"","–"&amp;MIN('Resource Planner'!$G$43+34*'Resource Planner'!$I$43-1,'Resource Planner'!$H$43)),"")</f>
        <v/>
      </c>
      <c r="G1688" s="163" t="s">
        <v>109</v>
      </c>
      <c r="H1688" s="163" t="str">
        <f>IF(AND('Resource Planner'!$A$43="☑",34&lt;='Resource Planner'!$N$43),'Resource Planner'!$M$43,"")</f>
        <v/>
      </c>
    </row>
    <row r="1689" ht="15.75" customHeight="1">
      <c r="A16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89" s="163" t="str">
        <f>IF(AND('Resource Planner'!$A$43="☑",35&lt;='Resource Planner'!$N$43),'Resource Planner'!$C$43,"")</f>
        <v/>
      </c>
      <c r="C1689" s="163" t="str">
        <f>IF(AND('Resource Planner'!$A$43="☑",35&lt;='Resource Planner'!$N$43),'Resource Planner'!$B$43,"")</f>
        <v/>
      </c>
      <c r="D1689" s="163" t="str">
        <f>IF(AND('Resource Planner'!$A$43="☑",35&lt;='Resource Planner'!$N$43),'Resource Planner'!$D$43,"")</f>
        <v/>
      </c>
      <c r="E1689" s="163" t="str">
        <f>IF(AND('Resource Planner'!$A$43="☑",35&lt;='Resource Planner'!$N$43),'Resource Planner'!$E$43,"")</f>
        <v/>
      </c>
      <c r="F1689" s="163" t="str">
        <f>IF(AND('Resource Planner'!$A$43="☑",35&lt;='Resource Planner'!$N$43),'Resource Planner'!$F$43&amp;" "&amp;('Resource Planner'!$G$43+(35-1)*'Resource Planner'!$I$43)&amp;IF(('Resource Planner'!$G$43+(35-1)*'Resource Planner'!$I$43)=MIN('Resource Planner'!$G$43+35*'Resource Planner'!$I$43-1,'Resource Planner'!$H$43),"","–"&amp;MIN('Resource Planner'!$G$43+35*'Resource Planner'!$I$43-1,'Resource Planner'!$H$43)),"")</f>
        <v/>
      </c>
      <c r="G1689" s="163" t="s">
        <v>109</v>
      </c>
      <c r="H1689" s="163" t="str">
        <f>IF(AND('Resource Planner'!$A$43="☑",35&lt;='Resource Planner'!$N$43),'Resource Planner'!$M$43,"")</f>
        <v/>
      </c>
    </row>
    <row r="1690" ht="15.75" customHeight="1">
      <c r="A16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0" s="163" t="str">
        <f>IF(AND('Resource Planner'!$A$43="☑",36&lt;='Resource Planner'!$N$43),'Resource Planner'!$C$43,"")</f>
        <v/>
      </c>
      <c r="C1690" s="163" t="str">
        <f>IF(AND('Resource Planner'!$A$43="☑",36&lt;='Resource Planner'!$N$43),'Resource Planner'!$B$43,"")</f>
        <v/>
      </c>
      <c r="D1690" s="163" t="str">
        <f>IF(AND('Resource Planner'!$A$43="☑",36&lt;='Resource Planner'!$N$43),'Resource Planner'!$D$43,"")</f>
        <v/>
      </c>
      <c r="E1690" s="163" t="str">
        <f>IF(AND('Resource Planner'!$A$43="☑",36&lt;='Resource Planner'!$N$43),'Resource Planner'!$E$43,"")</f>
        <v/>
      </c>
      <c r="F1690" s="163" t="str">
        <f>IF(AND('Resource Planner'!$A$43="☑",36&lt;='Resource Planner'!$N$43),'Resource Planner'!$F$43&amp;" "&amp;('Resource Planner'!$G$43+(36-1)*'Resource Planner'!$I$43)&amp;IF(('Resource Planner'!$G$43+(36-1)*'Resource Planner'!$I$43)=MIN('Resource Planner'!$G$43+36*'Resource Planner'!$I$43-1,'Resource Planner'!$H$43),"","–"&amp;MIN('Resource Planner'!$G$43+36*'Resource Planner'!$I$43-1,'Resource Planner'!$H$43)),"")</f>
        <v/>
      </c>
      <c r="G1690" s="163" t="s">
        <v>109</v>
      </c>
      <c r="H1690" s="163" t="str">
        <f>IF(AND('Resource Planner'!$A$43="☑",36&lt;='Resource Planner'!$N$43),'Resource Planner'!$M$43,"")</f>
        <v/>
      </c>
    </row>
    <row r="1691" ht="15.75" customHeight="1">
      <c r="A16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1" s="163" t="str">
        <f>IF(AND('Resource Planner'!$A$43="☑",37&lt;='Resource Planner'!$N$43),'Resource Planner'!$C$43,"")</f>
        <v/>
      </c>
      <c r="C1691" s="163" t="str">
        <f>IF(AND('Resource Planner'!$A$43="☑",37&lt;='Resource Planner'!$N$43),'Resource Planner'!$B$43,"")</f>
        <v/>
      </c>
      <c r="D1691" s="163" t="str">
        <f>IF(AND('Resource Planner'!$A$43="☑",37&lt;='Resource Planner'!$N$43),'Resource Planner'!$D$43,"")</f>
        <v/>
      </c>
      <c r="E1691" s="163" t="str">
        <f>IF(AND('Resource Planner'!$A$43="☑",37&lt;='Resource Planner'!$N$43),'Resource Planner'!$E$43,"")</f>
        <v/>
      </c>
      <c r="F1691" s="163" t="str">
        <f>IF(AND('Resource Planner'!$A$43="☑",37&lt;='Resource Planner'!$N$43),'Resource Planner'!$F$43&amp;" "&amp;('Resource Planner'!$G$43+(37-1)*'Resource Planner'!$I$43)&amp;IF(('Resource Planner'!$G$43+(37-1)*'Resource Planner'!$I$43)=MIN('Resource Planner'!$G$43+37*'Resource Planner'!$I$43-1,'Resource Planner'!$H$43),"","–"&amp;MIN('Resource Planner'!$G$43+37*'Resource Planner'!$I$43-1,'Resource Planner'!$H$43)),"")</f>
        <v/>
      </c>
      <c r="G1691" s="163" t="s">
        <v>109</v>
      </c>
      <c r="H1691" s="163" t="str">
        <f>IF(AND('Resource Planner'!$A$43="☑",37&lt;='Resource Planner'!$N$43),'Resource Planner'!$M$43,"")</f>
        <v/>
      </c>
    </row>
    <row r="1692" ht="15.75" customHeight="1">
      <c r="A16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2" s="163" t="str">
        <f>IF(AND('Resource Planner'!$A$43="☑",38&lt;='Resource Planner'!$N$43),'Resource Planner'!$C$43,"")</f>
        <v/>
      </c>
      <c r="C1692" s="163" t="str">
        <f>IF(AND('Resource Planner'!$A$43="☑",38&lt;='Resource Planner'!$N$43),'Resource Planner'!$B$43,"")</f>
        <v/>
      </c>
      <c r="D1692" s="163" t="str">
        <f>IF(AND('Resource Planner'!$A$43="☑",38&lt;='Resource Planner'!$N$43),'Resource Planner'!$D$43,"")</f>
        <v/>
      </c>
      <c r="E1692" s="163" t="str">
        <f>IF(AND('Resource Planner'!$A$43="☑",38&lt;='Resource Planner'!$N$43),'Resource Planner'!$E$43,"")</f>
        <v/>
      </c>
      <c r="F1692" s="163" t="str">
        <f>IF(AND('Resource Planner'!$A$43="☑",38&lt;='Resource Planner'!$N$43),'Resource Planner'!$F$43&amp;" "&amp;('Resource Planner'!$G$43+(38-1)*'Resource Planner'!$I$43)&amp;IF(('Resource Planner'!$G$43+(38-1)*'Resource Planner'!$I$43)=MIN('Resource Planner'!$G$43+38*'Resource Planner'!$I$43-1,'Resource Planner'!$H$43),"","–"&amp;MIN('Resource Planner'!$G$43+38*'Resource Planner'!$I$43-1,'Resource Planner'!$H$43)),"")</f>
        <v/>
      </c>
      <c r="G1692" s="163" t="s">
        <v>109</v>
      </c>
      <c r="H1692" s="163" t="str">
        <f>IF(AND('Resource Planner'!$A$43="☑",38&lt;='Resource Planner'!$N$43),'Resource Planner'!$M$43,"")</f>
        <v/>
      </c>
    </row>
    <row r="1693" ht="15.75" customHeight="1">
      <c r="A16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3" s="163" t="str">
        <f>IF(AND('Resource Planner'!$A$43="☑",39&lt;='Resource Planner'!$N$43),'Resource Planner'!$C$43,"")</f>
        <v/>
      </c>
      <c r="C1693" s="163" t="str">
        <f>IF(AND('Resource Planner'!$A$43="☑",39&lt;='Resource Planner'!$N$43),'Resource Planner'!$B$43,"")</f>
        <v/>
      </c>
      <c r="D1693" s="163" t="str">
        <f>IF(AND('Resource Planner'!$A$43="☑",39&lt;='Resource Planner'!$N$43),'Resource Planner'!$D$43,"")</f>
        <v/>
      </c>
      <c r="E1693" s="163" t="str">
        <f>IF(AND('Resource Planner'!$A$43="☑",39&lt;='Resource Planner'!$N$43),'Resource Planner'!$E$43,"")</f>
        <v/>
      </c>
      <c r="F1693" s="163" t="str">
        <f>IF(AND('Resource Planner'!$A$43="☑",39&lt;='Resource Planner'!$N$43),'Resource Planner'!$F$43&amp;" "&amp;('Resource Planner'!$G$43+(39-1)*'Resource Planner'!$I$43)&amp;IF(('Resource Planner'!$G$43+(39-1)*'Resource Planner'!$I$43)=MIN('Resource Planner'!$G$43+39*'Resource Planner'!$I$43-1,'Resource Planner'!$H$43),"","–"&amp;MIN('Resource Planner'!$G$43+39*'Resource Planner'!$I$43-1,'Resource Planner'!$H$43)),"")</f>
        <v/>
      </c>
      <c r="G1693" s="163" t="s">
        <v>109</v>
      </c>
      <c r="H1693" s="163" t="str">
        <f>IF(AND('Resource Planner'!$A$43="☑",39&lt;='Resource Planner'!$N$43),'Resource Planner'!$M$43,"")</f>
        <v/>
      </c>
    </row>
    <row r="1694" ht="15.75" customHeight="1">
      <c r="A16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4" s="163" t="str">
        <f>IF(AND('Resource Planner'!$A$43="☑",40&lt;='Resource Planner'!$N$43),'Resource Planner'!$C$43,"")</f>
        <v/>
      </c>
      <c r="C1694" s="163" t="str">
        <f>IF(AND('Resource Planner'!$A$43="☑",40&lt;='Resource Planner'!$N$43),'Resource Planner'!$B$43,"")</f>
        <v/>
      </c>
      <c r="D1694" s="163" t="str">
        <f>IF(AND('Resource Planner'!$A$43="☑",40&lt;='Resource Planner'!$N$43),'Resource Planner'!$D$43,"")</f>
        <v/>
      </c>
      <c r="E1694" s="163" t="str">
        <f>IF(AND('Resource Planner'!$A$43="☑",40&lt;='Resource Planner'!$N$43),'Resource Planner'!$E$43,"")</f>
        <v/>
      </c>
      <c r="F1694" s="163" t="str">
        <f>IF(AND('Resource Planner'!$A$43="☑",40&lt;='Resource Planner'!$N$43),'Resource Planner'!$F$43&amp;" "&amp;('Resource Planner'!$G$43+(40-1)*'Resource Planner'!$I$43)&amp;IF(('Resource Planner'!$G$43+(40-1)*'Resource Planner'!$I$43)=MIN('Resource Planner'!$G$43+40*'Resource Planner'!$I$43-1,'Resource Planner'!$H$43),"","–"&amp;MIN('Resource Planner'!$G$43+40*'Resource Planner'!$I$43-1,'Resource Planner'!$H$43)),"")</f>
        <v/>
      </c>
      <c r="G1694" s="163" t="s">
        <v>109</v>
      </c>
      <c r="H1694" s="163" t="str">
        <f>IF(AND('Resource Planner'!$A$43="☑",40&lt;='Resource Planner'!$N$43),'Resource Planner'!$M$43,"")</f>
        <v/>
      </c>
    </row>
    <row r="1695" ht="15.75" customHeight="1">
      <c r="A16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5" s="163" t="str">
        <f>IF(AND('Resource Planner'!$A$43="☑",41&lt;='Resource Planner'!$N$43),'Resource Planner'!$C$43,"")</f>
        <v/>
      </c>
      <c r="C1695" s="163" t="str">
        <f>IF(AND('Resource Planner'!$A$43="☑",41&lt;='Resource Planner'!$N$43),'Resource Planner'!$B$43,"")</f>
        <v/>
      </c>
      <c r="D1695" s="163" t="str">
        <f>IF(AND('Resource Planner'!$A$43="☑",41&lt;='Resource Planner'!$N$43),'Resource Planner'!$D$43,"")</f>
        <v/>
      </c>
      <c r="E1695" s="163" t="str">
        <f>IF(AND('Resource Planner'!$A$43="☑",41&lt;='Resource Planner'!$N$43),'Resource Planner'!$E$43,"")</f>
        <v/>
      </c>
      <c r="F1695" s="163" t="str">
        <f>IF(AND('Resource Planner'!$A$43="☑",41&lt;='Resource Planner'!$N$43),'Resource Planner'!$F$43&amp;" "&amp;('Resource Planner'!$G$43+(41-1)*'Resource Planner'!$I$43)&amp;IF(('Resource Planner'!$G$43+(41-1)*'Resource Planner'!$I$43)=MIN('Resource Planner'!$G$43+41*'Resource Planner'!$I$43-1,'Resource Planner'!$H$43),"","–"&amp;MIN('Resource Planner'!$G$43+41*'Resource Planner'!$I$43-1,'Resource Planner'!$H$43)),"")</f>
        <v/>
      </c>
      <c r="G1695" s="163" t="s">
        <v>109</v>
      </c>
      <c r="H1695" s="163" t="str">
        <f>IF(AND('Resource Planner'!$A$43="☑",41&lt;='Resource Planner'!$N$43),'Resource Planner'!$M$43,"")</f>
        <v/>
      </c>
    </row>
    <row r="1696" ht="15.75" customHeight="1">
      <c r="A16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6" s="163" t="str">
        <f>IF(AND('Resource Planner'!$A$43="☑",42&lt;='Resource Planner'!$N$43),'Resource Planner'!$C$43,"")</f>
        <v/>
      </c>
      <c r="C1696" s="163" t="str">
        <f>IF(AND('Resource Planner'!$A$43="☑",42&lt;='Resource Planner'!$N$43),'Resource Planner'!$B$43,"")</f>
        <v/>
      </c>
      <c r="D1696" s="163" t="str">
        <f>IF(AND('Resource Planner'!$A$43="☑",42&lt;='Resource Planner'!$N$43),'Resource Planner'!$D$43,"")</f>
        <v/>
      </c>
      <c r="E1696" s="163" t="str">
        <f>IF(AND('Resource Planner'!$A$43="☑",42&lt;='Resource Planner'!$N$43),'Resource Planner'!$E$43,"")</f>
        <v/>
      </c>
      <c r="F1696" s="163" t="str">
        <f>IF(AND('Resource Planner'!$A$43="☑",42&lt;='Resource Planner'!$N$43),'Resource Planner'!$F$43&amp;" "&amp;('Resource Planner'!$G$43+(42-1)*'Resource Planner'!$I$43)&amp;IF(('Resource Planner'!$G$43+(42-1)*'Resource Planner'!$I$43)=MIN('Resource Planner'!$G$43+42*'Resource Planner'!$I$43-1,'Resource Planner'!$H$43),"","–"&amp;MIN('Resource Planner'!$G$43+42*'Resource Planner'!$I$43-1,'Resource Planner'!$H$43)),"")</f>
        <v/>
      </c>
      <c r="G1696" s="163" t="s">
        <v>109</v>
      </c>
      <c r="H1696" s="163" t="str">
        <f>IF(AND('Resource Planner'!$A$43="☑",42&lt;='Resource Planner'!$N$43),'Resource Planner'!$M$43,"")</f>
        <v/>
      </c>
    </row>
    <row r="1697" ht="15.75" customHeight="1">
      <c r="A16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7" s="163" t="str">
        <f>IF(AND('Resource Planner'!$A$43="☑",43&lt;='Resource Planner'!$N$43),'Resource Planner'!$C$43,"")</f>
        <v/>
      </c>
      <c r="C1697" s="163" t="str">
        <f>IF(AND('Resource Planner'!$A$43="☑",43&lt;='Resource Planner'!$N$43),'Resource Planner'!$B$43,"")</f>
        <v/>
      </c>
      <c r="D1697" s="163" t="str">
        <f>IF(AND('Resource Planner'!$A$43="☑",43&lt;='Resource Planner'!$N$43),'Resource Planner'!$D$43,"")</f>
        <v/>
      </c>
      <c r="E1697" s="163" t="str">
        <f>IF(AND('Resource Planner'!$A$43="☑",43&lt;='Resource Planner'!$N$43),'Resource Planner'!$E$43,"")</f>
        <v/>
      </c>
      <c r="F1697" s="163" t="str">
        <f>IF(AND('Resource Planner'!$A$43="☑",43&lt;='Resource Planner'!$N$43),'Resource Planner'!$F$43&amp;" "&amp;('Resource Planner'!$G$43+(43-1)*'Resource Planner'!$I$43)&amp;IF(('Resource Planner'!$G$43+(43-1)*'Resource Planner'!$I$43)=MIN('Resource Planner'!$G$43+43*'Resource Planner'!$I$43-1,'Resource Planner'!$H$43),"","–"&amp;MIN('Resource Planner'!$G$43+43*'Resource Planner'!$I$43-1,'Resource Planner'!$H$43)),"")</f>
        <v/>
      </c>
      <c r="G1697" s="163" t="s">
        <v>109</v>
      </c>
      <c r="H1697" s="163" t="str">
        <f>IF(AND('Resource Planner'!$A$43="☑",43&lt;='Resource Planner'!$N$43),'Resource Planner'!$M$43,"")</f>
        <v/>
      </c>
    </row>
    <row r="1698" ht="15.75" customHeight="1">
      <c r="A16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8" s="163" t="str">
        <f>IF(AND('Resource Planner'!$A$43="☑",44&lt;='Resource Planner'!$N$43),'Resource Planner'!$C$43,"")</f>
        <v/>
      </c>
      <c r="C1698" s="163" t="str">
        <f>IF(AND('Resource Planner'!$A$43="☑",44&lt;='Resource Planner'!$N$43),'Resource Planner'!$B$43,"")</f>
        <v/>
      </c>
      <c r="D1698" s="163" t="str">
        <f>IF(AND('Resource Planner'!$A$43="☑",44&lt;='Resource Planner'!$N$43),'Resource Planner'!$D$43,"")</f>
        <v/>
      </c>
      <c r="E1698" s="163" t="str">
        <f>IF(AND('Resource Planner'!$A$43="☑",44&lt;='Resource Planner'!$N$43),'Resource Planner'!$E$43,"")</f>
        <v/>
      </c>
      <c r="F1698" s="163" t="str">
        <f>IF(AND('Resource Planner'!$A$43="☑",44&lt;='Resource Planner'!$N$43),'Resource Planner'!$F$43&amp;" "&amp;('Resource Planner'!$G$43+(44-1)*'Resource Planner'!$I$43)&amp;IF(('Resource Planner'!$G$43+(44-1)*'Resource Planner'!$I$43)=MIN('Resource Planner'!$G$43+44*'Resource Planner'!$I$43-1,'Resource Planner'!$H$43),"","–"&amp;MIN('Resource Planner'!$G$43+44*'Resource Planner'!$I$43-1,'Resource Planner'!$H$43)),"")</f>
        <v/>
      </c>
      <c r="G1698" s="163" t="s">
        <v>109</v>
      </c>
      <c r="H1698" s="163" t="str">
        <f>IF(AND('Resource Planner'!$A$43="☑",44&lt;='Resource Planner'!$N$43),'Resource Planner'!$M$43,"")</f>
        <v/>
      </c>
    </row>
    <row r="1699" ht="15.75" customHeight="1">
      <c r="A16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699" s="163" t="str">
        <f>IF(AND('Resource Planner'!$A$43="☑",45&lt;='Resource Planner'!$N$43),'Resource Planner'!$C$43,"")</f>
        <v/>
      </c>
      <c r="C1699" s="163" t="str">
        <f>IF(AND('Resource Planner'!$A$43="☑",45&lt;='Resource Planner'!$N$43),'Resource Planner'!$B$43,"")</f>
        <v/>
      </c>
      <c r="D1699" s="163" t="str">
        <f>IF(AND('Resource Planner'!$A$43="☑",45&lt;='Resource Planner'!$N$43),'Resource Planner'!$D$43,"")</f>
        <v/>
      </c>
      <c r="E1699" s="163" t="str">
        <f>IF(AND('Resource Planner'!$A$43="☑",45&lt;='Resource Planner'!$N$43),'Resource Planner'!$E$43,"")</f>
        <v/>
      </c>
      <c r="F1699" s="163" t="str">
        <f>IF(AND('Resource Planner'!$A$43="☑",45&lt;='Resource Planner'!$N$43),'Resource Planner'!$F$43&amp;" "&amp;('Resource Planner'!$G$43+(45-1)*'Resource Planner'!$I$43)&amp;IF(('Resource Planner'!$G$43+(45-1)*'Resource Planner'!$I$43)=MIN('Resource Planner'!$G$43+45*'Resource Planner'!$I$43-1,'Resource Planner'!$H$43),"","–"&amp;MIN('Resource Planner'!$G$43+45*'Resource Planner'!$I$43-1,'Resource Planner'!$H$43)),"")</f>
        <v/>
      </c>
      <c r="G1699" s="163" t="s">
        <v>109</v>
      </c>
      <c r="H1699" s="163" t="str">
        <f>IF(AND('Resource Planner'!$A$43="☑",45&lt;='Resource Planner'!$N$43),'Resource Planner'!$M$43,"")</f>
        <v/>
      </c>
    </row>
    <row r="1700" ht="15.75" customHeight="1">
      <c r="A17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0" s="163" t="str">
        <f>IF(AND('Resource Planner'!$A$43="☑",46&lt;='Resource Planner'!$N$43),'Resource Planner'!$C$43,"")</f>
        <v/>
      </c>
      <c r="C1700" s="163" t="str">
        <f>IF(AND('Resource Planner'!$A$43="☑",46&lt;='Resource Planner'!$N$43),'Resource Planner'!$B$43,"")</f>
        <v/>
      </c>
      <c r="D1700" s="163" t="str">
        <f>IF(AND('Resource Planner'!$A$43="☑",46&lt;='Resource Planner'!$N$43),'Resource Planner'!$D$43,"")</f>
        <v/>
      </c>
      <c r="E1700" s="163" t="str">
        <f>IF(AND('Resource Planner'!$A$43="☑",46&lt;='Resource Planner'!$N$43),'Resource Planner'!$E$43,"")</f>
        <v/>
      </c>
      <c r="F1700" s="163" t="str">
        <f>IF(AND('Resource Planner'!$A$43="☑",46&lt;='Resource Planner'!$N$43),'Resource Planner'!$F$43&amp;" "&amp;('Resource Planner'!$G$43+(46-1)*'Resource Planner'!$I$43)&amp;IF(('Resource Planner'!$G$43+(46-1)*'Resource Planner'!$I$43)=MIN('Resource Planner'!$G$43+46*'Resource Planner'!$I$43-1,'Resource Planner'!$H$43),"","–"&amp;MIN('Resource Planner'!$G$43+46*'Resource Planner'!$I$43-1,'Resource Planner'!$H$43)),"")</f>
        <v/>
      </c>
      <c r="G1700" s="163" t="s">
        <v>109</v>
      </c>
      <c r="H1700" s="163" t="str">
        <f>IF(AND('Resource Planner'!$A$43="☑",46&lt;='Resource Planner'!$N$43),'Resource Planner'!$M$43,"")</f>
        <v/>
      </c>
    </row>
    <row r="1701" ht="15.75" customHeight="1">
      <c r="A17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1" s="163" t="str">
        <f>IF(AND('Resource Planner'!$A$43="☑",47&lt;='Resource Planner'!$N$43),'Resource Planner'!$C$43,"")</f>
        <v/>
      </c>
      <c r="C1701" s="163" t="str">
        <f>IF(AND('Resource Planner'!$A$43="☑",47&lt;='Resource Planner'!$N$43),'Resource Planner'!$B$43,"")</f>
        <v/>
      </c>
      <c r="D1701" s="163" t="str">
        <f>IF(AND('Resource Planner'!$A$43="☑",47&lt;='Resource Planner'!$N$43),'Resource Planner'!$D$43,"")</f>
        <v/>
      </c>
      <c r="E1701" s="163" t="str">
        <f>IF(AND('Resource Planner'!$A$43="☑",47&lt;='Resource Planner'!$N$43),'Resource Planner'!$E$43,"")</f>
        <v/>
      </c>
      <c r="F1701" s="163" t="str">
        <f>IF(AND('Resource Planner'!$A$43="☑",47&lt;='Resource Planner'!$N$43),'Resource Planner'!$F$43&amp;" "&amp;('Resource Planner'!$G$43+(47-1)*'Resource Planner'!$I$43)&amp;IF(('Resource Planner'!$G$43+(47-1)*'Resource Planner'!$I$43)=MIN('Resource Planner'!$G$43+47*'Resource Planner'!$I$43-1,'Resource Planner'!$H$43),"","–"&amp;MIN('Resource Planner'!$G$43+47*'Resource Planner'!$I$43-1,'Resource Planner'!$H$43)),"")</f>
        <v/>
      </c>
      <c r="G1701" s="163" t="s">
        <v>109</v>
      </c>
      <c r="H1701" s="163" t="str">
        <f>IF(AND('Resource Planner'!$A$43="☑",47&lt;='Resource Planner'!$N$43),'Resource Planner'!$M$43,"")</f>
        <v/>
      </c>
    </row>
    <row r="1702" ht="15.75" customHeight="1">
      <c r="A17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2" s="163" t="str">
        <f>IF(AND('Resource Planner'!$A$43="☑",48&lt;='Resource Planner'!$N$43),'Resource Planner'!$C$43,"")</f>
        <v/>
      </c>
      <c r="C1702" s="163" t="str">
        <f>IF(AND('Resource Planner'!$A$43="☑",48&lt;='Resource Planner'!$N$43),'Resource Planner'!$B$43,"")</f>
        <v/>
      </c>
      <c r="D1702" s="163" t="str">
        <f>IF(AND('Resource Planner'!$A$43="☑",48&lt;='Resource Planner'!$N$43),'Resource Planner'!$D$43,"")</f>
        <v/>
      </c>
      <c r="E1702" s="163" t="str">
        <f>IF(AND('Resource Planner'!$A$43="☑",48&lt;='Resource Planner'!$N$43),'Resource Planner'!$E$43,"")</f>
        <v/>
      </c>
      <c r="F1702" s="163" t="str">
        <f>IF(AND('Resource Planner'!$A$43="☑",48&lt;='Resource Planner'!$N$43),'Resource Planner'!$F$43&amp;" "&amp;('Resource Planner'!$G$43+(48-1)*'Resource Planner'!$I$43)&amp;IF(('Resource Planner'!$G$43+(48-1)*'Resource Planner'!$I$43)=MIN('Resource Planner'!$G$43+48*'Resource Planner'!$I$43-1,'Resource Planner'!$H$43),"","–"&amp;MIN('Resource Planner'!$G$43+48*'Resource Planner'!$I$43-1,'Resource Planner'!$H$43)),"")</f>
        <v/>
      </c>
      <c r="G1702" s="163" t="s">
        <v>109</v>
      </c>
      <c r="H1702" s="163" t="str">
        <f>IF(AND('Resource Planner'!$A$43="☑",48&lt;='Resource Planner'!$N$43),'Resource Planner'!$M$43,"")</f>
        <v/>
      </c>
    </row>
    <row r="1703" ht="15.75" customHeight="1">
      <c r="A17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3" s="163" t="str">
        <f>IF(AND('Resource Planner'!$A$43="☑",49&lt;='Resource Planner'!$N$43),'Resource Planner'!$C$43,"")</f>
        <v/>
      </c>
      <c r="C1703" s="163" t="str">
        <f>IF(AND('Resource Planner'!$A$43="☑",49&lt;='Resource Planner'!$N$43),'Resource Planner'!$B$43,"")</f>
        <v/>
      </c>
      <c r="D1703" s="163" t="str">
        <f>IF(AND('Resource Planner'!$A$43="☑",49&lt;='Resource Planner'!$N$43),'Resource Planner'!$D$43,"")</f>
        <v/>
      </c>
      <c r="E1703" s="163" t="str">
        <f>IF(AND('Resource Planner'!$A$43="☑",49&lt;='Resource Planner'!$N$43),'Resource Planner'!$E$43,"")</f>
        <v/>
      </c>
      <c r="F1703" s="163" t="str">
        <f>IF(AND('Resource Planner'!$A$43="☑",49&lt;='Resource Planner'!$N$43),'Resource Planner'!$F$43&amp;" "&amp;('Resource Planner'!$G$43+(49-1)*'Resource Planner'!$I$43)&amp;IF(('Resource Planner'!$G$43+(49-1)*'Resource Planner'!$I$43)=MIN('Resource Planner'!$G$43+49*'Resource Planner'!$I$43-1,'Resource Planner'!$H$43),"","–"&amp;MIN('Resource Planner'!$G$43+49*'Resource Planner'!$I$43-1,'Resource Planner'!$H$43)),"")</f>
        <v/>
      </c>
      <c r="G1703" s="163" t="s">
        <v>109</v>
      </c>
      <c r="H1703" s="163" t="str">
        <f>IF(AND('Resource Planner'!$A$43="☑",49&lt;='Resource Planner'!$N$43),'Resource Planner'!$M$43,"")</f>
        <v/>
      </c>
    </row>
    <row r="1704" ht="15.75" customHeight="1">
      <c r="A17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4" s="163" t="str">
        <f>IF(AND('Resource Planner'!$A$43="☑",50&lt;='Resource Planner'!$N$43),'Resource Planner'!$C$43,"")</f>
        <v/>
      </c>
      <c r="C1704" s="163" t="str">
        <f>IF(AND('Resource Planner'!$A$43="☑",50&lt;='Resource Planner'!$N$43),'Resource Planner'!$B$43,"")</f>
        <v/>
      </c>
      <c r="D1704" s="163" t="str">
        <f>IF(AND('Resource Planner'!$A$43="☑",50&lt;='Resource Planner'!$N$43),'Resource Planner'!$D$43,"")</f>
        <v/>
      </c>
      <c r="E1704" s="163" t="str">
        <f>IF(AND('Resource Planner'!$A$43="☑",50&lt;='Resource Planner'!$N$43),'Resource Planner'!$E$43,"")</f>
        <v/>
      </c>
      <c r="F1704" s="163" t="str">
        <f>IF(AND('Resource Planner'!$A$43="☑",50&lt;='Resource Planner'!$N$43),'Resource Planner'!$F$43&amp;" "&amp;('Resource Planner'!$G$43+(50-1)*'Resource Planner'!$I$43)&amp;IF(('Resource Planner'!$G$43+(50-1)*'Resource Planner'!$I$43)=MIN('Resource Planner'!$G$43+50*'Resource Planner'!$I$43-1,'Resource Planner'!$H$43),"","–"&amp;MIN('Resource Planner'!$G$43+50*'Resource Planner'!$I$43-1,'Resource Planner'!$H$43)),"")</f>
        <v/>
      </c>
      <c r="G1704" s="163" t="s">
        <v>109</v>
      </c>
      <c r="H1704" s="163" t="str">
        <f>IF(AND('Resource Planner'!$A$43="☑",50&lt;='Resource Planner'!$N$43),'Resource Planner'!$M$43,"")</f>
        <v/>
      </c>
    </row>
    <row r="1705" ht="15.75" customHeight="1">
      <c r="A17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5" s="163" t="str">
        <f>IF(AND('Resource Planner'!$A$44="☑",1&lt;='Resource Planner'!$N$44),'Resource Planner'!$C$44,"")</f>
        <v/>
      </c>
      <c r="C1705" s="163" t="str">
        <f>IF(AND('Resource Planner'!$A$44="☑",1&lt;='Resource Planner'!$N$44),'Resource Planner'!$B$44,"")</f>
        <v/>
      </c>
      <c r="D1705" s="163" t="str">
        <f>IF(AND('Resource Planner'!$A$44="☑",1&lt;='Resource Planner'!$N$44),'Resource Planner'!$D$44,"")</f>
        <v/>
      </c>
      <c r="E1705" s="163" t="str">
        <f>IF(AND('Resource Planner'!$A$44="☑",1&lt;='Resource Planner'!$N$44),'Resource Planner'!$E$44,"")</f>
        <v/>
      </c>
      <c r="F1705" s="163" t="str">
        <f>IF(AND('Resource Planner'!$A$44="☑",1&lt;='Resource Planner'!$N$44),'Resource Planner'!$F$44&amp;" "&amp;('Resource Planner'!$G$44+(1-1)*'Resource Planner'!$I$44)&amp;IF(('Resource Planner'!$G$44+(1-1)*'Resource Planner'!$I$44)=MIN('Resource Planner'!$G$44+1*'Resource Planner'!$I$44-1,'Resource Planner'!$H$44),"","–"&amp;MIN('Resource Planner'!$G$44+1*'Resource Planner'!$I$44-1,'Resource Planner'!$H$44)),"")</f>
        <v/>
      </c>
      <c r="G1705" s="163" t="s">
        <v>109</v>
      </c>
      <c r="H1705" s="163" t="str">
        <f>IF(AND('Resource Planner'!$A$44="☑",1&lt;='Resource Planner'!$N$44),'Resource Planner'!$M$44,"")</f>
        <v/>
      </c>
    </row>
    <row r="1706" ht="15.75" customHeight="1">
      <c r="A17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6" s="163" t="str">
        <f>IF(AND('Resource Planner'!$A$44="☑",2&lt;='Resource Planner'!$N$44),'Resource Planner'!$C$44,"")</f>
        <v/>
      </c>
      <c r="C1706" s="163" t="str">
        <f>IF(AND('Resource Planner'!$A$44="☑",2&lt;='Resource Planner'!$N$44),'Resource Planner'!$B$44,"")</f>
        <v/>
      </c>
      <c r="D1706" s="163" t="str">
        <f>IF(AND('Resource Planner'!$A$44="☑",2&lt;='Resource Planner'!$N$44),'Resource Planner'!$D$44,"")</f>
        <v/>
      </c>
      <c r="E1706" s="163" t="str">
        <f>IF(AND('Resource Planner'!$A$44="☑",2&lt;='Resource Planner'!$N$44),'Resource Planner'!$E$44,"")</f>
        <v/>
      </c>
      <c r="F1706" s="163" t="str">
        <f>IF(AND('Resource Planner'!$A$44="☑",2&lt;='Resource Planner'!$N$44),'Resource Planner'!$F$44&amp;" "&amp;('Resource Planner'!$G$44+(2-1)*'Resource Planner'!$I$44)&amp;IF(('Resource Planner'!$G$44+(2-1)*'Resource Planner'!$I$44)=MIN('Resource Planner'!$G$44+2*'Resource Planner'!$I$44-1,'Resource Planner'!$H$44),"","–"&amp;MIN('Resource Planner'!$G$44+2*'Resource Planner'!$I$44-1,'Resource Planner'!$H$44)),"")</f>
        <v/>
      </c>
      <c r="G1706" s="163" t="s">
        <v>109</v>
      </c>
      <c r="H1706" s="163" t="str">
        <f>IF(AND('Resource Planner'!$A$44="☑",2&lt;='Resource Planner'!$N$44),'Resource Planner'!$M$44,"")</f>
        <v/>
      </c>
    </row>
    <row r="1707" ht="15.75" customHeight="1">
      <c r="A17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7" s="163" t="str">
        <f>IF(AND('Resource Planner'!$A$44="☑",3&lt;='Resource Planner'!$N$44),'Resource Planner'!$C$44,"")</f>
        <v/>
      </c>
      <c r="C1707" s="163" t="str">
        <f>IF(AND('Resource Planner'!$A$44="☑",3&lt;='Resource Planner'!$N$44),'Resource Planner'!$B$44,"")</f>
        <v/>
      </c>
      <c r="D1707" s="163" t="str">
        <f>IF(AND('Resource Planner'!$A$44="☑",3&lt;='Resource Planner'!$N$44),'Resource Planner'!$D$44,"")</f>
        <v/>
      </c>
      <c r="E1707" s="163" t="str">
        <f>IF(AND('Resource Planner'!$A$44="☑",3&lt;='Resource Planner'!$N$44),'Resource Planner'!$E$44,"")</f>
        <v/>
      </c>
      <c r="F1707" s="163" t="str">
        <f>IF(AND('Resource Planner'!$A$44="☑",3&lt;='Resource Planner'!$N$44),'Resource Planner'!$F$44&amp;" "&amp;('Resource Planner'!$G$44+(3-1)*'Resource Planner'!$I$44)&amp;IF(('Resource Planner'!$G$44+(3-1)*'Resource Planner'!$I$44)=MIN('Resource Planner'!$G$44+3*'Resource Planner'!$I$44-1,'Resource Planner'!$H$44),"","–"&amp;MIN('Resource Planner'!$G$44+3*'Resource Planner'!$I$44-1,'Resource Planner'!$H$44)),"")</f>
        <v/>
      </c>
      <c r="G1707" s="163" t="s">
        <v>109</v>
      </c>
      <c r="H1707" s="163" t="str">
        <f>IF(AND('Resource Planner'!$A$44="☑",3&lt;='Resource Planner'!$N$44),'Resource Planner'!$M$44,"")</f>
        <v/>
      </c>
    </row>
    <row r="1708" ht="15.75" customHeight="1">
      <c r="A17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8" s="163" t="str">
        <f>IF(AND('Resource Planner'!$A$44="☑",4&lt;='Resource Planner'!$N$44),'Resource Planner'!$C$44,"")</f>
        <v/>
      </c>
      <c r="C1708" s="163" t="str">
        <f>IF(AND('Resource Planner'!$A$44="☑",4&lt;='Resource Planner'!$N$44),'Resource Planner'!$B$44,"")</f>
        <v/>
      </c>
      <c r="D1708" s="163" t="str">
        <f>IF(AND('Resource Planner'!$A$44="☑",4&lt;='Resource Planner'!$N$44),'Resource Planner'!$D$44,"")</f>
        <v/>
      </c>
      <c r="E1708" s="163" t="str">
        <f>IF(AND('Resource Planner'!$A$44="☑",4&lt;='Resource Planner'!$N$44),'Resource Planner'!$E$44,"")</f>
        <v/>
      </c>
      <c r="F1708" s="163" t="str">
        <f>IF(AND('Resource Planner'!$A$44="☑",4&lt;='Resource Planner'!$N$44),'Resource Planner'!$F$44&amp;" "&amp;('Resource Planner'!$G$44+(4-1)*'Resource Planner'!$I$44)&amp;IF(('Resource Planner'!$G$44+(4-1)*'Resource Planner'!$I$44)=MIN('Resource Planner'!$G$44+4*'Resource Planner'!$I$44-1,'Resource Planner'!$H$44),"","–"&amp;MIN('Resource Planner'!$G$44+4*'Resource Planner'!$I$44-1,'Resource Planner'!$H$44)),"")</f>
        <v/>
      </c>
      <c r="G1708" s="163" t="s">
        <v>109</v>
      </c>
      <c r="H1708" s="163" t="str">
        <f>IF(AND('Resource Planner'!$A$44="☑",4&lt;='Resource Planner'!$N$44),'Resource Planner'!$M$44,"")</f>
        <v/>
      </c>
    </row>
    <row r="1709" ht="15.75" customHeight="1">
      <c r="A17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09" s="163" t="str">
        <f>IF(AND('Resource Planner'!$A$44="☑",5&lt;='Resource Planner'!$N$44),'Resource Planner'!$C$44,"")</f>
        <v/>
      </c>
      <c r="C1709" s="163" t="str">
        <f>IF(AND('Resource Planner'!$A$44="☑",5&lt;='Resource Planner'!$N$44),'Resource Planner'!$B$44,"")</f>
        <v/>
      </c>
      <c r="D1709" s="163" t="str">
        <f>IF(AND('Resource Planner'!$A$44="☑",5&lt;='Resource Planner'!$N$44),'Resource Planner'!$D$44,"")</f>
        <v/>
      </c>
      <c r="E1709" s="163" t="str">
        <f>IF(AND('Resource Planner'!$A$44="☑",5&lt;='Resource Planner'!$N$44),'Resource Planner'!$E$44,"")</f>
        <v/>
      </c>
      <c r="F1709" s="163" t="str">
        <f>IF(AND('Resource Planner'!$A$44="☑",5&lt;='Resource Planner'!$N$44),'Resource Planner'!$F$44&amp;" "&amp;('Resource Planner'!$G$44+(5-1)*'Resource Planner'!$I$44)&amp;IF(('Resource Planner'!$G$44+(5-1)*'Resource Planner'!$I$44)=MIN('Resource Planner'!$G$44+5*'Resource Planner'!$I$44-1,'Resource Planner'!$H$44),"","–"&amp;MIN('Resource Planner'!$G$44+5*'Resource Planner'!$I$44-1,'Resource Planner'!$H$44)),"")</f>
        <v/>
      </c>
      <c r="G1709" s="163" t="s">
        <v>109</v>
      </c>
      <c r="H1709" s="163" t="str">
        <f>IF(AND('Resource Planner'!$A$44="☑",5&lt;='Resource Planner'!$N$44),'Resource Planner'!$M$44,"")</f>
        <v/>
      </c>
    </row>
    <row r="1710" ht="15.75" customHeight="1">
      <c r="A17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0" s="163" t="str">
        <f>IF(AND('Resource Planner'!$A$44="☑",6&lt;='Resource Planner'!$N$44),'Resource Planner'!$C$44,"")</f>
        <v/>
      </c>
      <c r="C1710" s="163" t="str">
        <f>IF(AND('Resource Planner'!$A$44="☑",6&lt;='Resource Planner'!$N$44),'Resource Planner'!$B$44,"")</f>
        <v/>
      </c>
      <c r="D1710" s="163" t="str">
        <f>IF(AND('Resource Planner'!$A$44="☑",6&lt;='Resource Planner'!$N$44),'Resource Planner'!$D$44,"")</f>
        <v/>
      </c>
      <c r="E1710" s="163" t="str">
        <f>IF(AND('Resource Planner'!$A$44="☑",6&lt;='Resource Planner'!$N$44),'Resource Planner'!$E$44,"")</f>
        <v/>
      </c>
      <c r="F1710" s="163" t="str">
        <f>IF(AND('Resource Planner'!$A$44="☑",6&lt;='Resource Planner'!$N$44),'Resource Planner'!$F$44&amp;" "&amp;('Resource Planner'!$G$44+(6-1)*'Resource Planner'!$I$44)&amp;IF(('Resource Planner'!$G$44+(6-1)*'Resource Planner'!$I$44)=MIN('Resource Planner'!$G$44+6*'Resource Planner'!$I$44-1,'Resource Planner'!$H$44),"","–"&amp;MIN('Resource Planner'!$G$44+6*'Resource Planner'!$I$44-1,'Resource Planner'!$H$44)),"")</f>
        <v/>
      </c>
      <c r="G1710" s="163" t="s">
        <v>109</v>
      </c>
      <c r="H1710" s="163" t="str">
        <f>IF(AND('Resource Planner'!$A$44="☑",6&lt;='Resource Planner'!$N$44),'Resource Planner'!$M$44,"")</f>
        <v/>
      </c>
    </row>
    <row r="1711" ht="15.75" customHeight="1">
      <c r="A17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1" s="163" t="str">
        <f>IF(AND('Resource Planner'!$A$44="☑",7&lt;='Resource Planner'!$N$44),'Resource Planner'!$C$44,"")</f>
        <v/>
      </c>
      <c r="C1711" s="163" t="str">
        <f>IF(AND('Resource Planner'!$A$44="☑",7&lt;='Resource Planner'!$N$44),'Resource Planner'!$B$44,"")</f>
        <v/>
      </c>
      <c r="D1711" s="163" t="str">
        <f>IF(AND('Resource Planner'!$A$44="☑",7&lt;='Resource Planner'!$N$44),'Resource Planner'!$D$44,"")</f>
        <v/>
      </c>
      <c r="E1711" s="163" t="str">
        <f>IF(AND('Resource Planner'!$A$44="☑",7&lt;='Resource Planner'!$N$44),'Resource Planner'!$E$44,"")</f>
        <v/>
      </c>
      <c r="F1711" s="163" t="str">
        <f>IF(AND('Resource Planner'!$A$44="☑",7&lt;='Resource Planner'!$N$44),'Resource Planner'!$F$44&amp;" "&amp;('Resource Planner'!$G$44+(7-1)*'Resource Planner'!$I$44)&amp;IF(('Resource Planner'!$G$44+(7-1)*'Resource Planner'!$I$44)=MIN('Resource Planner'!$G$44+7*'Resource Planner'!$I$44-1,'Resource Planner'!$H$44),"","–"&amp;MIN('Resource Planner'!$G$44+7*'Resource Planner'!$I$44-1,'Resource Planner'!$H$44)),"")</f>
        <v/>
      </c>
      <c r="G1711" s="163" t="s">
        <v>109</v>
      </c>
      <c r="H1711" s="163" t="str">
        <f>IF(AND('Resource Planner'!$A$44="☑",7&lt;='Resource Planner'!$N$44),'Resource Planner'!$M$44,"")</f>
        <v/>
      </c>
    </row>
    <row r="1712" ht="15.75" customHeight="1">
      <c r="A17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2" s="163" t="str">
        <f>IF(AND('Resource Planner'!$A$44="☑",8&lt;='Resource Planner'!$N$44),'Resource Planner'!$C$44,"")</f>
        <v/>
      </c>
      <c r="C1712" s="163" t="str">
        <f>IF(AND('Resource Planner'!$A$44="☑",8&lt;='Resource Planner'!$N$44),'Resource Planner'!$B$44,"")</f>
        <v/>
      </c>
      <c r="D1712" s="163" t="str">
        <f>IF(AND('Resource Planner'!$A$44="☑",8&lt;='Resource Planner'!$N$44),'Resource Planner'!$D$44,"")</f>
        <v/>
      </c>
      <c r="E1712" s="163" t="str">
        <f>IF(AND('Resource Planner'!$A$44="☑",8&lt;='Resource Planner'!$N$44),'Resource Planner'!$E$44,"")</f>
        <v/>
      </c>
      <c r="F1712" s="163" t="str">
        <f>IF(AND('Resource Planner'!$A$44="☑",8&lt;='Resource Planner'!$N$44),'Resource Planner'!$F$44&amp;" "&amp;('Resource Planner'!$G$44+(8-1)*'Resource Planner'!$I$44)&amp;IF(('Resource Planner'!$G$44+(8-1)*'Resource Planner'!$I$44)=MIN('Resource Planner'!$G$44+8*'Resource Planner'!$I$44-1,'Resource Planner'!$H$44),"","–"&amp;MIN('Resource Planner'!$G$44+8*'Resource Planner'!$I$44-1,'Resource Planner'!$H$44)),"")</f>
        <v/>
      </c>
      <c r="G1712" s="163" t="s">
        <v>109</v>
      </c>
      <c r="H1712" s="163" t="str">
        <f>IF(AND('Resource Planner'!$A$44="☑",8&lt;='Resource Planner'!$N$44),'Resource Planner'!$M$44,"")</f>
        <v/>
      </c>
    </row>
    <row r="1713" ht="15.75" customHeight="1">
      <c r="A17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3" s="163" t="str">
        <f>IF(AND('Resource Planner'!$A$44="☑",9&lt;='Resource Planner'!$N$44),'Resource Planner'!$C$44,"")</f>
        <v/>
      </c>
      <c r="C1713" s="163" t="str">
        <f>IF(AND('Resource Planner'!$A$44="☑",9&lt;='Resource Planner'!$N$44),'Resource Planner'!$B$44,"")</f>
        <v/>
      </c>
      <c r="D1713" s="163" t="str">
        <f>IF(AND('Resource Planner'!$A$44="☑",9&lt;='Resource Planner'!$N$44),'Resource Planner'!$D$44,"")</f>
        <v/>
      </c>
      <c r="E1713" s="163" t="str">
        <f>IF(AND('Resource Planner'!$A$44="☑",9&lt;='Resource Planner'!$N$44),'Resource Planner'!$E$44,"")</f>
        <v/>
      </c>
      <c r="F1713" s="163" t="str">
        <f>IF(AND('Resource Planner'!$A$44="☑",9&lt;='Resource Planner'!$N$44),'Resource Planner'!$F$44&amp;" "&amp;('Resource Planner'!$G$44+(9-1)*'Resource Planner'!$I$44)&amp;IF(('Resource Planner'!$G$44+(9-1)*'Resource Planner'!$I$44)=MIN('Resource Planner'!$G$44+9*'Resource Planner'!$I$44-1,'Resource Planner'!$H$44),"","–"&amp;MIN('Resource Planner'!$G$44+9*'Resource Planner'!$I$44-1,'Resource Planner'!$H$44)),"")</f>
        <v/>
      </c>
      <c r="G1713" s="163" t="s">
        <v>109</v>
      </c>
      <c r="H1713" s="163" t="str">
        <f>IF(AND('Resource Planner'!$A$44="☑",9&lt;='Resource Planner'!$N$44),'Resource Planner'!$M$44,"")</f>
        <v/>
      </c>
    </row>
    <row r="1714" ht="15.75" customHeight="1">
      <c r="A17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4" s="163" t="str">
        <f>IF(AND('Resource Planner'!$A$44="☑",10&lt;='Resource Planner'!$N$44),'Resource Planner'!$C$44,"")</f>
        <v/>
      </c>
      <c r="C1714" s="163" t="str">
        <f>IF(AND('Resource Planner'!$A$44="☑",10&lt;='Resource Planner'!$N$44),'Resource Planner'!$B$44,"")</f>
        <v/>
      </c>
      <c r="D1714" s="163" t="str">
        <f>IF(AND('Resource Planner'!$A$44="☑",10&lt;='Resource Planner'!$N$44),'Resource Planner'!$D$44,"")</f>
        <v/>
      </c>
      <c r="E1714" s="163" t="str">
        <f>IF(AND('Resource Planner'!$A$44="☑",10&lt;='Resource Planner'!$N$44),'Resource Planner'!$E$44,"")</f>
        <v/>
      </c>
      <c r="F1714" s="163" t="str">
        <f>IF(AND('Resource Planner'!$A$44="☑",10&lt;='Resource Planner'!$N$44),'Resource Planner'!$F$44&amp;" "&amp;('Resource Planner'!$G$44+(10-1)*'Resource Planner'!$I$44)&amp;IF(('Resource Planner'!$G$44+(10-1)*'Resource Planner'!$I$44)=MIN('Resource Planner'!$G$44+10*'Resource Planner'!$I$44-1,'Resource Planner'!$H$44),"","–"&amp;MIN('Resource Planner'!$G$44+10*'Resource Planner'!$I$44-1,'Resource Planner'!$H$44)),"")</f>
        <v/>
      </c>
      <c r="G1714" s="163" t="s">
        <v>109</v>
      </c>
      <c r="H1714" s="163" t="str">
        <f>IF(AND('Resource Planner'!$A$44="☑",10&lt;='Resource Planner'!$N$44),'Resource Planner'!$M$44,"")</f>
        <v/>
      </c>
    </row>
    <row r="1715" ht="15.75" customHeight="1">
      <c r="A17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5" s="163" t="str">
        <f>IF(AND('Resource Planner'!$A$44="☑",11&lt;='Resource Planner'!$N$44),'Resource Planner'!$C$44,"")</f>
        <v/>
      </c>
      <c r="C1715" s="163" t="str">
        <f>IF(AND('Resource Planner'!$A$44="☑",11&lt;='Resource Planner'!$N$44),'Resource Planner'!$B$44,"")</f>
        <v/>
      </c>
      <c r="D1715" s="163" t="str">
        <f>IF(AND('Resource Planner'!$A$44="☑",11&lt;='Resource Planner'!$N$44),'Resource Planner'!$D$44,"")</f>
        <v/>
      </c>
      <c r="E1715" s="163" t="str">
        <f>IF(AND('Resource Planner'!$A$44="☑",11&lt;='Resource Planner'!$N$44),'Resource Planner'!$E$44,"")</f>
        <v/>
      </c>
      <c r="F1715" s="163" t="str">
        <f>IF(AND('Resource Planner'!$A$44="☑",11&lt;='Resource Planner'!$N$44),'Resource Planner'!$F$44&amp;" "&amp;('Resource Planner'!$G$44+(11-1)*'Resource Planner'!$I$44)&amp;IF(('Resource Planner'!$G$44+(11-1)*'Resource Planner'!$I$44)=MIN('Resource Planner'!$G$44+11*'Resource Planner'!$I$44-1,'Resource Planner'!$H$44),"","–"&amp;MIN('Resource Planner'!$G$44+11*'Resource Planner'!$I$44-1,'Resource Planner'!$H$44)),"")</f>
        <v/>
      </c>
      <c r="G1715" s="163" t="s">
        <v>109</v>
      </c>
      <c r="H1715" s="163" t="str">
        <f>IF(AND('Resource Planner'!$A$44="☑",11&lt;='Resource Planner'!$N$44),'Resource Planner'!$M$44,"")</f>
        <v/>
      </c>
    </row>
    <row r="1716" ht="15.75" customHeight="1">
      <c r="A17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6" s="163" t="str">
        <f>IF(AND('Resource Planner'!$A$44="☑",12&lt;='Resource Planner'!$N$44),'Resource Planner'!$C$44,"")</f>
        <v/>
      </c>
      <c r="C1716" s="163" t="str">
        <f>IF(AND('Resource Planner'!$A$44="☑",12&lt;='Resource Planner'!$N$44),'Resource Planner'!$B$44,"")</f>
        <v/>
      </c>
      <c r="D1716" s="163" t="str">
        <f>IF(AND('Resource Planner'!$A$44="☑",12&lt;='Resource Planner'!$N$44),'Resource Planner'!$D$44,"")</f>
        <v/>
      </c>
      <c r="E1716" s="163" t="str">
        <f>IF(AND('Resource Planner'!$A$44="☑",12&lt;='Resource Planner'!$N$44),'Resource Planner'!$E$44,"")</f>
        <v/>
      </c>
      <c r="F1716" s="163" t="str">
        <f>IF(AND('Resource Planner'!$A$44="☑",12&lt;='Resource Planner'!$N$44),'Resource Planner'!$F$44&amp;" "&amp;('Resource Planner'!$G$44+(12-1)*'Resource Planner'!$I$44)&amp;IF(('Resource Planner'!$G$44+(12-1)*'Resource Planner'!$I$44)=MIN('Resource Planner'!$G$44+12*'Resource Planner'!$I$44-1,'Resource Planner'!$H$44),"","–"&amp;MIN('Resource Planner'!$G$44+12*'Resource Planner'!$I$44-1,'Resource Planner'!$H$44)),"")</f>
        <v/>
      </c>
      <c r="G1716" s="163" t="s">
        <v>109</v>
      </c>
      <c r="H1716" s="163" t="str">
        <f>IF(AND('Resource Planner'!$A$44="☑",12&lt;='Resource Planner'!$N$44),'Resource Planner'!$M$44,"")</f>
        <v/>
      </c>
    </row>
    <row r="1717" ht="15.75" customHeight="1">
      <c r="A17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7" s="163" t="str">
        <f>IF(AND('Resource Planner'!$A$44="☑",13&lt;='Resource Planner'!$N$44),'Resource Planner'!$C$44,"")</f>
        <v/>
      </c>
      <c r="C1717" s="163" t="str">
        <f>IF(AND('Resource Planner'!$A$44="☑",13&lt;='Resource Planner'!$N$44),'Resource Planner'!$B$44,"")</f>
        <v/>
      </c>
      <c r="D1717" s="163" t="str">
        <f>IF(AND('Resource Planner'!$A$44="☑",13&lt;='Resource Planner'!$N$44),'Resource Planner'!$D$44,"")</f>
        <v/>
      </c>
      <c r="E1717" s="163" t="str">
        <f>IF(AND('Resource Planner'!$A$44="☑",13&lt;='Resource Planner'!$N$44),'Resource Planner'!$E$44,"")</f>
        <v/>
      </c>
      <c r="F1717" s="163" t="str">
        <f>IF(AND('Resource Planner'!$A$44="☑",13&lt;='Resource Planner'!$N$44),'Resource Planner'!$F$44&amp;" "&amp;('Resource Planner'!$G$44+(13-1)*'Resource Planner'!$I$44)&amp;IF(('Resource Planner'!$G$44+(13-1)*'Resource Planner'!$I$44)=MIN('Resource Planner'!$G$44+13*'Resource Planner'!$I$44-1,'Resource Planner'!$H$44),"","–"&amp;MIN('Resource Planner'!$G$44+13*'Resource Planner'!$I$44-1,'Resource Planner'!$H$44)),"")</f>
        <v/>
      </c>
      <c r="G1717" s="163" t="s">
        <v>109</v>
      </c>
      <c r="H1717" s="163" t="str">
        <f>IF(AND('Resource Planner'!$A$44="☑",13&lt;='Resource Planner'!$N$44),'Resource Planner'!$M$44,"")</f>
        <v/>
      </c>
    </row>
    <row r="1718" ht="15.75" customHeight="1">
      <c r="A17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8" s="163" t="str">
        <f>IF(AND('Resource Planner'!$A$44="☑",14&lt;='Resource Planner'!$N$44),'Resource Planner'!$C$44,"")</f>
        <v/>
      </c>
      <c r="C1718" s="163" t="str">
        <f>IF(AND('Resource Planner'!$A$44="☑",14&lt;='Resource Planner'!$N$44),'Resource Planner'!$B$44,"")</f>
        <v/>
      </c>
      <c r="D1718" s="163" t="str">
        <f>IF(AND('Resource Planner'!$A$44="☑",14&lt;='Resource Planner'!$N$44),'Resource Planner'!$D$44,"")</f>
        <v/>
      </c>
      <c r="E1718" s="163" t="str">
        <f>IF(AND('Resource Planner'!$A$44="☑",14&lt;='Resource Planner'!$N$44),'Resource Planner'!$E$44,"")</f>
        <v/>
      </c>
      <c r="F1718" s="163" t="str">
        <f>IF(AND('Resource Planner'!$A$44="☑",14&lt;='Resource Planner'!$N$44),'Resource Planner'!$F$44&amp;" "&amp;('Resource Planner'!$G$44+(14-1)*'Resource Planner'!$I$44)&amp;IF(('Resource Planner'!$G$44+(14-1)*'Resource Planner'!$I$44)=MIN('Resource Planner'!$G$44+14*'Resource Planner'!$I$44-1,'Resource Planner'!$H$44),"","–"&amp;MIN('Resource Planner'!$G$44+14*'Resource Planner'!$I$44-1,'Resource Planner'!$H$44)),"")</f>
        <v/>
      </c>
      <c r="G1718" s="163" t="s">
        <v>109</v>
      </c>
      <c r="H1718" s="163" t="str">
        <f>IF(AND('Resource Planner'!$A$44="☑",14&lt;='Resource Planner'!$N$44),'Resource Planner'!$M$44,"")</f>
        <v/>
      </c>
    </row>
    <row r="1719" ht="15.75" customHeight="1">
      <c r="A17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19" s="163" t="str">
        <f>IF(AND('Resource Planner'!$A$44="☑",15&lt;='Resource Planner'!$N$44),'Resource Planner'!$C$44,"")</f>
        <v/>
      </c>
      <c r="C1719" s="163" t="str">
        <f>IF(AND('Resource Planner'!$A$44="☑",15&lt;='Resource Planner'!$N$44),'Resource Planner'!$B$44,"")</f>
        <v/>
      </c>
      <c r="D1719" s="163" t="str">
        <f>IF(AND('Resource Planner'!$A$44="☑",15&lt;='Resource Planner'!$N$44),'Resource Planner'!$D$44,"")</f>
        <v/>
      </c>
      <c r="E1719" s="163" t="str">
        <f>IF(AND('Resource Planner'!$A$44="☑",15&lt;='Resource Planner'!$N$44),'Resource Planner'!$E$44,"")</f>
        <v/>
      </c>
      <c r="F1719" s="163" t="str">
        <f>IF(AND('Resource Planner'!$A$44="☑",15&lt;='Resource Planner'!$N$44),'Resource Planner'!$F$44&amp;" "&amp;('Resource Planner'!$G$44+(15-1)*'Resource Planner'!$I$44)&amp;IF(('Resource Planner'!$G$44+(15-1)*'Resource Planner'!$I$44)=MIN('Resource Planner'!$G$44+15*'Resource Planner'!$I$44-1,'Resource Planner'!$H$44),"","–"&amp;MIN('Resource Planner'!$G$44+15*'Resource Planner'!$I$44-1,'Resource Planner'!$H$44)),"")</f>
        <v/>
      </c>
      <c r="G1719" s="163" t="s">
        <v>109</v>
      </c>
      <c r="H1719" s="163" t="str">
        <f>IF(AND('Resource Planner'!$A$44="☑",15&lt;='Resource Planner'!$N$44),'Resource Planner'!$M$44,"")</f>
        <v/>
      </c>
    </row>
    <row r="1720" ht="15.75" customHeight="1">
      <c r="A17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0" s="163" t="str">
        <f>IF(AND('Resource Planner'!$A$44="☑",16&lt;='Resource Planner'!$N$44),'Resource Planner'!$C$44,"")</f>
        <v/>
      </c>
      <c r="C1720" s="163" t="str">
        <f>IF(AND('Resource Planner'!$A$44="☑",16&lt;='Resource Planner'!$N$44),'Resource Planner'!$B$44,"")</f>
        <v/>
      </c>
      <c r="D1720" s="163" t="str">
        <f>IF(AND('Resource Planner'!$A$44="☑",16&lt;='Resource Planner'!$N$44),'Resource Planner'!$D$44,"")</f>
        <v/>
      </c>
      <c r="E1720" s="163" t="str">
        <f>IF(AND('Resource Planner'!$A$44="☑",16&lt;='Resource Planner'!$N$44),'Resource Planner'!$E$44,"")</f>
        <v/>
      </c>
      <c r="F1720" s="163" t="str">
        <f>IF(AND('Resource Planner'!$A$44="☑",16&lt;='Resource Planner'!$N$44),'Resource Planner'!$F$44&amp;" "&amp;('Resource Planner'!$G$44+(16-1)*'Resource Planner'!$I$44)&amp;IF(('Resource Planner'!$G$44+(16-1)*'Resource Planner'!$I$44)=MIN('Resource Planner'!$G$44+16*'Resource Planner'!$I$44-1,'Resource Planner'!$H$44),"","–"&amp;MIN('Resource Planner'!$G$44+16*'Resource Planner'!$I$44-1,'Resource Planner'!$H$44)),"")</f>
        <v/>
      </c>
      <c r="G1720" s="163" t="s">
        <v>109</v>
      </c>
      <c r="H1720" s="163" t="str">
        <f>IF(AND('Resource Planner'!$A$44="☑",16&lt;='Resource Planner'!$N$44),'Resource Planner'!$M$44,"")</f>
        <v/>
      </c>
    </row>
    <row r="1721" ht="15.75" customHeight="1">
      <c r="A17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1" s="163" t="str">
        <f>IF(AND('Resource Planner'!$A$44="☑",17&lt;='Resource Planner'!$N$44),'Resource Planner'!$C$44,"")</f>
        <v/>
      </c>
      <c r="C1721" s="163" t="str">
        <f>IF(AND('Resource Planner'!$A$44="☑",17&lt;='Resource Planner'!$N$44),'Resource Planner'!$B$44,"")</f>
        <v/>
      </c>
      <c r="D1721" s="163" t="str">
        <f>IF(AND('Resource Planner'!$A$44="☑",17&lt;='Resource Planner'!$N$44),'Resource Planner'!$D$44,"")</f>
        <v/>
      </c>
      <c r="E1721" s="163" t="str">
        <f>IF(AND('Resource Planner'!$A$44="☑",17&lt;='Resource Planner'!$N$44),'Resource Planner'!$E$44,"")</f>
        <v/>
      </c>
      <c r="F1721" s="163" t="str">
        <f>IF(AND('Resource Planner'!$A$44="☑",17&lt;='Resource Planner'!$N$44),'Resource Planner'!$F$44&amp;" "&amp;('Resource Planner'!$G$44+(17-1)*'Resource Planner'!$I$44)&amp;IF(('Resource Planner'!$G$44+(17-1)*'Resource Planner'!$I$44)=MIN('Resource Planner'!$G$44+17*'Resource Planner'!$I$44-1,'Resource Planner'!$H$44),"","–"&amp;MIN('Resource Planner'!$G$44+17*'Resource Planner'!$I$44-1,'Resource Planner'!$H$44)),"")</f>
        <v/>
      </c>
      <c r="G1721" s="163" t="s">
        <v>109</v>
      </c>
      <c r="H1721" s="163" t="str">
        <f>IF(AND('Resource Planner'!$A$44="☑",17&lt;='Resource Planner'!$N$44),'Resource Planner'!$M$44,"")</f>
        <v/>
      </c>
    </row>
    <row r="1722" ht="15.75" customHeight="1">
      <c r="A17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2" s="163" t="str">
        <f>IF(AND('Resource Planner'!$A$44="☑",18&lt;='Resource Planner'!$N$44),'Resource Planner'!$C$44,"")</f>
        <v/>
      </c>
      <c r="C1722" s="163" t="str">
        <f>IF(AND('Resource Planner'!$A$44="☑",18&lt;='Resource Planner'!$N$44),'Resource Planner'!$B$44,"")</f>
        <v/>
      </c>
      <c r="D1722" s="163" t="str">
        <f>IF(AND('Resource Planner'!$A$44="☑",18&lt;='Resource Planner'!$N$44),'Resource Planner'!$D$44,"")</f>
        <v/>
      </c>
      <c r="E1722" s="163" t="str">
        <f>IF(AND('Resource Planner'!$A$44="☑",18&lt;='Resource Planner'!$N$44),'Resource Planner'!$E$44,"")</f>
        <v/>
      </c>
      <c r="F1722" s="163" t="str">
        <f>IF(AND('Resource Planner'!$A$44="☑",18&lt;='Resource Planner'!$N$44),'Resource Planner'!$F$44&amp;" "&amp;('Resource Planner'!$G$44+(18-1)*'Resource Planner'!$I$44)&amp;IF(('Resource Planner'!$G$44+(18-1)*'Resource Planner'!$I$44)=MIN('Resource Planner'!$G$44+18*'Resource Planner'!$I$44-1,'Resource Planner'!$H$44),"","–"&amp;MIN('Resource Planner'!$G$44+18*'Resource Planner'!$I$44-1,'Resource Planner'!$H$44)),"")</f>
        <v/>
      </c>
      <c r="G1722" s="163" t="s">
        <v>109</v>
      </c>
      <c r="H1722" s="163" t="str">
        <f>IF(AND('Resource Planner'!$A$44="☑",18&lt;='Resource Planner'!$N$44),'Resource Planner'!$M$44,"")</f>
        <v/>
      </c>
    </row>
    <row r="1723" ht="15.75" customHeight="1">
      <c r="A17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3" s="163" t="str">
        <f>IF(AND('Resource Planner'!$A$44="☑",19&lt;='Resource Planner'!$N$44),'Resource Planner'!$C$44,"")</f>
        <v/>
      </c>
      <c r="C1723" s="163" t="str">
        <f>IF(AND('Resource Planner'!$A$44="☑",19&lt;='Resource Planner'!$N$44),'Resource Planner'!$B$44,"")</f>
        <v/>
      </c>
      <c r="D1723" s="163" t="str">
        <f>IF(AND('Resource Planner'!$A$44="☑",19&lt;='Resource Planner'!$N$44),'Resource Planner'!$D$44,"")</f>
        <v/>
      </c>
      <c r="E1723" s="163" t="str">
        <f>IF(AND('Resource Planner'!$A$44="☑",19&lt;='Resource Planner'!$N$44),'Resource Planner'!$E$44,"")</f>
        <v/>
      </c>
      <c r="F1723" s="163" t="str">
        <f>IF(AND('Resource Planner'!$A$44="☑",19&lt;='Resource Planner'!$N$44),'Resource Planner'!$F$44&amp;" "&amp;('Resource Planner'!$G$44+(19-1)*'Resource Planner'!$I$44)&amp;IF(('Resource Planner'!$G$44+(19-1)*'Resource Planner'!$I$44)=MIN('Resource Planner'!$G$44+19*'Resource Planner'!$I$44-1,'Resource Planner'!$H$44),"","–"&amp;MIN('Resource Planner'!$G$44+19*'Resource Planner'!$I$44-1,'Resource Planner'!$H$44)),"")</f>
        <v/>
      </c>
      <c r="G1723" s="163" t="s">
        <v>109</v>
      </c>
      <c r="H1723" s="163" t="str">
        <f>IF(AND('Resource Planner'!$A$44="☑",19&lt;='Resource Planner'!$N$44),'Resource Planner'!$M$44,"")</f>
        <v/>
      </c>
    </row>
    <row r="1724" ht="15.75" customHeight="1">
      <c r="A17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4" s="163" t="str">
        <f>IF(AND('Resource Planner'!$A$44="☑",20&lt;='Resource Planner'!$N$44),'Resource Planner'!$C$44,"")</f>
        <v/>
      </c>
      <c r="C1724" s="163" t="str">
        <f>IF(AND('Resource Planner'!$A$44="☑",20&lt;='Resource Planner'!$N$44),'Resource Planner'!$B$44,"")</f>
        <v/>
      </c>
      <c r="D1724" s="163" t="str">
        <f>IF(AND('Resource Planner'!$A$44="☑",20&lt;='Resource Planner'!$N$44),'Resource Planner'!$D$44,"")</f>
        <v/>
      </c>
      <c r="E1724" s="163" t="str">
        <f>IF(AND('Resource Planner'!$A$44="☑",20&lt;='Resource Planner'!$N$44),'Resource Planner'!$E$44,"")</f>
        <v/>
      </c>
      <c r="F1724" s="163" t="str">
        <f>IF(AND('Resource Planner'!$A$44="☑",20&lt;='Resource Planner'!$N$44),'Resource Planner'!$F$44&amp;" "&amp;('Resource Planner'!$G$44+(20-1)*'Resource Planner'!$I$44)&amp;IF(('Resource Planner'!$G$44+(20-1)*'Resource Planner'!$I$44)=MIN('Resource Planner'!$G$44+20*'Resource Planner'!$I$44-1,'Resource Planner'!$H$44),"","–"&amp;MIN('Resource Planner'!$G$44+20*'Resource Planner'!$I$44-1,'Resource Planner'!$H$44)),"")</f>
        <v/>
      </c>
      <c r="G1724" s="163" t="s">
        <v>109</v>
      </c>
      <c r="H1724" s="163" t="str">
        <f>IF(AND('Resource Planner'!$A$44="☑",20&lt;='Resource Planner'!$N$44),'Resource Planner'!$M$44,"")</f>
        <v/>
      </c>
    </row>
    <row r="1725" ht="15.75" customHeight="1">
      <c r="A17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5" s="163" t="str">
        <f>IF(AND('Resource Planner'!$A$44="☑",21&lt;='Resource Planner'!$N$44),'Resource Planner'!$C$44,"")</f>
        <v/>
      </c>
      <c r="C1725" s="163" t="str">
        <f>IF(AND('Resource Planner'!$A$44="☑",21&lt;='Resource Planner'!$N$44),'Resource Planner'!$B$44,"")</f>
        <v/>
      </c>
      <c r="D1725" s="163" t="str">
        <f>IF(AND('Resource Planner'!$A$44="☑",21&lt;='Resource Planner'!$N$44),'Resource Planner'!$D$44,"")</f>
        <v/>
      </c>
      <c r="E1725" s="163" t="str">
        <f>IF(AND('Resource Planner'!$A$44="☑",21&lt;='Resource Planner'!$N$44),'Resource Planner'!$E$44,"")</f>
        <v/>
      </c>
      <c r="F1725" s="163" t="str">
        <f>IF(AND('Resource Planner'!$A$44="☑",21&lt;='Resource Planner'!$N$44),'Resource Planner'!$F$44&amp;" "&amp;('Resource Planner'!$G$44+(21-1)*'Resource Planner'!$I$44)&amp;IF(('Resource Planner'!$G$44+(21-1)*'Resource Planner'!$I$44)=MIN('Resource Planner'!$G$44+21*'Resource Planner'!$I$44-1,'Resource Planner'!$H$44),"","–"&amp;MIN('Resource Planner'!$G$44+21*'Resource Planner'!$I$44-1,'Resource Planner'!$H$44)),"")</f>
        <v/>
      </c>
      <c r="G1725" s="163" t="s">
        <v>109</v>
      </c>
      <c r="H1725" s="163" t="str">
        <f>IF(AND('Resource Planner'!$A$44="☑",21&lt;='Resource Planner'!$N$44),'Resource Planner'!$M$44,"")</f>
        <v/>
      </c>
    </row>
    <row r="1726" ht="15.75" customHeight="1">
      <c r="A17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6" s="163" t="str">
        <f>IF(AND('Resource Planner'!$A$44="☑",22&lt;='Resource Planner'!$N$44),'Resource Planner'!$C$44,"")</f>
        <v/>
      </c>
      <c r="C1726" s="163" t="str">
        <f>IF(AND('Resource Planner'!$A$44="☑",22&lt;='Resource Planner'!$N$44),'Resource Planner'!$B$44,"")</f>
        <v/>
      </c>
      <c r="D1726" s="163" t="str">
        <f>IF(AND('Resource Planner'!$A$44="☑",22&lt;='Resource Planner'!$N$44),'Resource Planner'!$D$44,"")</f>
        <v/>
      </c>
      <c r="E1726" s="163" t="str">
        <f>IF(AND('Resource Planner'!$A$44="☑",22&lt;='Resource Planner'!$N$44),'Resource Planner'!$E$44,"")</f>
        <v/>
      </c>
      <c r="F1726" s="163" t="str">
        <f>IF(AND('Resource Planner'!$A$44="☑",22&lt;='Resource Planner'!$N$44),'Resource Planner'!$F$44&amp;" "&amp;('Resource Planner'!$G$44+(22-1)*'Resource Planner'!$I$44)&amp;IF(('Resource Planner'!$G$44+(22-1)*'Resource Planner'!$I$44)=MIN('Resource Planner'!$G$44+22*'Resource Planner'!$I$44-1,'Resource Planner'!$H$44),"","–"&amp;MIN('Resource Planner'!$G$44+22*'Resource Planner'!$I$44-1,'Resource Planner'!$H$44)),"")</f>
        <v/>
      </c>
      <c r="G1726" s="163" t="s">
        <v>109</v>
      </c>
      <c r="H1726" s="163" t="str">
        <f>IF(AND('Resource Planner'!$A$44="☑",22&lt;='Resource Planner'!$N$44),'Resource Planner'!$M$44,"")</f>
        <v/>
      </c>
    </row>
    <row r="1727" ht="15.75" customHeight="1">
      <c r="A17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7" s="163" t="str">
        <f>IF(AND('Resource Planner'!$A$44="☑",23&lt;='Resource Planner'!$N$44),'Resource Planner'!$C$44,"")</f>
        <v/>
      </c>
      <c r="C1727" s="163" t="str">
        <f>IF(AND('Resource Planner'!$A$44="☑",23&lt;='Resource Planner'!$N$44),'Resource Planner'!$B$44,"")</f>
        <v/>
      </c>
      <c r="D1727" s="163" t="str">
        <f>IF(AND('Resource Planner'!$A$44="☑",23&lt;='Resource Planner'!$N$44),'Resource Planner'!$D$44,"")</f>
        <v/>
      </c>
      <c r="E1727" s="163" t="str">
        <f>IF(AND('Resource Planner'!$A$44="☑",23&lt;='Resource Planner'!$N$44),'Resource Planner'!$E$44,"")</f>
        <v/>
      </c>
      <c r="F1727" s="163" t="str">
        <f>IF(AND('Resource Planner'!$A$44="☑",23&lt;='Resource Planner'!$N$44),'Resource Planner'!$F$44&amp;" "&amp;('Resource Planner'!$G$44+(23-1)*'Resource Planner'!$I$44)&amp;IF(('Resource Planner'!$G$44+(23-1)*'Resource Planner'!$I$44)=MIN('Resource Planner'!$G$44+23*'Resource Planner'!$I$44-1,'Resource Planner'!$H$44),"","–"&amp;MIN('Resource Planner'!$G$44+23*'Resource Planner'!$I$44-1,'Resource Planner'!$H$44)),"")</f>
        <v/>
      </c>
      <c r="G1727" s="163" t="s">
        <v>109</v>
      </c>
      <c r="H1727" s="163" t="str">
        <f>IF(AND('Resource Planner'!$A$44="☑",23&lt;='Resource Planner'!$N$44),'Resource Planner'!$M$44,"")</f>
        <v/>
      </c>
    </row>
    <row r="1728" ht="15.75" customHeight="1">
      <c r="A17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8" s="163" t="str">
        <f>IF(AND('Resource Planner'!$A$44="☑",24&lt;='Resource Planner'!$N$44),'Resource Planner'!$C$44,"")</f>
        <v/>
      </c>
      <c r="C1728" s="163" t="str">
        <f>IF(AND('Resource Planner'!$A$44="☑",24&lt;='Resource Planner'!$N$44),'Resource Planner'!$B$44,"")</f>
        <v/>
      </c>
      <c r="D1728" s="163" t="str">
        <f>IF(AND('Resource Planner'!$A$44="☑",24&lt;='Resource Planner'!$N$44),'Resource Planner'!$D$44,"")</f>
        <v/>
      </c>
      <c r="E1728" s="163" t="str">
        <f>IF(AND('Resource Planner'!$A$44="☑",24&lt;='Resource Planner'!$N$44),'Resource Planner'!$E$44,"")</f>
        <v/>
      </c>
      <c r="F1728" s="163" t="str">
        <f>IF(AND('Resource Planner'!$A$44="☑",24&lt;='Resource Planner'!$N$44),'Resource Planner'!$F$44&amp;" "&amp;('Resource Planner'!$G$44+(24-1)*'Resource Planner'!$I$44)&amp;IF(('Resource Planner'!$G$44+(24-1)*'Resource Planner'!$I$44)=MIN('Resource Planner'!$G$44+24*'Resource Planner'!$I$44-1,'Resource Planner'!$H$44),"","–"&amp;MIN('Resource Planner'!$G$44+24*'Resource Planner'!$I$44-1,'Resource Planner'!$H$44)),"")</f>
        <v/>
      </c>
      <c r="G1728" s="163" t="s">
        <v>109</v>
      </c>
      <c r="H1728" s="163" t="str">
        <f>IF(AND('Resource Planner'!$A$44="☑",24&lt;='Resource Planner'!$N$44),'Resource Planner'!$M$44,"")</f>
        <v/>
      </c>
    </row>
    <row r="1729" ht="15.75" customHeight="1">
      <c r="A17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29" s="163" t="str">
        <f>IF(AND('Resource Planner'!$A$44="☑",25&lt;='Resource Planner'!$N$44),'Resource Planner'!$C$44,"")</f>
        <v/>
      </c>
      <c r="C1729" s="163" t="str">
        <f>IF(AND('Resource Planner'!$A$44="☑",25&lt;='Resource Planner'!$N$44),'Resource Planner'!$B$44,"")</f>
        <v/>
      </c>
      <c r="D1729" s="163" t="str">
        <f>IF(AND('Resource Planner'!$A$44="☑",25&lt;='Resource Planner'!$N$44),'Resource Planner'!$D$44,"")</f>
        <v/>
      </c>
      <c r="E1729" s="163" t="str">
        <f>IF(AND('Resource Planner'!$A$44="☑",25&lt;='Resource Planner'!$N$44),'Resource Planner'!$E$44,"")</f>
        <v/>
      </c>
      <c r="F1729" s="163" t="str">
        <f>IF(AND('Resource Planner'!$A$44="☑",25&lt;='Resource Planner'!$N$44),'Resource Planner'!$F$44&amp;" "&amp;('Resource Planner'!$G$44+(25-1)*'Resource Planner'!$I$44)&amp;IF(('Resource Planner'!$G$44+(25-1)*'Resource Planner'!$I$44)=MIN('Resource Planner'!$G$44+25*'Resource Planner'!$I$44-1,'Resource Planner'!$H$44),"","–"&amp;MIN('Resource Planner'!$G$44+25*'Resource Planner'!$I$44-1,'Resource Planner'!$H$44)),"")</f>
        <v/>
      </c>
      <c r="G1729" s="163" t="s">
        <v>109</v>
      </c>
      <c r="H1729" s="163" t="str">
        <f>IF(AND('Resource Planner'!$A$44="☑",25&lt;='Resource Planner'!$N$44),'Resource Planner'!$M$44,"")</f>
        <v/>
      </c>
    </row>
    <row r="1730" ht="15.75" customHeight="1">
      <c r="A17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0" s="163" t="str">
        <f>IF(AND('Resource Planner'!$A$44="☑",26&lt;='Resource Planner'!$N$44),'Resource Planner'!$C$44,"")</f>
        <v/>
      </c>
      <c r="C1730" s="163" t="str">
        <f>IF(AND('Resource Planner'!$A$44="☑",26&lt;='Resource Planner'!$N$44),'Resource Planner'!$B$44,"")</f>
        <v/>
      </c>
      <c r="D1730" s="163" t="str">
        <f>IF(AND('Resource Planner'!$A$44="☑",26&lt;='Resource Planner'!$N$44),'Resource Planner'!$D$44,"")</f>
        <v/>
      </c>
      <c r="E1730" s="163" t="str">
        <f>IF(AND('Resource Planner'!$A$44="☑",26&lt;='Resource Planner'!$N$44),'Resource Planner'!$E$44,"")</f>
        <v/>
      </c>
      <c r="F1730" s="163" t="str">
        <f>IF(AND('Resource Planner'!$A$44="☑",26&lt;='Resource Planner'!$N$44),'Resource Planner'!$F$44&amp;" "&amp;('Resource Planner'!$G$44+(26-1)*'Resource Planner'!$I$44)&amp;IF(('Resource Planner'!$G$44+(26-1)*'Resource Planner'!$I$44)=MIN('Resource Planner'!$G$44+26*'Resource Planner'!$I$44-1,'Resource Planner'!$H$44),"","–"&amp;MIN('Resource Planner'!$G$44+26*'Resource Planner'!$I$44-1,'Resource Planner'!$H$44)),"")</f>
        <v/>
      </c>
      <c r="G1730" s="163" t="s">
        <v>109</v>
      </c>
      <c r="H1730" s="163" t="str">
        <f>IF(AND('Resource Planner'!$A$44="☑",26&lt;='Resource Planner'!$N$44),'Resource Planner'!$M$44,"")</f>
        <v/>
      </c>
    </row>
    <row r="1731" ht="15.75" customHeight="1">
      <c r="A17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1" s="163" t="str">
        <f>IF(AND('Resource Planner'!$A$44="☑",27&lt;='Resource Planner'!$N$44),'Resource Planner'!$C$44,"")</f>
        <v/>
      </c>
      <c r="C1731" s="163" t="str">
        <f>IF(AND('Resource Planner'!$A$44="☑",27&lt;='Resource Planner'!$N$44),'Resource Planner'!$B$44,"")</f>
        <v/>
      </c>
      <c r="D1731" s="163" t="str">
        <f>IF(AND('Resource Planner'!$A$44="☑",27&lt;='Resource Planner'!$N$44),'Resource Planner'!$D$44,"")</f>
        <v/>
      </c>
      <c r="E1731" s="163" t="str">
        <f>IF(AND('Resource Planner'!$A$44="☑",27&lt;='Resource Planner'!$N$44),'Resource Planner'!$E$44,"")</f>
        <v/>
      </c>
      <c r="F1731" s="163" t="str">
        <f>IF(AND('Resource Planner'!$A$44="☑",27&lt;='Resource Planner'!$N$44),'Resource Planner'!$F$44&amp;" "&amp;('Resource Planner'!$G$44+(27-1)*'Resource Planner'!$I$44)&amp;IF(('Resource Planner'!$G$44+(27-1)*'Resource Planner'!$I$44)=MIN('Resource Planner'!$G$44+27*'Resource Planner'!$I$44-1,'Resource Planner'!$H$44),"","–"&amp;MIN('Resource Planner'!$G$44+27*'Resource Planner'!$I$44-1,'Resource Planner'!$H$44)),"")</f>
        <v/>
      </c>
      <c r="G1731" s="163" t="s">
        <v>109</v>
      </c>
      <c r="H1731" s="163" t="str">
        <f>IF(AND('Resource Planner'!$A$44="☑",27&lt;='Resource Planner'!$N$44),'Resource Planner'!$M$44,"")</f>
        <v/>
      </c>
    </row>
    <row r="1732" ht="15.75" customHeight="1">
      <c r="A17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2" s="163" t="str">
        <f>IF(AND('Resource Planner'!$A$44="☑",28&lt;='Resource Planner'!$N$44),'Resource Planner'!$C$44,"")</f>
        <v/>
      </c>
      <c r="C1732" s="163" t="str">
        <f>IF(AND('Resource Planner'!$A$44="☑",28&lt;='Resource Planner'!$N$44),'Resource Planner'!$B$44,"")</f>
        <v/>
      </c>
      <c r="D1732" s="163" t="str">
        <f>IF(AND('Resource Planner'!$A$44="☑",28&lt;='Resource Planner'!$N$44),'Resource Planner'!$D$44,"")</f>
        <v/>
      </c>
      <c r="E1732" s="163" t="str">
        <f>IF(AND('Resource Planner'!$A$44="☑",28&lt;='Resource Planner'!$N$44),'Resource Planner'!$E$44,"")</f>
        <v/>
      </c>
      <c r="F1732" s="163" t="str">
        <f>IF(AND('Resource Planner'!$A$44="☑",28&lt;='Resource Planner'!$N$44),'Resource Planner'!$F$44&amp;" "&amp;('Resource Planner'!$G$44+(28-1)*'Resource Planner'!$I$44)&amp;IF(('Resource Planner'!$G$44+(28-1)*'Resource Planner'!$I$44)=MIN('Resource Planner'!$G$44+28*'Resource Planner'!$I$44-1,'Resource Planner'!$H$44),"","–"&amp;MIN('Resource Planner'!$G$44+28*'Resource Planner'!$I$44-1,'Resource Planner'!$H$44)),"")</f>
        <v/>
      </c>
      <c r="G1732" s="163" t="s">
        <v>109</v>
      </c>
      <c r="H1732" s="163" t="str">
        <f>IF(AND('Resource Planner'!$A$44="☑",28&lt;='Resource Planner'!$N$44),'Resource Planner'!$M$44,"")</f>
        <v/>
      </c>
    </row>
    <row r="1733" ht="15.75" customHeight="1">
      <c r="A17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3" s="163" t="str">
        <f>IF(AND('Resource Planner'!$A$44="☑",29&lt;='Resource Planner'!$N$44),'Resource Planner'!$C$44,"")</f>
        <v/>
      </c>
      <c r="C1733" s="163" t="str">
        <f>IF(AND('Resource Planner'!$A$44="☑",29&lt;='Resource Planner'!$N$44),'Resource Planner'!$B$44,"")</f>
        <v/>
      </c>
      <c r="D1733" s="163" t="str">
        <f>IF(AND('Resource Planner'!$A$44="☑",29&lt;='Resource Planner'!$N$44),'Resource Planner'!$D$44,"")</f>
        <v/>
      </c>
      <c r="E1733" s="163" t="str">
        <f>IF(AND('Resource Planner'!$A$44="☑",29&lt;='Resource Planner'!$N$44),'Resource Planner'!$E$44,"")</f>
        <v/>
      </c>
      <c r="F1733" s="163" t="str">
        <f>IF(AND('Resource Planner'!$A$44="☑",29&lt;='Resource Planner'!$N$44),'Resource Planner'!$F$44&amp;" "&amp;('Resource Planner'!$G$44+(29-1)*'Resource Planner'!$I$44)&amp;IF(('Resource Planner'!$G$44+(29-1)*'Resource Planner'!$I$44)=MIN('Resource Planner'!$G$44+29*'Resource Planner'!$I$44-1,'Resource Planner'!$H$44),"","–"&amp;MIN('Resource Planner'!$G$44+29*'Resource Planner'!$I$44-1,'Resource Planner'!$H$44)),"")</f>
        <v/>
      </c>
      <c r="G1733" s="163" t="s">
        <v>109</v>
      </c>
      <c r="H1733" s="163" t="str">
        <f>IF(AND('Resource Planner'!$A$44="☑",29&lt;='Resource Planner'!$N$44),'Resource Planner'!$M$44,"")</f>
        <v/>
      </c>
    </row>
    <row r="1734" ht="15.75" customHeight="1">
      <c r="A17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4" s="163" t="str">
        <f>IF(AND('Resource Planner'!$A$44="☑",30&lt;='Resource Planner'!$N$44),'Resource Planner'!$C$44,"")</f>
        <v/>
      </c>
      <c r="C1734" s="163" t="str">
        <f>IF(AND('Resource Planner'!$A$44="☑",30&lt;='Resource Planner'!$N$44),'Resource Planner'!$B$44,"")</f>
        <v/>
      </c>
      <c r="D1734" s="163" t="str">
        <f>IF(AND('Resource Planner'!$A$44="☑",30&lt;='Resource Planner'!$N$44),'Resource Planner'!$D$44,"")</f>
        <v/>
      </c>
      <c r="E1734" s="163" t="str">
        <f>IF(AND('Resource Planner'!$A$44="☑",30&lt;='Resource Planner'!$N$44),'Resource Planner'!$E$44,"")</f>
        <v/>
      </c>
      <c r="F1734" s="163" t="str">
        <f>IF(AND('Resource Planner'!$A$44="☑",30&lt;='Resource Planner'!$N$44),'Resource Planner'!$F$44&amp;" "&amp;('Resource Planner'!$G$44+(30-1)*'Resource Planner'!$I$44)&amp;IF(('Resource Planner'!$G$44+(30-1)*'Resource Planner'!$I$44)=MIN('Resource Planner'!$G$44+30*'Resource Planner'!$I$44-1,'Resource Planner'!$H$44),"","–"&amp;MIN('Resource Planner'!$G$44+30*'Resource Planner'!$I$44-1,'Resource Planner'!$H$44)),"")</f>
        <v/>
      </c>
      <c r="G1734" s="163" t="s">
        <v>109</v>
      </c>
      <c r="H1734" s="163" t="str">
        <f>IF(AND('Resource Planner'!$A$44="☑",30&lt;='Resource Planner'!$N$44),'Resource Planner'!$M$44,"")</f>
        <v/>
      </c>
    </row>
    <row r="1735" ht="15.75" customHeight="1">
      <c r="A17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5" s="163" t="str">
        <f>IF(AND('Resource Planner'!$A$44="☑",31&lt;='Resource Planner'!$N$44),'Resource Planner'!$C$44,"")</f>
        <v/>
      </c>
      <c r="C1735" s="163" t="str">
        <f>IF(AND('Resource Planner'!$A$44="☑",31&lt;='Resource Planner'!$N$44),'Resource Planner'!$B$44,"")</f>
        <v/>
      </c>
      <c r="D1735" s="163" t="str">
        <f>IF(AND('Resource Planner'!$A$44="☑",31&lt;='Resource Planner'!$N$44),'Resource Planner'!$D$44,"")</f>
        <v/>
      </c>
      <c r="E1735" s="163" t="str">
        <f>IF(AND('Resource Planner'!$A$44="☑",31&lt;='Resource Planner'!$N$44),'Resource Planner'!$E$44,"")</f>
        <v/>
      </c>
      <c r="F1735" s="163" t="str">
        <f>IF(AND('Resource Planner'!$A$44="☑",31&lt;='Resource Planner'!$N$44),'Resource Planner'!$F$44&amp;" "&amp;('Resource Planner'!$G$44+(31-1)*'Resource Planner'!$I$44)&amp;IF(('Resource Planner'!$G$44+(31-1)*'Resource Planner'!$I$44)=MIN('Resource Planner'!$G$44+31*'Resource Planner'!$I$44-1,'Resource Planner'!$H$44),"","–"&amp;MIN('Resource Planner'!$G$44+31*'Resource Planner'!$I$44-1,'Resource Planner'!$H$44)),"")</f>
        <v/>
      </c>
      <c r="G1735" s="163" t="s">
        <v>109</v>
      </c>
      <c r="H1735" s="163" t="str">
        <f>IF(AND('Resource Planner'!$A$44="☑",31&lt;='Resource Planner'!$N$44),'Resource Planner'!$M$44,"")</f>
        <v/>
      </c>
    </row>
    <row r="1736" ht="15.75" customHeight="1">
      <c r="A17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6" s="163" t="str">
        <f>IF(AND('Resource Planner'!$A$44="☑",32&lt;='Resource Planner'!$N$44),'Resource Planner'!$C$44,"")</f>
        <v/>
      </c>
      <c r="C1736" s="163" t="str">
        <f>IF(AND('Resource Planner'!$A$44="☑",32&lt;='Resource Planner'!$N$44),'Resource Planner'!$B$44,"")</f>
        <v/>
      </c>
      <c r="D1736" s="163" t="str">
        <f>IF(AND('Resource Planner'!$A$44="☑",32&lt;='Resource Planner'!$N$44),'Resource Planner'!$D$44,"")</f>
        <v/>
      </c>
      <c r="E1736" s="163" t="str">
        <f>IF(AND('Resource Planner'!$A$44="☑",32&lt;='Resource Planner'!$N$44),'Resource Planner'!$E$44,"")</f>
        <v/>
      </c>
      <c r="F1736" s="163" t="str">
        <f>IF(AND('Resource Planner'!$A$44="☑",32&lt;='Resource Planner'!$N$44),'Resource Planner'!$F$44&amp;" "&amp;('Resource Planner'!$G$44+(32-1)*'Resource Planner'!$I$44)&amp;IF(('Resource Planner'!$G$44+(32-1)*'Resource Planner'!$I$44)=MIN('Resource Planner'!$G$44+32*'Resource Planner'!$I$44-1,'Resource Planner'!$H$44),"","–"&amp;MIN('Resource Planner'!$G$44+32*'Resource Planner'!$I$44-1,'Resource Planner'!$H$44)),"")</f>
        <v/>
      </c>
      <c r="G1736" s="163" t="s">
        <v>109</v>
      </c>
      <c r="H1736" s="163" t="str">
        <f>IF(AND('Resource Planner'!$A$44="☑",32&lt;='Resource Planner'!$N$44),'Resource Planner'!$M$44,"")</f>
        <v/>
      </c>
    </row>
    <row r="1737" ht="15.75" customHeight="1">
      <c r="A17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7" s="163" t="str">
        <f>IF(AND('Resource Planner'!$A$44="☑",33&lt;='Resource Planner'!$N$44),'Resource Planner'!$C$44,"")</f>
        <v/>
      </c>
      <c r="C1737" s="163" t="str">
        <f>IF(AND('Resource Planner'!$A$44="☑",33&lt;='Resource Planner'!$N$44),'Resource Planner'!$B$44,"")</f>
        <v/>
      </c>
      <c r="D1737" s="163" t="str">
        <f>IF(AND('Resource Planner'!$A$44="☑",33&lt;='Resource Planner'!$N$44),'Resource Planner'!$D$44,"")</f>
        <v/>
      </c>
      <c r="E1737" s="163" t="str">
        <f>IF(AND('Resource Planner'!$A$44="☑",33&lt;='Resource Planner'!$N$44),'Resource Planner'!$E$44,"")</f>
        <v/>
      </c>
      <c r="F1737" s="163" t="str">
        <f>IF(AND('Resource Planner'!$A$44="☑",33&lt;='Resource Planner'!$N$44),'Resource Planner'!$F$44&amp;" "&amp;('Resource Planner'!$G$44+(33-1)*'Resource Planner'!$I$44)&amp;IF(('Resource Planner'!$G$44+(33-1)*'Resource Planner'!$I$44)=MIN('Resource Planner'!$G$44+33*'Resource Planner'!$I$44-1,'Resource Planner'!$H$44),"","–"&amp;MIN('Resource Planner'!$G$44+33*'Resource Planner'!$I$44-1,'Resource Planner'!$H$44)),"")</f>
        <v/>
      </c>
      <c r="G1737" s="163" t="s">
        <v>109</v>
      </c>
      <c r="H1737" s="163" t="str">
        <f>IF(AND('Resource Planner'!$A$44="☑",33&lt;='Resource Planner'!$N$44),'Resource Planner'!$M$44,"")</f>
        <v/>
      </c>
    </row>
    <row r="1738" ht="15.75" customHeight="1">
      <c r="A17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8" s="163" t="str">
        <f>IF(AND('Resource Planner'!$A$44="☑",34&lt;='Resource Planner'!$N$44),'Resource Planner'!$C$44,"")</f>
        <v/>
      </c>
      <c r="C1738" s="163" t="str">
        <f>IF(AND('Resource Planner'!$A$44="☑",34&lt;='Resource Planner'!$N$44),'Resource Planner'!$B$44,"")</f>
        <v/>
      </c>
      <c r="D1738" s="163" t="str">
        <f>IF(AND('Resource Planner'!$A$44="☑",34&lt;='Resource Planner'!$N$44),'Resource Planner'!$D$44,"")</f>
        <v/>
      </c>
      <c r="E1738" s="163" t="str">
        <f>IF(AND('Resource Planner'!$A$44="☑",34&lt;='Resource Planner'!$N$44),'Resource Planner'!$E$44,"")</f>
        <v/>
      </c>
      <c r="F1738" s="163" t="str">
        <f>IF(AND('Resource Planner'!$A$44="☑",34&lt;='Resource Planner'!$N$44),'Resource Planner'!$F$44&amp;" "&amp;('Resource Planner'!$G$44+(34-1)*'Resource Planner'!$I$44)&amp;IF(('Resource Planner'!$G$44+(34-1)*'Resource Planner'!$I$44)=MIN('Resource Planner'!$G$44+34*'Resource Planner'!$I$44-1,'Resource Planner'!$H$44),"","–"&amp;MIN('Resource Planner'!$G$44+34*'Resource Planner'!$I$44-1,'Resource Planner'!$H$44)),"")</f>
        <v/>
      </c>
      <c r="G1738" s="163" t="s">
        <v>109</v>
      </c>
      <c r="H1738" s="163" t="str">
        <f>IF(AND('Resource Planner'!$A$44="☑",34&lt;='Resource Planner'!$N$44),'Resource Planner'!$M$44,"")</f>
        <v/>
      </c>
    </row>
    <row r="1739" ht="15.75" customHeight="1">
      <c r="A17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39" s="163" t="str">
        <f>IF(AND('Resource Planner'!$A$44="☑",35&lt;='Resource Planner'!$N$44),'Resource Planner'!$C$44,"")</f>
        <v/>
      </c>
      <c r="C1739" s="163" t="str">
        <f>IF(AND('Resource Planner'!$A$44="☑",35&lt;='Resource Planner'!$N$44),'Resource Planner'!$B$44,"")</f>
        <v/>
      </c>
      <c r="D1739" s="163" t="str">
        <f>IF(AND('Resource Planner'!$A$44="☑",35&lt;='Resource Planner'!$N$44),'Resource Planner'!$D$44,"")</f>
        <v/>
      </c>
      <c r="E1739" s="163" t="str">
        <f>IF(AND('Resource Planner'!$A$44="☑",35&lt;='Resource Planner'!$N$44),'Resource Planner'!$E$44,"")</f>
        <v/>
      </c>
      <c r="F1739" s="163" t="str">
        <f>IF(AND('Resource Planner'!$A$44="☑",35&lt;='Resource Planner'!$N$44),'Resource Planner'!$F$44&amp;" "&amp;('Resource Planner'!$G$44+(35-1)*'Resource Planner'!$I$44)&amp;IF(('Resource Planner'!$G$44+(35-1)*'Resource Planner'!$I$44)=MIN('Resource Planner'!$G$44+35*'Resource Planner'!$I$44-1,'Resource Planner'!$H$44),"","–"&amp;MIN('Resource Planner'!$G$44+35*'Resource Planner'!$I$44-1,'Resource Planner'!$H$44)),"")</f>
        <v/>
      </c>
      <c r="G1739" s="163" t="s">
        <v>109</v>
      </c>
      <c r="H1739" s="163" t="str">
        <f>IF(AND('Resource Planner'!$A$44="☑",35&lt;='Resource Planner'!$N$44),'Resource Planner'!$M$44,"")</f>
        <v/>
      </c>
    </row>
    <row r="1740" ht="15.75" customHeight="1">
      <c r="A17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0" s="163" t="str">
        <f>IF(AND('Resource Planner'!$A$44="☑",36&lt;='Resource Planner'!$N$44),'Resource Planner'!$C$44,"")</f>
        <v/>
      </c>
      <c r="C1740" s="163" t="str">
        <f>IF(AND('Resource Planner'!$A$44="☑",36&lt;='Resource Planner'!$N$44),'Resource Planner'!$B$44,"")</f>
        <v/>
      </c>
      <c r="D1740" s="163" t="str">
        <f>IF(AND('Resource Planner'!$A$44="☑",36&lt;='Resource Planner'!$N$44),'Resource Planner'!$D$44,"")</f>
        <v/>
      </c>
      <c r="E1740" s="163" t="str">
        <f>IF(AND('Resource Planner'!$A$44="☑",36&lt;='Resource Planner'!$N$44),'Resource Planner'!$E$44,"")</f>
        <v/>
      </c>
      <c r="F1740" s="163" t="str">
        <f>IF(AND('Resource Planner'!$A$44="☑",36&lt;='Resource Planner'!$N$44),'Resource Planner'!$F$44&amp;" "&amp;('Resource Planner'!$G$44+(36-1)*'Resource Planner'!$I$44)&amp;IF(('Resource Planner'!$G$44+(36-1)*'Resource Planner'!$I$44)=MIN('Resource Planner'!$G$44+36*'Resource Planner'!$I$44-1,'Resource Planner'!$H$44),"","–"&amp;MIN('Resource Planner'!$G$44+36*'Resource Planner'!$I$44-1,'Resource Planner'!$H$44)),"")</f>
        <v/>
      </c>
      <c r="G1740" s="163" t="s">
        <v>109</v>
      </c>
      <c r="H1740" s="163" t="str">
        <f>IF(AND('Resource Planner'!$A$44="☑",36&lt;='Resource Planner'!$N$44),'Resource Planner'!$M$44,"")</f>
        <v/>
      </c>
    </row>
    <row r="1741" ht="15.75" customHeight="1">
      <c r="A17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1" s="163" t="str">
        <f>IF(AND('Resource Planner'!$A$44="☑",37&lt;='Resource Planner'!$N$44),'Resource Planner'!$C$44,"")</f>
        <v/>
      </c>
      <c r="C1741" s="163" t="str">
        <f>IF(AND('Resource Planner'!$A$44="☑",37&lt;='Resource Planner'!$N$44),'Resource Planner'!$B$44,"")</f>
        <v/>
      </c>
      <c r="D1741" s="163" t="str">
        <f>IF(AND('Resource Planner'!$A$44="☑",37&lt;='Resource Planner'!$N$44),'Resource Planner'!$D$44,"")</f>
        <v/>
      </c>
      <c r="E1741" s="163" t="str">
        <f>IF(AND('Resource Planner'!$A$44="☑",37&lt;='Resource Planner'!$N$44),'Resource Planner'!$E$44,"")</f>
        <v/>
      </c>
      <c r="F1741" s="163" t="str">
        <f>IF(AND('Resource Planner'!$A$44="☑",37&lt;='Resource Planner'!$N$44),'Resource Planner'!$F$44&amp;" "&amp;('Resource Planner'!$G$44+(37-1)*'Resource Planner'!$I$44)&amp;IF(('Resource Planner'!$G$44+(37-1)*'Resource Planner'!$I$44)=MIN('Resource Planner'!$G$44+37*'Resource Planner'!$I$44-1,'Resource Planner'!$H$44),"","–"&amp;MIN('Resource Planner'!$G$44+37*'Resource Planner'!$I$44-1,'Resource Planner'!$H$44)),"")</f>
        <v/>
      </c>
      <c r="G1741" s="163" t="s">
        <v>109</v>
      </c>
      <c r="H1741" s="163" t="str">
        <f>IF(AND('Resource Planner'!$A$44="☑",37&lt;='Resource Planner'!$N$44),'Resource Planner'!$M$44,"")</f>
        <v/>
      </c>
    </row>
    <row r="1742" ht="15.75" customHeight="1">
      <c r="A17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2" s="163" t="str">
        <f>IF(AND('Resource Planner'!$A$44="☑",38&lt;='Resource Planner'!$N$44),'Resource Planner'!$C$44,"")</f>
        <v/>
      </c>
      <c r="C1742" s="163" t="str">
        <f>IF(AND('Resource Planner'!$A$44="☑",38&lt;='Resource Planner'!$N$44),'Resource Planner'!$B$44,"")</f>
        <v/>
      </c>
      <c r="D1742" s="163" t="str">
        <f>IF(AND('Resource Planner'!$A$44="☑",38&lt;='Resource Planner'!$N$44),'Resource Planner'!$D$44,"")</f>
        <v/>
      </c>
      <c r="E1742" s="163" t="str">
        <f>IF(AND('Resource Planner'!$A$44="☑",38&lt;='Resource Planner'!$N$44),'Resource Planner'!$E$44,"")</f>
        <v/>
      </c>
      <c r="F1742" s="163" t="str">
        <f>IF(AND('Resource Planner'!$A$44="☑",38&lt;='Resource Planner'!$N$44),'Resource Planner'!$F$44&amp;" "&amp;('Resource Planner'!$G$44+(38-1)*'Resource Planner'!$I$44)&amp;IF(('Resource Planner'!$G$44+(38-1)*'Resource Planner'!$I$44)=MIN('Resource Planner'!$G$44+38*'Resource Planner'!$I$44-1,'Resource Planner'!$H$44),"","–"&amp;MIN('Resource Planner'!$G$44+38*'Resource Planner'!$I$44-1,'Resource Planner'!$H$44)),"")</f>
        <v/>
      </c>
      <c r="G1742" s="163" t="s">
        <v>109</v>
      </c>
      <c r="H1742" s="163" t="str">
        <f>IF(AND('Resource Planner'!$A$44="☑",38&lt;='Resource Planner'!$N$44),'Resource Planner'!$M$44,"")</f>
        <v/>
      </c>
    </row>
    <row r="1743" ht="15.75" customHeight="1">
      <c r="A17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3" s="163" t="str">
        <f>IF(AND('Resource Planner'!$A$44="☑",39&lt;='Resource Planner'!$N$44),'Resource Planner'!$C$44,"")</f>
        <v/>
      </c>
      <c r="C1743" s="163" t="str">
        <f>IF(AND('Resource Planner'!$A$44="☑",39&lt;='Resource Planner'!$N$44),'Resource Planner'!$B$44,"")</f>
        <v/>
      </c>
      <c r="D1743" s="163" t="str">
        <f>IF(AND('Resource Planner'!$A$44="☑",39&lt;='Resource Planner'!$N$44),'Resource Planner'!$D$44,"")</f>
        <v/>
      </c>
      <c r="E1743" s="163" t="str">
        <f>IF(AND('Resource Planner'!$A$44="☑",39&lt;='Resource Planner'!$N$44),'Resource Planner'!$E$44,"")</f>
        <v/>
      </c>
      <c r="F1743" s="163" t="str">
        <f>IF(AND('Resource Planner'!$A$44="☑",39&lt;='Resource Planner'!$N$44),'Resource Planner'!$F$44&amp;" "&amp;('Resource Planner'!$G$44+(39-1)*'Resource Planner'!$I$44)&amp;IF(('Resource Planner'!$G$44+(39-1)*'Resource Planner'!$I$44)=MIN('Resource Planner'!$G$44+39*'Resource Planner'!$I$44-1,'Resource Planner'!$H$44),"","–"&amp;MIN('Resource Planner'!$G$44+39*'Resource Planner'!$I$44-1,'Resource Planner'!$H$44)),"")</f>
        <v/>
      </c>
      <c r="G1743" s="163" t="s">
        <v>109</v>
      </c>
      <c r="H1743" s="163" t="str">
        <f>IF(AND('Resource Planner'!$A$44="☑",39&lt;='Resource Planner'!$N$44),'Resource Planner'!$M$44,"")</f>
        <v/>
      </c>
    </row>
    <row r="1744" ht="15.75" customHeight="1">
      <c r="A17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4" s="163" t="str">
        <f>IF(AND('Resource Planner'!$A$44="☑",40&lt;='Resource Planner'!$N$44),'Resource Planner'!$C$44,"")</f>
        <v/>
      </c>
      <c r="C1744" s="163" t="str">
        <f>IF(AND('Resource Planner'!$A$44="☑",40&lt;='Resource Planner'!$N$44),'Resource Planner'!$B$44,"")</f>
        <v/>
      </c>
      <c r="D1744" s="163" t="str">
        <f>IF(AND('Resource Planner'!$A$44="☑",40&lt;='Resource Planner'!$N$44),'Resource Planner'!$D$44,"")</f>
        <v/>
      </c>
      <c r="E1744" s="163" t="str">
        <f>IF(AND('Resource Planner'!$A$44="☑",40&lt;='Resource Planner'!$N$44),'Resource Planner'!$E$44,"")</f>
        <v/>
      </c>
      <c r="F1744" s="163" t="str">
        <f>IF(AND('Resource Planner'!$A$44="☑",40&lt;='Resource Planner'!$N$44),'Resource Planner'!$F$44&amp;" "&amp;('Resource Planner'!$G$44+(40-1)*'Resource Planner'!$I$44)&amp;IF(('Resource Planner'!$G$44+(40-1)*'Resource Planner'!$I$44)=MIN('Resource Planner'!$G$44+40*'Resource Planner'!$I$44-1,'Resource Planner'!$H$44),"","–"&amp;MIN('Resource Planner'!$G$44+40*'Resource Planner'!$I$44-1,'Resource Planner'!$H$44)),"")</f>
        <v/>
      </c>
      <c r="G1744" s="163" t="s">
        <v>109</v>
      </c>
      <c r="H1744" s="163" t="str">
        <f>IF(AND('Resource Planner'!$A$44="☑",40&lt;='Resource Planner'!$N$44),'Resource Planner'!$M$44,"")</f>
        <v/>
      </c>
    </row>
    <row r="1745" ht="15.75" customHeight="1">
      <c r="A17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5" s="163" t="str">
        <f>IF(AND('Resource Planner'!$A$44="☑",41&lt;='Resource Planner'!$N$44),'Resource Planner'!$C$44,"")</f>
        <v/>
      </c>
      <c r="C1745" s="163" t="str">
        <f>IF(AND('Resource Planner'!$A$44="☑",41&lt;='Resource Planner'!$N$44),'Resource Planner'!$B$44,"")</f>
        <v/>
      </c>
      <c r="D1745" s="163" t="str">
        <f>IF(AND('Resource Planner'!$A$44="☑",41&lt;='Resource Planner'!$N$44),'Resource Planner'!$D$44,"")</f>
        <v/>
      </c>
      <c r="E1745" s="163" t="str">
        <f>IF(AND('Resource Planner'!$A$44="☑",41&lt;='Resource Planner'!$N$44),'Resource Planner'!$E$44,"")</f>
        <v/>
      </c>
      <c r="F1745" s="163" t="str">
        <f>IF(AND('Resource Planner'!$A$44="☑",41&lt;='Resource Planner'!$N$44),'Resource Planner'!$F$44&amp;" "&amp;('Resource Planner'!$G$44+(41-1)*'Resource Planner'!$I$44)&amp;IF(('Resource Planner'!$G$44+(41-1)*'Resource Planner'!$I$44)=MIN('Resource Planner'!$G$44+41*'Resource Planner'!$I$44-1,'Resource Planner'!$H$44),"","–"&amp;MIN('Resource Planner'!$G$44+41*'Resource Planner'!$I$44-1,'Resource Planner'!$H$44)),"")</f>
        <v/>
      </c>
      <c r="G1745" s="163" t="s">
        <v>109</v>
      </c>
      <c r="H1745" s="163" t="str">
        <f>IF(AND('Resource Planner'!$A$44="☑",41&lt;='Resource Planner'!$N$44),'Resource Planner'!$M$44,"")</f>
        <v/>
      </c>
    </row>
    <row r="1746" ht="15.75" customHeight="1">
      <c r="A17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6" s="163" t="str">
        <f>IF(AND('Resource Planner'!$A$44="☑",42&lt;='Resource Planner'!$N$44),'Resource Planner'!$C$44,"")</f>
        <v/>
      </c>
      <c r="C1746" s="163" t="str">
        <f>IF(AND('Resource Planner'!$A$44="☑",42&lt;='Resource Planner'!$N$44),'Resource Planner'!$B$44,"")</f>
        <v/>
      </c>
      <c r="D1746" s="163" t="str">
        <f>IF(AND('Resource Planner'!$A$44="☑",42&lt;='Resource Planner'!$N$44),'Resource Planner'!$D$44,"")</f>
        <v/>
      </c>
      <c r="E1746" s="163" t="str">
        <f>IF(AND('Resource Planner'!$A$44="☑",42&lt;='Resource Planner'!$N$44),'Resource Planner'!$E$44,"")</f>
        <v/>
      </c>
      <c r="F1746" s="163" t="str">
        <f>IF(AND('Resource Planner'!$A$44="☑",42&lt;='Resource Planner'!$N$44),'Resource Planner'!$F$44&amp;" "&amp;('Resource Planner'!$G$44+(42-1)*'Resource Planner'!$I$44)&amp;IF(('Resource Planner'!$G$44+(42-1)*'Resource Planner'!$I$44)=MIN('Resource Planner'!$G$44+42*'Resource Planner'!$I$44-1,'Resource Planner'!$H$44),"","–"&amp;MIN('Resource Planner'!$G$44+42*'Resource Planner'!$I$44-1,'Resource Planner'!$H$44)),"")</f>
        <v/>
      </c>
      <c r="G1746" s="163" t="s">
        <v>109</v>
      </c>
      <c r="H1746" s="163" t="str">
        <f>IF(AND('Resource Planner'!$A$44="☑",42&lt;='Resource Planner'!$N$44),'Resource Planner'!$M$44,"")</f>
        <v/>
      </c>
    </row>
    <row r="1747" ht="15.75" customHeight="1">
      <c r="A17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7" s="163" t="str">
        <f>IF(AND('Resource Planner'!$A$44="☑",43&lt;='Resource Planner'!$N$44),'Resource Planner'!$C$44,"")</f>
        <v/>
      </c>
      <c r="C1747" s="163" t="str">
        <f>IF(AND('Resource Planner'!$A$44="☑",43&lt;='Resource Planner'!$N$44),'Resource Planner'!$B$44,"")</f>
        <v/>
      </c>
      <c r="D1747" s="163" t="str">
        <f>IF(AND('Resource Planner'!$A$44="☑",43&lt;='Resource Planner'!$N$44),'Resource Planner'!$D$44,"")</f>
        <v/>
      </c>
      <c r="E1747" s="163" t="str">
        <f>IF(AND('Resource Planner'!$A$44="☑",43&lt;='Resource Planner'!$N$44),'Resource Planner'!$E$44,"")</f>
        <v/>
      </c>
      <c r="F1747" s="163" t="str">
        <f>IF(AND('Resource Planner'!$A$44="☑",43&lt;='Resource Planner'!$N$44),'Resource Planner'!$F$44&amp;" "&amp;('Resource Planner'!$G$44+(43-1)*'Resource Planner'!$I$44)&amp;IF(('Resource Planner'!$G$44+(43-1)*'Resource Planner'!$I$44)=MIN('Resource Planner'!$G$44+43*'Resource Planner'!$I$44-1,'Resource Planner'!$H$44),"","–"&amp;MIN('Resource Planner'!$G$44+43*'Resource Planner'!$I$44-1,'Resource Planner'!$H$44)),"")</f>
        <v/>
      </c>
      <c r="G1747" s="163" t="s">
        <v>109</v>
      </c>
      <c r="H1747" s="163" t="str">
        <f>IF(AND('Resource Planner'!$A$44="☑",43&lt;='Resource Planner'!$N$44),'Resource Planner'!$M$44,"")</f>
        <v/>
      </c>
    </row>
    <row r="1748" ht="15.75" customHeight="1">
      <c r="A17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8" s="163" t="str">
        <f>IF(AND('Resource Planner'!$A$44="☑",44&lt;='Resource Planner'!$N$44),'Resource Planner'!$C$44,"")</f>
        <v/>
      </c>
      <c r="C1748" s="163" t="str">
        <f>IF(AND('Resource Planner'!$A$44="☑",44&lt;='Resource Planner'!$N$44),'Resource Planner'!$B$44,"")</f>
        <v/>
      </c>
      <c r="D1748" s="163" t="str">
        <f>IF(AND('Resource Planner'!$A$44="☑",44&lt;='Resource Planner'!$N$44),'Resource Planner'!$D$44,"")</f>
        <v/>
      </c>
      <c r="E1748" s="163" t="str">
        <f>IF(AND('Resource Planner'!$A$44="☑",44&lt;='Resource Planner'!$N$44),'Resource Planner'!$E$44,"")</f>
        <v/>
      </c>
      <c r="F1748" s="163" t="str">
        <f>IF(AND('Resource Planner'!$A$44="☑",44&lt;='Resource Planner'!$N$44),'Resource Planner'!$F$44&amp;" "&amp;('Resource Planner'!$G$44+(44-1)*'Resource Planner'!$I$44)&amp;IF(('Resource Planner'!$G$44+(44-1)*'Resource Planner'!$I$44)=MIN('Resource Planner'!$G$44+44*'Resource Planner'!$I$44-1,'Resource Planner'!$H$44),"","–"&amp;MIN('Resource Planner'!$G$44+44*'Resource Planner'!$I$44-1,'Resource Planner'!$H$44)),"")</f>
        <v/>
      </c>
      <c r="G1748" s="163" t="s">
        <v>109</v>
      </c>
      <c r="H1748" s="163" t="str">
        <f>IF(AND('Resource Planner'!$A$44="☑",44&lt;='Resource Planner'!$N$44),'Resource Planner'!$M$44,"")</f>
        <v/>
      </c>
    </row>
    <row r="1749" ht="15.75" customHeight="1">
      <c r="A17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49" s="163" t="str">
        <f>IF(AND('Resource Planner'!$A$44="☑",45&lt;='Resource Planner'!$N$44),'Resource Planner'!$C$44,"")</f>
        <v/>
      </c>
      <c r="C1749" s="163" t="str">
        <f>IF(AND('Resource Planner'!$A$44="☑",45&lt;='Resource Planner'!$N$44),'Resource Planner'!$B$44,"")</f>
        <v/>
      </c>
      <c r="D1749" s="163" t="str">
        <f>IF(AND('Resource Planner'!$A$44="☑",45&lt;='Resource Planner'!$N$44),'Resource Planner'!$D$44,"")</f>
        <v/>
      </c>
      <c r="E1749" s="163" t="str">
        <f>IF(AND('Resource Planner'!$A$44="☑",45&lt;='Resource Planner'!$N$44),'Resource Planner'!$E$44,"")</f>
        <v/>
      </c>
      <c r="F1749" s="163" t="str">
        <f>IF(AND('Resource Planner'!$A$44="☑",45&lt;='Resource Planner'!$N$44),'Resource Planner'!$F$44&amp;" "&amp;('Resource Planner'!$G$44+(45-1)*'Resource Planner'!$I$44)&amp;IF(('Resource Planner'!$G$44+(45-1)*'Resource Planner'!$I$44)=MIN('Resource Planner'!$G$44+45*'Resource Planner'!$I$44-1,'Resource Planner'!$H$44),"","–"&amp;MIN('Resource Planner'!$G$44+45*'Resource Planner'!$I$44-1,'Resource Planner'!$H$44)),"")</f>
        <v/>
      </c>
      <c r="G1749" s="163" t="s">
        <v>109</v>
      </c>
      <c r="H1749" s="163" t="str">
        <f>IF(AND('Resource Planner'!$A$44="☑",45&lt;='Resource Planner'!$N$44),'Resource Planner'!$M$44,"")</f>
        <v/>
      </c>
    </row>
    <row r="1750" ht="15.75" customHeight="1">
      <c r="A17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0" s="163" t="str">
        <f>IF(AND('Resource Planner'!$A$44="☑",46&lt;='Resource Planner'!$N$44),'Resource Planner'!$C$44,"")</f>
        <v/>
      </c>
      <c r="C1750" s="163" t="str">
        <f>IF(AND('Resource Planner'!$A$44="☑",46&lt;='Resource Planner'!$N$44),'Resource Planner'!$B$44,"")</f>
        <v/>
      </c>
      <c r="D1750" s="163" t="str">
        <f>IF(AND('Resource Planner'!$A$44="☑",46&lt;='Resource Planner'!$N$44),'Resource Planner'!$D$44,"")</f>
        <v/>
      </c>
      <c r="E1750" s="163" t="str">
        <f>IF(AND('Resource Planner'!$A$44="☑",46&lt;='Resource Planner'!$N$44),'Resource Planner'!$E$44,"")</f>
        <v/>
      </c>
      <c r="F1750" s="163" t="str">
        <f>IF(AND('Resource Planner'!$A$44="☑",46&lt;='Resource Planner'!$N$44),'Resource Planner'!$F$44&amp;" "&amp;('Resource Planner'!$G$44+(46-1)*'Resource Planner'!$I$44)&amp;IF(('Resource Planner'!$G$44+(46-1)*'Resource Planner'!$I$44)=MIN('Resource Planner'!$G$44+46*'Resource Planner'!$I$44-1,'Resource Planner'!$H$44),"","–"&amp;MIN('Resource Planner'!$G$44+46*'Resource Planner'!$I$44-1,'Resource Planner'!$H$44)),"")</f>
        <v/>
      </c>
      <c r="G1750" s="163" t="s">
        <v>109</v>
      </c>
      <c r="H1750" s="163" t="str">
        <f>IF(AND('Resource Planner'!$A$44="☑",46&lt;='Resource Planner'!$N$44),'Resource Planner'!$M$44,"")</f>
        <v/>
      </c>
    </row>
    <row r="1751" ht="15.75" customHeight="1">
      <c r="A17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1" s="163" t="str">
        <f>IF(AND('Resource Planner'!$A$44="☑",47&lt;='Resource Planner'!$N$44),'Resource Planner'!$C$44,"")</f>
        <v/>
      </c>
      <c r="C1751" s="163" t="str">
        <f>IF(AND('Resource Planner'!$A$44="☑",47&lt;='Resource Planner'!$N$44),'Resource Planner'!$B$44,"")</f>
        <v/>
      </c>
      <c r="D1751" s="163" t="str">
        <f>IF(AND('Resource Planner'!$A$44="☑",47&lt;='Resource Planner'!$N$44),'Resource Planner'!$D$44,"")</f>
        <v/>
      </c>
      <c r="E1751" s="163" t="str">
        <f>IF(AND('Resource Planner'!$A$44="☑",47&lt;='Resource Planner'!$N$44),'Resource Planner'!$E$44,"")</f>
        <v/>
      </c>
      <c r="F1751" s="163" t="str">
        <f>IF(AND('Resource Planner'!$A$44="☑",47&lt;='Resource Planner'!$N$44),'Resource Planner'!$F$44&amp;" "&amp;('Resource Planner'!$G$44+(47-1)*'Resource Planner'!$I$44)&amp;IF(('Resource Planner'!$G$44+(47-1)*'Resource Planner'!$I$44)=MIN('Resource Planner'!$G$44+47*'Resource Planner'!$I$44-1,'Resource Planner'!$H$44),"","–"&amp;MIN('Resource Planner'!$G$44+47*'Resource Planner'!$I$44-1,'Resource Planner'!$H$44)),"")</f>
        <v/>
      </c>
      <c r="G1751" s="163" t="s">
        <v>109</v>
      </c>
      <c r="H1751" s="163" t="str">
        <f>IF(AND('Resource Planner'!$A$44="☑",47&lt;='Resource Planner'!$N$44),'Resource Planner'!$M$44,"")</f>
        <v/>
      </c>
    </row>
    <row r="1752" ht="15.75" customHeight="1">
      <c r="A17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2" s="163" t="str">
        <f>IF(AND('Resource Planner'!$A$44="☑",48&lt;='Resource Planner'!$N$44),'Resource Planner'!$C$44,"")</f>
        <v/>
      </c>
      <c r="C1752" s="163" t="str">
        <f>IF(AND('Resource Planner'!$A$44="☑",48&lt;='Resource Planner'!$N$44),'Resource Planner'!$B$44,"")</f>
        <v/>
      </c>
      <c r="D1752" s="163" t="str">
        <f>IF(AND('Resource Planner'!$A$44="☑",48&lt;='Resource Planner'!$N$44),'Resource Planner'!$D$44,"")</f>
        <v/>
      </c>
      <c r="E1752" s="163" t="str">
        <f>IF(AND('Resource Planner'!$A$44="☑",48&lt;='Resource Planner'!$N$44),'Resource Planner'!$E$44,"")</f>
        <v/>
      </c>
      <c r="F1752" s="163" t="str">
        <f>IF(AND('Resource Planner'!$A$44="☑",48&lt;='Resource Planner'!$N$44),'Resource Planner'!$F$44&amp;" "&amp;('Resource Planner'!$G$44+(48-1)*'Resource Planner'!$I$44)&amp;IF(('Resource Planner'!$G$44+(48-1)*'Resource Planner'!$I$44)=MIN('Resource Planner'!$G$44+48*'Resource Planner'!$I$44-1,'Resource Planner'!$H$44),"","–"&amp;MIN('Resource Planner'!$G$44+48*'Resource Planner'!$I$44-1,'Resource Planner'!$H$44)),"")</f>
        <v/>
      </c>
      <c r="G1752" s="163" t="s">
        <v>109</v>
      </c>
      <c r="H1752" s="163" t="str">
        <f>IF(AND('Resource Planner'!$A$44="☑",48&lt;='Resource Planner'!$N$44),'Resource Planner'!$M$44,"")</f>
        <v/>
      </c>
    </row>
    <row r="1753" ht="15.75" customHeight="1">
      <c r="A17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3" s="163" t="str">
        <f>IF(AND('Resource Planner'!$A$44="☑",49&lt;='Resource Planner'!$N$44),'Resource Planner'!$C$44,"")</f>
        <v/>
      </c>
      <c r="C1753" s="163" t="str">
        <f>IF(AND('Resource Planner'!$A$44="☑",49&lt;='Resource Planner'!$N$44),'Resource Planner'!$B$44,"")</f>
        <v/>
      </c>
      <c r="D1753" s="163" t="str">
        <f>IF(AND('Resource Planner'!$A$44="☑",49&lt;='Resource Planner'!$N$44),'Resource Planner'!$D$44,"")</f>
        <v/>
      </c>
      <c r="E1753" s="163" t="str">
        <f>IF(AND('Resource Planner'!$A$44="☑",49&lt;='Resource Planner'!$N$44),'Resource Planner'!$E$44,"")</f>
        <v/>
      </c>
      <c r="F1753" s="163" t="str">
        <f>IF(AND('Resource Planner'!$A$44="☑",49&lt;='Resource Planner'!$N$44),'Resource Planner'!$F$44&amp;" "&amp;('Resource Planner'!$G$44+(49-1)*'Resource Planner'!$I$44)&amp;IF(('Resource Planner'!$G$44+(49-1)*'Resource Planner'!$I$44)=MIN('Resource Planner'!$G$44+49*'Resource Planner'!$I$44-1,'Resource Planner'!$H$44),"","–"&amp;MIN('Resource Planner'!$G$44+49*'Resource Planner'!$I$44-1,'Resource Planner'!$H$44)),"")</f>
        <v/>
      </c>
      <c r="G1753" s="163" t="s">
        <v>109</v>
      </c>
      <c r="H1753" s="163" t="str">
        <f>IF(AND('Resource Planner'!$A$44="☑",49&lt;='Resource Planner'!$N$44),'Resource Planner'!$M$44,"")</f>
        <v/>
      </c>
    </row>
    <row r="1754" ht="15.75" customHeight="1">
      <c r="A17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4" s="163" t="str">
        <f>IF(AND('Resource Planner'!$A$44="☑",50&lt;='Resource Planner'!$N$44),'Resource Planner'!$C$44,"")</f>
        <v/>
      </c>
      <c r="C1754" s="163" t="str">
        <f>IF(AND('Resource Planner'!$A$44="☑",50&lt;='Resource Planner'!$N$44),'Resource Planner'!$B$44,"")</f>
        <v/>
      </c>
      <c r="D1754" s="163" t="str">
        <f>IF(AND('Resource Planner'!$A$44="☑",50&lt;='Resource Planner'!$N$44),'Resource Planner'!$D$44,"")</f>
        <v/>
      </c>
      <c r="E1754" s="163" t="str">
        <f>IF(AND('Resource Planner'!$A$44="☑",50&lt;='Resource Planner'!$N$44),'Resource Planner'!$E$44,"")</f>
        <v/>
      </c>
      <c r="F1754" s="163" t="str">
        <f>IF(AND('Resource Planner'!$A$44="☑",50&lt;='Resource Planner'!$N$44),'Resource Planner'!$F$44&amp;" "&amp;('Resource Planner'!$G$44+(50-1)*'Resource Planner'!$I$44)&amp;IF(('Resource Planner'!$G$44+(50-1)*'Resource Planner'!$I$44)=MIN('Resource Planner'!$G$44+50*'Resource Planner'!$I$44-1,'Resource Planner'!$H$44),"","–"&amp;MIN('Resource Planner'!$G$44+50*'Resource Planner'!$I$44-1,'Resource Planner'!$H$44)),"")</f>
        <v/>
      </c>
      <c r="G1754" s="163" t="s">
        <v>109</v>
      </c>
      <c r="H1754" s="163" t="str">
        <f>IF(AND('Resource Planner'!$A$44="☑",50&lt;='Resource Planner'!$N$44),'Resource Planner'!$M$44,"")</f>
        <v/>
      </c>
    </row>
    <row r="1755" ht="15.75" customHeight="1">
      <c r="A17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5" s="163" t="str">
        <f>IF(AND('Resource Planner'!$A$45="☑",1&lt;='Resource Planner'!$N$45),'Resource Planner'!$C$45,"")</f>
        <v/>
      </c>
      <c r="C1755" s="163" t="str">
        <f>IF(AND('Resource Planner'!$A$45="☑",1&lt;='Resource Planner'!$N$45),'Resource Planner'!$B$45,"")</f>
        <v/>
      </c>
      <c r="D1755" s="163" t="str">
        <f>IF(AND('Resource Planner'!$A$45="☑",1&lt;='Resource Planner'!$N$45),'Resource Planner'!$D$45,"")</f>
        <v/>
      </c>
      <c r="E1755" s="163" t="str">
        <f>IF(AND('Resource Planner'!$A$45="☑",1&lt;='Resource Planner'!$N$45),'Resource Planner'!$E$45,"")</f>
        <v/>
      </c>
      <c r="F1755" s="163" t="str">
        <f>IF(AND('Resource Planner'!$A$45="☑",1&lt;='Resource Planner'!$N$45),'Resource Planner'!$F$45&amp;" "&amp;('Resource Planner'!$G$45+(1-1)*'Resource Planner'!$I$45)&amp;IF(('Resource Planner'!$G$45+(1-1)*'Resource Planner'!$I$45)=MIN('Resource Planner'!$G$45+1*'Resource Planner'!$I$45-1,'Resource Planner'!$H$45),"","–"&amp;MIN('Resource Planner'!$G$45+1*'Resource Planner'!$I$45-1,'Resource Planner'!$H$45)),"")</f>
        <v/>
      </c>
      <c r="G1755" s="163" t="s">
        <v>109</v>
      </c>
      <c r="H1755" s="163" t="str">
        <f>IF(AND('Resource Planner'!$A$45="☑",1&lt;='Resource Planner'!$N$45),'Resource Planner'!$M$45,"")</f>
        <v/>
      </c>
    </row>
    <row r="1756" ht="15.75" customHeight="1">
      <c r="A17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6" s="163" t="str">
        <f>IF(AND('Resource Planner'!$A$45="☑",2&lt;='Resource Planner'!$N$45),'Resource Planner'!$C$45,"")</f>
        <v/>
      </c>
      <c r="C1756" s="163" t="str">
        <f>IF(AND('Resource Planner'!$A$45="☑",2&lt;='Resource Planner'!$N$45),'Resource Planner'!$B$45,"")</f>
        <v/>
      </c>
      <c r="D1756" s="163" t="str">
        <f>IF(AND('Resource Planner'!$A$45="☑",2&lt;='Resource Planner'!$N$45),'Resource Planner'!$D$45,"")</f>
        <v/>
      </c>
      <c r="E1756" s="163" t="str">
        <f>IF(AND('Resource Planner'!$A$45="☑",2&lt;='Resource Planner'!$N$45),'Resource Planner'!$E$45,"")</f>
        <v/>
      </c>
      <c r="F1756" s="163" t="str">
        <f>IF(AND('Resource Planner'!$A$45="☑",2&lt;='Resource Planner'!$N$45),'Resource Planner'!$F$45&amp;" "&amp;('Resource Planner'!$G$45+(2-1)*'Resource Planner'!$I$45)&amp;IF(('Resource Planner'!$G$45+(2-1)*'Resource Planner'!$I$45)=MIN('Resource Planner'!$G$45+2*'Resource Planner'!$I$45-1,'Resource Planner'!$H$45),"","–"&amp;MIN('Resource Planner'!$G$45+2*'Resource Planner'!$I$45-1,'Resource Planner'!$H$45)),"")</f>
        <v/>
      </c>
      <c r="G1756" s="163" t="s">
        <v>109</v>
      </c>
      <c r="H1756" s="163" t="str">
        <f>IF(AND('Resource Planner'!$A$45="☑",2&lt;='Resource Planner'!$N$45),'Resource Planner'!$M$45,"")</f>
        <v/>
      </c>
    </row>
    <row r="1757" ht="15.75" customHeight="1">
      <c r="A17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7" s="163" t="str">
        <f>IF(AND('Resource Planner'!$A$45="☑",3&lt;='Resource Planner'!$N$45),'Resource Planner'!$C$45,"")</f>
        <v/>
      </c>
      <c r="C1757" s="163" t="str">
        <f>IF(AND('Resource Planner'!$A$45="☑",3&lt;='Resource Planner'!$N$45),'Resource Planner'!$B$45,"")</f>
        <v/>
      </c>
      <c r="D1757" s="163" t="str">
        <f>IF(AND('Resource Planner'!$A$45="☑",3&lt;='Resource Planner'!$N$45),'Resource Planner'!$D$45,"")</f>
        <v/>
      </c>
      <c r="E1757" s="163" t="str">
        <f>IF(AND('Resource Planner'!$A$45="☑",3&lt;='Resource Planner'!$N$45),'Resource Planner'!$E$45,"")</f>
        <v/>
      </c>
      <c r="F1757" s="163" t="str">
        <f>IF(AND('Resource Planner'!$A$45="☑",3&lt;='Resource Planner'!$N$45),'Resource Planner'!$F$45&amp;" "&amp;('Resource Planner'!$G$45+(3-1)*'Resource Planner'!$I$45)&amp;IF(('Resource Planner'!$G$45+(3-1)*'Resource Planner'!$I$45)=MIN('Resource Planner'!$G$45+3*'Resource Planner'!$I$45-1,'Resource Planner'!$H$45),"","–"&amp;MIN('Resource Planner'!$G$45+3*'Resource Planner'!$I$45-1,'Resource Planner'!$H$45)),"")</f>
        <v/>
      </c>
      <c r="G1757" s="163" t="s">
        <v>109</v>
      </c>
      <c r="H1757" s="163" t="str">
        <f>IF(AND('Resource Planner'!$A$45="☑",3&lt;='Resource Planner'!$N$45),'Resource Planner'!$M$45,"")</f>
        <v/>
      </c>
    </row>
    <row r="1758" ht="15.75" customHeight="1">
      <c r="A17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8" s="163" t="str">
        <f>IF(AND('Resource Planner'!$A$45="☑",4&lt;='Resource Planner'!$N$45),'Resource Planner'!$C$45,"")</f>
        <v/>
      </c>
      <c r="C1758" s="163" t="str">
        <f>IF(AND('Resource Planner'!$A$45="☑",4&lt;='Resource Planner'!$N$45),'Resource Planner'!$B$45,"")</f>
        <v/>
      </c>
      <c r="D1758" s="163" t="str">
        <f>IF(AND('Resource Planner'!$A$45="☑",4&lt;='Resource Planner'!$N$45),'Resource Planner'!$D$45,"")</f>
        <v/>
      </c>
      <c r="E1758" s="163" t="str">
        <f>IF(AND('Resource Planner'!$A$45="☑",4&lt;='Resource Planner'!$N$45),'Resource Planner'!$E$45,"")</f>
        <v/>
      </c>
      <c r="F1758" s="163" t="str">
        <f>IF(AND('Resource Planner'!$A$45="☑",4&lt;='Resource Planner'!$N$45),'Resource Planner'!$F$45&amp;" "&amp;('Resource Planner'!$G$45+(4-1)*'Resource Planner'!$I$45)&amp;IF(('Resource Planner'!$G$45+(4-1)*'Resource Planner'!$I$45)=MIN('Resource Planner'!$G$45+4*'Resource Planner'!$I$45-1,'Resource Planner'!$H$45),"","–"&amp;MIN('Resource Planner'!$G$45+4*'Resource Planner'!$I$45-1,'Resource Planner'!$H$45)),"")</f>
        <v/>
      </c>
      <c r="G1758" s="163" t="s">
        <v>109</v>
      </c>
      <c r="H1758" s="163" t="str">
        <f>IF(AND('Resource Planner'!$A$45="☑",4&lt;='Resource Planner'!$N$45),'Resource Planner'!$M$45,"")</f>
        <v/>
      </c>
    </row>
    <row r="1759" ht="15.75" customHeight="1">
      <c r="A17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59" s="163" t="str">
        <f>IF(AND('Resource Planner'!$A$45="☑",5&lt;='Resource Planner'!$N$45),'Resource Planner'!$C$45,"")</f>
        <v/>
      </c>
      <c r="C1759" s="163" t="str">
        <f>IF(AND('Resource Planner'!$A$45="☑",5&lt;='Resource Planner'!$N$45),'Resource Planner'!$B$45,"")</f>
        <v/>
      </c>
      <c r="D1759" s="163" t="str">
        <f>IF(AND('Resource Planner'!$A$45="☑",5&lt;='Resource Planner'!$N$45),'Resource Planner'!$D$45,"")</f>
        <v/>
      </c>
      <c r="E1759" s="163" t="str">
        <f>IF(AND('Resource Planner'!$A$45="☑",5&lt;='Resource Planner'!$N$45),'Resource Planner'!$E$45,"")</f>
        <v/>
      </c>
      <c r="F1759" s="163" t="str">
        <f>IF(AND('Resource Planner'!$A$45="☑",5&lt;='Resource Planner'!$N$45),'Resource Planner'!$F$45&amp;" "&amp;('Resource Planner'!$G$45+(5-1)*'Resource Planner'!$I$45)&amp;IF(('Resource Planner'!$G$45+(5-1)*'Resource Planner'!$I$45)=MIN('Resource Planner'!$G$45+5*'Resource Planner'!$I$45-1,'Resource Planner'!$H$45),"","–"&amp;MIN('Resource Planner'!$G$45+5*'Resource Planner'!$I$45-1,'Resource Planner'!$H$45)),"")</f>
        <v/>
      </c>
      <c r="G1759" s="163" t="s">
        <v>109</v>
      </c>
      <c r="H1759" s="163" t="str">
        <f>IF(AND('Resource Planner'!$A$45="☑",5&lt;='Resource Planner'!$N$45),'Resource Planner'!$M$45,"")</f>
        <v/>
      </c>
    </row>
    <row r="1760" ht="15.75" customHeight="1">
      <c r="A17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0" s="163" t="str">
        <f>IF(AND('Resource Planner'!$A$45="☑",6&lt;='Resource Planner'!$N$45),'Resource Planner'!$C$45,"")</f>
        <v/>
      </c>
      <c r="C1760" s="163" t="str">
        <f>IF(AND('Resource Planner'!$A$45="☑",6&lt;='Resource Planner'!$N$45),'Resource Planner'!$B$45,"")</f>
        <v/>
      </c>
      <c r="D1760" s="163" t="str">
        <f>IF(AND('Resource Planner'!$A$45="☑",6&lt;='Resource Planner'!$N$45),'Resource Planner'!$D$45,"")</f>
        <v/>
      </c>
      <c r="E1760" s="163" t="str">
        <f>IF(AND('Resource Planner'!$A$45="☑",6&lt;='Resource Planner'!$N$45),'Resource Planner'!$E$45,"")</f>
        <v/>
      </c>
      <c r="F1760" s="163" t="str">
        <f>IF(AND('Resource Planner'!$A$45="☑",6&lt;='Resource Planner'!$N$45),'Resource Planner'!$F$45&amp;" "&amp;('Resource Planner'!$G$45+(6-1)*'Resource Planner'!$I$45)&amp;IF(('Resource Planner'!$G$45+(6-1)*'Resource Planner'!$I$45)=MIN('Resource Planner'!$G$45+6*'Resource Planner'!$I$45-1,'Resource Planner'!$H$45),"","–"&amp;MIN('Resource Planner'!$G$45+6*'Resource Planner'!$I$45-1,'Resource Planner'!$H$45)),"")</f>
        <v/>
      </c>
      <c r="G1760" s="163" t="s">
        <v>109</v>
      </c>
      <c r="H1760" s="163" t="str">
        <f>IF(AND('Resource Planner'!$A$45="☑",6&lt;='Resource Planner'!$N$45),'Resource Planner'!$M$45,"")</f>
        <v/>
      </c>
    </row>
    <row r="1761" ht="15.75" customHeight="1">
      <c r="A17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1" s="163" t="str">
        <f>IF(AND('Resource Planner'!$A$45="☑",7&lt;='Resource Planner'!$N$45),'Resource Planner'!$C$45,"")</f>
        <v/>
      </c>
      <c r="C1761" s="163" t="str">
        <f>IF(AND('Resource Planner'!$A$45="☑",7&lt;='Resource Planner'!$N$45),'Resource Planner'!$B$45,"")</f>
        <v/>
      </c>
      <c r="D1761" s="163" t="str">
        <f>IF(AND('Resource Planner'!$A$45="☑",7&lt;='Resource Planner'!$N$45),'Resource Planner'!$D$45,"")</f>
        <v/>
      </c>
      <c r="E1761" s="163" t="str">
        <f>IF(AND('Resource Planner'!$A$45="☑",7&lt;='Resource Planner'!$N$45),'Resource Planner'!$E$45,"")</f>
        <v/>
      </c>
      <c r="F1761" s="163" t="str">
        <f>IF(AND('Resource Planner'!$A$45="☑",7&lt;='Resource Planner'!$N$45),'Resource Planner'!$F$45&amp;" "&amp;('Resource Planner'!$G$45+(7-1)*'Resource Planner'!$I$45)&amp;IF(('Resource Planner'!$G$45+(7-1)*'Resource Planner'!$I$45)=MIN('Resource Planner'!$G$45+7*'Resource Planner'!$I$45-1,'Resource Planner'!$H$45),"","–"&amp;MIN('Resource Planner'!$G$45+7*'Resource Planner'!$I$45-1,'Resource Planner'!$H$45)),"")</f>
        <v/>
      </c>
      <c r="G1761" s="163" t="s">
        <v>109</v>
      </c>
      <c r="H1761" s="163" t="str">
        <f>IF(AND('Resource Planner'!$A$45="☑",7&lt;='Resource Planner'!$N$45),'Resource Planner'!$M$45,"")</f>
        <v/>
      </c>
    </row>
    <row r="1762" ht="15.75" customHeight="1">
      <c r="A17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2" s="163" t="str">
        <f>IF(AND('Resource Planner'!$A$45="☑",8&lt;='Resource Planner'!$N$45),'Resource Planner'!$C$45,"")</f>
        <v/>
      </c>
      <c r="C1762" s="163" t="str">
        <f>IF(AND('Resource Planner'!$A$45="☑",8&lt;='Resource Planner'!$N$45),'Resource Planner'!$B$45,"")</f>
        <v/>
      </c>
      <c r="D1762" s="163" t="str">
        <f>IF(AND('Resource Planner'!$A$45="☑",8&lt;='Resource Planner'!$N$45),'Resource Planner'!$D$45,"")</f>
        <v/>
      </c>
      <c r="E1762" s="163" t="str">
        <f>IF(AND('Resource Planner'!$A$45="☑",8&lt;='Resource Planner'!$N$45),'Resource Planner'!$E$45,"")</f>
        <v/>
      </c>
      <c r="F1762" s="163" t="str">
        <f>IF(AND('Resource Planner'!$A$45="☑",8&lt;='Resource Planner'!$N$45),'Resource Planner'!$F$45&amp;" "&amp;('Resource Planner'!$G$45+(8-1)*'Resource Planner'!$I$45)&amp;IF(('Resource Planner'!$G$45+(8-1)*'Resource Planner'!$I$45)=MIN('Resource Planner'!$G$45+8*'Resource Planner'!$I$45-1,'Resource Planner'!$H$45),"","–"&amp;MIN('Resource Planner'!$G$45+8*'Resource Planner'!$I$45-1,'Resource Planner'!$H$45)),"")</f>
        <v/>
      </c>
      <c r="G1762" s="163" t="s">
        <v>109</v>
      </c>
      <c r="H1762" s="163" t="str">
        <f>IF(AND('Resource Planner'!$A$45="☑",8&lt;='Resource Planner'!$N$45),'Resource Planner'!$M$45,"")</f>
        <v/>
      </c>
    </row>
    <row r="1763" ht="15.75" customHeight="1">
      <c r="A17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3" s="163" t="str">
        <f>IF(AND('Resource Planner'!$A$45="☑",9&lt;='Resource Planner'!$N$45),'Resource Planner'!$C$45,"")</f>
        <v/>
      </c>
      <c r="C1763" s="163" t="str">
        <f>IF(AND('Resource Planner'!$A$45="☑",9&lt;='Resource Planner'!$N$45),'Resource Planner'!$B$45,"")</f>
        <v/>
      </c>
      <c r="D1763" s="163" t="str">
        <f>IF(AND('Resource Planner'!$A$45="☑",9&lt;='Resource Planner'!$N$45),'Resource Planner'!$D$45,"")</f>
        <v/>
      </c>
      <c r="E1763" s="163" t="str">
        <f>IF(AND('Resource Planner'!$A$45="☑",9&lt;='Resource Planner'!$N$45),'Resource Planner'!$E$45,"")</f>
        <v/>
      </c>
      <c r="F1763" s="163" t="str">
        <f>IF(AND('Resource Planner'!$A$45="☑",9&lt;='Resource Planner'!$N$45),'Resource Planner'!$F$45&amp;" "&amp;('Resource Planner'!$G$45+(9-1)*'Resource Planner'!$I$45)&amp;IF(('Resource Planner'!$G$45+(9-1)*'Resource Planner'!$I$45)=MIN('Resource Planner'!$G$45+9*'Resource Planner'!$I$45-1,'Resource Planner'!$H$45),"","–"&amp;MIN('Resource Planner'!$G$45+9*'Resource Planner'!$I$45-1,'Resource Planner'!$H$45)),"")</f>
        <v/>
      </c>
      <c r="G1763" s="163" t="s">
        <v>109</v>
      </c>
      <c r="H1763" s="163" t="str">
        <f>IF(AND('Resource Planner'!$A$45="☑",9&lt;='Resource Planner'!$N$45),'Resource Planner'!$M$45,"")</f>
        <v/>
      </c>
    </row>
    <row r="1764" ht="15.75" customHeight="1">
      <c r="A17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4" s="163" t="str">
        <f>IF(AND('Resource Planner'!$A$45="☑",10&lt;='Resource Planner'!$N$45),'Resource Planner'!$C$45,"")</f>
        <v/>
      </c>
      <c r="C1764" s="163" t="str">
        <f>IF(AND('Resource Planner'!$A$45="☑",10&lt;='Resource Planner'!$N$45),'Resource Planner'!$B$45,"")</f>
        <v/>
      </c>
      <c r="D1764" s="163" t="str">
        <f>IF(AND('Resource Planner'!$A$45="☑",10&lt;='Resource Planner'!$N$45),'Resource Planner'!$D$45,"")</f>
        <v/>
      </c>
      <c r="E1764" s="163" t="str">
        <f>IF(AND('Resource Planner'!$A$45="☑",10&lt;='Resource Planner'!$N$45),'Resource Planner'!$E$45,"")</f>
        <v/>
      </c>
      <c r="F1764" s="163" t="str">
        <f>IF(AND('Resource Planner'!$A$45="☑",10&lt;='Resource Planner'!$N$45),'Resource Planner'!$F$45&amp;" "&amp;('Resource Planner'!$G$45+(10-1)*'Resource Planner'!$I$45)&amp;IF(('Resource Planner'!$G$45+(10-1)*'Resource Planner'!$I$45)=MIN('Resource Planner'!$G$45+10*'Resource Planner'!$I$45-1,'Resource Planner'!$H$45),"","–"&amp;MIN('Resource Planner'!$G$45+10*'Resource Planner'!$I$45-1,'Resource Planner'!$H$45)),"")</f>
        <v/>
      </c>
      <c r="G1764" s="163" t="s">
        <v>109</v>
      </c>
      <c r="H1764" s="163" t="str">
        <f>IF(AND('Resource Planner'!$A$45="☑",10&lt;='Resource Planner'!$N$45),'Resource Planner'!$M$45,"")</f>
        <v/>
      </c>
    </row>
    <row r="1765" ht="15.75" customHeight="1">
      <c r="A17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5" s="163" t="str">
        <f>IF(AND('Resource Planner'!$A$45="☑",11&lt;='Resource Planner'!$N$45),'Resource Planner'!$C$45,"")</f>
        <v/>
      </c>
      <c r="C1765" s="163" t="str">
        <f>IF(AND('Resource Planner'!$A$45="☑",11&lt;='Resource Planner'!$N$45),'Resource Planner'!$B$45,"")</f>
        <v/>
      </c>
      <c r="D1765" s="163" t="str">
        <f>IF(AND('Resource Planner'!$A$45="☑",11&lt;='Resource Planner'!$N$45),'Resource Planner'!$D$45,"")</f>
        <v/>
      </c>
      <c r="E1765" s="163" t="str">
        <f>IF(AND('Resource Planner'!$A$45="☑",11&lt;='Resource Planner'!$N$45),'Resource Planner'!$E$45,"")</f>
        <v/>
      </c>
      <c r="F1765" s="163" t="str">
        <f>IF(AND('Resource Planner'!$A$45="☑",11&lt;='Resource Planner'!$N$45),'Resource Planner'!$F$45&amp;" "&amp;('Resource Planner'!$G$45+(11-1)*'Resource Planner'!$I$45)&amp;IF(('Resource Planner'!$G$45+(11-1)*'Resource Planner'!$I$45)=MIN('Resource Planner'!$G$45+11*'Resource Planner'!$I$45-1,'Resource Planner'!$H$45),"","–"&amp;MIN('Resource Planner'!$G$45+11*'Resource Planner'!$I$45-1,'Resource Planner'!$H$45)),"")</f>
        <v/>
      </c>
      <c r="G1765" s="163" t="s">
        <v>109</v>
      </c>
      <c r="H1765" s="163" t="str">
        <f>IF(AND('Resource Planner'!$A$45="☑",11&lt;='Resource Planner'!$N$45),'Resource Planner'!$M$45,"")</f>
        <v/>
      </c>
    </row>
    <row r="1766" ht="15.75" customHeight="1">
      <c r="A17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6" s="163" t="str">
        <f>IF(AND('Resource Planner'!$A$45="☑",12&lt;='Resource Planner'!$N$45),'Resource Planner'!$C$45,"")</f>
        <v/>
      </c>
      <c r="C1766" s="163" t="str">
        <f>IF(AND('Resource Planner'!$A$45="☑",12&lt;='Resource Planner'!$N$45),'Resource Planner'!$B$45,"")</f>
        <v/>
      </c>
      <c r="D1766" s="163" t="str">
        <f>IF(AND('Resource Planner'!$A$45="☑",12&lt;='Resource Planner'!$N$45),'Resource Planner'!$D$45,"")</f>
        <v/>
      </c>
      <c r="E1766" s="163" t="str">
        <f>IF(AND('Resource Planner'!$A$45="☑",12&lt;='Resource Planner'!$N$45),'Resource Planner'!$E$45,"")</f>
        <v/>
      </c>
      <c r="F1766" s="163" t="str">
        <f>IF(AND('Resource Planner'!$A$45="☑",12&lt;='Resource Planner'!$N$45),'Resource Planner'!$F$45&amp;" "&amp;('Resource Planner'!$G$45+(12-1)*'Resource Planner'!$I$45)&amp;IF(('Resource Planner'!$G$45+(12-1)*'Resource Planner'!$I$45)=MIN('Resource Planner'!$G$45+12*'Resource Planner'!$I$45-1,'Resource Planner'!$H$45),"","–"&amp;MIN('Resource Planner'!$G$45+12*'Resource Planner'!$I$45-1,'Resource Planner'!$H$45)),"")</f>
        <v/>
      </c>
      <c r="G1766" s="163" t="s">
        <v>109</v>
      </c>
      <c r="H1766" s="163" t="str">
        <f>IF(AND('Resource Planner'!$A$45="☑",12&lt;='Resource Planner'!$N$45),'Resource Planner'!$M$45,"")</f>
        <v/>
      </c>
    </row>
    <row r="1767" ht="15.75" customHeight="1">
      <c r="A17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7" s="163" t="str">
        <f>IF(AND('Resource Planner'!$A$45="☑",13&lt;='Resource Planner'!$N$45),'Resource Planner'!$C$45,"")</f>
        <v/>
      </c>
      <c r="C1767" s="163" t="str">
        <f>IF(AND('Resource Planner'!$A$45="☑",13&lt;='Resource Planner'!$N$45),'Resource Planner'!$B$45,"")</f>
        <v/>
      </c>
      <c r="D1767" s="163" t="str">
        <f>IF(AND('Resource Planner'!$A$45="☑",13&lt;='Resource Planner'!$N$45),'Resource Planner'!$D$45,"")</f>
        <v/>
      </c>
      <c r="E1767" s="163" t="str">
        <f>IF(AND('Resource Planner'!$A$45="☑",13&lt;='Resource Planner'!$N$45),'Resource Planner'!$E$45,"")</f>
        <v/>
      </c>
      <c r="F1767" s="163" t="str">
        <f>IF(AND('Resource Planner'!$A$45="☑",13&lt;='Resource Planner'!$N$45),'Resource Planner'!$F$45&amp;" "&amp;('Resource Planner'!$G$45+(13-1)*'Resource Planner'!$I$45)&amp;IF(('Resource Planner'!$G$45+(13-1)*'Resource Planner'!$I$45)=MIN('Resource Planner'!$G$45+13*'Resource Planner'!$I$45-1,'Resource Planner'!$H$45),"","–"&amp;MIN('Resource Planner'!$G$45+13*'Resource Planner'!$I$45-1,'Resource Planner'!$H$45)),"")</f>
        <v/>
      </c>
      <c r="G1767" s="163" t="s">
        <v>109</v>
      </c>
      <c r="H1767" s="163" t="str">
        <f>IF(AND('Resource Planner'!$A$45="☑",13&lt;='Resource Planner'!$N$45),'Resource Planner'!$M$45,"")</f>
        <v/>
      </c>
    </row>
    <row r="1768" ht="15.75" customHeight="1">
      <c r="A17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8" s="163" t="str">
        <f>IF(AND('Resource Planner'!$A$45="☑",14&lt;='Resource Planner'!$N$45),'Resource Planner'!$C$45,"")</f>
        <v/>
      </c>
      <c r="C1768" s="163" t="str">
        <f>IF(AND('Resource Planner'!$A$45="☑",14&lt;='Resource Planner'!$N$45),'Resource Planner'!$B$45,"")</f>
        <v/>
      </c>
      <c r="D1768" s="163" t="str">
        <f>IF(AND('Resource Planner'!$A$45="☑",14&lt;='Resource Planner'!$N$45),'Resource Planner'!$D$45,"")</f>
        <v/>
      </c>
      <c r="E1768" s="163" t="str">
        <f>IF(AND('Resource Planner'!$A$45="☑",14&lt;='Resource Planner'!$N$45),'Resource Planner'!$E$45,"")</f>
        <v/>
      </c>
      <c r="F1768" s="163" t="str">
        <f>IF(AND('Resource Planner'!$A$45="☑",14&lt;='Resource Planner'!$N$45),'Resource Planner'!$F$45&amp;" "&amp;('Resource Planner'!$G$45+(14-1)*'Resource Planner'!$I$45)&amp;IF(('Resource Planner'!$G$45+(14-1)*'Resource Planner'!$I$45)=MIN('Resource Planner'!$G$45+14*'Resource Planner'!$I$45-1,'Resource Planner'!$H$45),"","–"&amp;MIN('Resource Planner'!$G$45+14*'Resource Planner'!$I$45-1,'Resource Planner'!$H$45)),"")</f>
        <v/>
      </c>
      <c r="G1768" s="163" t="s">
        <v>109</v>
      </c>
      <c r="H1768" s="163" t="str">
        <f>IF(AND('Resource Planner'!$A$45="☑",14&lt;='Resource Planner'!$N$45),'Resource Planner'!$M$45,"")</f>
        <v/>
      </c>
    </row>
    <row r="1769" ht="15.75" customHeight="1">
      <c r="A17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69" s="163" t="str">
        <f>IF(AND('Resource Planner'!$A$45="☑",15&lt;='Resource Planner'!$N$45),'Resource Planner'!$C$45,"")</f>
        <v/>
      </c>
      <c r="C1769" s="163" t="str">
        <f>IF(AND('Resource Planner'!$A$45="☑",15&lt;='Resource Planner'!$N$45),'Resource Planner'!$B$45,"")</f>
        <v/>
      </c>
      <c r="D1769" s="163" t="str">
        <f>IF(AND('Resource Planner'!$A$45="☑",15&lt;='Resource Planner'!$N$45),'Resource Planner'!$D$45,"")</f>
        <v/>
      </c>
      <c r="E1769" s="163" t="str">
        <f>IF(AND('Resource Planner'!$A$45="☑",15&lt;='Resource Planner'!$N$45),'Resource Planner'!$E$45,"")</f>
        <v/>
      </c>
      <c r="F1769" s="163" t="str">
        <f>IF(AND('Resource Planner'!$A$45="☑",15&lt;='Resource Planner'!$N$45),'Resource Planner'!$F$45&amp;" "&amp;('Resource Planner'!$G$45+(15-1)*'Resource Planner'!$I$45)&amp;IF(('Resource Planner'!$G$45+(15-1)*'Resource Planner'!$I$45)=MIN('Resource Planner'!$G$45+15*'Resource Planner'!$I$45-1,'Resource Planner'!$H$45),"","–"&amp;MIN('Resource Planner'!$G$45+15*'Resource Planner'!$I$45-1,'Resource Planner'!$H$45)),"")</f>
        <v/>
      </c>
      <c r="G1769" s="163" t="s">
        <v>109</v>
      </c>
      <c r="H1769" s="163" t="str">
        <f>IF(AND('Resource Planner'!$A$45="☑",15&lt;='Resource Planner'!$N$45),'Resource Planner'!$M$45,"")</f>
        <v/>
      </c>
    </row>
    <row r="1770" ht="15.75" customHeight="1">
      <c r="A17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0" s="163" t="str">
        <f>IF(AND('Resource Planner'!$A$45="☑",16&lt;='Resource Planner'!$N$45),'Resource Planner'!$C$45,"")</f>
        <v/>
      </c>
      <c r="C1770" s="163" t="str">
        <f>IF(AND('Resource Planner'!$A$45="☑",16&lt;='Resource Planner'!$N$45),'Resource Planner'!$B$45,"")</f>
        <v/>
      </c>
      <c r="D1770" s="163" t="str">
        <f>IF(AND('Resource Planner'!$A$45="☑",16&lt;='Resource Planner'!$N$45),'Resource Planner'!$D$45,"")</f>
        <v/>
      </c>
      <c r="E1770" s="163" t="str">
        <f>IF(AND('Resource Planner'!$A$45="☑",16&lt;='Resource Planner'!$N$45),'Resource Planner'!$E$45,"")</f>
        <v/>
      </c>
      <c r="F1770" s="163" t="str">
        <f>IF(AND('Resource Planner'!$A$45="☑",16&lt;='Resource Planner'!$N$45),'Resource Planner'!$F$45&amp;" "&amp;('Resource Planner'!$G$45+(16-1)*'Resource Planner'!$I$45)&amp;IF(('Resource Planner'!$G$45+(16-1)*'Resource Planner'!$I$45)=MIN('Resource Planner'!$G$45+16*'Resource Planner'!$I$45-1,'Resource Planner'!$H$45),"","–"&amp;MIN('Resource Planner'!$G$45+16*'Resource Planner'!$I$45-1,'Resource Planner'!$H$45)),"")</f>
        <v/>
      </c>
      <c r="G1770" s="163" t="s">
        <v>109</v>
      </c>
      <c r="H1770" s="163" t="str">
        <f>IF(AND('Resource Planner'!$A$45="☑",16&lt;='Resource Planner'!$N$45),'Resource Planner'!$M$45,"")</f>
        <v/>
      </c>
    </row>
    <row r="1771" ht="15.75" customHeight="1">
      <c r="A17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1" s="163" t="str">
        <f>IF(AND('Resource Planner'!$A$45="☑",17&lt;='Resource Planner'!$N$45),'Resource Planner'!$C$45,"")</f>
        <v/>
      </c>
      <c r="C1771" s="163" t="str">
        <f>IF(AND('Resource Planner'!$A$45="☑",17&lt;='Resource Planner'!$N$45),'Resource Planner'!$B$45,"")</f>
        <v/>
      </c>
      <c r="D1771" s="163" t="str">
        <f>IF(AND('Resource Planner'!$A$45="☑",17&lt;='Resource Planner'!$N$45),'Resource Planner'!$D$45,"")</f>
        <v/>
      </c>
      <c r="E1771" s="163" t="str">
        <f>IF(AND('Resource Planner'!$A$45="☑",17&lt;='Resource Planner'!$N$45),'Resource Planner'!$E$45,"")</f>
        <v/>
      </c>
      <c r="F1771" s="163" t="str">
        <f>IF(AND('Resource Planner'!$A$45="☑",17&lt;='Resource Planner'!$N$45),'Resource Planner'!$F$45&amp;" "&amp;('Resource Planner'!$G$45+(17-1)*'Resource Planner'!$I$45)&amp;IF(('Resource Planner'!$G$45+(17-1)*'Resource Planner'!$I$45)=MIN('Resource Planner'!$G$45+17*'Resource Planner'!$I$45-1,'Resource Planner'!$H$45),"","–"&amp;MIN('Resource Planner'!$G$45+17*'Resource Planner'!$I$45-1,'Resource Planner'!$H$45)),"")</f>
        <v/>
      </c>
      <c r="G1771" s="163" t="s">
        <v>109</v>
      </c>
      <c r="H1771" s="163" t="str">
        <f>IF(AND('Resource Planner'!$A$45="☑",17&lt;='Resource Planner'!$N$45),'Resource Planner'!$M$45,"")</f>
        <v/>
      </c>
    </row>
    <row r="1772" ht="15.75" customHeight="1">
      <c r="A17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2" s="163" t="str">
        <f>IF(AND('Resource Planner'!$A$45="☑",18&lt;='Resource Planner'!$N$45),'Resource Planner'!$C$45,"")</f>
        <v/>
      </c>
      <c r="C1772" s="163" t="str">
        <f>IF(AND('Resource Planner'!$A$45="☑",18&lt;='Resource Planner'!$N$45),'Resource Planner'!$B$45,"")</f>
        <v/>
      </c>
      <c r="D1772" s="163" t="str">
        <f>IF(AND('Resource Planner'!$A$45="☑",18&lt;='Resource Planner'!$N$45),'Resource Planner'!$D$45,"")</f>
        <v/>
      </c>
      <c r="E1772" s="163" t="str">
        <f>IF(AND('Resource Planner'!$A$45="☑",18&lt;='Resource Planner'!$N$45),'Resource Planner'!$E$45,"")</f>
        <v/>
      </c>
      <c r="F1772" s="163" t="str">
        <f>IF(AND('Resource Planner'!$A$45="☑",18&lt;='Resource Planner'!$N$45),'Resource Planner'!$F$45&amp;" "&amp;('Resource Planner'!$G$45+(18-1)*'Resource Planner'!$I$45)&amp;IF(('Resource Planner'!$G$45+(18-1)*'Resource Planner'!$I$45)=MIN('Resource Planner'!$G$45+18*'Resource Planner'!$I$45-1,'Resource Planner'!$H$45),"","–"&amp;MIN('Resource Planner'!$G$45+18*'Resource Planner'!$I$45-1,'Resource Planner'!$H$45)),"")</f>
        <v/>
      </c>
      <c r="G1772" s="163" t="s">
        <v>109</v>
      </c>
      <c r="H1772" s="163" t="str">
        <f>IF(AND('Resource Planner'!$A$45="☑",18&lt;='Resource Planner'!$N$45),'Resource Planner'!$M$45,"")</f>
        <v/>
      </c>
    </row>
    <row r="1773" ht="15.75" customHeight="1">
      <c r="A17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3" s="163" t="str">
        <f>IF(AND('Resource Planner'!$A$45="☑",19&lt;='Resource Planner'!$N$45),'Resource Planner'!$C$45,"")</f>
        <v/>
      </c>
      <c r="C1773" s="163" t="str">
        <f>IF(AND('Resource Planner'!$A$45="☑",19&lt;='Resource Planner'!$N$45),'Resource Planner'!$B$45,"")</f>
        <v/>
      </c>
      <c r="D1773" s="163" t="str">
        <f>IF(AND('Resource Planner'!$A$45="☑",19&lt;='Resource Planner'!$N$45),'Resource Planner'!$D$45,"")</f>
        <v/>
      </c>
      <c r="E1773" s="163" t="str">
        <f>IF(AND('Resource Planner'!$A$45="☑",19&lt;='Resource Planner'!$N$45),'Resource Planner'!$E$45,"")</f>
        <v/>
      </c>
      <c r="F1773" s="163" t="str">
        <f>IF(AND('Resource Planner'!$A$45="☑",19&lt;='Resource Planner'!$N$45),'Resource Planner'!$F$45&amp;" "&amp;('Resource Planner'!$G$45+(19-1)*'Resource Planner'!$I$45)&amp;IF(('Resource Planner'!$G$45+(19-1)*'Resource Planner'!$I$45)=MIN('Resource Planner'!$G$45+19*'Resource Planner'!$I$45-1,'Resource Planner'!$H$45),"","–"&amp;MIN('Resource Planner'!$G$45+19*'Resource Planner'!$I$45-1,'Resource Planner'!$H$45)),"")</f>
        <v/>
      </c>
      <c r="G1773" s="163" t="s">
        <v>109</v>
      </c>
      <c r="H1773" s="163" t="str">
        <f>IF(AND('Resource Planner'!$A$45="☑",19&lt;='Resource Planner'!$N$45),'Resource Planner'!$M$45,"")</f>
        <v/>
      </c>
    </row>
    <row r="1774" ht="15.75" customHeight="1">
      <c r="A17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4" s="163" t="str">
        <f>IF(AND('Resource Planner'!$A$45="☑",20&lt;='Resource Planner'!$N$45),'Resource Planner'!$C$45,"")</f>
        <v/>
      </c>
      <c r="C1774" s="163" t="str">
        <f>IF(AND('Resource Planner'!$A$45="☑",20&lt;='Resource Planner'!$N$45),'Resource Planner'!$B$45,"")</f>
        <v/>
      </c>
      <c r="D1774" s="163" t="str">
        <f>IF(AND('Resource Planner'!$A$45="☑",20&lt;='Resource Planner'!$N$45),'Resource Planner'!$D$45,"")</f>
        <v/>
      </c>
      <c r="E1774" s="163" t="str">
        <f>IF(AND('Resource Planner'!$A$45="☑",20&lt;='Resource Planner'!$N$45),'Resource Planner'!$E$45,"")</f>
        <v/>
      </c>
      <c r="F1774" s="163" t="str">
        <f>IF(AND('Resource Planner'!$A$45="☑",20&lt;='Resource Planner'!$N$45),'Resource Planner'!$F$45&amp;" "&amp;('Resource Planner'!$G$45+(20-1)*'Resource Planner'!$I$45)&amp;IF(('Resource Planner'!$G$45+(20-1)*'Resource Planner'!$I$45)=MIN('Resource Planner'!$G$45+20*'Resource Planner'!$I$45-1,'Resource Planner'!$H$45),"","–"&amp;MIN('Resource Planner'!$G$45+20*'Resource Planner'!$I$45-1,'Resource Planner'!$H$45)),"")</f>
        <v/>
      </c>
      <c r="G1774" s="163" t="s">
        <v>109</v>
      </c>
      <c r="H1774" s="163" t="str">
        <f>IF(AND('Resource Planner'!$A$45="☑",20&lt;='Resource Planner'!$N$45),'Resource Planner'!$M$45,"")</f>
        <v/>
      </c>
    </row>
    <row r="1775" ht="15.75" customHeight="1">
      <c r="A17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5" s="163" t="str">
        <f>IF(AND('Resource Planner'!$A$45="☑",21&lt;='Resource Planner'!$N$45),'Resource Planner'!$C$45,"")</f>
        <v/>
      </c>
      <c r="C1775" s="163" t="str">
        <f>IF(AND('Resource Planner'!$A$45="☑",21&lt;='Resource Planner'!$N$45),'Resource Planner'!$B$45,"")</f>
        <v/>
      </c>
      <c r="D1775" s="163" t="str">
        <f>IF(AND('Resource Planner'!$A$45="☑",21&lt;='Resource Planner'!$N$45),'Resource Planner'!$D$45,"")</f>
        <v/>
      </c>
      <c r="E1775" s="163" t="str">
        <f>IF(AND('Resource Planner'!$A$45="☑",21&lt;='Resource Planner'!$N$45),'Resource Planner'!$E$45,"")</f>
        <v/>
      </c>
      <c r="F1775" s="163" t="str">
        <f>IF(AND('Resource Planner'!$A$45="☑",21&lt;='Resource Planner'!$N$45),'Resource Planner'!$F$45&amp;" "&amp;('Resource Planner'!$G$45+(21-1)*'Resource Planner'!$I$45)&amp;IF(('Resource Planner'!$G$45+(21-1)*'Resource Planner'!$I$45)=MIN('Resource Planner'!$G$45+21*'Resource Planner'!$I$45-1,'Resource Planner'!$H$45),"","–"&amp;MIN('Resource Planner'!$G$45+21*'Resource Planner'!$I$45-1,'Resource Planner'!$H$45)),"")</f>
        <v/>
      </c>
      <c r="G1775" s="163" t="s">
        <v>109</v>
      </c>
      <c r="H1775" s="163" t="str">
        <f>IF(AND('Resource Planner'!$A$45="☑",21&lt;='Resource Planner'!$N$45),'Resource Planner'!$M$45,"")</f>
        <v/>
      </c>
    </row>
    <row r="1776" ht="15.75" customHeight="1">
      <c r="A17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6" s="163" t="str">
        <f>IF(AND('Resource Planner'!$A$45="☑",22&lt;='Resource Planner'!$N$45),'Resource Planner'!$C$45,"")</f>
        <v/>
      </c>
      <c r="C1776" s="163" t="str">
        <f>IF(AND('Resource Planner'!$A$45="☑",22&lt;='Resource Planner'!$N$45),'Resource Planner'!$B$45,"")</f>
        <v/>
      </c>
      <c r="D1776" s="163" t="str">
        <f>IF(AND('Resource Planner'!$A$45="☑",22&lt;='Resource Planner'!$N$45),'Resource Planner'!$D$45,"")</f>
        <v/>
      </c>
      <c r="E1776" s="163" t="str">
        <f>IF(AND('Resource Planner'!$A$45="☑",22&lt;='Resource Planner'!$N$45),'Resource Planner'!$E$45,"")</f>
        <v/>
      </c>
      <c r="F1776" s="163" t="str">
        <f>IF(AND('Resource Planner'!$A$45="☑",22&lt;='Resource Planner'!$N$45),'Resource Planner'!$F$45&amp;" "&amp;('Resource Planner'!$G$45+(22-1)*'Resource Planner'!$I$45)&amp;IF(('Resource Planner'!$G$45+(22-1)*'Resource Planner'!$I$45)=MIN('Resource Planner'!$G$45+22*'Resource Planner'!$I$45-1,'Resource Planner'!$H$45),"","–"&amp;MIN('Resource Planner'!$G$45+22*'Resource Planner'!$I$45-1,'Resource Planner'!$H$45)),"")</f>
        <v/>
      </c>
      <c r="G1776" s="163" t="s">
        <v>109</v>
      </c>
      <c r="H1776" s="163" t="str">
        <f>IF(AND('Resource Planner'!$A$45="☑",22&lt;='Resource Planner'!$N$45),'Resource Planner'!$M$45,"")</f>
        <v/>
      </c>
    </row>
    <row r="1777" ht="15.75" customHeight="1">
      <c r="A17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7" s="163" t="str">
        <f>IF(AND('Resource Planner'!$A$45="☑",23&lt;='Resource Planner'!$N$45),'Resource Planner'!$C$45,"")</f>
        <v/>
      </c>
      <c r="C1777" s="163" t="str">
        <f>IF(AND('Resource Planner'!$A$45="☑",23&lt;='Resource Planner'!$N$45),'Resource Planner'!$B$45,"")</f>
        <v/>
      </c>
      <c r="D1777" s="163" t="str">
        <f>IF(AND('Resource Planner'!$A$45="☑",23&lt;='Resource Planner'!$N$45),'Resource Planner'!$D$45,"")</f>
        <v/>
      </c>
      <c r="E1777" s="163" t="str">
        <f>IF(AND('Resource Planner'!$A$45="☑",23&lt;='Resource Planner'!$N$45),'Resource Planner'!$E$45,"")</f>
        <v/>
      </c>
      <c r="F1777" s="163" t="str">
        <f>IF(AND('Resource Planner'!$A$45="☑",23&lt;='Resource Planner'!$N$45),'Resource Planner'!$F$45&amp;" "&amp;('Resource Planner'!$G$45+(23-1)*'Resource Planner'!$I$45)&amp;IF(('Resource Planner'!$G$45+(23-1)*'Resource Planner'!$I$45)=MIN('Resource Planner'!$G$45+23*'Resource Planner'!$I$45-1,'Resource Planner'!$H$45),"","–"&amp;MIN('Resource Planner'!$G$45+23*'Resource Planner'!$I$45-1,'Resource Planner'!$H$45)),"")</f>
        <v/>
      </c>
      <c r="G1777" s="163" t="s">
        <v>109</v>
      </c>
      <c r="H1777" s="163" t="str">
        <f>IF(AND('Resource Planner'!$A$45="☑",23&lt;='Resource Planner'!$N$45),'Resource Planner'!$M$45,"")</f>
        <v/>
      </c>
    </row>
    <row r="1778" ht="15.75" customHeight="1">
      <c r="A17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8" s="163" t="str">
        <f>IF(AND('Resource Planner'!$A$45="☑",24&lt;='Resource Planner'!$N$45),'Resource Planner'!$C$45,"")</f>
        <v/>
      </c>
      <c r="C1778" s="163" t="str">
        <f>IF(AND('Resource Planner'!$A$45="☑",24&lt;='Resource Planner'!$N$45),'Resource Planner'!$B$45,"")</f>
        <v/>
      </c>
      <c r="D1778" s="163" t="str">
        <f>IF(AND('Resource Planner'!$A$45="☑",24&lt;='Resource Planner'!$N$45),'Resource Planner'!$D$45,"")</f>
        <v/>
      </c>
      <c r="E1778" s="163" t="str">
        <f>IF(AND('Resource Planner'!$A$45="☑",24&lt;='Resource Planner'!$N$45),'Resource Planner'!$E$45,"")</f>
        <v/>
      </c>
      <c r="F1778" s="163" t="str">
        <f>IF(AND('Resource Planner'!$A$45="☑",24&lt;='Resource Planner'!$N$45),'Resource Planner'!$F$45&amp;" "&amp;('Resource Planner'!$G$45+(24-1)*'Resource Planner'!$I$45)&amp;IF(('Resource Planner'!$G$45+(24-1)*'Resource Planner'!$I$45)=MIN('Resource Planner'!$G$45+24*'Resource Planner'!$I$45-1,'Resource Planner'!$H$45),"","–"&amp;MIN('Resource Planner'!$G$45+24*'Resource Planner'!$I$45-1,'Resource Planner'!$H$45)),"")</f>
        <v/>
      </c>
      <c r="G1778" s="163" t="s">
        <v>109</v>
      </c>
      <c r="H1778" s="163" t="str">
        <f>IF(AND('Resource Planner'!$A$45="☑",24&lt;='Resource Planner'!$N$45),'Resource Planner'!$M$45,"")</f>
        <v/>
      </c>
    </row>
    <row r="1779" ht="15.75" customHeight="1">
      <c r="A17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79" s="163" t="str">
        <f>IF(AND('Resource Planner'!$A$45="☑",25&lt;='Resource Planner'!$N$45),'Resource Planner'!$C$45,"")</f>
        <v/>
      </c>
      <c r="C1779" s="163" t="str">
        <f>IF(AND('Resource Planner'!$A$45="☑",25&lt;='Resource Planner'!$N$45),'Resource Planner'!$B$45,"")</f>
        <v/>
      </c>
      <c r="D1779" s="163" t="str">
        <f>IF(AND('Resource Planner'!$A$45="☑",25&lt;='Resource Planner'!$N$45),'Resource Planner'!$D$45,"")</f>
        <v/>
      </c>
      <c r="E1779" s="163" t="str">
        <f>IF(AND('Resource Planner'!$A$45="☑",25&lt;='Resource Planner'!$N$45),'Resource Planner'!$E$45,"")</f>
        <v/>
      </c>
      <c r="F1779" s="163" t="str">
        <f>IF(AND('Resource Planner'!$A$45="☑",25&lt;='Resource Planner'!$N$45),'Resource Planner'!$F$45&amp;" "&amp;('Resource Planner'!$G$45+(25-1)*'Resource Planner'!$I$45)&amp;IF(('Resource Planner'!$G$45+(25-1)*'Resource Planner'!$I$45)=MIN('Resource Planner'!$G$45+25*'Resource Planner'!$I$45-1,'Resource Planner'!$H$45),"","–"&amp;MIN('Resource Planner'!$G$45+25*'Resource Planner'!$I$45-1,'Resource Planner'!$H$45)),"")</f>
        <v/>
      </c>
      <c r="G1779" s="163" t="s">
        <v>109</v>
      </c>
      <c r="H1779" s="163" t="str">
        <f>IF(AND('Resource Planner'!$A$45="☑",25&lt;='Resource Planner'!$N$45),'Resource Planner'!$M$45,"")</f>
        <v/>
      </c>
    </row>
    <row r="1780" ht="15.75" customHeight="1">
      <c r="A17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0" s="163" t="str">
        <f>IF(AND('Resource Planner'!$A$45="☑",26&lt;='Resource Planner'!$N$45),'Resource Planner'!$C$45,"")</f>
        <v/>
      </c>
      <c r="C1780" s="163" t="str">
        <f>IF(AND('Resource Planner'!$A$45="☑",26&lt;='Resource Planner'!$N$45),'Resource Planner'!$B$45,"")</f>
        <v/>
      </c>
      <c r="D1780" s="163" t="str">
        <f>IF(AND('Resource Planner'!$A$45="☑",26&lt;='Resource Planner'!$N$45),'Resource Planner'!$D$45,"")</f>
        <v/>
      </c>
      <c r="E1780" s="163" t="str">
        <f>IF(AND('Resource Planner'!$A$45="☑",26&lt;='Resource Planner'!$N$45),'Resource Planner'!$E$45,"")</f>
        <v/>
      </c>
      <c r="F1780" s="163" t="str">
        <f>IF(AND('Resource Planner'!$A$45="☑",26&lt;='Resource Planner'!$N$45),'Resource Planner'!$F$45&amp;" "&amp;('Resource Planner'!$G$45+(26-1)*'Resource Planner'!$I$45)&amp;IF(('Resource Planner'!$G$45+(26-1)*'Resource Planner'!$I$45)=MIN('Resource Planner'!$G$45+26*'Resource Planner'!$I$45-1,'Resource Planner'!$H$45),"","–"&amp;MIN('Resource Planner'!$G$45+26*'Resource Planner'!$I$45-1,'Resource Planner'!$H$45)),"")</f>
        <v/>
      </c>
      <c r="G1780" s="163" t="s">
        <v>109</v>
      </c>
      <c r="H1780" s="163" t="str">
        <f>IF(AND('Resource Planner'!$A$45="☑",26&lt;='Resource Planner'!$N$45),'Resource Planner'!$M$45,"")</f>
        <v/>
      </c>
    </row>
    <row r="1781" ht="15.75" customHeight="1">
      <c r="A17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1" s="163" t="str">
        <f>IF(AND('Resource Planner'!$A$45="☑",27&lt;='Resource Planner'!$N$45),'Resource Planner'!$C$45,"")</f>
        <v/>
      </c>
      <c r="C1781" s="163" t="str">
        <f>IF(AND('Resource Planner'!$A$45="☑",27&lt;='Resource Planner'!$N$45),'Resource Planner'!$B$45,"")</f>
        <v/>
      </c>
      <c r="D1781" s="163" t="str">
        <f>IF(AND('Resource Planner'!$A$45="☑",27&lt;='Resource Planner'!$N$45),'Resource Planner'!$D$45,"")</f>
        <v/>
      </c>
      <c r="E1781" s="163" t="str">
        <f>IF(AND('Resource Planner'!$A$45="☑",27&lt;='Resource Planner'!$N$45),'Resource Planner'!$E$45,"")</f>
        <v/>
      </c>
      <c r="F1781" s="163" t="str">
        <f>IF(AND('Resource Planner'!$A$45="☑",27&lt;='Resource Planner'!$N$45),'Resource Planner'!$F$45&amp;" "&amp;('Resource Planner'!$G$45+(27-1)*'Resource Planner'!$I$45)&amp;IF(('Resource Planner'!$G$45+(27-1)*'Resource Planner'!$I$45)=MIN('Resource Planner'!$G$45+27*'Resource Planner'!$I$45-1,'Resource Planner'!$H$45),"","–"&amp;MIN('Resource Planner'!$G$45+27*'Resource Planner'!$I$45-1,'Resource Planner'!$H$45)),"")</f>
        <v/>
      </c>
      <c r="G1781" s="163" t="s">
        <v>109</v>
      </c>
      <c r="H1781" s="163" t="str">
        <f>IF(AND('Resource Planner'!$A$45="☑",27&lt;='Resource Planner'!$N$45),'Resource Planner'!$M$45,"")</f>
        <v/>
      </c>
    </row>
    <row r="1782" ht="15.75" customHeight="1">
      <c r="A17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2" s="163" t="str">
        <f>IF(AND('Resource Planner'!$A$45="☑",28&lt;='Resource Planner'!$N$45),'Resource Planner'!$C$45,"")</f>
        <v/>
      </c>
      <c r="C1782" s="163" t="str">
        <f>IF(AND('Resource Planner'!$A$45="☑",28&lt;='Resource Planner'!$N$45),'Resource Planner'!$B$45,"")</f>
        <v/>
      </c>
      <c r="D1782" s="163" t="str">
        <f>IF(AND('Resource Planner'!$A$45="☑",28&lt;='Resource Planner'!$N$45),'Resource Planner'!$D$45,"")</f>
        <v/>
      </c>
      <c r="E1782" s="163" t="str">
        <f>IF(AND('Resource Planner'!$A$45="☑",28&lt;='Resource Planner'!$N$45),'Resource Planner'!$E$45,"")</f>
        <v/>
      </c>
      <c r="F1782" s="163" t="str">
        <f>IF(AND('Resource Planner'!$A$45="☑",28&lt;='Resource Planner'!$N$45),'Resource Planner'!$F$45&amp;" "&amp;('Resource Planner'!$G$45+(28-1)*'Resource Planner'!$I$45)&amp;IF(('Resource Planner'!$G$45+(28-1)*'Resource Planner'!$I$45)=MIN('Resource Planner'!$G$45+28*'Resource Planner'!$I$45-1,'Resource Planner'!$H$45),"","–"&amp;MIN('Resource Planner'!$G$45+28*'Resource Planner'!$I$45-1,'Resource Planner'!$H$45)),"")</f>
        <v/>
      </c>
      <c r="G1782" s="163" t="s">
        <v>109</v>
      </c>
      <c r="H1782" s="163" t="str">
        <f>IF(AND('Resource Planner'!$A$45="☑",28&lt;='Resource Planner'!$N$45),'Resource Planner'!$M$45,"")</f>
        <v/>
      </c>
    </row>
    <row r="1783" ht="15.75" customHeight="1">
      <c r="A17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3" s="163" t="str">
        <f>IF(AND('Resource Planner'!$A$45="☑",29&lt;='Resource Planner'!$N$45),'Resource Planner'!$C$45,"")</f>
        <v/>
      </c>
      <c r="C1783" s="163" t="str">
        <f>IF(AND('Resource Planner'!$A$45="☑",29&lt;='Resource Planner'!$N$45),'Resource Planner'!$B$45,"")</f>
        <v/>
      </c>
      <c r="D1783" s="163" t="str">
        <f>IF(AND('Resource Planner'!$A$45="☑",29&lt;='Resource Planner'!$N$45),'Resource Planner'!$D$45,"")</f>
        <v/>
      </c>
      <c r="E1783" s="163" t="str">
        <f>IF(AND('Resource Planner'!$A$45="☑",29&lt;='Resource Planner'!$N$45),'Resource Planner'!$E$45,"")</f>
        <v/>
      </c>
      <c r="F1783" s="163" t="str">
        <f>IF(AND('Resource Planner'!$A$45="☑",29&lt;='Resource Planner'!$N$45),'Resource Planner'!$F$45&amp;" "&amp;('Resource Planner'!$G$45+(29-1)*'Resource Planner'!$I$45)&amp;IF(('Resource Planner'!$G$45+(29-1)*'Resource Planner'!$I$45)=MIN('Resource Planner'!$G$45+29*'Resource Planner'!$I$45-1,'Resource Planner'!$H$45),"","–"&amp;MIN('Resource Planner'!$G$45+29*'Resource Planner'!$I$45-1,'Resource Planner'!$H$45)),"")</f>
        <v/>
      </c>
      <c r="G1783" s="163" t="s">
        <v>109</v>
      </c>
      <c r="H1783" s="163" t="str">
        <f>IF(AND('Resource Planner'!$A$45="☑",29&lt;='Resource Planner'!$N$45),'Resource Planner'!$M$45,"")</f>
        <v/>
      </c>
    </row>
    <row r="1784" ht="15.75" customHeight="1">
      <c r="A17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4" s="163" t="str">
        <f>IF(AND('Resource Planner'!$A$45="☑",30&lt;='Resource Planner'!$N$45),'Resource Planner'!$C$45,"")</f>
        <v/>
      </c>
      <c r="C1784" s="163" t="str">
        <f>IF(AND('Resource Planner'!$A$45="☑",30&lt;='Resource Planner'!$N$45),'Resource Planner'!$B$45,"")</f>
        <v/>
      </c>
      <c r="D1784" s="163" t="str">
        <f>IF(AND('Resource Planner'!$A$45="☑",30&lt;='Resource Planner'!$N$45),'Resource Planner'!$D$45,"")</f>
        <v/>
      </c>
      <c r="E1784" s="163" t="str">
        <f>IF(AND('Resource Planner'!$A$45="☑",30&lt;='Resource Planner'!$N$45),'Resource Planner'!$E$45,"")</f>
        <v/>
      </c>
      <c r="F1784" s="163" t="str">
        <f>IF(AND('Resource Planner'!$A$45="☑",30&lt;='Resource Planner'!$N$45),'Resource Planner'!$F$45&amp;" "&amp;('Resource Planner'!$G$45+(30-1)*'Resource Planner'!$I$45)&amp;IF(('Resource Planner'!$G$45+(30-1)*'Resource Planner'!$I$45)=MIN('Resource Planner'!$G$45+30*'Resource Planner'!$I$45-1,'Resource Planner'!$H$45),"","–"&amp;MIN('Resource Planner'!$G$45+30*'Resource Planner'!$I$45-1,'Resource Planner'!$H$45)),"")</f>
        <v/>
      </c>
      <c r="G1784" s="163" t="s">
        <v>109</v>
      </c>
      <c r="H1784" s="163" t="str">
        <f>IF(AND('Resource Planner'!$A$45="☑",30&lt;='Resource Planner'!$N$45),'Resource Planner'!$M$45,"")</f>
        <v/>
      </c>
    </row>
    <row r="1785" ht="15.75" customHeight="1">
      <c r="A17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5" s="163" t="str">
        <f>IF(AND('Resource Planner'!$A$45="☑",31&lt;='Resource Planner'!$N$45),'Resource Planner'!$C$45,"")</f>
        <v/>
      </c>
      <c r="C1785" s="163" t="str">
        <f>IF(AND('Resource Planner'!$A$45="☑",31&lt;='Resource Planner'!$N$45),'Resource Planner'!$B$45,"")</f>
        <v/>
      </c>
      <c r="D1785" s="163" t="str">
        <f>IF(AND('Resource Planner'!$A$45="☑",31&lt;='Resource Planner'!$N$45),'Resource Planner'!$D$45,"")</f>
        <v/>
      </c>
      <c r="E1785" s="163" t="str">
        <f>IF(AND('Resource Planner'!$A$45="☑",31&lt;='Resource Planner'!$N$45),'Resource Planner'!$E$45,"")</f>
        <v/>
      </c>
      <c r="F1785" s="163" t="str">
        <f>IF(AND('Resource Planner'!$A$45="☑",31&lt;='Resource Planner'!$N$45),'Resource Planner'!$F$45&amp;" "&amp;('Resource Planner'!$G$45+(31-1)*'Resource Planner'!$I$45)&amp;IF(('Resource Planner'!$G$45+(31-1)*'Resource Planner'!$I$45)=MIN('Resource Planner'!$G$45+31*'Resource Planner'!$I$45-1,'Resource Planner'!$H$45),"","–"&amp;MIN('Resource Planner'!$G$45+31*'Resource Planner'!$I$45-1,'Resource Planner'!$H$45)),"")</f>
        <v/>
      </c>
      <c r="G1785" s="163" t="s">
        <v>109</v>
      </c>
      <c r="H1785" s="163" t="str">
        <f>IF(AND('Resource Planner'!$A$45="☑",31&lt;='Resource Planner'!$N$45),'Resource Planner'!$M$45,"")</f>
        <v/>
      </c>
    </row>
    <row r="1786" ht="15.75" customHeight="1">
      <c r="A17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6" s="163" t="str">
        <f>IF(AND('Resource Planner'!$A$45="☑",32&lt;='Resource Planner'!$N$45),'Resource Planner'!$C$45,"")</f>
        <v/>
      </c>
      <c r="C1786" s="163" t="str">
        <f>IF(AND('Resource Planner'!$A$45="☑",32&lt;='Resource Planner'!$N$45),'Resource Planner'!$B$45,"")</f>
        <v/>
      </c>
      <c r="D1786" s="163" t="str">
        <f>IF(AND('Resource Planner'!$A$45="☑",32&lt;='Resource Planner'!$N$45),'Resource Planner'!$D$45,"")</f>
        <v/>
      </c>
      <c r="E1786" s="163" t="str">
        <f>IF(AND('Resource Planner'!$A$45="☑",32&lt;='Resource Planner'!$N$45),'Resource Planner'!$E$45,"")</f>
        <v/>
      </c>
      <c r="F1786" s="163" t="str">
        <f>IF(AND('Resource Planner'!$A$45="☑",32&lt;='Resource Planner'!$N$45),'Resource Planner'!$F$45&amp;" "&amp;('Resource Planner'!$G$45+(32-1)*'Resource Planner'!$I$45)&amp;IF(('Resource Planner'!$G$45+(32-1)*'Resource Planner'!$I$45)=MIN('Resource Planner'!$G$45+32*'Resource Planner'!$I$45-1,'Resource Planner'!$H$45),"","–"&amp;MIN('Resource Planner'!$G$45+32*'Resource Planner'!$I$45-1,'Resource Planner'!$H$45)),"")</f>
        <v/>
      </c>
      <c r="G1786" s="163" t="s">
        <v>109</v>
      </c>
      <c r="H1786" s="163" t="str">
        <f>IF(AND('Resource Planner'!$A$45="☑",32&lt;='Resource Planner'!$N$45),'Resource Planner'!$M$45,"")</f>
        <v/>
      </c>
    </row>
    <row r="1787" ht="15.75" customHeight="1">
      <c r="A17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7" s="163" t="str">
        <f>IF(AND('Resource Planner'!$A$45="☑",33&lt;='Resource Planner'!$N$45),'Resource Planner'!$C$45,"")</f>
        <v/>
      </c>
      <c r="C1787" s="163" t="str">
        <f>IF(AND('Resource Planner'!$A$45="☑",33&lt;='Resource Planner'!$N$45),'Resource Planner'!$B$45,"")</f>
        <v/>
      </c>
      <c r="D1787" s="163" t="str">
        <f>IF(AND('Resource Planner'!$A$45="☑",33&lt;='Resource Planner'!$N$45),'Resource Planner'!$D$45,"")</f>
        <v/>
      </c>
      <c r="E1787" s="163" t="str">
        <f>IF(AND('Resource Planner'!$A$45="☑",33&lt;='Resource Planner'!$N$45),'Resource Planner'!$E$45,"")</f>
        <v/>
      </c>
      <c r="F1787" s="163" t="str">
        <f>IF(AND('Resource Planner'!$A$45="☑",33&lt;='Resource Planner'!$N$45),'Resource Planner'!$F$45&amp;" "&amp;('Resource Planner'!$G$45+(33-1)*'Resource Planner'!$I$45)&amp;IF(('Resource Planner'!$G$45+(33-1)*'Resource Planner'!$I$45)=MIN('Resource Planner'!$G$45+33*'Resource Planner'!$I$45-1,'Resource Planner'!$H$45),"","–"&amp;MIN('Resource Planner'!$G$45+33*'Resource Planner'!$I$45-1,'Resource Planner'!$H$45)),"")</f>
        <v/>
      </c>
      <c r="G1787" s="163" t="s">
        <v>109</v>
      </c>
      <c r="H1787" s="163" t="str">
        <f>IF(AND('Resource Planner'!$A$45="☑",33&lt;='Resource Planner'!$N$45),'Resource Planner'!$M$45,"")</f>
        <v/>
      </c>
    </row>
    <row r="1788" ht="15.75" customHeight="1">
      <c r="A17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8" s="163" t="str">
        <f>IF(AND('Resource Planner'!$A$45="☑",34&lt;='Resource Planner'!$N$45),'Resource Planner'!$C$45,"")</f>
        <v/>
      </c>
      <c r="C1788" s="163" t="str">
        <f>IF(AND('Resource Planner'!$A$45="☑",34&lt;='Resource Planner'!$N$45),'Resource Planner'!$B$45,"")</f>
        <v/>
      </c>
      <c r="D1788" s="163" t="str">
        <f>IF(AND('Resource Planner'!$A$45="☑",34&lt;='Resource Planner'!$N$45),'Resource Planner'!$D$45,"")</f>
        <v/>
      </c>
      <c r="E1788" s="163" t="str">
        <f>IF(AND('Resource Planner'!$A$45="☑",34&lt;='Resource Planner'!$N$45),'Resource Planner'!$E$45,"")</f>
        <v/>
      </c>
      <c r="F1788" s="163" t="str">
        <f>IF(AND('Resource Planner'!$A$45="☑",34&lt;='Resource Planner'!$N$45),'Resource Planner'!$F$45&amp;" "&amp;('Resource Planner'!$G$45+(34-1)*'Resource Planner'!$I$45)&amp;IF(('Resource Planner'!$G$45+(34-1)*'Resource Planner'!$I$45)=MIN('Resource Planner'!$G$45+34*'Resource Planner'!$I$45-1,'Resource Planner'!$H$45),"","–"&amp;MIN('Resource Planner'!$G$45+34*'Resource Planner'!$I$45-1,'Resource Planner'!$H$45)),"")</f>
        <v/>
      </c>
      <c r="G1788" s="163" t="s">
        <v>109</v>
      </c>
      <c r="H1788" s="163" t="str">
        <f>IF(AND('Resource Planner'!$A$45="☑",34&lt;='Resource Planner'!$N$45),'Resource Planner'!$M$45,"")</f>
        <v/>
      </c>
    </row>
    <row r="1789" ht="15.75" customHeight="1">
      <c r="A17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89" s="163" t="str">
        <f>IF(AND('Resource Planner'!$A$45="☑",35&lt;='Resource Planner'!$N$45),'Resource Planner'!$C$45,"")</f>
        <v/>
      </c>
      <c r="C1789" s="163" t="str">
        <f>IF(AND('Resource Planner'!$A$45="☑",35&lt;='Resource Planner'!$N$45),'Resource Planner'!$B$45,"")</f>
        <v/>
      </c>
      <c r="D1789" s="163" t="str">
        <f>IF(AND('Resource Planner'!$A$45="☑",35&lt;='Resource Planner'!$N$45),'Resource Planner'!$D$45,"")</f>
        <v/>
      </c>
      <c r="E1789" s="163" t="str">
        <f>IF(AND('Resource Planner'!$A$45="☑",35&lt;='Resource Planner'!$N$45),'Resource Planner'!$E$45,"")</f>
        <v/>
      </c>
      <c r="F1789" s="163" t="str">
        <f>IF(AND('Resource Planner'!$A$45="☑",35&lt;='Resource Planner'!$N$45),'Resource Planner'!$F$45&amp;" "&amp;('Resource Planner'!$G$45+(35-1)*'Resource Planner'!$I$45)&amp;IF(('Resource Planner'!$G$45+(35-1)*'Resource Planner'!$I$45)=MIN('Resource Planner'!$G$45+35*'Resource Planner'!$I$45-1,'Resource Planner'!$H$45),"","–"&amp;MIN('Resource Planner'!$G$45+35*'Resource Planner'!$I$45-1,'Resource Planner'!$H$45)),"")</f>
        <v/>
      </c>
      <c r="G1789" s="163" t="s">
        <v>109</v>
      </c>
      <c r="H1789" s="163" t="str">
        <f>IF(AND('Resource Planner'!$A$45="☑",35&lt;='Resource Planner'!$N$45),'Resource Planner'!$M$45,"")</f>
        <v/>
      </c>
    </row>
    <row r="1790" ht="15.75" customHeight="1">
      <c r="A17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0" s="163" t="str">
        <f>IF(AND('Resource Planner'!$A$45="☑",36&lt;='Resource Planner'!$N$45),'Resource Planner'!$C$45,"")</f>
        <v/>
      </c>
      <c r="C1790" s="163" t="str">
        <f>IF(AND('Resource Planner'!$A$45="☑",36&lt;='Resource Planner'!$N$45),'Resource Planner'!$B$45,"")</f>
        <v/>
      </c>
      <c r="D1790" s="163" t="str">
        <f>IF(AND('Resource Planner'!$A$45="☑",36&lt;='Resource Planner'!$N$45),'Resource Planner'!$D$45,"")</f>
        <v/>
      </c>
      <c r="E1790" s="163" t="str">
        <f>IF(AND('Resource Planner'!$A$45="☑",36&lt;='Resource Planner'!$N$45),'Resource Planner'!$E$45,"")</f>
        <v/>
      </c>
      <c r="F1790" s="163" t="str">
        <f>IF(AND('Resource Planner'!$A$45="☑",36&lt;='Resource Planner'!$N$45),'Resource Planner'!$F$45&amp;" "&amp;('Resource Planner'!$G$45+(36-1)*'Resource Planner'!$I$45)&amp;IF(('Resource Planner'!$G$45+(36-1)*'Resource Planner'!$I$45)=MIN('Resource Planner'!$G$45+36*'Resource Planner'!$I$45-1,'Resource Planner'!$H$45),"","–"&amp;MIN('Resource Planner'!$G$45+36*'Resource Planner'!$I$45-1,'Resource Planner'!$H$45)),"")</f>
        <v/>
      </c>
      <c r="G1790" s="163" t="s">
        <v>109</v>
      </c>
      <c r="H1790" s="163" t="str">
        <f>IF(AND('Resource Planner'!$A$45="☑",36&lt;='Resource Planner'!$N$45),'Resource Planner'!$M$45,"")</f>
        <v/>
      </c>
    </row>
    <row r="1791" ht="15.75" customHeight="1">
      <c r="A17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1" s="163" t="str">
        <f>IF(AND('Resource Planner'!$A$45="☑",37&lt;='Resource Planner'!$N$45),'Resource Planner'!$C$45,"")</f>
        <v/>
      </c>
      <c r="C1791" s="163" t="str">
        <f>IF(AND('Resource Planner'!$A$45="☑",37&lt;='Resource Planner'!$N$45),'Resource Planner'!$B$45,"")</f>
        <v/>
      </c>
      <c r="D1791" s="163" t="str">
        <f>IF(AND('Resource Planner'!$A$45="☑",37&lt;='Resource Planner'!$N$45),'Resource Planner'!$D$45,"")</f>
        <v/>
      </c>
      <c r="E1791" s="163" t="str">
        <f>IF(AND('Resource Planner'!$A$45="☑",37&lt;='Resource Planner'!$N$45),'Resource Planner'!$E$45,"")</f>
        <v/>
      </c>
      <c r="F1791" s="163" t="str">
        <f>IF(AND('Resource Planner'!$A$45="☑",37&lt;='Resource Planner'!$N$45),'Resource Planner'!$F$45&amp;" "&amp;('Resource Planner'!$G$45+(37-1)*'Resource Planner'!$I$45)&amp;IF(('Resource Planner'!$G$45+(37-1)*'Resource Planner'!$I$45)=MIN('Resource Planner'!$G$45+37*'Resource Planner'!$I$45-1,'Resource Planner'!$H$45),"","–"&amp;MIN('Resource Planner'!$G$45+37*'Resource Planner'!$I$45-1,'Resource Planner'!$H$45)),"")</f>
        <v/>
      </c>
      <c r="G1791" s="163" t="s">
        <v>109</v>
      </c>
      <c r="H1791" s="163" t="str">
        <f>IF(AND('Resource Planner'!$A$45="☑",37&lt;='Resource Planner'!$N$45),'Resource Planner'!$M$45,"")</f>
        <v/>
      </c>
    </row>
    <row r="1792" ht="15.75" customHeight="1">
      <c r="A17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2" s="163" t="str">
        <f>IF(AND('Resource Planner'!$A$45="☑",38&lt;='Resource Planner'!$N$45),'Resource Planner'!$C$45,"")</f>
        <v/>
      </c>
      <c r="C1792" s="163" t="str">
        <f>IF(AND('Resource Planner'!$A$45="☑",38&lt;='Resource Planner'!$N$45),'Resource Planner'!$B$45,"")</f>
        <v/>
      </c>
      <c r="D1792" s="163" t="str">
        <f>IF(AND('Resource Planner'!$A$45="☑",38&lt;='Resource Planner'!$N$45),'Resource Planner'!$D$45,"")</f>
        <v/>
      </c>
      <c r="E1792" s="163" t="str">
        <f>IF(AND('Resource Planner'!$A$45="☑",38&lt;='Resource Planner'!$N$45),'Resource Planner'!$E$45,"")</f>
        <v/>
      </c>
      <c r="F1792" s="163" t="str">
        <f>IF(AND('Resource Planner'!$A$45="☑",38&lt;='Resource Planner'!$N$45),'Resource Planner'!$F$45&amp;" "&amp;('Resource Planner'!$G$45+(38-1)*'Resource Planner'!$I$45)&amp;IF(('Resource Planner'!$G$45+(38-1)*'Resource Planner'!$I$45)=MIN('Resource Planner'!$G$45+38*'Resource Planner'!$I$45-1,'Resource Planner'!$H$45),"","–"&amp;MIN('Resource Planner'!$G$45+38*'Resource Planner'!$I$45-1,'Resource Planner'!$H$45)),"")</f>
        <v/>
      </c>
      <c r="G1792" s="163" t="s">
        <v>109</v>
      </c>
      <c r="H1792" s="163" t="str">
        <f>IF(AND('Resource Planner'!$A$45="☑",38&lt;='Resource Planner'!$N$45),'Resource Planner'!$M$45,"")</f>
        <v/>
      </c>
    </row>
    <row r="1793" ht="15.75" customHeight="1">
      <c r="A17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3" s="163" t="str">
        <f>IF(AND('Resource Planner'!$A$45="☑",39&lt;='Resource Planner'!$N$45),'Resource Planner'!$C$45,"")</f>
        <v/>
      </c>
      <c r="C1793" s="163" t="str">
        <f>IF(AND('Resource Planner'!$A$45="☑",39&lt;='Resource Planner'!$N$45),'Resource Planner'!$B$45,"")</f>
        <v/>
      </c>
      <c r="D1793" s="163" t="str">
        <f>IF(AND('Resource Planner'!$A$45="☑",39&lt;='Resource Planner'!$N$45),'Resource Planner'!$D$45,"")</f>
        <v/>
      </c>
      <c r="E1793" s="163" t="str">
        <f>IF(AND('Resource Planner'!$A$45="☑",39&lt;='Resource Planner'!$N$45),'Resource Planner'!$E$45,"")</f>
        <v/>
      </c>
      <c r="F1793" s="163" t="str">
        <f>IF(AND('Resource Planner'!$A$45="☑",39&lt;='Resource Planner'!$N$45),'Resource Planner'!$F$45&amp;" "&amp;('Resource Planner'!$G$45+(39-1)*'Resource Planner'!$I$45)&amp;IF(('Resource Planner'!$G$45+(39-1)*'Resource Planner'!$I$45)=MIN('Resource Planner'!$G$45+39*'Resource Planner'!$I$45-1,'Resource Planner'!$H$45),"","–"&amp;MIN('Resource Planner'!$G$45+39*'Resource Planner'!$I$45-1,'Resource Planner'!$H$45)),"")</f>
        <v/>
      </c>
      <c r="G1793" s="163" t="s">
        <v>109</v>
      </c>
      <c r="H1793" s="163" t="str">
        <f>IF(AND('Resource Planner'!$A$45="☑",39&lt;='Resource Planner'!$N$45),'Resource Planner'!$M$45,"")</f>
        <v/>
      </c>
    </row>
    <row r="1794" ht="15.75" customHeight="1">
      <c r="A17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4" s="163" t="str">
        <f>IF(AND('Resource Planner'!$A$45="☑",40&lt;='Resource Planner'!$N$45),'Resource Planner'!$C$45,"")</f>
        <v/>
      </c>
      <c r="C1794" s="163" t="str">
        <f>IF(AND('Resource Planner'!$A$45="☑",40&lt;='Resource Planner'!$N$45),'Resource Planner'!$B$45,"")</f>
        <v/>
      </c>
      <c r="D1794" s="163" t="str">
        <f>IF(AND('Resource Planner'!$A$45="☑",40&lt;='Resource Planner'!$N$45),'Resource Planner'!$D$45,"")</f>
        <v/>
      </c>
      <c r="E1794" s="163" t="str">
        <f>IF(AND('Resource Planner'!$A$45="☑",40&lt;='Resource Planner'!$N$45),'Resource Planner'!$E$45,"")</f>
        <v/>
      </c>
      <c r="F1794" s="163" t="str">
        <f>IF(AND('Resource Planner'!$A$45="☑",40&lt;='Resource Planner'!$N$45),'Resource Planner'!$F$45&amp;" "&amp;('Resource Planner'!$G$45+(40-1)*'Resource Planner'!$I$45)&amp;IF(('Resource Planner'!$G$45+(40-1)*'Resource Planner'!$I$45)=MIN('Resource Planner'!$G$45+40*'Resource Planner'!$I$45-1,'Resource Planner'!$H$45),"","–"&amp;MIN('Resource Planner'!$G$45+40*'Resource Planner'!$I$45-1,'Resource Planner'!$H$45)),"")</f>
        <v/>
      </c>
      <c r="G1794" s="163" t="s">
        <v>109</v>
      </c>
      <c r="H1794" s="163" t="str">
        <f>IF(AND('Resource Planner'!$A$45="☑",40&lt;='Resource Planner'!$N$45),'Resource Planner'!$M$45,"")</f>
        <v/>
      </c>
    </row>
    <row r="1795" ht="15.75" customHeight="1">
      <c r="A17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5" s="163" t="str">
        <f>IF(AND('Resource Planner'!$A$45="☑",41&lt;='Resource Planner'!$N$45),'Resource Planner'!$C$45,"")</f>
        <v/>
      </c>
      <c r="C1795" s="163" t="str">
        <f>IF(AND('Resource Planner'!$A$45="☑",41&lt;='Resource Planner'!$N$45),'Resource Planner'!$B$45,"")</f>
        <v/>
      </c>
      <c r="D1795" s="163" t="str">
        <f>IF(AND('Resource Planner'!$A$45="☑",41&lt;='Resource Planner'!$N$45),'Resource Planner'!$D$45,"")</f>
        <v/>
      </c>
      <c r="E1795" s="163" t="str">
        <f>IF(AND('Resource Planner'!$A$45="☑",41&lt;='Resource Planner'!$N$45),'Resource Planner'!$E$45,"")</f>
        <v/>
      </c>
      <c r="F1795" s="163" t="str">
        <f>IF(AND('Resource Planner'!$A$45="☑",41&lt;='Resource Planner'!$N$45),'Resource Planner'!$F$45&amp;" "&amp;('Resource Planner'!$G$45+(41-1)*'Resource Planner'!$I$45)&amp;IF(('Resource Planner'!$G$45+(41-1)*'Resource Planner'!$I$45)=MIN('Resource Planner'!$G$45+41*'Resource Planner'!$I$45-1,'Resource Planner'!$H$45),"","–"&amp;MIN('Resource Planner'!$G$45+41*'Resource Planner'!$I$45-1,'Resource Planner'!$H$45)),"")</f>
        <v/>
      </c>
      <c r="G1795" s="163" t="s">
        <v>109</v>
      </c>
      <c r="H1795" s="163" t="str">
        <f>IF(AND('Resource Planner'!$A$45="☑",41&lt;='Resource Planner'!$N$45),'Resource Planner'!$M$45,"")</f>
        <v/>
      </c>
    </row>
    <row r="1796" ht="15.75" customHeight="1">
      <c r="A17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6" s="163" t="str">
        <f>IF(AND('Resource Planner'!$A$45="☑",42&lt;='Resource Planner'!$N$45),'Resource Planner'!$C$45,"")</f>
        <v/>
      </c>
      <c r="C1796" s="163" t="str">
        <f>IF(AND('Resource Planner'!$A$45="☑",42&lt;='Resource Planner'!$N$45),'Resource Planner'!$B$45,"")</f>
        <v/>
      </c>
      <c r="D1796" s="163" t="str">
        <f>IF(AND('Resource Planner'!$A$45="☑",42&lt;='Resource Planner'!$N$45),'Resource Planner'!$D$45,"")</f>
        <v/>
      </c>
      <c r="E1796" s="163" t="str">
        <f>IF(AND('Resource Planner'!$A$45="☑",42&lt;='Resource Planner'!$N$45),'Resource Planner'!$E$45,"")</f>
        <v/>
      </c>
      <c r="F1796" s="163" t="str">
        <f>IF(AND('Resource Planner'!$A$45="☑",42&lt;='Resource Planner'!$N$45),'Resource Planner'!$F$45&amp;" "&amp;('Resource Planner'!$G$45+(42-1)*'Resource Planner'!$I$45)&amp;IF(('Resource Planner'!$G$45+(42-1)*'Resource Planner'!$I$45)=MIN('Resource Planner'!$G$45+42*'Resource Planner'!$I$45-1,'Resource Planner'!$H$45),"","–"&amp;MIN('Resource Planner'!$G$45+42*'Resource Planner'!$I$45-1,'Resource Planner'!$H$45)),"")</f>
        <v/>
      </c>
      <c r="G1796" s="163" t="s">
        <v>109</v>
      </c>
      <c r="H1796" s="163" t="str">
        <f>IF(AND('Resource Planner'!$A$45="☑",42&lt;='Resource Planner'!$N$45),'Resource Planner'!$M$45,"")</f>
        <v/>
      </c>
    </row>
    <row r="1797" ht="15.75" customHeight="1">
      <c r="A17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7" s="163" t="str">
        <f>IF(AND('Resource Planner'!$A$45="☑",43&lt;='Resource Planner'!$N$45),'Resource Planner'!$C$45,"")</f>
        <v/>
      </c>
      <c r="C1797" s="163" t="str">
        <f>IF(AND('Resource Planner'!$A$45="☑",43&lt;='Resource Planner'!$N$45),'Resource Planner'!$B$45,"")</f>
        <v/>
      </c>
      <c r="D1797" s="163" t="str">
        <f>IF(AND('Resource Planner'!$A$45="☑",43&lt;='Resource Planner'!$N$45),'Resource Planner'!$D$45,"")</f>
        <v/>
      </c>
      <c r="E1797" s="163" t="str">
        <f>IF(AND('Resource Planner'!$A$45="☑",43&lt;='Resource Planner'!$N$45),'Resource Planner'!$E$45,"")</f>
        <v/>
      </c>
      <c r="F1797" s="163" t="str">
        <f>IF(AND('Resource Planner'!$A$45="☑",43&lt;='Resource Planner'!$N$45),'Resource Planner'!$F$45&amp;" "&amp;('Resource Planner'!$G$45+(43-1)*'Resource Planner'!$I$45)&amp;IF(('Resource Planner'!$G$45+(43-1)*'Resource Planner'!$I$45)=MIN('Resource Planner'!$G$45+43*'Resource Planner'!$I$45-1,'Resource Planner'!$H$45),"","–"&amp;MIN('Resource Planner'!$G$45+43*'Resource Planner'!$I$45-1,'Resource Planner'!$H$45)),"")</f>
        <v/>
      </c>
      <c r="G1797" s="163" t="s">
        <v>109</v>
      </c>
      <c r="H1797" s="163" t="str">
        <f>IF(AND('Resource Planner'!$A$45="☑",43&lt;='Resource Planner'!$N$45),'Resource Planner'!$M$45,"")</f>
        <v/>
      </c>
    </row>
    <row r="1798" ht="15.75" customHeight="1">
      <c r="A17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8" s="163" t="str">
        <f>IF(AND('Resource Planner'!$A$45="☑",44&lt;='Resource Planner'!$N$45),'Resource Planner'!$C$45,"")</f>
        <v/>
      </c>
      <c r="C1798" s="163" t="str">
        <f>IF(AND('Resource Planner'!$A$45="☑",44&lt;='Resource Planner'!$N$45),'Resource Planner'!$B$45,"")</f>
        <v/>
      </c>
      <c r="D1798" s="163" t="str">
        <f>IF(AND('Resource Planner'!$A$45="☑",44&lt;='Resource Planner'!$N$45),'Resource Planner'!$D$45,"")</f>
        <v/>
      </c>
      <c r="E1798" s="163" t="str">
        <f>IF(AND('Resource Planner'!$A$45="☑",44&lt;='Resource Planner'!$N$45),'Resource Planner'!$E$45,"")</f>
        <v/>
      </c>
      <c r="F1798" s="163" t="str">
        <f>IF(AND('Resource Planner'!$A$45="☑",44&lt;='Resource Planner'!$N$45),'Resource Planner'!$F$45&amp;" "&amp;('Resource Planner'!$G$45+(44-1)*'Resource Planner'!$I$45)&amp;IF(('Resource Planner'!$G$45+(44-1)*'Resource Planner'!$I$45)=MIN('Resource Planner'!$G$45+44*'Resource Planner'!$I$45-1,'Resource Planner'!$H$45),"","–"&amp;MIN('Resource Planner'!$G$45+44*'Resource Planner'!$I$45-1,'Resource Planner'!$H$45)),"")</f>
        <v/>
      </c>
      <c r="G1798" s="163" t="s">
        <v>109</v>
      </c>
      <c r="H1798" s="163" t="str">
        <f>IF(AND('Resource Planner'!$A$45="☑",44&lt;='Resource Planner'!$N$45),'Resource Planner'!$M$45,"")</f>
        <v/>
      </c>
    </row>
    <row r="1799" ht="15.75" customHeight="1">
      <c r="A17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799" s="163" t="str">
        <f>IF(AND('Resource Planner'!$A$45="☑",45&lt;='Resource Planner'!$N$45),'Resource Planner'!$C$45,"")</f>
        <v/>
      </c>
      <c r="C1799" s="163" t="str">
        <f>IF(AND('Resource Planner'!$A$45="☑",45&lt;='Resource Planner'!$N$45),'Resource Planner'!$B$45,"")</f>
        <v/>
      </c>
      <c r="D1799" s="163" t="str">
        <f>IF(AND('Resource Planner'!$A$45="☑",45&lt;='Resource Planner'!$N$45),'Resource Planner'!$D$45,"")</f>
        <v/>
      </c>
      <c r="E1799" s="163" t="str">
        <f>IF(AND('Resource Planner'!$A$45="☑",45&lt;='Resource Planner'!$N$45),'Resource Planner'!$E$45,"")</f>
        <v/>
      </c>
      <c r="F1799" s="163" t="str">
        <f>IF(AND('Resource Planner'!$A$45="☑",45&lt;='Resource Planner'!$N$45),'Resource Planner'!$F$45&amp;" "&amp;('Resource Planner'!$G$45+(45-1)*'Resource Planner'!$I$45)&amp;IF(('Resource Planner'!$G$45+(45-1)*'Resource Planner'!$I$45)=MIN('Resource Planner'!$G$45+45*'Resource Planner'!$I$45-1,'Resource Planner'!$H$45),"","–"&amp;MIN('Resource Planner'!$G$45+45*'Resource Planner'!$I$45-1,'Resource Planner'!$H$45)),"")</f>
        <v/>
      </c>
      <c r="G1799" s="163" t="s">
        <v>109</v>
      </c>
      <c r="H1799" s="163" t="str">
        <f>IF(AND('Resource Planner'!$A$45="☑",45&lt;='Resource Planner'!$N$45),'Resource Planner'!$M$45,"")</f>
        <v/>
      </c>
    </row>
    <row r="1800" ht="15.75" customHeight="1">
      <c r="A18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0" s="163" t="str">
        <f>IF(AND('Resource Planner'!$A$45="☑",46&lt;='Resource Planner'!$N$45),'Resource Planner'!$C$45,"")</f>
        <v/>
      </c>
      <c r="C1800" s="163" t="str">
        <f>IF(AND('Resource Planner'!$A$45="☑",46&lt;='Resource Planner'!$N$45),'Resource Planner'!$B$45,"")</f>
        <v/>
      </c>
      <c r="D1800" s="163" t="str">
        <f>IF(AND('Resource Planner'!$A$45="☑",46&lt;='Resource Planner'!$N$45),'Resource Planner'!$D$45,"")</f>
        <v/>
      </c>
      <c r="E1800" s="163" t="str">
        <f>IF(AND('Resource Planner'!$A$45="☑",46&lt;='Resource Planner'!$N$45),'Resource Planner'!$E$45,"")</f>
        <v/>
      </c>
      <c r="F1800" s="163" t="str">
        <f>IF(AND('Resource Planner'!$A$45="☑",46&lt;='Resource Planner'!$N$45),'Resource Planner'!$F$45&amp;" "&amp;('Resource Planner'!$G$45+(46-1)*'Resource Planner'!$I$45)&amp;IF(('Resource Planner'!$G$45+(46-1)*'Resource Planner'!$I$45)=MIN('Resource Planner'!$G$45+46*'Resource Planner'!$I$45-1,'Resource Planner'!$H$45),"","–"&amp;MIN('Resource Planner'!$G$45+46*'Resource Planner'!$I$45-1,'Resource Planner'!$H$45)),"")</f>
        <v/>
      </c>
      <c r="G1800" s="163" t="s">
        <v>109</v>
      </c>
      <c r="H1800" s="163" t="str">
        <f>IF(AND('Resource Planner'!$A$45="☑",46&lt;='Resource Planner'!$N$45),'Resource Planner'!$M$45,"")</f>
        <v/>
      </c>
    </row>
    <row r="1801" ht="15.75" customHeight="1">
      <c r="A18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1" s="163" t="str">
        <f>IF(AND('Resource Planner'!$A$45="☑",47&lt;='Resource Planner'!$N$45),'Resource Planner'!$C$45,"")</f>
        <v/>
      </c>
      <c r="C1801" s="163" t="str">
        <f>IF(AND('Resource Planner'!$A$45="☑",47&lt;='Resource Planner'!$N$45),'Resource Planner'!$B$45,"")</f>
        <v/>
      </c>
      <c r="D1801" s="163" t="str">
        <f>IF(AND('Resource Planner'!$A$45="☑",47&lt;='Resource Planner'!$N$45),'Resource Planner'!$D$45,"")</f>
        <v/>
      </c>
      <c r="E1801" s="163" t="str">
        <f>IF(AND('Resource Planner'!$A$45="☑",47&lt;='Resource Planner'!$N$45),'Resource Planner'!$E$45,"")</f>
        <v/>
      </c>
      <c r="F1801" s="163" t="str">
        <f>IF(AND('Resource Planner'!$A$45="☑",47&lt;='Resource Planner'!$N$45),'Resource Planner'!$F$45&amp;" "&amp;('Resource Planner'!$G$45+(47-1)*'Resource Planner'!$I$45)&amp;IF(('Resource Planner'!$G$45+(47-1)*'Resource Planner'!$I$45)=MIN('Resource Planner'!$G$45+47*'Resource Planner'!$I$45-1,'Resource Planner'!$H$45),"","–"&amp;MIN('Resource Planner'!$G$45+47*'Resource Planner'!$I$45-1,'Resource Planner'!$H$45)),"")</f>
        <v/>
      </c>
      <c r="G1801" s="163" t="s">
        <v>109</v>
      </c>
      <c r="H1801" s="163" t="str">
        <f>IF(AND('Resource Planner'!$A$45="☑",47&lt;='Resource Planner'!$N$45),'Resource Planner'!$M$45,"")</f>
        <v/>
      </c>
    </row>
    <row r="1802" ht="15.75" customHeight="1">
      <c r="A18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2" s="163" t="str">
        <f>IF(AND('Resource Planner'!$A$45="☑",48&lt;='Resource Planner'!$N$45),'Resource Planner'!$C$45,"")</f>
        <v/>
      </c>
      <c r="C1802" s="163" t="str">
        <f>IF(AND('Resource Planner'!$A$45="☑",48&lt;='Resource Planner'!$N$45),'Resource Planner'!$B$45,"")</f>
        <v/>
      </c>
      <c r="D1802" s="163" t="str">
        <f>IF(AND('Resource Planner'!$A$45="☑",48&lt;='Resource Planner'!$N$45),'Resource Planner'!$D$45,"")</f>
        <v/>
      </c>
      <c r="E1802" s="163" t="str">
        <f>IF(AND('Resource Planner'!$A$45="☑",48&lt;='Resource Planner'!$N$45),'Resource Planner'!$E$45,"")</f>
        <v/>
      </c>
      <c r="F1802" s="163" t="str">
        <f>IF(AND('Resource Planner'!$A$45="☑",48&lt;='Resource Planner'!$N$45),'Resource Planner'!$F$45&amp;" "&amp;('Resource Planner'!$G$45+(48-1)*'Resource Planner'!$I$45)&amp;IF(('Resource Planner'!$G$45+(48-1)*'Resource Planner'!$I$45)=MIN('Resource Planner'!$G$45+48*'Resource Planner'!$I$45-1,'Resource Planner'!$H$45),"","–"&amp;MIN('Resource Planner'!$G$45+48*'Resource Planner'!$I$45-1,'Resource Planner'!$H$45)),"")</f>
        <v/>
      </c>
      <c r="G1802" s="163" t="s">
        <v>109</v>
      </c>
      <c r="H1802" s="163" t="str">
        <f>IF(AND('Resource Planner'!$A$45="☑",48&lt;='Resource Planner'!$N$45),'Resource Planner'!$M$45,"")</f>
        <v/>
      </c>
    </row>
    <row r="1803" ht="15.75" customHeight="1">
      <c r="A18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3" s="163" t="str">
        <f>IF(AND('Resource Planner'!$A$45="☑",49&lt;='Resource Planner'!$N$45),'Resource Planner'!$C$45,"")</f>
        <v/>
      </c>
      <c r="C1803" s="163" t="str">
        <f>IF(AND('Resource Planner'!$A$45="☑",49&lt;='Resource Planner'!$N$45),'Resource Planner'!$B$45,"")</f>
        <v/>
      </c>
      <c r="D1803" s="163" t="str">
        <f>IF(AND('Resource Planner'!$A$45="☑",49&lt;='Resource Planner'!$N$45),'Resource Planner'!$D$45,"")</f>
        <v/>
      </c>
      <c r="E1803" s="163" t="str">
        <f>IF(AND('Resource Planner'!$A$45="☑",49&lt;='Resource Planner'!$N$45),'Resource Planner'!$E$45,"")</f>
        <v/>
      </c>
      <c r="F1803" s="163" t="str">
        <f>IF(AND('Resource Planner'!$A$45="☑",49&lt;='Resource Planner'!$N$45),'Resource Planner'!$F$45&amp;" "&amp;('Resource Planner'!$G$45+(49-1)*'Resource Planner'!$I$45)&amp;IF(('Resource Planner'!$G$45+(49-1)*'Resource Planner'!$I$45)=MIN('Resource Planner'!$G$45+49*'Resource Planner'!$I$45-1,'Resource Planner'!$H$45),"","–"&amp;MIN('Resource Planner'!$G$45+49*'Resource Planner'!$I$45-1,'Resource Planner'!$H$45)),"")</f>
        <v/>
      </c>
      <c r="G1803" s="163" t="s">
        <v>109</v>
      </c>
      <c r="H1803" s="163" t="str">
        <f>IF(AND('Resource Planner'!$A$45="☑",49&lt;='Resource Planner'!$N$45),'Resource Planner'!$M$45,"")</f>
        <v/>
      </c>
    </row>
    <row r="1804" ht="15.75" customHeight="1">
      <c r="A18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4" s="163" t="str">
        <f>IF(AND('Resource Planner'!$A$45="☑",50&lt;='Resource Planner'!$N$45),'Resource Planner'!$C$45,"")</f>
        <v/>
      </c>
      <c r="C1804" s="163" t="str">
        <f>IF(AND('Resource Planner'!$A$45="☑",50&lt;='Resource Planner'!$N$45),'Resource Planner'!$B$45,"")</f>
        <v/>
      </c>
      <c r="D1804" s="163" t="str">
        <f>IF(AND('Resource Planner'!$A$45="☑",50&lt;='Resource Planner'!$N$45),'Resource Planner'!$D$45,"")</f>
        <v/>
      </c>
      <c r="E1804" s="163" t="str">
        <f>IF(AND('Resource Planner'!$A$45="☑",50&lt;='Resource Planner'!$N$45),'Resource Planner'!$E$45,"")</f>
        <v/>
      </c>
      <c r="F1804" s="163" t="str">
        <f>IF(AND('Resource Planner'!$A$45="☑",50&lt;='Resource Planner'!$N$45),'Resource Planner'!$F$45&amp;" "&amp;('Resource Planner'!$G$45+(50-1)*'Resource Planner'!$I$45)&amp;IF(('Resource Planner'!$G$45+(50-1)*'Resource Planner'!$I$45)=MIN('Resource Planner'!$G$45+50*'Resource Planner'!$I$45-1,'Resource Planner'!$H$45),"","–"&amp;MIN('Resource Planner'!$G$45+50*'Resource Planner'!$I$45-1,'Resource Planner'!$H$45)),"")</f>
        <v/>
      </c>
      <c r="G1804" s="163" t="s">
        <v>109</v>
      </c>
      <c r="H1804" s="163" t="str">
        <f>IF(AND('Resource Planner'!$A$45="☑",50&lt;='Resource Planner'!$N$45),'Resource Planner'!$M$45,"")</f>
        <v/>
      </c>
    </row>
    <row r="1805" ht="15.75" customHeight="1">
      <c r="A18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5" s="163" t="str">
        <f>IF(AND('Resource Planner'!$A$46="☑",1&lt;='Resource Planner'!$N$46),'Resource Planner'!$C$46,"")</f>
        <v/>
      </c>
      <c r="C1805" s="163" t="str">
        <f>IF(AND('Resource Planner'!$A$46="☑",1&lt;='Resource Planner'!$N$46),'Resource Planner'!$B$46,"")</f>
        <v/>
      </c>
      <c r="D1805" s="163" t="str">
        <f>IF(AND('Resource Planner'!$A$46="☑",1&lt;='Resource Planner'!$N$46),'Resource Planner'!$D$46,"")</f>
        <v/>
      </c>
      <c r="E1805" s="163" t="str">
        <f>IF(AND('Resource Planner'!$A$46="☑",1&lt;='Resource Planner'!$N$46),'Resource Planner'!$E$46,"")</f>
        <v/>
      </c>
      <c r="F1805" s="163" t="str">
        <f>IF(AND('Resource Planner'!$A$46="☑",1&lt;='Resource Planner'!$N$46),'Resource Planner'!$F$46&amp;" "&amp;('Resource Planner'!$G$46+(1-1)*'Resource Planner'!$I$46)&amp;IF(('Resource Planner'!$G$46+(1-1)*'Resource Planner'!$I$46)=MIN('Resource Planner'!$G$46+1*'Resource Planner'!$I$46-1,'Resource Planner'!$H$46),"","–"&amp;MIN('Resource Planner'!$G$46+1*'Resource Planner'!$I$46-1,'Resource Planner'!$H$46)),"")</f>
        <v/>
      </c>
      <c r="G1805" s="163" t="s">
        <v>109</v>
      </c>
      <c r="H1805" s="163" t="str">
        <f>IF(AND('Resource Planner'!$A$46="☑",1&lt;='Resource Planner'!$N$46),'Resource Planner'!$M$46,"")</f>
        <v/>
      </c>
    </row>
    <row r="1806" ht="15.75" customHeight="1">
      <c r="A18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6" s="163" t="str">
        <f>IF(AND('Resource Planner'!$A$46="☑",2&lt;='Resource Planner'!$N$46),'Resource Planner'!$C$46,"")</f>
        <v/>
      </c>
      <c r="C1806" s="163" t="str">
        <f>IF(AND('Resource Planner'!$A$46="☑",2&lt;='Resource Planner'!$N$46),'Resource Planner'!$B$46,"")</f>
        <v/>
      </c>
      <c r="D1806" s="163" t="str">
        <f>IF(AND('Resource Planner'!$A$46="☑",2&lt;='Resource Planner'!$N$46),'Resource Planner'!$D$46,"")</f>
        <v/>
      </c>
      <c r="E1806" s="163" t="str">
        <f>IF(AND('Resource Planner'!$A$46="☑",2&lt;='Resource Planner'!$N$46),'Resource Planner'!$E$46,"")</f>
        <v/>
      </c>
      <c r="F1806" s="163" t="str">
        <f>IF(AND('Resource Planner'!$A$46="☑",2&lt;='Resource Planner'!$N$46),'Resource Planner'!$F$46&amp;" "&amp;('Resource Planner'!$G$46+(2-1)*'Resource Planner'!$I$46)&amp;IF(('Resource Planner'!$G$46+(2-1)*'Resource Planner'!$I$46)=MIN('Resource Planner'!$G$46+2*'Resource Planner'!$I$46-1,'Resource Planner'!$H$46),"","–"&amp;MIN('Resource Planner'!$G$46+2*'Resource Planner'!$I$46-1,'Resource Planner'!$H$46)),"")</f>
        <v/>
      </c>
      <c r="G1806" s="163" t="s">
        <v>109</v>
      </c>
      <c r="H1806" s="163" t="str">
        <f>IF(AND('Resource Planner'!$A$46="☑",2&lt;='Resource Planner'!$N$46),'Resource Planner'!$M$46,"")</f>
        <v/>
      </c>
    </row>
    <row r="1807" ht="15.75" customHeight="1">
      <c r="A18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7" s="163" t="str">
        <f>IF(AND('Resource Planner'!$A$46="☑",3&lt;='Resource Planner'!$N$46),'Resource Planner'!$C$46,"")</f>
        <v/>
      </c>
      <c r="C1807" s="163" t="str">
        <f>IF(AND('Resource Planner'!$A$46="☑",3&lt;='Resource Planner'!$N$46),'Resource Planner'!$B$46,"")</f>
        <v/>
      </c>
      <c r="D1807" s="163" t="str">
        <f>IF(AND('Resource Planner'!$A$46="☑",3&lt;='Resource Planner'!$N$46),'Resource Planner'!$D$46,"")</f>
        <v/>
      </c>
      <c r="E1807" s="163" t="str">
        <f>IF(AND('Resource Planner'!$A$46="☑",3&lt;='Resource Planner'!$N$46),'Resource Planner'!$E$46,"")</f>
        <v/>
      </c>
      <c r="F1807" s="163" t="str">
        <f>IF(AND('Resource Planner'!$A$46="☑",3&lt;='Resource Planner'!$N$46),'Resource Planner'!$F$46&amp;" "&amp;('Resource Planner'!$G$46+(3-1)*'Resource Planner'!$I$46)&amp;IF(('Resource Planner'!$G$46+(3-1)*'Resource Planner'!$I$46)=MIN('Resource Planner'!$G$46+3*'Resource Planner'!$I$46-1,'Resource Planner'!$H$46),"","–"&amp;MIN('Resource Planner'!$G$46+3*'Resource Planner'!$I$46-1,'Resource Planner'!$H$46)),"")</f>
        <v/>
      </c>
      <c r="G1807" s="163" t="s">
        <v>109</v>
      </c>
      <c r="H1807" s="163" t="str">
        <f>IF(AND('Resource Planner'!$A$46="☑",3&lt;='Resource Planner'!$N$46),'Resource Planner'!$M$46,"")</f>
        <v/>
      </c>
    </row>
    <row r="1808" ht="15.75" customHeight="1">
      <c r="A18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8" s="163" t="str">
        <f>IF(AND('Resource Planner'!$A$46="☑",4&lt;='Resource Planner'!$N$46),'Resource Planner'!$C$46,"")</f>
        <v/>
      </c>
      <c r="C1808" s="163" t="str">
        <f>IF(AND('Resource Planner'!$A$46="☑",4&lt;='Resource Planner'!$N$46),'Resource Planner'!$B$46,"")</f>
        <v/>
      </c>
      <c r="D1808" s="163" t="str">
        <f>IF(AND('Resource Planner'!$A$46="☑",4&lt;='Resource Planner'!$N$46),'Resource Planner'!$D$46,"")</f>
        <v/>
      </c>
      <c r="E1808" s="163" t="str">
        <f>IF(AND('Resource Planner'!$A$46="☑",4&lt;='Resource Planner'!$N$46),'Resource Planner'!$E$46,"")</f>
        <v/>
      </c>
      <c r="F1808" s="163" t="str">
        <f>IF(AND('Resource Planner'!$A$46="☑",4&lt;='Resource Planner'!$N$46),'Resource Planner'!$F$46&amp;" "&amp;('Resource Planner'!$G$46+(4-1)*'Resource Planner'!$I$46)&amp;IF(('Resource Planner'!$G$46+(4-1)*'Resource Planner'!$I$46)=MIN('Resource Planner'!$G$46+4*'Resource Planner'!$I$46-1,'Resource Planner'!$H$46),"","–"&amp;MIN('Resource Planner'!$G$46+4*'Resource Planner'!$I$46-1,'Resource Planner'!$H$46)),"")</f>
        <v/>
      </c>
      <c r="G1808" s="163" t="s">
        <v>109</v>
      </c>
      <c r="H1808" s="163" t="str">
        <f>IF(AND('Resource Planner'!$A$46="☑",4&lt;='Resource Planner'!$N$46),'Resource Planner'!$M$46,"")</f>
        <v/>
      </c>
    </row>
    <row r="1809" ht="15.75" customHeight="1">
      <c r="A18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09" s="163" t="str">
        <f>IF(AND('Resource Planner'!$A$46="☑",5&lt;='Resource Planner'!$N$46),'Resource Planner'!$C$46,"")</f>
        <v/>
      </c>
      <c r="C1809" s="163" t="str">
        <f>IF(AND('Resource Planner'!$A$46="☑",5&lt;='Resource Planner'!$N$46),'Resource Planner'!$B$46,"")</f>
        <v/>
      </c>
      <c r="D1809" s="163" t="str">
        <f>IF(AND('Resource Planner'!$A$46="☑",5&lt;='Resource Planner'!$N$46),'Resource Planner'!$D$46,"")</f>
        <v/>
      </c>
      <c r="E1809" s="163" t="str">
        <f>IF(AND('Resource Planner'!$A$46="☑",5&lt;='Resource Planner'!$N$46),'Resource Planner'!$E$46,"")</f>
        <v/>
      </c>
      <c r="F1809" s="163" t="str">
        <f>IF(AND('Resource Planner'!$A$46="☑",5&lt;='Resource Planner'!$N$46),'Resource Planner'!$F$46&amp;" "&amp;('Resource Planner'!$G$46+(5-1)*'Resource Planner'!$I$46)&amp;IF(('Resource Planner'!$G$46+(5-1)*'Resource Planner'!$I$46)=MIN('Resource Planner'!$G$46+5*'Resource Planner'!$I$46-1,'Resource Planner'!$H$46),"","–"&amp;MIN('Resource Planner'!$G$46+5*'Resource Planner'!$I$46-1,'Resource Planner'!$H$46)),"")</f>
        <v/>
      </c>
      <c r="G1809" s="163" t="s">
        <v>109</v>
      </c>
      <c r="H1809" s="163" t="str">
        <f>IF(AND('Resource Planner'!$A$46="☑",5&lt;='Resource Planner'!$N$46),'Resource Planner'!$M$46,"")</f>
        <v/>
      </c>
    </row>
    <row r="1810" ht="15.75" customHeight="1">
      <c r="A18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0" s="163" t="str">
        <f>IF(AND('Resource Planner'!$A$46="☑",6&lt;='Resource Planner'!$N$46),'Resource Planner'!$C$46,"")</f>
        <v/>
      </c>
      <c r="C1810" s="163" t="str">
        <f>IF(AND('Resource Planner'!$A$46="☑",6&lt;='Resource Planner'!$N$46),'Resource Planner'!$B$46,"")</f>
        <v/>
      </c>
      <c r="D1810" s="163" t="str">
        <f>IF(AND('Resource Planner'!$A$46="☑",6&lt;='Resource Planner'!$N$46),'Resource Planner'!$D$46,"")</f>
        <v/>
      </c>
      <c r="E1810" s="163" t="str">
        <f>IF(AND('Resource Planner'!$A$46="☑",6&lt;='Resource Planner'!$N$46),'Resource Planner'!$E$46,"")</f>
        <v/>
      </c>
      <c r="F1810" s="163" t="str">
        <f>IF(AND('Resource Planner'!$A$46="☑",6&lt;='Resource Planner'!$N$46),'Resource Planner'!$F$46&amp;" "&amp;('Resource Planner'!$G$46+(6-1)*'Resource Planner'!$I$46)&amp;IF(('Resource Planner'!$G$46+(6-1)*'Resource Planner'!$I$46)=MIN('Resource Planner'!$G$46+6*'Resource Planner'!$I$46-1,'Resource Planner'!$H$46),"","–"&amp;MIN('Resource Planner'!$G$46+6*'Resource Planner'!$I$46-1,'Resource Planner'!$H$46)),"")</f>
        <v/>
      </c>
      <c r="G1810" s="163" t="s">
        <v>109</v>
      </c>
      <c r="H1810" s="163" t="str">
        <f>IF(AND('Resource Planner'!$A$46="☑",6&lt;='Resource Planner'!$N$46),'Resource Planner'!$M$46,"")</f>
        <v/>
      </c>
    </row>
    <row r="1811" ht="15.75" customHeight="1">
      <c r="A18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1" s="163" t="str">
        <f>IF(AND('Resource Planner'!$A$46="☑",7&lt;='Resource Planner'!$N$46),'Resource Planner'!$C$46,"")</f>
        <v/>
      </c>
      <c r="C1811" s="163" t="str">
        <f>IF(AND('Resource Planner'!$A$46="☑",7&lt;='Resource Planner'!$N$46),'Resource Planner'!$B$46,"")</f>
        <v/>
      </c>
      <c r="D1811" s="163" t="str">
        <f>IF(AND('Resource Planner'!$A$46="☑",7&lt;='Resource Planner'!$N$46),'Resource Planner'!$D$46,"")</f>
        <v/>
      </c>
      <c r="E1811" s="163" t="str">
        <f>IF(AND('Resource Planner'!$A$46="☑",7&lt;='Resource Planner'!$N$46),'Resource Planner'!$E$46,"")</f>
        <v/>
      </c>
      <c r="F1811" s="163" t="str">
        <f>IF(AND('Resource Planner'!$A$46="☑",7&lt;='Resource Planner'!$N$46),'Resource Planner'!$F$46&amp;" "&amp;('Resource Planner'!$G$46+(7-1)*'Resource Planner'!$I$46)&amp;IF(('Resource Planner'!$G$46+(7-1)*'Resource Planner'!$I$46)=MIN('Resource Planner'!$G$46+7*'Resource Planner'!$I$46-1,'Resource Planner'!$H$46),"","–"&amp;MIN('Resource Planner'!$G$46+7*'Resource Planner'!$I$46-1,'Resource Planner'!$H$46)),"")</f>
        <v/>
      </c>
      <c r="G1811" s="163" t="s">
        <v>109</v>
      </c>
      <c r="H1811" s="163" t="str">
        <f>IF(AND('Resource Planner'!$A$46="☑",7&lt;='Resource Planner'!$N$46),'Resource Planner'!$M$46,"")</f>
        <v/>
      </c>
    </row>
    <row r="1812" ht="15.75" customHeight="1">
      <c r="A18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2" s="163" t="str">
        <f>IF(AND('Resource Planner'!$A$46="☑",8&lt;='Resource Planner'!$N$46),'Resource Planner'!$C$46,"")</f>
        <v/>
      </c>
      <c r="C1812" s="163" t="str">
        <f>IF(AND('Resource Planner'!$A$46="☑",8&lt;='Resource Planner'!$N$46),'Resource Planner'!$B$46,"")</f>
        <v/>
      </c>
      <c r="D1812" s="163" t="str">
        <f>IF(AND('Resource Planner'!$A$46="☑",8&lt;='Resource Planner'!$N$46),'Resource Planner'!$D$46,"")</f>
        <v/>
      </c>
      <c r="E1812" s="163" t="str">
        <f>IF(AND('Resource Planner'!$A$46="☑",8&lt;='Resource Planner'!$N$46),'Resource Planner'!$E$46,"")</f>
        <v/>
      </c>
      <c r="F1812" s="163" t="str">
        <f>IF(AND('Resource Planner'!$A$46="☑",8&lt;='Resource Planner'!$N$46),'Resource Planner'!$F$46&amp;" "&amp;('Resource Planner'!$G$46+(8-1)*'Resource Planner'!$I$46)&amp;IF(('Resource Planner'!$G$46+(8-1)*'Resource Planner'!$I$46)=MIN('Resource Planner'!$G$46+8*'Resource Planner'!$I$46-1,'Resource Planner'!$H$46),"","–"&amp;MIN('Resource Planner'!$G$46+8*'Resource Planner'!$I$46-1,'Resource Planner'!$H$46)),"")</f>
        <v/>
      </c>
      <c r="G1812" s="163" t="s">
        <v>109</v>
      </c>
      <c r="H1812" s="163" t="str">
        <f>IF(AND('Resource Planner'!$A$46="☑",8&lt;='Resource Planner'!$N$46),'Resource Planner'!$M$46,"")</f>
        <v/>
      </c>
    </row>
    <row r="1813" ht="15.75" customHeight="1">
      <c r="A18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3" s="163" t="str">
        <f>IF(AND('Resource Planner'!$A$46="☑",9&lt;='Resource Planner'!$N$46),'Resource Planner'!$C$46,"")</f>
        <v/>
      </c>
      <c r="C1813" s="163" t="str">
        <f>IF(AND('Resource Planner'!$A$46="☑",9&lt;='Resource Planner'!$N$46),'Resource Planner'!$B$46,"")</f>
        <v/>
      </c>
      <c r="D1813" s="163" t="str">
        <f>IF(AND('Resource Planner'!$A$46="☑",9&lt;='Resource Planner'!$N$46),'Resource Planner'!$D$46,"")</f>
        <v/>
      </c>
      <c r="E1813" s="163" t="str">
        <f>IF(AND('Resource Planner'!$A$46="☑",9&lt;='Resource Planner'!$N$46),'Resource Planner'!$E$46,"")</f>
        <v/>
      </c>
      <c r="F1813" s="163" t="str">
        <f>IF(AND('Resource Planner'!$A$46="☑",9&lt;='Resource Planner'!$N$46),'Resource Planner'!$F$46&amp;" "&amp;('Resource Planner'!$G$46+(9-1)*'Resource Planner'!$I$46)&amp;IF(('Resource Planner'!$G$46+(9-1)*'Resource Planner'!$I$46)=MIN('Resource Planner'!$G$46+9*'Resource Planner'!$I$46-1,'Resource Planner'!$H$46),"","–"&amp;MIN('Resource Planner'!$G$46+9*'Resource Planner'!$I$46-1,'Resource Planner'!$H$46)),"")</f>
        <v/>
      </c>
      <c r="G1813" s="163" t="s">
        <v>109</v>
      </c>
      <c r="H1813" s="163" t="str">
        <f>IF(AND('Resource Planner'!$A$46="☑",9&lt;='Resource Planner'!$N$46),'Resource Planner'!$M$46,"")</f>
        <v/>
      </c>
    </row>
    <row r="1814" ht="15.75" customHeight="1">
      <c r="A18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4" s="163" t="str">
        <f>IF(AND('Resource Planner'!$A$46="☑",10&lt;='Resource Planner'!$N$46),'Resource Planner'!$C$46,"")</f>
        <v/>
      </c>
      <c r="C1814" s="163" t="str">
        <f>IF(AND('Resource Planner'!$A$46="☑",10&lt;='Resource Planner'!$N$46),'Resource Planner'!$B$46,"")</f>
        <v/>
      </c>
      <c r="D1814" s="163" t="str">
        <f>IF(AND('Resource Planner'!$A$46="☑",10&lt;='Resource Planner'!$N$46),'Resource Planner'!$D$46,"")</f>
        <v/>
      </c>
      <c r="E1814" s="163" t="str">
        <f>IF(AND('Resource Planner'!$A$46="☑",10&lt;='Resource Planner'!$N$46),'Resource Planner'!$E$46,"")</f>
        <v/>
      </c>
      <c r="F1814" s="163" t="str">
        <f>IF(AND('Resource Planner'!$A$46="☑",10&lt;='Resource Planner'!$N$46),'Resource Planner'!$F$46&amp;" "&amp;('Resource Planner'!$G$46+(10-1)*'Resource Planner'!$I$46)&amp;IF(('Resource Planner'!$G$46+(10-1)*'Resource Planner'!$I$46)=MIN('Resource Planner'!$G$46+10*'Resource Planner'!$I$46-1,'Resource Planner'!$H$46),"","–"&amp;MIN('Resource Planner'!$G$46+10*'Resource Planner'!$I$46-1,'Resource Planner'!$H$46)),"")</f>
        <v/>
      </c>
      <c r="G1814" s="163" t="s">
        <v>109</v>
      </c>
      <c r="H1814" s="163" t="str">
        <f>IF(AND('Resource Planner'!$A$46="☑",10&lt;='Resource Planner'!$N$46),'Resource Planner'!$M$46,"")</f>
        <v/>
      </c>
    </row>
    <row r="1815" ht="15.75" customHeight="1">
      <c r="A18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5" s="163" t="str">
        <f>IF(AND('Resource Planner'!$A$46="☑",11&lt;='Resource Planner'!$N$46),'Resource Planner'!$C$46,"")</f>
        <v/>
      </c>
      <c r="C1815" s="163" t="str">
        <f>IF(AND('Resource Planner'!$A$46="☑",11&lt;='Resource Planner'!$N$46),'Resource Planner'!$B$46,"")</f>
        <v/>
      </c>
      <c r="D1815" s="163" t="str">
        <f>IF(AND('Resource Planner'!$A$46="☑",11&lt;='Resource Planner'!$N$46),'Resource Planner'!$D$46,"")</f>
        <v/>
      </c>
      <c r="E1815" s="163" t="str">
        <f>IF(AND('Resource Planner'!$A$46="☑",11&lt;='Resource Planner'!$N$46),'Resource Planner'!$E$46,"")</f>
        <v/>
      </c>
      <c r="F1815" s="163" t="str">
        <f>IF(AND('Resource Planner'!$A$46="☑",11&lt;='Resource Planner'!$N$46),'Resource Planner'!$F$46&amp;" "&amp;('Resource Planner'!$G$46+(11-1)*'Resource Planner'!$I$46)&amp;IF(('Resource Planner'!$G$46+(11-1)*'Resource Planner'!$I$46)=MIN('Resource Planner'!$G$46+11*'Resource Planner'!$I$46-1,'Resource Planner'!$H$46),"","–"&amp;MIN('Resource Planner'!$G$46+11*'Resource Planner'!$I$46-1,'Resource Planner'!$H$46)),"")</f>
        <v/>
      </c>
      <c r="G1815" s="163" t="s">
        <v>109</v>
      </c>
      <c r="H1815" s="163" t="str">
        <f>IF(AND('Resource Planner'!$A$46="☑",11&lt;='Resource Planner'!$N$46),'Resource Planner'!$M$46,"")</f>
        <v/>
      </c>
    </row>
    <row r="1816" ht="15.75" customHeight="1">
      <c r="A18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6" s="163" t="str">
        <f>IF(AND('Resource Planner'!$A$46="☑",12&lt;='Resource Planner'!$N$46),'Resource Planner'!$C$46,"")</f>
        <v/>
      </c>
      <c r="C1816" s="163" t="str">
        <f>IF(AND('Resource Planner'!$A$46="☑",12&lt;='Resource Planner'!$N$46),'Resource Planner'!$B$46,"")</f>
        <v/>
      </c>
      <c r="D1816" s="163" t="str">
        <f>IF(AND('Resource Planner'!$A$46="☑",12&lt;='Resource Planner'!$N$46),'Resource Planner'!$D$46,"")</f>
        <v/>
      </c>
      <c r="E1816" s="163" t="str">
        <f>IF(AND('Resource Planner'!$A$46="☑",12&lt;='Resource Planner'!$N$46),'Resource Planner'!$E$46,"")</f>
        <v/>
      </c>
      <c r="F1816" s="163" t="str">
        <f>IF(AND('Resource Planner'!$A$46="☑",12&lt;='Resource Planner'!$N$46),'Resource Planner'!$F$46&amp;" "&amp;('Resource Planner'!$G$46+(12-1)*'Resource Planner'!$I$46)&amp;IF(('Resource Planner'!$G$46+(12-1)*'Resource Planner'!$I$46)=MIN('Resource Planner'!$G$46+12*'Resource Planner'!$I$46-1,'Resource Planner'!$H$46),"","–"&amp;MIN('Resource Planner'!$G$46+12*'Resource Planner'!$I$46-1,'Resource Planner'!$H$46)),"")</f>
        <v/>
      </c>
      <c r="G1816" s="163" t="s">
        <v>109</v>
      </c>
      <c r="H1816" s="163" t="str">
        <f>IF(AND('Resource Planner'!$A$46="☑",12&lt;='Resource Planner'!$N$46),'Resource Planner'!$M$46,"")</f>
        <v/>
      </c>
    </row>
    <row r="1817" ht="15.75" customHeight="1">
      <c r="A18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7" s="163" t="str">
        <f>IF(AND('Resource Planner'!$A$46="☑",13&lt;='Resource Planner'!$N$46),'Resource Planner'!$C$46,"")</f>
        <v/>
      </c>
      <c r="C1817" s="163" t="str">
        <f>IF(AND('Resource Planner'!$A$46="☑",13&lt;='Resource Planner'!$N$46),'Resource Planner'!$B$46,"")</f>
        <v/>
      </c>
      <c r="D1817" s="163" t="str">
        <f>IF(AND('Resource Planner'!$A$46="☑",13&lt;='Resource Planner'!$N$46),'Resource Planner'!$D$46,"")</f>
        <v/>
      </c>
      <c r="E1817" s="163" t="str">
        <f>IF(AND('Resource Planner'!$A$46="☑",13&lt;='Resource Planner'!$N$46),'Resource Planner'!$E$46,"")</f>
        <v/>
      </c>
      <c r="F1817" s="163" t="str">
        <f>IF(AND('Resource Planner'!$A$46="☑",13&lt;='Resource Planner'!$N$46),'Resource Planner'!$F$46&amp;" "&amp;('Resource Planner'!$G$46+(13-1)*'Resource Planner'!$I$46)&amp;IF(('Resource Planner'!$G$46+(13-1)*'Resource Planner'!$I$46)=MIN('Resource Planner'!$G$46+13*'Resource Planner'!$I$46-1,'Resource Planner'!$H$46),"","–"&amp;MIN('Resource Planner'!$G$46+13*'Resource Planner'!$I$46-1,'Resource Planner'!$H$46)),"")</f>
        <v/>
      </c>
      <c r="G1817" s="163" t="s">
        <v>109</v>
      </c>
      <c r="H1817" s="163" t="str">
        <f>IF(AND('Resource Planner'!$A$46="☑",13&lt;='Resource Planner'!$N$46),'Resource Planner'!$M$46,"")</f>
        <v/>
      </c>
    </row>
    <row r="1818" ht="15.75" customHeight="1">
      <c r="A18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8" s="163" t="str">
        <f>IF(AND('Resource Planner'!$A$46="☑",14&lt;='Resource Planner'!$N$46),'Resource Planner'!$C$46,"")</f>
        <v/>
      </c>
      <c r="C1818" s="163" t="str">
        <f>IF(AND('Resource Planner'!$A$46="☑",14&lt;='Resource Planner'!$N$46),'Resource Planner'!$B$46,"")</f>
        <v/>
      </c>
      <c r="D1818" s="163" t="str">
        <f>IF(AND('Resource Planner'!$A$46="☑",14&lt;='Resource Planner'!$N$46),'Resource Planner'!$D$46,"")</f>
        <v/>
      </c>
      <c r="E1818" s="163" t="str">
        <f>IF(AND('Resource Planner'!$A$46="☑",14&lt;='Resource Planner'!$N$46),'Resource Planner'!$E$46,"")</f>
        <v/>
      </c>
      <c r="F1818" s="163" t="str">
        <f>IF(AND('Resource Planner'!$A$46="☑",14&lt;='Resource Planner'!$N$46),'Resource Planner'!$F$46&amp;" "&amp;('Resource Planner'!$G$46+(14-1)*'Resource Planner'!$I$46)&amp;IF(('Resource Planner'!$G$46+(14-1)*'Resource Planner'!$I$46)=MIN('Resource Planner'!$G$46+14*'Resource Planner'!$I$46-1,'Resource Planner'!$H$46),"","–"&amp;MIN('Resource Planner'!$G$46+14*'Resource Planner'!$I$46-1,'Resource Planner'!$H$46)),"")</f>
        <v/>
      </c>
      <c r="G1818" s="163" t="s">
        <v>109</v>
      </c>
      <c r="H1818" s="163" t="str">
        <f>IF(AND('Resource Planner'!$A$46="☑",14&lt;='Resource Planner'!$N$46),'Resource Planner'!$M$46,"")</f>
        <v/>
      </c>
    </row>
    <row r="1819" ht="15.75" customHeight="1">
      <c r="A18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19" s="163" t="str">
        <f>IF(AND('Resource Planner'!$A$46="☑",15&lt;='Resource Planner'!$N$46),'Resource Planner'!$C$46,"")</f>
        <v/>
      </c>
      <c r="C1819" s="163" t="str">
        <f>IF(AND('Resource Planner'!$A$46="☑",15&lt;='Resource Planner'!$N$46),'Resource Planner'!$B$46,"")</f>
        <v/>
      </c>
      <c r="D1819" s="163" t="str">
        <f>IF(AND('Resource Planner'!$A$46="☑",15&lt;='Resource Planner'!$N$46),'Resource Planner'!$D$46,"")</f>
        <v/>
      </c>
      <c r="E1819" s="163" t="str">
        <f>IF(AND('Resource Planner'!$A$46="☑",15&lt;='Resource Planner'!$N$46),'Resource Planner'!$E$46,"")</f>
        <v/>
      </c>
      <c r="F1819" s="163" t="str">
        <f>IF(AND('Resource Planner'!$A$46="☑",15&lt;='Resource Planner'!$N$46),'Resource Planner'!$F$46&amp;" "&amp;('Resource Planner'!$G$46+(15-1)*'Resource Planner'!$I$46)&amp;IF(('Resource Planner'!$G$46+(15-1)*'Resource Planner'!$I$46)=MIN('Resource Planner'!$G$46+15*'Resource Planner'!$I$46-1,'Resource Planner'!$H$46),"","–"&amp;MIN('Resource Planner'!$G$46+15*'Resource Planner'!$I$46-1,'Resource Planner'!$H$46)),"")</f>
        <v/>
      </c>
      <c r="G1819" s="163" t="s">
        <v>109</v>
      </c>
      <c r="H1819" s="163" t="str">
        <f>IF(AND('Resource Planner'!$A$46="☑",15&lt;='Resource Planner'!$N$46),'Resource Planner'!$M$46,"")</f>
        <v/>
      </c>
    </row>
    <row r="1820" ht="15.75" customHeight="1">
      <c r="A18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0" s="163" t="str">
        <f>IF(AND('Resource Planner'!$A$46="☑",16&lt;='Resource Planner'!$N$46),'Resource Planner'!$C$46,"")</f>
        <v/>
      </c>
      <c r="C1820" s="163" t="str">
        <f>IF(AND('Resource Planner'!$A$46="☑",16&lt;='Resource Planner'!$N$46),'Resource Planner'!$B$46,"")</f>
        <v/>
      </c>
      <c r="D1820" s="163" t="str">
        <f>IF(AND('Resource Planner'!$A$46="☑",16&lt;='Resource Planner'!$N$46),'Resource Planner'!$D$46,"")</f>
        <v/>
      </c>
      <c r="E1820" s="163" t="str">
        <f>IF(AND('Resource Planner'!$A$46="☑",16&lt;='Resource Planner'!$N$46),'Resource Planner'!$E$46,"")</f>
        <v/>
      </c>
      <c r="F1820" s="163" t="str">
        <f>IF(AND('Resource Planner'!$A$46="☑",16&lt;='Resource Planner'!$N$46),'Resource Planner'!$F$46&amp;" "&amp;('Resource Planner'!$G$46+(16-1)*'Resource Planner'!$I$46)&amp;IF(('Resource Planner'!$G$46+(16-1)*'Resource Planner'!$I$46)=MIN('Resource Planner'!$G$46+16*'Resource Planner'!$I$46-1,'Resource Planner'!$H$46),"","–"&amp;MIN('Resource Planner'!$G$46+16*'Resource Planner'!$I$46-1,'Resource Planner'!$H$46)),"")</f>
        <v/>
      </c>
      <c r="G1820" s="163" t="s">
        <v>109</v>
      </c>
      <c r="H1820" s="163" t="str">
        <f>IF(AND('Resource Planner'!$A$46="☑",16&lt;='Resource Planner'!$N$46),'Resource Planner'!$M$46,"")</f>
        <v/>
      </c>
    </row>
    <row r="1821" ht="15.75" customHeight="1">
      <c r="A18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1" s="163" t="str">
        <f>IF(AND('Resource Planner'!$A$46="☑",17&lt;='Resource Planner'!$N$46),'Resource Planner'!$C$46,"")</f>
        <v/>
      </c>
      <c r="C1821" s="163" t="str">
        <f>IF(AND('Resource Planner'!$A$46="☑",17&lt;='Resource Planner'!$N$46),'Resource Planner'!$B$46,"")</f>
        <v/>
      </c>
      <c r="D1821" s="163" t="str">
        <f>IF(AND('Resource Planner'!$A$46="☑",17&lt;='Resource Planner'!$N$46),'Resource Planner'!$D$46,"")</f>
        <v/>
      </c>
      <c r="E1821" s="163" t="str">
        <f>IF(AND('Resource Planner'!$A$46="☑",17&lt;='Resource Planner'!$N$46),'Resource Planner'!$E$46,"")</f>
        <v/>
      </c>
      <c r="F1821" s="163" t="str">
        <f>IF(AND('Resource Planner'!$A$46="☑",17&lt;='Resource Planner'!$N$46),'Resource Planner'!$F$46&amp;" "&amp;('Resource Planner'!$G$46+(17-1)*'Resource Planner'!$I$46)&amp;IF(('Resource Planner'!$G$46+(17-1)*'Resource Planner'!$I$46)=MIN('Resource Planner'!$G$46+17*'Resource Planner'!$I$46-1,'Resource Planner'!$H$46),"","–"&amp;MIN('Resource Planner'!$G$46+17*'Resource Planner'!$I$46-1,'Resource Planner'!$H$46)),"")</f>
        <v/>
      </c>
      <c r="G1821" s="163" t="s">
        <v>109</v>
      </c>
      <c r="H1821" s="163" t="str">
        <f>IF(AND('Resource Planner'!$A$46="☑",17&lt;='Resource Planner'!$N$46),'Resource Planner'!$M$46,"")</f>
        <v/>
      </c>
    </row>
    <row r="1822" ht="15.75" customHeight="1">
      <c r="A18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2" s="163" t="str">
        <f>IF(AND('Resource Planner'!$A$46="☑",18&lt;='Resource Planner'!$N$46),'Resource Planner'!$C$46,"")</f>
        <v/>
      </c>
      <c r="C1822" s="163" t="str">
        <f>IF(AND('Resource Planner'!$A$46="☑",18&lt;='Resource Planner'!$N$46),'Resource Planner'!$B$46,"")</f>
        <v/>
      </c>
      <c r="D1822" s="163" t="str">
        <f>IF(AND('Resource Planner'!$A$46="☑",18&lt;='Resource Planner'!$N$46),'Resource Planner'!$D$46,"")</f>
        <v/>
      </c>
      <c r="E1822" s="163" t="str">
        <f>IF(AND('Resource Planner'!$A$46="☑",18&lt;='Resource Planner'!$N$46),'Resource Planner'!$E$46,"")</f>
        <v/>
      </c>
      <c r="F1822" s="163" t="str">
        <f>IF(AND('Resource Planner'!$A$46="☑",18&lt;='Resource Planner'!$N$46),'Resource Planner'!$F$46&amp;" "&amp;('Resource Planner'!$G$46+(18-1)*'Resource Planner'!$I$46)&amp;IF(('Resource Planner'!$G$46+(18-1)*'Resource Planner'!$I$46)=MIN('Resource Planner'!$G$46+18*'Resource Planner'!$I$46-1,'Resource Planner'!$H$46),"","–"&amp;MIN('Resource Planner'!$G$46+18*'Resource Planner'!$I$46-1,'Resource Planner'!$H$46)),"")</f>
        <v/>
      </c>
      <c r="G1822" s="163" t="s">
        <v>109</v>
      </c>
      <c r="H1822" s="163" t="str">
        <f>IF(AND('Resource Planner'!$A$46="☑",18&lt;='Resource Planner'!$N$46),'Resource Planner'!$M$46,"")</f>
        <v/>
      </c>
    </row>
    <row r="1823" ht="15.75" customHeight="1">
      <c r="A18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3" s="163" t="str">
        <f>IF(AND('Resource Planner'!$A$46="☑",19&lt;='Resource Planner'!$N$46),'Resource Planner'!$C$46,"")</f>
        <v/>
      </c>
      <c r="C1823" s="163" t="str">
        <f>IF(AND('Resource Planner'!$A$46="☑",19&lt;='Resource Planner'!$N$46),'Resource Planner'!$B$46,"")</f>
        <v/>
      </c>
      <c r="D1823" s="163" t="str">
        <f>IF(AND('Resource Planner'!$A$46="☑",19&lt;='Resource Planner'!$N$46),'Resource Planner'!$D$46,"")</f>
        <v/>
      </c>
      <c r="E1823" s="163" t="str">
        <f>IF(AND('Resource Planner'!$A$46="☑",19&lt;='Resource Planner'!$N$46),'Resource Planner'!$E$46,"")</f>
        <v/>
      </c>
      <c r="F1823" s="163" t="str">
        <f>IF(AND('Resource Planner'!$A$46="☑",19&lt;='Resource Planner'!$N$46),'Resource Planner'!$F$46&amp;" "&amp;('Resource Planner'!$G$46+(19-1)*'Resource Planner'!$I$46)&amp;IF(('Resource Planner'!$G$46+(19-1)*'Resource Planner'!$I$46)=MIN('Resource Planner'!$G$46+19*'Resource Planner'!$I$46-1,'Resource Planner'!$H$46),"","–"&amp;MIN('Resource Planner'!$G$46+19*'Resource Planner'!$I$46-1,'Resource Planner'!$H$46)),"")</f>
        <v/>
      </c>
      <c r="G1823" s="163" t="s">
        <v>109</v>
      </c>
      <c r="H1823" s="163" t="str">
        <f>IF(AND('Resource Planner'!$A$46="☑",19&lt;='Resource Planner'!$N$46),'Resource Planner'!$M$46,"")</f>
        <v/>
      </c>
    </row>
    <row r="1824" ht="15.75" customHeight="1">
      <c r="A18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4" s="163" t="str">
        <f>IF(AND('Resource Planner'!$A$46="☑",20&lt;='Resource Planner'!$N$46),'Resource Planner'!$C$46,"")</f>
        <v/>
      </c>
      <c r="C1824" s="163" t="str">
        <f>IF(AND('Resource Planner'!$A$46="☑",20&lt;='Resource Planner'!$N$46),'Resource Planner'!$B$46,"")</f>
        <v/>
      </c>
      <c r="D1824" s="163" t="str">
        <f>IF(AND('Resource Planner'!$A$46="☑",20&lt;='Resource Planner'!$N$46),'Resource Planner'!$D$46,"")</f>
        <v/>
      </c>
      <c r="E1824" s="163" t="str">
        <f>IF(AND('Resource Planner'!$A$46="☑",20&lt;='Resource Planner'!$N$46),'Resource Planner'!$E$46,"")</f>
        <v/>
      </c>
      <c r="F1824" s="163" t="str">
        <f>IF(AND('Resource Planner'!$A$46="☑",20&lt;='Resource Planner'!$N$46),'Resource Planner'!$F$46&amp;" "&amp;('Resource Planner'!$G$46+(20-1)*'Resource Planner'!$I$46)&amp;IF(('Resource Planner'!$G$46+(20-1)*'Resource Planner'!$I$46)=MIN('Resource Planner'!$G$46+20*'Resource Planner'!$I$46-1,'Resource Planner'!$H$46),"","–"&amp;MIN('Resource Planner'!$G$46+20*'Resource Planner'!$I$46-1,'Resource Planner'!$H$46)),"")</f>
        <v/>
      </c>
      <c r="G1824" s="163" t="s">
        <v>109</v>
      </c>
      <c r="H1824" s="163" t="str">
        <f>IF(AND('Resource Planner'!$A$46="☑",20&lt;='Resource Planner'!$N$46),'Resource Planner'!$M$46,"")</f>
        <v/>
      </c>
    </row>
    <row r="1825" ht="15.75" customHeight="1">
      <c r="A18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5" s="163" t="str">
        <f>IF(AND('Resource Planner'!$A$46="☑",21&lt;='Resource Planner'!$N$46),'Resource Planner'!$C$46,"")</f>
        <v/>
      </c>
      <c r="C1825" s="163" t="str">
        <f>IF(AND('Resource Planner'!$A$46="☑",21&lt;='Resource Planner'!$N$46),'Resource Planner'!$B$46,"")</f>
        <v/>
      </c>
      <c r="D1825" s="163" t="str">
        <f>IF(AND('Resource Planner'!$A$46="☑",21&lt;='Resource Planner'!$N$46),'Resource Planner'!$D$46,"")</f>
        <v/>
      </c>
      <c r="E1825" s="163" t="str">
        <f>IF(AND('Resource Planner'!$A$46="☑",21&lt;='Resource Planner'!$N$46),'Resource Planner'!$E$46,"")</f>
        <v/>
      </c>
      <c r="F1825" s="163" t="str">
        <f>IF(AND('Resource Planner'!$A$46="☑",21&lt;='Resource Planner'!$N$46),'Resource Planner'!$F$46&amp;" "&amp;('Resource Planner'!$G$46+(21-1)*'Resource Planner'!$I$46)&amp;IF(('Resource Planner'!$G$46+(21-1)*'Resource Planner'!$I$46)=MIN('Resource Planner'!$G$46+21*'Resource Planner'!$I$46-1,'Resource Planner'!$H$46),"","–"&amp;MIN('Resource Planner'!$G$46+21*'Resource Planner'!$I$46-1,'Resource Planner'!$H$46)),"")</f>
        <v/>
      </c>
      <c r="G1825" s="163" t="s">
        <v>109</v>
      </c>
      <c r="H1825" s="163" t="str">
        <f>IF(AND('Resource Planner'!$A$46="☑",21&lt;='Resource Planner'!$N$46),'Resource Planner'!$M$46,"")</f>
        <v/>
      </c>
    </row>
    <row r="1826" ht="15.75" customHeight="1">
      <c r="A18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6" s="163" t="str">
        <f>IF(AND('Resource Planner'!$A$46="☑",22&lt;='Resource Planner'!$N$46),'Resource Planner'!$C$46,"")</f>
        <v/>
      </c>
      <c r="C1826" s="163" t="str">
        <f>IF(AND('Resource Planner'!$A$46="☑",22&lt;='Resource Planner'!$N$46),'Resource Planner'!$B$46,"")</f>
        <v/>
      </c>
      <c r="D1826" s="163" t="str">
        <f>IF(AND('Resource Planner'!$A$46="☑",22&lt;='Resource Planner'!$N$46),'Resource Planner'!$D$46,"")</f>
        <v/>
      </c>
      <c r="E1826" s="163" t="str">
        <f>IF(AND('Resource Planner'!$A$46="☑",22&lt;='Resource Planner'!$N$46),'Resource Planner'!$E$46,"")</f>
        <v/>
      </c>
      <c r="F1826" s="163" t="str">
        <f>IF(AND('Resource Planner'!$A$46="☑",22&lt;='Resource Planner'!$N$46),'Resource Planner'!$F$46&amp;" "&amp;('Resource Planner'!$G$46+(22-1)*'Resource Planner'!$I$46)&amp;IF(('Resource Planner'!$G$46+(22-1)*'Resource Planner'!$I$46)=MIN('Resource Planner'!$G$46+22*'Resource Planner'!$I$46-1,'Resource Planner'!$H$46),"","–"&amp;MIN('Resource Planner'!$G$46+22*'Resource Planner'!$I$46-1,'Resource Planner'!$H$46)),"")</f>
        <v/>
      </c>
      <c r="G1826" s="163" t="s">
        <v>109</v>
      </c>
      <c r="H1826" s="163" t="str">
        <f>IF(AND('Resource Planner'!$A$46="☑",22&lt;='Resource Planner'!$N$46),'Resource Planner'!$M$46,"")</f>
        <v/>
      </c>
    </row>
    <row r="1827" ht="15.75" customHeight="1">
      <c r="A18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7" s="163" t="str">
        <f>IF(AND('Resource Planner'!$A$46="☑",23&lt;='Resource Planner'!$N$46),'Resource Planner'!$C$46,"")</f>
        <v/>
      </c>
      <c r="C1827" s="163" t="str">
        <f>IF(AND('Resource Planner'!$A$46="☑",23&lt;='Resource Planner'!$N$46),'Resource Planner'!$B$46,"")</f>
        <v/>
      </c>
      <c r="D1827" s="163" t="str">
        <f>IF(AND('Resource Planner'!$A$46="☑",23&lt;='Resource Planner'!$N$46),'Resource Planner'!$D$46,"")</f>
        <v/>
      </c>
      <c r="E1827" s="163" t="str">
        <f>IF(AND('Resource Planner'!$A$46="☑",23&lt;='Resource Planner'!$N$46),'Resource Planner'!$E$46,"")</f>
        <v/>
      </c>
      <c r="F1827" s="163" t="str">
        <f>IF(AND('Resource Planner'!$A$46="☑",23&lt;='Resource Planner'!$N$46),'Resource Planner'!$F$46&amp;" "&amp;('Resource Planner'!$G$46+(23-1)*'Resource Planner'!$I$46)&amp;IF(('Resource Planner'!$G$46+(23-1)*'Resource Planner'!$I$46)=MIN('Resource Planner'!$G$46+23*'Resource Planner'!$I$46-1,'Resource Planner'!$H$46),"","–"&amp;MIN('Resource Planner'!$G$46+23*'Resource Planner'!$I$46-1,'Resource Planner'!$H$46)),"")</f>
        <v/>
      </c>
      <c r="G1827" s="163" t="s">
        <v>109</v>
      </c>
      <c r="H1827" s="163" t="str">
        <f>IF(AND('Resource Planner'!$A$46="☑",23&lt;='Resource Planner'!$N$46),'Resource Planner'!$M$46,"")</f>
        <v/>
      </c>
    </row>
    <row r="1828" ht="15.75" customHeight="1">
      <c r="A18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8" s="163" t="str">
        <f>IF(AND('Resource Planner'!$A$46="☑",24&lt;='Resource Planner'!$N$46),'Resource Planner'!$C$46,"")</f>
        <v/>
      </c>
      <c r="C1828" s="163" t="str">
        <f>IF(AND('Resource Planner'!$A$46="☑",24&lt;='Resource Planner'!$N$46),'Resource Planner'!$B$46,"")</f>
        <v/>
      </c>
      <c r="D1828" s="163" t="str">
        <f>IF(AND('Resource Planner'!$A$46="☑",24&lt;='Resource Planner'!$N$46),'Resource Planner'!$D$46,"")</f>
        <v/>
      </c>
      <c r="E1828" s="163" t="str">
        <f>IF(AND('Resource Planner'!$A$46="☑",24&lt;='Resource Planner'!$N$46),'Resource Planner'!$E$46,"")</f>
        <v/>
      </c>
      <c r="F1828" s="163" t="str">
        <f>IF(AND('Resource Planner'!$A$46="☑",24&lt;='Resource Planner'!$N$46),'Resource Planner'!$F$46&amp;" "&amp;('Resource Planner'!$G$46+(24-1)*'Resource Planner'!$I$46)&amp;IF(('Resource Planner'!$G$46+(24-1)*'Resource Planner'!$I$46)=MIN('Resource Planner'!$G$46+24*'Resource Planner'!$I$46-1,'Resource Planner'!$H$46),"","–"&amp;MIN('Resource Planner'!$G$46+24*'Resource Planner'!$I$46-1,'Resource Planner'!$H$46)),"")</f>
        <v/>
      </c>
      <c r="G1828" s="163" t="s">
        <v>109</v>
      </c>
      <c r="H1828" s="163" t="str">
        <f>IF(AND('Resource Planner'!$A$46="☑",24&lt;='Resource Planner'!$N$46),'Resource Planner'!$M$46,"")</f>
        <v/>
      </c>
    </row>
    <row r="1829" ht="15.75" customHeight="1">
      <c r="A18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29" s="163" t="str">
        <f>IF(AND('Resource Planner'!$A$46="☑",25&lt;='Resource Planner'!$N$46),'Resource Planner'!$C$46,"")</f>
        <v/>
      </c>
      <c r="C1829" s="163" t="str">
        <f>IF(AND('Resource Planner'!$A$46="☑",25&lt;='Resource Planner'!$N$46),'Resource Planner'!$B$46,"")</f>
        <v/>
      </c>
      <c r="D1829" s="163" t="str">
        <f>IF(AND('Resource Planner'!$A$46="☑",25&lt;='Resource Planner'!$N$46),'Resource Planner'!$D$46,"")</f>
        <v/>
      </c>
      <c r="E1829" s="163" t="str">
        <f>IF(AND('Resource Planner'!$A$46="☑",25&lt;='Resource Planner'!$N$46),'Resource Planner'!$E$46,"")</f>
        <v/>
      </c>
      <c r="F1829" s="163" t="str">
        <f>IF(AND('Resource Planner'!$A$46="☑",25&lt;='Resource Planner'!$N$46),'Resource Planner'!$F$46&amp;" "&amp;('Resource Planner'!$G$46+(25-1)*'Resource Planner'!$I$46)&amp;IF(('Resource Planner'!$G$46+(25-1)*'Resource Planner'!$I$46)=MIN('Resource Planner'!$G$46+25*'Resource Planner'!$I$46-1,'Resource Planner'!$H$46),"","–"&amp;MIN('Resource Planner'!$G$46+25*'Resource Planner'!$I$46-1,'Resource Planner'!$H$46)),"")</f>
        <v/>
      </c>
      <c r="G1829" s="163" t="s">
        <v>109</v>
      </c>
      <c r="H1829" s="163" t="str">
        <f>IF(AND('Resource Planner'!$A$46="☑",25&lt;='Resource Planner'!$N$46),'Resource Planner'!$M$46,"")</f>
        <v/>
      </c>
    </row>
    <row r="1830" ht="15.75" customHeight="1">
      <c r="A18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0" s="163" t="str">
        <f>IF(AND('Resource Planner'!$A$46="☑",26&lt;='Resource Planner'!$N$46),'Resource Planner'!$C$46,"")</f>
        <v/>
      </c>
      <c r="C1830" s="163" t="str">
        <f>IF(AND('Resource Planner'!$A$46="☑",26&lt;='Resource Planner'!$N$46),'Resource Planner'!$B$46,"")</f>
        <v/>
      </c>
      <c r="D1830" s="163" t="str">
        <f>IF(AND('Resource Planner'!$A$46="☑",26&lt;='Resource Planner'!$N$46),'Resource Planner'!$D$46,"")</f>
        <v/>
      </c>
      <c r="E1830" s="163" t="str">
        <f>IF(AND('Resource Planner'!$A$46="☑",26&lt;='Resource Planner'!$N$46),'Resource Planner'!$E$46,"")</f>
        <v/>
      </c>
      <c r="F1830" s="163" t="str">
        <f>IF(AND('Resource Planner'!$A$46="☑",26&lt;='Resource Planner'!$N$46),'Resource Planner'!$F$46&amp;" "&amp;('Resource Planner'!$G$46+(26-1)*'Resource Planner'!$I$46)&amp;IF(('Resource Planner'!$G$46+(26-1)*'Resource Planner'!$I$46)=MIN('Resource Planner'!$G$46+26*'Resource Planner'!$I$46-1,'Resource Planner'!$H$46),"","–"&amp;MIN('Resource Planner'!$G$46+26*'Resource Planner'!$I$46-1,'Resource Planner'!$H$46)),"")</f>
        <v/>
      </c>
      <c r="G1830" s="163" t="s">
        <v>109</v>
      </c>
      <c r="H1830" s="163" t="str">
        <f>IF(AND('Resource Planner'!$A$46="☑",26&lt;='Resource Planner'!$N$46),'Resource Planner'!$M$46,"")</f>
        <v/>
      </c>
    </row>
    <row r="1831" ht="15.75" customHeight="1">
      <c r="A18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1" s="163" t="str">
        <f>IF(AND('Resource Planner'!$A$46="☑",27&lt;='Resource Planner'!$N$46),'Resource Planner'!$C$46,"")</f>
        <v/>
      </c>
      <c r="C1831" s="163" t="str">
        <f>IF(AND('Resource Planner'!$A$46="☑",27&lt;='Resource Planner'!$N$46),'Resource Planner'!$B$46,"")</f>
        <v/>
      </c>
      <c r="D1831" s="163" t="str">
        <f>IF(AND('Resource Planner'!$A$46="☑",27&lt;='Resource Planner'!$N$46),'Resource Planner'!$D$46,"")</f>
        <v/>
      </c>
      <c r="E1831" s="163" t="str">
        <f>IF(AND('Resource Planner'!$A$46="☑",27&lt;='Resource Planner'!$N$46),'Resource Planner'!$E$46,"")</f>
        <v/>
      </c>
      <c r="F1831" s="163" t="str">
        <f>IF(AND('Resource Planner'!$A$46="☑",27&lt;='Resource Planner'!$N$46),'Resource Planner'!$F$46&amp;" "&amp;('Resource Planner'!$G$46+(27-1)*'Resource Planner'!$I$46)&amp;IF(('Resource Planner'!$G$46+(27-1)*'Resource Planner'!$I$46)=MIN('Resource Planner'!$G$46+27*'Resource Planner'!$I$46-1,'Resource Planner'!$H$46),"","–"&amp;MIN('Resource Planner'!$G$46+27*'Resource Planner'!$I$46-1,'Resource Planner'!$H$46)),"")</f>
        <v/>
      </c>
      <c r="G1831" s="163" t="s">
        <v>109</v>
      </c>
      <c r="H1831" s="163" t="str">
        <f>IF(AND('Resource Planner'!$A$46="☑",27&lt;='Resource Planner'!$N$46),'Resource Planner'!$M$46,"")</f>
        <v/>
      </c>
    </row>
    <row r="1832" ht="15.75" customHeight="1">
      <c r="A18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2" s="163" t="str">
        <f>IF(AND('Resource Planner'!$A$46="☑",28&lt;='Resource Planner'!$N$46),'Resource Planner'!$C$46,"")</f>
        <v/>
      </c>
      <c r="C1832" s="163" t="str">
        <f>IF(AND('Resource Planner'!$A$46="☑",28&lt;='Resource Planner'!$N$46),'Resource Planner'!$B$46,"")</f>
        <v/>
      </c>
      <c r="D1832" s="163" t="str">
        <f>IF(AND('Resource Planner'!$A$46="☑",28&lt;='Resource Planner'!$N$46),'Resource Planner'!$D$46,"")</f>
        <v/>
      </c>
      <c r="E1832" s="163" t="str">
        <f>IF(AND('Resource Planner'!$A$46="☑",28&lt;='Resource Planner'!$N$46),'Resource Planner'!$E$46,"")</f>
        <v/>
      </c>
      <c r="F1832" s="163" t="str">
        <f>IF(AND('Resource Planner'!$A$46="☑",28&lt;='Resource Planner'!$N$46),'Resource Planner'!$F$46&amp;" "&amp;('Resource Planner'!$G$46+(28-1)*'Resource Planner'!$I$46)&amp;IF(('Resource Planner'!$G$46+(28-1)*'Resource Planner'!$I$46)=MIN('Resource Planner'!$G$46+28*'Resource Planner'!$I$46-1,'Resource Planner'!$H$46),"","–"&amp;MIN('Resource Planner'!$G$46+28*'Resource Planner'!$I$46-1,'Resource Planner'!$H$46)),"")</f>
        <v/>
      </c>
      <c r="G1832" s="163" t="s">
        <v>109</v>
      </c>
      <c r="H1832" s="163" t="str">
        <f>IF(AND('Resource Planner'!$A$46="☑",28&lt;='Resource Planner'!$N$46),'Resource Planner'!$M$46,"")</f>
        <v/>
      </c>
    </row>
    <row r="1833" ht="15.75" customHeight="1">
      <c r="A18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3" s="163" t="str">
        <f>IF(AND('Resource Planner'!$A$46="☑",29&lt;='Resource Planner'!$N$46),'Resource Planner'!$C$46,"")</f>
        <v/>
      </c>
      <c r="C1833" s="163" t="str">
        <f>IF(AND('Resource Planner'!$A$46="☑",29&lt;='Resource Planner'!$N$46),'Resource Planner'!$B$46,"")</f>
        <v/>
      </c>
      <c r="D1833" s="163" t="str">
        <f>IF(AND('Resource Planner'!$A$46="☑",29&lt;='Resource Planner'!$N$46),'Resource Planner'!$D$46,"")</f>
        <v/>
      </c>
      <c r="E1833" s="163" t="str">
        <f>IF(AND('Resource Planner'!$A$46="☑",29&lt;='Resource Planner'!$N$46),'Resource Planner'!$E$46,"")</f>
        <v/>
      </c>
      <c r="F1833" s="163" t="str">
        <f>IF(AND('Resource Planner'!$A$46="☑",29&lt;='Resource Planner'!$N$46),'Resource Planner'!$F$46&amp;" "&amp;('Resource Planner'!$G$46+(29-1)*'Resource Planner'!$I$46)&amp;IF(('Resource Planner'!$G$46+(29-1)*'Resource Planner'!$I$46)=MIN('Resource Planner'!$G$46+29*'Resource Planner'!$I$46-1,'Resource Planner'!$H$46),"","–"&amp;MIN('Resource Planner'!$G$46+29*'Resource Planner'!$I$46-1,'Resource Planner'!$H$46)),"")</f>
        <v/>
      </c>
      <c r="G1833" s="163" t="s">
        <v>109</v>
      </c>
      <c r="H1833" s="163" t="str">
        <f>IF(AND('Resource Planner'!$A$46="☑",29&lt;='Resource Planner'!$N$46),'Resource Planner'!$M$46,"")</f>
        <v/>
      </c>
    </row>
    <row r="1834" ht="15.75" customHeight="1">
      <c r="A18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4" s="163" t="str">
        <f>IF(AND('Resource Planner'!$A$46="☑",30&lt;='Resource Planner'!$N$46),'Resource Planner'!$C$46,"")</f>
        <v/>
      </c>
      <c r="C1834" s="163" t="str">
        <f>IF(AND('Resource Planner'!$A$46="☑",30&lt;='Resource Planner'!$N$46),'Resource Planner'!$B$46,"")</f>
        <v/>
      </c>
      <c r="D1834" s="163" t="str">
        <f>IF(AND('Resource Planner'!$A$46="☑",30&lt;='Resource Planner'!$N$46),'Resource Planner'!$D$46,"")</f>
        <v/>
      </c>
      <c r="E1834" s="163" t="str">
        <f>IF(AND('Resource Planner'!$A$46="☑",30&lt;='Resource Planner'!$N$46),'Resource Planner'!$E$46,"")</f>
        <v/>
      </c>
      <c r="F1834" s="163" t="str">
        <f>IF(AND('Resource Planner'!$A$46="☑",30&lt;='Resource Planner'!$N$46),'Resource Planner'!$F$46&amp;" "&amp;('Resource Planner'!$G$46+(30-1)*'Resource Planner'!$I$46)&amp;IF(('Resource Planner'!$G$46+(30-1)*'Resource Planner'!$I$46)=MIN('Resource Planner'!$G$46+30*'Resource Planner'!$I$46-1,'Resource Planner'!$H$46),"","–"&amp;MIN('Resource Planner'!$G$46+30*'Resource Planner'!$I$46-1,'Resource Planner'!$H$46)),"")</f>
        <v/>
      </c>
      <c r="G1834" s="163" t="s">
        <v>109</v>
      </c>
      <c r="H1834" s="163" t="str">
        <f>IF(AND('Resource Planner'!$A$46="☑",30&lt;='Resource Planner'!$N$46),'Resource Planner'!$M$46,"")</f>
        <v/>
      </c>
    </row>
    <row r="1835" ht="15.75" customHeight="1">
      <c r="A18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5" s="163" t="str">
        <f>IF(AND('Resource Planner'!$A$46="☑",31&lt;='Resource Planner'!$N$46),'Resource Planner'!$C$46,"")</f>
        <v/>
      </c>
      <c r="C1835" s="163" t="str">
        <f>IF(AND('Resource Planner'!$A$46="☑",31&lt;='Resource Planner'!$N$46),'Resource Planner'!$B$46,"")</f>
        <v/>
      </c>
      <c r="D1835" s="163" t="str">
        <f>IF(AND('Resource Planner'!$A$46="☑",31&lt;='Resource Planner'!$N$46),'Resource Planner'!$D$46,"")</f>
        <v/>
      </c>
      <c r="E1835" s="163" t="str">
        <f>IF(AND('Resource Planner'!$A$46="☑",31&lt;='Resource Planner'!$N$46),'Resource Planner'!$E$46,"")</f>
        <v/>
      </c>
      <c r="F1835" s="163" t="str">
        <f>IF(AND('Resource Planner'!$A$46="☑",31&lt;='Resource Planner'!$N$46),'Resource Planner'!$F$46&amp;" "&amp;('Resource Planner'!$G$46+(31-1)*'Resource Planner'!$I$46)&amp;IF(('Resource Planner'!$G$46+(31-1)*'Resource Planner'!$I$46)=MIN('Resource Planner'!$G$46+31*'Resource Planner'!$I$46-1,'Resource Planner'!$H$46),"","–"&amp;MIN('Resource Planner'!$G$46+31*'Resource Planner'!$I$46-1,'Resource Planner'!$H$46)),"")</f>
        <v/>
      </c>
      <c r="G1835" s="163" t="s">
        <v>109</v>
      </c>
      <c r="H1835" s="163" t="str">
        <f>IF(AND('Resource Planner'!$A$46="☑",31&lt;='Resource Planner'!$N$46),'Resource Planner'!$M$46,"")</f>
        <v/>
      </c>
    </row>
    <row r="1836" ht="15.75" customHeight="1">
      <c r="A18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6" s="163" t="str">
        <f>IF(AND('Resource Planner'!$A$46="☑",32&lt;='Resource Planner'!$N$46),'Resource Planner'!$C$46,"")</f>
        <v/>
      </c>
      <c r="C1836" s="163" t="str">
        <f>IF(AND('Resource Planner'!$A$46="☑",32&lt;='Resource Planner'!$N$46),'Resource Planner'!$B$46,"")</f>
        <v/>
      </c>
      <c r="D1836" s="163" t="str">
        <f>IF(AND('Resource Planner'!$A$46="☑",32&lt;='Resource Planner'!$N$46),'Resource Planner'!$D$46,"")</f>
        <v/>
      </c>
      <c r="E1836" s="163" t="str">
        <f>IF(AND('Resource Planner'!$A$46="☑",32&lt;='Resource Planner'!$N$46),'Resource Planner'!$E$46,"")</f>
        <v/>
      </c>
      <c r="F1836" s="163" t="str">
        <f>IF(AND('Resource Planner'!$A$46="☑",32&lt;='Resource Planner'!$N$46),'Resource Planner'!$F$46&amp;" "&amp;('Resource Planner'!$G$46+(32-1)*'Resource Planner'!$I$46)&amp;IF(('Resource Planner'!$G$46+(32-1)*'Resource Planner'!$I$46)=MIN('Resource Planner'!$G$46+32*'Resource Planner'!$I$46-1,'Resource Planner'!$H$46),"","–"&amp;MIN('Resource Planner'!$G$46+32*'Resource Planner'!$I$46-1,'Resource Planner'!$H$46)),"")</f>
        <v/>
      </c>
      <c r="G1836" s="163" t="s">
        <v>109</v>
      </c>
      <c r="H1836" s="163" t="str">
        <f>IF(AND('Resource Planner'!$A$46="☑",32&lt;='Resource Planner'!$N$46),'Resource Planner'!$M$46,"")</f>
        <v/>
      </c>
    </row>
    <row r="1837" ht="15.75" customHeight="1">
      <c r="A18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7" s="163" t="str">
        <f>IF(AND('Resource Planner'!$A$46="☑",33&lt;='Resource Planner'!$N$46),'Resource Planner'!$C$46,"")</f>
        <v/>
      </c>
      <c r="C1837" s="163" t="str">
        <f>IF(AND('Resource Planner'!$A$46="☑",33&lt;='Resource Planner'!$N$46),'Resource Planner'!$B$46,"")</f>
        <v/>
      </c>
      <c r="D1837" s="163" t="str">
        <f>IF(AND('Resource Planner'!$A$46="☑",33&lt;='Resource Planner'!$N$46),'Resource Planner'!$D$46,"")</f>
        <v/>
      </c>
      <c r="E1837" s="163" t="str">
        <f>IF(AND('Resource Planner'!$A$46="☑",33&lt;='Resource Planner'!$N$46),'Resource Planner'!$E$46,"")</f>
        <v/>
      </c>
      <c r="F1837" s="163" t="str">
        <f>IF(AND('Resource Planner'!$A$46="☑",33&lt;='Resource Planner'!$N$46),'Resource Planner'!$F$46&amp;" "&amp;('Resource Planner'!$G$46+(33-1)*'Resource Planner'!$I$46)&amp;IF(('Resource Planner'!$G$46+(33-1)*'Resource Planner'!$I$46)=MIN('Resource Planner'!$G$46+33*'Resource Planner'!$I$46-1,'Resource Planner'!$H$46),"","–"&amp;MIN('Resource Planner'!$G$46+33*'Resource Planner'!$I$46-1,'Resource Planner'!$H$46)),"")</f>
        <v/>
      </c>
      <c r="G1837" s="163" t="s">
        <v>109</v>
      </c>
      <c r="H1837" s="163" t="str">
        <f>IF(AND('Resource Planner'!$A$46="☑",33&lt;='Resource Planner'!$N$46),'Resource Planner'!$M$46,"")</f>
        <v/>
      </c>
    </row>
    <row r="1838" ht="15.75" customHeight="1">
      <c r="A18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8" s="163" t="str">
        <f>IF(AND('Resource Planner'!$A$46="☑",34&lt;='Resource Planner'!$N$46),'Resource Planner'!$C$46,"")</f>
        <v/>
      </c>
      <c r="C1838" s="163" t="str">
        <f>IF(AND('Resource Planner'!$A$46="☑",34&lt;='Resource Planner'!$N$46),'Resource Planner'!$B$46,"")</f>
        <v/>
      </c>
      <c r="D1838" s="163" t="str">
        <f>IF(AND('Resource Planner'!$A$46="☑",34&lt;='Resource Planner'!$N$46),'Resource Planner'!$D$46,"")</f>
        <v/>
      </c>
      <c r="E1838" s="163" t="str">
        <f>IF(AND('Resource Planner'!$A$46="☑",34&lt;='Resource Planner'!$N$46),'Resource Planner'!$E$46,"")</f>
        <v/>
      </c>
      <c r="F1838" s="163" t="str">
        <f>IF(AND('Resource Planner'!$A$46="☑",34&lt;='Resource Planner'!$N$46),'Resource Planner'!$F$46&amp;" "&amp;('Resource Planner'!$G$46+(34-1)*'Resource Planner'!$I$46)&amp;IF(('Resource Planner'!$G$46+(34-1)*'Resource Planner'!$I$46)=MIN('Resource Planner'!$G$46+34*'Resource Planner'!$I$46-1,'Resource Planner'!$H$46),"","–"&amp;MIN('Resource Planner'!$G$46+34*'Resource Planner'!$I$46-1,'Resource Planner'!$H$46)),"")</f>
        <v/>
      </c>
      <c r="G1838" s="163" t="s">
        <v>109</v>
      </c>
      <c r="H1838" s="163" t="str">
        <f>IF(AND('Resource Planner'!$A$46="☑",34&lt;='Resource Planner'!$N$46),'Resource Planner'!$M$46,"")</f>
        <v/>
      </c>
    </row>
    <row r="1839" ht="15.75" customHeight="1">
      <c r="A18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39" s="163" t="str">
        <f>IF(AND('Resource Planner'!$A$46="☑",35&lt;='Resource Planner'!$N$46),'Resource Planner'!$C$46,"")</f>
        <v/>
      </c>
      <c r="C1839" s="163" t="str">
        <f>IF(AND('Resource Planner'!$A$46="☑",35&lt;='Resource Planner'!$N$46),'Resource Planner'!$B$46,"")</f>
        <v/>
      </c>
      <c r="D1839" s="163" t="str">
        <f>IF(AND('Resource Planner'!$A$46="☑",35&lt;='Resource Planner'!$N$46),'Resource Planner'!$D$46,"")</f>
        <v/>
      </c>
      <c r="E1839" s="163" t="str">
        <f>IF(AND('Resource Planner'!$A$46="☑",35&lt;='Resource Planner'!$N$46),'Resource Planner'!$E$46,"")</f>
        <v/>
      </c>
      <c r="F1839" s="163" t="str">
        <f>IF(AND('Resource Planner'!$A$46="☑",35&lt;='Resource Planner'!$N$46),'Resource Planner'!$F$46&amp;" "&amp;('Resource Planner'!$G$46+(35-1)*'Resource Planner'!$I$46)&amp;IF(('Resource Planner'!$G$46+(35-1)*'Resource Planner'!$I$46)=MIN('Resource Planner'!$G$46+35*'Resource Planner'!$I$46-1,'Resource Planner'!$H$46),"","–"&amp;MIN('Resource Planner'!$G$46+35*'Resource Planner'!$I$46-1,'Resource Planner'!$H$46)),"")</f>
        <v/>
      </c>
      <c r="G1839" s="163" t="s">
        <v>109</v>
      </c>
      <c r="H1839" s="163" t="str">
        <f>IF(AND('Resource Planner'!$A$46="☑",35&lt;='Resource Planner'!$N$46),'Resource Planner'!$M$46,"")</f>
        <v/>
      </c>
    </row>
    <row r="1840" ht="15.75" customHeight="1">
      <c r="A18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0" s="163" t="str">
        <f>IF(AND('Resource Planner'!$A$46="☑",36&lt;='Resource Planner'!$N$46),'Resource Planner'!$C$46,"")</f>
        <v/>
      </c>
      <c r="C1840" s="163" t="str">
        <f>IF(AND('Resource Planner'!$A$46="☑",36&lt;='Resource Planner'!$N$46),'Resource Planner'!$B$46,"")</f>
        <v/>
      </c>
      <c r="D1840" s="163" t="str">
        <f>IF(AND('Resource Planner'!$A$46="☑",36&lt;='Resource Planner'!$N$46),'Resource Planner'!$D$46,"")</f>
        <v/>
      </c>
      <c r="E1840" s="163" t="str">
        <f>IF(AND('Resource Planner'!$A$46="☑",36&lt;='Resource Planner'!$N$46),'Resource Planner'!$E$46,"")</f>
        <v/>
      </c>
      <c r="F1840" s="163" t="str">
        <f>IF(AND('Resource Planner'!$A$46="☑",36&lt;='Resource Planner'!$N$46),'Resource Planner'!$F$46&amp;" "&amp;('Resource Planner'!$G$46+(36-1)*'Resource Planner'!$I$46)&amp;IF(('Resource Planner'!$G$46+(36-1)*'Resource Planner'!$I$46)=MIN('Resource Planner'!$G$46+36*'Resource Planner'!$I$46-1,'Resource Planner'!$H$46),"","–"&amp;MIN('Resource Planner'!$G$46+36*'Resource Planner'!$I$46-1,'Resource Planner'!$H$46)),"")</f>
        <v/>
      </c>
      <c r="G1840" s="163" t="s">
        <v>109</v>
      </c>
      <c r="H1840" s="163" t="str">
        <f>IF(AND('Resource Planner'!$A$46="☑",36&lt;='Resource Planner'!$N$46),'Resource Planner'!$M$46,"")</f>
        <v/>
      </c>
    </row>
    <row r="1841" ht="15.75" customHeight="1">
      <c r="A18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1" s="163" t="str">
        <f>IF(AND('Resource Planner'!$A$46="☑",37&lt;='Resource Planner'!$N$46),'Resource Planner'!$C$46,"")</f>
        <v/>
      </c>
      <c r="C1841" s="163" t="str">
        <f>IF(AND('Resource Planner'!$A$46="☑",37&lt;='Resource Planner'!$N$46),'Resource Planner'!$B$46,"")</f>
        <v/>
      </c>
      <c r="D1841" s="163" t="str">
        <f>IF(AND('Resource Planner'!$A$46="☑",37&lt;='Resource Planner'!$N$46),'Resource Planner'!$D$46,"")</f>
        <v/>
      </c>
      <c r="E1841" s="163" t="str">
        <f>IF(AND('Resource Planner'!$A$46="☑",37&lt;='Resource Planner'!$N$46),'Resource Planner'!$E$46,"")</f>
        <v/>
      </c>
      <c r="F1841" s="163" t="str">
        <f>IF(AND('Resource Planner'!$A$46="☑",37&lt;='Resource Planner'!$N$46),'Resource Planner'!$F$46&amp;" "&amp;('Resource Planner'!$G$46+(37-1)*'Resource Planner'!$I$46)&amp;IF(('Resource Planner'!$G$46+(37-1)*'Resource Planner'!$I$46)=MIN('Resource Planner'!$G$46+37*'Resource Planner'!$I$46-1,'Resource Planner'!$H$46),"","–"&amp;MIN('Resource Planner'!$G$46+37*'Resource Planner'!$I$46-1,'Resource Planner'!$H$46)),"")</f>
        <v/>
      </c>
      <c r="G1841" s="163" t="s">
        <v>109</v>
      </c>
      <c r="H1841" s="163" t="str">
        <f>IF(AND('Resource Planner'!$A$46="☑",37&lt;='Resource Planner'!$N$46),'Resource Planner'!$M$46,"")</f>
        <v/>
      </c>
    </row>
    <row r="1842" ht="15.75" customHeight="1">
      <c r="A18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2" s="163" t="str">
        <f>IF(AND('Resource Planner'!$A$46="☑",38&lt;='Resource Planner'!$N$46),'Resource Planner'!$C$46,"")</f>
        <v/>
      </c>
      <c r="C1842" s="163" t="str">
        <f>IF(AND('Resource Planner'!$A$46="☑",38&lt;='Resource Planner'!$N$46),'Resource Planner'!$B$46,"")</f>
        <v/>
      </c>
      <c r="D1842" s="163" t="str">
        <f>IF(AND('Resource Planner'!$A$46="☑",38&lt;='Resource Planner'!$N$46),'Resource Planner'!$D$46,"")</f>
        <v/>
      </c>
      <c r="E1842" s="163" t="str">
        <f>IF(AND('Resource Planner'!$A$46="☑",38&lt;='Resource Planner'!$N$46),'Resource Planner'!$E$46,"")</f>
        <v/>
      </c>
      <c r="F1842" s="163" t="str">
        <f>IF(AND('Resource Planner'!$A$46="☑",38&lt;='Resource Planner'!$N$46),'Resource Planner'!$F$46&amp;" "&amp;('Resource Planner'!$G$46+(38-1)*'Resource Planner'!$I$46)&amp;IF(('Resource Planner'!$G$46+(38-1)*'Resource Planner'!$I$46)=MIN('Resource Planner'!$G$46+38*'Resource Planner'!$I$46-1,'Resource Planner'!$H$46),"","–"&amp;MIN('Resource Planner'!$G$46+38*'Resource Planner'!$I$46-1,'Resource Planner'!$H$46)),"")</f>
        <v/>
      </c>
      <c r="G1842" s="163" t="s">
        <v>109</v>
      </c>
      <c r="H1842" s="163" t="str">
        <f>IF(AND('Resource Planner'!$A$46="☑",38&lt;='Resource Planner'!$N$46),'Resource Planner'!$M$46,"")</f>
        <v/>
      </c>
    </row>
    <row r="1843" ht="15.75" customHeight="1">
      <c r="A18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3" s="163" t="str">
        <f>IF(AND('Resource Planner'!$A$46="☑",39&lt;='Resource Planner'!$N$46),'Resource Planner'!$C$46,"")</f>
        <v/>
      </c>
      <c r="C1843" s="163" t="str">
        <f>IF(AND('Resource Planner'!$A$46="☑",39&lt;='Resource Planner'!$N$46),'Resource Planner'!$B$46,"")</f>
        <v/>
      </c>
      <c r="D1843" s="163" t="str">
        <f>IF(AND('Resource Planner'!$A$46="☑",39&lt;='Resource Planner'!$N$46),'Resource Planner'!$D$46,"")</f>
        <v/>
      </c>
      <c r="E1843" s="163" t="str">
        <f>IF(AND('Resource Planner'!$A$46="☑",39&lt;='Resource Planner'!$N$46),'Resource Planner'!$E$46,"")</f>
        <v/>
      </c>
      <c r="F1843" s="163" t="str">
        <f>IF(AND('Resource Planner'!$A$46="☑",39&lt;='Resource Planner'!$N$46),'Resource Planner'!$F$46&amp;" "&amp;('Resource Planner'!$G$46+(39-1)*'Resource Planner'!$I$46)&amp;IF(('Resource Planner'!$G$46+(39-1)*'Resource Planner'!$I$46)=MIN('Resource Planner'!$G$46+39*'Resource Planner'!$I$46-1,'Resource Planner'!$H$46),"","–"&amp;MIN('Resource Planner'!$G$46+39*'Resource Planner'!$I$46-1,'Resource Planner'!$H$46)),"")</f>
        <v/>
      </c>
      <c r="G1843" s="163" t="s">
        <v>109</v>
      </c>
      <c r="H1843" s="163" t="str">
        <f>IF(AND('Resource Planner'!$A$46="☑",39&lt;='Resource Planner'!$N$46),'Resource Planner'!$M$46,"")</f>
        <v/>
      </c>
    </row>
    <row r="1844" ht="15.75" customHeight="1">
      <c r="A18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4" s="163" t="str">
        <f>IF(AND('Resource Planner'!$A$46="☑",40&lt;='Resource Planner'!$N$46),'Resource Planner'!$C$46,"")</f>
        <v/>
      </c>
      <c r="C1844" s="163" t="str">
        <f>IF(AND('Resource Planner'!$A$46="☑",40&lt;='Resource Planner'!$N$46),'Resource Planner'!$B$46,"")</f>
        <v/>
      </c>
      <c r="D1844" s="163" t="str">
        <f>IF(AND('Resource Planner'!$A$46="☑",40&lt;='Resource Planner'!$N$46),'Resource Planner'!$D$46,"")</f>
        <v/>
      </c>
      <c r="E1844" s="163" t="str">
        <f>IF(AND('Resource Planner'!$A$46="☑",40&lt;='Resource Planner'!$N$46),'Resource Planner'!$E$46,"")</f>
        <v/>
      </c>
      <c r="F1844" s="163" t="str">
        <f>IF(AND('Resource Planner'!$A$46="☑",40&lt;='Resource Planner'!$N$46),'Resource Planner'!$F$46&amp;" "&amp;('Resource Planner'!$G$46+(40-1)*'Resource Planner'!$I$46)&amp;IF(('Resource Planner'!$G$46+(40-1)*'Resource Planner'!$I$46)=MIN('Resource Planner'!$G$46+40*'Resource Planner'!$I$46-1,'Resource Planner'!$H$46),"","–"&amp;MIN('Resource Planner'!$G$46+40*'Resource Planner'!$I$46-1,'Resource Planner'!$H$46)),"")</f>
        <v/>
      </c>
      <c r="G1844" s="163" t="s">
        <v>109</v>
      </c>
      <c r="H1844" s="163" t="str">
        <f>IF(AND('Resource Planner'!$A$46="☑",40&lt;='Resource Planner'!$N$46),'Resource Planner'!$M$46,"")</f>
        <v/>
      </c>
    </row>
    <row r="1845" ht="15.75" customHeight="1">
      <c r="A18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5" s="163" t="str">
        <f>IF(AND('Resource Planner'!$A$46="☑",41&lt;='Resource Planner'!$N$46),'Resource Planner'!$C$46,"")</f>
        <v/>
      </c>
      <c r="C1845" s="163" t="str">
        <f>IF(AND('Resource Planner'!$A$46="☑",41&lt;='Resource Planner'!$N$46),'Resource Planner'!$B$46,"")</f>
        <v/>
      </c>
      <c r="D1845" s="163" t="str">
        <f>IF(AND('Resource Planner'!$A$46="☑",41&lt;='Resource Planner'!$N$46),'Resource Planner'!$D$46,"")</f>
        <v/>
      </c>
      <c r="E1845" s="163" t="str">
        <f>IF(AND('Resource Planner'!$A$46="☑",41&lt;='Resource Planner'!$N$46),'Resource Planner'!$E$46,"")</f>
        <v/>
      </c>
      <c r="F1845" s="163" t="str">
        <f>IF(AND('Resource Planner'!$A$46="☑",41&lt;='Resource Planner'!$N$46),'Resource Planner'!$F$46&amp;" "&amp;('Resource Planner'!$G$46+(41-1)*'Resource Planner'!$I$46)&amp;IF(('Resource Planner'!$G$46+(41-1)*'Resource Planner'!$I$46)=MIN('Resource Planner'!$G$46+41*'Resource Planner'!$I$46-1,'Resource Planner'!$H$46),"","–"&amp;MIN('Resource Planner'!$G$46+41*'Resource Planner'!$I$46-1,'Resource Planner'!$H$46)),"")</f>
        <v/>
      </c>
      <c r="G1845" s="163" t="s">
        <v>109</v>
      </c>
      <c r="H1845" s="163" t="str">
        <f>IF(AND('Resource Planner'!$A$46="☑",41&lt;='Resource Planner'!$N$46),'Resource Planner'!$M$46,"")</f>
        <v/>
      </c>
    </row>
    <row r="1846" ht="15.75" customHeight="1">
      <c r="A18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6" s="163" t="str">
        <f>IF(AND('Resource Planner'!$A$46="☑",42&lt;='Resource Planner'!$N$46),'Resource Planner'!$C$46,"")</f>
        <v/>
      </c>
      <c r="C1846" s="163" t="str">
        <f>IF(AND('Resource Planner'!$A$46="☑",42&lt;='Resource Planner'!$N$46),'Resource Planner'!$B$46,"")</f>
        <v/>
      </c>
      <c r="D1846" s="163" t="str">
        <f>IF(AND('Resource Planner'!$A$46="☑",42&lt;='Resource Planner'!$N$46),'Resource Planner'!$D$46,"")</f>
        <v/>
      </c>
      <c r="E1846" s="163" t="str">
        <f>IF(AND('Resource Planner'!$A$46="☑",42&lt;='Resource Planner'!$N$46),'Resource Planner'!$E$46,"")</f>
        <v/>
      </c>
      <c r="F1846" s="163" t="str">
        <f>IF(AND('Resource Planner'!$A$46="☑",42&lt;='Resource Planner'!$N$46),'Resource Planner'!$F$46&amp;" "&amp;('Resource Planner'!$G$46+(42-1)*'Resource Planner'!$I$46)&amp;IF(('Resource Planner'!$G$46+(42-1)*'Resource Planner'!$I$46)=MIN('Resource Planner'!$G$46+42*'Resource Planner'!$I$46-1,'Resource Planner'!$H$46),"","–"&amp;MIN('Resource Planner'!$G$46+42*'Resource Planner'!$I$46-1,'Resource Planner'!$H$46)),"")</f>
        <v/>
      </c>
      <c r="G1846" s="163" t="s">
        <v>109</v>
      </c>
      <c r="H1846" s="163" t="str">
        <f>IF(AND('Resource Planner'!$A$46="☑",42&lt;='Resource Planner'!$N$46),'Resource Planner'!$M$46,"")</f>
        <v/>
      </c>
    </row>
    <row r="1847" ht="15.75" customHeight="1">
      <c r="A18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7" s="163" t="str">
        <f>IF(AND('Resource Planner'!$A$46="☑",43&lt;='Resource Planner'!$N$46),'Resource Planner'!$C$46,"")</f>
        <v/>
      </c>
      <c r="C1847" s="163" t="str">
        <f>IF(AND('Resource Planner'!$A$46="☑",43&lt;='Resource Planner'!$N$46),'Resource Planner'!$B$46,"")</f>
        <v/>
      </c>
      <c r="D1847" s="163" t="str">
        <f>IF(AND('Resource Planner'!$A$46="☑",43&lt;='Resource Planner'!$N$46),'Resource Planner'!$D$46,"")</f>
        <v/>
      </c>
      <c r="E1847" s="163" t="str">
        <f>IF(AND('Resource Planner'!$A$46="☑",43&lt;='Resource Planner'!$N$46),'Resource Planner'!$E$46,"")</f>
        <v/>
      </c>
      <c r="F1847" s="163" t="str">
        <f>IF(AND('Resource Planner'!$A$46="☑",43&lt;='Resource Planner'!$N$46),'Resource Planner'!$F$46&amp;" "&amp;('Resource Planner'!$G$46+(43-1)*'Resource Planner'!$I$46)&amp;IF(('Resource Planner'!$G$46+(43-1)*'Resource Planner'!$I$46)=MIN('Resource Planner'!$G$46+43*'Resource Planner'!$I$46-1,'Resource Planner'!$H$46),"","–"&amp;MIN('Resource Planner'!$G$46+43*'Resource Planner'!$I$46-1,'Resource Planner'!$H$46)),"")</f>
        <v/>
      </c>
      <c r="G1847" s="163" t="s">
        <v>109</v>
      </c>
      <c r="H1847" s="163" t="str">
        <f>IF(AND('Resource Planner'!$A$46="☑",43&lt;='Resource Planner'!$N$46),'Resource Planner'!$M$46,"")</f>
        <v/>
      </c>
    </row>
    <row r="1848" ht="15.75" customHeight="1">
      <c r="A18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8" s="163" t="str">
        <f>IF(AND('Resource Planner'!$A$46="☑",44&lt;='Resource Planner'!$N$46),'Resource Planner'!$C$46,"")</f>
        <v/>
      </c>
      <c r="C1848" s="163" t="str">
        <f>IF(AND('Resource Planner'!$A$46="☑",44&lt;='Resource Planner'!$N$46),'Resource Planner'!$B$46,"")</f>
        <v/>
      </c>
      <c r="D1848" s="163" t="str">
        <f>IF(AND('Resource Planner'!$A$46="☑",44&lt;='Resource Planner'!$N$46),'Resource Planner'!$D$46,"")</f>
        <v/>
      </c>
      <c r="E1848" s="163" t="str">
        <f>IF(AND('Resource Planner'!$A$46="☑",44&lt;='Resource Planner'!$N$46),'Resource Planner'!$E$46,"")</f>
        <v/>
      </c>
      <c r="F1848" s="163" t="str">
        <f>IF(AND('Resource Planner'!$A$46="☑",44&lt;='Resource Planner'!$N$46),'Resource Planner'!$F$46&amp;" "&amp;('Resource Planner'!$G$46+(44-1)*'Resource Planner'!$I$46)&amp;IF(('Resource Planner'!$G$46+(44-1)*'Resource Planner'!$I$46)=MIN('Resource Planner'!$G$46+44*'Resource Planner'!$I$46-1,'Resource Planner'!$H$46),"","–"&amp;MIN('Resource Planner'!$G$46+44*'Resource Planner'!$I$46-1,'Resource Planner'!$H$46)),"")</f>
        <v/>
      </c>
      <c r="G1848" s="163" t="s">
        <v>109</v>
      </c>
      <c r="H1848" s="163" t="str">
        <f>IF(AND('Resource Planner'!$A$46="☑",44&lt;='Resource Planner'!$N$46),'Resource Planner'!$M$46,"")</f>
        <v/>
      </c>
    </row>
    <row r="1849" ht="15.75" customHeight="1">
      <c r="A18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49" s="163" t="str">
        <f>IF(AND('Resource Planner'!$A$46="☑",45&lt;='Resource Planner'!$N$46),'Resource Planner'!$C$46,"")</f>
        <v/>
      </c>
      <c r="C1849" s="163" t="str">
        <f>IF(AND('Resource Planner'!$A$46="☑",45&lt;='Resource Planner'!$N$46),'Resource Planner'!$B$46,"")</f>
        <v/>
      </c>
      <c r="D1849" s="163" t="str">
        <f>IF(AND('Resource Planner'!$A$46="☑",45&lt;='Resource Planner'!$N$46),'Resource Planner'!$D$46,"")</f>
        <v/>
      </c>
      <c r="E1849" s="163" t="str">
        <f>IF(AND('Resource Planner'!$A$46="☑",45&lt;='Resource Planner'!$N$46),'Resource Planner'!$E$46,"")</f>
        <v/>
      </c>
      <c r="F1849" s="163" t="str">
        <f>IF(AND('Resource Planner'!$A$46="☑",45&lt;='Resource Planner'!$N$46),'Resource Planner'!$F$46&amp;" "&amp;('Resource Planner'!$G$46+(45-1)*'Resource Planner'!$I$46)&amp;IF(('Resource Planner'!$G$46+(45-1)*'Resource Planner'!$I$46)=MIN('Resource Planner'!$G$46+45*'Resource Planner'!$I$46-1,'Resource Planner'!$H$46),"","–"&amp;MIN('Resource Planner'!$G$46+45*'Resource Planner'!$I$46-1,'Resource Planner'!$H$46)),"")</f>
        <v/>
      </c>
      <c r="G1849" s="163" t="s">
        <v>109</v>
      </c>
      <c r="H1849" s="163" t="str">
        <f>IF(AND('Resource Planner'!$A$46="☑",45&lt;='Resource Planner'!$N$46),'Resource Planner'!$M$46,"")</f>
        <v/>
      </c>
    </row>
    <row r="1850" ht="15.75" customHeight="1">
      <c r="A18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0" s="163" t="str">
        <f>IF(AND('Resource Planner'!$A$46="☑",46&lt;='Resource Planner'!$N$46),'Resource Planner'!$C$46,"")</f>
        <v/>
      </c>
      <c r="C1850" s="163" t="str">
        <f>IF(AND('Resource Planner'!$A$46="☑",46&lt;='Resource Planner'!$N$46),'Resource Planner'!$B$46,"")</f>
        <v/>
      </c>
      <c r="D1850" s="163" t="str">
        <f>IF(AND('Resource Planner'!$A$46="☑",46&lt;='Resource Planner'!$N$46),'Resource Planner'!$D$46,"")</f>
        <v/>
      </c>
      <c r="E1850" s="163" t="str">
        <f>IF(AND('Resource Planner'!$A$46="☑",46&lt;='Resource Planner'!$N$46),'Resource Planner'!$E$46,"")</f>
        <v/>
      </c>
      <c r="F1850" s="163" t="str">
        <f>IF(AND('Resource Planner'!$A$46="☑",46&lt;='Resource Planner'!$N$46),'Resource Planner'!$F$46&amp;" "&amp;('Resource Planner'!$G$46+(46-1)*'Resource Planner'!$I$46)&amp;IF(('Resource Planner'!$G$46+(46-1)*'Resource Planner'!$I$46)=MIN('Resource Planner'!$G$46+46*'Resource Planner'!$I$46-1,'Resource Planner'!$H$46),"","–"&amp;MIN('Resource Planner'!$G$46+46*'Resource Planner'!$I$46-1,'Resource Planner'!$H$46)),"")</f>
        <v/>
      </c>
      <c r="G1850" s="163" t="s">
        <v>109</v>
      </c>
      <c r="H1850" s="163" t="str">
        <f>IF(AND('Resource Planner'!$A$46="☑",46&lt;='Resource Planner'!$N$46),'Resource Planner'!$M$46,"")</f>
        <v/>
      </c>
    </row>
    <row r="1851" ht="15.75" customHeight="1">
      <c r="A18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1" s="163" t="str">
        <f>IF(AND('Resource Planner'!$A$46="☑",47&lt;='Resource Planner'!$N$46),'Resource Planner'!$C$46,"")</f>
        <v/>
      </c>
      <c r="C1851" s="163" t="str">
        <f>IF(AND('Resource Planner'!$A$46="☑",47&lt;='Resource Planner'!$N$46),'Resource Planner'!$B$46,"")</f>
        <v/>
      </c>
      <c r="D1851" s="163" t="str">
        <f>IF(AND('Resource Planner'!$A$46="☑",47&lt;='Resource Planner'!$N$46),'Resource Planner'!$D$46,"")</f>
        <v/>
      </c>
      <c r="E1851" s="163" t="str">
        <f>IF(AND('Resource Planner'!$A$46="☑",47&lt;='Resource Planner'!$N$46),'Resource Planner'!$E$46,"")</f>
        <v/>
      </c>
      <c r="F1851" s="163" t="str">
        <f>IF(AND('Resource Planner'!$A$46="☑",47&lt;='Resource Planner'!$N$46),'Resource Planner'!$F$46&amp;" "&amp;('Resource Planner'!$G$46+(47-1)*'Resource Planner'!$I$46)&amp;IF(('Resource Planner'!$G$46+(47-1)*'Resource Planner'!$I$46)=MIN('Resource Planner'!$G$46+47*'Resource Planner'!$I$46-1,'Resource Planner'!$H$46),"","–"&amp;MIN('Resource Planner'!$G$46+47*'Resource Planner'!$I$46-1,'Resource Planner'!$H$46)),"")</f>
        <v/>
      </c>
      <c r="G1851" s="163" t="s">
        <v>109</v>
      </c>
      <c r="H1851" s="163" t="str">
        <f>IF(AND('Resource Planner'!$A$46="☑",47&lt;='Resource Planner'!$N$46),'Resource Planner'!$M$46,"")</f>
        <v/>
      </c>
    </row>
    <row r="1852" ht="15.75" customHeight="1">
      <c r="A18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2" s="163" t="str">
        <f>IF(AND('Resource Planner'!$A$46="☑",48&lt;='Resource Planner'!$N$46),'Resource Planner'!$C$46,"")</f>
        <v/>
      </c>
      <c r="C1852" s="163" t="str">
        <f>IF(AND('Resource Planner'!$A$46="☑",48&lt;='Resource Planner'!$N$46),'Resource Planner'!$B$46,"")</f>
        <v/>
      </c>
      <c r="D1852" s="163" t="str">
        <f>IF(AND('Resource Planner'!$A$46="☑",48&lt;='Resource Planner'!$N$46),'Resource Planner'!$D$46,"")</f>
        <v/>
      </c>
      <c r="E1852" s="163" t="str">
        <f>IF(AND('Resource Planner'!$A$46="☑",48&lt;='Resource Planner'!$N$46),'Resource Planner'!$E$46,"")</f>
        <v/>
      </c>
      <c r="F1852" s="163" t="str">
        <f>IF(AND('Resource Planner'!$A$46="☑",48&lt;='Resource Planner'!$N$46),'Resource Planner'!$F$46&amp;" "&amp;('Resource Planner'!$G$46+(48-1)*'Resource Planner'!$I$46)&amp;IF(('Resource Planner'!$G$46+(48-1)*'Resource Planner'!$I$46)=MIN('Resource Planner'!$G$46+48*'Resource Planner'!$I$46-1,'Resource Planner'!$H$46),"","–"&amp;MIN('Resource Planner'!$G$46+48*'Resource Planner'!$I$46-1,'Resource Planner'!$H$46)),"")</f>
        <v/>
      </c>
      <c r="G1852" s="163" t="s">
        <v>109</v>
      </c>
      <c r="H1852" s="163" t="str">
        <f>IF(AND('Resource Planner'!$A$46="☑",48&lt;='Resource Planner'!$N$46),'Resource Planner'!$M$46,"")</f>
        <v/>
      </c>
    </row>
    <row r="1853" ht="15.75" customHeight="1">
      <c r="A18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3" s="163" t="str">
        <f>IF(AND('Resource Planner'!$A$46="☑",49&lt;='Resource Planner'!$N$46),'Resource Planner'!$C$46,"")</f>
        <v/>
      </c>
      <c r="C1853" s="163" t="str">
        <f>IF(AND('Resource Planner'!$A$46="☑",49&lt;='Resource Planner'!$N$46),'Resource Planner'!$B$46,"")</f>
        <v/>
      </c>
      <c r="D1853" s="163" t="str">
        <f>IF(AND('Resource Planner'!$A$46="☑",49&lt;='Resource Planner'!$N$46),'Resource Planner'!$D$46,"")</f>
        <v/>
      </c>
      <c r="E1853" s="163" t="str">
        <f>IF(AND('Resource Planner'!$A$46="☑",49&lt;='Resource Planner'!$N$46),'Resource Planner'!$E$46,"")</f>
        <v/>
      </c>
      <c r="F1853" s="163" t="str">
        <f>IF(AND('Resource Planner'!$A$46="☑",49&lt;='Resource Planner'!$N$46),'Resource Planner'!$F$46&amp;" "&amp;('Resource Planner'!$G$46+(49-1)*'Resource Planner'!$I$46)&amp;IF(('Resource Planner'!$G$46+(49-1)*'Resource Planner'!$I$46)=MIN('Resource Planner'!$G$46+49*'Resource Planner'!$I$46-1,'Resource Planner'!$H$46),"","–"&amp;MIN('Resource Planner'!$G$46+49*'Resource Planner'!$I$46-1,'Resource Planner'!$H$46)),"")</f>
        <v/>
      </c>
      <c r="G1853" s="163" t="s">
        <v>109</v>
      </c>
      <c r="H1853" s="163" t="str">
        <f>IF(AND('Resource Planner'!$A$46="☑",49&lt;='Resource Planner'!$N$46),'Resource Planner'!$M$46,"")</f>
        <v/>
      </c>
    </row>
    <row r="1854" ht="15.75" customHeight="1">
      <c r="A18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4" s="163" t="str">
        <f>IF(AND('Resource Planner'!$A$46="☑",50&lt;='Resource Planner'!$N$46),'Resource Planner'!$C$46,"")</f>
        <v/>
      </c>
      <c r="C1854" s="163" t="str">
        <f>IF(AND('Resource Planner'!$A$46="☑",50&lt;='Resource Planner'!$N$46),'Resource Planner'!$B$46,"")</f>
        <v/>
      </c>
      <c r="D1854" s="163" t="str">
        <f>IF(AND('Resource Planner'!$A$46="☑",50&lt;='Resource Planner'!$N$46),'Resource Planner'!$D$46,"")</f>
        <v/>
      </c>
      <c r="E1854" s="163" t="str">
        <f>IF(AND('Resource Planner'!$A$46="☑",50&lt;='Resource Planner'!$N$46),'Resource Planner'!$E$46,"")</f>
        <v/>
      </c>
      <c r="F1854" s="163" t="str">
        <f>IF(AND('Resource Planner'!$A$46="☑",50&lt;='Resource Planner'!$N$46),'Resource Planner'!$F$46&amp;" "&amp;('Resource Planner'!$G$46+(50-1)*'Resource Planner'!$I$46)&amp;IF(('Resource Planner'!$G$46+(50-1)*'Resource Planner'!$I$46)=MIN('Resource Planner'!$G$46+50*'Resource Planner'!$I$46-1,'Resource Planner'!$H$46),"","–"&amp;MIN('Resource Planner'!$G$46+50*'Resource Planner'!$I$46-1,'Resource Planner'!$H$46)),"")</f>
        <v/>
      </c>
      <c r="G1854" s="163" t="s">
        <v>109</v>
      </c>
      <c r="H1854" s="163" t="str">
        <f>IF(AND('Resource Planner'!$A$46="☑",50&lt;='Resource Planner'!$N$46),'Resource Planner'!$M$46,"")</f>
        <v/>
      </c>
    </row>
    <row r="1855" ht="15.75" customHeight="1">
      <c r="A18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5" s="163" t="str">
        <f>IF(AND('Resource Planner'!$A$47="☑",1&lt;='Resource Planner'!$N$47),'Resource Planner'!$C$47,"")</f>
        <v/>
      </c>
      <c r="C1855" s="163" t="str">
        <f>IF(AND('Resource Planner'!$A$47="☑",1&lt;='Resource Planner'!$N$47),'Resource Planner'!$B$47,"")</f>
        <v/>
      </c>
      <c r="D1855" s="163" t="str">
        <f>IF(AND('Resource Planner'!$A$47="☑",1&lt;='Resource Planner'!$N$47),'Resource Planner'!$D$47,"")</f>
        <v/>
      </c>
      <c r="E1855" s="163" t="str">
        <f>IF(AND('Resource Planner'!$A$47="☑",1&lt;='Resource Planner'!$N$47),'Resource Planner'!$E$47,"")</f>
        <v/>
      </c>
      <c r="F1855" s="163" t="str">
        <f>IF(AND('Resource Planner'!$A$47="☑",1&lt;='Resource Planner'!$N$47),'Resource Planner'!$F$47&amp;" "&amp;('Resource Planner'!$G$47+(1-1)*'Resource Planner'!$I$47)&amp;IF(('Resource Planner'!$G$47+(1-1)*'Resource Planner'!$I$47)=MIN('Resource Planner'!$G$47+1*'Resource Planner'!$I$47-1,'Resource Planner'!$H$47),"","–"&amp;MIN('Resource Planner'!$G$47+1*'Resource Planner'!$I$47-1,'Resource Planner'!$H$47)),"")</f>
        <v/>
      </c>
      <c r="G1855" s="163" t="s">
        <v>109</v>
      </c>
      <c r="H1855" s="163" t="str">
        <f>IF(AND('Resource Planner'!$A$47="☑",1&lt;='Resource Planner'!$N$47),'Resource Planner'!$M$47,"")</f>
        <v/>
      </c>
    </row>
    <row r="1856" ht="15.75" customHeight="1">
      <c r="A18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6" s="163" t="str">
        <f>IF(AND('Resource Planner'!$A$47="☑",2&lt;='Resource Planner'!$N$47),'Resource Planner'!$C$47,"")</f>
        <v/>
      </c>
      <c r="C1856" s="163" t="str">
        <f>IF(AND('Resource Planner'!$A$47="☑",2&lt;='Resource Planner'!$N$47),'Resource Planner'!$B$47,"")</f>
        <v/>
      </c>
      <c r="D1856" s="163" t="str">
        <f>IF(AND('Resource Planner'!$A$47="☑",2&lt;='Resource Planner'!$N$47),'Resource Planner'!$D$47,"")</f>
        <v/>
      </c>
      <c r="E1856" s="163" t="str">
        <f>IF(AND('Resource Planner'!$A$47="☑",2&lt;='Resource Planner'!$N$47),'Resource Planner'!$E$47,"")</f>
        <v/>
      </c>
      <c r="F1856" s="163" t="str">
        <f>IF(AND('Resource Planner'!$A$47="☑",2&lt;='Resource Planner'!$N$47),'Resource Planner'!$F$47&amp;" "&amp;('Resource Planner'!$G$47+(2-1)*'Resource Planner'!$I$47)&amp;IF(('Resource Planner'!$G$47+(2-1)*'Resource Planner'!$I$47)=MIN('Resource Planner'!$G$47+2*'Resource Planner'!$I$47-1,'Resource Planner'!$H$47),"","–"&amp;MIN('Resource Planner'!$G$47+2*'Resource Planner'!$I$47-1,'Resource Planner'!$H$47)),"")</f>
        <v/>
      </c>
      <c r="G1856" s="163" t="s">
        <v>109</v>
      </c>
      <c r="H1856" s="163" t="str">
        <f>IF(AND('Resource Planner'!$A$47="☑",2&lt;='Resource Planner'!$N$47),'Resource Planner'!$M$47,"")</f>
        <v/>
      </c>
    </row>
    <row r="1857" ht="15.75" customHeight="1">
      <c r="A18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7" s="163" t="str">
        <f>IF(AND('Resource Planner'!$A$47="☑",3&lt;='Resource Planner'!$N$47),'Resource Planner'!$C$47,"")</f>
        <v/>
      </c>
      <c r="C1857" s="163" t="str">
        <f>IF(AND('Resource Planner'!$A$47="☑",3&lt;='Resource Planner'!$N$47),'Resource Planner'!$B$47,"")</f>
        <v/>
      </c>
      <c r="D1857" s="163" t="str">
        <f>IF(AND('Resource Planner'!$A$47="☑",3&lt;='Resource Planner'!$N$47),'Resource Planner'!$D$47,"")</f>
        <v/>
      </c>
      <c r="E1857" s="163" t="str">
        <f>IF(AND('Resource Planner'!$A$47="☑",3&lt;='Resource Planner'!$N$47),'Resource Planner'!$E$47,"")</f>
        <v/>
      </c>
      <c r="F1857" s="163" t="str">
        <f>IF(AND('Resource Planner'!$A$47="☑",3&lt;='Resource Planner'!$N$47),'Resource Planner'!$F$47&amp;" "&amp;('Resource Planner'!$G$47+(3-1)*'Resource Planner'!$I$47)&amp;IF(('Resource Planner'!$G$47+(3-1)*'Resource Planner'!$I$47)=MIN('Resource Planner'!$G$47+3*'Resource Planner'!$I$47-1,'Resource Planner'!$H$47),"","–"&amp;MIN('Resource Planner'!$G$47+3*'Resource Planner'!$I$47-1,'Resource Planner'!$H$47)),"")</f>
        <v/>
      </c>
      <c r="G1857" s="163" t="s">
        <v>109</v>
      </c>
      <c r="H1857" s="163" t="str">
        <f>IF(AND('Resource Planner'!$A$47="☑",3&lt;='Resource Planner'!$N$47),'Resource Planner'!$M$47,"")</f>
        <v/>
      </c>
    </row>
    <row r="1858" ht="15.75" customHeight="1">
      <c r="A18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8" s="163" t="str">
        <f>IF(AND('Resource Planner'!$A$47="☑",4&lt;='Resource Planner'!$N$47),'Resource Planner'!$C$47,"")</f>
        <v/>
      </c>
      <c r="C1858" s="163" t="str">
        <f>IF(AND('Resource Planner'!$A$47="☑",4&lt;='Resource Planner'!$N$47),'Resource Planner'!$B$47,"")</f>
        <v/>
      </c>
      <c r="D1858" s="163" t="str">
        <f>IF(AND('Resource Planner'!$A$47="☑",4&lt;='Resource Planner'!$N$47),'Resource Planner'!$D$47,"")</f>
        <v/>
      </c>
      <c r="E1858" s="163" t="str">
        <f>IF(AND('Resource Planner'!$A$47="☑",4&lt;='Resource Planner'!$N$47),'Resource Planner'!$E$47,"")</f>
        <v/>
      </c>
      <c r="F1858" s="163" t="str">
        <f>IF(AND('Resource Planner'!$A$47="☑",4&lt;='Resource Planner'!$N$47),'Resource Planner'!$F$47&amp;" "&amp;('Resource Planner'!$G$47+(4-1)*'Resource Planner'!$I$47)&amp;IF(('Resource Planner'!$G$47+(4-1)*'Resource Planner'!$I$47)=MIN('Resource Planner'!$G$47+4*'Resource Planner'!$I$47-1,'Resource Planner'!$H$47),"","–"&amp;MIN('Resource Planner'!$G$47+4*'Resource Planner'!$I$47-1,'Resource Planner'!$H$47)),"")</f>
        <v/>
      </c>
      <c r="G1858" s="163" t="s">
        <v>109</v>
      </c>
      <c r="H1858" s="163" t="str">
        <f>IF(AND('Resource Planner'!$A$47="☑",4&lt;='Resource Planner'!$N$47),'Resource Planner'!$M$47,"")</f>
        <v/>
      </c>
    </row>
    <row r="1859" ht="15.75" customHeight="1">
      <c r="A18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59" s="163" t="str">
        <f>IF(AND('Resource Planner'!$A$47="☑",5&lt;='Resource Planner'!$N$47),'Resource Planner'!$C$47,"")</f>
        <v/>
      </c>
      <c r="C1859" s="163" t="str">
        <f>IF(AND('Resource Planner'!$A$47="☑",5&lt;='Resource Planner'!$N$47),'Resource Planner'!$B$47,"")</f>
        <v/>
      </c>
      <c r="D1859" s="163" t="str">
        <f>IF(AND('Resource Planner'!$A$47="☑",5&lt;='Resource Planner'!$N$47),'Resource Planner'!$D$47,"")</f>
        <v/>
      </c>
      <c r="E1859" s="163" t="str">
        <f>IF(AND('Resource Planner'!$A$47="☑",5&lt;='Resource Planner'!$N$47),'Resource Planner'!$E$47,"")</f>
        <v/>
      </c>
      <c r="F1859" s="163" t="str">
        <f>IF(AND('Resource Planner'!$A$47="☑",5&lt;='Resource Planner'!$N$47),'Resource Planner'!$F$47&amp;" "&amp;('Resource Planner'!$G$47+(5-1)*'Resource Planner'!$I$47)&amp;IF(('Resource Planner'!$G$47+(5-1)*'Resource Planner'!$I$47)=MIN('Resource Planner'!$G$47+5*'Resource Planner'!$I$47-1,'Resource Planner'!$H$47),"","–"&amp;MIN('Resource Planner'!$G$47+5*'Resource Planner'!$I$47-1,'Resource Planner'!$H$47)),"")</f>
        <v/>
      </c>
      <c r="G1859" s="163" t="s">
        <v>109</v>
      </c>
      <c r="H1859" s="163" t="str">
        <f>IF(AND('Resource Planner'!$A$47="☑",5&lt;='Resource Planner'!$N$47),'Resource Planner'!$M$47,"")</f>
        <v/>
      </c>
    </row>
    <row r="1860" ht="15.75" customHeight="1">
      <c r="A18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0" s="163" t="str">
        <f>IF(AND('Resource Planner'!$A$47="☑",6&lt;='Resource Planner'!$N$47),'Resource Planner'!$C$47,"")</f>
        <v/>
      </c>
      <c r="C1860" s="163" t="str">
        <f>IF(AND('Resource Planner'!$A$47="☑",6&lt;='Resource Planner'!$N$47),'Resource Planner'!$B$47,"")</f>
        <v/>
      </c>
      <c r="D1860" s="163" t="str">
        <f>IF(AND('Resource Planner'!$A$47="☑",6&lt;='Resource Planner'!$N$47),'Resource Planner'!$D$47,"")</f>
        <v/>
      </c>
      <c r="E1860" s="163" t="str">
        <f>IF(AND('Resource Planner'!$A$47="☑",6&lt;='Resource Planner'!$N$47),'Resource Planner'!$E$47,"")</f>
        <v/>
      </c>
      <c r="F1860" s="163" t="str">
        <f>IF(AND('Resource Planner'!$A$47="☑",6&lt;='Resource Planner'!$N$47),'Resource Planner'!$F$47&amp;" "&amp;('Resource Planner'!$G$47+(6-1)*'Resource Planner'!$I$47)&amp;IF(('Resource Planner'!$G$47+(6-1)*'Resource Planner'!$I$47)=MIN('Resource Planner'!$G$47+6*'Resource Planner'!$I$47-1,'Resource Planner'!$H$47),"","–"&amp;MIN('Resource Planner'!$G$47+6*'Resource Planner'!$I$47-1,'Resource Planner'!$H$47)),"")</f>
        <v/>
      </c>
      <c r="G1860" s="163" t="s">
        <v>109</v>
      </c>
      <c r="H1860" s="163" t="str">
        <f>IF(AND('Resource Planner'!$A$47="☑",6&lt;='Resource Planner'!$N$47),'Resource Planner'!$M$47,"")</f>
        <v/>
      </c>
    </row>
    <row r="1861" ht="15.75" customHeight="1">
      <c r="A18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1" s="163" t="str">
        <f>IF(AND('Resource Planner'!$A$47="☑",7&lt;='Resource Planner'!$N$47),'Resource Planner'!$C$47,"")</f>
        <v/>
      </c>
      <c r="C1861" s="163" t="str">
        <f>IF(AND('Resource Planner'!$A$47="☑",7&lt;='Resource Planner'!$N$47),'Resource Planner'!$B$47,"")</f>
        <v/>
      </c>
      <c r="D1861" s="163" t="str">
        <f>IF(AND('Resource Planner'!$A$47="☑",7&lt;='Resource Planner'!$N$47),'Resource Planner'!$D$47,"")</f>
        <v/>
      </c>
      <c r="E1861" s="163" t="str">
        <f>IF(AND('Resource Planner'!$A$47="☑",7&lt;='Resource Planner'!$N$47),'Resource Planner'!$E$47,"")</f>
        <v/>
      </c>
      <c r="F1861" s="163" t="str">
        <f>IF(AND('Resource Planner'!$A$47="☑",7&lt;='Resource Planner'!$N$47),'Resource Planner'!$F$47&amp;" "&amp;('Resource Planner'!$G$47+(7-1)*'Resource Planner'!$I$47)&amp;IF(('Resource Planner'!$G$47+(7-1)*'Resource Planner'!$I$47)=MIN('Resource Planner'!$G$47+7*'Resource Planner'!$I$47-1,'Resource Planner'!$H$47),"","–"&amp;MIN('Resource Planner'!$G$47+7*'Resource Planner'!$I$47-1,'Resource Planner'!$H$47)),"")</f>
        <v/>
      </c>
      <c r="G1861" s="163" t="s">
        <v>109</v>
      </c>
      <c r="H1861" s="163" t="str">
        <f>IF(AND('Resource Planner'!$A$47="☑",7&lt;='Resource Planner'!$N$47),'Resource Planner'!$M$47,"")</f>
        <v/>
      </c>
    </row>
    <row r="1862" ht="15.75" customHeight="1">
      <c r="A18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2" s="163" t="str">
        <f>IF(AND('Resource Planner'!$A$47="☑",8&lt;='Resource Planner'!$N$47),'Resource Planner'!$C$47,"")</f>
        <v/>
      </c>
      <c r="C1862" s="163" t="str">
        <f>IF(AND('Resource Planner'!$A$47="☑",8&lt;='Resource Planner'!$N$47),'Resource Planner'!$B$47,"")</f>
        <v/>
      </c>
      <c r="D1862" s="163" t="str">
        <f>IF(AND('Resource Planner'!$A$47="☑",8&lt;='Resource Planner'!$N$47),'Resource Planner'!$D$47,"")</f>
        <v/>
      </c>
      <c r="E1862" s="163" t="str">
        <f>IF(AND('Resource Planner'!$A$47="☑",8&lt;='Resource Planner'!$N$47),'Resource Planner'!$E$47,"")</f>
        <v/>
      </c>
      <c r="F1862" s="163" t="str">
        <f>IF(AND('Resource Planner'!$A$47="☑",8&lt;='Resource Planner'!$N$47),'Resource Planner'!$F$47&amp;" "&amp;('Resource Planner'!$G$47+(8-1)*'Resource Planner'!$I$47)&amp;IF(('Resource Planner'!$G$47+(8-1)*'Resource Planner'!$I$47)=MIN('Resource Planner'!$G$47+8*'Resource Planner'!$I$47-1,'Resource Planner'!$H$47),"","–"&amp;MIN('Resource Planner'!$G$47+8*'Resource Planner'!$I$47-1,'Resource Planner'!$H$47)),"")</f>
        <v/>
      </c>
      <c r="G1862" s="163" t="s">
        <v>109</v>
      </c>
      <c r="H1862" s="163" t="str">
        <f>IF(AND('Resource Planner'!$A$47="☑",8&lt;='Resource Planner'!$N$47),'Resource Planner'!$M$47,"")</f>
        <v/>
      </c>
    </row>
    <row r="1863" ht="15.75" customHeight="1">
      <c r="A18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3" s="163" t="str">
        <f>IF(AND('Resource Planner'!$A$47="☑",9&lt;='Resource Planner'!$N$47),'Resource Planner'!$C$47,"")</f>
        <v/>
      </c>
      <c r="C1863" s="163" t="str">
        <f>IF(AND('Resource Planner'!$A$47="☑",9&lt;='Resource Planner'!$N$47),'Resource Planner'!$B$47,"")</f>
        <v/>
      </c>
      <c r="D1863" s="163" t="str">
        <f>IF(AND('Resource Planner'!$A$47="☑",9&lt;='Resource Planner'!$N$47),'Resource Planner'!$D$47,"")</f>
        <v/>
      </c>
      <c r="E1863" s="163" t="str">
        <f>IF(AND('Resource Planner'!$A$47="☑",9&lt;='Resource Planner'!$N$47),'Resource Planner'!$E$47,"")</f>
        <v/>
      </c>
      <c r="F1863" s="163" t="str">
        <f>IF(AND('Resource Planner'!$A$47="☑",9&lt;='Resource Planner'!$N$47),'Resource Planner'!$F$47&amp;" "&amp;('Resource Planner'!$G$47+(9-1)*'Resource Planner'!$I$47)&amp;IF(('Resource Planner'!$G$47+(9-1)*'Resource Planner'!$I$47)=MIN('Resource Planner'!$G$47+9*'Resource Planner'!$I$47-1,'Resource Planner'!$H$47),"","–"&amp;MIN('Resource Planner'!$G$47+9*'Resource Planner'!$I$47-1,'Resource Planner'!$H$47)),"")</f>
        <v/>
      </c>
      <c r="G1863" s="163" t="s">
        <v>109</v>
      </c>
      <c r="H1863" s="163" t="str">
        <f>IF(AND('Resource Planner'!$A$47="☑",9&lt;='Resource Planner'!$N$47),'Resource Planner'!$M$47,"")</f>
        <v/>
      </c>
    </row>
    <row r="1864" ht="15.75" customHeight="1">
      <c r="A18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4" s="163" t="str">
        <f>IF(AND('Resource Planner'!$A$47="☑",10&lt;='Resource Planner'!$N$47),'Resource Planner'!$C$47,"")</f>
        <v/>
      </c>
      <c r="C1864" s="163" t="str">
        <f>IF(AND('Resource Planner'!$A$47="☑",10&lt;='Resource Planner'!$N$47),'Resource Planner'!$B$47,"")</f>
        <v/>
      </c>
      <c r="D1864" s="163" t="str">
        <f>IF(AND('Resource Planner'!$A$47="☑",10&lt;='Resource Planner'!$N$47),'Resource Planner'!$D$47,"")</f>
        <v/>
      </c>
      <c r="E1864" s="163" t="str">
        <f>IF(AND('Resource Planner'!$A$47="☑",10&lt;='Resource Planner'!$N$47),'Resource Planner'!$E$47,"")</f>
        <v/>
      </c>
      <c r="F1864" s="163" t="str">
        <f>IF(AND('Resource Planner'!$A$47="☑",10&lt;='Resource Planner'!$N$47),'Resource Planner'!$F$47&amp;" "&amp;('Resource Planner'!$G$47+(10-1)*'Resource Planner'!$I$47)&amp;IF(('Resource Planner'!$G$47+(10-1)*'Resource Planner'!$I$47)=MIN('Resource Planner'!$G$47+10*'Resource Planner'!$I$47-1,'Resource Planner'!$H$47),"","–"&amp;MIN('Resource Planner'!$G$47+10*'Resource Planner'!$I$47-1,'Resource Planner'!$H$47)),"")</f>
        <v/>
      </c>
      <c r="G1864" s="163" t="s">
        <v>109</v>
      </c>
      <c r="H1864" s="163" t="str">
        <f>IF(AND('Resource Planner'!$A$47="☑",10&lt;='Resource Planner'!$N$47),'Resource Planner'!$M$47,"")</f>
        <v/>
      </c>
    </row>
    <row r="1865" ht="15.75" customHeight="1">
      <c r="A18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5" s="163" t="str">
        <f>IF(AND('Resource Planner'!$A$47="☑",11&lt;='Resource Planner'!$N$47),'Resource Planner'!$C$47,"")</f>
        <v/>
      </c>
      <c r="C1865" s="163" t="str">
        <f>IF(AND('Resource Planner'!$A$47="☑",11&lt;='Resource Planner'!$N$47),'Resource Planner'!$B$47,"")</f>
        <v/>
      </c>
      <c r="D1865" s="163" t="str">
        <f>IF(AND('Resource Planner'!$A$47="☑",11&lt;='Resource Planner'!$N$47),'Resource Planner'!$D$47,"")</f>
        <v/>
      </c>
      <c r="E1865" s="163" t="str">
        <f>IF(AND('Resource Planner'!$A$47="☑",11&lt;='Resource Planner'!$N$47),'Resource Planner'!$E$47,"")</f>
        <v/>
      </c>
      <c r="F1865" s="163" t="str">
        <f>IF(AND('Resource Planner'!$A$47="☑",11&lt;='Resource Planner'!$N$47),'Resource Planner'!$F$47&amp;" "&amp;('Resource Planner'!$G$47+(11-1)*'Resource Planner'!$I$47)&amp;IF(('Resource Planner'!$G$47+(11-1)*'Resource Planner'!$I$47)=MIN('Resource Planner'!$G$47+11*'Resource Planner'!$I$47-1,'Resource Planner'!$H$47),"","–"&amp;MIN('Resource Planner'!$G$47+11*'Resource Planner'!$I$47-1,'Resource Planner'!$H$47)),"")</f>
        <v/>
      </c>
      <c r="G1865" s="163" t="s">
        <v>109</v>
      </c>
      <c r="H1865" s="163" t="str">
        <f>IF(AND('Resource Planner'!$A$47="☑",11&lt;='Resource Planner'!$N$47),'Resource Planner'!$M$47,"")</f>
        <v/>
      </c>
    </row>
    <row r="1866" ht="15.75" customHeight="1">
      <c r="A18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6" s="163" t="str">
        <f>IF(AND('Resource Planner'!$A$47="☑",12&lt;='Resource Planner'!$N$47),'Resource Planner'!$C$47,"")</f>
        <v/>
      </c>
      <c r="C1866" s="163" t="str">
        <f>IF(AND('Resource Planner'!$A$47="☑",12&lt;='Resource Planner'!$N$47),'Resource Planner'!$B$47,"")</f>
        <v/>
      </c>
      <c r="D1866" s="163" t="str">
        <f>IF(AND('Resource Planner'!$A$47="☑",12&lt;='Resource Planner'!$N$47),'Resource Planner'!$D$47,"")</f>
        <v/>
      </c>
      <c r="E1866" s="163" t="str">
        <f>IF(AND('Resource Planner'!$A$47="☑",12&lt;='Resource Planner'!$N$47),'Resource Planner'!$E$47,"")</f>
        <v/>
      </c>
      <c r="F1866" s="163" t="str">
        <f>IF(AND('Resource Planner'!$A$47="☑",12&lt;='Resource Planner'!$N$47),'Resource Planner'!$F$47&amp;" "&amp;('Resource Planner'!$G$47+(12-1)*'Resource Planner'!$I$47)&amp;IF(('Resource Planner'!$G$47+(12-1)*'Resource Planner'!$I$47)=MIN('Resource Planner'!$G$47+12*'Resource Planner'!$I$47-1,'Resource Planner'!$H$47),"","–"&amp;MIN('Resource Planner'!$G$47+12*'Resource Planner'!$I$47-1,'Resource Planner'!$H$47)),"")</f>
        <v/>
      </c>
      <c r="G1866" s="163" t="s">
        <v>109</v>
      </c>
      <c r="H1866" s="163" t="str">
        <f>IF(AND('Resource Planner'!$A$47="☑",12&lt;='Resource Planner'!$N$47),'Resource Planner'!$M$47,"")</f>
        <v/>
      </c>
    </row>
    <row r="1867" ht="15.75" customHeight="1">
      <c r="A18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7" s="163" t="str">
        <f>IF(AND('Resource Planner'!$A$47="☑",13&lt;='Resource Planner'!$N$47),'Resource Planner'!$C$47,"")</f>
        <v/>
      </c>
      <c r="C1867" s="163" t="str">
        <f>IF(AND('Resource Planner'!$A$47="☑",13&lt;='Resource Planner'!$N$47),'Resource Planner'!$B$47,"")</f>
        <v/>
      </c>
      <c r="D1867" s="163" t="str">
        <f>IF(AND('Resource Planner'!$A$47="☑",13&lt;='Resource Planner'!$N$47),'Resource Planner'!$D$47,"")</f>
        <v/>
      </c>
      <c r="E1867" s="163" t="str">
        <f>IF(AND('Resource Planner'!$A$47="☑",13&lt;='Resource Planner'!$N$47),'Resource Planner'!$E$47,"")</f>
        <v/>
      </c>
      <c r="F1867" s="163" t="str">
        <f>IF(AND('Resource Planner'!$A$47="☑",13&lt;='Resource Planner'!$N$47),'Resource Planner'!$F$47&amp;" "&amp;('Resource Planner'!$G$47+(13-1)*'Resource Planner'!$I$47)&amp;IF(('Resource Planner'!$G$47+(13-1)*'Resource Planner'!$I$47)=MIN('Resource Planner'!$G$47+13*'Resource Planner'!$I$47-1,'Resource Planner'!$H$47),"","–"&amp;MIN('Resource Planner'!$G$47+13*'Resource Planner'!$I$47-1,'Resource Planner'!$H$47)),"")</f>
        <v/>
      </c>
      <c r="G1867" s="163" t="s">
        <v>109</v>
      </c>
      <c r="H1867" s="163" t="str">
        <f>IF(AND('Resource Planner'!$A$47="☑",13&lt;='Resource Planner'!$N$47),'Resource Planner'!$M$47,"")</f>
        <v/>
      </c>
    </row>
    <row r="1868" ht="15.75" customHeight="1">
      <c r="A18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8" s="163" t="str">
        <f>IF(AND('Resource Planner'!$A$47="☑",14&lt;='Resource Planner'!$N$47),'Resource Planner'!$C$47,"")</f>
        <v/>
      </c>
      <c r="C1868" s="163" t="str">
        <f>IF(AND('Resource Planner'!$A$47="☑",14&lt;='Resource Planner'!$N$47),'Resource Planner'!$B$47,"")</f>
        <v/>
      </c>
      <c r="D1868" s="163" t="str">
        <f>IF(AND('Resource Planner'!$A$47="☑",14&lt;='Resource Planner'!$N$47),'Resource Planner'!$D$47,"")</f>
        <v/>
      </c>
      <c r="E1868" s="163" t="str">
        <f>IF(AND('Resource Planner'!$A$47="☑",14&lt;='Resource Planner'!$N$47),'Resource Planner'!$E$47,"")</f>
        <v/>
      </c>
      <c r="F1868" s="163" t="str">
        <f>IF(AND('Resource Planner'!$A$47="☑",14&lt;='Resource Planner'!$N$47),'Resource Planner'!$F$47&amp;" "&amp;('Resource Planner'!$G$47+(14-1)*'Resource Planner'!$I$47)&amp;IF(('Resource Planner'!$G$47+(14-1)*'Resource Planner'!$I$47)=MIN('Resource Planner'!$G$47+14*'Resource Planner'!$I$47-1,'Resource Planner'!$H$47),"","–"&amp;MIN('Resource Planner'!$G$47+14*'Resource Planner'!$I$47-1,'Resource Planner'!$H$47)),"")</f>
        <v/>
      </c>
      <c r="G1868" s="163" t="s">
        <v>109</v>
      </c>
      <c r="H1868" s="163" t="str">
        <f>IF(AND('Resource Planner'!$A$47="☑",14&lt;='Resource Planner'!$N$47),'Resource Planner'!$M$47,"")</f>
        <v/>
      </c>
    </row>
    <row r="1869" ht="15.75" customHeight="1">
      <c r="A18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69" s="163" t="str">
        <f>IF(AND('Resource Planner'!$A$47="☑",15&lt;='Resource Planner'!$N$47),'Resource Planner'!$C$47,"")</f>
        <v/>
      </c>
      <c r="C1869" s="163" t="str">
        <f>IF(AND('Resource Planner'!$A$47="☑",15&lt;='Resource Planner'!$N$47),'Resource Planner'!$B$47,"")</f>
        <v/>
      </c>
      <c r="D1869" s="163" t="str">
        <f>IF(AND('Resource Planner'!$A$47="☑",15&lt;='Resource Planner'!$N$47),'Resource Planner'!$D$47,"")</f>
        <v/>
      </c>
      <c r="E1869" s="163" t="str">
        <f>IF(AND('Resource Planner'!$A$47="☑",15&lt;='Resource Planner'!$N$47),'Resource Planner'!$E$47,"")</f>
        <v/>
      </c>
      <c r="F1869" s="163" t="str">
        <f>IF(AND('Resource Planner'!$A$47="☑",15&lt;='Resource Planner'!$N$47),'Resource Planner'!$F$47&amp;" "&amp;('Resource Planner'!$G$47+(15-1)*'Resource Planner'!$I$47)&amp;IF(('Resource Planner'!$G$47+(15-1)*'Resource Planner'!$I$47)=MIN('Resource Planner'!$G$47+15*'Resource Planner'!$I$47-1,'Resource Planner'!$H$47),"","–"&amp;MIN('Resource Planner'!$G$47+15*'Resource Planner'!$I$47-1,'Resource Planner'!$H$47)),"")</f>
        <v/>
      </c>
      <c r="G1869" s="163" t="s">
        <v>109</v>
      </c>
      <c r="H1869" s="163" t="str">
        <f>IF(AND('Resource Planner'!$A$47="☑",15&lt;='Resource Planner'!$N$47),'Resource Planner'!$M$47,"")</f>
        <v/>
      </c>
    </row>
    <row r="1870" ht="15.75" customHeight="1">
      <c r="A18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0" s="163" t="str">
        <f>IF(AND('Resource Planner'!$A$47="☑",16&lt;='Resource Planner'!$N$47),'Resource Planner'!$C$47,"")</f>
        <v/>
      </c>
      <c r="C1870" s="163" t="str">
        <f>IF(AND('Resource Planner'!$A$47="☑",16&lt;='Resource Planner'!$N$47),'Resource Planner'!$B$47,"")</f>
        <v/>
      </c>
      <c r="D1870" s="163" t="str">
        <f>IF(AND('Resource Planner'!$A$47="☑",16&lt;='Resource Planner'!$N$47),'Resource Planner'!$D$47,"")</f>
        <v/>
      </c>
      <c r="E1870" s="163" t="str">
        <f>IF(AND('Resource Planner'!$A$47="☑",16&lt;='Resource Planner'!$N$47),'Resource Planner'!$E$47,"")</f>
        <v/>
      </c>
      <c r="F1870" s="163" t="str">
        <f>IF(AND('Resource Planner'!$A$47="☑",16&lt;='Resource Planner'!$N$47),'Resource Planner'!$F$47&amp;" "&amp;('Resource Planner'!$G$47+(16-1)*'Resource Planner'!$I$47)&amp;IF(('Resource Planner'!$G$47+(16-1)*'Resource Planner'!$I$47)=MIN('Resource Planner'!$G$47+16*'Resource Planner'!$I$47-1,'Resource Planner'!$H$47),"","–"&amp;MIN('Resource Planner'!$G$47+16*'Resource Planner'!$I$47-1,'Resource Planner'!$H$47)),"")</f>
        <v/>
      </c>
      <c r="G1870" s="163" t="s">
        <v>109</v>
      </c>
      <c r="H1870" s="163" t="str">
        <f>IF(AND('Resource Planner'!$A$47="☑",16&lt;='Resource Planner'!$N$47),'Resource Planner'!$M$47,"")</f>
        <v/>
      </c>
    </row>
    <row r="1871" ht="15.75" customHeight="1">
      <c r="A18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1" s="163" t="str">
        <f>IF(AND('Resource Planner'!$A$47="☑",17&lt;='Resource Planner'!$N$47),'Resource Planner'!$C$47,"")</f>
        <v/>
      </c>
      <c r="C1871" s="163" t="str">
        <f>IF(AND('Resource Planner'!$A$47="☑",17&lt;='Resource Planner'!$N$47),'Resource Planner'!$B$47,"")</f>
        <v/>
      </c>
      <c r="D1871" s="163" t="str">
        <f>IF(AND('Resource Planner'!$A$47="☑",17&lt;='Resource Planner'!$N$47),'Resource Planner'!$D$47,"")</f>
        <v/>
      </c>
      <c r="E1871" s="163" t="str">
        <f>IF(AND('Resource Planner'!$A$47="☑",17&lt;='Resource Planner'!$N$47),'Resource Planner'!$E$47,"")</f>
        <v/>
      </c>
      <c r="F1871" s="163" t="str">
        <f>IF(AND('Resource Planner'!$A$47="☑",17&lt;='Resource Planner'!$N$47),'Resource Planner'!$F$47&amp;" "&amp;('Resource Planner'!$G$47+(17-1)*'Resource Planner'!$I$47)&amp;IF(('Resource Planner'!$G$47+(17-1)*'Resource Planner'!$I$47)=MIN('Resource Planner'!$G$47+17*'Resource Planner'!$I$47-1,'Resource Planner'!$H$47),"","–"&amp;MIN('Resource Planner'!$G$47+17*'Resource Planner'!$I$47-1,'Resource Planner'!$H$47)),"")</f>
        <v/>
      </c>
      <c r="G1871" s="163" t="s">
        <v>109</v>
      </c>
      <c r="H1871" s="163" t="str">
        <f>IF(AND('Resource Planner'!$A$47="☑",17&lt;='Resource Planner'!$N$47),'Resource Planner'!$M$47,"")</f>
        <v/>
      </c>
    </row>
    <row r="1872" ht="15.75" customHeight="1">
      <c r="A18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2" s="163" t="str">
        <f>IF(AND('Resource Planner'!$A$47="☑",18&lt;='Resource Planner'!$N$47),'Resource Planner'!$C$47,"")</f>
        <v/>
      </c>
      <c r="C1872" s="163" t="str">
        <f>IF(AND('Resource Planner'!$A$47="☑",18&lt;='Resource Planner'!$N$47),'Resource Planner'!$B$47,"")</f>
        <v/>
      </c>
      <c r="D1872" s="163" t="str">
        <f>IF(AND('Resource Planner'!$A$47="☑",18&lt;='Resource Planner'!$N$47),'Resource Planner'!$D$47,"")</f>
        <v/>
      </c>
      <c r="E1872" s="163" t="str">
        <f>IF(AND('Resource Planner'!$A$47="☑",18&lt;='Resource Planner'!$N$47),'Resource Planner'!$E$47,"")</f>
        <v/>
      </c>
      <c r="F1872" s="163" t="str">
        <f>IF(AND('Resource Planner'!$A$47="☑",18&lt;='Resource Planner'!$N$47),'Resource Planner'!$F$47&amp;" "&amp;('Resource Planner'!$G$47+(18-1)*'Resource Planner'!$I$47)&amp;IF(('Resource Planner'!$G$47+(18-1)*'Resource Planner'!$I$47)=MIN('Resource Planner'!$G$47+18*'Resource Planner'!$I$47-1,'Resource Planner'!$H$47),"","–"&amp;MIN('Resource Planner'!$G$47+18*'Resource Planner'!$I$47-1,'Resource Planner'!$H$47)),"")</f>
        <v/>
      </c>
      <c r="G1872" s="163" t="s">
        <v>109</v>
      </c>
      <c r="H1872" s="163" t="str">
        <f>IF(AND('Resource Planner'!$A$47="☑",18&lt;='Resource Planner'!$N$47),'Resource Planner'!$M$47,"")</f>
        <v/>
      </c>
    </row>
    <row r="1873" ht="15.75" customHeight="1">
      <c r="A18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3" s="163" t="str">
        <f>IF(AND('Resource Planner'!$A$47="☑",19&lt;='Resource Planner'!$N$47),'Resource Planner'!$C$47,"")</f>
        <v/>
      </c>
      <c r="C1873" s="163" t="str">
        <f>IF(AND('Resource Planner'!$A$47="☑",19&lt;='Resource Planner'!$N$47),'Resource Planner'!$B$47,"")</f>
        <v/>
      </c>
      <c r="D1873" s="163" t="str">
        <f>IF(AND('Resource Planner'!$A$47="☑",19&lt;='Resource Planner'!$N$47),'Resource Planner'!$D$47,"")</f>
        <v/>
      </c>
      <c r="E1873" s="163" t="str">
        <f>IF(AND('Resource Planner'!$A$47="☑",19&lt;='Resource Planner'!$N$47),'Resource Planner'!$E$47,"")</f>
        <v/>
      </c>
      <c r="F1873" s="163" t="str">
        <f>IF(AND('Resource Planner'!$A$47="☑",19&lt;='Resource Planner'!$N$47),'Resource Planner'!$F$47&amp;" "&amp;('Resource Planner'!$G$47+(19-1)*'Resource Planner'!$I$47)&amp;IF(('Resource Planner'!$G$47+(19-1)*'Resource Planner'!$I$47)=MIN('Resource Planner'!$G$47+19*'Resource Planner'!$I$47-1,'Resource Planner'!$H$47),"","–"&amp;MIN('Resource Planner'!$G$47+19*'Resource Planner'!$I$47-1,'Resource Planner'!$H$47)),"")</f>
        <v/>
      </c>
      <c r="G1873" s="163" t="s">
        <v>109</v>
      </c>
      <c r="H1873" s="163" t="str">
        <f>IF(AND('Resource Planner'!$A$47="☑",19&lt;='Resource Planner'!$N$47),'Resource Planner'!$M$47,"")</f>
        <v/>
      </c>
    </row>
    <row r="1874" ht="15.75" customHeight="1">
      <c r="A18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4" s="163" t="str">
        <f>IF(AND('Resource Planner'!$A$47="☑",20&lt;='Resource Planner'!$N$47),'Resource Planner'!$C$47,"")</f>
        <v/>
      </c>
      <c r="C1874" s="163" t="str">
        <f>IF(AND('Resource Planner'!$A$47="☑",20&lt;='Resource Planner'!$N$47),'Resource Planner'!$B$47,"")</f>
        <v/>
      </c>
      <c r="D1874" s="163" t="str">
        <f>IF(AND('Resource Planner'!$A$47="☑",20&lt;='Resource Planner'!$N$47),'Resource Planner'!$D$47,"")</f>
        <v/>
      </c>
      <c r="E1874" s="163" t="str">
        <f>IF(AND('Resource Planner'!$A$47="☑",20&lt;='Resource Planner'!$N$47),'Resource Planner'!$E$47,"")</f>
        <v/>
      </c>
      <c r="F1874" s="163" t="str">
        <f>IF(AND('Resource Planner'!$A$47="☑",20&lt;='Resource Planner'!$N$47),'Resource Planner'!$F$47&amp;" "&amp;('Resource Planner'!$G$47+(20-1)*'Resource Planner'!$I$47)&amp;IF(('Resource Planner'!$G$47+(20-1)*'Resource Planner'!$I$47)=MIN('Resource Planner'!$G$47+20*'Resource Planner'!$I$47-1,'Resource Planner'!$H$47),"","–"&amp;MIN('Resource Planner'!$G$47+20*'Resource Planner'!$I$47-1,'Resource Planner'!$H$47)),"")</f>
        <v/>
      </c>
      <c r="G1874" s="163" t="s">
        <v>109</v>
      </c>
      <c r="H1874" s="163" t="str">
        <f>IF(AND('Resource Planner'!$A$47="☑",20&lt;='Resource Planner'!$N$47),'Resource Planner'!$M$47,"")</f>
        <v/>
      </c>
    </row>
    <row r="1875" ht="15.75" customHeight="1">
      <c r="A18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5" s="163" t="str">
        <f>IF(AND('Resource Planner'!$A$47="☑",21&lt;='Resource Planner'!$N$47),'Resource Planner'!$C$47,"")</f>
        <v/>
      </c>
      <c r="C1875" s="163" t="str">
        <f>IF(AND('Resource Planner'!$A$47="☑",21&lt;='Resource Planner'!$N$47),'Resource Planner'!$B$47,"")</f>
        <v/>
      </c>
      <c r="D1875" s="163" t="str">
        <f>IF(AND('Resource Planner'!$A$47="☑",21&lt;='Resource Planner'!$N$47),'Resource Planner'!$D$47,"")</f>
        <v/>
      </c>
      <c r="E1875" s="163" t="str">
        <f>IF(AND('Resource Planner'!$A$47="☑",21&lt;='Resource Planner'!$N$47),'Resource Planner'!$E$47,"")</f>
        <v/>
      </c>
      <c r="F1875" s="163" t="str">
        <f>IF(AND('Resource Planner'!$A$47="☑",21&lt;='Resource Planner'!$N$47),'Resource Planner'!$F$47&amp;" "&amp;('Resource Planner'!$G$47+(21-1)*'Resource Planner'!$I$47)&amp;IF(('Resource Planner'!$G$47+(21-1)*'Resource Planner'!$I$47)=MIN('Resource Planner'!$G$47+21*'Resource Planner'!$I$47-1,'Resource Planner'!$H$47),"","–"&amp;MIN('Resource Planner'!$G$47+21*'Resource Planner'!$I$47-1,'Resource Planner'!$H$47)),"")</f>
        <v/>
      </c>
      <c r="G1875" s="163" t="s">
        <v>109</v>
      </c>
      <c r="H1875" s="163" t="str">
        <f>IF(AND('Resource Planner'!$A$47="☑",21&lt;='Resource Planner'!$N$47),'Resource Planner'!$M$47,"")</f>
        <v/>
      </c>
    </row>
    <row r="1876" ht="15.75" customHeight="1">
      <c r="A18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6" s="163" t="str">
        <f>IF(AND('Resource Planner'!$A$47="☑",22&lt;='Resource Planner'!$N$47),'Resource Planner'!$C$47,"")</f>
        <v/>
      </c>
      <c r="C1876" s="163" t="str">
        <f>IF(AND('Resource Planner'!$A$47="☑",22&lt;='Resource Planner'!$N$47),'Resource Planner'!$B$47,"")</f>
        <v/>
      </c>
      <c r="D1876" s="163" t="str">
        <f>IF(AND('Resource Planner'!$A$47="☑",22&lt;='Resource Planner'!$N$47),'Resource Planner'!$D$47,"")</f>
        <v/>
      </c>
      <c r="E1876" s="163" t="str">
        <f>IF(AND('Resource Planner'!$A$47="☑",22&lt;='Resource Planner'!$N$47),'Resource Planner'!$E$47,"")</f>
        <v/>
      </c>
      <c r="F1876" s="163" t="str">
        <f>IF(AND('Resource Planner'!$A$47="☑",22&lt;='Resource Planner'!$N$47),'Resource Planner'!$F$47&amp;" "&amp;('Resource Planner'!$G$47+(22-1)*'Resource Planner'!$I$47)&amp;IF(('Resource Planner'!$G$47+(22-1)*'Resource Planner'!$I$47)=MIN('Resource Planner'!$G$47+22*'Resource Planner'!$I$47-1,'Resource Planner'!$H$47),"","–"&amp;MIN('Resource Planner'!$G$47+22*'Resource Planner'!$I$47-1,'Resource Planner'!$H$47)),"")</f>
        <v/>
      </c>
      <c r="G1876" s="163" t="s">
        <v>109</v>
      </c>
      <c r="H1876" s="163" t="str">
        <f>IF(AND('Resource Planner'!$A$47="☑",22&lt;='Resource Planner'!$N$47),'Resource Planner'!$M$47,"")</f>
        <v/>
      </c>
    </row>
    <row r="1877" ht="15.75" customHeight="1">
      <c r="A18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7" s="163" t="str">
        <f>IF(AND('Resource Planner'!$A$47="☑",23&lt;='Resource Planner'!$N$47),'Resource Planner'!$C$47,"")</f>
        <v/>
      </c>
      <c r="C1877" s="163" t="str">
        <f>IF(AND('Resource Planner'!$A$47="☑",23&lt;='Resource Planner'!$N$47),'Resource Planner'!$B$47,"")</f>
        <v/>
      </c>
      <c r="D1877" s="163" t="str">
        <f>IF(AND('Resource Planner'!$A$47="☑",23&lt;='Resource Planner'!$N$47),'Resource Planner'!$D$47,"")</f>
        <v/>
      </c>
      <c r="E1877" s="163" t="str">
        <f>IF(AND('Resource Planner'!$A$47="☑",23&lt;='Resource Planner'!$N$47),'Resource Planner'!$E$47,"")</f>
        <v/>
      </c>
      <c r="F1877" s="163" t="str">
        <f>IF(AND('Resource Planner'!$A$47="☑",23&lt;='Resource Planner'!$N$47),'Resource Planner'!$F$47&amp;" "&amp;('Resource Planner'!$G$47+(23-1)*'Resource Planner'!$I$47)&amp;IF(('Resource Planner'!$G$47+(23-1)*'Resource Planner'!$I$47)=MIN('Resource Planner'!$G$47+23*'Resource Planner'!$I$47-1,'Resource Planner'!$H$47),"","–"&amp;MIN('Resource Planner'!$G$47+23*'Resource Planner'!$I$47-1,'Resource Planner'!$H$47)),"")</f>
        <v/>
      </c>
      <c r="G1877" s="163" t="s">
        <v>109</v>
      </c>
      <c r="H1877" s="163" t="str">
        <f>IF(AND('Resource Planner'!$A$47="☑",23&lt;='Resource Planner'!$N$47),'Resource Planner'!$M$47,"")</f>
        <v/>
      </c>
    </row>
    <row r="1878" ht="15.75" customHeight="1">
      <c r="A18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8" s="163" t="str">
        <f>IF(AND('Resource Planner'!$A$47="☑",24&lt;='Resource Planner'!$N$47),'Resource Planner'!$C$47,"")</f>
        <v/>
      </c>
      <c r="C1878" s="163" t="str">
        <f>IF(AND('Resource Planner'!$A$47="☑",24&lt;='Resource Planner'!$N$47),'Resource Planner'!$B$47,"")</f>
        <v/>
      </c>
      <c r="D1878" s="163" t="str">
        <f>IF(AND('Resource Planner'!$A$47="☑",24&lt;='Resource Planner'!$N$47),'Resource Planner'!$D$47,"")</f>
        <v/>
      </c>
      <c r="E1878" s="163" t="str">
        <f>IF(AND('Resource Planner'!$A$47="☑",24&lt;='Resource Planner'!$N$47),'Resource Planner'!$E$47,"")</f>
        <v/>
      </c>
      <c r="F1878" s="163" t="str">
        <f>IF(AND('Resource Planner'!$A$47="☑",24&lt;='Resource Planner'!$N$47),'Resource Planner'!$F$47&amp;" "&amp;('Resource Planner'!$G$47+(24-1)*'Resource Planner'!$I$47)&amp;IF(('Resource Planner'!$G$47+(24-1)*'Resource Planner'!$I$47)=MIN('Resource Planner'!$G$47+24*'Resource Planner'!$I$47-1,'Resource Planner'!$H$47),"","–"&amp;MIN('Resource Planner'!$G$47+24*'Resource Planner'!$I$47-1,'Resource Planner'!$H$47)),"")</f>
        <v/>
      </c>
      <c r="G1878" s="163" t="s">
        <v>109</v>
      </c>
      <c r="H1878" s="163" t="str">
        <f>IF(AND('Resource Planner'!$A$47="☑",24&lt;='Resource Planner'!$N$47),'Resource Planner'!$M$47,"")</f>
        <v/>
      </c>
    </row>
    <row r="1879" ht="15.75" customHeight="1">
      <c r="A18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79" s="163" t="str">
        <f>IF(AND('Resource Planner'!$A$47="☑",25&lt;='Resource Planner'!$N$47),'Resource Planner'!$C$47,"")</f>
        <v/>
      </c>
      <c r="C1879" s="163" t="str">
        <f>IF(AND('Resource Planner'!$A$47="☑",25&lt;='Resource Planner'!$N$47),'Resource Planner'!$B$47,"")</f>
        <v/>
      </c>
      <c r="D1879" s="163" t="str">
        <f>IF(AND('Resource Planner'!$A$47="☑",25&lt;='Resource Planner'!$N$47),'Resource Planner'!$D$47,"")</f>
        <v/>
      </c>
      <c r="E1879" s="163" t="str">
        <f>IF(AND('Resource Planner'!$A$47="☑",25&lt;='Resource Planner'!$N$47),'Resource Planner'!$E$47,"")</f>
        <v/>
      </c>
      <c r="F1879" s="163" t="str">
        <f>IF(AND('Resource Planner'!$A$47="☑",25&lt;='Resource Planner'!$N$47),'Resource Planner'!$F$47&amp;" "&amp;('Resource Planner'!$G$47+(25-1)*'Resource Planner'!$I$47)&amp;IF(('Resource Planner'!$G$47+(25-1)*'Resource Planner'!$I$47)=MIN('Resource Planner'!$G$47+25*'Resource Planner'!$I$47-1,'Resource Planner'!$H$47),"","–"&amp;MIN('Resource Planner'!$G$47+25*'Resource Planner'!$I$47-1,'Resource Planner'!$H$47)),"")</f>
        <v/>
      </c>
      <c r="G1879" s="163" t="s">
        <v>109</v>
      </c>
      <c r="H1879" s="163" t="str">
        <f>IF(AND('Resource Planner'!$A$47="☑",25&lt;='Resource Planner'!$N$47),'Resource Planner'!$M$47,"")</f>
        <v/>
      </c>
    </row>
    <row r="1880" ht="15.75" customHeight="1">
      <c r="A18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0" s="163" t="str">
        <f>IF(AND('Resource Planner'!$A$47="☑",26&lt;='Resource Planner'!$N$47),'Resource Planner'!$C$47,"")</f>
        <v/>
      </c>
      <c r="C1880" s="163" t="str">
        <f>IF(AND('Resource Planner'!$A$47="☑",26&lt;='Resource Planner'!$N$47),'Resource Planner'!$B$47,"")</f>
        <v/>
      </c>
      <c r="D1880" s="163" t="str">
        <f>IF(AND('Resource Planner'!$A$47="☑",26&lt;='Resource Planner'!$N$47),'Resource Planner'!$D$47,"")</f>
        <v/>
      </c>
      <c r="E1880" s="163" t="str">
        <f>IF(AND('Resource Planner'!$A$47="☑",26&lt;='Resource Planner'!$N$47),'Resource Planner'!$E$47,"")</f>
        <v/>
      </c>
      <c r="F1880" s="163" t="str">
        <f>IF(AND('Resource Planner'!$A$47="☑",26&lt;='Resource Planner'!$N$47),'Resource Planner'!$F$47&amp;" "&amp;('Resource Planner'!$G$47+(26-1)*'Resource Planner'!$I$47)&amp;IF(('Resource Planner'!$G$47+(26-1)*'Resource Planner'!$I$47)=MIN('Resource Planner'!$G$47+26*'Resource Planner'!$I$47-1,'Resource Planner'!$H$47),"","–"&amp;MIN('Resource Planner'!$G$47+26*'Resource Planner'!$I$47-1,'Resource Planner'!$H$47)),"")</f>
        <v/>
      </c>
      <c r="G1880" s="163" t="s">
        <v>109</v>
      </c>
      <c r="H1880" s="163" t="str">
        <f>IF(AND('Resource Planner'!$A$47="☑",26&lt;='Resource Planner'!$N$47),'Resource Planner'!$M$47,"")</f>
        <v/>
      </c>
    </row>
    <row r="1881" ht="15.75" customHeight="1">
      <c r="A18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1" s="163" t="str">
        <f>IF(AND('Resource Planner'!$A$47="☑",27&lt;='Resource Planner'!$N$47),'Resource Planner'!$C$47,"")</f>
        <v/>
      </c>
      <c r="C1881" s="163" t="str">
        <f>IF(AND('Resource Planner'!$A$47="☑",27&lt;='Resource Planner'!$N$47),'Resource Planner'!$B$47,"")</f>
        <v/>
      </c>
      <c r="D1881" s="163" t="str">
        <f>IF(AND('Resource Planner'!$A$47="☑",27&lt;='Resource Planner'!$N$47),'Resource Planner'!$D$47,"")</f>
        <v/>
      </c>
      <c r="E1881" s="163" t="str">
        <f>IF(AND('Resource Planner'!$A$47="☑",27&lt;='Resource Planner'!$N$47),'Resource Planner'!$E$47,"")</f>
        <v/>
      </c>
      <c r="F1881" s="163" t="str">
        <f>IF(AND('Resource Planner'!$A$47="☑",27&lt;='Resource Planner'!$N$47),'Resource Planner'!$F$47&amp;" "&amp;('Resource Planner'!$G$47+(27-1)*'Resource Planner'!$I$47)&amp;IF(('Resource Planner'!$G$47+(27-1)*'Resource Planner'!$I$47)=MIN('Resource Planner'!$G$47+27*'Resource Planner'!$I$47-1,'Resource Planner'!$H$47),"","–"&amp;MIN('Resource Planner'!$G$47+27*'Resource Planner'!$I$47-1,'Resource Planner'!$H$47)),"")</f>
        <v/>
      </c>
      <c r="G1881" s="163" t="s">
        <v>109</v>
      </c>
      <c r="H1881" s="163" t="str">
        <f>IF(AND('Resource Planner'!$A$47="☑",27&lt;='Resource Planner'!$N$47),'Resource Planner'!$M$47,"")</f>
        <v/>
      </c>
    </row>
    <row r="1882" ht="15.75" customHeight="1">
      <c r="A18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2" s="163" t="str">
        <f>IF(AND('Resource Planner'!$A$47="☑",28&lt;='Resource Planner'!$N$47),'Resource Planner'!$C$47,"")</f>
        <v/>
      </c>
      <c r="C1882" s="163" t="str">
        <f>IF(AND('Resource Planner'!$A$47="☑",28&lt;='Resource Planner'!$N$47),'Resource Planner'!$B$47,"")</f>
        <v/>
      </c>
      <c r="D1882" s="163" t="str">
        <f>IF(AND('Resource Planner'!$A$47="☑",28&lt;='Resource Planner'!$N$47),'Resource Planner'!$D$47,"")</f>
        <v/>
      </c>
      <c r="E1882" s="163" t="str">
        <f>IF(AND('Resource Planner'!$A$47="☑",28&lt;='Resource Planner'!$N$47),'Resource Planner'!$E$47,"")</f>
        <v/>
      </c>
      <c r="F1882" s="163" t="str">
        <f>IF(AND('Resource Planner'!$A$47="☑",28&lt;='Resource Planner'!$N$47),'Resource Planner'!$F$47&amp;" "&amp;('Resource Planner'!$G$47+(28-1)*'Resource Planner'!$I$47)&amp;IF(('Resource Planner'!$G$47+(28-1)*'Resource Planner'!$I$47)=MIN('Resource Planner'!$G$47+28*'Resource Planner'!$I$47-1,'Resource Planner'!$H$47),"","–"&amp;MIN('Resource Planner'!$G$47+28*'Resource Planner'!$I$47-1,'Resource Planner'!$H$47)),"")</f>
        <v/>
      </c>
      <c r="G1882" s="163" t="s">
        <v>109</v>
      </c>
      <c r="H1882" s="163" t="str">
        <f>IF(AND('Resource Planner'!$A$47="☑",28&lt;='Resource Planner'!$N$47),'Resource Planner'!$M$47,"")</f>
        <v/>
      </c>
    </row>
    <row r="1883" ht="15.75" customHeight="1">
      <c r="A18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3" s="163" t="str">
        <f>IF(AND('Resource Planner'!$A$47="☑",29&lt;='Resource Planner'!$N$47),'Resource Planner'!$C$47,"")</f>
        <v/>
      </c>
      <c r="C1883" s="163" t="str">
        <f>IF(AND('Resource Planner'!$A$47="☑",29&lt;='Resource Planner'!$N$47),'Resource Planner'!$B$47,"")</f>
        <v/>
      </c>
      <c r="D1883" s="163" t="str">
        <f>IF(AND('Resource Planner'!$A$47="☑",29&lt;='Resource Planner'!$N$47),'Resource Planner'!$D$47,"")</f>
        <v/>
      </c>
      <c r="E1883" s="163" t="str">
        <f>IF(AND('Resource Planner'!$A$47="☑",29&lt;='Resource Planner'!$N$47),'Resource Planner'!$E$47,"")</f>
        <v/>
      </c>
      <c r="F1883" s="163" t="str">
        <f>IF(AND('Resource Planner'!$A$47="☑",29&lt;='Resource Planner'!$N$47),'Resource Planner'!$F$47&amp;" "&amp;('Resource Planner'!$G$47+(29-1)*'Resource Planner'!$I$47)&amp;IF(('Resource Planner'!$G$47+(29-1)*'Resource Planner'!$I$47)=MIN('Resource Planner'!$G$47+29*'Resource Planner'!$I$47-1,'Resource Planner'!$H$47),"","–"&amp;MIN('Resource Planner'!$G$47+29*'Resource Planner'!$I$47-1,'Resource Planner'!$H$47)),"")</f>
        <v/>
      </c>
      <c r="G1883" s="163" t="s">
        <v>109</v>
      </c>
      <c r="H1883" s="163" t="str">
        <f>IF(AND('Resource Planner'!$A$47="☑",29&lt;='Resource Planner'!$N$47),'Resource Planner'!$M$47,"")</f>
        <v/>
      </c>
    </row>
    <row r="1884" ht="15.75" customHeight="1">
      <c r="A18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4" s="163" t="str">
        <f>IF(AND('Resource Planner'!$A$47="☑",30&lt;='Resource Planner'!$N$47),'Resource Planner'!$C$47,"")</f>
        <v/>
      </c>
      <c r="C1884" s="163" t="str">
        <f>IF(AND('Resource Planner'!$A$47="☑",30&lt;='Resource Planner'!$N$47),'Resource Planner'!$B$47,"")</f>
        <v/>
      </c>
      <c r="D1884" s="163" t="str">
        <f>IF(AND('Resource Planner'!$A$47="☑",30&lt;='Resource Planner'!$N$47),'Resource Planner'!$D$47,"")</f>
        <v/>
      </c>
      <c r="E1884" s="163" t="str">
        <f>IF(AND('Resource Planner'!$A$47="☑",30&lt;='Resource Planner'!$N$47),'Resource Planner'!$E$47,"")</f>
        <v/>
      </c>
      <c r="F1884" s="163" t="str">
        <f>IF(AND('Resource Planner'!$A$47="☑",30&lt;='Resource Planner'!$N$47),'Resource Planner'!$F$47&amp;" "&amp;('Resource Planner'!$G$47+(30-1)*'Resource Planner'!$I$47)&amp;IF(('Resource Planner'!$G$47+(30-1)*'Resource Planner'!$I$47)=MIN('Resource Planner'!$G$47+30*'Resource Planner'!$I$47-1,'Resource Planner'!$H$47),"","–"&amp;MIN('Resource Planner'!$G$47+30*'Resource Planner'!$I$47-1,'Resource Planner'!$H$47)),"")</f>
        <v/>
      </c>
      <c r="G1884" s="163" t="s">
        <v>109</v>
      </c>
      <c r="H1884" s="163" t="str">
        <f>IF(AND('Resource Planner'!$A$47="☑",30&lt;='Resource Planner'!$N$47),'Resource Planner'!$M$47,"")</f>
        <v/>
      </c>
    </row>
    <row r="1885" ht="15.75" customHeight="1">
      <c r="A18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5" s="163" t="str">
        <f>IF(AND('Resource Planner'!$A$47="☑",31&lt;='Resource Planner'!$N$47),'Resource Planner'!$C$47,"")</f>
        <v/>
      </c>
      <c r="C1885" s="163" t="str">
        <f>IF(AND('Resource Planner'!$A$47="☑",31&lt;='Resource Planner'!$N$47),'Resource Planner'!$B$47,"")</f>
        <v/>
      </c>
      <c r="D1885" s="163" t="str">
        <f>IF(AND('Resource Planner'!$A$47="☑",31&lt;='Resource Planner'!$N$47),'Resource Planner'!$D$47,"")</f>
        <v/>
      </c>
      <c r="E1885" s="163" t="str">
        <f>IF(AND('Resource Planner'!$A$47="☑",31&lt;='Resource Planner'!$N$47),'Resource Planner'!$E$47,"")</f>
        <v/>
      </c>
      <c r="F1885" s="163" t="str">
        <f>IF(AND('Resource Planner'!$A$47="☑",31&lt;='Resource Planner'!$N$47),'Resource Planner'!$F$47&amp;" "&amp;('Resource Planner'!$G$47+(31-1)*'Resource Planner'!$I$47)&amp;IF(('Resource Planner'!$G$47+(31-1)*'Resource Planner'!$I$47)=MIN('Resource Planner'!$G$47+31*'Resource Planner'!$I$47-1,'Resource Planner'!$H$47),"","–"&amp;MIN('Resource Planner'!$G$47+31*'Resource Planner'!$I$47-1,'Resource Planner'!$H$47)),"")</f>
        <v/>
      </c>
      <c r="G1885" s="163" t="s">
        <v>109</v>
      </c>
      <c r="H1885" s="163" t="str">
        <f>IF(AND('Resource Planner'!$A$47="☑",31&lt;='Resource Planner'!$N$47),'Resource Planner'!$M$47,"")</f>
        <v/>
      </c>
    </row>
    <row r="1886" ht="15.75" customHeight="1">
      <c r="A18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6" s="163" t="str">
        <f>IF(AND('Resource Planner'!$A$47="☑",32&lt;='Resource Planner'!$N$47),'Resource Planner'!$C$47,"")</f>
        <v/>
      </c>
      <c r="C1886" s="163" t="str">
        <f>IF(AND('Resource Planner'!$A$47="☑",32&lt;='Resource Planner'!$N$47),'Resource Planner'!$B$47,"")</f>
        <v/>
      </c>
      <c r="D1886" s="163" t="str">
        <f>IF(AND('Resource Planner'!$A$47="☑",32&lt;='Resource Planner'!$N$47),'Resource Planner'!$D$47,"")</f>
        <v/>
      </c>
      <c r="E1886" s="163" t="str">
        <f>IF(AND('Resource Planner'!$A$47="☑",32&lt;='Resource Planner'!$N$47),'Resource Planner'!$E$47,"")</f>
        <v/>
      </c>
      <c r="F1886" s="163" t="str">
        <f>IF(AND('Resource Planner'!$A$47="☑",32&lt;='Resource Planner'!$N$47),'Resource Planner'!$F$47&amp;" "&amp;('Resource Planner'!$G$47+(32-1)*'Resource Planner'!$I$47)&amp;IF(('Resource Planner'!$G$47+(32-1)*'Resource Planner'!$I$47)=MIN('Resource Planner'!$G$47+32*'Resource Planner'!$I$47-1,'Resource Planner'!$H$47),"","–"&amp;MIN('Resource Planner'!$G$47+32*'Resource Planner'!$I$47-1,'Resource Planner'!$H$47)),"")</f>
        <v/>
      </c>
      <c r="G1886" s="163" t="s">
        <v>109</v>
      </c>
      <c r="H1886" s="163" t="str">
        <f>IF(AND('Resource Planner'!$A$47="☑",32&lt;='Resource Planner'!$N$47),'Resource Planner'!$M$47,"")</f>
        <v/>
      </c>
    </row>
    <row r="1887" ht="15.75" customHeight="1">
      <c r="A18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7" s="163" t="str">
        <f>IF(AND('Resource Planner'!$A$47="☑",33&lt;='Resource Planner'!$N$47),'Resource Planner'!$C$47,"")</f>
        <v/>
      </c>
      <c r="C1887" s="163" t="str">
        <f>IF(AND('Resource Planner'!$A$47="☑",33&lt;='Resource Planner'!$N$47),'Resource Planner'!$B$47,"")</f>
        <v/>
      </c>
      <c r="D1887" s="163" t="str">
        <f>IF(AND('Resource Planner'!$A$47="☑",33&lt;='Resource Planner'!$N$47),'Resource Planner'!$D$47,"")</f>
        <v/>
      </c>
      <c r="E1887" s="163" t="str">
        <f>IF(AND('Resource Planner'!$A$47="☑",33&lt;='Resource Planner'!$N$47),'Resource Planner'!$E$47,"")</f>
        <v/>
      </c>
      <c r="F1887" s="163" t="str">
        <f>IF(AND('Resource Planner'!$A$47="☑",33&lt;='Resource Planner'!$N$47),'Resource Planner'!$F$47&amp;" "&amp;('Resource Planner'!$G$47+(33-1)*'Resource Planner'!$I$47)&amp;IF(('Resource Planner'!$G$47+(33-1)*'Resource Planner'!$I$47)=MIN('Resource Planner'!$G$47+33*'Resource Planner'!$I$47-1,'Resource Planner'!$H$47),"","–"&amp;MIN('Resource Planner'!$G$47+33*'Resource Planner'!$I$47-1,'Resource Planner'!$H$47)),"")</f>
        <v/>
      </c>
      <c r="G1887" s="163" t="s">
        <v>109</v>
      </c>
      <c r="H1887" s="163" t="str">
        <f>IF(AND('Resource Planner'!$A$47="☑",33&lt;='Resource Planner'!$N$47),'Resource Planner'!$M$47,"")</f>
        <v/>
      </c>
    </row>
    <row r="1888" ht="15.75" customHeight="1">
      <c r="A18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8" s="163" t="str">
        <f>IF(AND('Resource Planner'!$A$47="☑",34&lt;='Resource Planner'!$N$47),'Resource Planner'!$C$47,"")</f>
        <v/>
      </c>
      <c r="C1888" s="163" t="str">
        <f>IF(AND('Resource Planner'!$A$47="☑",34&lt;='Resource Planner'!$N$47),'Resource Planner'!$B$47,"")</f>
        <v/>
      </c>
      <c r="D1888" s="163" t="str">
        <f>IF(AND('Resource Planner'!$A$47="☑",34&lt;='Resource Planner'!$N$47),'Resource Planner'!$D$47,"")</f>
        <v/>
      </c>
      <c r="E1888" s="163" t="str">
        <f>IF(AND('Resource Planner'!$A$47="☑",34&lt;='Resource Planner'!$N$47),'Resource Planner'!$E$47,"")</f>
        <v/>
      </c>
      <c r="F1888" s="163" t="str">
        <f>IF(AND('Resource Planner'!$A$47="☑",34&lt;='Resource Planner'!$N$47),'Resource Planner'!$F$47&amp;" "&amp;('Resource Planner'!$G$47+(34-1)*'Resource Planner'!$I$47)&amp;IF(('Resource Planner'!$G$47+(34-1)*'Resource Planner'!$I$47)=MIN('Resource Planner'!$G$47+34*'Resource Planner'!$I$47-1,'Resource Planner'!$H$47),"","–"&amp;MIN('Resource Planner'!$G$47+34*'Resource Planner'!$I$47-1,'Resource Planner'!$H$47)),"")</f>
        <v/>
      </c>
      <c r="G1888" s="163" t="s">
        <v>109</v>
      </c>
      <c r="H1888" s="163" t="str">
        <f>IF(AND('Resource Planner'!$A$47="☑",34&lt;='Resource Planner'!$N$47),'Resource Planner'!$M$47,"")</f>
        <v/>
      </c>
    </row>
    <row r="1889" ht="15.75" customHeight="1">
      <c r="A18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89" s="163" t="str">
        <f>IF(AND('Resource Planner'!$A$47="☑",35&lt;='Resource Planner'!$N$47),'Resource Planner'!$C$47,"")</f>
        <v/>
      </c>
      <c r="C1889" s="163" t="str">
        <f>IF(AND('Resource Planner'!$A$47="☑",35&lt;='Resource Planner'!$N$47),'Resource Planner'!$B$47,"")</f>
        <v/>
      </c>
      <c r="D1889" s="163" t="str">
        <f>IF(AND('Resource Planner'!$A$47="☑",35&lt;='Resource Planner'!$N$47),'Resource Planner'!$D$47,"")</f>
        <v/>
      </c>
      <c r="E1889" s="163" t="str">
        <f>IF(AND('Resource Planner'!$A$47="☑",35&lt;='Resource Planner'!$N$47),'Resource Planner'!$E$47,"")</f>
        <v/>
      </c>
      <c r="F1889" s="163" t="str">
        <f>IF(AND('Resource Planner'!$A$47="☑",35&lt;='Resource Planner'!$N$47),'Resource Planner'!$F$47&amp;" "&amp;('Resource Planner'!$G$47+(35-1)*'Resource Planner'!$I$47)&amp;IF(('Resource Planner'!$G$47+(35-1)*'Resource Planner'!$I$47)=MIN('Resource Planner'!$G$47+35*'Resource Planner'!$I$47-1,'Resource Planner'!$H$47),"","–"&amp;MIN('Resource Planner'!$G$47+35*'Resource Planner'!$I$47-1,'Resource Planner'!$H$47)),"")</f>
        <v/>
      </c>
      <c r="G1889" s="163" t="s">
        <v>109</v>
      </c>
      <c r="H1889" s="163" t="str">
        <f>IF(AND('Resource Planner'!$A$47="☑",35&lt;='Resource Planner'!$N$47),'Resource Planner'!$M$47,"")</f>
        <v/>
      </c>
    </row>
    <row r="1890" ht="15.75" customHeight="1">
      <c r="A18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0" s="163" t="str">
        <f>IF(AND('Resource Planner'!$A$47="☑",36&lt;='Resource Planner'!$N$47),'Resource Planner'!$C$47,"")</f>
        <v/>
      </c>
      <c r="C1890" s="163" t="str">
        <f>IF(AND('Resource Planner'!$A$47="☑",36&lt;='Resource Planner'!$N$47),'Resource Planner'!$B$47,"")</f>
        <v/>
      </c>
      <c r="D1890" s="163" t="str">
        <f>IF(AND('Resource Planner'!$A$47="☑",36&lt;='Resource Planner'!$N$47),'Resource Planner'!$D$47,"")</f>
        <v/>
      </c>
      <c r="E1890" s="163" t="str">
        <f>IF(AND('Resource Planner'!$A$47="☑",36&lt;='Resource Planner'!$N$47),'Resource Planner'!$E$47,"")</f>
        <v/>
      </c>
      <c r="F1890" s="163" t="str">
        <f>IF(AND('Resource Planner'!$A$47="☑",36&lt;='Resource Planner'!$N$47),'Resource Planner'!$F$47&amp;" "&amp;('Resource Planner'!$G$47+(36-1)*'Resource Planner'!$I$47)&amp;IF(('Resource Planner'!$G$47+(36-1)*'Resource Planner'!$I$47)=MIN('Resource Planner'!$G$47+36*'Resource Planner'!$I$47-1,'Resource Planner'!$H$47),"","–"&amp;MIN('Resource Planner'!$G$47+36*'Resource Planner'!$I$47-1,'Resource Planner'!$H$47)),"")</f>
        <v/>
      </c>
      <c r="G1890" s="163" t="s">
        <v>109</v>
      </c>
      <c r="H1890" s="163" t="str">
        <f>IF(AND('Resource Planner'!$A$47="☑",36&lt;='Resource Planner'!$N$47),'Resource Planner'!$M$47,"")</f>
        <v/>
      </c>
    </row>
    <row r="1891" ht="15.75" customHeight="1">
      <c r="A18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1" s="163" t="str">
        <f>IF(AND('Resource Planner'!$A$47="☑",37&lt;='Resource Planner'!$N$47),'Resource Planner'!$C$47,"")</f>
        <v/>
      </c>
      <c r="C1891" s="163" t="str">
        <f>IF(AND('Resource Planner'!$A$47="☑",37&lt;='Resource Planner'!$N$47),'Resource Planner'!$B$47,"")</f>
        <v/>
      </c>
      <c r="D1891" s="163" t="str">
        <f>IF(AND('Resource Planner'!$A$47="☑",37&lt;='Resource Planner'!$N$47),'Resource Planner'!$D$47,"")</f>
        <v/>
      </c>
      <c r="E1891" s="163" t="str">
        <f>IF(AND('Resource Planner'!$A$47="☑",37&lt;='Resource Planner'!$N$47),'Resource Planner'!$E$47,"")</f>
        <v/>
      </c>
      <c r="F1891" s="163" t="str">
        <f>IF(AND('Resource Planner'!$A$47="☑",37&lt;='Resource Planner'!$N$47),'Resource Planner'!$F$47&amp;" "&amp;('Resource Planner'!$G$47+(37-1)*'Resource Planner'!$I$47)&amp;IF(('Resource Planner'!$G$47+(37-1)*'Resource Planner'!$I$47)=MIN('Resource Planner'!$G$47+37*'Resource Planner'!$I$47-1,'Resource Planner'!$H$47),"","–"&amp;MIN('Resource Planner'!$G$47+37*'Resource Planner'!$I$47-1,'Resource Planner'!$H$47)),"")</f>
        <v/>
      </c>
      <c r="G1891" s="163" t="s">
        <v>109</v>
      </c>
      <c r="H1891" s="163" t="str">
        <f>IF(AND('Resource Planner'!$A$47="☑",37&lt;='Resource Planner'!$N$47),'Resource Planner'!$M$47,"")</f>
        <v/>
      </c>
    </row>
    <row r="1892" ht="15.75" customHeight="1">
      <c r="A18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2" s="163" t="str">
        <f>IF(AND('Resource Planner'!$A$47="☑",38&lt;='Resource Planner'!$N$47),'Resource Planner'!$C$47,"")</f>
        <v/>
      </c>
      <c r="C1892" s="163" t="str">
        <f>IF(AND('Resource Planner'!$A$47="☑",38&lt;='Resource Planner'!$N$47),'Resource Planner'!$B$47,"")</f>
        <v/>
      </c>
      <c r="D1892" s="163" t="str">
        <f>IF(AND('Resource Planner'!$A$47="☑",38&lt;='Resource Planner'!$N$47),'Resource Planner'!$D$47,"")</f>
        <v/>
      </c>
      <c r="E1892" s="163" t="str">
        <f>IF(AND('Resource Planner'!$A$47="☑",38&lt;='Resource Planner'!$N$47),'Resource Planner'!$E$47,"")</f>
        <v/>
      </c>
      <c r="F1892" s="163" t="str">
        <f>IF(AND('Resource Planner'!$A$47="☑",38&lt;='Resource Planner'!$N$47),'Resource Planner'!$F$47&amp;" "&amp;('Resource Planner'!$G$47+(38-1)*'Resource Planner'!$I$47)&amp;IF(('Resource Planner'!$G$47+(38-1)*'Resource Planner'!$I$47)=MIN('Resource Planner'!$G$47+38*'Resource Planner'!$I$47-1,'Resource Planner'!$H$47),"","–"&amp;MIN('Resource Planner'!$G$47+38*'Resource Planner'!$I$47-1,'Resource Planner'!$H$47)),"")</f>
        <v/>
      </c>
      <c r="G1892" s="163" t="s">
        <v>109</v>
      </c>
      <c r="H1892" s="163" t="str">
        <f>IF(AND('Resource Planner'!$A$47="☑",38&lt;='Resource Planner'!$N$47),'Resource Planner'!$M$47,"")</f>
        <v/>
      </c>
    </row>
    <row r="1893" ht="15.75" customHeight="1">
      <c r="A18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3" s="163" t="str">
        <f>IF(AND('Resource Planner'!$A$47="☑",39&lt;='Resource Planner'!$N$47),'Resource Planner'!$C$47,"")</f>
        <v/>
      </c>
      <c r="C1893" s="163" t="str">
        <f>IF(AND('Resource Planner'!$A$47="☑",39&lt;='Resource Planner'!$N$47),'Resource Planner'!$B$47,"")</f>
        <v/>
      </c>
      <c r="D1893" s="163" t="str">
        <f>IF(AND('Resource Planner'!$A$47="☑",39&lt;='Resource Planner'!$N$47),'Resource Planner'!$D$47,"")</f>
        <v/>
      </c>
      <c r="E1893" s="163" t="str">
        <f>IF(AND('Resource Planner'!$A$47="☑",39&lt;='Resource Planner'!$N$47),'Resource Planner'!$E$47,"")</f>
        <v/>
      </c>
      <c r="F1893" s="163" t="str">
        <f>IF(AND('Resource Planner'!$A$47="☑",39&lt;='Resource Planner'!$N$47),'Resource Planner'!$F$47&amp;" "&amp;('Resource Planner'!$G$47+(39-1)*'Resource Planner'!$I$47)&amp;IF(('Resource Planner'!$G$47+(39-1)*'Resource Planner'!$I$47)=MIN('Resource Planner'!$G$47+39*'Resource Planner'!$I$47-1,'Resource Planner'!$H$47),"","–"&amp;MIN('Resource Planner'!$G$47+39*'Resource Planner'!$I$47-1,'Resource Planner'!$H$47)),"")</f>
        <v/>
      </c>
      <c r="G1893" s="163" t="s">
        <v>109</v>
      </c>
      <c r="H1893" s="163" t="str">
        <f>IF(AND('Resource Planner'!$A$47="☑",39&lt;='Resource Planner'!$N$47),'Resource Planner'!$M$47,"")</f>
        <v/>
      </c>
    </row>
    <row r="1894" ht="15.75" customHeight="1">
      <c r="A18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4" s="163" t="str">
        <f>IF(AND('Resource Planner'!$A$47="☑",40&lt;='Resource Planner'!$N$47),'Resource Planner'!$C$47,"")</f>
        <v/>
      </c>
      <c r="C1894" s="163" t="str">
        <f>IF(AND('Resource Planner'!$A$47="☑",40&lt;='Resource Planner'!$N$47),'Resource Planner'!$B$47,"")</f>
        <v/>
      </c>
      <c r="D1894" s="163" t="str">
        <f>IF(AND('Resource Planner'!$A$47="☑",40&lt;='Resource Planner'!$N$47),'Resource Planner'!$D$47,"")</f>
        <v/>
      </c>
      <c r="E1894" s="163" t="str">
        <f>IF(AND('Resource Planner'!$A$47="☑",40&lt;='Resource Planner'!$N$47),'Resource Planner'!$E$47,"")</f>
        <v/>
      </c>
      <c r="F1894" s="163" t="str">
        <f>IF(AND('Resource Planner'!$A$47="☑",40&lt;='Resource Planner'!$N$47),'Resource Planner'!$F$47&amp;" "&amp;('Resource Planner'!$G$47+(40-1)*'Resource Planner'!$I$47)&amp;IF(('Resource Planner'!$G$47+(40-1)*'Resource Planner'!$I$47)=MIN('Resource Planner'!$G$47+40*'Resource Planner'!$I$47-1,'Resource Planner'!$H$47),"","–"&amp;MIN('Resource Planner'!$G$47+40*'Resource Planner'!$I$47-1,'Resource Planner'!$H$47)),"")</f>
        <v/>
      </c>
      <c r="G1894" s="163" t="s">
        <v>109</v>
      </c>
      <c r="H1894" s="163" t="str">
        <f>IF(AND('Resource Planner'!$A$47="☑",40&lt;='Resource Planner'!$N$47),'Resource Planner'!$M$47,"")</f>
        <v/>
      </c>
    </row>
    <row r="1895" ht="15.75" customHeight="1">
      <c r="A18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5" s="163" t="str">
        <f>IF(AND('Resource Planner'!$A$47="☑",41&lt;='Resource Planner'!$N$47),'Resource Planner'!$C$47,"")</f>
        <v/>
      </c>
      <c r="C1895" s="163" t="str">
        <f>IF(AND('Resource Planner'!$A$47="☑",41&lt;='Resource Planner'!$N$47),'Resource Planner'!$B$47,"")</f>
        <v/>
      </c>
      <c r="D1895" s="163" t="str">
        <f>IF(AND('Resource Planner'!$A$47="☑",41&lt;='Resource Planner'!$N$47),'Resource Planner'!$D$47,"")</f>
        <v/>
      </c>
      <c r="E1895" s="163" t="str">
        <f>IF(AND('Resource Planner'!$A$47="☑",41&lt;='Resource Planner'!$N$47),'Resource Planner'!$E$47,"")</f>
        <v/>
      </c>
      <c r="F1895" s="163" t="str">
        <f>IF(AND('Resource Planner'!$A$47="☑",41&lt;='Resource Planner'!$N$47),'Resource Planner'!$F$47&amp;" "&amp;('Resource Planner'!$G$47+(41-1)*'Resource Planner'!$I$47)&amp;IF(('Resource Planner'!$G$47+(41-1)*'Resource Planner'!$I$47)=MIN('Resource Planner'!$G$47+41*'Resource Planner'!$I$47-1,'Resource Planner'!$H$47),"","–"&amp;MIN('Resource Planner'!$G$47+41*'Resource Planner'!$I$47-1,'Resource Planner'!$H$47)),"")</f>
        <v/>
      </c>
      <c r="G1895" s="163" t="s">
        <v>109</v>
      </c>
      <c r="H1895" s="163" t="str">
        <f>IF(AND('Resource Planner'!$A$47="☑",41&lt;='Resource Planner'!$N$47),'Resource Planner'!$M$47,"")</f>
        <v/>
      </c>
    </row>
    <row r="1896" ht="15.75" customHeight="1">
      <c r="A18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6" s="163" t="str">
        <f>IF(AND('Resource Planner'!$A$47="☑",42&lt;='Resource Planner'!$N$47),'Resource Planner'!$C$47,"")</f>
        <v/>
      </c>
      <c r="C1896" s="163" t="str">
        <f>IF(AND('Resource Planner'!$A$47="☑",42&lt;='Resource Planner'!$N$47),'Resource Planner'!$B$47,"")</f>
        <v/>
      </c>
      <c r="D1896" s="163" t="str">
        <f>IF(AND('Resource Planner'!$A$47="☑",42&lt;='Resource Planner'!$N$47),'Resource Planner'!$D$47,"")</f>
        <v/>
      </c>
      <c r="E1896" s="163" t="str">
        <f>IF(AND('Resource Planner'!$A$47="☑",42&lt;='Resource Planner'!$N$47),'Resource Planner'!$E$47,"")</f>
        <v/>
      </c>
      <c r="F1896" s="163" t="str">
        <f>IF(AND('Resource Planner'!$A$47="☑",42&lt;='Resource Planner'!$N$47),'Resource Planner'!$F$47&amp;" "&amp;('Resource Planner'!$G$47+(42-1)*'Resource Planner'!$I$47)&amp;IF(('Resource Planner'!$G$47+(42-1)*'Resource Planner'!$I$47)=MIN('Resource Planner'!$G$47+42*'Resource Planner'!$I$47-1,'Resource Planner'!$H$47),"","–"&amp;MIN('Resource Planner'!$G$47+42*'Resource Planner'!$I$47-1,'Resource Planner'!$H$47)),"")</f>
        <v/>
      </c>
      <c r="G1896" s="163" t="s">
        <v>109</v>
      </c>
      <c r="H1896" s="163" t="str">
        <f>IF(AND('Resource Planner'!$A$47="☑",42&lt;='Resource Planner'!$N$47),'Resource Planner'!$M$47,"")</f>
        <v/>
      </c>
    </row>
    <row r="1897" ht="15.75" customHeight="1">
      <c r="A18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7" s="163" t="str">
        <f>IF(AND('Resource Planner'!$A$47="☑",43&lt;='Resource Planner'!$N$47),'Resource Planner'!$C$47,"")</f>
        <v/>
      </c>
      <c r="C1897" s="163" t="str">
        <f>IF(AND('Resource Planner'!$A$47="☑",43&lt;='Resource Planner'!$N$47),'Resource Planner'!$B$47,"")</f>
        <v/>
      </c>
      <c r="D1897" s="163" t="str">
        <f>IF(AND('Resource Planner'!$A$47="☑",43&lt;='Resource Planner'!$N$47),'Resource Planner'!$D$47,"")</f>
        <v/>
      </c>
      <c r="E1897" s="163" t="str">
        <f>IF(AND('Resource Planner'!$A$47="☑",43&lt;='Resource Planner'!$N$47),'Resource Planner'!$E$47,"")</f>
        <v/>
      </c>
      <c r="F1897" s="163" t="str">
        <f>IF(AND('Resource Planner'!$A$47="☑",43&lt;='Resource Planner'!$N$47),'Resource Planner'!$F$47&amp;" "&amp;('Resource Planner'!$G$47+(43-1)*'Resource Planner'!$I$47)&amp;IF(('Resource Planner'!$G$47+(43-1)*'Resource Planner'!$I$47)=MIN('Resource Planner'!$G$47+43*'Resource Planner'!$I$47-1,'Resource Planner'!$H$47),"","–"&amp;MIN('Resource Planner'!$G$47+43*'Resource Planner'!$I$47-1,'Resource Planner'!$H$47)),"")</f>
        <v/>
      </c>
      <c r="G1897" s="163" t="s">
        <v>109</v>
      </c>
      <c r="H1897" s="163" t="str">
        <f>IF(AND('Resource Planner'!$A$47="☑",43&lt;='Resource Planner'!$N$47),'Resource Planner'!$M$47,"")</f>
        <v/>
      </c>
    </row>
    <row r="1898" ht="15.75" customHeight="1">
      <c r="A18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8" s="163" t="str">
        <f>IF(AND('Resource Planner'!$A$47="☑",44&lt;='Resource Planner'!$N$47),'Resource Planner'!$C$47,"")</f>
        <v/>
      </c>
      <c r="C1898" s="163" t="str">
        <f>IF(AND('Resource Planner'!$A$47="☑",44&lt;='Resource Planner'!$N$47),'Resource Planner'!$B$47,"")</f>
        <v/>
      </c>
      <c r="D1898" s="163" t="str">
        <f>IF(AND('Resource Planner'!$A$47="☑",44&lt;='Resource Planner'!$N$47),'Resource Planner'!$D$47,"")</f>
        <v/>
      </c>
      <c r="E1898" s="163" t="str">
        <f>IF(AND('Resource Planner'!$A$47="☑",44&lt;='Resource Planner'!$N$47),'Resource Planner'!$E$47,"")</f>
        <v/>
      </c>
      <c r="F1898" s="163" t="str">
        <f>IF(AND('Resource Planner'!$A$47="☑",44&lt;='Resource Planner'!$N$47),'Resource Planner'!$F$47&amp;" "&amp;('Resource Planner'!$G$47+(44-1)*'Resource Planner'!$I$47)&amp;IF(('Resource Planner'!$G$47+(44-1)*'Resource Planner'!$I$47)=MIN('Resource Planner'!$G$47+44*'Resource Planner'!$I$47-1,'Resource Planner'!$H$47),"","–"&amp;MIN('Resource Planner'!$G$47+44*'Resource Planner'!$I$47-1,'Resource Planner'!$H$47)),"")</f>
        <v/>
      </c>
      <c r="G1898" s="163" t="s">
        <v>109</v>
      </c>
      <c r="H1898" s="163" t="str">
        <f>IF(AND('Resource Planner'!$A$47="☑",44&lt;='Resource Planner'!$N$47),'Resource Planner'!$M$47,"")</f>
        <v/>
      </c>
    </row>
    <row r="1899" ht="15.75" customHeight="1">
      <c r="A18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899" s="163" t="str">
        <f>IF(AND('Resource Planner'!$A$47="☑",45&lt;='Resource Planner'!$N$47),'Resource Planner'!$C$47,"")</f>
        <v/>
      </c>
      <c r="C1899" s="163" t="str">
        <f>IF(AND('Resource Planner'!$A$47="☑",45&lt;='Resource Planner'!$N$47),'Resource Planner'!$B$47,"")</f>
        <v/>
      </c>
      <c r="D1899" s="163" t="str">
        <f>IF(AND('Resource Planner'!$A$47="☑",45&lt;='Resource Planner'!$N$47),'Resource Planner'!$D$47,"")</f>
        <v/>
      </c>
      <c r="E1899" s="163" t="str">
        <f>IF(AND('Resource Planner'!$A$47="☑",45&lt;='Resource Planner'!$N$47),'Resource Planner'!$E$47,"")</f>
        <v/>
      </c>
      <c r="F1899" s="163" t="str">
        <f>IF(AND('Resource Planner'!$A$47="☑",45&lt;='Resource Planner'!$N$47),'Resource Planner'!$F$47&amp;" "&amp;('Resource Planner'!$G$47+(45-1)*'Resource Planner'!$I$47)&amp;IF(('Resource Planner'!$G$47+(45-1)*'Resource Planner'!$I$47)=MIN('Resource Planner'!$G$47+45*'Resource Planner'!$I$47-1,'Resource Planner'!$H$47),"","–"&amp;MIN('Resource Planner'!$G$47+45*'Resource Planner'!$I$47-1,'Resource Planner'!$H$47)),"")</f>
        <v/>
      </c>
      <c r="G1899" s="163" t="s">
        <v>109</v>
      </c>
      <c r="H1899" s="163" t="str">
        <f>IF(AND('Resource Planner'!$A$47="☑",45&lt;='Resource Planner'!$N$47),'Resource Planner'!$M$47,"")</f>
        <v/>
      </c>
    </row>
    <row r="1900" ht="15.75" customHeight="1">
      <c r="A19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0" s="163" t="str">
        <f>IF(AND('Resource Planner'!$A$47="☑",46&lt;='Resource Planner'!$N$47),'Resource Planner'!$C$47,"")</f>
        <v/>
      </c>
      <c r="C1900" s="163" t="str">
        <f>IF(AND('Resource Planner'!$A$47="☑",46&lt;='Resource Planner'!$N$47),'Resource Planner'!$B$47,"")</f>
        <v/>
      </c>
      <c r="D1900" s="163" t="str">
        <f>IF(AND('Resource Planner'!$A$47="☑",46&lt;='Resource Planner'!$N$47),'Resource Planner'!$D$47,"")</f>
        <v/>
      </c>
      <c r="E1900" s="163" t="str">
        <f>IF(AND('Resource Planner'!$A$47="☑",46&lt;='Resource Planner'!$N$47),'Resource Planner'!$E$47,"")</f>
        <v/>
      </c>
      <c r="F1900" s="163" t="str">
        <f>IF(AND('Resource Planner'!$A$47="☑",46&lt;='Resource Planner'!$N$47),'Resource Planner'!$F$47&amp;" "&amp;('Resource Planner'!$G$47+(46-1)*'Resource Planner'!$I$47)&amp;IF(('Resource Planner'!$G$47+(46-1)*'Resource Planner'!$I$47)=MIN('Resource Planner'!$G$47+46*'Resource Planner'!$I$47-1,'Resource Planner'!$H$47),"","–"&amp;MIN('Resource Planner'!$G$47+46*'Resource Planner'!$I$47-1,'Resource Planner'!$H$47)),"")</f>
        <v/>
      </c>
      <c r="G1900" s="163" t="s">
        <v>109</v>
      </c>
      <c r="H1900" s="163" t="str">
        <f>IF(AND('Resource Planner'!$A$47="☑",46&lt;='Resource Planner'!$N$47),'Resource Planner'!$M$47,"")</f>
        <v/>
      </c>
    </row>
    <row r="1901" ht="15.75" customHeight="1">
      <c r="A19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1" s="163" t="str">
        <f>IF(AND('Resource Planner'!$A$47="☑",47&lt;='Resource Planner'!$N$47),'Resource Planner'!$C$47,"")</f>
        <v/>
      </c>
      <c r="C1901" s="163" t="str">
        <f>IF(AND('Resource Planner'!$A$47="☑",47&lt;='Resource Planner'!$N$47),'Resource Planner'!$B$47,"")</f>
        <v/>
      </c>
      <c r="D1901" s="163" t="str">
        <f>IF(AND('Resource Planner'!$A$47="☑",47&lt;='Resource Planner'!$N$47),'Resource Planner'!$D$47,"")</f>
        <v/>
      </c>
      <c r="E1901" s="163" t="str">
        <f>IF(AND('Resource Planner'!$A$47="☑",47&lt;='Resource Planner'!$N$47),'Resource Planner'!$E$47,"")</f>
        <v/>
      </c>
      <c r="F1901" s="163" t="str">
        <f>IF(AND('Resource Planner'!$A$47="☑",47&lt;='Resource Planner'!$N$47),'Resource Planner'!$F$47&amp;" "&amp;('Resource Planner'!$G$47+(47-1)*'Resource Planner'!$I$47)&amp;IF(('Resource Planner'!$G$47+(47-1)*'Resource Planner'!$I$47)=MIN('Resource Planner'!$G$47+47*'Resource Planner'!$I$47-1,'Resource Planner'!$H$47),"","–"&amp;MIN('Resource Planner'!$G$47+47*'Resource Planner'!$I$47-1,'Resource Planner'!$H$47)),"")</f>
        <v/>
      </c>
      <c r="G1901" s="163" t="s">
        <v>109</v>
      </c>
      <c r="H1901" s="163" t="str">
        <f>IF(AND('Resource Planner'!$A$47="☑",47&lt;='Resource Planner'!$N$47),'Resource Planner'!$M$47,"")</f>
        <v/>
      </c>
    </row>
    <row r="1902" ht="15.75" customHeight="1">
      <c r="A19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2" s="163" t="str">
        <f>IF(AND('Resource Planner'!$A$47="☑",48&lt;='Resource Planner'!$N$47),'Resource Planner'!$C$47,"")</f>
        <v/>
      </c>
      <c r="C1902" s="163" t="str">
        <f>IF(AND('Resource Planner'!$A$47="☑",48&lt;='Resource Planner'!$N$47),'Resource Planner'!$B$47,"")</f>
        <v/>
      </c>
      <c r="D1902" s="163" t="str">
        <f>IF(AND('Resource Planner'!$A$47="☑",48&lt;='Resource Planner'!$N$47),'Resource Planner'!$D$47,"")</f>
        <v/>
      </c>
      <c r="E1902" s="163" t="str">
        <f>IF(AND('Resource Planner'!$A$47="☑",48&lt;='Resource Planner'!$N$47),'Resource Planner'!$E$47,"")</f>
        <v/>
      </c>
      <c r="F1902" s="163" t="str">
        <f>IF(AND('Resource Planner'!$A$47="☑",48&lt;='Resource Planner'!$N$47),'Resource Planner'!$F$47&amp;" "&amp;('Resource Planner'!$G$47+(48-1)*'Resource Planner'!$I$47)&amp;IF(('Resource Planner'!$G$47+(48-1)*'Resource Planner'!$I$47)=MIN('Resource Planner'!$G$47+48*'Resource Planner'!$I$47-1,'Resource Planner'!$H$47),"","–"&amp;MIN('Resource Planner'!$G$47+48*'Resource Planner'!$I$47-1,'Resource Planner'!$H$47)),"")</f>
        <v/>
      </c>
      <c r="G1902" s="163" t="s">
        <v>109</v>
      </c>
      <c r="H1902" s="163" t="str">
        <f>IF(AND('Resource Planner'!$A$47="☑",48&lt;='Resource Planner'!$N$47),'Resource Planner'!$M$47,"")</f>
        <v/>
      </c>
    </row>
    <row r="1903" ht="15.75" customHeight="1">
      <c r="A19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3" s="163" t="str">
        <f>IF(AND('Resource Planner'!$A$47="☑",49&lt;='Resource Planner'!$N$47),'Resource Planner'!$C$47,"")</f>
        <v/>
      </c>
      <c r="C1903" s="163" t="str">
        <f>IF(AND('Resource Planner'!$A$47="☑",49&lt;='Resource Planner'!$N$47),'Resource Planner'!$B$47,"")</f>
        <v/>
      </c>
      <c r="D1903" s="163" t="str">
        <f>IF(AND('Resource Planner'!$A$47="☑",49&lt;='Resource Planner'!$N$47),'Resource Planner'!$D$47,"")</f>
        <v/>
      </c>
      <c r="E1903" s="163" t="str">
        <f>IF(AND('Resource Planner'!$A$47="☑",49&lt;='Resource Planner'!$N$47),'Resource Planner'!$E$47,"")</f>
        <v/>
      </c>
      <c r="F1903" s="163" t="str">
        <f>IF(AND('Resource Planner'!$A$47="☑",49&lt;='Resource Planner'!$N$47),'Resource Planner'!$F$47&amp;" "&amp;('Resource Planner'!$G$47+(49-1)*'Resource Planner'!$I$47)&amp;IF(('Resource Planner'!$G$47+(49-1)*'Resource Planner'!$I$47)=MIN('Resource Planner'!$G$47+49*'Resource Planner'!$I$47-1,'Resource Planner'!$H$47),"","–"&amp;MIN('Resource Planner'!$G$47+49*'Resource Planner'!$I$47-1,'Resource Planner'!$H$47)),"")</f>
        <v/>
      </c>
      <c r="G1903" s="163" t="s">
        <v>109</v>
      </c>
      <c r="H1903" s="163" t="str">
        <f>IF(AND('Resource Planner'!$A$47="☑",49&lt;='Resource Planner'!$N$47),'Resource Planner'!$M$47,"")</f>
        <v/>
      </c>
    </row>
    <row r="1904" ht="15.75" customHeight="1">
      <c r="A19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4" s="163" t="str">
        <f>IF(AND('Resource Planner'!$A$47="☑",50&lt;='Resource Planner'!$N$47),'Resource Planner'!$C$47,"")</f>
        <v/>
      </c>
      <c r="C1904" s="163" t="str">
        <f>IF(AND('Resource Planner'!$A$47="☑",50&lt;='Resource Planner'!$N$47),'Resource Planner'!$B$47,"")</f>
        <v/>
      </c>
      <c r="D1904" s="163" t="str">
        <f>IF(AND('Resource Planner'!$A$47="☑",50&lt;='Resource Planner'!$N$47),'Resource Planner'!$D$47,"")</f>
        <v/>
      </c>
      <c r="E1904" s="163" t="str">
        <f>IF(AND('Resource Planner'!$A$47="☑",50&lt;='Resource Planner'!$N$47),'Resource Planner'!$E$47,"")</f>
        <v/>
      </c>
      <c r="F1904" s="163" t="str">
        <f>IF(AND('Resource Planner'!$A$47="☑",50&lt;='Resource Planner'!$N$47),'Resource Planner'!$F$47&amp;" "&amp;('Resource Planner'!$G$47+(50-1)*'Resource Planner'!$I$47)&amp;IF(('Resource Planner'!$G$47+(50-1)*'Resource Planner'!$I$47)=MIN('Resource Planner'!$G$47+50*'Resource Planner'!$I$47-1,'Resource Planner'!$H$47),"","–"&amp;MIN('Resource Planner'!$G$47+50*'Resource Planner'!$I$47-1,'Resource Planner'!$H$47)),"")</f>
        <v/>
      </c>
      <c r="G1904" s="163" t="s">
        <v>109</v>
      </c>
      <c r="H1904" s="163" t="str">
        <f>IF(AND('Resource Planner'!$A$47="☑",50&lt;='Resource Planner'!$N$47),'Resource Planner'!$M$47,"")</f>
        <v/>
      </c>
    </row>
    <row r="1905" ht="15.75" customHeight="1">
      <c r="A19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5" s="163" t="str">
        <f>IF(AND('Resource Planner'!$A$48="☑",1&lt;='Resource Planner'!$N$48),'Resource Planner'!$C$48,"")</f>
        <v/>
      </c>
      <c r="C1905" s="163" t="str">
        <f>IF(AND('Resource Planner'!$A$48="☑",1&lt;='Resource Planner'!$N$48),'Resource Planner'!$B$48,"")</f>
        <v/>
      </c>
      <c r="D1905" s="163" t="str">
        <f>IF(AND('Resource Planner'!$A$48="☑",1&lt;='Resource Planner'!$N$48),'Resource Planner'!$D$48,"")</f>
        <v/>
      </c>
      <c r="E1905" s="163" t="str">
        <f>IF(AND('Resource Planner'!$A$48="☑",1&lt;='Resource Planner'!$N$48),'Resource Planner'!$E$48,"")</f>
        <v/>
      </c>
      <c r="F1905" s="163" t="str">
        <f>IF(AND('Resource Planner'!$A$48="☑",1&lt;='Resource Planner'!$N$48),'Resource Planner'!$F$48&amp;" "&amp;('Resource Planner'!$G$48+(1-1)*'Resource Planner'!$I$48)&amp;IF(('Resource Planner'!$G$48+(1-1)*'Resource Planner'!$I$48)=MIN('Resource Planner'!$G$48+1*'Resource Planner'!$I$48-1,'Resource Planner'!$H$48),"","–"&amp;MIN('Resource Planner'!$G$48+1*'Resource Planner'!$I$48-1,'Resource Planner'!$H$48)),"")</f>
        <v/>
      </c>
      <c r="G1905" s="163" t="s">
        <v>109</v>
      </c>
      <c r="H1905" s="163" t="str">
        <f>IF(AND('Resource Planner'!$A$48="☑",1&lt;='Resource Planner'!$N$48),'Resource Planner'!$M$48,"")</f>
        <v/>
      </c>
    </row>
    <row r="1906" ht="15.75" customHeight="1">
      <c r="A19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6" s="163" t="str">
        <f>IF(AND('Resource Planner'!$A$48="☑",2&lt;='Resource Planner'!$N$48),'Resource Planner'!$C$48,"")</f>
        <v/>
      </c>
      <c r="C1906" s="163" t="str">
        <f>IF(AND('Resource Planner'!$A$48="☑",2&lt;='Resource Planner'!$N$48),'Resource Planner'!$B$48,"")</f>
        <v/>
      </c>
      <c r="D1906" s="163" t="str">
        <f>IF(AND('Resource Planner'!$A$48="☑",2&lt;='Resource Planner'!$N$48),'Resource Planner'!$D$48,"")</f>
        <v/>
      </c>
      <c r="E1906" s="163" t="str">
        <f>IF(AND('Resource Planner'!$A$48="☑",2&lt;='Resource Planner'!$N$48),'Resource Planner'!$E$48,"")</f>
        <v/>
      </c>
      <c r="F1906" s="163" t="str">
        <f>IF(AND('Resource Planner'!$A$48="☑",2&lt;='Resource Planner'!$N$48),'Resource Planner'!$F$48&amp;" "&amp;('Resource Planner'!$G$48+(2-1)*'Resource Planner'!$I$48)&amp;IF(('Resource Planner'!$G$48+(2-1)*'Resource Planner'!$I$48)=MIN('Resource Planner'!$G$48+2*'Resource Planner'!$I$48-1,'Resource Planner'!$H$48),"","–"&amp;MIN('Resource Planner'!$G$48+2*'Resource Planner'!$I$48-1,'Resource Planner'!$H$48)),"")</f>
        <v/>
      </c>
      <c r="G1906" s="163" t="s">
        <v>109</v>
      </c>
      <c r="H1906" s="163" t="str">
        <f>IF(AND('Resource Planner'!$A$48="☑",2&lt;='Resource Planner'!$N$48),'Resource Planner'!$M$48,"")</f>
        <v/>
      </c>
    </row>
    <row r="1907" ht="15.75" customHeight="1">
      <c r="A19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7" s="163" t="str">
        <f>IF(AND('Resource Planner'!$A$48="☑",3&lt;='Resource Planner'!$N$48),'Resource Planner'!$C$48,"")</f>
        <v/>
      </c>
      <c r="C1907" s="163" t="str">
        <f>IF(AND('Resource Planner'!$A$48="☑",3&lt;='Resource Planner'!$N$48),'Resource Planner'!$B$48,"")</f>
        <v/>
      </c>
      <c r="D1907" s="163" t="str">
        <f>IF(AND('Resource Planner'!$A$48="☑",3&lt;='Resource Planner'!$N$48),'Resource Planner'!$D$48,"")</f>
        <v/>
      </c>
      <c r="E1907" s="163" t="str">
        <f>IF(AND('Resource Planner'!$A$48="☑",3&lt;='Resource Planner'!$N$48),'Resource Planner'!$E$48,"")</f>
        <v/>
      </c>
      <c r="F1907" s="163" t="str">
        <f>IF(AND('Resource Planner'!$A$48="☑",3&lt;='Resource Planner'!$N$48),'Resource Planner'!$F$48&amp;" "&amp;('Resource Planner'!$G$48+(3-1)*'Resource Planner'!$I$48)&amp;IF(('Resource Planner'!$G$48+(3-1)*'Resource Planner'!$I$48)=MIN('Resource Planner'!$G$48+3*'Resource Planner'!$I$48-1,'Resource Planner'!$H$48),"","–"&amp;MIN('Resource Planner'!$G$48+3*'Resource Planner'!$I$48-1,'Resource Planner'!$H$48)),"")</f>
        <v/>
      </c>
      <c r="G1907" s="163" t="s">
        <v>109</v>
      </c>
      <c r="H1907" s="163" t="str">
        <f>IF(AND('Resource Planner'!$A$48="☑",3&lt;='Resource Planner'!$N$48),'Resource Planner'!$M$48,"")</f>
        <v/>
      </c>
    </row>
    <row r="1908" ht="15.75" customHeight="1">
      <c r="A19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8" s="163" t="str">
        <f>IF(AND('Resource Planner'!$A$48="☑",4&lt;='Resource Planner'!$N$48),'Resource Planner'!$C$48,"")</f>
        <v/>
      </c>
      <c r="C1908" s="163" t="str">
        <f>IF(AND('Resource Planner'!$A$48="☑",4&lt;='Resource Planner'!$N$48),'Resource Planner'!$B$48,"")</f>
        <v/>
      </c>
      <c r="D1908" s="163" t="str">
        <f>IF(AND('Resource Planner'!$A$48="☑",4&lt;='Resource Planner'!$N$48),'Resource Planner'!$D$48,"")</f>
        <v/>
      </c>
      <c r="E1908" s="163" t="str">
        <f>IF(AND('Resource Planner'!$A$48="☑",4&lt;='Resource Planner'!$N$48),'Resource Planner'!$E$48,"")</f>
        <v/>
      </c>
      <c r="F1908" s="163" t="str">
        <f>IF(AND('Resource Planner'!$A$48="☑",4&lt;='Resource Planner'!$N$48),'Resource Planner'!$F$48&amp;" "&amp;('Resource Planner'!$G$48+(4-1)*'Resource Planner'!$I$48)&amp;IF(('Resource Planner'!$G$48+(4-1)*'Resource Planner'!$I$48)=MIN('Resource Planner'!$G$48+4*'Resource Planner'!$I$48-1,'Resource Planner'!$H$48),"","–"&amp;MIN('Resource Planner'!$G$48+4*'Resource Planner'!$I$48-1,'Resource Planner'!$H$48)),"")</f>
        <v/>
      </c>
      <c r="G1908" s="163" t="s">
        <v>109</v>
      </c>
      <c r="H1908" s="163" t="str">
        <f>IF(AND('Resource Planner'!$A$48="☑",4&lt;='Resource Planner'!$N$48),'Resource Planner'!$M$48,"")</f>
        <v/>
      </c>
    </row>
    <row r="1909" ht="15.75" customHeight="1">
      <c r="A19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09" s="163" t="str">
        <f>IF(AND('Resource Planner'!$A$48="☑",5&lt;='Resource Planner'!$N$48),'Resource Planner'!$C$48,"")</f>
        <v/>
      </c>
      <c r="C1909" s="163" t="str">
        <f>IF(AND('Resource Planner'!$A$48="☑",5&lt;='Resource Planner'!$N$48),'Resource Planner'!$B$48,"")</f>
        <v/>
      </c>
      <c r="D1909" s="163" t="str">
        <f>IF(AND('Resource Planner'!$A$48="☑",5&lt;='Resource Planner'!$N$48),'Resource Planner'!$D$48,"")</f>
        <v/>
      </c>
      <c r="E1909" s="163" t="str">
        <f>IF(AND('Resource Planner'!$A$48="☑",5&lt;='Resource Planner'!$N$48),'Resource Planner'!$E$48,"")</f>
        <v/>
      </c>
      <c r="F1909" s="163" t="str">
        <f>IF(AND('Resource Planner'!$A$48="☑",5&lt;='Resource Planner'!$N$48),'Resource Planner'!$F$48&amp;" "&amp;('Resource Planner'!$G$48+(5-1)*'Resource Planner'!$I$48)&amp;IF(('Resource Planner'!$G$48+(5-1)*'Resource Planner'!$I$48)=MIN('Resource Planner'!$G$48+5*'Resource Planner'!$I$48-1,'Resource Planner'!$H$48),"","–"&amp;MIN('Resource Planner'!$G$48+5*'Resource Planner'!$I$48-1,'Resource Planner'!$H$48)),"")</f>
        <v/>
      </c>
      <c r="G1909" s="163" t="s">
        <v>109</v>
      </c>
      <c r="H1909" s="163" t="str">
        <f>IF(AND('Resource Planner'!$A$48="☑",5&lt;='Resource Planner'!$N$48),'Resource Planner'!$M$48,"")</f>
        <v/>
      </c>
    </row>
    <row r="1910" ht="15.75" customHeight="1">
      <c r="A19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0" s="163" t="str">
        <f>IF(AND('Resource Planner'!$A$48="☑",6&lt;='Resource Planner'!$N$48),'Resource Planner'!$C$48,"")</f>
        <v/>
      </c>
      <c r="C1910" s="163" t="str">
        <f>IF(AND('Resource Planner'!$A$48="☑",6&lt;='Resource Planner'!$N$48),'Resource Planner'!$B$48,"")</f>
        <v/>
      </c>
      <c r="D1910" s="163" t="str">
        <f>IF(AND('Resource Planner'!$A$48="☑",6&lt;='Resource Planner'!$N$48),'Resource Planner'!$D$48,"")</f>
        <v/>
      </c>
      <c r="E1910" s="163" t="str">
        <f>IF(AND('Resource Planner'!$A$48="☑",6&lt;='Resource Planner'!$N$48),'Resource Planner'!$E$48,"")</f>
        <v/>
      </c>
      <c r="F1910" s="163" t="str">
        <f>IF(AND('Resource Planner'!$A$48="☑",6&lt;='Resource Planner'!$N$48),'Resource Planner'!$F$48&amp;" "&amp;('Resource Planner'!$G$48+(6-1)*'Resource Planner'!$I$48)&amp;IF(('Resource Planner'!$G$48+(6-1)*'Resource Planner'!$I$48)=MIN('Resource Planner'!$G$48+6*'Resource Planner'!$I$48-1,'Resource Planner'!$H$48),"","–"&amp;MIN('Resource Planner'!$G$48+6*'Resource Planner'!$I$48-1,'Resource Planner'!$H$48)),"")</f>
        <v/>
      </c>
      <c r="G1910" s="163" t="s">
        <v>109</v>
      </c>
      <c r="H1910" s="163" t="str">
        <f>IF(AND('Resource Planner'!$A$48="☑",6&lt;='Resource Planner'!$N$48),'Resource Planner'!$M$48,"")</f>
        <v/>
      </c>
    </row>
    <row r="1911" ht="15.75" customHeight="1">
      <c r="A19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1" s="163" t="str">
        <f>IF(AND('Resource Planner'!$A$48="☑",7&lt;='Resource Planner'!$N$48),'Resource Planner'!$C$48,"")</f>
        <v/>
      </c>
      <c r="C1911" s="163" t="str">
        <f>IF(AND('Resource Planner'!$A$48="☑",7&lt;='Resource Planner'!$N$48),'Resource Planner'!$B$48,"")</f>
        <v/>
      </c>
      <c r="D1911" s="163" t="str">
        <f>IF(AND('Resource Planner'!$A$48="☑",7&lt;='Resource Planner'!$N$48),'Resource Planner'!$D$48,"")</f>
        <v/>
      </c>
      <c r="E1911" s="163" t="str">
        <f>IF(AND('Resource Planner'!$A$48="☑",7&lt;='Resource Planner'!$N$48),'Resource Planner'!$E$48,"")</f>
        <v/>
      </c>
      <c r="F1911" s="163" t="str">
        <f>IF(AND('Resource Planner'!$A$48="☑",7&lt;='Resource Planner'!$N$48),'Resource Planner'!$F$48&amp;" "&amp;('Resource Planner'!$G$48+(7-1)*'Resource Planner'!$I$48)&amp;IF(('Resource Planner'!$G$48+(7-1)*'Resource Planner'!$I$48)=MIN('Resource Planner'!$G$48+7*'Resource Planner'!$I$48-1,'Resource Planner'!$H$48),"","–"&amp;MIN('Resource Planner'!$G$48+7*'Resource Planner'!$I$48-1,'Resource Planner'!$H$48)),"")</f>
        <v/>
      </c>
      <c r="G1911" s="163" t="s">
        <v>109</v>
      </c>
      <c r="H1911" s="163" t="str">
        <f>IF(AND('Resource Planner'!$A$48="☑",7&lt;='Resource Planner'!$N$48),'Resource Planner'!$M$48,"")</f>
        <v/>
      </c>
    </row>
    <row r="1912" ht="15.75" customHeight="1">
      <c r="A19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2" s="163" t="str">
        <f>IF(AND('Resource Planner'!$A$48="☑",8&lt;='Resource Planner'!$N$48),'Resource Planner'!$C$48,"")</f>
        <v/>
      </c>
      <c r="C1912" s="163" t="str">
        <f>IF(AND('Resource Planner'!$A$48="☑",8&lt;='Resource Planner'!$N$48),'Resource Planner'!$B$48,"")</f>
        <v/>
      </c>
      <c r="D1912" s="163" t="str">
        <f>IF(AND('Resource Planner'!$A$48="☑",8&lt;='Resource Planner'!$N$48),'Resource Planner'!$D$48,"")</f>
        <v/>
      </c>
      <c r="E1912" s="163" t="str">
        <f>IF(AND('Resource Planner'!$A$48="☑",8&lt;='Resource Planner'!$N$48),'Resource Planner'!$E$48,"")</f>
        <v/>
      </c>
      <c r="F1912" s="163" t="str">
        <f>IF(AND('Resource Planner'!$A$48="☑",8&lt;='Resource Planner'!$N$48),'Resource Planner'!$F$48&amp;" "&amp;('Resource Planner'!$G$48+(8-1)*'Resource Planner'!$I$48)&amp;IF(('Resource Planner'!$G$48+(8-1)*'Resource Planner'!$I$48)=MIN('Resource Planner'!$G$48+8*'Resource Planner'!$I$48-1,'Resource Planner'!$H$48),"","–"&amp;MIN('Resource Planner'!$G$48+8*'Resource Planner'!$I$48-1,'Resource Planner'!$H$48)),"")</f>
        <v/>
      </c>
      <c r="G1912" s="163" t="s">
        <v>109</v>
      </c>
      <c r="H1912" s="163" t="str">
        <f>IF(AND('Resource Planner'!$A$48="☑",8&lt;='Resource Planner'!$N$48),'Resource Planner'!$M$48,"")</f>
        <v/>
      </c>
    </row>
    <row r="1913" ht="15.75" customHeight="1">
      <c r="A19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3" s="163" t="str">
        <f>IF(AND('Resource Planner'!$A$48="☑",9&lt;='Resource Planner'!$N$48),'Resource Planner'!$C$48,"")</f>
        <v/>
      </c>
      <c r="C1913" s="163" t="str">
        <f>IF(AND('Resource Planner'!$A$48="☑",9&lt;='Resource Planner'!$N$48),'Resource Planner'!$B$48,"")</f>
        <v/>
      </c>
      <c r="D1913" s="163" t="str">
        <f>IF(AND('Resource Planner'!$A$48="☑",9&lt;='Resource Planner'!$N$48),'Resource Planner'!$D$48,"")</f>
        <v/>
      </c>
      <c r="E1913" s="163" t="str">
        <f>IF(AND('Resource Planner'!$A$48="☑",9&lt;='Resource Planner'!$N$48),'Resource Planner'!$E$48,"")</f>
        <v/>
      </c>
      <c r="F1913" s="163" t="str">
        <f>IF(AND('Resource Planner'!$A$48="☑",9&lt;='Resource Planner'!$N$48),'Resource Planner'!$F$48&amp;" "&amp;('Resource Planner'!$G$48+(9-1)*'Resource Planner'!$I$48)&amp;IF(('Resource Planner'!$G$48+(9-1)*'Resource Planner'!$I$48)=MIN('Resource Planner'!$G$48+9*'Resource Planner'!$I$48-1,'Resource Planner'!$H$48),"","–"&amp;MIN('Resource Planner'!$G$48+9*'Resource Planner'!$I$48-1,'Resource Planner'!$H$48)),"")</f>
        <v/>
      </c>
      <c r="G1913" s="163" t="s">
        <v>109</v>
      </c>
      <c r="H1913" s="163" t="str">
        <f>IF(AND('Resource Planner'!$A$48="☑",9&lt;='Resource Planner'!$N$48),'Resource Planner'!$M$48,"")</f>
        <v/>
      </c>
    </row>
    <row r="1914" ht="15.75" customHeight="1">
      <c r="A19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4" s="163" t="str">
        <f>IF(AND('Resource Planner'!$A$48="☑",10&lt;='Resource Planner'!$N$48),'Resource Planner'!$C$48,"")</f>
        <v/>
      </c>
      <c r="C1914" s="163" t="str">
        <f>IF(AND('Resource Planner'!$A$48="☑",10&lt;='Resource Planner'!$N$48),'Resource Planner'!$B$48,"")</f>
        <v/>
      </c>
      <c r="D1914" s="163" t="str">
        <f>IF(AND('Resource Planner'!$A$48="☑",10&lt;='Resource Planner'!$N$48),'Resource Planner'!$D$48,"")</f>
        <v/>
      </c>
      <c r="E1914" s="163" t="str">
        <f>IF(AND('Resource Planner'!$A$48="☑",10&lt;='Resource Planner'!$N$48),'Resource Planner'!$E$48,"")</f>
        <v/>
      </c>
      <c r="F1914" s="163" t="str">
        <f>IF(AND('Resource Planner'!$A$48="☑",10&lt;='Resource Planner'!$N$48),'Resource Planner'!$F$48&amp;" "&amp;('Resource Planner'!$G$48+(10-1)*'Resource Planner'!$I$48)&amp;IF(('Resource Planner'!$G$48+(10-1)*'Resource Planner'!$I$48)=MIN('Resource Planner'!$G$48+10*'Resource Planner'!$I$48-1,'Resource Planner'!$H$48),"","–"&amp;MIN('Resource Planner'!$G$48+10*'Resource Planner'!$I$48-1,'Resource Planner'!$H$48)),"")</f>
        <v/>
      </c>
      <c r="G1914" s="163" t="s">
        <v>109</v>
      </c>
      <c r="H1914" s="163" t="str">
        <f>IF(AND('Resource Planner'!$A$48="☑",10&lt;='Resource Planner'!$N$48),'Resource Planner'!$M$48,"")</f>
        <v/>
      </c>
    </row>
    <row r="1915" ht="15.75" customHeight="1">
      <c r="A19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5" s="163" t="str">
        <f>IF(AND('Resource Planner'!$A$48="☑",11&lt;='Resource Planner'!$N$48),'Resource Planner'!$C$48,"")</f>
        <v/>
      </c>
      <c r="C1915" s="163" t="str">
        <f>IF(AND('Resource Planner'!$A$48="☑",11&lt;='Resource Planner'!$N$48),'Resource Planner'!$B$48,"")</f>
        <v/>
      </c>
      <c r="D1915" s="163" t="str">
        <f>IF(AND('Resource Planner'!$A$48="☑",11&lt;='Resource Planner'!$N$48),'Resource Planner'!$D$48,"")</f>
        <v/>
      </c>
      <c r="E1915" s="163" t="str">
        <f>IF(AND('Resource Planner'!$A$48="☑",11&lt;='Resource Planner'!$N$48),'Resource Planner'!$E$48,"")</f>
        <v/>
      </c>
      <c r="F1915" s="163" t="str">
        <f>IF(AND('Resource Planner'!$A$48="☑",11&lt;='Resource Planner'!$N$48),'Resource Planner'!$F$48&amp;" "&amp;('Resource Planner'!$G$48+(11-1)*'Resource Planner'!$I$48)&amp;IF(('Resource Planner'!$G$48+(11-1)*'Resource Planner'!$I$48)=MIN('Resource Planner'!$G$48+11*'Resource Planner'!$I$48-1,'Resource Planner'!$H$48),"","–"&amp;MIN('Resource Planner'!$G$48+11*'Resource Planner'!$I$48-1,'Resource Planner'!$H$48)),"")</f>
        <v/>
      </c>
      <c r="G1915" s="163" t="s">
        <v>109</v>
      </c>
      <c r="H1915" s="163" t="str">
        <f>IF(AND('Resource Planner'!$A$48="☑",11&lt;='Resource Planner'!$N$48),'Resource Planner'!$M$48,"")</f>
        <v/>
      </c>
    </row>
    <row r="1916" ht="15.75" customHeight="1">
      <c r="A19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6" s="163" t="str">
        <f>IF(AND('Resource Planner'!$A$48="☑",12&lt;='Resource Planner'!$N$48),'Resource Planner'!$C$48,"")</f>
        <v/>
      </c>
      <c r="C1916" s="163" t="str">
        <f>IF(AND('Resource Planner'!$A$48="☑",12&lt;='Resource Planner'!$N$48),'Resource Planner'!$B$48,"")</f>
        <v/>
      </c>
      <c r="D1916" s="163" t="str">
        <f>IF(AND('Resource Planner'!$A$48="☑",12&lt;='Resource Planner'!$N$48),'Resource Planner'!$D$48,"")</f>
        <v/>
      </c>
      <c r="E1916" s="163" t="str">
        <f>IF(AND('Resource Planner'!$A$48="☑",12&lt;='Resource Planner'!$N$48),'Resource Planner'!$E$48,"")</f>
        <v/>
      </c>
      <c r="F1916" s="163" t="str">
        <f>IF(AND('Resource Planner'!$A$48="☑",12&lt;='Resource Planner'!$N$48),'Resource Planner'!$F$48&amp;" "&amp;('Resource Planner'!$G$48+(12-1)*'Resource Planner'!$I$48)&amp;IF(('Resource Planner'!$G$48+(12-1)*'Resource Planner'!$I$48)=MIN('Resource Planner'!$G$48+12*'Resource Planner'!$I$48-1,'Resource Planner'!$H$48),"","–"&amp;MIN('Resource Planner'!$G$48+12*'Resource Planner'!$I$48-1,'Resource Planner'!$H$48)),"")</f>
        <v/>
      </c>
      <c r="G1916" s="163" t="s">
        <v>109</v>
      </c>
      <c r="H1916" s="163" t="str">
        <f>IF(AND('Resource Planner'!$A$48="☑",12&lt;='Resource Planner'!$N$48),'Resource Planner'!$M$48,"")</f>
        <v/>
      </c>
    </row>
    <row r="1917" ht="15.75" customHeight="1">
      <c r="A19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7" s="163" t="str">
        <f>IF(AND('Resource Planner'!$A$48="☑",13&lt;='Resource Planner'!$N$48),'Resource Planner'!$C$48,"")</f>
        <v/>
      </c>
      <c r="C1917" s="163" t="str">
        <f>IF(AND('Resource Planner'!$A$48="☑",13&lt;='Resource Planner'!$N$48),'Resource Planner'!$B$48,"")</f>
        <v/>
      </c>
      <c r="D1917" s="163" t="str">
        <f>IF(AND('Resource Planner'!$A$48="☑",13&lt;='Resource Planner'!$N$48),'Resource Planner'!$D$48,"")</f>
        <v/>
      </c>
      <c r="E1917" s="163" t="str">
        <f>IF(AND('Resource Planner'!$A$48="☑",13&lt;='Resource Planner'!$N$48),'Resource Planner'!$E$48,"")</f>
        <v/>
      </c>
      <c r="F1917" s="163" t="str">
        <f>IF(AND('Resource Planner'!$A$48="☑",13&lt;='Resource Planner'!$N$48),'Resource Planner'!$F$48&amp;" "&amp;('Resource Planner'!$G$48+(13-1)*'Resource Planner'!$I$48)&amp;IF(('Resource Planner'!$G$48+(13-1)*'Resource Planner'!$I$48)=MIN('Resource Planner'!$G$48+13*'Resource Planner'!$I$48-1,'Resource Planner'!$H$48),"","–"&amp;MIN('Resource Planner'!$G$48+13*'Resource Planner'!$I$48-1,'Resource Planner'!$H$48)),"")</f>
        <v/>
      </c>
      <c r="G1917" s="163" t="s">
        <v>109</v>
      </c>
      <c r="H1917" s="163" t="str">
        <f>IF(AND('Resource Planner'!$A$48="☑",13&lt;='Resource Planner'!$N$48),'Resource Planner'!$M$48,"")</f>
        <v/>
      </c>
    </row>
    <row r="1918" ht="15.75" customHeight="1">
      <c r="A19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8" s="163" t="str">
        <f>IF(AND('Resource Planner'!$A$48="☑",14&lt;='Resource Planner'!$N$48),'Resource Planner'!$C$48,"")</f>
        <v/>
      </c>
      <c r="C1918" s="163" t="str">
        <f>IF(AND('Resource Planner'!$A$48="☑",14&lt;='Resource Planner'!$N$48),'Resource Planner'!$B$48,"")</f>
        <v/>
      </c>
      <c r="D1918" s="163" t="str">
        <f>IF(AND('Resource Planner'!$A$48="☑",14&lt;='Resource Planner'!$N$48),'Resource Planner'!$D$48,"")</f>
        <v/>
      </c>
      <c r="E1918" s="163" t="str">
        <f>IF(AND('Resource Planner'!$A$48="☑",14&lt;='Resource Planner'!$N$48),'Resource Planner'!$E$48,"")</f>
        <v/>
      </c>
      <c r="F1918" s="163" t="str">
        <f>IF(AND('Resource Planner'!$A$48="☑",14&lt;='Resource Planner'!$N$48),'Resource Planner'!$F$48&amp;" "&amp;('Resource Planner'!$G$48+(14-1)*'Resource Planner'!$I$48)&amp;IF(('Resource Planner'!$G$48+(14-1)*'Resource Planner'!$I$48)=MIN('Resource Planner'!$G$48+14*'Resource Planner'!$I$48-1,'Resource Planner'!$H$48),"","–"&amp;MIN('Resource Planner'!$G$48+14*'Resource Planner'!$I$48-1,'Resource Planner'!$H$48)),"")</f>
        <v/>
      </c>
      <c r="G1918" s="163" t="s">
        <v>109</v>
      </c>
      <c r="H1918" s="163" t="str">
        <f>IF(AND('Resource Planner'!$A$48="☑",14&lt;='Resource Planner'!$N$48),'Resource Planner'!$M$48,"")</f>
        <v/>
      </c>
    </row>
    <row r="1919" ht="15.75" customHeight="1">
      <c r="A19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19" s="163" t="str">
        <f>IF(AND('Resource Planner'!$A$48="☑",15&lt;='Resource Planner'!$N$48),'Resource Planner'!$C$48,"")</f>
        <v/>
      </c>
      <c r="C1919" s="163" t="str">
        <f>IF(AND('Resource Planner'!$A$48="☑",15&lt;='Resource Planner'!$N$48),'Resource Planner'!$B$48,"")</f>
        <v/>
      </c>
      <c r="D1919" s="163" t="str">
        <f>IF(AND('Resource Planner'!$A$48="☑",15&lt;='Resource Planner'!$N$48),'Resource Planner'!$D$48,"")</f>
        <v/>
      </c>
      <c r="E1919" s="163" t="str">
        <f>IF(AND('Resource Planner'!$A$48="☑",15&lt;='Resource Planner'!$N$48),'Resource Planner'!$E$48,"")</f>
        <v/>
      </c>
      <c r="F1919" s="163" t="str">
        <f>IF(AND('Resource Planner'!$A$48="☑",15&lt;='Resource Planner'!$N$48),'Resource Planner'!$F$48&amp;" "&amp;('Resource Planner'!$G$48+(15-1)*'Resource Planner'!$I$48)&amp;IF(('Resource Planner'!$G$48+(15-1)*'Resource Planner'!$I$48)=MIN('Resource Planner'!$G$48+15*'Resource Planner'!$I$48-1,'Resource Planner'!$H$48),"","–"&amp;MIN('Resource Planner'!$G$48+15*'Resource Planner'!$I$48-1,'Resource Planner'!$H$48)),"")</f>
        <v/>
      </c>
      <c r="G1919" s="163" t="s">
        <v>109</v>
      </c>
      <c r="H1919" s="163" t="str">
        <f>IF(AND('Resource Planner'!$A$48="☑",15&lt;='Resource Planner'!$N$48),'Resource Planner'!$M$48,"")</f>
        <v/>
      </c>
    </row>
    <row r="1920" ht="15.75" customHeight="1">
      <c r="A19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0" s="163" t="str">
        <f>IF(AND('Resource Planner'!$A$48="☑",16&lt;='Resource Planner'!$N$48),'Resource Planner'!$C$48,"")</f>
        <v/>
      </c>
      <c r="C1920" s="163" t="str">
        <f>IF(AND('Resource Planner'!$A$48="☑",16&lt;='Resource Planner'!$N$48),'Resource Planner'!$B$48,"")</f>
        <v/>
      </c>
      <c r="D1920" s="163" t="str">
        <f>IF(AND('Resource Planner'!$A$48="☑",16&lt;='Resource Planner'!$N$48),'Resource Planner'!$D$48,"")</f>
        <v/>
      </c>
      <c r="E1920" s="163" t="str">
        <f>IF(AND('Resource Planner'!$A$48="☑",16&lt;='Resource Planner'!$N$48),'Resource Planner'!$E$48,"")</f>
        <v/>
      </c>
      <c r="F1920" s="163" t="str">
        <f>IF(AND('Resource Planner'!$A$48="☑",16&lt;='Resource Planner'!$N$48),'Resource Planner'!$F$48&amp;" "&amp;('Resource Planner'!$G$48+(16-1)*'Resource Planner'!$I$48)&amp;IF(('Resource Planner'!$G$48+(16-1)*'Resource Planner'!$I$48)=MIN('Resource Planner'!$G$48+16*'Resource Planner'!$I$48-1,'Resource Planner'!$H$48),"","–"&amp;MIN('Resource Planner'!$G$48+16*'Resource Planner'!$I$48-1,'Resource Planner'!$H$48)),"")</f>
        <v/>
      </c>
      <c r="G1920" s="163" t="s">
        <v>109</v>
      </c>
      <c r="H1920" s="163" t="str">
        <f>IF(AND('Resource Planner'!$A$48="☑",16&lt;='Resource Planner'!$N$48),'Resource Planner'!$M$48,"")</f>
        <v/>
      </c>
    </row>
    <row r="1921" ht="15.75" customHeight="1">
      <c r="A19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1" s="163" t="str">
        <f>IF(AND('Resource Planner'!$A$48="☑",17&lt;='Resource Planner'!$N$48),'Resource Planner'!$C$48,"")</f>
        <v/>
      </c>
      <c r="C1921" s="163" t="str">
        <f>IF(AND('Resource Planner'!$A$48="☑",17&lt;='Resource Planner'!$N$48),'Resource Planner'!$B$48,"")</f>
        <v/>
      </c>
      <c r="D1921" s="163" t="str">
        <f>IF(AND('Resource Planner'!$A$48="☑",17&lt;='Resource Planner'!$N$48),'Resource Planner'!$D$48,"")</f>
        <v/>
      </c>
      <c r="E1921" s="163" t="str">
        <f>IF(AND('Resource Planner'!$A$48="☑",17&lt;='Resource Planner'!$N$48),'Resource Planner'!$E$48,"")</f>
        <v/>
      </c>
      <c r="F1921" s="163" t="str">
        <f>IF(AND('Resource Planner'!$A$48="☑",17&lt;='Resource Planner'!$N$48),'Resource Planner'!$F$48&amp;" "&amp;('Resource Planner'!$G$48+(17-1)*'Resource Planner'!$I$48)&amp;IF(('Resource Planner'!$G$48+(17-1)*'Resource Planner'!$I$48)=MIN('Resource Planner'!$G$48+17*'Resource Planner'!$I$48-1,'Resource Planner'!$H$48),"","–"&amp;MIN('Resource Planner'!$G$48+17*'Resource Planner'!$I$48-1,'Resource Planner'!$H$48)),"")</f>
        <v/>
      </c>
      <c r="G1921" s="163" t="s">
        <v>109</v>
      </c>
      <c r="H1921" s="163" t="str">
        <f>IF(AND('Resource Planner'!$A$48="☑",17&lt;='Resource Planner'!$N$48),'Resource Planner'!$M$48,"")</f>
        <v/>
      </c>
    </row>
    <row r="1922" ht="15.75" customHeight="1">
      <c r="A19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2" s="163" t="str">
        <f>IF(AND('Resource Planner'!$A$48="☑",18&lt;='Resource Planner'!$N$48),'Resource Planner'!$C$48,"")</f>
        <v/>
      </c>
      <c r="C1922" s="163" t="str">
        <f>IF(AND('Resource Planner'!$A$48="☑",18&lt;='Resource Planner'!$N$48),'Resource Planner'!$B$48,"")</f>
        <v/>
      </c>
      <c r="D1922" s="163" t="str">
        <f>IF(AND('Resource Planner'!$A$48="☑",18&lt;='Resource Planner'!$N$48),'Resource Planner'!$D$48,"")</f>
        <v/>
      </c>
      <c r="E1922" s="163" t="str">
        <f>IF(AND('Resource Planner'!$A$48="☑",18&lt;='Resource Planner'!$N$48),'Resource Planner'!$E$48,"")</f>
        <v/>
      </c>
      <c r="F1922" s="163" t="str">
        <f>IF(AND('Resource Planner'!$A$48="☑",18&lt;='Resource Planner'!$N$48),'Resource Planner'!$F$48&amp;" "&amp;('Resource Planner'!$G$48+(18-1)*'Resource Planner'!$I$48)&amp;IF(('Resource Planner'!$G$48+(18-1)*'Resource Planner'!$I$48)=MIN('Resource Planner'!$G$48+18*'Resource Planner'!$I$48-1,'Resource Planner'!$H$48),"","–"&amp;MIN('Resource Planner'!$G$48+18*'Resource Planner'!$I$48-1,'Resource Planner'!$H$48)),"")</f>
        <v/>
      </c>
      <c r="G1922" s="163" t="s">
        <v>109</v>
      </c>
      <c r="H1922" s="163" t="str">
        <f>IF(AND('Resource Planner'!$A$48="☑",18&lt;='Resource Planner'!$N$48),'Resource Planner'!$M$48,"")</f>
        <v/>
      </c>
    </row>
    <row r="1923" ht="15.75" customHeight="1">
      <c r="A19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3" s="163" t="str">
        <f>IF(AND('Resource Planner'!$A$48="☑",19&lt;='Resource Planner'!$N$48),'Resource Planner'!$C$48,"")</f>
        <v/>
      </c>
      <c r="C1923" s="163" t="str">
        <f>IF(AND('Resource Planner'!$A$48="☑",19&lt;='Resource Planner'!$N$48),'Resource Planner'!$B$48,"")</f>
        <v/>
      </c>
      <c r="D1923" s="163" t="str">
        <f>IF(AND('Resource Planner'!$A$48="☑",19&lt;='Resource Planner'!$N$48),'Resource Planner'!$D$48,"")</f>
        <v/>
      </c>
      <c r="E1923" s="163" t="str">
        <f>IF(AND('Resource Planner'!$A$48="☑",19&lt;='Resource Planner'!$N$48),'Resource Planner'!$E$48,"")</f>
        <v/>
      </c>
      <c r="F1923" s="163" t="str">
        <f>IF(AND('Resource Planner'!$A$48="☑",19&lt;='Resource Planner'!$N$48),'Resource Planner'!$F$48&amp;" "&amp;('Resource Planner'!$G$48+(19-1)*'Resource Planner'!$I$48)&amp;IF(('Resource Planner'!$G$48+(19-1)*'Resource Planner'!$I$48)=MIN('Resource Planner'!$G$48+19*'Resource Planner'!$I$48-1,'Resource Planner'!$H$48),"","–"&amp;MIN('Resource Planner'!$G$48+19*'Resource Planner'!$I$48-1,'Resource Planner'!$H$48)),"")</f>
        <v/>
      </c>
      <c r="G1923" s="163" t="s">
        <v>109</v>
      </c>
      <c r="H1923" s="163" t="str">
        <f>IF(AND('Resource Planner'!$A$48="☑",19&lt;='Resource Planner'!$N$48),'Resource Planner'!$M$48,"")</f>
        <v/>
      </c>
    </row>
    <row r="1924" ht="15.75" customHeight="1">
      <c r="A19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4" s="163" t="str">
        <f>IF(AND('Resource Planner'!$A$48="☑",20&lt;='Resource Planner'!$N$48),'Resource Planner'!$C$48,"")</f>
        <v/>
      </c>
      <c r="C1924" s="163" t="str">
        <f>IF(AND('Resource Planner'!$A$48="☑",20&lt;='Resource Planner'!$N$48),'Resource Planner'!$B$48,"")</f>
        <v/>
      </c>
      <c r="D1924" s="163" t="str">
        <f>IF(AND('Resource Planner'!$A$48="☑",20&lt;='Resource Planner'!$N$48),'Resource Planner'!$D$48,"")</f>
        <v/>
      </c>
      <c r="E1924" s="163" t="str">
        <f>IF(AND('Resource Planner'!$A$48="☑",20&lt;='Resource Planner'!$N$48),'Resource Planner'!$E$48,"")</f>
        <v/>
      </c>
      <c r="F1924" s="163" t="str">
        <f>IF(AND('Resource Planner'!$A$48="☑",20&lt;='Resource Planner'!$N$48),'Resource Planner'!$F$48&amp;" "&amp;('Resource Planner'!$G$48+(20-1)*'Resource Planner'!$I$48)&amp;IF(('Resource Planner'!$G$48+(20-1)*'Resource Planner'!$I$48)=MIN('Resource Planner'!$G$48+20*'Resource Planner'!$I$48-1,'Resource Planner'!$H$48),"","–"&amp;MIN('Resource Planner'!$G$48+20*'Resource Planner'!$I$48-1,'Resource Planner'!$H$48)),"")</f>
        <v/>
      </c>
      <c r="G1924" s="163" t="s">
        <v>109</v>
      </c>
      <c r="H1924" s="163" t="str">
        <f>IF(AND('Resource Planner'!$A$48="☑",20&lt;='Resource Planner'!$N$48),'Resource Planner'!$M$48,"")</f>
        <v/>
      </c>
    </row>
    <row r="1925" ht="15.75" customHeight="1">
      <c r="A19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5" s="163" t="str">
        <f>IF(AND('Resource Planner'!$A$48="☑",21&lt;='Resource Planner'!$N$48),'Resource Planner'!$C$48,"")</f>
        <v/>
      </c>
      <c r="C1925" s="163" t="str">
        <f>IF(AND('Resource Planner'!$A$48="☑",21&lt;='Resource Planner'!$N$48),'Resource Planner'!$B$48,"")</f>
        <v/>
      </c>
      <c r="D1925" s="163" t="str">
        <f>IF(AND('Resource Planner'!$A$48="☑",21&lt;='Resource Planner'!$N$48),'Resource Planner'!$D$48,"")</f>
        <v/>
      </c>
      <c r="E1925" s="163" t="str">
        <f>IF(AND('Resource Planner'!$A$48="☑",21&lt;='Resource Planner'!$N$48),'Resource Planner'!$E$48,"")</f>
        <v/>
      </c>
      <c r="F1925" s="163" t="str">
        <f>IF(AND('Resource Planner'!$A$48="☑",21&lt;='Resource Planner'!$N$48),'Resource Planner'!$F$48&amp;" "&amp;('Resource Planner'!$G$48+(21-1)*'Resource Planner'!$I$48)&amp;IF(('Resource Planner'!$G$48+(21-1)*'Resource Planner'!$I$48)=MIN('Resource Planner'!$G$48+21*'Resource Planner'!$I$48-1,'Resource Planner'!$H$48),"","–"&amp;MIN('Resource Planner'!$G$48+21*'Resource Planner'!$I$48-1,'Resource Planner'!$H$48)),"")</f>
        <v/>
      </c>
      <c r="G1925" s="163" t="s">
        <v>109</v>
      </c>
      <c r="H1925" s="163" t="str">
        <f>IF(AND('Resource Planner'!$A$48="☑",21&lt;='Resource Planner'!$N$48),'Resource Planner'!$M$48,"")</f>
        <v/>
      </c>
    </row>
    <row r="1926" ht="15.75" customHeight="1">
      <c r="A19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6" s="163" t="str">
        <f>IF(AND('Resource Planner'!$A$48="☑",22&lt;='Resource Planner'!$N$48),'Resource Planner'!$C$48,"")</f>
        <v/>
      </c>
      <c r="C1926" s="163" t="str">
        <f>IF(AND('Resource Planner'!$A$48="☑",22&lt;='Resource Planner'!$N$48),'Resource Planner'!$B$48,"")</f>
        <v/>
      </c>
      <c r="D1926" s="163" t="str">
        <f>IF(AND('Resource Planner'!$A$48="☑",22&lt;='Resource Planner'!$N$48),'Resource Planner'!$D$48,"")</f>
        <v/>
      </c>
      <c r="E1926" s="163" t="str">
        <f>IF(AND('Resource Planner'!$A$48="☑",22&lt;='Resource Planner'!$N$48),'Resource Planner'!$E$48,"")</f>
        <v/>
      </c>
      <c r="F1926" s="163" t="str">
        <f>IF(AND('Resource Planner'!$A$48="☑",22&lt;='Resource Planner'!$N$48),'Resource Planner'!$F$48&amp;" "&amp;('Resource Planner'!$G$48+(22-1)*'Resource Planner'!$I$48)&amp;IF(('Resource Planner'!$G$48+(22-1)*'Resource Planner'!$I$48)=MIN('Resource Planner'!$G$48+22*'Resource Planner'!$I$48-1,'Resource Planner'!$H$48),"","–"&amp;MIN('Resource Planner'!$G$48+22*'Resource Planner'!$I$48-1,'Resource Planner'!$H$48)),"")</f>
        <v/>
      </c>
      <c r="G1926" s="163" t="s">
        <v>109</v>
      </c>
      <c r="H1926" s="163" t="str">
        <f>IF(AND('Resource Planner'!$A$48="☑",22&lt;='Resource Planner'!$N$48),'Resource Planner'!$M$48,"")</f>
        <v/>
      </c>
    </row>
    <row r="1927" ht="15.75" customHeight="1">
      <c r="A19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7" s="163" t="str">
        <f>IF(AND('Resource Planner'!$A$48="☑",23&lt;='Resource Planner'!$N$48),'Resource Planner'!$C$48,"")</f>
        <v/>
      </c>
      <c r="C1927" s="163" t="str">
        <f>IF(AND('Resource Planner'!$A$48="☑",23&lt;='Resource Planner'!$N$48),'Resource Planner'!$B$48,"")</f>
        <v/>
      </c>
      <c r="D1927" s="163" t="str">
        <f>IF(AND('Resource Planner'!$A$48="☑",23&lt;='Resource Planner'!$N$48),'Resource Planner'!$D$48,"")</f>
        <v/>
      </c>
      <c r="E1927" s="163" t="str">
        <f>IF(AND('Resource Planner'!$A$48="☑",23&lt;='Resource Planner'!$N$48),'Resource Planner'!$E$48,"")</f>
        <v/>
      </c>
      <c r="F1927" s="163" t="str">
        <f>IF(AND('Resource Planner'!$A$48="☑",23&lt;='Resource Planner'!$N$48),'Resource Planner'!$F$48&amp;" "&amp;('Resource Planner'!$G$48+(23-1)*'Resource Planner'!$I$48)&amp;IF(('Resource Planner'!$G$48+(23-1)*'Resource Planner'!$I$48)=MIN('Resource Planner'!$G$48+23*'Resource Planner'!$I$48-1,'Resource Planner'!$H$48),"","–"&amp;MIN('Resource Planner'!$G$48+23*'Resource Planner'!$I$48-1,'Resource Planner'!$H$48)),"")</f>
        <v/>
      </c>
      <c r="G1927" s="163" t="s">
        <v>109</v>
      </c>
      <c r="H1927" s="163" t="str">
        <f>IF(AND('Resource Planner'!$A$48="☑",23&lt;='Resource Planner'!$N$48),'Resource Planner'!$M$48,"")</f>
        <v/>
      </c>
    </row>
    <row r="1928" ht="15.75" customHeight="1">
      <c r="A19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8" s="163" t="str">
        <f>IF(AND('Resource Planner'!$A$48="☑",24&lt;='Resource Planner'!$N$48),'Resource Planner'!$C$48,"")</f>
        <v/>
      </c>
      <c r="C1928" s="163" t="str">
        <f>IF(AND('Resource Planner'!$A$48="☑",24&lt;='Resource Planner'!$N$48),'Resource Planner'!$B$48,"")</f>
        <v/>
      </c>
      <c r="D1928" s="163" t="str">
        <f>IF(AND('Resource Planner'!$A$48="☑",24&lt;='Resource Planner'!$N$48),'Resource Planner'!$D$48,"")</f>
        <v/>
      </c>
      <c r="E1928" s="163" t="str">
        <f>IF(AND('Resource Planner'!$A$48="☑",24&lt;='Resource Planner'!$N$48),'Resource Planner'!$E$48,"")</f>
        <v/>
      </c>
      <c r="F1928" s="163" t="str">
        <f>IF(AND('Resource Planner'!$A$48="☑",24&lt;='Resource Planner'!$N$48),'Resource Planner'!$F$48&amp;" "&amp;('Resource Planner'!$G$48+(24-1)*'Resource Planner'!$I$48)&amp;IF(('Resource Planner'!$G$48+(24-1)*'Resource Planner'!$I$48)=MIN('Resource Planner'!$G$48+24*'Resource Planner'!$I$48-1,'Resource Planner'!$H$48),"","–"&amp;MIN('Resource Planner'!$G$48+24*'Resource Planner'!$I$48-1,'Resource Planner'!$H$48)),"")</f>
        <v/>
      </c>
      <c r="G1928" s="163" t="s">
        <v>109</v>
      </c>
      <c r="H1928" s="163" t="str">
        <f>IF(AND('Resource Planner'!$A$48="☑",24&lt;='Resource Planner'!$N$48),'Resource Planner'!$M$48,"")</f>
        <v/>
      </c>
    </row>
    <row r="1929" ht="15.75" customHeight="1">
      <c r="A19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29" s="163" t="str">
        <f>IF(AND('Resource Planner'!$A$48="☑",25&lt;='Resource Planner'!$N$48),'Resource Planner'!$C$48,"")</f>
        <v/>
      </c>
      <c r="C1929" s="163" t="str">
        <f>IF(AND('Resource Planner'!$A$48="☑",25&lt;='Resource Planner'!$N$48),'Resource Planner'!$B$48,"")</f>
        <v/>
      </c>
      <c r="D1929" s="163" t="str">
        <f>IF(AND('Resource Planner'!$A$48="☑",25&lt;='Resource Planner'!$N$48),'Resource Planner'!$D$48,"")</f>
        <v/>
      </c>
      <c r="E1929" s="163" t="str">
        <f>IF(AND('Resource Planner'!$A$48="☑",25&lt;='Resource Planner'!$N$48),'Resource Planner'!$E$48,"")</f>
        <v/>
      </c>
      <c r="F1929" s="163" t="str">
        <f>IF(AND('Resource Planner'!$A$48="☑",25&lt;='Resource Planner'!$N$48),'Resource Planner'!$F$48&amp;" "&amp;('Resource Planner'!$G$48+(25-1)*'Resource Planner'!$I$48)&amp;IF(('Resource Planner'!$G$48+(25-1)*'Resource Planner'!$I$48)=MIN('Resource Planner'!$G$48+25*'Resource Planner'!$I$48-1,'Resource Planner'!$H$48),"","–"&amp;MIN('Resource Planner'!$G$48+25*'Resource Planner'!$I$48-1,'Resource Planner'!$H$48)),"")</f>
        <v/>
      </c>
      <c r="G1929" s="163" t="s">
        <v>109</v>
      </c>
      <c r="H1929" s="163" t="str">
        <f>IF(AND('Resource Planner'!$A$48="☑",25&lt;='Resource Planner'!$N$48),'Resource Planner'!$M$48,"")</f>
        <v/>
      </c>
    </row>
    <row r="1930" ht="15.75" customHeight="1">
      <c r="A19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0" s="163" t="str">
        <f>IF(AND('Resource Planner'!$A$48="☑",26&lt;='Resource Planner'!$N$48),'Resource Planner'!$C$48,"")</f>
        <v/>
      </c>
      <c r="C1930" s="163" t="str">
        <f>IF(AND('Resource Planner'!$A$48="☑",26&lt;='Resource Planner'!$N$48),'Resource Planner'!$B$48,"")</f>
        <v/>
      </c>
      <c r="D1930" s="163" t="str">
        <f>IF(AND('Resource Planner'!$A$48="☑",26&lt;='Resource Planner'!$N$48),'Resource Planner'!$D$48,"")</f>
        <v/>
      </c>
      <c r="E1930" s="163" t="str">
        <f>IF(AND('Resource Planner'!$A$48="☑",26&lt;='Resource Planner'!$N$48),'Resource Planner'!$E$48,"")</f>
        <v/>
      </c>
      <c r="F1930" s="163" t="str">
        <f>IF(AND('Resource Planner'!$A$48="☑",26&lt;='Resource Planner'!$N$48),'Resource Planner'!$F$48&amp;" "&amp;('Resource Planner'!$G$48+(26-1)*'Resource Planner'!$I$48)&amp;IF(('Resource Planner'!$G$48+(26-1)*'Resource Planner'!$I$48)=MIN('Resource Planner'!$G$48+26*'Resource Planner'!$I$48-1,'Resource Planner'!$H$48),"","–"&amp;MIN('Resource Planner'!$G$48+26*'Resource Planner'!$I$48-1,'Resource Planner'!$H$48)),"")</f>
        <v/>
      </c>
      <c r="G1930" s="163" t="s">
        <v>109</v>
      </c>
      <c r="H1930" s="163" t="str">
        <f>IF(AND('Resource Planner'!$A$48="☑",26&lt;='Resource Planner'!$N$48),'Resource Planner'!$M$48,"")</f>
        <v/>
      </c>
    </row>
    <row r="1931" ht="15.75" customHeight="1">
      <c r="A19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1" s="163" t="str">
        <f>IF(AND('Resource Planner'!$A$48="☑",27&lt;='Resource Planner'!$N$48),'Resource Planner'!$C$48,"")</f>
        <v/>
      </c>
      <c r="C1931" s="163" t="str">
        <f>IF(AND('Resource Planner'!$A$48="☑",27&lt;='Resource Planner'!$N$48),'Resource Planner'!$B$48,"")</f>
        <v/>
      </c>
      <c r="D1931" s="163" t="str">
        <f>IF(AND('Resource Planner'!$A$48="☑",27&lt;='Resource Planner'!$N$48),'Resource Planner'!$D$48,"")</f>
        <v/>
      </c>
      <c r="E1931" s="163" t="str">
        <f>IF(AND('Resource Planner'!$A$48="☑",27&lt;='Resource Planner'!$N$48),'Resource Planner'!$E$48,"")</f>
        <v/>
      </c>
      <c r="F1931" s="163" t="str">
        <f>IF(AND('Resource Planner'!$A$48="☑",27&lt;='Resource Planner'!$N$48),'Resource Planner'!$F$48&amp;" "&amp;('Resource Planner'!$G$48+(27-1)*'Resource Planner'!$I$48)&amp;IF(('Resource Planner'!$G$48+(27-1)*'Resource Planner'!$I$48)=MIN('Resource Planner'!$G$48+27*'Resource Planner'!$I$48-1,'Resource Planner'!$H$48),"","–"&amp;MIN('Resource Planner'!$G$48+27*'Resource Planner'!$I$48-1,'Resource Planner'!$H$48)),"")</f>
        <v/>
      </c>
      <c r="G1931" s="163" t="s">
        <v>109</v>
      </c>
      <c r="H1931" s="163" t="str">
        <f>IF(AND('Resource Planner'!$A$48="☑",27&lt;='Resource Planner'!$N$48),'Resource Planner'!$M$48,"")</f>
        <v/>
      </c>
    </row>
    <row r="1932" ht="15.75" customHeight="1">
      <c r="A19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2" s="163" t="str">
        <f>IF(AND('Resource Planner'!$A$48="☑",28&lt;='Resource Planner'!$N$48),'Resource Planner'!$C$48,"")</f>
        <v/>
      </c>
      <c r="C1932" s="163" t="str">
        <f>IF(AND('Resource Planner'!$A$48="☑",28&lt;='Resource Planner'!$N$48),'Resource Planner'!$B$48,"")</f>
        <v/>
      </c>
      <c r="D1932" s="163" t="str">
        <f>IF(AND('Resource Planner'!$A$48="☑",28&lt;='Resource Planner'!$N$48),'Resource Planner'!$D$48,"")</f>
        <v/>
      </c>
      <c r="E1932" s="163" t="str">
        <f>IF(AND('Resource Planner'!$A$48="☑",28&lt;='Resource Planner'!$N$48),'Resource Planner'!$E$48,"")</f>
        <v/>
      </c>
      <c r="F1932" s="163" t="str">
        <f>IF(AND('Resource Planner'!$A$48="☑",28&lt;='Resource Planner'!$N$48),'Resource Planner'!$F$48&amp;" "&amp;('Resource Planner'!$G$48+(28-1)*'Resource Planner'!$I$48)&amp;IF(('Resource Planner'!$G$48+(28-1)*'Resource Planner'!$I$48)=MIN('Resource Planner'!$G$48+28*'Resource Planner'!$I$48-1,'Resource Planner'!$H$48),"","–"&amp;MIN('Resource Planner'!$G$48+28*'Resource Planner'!$I$48-1,'Resource Planner'!$H$48)),"")</f>
        <v/>
      </c>
      <c r="G1932" s="163" t="s">
        <v>109</v>
      </c>
      <c r="H1932" s="163" t="str">
        <f>IF(AND('Resource Planner'!$A$48="☑",28&lt;='Resource Planner'!$N$48),'Resource Planner'!$M$48,"")</f>
        <v/>
      </c>
    </row>
    <row r="1933" ht="15.75" customHeight="1">
      <c r="A19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3" s="163" t="str">
        <f>IF(AND('Resource Planner'!$A$48="☑",29&lt;='Resource Planner'!$N$48),'Resource Planner'!$C$48,"")</f>
        <v/>
      </c>
      <c r="C1933" s="163" t="str">
        <f>IF(AND('Resource Planner'!$A$48="☑",29&lt;='Resource Planner'!$N$48),'Resource Planner'!$B$48,"")</f>
        <v/>
      </c>
      <c r="D1933" s="163" t="str">
        <f>IF(AND('Resource Planner'!$A$48="☑",29&lt;='Resource Planner'!$N$48),'Resource Planner'!$D$48,"")</f>
        <v/>
      </c>
      <c r="E1933" s="163" t="str">
        <f>IF(AND('Resource Planner'!$A$48="☑",29&lt;='Resource Planner'!$N$48),'Resource Planner'!$E$48,"")</f>
        <v/>
      </c>
      <c r="F1933" s="163" t="str">
        <f>IF(AND('Resource Planner'!$A$48="☑",29&lt;='Resource Planner'!$N$48),'Resource Planner'!$F$48&amp;" "&amp;('Resource Planner'!$G$48+(29-1)*'Resource Planner'!$I$48)&amp;IF(('Resource Planner'!$G$48+(29-1)*'Resource Planner'!$I$48)=MIN('Resource Planner'!$G$48+29*'Resource Planner'!$I$48-1,'Resource Planner'!$H$48),"","–"&amp;MIN('Resource Planner'!$G$48+29*'Resource Planner'!$I$48-1,'Resource Planner'!$H$48)),"")</f>
        <v/>
      </c>
      <c r="G1933" s="163" t="s">
        <v>109</v>
      </c>
      <c r="H1933" s="163" t="str">
        <f>IF(AND('Resource Planner'!$A$48="☑",29&lt;='Resource Planner'!$N$48),'Resource Planner'!$M$48,"")</f>
        <v/>
      </c>
    </row>
    <row r="1934" ht="15.75" customHeight="1">
      <c r="A19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4" s="163" t="str">
        <f>IF(AND('Resource Planner'!$A$48="☑",30&lt;='Resource Planner'!$N$48),'Resource Planner'!$C$48,"")</f>
        <v/>
      </c>
      <c r="C1934" s="163" t="str">
        <f>IF(AND('Resource Planner'!$A$48="☑",30&lt;='Resource Planner'!$N$48),'Resource Planner'!$B$48,"")</f>
        <v/>
      </c>
      <c r="D1934" s="163" t="str">
        <f>IF(AND('Resource Planner'!$A$48="☑",30&lt;='Resource Planner'!$N$48),'Resource Planner'!$D$48,"")</f>
        <v/>
      </c>
      <c r="E1934" s="163" t="str">
        <f>IF(AND('Resource Planner'!$A$48="☑",30&lt;='Resource Planner'!$N$48),'Resource Planner'!$E$48,"")</f>
        <v/>
      </c>
      <c r="F1934" s="163" t="str">
        <f>IF(AND('Resource Planner'!$A$48="☑",30&lt;='Resource Planner'!$N$48),'Resource Planner'!$F$48&amp;" "&amp;('Resource Planner'!$G$48+(30-1)*'Resource Planner'!$I$48)&amp;IF(('Resource Planner'!$G$48+(30-1)*'Resource Planner'!$I$48)=MIN('Resource Planner'!$G$48+30*'Resource Planner'!$I$48-1,'Resource Planner'!$H$48),"","–"&amp;MIN('Resource Planner'!$G$48+30*'Resource Planner'!$I$48-1,'Resource Planner'!$H$48)),"")</f>
        <v/>
      </c>
      <c r="G1934" s="163" t="s">
        <v>109</v>
      </c>
      <c r="H1934" s="163" t="str">
        <f>IF(AND('Resource Planner'!$A$48="☑",30&lt;='Resource Planner'!$N$48),'Resource Planner'!$M$48,"")</f>
        <v/>
      </c>
    </row>
    <row r="1935" ht="15.75" customHeight="1">
      <c r="A19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5" s="163" t="str">
        <f>IF(AND('Resource Planner'!$A$48="☑",31&lt;='Resource Planner'!$N$48),'Resource Planner'!$C$48,"")</f>
        <v/>
      </c>
      <c r="C1935" s="163" t="str">
        <f>IF(AND('Resource Planner'!$A$48="☑",31&lt;='Resource Planner'!$N$48),'Resource Planner'!$B$48,"")</f>
        <v/>
      </c>
      <c r="D1935" s="163" t="str">
        <f>IF(AND('Resource Planner'!$A$48="☑",31&lt;='Resource Planner'!$N$48),'Resource Planner'!$D$48,"")</f>
        <v/>
      </c>
      <c r="E1935" s="163" t="str">
        <f>IF(AND('Resource Planner'!$A$48="☑",31&lt;='Resource Planner'!$N$48),'Resource Planner'!$E$48,"")</f>
        <v/>
      </c>
      <c r="F1935" s="163" t="str">
        <f>IF(AND('Resource Planner'!$A$48="☑",31&lt;='Resource Planner'!$N$48),'Resource Planner'!$F$48&amp;" "&amp;('Resource Planner'!$G$48+(31-1)*'Resource Planner'!$I$48)&amp;IF(('Resource Planner'!$G$48+(31-1)*'Resource Planner'!$I$48)=MIN('Resource Planner'!$G$48+31*'Resource Planner'!$I$48-1,'Resource Planner'!$H$48),"","–"&amp;MIN('Resource Planner'!$G$48+31*'Resource Planner'!$I$48-1,'Resource Planner'!$H$48)),"")</f>
        <v/>
      </c>
      <c r="G1935" s="163" t="s">
        <v>109</v>
      </c>
      <c r="H1935" s="163" t="str">
        <f>IF(AND('Resource Planner'!$A$48="☑",31&lt;='Resource Planner'!$N$48),'Resource Planner'!$M$48,"")</f>
        <v/>
      </c>
    </row>
    <row r="1936" ht="15.75" customHeight="1">
      <c r="A19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6" s="163" t="str">
        <f>IF(AND('Resource Planner'!$A$48="☑",32&lt;='Resource Planner'!$N$48),'Resource Planner'!$C$48,"")</f>
        <v/>
      </c>
      <c r="C1936" s="163" t="str">
        <f>IF(AND('Resource Planner'!$A$48="☑",32&lt;='Resource Planner'!$N$48),'Resource Planner'!$B$48,"")</f>
        <v/>
      </c>
      <c r="D1936" s="163" t="str">
        <f>IF(AND('Resource Planner'!$A$48="☑",32&lt;='Resource Planner'!$N$48),'Resource Planner'!$D$48,"")</f>
        <v/>
      </c>
      <c r="E1936" s="163" t="str">
        <f>IF(AND('Resource Planner'!$A$48="☑",32&lt;='Resource Planner'!$N$48),'Resource Planner'!$E$48,"")</f>
        <v/>
      </c>
      <c r="F1936" s="163" t="str">
        <f>IF(AND('Resource Planner'!$A$48="☑",32&lt;='Resource Planner'!$N$48),'Resource Planner'!$F$48&amp;" "&amp;('Resource Planner'!$G$48+(32-1)*'Resource Planner'!$I$48)&amp;IF(('Resource Planner'!$G$48+(32-1)*'Resource Planner'!$I$48)=MIN('Resource Planner'!$G$48+32*'Resource Planner'!$I$48-1,'Resource Planner'!$H$48),"","–"&amp;MIN('Resource Planner'!$G$48+32*'Resource Planner'!$I$48-1,'Resource Planner'!$H$48)),"")</f>
        <v/>
      </c>
      <c r="G1936" s="163" t="s">
        <v>109</v>
      </c>
      <c r="H1936" s="163" t="str">
        <f>IF(AND('Resource Planner'!$A$48="☑",32&lt;='Resource Planner'!$N$48),'Resource Planner'!$M$48,"")</f>
        <v/>
      </c>
    </row>
    <row r="1937" ht="15.75" customHeight="1">
      <c r="A19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7" s="163" t="str">
        <f>IF(AND('Resource Planner'!$A$48="☑",33&lt;='Resource Planner'!$N$48),'Resource Planner'!$C$48,"")</f>
        <v/>
      </c>
      <c r="C1937" s="163" t="str">
        <f>IF(AND('Resource Planner'!$A$48="☑",33&lt;='Resource Planner'!$N$48),'Resource Planner'!$B$48,"")</f>
        <v/>
      </c>
      <c r="D1937" s="163" t="str">
        <f>IF(AND('Resource Planner'!$A$48="☑",33&lt;='Resource Planner'!$N$48),'Resource Planner'!$D$48,"")</f>
        <v/>
      </c>
      <c r="E1937" s="163" t="str">
        <f>IF(AND('Resource Planner'!$A$48="☑",33&lt;='Resource Planner'!$N$48),'Resource Planner'!$E$48,"")</f>
        <v/>
      </c>
      <c r="F1937" s="163" t="str">
        <f>IF(AND('Resource Planner'!$A$48="☑",33&lt;='Resource Planner'!$N$48),'Resource Planner'!$F$48&amp;" "&amp;('Resource Planner'!$G$48+(33-1)*'Resource Planner'!$I$48)&amp;IF(('Resource Planner'!$G$48+(33-1)*'Resource Planner'!$I$48)=MIN('Resource Planner'!$G$48+33*'Resource Planner'!$I$48-1,'Resource Planner'!$H$48),"","–"&amp;MIN('Resource Planner'!$G$48+33*'Resource Planner'!$I$48-1,'Resource Planner'!$H$48)),"")</f>
        <v/>
      </c>
      <c r="G1937" s="163" t="s">
        <v>109</v>
      </c>
      <c r="H1937" s="163" t="str">
        <f>IF(AND('Resource Planner'!$A$48="☑",33&lt;='Resource Planner'!$N$48),'Resource Planner'!$M$48,"")</f>
        <v/>
      </c>
    </row>
    <row r="1938" ht="15.75" customHeight="1">
      <c r="A19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8" s="163" t="str">
        <f>IF(AND('Resource Planner'!$A$48="☑",34&lt;='Resource Planner'!$N$48),'Resource Planner'!$C$48,"")</f>
        <v/>
      </c>
      <c r="C1938" s="163" t="str">
        <f>IF(AND('Resource Planner'!$A$48="☑",34&lt;='Resource Planner'!$N$48),'Resource Planner'!$B$48,"")</f>
        <v/>
      </c>
      <c r="D1938" s="163" t="str">
        <f>IF(AND('Resource Planner'!$A$48="☑",34&lt;='Resource Planner'!$N$48),'Resource Planner'!$D$48,"")</f>
        <v/>
      </c>
      <c r="E1938" s="163" t="str">
        <f>IF(AND('Resource Planner'!$A$48="☑",34&lt;='Resource Planner'!$N$48),'Resource Planner'!$E$48,"")</f>
        <v/>
      </c>
      <c r="F1938" s="163" t="str">
        <f>IF(AND('Resource Planner'!$A$48="☑",34&lt;='Resource Planner'!$N$48),'Resource Planner'!$F$48&amp;" "&amp;('Resource Planner'!$G$48+(34-1)*'Resource Planner'!$I$48)&amp;IF(('Resource Planner'!$G$48+(34-1)*'Resource Planner'!$I$48)=MIN('Resource Planner'!$G$48+34*'Resource Planner'!$I$48-1,'Resource Planner'!$H$48),"","–"&amp;MIN('Resource Planner'!$G$48+34*'Resource Planner'!$I$48-1,'Resource Planner'!$H$48)),"")</f>
        <v/>
      </c>
      <c r="G1938" s="163" t="s">
        <v>109</v>
      </c>
      <c r="H1938" s="163" t="str">
        <f>IF(AND('Resource Planner'!$A$48="☑",34&lt;='Resource Planner'!$N$48),'Resource Planner'!$M$48,"")</f>
        <v/>
      </c>
    </row>
    <row r="1939" ht="15.75" customHeight="1">
      <c r="A19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39" s="163" t="str">
        <f>IF(AND('Resource Planner'!$A$48="☑",35&lt;='Resource Planner'!$N$48),'Resource Planner'!$C$48,"")</f>
        <v/>
      </c>
      <c r="C1939" s="163" t="str">
        <f>IF(AND('Resource Planner'!$A$48="☑",35&lt;='Resource Planner'!$N$48),'Resource Planner'!$B$48,"")</f>
        <v/>
      </c>
      <c r="D1939" s="163" t="str">
        <f>IF(AND('Resource Planner'!$A$48="☑",35&lt;='Resource Planner'!$N$48),'Resource Planner'!$D$48,"")</f>
        <v/>
      </c>
      <c r="E1939" s="163" t="str">
        <f>IF(AND('Resource Planner'!$A$48="☑",35&lt;='Resource Planner'!$N$48),'Resource Planner'!$E$48,"")</f>
        <v/>
      </c>
      <c r="F1939" s="163" t="str">
        <f>IF(AND('Resource Planner'!$A$48="☑",35&lt;='Resource Planner'!$N$48),'Resource Planner'!$F$48&amp;" "&amp;('Resource Planner'!$G$48+(35-1)*'Resource Planner'!$I$48)&amp;IF(('Resource Planner'!$G$48+(35-1)*'Resource Planner'!$I$48)=MIN('Resource Planner'!$G$48+35*'Resource Planner'!$I$48-1,'Resource Planner'!$H$48),"","–"&amp;MIN('Resource Planner'!$G$48+35*'Resource Planner'!$I$48-1,'Resource Planner'!$H$48)),"")</f>
        <v/>
      </c>
      <c r="G1939" s="163" t="s">
        <v>109</v>
      </c>
      <c r="H1939" s="163" t="str">
        <f>IF(AND('Resource Planner'!$A$48="☑",35&lt;='Resource Planner'!$N$48),'Resource Planner'!$M$48,"")</f>
        <v/>
      </c>
    </row>
    <row r="1940" ht="15.75" customHeight="1">
      <c r="A19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0" s="163" t="str">
        <f>IF(AND('Resource Planner'!$A$48="☑",36&lt;='Resource Planner'!$N$48),'Resource Planner'!$C$48,"")</f>
        <v/>
      </c>
      <c r="C1940" s="163" t="str">
        <f>IF(AND('Resource Planner'!$A$48="☑",36&lt;='Resource Planner'!$N$48),'Resource Planner'!$B$48,"")</f>
        <v/>
      </c>
      <c r="D1940" s="163" t="str">
        <f>IF(AND('Resource Planner'!$A$48="☑",36&lt;='Resource Planner'!$N$48),'Resource Planner'!$D$48,"")</f>
        <v/>
      </c>
      <c r="E1940" s="163" t="str">
        <f>IF(AND('Resource Planner'!$A$48="☑",36&lt;='Resource Planner'!$N$48),'Resource Planner'!$E$48,"")</f>
        <v/>
      </c>
      <c r="F1940" s="163" t="str">
        <f>IF(AND('Resource Planner'!$A$48="☑",36&lt;='Resource Planner'!$N$48),'Resource Planner'!$F$48&amp;" "&amp;('Resource Planner'!$G$48+(36-1)*'Resource Planner'!$I$48)&amp;IF(('Resource Planner'!$G$48+(36-1)*'Resource Planner'!$I$48)=MIN('Resource Planner'!$G$48+36*'Resource Planner'!$I$48-1,'Resource Planner'!$H$48),"","–"&amp;MIN('Resource Planner'!$G$48+36*'Resource Planner'!$I$48-1,'Resource Planner'!$H$48)),"")</f>
        <v/>
      </c>
      <c r="G1940" s="163" t="s">
        <v>109</v>
      </c>
      <c r="H1940" s="163" t="str">
        <f>IF(AND('Resource Planner'!$A$48="☑",36&lt;='Resource Planner'!$N$48),'Resource Planner'!$M$48,"")</f>
        <v/>
      </c>
    </row>
    <row r="1941" ht="15.75" customHeight="1">
      <c r="A19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1" s="163" t="str">
        <f>IF(AND('Resource Planner'!$A$48="☑",37&lt;='Resource Planner'!$N$48),'Resource Planner'!$C$48,"")</f>
        <v/>
      </c>
      <c r="C1941" s="163" t="str">
        <f>IF(AND('Resource Planner'!$A$48="☑",37&lt;='Resource Planner'!$N$48),'Resource Planner'!$B$48,"")</f>
        <v/>
      </c>
      <c r="D1941" s="163" t="str">
        <f>IF(AND('Resource Planner'!$A$48="☑",37&lt;='Resource Planner'!$N$48),'Resource Planner'!$D$48,"")</f>
        <v/>
      </c>
      <c r="E1941" s="163" t="str">
        <f>IF(AND('Resource Planner'!$A$48="☑",37&lt;='Resource Planner'!$N$48),'Resource Planner'!$E$48,"")</f>
        <v/>
      </c>
      <c r="F1941" s="163" t="str">
        <f>IF(AND('Resource Planner'!$A$48="☑",37&lt;='Resource Planner'!$N$48),'Resource Planner'!$F$48&amp;" "&amp;('Resource Planner'!$G$48+(37-1)*'Resource Planner'!$I$48)&amp;IF(('Resource Planner'!$G$48+(37-1)*'Resource Planner'!$I$48)=MIN('Resource Planner'!$G$48+37*'Resource Planner'!$I$48-1,'Resource Planner'!$H$48),"","–"&amp;MIN('Resource Planner'!$G$48+37*'Resource Planner'!$I$48-1,'Resource Planner'!$H$48)),"")</f>
        <v/>
      </c>
      <c r="G1941" s="163" t="s">
        <v>109</v>
      </c>
      <c r="H1941" s="163" t="str">
        <f>IF(AND('Resource Planner'!$A$48="☑",37&lt;='Resource Planner'!$N$48),'Resource Planner'!$M$48,"")</f>
        <v/>
      </c>
    </row>
    <row r="1942" ht="15.75" customHeight="1">
      <c r="A19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2" s="163" t="str">
        <f>IF(AND('Resource Planner'!$A$48="☑",38&lt;='Resource Planner'!$N$48),'Resource Planner'!$C$48,"")</f>
        <v/>
      </c>
      <c r="C1942" s="163" t="str">
        <f>IF(AND('Resource Planner'!$A$48="☑",38&lt;='Resource Planner'!$N$48),'Resource Planner'!$B$48,"")</f>
        <v/>
      </c>
      <c r="D1942" s="163" t="str">
        <f>IF(AND('Resource Planner'!$A$48="☑",38&lt;='Resource Planner'!$N$48),'Resource Planner'!$D$48,"")</f>
        <v/>
      </c>
      <c r="E1942" s="163" t="str">
        <f>IF(AND('Resource Planner'!$A$48="☑",38&lt;='Resource Planner'!$N$48),'Resource Planner'!$E$48,"")</f>
        <v/>
      </c>
      <c r="F1942" s="163" t="str">
        <f>IF(AND('Resource Planner'!$A$48="☑",38&lt;='Resource Planner'!$N$48),'Resource Planner'!$F$48&amp;" "&amp;('Resource Planner'!$G$48+(38-1)*'Resource Planner'!$I$48)&amp;IF(('Resource Planner'!$G$48+(38-1)*'Resource Planner'!$I$48)=MIN('Resource Planner'!$G$48+38*'Resource Planner'!$I$48-1,'Resource Planner'!$H$48),"","–"&amp;MIN('Resource Planner'!$G$48+38*'Resource Planner'!$I$48-1,'Resource Planner'!$H$48)),"")</f>
        <v/>
      </c>
      <c r="G1942" s="163" t="s">
        <v>109</v>
      </c>
      <c r="H1942" s="163" t="str">
        <f>IF(AND('Resource Planner'!$A$48="☑",38&lt;='Resource Planner'!$N$48),'Resource Planner'!$M$48,"")</f>
        <v/>
      </c>
    </row>
    <row r="1943" ht="15.75" customHeight="1">
      <c r="A19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3" s="163" t="str">
        <f>IF(AND('Resource Planner'!$A$48="☑",39&lt;='Resource Planner'!$N$48),'Resource Planner'!$C$48,"")</f>
        <v/>
      </c>
      <c r="C1943" s="163" t="str">
        <f>IF(AND('Resource Planner'!$A$48="☑",39&lt;='Resource Planner'!$N$48),'Resource Planner'!$B$48,"")</f>
        <v/>
      </c>
      <c r="D1943" s="163" t="str">
        <f>IF(AND('Resource Planner'!$A$48="☑",39&lt;='Resource Planner'!$N$48),'Resource Planner'!$D$48,"")</f>
        <v/>
      </c>
      <c r="E1943" s="163" t="str">
        <f>IF(AND('Resource Planner'!$A$48="☑",39&lt;='Resource Planner'!$N$48),'Resource Planner'!$E$48,"")</f>
        <v/>
      </c>
      <c r="F1943" s="163" t="str">
        <f>IF(AND('Resource Planner'!$A$48="☑",39&lt;='Resource Planner'!$N$48),'Resource Planner'!$F$48&amp;" "&amp;('Resource Planner'!$G$48+(39-1)*'Resource Planner'!$I$48)&amp;IF(('Resource Planner'!$G$48+(39-1)*'Resource Planner'!$I$48)=MIN('Resource Planner'!$G$48+39*'Resource Planner'!$I$48-1,'Resource Planner'!$H$48),"","–"&amp;MIN('Resource Planner'!$G$48+39*'Resource Planner'!$I$48-1,'Resource Planner'!$H$48)),"")</f>
        <v/>
      </c>
      <c r="G1943" s="163" t="s">
        <v>109</v>
      </c>
      <c r="H1943" s="163" t="str">
        <f>IF(AND('Resource Planner'!$A$48="☑",39&lt;='Resource Planner'!$N$48),'Resource Planner'!$M$48,"")</f>
        <v/>
      </c>
    </row>
    <row r="1944" ht="15.75" customHeight="1">
      <c r="A19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4" s="163" t="str">
        <f>IF(AND('Resource Planner'!$A$48="☑",40&lt;='Resource Planner'!$N$48),'Resource Planner'!$C$48,"")</f>
        <v/>
      </c>
      <c r="C1944" s="163" t="str">
        <f>IF(AND('Resource Planner'!$A$48="☑",40&lt;='Resource Planner'!$N$48),'Resource Planner'!$B$48,"")</f>
        <v/>
      </c>
      <c r="D1944" s="163" t="str">
        <f>IF(AND('Resource Planner'!$A$48="☑",40&lt;='Resource Planner'!$N$48),'Resource Planner'!$D$48,"")</f>
        <v/>
      </c>
      <c r="E1944" s="163" t="str">
        <f>IF(AND('Resource Planner'!$A$48="☑",40&lt;='Resource Planner'!$N$48),'Resource Planner'!$E$48,"")</f>
        <v/>
      </c>
      <c r="F1944" s="163" t="str">
        <f>IF(AND('Resource Planner'!$A$48="☑",40&lt;='Resource Planner'!$N$48),'Resource Planner'!$F$48&amp;" "&amp;('Resource Planner'!$G$48+(40-1)*'Resource Planner'!$I$48)&amp;IF(('Resource Planner'!$G$48+(40-1)*'Resource Planner'!$I$48)=MIN('Resource Planner'!$G$48+40*'Resource Planner'!$I$48-1,'Resource Planner'!$H$48),"","–"&amp;MIN('Resource Planner'!$G$48+40*'Resource Planner'!$I$48-1,'Resource Planner'!$H$48)),"")</f>
        <v/>
      </c>
      <c r="G1944" s="163" t="s">
        <v>109</v>
      </c>
      <c r="H1944" s="163" t="str">
        <f>IF(AND('Resource Planner'!$A$48="☑",40&lt;='Resource Planner'!$N$48),'Resource Planner'!$M$48,"")</f>
        <v/>
      </c>
    </row>
    <row r="1945" ht="15.75" customHeight="1">
      <c r="A19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5" s="163" t="str">
        <f>IF(AND('Resource Planner'!$A$48="☑",41&lt;='Resource Planner'!$N$48),'Resource Planner'!$C$48,"")</f>
        <v/>
      </c>
      <c r="C1945" s="163" t="str">
        <f>IF(AND('Resource Planner'!$A$48="☑",41&lt;='Resource Planner'!$N$48),'Resource Planner'!$B$48,"")</f>
        <v/>
      </c>
      <c r="D1945" s="163" t="str">
        <f>IF(AND('Resource Planner'!$A$48="☑",41&lt;='Resource Planner'!$N$48),'Resource Planner'!$D$48,"")</f>
        <v/>
      </c>
      <c r="E1945" s="163" t="str">
        <f>IF(AND('Resource Planner'!$A$48="☑",41&lt;='Resource Planner'!$N$48),'Resource Planner'!$E$48,"")</f>
        <v/>
      </c>
      <c r="F1945" s="163" t="str">
        <f>IF(AND('Resource Planner'!$A$48="☑",41&lt;='Resource Planner'!$N$48),'Resource Planner'!$F$48&amp;" "&amp;('Resource Planner'!$G$48+(41-1)*'Resource Planner'!$I$48)&amp;IF(('Resource Planner'!$G$48+(41-1)*'Resource Planner'!$I$48)=MIN('Resource Planner'!$G$48+41*'Resource Planner'!$I$48-1,'Resource Planner'!$H$48),"","–"&amp;MIN('Resource Planner'!$G$48+41*'Resource Planner'!$I$48-1,'Resource Planner'!$H$48)),"")</f>
        <v/>
      </c>
      <c r="G1945" s="163" t="s">
        <v>109</v>
      </c>
      <c r="H1945" s="163" t="str">
        <f>IF(AND('Resource Planner'!$A$48="☑",41&lt;='Resource Planner'!$N$48),'Resource Planner'!$M$48,"")</f>
        <v/>
      </c>
    </row>
    <row r="1946" ht="15.75" customHeight="1">
      <c r="A19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6" s="163" t="str">
        <f>IF(AND('Resource Planner'!$A$48="☑",42&lt;='Resource Planner'!$N$48),'Resource Planner'!$C$48,"")</f>
        <v/>
      </c>
      <c r="C1946" s="163" t="str">
        <f>IF(AND('Resource Planner'!$A$48="☑",42&lt;='Resource Planner'!$N$48),'Resource Planner'!$B$48,"")</f>
        <v/>
      </c>
      <c r="D1946" s="163" t="str">
        <f>IF(AND('Resource Planner'!$A$48="☑",42&lt;='Resource Planner'!$N$48),'Resource Planner'!$D$48,"")</f>
        <v/>
      </c>
      <c r="E1946" s="163" t="str">
        <f>IF(AND('Resource Planner'!$A$48="☑",42&lt;='Resource Planner'!$N$48),'Resource Planner'!$E$48,"")</f>
        <v/>
      </c>
      <c r="F1946" s="163" t="str">
        <f>IF(AND('Resource Planner'!$A$48="☑",42&lt;='Resource Planner'!$N$48),'Resource Planner'!$F$48&amp;" "&amp;('Resource Planner'!$G$48+(42-1)*'Resource Planner'!$I$48)&amp;IF(('Resource Planner'!$G$48+(42-1)*'Resource Planner'!$I$48)=MIN('Resource Planner'!$G$48+42*'Resource Planner'!$I$48-1,'Resource Planner'!$H$48),"","–"&amp;MIN('Resource Planner'!$G$48+42*'Resource Planner'!$I$48-1,'Resource Planner'!$H$48)),"")</f>
        <v/>
      </c>
      <c r="G1946" s="163" t="s">
        <v>109</v>
      </c>
      <c r="H1946" s="163" t="str">
        <f>IF(AND('Resource Planner'!$A$48="☑",42&lt;='Resource Planner'!$N$48),'Resource Planner'!$M$48,"")</f>
        <v/>
      </c>
    </row>
    <row r="1947" ht="15.75" customHeight="1">
      <c r="A19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7" s="163" t="str">
        <f>IF(AND('Resource Planner'!$A$48="☑",43&lt;='Resource Planner'!$N$48),'Resource Planner'!$C$48,"")</f>
        <v/>
      </c>
      <c r="C1947" s="163" t="str">
        <f>IF(AND('Resource Planner'!$A$48="☑",43&lt;='Resource Planner'!$N$48),'Resource Planner'!$B$48,"")</f>
        <v/>
      </c>
      <c r="D1947" s="163" t="str">
        <f>IF(AND('Resource Planner'!$A$48="☑",43&lt;='Resource Planner'!$N$48),'Resource Planner'!$D$48,"")</f>
        <v/>
      </c>
      <c r="E1947" s="163" t="str">
        <f>IF(AND('Resource Planner'!$A$48="☑",43&lt;='Resource Planner'!$N$48),'Resource Planner'!$E$48,"")</f>
        <v/>
      </c>
      <c r="F1947" s="163" t="str">
        <f>IF(AND('Resource Planner'!$A$48="☑",43&lt;='Resource Planner'!$N$48),'Resource Planner'!$F$48&amp;" "&amp;('Resource Planner'!$G$48+(43-1)*'Resource Planner'!$I$48)&amp;IF(('Resource Planner'!$G$48+(43-1)*'Resource Planner'!$I$48)=MIN('Resource Planner'!$G$48+43*'Resource Planner'!$I$48-1,'Resource Planner'!$H$48),"","–"&amp;MIN('Resource Planner'!$G$48+43*'Resource Planner'!$I$48-1,'Resource Planner'!$H$48)),"")</f>
        <v/>
      </c>
      <c r="G1947" s="163" t="s">
        <v>109</v>
      </c>
      <c r="H1947" s="163" t="str">
        <f>IF(AND('Resource Planner'!$A$48="☑",43&lt;='Resource Planner'!$N$48),'Resource Planner'!$M$48,"")</f>
        <v/>
      </c>
    </row>
    <row r="1948" ht="15.75" customHeight="1">
      <c r="A19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8" s="163" t="str">
        <f>IF(AND('Resource Planner'!$A$48="☑",44&lt;='Resource Planner'!$N$48),'Resource Planner'!$C$48,"")</f>
        <v/>
      </c>
      <c r="C1948" s="163" t="str">
        <f>IF(AND('Resource Planner'!$A$48="☑",44&lt;='Resource Planner'!$N$48),'Resource Planner'!$B$48,"")</f>
        <v/>
      </c>
      <c r="D1948" s="163" t="str">
        <f>IF(AND('Resource Planner'!$A$48="☑",44&lt;='Resource Planner'!$N$48),'Resource Planner'!$D$48,"")</f>
        <v/>
      </c>
      <c r="E1948" s="163" t="str">
        <f>IF(AND('Resource Planner'!$A$48="☑",44&lt;='Resource Planner'!$N$48),'Resource Planner'!$E$48,"")</f>
        <v/>
      </c>
      <c r="F1948" s="163" t="str">
        <f>IF(AND('Resource Planner'!$A$48="☑",44&lt;='Resource Planner'!$N$48),'Resource Planner'!$F$48&amp;" "&amp;('Resource Planner'!$G$48+(44-1)*'Resource Planner'!$I$48)&amp;IF(('Resource Planner'!$G$48+(44-1)*'Resource Planner'!$I$48)=MIN('Resource Planner'!$G$48+44*'Resource Planner'!$I$48-1,'Resource Planner'!$H$48),"","–"&amp;MIN('Resource Planner'!$G$48+44*'Resource Planner'!$I$48-1,'Resource Planner'!$H$48)),"")</f>
        <v/>
      </c>
      <c r="G1948" s="163" t="s">
        <v>109</v>
      </c>
      <c r="H1948" s="163" t="str">
        <f>IF(AND('Resource Planner'!$A$48="☑",44&lt;='Resource Planner'!$N$48),'Resource Planner'!$M$48,"")</f>
        <v/>
      </c>
    </row>
    <row r="1949" ht="15.75" customHeight="1">
      <c r="A19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49" s="163" t="str">
        <f>IF(AND('Resource Planner'!$A$48="☑",45&lt;='Resource Planner'!$N$48),'Resource Planner'!$C$48,"")</f>
        <v/>
      </c>
      <c r="C1949" s="163" t="str">
        <f>IF(AND('Resource Planner'!$A$48="☑",45&lt;='Resource Planner'!$N$48),'Resource Planner'!$B$48,"")</f>
        <v/>
      </c>
      <c r="D1949" s="163" t="str">
        <f>IF(AND('Resource Planner'!$A$48="☑",45&lt;='Resource Planner'!$N$48),'Resource Planner'!$D$48,"")</f>
        <v/>
      </c>
      <c r="E1949" s="163" t="str">
        <f>IF(AND('Resource Planner'!$A$48="☑",45&lt;='Resource Planner'!$N$48),'Resource Planner'!$E$48,"")</f>
        <v/>
      </c>
      <c r="F1949" s="163" t="str">
        <f>IF(AND('Resource Planner'!$A$48="☑",45&lt;='Resource Planner'!$N$48),'Resource Planner'!$F$48&amp;" "&amp;('Resource Planner'!$G$48+(45-1)*'Resource Planner'!$I$48)&amp;IF(('Resource Planner'!$G$48+(45-1)*'Resource Planner'!$I$48)=MIN('Resource Planner'!$G$48+45*'Resource Planner'!$I$48-1,'Resource Planner'!$H$48),"","–"&amp;MIN('Resource Planner'!$G$48+45*'Resource Planner'!$I$48-1,'Resource Planner'!$H$48)),"")</f>
        <v/>
      </c>
      <c r="G1949" s="163" t="s">
        <v>109</v>
      </c>
      <c r="H1949" s="163" t="str">
        <f>IF(AND('Resource Planner'!$A$48="☑",45&lt;='Resource Planner'!$N$48),'Resource Planner'!$M$48,"")</f>
        <v/>
      </c>
    </row>
    <row r="1950" ht="15.75" customHeight="1">
      <c r="A19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0" s="163" t="str">
        <f>IF(AND('Resource Planner'!$A$48="☑",46&lt;='Resource Planner'!$N$48),'Resource Planner'!$C$48,"")</f>
        <v/>
      </c>
      <c r="C1950" s="163" t="str">
        <f>IF(AND('Resource Planner'!$A$48="☑",46&lt;='Resource Planner'!$N$48),'Resource Planner'!$B$48,"")</f>
        <v/>
      </c>
      <c r="D1950" s="163" t="str">
        <f>IF(AND('Resource Planner'!$A$48="☑",46&lt;='Resource Planner'!$N$48),'Resource Planner'!$D$48,"")</f>
        <v/>
      </c>
      <c r="E1950" s="163" t="str">
        <f>IF(AND('Resource Planner'!$A$48="☑",46&lt;='Resource Planner'!$N$48),'Resource Planner'!$E$48,"")</f>
        <v/>
      </c>
      <c r="F1950" s="163" t="str">
        <f>IF(AND('Resource Planner'!$A$48="☑",46&lt;='Resource Planner'!$N$48),'Resource Planner'!$F$48&amp;" "&amp;('Resource Planner'!$G$48+(46-1)*'Resource Planner'!$I$48)&amp;IF(('Resource Planner'!$G$48+(46-1)*'Resource Planner'!$I$48)=MIN('Resource Planner'!$G$48+46*'Resource Planner'!$I$48-1,'Resource Planner'!$H$48),"","–"&amp;MIN('Resource Planner'!$G$48+46*'Resource Planner'!$I$48-1,'Resource Planner'!$H$48)),"")</f>
        <v/>
      </c>
      <c r="G1950" s="163" t="s">
        <v>109</v>
      </c>
      <c r="H1950" s="163" t="str">
        <f>IF(AND('Resource Planner'!$A$48="☑",46&lt;='Resource Planner'!$N$48),'Resource Planner'!$M$48,"")</f>
        <v/>
      </c>
    </row>
    <row r="1951" ht="15.75" customHeight="1">
      <c r="A19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1" s="163" t="str">
        <f>IF(AND('Resource Planner'!$A$48="☑",47&lt;='Resource Planner'!$N$48),'Resource Planner'!$C$48,"")</f>
        <v/>
      </c>
      <c r="C1951" s="163" t="str">
        <f>IF(AND('Resource Planner'!$A$48="☑",47&lt;='Resource Planner'!$N$48),'Resource Planner'!$B$48,"")</f>
        <v/>
      </c>
      <c r="D1951" s="163" t="str">
        <f>IF(AND('Resource Planner'!$A$48="☑",47&lt;='Resource Planner'!$N$48),'Resource Planner'!$D$48,"")</f>
        <v/>
      </c>
      <c r="E1951" s="163" t="str">
        <f>IF(AND('Resource Planner'!$A$48="☑",47&lt;='Resource Planner'!$N$48),'Resource Planner'!$E$48,"")</f>
        <v/>
      </c>
      <c r="F1951" s="163" t="str">
        <f>IF(AND('Resource Planner'!$A$48="☑",47&lt;='Resource Planner'!$N$48),'Resource Planner'!$F$48&amp;" "&amp;('Resource Planner'!$G$48+(47-1)*'Resource Planner'!$I$48)&amp;IF(('Resource Planner'!$G$48+(47-1)*'Resource Planner'!$I$48)=MIN('Resource Planner'!$G$48+47*'Resource Planner'!$I$48-1,'Resource Planner'!$H$48),"","–"&amp;MIN('Resource Planner'!$G$48+47*'Resource Planner'!$I$48-1,'Resource Planner'!$H$48)),"")</f>
        <v/>
      </c>
      <c r="G1951" s="163" t="s">
        <v>109</v>
      </c>
      <c r="H1951" s="163" t="str">
        <f>IF(AND('Resource Planner'!$A$48="☑",47&lt;='Resource Planner'!$N$48),'Resource Planner'!$M$48,"")</f>
        <v/>
      </c>
    </row>
    <row r="1952" ht="15.75" customHeight="1">
      <c r="A19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2" s="163" t="str">
        <f>IF(AND('Resource Planner'!$A$48="☑",48&lt;='Resource Planner'!$N$48),'Resource Planner'!$C$48,"")</f>
        <v/>
      </c>
      <c r="C1952" s="163" t="str">
        <f>IF(AND('Resource Planner'!$A$48="☑",48&lt;='Resource Planner'!$N$48),'Resource Planner'!$B$48,"")</f>
        <v/>
      </c>
      <c r="D1952" s="163" t="str">
        <f>IF(AND('Resource Planner'!$A$48="☑",48&lt;='Resource Planner'!$N$48),'Resource Planner'!$D$48,"")</f>
        <v/>
      </c>
      <c r="E1952" s="163" t="str">
        <f>IF(AND('Resource Planner'!$A$48="☑",48&lt;='Resource Planner'!$N$48),'Resource Planner'!$E$48,"")</f>
        <v/>
      </c>
      <c r="F1952" s="163" t="str">
        <f>IF(AND('Resource Planner'!$A$48="☑",48&lt;='Resource Planner'!$N$48),'Resource Planner'!$F$48&amp;" "&amp;('Resource Planner'!$G$48+(48-1)*'Resource Planner'!$I$48)&amp;IF(('Resource Planner'!$G$48+(48-1)*'Resource Planner'!$I$48)=MIN('Resource Planner'!$G$48+48*'Resource Planner'!$I$48-1,'Resource Planner'!$H$48),"","–"&amp;MIN('Resource Planner'!$G$48+48*'Resource Planner'!$I$48-1,'Resource Planner'!$H$48)),"")</f>
        <v/>
      </c>
      <c r="G1952" s="163" t="s">
        <v>109</v>
      </c>
      <c r="H1952" s="163" t="str">
        <f>IF(AND('Resource Planner'!$A$48="☑",48&lt;='Resource Planner'!$N$48),'Resource Planner'!$M$48,"")</f>
        <v/>
      </c>
    </row>
    <row r="1953" ht="15.75" customHeight="1">
      <c r="A19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3" s="163" t="str">
        <f>IF(AND('Resource Planner'!$A$48="☑",49&lt;='Resource Planner'!$N$48),'Resource Planner'!$C$48,"")</f>
        <v/>
      </c>
      <c r="C1953" s="163" t="str">
        <f>IF(AND('Resource Planner'!$A$48="☑",49&lt;='Resource Planner'!$N$48),'Resource Planner'!$B$48,"")</f>
        <v/>
      </c>
      <c r="D1953" s="163" t="str">
        <f>IF(AND('Resource Planner'!$A$48="☑",49&lt;='Resource Planner'!$N$48),'Resource Planner'!$D$48,"")</f>
        <v/>
      </c>
      <c r="E1953" s="163" t="str">
        <f>IF(AND('Resource Planner'!$A$48="☑",49&lt;='Resource Planner'!$N$48),'Resource Planner'!$E$48,"")</f>
        <v/>
      </c>
      <c r="F1953" s="163" t="str">
        <f>IF(AND('Resource Planner'!$A$48="☑",49&lt;='Resource Planner'!$N$48),'Resource Planner'!$F$48&amp;" "&amp;('Resource Planner'!$G$48+(49-1)*'Resource Planner'!$I$48)&amp;IF(('Resource Planner'!$G$48+(49-1)*'Resource Planner'!$I$48)=MIN('Resource Planner'!$G$48+49*'Resource Planner'!$I$48-1,'Resource Planner'!$H$48),"","–"&amp;MIN('Resource Planner'!$G$48+49*'Resource Planner'!$I$48-1,'Resource Planner'!$H$48)),"")</f>
        <v/>
      </c>
      <c r="G1953" s="163" t="s">
        <v>109</v>
      </c>
      <c r="H1953" s="163" t="str">
        <f>IF(AND('Resource Planner'!$A$48="☑",49&lt;='Resource Planner'!$N$48),'Resource Planner'!$M$48,"")</f>
        <v/>
      </c>
    </row>
    <row r="1954" ht="15.75" customHeight="1">
      <c r="A19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4" s="163" t="str">
        <f>IF(AND('Resource Planner'!$A$48="☑",50&lt;='Resource Planner'!$N$48),'Resource Planner'!$C$48,"")</f>
        <v/>
      </c>
      <c r="C1954" s="163" t="str">
        <f>IF(AND('Resource Planner'!$A$48="☑",50&lt;='Resource Planner'!$N$48),'Resource Planner'!$B$48,"")</f>
        <v/>
      </c>
      <c r="D1954" s="163" t="str">
        <f>IF(AND('Resource Planner'!$A$48="☑",50&lt;='Resource Planner'!$N$48),'Resource Planner'!$D$48,"")</f>
        <v/>
      </c>
      <c r="E1954" s="163" t="str">
        <f>IF(AND('Resource Planner'!$A$48="☑",50&lt;='Resource Planner'!$N$48),'Resource Planner'!$E$48,"")</f>
        <v/>
      </c>
      <c r="F1954" s="163" t="str">
        <f>IF(AND('Resource Planner'!$A$48="☑",50&lt;='Resource Planner'!$N$48),'Resource Planner'!$F$48&amp;" "&amp;('Resource Planner'!$G$48+(50-1)*'Resource Planner'!$I$48)&amp;IF(('Resource Planner'!$G$48+(50-1)*'Resource Planner'!$I$48)=MIN('Resource Planner'!$G$48+50*'Resource Planner'!$I$48-1,'Resource Planner'!$H$48),"","–"&amp;MIN('Resource Planner'!$G$48+50*'Resource Planner'!$I$48-1,'Resource Planner'!$H$48)),"")</f>
        <v/>
      </c>
      <c r="G1954" s="163" t="s">
        <v>109</v>
      </c>
      <c r="H1954" s="163" t="str">
        <f>IF(AND('Resource Planner'!$A$48="☑",50&lt;='Resource Planner'!$N$48),'Resource Planner'!$M$48,"")</f>
        <v/>
      </c>
    </row>
    <row r="1955" ht="15.75" customHeight="1">
      <c r="A19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5" s="163" t="str">
        <f>IF(AND('Resource Planner'!$A$49="☑",1&lt;='Resource Planner'!$N$49),'Resource Planner'!$C$49,"")</f>
        <v/>
      </c>
      <c r="C1955" s="163" t="str">
        <f>IF(AND('Resource Planner'!$A$49="☑",1&lt;='Resource Planner'!$N$49),'Resource Planner'!$B$49,"")</f>
        <v/>
      </c>
      <c r="D1955" s="163" t="str">
        <f>IF(AND('Resource Planner'!$A$49="☑",1&lt;='Resource Planner'!$N$49),'Resource Planner'!$D$49,"")</f>
        <v/>
      </c>
      <c r="E1955" s="163" t="str">
        <f>IF(AND('Resource Planner'!$A$49="☑",1&lt;='Resource Planner'!$N$49),'Resource Planner'!$E$49,"")</f>
        <v/>
      </c>
      <c r="F1955" s="163" t="str">
        <f>IF(AND('Resource Planner'!$A$49="☑",1&lt;='Resource Planner'!$N$49),'Resource Planner'!$F$49&amp;" "&amp;('Resource Planner'!$G$49+(1-1)*'Resource Planner'!$I$49)&amp;IF(('Resource Planner'!$G$49+(1-1)*'Resource Planner'!$I$49)=MIN('Resource Planner'!$G$49+1*'Resource Planner'!$I$49-1,'Resource Planner'!$H$49),"","–"&amp;MIN('Resource Planner'!$G$49+1*'Resource Planner'!$I$49-1,'Resource Planner'!$H$49)),"")</f>
        <v/>
      </c>
      <c r="G1955" s="163" t="s">
        <v>109</v>
      </c>
      <c r="H1955" s="163" t="str">
        <f>IF(AND('Resource Planner'!$A$49="☑",1&lt;='Resource Planner'!$N$49),'Resource Planner'!$M$49,"")</f>
        <v/>
      </c>
    </row>
    <row r="1956" ht="15.75" customHeight="1">
      <c r="A19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6" s="163" t="str">
        <f>IF(AND('Resource Planner'!$A$49="☑",2&lt;='Resource Planner'!$N$49),'Resource Planner'!$C$49,"")</f>
        <v/>
      </c>
      <c r="C1956" s="163" t="str">
        <f>IF(AND('Resource Planner'!$A$49="☑",2&lt;='Resource Planner'!$N$49),'Resource Planner'!$B$49,"")</f>
        <v/>
      </c>
      <c r="D1956" s="163" t="str">
        <f>IF(AND('Resource Planner'!$A$49="☑",2&lt;='Resource Planner'!$N$49),'Resource Planner'!$D$49,"")</f>
        <v/>
      </c>
      <c r="E1956" s="163" t="str">
        <f>IF(AND('Resource Planner'!$A$49="☑",2&lt;='Resource Planner'!$N$49),'Resource Planner'!$E$49,"")</f>
        <v/>
      </c>
      <c r="F1956" s="163" t="str">
        <f>IF(AND('Resource Planner'!$A$49="☑",2&lt;='Resource Planner'!$N$49),'Resource Planner'!$F$49&amp;" "&amp;('Resource Planner'!$G$49+(2-1)*'Resource Planner'!$I$49)&amp;IF(('Resource Planner'!$G$49+(2-1)*'Resource Planner'!$I$49)=MIN('Resource Planner'!$G$49+2*'Resource Planner'!$I$49-1,'Resource Planner'!$H$49),"","–"&amp;MIN('Resource Planner'!$G$49+2*'Resource Planner'!$I$49-1,'Resource Planner'!$H$49)),"")</f>
        <v/>
      </c>
      <c r="G1956" s="163" t="s">
        <v>109</v>
      </c>
      <c r="H1956" s="163" t="str">
        <f>IF(AND('Resource Planner'!$A$49="☑",2&lt;='Resource Planner'!$N$49),'Resource Planner'!$M$49,"")</f>
        <v/>
      </c>
    </row>
    <row r="1957" ht="15.75" customHeight="1">
      <c r="A19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7" s="163" t="str">
        <f>IF(AND('Resource Planner'!$A$49="☑",3&lt;='Resource Planner'!$N$49),'Resource Planner'!$C$49,"")</f>
        <v/>
      </c>
      <c r="C1957" s="163" t="str">
        <f>IF(AND('Resource Planner'!$A$49="☑",3&lt;='Resource Planner'!$N$49),'Resource Planner'!$B$49,"")</f>
        <v/>
      </c>
      <c r="D1957" s="163" t="str">
        <f>IF(AND('Resource Planner'!$A$49="☑",3&lt;='Resource Planner'!$N$49),'Resource Planner'!$D$49,"")</f>
        <v/>
      </c>
      <c r="E1957" s="163" t="str">
        <f>IF(AND('Resource Planner'!$A$49="☑",3&lt;='Resource Planner'!$N$49),'Resource Planner'!$E$49,"")</f>
        <v/>
      </c>
      <c r="F1957" s="163" t="str">
        <f>IF(AND('Resource Planner'!$A$49="☑",3&lt;='Resource Planner'!$N$49),'Resource Planner'!$F$49&amp;" "&amp;('Resource Planner'!$G$49+(3-1)*'Resource Planner'!$I$49)&amp;IF(('Resource Planner'!$G$49+(3-1)*'Resource Planner'!$I$49)=MIN('Resource Planner'!$G$49+3*'Resource Planner'!$I$49-1,'Resource Planner'!$H$49),"","–"&amp;MIN('Resource Planner'!$G$49+3*'Resource Planner'!$I$49-1,'Resource Planner'!$H$49)),"")</f>
        <v/>
      </c>
      <c r="G1957" s="163" t="s">
        <v>109</v>
      </c>
      <c r="H1957" s="163" t="str">
        <f>IF(AND('Resource Planner'!$A$49="☑",3&lt;='Resource Planner'!$N$49),'Resource Planner'!$M$49,"")</f>
        <v/>
      </c>
    </row>
    <row r="1958" ht="15.75" customHeight="1">
      <c r="A19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8" s="163" t="str">
        <f>IF(AND('Resource Planner'!$A$49="☑",4&lt;='Resource Planner'!$N$49),'Resource Planner'!$C$49,"")</f>
        <v/>
      </c>
      <c r="C1958" s="163" t="str">
        <f>IF(AND('Resource Planner'!$A$49="☑",4&lt;='Resource Planner'!$N$49),'Resource Planner'!$B$49,"")</f>
        <v/>
      </c>
      <c r="D1958" s="163" t="str">
        <f>IF(AND('Resource Planner'!$A$49="☑",4&lt;='Resource Planner'!$N$49),'Resource Planner'!$D$49,"")</f>
        <v/>
      </c>
      <c r="E1958" s="163" t="str">
        <f>IF(AND('Resource Planner'!$A$49="☑",4&lt;='Resource Planner'!$N$49),'Resource Planner'!$E$49,"")</f>
        <v/>
      </c>
      <c r="F1958" s="163" t="str">
        <f>IF(AND('Resource Planner'!$A$49="☑",4&lt;='Resource Planner'!$N$49),'Resource Planner'!$F$49&amp;" "&amp;('Resource Planner'!$G$49+(4-1)*'Resource Planner'!$I$49)&amp;IF(('Resource Planner'!$G$49+(4-1)*'Resource Planner'!$I$49)=MIN('Resource Planner'!$G$49+4*'Resource Planner'!$I$49-1,'Resource Planner'!$H$49),"","–"&amp;MIN('Resource Planner'!$G$49+4*'Resource Planner'!$I$49-1,'Resource Planner'!$H$49)),"")</f>
        <v/>
      </c>
      <c r="G1958" s="163" t="s">
        <v>109</v>
      </c>
      <c r="H1958" s="163" t="str">
        <f>IF(AND('Resource Planner'!$A$49="☑",4&lt;='Resource Planner'!$N$49),'Resource Planner'!$M$49,"")</f>
        <v/>
      </c>
    </row>
    <row r="1959" ht="15.75" customHeight="1">
      <c r="A19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59" s="163" t="str">
        <f>IF(AND('Resource Planner'!$A$49="☑",5&lt;='Resource Planner'!$N$49),'Resource Planner'!$C$49,"")</f>
        <v/>
      </c>
      <c r="C1959" s="163" t="str">
        <f>IF(AND('Resource Planner'!$A$49="☑",5&lt;='Resource Planner'!$N$49),'Resource Planner'!$B$49,"")</f>
        <v/>
      </c>
      <c r="D1959" s="163" t="str">
        <f>IF(AND('Resource Planner'!$A$49="☑",5&lt;='Resource Planner'!$N$49),'Resource Planner'!$D$49,"")</f>
        <v/>
      </c>
      <c r="E1959" s="163" t="str">
        <f>IF(AND('Resource Planner'!$A$49="☑",5&lt;='Resource Planner'!$N$49),'Resource Planner'!$E$49,"")</f>
        <v/>
      </c>
      <c r="F1959" s="163" t="str">
        <f>IF(AND('Resource Planner'!$A$49="☑",5&lt;='Resource Planner'!$N$49),'Resource Planner'!$F$49&amp;" "&amp;('Resource Planner'!$G$49+(5-1)*'Resource Planner'!$I$49)&amp;IF(('Resource Planner'!$G$49+(5-1)*'Resource Planner'!$I$49)=MIN('Resource Planner'!$G$49+5*'Resource Planner'!$I$49-1,'Resource Planner'!$H$49),"","–"&amp;MIN('Resource Planner'!$G$49+5*'Resource Planner'!$I$49-1,'Resource Planner'!$H$49)),"")</f>
        <v/>
      </c>
      <c r="G1959" s="163" t="s">
        <v>109</v>
      </c>
      <c r="H1959" s="163" t="str">
        <f>IF(AND('Resource Planner'!$A$49="☑",5&lt;='Resource Planner'!$N$49),'Resource Planner'!$M$49,"")</f>
        <v/>
      </c>
    </row>
    <row r="1960" ht="15.75" customHeight="1">
      <c r="A19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0" s="163" t="str">
        <f>IF(AND('Resource Planner'!$A$49="☑",6&lt;='Resource Planner'!$N$49),'Resource Planner'!$C$49,"")</f>
        <v/>
      </c>
      <c r="C1960" s="163" t="str">
        <f>IF(AND('Resource Planner'!$A$49="☑",6&lt;='Resource Planner'!$N$49),'Resource Planner'!$B$49,"")</f>
        <v/>
      </c>
      <c r="D1960" s="163" t="str">
        <f>IF(AND('Resource Planner'!$A$49="☑",6&lt;='Resource Planner'!$N$49),'Resource Planner'!$D$49,"")</f>
        <v/>
      </c>
      <c r="E1960" s="163" t="str">
        <f>IF(AND('Resource Planner'!$A$49="☑",6&lt;='Resource Planner'!$N$49),'Resource Planner'!$E$49,"")</f>
        <v/>
      </c>
      <c r="F1960" s="163" t="str">
        <f>IF(AND('Resource Planner'!$A$49="☑",6&lt;='Resource Planner'!$N$49),'Resource Planner'!$F$49&amp;" "&amp;('Resource Planner'!$G$49+(6-1)*'Resource Planner'!$I$49)&amp;IF(('Resource Planner'!$G$49+(6-1)*'Resource Planner'!$I$49)=MIN('Resource Planner'!$G$49+6*'Resource Planner'!$I$49-1,'Resource Planner'!$H$49),"","–"&amp;MIN('Resource Planner'!$G$49+6*'Resource Planner'!$I$49-1,'Resource Planner'!$H$49)),"")</f>
        <v/>
      </c>
      <c r="G1960" s="163" t="s">
        <v>109</v>
      </c>
      <c r="H1960" s="163" t="str">
        <f>IF(AND('Resource Planner'!$A$49="☑",6&lt;='Resource Planner'!$N$49),'Resource Planner'!$M$49,"")</f>
        <v/>
      </c>
    </row>
    <row r="1961" ht="15.75" customHeight="1">
      <c r="A19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1" s="163" t="str">
        <f>IF(AND('Resource Planner'!$A$49="☑",7&lt;='Resource Planner'!$N$49),'Resource Planner'!$C$49,"")</f>
        <v/>
      </c>
      <c r="C1961" s="163" t="str">
        <f>IF(AND('Resource Planner'!$A$49="☑",7&lt;='Resource Planner'!$N$49),'Resource Planner'!$B$49,"")</f>
        <v/>
      </c>
      <c r="D1961" s="163" t="str">
        <f>IF(AND('Resource Planner'!$A$49="☑",7&lt;='Resource Planner'!$N$49),'Resource Planner'!$D$49,"")</f>
        <v/>
      </c>
      <c r="E1961" s="163" t="str">
        <f>IF(AND('Resource Planner'!$A$49="☑",7&lt;='Resource Planner'!$N$49),'Resource Planner'!$E$49,"")</f>
        <v/>
      </c>
      <c r="F1961" s="163" t="str">
        <f>IF(AND('Resource Planner'!$A$49="☑",7&lt;='Resource Planner'!$N$49),'Resource Planner'!$F$49&amp;" "&amp;('Resource Planner'!$G$49+(7-1)*'Resource Planner'!$I$49)&amp;IF(('Resource Planner'!$G$49+(7-1)*'Resource Planner'!$I$49)=MIN('Resource Planner'!$G$49+7*'Resource Planner'!$I$49-1,'Resource Planner'!$H$49),"","–"&amp;MIN('Resource Planner'!$G$49+7*'Resource Planner'!$I$49-1,'Resource Planner'!$H$49)),"")</f>
        <v/>
      </c>
      <c r="G1961" s="163" t="s">
        <v>109</v>
      </c>
      <c r="H1961" s="163" t="str">
        <f>IF(AND('Resource Planner'!$A$49="☑",7&lt;='Resource Planner'!$N$49),'Resource Planner'!$M$49,"")</f>
        <v/>
      </c>
    </row>
    <row r="1962" ht="15.75" customHeight="1">
      <c r="A19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2" s="163" t="str">
        <f>IF(AND('Resource Planner'!$A$49="☑",8&lt;='Resource Planner'!$N$49),'Resource Planner'!$C$49,"")</f>
        <v/>
      </c>
      <c r="C1962" s="163" t="str">
        <f>IF(AND('Resource Planner'!$A$49="☑",8&lt;='Resource Planner'!$N$49),'Resource Planner'!$B$49,"")</f>
        <v/>
      </c>
      <c r="D1962" s="163" t="str">
        <f>IF(AND('Resource Planner'!$A$49="☑",8&lt;='Resource Planner'!$N$49),'Resource Planner'!$D$49,"")</f>
        <v/>
      </c>
      <c r="E1962" s="163" t="str">
        <f>IF(AND('Resource Planner'!$A$49="☑",8&lt;='Resource Planner'!$N$49),'Resource Planner'!$E$49,"")</f>
        <v/>
      </c>
      <c r="F1962" s="163" t="str">
        <f>IF(AND('Resource Planner'!$A$49="☑",8&lt;='Resource Planner'!$N$49),'Resource Planner'!$F$49&amp;" "&amp;('Resource Planner'!$G$49+(8-1)*'Resource Planner'!$I$49)&amp;IF(('Resource Planner'!$G$49+(8-1)*'Resource Planner'!$I$49)=MIN('Resource Planner'!$G$49+8*'Resource Planner'!$I$49-1,'Resource Planner'!$H$49),"","–"&amp;MIN('Resource Planner'!$G$49+8*'Resource Planner'!$I$49-1,'Resource Planner'!$H$49)),"")</f>
        <v/>
      </c>
      <c r="G1962" s="163" t="s">
        <v>109</v>
      </c>
      <c r="H1962" s="163" t="str">
        <f>IF(AND('Resource Planner'!$A$49="☑",8&lt;='Resource Planner'!$N$49),'Resource Planner'!$M$49,"")</f>
        <v/>
      </c>
    </row>
    <row r="1963" ht="15.75" customHeight="1">
      <c r="A19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3" s="163" t="str">
        <f>IF(AND('Resource Planner'!$A$49="☑",9&lt;='Resource Planner'!$N$49),'Resource Planner'!$C$49,"")</f>
        <v/>
      </c>
      <c r="C1963" s="163" t="str">
        <f>IF(AND('Resource Planner'!$A$49="☑",9&lt;='Resource Planner'!$N$49),'Resource Planner'!$B$49,"")</f>
        <v/>
      </c>
      <c r="D1963" s="163" t="str">
        <f>IF(AND('Resource Planner'!$A$49="☑",9&lt;='Resource Planner'!$N$49),'Resource Planner'!$D$49,"")</f>
        <v/>
      </c>
      <c r="E1963" s="163" t="str">
        <f>IF(AND('Resource Planner'!$A$49="☑",9&lt;='Resource Planner'!$N$49),'Resource Planner'!$E$49,"")</f>
        <v/>
      </c>
      <c r="F1963" s="163" t="str">
        <f>IF(AND('Resource Planner'!$A$49="☑",9&lt;='Resource Planner'!$N$49),'Resource Planner'!$F$49&amp;" "&amp;('Resource Planner'!$G$49+(9-1)*'Resource Planner'!$I$49)&amp;IF(('Resource Planner'!$G$49+(9-1)*'Resource Planner'!$I$49)=MIN('Resource Planner'!$G$49+9*'Resource Planner'!$I$49-1,'Resource Planner'!$H$49),"","–"&amp;MIN('Resource Planner'!$G$49+9*'Resource Planner'!$I$49-1,'Resource Planner'!$H$49)),"")</f>
        <v/>
      </c>
      <c r="G1963" s="163" t="s">
        <v>109</v>
      </c>
      <c r="H1963" s="163" t="str">
        <f>IF(AND('Resource Planner'!$A$49="☑",9&lt;='Resource Planner'!$N$49),'Resource Planner'!$M$49,"")</f>
        <v/>
      </c>
    </row>
    <row r="1964" ht="15.75" customHeight="1">
      <c r="A19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4" s="163" t="str">
        <f>IF(AND('Resource Planner'!$A$49="☑",10&lt;='Resource Planner'!$N$49),'Resource Planner'!$C$49,"")</f>
        <v/>
      </c>
      <c r="C1964" s="163" t="str">
        <f>IF(AND('Resource Planner'!$A$49="☑",10&lt;='Resource Planner'!$N$49),'Resource Planner'!$B$49,"")</f>
        <v/>
      </c>
      <c r="D1964" s="163" t="str">
        <f>IF(AND('Resource Planner'!$A$49="☑",10&lt;='Resource Planner'!$N$49),'Resource Planner'!$D$49,"")</f>
        <v/>
      </c>
      <c r="E1964" s="163" t="str">
        <f>IF(AND('Resource Planner'!$A$49="☑",10&lt;='Resource Planner'!$N$49),'Resource Planner'!$E$49,"")</f>
        <v/>
      </c>
      <c r="F1964" s="163" t="str">
        <f>IF(AND('Resource Planner'!$A$49="☑",10&lt;='Resource Planner'!$N$49),'Resource Planner'!$F$49&amp;" "&amp;('Resource Planner'!$G$49+(10-1)*'Resource Planner'!$I$49)&amp;IF(('Resource Planner'!$G$49+(10-1)*'Resource Planner'!$I$49)=MIN('Resource Planner'!$G$49+10*'Resource Planner'!$I$49-1,'Resource Planner'!$H$49),"","–"&amp;MIN('Resource Planner'!$G$49+10*'Resource Planner'!$I$49-1,'Resource Planner'!$H$49)),"")</f>
        <v/>
      </c>
      <c r="G1964" s="163" t="s">
        <v>109</v>
      </c>
      <c r="H1964" s="163" t="str">
        <f>IF(AND('Resource Planner'!$A$49="☑",10&lt;='Resource Planner'!$N$49),'Resource Planner'!$M$49,"")</f>
        <v/>
      </c>
    </row>
    <row r="1965" ht="15.75" customHeight="1">
      <c r="A19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5" s="163" t="str">
        <f>IF(AND('Resource Planner'!$A$49="☑",11&lt;='Resource Planner'!$N$49),'Resource Planner'!$C$49,"")</f>
        <v/>
      </c>
      <c r="C1965" s="163" t="str">
        <f>IF(AND('Resource Planner'!$A$49="☑",11&lt;='Resource Planner'!$N$49),'Resource Planner'!$B$49,"")</f>
        <v/>
      </c>
      <c r="D1965" s="163" t="str">
        <f>IF(AND('Resource Planner'!$A$49="☑",11&lt;='Resource Planner'!$N$49),'Resource Planner'!$D$49,"")</f>
        <v/>
      </c>
      <c r="E1965" s="163" t="str">
        <f>IF(AND('Resource Planner'!$A$49="☑",11&lt;='Resource Planner'!$N$49),'Resource Planner'!$E$49,"")</f>
        <v/>
      </c>
      <c r="F1965" s="163" t="str">
        <f>IF(AND('Resource Planner'!$A$49="☑",11&lt;='Resource Planner'!$N$49),'Resource Planner'!$F$49&amp;" "&amp;('Resource Planner'!$G$49+(11-1)*'Resource Planner'!$I$49)&amp;IF(('Resource Planner'!$G$49+(11-1)*'Resource Planner'!$I$49)=MIN('Resource Planner'!$G$49+11*'Resource Planner'!$I$49-1,'Resource Planner'!$H$49),"","–"&amp;MIN('Resource Planner'!$G$49+11*'Resource Planner'!$I$49-1,'Resource Planner'!$H$49)),"")</f>
        <v/>
      </c>
      <c r="G1965" s="163" t="s">
        <v>109</v>
      </c>
      <c r="H1965" s="163" t="str">
        <f>IF(AND('Resource Planner'!$A$49="☑",11&lt;='Resource Planner'!$N$49),'Resource Planner'!$M$49,"")</f>
        <v/>
      </c>
    </row>
    <row r="1966" ht="15.75" customHeight="1">
      <c r="A19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6" s="163" t="str">
        <f>IF(AND('Resource Planner'!$A$49="☑",12&lt;='Resource Planner'!$N$49),'Resource Planner'!$C$49,"")</f>
        <v/>
      </c>
      <c r="C1966" s="163" t="str">
        <f>IF(AND('Resource Planner'!$A$49="☑",12&lt;='Resource Planner'!$N$49),'Resource Planner'!$B$49,"")</f>
        <v/>
      </c>
      <c r="D1966" s="163" t="str">
        <f>IF(AND('Resource Planner'!$A$49="☑",12&lt;='Resource Planner'!$N$49),'Resource Planner'!$D$49,"")</f>
        <v/>
      </c>
      <c r="E1966" s="163" t="str">
        <f>IF(AND('Resource Planner'!$A$49="☑",12&lt;='Resource Planner'!$N$49),'Resource Planner'!$E$49,"")</f>
        <v/>
      </c>
      <c r="F1966" s="163" t="str">
        <f>IF(AND('Resource Planner'!$A$49="☑",12&lt;='Resource Planner'!$N$49),'Resource Planner'!$F$49&amp;" "&amp;('Resource Planner'!$G$49+(12-1)*'Resource Planner'!$I$49)&amp;IF(('Resource Planner'!$G$49+(12-1)*'Resource Planner'!$I$49)=MIN('Resource Planner'!$G$49+12*'Resource Planner'!$I$49-1,'Resource Planner'!$H$49),"","–"&amp;MIN('Resource Planner'!$G$49+12*'Resource Planner'!$I$49-1,'Resource Planner'!$H$49)),"")</f>
        <v/>
      </c>
      <c r="G1966" s="163" t="s">
        <v>109</v>
      </c>
      <c r="H1966" s="163" t="str">
        <f>IF(AND('Resource Planner'!$A$49="☑",12&lt;='Resource Planner'!$N$49),'Resource Planner'!$M$49,"")</f>
        <v/>
      </c>
    </row>
    <row r="1967" ht="15.75" customHeight="1">
      <c r="A19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7" s="163" t="str">
        <f>IF(AND('Resource Planner'!$A$49="☑",13&lt;='Resource Planner'!$N$49),'Resource Planner'!$C$49,"")</f>
        <v/>
      </c>
      <c r="C1967" s="163" t="str">
        <f>IF(AND('Resource Planner'!$A$49="☑",13&lt;='Resource Planner'!$N$49),'Resource Planner'!$B$49,"")</f>
        <v/>
      </c>
      <c r="D1967" s="163" t="str">
        <f>IF(AND('Resource Planner'!$A$49="☑",13&lt;='Resource Planner'!$N$49),'Resource Planner'!$D$49,"")</f>
        <v/>
      </c>
      <c r="E1967" s="163" t="str">
        <f>IF(AND('Resource Planner'!$A$49="☑",13&lt;='Resource Planner'!$N$49),'Resource Planner'!$E$49,"")</f>
        <v/>
      </c>
      <c r="F1967" s="163" t="str">
        <f>IF(AND('Resource Planner'!$A$49="☑",13&lt;='Resource Planner'!$N$49),'Resource Planner'!$F$49&amp;" "&amp;('Resource Planner'!$G$49+(13-1)*'Resource Planner'!$I$49)&amp;IF(('Resource Planner'!$G$49+(13-1)*'Resource Planner'!$I$49)=MIN('Resource Planner'!$G$49+13*'Resource Planner'!$I$49-1,'Resource Planner'!$H$49),"","–"&amp;MIN('Resource Planner'!$G$49+13*'Resource Planner'!$I$49-1,'Resource Planner'!$H$49)),"")</f>
        <v/>
      </c>
      <c r="G1967" s="163" t="s">
        <v>109</v>
      </c>
      <c r="H1967" s="163" t="str">
        <f>IF(AND('Resource Planner'!$A$49="☑",13&lt;='Resource Planner'!$N$49),'Resource Planner'!$M$49,"")</f>
        <v/>
      </c>
    </row>
    <row r="1968" ht="15.75" customHeight="1">
      <c r="A19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8" s="163" t="str">
        <f>IF(AND('Resource Planner'!$A$49="☑",14&lt;='Resource Planner'!$N$49),'Resource Planner'!$C$49,"")</f>
        <v/>
      </c>
      <c r="C1968" s="163" t="str">
        <f>IF(AND('Resource Planner'!$A$49="☑",14&lt;='Resource Planner'!$N$49),'Resource Planner'!$B$49,"")</f>
        <v/>
      </c>
      <c r="D1968" s="163" t="str">
        <f>IF(AND('Resource Planner'!$A$49="☑",14&lt;='Resource Planner'!$N$49),'Resource Planner'!$D$49,"")</f>
        <v/>
      </c>
      <c r="E1968" s="163" t="str">
        <f>IF(AND('Resource Planner'!$A$49="☑",14&lt;='Resource Planner'!$N$49),'Resource Planner'!$E$49,"")</f>
        <v/>
      </c>
      <c r="F1968" s="163" t="str">
        <f>IF(AND('Resource Planner'!$A$49="☑",14&lt;='Resource Planner'!$N$49),'Resource Planner'!$F$49&amp;" "&amp;('Resource Planner'!$G$49+(14-1)*'Resource Planner'!$I$49)&amp;IF(('Resource Planner'!$G$49+(14-1)*'Resource Planner'!$I$49)=MIN('Resource Planner'!$G$49+14*'Resource Planner'!$I$49-1,'Resource Planner'!$H$49),"","–"&amp;MIN('Resource Planner'!$G$49+14*'Resource Planner'!$I$49-1,'Resource Planner'!$H$49)),"")</f>
        <v/>
      </c>
      <c r="G1968" s="163" t="s">
        <v>109</v>
      </c>
      <c r="H1968" s="163" t="str">
        <f>IF(AND('Resource Planner'!$A$49="☑",14&lt;='Resource Planner'!$N$49),'Resource Planner'!$M$49,"")</f>
        <v/>
      </c>
    </row>
    <row r="1969" ht="15.75" customHeight="1">
      <c r="A19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69" s="163" t="str">
        <f>IF(AND('Resource Planner'!$A$49="☑",15&lt;='Resource Planner'!$N$49),'Resource Planner'!$C$49,"")</f>
        <v/>
      </c>
      <c r="C1969" s="163" t="str">
        <f>IF(AND('Resource Planner'!$A$49="☑",15&lt;='Resource Planner'!$N$49),'Resource Planner'!$B$49,"")</f>
        <v/>
      </c>
      <c r="D1969" s="163" t="str">
        <f>IF(AND('Resource Planner'!$A$49="☑",15&lt;='Resource Planner'!$N$49),'Resource Planner'!$D$49,"")</f>
        <v/>
      </c>
      <c r="E1969" s="163" t="str">
        <f>IF(AND('Resource Planner'!$A$49="☑",15&lt;='Resource Planner'!$N$49),'Resource Planner'!$E$49,"")</f>
        <v/>
      </c>
      <c r="F1969" s="163" t="str">
        <f>IF(AND('Resource Planner'!$A$49="☑",15&lt;='Resource Planner'!$N$49),'Resource Planner'!$F$49&amp;" "&amp;('Resource Planner'!$G$49+(15-1)*'Resource Planner'!$I$49)&amp;IF(('Resource Planner'!$G$49+(15-1)*'Resource Planner'!$I$49)=MIN('Resource Planner'!$G$49+15*'Resource Planner'!$I$49-1,'Resource Planner'!$H$49),"","–"&amp;MIN('Resource Planner'!$G$49+15*'Resource Planner'!$I$49-1,'Resource Planner'!$H$49)),"")</f>
        <v/>
      </c>
      <c r="G1969" s="163" t="s">
        <v>109</v>
      </c>
      <c r="H1969" s="163" t="str">
        <f>IF(AND('Resource Planner'!$A$49="☑",15&lt;='Resource Planner'!$N$49),'Resource Planner'!$M$49,"")</f>
        <v/>
      </c>
    </row>
    <row r="1970" ht="15.75" customHeight="1">
      <c r="A19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0" s="163" t="str">
        <f>IF(AND('Resource Planner'!$A$49="☑",16&lt;='Resource Planner'!$N$49),'Resource Planner'!$C$49,"")</f>
        <v/>
      </c>
      <c r="C1970" s="163" t="str">
        <f>IF(AND('Resource Planner'!$A$49="☑",16&lt;='Resource Planner'!$N$49),'Resource Planner'!$B$49,"")</f>
        <v/>
      </c>
      <c r="D1970" s="163" t="str">
        <f>IF(AND('Resource Planner'!$A$49="☑",16&lt;='Resource Planner'!$N$49),'Resource Planner'!$D$49,"")</f>
        <v/>
      </c>
      <c r="E1970" s="163" t="str">
        <f>IF(AND('Resource Planner'!$A$49="☑",16&lt;='Resource Planner'!$N$49),'Resource Planner'!$E$49,"")</f>
        <v/>
      </c>
      <c r="F1970" s="163" t="str">
        <f>IF(AND('Resource Planner'!$A$49="☑",16&lt;='Resource Planner'!$N$49),'Resource Planner'!$F$49&amp;" "&amp;('Resource Planner'!$G$49+(16-1)*'Resource Planner'!$I$49)&amp;IF(('Resource Planner'!$G$49+(16-1)*'Resource Planner'!$I$49)=MIN('Resource Planner'!$G$49+16*'Resource Planner'!$I$49-1,'Resource Planner'!$H$49),"","–"&amp;MIN('Resource Planner'!$G$49+16*'Resource Planner'!$I$49-1,'Resource Planner'!$H$49)),"")</f>
        <v/>
      </c>
      <c r="G1970" s="163" t="s">
        <v>109</v>
      </c>
      <c r="H1970" s="163" t="str">
        <f>IF(AND('Resource Planner'!$A$49="☑",16&lt;='Resource Planner'!$N$49),'Resource Planner'!$M$49,"")</f>
        <v/>
      </c>
    </row>
    <row r="1971" ht="15.75" customHeight="1">
      <c r="A19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1" s="163" t="str">
        <f>IF(AND('Resource Planner'!$A$49="☑",17&lt;='Resource Planner'!$N$49),'Resource Planner'!$C$49,"")</f>
        <v/>
      </c>
      <c r="C1971" s="163" t="str">
        <f>IF(AND('Resource Planner'!$A$49="☑",17&lt;='Resource Planner'!$N$49),'Resource Planner'!$B$49,"")</f>
        <v/>
      </c>
      <c r="D1971" s="163" t="str">
        <f>IF(AND('Resource Planner'!$A$49="☑",17&lt;='Resource Planner'!$N$49),'Resource Planner'!$D$49,"")</f>
        <v/>
      </c>
      <c r="E1971" s="163" t="str">
        <f>IF(AND('Resource Planner'!$A$49="☑",17&lt;='Resource Planner'!$N$49),'Resource Planner'!$E$49,"")</f>
        <v/>
      </c>
      <c r="F1971" s="163" t="str">
        <f>IF(AND('Resource Planner'!$A$49="☑",17&lt;='Resource Planner'!$N$49),'Resource Planner'!$F$49&amp;" "&amp;('Resource Planner'!$G$49+(17-1)*'Resource Planner'!$I$49)&amp;IF(('Resource Planner'!$G$49+(17-1)*'Resource Planner'!$I$49)=MIN('Resource Planner'!$G$49+17*'Resource Planner'!$I$49-1,'Resource Planner'!$H$49),"","–"&amp;MIN('Resource Planner'!$G$49+17*'Resource Planner'!$I$49-1,'Resource Planner'!$H$49)),"")</f>
        <v/>
      </c>
      <c r="G1971" s="163" t="s">
        <v>109</v>
      </c>
      <c r="H1971" s="163" t="str">
        <f>IF(AND('Resource Planner'!$A$49="☑",17&lt;='Resource Planner'!$N$49),'Resource Planner'!$M$49,"")</f>
        <v/>
      </c>
    </row>
    <row r="1972" ht="15.75" customHeight="1">
      <c r="A19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2" s="163" t="str">
        <f>IF(AND('Resource Planner'!$A$49="☑",18&lt;='Resource Planner'!$N$49),'Resource Planner'!$C$49,"")</f>
        <v/>
      </c>
      <c r="C1972" s="163" t="str">
        <f>IF(AND('Resource Planner'!$A$49="☑",18&lt;='Resource Planner'!$N$49),'Resource Planner'!$B$49,"")</f>
        <v/>
      </c>
      <c r="D1972" s="163" t="str">
        <f>IF(AND('Resource Planner'!$A$49="☑",18&lt;='Resource Planner'!$N$49),'Resource Planner'!$D$49,"")</f>
        <v/>
      </c>
      <c r="E1972" s="163" t="str">
        <f>IF(AND('Resource Planner'!$A$49="☑",18&lt;='Resource Planner'!$N$49),'Resource Planner'!$E$49,"")</f>
        <v/>
      </c>
      <c r="F1972" s="163" t="str">
        <f>IF(AND('Resource Planner'!$A$49="☑",18&lt;='Resource Planner'!$N$49),'Resource Planner'!$F$49&amp;" "&amp;('Resource Planner'!$G$49+(18-1)*'Resource Planner'!$I$49)&amp;IF(('Resource Planner'!$G$49+(18-1)*'Resource Planner'!$I$49)=MIN('Resource Planner'!$G$49+18*'Resource Planner'!$I$49-1,'Resource Planner'!$H$49),"","–"&amp;MIN('Resource Planner'!$G$49+18*'Resource Planner'!$I$49-1,'Resource Planner'!$H$49)),"")</f>
        <v/>
      </c>
      <c r="G1972" s="163" t="s">
        <v>109</v>
      </c>
      <c r="H1972" s="163" t="str">
        <f>IF(AND('Resource Planner'!$A$49="☑",18&lt;='Resource Planner'!$N$49),'Resource Planner'!$M$49,"")</f>
        <v/>
      </c>
    </row>
    <row r="1973" ht="15.75" customHeight="1">
      <c r="A19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3" s="163" t="str">
        <f>IF(AND('Resource Planner'!$A$49="☑",19&lt;='Resource Planner'!$N$49),'Resource Planner'!$C$49,"")</f>
        <v/>
      </c>
      <c r="C1973" s="163" t="str">
        <f>IF(AND('Resource Planner'!$A$49="☑",19&lt;='Resource Planner'!$N$49),'Resource Planner'!$B$49,"")</f>
        <v/>
      </c>
      <c r="D1973" s="163" t="str">
        <f>IF(AND('Resource Planner'!$A$49="☑",19&lt;='Resource Planner'!$N$49),'Resource Planner'!$D$49,"")</f>
        <v/>
      </c>
      <c r="E1973" s="163" t="str">
        <f>IF(AND('Resource Planner'!$A$49="☑",19&lt;='Resource Planner'!$N$49),'Resource Planner'!$E$49,"")</f>
        <v/>
      </c>
      <c r="F1973" s="163" t="str">
        <f>IF(AND('Resource Planner'!$A$49="☑",19&lt;='Resource Planner'!$N$49),'Resource Planner'!$F$49&amp;" "&amp;('Resource Planner'!$G$49+(19-1)*'Resource Planner'!$I$49)&amp;IF(('Resource Planner'!$G$49+(19-1)*'Resource Planner'!$I$49)=MIN('Resource Planner'!$G$49+19*'Resource Planner'!$I$49-1,'Resource Planner'!$H$49),"","–"&amp;MIN('Resource Planner'!$G$49+19*'Resource Planner'!$I$49-1,'Resource Planner'!$H$49)),"")</f>
        <v/>
      </c>
      <c r="G1973" s="163" t="s">
        <v>109</v>
      </c>
      <c r="H1973" s="163" t="str">
        <f>IF(AND('Resource Planner'!$A$49="☑",19&lt;='Resource Planner'!$N$49),'Resource Planner'!$M$49,"")</f>
        <v/>
      </c>
    </row>
    <row r="1974" ht="15.75" customHeight="1">
      <c r="A19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4" s="163" t="str">
        <f>IF(AND('Resource Planner'!$A$49="☑",20&lt;='Resource Planner'!$N$49),'Resource Planner'!$C$49,"")</f>
        <v/>
      </c>
      <c r="C1974" s="163" t="str">
        <f>IF(AND('Resource Planner'!$A$49="☑",20&lt;='Resource Planner'!$N$49),'Resource Planner'!$B$49,"")</f>
        <v/>
      </c>
      <c r="D1974" s="163" t="str">
        <f>IF(AND('Resource Planner'!$A$49="☑",20&lt;='Resource Planner'!$N$49),'Resource Planner'!$D$49,"")</f>
        <v/>
      </c>
      <c r="E1974" s="163" t="str">
        <f>IF(AND('Resource Planner'!$A$49="☑",20&lt;='Resource Planner'!$N$49),'Resource Planner'!$E$49,"")</f>
        <v/>
      </c>
      <c r="F1974" s="163" t="str">
        <f>IF(AND('Resource Planner'!$A$49="☑",20&lt;='Resource Planner'!$N$49),'Resource Planner'!$F$49&amp;" "&amp;('Resource Planner'!$G$49+(20-1)*'Resource Planner'!$I$49)&amp;IF(('Resource Planner'!$G$49+(20-1)*'Resource Planner'!$I$49)=MIN('Resource Planner'!$G$49+20*'Resource Planner'!$I$49-1,'Resource Planner'!$H$49),"","–"&amp;MIN('Resource Planner'!$G$49+20*'Resource Planner'!$I$49-1,'Resource Planner'!$H$49)),"")</f>
        <v/>
      </c>
      <c r="G1974" s="163" t="s">
        <v>109</v>
      </c>
      <c r="H1974" s="163" t="str">
        <f>IF(AND('Resource Planner'!$A$49="☑",20&lt;='Resource Planner'!$N$49),'Resource Planner'!$M$49,"")</f>
        <v/>
      </c>
    </row>
    <row r="1975" ht="15.75" customHeight="1">
      <c r="A19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5" s="163" t="str">
        <f>IF(AND('Resource Planner'!$A$49="☑",21&lt;='Resource Planner'!$N$49),'Resource Planner'!$C$49,"")</f>
        <v/>
      </c>
      <c r="C1975" s="163" t="str">
        <f>IF(AND('Resource Planner'!$A$49="☑",21&lt;='Resource Planner'!$N$49),'Resource Planner'!$B$49,"")</f>
        <v/>
      </c>
      <c r="D1975" s="163" t="str">
        <f>IF(AND('Resource Planner'!$A$49="☑",21&lt;='Resource Planner'!$N$49),'Resource Planner'!$D$49,"")</f>
        <v/>
      </c>
      <c r="E1975" s="163" t="str">
        <f>IF(AND('Resource Planner'!$A$49="☑",21&lt;='Resource Planner'!$N$49),'Resource Planner'!$E$49,"")</f>
        <v/>
      </c>
      <c r="F1975" s="163" t="str">
        <f>IF(AND('Resource Planner'!$A$49="☑",21&lt;='Resource Planner'!$N$49),'Resource Planner'!$F$49&amp;" "&amp;('Resource Planner'!$G$49+(21-1)*'Resource Planner'!$I$49)&amp;IF(('Resource Planner'!$G$49+(21-1)*'Resource Planner'!$I$49)=MIN('Resource Planner'!$G$49+21*'Resource Planner'!$I$49-1,'Resource Planner'!$H$49),"","–"&amp;MIN('Resource Planner'!$G$49+21*'Resource Planner'!$I$49-1,'Resource Planner'!$H$49)),"")</f>
        <v/>
      </c>
      <c r="G1975" s="163" t="s">
        <v>109</v>
      </c>
      <c r="H1975" s="163" t="str">
        <f>IF(AND('Resource Planner'!$A$49="☑",21&lt;='Resource Planner'!$N$49),'Resource Planner'!$M$49,"")</f>
        <v/>
      </c>
    </row>
    <row r="1976" ht="15.75" customHeight="1">
      <c r="A19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6" s="163" t="str">
        <f>IF(AND('Resource Planner'!$A$49="☑",22&lt;='Resource Planner'!$N$49),'Resource Planner'!$C$49,"")</f>
        <v/>
      </c>
      <c r="C1976" s="163" t="str">
        <f>IF(AND('Resource Planner'!$A$49="☑",22&lt;='Resource Planner'!$N$49),'Resource Planner'!$B$49,"")</f>
        <v/>
      </c>
      <c r="D1976" s="163" t="str">
        <f>IF(AND('Resource Planner'!$A$49="☑",22&lt;='Resource Planner'!$N$49),'Resource Planner'!$D$49,"")</f>
        <v/>
      </c>
      <c r="E1976" s="163" t="str">
        <f>IF(AND('Resource Planner'!$A$49="☑",22&lt;='Resource Planner'!$N$49),'Resource Planner'!$E$49,"")</f>
        <v/>
      </c>
      <c r="F1976" s="163" t="str">
        <f>IF(AND('Resource Planner'!$A$49="☑",22&lt;='Resource Planner'!$N$49),'Resource Planner'!$F$49&amp;" "&amp;('Resource Planner'!$G$49+(22-1)*'Resource Planner'!$I$49)&amp;IF(('Resource Planner'!$G$49+(22-1)*'Resource Planner'!$I$49)=MIN('Resource Planner'!$G$49+22*'Resource Planner'!$I$49-1,'Resource Planner'!$H$49),"","–"&amp;MIN('Resource Planner'!$G$49+22*'Resource Planner'!$I$49-1,'Resource Planner'!$H$49)),"")</f>
        <v/>
      </c>
      <c r="G1976" s="163" t="s">
        <v>109</v>
      </c>
      <c r="H1976" s="163" t="str">
        <f>IF(AND('Resource Planner'!$A$49="☑",22&lt;='Resource Planner'!$N$49),'Resource Planner'!$M$49,"")</f>
        <v/>
      </c>
    </row>
    <row r="1977" ht="15.75" customHeight="1">
      <c r="A19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7" s="163" t="str">
        <f>IF(AND('Resource Planner'!$A$49="☑",23&lt;='Resource Planner'!$N$49),'Resource Planner'!$C$49,"")</f>
        <v/>
      </c>
      <c r="C1977" s="163" t="str">
        <f>IF(AND('Resource Planner'!$A$49="☑",23&lt;='Resource Planner'!$N$49),'Resource Planner'!$B$49,"")</f>
        <v/>
      </c>
      <c r="D1977" s="163" t="str">
        <f>IF(AND('Resource Planner'!$A$49="☑",23&lt;='Resource Planner'!$N$49),'Resource Planner'!$D$49,"")</f>
        <v/>
      </c>
      <c r="E1977" s="163" t="str">
        <f>IF(AND('Resource Planner'!$A$49="☑",23&lt;='Resource Planner'!$N$49),'Resource Planner'!$E$49,"")</f>
        <v/>
      </c>
      <c r="F1977" s="163" t="str">
        <f>IF(AND('Resource Planner'!$A$49="☑",23&lt;='Resource Planner'!$N$49),'Resource Planner'!$F$49&amp;" "&amp;('Resource Planner'!$G$49+(23-1)*'Resource Planner'!$I$49)&amp;IF(('Resource Planner'!$G$49+(23-1)*'Resource Planner'!$I$49)=MIN('Resource Planner'!$G$49+23*'Resource Planner'!$I$49-1,'Resource Planner'!$H$49),"","–"&amp;MIN('Resource Planner'!$G$49+23*'Resource Planner'!$I$49-1,'Resource Planner'!$H$49)),"")</f>
        <v/>
      </c>
      <c r="G1977" s="163" t="s">
        <v>109</v>
      </c>
      <c r="H1977" s="163" t="str">
        <f>IF(AND('Resource Planner'!$A$49="☑",23&lt;='Resource Planner'!$N$49),'Resource Planner'!$M$49,"")</f>
        <v/>
      </c>
    </row>
    <row r="1978" ht="15.75" customHeight="1">
      <c r="A19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8" s="163" t="str">
        <f>IF(AND('Resource Planner'!$A$49="☑",24&lt;='Resource Planner'!$N$49),'Resource Planner'!$C$49,"")</f>
        <v/>
      </c>
      <c r="C1978" s="163" t="str">
        <f>IF(AND('Resource Planner'!$A$49="☑",24&lt;='Resource Planner'!$N$49),'Resource Planner'!$B$49,"")</f>
        <v/>
      </c>
      <c r="D1978" s="163" t="str">
        <f>IF(AND('Resource Planner'!$A$49="☑",24&lt;='Resource Planner'!$N$49),'Resource Planner'!$D$49,"")</f>
        <v/>
      </c>
      <c r="E1978" s="163" t="str">
        <f>IF(AND('Resource Planner'!$A$49="☑",24&lt;='Resource Planner'!$N$49),'Resource Planner'!$E$49,"")</f>
        <v/>
      </c>
      <c r="F1978" s="163" t="str">
        <f>IF(AND('Resource Planner'!$A$49="☑",24&lt;='Resource Planner'!$N$49),'Resource Planner'!$F$49&amp;" "&amp;('Resource Planner'!$G$49+(24-1)*'Resource Planner'!$I$49)&amp;IF(('Resource Planner'!$G$49+(24-1)*'Resource Planner'!$I$49)=MIN('Resource Planner'!$G$49+24*'Resource Planner'!$I$49-1,'Resource Planner'!$H$49),"","–"&amp;MIN('Resource Planner'!$G$49+24*'Resource Planner'!$I$49-1,'Resource Planner'!$H$49)),"")</f>
        <v/>
      </c>
      <c r="G1978" s="163" t="s">
        <v>109</v>
      </c>
      <c r="H1978" s="163" t="str">
        <f>IF(AND('Resource Planner'!$A$49="☑",24&lt;='Resource Planner'!$N$49),'Resource Planner'!$M$49,"")</f>
        <v/>
      </c>
    </row>
    <row r="1979" ht="15.75" customHeight="1">
      <c r="A19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79" s="163" t="str">
        <f>IF(AND('Resource Planner'!$A$49="☑",25&lt;='Resource Planner'!$N$49),'Resource Planner'!$C$49,"")</f>
        <v/>
      </c>
      <c r="C1979" s="163" t="str">
        <f>IF(AND('Resource Planner'!$A$49="☑",25&lt;='Resource Planner'!$N$49),'Resource Planner'!$B$49,"")</f>
        <v/>
      </c>
      <c r="D1979" s="163" t="str">
        <f>IF(AND('Resource Planner'!$A$49="☑",25&lt;='Resource Planner'!$N$49),'Resource Planner'!$D$49,"")</f>
        <v/>
      </c>
      <c r="E1979" s="163" t="str">
        <f>IF(AND('Resource Planner'!$A$49="☑",25&lt;='Resource Planner'!$N$49),'Resource Planner'!$E$49,"")</f>
        <v/>
      </c>
      <c r="F1979" s="163" t="str">
        <f>IF(AND('Resource Planner'!$A$49="☑",25&lt;='Resource Planner'!$N$49),'Resource Planner'!$F$49&amp;" "&amp;('Resource Planner'!$G$49+(25-1)*'Resource Planner'!$I$49)&amp;IF(('Resource Planner'!$G$49+(25-1)*'Resource Planner'!$I$49)=MIN('Resource Planner'!$G$49+25*'Resource Planner'!$I$49-1,'Resource Planner'!$H$49),"","–"&amp;MIN('Resource Planner'!$G$49+25*'Resource Planner'!$I$49-1,'Resource Planner'!$H$49)),"")</f>
        <v/>
      </c>
      <c r="G1979" s="163" t="s">
        <v>109</v>
      </c>
      <c r="H1979" s="163" t="str">
        <f>IF(AND('Resource Planner'!$A$49="☑",25&lt;='Resource Planner'!$N$49),'Resource Planner'!$M$49,"")</f>
        <v/>
      </c>
    </row>
    <row r="1980" ht="15.75" customHeight="1">
      <c r="A19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0" s="163" t="str">
        <f>IF(AND('Resource Planner'!$A$49="☑",26&lt;='Resource Planner'!$N$49),'Resource Planner'!$C$49,"")</f>
        <v/>
      </c>
      <c r="C1980" s="163" t="str">
        <f>IF(AND('Resource Planner'!$A$49="☑",26&lt;='Resource Planner'!$N$49),'Resource Planner'!$B$49,"")</f>
        <v/>
      </c>
      <c r="D1980" s="163" t="str">
        <f>IF(AND('Resource Planner'!$A$49="☑",26&lt;='Resource Planner'!$N$49),'Resource Planner'!$D$49,"")</f>
        <v/>
      </c>
      <c r="E1980" s="163" t="str">
        <f>IF(AND('Resource Planner'!$A$49="☑",26&lt;='Resource Planner'!$N$49),'Resource Planner'!$E$49,"")</f>
        <v/>
      </c>
      <c r="F1980" s="163" t="str">
        <f>IF(AND('Resource Planner'!$A$49="☑",26&lt;='Resource Planner'!$N$49),'Resource Planner'!$F$49&amp;" "&amp;('Resource Planner'!$G$49+(26-1)*'Resource Planner'!$I$49)&amp;IF(('Resource Planner'!$G$49+(26-1)*'Resource Planner'!$I$49)=MIN('Resource Planner'!$G$49+26*'Resource Planner'!$I$49-1,'Resource Planner'!$H$49),"","–"&amp;MIN('Resource Planner'!$G$49+26*'Resource Planner'!$I$49-1,'Resource Planner'!$H$49)),"")</f>
        <v/>
      </c>
      <c r="G1980" s="163" t="s">
        <v>109</v>
      </c>
      <c r="H1980" s="163" t="str">
        <f>IF(AND('Resource Planner'!$A$49="☑",26&lt;='Resource Planner'!$N$49),'Resource Planner'!$M$49,"")</f>
        <v/>
      </c>
    </row>
    <row r="1981" ht="15.75" customHeight="1">
      <c r="A19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1" s="163" t="str">
        <f>IF(AND('Resource Planner'!$A$49="☑",27&lt;='Resource Planner'!$N$49),'Resource Planner'!$C$49,"")</f>
        <v/>
      </c>
      <c r="C1981" s="163" t="str">
        <f>IF(AND('Resource Planner'!$A$49="☑",27&lt;='Resource Planner'!$N$49),'Resource Planner'!$B$49,"")</f>
        <v/>
      </c>
      <c r="D1981" s="163" t="str">
        <f>IF(AND('Resource Planner'!$A$49="☑",27&lt;='Resource Planner'!$N$49),'Resource Planner'!$D$49,"")</f>
        <v/>
      </c>
      <c r="E1981" s="163" t="str">
        <f>IF(AND('Resource Planner'!$A$49="☑",27&lt;='Resource Planner'!$N$49),'Resource Planner'!$E$49,"")</f>
        <v/>
      </c>
      <c r="F1981" s="163" t="str">
        <f>IF(AND('Resource Planner'!$A$49="☑",27&lt;='Resource Planner'!$N$49),'Resource Planner'!$F$49&amp;" "&amp;('Resource Planner'!$G$49+(27-1)*'Resource Planner'!$I$49)&amp;IF(('Resource Planner'!$G$49+(27-1)*'Resource Planner'!$I$49)=MIN('Resource Planner'!$G$49+27*'Resource Planner'!$I$49-1,'Resource Planner'!$H$49),"","–"&amp;MIN('Resource Planner'!$G$49+27*'Resource Planner'!$I$49-1,'Resource Planner'!$H$49)),"")</f>
        <v/>
      </c>
      <c r="G1981" s="163" t="s">
        <v>109</v>
      </c>
      <c r="H1981" s="163" t="str">
        <f>IF(AND('Resource Planner'!$A$49="☑",27&lt;='Resource Planner'!$N$49),'Resource Planner'!$M$49,"")</f>
        <v/>
      </c>
    </row>
    <row r="1982" ht="15.75" customHeight="1">
      <c r="A19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2" s="163" t="str">
        <f>IF(AND('Resource Planner'!$A$49="☑",28&lt;='Resource Planner'!$N$49),'Resource Planner'!$C$49,"")</f>
        <v/>
      </c>
      <c r="C1982" s="163" t="str">
        <f>IF(AND('Resource Planner'!$A$49="☑",28&lt;='Resource Planner'!$N$49),'Resource Planner'!$B$49,"")</f>
        <v/>
      </c>
      <c r="D1982" s="163" t="str">
        <f>IF(AND('Resource Planner'!$A$49="☑",28&lt;='Resource Planner'!$N$49),'Resource Planner'!$D$49,"")</f>
        <v/>
      </c>
      <c r="E1982" s="163" t="str">
        <f>IF(AND('Resource Planner'!$A$49="☑",28&lt;='Resource Planner'!$N$49),'Resource Planner'!$E$49,"")</f>
        <v/>
      </c>
      <c r="F1982" s="163" t="str">
        <f>IF(AND('Resource Planner'!$A$49="☑",28&lt;='Resource Planner'!$N$49),'Resource Planner'!$F$49&amp;" "&amp;('Resource Planner'!$G$49+(28-1)*'Resource Planner'!$I$49)&amp;IF(('Resource Planner'!$G$49+(28-1)*'Resource Planner'!$I$49)=MIN('Resource Planner'!$G$49+28*'Resource Planner'!$I$49-1,'Resource Planner'!$H$49),"","–"&amp;MIN('Resource Planner'!$G$49+28*'Resource Planner'!$I$49-1,'Resource Planner'!$H$49)),"")</f>
        <v/>
      </c>
      <c r="G1982" s="163" t="s">
        <v>109</v>
      </c>
      <c r="H1982" s="163" t="str">
        <f>IF(AND('Resource Planner'!$A$49="☑",28&lt;='Resource Planner'!$N$49),'Resource Planner'!$M$49,"")</f>
        <v/>
      </c>
    </row>
    <row r="1983" ht="15.75" customHeight="1">
      <c r="A19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3" s="163" t="str">
        <f>IF(AND('Resource Planner'!$A$49="☑",29&lt;='Resource Planner'!$N$49),'Resource Planner'!$C$49,"")</f>
        <v/>
      </c>
      <c r="C1983" s="163" t="str">
        <f>IF(AND('Resource Planner'!$A$49="☑",29&lt;='Resource Planner'!$N$49),'Resource Planner'!$B$49,"")</f>
        <v/>
      </c>
      <c r="D1983" s="163" t="str">
        <f>IF(AND('Resource Planner'!$A$49="☑",29&lt;='Resource Planner'!$N$49),'Resource Planner'!$D$49,"")</f>
        <v/>
      </c>
      <c r="E1983" s="163" t="str">
        <f>IF(AND('Resource Planner'!$A$49="☑",29&lt;='Resource Planner'!$N$49),'Resource Planner'!$E$49,"")</f>
        <v/>
      </c>
      <c r="F1983" s="163" t="str">
        <f>IF(AND('Resource Planner'!$A$49="☑",29&lt;='Resource Planner'!$N$49),'Resource Planner'!$F$49&amp;" "&amp;('Resource Planner'!$G$49+(29-1)*'Resource Planner'!$I$49)&amp;IF(('Resource Planner'!$G$49+(29-1)*'Resource Planner'!$I$49)=MIN('Resource Planner'!$G$49+29*'Resource Planner'!$I$49-1,'Resource Planner'!$H$49),"","–"&amp;MIN('Resource Planner'!$G$49+29*'Resource Planner'!$I$49-1,'Resource Planner'!$H$49)),"")</f>
        <v/>
      </c>
      <c r="G1983" s="163" t="s">
        <v>109</v>
      </c>
      <c r="H1983" s="163" t="str">
        <f>IF(AND('Resource Planner'!$A$49="☑",29&lt;='Resource Planner'!$N$49),'Resource Planner'!$M$49,"")</f>
        <v/>
      </c>
    </row>
    <row r="1984" ht="15.75" customHeight="1">
      <c r="A19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4" s="163" t="str">
        <f>IF(AND('Resource Planner'!$A$49="☑",30&lt;='Resource Planner'!$N$49),'Resource Planner'!$C$49,"")</f>
        <v/>
      </c>
      <c r="C1984" s="163" t="str">
        <f>IF(AND('Resource Planner'!$A$49="☑",30&lt;='Resource Planner'!$N$49),'Resource Planner'!$B$49,"")</f>
        <v/>
      </c>
      <c r="D1984" s="163" t="str">
        <f>IF(AND('Resource Planner'!$A$49="☑",30&lt;='Resource Planner'!$N$49),'Resource Planner'!$D$49,"")</f>
        <v/>
      </c>
      <c r="E1984" s="163" t="str">
        <f>IF(AND('Resource Planner'!$A$49="☑",30&lt;='Resource Planner'!$N$49),'Resource Planner'!$E$49,"")</f>
        <v/>
      </c>
      <c r="F1984" s="163" t="str">
        <f>IF(AND('Resource Planner'!$A$49="☑",30&lt;='Resource Planner'!$N$49),'Resource Planner'!$F$49&amp;" "&amp;('Resource Planner'!$G$49+(30-1)*'Resource Planner'!$I$49)&amp;IF(('Resource Planner'!$G$49+(30-1)*'Resource Planner'!$I$49)=MIN('Resource Planner'!$G$49+30*'Resource Planner'!$I$49-1,'Resource Planner'!$H$49),"","–"&amp;MIN('Resource Planner'!$G$49+30*'Resource Planner'!$I$49-1,'Resource Planner'!$H$49)),"")</f>
        <v/>
      </c>
      <c r="G1984" s="163" t="s">
        <v>109</v>
      </c>
      <c r="H1984" s="163" t="str">
        <f>IF(AND('Resource Planner'!$A$49="☑",30&lt;='Resource Planner'!$N$49),'Resource Planner'!$M$49,"")</f>
        <v/>
      </c>
    </row>
    <row r="1985" ht="15.75" customHeight="1">
      <c r="A19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5" s="163" t="str">
        <f>IF(AND('Resource Planner'!$A$49="☑",31&lt;='Resource Planner'!$N$49),'Resource Planner'!$C$49,"")</f>
        <v/>
      </c>
      <c r="C1985" s="163" t="str">
        <f>IF(AND('Resource Planner'!$A$49="☑",31&lt;='Resource Planner'!$N$49),'Resource Planner'!$B$49,"")</f>
        <v/>
      </c>
      <c r="D1985" s="163" t="str">
        <f>IF(AND('Resource Planner'!$A$49="☑",31&lt;='Resource Planner'!$N$49),'Resource Planner'!$D$49,"")</f>
        <v/>
      </c>
      <c r="E1985" s="163" t="str">
        <f>IF(AND('Resource Planner'!$A$49="☑",31&lt;='Resource Planner'!$N$49),'Resource Planner'!$E$49,"")</f>
        <v/>
      </c>
      <c r="F1985" s="163" t="str">
        <f>IF(AND('Resource Planner'!$A$49="☑",31&lt;='Resource Planner'!$N$49),'Resource Planner'!$F$49&amp;" "&amp;('Resource Planner'!$G$49+(31-1)*'Resource Planner'!$I$49)&amp;IF(('Resource Planner'!$G$49+(31-1)*'Resource Planner'!$I$49)=MIN('Resource Planner'!$G$49+31*'Resource Planner'!$I$49-1,'Resource Planner'!$H$49),"","–"&amp;MIN('Resource Planner'!$G$49+31*'Resource Planner'!$I$49-1,'Resource Planner'!$H$49)),"")</f>
        <v/>
      </c>
      <c r="G1985" s="163" t="s">
        <v>109</v>
      </c>
      <c r="H1985" s="163" t="str">
        <f>IF(AND('Resource Planner'!$A$49="☑",31&lt;='Resource Planner'!$N$49),'Resource Planner'!$M$49,"")</f>
        <v/>
      </c>
    </row>
    <row r="1986" ht="15.75" customHeight="1">
      <c r="A19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6" s="163" t="str">
        <f>IF(AND('Resource Planner'!$A$49="☑",32&lt;='Resource Planner'!$N$49),'Resource Planner'!$C$49,"")</f>
        <v/>
      </c>
      <c r="C1986" s="163" t="str">
        <f>IF(AND('Resource Planner'!$A$49="☑",32&lt;='Resource Planner'!$N$49),'Resource Planner'!$B$49,"")</f>
        <v/>
      </c>
      <c r="D1986" s="163" t="str">
        <f>IF(AND('Resource Planner'!$A$49="☑",32&lt;='Resource Planner'!$N$49),'Resource Planner'!$D$49,"")</f>
        <v/>
      </c>
      <c r="E1986" s="163" t="str">
        <f>IF(AND('Resource Planner'!$A$49="☑",32&lt;='Resource Planner'!$N$49),'Resource Planner'!$E$49,"")</f>
        <v/>
      </c>
      <c r="F1986" s="163" t="str">
        <f>IF(AND('Resource Planner'!$A$49="☑",32&lt;='Resource Planner'!$N$49),'Resource Planner'!$F$49&amp;" "&amp;('Resource Planner'!$G$49+(32-1)*'Resource Planner'!$I$49)&amp;IF(('Resource Planner'!$G$49+(32-1)*'Resource Planner'!$I$49)=MIN('Resource Planner'!$G$49+32*'Resource Planner'!$I$49-1,'Resource Planner'!$H$49),"","–"&amp;MIN('Resource Planner'!$G$49+32*'Resource Planner'!$I$49-1,'Resource Planner'!$H$49)),"")</f>
        <v/>
      </c>
      <c r="G1986" s="163" t="s">
        <v>109</v>
      </c>
      <c r="H1986" s="163" t="str">
        <f>IF(AND('Resource Planner'!$A$49="☑",32&lt;='Resource Planner'!$N$49),'Resource Planner'!$M$49,"")</f>
        <v/>
      </c>
    </row>
    <row r="1987" ht="15.75" customHeight="1">
      <c r="A19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7" s="163" t="str">
        <f>IF(AND('Resource Planner'!$A$49="☑",33&lt;='Resource Planner'!$N$49),'Resource Planner'!$C$49,"")</f>
        <v/>
      </c>
      <c r="C1987" s="163" t="str">
        <f>IF(AND('Resource Planner'!$A$49="☑",33&lt;='Resource Planner'!$N$49),'Resource Planner'!$B$49,"")</f>
        <v/>
      </c>
      <c r="D1987" s="163" t="str">
        <f>IF(AND('Resource Planner'!$A$49="☑",33&lt;='Resource Planner'!$N$49),'Resource Planner'!$D$49,"")</f>
        <v/>
      </c>
      <c r="E1987" s="163" t="str">
        <f>IF(AND('Resource Planner'!$A$49="☑",33&lt;='Resource Planner'!$N$49),'Resource Planner'!$E$49,"")</f>
        <v/>
      </c>
      <c r="F1987" s="163" t="str">
        <f>IF(AND('Resource Planner'!$A$49="☑",33&lt;='Resource Planner'!$N$49),'Resource Planner'!$F$49&amp;" "&amp;('Resource Planner'!$G$49+(33-1)*'Resource Planner'!$I$49)&amp;IF(('Resource Planner'!$G$49+(33-1)*'Resource Planner'!$I$49)=MIN('Resource Planner'!$G$49+33*'Resource Planner'!$I$49-1,'Resource Planner'!$H$49),"","–"&amp;MIN('Resource Planner'!$G$49+33*'Resource Planner'!$I$49-1,'Resource Planner'!$H$49)),"")</f>
        <v/>
      </c>
      <c r="G1987" s="163" t="s">
        <v>109</v>
      </c>
      <c r="H1987" s="163" t="str">
        <f>IF(AND('Resource Planner'!$A$49="☑",33&lt;='Resource Planner'!$N$49),'Resource Planner'!$M$49,"")</f>
        <v/>
      </c>
    </row>
    <row r="1988" ht="15.75" customHeight="1">
      <c r="A19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8" s="163" t="str">
        <f>IF(AND('Resource Planner'!$A$49="☑",34&lt;='Resource Planner'!$N$49),'Resource Planner'!$C$49,"")</f>
        <v/>
      </c>
      <c r="C1988" s="163" t="str">
        <f>IF(AND('Resource Planner'!$A$49="☑",34&lt;='Resource Planner'!$N$49),'Resource Planner'!$B$49,"")</f>
        <v/>
      </c>
      <c r="D1988" s="163" t="str">
        <f>IF(AND('Resource Planner'!$A$49="☑",34&lt;='Resource Planner'!$N$49),'Resource Planner'!$D$49,"")</f>
        <v/>
      </c>
      <c r="E1988" s="163" t="str">
        <f>IF(AND('Resource Planner'!$A$49="☑",34&lt;='Resource Planner'!$N$49),'Resource Planner'!$E$49,"")</f>
        <v/>
      </c>
      <c r="F1988" s="163" t="str">
        <f>IF(AND('Resource Planner'!$A$49="☑",34&lt;='Resource Planner'!$N$49),'Resource Planner'!$F$49&amp;" "&amp;('Resource Planner'!$G$49+(34-1)*'Resource Planner'!$I$49)&amp;IF(('Resource Planner'!$G$49+(34-1)*'Resource Planner'!$I$49)=MIN('Resource Planner'!$G$49+34*'Resource Planner'!$I$49-1,'Resource Planner'!$H$49),"","–"&amp;MIN('Resource Planner'!$G$49+34*'Resource Planner'!$I$49-1,'Resource Planner'!$H$49)),"")</f>
        <v/>
      </c>
      <c r="G1988" s="163" t="s">
        <v>109</v>
      </c>
      <c r="H1988" s="163" t="str">
        <f>IF(AND('Resource Planner'!$A$49="☑",34&lt;='Resource Planner'!$N$49),'Resource Planner'!$M$49,"")</f>
        <v/>
      </c>
    </row>
    <row r="1989" ht="15.75" customHeight="1">
      <c r="A19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89" s="163" t="str">
        <f>IF(AND('Resource Planner'!$A$49="☑",35&lt;='Resource Planner'!$N$49),'Resource Planner'!$C$49,"")</f>
        <v/>
      </c>
      <c r="C1989" s="163" t="str">
        <f>IF(AND('Resource Planner'!$A$49="☑",35&lt;='Resource Planner'!$N$49),'Resource Planner'!$B$49,"")</f>
        <v/>
      </c>
      <c r="D1989" s="163" t="str">
        <f>IF(AND('Resource Planner'!$A$49="☑",35&lt;='Resource Planner'!$N$49),'Resource Planner'!$D$49,"")</f>
        <v/>
      </c>
      <c r="E1989" s="163" t="str">
        <f>IF(AND('Resource Planner'!$A$49="☑",35&lt;='Resource Planner'!$N$49),'Resource Planner'!$E$49,"")</f>
        <v/>
      </c>
      <c r="F1989" s="163" t="str">
        <f>IF(AND('Resource Planner'!$A$49="☑",35&lt;='Resource Planner'!$N$49),'Resource Planner'!$F$49&amp;" "&amp;('Resource Planner'!$G$49+(35-1)*'Resource Planner'!$I$49)&amp;IF(('Resource Planner'!$G$49+(35-1)*'Resource Planner'!$I$49)=MIN('Resource Planner'!$G$49+35*'Resource Planner'!$I$49-1,'Resource Planner'!$H$49),"","–"&amp;MIN('Resource Planner'!$G$49+35*'Resource Planner'!$I$49-1,'Resource Planner'!$H$49)),"")</f>
        <v/>
      </c>
      <c r="G1989" s="163" t="s">
        <v>109</v>
      </c>
      <c r="H1989" s="163" t="str">
        <f>IF(AND('Resource Planner'!$A$49="☑",35&lt;='Resource Planner'!$N$49),'Resource Planner'!$M$49,"")</f>
        <v/>
      </c>
    </row>
    <row r="1990" ht="15.75" customHeight="1">
      <c r="A19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0" s="163" t="str">
        <f>IF(AND('Resource Planner'!$A$49="☑",36&lt;='Resource Planner'!$N$49),'Resource Planner'!$C$49,"")</f>
        <v/>
      </c>
      <c r="C1990" s="163" t="str">
        <f>IF(AND('Resource Planner'!$A$49="☑",36&lt;='Resource Planner'!$N$49),'Resource Planner'!$B$49,"")</f>
        <v/>
      </c>
      <c r="D1990" s="163" t="str">
        <f>IF(AND('Resource Planner'!$A$49="☑",36&lt;='Resource Planner'!$N$49),'Resource Planner'!$D$49,"")</f>
        <v/>
      </c>
      <c r="E1990" s="163" t="str">
        <f>IF(AND('Resource Planner'!$A$49="☑",36&lt;='Resource Planner'!$N$49),'Resource Planner'!$E$49,"")</f>
        <v/>
      </c>
      <c r="F1990" s="163" t="str">
        <f>IF(AND('Resource Planner'!$A$49="☑",36&lt;='Resource Planner'!$N$49),'Resource Planner'!$F$49&amp;" "&amp;('Resource Planner'!$G$49+(36-1)*'Resource Planner'!$I$49)&amp;IF(('Resource Planner'!$G$49+(36-1)*'Resource Planner'!$I$49)=MIN('Resource Planner'!$G$49+36*'Resource Planner'!$I$49-1,'Resource Planner'!$H$49),"","–"&amp;MIN('Resource Planner'!$G$49+36*'Resource Planner'!$I$49-1,'Resource Planner'!$H$49)),"")</f>
        <v/>
      </c>
      <c r="G1990" s="163" t="s">
        <v>109</v>
      </c>
      <c r="H1990" s="163" t="str">
        <f>IF(AND('Resource Planner'!$A$49="☑",36&lt;='Resource Planner'!$N$49),'Resource Planner'!$M$49,"")</f>
        <v/>
      </c>
    </row>
    <row r="1991" ht="15.75" customHeight="1">
      <c r="A19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1" s="163" t="str">
        <f>IF(AND('Resource Planner'!$A$49="☑",37&lt;='Resource Planner'!$N$49),'Resource Planner'!$C$49,"")</f>
        <v/>
      </c>
      <c r="C1991" s="163" t="str">
        <f>IF(AND('Resource Planner'!$A$49="☑",37&lt;='Resource Planner'!$N$49),'Resource Planner'!$B$49,"")</f>
        <v/>
      </c>
      <c r="D1991" s="163" t="str">
        <f>IF(AND('Resource Planner'!$A$49="☑",37&lt;='Resource Planner'!$N$49),'Resource Planner'!$D$49,"")</f>
        <v/>
      </c>
      <c r="E1991" s="163" t="str">
        <f>IF(AND('Resource Planner'!$A$49="☑",37&lt;='Resource Planner'!$N$49),'Resource Planner'!$E$49,"")</f>
        <v/>
      </c>
      <c r="F1991" s="163" t="str">
        <f>IF(AND('Resource Planner'!$A$49="☑",37&lt;='Resource Planner'!$N$49),'Resource Planner'!$F$49&amp;" "&amp;('Resource Planner'!$G$49+(37-1)*'Resource Planner'!$I$49)&amp;IF(('Resource Planner'!$G$49+(37-1)*'Resource Planner'!$I$49)=MIN('Resource Planner'!$G$49+37*'Resource Planner'!$I$49-1,'Resource Planner'!$H$49),"","–"&amp;MIN('Resource Planner'!$G$49+37*'Resource Planner'!$I$49-1,'Resource Planner'!$H$49)),"")</f>
        <v/>
      </c>
      <c r="G1991" s="163" t="s">
        <v>109</v>
      </c>
      <c r="H1991" s="163" t="str">
        <f>IF(AND('Resource Planner'!$A$49="☑",37&lt;='Resource Planner'!$N$49),'Resource Planner'!$M$49,"")</f>
        <v/>
      </c>
    </row>
    <row r="1992" ht="15.75" customHeight="1">
      <c r="A19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2" s="163" t="str">
        <f>IF(AND('Resource Planner'!$A$49="☑",38&lt;='Resource Planner'!$N$49),'Resource Planner'!$C$49,"")</f>
        <v/>
      </c>
      <c r="C1992" s="163" t="str">
        <f>IF(AND('Resource Planner'!$A$49="☑",38&lt;='Resource Planner'!$N$49),'Resource Planner'!$B$49,"")</f>
        <v/>
      </c>
      <c r="D1992" s="163" t="str">
        <f>IF(AND('Resource Planner'!$A$49="☑",38&lt;='Resource Planner'!$N$49),'Resource Planner'!$D$49,"")</f>
        <v/>
      </c>
      <c r="E1992" s="163" t="str">
        <f>IF(AND('Resource Planner'!$A$49="☑",38&lt;='Resource Planner'!$N$49),'Resource Planner'!$E$49,"")</f>
        <v/>
      </c>
      <c r="F1992" s="163" t="str">
        <f>IF(AND('Resource Planner'!$A$49="☑",38&lt;='Resource Planner'!$N$49),'Resource Planner'!$F$49&amp;" "&amp;('Resource Planner'!$G$49+(38-1)*'Resource Planner'!$I$49)&amp;IF(('Resource Planner'!$G$49+(38-1)*'Resource Planner'!$I$49)=MIN('Resource Planner'!$G$49+38*'Resource Planner'!$I$49-1,'Resource Planner'!$H$49),"","–"&amp;MIN('Resource Planner'!$G$49+38*'Resource Planner'!$I$49-1,'Resource Planner'!$H$49)),"")</f>
        <v/>
      </c>
      <c r="G1992" s="163" t="s">
        <v>109</v>
      </c>
      <c r="H1992" s="163" t="str">
        <f>IF(AND('Resource Planner'!$A$49="☑",38&lt;='Resource Planner'!$N$49),'Resource Planner'!$M$49,"")</f>
        <v/>
      </c>
    </row>
    <row r="1993" ht="15.75" customHeight="1">
      <c r="A19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3" s="163" t="str">
        <f>IF(AND('Resource Planner'!$A$49="☑",39&lt;='Resource Planner'!$N$49),'Resource Planner'!$C$49,"")</f>
        <v/>
      </c>
      <c r="C1993" s="163" t="str">
        <f>IF(AND('Resource Planner'!$A$49="☑",39&lt;='Resource Planner'!$N$49),'Resource Planner'!$B$49,"")</f>
        <v/>
      </c>
      <c r="D1993" s="163" t="str">
        <f>IF(AND('Resource Planner'!$A$49="☑",39&lt;='Resource Planner'!$N$49),'Resource Planner'!$D$49,"")</f>
        <v/>
      </c>
      <c r="E1993" s="163" t="str">
        <f>IF(AND('Resource Planner'!$A$49="☑",39&lt;='Resource Planner'!$N$49),'Resource Planner'!$E$49,"")</f>
        <v/>
      </c>
      <c r="F1993" s="163" t="str">
        <f>IF(AND('Resource Planner'!$A$49="☑",39&lt;='Resource Planner'!$N$49),'Resource Planner'!$F$49&amp;" "&amp;('Resource Planner'!$G$49+(39-1)*'Resource Planner'!$I$49)&amp;IF(('Resource Planner'!$G$49+(39-1)*'Resource Planner'!$I$49)=MIN('Resource Planner'!$G$49+39*'Resource Planner'!$I$49-1,'Resource Planner'!$H$49),"","–"&amp;MIN('Resource Planner'!$G$49+39*'Resource Planner'!$I$49-1,'Resource Planner'!$H$49)),"")</f>
        <v/>
      </c>
      <c r="G1993" s="163" t="s">
        <v>109</v>
      </c>
      <c r="H1993" s="163" t="str">
        <f>IF(AND('Resource Planner'!$A$49="☑",39&lt;='Resource Planner'!$N$49),'Resource Planner'!$M$49,"")</f>
        <v/>
      </c>
    </row>
    <row r="1994" ht="15.75" customHeight="1">
      <c r="A19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4" s="163" t="str">
        <f>IF(AND('Resource Planner'!$A$49="☑",40&lt;='Resource Planner'!$N$49),'Resource Planner'!$C$49,"")</f>
        <v/>
      </c>
      <c r="C1994" s="163" t="str">
        <f>IF(AND('Resource Planner'!$A$49="☑",40&lt;='Resource Planner'!$N$49),'Resource Planner'!$B$49,"")</f>
        <v/>
      </c>
      <c r="D1994" s="163" t="str">
        <f>IF(AND('Resource Planner'!$A$49="☑",40&lt;='Resource Planner'!$N$49),'Resource Planner'!$D$49,"")</f>
        <v/>
      </c>
      <c r="E1994" s="163" t="str">
        <f>IF(AND('Resource Planner'!$A$49="☑",40&lt;='Resource Planner'!$N$49),'Resource Planner'!$E$49,"")</f>
        <v/>
      </c>
      <c r="F1994" s="163" t="str">
        <f>IF(AND('Resource Planner'!$A$49="☑",40&lt;='Resource Planner'!$N$49),'Resource Planner'!$F$49&amp;" "&amp;('Resource Planner'!$G$49+(40-1)*'Resource Planner'!$I$49)&amp;IF(('Resource Planner'!$G$49+(40-1)*'Resource Planner'!$I$49)=MIN('Resource Planner'!$G$49+40*'Resource Planner'!$I$49-1,'Resource Planner'!$H$49),"","–"&amp;MIN('Resource Planner'!$G$49+40*'Resource Planner'!$I$49-1,'Resource Planner'!$H$49)),"")</f>
        <v/>
      </c>
      <c r="G1994" s="163" t="s">
        <v>109</v>
      </c>
      <c r="H1994" s="163" t="str">
        <f>IF(AND('Resource Planner'!$A$49="☑",40&lt;='Resource Planner'!$N$49),'Resource Planner'!$M$49,"")</f>
        <v/>
      </c>
    </row>
    <row r="1995" ht="15.75" customHeight="1">
      <c r="A19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5" s="163" t="str">
        <f>IF(AND('Resource Planner'!$A$49="☑",41&lt;='Resource Planner'!$N$49),'Resource Planner'!$C$49,"")</f>
        <v/>
      </c>
      <c r="C1995" s="163" t="str">
        <f>IF(AND('Resource Planner'!$A$49="☑",41&lt;='Resource Planner'!$N$49),'Resource Planner'!$B$49,"")</f>
        <v/>
      </c>
      <c r="D1995" s="163" t="str">
        <f>IF(AND('Resource Planner'!$A$49="☑",41&lt;='Resource Planner'!$N$49),'Resource Planner'!$D$49,"")</f>
        <v/>
      </c>
      <c r="E1995" s="163" t="str">
        <f>IF(AND('Resource Planner'!$A$49="☑",41&lt;='Resource Planner'!$N$49),'Resource Planner'!$E$49,"")</f>
        <v/>
      </c>
      <c r="F1995" s="163" t="str">
        <f>IF(AND('Resource Planner'!$A$49="☑",41&lt;='Resource Planner'!$N$49),'Resource Planner'!$F$49&amp;" "&amp;('Resource Planner'!$G$49+(41-1)*'Resource Planner'!$I$49)&amp;IF(('Resource Planner'!$G$49+(41-1)*'Resource Planner'!$I$49)=MIN('Resource Planner'!$G$49+41*'Resource Planner'!$I$49-1,'Resource Planner'!$H$49),"","–"&amp;MIN('Resource Planner'!$G$49+41*'Resource Planner'!$I$49-1,'Resource Planner'!$H$49)),"")</f>
        <v/>
      </c>
      <c r="G1995" s="163" t="s">
        <v>109</v>
      </c>
      <c r="H1995" s="163" t="str">
        <f>IF(AND('Resource Planner'!$A$49="☑",41&lt;='Resource Planner'!$N$49),'Resource Planner'!$M$49,"")</f>
        <v/>
      </c>
    </row>
    <row r="1996" ht="15.75" customHeight="1">
      <c r="A19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6" s="163" t="str">
        <f>IF(AND('Resource Planner'!$A$49="☑",42&lt;='Resource Planner'!$N$49),'Resource Planner'!$C$49,"")</f>
        <v/>
      </c>
      <c r="C1996" s="163" t="str">
        <f>IF(AND('Resource Planner'!$A$49="☑",42&lt;='Resource Planner'!$N$49),'Resource Planner'!$B$49,"")</f>
        <v/>
      </c>
      <c r="D1996" s="163" t="str">
        <f>IF(AND('Resource Planner'!$A$49="☑",42&lt;='Resource Planner'!$N$49),'Resource Planner'!$D$49,"")</f>
        <v/>
      </c>
      <c r="E1996" s="163" t="str">
        <f>IF(AND('Resource Planner'!$A$49="☑",42&lt;='Resource Planner'!$N$49),'Resource Planner'!$E$49,"")</f>
        <v/>
      </c>
      <c r="F1996" s="163" t="str">
        <f>IF(AND('Resource Planner'!$A$49="☑",42&lt;='Resource Planner'!$N$49),'Resource Planner'!$F$49&amp;" "&amp;('Resource Planner'!$G$49+(42-1)*'Resource Planner'!$I$49)&amp;IF(('Resource Planner'!$G$49+(42-1)*'Resource Planner'!$I$49)=MIN('Resource Planner'!$G$49+42*'Resource Planner'!$I$49-1,'Resource Planner'!$H$49),"","–"&amp;MIN('Resource Planner'!$G$49+42*'Resource Planner'!$I$49-1,'Resource Planner'!$H$49)),"")</f>
        <v/>
      </c>
      <c r="G1996" s="163" t="s">
        <v>109</v>
      </c>
      <c r="H1996" s="163" t="str">
        <f>IF(AND('Resource Planner'!$A$49="☑",42&lt;='Resource Planner'!$N$49),'Resource Planner'!$M$49,"")</f>
        <v/>
      </c>
    </row>
    <row r="1997" ht="15.75" customHeight="1">
      <c r="A19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7" s="163" t="str">
        <f>IF(AND('Resource Planner'!$A$49="☑",43&lt;='Resource Planner'!$N$49),'Resource Planner'!$C$49,"")</f>
        <v/>
      </c>
      <c r="C1997" s="163" t="str">
        <f>IF(AND('Resource Planner'!$A$49="☑",43&lt;='Resource Planner'!$N$49),'Resource Planner'!$B$49,"")</f>
        <v/>
      </c>
      <c r="D1997" s="163" t="str">
        <f>IF(AND('Resource Planner'!$A$49="☑",43&lt;='Resource Planner'!$N$49),'Resource Planner'!$D$49,"")</f>
        <v/>
      </c>
      <c r="E1997" s="163" t="str">
        <f>IF(AND('Resource Planner'!$A$49="☑",43&lt;='Resource Planner'!$N$49),'Resource Planner'!$E$49,"")</f>
        <v/>
      </c>
      <c r="F1997" s="163" t="str">
        <f>IF(AND('Resource Planner'!$A$49="☑",43&lt;='Resource Planner'!$N$49),'Resource Planner'!$F$49&amp;" "&amp;('Resource Planner'!$G$49+(43-1)*'Resource Planner'!$I$49)&amp;IF(('Resource Planner'!$G$49+(43-1)*'Resource Planner'!$I$49)=MIN('Resource Planner'!$G$49+43*'Resource Planner'!$I$49-1,'Resource Planner'!$H$49),"","–"&amp;MIN('Resource Planner'!$G$49+43*'Resource Planner'!$I$49-1,'Resource Planner'!$H$49)),"")</f>
        <v/>
      </c>
      <c r="G1997" s="163" t="s">
        <v>109</v>
      </c>
      <c r="H1997" s="163" t="str">
        <f>IF(AND('Resource Planner'!$A$49="☑",43&lt;='Resource Planner'!$N$49),'Resource Planner'!$M$49,"")</f>
        <v/>
      </c>
    </row>
    <row r="1998" ht="15.75" customHeight="1">
      <c r="A19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8" s="163" t="str">
        <f>IF(AND('Resource Planner'!$A$49="☑",44&lt;='Resource Planner'!$N$49),'Resource Planner'!$C$49,"")</f>
        <v/>
      </c>
      <c r="C1998" s="163" t="str">
        <f>IF(AND('Resource Planner'!$A$49="☑",44&lt;='Resource Planner'!$N$49),'Resource Planner'!$B$49,"")</f>
        <v/>
      </c>
      <c r="D1998" s="163" t="str">
        <f>IF(AND('Resource Planner'!$A$49="☑",44&lt;='Resource Planner'!$N$49),'Resource Planner'!$D$49,"")</f>
        <v/>
      </c>
      <c r="E1998" s="163" t="str">
        <f>IF(AND('Resource Planner'!$A$49="☑",44&lt;='Resource Planner'!$N$49),'Resource Planner'!$E$49,"")</f>
        <v/>
      </c>
      <c r="F1998" s="163" t="str">
        <f>IF(AND('Resource Planner'!$A$49="☑",44&lt;='Resource Planner'!$N$49),'Resource Planner'!$F$49&amp;" "&amp;('Resource Planner'!$G$49+(44-1)*'Resource Planner'!$I$49)&amp;IF(('Resource Planner'!$G$49+(44-1)*'Resource Planner'!$I$49)=MIN('Resource Planner'!$G$49+44*'Resource Planner'!$I$49-1,'Resource Planner'!$H$49),"","–"&amp;MIN('Resource Planner'!$G$49+44*'Resource Planner'!$I$49-1,'Resource Planner'!$H$49)),"")</f>
        <v/>
      </c>
      <c r="G1998" s="163" t="s">
        <v>109</v>
      </c>
      <c r="H1998" s="163" t="str">
        <f>IF(AND('Resource Planner'!$A$49="☑",44&lt;='Resource Planner'!$N$49),'Resource Planner'!$M$49,"")</f>
        <v/>
      </c>
    </row>
    <row r="1999" ht="15.75" customHeight="1">
      <c r="A19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1999" s="163" t="str">
        <f>IF(AND('Resource Planner'!$A$49="☑",45&lt;='Resource Planner'!$N$49),'Resource Planner'!$C$49,"")</f>
        <v/>
      </c>
      <c r="C1999" s="163" t="str">
        <f>IF(AND('Resource Planner'!$A$49="☑",45&lt;='Resource Planner'!$N$49),'Resource Planner'!$B$49,"")</f>
        <v/>
      </c>
      <c r="D1999" s="163" t="str">
        <f>IF(AND('Resource Planner'!$A$49="☑",45&lt;='Resource Planner'!$N$49),'Resource Planner'!$D$49,"")</f>
        <v/>
      </c>
      <c r="E1999" s="163" t="str">
        <f>IF(AND('Resource Planner'!$A$49="☑",45&lt;='Resource Planner'!$N$49),'Resource Planner'!$E$49,"")</f>
        <v/>
      </c>
      <c r="F1999" s="163" t="str">
        <f>IF(AND('Resource Planner'!$A$49="☑",45&lt;='Resource Planner'!$N$49),'Resource Planner'!$F$49&amp;" "&amp;('Resource Planner'!$G$49+(45-1)*'Resource Planner'!$I$49)&amp;IF(('Resource Planner'!$G$49+(45-1)*'Resource Planner'!$I$49)=MIN('Resource Planner'!$G$49+45*'Resource Planner'!$I$49-1,'Resource Planner'!$H$49),"","–"&amp;MIN('Resource Planner'!$G$49+45*'Resource Planner'!$I$49-1,'Resource Planner'!$H$49)),"")</f>
        <v/>
      </c>
      <c r="G1999" s="163" t="s">
        <v>109</v>
      </c>
      <c r="H1999" s="163" t="str">
        <f>IF(AND('Resource Planner'!$A$49="☑",45&lt;='Resource Planner'!$N$49),'Resource Planner'!$M$49,"")</f>
        <v/>
      </c>
    </row>
    <row r="2000" ht="15.75" customHeight="1">
      <c r="A20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0" s="163" t="str">
        <f>IF(AND('Resource Planner'!$A$49="☑",46&lt;='Resource Planner'!$N$49),'Resource Planner'!$C$49,"")</f>
        <v/>
      </c>
      <c r="C2000" s="163" t="str">
        <f>IF(AND('Resource Planner'!$A$49="☑",46&lt;='Resource Planner'!$N$49),'Resource Planner'!$B$49,"")</f>
        <v/>
      </c>
      <c r="D2000" s="163" t="str">
        <f>IF(AND('Resource Planner'!$A$49="☑",46&lt;='Resource Planner'!$N$49),'Resource Planner'!$D$49,"")</f>
        <v/>
      </c>
      <c r="E2000" s="163" t="str">
        <f>IF(AND('Resource Planner'!$A$49="☑",46&lt;='Resource Planner'!$N$49),'Resource Planner'!$E$49,"")</f>
        <v/>
      </c>
      <c r="F2000" s="163" t="str">
        <f>IF(AND('Resource Planner'!$A$49="☑",46&lt;='Resource Planner'!$N$49),'Resource Planner'!$F$49&amp;" "&amp;('Resource Planner'!$G$49+(46-1)*'Resource Planner'!$I$49)&amp;IF(('Resource Planner'!$G$49+(46-1)*'Resource Planner'!$I$49)=MIN('Resource Planner'!$G$49+46*'Resource Planner'!$I$49-1,'Resource Planner'!$H$49),"","–"&amp;MIN('Resource Planner'!$G$49+46*'Resource Planner'!$I$49-1,'Resource Planner'!$H$49)),"")</f>
        <v/>
      </c>
      <c r="G2000" s="163" t="s">
        <v>109</v>
      </c>
      <c r="H2000" s="163" t="str">
        <f>IF(AND('Resource Planner'!$A$49="☑",46&lt;='Resource Planner'!$N$49),'Resource Planner'!$M$49,"")</f>
        <v/>
      </c>
    </row>
    <row r="2001" ht="15.75" customHeight="1">
      <c r="A20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1" s="163" t="str">
        <f>IF(AND('Resource Planner'!$A$49="☑",47&lt;='Resource Planner'!$N$49),'Resource Planner'!$C$49,"")</f>
        <v/>
      </c>
      <c r="C2001" s="163" t="str">
        <f>IF(AND('Resource Planner'!$A$49="☑",47&lt;='Resource Planner'!$N$49),'Resource Planner'!$B$49,"")</f>
        <v/>
      </c>
      <c r="D2001" s="163" t="str">
        <f>IF(AND('Resource Planner'!$A$49="☑",47&lt;='Resource Planner'!$N$49),'Resource Planner'!$D$49,"")</f>
        <v/>
      </c>
      <c r="E2001" s="163" t="str">
        <f>IF(AND('Resource Planner'!$A$49="☑",47&lt;='Resource Planner'!$N$49),'Resource Planner'!$E$49,"")</f>
        <v/>
      </c>
      <c r="F2001" s="163" t="str">
        <f>IF(AND('Resource Planner'!$A$49="☑",47&lt;='Resource Planner'!$N$49),'Resource Planner'!$F$49&amp;" "&amp;('Resource Planner'!$G$49+(47-1)*'Resource Planner'!$I$49)&amp;IF(('Resource Planner'!$G$49+(47-1)*'Resource Planner'!$I$49)=MIN('Resource Planner'!$G$49+47*'Resource Planner'!$I$49-1,'Resource Planner'!$H$49),"","–"&amp;MIN('Resource Planner'!$G$49+47*'Resource Planner'!$I$49-1,'Resource Planner'!$H$49)),"")</f>
        <v/>
      </c>
      <c r="G2001" s="163" t="s">
        <v>109</v>
      </c>
      <c r="H2001" s="163" t="str">
        <f>IF(AND('Resource Planner'!$A$49="☑",47&lt;='Resource Planner'!$N$49),'Resource Planner'!$M$49,"")</f>
        <v/>
      </c>
    </row>
    <row r="2002" ht="15.75" customHeight="1">
      <c r="A20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2" s="163" t="str">
        <f>IF(AND('Resource Planner'!$A$49="☑",48&lt;='Resource Planner'!$N$49),'Resource Planner'!$C$49,"")</f>
        <v/>
      </c>
      <c r="C2002" s="163" t="str">
        <f>IF(AND('Resource Planner'!$A$49="☑",48&lt;='Resource Planner'!$N$49),'Resource Planner'!$B$49,"")</f>
        <v/>
      </c>
      <c r="D2002" s="163" t="str">
        <f>IF(AND('Resource Planner'!$A$49="☑",48&lt;='Resource Planner'!$N$49),'Resource Planner'!$D$49,"")</f>
        <v/>
      </c>
      <c r="E2002" s="163" t="str">
        <f>IF(AND('Resource Planner'!$A$49="☑",48&lt;='Resource Planner'!$N$49),'Resource Planner'!$E$49,"")</f>
        <v/>
      </c>
      <c r="F2002" s="163" t="str">
        <f>IF(AND('Resource Planner'!$A$49="☑",48&lt;='Resource Planner'!$N$49),'Resource Planner'!$F$49&amp;" "&amp;('Resource Planner'!$G$49+(48-1)*'Resource Planner'!$I$49)&amp;IF(('Resource Planner'!$G$49+(48-1)*'Resource Planner'!$I$49)=MIN('Resource Planner'!$G$49+48*'Resource Planner'!$I$49-1,'Resource Planner'!$H$49),"","–"&amp;MIN('Resource Planner'!$G$49+48*'Resource Planner'!$I$49-1,'Resource Planner'!$H$49)),"")</f>
        <v/>
      </c>
      <c r="G2002" s="163" t="s">
        <v>109</v>
      </c>
      <c r="H2002" s="163" t="str">
        <f>IF(AND('Resource Planner'!$A$49="☑",48&lt;='Resource Planner'!$N$49),'Resource Planner'!$M$49,"")</f>
        <v/>
      </c>
    </row>
    <row r="2003" ht="15.75" customHeight="1">
      <c r="A20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3" s="163" t="str">
        <f>IF(AND('Resource Planner'!$A$49="☑",49&lt;='Resource Planner'!$N$49),'Resource Planner'!$C$49,"")</f>
        <v/>
      </c>
      <c r="C2003" s="163" t="str">
        <f>IF(AND('Resource Planner'!$A$49="☑",49&lt;='Resource Planner'!$N$49),'Resource Planner'!$B$49,"")</f>
        <v/>
      </c>
      <c r="D2003" s="163" t="str">
        <f>IF(AND('Resource Planner'!$A$49="☑",49&lt;='Resource Planner'!$N$49),'Resource Planner'!$D$49,"")</f>
        <v/>
      </c>
      <c r="E2003" s="163" t="str">
        <f>IF(AND('Resource Planner'!$A$49="☑",49&lt;='Resource Planner'!$N$49),'Resource Planner'!$E$49,"")</f>
        <v/>
      </c>
      <c r="F2003" s="163" t="str">
        <f>IF(AND('Resource Planner'!$A$49="☑",49&lt;='Resource Planner'!$N$49),'Resource Planner'!$F$49&amp;" "&amp;('Resource Planner'!$G$49+(49-1)*'Resource Planner'!$I$49)&amp;IF(('Resource Planner'!$G$49+(49-1)*'Resource Planner'!$I$49)=MIN('Resource Planner'!$G$49+49*'Resource Planner'!$I$49-1,'Resource Planner'!$H$49),"","–"&amp;MIN('Resource Planner'!$G$49+49*'Resource Planner'!$I$49-1,'Resource Planner'!$H$49)),"")</f>
        <v/>
      </c>
      <c r="G2003" s="163" t="s">
        <v>109</v>
      </c>
      <c r="H2003" s="163" t="str">
        <f>IF(AND('Resource Planner'!$A$49="☑",49&lt;='Resource Planner'!$N$49),'Resource Planner'!$M$49,"")</f>
        <v/>
      </c>
    </row>
    <row r="2004" ht="15.75" customHeight="1">
      <c r="A20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4" s="163" t="str">
        <f>IF(AND('Resource Planner'!$A$49="☑",50&lt;='Resource Planner'!$N$49),'Resource Planner'!$C$49,"")</f>
        <v/>
      </c>
      <c r="C2004" s="163" t="str">
        <f>IF(AND('Resource Planner'!$A$49="☑",50&lt;='Resource Planner'!$N$49),'Resource Planner'!$B$49,"")</f>
        <v/>
      </c>
      <c r="D2004" s="163" t="str">
        <f>IF(AND('Resource Planner'!$A$49="☑",50&lt;='Resource Planner'!$N$49),'Resource Planner'!$D$49,"")</f>
        <v/>
      </c>
      <c r="E2004" s="163" t="str">
        <f>IF(AND('Resource Planner'!$A$49="☑",50&lt;='Resource Planner'!$N$49),'Resource Planner'!$E$49,"")</f>
        <v/>
      </c>
      <c r="F2004" s="163" t="str">
        <f>IF(AND('Resource Planner'!$A$49="☑",50&lt;='Resource Planner'!$N$49),'Resource Planner'!$F$49&amp;" "&amp;('Resource Planner'!$G$49+(50-1)*'Resource Planner'!$I$49)&amp;IF(('Resource Planner'!$G$49+(50-1)*'Resource Planner'!$I$49)=MIN('Resource Planner'!$G$49+50*'Resource Planner'!$I$49-1,'Resource Planner'!$H$49),"","–"&amp;MIN('Resource Planner'!$G$49+50*'Resource Planner'!$I$49-1,'Resource Planner'!$H$49)),"")</f>
        <v/>
      </c>
      <c r="G2004" s="163" t="s">
        <v>109</v>
      </c>
      <c r="H2004" s="163" t="str">
        <f>IF(AND('Resource Planner'!$A$49="☑",50&lt;='Resource Planner'!$N$49),'Resource Planner'!$M$49,"")</f>
        <v/>
      </c>
    </row>
    <row r="2005" ht="15.75" customHeight="1">
      <c r="A20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5" s="163" t="str">
        <f>IF(AND('Resource Planner'!$A$50="☑",1&lt;='Resource Planner'!$N$50),'Resource Planner'!$C$50,"")</f>
        <v/>
      </c>
      <c r="C2005" s="163" t="str">
        <f>IF(AND('Resource Planner'!$A$50="☑",1&lt;='Resource Planner'!$N$50),'Resource Planner'!$B$50,"")</f>
        <v/>
      </c>
      <c r="D2005" s="163" t="str">
        <f>IF(AND('Resource Planner'!$A$50="☑",1&lt;='Resource Planner'!$N$50),'Resource Planner'!$D$50,"")</f>
        <v/>
      </c>
      <c r="E2005" s="163" t="str">
        <f>IF(AND('Resource Planner'!$A$50="☑",1&lt;='Resource Planner'!$N$50),'Resource Planner'!$E$50,"")</f>
        <v/>
      </c>
      <c r="F2005" s="163" t="str">
        <f>IF(AND('Resource Planner'!$A$50="☑",1&lt;='Resource Planner'!$N$50),'Resource Planner'!$F$50&amp;" "&amp;('Resource Planner'!$G$50+(1-1)*'Resource Planner'!$I$50)&amp;IF(('Resource Planner'!$G$50+(1-1)*'Resource Planner'!$I$50)=MIN('Resource Planner'!$G$50+1*'Resource Planner'!$I$50-1,'Resource Planner'!$H$50),"","–"&amp;MIN('Resource Planner'!$G$50+1*'Resource Planner'!$I$50-1,'Resource Planner'!$H$50)),"")</f>
        <v/>
      </c>
      <c r="G2005" s="163" t="s">
        <v>109</v>
      </c>
      <c r="H2005" s="163" t="str">
        <f>IF(AND('Resource Planner'!$A$50="☑",1&lt;='Resource Planner'!$N$50),'Resource Planner'!$M$50,"")</f>
        <v/>
      </c>
    </row>
    <row r="2006" ht="15.75" customHeight="1">
      <c r="A20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6" s="163" t="str">
        <f>IF(AND('Resource Planner'!$A$50="☑",2&lt;='Resource Planner'!$N$50),'Resource Planner'!$C$50,"")</f>
        <v/>
      </c>
      <c r="C2006" s="163" t="str">
        <f>IF(AND('Resource Planner'!$A$50="☑",2&lt;='Resource Planner'!$N$50),'Resource Planner'!$B$50,"")</f>
        <v/>
      </c>
      <c r="D2006" s="163" t="str">
        <f>IF(AND('Resource Planner'!$A$50="☑",2&lt;='Resource Planner'!$N$50),'Resource Planner'!$D$50,"")</f>
        <v/>
      </c>
      <c r="E2006" s="163" t="str">
        <f>IF(AND('Resource Planner'!$A$50="☑",2&lt;='Resource Planner'!$N$50),'Resource Planner'!$E$50,"")</f>
        <v/>
      </c>
      <c r="F2006" s="163" t="str">
        <f>IF(AND('Resource Planner'!$A$50="☑",2&lt;='Resource Planner'!$N$50),'Resource Planner'!$F$50&amp;" "&amp;('Resource Planner'!$G$50+(2-1)*'Resource Planner'!$I$50)&amp;IF(('Resource Planner'!$G$50+(2-1)*'Resource Planner'!$I$50)=MIN('Resource Planner'!$G$50+2*'Resource Planner'!$I$50-1,'Resource Planner'!$H$50),"","–"&amp;MIN('Resource Planner'!$G$50+2*'Resource Planner'!$I$50-1,'Resource Planner'!$H$50)),"")</f>
        <v/>
      </c>
      <c r="G2006" s="163" t="s">
        <v>109</v>
      </c>
      <c r="H2006" s="163" t="str">
        <f>IF(AND('Resource Planner'!$A$50="☑",2&lt;='Resource Planner'!$N$50),'Resource Planner'!$M$50,"")</f>
        <v/>
      </c>
    </row>
    <row r="2007" ht="15.75" customHeight="1">
      <c r="A20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7" s="163" t="str">
        <f>IF(AND('Resource Planner'!$A$50="☑",3&lt;='Resource Planner'!$N$50),'Resource Planner'!$C$50,"")</f>
        <v/>
      </c>
      <c r="C2007" s="163" t="str">
        <f>IF(AND('Resource Planner'!$A$50="☑",3&lt;='Resource Planner'!$N$50),'Resource Planner'!$B$50,"")</f>
        <v/>
      </c>
      <c r="D2007" s="163" t="str">
        <f>IF(AND('Resource Planner'!$A$50="☑",3&lt;='Resource Planner'!$N$50),'Resource Planner'!$D$50,"")</f>
        <v/>
      </c>
      <c r="E2007" s="163" t="str">
        <f>IF(AND('Resource Planner'!$A$50="☑",3&lt;='Resource Planner'!$N$50),'Resource Planner'!$E$50,"")</f>
        <v/>
      </c>
      <c r="F2007" s="163" t="str">
        <f>IF(AND('Resource Planner'!$A$50="☑",3&lt;='Resource Planner'!$N$50),'Resource Planner'!$F$50&amp;" "&amp;('Resource Planner'!$G$50+(3-1)*'Resource Planner'!$I$50)&amp;IF(('Resource Planner'!$G$50+(3-1)*'Resource Planner'!$I$50)=MIN('Resource Planner'!$G$50+3*'Resource Planner'!$I$50-1,'Resource Planner'!$H$50),"","–"&amp;MIN('Resource Planner'!$G$50+3*'Resource Planner'!$I$50-1,'Resource Planner'!$H$50)),"")</f>
        <v/>
      </c>
      <c r="G2007" s="163" t="s">
        <v>109</v>
      </c>
      <c r="H2007" s="163" t="str">
        <f>IF(AND('Resource Planner'!$A$50="☑",3&lt;='Resource Planner'!$N$50),'Resource Planner'!$M$50,"")</f>
        <v/>
      </c>
    </row>
    <row r="2008" ht="15.75" customHeight="1">
      <c r="A20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8" s="163" t="str">
        <f>IF(AND('Resource Planner'!$A$50="☑",4&lt;='Resource Planner'!$N$50),'Resource Planner'!$C$50,"")</f>
        <v/>
      </c>
      <c r="C2008" s="163" t="str">
        <f>IF(AND('Resource Planner'!$A$50="☑",4&lt;='Resource Planner'!$N$50),'Resource Planner'!$B$50,"")</f>
        <v/>
      </c>
      <c r="D2008" s="163" t="str">
        <f>IF(AND('Resource Planner'!$A$50="☑",4&lt;='Resource Planner'!$N$50),'Resource Planner'!$D$50,"")</f>
        <v/>
      </c>
      <c r="E2008" s="163" t="str">
        <f>IF(AND('Resource Planner'!$A$50="☑",4&lt;='Resource Planner'!$N$50),'Resource Planner'!$E$50,"")</f>
        <v/>
      </c>
      <c r="F2008" s="163" t="str">
        <f>IF(AND('Resource Planner'!$A$50="☑",4&lt;='Resource Planner'!$N$50),'Resource Planner'!$F$50&amp;" "&amp;('Resource Planner'!$G$50+(4-1)*'Resource Planner'!$I$50)&amp;IF(('Resource Planner'!$G$50+(4-1)*'Resource Planner'!$I$50)=MIN('Resource Planner'!$G$50+4*'Resource Planner'!$I$50-1,'Resource Planner'!$H$50),"","–"&amp;MIN('Resource Planner'!$G$50+4*'Resource Planner'!$I$50-1,'Resource Planner'!$H$50)),"")</f>
        <v/>
      </c>
      <c r="G2008" s="163" t="s">
        <v>109</v>
      </c>
      <c r="H2008" s="163" t="str">
        <f>IF(AND('Resource Planner'!$A$50="☑",4&lt;='Resource Planner'!$N$50),'Resource Planner'!$M$50,"")</f>
        <v/>
      </c>
    </row>
    <row r="2009" ht="15.75" customHeight="1">
      <c r="A20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09" s="163" t="str">
        <f>IF(AND('Resource Planner'!$A$50="☑",5&lt;='Resource Planner'!$N$50),'Resource Planner'!$C$50,"")</f>
        <v/>
      </c>
      <c r="C2009" s="163" t="str">
        <f>IF(AND('Resource Planner'!$A$50="☑",5&lt;='Resource Planner'!$N$50),'Resource Planner'!$B$50,"")</f>
        <v/>
      </c>
      <c r="D2009" s="163" t="str">
        <f>IF(AND('Resource Planner'!$A$50="☑",5&lt;='Resource Planner'!$N$50),'Resource Planner'!$D$50,"")</f>
        <v/>
      </c>
      <c r="E2009" s="163" t="str">
        <f>IF(AND('Resource Planner'!$A$50="☑",5&lt;='Resource Planner'!$N$50),'Resource Planner'!$E$50,"")</f>
        <v/>
      </c>
      <c r="F2009" s="163" t="str">
        <f>IF(AND('Resource Planner'!$A$50="☑",5&lt;='Resource Planner'!$N$50),'Resource Planner'!$F$50&amp;" "&amp;('Resource Planner'!$G$50+(5-1)*'Resource Planner'!$I$50)&amp;IF(('Resource Planner'!$G$50+(5-1)*'Resource Planner'!$I$50)=MIN('Resource Planner'!$G$50+5*'Resource Planner'!$I$50-1,'Resource Planner'!$H$50),"","–"&amp;MIN('Resource Planner'!$G$50+5*'Resource Planner'!$I$50-1,'Resource Planner'!$H$50)),"")</f>
        <v/>
      </c>
      <c r="G2009" s="163" t="s">
        <v>109</v>
      </c>
      <c r="H2009" s="163" t="str">
        <f>IF(AND('Resource Planner'!$A$50="☑",5&lt;='Resource Planner'!$N$50),'Resource Planner'!$M$50,"")</f>
        <v/>
      </c>
    </row>
    <row r="2010" ht="15.75" customHeight="1">
      <c r="A20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0" s="163" t="str">
        <f>IF(AND('Resource Planner'!$A$50="☑",6&lt;='Resource Planner'!$N$50),'Resource Planner'!$C$50,"")</f>
        <v/>
      </c>
      <c r="C2010" s="163" t="str">
        <f>IF(AND('Resource Planner'!$A$50="☑",6&lt;='Resource Planner'!$N$50),'Resource Planner'!$B$50,"")</f>
        <v/>
      </c>
      <c r="D2010" s="163" t="str">
        <f>IF(AND('Resource Planner'!$A$50="☑",6&lt;='Resource Planner'!$N$50),'Resource Planner'!$D$50,"")</f>
        <v/>
      </c>
      <c r="E2010" s="163" t="str">
        <f>IF(AND('Resource Planner'!$A$50="☑",6&lt;='Resource Planner'!$N$50),'Resource Planner'!$E$50,"")</f>
        <v/>
      </c>
      <c r="F2010" s="163" t="str">
        <f>IF(AND('Resource Planner'!$A$50="☑",6&lt;='Resource Planner'!$N$50),'Resource Planner'!$F$50&amp;" "&amp;('Resource Planner'!$G$50+(6-1)*'Resource Planner'!$I$50)&amp;IF(('Resource Planner'!$G$50+(6-1)*'Resource Planner'!$I$50)=MIN('Resource Planner'!$G$50+6*'Resource Planner'!$I$50-1,'Resource Planner'!$H$50),"","–"&amp;MIN('Resource Planner'!$G$50+6*'Resource Planner'!$I$50-1,'Resource Planner'!$H$50)),"")</f>
        <v/>
      </c>
      <c r="G2010" s="163" t="s">
        <v>109</v>
      </c>
      <c r="H2010" s="163" t="str">
        <f>IF(AND('Resource Planner'!$A$50="☑",6&lt;='Resource Planner'!$N$50),'Resource Planner'!$M$50,"")</f>
        <v/>
      </c>
    </row>
    <row r="2011" ht="15.75" customHeight="1">
      <c r="A20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1" s="163" t="str">
        <f>IF(AND('Resource Planner'!$A$50="☑",7&lt;='Resource Planner'!$N$50),'Resource Planner'!$C$50,"")</f>
        <v/>
      </c>
      <c r="C2011" s="163" t="str">
        <f>IF(AND('Resource Planner'!$A$50="☑",7&lt;='Resource Planner'!$N$50),'Resource Planner'!$B$50,"")</f>
        <v/>
      </c>
      <c r="D2011" s="163" t="str">
        <f>IF(AND('Resource Planner'!$A$50="☑",7&lt;='Resource Planner'!$N$50),'Resource Planner'!$D$50,"")</f>
        <v/>
      </c>
      <c r="E2011" s="163" t="str">
        <f>IF(AND('Resource Planner'!$A$50="☑",7&lt;='Resource Planner'!$N$50),'Resource Planner'!$E$50,"")</f>
        <v/>
      </c>
      <c r="F2011" s="163" t="str">
        <f>IF(AND('Resource Planner'!$A$50="☑",7&lt;='Resource Planner'!$N$50),'Resource Planner'!$F$50&amp;" "&amp;('Resource Planner'!$G$50+(7-1)*'Resource Planner'!$I$50)&amp;IF(('Resource Planner'!$G$50+(7-1)*'Resource Planner'!$I$50)=MIN('Resource Planner'!$G$50+7*'Resource Planner'!$I$50-1,'Resource Planner'!$H$50),"","–"&amp;MIN('Resource Planner'!$G$50+7*'Resource Planner'!$I$50-1,'Resource Planner'!$H$50)),"")</f>
        <v/>
      </c>
      <c r="G2011" s="163" t="s">
        <v>109</v>
      </c>
      <c r="H2011" s="163" t="str">
        <f>IF(AND('Resource Planner'!$A$50="☑",7&lt;='Resource Planner'!$N$50),'Resource Planner'!$M$50,"")</f>
        <v/>
      </c>
    </row>
    <row r="2012" ht="15.75" customHeight="1">
      <c r="A20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2" s="163" t="str">
        <f>IF(AND('Resource Planner'!$A$50="☑",8&lt;='Resource Planner'!$N$50),'Resource Planner'!$C$50,"")</f>
        <v/>
      </c>
      <c r="C2012" s="163" t="str">
        <f>IF(AND('Resource Planner'!$A$50="☑",8&lt;='Resource Planner'!$N$50),'Resource Planner'!$B$50,"")</f>
        <v/>
      </c>
      <c r="D2012" s="163" t="str">
        <f>IF(AND('Resource Planner'!$A$50="☑",8&lt;='Resource Planner'!$N$50),'Resource Planner'!$D$50,"")</f>
        <v/>
      </c>
      <c r="E2012" s="163" t="str">
        <f>IF(AND('Resource Planner'!$A$50="☑",8&lt;='Resource Planner'!$N$50),'Resource Planner'!$E$50,"")</f>
        <v/>
      </c>
      <c r="F2012" s="163" t="str">
        <f>IF(AND('Resource Planner'!$A$50="☑",8&lt;='Resource Planner'!$N$50),'Resource Planner'!$F$50&amp;" "&amp;('Resource Planner'!$G$50+(8-1)*'Resource Planner'!$I$50)&amp;IF(('Resource Planner'!$G$50+(8-1)*'Resource Planner'!$I$50)=MIN('Resource Planner'!$G$50+8*'Resource Planner'!$I$50-1,'Resource Planner'!$H$50),"","–"&amp;MIN('Resource Planner'!$G$50+8*'Resource Planner'!$I$50-1,'Resource Planner'!$H$50)),"")</f>
        <v/>
      </c>
      <c r="G2012" s="163" t="s">
        <v>109</v>
      </c>
      <c r="H2012" s="163" t="str">
        <f>IF(AND('Resource Planner'!$A$50="☑",8&lt;='Resource Planner'!$N$50),'Resource Planner'!$M$50,"")</f>
        <v/>
      </c>
    </row>
    <row r="2013" ht="15.75" customHeight="1">
      <c r="A20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3" s="163" t="str">
        <f>IF(AND('Resource Planner'!$A$50="☑",9&lt;='Resource Planner'!$N$50),'Resource Planner'!$C$50,"")</f>
        <v/>
      </c>
      <c r="C2013" s="163" t="str">
        <f>IF(AND('Resource Planner'!$A$50="☑",9&lt;='Resource Planner'!$N$50),'Resource Planner'!$B$50,"")</f>
        <v/>
      </c>
      <c r="D2013" s="163" t="str">
        <f>IF(AND('Resource Planner'!$A$50="☑",9&lt;='Resource Planner'!$N$50),'Resource Planner'!$D$50,"")</f>
        <v/>
      </c>
      <c r="E2013" s="163" t="str">
        <f>IF(AND('Resource Planner'!$A$50="☑",9&lt;='Resource Planner'!$N$50),'Resource Planner'!$E$50,"")</f>
        <v/>
      </c>
      <c r="F2013" s="163" t="str">
        <f>IF(AND('Resource Planner'!$A$50="☑",9&lt;='Resource Planner'!$N$50),'Resource Planner'!$F$50&amp;" "&amp;('Resource Planner'!$G$50+(9-1)*'Resource Planner'!$I$50)&amp;IF(('Resource Planner'!$G$50+(9-1)*'Resource Planner'!$I$50)=MIN('Resource Planner'!$G$50+9*'Resource Planner'!$I$50-1,'Resource Planner'!$H$50),"","–"&amp;MIN('Resource Planner'!$G$50+9*'Resource Planner'!$I$50-1,'Resource Planner'!$H$50)),"")</f>
        <v/>
      </c>
      <c r="G2013" s="163" t="s">
        <v>109</v>
      </c>
      <c r="H2013" s="163" t="str">
        <f>IF(AND('Resource Planner'!$A$50="☑",9&lt;='Resource Planner'!$N$50),'Resource Planner'!$M$50,"")</f>
        <v/>
      </c>
    </row>
    <row r="2014" ht="15.75" customHeight="1">
      <c r="A20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4" s="163" t="str">
        <f>IF(AND('Resource Planner'!$A$50="☑",10&lt;='Resource Planner'!$N$50),'Resource Planner'!$C$50,"")</f>
        <v/>
      </c>
      <c r="C2014" s="163" t="str">
        <f>IF(AND('Resource Planner'!$A$50="☑",10&lt;='Resource Planner'!$N$50),'Resource Planner'!$B$50,"")</f>
        <v/>
      </c>
      <c r="D2014" s="163" t="str">
        <f>IF(AND('Resource Planner'!$A$50="☑",10&lt;='Resource Planner'!$N$50),'Resource Planner'!$D$50,"")</f>
        <v/>
      </c>
      <c r="E2014" s="163" t="str">
        <f>IF(AND('Resource Planner'!$A$50="☑",10&lt;='Resource Planner'!$N$50),'Resource Planner'!$E$50,"")</f>
        <v/>
      </c>
      <c r="F2014" s="163" t="str">
        <f>IF(AND('Resource Planner'!$A$50="☑",10&lt;='Resource Planner'!$N$50),'Resource Planner'!$F$50&amp;" "&amp;('Resource Planner'!$G$50+(10-1)*'Resource Planner'!$I$50)&amp;IF(('Resource Planner'!$G$50+(10-1)*'Resource Planner'!$I$50)=MIN('Resource Planner'!$G$50+10*'Resource Planner'!$I$50-1,'Resource Planner'!$H$50),"","–"&amp;MIN('Resource Planner'!$G$50+10*'Resource Planner'!$I$50-1,'Resource Planner'!$H$50)),"")</f>
        <v/>
      </c>
      <c r="G2014" s="163" t="s">
        <v>109</v>
      </c>
      <c r="H2014" s="163" t="str">
        <f>IF(AND('Resource Planner'!$A$50="☑",10&lt;='Resource Planner'!$N$50),'Resource Planner'!$M$50,"")</f>
        <v/>
      </c>
    </row>
    <row r="2015" ht="15.75" customHeight="1">
      <c r="A20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5" s="163" t="str">
        <f>IF(AND('Resource Planner'!$A$50="☑",11&lt;='Resource Planner'!$N$50),'Resource Planner'!$C$50,"")</f>
        <v/>
      </c>
      <c r="C2015" s="163" t="str">
        <f>IF(AND('Resource Planner'!$A$50="☑",11&lt;='Resource Planner'!$N$50),'Resource Planner'!$B$50,"")</f>
        <v/>
      </c>
      <c r="D2015" s="163" t="str">
        <f>IF(AND('Resource Planner'!$A$50="☑",11&lt;='Resource Planner'!$N$50),'Resource Planner'!$D$50,"")</f>
        <v/>
      </c>
      <c r="E2015" s="163" t="str">
        <f>IF(AND('Resource Planner'!$A$50="☑",11&lt;='Resource Planner'!$N$50),'Resource Planner'!$E$50,"")</f>
        <v/>
      </c>
      <c r="F2015" s="163" t="str">
        <f>IF(AND('Resource Planner'!$A$50="☑",11&lt;='Resource Planner'!$N$50),'Resource Planner'!$F$50&amp;" "&amp;('Resource Planner'!$G$50+(11-1)*'Resource Planner'!$I$50)&amp;IF(('Resource Planner'!$G$50+(11-1)*'Resource Planner'!$I$50)=MIN('Resource Planner'!$G$50+11*'Resource Planner'!$I$50-1,'Resource Planner'!$H$50),"","–"&amp;MIN('Resource Planner'!$G$50+11*'Resource Planner'!$I$50-1,'Resource Planner'!$H$50)),"")</f>
        <v/>
      </c>
      <c r="G2015" s="163" t="s">
        <v>109</v>
      </c>
      <c r="H2015" s="163" t="str">
        <f>IF(AND('Resource Planner'!$A$50="☑",11&lt;='Resource Planner'!$N$50),'Resource Planner'!$M$50,"")</f>
        <v/>
      </c>
    </row>
    <row r="2016" ht="15.75" customHeight="1">
      <c r="A20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6" s="163" t="str">
        <f>IF(AND('Resource Planner'!$A$50="☑",12&lt;='Resource Planner'!$N$50),'Resource Planner'!$C$50,"")</f>
        <v/>
      </c>
      <c r="C2016" s="163" t="str">
        <f>IF(AND('Resource Planner'!$A$50="☑",12&lt;='Resource Planner'!$N$50),'Resource Planner'!$B$50,"")</f>
        <v/>
      </c>
      <c r="D2016" s="163" t="str">
        <f>IF(AND('Resource Planner'!$A$50="☑",12&lt;='Resource Planner'!$N$50),'Resource Planner'!$D$50,"")</f>
        <v/>
      </c>
      <c r="E2016" s="163" t="str">
        <f>IF(AND('Resource Planner'!$A$50="☑",12&lt;='Resource Planner'!$N$50),'Resource Planner'!$E$50,"")</f>
        <v/>
      </c>
      <c r="F2016" s="163" t="str">
        <f>IF(AND('Resource Planner'!$A$50="☑",12&lt;='Resource Planner'!$N$50),'Resource Planner'!$F$50&amp;" "&amp;('Resource Planner'!$G$50+(12-1)*'Resource Planner'!$I$50)&amp;IF(('Resource Planner'!$G$50+(12-1)*'Resource Planner'!$I$50)=MIN('Resource Planner'!$G$50+12*'Resource Planner'!$I$50-1,'Resource Planner'!$H$50),"","–"&amp;MIN('Resource Planner'!$G$50+12*'Resource Planner'!$I$50-1,'Resource Planner'!$H$50)),"")</f>
        <v/>
      </c>
      <c r="G2016" s="163" t="s">
        <v>109</v>
      </c>
      <c r="H2016" s="163" t="str">
        <f>IF(AND('Resource Planner'!$A$50="☑",12&lt;='Resource Planner'!$N$50),'Resource Planner'!$M$50,"")</f>
        <v/>
      </c>
    </row>
    <row r="2017" ht="15.75" customHeight="1">
      <c r="A20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7" s="163" t="str">
        <f>IF(AND('Resource Planner'!$A$50="☑",13&lt;='Resource Planner'!$N$50),'Resource Planner'!$C$50,"")</f>
        <v/>
      </c>
      <c r="C2017" s="163" t="str">
        <f>IF(AND('Resource Planner'!$A$50="☑",13&lt;='Resource Planner'!$N$50),'Resource Planner'!$B$50,"")</f>
        <v/>
      </c>
      <c r="D2017" s="163" t="str">
        <f>IF(AND('Resource Planner'!$A$50="☑",13&lt;='Resource Planner'!$N$50),'Resource Planner'!$D$50,"")</f>
        <v/>
      </c>
      <c r="E2017" s="163" t="str">
        <f>IF(AND('Resource Planner'!$A$50="☑",13&lt;='Resource Planner'!$N$50),'Resource Planner'!$E$50,"")</f>
        <v/>
      </c>
      <c r="F2017" s="163" t="str">
        <f>IF(AND('Resource Planner'!$A$50="☑",13&lt;='Resource Planner'!$N$50),'Resource Planner'!$F$50&amp;" "&amp;('Resource Planner'!$G$50+(13-1)*'Resource Planner'!$I$50)&amp;IF(('Resource Planner'!$G$50+(13-1)*'Resource Planner'!$I$50)=MIN('Resource Planner'!$G$50+13*'Resource Planner'!$I$50-1,'Resource Planner'!$H$50),"","–"&amp;MIN('Resource Planner'!$G$50+13*'Resource Planner'!$I$50-1,'Resource Planner'!$H$50)),"")</f>
        <v/>
      </c>
      <c r="G2017" s="163" t="s">
        <v>109</v>
      </c>
      <c r="H2017" s="163" t="str">
        <f>IF(AND('Resource Planner'!$A$50="☑",13&lt;='Resource Planner'!$N$50),'Resource Planner'!$M$50,"")</f>
        <v/>
      </c>
    </row>
    <row r="2018" ht="15.75" customHeight="1">
      <c r="A20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8" s="163" t="str">
        <f>IF(AND('Resource Planner'!$A$50="☑",14&lt;='Resource Planner'!$N$50),'Resource Planner'!$C$50,"")</f>
        <v/>
      </c>
      <c r="C2018" s="163" t="str">
        <f>IF(AND('Resource Planner'!$A$50="☑",14&lt;='Resource Planner'!$N$50),'Resource Planner'!$B$50,"")</f>
        <v/>
      </c>
      <c r="D2018" s="163" t="str">
        <f>IF(AND('Resource Planner'!$A$50="☑",14&lt;='Resource Planner'!$N$50),'Resource Planner'!$D$50,"")</f>
        <v/>
      </c>
      <c r="E2018" s="163" t="str">
        <f>IF(AND('Resource Planner'!$A$50="☑",14&lt;='Resource Planner'!$N$50),'Resource Planner'!$E$50,"")</f>
        <v/>
      </c>
      <c r="F2018" s="163" t="str">
        <f>IF(AND('Resource Planner'!$A$50="☑",14&lt;='Resource Planner'!$N$50),'Resource Planner'!$F$50&amp;" "&amp;('Resource Planner'!$G$50+(14-1)*'Resource Planner'!$I$50)&amp;IF(('Resource Planner'!$G$50+(14-1)*'Resource Planner'!$I$50)=MIN('Resource Planner'!$G$50+14*'Resource Planner'!$I$50-1,'Resource Planner'!$H$50),"","–"&amp;MIN('Resource Planner'!$G$50+14*'Resource Planner'!$I$50-1,'Resource Planner'!$H$50)),"")</f>
        <v/>
      </c>
      <c r="G2018" s="163" t="s">
        <v>109</v>
      </c>
      <c r="H2018" s="163" t="str">
        <f>IF(AND('Resource Planner'!$A$50="☑",14&lt;='Resource Planner'!$N$50),'Resource Planner'!$M$50,"")</f>
        <v/>
      </c>
    </row>
    <row r="2019" ht="15.75" customHeight="1">
      <c r="A20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19" s="163" t="str">
        <f>IF(AND('Resource Planner'!$A$50="☑",15&lt;='Resource Planner'!$N$50),'Resource Planner'!$C$50,"")</f>
        <v/>
      </c>
      <c r="C2019" s="163" t="str">
        <f>IF(AND('Resource Planner'!$A$50="☑",15&lt;='Resource Planner'!$N$50),'Resource Planner'!$B$50,"")</f>
        <v/>
      </c>
      <c r="D2019" s="163" t="str">
        <f>IF(AND('Resource Planner'!$A$50="☑",15&lt;='Resource Planner'!$N$50),'Resource Planner'!$D$50,"")</f>
        <v/>
      </c>
      <c r="E2019" s="163" t="str">
        <f>IF(AND('Resource Planner'!$A$50="☑",15&lt;='Resource Planner'!$N$50),'Resource Planner'!$E$50,"")</f>
        <v/>
      </c>
      <c r="F2019" s="163" t="str">
        <f>IF(AND('Resource Planner'!$A$50="☑",15&lt;='Resource Planner'!$N$50),'Resource Planner'!$F$50&amp;" "&amp;('Resource Planner'!$G$50+(15-1)*'Resource Planner'!$I$50)&amp;IF(('Resource Planner'!$G$50+(15-1)*'Resource Planner'!$I$50)=MIN('Resource Planner'!$G$50+15*'Resource Planner'!$I$50-1,'Resource Planner'!$H$50),"","–"&amp;MIN('Resource Planner'!$G$50+15*'Resource Planner'!$I$50-1,'Resource Planner'!$H$50)),"")</f>
        <v/>
      </c>
      <c r="G2019" s="163" t="s">
        <v>109</v>
      </c>
      <c r="H2019" s="163" t="str">
        <f>IF(AND('Resource Planner'!$A$50="☑",15&lt;='Resource Planner'!$N$50),'Resource Planner'!$M$50,"")</f>
        <v/>
      </c>
    </row>
    <row r="2020" ht="15.75" customHeight="1">
      <c r="A20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0" s="163" t="str">
        <f>IF(AND('Resource Planner'!$A$50="☑",16&lt;='Resource Planner'!$N$50),'Resource Planner'!$C$50,"")</f>
        <v/>
      </c>
      <c r="C2020" s="163" t="str">
        <f>IF(AND('Resource Planner'!$A$50="☑",16&lt;='Resource Planner'!$N$50),'Resource Planner'!$B$50,"")</f>
        <v/>
      </c>
      <c r="D2020" s="163" t="str">
        <f>IF(AND('Resource Planner'!$A$50="☑",16&lt;='Resource Planner'!$N$50),'Resource Planner'!$D$50,"")</f>
        <v/>
      </c>
      <c r="E2020" s="163" t="str">
        <f>IF(AND('Resource Planner'!$A$50="☑",16&lt;='Resource Planner'!$N$50),'Resource Planner'!$E$50,"")</f>
        <v/>
      </c>
      <c r="F2020" s="163" t="str">
        <f>IF(AND('Resource Planner'!$A$50="☑",16&lt;='Resource Planner'!$N$50),'Resource Planner'!$F$50&amp;" "&amp;('Resource Planner'!$G$50+(16-1)*'Resource Planner'!$I$50)&amp;IF(('Resource Planner'!$G$50+(16-1)*'Resource Planner'!$I$50)=MIN('Resource Planner'!$G$50+16*'Resource Planner'!$I$50-1,'Resource Planner'!$H$50),"","–"&amp;MIN('Resource Planner'!$G$50+16*'Resource Planner'!$I$50-1,'Resource Planner'!$H$50)),"")</f>
        <v/>
      </c>
      <c r="G2020" s="163" t="s">
        <v>109</v>
      </c>
      <c r="H2020" s="163" t="str">
        <f>IF(AND('Resource Planner'!$A$50="☑",16&lt;='Resource Planner'!$N$50),'Resource Planner'!$M$50,"")</f>
        <v/>
      </c>
    </row>
    <row r="2021" ht="15.75" customHeight="1">
      <c r="A20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1" s="163" t="str">
        <f>IF(AND('Resource Planner'!$A$50="☑",17&lt;='Resource Planner'!$N$50),'Resource Planner'!$C$50,"")</f>
        <v/>
      </c>
      <c r="C2021" s="163" t="str">
        <f>IF(AND('Resource Planner'!$A$50="☑",17&lt;='Resource Planner'!$N$50),'Resource Planner'!$B$50,"")</f>
        <v/>
      </c>
      <c r="D2021" s="163" t="str">
        <f>IF(AND('Resource Planner'!$A$50="☑",17&lt;='Resource Planner'!$N$50),'Resource Planner'!$D$50,"")</f>
        <v/>
      </c>
      <c r="E2021" s="163" t="str">
        <f>IF(AND('Resource Planner'!$A$50="☑",17&lt;='Resource Planner'!$N$50),'Resource Planner'!$E$50,"")</f>
        <v/>
      </c>
      <c r="F2021" s="163" t="str">
        <f>IF(AND('Resource Planner'!$A$50="☑",17&lt;='Resource Planner'!$N$50),'Resource Planner'!$F$50&amp;" "&amp;('Resource Planner'!$G$50+(17-1)*'Resource Planner'!$I$50)&amp;IF(('Resource Planner'!$G$50+(17-1)*'Resource Planner'!$I$50)=MIN('Resource Planner'!$G$50+17*'Resource Planner'!$I$50-1,'Resource Planner'!$H$50),"","–"&amp;MIN('Resource Planner'!$G$50+17*'Resource Planner'!$I$50-1,'Resource Planner'!$H$50)),"")</f>
        <v/>
      </c>
      <c r="G2021" s="163" t="s">
        <v>109</v>
      </c>
      <c r="H2021" s="163" t="str">
        <f>IF(AND('Resource Planner'!$A$50="☑",17&lt;='Resource Planner'!$N$50),'Resource Planner'!$M$50,"")</f>
        <v/>
      </c>
    </row>
    <row r="2022" ht="15.75" customHeight="1">
      <c r="A20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2" s="163" t="str">
        <f>IF(AND('Resource Planner'!$A$50="☑",18&lt;='Resource Planner'!$N$50),'Resource Planner'!$C$50,"")</f>
        <v/>
      </c>
      <c r="C2022" s="163" t="str">
        <f>IF(AND('Resource Planner'!$A$50="☑",18&lt;='Resource Planner'!$N$50),'Resource Planner'!$B$50,"")</f>
        <v/>
      </c>
      <c r="D2022" s="163" t="str">
        <f>IF(AND('Resource Planner'!$A$50="☑",18&lt;='Resource Planner'!$N$50),'Resource Planner'!$D$50,"")</f>
        <v/>
      </c>
      <c r="E2022" s="163" t="str">
        <f>IF(AND('Resource Planner'!$A$50="☑",18&lt;='Resource Planner'!$N$50),'Resource Planner'!$E$50,"")</f>
        <v/>
      </c>
      <c r="F2022" s="163" t="str">
        <f>IF(AND('Resource Planner'!$A$50="☑",18&lt;='Resource Planner'!$N$50),'Resource Planner'!$F$50&amp;" "&amp;('Resource Planner'!$G$50+(18-1)*'Resource Planner'!$I$50)&amp;IF(('Resource Planner'!$G$50+(18-1)*'Resource Planner'!$I$50)=MIN('Resource Planner'!$G$50+18*'Resource Planner'!$I$50-1,'Resource Planner'!$H$50),"","–"&amp;MIN('Resource Planner'!$G$50+18*'Resource Planner'!$I$50-1,'Resource Planner'!$H$50)),"")</f>
        <v/>
      </c>
      <c r="G2022" s="163" t="s">
        <v>109</v>
      </c>
      <c r="H2022" s="163" t="str">
        <f>IF(AND('Resource Planner'!$A$50="☑",18&lt;='Resource Planner'!$N$50),'Resource Planner'!$M$50,"")</f>
        <v/>
      </c>
    </row>
    <row r="2023" ht="15.75" customHeight="1">
      <c r="A20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3" s="163" t="str">
        <f>IF(AND('Resource Planner'!$A$50="☑",19&lt;='Resource Planner'!$N$50),'Resource Planner'!$C$50,"")</f>
        <v/>
      </c>
      <c r="C2023" s="163" t="str">
        <f>IF(AND('Resource Planner'!$A$50="☑",19&lt;='Resource Planner'!$N$50),'Resource Planner'!$B$50,"")</f>
        <v/>
      </c>
      <c r="D2023" s="163" t="str">
        <f>IF(AND('Resource Planner'!$A$50="☑",19&lt;='Resource Planner'!$N$50),'Resource Planner'!$D$50,"")</f>
        <v/>
      </c>
      <c r="E2023" s="163" t="str">
        <f>IF(AND('Resource Planner'!$A$50="☑",19&lt;='Resource Planner'!$N$50),'Resource Planner'!$E$50,"")</f>
        <v/>
      </c>
      <c r="F2023" s="163" t="str">
        <f>IF(AND('Resource Planner'!$A$50="☑",19&lt;='Resource Planner'!$N$50),'Resource Planner'!$F$50&amp;" "&amp;('Resource Planner'!$G$50+(19-1)*'Resource Planner'!$I$50)&amp;IF(('Resource Planner'!$G$50+(19-1)*'Resource Planner'!$I$50)=MIN('Resource Planner'!$G$50+19*'Resource Planner'!$I$50-1,'Resource Planner'!$H$50),"","–"&amp;MIN('Resource Planner'!$G$50+19*'Resource Planner'!$I$50-1,'Resource Planner'!$H$50)),"")</f>
        <v/>
      </c>
      <c r="G2023" s="163" t="s">
        <v>109</v>
      </c>
      <c r="H2023" s="163" t="str">
        <f>IF(AND('Resource Planner'!$A$50="☑",19&lt;='Resource Planner'!$N$50),'Resource Planner'!$M$50,"")</f>
        <v/>
      </c>
    </row>
    <row r="2024" ht="15.75" customHeight="1">
      <c r="A20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4" s="163" t="str">
        <f>IF(AND('Resource Planner'!$A$50="☑",20&lt;='Resource Planner'!$N$50),'Resource Planner'!$C$50,"")</f>
        <v/>
      </c>
      <c r="C2024" s="163" t="str">
        <f>IF(AND('Resource Planner'!$A$50="☑",20&lt;='Resource Planner'!$N$50),'Resource Planner'!$B$50,"")</f>
        <v/>
      </c>
      <c r="D2024" s="163" t="str">
        <f>IF(AND('Resource Planner'!$A$50="☑",20&lt;='Resource Planner'!$N$50),'Resource Planner'!$D$50,"")</f>
        <v/>
      </c>
      <c r="E2024" s="163" t="str">
        <f>IF(AND('Resource Planner'!$A$50="☑",20&lt;='Resource Planner'!$N$50),'Resource Planner'!$E$50,"")</f>
        <v/>
      </c>
      <c r="F2024" s="163" t="str">
        <f>IF(AND('Resource Planner'!$A$50="☑",20&lt;='Resource Planner'!$N$50),'Resource Planner'!$F$50&amp;" "&amp;('Resource Planner'!$G$50+(20-1)*'Resource Planner'!$I$50)&amp;IF(('Resource Planner'!$G$50+(20-1)*'Resource Planner'!$I$50)=MIN('Resource Planner'!$G$50+20*'Resource Planner'!$I$50-1,'Resource Planner'!$H$50),"","–"&amp;MIN('Resource Planner'!$G$50+20*'Resource Planner'!$I$50-1,'Resource Planner'!$H$50)),"")</f>
        <v/>
      </c>
      <c r="G2024" s="163" t="s">
        <v>109</v>
      </c>
      <c r="H2024" s="163" t="str">
        <f>IF(AND('Resource Planner'!$A$50="☑",20&lt;='Resource Planner'!$N$50),'Resource Planner'!$M$50,"")</f>
        <v/>
      </c>
    </row>
    <row r="2025" ht="15.75" customHeight="1">
      <c r="A20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5" s="163" t="str">
        <f>IF(AND('Resource Planner'!$A$50="☑",21&lt;='Resource Planner'!$N$50),'Resource Planner'!$C$50,"")</f>
        <v/>
      </c>
      <c r="C2025" s="163" t="str">
        <f>IF(AND('Resource Planner'!$A$50="☑",21&lt;='Resource Planner'!$N$50),'Resource Planner'!$B$50,"")</f>
        <v/>
      </c>
      <c r="D2025" s="163" t="str">
        <f>IF(AND('Resource Planner'!$A$50="☑",21&lt;='Resource Planner'!$N$50),'Resource Planner'!$D$50,"")</f>
        <v/>
      </c>
      <c r="E2025" s="163" t="str">
        <f>IF(AND('Resource Planner'!$A$50="☑",21&lt;='Resource Planner'!$N$50),'Resource Planner'!$E$50,"")</f>
        <v/>
      </c>
      <c r="F2025" s="163" t="str">
        <f>IF(AND('Resource Planner'!$A$50="☑",21&lt;='Resource Planner'!$N$50),'Resource Planner'!$F$50&amp;" "&amp;('Resource Planner'!$G$50+(21-1)*'Resource Planner'!$I$50)&amp;IF(('Resource Planner'!$G$50+(21-1)*'Resource Planner'!$I$50)=MIN('Resource Planner'!$G$50+21*'Resource Planner'!$I$50-1,'Resource Planner'!$H$50),"","–"&amp;MIN('Resource Planner'!$G$50+21*'Resource Planner'!$I$50-1,'Resource Planner'!$H$50)),"")</f>
        <v/>
      </c>
      <c r="G2025" s="163" t="s">
        <v>109</v>
      </c>
      <c r="H2025" s="163" t="str">
        <f>IF(AND('Resource Planner'!$A$50="☑",21&lt;='Resource Planner'!$N$50),'Resource Planner'!$M$50,"")</f>
        <v/>
      </c>
    </row>
    <row r="2026" ht="15.75" customHeight="1">
      <c r="A20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6" s="163" t="str">
        <f>IF(AND('Resource Planner'!$A$50="☑",22&lt;='Resource Planner'!$N$50),'Resource Planner'!$C$50,"")</f>
        <v/>
      </c>
      <c r="C2026" s="163" t="str">
        <f>IF(AND('Resource Planner'!$A$50="☑",22&lt;='Resource Planner'!$N$50),'Resource Planner'!$B$50,"")</f>
        <v/>
      </c>
      <c r="D2026" s="163" t="str">
        <f>IF(AND('Resource Planner'!$A$50="☑",22&lt;='Resource Planner'!$N$50),'Resource Planner'!$D$50,"")</f>
        <v/>
      </c>
      <c r="E2026" s="163" t="str">
        <f>IF(AND('Resource Planner'!$A$50="☑",22&lt;='Resource Planner'!$N$50),'Resource Planner'!$E$50,"")</f>
        <v/>
      </c>
      <c r="F2026" s="163" t="str">
        <f>IF(AND('Resource Planner'!$A$50="☑",22&lt;='Resource Planner'!$N$50),'Resource Planner'!$F$50&amp;" "&amp;('Resource Planner'!$G$50+(22-1)*'Resource Planner'!$I$50)&amp;IF(('Resource Planner'!$G$50+(22-1)*'Resource Planner'!$I$50)=MIN('Resource Planner'!$G$50+22*'Resource Planner'!$I$50-1,'Resource Planner'!$H$50),"","–"&amp;MIN('Resource Planner'!$G$50+22*'Resource Planner'!$I$50-1,'Resource Planner'!$H$50)),"")</f>
        <v/>
      </c>
      <c r="G2026" s="163" t="s">
        <v>109</v>
      </c>
      <c r="H2026" s="163" t="str">
        <f>IF(AND('Resource Planner'!$A$50="☑",22&lt;='Resource Planner'!$N$50),'Resource Planner'!$M$50,"")</f>
        <v/>
      </c>
    </row>
    <row r="2027" ht="15.75" customHeight="1">
      <c r="A20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7" s="163" t="str">
        <f>IF(AND('Resource Planner'!$A$50="☑",23&lt;='Resource Planner'!$N$50),'Resource Planner'!$C$50,"")</f>
        <v/>
      </c>
      <c r="C2027" s="163" t="str">
        <f>IF(AND('Resource Planner'!$A$50="☑",23&lt;='Resource Planner'!$N$50),'Resource Planner'!$B$50,"")</f>
        <v/>
      </c>
      <c r="D2027" s="163" t="str">
        <f>IF(AND('Resource Planner'!$A$50="☑",23&lt;='Resource Planner'!$N$50),'Resource Planner'!$D$50,"")</f>
        <v/>
      </c>
      <c r="E2027" s="163" t="str">
        <f>IF(AND('Resource Planner'!$A$50="☑",23&lt;='Resource Planner'!$N$50),'Resource Planner'!$E$50,"")</f>
        <v/>
      </c>
      <c r="F2027" s="163" t="str">
        <f>IF(AND('Resource Planner'!$A$50="☑",23&lt;='Resource Planner'!$N$50),'Resource Planner'!$F$50&amp;" "&amp;('Resource Planner'!$G$50+(23-1)*'Resource Planner'!$I$50)&amp;IF(('Resource Planner'!$G$50+(23-1)*'Resource Planner'!$I$50)=MIN('Resource Planner'!$G$50+23*'Resource Planner'!$I$50-1,'Resource Planner'!$H$50),"","–"&amp;MIN('Resource Planner'!$G$50+23*'Resource Planner'!$I$50-1,'Resource Planner'!$H$50)),"")</f>
        <v/>
      </c>
      <c r="G2027" s="163" t="s">
        <v>109</v>
      </c>
      <c r="H2027" s="163" t="str">
        <f>IF(AND('Resource Planner'!$A$50="☑",23&lt;='Resource Planner'!$N$50),'Resource Planner'!$M$50,"")</f>
        <v/>
      </c>
    </row>
    <row r="2028" ht="15.75" customHeight="1">
      <c r="A20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8" s="163" t="str">
        <f>IF(AND('Resource Planner'!$A$50="☑",24&lt;='Resource Planner'!$N$50),'Resource Planner'!$C$50,"")</f>
        <v/>
      </c>
      <c r="C2028" s="163" t="str">
        <f>IF(AND('Resource Planner'!$A$50="☑",24&lt;='Resource Planner'!$N$50),'Resource Planner'!$B$50,"")</f>
        <v/>
      </c>
      <c r="D2028" s="163" t="str">
        <f>IF(AND('Resource Planner'!$A$50="☑",24&lt;='Resource Planner'!$N$50),'Resource Planner'!$D$50,"")</f>
        <v/>
      </c>
      <c r="E2028" s="163" t="str">
        <f>IF(AND('Resource Planner'!$A$50="☑",24&lt;='Resource Planner'!$N$50),'Resource Planner'!$E$50,"")</f>
        <v/>
      </c>
      <c r="F2028" s="163" t="str">
        <f>IF(AND('Resource Planner'!$A$50="☑",24&lt;='Resource Planner'!$N$50),'Resource Planner'!$F$50&amp;" "&amp;('Resource Planner'!$G$50+(24-1)*'Resource Planner'!$I$50)&amp;IF(('Resource Planner'!$G$50+(24-1)*'Resource Planner'!$I$50)=MIN('Resource Planner'!$G$50+24*'Resource Planner'!$I$50-1,'Resource Planner'!$H$50),"","–"&amp;MIN('Resource Planner'!$G$50+24*'Resource Planner'!$I$50-1,'Resource Planner'!$H$50)),"")</f>
        <v/>
      </c>
      <c r="G2028" s="163" t="s">
        <v>109</v>
      </c>
      <c r="H2028" s="163" t="str">
        <f>IF(AND('Resource Planner'!$A$50="☑",24&lt;='Resource Planner'!$N$50),'Resource Planner'!$M$50,"")</f>
        <v/>
      </c>
    </row>
    <row r="2029" ht="15.75" customHeight="1">
      <c r="A20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29" s="163" t="str">
        <f>IF(AND('Resource Planner'!$A$50="☑",25&lt;='Resource Planner'!$N$50),'Resource Planner'!$C$50,"")</f>
        <v/>
      </c>
      <c r="C2029" s="163" t="str">
        <f>IF(AND('Resource Planner'!$A$50="☑",25&lt;='Resource Planner'!$N$50),'Resource Planner'!$B$50,"")</f>
        <v/>
      </c>
      <c r="D2029" s="163" t="str">
        <f>IF(AND('Resource Planner'!$A$50="☑",25&lt;='Resource Planner'!$N$50),'Resource Planner'!$D$50,"")</f>
        <v/>
      </c>
      <c r="E2029" s="163" t="str">
        <f>IF(AND('Resource Planner'!$A$50="☑",25&lt;='Resource Planner'!$N$50),'Resource Planner'!$E$50,"")</f>
        <v/>
      </c>
      <c r="F2029" s="163" t="str">
        <f>IF(AND('Resource Planner'!$A$50="☑",25&lt;='Resource Planner'!$N$50),'Resource Planner'!$F$50&amp;" "&amp;('Resource Planner'!$G$50+(25-1)*'Resource Planner'!$I$50)&amp;IF(('Resource Planner'!$G$50+(25-1)*'Resource Planner'!$I$50)=MIN('Resource Planner'!$G$50+25*'Resource Planner'!$I$50-1,'Resource Planner'!$H$50),"","–"&amp;MIN('Resource Planner'!$G$50+25*'Resource Planner'!$I$50-1,'Resource Planner'!$H$50)),"")</f>
        <v/>
      </c>
      <c r="G2029" s="163" t="s">
        <v>109</v>
      </c>
      <c r="H2029" s="163" t="str">
        <f>IF(AND('Resource Planner'!$A$50="☑",25&lt;='Resource Planner'!$N$50),'Resource Planner'!$M$50,"")</f>
        <v/>
      </c>
    </row>
    <row r="2030" ht="15.75" customHeight="1">
      <c r="A20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0" s="163" t="str">
        <f>IF(AND('Resource Planner'!$A$50="☑",26&lt;='Resource Planner'!$N$50),'Resource Planner'!$C$50,"")</f>
        <v/>
      </c>
      <c r="C2030" s="163" t="str">
        <f>IF(AND('Resource Planner'!$A$50="☑",26&lt;='Resource Planner'!$N$50),'Resource Planner'!$B$50,"")</f>
        <v/>
      </c>
      <c r="D2030" s="163" t="str">
        <f>IF(AND('Resource Planner'!$A$50="☑",26&lt;='Resource Planner'!$N$50),'Resource Planner'!$D$50,"")</f>
        <v/>
      </c>
      <c r="E2030" s="163" t="str">
        <f>IF(AND('Resource Planner'!$A$50="☑",26&lt;='Resource Planner'!$N$50),'Resource Planner'!$E$50,"")</f>
        <v/>
      </c>
      <c r="F2030" s="163" t="str">
        <f>IF(AND('Resource Planner'!$A$50="☑",26&lt;='Resource Planner'!$N$50),'Resource Planner'!$F$50&amp;" "&amp;('Resource Planner'!$G$50+(26-1)*'Resource Planner'!$I$50)&amp;IF(('Resource Planner'!$G$50+(26-1)*'Resource Planner'!$I$50)=MIN('Resource Planner'!$G$50+26*'Resource Planner'!$I$50-1,'Resource Planner'!$H$50),"","–"&amp;MIN('Resource Planner'!$G$50+26*'Resource Planner'!$I$50-1,'Resource Planner'!$H$50)),"")</f>
        <v/>
      </c>
      <c r="G2030" s="163" t="s">
        <v>109</v>
      </c>
      <c r="H2030" s="163" t="str">
        <f>IF(AND('Resource Planner'!$A$50="☑",26&lt;='Resource Planner'!$N$50),'Resource Planner'!$M$50,"")</f>
        <v/>
      </c>
    </row>
    <row r="2031" ht="15.75" customHeight="1">
      <c r="A20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1" s="163" t="str">
        <f>IF(AND('Resource Planner'!$A$50="☑",27&lt;='Resource Planner'!$N$50),'Resource Planner'!$C$50,"")</f>
        <v/>
      </c>
      <c r="C2031" s="163" t="str">
        <f>IF(AND('Resource Planner'!$A$50="☑",27&lt;='Resource Planner'!$N$50),'Resource Planner'!$B$50,"")</f>
        <v/>
      </c>
      <c r="D2031" s="163" t="str">
        <f>IF(AND('Resource Planner'!$A$50="☑",27&lt;='Resource Planner'!$N$50),'Resource Planner'!$D$50,"")</f>
        <v/>
      </c>
      <c r="E2031" s="163" t="str">
        <f>IF(AND('Resource Planner'!$A$50="☑",27&lt;='Resource Planner'!$N$50),'Resource Planner'!$E$50,"")</f>
        <v/>
      </c>
      <c r="F2031" s="163" t="str">
        <f>IF(AND('Resource Planner'!$A$50="☑",27&lt;='Resource Planner'!$N$50),'Resource Planner'!$F$50&amp;" "&amp;('Resource Planner'!$G$50+(27-1)*'Resource Planner'!$I$50)&amp;IF(('Resource Planner'!$G$50+(27-1)*'Resource Planner'!$I$50)=MIN('Resource Planner'!$G$50+27*'Resource Planner'!$I$50-1,'Resource Planner'!$H$50),"","–"&amp;MIN('Resource Planner'!$G$50+27*'Resource Planner'!$I$50-1,'Resource Planner'!$H$50)),"")</f>
        <v/>
      </c>
      <c r="G2031" s="163" t="s">
        <v>109</v>
      </c>
      <c r="H2031" s="163" t="str">
        <f>IF(AND('Resource Planner'!$A$50="☑",27&lt;='Resource Planner'!$N$50),'Resource Planner'!$M$50,"")</f>
        <v/>
      </c>
    </row>
    <row r="2032" ht="15.75" customHeight="1">
      <c r="A20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2" s="163" t="str">
        <f>IF(AND('Resource Planner'!$A$50="☑",28&lt;='Resource Planner'!$N$50),'Resource Planner'!$C$50,"")</f>
        <v/>
      </c>
      <c r="C2032" s="163" t="str">
        <f>IF(AND('Resource Planner'!$A$50="☑",28&lt;='Resource Planner'!$N$50),'Resource Planner'!$B$50,"")</f>
        <v/>
      </c>
      <c r="D2032" s="163" t="str">
        <f>IF(AND('Resource Planner'!$A$50="☑",28&lt;='Resource Planner'!$N$50),'Resource Planner'!$D$50,"")</f>
        <v/>
      </c>
      <c r="E2032" s="163" t="str">
        <f>IF(AND('Resource Planner'!$A$50="☑",28&lt;='Resource Planner'!$N$50),'Resource Planner'!$E$50,"")</f>
        <v/>
      </c>
      <c r="F2032" s="163" t="str">
        <f>IF(AND('Resource Planner'!$A$50="☑",28&lt;='Resource Planner'!$N$50),'Resource Planner'!$F$50&amp;" "&amp;('Resource Planner'!$G$50+(28-1)*'Resource Planner'!$I$50)&amp;IF(('Resource Planner'!$G$50+(28-1)*'Resource Planner'!$I$50)=MIN('Resource Planner'!$G$50+28*'Resource Planner'!$I$50-1,'Resource Planner'!$H$50),"","–"&amp;MIN('Resource Planner'!$G$50+28*'Resource Planner'!$I$50-1,'Resource Planner'!$H$50)),"")</f>
        <v/>
      </c>
      <c r="G2032" s="163" t="s">
        <v>109</v>
      </c>
      <c r="H2032" s="163" t="str">
        <f>IF(AND('Resource Planner'!$A$50="☑",28&lt;='Resource Planner'!$N$50),'Resource Planner'!$M$50,"")</f>
        <v/>
      </c>
    </row>
    <row r="2033" ht="15.75" customHeight="1">
      <c r="A20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3" s="163" t="str">
        <f>IF(AND('Resource Planner'!$A$50="☑",29&lt;='Resource Planner'!$N$50),'Resource Planner'!$C$50,"")</f>
        <v/>
      </c>
      <c r="C2033" s="163" t="str">
        <f>IF(AND('Resource Planner'!$A$50="☑",29&lt;='Resource Planner'!$N$50),'Resource Planner'!$B$50,"")</f>
        <v/>
      </c>
      <c r="D2033" s="163" t="str">
        <f>IF(AND('Resource Planner'!$A$50="☑",29&lt;='Resource Planner'!$N$50),'Resource Planner'!$D$50,"")</f>
        <v/>
      </c>
      <c r="E2033" s="163" t="str">
        <f>IF(AND('Resource Planner'!$A$50="☑",29&lt;='Resource Planner'!$N$50),'Resource Planner'!$E$50,"")</f>
        <v/>
      </c>
      <c r="F2033" s="163" t="str">
        <f>IF(AND('Resource Planner'!$A$50="☑",29&lt;='Resource Planner'!$N$50),'Resource Planner'!$F$50&amp;" "&amp;('Resource Planner'!$G$50+(29-1)*'Resource Planner'!$I$50)&amp;IF(('Resource Planner'!$G$50+(29-1)*'Resource Planner'!$I$50)=MIN('Resource Planner'!$G$50+29*'Resource Planner'!$I$50-1,'Resource Planner'!$H$50),"","–"&amp;MIN('Resource Planner'!$G$50+29*'Resource Planner'!$I$50-1,'Resource Planner'!$H$50)),"")</f>
        <v/>
      </c>
      <c r="G2033" s="163" t="s">
        <v>109</v>
      </c>
      <c r="H2033" s="163" t="str">
        <f>IF(AND('Resource Planner'!$A$50="☑",29&lt;='Resource Planner'!$N$50),'Resource Planner'!$M$50,"")</f>
        <v/>
      </c>
    </row>
    <row r="2034" ht="15.75" customHeight="1">
      <c r="A20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4" s="163" t="str">
        <f>IF(AND('Resource Planner'!$A$50="☑",30&lt;='Resource Planner'!$N$50),'Resource Planner'!$C$50,"")</f>
        <v/>
      </c>
      <c r="C2034" s="163" t="str">
        <f>IF(AND('Resource Planner'!$A$50="☑",30&lt;='Resource Planner'!$N$50),'Resource Planner'!$B$50,"")</f>
        <v/>
      </c>
      <c r="D2034" s="163" t="str">
        <f>IF(AND('Resource Planner'!$A$50="☑",30&lt;='Resource Planner'!$N$50),'Resource Planner'!$D$50,"")</f>
        <v/>
      </c>
      <c r="E2034" s="163" t="str">
        <f>IF(AND('Resource Planner'!$A$50="☑",30&lt;='Resource Planner'!$N$50),'Resource Planner'!$E$50,"")</f>
        <v/>
      </c>
      <c r="F2034" s="163" t="str">
        <f>IF(AND('Resource Planner'!$A$50="☑",30&lt;='Resource Planner'!$N$50),'Resource Planner'!$F$50&amp;" "&amp;('Resource Planner'!$G$50+(30-1)*'Resource Planner'!$I$50)&amp;IF(('Resource Planner'!$G$50+(30-1)*'Resource Planner'!$I$50)=MIN('Resource Planner'!$G$50+30*'Resource Planner'!$I$50-1,'Resource Planner'!$H$50),"","–"&amp;MIN('Resource Planner'!$G$50+30*'Resource Planner'!$I$50-1,'Resource Planner'!$H$50)),"")</f>
        <v/>
      </c>
      <c r="G2034" s="163" t="s">
        <v>109</v>
      </c>
      <c r="H2034" s="163" t="str">
        <f>IF(AND('Resource Planner'!$A$50="☑",30&lt;='Resource Planner'!$N$50),'Resource Planner'!$M$50,"")</f>
        <v/>
      </c>
    </row>
    <row r="2035" ht="15.75" customHeight="1">
      <c r="A20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5" s="163" t="str">
        <f>IF(AND('Resource Planner'!$A$50="☑",31&lt;='Resource Planner'!$N$50),'Resource Planner'!$C$50,"")</f>
        <v/>
      </c>
      <c r="C2035" s="163" t="str">
        <f>IF(AND('Resource Planner'!$A$50="☑",31&lt;='Resource Planner'!$N$50),'Resource Planner'!$B$50,"")</f>
        <v/>
      </c>
      <c r="D2035" s="163" t="str">
        <f>IF(AND('Resource Planner'!$A$50="☑",31&lt;='Resource Planner'!$N$50),'Resource Planner'!$D$50,"")</f>
        <v/>
      </c>
      <c r="E2035" s="163" t="str">
        <f>IF(AND('Resource Planner'!$A$50="☑",31&lt;='Resource Planner'!$N$50),'Resource Planner'!$E$50,"")</f>
        <v/>
      </c>
      <c r="F2035" s="163" t="str">
        <f>IF(AND('Resource Planner'!$A$50="☑",31&lt;='Resource Planner'!$N$50),'Resource Planner'!$F$50&amp;" "&amp;('Resource Planner'!$G$50+(31-1)*'Resource Planner'!$I$50)&amp;IF(('Resource Planner'!$G$50+(31-1)*'Resource Planner'!$I$50)=MIN('Resource Planner'!$G$50+31*'Resource Planner'!$I$50-1,'Resource Planner'!$H$50),"","–"&amp;MIN('Resource Planner'!$G$50+31*'Resource Planner'!$I$50-1,'Resource Planner'!$H$50)),"")</f>
        <v/>
      </c>
      <c r="G2035" s="163" t="s">
        <v>109</v>
      </c>
      <c r="H2035" s="163" t="str">
        <f>IF(AND('Resource Planner'!$A$50="☑",31&lt;='Resource Planner'!$N$50),'Resource Planner'!$M$50,"")</f>
        <v/>
      </c>
    </row>
    <row r="2036" ht="15.75" customHeight="1">
      <c r="A20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6" s="163" t="str">
        <f>IF(AND('Resource Planner'!$A$50="☑",32&lt;='Resource Planner'!$N$50),'Resource Planner'!$C$50,"")</f>
        <v/>
      </c>
      <c r="C2036" s="163" t="str">
        <f>IF(AND('Resource Planner'!$A$50="☑",32&lt;='Resource Planner'!$N$50),'Resource Planner'!$B$50,"")</f>
        <v/>
      </c>
      <c r="D2036" s="163" t="str">
        <f>IF(AND('Resource Planner'!$A$50="☑",32&lt;='Resource Planner'!$N$50),'Resource Planner'!$D$50,"")</f>
        <v/>
      </c>
      <c r="E2036" s="163" t="str">
        <f>IF(AND('Resource Planner'!$A$50="☑",32&lt;='Resource Planner'!$N$50),'Resource Planner'!$E$50,"")</f>
        <v/>
      </c>
      <c r="F2036" s="163" t="str">
        <f>IF(AND('Resource Planner'!$A$50="☑",32&lt;='Resource Planner'!$N$50),'Resource Planner'!$F$50&amp;" "&amp;('Resource Planner'!$G$50+(32-1)*'Resource Planner'!$I$50)&amp;IF(('Resource Planner'!$G$50+(32-1)*'Resource Planner'!$I$50)=MIN('Resource Planner'!$G$50+32*'Resource Planner'!$I$50-1,'Resource Planner'!$H$50),"","–"&amp;MIN('Resource Planner'!$G$50+32*'Resource Planner'!$I$50-1,'Resource Planner'!$H$50)),"")</f>
        <v/>
      </c>
      <c r="G2036" s="163" t="s">
        <v>109</v>
      </c>
      <c r="H2036" s="163" t="str">
        <f>IF(AND('Resource Planner'!$A$50="☑",32&lt;='Resource Planner'!$N$50),'Resource Planner'!$M$50,"")</f>
        <v/>
      </c>
    </row>
    <row r="2037" ht="15.75" customHeight="1">
      <c r="A20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7" s="163" t="str">
        <f>IF(AND('Resource Planner'!$A$50="☑",33&lt;='Resource Planner'!$N$50),'Resource Planner'!$C$50,"")</f>
        <v/>
      </c>
      <c r="C2037" s="163" t="str">
        <f>IF(AND('Resource Planner'!$A$50="☑",33&lt;='Resource Planner'!$N$50),'Resource Planner'!$B$50,"")</f>
        <v/>
      </c>
      <c r="D2037" s="163" t="str">
        <f>IF(AND('Resource Planner'!$A$50="☑",33&lt;='Resource Planner'!$N$50),'Resource Planner'!$D$50,"")</f>
        <v/>
      </c>
      <c r="E2037" s="163" t="str">
        <f>IF(AND('Resource Planner'!$A$50="☑",33&lt;='Resource Planner'!$N$50),'Resource Planner'!$E$50,"")</f>
        <v/>
      </c>
      <c r="F2037" s="163" t="str">
        <f>IF(AND('Resource Planner'!$A$50="☑",33&lt;='Resource Planner'!$N$50),'Resource Planner'!$F$50&amp;" "&amp;('Resource Planner'!$G$50+(33-1)*'Resource Planner'!$I$50)&amp;IF(('Resource Planner'!$G$50+(33-1)*'Resource Planner'!$I$50)=MIN('Resource Planner'!$G$50+33*'Resource Planner'!$I$50-1,'Resource Planner'!$H$50),"","–"&amp;MIN('Resource Planner'!$G$50+33*'Resource Planner'!$I$50-1,'Resource Planner'!$H$50)),"")</f>
        <v/>
      </c>
      <c r="G2037" s="163" t="s">
        <v>109</v>
      </c>
      <c r="H2037" s="163" t="str">
        <f>IF(AND('Resource Planner'!$A$50="☑",33&lt;='Resource Planner'!$N$50),'Resource Planner'!$M$50,"")</f>
        <v/>
      </c>
    </row>
    <row r="2038" ht="15.75" customHeight="1">
      <c r="A20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8" s="163" t="str">
        <f>IF(AND('Resource Planner'!$A$50="☑",34&lt;='Resource Planner'!$N$50),'Resource Planner'!$C$50,"")</f>
        <v/>
      </c>
      <c r="C2038" s="163" t="str">
        <f>IF(AND('Resource Planner'!$A$50="☑",34&lt;='Resource Planner'!$N$50),'Resource Planner'!$B$50,"")</f>
        <v/>
      </c>
      <c r="D2038" s="163" t="str">
        <f>IF(AND('Resource Planner'!$A$50="☑",34&lt;='Resource Planner'!$N$50),'Resource Planner'!$D$50,"")</f>
        <v/>
      </c>
      <c r="E2038" s="163" t="str">
        <f>IF(AND('Resource Planner'!$A$50="☑",34&lt;='Resource Planner'!$N$50),'Resource Planner'!$E$50,"")</f>
        <v/>
      </c>
      <c r="F2038" s="163" t="str">
        <f>IF(AND('Resource Planner'!$A$50="☑",34&lt;='Resource Planner'!$N$50),'Resource Planner'!$F$50&amp;" "&amp;('Resource Planner'!$G$50+(34-1)*'Resource Planner'!$I$50)&amp;IF(('Resource Planner'!$G$50+(34-1)*'Resource Planner'!$I$50)=MIN('Resource Planner'!$G$50+34*'Resource Planner'!$I$50-1,'Resource Planner'!$H$50),"","–"&amp;MIN('Resource Planner'!$G$50+34*'Resource Planner'!$I$50-1,'Resource Planner'!$H$50)),"")</f>
        <v/>
      </c>
      <c r="G2038" s="163" t="s">
        <v>109</v>
      </c>
      <c r="H2038" s="163" t="str">
        <f>IF(AND('Resource Planner'!$A$50="☑",34&lt;='Resource Planner'!$N$50),'Resource Planner'!$M$50,"")</f>
        <v/>
      </c>
    </row>
    <row r="2039" ht="15.75" customHeight="1">
      <c r="A20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39" s="163" t="str">
        <f>IF(AND('Resource Planner'!$A$50="☑",35&lt;='Resource Planner'!$N$50),'Resource Planner'!$C$50,"")</f>
        <v/>
      </c>
      <c r="C2039" s="163" t="str">
        <f>IF(AND('Resource Planner'!$A$50="☑",35&lt;='Resource Planner'!$N$50),'Resource Planner'!$B$50,"")</f>
        <v/>
      </c>
      <c r="D2039" s="163" t="str">
        <f>IF(AND('Resource Planner'!$A$50="☑",35&lt;='Resource Planner'!$N$50),'Resource Planner'!$D$50,"")</f>
        <v/>
      </c>
      <c r="E2039" s="163" t="str">
        <f>IF(AND('Resource Planner'!$A$50="☑",35&lt;='Resource Planner'!$N$50),'Resource Planner'!$E$50,"")</f>
        <v/>
      </c>
      <c r="F2039" s="163" t="str">
        <f>IF(AND('Resource Planner'!$A$50="☑",35&lt;='Resource Planner'!$N$50),'Resource Planner'!$F$50&amp;" "&amp;('Resource Planner'!$G$50+(35-1)*'Resource Planner'!$I$50)&amp;IF(('Resource Planner'!$G$50+(35-1)*'Resource Planner'!$I$50)=MIN('Resource Planner'!$G$50+35*'Resource Planner'!$I$50-1,'Resource Planner'!$H$50),"","–"&amp;MIN('Resource Planner'!$G$50+35*'Resource Planner'!$I$50-1,'Resource Planner'!$H$50)),"")</f>
        <v/>
      </c>
      <c r="G2039" s="163" t="s">
        <v>109</v>
      </c>
      <c r="H2039" s="163" t="str">
        <f>IF(AND('Resource Planner'!$A$50="☑",35&lt;='Resource Planner'!$N$50),'Resource Planner'!$M$50,"")</f>
        <v/>
      </c>
    </row>
    <row r="2040" ht="15.75" customHeight="1">
      <c r="A20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0" s="163" t="str">
        <f>IF(AND('Resource Planner'!$A$50="☑",36&lt;='Resource Planner'!$N$50),'Resource Planner'!$C$50,"")</f>
        <v/>
      </c>
      <c r="C2040" s="163" t="str">
        <f>IF(AND('Resource Planner'!$A$50="☑",36&lt;='Resource Planner'!$N$50),'Resource Planner'!$B$50,"")</f>
        <v/>
      </c>
      <c r="D2040" s="163" t="str">
        <f>IF(AND('Resource Planner'!$A$50="☑",36&lt;='Resource Planner'!$N$50),'Resource Planner'!$D$50,"")</f>
        <v/>
      </c>
      <c r="E2040" s="163" t="str">
        <f>IF(AND('Resource Planner'!$A$50="☑",36&lt;='Resource Planner'!$N$50),'Resource Planner'!$E$50,"")</f>
        <v/>
      </c>
      <c r="F2040" s="163" t="str">
        <f>IF(AND('Resource Planner'!$A$50="☑",36&lt;='Resource Planner'!$N$50),'Resource Planner'!$F$50&amp;" "&amp;('Resource Planner'!$G$50+(36-1)*'Resource Planner'!$I$50)&amp;IF(('Resource Planner'!$G$50+(36-1)*'Resource Planner'!$I$50)=MIN('Resource Planner'!$G$50+36*'Resource Planner'!$I$50-1,'Resource Planner'!$H$50),"","–"&amp;MIN('Resource Planner'!$G$50+36*'Resource Planner'!$I$50-1,'Resource Planner'!$H$50)),"")</f>
        <v/>
      </c>
      <c r="G2040" s="163" t="s">
        <v>109</v>
      </c>
      <c r="H2040" s="163" t="str">
        <f>IF(AND('Resource Planner'!$A$50="☑",36&lt;='Resource Planner'!$N$50),'Resource Planner'!$M$50,"")</f>
        <v/>
      </c>
    </row>
    <row r="2041" ht="15.75" customHeight="1">
      <c r="A20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1" s="163" t="str">
        <f>IF(AND('Resource Planner'!$A$50="☑",37&lt;='Resource Planner'!$N$50),'Resource Planner'!$C$50,"")</f>
        <v/>
      </c>
      <c r="C2041" s="163" t="str">
        <f>IF(AND('Resource Planner'!$A$50="☑",37&lt;='Resource Planner'!$N$50),'Resource Planner'!$B$50,"")</f>
        <v/>
      </c>
      <c r="D2041" s="163" t="str">
        <f>IF(AND('Resource Planner'!$A$50="☑",37&lt;='Resource Planner'!$N$50),'Resource Planner'!$D$50,"")</f>
        <v/>
      </c>
      <c r="E2041" s="163" t="str">
        <f>IF(AND('Resource Planner'!$A$50="☑",37&lt;='Resource Planner'!$N$50),'Resource Planner'!$E$50,"")</f>
        <v/>
      </c>
      <c r="F2041" s="163" t="str">
        <f>IF(AND('Resource Planner'!$A$50="☑",37&lt;='Resource Planner'!$N$50),'Resource Planner'!$F$50&amp;" "&amp;('Resource Planner'!$G$50+(37-1)*'Resource Planner'!$I$50)&amp;IF(('Resource Planner'!$G$50+(37-1)*'Resource Planner'!$I$50)=MIN('Resource Planner'!$G$50+37*'Resource Planner'!$I$50-1,'Resource Planner'!$H$50),"","–"&amp;MIN('Resource Planner'!$G$50+37*'Resource Planner'!$I$50-1,'Resource Planner'!$H$50)),"")</f>
        <v/>
      </c>
      <c r="G2041" s="163" t="s">
        <v>109</v>
      </c>
      <c r="H2041" s="163" t="str">
        <f>IF(AND('Resource Planner'!$A$50="☑",37&lt;='Resource Planner'!$N$50),'Resource Planner'!$M$50,"")</f>
        <v/>
      </c>
    </row>
    <row r="2042" ht="15.75" customHeight="1">
      <c r="A20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2" s="163" t="str">
        <f>IF(AND('Resource Planner'!$A$50="☑",38&lt;='Resource Planner'!$N$50),'Resource Planner'!$C$50,"")</f>
        <v/>
      </c>
      <c r="C2042" s="163" t="str">
        <f>IF(AND('Resource Planner'!$A$50="☑",38&lt;='Resource Planner'!$N$50),'Resource Planner'!$B$50,"")</f>
        <v/>
      </c>
      <c r="D2042" s="163" t="str">
        <f>IF(AND('Resource Planner'!$A$50="☑",38&lt;='Resource Planner'!$N$50),'Resource Planner'!$D$50,"")</f>
        <v/>
      </c>
      <c r="E2042" s="163" t="str">
        <f>IF(AND('Resource Planner'!$A$50="☑",38&lt;='Resource Planner'!$N$50),'Resource Planner'!$E$50,"")</f>
        <v/>
      </c>
      <c r="F2042" s="163" t="str">
        <f>IF(AND('Resource Planner'!$A$50="☑",38&lt;='Resource Planner'!$N$50),'Resource Planner'!$F$50&amp;" "&amp;('Resource Planner'!$G$50+(38-1)*'Resource Planner'!$I$50)&amp;IF(('Resource Planner'!$G$50+(38-1)*'Resource Planner'!$I$50)=MIN('Resource Planner'!$G$50+38*'Resource Planner'!$I$50-1,'Resource Planner'!$H$50),"","–"&amp;MIN('Resource Planner'!$G$50+38*'Resource Planner'!$I$50-1,'Resource Planner'!$H$50)),"")</f>
        <v/>
      </c>
      <c r="G2042" s="163" t="s">
        <v>109</v>
      </c>
      <c r="H2042" s="163" t="str">
        <f>IF(AND('Resource Planner'!$A$50="☑",38&lt;='Resource Planner'!$N$50),'Resource Planner'!$M$50,"")</f>
        <v/>
      </c>
    </row>
    <row r="2043" ht="15.75" customHeight="1">
      <c r="A20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3" s="163" t="str">
        <f>IF(AND('Resource Planner'!$A$50="☑",39&lt;='Resource Planner'!$N$50),'Resource Planner'!$C$50,"")</f>
        <v/>
      </c>
      <c r="C2043" s="163" t="str">
        <f>IF(AND('Resource Planner'!$A$50="☑",39&lt;='Resource Planner'!$N$50),'Resource Planner'!$B$50,"")</f>
        <v/>
      </c>
      <c r="D2043" s="163" t="str">
        <f>IF(AND('Resource Planner'!$A$50="☑",39&lt;='Resource Planner'!$N$50),'Resource Planner'!$D$50,"")</f>
        <v/>
      </c>
      <c r="E2043" s="163" t="str">
        <f>IF(AND('Resource Planner'!$A$50="☑",39&lt;='Resource Planner'!$N$50),'Resource Planner'!$E$50,"")</f>
        <v/>
      </c>
      <c r="F2043" s="163" t="str">
        <f>IF(AND('Resource Planner'!$A$50="☑",39&lt;='Resource Planner'!$N$50),'Resource Planner'!$F$50&amp;" "&amp;('Resource Planner'!$G$50+(39-1)*'Resource Planner'!$I$50)&amp;IF(('Resource Planner'!$G$50+(39-1)*'Resource Planner'!$I$50)=MIN('Resource Planner'!$G$50+39*'Resource Planner'!$I$50-1,'Resource Planner'!$H$50),"","–"&amp;MIN('Resource Planner'!$G$50+39*'Resource Planner'!$I$50-1,'Resource Planner'!$H$50)),"")</f>
        <v/>
      </c>
      <c r="G2043" s="163" t="s">
        <v>109</v>
      </c>
      <c r="H2043" s="163" t="str">
        <f>IF(AND('Resource Planner'!$A$50="☑",39&lt;='Resource Planner'!$N$50),'Resource Planner'!$M$50,"")</f>
        <v/>
      </c>
    </row>
    <row r="2044" ht="15.75" customHeight="1">
      <c r="A20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4" s="163" t="str">
        <f>IF(AND('Resource Planner'!$A$50="☑",40&lt;='Resource Planner'!$N$50),'Resource Planner'!$C$50,"")</f>
        <v/>
      </c>
      <c r="C2044" s="163" t="str">
        <f>IF(AND('Resource Planner'!$A$50="☑",40&lt;='Resource Planner'!$N$50),'Resource Planner'!$B$50,"")</f>
        <v/>
      </c>
      <c r="D2044" s="163" t="str">
        <f>IF(AND('Resource Planner'!$A$50="☑",40&lt;='Resource Planner'!$N$50),'Resource Planner'!$D$50,"")</f>
        <v/>
      </c>
      <c r="E2044" s="163" t="str">
        <f>IF(AND('Resource Planner'!$A$50="☑",40&lt;='Resource Planner'!$N$50),'Resource Planner'!$E$50,"")</f>
        <v/>
      </c>
      <c r="F2044" s="163" t="str">
        <f>IF(AND('Resource Planner'!$A$50="☑",40&lt;='Resource Planner'!$N$50),'Resource Planner'!$F$50&amp;" "&amp;('Resource Planner'!$G$50+(40-1)*'Resource Planner'!$I$50)&amp;IF(('Resource Planner'!$G$50+(40-1)*'Resource Planner'!$I$50)=MIN('Resource Planner'!$G$50+40*'Resource Planner'!$I$50-1,'Resource Planner'!$H$50),"","–"&amp;MIN('Resource Planner'!$G$50+40*'Resource Planner'!$I$50-1,'Resource Planner'!$H$50)),"")</f>
        <v/>
      </c>
      <c r="G2044" s="163" t="s">
        <v>109</v>
      </c>
      <c r="H2044" s="163" t="str">
        <f>IF(AND('Resource Planner'!$A$50="☑",40&lt;='Resource Planner'!$N$50),'Resource Planner'!$M$50,"")</f>
        <v/>
      </c>
    </row>
    <row r="2045" ht="15.75" customHeight="1">
      <c r="A20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5" s="163" t="str">
        <f>IF(AND('Resource Planner'!$A$50="☑",41&lt;='Resource Planner'!$N$50),'Resource Planner'!$C$50,"")</f>
        <v/>
      </c>
      <c r="C2045" s="163" t="str">
        <f>IF(AND('Resource Planner'!$A$50="☑",41&lt;='Resource Planner'!$N$50),'Resource Planner'!$B$50,"")</f>
        <v/>
      </c>
      <c r="D2045" s="163" t="str">
        <f>IF(AND('Resource Planner'!$A$50="☑",41&lt;='Resource Planner'!$N$50),'Resource Planner'!$D$50,"")</f>
        <v/>
      </c>
      <c r="E2045" s="163" t="str">
        <f>IF(AND('Resource Planner'!$A$50="☑",41&lt;='Resource Planner'!$N$50),'Resource Planner'!$E$50,"")</f>
        <v/>
      </c>
      <c r="F2045" s="163" t="str">
        <f>IF(AND('Resource Planner'!$A$50="☑",41&lt;='Resource Planner'!$N$50),'Resource Planner'!$F$50&amp;" "&amp;('Resource Planner'!$G$50+(41-1)*'Resource Planner'!$I$50)&amp;IF(('Resource Planner'!$G$50+(41-1)*'Resource Planner'!$I$50)=MIN('Resource Planner'!$G$50+41*'Resource Planner'!$I$50-1,'Resource Planner'!$H$50),"","–"&amp;MIN('Resource Planner'!$G$50+41*'Resource Planner'!$I$50-1,'Resource Planner'!$H$50)),"")</f>
        <v/>
      </c>
      <c r="G2045" s="163" t="s">
        <v>109</v>
      </c>
      <c r="H2045" s="163" t="str">
        <f>IF(AND('Resource Planner'!$A$50="☑",41&lt;='Resource Planner'!$N$50),'Resource Planner'!$M$50,"")</f>
        <v/>
      </c>
    </row>
    <row r="2046" ht="15.75" customHeight="1">
      <c r="A20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6" s="163" t="str">
        <f>IF(AND('Resource Planner'!$A$50="☑",42&lt;='Resource Planner'!$N$50),'Resource Planner'!$C$50,"")</f>
        <v/>
      </c>
      <c r="C2046" s="163" t="str">
        <f>IF(AND('Resource Planner'!$A$50="☑",42&lt;='Resource Planner'!$N$50),'Resource Planner'!$B$50,"")</f>
        <v/>
      </c>
      <c r="D2046" s="163" t="str">
        <f>IF(AND('Resource Planner'!$A$50="☑",42&lt;='Resource Planner'!$N$50),'Resource Planner'!$D$50,"")</f>
        <v/>
      </c>
      <c r="E2046" s="163" t="str">
        <f>IF(AND('Resource Planner'!$A$50="☑",42&lt;='Resource Planner'!$N$50),'Resource Planner'!$E$50,"")</f>
        <v/>
      </c>
      <c r="F2046" s="163" t="str">
        <f>IF(AND('Resource Planner'!$A$50="☑",42&lt;='Resource Planner'!$N$50),'Resource Planner'!$F$50&amp;" "&amp;('Resource Planner'!$G$50+(42-1)*'Resource Planner'!$I$50)&amp;IF(('Resource Planner'!$G$50+(42-1)*'Resource Planner'!$I$50)=MIN('Resource Planner'!$G$50+42*'Resource Planner'!$I$50-1,'Resource Planner'!$H$50),"","–"&amp;MIN('Resource Planner'!$G$50+42*'Resource Planner'!$I$50-1,'Resource Planner'!$H$50)),"")</f>
        <v/>
      </c>
      <c r="G2046" s="163" t="s">
        <v>109</v>
      </c>
      <c r="H2046" s="163" t="str">
        <f>IF(AND('Resource Planner'!$A$50="☑",42&lt;='Resource Planner'!$N$50),'Resource Planner'!$M$50,"")</f>
        <v/>
      </c>
    </row>
    <row r="2047" ht="15.75" customHeight="1">
      <c r="A20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7" s="163" t="str">
        <f>IF(AND('Resource Planner'!$A$50="☑",43&lt;='Resource Planner'!$N$50),'Resource Planner'!$C$50,"")</f>
        <v/>
      </c>
      <c r="C2047" s="163" t="str">
        <f>IF(AND('Resource Planner'!$A$50="☑",43&lt;='Resource Planner'!$N$50),'Resource Planner'!$B$50,"")</f>
        <v/>
      </c>
      <c r="D2047" s="163" t="str">
        <f>IF(AND('Resource Planner'!$A$50="☑",43&lt;='Resource Planner'!$N$50),'Resource Planner'!$D$50,"")</f>
        <v/>
      </c>
      <c r="E2047" s="163" t="str">
        <f>IF(AND('Resource Planner'!$A$50="☑",43&lt;='Resource Planner'!$N$50),'Resource Planner'!$E$50,"")</f>
        <v/>
      </c>
      <c r="F2047" s="163" t="str">
        <f>IF(AND('Resource Planner'!$A$50="☑",43&lt;='Resource Planner'!$N$50),'Resource Planner'!$F$50&amp;" "&amp;('Resource Planner'!$G$50+(43-1)*'Resource Planner'!$I$50)&amp;IF(('Resource Planner'!$G$50+(43-1)*'Resource Planner'!$I$50)=MIN('Resource Planner'!$G$50+43*'Resource Planner'!$I$50-1,'Resource Planner'!$H$50),"","–"&amp;MIN('Resource Planner'!$G$50+43*'Resource Planner'!$I$50-1,'Resource Planner'!$H$50)),"")</f>
        <v/>
      </c>
      <c r="G2047" s="163" t="s">
        <v>109</v>
      </c>
      <c r="H2047" s="163" t="str">
        <f>IF(AND('Resource Planner'!$A$50="☑",43&lt;='Resource Planner'!$N$50),'Resource Planner'!$M$50,"")</f>
        <v/>
      </c>
    </row>
    <row r="2048" ht="15.75" customHeight="1">
      <c r="A20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8" s="163" t="str">
        <f>IF(AND('Resource Planner'!$A$50="☑",44&lt;='Resource Planner'!$N$50),'Resource Planner'!$C$50,"")</f>
        <v/>
      </c>
      <c r="C2048" s="163" t="str">
        <f>IF(AND('Resource Planner'!$A$50="☑",44&lt;='Resource Planner'!$N$50),'Resource Planner'!$B$50,"")</f>
        <v/>
      </c>
      <c r="D2048" s="163" t="str">
        <f>IF(AND('Resource Planner'!$A$50="☑",44&lt;='Resource Planner'!$N$50),'Resource Planner'!$D$50,"")</f>
        <v/>
      </c>
      <c r="E2048" s="163" t="str">
        <f>IF(AND('Resource Planner'!$A$50="☑",44&lt;='Resource Planner'!$N$50),'Resource Planner'!$E$50,"")</f>
        <v/>
      </c>
      <c r="F2048" s="163" t="str">
        <f>IF(AND('Resource Planner'!$A$50="☑",44&lt;='Resource Planner'!$N$50),'Resource Planner'!$F$50&amp;" "&amp;('Resource Planner'!$G$50+(44-1)*'Resource Planner'!$I$50)&amp;IF(('Resource Planner'!$G$50+(44-1)*'Resource Planner'!$I$50)=MIN('Resource Planner'!$G$50+44*'Resource Planner'!$I$50-1,'Resource Planner'!$H$50),"","–"&amp;MIN('Resource Planner'!$G$50+44*'Resource Planner'!$I$50-1,'Resource Planner'!$H$50)),"")</f>
        <v/>
      </c>
      <c r="G2048" s="163" t="s">
        <v>109</v>
      </c>
      <c r="H2048" s="163" t="str">
        <f>IF(AND('Resource Planner'!$A$50="☑",44&lt;='Resource Planner'!$N$50),'Resource Planner'!$M$50,"")</f>
        <v/>
      </c>
    </row>
    <row r="2049" ht="15.75" customHeight="1">
      <c r="A20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49" s="163" t="str">
        <f>IF(AND('Resource Planner'!$A$50="☑",45&lt;='Resource Planner'!$N$50),'Resource Planner'!$C$50,"")</f>
        <v/>
      </c>
      <c r="C2049" s="163" t="str">
        <f>IF(AND('Resource Planner'!$A$50="☑",45&lt;='Resource Planner'!$N$50),'Resource Planner'!$B$50,"")</f>
        <v/>
      </c>
      <c r="D2049" s="163" t="str">
        <f>IF(AND('Resource Planner'!$A$50="☑",45&lt;='Resource Planner'!$N$50),'Resource Planner'!$D$50,"")</f>
        <v/>
      </c>
      <c r="E2049" s="163" t="str">
        <f>IF(AND('Resource Planner'!$A$50="☑",45&lt;='Resource Planner'!$N$50),'Resource Planner'!$E$50,"")</f>
        <v/>
      </c>
      <c r="F2049" s="163" t="str">
        <f>IF(AND('Resource Planner'!$A$50="☑",45&lt;='Resource Planner'!$N$50),'Resource Planner'!$F$50&amp;" "&amp;('Resource Planner'!$G$50+(45-1)*'Resource Planner'!$I$50)&amp;IF(('Resource Planner'!$G$50+(45-1)*'Resource Planner'!$I$50)=MIN('Resource Planner'!$G$50+45*'Resource Planner'!$I$50-1,'Resource Planner'!$H$50),"","–"&amp;MIN('Resource Planner'!$G$50+45*'Resource Planner'!$I$50-1,'Resource Planner'!$H$50)),"")</f>
        <v/>
      </c>
      <c r="G2049" s="163" t="s">
        <v>109</v>
      </c>
      <c r="H2049" s="163" t="str">
        <f>IF(AND('Resource Planner'!$A$50="☑",45&lt;='Resource Planner'!$N$50),'Resource Planner'!$M$50,"")</f>
        <v/>
      </c>
    </row>
    <row r="2050" ht="15.75" customHeight="1">
      <c r="A20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0" s="163" t="str">
        <f>IF(AND('Resource Planner'!$A$50="☑",46&lt;='Resource Planner'!$N$50),'Resource Planner'!$C$50,"")</f>
        <v/>
      </c>
      <c r="C2050" s="163" t="str">
        <f>IF(AND('Resource Planner'!$A$50="☑",46&lt;='Resource Planner'!$N$50),'Resource Planner'!$B$50,"")</f>
        <v/>
      </c>
      <c r="D2050" s="163" t="str">
        <f>IF(AND('Resource Planner'!$A$50="☑",46&lt;='Resource Planner'!$N$50),'Resource Planner'!$D$50,"")</f>
        <v/>
      </c>
      <c r="E2050" s="163" t="str">
        <f>IF(AND('Resource Planner'!$A$50="☑",46&lt;='Resource Planner'!$N$50),'Resource Planner'!$E$50,"")</f>
        <v/>
      </c>
      <c r="F2050" s="163" t="str">
        <f>IF(AND('Resource Planner'!$A$50="☑",46&lt;='Resource Planner'!$N$50),'Resource Planner'!$F$50&amp;" "&amp;('Resource Planner'!$G$50+(46-1)*'Resource Planner'!$I$50)&amp;IF(('Resource Planner'!$G$50+(46-1)*'Resource Planner'!$I$50)=MIN('Resource Planner'!$G$50+46*'Resource Planner'!$I$50-1,'Resource Planner'!$H$50),"","–"&amp;MIN('Resource Planner'!$G$50+46*'Resource Planner'!$I$50-1,'Resource Planner'!$H$50)),"")</f>
        <v/>
      </c>
      <c r="G2050" s="163" t="s">
        <v>109</v>
      </c>
      <c r="H2050" s="163" t="str">
        <f>IF(AND('Resource Planner'!$A$50="☑",46&lt;='Resource Planner'!$N$50),'Resource Planner'!$M$50,"")</f>
        <v/>
      </c>
    </row>
    <row r="2051" ht="15.75" customHeight="1">
      <c r="A20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1" s="163" t="str">
        <f>IF(AND('Resource Planner'!$A$50="☑",47&lt;='Resource Planner'!$N$50),'Resource Planner'!$C$50,"")</f>
        <v/>
      </c>
      <c r="C2051" s="163" t="str">
        <f>IF(AND('Resource Planner'!$A$50="☑",47&lt;='Resource Planner'!$N$50),'Resource Planner'!$B$50,"")</f>
        <v/>
      </c>
      <c r="D2051" s="163" t="str">
        <f>IF(AND('Resource Planner'!$A$50="☑",47&lt;='Resource Planner'!$N$50),'Resource Planner'!$D$50,"")</f>
        <v/>
      </c>
      <c r="E2051" s="163" t="str">
        <f>IF(AND('Resource Planner'!$A$50="☑",47&lt;='Resource Planner'!$N$50),'Resource Planner'!$E$50,"")</f>
        <v/>
      </c>
      <c r="F2051" s="163" t="str">
        <f>IF(AND('Resource Planner'!$A$50="☑",47&lt;='Resource Planner'!$N$50),'Resource Planner'!$F$50&amp;" "&amp;('Resource Planner'!$G$50+(47-1)*'Resource Planner'!$I$50)&amp;IF(('Resource Planner'!$G$50+(47-1)*'Resource Planner'!$I$50)=MIN('Resource Planner'!$G$50+47*'Resource Planner'!$I$50-1,'Resource Planner'!$H$50),"","–"&amp;MIN('Resource Planner'!$G$50+47*'Resource Planner'!$I$50-1,'Resource Planner'!$H$50)),"")</f>
        <v/>
      </c>
      <c r="G2051" s="163" t="s">
        <v>109</v>
      </c>
      <c r="H2051" s="163" t="str">
        <f>IF(AND('Resource Planner'!$A$50="☑",47&lt;='Resource Planner'!$N$50),'Resource Planner'!$M$50,"")</f>
        <v/>
      </c>
    </row>
    <row r="2052" ht="15.75" customHeight="1">
      <c r="A20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2" s="163" t="str">
        <f>IF(AND('Resource Planner'!$A$50="☑",48&lt;='Resource Planner'!$N$50),'Resource Planner'!$C$50,"")</f>
        <v/>
      </c>
      <c r="C2052" s="163" t="str">
        <f>IF(AND('Resource Planner'!$A$50="☑",48&lt;='Resource Planner'!$N$50),'Resource Planner'!$B$50,"")</f>
        <v/>
      </c>
      <c r="D2052" s="163" t="str">
        <f>IF(AND('Resource Planner'!$A$50="☑",48&lt;='Resource Planner'!$N$50),'Resource Planner'!$D$50,"")</f>
        <v/>
      </c>
      <c r="E2052" s="163" t="str">
        <f>IF(AND('Resource Planner'!$A$50="☑",48&lt;='Resource Planner'!$N$50),'Resource Planner'!$E$50,"")</f>
        <v/>
      </c>
      <c r="F2052" s="163" t="str">
        <f>IF(AND('Resource Planner'!$A$50="☑",48&lt;='Resource Planner'!$N$50),'Resource Planner'!$F$50&amp;" "&amp;('Resource Planner'!$G$50+(48-1)*'Resource Planner'!$I$50)&amp;IF(('Resource Planner'!$G$50+(48-1)*'Resource Planner'!$I$50)=MIN('Resource Planner'!$G$50+48*'Resource Planner'!$I$50-1,'Resource Planner'!$H$50),"","–"&amp;MIN('Resource Planner'!$G$50+48*'Resource Planner'!$I$50-1,'Resource Planner'!$H$50)),"")</f>
        <v/>
      </c>
      <c r="G2052" s="163" t="s">
        <v>109</v>
      </c>
      <c r="H2052" s="163" t="str">
        <f>IF(AND('Resource Planner'!$A$50="☑",48&lt;='Resource Planner'!$N$50),'Resource Planner'!$M$50,"")</f>
        <v/>
      </c>
    </row>
    <row r="2053" ht="15.75" customHeight="1">
      <c r="A20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3" s="163" t="str">
        <f>IF(AND('Resource Planner'!$A$50="☑",49&lt;='Resource Planner'!$N$50),'Resource Planner'!$C$50,"")</f>
        <v/>
      </c>
      <c r="C2053" s="163" t="str">
        <f>IF(AND('Resource Planner'!$A$50="☑",49&lt;='Resource Planner'!$N$50),'Resource Planner'!$B$50,"")</f>
        <v/>
      </c>
      <c r="D2053" s="163" t="str">
        <f>IF(AND('Resource Planner'!$A$50="☑",49&lt;='Resource Planner'!$N$50),'Resource Planner'!$D$50,"")</f>
        <v/>
      </c>
      <c r="E2053" s="163" t="str">
        <f>IF(AND('Resource Planner'!$A$50="☑",49&lt;='Resource Planner'!$N$50),'Resource Planner'!$E$50,"")</f>
        <v/>
      </c>
      <c r="F2053" s="163" t="str">
        <f>IF(AND('Resource Planner'!$A$50="☑",49&lt;='Resource Planner'!$N$50),'Resource Planner'!$F$50&amp;" "&amp;('Resource Planner'!$G$50+(49-1)*'Resource Planner'!$I$50)&amp;IF(('Resource Planner'!$G$50+(49-1)*'Resource Planner'!$I$50)=MIN('Resource Planner'!$G$50+49*'Resource Planner'!$I$50-1,'Resource Planner'!$H$50),"","–"&amp;MIN('Resource Planner'!$G$50+49*'Resource Planner'!$I$50-1,'Resource Planner'!$H$50)),"")</f>
        <v/>
      </c>
      <c r="G2053" s="163" t="s">
        <v>109</v>
      </c>
      <c r="H2053" s="163" t="str">
        <f>IF(AND('Resource Planner'!$A$50="☑",49&lt;='Resource Planner'!$N$50),'Resource Planner'!$M$50,"")</f>
        <v/>
      </c>
    </row>
    <row r="2054" ht="15.75" customHeight="1">
      <c r="A20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4" s="163" t="str">
        <f>IF(AND('Resource Planner'!$A$50="☑",50&lt;='Resource Planner'!$N$50),'Resource Planner'!$C$50,"")</f>
        <v/>
      </c>
      <c r="C2054" s="163" t="str">
        <f>IF(AND('Resource Planner'!$A$50="☑",50&lt;='Resource Planner'!$N$50),'Resource Planner'!$B$50,"")</f>
        <v/>
      </c>
      <c r="D2054" s="163" t="str">
        <f>IF(AND('Resource Planner'!$A$50="☑",50&lt;='Resource Planner'!$N$50),'Resource Planner'!$D$50,"")</f>
        <v/>
      </c>
      <c r="E2054" s="163" t="str">
        <f>IF(AND('Resource Planner'!$A$50="☑",50&lt;='Resource Planner'!$N$50),'Resource Planner'!$E$50,"")</f>
        <v/>
      </c>
      <c r="F2054" s="163" t="str">
        <f>IF(AND('Resource Planner'!$A$50="☑",50&lt;='Resource Planner'!$N$50),'Resource Planner'!$F$50&amp;" "&amp;('Resource Planner'!$G$50+(50-1)*'Resource Planner'!$I$50)&amp;IF(('Resource Planner'!$G$50+(50-1)*'Resource Planner'!$I$50)=MIN('Resource Planner'!$G$50+50*'Resource Planner'!$I$50-1,'Resource Planner'!$H$50),"","–"&amp;MIN('Resource Planner'!$G$50+50*'Resource Planner'!$I$50-1,'Resource Planner'!$H$50)),"")</f>
        <v/>
      </c>
      <c r="G2054" s="163" t="s">
        <v>109</v>
      </c>
      <c r="H2054" s="163" t="str">
        <f>IF(AND('Resource Planner'!$A$50="☑",50&lt;='Resource Planner'!$N$50),'Resource Planner'!$M$50,"")</f>
        <v/>
      </c>
    </row>
    <row r="2055" ht="15.75" customHeight="1">
      <c r="A20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5" s="163" t="str">
        <f>IF(AND('Resource Planner'!$A$51="☑",1&lt;='Resource Planner'!$N$51),'Resource Planner'!$C$51,"")</f>
        <v/>
      </c>
      <c r="C2055" s="163" t="str">
        <f>IF(AND('Resource Planner'!$A$51="☑",1&lt;='Resource Planner'!$N$51),'Resource Planner'!$B$51,"")</f>
        <v/>
      </c>
      <c r="D2055" s="163" t="str">
        <f>IF(AND('Resource Planner'!$A$51="☑",1&lt;='Resource Planner'!$N$51),'Resource Planner'!$D$51,"")</f>
        <v/>
      </c>
      <c r="E2055" s="163" t="str">
        <f>IF(AND('Resource Planner'!$A$51="☑",1&lt;='Resource Planner'!$N$51),'Resource Planner'!$E$51,"")</f>
        <v/>
      </c>
      <c r="F2055" s="163" t="str">
        <f>IF(AND('Resource Planner'!$A$51="☑",1&lt;='Resource Planner'!$N$51),'Resource Planner'!$F$51&amp;" "&amp;('Resource Planner'!$G$51+(1-1)*'Resource Planner'!$I$51)&amp;IF(('Resource Planner'!$G$51+(1-1)*'Resource Planner'!$I$51)=MIN('Resource Planner'!$G$51+1*'Resource Planner'!$I$51-1,'Resource Planner'!$H$51),"","–"&amp;MIN('Resource Planner'!$G$51+1*'Resource Planner'!$I$51-1,'Resource Planner'!$H$51)),"")</f>
        <v/>
      </c>
      <c r="G2055" s="163" t="s">
        <v>109</v>
      </c>
      <c r="H2055" s="163" t="str">
        <f>IF(AND('Resource Planner'!$A$51="☑",1&lt;='Resource Planner'!$N$51),'Resource Planner'!$M$51,"")</f>
        <v/>
      </c>
    </row>
    <row r="2056" ht="15.75" customHeight="1">
      <c r="A20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6" s="163" t="str">
        <f>IF(AND('Resource Planner'!$A$51="☑",2&lt;='Resource Planner'!$N$51),'Resource Planner'!$C$51,"")</f>
        <v/>
      </c>
      <c r="C2056" s="163" t="str">
        <f>IF(AND('Resource Planner'!$A$51="☑",2&lt;='Resource Planner'!$N$51),'Resource Planner'!$B$51,"")</f>
        <v/>
      </c>
      <c r="D2056" s="163" t="str">
        <f>IF(AND('Resource Planner'!$A$51="☑",2&lt;='Resource Planner'!$N$51),'Resource Planner'!$D$51,"")</f>
        <v/>
      </c>
      <c r="E2056" s="163" t="str">
        <f>IF(AND('Resource Planner'!$A$51="☑",2&lt;='Resource Planner'!$N$51),'Resource Planner'!$E$51,"")</f>
        <v/>
      </c>
      <c r="F2056" s="163" t="str">
        <f>IF(AND('Resource Planner'!$A$51="☑",2&lt;='Resource Planner'!$N$51),'Resource Planner'!$F$51&amp;" "&amp;('Resource Planner'!$G$51+(2-1)*'Resource Planner'!$I$51)&amp;IF(('Resource Planner'!$G$51+(2-1)*'Resource Planner'!$I$51)=MIN('Resource Planner'!$G$51+2*'Resource Planner'!$I$51-1,'Resource Planner'!$H$51),"","–"&amp;MIN('Resource Planner'!$G$51+2*'Resource Planner'!$I$51-1,'Resource Planner'!$H$51)),"")</f>
        <v/>
      </c>
      <c r="G2056" s="163" t="s">
        <v>109</v>
      </c>
      <c r="H2056" s="163" t="str">
        <f>IF(AND('Resource Planner'!$A$51="☑",2&lt;='Resource Planner'!$N$51),'Resource Planner'!$M$51,"")</f>
        <v/>
      </c>
    </row>
    <row r="2057" ht="15.75" customHeight="1">
      <c r="A20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7" s="163" t="str">
        <f>IF(AND('Resource Planner'!$A$51="☑",3&lt;='Resource Planner'!$N$51),'Resource Planner'!$C$51,"")</f>
        <v/>
      </c>
      <c r="C2057" s="163" t="str">
        <f>IF(AND('Resource Planner'!$A$51="☑",3&lt;='Resource Planner'!$N$51),'Resource Planner'!$B$51,"")</f>
        <v/>
      </c>
      <c r="D2057" s="163" t="str">
        <f>IF(AND('Resource Planner'!$A$51="☑",3&lt;='Resource Planner'!$N$51),'Resource Planner'!$D$51,"")</f>
        <v/>
      </c>
      <c r="E2057" s="163" t="str">
        <f>IF(AND('Resource Planner'!$A$51="☑",3&lt;='Resource Planner'!$N$51),'Resource Planner'!$E$51,"")</f>
        <v/>
      </c>
      <c r="F2057" s="163" t="str">
        <f>IF(AND('Resource Planner'!$A$51="☑",3&lt;='Resource Planner'!$N$51),'Resource Planner'!$F$51&amp;" "&amp;('Resource Planner'!$G$51+(3-1)*'Resource Planner'!$I$51)&amp;IF(('Resource Planner'!$G$51+(3-1)*'Resource Planner'!$I$51)=MIN('Resource Planner'!$G$51+3*'Resource Planner'!$I$51-1,'Resource Planner'!$H$51),"","–"&amp;MIN('Resource Planner'!$G$51+3*'Resource Planner'!$I$51-1,'Resource Planner'!$H$51)),"")</f>
        <v/>
      </c>
      <c r="G2057" s="163" t="s">
        <v>109</v>
      </c>
      <c r="H2057" s="163" t="str">
        <f>IF(AND('Resource Planner'!$A$51="☑",3&lt;='Resource Planner'!$N$51),'Resource Planner'!$M$51,"")</f>
        <v/>
      </c>
    </row>
    <row r="2058" ht="15.75" customHeight="1">
      <c r="A20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8" s="163" t="str">
        <f>IF(AND('Resource Planner'!$A$51="☑",4&lt;='Resource Planner'!$N$51),'Resource Planner'!$C$51,"")</f>
        <v/>
      </c>
      <c r="C2058" s="163" t="str">
        <f>IF(AND('Resource Planner'!$A$51="☑",4&lt;='Resource Planner'!$N$51),'Resource Planner'!$B$51,"")</f>
        <v/>
      </c>
      <c r="D2058" s="163" t="str">
        <f>IF(AND('Resource Planner'!$A$51="☑",4&lt;='Resource Planner'!$N$51),'Resource Planner'!$D$51,"")</f>
        <v/>
      </c>
      <c r="E2058" s="163" t="str">
        <f>IF(AND('Resource Planner'!$A$51="☑",4&lt;='Resource Planner'!$N$51),'Resource Planner'!$E$51,"")</f>
        <v/>
      </c>
      <c r="F2058" s="163" t="str">
        <f>IF(AND('Resource Planner'!$A$51="☑",4&lt;='Resource Planner'!$N$51),'Resource Planner'!$F$51&amp;" "&amp;('Resource Planner'!$G$51+(4-1)*'Resource Planner'!$I$51)&amp;IF(('Resource Planner'!$G$51+(4-1)*'Resource Planner'!$I$51)=MIN('Resource Planner'!$G$51+4*'Resource Planner'!$I$51-1,'Resource Planner'!$H$51),"","–"&amp;MIN('Resource Planner'!$G$51+4*'Resource Planner'!$I$51-1,'Resource Planner'!$H$51)),"")</f>
        <v/>
      </c>
      <c r="G2058" s="163" t="s">
        <v>109</v>
      </c>
      <c r="H2058" s="163" t="str">
        <f>IF(AND('Resource Planner'!$A$51="☑",4&lt;='Resource Planner'!$N$51),'Resource Planner'!$M$51,"")</f>
        <v/>
      </c>
    </row>
    <row r="2059" ht="15.75" customHeight="1">
      <c r="A20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59" s="163" t="str">
        <f>IF(AND('Resource Planner'!$A$51="☑",5&lt;='Resource Planner'!$N$51),'Resource Planner'!$C$51,"")</f>
        <v/>
      </c>
      <c r="C2059" s="163" t="str">
        <f>IF(AND('Resource Planner'!$A$51="☑",5&lt;='Resource Planner'!$N$51),'Resource Planner'!$B$51,"")</f>
        <v/>
      </c>
      <c r="D2059" s="163" t="str">
        <f>IF(AND('Resource Planner'!$A$51="☑",5&lt;='Resource Planner'!$N$51),'Resource Planner'!$D$51,"")</f>
        <v/>
      </c>
      <c r="E2059" s="163" t="str">
        <f>IF(AND('Resource Planner'!$A$51="☑",5&lt;='Resource Planner'!$N$51),'Resource Planner'!$E$51,"")</f>
        <v/>
      </c>
      <c r="F2059" s="163" t="str">
        <f>IF(AND('Resource Planner'!$A$51="☑",5&lt;='Resource Planner'!$N$51),'Resource Planner'!$F$51&amp;" "&amp;('Resource Planner'!$G$51+(5-1)*'Resource Planner'!$I$51)&amp;IF(('Resource Planner'!$G$51+(5-1)*'Resource Planner'!$I$51)=MIN('Resource Planner'!$G$51+5*'Resource Planner'!$I$51-1,'Resource Planner'!$H$51),"","–"&amp;MIN('Resource Planner'!$G$51+5*'Resource Planner'!$I$51-1,'Resource Planner'!$H$51)),"")</f>
        <v/>
      </c>
      <c r="G2059" s="163" t="s">
        <v>109</v>
      </c>
      <c r="H2059" s="163" t="str">
        <f>IF(AND('Resource Planner'!$A$51="☑",5&lt;='Resource Planner'!$N$51),'Resource Planner'!$M$51,"")</f>
        <v/>
      </c>
    </row>
    <row r="2060" ht="15.75" customHeight="1">
      <c r="A20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0" s="163" t="str">
        <f>IF(AND('Resource Planner'!$A$51="☑",6&lt;='Resource Planner'!$N$51),'Resource Planner'!$C$51,"")</f>
        <v/>
      </c>
      <c r="C2060" s="163" t="str">
        <f>IF(AND('Resource Planner'!$A$51="☑",6&lt;='Resource Planner'!$N$51),'Resource Planner'!$B$51,"")</f>
        <v/>
      </c>
      <c r="D2060" s="163" t="str">
        <f>IF(AND('Resource Planner'!$A$51="☑",6&lt;='Resource Planner'!$N$51),'Resource Planner'!$D$51,"")</f>
        <v/>
      </c>
      <c r="E2060" s="163" t="str">
        <f>IF(AND('Resource Planner'!$A$51="☑",6&lt;='Resource Planner'!$N$51),'Resource Planner'!$E$51,"")</f>
        <v/>
      </c>
      <c r="F2060" s="163" t="str">
        <f>IF(AND('Resource Planner'!$A$51="☑",6&lt;='Resource Planner'!$N$51),'Resource Planner'!$F$51&amp;" "&amp;('Resource Planner'!$G$51+(6-1)*'Resource Planner'!$I$51)&amp;IF(('Resource Planner'!$G$51+(6-1)*'Resource Planner'!$I$51)=MIN('Resource Planner'!$G$51+6*'Resource Planner'!$I$51-1,'Resource Planner'!$H$51),"","–"&amp;MIN('Resource Planner'!$G$51+6*'Resource Planner'!$I$51-1,'Resource Planner'!$H$51)),"")</f>
        <v/>
      </c>
      <c r="G2060" s="163" t="s">
        <v>109</v>
      </c>
      <c r="H2060" s="163" t="str">
        <f>IF(AND('Resource Planner'!$A$51="☑",6&lt;='Resource Planner'!$N$51),'Resource Planner'!$M$51,"")</f>
        <v/>
      </c>
    </row>
    <row r="2061" ht="15.75" customHeight="1">
      <c r="A20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1" s="163" t="str">
        <f>IF(AND('Resource Planner'!$A$51="☑",7&lt;='Resource Planner'!$N$51),'Resource Planner'!$C$51,"")</f>
        <v/>
      </c>
      <c r="C2061" s="163" t="str">
        <f>IF(AND('Resource Planner'!$A$51="☑",7&lt;='Resource Planner'!$N$51),'Resource Planner'!$B$51,"")</f>
        <v/>
      </c>
      <c r="D2061" s="163" t="str">
        <f>IF(AND('Resource Planner'!$A$51="☑",7&lt;='Resource Planner'!$N$51),'Resource Planner'!$D$51,"")</f>
        <v/>
      </c>
      <c r="E2061" s="163" t="str">
        <f>IF(AND('Resource Planner'!$A$51="☑",7&lt;='Resource Planner'!$N$51),'Resource Planner'!$E$51,"")</f>
        <v/>
      </c>
      <c r="F2061" s="163" t="str">
        <f>IF(AND('Resource Planner'!$A$51="☑",7&lt;='Resource Planner'!$N$51),'Resource Planner'!$F$51&amp;" "&amp;('Resource Planner'!$G$51+(7-1)*'Resource Planner'!$I$51)&amp;IF(('Resource Planner'!$G$51+(7-1)*'Resource Planner'!$I$51)=MIN('Resource Planner'!$G$51+7*'Resource Planner'!$I$51-1,'Resource Planner'!$H$51),"","–"&amp;MIN('Resource Planner'!$G$51+7*'Resource Planner'!$I$51-1,'Resource Planner'!$H$51)),"")</f>
        <v/>
      </c>
      <c r="G2061" s="163" t="s">
        <v>109</v>
      </c>
      <c r="H2061" s="163" t="str">
        <f>IF(AND('Resource Planner'!$A$51="☑",7&lt;='Resource Planner'!$N$51),'Resource Planner'!$M$51,"")</f>
        <v/>
      </c>
    </row>
    <row r="2062" ht="15.75" customHeight="1">
      <c r="A20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2" s="163" t="str">
        <f>IF(AND('Resource Planner'!$A$51="☑",8&lt;='Resource Planner'!$N$51),'Resource Planner'!$C$51,"")</f>
        <v/>
      </c>
      <c r="C2062" s="163" t="str">
        <f>IF(AND('Resource Planner'!$A$51="☑",8&lt;='Resource Planner'!$N$51),'Resource Planner'!$B$51,"")</f>
        <v/>
      </c>
      <c r="D2062" s="163" t="str">
        <f>IF(AND('Resource Planner'!$A$51="☑",8&lt;='Resource Planner'!$N$51),'Resource Planner'!$D$51,"")</f>
        <v/>
      </c>
      <c r="E2062" s="163" t="str">
        <f>IF(AND('Resource Planner'!$A$51="☑",8&lt;='Resource Planner'!$N$51),'Resource Planner'!$E$51,"")</f>
        <v/>
      </c>
      <c r="F2062" s="163" t="str">
        <f>IF(AND('Resource Planner'!$A$51="☑",8&lt;='Resource Planner'!$N$51),'Resource Planner'!$F$51&amp;" "&amp;('Resource Planner'!$G$51+(8-1)*'Resource Planner'!$I$51)&amp;IF(('Resource Planner'!$G$51+(8-1)*'Resource Planner'!$I$51)=MIN('Resource Planner'!$G$51+8*'Resource Planner'!$I$51-1,'Resource Planner'!$H$51),"","–"&amp;MIN('Resource Planner'!$G$51+8*'Resource Planner'!$I$51-1,'Resource Planner'!$H$51)),"")</f>
        <v/>
      </c>
      <c r="G2062" s="163" t="s">
        <v>109</v>
      </c>
      <c r="H2062" s="163" t="str">
        <f>IF(AND('Resource Planner'!$A$51="☑",8&lt;='Resource Planner'!$N$51),'Resource Planner'!$M$51,"")</f>
        <v/>
      </c>
    </row>
    <row r="2063" ht="15.75" customHeight="1">
      <c r="A20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3" s="163" t="str">
        <f>IF(AND('Resource Planner'!$A$51="☑",9&lt;='Resource Planner'!$N$51),'Resource Planner'!$C$51,"")</f>
        <v/>
      </c>
      <c r="C2063" s="163" t="str">
        <f>IF(AND('Resource Planner'!$A$51="☑",9&lt;='Resource Planner'!$N$51),'Resource Planner'!$B$51,"")</f>
        <v/>
      </c>
      <c r="D2063" s="163" t="str">
        <f>IF(AND('Resource Planner'!$A$51="☑",9&lt;='Resource Planner'!$N$51),'Resource Planner'!$D$51,"")</f>
        <v/>
      </c>
      <c r="E2063" s="163" t="str">
        <f>IF(AND('Resource Planner'!$A$51="☑",9&lt;='Resource Planner'!$N$51),'Resource Planner'!$E$51,"")</f>
        <v/>
      </c>
      <c r="F2063" s="163" t="str">
        <f>IF(AND('Resource Planner'!$A$51="☑",9&lt;='Resource Planner'!$N$51),'Resource Planner'!$F$51&amp;" "&amp;('Resource Planner'!$G$51+(9-1)*'Resource Planner'!$I$51)&amp;IF(('Resource Planner'!$G$51+(9-1)*'Resource Planner'!$I$51)=MIN('Resource Planner'!$G$51+9*'Resource Planner'!$I$51-1,'Resource Planner'!$H$51),"","–"&amp;MIN('Resource Planner'!$G$51+9*'Resource Planner'!$I$51-1,'Resource Planner'!$H$51)),"")</f>
        <v/>
      </c>
      <c r="G2063" s="163" t="s">
        <v>109</v>
      </c>
      <c r="H2063" s="163" t="str">
        <f>IF(AND('Resource Planner'!$A$51="☑",9&lt;='Resource Planner'!$N$51),'Resource Planner'!$M$51,"")</f>
        <v/>
      </c>
    </row>
    <row r="2064" ht="15.75" customHeight="1">
      <c r="A20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4" s="163" t="str">
        <f>IF(AND('Resource Planner'!$A$51="☑",10&lt;='Resource Planner'!$N$51),'Resource Planner'!$C$51,"")</f>
        <v/>
      </c>
      <c r="C2064" s="163" t="str">
        <f>IF(AND('Resource Planner'!$A$51="☑",10&lt;='Resource Planner'!$N$51),'Resource Planner'!$B$51,"")</f>
        <v/>
      </c>
      <c r="D2064" s="163" t="str">
        <f>IF(AND('Resource Planner'!$A$51="☑",10&lt;='Resource Planner'!$N$51),'Resource Planner'!$D$51,"")</f>
        <v/>
      </c>
      <c r="E2064" s="163" t="str">
        <f>IF(AND('Resource Planner'!$A$51="☑",10&lt;='Resource Planner'!$N$51),'Resource Planner'!$E$51,"")</f>
        <v/>
      </c>
      <c r="F2064" s="163" t="str">
        <f>IF(AND('Resource Planner'!$A$51="☑",10&lt;='Resource Planner'!$N$51),'Resource Planner'!$F$51&amp;" "&amp;('Resource Planner'!$G$51+(10-1)*'Resource Planner'!$I$51)&amp;IF(('Resource Planner'!$G$51+(10-1)*'Resource Planner'!$I$51)=MIN('Resource Planner'!$G$51+10*'Resource Planner'!$I$51-1,'Resource Planner'!$H$51),"","–"&amp;MIN('Resource Planner'!$G$51+10*'Resource Planner'!$I$51-1,'Resource Planner'!$H$51)),"")</f>
        <v/>
      </c>
      <c r="G2064" s="163" t="s">
        <v>109</v>
      </c>
      <c r="H2064" s="163" t="str">
        <f>IF(AND('Resource Planner'!$A$51="☑",10&lt;='Resource Planner'!$N$51),'Resource Planner'!$M$51,"")</f>
        <v/>
      </c>
    </row>
    <row r="2065" ht="15.75" customHeight="1">
      <c r="A20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5" s="163" t="str">
        <f>IF(AND('Resource Planner'!$A$51="☑",11&lt;='Resource Planner'!$N$51),'Resource Planner'!$C$51,"")</f>
        <v/>
      </c>
      <c r="C2065" s="163" t="str">
        <f>IF(AND('Resource Planner'!$A$51="☑",11&lt;='Resource Planner'!$N$51),'Resource Planner'!$B$51,"")</f>
        <v/>
      </c>
      <c r="D2065" s="163" t="str">
        <f>IF(AND('Resource Planner'!$A$51="☑",11&lt;='Resource Planner'!$N$51),'Resource Planner'!$D$51,"")</f>
        <v/>
      </c>
      <c r="E2065" s="163" t="str">
        <f>IF(AND('Resource Planner'!$A$51="☑",11&lt;='Resource Planner'!$N$51),'Resource Planner'!$E$51,"")</f>
        <v/>
      </c>
      <c r="F2065" s="163" t="str">
        <f>IF(AND('Resource Planner'!$A$51="☑",11&lt;='Resource Planner'!$N$51),'Resource Planner'!$F$51&amp;" "&amp;('Resource Planner'!$G$51+(11-1)*'Resource Planner'!$I$51)&amp;IF(('Resource Planner'!$G$51+(11-1)*'Resource Planner'!$I$51)=MIN('Resource Planner'!$G$51+11*'Resource Planner'!$I$51-1,'Resource Planner'!$H$51),"","–"&amp;MIN('Resource Planner'!$G$51+11*'Resource Planner'!$I$51-1,'Resource Planner'!$H$51)),"")</f>
        <v/>
      </c>
      <c r="G2065" s="163" t="s">
        <v>109</v>
      </c>
      <c r="H2065" s="163" t="str">
        <f>IF(AND('Resource Planner'!$A$51="☑",11&lt;='Resource Planner'!$N$51),'Resource Planner'!$M$51,"")</f>
        <v/>
      </c>
    </row>
    <row r="2066" ht="15.75" customHeight="1">
      <c r="A20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6" s="163" t="str">
        <f>IF(AND('Resource Planner'!$A$51="☑",12&lt;='Resource Planner'!$N$51),'Resource Planner'!$C$51,"")</f>
        <v/>
      </c>
      <c r="C2066" s="163" t="str">
        <f>IF(AND('Resource Planner'!$A$51="☑",12&lt;='Resource Planner'!$N$51),'Resource Planner'!$B$51,"")</f>
        <v/>
      </c>
      <c r="D2066" s="163" t="str">
        <f>IF(AND('Resource Planner'!$A$51="☑",12&lt;='Resource Planner'!$N$51),'Resource Planner'!$D$51,"")</f>
        <v/>
      </c>
      <c r="E2066" s="163" t="str">
        <f>IF(AND('Resource Planner'!$A$51="☑",12&lt;='Resource Planner'!$N$51),'Resource Planner'!$E$51,"")</f>
        <v/>
      </c>
      <c r="F2066" s="163" t="str">
        <f>IF(AND('Resource Planner'!$A$51="☑",12&lt;='Resource Planner'!$N$51),'Resource Planner'!$F$51&amp;" "&amp;('Resource Planner'!$G$51+(12-1)*'Resource Planner'!$I$51)&amp;IF(('Resource Planner'!$G$51+(12-1)*'Resource Planner'!$I$51)=MIN('Resource Planner'!$G$51+12*'Resource Planner'!$I$51-1,'Resource Planner'!$H$51),"","–"&amp;MIN('Resource Planner'!$G$51+12*'Resource Planner'!$I$51-1,'Resource Planner'!$H$51)),"")</f>
        <v/>
      </c>
      <c r="G2066" s="163" t="s">
        <v>109</v>
      </c>
      <c r="H2066" s="163" t="str">
        <f>IF(AND('Resource Planner'!$A$51="☑",12&lt;='Resource Planner'!$N$51),'Resource Planner'!$M$51,"")</f>
        <v/>
      </c>
    </row>
    <row r="2067" ht="15.75" customHeight="1">
      <c r="A20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7" s="163" t="str">
        <f>IF(AND('Resource Planner'!$A$51="☑",13&lt;='Resource Planner'!$N$51),'Resource Planner'!$C$51,"")</f>
        <v/>
      </c>
      <c r="C2067" s="163" t="str">
        <f>IF(AND('Resource Planner'!$A$51="☑",13&lt;='Resource Planner'!$N$51),'Resource Planner'!$B$51,"")</f>
        <v/>
      </c>
      <c r="D2067" s="163" t="str">
        <f>IF(AND('Resource Planner'!$A$51="☑",13&lt;='Resource Planner'!$N$51),'Resource Planner'!$D$51,"")</f>
        <v/>
      </c>
      <c r="E2067" s="163" t="str">
        <f>IF(AND('Resource Planner'!$A$51="☑",13&lt;='Resource Planner'!$N$51),'Resource Planner'!$E$51,"")</f>
        <v/>
      </c>
      <c r="F2067" s="163" t="str">
        <f>IF(AND('Resource Planner'!$A$51="☑",13&lt;='Resource Planner'!$N$51),'Resource Planner'!$F$51&amp;" "&amp;('Resource Planner'!$G$51+(13-1)*'Resource Planner'!$I$51)&amp;IF(('Resource Planner'!$G$51+(13-1)*'Resource Planner'!$I$51)=MIN('Resource Planner'!$G$51+13*'Resource Planner'!$I$51-1,'Resource Planner'!$H$51),"","–"&amp;MIN('Resource Planner'!$G$51+13*'Resource Planner'!$I$51-1,'Resource Planner'!$H$51)),"")</f>
        <v/>
      </c>
      <c r="G2067" s="163" t="s">
        <v>109</v>
      </c>
      <c r="H2067" s="163" t="str">
        <f>IF(AND('Resource Planner'!$A$51="☑",13&lt;='Resource Planner'!$N$51),'Resource Planner'!$M$51,"")</f>
        <v/>
      </c>
    </row>
    <row r="2068" ht="15.75" customHeight="1">
      <c r="A20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8" s="163" t="str">
        <f>IF(AND('Resource Planner'!$A$51="☑",14&lt;='Resource Planner'!$N$51),'Resource Planner'!$C$51,"")</f>
        <v/>
      </c>
      <c r="C2068" s="163" t="str">
        <f>IF(AND('Resource Planner'!$A$51="☑",14&lt;='Resource Planner'!$N$51),'Resource Planner'!$B$51,"")</f>
        <v/>
      </c>
      <c r="D2068" s="163" t="str">
        <f>IF(AND('Resource Planner'!$A$51="☑",14&lt;='Resource Planner'!$N$51),'Resource Planner'!$D$51,"")</f>
        <v/>
      </c>
      <c r="E2068" s="163" t="str">
        <f>IF(AND('Resource Planner'!$A$51="☑",14&lt;='Resource Planner'!$N$51),'Resource Planner'!$E$51,"")</f>
        <v/>
      </c>
      <c r="F2068" s="163" t="str">
        <f>IF(AND('Resource Planner'!$A$51="☑",14&lt;='Resource Planner'!$N$51),'Resource Planner'!$F$51&amp;" "&amp;('Resource Planner'!$G$51+(14-1)*'Resource Planner'!$I$51)&amp;IF(('Resource Planner'!$G$51+(14-1)*'Resource Planner'!$I$51)=MIN('Resource Planner'!$G$51+14*'Resource Planner'!$I$51-1,'Resource Planner'!$H$51),"","–"&amp;MIN('Resource Planner'!$G$51+14*'Resource Planner'!$I$51-1,'Resource Planner'!$H$51)),"")</f>
        <v/>
      </c>
      <c r="G2068" s="163" t="s">
        <v>109</v>
      </c>
      <c r="H2068" s="163" t="str">
        <f>IF(AND('Resource Planner'!$A$51="☑",14&lt;='Resource Planner'!$N$51),'Resource Planner'!$M$51,"")</f>
        <v/>
      </c>
    </row>
    <row r="2069" ht="15.75" customHeight="1">
      <c r="A20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69" s="163" t="str">
        <f>IF(AND('Resource Planner'!$A$51="☑",15&lt;='Resource Planner'!$N$51),'Resource Planner'!$C$51,"")</f>
        <v/>
      </c>
      <c r="C2069" s="163" t="str">
        <f>IF(AND('Resource Planner'!$A$51="☑",15&lt;='Resource Planner'!$N$51),'Resource Planner'!$B$51,"")</f>
        <v/>
      </c>
      <c r="D2069" s="163" t="str">
        <f>IF(AND('Resource Planner'!$A$51="☑",15&lt;='Resource Planner'!$N$51),'Resource Planner'!$D$51,"")</f>
        <v/>
      </c>
      <c r="E2069" s="163" t="str">
        <f>IF(AND('Resource Planner'!$A$51="☑",15&lt;='Resource Planner'!$N$51),'Resource Planner'!$E$51,"")</f>
        <v/>
      </c>
      <c r="F2069" s="163" t="str">
        <f>IF(AND('Resource Planner'!$A$51="☑",15&lt;='Resource Planner'!$N$51),'Resource Planner'!$F$51&amp;" "&amp;('Resource Planner'!$G$51+(15-1)*'Resource Planner'!$I$51)&amp;IF(('Resource Planner'!$G$51+(15-1)*'Resource Planner'!$I$51)=MIN('Resource Planner'!$G$51+15*'Resource Planner'!$I$51-1,'Resource Planner'!$H$51),"","–"&amp;MIN('Resource Planner'!$G$51+15*'Resource Planner'!$I$51-1,'Resource Planner'!$H$51)),"")</f>
        <v/>
      </c>
      <c r="G2069" s="163" t="s">
        <v>109</v>
      </c>
      <c r="H2069" s="163" t="str">
        <f>IF(AND('Resource Planner'!$A$51="☑",15&lt;='Resource Planner'!$N$51),'Resource Planner'!$M$51,"")</f>
        <v/>
      </c>
    </row>
    <row r="2070" ht="15.75" customHeight="1">
      <c r="A20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0" s="163" t="str">
        <f>IF(AND('Resource Planner'!$A$51="☑",16&lt;='Resource Planner'!$N$51),'Resource Planner'!$C$51,"")</f>
        <v/>
      </c>
      <c r="C2070" s="163" t="str">
        <f>IF(AND('Resource Planner'!$A$51="☑",16&lt;='Resource Planner'!$N$51),'Resource Planner'!$B$51,"")</f>
        <v/>
      </c>
      <c r="D2070" s="163" t="str">
        <f>IF(AND('Resource Planner'!$A$51="☑",16&lt;='Resource Planner'!$N$51),'Resource Planner'!$D$51,"")</f>
        <v/>
      </c>
      <c r="E2070" s="163" t="str">
        <f>IF(AND('Resource Planner'!$A$51="☑",16&lt;='Resource Planner'!$N$51),'Resource Planner'!$E$51,"")</f>
        <v/>
      </c>
      <c r="F2070" s="163" t="str">
        <f>IF(AND('Resource Planner'!$A$51="☑",16&lt;='Resource Planner'!$N$51),'Resource Planner'!$F$51&amp;" "&amp;('Resource Planner'!$G$51+(16-1)*'Resource Planner'!$I$51)&amp;IF(('Resource Planner'!$G$51+(16-1)*'Resource Planner'!$I$51)=MIN('Resource Planner'!$G$51+16*'Resource Planner'!$I$51-1,'Resource Planner'!$H$51),"","–"&amp;MIN('Resource Planner'!$G$51+16*'Resource Planner'!$I$51-1,'Resource Planner'!$H$51)),"")</f>
        <v/>
      </c>
      <c r="G2070" s="163" t="s">
        <v>109</v>
      </c>
      <c r="H2070" s="163" t="str">
        <f>IF(AND('Resource Planner'!$A$51="☑",16&lt;='Resource Planner'!$N$51),'Resource Planner'!$M$51,"")</f>
        <v/>
      </c>
    </row>
    <row r="2071" ht="15.75" customHeight="1">
      <c r="A20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1" s="163" t="str">
        <f>IF(AND('Resource Planner'!$A$51="☑",17&lt;='Resource Planner'!$N$51),'Resource Planner'!$C$51,"")</f>
        <v/>
      </c>
      <c r="C2071" s="163" t="str">
        <f>IF(AND('Resource Planner'!$A$51="☑",17&lt;='Resource Planner'!$N$51),'Resource Planner'!$B$51,"")</f>
        <v/>
      </c>
      <c r="D2071" s="163" t="str">
        <f>IF(AND('Resource Planner'!$A$51="☑",17&lt;='Resource Planner'!$N$51),'Resource Planner'!$D$51,"")</f>
        <v/>
      </c>
      <c r="E2071" s="163" t="str">
        <f>IF(AND('Resource Planner'!$A$51="☑",17&lt;='Resource Planner'!$N$51),'Resource Planner'!$E$51,"")</f>
        <v/>
      </c>
      <c r="F2071" s="163" t="str">
        <f>IF(AND('Resource Planner'!$A$51="☑",17&lt;='Resource Planner'!$N$51),'Resource Planner'!$F$51&amp;" "&amp;('Resource Planner'!$G$51+(17-1)*'Resource Planner'!$I$51)&amp;IF(('Resource Planner'!$G$51+(17-1)*'Resource Planner'!$I$51)=MIN('Resource Planner'!$G$51+17*'Resource Planner'!$I$51-1,'Resource Planner'!$H$51),"","–"&amp;MIN('Resource Planner'!$G$51+17*'Resource Planner'!$I$51-1,'Resource Planner'!$H$51)),"")</f>
        <v/>
      </c>
      <c r="G2071" s="163" t="s">
        <v>109</v>
      </c>
      <c r="H2071" s="163" t="str">
        <f>IF(AND('Resource Planner'!$A$51="☑",17&lt;='Resource Planner'!$N$51),'Resource Planner'!$M$51,"")</f>
        <v/>
      </c>
    </row>
    <row r="2072" ht="15.75" customHeight="1">
      <c r="A20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2" s="163" t="str">
        <f>IF(AND('Resource Planner'!$A$51="☑",18&lt;='Resource Planner'!$N$51),'Resource Planner'!$C$51,"")</f>
        <v/>
      </c>
      <c r="C2072" s="163" t="str">
        <f>IF(AND('Resource Planner'!$A$51="☑",18&lt;='Resource Planner'!$N$51),'Resource Planner'!$B$51,"")</f>
        <v/>
      </c>
      <c r="D2072" s="163" t="str">
        <f>IF(AND('Resource Planner'!$A$51="☑",18&lt;='Resource Planner'!$N$51),'Resource Planner'!$D$51,"")</f>
        <v/>
      </c>
      <c r="E2072" s="163" t="str">
        <f>IF(AND('Resource Planner'!$A$51="☑",18&lt;='Resource Planner'!$N$51),'Resource Planner'!$E$51,"")</f>
        <v/>
      </c>
      <c r="F2072" s="163" t="str">
        <f>IF(AND('Resource Planner'!$A$51="☑",18&lt;='Resource Planner'!$N$51),'Resource Planner'!$F$51&amp;" "&amp;('Resource Planner'!$G$51+(18-1)*'Resource Planner'!$I$51)&amp;IF(('Resource Planner'!$G$51+(18-1)*'Resource Planner'!$I$51)=MIN('Resource Planner'!$G$51+18*'Resource Planner'!$I$51-1,'Resource Planner'!$H$51),"","–"&amp;MIN('Resource Planner'!$G$51+18*'Resource Planner'!$I$51-1,'Resource Planner'!$H$51)),"")</f>
        <v/>
      </c>
      <c r="G2072" s="163" t="s">
        <v>109</v>
      </c>
      <c r="H2072" s="163" t="str">
        <f>IF(AND('Resource Planner'!$A$51="☑",18&lt;='Resource Planner'!$N$51),'Resource Planner'!$M$51,"")</f>
        <v/>
      </c>
    </row>
    <row r="2073" ht="15.75" customHeight="1">
      <c r="A20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3" s="163" t="str">
        <f>IF(AND('Resource Planner'!$A$51="☑",19&lt;='Resource Planner'!$N$51),'Resource Planner'!$C$51,"")</f>
        <v/>
      </c>
      <c r="C2073" s="163" t="str">
        <f>IF(AND('Resource Planner'!$A$51="☑",19&lt;='Resource Planner'!$N$51),'Resource Planner'!$B$51,"")</f>
        <v/>
      </c>
      <c r="D2073" s="163" t="str">
        <f>IF(AND('Resource Planner'!$A$51="☑",19&lt;='Resource Planner'!$N$51),'Resource Planner'!$D$51,"")</f>
        <v/>
      </c>
      <c r="E2073" s="163" t="str">
        <f>IF(AND('Resource Planner'!$A$51="☑",19&lt;='Resource Planner'!$N$51),'Resource Planner'!$E$51,"")</f>
        <v/>
      </c>
      <c r="F2073" s="163" t="str">
        <f>IF(AND('Resource Planner'!$A$51="☑",19&lt;='Resource Planner'!$N$51),'Resource Planner'!$F$51&amp;" "&amp;('Resource Planner'!$G$51+(19-1)*'Resource Planner'!$I$51)&amp;IF(('Resource Planner'!$G$51+(19-1)*'Resource Planner'!$I$51)=MIN('Resource Planner'!$G$51+19*'Resource Planner'!$I$51-1,'Resource Planner'!$H$51),"","–"&amp;MIN('Resource Planner'!$G$51+19*'Resource Planner'!$I$51-1,'Resource Planner'!$H$51)),"")</f>
        <v/>
      </c>
      <c r="G2073" s="163" t="s">
        <v>109</v>
      </c>
      <c r="H2073" s="163" t="str">
        <f>IF(AND('Resource Planner'!$A$51="☑",19&lt;='Resource Planner'!$N$51),'Resource Planner'!$M$51,"")</f>
        <v/>
      </c>
    </row>
    <row r="2074" ht="15.75" customHeight="1">
      <c r="A20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4" s="163" t="str">
        <f>IF(AND('Resource Planner'!$A$51="☑",20&lt;='Resource Planner'!$N$51),'Resource Planner'!$C$51,"")</f>
        <v/>
      </c>
      <c r="C2074" s="163" t="str">
        <f>IF(AND('Resource Planner'!$A$51="☑",20&lt;='Resource Planner'!$N$51),'Resource Planner'!$B$51,"")</f>
        <v/>
      </c>
      <c r="D2074" s="163" t="str">
        <f>IF(AND('Resource Planner'!$A$51="☑",20&lt;='Resource Planner'!$N$51),'Resource Planner'!$D$51,"")</f>
        <v/>
      </c>
      <c r="E2074" s="163" t="str">
        <f>IF(AND('Resource Planner'!$A$51="☑",20&lt;='Resource Planner'!$N$51),'Resource Planner'!$E$51,"")</f>
        <v/>
      </c>
      <c r="F2074" s="163" t="str">
        <f>IF(AND('Resource Planner'!$A$51="☑",20&lt;='Resource Planner'!$N$51),'Resource Planner'!$F$51&amp;" "&amp;('Resource Planner'!$G$51+(20-1)*'Resource Planner'!$I$51)&amp;IF(('Resource Planner'!$G$51+(20-1)*'Resource Planner'!$I$51)=MIN('Resource Planner'!$G$51+20*'Resource Planner'!$I$51-1,'Resource Planner'!$H$51),"","–"&amp;MIN('Resource Planner'!$G$51+20*'Resource Planner'!$I$51-1,'Resource Planner'!$H$51)),"")</f>
        <v/>
      </c>
      <c r="G2074" s="163" t="s">
        <v>109</v>
      </c>
      <c r="H2074" s="163" t="str">
        <f>IF(AND('Resource Planner'!$A$51="☑",20&lt;='Resource Planner'!$N$51),'Resource Planner'!$M$51,"")</f>
        <v/>
      </c>
    </row>
    <row r="2075" ht="15.75" customHeight="1">
      <c r="A20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5" s="163" t="str">
        <f>IF(AND('Resource Planner'!$A$51="☑",21&lt;='Resource Planner'!$N$51),'Resource Planner'!$C$51,"")</f>
        <v/>
      </c>
      <c r="C2075" s="163" t="str">
        <f>IF(AND('Resource Planner'!$A$51="☑",21&lt;='Resource Planner'!$N$51),'Resource Planner'!$B$51,"")</f>
        <v/>
      </c>
      <c r="D2075" s="163" t="str">
        <f>IF(AND('Resource Planner'!$A$51="☑",21&lt;='Resource Planner'!$N$51),'Resource Planner'!$D$51,"")</f>
        <v/>
      </c>
      <c r="E2075" s="163" t="str">
        <f>IF(AND('Resource Planner'!$A$51="☑",21&lt;='Resource Planner'!$N$51),'Resource Planner'!$E$51,"")</f>
        <v/>
      </c>
      <c r="F2075" s="163" t="str">
        <f>IF(AND('Resource Planner'!$A$51="☑",21&lt;='Resource Planner'!$N$51),'Resource Planner'!$F$51&amp;" "&amp;('Resource Planner'!$G$51+(21-1)*'Resource Planner'!$I$51)&amp;IF(('Resource Planner'!$G$51+(21-1)*'Resource Planner'!$I$51)=MIN('Resource Planner'!$G$51+21*'Resource Planner'!$I$51-1,'Resource Planner'!$H$51),"","–"&amp;MIN('Resource Planner'!$G$51+21*'Resource Planner'!$I$51-1,'Resource Planner'!$H$51)),"")</f>
        <v/>
      </c>
      <c r="G2075" s="163" t="s">
        <v>109</v>
      </c>
      <c r="H2075" s="163" t="str">
        <f>IF(AND('Resource Planner'!$A$51="☑",21&lt;='Resource Planner'!$N$51),'Resource Planner'!$M$51,"")</f>
        <v/>
      </c>
    </row>
    <row r="2076" ht="15.75" customHeight="1">
      <c r="A20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6" s="163" t="str">
        <f>IF(AND('Resource Planner'!$A$51="☑",22&lt;='Resource Planner'!$N$51),'Resource Planner'!$C$51,"")</f>
        <v/>
      </c>
      <c r="C2076" s="163" t="str">
        <f>IF(AND('Resource Planner'!$A$51="☑",22&lt;='Resource Planner'!$N$51),'Resource Planner'!$B$51,"")</f>
        <v/>
      </c>
      <c r="D2076" s="163" t="str">
        <f>IF(AND('Resource Planner'!$A$51="☑",22&lt;='Resource Planner'!$N$51),'Resource Planner'!$D$51,"")</f>
        <v/>
      </c>
      <c r="E2076" s="163" t="str">
        <f>IF(AND('Resource Planner'!$A$51="☑",22&lt;='Resource Planner'!$N$51),'Resource Planner'!$E$51,"")</f>
        <v/>
      </c>
      <c r="F2076" s="163" t="str">
        <f>IF(AND('Resource Planner'!$A$51="☑",22&lt;='Resource Planner'!$N$51),'Resource Planner'!$F$51&amp;" "&amp;('Resource Planner'!$G$51+(22-1)*'Resource Planner'!$I$51)&amp;IF(('Resource Planner'!$G$51+(22-1)*'Resource Planner'!$I$51)=MIN('Resource Planner'!$G$51+22*'Resource Planner'!$I$51-1,'Resource Planner'!$H$51),"","–"&amp;MIN('Resource Planner'!$G$51+22*'Resource Planner'!$I$51-1,'Resource Planner'!$H$51)),"")</f>
        <v/>
      </c>
      <c r="G2076" s="163" t="s">
        <v>109</v>
      </c>
      <c r="H2076" s="163" t="str">
        <f>IF(AND('Resource Planner'!$A$51="☑",22&lt;='Resource Planner'!$N$51),'Resource Planner'!$M$51,"")</f>
        <v/>
      </c>
    </row>
    <row r="2077" ht="15.75" customHeight="1">
      <c r="A20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7" s="163" t="str">
        <f>IF(AND('Resource Planner'!$A$51="☑",23&lt;='Resource Planner'!$N$51),'Resource Planner'!$C$51,"")</f>
        <v/>
      </c>
      <c r="C2077" s="163" t="str">
        <f>IF(AND('Resource Planner'!$A$51="☑",23&lt;='Resource Planner'!$N$51),'Resource Planner'!$B$51,"")</f>
        <v/>
      </c>
      <c r="D2077" s="163" t="str">
        <f>IF(AND('Resource Planner'!$A$51="☑",23&lt;='Resource Planner'!$N$51),'Resource Planner'!$D$51,"")</f>
        <v/>
      </c>
      <c r="E2077" s="163" t="str">
        <f>IF(AND('Resource Planner'!$A$51="☑",23&lt;='Resource Planner'!$N$51),'Resource Planner'!$E$51,"")</f>
        <v/>
      </c>
      <c r="F2077" s="163" t="str">
        <f>IF(AND('Resource Planner'!$A$51="☑",23&lt;='Resource Planner'!$N$51),'Resource Planner'!$F$51&amp;" "&amp;('Resource Planner'!$G$51+(23-1)*'Resource Planner'!$I$51)&amp;IF(('Resource Planner'!$G$51+(23-1)*'Resource Planner'!$I$51)=MIN('Resource Planner'!$G$51+23*'Resource Planner'!$I$51-1,'Resource Planner'!$H$51),"","–"&amp;MIN('Resource Planner'!$G$51+23*'Resource Planner'!$I$51-1,'Resource Planner'!$H$51)),"")</f>
        <v/>
      </c>
      <c r="G2077" s="163" t="s">
        <v>109</v>
      </c>
      <c r="H2077" s="163" t="str">
        <f>IF(AND('Resource Planner'!$A$51="☑",23&lt;='Resource Planner'!$N$51),'Resource Planner'!$M$51,"")</f>
        <v/>
      </c>
    </row>
    <row r="2078" ht="15.75" customHeight="1">
      <c r="A20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8" s="163" t="str">
        <f>IF(AND('Resource Planner'!$A$51="☑",24&lt;='Resource Planner'!$N$51),'Resource Planner'!$C$51,"")</f>
        <v/>
      </c>
      <c r="C2078" s="163" t="str">
        <f>IF(AND('Resource Planner'!$A$51="☑",24&lt;='Resource Planner'!$N$51),'Resource Planner'!$B$51,"")</f>
        <v/>
      </c>
      <c r="D2078" s="163" t="str">
        <f>IF(AND('Resource Planner'!$A$51="☑",24&lt;='Resource Planner'!$N$51),'Resource Planner'!$D$51,"")</f>
        <v/>
      </c>
      <c r="E2078" s="163" t="str">
        <f>IF(AND('Resource Planner'!$A$51="☑",24&lt;='Resource Planner'!$N$51),'Resource Planner'!$E$51,"")</f>
        <v/>
      </c>
      <c r="F2078" s="163" t="str">
        <f>IF(AND('Resource Planner'!$A$51="☑",24&lt;='Resource Planner'!$N$51),'Resource Planner'!$F$51&amp;" "&amp;('Resource Planner'!$G$51+(24-1)*'Resource Planner'!$I$51)&amp;IF(('Resource Planner'!$G$51+(24-1)*'Resource Planner'!$I$51)=MIN('Resource Planner'!$G$51+24*'Resource Planner'!$I$51-1,'Resource Planner'!$H$51),"","–"&amp;MIN('Resource Planner'!$G$51+24*'Resource Planner'!$I$51-1,'Resource Planner'!$H$51)),"")</f>
        <v/>
      </c>
      <c r="G2078" s="163" t="s">
        <v>109</v>
      </c>
      <c r="H2078" s="163" t="str">
        <f>IF(AND('Resource Planner'!$A$51="☑",24&lt;='Resource Planner'!$N$51),'Resource Planner'!$M$51,"")</f>
        <v/>
      </c>
    </row>
    <row r="2079" ht="15.75" customHeight="1">
      <c r="A20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79" s="163" t="str">
        <f>IF(AND('Resource Planner'!$A$51="☑",25&lt;='Resource Planner'!$N$51),'Resource Planner'!$C$51,"")</f>
        <v/>
      </c>
      <c r="C2079" s="163" t="str">
        <f>IF(AND('Resource Planner'!$A$51="☑",25&lt;='Resource Planner'!$N$51),'Resource Planner'!$B$51,"")</f>
        <v/>
      </c>
      <c r="D2079" s="163" t="str">
        <f>IF(AND('Resource Planner'!$A$51="☑",25&lt;='Resource Planner'!$N$51),'Resource Planner'!$D$51,"")</f>
        <v/>
      </c>
      <c r="E2079" s="163" t="str">
        <f>IF(AND('Resource Planner'!$A$51="☑",25&lt;='Resource Planner'!$N$51),'Resource Planner'!$E$51,"")</f>
        <v/>
      </c>
      <c r="F2079" s="163" t="str">
        <f>IF(AND('Resource Planner'!$A$51="☑",25&lt;='Resource Planner'!$N$51),'Resource Planner'!$F$51&amp;" "&amp;('Resource Planner'!$G$51+(25-1)*'Resource Planner'!$I$51)&amp;IF(('Resource Planner'!$G$51+(25-1)*'Resource Planner'!$I$51)=MIN('Resource Planner'!$G$51+25*'Resource Planner'!$I$51-1,'Resource Planner'!$H$51),"","–"&amp;MIN('Resource Planner'!$G$51+25*'Resource Planner'!$I$51-1,'Resource Planner'!$H$51)),"")</f>
        <v/>
      </c>
      <c r="G2079" s="163" t="s">
        <v>109</v>
      </c>
      <c r="H2079" s="163" t="str">
        <f>IF(AND('Resource Planner'!$A$51="☑",25&lt;='Resource Planner'!$N$51),'Resource Planner'!$M$51,"")</f>
        <v/>
      </c>
    </row>
    <row r="2080" ht="15.75" customHeight="1">
      <c r="A20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0" s="163" t="str">
        <f>IF(AND('Resource Planner'!$A$51="☑",26&lt;='Resource Planner'!$N$51),'Resource Planner'!$C$51,"")</f>
        <v/>
      </c>
      <c r="C2080" s="163" t="str">
        <f>IF(AND('Resource Planner'!$A$51="☑",26&lt;='Resource Planner'!$N$51),'Resource Planner'!$B$51,"")</f>
        <v/>
      </c>
      <c r="D2080" s="163" t="str">
        <f>IF(AND('Resource Planner'!$A$51="☑",26&lt;='Resource Planner'!$N$51),'Resource Planner'!$D$51,"")</f>
        <v/>
      </c>
      <c r="E2080" s="163" t="str">
        <f>IF(AND('Resource Planner'!$A$51="☑",26&lt;='Resource Planner'!$N$51),'Resource Planner'!$E$51,"")</f>
        <v/>
      </c>
      <c r="F2080" s="163" t="str">
        <f>IF(AND('Resource Planner'!$A$51="☑",26&lt;='Resource Planner'!$N$51),'Resource Planner'!$F$51&amp;" "&amp;('Resource Planner'!$G$51+(26-1)*'Resource Planner'!$I$51)&amp;IF(('Resource Planner'!$G$51+(26-1)*'Resource Planner'!$I$51)=MIN('Resource Planner'!$G$51+26*'Resource Planner'!$I$51-1,'Resource Planner'!$H$51),"","–"&amp;MIN('Resource Planner'!$G$51+26*'Resource Planner'!$I$51-1,'Resource Planner'!$H$51)),"")</f>
        <v/>
      </c>
      <c r="G2080" s="163" t="s">
        <v>109</v>
      </c>
      <c r="H2080" s="163" t="str">
        <f>IF(AND('Resource Planner'!$A$51="☑",26&lt;='Resource Planner'!$N$51),'Resource Planner'!$M$51,"")</f>
        <v/>
      </c>
    </row>
    <row r="2081" ht="15.75" customHeight="1">
      <c r="A20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1" s="163" t="str">
        <f>IF(AND('Resource Planner'!$A$51="☑",27&lt;='Resource Planner'!$N$51),'Resource Planner'!$C$51,"")</f>
        <v/>
      </c>
      <c r="C2081" s="163" t="str">
        <f>IF(AND('Resource Planner'!$A$51="☑",27&lt;='Resource Planner'!$N$51),'Resource Planner'!$B$51,"")</f>
        <v/>
      </c>
      <c r="D2081" s="163" t="str">
        <f>IF(AND('Resource Planner'!$A$51="☑",27&lt;='Resource Planner'!$N$51),'Resource Planner'!$D$51,"")</f>
        <v/>
      </c>
      <c r="E2081" s="163" t="str">
        <f>IF(AND('Resource Planner'!$A$51="☑",27&lt;='Resource Planner'!$N$51),'Resource Planner'!$E$51,"")</f>
        <v/>
      </c>
      <c r="F2081" s="163" t="str">
        <f>IF(AND('Resource Planner'!$A$51="☑",27&lt;='Resource Planner'!$N$51),'Resource Planner'!$F$51&amp;" "&amp;('Resource Planner'!$G$51+(27-1)*'Resource Planner'!$I$51)&amp;IF(('Resource Planner'!$G$51+(27-1)*'Resource Planner'!$I$51)=MIN('Resource Planner'!$G$51+27*'Resource Planner'!$I$51-1,'Resource Planner'!$H$51),"","–"&amp;MIN('Resource Planner'!$G$51+27*'Resource Planner'!$I$51-1,'Resource Planner'!$H$51)),"")</f>
        <v/>
      </c>
      <c r="G2081" s="163" t="s">
        <v>109</v>
      </c>
      <c r="H2081" s="163" t="str">
        <f>IF(AND('Resource Planner'!$A$51="☑",27&lt;='Resource Planner'!$N$51),'Resource Planner'!$M$51,"")</f>
        <v/>
      </c>
    </row>
    <row r="2082" ht="15.75" customHeight="1">
      <c r="A20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2" s="163" t="str">
        <f>IF(AND('Resource Planner'!$A$51="☑",28&lt;='Resource Planner'!$N$51),'Resource Planner'!$C$51,"")</f>
        <v/>
      </c>
      <c r="C2082" s="163" t="str">
        <f>IF(AND('Resource Planner'!$A$51="☑",28&lt;='Resource Planner'!$N$51),'Resource Planner'!$B$51,"")</f>
        <v/>
      </c>
      <c r="D2082" s="163" t="str">
        <f>IF(AND('Resource Planner'!$A$51="☑",28&lt;='Resource Planner'!$N$51),'Resource Planner'!$D$51,"")</f>
        <v/>
      </c>
      <c r="E2082" s="163" t="str">
        <f>IF(AND('Resource Planner'!$A$51="☑",28&lt;='Resource Planner'!$N$51),'Resource Planner'!$E$51,"")</f>
        <v/>
      </c>
      <c r="F2082" s="163" t="str">
        <f>IF(AND('Resource Planner'!$A$51="☑",28&lt;='Resource Planner'!$N$51),'Resource Planner'!$F$51&amp;" "&amp;('Resource Planner'!$G$51+(28-1)*'Resource Planner'!$I$51)&amp;IF(('Resource Planner'!$G$51+(28-1)*'Resource Planner'!$I$51)=MIN('Resource Planner'!$G$51+28*'Resource Planner'!$I$51-1,'Resource Planner'!$H$51),"","–"&amp;MIN('Resource Planner'!$G$51+28*'Resource Planner'!$I$51-1,'Resource Planner'!$H$51)),"")</f>
        <v/>
      </c>
      <c r="G2082" s="163" t="s">
        <v>109</v>
      </c>
      <c r="H2082" s="163" t="str">
        <f>IF(AND('Resource Planner'!$A$51="☑",28&lt;='Resource Planner'!$N$51),'Resource Planner'!$M$51,"")</f>
        <v/>
      </c>
    </row>
    <row r="2083" ht="15.75" customHeight="1">
      <c r="A20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3" s="163" t="str">
        <f>IF(AND('Resource Planner'!$A$51="☑",29&lt;='Resource Planner'!$N$51),'Resource Planner'!$C$51,"")</f>
        <v/>
      </c>
      <c r="C2083" s="163" t="str">
        <f>IF(AND('Resource Planner'!$A$51="☑",29&lt;='Resource Planner'!$N$51),'Resource Planner'!$B$51,"")</f>
        <v/>
      </c>
      <c r="D2083" s="163" t="str">
        <f>IF(AND('Resource Planner'!$A$51="☑",29&lt;='Resource Planner'!$N$51),'Resource Planner'!$D$51,"")</f>
        <v/>
      </c>
      <c r="E2083" s="163" t="str">
        <f>IF(AND('Resource Planner'!$A$51="☑",29&lt;='Resource Planner'!$N$51),'Resource Planner'!$E$51,"")</f>
        <v/>
      </c>
      <c r="F2083" s="163" t="str">
        <f>IF(AND('Resource Planner'!$A$51="☑",29&lt;='Resource Planner'!$N$51),'Resource Planner'!$F$51&amp;" "&amp;('Resource Planner'!$G$51+(29-1)*'Resource Planner'!$I$51)&amp;IF(('Resource Planner'!$G$51+(29-1)*'Resource Planner'!$I$51)=MIN('Resource Planner'!$G$51+29*'Resource Planner'!$I$51-1,'Resource Planner'!$H$51),"","–"&amp;MIN('Resource Planner'!$G$51+29*'Resource Planner'!$I$51-1,'Resource Planner'!$H$51)),"")</f>
        <v/>
      </c>
      <c r="G2083" s="163" t="s">
        <v>109</v>
      </c>
      <c r="H2083" s="163" t="str">
        <f>IF(AND('Resource Planner'!$A$51="☑",29&lt;='Resource Planner'!$N$51),'Resource Planner'!$M$51,"")</f>
        <v/>
      </c>
    </row>
    <row r="2084" ht="15.75" customHeight="1">
      <c r="A20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4" s="163" t="str">
        <f>IF(AND('Resource Planner'!$A$51="☑",30&lt;='Resource Planner'!$N$51),'Resource Planner'!$C$51,"")</f>
        <v/>
      </c>
      <c r="C2084" s="163" t="str">
        <f>IF(AND('Resource Planner'!$A$51="☑",30&lt;='Resource Planner'!$N$51),'Resource Planner'!$B$51,"")</f>
        <v/>
      </c>
      <c r="D2084" s="163" t="str">
        <f>IF(AND('Resource Planner'!$A$51="☑",30&lt;='Resource Planner'!$N$51),'Resource Planner'!$D$51,"")</f>
        <v/>
      </c>
      <c r="E2084" s="163" t="str">
        <f>IF(AND('Resource Planner'!$A$51="☑",30&lt;='Resource Planner'!$N$51),'Resource Planner'!$E$51,"")</f>
        <v/>
      </c>
      <c r="F2084" s="163" t="str">
        <f>IF(AND('Resource Planner'!$A$51="☑",30&lt;='Resource Planner'!$N$51),'Resource Planner'!$F$51&amp;" "&amp;('Resource Planner'!$G$51+(30-1)*'Resource Planner'!$I$51)&amp;IF(('Resource Planner'!$G$51+(30-1)*'Resource Planner'!$I$51)=MIN('Resource Planner'!$G$51+30*'Resource Planner'!$I$51-1,'Resource Planner'!$H$51),"","–"&amp;MIN('Resource Planner'!$G$51+30*'Resource Planner'!$I$51-1,'Resource Planner'!$H$51)),"")</f>
        <v/>
      </c>
      <c r="G2084" s="163" t="s">
        <v>109</v>
      </c>
      <c r="H2084" s="163" t="str">
        <f>IF(AND('Resource Planner'!$A$51="☑",30&lt;='Resource Planner'!$N$51),'Resource Planner'!$M$51,"")</f>
        <v/>
      </c>
    </row>
    <row r="2085" ht="15.75" customHeight="1">
      <c r="A20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5" s="163" t="str">
        <f>IF(AND('Resource Planner'!$A$51="☑",31&lt;='Resource Planner'!$N$51),'Resource Planner'!$C$51,"")</f>
        <v/>
      </c>
      <c r="C2085" s="163" t="str">
        <f>IF(AND('Resource Planner'!$A$51="☑",31&lt;='Resource Planner'!$N$51),'Resource Planner'!$B$51,"")</f>
        <v/>
      </c>
      <c r="D2085" s="163" t="str">
        <f>IF(AND('Resource Planner'!$A$51="☑",31&lt;='Resource Planner'!$N$51),'Resource Planner'!$D$51,"")</f>
        <v/>
      </c>
      <c r="E2085" s="163" t="str">
        <f>IF(AND('Resource Planner'!$A$51="☑",31&lt;='Resource Planner'!$N$51),'Resource Planner'!$E$51,"")</f>
        <v/>
      </c>
      <c r="F2085" s="163" t="str">
        <f>IF(AND('Resource Planner'!$A$51="☑",31&lt;='Resource Planner'!$N$51),'Resource Planner'!$F$51&amp;" "&amp;('Resource Planner'!$G$51+(31-1)*'Resource Planner'!$I$51)&amp;IF(('Resource Planner'!$G$51+(31-1)*'Resource Planner'!$I$51)=MIN('Resource Planner'!$G$51+31*'Resource Planner'!$I$51-1,'Resource Planner'!$H$51),"","–"&amp;MIN('Resource Planner'!$G$51+31*'Resource Planner'!$I$51-1,'Resource Planner'!$H$51)),"")</f>
        <v/>
      </c>
      <c r="G2085" s="163" t="s">
        <v>109</v>
      </c>
      <c r="H2085" s="163" t="str">
        <f>IF(AND('Resource Planner'!$A$51="☑",31&lt;='Resource Planner'!$N$51),'Resource Planner'!$M$51,"")</f>
        <v/>
      </c>
    </row>
    <row r="2086" ht="15.75" customHeight="1">
      <c r="A20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6" s="163" t="str">
        <f>IF(AND('Resource Planner'!$A$51="☑",32&lt;='Resource Planner'!$N$51),'Resource Planner'!$C$51,"")</f>
        <v/>
      </c>
      <c r="C2086" s="163" t="str">
        <f>IF(AND('Resource Planner'!$A$51="☑",32&lt;='Resource Planner'!$N$51),'Resource Planner'!$B$51,"")</f>
        <v/>
      </c>
      <c r="D2086" s="163" t="str">
        <f>IF(AND('Resource Planner'!$A$51="☑",32&lt;='Resource Planner'!$N$51),'Resource Planner'!$D$51,"")</f>
        <v/>
      </c>
      <c r="E2086" s="163" t="str">
        <f>IF(AND('Resource Planner'!$A$51="☑",32&lt;='Resource Planner'!$N$51),'Resource Planner'!$E$51,"")</f>
        <v/>
      </c>
      <c r="F2086" s="163" t="str">
        <f>IF(AND('Resource Planner'!$A$51="☑",32&lt;='Resource Planner'!$N$51),'Resource Planner'!$F$51&amp;" "&amp;('Resource Planner'!$G$51+(32-1)*'Resource Planner'!$I$51)&amp;IF(('Resource Planner'!$G$51+(32-1)*'Resource Planner'!$I$51)=MIN('Resource Planner'!$G$51+32*'Resource Planner'!$I$51-1,'Resource Planner'!$H$51),"","–"&amp;MIN('Resource Planner'!$G$51+32*'Resource Planner'!$I$51-1,'Resource Planner'!$H$51)),"")</f>
        <v/>
      </c>
      <c r="G2086" s="163" t="s">
        <v>109</v>
      </c>
      <c r="H2086" s="163" t="str">
        <f>IF(AND('Resource Planner'!$A$51="☑",32&lt;='Resource Planner'!$N$51),'Resource Planner'!$M$51,"")</f>
        <v/>
      </c>
    </row>
    <row r="2087" ht="15.75" customHeight="1">
      <c r="A20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7" s="163" t="str">
        <f>IF(AND('Resource Planner'!$A$51="☑",33&lt;='Resource Planner'!$N$51),'Resource Planner'!$C$51,"")</f>
        <v/>
      </c>
      <c r="C2087" s="163" t="str">
        <f>IF(AND('Resource Planner'!$A$51="☑",33&lt;='Resource Planner'!$N$51),'Resource Planner'!$B$51,"")</f>
        <v/>
      </c>
      <c r="D2087" s="163" t="str">
        <f>IF(AND('Resource Planner'!$A$51="☑",33&lt;='Resource Planner'!$N$51),'Resource Planner'!$D$51,"")</f>
        <v/>
      </c>
      <c r="E2087" s="163" t="str">
        <f>IF(AND('Resource Planner'!$A$51="☑",33&lt;='Resource Planner'!$N$51),'Resource Planner'!$E$51,"")</f>
        <v/>
      </c>
      <c r="F2087" s="163" t="str">
        <f>IF(AND('Resource Planner'!$A$51="☑",33&lt;='Resource Planner'!$N$51),'Resource Planner'!$F$51&amp;" "&amp;('Resource Planner'!$G$51+(33-1)*'Resource Planner'!$I$51)&amp;IF(('Resource Planner'!$G$51+(33-1)*'Resource Planner'!$I$51)=MIN('Resource Planner'!$G$51+33*'Resource Planner'!$I$51-1,'Resource Planner'!$H$51),"","–"&amp;MIN('Resource Planner'!$G$51+33*'Resource Planner'!$I$51-1,'Resource Planner'!$H$51)),"")</f>
        <v/>
      </c>
      <c r="G2087" s="163" t="s">
        <v>109</v>
      </c>
      <c r="H2087" s="163" t="str">
        <f>IF(AND('Resource Planner'!$A$51="☑",33&lt;='Resource Planner'!$N$51),'Resource Planner'!$M$51,"")</f>
        <v/>
      </c>
    </row>
    <row r="2088" ht="15.75" customHeight="1">
      <c r="A20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8" s="163" t="str">
        <f>IF(AND('Resource Planner'!$A$51="☑",34&lt;='Resource Planner'!$N$51),'Resource Planner'!$C$51,"")</f>
        <v/>
      </c>
      <c r="C2088" s="163" t="str">
        <f>IF(AND('Resource Planner'!$A$51="☑",34&lt;='Resource Planner'!$N$51),'Resource Planner'!$B$51,"")</f>
        <v/>
      </c>
      <c r="D2088" s="163" t="str">
        <f>IF(AND('Resource Planner'!$A$51="☑",34&lt;='Resource Planner'!$N$51),'Resource Planner'!$D$51,"")</f>
        <v/>
      </c>
      <c r="E2088" s="163" t="str">
        <f>IF(AND('Resource Planner'!$A$51="☑",34&lt;='Resource Planner'!$N$51),'Resource Planner'!$E$51,"")</f>
        <v/>
      </c>
      <c r="F2088" s="163" t="str">
        <f>IF(AND('Resource Planner'!$A$51="☑",34&lt;='Resource Planner'!$N$51),'Resource Planner'!$F$51&amp;" "&amp;('Resource Planner'!$G$51+(34-1)*'Resource Planner'!$I$51)&amp;IF(('Resource Planner'!$G$51+(34-1)*'Resource Planner'!$I$51)=MIN('Resource Planner'!$G$51+34*'Resource Planner'!$I$51-1,'Resource Planner'!$H$51),"","–"&amp;MIN('Resource Planner'!$G$51+34*'Resource Planner'!$I$51-1,'Resource Planner'!$H$51)),"")</f>
        <v/>
      </c>
      <c r="G2088" s="163" t="s">
        <v>109</v>
      </c>
      <c r="H2088" s="163" t="str">
        <f>IF(AND('Resource Planner'!$A$51="☑",34&lt;='Resource Planner'!$N$51),'Resource Planner'!$M$51,"")</f>
        <v/>
      </c>
    </row>
    <row r="2089" ht="15.75" customHeight="1">
      <c r="A20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89" s="163" t="str">
        <f>IF(AND('Resource Planner'!$A$51="☑",35&lt;='Resource Planner'!$N$51),'Resource Planner'!$C$51,"")</f>
        <v/>
      </c>
      <c r="C2089" s="163" t="str">
        <f>IF(AND('Resource Planner'!$A$51="☑",35&lt;='Resource Planner'!$N$51),'Resource Planner'!$B$51,"")</f>
        <v/>
      </c>
      <c r="D2089" s="163" t="str">
        <f>IF(AND('Resource Planner'!$A$51="☑",35&lt;='Resource Planner'!$N$51),'Resource Planner'!$D$51,"")</f>
        <v/>
      </c>
      <c r="E2089" s="163" t="str">
        <f>IF(AND('Resource Planner'!$A$51="☑",35&lt;='Resource Planner'!$N$51),'Resource Planner'!$E$51,"")</f>
        <v/>
      </c>
      <c r="F2089" s="163" t="str">
        <f>IF(AND('Resource Planner'!$A$51="☑",35&lt;='Resource Planner'!$N$51),'Resource Planner'!$F$51&amp;" "&amp;('Resource Planner'!$G$51+(35-1)*'Resource Planner'!$I$51)&amp;IF(('Resource Planner'!$G$51+(35-1)*'Resource Planner'!$I$51)=MIN('Resource Planner'!$G$51+35*'Resource Planner'!$I$51-1,'Resource Planner'!$H$51),"","–"&amp;MIN('Resource Planner'!$G$51+35*'Resource Planner'!$I$51-1,'Resource Planner'!$H$51)),"")</f>
        <v/>
      </c>
      <c r="G2089" s="163" t="s">
        <v>109</v>
      </c>
      <c r="H2089" s="163" t="str">
        <f>IF(AND('Resource Planner'!$A$51="☑",35&lt;='Resource Planner'!$N$51),'Resource Planner'!$M$51,"")</f>
        <v/>
      </c>
    </row>
    <row r="2090" ht="15.75" customHeight="1">
      <c r="A20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0" s="163" t="str">
        <f>IF(AND('Resource Planner'!$A$51="☑",36&lt;='Resource Planner'!$N$51),'Resource Planner'!$C$51,"")</f>
        <v/>
      </c>
      <c r="C2090" s="163" t="str">
        <f>IF(AND('Resource Planner'!$A$51="☑",36&lt;='Resource Planner'!$N$51),'Resource Planner'!$B$51,"")</f>
        <v/>
      </c>
      <c r="D2090" s="163" t="str">
        <f>IF(AND('Resource Planner'!$A$51="☑",36&lt;='Resource Planner'!$N$51),'Resource Planner'!$D$51,"")</f>
        <v/>
      </c>
      <c r="E2090" s="163" t="str">
        <f>IF(AND('Resource Planner'!$A$51="☑",36&lt;='Resource Planner'!$N$51),'Resource Planner'!$E$51,"")</f>
        <v/>
      </c>
      <c r="F2090" s="163" t="str">
        <f>IF(AND('Resource Planner'!$A$51="☑",36&lt;='Resource Planner'!$N$51),'Resource Planner'!$F$51&amp;" "&amp;('Resource Planner'!$G$51+(36-1)*'Resource Planner'!$I$51)&amp;IF(('Resource Planner'!$G$51+(36-1)*'Resource Planner'!$I$51)=MIN('Resource Planner'!$G$51+36*'Resource Planner'!$I$51-1,'Resource Planner'!$H$51),"","–"&amp;MIN('Resource Planner'!$G$51+36*'Resource Planner'!$I$51-1,'Resource Planner'!$H$51)),"")</f>
        <v/>
      </c>
      <c r="G2090" s="163" t="s">
        <v>109</v>
      </c>
      <c r="H2090" s="163" t="str">
        <f>IF(AND('Resource Planner'!$A$51="☑",36&lt;='Resource Planner'!$N$51),'Resource Planner'!$M$51,"")</f>
        <v/>
      </c>
    </row>
    <row r="2091" ht="15.75" customHeight="1">
      <c r="A20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1" s="163" t="str">
        <f>IF(AND('Resource Planner'!$A$51="☑",37&lt;='Resource Planner'!$N$51),'Resource Planner'!$C$51,"")</f>
        <v/>
      </c>
      <c r="C2091" s="163" t="str">
        <f>IF(AND('Resource Planner'!$A$51="☑",37&lt;='Resource Planner'!$N$51),'Resource Planner'!$B$51,"")</f>
        <v/>
      </c>
      <c r="D2091" s="163" t="str">
        <f>IF(AND('Resource Planner'!$A$51="☑",37&lt;='Resource Planner'!$N$51),'Resource Planner'!$D$51,"")</f>
        <v/>
      </c>
      <c r="E2091" s="163" t="str">
        <f>IF(AND('Resource Planner'!$A$51="☑",37&lt;='Resource Planner'!$N$51),'Resource Planner'!$E$51,"")</f>
        <v/>
      </c>
      <c r="F2091" s="163" t="str">
        <f>IF(AND('Resource Planner'!$A$51="☑",37&lt;='Resource Planner'!$N$51),'Resource Planner'!$F$51&amp;" "&amp;('Resource Planner'!$G$51+(37-1)*'Resource Planner'!$I$51)&amp;IF(('Resource Planner'!$G$51+(37-1)*'Resource Planner'!$I$51)=MIN('Resource Planner'!$G$51+37*'Resource Planner'!$I$51-1,'Resource Planner'!$H$51),"","–"&amp;MIN('Resource Planner'!$G$51+37*'Resource Planner'!$I$51-1,'Resource Planner'!$H$51)),"")</f>
        <v/>
      </c>
      <c r="G2091" s="163" t="s">
        <v>109</v>
      </c>
      <c r="H2091" s="163" t="str">
        <f>IF(AND('Resource Planner'!$A$51="☑",37&lt;='Resource Planner'!$N$51),'Resource Planner'!$M$51,"")</f>
        <v/>
      </c>
    </row>
    <row r="2092" ht="15.75" customHeight="1">
      <c r="A20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2" s="163" t="str">
        <f>IF(AND('Resource Planner'!$A$51="☑",38&lt;='Resource Planner'!$N$51),'Resource Planner'!$C$51,"")</f>
        <v/>
      </c>
      <c r="C2092" s="163" t="str">
        <f>IF(AND('Resource Planner'!$A$51="☑",38&lt;='Resource Planner'!$N$51),'Resource Planner'!$B$51,"")</f>
        <v/>
      </c>
      <c r="D2092" s="163" t="str">
        <f>IF(AND('Resource Planner'!$A$51="☑",38&lt;='Resource Planner'!$N$51),'Resource Planner'!$D$51,"")</f>
        <v/>
      </c>
      <c r="E2092" s="163" t="str">
        <f>IF(AND('Resource Planner'!$A$51="☑",38&lt;='Resource Planner'!$N$51),'Resource Planner'!$E$51,"")</f>
        <v/>
      </c>
      <c r="F2092" s="163" t="str">
        <f>IF(AND('Resource Planner'!$A$51="☑",38&lt;='Resource Planner'!$N$51),'Resource Planner'!$F$51&amp;" "&amp;('Resource Planner'!$G$51+(38-1)*'Resource Planner'!$I$51)&amp;IF(('Resource Planner'!$G$51+(38-1)*'Resource Planner'!$I$51)=MIN('Resource Planner'!$G$51+38*'Resource Planner'!$I$51-1,'Resource Planner'!$H$51),"","–"&amp;MIN('Resource Planner'!$G$51+38*'Resource Planner'!$I$51-1,'Resource Planner'!$H$51)),"")</f>
        <v/>
      </c>
      <c r="G2092" s="163" t="s">
        <v>109</v>
      </c>
      <c r="H2092" s="163" t="str">
        <f>IF(AND('Resource Planner'!$A$51="☑",38&lt;='Resource Planner'!$N$51),'Resource Planner'!$M$51,"")</f>
        <v/>
      </c>
    </row>
    <row r="2093" ht="15.75" customHeight="1">
      <c r="A20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3" s="163" t="str">
        <f>IF(AND('Resource Planner'!$A$51="☑",39&lt;='Resource Planner'!$N$51),'Resource Planner'!$C$51,"")</f>
        <v/>
      </c>
      <c r="C2093" s="163" t="str">
        <f>IF(AND('Resource Planner'!$A$51="☑",39&lt;='Resource Planner'!$N$51),'Resource Planner'!$B$51,"")</f>
        <v/>
      </c>
      <c r="D2093" s="163" t="str">
        <f>IF(AND('Resource Planner'!$A$51="☑",39&lt;='Resource Planner'!$N$51),'Resource Planner'!$D$51,"")</f>
        <v/>
      </c>
      <c r="E2093" s="163" t="str">
        <f>IF(AND('Resource Planner'!$A$51="☑",39&lt;='Resource Planner'!$N$51),'Resource Planner'!$E$51,"")</f>
        <v/>
      </c>
      <c r="F2093" s="163" t="str">
        <f>IF(AND('Resource Planner'!$A$51="☑",39&lt;='Resource Planner'!$N$51),'Resource Planner'!$F$51&amp;" "&amp;('Resource Planner'!$G$51+(39-1)*'Resource Planner'!$I$51)&amp;IF(('Resource Planner'!$G$51+(39-1)*'Resource Planner'!$I$51)=MIN('Resource Planner'!$G$51+39*'Resource Planner'!$I$51-1,'Resource Planner'!$H$51),"","–"&amp;MIN('Resource Planner'!$G$51+39*'Resource Planner'!$I$51-1,'Resource Planner'!$H$51)),"")</f>
        <v/>
      </c>
      <c r="G2093" s="163" t="s">
        <v>109</v>
      </c>
      <c r="H2093" s="163" t="str">
        <f>IF(AND('Resource Planner'!$A$51="☑",39&lt;='Resource Planner'!$N$51),'Resource Planner'!$M$51,"")</f>
        <v/>
      </c>
    </row>
    <row r="2094" ht="15.75" customHeight="1">
      <c r="A20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4" s="163" t="str">
        <f>IF(AND('Resource Planner'!$A$51="☑",40&lt;='Resource Planner'!$N$51),'Resource Planner'!$C$51,"")</f>
        <v/>
      </c>
      <c r="C2094" s="163" t="str">
        <f>IF(AND('Resource Planner'!$A$51="☑",40&lt;='Resource Planner'!$N$51),'Resource Planner'!$B$51,"")</f>
        <v/>
      </c>
      <c r="D2094" s="163" t="str">
        <f>IF(AND('Resource Planner'!$A$51="☑",40&lt;='Resource Planner'!$N$51),'Resource Planner'!$D$51,"")</f>
        <v/>
      </c>
      <c r="E2094" s="163" t="str">
        <f>IF(AND('Resource Planner'!$A$51="☑",40&lt;='Resource Planner'!$N$51),'Resource Planner'!$E$51,"")</f>
        <v/>
      </c>
      <c r="F2094" s="163" t="str">
        <f>IF(AND('Resource Planner'!$A$51="☑",40&lt;='Resource Planner'!$N$51),'Resource Planner'!$F$51&amp;" "&amp;('Resource Planner'!$G$51+(40-1)*'Resource Planner'!$I$51)&amp;IF(('Resource Planner'!$G$51+(40-1)*'Resource Planner'!$I$51)=MIN('Resource Planner'!$G$51+40*'Resource Planner'!$I$51-1,'Resource Planner'!$H$51),"","–"&amp;MIN('Resource Planner'!$G$51+40*'Resource Planner'!$I$51-1,'Resource Planner'!$H$51)),"")</f>
        <v/>
      </c>
      <c r="G2094" s="163" t="s">
        <v>109</v>
      </c>
      <c r="H2094" s="163" t="str">
        <f>IF(AND('Resource Planner'!$A$51="☑",40&lt;='Resource Planner'!$N$51),'Resource Planner'!$M$51,"")</f>
        <v/>
      </c>
    </row>
    <row r="2095" ht="15.75" customHeight="1">
      <c r="A20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5" s="163" t="str">
        <f>IF(AND('Resource Planner'!$A$51="☑",41&lt;='Resource Planner'!$N$51),'Resource Planner'!$C$51,"")</f>
        <v/>
      </c>
      <c r="C2095" s="163" t="str">
        <f>IF(AND('Resource Planner'!$A$51="☑",41&lt;='Resource Planner'!$N$51),'Resource Planner'!$B$51,"")</f>
        <v/>
      </c>
      <c r="D2095" s="163" t="str">
        <f>IF(AND('Resource Planner'!$A$51="☑",41&lt;='Resource Planner'!$N$51),'Resource Planner'!$D$51,"")</f>
        <v/>
      </c>
      <c r="E2095" s="163" t="str">
        <f>IF(AND('Resource Planner'!$A$51="☑",41&lt;='Resource Planner'!$N$51),'Resource Planner'!$E$51,"")</f>
        <v/>
      </c>
      <c r="F2095" s="163" t="str">
        <f>IF(AND('Resource Planner'!$A$51="☑",41&lt;='Resource Planner'!$N$51),'Resource Planner'!$F$51&amp;" "&amp;('Resource Planner'!$G$51+(41-1)*'Resource Planner'!$I$51)&amp;IF(('Resource Planner'!$G$51+(41-1)*'Resource Planner'!$I$51)=MIN('Resource Planner'!$G$51+41*'Resource Planner'!$I$51-1,'Resource Planner'!$H$51),"","–"&amp;MIN('Resource Planner'!$G$51+41*'Resource Planner'!$I$51-1,'Resource Planner'!$H$51)),"")</f>
        <v/>
      </c>
      <c r="G2095" s="163" t="s">
        <v>109</v>
      </c>
      <c r="H2095" s="163" t="str">
        <f>IF(AND('Resource Planner'!$A$51="☑",41&lt;='Resource Planner'!$N$51),'Resource Planner'!$M$51,"")</f>
        <v/>
      </c>
    </row>
    <row r="2096" ht="15.75" customHeight="1">
      <c r="A20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6" s="163" t="str">
        <f>IF(AND('Resource Planner'!$A$51="☑",42&lt;='Resource Planner'!$N$51),'Resource Planner'!$C$51,"")</f>
        <v/>
      </c>
      <c r="C2096" s="163" t="str">
        <f>IF(AND('Resource Planner'!$A$51="☑",42&lt;='Resource Planner'!$N$51),'Resource Planner'!$B$51,"")</f>
        <v/>
      </c>
      <c r="D2096" s="163" t="str">
        <f>IF(AND('Resource Planner'!$A$51="☑",42&lt;='Resource Planner'!$N$51),'Resource Planner'!$D$51,"")</f>
        <v/>
      </c>
      <c r="E2096" s="163" t="str">
        <f>IF(AND('Resource Planner'!$A$51="☑",42&lt;='Resource Planner'!$N$51),'Resource Planner'!$E$51,"")</f>
        <v/>
      </c>
      <c r="F2096" s="163" t="str">
        <f>IF(AND('Resource Planner'!$A$51="☑",42&lt;='Resource Planner'!$N$51),'Resource Planner'!$F$51&amp;" "&amp;('Resource Planner'!$G$51+(42-1)*'Resource Planner'!$I$51)&amp;IF(('Resource Planner'!$G$51+(42-1)*'Resource Planner'!$I$51)=MIN('Resource Planner'!$G$51+42*'Resource Planner'!$I$51-1,'Resource Planner'!$H$51),"","–"&amp;MIN('Resource Planner'!$G$51+42*'Resource Planner'!$I$51-1,'Resource Planner'!$H$51)),"")</f>
        <v/>
      </c>
      <c r="G2096" s="163" t="s">
        <v>109</v>
      </c>
      <c r="H2096" s="163" t="str">
        <f>IF(AND('Resource Planner'!$A$51="☑",42&lt;='Resource Planner'!$N$51),'Resource Planner'!$M$51,"")</f>
        <v/>
      </c>
    </row>
    <row r="2097" ht="15.75" customHeight="1">
      <c r="A20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7" s="163" t="str">
        <f>IF(AND('Resource Planner'!$A$51="☑",43&lt;='Resource Planner'!$N$51),'Resource Planner'!$C$51,"")</f>
        <v/>
      </c>
      <c r="C2097" s="163" t="str">
        <f>IF(AND('Resource Planner'!$A$51="☑",43&lt;='Resource Planner'!$N$51),'Resource Planner'!$B$51,"")</f>
        <v/>
      </c>
      <c r="D2097" s="163" t="str">
        <f>IF(AND('Resource Planner'!$A$51="☑",43&lt;='Resource Planner'!$N$51),'Resource Planner'!$D$51,"")</f>
        <v/>
      </c>
      <c r="E2097" s="163" t="str">
        <f>IF(AND('Resource Planner'!$A$51="☑",43&lt;='Resource Planner'!$N$51),'Resource Planner'!$E$51,"")</f>
        <v/>
      </c>
      <c r="F2097" s="163" t="str">
        <f>IF(AND('Resource Planner'!$A$51="☑",43&lt;='Resource Planner'!$N$51),'Resource Planner'!$F$51&amp;" "&amp;('Resource Planner'!$G$51+(43-1)*'Resource Planner'!$I$51)&amp;IF(('Resource Planner'!$G$51+(43-1)*'Resource Planner'!$I$51)=MIN('Resource Planner'!$G$51+43*'Resource Planner'!$I$51-1,'Resource Planner'!$H$51),"","–"&amp;MIN('Resource Planner'!$G$51+43*'Resource Planner'!$I$51-1,'Resource Planner'!$H$51)),"")</f>
        <v/>
      </c>
      <c r="G2097" s="163" t="s">
        <v>109</v>
      </c>
      <c r="H2097" s="163" t="str">
        <f>IF(AND('Resource Planner'!$A$51="☑",43&lt;='Resource Planner'!$N$51),'Resource Planner'!$M$51,"")</f>
        <v/>
      </c>
    </row>
    <row r="2098" ht="15.75" customHeight="1">
      <c r="A20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8" s="163" t="str">
        <f>IF(AND('Resource Planner'!$A$51="☑",44&lt;='Resource Planner'!$N$51),'Resource Planner'!$C$51,"")</f>
        <v/>
      </c>
      <c r="C2098" s="163" t="str">
        <f>IF(AND('Resource Planner'!$A$51="☑",44&lt;='Resource Planner'!$N$51),'Resource Planner'!$B$51,"")</f>
        <v/>
      </c>
      <c r="D2098" s="163" t="str">
        <f>IF(AND('Resource Planner'!$A$51="☑",44&lt;='Resource Planner'!$N$51),'Resource Planner'!$D$51,"")</f>
        <v/>
      </c>
      <c r="E2098" s="163" t="str">
        <f>IF(AND('Resource Planner'!$A$51="☑",44&lt;='Resource Planner'!$N$51),'Resource Planner'!$E$51,"")</f>
        <v/>
      </c>
      <c r="F2098" s="163" t="str">
        <f>IF(AND('Resource Planner'!$A$51="☑",44&lt;='Resource Planner'!$N$51),'Resource Planner'!$F$51&amp;" "&amp;('Resource Planner'!$G$51+(44-1)*'Resource Planner'!$I$51)&amp;IF(('Resource Planner'!$G$51+(44-1)*'Resource Planner'!$I$51)=MIN('Resource Planner'!$G$51+44*'Resource Planner'!$I$51-1,'Resource Planner'!$H$51),"","–"&amp;MIN('Resource Planner'!$G$51+44*'Resource Planner'!$I$51-1,'Resource Planner'!$H$51)),"")</f>
        <v/>
      </c>
      <c r="G2098" s="163" t="s">
        <v>109</v>
      </c>
      <c r="H2098" s="163" t="str">
        <f>IF(AND('Resource Planner'!$A$51="☑",44&lt;='Resource Planner'!$N$51),'Resource Planner'!$M$51,"")</f>
        <v/>
      </c>
    </row>
    <row r="2099" ht="15.75" customHeight="1">
      <c r="A20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099" s="163" t="str">
        <f>IF(AND('Resource Planner'!$A$51="☑",45&lt;='Resource Planner'!$N$51),'Resource Planner'!$C$51,"")</f>
        <v/>
      </c>
      <c r="C2099" s="163" t="str">
        <f>IF(AND('Resource Planner'!$A$51="☑",45&lt;='Resource Planner'!$N$51),'Resource Planner'!$B$51,"")</f>
        <v/>
      </c>
      <c r="D2099" s="163" t="str">
        <f>IF(AND('Resource Planner'!$A$51="☑",45&lt;='Resource Planner'!$N$51),'Resource Planner'!$D$51,"")</f>
        <v/>
      </c>
      <c r="E2099" s="163" t="str">
        <f>IF(AND('Resource Planner'!$A$51="☑",45&lt;='Resource Planner'!$N$51),'Resource Planner'!$E$51,"")</f>
        <v/>
      </c>
      <c r="F2099" s="163" t="str">
        <f>IF(AND('Resource Planner'!$A$51="☑",45&lt;='Resource Planner'!$N$51),'Resource Planner'!$F$51&amp;" "&amp;('Resource Planner'!$G$51+(45-1)*'Resource Planner'!$I$51)&amp;IF(('Resource Planner'!$G$51+(45-1)*'Resource Planner'!$I$51)=MIN('Resource Planner'!$G$51+45*'Resource Planner'!$I$51-1,'Resource Planner'!$H$51),"","–"&amp;MIN('Resource Planner'!$G$51+45*'Resource Planner'!$I$51-1,'Resource Planner'!$H$51)),"")</f>
        <v/>
      </c>
      <c r="G2099" s="163" t="s">
        <v>109</v>
      </c>
      <c r="H2099" s="163" t="str">
        <f>IF(AND('Resource Planner'!$A$51="☑",45&lt;='Resource Planner'!$N$51),'Resource Planner'!$M$51,"")</f>
        <v/>
      </c>
    </row>
    <row r="2100" ht="15.75" customHeight="1">
      <c r="A21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0" s="163" t="str">
        <f>IF(AND('Resource Planner'!$A$51="☑",46&lt;='Resource Planner'!$N$51),'Resource Planner'!$C$51,"")</f>
        <v/>
      </c>
      <c r="C2100" s="163" t="str">
        <f>IF(AND('Resource Planner'!$A$51="☑",46&lt;='Resource Planner'!$N$51),'Resource Planner'!$B$51,"")</f>
        <v/>
      </c>
      <c r="D2100" s="163" t="str">
        <f>IF(AND('Resource Planner'!$A$51="☑",46&lt;='Resource Planner'!$N$51),'Resource Planner'!$D$51,"")</f>
        <v/>
      </c>
      <c r="E2100" s="163" t="str">
        <f>IF(AND('Resource Planner'!$A$51="☑",46&lt;='Resource Planner'!$N$51),'Resource Planner'!$E$51,"")</f>
        <v/>
      </c>
      <c r="F2100" s="163" t="str">
        <f>IF(AND('Resource Planner'!$A$51="☑",46&lt;='Resource Planner'!$N$51),'Resource Planner'!$F$51&amp;" "&amp;('Resource Planner'!$G$51+(46-1)*'Resource Planner'!$I$51)&amp;IF(('Resource Planner'!$G$51+(46-1)*'Resource Planner'!$I$51)=MIN('Resource Planner'!$G$51+46*'Resource Planner'!$I$51-1,'Resource Planner'!$H$51),"","–"&amp;MIN('Resource Planner'!$G$51+46*'Resource Planner'!$I$51-1,'Resource Planner'!$H$51)),"")</f>
        <v/>
      </c>
      <c r="G2100" s="163" t="s">
        <v>109</v>
      </c>
      <c r="H2100" s="163" t="str">
        <f>IF(AND('Resource Planner'!$A$51="☑",46&lt;='Resource Planner'!$N$51),'Resource Planner'!$M$51,"")</f>
        <v/>
      </c>
    </row>
    <row r="2101" ht="15.75" customHeight="1">
      <c r="A21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1" s="163" t="str">
        <f>IF(AND('Resource Planner'!$A$51="☑",47&lt;='Resource Planner'!$N$51),'Resource Planner'!$C$51,"")</f>
        <v/>
      </c>
      <c r="C2101" s="163" t="str">
        <f>IF(AND('Resource Planner'!$A$51="☑",47&lt;='Resource Planner'!$N$51),'Resource Planner'!$B$51,"")</f>
        <v/>
      </c>
      <c r="D2101" s="163" t="str">
        <f>IF(AND('Resource Planner'!$A$51="☑",47&lt;='Resource Planner'!$N$51),'Resource Planner'!$D$51,"")</f>
        <v/>
      </c>
      <c r="E2101" s="163" t="str">
        <f>IF(AND('Resource Planner'!$A$51="☑",47&lt;='Resource Planner'!$N$51),'Resource Planner'!$E$51,"")</f>
        <v/>
      </c>
      <c r="F2101" s="163" t="str">
        <f>IF(AND('Resource Planner'!$A$51="☑",47&lt;='Resource Planner'!$N$51),'Resource Planner'!$F$51&amp;" "&amp;('Resource Planner'!$G$51+(47-1)*'Resource Planner'!$I$51)&amp;IF(('Resource Planner'!$G$51+(47-1)*'Resource Planner'!$I$51)=MIN('Resource Planner'!$G$51+47*'Resource Planner'!$I$51-1,'Resource Planner'!$H$51),"","–"&amp;MIN('Resource Planner'!$G$51+47*'Resource Planner'!$I$51-1,'Resource Planner'!$H$51)),"")</f>
        <v/>
      </c>
      <c r="G2101" s="163" t="s">
        <v>109</v>
      </c>
      <c r="H2101" s="163" t="str">
        <f>IF(AND('Resource Planner'!$A$51="☑",47&lt;='Resource Planner'!$N$51),'Resource Planner'!$M$51,"")</f>
        <v/>
      </c>
    </row>
    <row r="2102" ht="15.75" customHeight="1">
      <c r="A21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2" s="163" t="str">
        <f>IF(AND('Resource Planner'!$A$51="☑",48&lt;='Resource Planner'!$N$51),'Resource Planner'!$C$51,"")</f>
        <v/>
      </c>
      <c r="C2102" s="163" t="str">
        <f>IF(AND('Resource Planner'!$A$51="☑",48&lt;='Resource Planner'!$N$51),'Resource Planner'!$B$51,"")</f>
        <v/>
      </c>
      <c r="D2102" s="163" t="str">
        <f>IF(AND('Resource Planner'!$A$51="☑",48&lt;='Resource Planner'!$N$51),'Resource Planner'!$D$51,"")</f>
        <v/>
      </c>
      <c r="E2102" s="163" t="str">
        <f>IF(AND('Resource Planner'!$A$51="☑",48&lt;='Resource Planner'!$N$51),'Resource Planner'!$E$51,"")</f>
        <v/>
      </c>
      <c r="F2102" s="163" t="str">
        <f>IF(AND('Resource Planner'!$A$51="☑",48&lt;='Resource Planner'!$N$51),'Resource Planner'!$F$51&amp;" "&amp;('Resource Planner'!$G$51+(48-1)*'Resource Planner'!$I$51)&amp;IF(('Resource Planner'!$G$51+(48-1)*'Resource Planner'!$I$51)=MIN('Resource Planner'!$G$51+48*'Resource Planner'!$I$51-1,'Resource Planner'!$H$51),"","–"&amp;MIN('Resource Planner'!$G$51+48*'Resource Planner'!$I$51-1,'Resource Planner'!$H$51)),"")</f>
        <v/>
      </c>
      <c r="G2102" s="163" t="s">
        <v>109</v>
      </c>
      <c r="H2102" s="163" t="str">
        <f>IF(AND('Resource Planner'!$A$51="☑",48&lt;='Resource Planner'!$N$51),'Resource Planner'!$M$51,"")</f>
        <v/>
      </c>
    </row>
    <row r="2103" ht="15.75" customHeight="1">
      <c r="A21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3" s="163" t="str">
        <f>IF(AND('Resource Planner'!$A$51="☑",49&lt;='Resource Planner'!$N$51),'Resource Planner'!$C$51,"")</f>
        <v/>
      </c>
      <c r="C2103" s="163" t="str">
        <f>IF(AND('Resource Planner'!$A$51="☑",49&lt;='Resource Planner'!$N$51),'Resource Planner'!$B$51,"")</f>
        <v/>
      </c>
      <c r="D2103" s="163" t="str">
        <f>IF(AND('Resource Planner'!$A$51="☑",49&lt;='Resource Planner'!$N$51),'Resource Planner'!$D$51,"")</f>
        <v/>
      </c>
      <c r="E2103" s="163" t="str">
        <f>IF(AND('Resource Planner'!$A$51="☑",49&lt;='Resource Planner'!$N$51),'Resource Planner'!$E$51,"")</f>
        <v/>
      </c>
      <c r="F2103" s="163" t="str">
        <f>IF(AND('Resource Planner'!$A$51="☑",49&lt;='Resource Planner'!$N$51),'Resource Planner'!$F$51&amp;" "&amp;('Resource Planner'!$G$51+(49-1)*'Resource Planner'!$I$51)&amp;IF(('Resource Planner'!$G$51+(49-1)*'Resource Planner'!$I$51)=MIN('Resource Planner'!$G$51+49*'Resource Planner'!$I$51-1,'Resource Planner'!$H$51),"","–"&amp;MIN('Resource Planner'!$G$51+49*'Resource Planner'!$I$51-1,'Resource Planner'!$H$51)),"")</f>
        <v/>
      </c>
      <c r="G2103" s="163" t="s">
        <v>109</v>
      </c>
      <c r="H2103" s="163" t="str">
        <f>IF(AND('Resource Planner'!$A$51="☑",49&lt;='Resource Planner'!$N$51),'Resource Planner'!$M$51,"")</f>
        <v/>
      </c>
    </row>
    <row r="2104" ht="15.75" customHeight="1">
      <c r="A21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4" s="163" t="str">
        <f>IF(AND('Resource Planner'!$A$51="☑",50&lt;='Resource Planner'!$N$51),'Resource Planner'!$C$51,"")</f>
        <v/>
      </c>
      <c r="C2104" s="163" t="str">
        <f>IF(AND('Resource Planner'!$A$51="☑",50&lt;='Resource Planner'!$N$51),'Resource Planner'!$B$51,"")</f>
        <v/>
      </c>
      <c r="D2104" s="163" t="str">
        <f>IF(AND('Resource Planner'!$A$51="☑",50&lt;='Resource Planner'!$N$51),'Resource Planner'!$D$51,"")</f>
        <v/>
      </c>
      <c r="E2104" s="163" t="str">
        <f>IF(AND('Resource Planner'!$A$51="☑",50&lt;='Resource Planner'!$N$51),'Resource Planner'!$E$51,"")</f>
        <v/>
      </c>
      <c r="F2104" s="163" t="str">
        <f>IF(AND('Resource Planner'!$A$51="☑",50&lt;='Resource Planner'!$N$51),'Resource Planner'!$F$51&amp;" "&amp;('Resource Planner'!$G$51+(50-1)*'Resource Planner'!$I$51)&amp;IF(('Resource Planner'!$G$51+(50-1)*'Resource Planner'!$I$51)=MIN('Resource Planner'!$G$51+50*'Resource Planner'!$I$51-1,'Resource Planner'!$H$51),"","–"&amp;MIN('Resource Planner'!$G$51+50*'Resource Planner'!$I$51-1,'Resource Planner'!$H$51)),"")</f>
        <v/>
      </c>
      <c r="G2104" s="163" t="s">
        <v>109</v>
      </c>
      <c r="H2104" s="163" t="str">
        <f>IF(AND('Resource Planner'!$A$51="☑",50&lt;='Resource Planner'!$N$51),'Resource Planner'!$M$51,"")</f>
        <v/>
      </c>
    </row>
    <row r="2105" ht="15.75" customHeight="1">
      <c r="A21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5" s="163" t="str">
        <f>IF(AND('Resource Planner'!$A$52="☑",1&lt;='Resource Planner'!$N$52),'Resource Planner'!$C$52,"")</f>
        <v/>
      </c>
      <c r="C2105" s="163" t="str">
        <f>IF(AND('Resource Planner'!$A$52="☑",1&lt;='Resource Planner'!$N$52),'Resource Planner'!$B$52,"")</f>
        <v/>
      </c>
      <c r="D2105" s="163" t="str">
        <f>IF(AND('Resource Planner'!$A$52="☑",1&lt;='Resource Planner'!$N$52),'Resource Planner'!$D$52,"")</f>
        <v/>
      </c>
      <c r="E2105" s="163" t="str">
        <f>IF(AND('Resource Planner'!$A$52="☑",1&lt;='Resource Planner'!$N$52),'Resource Planner'!$E$52,"")</f>
        <v/>
      </c>
      <c r="F2105" s="163" t="str">
        <f>IF(AND('Resource Planner'!$A$52="☑",1&lt;='Resource Planner'!$N$52),'Resource Planner'!$F$52&amp;" "&amp;('Resource Planner'!$G$52+(1-1)*'Resource Planner'!$I$52)&amp;IF(('Resource Planner'!$G$52+(1-1)*'Resource Planner'!$I$52)=MIN('Resource Planner'!$G$52+1*'Resource Planner'!$I$52-1,'Resource Planner'!$H$52),"","–"&amp;MIN('Resource Planner'!$G$52+1*'Resource Planner'!$I$52-1,'Resource Planner'!$H$52)),"")</f>
        <v/>
      </c>
      <c r="G2105" s="163" t="s">
        <v>109</v>
      </c>
      <c r="H2105" s="163" t="str">
        <f>IF(AND('Resource Planner'!$A$52="☑",1&lt;='Resource Planner'!$N$52),'Resource Planner'!$M$52,"")</f>
        <v/>
      </c>
    </row>
    <row r="2106" ht="15.75" customHeight="1">
      <c r="A21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6" s="163" t="str">
        <f>IF(AND('Resource Planner'!$A$52="☑",2&lt;='Resource Planner'!$N$52),'Resource Planner'!$C$52,"")</f>
        <v/>
      </c>
      <c r="C2106" s="163" t="str">
        <f>IF(AND('Resource Planner'!$A$52="☑",2&lt;='Resource Planner'!$N$52),'Resource Planner'!$B$52,"")</f>
        <v/>
      </c>
      <c r="D2106" s="163" t="str">
        <f>IF(AND('Resource Planner'!$A$52="☑",2&lt;='Resource Planner'!$N$52),'Resource Planner'!$D$52,"")</f>
        <v/>
      </c>
      <c r="E2106" s="163" t="str">
        <f>IF(AND('Resource Planner'!$A$52="☑",2&lt;='Resource Planner'!$N$52),'Resource Planner'!$E$52,"")</f>
        <v/>
      </c>
      <c r="F2106" s="163" t="str">
        <f>IF(AND('Resource Planner'!$A$52="☑",2&lt;='Resource Planner'!$N$52),'Resource Planner'!$F$52&amp;" "&amp;('Resource Planner'!$G$52+(2-1)*'Resource Planner'!$I$52)&amp;IF(('Resource Planner'!$G$52+(2-1)*'Resource Planner'!$I$52)=MIN('Resource Planner'!$G$52+2*'Resource Planner'!$I$52-1,'Resource Planner'!$H$52),"","–"&amp;MIN('Resource Planner'!$G$52+2*'Resource Planner'!$I$52-1,'Resource Planner'!$H$52)),"")</f>
        <v/>
      </c>
      <c r="G2106" s="163" t="s">
        <v>109</v>
      </c>
      <c r="H2106" s="163" t="str">
        <f>IF(AND('Resource Planner'!$A$52="☑",2&lt;='Resource Planner'!$N$52),'Resource Planner'!$M$52,"")</f>
        <v/>
      </c>
    </row>
    <row r="2107" ht="15.75" customHeight="1">
      <c r="A21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7" s="163" t="str">
        <f>IF(AND('Resource Planner'!$A$52="☑",3&lt;='Resource Planner'!$N$52),'Resource Planner'!$C$52,"")</f>
        <v/>
      </c>
      <c r="C2107" s="163" t="str">
        <f>IF(AND('Resource Planner'!$A$52="☑",3&lt;='Resource Planner'!$N$52),'Resource Planner'!$B$52,"")</f>
        <v/>
      </c>
      <c r="D2107" s="163" t="str">
        <f>IF(AND('Resource Planner'!$A$52="☑",3&lt;='Resource Planner'!$N$52),'Resource Planner'!$D$52,"")</f>
        <v/>
      </c>
      <c r="E2107" s="163" t="str">
        <f>IF(AND('Resource Planner'!$A$52="☑",3&lt;='Resource Planner'!$N$52),'Resource Planner'!$E$52,"")</f>
        <v/>
      </c>
      <c r="F2107" s="163" t="str">
        <f>IF(AND('Resource Planner'!$A$52="☑",3&lt;='Resource Planner'!$N$52),'Resource Planner'!$F$52&amp;" "&amp;('Resource Planner'!$G$52+(3-1)*'Resource Planner'!$I$52)&amp;IF(('Resource Planner'!$G$52+(3-1)*'Resource Planner'!$I$52)=MIN('Resource Planner'!$G$52+3*'Resource Planner'!$I$52-1,'Resource Planner'!$H$52),"","–"&amp;MIN('Resource Planner'!$G$52+3*'Resource Planner'!$I$52-1,'Resource Planner'!$H$52)),"")</f>
        <v/>
      </c>
      <c r="G2107" s="163" t="s">
        <v>109</v>
      </c>
      <c r="H2107" s="163" t="str">
        <f>IF(AND('Resource Planner'!$A$52="☑",3&lt;='Resource Planner'!$N$52),'Resource Planner'!$M$52,"")</f>
        <v/>
      </c>
    </row>
    <row r="2108" ht="15.75" customHeight="1">
      <c r="A21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8" s="163" t="str">
        <f>IF(AND('Resource Planner'!$A$52="☑",4&lt;='Resource Planner'!$N$52),'Resource Planner'!$C$52,"")</f>
        <v/>
      </c>
      <c r="C2108" s="163" t="str">
        <f>IF(AND('Resource Planner'!$A$52="☑",4&lt;='Resource Planner'!$N$52),'Resource Planner'!$B$52,"")</f>
        <v/>
      </c>
      <c r="D2108" s="163" t="str">
        <f>IF(AND('Resource Planner'!$A$52="☑",4&lt;='Resource Planner'!$N$52),'Resource Planner'!$D$52,"")</f>
        <v/>
      </c>
      <c r="E2108" s="163" t="str">
        <f>IF(AND('Resource Planner'!$A$52="☑",4&lt;='Resource Planner'!$N$52),'Resource Planner'!$E$52,"")</f>
        <v/>
      </c>
      <c r="F2108" s="163" t="str">
        <f>IF(AND('Resource Planner'!$A$52="☑",4&lt;='Resource Planner'!$N$52),'Resource Planner'!$F$52&amp;" "&amp;('Resource Planner'!$G$52+(4-1)*'Resource Planner'!$I$52)&amp;IF(('Resource Planner'!$G$52+(4-1)*'Resource Planner'!$I$52)=MIN('Resource Planner'!$G$52+4*'Resource Planner'!$I$52-1,'Resource Planner'!$H$52),"","–"&amp;MIN('Resource Planner'!$G$52+4*'Resource Planner'!$I$52-1,'Resource Planner'!$H$52)),"")</f>
        <v/>
      </c>
      <c r="G2108" s="163" t="s">
        <v>109</v>
      </c>
      <c r="H2108" s="163" t="str">
        <f>IF(AND('Resource Planner'!$A$52="☑",4&lt;='Resource Planner'!$N$52),'Resource Planner'!$M$52,"")</f>
        <v/>
      </c>
    </row>
    <row r="2109" ht="15.75" customHeight="1">
      <c r="A21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09" s="163" t="str">
        <f>IF(AND('Resource Planner'!$A$52="☑",5&lt;='Resource Planner'!$N$52),'Resource Planner'!$C$52,"")</f>
        <v/>
      </c>
      <c r="C2109" s="163" t="str">
        <f>IF(AND('Resource Planner'!$A$52="☑",5&lt;='Resource Planner'!$N$52),'Resource Planner'!$B$52,"")</f>
        <v/>
      </c>
      <c r="D2109" s="163" t="str">
        <f>IF(AND('Resource Planner'!$A$52="☑",5&lt;='Resource Planner'!$N$52),'Resource Planner'!$D$52,"")</f>
        <v/>
      </c>
      <c r="E2109" s="163" t="str">
        <f>IF(AND('Resource Planner'!$A$52="☑",5&lt;='Resource Planner'!$N$52),'Resource Planner'!$E$52,"")</f>
        <v/>
      </c>
      <c r="F2109" s="163" t="str">
        <f>IF(AND('Resource Planner'!$A$52="☑",5&lt;='Resource Planner'!$N$52),'Resource Planner'!$F$52&amp;" "&amp;('Resource Planner'!$G$52+(5-1)*'Resource Planner'!$I$52)&amp;IF(('Resource Planner'!$G$52+(5-1)*'Resource Planner'!$I$52)=MIN('Resource Planner'!$G$52+5*'Resource Planner'!$I$52-1,'Resource Planner'!$H$52),"","–"&amp;MIN('Resource Planner'!$G$52+5*'Resource Planner'!$I$52-1,'Resource Planner'!$H$52)),"")</f>
        <v/>
      </c>
      <c r="G2109" s="163" t="s">
        <v>109</v>
      </c>
      <c r="H2109" s="163" t="str">
        <f>IF(AND('Resource Planner'!$A$52="☑",5&lt;='Resource Planner'!$N$52),'Resource Planner'!$M$52,"")</f>
        <v/>
      </c>
    </row>
    <row r="2110" ht="15.75" customHeight="1">
      <c r="A21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0" s="163" t="str">
        <f>IF(AND('Resource Planner'!$A$52="☑",6&lt;='Resource Planner'!$N$52),'Resource Planner'!$C$52,"")</f>
        <v/>
      </c>
      <c r="C2110" s="163" t="str">
        <f>IF(AND('Resource Planner'!$A$52="☑",6&lt;='Resource Planner'!$N$52),'Resource Planner'!$B$52,"")</f>
        <v/>
      </c>
      <c r="D2110" s="163" t="str">
        <f>IF(AND('Resource Planner'!$A$52="☑",6&lt;='Resource Planner'!$N$52),'Resource Planner'!$D$52,"")</f>
        <v/>
      </c>
      <c r="E2110" s="163" t="str">
        <f>IF(AND('Resource Planner'!$A$52="☑",6&lt;='Resource Planner'!$N$52),'Resource Planner'!$E$52,"")</f>
        <v/>
      </c>
      <c r="F2110" s="163" t="str">
        <f>IF(AND('Resource Planner'!$A$52="☑",6&lt;='Resource Planner'!$N$52),'Resource Planner'!$F$52&amp;" "&amp;('Resource Planner'!$G$52+(6-1)*'Resource Planner'!$I$52)&amp;IF(('Resource Planner'!$G$52+(6-1)*'Resource Planner'!$I$52)=MIN('Resource Planner'!$G$52+6*'Resource Planner'!$I$52-1,'Resource Planner'!$H$52),"","–"&amp;MIN('Resource Planner'!$G$52+6*'Resource Planner'!$I$52-1,'Resource Planner'!$H$52)),"")</f>
        <v/>
      </c>
      <c r="G2110" s="163" t="s">
        <v>109</v>
      </c>
      <c r="H2110" s="163" t="str">
        <f>IF(AND('Resource Planner'!$A$52="☑",6&lt;='Resource Planner'!$N$52),'Resource Planner'!$M$52,"")</f>
        <v/>
      </c>
    </row>
    <row r="2111" ht="15.75" customHeight="1">
      <c r="A21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1" s="163" t="str">
        <f>IF(AND('Resource Planner'!$A$52="☑",7&lt;='Resource Planner'!$N$52),'Resource Planner'!$C$52,"")</f>
        <v/>
      </c>
      <c r="C2111" s="163" t="str">
        <f>IF(AND('Resource Planner'!$A$52="☑",7&lt;='Resource Planner'!$N$52),'Resource Planner'!$B$52,"")</f>
        <v/>
      </c>
      <c r="D2111" s="163" t="str">
        <f>IF(AND('Resource Planner'!$A$52="☑",7&lt;='Resource Planner'!$N$52),'Resource Planner'!$D$52,"")</f>
        <v/>
      </c>
      <c r="E2111" s="163" t="str">
        <f>IF(AND('Resource Planner'!$A$52="☑",7&lt;='Resource Planner'!$N$52),'Resource Planner'!$E$52,"")</f>
        <v/>
      </c>
      <c r="F2111" s="163" t="str">
        <f>IF(AND('Resource Planner'!$A$52="☑",7&lt;='Resource Planner'!$N$52),'Resource Planner'!$F$52&amp;" "&amp;('Resource Planner'!$G$52+(7-1)*'Resource Planner'!$I$52)&amp;IF(('Resource Planner'!$G$52+(7-1)*'Resource Planner'!$I$52)=MIN('Resource Planner'!$G$52+7*'Resource Planner'!$I$52-1,'Resource Planner'!$H$52),"","–"&amp;MIN('Resource Planner'!$G$52+7*'Resource Planner'!$I$52-1,'Resource Planner'!$H$52)),"")</f>
        <v/>
      </c>
      <c r="G2111" s="163" t="s">
        <v>109</v>
      </c>
      <c r="H2111" s="163" t="str">
        <f>IF(AND('Resource Planner'!$A$52="☑",7&lt;='Resource Planner'!$N$52),'Resource Planner'!$M$52,"")</f>
        <v/>
      </c>
    </row>
    <row r="2112" ht="15.75" customHeight="1">
      <c r="A21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2" s="163" t="str">
        <f>IF(AND('Resource Planner'!$A$52="☑",8&lt;='Resource Planner'!$N$52),'Resource Planner'!$C$52,"")</f>
        <v/>
      </c>
      <c r="C2112" s="163" t="str">
        <f>IF(AND('Resource Planner'!$A$52="☑",8&lt;='Resource Planner'!$N$52),'Resource Planner'!$B$52,"")</f>
        <v/>
      </c>
      <c r="D2112" s="163" t="str">
        <f>IF(AND('Resource Planner'!$A$52="☑",8&lt;='Resource Planner'!$N$52),'Resource Planner'!$D$52,"")</f>
        <v/>
      </c>
      <c r="E2112" s="163" t="str">
        <f>IF(AND('Resource Planner'!$A$52="☑",8&lt;='Resource Planner'!$N$52),'Resource Planner'!$E$52,"")</f>
        <v/>
      </c>
      <c r="F2112" s="163" t="str">
        <f>IF(AND('Resource Planner'!$A$52="☑",8&lt;='Resource Planner'!$N$52),'Resource Planner'!$F$52&amp;" "&amp;('Resource Planner'!$G$52+(8-1)*'Resource Planner'!$I$52)&amp;IF(('Resource Planner'!$G$52+(8-1)*'Resource Planner'!$I$52)=MIN('Resource Planner'!$G$52+8*'Resource Planner'!$I$52-1,'Resource Planner'!$H$52),"","–"&amp;MIN('Resource Planner'!$G$52+8*'Resource Planner'!$I$52-1,'Resource Planner'!$H$52)),"")</f>
        <v/>
      </c>
      <c r="G2112" s="163" t="s">
        <v>109</v>
      </c>
      <c r="H2112" s="163" t="str">
        <f>IF(AND('Resource Planner'!$A$52="☑",8&lt;='Resource Planner'!$N$52),'Resource Planner'!$M$52,"")</f>
        <v/>
      </c>
    </row>
    <row r="2113" ht="15.75" customHeight="1">
      <c r="A21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3" s="163" t="str">
        <f>IF(AND('Resource Planner'!$A$52="☑",9&lt;='Resource Planner'!$N$52),'Resource Planner'!$C$52,"")</f>
        <v/>
      </c>
      <c r="C2113" s="163" t="str">
        <f>IF(AND('Resource Planner'!$A$52="☑",9&lt;='Resource Planner'!$N$52),'Resource Planner'!$B$52,"")</f>
        <v/>
      </c>
      <c r="D2113" s="163" t="str">
        <f>IF(AND('Resource Planner'!$A$52="☑",9&lt;='Resource Planner'!$N$52),'Resource Planner'!$D$52,"")</f>
        <v/>
      </c>
      <c r="E2113" s="163" t="str">
        <f>IF(AND('Resource Planner'!$A$52="☑",9&lt;='Resource Planner'!$N$52),'Resource Planner'!$E$52,"")</f>
        <v/>
      </c>
      <c r="F2113" s="163" t="str">
        <f>IF(AND('Resource Planner'!$A$52="☑",9&lt;='Resource Planner'!$N$52),'Resource Planner'!$F$52&amp;" "&amp;('Resource Planner'!$G$52+(9-1)*'Resource Planner'!$I$52)&amp;IF(('Resource Planner'!$G$52+(9-1)*'Resource Planner'!$I$52)=MIN('Resource Planner'!$G$52+9*'Resource Planner'!$I$52-1,'Resource Planner'!$H$52),"","–"&amp;MIN('Resource Planner'!$G$52+9*'Resource Planner'!$I$52-1,'Resource Planner'!$H$52)),"")</f>
        <v/>
      </c>
      <c r="G2113" s="163" t="s">
        <v>109</v>
      </c>
      <c r="H2113" s="163" t="str">
        <f>IF(AND('Resource Planner'!$A$52="☑",9&lt;='Resource Planner'!$N$52),'Resource Planner'!$M$52,"")</f>
        <v/>
      </c>
    </row>
    <row r="2114" ht="15.75" customHeight="1">
      <c r="A21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4" s="163" t="str">
        <f>IF(AND('Resource Planner'!$A$52="☑",10&lt;='Resource Planner'!$N$52),'Resource Planner'!$C$52,"")</f>
        <v/>
      </c>
      <c r="C2114" s="163" t="str">
        <f>IF(AND('Resource Planner'!$A$52="☑",10&lt;='Resource Planner'!$N$52),'Resource Planner'!$B$52,"")</f>
        <v/>
      </c>
      <c r="D2114" s="163" t="str">
        <f>IF(AND('Resource Planner'!$A$52="☑",10&lt;='Resource Planner'!$N$52),'Resource Planner'!$D$52,"")</f>
        <v/>
      </c>
      <c r="E2114" s="163" t="str">
        <f>IF(AND('Resource Planner'!$A$52="☑",10&lt;='Resource Planner'!$N$52),'Resource Planner'!$E$52,"")</f>
        <v/>
      </c>
      <c r="F2114" s="163" t="str">
        <f>IF(AND('Resource Planner'!$A$52="☑",10&lt;='Resource Planner'!$N$52),'Resource Planner'!$F$52&amp;" "&amp;('Resource Planner'!$G$52+(10-1)*'Resource Planner'!$I$52)&amp;IF(('Resource Planner'!$G$52+(10-1)*'Resource Planner'!$I$52)=MIN('Resource Planner'!$G$52+10*'Resource Planner'!$I$52-1,'Resource Planner'!$H$52),"","–"&amp;MIN('Resource Planner'!$G$52+10*'Resource Planner'!$I$52-1,'Resource Planner'!$H$52)),"")</f>
        <v/>
      </c>
      <c r="G2114" s="163" t="s">
        <v>109</v>
      </c>
      <c r="H2114" s="163" t="str">
        <f>IF(AND('Resource Planner'!$A$52="☑",10&lt;='Resource Planner'!$N$52),'Resource Planner'!$M$52,"")</f>
        <v/>
      </c>
    </row>
    <row r="2115" ht="15.75" customHeight="1">
      <c r="A21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5" s="163" t="str">
        <f>IF(AND('Resource Planner'!$A$52="☑",11&lt;='Resource Planner'!$N$52),'Resource Planner'!$C$52,"")</f>
        <v/>
      </c>
      <c r="C2115" s="163" t="str">
        <f>IF(AND('Resource Planner'!$A$52="☑",11&lt;='Resource Planner'!$N$52),'Resource Planner'!$B$52,"")</f>
        <v/>
      </c>
      <c r="D2115" s="163" t="str">
        <f>IF(AND('Resource Planner'!$A$52="☑",11&lt;='Resource Planner'!$N$52),'Resource Planner'!$D$52,"")</f>
        <v/>
      </c>
      <c r="E2115" s="163" t="str">
        <f>IF(AND('Resource Planner'!$A$52="☑",11&lt;='Resource Planner'!$N$52),'Resource Planner'!$E$52,"")</f>
        <v/>
      </c>
      <c r="F2115" s="163" t="str">
        <f>IF(AND('Resource Planner'!$A$52="☑",11&lt;='Resource Planner'!$N$52),'Resource Planner'!$F$52&amp;" "&amp;('Resource Planner'!$G$52+(11-1)*'Resource Planner'!$I$52)&amp;IF(('Resource Planner'!$G$52+(11-1)*'Resource Planner'!$I$52)=MIN('Resource Planner'!$G$52+11*'Resource Planner'!$I$52-1,'Resource Planner'!$H$52),"","–"&amp;MIN('Resource Planner'!$G$52+11*'Resource Planner'!$I$52-1,'Resource Planner'!$H$52)),"")</f>
        <v/>
      </c>
      <c r="G2115" s="163" t="s">
        <v>109</v>
      </c>
      <c r="H2115" s="163" t="str">
        <f>IF(AND('Resource Planner'!$A$52="☑",11&lt;='Resource Planner'!$N$52),'Resource Planner'!$M$52,"")</f>
        <v/>
      </c>
    </row>
    <row r="2116" ht="15.75" customHeight="1">
      <c r="A21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6" s="163" t="str">
        <f>IF(AND('Resource Planner'!$A$52="☑",12&lt;='Resource Planner'!$N$52),'Resource Planner'!$C$52,"")</f>
        <v/>
      </c>
      <c r="C2116" s="163" t="str">
        <f>IF(AND('Resource Planner'!$A$52="☑",12&lt;='Resource Planner'!$N$52),'Resource Planner'!$B$52,"")</f>
        <v/>
      </c>
      <c r="D2116" s="163" t="str">
        <f>IF(AND('Resource Planner'!$A$52="☑",12&lt;='Resource Planner'!$N$52),'Resource Planner'!$D$52,"")</f>
        <v/>
      </c>
      <c r="E2116" s="163" t="str">
        <f>IF(AND('Resource Planner'!$A$52="☑",12&lt;='Resource Planner'!$N$52),'Resource Planner'!$E$52,"")</f>
        <v/>
      </c>
      <c r="F2116" s="163" t="str">
        <f>IF(AND('Resource Planner'!$A$52="☑",12&lt;='Resource Planner'!$N$52),'Resource Planner'!$F$52&amp;" "&amp;('Resource Planner'!$G$52+(12-1)*'Resource Planner'!$I$52)&amp;IF(('Resource Planner'!$G$52+(12-1)*'Resource Planner'!$I$52)=MIN('Resource Planner'!$G$52+12*'Resource Planner'!$I$52-1,'Resource Planner'!$H$52),"","–"&amp;MIN('Resource Planner'!$G$52+12*'Resource Planner'!$I$52-1,'Resource Planner'!$H$52)),"")</f>
        <v/>
      </c>
      <c r="G2116" s="163" t="s">
        <v>109</v>
      </c>
      <c r="H2116" s="163" t="str">
        <f>IF(AND('Resource Planner'!$A$52="☑",12&lt;='Resource Planner'!$N$52),'Resource Planner'!$M$52,"")</f>
        <v/>
      </c>
    </row>
    <row r="2117" ht="15.75" customHeight="1">
      <c r="A21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7" s="163" t="str">
        <f>IF(AND('Resource Planner'!$A$52="☑",13&lt;='Resource Planner'!$N$52),'Resource Planner'!$C$52,"")</f>
        <v/>
      </c>
      <c r="C2117" s="163" t="str">
        <f>IF(AND('Resource Planner'!$A$52="☑",13&lt;='Resource Planner'!$N$52),'Resource Planner'!$B$52,"")</f>
        <v/>
      </c>
      <c r="D2117" s="163" t="str">
        <f>IF(AND('Resource Planner'!$A$52="☑",13&lt;='Resource Planner'!$N$52),'Resource Planner'!$D$52,"")</f>
        <v/>
      </c>
      <c r="E2117" s="163" t="str">
        <f>IF(AND('Resource Planner'!$A$52="☑",13&lt;='Resource Planner'!$N$52),'Resource Planner'!$E$52,"")</f>
        <v/>
      </c>
      <c r="F2117" s="163" t="str">
        <f>IF(AND('Resource Planner'!$A$52="☑",13&lt;='Resource Planner'!$N$52),'Resource Planner'!$F$52&amp;" "&amp;('Resource Planner'!$G$52+(13-1)*'Resource Planner'!$I$52)&amp;IF(('Resource Planner'!$G$52+(13-1)*'Resource Planner'!$I$52)=MIN('Resource Planner'!$G$52+13*'Resource Planner'!$I$52-1,'Resource Planner'!$H$52),"","–"&amp;MIN('Resource Planner'!$G$52+13*'Resource Planner'!$I$52-1,'Resource Planner'!$H$52)),"")</f>
        <v/>
      </c>
      <c r="G2117" s="163" t="s">
        <v>109</v>
      </c>
      <c r="H2117" s="163" t="str">
        <f>IF(AND('Resource Planner'!$A$52="☑",13&lt;='Resource Planner'!$N$52),'Resource Planner'!$M$52,"")</f>
        <v/>
      </c>
    </row>
    <row r="2118" ht="15.75" customHeight="1">
      <c r="A21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8" s="163" t="str">
        <f>IF(AND('Resource Planner'!$A$52="☑",14&lt;='Resource Planner'!$N$52),'Resource Planner'!$C$52,"")</f>
        <v/>
      </c>
      <c r="C2118" s="163" t="str">
        <f>IF(AND('Resource Planner'!$A$52="☑",14&lt;='Resource Planner'!$N$52),'Resource Planner'!$B$52,"")</f>
        <v/>
      </c>
      <c r="D2118" s="163" t="str">
        <f>IF(AND('Resource Planner'!$A$52="☑",14&lt;='Resource Planner'!$N$52),'Resource Planner'!$D$52,"")</f>
        <v/>
      </c>
      <c r="E2118" s="163" t="str">
        <f>IF(AND('Resource Planner'!$A$52="☑",14&lt;='Resource Planner'!$N$52),'Resource Planner'!$E$52,"")</f>
        <v/>
      </c>
      <c r="F2118" s="163" t="str">
        <f>IF(AND('Resource Planner'!$A$52="☑",14&lt;='Resource Planner'!$N$52),'Resource Planner'!$F$52&amp;" "&amp;('Resource Planner'!$G$52+(14-1)*'Resource Planner'!$I$52)&amp;IF(('Resource Planner'!$G$52+(14-1)*'Resource Planner'!$I$52)=MIN('Resource Planner'!$G$52+14*'Resource Planner'!$I$52-1,'Resource Planner'!$H$52),"","–"&amp;MIN('Resource Planner'!$G$52+14*'Resource Planner'!$I$52-1,'Resource Planner'!$H$52)),"")</f>
        <v/>
      </c>
      <c r="G2118" s="163" t="s">
        <v>109</v>
      </c>
      <c r="H2118" s="163" t="str">
        <f>IF(AND('Resource Planner'!$A$52="☑",14&lt;='Resource Planner'!$N$52),'Resource Planner'!$M$52,"")</f>
        <v/>
      </c>
    </row>
    <row r="2119" ht="15.75" customHeight="1">
      <c r="A21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19" s="163" t="str">
        <f>IF(AND('Resource Planner'!$A$52="☑",15&lt;='Resource Planner'!$N$52),'Resource Planner'!$C$52,"")</f>
        <v/>
      </c>
      <c r="C2119" s="163" t="str">
        <f>IF(AND('Resource Planner'!$A$52="☑",15&lt;='Resource Planner'!$N$52),'Resource Planner'!$B$52,"")</f>
        <v/>
      </c>
      <c r="D2119" s="163" t="str">
        <f>IF(AND('Resource Planner'!$A$52="☑",15&lt;='Resource Planner'!$N$52),'Resource Planner'!$D$52,"")</f>
        <v/>
      </c>
      <c r="E2119" s="163" t="str">
        <f>IF(AND('Resource Planner'!$A$52="☑",15&lt;='Resource Planner'!$N$52),'Resource Planner'!$E$52,"")</f>
        <v/>
      </c>
      <c r="F2119" s="163" t="str">
        <f>IF(AND('Resource Planner'!$A$52="☑",15&lt;='Resource Planner'!$N$52),'Resource Planner'!$F$52&amp;" "&amp;('Resource Planner'!$G$52+(15-1)*'Resource Planner'!$I$52)&amp;IF(('Resource Planner'!$G$52+(15-1)*'Resource Planner'!$I$52)=MIN('Resource Planner'!$G$52+15*'Resource Planner'!$I$52-1,'Resource Planner'!$H$52),"","–"&amp;MIN('Resource Planner'!$G$52+15*'Resource Planner'!$I$52-1,'Resource Planner'!$H$52)),"")</f>
        <v/>
      </c>
      <c r="G2119" s="163" t="s">
        <v>109</v>
      </c>
      <c r="H2119" s="163" t="str">
        <f>IF(AND('Resource Planner'!$A$52="☑",15&lt;='Resource Planner'!$N$52),'Resource Planner'!$M$52,"")</f>
        <v/>
      </c>
    </row>
    <row r="2120" ht="15.75" customHeight="1">
      <c r="A21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0" s="163" t="str">
        <f>IF(AND('Resource Planner'!$A$52="☑",16&lt;='Resource Planner'!$N$52),'Resource Planner'!$C$52,"")</f>
        <v/>
      </c>
      <c r="C2120" s="163" t="str">
        <f>IF(AND('Resource Planner'!$A$52="☑",16&lt;='Resource Planner'!$N$52),'Resource Planner'!$B$52,"")</f>
        <v/>
      </c>
      <c r="D2120" s="163" t="str">
        <f>IF(AND('Resource Planner'!$A$52="☑",16&lt;='Resource Planner'!$N$52),'Resource Planner'!$D$52,"")</f>
        <v/>
      </c>
      <c r="E2120" s="163" t="str">
        <f>IF(AND('Resource Planner'!$A$52="☑",16&lt;='Resource Planner'!$N$52),'Resource Planner'!$E$52,"")</f>
        <v/>
      </c>
      <c r="F2120" s="163" t="str">
        <f>IF(AND('Resource Planner'!$A$52="☑",16&lt;='Resource Planner'!$N$52),'Resource Planner'!$F$52&amp;" "&amp;('Resource Planner'!$G$52+(16-1)*'Resource Planner'!$I$52)&amp;IF(('Resource Planner'!$G$52+(16-1)*'Resource Planner'!$I$52)=MIN('Resource Planner'!$G$52+16*'Resource Planner'!$I$52-1,'Resource Planner'!$H$52),"","–"&amp;MIN('Resource Planner'!$G$52+16*'Resource Planner'!$I$52-1,'Resource Planner'!$H$52)),"")</f>
        <v/>
      </c>
      <c r="G2120" s="163" t="s">
        <v>109</v>
      </c>
      <c r="H2120" s="163" t="str">
        <f>IF(AND('Resource Planner'!$A$52="☑",16&lt;='Resource Planner'!$N$52),'Resource Planner'!$M$52,"")</f>
        <v/>
      </c>
    </row>
    <row r="2121" ht="15.75" customHeight="1">
      <c r="A21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1" s="163" t="str">
        <f>IF(AND('Resource Planner'!$A$52="☑",17&lt;='Resource Planner'!$N$52),'Resource Planner'!$C$52,"")</f>
        <v/>
      </c>
      <c r="C2121" s="163" t="str">
        <f>IF(AND('Resource Planner'!$A$52="☑",17&lt;='Resource Planner'!$N$52),'Resource Planner'!$B$52,"")</f>
        <v/>
      </c>
      <c r="D2121" s="163" t="str">
        <f>IF(AND('Resource Planner'!$A$52="☑",17&lt;='Resource Planner'!$N$52),'Resource Planner'!$D$52,"")</f>
        <v/>
      </c>
      <c r="E2121" s="163" t="str">
        <f>IF(AND('Resource Planner'!$A$52="☑",17&lt;='Resource Planner'!$N$52),'Resource Planner'!$E$52,"")</f>
        <v/>
      </c>
      <c r="F2121" s="163" t="str">
        <f>IF(AND('Resource Planner'!$A$52="☑",17&lt;='Resource Planner'!$N$52),'Resource Planner'!$F$52&amp;" "&amp;('Resource Planner'!$G$52+(17-1)*'Resource Planner'!$I$52)&amp;IF(('Resource Planner'!$G$52+(17-1)*'Resource Planner'!$I$52)=MIN('Resource Planner'!$G$52+17*'Resource Planner'!$I$52-1,'Resource Planner'!$H$52),"","–"&amp;MIN('Resource Planner'!$G$52+17*'Resource Planner'!$I$52-1,'Resource Planner'!$H$52)),"")</f>
        <v/>
      </c>
      <c r="G2121" s="163" t="s">
        <v>109</v>
      </c>
      <c r="H2121" s="163" t="str">
        <f>IF(AND('Resource Planner'!$A$52="☑",17&lt;='Resource Planner'!$N$52),'Resource Planner'!$M$52,"")</f>
        <v/>
      </c>
    </row>
    <row r="2122" ht="15.75" customHeight="1">
      <c r="A21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2" s="163" t="str">
        <f>IF(AND('Resource Planner'!$A$52="☑",18&lt;='Resource Planner'!$N$52),'Resource Planner'!$C$52,"")</f>
        <v/>
      </c>
      <c r="C2122" s="163" t="str">
        <f>IF(AND('Resource Planner'!$A$52="☑",18&lt;='Resource Planner'!$N$52),'Resource Planner'!$B$52,"")</f>
        <v/>
      </c>
      <c r="D2122" s="163" t="str">
        <f>IF(AND('Resource Planner'!$A$52="☑",18&lt;='Resource Planner'!$N$52),'Resource Planner'!$D$52,"")</f>
        <v/>
      </c>
      <c r="E2122" s="163" t="str">
        <f>IF(AND('Resource Planner'!$A$52="☑",18&lt;='Resource Planner'!$N$52),'Resource Planner'!$E$52,"")</f>
        <v/>
      </c>
      <c r="F2122" s="163" t="str">
        <f>IF(AND('Resource Planner'!$A$52="☑",18&lt;='Resource Planner'!$N$52),'Resource Planner'!$F$52&amp;" "&amp;('Resource Planner'!$G$52+(18-1)*'Resource Planner'!$I$52)&amp;IF(('Resource Planner'!$G$52+(18-1)*'Resource Planner'!$I$52)=MIN('Resource Planner'!$G$52+18*'Resource Planner'!$I$52-1,'Resource Planner'!$H$52),"","–"&amp;MIN('Resource Planner'!$G$52+18*'Resource Planner'!$I$52-1,'Resource Planner'!$H$52)),"")</f>
        <v/>
      </c>
      <c r="G2122" s="163" t="s">
        <v>109</v>
      </c>
      <c r="H2122" s="163" t="str">
        <f>IF(AND('Resource Planner'!$A$52="☑",18&lt;='Resource Planner'!$N$52),'Resource Planner'!$M$52,"")</f>
        <v/>
      </c>
    </row>
    <row r="2123" ht="15.75" customHeight="1">
      <c r="A21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3" s="163" t="str">
        <f>IF(AND('Resource Planner'!$A$52="☑",19&lt;='Resource Planner'!$N$52),'Resource Planner'!$C$52,"")</f>
        <v/>
      </c>
      <c r="C2123" s="163" t="str">
        <f>IF(AND('Resource Planner'!$A$52="☑",19&lt;='Resource Planner'!$N$52),'Resource Planner'!$B$52,"")</f>
        <v/>
      </c>
      <c r="D2123" s="163" t="str">
        <f>IF(AND('Resource Planner'!$A$52="☑",19&lt;='Resource Planner'!$N$52),'Resource Planner'!$D$52,"")</f>
        <v/>
      </c>
      <c r="E2123" s="163" t="str">
        <f>IF(AND('Resource Planner'!$A$52="☑",19&lt;='Resource Planner'!$N$52),'Resource Planner'!$E$52,"")</f>
        <v/>
      </c>
      <c r="F2123" s="163" t="str">
        <f>IF(AND('Resource Planner'!$A$52="☑",19&lt;='Resource Planner'!$N$52),'Resource Planner'!$F$52&amp;" "&amp;('Resource Planner'!$G$52+(19-1)*'Resource Planner'!$I$52)&amp;IF(('Resource Planner'!$G$52+(19-1)*'Resource Planner'!$I$52)=MIN('Resource Planner'!$G$52+19*'Resource Planner'!$I$52-1,'Resource Planner'!$H$52),"","–"&amp;MIN('Resource Planner'!$G$52+19*'Resource Planner'!$I$52-1,'Resource Planner'!$H$52)),"")</f>
        <v/>
      </c>
      <c r="G2123" s="163" t="s">
        <v>109</v>
      </c>
      <c r="H2123" s="163" t="str">
        <f>IF(AND('Resource Planner'!$A$52="☑",19&lt;='Resource Planner'!$N$52),'Resource Planner'!$M$52,"")</f>
        <v/>
      </c>
    </row>
    <row r="2124" ht="15.75" customHeight="1">
      <c r="A21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4" s="163" t="str">
        <f>IF(AND('Resource Planner'!$A$52="☑",20&lt;='Resource Planner'!$N$52),'Resource Planner'!$C$52,"")</f>
        <v/>
      </c>
      <c r="C2124" s="163" t="str">
        <f>IF(AND('Resource Planner'!$A$52="☑",20&lt;='Resource Planner'!$N$52),'Resource Planner'!$B$52,"")</f>
        <v/>
      </c>
      <c r="D2124" s="163" t="str">
        <f>IF(AND('Resource Planner'!$A$52="☑",20&lt;='Resource Planner'!$N$52),'Resource Planner'!$D$52,"")</f>
        <v/>
      </c>
      <c r="E2124" s="163" t="str">
        <f>IF(AND('Resource Planner'!$A$52="☑",20&lt;='Resource Planner'!$N$52),'Resource Planner'!$E$52,"")</f>
        <v/>
      </c>
      <c r="F2124" s="163" t="str">
        <f>IF(AND('Resource Planner'!$A$52="☑",20&lt;='Resource Planner'!$N$52),'Resource Planner'!$F$52&amp;" "&amp;('Resource Planner'!$G$52+(20-1)*'Resource Planner'!$I$52)&amp;IF(('Resource Planner'!$G$52+(20-1)*'Resource Planner'!$I$52)=MIN('Resource Planner'!$G$52+20*'Resource Planner'!$I$52-1,'Resource Planner'!$H$52),"","–"&amp;MIN('Resource Planner'!$G$52+20*'Resource Planner'!$I$52-1,'Resource Planner'!$H$52)),"")</f>
        <v/>
      </c>
      <c r="G2124" s="163" t="s">
        <v>109</v>
      </c>
      <c r="H2124" s="163" t="str">
        <f>IF(AND('Resource Planner'!$A$52="☑",20&lt;='Resource Planner'!$N$52),'Resource Planner'!$M$52,"")</f>
        <v/>
      </c>
    </row>
    <row r="2125" ht="15.75" customHeight="1">
      <c r="A21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5" s="163" t="str">
        <f>IF(AND('Resource Planner'!$A$52="☑",21&lt;='Resource Planner'!$N$52),'Resource Planner'!$C$52,"")</f>
        <v/>
      </c>
      <c r="C2125" s="163" t="str">
        <f>IF(AND('Resource Planner'!$A$52="☑",21&lt;='Resource Planner'!$N$52),'Resource Planner'!$B$52,"")</f>
        <v/>
      </c>
      <c r="D2125" s="163" t="str">
        <f>IF(AND('Resource Planner'!$A$52="☑",21&lt;='Resource Planner'!$N$52),'Resource Planner'!$D$52,"")</f>
        <v/>
      </c>
      <c r="E2125" s="163" t="str">
        <f>IF(AND('Resource Planner'!$A$52="☑",21&lt;='Resource Planner'!$N$52),'Resource Planner'!$E$52,"")</f>
        <v/>
      </c>
      <c r="F2125" s="163" t="str">
        <f>IF(AND('Resource Planner'!$A$52="☑",21&lt;='Resource Planner'!$N$52),'Resource Planner'!$F$52&amp;" "&amp;('Resource Planner'!$G$52+(21-1)*'Resource Planner'!$I$52)&amp;IF(('Resource Planner'!$G$52+(21-1)*'Resource Planner'!$I$52)=MIN('Resource Planner'!$G$52+21*'Resource Planner'!$I$52-1,'Resource Planner'!$H$52),"","–"&amp;MIN('Resource Planner'!$G$52+21*'Resource Planner'!$I$52-1,'Resource Planner'!$H$52)),"")</f>
        <v/>
      </c>
      <c r="G2125" s="163" t="s">
        <v>109</v>
      </c>
      <c r="H2125" s="163" t="str">
        <f>IF(AND('Resource Planner'!$A$52="☑",21&lt;='Resource Planner'!$N$52),'Resource Planner'!$M$52,"")</f>
        <v/>
      </c>
    </row>
    <row r="2126" ht="15.75" customHeight="1">
      <c r="A21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6" s="163" t="str">
        <f>IF(AND('Resource Planner'!$A$52="☑",22&lt;='Resource Planner'!$N$52),'Resource Planner'!$C$52,"")</f>
        <v/>
      </c>
      <c r="C2126" s="163" t="str">
        <f>IF(AND('Resource Planner'!$A$52="☑",22&lt;='Resource Planner'!$N$52),'Resource Planner'!$B$52,"")</f>
        <v/>
      </c>
      <c r="D2126" s="163" t="str">
        <f>IF(AND('Resource Planner'!$A$52="☑",22&lt;='Resource Planner'!$N$52),'Resource Planner'!$D$52,"")</f>
        <v/>
      </c>
      <c r="E2126" s="163" t="str">
        <f>IF(AND('Resource Planner'!$A$52="☑",22&lt;='Resource Planner'!$N$52),'Resource Planner'!$E$52,"")</f>
        <v/>
      </c>
      <c r="F2126" s="163" t="str">
        <f>IF(AND('Resource Planner'!$A$52="☑",22&lt;='Resource Planner'!$N$52),'Resource Planner'!$F$52&amp;" "&amp;('Resource Planner'!$G$52+(22-1)*'Resource Planner'!$I$52)&amp;IF(('Resource Planner'!$G$52+(22-1)*'Resource Planner'!$I$52)=MIN('Resource Planner'!$G$52+22*'Resource Planner'!$I$52-1,'Resource Planner'!$H$52),"","–"&amp;MIN('Resource Planner'!$G$52+22*'Resource Planner'!$I$52-1,'Resource Planner'!$H$52)),"")</f>
        <v/>
      </c>
      <c r="G2126" s="163" t="s">
        <v>109</v>
      </c>
      <c r="H2126" s="163" t="str">
        <f>IF(AND('Resource Planner'!$A$52="☑",22&lt;='Resource Planner'!$N$52),'Resource Planner'!$M$52,"")</f>
        <v/>
      </c>
    </row>
    <row r="2127" ht="15.75" customHeight="1">
      <c r="A21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7" s="163" t="str">
        <f>IF(AND('Resource Planner'!$A$52="☑",23&lt;='Resource Planner'!$N$52),'Resource Planner'!$C$52,"")</f>
        <v/>
      </c>
      <c r="C2127" s="163" t="str">
        <f>IF(AND('Resource Planner'!$A$52="☑",23&lt;='Resource Planner'!$N$52),'Resource Planner'!$B$52,"")</f>
        <v/>
      </c>
      <c r="D2127" s="163" t="str">
        <f>IF(AND('Resource Planner'!$A$52="☑",23&lt;='Resource Planner'!$N$52),'Resource Planner'!$D$52,"")</f>
        <v/>
      </c>
      <c r="E2127" s="163" t="str">
        <f>IF(AND('Resource Planner'!$A$52="☑",23&lt;='Resource Planner'!$N$52),'Resource Planner'!$E$52,"")</f>
        <v/>
      </c>
      <c r="F2127" s="163" t="str">
        <f>IF(AND('Resource Planner'!$A$52="☑",23&lt;='Resource Planner'!$N$52),'Resource Planner'!$F$52&amp;" "&amp;('Resource Planner'!$G$52+(23-1)*'Resource Planner'!$I$52)&amp;IF(('Resource Planner'!$G$52+(23-1)*'Resource Planner'!$I$52)=MIN('Resource Planner'!$G$52+23*'Resource Planner'!$I$52-1,'Resource Planner'!$H$52),"","–"&amp;MIN('Resource Planner'!$G$52+23*'Resource Planner'!$I$52-1,'Resource Planner'!$H$52)),"")</f>
        <v/>
      </c>
      <c r="G2127" s="163" t="s">
        <v>109</v>
      </c>
      <c r="H2127" s="163" t="str">
        <f>IF(AND('Resource Planner'!$A$52="☑",23&lt;='Resource Planner'!$N$52),'Resource Planner'!$M$52,"")</f>
        <v/>
      </c>
    </row>
    <row r="2128" ht="15.75" customHeight="1">
      <c r="A21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8" s="163" t="str">
        <f>IF(AND('Resource Planner'!$A$52="☑",24&lt;='Resource Planner'!$N$52),'Resource Planner'!$C$52,"")</f>
        <v/>
      </c>
      <c r="C2128" s="163" t="str">
        <f>IF(AND('Resource Planner'!$A$52="☑",24&lt;='Resource Planner'!$N$52),'Resource Planner'!$B$52,"")</f>
        <v/>
      </c>
      <c r="D2128" s="163" t="str">
        <f>IF(AND('Resource Planner'!$A$52="☑",24&lt;='Resource Planner'!$N$52),'Resource Planner'!$D$52,"")</f>
        <v/>
      </c>
      <c r="E2128" s="163" t="str">
        <f>IF(AND('Resource Planner'!$A$52="☑",24&lt;='Resource Planner'!$N$52),'Resource Planner'!$E$52,"")</f>
        <v/>
      </c>
      <c r="F2128" s="163" t="str">
        <f>IF(AND('Resource Planner'!$A$52="☑",24&lt;='Resource Planner'!$N$52),'Resource Planner'!$F$52&amp;" "&amp;('Resource Planner'!$G$52+(24-1)*'Resource Planner'!$I$52)&amp;IF(('Resource Planner'!$G$52+(24-1)*'Resource Planner'!$I$52)=MIN('Resource Planner'!$G$52+24*'Resource Planner'!$I$52-1,'Resource Planner'!$H$52),"","–"&amp;MIN('Resource Planner'!$G$52+24*'Resource Planner'!$I$52-1,'Resource Planner'!$H$52)),"")</f>
        <v/>
      </c>
      <c r="G2128" s="163" t="s">
        <v>109</v>
      </c>
      <c r="H2128" s="163" t="str">
        <f>IF(AND('Resource Planner'!$A$52="☑",24&lt;='Resource Planner'!$N$52),'Resource Planner'!$M$52,"")</f>
        <v/>
      </c>
    </row>
    <row r="2129" ht="15.75" customHeight="1">
      <c r="A21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29" s="163" t="str">
        <f>IF(AND('Resource Planner'!$A$52="☑",25&lt;='Resource Planner'!$N$52),'Resource Planner'!$C$52,"")</f>
        <v/>
      </c>
      <c r="C2129" s="163" t="str">
        <f>IF(AND('Resource Planner'!$A$52="☑",25&lt;='Resource Planner'!$N$52),'Resource Planner'!$B$52,"")</f>
        <v/>
      </c>
      <c r="D2129" s="163" t="str">
        <f>IF(AND('Resource Planner'!$A$52="☑",25&lt;='Resource Planner'!$N$52),'Resource Planner'!$D$52,"")</f>
        <v/>
      </c>
      <c r="E2129" s="163" t="str">
        <f>IF(AND('Resource Planner'!$A$52="☑",25&lt;='Resource Planner'!$N$52),'Resource Planner'!$E$52,"")</f>
        <v/>
      </c>
      <c r="F2129" s="163" t="str">
        <f>IF(AND('Resource Planner'!$A$52="☑",25&lt;='Resource Planner'!$N$52),'Resource Planner'!$F$52&amp;" "&amp;('Resource Planner'!$G$52+(25-1)*'Resource Planner'!$I$52)&amp;IF(('Resource Planner'!$G$52+(25-1)*'Resource Planner'!$I$52)=MIN('Resource Planner'!$G$52+25*'Resource Planner'!$I$52-1,'Resource Planner'!$H$52),"","–"&amp;MIN('Resource Planner'!$G$52+25*'Resource Planner'!$I$52-1,'Resource Planner'!$H$52)),"")</f>
        <v/>
      </c>
      <c r="G2129" s="163" t="s">
        <v>109</v>
      </c>
      <c r="H2129" s="163" t="str">
        <f>IF(AND('Resource Planner'!$A$52="☑",25&lt;='Resource Planner'!$N$52),'Resource Planner'!$M$52,"")</f>
        <v/>
      </c>
    </row>
    <row r="2130" ht="15.75" customHeight="1">
      <c r="A21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0" s="163" t="str">
        <f>IF(AND('Resource Planner'!$A$52="☑",26&lt;='Resource Planner'!$N$52),'Resource Planner'!$C$52,"")</f>
        <v/>
      </c>
      <c r="C2130" s="163" t="str">
        <f>IF(AND('Resource Planner'!$A$52="☑",26&lt;='Resource Planner'!$N$52),'Resource Planner'!$B$52,"")</f>
        <v/>
      </c>
      <c r="D2130" s="163" t="str">
        <f>IF(AND('Resource Planner'!$A$52="☑",26&lt;='Resource Planner'!$N$52),'Resource Planner'!$D$52,"")</f>
        <v/>
      </c>
      <c r="E2130" s="163" t="str">
        <f>IF(AND('Resource Planner'!$A$52="☑",26&lt;='Resource Planner'!$N$52),'Resource Planner'!$E$52,"")</f>
        <v/>
      </c>
      <c r="F2130" s="163" t="str">
        <f>IF(AND('Resource Planner'!$A$52="☑",26&lt;='Resource Planner'!$N$52),'Resource Planner'!$F$52&amp;" "&amp;('Resource Planner'!$G$52+(26-1)*'Resource Planner'!$I$52)&amp;IF(('Resource Planner'!$G$52+(26-1)*'Resource Planner'!$I$52)=MIN('Resource Planner'!$G$52+26*'Resource Planner'!$I$52-1,'Resource Planner'!$H$52),"","–"&amp;MIN('Resource Planner'!$G$52+26*'Resource Planner'!$I$52-1,'Resource Planner'!$H$52)),"")</f>
        <v/>
      </c>
      <c r="G2130" s="163" t="s">
        <v>109</v>
      </c>
      <c r="H2130" s="163" t="str">
        <f>IF(AND('Resource Planner'!$A$52="☑",26&lt;='Resource Planner'!$N$52),'Resource Planner'!$M$52,"")</f>
        <v/>
      </c>
    </row>
    <row r="2131" ht="15.75" customHeight="1">
      <c r="A21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1" s="163" t="str">
        <f>IF(AND('Resource Planner'!$A$52="☑",27&lt;='Resource Planner'!$N$52),'Resource Planner'!$C$52,"")</f>
        <v/>
      </c>
      <c r="C2131" s="163" t="str">
        <f>IF(AND('Resource Planner'!$A$52="☑",27&lt;='Resource Planner'!$N$52),'Resource Planner'!$B$52,"")</f>
        <v/>
      </c>
      <c r="D2131" s="163" t="str">
        <f>IF(AND('Resource Planner'!$A$52="☑",27&lt;='Resource Planner'!$N$52),'Resource Planner'!$D$52,"")</f>
        <v/>
      </c>
      <c r="E2131" s="163" t="str">
        <f>IF(AND('Resource Planner'!$A$52="☑",27&lt;='Resource Planner'!$N$52),'Resource Planner'!$E$52,"")</f>
        <v/>
      </c>
      <c r="F2131" s="163" t="str">
        <f>IF(AND('Resource Planner'!$A$52="☑",27&lt;='Resource Planner'!$N$52),'Resource Planner'!$F$52&amp;" "&amp;('Resource Planner'!$G$52+(27-1)*'Resource Planner'!$I$52)&amp;IF(('Resource Planner'!$G$52+(27-1)*'Resource Planner'!$I$52)=MIN('Resource Planner'!$G$52+27*'Resource Planner'!$I$52-1,'Resource Planner'!$H$52),"","–"&amp;MIN('Resource Planner'!$G$52+27*'Resource Planner'!$I$52-1,'Resource Planner'!$H$52)),"")</f>
        <v/>
      </c>
      <c r="G2131" s="163" t="s">
        <v>109</v>
      </c>
      <c r="H2131" s="163" t="str">
        <f>IF(AND('Resource Planner'!$A$52="☑",27&lt;='Resource Planner'!$N$52),'Resource Planner'!$M$52,"")</f>
        <v/>
      </c>
    </row>
    <row r="2132" ht="15.75" customHeight="1">
      <c r="A21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2" s="163" t="str">
        <f>IF(AND('Resource Planner'!$A$52="☑",28&lt;='Resource Planner'!$N$52),'Resource Planner'!$C$52,"")</f>
        <v/>
      </c>
      <c r="C2132" s="163" t="str">
        <f>IF(AND('Resource Planner'!$A$52="☑",28&lt;='Resource Planner'!$N$52),'Resource Planner'!$B$52,"")</f>
        <v/>
      </c>
      <c r="D2132" s="163" t="str">
        <f>IF(AND('Resource Planner'!$A$52="☑",28&lt;='Resource Planner'!$N$52),'Resource Planner'!$D$52,"")</f>
        <v/>
      </c>
      <c r="E2132" s="163" t="str">
        <f>IF(AND('Resource Planner'!$A$52="☑",28&lt;='Resource Planner'!$N$52),'Resource Planner'!$E$52,"")</f>
        <v/>
      </c>
      <c r="F2132" s="163" t="str">
        <f>IF(AND('Resource Planner'!$A$52="☑",28&lt;='Resource Planner'!$N$52),'Resource Planner'!$F$52&amp;" "&amp;('Resource Planner'!$G$52+(28-1)*'Resource Planner'!$I$52)&amp;IF(('Resource Planner'!$G$52+(28-1)*'Resource Planner'!$I$52)=MIN('Resource Planner'!$G$52+28*'Resource Planner'!$I$52-1,'Resource Planner'!$H$52),"","–"&amp;MIN('Resource Planner'!$G$52+28*'Resource Planner'!$I$52-1,'Resource Planner'!$H$52)),"")</f>
        <v/>
      </c>
      <c r="G2132" s="163" t="s">
        <v>109</v>
      </c>
      <c r="H2132" s="163" t="str">
        <f>IF(AND('Resource Planner'!$A$52="☑",28&lt;='Resource Planner'!$N$52),'Resource Planner'!$M$52,"")</f>
        <v/>
      </c>
    </row>
    <row r="2133" ht="15.75" customHeight="1">
      <c r="A21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3" s="163" t="str">
        <f>IF(AND('Resource Planner'!$A$52="☑",29&lt;='Resource Planner'!$N$52),'Resource Planner'!$C$52,"")</f>
        <v/>
      </c>
      <c r="C2133" s="163" t="str">
        <f>IF(AND('Resource Planner'!$A$52="☑",29&lt;='Resource Planner'!$N$52),'Resource Planner'!$B$52,"")</f>
        <v/>
      </c>
      <c r="D2133" s="163" t="str">
        <f>IF(AND('Resource Planner'!$A$52="☑",29&lt;='Resource Planner'!$N$52),'Resource Planner'!$D$52,"")</f>
        <v/>
      </c>
      <c r="E2133" s="163" t="str">
        <f>IF(AND('Resource Planner'!$A$52="☑",29&lt;='Resource Planner'!$N$52),'Resource Planner'!$E$52,"")</f>
        <v/>
      </c>
      <c r="F2133" s="163" t="str">
        <f>IF(AND('Resource Planner'!$A$52="☑",29&lt;='Resource Planner'!$N$52),'Resource Planner'!$F$52&amp;" "&amp;('Resource Planner'!$G$52+(29-1)*'Resource Planner'!$I$52)&amp;IF(('Resource Planner'!$G$52+(29-1)*'Resource Planner'!$I$52)=MIN('Resource Planner'!$G$52+29*'Resource Planner'!$I$52-1,'Resource Planner'!$H$52),"","–"&amp;MIN('Resource Planner'!$G$52+29*'Resource Planner'!$I$52-1,'Resource Planner'!$H$52)),"")</f>
        <v/>
      </c>
      <c r="G2133" s="163" t="s">
        <v>109</v>
      </c>
      <c r="H2133" s="163" t="str">
        <f>IF(AND('Resource Planner'!$A$52="☑",29&lt;='Resource Planner'!$N$52),'Resource Planner'!$M$52,"")</f>
        <v/>
      </c>
    </row>
    <row r="2134" ht="15.75" customHeight="1">
      <c r="A21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4" s="163" t="str">
        <f>IF(AND('Resource Planner'!$A$52="☑",30&lt;='Resource Planner'!$N$52),'Resource Planner'!$C$52,"")</f>
        <v/>
      </c>
      <c r="C2134" s="163" t="str">
        <f>IF(AND('Resource Planner'!$A$52="☑",30&lt;='Resource Planner'!$N$52),'Resource Planner'!$B$52,"")</f>
        <v/>
      </c>
      <c r="D2134" s="163" t="str">
        <f>IF(AND('Resource Planner'!$A$52="☑",30&lt;='Resource Planner'!$N$52),'Resource Planner'!$D$52,"")</f>
        <v/>
      </c>
      <c r="E2134" s="163" t="str">
        <f>IF(AND('Resource Planner'!$A$52="☑",30&lt;='Resource Planner'!$N$52),'Resource Planner'!$E$52,"")</f>
        <v/>
      </c>
      <c r="F2134" s="163" t="str">
        <f>IF(AND('Resource Planner'!$A$52="☑",30&lt;='Resource Planner'!$N$52),'Resource Planner'!$F$52&amp;" "&amp;('Resource Planner'!$G$52+(30-1)*'Resource Planner'!$I$52)&amp;IF(('Resource Planner'!$G$52+(30-1)*'Resource Planner'!$I$52)=MIN('Resource Planner'!$G$52+30*'Resource Planner'!$I$52-1,'Resource Planner'!$H$52),"","–"&amp;MIN('Resource Planner'!$G$52+30*'Resource Planner'!$I$52-1,'Resource Planner'!$H$52)),"")</f>
        <v/>
      </c>
      <c r="G2134" s="163" t="s">
        <v>109</v>
      </c>
      <c r="H2134" s="163" t="str">
        <f>IF(AND('Resource Planner'!$A$52="☑",30&lt;='Resource Planner'!$N$52),'Resource Planner'!$M$52,"")</f>
        <v/>
      </c>
    </row>
    <row r="2135" ht="15.75" customHeight="1">
      <c r="A21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5" s="163" t="str">
        <f>IF(AND('Resource Planner'!$A$52="☑",31&lt;='Resource Planner'!$N$52),'Resource Planner'!$C$52,"")</f>
        <v/>
      </c>
      <c r="C2135" s="163" t="str">
        <f>IF(AND('Resource Planner'!$A$52="☑",31&lt;='Resource Planner'!$N$52),'Resource Planner'!$B$52,"")</f>
        <v/>
      </c>
      <c r="D2135" s="163" t="str">
        <f>IF(AND('Resource Planner'!$A$52="☑",31&lt;='Resource Planner'!$N$52),'Resource Planner'!$D$52,"")</f>
        <v/>
      </c>
      <c r="E2135" s="163" t="str">
        <f>IF(AND('Resource Planner'!$A$52="☑",31&lt;='Resource Planner'!$N$52),'Resource Planner'!$E$52,"")</f>
        <v/>
      </c>
      <c r="F2135" s="163" t="str">
        <f>IF(AND('Resource Planner'!$A$52="☑",31&lt;='Resource Planner'!$N$52),'Resource Planner'!$F$52&amp;" "&amp;('Resource Planner'!$G$52+(31-1)*'Resource Planner'!$I$52)&amp;IF(('Resource Planner'!$G$52+(31-1)*'Resource Planner'!$I$52)=MIN('Resource Planner'!$G$52+31*'Resource Planner'!$I$52-1,'Resource Planner'!$H$52),"","–"&amp;MIN('Resource Planner'!$G$52+31*'Resource Planner'!$I$52-1,'Resource Planner'!$H$52)),"")</f>
        <v/>
      </c>
      <c r="G2135" s="163" t="s">
        <v>109</v>
      </c>
      <c r="H2135" s="163" t="str">
        <f>IF(AND('Resource Planner'!$A$52="☑",31&lt;='Resource Planner'!$N$52),'Resource Planner'!$M$52,"")</f>
        <v/>
      </c>
    </row>
    <row r="2136" ht="15.75" customHeight="1">
      <c r="A21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6" s="163" t="str">
        <f>IF(AND('Resource Planner'!$A$52="☑",32&lt;='Resource Planner'!$N$52),'Resource Planner'!$C$52,"")</f>
        <v/>
      </c>
      <c r="C2136" s="163" t="str">
        <f>IF(AND('Resource Planner'!$A$52="☑",32&lt;='Resource Planner'!$N$52),'Resource Planner'!$B$52,"")</f>
        <v/>
      </c>
      <c r="D2136" s="163" t="str">
        <f>IF(AND('Resource Planner'!$A$52="☑",32&lt;='Resource Planner'!$N$52),'Resource Planner'!$D$52,"")</f>
        <v/>
      </c>
      <c r="E2136" s="163" t="str">
        <f>IF(AND('Resource Planner'!$A$52="☑",32&lt;='Resource Planner'!$N$52),'Resource Planner'!$E$52,"")</f>
        <v/>
      </c>
      <c r="F2136" s="163" t="str">
        <f>IF(AND('Resource Planner'!$A$52="☑",32&lt;='Resource Planner'!$N$52),'Resource Planner'!$F$52&amp;" "&amp;('Resource Planner'!$G$52+(32-1)*'Resource Planner'!$I$52)&amp;IF(('Resource Planner'!$G$52+(32-1)*'Resource Planner'!$I$52)=MIN('Resource Planner'!$G$52+32*'Resource Planner'!$I$52-1,'Resource Planner'!$H$52),"","–"&amp;MIN('Resource Planner'!$G$52+32*'Resource Planner'!$I$52-1,'Resource Planner'!$H$52)),"")</f>
        <v/>
      </c>
      <c r="G2136" s="163" t="s">
        <v>109</v>
      </c>
      <c r="H2136" s="163" t="str">
        <f>IF(AND('Resource Planner'!$A$52="☑",32&lt;='Resource Planner'!$N$52),'Resource Planner'!$M$52,"")</f>
        <v/>
      </c>
    </row>
    <row r="2137" ht="15.75" customHeight="1">
      <c r="A21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7" s="163" t="str">
        <f>IF(AND('Resource Planner'!$A$52="☑",33&lt;='Resource Planner'!$N$52),'Resource Planner'!$C$52,"")</f>
        <v/>
      </c>
      <c r="C2137" s="163" t="str">
        <f>IF(AND('Resource Planner'!$A$52="☑",33&lt;='Resource Planner'!$N$52),'Resource Planner'!$B$52,"")</f>
        <v/>
      </c>
      <c r="D2137" s="163" t="str">
        <f>IF(AND('Resource Planner'!$A$52="☑",33&lt;='Resource Planner'!$N$52),'Resource Planner'!$D$52,"")</f>
        <v/>
      </c>
      <c r="E2137" s="163" t="str">
        <f>IF(AND('Resource Planner'!$A$52="☑",33&lt;='Resource Planner'!$N$52),'Resource Planner'!$E$52,"")</f>
        <v/>
      </c>
      <c r="F2137" s="163" t="str">
        <f>IF(AND('Resource Planner'!$A$52="☑",33&lt;='Resource Planner'!$N$52),'Resource Planner'!$F$52&amp;" "&amp;('Resource Planner'!$G$52+(33-1)*'Resource Planner'!$I$52)&amp;IF(('Resource Planner'!$G$52+(33-1)*'Resource Planner'!$I$52)=MIN('Resource Planner'!$G$52+33*'Resource Planner'!$I$52-1,'Resource Planner'!$H$52),"","–"&amp;MIN('Resource Planner'!$G$52+33*'Resource Planner'!$I$52-1,'Resource Planner'!$H$52)),"")</f>
        <v/>
      </c>
      <c r="G2137" s="163" t="s">
        <v>109</v>
      </c>
      <c r="H2137" s="163" t="str">
        <f>IF(AND('Resource Planner'!$A$52="☑",33&lt;='Resource Planner'!$N$52),'Resource Planner'!$M$52,"")</f>
        <v/>
      </c>
    </row>
    <row r="2138" ht="15.75" customHeight="1">
      <c r="A21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8" s="163" t="str">
        <f>IF(AND('Resource Planner'!$A$52="☑",34&lt;='Resource Planner'!$N$52),'Resource Planner'!$C$52,"")</f>
        <v/>
      </c>
      <c r="C2138" s="163" t="str">
        <f>IF(AND('Resource Planner'!$A$52="☑",34&lt;='Resource Planner'!$N$52),'Resource Planner'!$B$52,"")</f>
        <v/>
      </c>
      <c r="D2138" s="163" t="str">
        <f>IF(AND('Resource Planner'!$A$52="☑",34&lt;='Resource Planner'!$N$52),'Resource Planner'!$D$52,"")</f>
        <v/>
      </c>
      <c r="E2138" s="163" t="str">
        <f>IF(AND('Resource Planner'!$A$52="☑",34&lt;='Resource Planner'!$N$52),'Resource Planner'!$E$52,"")</f>
        <v/>
      </c>
      <c r="F2138" s="163" t="str">
        <f>IF(AND('Resource Planner'!$A$52="☑",34&lt;='Resource Planner'!$N$52),'Resource Planner'!$F$52&amp;" "&amp;('Resource Planner'!$G$52+(34-1)*'Resource Planner'!$I$52)&amp;IF(('Resource Planner'!$G$52+(34-1)*'Resource Planner'!$I$52)=MIN('Resource Planner'!$G$52+34*'Resource Planner'!$I$52-1,'Resource Planner'!$H$52),"","–"&amp;MIN('Resource Planner'!$G$52+34*'Resource Planner'!$I$52-1,'Resource Planner'!$H$52)),"")</f>
        <v/>
      </c>
      <c r="G2138" s="163" t="s">
        <v>109</v>
      </c>
      <c r="H2138" s="163" t="str">
        <f>IF(AND('Resource Planner'!$A$52="☑",34&lt;='Resource Planner'!$N$52),'Resource Planner'!$M$52,"")</f>
        <v/>
      </c>
    </row>
    <row r="2139" ht="15.75" customHeight="1">
      <c r="A21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39" s="163" t="str">
        <f>IF(AND('Resource Planner'!$A$52="☑",35&lt;='Resource Planner'!$N$52),'Resource Planner'!$C$52,"")</f>
        <v/>
      </c>
      <c r="C2139" s="163" t="str">
        <f>IF(AND('Resource Planner'!$A$52="☑",35&lt;='Resource Planner'!$N$52),'Resource Planner'!$B$52,"")</f>
        <v/>
      </c>
      <c r="D2139" s="163" t="str">
        <f>IF(AND('Resource Planner'!$A$52="☑",35&lt;='Resource Planner'!$N$52),'Resource Planner'!$D$52,"")</f>
        <v/>
      </c>
      <c r="E2139" s="163" t="str">
        <f>IF(AND('Resource Planner'!$A$52="☑",35&lt;='Resource Planner'!$N$52),'Resource Planner'!$E$52,"")</f>
        <v/>
      </c>
      <c r="F2139" s="163" t="str">
        <f>IF(AND('Resource Planner'!$A$52="☑",35&lt;='Resource Planner'!$N$52),'Resource Planner'!$F$52&amp;" "&amp;('Resource Planner'!$G$52+(35-1)*'Resource Planner'!$I$52)&amp;IF(('Resource Planner'!$G$52+(35-1)*'Resource Planner'!$I$52)=MIN('Resource Planner'!$G$52+35*'Resource Planner'!$I$52-1,'Resource Planner'!$H$52),"","–"&amp;MIN('Resource Planner'!$G$52+35*'Resource Planner'!$I$52-1,'Resource Planner'!$H$52)),"")</f>
        <v/>
      </c>
      <c r="G2139" s="163" t="s">
        <v>109</v>
      </c>
      <c r="H2139" s="163" t="str">
        <f>IF(AND('Resource Planner'!$A$52="☑",35&lt;='Resource Planner'!$N$52),'Resource Planner'!$M$52,"")</f>
        <v/>
      </c>
    </row>
    <row r="2140" ht="15.75" customHeight="1">
      <c r="A21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0" s="163" t="str">
        <f>IF(AND('Resource Planner'!$A$52="☑",36&lt;='Resource Planner'!$N$52),'Resource Planner'!$C$52,"")</f>
        <v/>
      </c>
      <c r="C2140" s="163" t="str">
        <f>IF(AND('Resource Planner'!$A$52="☑",36&lt;='Resource Planner'!$N$52),'Resource Planner'!$B$52,"")</f>
        <v/>
      </c>
      <c r="D2140" s="163" t="str">
        <f>IF(AND('Resource Planner'!$A$52="☑",36&lt;='Resource Planner'!$N$52),'Resource Planner'!$D$52,"")</f>
        <v/>
      </c>
      <c r="E2140" s="163" t="str">
        <f>IF(AND('Resource Planner'!$A$52="☑",36&lt;='Resource Planner'!$N$52),'Resource Planner'!$E$52,"")</f>
        <v/>
      </c>
      <c r="F2140" s="163" t="str">
        <f>IF(AND('Resource Planner'!$A$52="☑",36&lt;='Resource Planner'!$N$52),'Resource Planner'!$F$52&amp;" "&amp;('Resource Planner'!$G$52+(36-1)*'Resource Planner'!$I$52)&amp;IF(('Resource Planner'!$G$52+(36-1)*'Resource Planner'!$I$52)=MIN('Resource Planner'!$G$52+36*'Resource Planner'!$I$52-1,'Resource Planner'!$H$52),"","–"&amp;MIN('Resource Planner'!$G$52+36*'Resource Planner'!$I$52-1,'Resource Planner'!$H$52)),"")</f>
        <v/>
      </c>
      <c r="G2140" s="163" t="s">
        <v>109</v>
      </c>
      <c r="H2140" s="163" t="str">
        <f>IF(AND('Resource Planner'!$A$52="☑",36&lt;='Resource Planner'!$N$52),'Resource Planner'!$M$52,"")</f>
        <v/>
      </c>
    </row>
    <row r="2141" ht="15.75" customHeight="1">
      <c r="A21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1" s="163" t="str">
        <f>IF(AND('Resource Planner'!$A$52="☑",37&lt;='Resource Planner'!$N$52),'Resource Planner'!$C$52,"")</f>
        <v/>
      </c>
      <c r="C2141" s="163" t="str">
        <f>IF(AND('Resource Planner'!$A$52="☑",37&lt;='Resource Planner'!$N$52),'Resource Planner'!$B$52,"")</f>
        <v/>
      </c>
      <c r="D2141" s="163" t="str">
        <f>IF(AND('Resource Planner'!$A$52="☑",37&lt;='Resource Planner'!$N$52),'Resource Planner'!$D$52,"")</f>
        <v/>
      </c>
      <c r="E2141" s="163" t="str">
        <f>IF(AND('Resource Planner'!$A$52="☑",37&lt;='Resource Planner'!$N$52),'Resource Planner'!$E$52,"")</f>
        <v/>
      </c>
      <c r="F2141" s="163" t="str">
        <f>IF(AND('Resource Planner'!$A$52="☑",37&lt;='Resource Planner'!$N$52),'Resource Planner'!$F$52&amp;" "&amp;('Resource Planner'!$G$52+(37-1)*'Resource Planner'!$I$52)&amp;IF(('Resource Planner'!$G$52+(37-1)*'Resource Planner'!$I$52)=MIN('Resource Planner'!$G$52+37*'Resource Planner'!$I$52-1,'Resource Planner'!$H$52),"","–"&amp;MIN('Resource Planner'!$G$52+37*'Resource Planner'!$I$52-1,'Resource Planner'!$H$52)),"")</f>
        <v/>
      </c>
      <c r="G2141" s="163" t="s">
        <v>109</v>
      </c>
      <c r="H2141" s="163" t="str">
        <f>IF(AND('Resource Planner'!$A$52="☑",37&lt;='Resource Planner'!$N$52),'Resource Planner'!$M$52,"")</f>
        <v/>
      </c>
    </row>
    <row r="2142" ht="15.75" customHeight="1">
      <c r="A21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2" s="163" t="str">
        <f>IF(AND('Resource Planner'!$A$52="☑",38&lt;='Resource Planner'!$N$52),'Resource Planner'!$C$52,"")</f>
        <v/>
      </c>
      <c r="C2142" s="163" t="str">
        <f>IF(AND('Resource Planner'!$A$52="☑",38&lt;='Resource Planner'!$N$52),'Resource Planner'!$B$52,"")</f>
        <v/>
      </c>
      <c r="D2142" s="163" t="str">
        <f>IF(AND('Resource Planner'!$A$52="☑",38&lt;='Resource Planner'!$N$52),'Resource Planner'!$D$52,"")</f>
        <v/>
      </c>
      <c r="E2142" s="163" t="str">
        <f>IF(AND('Resource Planner'!$A$52="☑",38&lt;='Resource Planner'!$N$52),'Resource Planner'!$E$52,"")</f>
        <v/>
      </c>
      <c r="F2142" s="163" t="str">
        <f>IF(AND('Resource Planner'!$A$52="☑",38&lt;='Resource Planner'!$N$52),'Resource Planner'!$F$52&amp;" "&amp;('Resource Planner'!$G$52+(38-1)*'Resource Planner'!$I$52)&amp;IF(('Resource Planner'!$G$52+(38-1)*'Resource Planner'!$I$52)=MIN('Resource Planner'!$G$52+38*'Resource Planner'!$I$52-1,'Resource Planner'!$H$52),"","–"&amp;MIN('Resource Planner'!$G$52+38*'Resource Planner'!$I$52-1,'Resource Planner'!$H$52)),"")</f>
        <v/>
      </c>
      <c r="G2142" s="163" t="s">
        <v>109</v>
      </c>
      <c r="H2142" s="163" t="str">
        <f>IF(AND('Resource Planner'!$A$52="☑",38&lt;='Resource Planner'!$N$52),'Resource Planner'!$M$52,"")</f>
        <v/>
      </c>
    </row>
    <row r="2143" ht="15.75" customHeight="1">
      <c r="A21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3" s="163" t="str">
        <f>IF(AND('Resource Planner'!$A$52="☑",39&lt;='Resource Planner'!$N$52),'Resource Planner'!$C$52,"")</f>
        <v/>
      </c>
      <c r="C2143" s="163" t="str">
        <f>IF(AND('Resource Planner'!$A$52="☑",39&lt;='Resource Planner'!$N$52),'Resource Planner'!$B$52,"")</f>
        <v/>
      </c>
      <c r="D2143" s="163" t="str">
        <f>IF(AND('Resource Planner'!$A$52="☑",39&lt;='Resource Planner'!$N$52),'Resource Planner'!$D$52,"")</f>
        <v/>
      </c>
      <c r="E2143" s="163" t="str">
        <f>IF(AND('Resource Planner'!$A$52="☑",39&lt;='Resource Planner'!$N$52),'Resource Planner'!$E$52,"")</f>
        <v/>
      </c>
      <c r="F2143" s="163" t="str">
        <f>IF(AND('Resource Planner'!$A$52="☑",39&lt;='Resource Planner'!$N$52),'Resource Planner'!$F$52&amp;" "&amp;('Resource Planner'!$G$52+(39-1)*'Resource Planner'!$I$52)&amp;IF(('Resource Planner'!$G$52+(39-1)*'Resource Planner'!$I$52)=MIN('Resource Planner'!$G$52+39*'Resource Planner'!$I$52-1,'Resource Planner'!$H$52),"","–"&amp;MIN('Resource Planner'!$G$52+39*'Resource Planner'!$I$52-1,'Resource Planner'!$H$52)),"")</f>
        <v/>
      </c>
      <c r="G2143" s="163" t="s">
        <v>109</v>
      </c>
      <c r="H2143" s="163" t="str">
        <f>IF(AND('Resource Planner'!$A$52="☑",39&lt;='Resource Planner'!$N$52),'Resource Planner'!$M$52,"")</f>
        <v/>
      </c>
    </row>
    <row r="2144" ht="15.75" customHeight="1">
      <c r="A21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4" s="163" t="str">
        <f>IF(AND('Resource Planner'!$A$52="☑",40&lt;='Resource Planner'!$N$52),'Resource Planner'!$C$52,"")</f>
        <v/>
      </c>
      <c r="C2144" s="163" t="str">
        <f>IF(AND('Resource Planner'!$A$52="☑",40&lt;='Resource Planner'!$N$52),'Resource Planner'!$B$52,"")</f>
        <v/>
      </c>
      <c r="D2144" s="163" t="str">
        <f>IF(AND('Resource Planner'!$A$52="☑",40&lt;='Resource Planner'!$N$52),'Resource Planner'!$D$52,"")</f>
        <v/>
      </c>
      <c r="E2144" s="163" t="str">
        <f>IF(AND('Resource Planner'!$A$52="☑",40&lt;='Resource Planner'!$N$52),'Resource Planner'!$E$52,"")</f>
        <v/>
      </c>
      <c r="F2144" s="163" t="str">
        <f>IF(AND('Resource Planner'!$A$52="☑",40&lt;='Resource Planner'!$N$52),'Resource Planner'!$F$52&amp;" "&amp;('Resource Planner'!$G$52+(40-1)*'Resource Planner'!$I$52)&amp;IF(('Resource Planner'!$G$52+(40-1)*'Resource Planner'!$I$52)=MIN('Resource Planner'!$G$52+40*'Resource Planner'!$I$52-1,'Resource Planner'!$H$52),"","–"&amp;MIN('Resource Planner'!$G$52+40*'Resource Planner'!$I$52-1,'Resource Planner'!$H$52)),"")</f>
        <v/>
      </c>
      <c r="G2144" s="163" t="s">
        <v>109</v>
      </c>
      <c r="H2144" s="163" t="str">
        <f>IF(AND('Resource Planner'!$A$52="☑",40&lt;='Resource Planner'!$N$52),'Resource Planner'!$M$52,"")</f>
        <v/>
      </c>
    </row>
    <row r="2145" ht="15.75" customHeight="1">
      <c r="A21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5" s="163" t="str">
        <f>IF(AND('Resource Planner'!$A$52="☑",41&lt;='Resource Planner'!$N$52),'Resource Planner'!$C$52,"")</f>
        <v/>
      </c>
      <c r="C2145" s="163" t="str">
        <f>IF(AND('Resource Planner'!$A$52="☑",41&lt;='Resource Planner'!$N$52),'Resource Planner'!$B$52,"")</f>
        <v/>
      </c>
      <c r="D2145" s="163" t="str">
        <f>IF(AND('Resource Planner'!$A$52="☑",41&lt;='Resource Planner'!$N$52),'Resource Planner'!$D$52,"")</f>
        <v/>
      </c>
      <c r="E2145" s="163" t="str">
        <f>IF(AND('Resource Planner'!$A$52="☑",41&lt;='Resource Planner'!$N$52),'Resource Planner'!$E$52,"")</f>
        <v/>
      </c>
      <c r="F2145" s="163" t="str">
        <f>IF(AND('Resource Planner'!$A$52="☑",41&lt;='Resource Planner'!$N$52),'Resource Planner'!$F$52&amp;" "&amp;('Resource Planner'!$G$52+(41-1)*'Resource Planner'!$I$52)&amp;IF(('Resource Planner'!$G$52+(41-1)*'Resource Planner'!$I$52)=MIN('Resource Planner'!$G$52+41*'Resource Planner'!$I$52-1,'Resource Planner'!$H$52),"","–"&amp;MIN('Resource Planner'!$G$52+41*'Resource Planner'!$I$52-1,'Resource Planner'!$H$52)),"")</f>
        <v/>
      </c>
      <c r="G2145" s="163" t="s">
        <v>109</v>
      </c>
      <c r="H2145" s="163" t="str">
        <f>IF(AND('Resource Planner'!$A$52="☑",41&lt;='Resource Planner'!$N$52),'Resource Planner'!$M$52,"")</f>
        <v/>
      </c>
    </row>
    <row r="2146" ht="15.75" customHeight="1">
      <c r="A21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6" s="163" t="str">
        <f>IF(AND('Resource Planner'!$A$52="☑",42&lt;='Resource Planner'!$N$52),'Resource Planner'!$C$52,"")</f>
        <v/>
      </c>
      <c r="C2146" s="163" t="str">
        <f>IF(AND('Resource Planner'!$A$52="☑",42&lt;='Resource Planner'!$N$52),'Resource Planner'!$B$52,"")</f>
        <v/>
      </c>
      <c r="D2146" s="163" t="str">
        <f>IF(AND('Resource Planner'!$A$52="☑",42&lt;='Resource Planner'!$N$52),'Resource Planner'!$D$52,"")</f>
        <v/>
      </c>
      <c r="E2146" s="163" t="str">
        <f>IF(AND('Resource Planner'!$A$52="☑",42&lt;='Resource Planner'!$N$52),'Resource Planner'!$E$52,"")</f>
        <v/>
      </c>
      <c r="F2146" s="163" t="str">
        <f>IF(AND('Resource Planner'!$A$52="☑",42&lt;='Resource Planner'!$N$52),'Resource Planner'!$F$52&amp;" "&amp;('Resource Planner'!$G$52+(42-1)*'Resource Planner'!$I$52)&amp;IF(('Resource Planner'!$G$52+(42-1)*'Resource Planner'!$I$52)=MIN('Resource Planner'!$G$52+42*'Resource Planner'!$I$52-1,'Resource Planner'!$H$52),"","–"&amp;MIN('Resource Planner'!$G$52+42*'Resource Planner'!$I$52-1,'Resource Planner'!$H$52)),"")</f>
        <v/>
      </c>
      <c r="G2146" s="163" t="s">
        <v>109</v>
      </c>
      <c r="H2146" s="163" t="str">
        <f>IF(AND('Resource Planner'!$A$52="☑",42&lt;='Resource Planner'!$N$52),'Resource Planner'!$M$52,"")</f>
        <v/>
      </c>
    </row>
    <row r="2147" ht="15.75" customHeight="1">
      <c r="A21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7" s="163" t="str">
        <f>IF(AND('Resource Planner'!$A$52="☑",43&lt;='Resource Planner'!$N$52),'Resource Planner'!$C$52,"")</f>
        <v/>
      </c>
      <c r="C2147" s="163" t="str">
        <f>IF(AND('Resource Planner'!$A$52="☑",43&lt;='Resource Planner'!$N$52),'Resource Planner'!$B$52,"")</f>
        <v/>
      </c>
      <c r="D2147" s="163" t="str">
        <f>IF(AND('Resource Planner'!$A$52="☑",43&lt;='Resource Planner'!$N$52),'Resource Planner'!$D$52,"")</f>
        <v/>
      </c>
      <c r="E2147" s="163" t="str">
        <f>IF(AND('Resource Planner'!$A$52="☑",43&lt;='Resource Planner'!$N$52),'Resource Planner'!$E$52,"")</f>
        <v/>
      </c>
      <c r="F2147" s="163" t="str">
        <f>IF(AND('Resource Planner'!$A$52="☑",43&lt;='Resource Planner'!$N$52),'Resource Planner'!$F$52&amp;" "&amp;('Resource Planner'!$G$52+(43-1)*'Resource Planner'!$I$52)&amp;IF(('Resource Planner'!$G$52+(43-1)*'Resource Planner'!$I$52)=MIN('Resource Planner'!$G$52+43*'Resource Planner'!$I$52-1,'Resource Planner'!$H$52),"","–"&amp;MIN('Resource Planner'!$G$52+43*'Resource Planner'!$I$52-1,'Resource Planner'!$H$52)),"")</f>
        <v/>
      </c>
      <c r="G2147" s="163" t="s">
        <v>109</v>
      </c>
      <c r="H2147" s="163" t="str">
        <f>IF(AND('Resource Planner'!$A$52="☑",43&lt;='Resource Planner'!$N$52),'Resource Planner'!$M$52,"")</f>
        <v/>
      </c>
    </row>
    <row r="2148" ht="15.75" customHeight="1">
      <c r="A21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8" s="163" t="str">
        <f>IF(AND('Resource Planner'!$A$52="☑",44&lt;='Resource Planner'!$N$52),'Resource Planner'!$C$52,"")</f>
        <v/>
      </c>
      <c r="C2148" s="163" t="str">
        <f>IF(AND('Resource Planner'!$A$52="☑",44&lt;='Resource Planner'!$N$52),'Resource Planner'!$B$52,"")</f>
        <v/>
      </c>
      <c r="D2148" s="163" t="str">
        <f>IF(AND('Resource Planner'!$A$52="☑",44&lt;='Resource Planner'!$N$52),'Resource Planner'!$D$52,"")</f>
        <v/>
      </c>
      <c r="E2148" s="163" t="str">
        <f>IF(AND('Resource Planner'!$A$52="☑",44&lt;='Resource Planner'!$N$52),'Resource Planner'!$E$52,"")</f>
        <v/>
      </c>
      <c r="F2148" s="163" t="str">
        <f>IF(AND('Resource Planner'!$A$52="☑",44&lt;='Resource Planner'!$N$52),'Resource Planner'!$F$52&amp;" "&amp;('Resource Planner'!$G$52+(44-1)*'Resource Planner'!$I$52)&amp;IF(('Resource Planner'!$G$52+(44-1)*'Resource Planner'!$I$52)=MIN('Resource Planner'!$G$52+44*'Resource Planner'!$I$52-1,'Resource Planner'!$H$52),"","–"&amp;MIN('Resource Planner'!$G$52+44*'Resource Planner'!$I$52-1,'Resource Planner'!$H$52)),"")</f>
        <v/>
      </c>
      <c r="G2148" s="163" t="s">
        <v>109</v>
      </c>
      <c r="H2148" s="163" t="str">
        <f>IF(AND('Resource Planner'!$A$52="☑",44&lt;='Resource Planner'!$N$52),'Resource Planner'!$M$52,"")</f>
        <v/>
      </c>
    </row>
    <row r="2149" ht="15.75" customHeight="1">
      <c r="A21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49" s="163" t="str">
        <f>IF(AND('Resource Planner'!$A$52="☑",45&lt;='Resource Planner'!$N$52),'Resource Planner'!$C$52,"")</f>
        <v/>
      </c>
      <c r="C2149" s="163" t="str">
        <f>IF(AND('Resource Planner'!$A$52="☑",45&lt;='Resource Planner'!$N$52),'Resource Planner'!$B$52,"")</f>
        <v/>
      </c>
      <c r="D2149" s="163" t="str">
        <f>IF(AND('Resource Planner'!$A$52="☑",45&lt;='Resource Planner'!$N$52),'Resource Planner'!$D$52,"")</f>
        <v/>
      </c>
      <c r="E2149" s="163" t="str">
        <f>IF(AND('Resource Planner'!$A$52="☑",45&lt;='Resource Planner'!$N$52),'Resource Planner'!$E$52,"")</f>
        <v/>
      </c>
      <c r="F2149" s="163" t="str">
        <f>IF(AND('Resource Planner'!$A$52="☑",45&lt;='Resource Planner'!$N$52),'Resource Planner'!$F$52&amp;" "&amp;('Resource Planner'!$G$52+(45-1)*'Resource Planner'!$I$52)&amp;IF(('Resource Planner'!$G$52+(45-1)*'Resource Planner'!$I$52)=MIN('Resource Planner'!$G$52+45*'Resource Planner'!$I$52-1,'Resource Planner'!$H$52),"","–"&amp;MIN('Resource Planner'!$G$52+45*'Resource Planner'!$I$52-1,'Resource Planner'!$H$52)),"")</f>
        <v/>
      </c>
      <c r="G2149" s="163" t="s">
        <v>109</v>
      </c>
      <c r="H2149" s="163" t="str">
        <f>IF(AND('Resource Planner'!$A$52="☑",45&lt;='Resource Planner'!$N$52),'Resource Planner'!$M$52,"")</f>
        <v/>
      </c>
    </row>
    <row r="2150" ht="15.75" customHeight="1">
      <c r="A21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0" s="163" t="str">
        <f>IF(AND('Resource Planner'!$A$52="☑",46&lt;='Resource Planner'!$N$52),'Resource Planner'!$C$52,"")</f>
        <v/>
      </c>
      <c r="C2150" s="163" t="str">
        <f>IF(AND('Resource Planner'!$A$52="☑",46&lt;='Resource Planner'!$N$52),'Resource Planner'!$B$52,"")</f>
        <v/>
      </c>
      <c r="D2150" s="163" t="str">
        <f>IF(AND('Resource Planner'!$A$52="☑",46&lt;='Resource Planner'!$N$52),'Resource Planner'!$D$52,"")</f>
        <v/>
      </c>
      <c r="E2150" s="163" t="str">
        <f>IF(AND('Resource Planner'!$A$52="☑",46&lt;='Resource Planner'!$N$52),'Resource Planner'!$E$52,"")</f>
        <v/>
      </c>
      <c r="F2150" s="163" t="str">
        <f>IF(AND('Resource Planner'!$A$52="☑",46&lt;='Resource Planner'!$N$52),'Resource Planner'!$F$52&amp;" "&amp;('Resource Planner'!$G$52+(46-1)*'Resource Planner'!$I$52)&amp;IF(('Resource Planner'!$G$52+(46-1)*'Resource Planner'!$I$52)=MIN('Resource Planner'!$G$52+46*'Resource Planner'!$I$52-1,'Resource Planner'!$H$52),"","–"&amp;MIN('Resource Planner'!$G$52+46*'Resource Planner'!$I$52-1,'Resource Planner'!$H$52)),"")</f>
        <v/>
      </c>
      <c r="G2150" s="163" t="s">
        <v>109</v>
      </c>
      <c r="H2150" s="163" t="str">
        <f>IF(AND('Resource Planner'!$A$52="☑",46&lt;='Resource Planner'!$N$52),'Resource Planner'!$M$52,"")</f>
        <v/>
      </c>
    </row>
    <row r="2151" ht="15.75" customHeight="1">
      <c r="A21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1" s="163" t="str">
        <f>IF(AND('Resource Planner'!$A$52="☑",47&lt;='Resource Planner'!$N$52),'Resource Planner'!$C$52,"")</f>
        <v/>
      </c>
      <c r="C2151" s="163" t="str">
        <f>IF(AND('Resource Planner'!$A$52="☑",47&lt;='Resource Planner'!$N$52),'Resource Planner'!$B$52,"")</f>
        <v/>
      </c>
      <c r="D2151" s="163" t="str">
        <f>IF(AND('Resource Planner'!$A$52="☑",47&lt;='Resource Planner'!$N$52),'Resource Planner'!$D$52,"")</f>
        <v/>
      </c>
      <c r="E2151" s="163" t="str">
        <f>IF(AND('Resource Planner'!$A$52="☑",47&lt;='Resource Planner'!$N$52),'Resource Planner'!$E$52,"")</f>
        <v/>
      </c>
      <c r="F2151" s="163" t="str">
        <f>IF(AND('Resource Planner'!$A$52="☑",47&lt;='Resource Planner'!$N$52),'Resource Planner'!$F$52&amp;" "&amp;('Resource Planner'!$G$52+(47-1)*'Resource Planner'!$I$52)&amp;IF(('Resource Planner'!$G$52+(47-1)*'Resource Planner'!$I$52)=MIN('Resource Planner'!$G$52+47*'Resource Planner'!$I$52-1,'Resource Planner'!$H$52),"","–"&amp;MIN('Resource Planner'!$G$52+47*'Resource Planner'!$I$52-1,'Resource Planner'!$H$52)),"")</f>
        <v/>
      </c>
      <c r="G2151" s="163" t="s">
        <v>109</v>
      </c>
      <c r="H2151" s="163" t="str">
        <f>IF(AND('Resource Planner'!$A$52="☑",47&lt;='Resource Planner'!$N$52),'Resource Planner'!$M$52,"")</f>
        <v/>
      </c>
    </row>
    <row r="2152" ht="15.75" customHeight="1">
      <c r="A21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2" s="163" t="str">
        <f>IF(AND('Resource Planner'!$A$52="☑",48&lt;='Resource Planner'!$N$52),'Resource Planner'!$C$52,"")</f>
        <v/>
      </c>
      <c r="C2152" s="163" t="str">
        <f>IF(AND('Resource Planner'!$A$52="☑",48&lt;='Resource Planner'!$N$52),'Resource Planner'!$B$52,"")</f>
        <v/>
      </c>
      <c r="D2152" s="163" t="str">
        <f>IF(AND('Resource Planner'!$A$52="☑",48&lt;='Resource Planner'!$N$52),'Resource Planner'!$D$52,"")</f>
        <v/>
      </c>
      <c r="E2152" s="163" t="str">
        <f>IF(AND('Resource Planner'!$A$52="☑",48&lt;='Resource Planner'!$N$52),'Resource Planner'!$E$52,"")</f>
        <v/>
      </c>
      <c r="F2152" s="163" t="str">
        <f>IF(AND('Resource Planner'!$A$52="☑",48&lt;='Resource Planner'!$N$52),'Resource Planner'!$F$52&amp;" "&amp;('Resource Planner'!$G$52+(48-1)*'Resource Planner'!$I$52)&amp;IF(('Resource Planner'!$G$52+(48-1)*'Resource Planner'!$I$52)=MIN('Resource Planner'!$G$52+48*'Resource Planner'!$I$52-1,'Resource Planner'!$H$52),"","–"&amp;MIN('Resource Planner'!$G$52+48*'Resource Planner'!$I$52-1,'Resource Planner'!$H$52)),"")</f>
        <v/>
      </c>
      <c r="G2152" s="163" t="s">
        <v>109</v>
      </c>
      <c r="H2152" s="163" t="str">
        <f>IF(AND('Resource Planner'!$A$52="☑",48&lt;='Resource Planner'!$N$52),'Resource Planner'!$M$52,"")</f>
        <v/>
      </c>
    </row>
    <row r="2153" ht="15.75" customHeight="1">
      <c r="A21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3" s="163" t="str">
        <f>IF(AND('Resource Planner'!$A$52="☑",49&lt;='Resource Planner'!$N$52),'Resource Planner'!$C$52,"")</f>
        <v/>
      </c>
      <c r="C2153" s="163" t="str">
        <f>IF(AND('Resource Planner'!$A$52="☑",49&lt;='Resource Planner'!$N$52),'Resource Planner'!$B$52,"")</f>
        <v/>
      </c>
      <c r="D2153" s="163" t="str">
        <f>IF(AND('Resource Planner'!$A$52="☑",49&lt;='Resource Planner'!$N$52),'Resource Planner'!$D$52,"")</f>
        <v/>
      </c>
      <c r="E2153" s="163" t="str">
        <f>IF(AND('Resource Planner'!$A$52="☑",49&lt;='Resource Planner'!$N$52),'Resource Planner'!$E$52,"")</f>
        <v/>
      </c>
      <c r="F2153" s="163" t="str">
        <f>IF(AND('Resource Planner'!$A$52="☑",49&lt;='Resource Planner'!$N$52),'Resource Planner'!$F$52&amp;" "&amp;('Resource Planner'!$G$52+(49-1)*'Resource Planner'!$I$52)&amp;IF(('Resource Planner'!$G$52+(49-1)*'Resource Planner'!$I$52)=MIN('Resource Planner'!$G$52+49*'Resource Planner'!$I$52-1,'Resource Planner'!$H$52),"","–"&amp;MIN('Resource Planner'!$G$52+49*'Resource Planner'!$I$52-1,'Resource Planner'!$H$52)),"")</f>
        <v/>
      </c>
      <c r="G2153" s="163" t="s">
        <v>109</v>
      </c>
      <c r="H2153" s="163" t="str">
        <f>IF(AND('Resource Planner'!$A$52="☑",49&lt;='Resource Planner'!$N$52),'Resource Planner'!$M$52,"")</f>
        <v/>
      </c>
    </row>
    <row r="2154" ht="15.75" customHeight="1">
      <c r="A21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4" s="163" t="str">
        <f>IF(AND('Resource Planner'!$A$52="☑",50&lt;='Resource Planner'!$N$52),'Resource Planner'!$C$52,"")</f>
        <v/>
      </c>
      <c r="C2154" s="163" t="str">
        <f>IF(AND('Resource Planner'!$A$52="☑",50&lt;='Resource Planner'!$N$52),'Resource Planner'!$B$52,"")</f>
        <v/>
      </c>
      <c r="D2154" s="163" t="str">
        <f>IF(AND('Resource Planner'!$A$52="☑",50&lt;='Resource Planner'!$N$52),'Resource Planner'!$D$52,"")</f>
        <v/>
      </c>
      <c r="E2154" s="163" t="str">
        <f>IF(AND('Resource Planner'!$A$52="☑",50&lt;='Resource Planner'!$N$52),'Resource Planner'!$E$52,"")</f>
        <v/>
      </c>
      <c r="F2154" s="163" t="str">
        <f>IF(AND('Resource Planner'!$A$52="☑",50&lt;='Resource Planner'!$N$52),'Resource Planner'!$F$52&amp;" "&amp;('Resource Planner'!$G$52+(50-1)*'Resource Planner'!$I$52)&amp;IF(('Resource Planner'!$G$52+(50-1)*'Resource Planner'!$I$52)=MIN('Resource Planner'!$G$52+50*'Resource Planner'!$I$52-1,'Resource Planner'!$H$52),"","–"&amp;MIN('Resource Planner'!$G$52+50*'Resource Planner'!$I$52-1,'Resource Planner'!$H$52)),"")</f>
        <v/>
      </c>
      <c r="G2154" s="163" t="s">
        <v>109</v>
      </c>
      <c r="H2154" s="163" t="str">
        <f>IF(AND('Resource Planner'!$A$52="☑",50&lt;='Resource Planner'!$N$52),'Resource Planner'!$M$52,"")</f>
        <v/>
      </c>
    </row>
    <row r="2155" ht="15.75" customHeight="1">
      <c r="A21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5" s="163" t="str">
        <f>IF(AND('Resource Planner'!$A$53="☑",1&lt;='Resource Planner'!$N$53),'Resource Planner'!$C$53,"")</f>
        <v/>
      </c>
      <c r="C2155" s="163" t="str">
        <f>IF(AND('Resource Planner'!$A$53="☑",1&lt;='Resource Planner'!$N$53),'Resource Planner'!$B$53,"")</f>
        <v/>
      </c>
      <c r="D2155" s="163" t="str">
        <f>IF(AND('Resource Planner'!$A$53="☑",1&lt;='Resource Planner'!$N$53),'Resource Planner'!$D$53,"")</f>
        <v/>
      </c>
      <c r="E2155" s="163" t="str">
        <f>IF(AND('Resource Planner'!$A$53="☑",1&lt;='Resource Planner'!$N$53),'Resource Planner'!$E$53,"")</f>
        <v/>
      </c>
      <c r="F2155" s="163" t="str">
        <f>IF(AND('Resource Planner'!$A$53="☑",1&lt;='Resource Planner'!$N$53),'Resource Planner'!$F$53&amp;" "&amp;('Resource Planner'!$G$53+(1-1)*'Resource Planner'!$I$53)&amp;IF(('Resource Planner'!$G$53+(1-1)*'Resource Planner'!$I$53)=MIN('Resource Planner'!$G$53+1*'Resource Planner'!$I$53-1,'Resource Planner'!$H$53),"","–"&amp;MIN('Resource Planner'!$G$53+1*'Resource Planner'!$I$53-1,'Resource Planner'!$H$53)),"")</f>
        <v/>
      </c>
      <c r="G2155" s="163" t="s">
        <v>109</v>
      </c>
      <c r="H2155" s="163" t="str">
        <f>IF(AND('Resource Planner'!$A$53="☑",1&lt;='Resource Planner'!$N$53),'Resource Planner'!$M$53,"")</f>
        <v/>
      </c>
    </row>
    <row r="2156" ht="15.75" customHeight="1">
      <c r="A21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6" s="163" t="str">
        <f>IF(AND('Resource Planner'!$A$53="☑",2&lt;='Resource Planner'!$N$53),'Resource Planner'!$C$53,"")</f>
        <v/>
      </c>
      <c r="C2156" s="163" t="str">
        <f>IF(AND('Resource Planner'!$A$53="☑",2&lt;='Resource Planner'!$N$53),'Resource Planner'!$B$53,"")</f>
        <v/>
      </c>
      <c r="D2156" s="163" t="str">
        <f>IF(AND('Resource Planner'!$A$53="☑",2&lt;='Resource Planner'!$N$53),'Resource Planner'!$D$53,"")</f>
        <v/>
      </c>
      <c r="E2156" s="163" t="str">
        <f>IF(AND('Resource Planner'!$A$53="☑",2&lt;='Resource Planner'!$N$53),'Resource Planner'!$E$53,"")</f>
        <v/>
      </c>
      <c r="F2156" s="163" t="str">
        <f>IF(AND('Resource Planner'!$A$53="☑",2&lt;='Resource Planner'!$N$53),'Resource Planner'!$F$53&amp;" "&amp;('Resource Planner'!$G$53+(2-1)*'Resource Planner'!$I$53)&amp;IF(('Resource Planner'!$G$53+(2-1)*'Resource Planner'!$I$53)=MIN('Resource Planner'!$G$53+2*'Resource Planner'!$I$53-1,'Resource Planner'!$H$53),"","–"&amp;MIN('Resource Planner'!$G$53+2*'Resource Planner'!$I$53-1,'Resource Planner'!$H$53)),"")</f>
        <v/>
      </c>
      <c r="G2156" s="163" t="s">
        <v>109</v>
      </c>
      <c r="H2156" s="163" t="str">
        <f>IF(AND('Resource Planner'!$A$53="☑",2&lt;='Resource Planner'!$N$53),'Resource Planner'!$M$53,"")</f>
        <v/>
      </c>
    </row>
    <row r="2157" ht="15.75" customHeight="1">
      <c r="A21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7" s="163" t="str">
        <f>IF(AND('Resource Planner'!$A$53="☑",3&lt;='Resource Planner'!$N$53),'Resource Planner'!$C$53,"")</f>
        <v/>
      </c>
      <c r="C2157" s="163" t="str">
        <f>IF(AND('Resource Planner'!$A$53="☑",3&lt;='Resource Planner'!$N$53),'Resource Planner'!$B$53,"")</f>
        <v/>
      </c>
      <c r="D2157" s="163" t="str">
        <f>IF(AND('Resource Planner'!$A$53="☑",3&lt;='Resource Planner'!$N$53),'Resource Planner'!$D$53,"")</f>
        <v/>
      </c>
      <c r="E2157" s="163" t="str">
        <f>IF(AND('Resource Planner'!$A$53="☑",3&lt;='Resource Planner'!$N$53),'Resource Planner'!$E$53,"")</f>
        <v/>
      </c>
      <c r="F2157" s="163" t="str">
        <f>IF(AND('Resource Planner'!$A$53="☑",3&lt;='Resource Planner'!$N$53),'Resource Planner'!$F$53&amp;" "&amp;('Resource Planner'!$G$53+(3-1)*'Resource Planner'!$I$53)&amp;IF(('Resource Planner'!$G$53+(3-1)*'Resource Planner'!$I$53)=MIN('Resource Planner'!$G$53+3*'Resource Planner'!$I$53-1,'Resource Planner'!$H$53),"","–"&amp;MIN('Resource Planner'!$G$53+3*'Resource Planner'!$I$53-1,'Resource Planner'!$H$53)),"")</f>
        <v/>
      </c>
      <c r="G2157" s="163" t="s">
        <v>109</v>
      </c>
      <c r="H2157" s="163" t="str">
        <f>IF(AND('Resource Planner'!$A$53="☑",3&lt;='Resource Planner'!$N$53),'Resource Planner'!$M$53,"")</f>
        <v/>
      </c>
    </row>
    <row r="2158" ht="15.75" customHeight="1">
      <c r="A21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8" s="163" t="str">
        <f>IF(AND('Resource Planner'!$A$53="☑",4&lt;='Resource Planner'!$N$53),'Resource Planner'!$C$53,"")</f>
        <v/>
      </c>
      <c r="C2158" s="163" t="str">
        <f>IF(AND('Resource Planner'!$A$53="☑",4&lt;='Resource Planner'!$N$53),'Resource Planner'!$B$53,"")</f>
        <v/>
      </c>
      <c r="D2158" s="163" t="str">
        <f>IF(AND('Resource Planner'!$A$53="☑",4&lt;='Resource Planner'!$N$53),'Resource Planner'!$D$53,"")</f>
        <v/>
      </c>
      <c r="E2158" s="163" t="str">
        <f>IF(AND('Resource Planner'!$A$53="☑",4&lt;='Resource Planner'!$N$53),'Resource Planner'!$E$53,"")</f>
        <v/>
      </c>
      <c r="F2158" s="163" t="str">
        <f>IF(AND('Resource Planner'!$A$53="☑",4&lt;='Resource Planner'!$N$53),'Resource Planner'!$F$53&amp;" "&amp;('Resource Planner'!$G$53+(4-1)*'Resource Planner'!$I$53)&amp;IF(('Resource Planner'!$G$53+(4-1)*'Resource Planner'!$I$53)=MIN('Resource Planner'!$G$53+4*'Resource Planner'!$I$53-1,'Resource Planner'!$H$53),"","–"&amp;MIN('Resource Planner'!$G$53+4*'Resource Planner'!$I$53-1,'Resource Planner'!$H$53)),"")</f>
        <v/>
      </c>
      <c r="G2158" s="163" t="s">
        <v>109</v>
      </c>
      <c r="H2158" s="163" t="str">
        <f>IF(AND('Resource Planner'!$A$53="☑",4&lt;='Resource Planner'!$N$53),'Resource Planner'!$M$53,"")</f>
        <v/>
      </c>
    </row>
    <row r="2159" ht="15.75" customHeight="1">
      <c r="A21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59" s="163" t="str">
        <f>IF(AND('Resource Planner'!$A$53="☑",5&lt;='Resource Planner'!$N$53),'Resource Planner'!$C$53,"")</f>
        <v/>
      </c>
      <c r="C2159" s="163" t="str">
        <f>IF(AND('Resource Planner'!$A$53="☑",5&lt;='Resource Planner'!$N$53),'Resource Planner'!$B$53,"")</f>
        <v/>
      </c>
      <c r="D2159" s="163" t="str">
        <f>IF(AND('Resource Planner'!$A$53="☑",5&lt;='Resource Planner'!$N$53),'Resource Planner'!$D$53,"")</f>
        <v/>
      </c>
      <c r="E2159" s="163" t="str">
        <f>IF(AND('Resource Planner'!$A$53="☑",5&lt;='Resource Planner'!$N$53),'Resource Planner'!$E$53,"")</f>
        <v/>
      </c>
      <c r="F2159" s="163" t="str">
        <f>IF(AND('Resource Planner'!$A$53="☑",5&lt;='Resource Planner'!$N$53),'Resource Planner'!$F$53&amp;" "&amp;('Resource Planner'!$G$53+(5-1)*'Resource Planner'!$I$53)&amp;IF(('Resource Planner'!$G$53+(5-1)*'Resource Planner'!$I$53)=MIN('Resource Planner'!$G$53+5*'Resource Planner'!$I$53-1,'Resource Planner'!$H$53),"","–"&amp;MIN('Resource Planner'!$G$53+5*'Resource Planner'!$I$53-1,'Resource Planner'!$H$53)),"")</f>
        <v/>
      </c>
      <c r="G2159" s="163" t="s">
        <v>109</v>
      </c>
      <c r="H2159" s="163" t="str">
        <f>IF(AND('Resource Planner'!$A$53="☑",5&lt;='Resource Planner'!$N$53),'Resource Planner'!$M$53,"")</f>
        <v/>
      </c>
    </row>
    <row r="2160" ht="15.75" customHeight="1">
      <c r="A21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0" s="163" t="str">
        <f>IF(AND('Resource Planner'!$A$53="☑",6&lt;='Resource Planner'!$N$53),'Resource Planner'!$C$53,"")</f>
        <v/>
      </c>
      <c r="C2160" s="163" t="str">
        <f>IF(AND('Resource Planner'!$A$53="☑",6&lt;='Resource Planner'!$N$53),'Resource Planner'!$B$53,"")</f>
        <v/>
      </c>
      <c r="D2160" s="163" t="str">
        <f>IF(AND('Resource Planner'!$A$53="☑",6&lt;='Resource Planner'!$N$53),'Resource Planner'!$D$53,"")</f>
        <v/>
      </c>
      <c r="E2160" s="163" t="str">
        <f>IF(AND('Resource Planner'!$A$53="☑",6&lt;='Resource Planner'!$N$53),'Resource Planner'!$E$53,"")</f>
        <v/>
      </c>
      <c r="F2160" s="163" t="str">
        <f>IF(AND('Resource Planner'!$A$53="☑",6&lt;='Resource Planner'!$N$53),'Resource Planner'!$F$53&amp;" "&amp;('Resource Planner'!$G$53+(6-1)*'Resource Planner'!$I$53)&amp;IF(('Resource Planner'!$G$53+(6-1)*'Resource Planner'!$I$53)=MIN('Resource Planner'!$G$53+6*'Resource Planner'!$I$53-1,'Resource Planner'!$H$53),"","–"&amp;MIN('Resource Planner'!$G$53+6*'Resource Planner'!$I$53-1,'Resource Planner'!$H$53)),"")</f>
        <v/>
      </c>
      <c r="G2160" s="163" t="s">
        <v>109</v>
      </c>
      <c r="H2160" s="163" t="str">
        <f>IF(AND('Resource Planner'!$A$53="☑",6&lt;='Resource Planner'!$N$53),'Resource Planner'!$M$53,"")</f>
        <v/>
      </c>
    </row>
    <row r="2161" ht="15.75" customHeight="1">
      <c r="A21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1" s="163" t="str">
        <f>IF(AND('Resource Planner'!$A$53="☑",7&lt;='Resource Planner'!$N$53),'Resource Planner'!$C$53,"")</f>
        <v/>
      </c>
      <c r="C2161" s="163" t="str">
        <f>IF(AND('Resource Planner'!$A$53="☑",7&lt;='Resource Planner'!$N$53),'Resource Planner'!$B$53,"")</f>
        <v/>
      </c>
      <c r="D2161" s="163" t="str">
        <f>IF(AND('Resource Planner'!$A$53="☑",7&lt;='Resource Planner'!$N$53),'Resource Planner'!$D$53,"")</f>
        <v/>
      </c>
      <c r="E2161" s="163" t="str">
        <f>IF(AND('Resource Planner'!$A$53="☑",7&lt;='Resource Planner'!$N$53),'Resource Planner'!$E$53,"")</f>
        <v/>
      </c>
      <c r="F2161" s="163" t="str">
        <f>IF(AND('Resource Planner'!$A$53="☑",7&lt;='Resource Planner'!$N$53),'Resource Planner'!$F$53&amp;" "&amp;('Resource Planner'!$G$53+(7-1)*'Resource Planner'!$I$53)&amp;IF(('Resource Planner'!$G$53+(7-1)*'Resource Planner'!$I$53)=MIN('Resource Planner'!$G$53+7*'Resource Planner'!$I$53-1,'Resource Planner'!$H$53),"","–"&amp;MIN('Resource Planner'!$G$53+7*'Resource Planner'!$I$53-1,'Resource Planner'!$H$53)),"")</f>
        <v/>
      </c>
      <c r="G2161" s="163" t="s">
        <v>109</v>
      </c>
      <c r="H2161" s="163" t="str">
        <f>IF(AND('Resource Planner'!$A$53="☑",7&lt;='Resource Planner'!$N$53),'Resource Planner'!$M$53,"")</f>
        <v/>
      </c>
    </row>
    <row r="2162" ht="15.75" customHeight="1">
      <c r="A21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2" s="163" t="str">
        <f>IF(AND('Resource Planner'!$A$53="☑",8&lt;='Resource Planner'!$N$53),'Resource Planner'!$C$53,"")</f>
        <v/>
      </c>
      <c r="C2162" s="163" t="str">
        <f>IF(AND('Resource Planner'!$A$53="☑",8&lt;='Resource Planner'!$N$53),'Resource Planner'!$B$53,"")</f>
        <v/>
      </c>
      <c r="D2162" s="163" t="str">
        <f>IF(AND('Resource Planner'!$A$53="☑",8&lt;='Resource Planner'!$N$53),'Resource Planner'!$D$53,"")</f>
        <v/>
      </c>
      <c r="E2162" s="163" t="str">
        <f>IF(AND('Resource Planner'!$A$53="☑",8&lt;='Resource Planner'!$N$53),'Resource Planner'!$E$53,"")</f>
        <v/>
      </c>
      <c r="F2162" s="163" t="str">
        <f>IF(AND('Resource Planner'!$A$53="☑",8&lt;='Resource Planner'!$N$53),'Resource Planner'!$F$53&amp;" "&amp;('Resource Planner'!$G$53+(8-1)*'Resource Planner'!$I$53)&amp;IF(('Resource Planner'!$G$53+(8-1)*'Resource Planner'!$I$53)=MIN('Resource Planner'!$G$53+8*'Resource Planner'!$I$53-1,'Resource Planner'!$H$53),"","–"&amp;MIN('Resource Planner'!$G$53+8*'Resource Planner'!$I$53-1,'Resource Planner'!$H$53)),"")</f>
        <v/>
      </c>
      <c r="G2162" s="163" t="s">
        <v>109</v>
      </c>
      <c r="H2162" s="163" t="str">
        <f>IF(AND('Resource Planner'!$A$53="☑",8&lt;='Resource Planner'!$N$53),'Resource Planner'!$M$53,"")</f>
        <v/>
      </c>
    </row>
    <row r="2163" ht="15.75" customHeight="1">
      <c r="A21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3" s="163" t="str">
        <f>IF(AND('Resource Planner'!$A$53="☑",9&lt;='Resource Planner'!$N$53),'Resource Planner'!$C$53,"")</f>
        <v/>
      </c>
      <c r="C2163" s="163" t="str">
        <f>IF(AND('Resource Planner'!$A$53="☑",9&lt;='Resource Planner'!$N$53),'Resource Planner'!$B$53,"")</f>
        <v/>
      </c>
      <c r="D2163" s="163" t="str">
        <f>IF(AND('Resource Planner'!$A$53="☑",9&lt;='Resource Planner'!$N$53),'Resource Planner'!$D$53,"")</f>
        <v/>
      </c>
      <c r="E2163" s="163" t="str">
        <f>IF(AND('Resource Planner'!$A$53="☑",9&lt;='Resource Planner'!$N$53),'Resource Planner'!$E$53,"")</f>
        <v/>
      </c>
      <c r="F2163" s="163" t="str">
        <f>IF(AND('Resource Planner'!$A$53="☑",9&lt;='Resource Planner'!$N$53),'Resource Planner'!$F$53&amp;" "&amp;('Resource Planner'!$G$53+(9-1)*'Resource Planner'!$I$53)&amp;IF(('Resource Planner'!$G$53+(9-1)*'Resource Planner'!$I$53)=MIN('Resource Planner'!$G$53+9*'Resource Planner'!$I$53-1,'Resource Planner'!$H$53),"","–"&amp;MIN('Resource Planner'!$G$53+9*'Resource Planner'!$I$53-1,'Resource Planner'!$H$53)),"")</f>
        <v/>
      </c>
      <c r="G2163" s="163" t="s">
        <v>109</v>
      </c>
      <c r="H2163" s="163" t="str">
        <f>IF(AND('Resource Planner'!$A$53="☑",9&lt;='Resource Planner'!$N$53),'Resource Planner'!$M$53,"")</f>
        <v/>
      </c>
    </row>
    <row r="2164" ht="15.75" customHeight="1">
      <c r="A21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4" s="163" t="str">
        <f>IF(AND('Resource Planner'!$A$53="☑",10&lt;='Resource Planner'!$N$53),'Resource Planner'!$C$53,"")</f>
        <v/>
      </c>
      <c r="C2164" s="163" t="str">
        <f>IF(AND('Resource Planner'!$A$53="☑",10&lt;='Resource Planner'!$N$53),'Resource Planner'!$B$53,"")</f>
        <v/>
      </c>
      <c r="D2164" s="163" t="str">
        <f>IF(AND('Resource Planner'!$A$53="☑",10&lt;='Resource Planner'!$N$53),'Resource Planner'!$D$53,"")</f>
        <v/>
      </c>
      <c r="E2164" s="163" t="str">
        <f>IF(AND('Resource Planner'!$A$53="☑",10&lt;='Resource Planner'!$N$53),'Resource Planner'!$E$53,"")</f>
        <v/>
      </c>
      <c r="F2164" s="163" t="str">
        <f>IF(AND('Resource Planner'!$A$53="☑",10&lt;='Resource Planner'!$N$53),'Resource Planner'!$F$53&amp;" "&amp;('Resource Planner'!$G$53+(10-1)*'Resource Planner'!$I$53)&amp;IF(('Resource Planner'!$G$53+(10-1)*'Resource Planner'!$I$53)=MIN('Resource Planner'!$G$53+10*'Resource Planner'!$I$53-1,'Resource Planner'!$H$53),"","–"&amp;MIN('Resource Planner'!$G$53+10*'Resource Planner'!$I$53-1,'Resource Planner'!$H$53)),"")</f>
        <v/>
      </c>
      <c r="G2164" s="163" t="s">
        <v>109</v>
      </c>
      <c r="H2164" s="163" t="str">
        <f>IF(AND('Resource Planner'!$A$53="☑",10&lt;='Resource Planner'!$N$53),'Resource Planner'!$M$53,"")</f>
        <v/>
      </c>
    </row>
    <row r="2165" ht="15.75" customHeight="1">
      <c r="A21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5" s="163" t="str">
        <f>IF(AND('Resource Planner'!$A$53="☑",11&lt;='Resource Planner'!$N$53),'Resource Planner'!$C$53,"")</f>
        <v/>
      </c>
      <c r="C2165" s="163" t="str">
        <f>IF(AND('Resource Planner'!$A$53="☑",11&lt;='Resource Planner'!$N$53),'Resource Planner'!$B$53,"")</f>
        <v/>
      </c>
      <c r="D2165" s="163" t="str">
        <f>IF(AND('Resource Planner'!$A$53="☑",11&lt;='Resource Planner'!$N$53),'Resource Planner'!$D$53,"")</f>
        <v/>
      </c>
      <c r="E2165" s="163" t="str">
        <f>IF(AND('Resource Planner'!$A$53="☑",11&lt;='Resource Planner'!$N$53),'Resource Planner'!$E$53,"")</f>
        <v/>
      </c>
      <c r="F2165" s="163" t="str">
        <f>IF(AND('Resource Planner'!$A$53="☑",11&lt;='Resource Planner'!$N$53),'Resource Planner'!$F$53&amp;" "&amp;('Resource Planner'!$G$53+(11-1)*'Resource Planner'!$I$53)&amp;IF(('Resource Planner'!$G$53+(11-1)*'Resource Planner'!$I$53)=MIN('Resource Planner'!$G$53+11*'Resource Planner'!$I$53-1,'Resource Planner'!$H$53),"","–"&amp;MIN('Resource Planner'!$G$53+11*'Resource Planner'!$I$53-1,'Resource Planner'!$H$53)),"")</f>
        <v/>
      </c>
      <c r="G2165" s="163" t="s">
        <v>109</v>
      </c>
      <c r="H2165" s="163" t="str">
        <f>IF(AND('Resource Planner'!$A$53="☑",11&lt;='Resource Planner'!$N$53),'Resource Planner'!$M$53,"")</f>
        <v/>
      </c>
    </row>
    <row r="2166" ht="15.75" customHeight="1">
      <c r="A21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6" s="163" t="str">
        <f>IF(AND('Resource Planner'!$A$53="☑",12&lt;='Resource Planner'!$N$53),'Resource Planner'!$C$53,"")</f>
        <v/>
      </c>
      <c r="C2166" s="163" t="str">
        <f>IF(AND('Resource Planner'!$A$53="☑",12&lt;='Resource Planner'!$N$53),'Resource Planner'!$B$53,"")</f>
        <v/>
      </c>
      <c r="D2166" s="163" t="str">
        <f>IF(AND('Resource Planner'!$A$53="☑",12&lt;='Resource Planner'!$N$53),'Resource Planner'!$D$53,"")</f>
        <v/>
      </c>
      <c r="E2166" s="163" t="str">
        <f>IF(AND('Resource Planner'!$A$53="☑",12&lt;='Resource Planner'!$N$53),'Resource Planner'!$E$53,"")</f>
        <v/>
      </c>
      <c r="F2166" s="163" t="str">
        <f>IF(AND('Resource Planner'!$A$53="☑",12&lt;='Resource Planner'!$N$53),'Resource Planner'!$F$53&amp;" "&amp;('Resource Planner'!$G$53+(12-1)*'Resource Planner'!$I$53)&amp;IF(('Resource Planner'!$G$53+(12-1)*'Resource Planner'!$I$53)=MIN('Resource Planner'!$G$53+12*'Resource Planner'!$I$53-1,'Resource Planner'!$H$53),"","–"&amp;MIN('Resource Planner'!$G$53+12*'Resource Planner'!$I$53-1,'Resource Planner'!$H$53)),"")</f>
        <v/>
      </c>
      <c r="G2166" s="163" t="s">
        <v>109</v>
      </c>
      <c r="H2166" s="163" t="str">
        <f>IF(AND('Resource Planner'!$A$53="☑",12&lt;='Resource Planner'!$N$53),'Resource Planner'!$M$53,"")</f>
        <v/>
      </c>
    </row>
    <row r="2167" ht="15.75" customHeight="1">
      <c r="A21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7" s="163" t="str">
        <f>IF(AND('Resource Planner'!$A$53="☑",13&lt;='Resource Planner'!$N$53),'Resource Planner'!$C$53,"")</f>
        <v/>
      </c>
      <c r="C2167" s="163" t="str">
        <f>IF(AND('Resource Planner'!$A$53="☑",13&lt;='Resource Planner'!$N$53),'Resource Planner'!$B$53,"")</f>
        <v/>
      </c>
      <c r="D2167" s="163" t="str">
        <f>IF(AND('Resource Planner'!$A$53="☑",13&lt;='Resource Planner'!$N$53),'Resource Planner'!$D$53,"")</f>
        <v/>
      </c>
      <c r="E2167" s="163" t="str">
        <f>IF(AND('Resource Planner'!$A$53="☑",13&lt;='Resource Planner'!$N$53),'Resource Planner'!$E$53,"")</f>
        <v/>
      </c>
      <c r="F2167" s="163" t="str">
        <f>IF(AND('Resource Planner'!$A$53="☑",13&lt;='Resource Planner'!$N$53),'Resource Planner'!$F$53&amp;" "&amp;('Resource Planner'!$G$53+(13-1)*'Resource Planner'!$I$53)&amp;IF(('Resource Planner'!$G$53+(13-1)*'Resource Planner'!$I$53)=MIN('Resource Planner'!$G$53+13*'Resource Planner'!$I$53-1,'Resource Planner'!$H$53),"","–"&amp;MIN('Resource Planner'!$G$53+13*'Resource Planner'!$I$53-1,'Resource Planner'!$H$53)),"")</f>
        <v/>
      </c>
      <c r="G2167" s="163" t="s">
        <v>109</v>
      </c>
      <c r="H2167" s="163" t="str">
        <f>IF(AND('Resource Planner'!$A$53="☑",13&lt;='Resource Planner'!$N$53),'Resource Planner'!$M$53,"")</f>
        <v/>
      </c>
    </row>
    <row r="2168" ht="15.75" customHeight="1">
      <c r="A21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8" s="163" t="str">
        <f>IF(AND('Resource Planner'!$A$53="☑",14&lt;='Resource Planner'!$N$53),'Resource Planner'!$C$53,"")</f>
        <v/>
      </c>
      <c r="C2168" s="163" t="str">
        <f>IF(AND('Resource Planner'!$A$53="☑",14&lt;='Resource Planner'!$N$53),'Resource Planner'!$B$53,"")</f>
        <v/>
      </c>
      <c r="D2168" s="163" t="str">
        <f>IF(AND('Resource Planner'!$A$53="☑",14&lt;='Resource Planner'!$N$53),'Resource Planner'!$D$53,"")</f>
        <v/>
      </c>
      <c r="E2168" s="163" t="str">
        <f>IF(AND('Resource Planner'!$A$53="☑",14&lt;='Resource Planner'!$N$53),'Resource Planner'!$E$53,"")</f>
        <v/>
      </c>
      <c r="F2168" s="163" t="str">
        <f>IF(AND('Resource Planner'!$A$53="☑",14&lt;='Resource Planner'!$N$53),'Resource Planner'!$F$53&amp;" "&amp;('Resource Planner'!$G$53+(14-1)*'Resource Planner'!$I$53)&amp;IF(('Resource Planner'!$G$53+(14-1)*'Resource Planner'!$I$53)=MIN('Resource Planner'!$G$53+14*'Resource Planner'!$I$53-1,'Resource Planner'!$H$53),"","–"&amp;MIN('Resource Planner'!$G$53+14*'Resource Planner'!$I$53-1,'Resource Planner'!$H$53)),"")</f>
        <v/>
      </c>
      <c r="G2168" s="163" t="s">
        <v>109</v>
      </c>
      <c r="H2168" s="163" t="str">
        <f>IF(AND('Resource Planner'!$A$53="☑",14&lt;='Resource Planner'!$N$53),'Resource Planner'!$M$53,"")</f>
        <v/>
      </c>
    </row>
    <row r="2169" ht="15.75" customHeight="1">
      <c r="A21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69" s="163" t="str">
        <f>IF(AND('Resource Planner'!$A$53="☑",15&lt;='Resource Planner'!$N$53),'Resource Planner'!$C$53,"")</f>
        <v/>
      </c>
      <c r="C2169" s="163" t="str">
        <f>IF(AND('Resource Planner'!$A$53="☑",15&lt;='Resource Planner'!$N$53),'Resource Planner'!$B$53,"")</f>
        <v/>
      </c>
      <c r="D2169" s="163" t="str">
        <f>IF(AND('Resource Planner'!$A$53="☑",15&lt;='Resource Planner'!$N$53),'Resource Planner'!$D$53,"")</f>
        <v/>
      </c>
      <c r="E2169" s="163" t="str">
        <f>IF(AND('Resource Planner'!$A$53="☑",15&lt;='Resource Planner'!$N$53),'Resource Planner'!$E$53,"")</f>
        <v/>
      </c>
      <c r="F2169" s="163" t="str">
        <f>IF(AND('Resource Planner'!$A$53="☑",15&lt;='Resource Planner'!$N$53),'Resource Planner'!$F$53&amp;" "&amp;('Resource Planner'!$G$53+(15-1)*'Resource Planner'!$I$53)&amp;IF(('Resource Planner'!$G$53+(15-1)*'Resource Planner'!$I$53)=MIN('Resource Planner'!$G$53+15*'Resource Planner'!$I$53-1,'Resource Planner'!$H$53),"","–"&amp;MIN('Resource Planner'!$G$53+15*'Resource Planner'!$I$53-1,'Resource Planner'!$H$53)),"")</f>
        <v/>
      </c>
      <c r="G2169" s="163" t="s">
        <v>109</v>
      </c>
      <c r="H2169" s="163" t="str">
        <f>IF(AND('Resource Planner'!$A$53="☑",15&lt;='Resource Planner'!$N$53),'Resource Planner'!$M$53,"")</f>
        <v/>
      </c>
    </row>
    <row r="2170" ht="15.75" customHeight="1">
      <c r="A21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0" s="163" t="str">
        <f>IF(AND('Resource Planner'!$A$53="☑",16&lt;='Resource Planner'!$N$53),'Resource Planner'!$C$53,"")</f>
        <v/>
      </c>
      <c r="C2170" s="163" t="str">
        <f>IF(AND('Resource Planner'!$A$53="☑",16&lt;='Resource Planner'!$N$53),'Resource Planner'!$B$53,"")</f>
        <v/>
      </c>
      <c r="D2170" s="163" t="str">
        <f>IF(AND('Resource Planner'!$A$53="☑",16&lt;='Resource Planner'!$N$53),'Resource Planner'!$D$53,"")</f>
        <v/>
      </c>
      <c r="E2170" s="163" t="str">
        <f>IF(AND('Resource Planner'!$A$53="☑",16&lt;='Resource Planner'!$N$53),'Resource Planner'!$E$53,"")</f>
        <v/>
      </c>
      <c r="F2170" s="163" t="str">
        <f>IF(AND('Resource Planner'!$A$53="☑",16&lt;='Resource Planner'!$N$53),'Resource Planner'!$F$53&amp;" "&amp;('Resource Planner'!$G$53+(16-1)*'Resource Planner'!$I$53)&amp;IF(('Resource Planner'!$G$53+(16-1)*'Resource Planner'!$I$53)=MIN('Resource Planner'!$G$53+16*'Resource Planner'!$I$53-1,'Resource Planner'!$H$53),"","–"&amp;MIN('Resource Planner'!$G$53+16*'Resource Planner'!$I$53-1,'Resource Planner'!$H$53)),"")</f>
        <v/>
      </c>
      <c r="G2170" s="163" t="s">
        <v>109</v>
      </c>
      <c r="H2170" s="163" t="str">
        <f>IF(AND('Resource Planner'!$A$53="☑",16&lt;='Resource Planner'!$N$53),'Resource Planner'!$M$53,"")</f>
        <v/>
      </c>
    </row>
    <row r="2171" ht="15.75" customHeight="1">
      <c r="A21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1" s="163" t="str">
        <f>IF(AND('Resource Planner'!$A$53="☑",17&lt;='Resource Planner'!$N$53),'Resource Planner'!$C$53,"")</f>
        <v/>
      </c>
      <c r="C2171" s="163" t="str">
        <f>IF(AND('Resource Planner'!$A$53="☑",17&lt;='Resource Planner'!$N$53),'Resource Planner'!$B$53,"")</f>
        <v/>
      </c>
      <c r="D2171" s="163" t="str">
        <f>IF(AND('Resource Planner'!$A$53="☑",17&lt;='Resource Planner'!$N$53),'Resource Planner'!$D$53,"")</f>
        <v/>
      </c>
      <c r="E2171" s="163" t="str">
        <f>IF(AND('Resource Planner'!$A$53="☑",17&lt;='Resource Planner'!$N$53),'Resource Planner'!$E$53,"")</f>
        <v/>
      </c>
      <c r="F2171" s="163" t="str">
        <f>IF(AND('Resource Planner'!$A$53="☑",17&lt;='Resource Planner'!$N$53),'Resource Planner'!$F$53&amp;" "&amp;('Resource Planner'!$G$53+(17-1)*'Resource Planner'!$I$53)&amp;IF(('Resource Planner'!$G$53+(17-1)*'Resource Planner'!$I$53)=MIN('Resource Planner'!$G$53+17*'Resource Planner'!$I$53-1,'Resource Planner'!$H$53),"","–"&amp;MIN('Resource Planner'!$G$53+17*'Resource Planner'!$I$53-1,'Resource Planner'!$H$53)),"")</f>
        <v/>
      </c>
      <c r="G2171" s="163" t="s">
        <v>109</v>
      </c>
      <c r="H2171" s="163" t="str">
        <f>IF(AND('Resource Planner'!$A$53="☑",17&lt;='Resource Planner'!$N$53),'Resource Planner'!$M$53,"")</f>
        <v/>
      </c>
    </row>
    <row r="2172" ht="15.75" customHeight="1">
      <c r="A21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2" s="163" t="str">
        <f>IF(AND('Resource Planner'!$A$53="☑",18&lt;='Resource Planner'!$N$53),'Resource Planner'!$C$53,"")</f>
        <v/>
      </c>
      <c r="C2172" s="163" t="str">
        <f>IF(AND('Resource Planner'!$A$53="☑",18&lt;='Resource Planner'!$N$53),'Resource Planner'!$B$53,"")</f>
        <v/>
      </c>
      <c r="D2172" s="163" t="str">
        <f>IF(AND('Resource Planner'!$A$53="☑",18&lt;='Resource Planner'!$N$53),'Resource Planner'!$D$53,"")</f>
        <v/>
      </c>
      <c r="E2172" s="163" t="str">
        <f>IF(AND('Resource Planner'!$A$53="☑",18&lt;='Resource Planner'!$N$53),'Resource Planner'!$E$53,"")</f>
        <v/>
      </c>
      <c r="F2172" s="163" t="str">
        <f>IF(AND('Resource Planner'!$A$53="☑",18&lt;='Resource Planner'!$N$53),'Resource Planner'!$F$53&amp;" "&amp;('Resource Planner'!$G$53+(18-1)*'Resource Planner'!$I$53)&amp;IF(('Resource Planner'!$G$53+(18-1)*'Resource Planner'!$I$53)=MIN('Resource Planner'!$G$53+18*'Resource Planner'!$I$53-1,'Resource Planner'!$H$53),"","–"&amp;MIN('Resource Planner'!$G$53+18*'Resource Planner'!$I$53-1,'Resource Planner'!$H$53)),"")</f>
        <v/>
      </c>
      <c r="G2172" s="163" t="s">
        <v>109</v>
      </c>
      <c r="H2172" s="163" t="str">
        <f>IF(AND('Resource Planner'!$A$53="☑",18&lt;='Resource Planner'!$N$53),'Resource Planner'!$M$53,"")</f>
        <v/>
      </c>
    </row>
    <row r="2173" ht="15.75" customHeight="1">
      <c r="A21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3" s="163" t="str">
        <f>IF(AND('Resource Planner'!$A$53="☑",19&lt;='Resource Planner'!$N$53),'Resource Planner'!$C$53,"")</f>
        <v/>
      </c>
      <c r="C2173" s="163" t="str">
        <f>IF(AND('Resource Planner'!$A$53="☑",19&lt;='Resource Planner'!$N$53),'Resource Planner'!$B$53,"")</f>
        <v/>
      </c>
      <c r="D2173" s="163" t="str">
        <f>IF(AND('Resource Planner'!$A$53="☑",19&lt;='Resource Planner'!$N$53),'Resource Planner'!$D$53,"")</f>
        <v/>
      </c>
      <c r="E2173" s="163" t="str">
        <f>IF(AND('Resource Planner'!$A$53="☑",19&lt;='Resource Planner'!$N$53),'Resource Planner'!$E$53,"")</f>
        <v/>
      </c>
      <c r="F2173" s="163" t="str">
        <f>IF(AND('Resource Planner'!$A$53="☑",19&lt;='Resource Planner'!$N$53),'Resource Planner'!$F$53&amp;" "&amp;('Resource Planner'!$G$53+(19-1)*'Resource Planner'!$I$53)&amp;IF(('Resource Planner'!$G$53+(19-1)*'Resource Planner'!$I$53)=MIN('Resource Planner'!$G$53+19*'Resource Planner'!$I$53-1,'Resource Planner'!$H$53),"","–"&amp;MIN('Resource Planner'!$G$53+19*'Resource Planner'!$I$53-1,'Resource Planner'!$H$53)),"")</f>
        <v/>
      </c>
      <c r="G2173" s="163" t="s">
        <v>109</v>
      </c>
      <c r="H2173" s="163" t="str">
        <f>IF(AND('Resource Planner'!$A$53="☑",19&lt;='Resource Planner'!$N$53),'Resource Planner'!$M$53,"")</f>
        <v/>
      </c>
    </row>
    <row r="2174" ht="15.75" customHeight="1">
      <c r="A21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4" s="163" t="str">
        <f>IF(AND('Resource Planner'!$A$53="☑",20&lt;='Resource Planner'!$N$53),'Resource Planner'!$C$53,"")</f>
        <v/>
      </c>
      <c r="C2174" s="163" t="str">
        <f>IF(AND('Resource Planner'!$A$53="☑",20&lt;='Resource Planner'!$N$53),'Resource Planner'!$B$53,"")</f>
        <v/>
      </c>
      <c r="D2174" s="163" t="str">
        <f>IF(AND('Resource Planner'!$A$53="☑",20&lt;='Resource Planner'!$N$53),'Resource Planner'!$D$53,"")</f>
        <v/>
      </c>
      <c r="E2174" s="163" t="str">
        <f>IF(AND('Resource Planner'!$A$53="☑",20&lt;='Resource Planner'!$N$53),'Resource Planner'!$E$53,"")</f>
        <v/>
      </c>
      <c r="F2174" s="163" t="str">
        <f>IF(AND('Resource Planner'!$A$53="☑",20&lt;='Resource Planner'!$N$53),'Resource Planner'!$F$53&amp;" "&amp;('Resource Planner'!$G$53+(20-1)*'Resource Planner'!$I$53)&amp;IF(('Resource Planner'!$G$53+(20-1)*'Resource Planner'!$I$53)=MIN('Resource Planner'!$G$53+20*'Resource Planner'!$I$53-1,'Resource Planner'!$H$53),"","–"&amp;MIN('Resource Planner'!$G$53+20*'Resource Planner'!$I$53-1,'Resource Planner'!$H$53)),"")</f>
        <v/>
      </c>
      <c r="G2174" s="163" t="s">
        <v>109</v>
      </c>
      <c r="H2174" s="163" t="str">
        <f>IF(AND('Resource Planner'!$A$53="☑",20&lt;='Resource Planner'!$N$53),'Resource Planner'!$M$53,"")</f>
        <v/>
      </c>
    </row>
    <row r="2175" ht="15.75" customHeight="1">
      <c r="A21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5" s="163" t="str">
        <f>IF(AND('Resource Planner'!$A$53="☑",21&lt;='Resource Planner'!$N$53),'Resource Planner'!$C$53,"")</f>
        <v/>
      </c>
      <c r="C2175" s="163" t="str">
        <f>IF(AND('Resource Planner'!$A$53="☑",21&lt;='Resource Planner'!$N$53),'Resource Planner'!$B$53,"")</f>
        <v/>
      </c>
      <c r="D2175" s="163" t="str">
        <f>IF(AND('Resource Planner'!$A$53="☑",21&lt;='Resource Planner'!$N$53),'Resource Planner'!$D$53,"")</f>
        <v/>
      </c>
      <c r="E2175" s="163" t="str">
        <f>IF(AND('Resource Planner'!$A$53="☑",21&lt;='Resource Planner'!$N$53),'Resource Planner'!$E$53,"")</f>
        <v/>
      </c>
      <c r="F2175" s="163" t="str">
        <f>IF(AND('Resource Planner'!$A$53="☑",21&lt;='Resource Planner'!$N$53),'Resource Planner'!$F$53&amp;" "&amp;('Resource Planner'!$G$53+(21-1)*'Resource Planner'!$I$53)&amp;IF(('Resource Planner'!$G$53+(21-1)*'Resource Planner'!$I$53)=MIN('Resource Planner'!$G$53+21*'Resource Planner'!$I$53-1,'Resource Planner'!$H$53),"","–"&amp;MIN('Resource Planner'!$G$53+21*'Resource Planner'!$I$53-1,'Resource Planner'!$H$53)),"")</f>
        <v/>
      </c>
      <c r="G2175" s="163" t="s">
        <v>109</v>
      </c>
      <c r="H2175" s="163" t="str">
        <f>IF(AND('Resource Planner'!$A$53="☑",21&lt;='Resource Planner'!$N$53),'Resource Planner'!$M$53,"")</f>
        <v/>
      </c>
    </row>
    <row r="2176" ht="15.75" customHeight="1">
      <c r="A21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6" s="163" t="str">
        <f>IF(AND('Resource Planner'!$A$53="☑",22&lt;='Resource Planner'!$N$53),'Resource Planner'!$C$53,"")</f>
        <v/>
      </c>
      <c r="C2176" s="163" t="str">
        <f>IF(AND('Resource Planner'!$A$53="☑",22&lt;='Resource Planner'!$N$53),'Resource Planner'!$B$53,"")</f>
        <v/>
      </c>
      <c r="D2176" s="163" t="str">
        <f>IF(AND('Resource Planner'!$A$53="☑",22&lt;='Resource Planner'!$N$53),'Resource Planner'!$D$53,"")</f>
        <v/>
      </c>
      <c r="E2176" s="163" t="str">
        <f>IF(AND('Resource Planner'!$A$53="☑",22&lt;='Resource Planner'!$N$53),'Resource Planner'!$E$53,"")</f>
        <v/>
      </c>
      <c r="F2176" s="163" t="str">
        <f>IF(AND('Resource Planner'!$A$53="☑",22&lt;='Resource Planner'!$N$53),'Resource Planner'!$F$53&amp;" "&amp;('Resource Planner'!$G$53+(22-1)*'Resource Planner'!$I$53)&amp;IF(('Resource Planner'!$G$53+(22-1)*'Resource Planner'!$I$53)=MIN('Resource Planner'!$G$53+22*'Resource Planner'!$I$53-1,'Resource Planner'!$H$53),"","–"&amp;MIN('Resource Planner'!$G$53+22*'Resource Planner'!$I$53-1,'Resource Planner'!$H$53)),"")</f>
        <v/>
      </c>
      <c r="G2176" s="163" t="s">
        <v>109</v>
      </c>
      <c r="H2176" s="163" t="str">
        <f>IF(AND('Resource Planner'!$A$53="☑",22&lt;='Resource Planner'!$N$53),'Resource Planner'!$M$53,"")</f>
        <v/>
      </c>
    </row>
    <row r="2177" ht="15.75" customHeight="1">
      <c r="A21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7" s="163" t="str">
        <f>IF(AND('Resource Planner'!$A$53="☑",23&lt;='Resource Planner'!$N$53),'Resource Planner'!$C$53,"")</f>
        <v/>
      </c>
      <c r="C2177" s="163" t="str">
        <f>IF(AND('Resource Planner'!$A$53="☑",23&lt;='Resource Planner'!$N$53),'Resource Planner'!$B$53,"")</f>
        <v/>
      </c>
      <c r="D2177" s="163" t="str">
        <f>IF(AND('Resource Planner'!$A$53="☑",23&lt;='Resource Planner'!$N$53),'Resource Planner'!$D$53,"")</f>
        <v/>
      </c>
      <c r="E2177" s="163" t="str">
        <f>IF(AND('Resource Planner'!$A$53="☑",23&lt;='Resource Planner'!$N$53),'Resource Planner'!$E$53,"")</f>
        <v/>
      </c>
      <c r="F2177" s="163" t="str">
        <f>IF(AND('Resource Planner'!$A$53="☑",23&lt;='Resource Planner'!$N$53),'Resource Planner'!$F$53&amp;" "&amp;('Resource Planner'!$G$53+(23-1)*'Resource Planner'!$I$53)&amp;IF(('Resource Planner'!$G$53+(23-1)*'Resource Planner'!$I$53)=MIN('Resource Planner'!$G$53+23*'Resource Planner'!$I$53-1,'Resource Planner'!$H$53),"","–"&amp;MIN('Resource Planner'!$G$53+23*'Resource Planner'!$I$53-1,'Resource Planner'!$H$53)),"")</f>
        <v/>
      </c>
      <c r="G2177" s="163" t="s">
        <v>109</v>
      </c>
      <c r="H2177" s="163" t="str">
        <f>IF(AND('Resource Planner'!$A$53="☑",23&lt;='Resource Planner'!$N$53),'Resource Planner'!$M$53,"")</f>
        <v/>
      </c>
    </row>
    <row r="2178" ht="15.75" customHeight="1">
      <c r="A21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8" s="163" t="str">
        <f>IF(AND('Resource Planner'!$A$53="☑",24&lt;='Resource Planner'!$N$53),'Resource Planner'!$C$53,"")</f>
        <v/>
      </c>
      <c r="C2178" s="163" t="str">
        <f>IF(AND('Resource Planner'!$A$53="☑",24&lt;='Resource Planner'!$N$53),'Resource Planner'!$B$53,"")</f>
        <v/>
      </c>
      <c r="D2178" s="163" t="str">
        <f>IF(AND('Resource Planner'!$A$53="☑",24&lt;='Resource Planner'!$N$53),'Resource Planner'!$D$53,"")</f>
        <v/>
      </c>
      <c r="E2178" s="163" t="str">
        <f>IF(AND('Resource Planner'!$A$53="☑",24&lt;='Resource Planner'!$N$53),'Resource Planner'!$E$53,"")</f>
        <v/>
      </c>
      <c r="F2178" s="163" t="str">
        <f>IF(AND('Resource Planner'!$A$53="☑",24&lt;='Resource Planner'!$N$53),'Resource Planner'!$F$53&amp;" "&amp;('Resource Planner'!$G$53+(24-1)*'Resource Planner'!$I$53)&amp;IF(('Resource Planner'!$G$53+(24-1)*'Resource Planner'!$I$53)=MIN('Resource Planner'!$G$53+24*'Resource Planner'!$I$53-1,'Resource Planner'!$H$53),"","–"&amp;MIN('Resource Planner'!$G$53+24*'Resource Planner'!$I$53-1,'Resource Planner'!$H$53)),"")</f>
        <v/>
      </c>
      <c r="G2178" s="163" t="s">
        <v>109</v>
      </c>
      <c r="H2178" s="163" t="str">
        <f>IF(AND('Resource Planner'!$A$53="☑",24&lt;='Resource Planner'!$N$53),'Resource Planner'!$M$53,"")</f>
        <v/>
      </c>
    </row>
    <row r="2179" ht="15.75" customHeight="1">
      <c r="A21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79" s="163" t="str">
        <f>IF(AND('Resource Planner'!$A$53="☑",25&lt;='Resource Planner'!$N$53),'Resource Planner'!$C$53,"")</f>
        <v/>
      </c>
      <c r="C2179" s="163" t="str">
        <f>IF(AND('Resource Planner'!$A$53="☑",25&lt;='Resource Planner'!$N$53),'Resource Planner'!$B$53,"")</f>
        <v/>
      </c>
      <c r="D2179" s="163" t="str">
        <f>IF(AND('Resource Planner'!$A$53="☑",25&lt;='Resource Planner'!$N$53),'Resource Planner'!$D$53,"")</f>
        <v/>
      </c>
      <c r="E2179" s="163" t="str">
        <f>IF(AND('Resource Planner'!$A$53="☑",25&lt;='Resource Planner'!$N$53),'Resource Planner'!$E$53,"")</f>
        <v/>
      </c>
      <c r="F2179" s="163" t="str">
        <f>IF(AND('Resource Planner'!$A$53="☑",25&lt;='Resource Planner'!$N$53),'Resource Planner'!$F$53&amp;" "&amp;('Resource Planner'!$G$53+(25-1)*'Resource Planner'!$I$53)&amp;IF(('Resource Planner'!$G$53+(25-1)*'Resource Planner'!$I$53)=MIN('Resource Planner'!$G$53+25*'Resource Planner'!$I$53-1,'Resource Planner'!$H$53),"","–"&amp;MIN('Resource Planner'!$G$53+25*'Resource Planner'!$I$53-1,'Resource Planner'!$H$53)),"")</f>
        <v/>
      </c>
      <c r="G2179" s="163" t="s">
        <v>109</v>
      </c>
      <c r="H2179" s="163" t="str">
        <f>IF(AND('Resource Planner'!$A$53="☑",25&lt;='Resource Planner'!$N$53),'Resource Planner'!$M$53,"")</f>
        <v/>
      </c>
    </row>
    <row r="2180" ht="15.75" customHeight="1">
      <c r="A21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0" s="163" t="str">
        <f>IF(AND('Resource Planner'!$A$53="☑",26&lt;='Resource Planner'!$N$53),'Resource Planner'!$C$53,"")</f>
        <v/>
      </c>
      <c r="C2180" s="163" t="str">
        <f>IF(AND('Resource Planner'!$A$53="☑",26&lt;='Resource Planner'!$N$53),'Resource Planner'!$B$53,"")</f>
        <v/>
      </c>
      <c r="D2180" s="163" t="str">
        <f>IF(AND('Resource Planner'!$A$53="☑",26&lt;='Resource Planner'!$N$53),'Resource Planner'!$D$53,"")</f>
        <v/>
      </c>
      <c r="E2180" s="163" t="str">
        <f>IF(AND('Resource Planner'!$A$53="☑",26&lt;='Resource Planner'!$N$53),'Resource Planner'!$E$53,"")</f>
        <v/>
      </c>
      <c r="F2180" s="163" t="str">
        <f>IF(AND('Resource Planner'!$A$53="☑",26&lt;='Resource Planner'!$N$53),'Resource Planner'!$F$53&amp;" "&amp;('Resource Planner'!$G$53+(26-1)*'Resource Planner'!$I$53)&amp;IF(('Resource Planner'!$G$53+(26-1)*'Resource Planner'!$I$53)=MIN('Resource Planner'!$G$53+26*'Resource Planner'!$I$53-1,'Resource Planner'!$H$53),"","–"&amp;MIN('Resource Planner'!$G$53+26*'Resource Planner'!$I$53-1,'Resource Planner'!$H$53)),"")</f>
        <v/>
      </c>
      <c r="G2180" s="163" t="s">
        <v>109</v>
      </c>
      <c r="H2180" s="163" t="str">
        <f>IF(AND('Resource Planner'!$A$53="☑",26&lt;='Resource Planner'!$N$53),'Resource Planner'!$M$53,"")</f>
        <v/>
      </c>
    </row>
    <row r="2181" ht="15.75" customHeight="1">
      <c r="A21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1" s="163" t="str">
        <f>IF(AND('Resource Planner'!$A$53="☑",27&lt;='Resource Planner'!$N$53),'Resource Planner'!$C$53,"")</f>
        <v/>
      </c>
      <c r="C2181" s="163" t="str">
        <f>IF(AND('Resource Planner'!$A$53="☑",27&lt;='Resource Planner'!$N$53),'Resource Planner'!$B$53,"")</f>
        <v/>
      </c>
      <c r="D2181" s="163" t="str">
        <f>IF(AND('Resource Planner'!$A$53="☑",27&lt;='Resource Planner'!$N$53),'Resource Planner'!$D$53,"")</f>
        <v/>
      </c>
      <c r="E2181" s="163" t="str">
        <f>IF(AND('Resource Planner'!$A$53="☑",27&lt;='Resource Planner'!$N$53),'Resource Planner'!$E$53,"")</f>
        <v/>
      </c>
      <c r="F2181" s="163" t="str">
        <f>IF(AND('Resource Planner'!$A$53="☑",27&lt;='Resource Planner'!$N$53),'Resource Planner'!$F$53&amp;" "&amp;('Resource Planner'!$G$53+(27-1)*'Resource Planner'!$I$53)&amp;IF(('Resource Planner'!$G$53+(27-1)*'Resource Planner'!$I$53)=MIN('Resource Planner'!$G$53+27*'Resource Planner'!$I$53-1,'Resource Planner'!$H$53),"","–"&amp;MIN('Resource Planner'!$G$53+27*'Resource Planner'!$I$53-1,'Resource Planner'!$H$53)),"")</f>
        <v/>
      </c>
      <c r="G2181" s="163" t="s">
        <v>109</v>
      </c>
      <c r="H2181" s="163" t="str">
        <f>IF(AND('Resource Planner'!$A$53="☑",27&lt;='Resource Planner'!$N$53),'Resource Planner'!$M$53,"")</f>
        <v/>
      </c>
    </row>
    <row r="2182" ht="15.75" customHeight="1">
      <c r="A21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2" s="163" t="str">
        <f>IF(AND('Resource Planner'!$A$53="☑",28&lt;='Resource Planner'!$N$53),'Resource Planner'!$C$53,"")</f>
        <v/>
      </c>
      <c r="C2182" s="163" t="str">
        <f>IF(AND('Resource Planner'!$A$53="☑",28&lt;='Resource Planner'!$N$53),'Resource Planner'!$B$53,"")</f>
        <v/>
      </c>
      <c r="D2182" s="163" t="str">
        <f>IF(AND('Resource Planner'!$A$53="☑",28&lt;='Resource Planner'!$N$53),'Resource Planner'!$D$53,"")</f>
        <v/>
      </c>
      <c r="E2182" s="163" t="str">
        <f>IF(AND('Resource Planner'!$A$53="☑",28&lt;='Resource Planner'!$N$53),'Resource Planner'!$E$53,"")</f>
        <v/>
      </c>
      <c r="F2182" s="163" t="str">
        <f>IF(AND('Resource Planner'!$A$53="☑",28&lt;='Resource Planner'!$N$53),'Resource Planner'!$F$53&amp;" "&amp;('Resource Planner'!$G$53+(28-1)*'Resource Planner'!$I$53)&amp;IF(('Resource Planner'!$G$53+(28-1)*'Resource Planner'!$I$53)=MIN('Resource Planner'!$G$53+28*'Resource Planner'!$I$53-1,'Resource Planner'!$H$53),"","–"&amp;MIN('Resource Planner'!$G$53+28*'Resource Planner'!$I$53-1,'Resource Planner'!$H$53)),"")</f>
        <v/>
      </c>
      <c r="G2182" s="163" t="s">
        <v>109</v>
      </c>
      <c r="H2182" s="163" t="str">
        <f>IF(AND('Resource Planner'!$A$53="☑",28&lt;='Resource Planner'!$N$53),'Resource Planner'!$M$53,"")</f>
        <v/>
      </c>
    </row>
    <row r="2183" ht="15.75" customHeight="1">
      <c r="A21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3" s="163" t="str">
        <f>IF(AND('Resource Planner'!$A$53="☑",29&lt;='Resource Planner'!$N$53),'Resource Planner'!$C$53,"")</f>
        <v/>
      </c>
      <c r="C2183" s="163" t="str">
        <f>IF(AND('Resource Planner'!$A$53="☑",29&lt;='Resource Planner'!$N$53),'Resource Planner'!$B$53,"")</f>
        <v/>
      </c>
      <c r="D2183" s="163" t="str">
        <f>IF(AND('Resource Planner'!$A$53="☑",29&lt;='Resource Planner'!$N$53),'Resource Planner'!$D$53,"")</f>
        <v/>
      </c>
      <c r="E2183" s="163" t="str">
        <f>IF(AND('Resource Planner'!$A$53="☑",29&lt;='Resource Planner'!$N$53),'Resource Planner'!$E$53,"")</f>
        <v/>
      </c>
      <c r="F2183" s="163" t="str">
        <f>IF(AND('Resource Planner'!$A$53="☑",29&lt;='Resource Planner'!$N$53),'Resource Planner'!$F$53&amp;" "&amp;('Resource Planner'!$G$53+(29-1)*'Resource Planner'!$I$53)&amp;IF(('Resource Planner'!$G$53+(29-1)*'Resource Planner'!$I$53)=MIN('Resource Planner'!$G$53+29*'Resource Planner'!$I$53-1,'Resource Planner'!$H$53),"","–"&amp;MIN('Resource Planner'!$G$53+29*'Resource Planner'!$I$53-1,'Resource Planner'!$H$53)),"")</f>
        <v/>
      </c>
      <c r="G2183" s="163" t="s">
        <v>109</v>
      </c>
      <c r="H2183" s="163" t="str">
        <f>IF(AND('Resource Planner'!$A$53="☑",29&lt;='Resource Planner'!$N$53),'Resource Planner'!$M$53,"")</f>
        <v/>
      </c>
    </row>
    <row r="2184" ht="15.75" customHeight="1">
      <c r="A21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4" s="163" t="str">
        <f>IF(AND('Resource Planner'!$A$53="☑",30&lt;='Resource Planner'!$N$53),'Resource Planner'!$C$53,"")</f>
        <v/>
      </c>
      <c r="C2184" s="163" t="str">
        <f>IF(AND('Resource Planner'!$A$53="☑",30&lt;='Resource Planner'!$N$53),'Resource Planner'!$B$53,"")</f>
        <v/>
      </c>
      <c r="D2184" s="163" t="str">
        <f>IF(AND('Resource Planner'!$A$53="☑",30&lt;='Resource Planner'!$N$53),'Resource Planner'!$D$53,"")</f>
        <v/>
      </c>
      <c r="E2184" s="163" t="str">
        <f>IF(AND('Resource Planner'!$A$53="☑",30&lt;='Resource Planner'!$N$53),'Resource Planner'!$E$53,"")</f>
        <v/>
      </c>
      <c r="F2184" s="163" t="str">
        <f>IF(AND('Resource Planner'!$A$53="☑",30&lt;='Resource Planner'!$N$53),'Resource Planner'!$F$53&amp;" "&amp;('Resource Planner'!$G$53+(30-1)*'Resource Planner'!$I$53)&amp;IF(('Resource Planner'!$G$53+(30-1)*'Resource Planner'!$I$53)=MIN('Resource Planner'!$G$53+30*'Resource Planner'!$I$53-1,'Resource Planner'!$H$53),"","–"&amp;MIN('Resource Planner'!$G$53+30*'Resource Planner'!$I$53-1,'Resource Planner'!$H$53)),"")</f>
        <v/>
      </c>
      <c r="G2184" s="163" t="s">
        <v>109</v>
      </c>
      <c r="H2184" s="163" t="str">
        <f>IF(AND('Resource Planner'!$A$53="☑",30&lt;='Resource Planner'!$N$53),'Resource Planner'!$M$53,"")</f>
        <v/>
      </c>
    </row>
    <row r="2185" ht="15.75" customHeight="1">
      <c r="A21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5" s="163" t="str">
        <f>IF(AND('Resource Planner'!$A$53="☑",31&lt;='Resource Planner'!$N$53),'Resource Planner'!$C$53,"")</f>
        <v/>
      </c>
      <c r="C2185" s="163" t="str">
        <f>IF(AND('Resource Planner'!$A$53="☑",31&lt;='Resource Planner'!$N$53),'Resource Planner'!$B$53,"")</f>
        <v/>
      </c>
      <c r="D2185" s="163" t="str">
        <f>IF(AND('Resource Planner'!$A$53="☑",31&lt;='Resource Planner'!$N$53),'Resource Planner'!$D$53,"")</f>
        <v/>
      </c>
      <c r="E2185" s="163" t="str">
        <f>IF(AND('Resource Planner'!$A$53="☑",31&lt;='Resource Planner'!$N$53),'Resource Planner'!$E$53,"")</f>
        <v/>
      </c>
      <c r="F2185" s="163" t="str">
        <f>IF(AND('Resource Planner'!$A$53="☑",31&lt;='Resource Planner'!$N$53),'Resource Planner'!$F$53&amp;" "&amp;('Resource Planner'!$G$53+(31-1)*'Resource Planner'!$I$53)&amp;IF(('Resource Planner'!$G$53+(31-1)*'Resource Planner'!$I$53)=MIN('Resource Planner'!$G$53+31*'Resource Planner'!$I$53-1,'Resource Planner'!$H$53),"","–"&amp;MIN('Resource Planner'!$G$53+31*'Resource Planner'!$I$53-1,'Resource Planner'!$H$53)),"")</f>
        <v/>
      </c>
      <c r="G2185" s="163" t="s">
        <v>109</v>
      </c>
      <c r="H2185" s="163" t="str">
        <f>IF(AND('Resource Planner'!$A$53="☑",31&lt;='Resource Planner'!$N$53),'Resource Planner'!$M$53,"")</f>
        <v/>
      </c>
    </row>
    <row r="2186" ht="15.75" customHeight="1">
      <c r="A21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6" s="163" t="str">
        <f>IF(AND('Resource Planner'!$A$53="☑",32&lt;='Resource Planner'!$N$53),'Resource Planner'!$C$53,"")</f>
        <v/>
      </c>
      <c r="C2186" s="163" t="str">
        <f>IF(AND('Resource Planner'!$A$53="☑",32&lt;='Resource Planner'!$N$53),'Resource Planner'!$B$53,"")</f>
        <v/>
      </c>
      <c r="D2186" s="163" t="str">
        <f>IF(AND('Resource Planner'!$A$53="☑",32&lt;='Resource Planner'!$N$53),'Resource Planner'!$D$53,"")</f>
        <v/>
      </c>
      <c r="E2186" s="163" t="str">
        <f>IF(AND('Resource Planner'!$A$53="☑",32&lt;='Resource Planner'!$N$53),'Resource Planner'!$E$53,"")</f>
        <v/>
      </c>
      <c r="F2186" s="163" t="str">
        <f>IF(AND('Resource Planner'!$A$53="☑",32&lt;='Resource Planner'!$N$53),'Resource Planner'!$F$53&amp;" "&amp;('Resource Planner'!$G$53+(32-1)*'Resource Planner'!$I$53)&amp;IF(('Resource Planner'!$G$53+(32-1)*'Resource Planner'!$I$53)=MIN('Resource Planner'!$G$53+32*'Resource Planner'!$I$53-1,'Resource Planner'!$H$53),"","–"&amp;MIN('Resource Planner'!$G$53+32*'Resource Planner'!$I$53-1,'Resource Planner'!$H$53)),"")</f>
        <v/>
      </c>
      <c r="G2186" s="163" t="s">
        <v>109</v>
      </c>
      <c r="H2186" s="163" t="str">
        <f>IF(AND('Resource Planner'!$A$53="☑",32&lt;='Resource Planner'!$N$53),'Resource Planner'!$M$53,"")</f>
        <v/>
      </c>
    </row>
    <row r="2187" ht="15.75" customHeight="1">
      <c r="A21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7" s="163" t="str">
        <f>IF(AND('Resource Planner'!$A$53="☑",33&lt;='Resource Planner'!$N$53),'Resource Planner'!$C$53,"")</f>
        <v/>
      </c>
      <c r="C2187" s="163" t="str">
        <f>IF(AND('Resource Planner'!$A$53="☑",33&lt;='Resource Planner'!$N$53),'Resource Planner'!$B$53,"")</f>
        <v/>
      </c>
      <c r="D2187" s="163" t="str">
        <f>IF(AND('Resource Planner'!$A$53="☑",33&lt;='Resource Planner'!$N$53),'Resource Planner'!$D$53,"")</f>
        <v/>
      </c>
      <c r="E2187" s="163" t="str">
        <f>IF(AND('Resource Planner'!$A$53="☑",33&lt;='Resource Planner'!$N$53),'Resource Planner'!$E$53,"")</f>
        <v/>
      </c>
      <c r="F2187" s="163" t="str">
        <f>IF(AND('Resource Planner'!$A$53="☑",33&lt;='Resource Planner'!$N$53),'Resource Planner'!$F$53&amp;" "&amp;('Resource Planner'!$G$53+(33-1)*'Resource Planner'!$I$53)&amp;IF(('Resource Planner'!$G$53+(33-1)*'Resource Planner'!$I$53)=MIN('Resource Planner'!$G$53+33*'Resource Planner'!$I$53-1,'Resource Planner'!$H$53),"","–"&amp;MIN('Resource Planner'!$G$53+33*'Resource Planner'!$I$53-1,'Resource Planner'!$H$53)),"")</f>
        <v/>
      </c>
      <c r="G2187" s="163" t="s">
        <v>109</v>
      </c>
      <c r="H2187" s="163" t="str">
        <f>IF(AND('Resource Planner'!$A$53="☑",33&lt;='Resource Planner'!$N$53),'Resource Planner'!$M$53,"")</f>
        <v/>
      </c>
    </row>
    <row r="2188" ht="15.75" customHeight="1">
      <c r="A21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8" s="163" t="str">
        <f>IF(AND('Resource Planner'!$A$53="☑",34&lt;='Resource Planner'!$N$53),'Resource Planner'!$C$53,"")</f>
        <v/>
      </c>
      <c r="C2188" s="163" t="str">
        <f>IF(AND('Resource Planner'!$A$53="☑",34&lt;='Resource Planner'!$N$53),'Resource Planner'!$B$53,"")</f>
        <v/>
      </c>
      <c r="D2188" s="163" t="str">
        <f>IF(AND('Resource Planner'!$A$53="☑",34&lt;='Resource Planner'!$N$53),'Resource Planner'!$D$53,"")</f>
        <v/>
      </c>
      <c r="E2188" s="163" t="str">
        <f>IF(AND('Resource Planner'!$A$53="☑",34&lt;='Resource Planner'!$N$53),'Resource Planner'!$E$53,"")</f>
        <v/>
      </c>
      <c r="F2188" s="163" t="str">
        <f>IF(AND('Resource Planner'!$A$53="☑",34&lt;='Resource Planner'!$N$53),'Resource Planner'!$F$53&amp;" "&amp;('Resource Planner'!$G$53+(34-1)*'Resource Planner'!$I$53)&amp;IF(('Resource Planner'!$G$53+(34-1)*'Resource Planner'!$I$53)=MIN('Resource Planner'!$G$53+34*'Resource Planner'!$I$53-1,'Resource Planner'!$H$53),"","–"&amp;MIN('Resource Planner'!$G$53+34*'Resource Planner'!$I$53-1,'Resource Planner'!$H$53)),"")</f>
        <v/>
      </c>
      <c r="G2188" s="163" t="s">
        <v>109</v>
      </c>
      <c r="H2188" s="163" t="str">
        <f>IF(AND('Resource Planner'!$A$53="☑",34&lt;='Resource Planner'!$N$53),'Resource Planner'!$M$53,"")</f>
        <v/>
      </c>
    </row>
    <row r="2189" ht="15.75" customHeight="1">
      <c r="A21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89" s="163" t="str">
        <f>IF(AND('Resource Planner'!$A$53="☑",35&lt;='Resource Planner'!$N$53),'Resource Planner'!$C$53,"")</f>
        <v/>
      </c>
      <c r="C2189" s="163" t="str">
        <f>IF(AND('Resource Planner'!$A$53="☑",35&lt;='Resource Planner'!$N$53),'Resource Planner'!$B$53,"")</f>
        <v/>
      </c>
      <c r="D2189" s="163" t="str">
        <f>IF(AND('Resource Planner'!$A$53="☑",35&lt;='Resource Planner'!$N$53),'Resource Planner'!$D$53,"")</f>
        <v/>
      </c>
      <c r="E2189" s="163" t="str">
        <f>IF(AND('Resource Planner'!$A$53="☑",35&lt;='Resource Planner'!$N$53),'Resource Planner'!$E$53,"")</f>
        <v/>
      </c>
      <c r="F2189" s="163" t="str">
        <f>IF(AND('Resource Planner'!$A$53="☑",35&lt;='Resource Planner'!$N$53),'Resource Planner'!$F$53&amp;" "&amp;('Resource Planner'!$G$53+(35-1)*'Resource Planner'!$I$53)&amp;IF(('Resource Planner'!$G$53+(35-1)*'Resource Planner'!$I$53)=MIN('Resource Planner'!$G$53+35*'Resource Planner'!$I$53-1,'Resource Planner'!$H$53),"","–"&amp;MIN('Resource Planner'!$G$53+35*'Resource Planner'!$I$53-1,'Resource Planner'!$H$53)),"")</f>
        <v/>
      </c>
      <c r="G2189" s="163" t="s">
        <v>109</v>
      </c>
      <c r="H2189" s="163" t="str">
        <f>IF(AND('Resource Planner'!$A$53="☑",35&lt;='Resource Planner'!$N$53),'Resource Planner'!$M$53,"")</f>
        <v/>
      </c>
    </row>
    <row r="2190" ht="15.75" customHeight="1">
      <c r="A21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0" s="163" t="str">
        <f>IF(AND('Resource Planner'!$A$53="☑",36&lt;='Resource Planner'!$N$53),'Resource Planner'!$C$53,"")</f>
        <v/>
      </c>
      <c r="C2190" s="163" t="str">
        <f>IF(AND('Resource Planner'!$A$53="☑",36&lt;='Resource Planner'!$N$53),'Resource Planner'!$B$53,"")</f>
        <v/>
      </c>
      <c r="D2190" s="163" t="str">
        <f>IF(AND('Resource Planner'!$A$53="☑",36&lt;='Resource Planner'!$N$53),'Resource Planner'!$D$53,"")</f>
        <v/>
      </c>
      <c r="E2190" s="163" t="str">
        <f>IF(AND('Resource Planner'!$A$53="☑",36&lt;='Resource Planner'!$N$53),'Resource Planner'!$E$53,"")</f>
        <v/>
      </c>
      <c r="F2190" s="163" t="str">
        <f>IF(AND('Resource Planner'!$A$53="☑",36&lt;='Resource Planner'!$N$53),'Resource Planner'!$F$53&amp;" "&amp;('Resource Planner'!$G$53+(36-1)*'Resource Planner'!$I$53)&amp;IF(('Resource Planner'!$G$53+(36-1)*'Resource Planner'!$I$53)=MIN('Resource Planner'!$G$53+36*'Resource Planner'!$I$53-1,'Resource Planner'!$H$53),"","–"&amp;MIN('Resource Planner'!$G$53+36*'Resource Planner'!$I$53-1,'Resource Planner'!$H$53)),"")</f>
        <v/>
      </c>
      <c r="G2190" s="163" t="s">
        <v>109</v>
      </c>
      <c r="H2190" s="163" t="str">
        <f>IF(AND('Resource Planner'!$A$53="☑",36&lt;='Resource Planner'!$N$53),'Resource Planner'!$M$53,"")</f>
        <v/>
      </c>
    </row>
    <row r="2191" ht="15.75" customHeight="1">
      <c r="A21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1" s="163" t="str">
        <f>IF(AND('Resource Planner'!$A$53="☑",37&lt;='Resource Planner'!$N$53),'Resource Planner'!$C$53,"")</f>
        <v/>
      </c>
      <c r="C2191" s="163" t="str">
        <f>IF(AND('Resource Planner'!$A$53="☑",37&lt;='Resource Planner'!$N$53),'Resource Planner'!$B$53,"")</f>
        <v/>
      </c>
      <c r="D2191" s="163" t="str">
        <f>IF(AND('Resource Planner'!$A$53="☑",37&lt;='Resource Planner'!$N$53),'Resource Planner'!$D$53,"")</f>
        <v/>
      </c>
      <c r="E2191" s="163" t="str">
        <f>IF(AND('Resource Planner'!$A$53="☑",37&lt;='Resource Planner'!$N$53),'Resource Planner'!$E$53,"")</f>
        <v/>
      </c>
      <c r="F2191" s="163" t="str">
        <f>IF(AND('Resource Planner'!$A$53="☑",37&lt;='Resource Planner'!$N$53),'Resource Planner'!$F$53&amp;" "&amp;('Resource Planner'!$G$53+(37-1)*'Resource Planner'!$I$53)&amp;IF(('Resource Planner'!$G$53+(37-1)*'Resource Planner'!$I$53)=MIN('Resource Planner'!$G$53+37*'Resource Planner'!$I$53-1,'Resource Planner'!$H$53),"","–"&amp;MIN('Resource Planner'!$G$53+37*'Resource Planner'!$I$53-1,'Resource Planner'!$H$53)),"")</f>
        <v/>
      </c>
      <c r="G2191" s="163" t="s">
        <v>109</v>
      </c>
      <c r="H2191" s="163" t="str">
        <f>IF(AND('Resource Planner'!$A$53="☑",37&lt;='Resource Planner'!$N$53),'Resource Planner'!$M$53,"")</f>
        <v/>
      </c>
    </row>
    <row r="2192" ht="15.75" customHeight="1">
      <c r="A21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2" s="163" t="str">
        <f>IF(AND('Resource Planner'!$A$53="☑",38&lt;='Resource Planner'!$N$53),'Resource Planner'!$C$53,"")</f>
        <v/>
      </c>
      <c r="C2192" s="163" t="str">
        <f>IF(AND('Resource Planner'!$A$53="☑",38&lt;='Resource Planner'!$N$53),'Resource Planner'!$B$53,"")</f>
        <v/>
      </c>
      <c r="D2192" s="163" t="str">
        <f>IF(AND('Resource Planner'!$A$53="☑",38&lt;='Resource Planner'!$N$53),'Resource Planner'!$D$53,"")</f>
        <v/>
      </c>
      <c r="E2192" s="163" t="str">
        <f>IF(AND('Resource Planner'!$A$53="☑",38&lt;='Resource Planner'!$N$53),'Resource Planner'!$E$53,"")</f>
        <v/>
      </c>
      <c r="F2192" s="163" t="str">
        <f>IF(AND('Resource Planner'!$A$53="☑",38&lt;='Resource Planner'!$N$53),'Resource Planner'!$F$53&amp;" "&amp;('Resource Planner'!$G$53+(38-1)*'Resource Planner'!$I$53)&amp;IF(('Resource Planner'!$G$53+(38-1)*'Resource Planner'!$I$53)=MIN('Resource Planner'!$G$53+38*'Resource Planner'!$I$53-1,'Resource Planner'!$H$53),"","–"&amp;MIN('Resource Planner'!$G$53+38*'Resource Planner'!$I$53-1,'Resource Planner'!$H$53)),"")</f>
        <v/>
      </c>
      <c r="G2192" s="163" t="s">
        <v>109</v>
      </c>
      <c r="H2192" s="163" t="str">
        <f>IF(AND('Resource Planner'!$A$53="☑",38&lt;='Resource Planner'!$N$53),'Resource Planner'!$M$53,"")</f>
        <v/>
      </c>
    </row>
    <row r="2193" ht="15.75" customHeight="1">
      <c r="A21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3" s="163" t="str">
        <f>IF(AND('Resource Planner'!$A$53="☑",39&lt;='Resource Planner'!$N$53),'Resource Planner'!$C$53,"")</f>
        <v/>
      </c>
      <c r="C2193" s="163" t="str">
        <f>IF(AND('Resource Planner'!$A$53="☑",39&lt;='Resource Planner'!$N$53),'Resource Planner'!$B$53,"")</f>
        <v/>
      </c>
      <c r="D2193" s="163" t="str">
        <f>IF(AND('Resource Planner'!$A$53="☑",39&lt;='Resource Planner'!$N$53),'Resource Planner'!$D$53,"")</f>
        <v/>
      </c>
      <c r="E2193" s="163" t="str">
        <f>IF(AND('Resource Planner'!$A$53="☑",39&lt;='Resource Planner'!$N$53),'Resource Planner'!$E$53,"")</f>
        <v/>
      </c>
      <c r="F2193" s="163" t="str">
        <f>IF(AND('Resource Planner'!$A$53="☑",39&lt;='Resource Planner'!$N$53),'Resource Planner'!$F$53&amp;" "&amp;('Resource Planner'!$G$53+(39-1)*'Resource Planner'!$I$53)&amp;IF(('Resource Planner'!$G$53+(39-1)*'Resource Planner'!$I$53)=MIN('Resource Planner'!$G$53+39*'Resource Planner'!$I$53-1,'Resource Planner'!$H$53),"","–"&amp;MIN('Resource Planner'!$G$53+39*'Resource Planner'!$I$53-1,'Resource Planner'!$H$53)),"")</f>
        <v/>
      </c>
      <c r="G2193" s="163" t="s">
        <v>109</v>
      </c>
      <c r="H2193" s="163" t="str">
        <f>IF(AND('Resource Planner'!$A$53="☑",39&lt;='Resource Planner'!$N$53),'Resource Planner'!$M$53,"")</f>
        <v/>
      </c>
    </row>
    <row r="2194" ht="15.75" customHeight="1">
      <c r="A21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4" s="163" t="str">
        <f>IF(AND('Resource Planner'!$A$53="☑",40&lt;='Resource Planner'!$N$53),'Resource Planner'!$C$53,"")</f>
        <v/>
      </c>
      <c r="C2194" s="163" t="str">
        <f>IF(AND('Resource Planner'!$A$53="☑",40&lt;='Resource Planner'!$N$53),'Resource Planner'!$B$53,"")</f>
        <v/>
      </c>
      <c r="D2194" s="163" t="str">
        <f>IF(AND('Resource Planner'!$A$53="☑",40&lt;='Resource Planner'!$N$53),'Resource Planner'!$D$53,"")</f>
        <v/>
      </c>
      <c r="E2194" s="163" t="str">
        <f>IF(AND('Resource Planner'!$A$53="☑",40&lt;='Resource Planner'!$N$53),'Resource Planner'!$E$53,"")</f>
        <v/>
      </c>
      <c r="F2194" s="163" t="str">
        <f>IF(AND('Resource Planner'!$A$53="☑",40&lt;='Resource Planner'!$N$53),'Resource Planner'!$F$53&amp;" "&amp;('Resource Planner'!$G$53+(40-1)*'Resource Planner'!$I$53)&amp;IF(('Resource Planner'!$G$53+(40-1)*'Resource Planner'!$I$53)=MIN('Resource Planner'!$G$53+40*'Resource Planner'!$I$53-1,'Resource Planner'!$H$53),"","–"&amp;MIN('Resource Planner'!$G$53+40*'Resource Planner'!$I$53-1,'Resource Planner'!$H$53)),"")</f>
        <v/>
      </c>
      <c r="G2194" s="163" t="s">
        <v>109</v>
      </c>
      <c r="H2194" s="163" t="str">
        <f>IF(AND('Resource Planner'!$A$53="☑",40&lt;='Resource Planner'!$N$53),'Resource Planner'!$M$53,"")</f>
        <v/>
      </c>
    </row>
    <row r="2195" ht="15.75" customHeight="1">
      <c r="A21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5" s="163" t="str">
        <f>IF(AND('Resource Planner'!$A$53="☑",41&lt;='Resource Planner'!$N$53),'Resource Planner'!$C$53,"")</f>
        <v/>
      </c>
      <c r="C2195" s="163" t="str">
        <f>IF(AND('Resource Planner'!$A$53="☑",41&lt;='Resource Planner'!$N$53),'Resource Planner'!$B$53,"")</f>
        <v/>
      </c>
      <c r="D2195" s="163" t="str">
        <f>IF(AND('Resource Planner'!$A$53="☑",41&lt;='Resource Planner'!$N$53),'Resource Planner'!$D$53,"")</f>
        <v/>
      </c>
      <c r="E2195" s="163" t="str">
        <f>IF(AND('Resource Planner'!$A$53="☑",41&lt;='Resource Planner'!$N$53),'Resource Planner'!$E$53,"")</f>
        <v/>
      </c>
      <c r="F2195" s="163" t="str">
        <f>IF(AND('Resource Planner'!$A$53="☑",41&lt;='Resource Planner'!$N$53),'Resource Planner'!$F$53&amp;" "&amp;('Resource Planner'!$G$53+(41-1)*'Resource Planner'!$I$53)&amp;IF(('Resource Planner'!$G$53+(41-1)*'Resource Planner'!$I$53)=MIN('Resource Planner'!$G$53+41*'Resource Planner'!$I$53-1,'Resource Planner'!$H$53),"","–"&amp;MIN('Resource Planner'!$G$53+41*'Resource Planner'!$I$53-1,'Resource Planner'!$H$53)),"")</f>
        <v/>
      </c>
      <c r="G2195" s="163" t="s">
        <v>109</v>
      </c>
      <c r="H2195" s="163" t="str">
        <f>IF(AND('Resource Planner'!$A$53="☑",41&lt;='Resource Planner'!$N$53),'Resource Planner'!$M$53,"")</f>
        <v/>
      </c>
    </row>
    <row r="2196" ht="15.75" customHeight="1">
      <c r="A21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6" s="163" t="str">
        <f>IF(AND('Resource Planner'!$A$53="☑",42&lt;='Resource Planner'!$N$53),'Resource Planner'!$C$53,"")</f>
        <v/>
      </c>
      <c r="C2196" s="163" t="str">
        <f>IF(AND('Resource Planner'!$A$53="☑",42&lt;='Resource Planner'!$N$53),'Resource Planner'!$B$53,"")</f>
        <v/>
      </c>
      <c r="D2196" s="163" t="str">
        <f>IF(AND('Resource Planner'!$A$53="☑",42&lt;='Resource Planner'!$N$53),'Resource Planner'!$D$53,"")</f>
        <v/>
      </c>
      <c r="E2196" s="163" t="str">
        <f>IF(AND('Resource Planner'!$A$53="☑",42&lt;='Resource Planner'!$N$53),'Resource Planner'!$E$53,"")</f>
        <v/>
      </c>
      <c r="F2196" s="163" t="str">
        <f>IF(AND('Resource Planner'!$A$53="☑",42&lt;='Resource Planner'!$N$53),'Resource Planner'!$F$53&amp;" "&amp;('Resource Planner'!$G$53+(42-1)*'Resource Planner'!$I$53)&amp;IF(('Resource Planner'!$G$53+(42-1)*'Resource Planner'!$I$53)=MIN('Resource Planner'!$G$53+42*'Resource Planner'!$I$53-1,'Resource Planner'!$H$53),"","–"&amp;MIN('Resource Planner'!$G$53+42*'Resource Planner'!$I$53-1,'Resource Planner'!$H$53)),"")</f>
        <v/>
      </c>
      <c r="G2196" s="163" t="s">
        <v>109</v>
      </c>
      <c r="H2196" s="163" t="str">
        <f>IF(AND('Resource Planner'!$A$53="☑",42&lt;='Resource Planner'!$N$53),'Resource Planner'!$M$53,"")</f>
        <v/>
      </c>
    </row>
    <row r="2197" ht="15.75" customHeight="1">
      <c r="A21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7" s="163" t="str">
        <f>IF(AND('Resource Planner'!$A$53="☑",43&lt;='Resource Planner'!$N$53),'Resource Planner'!$C$53,"")</f>
        <v/>
      </c>
      <c r="C2197" s="163" t="str">
        <f>IF(AND('Resource Planner'!$A$53="☑",43&lt;='Resource Planner'!$N$53),'Resource Planner'!$B$53,"")</f>
        <v/>
      </c>
      <c r="D2197" s="163" t="str">
        <f>IF(AND('Resource Planner'!$A$53="☑",43&lt;='Resource Planner'!$N$53),'Resource Planner'!$D$53,"")</f>
        <v/>
      </c>
      <c r="E2197" s="163" t="str">
        <f>IF(AND('Resource Planner'!$A$53="☑",43&lt;='Resource Planner'!$N$53),'Resource Planner'!$E$53,"")</f>
        <v/>
      </c>
      <c r="F2197" s="163" t="str">
        <f>IF(AND('Resource Planner'!$A$53="☑",43&lt;='Resource Planner'!$N$53),'Resource Planner'!$F$53&amp;" "&amp;('Resource Planner'!$G$53+(43-1)*'Resource Planner'!$I$53)&amp;IF(('Resource Planner'!$G$53+(43-1)*'Resource Planner'!$I$53)=MIN('Resource Planner'!$G$53+43*'Resource Planner'!$I$53-1,'Resource Planner'!$H$53),"","–"&amp;MIN('Resource Planner'!$G$53+43*'Resource Planner'!$I$53-1,'Resource Planner'!$H$53)),"")</f>
        <v/>
      </c>
      <c r="G2197" s="163" t="s">
        <v>109</v>
      </c>
      <c r="H2197" s="163" t="str">
        <f>IF(AND('Resource Planner'!$A$53="☑",43&lt;='Resource Planner'!$N$53),'Resource Planner'!$M$53,"")</f>
        <v/>
      </c>
    </row>
    <row r="2198" ht="15.75" customHeight="1">
      <c r="A21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8" s="163" t="str">
        <f>IF(AND('Resource Planner'!$A$53="☑",44&lt;='Resource Planner'!$N$53),'Resource Planner'!$C$53,"")</f>
        <v/>
      </c>
      <c r="C2198" s="163" t="str">
        <f>IF(AND('Resource Planner'!$A$53="☑",44&lt;='Resource Planner'!$N$53),'Resource Planner'!$B$53,"")</f>
        <v/>
      </c>
      <c r="D2198" s="163" t="str">
        <f>IF(AND('Resource Planner'!$A$53="☑",44&lt;='Resource Planner'!$N$53),'Resource Planner'!$D$53,"")</f>
        <v/>
      </c>
      <c r="E2198" s="163" t="str">
        <f>IF(AND('Resource Planner'!$A$53="☑",44&lt;='Resource Planner'!$N$53),'Resource Planner'!$E$53,"")</f>
        <v/>
      </c>
      <c r="F2198" s="163" t="str">
        <f>IF(AND('Resource Planner'!$A$53="☑",44&lt;='Resource Planner'!$N$53),'Resource Planner'!$F$53&amp;" "&amp;('Resource Planner'!$G$53+(44-1)*'Resource Planner'!$I$53)&amp;IF(('Resource Planner'!$G$53+(44-1)*'Resource Planner'!$I$53)=MIN('Resource Planner'!$G$53+44*'Resource Planner'!$I$53-1,'Resource Planner'!$H$53),"","–"&amp;MIN('Resource Planner'!$G$53+44*'Resource Planner'!$I$53-1,'Resource Planner'!$H$53)),"")</f>
        <v/>
      </c>
      <c r="G2198" s="163" t="s">
        <v>109</v>
      </c>
      <c r="H2198" s="163" t="str">
        <f>IF(AND('Resource Planner'!$A$53="☑",44&lt;='Resource Planner'!$N$53),'Resource Planner'!$M$53,"")</f>
        <v/>
      </c>
    </row>
    <row r="2199" ht="15.75" customHeight="1">
      <c r="A21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199" s="163" t="str">
        <f>IF(AND('Resource Planner'!$A$53="☑",45&lt;='Resource Planner'!$N$53),'Resource Planner'!$C$53,"")</f>
        <v/>
      </c>
      <c r="C2199" s="163" t="str">
        <f>IF(AND('Resource Planner'!$A$53="☑",45&lt;='Resource Planner'!$N$53),'Resource Planner'!$B$53,"")</f>
        <v/>
      </c>
      <c r="D2199" s="163" t="str">
        <f>IF(AND('Resource Planner'!$A$53="☑",45&lt;='Resource Planner'!$N$53),'Resource Planner'!$D$53,"")</f>
        <v/>
      </c>
      <c r="E2199" s="163" t="str">
        <f>IF(AND('Resource Planner'!$A$53="☑",45&lt;='Resource Planner'!$N$53),'Resource Planner'!$E$53,"")</f>
        <v/>
      </c>
      <c r="F2199" s="163" t="str">
        <f>IF(AND('Resource Planner'!$A$53="☑",45&lt;='Resource Planner'!$N$53),'Resource Planner'!$F$53&amp;" "&amp;('Resource Planner'!$G$53+(45-1)*'Resource Planner'!$I$53)&amp;IF(('Resource Planner'!$G$53+(45-1)*'Resource Planner'!$I$53)=MIN('Resource Planner'!$G$53+45*'Resource Planner'!$I$53-1,'Resource Planner'!$H$53),"","–"&amp;MIN('Resource Planner'!$G$53+45*'Resource Planner'!$I$53-1,'Resource Planner'!$H$53)),"")</f>
        <v/>
      </c>
      <c r="G2199" s="163" t="s">
        <v>109</v>
      </c>
      <c r="H2199" s="163" t="str">
        <f>IF(AND('Resource Planner'!$A$53="☑",45&lt;='Resource Planner'!$N$53),'Resource Planner'!$M$53,"")</f>
        <v/>
      </c>
    </row>
    <row r="2200" ht="15.75" customHeight="1">
      <c r="A22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0" s="163" t="str">
        <f>IF(AND('Resource Planner'!$A$53="☑",46&lt;='Resource Planner'!$N$53),'Resource Planner'!$C$53,"")</f>
        <v/>
      </c>
      <c r="C2200" s="163" t="str">
        <f>IF(AND('Resource Planner'!$A$53="☑",46&lt;='Resource Planner'!$N$53),'Resource Planner'!$B$53,"")</f>
        <v/>
      </c>
      <c r="D2200" s="163" t="str">
        <f>IF(AND('Resource Planner'!$A$53="☑",46&lt;='Resource Planner'!$N$53),'Resource Planner'!$D$53,"")</f>
        <v/>
      </c>
      <c r="E2200" s="163" t="str">
        <f>IF(AND('Resource Planner'!$A$53="☑",46&lt;='Resource Planner'!$N$53),'Resource Planner'!$E$53,"")</f>
        <v/>
      </c>
      <c r="F2200" s="163" t="str">
        <f>IF(AND('Resource Planner'!$A$53="☑",46&lt;='Resource Planner'!$N$53),'Resource Planner'!$F$53&amp;" "&amp;('Resource Planner'!$G$53+(46-1)*'Resource Planner'!$I$53)&amp;IF(('Resource Planner'!$G$53+(46-1)*'Resource Planner'!$I$53)=MIN('Resource Planner'!$G$53+46*'Resource Planner'!$I$53-1,'Resource Planner'!$H$53),"","–"&amp;MIN('Resource Planner'!$G$53+46*'Resource Planner'!$I$53-1,'Resource Planner'!$H$53)),"")</f>
        <v/>
      </c>
      <c r="G2200" s="163" t="s">
        <v>109</v>
      </c>
      <c r="H2200" s="163" t="str">
        <f>IF(AND('Resource Planner'!$A$53="☑",46&lt;='Resource Planner'!$N$53),'Resource Planner'!$M$53,"")</f>
        <v/>
      </c>
    </row>
    <row r="2201" ht="15.75" customHeight="1">
      <c r="A22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1" s="163" t="str">
        <f>IF(AND('Resource Planner'!$A$53="☑",47&lt;='Resource Planner'!$N$53),'Resource Planner'!$C$53,"")</f>
        <v/>
      </c>
      <c r="C2201" s="163" t="str">
        <f>IF(AND('Resource Planner'!$A$53="☑",47&lt;='Resource Planner'!$N$53),'Resource Planner'!$B$53,"")</f>
        <v/>
      </c>
      <c r="D2201" s="163" t="str">
        <f>IF(AND('Resource Planner'!$A$53="☑",47&lt;='Resource Planner'!$N$53),'Resource Planner'!$D$53,"")</f>
        <v/>
      </c>
      <c r="E2201" s="163" t="str">
        <f>IF(AND('Resource Planner'!$A$53="☑",47&lt;='Resource Planner'!$N$53),'Resource Planner'!$E$53,"")</f>
        <v/>
      </c>
      <c r="F2201" s="163" t="str">
        <f>IF(AND('Resource Planner'!$A$53="☑",47&lt;='Resource Planner'!$N$53),'Resource Planner'!$F$53&amp;" "&amp;('Resource Planner'!$G$53+(47-1)*'Resource Planner'!$I$53)&amp;IF(('Resource Planner'!$G$53+(47-1)*'Resource Planner'!$I$53)=MIN('Resource Planner'!$G$53+47*'Resource Planner'!$I$53-1,'Resource Planner'!$H$53),"","–"&amp;MIN('Resource Planner'!$G$53+47*'Resource Planner'!$I$53-1,'Resource Planner'!$H$53)),"")</f>
        <v/>
      </c>
      <c r="G2201" s="163" t="s">
        <v>109</v>
      </c>
      <c r="H2201" s="163" t="str">
        <f>IF(AND('Resource Planner'!$A$53="☑",47&lt;='Resource Planner'!$N$53),'Resource Planner'!$M$53,"")</f>
        <v/>
      </c>
    </row>
    <row r="2202" ht="15.75" customHeight="1">
      <c r="A22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2" s="163" t="str">
        <f>IF(AND('Resource Planner'!$A$53="☑",48&lt;='Resource Planner'!$N$53),'Resource Planner'!$C$53,"")</f>
        <v/>
      </c>
      <c r="C2202" s="163" t="str">
        <f>IF(AND('Resource Planner'!$A$53="☑",48&lt;='Resource Planner'!$N$53),'Resource Planner'!$B$53,"")</f>
        <v/>
      </c>
      <c r="D2202" s="163" t="str">
        <f>IF(AND('Resource Planner'!$A$53="☑",48&lt;='Resource Planner'!$N$53),'Resource Planner'!$D$53,"")</f>
        <v/>
      </c>
      <c r="E2202" s="163" t="str">
        <f>IF(AND('Resource Planner'!$A$53="☑",48&lt;='Resource Planner'!$N$53),'Resource Planner'!$E$53,"")</f>
        <v/>
      </c>
      <c r="F2202" s="163" t="str">
        <f>IF(AND('Resource Planner'!$A$53="☑",48&lt;='Resource Planner'!$N$53),'Resource Planner'!$F$53&amp;" "&amp;('Resource Planner'!$G$53+(48-1)*'Resource Planner'!$I$53)&amp;IF(('Resource Planner'!$G$53+(48-1)*'Resource Planner'!$I$53)=MIN('Resource Planner'!$G$53+48*'Resource Planner'!$I$53-1,'Resource Planner'!$H$53),"","–"&amp;MIN('Resource Planner'!$G$53+48*'Resource Planner'!$I$53-1,'Resource Planner'!$H$53)),"")</f>
        <v/>
      </c>
      <c r="G2202" s="163" t="s">
        <v>109</v>
      </c>
      <c r="H2202" s="163" t="str">
        <f>IF(AND('Resource Planner'!$A$53="☑",48&lt;='Resource Planner'!$N$53),'Resource Planner'!$M$53,"")</f>
        <v/>
      </c>
    </row>
    <row r="2203" ht="15.75" customHeight="1">
      <c r="A22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3" s="163" t="str">
        <f>IF(AND('Resource Planner'!$A$53="☑",49&lt;='Resource Planner'!$N$53),'Resource Planner'!$C$53,"")</f>
        <v/>
      </c>
      <c r="C2203" s="163" t="str">
        <f>IF(AND('Resource Planner'!$A$53="☑",49&lt;='Resource Planner'!$N$53),'Resource Planner'!$B$53,"")</f>
        <v/>
      </c>
      <c r="D2203" s="163" t="str">
        <f>IF(AND('Resource Planner'!$A$53="☑",49&lt;='Resource Planner'!$N$53),'Resource Planner'!$D$53,"")</f>
        <v/>
      </c>
      <c r="E2203" s="163" t="str">
        <f>IF(AND('Resource Planner'!$A$53="☑",49&lt;='Resource Planner'!$N$53),'Resource Planner'!$E$53,"")</f>
        <v/>
      </c>
      <c r="F2203" s="163" t="str">
        <f>IF(AND('Resource Planner'!$A$53="☑",49&lt;='Resource Planner'!$N$53),'Resource Planner'!$F$53&amp;" "&amp;('Resource Planner'!$G$53+(49-1)*'Resource Planner'!$I$53)&amp;IF(('Resource Planner'!$G$53+(49-1)*'Resource Planner'!$I$53)=MIN('Resource Planner'!$G$53+49*'Resource Planner'!$I$53-1,'Resource Planner'!$H$53),"","–"&amp;MIN('Resource Planner'!$G$53+49*'Resource Planner'!$I$53-1,'Resource Planner'!$H$53)),"")</f>
        <v/>
      </c>
      <c r="G2203" s="163" t="s">
        <v>109</v>
      </c>
      <c r="H2203" s="163" t="str">
        <f>IF(AND('Resource Planner'!$A$53="☑",49&lt;='Resource Planner'!$N$53),'Resource Planner'!$M$53,"")</f>
        <v/>
      </c>
    </row>
    <row r="2204" ht="15.75" customHeight="1">
      <c r="A22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4" s="163" t="str">
        <f>IF(AND('Resource Planner'!$A$53="☑",50&lt;='Resource Planner'!$N$53),'Resource Planner'!$C$53,"")</f>
        <v/>
      </c>
      <c r="C2204" s="163" t="str">
        <f>IF(AND('Resource Planner'!$A$53="☑",50&lt;='Resource Planner'!$N$53),'Resource Planner'!$B$53,"")</f>
        <v/>
      </c>
      <c r="D2204" s="163" t="str">
        <f>IF(AND('Resource Planner'!$A$53="☑",50&lt;='Resource Planner'!$N$53),'Resource Planner'!$D$53,"")</f>
        <v/>
      </c>
      <c r="E2204" s="163" t="str">
        <f>IF(AND('Resource Planner'!$A$53="☑",50&lt;='Resource Planner'!$N$53),'Resource Planner'!$E$53,"")</f>
        <v/>
      </c>
      <c r="F2204" s="163" t="str">
        <f>IF(AND('Resource Planner'!$A$53="☑",50&lt;='Resource Planner'!$N$53),'Resource Planner'!$F$53&amp;" "&amp;('Resource Planner'!$G$53+(50-1)*'Resource Planner'!$I$53)&amp;IF(('Resource Planner'!$G$53+(50-1)*'Resource Planner'!$I$53)=MIN('Resource Planner'!$G$53+50*'Resource Planner'!$I$53-1,'Resource Planner'!$H$53),"","–"&amp;MIN('Resource Planner'!$G$53+50*'Resource Planner'!$I$53-1,'Resource Planner'!$H$53)),"")</f>
        <v/>
      </c>
      <c r="G2204" s="163" t="s">
        <v>109</v>
      </c>
      <c r="H2204" s="163" t="str">
        <f>IF(AND('Resource Planner'!$A$53="☑",50&lt;='Resource Planner'!$N$53),'Resource Planner'!$M$53,"")</f>
        <v/>
      </c>
    </row>
    <row r="2205" ht="15.75" customHeight="1">
      <c r="A22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5" s="163" t="str">
        <f>IF(AND('Resource Planner'!$A$54="☑",1&lt;='Resource Planner'!$N$54),'Resource Planner'!$C$54,"")</f>
        <v/>
      </c>
      <c r="C2205" s="163" t="str">
        <f>IF(AND('Resource Planner'!$A$54="☑",1&lt;='Resource Planner'!$N$54),'Resource Planner'!$B$54,"")</f>
        <v/>
      </c>
      <c r="D2205" s="163" t="str">
        <f>IF(AND('Resource Planner'!$A$54="☑",1&lt;='Resource Planner'!$N$54),'Resource Planner'!$D$54,"")</f>
        <v/>
      </c>
      <c r="E2205" s="163" t="str">
        <f>IF(AND('Resource Planner'!$A$54="☑",1&lt;='Resource Planner'!$N$54),'Resource Planner'!$E$54,"")</f>
        <v/>
      </c>
      <c r="F2205" s="163" t="str">
        <f>IF(AND('Resource Planner'!$A$54="☑",1&lt;='Resource Planner'!$N$54),'Resource Planner'!$F$54&amp;" "&amp;('Resource Planner'!$G$54+(1-1)*'Resource Planner'!$I$54)&amp;IF(('Resource Planner'!$G$54+(1-1)*'Resource Planner'!$I$54)=MIN('Resource Planner'!$G$54+1*'Resource Planner'!$I$54-1,'Resource Planner'!$H$54),"","–"&amp;MIN('Resource Planner'!$G$54+1*'Resource Planner'!$I$54-1,'Resource Planner'!$H$54)),"")</f>
        <v/>
      </c>
      <c r="G2205" s="163" t="s">
        <v>109</v>
      </c>
      <c r="H2205" s="163" t="str">
        <f>IF(AND('Resource Planner'!$A$54="☑",1&lt;='Resource Planner'!$N$54),'Resource Planner'!$M$54,"")</f>
        <v/>
      </c>
    </row>
    <row r="2206" ht="15.75" customHeight="1">
      <c r="A22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6" s="163" t="str">
        <f>IF(AND('Resource Planner'!$A$54="☑",2&lt;='Resource Planner'!$N$54),'Resource Planner'!$C$54,"")</f>
        <v/>
      </c>
      <c r="C2206" s="163" t="str">
        <f>IF(AND('Resource Planner'!$A$54="☑",2&lt;='Resource Planner'!$N$54),'Resource Planner'!$B$54,"")</f>
        <v/>
      </c>
      <c r="D2206" s="163" t="str">
        <f>IF(AND('Resource Planner'!$A$54="☑",2&lt;='Resource Planner'!$N$54),'Resource Planner'!$D$54,"")</f>
        <v/>
      </c>
      <c r="E2206" s="163" t="str">
        <f>IF(AND('Resource Planner'!$A$54="☑",2&lt;='Resource Planner'!$N$54),'Resource Planner'!$E$54,"")</f>
        <v/>
      </c>
      <c r="F2206" s="163" t="str">
        <f>IF(AND('Resource Planner'!$A$54="☑",2&lt;='Resource Planner'!$N$54),'Resource Planner'!$F$54&amp;" "&amp;('Resource Planner'!$G$54+(2-1)*'Resource Planner'!$I$54)&amp;IF(('Resource Planner'!$G$54+(2-1)*'Resource Planner'!$I$54)=MIN('Resource Planner'!$G$54+2*'Resource Planner'!$I$54-1,'Resource Planner'!$H$54),"","–"&amp;MIN('Resource Planner'!$G$54+2*'Resource Planner'!$I$54-1,'Resource Planner'!$H$54)),"")</f>
        <v/>
      </c>
      <c r="G2206" s="163" t="s">
        <v>109</v>
      </c>
      <c r="H2206" s="163" t="str">
        <f>IF(AND('Resource Planner'!$A$54="☑",2&lt;='Resource Planner'!$N$54),'Resource Planner'!$M$54,"")</f>
        <v/>
      </c>
    </row>
    <row r="2207" ht="15.75" customHeight="1">
      <c r="A22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7" s="163" t="str">
        <f>IF(AND('Resource Planner'!$A$54="☑",3&lt;='Resource Planner'!$N$54),'Resource Planner'!$C$54,"")</f>
        <v/>
      </c>
      <c r="C2207" s="163" t="str">
        <f>IF(AND('Resource Planner'!$A$54="☑",3&lt;='Resource Planner'!$N$54),'Resource Planner'!$B$54,"")</f>
        <v/>
      </c>
      <c r="D2207" s="163" t="str">
        <f>IF(AND('Resource Planner'!$A$54="☑",3&lt;='Resource Planner'!$N$54),'Resource Planner'!$D$54,"")</f>
        <v/>
      </c>
      <c r="E2207" s="163" t="str">
        <f>IF(AND('Resource Planner'!$A$54="☑",3&lt;='Resource Planner'!$N$54),'Resource Planner'!$E$54,"")</f>
        <v/>
      </c>
      <c r="F2207" s="163" t="str">
        <f>IF(AND('Resource Planner'!$A$54="☑",3&lt;='Resource Planner'!$N$54),'Resource Planner'!$F$54&amp;" "&amp;('Resource Planner'!$G$54+(3-1)*'Resource Planner'!$I$54)&amp;IF(('Resource Planner'!$G$54+(3-1)*'Resource Planner'!$I$54)=MIN('Resource Planner'!$G$54+3*'Resource Planner'!$I$54-1,'Resource Planner'!$H$54),"","–"&amp;MIN('Resource Planner'!$G$54+3*'Resource Planner'!$I$54-1,'Resource Planner'!$H$54)),"")</f>
        <v/>
      </c>
      <c r="G2207" s="163" t="s">
        <v>109</v>
      </c>
      <c r="H2207" s="163" t="str">
        <f>IF(AND('Resource Planner'!$A$54="☑",3&lt;='Resource Planner'!$N$54),'Resource Planner'!$M$54,"")</f>
        <v/>
      </c>
    </row>
    <row r="2208" ht="15.75" customHeight="1">
      <c r="A22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8" s="163" t="str">
        <f>IF(AND('Resource Planner'!$A$54="☑",4&lt;='Resource Planner'!$N$54),'Resource Planner'!$C$54,"")</f>
        <v/>
      </c>
      <c r="C2208" s="163" t="str">
        <f>IF(AND('Resource Planner'!$A$54="☑",4&lt;='Resource Planner'!$N$54),'Resource Planner'!$B$54,"")</f>
        <v/>
      </c>
      <c r="D2208" s="163" t="str">
        <f>IF(AND('Resource Planner'!$A$54="☑",4&lt;='Resource Planner'!$N$54),'Resource Planner'!$D$54,"")</f>
        <v/>
      </c>
      <c r="E2208" s="163" t="str">
        <f>IF(AND('Resource Planner'!$A$54="☑",4&lt;='Resource Planner'!$N$54),'Resource Planner'!$E$54,"")</f>
        <v/>
      </c>
      <c r="F2208" s="163" t="str">
        <f>IF(AND('Resource Planner'!$A$54="☑",4&lt;='Resource Planner'!$N$54),'Resource Planner'!$F$54&amp;" "&amp;('Resource Planner'!$G$54+(4-1)*'Resource Planner'!$I$54)&amp;IF(('Resource Planner'!$G$54+(4-1)*'Resource Planner'!$I$54)=MIN('Resource Planner'!$G$54+4*'Resource Planner'!$I$54-1,'Resource Planner'!$H$54),"","–"&amp;MIN('Resource Planner'!$G$54+4*'Resource Planner'!$I$54-1,'Resource Planner'!$H$54)),"")</f>
        <v/>
      </c>
      <c r="G2208" s="163" t="s">
        <v>109</v>
      </c>
      <c r="H2208" s="163" t="str">
        <f>IF(AND('Resource Planner'!$A$54="☑",4&lt;='Resource Planner'!$N$54),'Resource Planner'!$M$54,"")</f>
        <v/>
      </c>
    </row>
    <row r="2209" ht="15.75" customHeight="1">
      <c r="A22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09" s="163" t="str">
        <f>IF(AND('Resource Planner'!$A$54="☑",5&lt;='Resource Planner'!$N$54),'Resource Planner'!$C$54,"")</f>
        <v/>
      </c>
      <c r="C2209" s="163" t="str">
        <f>IF(AND('Resource Planner'!$A$54="☑",5&lt;='Resource Planner'!$N$54),'Resource Planner'!$B$54,"")</f>
        <v/>
      </c>
      <c r="D2209" s="163" t="str">
        <f>IF(AND('Resource Planner'!$A$54="☑",5&lt;='Resource Planner'!$N$54),'Resource Planner'!$D$54,"")</f>
        <v/>
      </c>
      <c r="E2209" s="163" t="str">
        <f>IF(AND('Resource Planner'!$A$54="☑",5&lt;='Resource Planner'!$N$54),'Resource Planner'!$E$54,"")</f>
        <v/>
      </c>
      <c r="F2209" s="163" t="str">
        <f>IF(AND('Resource Planner'!$A$54="☑",5&lt;='Resource Planner'!$N$54),'Resource Planner'!$F$54&amp;" "&amp;('Resource Planner'!$G$54+(5-1)*'Resource Planner'!$I$54)&amp;IF(('Resource Planner'!$G$54+(5-1)*'Resource Planner'!$I$54)=MIN('Resource Planner'!$G$54+5*'Resource Planner'!$I$54-1,'Resource Planner'!$H$54),"","–"&amp;MIN('Resource Planner'!$G$54+5*'Resource Planner'!$I$54-1,'Resource Planner'!$H$54)),"")</f>
        <v/>
      </c>
      <c r="G2209" s="163" t="s">
        <v>109</v>
      </c>
      <c r="H2209" s="163" t="str">
        <f>IF(AND('Resource Planner'!$A$54="☑",5&lt;='Resource Planner'!$N$54),'Resource Planner'!$M$54,"")</f>
        <v/>
      </c>
    </row>
    <row r="2210" ht="15.75" customHeight="1">
      <c r="A22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0" s="163" t="str">
        <f>IF(AND('Resource Planner'!$A$54="☑",6&lt;='Resource Planner'!$N$54),'Resource Planner'!$C$54,"")</f>
        <v/>
      </c>
      <c r="C2210" s="163" t="str">
        <f>IF(AND('Resource Planner'!$A$54="☑",6&lt;='Resource Planner'!$N$54),'Resource Planner'!$B$54,"")</f>
        <v/>
      </c>
      <c r="D2210" s="163" t="str">
        <f>IF(AND('Resource Planner'!$A$54="☑",6&lt;='Resource Planner'!$N$54),'Resource Planner'!$D$54,"")</f>
        <v/>
      </c>
      <c r="E2210" s="163" t="str">
        <f>IF(AND('Resource Planner'!$A$54="☑",6&lt;='Resource Planner'!$N$54),'Resource Planner'!$E$54,"")</f>
        <v/>
      </c>
      <c r="F2210" s="163" t="str">
        <f>IF(AND('Resource Planner'!$A$54="☑",6&lt;='Resource Planner'!$N$54),'Resource Planner'!$F$54&amp;" "&amp;('Resource Planner'!$G$54+(6-1)*'Resource Planner'!$I$54)&amp;IF(('Resource Planner'!$G$54+(6-1)*'Resource Planner'!$I$54)=MIN('Resource Planner'!$G$54+6*'Resource Planner'!$I$54-1,'Resource Planner'!$H$54),"","–"&amp;MIN('Resource Planner'!$G$54+6*'Resource Planner'!$I$54-1,'Resource Planner'!$H$54)),"")</f>
        <v/>
      </c>
      <c r="G2210" s="163" t="s">
        <v>109</v>
      </c>
      <c r="H2210" s="163" t="str">
        <f>IF(AND('Resource Planner'!$A$54="☑",6&lt;='Resource Planner'!$N$54),'Resource Planner'!$M$54,"")</f>
        <v/>
      </c>
    </row>
    <row r="2211" ht="15.75" customHeight="1">
      <c r="A22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1" s="163" t="str">
        <f>IF(AND('Resource Planner'!$A$54="☑",7&lt;='Resource Planner'!$N$54),'Resource Planner'!$C$54,"")</f>
        <v/>
      </c>
      <c r="C2211" s="163" t="str">
        <f>IF(AND('Resource Planner'!$A$54="☑",7&lt;='Resource Planner'!$N$54),'Resource Planner'!$B$54,"")</f>
        <v/>
      </c>
      <c r="D2211" s="163" t="str">
        <f>IF(AND('Resource Planner'!$A$54="☑",7&lt;='Resource Planner'!$N$54),'Resource Planner'!$D$54,"")</f>
        <v/>
      </c>
      <c r="E2211" s="163" t="str">
        <f>IF(AND('Resource Planner'!$A$54="☑",7&lt;='Resource Planner'!$N$54),'Resource Planner'!$E$54,"")</f>
        <v/>
      </c>
      <c r="F2211" s="163" t="str">
        <f>IF(AND('Resource Planner'!$A$54="☑",7&lt;='Resource Planner'!$N$54),'Resource Planner'!$F$54&amp;" "&amp;('Resource Planner'!$G$54+(7-1)*'Resource Planner'!$I$54)&amp;IF(('Resource Planner'!$G$54+(7-1)*'Resource Planner'!$I$54)=MIN('Resource Planner'!$G$54+7*'Resource Planner'!$I$54-1,'Resource Planner'!$H$54),"","–"&amp;MIN('Resource Planner'!$G$54+7*'Resource Planner'!$I$54-1,'Resource Planner'!$H$54)),"")</f>
        <v/>
      </c>
      <c r="G2211" s="163" t="s">
        <v>109</v>
      </c>
      <c r="H2211" s="163" t="str">
        <f>IF(AND('Resource Planner'!$A$54="☑",7&lt;='Resource Planner'!$N$54),'Resource Planner'!$M$54,"")</f>
        <v/>
      </c>
    </row>
    <row r="2212" ht="15.75" customHeight="1">
      <c r="A22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2" s="163" t="str">
        <f>IF(AND('Resource Planner'!$A$54="☑",8&lt;='Resource Planner'!$N$54),'Resource Planner'!$C$54,"")</f>
        <v/>
      </c>
      <c r="C2212" s="163" t="str">
        <f>IF(AND('Resource Planner'!$A$54="☑",8&lt;='Resource Planner'!$N$54),'Resource Planner'!$B$54,"")</f>
        <v/>
      </c>
      <c r="D2212" s="163" t="str">
        <f>IF(AND('Resource Planner'!$A$54="☑",8&lt;='Resource Planner'!$N$54),'Resource Planner'!$D$54,"")</f>
        <v/>
      </c>
      <c r="E2212" s="163" t="str">
        <f>IF(AND('Resource Planner'!$A$54="☑",8&lt;='Resource Planner'!$N$54),'Resource Planner'!$E$54,"")</f>
        <v/>
      </c>
      <c r="F2212" s="163" t="str">
        <f>IF(AND('Resource Planner'!$A$54="☑",8&lt;='Resource Planner'!$N$54),'Resource Planner'!$F$54&amp;" "&amp;('Resource Planner'!$G$54+(8-1)*'Resource Planner'!$I$54)&amp;IF(('Resource Planner'!$G$54+(8-1)*'Resource Planner'!$I$54)=MIN('Resource Planner'!$G$54+8*'Resource Planner'!$I$54-1,'Resource Planner'!$H$54),"","–"&amp;MIN('Resource Planner'!$G$54+8*'Resource Planner'!$I$54-1,'Resource Planner'!$H$54)),"")</f>
        <v/>
      </c>
      <c r="G2212" s="163" t="s">
        <v>109</v>
      </c>
      <c r="H2212" s="163" t="str">
        <f>IF(AND('Resource Planner'!$A$54="☑",8&lt;='Resource Planner'!$N$54),'Resource Planner'!$M$54,"")</f>
        <v/>
      </c>
    </row>
    <row r="2213" ht="15.75" customHeight="1">
      <c r="A22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3" s="163" t="str">
        <f>IF(AND('Resource Planner'!$A$54="☑",9&lt;='Resource Planner'!$N$54),'Resource Planner'!$C$54,"")</f>
        <v/>
      </c>
      <c r="C2213" s="163" t="str">
        <f>IF(AND('Resource Planner'!$A$54="☑",9&lt;='Resource Planner'!$N$54),'Resource Planner'!$B$54,"")</f>
        <v/>
      </c>
      <c r="D2213" s="163" t="str">
        <f>IF(AND('Resource Planner'!$A$54="☑",9&lt;='Resource Planner'!$N$54),'Resource Planner'!$D$54,"")</f>
        <v/>
      </c>
      <c r="E2213" s="163" t="str">
        <f>IF(AND('Resource Planner'!$A$54="☑",9&lt;='Resource Planner'!$N$54),'Resource Planner'!$E$54,"")</f>
        <v/>
      </c>
      <c r="F2213" s="163" t="str">
        <f>IF(AND('Resource Planner'!$A$54="☑",9&lt;='Resource Planner'!$N$54),'Resource Planner'!$F$54&amp;" "&amp;('Resource Planner'!$G$54+(9-1)*'Resource Planner'!$I$54)&amp;IF(('Resource Planner'!$G$54+(9-1)*'Resource Planner'!$I$54)=MIN('Resource Planner'!$G$54+9*'Resource Planner'!$I$54-1,'Resource Planner'!$H$54),"","–"&amp;MIN('Resource Planner'!$G$54+9*'Resource Planner'!$I$54-1,'Resource Planner'!$H$54)),"")</f>
        <v/>
      </c>
      <c r="G2213" s="163" t="s">
        <v>109</v>
      </c>
      <c r="H2213" s="163" t="str">
        <f>IF(AND('Resource Planner'!$A$54="☑",9&lt;='Resource Planner'!$N$54),'Resource Planner'!$M$54,"")</f>
        <v/>
      </c>
    </row>
    <row r="2214" ht="15.75" customHeight="1">
      <c r="A22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4" s="163" t="str">
        <f>IF(AND('Resource Planner'!$A$54="☑",10&lt;='Resource Planner'!$N$54),'Resource Planner'!$C$54,"")</f>
        <v/>
      </c>
      <c r="C2214" s="163" t="str">
        <f>IF(AND('Resource Planner'!$A$54="☑",10&lt;='Resource Planner'!$N$54),'Resource Planner'!$B$54,"")</f>
        <v/>
      </c>
      <c r="D2214" s="163" t="str">
        <f>IF(AND('Resource Planner'!$A$54="☑",10&lt;='Resource Planner'!$N$54),'Resource Planner'!$D$54,"")</f>
        <v/>
      </c>
      <c r="E2214" s="163" t="str">
        <f>IF(AND('Resource Planner'!$A$54="☑",10&lt;='Resource Planner'!$N$54),'Resource Planner'!$E$54,"")</f>
        <v/>
      </c>
      <c r="F2214" s="163" t="str">
        <f>IF(AND('Resource Planner'!$A$54="☑",10&lt;='Resource Planner'!$N$54),'Resource Planner'!$F$54&amp;" "&amp;('Resource Planner'!$G$54+(10-1)*'Resource Planner'!$I$54)&amp;IF(('Resource Planner'!$G$54+(10-1)*'Resource Planner'!$I$54)=MIN('Resource Planner'!$G$54+10*'Resource Planner'!$I$54-1,'Resource Planner'!$H$54),"","–"&amp;MIN('Resource Planner'!$G$54+10*'Resource Planner'!$I$54-1,'Resource Planner'!$H$54)),"")</f>
        <v/>
      </c>
      <c r="G2214" s="163" t="s">
        <v>109</v>
      </c>
      <c r="H2214" s="163" t="str">
        <f>IF(AND('Resource Planner'!$A$54="☑",10&lt;='Resource Planner'!$N$54),'Resource Planner'!$M$54,"")</f>
        <v/>
      </c>
    </row>
    <row r="2215" ht="15.75" customHeight="1">
      <c r="A22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5" s="163" t="str">
        <f>IF(AND('Resource Planner'!$A$54="☑",11&lt;='Resource Planner'!$N$54),'Resource Planner'!$C$54,"")</f>
        <v/>
      </c>
      <c r="C2215" s="163" t="str">
        <f>IF(AND('Resource Planner'!$A$54="☑",11&lt;='Resource Planner'!$N$54),'Resource Planner'!$B$54,"")</f>
        <v/>
      </c>
      <c r="D2215" s="163" t="str">
        <f>IF(AND('Resource Planner'!$A$54="☑",11&lt;='Resource Planner'!$N$54),'Resource Planner'!$D$54,"")</f>
        <v/>
      </c>
      <c r="E2215" s="163" t="str">
        <f>IF(AND('Resource Planner'!$A$54="☑",11&lt;='Resource Planner'!$N$54),'Resource Planner'!$E$54,"")</f>
        <v/>
      </c>
      <c r="F2215" s="163" t="str">
        <f>IF(AND('Resource Planner'!$A$54="☑",11&lt;='Resource Planner'!$N$54),'Resource Planner'!$F$54&amp;" "&amp;('Resource Planner'!$G$54+(11-1)*'Resource Planner'!$I$54)&amp;IF(('Resource Planner'!$G$54+(11-1)*'Resource Planner'!$I$54)=MIN('Resource Planner'!$G$54+11*'Resource Planner'!$I$54-1,'Resource Planner'!$H$54),"","–"&amp;MIN('Resource Planner'!$G$54+11*'Resource Planner'!$I$54-1,'Resource Planner'!$H$54)),"")</f>
        <v/>
      </c>
      <c r="G2215" s="163" t="s">
        <v>109</v>
      </c>
      <c r="H2215" s="163" t="str">
        <f>IF(AND('Resource Planner'!$A$54="☑",11&lt;='Resource Planner'!$N$54),'Resource Planner'!$M$54,"")</f>
        <v/>
      </c>
    </row>
    <row r="2216" ht="15.75" customHeight="1">
      <c r="A22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6" s="163" t="str">
        <f>IF(AND('Resource Planner'!$A$54="☑",12&lt;='Resource Planner'!$N$54),'Resource Planner'!$C$54,"")</f>
        <v/>
      </c>
      <c r="C2216" s="163" t="str">
        <f>IF(AND('Resource Planner'!$A$54="☑",12&lt;='Resource Planner'!$N$54),'Resource Planner'!$B$54,"")</f>
        <v/>
      </c>
      <c r="D2216" s="163" t="str">
        <f>IF(AND('Resource Planner'!$A$54="☑",12&lt;='Resource Planner'!$N$54),'Resource Planner'!$D$54,"")</f>
        <v/>
      </c>
      <c r="E2216" s="163" t="str">
        <f>IF(AND('Resource Planner'!$A$54="☑",12&lt;='Resource Planner'!$N$54),'Resource Planner'!$E$54,"")</f>
        <v/>
      </c>
      <c r="F2216" s="163" t="str">
        <f>IF(AND('Resource Planner'!$A$54="☑",12&lt;='Resource Planner'!$N$54),'Resource Planner'!$F$54&amp;" "&amp;('Resource Planner'!$G$54+(12-1)*'Resource Planner'!$I$54)&amp;IF(('Resource Planner'!$G$54+(12-1)*'Resource Planner'!$I$54)=MIN('Resource Planner'!$G$54+12*'Resource Planner'!$I$54-1,'Resource Planner'!$H$54),"","–"&amp;MIN('Resource Planner'!$G$54+12*'Resource Planner'!$I$54-1,'Resource Planner'!$H$54)),"")</f>
        <v/>
      </c>
      <c r="G2216" s="163" t="s">
        <v>109</v>
      </c>
      <c r="H2216" s="163" t="str">
        <f>IF(AND('Resource Planner'!$A$54="☑",12&lt;='Resource Planner'!$N$54),'Resource Planner'!$M$54,"")</f>
        <v/>
      </c>
    </row>
    <row r="2217" ht="15.75" customHeight="1">
      <c r="A22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7" s="163" t="str">
        <f>IF(AND('Resource Planner'!$A$54="☑",13&lt;='Resource Planner'!$N$54),'Resource Planner'!$C$54,"")</f>
        <v/>
      </c>
      <c r="C2217" s="163" t="str">
        <f>IF(AND('Resource Planner'!$A$54="☑",13&lt;='Resource Planner'!$N$54),'Resource Planner'!$B$54,"")</f>
        <v/>
      </c>
      <c r="D2217" s="163" t="str">
        <f>IF(AND('Resource Planner'!$A$54="☑",13&lt;='Resource Planner'!$N$54),'Resource Planner'!$D$54,"")</f>
        <v/>
      </c>
      <c r="E2217" s="163" t="str">
        <f>IF(AND('Resource Planner'!$A$54="☑",13&lt;='Resource Planner'!$N$54),'Resource Planner'!$E$54,"")</f>
        <v/>
      </c>
      <c r="F2217" s="163" t="str">
        <f>IF(AND('Resource Planner'!$A$54="☑",13&lt;='Resource Planner'!$N$54),'Resource Planner'!$F$54&amp;" "&amp;('Resource Planner'!$G$54+(13-1)*'Resource Planner'!$I$54)&amp;IF(('Resource Planner'!$G$54+(13-1)*'Resource Planner'!$I$54)=MIN('Resource Planner'!$G$54+13*'Resource Planner'!$I$54-1,'Resource Planner'!$H$54),"","–"&amp;MIN('Resource Planner'!$G$54+13*'Resource Planner'!$I$54-1,'Resource Planner'!$H$54)),"")</f>
        <v/>
      </c>
      <c r="G2217" s="163" t="s">
        <v>109</v>
      </c>
      <c r="H2217" s="163" t="str">
        <f>IF(AND('Resource Planner'!$A$54="☑",13&lt;='Resource Planner'!$N$54),'Resource Planner'!$M$54,"")</f>
        <v/>
      </c>
    </row>
    <row r="2218" ht="15.75" customHeight="1">
      <c r="A22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8" s="163" t="str">
        <f>IF(AND('Resource Planner'!$A$54="☑",14&lt;='Resource Planner'!$N$54),'Resource Planner'!$C$54,"")</f>
        <v/>
      </c>
      <c r="C2218" s="163" t="str">
        <f>IF(AND('Resource Planner'!$A$54="☑",14&lt;='Resource Planner'!$N$54),'Resource Planner'!$B$54,"")</f>
        <v/>
      </c>
      <c r="D2218" s="163" t="str">
        <f>IF(AND('Resource Planner'!$A$54="☑",14&lt;='Resource Planner'!$N$54),'Resource Planner'!$D$54,"")</f>
        <v/>
      </c>
      <c r="E2218" s="163" t="str">
        <f>IF(AND('Resource Planner'!$A$54="☑",14&lt;='Resource Planner'!$N$54),'Resource Planner'!$E$54,"")</f>
        <v/>
      </c>
      <c r="F2218" s="163" t="str">
        <f>IF(AND('Resource Planner'!$A$54="☑",14&lt;='Resource Planner'!$N$54),'Resource Planner'!$F$54&amp;" "&amp;('Resource Planner'!$G$54+(14-1)*'Resource Planner'!$I$54)&amp;IF(('Resource Planner'!$G$54+(14-1)*'Resource Planner'!$I$54)=MIN('Resource Planner'!$G$54+14*'Resource Planner'!$I$54-1,'Resource Planner'!$H$54),"","–"&amp;MIN('Resource Planner'!$G$54+14*'Resource Planner'!$I$54-1,'Resource Planner'!$H$54)),"")</f>
        <v/>
      </c>
      <c r="G2218" s="163" t="s">
        <v>109</v>
      </c>
      <c r="H2218" s="163" t="str">
        <f>IF(AND('Resource Planner'!$A$54="☑",14&lt;='Resource Planner'!$N$54),'Resource Planner'!$M$54,"")</f>
        <v/>
      </c>
    </row>
    <row r="2219" ht="15.75" customHeight="1">
      <c r="A22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19" s="163" t="str">
        <f>IF(AND('Resource Planner'!$A$54="☑",15&lt;='Resource Planner'!$N$54),'Resource Planner'!$C$54,"")</f>
        <v/>
      </c>
      <c r="C2219" s="163" t="str">
        <f>IF(AND('Resource Planner'!$A$54="☑",15&lt;='Resource Planner'!$N$54),'Resource Planner'!$B$54,"")</f>
        <v/>
      </c>
      <c r="D2219" s="163" t="str">
        <f>IF(AND('Resource Planner'!$A$54="☑",15&lt;='Resource Planner'!$N$54),'Resource Planner'!$D$54,"")</f>
        <v/>
      </c>
      <c r="E2219" s="163" t="str">
        <f>IF(AND('Resource Planner'!$A$54="☑",15&lt;='Resource Planner'!$N$54),'Resource Planner'!$E$54,"")</f>
        <v/>
      </c>
      <c r="F2219" s="163" t="str">
        <f>IF(AND('Resource Planner'!$A$54="☑",15&lt;='Resource Planner'!$N$54),'Resource Planner'!$F$54&amp;" "&amp;('Resource Planner'!$G$54+(15-1)*'Resource Planner'!$I$54)&amp;IF(('Resource Planner'!$G$54+(15-1)*'Resource Planner'!$I$54)=MIN('Resource Planner'!$G$54+15*'Resource Planner'!$I$54-1,'Resource Planner'!$H$54),"","–"&amp;MIN('Resource Planner'!$G$54+15*'Resource Planner'!$I$54-1,'Resource Planner'!$H$54)),"")</f>
        <v/>
      </c>
      <c r="G2219" s="163" t="s">
        <v>109</v>
      </c>
      <c r="H2219" s="163" t="str">
        <f>IF(AND('Resource Planner'!$A$54="☑",15&lt;='Resource Planner'!$N$54),'Resource Planner'!$M$54,"")</f>
        <v/>
      </c>
    </row>
    <row r="2220" ht="15.75" customHeight="1">
      <c r="A22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0" s="163" t="str">
        <f>IF(AND('Resource Planner'!$A$54="☑",16&lt;='Resource Planner'!$N$54),'Resource Planner'!$C$54,"")</f>
        <v/>
      </c>
      <c r="C2220" s="163" t="str">
        <f>IF(AND('Resource Planner'!$A$54="☑",16&lt;='Resource Planner'!$N$54),'Resource Planner'!$B$54,"")</f>
        <v/>
      </c>
      <c r="D2220" s="163" t="str">
        <f>IF(AND('Resource Planner'!$A$54="☑",16&lt;='Resource Planner'!$N$54),'Resource Planner'!$D$54,"")</f>
        <v/>
      </c>
      <c r="E2220" s="163" t="str">
        <f>IF(AND('Resource Planner'!$A$54="☑",16&lt;='Resource Planner'!$N$54),'Resource Planner'!$E$54,"")</f>
        <v/>
      </c>
      <c r="F2220" s="163" t="str">
        <f>IF(AND('Resource Planner'!$A$54="☑",16&lt;='Resource Planner'!$N$54),'Resource Planner'!$F$54&amp;" "&amp;('Resource Planner'!$G$54+(16-1)*'Resource Planner'!$I$54)&amp;IF(('Resource Planner'!$G$54+(16-1)*'Resource Planner'!$I$54)=MIN('Resource Planner'!$G$54+16*'Resource Planner'!$I$54-1,'Resource Planner'!$H$54),"","–"&amp;MIN('Resource Planner'!$G$54+16*'Resource Planner'!$I$54-1,'Resource Planner'!$H$54)),"")</f>
        <v/>
      </c>
      <c r="G2220" s="163" t="s">
        <v>109</v>
      </c>
      <c r="H2220" s="163" t="str">
        <f>IF(AND('Resource Planner'!$A$54="☑",16&lt;='Resource Planner'!$N$54),'Resource Planner'!$M$54,"")</f>
        <v/>
      </c>
    </row>
    <row r="2221" ht="15.75" customHeight="1">
      <c r="A22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1" s="163" t="str">
        <f>IF(AND('Resource Planner'!$A$54="☑",17&lt;='Resource Planner'!$N$54),'Resource Planner'!$C$54,"")</f>
        <v/>
      </c>
      <c r="C2221" s="163" t="str">
        <f>IF(AND('Resource Planner'!$A$54="☑",17&lt;='Resource Planner'!$N$54),'Resource Planner'!$B$54,"")</f>
        <v/>
      </c>
      <c r="D2221" s="163" t="str">
        <f>IF(AND('Resource Planner'!$A$54="☑",17&lt;='Resource Planner'!$N$54),'Resource Planner'!$D$54,"")</f>
        <v/>
      </c>
      <c r="E2221" s="163" t="str">
        <f>IF(AND('Resource Planner'!$A$54="☑",17&lt;='Resource Planner'!$N$54),'Resource Planner'!$E$54,"")</f>
        <v/>
      </c>
      <c r="F2221" s="163" t="str">
        <f>IF(AND('Resource Planner'!$A$54="☑",17&lt;='Resource Planner'!$N$54),'Resource Planner'!$F$54&amp;" "&amp;('Resource Planner'!$G$54+(17-1)*'Resource Planner'!$I$54)&amp;IF(('Resource Planner'!$G$54+(17-1)*'Resource Planner'!$I$54)=MIN('Resource Planner'!$G$54+17*'Resource Planner'!$I$54-1,'Resource Planner'!$H$54),"","–"&amp;MIN('Resource Planner'!$G$54+17*'Resource Planner'!$I$54-1,'Resource Planner'!$H$54)),"")</f>
        <v/>
      </c>
      <c r="G2221" s="163" t="s">
        <v>109</v>
      </c>
      <c r="H2221" s="163" t="str">
        <f>IF(AND('Resource Planner'!$A$54="☑",17&lt;='Resource Planner'!$N$54),'Resource Planner'!$M$54,"")</f>
        <v/>
      </c>
    </row>
    <row r="2222" ht="15.75" customHeight="1">
      <c r="A22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2" s="163" t="str">
        <f>IF(AND('Resource Planner'!$A$54="☑",18&lt;='Resource Planner'!$N$54),'Resource Planner'!$C$54,"")</f>
        <v/>
      </c>
      <c r="C2222" s="163" t="str">
        <f>IF(AND('Resource Planner'!$A$54="☑",18&lt;='Resource Planner'!$N$54),'Resource Planner'!$B$54,"")</f>
        <v/>
      </c>
      <c r="D2222" s="163" t="str">
        <f>IF(AND('Resource Planner'!$A$54="☑",18&lt;='Resource Planner'!$N$54),'Resource Planner'!$D$54,"")</f>
        <v/>
      </c>
      <c r="E2222" s="163" t="str">
        <f>IF(AND('Resource Planner'!$A$54="☑",18&lt;='Resource Planner'!$N$54),'Resource Planner'!$E$54,"")</f>
        <v/>
      </c>
      <c r="F2222" s="163" t="str">
        <f>IF(AND('Resource Planner'!$A$54="☑",18&lt;='Resource Planner'!$N$54),'Resource Planner'!$F$54&amp;" "&amp;('Resource Planner'!$G$54+(18-1)*'Resource Planner'!$I$54)&amp;IF(('Resource Planner'!$G$54+(18-1)*'Resource Planner'!$I$54)=MIN('Resource Planner'!$G$54+18*'Resource Planner'!$I$54-1,'Resource Planner'!$H$54),"","–"&amp;MIN('Resource Planner'!$G$54+18*'Resource Planner'!$I$54-1,'Resource Planner'!$H$54)),"")</f>
        <v/>
      </c>
      <c r="G2222" s="163" t="s">
        <v>109</v>
      </c>
      <c r="H2222" s="163" t="str">
        <f>IF(AND('Resource Planner'!$A$54="☑",18&lt;='Resource Planner'!$N$54),'Resource Planner'!$M$54,"")</f>
        <v/>
      </c>
    </row>
    <row r="2223" ht="15.75" customHeight="1">
      <c r="A22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3" s="163" t="str">
        <f>IF(AND('Resource Planner'!$A$54="☑",19&lt;='Resource Planner'!$N$54),'Resource Planner'!$C$54,"")</f>
        <v/>
      </c>
      <c r="C2223" s="163" t="str">
        <f>IF(AND('Resource Planner'!$A$54="☑",19&lt;='Resource Planner'!$N$54),'Resource Planner'!$B$54,"")</f>
        <v/>
      </c>
      <c r="D2223" s="163" t="str">
        <f>IF(AND('Resource Planner'!$A$54="☑",19&lt;='Resource Planner'!$N$54),'Resource Planner'!$D$54,"")</f>
        <v/>
      </c>
      <c r="E2223" s="163" t="str">
        <f>IF(AND('Resource Planner'!$A$54="☑",19&lt;='Resource Planner'!$N$54),'Resource Planner'!$E$54,"")</f>
        <v/>
      </c>
      <c r="F2223" s="163" t="str">
        <f>IF(AND('Resource Planner'!$A$54="☑",19&lt;='Resource Planner'!$N$54),'Resource Planner'!$F$54&amp;" "&amp;('Resource Planner'!$G$54+(19-1)*'Resource Planner'!$I$54)&amp;IF(('Resource Planner'!$G$54+(19-1)*'Resource Planner'!$I$54)=MIN('Resource Planner'!$G$54+19*'Resource Planner'!$I$54-1,'Resource Planner'!$H$54),"","–"&amp;MIN('Resource Planner'!$G$54+19*'Resource Planner'!$I$54-1,'Resource Planner'!$H$54)),"")</f>
        <v/>
      </c>
      <c r="G2223" s="163" t="s">
        <v>109</v>
      </c>
      <c r="H2223" s="163" t="str">
        <f>IF(AND('Resource Planner'!$A$54="☑",19&lt;='Resource Planner'!$N$54),'Resource Planner'!$M$54,"")</f>
        <v/>
      </c>
    </row>
    <row r="2224" ht="15.75" customHeight="1">
      <c r="A22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4" s="163" t="str">
        <f>IF(AND('Resource Planner'!$A$54="☑",20&lt;='Resource Planner'!$N$54),'Resource Planner'!$C$54,"")</f>
        <v/>
      </c>
      <c r="C2224" s="163" t="str">
        <f>IF(AND('Resource Planner'!$A$54="☑",20&lt;='Resource Planner'!$N$54),'Resource Planner'!$B$54,"")</f>
        <v/>
      </c>
      <c r="D2224" s="163" t="str">
        <f>IF(AND('Resource Planner'!$A$54="☑",20&lt;='Resource Planner'!$N$54),'Resource Planner'!$D$54,"")</f>
        <v/>
      </c>
      <c r="E2224" s="163" t="str">
        <f>IF(AND('Resource Planner'!$A$54="☑",20&lt;='Resource Planner'!$N$54),'Resource Planner'!$E$54,"")</f>
        <v/>
      </c>
      <c r="F2224" s="163" t="str">
        <f>IF(AND('Resource Planner'!$A$54="☑",20&lt;='Resource Planner'!$N$54),'Resource Planner'!$F$54&amp;" "&amp;('Resource Planner'!$G$54+(20-1)*'Resource Planner'!$I$54)&amp;IF(('Resource Planner'!$G$54+(20-1)*'Resource Planner'!$I$54)=MIN('Resource Planner'!$G$54+20*'Resource Planner'!$I$54-1,'Resource Planner'!$H$54),"","–"&amp;MIN('Resource Planner'!$G$54+20*'Resource Planner'!$I$54-1,'Resource Planner'!$H$54)),"")</f>
        <v/>
      </c>
      <c r="G2224" s="163" t="s">
        <v>109</v>
      </c>
      <c r="H2224" s="163" t="str">
        <f>IF(AND('Resource Planner'!$A$54="☑",20&lt;='Resource Planner'!$N$54),'Resource Planner'!$M$54,"")</f>
        <v/>
      </c>
    </row>
    <row r="2225" ht="15.75" customHeight="1">
      <c r="A22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5" s="163" t="str">
        <f>IF(AND('Resource Planner'!$A$54="☑",21&lt;='Resource Planner'!$N$54),'Resource Planner'!$C$54,"")</f>
        <v/>
      </c>
      <c r="C2225" s="163" t="str">
        <f>IF(AND('Resource Planner'!$A$54="☑",21&lt;='Resource Planner'!$N$54),'Resource Planner'!$B$54,"")</f>
        <v/>
      </c>
      <c r="D2225" s="163" t="str">
        <f>IF(AND('Resource Planner'!$A$54="☑",21&lt;='Resource Planner'!$N$54),'Resource Planner'!$D$54,"")</f>
        <v/>
      </c>
      <c r="E2225" s="163" t="str">
        <f>IF(AND('Resource Planner'!$A$54="☑",21&lt;='Resource Planner'!$N$54),'Resource Planner'!$E$54,"")</f>
        <v/>
      </c>
      <c r="F2225" s="163" t="str">
        <f>IF(AND('Resource Planner'!$A$54="☑",21&lt;='Resource Planner'!$N$54),'Resource Planner'!$F$54&amp;" "&amp;('Resource Planner'!$G$54+(21-1)*'Resource Planner'!$I$54)&amp;IF(('Resource Planner'!$G$54+(21-1)*'Resource Planner'!$I$54)=MIN('Resource Planner'!$G$54+21*'Resource Planner'!$I$54-1,'Resource Planner'!$H$54),"","–"&amp;MIN('Resource Planner'!$G$54+21*'Resource Planner'!$I$54-1,'Resource Planner'!$H$54)),"")</f>
        <v/>
      </c>
      <c r="G2225" s="163" t="s">
        <v>109</v>
      </c>
      <c r="H2225" s="163" t="str">
        <f>IF(AND('Resource Planner'!$A$54="☑",21&lt;='Resource Planner'!$N$54),'Resource Planner'!$M$54,"")</f>
        <v/>
      </c>
    </row>
    <row r="2226" ht="15.75" customHeight="1">
      <c r="A22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6" s="163" t="str">
        <f>IF(AND('Resource Planner'!$A$54="☑",22&lt;='Resource Planner'!$N$54),'Resource Planner'!$C$54,"")</f>
        <v/>
      </c>
      <c r="C2226" s="163" t="str">
        <f>IF(AND('Resource Planner'!$A$54="☑",22&lt;='Resource Planner'!$N$54),'Resource Planner'!$B$54,"")</f>
        <v/>
      </c>
      <c r="D2226" s="163" t="str">
        <f>IF(AND('Resource Planner'!$A$54="☑",22&lt;='Resource Planner'!$N$54),'Resource Planner'!$D$54,"")</f>
        <v/>
      </c>
      <c r="E2226" s="163" t="str">
        <f>IF(AND('Resource Planner'!$A$54="☑",22&lt;='Resource Planner'!$N$54),'Resource Planner'!$E$54,"")</f>
        <v/>
      </c>
      <c r="F2226" s="163" t="str">
        <f>IF(AND('Resource Planner'!$A$54="☑",22&lt;='Resource Planner'!$N$54),'Resource Planner'!$F$54&amp;" "&amp;('Resource Planner'!$G$54+(22-1)*'Resource Planner'!$I$54)&amp;IF(('Resource Planner'!$G$54+(22-1)*'Resource Planner'!$I$54)=MIN('Resource Planner'!$G$54+22*'Resource Planner'!$I$54-1,'Resource Planner'!$H$54),"","–"&amp;MIN('Resource Planner'!$G$54+22*'Resource Planner'!$I$54-1,'Resource Planner'!$H$54)),"")</f>
        <v/>
      </c>
      <c r="G2226" s="163" t="s">
        <v>109</v>
      </c>
      <c r="H2226" s="163" t="str">
        <f>IF(AND('Resource Planner'!$A$54="☑",22&lt;='Resource Planner'!$N$54),'Resource Planner'!$M$54,"")</f>
        <v/>
      </c>
    </row>
    <row r="2227" ht="15.75" customHeight="1">
      <c r="A22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7" s="163" t="str">
        <f>IF(AND('Resource Planner'!$A$54="☑",23&lt;='Resource Planner'!$N$54),'Resource Planner'!$C$54,"")</f>
        <v/>
      </c>
      <c r="C2227" s="163" t="str">
        <f>IF(AND('Resource Planner'!$A$54="☑",23&lt;='Resource Planner'!$N$54),'Resource Planner'!$B$54,"")</f>
        <v/>
      </c>
      <c r="D2227" s="163" t="str">
        <f>IF(AND('Resource Planner'!$A$54="☑",23&lt;='Resource Planner'!$N$54),'Resource Planner'!$D$54,"")</f>
        <v/>
      </c>
      <c r="E2227" s="163" t="str">
        <f>IF(AND('Resource Planner'!$A$54="☑",23&lt;='Resource Planner'!$N$54),'Resource Planner'!$E$54,"")</f>
        <v/>
      </c>
      <c r="F2227" s="163" t="str">
        <f>IF(AND('Resource Planner'!$A$54="☑",23&lt;='Resource Planner'!$N$54),'Resource Planner'!$F$54&amp;" "&amp;('Resource Planner'!$G$54+(23-1)*'Resource Planner'!$I$54)&amp;IF(('Resource Planner'!$G$54+(23-1)*'Resource Planner'!$I$54)=MIN('Resource Planner'!$G$54+23*'Resource Planner'!$I$54-1,'Resource Planner'!$H$54),"","–"&amp;MIN('Resource Planner'!$G$54+23*'Resource Planner'!$I$54-1,'Resource Planner'!$H$54)),"")</f>
        <v/>
      </c>
      <c r="G2227" s="163" t="s">
        <v>109</v>
      </c>
      <c r="H2227" s="163" t="str">
        <f>IF(AND('Resource Planner'!$A$54="☑",23&lt;='Resource Planner'!$N$54),'Resource Planner'!$M$54,"")</f>
        <v/>
      </c>
    </row>
    <row r="2228" ht="15.75" customHeight="1">
      <c r="A22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8" s="163" t="str">
        <f>IF(AND('Resource Planner'!$A$54="☑",24&lt;='Resource Planner'!$N$54),'Resource Planner'!$C$54,"")</f>
        <v/>
      </c>
      <c r="C2228" s="163" t="str">
        <f>IF(AND('Resource Planner'!$A$54="☑",24&lt;='Resource Planner'!$N$54),'Resource Planner'!$B$54,"")</f>
        <v/>
      </c>
      <c r="D2228" s="163" t="str">
        <f>IF(AND('Resource Planner'!$A$54="☑",24&lt;='Resource Planner'!$N$54),'Resource Planner'!$D$54,"")</f>
        <v/>
      </c>
      <c r="E2228" s="163" t="str">
        <f>IF(AND('Resource Planner'!$A$54="☑",24&lt;='Resource Planner'!$N$54),'Resource Planner'!$E$54,"")</f>
        <v/>
      </c>
      <c r="F2228" s="163" t="str">
        <f>IF(AND('Resource Planner'!$A$54="☑",24&lt;='Resource Planner'!$N$54),'Resource Planner'!$F$54&amp;" "&amp;('Resource Planner'!$G$54+(24-1)*'Resource Planner'!$I$54)&amp;IF(('Resource Planner'!$G$54+(24-1)*'Resource Planner'!$I$54)=MIN('Resource Planner'!$G$54+24*'Resource Planner'!$I$54-1,'Resource Planner'!$H$54),"","–"&amp;MIN('Resource Planner'!$G$54+24*'Resource Planner'!$I$54-1,'Resource Planner'!$H$54)),"")</f>
        <v/>
      </c>
      <c r="G2228" s="163" t="s">
        <v>109</v>
      </c>
      <c r="H2228" s="163" t="str">
        <f>IF(AND('Resource Planner'!$A$54="☑",24&lt;='Resource Planner'!$N$54),'Resource Planner'!$M$54,"")</f>
        <v/>
      </c>
    </row>
    <row r="2229" ht="15.75" customHeight="1">
      <c r="A22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29" s="163" t="str">
        <f>IF(AND('Resource Planner'!$A$54="☑",25&lt;='Resource Planner'!$N$54),'Resource Planner'!$C$54,"")</f>
        <v/>
      </c>
      <c r="C2229" s="163" t="str">
        <f>IF(AND('Resource Planner'!$A$54="☑",25&lt;='Resource Planner'!$N$54),'Resource Planner'!$B$54,"")</f>
        <v/>
      </c>
      <c r="D2229" s="163" t="str">
        <f>IF(AND('Resource Planner'!$A$54="☑",25&lt;='Resource Planner'!$N$54),'Resource Planner'!$D$54,"")</f>
        <v/>
      </c>
      <c r="E2229" s="163" t="str">
        <f>IF(AND('Resource Planner'!$A$54="☑",25&lt;='Resource Planner'!$N$54),'Resource Planner'!$E$54,"")</f>
        <v/>
      </c>
      <c r="F2229" s="163" t="str">
        <f>IF(AND('Resource Planner'!$A$54="☑",25&lt;='Resource Planner'!$N$54),'Resource Planner'!$F$54&amp;" "&amp;('Resource Planner'!$G$54+(25-1)*'Resource Planner'!$I$54)&amp;IF(('Resource Planner'!$G$54+(25-1)*'Resource Planner'!$I$54)=MIN('Resource Planner'!$G$54+25*'Resource Planner'!$I$54-1,'Resource Planner'!$H$54),"","–"&amp;MIN('Resource Planner'!$G$54+25*'Resource Planner'!$I$54-1,'Resource Planner'!$H$54)),"")</f>
        <v/>
      </c>
      <c r="G2229" s="163" t="s">
        <v>109</v>
      </c>
      <c r="H2229" s="163" t="str">
        <f>IF(AND('Resource Planner'!$A$54="☑",25&lt;='Resource Planner'!$N$54),'Resource Planner'!$M$54,"")</f>
        <v/>
      </c>
    </row>
    <row r="2230" ht="15.75" customHeight="1">
      <c r="A22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0" s="163" t="str">
        <f>IF(AND('Resource Planner'!$A$54="☑",26&lt;='Resource Planner'!$N$54),'Resource Planner'!$C$54,"")</f>
        <v/>
      </c>
      <c r="C2230" s="163" t="str">
        <f>IF(AND('Resource Planner'!$A$54="☑",26&lt;='Resource Planner'!$N$54),'Resource Planner'!$B$54,"")</f>
        <v/>
      </c>
      <c r="D2230" s="163" t="str">
        <f>IF(AND('Resource Planner'!$A$54="☑",26&lt;='Resource Planner'!$N$54),'Resource Planner'!$D$54,"")</f>
        <v/>
      </c>
      <c r="E2230" s="163" t="str">
        <f>IF(AND('Resource Planner'!$A$54="☑",26&lt;='Resource Planner'!$N$54),'Resource Planner'!$E$54,"")</f>
        <v/>
      </c>
      <c r="F2230" s="163" t="str">
        <f>IF(AND('Resource Planner'!$A$54="☑",26&lt;='Resource Planner'!$N$54),'Resource Planner'!$F$54&amp;" "&amp;('Resource Planner'!$G$54+(26-1)*'Resource Planner'!$I$54)&amp;IF(('Resource Planner'!$G$54+(26-1)*'Resource Planner'!$I$54)=MIN('Resource Planner'!$G$54+26*'Resource Planner'!$I$54-1,'Resource Planner'!$H$54),"","–"&amp;MIN('Resource Planner'!$G$54+26*'Resource Planner'!$I$54-1,'Resource Planner'!$H$54)),"")</f>
        <v/>
      </c>
      <c r="G2230" s="163" t="s">
        <v>109</v>
      </c>
      <c r="H2230" s="163" t="str">
        <f>IF(AND('Resource Planner'!$A$54="☑",26&lt;='Resource Planner'!$N$54),'Resource Planner'!$M$54,"")</f>
        <v/>
      </c>
    </row>
    <row r="2231" ht="15.75" customHeight="1">
      <c r="A22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1" s="163" t="str">
        <f>IF(AND('Resource Planner'!$A$54="☑",27&lt;='Resource Planner'!$N$54),'Resource Planner'!$C$54,"")</f>
        <v/>
      </c>
      <c r="C2231" s="163" t="str">
        <f>IF(AND('Resource Planner'!$A$54="☑",27&lt;='Resource Planner'!$N$54),'Resource Planner'!$B$54,"")</f>
        <v/>
      </c>
      <c r="D2231" s="163" t="str">
        <f>IF(AND('Resource Planner'!$A$54="☑",27&lt;='Resource Planner'!$N$54),'Resource Planner'!$D$54,"")</f>
        <v/>
      </c>
      <c r="E2231" s="163" t="str">
        <f>IF(AND('Resource Planner'!$A$54="☑",27&lt;='Resource Planner'!$N$54),'Resource Planner'!$E$54,"")</f>
        <v/>
      </c>
      <c r="F2231" s="163" t="str">
        <f>IF(AND('Resource Planner'!$A$54="☑",27&lt;='Resource Planner'!$N$54),'Resource Planner'!$F$54&amp;" "&amp;('Resource Planner'!$G$54+(27-1)*'Resource Planner'!$I$54)&amp;IF(('Resource Planner'!$G$54+(27-1)*'Resource Planner'!$I$54)=MIN('Resource Planner'!$G$54+27*'Resource Planner'!$I$54-1,'Resource Planner'!$H$54),"","–"&amp;MIN('Resource Planner'!$G$54+27*'Resource Planner'!$I$54-1,'Resource Planner'!$H$54)),"")</f>
        <v/>
      </c>
      <c r="G2231" s="163" t="s">
        <v>109</v>
      </c>
      <c r="H2231" s="163" t="str">
        <f>IF(AND('Resource Planner'!$A$54="☑",27&lt;='Resource Planner'!$N$54),'Resource Planner'!$M$54,"")</f>
        <v/>
      </c>
    </row>
    <row r="2232" ht="15.75" customHeight="1">
      <c r="A22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2" s="163" t="str">
        <f>IF(AND('Resource Planner'!$A$54="☑",28&lt;='Resource Planner'!$N$54),'Resource Planner'!$C$54,"")</f>
        <v/>
      </c>
      <c r="C2232" s="163" t="str">
        <f>IF(AND('Resource Planner'!$A$54="☑",28&lt;='Resource Planner'!$N$54),'Resource Planner'!$B$54,"")</f>
        <v/>
      </c>
      <c r="D2232" s="163" t="str">
        <f>IF(AND('Resource Planner'!$A$54="☑",28&lt;='Resource Planner'!$N$54),'Resource Planner'!$D$54,"")</f>
        <v/>
      </c>
      <c r="E2232" s="163" t="str">
        <f>IF(AND('Resource Planner'!$A$54="☑",28&lt;='Resource Planner'!$N$54),'Resource Planner'!$E$54,"")</f>
        <v/>
      </c>
      <c r="F2232" s="163" t="str">
        <f>IF(AND('Resource Planner'!$A$54="☑",28&lt;='Resource Planner'!$N$54),'Resource Planner'!$F$54&amp;" "&amp;('Resource Planner'!$G$54+(28-1)*'Resource Planner'!$I$54)&amp;IF(('Resource Planner'!$G$54+(28-1)*'Resource Planner'!$I$54)=MIN('Resource Planner'!$G$54+28*'Resource Planner'!$I$54-1,'Resource Planner'!$H$54),"","–"&amp;MIN('Resource Planner'!$G$54+28*'Resource Planner'!$I$54-1,'Resource Planner'!$H$54)),"")</f>
        <v/>
      </c>
      <c r="G2232" s="163" t="s">
        <v>109</v>
      </c>
      <c r="H2232" s="163" t="str">
        <f>IF(AND('Resource Planner'!$A$54="☑",28&lt;='Resource Planner'!$N$54),'Resource Planner'!$M$54,"")</f>
        <v/>
      </c>
    </row>
    <row r="2233" ht="15.75" customHeight="1">
      <c r="A22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3" s="163" t="str">
        <f>IF(AND('Resource Planner'!$A$54="☑",29&lt;='Resource Planner'!$N$54),'Resource Planner'!$C$54,"")</f>
        <v/>
      </c>
      <c r="C2233" s="163" t="str">
        <f>IF(AND('Resource Planner'!$A$54="☑",29&lt;='Resource Planner'!$N$54),'Resource Planner'!$B$54,"")</f>
        <v/>
      </c>
      <c r="D2233" s="163" t="str">
        <f>IF(AND('Resource Planner'!$A$54="☑",29&lt;='Resource Planner'!$N$54),'Resource Planner'!$D$54,"")</f>
        <v/>
      </c>
      <c r="E2233" s="163" t="str">
        <f>IF(AND('Resource Planner'!$A$54="☑",29&lt;='Resource Planner'!$N$54),'Resource Planner'!$E$54,"")</f>
        <v/>
      </c>
      <c r="F2233" s="163" t="str">
        <f>IF(AND('Resource Planner'!$A$54="☑",29&lt;='Resource Planner'!$N$54),'Resource Planner'!$F$54&amp;" "&amp;('Resource Planner'!$G$54+(29-1)*'Resource Planner'!$I$54)&amp;IF(('Resource Planner'!$G$54+(29-1)*'Resource Planner'!$I$54)=MIN('Resource Planner'!$G$54+29*'Resource Planner'!$I$54-1,'Resource Planner'!$H$54),"","–"&amp;MIN('Resource Planner'!$G$54+29*'Resource Planner'!$I$54-1,'Resource Planner'!$H$54)),"")</f>
        <v/>
      </c>
      <c r="G2233" s="163" t="s">
        <v>109</v>
      </c>
      <c r="H2233" s="163" t="str">
        <f>IF(AND('Resource Planner'!$A$54="☑",29&lt;='Resource Planner'!$N$54),'Resource Planner'!$M$54,"")</f>
        <v/>
      </c>
    </row>
    <row r="2234" ht="15.75" customHeight="1">
      <c r="A22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4" s="163" t="str">
        <f>IF(AND('Resource Planner'!$A$54="☑",30&lt;='Resource Planner'!$N$54),'Resource Planner'!$C$54,"")</f>
        <v/>
      </c>
      <c r="C2234" s="163" t="str">
        <f>IF(AND('Resource Planner'!$A$54="☑",30&lt;='Resource Planner'!$N$54),'Resource Planner'!$B$54,"")</f>
        <v/>
      </c>
      <c r="D2234" s="163" t="str">
        <f>IF(AND('Resource Planner'!$A$54="☑",30&lt;='Resource Planner'!$N$54),'Resource Planner'!$D$54,"")</f>
        <v/>
      </c>
      <c r="E2234" s="163" t="str">
        <f>IF(AND('Resource Planner'!$A$54="☑",30&lt;='Resource Planner'!$N$54),'Resource Planner'!$E$54,"")</f>
        <v/>
      </c>
      <c r="F2234" s="163" t="str">
        <f>IF(AND('Resource Planner'!$A$54="☑",30&lt;='Resource Planner'!$N$54),'Resource Planner'!$F$54&amp;" "&amp;('Resource Planner'!$G$54+(30-1)*'Resource Planner'!$I$54)&amp;IF(('Resource Planner'!$G$54+(30-1)*'Resource Planner'!$I$54)=MIN('Resource Planner'!$G$54+30*'Resource Planner'!$I$54-1,'Resource Planner'!$H$54),"","–"&amp;MIN('Resource Planner'!$G$54+30*'Resource Planner'!$I$54-1,'Resource Planner'!$H$54)),"")</f>
        <v/>
      </c>
      <c r="G2234" s="163" t="s">
        <v>109</v>
      </c>
      <c r="H2234" s="163" t="str">
        <f>IF(AND('Resource Planner'!$A$54="☑",30&lt;='Resource Planner'!$N$54),'Resource Planner'!$M$54,"")</f>
        <v/>
      </c>
    </row>
    <row r="2235" ht="15.75" customHeight="1">
      <c r="A22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5" s="163" t="str">
        <f>IF(AND('Resource Planner'!$A$54="☑",31&lt;='Resource Planner'!$N$54),'Resource Planner'!$C$54,"")</f>
        <v/>
      </c>
      <c r="C2235" s="163" t="str">
        <f>IF(AND('Resource Planner'!$A$54="☑",31&lt;='Resource Planner'!$N$54),'Resource Planner'!$B$54,"")</f>
        <v/>
      </c>
      <c r="D2235" s="163" t="str">
        <f>IF(AND('Resource Planner'!$A$54="☑",31&lt;='Resource Planner'!$N$54),'Resource Planner'!$D$54,"")</f>
        <v/>
      </c>
      <c r="E2235" s="163" t="str">
        <f>IF(AND('Resource Planner'!$A$54="☑",31&lt;='Resource Planner'!$N$54),'Resource Planner'!$E$54,"")</f>
        <v/>
      </c>
      <c r="F2235" s="163" t="str">
        <f>IF(AND('Resource Planner'!$A$54="☑",31&lt;='Resource Planner'!$N$54),'Resource Planner'!$F$54&amp;" "&amp;('Resource Planner'!$G$54+(31-1)*'Resource Planner'!$I$54)&amp;IF(('Resource Planner'!$G$54+(31-1)*'Resource Planner'!$I$54)=MIN('Resource Planner'!$G$54+31*'Resource Planner'!$I$54-1,'Resource Planner'!$H$54),"","–"&amp;MIN('Resource Planner'!$G$54+31*'Resource Planner'!$I$54-1,'Resource Planner'!$H$54)),"")</f>
        <v/>
      </c>
      <c r="G2235" s="163" t="s">
        <v>109</v>
      </c>
      <c r="H2235" s="163" t="str">
        <f>IF(AND('Resource Planner'!$A$54="☑",31&lt;='Resource Planner'!$N$54),'Resource Planner'!$M$54,"")</f>
        <v/>
      </c>
    </row>
    <row r="2236" ht="15.75" customHeight="1">
      <c r="A22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6" s="163" t="str">
        <f>IF(AND('Resource Planner'!$A$54="☑",32&lt;='Resource Planner'!$N$54),'Resource Planner'!$C$54,"")</f>
        <v/>
      </c>
      <c r="C2236" s="163" t="str">
        <f>IF(AND('Resource Planner'!$A$54="☑",32&lt;='Resource Planner'!$N$54),'Resource Planner'!$B$54,"")</f>
        <v/>
      </c>
      <c r="D2236" s="163" t="str">
        <f>IF(AND('Resource Planner'!$A$54="☑",32&lt;='Resource Planner'!$N$54),'Resource Planner'!$D$54,"")</f>
        <v/>
      </c>
      <c r="E2236" s="163" t="str">
        <f>IF(AND('Resource Planner'!$A$54="☑",32&lt;='Resource Planner'!$N$54),'Resource Planner'!$E$54,"")</f>
        <v/>
      </c>
      <c r="F2236" s="163" t="str">
        <f>IF(AND('Resource Planner'!$A$54="☑",32&lt;='Resource Planner'!$N$54),'Resource Planner'!$F$54&amp;" "&amp;('Resource Planner'!$G$54+(32-1)*'Resource Planner'!$I$54)&amp;IF(('Resource Planner'!$G$54+(32-1)*'Resource Planner'!$I$54)=MIN('Resource Planner'!$G$54+32*'Resource Planner'!$I$54-1,'Resource Planner'!$H$54),"","–"&amp;MIN('Resource Planner'!$G$54+32*'Resource Planner'!$I$54-1,'Resource Planner'!$H$54)),"")</f>
        <v/>
      </c>
      <c r="G2236" s="163" t="s">
        <v>109</v>
      </c>
      <c r="H2236" s="163" t="str">
        <f>IF(AND('Resource Planner'!$A$54="☑",32&lt;='Resource Planner'!$N$54),'Resource Planner'!$M$54,"")</f>
        <v/>
      </c>
    </row>
    <row r="2237" ht="15.75" customHeight="1">
      <c r="A22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7" s="163" t="str">
        <f>IF(AND('Resource Planner'!$A$54="☑",33&lt;='Resource Planner'!$N$54),'Resource Planner'!$C$54,"")</f>
        <v/>
      </c>
      <c r="C2237" s="163" t="str">
        <f>IF(AND('Resource Planner'!$A$54="☑",33&lt;='Resource Planner'!$N$54),'Resource Planner'!$B$54,"")</f>
        <v/>
      </c>
      <c r="D2237" s="163" t="str">
        <f>IF(AND('Resource Planner'!$A$54="☑",33&lt;='Resource Planner'!$N$54),'Resource Planner'!$D$54,"")</f>
        <v/>
      </c>
      <c r="E2237" s="163" t="str">
        <f>IF(AND('Resource Planner'!$A$54="☑",33&lt;='Resource Planner'!$N$54),'Resource Planner'!$E$54,"")</f>
        <v/>
      </c>
      <c r="F2237" s="163" t="str">
        <f>IF(AND('Resource Planner'!$A$54="☑",33&lt;='Resource Planner'!$N$54),'Resource Planner'!$F$54&amp;" "&amp;('Resource Planner'!$G$54+(33-1)*'Resource Planner'!$I$54)&amp;IF(('Resource Planner'!$G$54+(33-1)*'Resource Planner'!$I$54)=MIN('Resource Planner'!$G$54+33*'Resource Planner'!$I$54-1,'Resource Planner'!$H$54),"","–"&amp;MIN('Resource Planner'!$G$54+33*'Resource Planner'!$I$54-1,'Resource Planner'!$H$54)),"")</f>
        <v/>
      </c>
      <c r="G2237" s="163" t="s">
        <v>109</v>
      </c>
      <c r="H2237" s="163" t="str">
        <f>IF(AND('Resource Planner'!$A$54="☑",33&lt;='Resource Planner'!$N$54),'Resource Planner'!$M$54,"")</f>
        <v/>
      </c>
    </row>
    <row r="2238" ht="15.75" customHeight="1">
      <c r="A22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8" s="163" t="str">
        <f>IF(AND('Resource Planner'!$A$54="☑",34&lt;='Resource Planner'!$N$54),'Resource Planner'!$C$54,"")</f>
        <v/>
      </c>
      <c r="C2238" s="163" t="str">
        <f>IF(AND('Resource Planner'!$A$54="☑",34&lt;='Resource Planner'!$N$54),'Resource Planner'!$B$54,"")</f>
        <v/>
      </c>
      <c r="D2238" s="163" t="str">
        <f>IF(AND('Resource Planner'!$A$54="☑",34&lt;='Resource Planner'!$N$54),'Resource Planner'!$D$54,"")</f>
        <v/>
      </c>
      <c r="E2238" s="163" t="str">
        <f>IF(AND('Resource Planner'!$A$54="☑",34&lt;='Resource Planner'!$N$54),'Resource Planner'!$E$54,"")</f>
        <v/>
      </c>
      <c r="F2238" s="163" t="str">
        <f>IF(AND('Resource Planner'!$A$54="☑",34&lt;='Resource Planner'!$N$54),'Resource Planner'!$F$54&amp;" "&amp;('Resource Planner'!$G$54+(34-1)*'Resource Planner'!$I$54)&amp;IF(('Resource Planner'!$G$54+(34-1)*'Resource Planner'!$I$54)=MIN('Resource Planner'!$G$54+34*'Resource Planner'!$I$54-1,'Resource Planner'!$H$54),"","–"&amp;MIN('Resource Planner'!$G$54+34*'Resource Planner'!$I$54-1,'Resource Planner'!$H$54)),"")</f>
        <v/>
      </c>
      <c r="G2238" s="163" t="s">
        <v>109</v>
      </c>
      <c r="H2238" s="163" t="str">
        <f>IF(AND('Resource Planner'!$A$54="☑",34&lt;='Resource Planner'!$N$54),'Resource Planner'!$M$54,"")</f>
        <v/>
      </c>
    </row>
    <row r="2239" ht="15.75" customHeight="1">
      <c r="A22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39" s="163" t="str">
        <f>IF(AND('Resource Planner'!$A$54="☑",35&lt;='Resource Planner'!$N$54),'Resource Planner'!$C$54,"")</f>
        <v/>
      </c>
      <c r="C2239" s="163" t="str">
        <f>IF(AND('Resource Planner'!$A$54="☑",35&lt;='Resource Planner'!$N$54),'Resource Planner'!$B$54,"")</f>
        <v/>
      </c>
      <c r="D2239" s="163" t="str">
        <f>IF(AND('Resource Planner'!$A$54="☑",35&lt;='Resource Planner'!$N$54),'Resource Planner'!$D$54,"")</f>
        <v/>
      </c>
      <c r="E2239" s="163" t="str">
        <f>IF(AND('Resource Planner'!$A$54="☑",35&lt;='Resource Planner'!$N$54),'Resource Planner'!$E$54,"")</f>
        <v/>
      </c>
      <c r="F2239" s="163" t="str">
        <f>IF(AND('Resource Planner'!$A$54="☑",35&lt;='Resource Planner'!$N$54),'Resource Planner'!$F$54&amp;" "&amp;('Resource Planner'!$G$54+(35-1)*'Resource Planner'!$I$54)&amp;IF(('Resource Planner'!$G$54+(35-1)*'Resource Planner'!$I$54)=MIN('Resource Planner'!$G$54+35*'Resource Planner'!$I$54-1,'Resource Planner'!$H$54),"","–"&amp;MIN('Resource Planner'!$G$54+35*'Resource Planner'!$I$54-1,'Resource Planner'!$H$54)),"")</f>
        <v/>
      </c>
      <c r="G2239" s="163" t="s">
        <v>109</v>
      </c>
      <c r="H2239" s="163" t="str">
        <f>IF(AND('Resource Planner'!$A$54="☑",35&lt;='Resource Planner'!$N$54),'Resource Planner'!$M$54,"")</f>
        <v/>
      </c>
    </row>
    <row r="2240" ht="15.75" customHeight="1">
      <c r="A22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0" s="163" t="str">
        <f>IF(AND('Resource Planner'!$A$54="☑",36&lt;='Resource Planner'!$N$54),'Resource Planner'!$C$54,"")</f>
        <v/>
      </c>
      <c r="C2240" s="163" t="str">
        <f>IF(AND('Resource Planner'!$A$54="☑",36&lt;='Resource Planner'!$N$54),'Resource Planner'!$B$54,"")</f>
        <v/>
      </c>
      <c r="D2240" s="163" t="str">
        <f>IF(AND('Resource Planner'!$A$54="☑",36&lt;='Resource Planner'!$N$54),'Resource Planner'!$D$54,"")</f>
        <v/>
      </c>
      <c r="E2240" s="163" t="str">
        <f>IF(AND('Resource Planner'!$A$54="☑",36&lt;='Resource Planner'!$N$54),'Resource Planner'!$E$54,"")</f>
        <v/>
      </c>
      <c r="F2240" s="163" t="str">
        <f>IF(AND('Resource Planner'!$A$54="☑",36&lt;='Resource Planner'!$N$54),'Resource Planner'!$F$54&amp;" "&amp;('Resource Planner'!$G$54+(36-1)*'Resource Planner'!$I$54)&amp;IF(('Resource Planner'!$G$54+(36-1)*'Resource Planner'!$I$54)=MIN('Resource Planner'!$G$54+36*'Resource Planner'!$I$54-1,'Resource Planner'!$H$54),"","–"&amp;MIN('Resource Planner'!$G$54+36*'Resource Planner'!$I$54-1,'Resource Planner'!$H$54)),"")</f>
        <v/>
      </c>
      <c r="G2240" s="163" t="s">
        <v>109</v>
      </c>
      <c r="H2240" s="163" t="str">
        <f>IF(AND('Resource Planner'!$A$54="☑",36&lt;='Resource Planner'!$N$54),'Resource Planner'!$M$54,"")</f>
        <v/>
      </c>
    </row>
    <row r="2241" ht="15.75" customHeight="1">
      <c r="A22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1" s="163" t="str">
        <f>IF(AND('Resource Planner'!$A$54="☑",37&lt;='Resource Planner'!$N$54),'Resource Planner'!$C$54,"")</f>
        <v/>
      </c>
      <c r="C2241" s="163" t="str">
        <f>IF(AND('Resource Planner'!$A$54="☑",37&lt;='Resource Planner'!$N$54),'Resource Planner'!$B$54,"")</f>
        <v/>
      </c>
      <c r="D2241" s="163" t="str">
        <f>IF(AND('Resource Planner'!$A$54="☑",37&lt;='Resource Planner'!$N$54),'Resource Planner'!$D$54,"")</f>
        <v/>
      </c>
      <c r="E2241" s="163" t="str">
        <f>IF(AND('Resource Planner'!$A$54="☑",37&lt;='Resource Planner'!$N$54),'Resource Planner'!$E$54,"")</f>
        <v/>
      </c>
      <c r="F2241" s="163" t="str">
        <f>IF(AND('Resource Planner'!$A$54="☑",37&lt;='Resource Planner'!$N$54),'Resource Planner'!$F$54&amp;" "&amp;('Resource Planner'!$G$54+(37-1)*'Resource Planner'!$I$54)&amp;IF(('Resource Planner'!$G$54+(37-1)*'Resource Planner'!$I$54)=MIN('Resource Planner'!$G$54+37*'Resource Planner'!$I$54-1,'Resource Planner'!$H$54),"","–"&amp;MIN('Resource Planner'!$G$54+37*'Resource Planner'!$I$54-1,'Resource Planner'!$H$54)),"")</f>
        <v/>
      </c>
      <c r="G2241" s="163" t="s">
        <v>109</v>
      </c>
      <c r="H2241" s="163" t="str">
        <f>IF(AND('Resource Planner'!$A$54="☑",37&lt;='Resource Planner'!$N$54),'Resource Planner'!$M$54,"")</f>
        <v/>
      </c>
    </row>
    <row r="2242" ht="15.75" customHeight="1">
      <c r="A22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2" s="163" t="str">
        <f>IF(AND('Resource Planner'!$A$54="☑",38&lt;='Resource Planner'!$N$54),'Resource Planner'!$C$54,"")</f>
        <v/>
      </c>
      <c r="C2242" s="163" t="str">
        <f>IF(AND('Resource Planner'!$A$54="☑",38&lt;='Resource Planner'!$N$54),'Resource Planner'!$B$54,"")</f>
        <v/>
      </c>
      <c r="D2242" s="163" t="str">
        <f>IF(AND('Resource Planner'!$A$54="☑",38&lt;='Resource Planner'!$N$54),'Resource Planner'!$D$54,"")</f>
        <v/>
      </c>
      <c r="E2242" s="163" t="str">
        <f>IF(AND('Resource Planner'!$A$54="☑",38&lt;='Resource Planner'!$N$54),'Resource Planner'!$E$54,"")</f>
        <v/>
      </c>
      <c r="F2242" s="163" t="str">
        <f>IF(AND('Resource Planner'!$A$54="☑",38&lt;='Resource Planner'!$N$54),'Resource Planner'!$F$54&amp;" "&amp;('Resource Planner'!$G$54+(38-1)*'Resource Planner'!$I$54)&amp;IF(('Resource Planner'!$G$54+(38-1)*'Resource Planner'!$I$54)=MIN('Resource Planner'!$G$54+38*'Resource Planner'!$I$54-1,'Resource Planner'!$H$54),"","–"&amp;MIN('Resource Planner'!$G$54+38*'Resource Planner'!$I$54-1,'Resource Planner'!$H$54)),"")</f>
        <v/>
      </c>
      <c r="G2242" s="163" t="s">
        <v>109</v>
      </c>
      <c r="H2242" s="163" t="str">
        <f>IF(AND('Resource Planner'!$A$54="☑",38&lt;='Resource Planner'!$N$54),'Resource Planner'!$M$54,"")</f>
        <v/>
      </c>
    </row>
    <row r="2243" ht="15.75" customHeight="1">
      <c r="A22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3" s="163" t="str">
        <f>IF(AND('Resource Planner'!$A$54="☑",39&lt;='Resource Planner'!$N$54),'Resource Planner'!$C$54,"")</f>
        <v/>
      </c>
      <c r="C2243" s="163" t="str">
        <f>IF(AND('Resource Planner'!$A$54="☑",39&lt;='Resource Planner'!$N$54),'Resource Planner'!$B$54,"")</f>
        <v/>
      </c>
      <c r="D2243" s="163" t="str">
        <f>IF(AND('Resource Planner'!$A$54="☑",39&lt;='Resource Planner'!$N$54),'Resource Planner'!$D$54,"")</f>
        <v/>
      </c>
      <c r="E2243" s="163" t="str">
        <f>IF(AND('Resource Planner'!$A$54="☑",39&lt;='Resource Planner'!$N$54),'Resource Planner'!$E$54,"")</f>
        <v/>
      </c>
      <c r="F2243" s="163" t="str">
        <f>IF(AND('Resource Planner'!$A$54="☑",39&lt;='Resource Planner'!$N$54),'Resource Planner'!$F$54&amp;" "&amp;('Resource Planner'!$G$54+(39-1)*'Resource Planner'!$I$54)&amp;IF(('Resource Planner'!$G$54+(39-1)*'Resource Planner'!$I$54)=MIN('Resource Planner'!$G$54+39*'Resource Planner'!$I$54-1,'Resource Planner'!$H$54),"","–"&amp;MIN('Resource Planner'!$G$54+39*'Resource Planner'!$I$54-1,'Resource Planner'!$H$54)),"")</f>
        <v/>
      </c>
      <c r="G2243" s="163" t="s">
        <v>109</v>
      </c>
      <c r="H2243" s="163" t="str">
        <f>IF(AND('Resource Planner'!$A$54="☑",39&lt;='Resource Planner'!$N$54),'Resource Planner'!$M$54,"")</f>
        <v/>
      </c>
    </row>
    <row r="2244" ht="15.75" customHeight="1">
      <c r="A22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4" s="163" t="str">
        <f>IF(AND('Resource Planner'!$A$54="☑",40&lt;='Resource Planner'!$N$54),'Resource Planner'!$C$54,"")</f>
        <v/>
      </c>
      <c r="C2244" s="163" t="str">
        <f>IF(AND('Resource Planner'!$A$54="☑",40&lt;='Resource Planner'!$N$54),'Resource Planner'!$B$54,"")</f>
        <v/>
      </c>
      <c r="D2244" s="163" t="str">
        <f>IF(AND('Resource Planner'!$A$54="☑",40&lt;='Resource Planner'!$N$54),'Resource Planner'!$D$54,"")</f>
        <v/>
      </c>
      <c r="E2244" s="163" t="str">
        <f>IF(AND('Resource Planner'!$A$54="☑",40&lt;='Resource Planner'!$N$54),'Resource Planner'!$E$54,"")</f>
        <v/>
      </c>
      <c r="F2244" s="163" t="str">
        <f>IF(AND('Resource Planner'!$A$54="☑",40&lt;='Resource Planner'!$N$54),'Resource Planner'!$F$54&amp;" "&amp;('Resource Planner'!$G$54+(40-1)*'Resource Planner'!$I$54)&amp;IF(('Resource Planner'!$G$54+(40-1)*'Resource Planner'!$I$54)=MIN('Resource Planner'!$G$54+40*'Resource Planner'!$I$54-1,'Resource Planner'!$H$54),"","–"&amp;MIN('Resource Planner'!$G$54+40*'Resource Planner'!$I$54-1,'Resource Planner'!$H$54)),"")</f>
        <v/>
      </c>
      <c r="G2244" s="163" t="s">
        <v>109</v>
      </c>
      <c r="H2244" s="163" t="str">
        <f>IF(AND('Resource Planner'!$A$54="☑",40&lt;='Resource Planner'!$N$54),'Resource Planner'!$M$54,"")</f>
        <v/>
      </c>
    </row>
    <row r="2245" ht="15.75" customHeight="1">
      <c r="A22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5" s="163" t="str">
        <f>IF(AND('Resource Planner'!$A$54="☑",41&lt;='Resource Planner'!$N$54),'Resource Planner'!$C$54,"")</f>
        <v/>
      </c>
      <c r="C2245" s="163" t="str">
        <f>IF(AND('Resource Planner'!$A$54="☑",41&lt;='Resource Planner'!$N$54),'Resource Planner'!$B$54,"")</f>
        <v/>
      </c>
      <c r="D2245" s="163" t="str">
        <f>IF(AND('Resource Planner'!$A$54="☑",41&lt;='Resource Planner'!$N$54),'Resource Planner'!$D$54,"")</f>
        <v/>
      </c>
      <c r="E2245" s="163" t="str">
        <f>IF(AND('Resource Planner'!$A$54="☑",41&lt;='Resource Planner'!$N$54),'Resource Planner'!$E$54,"")</f>
        <v/>
      </c>
      <c r="F2245" s="163" t="str">
        <f>IF(AND('Resource Planner'!$A$54="☑",41&lt;='Resource Planner'!$N$54),'Resource Planner'!$F$54&amp;" "&amp;('Resource Planner'!$G$54+(41-1)*'Resource Planner'!$I$54)&amp;IF(('Resource Planner'!$G$54+(41-1)*'Resource Planner'!$I$54)=MIN('Resource Planner'!$G$54+41*'Resource Planner'!$I$54-1,'Resource Planner'!$H$54),"","–"&amp;MIN('Resource Planner'!$G$54+41*'Resource Planner'!$I$54-1,'Resource Planner'!$H$54)),"")</f>
        <v/>
      </c>
      <c r="G2245" s="163" t="s">
        <v>109</v>
      </c>
      <c r="H2245" s="163" t="str">
        <f>IF(AND('Resource Planner'!$A$54="☑",41&lt;='Resource Planner'!$N$54),'Resource Planner'!$M$54,"")</f>
        <v/>
      </c>
    </row>
    <row r="2246" ht="15.75" customHeight="1">
      <c r="A22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6" s="163" t="str">
        <f>IF(AND('Resource Planner'!$A$54="☑",42&lt;='Resource Planner'!$N$54),'Resource Planner'!$C$54,"")</f>
        <v/>
      </c>
      <c r="C2246" s="163" t="str">
        <f>IF(AND('Resource Planner'!$A$54="☑",42&lt;='Resource Planner'!$N$54),'Resource Planner'!$B$54,"")</f>
        <v/>
      </c>
      <c r="D2246" s="163" t="str">
        <f>IF(AND('Resource Planner'!$A$54="☑",42&lt;='Resource Planner'!$N$54),'Resource Planner'!$D$54,"")</f>
        <v/>
      </c>
      <c r="E2246" s="163" t="str">
        <f>IF(AND('Resource Planner'!$A$54="☑",42&lt;='Resource Planner'!$N$54),'Resource Planner'!$E$54,"")</f>
        <v/>
      </c>
      <c r="F2246" s="163" t="str">
        <f>IF(AND('Resource Planner'!$A$54="☑",42&lt;='Resource Planner'!$N$54),'Resource Planner'!$F$54&amp;" "&amp;('Resource Planner'!$G$54+(42-1)*'Resource Planner'!$I$54)&amp;IF(('Resource Planner'!$G$54+(42-1)*'Resource Planner'!$I$54)=MIN('Resource Planner'!$G$54+42*'Resource Planner'!$I$54-1,'Resource Planner'!$H$54),"","–"&amp;MIN('Resource Planner'!$G$54+42*'Resource Planner'!$I$54-1,'Resource Planner'!$H$54)),"")</f>
        <v/>
      </c>
      <c r="G2246" s="163" t="s">
        <v>109</v>
      </c>
      <c r="H2246" s="163" t="str">
        <f>IF(AND('Resource Planner'!$A$54="☑",42&lt;='Resource Planner'!$N$54),'Resource Planner'!$M$54,"")</f>
        <v/>
      </c>
    </row>
    <row r="2247" ht="15.75" customHeight="1">
      <c r="A22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7" s="163" t="str">
        <f>IF(AND('Resource Planner'!$A$54="☑",43&lt;='Resource Planner'!$N$54),'Resource Planner'!$C$54,"")</f>
        <v/>
      </c>
      <c r="C2247" s="163" t="str">
        <f>IF(AND('Resource Planner'!$A$54="☑",43&lt;='Resource Planner'!$N$54),'Resource Planner'!$B$54,"")</f>
        <v/>
      </c>
      <c r="D2247" s="163" t="str">
        <f>IF(AND('Resource Planner'!$A$54="☑",43&lt;='Resource Planner'!$N$54),'Resource Planner'!$D$54,"")</f>
        <v/>
      </c>
      <c r="E2247" s="163" t="str">
        <f>IF(AND('Resource Planner'!$A$54="☑",43&lt;='Resource Planner'!$N$54),'Resource Planner'!$E$54,"")</f>
        <v/>
      </c>
      <c r="F2247" s="163" t="str">
        <f>IF(AND('Resource Planner'!$A$54="☑",43&lt;='Resource Planner'!$N$54),'Resource Planner'!$F$54&amp;" "&amp;('Resource Planner'!$G$54+(43-1)*'Resource Planner'!$I$54)&amp;IF(('Resource Planner'!$G$54+(43-1)*'Resource Planner'!$I$54)=MIN('Resource Planner'!$G$54+43*'Resource Planner'!$I$54-1,'Resource Planner'!$H$54),"","–"&amp;MIN('Resource Planner'!$G$54+43*'Resource Planner'!$I$54-1,'Resource Planner'!$H$54)),"")</f>
        <v/>
      </c>
      <c r="G2247" s="163" t="s">
        <v>109</v>
      </c>
      <c r="H2247" s="163" t="str">
        <f>IF(AND('Resource Planner'!$A$54="☑",43&lt;='Resource Planner'!$N$54),'Resource Planner'!$M$54,"")</f>
        <v/>
      </c>
    </row>
    <row r="2248" ht="15.75" customHeight="1">
      <c r="A22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8" s="163" t="str">
        <f>IF(AND('Resource Planner'!$A$54="☑",44&lt;='Resource Planner'!$N$54),'Resource Planner'!$C$54,"")</f>
        <v/>
      </c>
      <c r="C2248" s="163" t="str">
        <f>IF(AND('Resource Planner'!$A$54="☑",44&lt;='Resource Planner'!$N$54),'Resource Planner'!$B$54,"")</f>
        <v/>
      </c>
      <c r="D2248" s="163" t="str">
        <f>IF(AND('Resource Planner'!$A$54="☑",44&lt;='Resource Planner'!$N$54),'Resource Planner'!$D$54,"")</f>
        <v/>
      </c>
      <c r="E2248" s="163" t="str">
        <f>IF(AND('Resource Planner'!$A$54="☑",44&lt;='Resource Planner'!$N$54),'Resource Planner'!$E$54,"")</f>
        <v/>
      </c>
      <c r="F2248" s="163" t="str">
        <f>IF(AND('Resource Planner'!$A$54="☑",44&lt;='Resource Planner'!$N$54),'Resource Planner'!$F$54&amp;" "&amp;('Resource Planner'!$G$54+(44-1)*'Resource Planner'!$I$54)&amp;IF(('Resource Planner'!$G$54+(44-1)*'Resource Planner'!$I$54)=MIN('Resource Planner'!$G$54+44*'Resource Planner'!$I$54-1,'Resource Planner'!$H$54),"","–"&amp;MIN('Resource Planner'!$G$54+44*'Resource Planner'!$I$54-1,'Resource Planner'!$H$54)),"")</f>
        <v/>
      </c>
      <c r="G2248" s="163" t="s">
        <v>109</v>
      </c>
      <c r="H2248" s="163" t="str">
        <f>IF(AND('Resource Planner'!$A$54="☑",44&lt;='Resource Planner'!$N$54),'Resource Planner'!$M$54,"")</f>
        <v/>
      </c>
    </row>
    <row r="2249" ht="15.75" customHeight="1">
      <c r="A22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49" s="163" t="str">
        <f>IF(AND('Resource Planner'!$A$54="☑",45&lt;='Resource Planner'!$N$54),'Resource Planner'!$C$54,"")</f>
        <v/>
      </c>
      <c r="C2249" s="163" t="str">
        <f>IF(AND('Resource Planner'!$A$54="☑",45&lt;='Resource Planner'!$N$54),'Resource Planner'!$B$54,"")</f>
        <v/>
      </c>
      <c r="D2249" s="163" t="str">
        <f>IF(AND('Resource Planner'!$A$54="☑",45&lt;='Resource Planner'!$N$54),'Resource Planner'!$D$54,"")</f>
        <v/>
      </c>
      <c r="E2249" s="163" t="str">
        <f>IF(AND('Resource Planner'!$A$54="☑",45&lt;='Resource Planner'!$N$54),'Resource Planner'!$E$54,"")</f>
        <v/>
      </c>
      <c r="F2249" s="163" t="str">
        <f>IF(AND('Resource Planner'!$A$54="☑",45&lt;='Resource Planner'!$N$54),'Resource Planner'!$F$54&amp;" "&amp;('Resource Planner'!$G$54+(45-1)*'Resource Planner'!$I$54)&amp;IF(('Resource Planner'!$G$54+(45-1)*'Resource Planner'!$I$54)=MIN('Resource Planner'!$G$54+45*'Resource Planner'!$I$54-1,'Resource Planner'!$H$54),"","–"&amp;MIN('Resource Planner'!$G$54+45*'Resource Planner'!$I$54-1,'Resource Planner'!$H$54)),"")</f>
        <v/>
      </c>
      <c r="G2249" s="163" t="s">
        <v>109</v>
      </c>
      <c r="H2249" s="163" t="str">
        <f>IF(AND('Resource Planner'!$A$54="☑",45&lt;='Resource Planner'!$N$54),'Resource Planner'!$M$54,"")</f>
        <v/>
      </c>
    </row>
    <row r="2250" ht="15.75" customHeight="1">
      <c r="A22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0" s="163" t="str">
        <f>IF(AND('Resource Planner'!$A$54="☑",46&lt;='Resource Planner'!$N$54),'Resource Planner'!$C$54,"")</f>
        <v/>
      </c>
      <c r="C2250" s="163" t="str">
        <f>IF(AND('Resource Planner'!$A$54="☑",46&lt;='Resource Planner'!$N$54),'Resource Planner'!$B$54,"")</f>
        <v/>
      </c>
      <c r="D2250" s="163" t="str">
        <f>IF(AND('Resource Planner'!$A$54="☑",46&lt;='Resource Planner'!$N$54),'Resource Planner'!$D$54,"")</f>
        <v/>
      </c>
      <c r="E2250" s="163" t="str">
        <f>IF(AND('Resource Planner'!$A$54="☑",46&lt;='Resource Planner'!$N$54),'Resource Planner'!$E$54,"")</f>
        <v/>
      </c>
      <c r="F2250" s="163" t="str">
        <f>IF(AND('Resource Planner'!$A$54="☑",46&lt;='Resource Planner'!$N$54),'Resource Planner'!$F$54&amp;" "&amp;('Resource Planner'!$G$54+(46-1)*'Resource Planner'!$I$54)&amp;IF(('Resource Planner'!$G$54+(46-1)*'Resource Planner'!$I$54)=MIN('Resource Planner'!$G$54+46*'Resource Planner'!$I$54-1,'Resource Planner'!$H$54),"","–"&amp;MIN('Resource Planner'!$G$54+46*'Resource Planner'!$I$54-1,'Resource Planner'!$H$54)),"")</f>
        <v/>
      </c>
      <c r="G2250" s="163" t="s">
        <v>109</v>
      </c>
      <c r="H2250" s="163" t="str">
        <f>IF(AND('Resource Planner'!$A$54="☑",46&lt;='Resource Planner'!$N$54),'Resource Planner'!$M$54,"")</f>
        <v/>
      </c>
    </row>
    <row r="2251" ht="15.75" customHeight="1">
      <c r="A22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1" s="163" t="str">
        <f>IF(AND('Resource Planner'!$A$54="☑",47&lt;='Resource Planner'!$N$54),'Resource Planner'!$C$54,"")</f>
        <v/>
      </c>
      <c r="C2251" s="163" t="str">
        <f>IF(AND('Resource Planner'!$A$54="☑",47&lt;='Resource Planner'!$N$54),'Resource Planner'!$B$54,"")</f>
        <v/>
      </c>
      <c r="D2251" s="163" t="str">
        <f>IF(AND('Resource Planner'!$A$54="☑",47&lt;='Resource Planner'!$N$54),'Resource Planner'!$D$54,"")</f>
        <v/>
      </c>
      <c r="E2251" s="163" t="str">
        <f>IF(AND('Resource Planner'!$A$54="☑",47&lt;='Resource Planner'!$N$54),'Resource Planner'!$E$54,"")</f>
        <v/>
      </c>
      <c r="F2251" s="163" t="str">
        <f>IF(AND('Resource Planner'!$A$54="☑",47&lt;='Resource Planner'!$N$54),'Resource Planner'!$F$54&amp;" "&amp;('Resource Planner'!$G$54+(47-1)*'Resource Planner'!$I$54)&amp;IF(('Resource Planner'!$G$54+(47-1)*'Resource Planner'!$I$54)=MIN('Resource Planner'!$G$54+47*'Resource Planner'!$I$54-1,'Resource Planner'!$H$54),"","–"&amp;MIN('Resource Planner'!$G$54+47*'Resource Planner'!$I$54-1,'Resource Planner'!$H$54)),"")</f>
        <v/>
      </c>
      <c r="G2251" s="163" t="s">
        <v>109</v>
      </c>
      <c r="H2251" s="163" t="str">
        <f>IF(AND('Resource Planner'!$A$54="☑",47&lt;='Resource Planner'!$N$54),'Resource Planner'!$M$54,"")</f>
        <v/>
      </c>
    </row>
    <row r="2252" ht="15.75" customHeight="1">
      <c r="A22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2" s="163" t="str">
        <f>IF(AND('Resource Planner'!$A$54="☑",48&lt;='Resource Planner'!$N$54),'Resource Planner'!$C$54,"")</f>
        <v/>
      </c>
      <c r="C2252" s="163" t="str">
        <f>IF(AND('Resource Planner'!$A$54="☑",48&lt;='Resource Planner'!$N$54),'Resource Planner'!$B$54,"")</f>
        <v/>
      </c>
      <c r="D2252" s="163" t="str">
        <f>IF(AND('Resource Planner'!$A$54="☑",48&lt;='Resource Planner'!$N$54),'Resource Planner'!$D$54,"")</f>
        <v/>
      </c>
      <c r="E2252" s="163" t="str">
        <f>IF(AND('Resource Planner'!$A$54="☑",48&lt;='Resource Planner'!$N$54),'Resource Planner'!$E$54,"")</f>
        <v/>
      </c>
      <c r="F2252" s="163" t="str">
        <f>IF(AND('Resource Planner'!$A$54="☑",48&lt;='Resource Planner'!$N$54),'Resource Planner'!$F$54&amp;" "&amp;('Resource Planner'!$G$54+(48-1)*'Resource Planner'!$I$54)&amp;IF(('Resource Planner'!$G$54+(48-1)*'Resource Planner'!$I$54)=MIN('Resource Planner'!$G$54+48*'Resource Planner'!$I$54-1,'Resource Planner'!$H$54),"","–"&amp;MIN('Resource Planner'!$G$54+48*'Resource Planner'!$I$54-1,'Resource Planner'!$H$54)),"")</f>
        <v/>
      </c>
      <c r="G2252" s="163" t="s">
        <v>109</v>
      </c>
      <c r="H2252" s="163" t="str">
        <f>IF(AND('Resource Planner'!$A$54="☑",48&lt;='Resource Planner'!$N$54),'Resource Planner'!$M$54,"")</f>
        <v/>
      </c>
    </row>
    <row r="2253" ht="15.75" customHeight="1">
      <c r="A22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3" s="163" t="str">
        <f>IF(AND('Resource Planner'!$A$54="☑",49&lt;='Resource Planner'!$N$54),'Resource Planner'!$C$54,"")</f>
        <v/>
      </c>
      <c r="C2253" s="163" t="str">
        <f>IF(AND('Resource Planner'!$A$54="☑",49&lt;='Resource Planner'!$N$54),'Resource Planner'!$B$54,"")</f>
        <v/>
      </c>
      <c r="D2253" s="163" t="str">
        <f>IF(AND('Resource Planner'!$A$54="☑",49&lt;='Resource Planner'!$N$54),'Resource Planner'!$D$54,"")</f>
        <v/>
      </c>
      <c r="E2253" s="163" t="str">
        <f>IF(AND('Resource Planner'!$A$54="☑",49&lt;='Resource Planner'!$N$54),'Resource Planner'!$E$54,"")</f>
        <v/>
      </c>
      <c r="F2253" s="163" t="str">
        <f>IF(AND('Resource Planner'!$A$54="☑",49&lt;='Resource Planner'!$N$54),'Resource Planner'!$F$54&amp;" "&amp;('Resource Planner'!$G$54+(49-1)*'Resource Planner'!$I$54)&amp;IF(('Resource Planner'!$G$54+(49-1)*'Resource Planner'!$I$54)=MIN('Resource Planner'!$G$54+49*'Resource Planner'!$I$54-1,'Resource Planner'!$H$54),"","–"&amp;MIN('Resource Planner'!$G$54+49*'Resource Planner'!$I$54-1,'Resource Planner'!$H$54)),"")</f>
        <v/>
      </c>
      <c r="G2253" s="163" t="s">
        <v>109</v>
      </c>
      <c r="H2253" s="163" t="str">
        <f>IF(AND('Resource Planner'!$A$54="☑",49&lt;='Resource Planner'!$N$54),'Resource Planner'!$M$54,"")</f>
        <v/>
      </c>
    </row>
    <row r="2254" ht="15.75" customHeight="1">
      <c r="A22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4" s="163" t="str">
        <f>IF(AND('Resource Planner'!$A$54="☑",50&lt;='Resource Planner'!$N$54),'Resource Planner'!$C$54,"")</f>
        <v/>
      </c>
      <c r="C2254" s="163" t="str">
        <f>IF(AND('Resource Planner'!$A$54="☑",50&lt;='Resource Planner'!$N$54),'Resource Planner'!$B$54,"")</f>
        <v/>
      </c>
      <c r="D2254" s="163" t="str">
        <f>IF(AND('Resource Planner'!$A$54="☑",50&lt;='Resource Planner'!$N$54),'Resource Planner'!$D$54,"")</f>
        <v/>
      </c>
      <c r="E2254" s="163" t="str">
        <f>IF(AND('Resource Planner'!$A$54="☑",50&lt;='Resource Planner'!$N$54),'Resource Planner'!$E$54,"")</f>
        <v/>
      </c>
      <c r="F2254" s="163" t="str">
        <f>IF(AND('Resource Planner'!$A$54="☑",50&lt;='Resource Planner'!$N$54),'Resource Planner'!$F$54&amp;" "&amp;('Resource Planner'!$G$54+(50-1)*'Resource Planner'!$I$54)&amp;IF(('Resource Planner'!$G$54+(50-1)*'Resource Planner'!$I$54)=MIN('Resource Planner'!$G$54+50*'Resource Planner'!$I$54-1,'Resource Planner'!$H$54),"","–"&amp;MIN('Resource Planner'!$G$54+50*'Resource Planner'!$I$54-1,'Resource Planner'!$H$54)),"")</f>
        <v/>
      </c>
      <c r="G2254" s="163" t="s">
        <v>109</v>
      </c>
      <c r="H2254" s="163" t="str">
        <f>IF(AND('Resource Planner'!$A$54="☑",50&lt;='Resource Planner'!$N$54),'Resource Planner'!$M$54,"")</f>
        <v/>
      </c>
    </row>
    <row r="2255" ht="15.75" customHeight="1">
      <c r="A22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5" s="163" t="str">
        <f>IF(AND('Resource Planner'!$A$55="☑",1&lt;='Resource Planner'!$N$55),'Resource Planner'!$C$55,"")</f>
        <v/>
      </c>
      <c r="C2255" s="163" t="str">
        <f>IF(AND('Resource Planner'!$A$55="☑",1&lt;='Resource Planner'!$N$55),'Resource Planner'!$B$55,"")</f>
        <v/>
      </c>
      <c r="D2255" s="163" t="str">
        <f>IF(AND('Resource Planner'!$A$55="☑",1&lt;='Resource Planner'!$N$55),'Resource Planner'!$D$55,"")</f>
        <v/>
      </c>
      <c r="E2255" s="163" t="str">
        <f>IF(AND('Resource Planner'!$A$55="☑",1&lt;='Resource Planner'!$N$55),'Resource Planner'!$E$55,"")</f>
        <v/>
      </c>
      <c r="F2255" s="163" t="str">
        <f>IF(AND('Resource Planner'!$A$55="☑",1&lt;='Resource Planner'!$N$55),'Resource Planner'!$F$55&amp;" "&amp;('Resource Planner'!$G$55+(1-1)*'Resource Planner'!$I$55)&amp;IF(('Resource Planner'!$G$55+(1-1)*'Resource Planner'!$I$55)=MIN('Resource Planner'!$G$55+1*'Resource Planner'!$I$55-1,'Resource Planner'!$H$55),"","–"&amp;MIN('Resource Planner'!$G$55+1*'Resource Planner'!$I$55-1,'Resource Planner'!$H$55)),"")</f>
        <v/>
      </c>
      <c r="G2255" s="163" t="s">
        <v>109</v>
      </c>
      <c r="H2255" s="163" t="str">
        <f>IF(AND('Resource Planner'!$A$55="☑",1&lt;='Resource Planner'!$N$55),'Resource Planner'!$M$55,"")</f>
        <v/>
      </c>
    </row>
    <row r="2256" ht="15.75" customHeight="1">
      <c r="A22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6" s="163" t="str">
        <f>IF(AND('Resource Planner'!$A$55="☑",2&lt;='Resource Planner'!$N$55),'Resource Planner'!$C$55,"")</f>
        <v/>
      </c>
      <c r="C2256" s="163" t="str">
        <f>IF(AND('Resource Planner'!$A$55="☑",2&lt;='Resource Planner'!$N$55),'Resource Planner'!$B$55,"")</f>
        <v/>
      </c>
      <c r="D2256" s="163" t="str">
        <f>IF(AND('Resource Planner'!$A$55="☑",2&lt;='Resource Planner'!$N$55),'Resource Planner'!$D$55,"")</f>
        <v/>
      </c>
      <c r="E2256" s="163" t="str">
        <f>IF(AND('Resource Planner'!$A$55="☑",2&lt;='Resource Planner'!$N$55),'Resource Planner'!$E$55,"")</f>
        <v/>
      </c>
      <c r="F2256" s="163" t="str">
        <f>IF(AND('Resource Planner'!$A$55="☑",2&lt;='Resource Planner'!$N$55),'Resource Planner'!$F$55&amp;" "&amp;('Resource Planner'!$G$55+(2-1)*'Resource Planner'!$I$55)&amp;IF(('Resource Planner'!$G$55+(2-1)*'Resource Planner'!$I$55)=MIN('Resource Planner'!$G$55+2*'Resource Planner'!$I$55-1,'Resource Planner'!$H$55),"","–"&amp;MIN('Resource Planner'!$G$55+2*'Resource Planner'!$I$55-1,'Resource Planner'!$H$55)),"")</f>
        <v/>
      </c>
      <c r="G2256" s="163" t="s">
        <v>109</v>
      </c>
      <c r="H2256" s="163" t="str">
        <f>IF(AND('Resource Planner'!$A$55="☑",2&lt;='Resource Planner'!$N$55),'Resource Planner'!$M$55,"")</f>
        <v/>
      </c>
    </row>
    <row r="2257" ht="15.75" customHeight="1">
      <c r="A22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7" s="163" t="str">
        <f>IF(AND('Resource Planner'!$A$55="☑",3&lt;='Resource Planner'!$N$55),'Resource Planner'!$C$55,"")</f>
        <v/>
      </c>
      <c r="C2257" s="163" t="str">
        <f>IF(AND('Resource Planner'!$A$55="☑",3&lt;='Resource Planner'!$N$55),'Resource Planner'!$B$55,"")</f>
        <v/>
      </c>
      <c r="D2257" s="163" t="str">
        <f>IF(AND('Resource Planner'!$A$55="☑",3&lt;='Resource Planner'!$N$55),'Resource Planner'!$D$55,"")</f>
        <v/>
      </c>
      <c r="E2257" s="163" t="str">
        <f>IF(AND('Resource Planner'!$A$55="☑",3&lt;='Resource Planner'!$N$55),'Resource Planner'!$E$55,"")</f>
        <v/>
      </c>
      <c r="F2257" s="163" t="str">
        <f>IF(AND('Resource Planner'!$A$55="☑",3&lt;='Resource Planner'!$N$55),'Resource Planner'!$F$55&amp;" "&amp;('Resource Planner'!$G$55+(3-1)*'Resource Planner'!$I$55)&amp;IF(('Resource Planner'!$G$55+(3-1)*'Resource Planner'!$I$55)=MIN('Resource Planner'!$G$55+3*'Resource Planner'!$I$55-1,'Resource Planner'!$H$55),"","–"&amp;MIN('Resource Planner'!$G$55+3*'Resource Planner'!$I$55-1,'Resource Planner'!$H$55)),"")</f>
        <v/>
      </c>
      <c r="G2257" s="163" t="s">
        <v>109</v>
      </c>
      <c r="H2257" s="163" t="str">
        <f>IF(AND('Resource Planner'!$A$55="☑",3&lt;='Resource Planner'!$N$55),'Resource Planner'!$M$55,"")</f>
        <v/>
      </c>
    </row>
    <row r="2258" ht="15.75" customHeight="1">
      <c r="A22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8" s="163" t="str">
        <f>IF(AND('Resource Planner'!$A$55="☑",4&lt;='Resource Planner'!$N$55),'Resource Planner'!$C$55,"")</f>
        <v/>
      </c>
      <c r="C2258" s="163" t="str">
        <f>IF(AND('Resource Planner'!$A$55="☑",4&lt;='Resource Planner'!$N$55),'Resource Planner'!$B$55,"")</f>
        <v/>
      </c>
      <c r="D2258" s="163" t="str">
        <f>IF(AND('Resource Planner'!$A$55="☑",4&lt;='Resource Planner'!$N$55),'Resource Planner'!$D$55,"")</f>
        <v/>
      </c>
      <c r="E2258" s="163" t="str">
        <f>IF(AND('Resource Planner'!$A$55="☑",4&lt;='Resource Planner'!$N$55),'Resource Planner'!$E$55,"")</f>
        <v/>
      </c>
      <c r="F2258" s="163" t="str">
        <f>IF(AND('Resource Planner'!$A$55="☑",4&lt;='Resource Planner'!$N$55),'Resource Planner'!$F$55&amp;" "&amp;('Resource Planner'!$G$55+(4-1)*'Resource Planner'!$I$55)&amp;IF(('Resource Planner'!$G$55+(4-1)*'Resource Planner'!$I$55)=MIN('Resource Planner'!$G$55+4*'Resource Planner'!$I$55-1,'Resource Planner'!$H$55),"","–"&amp;MIN('Resource Planner'!$G$55+4*'Resource Planner'!$I$55-1,'Resource Planner'!$H$55)),"")</f>
        <v/>
      </c>
      <c r="G2258" s="163" t="s">
        <v>109</v>
      </c>
      <c r="H2258" s="163" t="str">
        <f>IF(AND('Resource Planner'!$A$55="☑",4&lt;='Resource Planner'!$N$55),'Resource Planner'!$M$55,"")</f>
        <v/>
      </c>
    </row>
    <row r="2259" ht="15.75" customHeight="1">
      <c r="A22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59" s="163" t="str">
        <f>IF(AND('Resource Planner'!$A$55="☑",5&lt;='Resource Planner'!$N$55),'Resource Planner'!$C$55,"")</f>
        <v/>
      </c>
      <c r="C2259" s="163" t="str">
        <f>IF(AND('Resource Planner'!$A$55="☑",5&lt;='Resource Planner'!$N$55),'Resource Planner'!$B$55,"")</f>
        <v/>
      </c>
      <c r="D2259" s="163" t="str">
        <f>IF(AND('Resource Planner'!$A$55="☑",5&lt;='Resource Planner'!$N$55),'Resource Planner'!$D$55,"")</f>
        <v/>
      </c>
      <c r="E2259" s="163" t="str">
        <f>IF(AND('Resource Planner'!$A$55="☑",5&lt;='Resource Planner'!$N$55),'Resource Planner'!$E$55,"")</f>
        <v/>
      </c>
      <c r="F2259" s="163" t="str">
        <f>IF(AND('Resource Planner'!$A$55="☑",5&lt;='Resource Planner'!$N$55),'Resource Planner'!$F$55&amp;" "&amp;('Resource Planner'!$G$55+(5-1)*'Resource Planner'!$I$55)&amp;IF(('Resource Planner'!$G$55+(5-1)*'Resource Planner'!$I$55)=MIN('Resource Planner'!$G$55+5*'Resource Planner'!$I$55-1,'Resource Planner'!$H$55),"","–"&amp;MIN('Resource Planner'!$G$55+5*'Resource Planner'!$I$55-1,'Resource Planner'!$H$55)),"")</f>
        <v/>
      </c>
      <c r="G2259" s="163" t="s">
        <v>109</v>
      </c>
      <c r="H2259" s="163" t="str">
        <f>IF(AND('Resource Planner'!$A$55="☑",5&lt;='Resource Planner'!$N$55),'Resource Planner'!$M$55,"")</f>
        <v/>
      </c>
    </row>
    <row r="2260" ht="15.75" customHeight="1">
      <c r="A22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0" s="163" t="str">
        <f>IF(AND('Resource Planner'!$A$55="☑",6&lt;='Resource Planner'!$N$55),'Resource Planner'!$C$55,"")</f>
        <v/>
      </c>
      <c r="C2260" s="163" t="str">
        <f>IF(AND('Resource Planner'!$A$55="☑",6&lt;='Resource Planner'!$N$55),'Resource Planner'!$B$55,"")</f>
        <v/>
      </c>
      <c r="D2260" s="163" t="str">
        <f>IF(AND('Resource Planner'!$A$55="☑",6&lt;='Resource Planner'!$N$55),'Resource Planner'!$D$55,"")</f>
        <v/>
      </c>
      <c r="E2260" s="163" t="str">
        <f>IF(AND('Resource Planner'!$A$55="☑",6&lt;='Resource Planner'!$N$55),'Resource Planner'!$E$55,"")</f>
        <v/>
      </c>
      <c r="F2260" s="163" t="str">
        <f>IF(AND('Resource Planner'!$A$55="☑",6&lt;='Resource Planner'!$N$55),'Resource Planner'!$F$55&amp;" "&amp;('Resource Planner'!$G$55+(6-1)*'Resource Planner'!$I$55)&amp;IF(('Resource Planner'!$G$55+(6-1)*'Resource Planner'!$I$55)=MIN('Resource Planner'!$G$55+6*'Resource Planner'!$I$55-1,'Resource Planner'!$H$55),"","–"&amp;MIN('Resource Planner'!$G$55+6*'Resource Planner'!$I$55-1,'Resource Planner'!$H$55)),"")</f>
        <v/>
      </c>
      <c r="G2260" s="163" t="s">
        <v>109</v>
      </c>
      <c r="H2260" s="163" t="str">
        <f>IF(AND('Resource Planner'!$A$55="☑",6&lt;='Resource Planner'!$N$55),'Resource Planner'!$M$55,"")</f>
        <v/>
      </c>
    </row>
    <row r="2261" ht="15.75" customHeight="1">
      <c r="A22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1" s="163" t="str">
        <f>IF(AND('Resource Planner'!$A$55="☑",7&lt;='Resource Planner'!$N$55),'Resource Planner'!$C$55,"")</f>
        <v/>
      </c>
      <c r="C2261" s="163" t="str">
        <f>IF(AND('Resource Planner'!$A$55="☑",7&lt;='Resource Planner'!$N$55),'Resource Planner'!$B$55,"")</f>
        <v/>
      </c>
      <c r="D2261" s="163" t="str">
        <f>IF(AND('Resource Planner'!$A$55="☑",7&lt;='Resource Planner'!$N$55),'Resource Planner'!$D$55,"")</f>
        <v/>
      </c>
      <c r="E2261" s="163" t="str">
        <f>IF(AND('Resource Planner'!$A$55="☑",7&lt;='Resource Planner'!$N$55),'Resource Planner'!$E$55,"")</f>
        <v/>
      </c>
      <c r="F2261" s="163" t="str">
        <f>IF(AND('Resource Planner'!$A$55="☑",7&lt;='Resource Planner'!$N$55),'Resource Planner'!$F$55&amp;" "&amp;('Resource Planner'!$G$55+(7-1)*'Resource Planner'!$I$55)&amp;IF(('Resource Planner'!$G$55+(7-1)*'Resource Planner'!$I$55)=MIN('Resource Planner'!$G$55+7*'Resource Planner'!$I$55-1,'Resource Planner'!$H$55),"","–"&amp;MIN('Resource Planner'!$G$55+7*'Resource Planner'!$I$55-1,'Resource Planner'!$H$55)),"")</f>
        <v/>
      </c>
      <c r="G2261" s="163" t="s">
        <v>109</v>
      </c>
      <c r="H2261" s="163" t="str">
        <f>IF(AND('Resource Planner'!$A$55="☑",7&lt;='Resource Planner'!$N$55),'Resource Planner'!$M$55,"")</f>
        <v/>
      </c>
    </row>
    <row r="2262" ht="15.75" customHeight="1">
      <c r="A22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2" s="163" t="str">
        <f>IF(AND('Resource Planner'!$A$55="☑",8&lt;='Resource Planner'!$N$55),'Resource Planner'!$C$55,"")</f>
        <v/>
      </c>
      <c r="C2262" s="163" t="str">
        <f>IF(AND('Resource Planner'!$A$55="☑",8&lt;='Resource Planner'!$N$55),'Resource Planner'!$B$55,"")</f>
        <v/>
      </c>
      <c r="D2262" s="163" t="str">
        <f>IF(AND('Resource Planner'!$A$55="☑",8&lt;='Resource Planner'!$N$55),'Resource Planner'!$D$55,"")</f>
        <v/>
      </c>
      <c r="E2262" s="163" t="str">
        <f>IF(AND('Resource Planner'!$A$55="☑",8&lt;='Resource Planner'!$N$55),'Resource Planner'!$E$55,"")</f>
        <v/>
      </c>
      <c r="F2262" s="163" t="str">
        <f>IF(AND('Resource Planner'!$A$55="☑",8&lt;='Resource Planner'!$N$55),'Resource Planner'!$F$55&amp;" "&amp;('Resource Planner'!$G$55+(8-1)*'Resource Planner'!$I$55)&amp;IF(('Resource Planner'!$G$55+(8-1)*'Resource Planner'!$I$55)=MIN('Resource Planner'!$G$55+8*'Resource Planner'!$I$55-1,'Resource Planner'!$H$55),"","–"&amp;MIN('Resource Planner'!$G$55+8*'Resource Planner'!$I$55-1,'Resource Planner'!$H$55)),"")</f>
        <v/>
      </c>
      <c r="G2262" s="163" t="s">
        <v>109</v>
      </c>
      <c r="H2262" s="163" t="str">
        <f>IF(AND('Resource Planner'!$A$55="☑",8&lt;='Resource Planner'!$N$55),'Resource Planner'!$M$55,"")</f>
        <v/>
      </c>
    </row>
    <row r="2263" ht="15.75" customHeight="1">
      <c r="A22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3" s="163" t="str">
        <f>IF(AND('Resource Planner'!$A$55="☑",9&lt;='Resource Planner'!$N$55),'Resource Planner'!$C$55,"")</f>
        <v/>
      </c>
      <c r="C2263" s="163" t="str">
        <f>IF(AND('Resource Planner'!$A$55="☑",9&lt;='Resource Planner'!$N$55),'Resource Planner'!$B$55,"")</f>
        <v/>
      </c>
      <c r="D2263" s="163" t="str">
        <f>IF(AND('Resource Planner'!$A$55="☑",9&lt;='Resource Planner'!$N$55),'Resource Planner'!$D$55,"")</f>
        <v/>
      </c>
      <c r="E2263" s="163" t="str">
        <f>IF(AND('Resource Planner'!$A$55="☑",9&lt;='Resource Planner'!$N$55),'Resource Planner'!$E$55,"")</f>
        <v/>
      </c>
      <c r="F2263" s="163" t="str">
        <f>IF(AND('Resource Planner'!$A$55="☑",9&lt;='Resource Planner'!$N$55),'Resource Planner'!$F$55&amp;" "&amp;('Resource Planner'!$G$55+(9-1)*'Resource Planner'!$I$55)&amp;IF(('Resource Planner'!$G$55+(9-1)*'Resource Planner'!$I$55)=MIN('Resource Planner'!$G$55+9*'Resource Planner'!$I$55-1,'Resource Planner'!$H$55),"","–"&amp;MIN('Resource Planner'!$G$55+9*'Resource Planner'!$I$55-1,'Resource Planner'!$H$55)),"")</f>
        <v/>
      </c>
      <c r="G2263" s="163" t="s">
        <v>109</v>
      </c>
      <c r="H2263" s="163" t="str">
        <f>IF(AND('Resource Planner'!$A$55="☑",9&lt;='Resource Planner'!$N$55),'Resource Planner'!$M$55,"")</f>
        <v/>
      </c>
    </row>
    <row r="2264" ht="15.75" customHeight="1">
      <c r="A22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4" s="163" t="str">
        <f>IF(AND('Resource Planner'!$A$55="☑",10&lt;='Resource Planner'!$N$55),'Resource Planner'!$C$55,"")</f>
        <v/>
      </c>
      <c r="C2264" s="163" t="str">
        <f>IF(AND('Resource Planner'!$A$55="☑",10&lt;='Resource Planner'!$N$55),'Resource Planner'!$B$55,"")</f>
        <v/>
      </c>
      <c r="D2264" s="163" t="str">
        <f>IF(AND('Resource Planner'!$A$55="☑",10&lt;='Resource Planner'!$N$55),'Resource Planner'!$D$55,"")</f>
        <v/>
      </c>
      <c r="E2264" s="163" t="str">
        <f>IF(AND('Resource Planner'!$A$55="☑",10&lt;='Resource Planner'!$N$55),'Resource Planner'!$E$55,"")</f>
        <v/>
      </c>
      <c r="F2264" s="163" t="str">
        <f>IF(AND('Resource Planner'!$A$55="☑",10&lt;='Resource Planner'!$N$55),'Resource Planner'!$F$55&amp;" "&amp;('Resource Planner'!$G$55+(10-1)*'Resource Planner'!$I$55)&amp;IF(('Resource Planner'!$G$55+(10-1)*'Resource Planner'!$I$55)=MIN('Resource Planner'!$G$55+10*'Resource Planner'!$I$55-1,'Resource Planner'!$H$55),"","–"&amp;MIN('Resource Planner'!$G$55+10*'Resource Planner'!$I$55-1,'Resource Planner'!$H$55)),"")</f>
        <v/>
      </c>
      <c r="G2264" s="163" t="s">
        <v>109</v>
      </c>
      <c r="H2264" s="163" t="str">
        <f>IF(AND('Resource Planner'!$A$55="☑",10&lt;='Resource Planner'!$N$55),'Resource Planner'!$M$55,"")</f>
        <v/>
      </c>
    </row>
    <row r="2265" ht="15.75" customHeight="1">
      <c r="A22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5" s="163" t="str">
        <f>IF(AND('Resource Planner'!$A$55="☑",11&lt;='Resource Planner'!$N$55),'Resource Planner'!$C$55,"")</f>
        <v/>
      </c>
      <c r="C2265" s="163" t="str">
        <f>IF(AND('Resource Planner'!$A$55="☑",11&lt;='Resource Planner'!$N$55),'Resource Planner'!$B$55,"")</f>
        <v/>
      </c>
      <c r="D2265" s="163" t="str">
        <f>IF(AND('Resource Planner'!$A$55="☑",11&lt;='Resource Planner'!$N$55),'Resource Planner'!$D$55,"")</f>
        <v/>
      </c>
      <c r="E2265" s="163" t="str">
        <f>IF(AND('Resource Planner'!$A$55="☑",11&lt;='Resource Planner'!$N$55),'Resource Planner'!$E$55,"")</f>
        <v/>
      </c>
      <c r="F2265" s="163" t="str">
        <f>IF(AND('Resource Planner'!$A$55="☑",11&lt;='Resource Planner'!$N$55),'Resource Planner'!$F$55&amp;" "&amp;('Resource Planner'!$G$55+(11-1)*'Resource Planner'!$I$55)&amp;IF(('Resource Planner'!$G$55+(11-1)*'Resource Planner'!$I$55)=MIN('Resource Planner'!$G$55+11*'Resource Planner'!$I$55-1,'Resource Planner'!$H$55),"","–"&amp;MIN('Resource Planner'!$G$55+11*'Resource Planner'!$I$55-1,'Resource Planner'!$H$55)),"")</f>
        <v/>
      </c>
      <c r="G2265" s="163" t="s">
        <v>109</v>
      </c>
      <c r="H2265" s="163" t="str">
        <f>IF(AND('Resource Planner'!$A$55="☑",11&lt;='Resource Planner'!$N$55),'Resource Planner'!$M$55,"")</f>
        <v/>
      </c>
    </row>
    <row r="2266" ht="15.75" customHeight="1">
      <c r="A22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6" s="163" t="str">
        <f>IF(AND('Resource Planner'!$A$55="☑",12&lt;='Resource Planner'!$N$55),'Resource Planner'!$C$55,"")</f>
        <v/>
      </c>
      <c r="C2266" s="163" t="str">
        <f>IF(AND('Resource Planner'!$A$55="☑",12&lt;='Resource Planner'!$N$55),'Resource Planner'!$B$55,"")</f>
        <v/>
      </c>
      <c r="D2266" s="163" t="str">
        <f>IF(AND('Resource Planner'!$A$55="☑",12&lt;='Resource Planner'!$N$55),'Resource Planner'!$D$55,"")</f>
        <v/>
      </c>
      <c r="E2266" s="163" t="str">
        <f>IF(AND('Resource Planner'!$A$55="☑",12&lt;='Resource Planner'!$N$55),'Resource Planner'!$E$55,"")</f>
        <v/>
      </c>
      <c r="F2266" s="163" t="str">
        <f>IF(AND('Resource Planner'!$A$55="☑",12&lt;='Resource Planner'!$N$55),'Resource Planner'!$F$55&amp;" "&amp;('Resource Planner'!$G$55+(12-1)*'Resource Planner'!$I$55)&amp;IF(('Resource Planner'!$G$55+(12-1)*'Resource Planner'!$I$55)=MIN('Resource Planner'!$G$55+12*'Resource Planner'!$I$55-1,'Resource Planner'!$H$55),"","–"&amp;MIN('Resource Planner'!$G$55+12*'Resource Planner'!$I$55-1,'Resource Planner'!$H$55)),"")</f>
        <v/>
      </c>
      <c r="G2266" s="163" t="s">
        <v>109</v>
      </c>
      <c r="H2266" s="163" t="str">
        <f>IF(AND('Resource Planner'!$A$55="☑",12&lt;='Resource Planner'!$N$55),'Resource Planner'!$M$55,"")</f>
        <v/>
      </c>
    </row>
    <row r="2267" ht="15.75" customHeight="1">
      <c r="A22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7" s="163" t="str">
        <f>IF(AND('Resource Planner'!$A$55="☑",13&lt;='Resource Planner'!$N$55),'Resource Planner'!$C$55,"")</f>
        <v/>
      </c>
      <c r="C2267" s="163" t="str">
        <f>IF(AND('Resource Planner'!$A$55="☑",13&lt;='Resource Planner'!$N$55),'Resource Planner'!$B$55,"")</f>
        <v/>
      </c>
      <c r="D2267" s="163" t="str">
        <f>IF(AND('Resource Planner'!$A$55="☑",13&lt;='Resource Planner'!$N$55),'Resource Planner'!$D$55,"")</f>
        <v/>
      </c>
      <c r="E2267" s="163" t="str">
        <f>IF(AND('Resource Planner'!$A$55="☑",13&lt;='Resource Planner'!$N$55),'Resource Planner'!$E$55,"")</f>
        <v/>
      </c>
      <c r="F2267" s="163" t="str">
        <f>IF(AND('Resource Planner'!$A$55="☑",13&lt;='Resource Planner'!$N$55),'Resource Planner'!$F$55&amp;" "&amp;('Resource Planner'!$G$55+(13-1)*'Resource Planner'!$I$55)&amp;IF(('Resource Planner'!$G$55+(13-1)*'Resource Planner'!$I$55)=MIN('Resource Planner'!$G$55+13*'Resource Planner'!$I$55-1,'Resource Planner'!$H$55),"","–"&amp;MIN('Resource Planner'!$G$55+13*'Resource Planner'!$I$55-1,'Resource Planner'!$H$55)),"")</f>
        <v/>
      </c>
      <c r="G2267" s="163" t="s">
        <v>109</v>
      </c>
      <c r="H2267" s="163" t="str">
        <f>IF(AND('Resource Planner'!$A$55="☑",13&lt;='Resource Planner'!$N$55),'Resource Planner'!$M$55,"")</f>
        <v/>
      </c>
    </row>
    <row r="2268" ht="15.75" customHeight="1">
      <c r="A22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8" s="163" t="str">
        <f>IF(AND('Resource Planner'!$A$55="☑",14&lt;='Resource Planner'!$N$55),'Resource Planner'!$C$55,"")</f>
        <v/>
      </c>
      <c r="C2268" s="163" t="str">
        <f>IF(AND('Resource Planner'!$A$55="☑",14&lt;='Resource Planner'!$N$55),'Resource Planner'!$B$55,"")</f>
        <v/>
      </c>
      <c r="D2268" s="163" t="str">
        <f>IF(AND('Resource Planner'!$A$55="☑",14&lt;='Resource Planner'!$N$55),'Resource Planner'!$D$55,"")</f>
        <v/>
      </c>
      <c r="E2268" s="163" t="str">
        <f>IF(AND('Resource Planner'!$A$55="☑",14&lt;='Resource Planner'!$N$55),'Resource Planner'!$E$55,"")</f>
        <v/>
      </c>
      <c r="F2268" s="163" t="str">
        <f>IF(AND('Resource Planner'!$A$55="☑",14&lt;='Resource Planner'!$N$55),'Resource Planner'!$F$55&amp;" "&amp;('Resource Planner'!$G$55+(14-1)*'Resource Planner'!$I$55)&amp;IF(('Resource Planner'!$G$55+(14-1)*'Resource Planner'!$I$55)=MIN('Resource Planner'!$G$55+14*'Resource Planner'!$I$55-1,'Resource Planner'!$H$55),"","–"&amp;MIN('Resource Planner'!$G$55+14*'Resource Planner'!$I$55-1,'Resource Planner'!$H$55)),"")</f>
        <v/>
      </c>
      <c r="G2268" s="163" t="s">
        <v>109</v>
      </c>
      <c r="H2268" s="163" t="str">
        <f>IF(AND('Resource Planner'!$A$55="☑",14&lt;='Resource Planner'!$N$55),'Resource Planner'!$M$55,"")</f>
        <v/>
      </c>
    </row>
    <row r="2269" ht="15.75" customHeight="1">
      <c r="A22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69" s="163" t="str">
        <f>IF(AND('Resource Planner'!$A$55="☑",15&lt;='Resource Planner'!$N$55),'Resource Planner'!$C$55,"")</f>
        <v/>
      </c>
      <c r="C2269" s="163" t="str">
        <f>IF(AND('Resource Planner'!$A$55="☑",15&lt;='Resource Planner'!$N$55),'Resource Planner'!$B$55,"")</f>
        <v/>
      </c>
      <c r="D2269" s="163" t="str">
        <f>IF(AND('Resource Planner'!$A$55="☑",15&lt;='Resource Planner'!$N$55),'Resource Planner'!$D$55,"")</f>
        <v/>
      </c>
      <c r="E2269" s="163" t="str">
        <f>IF(AND('Resource Planner'!$A$55="☑",15&lt;='Resource Planner'!$N$55),'Resource Planner'!$E$55,"")</f>
        <v/>
      </c>
      <c r="F2269" s="163" t="str">
        <f>IF(AND('Resource Planner'!$A$55="☑",15&lt;='Resource Planner'!$N$55),'Resource Planner'!$F$55&amp;" "&amp;('Resource Planner'!$G$55+(15-1)*'Resource Planner'!$I$55)&amp;IF(('Resource Planner'!$G$55+(15-1)*'Resource Planner'!$I$55)=MIN('Resource Planner'!$G$55+15*'Resource Planner'!$I$55-1,'Resource Planner'!$H$55),"","–"&amp;MIN('Resource Planner'!$G$55+15*'Resource Planner'!$I$55-1,'Resource Planner'!$H$55)),"")</f>
        <v/>
      </c>
      <c r="G2269" s="163" t="s">
        <v>109</v>
      </c>
      <c r="H2269" s="163" t="str">
        <f>IF(AND('Resource Planner'!$A$55="☑",15&lt;='Resource Planner'!$N$55),'Resource Planner'!$M$55,"")</f>
        <v/>
      </c>
    </row>
    <row r="2270" ht="15.75" customHeight="1">
      <c r="A22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0" s="163" t="str">
        <f>IF(AND('Resource Planner'!$A$55="☑",16&lt;='Resource Planner'!$N$55),'Resource Planner'!$C$55,"")</f>
        <v/>
      </c>
      <c r="C2270" s="163" t="str">
        <f>IF(AND('Resource Planner'!$A$55="☑",16&lt;='Resource Planner'!$N$55),'Resource Planner'!$B$55,"")</f>
        <v/>
      </c>
      <c r="D2270" s="163" t="str">
        <f>IF(AND('Resource Planner'!$A$55="☑",16&lt;='Resource Planner'!$N$55),'Resource Planner'!$D$55,"")</f>
        <v/>
      </c>
      <c r="E2270" s="163" t="str">
        <f>IF(AND('Resource Planner'!$A$55="☑",16&lt;='Resource Planner'!$N$55),'Resource Planner'!$E$55,"")</f>
        <v/>
      </c>
      <c r="F2270" s="163" t="str">
        <f>IF(AND('Resource Planner'!$A$55="☑",16&lt;='Resource Planner'!$N$55),'Resource Planner'!$F$55&amp;" "&amp;('Resource Planner'!$G$55+(16-1)*'Resource Planner'!$I$55)&amp;IF(('Resource Planner'!$G$55+(16-1)*'Resource Planner'!$I$55)=MIN('Resource Planner'!$G$55+16*'Resource Planner'!$I$55-1,'Resource Planner'!$H$55),"","–"&amp;MIN('Resource Planner'!$G$55+16*'Resource Planner'!$I$55-1,'Resource Planner'!$H$55)),"")</f>
        <v/>
      </c>
      <c r="G2270" s="163" t="s">
        <v>109</v>
      </c>
      <c r="H2270" s="163" t="str">
        <f>IF(AND('Resource Planner'!$A$55="☑",16&lt;='Resource Planner'!$N$55),'Resource Planner'!$M$55,"")</f>
        <v/>
      </c>
    </row>
    <row r="2271" ht="15.75" customHeight="1">
      <c r="A22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1" s="163" t="str">
        <f>IF(AND('Resource Planner'!$A$55="☑",17&lt;='Resource Planner'!$N$55),'Resource Planner'!$C$55,"")</f>
        <v/>
      </c>
      <c r="C2271" s="163" t="str">
        <f>IF(AND('Resource Planner'!$A$55="☑",17&lt;='Resource Planner'!$N$55),'Resource Planner'!$B$55,"")</f>
        <v/>
      </c>
      <c r="D2271" s="163" t="str">
        <f>IF(AND('Resource Planner'!$A$55="☑",17&lt;='Resource Planner'!$N$55),'Resource Planner'!$D$55,"")</f>
        <v/>
      </c>
      <c r="E2271" s="163" t="str">
        <f>IF(AND('Resource Planner'!$A$55="☑",17&lt;='Resource Planner'!$N$55),'Resource Planner'!$E$55,"")</f>
        <v/>
      </c>
      <c r="F2271" s="163" t="str">
        <f>IF(AND('Resource Planner'!$A$55="☑",17&lt;='Resource Planner'!$N$55),'Resource Planner'!$F$55&amp;" "&amp;('Resource Planner'!$G$55+(17-1)*'Resource Planner'!$I$55)&amp;IF(('Resource Planner'!$G$55+(17-1)*'Resource Planner'!$I$55)=MIN('Resource Planner'!$G$55+17*'Resource Planner'!$I$55-1,'Resource Planner'!$H$55),"","–"&amp;MIN('Resource Planner'!$G$55+17*'Resource Planner'!$I$55-1,'Resource Planner'!$H$55)),"")</f>
        <v/>
      </c>
      <c r="G2271" s="163" t="s">
        <v>109</v>
      </c>
      <c r="H2271" s="163" t="str">
        <f>IF(AND('Resource Planner'!$A$55="☑",17&lt;='Resource Planner'!$N$55),'Resource Planner'!$M$55,"")</f>
        <v/>
      </c>
    </row>
    <row r="2272" ht="15.75" customHeight="1">
      <c r="A22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2" s="163" t="str">
        <f>IF(AND('Resource Planner'!$A$55="☑",18&lt;='Resource Planner'!$N$55),'Resource Planner'!$C$55,"")</f>
        <v/>
      </c>
      <c r="C2272" s="163" t="str">
        <f>IF(AND('Resource Planner'!$A$55="☑",18&lt;='Resource Planner'!$N$55),'Resource Planner'!$B$55,"")</f>
        <v/>
      </c>
      <c r="D2272" s="163" t="str">
        <f>IF(AND('Resource Planner'!$A$55="☑",18&lt;='Resource Planner'!$N$55),'Resource Planner'!$D$55,"")</f>
        <v/>
      </c>
      <c r="E2272" s="163" t="str">
        <f>IF(AND('Resource Planner'!$A$55="☑",18&lt;='Resource Planner'!$N$55),'Resource Planner'!$E$55,"")</f>
        <v/>
      </c>
      <c r="F2272" s="163" t="str">
        <f>IF(AND('Resource Planner'!$A$55="☑",18&lt;='Resource Planner'!$N$55),'Resource Planner'!$F$55&amp;" "&amp;('Resource Planner'!$G$55+(18-1)*'Resource Planner'!$I$55)&amp;IF(('Resource Planner'!$G$55+(18-1)*'Resource Planner'!$I$55)=MIN('Resource Planner'!$G$55+18*'Resource Planner'!$I$55-1,'Resource Planner'!$H$55),"","–"&amp;MIN('Resource Planner'!$G$55+18*'Resource Planner'!$I$55-1,'Resource Planner'!$H$55)),"")</f>
        <v/>
      </c>
      <c r="G2272" s="163" t="s">
        <v>109</v>
      </c>
      <c r="H2272" s="163" t="str">
        <f>IF(AND('Resource Planner'!$A$55="☑",18&lt;='Resource Planner'!$N$55),'Resource Planner'!$M$55,"")</f>
        <v/>
      </c>
    </row>
    <row r="2273" ht="15.75" customHeight="1">
      <c r="A22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3" s="163" t="str">
        <f>IF(AND('Resource Planner'!$A$55="☑",19&lt;='Resource Planner'!$N$55),'Resource Planner'!$C$55,"")</f>
        <v/>
      </c>
      <c r="C2273" s="163" t="str">
        <f>IF(AND('Resource Planner'!$A$55="☑",19&lt;='Resource Planner'!$N$55),'Resource Planner'!$B$55,"")</f>
        <v/>
      </c>
      <c r="D2273" s="163" t="str">
        <f>IF(AND('Resource Planner'!$A$55="☑",19&lt;='Resource Planner'!$N$55),'Resource Planner'!$D$55,"")</f>
        <v/>
      </c>
      <c r="E2273" s="163" t="str">
        <f>IF(AND('Resource Planner'!$A$55="☑",19&lt;='Resource Planner'!$N$55),'Resource Planner'!$E$55,"")</f>
        <v/>
      </c>
      <c r="F2273" s="163" t="str">
        <f>IF(AND('Resource Planner'!$A$55="☑",19&lt;='Resource Planner'!$N$55),'Resource Planner'!$F$55&amp;" "&amp;('Resource Planner'!$G$55+(19-1)*'Resource Planner'!$I$55)&amp;IF(('Resource Planner'!$G$55+(19-1)*'Resource Planner'!$I$55)=MIN('Resource Planner'!$G$55+19*'Resource Planner'!$I$55-1,'Resource Planner'!$H$55),"","–"&amp;MIN('Resource Planner'!$G$55+19*'Resource Planner'!$I$55-1,'Resource Planner'!$H$55)),"")</f>
        <v/>
      </c>
      <c r="G2273" s="163" t="s">
        <v>109</v>
      </c>
      <c r="H2273" s="163" t="str">
        <f>IF(AND('Resource Planner'!$A$55="☑",19&lt;='Resource Planner'!$N$55),'Resource Planner'!$M$55,"")</f>
        <v/>
      </c>
    </row>
    <row r="2274" ht="15.75" customHeight="1">
      <c r="A22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4" s="163" t="str">
        <f>IF(AND('Resource Planner'!$A$55="☑",20&lt;='Resource Planner'!$N$55),'Resource Planner'!$C$55,"")</f>
        <v/>
      </c>
      <c r="C2274" s="163" t="str">
        <f>IF(AND('Resource Planner'!$A$55="☑",20&lt;='Resource Planner'!$N$55),'Resource Planner'!$B$55,"")</f>
        <v/>
      </c>
      <c r="D2274" s="163" t="str">
        <f>IF(AND('Resource Planner'!$A$55="☑",20&lt;='Resource Planner'!$N$55),'Resource Planner'!$D$55,"")</f>
        <v/>
      </c>
      <c r="E2274" s="163" t="str">
        <f>IF(AND('Resource Planner'!$A$55="☑",20&lt;='Resource Planner'!$N$55),'Resource Planner'!$E$55,"")</f>
        <v/>
      </c>
      <c r="F2274" s="163" t="str">
        <f>IF(AND('Resource Planner'!$A$55="☑",20&lt;='Resource Planner'!$N$55),'Resource Planner'!$F$55&amp;" "&amp;('Resource Planner'!$G$55+(20-1)*'Resource Planner'!$I$55)&amp;IF(('Resource Planner'!$G$55+(20-1)*'Resource Planner'!$I$55)=MIN('Resource Planner'!$G$55+20*'Resource Planner'!$I$55-1,'Resource Planner'!$H$55),"","–"&amp;MIN('Resource Planner'!$G$55+20*'Resource Planner'!$I$55-1,'Resource Planner'!$H$55)),"")</f>
        <v/>
      </c>
      <c r="G2274" s="163" t="s">
        <v>109</v>
      </c>
      <c r="H2274" s="163" t="str">
        <f>IF(AND('Resource Planner'!$A$55="☑",20&lt;='Resource Planner'!$N$55),'Resource Planner'!$M$55,"")</f>
        <v/>
      </c>
    </row>
    <row r="2275" ht="15.75" customHeight="1">
      <c r="A22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5" s="163" t="str">
        <f>IF(AND('Resource Planner'!$A$55="☑",21&lt;='Resource Planner'!$N$55),'Resource Planner'!$C$55,"")</f>
        <v/>
      </c>
      <c r="C2275" s="163" t="str">
        <f>IF(AND('Resource Planner'!$A$55="☑",21&lt;='Resource Planner'!$N$55),'Resource Planner'!$B$55,"")</f>
        <v/>
      </c>
      <c r="D2275" s="163" t="str">
        <f>IF(AND('Resource Planner'!$A$55="☑",21&lt;='Resource Planner'!$N$55),'Resource Planner'!$D$55,"")</f>
        <v/>
      </c>
      <c r="E2275" s="163" t="str">
        <f>IF(AND('Resource Planner'!$A$55="☑",21&lt;='Resource Planner'!$N$55),'Resource Planner'!$E$55,"")</f>
        <v/>
      </c>
      <c r="F2275" s="163" t="str">
        <f>IF(AND('Resource Planner'!$A$55="☑",21&lt;='Resource Planner'!$N$55),'Resource Planner'!$F$55&amp;" "&amp;('Resource Planner'!$G$55+(21-1)*'Resource Planner'!$I$55)&amp;IF(('Resource Planner'!$G$55+(21-1)*'Resource Planner'!$I$55)=MIN('Resource Planner'!$G$55+21*'Resource Planner'!$I$55-1,'Resource Planner'!$H$55),"","–"&amp;MIN('Resource Planner'!$G$55+21*'Resource Planner'!$I$55-1,'Resource Planner'!$H$55)),"")</f>
        <v/>
      </c>
      <c r="G2275" s="163" t="s">
        <v>109</v>
      </c>
      <c r="H2275" s="163" t="str">
        <f>IF(AND('Resource Planner'!$A$55="☑",21&lt;='Resource Planner'!$N$55),'Resource Planner'!$M$55,"")</f>
        <v/>
      </c>
    </row>
    <row r="2276" ht="15.75" customHeight="1">
      <c r="A22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6" s="163" t="str">
        <f>IF(AND('Resource Planner'!$A$55="☑",22&lt;='Resource Planner'!$N$55),'Resource Planner'!$C$55,"")</f>
        <v/>
      </c>
      <c r="C2276" s="163" t="str">
        <f>IF(AND('Resource Planner'!$A$55="☑",22&lt;='Resource Planner'!$N$55),'Resource Planner'!$B$55,"")</f>
        <v/>
      </c>
      <c r="D2276" s="163" t="str">
        <f>IF(AND('Resource Planner'!$A$55="☑",22&lt;='Resource Planner'!$N$55),'Resource Planner'!$D$55,"")</f>
        <v/>
      </c>
      <c r="E2276" s="163" t="str">
        <f>IF(AND('Resource Planner'!$A$55="☑",22&lt;='Resource Planner'!$N$55),'Resource Planner'!$E$55,"")</f>
        <v/>
      </c>
      <c r="F2276" s="163" t="str">
        <f>IF(AND('Resource Planner'!$A$55="☑",22&lt;='Resource Planner'!$N$55),'Resource Planner'!$F$55&amp;" "&amp;('Resource Planner'!$G$55+(22-1)*'Resource Planner'!$I$55)&amp;IF(('Resource Planner'!$G$55+(22-1)*'Resource Planner'!$I$55)=MIN('Resource Planner'!$G$55+22*'Resource Planner'!$I$55-1,'Resource Planner'!$H$55),"","–"&amp;MIN('Resource Planner'!$G$55+22*'Resource Planner'!$I$55-1,'Resource Planner'!$H$55)),"")</f>
        <v/>
      </c>
      <c r="G2276" s="163" t="s">
        <v>109</v>
      </c>
      <c r="H2276" s="163" t="str">
        <f>IF(AND('Resource Planner'!$A$55="☑",22&lt;='Resource Planner'!$N$55),'Resource Planner'!$M$55,"")</f>
        <v/>
      </c>
    </row>
    <row r="2277" ht="15.75" customHeight="1">
      <c r="A22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7" s="163" t="str">
        <f>IF(AND('Resource Planner'!$A$55="☑",23&lt;='Resource Planner'!$N$55),'Resource Planner'!$C$55,"")</f>
        <v/>
      </c>
      <c r="C2277" s="163" t="str">
        <f>IF(AND('Resource Planner'!$A$55="☑",23&lt;='Resource Planner'!$N$55),'Resource Planner'!$B$55,"")</f>
        <v/>
      </c>
      <c r="D2277" s="163" t="str">
        <f>IF(AND('Resource Planner'!$A$55="☑",23&lt;='Resource Planner'!$N$55),'Resource Planner'!$D$55,"")</f>
        <v/>
      </c>
      <c r="E2277" s="163" t="str">
        <f>IF(AND('Resource Planner'!$A$55="☑",23&lt;='Resource Planner'!$N$55),'Resource Planner'!$E$55,"")</f>
        <v/>
      </c>
      <c r="F2277" s="163" t="str">
        <f>IF(AND('Resource Planner'!$A$55="☑",23&lt;='Resource Planner'!$N$55),'Resource Planner'!$F$55&amp;" "&amp;('Resource Planner'!$G$55+(23-1)*'Resource Planner'!$I$55)&amp;IF(('Resource Planner'!$G$55+(23-1)*'Resource Planner'!$I$55)=MIN('Resource Planner'!$G$55+23*'Resource Planner'!$I$55-1,'Resource Planner'!$H$55),"","–"&amp;MIN('Resource Planner'!$G$55+23*'Resource Planner'!$I$55-1,'Resource Planner'!$H$55)),"")</f>
        <v/>
      </c>
      <c r="G2277" s="163" t="s">
        <v>109</v>
      </c>
      <c r="H2277" s="163" t="str">
        <f>IF(AND('Resource Planner'!$A$55="☑",23&lt;='Resource Planner'!$N$55),'Resource Planner'!$M$55,"")</f>
        <v/>
      </c>
    </row>
    <row r="2278" ht="15.75" customHeight="1">
      <c r="A22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8" s="163" t="str">
        <f>IF(AND('Resource Planner'!$A$55="☑",24&lt;='Resource Planner'!$N$55),'Resource Planner'!$C$55,"")</f>
        <v/>
      </c>
      <c r="C2278" s="163" t="str">
        <f>IF(AND('Resource Planner'!$A$55="☑",24&lt;='Resource Planner'!$N$55),'Resource Planner'!$B$55,"")</f>
        <v/>
      </c>
      <c r="D2278" s="163" t="str">
        <f>IF(AND('Resource Planner'!$A$55="☑",24&lt;='Resource Planner'!$N$55),'Resource Planner'!$D$55,"")</f>
        <v/>
      </c>
      <c r="E2278" s="163" t="str">
        <f>IF(AND('Resource Planner'!$A$55="☑",24&lt;='Resource Planner'!$N$55),'Resource Planner'!$E$55,"")</f>
        <v/>
      </c>
      <c r="F2278" s="163" t="str">
        <f>IF(AND('Resource Planner'!$A$55="☑",24&lt;='Resource Planner'!$N$55),'Resource Planner'!$F$55&amp;" "&amp;('Resource Planner'!$G$55+(24-1)*'Resource Planner'!$I$55)&amp;IF(('Resource Planner'!$G$55+(24-1)*'Resource Planner'!$I$55)=MIN('Resource Planner'!$G$55+24*'Resource Planner'!$I$55-1,'Resource Planner'!$H$55),"","–"&amp;MIN('Resource Planner'!$G$55+24*'Resource Planner'!$I$55-1,'Resource Planner'!$H$55)),"")</f>
        <v/>
      </c>
      <c r="G2278" s="163" t="s">
        <v>109</v>
      </c>
      <c r="H2278" s="163" t="str">
        <f>IF(AND('Resource Planner'!$A$55="☑",24&lt;='Resource Planner'!$N$55),'Resource Planner'!$M$55,"")</f>
        <v/>
      </c>
    </row>
    <row r="2279" ht="15.75" customHeight="1">
      <c r="A22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79" s="163" t="str">
        <f>IF(AND('Resource Planner'!$A$55="☑",25&lt;='Resource Planner'!$N$55),'Resource Planner'!$C$55,"")</f>
        <v/>
      </c>
      <c r="C2279" s="163" t="str">
        <f>IF(AND('Resource Planner'!$A$55="☑",25&lt;='Resource Planner'!$N$55),'Resource Planner'!$B$55,"")</f>
        <v/>
      </c>
      <c r="D2279" s="163" t="str">
        <f>IF(AND('Resource Planner'!$A$55="☑",25&lt;='Resource Planner'!$N$55),'Resource Planner'!$D$55,"")</f>
        <v/>
      </c>
      <c r="E2279" s="163" t="str">
        <f>IF(AND('Resource Planner'!$A$55="☑",25&lt;='Resource Planner'!$N$55),'Resource Planner'!$E$55,"")</f>
        <v/>
      </c>
      <c r="F2279" s="163" t="str">
        <f>IF(AND('Resource Planner'!$A$55="☑",25&lt;='Resource Planner'!$N$55),'Resource Planner'!$F$55&amp;" "&amp;('Resource Planner'!$G$55+(25-1)*'Resource Planner'!$I$55)&amp;IF(('Resource Planner'!$G$55+(25-1)*'Resource Planner'!$I$55)=MIN('Resource Planner'!$G$55+25*'Resource Planner'!$I$55-1,'Resource Planner'!$H$55),"","–"&amp;MIN('Resource Planner'!$G$55+25*'Resource Planner'!$I$55-1,'Resource Planner'!$H$55)),"")</f>
        <v/>
      </c>
      <c r="G2279" s="163" t="s">
        <v>109</v>
      </c>
      <c r="H2279" s="163" t="str">
        <f>IF(AND('Resource Planner'!$A$55="☑",25&lt;='Resource Planner'!$N$55),'Resource Planner'!$M$55,"")</f>
        <v/>
      </c>
    </row>
    <row r="2280" ht="15.75" customHeight="1">
      <c r="A22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0" s="163" t="str">
        <f>IF(AND('Resource Planner'!$A$55="☑",26&lt;='Resource Planner'!$N$55),'Resource Planner'!$C$55,"")</f>
        <v/>
      </c>
      <c r="C2280" s="163" t="str">
        <f>IF(AND('Resource Planner'!$A$55="☑",26&lt;='Resource Planner'!$N$55),'Resource Planner'!$B$55,"")</f>
        <v/>
      </c>
      <c r="D2280" s="163" t="str">
        <f>IF(AND('Resource Planner'!$A$55="☑",26&lt;='Resource Planner'!$N$55),'Resource Planner'!$D$55,"")</f>
        <v/>
      </c>
      <c r="E2280" s="163" t="str">
        <f>IF(AND('Resource Planner'!$A$55="☑",26&lt;='Resource Planner'!$N$55),'Resource Planner'!$E$55,"")</f>
        <v/>
      </c>
      <c r="F2280" s="163" t="str">
        <f>IF(AND('Resource Planner'!$A$55="☑",26&lt;='Resource Planner'!$N$55),'Resource Planner'!$F$55&amp;" "&amp;('Resource Planner'!$G$55+(26-1)*'Resource Planner'!$I$55)&amp;IF(('Resource Planner'!$G$55+(26-1)*'Resource Planner'!$I$55)=MIN('Resource Planner'!$G$55+26*'Resource Planner'!$I$55-1,'Resource Planner'!$H$55),"","–"&amp;MIN('Resource Planner'!$G$55+26*'Resource Planner'!$I$55-1,'Resource Planner'!$H$55)),"")</f>
        <v/>
      </c>
      <c r="G2280" s="163" t="s">
        <v>109</v>
      </c>
      <c r="H2280" s="163" t="str">
        <f>IF(AND('Resource Planner'!$A$55="☑",26&lt;='Resource Planner'!$N$55),'Resource Planner'!$M$55,"")</f>
        <v/>
      </c>
    </row>
    <row r="2281" ht="15.75" customHeight="1">
      <c r="A22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1" s="163" t="str">
        <f>IF(AND('Resource Planner'!$A$55="☑",27&lt;='Resource Planner'!$N$55),'Resource Planner'!$C$55,"")</f>
        <v/>
      </c>
      <c r="C2281" s="163" t="str">
        <f>IF(AND('Resource Planner'!$A$55="☑",27&lt;='Resource Planner'!$N$55),'Resource Planner'!$B$55,"")</f>
        <v/>
      </c>
      <c r="D2281" s="163" t="str">
        <f>IF(AND('Resource Planner'!$A$55="☑",27&lt;='Resource Planner'!$N$55),'Resource Planner'!$D$55,"")</f>
        <v/>
      </c>
      <c r="E2281" s="163" t="str">
        <f>IF(AND('Resource Planner'!$A$55="☑",27&lt;='Resource Planner'!$N$55),'Resource Planner'!$E$55,"")</f>
        <v/>
      </c>
      <c r="F2281" s="163" t="str">
        <f>IF(AND('Resource Planner'!$A$55="☑",27&lt;='Resource Planner'!$N$55),'Resource Planner'!$F$55&amp;" "&amp;('Resource Planner'!$G$55+(27-1)*'Resource Planner'!$I$55)&amp;IF(('Resource Planner'!$G$55+(27-1)*'Resource Planner'!$I$55)=MIN('Resource Planner'!$G$55+27*'Resource Planner'!$I$55-1,'Resource Planner'!$H$55),"","–"&amp;MIN('Resource Planner'!$G$55+27*'Resource Planner'!$I$55-1,'Resource Planner'!$H$55)),"")</f>
        <v/>
      </c>
      <c r="G2281" s="163" t="s">
        <v>109</v>
      </c>
      <c r="H2281" s="163" t="str">
        <f>IF(AND('Resource Planner'!$A$55="☑",27&lt;='Resource Planner'!$N$55),'Resource Planner'!$M$55,"")</f>
        <v/>
      </c>
    </row>
    <row r="2282" ht="15.75" customHeight="1">
      <c r="A22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2" s="163" t="str">
        <f>IF(AND('Resource Planner'!$A$55="☑",28&lt;='Resource Planner'!$N$55),'Resource Planner'!$C$55,"")</f>
        <v/>
      </c>
      <c r="C2282" s="163" t="str">
        <f>IF(AND('Resource Planner'!$A$55="☑",28&lt;='Resource Planner'!$N$55),'Resource Planner'!$B$55,"")</f>
        <v/>
      </c>
      <c r="D2282" s="163" t="str">
        <f>IF(AND('Resource Planner'!$A$55="☑",28&lt;='Resource Planner'!$N$55),'Resource Planner'!$D$55,"")</f>
        <v/>
      </c>
      <c r="E2282" s="163" t="str">
        <f>IF(AND('Resource Planner'!$A$55="☑",28&lt;='Resource Planner'!$N$55),'Resource Planner'!$E$55,"")</f>
        <v/>
      </c>
      <c r="F2282" s="163" t="str">
        <f>IF(AND('Resource Planner'!$A$55="☑",28&lt;='Resource Planner'!$N$55),'Resource Planner'!$F$55&amp;" "&amp;('Resource Planner'!$G$55+(28-1)*'Resource Planner'!$I$55)&amp;IF(('Resource Planner'!$G$55+(28-1)*'Resource Planner'!$I$55)=MIN('Resource Planner'!$G$55+28*'Resource Planner'!$I$55-1,'Resource Planner'!$H$55),"","–"&amp;MIN('Resource Planner'!$G$55+28*'Resource Planner'!$I$55-1,'Resource Planner'!$H$55)),"")</f>
        <v/>
      </c>
      <c r="G2282" s="163" t="s">
        <v>109</v>
      </c>
      <c r="H2282" s="163" t="str">
        <f>IF(AND('Resource Planner'!$A$55="☑",28&lt;='Resource Planner'!$N$55),'Resource Planner'!$M$55,"")</f>
        <v/>
      </c>
    </row>
    <row r="2283" ht="15.75" customHeight="1">
      <c r="A22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3" s="163" t="str">
        <f>IF(AND('Resource Planner'!$A$55="☑",29&lt;='Resource Planner'!$N$55),'Resource Planner'!$C$55,"")</f>
        <v/>
      </c>
      <c r="C2283" s="163" t="str">
        <f>IF(AND('Resource Planner'!$A$55="☑",29&lt;='Resource Planner'!$N$55),'Resource Planner'!$B$55,"")</f>
        <v/>
      </c>
      <c r="D2283" s="163" t="str">
        <f>IF(AND('Resource Planner'!$A$55="☑",29&lt;='Resource Planner'!$N$55),'Resource Planner'!$D$55,"")</f>
        <v/>
      </c>
      <c r="E2283" s="163" t="str">
        <f>IF(AND('Resource Planner'!$A$55="☑",29&lt;='Resource Planner'!$N$55),'Resource Planner'!$E$55,"")</f>
        <v/>
      </c>
      <c r="F2283" s="163" t="str">
        <f>IF(AND('Resource Planner'!$A$55="☑",29&lt;='Resource Planner'!$N$55),'Resource Planner'!$F$55&amp;" "&amp;('Resource Planner'!$G$55+(29-1)*'Resource Planner'!$I$55)&amp;IF(('Resource Planner'!$G$55+(29-1)*'Resource Planner'!$I$55)=MIN('Resource Planner'!$G$55+29*'Resource Planner'!$I$55-1,'Resource Planner'!$H$55),"","–"&amp;MIN('Resource Planner'!$G$55+29*'Resource Planner'!$I$55-1,'Resource Planner'!$H$55)),"")</f>
        <v/>
      </c>
      <c r="G2283" s="163" t="s">
        <v>109</v>
      </c>
      <c r="H2283" s="163" t="str">
        <f>IF(AND('Resource Planner'!$A$55="☑",29&lt;='Resource Planner'!$N$55),'Resource Planner'!$M$55,"")</f>
        <v/>
      </c>
    </row>
    <row r="2284" ht="15.75" customHeight="1">
      <c r="A22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4" s="163" t="str">
        <f>IF(AND('Resource Planner'!$A$55="☑",30&lt;='Resource Planner'!$N$55),'Resource Planner'!$C$55,"")</f>
        <v/>
      </c>
      <c r="C2284" s="163" t="str">
        <f>IF(AND('Resource Planner'!$A$55="☑",30&lt;='Resource Planner'!$N$55),'Resource Planner'!$B$55,"")</f>
        <v/>
      </c>
      <c r="D2284" s="163" t="str">
        <f>IF(AND('Resource Planner'!$A$55="☑",30&lt;='Resource Planner'!$N$55),'Resource Planner'!$D$55,"")</f>
        <v/>
      </c>
      <c r="E2284" s="163" t="str">
        <f>IF(AND('Resource Planner'!$A$55="☑",30&lt;='Resource Planner'!$N$55),'Resource Planner'!$E$55,"")</f>
        <v/>
      </c>
      <c r="F2284" s="163" t="str">
        <f>IF(AND('Resource Planner'!$A$55="☑",30&lt;='Resource Planner'!$N$55),'Resource Planner'!$F$55&amp;" "&amp;('Resource Planner'!$G$55+(30-1)*'Resource Planner'!$I$55)&amp;IF(('Resource Planner'!$G$55+(30-1)*'Resource Planner'!$I$55)=MIN('Resource Planner'!$G$55+30*'Resource Planner'!$I$55-1,'Resource Planner'!$H$55),"","–"&amp;MIN('Resource Planner'!$G$55+30*'Resource Planner'!$I$55-1,'Resource Planner'!$H$55)),"")</f>
        <v/>
      </c>
      <c r="G2284" s="163" t="s">
        <v>109</v>
      </c>
      <c r="H2284" s="163" t="str">
        <f>IF(AND('Resource Planner'!$A$55="☑",30&lt;='Resource Planner'!$N$55),'Resource Planner'!$M$55,"")</f>
        <v/>
      </c>
    </row>
    <row r="2285" ht="15.75" customHeight="1">
      <c r="A22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5" s="163" t="str">
        <f>IF(AND('Resource Planner'!$A$55="☑",31&lt;='Resource Planner'!$N$55),'Resource Planner'!$C$55,"")</f>
        <v/>
      </c>
      <c r="C2285" s="163" t="str">
        <f>IF(AND('Resource Planner'!$A$55="☑",31&lt;='Resource Planner'!$N$55),'Resource Planner'!$B$55,"")</f>
        <v/>
      </c>
      <c r="D2285" s="163" t="str">
        <f>IF(AND('Resource Planner'!$A$55="☑",31&lt;='Resource Planner'!$N$55),'Resource Planner'!$D$55,"")</f>
        <v/>
      </c>
      <c r="E2285" s="163" t="str">
        <f>IF(AND('Resource Planner'!$A$55="☑",31&lt;='Resource Planner'!$N$55),'Resource Planner'!$E$55,"")</f>
        <v/>
      </c>
      <c r="F2285" s="163" t="str">
        <f>IF(AND('Resource Planner'!$A$55="☑",31&lt;='Resource Planner'!$N$55),'Resource Planner'!$F$55&amp;" "&amp;('Resource Planner'!$G$55+(31-1)*'Resource Planner'!$I$55)&amp;IF(('Resource Planner'!$G$55+(31-1)*'Resource Planner'!$I$55)=MIN('Resource Planner'!$G$55+31*'Resource Planner'!$I$55-1,'Resource Planner'!$H$55),"","–"&amp;MIN('Resource Planner'!$G$55+31*'Resource Planner'!$I$55-1,'Resource Planner'!$H$55)),"")</f>
        <v/>
      </c>
      <c r="G2285" s="163" t="s">
        <v>109</v>
      </c>
      <c r="H2285" s="163" t="str">
        <f>IF(AND('Resource Planner'!$A$55="☑",31&lt;='Resource Planner'!$N$55),'Resource Planner'!$M$55,"")</f>
        <v/>
      </c>
    </row>
    <row r="2286" ht="15.75" customHeight="1">
      <c r="A22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6" s="163" t="str">
        <f>IF(AND('Resource Planner'!$A$55="☑",32&lt;='Resource Planner'!$N$55),'Resource Planner'!$C$55,"")</f>
        <v/>
      </c>
      <c r="C2286" s="163" t="str">
        <f>IF(AND('Resource Planner'!$A$55="☑",32&lt;='Resource Planner'!$N$55),'Resource Planner'!$B$55,"")</f>
        <v/>
      </c>
      <c r="D2286" s="163" t="str">
        <f>IF(AND('Resource Planner'!$A$55="☑",32&lt;='Resource Planner'!$N$55),'Resource Planner'!$D$55,"")</f>
        <v/>
      </c>
      <c r="E2286" s="163" t="str">
        <f>IF(AND('Resource Planner'!$A$55="☑",32&lt;='Resource Planner'!$N$55),'Resource Planner'!$E$55,"")</f>
        <v/>
      </c>
      <c r="F2286" s="163" t="str">
        <f>IF(AND('Resource Planner'!$A$55="☑",32&lt;='Resource Planner'!$N$55),'Resource Planner'!$F$55&amp;" "&amp;('Resource Planner'!$G$55+(32-1)*'Resource Planner'!$I$55)&amp;IF(('Resource Planner'!$G$55+(32-1)*'Resource Planner'!$I$55)=MIN('Resource Planner'!$G$55+32*'Resource Planner'!$I$55-1,'Resource Planner'!$H$55),"","–"&amp;MIN('Resource Planner'!$G$55+32*'Resource Planner'!$I$55-1,'Resource Planner'!$H$55)),"")</f>
        <v/>
      </c>
      <c r="G2286" s="163" t="s">
        <v>109</v>
      </c>
      <c r="H2286" s="163" t="str">
        <f>IF(AND('Resource Planner'!$A$55="☑",32&lt;='Resource Planner'!$N$55),'Resource Planner'!$M$55,"")</f>
        <v/>
      </c>
    </row>
    <row r="2287" ht="15.75" customHeight="1">
      <c r="A22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7" s="163" t="str">
        <f>IF(AND('Resource Planner'!$A$55="☑",33&lt;='Resource Planner'!$N$55),'Resource Planner'!$C$55,"")</f>
        <v/>
      </c>
      <c r="C2287" s="163" t="str">
        <f>IF(AND('Resource Planner'!$A$55="☑",33&lt;='Resource Planner'!$N$55),'Resource Planner'!$B$55,"")</f>
        <v/>
      </c>
      <c r="D2287" s="163" t="str">
        <f>IF(AND('Resource Planner'!$A$55="☑",33&lt;='Resource Planner'!$N$55),'Resource Planner'!$D$55,"")</f>
        <v/>
      </c>
      <c r="E2287" s="163" t="str">
        <f>IF(AND('Resource Planner'!$A$55="☑",33&lt;='Resource Planner'!$N$55),'Resource Planner'!$E$55,"")</f>
        <v/>
      </c>
      <c r="F2287" s="163" t="str">
        <f>IF(AND('Resource Planner'!$A$55="☑",33&lt;='Resource Planner'!$N$55),'Resource Planner'!$F$55&amp;" "&amp;('Resource Planner'!$G$55+(33-1)*'Resource Planner'!$I$55)&amp;IF(('Resource Planner'!$G$55+(33-1)*'Resource Planner'!$I$55)=MIN('Resource Planner'!$G$55+33*'Resource Planner'!$I$55-1,'Resource Planner'!$H$55),"","–"&amp;MIN('Resource Planner'!$G$55+33*'Resource Planner'!$I$55-1,'Resource Planner'!$H$55)),"")</f>
        <v/>
      </c>
      <c r="G2287" s="163" t="s">
        <v>109</v>
      </c>
      <c r="H2287" s="163" t="str">
        <f>IF(AND('Resource Planner'!$A$55="☑",33&lt;='Resource Planner'!$N$55),'Resource Planner'!$M$55,"")</f>
        <v/>
      </c>
    </row>
    <row r="2288" ht="15.75" customHeight="1">
      <c r="A22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8" s="163" t="str">
        <f>IF(AND('Resource Planner'!$A$55="☑",34&lt;='Resource Planner'!$N$55),'Resource Planner'!$C$55,"")</f>
        <v/>
      </c>
      <c r="C2288" s="163" t="str">
        <f>IF(AND('Resource Planner'!$A$55="☑",34&lt;='Resource Planner'!$N$55),'Resource Planner'!$B$55,"")</f>
        <v/>
      </c>
      <c r="D2288" s="163" t="str">
        <f>IF(AND('Resource Planner'!$A$55="☑",34&lt;='Resource Planner'!$N$55),'Resource Planner'!$D$55,"")</f>
        <v/>
      </c>
      <c r="E2288" s="163" t="str">
        <f>IF(AND('Resource Planner'!$A$55="☑",34&lt;='Resource Planner'!$N$55),'Resource Planner'!$E$55,"")</f>
        <v/>
      </c>
      <c r="F2288" s="163" t="str">
        <f>IF(AND('Resource Planner'!$A$55="☑",34&lt;='Resource Planner'!$N$55),'Resource Planner'!$F$55&amp;" "&amp;('Resource Planner'!$G$55+(34-1)*'Resource Planner'!$I$55)&amp;IF(('Resource Planner'!$G$55+(34-1)*'Resource Planner'!$I$55)=MIN('Resource Planner'!$G$55+34*'Resource Planner'!$I$55-1,'Resource Planner'!$H$55),"","–"&amp;MIN('Resource Planner'!$G$55+34*'Resource Planner'!$I$55-1,'Resource Planner'!$H$55)),"")</f>
        <v/>
      </c>
      <c r="G2288" s="163" t="s">
        <v>109</v>
      </c>
      <c r="H2288" s="163" t="str">
        <f>IF(AND('Resource Planner'!$A$55="☑",34&lt;='Resource Planner'!$N$55),'Resource Planner'!$M$55,"")</f>
        <v/>
      </c>
    </row>
    <row r="2289" ht="15.75" customHeight="1">
      <c r="A22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89" s="163" t="str">
        <f>IF(AND('Resource Planner'!$A$55="☑",35&lt;='Resource Planner'!$N$55),'Resource Planner'!$C$55,"")</f>
        <v/>
      </c>
      <c r="C2289" s="163" t="str">
        <f>IF(AND('Resource Planner'!$A$55="☑",35&lt;='Resource Planner'!$N$55),'Resource Planner'!$B$55,"")</f>
        <v/>
      </c>
      <c r="D2289" s="163" t="str">
        <f>IF(AND('Resource Planner'!$A$55="☑",35&lt;='Resource Planner'!$N$55),'Resource Planner'!$D$55,"")</f>
        <v/>
      </c>
      <c r="E2289" s="163" t="str">
        <f>IF(AND('Resource Planner'!$A$55="☑",35&lt;='Resource Planner'!$N$55),'Resource Planner'!$E$55,"")</f>
        <v/>
      </c>
      <c r="F2289" s="163" t="str">
        <f>IF(AND('Resource Planner'!$A$55="☑",35&lt;='Resource Planner'!$N$55),'Resource Planner'!$F$55&amp;" "&amp;('Resource Planner'!$G$55+(35-1)*'Resource Planner'!$I$55)&amp;IF(('Resource Planner'!$G$55+(35-1)*'Resource Planner'!$I$55)=MIN('Resource Planner'!$G$55+35*'Resource Planner'!$I$55-1,'Resource Planner'!$H$55),"","–"&amp;MIN('Resource Planner'!$G$55+35*'Resource Planner'!$I$55-1,'Resource Planner'!$H$55)),"")</f>
        <v/>
      </c>
      <c r="G2289" s="163" t="s">
        <v>109</v>
      </c>
      <c r="H2289" s="163" t="str">
        <f>IF(AND('Resource Planner'!$A$55="☑",35&lt;='Resource Planner'!$N$55),'Resource Planner'!$M$55,"")</f>
        <v/>
      </c>
    </row>
    <row r="2290" ht="15.75" customHeight="1">
      <c r="A22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0" s="163" t="str">
        <f>IF(AND('Resource Planner'!$A$55="☑",36&lt;='Resource Planner'!$N$55),'Resource Planner'!$C$55,"")</f>
        <v/>
      </c>
      <c r="C2290" s="163" t="str">
        <f>IF(AND('Resource Planner'!$A$55="☑",36&lt;='Resource Planner'!$N$55),'Resource Planner'!$B$55,"")</f>
        <v/>
      </c>
      <c r="D2290" s="163" t="str">
        <f>IF(AND('Resource Planner'!$A$55="☑",36&lt;='Resource Planner'!$N$55),'Resource Planner'!$D$55,"")</f>
        <v/>
      </c>
      <c r="E2290" s="163" t="str">
        <f>IF(AND('Resource Planner'!$A$55="☑",36&lt;='Resource Planner'!$N$55),'Resource Planner'!$E$55,"")</f>
        <v/>
      </c>
      <c r="F2290" s="163" t="str">
        <f>IF(AND('Resource Planner'!$A$55="☑",36&lt;='Resource Planner'!$N$55),'Resource Planner'!$F$55&amp;" "&amp;('Resource Planner'!$G$55+(36-1)*'Resource Planner'!$I$55)&amp;IF(('Resource Planner'!$G$55+(36-1)*'Resource Planner'!$I$55)=MIN('Resource Planner'!$G$55+36*'Resource Planner'!$I$55-1,'Resource Planner'!$H$55),"","–"&amp;MIN('Resource Planner'!$G$55+36*'Resource Planner'!$I$55-1,'Resource Planner'!$H$55)),"")</f>
        <v/>
      </c>
      <c r="G2290" s="163" t="s">
        <v>109</v>
      </c>
      <c r="H2290" s="163" t="str">
        <f>IF(AND('Resource Planner'!$A$55="☑",36&lt;='Resource Planner'!$N$55),'Resource Planner'!$M$55,"")</f>
        <v/>
      </c>
    </row>
    <row r="2291" ht="15.75" customHeight="1">
      <c r="A22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1" s="163" t="str">
        <f>IF(AND('Resource Planner'!$A$55="☑",37&lt;='Resource Planner'!$N$55),'Resource Planner'!$C$55,"")</f>
        <v/>
      </c>
      <c r="C2291" s="163" t="str">
        <f>IF(AND('Resource Planner'!$A$55="☑",37&lt;='Resource Planner'!$N$55),'Resource Planner'!$B$55,"")</f>
        <v/>
      </c>
      <c r="D2291" s="163" t="str">
        <f>IF(AND('Resource Planner'!$A$55="☑",37&lt;='Resource Planner'!$N$55),'Resource Planner'!$D$55,"")</f>
        <v/>
      </c>
      <c r="E2291" s="163" t="str">
        <f>IF(AND('Resource Planner'!$A$55="☑",37&lt;='Resource Planner'!$N$55),'Resource Planner'!$E$55,"")</f>
        <v/>
      </c>
      <c r="F2291" s="163" t="str">
        <f>IF(AND('Resource Planner'!$A$55="☑",37&lt;='Resource Planner'!$N$55),'Resource Planner'!$F$55&amp;" "&amp;('Resource Planner'!$G$55+(37-1)*'Resource Planner'!$I$55)&amp;IF(('Resource Planner'!$G$55+(37-1)*'Resource Planner'!$I$55)=MIN('Resource Planner'!$G$55+37*'Resource Planner'!$I$55-1,'Resource Planner'!$H$55),"","–"&amp;MIN('Resource Planner'!$G$55+37*'Resource Planner'!$I$55-1,'Resource Planner'!$H$55)),"")</f>
        <v/>
      </c>
      <c r="G2291" s="163" t="s">
        <v>109</v>
      </c>
      <c r="H2291" s="163" t="str">
        <f>IF(AND('Resource Planner'!$A$55="☑",37&lt;='Resource Planner'!$N$55),'Resource Planner'!$M$55,"")</f>
        <v/>
      </c>
    </row>
    <row r="2292" ht="15.75" customHeight="1">
      <c r="A22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2" s="163" t="str">
        <f>IF(AND('Resource Planner'!$A$55="☑",38&lt;='Resource Planner'!$N$55),'Resource Planner'!$C$55,"")</f>
        <v/>
      </c>
      <c r="C2292" s="163" t="str">
        <f>IF(AND('Resource Planner'!$A$55="☑",38&lt;='Resource Planner'!$N$55),'Resource Planner'!$B$55,"")</f>
        <v/>
      </c>
      <c r="D2292" s="163" t="str">
        <f>IF(AND('Resource Planner'!$A$55="☑",38&lt;='Resource Planner'!$N$55),'Resource Planner'!$D$55,"")</f>
        <v/>
      </c>
      <c r="E2292" s="163" t="str">
        <f>IF(AND('Resource Planner'!$A$55="☑",38&lt;='Resource Planner'!$N$55),'Resource Planner'!$E$55,"")</f>
        <v/>
      </c>
      <c r="F2292" s="163" t="str">
        <f>IF(AND('Resource Planner'!$A$55="☑",38&lt;='Resource Planner'!$N$55),'Resource Planner'!$F$55&amp;" "&amp;('Resource Planner'!$G$55+(38-1)*'Resource Planner'!$I$55)&amp;IF(('Resource Planner'!$G$55+(38-1)*'Resource Planner'!$I$55)=MIN('Resource Planner'!$G$55+38*'Resource Planner'!$I$55-1,'Resource Planner'!$H$55),"","–"&amp;MIN('Resource Planner'!$G$55+38*'Resource Planner'!$I$55-1,'Resource Planner'!$H$55)),"")</f>
        <v/>
      </c>
      <c r="G2292" s="163" t="s">
        <v>109</v>
      </c>
      <c r="H2292" s="163" t="str">
        <f>IF(AND('Resource Planner'!$A$55="☑",38&lt;='Resource Planner'!$N$55),'Resource Planner'!$M$55,"")</f>
        <v/>
      </c>
    </row>
    <row r="2293" ht="15.75" customHeight="1">
      <c r="A22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3" s="163" t="str">
        <f>IF(AND('Resource Planner'!$A$55="☑",39&lt;='Resource Planner'!$N$55),'Resource Planner'!$C$55,"")</f>
        <v/>
      </c>
      <c r="C2293" s="163" t="str">
        <f>IF(AND('Resource Planner'!$A$55="☑",39&lt;='Resource Planner'!$N$55),'Resource Planner'!$B$55,"")</f>
        <v/>
      </c>
      <c r="D2293" s="163" t="str">
        <f>IF(AND('Resource Planner'!$A$55="☑",39&lt;='Resource Planner'!$N$55),'Resource Planner'!$D$55,"")</f>
        <v/>
      </c>
      <c r="E2293" s="163" t="str">
        <f>IF(AND('Resource Planner'!$A$55="☑",39&lt;='Resource Planner'!$N$55),'Resource Planner'!$E$55,"")</f>
        <v/>
      </c>
      <c r="F2293" s="163" t="str">
        <f>IF(AND('Resource Planner'!$A$55="☑",39&lt;='Resource Planner'!$N$55),'Resource Planner'!$F$55&amp;" "&amp;('Resource Planner'!$G$55+(39-1)*'Resource Planner'!$I$55)&amp;IF(('Resource Planner'!$G$55+(39-1)*'Resource Planner'!$I$55)=MIN('Resource Planner'!$G$55+39*'Resource Planner'!$I$55-1,'Resource Planner'!$H$55),"","–"&amp;MIN('Resource Planner'!$G$55+39*'Resource Planner'!$I$55-1,'Resource Planner'!$H$55)),"")</f>
        <v/>
      </c>
      <c r="G2293" s="163" t="s">
        <v>109</v>
      </c>
      <c r="H2293" s="163" t="str">
        <f>IF(AND('Resource Planner'!$A$55="☑",39&lt;='Resource Planner'!$N$55),'Resource Planner'!$M$55,"")</f>
        <v/>
      </c>
    </row>
    <row r="2294" ht="15.75" customHeight="1">
      <c r="A22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4" s="163" t="str">
        <f>IF(AND('Resource Planner'!$A$55="☑",40&lt;='Resource Planner'!$N$55),'Resource Planner'!$C$55,"")</f>
        <v/>
      </c>
      <c r="C2294" s="163" t="str">
        <f>IF(AND('Resource Planner'!$A$55="☑",40&lt;='Resource Planner'!$N$55),'Resource Planner'!$B$55,"")</f>
        <v/>
      </c>
      <c r="D2294" s="163" t="str">
        <f>IF(AND('Resource Planner'!$A$55="☑",40&lt;='Resource Planner'!$N$55),'Resource Planner'!$D$55,"")</f>
        <v/>
      </c>
      <c r="E2294" s="163" t="str">
        <f>IF(AND('Resource Planner'!$A$55="☑",40&lt;='Resource Planner'!$N$55),'Resource Planner'!$E$55,"")</f>
        <v/>
      </c>
      <c r="F2294" s="163" t="str">
        <f>IF(AND('Resource Planner'!$A$55="☑",40&lt;='Resource Planner'!$N$55),'Resource Planner'!$F$55&amp;" "&amp;('Resource Planner'!$G$55+(40-1)*'Resource Planner'!$I$55)&amp;IF(('Resource Planner'!$G$55+(40-1)*'Resource Planner'!$I$55)=MIN('Resource Planner'!$G$55+40*'Resource Planner'!$I$55-1,'Resource Planner'!$H$55),"","–"&amp;MIN('Resource Planner'!$G$55+40*'Resource Planner'!$I$55-1,'Resource Planner'!$H$55)),"")</f>
        <v/>
      </c>
      <c r="G2294" s="163" t="s">
        <v>109</v>
      </c>
      <c r="H2294" s="163" t="str">
        <f>IF(AND('Resource Planner'!$A$55="☑",40&lt;='Resource Planner'!$N$55),'Resource Planner'!$M$55,"")</f>
        <v/>
      </c>
    </row>
    <row r="2295" ht="15.75" customHeight="1">
      <c r="A22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5" s="163" t="str">
        <f>IF(AND('Resource Planner'!$A$55="☑",41&lt;='Resource Planner'!$N$55),'Resource Planner'!$C$55,"")</f>
        <v/>
      </c>
      <c r="C2295" s="163" t="str">
        <f>IF(AND('Resource Planner'!$A$55="☑",41&lt;='Resource Planner'!$N$55),'Resource Planner'!$B$55,"")</f>
        <v/>
      </c>
      <c r="D2295" s="163" t="str">
        <f>IF(AND('Resource Planner'!$A$55="☑",41&lt;='Resource Planner'!$N$55),'Resource Planner'!$D$55,"")</f>
        <v/>
      </c>
      <c r="E2295" s="163" t="str">
        <f>IF(AND('Resource Planner'!$A$55="☑",41&lt;='Resource Planner'!$N$55),'Resource Planner'!$E$55,"")</f>
        <v/>
      </c>
      <c r="F2295" s="163" t="str">
        <f>IF(AND('Resource Planner'!$A$55="☑",41&lt;='Resource Planner'!$N$55),'Resource Planner'!$F$55&amp;" "&amp;('Resource Planner'!$G$55+(41-1)*'Resource Planner'!$I$55)&amp;IF(('Resource Planner'!$G$55+(41-1)*'Resource Planner'!$I$55)=MIN('Resource Planner'!$G$55+41*'Resource Planner'!$I$55-1,'Resource Planner'!$H$55),"","–"&amp;MIN('Resource Planner'!$G$55+41*'Resource Planner'!$I$55-1,'Resource Planner'!$H$55)),"")</f>
        <v/>
      </c>
      <c r="G2295" s="163" t="s">
        <v>109</v>
      </c>
      <c r="H2295" s="163" t="str">
        <f>IF(AND('Resource Planner'!$A$55="☑",41&lt;='Resource Planner'!$N$55),'Resource Planner'!$M$55,"")</f>
        <v/>
      </c>
    </row>
    <row r="2296" ht="15.75" customHeight="1">
      <c r="A22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6" s="163" t="str">
        <f>IF(AND('Resource Planner'!$A$55="☑",42&lt;='Resource Planner'!$N$55),'Resource Planner'!$C$55,"")</f>
        <v/>
      </c>
      <c r="C2296" s="163" t="str">
        <f>IF(AND('Resource Planner'!$A$55="☑",42&lt;='Resource Planner'!$N$55),'Resource Planner'!$B$55,"")</f>
        <v/>
      </c>
      <c r="D2296" s="163" t="str">
        <f>IF(AND('Resource Planner'!$A$55="☑",42&lt;='Resource Planner'!$N$55),'Resource Planner'!$D$55,"")</f>
        <v/>
      </c>
      <c r="E2296" s="163" t="str">
        <f>IF(AND('Resource Planner'!$A$55="☑",42&lt;='Resource Planner'!$N$55),'Resource Planner'!$E$55,"")</f>
        <v/>
      </c>
      <c r="F2296" s="163" t="str">
        <f>IF(AND('Resource Planner'!$A$55="☑",42&lt;='Resource Planner'!$N$55),'Resource Planner'!$F$55&amp;" "&amp;('Resource Planner'!$G$55+(42-1)*'Resource Planner'!$I$55)&amp;IF(('Resource Planner'!$G$55+(42-1)*'Resource Planner'!$I$55)=MIN('Resource Planner'!$G$55+42*'Resource Planner'!$I$55-1,'Resource Planner'!$H$55),"","–"&amp;MIN('Resource Planner'!$G$55+42*'Resource Planner'!$I$55-1,'Resource Planner'!$H$55)),"")</f>
        <v/>
      </c>
      <c r="G2296" s="163" t="s">
        <v>109</v>
      </c>
      <c r="H2296" s="163" t="str">
        <f>IF(AND('Resource Planner'!$A$55="☑",42&lt;='Resource Planner'!$N$55),'Resource Planner'!$M$55,"")</f>
        <v/>
      </c>
    </row>
    <row r="2297" ht="15.75" customHeight="1">
      <c r="A22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7" s="163" t="str">
        <f>IF(AND('Resource Planner'!$A$55="☑",43&lt;='Resource Planner'!$N$55),'Resource Planner'!$C$55,"")</f>
        <v/>
      </c>
      <c r="C2297" s="163" t="str">
        <f>IF(AND('Resource Planner'!$A$55="☑",43&lt;='Resource Planner'!$N$55),'Resource Planner'!$B$55,"")</f>
        <v/>
      </c>
      <c r="D2297" s="163" t="str">
        <f>IF(AND('Resource Planner'!$A$55="☑",43&lt;='Resource Planner'!$N$55),'Resource Planner'!$D$55,"")</f>
        <v/>
      </c>
      <c r="E2297" s="163" t="str">
        <f>IF(AND('Resource Planner'!$A$55="☑",43&lt;='Resource Planner'!$N$55),'Resource Planner'!$E$55,"")</f>
        <v/>
      </c>
      <c r="F2297" s="163" t="str">
        <f>IF(AND('Resource Planner'!$A$55="☑",43&lt;='Resource Planner'!$N$55),'Resource Planner'!$F$55&amp;" "&amp;('Resource Planner'!$G$55+(43-1)*'Resource Planner'!$I$55)&amp;IF(('Resource Planner'!$G$55+(43-1)*'Resource Planner'!$I$55)=MIN('Resource Planner'!$G$55+43*'Resource Planner'!$I$55-1,'Resource Planner'!$H$55),"","–"&amp;MIN('Resource Planner'!$G$55+43*'Resource Planner'!$I$55-1,'Resource Planner'!$H$55)),"")</f>
        <v/>
      </c>
      <c r="G2297" s="163" t="s">
        <v>109</v>
      </c>
      <c r="H2297" s="163" t="str">
        <f>IF(AND('Resource Planner'!$A$55="☑",43&lt;='Resource Planner'!$N$55),'Resource Planner'!$M$55,"")</f>
        <v/>
      </c>
    </row>
    <row r="2298" ht="15.75" customHeight="1">
      <c r="A22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8" s="163" t="str">
        <f>IF(AND('Resource Planner'!$A$55="☑",44&lt;='Resource Planner'!$N$55),'Resource Planner'!$C$55,"")</f>
        <v/>
      </c>
      <c r="C2298" s="163" t="str">
        <f>IF(AND('Resource Planner'!$A$55="☑",44&lt;='Resource Planner'!$N$55),'Resource Planner'!$B$55,"")</f>
        <v/>
      </c>
      <c r="D2298" s="163" t="str">
        <f>IF(AND('Resource Planner'!$A$55="☑",44&lt;='Resource Planner'!$N$55),'Resource Planner'!$D$55,"")</f>
        <v/>
      </c>
      <c r="E2298" s="163" t="str">
        <f>IF(AND('Resource Planner'!$A$55="☑",44&lt;='Resource Planner'!$N$55),'Resource Planner'!$E$55,"")</f>
        <v/>
      </c>
      <c r="F2298" s="163" t="str">
        <f>IF(AND('Resource Planner'!$A$55="☑",44&lt;='Resource Planner'!$N$55),'Resource Planner'!$F$55&amp;" "&amp;('Resource Planner'!$G$55+(44-1)*'Resource Planner'!$I$55)&amp;IF(('Resource Planner'!$G$55+(44-1)*'Resource Planner'!$I$55)=MIN('Resource Planner'!$G$55+44*'Resource Planner'!$I$55-1,'Resource Planner'!$H$55),"","–"&amp;MIN('Resource Planner'!$G$55+44*'Resource Planner'!$I$55-1,'Resource Planner'!$H$55)),"")</f>
        <v/>
      </c>
      <c r="G2298" s="163" t="s">
        <v>109</v>
      </c>
      <c r="H2298" s="163" t="str">
        <f>IF(AND('Resource Planner'!$A$55="☑",44&lt;='Resource Planner'!$N$55),'Resource Planner'!$M$55,"")</f>
        <v/>
      </c>
    </row>
    <row r="2299" ht="15.75" customHeight="1">
      <c r="A22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299" s="163" t="str">
        <f>IF(AND('Resource Planner'!$A$55="☑",45&lt;='Resource Planner'!$N$55),'Resource Planner'!$C$55,"")</f>
        <v/>
      </c>
      <c r="C2299" s="163" t="str">
        <f>IF(AND('Resource Planner'!$A$55="☑",45&lt;='Resource Planner'!$N$55),'Resource Planner'!$B$55,"")</f>
        <v/>
      </c>
      <c r="D2299" s="163" t="str">
        <f>IF(AND('Resource Planner'!$A$55="☑",45&lt;='Resource Planner'!$N$55),'Resource Planner'!$D$55,"")</f>
        <v/>
      </c>
      <c r="E2299" s="163" t="str">
        <f>IF(AND('Resource Planner'!$A$55="☑",45&lt;='Resource Planner'!$N$55),'Resource Planner'!$E$55,"")</f>
        <v/>
      </c>
      <c r="F2299" s="163" t="str">
        <f>IF(AND('Resource Planner'!$A$55="☑",45&lt;='Resource Planner'!$N$55),'Resource Planner'!$F$55&amp;" "&amp;('Resource Planner'!$G$55+(45-1)*'Resource Planner'!$I$55)&amp;IF(('Resource Planner'!$G$55+(45-1)*'Resource Planner'!$I$55)=MIN('Resource Planner'!$G$55+45*'Resource Planner'!$I$55-1,'Resource Planner'!$H$55),"","–"&amp;MIN('Resource Planner'!$G$55+45*'Resource Planner'!$I$55-1,'Resource Planner'!$H$55)),"")</f>
        <v/>
      </c>
      <c r="G2299" s="163" t="s">
        <v>109</v>
      </c>
      <c r="H2299" s="163" t="str">
        <f>IF(AND('Resource Planner'!$A$55="☑",45&lt;='Resource Planner'!$N$55),'Resource Planner'!$M$55,"")</f>
        <v/>
      </c>
    </row>
    <row r="2300" ht="15.75" customHeight="1">
      <c r="A23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0" s="163" t="str">
        <f>IF(AND('Resource Planner'!$A$55="☑",46&lt;='Resource Planner'!$N$55),'Resource Planner'!$C$55,"")</f>
        <v/>
      </c>
      <c r="C2300" s="163" t="str">
        <f>IF(AND('Resource Planner'!$A$55="☑",46&lt;='Resource Planner'!$N$55),'Resource Planner'!$B$55,"")</f>
        <v/>
      </c>
      <c r="D2300" s="163" t="str">
        <f>IF(AND('Resource Planner'!$A$55="☑",46&lt;='Resource Planner'!$N$55),'Resource Planner'!$D$55,"")</f>
        <v/>
      </c>
      <c r="E2300" s="163" t="str">
        <f>IF(AND('Resource Planner'!$A$55="☑",46&lt;='Resource Planner'!$N$55),'Resource Planner'!$E$55,"")</f>
        <v/>
      </c>
      <c r="F2300" s="163" t="str">
        <f>IF(AND('Resource Planner'!$A$55="☑",46&lt;='Resource Planner'!$N$55),'Resource Planner'!$F$55&amp;" "&amp;('Resource Planner'!$G$55+(46-1)*'Resource Planner'!$I$55)&amp;IF(('Resource Planner'!$G$55+(46-1)*'Resource Planner'!$I$55)=MIN('Resource Planner'!$G$55+46*'Resource Planner'!$I$55-1,'Resource Planner'!$H$55),"","–"&amp;MIN('Resource Planner'!$G$55+46*'Resource Planner'!$I$55-1,'Resource Planner'!$H$55)),"")</f>
        <v/>
      </c>
      <c r="G2300" s="163" t="s">
        <v>109</v>
      </c>
      <c r="H2300" s="163" t="str">
        <f>IF(AND('Resource Planner'!$A$55="☑",46&lt;='Resource Planner'!$N$55),'Resource Planner'!$M$55,"")</f>
        <v/>
      </c>
    </row>
    <row r="2301" ht="15.75" customHeight="1">
      <c r="A23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1" s="163" t="str">
        <f>IF(AND('Resource Planner'!$A$55="☑",47&lt;='Resource Planner'!$N$55),'Resource Planner'!$C$55,"")</f>
        <v/>
      </c>
      <c r="C2301" s="163" t="str">
        <f>IF(AND('Resource Planner'!$A$55="☑",47&lt;='Resource Planner'!$N$55),'Resource Planner'!$B$55,"")</f>
        <v/>
      </c>
      <c r="D2301" s="163" t="str">
        <f>IF(AND('Resource Planner'!$A$55="☑",47&lt;='Resource Planner'!$N$55),'Resource Planner'!$D$55,"")</f>
        <v/>
      </c>
      <c r="E2301" s="163" t="str">
        <f>IF(AND('Resource Planner'!$A$55="☑",47&lt;='Resource Planner'!$N$55),'Resource Planner'!$E$55,"")</f>
        <v/>
      </c>
      <c r="F2301" s="163" t="str">
        <f>IF(AND('Resource Planner'!$A$55="☑",47&lt;='Resource Planner'!$N$55),'Resource Planner'!$F$55&amp;" "&amp;('Resource Planner'!$G$55+(47-1)*'Resource Planner'!$I$55)&amp;IF(('Resource Planner'!$G$55+(47-1)*'Resource Planner'!$I$55)=MIN('Resource Planner'!$G$55+47*'Resource Planner'!$I$55-1,'Resource Planner'!$H$55),"","–"&amp;MIN('Resource Planner'!$G$55+47*'Resource Planner'!$I$55-1,'Resource Planner'!$H$55)),"")</f>
        <v/>
      </c>
      <c r="G2301" s="163" t="s">
        <v>109</v>
      </c>
      <c r="H2301" s="163" t="str">
        <f>IF(AND('Resource Planner'!$A$55="☑",47&lt;='Resource Planner'!$N$55),'Resource Planner'!$M$55,"")</f>
        <v/>
      </c>
    </row>
    <row r="2302" ht="15.75" customHeight="1">
      <c r="A23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2" s="163" t="str">
        <f>IF(AND('Resource Planner'!$A$55="☑",48&lt;='Resource Planner'!$N$55),'Resource Planner'!$C$55,"")</f>
        <v/>
      </c>
      <c r="C2302" s="163" t="str">
        <f>IF(AND('Resource Planner'!$A$55="☑",48&lt;='Resource Planner'!$N$55),'Resource Planner'!$B$55,"")</f>
        <v/>
      </c>
      <c r="D2302" s="163" t="str">
        <f>IF(AND('Resource Planner'!$A$55="☑",48&lt;='Resource Planner'!$N$55),'Resource Planner'!$D$55,"")</f>
        <v/>
      </c>
      <c r="E2302" s="163" t="str">
        <f>IF(AND('Resource Planner'!$A$55="☑",48&lt;='Resource Planner'!$N$55),'Resource Planner'!$E$55,"")</f>
        <v/>
      </c>
      <c r="F2302" s="163" t="str">
        <f>IF(AND('Resource Planner'!$A$55="☑",48&lt;='Resource Planner'!$N$55),'Resource Planner'!$F$55&amp;" "&amp;('Resource Planner'!$G$55+(48-1)*'Resource Planner'!$I$55)&amp;IF(('Resource Planner'!$G$55+(48-1)*'Resource Planner'!$I$55)=MIN('Resource Planner'!$G$55+48*'Resource Planner'!$I$55-1,'Resource Planner'!$H$55),"","–"&amp;MIN('Resource Planner'!$G$55+48*'Resource Planner'!$I$55-1,'Resource Planner'!$H$55)),"")</f>
        <v/>
      </c>
      <c r="G2302" s="163" t="s">
        <v>109</v>
      </c>
      <c r="H2302" s="163" t="str">
        <f>IF(AND('Resource Planner'!$A$55="☑",48&lt;='Resource Planner'!$N$55),'Resource Planner'!$M$55,"")</f>
        <v/>
      </c>
    </row>
    <row r="2303" ht="15.75" customHeight="1">
      <c r="A23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3" s="163" t="str">
        <f>IF(AND('Resource Planner'!$A$55="☑",49&lt;='Resource Planner'!$N$55),'Resource Planner'!$C$55,"")</f>
        <v/>
      </c>
      <c r="C2303" s="163" t="str">
        <f>IF(AND('Resource Planner'!$A$55="☑",49&lt;='Resource Planner'!$N$55),'Resource Planner'!$B$55,"")</f>
        <v/>
      </c>
      <c r="D2303" s="163" t="str">
        <f>IF(AND('Resource Planner'!$A$55="☑",49&lt;='Resource Planner'!$N$55),'Resource Planner'!$D$55,"")</f>
        <v/>
      </c>
      <c r="E2303" s="163" t="str">
        <f>IF(AND('Resource Planner'!$A$55="☑",49&lt;='Resource Planner'!$N$55),'Resource Planner'!$E$55,"")</f>
        <v/>
      </c>
      <c r="F2303" s="163" t="str">
        <f>IF(AND('Resource Planner'!$A$55="☑",49&lt;='Resource Planner'!$N$55),'Resource Planner'!$F$55&amp;" "&amp;('Resource Planner'!$G$55+(49-1)*'Resource Planner'!$I$55)&amp;IF(('Resource Planner'!$G$55+(49-1)*'Resource Planner'!$I$55)=MIN('Resource Planner'!$G$55+49*'Resource Planner'!$I$55-1,'Resource Planner'!$H$55),"","–"&amp;MIN('Resource Planner'!$G$55+49*'Resource Planner'!$I$55-1,'Resource Planner'!$H$55)),"")</f>
        <v/>
      </c>
      <c r="G2303" s="163" t="s">
        <v>109</v>
      </c>
      <c r="H2303" s="163" t="str">
        <f>IF(AND('Resource Planner'!$A$55="☑",49&lt;='Resource Planner'!$N$55),'Resource Planner'!$M$55,"")</f>
        <v/>
      </c>
    </row>
    <row r="2304" ht="15.75" customHeight="1">
      <c r="A23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4" s="163" t="str">
        <f>IF(AND('Resource Planner'!$A$55="☑",50&lt;='Resource Planner'!$N$55),'Resource Planner'!$C$55,"")</f>
        <v/>
      </c>
      <c r="C2304" s="163" t="str">
        <f>IF(AND('Resource Planner'!$A$55="☑",50&lt;='Resource Planner'!$N$55),'Resource Planner'!$B$55,"")</f>
        <v/>
      </c>
      <c r="D2304" s="163" t="str">
        <f>IF(AND('Resource Planner'!$A$55="☑",50&lt;='Resource Planner'!$N$55),'Resource Planner'!$D$55,"")</f>
        <v/>
      </c>
      <c r="E2304" s="163" t="str">
        <f>IF(AND('Resource Planner'!$A$55="☑",50&lt;='Resource Planner'!$N$55),'Resource Planner'!$E$55,"")</f>
        <v/>
      </c>
      <c r="F2304" s="163" t="str">
        <f>IF(AND('Resource Planner'!$A$55="☑",50&lt;='Resource Planner'!$N$55),'Resource Planner'!$F$55&amp;" "&amp;('Resource Planner'!$G$55+(50-1)*'Resource Planner'!$I$55)&amp;IF(('Resource Planner'!$G$55+(50-1)*'Resource Planner'!$I$55)=MIN('Resource Planner'!$G$55+50*'Resource Planner'!$I$55-1,'Resource Planner'!$H$55),"","–"&amp;MIN('Resource Planner'!$G$55+50*'Resource Planner'!$I$55-1,'Resource Planner'!$H$55)),"")</f>
        <v/>
      </c>
      <c r="G2304" s="163" t="s">
        <v>109</v>
      </c>
      <c r="H2304" s="163" t="str">
        <f>IF(AND('Resource Planner'!$A$55="☑",50&lt;='Resource Planner'!$N$55),'Resource Planner'!$M$55,"")</f>
        <v/>
      </c>
    </row>
    <row r="2305" ht="15.75" customHeight="1">
      <c r="A23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5" s="163" t="str">
        <f>IF(AND('Resource Planner'!$A$56="☑",1&lt;='Resource Planner'!$N$56),'Resource Planner'!$C$56,"")</f>
        <v/>
      </c>
      <c r="C2305" s="163" t="str">
        <f>IF(AND('Resource Planner'!$A$56="☑",1&lt;='Resource Planner'!$N$56),'Resource Planner'!$B$56,"")</f>
        <v/>
      </c>
      <c r="D2305" s="163" t="str">
        <f>IF(AND('Resource Planner'!$A$56="☑",1&lt;='Resource Planner'!$N$56),'Resource Planner'!$D$56,"")</f>
        <v/>
      </c>
      <c r="E2305" s="163" t="str">
        <f>IF(AND('Resource Planner'!$A$56="☑",1&lt;='Resource Planner'!$N$56),'Resource Planner'!$E$56,"")</f>
        <v/>
      </c>
      <c r="F2305" s="163" t="str">
        <f>IF(AND('Resource Planner'!$A$56="☑",1&lt;='Resource Planner'!$N$56),'Resource Planner'!$F$56&amp;" "&amp;('Resource Planner'!$G$56+(1-1)*'Resource Planner'!$I$56)&amp;IF(('Resource Planner'!$G$56+(1-1)*'Resource Planner'!$I$56)=MIN('Resource Planner'!$G$56+1*'Resource Planner'!$I$56-1,'Resource Planner'!$H$56),"","–"&amp;MIN('Resource Planner'!$G$56+1*'Resource Planner'!$I$56-1,'Resource Planner'!$H$56)),"")</f>
        <v/>
      </c>
      <c r="G2305" s="163" t="s">
        <v>109</v>
      </c>
      <c r="H2305" s="163" t="str">
        <f>IF(AND('Resource Planner'!$A$56="☑",1&lt;='Resource Planner'!$N$56),'Resource Planner'!$M$56,"")</f>
        <v/>
      </c>
    </row>
    <row r="2306" ht="15.75" customHeight="1">
      <c r="A23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6" s="163" t="str">
        <f>IF(AND('Resource Planner'!$A$56="☑",2&lt;='Resource Planner'!$N$56),'Resource Planner'!$C$56,"")</f>
        <v/>
      </c>
      <c r="C2306" s="163" t="str">
        <f>IF(AND('Resource Planner'!$A$56="☑",2&lt;='Resource Planner'!$N$56),'Resource Planner'!$B$56,"")</f>
        <v/>
      </c>
      <c r="D2306" s="163" t="str">
        <f>IF(AND('Resource Planner'!$A$56="☑",2&lt;='Resource Planner'!$N$56),'Resource Planner'!$D$56,"")</f>
        <v/>
      </c>
      <c r="E2306" s="163" t="str">
        <f>IF(AND('Resource Planner'!$A$56="☑",2&lt;='Resource Planner'!$N$56),'Resource Planner'!$E$56,"")</f>
        <v/>
      </c>
      <c r="F2306" s="163" t="str">
        <f>IF(AND('Resource Planner'!$A$56="☑",2&lt;='Resource Planner'!$N$56),'Resource Planner'!$F$56&amp;" "&amp;('Resource Planner'!$G$56+(2-1)*'Resource Planner'!$I$56)&amp;IF(('Resource Planner'!$G$56+(2-1)*'Resource Planner'!$I$56)=MIN('Resource Planner'!$G$56+2*'Resource Planner'!$I$56-1,'Resource Planner'!$H$56),"","–"&amp;MIN('Resource Planner'!$G$56+2*'Resource Planner'!$I$56-1,'Resource Planner'!$H$56)),"")</f>
        <v/>
      </c>
      <c r="G2306" s="163" t="s">
        <v>109</v>
      </c>
      <c r="H2306" s="163" t="str">
        <f>IF(AND('Resource Planner'!$A$56="☑",2&lt;='Resource Planner'!$N$56),'Resource Planner'!$M$56,"")</f>
        <v/>
      </c>
    </row>
    <row r="2307" ht="15.75" customHeight="1">
      <c r="A23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7" s="163" t="str">
        <f>IF(AND('Resource Planner'!$A$56="☑",3&lt;='Resource Planner'!$N$56),'Resource Planner'!$C$56,"")</f>
        <v/>
      </c>
      <c r="C2307" s="163" t="str">
        <f>IF(AND('Resource Planner'!$A$56="☑",3&lt;='Resource Planner'!$N$56),'Resource Planner'!$B$56,"")</f>
        <v/>
      </c>
      <c r="D2307" s="163" t="str">
        <f>IF(AND('Resource Planner'!$A$56="☑",3&lt;='Resource Planner'!$N$56),'Resource Planner'!$D$56,"")</f>
        <v/>
      </c>
      <c r="E2307" s="163" t="str">
        <f>IF(AND('Resource Planner'!$A$56="☑",3&lt;='Resource Planner'!$N$56),'Resource Planner'!$E$56,"")</f>
        <v/>
      </c>
      <c r="F2307" s="163" t="str">
        <f>IF(AND('Resource Planner'!$A$56="☑",3&lt;='Resource Planner'!$N$56),'Resource Planner'!$F$56&amp;" "&amp;('Resource Planner'!$G$56+(3-1)*'Resource Planner'!$I$56)&amp;IF(('Resource Planner'!$G$56+(3-1)*'Resource Planner'!$I$56)=MIN('Resource Planner'!$G$56+3*'Resource Planner'!$I$56-1,'Resource Planner'!$H$56),"","–"&amp;MIN('Resource Planner'!$G$56+3*'Resource Planner'!$I$56-1,'Resource Planner'!$H$56)),"")</f>
        <v/>
      </c>
      <c r="G2307" s="163" t="s">
        <v>109</v>
      </c>
      <c r="H2307" s="163" t="str">
        <f>IF(AND('Resource Planner'!$A$56="☑",3&lt;='Resource Planner'!$N$56),'Resource Planner'!$M$56,"")</f>
        <v/>
      </c>
    </row>
    <row r="2308" ht="15.75" customHeight="1">
      <c r="A23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8" s="163" t="str">
        <f>IF(AND('Resource Planner'!$A$56="☑",4&lt;='Resource Planner'!$N$56),'Resource Planner'!$C$56,"")</f>
        <v/>
      </c>
      <c r="C2308" s="163" t="str">
        <f>IF(AND('Resource Planner'!$A$56="☑",4&lt;='Resource Planner'!$N$56),'Resource Planner'!$B$56,"")</f>
        <v/>
      </c>
      <c r="D2308" s="163" t="str">
        <f>IF(AND('Resource Planner'!$A$56="☑",4&lt;='Resource Planner'!$N$56),'Resource Planner'!$D$56,"")</f>
        <v/>
      </c>
      <c r="E2308" s="163" t="str">
        <f>IF(AND('Resource Planner'!$A$56="☑",4&lt;='Resource Planner'!$N$56),'Resource Planner'!$E$56,"")</f>
        <v/>
      </c>
      <c r="F2308" s="163" t="str">
        <f>IF(AND('Resource Planner'!$A$56="☑",4&lt;='Resource Planner'!$N$56),'Resource Planner'!$F$56&amp;" "&amp;('Resource Planner'!$G$56+(4-1)*'Resource Planner'!$I$56)&amp;IF(('Resource Planner'!$G$56+(4-1)*'Resource Planner'!$I$56)=MIN('Resource Planner'!$G$56+4*'Resource Planner'!$I$56-1,'Resource Planner'!$H$56),"","–"&amp;MIN('Resource Planner'!$G$56+4*'Resource Planner'!$I$56-1,'Resource Planner'!$H$56)),"")</f>
        <v/>
      </c>
      <c r="G2308" s="163" t="s">
        <v>109</v>
      </c>
      <c r="H2308" s="163" t="str">
        <f>IF(AND('Resource Planner'!$A$56="☑",4&lt;='Resource Planner'!$N$56),'Resource Planner'!$M$56,"")</f>
        <v/>
      </c>
    </row>
    <row r="2309" ht="15.75" customHeight="1">
      <c r="A23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09" s="163" t="str">
        <f>IF(AND('Resource Planner'!$A$56="☑",5&lt;='Resource Planner'!$N$56),'Resource Planner'!$C$56,"")</f>
        <v/>
      </c>
      <c r="C2309" s="163" t="str">
        <f>IF(AND('Resource Planner'!$A$56="☑",5&lt;='Resource Planner'!$N$56),'Resource Planner'!$B$56,"")</f>
        <v/>
      </c>
      <c r="D2309" s="163" t="str">
        <f>IF(AND('Resource Planner'!$A$56="☑",5&lt;='Resource Planner'!$N$56),'Resource Planner'!$D$56,"")</f>
        <v/>
      </c>
      <c r="E2309" s="163" t="str">
        <f>IF(AND('Resource Planner'!$A$56="☑",5&lt;='Resource Planner'!$N$56),'Resource Planner'!$E$56,"")</f>
        <v/>
      </c>
      <c r="F2309" s="163" t="str">
        <f>IF(AND('Resource Planner'!$A$56="☑",5&lt;='Resource Planner'!$N$56),'Resource Planner'!$F$56&amp;" "&amp;('Resource Planner'!$G$56+(5-1)*'Resource Planner'!$I$56)&amp;IF(('Resource Planner'!$G$56+(5-1)*'Resource Planner'!$I$56)=MIN('Resource Planner'!$G$56+5*'Resource Planner'!$I$56-1,'Resource Planner'!$H$56),"","–"&amp;MIN('Resource Planner'!$G$56+5*'Resource Planner'!$I$56-1,'Resource Planner'!$H$56)),"")</f>
        <v/>
      </c>
      <c r="G2309" s="163" t="s">
        <v>109</v>
      </c>
      <c r="H2309" s="163" t="str">
        <f>IF(AND('Resource Planner'!$A$56="☑",5&lt;='Resource Planner'!$N$56),'Resource Planner'!$M$56,"")</f>
        <v/>
      </c>
    </row>
    <row r="2310" ht="15.75" customHeight="1">
      <c r="A23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0" s="163" t="str">
        <f>IF(AND('Resource Planner'!$A$56="☑",6&lt;='Resource Planner'!$N$56),'Resource Planner'!$C$56,"")</f>
        <v/>
      </c>
      <c r="C2310" s="163" t="str">
        <f>IF(AND('Resource Planner'!$A$56="☑",6&lt;='Resource Planner'!$N$56),'Resource Planner'!$B$56,"")</f>
        <v/>
      </c>
      <c r="D2310" s="163" t="str">
        <f>IF(AND('Resource Planner'!$A$56="☑",6&lt;='Resource Planner'!$N$56),'Resource Planner'!$D$56,"")</f>
        <v/>
      </c>
      <c r="E2310" s="163" t="str">
        <f>IF(AND('Resource Planner'!$A$56="☑",6&lt;='Resource Planner'!$N$56),'Resource Planner'!$E$56,"")</f>
        <v/>
      </c>
      <c r="F2310" s="163" t="str">
        <f>IF(AND('Resource Planner'!$A$56="☑",6&lt;='Resource Planner'!$N$56),'Resource Planner'!$F$56&amp;" "&amp;('Resource Planner'!$G$56+(6-1)*'Resource Planner'!$I$56)&amp;IF(('Resource Planner'!$G$56+(6-1)*'Resource Planner'!$I$56)=MIN('Resource Planner'!$G$56+6*'Resource Planner'!$I$56-1,'Resource Planner'!$H$56),"","–"&amp;MIN('Resource Planner'!$G$56+6*'Resource Planner'!$I$56-1,'Resource Planner'!$H$56)),"")</f>
        <v/>
      </c>
      <c r="G2310" s="163" t="s">
        <v>109</v>
      </c>
      <c r="H2310" s="163" t="str">
        <f>IF(AND('Resource Planner'!$A$56="☑",6&lt;='Resource Planner'!$N$56),'Resource Planner'!$M$56,"")</f>
        <v/>
      </c>
    </row>
    <row r="2311" ht="15.75" customHeight="1">
      <c r="A23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1" s="163" t="str">
        <f>IF(AND('Resource Planner'!$A$56="☑",7&lt;='Resource Planner'!$N$56),'Resource Planner'!$C$56,"")</f>
        <v/>
      </c>
      <c r="C2311" s="163" t="str">
        <f>IF(AND('Resource Planner'!$A$56="☑",7&lt;='Resource Planner'!$N$56),'Resource Planner'!$B$56,"")</f>
        <v/>
      </c>
      <c r="D2311" s="163" t="str">
        <f>IF(AND('Resource Planner'!$A$56="☑",7&lt;='Resource Planner'!$N$56),'Resource Planner'!$D$56,"")</f>
        <v/>
      </c>
      <c r="E2311" s="163" t="str">
        <f>IF(AND('Resource Planner'!$A$56="☑",7&lt;='Resource Planner'!$N$56),'Resource Planner'!$E$56,"")</f>
        <v/>
      </c>
      <c r="F2311" s="163" t="str">
        <f>IF(AND('Resource Planner'!$A$56="☑",7&lt;='Resource Planner'!$N$56),'Resource Planner'!$F$56&amp;" "&amp;('Resource Planner'!$G$56+(7-1)*'Resource Planner'!$I$56)&amp;IF(('Resource Planner'!$G$56+(7-1)*'Resource Planner'!$I$56)=MIN('Resource Planner'!$G$56+7*'Resource Planner'!$I$56-1,'Resource Planner'!$H$56),"","–"&amp;MIN('Resource Planner'!$G$56+7*'Resource Planner'!$I$56-1,'Resource Planner'!$H$56)),"")</f>
        <v/>
      </c>
      <c r="G2311" s="163" t="s">
        <v>109</v>
      </c>
      <c r="H2311" s="163" t="str">
        <f>IF(AND('Resource Planner'!$A$56="☑",7&lt;='Resource Planner'!$N$56),'Resource Planner'!$M$56,"")</f>
        <v/>
      </c>
    </row>
    <row r="2312" ht="15.75" customHeight="1">
      <c r="A23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2" s="163" t="str">
        <f>IF(AND('Resource Planner'!$A$56="☑",8&lt;='Resource Planner'!$N$56),'Resource Planner'!$C$56,"")</f>
        <v/>
      </c>
      <c r="C2312" s="163" t="str">
        <f>IF(AND('Resource Planner'!$A$56="☑",8&lt;='Resource Planner'!$N$56),'Resource Planner'!$B$56,"")</f>
        <v/>
      </c>
      <c r="D2312" s="163" t="str">
        <f>IF(AND('Resource Planner'!$A$56="☑",8&lt;='Resource Planner'!$N$56),'Resource Planner'!$D$56,"")</f>
        <v/>
      </c>
      <c r="E2312" s="163" t="str">
        <f>IF(AND('Resource Planner'!$A$56="☑",8&lt;='Resource Planner'!$N$56),'Resource Planner'!$E$56,"")</f>
        <v/>
      </c>
      <c r="F2312" s="163" t="str">
        <f>IF(AND('Resource Planner'!$A$56="☑",8&lt;='Resource Planner'!$N$56),'Resource Planner'!$F$56&amp;" "&amp;('Resource Planner'!$G$56+(8-1)*'Resource Planner'!$I$56)&amp;IF(('Resource Planner'!$G$56+(8-1)*'Resource Planner'!$I$56)=MIN('Resource Planner'!$G$56+8*'Resource Planner'!$I$56-1,'Resource Planner'!$H$56),"","–"&amp;MIN('Resource Planner'!$G$56+8*'Resource Planner'!$I$56-1,'Resource Planner'!$H$56)),"")</f>
        <v/>
      </c>
      <c r="G2312" s="163" t="s">
        <v>109</v>
      </c>
      <c r="H2312" s="163" t="str">
        <f>IF(AND('Resource Planner'!$A$56="☑",8&lt;='Resource Planner'!$N$56),'Resource Planner'!$M$56,"")</f>
        <v/>
      </c>
    </row>
    <row r="2313" ht="15.75" customHeight="1">
      <c r="A23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3" s="163" t="str">
        <f>IF(AND('Resource Planner'!$A$56="☑",9&lt;='Resource Planner'!$N$56),'Resource Planner'!$C$56,"")</f>
        <v/>
      </c>
      <c r="C2313" s="163" t="str">
        <f>IF(AND('Resource Planner'!$A$56="☑",9&lt;='Resource Planner'!$N$56),'Resource Planner'!$B$56,"")</f>
        <v/>
      </c>
      <c r="D2313" s="163" t="str">
        <f>IF(AND('Resource Planner'!$A$56="☑",9&lt;='Resource Planner'!$N$56),'Resource Planner'!$D$56,"")</f>
        <v/>
      </c>
      <c r="E2313" s="163" t="str">
        <f>IF(AND('Resource Planner'!$A$56="☑",9&lt;='Resource Planner'!$N$56),'Resource Planner'!$E$56,"")</f>
        <v/>
      </c>
      <c r="F2313" s="163" t="str">
        <f>IF(AND('Resource Planner'!$A$56="☑",9&lt;='Resource Planner'!$N$56),'Resource Planner'!$F$56&amp;" "&amp;('Resource Planner'!$G$56+(9-1)*'Resource Planner'!$I$56)&amp;IF(('Resource Planner'!$G$56+(9-1)*'Resource Planner'!$I$56)=MIN('Resource Planner'!$G$56+9*'Resource Planner'!$I$56-1,'Resource Planner'!$H$56),"","–"&amp;MIN('Resource Planner'!$G$56+9*'Resource Planner'!$I$56-1,'Resource Planner'!$H$56)),"")</f>
        <v/>
      </c>
      <c r="G2313" s="163" t="s">
        <v>109</v>
      </c>
      <c r="H2313" s="163" t="str">
        <f>IF(AND('Resource Planner'!$A$56="☑",9&lt;='Resource Planner'!$N$56),'Resource Planner'!$M$56,"")</f>
        <v/>
      </c>
    </row>
    <row r="2314" ht="15.75" customHeight="1">
      <c r="A23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4" s="163" t="str">
        <f>IF(AND('Resource Planner'!$A$56="☑",10&lt;='Resource Planner'!$N$56),'Resource Planner'!$C$56,"")</f>
        <v/>
      </c>
      <c r="C2314" s="163" t="str">
        <f>IF(AND('Resource Planner'!$A$56="☑",10&lt;='Resource Planner'!$N$56),'Resource Planner'!$B$56,"")</f>
        <v/>
      </c>
      <c r="D2314" s="163" t="str">
        <f>IF(AND('Resource Planner'!$A$56="☑",10&lt;='Resource Planner'!$N$56),'Resource Planner'!$D$56,"")</f>
        <v/>
      </c>
      <c r="E2314" s="163" t="str">
        <f>IF(AND('Resource Planner'!$A$56="☑",10&lt;='Resource Planner'!$N$56),'Resource Planner'!$E$56,"")</f>
        <v/>
      </c>
      <c r="F2314" s="163" t="str">
        <f>IF(AND('Resource Planner'!$A$56="☑",10&lt;='Resource Planner'!$N$56),'Resource Planner'!$F$56&amp;" "&amp;('Resource Planner'!$G$56+(10-1)*'Resource Planner'!$I$56)&amp;IF(('Resource Planner'!$G$56+(10-1)*'Resource Planner'!$I$56)=MIN('Resource Planner'!$G$56+10*'Resource Planner'!$I$56-1,'Resource Planner'!$H$56),"","–"&amp;MIN('Resource Planner'!$G$56+10*'Resource Planner'!$I$56-1,'Resource Planner'!$H$56)),"")</f>
        <v/>
      </c>
      <c r="G2314" s="163" t="s">
        <v>109</v>
      </c>
      <c r="H2314" s="163" t="str">
        <f>IF(AND('Resource Planner'!$A$56="☑",10&lt;='Resource Planner'!$N$56),'Resource Planner'!$M$56,"")</f>
        <v/>
      </c>
    </row>
    <row r="2315" ht="15.75" customHeight="1">
      <c r="A23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5" s="163" t="str">
        <f>IF(AND('Resource Planner'!$A$56="☑",11&lt;='Resource Planner'!$N$56),'Resource Planner'!$C$56,"")</f>
        <v/>
      </c>
      <c r="C2315" s="163" t="str">
        <f>IF(AND('Resource Planner'!$A$56="☑",11&lt;='Resource Planner'!$N$56),'Resource Planner'!$B$56,"")</f>
        <v/>
      </c>
      <c r="D2315" s="163" t="str">
        <f>IF(AND('Resource Planner'!$A$56="☑",11&lt;='Resource Planner'!$N$56),'Resource Planner'!$D$56,"")</f>
        <v/>
      </c>
      <c r="E2315" s="163" t="str">
        <f>IF(AND('Resource Planner'!$A$56="☑",11&lt;='Resource Planner'!$N$56),'Resource Planner'!$E$56,"")</f>
        <v/>
      </c>
      <c r="F2315" s="163" t="str">
        <f>IF(AND('Resource Planner'!$A$56="☑",11&lt;='Resource Planner'!$N$56),'Resource Planner'!$F$56&amp;" "&amp;('Resource Planner'!$G$56+(11-1)*'Resource Planner'!$I$56)&amp;IF(('Resource Planner'!$G$56+(11-1)*'Resource Planner'!$I$56)=MIN('Resource Planner'!$G$56+11*'Resource Planner'!$I$56-1,'Resource Planner'!$H$56),"","–"&amp;MIN('Resource Planner'!$G$56+11*'Resource Planner'!$I$56-1,'Resource Planner'!$H$56)),"")</f>
        <v/>
      </c>
      <c r="G2315" s="163" t="s">
        <v>109</v>
      </c>
      <c r="H2315" s="163" t="str">
        <f>IF(AND('Resource Planner'!$A$56="☑",11&lt;='Resource Planner'!$N$56),'Resource Planner'!$M$56,"")</f>
        <v/>
      </c>
    </row>
    <row r="2316" ht="15.75" customHeight="1">
      <c r="A23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6" s="163" t="str">
        <f>IF(AND('Resource Planner'!$A$56="☑",12&lt;='Resource Planner'!$N$56),'Resource Planner'!$C$56,"")</f>
        <v/>
      </c>
      <c r="C2316" s="163" t="str">
        <f>IF(AND('Resource Planner'!$A$56="☑",12&lt;='Resource Planner'!$N$56),'Resource Planner'!$B$56,"")</f>
        <v/>
      </c>
      <c r="D2316" s="163" t="str">
        <f>IF(AND('Resource Planner'!$A$56="☑",12&lt;='Resource Planner'!$N$56),'Resource Planner'!$D$56,"")</f>
        <v/>
      </c>
      <c r="E2316" s="163" t="str">
        <f>IF(AND('Resource Planner'!$A$56="☑",12&lt;='Resource Planner'!$N$56),'Resource Planner'!$E$56,"")</f>
        <v/>
      </c>
      <c r="F2316" s="163" t="str">
        <f>IF(AND('Resource Planner'!$A$56="☑",12&lt;='Resource Planner'!$N$56),'Resource Planner'!$F$56&amp;" "&amp;('Resource Planner'!$G$56+(12-1)*'Resource Planner'!$I$56)&amp;IF(('Resource Planner'!$G$56+(12-1)*'Resource Planner'!$I$56)=MIN('Resource Planner'!$G$56+12*'Resource Planner'!$I$56-1,'Resource Planner'!$H$56),"","–"&amp;MIN('Resource Planner'!$G$56+12*'Resource Planner'!$I$56-1,'Resource Planner'!$H$56)),"")</f>
        <v/>
      </c>
      <c r="G2316" s="163" t="s">
        <v>109</v>
      </c>
      <c r="H2316" s="163" t="str">
        <f>IF(AND('Resource Planner'!$A$56="☑",12&lt;='Resource Planner'!$N$56),'Resource Planner'!$M$56,"")</f>
        <v/>
      </c>
    </row>
    <row r="2317" ht="15.75" customHeight="1">
      <c r="A23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7" s="163" t="str">
        <f>IF(AND('Resource Planner'!$A$56="☑",13&lt;='Resource Planner'!$N$56),'Resource Planner'!$C$56,"")</f>
        <v/>
      </c>
      <c r="C2317" s="163" t="str">
        <f>IF(AND('Resource Planner'!$A$56="☑",13&lt;='Resource Planner'!$N$56),'Resource Planner'!$B$56,"")</f>
        <v/>
      </c>
      <c r="D2317" s="163" t="str">
        <f>IF(AND('Resource Planner'!$A$56="☑",13&lt;='Resource Planner'!$N$56),'Resource Planner'!$D$56,"")</f>
        <v/>
      </c>
      <c r="E2317" s="163" t="str">
        <f>IF(AND('Resource Planner'!$A$56="☑",13&lt;='Resource Planner'!$N$56),'Resource Planner'!$E$56,"")</f>
        <v/>
      </c>
      <c r="F2317" s="163" t="str">
        <f>IF(AND('Resource Planner'!$A$56="☑",13&lt;='Resource Planner'!$N$56),'Resource Planner'!$F$56&amp;" "&amp;('Resource Planner'!$G$56+(13-1)*'Resource Planner'!$I$56)&amp;IF(('Resource Planner'!$G$56+(13-1)*'Resource Planner'!$I$56)=MIN('Resource Planner'!$G$56+13*'Resource Planner'!$I$56-1,'Resource Planner'!$H$56),"","–"&amp;MIN('Resource Planner'!$G$56+13*'Resource Planner'!$I$56-1,'Resource Planner'!$H$56)),"")</f>
        <v/>
      </c>
      <c r="G2317" s="163" t="s">
        <v>109</v>
      </c>
      <c r="H2317" s="163" t="str">
        <f>IF(AND('Resource Planner'!$A$56="☑",13&lt;='Resource Planner'!$N$56),'Resource Planner'!$M$56,"")</f>
        <v/>
      </c>
    </row>
    <row r="2318" ht="15.75" customHeight="1">
      <c r="A23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8" s="163" t="str">
        <f>IF(AND('Resource Planner'!$A$56="☑",14&lt;='Resource Planner'!$N$56),'Resource Planner'!$C$56,"")</f>
        <v/>
      </c>
      <c r="C2318" s="163" t="str">
        <f>IF(AND('Resource Planner'!$A$56="☑",14&lt;='Resource Planner'!$N$56),'Resource Planner'!$B$56,"")</f>
        <v/>
      </c>
      <c r="D2318" s="163" t="str">
        <f>IF(AND('Resource Planner'!$A$56="☑",14&lt;='Resource Planner'!$N$56),'Resource Planner'!$D$56,"")</f>
        <v/>
      </c>
      <c r="E2318" s="163" t="str">
        <f>IF(AND('Resource Planner'!$A$56="☑",14&lt;='Resource Planner'!$N$56),'Resource Planner'!$E$56,"")</f>
        <v/>
      </c>
      <c r="F2318" s="163" t="str">
        <f>IF(AND('Resource Planner'!$A$56="☑",14&lt;='Resource Planner'!$N$56),'Resource Planner'!$F$56&amp;" "&amp;('Resource Planner'!$G$56+(14-1)*'Resource Planner'!$I$56)&amp;IF(('Resource Planner'!$G$56+(14-1)*'Resource Planner'!$I$56)=MIN('Resource Planner'!$G$56+14*'Resource Planner'!$I$56-1,'Resource Planner'!$H$56),"","–"&amp;MIN('Resource Planner'!$G$56+14*'Resource Planner'!$I$56-1,'Resource Planner'!$H$56)),"")</f>
        <v/>
      </c>
      <c r="G2318" s="163" t="s">
        <v>109</v>
      </c>
      <c r="H2318" s="163" t="str">
        <f>IF(AND('Resource Planner'!$A$56="☑",14&lt;='Resource Planner'!$N$56),'Resource Planner'!$M$56,"")</f>
        <v/>
      </c>
    </row>
    <row r="2319" ht="15.75" customHeight="1">
      <c r="A23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19" s="163" t="str">
        <f>IF(AND('Resource Planner'!$A$56="☑",15&lt;='Resource Planner'!$N$56),'Resource Planner'!$C$56,"")</f>
        <v/>
      </c>
      <c r="C2319" s="163" t="str">
        <f>IF(AND('Resource Planner'!$A$56="☑",15&lt;='Resource Planner'!$N$56),'Resource Planner'!$B$56,"")</f>
        <v/>
      </c>
      <c r="D2319" s="163" t="str">
        <f>IF(AND('Resource Planner'!$A$56="☑",15&lt;='Resource Planner'!$N$56),'Resource Planner'!$D$56,"")</f>
        <v/>
      </c>
      <c r="E2319" s="163" t="str">
        <f>IF(AND('Resource Planner'!$A$56="☑",15&lt;='Resource Planner'!$N$56),'Resource Planner'!$E$56,"")</f>
        <v/>
      </c>
      <c r="F2319" s="163" t="str">
        <f>IF(AND('Resource Planner'!$A$56="☑",15&lt;='Resource Planner'!$N$56),'Resource Planner'!$F$56&amp;" "&amp;('Resource Planner'!$G$56+(15-1)*'Resource Planner'!$I$56)&amp;IF(('Resource Planner'!$G$56+(15-1)*'Resource Planner'!$I$56)=MIN('Resource Planner'!$G$56+15*'Resource Planner'!$I$56-1,'Resource Planner'!$H$56),"","–"&amp;MIN('Resource Planner'!$G$56+15*'Resource Planner'!$I$56-1,'Resource Planner'!$H$56)),"")</f>
        <v/>
      </c>
      <c r="G2319" s="163" t="s">
        <v>109</v>
      </c>
      <c r="H2319" s="163" t="str">
        <f>IF(AND('Resource Planner'!$A$56="☑",15&lt;='Resource Planner'!$N$56),'Resource Planner'!$M$56,"")</f>
        <v/>
      </c>
    </row>
    <row r="2320" ht="15.75" customHeight="1">
      <c r="A23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0" s="163" t="str">
        <f>IF(AND('Resource Planner'!$A$56="☑",16&lt;='Resource Planner'!$N$56),'Resource Planner'!$C$56,"")</f>
        <v/>
      </c>
      <c r="C2320" s="163" t="str">
        <f>IF(AND('Resource Planner'!$A$56="☑",16&lt;='Resource Planner'!$N$56),'Resource Planner'!$B$56,"")</f>
        <v/>
      </c>
      <c r="D2320" s="163" t="str">
        <f>IF(AND('Resource Planner'!$A$56="☑",16&lt;='Resource Planner'!$N$56),'Resource Planner'!$D$56,"")</f>
        <v/>
      </c>
      <c r="E2320" s="163" t="str">
        <f>IF(AND('Resource Planner'!$A$56="☑",16&lt;='Resource Planner'!$N$56),'Resource Planner'!$E$56,"")</f>
        <v/>
      </c>
      <c r="F2320" s="163" t="str">
        <f>IF(AND('Resource Planner'!$A$56="☑",16&lt;='Resource Planner'!$N$56),'Resource Planner'!$F$56&amp;" "&amp;('Resource Planner'!$G$56+(16-1)*'Resource Planner'!$I$56)&amp;IF(('Resource Planner'!$G$56+(16-1)*'Resource Planner'!$I$56)=MIN('Resource Planner'!$G$56+16*'Resource Planner'!$I$56-1,'Resource Planner'!$H$56),"","–"&amp;MIN('Resource Planner'!$G$56+16*'Resource Planner'!$I$56-1,'Resource Planner'!$H$56)),"")</f>
        <v/>
      </c>
      <c r="G2320" s="163" t="s">
        <v>109</v>
      </c>
      <c r="H2320" s="163" t="str">
        <f>IF(AND('Resource Planner'!$A$56="☑",16&lt;='Resource Planner'!$N$56),'Resource Planner'!$M$56,"")</f>
        <v/>
      </c>
    </row>
    <row r="2321" ht="15.75" customHeight="1">
      <c r="A23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1" s="163" t="str">
        <f>IF(AND('Resource Planner'!$A$56="☑",17&lt;='Resource Planner'!$N$56),'Resource Planner'!$C$56,"")</f>
        <v/>
      </c>
      <c r="C2321" s="163" t="str">
        <f>IF(AND('Resource Planner'!$A$56="☑",17&lt;='Resource Planner'!$N$56),'Resource Planner'!$B$56,"")</f>
        <v/>
      </c>
      <c r="D2321" s="163" t="str">
        <f>IF(AND('Resource Planner'!$A$56="☑",17&lt;='Resource Planner'!$N$56),'Resource Planner'!$D$56,"")</f>
        <v/>
      </c>
      <c r="E2321" s="163" t="str">
        <f>IF(AND('Resource Planner'!$A$56="☑",17&lt;='Resource Planner'!$N$56),'Resource Planner'!$E$56,"")</f>
        <v/>
      </c>
      <c r="F2321" s="163" t="str">
        <f>IF(AND('Resource Planner'!$A$56="☑",17&lt;='Resource Planner'!$N$56),'Resource Planner'!$F$56&amp;" "&amp;('Resource Planner'!$G$56+(17-1)*'Resource Planner'!$I$56)&amp;IF(('Resource Planner'!$G$56+(17-1)*'Resource Planner'!$I$56)=MIN('Resource Planner'!$G$56+17*'Resource Planner'!$I$56-1,'Resource Planner'!$H$56),"","–"&amp;MIN('Resource Planner'!$G$56+17*'Resource Planner'!$I$56-1,'Resource Planner'!$H$56)),"")</f>
        <v/>
      </c>
      <c r="G2321" s="163" t="s">
        <v>109</v>
      </c>
      <c r="H2321" s="163" t="str">
        <f>IF(AND('Resource Planner'!$A$56="☑",17&lt;='Resource Planner'!$N$56),'Resource Planner'!$M$56,"")</f>
        <v/>
      </c>
    </row>
    <row r="2322" ht="15.75" customHeight="1">
      <c r="A23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2" s="163" t="str">
        <f>IF(AND('Resource Planner'!$A$56="☑",18&lt;='Resource Planner'!$N$56),'Resource Planner'!$C$56,"")</f>
        <v/>
      </c>
      <c r="C2322" s="163" t="str">
        <f>IF(AND('Resource Planner'!$A$56="☑",18&lt;='Resource Planner'!$N$56),'Resource Planner'!$B$56,"")</f>
        <v/>
      </c>
      <c r="D2322" s="163" t="str">
        <f>IF(AND('Resource Planner'!$A$56="☑",18&lt;='Resource Planner'!$N$56),'Resource Planner'!$D$56,"")</f>
        <v/>
      </c>
      <c r="E2322" s="163" t="str">
        <f>IF(AND('Resource Planner'!$A$56="☑",18&lt;='Resource Planner'!$N$56),'Resource Planner'!$E$56,"")</f>
        <v/>
      </c>
      <c r="F2322" s="163" t="str">
        <f>IF(AND('Resource Planner'!$A$56="☑",18&lt;='Resource Planner'!$N$56),'Resource Planner'!$F$56&amp;" "&amp;('Resource Planner'!$G$56+(18-1)*'Resource Planner'!$I$56)&amp;IF(('Resource Planner'!$G$56+(18-1)*'Resource Planner'!$I$56)=MIN('Resource Planner'!$G$56+18*'Resource Planner'!$I$56-1,'Resource Planner'!$H$56),"","–"&amp;MIN('Resource Planner'!$G$56+18*'Resource Planner'!$I$56-1,'Resource Planner'!$H$56)),"")</f>
        <v/>
      </c>
      <c r="G2322" s="163" t="s">
        <v>109</v>
      </c>
      <c r="H2322" s="163" t="str">
        <f>IF(AND('Resource Planner'!$A$56="☑",18&lt;='Resource Planner'!$N$56),'Resource Planner'!$M$56,"")</f>
        <v/>
      </c>
    </row>
    <row r="2323" ht="15.75" customHeight="1">
      <c r="A23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3" s="163" t="str">
        <f>IF(AND('Resource Planner'!$A$56="☑",19&lt;='Resource Planner'!$N$56),'Resource Planner'!$C$56,"")</f>
        <v/>
      </c>
      <c r="C2323" s="163" t="str">
        <f>IF(AND('Resource Planner'!$A$56="☑",19&lt;='Resource Planner'!$N$56),'Resource Planner'!$B$56,"")</f>
        <v/>
      </c>
      <c r="D2323" s="163" t="str">
        <f>IF(AND('Resource Planner'!$A$56="☑",19&lt;='Resource Planner'!$N$56),'Resource Planner'!$D$56,"")</f>
        <v/>
      </c>
      <c r="E2323" s="163" t="str">
        <f>IF(AND('Resource Planner'!$A$56="☑",19&lt;='Resource Planner'!$N$56),'Resource Planner'!$E$56,"")</f>
        <v/>
      </c>
      <c r="F2323" s="163" t="str">
        <f>IF(AND('Resource Planner'!$A$56="☑",19&lt;='Resource Planner'!$N$56),'Resource Planner'!$F$56&amp;" "&amp;('Resource Planner'!$G$56+(19-1)*'Resource Planner'!$I$56)&amp;IF(('Resource Planner'!$G$56+(19-1)*'Resource Planner'!$I$56)=MIN('Resource Planner'!$G$56+19*'Resource Planner'!$I$56-1,'Resource Planner'!$H$56),"","–"&amp;MIN('Resource Planner'!$G$56+19*'Resource Planner'!$I$56-1,'Resource Planner'!$H$56)),"")</f>
        <v/>
      </c>
      <c r="G2323" s="163" t="s">
        <v>109</v>
      </c>
      <c r="H2323" s="163" t="str">
        <f>IF(AND('Resource Planner'!$A$56="☑",19&lt;='Resource Planner'!$N$56),'Resource Planner'!$M$56,"")</f>
        <v/>
      </c>
    </row>
    <row r="2324" ht="15.75" customHeight="1">
      <c r="A23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4" s="163" t="str">
        <f>IF(AND('Resource Planner'!$A$56="☑",20&lt;='Resource Planner'!$N$56),'Resource Planner'!$C$56,"")</f>
        <v/>
      </c>
      <c r="C2324" s="163" t="str">
        <f>IF(AND('Resource Planner'!$A$56="☑",20&lt;='Resource Planner'!$N$56),'Resource Planner'!$B$56,"")</f>
        <v/>
      </c>
      <c r="D2324" s="163" t="str">
        <f>IF(AND('Resource Planner'!$A$56="☑",20&lt;='Resource Planner'!$N$56),'Resource Planner'!$D$56,"")</f>
        <v/>
      </c>
      <c r="E2324" s="163" t="str">
        <f>IF(AND('Resource Planner'!$A$56="☑",20&lt;='Resource Planner'!$N$56),'Resource Planner'!$E$56,"")</f>
        <v/>
      </c>
      <c r="F2324" s="163" t="str">
        <f>IF(AND('Resource Planner'!$A$56="☑",20&lt;='Resource Planner'!$N$56),'Resource Planner'!$F$56&amp;" "&amp;('Resource Planner'!$G$56+(20-1)*'Resource Planner'!$I$56)&amp;IF(('Resource Planner'!$G$56+(20-1)*'Resource Planner'!$I$56)=MIN('Resource Planner'!$G$56+20*'Resource Planner'!$I$56-1,'Resource Planner'!$H$56),"","–"&amp;MIN('Resource Planner'!$G$56+20*'Resource Planner'!$I$56-1,'Resource Planner'!$H$56)),"")</f>
        <v/>
      </c>
      <c r="G2324" s="163" t="s">
        <v>109</v>
      </c>
      <c r="H2324" s="163" t="str">
        <f>IF(AND('Resource Planner'!$A$56="☑",20&lt;='Resource Planner'!$N$56),'Resource Planner'!$M$56,"")</f>
        <v/>
      </c>
    </row>
    <row r="2325" ht="15.75" customHeight="1">
      <c r="A23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5" s="163" t="str">
        <f>IF(AND('Resource Planner'!$A$56="☑",21&lt;='Resource Planner'!$N$56),'Resource Planner'!$C$56,"")</f>
        <v/>
      </c>
      <c r="C2325" s="163" t="str">
        <f>IF(AND('Resource Planner'!$A$56="☑",21&lt;='Resource Planner'!$N$56),'Resource Planner'!$B$56,"")</f>
        <v/>
      </c>
      <c r="D2325" s="163" t="str">
        <f>IF(AND('Resource Planner'!$A$56="☑",21&lt;='Resource Planner'!$N$56),'Resource Planner'!$D$56,"")</f>
        <v/>
      </c>
      <c r="E2325" s="163" t="str">
        <f>IF(AND('Resource Planner'!$A$56="☑",21&lt;='Resource Planner'!$N$56),'Resource Planner'!$E$56,"")</f>
        <v/>
      </c>
      <c r="F2325" s="163" t="str">
        <f>IF(AND('Resource Planner'!$A$56="☑",21&lt;='Resource Planner'!$N$56),'Resource Planner'!$F$56&amp;" "&amp;('Resource Planner'!$G$56+(21-1)*'Resource Planner'!$I$56)&amp;IF(('Resource Planner'!$G$56+(21-1)*'Resource Planner'!$I$56)=MIN('Resource Planner'!$G$56+21*'Resource Planner'!$I$56-1,'Resource Planner'!$H$56),"","–"&amp;MIN('Resource Planner'!$G$56+21*'Resource Planner'!$I$56-1,'Resource Planner'!$H$56)),"")</f>
        <v/>
      </c>
      <c r="G2325" s="163" t="s">
        <v>109</v>
      </c>
      <c r="H2325" s="163" t="str">
        <f>IF(AND('Resource Planner'!$A$56="☑",21&lt;='Resource Planner'!$N$56),'Resource Planner'!$M$56,"")</f>
        <v/>
      </c>
    </row>
    <row r="2326" ht="15.75" customHeight="1">
      <c r="A23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6" s="163" t="str">
        <f>IF(AND('Resource Planner'!$A$56="☑",22&lt;='Resource Planner'!$N$56),'Resource Planner'!$C$56,"")</f>
        <v/>
      </c>
      <c r="C2326" s="163" t="str">
        <f>IF(AND('Resource Planner'!$A$56="☑",22&lt;='Resource Planner'!$N$56),'Resource Planner'!$B$56,"")</f>
        <v/>
      </c>
      <c r="D2326" s="163" t="str">
        <f>IF(AND('Resource Planner'!$A$56="☑",22&lt;='Resource Planner'!$N$56),'Resource Planner'!$D$56,"")</f>
        <v/>
      </c>
      <c r="E2326" s="163" t="str">
        <f>IF(AND('Resource Planner'!$A$56="☑",22&lt;='Resource Planner'!$N$56),'Resource Planner'!$E$56,"")</f>
        <v/>
      </c>
      <c r="F2326" s="163" t="str">
        <f>IF(AND('Resource Planner'!$A$56="☑",22&lt;='Resource Planner'!$N$56),'Resource Planner'!$F$56&amp;" "&amp;('Resource Planner'!$G$56+(22-1)*'Resource Planner'!$I$56)&amp;IF(('Resource Planner'!$G$56+(22-1)*'Resource Planner'!$I$56)=MIN('Resource Planner'!$G$56+22*'Resource Planner'!$I$56-1,'Resource Planner'!$H$56),"","–"&amp;MIN('Resource Planner'!$G$56+22*'Resource Planner'!$I$56-1,'Resource Planner'!$H$56)),"")</f>
        <v/>
      </c>
      <c r="G2326" s="163" t="s">
        <v>109</v>
      </c>
      <c r="H2326" s="163" t="str">
        <f>IF(AND('Resource Planner'!$A$56="☑",22&lt;='Resource Planner'!$N$56),'Resource Planner'!$M$56,"")</f>
        <v/>
      </c>
    </row>
    <row r="2327" ht="15.75" customHeight="1">
      <c r="A23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7" s="163" t="str">
        <f>IF(AND('Resource Planner'!$A$56="☑",23&lt;='Resource Planner'!$N$56),'Resource Planner'!$C$56,"")</f>
        <v/>
      </c>
      <c r="C2327" s="163" t="str">
        <f>IF(AND('Resource Planner'!$A$56="☑",23&lt;='Resource Planner'!$N$56),'Resource Planner'!$B$56,"")</f>
        <v/>
      </c>
      <c r="D2327" s="163" t="str">
        <f>IF(AND('Resource Planner'!$A$56="☑",23&lt;='Resource Planner'!$N$56),'Resource Planner'!$D$56,"")</f>
        <v/>
      </c>
      <c r="E2327" s="163" t="str">
        <f>IF(AND('Resource Planner'!$A$56="☑",23&lt;='Resource Planner'!$N$56),'Resource Planner'!$E$56,"")</f>
        <v/>
      </c>
      <c r="F2327" s="163" t="str">
        <f>IF(AND('Resource Planner'!$A$56="☑",23&lt;='Resource Planner'!$N$56),'Resource Planner'!$F$56&amp;" "&amp;('Resource Planner'!$G$56+(23-1)*'Resource Planner'!$I$56)&amp;IF(('Resource Planner'!$G$56+(23-1)*'Resource Planner'!$I$56)=MIN('Resource Planner'!$G$56+23*'Resource Planner'!$I$56-1,'Resource Planner'!$H$56),"","–"&amp;MIN('Resource Planner'!$G$56+23*'Resource Planner'!$I$56-1,'Resource Planner'!$H$56)),"")</f>
        <v/>
      </c>
      <c r="G2327" s="163" t="s">
        <v>109</v>
      </c>
      <c r="H2327" s="163" t="str">
        <f>IF(AND('Resource Planner'!$A$56="☑",23&lt;='Resource Planner'!$N$56),'Resource Planner'!$M$56,"")</f>
        <v/>
      </c>
    </row>
    <row r="2328" ht="15.75" customHeight="1">
      <c r="A23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8" s="163" t="str">
        <f>IF(AND('Resource Planner'!$A$56="☑",24&lt;='Resource Planner'!$N$56),'Resource Planner'!$C$56,"")</f>
        <v/>
      </c>
      <c r="C2328" s="163" t="str">
        <f>IF(AND('Resource Planner'!$A$56="☑",24&lt;='Resource Planner'!$N$56),'Resource Planner'!$B$56,"")</f>
        <v/>
      </c>
      <c r="D2328" s="163" t="str">
        <f>IF(AND('Resource Planner'!$A$56="☑",24&lt;='Resource Planner'!$N$56),'Resource Planner'!$D$56,"")</f>
        <v/>
      </c>
      <c r="E2328" s="163" t="str">
        <f>IF(AND('Resource Planner'!$A$56="☑",24&lt;='Resource Planner'!$N$56),'Resource Planner'!$E$56,"")</f>
        <v/>
      </c>
      <c r="F2328" s="163" t="str">
        <f>IF(AND('Resource Planner'!$A$56="☑",24&lt;='Resource Planner'!$N$56),'Resource Planner'!$F$56&amp;" "&amp;('Resource Planner'!$G$56+(24-1)*'Resource Planner'!$I$56)&amp;IF(('Resource Planner'!$G$56+(24-1)*'Resource Planner'!$I$56)=MIN('Resource Planner'!$G$56+24*'Resource Planner'!$I$56-1,'Resource Planner'!$H$56),"","–"&amp;MIN('Resource Planner'!$G$56+24*'Resource Planner'!$I$56-1,'Resource Planner'!$H$56)),"")</f>
        <v/>
      </c>
      <c r="G2328" s="163" t="s">
        <v>109</v>
      </c>
      <c r="H2328" s="163" t="str">
        <f>IF(AND('Resource Planner'!$A$56="☑",24&lt;='Resource Planner'!$N$56),'Resource Planner'!$M$56,"")</f>
        <v/>
      </c>
    </row>
    <row r="2329" ht="15.75" customHeight="1">
      <c r="A23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29" s="163" t="str">
        <f>IF(AND('Resource Planner'!$A$56="☑",25&lt;='Resource Planner'!$N$56),'Resource Planner'!$C$56,"")</f>
        <v/>
      </c>
      <c r="C2329" s="163" t="str">
        <f>IF(AND('Resource Planner'!$A$56="☑",25&lt;='Resource Planner'!$N$56),'Resource Planner'!$B$56,"")</f>
        <v/>
      </c>
      <c r="D2329" s="163" t="str">
        <f>IF(AND('Resource Planner'!$A$56="☑",25&lt;='Resource Planner'!$N$56),'Resource Planner'!$D$56,"")</f>
        <v/>
      </c>
      <c r="E2329" s="163" t="str">
        <f>IF(AND('Resource Planner'!$A$56="☑",25&lt;='Resource Planner'!$N$56),'Resource Planner'!$E$56,"")</f>
        <v/>
      </c>
      <c r="F2329" s="163" t="str">
        <f>IF(AND('Resource Planner'!$A$56="☑",25&lt;='Resource Planner'!$N$56),'Resource Planner'!$F$56&amp;" "&amp;('Resource Planner'!$G$56+(25-1)*'Resource Planner'!$I$56)&amp;IF(('Resource Planner'!$G$56+(25-1)*'Resource Planner'!$I$56)=MIN('Resource Planner'!$G$56+25*'Resource Planner'!$I$56-1,'Resource Planner'!$H$56),"","–"&amp;MIN('Resource Planner'!$G$56+25*'Resource Planner'!$I$56-1,'Resource Planner'!$H$56)),"")</f>
        <v/>
      </c>
      <c r="G2329" s="163" t="s">
        <v>109</v>
      </c>
      <c r="H2329" s="163" t="str">
        <f>IF(AND('Resource Planner'!$A$56="☑",25&lt;='Resource Planner'!$N$56),'Resource Planner'!$M$56,"")</f>
        <v/>
      </c>
    </row>
    <row r="2330" ht="15.75" customHeight="1">
      <c r="A23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0" s="163" t="str">
        <f>IF(AND('Resource Planner'!$A$56="☑",26&lt;='Resource Planner'!$N$56),'Resource Planner'!$C$56,"")</f>
        <v/>
      </c>
      <c r="C2330" s="163" t="str">
        <f>IF(AND('Resource Planner'!$A$56="☑",26&lt;='Resource Planner'!$N$56),'Resource Planner'!$B$56,"")</f>
        <v/>
      </c>
      <c r="D2330" s="163" t="str">
        <f>IF(AND('Resource Planner'!$A$56="☑",26&lt;='Resource Planner'!$N$56),'Resource Planner'!$D$56,"")</f>
        <v/>
      </c>
      <c r="E2330" s="163" t="str">
        <f>IF(AND('Resource Planner'!$A$56="☑",26&lt;='Resource Planner'!$N$56),'Resource Planner'!$E$56,"")</f>
        <v/>
      </c>
      <c r="F2330" s="163" t="str">
        <f>IF(AND('Resource Planner'!$A$56="☑",26&lt;='Resource Planner'!$N$56),'Resource Planner'!$F$56&amp;" "&amp;('Resource Planner'!$G$56+(26-1)*'Resource Planner'!$I$56)&amp;IF(('Resource Planner'!$G$56+(26-1)*'Resource Planner'!$I$56)=MIN('Resource Planner'!$G$56+26*'Resource Planner'!$I$56-1,'Resource Planner'!$H$56),"","–"&amp;MIN('Resource Planner'!$G$56+26*'Resource Planner'!$I$56-1,'Resource Planner'!$H$56)),"")</f>
        <v/>
      </c>
      <c r="G2330" s="163" t="s">
        <v>109</v>
      </c>
      <c r="H2330" s="163" t="str">
        <f>IF(AND('Resource Planner'!$A$56="☑",26&lt;='Resource Planner'!$N$56),'Resource Planner'!$M$56,"")</f>
        <v/>
      </c>
    </row>
    <row r="2331" ht="15.75" customHeight="1">
      <c r="A23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1" s="163" t="str">
        <f>IF(AND('Resource Planner'!$A$56="☑",27&lt;='Resource Planner'!$N$56),'Resource Planner'!$C$56,"")</f>
        <v/>
      </c>
      <c r="C2331" s="163" t="str">
        <f>IF(AND('Resource Planner'!$A$56="☑",27&lt;='Resource Planner'!$N$56),'Resource Planner'!$B$56,"")</f>
        <v/>
      </c>
      <c r="D2331" s="163" t="str">
        <f>IF(AND('Resource Planner'!$A$56="☑",27&lt;='Resource Planner'!$N$56),'Resource Planner'!$D$56,"")</f>
        <v/>
      </c>
      <c r="E2331" s="163" t="str">
        <f>IF(AND('Resource Planner'!$A$56="☑",27&lt;='Resource Planner'!$N$56),'Resource Planner'!$E$56,"")</f>
        <v/>
      </c>
      <c r="F2331" s="163" t="str">
        <f>IF(AND('Resource Planner'!$A$56="☑",27&lt;='Resource Planner'!$N$56),'Resource Planner'!$F$56&amp;" "&amp;('Resource Planner'!$G$56+(27-1)*'Resource Planner'!$I$56)&amp;IF(('Resource Planner'!$G$56+(27-1)*'Resource Planner'!$I$56)=MIN('Resource Planner'!$G$56+27*'Resource Planner'!$I$56-1,'Resource Planner'!$H$56),"","–"&amp;MIN('Resource Planner'!$G$56+27*'Resource Planner'!$I$56-1,'Resource Planner'!$H$56)),"")</f>
        <v/>
      </c>
      <c r="G2331" s="163" t="s">
        <v>109</v>
      </c>
      <c r="H2331" s="163" t="str">
        <f>IF(AND('Resource Planner'!$A$56="☑",27&lt;='Resource Planner'!$N$56),'Resource Planner'!$M$56,"")</f>
        <v/>
      </c>
    </row>
    <row r="2332" ht="15.75" customHeight="1">
      <c r="A23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2" s="163" t="str">
        <f>IF(AND('Resource Planner'!$A$56="☑",28&lt;='Resource Planner'!$N$56),'Resource Planner'!$C$56,"")</f>
        <v/>
      </c>
      <c r="C2332" s="163" t="str">
        <f>IF(AND('Resource Planner'!$A$56="☑",28&lt;='Resource Planner'!$N$56),'Resource Planner'!$B$56,"")</f>
        <v/>
      </c>
      <c r="D2332" s="163" t="str">
        <f>IF(AND('Resource Planner'!$A$56="☑",28&lt;='Resource Planner'!$N$56),'Resource Planner'!$D$56,"")</f>
        <v/>
      </c>
      <c r="E2332" s="163" t="str">
        <f>IF(AND('Resource Planner'!$A$56="☑",28&lt;='Resource Planner'!$N$56),'Resource Planner'!$E$56,"")</f>
        <v/>
      </c>
      <c r="F2332" s="163" t="str">
        <f>IF(AND('Resource Planner'!$A$56="☑",28&lt;='Resource Planner'!$N$56),'Resource Planner'!$F$56&amp;" "&amp;('Resource Planner'!$G$56+(28-1)*'Resource Planner'!$I$56)&amp;IF(('Resource Planner'!$G$56+(28-1)*'Resource Planner'!$I$56)=MIN('Resource Planner'!$G$56+28*'Resource Planner'!$I$56-1,'Resource Planner'!$H$56),"","–"&amp;MIN('Resource Planner'!$G$56+28*'Resource Planner'!$I$56-1,'Resource Planner'!$H$56)),"")</f>
        <v/>
      </c>
      <c r="G2332" s="163" t="s">
        <v>109</v>
      </c>
      <c r="H2332" s="163" t="str">
        <f>IF(AND('Resource Planner'!$A$56="☑",28&lt;='Resource Planner'!$N$56),'Resource Planner'!$M$56,"")</f>
        <v/>
      </c>
    </row>
    <row r="2333" ht="15.75" customHeight="1">
      <c r="A23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3" s="163" t="str">
        <f>IF(AND('Resource Planner'!$A$56="☑",29&lt;='Resource Planner'!$N$56),'Resource Planner'!$C$56,"")</f>
        <v/>
      </c>
      <c r="C2333" s="163" t="str">
        <f>IF(AND('Resource Planner'!$A$56="☑",29&lt;='Resource Planner'!$N$56),'Resource Planner'!$B$56,"")</f>
        <v/>
      </c>
      <c r="D2333" s="163" t="str">
        <f>IF(AND('Resource Planner'!$A$56="☑",29&lt;='Resource Planner'!$N$56),'Resource Planner'!$D$56,"")</f>
        <v/>
      </c>
      <c r="E2333" s="163" t="str">
        <f>IF(AND('Resource Planner'!$A$56="☑",29&lt;='Resource Planner'!$N$56),'Resource Planner'!$E$56,"")</f>
        <v/>
      </c>
      <c r="F2333" s="163" t="str">
        <f>IF(AND('Resource Planner'!$A$56="☑",29&lt;='Resource Planner'!$N$56),'Resource Planner'!$F$56&amp;" "&amp;('Resource Planner'!$G$56+(29-1)*'Resource Planner'!$I$56)&amp;IF(('Resource Planner'!$G$56+(29-1)*'Resource Planner'!$I$56)=MIN('Resource Planner'!$G$56+29*'Resource Planner'!$I$56-1,'Resource Planner'!$H$56),"","–"&amp;MIN('Resource Planner'!$G$56+29*'Resource Planner'!$I$56-1,'Resource Planner'!$H$56)),"")</f>
        <v/>
      </c>
      <c r="G2333" s="163" t="s">
        <v>109</v>
      </c>
      <c r="H2333" s="163" t="str">
        <f>IF(AND('Resource Planner'!$A$56="☑",29&lt;='Resource Planner'!$N$56),'Resource Planner'!$M$56,"")</f>
        <v/>
      </c>
    </row>
    <row r="2334" ht="15.75" customHeight="1">
      <c r="A23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4" s="163" t="str">
        <f>IF(AND('Resource Planner'!$A$56="☑",30&lt;='Resource Planner'!$N$56),'Resource Planner'!$C$56,"")</f>
        <v/>
      </c>
      <c r="C2334" s="163" t="str">
        <f>IF(AND('Resource Planner'!$A$56="☑",30&lt;='Resource Planner'!$N$56),'Resource Planner'!$B$56,"")</f>
        <v/>
      </c>
      <c r="D2334" s="163" t="str">
        <f>IF(AND('Resource Planner'!$A$56="☑",30&lt;='Resource Planner'!$N$56),'Resource Planner'!$D$56,"")</f>
        <v/>
      </c>
      <c r="E2334" s="163" t="str">
        <f>IF(AND('Resource Planner'!$A$56="☑",30&lt;='Resource Planner'!$N$56),'Resource Planner'!$E$56,"")</f>
        <v/>
      </c>
      <c r="F2334" s="163" t="str">
        <f>IF(AND('Resource Planner'!$A$56="☑",30&lt;='Resource Planner'!$N$56),'Resource Planner'!$F$56&amp;" "&amp;('Resource Planner'!$G$56+(30-1)*'Resource Planner'!$I$56)&amp;IF(('Resource Planner'!$G$56+(30-1)*'Resource Planner'!$I$56)=MIN('Resource Planner'!$G$56+30*'Resource Planner'!$I$56-1,'Resource Planner'!$H$56),"","–"&amp;MIN('Resource Planner'!$G$56+30*'Resource Planner'!$I$56-1,'Resource Planner'!$H$56)),"")</f>
        <v/>
      </c>
      <c r="G2334" s="163" t="s">
        <v>109</v>
      </c>
      <c r="H2334" s="163" t="str">
        <f>IF(AND('Resource Planner'!$A$56="☑",30&lt;='Resource Planner'!$N$56),'Resource Planner'!$M$56,"")</f>
        <v/>
      </c>
    </row>
    <row r="2335" ht="15.75" customHeight="1">
      <c r="A23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5" s="163" t="str">
        <f>IF(AND('Resource Planner'!$A$56="☑",31&lt;='Resource Planner'!$N$56),'Resource Planner'!$C$56,"")</f>
        <v/>
      </c>
      <c r="C2335" s="163" t="str">
        <f>IF(AND('Resource Planner'!$A$56="☑",31&lt;='Resource Planner'!$N$56),'Resource Planner'!$B$56,"")</f>
        <v/>
      </c>
      <c r="D2335" s="163" t="str">
        <f>IF(AND('Resource Planner'!$A$56="☑",31&lt;='Resource Planner'!$N$56),'Resource Planner'!$D$56,"")</f>
        <v/>
      </c>
      <c r="E2335" s="163" t="str">
        <f>IF(AND('Resource Planner'!$A$56="☑",31&lt;='Resource Planner'!$N$56),'Resource Planner'!$E$56,"")</f>
        <v/>
      </c>
      <c r="F2335" s="163" t="str">
        <f>IF(AND('Resource Planner'!$A$56="☑",31&lt;='Resource Planner'!$N$56),'Resource Planner'!$F$56&amp;" "&amp;('Resource Planner'!$G$56+(31-1)*'Resource Planner'!$I$56)&amp;IF(('Resource Planner'!$G$56+(31-1)*'Resource Planner'!$I$56)=MIN('Resource Planner'!$G$56+31*'Resource Planner'!$I$56-1,'Resource Planner'!$H$56),"","–"&amp;MIN('Resource Planner'!$G$56+31*'Resource Planner'!$I$56-1,'Resource Planner'!$H$56)),"")</f>
        <v/>
      </c>
      <c r="G2335" s="163" t="s">
        <v>109</v>
      </c>
      <c r="H2335" s="163" t="str">
        <f>IF(AND('Resource Planner'!$A$56="☑",31&lt;='Resource Planner'!$N$56),'Resource Planner'!$M$56,"")</f>
        <v/>
      </c>
    </row>
    <row r="2336" ht="15.75" customHeight="1">
      <c r="A23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6" s="163" t="str">
        <f>IF(AND('Resource Planner'!$A$56="☑",32&lt;='Resource Planner'!$N$56),'Resource Planner'!$C$56,"")</f>
        <v/>
      </c>
      <c r="C2336" s="163" t="str">
        <f>IF(AND('Resource Planner'!$A$56="☑",32&lt;='Resource Planner'!$N$56),'Resource Planner'!$B$56,"")</f>
        <v/>
      </c>
      <c r="D2336" s="163" t="str">
        <f>IF(AND('Resource Planner'!$A$56="☑",32&lt;='Resource Planner'!$N$56),'Resource Planner'!$D$56,"")</f>
        <v/>
      </c>
      <c r="E2336" s="163" t="str">
        <f>IF(AND('Resource Planner'!$A$56="☑",32&lt;='Resource Planner'!$N$56),'Resource Planner'!$E$56,"")</f>
        <v/>
      </c>
      <c r="F2336" s="163" t="str">
        <f>IF(AND('Resource Planner'!$A$56="☑",32&lt;='Resource Planner'!$N$56),'Resource Planner'!$F$56&amp;" "&amp;('Resource Planner'!$G$56+(32-1)*'Resource Planner'!$I$56)&amp;IF(('Resource Planner'!$G$56+(32-1)*'Resource Planner'!$I$56)=MIN('Resource Planner'!$G$56+32*'Resource Planner'!$I$56-1,'Resource Planner'!$H$56),"","–"&amp;MIN('Resource Planner'!$G$56+32*'Resource Planner'!$I$56-1,'Resource Planner'!$H$56)),"")</f>
        <v/>
      </c>
      <c r="G2336" s="163" t="s">
        <v>109</v>
      </c>
      <c r="H2336" s="163" t="str">
        <f>IF(AND('Resource Planner'!$A$56="☑",32&lt;='Resource Planner'!$N$56),'Resource Planner'!$M$56,"")</f>
        <v/>
      </c>
    </row>
    <row r="2337" ht="15.75" customHeight="1">
      <c r="A23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7" s="163" t="str">
        <f>IF(AND('Resource Planner'!$A$56="☑",33&lt;='Resource Planner'!$N$56),'Resource Planner'!$C$56,"")</f>
        <v/>
      </c>
      <c r="C2337" s="163" t="str">
        <f>IF(AND('Resource Planner'!$A$56="☑",33&lt;='Resource Planner'!$N$56),'Resource Planner'!$B$56,"")</f>
        <v/>
      </c>
      <c r="D2337" s="163" t="str">
        <f>IF(AND('Resource Planner'!$A$56="☑",33&lt;='Resource Planner'!$N$56),'Resource Planner'!$D$56,"")</f>
        <v/>
      </c>
      <c r="E2337" s="163" t="str">
        <f>IF(AND('Resource Planner'!$A$56="☑",33&lt;='Resource Planner'!$N$56),'Resource Planner'!$E$56,"")</f>
        <v/>
      </c>
      <c r="F2337" s="163" t="str">
        <f>IF(AND('Resource Planner'!$A$56="☑",33&lt;='Resource Planner'!$N$56),'Resource Planner'!$F$56&amp;" "&amp;('Resource Planner'!$G$56+(33-1)*'Resource Planner'!$I$56)&amp;IF(('Resource Planner'!$G$56+(33-1)*'Resource Planner'!$I$56)=MIN('Resource Planner'!$G$56+33*'Resource Planner'!$I$56-1,'Resource Planner'!$H$56),"","–"&amp;MIN('Resource Planner'!$G$56+33*'Resource Planner'!$I$56-1,'Resource Planner'!$H$56)),"")</f>
        <v/>
      </c>
      <c r="G2337" s="163" t="s">
        <v>109</v>
      </c>
      <c r="H2337" s="163" t="str">
        <f>IF(AND('Resource Planner'!$A$56="☑",33&lt;='Resource Planner'!$N$56),'Resource Planner'!$M$56,"")</f>
        <v/>
      </c>
    </row>
    <row r="2338" ht="15.75" customHeight="1">
      <c r="A23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8" s="163" t="str">
        <f>IF(AND('Resource Planner'!$A$56="☑",34&lt;='Resource Planner'!$N$56),'Resource Planner'!$C$56,"")</f>
        <v/>
      </c>
      <c r="C2338" s="163" t="str">
        <f>IF(AND('Resource Planner'!$A$56="☑",34&lt;='Resource Planner'!$N$56),'Resource Planner'!$B$56,"")</f>
        <v/>
      </c>
      <c r="D2338" s="163" t="str">
        <f>IF(AND('Resource Planner'!$A$56="☑",34&lt;='Resource Planner'!$N$56),'Resource Planner'!$D$56,"")</f>
        <v/>
      </c>
      <c r="E2338" s="163" t="str">
        <f>IF(AND('Resource Planner'!$A$56="☑",34&lt;='Resource Planner'!$N$56),'Resource Planner'!$E$56,"")</f>
        <v/>
      </c>
      <c r="F2338" s="163" t="str">
        <f>IF(AND('Resource Planner'!$A$56="☑",34&lt;='Resource Planner'!$N$56),'Resource Planner'!$F$56&amp;" "&amp;('Resource Planner'!$G$56+(34-1)*'Resource Planner'!$I$56)&amp;IF(('Resource Planner'!$G$56+(34-1)*'Resource Planner'!$I$56)=MIN('Resource Planner'!$G$56+34*'Resource Planner'!$I$56-1,'Resource Planner'!$H$56),"","–"&amp;MIN('Resource Planner'!$G$56+34*'Resource Planner'!$I$56-1,'Resource Planner'!$H$56)),"")</f>
        <v/>
      </c>
      <c r="G2338" s="163" t="s">
        <v>109</v>
      </c>
      <c r="H2338" s="163" t="str">
        <f>IF(AND('Resource Planner'!$A$56="☑",34&lt;='Resource Planner'!$N$56),'Resource Planner'!$M$56,"")</f>
        <v/>
      </c>
    </row>
    <row r="2339" ht="15.75" customHeight="1">
      <c r="A23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39" s="163" t="str">
        <f>IF(AND('Resource Planner'!$A$56="☑",35&lt;='Resource Planner'!$N$56),'Resource Planner'!$C$56,"")</f>
        <v/>
      </c>
      <c r="C2339" s="163" t="str">
        <f>IF(AND('Resource Planner'!$A$56="☑",35&lt;='Resource Planner'!$N$56),'Resource Planner'!$B$56,"")</f>
        <v/>
      </c>
      <c r="D2339" s="163" t="str">
        <f>IF(AND('Resource Planner'!$A$56="☑",35&lt;='Resource Planner'!$N$56),'Resource Planner'!$D$56,"")</f>
        <v/>
      </c>
      <c r="E2339" s="163" t="str">
        <f>IF(AND('Resource Planner'!$A$56="☑",35&lt;='Resource Planner'!$N$56),'Resource Planner'!$E$56,"")</f>
        <v/>
      </c>
      <c r="F2339" s="163" t="str">
        <f>IF(AND('Resource Planner'!$A$56="☑",35&lt;='Resource Planner'!$N$56),'Resource Planner'!$F$56&amp;" "&amp;('Resource Planner'!$G$56+(35-1)*'Resource Planner'!$I$56)&amp;IF(('Resource Planner'!$G$56+(35-1)*'Resource Planner'!$I$56)=MIN('Resource Planner'!$G$56+35*'Resource Planner'!$I$56-1,'Resource Planner'!$H$56),"","–"&amp;MIN('Resource Planner'!$G$56+35*'Resource Planner'!$I$56-1,'Resource Planner'!$H$56)),"")</f>
        <v/>
      </c>
      <c r="G2339" s="163" t="s">
        <v>109</v>
      </c>
      <c r="H2339" s="163" t="str">
        <f>IF(AND('Resource Planner'!$A$56="☑",35&lt;='Resource Planner'!$N$56),'Resource Planner'!$M$56,"")</f>
        <v/>
      </c>
    </row>
    <row r="2340" ht="15.75" customHeight="1">
      <c r="A23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0" s="163" t="str">
        <f>IF(AND('Resource Planner'!$A$56="☑",36&lt;='Resource Planner'!$N$56),'Resource Planner'!$C$56,"")</f>
        <v/>
      </c>
      <c r="C2340" s="163" t="str">
        <f>IF(AND('Resource Planner'!$A$56="☑",36&lt;='Resource Planner'!$N$56),'Resource Planner'!$B$56,"")</f>
        <v/>
      </c>
      <c r="D2340" s="163" t="str">
        <f>IF(AND('Resource Planner'!$A$56="☑",36&lt;='Resource Planner'!$N$56),'Resource Planner'!$D$56,"")</f>
        <v/>
      </c>
      <c r="E2340" s="163" t="str">
        <f>IF(AND('Resource Planner'!$A$56="☑",36&lt;='Resource Planner'!$N$56),'Resource Planner'!$E$56,"")</f>
        <v/>
      </c>
      <c r="F2340" s="163" t="str">
        <f>IF(AND('Resource Planner'!$A$56="☑",36&lt;='Resource Planner'!$N$56),'Resource Planner'!$F$56&amp;" "&amp;('Resource Planner'!$G$56+(36-1)*'Resource Planner'!$I$56)&amp;IF(('Resource Planner'!$G$56+(36-1)*'Resource Planner'!$I$56)=MIN('Resource Planner'!$G$56+36*'Resource Planner'!$I$56-1,'Resource Planner'!$H$56),"","–"&amp;MIN('Resource Planner'!$G$56+36*'Resource Planner'!$I$56-1,'Resource Planner'!$H$56)),"")</f>
        <v/>
      </c>
      <c r="G2340" s="163" t="s">
        <v>109</v>
      </c>
      <c r="H2340" s="163" t="str">
        <f>IF(AND('Resource Planner'!$A$56="☑",36&lt;='Resource Planner'!$N$56),'Resource Planner'!$M$56,"")</f>
        <v/>
      </c>
    </row>
    <row r="2341" ht="15.75" customHeight="1">
      <c r="A23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1" s="163" t="str">
        <f>IF(AND('Resource Planner'!$A$56="☑",37&lt;='Resource Planner'!$N$56),'Resource Planner'!$C$56,"")</f>
        <v/>
      </c>
      <c r="C2341" s="163" t="str">
        <f>IF(AND('Resource Planner'!$A$56="☑",37&lt;='Resource Planner'!$N$56),'Resource Planner'!$B$56,"")</f>
        <v/>
      </c>
      <c r="D2341" s="163" t="str">
        <f>IF(AND('Resource Planner'!$A$56="☑",37&lt;='Resource Planner'!$N$56),'Resource Planner'!$D$56,"")</f>
        <v/>
      </c>
      <c r="E2341" s="163" t="str">
        <f>IF(AND('Resource Planner'!$A$56="☑",37&lt;='Resource Planner'!$N$56),'Resource Planner'!$E$56,"")</f>
        <v/>
      </c>
      <c r="F2341" s="163" t="str">
        <f>IF(AND('Resource Planner'!$A$56="☑",37&lt;='Resource Planner'!$N$56),'Resource Planner'!$F$56&amp;" "&amp;('Resource Planner'!$G$56+(37-1)*'Resource Planner'!$I$56)&amp;IF(('Resource Planner'!$G$56+(37-1)*'Resource Planner'!$I$56)=MIN('Resource Planner'!$G$56+37*'Resource Planner'!$I$56-1,'Resource Planner'!$H$56),"","–"&amp;MIN('Resource Planner'!$G$56+37*'Resource Planner'!$I$56-1,'Resource Planner'!$H$56)),"")</f>
        <v/>
      </c>
      <c r="G2341" s="163" t="s">
        <v>109</v>
      </c>
      <c r="H2341" s="163" t="str">
        <f>IF(AND('Resource Planner'!$A$56="☑",37&lt;='Resource Planner'!$N$56),'Resource Planner'!$M$56,"")</f>
        <v/>
      </c>
    </row>
    <row r="2342" ht="15.75" customHeight="1">
      <c r="A23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2" s="163" t="str">
        <f>IF(AND('Resource Planner'!$A$56="☑",38&lt;='Resource Planner'!$N$56),'Resource Planner'!$C$56,"")</f>
        <v/>
      </c>
      <c r="C2342" s="163" t="str">
        <f>IF(AND('Resource Planner'!$A$56="☑",38&lt;='Resource Planner'!$N$56),'Resource Planner'!$B$56,"")</f>
        <v/>
      </c>
      <c r="D2342" s="163" t="str">
        <f>IF(AND('Resource Planner'!$A$56="☑",38&lt;='Resource Planner'!$N$56),'Resource Planner'!$D$56,"")</f>
        <v/>
      </c>
      <c r="E2342" s="163" t="str">
        <f>IF(AND('Resource Planner'!$A$56="☑",38&lt;='Resource Planner'!$N$56),'Resource Planner'!$E$56,"")</f>
        <v/>
      </c>
      <c r="F2342" s="163" t="str">
        <f>IF(AND('Resource Planner'!$A$56="☑",38&lt;='Resource Planner'!$N$56),'Resource Planner'!$F$56&amp;" "&amp;('Resource Planner'!$G$56+(38-1)*'Resource Planner'!$I$56)&amp;IF(('Resource Planner'!$G$56+(38-1)*'Resource Planner'!$I$56)=MIN('Resource Planner'!$G$56+38*'Resource Planner'!$I$56-1,'Resource Planner'!$H$56),"","–"&amp;MIN('Resource Planner'!$G$56+38*'Resource Planner'!$I$56-1,'Resource Planner'!$H$56)),"")</f>
        <v/>
      </c>
      <c r="G2342" s="163" t="s">
        <v>109</v>
      </c>
      <c r="H2342" s="163" t="str">
        <f>IF(AND('Resource Planner'!$A$56="☑",38&lt;='Resource Planner'!$N$56),'Resource Planner'!$M$56,"")</f>
        <v/>
      </c>
    </row>
    <row r="2343" ht="15.75" customHeight="1">
      <c r="A23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3" s="163" t="str">
        <f>IF(AND('Resource Planner'!$A$56="☑",39&lt;='Resource Planner'!$N$56),'Resource Planner'!$C$56,"")</f>
        <v/>
      </c>
      <c r="C2343" s="163" t="str">
        <f>IF(AND('Resource Planner'!$A$56="☑",39&lt;='Resource Planner'!$N$56),'Resource Planner'!$B$56,"")</f>
        <v/>
      </c>
      <c r="D2343" s="163" t="str">
        <f>IF(AND('Resource Planner'!$A$56="☑",39&lt;='Resource Planner'!$N$56),'Resource Planner'!$D$56,"")</f>
        <v/>
      </c>
      <c r="E2343" s="163" t="str">
        <f>IF(AND('Resource Planner'!$A$56="☑",39&lt;='Resource Planner'!$N$56),'Resource Planner'!$E$56,"")</f>
        <v/>
      </c>
      <c r="F2343" s="163" t="str">
        <f>IF(AND('Resource Planner'!$A$56="☑",39&lt;='Resource Planner'!$N$56),'Resource Planner'!$F$56&amp;" "&amp;('Resource Planner'!$G$56+(39-1)*'Resource Planner'!$I$56)&amp;IF(('Resource Planner'!$G$56+(39-1)*'Resource Planner'!$I$56)=MIN('Resource Planner'!$G$56+39*'Resource Planner'!$I$56-1,'Resource Planner'!$H$56),"","–"&amp;MIN('Resource Planner'!$G$56+39*'Resource Planner'!$I$56-1,'Resource Planner'!$H$56)),"")</f>
        <v/>
      </c>
      <c r="G2343" s="163" t="s">
        <v>109</v>
      </c>
      <c r="H2343" s="163" t="str">
        <f>IF(AND('Resource Planner'!$A$56="☑",39&lt;='Resource Planner'!$N$56),'Resource Planner'!$M$56,"")</f>
        <v/>
      </c>
    </row>
    <row r="2344" ht="15.75" customHeight="1">
      <c r="A23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4" s="163" t="str">
        <f>IF(AND('Resource Planner'!$A$56="☑",40&lt;='Resource Planner'!$N$56),'Resource Planner'!$C$56,"")</f>
        <v/>
      </c>
      <c r="C2344" s="163" t="str">
        <f>IF(AND('Resource Planner'!$A$56="☑",40&lt;='Resource Planner'!$N$56),'Resource Planner'!$B$56,"")</f>
        <v/>
      </c>
      <c r="D2344" s="163" t="str">
        <f>IF(AND('Resource Planner'!$A$56="☑",40&lt;='Resource Planner'!$N$56),'Resource Planner'!$D$56,"")</f>
        <v/>
      </c>
      <c r="E2344" s="163" t="str">
        <f>IF(AND('Resource Planner'!$A$56="☑",40&lt;='Resource Planner'!$N$56),'Resource Planner'!$E$56,"")</f>
        <v/>
      </c>
      <c r="F2344" s="163" t="str">
        <f>IF(AND('Resource Planner'!$A$56="☑",40&lt;='Resource Planner'!$N$56),'Resource Planner'!$F$56&amp;" "&amp;('Resource Planner'!$G$56+(40-1)*'Resource Planner'!$I$56)&amp;IF(('Resource Planner'!$G$56+(40-1)*'Resource Planner'!$I$56)=MIN('Resource Planner'!$G$56+40*'Resource Planner'!$I$56-1,'Resource Planner'!$H$56),"","–"&amp;MIN('Resource Planner'!$G$56+40*'Resource Planner'!$I$56-1,'Resource Planner'!$H$56)),"")</f>
        <v/>
      </c>
      <c r="G2344" s="163" t="s">
        <v>109</v>
      </c>
      <c r="H2344" s="163" t="str">
        <f>IF(AND('Resource Planner'!$A$56="☑",40&lt;='Resource Planner'!$N$56),'Resource Planner'!$M$56,"")</f>
        <v/>
      </c>
    </row>
    <row r="2345" ht="15.75" customHeight="1">
      <c r="A23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5" s="163" t="str">
        <f>IF(AND('Resource Planner'!$A$56="☑",41&lt;='Resource Planner'!$N$56),'Resource Planner'!$C$56,"")</f>
        <v/>
      </c>
      <c r="C2345" s="163" t="str">
        <f>IF(AND('Resource Planner'!$A$56="☑",41&lt;='Resource Planner'!$N$56),'Resource Planner'!$B$56,"")</f>
        <v/>
      </c>
      <c r="D2345" s="163" t="str">
        <f>IF(AND('Resource Planner'!$A$56="☑",41&lt;='Resource Planner'!$N$56),'Resource Planner'!$D$56,"")</f>
        <v/>
      </c>
      <c r="E2345" s="163" t="str">
        <f>IF(AND('Resource Planner'!$A$56="☑",41&lt;='Resource Planner'!$N$56),'Resource Planner'!$E$56,"")</f>
        <v/>
      </c>
      <c r="F2345" s="163" t="str">
        <f>IF(AND('Resource Planner'!$A$56="☑",41&lt;='Resource Planner'!$N$56),'Resource Planner'!$F$56&amp;" "&amp;('Resource Planner'!$G$56+(41-1)*'Resource Planner'!$I$56)&amp;IF(('Resource Planner'!$G$56+(41-1)*'Resource Planner'!$I$56)=MIN('Resource Planner'!$G$56+41*'Resource Planner'!$I$56-1,'Resource Planner'!$H$56),"","–"&amp;MIN('Resource Planner'!$G$56+41*'Resource Planner'!$I$56-1,'Resource Planner'!$H$56)),"")</f>
        <v/>
      </c>
      <c r="G2345" s="163" t="s">
        <v>109</v>
      </c>
      <c r="H2345" s="163" t="str">
        <f>IF(AND('Resource Planner'!$A$56="☑",41&lt;='Resource Planner'!$N$56),'Resource Planner'!$M$56,"")</f>
        <v/>
      </c>
    </row>
    <row r="2346" ht="15.75" customHeight="1">
      <c r="A23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6" s="163" t="str">
        <f>IF(AND('Resource Planner'!$A$56="☑",42&lt;='Resource Planner'!$N$56),'Resource Planner'!$C$56,"")</f>
        <v/>
      </c>
      <c r="C2346" s="163" t="str">
        <f>IF(AND('Resource Planner'!$A$56="☑",42&lt;='Resource Planner'!$N$56),'Resource Planner'!$B$56,"")</f>
        <v/>
      </c>
      <c r="D2346" s="163" t="str">
        <f>IF(AND('Resource Planner'!$A$56="☑",42&lt;='Resource Planner'!$N$56),'Resource Planner'!$D$56,"")</f>
        <v/>
      </c>
      <c r="E2346" s="163" t="str">
        <f>IF(AND('Resource Planner'!$A$56="☑",42&lt;='Resource Planner'!$N$56),'Resource Planner'!$E$56,"")</f>
        <v/>
      </c>
      <c r="F2346" s="163" t="str">
        <f>IF(AND('Resource Planner'!$A$56="☑",42&lt;='Resource Planner'!$N$56),'Resource Planner'!$F$56&amp;" "&amp;('Resource Planner'!$G$56+(42-1)*'Resource Planner'!$I$56)&amp;IF(('Resource Planner'!$G$56+(42-1)*'Resource Planner'!$I$56)=MIN('Resource Planner'!$G$56+42*'Resource Planner'!$I$56-1,'Resource Planner'!$H$56),"","–"&amp;MIN('Resource Planner'!$G$56+42*'Resource Planner'!$I$56-1,'Resource Planner'!$H$56)),"")</f>
        <v/>
      </c>
      <c r="G2346" s="163" t="s">
        <v>109</v>
      </c>
      <c r="H2346" s="163" t="str">
        <f>IF(AND('Resource Planner'!$A$56="☑",42&lt;='Resource Planner'!$N$56),'Resource Planner'!$M$56,"")</f>
        <v/>
      </c>
    </row>
    <row r="2347" ht="15.75" customHeight="1">
      <c r="A23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7" s="163" t="str">
        <f>IF(AND('Resource Planner'!$A$56="☑",43&lt;='Resource Planner'!$N$56),'Resource Planner'!$C$56,"")</f>
        <v/>
      </c>
      <c r="C2347" s="163" t="str">
        <f>IF(AND('Resource Planner'!$A$56="☑",43&lt;='Resource Planner'!$N$56),'Resource Planner'!$B$56,"")</f>
        <v/>
      </c>
      <c r="D2347" s="163" t="str">
        <f>IF(AND('Resource Planner'!$A$56="☑",43&lt;='Resource Planner'!$N$56),'Resource Planner'!$D$56,"")</f>
        <v/>
      </c>
      <c r="E2347" s="163" t="str">
        <f>IF(AND('Resource Planner'!$A$56="☑",43&lt;='Resource Planner'!$N$56),'Resource Planner'!$E$56,"")</f>
        <v/>
      </c>
      <c r="F2347" s="163" t="str">
        <f>IF(AND('Resource Planner'!$A$56="☑",43&lt;='Resource Planner'!$N$56),'Resource Planner'!$F$56&amp;" "&amp;('Resource Planner'!$G$56+(43-1)*'Resource Planner'!$I$56)&amp;IF(('Resource Planner'!$G$56+(43-1)*'Resource Planner'!$I$56)=MIN('Resource Planner'!$G$56+43*'Resource Planner'!$I$56-1,'Resource Planner'!$H$56),"","–"&amp;MIN('Resource Planner'!$G$56+43*'Resource Planner'!$I$56-1,'Resource Planner'!$H$56)),"")</f>
        <v/>
      </c>
      <c r="G2347" s="163" t="s">
        <v>109</v>
      </c>
      <c r="H2347" s="163" t="str">
        <f>IF(AND('Resource Planner'!$A$56="☑",43&lt;='Resource Planner'!$N$56),'Resource Planner'!$M$56,"")</f>
        <v/>
      </c>
    </row>
    <row r="2348" ht="15.75" customHeight="1">
      <c r="A23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8" s="163" t="str">
        <f>IF(AND('Resource Planner'!$A$56="☑",44&lt;='Resource Planner'!$N$56),'Resource Planner'!$C$56,"")</f>
        <v/>
      </c>
      <c r="C2348" s="163" t="str">
        <f>IF(AND('Resource Planner'!$A$56="☑",44&lt;='Resource Planner'!$N$56),'Resource Planner'!$B$56,"")</f>
        <v/>
      </c>
      <c r="D2348" s="163" t="str">
        <f>IF(AND('Resource Planner'!$A$56="☑",44&lt;='Resource Planner'!$N$56),'Resource Planner'!$D$56,"")</f>
        <v/>
      </c>
      <c r="E2348" s="163" t="str">
        <f>IF(AND('Resource Planner'!$A$56="☑",44&lt;='Resource Planner'!$N$56),'Resource Planner'!$E$56,"")</f>
        <v/>
      </c>
      <c r="F2348" s="163" t="str">
        <f>IF(AND('Resource Planner'!$A$56="☑",44&lt;='Resource Planner'!$N$56),'Resource Planner'!$F$56&amp;" "&amp;('Resource Planner'!$G$56+(44-1)*'Resource Planner'!$I$56)&amp;IF(('Resource Planner'!$G$56+(44-1)*'Resource Planner'!$I$56)=MIN('Resource Planner'!$G$56+44*'Resource Planner'!$I$56-1,'Resource Planner'!$H$56),"","–"&amp;MIN('Resource Planner'!$G$56+44*'Resource Planner'!$I$56-1,'Resource Planner'!$H$56)),"")</f>
        <v/>
      </c>
      <c r="G2348" s="163" t="s">
        <v>109</v>
      </c>
      <c r="H2348" s="163" t="str">
        <f>IF(AND('Resource Planner'!$A$56="☑",44&lt;='Resource Planner'!$N$56),'Resource Planner'!$M$56,"")</f>
        <v/>
      </c>
    </row>
    <row r="2349" ht="15.75" customHeight="1">
      <c r="A23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49" s="163" t="str">
        <f>IF(AND('Resource Planner'!$A$56="☑",45&lt;='Resource Planner'!$N$56),'Resource Planner'!$C$56,"")</f>
        <v/>
      </c>
      <c r="C2349" s="163" t="str">
        <f>IF(AND('Resource Planner'!$A$56="☑",45&lt;='Resource Planner'!$N$56),'Resource Planner'!$B$56,"")</f>
        <v/>
      </c>
      <c r="D2349" s="163" t="str">
        <f>IF(AND('Resource Planner'!$A$56="☑",45&lt;='Resource Planner'!$N$56),'Resource Planner'!$D$56,"")</f>
        <v/>
      </c>
      <c r="E2349" s="163" t="str">
        <f>IF(AND('Resource Planner'!$A$56="☑",45&lt;='Resource Planner'!$N$56),'Resource Planner'!$E$56,"")</f>
        <v/>
      </c>
      <c r="F2349" s="163" t="str">
        <f>IF(AND('Resource Planner'!$A$56="☑",45&lt;='Resource Planner'!$N$56),'Resource Planner'!$F$56&amp;" "&amp;('Resource Planner'!$G$56+(45-1)*'Resource Planner'!$I$56)&amp;IF(('Resource Planner'!$G$56+(45-1)*'Resource Planner'!$I$56)=MIN('Resource Planner'!$G$56+45*'Resource Planner'!$I$56-1,'Resource Planner'!$H$56),"","–"&amp;MIN('Resource Planner'!$G$56+45*'Resource Planner'!$I$56-1,'Resource Planner'!$H$56)),"")</f>
        <v/>
      </c>
      <c r="G2349" s="163" t="s">
        <v>109</v>
      </c>
      <c r="H2349" s="163" t="str">
        <f>IF(AND('Resource Planner'!$A$56="☑",45&lt;='Resource Planner'!$N$56),'Resource Planner'!$M$56,"")</f>
        <v/>
      </c>
    </row>
    <row r="2350" ht="15.75" customHeight="1">
      <c r="A23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0" s="163" t="str">
        <f>IF(AND('Resource Planner'!$A$56="☑",46&lt;='Resource Planner'!$N$56),'Resource Planner'!$C$56,"")</f>
        <v/>
      </c>
      <c r="C2350" s="163" t="str">
        <f>IF(AND('Resource Planner'!$A$56="☑",46&lt;='Resource Planner'!$N$56),'Resource Planner'!$B$56,"")</f>
        <v/>
      </c>
      <c r="D2350" s="163" t="str">
        <f>IF(AND('Resource Planner'!$A$56="☑",46&lt;='Resource Planner'!$N$56),'Resource Planner'!$D$56,"")</f>
        <v/>
      </c>
      <c r="E2350" s="163" t="str">
        <f>IF(AND('Resource Planner'!$A$56="☑",46&lt;='Resource Planner'!$N$56),'Resource Planner'!$E$56,"")</f>
        <v/>
      </c>
      <c r="F2350" s="163" t="str">
        <f>IF(AND('Resource Planner'!$A$56="☑",46&lt;='Resource Planner'!$N$56),'Resource Planner'!$F$56&amp;" "&amp;('Resource Planner'!$G$56+(46-1)*'Resource Planner'!$I$56)&amp;IF(('Resource Planner'!$G$56+(46-1)*'Resource Planner'!$I$56)=MIN('Resource Planner'!$G$56+46*'Resource Planner'!$I$56-1,'Resource Planner'!$H$56),"","–"&amp;MIN('Resource Planner'!$G$56+46*'Resource Planner'!$I$56-1,'Resource Planner'!$H$56)),"")</f>
        <v/>
      </c>
      <c r="G2350" s="163" t="s">
        <v>109</v>
      </c>
      <c r="H2350" s="163" t="str">
        <f>IF(AND('Resource Planner'!$A$56="☑",46&lt;='Resource Planner'!$N$56),'Resource Planner'!$M$56,"")</f>
        <v/>
      </c>
    </row>
    <row r="2351" ht="15.75" customHeight="1">
      <c r="A23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1" s="163" t="str">
        <f>IF(AND('Resource Planner'!$A$56="☑",47&lt;='Resource Planner'!$N$56),'Resource Planner'!$C$56,"")</f>
        <v/>
      </c>
      <c r="C2351" s="163" t="str">
        <f>IF(AND('Resource Planner'!$A$56="☑",47&lt;='Resource Planner'!$N$56),'Resource Planner'!$B$56,"")</f>
        <v/>
      </c>
      <c r="D2351" s="163" t="str">
        <f>IF(AND('Resource Planner'!$A$56="☑",47&lt;='Resource Planner'!$N$56),'Resource Planner'!$D$56,"")</f>
        <v/>
      </c>
      <c r="E2351" s="163" t="str">
        <f>IF(AND('Resource Planner'!$A$56="☑",47&lt;='Resource Planner'!$N$56),'Resource Planner'!$E$56,"")</f>
        <v/>
      </c>
      <c r="F2351" s="163" t="str">
        <f>IF(AND('Resource Planner'!$A$56="☑",47&lt;='Resource Planner'!$N$56),'Resource Planner'!$F$56&amp;" "&amp;('Resource Planner'!$G$56+(47-1)*'Resource Planner'!$I$56)&amp;IF(('Resource Planner'!$G$56+(47-1)*'Resource Planner'!$I$56)=MIN('Resource Planner'!$G$56+47*'Resource Planner'!$I$56-1,'Resource Planner'!$H$56),"","–"&amp;MIN('Resource Planner'!$G$56+47*'Resource Planner'!$I$56-1,'Resource Planner'!$H$56)),"")</f>
        <v/>
      </c>
      <c r="G2351" s="163" t="s">
        <v>109</v>
      </c>
      <c r="H2351" s="163" t="str">
        <f>IF(AND('Resource Planner'!$A$56="☑",47&lt;='Resource Planner'!$N$56),'Resource Planner'!$M$56,"")</f>
        <v/>
      </c>
    </row>
    <row r="2352" ht="15.75" customHeight="1">
      <c r="A23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2" s="163" t="str">
        <f>IF(AND('Resource Planner'!$A$56="☑",48&lt;='Resource Planner'!$N$56),'Resource Planner'!$C$56,"")</f>
        <v/>
      </c>
      <c r="C2352" s="163" t="str">
        <f>IF(AND('Resource Planner'!$A$56="☑",48&lt;='Resource Planner'!$N$56),'Resource Planner'!$B$56,"")</f>
        <v/>
      </c>
      <c r="D2352" s="163" t="str">
        <f>IF(AND('Resource Planner'!$A$56="☑",48&lt;='Resource Planner'!$N$56),'Resource Planner'!$D$56,"")</f>
        <v/>
      </c>
      <c r="E2352" s="163" t="str">
        <f>IF(AND('Resource Planner'!$A$56="☑",48&lt;='Resource Planner'!$N$56),'Resource Planner'!$E$56,"")</f>
        <v/>
      </c>
      <c r="F2352" s="163" t="str">
        <f>IF(AND('Resource Planner'!$A$56="☑",48&lt;='Resource Planner'!$N$56),'Resource Planner'!$F$56&amp;" "&amp;('Resource Planner'!$G$56+(48-1)*'Resource Planner'!$I$56)&amp;IF(('Resource Planner'!$G$56+(48-1)*'Resource Planner'!$I$56)=MIN('Resource Planner'!$G$56+48*'Resource Planner'!$I$56-1,'Resource Planner'!$H$56),"","–"&amp;MIN('Resource Planner'!$G$56+48*'Resource Planner'!$I$56-1,'Resource Planner'!$H$56)),"")</f>
        <v/>
      </c>
      <c r="G2352" s="163" t="s">
        <v>109</v>
      </c>
      <c r="H2352" s="163" t="str">
        <f>IF(AND('Resource Planner'!$A$56="☑",48&lt;='Resource Planner'!$N$56),'Resource Planner'!$M$56,"")</f>
        <v/>
      </c>
    </row>
    <row r="2353" ht="15.75" customHeight="1">
      <c r="A23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3" s="163" t="str">
        <f>IF(AND('Resource Planner'!$A$56="☑",49&lt;='Resource Planner'!$N$56),'Resource Planner'!$C$56,"")</f>
        <v/>
      </c>
      <c r="C2353" s="163" t="str">
        <f>IF(AND('Resource Planner'!$A$56="☑",49&lt;='Resource Planner'!$N$56),'Resource Planner'!$B$56,"")</f>
        <v/>
      </c>
      <c r="D2353" s="163" t="str">
        <f>IF(AND('Resource Planner'!$A$56="☑",49&lt;='Resource Planner'!$N$56),'Resource Planner'!$D$56,"")</f>
        <v/>
      </c>
      <c r="E2353" s="163" t="str">
        <f>IF(AND('Resource Planner'!$A$56="☑",49&lt;='Resource Planner'!$N$56),'Resource Planner'!$E$56,"")</f>
        <v/>
      </c>
      <c r="F2353" s="163" t="str">
        <f>IF(AND('Resource Planner'!$A$56="☑",49&lt;='Resource Planner'!$N$56),'Resource Planner'!$F$56&amp;" "&amp;('Resource Planner'!$G$56+(49-1)*'Resource Planner'!$I$56)&amp;IF(('Resource Planner'!$G$56+(49-1)*'Resource Planner'!$I$56)=MIN('Resource Planner'!$G$56+49*'Resource Planner'!$I$56-1,'Resource Planner'!$H$56),"","–"&amp;MIN('Resource Planner'!$G$56+49*'Resource Planner'!$I$56-1,'Resource Planner'!$H$56)),"")</f>
        <v/>
      </c>
      <c r="G2353" s="163" t="s">
        <v>109</v>
      </c>
      <c r="H2353" s="163" t="str">
        <f>IF(AND('Resource Planner'!$A$56="☑",49&lt;='Resource Planner'!$N$56),'Resource Planner'!$M$56,"")</f>
        <v/>
      </c>
    </row>
    <row r="2354" ht="15.75" customHeight="1">
      <c r="A23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4" s="163" t="str">
        <f>IF(AND('Resource Planner'!$A$56="☑",50&lt;='Resource Planner'!$N$56),'Resource Planner'!$C$56,"")</f>
        <v/>
      </c>
      <c r="C2354" s="163" t="str">
        <f>IF(AND('Resource Planner'!$A$56="☑",50&lt;='Resource Planner'!$N$56),'Resource Planner'!$B$56,"")</f>
        <v/>
      </c>
      <c r="D2354" s="163" t="str">
        <f>IF(AND('Resource Planner'!$A$56="☑",50&lt;='Resource Planner'!$N$56),'Resource Planner'!$D$56,"")</f>
        <v/>
      </c>
      <c r="E2354" s="163" t="str">
        <f>IF(AND('Resource Planner'!$A$56="☑",50&lt;='Resource Planner'!$N$56),'Resource Planner'!$E$56,"")</f>
        <v/>
      </c>
      <c r="F2354" s="163" t="str">
        <f>IF(AND('Resource Planner'!$A$56="☑",50&lt;='Resource Planner'!$N$56),'Resource Planner'!$F$56&amp;" "&amp;('Resource Planner'!$G$56+(50-1)*'Resource Planner'!$I$56)&amp;IF(('Resource Planner'!$G$56+(50-1)*'Resource Planner'!$I$56)=MIN('Resource Planner'!$G$56+50*'Resource Planner'!$I$56-1,'Resource Planner'!$H$56),"","–"&amp;MIN('Resource Planner'!$G$56+50*'Resource Planner'!$I$56-1,'Resource Planner'!$H$56)),"")</f>
        <v/>
      </c>
      <c r="G2354" s="163" t="s">
        <v>109</v>
      </c>
      <c r="H2354" s="163" t="str">
        <f>IF(AND('Resource Planner'!$A$56="☑",50&lt;='Resource Planner'!$N$56),'Resource Planner'!$M$56,"")</f>
        <v/>
      </c>
    </row>
    <row r="2355" ht="15.75" customHeight="1">
      <c r="A23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5" s="163" t="str">
        <f>IF(AND('Resource Planner'!$A$57="☑",1&lt;='Resource Planner'!$N$57),'Resource Planner'!$C$57,"")</f>
        <v/>
      </c>
      <c r="C2355" s="163" t="str">
        <f>IF(AND('Resource Planner'!$A$57="☑",1&lt;='Resource Planner'!$N$57),'Resource Planner'!$B$57,"")</f>
        <v/>
      </c>
      <c r="D2355" s="163" t="str">
        <f>IF(AND('Resource Planner'!$A$57="☑",1&lt;='Resource Planner'!$N$57),'Resource Planner'!$D$57,"")</f>
        <v/>
      </c>
      <c r="E2355" s="163" t="str">
        <f>IF(AND('Resource Planner'!$A$57="☑",1&lt;='Resource Planner'!$N$57),'Resource Planner'!$E$57,"")</f>
        <v/>
      </c>
      <c r="F2355" s="163" t="str">
        <f>IF(AND('Resource Planner'!$A$57="☑",1&lt;='Resource Planner'!$N$57),'Resource Planner'!$F$57&amp;" "&amp;('Resource Planner'!$G$57+(1-1)*'Resource Planner'!$I$57)&amp;IF(('Resource Planner'!$G$57+(1-1)*'Resource Planner'!$I$57)=MIN('Resource Planner'!$G$57+1*'Resource Planner'!$I$57-1,'Resource Planner'!$H$57),"","–"&amp;MIN('Resource Planner'!$G$57+1*'Resource Planner'!$I$57-1,'Resource Planner'!$H$57)),"")</f>
        <v/>
      </c>
      <c r="G2355" s="163" t="s">
        <v>109</v>
      </c>
      <c r="H2355" s="163" t="str">
        <f>IF(AND('Resource Planner'!$A$57="☑",1&lt;='Resource Planner'!$N$57),'Resource Planner'!$M$57,"")</f>
        <v/>
      </c>
    </row>
    <row r="2356" ht="15.75" customHeight="1">
      <c r="A23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6" s="163" t="str">
        <f>IF(AND('Resource Planner'!$A$57="☑",2&lt;='Resource Planner'!$N$57),'Resource Planner'!$C$57,"")</f>
        <v/>
      </c>
      <c r="C2356" s="163" t="str">
        <f>IF(AND('Resource Planner'!$A$57="☑",2&lt;='Resource Planner'!$N$57),'Resource Planner'!$B$57,"")</f>
        <v/>
      </c>
      <c r="D2356" s="163" t="str">
        <f>IF(AND('Resource Planner'!$A$57="☑",2&lt;='Resource Planner'!$N$57),'Resource Planner'!$D$57,"")</f>
        <v/>
      </c>
      <c r="E2356" s="163" t="str">
        <f>IF(AND('Resource Planner'!$A$57="☑",2&lt;='Resource Planner'!$N$57),'Resource Planner'!$E$57,"")</f>
        <v/>
      </c>
      <c r="F2356" s="163" t="str">
        <f>IF(AND('Resource Planner'!$A$57="☑",2&lt;='Resource Planner'!$N$57),'Resource Planner'!$F$57&amp;" "&amp;('Resource Planner'!$G$57+(2-1)*'Resource Planner'!$I$57)&amp;IF(('Resource Planner'!$G$57+(2-1)*'Resource Planner'!$I$57)=MIN('Resource Planner'!$G$57+2*'Resource Planner'!$I$57-1,'Resource Planner'!$H$57),"","–"&amp;MIN('Resource Planner'!$G$57+2*'Resource Planner'!$I$57-1,'Resource Planner'!$H$57)),"")</f>
        <v/>
      </c>
      <c r="G2356" s="163" t="s">
        <v>109</v>
      </c>
      <c r="H2356" s="163" t="str">
        <f>IF(AND('Resource Planner'!$A$57="☑",2&lt;='Resource Planner'!$N$57),'Resource Planner'!$M$57,"")</f>
        <v/>
      </c>
    </row>
    <row r="2357" ht="15.75" customHeight="1">
      <c r="A23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7" s="163" t="str">
        <f>IF(AND('Resource Planner'!$A$57="☑",3&lt;='Resource Planner'!$N$57),'Resource Planner'!$C$57,"")</f>
        <v/>
      </c>
      <c r="C2357" s="163" t="str">
        <f>IF(AND('Resource Planner'!$A$57="☑",3&lt;='Resource Planner'!$N$57),'Resource Planner'!$B$57,"")</f>
        <v/>
      </c>
      <c r="D2357" s="163" t="str">
        <f>IF(AND('Resource Planner'!$A$57="☑",3&lt;='Resource Planner'!$N$57),'Resource Planner'!$D$57,"")</f>
        <v/>
      </c>
      <c r="E2357" s="163" t="str">
        <f>IF(AND('Resource Planner'!$A$57="☑",3&lt;='Resource Planner'!$N$57),'Resource Planner'!$E$57,"")</f>
        <v/>
      </c>
      <c r="F2357" s="163" t="str">
        <f>IF(AND('Resource Planner'!$A$57="☑",3&lt;='Resource Planner'!$N$57),'Resource Planner'!$F$57&amp;" "&amp;('Resource Planner'!$G$57+(3-1)*'Resource Planner'!$I$57)&amp;IF(('Resource Planner'!$G$57+(3-1)*'Resource Planner'!$I$57)=MIN('Resource Planner'!$G$57+3*'Resource Planner'!$I$57-1,'Resource Planner'!$H$57),"","–"&amp;MIN('Resource Planner'!$G$57+3*'Resource Planner'!$I$57-1,'Resource Planner'!$H$57)),"")</f>
        <v/>
      </c>
      <c r="G2357" s="163" t="s">
        <v>109</v>
      </c>
      <c r="H2357" s="163" t="str">
        <f>IF(AND('Resource Planner'!$A$57="☑",3&lt;='Resource Planner'!$N$57),'Resource Planner'!$M$57,"")</f>
        <v/>
      </c>
    </row>
    <row r="2358" ht="15.75" customHeight="1">
      <c r="A23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8" s="163" t="str">
        <f>IF(AND('Resource Planner'!$A$57="☑",4&lt;='Resource Planner'!$N$57),'Resource Planner'!$C$57,"")</f>
        <v/>
      </c>
      <c r="C2358" s="163" t="str">
        <f>IF(AND('Resource Planner'!$A$57="☑",4&lt;='Resource Planner'!$N$57),'Resource Planner'!$B$57,"")</f>
        <v/>
      </c>
      <c r="D2358" s="163" t="str">
        <f>IF(AND('Resource Planner'!$A$57="☑",4&lt;='Resource Planner'!$N$57),'Resource Planner'!$D$57,"")</f>
        <v/>
      </c>
      <c r="E2358" s="163" t="str">
        <f>IF(AND('Resource Planner'!$A$57="☑",4&lt;='Resource Planner'!$N$57),'Resource Planner'!$E$57,"")</f>
        <v/>
      </c>
      <c r="F2358" s="163" t="str">
        <f>IF(AND('Resource Planner'!$A$57="☑",4&lt;='Resource Planner'!$N$57),'Resource Planner'!$F$57&amp;" "&amp;('Resource Planner'!$G$57+(4-1)*'Resource Planner'!$I$57)&amp;IF(('Resource Planner'!$G$57+(4-1)*'Resource Planner'!$I$57)=MIN('Resource Planner'!$G$57+4*'Resource Planner'!$I$57-1,'Resource Planner'!$H$57),"","–"&amp;MIN('Resource Planner'!$G$57+4*'Resource Planner'!$I$57-1,'Resource Planner'!$H$57)),"")</f>
        <v/>
      </c>
      <c r="G2358" s="163" t="s">
        <v>109</v>
      </c>
      <c r="H2358" s="163" t="str">
        <f>IF(AND('Resource Planner'!$A$57="☑",4&lt;='Resource Planner'!$N$57),'Resource Planner'!$M$57,"")</f>
        <v/>
      </c>
    </row>
    <row r="2359" ht="15.75" customHeight="1">
      <c r="A23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59" s="163" t="str">
        <f>IF(AND('Resource Planner'!$A$57="☑",5&lt;='Resource Planner'!$N$57),'Resource Planner'!$C$57,"")</f>
        <v/>
      </c>
      <c r="C2359" s="163" t="str">
        <f>IF(AND('Resource Planner'!$A$57="☑",5&lt;='Resource Planner'!$N$57),'Resource Planner'!$B$57,"")</f>
        <v/>
      </c>
      <c r="D2359" s="163" t="str">
        <f>IF(AND('Resource Planner'!$A$57="☑",5&lt;='Resource Planner'!$N$57),'Resource Planner'!$D$57,"")</f>
        <v/>
      </c>
      <c r="E2359" s="163" t="str">
        <f>IF(AND('Resource Planner'!$A$57="☑",5&lt;='Resource Planner'!$N$57),'Resource Planner'!$E$57,"")</f>
        <v/>
      </c>
      <c r="F2359" s="163" t="str">
        <f>IF(AND('Resource Planner'!$A$57="☑",5&lt;='Resource Planner'!$N$57),'Resource Planner'!$F$57&amp;" "&amp;('Resource Planner'!$G$57+(5-1)*'Resource Planner'!$I$57)&amp;IF(('Resource Planner'!$G$57+(5-1)*'Resource Planner'!$I$57)=MIN('Resource Planner'!$G$57+5*'Resource Planner'!$I$57-1,'Resource Planner'!$H$57),"","–"&amp;MIN('Resource Planner'!$G$57+5*'Resource Planner'!$I$57-1,'Resource Planner'!$H$57)),"")</f>
        <v/>
      </c>
      <c r="G2359" s="163" t="s">
        <v>109</v>
      </c>
      <c r="H2359" s="163" t="str">
        <f>IF(AND('Resource Planner'!$A$57="☑",5&lt;='Resource Planner'!$N$57),'Resource Planner'!$M$57,"")</f>
        <v/>
      </c>
    </row>
    <row r="2360" ht="15.75" customHeight="1">
      <c r="A23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0" s="163" t="str">
        <f>IF(AND('Resource Planner'!$A$57="☑",6&lt;='Resource Planner'!$N$57),'Resource Planner'!$C$57,"")</f>
        <v/>
      </c>
      <c r="C2360" s="163" t="str">
        <f>IF(AND('Resource Planner'!$A$57="☑",6&lt;='Resource Planner'!$N$57),'Resource Planner'!$B$57,"")</f>
        <v/>
      </c>
      <c r="D2360" s="163" t="str">
        <f>IF(AND('Resource Planner'!$A$57="☑",6&lt;='Resource Planner'!$N$57),'Resource Planner'!$D$57,"")</f>
        <v/>
      </c>
      <c r="E2360" s="163" t="str">
        <f>IF(AND('Resource Planner'!$A$57="☑",6&lt;='Resource Planner'!$N$57),'Resource Planner'!$E$57,"")</f>
        <v/>
      </c>
      <c r="F2360" s="163" t="str">
        <f>IF(AND('Resource Planner'!$A$57="☑",6&lt;='Resource Planner'!$N$57),'Resource Planner'!$F$57&amp;" "&amp;('Resource Planner'!$G$57+(6-1)*'Resource Planner'!$I$57)&amp;IF(('Resource Planner'!$G$57+(6-1)*'Resource Planner'!$I$57)=MIN('Resource Planner'!$G$57+6*'Resource Planner'!$I$57-1,'Resource Planner'!$H$57),"","–"&amp;MIN('Resource Planner'!$G$57+6*'Resource Planner'!$I$57-1,'Resource Planner'!$H$57)),"")</f>
        <v/>
      </c>
      <c r="G2360" s="163" t="s">
        <v>109</v>
      </c>
      <c r="H2360" s="163" t="str">
        <f>IF(AND('Resource Planner'!$A$57="☑",6&lt;='Resource Planner'!$N$57),'Resource Planner'!$M$57,"")</f>
        <v/>
      </c>
    </row>
    <row r="2361" ht="15.75" customHeight="1">
      <c r="A23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1" s="163" t="str">
        <f>IF(AND('Resource Planner'!$A$57="☑",7&lt;='Resource Planner'!$N$57),'Resource Planner'!$C$57,"")</f>
        <v/>
      </c>
      <c r="C2361" s="163" t="str">
        <f>IF(AND('Resource Planner'!$A$57="☑",7&lt;='Resource Planner'!$N$57),'Resource Planner'!$B$57,"")</f>
        <v/>
      </c>
      <c r="D2361" s="163" t="str">
        <f>IF(AND('Resource Planner'!$A$57="☑",7&lt;='Resource Planner'!$N$57),'Resource Planner'!$D$57,"")</f>
        <v/>
      </c>
      <c r="E2361" s="163" t="str">
        <f>IF(AND('Resource Planner'!$A$57="☑",7&lt;='Resource Planner'!$N$57),'Resource Planner'!$E$57,"")</f>
        <v/>
      </c>
      <c r="F2361" s="163" t="str">
        <f>IF(AND('Resource Planner'!$A$57="☑",7&lt;='Resource Planner'!$N$57),'Resource Planner'!$F$57&amp;" "&amp;('Resource Planner'!$G$57+(7-1)*'Resource Planner'!$I$57)&amp;IF(('Resource Planner'!$G$57+(7-1)*'Resource Planner'!$I$57)=MIN('Resource Planner'!$G$57+7*'Resource Planner'!$I$57-1,'Resource Planner'!$H$57),"","–"&amp;MIN('Resource Planner'!$G$57+7*'Resource Planner'!$I$57-1,'Resource Planner'!$H$57)),"")</f>
        <v/>
      </c>
      <c r="G2361" s="163" t="s">
        <v>109</v>
      </c>
      <c r="H2361" s="163" t="str">
        <f>IF(AND('Resource Planner'!$A$57="☑",7&lt;='Resource Planner'!$N$57),'Resource Planner'!$M$57,"")</f>
        <v/>
      </c>
    </row>
    <row r="2362" ht="15.75" customHeight="1">
      <c r="A23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2" s="163" t="str">
        <f>IF(AND('Resource Planner'!$A$57="☑",8&lt;='Resource Planner'!$N$57),'Resource Planner'!$C$57,"")</f>
        <v/>
      </c>
      <c r="C2362" s="163" t="str">
        <f>IF(AND('Resource Planner'!$A$57="☑",8&lt;='Resource Planner'!$N$57),'Resource Planner'!$B$57,"")</f>
        <v/>
      </c>
      <c r="D2362" s="163" t="str">
        <f>IF(AND('Resource Planner'!$A$57="☑",8&lt;='Resource Planner'!$N$57),'Resource Planner'!$D$57,"")</f>
        <v/>
      </c>
      <c r="E2362" s="163" t="str">
        <f>IF(AND('Resource Planner'!$A$57="☑",8&lt;='Resource Planner'!$N$57),'Resource Planner'!$E$57,"")</f>
        <v/>
      </c>
      <c r="F2362" s="163" t="str">
        <f>IF(AND('Resource Planner'!$A$57="☑",8&lt;='Resource Planner'!$N$57),'Resource Planner'!$F$57&amp;" "&amp;('Resource Planner'!$G$57+(8-1)*'Resource Planner'!$I$57)&amp;IF(('Resource Planner'!$G$57+(8-1)*'Resource Planner'!$I$57)=MIN('Resource Planner'!$G$57+8*'Resource Planner'!$I$57-1,'Resource Planner'!$H$57),"","–"&amp;MIN('Resource Planner'!$G$57+8*'Resource Planner'!$I$57-1,'Resource Planner'!$H$57)),"")</f>
        <v/>
      </c>
      <c r="G2362" s="163" t="s">
        <v>109</v>
      </c>
      <c r="H2362" s="163" t="str">
        <f>IF(AND('Resource Planner'!$A$57="☑",8&lt;='Resource Planner'!$N$57),'Resource Planner'!$M$57,"")</f>
        <v/>
      </c>
    </row>
    <row r="2363" ht="15.75" customHeight="1">
      <c r="A23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3" s="163" t="str">
        <f>IF(AND('Resource Planner'!$A$57="☑",9&lt;='Resource Planner'!$N$57),'Resource Planner'!$C$57,"")</f>
        <v/>
      </c>
      <c r="C2363" s="163" t="str">
        <f>IF(AND('Resource Planner'!$A$57="☑",9&lt;='Resource Planner'!$N$57),'Resource Planner'!$B$57,"")</f>
        <v/>
      </c>
      <c r="D2363" s="163" t="str">
        <f>IF(AND('Resource Planner'!$A$57="☑",9&lt;='Resource Planner'!$N$57),'Resource Planner'!$D$57,"")</f>
        <v/>
      </c>
      <c r="E2363" s="163" t="str">
        <f>IF(AND('Resource Planner'!$A$57="☑",9&lt;='Resource Planner'!$N$57),'Resource Planner'!$E$57,"")</f>
        <v/>
      </c>
      <c r="F2363" s="163" t="str">
        <f>IF(AND('Resource Planner'!$A$57="☑",9&lt;='Resource Planner'!$N$57),'Resource Planner'!$F$57&amp;" "&amp;('Resource Planner'!$G$57+(9-1)*'Resource Planner'!$I$57)&amp;IF(('Resource Planner'!$G$57+(9-1)*'Resource Planner'!$I$57)=MIN('Resource Planner'!$G$57+9*'Resource Planner'!$I$57-1,'Resource Planner'!$H$57),"","–"&amp;MIN('Resource Planner'!$G$57+9*'Resource Planner'!$I$57-1,'Resource Planner'!$H$57)),"")</f>
        <v/>
      </c>
      <c r="G2363" s="163" t="s">
        <v>109</v>
      </c>
      <c r="H2363" s="163" t="str">
        <f>IF(AND('Resource Planner'!$A$57="☑",9&lt;='Resource Planner'!$N$57),'Resource Planner'!$M$57,"")</f>
        <v/>
      </c>
    </row>
    <row r="2364" ht="15.75" customHeight="1">
      <c r="A23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4" s="163" t="str">
        <f>IF(AND('Resource Planner'!$A$57="☑",10&lt;='Resource Planner'!$N$57),'Resource Planner'!$C$57,"")</f>
        <v/>
      </c>
      <c r="C2364" s="163" t="str">
        <f>IF(AND('Resource Planner'!$A$57="☑",10&lt;='Resource Planner'!$N$57),'Resource Planner'!$B$57,"")</f>
        <v/>
      </c>
      <c r="D2364" s="163" t="str">
        <f>IF(AND('Resource Planner'!$A$57="☑",10&lt;='Resource Planner'!$N$57),'Resource Planner'!$D$57,"")</f>
        <v/>
      </c>
      <c r="E2364" s="163" t="str">
        <f>IF(AND('Resource Planner'!$A$57="☑",10&lt;='Resource Planner'!$N$57),'Resource Planner'!$E$57,"")</f>
        <v/>
      </c>
      <c r="F2364" s="163" t="str">
        <f>IF(AND('Resource Planner'!$A$57="☑",10&lt;='Resource Planner'!$N$57),'Resource Planner'!$F$57&amp;" "&amp;('Resource Planner'!$G$57+(10-1)*'Resource Planner'!$I$57)&amp;IF(('Resource Planner'!$G$57+(10-1)*'Resource Planner'!$I$57)=MIN('Resource Planner'!$G$57+10*'Resource Planner'!$I$57-1,'Resource Planner'!$H$57),"","–"&amp;MIN('Resource Planner'!$G$57+10*'Resource Planner'!$I$57-1,'Resource Planner'!$H$57)),"")</f>
        <v/>
      </c>
      <c r="G2364" s="163" t="s">
        <v>109</v>
      </c>
      <c r="H2364" s="163" t="str">
        <f>IF(AND('Resource Planner'!$A$57="☑",10&lt;='Resource Planner'!$N$57),'Resource Planner'!$M$57,"")</f>
        <v/>
      </c>
    </row>
    <row r="2365" ht="15.75" customHeight="1">
      <c r="A23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5" s="163" t="str">
        <f>IF(AND('Resource Planner'!$A$57="☑",11&lt;='Resource Planner'!$N$57),'Resource Planner'!$C$57,"")</f>
        <v/>
      </c>
      <c r="C2365" s="163" t="str">
        <f>IF(AND('Resource Planner'!$A$57="☑",11&lt;='Resource Planner'!$N$57),'Resource Planner'!$B$57,"")</f>
        <v/>
      </c>
      <c r="D2365" s="163" t="str">
        <f>IF(AND('Resource Planner'!$A$57="☑",11&lt;='Resource Planner'!$N$57),'Resource Planner'!$D$57,"")</f>
        <v/>
      </c>
      <c r="E2365" s="163" t="str">
        <f>IF(AND('Resource Planner'!$A$57="☑",11&lt;='Resource Planner'!$N$57),'Resource Planner'!$E$57,"")</f>
        <v/>
      </c>
      <c r="F2365" s="163" t="str">
        <f>IF(AND('Resource Planner'!$A$57="☑",11&lt;='Resource Planner'!$N$57),'Resource Planner'!$F$57&amp;" "&amp;('Resource Planner'!$G$57+(11-1)*'Resource Planner'!$I$57)&amp;IF(('Resource Planner'!$G$57+(11-1)*'Resource Planner'!$I$57)=MIN('Resource Planner'!$G$57+11*'Resource Planner'!$I$57-1,'Resource Planner'!$H$57),"","–"&amp;MIN('Resource Planner'!$G$57+11*'Resource Planner'!$I$57-1,'Resource Planner'!$H$57)),"")</f>
        <v/>
      </c>
      <c r="G2365" s="163" t="s">
        <v>109</v>
      </c>
      <c r="H2365" s="163" t="str">
        <f>IF(AND('Resource Planner'!$A$57="☑",11&lt;='Resource Planner'!$N$57),'Resource Planner'!$M$57,"")</f>
        <v/>
      </c>
    </row>
    <row r="2366" ht="15.75" customHeight="1">
      <c r="A23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6" s="163" t="str">
        <f>IF(AND('Resource Planner'!$A$57="☑",12&lt;='Resource Planner'!$N$57),'Resource Planner'!$C$57,"")</f>
        <v/>
      </c>
      <c r="C2366" s="163" t="str">
        <f>IF(AND('Resource Planner'!$A$57="☑",12&lt;='Resource Planner'!$N$57),'Resource Planner'!$B$57,"")</f>
        <v/>
      </c>
      <c r="D2366" s="163" t="str">
        <f>IF(AND('Resource Planner'!$A$57="☑",12&lt;='Resource Planner'!$N$57),'Resource Planner'!$D$57,"")</f>
        <v/>
      </c>
      <c r="E2366" s="163" t="str">
        <f>IF(AND('Resource Planner'!$A$57="☑",12&lt;='Resource Planner'!$N$57),'Resource Planner'!$E$57,"")</f>
        <v/>
      </c>
      <c r="F2366" s="163" t="str">
        <f>IF(AND('Resource Planner'!$A$57="☑",12&lt;='Resource Planner'!$N$57),'Resource Planner'!$F$57&amp;" "&amp;('Resource Planner'!$G$57+(12-1)*'Resource Planner'!$I$57)&amp;IF(('Resource Planner'!$G$57+(12-1)*'Resource Planner'!$I$57)=MIN('Resource Planner'!$G$57+12*'Resource Planner'!$I$57-1,'Resource Planner'!$H$57),"","–"&amp;MIN('Resource Planner'!$G$57+12*'Resource Planner'!$I$57-1,'Resource Planner'!$H$57)),"")</f>
        <v/>
      </c>
      <c r="G2366" s="163" t="s">
        <v>109</v>
      </c>
      <c r="H2366" s="163" t="str">
        <f>IF(AND('Resource Planner'!$A$57="☑",12&lt;='Resource Planner'!$N$57),'Resource Planner'!$M$57,"")</f>
        <v/>
      </c>
    </row>
    <row r="2367" ht="15.75" customHeight="1">
      <c r="A23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7" s="163" t="str">
        <f>IF(AND('Resource Planner'!$A$57="☑",13&lt;='Resource Planner'!$N$57),'Resource Planner'!$C$57,"")</f>
        <v/>
      </c>
      <c r="C2367" s="163" t="str">
        <f>IF(AND('Resource Planner'!$A$57="☑",13&lt;='Resource Planner'!$N$57),'Resource Planner'!$B$57,"")</f>
        <v/>
      </c>
      <c r="D2367" s="163" t="str">
        <f>IF(AND('Resource Planner'!$A$57="☑",13&lt;='Resource Planner'!$N$57),'Resource Planner'!$D$57,"")</f>
        <v/>
      </c>
      <c r="E2367" s="163" t="str">
        <f>IF(AND('Resource Planner'!$A$57="☑",13&lt;='Resource Planner'!$N$57),'Resource Planner'!$E$57,"")</f>
        <v/>
      </c>
      <c r="F2367" s="163" t="str">
        <f>IF(AND('Resource Planner'!$A$57="☑",13&lt;='Resource Planner'!$N$57),'Resource Planner'!$F$57&amp;" "&amp;('Resource Planner'!$G$57+(13-1)*'Resource Planner'!$I$57)&amp;IF(('Resource Planner'!$G$57+(13-1)*'Resource Planner'!$I$57)=MIN('Resource Planner'!$G$57+13*'Resource Planner'!$I$57-1,'Resource Planner'!$H$57),"","–"&amp;MIN('Resource Planner'!$G$57+13*'Resource Planner'!$I$57-1,'Resource Planner'!$H$57)),"")</f>
        <v/>
      </c>
      <c r="G2367" s="163" t="s">
        <v>109</v>
      </c>
      <c r="H2367" s="163" t="str">
        <f>IF(AND('Resource Planner'!$A$57="☑",13&lt;='Resource Planner'!$N$57),'Resource Planner'!$M$57,"")</f>
        <v/>
      </c>
    </row>
    <row r="2368" ht="15.75" customHeight="1">
      <c r="A23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8" s="163" t="str">
        <f>IF(AND('Resource Planner'!$A$57="☑",14&lt;='Resource Planner'!$N$57),'Resource Planner'!$C$57,"")</f>
        <v/>
      </c>
      <c r="C2368" s="163" t="str">
        <f>IF(AND('Resource Planner'!$A$57="☑",14&lt;='Resource Planner'!$N$57),'Resource Planner'!$B$57,"")</f>
        <v/>
      </c>
      <c r="D2368" s="163" t="str">
        <f>IF(AND('Resource Planner'!$A$57="☑",14&lt;='Resource Planner'!$N$57),'Resource Planner'!$D$57,"")</f>
        <v/>
      </c>
      <c r="E2368" s="163" t="str">
        <f>IF(AND('Resource Planner'!$A$57="☑",14&lt;='Resource Planner'!$N$57),'Resource Planner'!$E$57,"")</f>
        <v/>
      </c>
      <c r="F2368" s="163" t="str">
        <f>IF(AND('Resource Planner'!$A$57="☑",14&lt;='Resource Planner'!$N$57),'Resource Planner'!$F$57&amp;" "&amp;('Resource Planner'!$G$57+(14-1)*'Resource Planner'!$I$57)&amp;IF(('Resource Planner'!$G$57+(14-1)*'Resource Planner'!$I$57)=MIN('Resource Planner'!$G$57+14*'Resource Planner'!$I$57-1,'Resource Planner'!$H$57),"","–"&amp;MIN('Resource Planner'!$G$57+14*'Resource Planner'!$I$57-1,'Resource Planner'!$H$57)),"")</f>
        <v/>
      </c>
      <c r="G2368" s="163" t="s">
        <v>109</v>
      </c>
      <c r="H2368" s="163" t="str">
        <f>IF(AND('Resource Planner'!$A$57="☑",14&lt;='Resource Planner'!$N$57),'Resource Planner'!$M$57,"")</f>
        <v/>
      </c>
    </row>
    <row r="2369" ht="15.75" customHeight="1">
      <c r="A23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69" s="163" t="str">
        <f>IF(AND('Resource Planner'!$A$57="☑",15&lt;='Resource Planner'!$N$57),'Resource Planner'!$C$57,"")</f>
        <v/>
      </c>
      <c r="C2369" s="163" t="str">
        <f>IF(AND('Resource Planner'!$A$57="☑",15&lt;='Resource Planner'!$N$57),'Resource Planner'!$B$57,"")</f>
        <v/>
      </c>
      <c r="D2369" s="163" t="str">
        <f>IF(AND('Resource Planner'!$A$57="☑",15&lt;='Resource Planner'!$N$57),'Resource Planner'!$D$57,"")</f>
        <v/>
      </c>
      <c r="E2369" s="163" t="str">
        <f>IF(AND('Resource Planner'!$A$57="☑",15&lt;='Resource Planner'!$N$57),'Resource Planner'!$E$57,"")</f>
        <v/>
      </c>
      <c r="F2369" s="163" t="str">
        <f>IF(AND('Resource Planner'!$A$57="☑",15&lt;='Resource Planner'!$N$57),'Resource Planner'!$F$57&amp;" "&amp;('Resource Planner'!$G$57+(15-1)*'Resource Planner'!$I$57)&amp;IF(('Resource Planner'!$G$57+(15-1)*'Resource Planner'!$I$57)=MIN('Resource Planner'!$G$57+15*'Resource Planner'!$I$57-1,'Resource Planner'!$H$57),"","–"&amp;MIN('Resource Planner'!$G$57+15*'Resource Planner'!$I$57-1,'Resource Planner'!$H$57)),"")</f>
        <v/>
      </c>
      <c r="G2369" s="163" t="s">
        <v>109</v>
      </c>
      <c r="H2369" s="163" t="str">
        <f>IF(AND('Resource Planner'!$A$57="☑",15&lt;='Resource Planner'!$N$57),'Resource Planner'!$M$57,"")</f>
        <v/>
      </c>
    </row>
    <row r="2370" ht="15.75" customHeight="1">
      <c r="A23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0" s="163" t="str">
        <f>IF(AND('Resource Planner'!$A$57="☑",16&lt;='Resource Planner'!$N$57),'Resource Planner'!$C$57,"")</f>
        <v/>
      </c>
      <c r="C2370" s="163" t="str">
        <f>IF(AND('Resource Planner'!$A$57="☑",16&lt;='Resource Planner'!$N$57),'Resource Planner'!$B$57,"")</f>
        <v/>
      </c>
      <c r="D2370" s="163" t="str">
        <f>IF(AND('Resource Planner'!$A$57="☑",16&lt;='Resource Planner'!$N$57),'Resource Planner'!$D$57,"")</f>
        <v/>
      </c>
      <c r="E2370" s="163" t="str">
        <f>IF(AND('Resource Planner'!$A$57="☑",16&lt;='Resource Planner'!$N$57),'Resource Planner'!$E$57,"")</f>
        <v/>
      </c>
      <c r="F2370" s="163" t="str">
        <f>IF(AND('Resource Planner'!$A$57="☑",16&lt;='Resource Planner'!$N$57),'Resource Planner'!$F$57&amp;" "&amp;('Resource Planner'!$G$57+(16-1)*'Resource Planner'!$I$57)&amp;IF(('Resource Planner'!$G$57+(16-1)*'Resource Planner'!$I$57)=MIN('Resource Planner'!$G$57+16*'Resource Planner'!$I$57-1,'Resource Planner'!$H$57),"","–"&amp;MIN('Resource Planner'!$G$57+16*'Resource Planner'!$I$57-1,'Resource Planner'!$H$57)),"")</f>
        <v/>
      </c>
      <c r="G2370" s="163" t="s">
        <v>109</v>
      </c>
      <c r="H2370" s="163" t="str">
        <f>IF(AND('Resource Planner'!$A$57="☑",16&lt;='Resource Planner'!$N$57),'Resource Planner'!$M$57,"")</f>
        <v/>
      </c>
    </row>
    <row r="2371" ht="15.75" customHeight="1">
      <c r="A23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1" s="163" t="str">
        <f>IF(AND('Resource Planner'!$A$57="☑",17&lt;='Resource Planner'!$N$57),'Resource Planner'!$C$57,"")</f>
        <v/>
      </c>
      <c r="C2371" s="163" t="str">
        <f>IF(AND('Resource Planner'!$A$57="☑",17&lt;='Resource Planner'!$N$57),'Resource Planner'!$B$57,"")</f>
        <v/>
      </c>
      <c r="D2371" s="163" t="str">
        <f>IF(AND('Resource Planner'!$A$57="☑",17&lt;='Resource Planner'!$N$57),'Resource Planner'!$D$57,"")</f>
        <v/>
      </c>
      <c r="E2371" s="163" t="str">
        <f>IF(AND('Resource Planner'!$A$57="☑",17&lt;='Resource Planner'!$N$57),'Resource Planner'!$E$57,"")</f>
        <v/>
      </c>
      <c r="F2371" s="163" t="str">
        <f>IF(AND('Resource Planner'!$A$57="☑",17&lt;='Resource Planner'!$N$57),'Resource Planner'!$F$57&amp;" "&amp;('Resource Planner'!$G$57+(17-1)*'Resource Planner'!$I$57)&amp;IF(('Resource Planner'!$G$57+(17-1)*'Resource Planner'!$I$57)=MIN('Resource Planner'!$G$57+17*'Resource Planner'!$I$57-1,'Resource Planner'!$H$57),"","–"&amp;MIN('Resource Planner'!$G$57+17*'Resource Planner'!$I$57-1,'Resource Planner'!$H$57)),"")</f>
        <v/>
      </c>
      <c r="G2371" s="163" t="s">
        <v>109</v>
      </c>
      <c r="H2371" s="163" t="str">
        <f>IF(AND('Resource Planner'!$A$57="☑",17&lt;='Resource Planner'!$N$57),'Resource Planner'!$M$57,"")</f>
        <v/>
      </c>
    </row>
    <row r="2372" ht="15.75" customHeight="1">
      <c r="A23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2" s="163" t="str">
        <f>IF(AND('Resource Planner'!$A$57="☑",18&lt;='Resource Planner'!$N$57),'Resource Planner'!$C$57,"")</f>
        <v/>
      </c>
      <c r="C2372" s="163" t="str">
        <f>IF(AND('Resource Planner'!$A$57="☑",18&lt;='Resource Planner'!$N$57),'Resource Planner'!$B$57,"")</f>
        <v/>
      </c>
      <c r="D2372" s="163" t="str">
        <f>IF(AND('Resource Planner'!$A$57="☑",18&lt;='Resource Planner'!$N$57),'Resource Planner'!$D$57,"")</f>
        <v/>
      </c>
      <c r="E2372" s="163" t="str">
        <f>IF(AND('Resource Planner'!$A$57="☑",18&lt;='Resource Planner'!$N$57),'Resource Planner'!$E$57,"")</f>
        <v/>
      </c>
      <c r="F2372" s="163" t="str">
        <f>IF(AND('Resource Planner'!$A$57="☑",18&lt;='Resource Planner'!$N$57),'Resource Planner'!$F$57&amp;" "&amp;('Resource Planner'!$G$57+(18-1)*'Resource Planner'!$I$57)&amp;IF(('Resource Planner'!$G$57+(18-1)*'Resource Planner'!$I$57)=MIN('Resource Planner'!$G$57+18*'Resource Planner'!$I$57-1,'Resource Planner'!$H$57),"","–"&amp;MIN('Resource Planner'!$G$57+18*'Resource Planner'!$I$57-1,'Resource Planner'!$H$57)),"")</f>
        <v/>
      </c>
      <c r="G2372" s="163" t="s">
        <v>109</v>
      </c>
      <c r="H2372" s="163" t="str">
        <f>IF(AND('Resource Planner'!$A$57="☑",18&lt;='Resource Planner'!$N$57),'Resource Planner'!$M$57,"")</f>
        <v/>
      </c>
    </row>
    <row r="2373" ht="15.75" customHeight="1">
      <c r="A23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3" s="163" t="str">
        <f>IF(AND('Resource Planner'!$A$57="☑",19&lt;='Resource Planner'!$N$57),'Resource Planner'!$C$57,"")</f>
        <v/>
      </c>
      <c r="C2373" s="163" t="str">
        <f>IF(AND('Resource Planner'!$A$57="☑",19&lt;='Resource Planner'!$N$57),'Resource Planner'!$B$57,"")</f>
        <v/>
      </c>
      <c r="D2373" s="163" t="str">
        <f>IF(AND('Resource Planner'!$A$57="☑",19&lt;='Resource Planner'!$N$57),'Resource Planner'!$D$57,"")</f>
        <v/>
      </c>
      <c r="E2373" s="163" t="str">
        <f>IF(AND('Resource Planner'!$A$57="☑",19&lt;='Resource Planner'!$N$57),'Resource Planner'!$E$57,"")</f>
        <v/>
      </c>
      <c r="F2373" s="163" t="str">
        <f>IF(AND('Resource Planner'!$A$57="☑",19&lt;='Resource Planner'!$N$57),'Resource Planner'!$F$57&amp;" "&amp;('Resource Planner'!$G$57+(19-1)*'Resource Planner'!$I$57)&amp;IF(('Resource Planner'!$G$57+(19-1)*'Resource Planner'!$I$57)=MIN('Resource Planner'!$G$57+19*'Resource Planner'!$I$57-1,'Resource Planner'!$H$57),"","–"&amp;MIN('Resource Planner'!$G$57+19*'Resource Planner'!$I$57-1,'Resource Planner'!$H$57)),"")</f>
        <v/>
      </c>
      <c r="G2373" s="163" t="s">
        <v>109</v>
      </c>
      <c r="H2373" s="163" t="str">
        <f>IF(AND('Resource Planner'!$A$57="☑",19&lt;='Resource Planner'!$N$57),'Resource Planner'!$M$57,"")</f>
        <v/>
      </c>
    </row>
    <row r="2374" ht="15.75" customHeight="1">
      <c r="A23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4" s="163" t="str">
        <f>IF(AND('Resource Planner'!$A$57="☑",20&lt;='Resource Planner'!$N$57),'Resource Planner'!$C$57,"")</f>
        <v/>
      </c>
      <c r="C2374" s="163" t="str">
        <f>IF(AND('Resource Planner'!$A$57="☑",20&lt;='Resource Planner'!$N$57),'Resource Planner'!$B$57,"")</f>
        <v/>
      </c>
      <c r="D2374" s="163" t="str">
        <f>IF(AND('Resource Planner'!$A$57="☑",20&lt;='Resource Planner'!$N$57),'Resource Planner'!$D$57,"")</f>
        <v/>
      </c>
      <c r="E2374" s="163" t="str">
        <f>IF(AND('Resource Planner'!$A$57="☑",20&lt;='Resource Planner'!$N$57),'Resource Planner'!$E$57,"")</f>
        <v/>
      </c>
      <c r="F2374" s="163" t="str">
        <f>IF(AND('Resource Planner'!$A$57="☑",20&lt;='Resource Planner'!$N$57),'Resource Planner'!$F$57&amp;" "&amp;('Resource Planner'!$G$57+(20-1)*'Resource Planner'!$I$57)&amp;IF(('Resource Planner'!$G$57+(20-1)*'Resource Planner'!$I$57)=MIN('Resource Planner'!$G$57+20*'Resource Planner'!$I$57-1,'Resource Planner'!$H$57),"","–"&amp;MIN('Resource Planner'!$G$57+20*'Resource Planner'!$I$57-1,'Resource Planner'!$H$57)),"")</f>
        <v/>
      </c>
      <c r="G2374" s="163" t="s">
        <v>109</v>
      </c>
      <c r="H2374" s="163" t="str">
        <f>IF(AND('Resource Planner'!$A$57="☑",20&lt;='Resource Planner'!$N$57),'Resource Planner'!$M$57,"")</f>
        <v/>
      </c>
    </row>
    <row r="2375" ht="15.75" customHeight="1">
      <c r="A23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5" s="163" t="str">
        <f>IF(AND('Resource Planner'!$A$57="☑",21&lt;='Resource Planner'!$N$57),'Resource Planner'!$C$57,"")</f>
        <v/>
      </c>
      <c r="C2375" s="163" t="str">
        <f>IF(AND('Resource Planner'!$A$57="☑",21&lt;='Resource Planner'!$N$57),'Resource Planner'!$B$57,"")</f>
        <v/>
      </c>
      <c r="D2375" s="163" t="str">
        <f>IF(AND('Resource Planner'!$A$57="☑",21&lt;='Resource Planner'!$N$57),'Resource Planner'!$D$57,"")</f>
        <v/>
      </c>
      <c r="E2375" s="163" t="str">
        <f>IF(AND('Resource Planner'!$A$57="☑",21&lt;='Resource Planner'!$N$57),'Resource Planner'!$E$57,"")</f>
        <v/>
      </c>
      <c r="F2375" s="163" t="str">
        <f>IF(AND('Resource Planner'!$A$57="☑",21&lt;='Resource Planner'!$N$57),'Resource Planner'!$F$57&amp;" "&amp;('Resource Planner'!$G$57+(21-1)*'Resource Planner'!$I$57)&amp;IF(('Resource Planner'!$G$57+(21-1)*'Resource Planner'!$I$57)=MIN('Resource Planner'!$G$57+21*'Resource Planner'!$I$57-1,'Resource Planner'!$H$57),"","–"&amp;MIN('Resource Planner'!$G$57+21*'Resource Planner'!$I$57-1,'Resource Planner'!$H$57)),"")</f>
        <v/>
      </c>
      <c r="G2375" s="163" t="s">
        <v>109</v>
      </c>
      <c r="H2375" s="163" t="str">
        <f>IF(AND('Resource Planner'!$A$57="☑",21&lt;='Resource Planner'!$N$57),'Resource Planner'!$M$57,"")</f>
        <v/>
      </c>
    </row>
    <row r="2376" ht="15.75" customHeight="1">
      <c r="A23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6" s="163" t="str">
        <f>IF(AND('Resource Planner'!$A$57="☑",22&lt;='Resource Planner'!$N$57),'Resource Planner'!$C$57,"")</f>
        <v/>
      </c>
      <c r="C2376" s="163" t="str">
        <f>IF(AND('Resource Planner'!$A$57="☑",22&lt;='Resource Planner'!$N$57),'Resource Planner'!$B$57,"")</f>
        <v/>
      </c>
      <c r="D2376" s="163" t="str">
        <f>IF(AND('Resource Planner'!$A$57="☑",22&lt;='Resource Planner'!$N$57),'Resource Planner'!$D$57,"")</f>
        <v/>
      </c>
      <c r="E2376" s="163" t="str">
        <f>IF(AND('Resource Planner'!$A$57="☑",22&lt;='Resource Planner'!$N$57),'Resource Planner'!$E$57,"")</f>
        <v/>
      </c>
      <c r="F2376" s="163" t="str">
        <f>IF(AND('Resource Planner'!$A$57="☑",22&lt;='Resource Planner'!$N$57),'Resource Planner'!$F$57&amp;" "&amp;('Resource Planner'!$G$57+(22-1)*'Resource Planner'!$I$57)&amp;IF(('Resource Planner'!$G$57+(22-1)*'Resource Planner'!$I$57)=MIN('Resource Planner'!$G$57+22*'Resource Planner'!$I$57-1,'Resource Planner'!$H$57),"","–"&amp;MIN('Resource Planner'!$G$57+22*'Resource Planner'!$I$57-1,'Resource Planner'!$H$57)),"")</f>
        <v/>
      </c>
      <c r="G2376" s="163" t="s">
        <v>109</v>
      </c>
      <c r="H2376" s="163" t="str">
        <f>IF(AND('Resource Planner'!$A$57="☑",22&lt;='Resource Planner'!$N$57),'Resource Planner'!$M$57,"")</f>
        <v/>
      </c>
    </row>
    <row r="2377" ht="15.75" customHeight="1">
      <c r="A23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7" s="163" t="str">
        <f>IF(AND('Resource Planner'!$A$57="☑",23&lt;='Resource Planner'!$N$57),'Resource Planner'!$C$57,"")</f>
        <v/>
      </c>
      <c r="C2377" s="163" t="str">
        <f>IF(AND('Resource Planner'!$A$57="☑",23&lt;='Resource Planner'!$N$57),'Resource Planner'!$B$57,"")</f>
        <v/>
      </c>
      <c r="D2377" s="163" t="str">
        <f>IF(AND('Resource Planner'!$A$57="☑",23&lt;='Resource Planner'!$N$57),'Resource Planner'!$D$57,"")</f>
        <v/>
      </c>
      <c r="E2377" s="163" t="str">
        <f>IF(AND('Resource Planner'!$A$57="☑",23&lt;='Resource Planner'!$N$57),'Resource Planner'!$E$57,"")</f>
        <v/>
      </c>
      <c r="F2377" s="163" t="str">
        <f>IF(AND('Resource Planner'!$A$57="☑",23&lt;='Resource Planner'!$N$57),'Resource Planner'!$F$57&amp;" "&amp;('Resource Planner'!$G$57+(23-1)*'Resource Planner'!$I$57)&amp;IF(('Resource Planner'!$G$57+(23-1)*'Resource Planner'!$I$57)=MIN('Resource Planner'!$G$57+23*'Resource Planner'!$I$57-1,'Resource Planner'!$H$57),"","–"&amp;MIN('Resource Planner'!$G$57+23*'Resource Planner'!$I$57-1,'Resource Planner'!$H$57)),"")</f>
        <v/>
      </c>
      <c r="G2377" s="163" t="s">
        <v>109</v>
      </c>
      <c r="H2377" s="163" t="str">
        <f>IF(AND('Resource Planner'!$A$57="☑",23&lt;='Resource Planner'!$N$57),'Resource Planner'!$M$57,"")</f>
        <v/>
      </c>
    </row>
    <row r="2378" ht="15.75" customHeight="1">
      <c r="A23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8" s="163" t="str">
        <f>IF(AND('Resource Planner'!$A$57="☑",24&lt;='Resource Planner'!$N$57),'Resource Planner'!$C$57,"")</f>
        <v/>
      </c>
      <c r="C2378" s="163" t="str">
        <f>IF(AND('Resource Planner'!$A$57="☑",24&lt;='Resource Planner'!$N$57),'Resource Planner'!$B$57,"")</f>
        <v/>
      </c>
      <c r="D2378" s="163" t="str">
        <f>IF(AND('Resource Planner'!$A$57="☑",24&lt;='Resource Planner'!$N$57),'Resource Planner'!$D$57,"")</f>
        <v/>
      </c>
      <c r="E2378" s="163" t="str">
        <f>IF(AND('Resource Planner'!$A$57="☑",24&lt;='Resource Planner'!$N$57),'Resource Planner'!$E$57,"")</f>
        <v/>
      </c>
      <c r="F2378" s="163" t="str">
        <f>IF(AND('Resource Planner'!$A$57="☑",24&lt;='Resource Planner'!$N$57),'Resource Planner'!$F$57&amp;" "&amp;('Resource Planner'!$G$57+(24-1)*'Resource Planner'!$I$57)&amp;IF(('Resource Planner'!$G$57+(24-1)*'Resource Planner'!$I$57)=MIN('Resource Planner'!$G$57+24*'Resource Planner'!$I$57-1,'Resource Planner'!$H$57),"","–"&amp;MIN('Resource Planner'!$G$57+24*'Resource Planner'!$I$57-1,'Resource Planner'!$H$57)),"")</f>
        <v/>
      </c>
      <c r="G2378" s="163" t="s">
        <v>109</v>
      </c>
      <c r="H2378" s="163" t="str">
        <f>IF(AND('Resource Planner'!$A$57="☑",24&lt;='Resource Planner'!$N$57),'Resource Planner'!$M$57,"")</f>
        <v/>
      </c>
    </row>
    <row r="2379" ht="15.75" customHeight="1">
      <c r="A23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79" s="163" t="str">
        <f>IF(AND('Resource Planner'!$A$57="☑",25&lt;='Resource Planner'!$N$57),'Resource Planner'!$C$57,"")</f>
        <v/>
      </c>
      <c r="C2379" s="163" t="str">
        <f>IF(AND('Resource Planner'!$A$57="☑",25&lt;='Resource Planner'!$N$57),'Resource Planner'!$B$57,"")</f>
        <v/>
      </c>
      <c r="D2379" s="163" t="str">
        <f>IF(AND('Resource Planner'!$A$57="☑",25&lt;='Resource Planner'!$N$57),'Resource Planner'!$D$57,"")</f>
        <v/>
      </c>
      <c r="E2379" s="163" t="str">
        <f>IF(AND('Resource Planner'!$A$57="☑",25&lt;='Resource Planner'!$N$57),'Resource Planner'!$E$57,"")</f>
        <v/>
      </c>
      <c r="F2379" s="163" t="str">
        <f>IF(AND('Resource Planner'!$A$57="☑",25&lt;='Resource Planner'!$N$57),'Resource Planner'!$F$57&amp;" "&amp;('Resource Planner'!$G$57+(25-1)*'Resource Planner'!$I$57)&amp;IF(('Resource Planner'!$G$57+(25-1)*'Resource Planner'!$I$57)=MIN('Resource Planner'!$G$57+25*'Resource Planner'!$I$57-1,'Resource Planner'!$H$57),"","–"&amp;MIN('Resource Planner'!$G$57+25*'Resource Planner'!$I$57-1,'Resource Planner'!$H$57)),"")</f>
        <v/>
      </c>
      <c r="G2379" s="163" t="s">
        <v>109</v>
      </c>
      <c r="H2379" s="163" t="str">
        <f>IF(AND('Resource Planner'!$A$57="☑",25&lt;='Resource Planner'!$N$57),'Resource Planner'!$M$57,"")</f>
        <v/>
      </c>
    </row>
    <row r="2380" ht="15.75" customHeight="1">
      <c r="A23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0" s="163" t="str">
        <f>IF(AND('Resource Planner'!$A$57="☑",26&lt;='Resource Planner'!$N$57),'Resource Planner'!$C$57,"")</f>
        <v/>
      </c>
      <c r="C2380" s="163" t="str">
        <f>IF(AND('Resource Planner'!$A$57="☑",26&lt;='Resource Planner'!$N$57),'Resource Planner'!$B$57,"")</f>
        <v/>
      </c>
      <c r="D2380" s="163" t="str">
        <f>IF(AND('Resource Planner'!$A$57="☑",26&lt;='Resource Planner'!$N$57),'Resource Planner'!$D$57,"")</f>
        <v/>
      </c>
      <c r="E2380" s="163" t="str">
        <f>IF(AND('Resource Planner'!$A$57="☑",26&lt;='Resource Planner'!$N$57),'Resource Planner'!$E$57,"")</f>
        <v/>
      </c>
      <c r="F2380" s="163" t="str">
        <f>IF(AND('Resource Planner'!$A$57="☑",26&lt;='Resource Planner'!$N$57),'Resource Planner'!$F$57&amp;" "&amp;('Resource Planner'!$G$57+(26-1)*'Resource Planner'!$I$57)&amp;IF(('Resource Planner'!$G$57+(26-1)*'Resource Planner'!$I$57)=MIN('Resource Planner'!$G$57+26*'Resource Planner'!$I$57-1,'Resource Planner'!$H$57),"","–"&amp;MIN('Resource Planner'!$G$57+26*'Resource Planner'!$I$57-1,'Resource Planner'!$H$57)),"")</f>
        <v/>
      </c>
      <c r="G2380" s="163" t="s">
        <v>109</v>
      </c>
      <c r="H2380" s="163" t="str">
        <f>IF(AND('Resource Planner'!$A$57="☑",26&lt;='Resource Planner'!$N$57),'Resource Planner'!$M$57,"")</f>
        <v/>
      </c>
    </row>
    <row r="2381" ht="15.75" customHeight="1">
      <c r="A23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1" s="163" t="str">
        <f>IF(AND('Resource Planner'!$A$57="☑",27&lt;='Resource Planner'!$N$57),'Resource Planner'!$C$57,"")</f>
        <v/>
      </c>
      <c r="C2381" s="163" t="str">
        <f>IF(AND('Resource Planner'!$A$57="☑",27&lt;='Resource Planner'!$N$57),'Resource Planner'!$B$57,"")</f>
        <v/>
      </c>
      <c r="D2381" s="163" t="str">
        <f>IF(AND('Resource Planner'!$A$57="☑",27&lt;='Resource Planner'!$N$57),'Resource Planner'!$D$57,"")</f>
        <v/>
      </c>
      <c r="E2381" s="163" t="str">
        <f>IF(AND('Resource Planner'!$A$57="☑",27&lt;='Resource Planner'!$N$57),'Resource Planner'!$E$57,"")</f>
        <v/>
      </c>
      <c r="F2381" s="163" t="str">
        <f>IF(AND('Resource Planner'!$A$57="☑",27&lt;='Resource Planner'!$N$57),'Resource Planner'!$F$57&amp;" "&amp;('Resource Planner'!$G$57+(27-1)*'Resource Planner'!$I$57)&amp;IF(('Resource Planner'!$G$57+(27-1)*'Resource Planner'!$I$57)=MIN('Resource Planner'!$G$57+27*'Resource Planner'!$I$57-1,'Resource Planner'!$H$57),"","–"&amp;MIN('Resource Planner'!$G$57+27*'Resource Planner'!$I$57-1,'Resource Planner'!$H$57)),"")</f>
        <v/>
      </c>
      <c r="G2381" s="163" t="s">
        <v>109</v>
      </c>
      <c r="H2381" s="163" t="str">
        <f>IF(AND('Resource Planner'!$A$57="☑",27&lt;='Resource Planner'!$N$57),'Resource Planner'!$M$57,"")</f>
        <v/>
      </c>
    </row>
    <row r="2382" ht="15.75" customHeight="1">
      <c r="A23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2" s="163" t="str">
        <f>IF(AND('Resource Planner'!$A$57="☑",28&lt;='Resource Planner'!$N$57),'Resource Planner'!$C$57,"")</f>
        <v/>
      </c>
      <c r="C2382" s="163" t="str">
        <f>IF(AND('Resource Planner'!$A$57="☑",28&lt;='Resource Planner'!$N$57),'Resource Planner'!$B$57,"")</f>
        <v/>
      </c>
      <c r="D2382" s="163" t="str">
        <f>IF(AND('Resource Planner'!$A$57="☑",28&lt;='Resource Planner'!$N$57),'Resource Planner'!$D$57,"")</f>
        <v/>
      </c>
      <c r="E2382" s="163" t="str">
        <f>IF(AND('Resource Planner'!$A$57="☑",28&lt;='Resource Planner'!$N$57),'Resource Planner'!$E$57,"")</f>
        <v/>
      </c>
      <c r="F2382" s="163" t="str">
        <f>IF(AND('Resource Planner'!$A$57="☑",28&lt;='Resource Planner'!$N$57),'Resource Planner'!$F$57&amp;" "&amp;('Resource Planner'!$G$57+(28-1)*'Resource Planner'!$I$57)&amp;IF(('Resource Planner'!$G$57+(28-1)*'Resource Planner'!$I$57)=MIN('Resource Planner'!$G$57+28*'Resource Planner'!$I$57-1,'Resource Planner'!$H$57),"","–"&amp;MIN('Resource Planner'!$G$57+28*'Resource Planner'!$I$57-1,'Resource Planner'!$H$57)),"")</f>
        <v/>
      </c>
      <c r="G2382" s="163" t="s">
        <v>109</v>
      </c>
      <c r="H2382" s="163" t="str">
        <f>IF(AND('Resource Planner'!$A$57="☑",28&lt;='Resource Planner'!$N$57),'Resource Planner'!$M$57,"")</f>
        <v/>
      </c>
    </row>
    <row r="2383" ht="15.75" customHeight="1">
      <c r="A23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3" s="163" t="str">
        <f>IF(AND('Resource Planner'!$A$57="☑",29&lt;='Resource Planner'!$N$57),'Resource Planner'!$C$57,"")</f>
        <v/>
      </c>
      <c r="C2383" s="163" t="str">
        <f>IF(AND('Resource Planner'!$A$57="☑",29&lt;='Resource Planner'!$N$57),'Resource Planner'!$B$57,"")</f>
        <v/>
      </c>
      <c r="D2383" s="163" t="str">
        <f>IF(AND('Resource Planner'!$A$57="☑",29&lt;='Resource Planner'!$N$57),'Resource Planner'!$D$57,"")</f>
        <v/>
      </c>
      <c r="E2383" s="163" t="str">
        <f>IF(AND('Resource Planner'!$A$57="☑",29&lt;='Resource Planner'!$N$57),'Resource Planner'!$E$57,"")</f>
        <v/>
      </c>
      <c r="F2383" s="163" t="str">
        <f>IF(AND('Resource Planner'!$A$57="☑",29&lt;='Resource Planner'!$N$57),'Resource Planner'!$F$57&amp;" "&amp;('Resource Planner'!$G$57+(29-1)*'Resource Planner'!$I$57)&amp;IF(('Resource Planner'!$G$57+(29-1)*'Resource Planner'!$I$57)=MIN('Resource Planner'!$G$57+29*'Resource Planner'!$I$57-1,'Resource Planner'!$H$57),"","–"&amp;MIN('Resource Planner'!$G$57+29*'Resource Planner'!$I$57-1,'Resource Planner'!$H$57)),"")</f>
        <v/>
      </c>
      <c r="G2383" s="163" t="s">
        <v>109</v>
      </c>
      <c r="H2383" s="163" t="str">
        <f>IF(AND('Resource Planner'!$A$57="☑",29&lt;='Resource Planner'!$N$57),'Resource Planner'!$M$57,"")</f>
        <v/>
      </c>
    </row>
    <row r="2384" ht="15.75" customHeight="1">
      <c r="A23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4" s="163" t="str">
        <f>IF(AND('Resource Planner'!$A$57="☑",30&lt;='Resource Planner'!$N$57),'Resource Planner'!$C$57,"")</f>
        <v/>
      </c>
      <c r="C2384" s="163" t="str">
        <f>IF(AND('Resource Planner'!$A$57="☑",30&lt;='Resource Planner'!$N$57),'Resource Planner'!$B$57,"")</f>
        <v/>
      </c>
      <c r="D2384" s="163" t="str">
        <f>IF(AND('Resource Planner'!$A$57="☑",30&lt;='Resource Planner'!$N$57),'Resource Planner'!$D$57,"")</f>
        <v/>
      </c>
      <c r="E2384" s="163" t="str">
        <f>IF(AND('Resource Planner'!$A$57="☑",30&lt;='Resource Planner'!$N$57),'Resource Planner'!$E$57,"")</f>
        <v/>
      </c>
      <c r="F2384" s="163" t="str">
        <f>IF(AND('Resource Planner'!$A$57="☑",30&lt;='Resource Planner'!$N$57),'Resource Planner'!$F$57&amp;" "&amp;('Resource Planner'!$G$57+(30-1)*'Resource Planner'!$I$57)&amp;IF(('Resource Planner'!$G$57+(30-1)*'Resource Planner'!$I$57)=MIN('Resource Planner'!$G$57+30*'Resource Planner'!$I$57-1,'Resource Planner'!$H$57),"","–"&amp;MIN('Resource Planner'!$G$57+30*'Resource Planner'!$I$57-1,'Resource Planner'!$H$57)),"")</f>
        <v/>
      </c>
      <c r="G2384" s="163" t="s">
        <v>109</v>
      </c>
      <c r="H2384" s="163" t="str">
        <f>IF(AND('Resource Planner'!$A$57="☑",30&lt;='Resource Planner'!$N$57),'Resource Planner'!$M$57,"")</f>
        <v/>
      </c>
    </row>
    <row r="2385" ht="15.75" customHeight="1">
      <c r="A23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5" s="163" t="str">
        <f>IF(AND('Resource Planner'!$A$57="☑",31&lt;='Resource Planner'!$N$57),'Resource Planner'!$C$57,"")</f>
        <v/>
      </c>
      <c r="C2385" s="163" t="str">
        <f>IF(AND('Resource Planner'!$A$57="☑",31&lt;='Resource Planner'!$N$57),'Resource Planner'!$B$57,"")</f>
        <v/>
      </c>
      <c r="D2385" s="163" t="str">
        <f>IF(AND('Resource Planner'!$A$57="☑",31&lt;='Resource Planner'!$N$57),'Resource Planner'!$D$57,"")</f>
        <v/>
      </c>
      <c r="E2385" s="163" t="str">
        <f>IF(AND('Resource Planner'!$A$57="☑",31&lt;='Resource Planner'!$N$57),'Resource Planner'!$E$57,"")</f>
        <v/>
      </c>
      <c r="F2385" s="163" t="str">
        <f>IF(AND('Resource Planner'!$A$57="☑",31&lt;='Resource Planner'!$N$57),'Resource Planner'!$F$57&amp;" "&amp;('Resource Planner'!$G$57+(31-1)*'Resource Planner'!$I$57)&amp;IF(('Resource Planner'!$G$57+(31-1)*'Resource Planner'!$I$57)=MIN('Resource Planner'!$G$57+31*'Resource Planner'!$I$57-1,'Resource Planner'!$H$57),"","–"&amp;MIN('Resource Planner'!$G$57+31*'Resource Planner'!$I$57-1,'Resource Planner'!$H$57)),"")</f>
        <v/>
      </c>
      <c r="G2385" s="163" t="s">
        <v>109</v>
      </c>
      <c r="H2385" s="163" t="str">
        <f>IF(AND('Resource Planner'!$A$57="☑",31&lt;='Resource Planner'!$N$57),'Resource Planner'!$M$57,"")</f>
        <v/>
      </c>
    </row>
    <row r="2386" ht="15.75" customHeight="1">
      <c r="A23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6" s="163" t="str">
        <f>IF(AND('Resource Planner'!$A$57="☑",32&lt;='Resource Planner'!$N$57),'Resource Planner'!$C$57,"")</f>
        <v/>
      </c>
      <c r="C2386" s="163" t="str">
        <f>IF(AND('Resource Planner'!$A$57="☑",32&lt;='Resource Planner'!$N$57),'Resource Planner'!$B$57,"")</f>
        <v/>
      </c>
      <c r="D2386" s="163" t="str">
        <f>IF(AND('Resource Planner'!$A$57="☑",32&lt;='Resource Planner'!$N$57),'Resource Planner'!$D$57,"")</f>
        <v/>
      </c>
      <c r="E2386" s="163" t="str">
        <f>IF(AND('Resource Planner'!$A$57="☑",32&lt;='Resource Planner'!$N$57),'Resource Planner'!$E$57,"")</f>
        <v/>
      </c>
      <c r="F2386" s="163" t="str">
        <f>IF(AND('Resource Planner'!$A$57="☑",32&lt;='Resource Planner'!$N$57),'Resource Planner'!$F$57&amp;" "&amp;('Resource Planner'!$G$57+(32-1)*'Resource Planner'!$I$57)&amp;IF(('Resource Planner'!$G$57+(32-1)*'Resource Planner'!$I$57)=MIN('Resource Planner'!$G$57+32*'Resource Planner'!$I$57-1,'Resource Planner'!$H$57),"","–"&amp;MIN('Resource Planner'!$G$57+32*'Resource Planner'!$I$57-1,'Resource Planner'!$H$57)),"")</f>
        <v/>
      </c>
      <c r="G2386" s="163" t="s">
        <v>109</v>
      </c>
      <c r="H2386" s="163" t="str">
        <f>IF(AND('Resource Planner'!$A$57="☑",32&lt;='Resource Planner'!$N$57),'Resource Planner'!$M$57,"")</f>
        <v/>
      </c>
    </row>
    <row r="2387" ht="15.75" customHeight="1">
      <c r="A23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7" s="163" t="str">
        <f>IF(AND('Resource Planner'!$A$57="☑",33&lt;='Resource Planner'!$N$57),'Resource Planner'!$C$57,"")</f>
        <v/>
      </c>
      <c r="C2387" s="163" t="str">
        <f>IF(AND('Resource Planner'!$A$57="☑",33&lt;='Resource Planner'!$N$57),'Resource Planner'!$B$57,"")</f>
        <v/>
      </c>
      <c r="D2387" s="163" t="str">
        <f>IF(AND('Resource Planner'!$A$57="☑",33&lt;='Resource Planner'!$N$57),'Resource Planner'!$D$57,"")</f>
        <v/>
      </c>
      <c r="E2387" s="163" t="str">
        <f>IF(AND('Resource Planner'!$A$57="☑",33&lt;='Resource Planner'!$N$57),'Resource Planner'!$E$57,"")</f>
        <v/>
      </c>
      <c r="F2387" s="163" t="str">
        <f>IF(AND('Resource Planner'!$A$57="☑",33&lt;='Resource Planner'!$N$57),'Resource Planner'!$F$57&amp;" "&amp;('Resource Planner'!$G$57+(33-1)*'Resource Planner'!$I$57)&amp;IF(('Resource Planner'!$G$57+(33-1)*'Resource Planner'!$I$57)=MIN('Resource Planner'!$G$57+33*'Resource Planner'!$I$57-1,'Resource Planner'!$H$57),"","–"&amp;MIN('Resource Planner'!$G$57+33*'Resource Planner'!$I$57-1,'Resource Planner'!$H$57)),"")</f>
        <v/>
      </c>
      <c r="G2387" s="163" t="s">
        <v>109</v>
      </c>
      <c r="H2387" s="163" t="str">
        <f>IF(AND('Resource Planner'!$A$57="☑",33&lt;='Resource Planner'!$N$57),'Resource Planner'!$M$57,"")</f>
        <v/>
      </c>
    </row>
    <row r="2388" ht="15.75" customHeight="1">
      <c r="A23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8" s="163" t="str">
        <f>IF(AND('Resource Planner'!$A$57="☑",34&lt;='Resource Planner'!$N$57),'Resource Planner'!$C$57,"")</f>
        <v/>
      </c>
      <c r="C2388" s="163" t="str">
        <f>IF(AND('Resource Planner'!$A$57="☑",34&lt;='Resource Planner'!$N$57),'Resource Planner'!$B$57,"")</f>
        <v/>
      </c>
      <c r="D2388" s="163" t="str">
        <f>IF(AND('Resource Planner'!$A$57="☑",34&lt;='Resource Planner'!$N$57),'Resource Planner'!$D$57,"")</f>
        <v/>
      </c>
      <c r="E2388" s="163" t="str">
        <f>IF(AND('Resource Planner'!$A$57="☑",34&lt;='Resource Planner'!$N$57),'Resource Planner'!$E$57,"")</f>
        <v/>
      </c>
      <c r="F2388" s="163" t="str">
        <f>IF(AND('Resource Planner'!$A$57="☑",34&lt;='Resource Planner'!$N$57),'Resource Planner'!$F$57&amp;" "&amp;('Resource Planner'!$G$57+(34-1)*'Resource Planner'!$I$57)&amp;IF(('Resource Planner'!$G$57+(34-1)*'Resource Planner'!$I$57)=MIN('Resource Planner'!$G$57+34*'Resource Planner'!$I$57-1,'Resource Planner'!$H$57),"","–"&amp;MIN('Resource Planner'!$G$57+34*'Resource Planner'!$I$57-1,'Resource Planner'!$H$57)),"")</f>
        <v/>
      </c>
      <c r="G2388" s="163" t="s">
        <v>109</v>
      </c>
      <c r="H2388" s="163" t="str">
        <f>IF(AND('Resource Planner'!$A$57="☑",34&lt;='Resource Planner'!$N$57),'Resource Planner'!$M$57,"")</f>
        <v/>
      </c>
    </row>
    <row r="2389" ht="15.75" customHeight="1">
      <c r="A23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89" s="163" t="str">
        <f>IF(AND('Resource Planner'!$A$57="☑",35&lt;='Resource Planner'!$N$57),'Resource Planner'!$C$57,"")</f>
        <v/>
      </c>
      <c r="C2389" s="163" t="str">
        <f>IF(AND('Resource Planner'!$A$57="☑",35&lt;='Resource Planner'!$N$57),'Resource Planner'!$B$57,"")</f>
        <v/>
      </c>
      <c r="D2389" s="163" t="str">
        <f>IF(AND('Resource Planner'!$A$57="☑",35&lt;='Resource Planner'!$N$57),'Resource Planner'!$D$57,"")</f>
        <v/>
      </c>
      <c r="E2389" s="163" t="str">
        <f>IF(AND('Resource Planner'!$A$57="☑",35&lt;='Resource Planner'!$N$57),'Resource Planner'!$E$57,"")</f>
        <v/>
      </c>
      <c r="F2389" s="163" t="str">
        <f>IF(AND('Resource Planner'!$A$57="☑",35&lt;='Resource Planner'!$N$57),'Resource Planner'!$F$57&amp;" "&amp;('Resource Planner'!$G$57+(35-1)*'Resource Planner'!$I$57)&amp;IF(('Resource Planner'!$G$57+(35-1)*'Resource Planner'!$I$57)=MIN('Resource Planner'!$G$57+35*'Resource Planner'!$I$57-1,'Resource Planner'!$H$57),"","–"&amp;MIN('Resource Planner'!$G$57+35*'Resource Planner'!$I$57-1,'Resource Planner'!$H$57)),"")</f>
        <v/>
      </c>
      <c r="G2389" s="163" t="s">
        <v>109</v>
      </c>
      <c r="H2389" s="163" t="str">
        <f>IF(AND('Resource Planner'!$A$57="☑",35&lt;='Resource Planner'!$N$57),'Resource Planner'!$M$57,"")</f>
        <v/>
      </c>
    </row>
    <row r="2390" ht="15.75" customHeight="1">
      <c r="A23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0" s="163" t="str">
        <f>IF(AND('Resource Planner'!$A$57="☑",36&lt;='Resource Planner'!$N$57),'Resource Planner'!$C$57,"")</f>
        <v/>
      </c>
      <c r="C2390" s="163" t="str">
        <f>IF(AND('Resource Planner'!$A$57="☑",36&lt;='Resource Planner'!$N$57),'Resource Planner'!$B$57,"")</f>
        <v/>
      </c>
      <c r="D2390" s="163" t="str">
        <f>IF(AND('Resource Planner'!$A$57="☑",36&lt;='Resource Planner'!$N$57),'Resource Planner'!$D$57,"")</f>
        <v/>
      </c>
      <c r="E2390" s="163" t="str">
        <f>IF(AND('Resource Planner'!$A$57="☑",36&lt;='Resource Planner'!$N$57),'Resource Planner'!$E$57,"")</f>
        <v/>
      </c>
      <c r="F2390" s="163" t="str">
        <f>IF(AND('Resource Planner'!$A$57="☑",36&lt;='Resource Planner'!$N$57),'Resource Planner'!$F$57&amp;" "&amp;('Resource Planner'!$G$57+(36-1)*'Resource Planner'!$I$57)&amp;IF(('Resource Planner'!$G$57+(36-1)*'Resource Planner'!$I$57)=MIN('Resource Planner'!$G$57+36*'Resource Planner'!$I$57-1,'Resource Planner'!$H$57),"","–"&amp;MIN('Resource Planner'!$G$57+36*'Resource Planner'!$I$57-1,'Resource Planner'!$H$57)),"")</f>
        <v/>
      </c>
      <c r="G2390" s="163" t="s">
        <v>109</v>
      </c>
      <c r="H2390" s="163" t="str">
        <f>IF(AND('Resource Planner'!$A$57="☑",36&lt;='Resource Planner'!$N$57),'Resource Planner'!$M$57,"")</f>
        <v/>
      </c>
    </row>
    <row r="2391" ht="15.75" customHeight="1">
      <c r="A23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1" s="163" t="str">
        <f>IF(AND('Resource Planner'!$A$57="☑",37&lt;='Resource Planner'!$N$57),'Resource Planner'!$C$57,"")</f>
        <v/>
      </c>
      <c r="C2391" s="163" t="str">
        <f>IF(AND('Resource Planner'!$A$57="☑",37&lt;='Resource Planner'!$N$57),'Resource Planner'!$B$57,"")</f>
        <v/>
      </c>
      <c r="D2391" s="163" t="str">
        <f>IF(AND('Resource Planner'!$A$57="☑",37&lt;='Resource Planner'!$N$57),'Resource Planner'!$D$57,"")</f>
        <v/>
      </c>
      <c r="E2391" s="163" t="str">
        <f>IF(AND('Resource Planner'!$A$57="☑",37&lt;='Resource Planner'!$N$57),'Resource Planner'!$E$57,"")</f>
        <v/>
      </c>
      <c r="F2391" s="163" t="str">
        <f>IF(AND('Resource Planner'!$A$57="☑",37&lt;='Resource Planner'!$N$57),'Resource Planner'!$F$57&amp;" "&amp;('Resource Planner'!$G$57+(37-1)*'Resource Planner'!$I$57)&amp;IF(('Resource Planner'!$G$57+(37-1)*'Resource Planner'!$I$57)=MIN('Resource Planner'!$G$57+37*'Resource Planner'!$I$57-1,'Resource Planner'!$H$57),"","–"&amp;MIN('Resource Planner'!$G$57+37*'Resource Planner'!$I$57-1,'Resource Planner'!$H$57)),"")</f>
        <v/>
      </c>
      <c r="G2391" s="163" t="s">
        <v>109</v>
      </c>
      <c r="H2391" s="163" t="str">
        <f>IF(AND('Resource Planner'!$A$57="☑",37&lt;='Resource Planner'!$N$57),'Resource Planner'!$M$57,"")</f>
        <v/>
      </c>
    </row>
    <row r="2392" ht="15.75" customHeight="1">
      <c r="A23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2" s="163" t="str">
        <f>IF(AND('Resource Planner'!$A$57="☑",38&lt;='Resource Planner'!$N$57),'Resource Planner'!$C$57,"")</f>
        <v/>
      </c>
      <c r="C2392" s="163" t="str">
        <f>IF(AND('Resource Planner'!$A$57="☑",38&lt;='Resource Planner'!$N$57),'Resource Planner'!$B$57,"")</f>
        <v/>
      </c>
      <c r="D2392" s="163" t="str">
        <f>IF(AND('Resource Planner'!$A$57="☑",38&lt;='Resource Planner'!$N$57),'Resource Planner'!$D$57,"")</f>
        <v/>
      </c>
      <c r="E2392" s="163" t="str">
        <f>IF(AND('Resource Planner'!$A$57="☑",38&lt;='Resource Planner'!$N$57),'Resource Planner'!$E$57,"")</f>
        <v/>
      </c>
      <c r="F2392" s="163" t="str">
        <f>IF(AND('Resource Planner'!$A$57="☑",38&lt;='Resource Planner'!$N$57),'Resource Planner'!$F$57&amp;" "&amp;('Resource Planner'!$G$57+(38-1)*'Resource Planner'!$I$57)&amp;IF(('Resource Planner'!$G$57+(38-1)*'Resource Planner'!$I$57)=MIN('Resource Planner'!$G$57+38*'Resource Planner'!$I$57-1,'Resource Planner'!$H$57),"","–"&amp;MIN('Resource Planner'!$G$57+38*'Resource Planner'!$I$57-1,'Resource Planner'!$H$57)),"")</f>
        <v/>
      </c>
      <c r="G2392" s="163" t="s">
        <v>109</v>
      </c>
      <c r="H2392" s="163" t="str">
        <f>IF(AND('Resource Planner'!$A$57="☑",38&lt;='Resource Planner'!$N$57),'Resource Planner'!$M$57,"")</f>
        <v/>
      </c>
    </row>
    <row r="2393" ht="15.75" customHeight="1">
      <c r="A23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3" s="163" t="str">
        <f>IF(AND('Resource Planner'!$A$57="☑",39&lt;='Resource Planner'!$N$57),'Resource Planner'!$C$57,"")</f>
        <v/>
      </c>
      <c r="C2393" s="163" t="str">
        <f>IF(AND('Resource Planner'!$A$57="☑",39&lt;='Resource Planner'!$N$57),'Resource Planner'!$B$57,"")</f>
        <v/>
      </c>
      <c r="D2393" s="163" t="str">
        <f>IF(AND('Resource Planner'!$A$57="☑",39&lt;='Resource Planner'!$N$57),'Resource Planner'!$D$57,"")</f>
        <v/>
      </c>
      <c r="E2393" s="163" t="str">
        <f>IF(AND('Resource Planner'!$A$57="☑",39&lt;='Resource Planner'!$N$57),'Resource Planner'!$E$57,"")</f>
        <v/>
      </c>
      <c r="F2393" s="163" t="str">
        <f>IF(AND('Resource Planner'!$A$57="☑",39&lt;='Resource Planner'!$N$57),'Resource Planner'!$F$57&amp;" "&amp;('Resource Planner'!$G$57+(39-1)*'Resource Planner'!$I$57)&amp;IF(('Resource Planner'!$G$57+(39-1)*'Resource Planner'!$I$57)=MIN('Resource Planner'!$G$57+39*'Resource Planner'!$I$57-1,'Resource Planner'!$H$57),"","–"&amp;MIN('Resource Planner'!$G$57+39*'Resource Planner'!$I$57-1,'Resource Planner'!$H$57)),"")</f>
        <v/>
      </c>
      <c r="G2393" s="163" t="s">
        <v>109</v>
      </c>
      <c r="H2393" s="163" t="str">
        <f>IF(AND('Resource Planner'!$A$57="☑",39&lt;='Resource Planner'!$N$57),'Resource Planner'!$M$57,"")</f>
        <v/>
      </c>
    </row>
    <row r="2394" ht="15.75" customHeight="1">
      <c r="A23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4" s="163" t="str">
        <f>IF(AND('Resource Planner'!$A$57="☑",40&lt;='Resource Planner'!$N$57),'Resource Planner'!$C$57,"")</f>
        <v/>
      </c>
      <c r="C2394" s="163" t="str">
        <f>IF(AND('Resource Planner'!$A$57="☑",40&lt;='Resource Planner'!$N$57),'Resource Planner'!$B$57,"")</f>
        <v/>
      </c>
      <c r="D2394" s="163" t="str">
        <f>IF(AND('Resource Planner'!$A$57="☑",40&lt;='Resource Planner'!$N$57),'Resource Planner'!$D$57,"")</f>
        <v/>
      </c>
      <c r="E2394" s="163" t="str">
        <f>IF(AND('Resource Planner'!$A$57="☑",40&lt;='Resource Planner'!$N$57),'Resource Planner'!$E$57,"")</f>
        <v/>
      </c>
      <c r="F2394" s="163" t="str">
        <f>IF(AND('Resource Planner'!$A$57="☑",40&lt;='Resource Planner'!$N$57),'Resource Planner'!$F$57&amp;" "&amp;('Resource Planner'!$G$57+(40-1)*'Resource Planner'!$I$57)&amp;IF(('Resource Planner'!$G$57+(40-1)*'Resource Planner'!$I$57)=MIN('Resource Planner'!$G$57+40*'Resource Planner'!$I$57-1,'Resource Planner'!$H$57),"","–"&amp;MIN('Resource Planner'!$G$57+40*'Resource Planner'!$I$57-1,'Resource Planner'!$H$57)),"")</f>
        <v/>
      </c>
      <c r="G2394" s="163" t="s">
        <v>109</v>
      </c>
      <c r="H2394" s="163" t="str">
        <f>IF(AND('Resource Planner'!$A$57="☑",40&lt;='Resource Planner'!$N$57),'Resource Planner'!$M$57,"")</f>
        <v/>
      </c>
    </row>
    <row r="2395" ht="15.75" customHeight="1">
      <c r="A23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5" s="163" t="str">
        <f>IF(AND('Resource Planner'!$A$57="☑",41&lt;='Resource Planner'!$N$57),'Resource Planner'!$C$57,"")</f>
        <v/>
      </c>
      <c r="C2395" s="163" t="str">
        <f>IF(AND('Resource Planner'!$A$57="☑",41&lt;='Resource Planner'!$N$57),'Resource Planner'!$B$57,"")</f>
        <v/>
      </c>
      <c r="D2395" s="163" t="str">
        <f>IF(AND('Resource Planner'!$A$57="☑",41&lt;='Resource Planner'!$N$57),'Resource Planner'!$D$57,"")</f>
        <v/>
      </c>
      <c r="E2395" s="163" t="str">
        <f>IF(AND('Resource Planner'!$A$57="☑",41&lt;='Resource Planner'!$N$57),'Resource Planner'!$E$57,"")</f>
        <v/>
      </c>
      <c r="F2395" s="163" t="str">
        <f>IF(AND('Resource Planner'!$A$57="☑",41&lt;='Resource Planner'!$N$57),'Resource Planner'!$F$57&amp;" "&amp;('Resource Planner'!$G$57+(41-1)*'Resource Planner'!$I$57)&amp;IF(('Resource Planner'!$G$57+(41-1)*'Resource Planner'!$I$57)=MIN('Resource Planner'!$G$57+41*'Resource Planner'!$I$57-1,'Resource Planner'!$H$57),"","–"&amp;MIN('Resource Planner'!$G$57+41*'Resource Planner'!$I$57-1,'Resource Planner'!$H$57)),"")</f>
        <v/>
      </c>
      <c r="G2395" s="163" t="s">
        <v>109</v>
      </c>
      <c r="H2395" s="163" t="str">
        <f>IF(AND('Resource Planner'!$A$57="☑",41&lt;='Resource Planner'!$N$57),'Resource Planner'!$M$57,"")</f>
        <v/>
      </c>
    </row>
    <row r="2396" ht="15.75" customHeight="1">
      <c r="A23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6" s="163" t="str">
        <f>IF(AND('Resource Planner'!$A$57="☑",42&lt;='Resource Planner'!$N$57),'Resource Planner'!$C$57,"")</f>
        <v/>
      </c>
      <c r="C2396" s="163" t="str">
        <f>IF(AND('Resource Planner'!$A$57="☑",42&lt;='Resource Planner'!$N$57),'Resource Planner'!$B$57,"")</f>
        <v/>
      </c>
      <c r="D2396" s="163" t="str">
        <f>IF(AND('Resource Planner'!$A$57="☑",42&lt;='Resource Planner'!$N$57),'Resource Planner'!$D$57,"")</f>
        <v/>
      </c>
      <c r="E2396" s="163" t="str">
        <f>IF(AND('Resource Planner'!$A$57="☑",42&lt;='Resource Planner'!$N$57),'Resource Planner'!$E$57,"")</f>
        <v/>
      </c>
      <c r="F2396" s="163" t="str">
        <f>IF(AND('Resource Planner'!$A$57="☑",42&lt;='Resource Planner'!$N$57),'Resource Planner'!$F$57&amp;" "&amp;('Resource Planner'!$G$57+(42-1)*'Resource Planner'!$I$57)&amp;IF(('Resource Planner'!$G$57+(42-1)*'Resource Planner'!$I$57)=MIN('Resource Planner'!$G$57+42*'Resource Planner'!$I$57-1,'Resource Planner'!$H$57),"","–"&amp;MIN('Resource Planner'!$G$57+42*'Resource Planner'!$I$57-1,'Resource Planner'!$H$57)),"")</f>
        <v/>
      </c>
      <c r="G2396" s="163" t="s">
        <v>109</v>
      </c>
      <c r="H2396" s="163" t="str">
        <f>IF(AND('Resource Planner'!$A$57="☑",42&lt;='Resource Planner'!$N$57),'Resource Planner'!$M$57,"")</f>
        <v/>
      </c>
    </row>
    <row r="2397" ht="15.75" customHeight="1">
      <c r="A23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7" s="163" t="str">
        <f>IF(AND('Resource Planner'!$A$57="☑",43&lt;='Resource Planner'!$N$57),'Resource Planner'!$C$57,"")</f>
        <v/>
      </c>
      <c r="C2397" s="163" t="str">
        <f>IF(AND('Resource Planner'!$A$57="☑",43&lt;='Resource Planner'!$N$57),'Resource Planner'!$B$57,"")</f>
        <v/>
      </c>
      <c r="D2397" s="163" t="str">
        <f>IF(AND('Resource Planner'!$A$57="☑",43&lt;='Resource Planner'!$N$57),'Resource Planner'!$D$57,"")</f>
        <v/>
      </c>
      <c r="E2397" s="163" t="str">
        <f>IF(AND('Resource Planner'!$A$57="☑",43&lt;='Resource Planner'!$N$57),'Resource Planner'!$E$57,"")</f>
        <v/>
      </c>
      <c r="F2397" s="163" t="str">
        <f>IF(AND('Resource Planner'!$A$57="☑",43&lt;='Resource Planner'!$N$57),'Resource Planner'!$F$57&amp;" "&amp;('Resource Planner'!$G$57+(43-1)*'Resource Planner'!$I$57)&amp;IF(('Resource Planner'!$G$57+(43-1)*'Resource Planner'!$I$57)=MIN('Resource Planner'!$G$57+43*'Resource Planner'!$I$57-1,'Resource Planner'!$H$57),"","–"&amp;MIN('Resource Planner'!$G$57+43*'Resource Planner'!$I$57-1,'Resource Planner'!$H$57)),"")</f>
        <v/>
      </c>
      <c r="G2397" s="163" t="s">
        <v>109</v>
      </c>
      <c r="H2397" s="163" t="str">
        <f>IF(AND('Resource Planner'!$A$57="☑",43&lt;='Resource Planner'!$N$57),'Resource Planner'!$M$57,"")</f>
        <v/>
      </c>
    </row>
    <row r="2398" ht="15.75" customHeight="1">
      <c r="A23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8" s="163" t="str">
        <f>IF(AND('Resource Planner'!$A$57="☑",44&lt;='Resource Planner'!$N$57),'Resource Planner'!$C$57,"")</f>
        <v/>
      </c>
      <c r="C2398" s="163" t="str">
        <f>IF(AND('Resource Planner'!$A$57="☑",44&lt;='Resource Planner'!$N$57),'Resource Planner'!$B$57,"")</f>
        <v/>
      </c>
      <c r="D2398" s="163" t="str">
        <f>IF(AND('Resource Planner'!$A$57="☑",44&lt;='Resource Planner'!$N$57),'Resource Planner'!$D$57,"")</f>
        <v/>
      </c>
      <c r="E2398" s="163" t="str">
        <f>IF(AND('Resource Planner'!$A$57="☑",44&lt;='Resource Planner'!$N$57),'Resource Planner'!$E$57,"")</f>
        <v/>
      </c>
      <c r="F2398" s="163" t="str">
        <f>IF(AND('Resource Planner'!$A$57="☑",44&lt;='Resource Planner'!$N$57),'Resource Planner'!$F$57&amp;" "&amp;('Resource Planner'!$G$57+(44-1)*'Resource Planner'!$I$57)&amp;IF(('Resource Planner'!$G$57+(44-1)*'Resource Planner'!$I$57)=MIN('Resource Planner'!$G$57+44*'Resource Planner'!$I$57-1,'Resource Planner'!$H$57),"","–"&amp;MIN('Resource Planner'!$G$57+44*'Resource Planner'!$I$57-1,'Resource Planner'!$H$57)),"")</f>
        <v/>
      </c>
      <c r="G2398" s="163" t="s">
        <v>109</v>
      </c>
      <c r="H2398" s="163" t="str">
        <f>IF(AND('Resource Planner'!$A$57="☑",44&lt;='Resource Planner'!$N$57),'Resource Planner'!$M$57,"")</f>
        <v/>
      </c>
    </row>
    <row r="2399" ht="15.75" customHeight="1">
      <c r="A23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399" s="163" t="str">
        <f>IF(AND('Resource Planner'!$A$57="☑",45&lt;='Resource Planner'!$N$57),'Resource Planner'!$C$57,"")</f>
        <v/>
      </c>
      <c r="C2399" s="163" t="str">
        <f>IF(AND('Resource Planner'!$A$57="☑",45&lt;='Resource Planner'!$N$57),'Resource Planner'!$B$57,"")</f>
        <v/>
      </c>
      <c r="D2399" s="163" t="str">
        <f>IF(AND('Resource Planner'!$A$57="☑",45&lt;='Resource Planner'!$N$57),'Resource Planner'!$D$57,"")</f>
        <v/>
      </c>
      <c r="E2399" s="163" t="str">
        <f>IF(AND('Resource Planner'!$A$57="☑",45&lt;='Resource Planner'!$N$57),'Resource Planner'!$E$57,"")</f>
        <v/>
      </c>
      <c r="F2399" s="163" t="str">
        <f>IF(AND('Resource Planner'!$A$57="☑",45&lt;='Resource Planner'!$N$57),'Resource Planner'!$F$57&amp;" "&amp;('Resource Planner'!$G$57+(45-1)*'Resource Planner'!$I$57)&amp;IF(('Resource Planner'!$G$57+(45-1)*'Resource Planner'!$I$57)=MIN('Resource Planner'!$G$57+45*'Resource Planner'!$I$57-1,'Resource Planner'!$H$57),"","–"&amp;MIN('Resource Planner'!$G$57+45*'Resource Planner'!$I$57-1,'Resource Planner'!$H$57)),"")</f>
        <v/>
      </c>
      <c r="G2399" s="163" t="s">
        <v>109</v>
      </c>
      <c r="H2399" s="163" t="str">
        <f>IF(AND('Resource Planner'!$A$57="☑",45&lt;='Resource Planner'!$N$57),'Resource Planner'!$M$57,"")</f>
        <v/>
      </c>
    </row>
    <row r="2400" ht="15.75" customHeight="1">
      <c r="A24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0" s="163" t="str">
        <f>IF(AND('Resource Planner'!$A$57="☑",46&lt;='Resource Planner'!$N$57),'Resource Planner'!$C$57,"")</f>
        <v/>
      </c>
      <c r="C2400" s="163" t="str">
        <f>IF(AND('Resource Planner'!$A$57="☑",46&lt;='Resource Planner'!$N$57),'Resource Planner'!$B$57,"")</f>
        <v/>
      </c>
      <c r="D2400" s="163" t="str">
        <f>IF(AND('Resource Planner'!$A$57="☑",46&lt;='Resource Planner'!$N$57),'Resource Planner'!$D$57,"")</f>
        <v/>
      </c>
      <c r="E2400" s="163" t="str">
        <f>IF(AND('Resource Planner'!$A$57="☑",46&lt;='Resource Planner'!$N$57),'Resource Planner'!$E$57,"")</f>
        <v/>
      </c>
      <c r="F2400" s="163" t="str">
        <f>IF(AND('Resource Planner'!$A$57="☑",46&lt;='Resource Planner'!$N$57),'Resource Planner'!$F$57&amp;" "&amp;('Resource Planner'!$G$57+(46-1)*'Resource Planner'!$I$57)&amp;IF(('Resource Planner'!$G$57+(46-1)*'Resource Planner'!$I$57)=MIN('Resource Planner'!$G$57+46*'Resource Planner'!$I$57-1,'Resource Planner'!$H$57),"","–"&amp;MIN('Resource Planner'!$G$57+46*'Resource Planner'!$I$57-1,'Resource Planner'!$H$57)),"")</f>
        <v/>
      </c>
      <c r="G2400" s="163" t="s">
        <v>109</v>
      </c>
      <c r="H2400" s="163" t="str">
        <f>IF(AND('Resource Planner'!$A$57="☑",46&lt;='Resource Planner'!$N$57),'Resource Planner'!$M$57,"")</f>
        <v/>
      </c>
    </row>
    <row r="2401" ht="15.75" customHeight="1">
      <c r="A24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1" s="163" t="str">
        <f>IF(AND('Resource Planner'!$A$57="☑",47&lt;='Resource Planner'!$N$57),'Resource Planner'!$C$57,"")</f>
        <v/>
      </c>
      <c r="C2401" s="163" t="str">
        <f>IF(AND('Resource Planner'!$A$57="☑",47&lt;='Resource Planner'!$N$57),'Resource Planner'!$B$57,"")</f>
        <v/>
      </c>
      <c r="D2401" s="163" t="str">
        <f>IF(AND('Resource Planner'!$A$57="☑",47&lt;='Resource Planner'!$N$57),'Resource Planner'!$D$57,"")</f>
        <v/>
      </c>
      <c r="E2401" s="163" t="str">
        <f>IF(AND('Resource Planner'!$A$57="☑",47&lt;='Resource Planner'!$N$57),'Resource Planner'!$E$57,"")</f>
        <v/>
      </c>
      <c r="F2401" s="163" t="str">
        <f>IF(AND('Resource Planner'!$A$57="☑",47&lt;='Resource Planner'!$N$57),'Resource Planner'!$F$57&amp;" "&amp;('Resource Planner'!$G$57+(47-1)*'Resource Planner'!$I$57)&amp;IF(('Resource Planner'!$G$57+(47-1)*'Resource Planner'!$I$57)=MIN('Resource Planner'!$G$57+47*'Resource Planner'!$I$57-1,'Resource Planner'!$H$57),"","–"&amp;MIN('Resource Planner'!$G$57+47*'Resource Planner'!$I$57-1,'Resource Planner'!$H$57)),"")</f>
        <v/>
      </c>
      <c r="G2401" s="163" t="s">
        <v>109</v>
      </c>
      <c r="H2401" s="163" t="str">
        <f>IF(AND('Resource Planner'!$A$57="☑",47&lt;='Resource Planner'!$N$57),'Resource Planner'!$M$57,"")</f>
        <v/>
      </c>
    </row>
    <row r="2402" ht="15.75" customHeight="1">
      <c r="A24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2" s="163" t="str">
        <f>IF(AND('Resource Planner'!$A$57="☑",48&lt;='Resource Planner'!$N$57),'Resource Planner'!$C$57,"")</f>
        <v/>
      </c>
      <c r="C2402" s="163" t="str">
        <f>IF(AND('Resource Planner'!$A$57="☑",48&lt;='Resource Planner'!$N$57),'Resource Planner'!$B$57,"")</f>
        <v/>
      </c>
      <c r="D2402" s="163" t="str">
        <f>IF(AND('Resource Planner'!$A$57="☑",48&lt;='Resource Planner'!$N$57),'Resource Planner'!$D$57,"")</f>
        <v/>
      </c>
      <c r="E2402" s="163" t="str">
        <f>IF(AND('Resource Planner'!$A$57="☑",48&lt;='Resource Planner'!$N$57),'Resource Planner'!$E$57,"")</f>
        <v/>
      </c>
      <c r="F2402" s="163" t="str">
        <f>IF(AND('Resource Planner'!$A$57="☑",48&lt;='Resource Planner'!$N$57),'Resource Planner'!$F$57&amp;" "&amp;('Resource Planner'!$G$57+(48-1)*'Resource Planner'!$I$57)&amp;IF(('Resource Planner'!$G$57+(48-1)*'Resource Planner'!$I$57)=MIN('Resource Planner'!$G$57+48*'Resource Planner'!$I$57-1,'Resource Planner'!$H$57),"","–"&amp;MIN('Resource Planner'!$G$57+48*'Resource Planner'!$I$57-1,'Resource Planner'!$H$57)),"")</f>
        <v/>
      </c>
      <c r="G2402" s="163" t="s">
        <v>109</v>
      </c>
      <c r="H2402" s="163" t="str">
        <f>IF(AND('Resource Planner'!$A$57="☑",48&lt;='Resource Planner'!$N$57),'Resource Planner'!$M$57,"")</f>
        <v/>
      </c>
    </row>
    <row r="2403" ht="15.75" customHeight="1">
      <c r="A24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3" s="163" t="str">
        <f>IF(AND('Resource Planner'!$A$57="☑",49&lt;='Resource Planner'!$N$57),'Resource Planner'!$C$57,"")</f>
        <v/>
      </c>
      <c r="C2403" s="163" t="str">
        <f>IF(AND('Resource Planner'!$A$57="☑",49&lt;='Resource Planner'!$N$57),'Resource Planner'!$B$57,"")</f>
        <v/>
      </c>
      <c r="D2403" s="163" t="str">
        <f>IF(AND('Resource Planner'!$A$57="☑",49&lt;='Resource Planner'!$N$57),'Resource Planner'!$D$57,"")</f>
        <v/>
      </c>
      <c r="E2403" s="163" t="str">
        <f>IF(AND('Resource Planner'!$A$57="☑",49&lt;='Resource Planner'!$N$57),'Resource Planner'!$E$57,"")</f>
        <v/>
      </c>
      <c r="F2403" s="163" t="str">
        <f>IF(AND('Resource Planner'!$A$57="☑",49&lt;='Resource Planner'!$N$57),'Resource Planner'!$F$57&amp;" "&amp;('Resource Planner'!$G$57+(49-1)*'Resource Planner'!$I$57)&amp;IF(('Resource Planner'!$G$57+(49-1)*'Resource Planner'!$I$57)=MIN('Resource Planner'!$G$57+49*'Resource Planner'!$I$57-1,'Resource Planner'!$H$57),"","–"&amp;MIN('Resource Planner'!$G$57+49*'Resource Planner'!$I$57-1,'Resource Planner'!$H$57)),"")</f>
        <v/>
      </c>
      <c r="G2403" s="163" t="s">
        <v>109</v>
      </c>
      <c r="H2403" s="163" t="str">
        <f>IF(AND('Resource Planner'!$A$57="☑",49&lt;='Resource Planner'!$N$57),'Resource Planner'!$M$57,"")</f>
        <v/>
      </c>
    </row>
    <row r="2404" ht="15.75" customHeight="1">
      <c r="A24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4" s="163" t="str">
        <f>IF(AND('Resource Planner'!$A$57="☑",50&lt;='Resource Planner'!$N$57),'Resource Planner'!$C$57,"")</f>
        <v/>
      </c>
      <c r="C2404" s="163" t="str">
        <f>IF(AND('Resource Planner'!$A$57="☑",50&lt;='Resource Planner'!$N$57),'Resource Planner'!$B$57,"")</f>
        <v/>
      </c>
      <c r="D2404" s="163" t="str">
        <f>IF(AND('Resource Planner'!$A$57="☑",50&lt;='Resource Planner'!$N$57),'Resource Planner'!$D$57,"")</f>
        <v/>
      </c>
      <c r="E2404" s="163" t="str">
        <f>IF(AND('Resource Planner'!$A$57="☑",50&lt;='Resource Planner'!$N$57),'Resource Planner'!$E$57,"")</f>
        <v/>
      </c>
      <c r="F2404" s="163" t="str">
        <f>IF(AND('Resource Planner'!$A$57="☑",50&lt;='Resource Planner'!$N$57),'Resource Planner'!$F$57&amp;" "&amp;('Resource Planner'!$G$57+(50-1)*'Resource Planner'!$I$57)&amp;IF(('Resource Planner'!$G$57+(50-1)*'Resource Planner'!$I$57)=MIN('Resource Planner'!$G$57+50*'Resource Planner'!$I$57-1,'Resource Planner'!$H$57),"","–"&amp;MIN('Resource Planner'!$G$57+50*'Resource Planner'!$I$57-1,'Resource Planner'!$H$57)),"")</f>
        <v/>
      </c>
      <c r="G2404" s="163" t="s">
        <v>109</v>
      </c>
      <c r="H2404" s="163" t="str">
        <f>IF(AND('Resource Planner'!$A$57="☑",50&lt;='Resource Planner'!$N$57),'Resource Planner'!$M$57,"")</f>
        <v/>
      </c>
    </row>
    <row r="2405" ht="15.75" customHeight="1">
      <c r="A24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5" s="163" t="str">
        <f>IF(AND('Resource Planner'!$A$58="☑",1&lt;='Resource Planner'!$N$58),'Resource Planner'!$C$58,"")</f>
        <v/>
      </c>
      <c r="C2405" s="163" t="str">
        <f>IF(AND('Resource Planner'!$A$58="☑",1&lt;='Resource Planner'!$N$58),'Resource Planner'!$B$58,"")</f>
        <v/>
      </c>
      <c r="D2405" s="163" t="str">
        <f>IF(AND('Resource Planner'!$A$58="☑",1&lt;='Resource Planner'!$N$58),'Resource Planner'!$D$58,"")</f>
        <v/>
      </c>
      <c r="E2405" s="163" t="str">
        <f>IF(AND('Resource Planner'!$A$58="☑",1&lt;='Resource Planner'!$N$58),'Resource Planner'!$E$58,"")</f>
        <v/>
      </c>
      <c r="F2405" s="163" t="str">
        <f>IF(AND('Resource Planner'!$A$58="☑",1&lt;='Resource Planner'!$N$58),'Resource Planner'!$F$58&amp;" "&amp;('Resource Planner'!$G$58+(1-1)*'Resource Planner'!$I$58)&amp;IF(('Resource Planner'!$G$58+(1-1)*'Resource Planner'!$I$58)=MIN('Resource Planner'!$G$58+1*'Resource Planner'!$I$58-1,'Resource Planner'!$H$58),"","–"&amp;MIN('Resource Planner'!$G$58+1*'Resource Planner'!$I$58-1,'Resource Planner'!$H$58)),"")</f>
        <v/>
      </c>
      <c r="G2405" s="163" t="s">
        <v>109</v>
      </c>
      <c r="H2405" s="163" t="str">
        <f>IF(AND('Resource Planner'!$A$58="☑",1&lt;='Resource Planner'!$N$58),'Resource Planner'!$M$58,"")</f>
        <v/>
      </c>
    </row>
    <row r="2406" ht="15.75" customHeight="1">
      <c r="A24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6" s="163" t="str">
        <f>IF(AND('Resource Planner'!$A$58="☑",2&lt;='Resource Planner'!$N$58),'Resource Planner'!$C$58,"")</f>
        <v/>
      </c>
      <c r="C2406" s="163" t="str">
        <f>IF(AND('Resource Planner'!$A$58="☑",2&lt;='Resource Planner'!$N$58),'Resource Planner'!$B$58,"")</f>
        <v/>
      </c>
      <c r="D2406" s="163" t="str">
        <f>IF(AND('Resource Planner'!$A$58="☑",2&lt;='Resource Planner'!$N$58),'Resource Planner'!$D$58,"")</f>
        <v/>
      </c>
      <c r="E2406" s="163" t="str">
        <f>IF(AND('Resource Planner'!$A$58="☑",2&lt;='Resource Planner'!$N$58),'Resource Planner'!$E$58,"")</f>
        <v/>
      </c>
      <c r="F2406" s="163" t="str">
        <f>IF(AND('Resource Planner'!$A$58="☑",2&lt;='Resource Planner'!$N$58),'Resource Planner'!$F$58&amp;" "&amp;('Resource Planner'!$G$58+(2-1)*'Resource Planner'!$I$58)&amp;IF(('Resource Planner'!$G$58+(2-1)*'Resource Planner'!$I$58)=MIN('Resource Planner'!$G$58+2*'Resource Planner'!$I$58-1,'Resource Planner'!$H$58),"","–"&amp;MIN('Resource Planner'!$G$58+2*'Resource Planner'!$I$58-1,'Resource Planner'!$H$58)),"")</f>
        <v/>
      </c>
      <c r="G2406" s="163" t="s">
        <v>109</v>
      </c>
      <c r="H2406" s="163" t="str">
        <f>IF(AND('Resource Planner'!$A$58="☑",2&lt;='Resource Planner'!$N$58),'Resource Planner'!$M$58,"")</f>
        <v/>
      </c>
    </row>
    <row r="2407" ht="15.75" customHeight="1">
      <c r="A24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7" s="163" t="str">
        <f>IF(AND('Resource Planner'!$A$58="☑",3&lt;='Resource Planner'!$N$58),'Resource Planner'!$C$58,"")</f>
        <v/>
      </c>
      <c r="C2407" s="163" t="str">
        <f>IF(AND('Resource Planner'!$A$58="☑",3&lt;='Resource Planner'!$N$58),'Resource Planner'!$B$58,"")</f>
        <v/>
      </c>
      <c r="D2407" s="163" t="str">
        <f>IF(AND('Resource Planner'!$A$58="☑",3&lt;='Resource Planner'!$N$58),'Resource Planner'!$D$58,"")</f>
        <v/>
      </c>
      <c r="E2407" s="163" t="str">
        <f>IF(AND('Resource Planner'!$A$58="☑",3&lt;='Resource Planner'!$N$58),'Resource Planner'!$E$58,"")</f>
        <v/>
      </c>
      <c r="F2407" s="163" t="str">
        <f>IF(AND('Resource Planner'!$A$58="☑",3&lt;='Resource Planner'!$N$58),'Resource Planner'!$F$58&amp;" "&amp;('Resource Planner'!$G$58+(3-1)*'Resource Planner'!$I$58)&amp;IF(('Resource Planner'!$G$58+(3-1)*'Resource Planner'!$I$58)=MIN('Resource Planner'!$G$58+3*'Resource Planner'!$I$58-1,'Resource Planner'!$H$58),"","–"&amp;MIN('Resource Planner'!$G$58+3*'Resource Planner'!$I$58-1,'Resource Planner'!$H$58)),"")</f>
        <v/>
      </c>
      <c r="G2407" s="163" t="s">
        <v>109</v>
      </c>
      <c r="H2407" s="163" t="str">
        <f>IF(AND('Resource Planner'!$A$58="☑",3&lt;='Resource Planner'!$N$58),'Resource Planner'!$M$58,"")</f>
        <v/>
      </c>
    </row>
    <row r="2408" ht="15.75" customHeight="1">
      <c r="A24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8" s="163" t="str">
        <f>IF(AND('Resource Planner'!$A$58="☑",4&lt;='Resource Planner'!$N$58),'Resource Planner'!$C$58,"")</f>
        <v/>
      </c>
      <c r="C2408" s="163" t="str">
        <f>IF(AND('Resource Planner'!$A$58="☑",4&lt;='Resource Planner'!$N$58),'Resource Planner'!$B$58,"")</f>
        <v/>
      </c>
      <c r="D2408" s="163" t="str">
        <f>IF(AND('Resource Planner'!$A$58="☑",4&lt;='Resource Planner'!$N$58),'Resource Planner'!$D$58,"")</f>
        <v/>
      </c>
      <c r="E2408" s="163" t="str">
        <f>IF(AND('Resource Planner'!$A$58="☑",4&lt;='Resource Planner'!$N$58),'Resource Planner'!$E$58,"")</f>
        <v/>
      </c>
      <c r="F2408" s="163" t="str">
        <f>IF(AND('Resource Planner'!$A$58="☑",4&lt;='Resource Planner'!$N$58),'Resource Planner'!$F$58&amp;" "&amp;('Resource Planner'!$G$58+(4-1)*'Resource Planner'!$I$58)&amp;IF(('Resource Planner'!$G$58+(4-1)*'Resource Planner'!$I$58)=MIN('Resource Planner'!$G$58+4*'Resource Planner'!$I$58-1,'Resource Planner'!$H$58),"","–"&amp;MIN('Resource Planner'!$G$58+4*'Resource Planner'!$I$58-1,'Resource Planner'!$H$58)),"")</f>
        <v/>
      </c>
      <c r="G2408" s="163" t="s">
        <v>109</v>
      </c>
      <c r="H2408" s="163" t="str">
        <f>IF(AND('Resource Planner'!$A$58="☑",4&lt;='Resource Planner'!$N$58),'Resource Planner'!$M$58,"")</f>
        <v/>
      </c>
    </row>
    <row r="2409" ht="15.75" customHeight="1">
      <c r="A24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09" s="163" t="str">
        <f>IF(AND('Resource Planner'!$A$58="☑",5&lt;='Resource Planner'!$N$58),'Resource Planner'!$C$58,"")</f>
        <v/>
      </c>
      <c r="C2409" s="163" t="str">
        <f>IF(AND('Resource Planner'!$A$58="☑",5&lt;='Resource Planner'!$N$58),'Resource Planner'!$B$58,"")</f>
        <v/>
      </c>
      <c r="D2409" s="163" t="str">
        <f>IF(AND('Resource Planner'!$A$58="☑",5&lt;='Resource Planner'!$N$58),'Resource Planner'!$D$58,"")</f>
        <v/>
      </c>
      <c r="E2409" s="163" t="str">
        <f>IF(AND('Resource Planner'!$A$58="☑",5&lt;='Resource Planner'!$N$58),'Resource Planner'!$E$58,"")</f>
        <v/>
      </c>
      <c r="F2409" s="163" t="str">
        <f>IF(AND('Resource Planner'!$A$58="☑",5&lt;='Resource Planner'!$N$58),'Resource Planner'!$F$58&amp;" "&amp;('Resource Planner'!$G$58+(5-1)*'Resource Planner'!$I$58)&amp;IF(('Resource Planner'!$G$58+(5-1)*'Resource Planner'!$I$58)=MIN('Resource Planner'!$G$58+5*'Resource Planner'!$I$58-1,'Resource Planner'!$H$58),"","–"&amp;MIN('Resource Planner'!$G$58+5*'Resource Planner'!$I$58-1,'Resource Planner'!$H$58)),"")</f>
        <v/>
      </c>
      <c r="G2409" s="163" t="s">
        <v>109</v>
      </c>
      <c r="H2409" s="163" t="str">
        <f>IF(AND('Resource Planner'!$A$58="☑",5&lt;='Resource Planner'!$N$58),'Resource Planner'!$M$58,"")</f>
        <v/>
      </c>
    </row>
    <row r="2410" ht="15.75" customHeight="1">
      <c r="A24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0" s="163" t="str">
        <f>IF(AND('Resource Planner'!$A$58="☑",6&lt;='Resource Planner'!$N$58),'Resource Planner'!$C$58,"")</f>
        <v/>
      </c>
      <c r="C2410" s="163" t="str">
        <f>IF(AND('Resource Planner'!$A$58="☑",6&lt;='Resource Planner'!$N$58),'Resource Planner'!$B$58,"")</f>
        <v/>
      </c>
      <c r="D2410" s="163" t="str">
        <f>IF(AND('Resource Planner'!$A$58="☑",6&lt;='Resource Planner'!$N$58),'Resource Planner'!$D$58,"")</f>
        <v/>
      </c>
      <c r="E2410" s="163" t="str">
        <f>IF(AND('Resource Planner'!$A$58="☑",6&lt;='Resource Planner'!$N$58),'Resource Planner'!$E$58,"")</f>
        <v/>
      </c>
      <c r="F2410" s="163" t="str">
        <f>IF(AND('Resource Planner'!$A$58="☑",6&lt;='Resource Planner'!$N$58),'Resource Planner'!$F$58&amp;" "&amp;('Resource Planner'!$G$58+(6-1)*'Resource Planner'!$I$58)&amp;IF(('Resource Planner'!$G$58+(6-1)*'Resource Planner'!$I$58)=MIN('Resource Planner'!$G$58+6*'Resource Planner'!$I$58-1,'Resource Planner'!$H$58),"","–"&amp;MIN('Resource Planner'!$G$58+6*'Resource Planner'!$I$58-1,'Resource Planner'!$H$58)),"")</f>
        <v/>
      </c>
      <c r="G2410" s="163" t="s">
        <v>109</v>
      </c>
      <c r="H2410" s="163" t="str">
        <f>IF(AND('Resource Planner'!$A$58="☑",6&lt;='Resource Planner'!$N$58),'Resource Planner'!$M$58,"")</f>
        <v/>
      </c>
    </row>
    <row r="2411" ht="15.75" customHeight="1">
      <c r="A24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1" s="163" t="str">
        <f>IF(AND('Resource Planner'!$A$58="☑",7&lt;='Resource Planner'!$N$58),'Resource Planner'!$C$58,"")</f>
        <v/>
      </c>
      <c r="C2411" s="163" t="str">
        <f>IF(AND('Resource Planner'!$A$58="☑",7&lt;='Resource Planner'!$N$58),'Resource Planner'!$B$58,"")</f>
        <v/>
      </c>
      <c r="D2411" s="163" t="str">
        <f>IF(AND('Resource Planner'!$A$58="☑",7&lt;='Resource Planner'!$N$58),'Resource Planner'!$D$58,"")</f>
        <v/>
      </c>
      <c r="E2411" s="163" t="str">
        <f>IF(AND('Resource Planner'!$A$58="☑",7&lt;='Resource Planner'!$N$58),'Resource Planner'!$E$58,"")</f>
        <v/>
      </c>
      <c r="F2411" s="163" t="str">
        <f>IF(AND('Resource Planner'!$A$58="☑",7&lt;='Resource Planner'!$N$58),'Resource Planner'!$F$58&amp;" "&amp;('Resource Planner'!$G$58+(7-1)*'Resource Planner'!$I$58)&amp;IF(('Resource Planner'!$G$58+(7-1)*'Resource Planner'!$I$58)=MIN('Resource Planner'!$G$58+7*'Resource Planner'!$I$58-1,'Resource Planner'!$H$58),"","–"&amp;MIN('Resource Planner'!$G$58+7*'Resource Planner'!$I$58-1,'Resource Planner'!$H$58)),"")</f>
        <v/>
      </c>
      <c r="G2411" s="163" t="s">
        <v>109</v>
      </c>
      <c r="H2411" s="163" t="str">
        <f>IF(AND('Resource Planner'!$A$58="☑",7&lt;='Resource Planner'!$N$58),'Resource Planner'!$M$58,"")</f>
        <v/>
      </c>
    </row>
    <row r="2412" ht="15.75" customHeight="1">
      <c r="A24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2" s="163" t="str">
        <f>IF(AND('Resource Planner'!$A$58="☑",8&lt;='Resource Planner'!$N$58),'Resource Planner'!$C$58,"")</f>
        <v/>
      </c>
      <c r="C2412" s="163" t="str">
        <f>IF(AND('Resource Planner'!$A$58="☑",8&lt;='Resource Planner'!$N$58),'Resource Planner'!$B$58,"")</f>
        <v/>
      </c>
      <c r="D2412" s="163" t="str">
        <f>IF(AND('Resource Planner'!$A$58="☑",8&lt;='Resource Planner'!$N$58),'Resource Planner'!$D$58,"")</f>
        <v/>
      </c>
      <c r="E2412" s="163" t="str">
        <f>IF(AND('Resource Planner'!$A$58="☑",8&lt;='Resource Planner'!$N$58),'Resource Planner'!$E$58,"")</f>
        <v/>
      </c>
      <c r="F2412" s="163" t="str">
        <f>IF(AND('Resource Planner'!$A$58="☑",8&lt;='Resource Planner'!$N$58),'Resource Planner'!$F$58&amp;" "&amp;('Resource Planner'!$G$58+(8-1)*'Resource Planner'!$I$58)&amp;IF(('Resource Planner'!$G$58+(8-1)*'Resource Planner'!$I$58)=MIN('Resource Planner'!$G$58+8*'Resource Planner'!$I$58-1,'Resource Planner'!$H$58),"","–"&amp;MIN('Resource Planner'!$G$58+8*'Resource Planner'!$I$58-1,'Resource Planner'!$H$58)),"")</f>
        <v/>
      </c>
      <c r="G2412" s="163" t="s">
        <v>109</v>
      </c>
      <c r="H2412" s="163" t="str">
        <f>IF(AND('Resource Planner'!$A$58="☑",8&lt;='Resource Planner'!$N$58),'Resource Planner'!$M$58,"")</f>
        <v/>
      </c>
    </row>
    <row r="2413" ht="15.75" customHeight="1">
      <c r="A24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3" s="163" t="str">
        <f>IF(AND('Resource Planner'!$A$58="☑",9&lt;='Resource Planner'!$N$58),'Resource Planner'!$C$58,"")</f>
        <v/>
      </c>
      <c r="C2413" s="163" t="str">
        <f>IF(AND('Resource Planner'!$A$58="☑",9&lt;='Resource Planner'!$N$58),'Resource Planner'!$B$58,"")</f>
        <v/>
      </c>
      <c r="D2413" s="163" t="str">
        <f>IF(AND('Resource Planner'!$A$58="☑",9&lt;='Resource Planner'!$N$58),'Resource Planner'!$D$58,"")</f>
        <v/>
      </c>
      <c r="E2413" s="163" t="str">
        <f>IF(AND('Resource Planner'!$A$58="☑",9&lt;='Resource Planner'!$N$58),'Resource Planner'!$E$58,"")</f>
        <v/>
      </c>
      <c r="F2413" s="163" t="str">
        <f>IF(AND('Resource Planner'!$A$58="☑",9&lt;='Resource Planner'!$N$58),'Resource Planner'!$F$58&amp;" "&amp;('Resource Planner'!$G$58+(9-1)*'Resource Planner'!$I$58)&amp;IF(('Resource Planner'!$G$58+(9-1)*'Resource Planner'!$I$58)=MIN('Resource Planner'!$G$58+9*'Resource Planner'!$I$58-1,'Resource Planner'!$H$58),"","–"&amp;MIN('Resource Planner'!$G$58+9*'Resource Planner'!$I$58-1,'Resource Planner'!$H$58)),"")</f>
        <v/>
      </c>
      <c r="G2413" s="163" t="s">
        <v>109</v>
      </c>
      <c r="H2413" s="163" t="str">
        <f>IF(AND('Resource Planner'!$A$58="☑",9&lt;='Resource Planner'!$N$58),'Resource Planner'!$M$58,"")</f>
        <v/>
      </c>
    </row>
    <row r="2414" ht="15.75" customHeight="1">
      <c r="A24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4" s="163" t="str">
        <f>IF(AND('Resource Planner'!$A$58="☑",10&lt;='Resource Planner'!$N$58),'Resource Planner'!$C$58,"")</f>
        <v/>
      </c>
      <c r="C2414" s="163" t="str">
        <f>IF(AND('Resource Planner'!$A$58="☑",10&lt;='Resource Planner'!$N$58),'Resource Planner'!$B$58,"")</f>
        <v/>
      </c>
      <c r="D2414" s="163" t="str">
        <f>IF(AND('Resource Planner'!$A$58="☑",10&lt;='Resource Planner'!$N$58),'Resource Planner'!$D$58,"")</f>
        <v/>
      </c>
      <c r="E2414" s="163" t="str">
        <f>IF(AND('Resource Planner'!$A$58="☑",10&lt;='Resource Planner'!$N$58),'Resource Planner'!$E$58,"")</f>
        <v/>
      </c>
      <c r="F2414" s="163" t="str">
        <f>IF(AND('Resource Planner'!$A$58="☑",10&lt;='Resource Planner'!$N$58),'Resource Planner'!$F$58&amp;" "&amp;('Resource Planner'!$G$58+(10-1)*'Resource Planner'!$I$58)&amp;IF(('Resource Planner'!$G$58+(10-1)*'Resource Planner'!$I$58)=MIN('Resource Planner'!$G$58+10*'Resource Planner'!$I$58-1,'Resource Planner'!$H$58),"","–"&amp;MIN('Resource Planner'!$G$58+10*'Resource Planner'!$I$58-1,'Resource Planner'!$H$58)),"")</f>
        <v/>
      </c>
      <c r="G2414" s="163" t="s">
        <v>109</v>
      </c>
      <c r="H2414" s="163" t="str">
        <f>IF(AND('Resource Planner'!$A$58="☑",10&lt;='Resource Planner'!$N$58),'Resource Planner'!$M$58,"")</f>
        <v/>
      </c>
    </row>
    <row r="2415" ht="15.75" customHeight="1">
      <c r="A24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5" s="163" t="str">
        <f>IF(AND('Resource Planner'!$A$58="☑",11&lt;='Resource Planner'!$N$58),'Resource Planner'!$C$58,"")</f>
        <v/>
      </c>
      <c r="C2415" s="163" t="str">
        <f>IF(AND('Resource Planner'!$A$58="☑",11&lt;='Resource Planner'!$N$58),'Resource Planner'!$B$58,"")</f>
        <v/>
      </c>
      <c r="D2415" s="163" t="str">
        <f>IF(AND('Resource Planner'!$A$58="☑",11&lt;='Resource Planner'!$N$58),'Resource Planner'!$D$58,"")</f>
        <v/>
      </c>
      <c r="E2415" s="163" t="str">
        <f>IF(AND('Resource Planner'!$A$58="☑",11&lt;='Resource Planner'!$N$58),'Resource Planner'!$E$58,"")</f>
        <v/>
      </c>
      <c r="F2415" s="163" t="str">
        <f>IF(AND('Resource Planner'!$A$58="☑",11&lt;='Resource Planner'!$N$58),'Resource Planner'!$F$58&amp;" "&amp;('Resource Planner'!$G$58+(11-1)*'Resource Planner'!$I$58)&amp;IF(('Resource Planner'!$G$58+(11-1)*'Resource Planner'!$I$58)=MIN('Resource Planner'!$G$58+11*'Resource Planner'!$I$58-1,'Resource Planner'!$H$58),"","–"&amp;MIN('Resource Planner'!$G$58+11*'Resource Planner'!$I$58-1,'Resource Planner'!$H$58)),"")</f>
        <v/>
      </c>
      <c r="G2415" s="163" t="s">
        <v>109</v>
      </c>
      <c r="H2415" s="163" t="str">
        <f>IF(AND('Resource Planner'!$A$58="☑",11&lt;='Resource Planner'!$N$58),'Resource Planner'!$M$58,"")</f>
        <v/>
      </c>
    </row>
    <row r="2416" ht="15.75" customHeight="1">
      <c r="A24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6" s="163" t="str">
        <f>IF(AND('Resource Planner'!$A$58="☑",12&lt;='Resource Planner'!$N$58),'Resource Planner'!$C$58,"")</f>
        <v/>
      </c>
      <c r="C2416" s="163" t="str">
        <f>IF(AND('Resource Planner'!$A$58="☑",12&lt;='Resource Planner'!$N$58),'Resource Planner'!$B$58,"")</f>
        <v/>
      </c>
      <c r="D2416" s="163" t="str">
        <f>IF(AND('Resource Planner'!$A$58="☑",12&lt;='Resource Planner'!$N$58),'Resource Planner'!$D$58,"")</f>
        <v/>
      </c>
      <c r="E2416" s="163" t="str">
        <f>IF(AND('Resource Planner'!$A$58="☑",12&lt;='Resource Planner'!$N$58),'Resource Planner'!$E$58,"")</f>
        <v/>
      </c>
      <c r="F2416" s="163" t="str">
        <f>IF(AND('Resource Planner'!$A$58="☑",12&lt;='Resource Planner'!$N$58),'Resource Planner'!$F$58&amp;" "&amp;('Resource Planner'!$G$58+(12-1)*'Resource Planner'!$I$58)&amp;IF(('Resource Planner'!$G$58+(12-1)*'Resource Planner'!$I$58)=MIN('Resource Planner'!$G$58+12*'Resource Planner'!$I$58-1,'Resource Planner'!$H$58),"","–"&amp;MIN('Resource Planner'!$G$58+12*'Resource Planner'!$I$58-1,'Resource Planner'!$H$58)),"")</f>
        <v/>
      </c>
      <c r="G2416" s="163" t="s">
        <v>109</v>
      </c>
      <c r="H2416" s="163" t="str">
        <f>IF(AND('Resource Planner'!$A$58="☑",12&lt;='Resource Planner'!$N$58),'Resource Planner'!$M$58,"")</f>
        <v/>
      </c>
    </row>
    <row r="2417" ht="15.75" customHeight="1">
      <c r="A24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7" s="163" t="str">
        <f>IF(AND('Resource Planner'!$A$58="☑",13&lt;='Resource Planner'!$N$58),'Resource Planner'!$C$58,"")</f>
        <v/>
      </c>
      <c r="C2417" s="163" t="str">
        <f>IF(AND('Resource Planner'!$A$58="☑",13&lt;='Resource Planner'!$N$58),'Resource Planner'!$B$58,"")</f>
        <v/>
      </c>
      <c r="D2417" s="163" t="str">
        <f>IF(AND('Resource Planner'!$A$58="☑",13&lt;='Resource Planner'!$N$58),'Resource Planner'!$D$58,"")</f>
        <v/>
      </c>
      <c r="E2417" s="163" t="str">
        <f>IF(AND('Resource Planner'!$A$58="☑",13&lt;='Resource Planner'!$N$58),'Resource Planner'!$E$58,"")</f>
        <v/>
      </c>
      <c r="F2417" s="163" t="str">
        <f>IF(AND('Resource Planner'!$A$58="☑",13&lt;='Resource Planner'!$N$58),'Resource Planner'!$F$58&amp;" "&amp;('Resource Planner'!$G$58+(13-1)*'Resource Planner'!$I$58)&amp;IF(('Resource Planner'!$G$58+(13-1)*'Resource Planner'!$I$58)=MIN('Resource Planner'!$G$58+13*'Resource Planner'!$I$58-1,'Resource Planner'!$H$58),"","–"&amp;MIN('Resource Planner'!$G$58+13*'Resource Planner'!$I$58-1,'Resource Planner'!$H$58)),"")</f>
        <v/>
      </c>
      <c r="G2417" s="163" t="s">
        <v>109</v>
      </c>
      <c r="H2417" s="163" t="str">
        <f>IF(AND('Resource Planner'!$A$58="☑",13&lt;='Resource Planner'!$N$58),'Resource Planner'!$M$58,"")</f>
        <v/>
      </c>
    </row>
    <row r="2418" ht="15.75" customHeight="1">
      <c r="A24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8" s="163" t="str">
        <f>IF(AND('Resource Planner'!$A$58="☑",14&lt;='Resource Planner'!$N$58),'Resource Planner'!$C$58,"")</f>
        <v/>
      </c>
      <c r="C2418" s="163" t="str">
        <f>IF(AND('Resource Planner'!$A$58="☑",14&lt;='Resource Planner'!$N$58),'Resource Planner'!$B$58,"")</f>
        <v/>
      </c>
      <c r="D2418" s="163" t="str">
        <f>IF(AND('Resource Planner'!$A$58="☑",14&lt;='Resource Planner'!$N$58),'Resource Planner'!$D$58,"")</f>
        <v/>
      </c>
      <c r="E2418" s="163" t="str">
        <f>IF(AND('Resource Planner'!$A$58="☑",14&lt;='Resource Planner'!$N$58),'Resource Planner'!$E$58,"")</f>
        <v/>
      </c>
      <c r="F2418" s="163" t="str">
        <f>IF(AND('Resource Planner'!$A$58="☑",14&lt;='Resource Planner'!$N$58),'Resource Planner'!$F$58&amp;" "&amp;('Resource Planner'!$G$58+(14-1)*'Resource Planner'!$I$58)&amp;IF(('Resource Planner'!$G$58+(14-1)*'Resource Planner'!$I$58)=MIN('Resource Planner'!$G$58+14*'Resource Planner'!$I$58-1,'Resource Planner'!$H$58),"","–"&amp;MIN('Resource Planner'!$G$58+14*'Resource Planner'!$I$58-1,'Resource Planner'!$H$58)),"")</f>
        <v/>
      </c>
      <c r="G2418" s="163" t="s">
        <v>109</v>
      </c>
      <c r="H2418" s="163" t="str">
        <f>IF(AND('Resource Planner'!$A$58="☑",14&lt;='Resource Planner'!$N$58),'Resource Planner'!$M$58,"")</f>
        <v/>
      </c>
    </row>
    <row r="2419" ht="15.75" customHeight="1">
      <c r="A24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19" s="163" t="str">
        <f>IF(AND('Resource Planner'!$A$58="☑",15&lt;='Resource Planner'!$N$58),'Resource Planner'!$C$58,"")</f>
        <v/>
      </c>
      <c r="C2419" s="163" t="str">
        <f>IF(AND('Resource Planner'!$A$58="☑",15&lt;='Resource Planner'!$N$58),'Resource Planner'!$B$58,"")</f>
        <v/>
      </c>
      <c r="D2419" s="163" t="str">
        <f>IF(AND('Resource Planner'!$A$58="☑",15&lt;='Resource Planner'!$N$58),'Resource Planner'!$D$58,"")</f>
        <v/>
      </c>
      <c r="E2419" s="163" t="str">
        <f>IF(AND('Resource Planner'!$A$58="☑",15&lt;='Resource Planner'!$N$58),'Resource Planner'!$E$58,"")</f>
        <v/>
      </c>
      <c r="F2419" s="163" t="str">
        <f>IF(AND('Resource Planner'!$A$58="☑",15&lt;='Resource Planner'!$N$58),'Resource Planner'!$F$58&amp;" "&amp;('Resource Planner'!$G$58+(15-1)*'Resource Planner'!$I$58)&amp;IF(('Resource Planner'!$G$58+(15-1)*'Resource Planner'!$I$58)=MIN('Resource Planner'!$G$58+15*'Resource Planner'!$I$58-1,'Resource Planner'!$H$58),"","–"&amp;MIN('Resource Planner'!$G$58+15*'Resource Planner'!$I$58-1,'Resource Planner'!$H$58)),"")</f>
        <v/>
      </c>
      <c r="G2419" s="163" t="s">
        <v>109</v>
      </c>
      <c r="H2419" s="163" t="str">
        <f>IF(AND('Resource Planner'!$A$58="☑",15&lt;='Resource Planner'!$N$58),'Resource Planner'!$M$58,"")</f>
        <v/>
      </c>
    </row>
    <row r="2420" ht="15.75" customHeight="1">
      <c r="A24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0" s="163" t="str">
        <f>IF(AND('Resource Planner'!$A$58="☑",16&lt;='Resource Planner'!$N$58),'Resource Planner'!$C$58,"")</f>
        <v/>
      </c>
      <c r="C2420" s="163" t="str">
        <f>IF(AND('Resource Planner'!$A$58="☑",16&lt;='Resource Planner'!$N$58),'Resource Planner'!$B$58,"")</f>
        <v/>
      </c>
      <c r="D2420" s="163" t="str">
        <f>IF(AND('Resource Planner'!$A$58="☑",16&lt;='Resource Planner'!$N$58),'Resource Planner'!$D$58,"")</f>
        <v/>
      </c>
      <c r="E2420" s="163" t="str">
        <f>IF(AND('Resource Planner'!$A$58="☑",16&lt;='Resource Planner'!$N$58),'Resource Planner'!$E$58,"")</f>
        <v/>
      </c>
      <c r="F2420" s="163" t="str">
        <f>IF(AND('Resource Planner'!$A$58="☑",16&lt;='Resource Planner'!$N$58),'Resource Planner'!$F$58&amp;" "&amp;('Resource Planner'!$G$58+(16-1)*'Resource Planner'!$I$58)&amp;IF(('Resource Planner'!$G$58+(16-1)*'Resource Planner'!$I$58)=MIN('Resource Planner'!$G$58+16*'Resource Planner'!$I$58-1,'Resource Planner'!$H$58),"","–"&amp;MIN('Resource Planner'!$G$58+16*'Resource Planner'!$I$58-1,'Resource Planner'!$H$58)),"")</f>
        <v/>
      </c>
      <c r="G2420" s="163" t="s">
        <v>109</v>
      </c>
      <c r="H2420" s="163" t="str">
        <f>IF(AND('Resource Planner'!$A$58="☑",16&lt;='Resource Planner'!$N$58),'Resource Planner'!$M$58,"")</f>
        <v/>
      </c>
    </row>
    <row r="2421" ht="15.75" customHeight="1">
      <c r="A24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1" s="163" t="str">
        <f>IF(AND('Resource Planner'!$A$58="☑",17&lt;='Resource Planner'!$N$58),'Resource Planner'!$C$58,"")</f>
        <v/>
      </c>
      <c r="C2421" s="163" t="str">
        <f>IF(AND('Resource Planner'!$A$58="☑",17&lt;='Resource Planner'!$N$58),'Resource Planner'!$B$58,"")</f>
        <v/>
      </c>
      <c r="D2421" s="163" t="str">
        <f>IF(AND('Resource Planner'!$A$58="☑",17&lt;='Resource Planner'!$N$58),'Resource Planner'!$D$58,"")</f>
        <v/>
      </c>
      <c r="E2421" s="163" t="str">
        <f>IF(AND('Resource Planner'!$A$58="☑",17&lt;='Resource Planner'!$N$58),'Resource Planner'!$E$58,"")</f>
        <v/>
      </c>
      <c r="F2421" s="163" t="str">
        <f>IF(AND('Resource Planner'!$A$58="☑",17&lt;='Resource Planner'!$N$58),'Resource Planner'!$F$58&amp;" "&amp;('Resource Planner'!$G$58+(17-1)*'Resource Planner'!$I$58)&amp;IF(('Resource Planner'!$G$58+(17-1)*'Resource Planner'!$I$58)=MIN('Resource Planner'!$G$58+17*'Resource Planner'!$I$58-1,'Resource Planner'!$H$58),"","–"&amp;MIN('Resource Planner'!$G$58+17*'Resource Planner'!$I$58-1,'Resource Planner'!$H$58)),"")</f>
        <v/>
      </c>
      <c r="G2421" s="163" t="s">
        <v>109</v>
      </c>
      <c r="H2421" s="163" t="str">
        <f>IF(AND('Resource Planner'!$A$58="☑",17&lt;='Resource Planner'!$N$58),'Resource Planner'!$M$58,"")</f>
        <v/>
      </c>
    </row>
    <row r="2422" ht="15.75" customHeight="1">
      <c r="A24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2" s="163" t="str">
        <f>IF(AND('Resource Planner'!$A$58="☑",18&lt;='Resource Planner'!$N$58),'Resource Planner'!$C$58,"")</f>
        <v/>
      </c>
      <c r="C2422" s="163" t="str">
        <f>IF(AND('Resource Planner'!$A$58="☑",18&lt;='Resource Planner'!$N$58),'Resource Planner'!$B$58,"")</f>
        <v/>
      </c>
      <c r="D2422" s="163" t="str">
        <f>IF(AND('Resource Planner'!$A$58="☑",18&lt;='Resource Planner'!$N$58),'Resource Planner'!$D$58,"")</f>
        <v/>
      </c>
      <c r="E2422" s="163" t="str">
        <f>IF(AND('Resource Planner'!$A$58="☑",18&lt;='Resource Planner'!$N$58),'Resource Planner'!$E$58,"")</f>
        <v/>
      </c>
      <c r="F2422" s="163" t="str">
        <f>IF(AND('Resource Planner'!$A$58="☑",18&lt;='Resource Planner'!$N$58),'Resource Planner'!$F$58&amp;" "&amp;('Resource Planner'!$G$58+(18-1)*'Resource Planner'!$I$58)&amp;IF(('Resource Planner'!$G$58+(18-1)*'Resource Planner'!$I$58)=MIN('Resource Planner'!$G$58+18*'Resource Planner'!$I$58-1,'Resource Planner'!$H$58),"","–"&amp;MIN('Resource Planner'!$G$58+18*'Resource Planner'!$I$58-1,'Resource Planner'!$H$58)),"")</f>
        <v/>
      </c>
      <c r="G2422" s="163" t="s">
        <v>109</v>
      </c>
      <c r="H2422" s="163" t="str">
        <f>IF(AND('Resource Planner'!$A$58="☑",18&lt;='Resource Planner'!$N$58),'Resource Planner'!$M$58,"")</f>
        <v/>
      </c>
    </row>
    <row r="2423" ht="15.75" customHeight="1">
      <c r="A24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3" s="163" t="str">
        <f>IF(AND('Resource Planner'!$A$58="☑",19&lt;='Resource Planner'!$N$58),'Resource Planner'!$C$58,"")</f>
        <v/>
      </c>
      <c r="C2423" s="163" t="str">
        <f>IF(AND('Resource Planner'!$A$58="☑",19&lt;='Resource Planner'!$N$58),'Resource Planner'!$B$58,"")</f>
        <v/>
      </c>
      <c r="D2423" s="163" t="str">
        <f>IF(AND('Resource Planner'!$A$58="☑",19&lt;='Resource Planner'!$N$58),'Resource Planner'!$D$58,"")</f>
        <v/>
      </c>
      <c r="E2423" s="163" t="str">
        <f>IF(AND('Resource Planner'!$A$58="☑",19&lt;='Resource Planner'!$N$58),'Resource Planner'!$E$58,"")</f>
        <v/>
      </c>
      <c r="F2423" s="163" t="str">
        <f>IF(AND('Resource Planner'!$A$58="☑",19&lt;='Resource Planner'!$N$58),'Resource Planner'!$F$58&amp;" "&amp;('Resource Planner'!$G$58+(19-1)*'Resource Planner'!$I$58)&amp;IF(('Resource Planner'!$G$58+(19-1)*'Resource Planner'!$I$58)=MIN('Resource Planner'!$G$58+19*'Resource Planner'!$I$58-1,'Resource Planner'!$H$58),"","–"&amp;MIN('Resource Planner'!$G$58+19*'Resource Planner'!$I$58-1,'Resource Planner'!$H$58)),"")</f>
        <v/>
      </c>
      <c r="G2423" s="163" t="s">
        <v>109</v>
      </c>
      <c r="H2423" s="163" t="str">
        <f>IF(AND('Resource Planner'!$A$58="☑",19&lt;='Resource Planner'!$N$58),'Resource Planner'!$M$58,"")</f>
        <v/>
      </c>
    </row>
    <row r="2424" ht="15.75" customHeight="1">
      <c r="A24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4" s="163" t="str">
        <f>IF(AND('Resource Planner'!$A$58="☑",20&lt;='Resource Planner'!$N$58),'Resource Planner'!$C$58,"")</f>
        <v/>
      </c>
      <c r="C2424" s="163" t="str">
        <f>IF(AND('Resource Planner'!$A$58="☑",20&lt;='Resource Planner'!$N$58),'Resource Planner'!$B$58,"")</f>
        <v/>
      </c>
      <c r="D2424" s="163" t="str">
        <f>IF(AND('Resource Planner'!$A$58="☑",20&lt;='Resource Planner'!$N$58),'Resource Planner'!$D$58,"")</f>
        <v/>
      </c>
      <c r="E2424" s="163" t="str">
        <f>IF(AND('Resource Planner'!$A$58="☑",20&lt;='Resource Planner'!$N$58),'Resource Planner'!$E$58,"")</f>
        <v/>
      </c>
      <c r="F2424" s="163" t="str">
        <f>IF(AND('Resource Planner'!$A$58="☑",20&lt;='Resource Planner'!$N$58),'Resource Planner'!$F$58&amp;" "&amp;('Resource Planner'!$G$58+(20-1)*'Resource Planner'!$I$58)&amp;IF(('Resource Planner'!$G$58+(20-1)*'Resource Planner'!$I$58)=MIN('Resource Planner'!$G$58+20*'Resource Planner'!$I$58-1,'Resource Planner'!$H$58),"","–"&amp;MIN('Resource Planner'!$G$58+20*'Resource Planner'!$I$58-1,'Resource Planner'!$H$58)),"")</f>
        <v/>
      </c>
      <c r="G2424" s="163" t="s">
        <v>109</v>
      </c>
      <c r="H2424" s="163" t="str">
        <f>IF(AND('Resource Planner'!$A$58="☑",20&lt;='Resource Planner'!$N$58),'Resource Planner'!$M$58,"")</f>
        <v/>
      </c>
    </row>
    <row r="2425" ht="15.75" customHeight="1">
      <c r="A24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5" s="163" t="str">
        <f>IF(AND('Resource Planner'!$A$58="☑",21&lt;='Resource Planner'!$N$58),'Resource Planner'!$C$58,"")</f>
        <v/>
      </c>
      <c r="C2425" s="163" t="str">
        <f>IF(AND('Resource Planner'!$A$58="☑",21&lt;='Resource Planner'!$N$58),'Resource Planner'!$B$58,"")</f>
        <v/>
      </c>
      <c r="D2425" s="163" t="str">
        <f>IF(AND('Resource Planner'!$A$58="☑",21&lt;='Resource Planner'!$N$58),'Resource Planner'!$D$58,"")</f>
        <v/>
      </c>
      <c r="E2425" s="163" t="str">
        <f>IF(AND('Resource Planner'!$A$58="☑",21&lt;='Resource Planner'!$N$58),'Resource Planner'!$E$58,"")</f>
        <v/>
      </c>
      <c r="F2425" s="163" t="str">
        <f>IF(AND('Resource Planner'!$A$58="☑",21&lt;='Resource Planner'!$N$58),'Resource Planner'!$F$58&amp;" "&amp;('Resource Planner'!$G$58+(21-1)*'Resource Planner'!$I$58)&amp;IF(('Resource Planner'!$G$58+(21-1)*'Resource Planner'!$I$58)=MIN('Resource Planner'!$G$58+21*'Resource Planner'!$I$58-1,'Resource Planner'!$H$58),"","–"&amp;MIN('Resource Planner'!$G$58+21*'Resource Planner'!$I$58-1,'Resource Planner'!$H$58)),"")</f>
        <v/>
      </c>
      <c r="G2425" s="163" t="s">
        <v>109</v>
      </c>
      <c r="H2425" s="163" t="str">
        <f>IF(AND('Resource Planner'!$A$58="☑",21&lt;='Resource Planner'!$N$58),'Resource Planner'!$M$58,"")</f>
        <v/>
      </c>
    </row>
    <row r="2426" ht="15.75" customHeight="1">
      <c r="A24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6" s="163" t="str">
        <f>IF(AND('Resource Planner'!$A$58="☑",22&lt;='Resource Planner'!$N$58),'Resource Planner'!$C$58,"")</f>
        <v/>
      </c>
      <c r="C2426" s="163" t="str">
        <f>IF(AND('Resource Planner'!$A$58="☑",22&lt;='Resource Planner'!$N$58),'Resource Planner'!$B$58,"")</f>
        <v/>
      </c>
      <c r="D2426" s="163" t="str">
        <f>IF(AND('Resource Planner'!$A$58="☑",22&lt;='Resource Planner'!$N$58),'Resource Planner'!$D$58,"")</f>
        <v/>
      </c>
      <c r="E2426" s="163" t="str">
        <f>IF(AND('Resource Planner'!$A$58="☑",22&lt;='Resource Planner'!$N$58),'Resource Planner'!$E$58,"")</f>
        <v/>
      </c>
      <c r="F2426" s="163" t="str">
        <f>IF(AND('Resource Planner'!$A$58="☑",22&lt;='Resource Planner'!$N$58),'Resource Planner'!$F$58&amp;" "&amp;('Resource Planner'!$G$58+(22-1)*'Resource Planner'!$I$58)&amp;IF(('Resource Planner'!$G$58+(22-1)*'Resource Planner'!$I$58)=MIN('Resource Planner'!$G$58+22*'Resource Planner'!$I$58-1,'Resource Planner'!$H$58),"","–"&amp;MIN('Resource Planner'!$G$58+22*'Resource Planner'!$I$58-1,'Resource Planner'!$H$58)),"")</f>
        <v/>
      </c>
      <c r="G2426" s="163" t="s">
        <v>109</v>
      </c>
      <c r="H2426" s="163" t="str">
        <f>IF(AND('Resource Planner'!$A$58="☑",22&lt;='Resource Planner'!$N$58),'Resource Planner'!$M$58,"")</f>
        <v/>
      </c>
    </row>
    <row r="2427" ht="15.75" customHeight="1">
      <c r="A24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7" s="163" t="str">
        <f>IF(AND('Resource Planner'!$A$58="☑",23&lt;='Resource Planner'!$N$58),'Resource Planner'!$C$58,"")</f>
        <v/>
      </c>
      <c r="C2427" s="163" t="str">
        <f>IF(AND('Resource Planner'!$A$58="☑",23&lt;='Resource Planner'!$N$58),'Resource Planner'!$B$58,"")</f>
        <v/>
      </c>
      <c r="D2427" s="163" t="str">
        <f>IF(AND('Resource Planner'!$A$58="☑",23&lt;='Resource Planner'!$N$58),'Resource Planner'!$D$58,"")</f>
        <v/>
      </c>
      <c r="E2427" s="163" t="str">
        <f>IF(AND('Resource Planner'!$A$58="☑",23&lt;='Resource Planner'!$N$58),'Resource Planner'!$E$58,"")</f>
        <v/>
      </c>
      <c r="F2427" s="163" t="str">
        <f>IF(AND('Resource Planner'!$A$58="☑",23&lt;='Resource Planner'!$N$58),'Resource Planner'!$F$58&amp;" "&amp;('Resource Planner'!$G$58+(23-1)*'Resource Planner'!$I$58)&amp;IF(('Resource Planner'!$G$58+(23-1)*'Resource Planner'!$I$58)=MIN('Resource Planner'!$G$58+23*'Resource Planner'!$I$58-1,'Resource Planner'!$H$58),"","–"&amp;MIN('Resource Planner'!$G$58+23*'Resource Planner'!$I$58-1,'Resource Planner'!$H$58)),"")</f>
        <v/>
      </c>
      <c r="G2427" s="163" t="s">
        <v>109</v>
      </c>
      <c r="H2427" s="163" t="str">
        <f>IF(AND('Resource Planner'!$A$58="☑",23&lt;='Resource Planner'!$N$58),'Resource Planner'!$M$58,"")</f>
        <v/>
      </c>
    </row>
    <row r="2428" ht="15.75" customHeight="1">
      <c r="A24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8" s="163" t="str">
        <f>IF(AND('Resource Planner'!$A$58="☑",24&lt;='Resource Planner'!$N$58),'Resource Planner'!$C$58,"")</f>
        <v/>
      </c>
      <c r="C2428" s="163" t="str">
        <f>IF(AND('Resource Planner'!$A$58="☑",24&lt;='Resource Planner'!$N$58),'Resource Planner'!$B$58,"")</f>
        <v/>
      </c>
      <c r="D2428" s="163" t="str">
        <f>IF(AND('Resource Planner'!$A$58="☑",24&lt;='Resource Planner'!$N$58),'Resource Planner'!$D$58,"")</f>
        <v/>
      </c>
      <c r="E2428" s="163" t="str">
        <f>IF(AND('Resource Planner'!$A$58="☑",24&lt;='Resource Planner'!$N$58),'Resource Planner'!$E$58,"")</f>
        <v/>
      </c>
      <c r="F2428" s="163" t="str">
        <f>IF(AND('Resource Planner'!$A$58="☑",24&lt;='Resource Planner'!$N$58),'Resource Planner'!$F$58&amp;" "&amp;('Resource Planner'!$G$58+(24-1)*'Resource Planner'!$I$58)&amp;IF(('Resource Planner'!$G$58+(24-1)*'Resource Planner'!$I$58)=MIN('Resource Planner'!$G$58+24*'Resource Planner'!$I$58-1,'Resource Planner'!$H$58),"","–"&amp;MIN('Resource Planner'!$G$58+24*'Resource Planner'!$I$58-1,'Resource Planner'!$H$58)),"")</f>
        <v/>
      </c>
      <c r="G2428" s="163" t="s">
        <v>109</v>
      </c>
      <c r="H2428" s="163" t="str">
        <f>IF(AND('Resource Planner'!$A$58="☑",24&lt;='Resource Planner'!$N$58),'Resource Planner'!$M$58,"")</f>
        <v/>
      </c>
    </row>
    <row r="2429" ht="15.75" customHeight="1">
      <c r="A24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29" s="163" t="str">
        <f>IF(AND('Resource Planner'!$A$58="☑",25&lt;='Resource Planner'!$N$58),'Resource Planner'!$C$58,"")</f>
        <v/>
      </c>
      <c r="C2429" s="163" t="str">
        <f>IF(AND('Resource Planner'!$A$58="☑",25&lt;='Resource Planner'!$N$58),'Resource Planner'!$B$58,"")</f>
        <v/>
      </c>
      <c r="D2429" s="163" t="str">
        <f>IF(AND('Resource Planner'!$A$58="☑",25&lt;='Resource Planner'!$N$58),'Resource Planner'!$D$58,"")</f>
        <v/>
      </c>
      <c r="E2429" s="163" t="str">
        <f>IF(AND('Resource Planner'!$A$58="☑",25&lt;='Resource Planner'!$N$58),'Resource Planner'!$E$58,"")</f>
        <v/>
      </c>
      <c r="F2429" s="163" t="str">
        <f>IF(AND('Resource Planner'!$A$58="☑",25&lt;='Resource Planner'!$N$58),'Resource Planner'!$F$58&amp;" "&amp;('Resource Planner'!$G$58+(25-1)*'Resource Planner'!$I$58)&amp;IF(('Resource Planner'!$G$58+(25-1)*'Resource Planner'!$I$58)=MIN('Resource Planner'!$G$58+25*'Resource Planner'!$I$58-1,'Resource Planner'!$H$58),"","–"&amp;MIN('Resource Planner'!$G$58+25*'Resource Planner'!$I$58-1,'Resource Planner'!$H$58)),"")</f>
        <v/>
      </c>
      <c r="G2429" s="163" t="s">
        <v>109</v>
      </c>
      <c r="H2429" s="163" t="str">
        <f>IF(AND('Resource Planner'!$A$58="☑",25&lt;='Resource Planner'!$N$58),'Resource Planner'!$M$58,"")</f>
        <v/>
      </c>
    </row>
    <row r="2430" ht="15.75" customHeight="1">
      <c r="A24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0" s="163" t="str">
        <f>IF(AND('Resource Planner'!$A$58="☑",26&lt;='Resource Planner'!$N$58),'Resource Planner'!$C$58,"")</f>
        <v/>
      </c>
      <c r="C2430" s="163" t="str">
        <f>IF(AND('Resource Planner'!$A$58="☑",26&lt;='Resource Planner'!$N$58),'Resource Planner'!$B$58,"")</f>
        <v/>
      </c>
      <c r="D2430" s="163" t="str">
        <f>IF(AND('Resource Planner'!$A$58="☑",26&lt;='Resource Planner'!$N$58),'Resource Planner'!$D$58,"")</f>
        <v/>
      </c>
      <c r="E2430" s="163" t="str">
        <f>IF(AND('Resource Planner'!$A$58="☑",26&lt;='Resource Planner'!$N$58),'Resource Planner'!$E$58,"")</f>
        <v/>
      </c>
      <c r="F2430" s="163" t="str">
        <f>IF(AND('Resource Planner'!$A$58="☑",26&lt;='Resource Planner'!$N$58),'Resource Planner'!$F$58&amp;" "&amp;('Resource Planner'!$G$58+(26-1)*'Resource Planner'!$I$58)&amp;IF(('Resource Planner'!$G$58+(26-1)*'Resource Planner'!$I$58)=MIN('Resource Planner'!$G$58+26*'Resource Planner'!$I$58-1,'Resource Planner'!$H$58),"","–"&amp;MIN('Resource Planner'!$G$58+26*'Resource Planner'!$I$58-1,'Resource Planner'!$H$58)),"")</f>
        <v/>
      </c>
      <c r="G2430" s="163" t="s">
        <v>109</v>
      </c>
      <c r="H2430" s="163" t="str">
        <f>IF(AND('Resource Planner'!$A$58="☑",26&lt;='Resource Planner'!$N$58),'Resource Planner'!$M$58,"")</f>
        <v/>
      </c>
    </row>
    <row r="2431" ht="15.75" customHeight="1">
      <c r="A24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1" s="163" t="str">
        <f>IF(AND('Resource Planner'!$A$58="☑",27&lt;='Resource Planner'!$N$58),'Resource Planner'!$C$58,"")</f>
        <v/>
      </c>
      <c r="C2431" s="163" t="str">
        <f>IF(AND('Resource Planner'!$A$58="☑",27&lt;='Resource Planner'!$N$58),'Resource Planner'!$B$58,"")</f>
        <v/>
      </c>
      <c r="D2431" s="163" t="str">
        <f>IF(AND('Resource Planner'!$A$58="☑",27&lt;='Resource Planner'!$N$58),'Resource Planner'!$D$58,"")</f>
        <v/>
      </c>
      <c r="E2431" s="163" t="str">
        <f>IF(AND('Resource Planner'!$A$58="☑",27&lt;='Resource Planner'!$N$58),'Resource Planner'!$E$58,"")</f>
        <v/>
      </c>
      <c r="F2431" s="163" t="str">
        <f>IF(AND('Resource Planner'!$A$58="☑",27&lt;='Resource Planner'!$N$58),'Resource Planner'!$F$58&amp;" "&amp;('Resource Planner'!$G$58+(27-1)*'Resource Planner'!$I$58)&amp;IF(('Resource Planner'!$G$58+(27-1)*'Resource Planner'!$I$58)=MIN('Resource Planner'!$G$58+27*'Resource Planner'!$I$58-1,'Resource Planner'!$H$58),"","–"&amp;MIN('Resource Planner'!$G$58+27*'Resource Planner'!$I$58-1,'Resource Planner'!$H$58)),"")</f>
        <v/>
      </c>
      <c r="G2431" s="163" t="s">
        <v>109</v>
      </c>
      <c r="H2431" s="163" t="str">
        <f>IF(AND('Resource Planner'!$A$58="☑",27&lt;='Resource Planner'!$N$58),'Resource Planner'!$M$58,"")</f>
        <v/>
      </c>
    </row>
    <row r="2432" ht="15.75" customHeight="1">
      <c r="A24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2" s="163" t="str">
        <f>IF(AND('Resource Planner'!$A$58="☑",28&lt;='Resource Planner'!$N$58),'Resource Planner'!$C$58,"")</f>
        <v/>
      </c>
      <c r="C2432" s="163" t="str">
        <f>IF(AND('Resource Planner'!$A$58="☑",28&lt;='Resource Planner'!$N$58),'Resource Planner'!$B$58,"")</f>
        <v/>
      </c>
      <c r="D2432" s="163" t="str">
        <f>IF(AND('Resource Planner'!$A$58="☑",28&lt;='Resource Planner'!$N$58),'Resource Planner'!$D$58,"")</f>
        <v/>
      </c>
      <c r="E2432" s="163" t="str">
        <f>IF(AND('Resource Planner'!$A$58="☑",28&lt;='Resource Planner'!$N$58),'Resource Planner'!$E$58,"")</f>
        <v/>
      </c>
      <c r="F2432" s="163" t="str">
        <f>IF(AND('Resource Planner'!$A$58="☑",28&lt;='Resource Planner'!$N$58),'Resource Planner'!$F$58&amp;" "&amp;('Resource Planner'!$G$58+(28-1)*'Resource Planner'!$I$58)&amp;IF(('Resource Planner'!$G$58+(28-1)*'Resource Planner'!$I$58)=MIN('Resource Planner'!$G$58+28*'Resource Planner'!$I$58-1,'Resource Planner'!$H$58),"","–"&amp;MIN('Resource Planner'!$G$58+28*'Resource Planner'!$I$58-1,'Resource Planner'!$H$58)),"")</f>
        <v/>
      </c>
      <c r="G2432" s="163" t="s">
        <v>109</v>
      </c>
      <c r="H2432" s="163" t="str">
        <f>IF(AND('Resource Planner'!$A$58="☑",28&lt;='Resource Planner'!$N$58),'Resource Planner'!$M$58,"")</f>
        <v/>
      </c>
    </row>
    <row r="2433" ht="15.75" customHeight="1">
      <c r="A24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3" s="163" t="str">
        <f>IF(AND('Resource Planner'!$A$58="☑",29&lt;='Resource Planner'!$N$58),'Resource Planner'!$C$58,"")</f>
        <v/>
      </c>
      <c r="C2433" s="163" t="str">
        <f>IF(AND('Resource Planner'!$A$58="☑",29&lt;='Resource Planner'!$N$58),'Resource Planner'!$B$58,"")</f>
        <v/>
      </c>
      <c r="D2433" s="163" t="str">
        <f>IF(AND('Resource Planner'!$A$58="☑",29&lt;='Resource Planner'!$N$58),'Resource Planner'!$D$58,"")</f>
        <v/>
      </c>
      <c r="E2433" s="163" t="str">
        <f>IF(AND('Resource Planner'!$A$58="☑",29&lt;='Resource Planner'!$N$58),'Resource Planner'!$E$58,"")</f>
        <v/>
      </c>
      <c r="F2433" s="163" t="str">
        <f>IF(AND('Resource Planner'!$A$58="☑",29&lt;='Resource Planner'!$N$58),'Resource Planner'!$F$58&amp;" "&amp;('Resource Planner'!$G$58+(29-1)*'Resource Planner'!$I$58)&amp;IF(('Resource Planner'!$G$58+(29-1)*'Resource Planner'!$I$58)=MIN('Resource Planner'!$G$58+29*'Resource Planner'!$I$58-1,'Resource Planner'!$H$58),"","–"&amp;MIN('Resource Planner'!$G$58+29*'Resource Planner'!$I$58-1,'Resource Planner'!$H$58)),"")</f>
        <v/>
      </c>
      <c r="G2433" s="163" t="s">
        <v>109</v>
      </c>
      <c r="H2433" s="163" t="str">
        <f>IF(AND('Resource Planner'!$A$58="☑",29&lt;='Resource Planner'!$N$58),'Resource Planner'!$M$58,"")</f>
        <v/>
      </c>
    </row>
    <row r="2434" ht="15.75" customHeight="1">
      <c r="A24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4" s="163" t="str">
        <f>IF(AND('Resource Planner'!$A$58="☑",30&lt;='Resource Planner'!$N$58),'Resource Planner'!$C$58,"")</f>
        <v/>
      </c>
      <c r="C2434" s="163" t="str">
        <f>IF(AND('Resource Planner'!$A$58="☑",30&lt;='Resource Planner'!$N$58),'Resource Planner'!$B$58,"")</f>
        <v/>
      </c>
      <c r="D2434" s="163" t="str">
        <f>IF(AND('Resource Planner'!$A$58="☑",30&lt;='Resource Planner'!$N$58),'Resource Planner'!$D$58,"")</f>
        <v/>
      </c>
      <c r="E2434" s="163" t="str">
        <f>IF(AND('Resource Planner'!$A$58="☑",30&lt;='Resource Planner'!$N$58),'Resource Planner'!$E$58,"")</f>
        <v/>
      </c>
      <c r="F2434" s="163" t="str">
        <f>IF(AND('Resource Planner'!$A$58="☑",30&lt;='Resource Planner'!$N$58),'Resource Planner'!$F$58&amp;" "&amp;('Resource Planner'!$G$58+(30-1)*'Resource Planner'!$I$58)&amp;IF(('Resource Planner'!$G$58+(30-1)*'Resource Planner'!$I$58)=MIN('Resource Planner'!$G$58+30*'Resource Planner'!$I$58-1,'Resource Planner'!$H$58),"","–"&amp;MIN('Resource Planner'!$G$58+30*'Resource Planner'!$I$58-1,'Resource Planner'!$H$58)),"")</f>
        <v/>
      </c>
      <c r="G2434" s="163" t="s">
        <v>109</v>
      </c>
      <c r="H2434" s="163" t="str">
        <f>IF(AND('Resource Planner'!$A$58="☑",30&lt;='Resource Planner'!$N$58),'Resource Planner'!$M$58,"")</f>
        <v/>
      </c>
    </row>
    <row r="2435" ht="15.75" customHeight="1">
      <c r="A24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5" s="163" t="str">
        <f>IF(AND('Resource Planner'!$A$58="☑",31&lt;='Resource Planner'!$N$58),'Resource Planner'!$C$58,"")</f>
        <v/>
      </c>
      <c r="C2435" s="163" t="str">
        <f>IF(AND('Resource Planner'!$A$58="☑",31&lt;='Resource Planner'!$N$58),'Resource Planner'!$B$58,"")</f>
        <v/>
      </c>
      <c r="D2435" s="163" t="str">
        <f>IF(AND('Resource Planner'!$A$58="☑",31&lt;='Resource Planner'!$N$58),'Resource Planner'!$D$58,"")</f>
        <v/>
      </c>
      <c r="E2435" s="163" t="str">
        <f>IF(AND('Resource Planner'!$A$58="☑",31&lt;='Resource Planner'!$N$58),'Resource Planner'!$E$58,"")</f>
        <v/>
      </c>
      <c r="F2435" s="163" t="str">
        <f>IF(AND('Resource Planner'!$A$58="☑",31&lt;='Resource Planner'!$N$58),'Resource Planner'!$F$58&amp;" "&amp;('Resource Planner'!$G$58+(31-1)*'Resource Planner'!$I$58)&amp;IF(('Resource Planner'!$G$58+(31-1)*'Resource Planner'!$I$58)=MIN('Resource Planner'!$G$58+31*'Resource Planner'!$I$58-1,'Resource Planner'!$H$58),"","–"&amp;MIN('Resource Planner'!$G$58+31*'Resource Planner'!$I$58-1,'Resource Planner'!$H$58)),"")</f>
        <v/>
      </c>
      <c r="G2435" s="163" t="s">
        <v>109</v>
      </c>
      <c r="H2435" s="163" t="str">
        <f>IF(AND('Resource Planner'!$A$58="☑",31&lt;='Resource Planner'!$N$58),'Resource Planner'!$M$58,"")</f>
        <v/>
      </c>
    </row>
    <row r="2436" ht="15.75" customHeight="1">
      <c r="A24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6" s="163" t="str">
        <f>IF(AND('Resource Planner'!$A$58="☑",32&lt;='Resource Planner'!$N$58),'Resource Planner'!$C$58,"")</f>
        <v/>
      </c>
      <c r="C2436" s="163" t="str">
        <f>IF(AND('Resource Planner'!$A$58="☑",32&lt;='Resource Planner'!$N$58),'Resource Planner'!$B$58,"")</f>
        <v/>
      </c>
      <c r="D2436" s="163" t="str">
        <f>IF(AND('Resource Planner'!$A$58="☑",32&lt;='Resource Planner'!$N$58),'Resource Planner'!$D$58,"")</f>
        <v/>
      </c>
      <c r="E2436" s="163" t="str">
        <f>IF(AND('Resource Planner'!$A$58="☑",32&lt;='Resource Planner'!$N$58),'Resource Planner'!$E$58,"")</f>
        <v/>
      </c>
      <c r="F2436" s="163" t="str">
        <f>IF(AND('Resource Planner'!$A$58="☑",32&lt;='Resource Planner'!$N$58),'Resource Planner'!$F$58&amp;" "&amp;('Resource Planner'!$G$58+(32-1)*'Resource Planner'!$I$58)&amp;IF(('Resource Planner'!$G$58+(32-1)*'Resource Planner'!$I$58)=MIN('Resource Planner'!$G$58+32*'Resource Planner'!$I$58-1,'Resource Planner'!$H$58),"","–"&amp;MIN('Resource Planner'!$G$58+32*'Resource Planner'!$I$58-1,'Resource Planner'!$H$58)),"")</f>
        <v/>
      </c>
      <c r="G2436" s="163" t="s">
        <v>109</v>
      </c>
      <c r="H2436" s="163" t="str">
        <f>IF(AND('Resource Planner'!$A$58="☑",32&lt;='Resource Planner'!$N$58),'Resource Planner'!$M$58,"")</f>
        <v/>
      </c>
    </row>
    <row r="2437" ht="15.75" customHeight="1">
      <c r="A24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7" s="163" t="str">
        <f>IF(AND('Resource Planner'!$A$58="☑",33&lt;='Resource Planner'!$N$58),'Resource Planner'!$C$58,"")</f>
        <v/>
      </c>
      <c r="C2437" s="163" t="str">
        <f>IF(AND('Resource Planner'!$A$58="☑",33&lt;='Resource Planner'!$N$58),'Resource Planner'!$B$58,"")</f>
        <v/>
      </c>
      <c r="D2437" s="163" t="str">
        <f>IF(AND('Resource Planner'!$A$58="☑",33&lt;='Resource Planner'!$N$58),'Resource Planner'!$D$58,"")</f>
        <v/>
      </c>
      <c r="E2437" s="163" t="str">
        <f>IF(AND('Resource Planner'!$A$58="☑",33&lt;='Resource Planner'!$N$58),'Resource Planner'!$E$58,"")</f>
        <v/>
      </c>
      <c r="F2437" s="163" t="str">
        <f>IF(AND('Resource Planner'!$A$58="☑",33&lt;='Resource Planner'!$N$58),'Resource Planner'!$F$58&amp;" "&amp;('Resource Planner'!$G$58+(33-1)*'Resource Planner'!$I$58)&amp;IF(('Resource Planner'!$G$58+(33-1)*'Resource Planner'!$I$58)=MIN('Resource Planner'!$G$58+33*'Resource Planner'!$I$58-1,'Resource Planner'!$H$58),"","–"&amp;MIN('Resource Planner'!$G$58+33*'Resource Planner'!$I$58-1,'Resource Planner'!$H$58)),"")</f>
        <v/>
      </c>
      <c r="G2437" s="163" t="s">
        <v>109</v>
      </c>
      <c r="H2437" s="163" t="str">
        <f>IF(AND('Resource Planner'!$A$58="☑",33&lt;='Resource Planner'!$N$58),'Resource Planner'!$M$58,"")</f>
        <v/>
      </c>
    </row>
    <row r="2438" ht="15.75" customHeight="1">
      <c r="A24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8" s="163" t="str">
        <f>IF(AND('Resource Planner'!$A$58="☑",34&lt;='Resource Planner'!$N$58),'Resource Planner'!$C$58,"")</f>
        <v/>
      </c>
      <c r="C2438" s="163" t="str">
        <f>IF(AND('Resource Planner'!$A$58="☑",34&lt;='Resource Planner'!$N$58),'Resource Planner'!$B$58,"")</f>
        <v/>
      </c>
      <c r="D2438" s="163" t="str">
        <f>IF(AND('Resource Planner'!$A$58="☑",34&lt;='Resource Planner'!$N$58),'Resource Planner'!$D$58,"")</f>
        <v/>
      </c>
      <c r="E2438" s="163" t="str">
        <f>IF(AND('Resource Planner'!$A$58="☑",34&lt;='Resource Planner'!$N$58),'Resource Planner'!$E$58,"")</f>
        <v/>
      </c>
      <c r="F2438" s="163" t="str">
        <f>IF(AND('Resource Planner'!$A$58="☑",34&lt;='Resource Planner'!$N$58),'Resource Planner'!$F$58&amp;" "&amp;('Resource Planner'!$G$58+(34-1)*'Resource Planner'!$I$58)&amp;IF(('Resource Planner'!$G$58+(34-1)*'Resource Planner'!$I$58)=MIN('Resource Planner'!$G$58+34*'Resource Planner'!$I$58-1,'Resource Planner'!$H$58),"","–"&amp;MIN('Resource Planner'!$G$58+34*'Resource Planner'!$I$58-1,'Resource Planner'!$H$58)),"")</f>
        <v/>
      </c>
      <c r="G2438" s="163" t="s">
        <v>109</v>
      </c>
      <c r="H2438" s="163" t="str">
        <f>IF(AND('Resource Planner'!$A$58="☑",34&lt;='Resource Planner'!$N$58),'Resource Planner'!$M$58,"")</f>
        <v/>
      </c>
    </row>
    <row r="2439" ht="15.75" customHeight="1">
      <c r="A24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39" s="163" t="str">
        <f>IF(AND('Resource Planner'!$A$58="☑",35&lt;='Resource Planner'!$N$58),'Resource Planner'!$C$58,"")</f>
        <v/>
      </c>
      <c r="C2439" s="163" t="str">
        <f>IF(AND('Resource Planner'!$A$58="☑",35&lt;='Resource Planner'!$N$58),'Resource Planner'!$B$58,"")</f>
        <v/>
      </c>
      <c r="D2439" s="163" t="str">
        <f>IF(AND('Resource Planner'!$A$58="☑",35&lt;='Resource Planner'!$N$58),'Resource Planner'!$D$58,"")</f>
        <v/>
      </c>
      <c r="E2439" s="163" t="str">
        <f>IF(AND('Resource Planner'!$A$58="☑",35&lt;='Resource Planner'!$N$58),'Resource Planner'!$E$58,"")</f>
        <v/>
      </c>
      <c r="F2439" s="163" t="str">
        <f>IF(AND('Resource Planner'!$A$58="☑",35&lt;='Resource Planner'!$N$58),'Resource Planner'!$F$58&amp;" "&amp;('Resource Planner'!$G$58+(35-1)*'Resource Planner'!$I$58)&amp;IF(('Resource Planner'!$G$58+(35-1)*'Resource Planner'!$I$58)=MIN('Resource Planner'!$G$58+35*'Resource Planner'!$I$58-1,'Resource Planner'!$H$58),"","–"&amp;MIN('Resource Planner'!$G$58+35*'Resource Planner'!$I$58-1,'Resource Planner'!$H$58)),"")</f>
        <v/>
      </c>
      <c r="G2439" s="163" t="s">
        <v>109</v>
      </c>
      <c r="H2439" s="163" t="str">
        <f>IF(AND('Resource Planner'!$A$58="☑",35&lt;='Resource Planner'!$N$58),'Resource Planner'!$M$58,"")</f>
        <v/>
      </c>
    </row>
    <row r="2440" ht="15.75" customHeight="1">
      <c r="A24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0" s="163" t="str">
        <f>IF(AND('Resource Planner'!$A$58="☑",36&lt;='Resource Planner'!$N$58),'Resource Planner'!$C$58,"")</f>
        <v/>
      </c>
      <c r="C2440" s="163" t="str">
        <f>IF(AND('Resource Planner'!$A$58="☑",36&lt;='Resource Planner'!$N$58),'Resource Planner'!$B$58,"")</f>
        <v/>
      </c>
      <c r="D2440" s="163" t="str">
        <f>IF(AND('Resource Planner'!$A$58="☑",36&lt;='Resource Planner'!$N$58),'Resource Planner'!$D$58,"")</f>
        <v/>
      </c>
      <c r="E2440" s="163" t="str">
        <f>IF(AND('Resource Planner'!$A$58="☑",36&lt;='Resource Planner'!$N$58),'Resource Planner'!$E$58,"")</f>
        <v/>
      </c>
      <c r="F2440" s="163" t="str">
        <f>IF(AND('Resource Planner'!$A$58="☑",36&lt;='Resource Planner'!$N$58),'Resource Planner'!$F$58&amp;" "&amp;('Resource Planner'!$G$58+(36-1)*'Resource Planner'!$I$58)&amp;IF(('Resource Planner'!$G$58+(36-1)*'Resource Planner'!$I$58)=MIN('Resource Planner'!$G$58+36*'Resource Planner'!$I$58-1,'Resource Planner'!$H$58),"","–"&amp;MIN('Resource Planner'!$G$58+36*'Resource Planner'!$I$58-1,'Resource Planner'!$H$58)),"")</f>
        <v/>
      </c>
      <c r="G2440" s="163" t="s">
        <v>109</v>
      </c>
      <c r="H2440" s="163" t="str">
        <f>IF(AND('Resource Planner'!$A$58="☑",36&lt;='Resource Planner'!$N$58),'Resource Planner'!$M$58,"")</f>
        <v/>
      </c>
    </row>
    <row r="2441" ht="15.75" customHeight="1">
      <c r="A24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1" s="163" t="str">
        <f>IF(AND('Resource Planner'!$A$58="☑",37&lt;='Resource Planner'!$N$58),'Resource Planner'!$C$58,"")</f>
        <v/>
      </c>
      <c r="C2441" s="163" t="str">
        <f>IF(AND('Resource Planner'!$A$58="☑",37&lt;='Resource Planner'!$N$58),'Resource Planner'!$B$58,"")</f>
        <v/>
      </c>
      <c r="D2441" s="163" t="str">
        <f>IF(AND('Resource Planner'!$A$58="☑",37&lt;='Resource Planner'!$N$58),'Resource Planner'!$D$58,"")</f>
        <v/>
      </c>
      <c r="E2441" s="163" t="str">
        <f>IF(AND('Resource Planner'!$A$58="☑",37&lt;='Resource Planner'!$N$58),'Resource Planner'!$E$58,"")</f>
        <v/>
      </c>
      <c r="F2441" s="163" t="str">
        <f>IF(AND('Resource Planner'!$A$58="☑",37&lt;='Resource Planner'!$N$58),'Resource Planner'!$F$58&amp;" "&amp;('Resource Planner'!$G$58+(37-1)*'Resource Planner'!$I$58)&amp;IF(('Resource Planner'!$G$58+(37-1)*'Resource Planner'!$I$58)=MIN('Resource Planner'!$G$58+37*'Resource Planner'!$I$58-1,'Resource Planner'!$H$58),"","–"&amp;MIN('Resource Planner'!$G$58+37*'Resource Planner'!$I$58-1,'Resource Planner'!$H$58)),"")</f>
        <v/>
      </c>
      <c r="G2441" s="163" t="s">
        <v>109</v>
      </c>
      <c r="H2441" s="163" t="str">
        <f>IF(AND('Resource Planner'!$A$58="☑",37&lt;='Resource Planner'!$N$58),'Resource Planner'!$M$58,"")</f>
        <v/>
      </c>
    </row>
    <row r="2442" ht="15.75" customHeight="1">
      <c r="A24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2" s="163" t="str">
        <f>IF(AND('Resource Planner'!$A$58="☑",38&lt;='Resource Planner'!$N$58),'Resource Planner'!$C$58,"")</f>
        <v/>
      </c>
      <c r="C2442" s="163" t="str">
        <f>IF(AND('Resource Planner'!$A$58="☑",38&lt;='Resource Planner'!$N$58),'Resource Planner'!$B$58,"")</f>
        <v/>
      </c>
      <c r="D2442" s="163" t="str">
        <f>IF(AND('Resource Planner'!$A$58="☑",38&lt;='Resource Planner'!$N$58),'Resource Planner'!$D$58,"")</f>
        <v/>
      </c>
      <c r="E2442" s="163" t="str">
        <f>IF(AND('Resource Planner'!$A$58="☑",38&lt;='Resource Planner'!$N$58),'Resource Planner'!$E$58,"")</f>
        <v/>
      </c>
      <c r="F2442" s="163" t="str">
        <f>IF(AND('Resource Planner'!$A$58="☑",38&lt;='Resource Planner'!$N$58),'Resource Planner'!$F$58&amp;" "&amp;('Resource Planner'!$G$58+(38-1)*'Resource Planner'!$I$58)&amp;IF(('Resource Planner'!$G$58+(38-1)*'Resource Planner'!$I$58)=MIN('Resource Planner'!$G$58+38*'Resource Planner'!$I$58-1,'Resource Planner'!$H$58),"","–"&amp;MIN('Resource Planner'!$G$58+38*'Resource Planner'!$I$58-1,'Resource Planner'!$H$58)),"")</f>
        <v/>
      </c>
      <c r="G2442" s="163" t="s">
        <v>109</v>
      </c>
      <c r="H2442" s="163" t="str">
        <f>IF(AND('Resource Planner'!$A$58="☑",38&lt;='Resource Planner'!$N$58),'Resource Planner'!$M$58,"")</f>
        <v/>
      </c>
    </row>
    <row r="2443" ht="15.75" customHeight="1">
      <c r="A24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3" s="163" t="str">
        <f>IF(AND('Resource Planner'!$A$58="☑",39&lt;='Resource Planner'!$N$58),'Resource Planner'!$C$58,"")</f>
        <v/>
      </c>
      <c r="C2443" s="163" t="str">
        <f>IF(AND('Resource Planner'!$A$58="☑",39&lt;='Resource Planner'!$N$58),'Resource Planner'!$B$58,"")</f>
        <v/>
      </c>
      <c r="D2443" s="163" t="str">
        <f>IF(AND('Resource Planner'!$A$58="☑",39&lt;='Resource Planner'!$N$58),'Resource Planner'!$D$58,"")</f>
        <v/>
      </c>
      <c r="E2443" s="163" t="str">
        <f>IF(AND('Resource Planner'!$A$58="☑",39&lt;='Resource Planner'!$N$58),'Resource Planner'!$E$58,"")</f>
        <v/>
      </c>
      <c r="F2443" s="163" t="str">
        <f>IF(AND('Resource Planner'!$A$58="☑",39&lt;='Resource Planner'!$N$58),'Resource Planner'!$F$58&amp;" "&amp;('Resource Planner'!$G$58+(39-1)*'Resource Planner'!$I$58)&amp;IF(('Resource Planner'!$G$58+(39-1)*'Resource Planner'!$I$58)=MIN('Resource Planner'!$G$58+39*'Resource Planner'!$I$58-1,'Resource Planner'!$H$58),"","–"&amp;MIN('Resource Planner'!$G$58+39*'Resource Planner'!$I$58-1,'Resource Planner'!$H$58)),"")</f>
        <v/>
      </c>
      <c r="G2443" s="163" t="s">
        <v>109</v>
      </c>
      <c r="H2443" s="163" t="str">
        <f>IF(AND('Resource Planner'!$A$58="☑",39&lt;='Resource Planner'!$N$58),'Resource Planner'!$M$58,"")</f>
        <v/>
      </c>
    </row>
    <row r="2444" ht="15.75" customHeight="1">
      <c r="A24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4" s="163" t="str">
        <f>IF(AND('Resource Planner'!$A$58="☑",40&lt;='Resource Planner'!$N$58),'Resource Planner'!$C$58,"")</f>
        <v/>
      </c>
      <c r="C2444" s="163" t="str">
        <f>IF(AND('Resource Planner'!$A$58="☑",40&lt;='Resource Planner'!$N$58),'Resource Planner'!$B$58,"")</f>
        <v/>
      </c>
      <c r="D2444" s="163" t="str">
        <f>IF(AND('Resource Planner'!$A$58="☑",40&lt;='Resource Planner'!$N$58),'Resource Planner'!$D$58,"")</f>
        <v/>
      </c>
      <c r="E2444" s="163" t="str">
        <f>IF(AND('Resource Planner'!$A$58="☑",40&lt;='Resource Planner'!$N$58),'Resource Planner'!$E$58,"")</f>
        <v/>
      </c>
      <c r="F2444" s="163" t="str">
        <f>IF(AND('Resource Planner'!$A$58="☑",40&lt;='Resource Planner'!$N$58),'Resource Planner'!$F$58&amp;" "&amp;('Resource Planner'!$G$58+(40-1)*'Resource Planner'!$I$58)&amp;IF(('Resource Planner'!$G$58+(40-1)*'Resource Planner'!$I$58)=MIN('Resource Planner'!$G$58+40*'Resource Planner'!$I$58-1,'Resource Planner'!$H$58),"","–"&amp;MIN('Resource Planner'!$G$58+40*'Resource Planner'!$I$58-1,'Resource Planner'!$H$58)),"")</f>
        <v/>
      </c>
      <c r="G2444" s="163" t="s">
        <v>109</v>
      </c>
      <c r="H2444" s="163" t="str">
        <f>IF(AND('Resource Planner'!$A$58="☑",40&lt;='Resource Planner'!$N$58),'Resource Planner'!$M$58,"")</f>
        <v/>
      </c>
    </row>
    <row r="2445" ht="15.75" customHeight="1">
      <c r="A24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5" s="163" t="str">
        <f>IF(AND('Resource Planner'!$A$58="☑",41&lt;='Resource Planner'!$N$58),'Resource Planner'!$C$58,"")</f>
        <v/>
      </c>
      <c r="C2445" s="163" t="str">
        <f>IF(AND('Resource Planner'!$A$58="☑",41&lt;='Resource Planner'!$N$58),'Resource Planner'!$B$58,"")</f>
        <v/>
      </c>
      <c r="D2445" s="163" t="str">
        <f>IF(AND('Resource Planner'!$A$58="☑",41&lt;='Resource Planner'!$N$58),'Resource Planner'!$D$58,"")</f>
        <v/>
      </c>
      <c r="E2445" s="163" t="str">
        <f>IF(AND('Resource Planner'!$A$58="☑",41&lt;='Resource Planner'!$N$58),'Resource Planner'!$E$58,"")</f>
        <v/>
      </c>
      <c r="F2445" s="163" t="str">
        <f>IF(AND('Resource Planner'!$A$58="☑",41&lt;='Resource Planner'!$N$58),'Resource Planner'!$F$58&amp;" "&amp;('Resource Planner'!$G$58+(41-1)*'Resource Planner'!$I$58)&amp;IF(('Resource Planner'!$G$58+(41-1)*'Resource Planner'!$I$58)=MIN('Resource Planner'!$G$58+41*'Resource Planner'!$I$58-1,'Resource Planner'!$H$58),"","–"&amp;MIN('Resource Planner'!$G$58+41*'Resource Planner'!$I$58-1,'Resource Planner'!$H$58)),"")</f>
        <v/>
      </c>
      <c r="G2445" s="163" t="s">
        <v>109</v>
      </c>
      <c r="H2445" s="163" t="str">
        <f>IF(AND('Resource Planner'!$A$58="☑",41&lt;='Resource Planner'!$N$58),'Resource Planner'!$M$58,"")</f>
        <v/>
      </c>
    </row>
    <row r="2446" ht="15.75" customHeight="1">
      <c r="A24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6" s="163" t="str">
        <f>IF(AND('Resource Planner'!$A$58="☑",42&lt;='Resource Planner'!$N$58),'Resource Planner'!$C$58,"")</f>
        <v/>
      </c>
      <c r="C2446" s="163" t="str">
        <f>IF(AND('Resource Planner'!$A$58="☑",42&lt;='Resource Planner'!$N$58),'Resource Planner'!$B$58,"")</f>
        <v/>
      </c>
      <c r="D2446" s="163" t="str">
        <f>IF(AND('Resource Planner'!$A$58="☑",42&lt;='Resource Planner'!$N$58),'Resource Planner'!$D$58,"")</f>
        <v/>
      </c>
      <c r="E2446" s="163" t="str">
        <f>IF(AND('Resource Planner'!$A$58="☑",42&lt;='Resource Planner'!$N$58),'Resource Planner'!$E$58,"")</f>
        <v/>
      </c>
      <c r="F2446" s="163" t="str">
        <f>IF(AND('Resource Planner'!$A$58="☑",42&lt;='Resource Planner'!$N$58),'Resource Planner'!$F$58&amp;" "&amp;('Resource Planner'!$G$58+(42-1)*'Resource Planner'!$I$58)&amp;IF(('Resource Planner'!$G$58+(42-1)*'Resource Planner'!$I$58)=MIN('Resource Planner'!$G$58+42*'Resource Planner'!$I$58-1,'Resource Planner'!$H$58),"","–"&amp;MIN('Resource Planner'!$G$58+42*'Resource Planner'!$I$58-1,'Resource Planner'!$H$58)),"")</f>
        <v/>
      </c>
      <c r="G2446" s="163" t="s">
        <v>109</v>
      </c>
      <c r="H2446" s="163" t="str">
        <f>IF(AND('Resource Planner'!$A$58="☑",42&lt;='Resource Planner'!$N$58),'Resource Planner'!$M$58,"")</f>
        <v/>
      </c>
    </row>
    <row r="2447" ht="15.75" customHeight="1">
      <c r="A24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7" s="163" t="str">
        <f>IF(AND('Resource Planner'!$A$58="☑",43&lt;='Resource Planner'!$N$58),'Resource Planner'!$C$58,"")</f>
        <v/>
      </c>
      <c r="C2447" s="163" t="str">
        <f>IF(AND('Resource Planner'!$A$58="☑",43&lt;='Resource Planner'!$N$58),'Resource Planner'!$B$58,"")</f>
        <v/>
      </c>
      <c r="D2447" s="163" t="str">
        <f>IF(AND('Resource Planner'!$A$58="☑",43&lt;='Resource Planner'!$N$58),'Resource Planner'!$D$58,"")</f>
        <v/>
      </c>
      <c r="E2447" s="163" t="str">
        <f>IF(AND('Resource Planner'!$A$58="☑",43&lt;='Resource Planner'!$N$58),'Resource Planner'!$E$58,"")</f>
        <v/>
      </c>
      <c r="F2447" s="163" t="str">
        <f>IF(AND('Resource Planner'!$A$58="☑",43&lt;='Resource Planner'!$N$58),'Resource Planner'!$F$58&amp;" "&amp;('Resource Planner'!$G$58+(43-1)*'Resource Planner'!$I$58)&amp;IF(('Resource Planner'!$G$58+(43-1)*'Resource Planner'!$I$58)=MIN('Resource Planner'!$G$58+43*'Resource Planner'!$I$58-1,'Resource Planner'!$H$58),"","–"&amp;MIN('Resource Planner'!$G$58+43*'Resource Planner'!$I$58-1,'Resource Planner'!$H$58)),"")</f>
        <v/>
      </c>
      <c r="G2447" s="163" t="s">
        <v>109</v>
      </c>
      <c r="H2447" s="163" t="str">
        <f>IF(AND('Resource Planner'!$A$58="☑",43&lt;='Resource Planner'!$N$58),'Resource Planner'!$M$58,"")</f>
        <v/>
      </c>
    </row>
    <row r="2448" ht="15.75" customHeight="1">
      <c r="A24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8" s="163" t="str">
        <f>IF(AND('Resource Planner'!$A$58="☑",44&lt;='Resource Planner'!$N$58),'Resource Planner'!$C$58,"")</f>
        <v/>
      </c>
      <c r="C2448" s="163" t="str">
        <f>IF(AND('Resource Planner'!$A$58="☑",44&lt;='Resource Planner'!$N$58),'Resource Planner'!$B$58,"")</f>
        <v/>
      </c>
      <c r="D2448" s="163" t="str">
        <f>IF(AND('Resource Planner'!$A$58="☑",44&lt;='Resource Planner'!$N$58),'Resource Planner'!$D$58,"")</f>
        <v/>
      </c>
      <c r="E2448" s="163" t="str">
        <f>IF(AND('Resource Planner'!$A$58="☑",44&lt;='Resource Planner'!$N$58),'Resource Planner'!$E$58,"")</f>
        <v/>
      </c>
      <c r="F2448" s="163" t="str">
        <f>IF(AND('Resource Planner'!$A$58="☑",44&lt;='Resource Planner'!$N$58),'Resource Planner'!$F$58&amp;" "&amp;('Resource Planner'!$G$58+(44-1)*'Resource Planner'!$I$58)&amp;IF(('Resource Planner'!$G$58+(44-1)*'Resource Planner'!$I$58)=MIN('Resource Planner'!$G$58+44*'Resource Planner'!$I$58-1,'Resource Planner'!$H$58),"","–"&amp;MIN('Resource Planner'!$G$58+44*'Resource Planner'!$I$58-1,'Resource Planner'!$H$58)),"")</f>
        <v/>
      </c>
      <c r="G2448" s="163" t="s">
        <v>109</v>
      </c>
      <c r="H2448" s="163" t="str">
        <f>IF(AND('Resource Planner'!$A$58="☑",44&lt;='Resource Planner'!$N$58),'Resource Planner'!$M$58,"")</f>
        <v/>
      </c>
    </row>
    <row r="2449" ht="15.75" customHeight="1">
      <c r="A24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49" s="163" t="str">
        <f>IF(AND('Resource Planner'!$A$58="☑",45&lt;='Resource Planner'!$N$58),'Resource Planner'!$C$58,"")</f>
        <v/>
      </c>
      <c r="C2449" s="163" t="str">
        <f>IF(AND('Resource Planner'!$A$58="☑",45&lt;='Resource Planner'!$N$58),'Resource Planner'!$B$58,"")</f>
        <v/>
      </c>
      <c r="D2449" s="163" t="str">
        <f>IF(AND('Resource Planner'!$A$58="☑",45&lt;='Resource Planner'!$N$58),'Resource Planner'!$D$58,"")</f>
        <v/>
      </c>
      <c r="E2449" s="163" t="str">
        <f>IF(AND('Resource Planner'!$A$58="☑",45&lt;='Resource Planner'!$N$58),'Resource Planner'!$E$58,"")</f>
        <v/>
      </c>
      <c r="F2449" s="163" t="str">
        <f>IF(AND('Resource Planner'!$A$58="☑",45&lt;='Resource Planner'!$N$58),'Resource Planner'!$F$58&amp;" "&amp;('Resource Planner'!$G$58+(45-1)*'Resource Planner'!$I$58)&amp;IF(('Resource Planner'!$G$58+(45-1)*'Resource Planner'!$I$58)=MIN('Resource Planner'!$G$58+45*'Resource Planner'!$I$58-1,'Resource Planner'!$H$58),"","–"&amp;MIN('Resource Planner'!$G$58+45*'Resource Planner'!$I$58-1,'Resource Planner'!$H$58)),"")</f>
        <v/>
      </c>
      <c r="G2449" s="163" t="s">
        <v>109</v>
      </c>
      <c r="H2449" s="163" t="str">
        <f>IF(AND('Resource Planner'!$A$58="☑",45&lt;='Resource Planner'!$N$58),'Resource Planner'!$M$58,"")</f>
        <v/>
      </c>
    </row>
    <row r="2450" ht="15.75" customHeight="1">
      <c r="A24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0" s="163" t="str">
        <f>IF(AND('Resource Planner'!$A$58="☑",46&lt;='Resource Planner'!$N$58),'Resource Planner'!$C$58,"")</f>
        <v/>
      </c>
      <c r="C2450" s="163" t="str">
        <f>IF(AND('Resource Planner'!$A$58="☑",46&lt;='Resource Planner'!$N$58),'Resource Planner'!$B$58,"")</f>
        <v/>
      </c>
      <c r="D2450" s="163" t="str">
        <f>IF(AND('Resource Planner'!$A$58="☑",46&lt;='Resource Planner'!$N$58),'Resource Planner'!$D$58,"")</f>
        <v/>
      </c>
      <c r="E2450" s="163" t="str">
        <f>IF(AND('Resource Planner'!$A$58="☑",46&lt;='Resource Planner'!$N$58),'Resource Planner'!$E$58,"")</f>
        <v/>
      </c>
      <c r="F2450" s="163" t="str">
        <f>IF(AND('Resource Planner'!$A$58="☑",46&lt;='Resource Planner'!$N$58),'Resource Planner'!$F$58&amp;" "&amp;('Resource Planner'!$G$58+(46-1)*'Resource Planner'!$I$58)&amp;IF(('Resource Planner'!$G$58+(46-1)*'Resource Planner'!$I$58)=MIN('Resource Planner'!$G$58+46*'Resource Planner'!$I$58-1,'Resource Planner'!$H$58),"","–"&amp;MIN('Resource Planner'!$G$58+46*'Resource Planner'!$I$58-1,'Resource Planner'!$H$58)),"")</f>
        <v/>
      </c>
      <c r="G2450" s="163" t="s">
        <v>109</v>
      </c>
      <c r="H2450" s="163" t="str">
        <f>IF(AND('Resource Planner'!$A$58="☑",46&lt;='Resource Planner'!$N$58),'Resource Planner'!$M$58,"")</f>
        <v/>
      </c>
    </row>
    <row r="2451" ht="15.75" customHeight="1">
      <c r="A24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1" s="163" t="str">
        <f>IF(AND('Resource Planner'!$A$58="☑",47&lt;='Resource Planner'!$N$58),'Resource Planner'!$C$58,"")</f>
        <v/>
      </c>
      <c r="C2451" s="163" t="str">
        <f>IF(AND('Resource Planner'!$A$58="☑",47&lt;='Resource Planner'!$N$58),'Resource Planner'!$B$58,"")</f>
        <v/>
      </c>
      <c r="D2451" s="163" t="str">
        <f>IF(AND('Resource Planner'!$A$58="☑",47&lt;='Resource Planner'!$N$58),'Resource Planner'!$D$58,"")</f>
        <v/>
      </c>
      <c r="E2451" s="163" t="str">
        <f>IF(AND('Resource Planner'!$A$58="☑",47&lt;='Resource Planner'!$N$58),'Resource Planner'!$E$58,"")</f>
        <v/>
      </c>
      <c r="F2451" s="163" t="str">
        <f>IF(AND('Resource Planner'!$A$58="☑",47&lt;='Resource Planner'!$N$58),'Resource Planner'!$F$58&amp;" "&amp;('Resource Planner'!$G$58+(47-1)*'Resource Planner'!$I$58)&amp;IF(('Resource Planner'!$G$58+(47-1)*'Resource Planner'!$I$58)=MIN('Resource Planner'!$G$58+47*'Resource Planner'!$I$58-1,'Resource Planner'!$H$58),"","–"&amp;MIN('Resource Planner'!$G$58+47*'Resource Planner'!$I$58-1,'Resource Planner'!$H$58)),"")</f>
        <v/>
      </c>
      <c r="G2451" s="163" t="s">
        <v>109</v>
      </c>
      <c r="H2451" s="163" t="str">
        <f>IF(AND('Resource Planner'!$A$58="☑",47&lt;='Resource Planner'!$N$58),'Resource Planner'!$M$58,"")</f>
        <v/>
      </c>
    </row>
    <row r="2452" ht="15.75" customHeight="1">
      <c r="A24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2" s="163" t="str">
        <f>IF(AND('Resource Planner'!$A$58="☑",48&lt;='Resource Planner'!$N$58),'Resource Planner'!$C$58,"")</f>
        <v/>
      </c>
      <c r="C2452" s="163" t="str">
        <f>IF(AND('Resource Planner'!$A$58="☑",48&lt;='Resource Planner'!$N$58),'Resource Planner'!$B$58,"")</f>
        <v/>
      </c>
      <c r="D2452" s="163" t="str">
        <f>IF(AND('Resource Planner'!$A$58="☑",48&lt;='Resource Planner'!$N$58),'Resource Planner'!$D$58,"")</f>
        <v/>
      </c>
      <c r="E2452" s="163" t="str">
        <f>IF(AND('Resource Planner'!$A$58="☑",48&lt;='Resource Planner'!$N$58),'Resource Planner'!$E$58,"")</f>
        <v/>
      </c>
      <c r="F2452" s="163" t="str">
        <f>IF(AND('Resource Planner'!$A$58="☑",48&lt;='Resource Planner'!$N$58),'Resource Planner'!$F$58&amp;" "&amp;('Resource Planner'!$G$58+(48-1)*'Resource Planner'!$I$58)&amp;IF(('Resource Planner'!$G$58+(48-1)*'Resource Planner'!$I$58)=MIN('Resource Planner'!$G$58+48*'Resource Planner'!$I$58-1,'Resource Planner'!$H$58),"","–"&amp;MIN('Resource Planner'!$G$58+48*'Resource Planner'!$I$58-1,'Resource Planner'!$H$58)),"")</f>
        <v/>
      </c>
      <c r="G2452" s="163" t="s">
        <v>109</v>
      </c>
      <c r="H2452" s="163" t="str">
        <f>IF(AND('Resource Planner'!$A$58="☑",48&lt;='Resource Planner'!$N$58),'Resource Planner'!$M$58,"")</f>
        <v/>
      </c>
    </row>
    <row r="2453" ht="15.75" customHeight="1">
      <c r="A24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3" s="163" t="str">
        <f>IF(AND('Resource Planner'!$A$58="☑",49&lt;='Resource Planner'!$N$58),'Resource Planner'!$C$58,"")</f>
        <v/>
      </c>
      <c r="C2453" s="163" t="str">
        <f>IF(AND('Resource Planner'!$A$58="☑",49&lt;='Resource Planner'!$N$58),'Resource Planner'!$B$58,"")</f>
        <v/>
      </c>
      <c r="D2453" s="163" t="str">
        <f>IF(AND('Resource Planner'!$A$58="☑",49&lt;='Resource Planner'!$N$58),'Resource Planner'!$D$58,"")</f>
        <v/>
      </c>
      <c r="E2453" s="163" t="str">
        <f>IF(AND('Resource Planner'!$A$58="☑",49&lt;='Resource Planner'!$N$58),'Resource Planner'!$E$58,"")</f>
        <v/>
      </c>
      <c r="F2453" s="163" t="str">
        <f>IF(AND('Resource Planner'!$A$58="☑",49&lt;='Resource Planner'!$N$58),'Resource Planner'!$F$58&amp;" "&amp;('Resource Planner'!$G$58+(49-1)*'Resource Planner'!$I$58)&amp;IF(('Resource Planner'!$G$58+(49-1)*'Resource Planner'!$I$58)=MIN('Resource Planner'!$G$58+49*'Resource Planner'!$I$58-1,'Resource Planner'!$H$58),"","–"&amp;MIN('Resource Planner'!$G$58+49*'Resource Planner'!$I$58-1,'Resource Planner'!$H$58)),"")</f>
        <v/>
      </c>
      <c r="G2453" s="163" t="s">
        <v>109</v>
      </c>
      <c r="H2453" s="163" t="str">
        <f>IF(AND('Resource Planner'!$A$58="☑",49&lt;='Resource Planner'!$N$58),'Resource Planner'!$M$58,"")</f>
        <v/>
      </c>
    </row>
    <row r="2454" ht="15.75" customHeight="1">
      <c r="A24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4" s="163" t="str">
        <f>IF(AND('Resource Planner'!$A$58="☑",50&lt;='Resource Planner'!$N$58),'Resource Planner'!$C$58,"")</f>
        <v/>
      </c>
      <c r="C2454" s="163" t="str">
        <f>IF(AND('Resource Planner'!$A$58="☑",50&lt;='Resource Planner'!$N$58),'Resource Planner'!$B$58,"")</f>
        <v/>
      </c>
      <c r="D2454" s="163" t="str">
        <f>IF(AND('Resource Planner'!$A$58="☑",50&lt;='Resource Planner'!$N$58),'Resource Planner'!$D$58,"")</f>
        <v/>
      </c>
      <c r="E2454" s="163" t="str">
        <f>IF(AND('Resource Planner'!$A$58="☑",50&lt;='Resource Planner'!$N$58),'Resource Planner'!$E$58,"")</f>
        <v/>
      </c>
      <c r="F2454" s="163" t="str">
        <f>IF(AND('Resource Planner'!$A$58="☑",50&lt;='Resource Planner'!$N$58),'Resource Planner'!$F$58&amp;" "&amp;('Resource Planner'!$G$58+(50-1)*'Resource Planner'!$I$58)&amp;IF(('Resource Planner'!$G$58+(50-1)*'Resource Planner'!$I$58)=MIN('Resource Planner'!$G$58+50*'Resource Planner'!$I$58-1,'Resource Planner'!$H$58),"","–"&amp;MIN('Resource Planner'!$G$58+50*'Resource Planner'!$I$58-1,'Resource Planner'!$H$58)),"")</f>
        <v/>
      </c>
      <c r="G2454" s="163" t="s">
        <v>109</v>
      </c>
      <c r="H2454" s="163" t="str">
        <f>IF(AND('Resource Planner'!$A$58="☑",50&lt;='Resource Planner'!$N$58),'Resource Planner'!$M$58,"")</f>
        <v/>
      </c>
    </row>
    <row r="2455" ht="15.75" customHeight="1">
      <c r="A24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5" s="163" t="str">
        <f>IF(AND('Resource Planner'!$A$59="☑",1&lt;='Resource Planner'!$N$59),'Resource Planner'!$C$59,"")</f>
        <v/>
      </c>
      <c r="C2455" s="163" t="str">
        <f>IF(AND('Resource Planner'!$A$59="☑",1&lt;='Resource Planner'!$N$59),'Resource Planner'!$B$59,"")</f>
        <v/>
      </c>
      <c r="D2455" s="163" t="str">
        <f>IF(AND('Resource Planner'!$A$59="☑",1&lt;='Resource Planner'!$N$59),'Resource Planner'!$D$59,"")</f>
        <v/>
      </c>
      <c r="E2455" s="163" t="str">
        <f>IF(AND('Resource Planner'!$A$59="☑",1&lt;='Resource Planner'!$N$59),'Resource Planner'!$E$59,"")</f>
        <v/>
      </c>
      <c r="F2455" s="163" t="str">
        <f>IF(AND('Resource Planner'!$A$59="☑",1&lt;='Resource Planner'!$N$59),'Resource Planner'!$F$59&amp;" "&amp;('Resource Planner'!$G$59+(1-1)*'Resource Planner'!$I$59)&amp;IF(('Resource Planner'!$G$59+(1-1)*'Resource Planner'!$I$59)=MIN('Resource Planner'!$G$59+1*'Resource Planner'!$I$59-1,'Resource Planner'!$H$59),"","–"&amp;MIN('Resource Planner'!$G$59+1*'Resource Planner'!$I$59-1,'Resource Planner'!$H$59)),"")</f>
        <v/>
      </c>
      <c r="G2455" s="163" t="s">
        <v>109</v>
      </c>
      <c r="H2455" s="163" t="str">
        <f>IF(AND('Resource Planner'!$A$59="☑",1&lt;='Resource Planner'!$N$59),'Resource Planner'!$M$59,"")</f>
        <v/>
      </c>
    </row>
    <row r="2456" ht="15.75" customHeight="1">
      <c r="A24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6" s="163" t="str">
        <f>IF(AND('Resource Planner'!$A$59="☑",2&lt;='Resource Planner'!$N$59),'Resource Planner'!$C$59,"")</f>
        <v/>
      </c>
      <c r="C2456" s="163" t="str">
        <f>IF(AND('Resource Planner'!$A$59="☑",2&lt;='Resource Planner'!$N$59),'Resource Planner'!$B$59,"")</f>
        <v/>
      </c>
      <c r="D2456" s="163" t="str">
        <f>IF(AND('Resource Planner'!$A$59="☑",2&lt;='Resource Planner'!$N$59),'Resource Planner'!$D$59,"")</f>
        <v/>
      </c>
      <c r="E2456" s="163" t="str">
        <f>IF(AND('Resource Planner'!$A$59="☑",2&lt;='Resource Planner'!$N$59),'Resource Planner'!$E$59,"")</f>
        <v/>
      </c>
      <c r="F2456" s="163" t="str">
        <f>IF(AND('Resource Planner'!$A$59="☑",2&lt;='Resource Planner'!$N$59),'Resource Planner'!$F$59&amp;" "&amp;('Resource Planner'!$G$59+(2-1)*'Resource Planner'!$I$59)&amp;IF(('Resource Planner'!$G$59+(2-1)*'Resource Planner'!$I$59)=MIN('Resource Planner'!$G$59+2*'Resource Planner'!$I$59-1,'Resource Planner'!$H$59),"","–"&amp;MIN('Resource Planner'!$G$59+2*'Resource Planner'!$I$59-1,'Resource Planner'!$H$59)),"")</f>
        <v/>
      </c>
      <c r="G2456" s="163" t="s">
        <v>109</v>
      </c>
      <c r="H2456" s="163" t="str">
        <f>IF(AND('Resource Planner'!$A$59="☑",2&lt;='Resource Planner'!$N$59),'Resource Planner'!$M$59,"")</f>
        <v/>
      </c>
    </row>
    <row r="2457" ht="15.75" customHeight="1">
      <c r="A24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7" s="163" t="str">
        <f>IF(AND('Resource Planner'!$A$59="☑",3&lt;='Resource Planner'!$N$59),'Resource Planner'!$C$59,"")</f>
        <v/>
      </c>
      <c r="C2457" s="163" t="str">
        <f>IF(AND('Resource Planner'!$A$59="☑",3&lt;='Resource Planner'!$N$59),'Resource Planner'!$B$59,"")</f>
        <v/>
      </c>
      <c r="D2457" s="163" t="str">
        <f>IF(AND('Resource Planner'!$A$59="☑",3&lt;='Resource Planner'!$N$59),'Resource Planner'!$D$59,"")</f>
        <v/>
      </c>
      <c r="E2457" s="163" t="str">
        <f>IF(AND('Resource Planner'!$A$59="☑",3&lt;='Resource Planner'!$N$59),'Resource Planner'!$E$59,"")</f>
        <v/>
      </c>
      <c r="F2457" s="163" t="str">
        <f>IF(AND('Resource Planner'!$A$59="☑",3&lt;='Resource Planner'!$N$59),'Resource Planner'!$F$59&amp;" "&amp;('Resource Planner'!$G$59+(3-1)*'Resource Planner'!$I$59)&amp;IF(('Resource Planner'!$G$59+(3-1)*'Resource Planner'!$I$59)=MIN('Resource Planner'!$G$59+3*'Resource Planner'!$I$59-1,'Resource Planner'!$H$59),"","–"&amp;MIN('Resource Planner'!$G$59+3*'Resource Planner'!$I$59-1,'Resource Planner'!$H$59)),"")</f>
        <v/>
      </c>
      <c r="G2457" s="163" t="s">
        <v>109</v>
      </c>
      <c r="H2457" s="163" t="str">
        <f>IF(AND('Resource Planner'!$A$59="☑",3&lt;='Resource Planner'!$N$59),'Resource Planner'!$M$59,"")</f>
        <v/>
      </c>
    </row>
    <row r="2458" ht="15.75" customHeight="1">
      <c r="A24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8" s="163" t="str">
        <f>IF(AND('Resource Planner'!$A$59="☑",4&lt;='Resource Planner'!$N$59),'Resource Planner'!$C$59,"")</f>
        <v/>
      </c>
      <c r="C2458" s="163" t="str">
        <f>IF(AND('Resource Planner'!$A$59="☑",4&lt;='Resource Planner'!$N$59),'Resource Planner'!$B$59,"")</f>
        <v/>
      </c>
      <c r="D2458" s="163" t="str">
        <f>IF(AND('Resource Planner'!$A$59="☑",4&lt;='Resource Planner'!$N$59),'Resource Planner'!$D$59,"")</f>
        <v/>
      </c>
      <c r="E2458" s="163" t="str">
        <f>IF(AND('Resource Planner'!$A$59="☑",4&lt;='Resource Planner'!$N$59),'Resource Planner'!$E$59,"")</f>
        <v/>
      </c>
      <c r="F2458" s="163" t="str">
        <f>IF(AND('Resource Planner'!$A$59="☑",4&lt;='Resource Planner'!$N$59),'Resource Planner'!$F$59&amp;" "&amp;('Resource Planner'!$G$59+(4-1)*'Resource Planner'!$I$59)&amp;IF(('Resource Planner'!$G$59+(4-1)*'Resource Planner'!$I$59)=MIN('Resource Planner'!$G$59+4*'Resource Planner'!$I$59-1,'Resource Planner'!$H$59),"","–"&amp;MIN('Resource Planner'!$G$59+4*'Resource Planner'!$I$59-1,'Resource Planner'!$H$59)),"")</f>
        <v/>
      </c>
      <c r="G2458" s="163" t="s">
        <v>109</v>
      </c>
      <c r="H2458" s="163" t="str">
        <f>IF(AND('Resource Planner'!$A$59="☑",4&lt;='Resource Planner'!$N$59),'Resource Planner'!$M$59,"")</f>
        <v/>
      </c>
    </row>
    <row r="2459" ht="15.75" customHeight="1">
      <c r="A24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59" s="163" t="str">
        <f>IF(AND('Resource Planner'!$A$59="☑",5&lt;='Resource Planner'!$N$59),'Resource Planner'!$C$59,"")</f>
        <v/>
      </c>
      <c r="C2459" s="163" t="str">
        <f>IF(AND('Resource Planner'!$A$59="☑",5&lt;='Resource Planner'!$N$59),'Resource Planner'!$B$59,"")</f>
        <v/>
      </c>
      <c r="D2459" s="163" t="str">
        <f>IF(AND('Resource Planner'!$A$59="☑",5&lt;='Resource Planner'!$N$59),'Resource Planner'!$D$59,"")</f>
        <v/>
      </c>
      <c r="E2459" s="163" t="str">
        <f>IF(AND('Resource Planner'!$A$59="☑",5&lt;='Resource Planner'!$N$59),'Resource Planner'!$E$59,"")</f>
        <v/>
      </c>
      <c r="F2459" s="163" t="str">
        <f>IF(AND('Resource Planner'!$A$59="☑",5&lt;='Resource Planner'!$N$59),'Resource Planner'!$F$59&amp;" "&amp;('Resource Planner'!$G$59+(5-1)*'Resource Planner'!$I$59)&amp;IF(('Resource Planner'!$G$59+(5-1)*'Resource Planner'!$I$59)=MIN('Resource Planner'!$G$59+5*'Resource Planner'!$I$59-1,'Resource Planner'!$H$59),"","–"&amp;MIN('Resource Planner'!$G$59+5*'Resource Planner'!$I$59-1,'Resource Planner'!$H$59)),"")</f>
        <v/>
      </c>
      <c r="G2459" s="163" t="s">
        <v>109</v>
      </c>
      <c r="H2459" s="163" t="str">
        <f>IF(AND('Resource Planner'!$A$59="☑",5&lt;='Resource Planner'!$N$59),'Resource Planner'!$M$59,"")</f>
        <v/>
      </c>
    </row>
    <row r="2460" ht="15.75" customHeight="1">
      <c r="A24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0" s="163" t="str">
        <f>IF(AND('Resource Planner'!$A$59="☑",6&lt;='Resource Planner'!$N$59),'Resource Planner'!$C$59,"")</f>
        <v/>
      </c>
      <c r="C2460" s="163" t="str">
        <f>IF(AND('Resource Planner'!$A$59="☑",6&lt;='Resource Planner'!$N$59),'Resource Planner'!$B$59,"")</f>
        <v/>
      </c>
      <c r="D2460" s="163" t="str">
        <f>IF(AND('Resource Planner'!$A$59="☑",6&lt;='Resource Planner'!$N$59),'Resource Planner'!$D$59,"")</f>
        <v/>
      </c>
      <c r="E2460" s="163" t="str">
        <f>IF(AND('Resource Planner'!$A$59="☑",6&lt;='Resource Planner'!$N$59),'Resource Planner'!$E$59,"")</f>
        <v/>
      </c>
      <c r="F2460" s="163" t="str">
        <f>IF(AND('Resource Planner'!$A$59="☑",6&lt;='Resource Planner'!$N$59),'Resource Planner'!$F$59&amp;" "&amp;('Resource Planner'!$G$59+(6-1)*'Resource Planner'!$I$59)&amp;IF(('Resource Planner'!$G$59+(6-1)*'Resource Planner'!$I$59)=MIN('Resource Planner'!$G$59+6*'Resource Planner'!$I$59-1,'Resource Planner'!$H$59),"","–"&amp;MIN('Resource Planner'!$G$59+6*'Resource Planner'!$I$59-1,'Resource Planner'!$H$59)),"")</f>
        <v/>
      </c>
      <c r="G2460" s="163" t="s">
        <v>109</v>
      </c>
      <c r="H2460" s="163" t="str">
        <f>IF(AND('Resource Planner'!$A$59="☑",6&lt;='Resource Planner'!$N$59),'Resource Planner'!$M$59,"")</f>
        <v/>
      </c>
    </row>
    <row r="2461" ht="15.75" customHeight="1">
      <c r="A24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1" s="163" t="str">
        <f>IF(AND('Resource Planner'!$A$59="☑",7&lt;='Resource Planner'!$N$59),'Resource Planner'!$C$59,"")</f>
        <v/>
      </c>
      <c r="C2461" s="163" t="str">
        <f>IF(AND('Resource Planner'!$A$59="☑",7&lt;='Resource Planner'!$N$59),'Resource Planner'!$B$59,"")</f>
        <v/>
      </c>
      <c r="D2461" s="163" t="str">
        <f>IF(AND('Resource Planner'!$A$59="☑",7&lt;='Resource Planner'!$N$59),'Resource Planner'!$D$59,"")</f>
        <v/>
      </c>
      <c r="E2461" s="163" t="str">
        <f>IF(AND('Resource Planner'!$A$59="☑",7&lt;='Resource Planner'!$N$59),'Resource Planner'!$E$59,"")</f>
        <v/>
      </c>
      <c r="F2461" s="163" t="str">
        <f>IF(AND('Resource Planner'!$A$59="☑",7&lt;='Resource Planner'!$N$59),'Resource Planner'!$F$59&amp;" "&amp;('Resource Planner'!$G$59+(7-1)*'Resource Planner'!$I$59)&amp;IF(('Resource Planner'!$G$59+(7-1)*'Resource Planner'!$I$59)=MIN('Resource Planner'!$G$59+7*'Resource Planner'!$I$59-1,'Resource Planner'!$H$59),"","–"&amp;MIN('Resource Planner'!$G$59+7*'Resource Planner'!$I$59-1,'Resource Planner'!$H$59)),"")</f>
        <v/>
      </c>
      <c r="G2461" s="163" t="s">
        <v>109</v>
      </c>
      <c r="H2461" s="163" t="str">
        <f>IF(AND('Resource Planner'!$A$59="☑",7&lt;='Resource Planner'!$N$59),'Resource Planner'!$M$59,"")</f>
        <v/>
      </c>
    </row>
    <row r="2462" ht="15.75" customHeight="1">
      <c r="A24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2" s="163" t="str">
        <f>IF(AND('Resource Planner'!$A$59="☑",8&lt;='Resource Planner'!$N$59),'Resource Planner'!$C$59,"")</f>
        <v/>
      </c>
      <c r="C2462" s="163" t="str">
        <f>IF(AND('Resource Planner'!$A$59="☑",8&lt;='Resource Planner'!$N$59),'Resource Planner'!$B$59,"")</f>
        <v/>
      </c>
      <c r="D2462" s="163" t="str">
        <f>IF(AND('Resource Planner'!$A$59="☑",8&lt;='Resource Planner'!$N$59),'Resource Planner'!$D$59,"")</f>
        <v/>
      </c>
      <c r="E2462" s="163" t="str">
        <f>IF(AND('Resource Planner'!$A$59="☑",8&lt;='Resource Planner'!$N$59),'Resource Planner'!$E$59,"")</f>
        <v/>
      </c>
      <c r="F2462" s="163" t="str">
        <f>IF(AND('Resource Planner'!$A$59="☑",8&lt;='Resource Planner'!$N$59),'Resource Planner'!$F$59&amp;" "&amp;('Resource Planner'!$G$59+(8-1)*'Resource Planner'!$I$59)&amp;IF(('Resource Planner'!$G$59+(8-1)*'Resource Planner'!$I$59)=MIN('Resource Planner'!$G$59+8*'Resource Planner'!$I$59-1,'Resource Planner'!$H$59),"","–"&amp;MIN('Resource Planner'!$G$59+8*'Resource Planner'!$I$59-1,'Resource Planner'!$H$59)),"")</f>
        <v/>
      </c>
      <c r="G2462" s="163" t="s">
        <v>109</v>
      </c>
      <c r="H2462" s="163" t="str">
        <f>IF(AND('Resource Planner'!$A$59="☑",8&lt;='Resource Planner'!$N$59),'Resource Planner'!$M$59,"")</f>
        <v/>
      </c>
    </row>
    <row r="2463" ht="15.75" customHeight="1">
      <c r="A24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3" s="163" t="str">
        <f>IF(AND('Resource Planner'!$A$59="☑",9&lt;='Resource Planner'!$N$59),'Resource Planner'!$C$59,"")</f>
        <v/>
      </c>
      <c r="C2463" s="163" t="str">
        <f>IF(AND('Resource Planner'!$A$59="☑",9&lt;='Resource Planner'!$N$59),'Resource Planner'!$B$59,"")</f>
        <v/>
      </c>
      <c r="D2463" s="163" t="str">
        <f>IF(AND('Resource Planner'!$A$59="☑",9&lt;='Resource Planner'!$N$59),'Resource Planner'!$D$59,"")</f>
        <v/>
      </c>
      <c r="E2463" s="163" t="str">
        <f>IF(AND('Resource Planner'!$A$59="☑",9&lt;='Resource Planner'!$N$59),'Resource Planner'!$E$59,"")</f>
        <v/>
      </c>
      <c r="F2463" s="163" t="str">
        <f>IF(AND('Resource Planner'!$A$59="☑",9&lt;='Resource Planner'!$N$59),'Resource Planner'!$F$59&amp;" "&amp;('Resource Planner'!$G$59+(9-1)*'Resource Planner'!$I$59)&amp;IF(('Resource Planner'!$G$59+(9-1)*'Resource Planner'!$I$59)=MIN('Resource Planner'!$G$59+9*'Resource Planner'!$I$59-1,'Resource Planner'!$H$59),"","–"&amp;MIN('Resource Planner'!$G$59+9*'Resource Planner'!$I$59-1,'Resource Planner'!$H$59)),"")</f>
        <v/>
      </c>
      <c r="G2463" s="163" t="s">
        <v>109</v>
      </c>
      <c r="H2463" s="163" t="str">
        <f>IF(AND('Resource Planner'!$A$59="☑",9&lt;='Resource Planner'!$N$59),'Resource Planner'!$M$59,"")</f>
        <v/>
      </c>
    </row>
    <row r="2464" ht="15.75" customHeight="1">
      <c r="A24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4" s="163" t="str">
        <f>IF(AND('Resource Planner'!$A$59="☑",10&lt;='Resource Planner'!$N$59),'Resource Planner'!$C$59,"")</f>
        <v/>
      </c>
      <c r="C2464" s="163" t="str">
        <f>IF(AND('Resource Planner'!$A$59="☑",10&lt;='Resource Planner'!$N$59),'Resource Planner'!$B$59,"")</f>
        <v/>
      </c>
      <c r="D2464" s="163" t="str">
        <f>IF(AND('Resource Planner'!$A$59="☑",10&lt;='Resource Planner'!$N$59),'Resource Planner'!$D$59,"")</f>
        <v/>
      </c>
      <c r="E2464" s="163" t="str">
        <f>IF(AND('Resource Planner'!$A$59="☑",10&lt;='Resource Planner'!$N$59),'Resource Planner'!$E$59,"")</f>
        <v/>
      </c>
      <c r="F2464" s="163" t="str">
        <f>IF(AND('Resource Planner'!$A$59="☑",10&lt;='Resource Planner'!$N$59),'Resource Planner'!$F$59&amp;" "&amp;('Resource Planner'!$G$59+(10-1)*'Resource Planner'!$I$59)&amp;IF(('Resource Planner'!$G$59+(10-1)*'Resource Planner'!$I$59)=MIN('Resource Planner'!$G$59+10*'Resource Planner'!$I$59-1,'Resource Planner'!$H$59),"","–"&amp;MIN('Resource Planner'!$G$59+10*'Resource Planner'!$I$59-1,'Resource Planner'!$H$59)),"")</f>
        <v/>
      </c>
      <c r="G2464" s="163" t="s">
        <v>109</v>
      </c>
      <c r="H2464" s="163" t="str">
        <f>IF(AND('Resource Planner'!$A$59="☑",10&lt;='Resource Planner'!$N$59),'Resource Planner'!$M$59,"")</f>
        <v/>
      </c>
    </row>
    <row r="2465" ht="15.75" customHeight="1">
      <c r="A24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5" s="163" t="str">
        <f>IF(AND('Resource Planner'!$A$59="☑",11&lt;='Resource Planner'!$N$59),'Resource Planner'!$C$59,"")</f>
        <v/>
      </c>
      <c r="C2465" s="163" t="str">
        <f>IF(AND('Resource Planner'!$A$59="☑",11&lt;='Resource Planner'!$N$59),'Resource Planner'!$B$59,"")</f>
        <v/>
      </c>
      <c r="D2465" s="163" t="str">
        <f>IF(AND('Resource Planner'!$A$59="☑",11&lt;='Resource Planner'!$N$59),'Resource Planner'!$D$59,"")</f>
        <v/>
      </c>
      <c r="E2465" s="163" t="str">
        <f>IF(AND('Resource Planner'!$A$59="☑",11&lt;='Resource Planner'!$N$59),'Resource Planner'!$E$59,"")</f>
        <v/>
      </c>
      <c r="F2465" s="163" t="str">
        <f>IF(AND('Resource Planner'!$A$59="☑",11&lt;='Resource Planner'!$N$59),'Resource Planner'!$F$59&amp;" "&amp;('Resource Planner'!$G$59+(11-1)*'Resource Planner'!$I$59)&amp;IF(('Resource Planner'!$G$59+(11-1)*'Resource Planner'!$I$59)=MIN('Resource Planner'!$G$59+11*'Resource Planner'!$I$59-1,'Resource Planner'!$H$59),"","–"&amp;MIN('Resource Planner'!$G$59+11*'Resource Planner'!$I$59-1,'Resource Planner'!$H$59)),"")</f>
        <v/>
      </c>
      <c r="G2465" s="163" t="s">
        <v>109</v>
      </c>
      <c r="H2465" s="163" t="str">
        <f>IF(AND('Resource Planner'!$A$59="☑",11&lt;='Resource Planner'!$N$59),'Resource Planner'!$M$59,"")</f>
        <v/>
      </c>
    </row>
    <row r="2466" ht="15.75" customHeight="1">
      <c r="A24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6" s="163" t="str">
        <f>IF(AND('Resource Planner'!$A$59="☑",12&lt;='Resource Planner'!$N$59),'Resource Planner'!$C$59,"")</f>
        <v/>
      </c>
      <c r="C2466" s="163" t="str">
        <f>IF(AND('Resource Planner'!$A$59="☑",12&lt;='Resource Planner'!$N$59),'Resource Planner'!$B$59,"")</f>
        <v/>
      </c>
      <c r="D2466" s="163" t="str">
        <f>IF(AND('Resource Planner'!$A$59="☑",12&lt;='Resource Planner'!$N$59),'Resource Planner'!$D$59,"")</f>
        <v/>
      </c>
      <c r="E2466" s="163" t="str">
        <f>IF(AND('Resource Planner'!$A$59="☑",12&lt;='Resource Planner'!$N$59),'Resource Planner'!$E$59,"")</f>
        <v/>
      </c>
      <c r="F2466" s="163" t="str">
        <f>IF(AND('Resource Planner'!$A$59="☑",12&lt;='Resource Planner'!$N$59),'Resource Planner'!$F$59&amp;" "&amp;('Resource Planner'!$G$59+(12-1)*'Resource Planner'!$I$59)&amp;IF(('Resource Planner'!$G$59+(12-1)*'Resource Planner'!$I$59)=MIN('Resource Planner'!$G$59+12*'Resource Planner'!$I$59-1,'Resource Planner'!$H$59),"","–"&amp;MIN('Resource Planner'!$G$59+12*'Resource Planner'!$I$59-1,'Resource Planner'!$H$59)),"")</f>
        <v/>
      </c>
      <c r="G2466" s="163" t="s">
        <v>109</v>
      </c>
      <c r="H2466" s="163" t="str">
        <f>IF(AND('Resource Planner'!$A$59="☑",12&lt;='Resource Planner'!$N$59),'Resource Planner'!$M$59,"")</f>
        <v/>
      </c>
    </row>
    <row r="2467" ht="15.75" customHeight="1">
      <c r="A24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7" s="163" t="str">
        <f>IF(AND('Resource Planner'!$A$59="☑",13&lt;='Resource Planner'!$N$59),'Resource Planner'!$C$59,"")</f>
        <v/>
      </c>
      <c r="C2467" s="163" t="str">
        <f>IF(AND('Resource Planner'!$A$59="☑",13&lt;='Resource Planner'!$N$59),'Resource Planner'!$B$59,"")</f>
        <v/>
      </c>
      <c r="D2467" s="163" t="str">
        <f>IF(AND('Resource Planner'!$A$59="☑",13&lt;='Resource Planner'!$N$59),'Resource Planner'!$D$59,"")</f>
        <v/>
      </c>
      <c r="E2467" s="163" t="str">
        <f>IF(AND('Resource Planner'!$A$59="☑",13&lt;='Resource Planner'!$N$59),'Resource Planner'!$E$59,"")</f>
        <v/>
      </c>
      <c r="F2467" s="163" t="str">
        <f>IF(AND('Resource Planner'!$A$59="☑",13&lt;='Resource Planner'!$N$59),'Resource Planner'!$F$59&amp;" "&amp;('Resource Planner'!$G$59+(13-1)*'Resource Planner'!$I$59)&amp;IF(('Resource Planner'!$G$59+(13-1)*'Resource Planner'!$I$59)=MIN('Resource Planner'!$G$59+13*'Resource Planner'!$I$59-1,'Resource Planner'!$H$59),"","–"&amp;MIN('Resource Planner'!$G$59+13*'Resource Planner'!$I$59-1,'Resource Planner'!$H$59)),"")</f>
        <v/>
      </c>
      <c r="G2467" s="163" t="s">
        <v>109</v>
      </c>
      <c r="H2467" s="163" t="str">
        <f>IF(AND('Resource Planner'!$A$59="☑",13&lt;='Resource Planner'!$N$59),'Resource Planner'!$M$59,"")</f>
        <v/>
      </c>
    </row>
    <row r="2468" ht="15.75" customHeight="1">
      <c r="A24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8" s="163" t="str">
        <f>IF(AND('Resource Planner'!$A$59="☑",14&lt;='Resource Planner'!$N$59),'Resource Planner'!$C$59,"")</f>
        <v/>
      </c>
      <c r="C2468" s="163" t="str">
        <f>IF(AND('Resource Planner'!$A$59="☑",14&lt;='Resource Planner'!$N$59),'Resource Planner'!$B$59,"")</f>
        <v/>
      </c>
      <c r="D2468" s="163" t="str">
        <f>IF(AND('Resource Planner'!$A$59="☑",14&lt;='Resource Planner'!$N$59),'Resource Planner'!$D$59,"")</f>
        <v/>
      </c>
      <c r="E2468" s="163" t="str">
        <f>IF(AND('Resource Planner'!$A$59="☑",14&lt;='Resource Planner'!$N$59),'Resource Planner'!$E$59,"")</f>
        <v/>
      </c>
      <c r="F2468" s="163" t="str">
        <f>IF(AND('Resource Planner'!$A$59="☑",14&lt;='Resource Planner'!$N$59),'Resource Planner'!$F$59&amp;" "&amp;('Resource Planner'!$G$59+(14-1)*'Resource Planner'!$I$59)&amp;IF(('Resource Planner'!$G$59+(14-1)*'Resource Planner'!$I$59)=MIN('Resource Planner'!$G$59+14*'Resource Planner'!$I$59-1,'Resource Planner'!$H$59),"","–"&amp;MIN('Resource Planner'!$G$59+14*'Resource Planner'!$I$59-1,'Resource Planner'!$H$59)),"")</f>
        <v/>
      </c>
      <c r="G2468" s="163" t="s">
        <v>109</v>
      </c>
      <c r="H2468" s="163" t="str">
        <f>IF(AND('Resource Planner'!$A$59="☑",14&lt;='Resource Planner'!$N$59),'Resource Planner'!$M$59,"")</f>
        <v/>
      </c>
    </row>
    <row r="2469" ht="15.75" customHeight="1">
      <c r="A24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69" s="163" t="str">
        <f>IF(AND('Resource Planner'!$A$59="☑",15&lt;='Resource Planner'!$N$59),'Resource Planner'!$C$59,"")</f>
        <v/>
      </c>
      <c r="C2469" s="163" t="str">
        <f>IF(AND('Resource Planner'!$A$59="☑",15&lt;='Resource Planner'!$N$59),'Resource Planner'!$B$59,"")</f>
        <v/>
      </c>
      <c r="D2469" s="163" t="str">
        <f>IF(AND('Resource Planner'!$A$59="☑",15&lt;='Resource Planner'!$N$59),'Resource Planner'!$D$59,"")</f>
        <v/>
      </c>
      <c r="E2469" s="163" t="str">
        <f>IF(AND('Resource Planner'!$A$59="☑",15&lt;='Resource Planner'!$N$59),'Resource Planner'!$E$59,"")</f>
        <v/>
      </c>
      <c r="F2469" s="163" t="str">
        <f>IF(AND('Resource Planner'!$A$59="☑",15&lt;='Resource Planner'!$N$59),'Resource Planner'!$F$59&amp;" "&amp;('Resource Planner'!$G$59+(15-1)*'Resource Planner'!$I$59)&amp;IF(('Resource Planner'!$G$59+(15-1)*'Resource Planner'!$I$59)=MIN('Resource Planner'!$G$59+15*'Resource Planner'!$I$59-1,'Resource Planner'!$H$59),"","–"&amp;MIN('Resource Planner'!$G$59+15*'Resource Planner'!$I$59-1,'Resource Planner'!$H$59)),"")</f>
        <v/>
      </c>
      <c r="G2469" s="163" t="s">
        <v>109</v>
      </c>
      <c r="H2469" s="163" t="str">
        <f>IF(AND('Resource Planner'!$A$59="☑",15&lt;='Resource Planner'!$N$59),'Resource Planner'!$M$59,"")</f>
        <v/>
      </c>
    </row>
    <row r="2470" ht="15.75" customHeight="1">
      <c r="A24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0" s="163" t="str">
        <f>IF(AND('Resource Planner'!$A$59="☑",16&lt;='Resource Planner'!$N$59),'Resource Planner'!$C$59,"")</f>
        <v/>
      </c>
      <c r="C2470" s="163" t="str">
        <f>IF(AND('Resource Planner'!$A$59="☑",16&lt;='Resource Planner'!$N$59),'Resource Planner'!$B$59,"")</f>
        <v/>
      </c>
      <c r="D2470" s="163" t="str">
        <f>IF(AND('Resource Planner'!$A$59="☑",16&lt;='Resource Planner'!$N$59),'Resource Planner'!$D$59,"")</f>
        <v/>
      </c>
      <c r="E2470" s="163" t="str">
        <f>IF(AND('Resource Planner'!$A$59="☑",16&lt;='Resource Planner'!$N$59),'Resource Planner'!$E$59,"")</f>
        <v/>
      </c>
      <c r="F2470" s="163" t="str">
        <f>IF(AND('Resource Planner'!$A$59="☑",16&lt;='Resource Planner'!$N$59),'Resource Planner'!$F$59&amp;" "&amp;('Resource Planner'!$G$59+(16-1)*'Resource Planner'!$I$59)&amp;IF(('Resource Planner'!$G$59+(16-1)*'Resource Planner'!$I$59)=MIN('Resource Planner'!$G$59+16*'Resource Planner'!$I$59-1,'Resource Planner'!$H$59),"","–"&amp;MIN('Resource Planner'!$G$59+16*'Resource Planner'!$I$59-1,'Resource Planner'!$H$59)),"")</f>
        <v/>
      </c>
      <c r="G2470" s="163" t="s">
        <v>109</v>
      </c>
      <c r="H2470" s="163" t="str">
        <f>IF(AND('Resource Planner'!$A$59="☑",16&lt;='Resource Planner'!$N$59),'Resource Planner'!$M$59,"")</f>
        <v/>
      </c>
    </row>
    <row r="2471" ht="15.75" customHeight="1">
      <c r="A24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1" s="163" t="str">
        <f>IF(AND('Resource Planner'!$A$59="☑",17&lt;='Resource Planner'!$N$59),'Resource Planner'!$C$59,"")</f>
        <v/>
      </c>
      <c r="C2471" s="163" t="str">
        <f>IF(AND('Resource Planner'!$A$59="☑",17&lt;='Resource Planner'!$N$59),'Resource Planner'!$B$59,"")</f>
        <v/>
      </c>
      <c r="D2471" s="163" t="str">
        <f>IF(AND('Resource Planner'!$A$59="☑",17&lt;='Resource Planner'!$N$59),'Resource Planner'!$D$59,"")</f>
        <v/>
      </c>
      <c r="E2471" s="163" t="str">
        <f>IF(AND('Resource Planner'!$A$59="☑",17&lt;='Resource Planner'!$N$59),'Resource Planner'!$E$59,"")</f>
        <v/>
      </c>
      <c r="F2471" s="163" t="str">
        <f>IF(AND('Resource Planner'!$A$59="☑",17&lt;='Resource Planner'!$N$59),'Resource Planner'!$F$59&amp;" "&amp;('Resource Planner'!$G$59+(17-1)*'Resource Planner'!$I$59)&amp;IF(('Resource Planner'!$G$59+(17-1)*'Resource Planner'!$I$59)=MIN('Resource Planner'!$G$59+17*'Resource Planner'!$I$59-1,'Resource Planner'!$H$59),"","–"&amp;MIN('Resource Planner'!$G$59+17*'Resource Planner'!$I$59-1,'Resource Planner'!$H$59)),"")</f>
        <v/>
      </c>
      <c r="G2471" s="163" t="s">
        <v>109</v>
      </c>
      <c r="H2471" s="163" t="str">
        <f>IF(AND('Resource Planner'!$A$59="☑",17&lt;='Resource Planner'!$N$59),'Resource Planner'!$M$59,"")</f>
        <v/>
      </c>
    </row>
    <row r="2472" ht="15.75" customHeight="1">
      <c r="A24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2" s="163" t="str">
        <f>IF(AND('Resource Planner'!$A$59="☑",18&lt;='Resource Planner'!$N$59),'Resource Planner'!$C$59,"")</f>
        <v/>
      </c>
      <c r="C2472" s="163" t="str">
        <f>IF(AND('Resource Planner'!$A$59="☑",18&lt;='Resource Planner'!$N$59),'Resource Planner'!$B$59,"")</f>
        <v/>
      </c>
      <c r="D2472" s="163" t="str">
        <f>IF(AND('Resource Planner'!$A$59="☑",18&lt;='Resource Planner'!$N$59),'Resource Planner'!$D$59,"")</f>
        <v/>
      </c>
      <c r="E2472" s="163" t="str">
        <f>IF(AND('Resource Planner'!$A$59="☑",18&lt;='Resource Planner'!$N$59),'Resource Planner'!$E$59,"")</f>
        <v/>
      </c>
      <c r="F2472" s="163" t="str">
        <f>IF(AND('Resource Planner'!$A$59="☑",18&lt;='Resource Planner'!$N$59),'Resource Planner'!$F$59&amp;" "&amp;('Resource Planner'!$G$59+(18-1)*'Resource Planner'!$I$59)&amp;IF(('Resource Planner'!$G$59+(18-1)*'Resource Planner'!$I$59)=MIN('Resource Planner'!$G$59+18*'Resource Planner'!$I$59-1,'Resource Planner'!$H$59),"","–"&amp;MIN('Resource Planner'!$G$59+18*'Resource Planner'!$I$59-1,'Resource Planner'!$H$59)),"")</f>
        <v/>
      </c>
      <c r="G2472" s="163" t="s">
        <v>109</v>
      </c>
      <c r="H2472" s="163" t="str">
        <f>IF(AND('Resource Planner'!$A$59="☑",18&lt;='Resource Planner'!$N$59),'Resource Planner'!$M$59,"")</f>
        <v/>
      </c>
    </row>
    <row r="2473" ht="15.75" customHeight="1">
      <c r="A24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3" s="163" t="str">
        <f>IF(AND('Resource Planner'!$A$59="☑",19&lt;='Resource Planner'!$N$59),'Resource Planner'!$C$59,"")</f>
        <v/>
      </c>
      <c r="C2473" s="163" t="str">
        <f>IF(AND('Resource Planner'!$A$59="☑",19&lt;='Resource Planner'!$N$59),'Resource Planner'!$B$59,"")</f>
        <v/>
      </c>
      <c r="D2473" s="163" t="str">
        <f>IF(AND('Resource Planner'!$A$59="☑",19&lt;='Resource Planner'!$N$59),'Resource Planner'!$D$59,"")</f>
        <v/>
      </c>
      <c r="E2473" s="163" t="str">
        <f>IF(AND('Resource Planner'!$A$59="☑",19&lt;='Resource Planner'!$N$59),'Resource Planner'!$E$59,"")</f>
        <v/>
      </c>
      <c r="F2473" s="163" t="str">
        <f>IF(AND('Resource Planner'!$A$59="☑",19&lt;='Resource Planner'!$N$59),'Resource Planner'!$F$59&amp;" "&amp;('Resource Planner'!$G$59+(19-1)*'Resource Planner'!$I$59)&amp;IF(('Resource Planner'!$G$59+(19-1)*'Resource Planner'!$I$59)=MIN('Resource Planner'!$G$59+19*'Resource Planner'!$I$59-1,'Resource Planner'!$H$59),"","–"&amp;MIN('Resource Planner'!$G$59+19*'Resource Planner'!$I$59-1,'Resource Planner'!$H$59)),"")</f>
        <v/>
      </c>
      <c r="G2473" s="163" t="s">
        <v>109</v>
      </c>
      <c r="H2473" s="163" t="str">
        <f>IF(AND('Resource Planner'!$A$59="☑",19&lt;='Resource Planner'!$N$59),'Resource Planner'!$M$59,"")</f>
        <v/>
      </c>
    </row>
    <row r="2474" ht="15.75" customHeight="1">
      <c r="A24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4" s="163" t="str">
        <f>IF(AND('Resource Planner'!$A$59="☑",20&lt;='Resource Planner'!$N$59),'Resource Planner'!$C$59,"")</f>
        <v/>
      </c>
      <c r="C2474" s="163" t="str">
        <f>IF(AND('Resource Planner'!$A$59="☑",20&lt;='Resource Planner'!$N$59),'Resource Planner'!$B$59,"")</f>
        <v/>
      </c>
      <c r="D2474" s="163" t="str">
        <f>IF(AND('Resource Planner'!$A$59="☑",20&lt;='Resource Planner'!$N$59),'Resource Planner'!$D$59,"")</f>
        <v/>
      </c>
      <c r="E2474" s="163" t="str">
        <f>IF(AND('Resource Planner'!$A$59="☑",20&lt;='Resource Planner'!$N$59),'Resource Planner'!$E$59,"")</f>
        <v/>
      </c>
      <c r="F2474" s="163" t="str">
        <f>IF(AND('Resource Planner'!$A$59="☑",20&lt;='Resource Planner'!$N$59),'Resource Planner'!$F$59&amp;" "&amp;('Resource Planner'!$G$59+(20-1)*'Resource Planner'!$I$59)&amp;IF(('Resource Planner'!$G$59+(20-1)*'Resource Planner'!$I$59)=MIN('Resource Planner'!$G$59+20*'Resource Planner'!$I$59-1,'Resource Planner'!$H$59),"","–"&amp;MIN('Resource Planner'!$G$59+20*'Resource Planner'!$I$59-1,'Resource Planner'!$H$59)),"")</f>
        <v/>
      </c>
      <c r="G2474" s="163" t="s">
        <v>109</v>
      </c>
      <c r="H2474" s="163" t="str">
        <f>IF(AND('Resource Planner'!$A$59="☑",20&lt;='Resource Planner'!$N$59),'Resource Planner'!$M$59,"")</f>
        <v/>
      </c>
    </row>
    <row r="2475" ht="15.75" customHeight="1">
      <c r="A24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5" s="163" t="str">
        <f>IF(AND('Resource Planner'!$A$59="☑",21&lt;='Resource Planner'!$N$59),'Resource Planner'!$C$59,"")</f>
        <v/>
      </c>
      <c r="C2475" s="163" t="str">
        <f>IF(AND('Resource Planner'!$A$59="☑",21&lt;='Resource Planner'!$N$59),'Resource Planner'!$B$59,"")</f>
        <v/>
      </c>
      <c r="D2475" s="163" t="str">
        <f>IF(AND('Resource Planner'!$A$59="☑",21&lt;='Resource Planner'!$N$59),'Resource Planner'!$D$59,"")</f>
        <v/>
      </c>
      <c r="E2475" s="163" t="str">
        <f>IF(AND('Resource Planner'!$A$59="☑",21&lt;='Resource Planner'!$N$59),'Resource Planner'!$E$59,"")</f>
        <v/>
      </c>
      <c r="F2475" s="163" t="str">
        <f>IF(AND('Resource Planner'!$A$59="☑",21&lt;='Resource Planner'!$N$59),'Resource Planner'!$F$59&amp;" "&amp;('Resource Planner'!$G$59+(21-1)*'Resource Planner'!$I$59)&amp;IF(('Resource Planner'!$G$59+(21-1)*'Resource Planner'!$I$59)=MIN('Resource Planner'!$G$59+21*'Resource Planner'!$I$59-1,'Resource Planner'!$H$59),"","–"&amp;MIN('Resource Planner'!$G$59+21*'Resource Planner'!$I$59-1,'Resource Planner'!$H$59)),"")</f>
        <v/>
      </c>
      <c r="G2475" s="163" t="s">
        <v>109</v>
      </c>
      <c r="H2475" s="163" t="str">
        <f>IF(AND('Resource Planner'!$A$59="☑",21&lt;='Resource Planner'!$N$59),'Resource Planner'!$M$59,"")</f>
        <v/>
      </c>
    </row>
    <row r="2476" ht="15.75" customHeight="1">
      <c r="A24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6" s="163" t="str">
        <f>IF(AND('Resource Planner'!$A$59="☑",22&lt;='Resource Planner'!$N$59),'Resource Planner'!$C$59,"")</f>
        <v/>
      </c>
      <c r="C2476" s="163" t="str">
        <f>IF(AND('Resource Planner'!$A$59="☑",22&lt;='Resource Planner'!$N$59),'Resource Planner'!$B$59,"")</f>
        <v/>
      </c>
      <c r="D2476" s="163" t="str">
        <f>IF(AND('Resource Planner'!$A$59="☑",22&lt;='Resource Planner'!$N$59),'Resource Planner'!$D$59,"")</f>
        <v/>
      </c>
      <c r="E2476" s="163" t="str">
        <f>IF(AND('Resource Planner'!$A$59="☑",22&lt;='Resource Planner'!$N$59),'Resource Planner'!$E$59,"")</f>
        <v/>
      </c>
      <c r="F2476" s="163" t="str">
        <f>IF(AND('Resource Planner'!$A$59="☑",22&lt;='Resource Planner'!$N$59),'Resource Planner'!$F$59&amp;" "&amp;('Resource Planner'!$G$59+(22-1)*'Resource Planner'!$I$59)&amp;IF(('Resource Planner'!$G$59+(22-1)*'Resource Planner'!$I$59)=MIN('Resource Planner'!$G$59+22*'Resource Planner'!$I$59-1,'Resource Planner'!$H$59),"","–"&amp;MIN('Resource Planner'!$G$59+22*'Resource Planner'!$I$59-1,'Resource Planner'!$H$59)),"")</f>
        <v/>
      </c>
      <c r="G2476" s="163" t="s">
        <v>109</v>
      </c>
      <c r="H2476" s="163" t="str">
        <f>IF(AND('Resource Planner'!$A$59="☑",22&lt;='Resource Planner'!$N$59),'Resource Planner'!$M$59,"")</f>
        <v/>
      </c>
    </row>
    <row r="2477" ht="15.75" customHeight="1">
      <c r="A24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7" s="163" t="str">
        <f>IF(AND('Resource Planner'!$A$59="☑",23&lt;='Resource Planner'!$N$59),'Resource Planner'!$C$59,"")</f>
        <v/>
      </c>
      <c r="C2477" s="163" t="str">
        <f>IF(AND('Resource Planner'!$A$59="☑",23&lt;='Resource Planner'!$N$59),'Resource Planner'!$B$59,"")</f>
        <v/>
      </c>
      <c r="D2477" s="163" t="str">
        <f>IF(AND('Resource Planner'!$A$59="☑",23&lt;='Resource Planner'!$N$59),'Resource Planner'!$D$59,"")</f>
        <v/>
      </c>
      <c r="E2477" s="163" t="str">
        <f>IF(AND('Resource Planner'!$A$59="☑",23&lt;='Resource Planner'!$N$59),'Resource Planner'!$E$59,"")</f>
        <v/>
      </c>
      <c r="F2477" s="163" t="str">
        <f>IF(AND('Resource Planner'!$A$59="☑",23&lt;='Resource Planner'!$N$59),'Resource Planner'!$F$59&amp;" "&amp;('Resource Planner'!$G$59+(23-1)*'Resource Planner'!$I$59)&amp;IF(('Resource Planner'!$G$59+(23-1)*'Resource Planner'!$I$59)=MIN('Resource Planner'!$G$59+23*'Resource Planner'!$I$59-1,'Resource Planner'!$H$59),"","–"&amp;MIN('Resource Planner'!$G$59+23*'Resource Planner'!$I$59-1,'Resource Planner'!$H$59)),"")</f>
        <v/>
      </c>
      <c r="G2477" s="163" t="s">
        <v>109</v>
      </c>
      <c r="H2477" s="163" t="str">
        <f>IF(AND('Resource Planner'!$A$59="☑",23&lt;='Resource Planner'!$N$59),'Resource Planner'!$M$59,"")</f>
        <v/>
      </c>
    </row>
    <row r="2478" ht="15.75" customHeight="1">
      <c r="A24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8" s="163" t="str">
        <f>IF(AND('Resource Planner'!$A$59="☑",24&lt;='Resource Planner'!$N$59),'Resource Planner'!$C$59,"")</f>
        <v/>
      </c>
      <c r="C2478" s="163" t="str">
        <f>IF(AND('Resource Planner'!$A$59="☑",24&lt;='Resource Planner'!$N$59),'Resource Planner'!$B$59,"")</f>
        <v/>
      </c>
      <c r="D2478" s="163" t="str">
        <f>IF(AND('Resource Planner'!$A$59="☑",24&lt;='Resource Planner'!$N$59),'Resource Planner'!$D$59,"")</f>
        <v/>
      </c>
      <c r="E2478" s="163" t="str">
        <f>IF(AND('Resource Planner'!$A$59="☑",24&lt;='Resource Planner'!$N$59),'Resource Planner'!$E$59,"")</f>
        <v/>
      </c>
      <c r="F2478" s="163" t="str">
        <f>IF(AND('Resource Planner'!$A$59="☑",24&lt;='Resource Planner'!$N$59),'Resource Planner'!$F$59&amp;" "&amp;('Resource Planner'!$G$59+(24-1)*'Resource Planner'!$I$59)&amp;IF(('Resource Planner'!$G$59+(24-1)*'Resource Planner'!$I$59)=MIN('Resource Planner'!$G$59+24*'Resource Planner'!$I$59-1,'Resource Planner'!$H$59),"","–"&amp;MIN('Resource Planner'!$G$59+24*'Resource Planner'!$I$59-1,'Resource Planner'!$H$59)),"")</f>
        <v/>
      </c>
      <c r="G2478" s="163" t="s">
        <v>109</v>
      </c>
      <c r="H2478" s="163" t="str">
        <f>IF(AND('Resource Planner'!$A$59="☑",24&lt;='Resource Planner'!$N$59),'Resource Planner'!$M$59,"")</f>
        <v/>
      </c>
    </row>
    <row r="2479" ht="15.75" customHeight="1">
      <c r="A24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79" s="163" t="str">
        <f>IF(AND('Resource Planner'!$A$59="☑",25&lt;='Resource Planner'!$N$59),'Resource Planner'!$C$59,"")</f>
        <v/>
      </c>
      <c r="C2479" s="163" t="str">
        <f>IF(AND('Resource Planner'!$A$59="☑",25&lt;='Resource Planner'!$N$59),'Resource Planner'!$B$59,"")</f>
        <v/>
      </c>
      <c r="D2479" s="163" t="str">
        <f>IF(AND('Resource Planner'!$A$59="☑",25&lt;='Resource Planner'!$N$59),'Resource Planner'!$D$59,"")</f>
        <v/>
      </c>
      <c r="E2479" s="163" t="str">
        <f>IF(AND('Resource Planner'!$A$59="☑",25&lt;='Resource Planner'!$N$59),'Resource Planner'!$E$59,"")</f>
        <v/>
      </c>
      <c r="F2479" s="163" t="str">
        <f>IF(AND('Resource Planner'!$A$59="☑",25&lt;='Resource Planner'!$N$59),'Resource Planner'!$F$59&amp;" "&amp;('Resource Planner'!$G$59+(25-1)*'Resource Planner'!$I$59)&amp;IF(('Resource Planner'!$G$59+(25-1)*'Resource Planner'!$I$59)=MIN('Resource Planner'!$G$59+25*'Resource Planner'!$I$59-1,'Resource Planner'!$H$59),"","–"&amp;MIN('Resource Planner'!$G$59+25*'Resource Planner'!$I$59-1,'Resource Planner'!$H$59)),"")</f>
        <v/>
      </c>
      <c r="G2479" s="163" t="s">
        <v>109</v>
      </c>
      <c r="H2479" s="163" t="str">
        <f>IF(AND('Resource Planner'!$A$59="☑",25&lt;='Resource Planner'!$N$59),'Resource Planner'!$M$59,"")</f>
        <v/>
      </c>
    </row>
    <row r="2480" ht="15.75" customHeight="1">
      <c r="A24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0" s="163" t="str">
        <f>IF(AND('Resource Planner'!$A$59="☑",26&lt;='Resource Planner'!$N$59),'Resource Planner'!$C$59,"")</f>
        <v/>
      </c>
      <c r="C2480" s="163" t="str">
        <f>IF(AND('Resource Planner'!$A$59="☑",26&lt;='Resource Planner'!$N$59),'Resource Planner'!$B$59,"")</f>
        <v/>
      </c>
      <c r="D2480" s="163" t="str">
        <f>IF(AND('Resource Planner'!$A$59="☑",26&lt;='Resource Planner'!$N$59),'Resource Planner'!$D$59,"")</f>
        <v/>
      </c>
      <c r="E2480" s="163" t="str">
        <f>IF(AND('Resource Planner'!$A$59="☑",26&lt;='Resource Planner'!$N$59),'Resource Planner'!$E$59,"")</f>
        <v/>
      </c>
      <c r="F2480" s="163" t="str">
        <f>IF(AND('Resource Planner'!$A$59="☑",26&lt;='Resource Planner'!$N$59),'Resource Planner'!$F$59&amp;" "&amp;('Resource Planner'!$G$59+(26-1)*'Resource Planner'!$I$59)&amp;IF(('Resource Planner'!$G$59+(26-1)*'Resource Planner'!$I$59)=MIN('Resource Planner'!$G$59+26*'Resource Planner'!$I$59-1,'Resource Planner'!$H$59),"","–"&amp;MIN('Resource Planner'!$G$59+26*'Resource Planner'!$I$59-1,'Resource Planner'!$H$59)),"")</f>
        <v/>
      </c>
      <c r="G2480" s="163" t="s">
        <v>109</v>
      </c>
      <c r="H2480" s="163" t="str">
        <f>IF(AND('Resource Planner'!$A$59="☑",26&lt;='Resource Planner'!$N$59),'Resource Planner'!$M$59,"")</f>
        <v/>
      </c>
    </row>
    <row r="2481" ht="15.75" customHeight="1">
      <c r="A24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1" s="163" t="str">
        <f>IF(AND('Resource Planner'!$A$59="☑",27&lt;='Resource Planner'!$N$59),'Resource Planner'!$C$59,"")</f>
        <v/>
      </c>
      <c r="C2481" s="163" t="str">
        <f>IF(AND('Resource Planner'!$A$59="☑",27&lt;='Resource Planner'!$N$59),'Resource Planner'!$B$59,"")</f>
        <v/>
      </c>
      <c r="D2481" s="163" t="str">
        <f>IF(AND('Resource Planner'!$A$59="☑",27&lt;='Resource Planner'!$N$59),'Resource Planner'!$D$59,"")</f>
        <v/>
      </c>
      <c r="E2481" s="163" t="str">
        <f>IF(AND('Resource Planner'!$A$59="☑",27&lt;='Resource Planner'!$N$59),'Resource Planner'!$E$59,"")</f>
        <v/>
      </c>
      <c r="F2481" s="163" t="str">
        <f>IF(AND('Resource Planner'!$A$59="☑",27&lt;='Resource Planner'!$N$59),'Resource Planner'!$F$59&amp;" "&amp;('Resource Planner'!$G$59+(27-1)*'Resource Planner'!$I$59)&amp;IF(('Resource Planner'!$G$59+(27-1)*'Resource Planner'!$I$59)=MIN('Resource Planner'!$G$59+27*'Resource Planner'!$I$59-1,'Resource Planner'!$H$59),"","–"&amp;MIN('Resource Planner'!$G$59+27*'Resource Planner'!$I$59-1,'Resource Planner'!$H$59)),"")</f>
        <v/>
      </c>
      <c r="G2481" s="163" t="s">
        <v>109</v>
      </c>
      <c r="H2481" s="163" t="str">
        <f>IF(AND('Resource Planner'!$A$59="☑",27&lt;='Resource Planner'!$N$59),'Resource Planner'!$M$59,"")</f>
        <v/>
      </c>
    </row>
    <row r="2482" ht="15.75" customHeight="1">
      <c r="A24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2" s="163" t="str">
        <f>IF(AND('Resource Planner'!$A$59="☑",28&lt;='Resource Planner'!$N$59),'Resource Planner'!$C$59,"")</f>
        <v/>
      </c>
      <c r="C2482" s="163" t="str">
        <f>IF(AND('Resource Planner'!$A$59="☑",28&lt;='Resource Planner'!$N$59),'Resource Planner'!$B$59,"")</f>
        <v/>
      </c>
      <c r="D2482" s="163" t="str">
        <f>IF(AND('Resource Planner'!$A$59="☑",28&lt;='Resource Planner'!$N$59),'Resource Planner'!$D$59,"")</f>
        <v/>
      </c>
      <c r="E2482" s="163" t="str">
        <f>IF(AND('Resource Planner'!$A$59="☑",28&lt;='Resource Planner'!$N$59),'Resource Planner'!$E$59,"")</f>
        <v/>
      </c>
      <c r="F2482" s="163" t="str">
        <f>IF(AND('Resource Planner'!$A$59="☑",28&lt;='Resource Planner'!$N$59),'Resource Planner'!$F$59&amp;" "&amp;('Resource Planner'!$G$59+(28-1)*'Resource Planner'!$I$59)&amp;IF(('Resource Planner'!$G$59+(28-1)*'Resource Planner'!$I$59)=MIN('Resource Planner'!$G$59+28*'Resource Planner'!$I$59-1,'Resource Planner'!$H$59),"","–"&amp;MIN('Resource Planner'!$G$59+28*'Resource Planner'!$I$59-1,'Resource Planner'!$H$59)),"")</f>
        <v/>
      </c>
      <c r="G2482" s="163" t="s">
        <v>109</v>
      </c>
      <c r="H2482" s="163" t="str">
        <f>IF(AND('Resource Planner'!$A$59="☑",28&lt;='Resource Planner'!$N$59),'Resource Planner'!$M$59,"")</f>
        <v/>
      </c>
    </row>
    <row r="2483" ht="15.75" customHeight="1">
      <c r="A24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3" s="163" t="str">
        <f>IF(AND('Resource Planner'!$A$59="☑",29&lt;='Resource Planner'!$N$59),'Resource Planner'!$C$59,"")</f>
        <v/>
      </c>
      <c r="C2483" s="163" t="str">
        <f>IF(AND('Resource Planner'!$A$59="☑",29&lt;='Resource Planner'!$N$59),'Resource Planner'!$B$59,"")</f>
        <v/>
      </c>
      <c r="D2483" s="163" t="str">
        <f>IF(AND('Resource Planner'!$A$59="☑",29&lt;='Resource Planner'!$N$59),'Resource Planner'!$D$59,"")</f>
        <v/>
      </c>
      <c r="E2483" s="163" t="str">
        <f>IF(AND('Resource Planner'!$A$59="☑",29&lt;='Resource Planner'!$N$59),'Resource Planner'!$E$59,"")</f>
        <v/>
      </c>
      <c r="F2483" s="163" t="str">
        <f>IF(AND('Resource Planner'!$A$59="☑",29&lt;='Resource Planner'!$N$59),'Resource Planner'!$F$59&amp;" "&amp;('Resource Planner'!$G$59+(29-1)*'Resource Planner'!$I$59)&amp;IF(('Resource Planner'!$G$59+(29-1)*'Resource Planner'!$I$59)=MIN('Resource Planner'!$G$59+29*'Resource Planner'!$I$59-1,'Resource Planner'!$H$59),"","–"&amp;MIN('Resource Planner'!$G$59+29*'Resource Planner'!$I$59-1,'Resource Planner'!$H$59)),"")</f>
        <v/>
      </c>
      <c r="G2483" s="163" t="s">
        <v>109</v>
      </c>
      <c r="H2483" s="163" t="str">
        <f>IF(AND('Resource Planner'!$A$59="☑",29&lt;='Resource Planner'!$N$59),'Resource Planner'!$M$59,"")</f>
        <v/>
      </c>
    </row>
    <row r="2484" ht="15.75" customHeight="1">
      <c r="A24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4" s="163" t="str">
        <f>IF(AND('Resource Planner'!$A$59="☑",30&lt;='Resource Planner'!$N$59),'Resource Planner'!$C$59,"")</f>
        <v/>
      </c>
      <c r="C2484" s="163" t="str">
        <f>IF(AND('Resource Planner'!$A$59="☑",30&lt;='Resource Planner'!$N$59),'Resource Planner'!$B$59,"")</f>
        <v/>
      </c>
      <c r="D2484" s="163" t="str">
        <f>IF(AND('Resource Planner'!$A$59="☑",30&lt;='Resource Planner'!$N$59),'Resource Planner'!$D$59,"")</f>
        <v/>
      </c>
      <c r="E2484" s="163" t="str">
        <f>IF(AND('Resource Planner'!$A$59="☑",30&lt;='Resource Planner'!$N$59),'Resource Planner'!$E$59,"")</f>
        <v/>
      </c>
      <c r="F2484" s="163" t="str">
        <f>IF(AND('Resource Planner'!$A$59="☑",30&lt;='Resource Planner'!$N$59),'Resource Planner'!$F$59&amp;" "&amp;('Resource Planner'!$G$59+(30-1)*'Resource Planner'!$I$59)&amp;IF(('Resource Planner'!$G$59+(30-1)*'Resource Planner'!$I$59)=MIN('Resource Planner'!$G$59+30*'Resource Planner'!$I$59-1,'Resource Planner'!$H$59),"","–"&amp;MIN('Resource Planner'!$G$59+30*'Resource Planner'!$I$59-1,'Resource Planner'!$H$59)),"")</f>
        <v/>
      </c>
      <c r="G2484" s="163" t="s">
        <v>109</v>
      </c>
      <c r="H2484" s="163" t="str">
        <f>IF(AND('Resource Planner'!$A$59="☑",30&lt;='Resource Planner'!$N$59),'Resource Planner'!$M$59,"")</f>
        <v/>
      </c>
    </row>
    <row r="2485" ht="15.75" customHeight="1">
      <c r="A24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5" s="163" t="str">
        <f>IF(AND('Resource Planner'!$A$59="☑",31&lt;='Resource Planner'!$N$59),'Resource Planner'!$C$59,"")</f>
        <v/>
      </c>
      <c r="C2485" s="163" t="str">
        <f>IF(AND('Resource Planner'!$A$59="☑",31&lt;='Resource Planner'!$N$59),'Resource Planner'!$B$59,"")</f>
        <v/>
      </c>
      <c r="D2485" s="163" t="str">
        <f>IF(AND('Resource Planner'!$A$59="☑",31&lt;='Resource Planner'!$N$59),'Resource Planner'!$D$59,"")</f>
        <v/>
      </c>
      <c r="E2485" s="163" t="str">
        <f>IF(AND('Resource Planner'!$A$59="☑",31&lt;='Resource Planner'!$N$59),'Resource Planner'!$E$59,"")</f>
        <v/>
      </c>
      <c r="F2485" s="163" t="str">
        <f>IF(AND('Resource Planner'!$A$59="☑",31&lt;='Resource Planner'!$N$59),'Resource Planner'!$F$59&amp;" "&amp;('Resource Planner'!$G$59+(31-1)*'Resource Planner'!$I$59)&amp;IF(('Resource Planner'!$G$59+(31-1)*'Resource Planner'!$I$59)=MIN('Resource Planner'!$G$59+31*'Resource Planner'!$I$59-1,'Resource Planner'!$H$59),"","–"&amp;MIN('Resource Planner'!$G$59+31*'Resource Planner'!$I$59-1,'Resource Planner'!$H$59)),"")</f>
        <v/>
      </c>
      <c r="G2485" s="163" t="s">
        <v>109</v>
      </c>
      <c r="H2485" s="163" t="str">
        <f>IF(AND('Resource Planner'!$A$59="☑",31&lt;='Resource Planner'!$N$59),'Resource Planner'!$M$59,"")</f>
        <v/>
      </c>
    </row>
    <row r="2486" ht="15.75" customHeight="1">
      <c r="A24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6" s="163" t="str">
        <f>IF(AND('Resource Planner'!$A$59="☑",32&lt;='Resource Planner'!$N$59),'Resource Planner'!$C$59,"")</f>
        <v/>
      </c>
      <c r="C2486" s="163" t="str">
        <f>IF(AND('Resource Planner'!$A$59="☑",32&lt;='Resource Planner'!$N$59),'Resource Planner'!$B$59,"")</f>
        <v/>
      </c>
      <c r="D2486" s="163" t="str">
        <f>IF(AND('Resource Planner'!$A$59="☑",32&lt;='Resource Planner'!$N$59),'Resource Planner'!$D$59,"")</f>
        <v/>
      </c>
      <c r="E2486" s="163" t="str">
        <f>IF(AND('Resource Planner'!$A$59="☑",32&lt;='Resource Planner'!$N$59),'Resource Planner'!$E$59,"")</f>
        <v/>
      </c>
      <c r="F2486" s="163" t="str">
        <f>IF(AND('Resource Planner'!$A$59="☑",32&lt;='Resource Planner'!$N$59),'Resource Planner'!$F$59&amp;" "&amp;('Resource Planner'!$G$59+(32-1)*'Resource Planner'!$I$59)&amp;IF(('Resource Planner'!$G$59+(32-1)*'Resource Planner'!$I$59)=MIN('Resource Planner'!$G$59+32*'Resource Planner'!$I$59-1,'Resource Planner'!$H$59),"","–"&amp;MIN('Resource Planner'!$G$59+32*'Resource Planner'!$I$59-1,'Resource Planner'!$H$59)),"")</f>
        <v/>
      </c>
      <c r="G2486" s="163" t="s">
        <v>109</v>
      </c>
      <c r="H2486" s="163" t="str">
        <f>IF(AND('Resource Planner'!$A$59="☑",32&lt;='Resource Planner'!$N$59),'Resource Planner'!$M$59,"")</f>
        <v/>
      </c>
    </row>
    <row r="2487" ht="15.75" customHeight="1">
      <c r="A24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7" s="163" t="str">
        <f>IF(AND('Resource Planner'!$A$59="☑",33&lt;='Resource Planner'!$N$59),'Resource Planner'!$C$59,"")</f>
        <v/>
      </c>
      <c r="C2487" s="163" t="str">
        <f>IF(AND('Resource Planner'!$A$59="☑",33&lt;='Resource Planner'!$N$59),'Resource Planner'!$B$59,"")</f>
        <v/>
      </c>
      <c r="D2487" s="163" t="str">
        <f>IF(AND('Resource Planner'!$A$59="☑",33&lt;='Resource Planner'!$N$59),'Resource Planner'!$D$59,"")</f>
        <v/>
      </c>
      <c r="E2487" s="163" t="str">
        <f>IF(AND('Resource Planner'!$A$59="☑",33&lt;='Resource Planner'!$N$59),'Resource Planner'!$E$59,"")</f>
        <v/>
      </c>
      <c r="F2487" s="163" t="str">
        <f>IF(AND('Resource Planner'!$A$59="☑",33&lt;='Resource Planner'!$N$59),'Resource Planner'!$F$59&amp;" "&amp;('Resource Planner'!$G$59+(33-1)*'Resource Planner'!$I$59)&amp;IF(('Resource Planner'!$G$59+(33-1)*'Resource Planner'!$I$59)=MIN('Resource Planner'!$G$59+33*'Resource Planner'!$I$59-1,'Resource Planner'!$H$59),"","–"&amp;MIN('Resource Planner'!$G$59+33*'Resource Planner'!$I$59-1,'Resource Planner'!$H$59)),"")</f>
        <v/>
      </c>
      <c r="G2487" s="163" t="s">
        <v>109</v>
      </c>
      <c r="H2487" s="163" t="str">
        <f>IF(AND('Resource Planner'!$A$59="☑",33&lt;='Resource Planner'!$N$59),'Resource Planner'!$M$59,"")</f>
        <v/>
      </c>
    </row>
    <row r="2488" ht="15.75" customHeight="1">
      <c r="A24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8" s="163" t="str">
        <f>IF(AND('Resource Planner'!$A$59="☑",34&lt;='Resource Planner'!$N$59),'Resource Planner'!$C$59,"")</f>
        <v/>
      </c>
      <c r="C2488" s="163" t="str">
        <f>IF(AND('Resource Planner'!$A$59="☑",34&lt;='Resource Planner'!$N$59),'Resource Planner'!$B$59,"")</f>
        <v/>
      </c>
      <c r="D2488" s="163" t="str">
        <f>IF(AND('Resource Planner'!$A$59="☑",34&lt;='Resource Planner'!$N$59),'Resource Planner'!$D$59,"")</f>
        <v/>
      </c>
      <c r="E2488" s="163" t="str">
        <f>IF(AND('Resource Planner'!$A$59="☑",34&lt;='Resource Planner'!$N$59),'Resource Planner'!$E$59,"")</f>
        <v/>
      </c>
      <c r="F2488" s="163" t="str">
        <f>IF(AND('Resource Planner'!$A$59="☑",34&lt;='Resource Planner'!$N$59),'Resource Planner'!$F$59&amp;" "&amp;('Resource Planner'!$G$59+(34-1)*'Resource Planner'!$I$59)&amp;IF(('Resource Planner'!$G$59+(34-1)*'Resource Planner'!$I$59)=MIN('Resource Planner'!$G$59+34*'Resource Planner'!$I$59-1,'Resource Planner'!$H$59),"","–"&amp;MIN('Resource Planner'!$G$59+34*'Resource Planner'!$I$59-1,'Resource Planner'!$H$59)),"")</f>
        <v/>
      </c>
      <c r="G2488" s="163" t="s">
        <v>109</v>
      </c>
      <c r="H2488" s="163" t="str">
        <f>IF(AND('Resource Planner'!$A$59="☑",34&lt;='Resource Planner'!$N$59),'Resource Planner'!$M$59,"")</f>
        <v/>
      </c>
    </row>
    <row r="2489" ht="15.75" customHeight="1">
      <c r="A24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89" s="163" t="str">
        <f>IF(AND('Resource Planner'!$A$59="☑",35&lt;='Resource Planner'!$N$59),'Resource Planner'!$C$59,"")</f>
        <v/>
      </c>
      <c r="C2489" s="163" t="str">
        <f>IF(AND('Resource Planner'!$A$59="☑",35&lt;='Resource Planner'!$N$59),'Resource Planner'!$B$59,"")</f>
        <v/>
      </c>
      <c r="D2489" s="163" t="str">
        <f>IF(AND('Resource Planner'!$A$59="☑",35&lt;='Resource Planner'!$N$59),'Resource Planner'!$D$59,"")</f>
        <v/>
      </c>
      <c r="E2489" s="163" t="str">
        <f>IF(AND('Resource Planner'!$A$59="☑",35&lt;='Resource Planner'!$N$59),'Resource Planner'!$E$59,"")</f>
        <v/>
      </c>
      <c r="F2489" s="163" t="str">
        <f>IF(AND('Resource Planner'!$A$59="☑",35&lt;='Resource Planner'!$N$59),'Resource Planner'!$F$59&amp;" "&amp;('Resource Planner'!$G$59+(35-1)*'Resource Planner'!$I$59)&amp;IF(('Resource Planner'!$G$59+(35-1)*'Resource Planner'!$I$59)=MIN('Resource Planner'!$G$59+35*'Resource Planner'!$I$59-1,'Resource Planner'!$H$59),"","–"&amp;MIN('Resource Planner'!$G$59+35*'Resource Planner'!$I$59-1,'Resource Planner'!$H$59)),"")</f>
        <v/>
      </c>
      <c r="G2489" s="163" t="s">
        <v>109</v>
      </c>
      <c r="H2489" s="163" t="str">
        <f>IF(AND('Resource Planner'!$A$59="☑",35&lt;='Resource Planner'!$N$59),'Resource Planner'!$M$59,"")</f>
        <v/>
      </c>
    </row>
    <row r="2490" ht="15.75" customHeight="1">
      <c r="A24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0" s="163" t="str">
        <f>IF(AND('Resource Planner'!$A$59="☑",36&lt;='Resource Planner'!$N$59),'Resource Planner'!$C$59,"")</f>
        <v/>
      </c>
      <c r="C2490" s="163" t="str">
        <f>IF(AND('Resource Planner'!$A$59="☑",36&lt;='Resource Planner'!$N$59),'Resource Planner'!$B$59,"")</f>
        <v/>
      </c>
      <c r="D2490" s="163" t="str">
        <f>IF(AND('Resource Planner'!$A$59="☑",36&lt;='Resource Planner'!$N$59),'Resource Planner'!$D$59,"")</f>
        <v/>
      </c>
      <c r="E2490" s="163" t="str">
        <f>IF(AND('Resource Planner'!$A$59="☑",36&lt;='Resource Planner'!$N$59),'Resource Planner'!$E$59,"")</f>
        <v/>
      </c>
      <c r="F2490" s="163" t="str">
        <f>IF(AND('Resource Planner'!$A$59="☑",36&lt;='Resource Planner'!$N$59),'Resource Planner'!$F$59&amp;" "&amp;('Resource Planner'!$G$59+(36-1)*'Resource Planner'!$I$59)&amp;IF(('Resource Planner'!$G$59+(36-1)*'Resource Planner'!$I$59)=MIN('Resource Planner'!$G$59+36*'Resource Planner'!$I$59-1,'Resource Planner'!$H$59),"","–"&amp;MIN('Resource Planner'!$G$59+36*'Resource Planner'!$I$59-1,'Resource Planner'!$H$59)),"")</f>
        <v/>
      </c>
      <c r="G2490" s="163" t="s">
        <v>109</v>
      </c>
      <c r="H2490" s="163" t="str">
        <f>IF(AND('Resource Planner'!$A$59="☑",36&lt;='Resource Planner'!$N$59),'Resource Planner'!$M$59,"")</f>
        <v/>
      </c>
    </row>
    <row r="2491" ht="15.75" customHeight="1">
      <c r="A24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1" s="163" t="str">
        <f>IF(AND('Resource Planner'!$A$59="☑",37&lt;='Resource Planner'!$N$59),'Resource Planner'!$C$59,"")</f>
        <v/>
      </c>
      <c r="C2491" s="163" t="str">
        <f>IF(AND('Resource Planner'!$A$59="☑",37&lt;='Resource Planner'!$N$59),'Resource Planner'!$B$59,"")</f>
        <v/>
      </c>
      <c r="D2491" s="163" t="str">
        <f>IF(AND('Resource Planner'!$A$59="☑",37&lt;='Resource Planner'!$N$59),'Resource Planner'!$D$59,"")</f>
        <v/>
      </c>
      <c r="E2491" s="163" t="str">
        <f>IF(AND('Resource Planner'!$A$59="☑",37&lt;='Resource Planner'!$N$59),'Resource Planner'!$E$59,"")</f>
        <v/>
      </c>
      <c r="F2491" s="163" t="str">
        <f>IF(AND('Resource Planner'!$A$59="☑",37&lt;='Resource Planner'!$N$59),'Resource Planner'!$F$59&amp;" "&amp;('Resource Planner'!$G$59+(37-1)*'Resource Planner'!$I$59)&amp;IF(('Resource Planner'!$G$59+(37-1)*'Resource Planner'!$I$59)=MIN('Resource Planner'!$G$59+37*'Resource Planner'!$I$59-1,'Resource Planner'!$H$59),"","–"&amp;MIN('Resource Planner'!$G$59+37*'Resource Planner'!$I$59-1,'Resource Planner'!$H$59)),"")</f>
        <v/>
      </c>
      <c r="G2491" s="163" t="s">
        <v>109</v>
      </c>
      <c r="H2491" s="163" t="str">
        <f>IF(AND('Resource Planner'!$A$59="☑",37&lt;='Resource Planner'!$N$59),'Resource Planner'!$M$59,"")</f>
        <v/>
      </c>
    </row>
    <row r="2492" ht="15.75" customHeight="1">
      <c r="A24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2" s="163" t="str">
        <f>IF(AND('Resource Planner'!$A$59="☑",38&lt;='Resource Planner'!$N$59),'Resource Planner'!$C$59,"")</f>
        <v/>
      </c>
      <c r="C2492" s="163" t="str">
        <f>IF(AND('Resource Planner'!$A$59="☑",38&lt;='Resource Planner'!$N$59),'Resource Planner'!$B$59,"")</f>
        <v/>
      </c>
      <c r="D2492" s="163" t="str">
        <f>IF(AND('Resource Planner'!$A$59="☑",38&lt;='Resource Planner'!$N$59),'Resource Planner'!$D$59,"")</f>
        <v/>
      </c>
      <c r="E2492" s="163" t="str">
        <f>IF(AND('Resource Planner'!$A$59="☑",38&lt;='Resource Planner'!$N$59),'Resource Planner'!$E$59,"")</f>
        <v/>
      </c>
      <c r="F2492" s="163" t="str">
        <f>IF(AND('Resource Planner'!$A$59="☑",38&lt;='Resource Planner'!$N$59),'Resource Planner'!$F$59&amp;" "&amp;('Resource Planner'!$G$59+(38-1)*'Resource Planner'!$I$59)&amp;IF(('Resource Planner'!$G$59+(38-1)*'Resource Planner'!$I$59)=MIN('Resource Planner'!$G$59+38*'Resource Planner'!$I$59-1,'Resource Planner'!$H$59),"","–"&amp;MIN('Resource Planner'!$G$59+38*'Resource Planner'!$I$59-1,'Resource Planner'!$H$59)),"")</f>
        <v/>
      </c>
      <c r="G2492" s="163" t="s">
        <v>109</v>
      </c>
      <c r="H2492" s="163" t="str">
        <f>IF(AND('Resource Planner'!$A$59="☑",38&lt;='Resource Planner'!$N$59),'Resource Planner'!$M$59,"")</f>
        <v/>
      </c>
    </row>
    <row r="2493" ht="15.75" customHeight="1">
      <c r="A24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3" s="163" t="str">
        <f>IF(AND('Resource Planner'!$A$59="☑",39&lt;='Resource Planner'!$N$59),'Resource Planner'!$C$59,"")</f>
        <v/>
      </c>
      <c r="C2493" s="163" t="str">
        <f>IF(AND('Resource Planner'!$A$59="☑",39&lt;='Resource Planner'!$N$59),'Resource Planner'!$B$59,"")</f>
        <v/>
      </c>
      <c r="D2493" s="163" t="str">
        <f>IF(AND('Resource Planner'!$A$59="☑",39&lt;='Resource Planner'!$N$59),'Resource Planner'!$D$59,"")</f>
        <v/>
      </c>
      <c r="E2493" s="163" t="str">
        <f>IF(AND('Resource Planner'!$A$59="☑",39&lt;='Resource Planner'!$N$59),'Resource Planner'!$E$59,"")</f>
        <v/>
      </c>
      <c r="F2493" s="163" t="str">
        <f>IF(AND('Resource Planner'!$A$59="☑",39&lt;='Resource Planner'!$N$59),'Resource Planner'!$F$59&amp;" "&amp;('Resource Planner'!$G$59+(39-1)*'Resource Planner'!$I$59)&amp;IF(('Resource Planner'!$G$59+(39-1)*'Resource Planner'!$I$59)=MIN('Resource Planner'!$G$59+39*'Resource Planner'!$I$59-1,'Resource Planner'!$H$59),"","–"&amp;MIN('Resource Planner'!$G$59+39*'Resource Planner'!$I$59-1,'Resource Planner'!$H$59)),"")</f>
        <v/>
      </c>
      <c r="G2493" s="163" t="s">
        <v>109</v>
      </c>
      <c r="H2493" s="163" t="str">
        <f>IF(AND('Resource Planner'!$A$59="☑",39&lt;='Resource Planner'!$N$59),'Resource Planner'!$M$59,"")</f>
        <v/>
      </c>
    </row>
    <row r="2494" ht="15.75" customHeight="1">
      <c r="A24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4" s="163" t="str">
        <f>IF(AND('Resource Planner'!$A$59="☑",40&lt;='Resource Planner'!$N$59),'Resource Planner'!$C$59,"")</f>
        <v/>
      </c>
      <c r="C2494" s="163" t="str">
        <f>IF(AND('Resource Planner'!$A$59="☑",40&lt;='Resource Planner'!$N$59),'Resource Planner'!$B$59,"")</f>
        <v/>
      </c>
      <c r="D2494" s="163" t="str">
        <f>IF(AND('Resource Planner'!$A$59="☑",40&lt;='Resource Planner'!$N$59),'Resource Planner'!$D$59,"")</f>
        <v/>
      </c>
      <c r="E2494" s="163" t="str">
        <f>IF(AND('Resource Planner'!$A$59="☑",40&lt;='Resource Planner'!$N$59),'Resource Planner'!$E$59,"")</f>
        <v/>
      </c>
      <c r="F2494" s="163" t="str">
        <f>IF(AND('Resource Planner'!$A$59="☑",40&lt;='Resource Planner'!$N$59),'Resource Planner'!$F$59&amp;" "&amp;('Resource Planner'!$G$59+(40-1)*'Resource Planner'!$I$59)&amp;IF(('Resource Planner'!$G$59+(40-1)*'Resource Planner'!$I$59)=MIN('Resource Planner'!$G$59+40*'Resource Planner'!$I$59-1,'Resource Planner'!$H$59),"","–"&amp;MIN('Resource Planner'!$G$59+40*'Resource Planner'!$I$59-1,'Resource Planner'!$H$59)),"")</f>
        <v/>
      </c>
      <c r="G2494" s="163" t="s">
        <v>109</v>
      </c>
      <c r="H2494" s="163" t="str">
        <f>IF(AND('Resource Planner'!$A$59="☑",40&lt;='Resource Planner'!$N$59),'Resource Planner'!$M$59,"")</f>
        <v/>
      </c>
    </row>
    <row r="2495" ht="15.75" customHeight="1">
      <c r="A24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5" s="163" t="str">
        <f>IF(AND('Resource Planner'!$A$59="☑",41&lt;='Resource Planner'!$N$59),'Resource Planner'!$C$59,"")</f>
        <v/>
      </c>
      <c r="C2495" s="163" t="str">
        <f>IF(AND('Resource Planner'!$A$59="☑",41&lt;='Resource Planner'!$N$59),'Resource Planner'!$B$59,"")</f>
        <v/>
      </c>
      <c r="D2495" s="163" t="str">
        <f>IF(AND('Resource Planner'!$A$59="☑",41&lt;='Resource Planner'!$N$59),'Resource Planner'!$D$59,"")</f>
        <v/>
      </c>
      <c r="E2495" s="163" t="str">
        <f>IF(AND('Resource Planner'!$A$59="☑",41&lt;='Resource Planner'!$N$59),'Resource Planner'!$E$59,"")</f>
        <v/>
      </c>
      <c r="F2495" s="163" t="str">
        <f>IF(AND('Resource Planner'!$A$59="☑",41&lt;='Resource Planner'!$N$59),'Resource Planner'!$F$59&amp;" "&amp;('Resource Planner'!$G$59+(41-1)*'Resource Planner'!$I$59)&amp;IF(('Resource Planner'!$G$59+(41-1)*'Resource Planner'!$I$59)=MIN('Resource Planner'!$G$59+41*'Resource Planner'!$I$59-1,'Resource Planner'!$H$59),"","–"&amp;MIN('Resource Planner'!$G$59+41*'Resource Planner'!$I$59-1,'Resource Planner'!$H$59)),"")</f>
        <v/>
      </c>
      <c r="G2495" s="163" t="s">
        <v>109</v>
      </c>
      <c r="H2495" s="163" t="str">
        <f>IF(AND('Resource Planner'!$A$59="☑",41&lt;='Resource Planner'!$N$59),'Resource Planner'!$M$59,"")</f>
        <v/>
      </c>
    </row>
    <row r="2496" ht="15.75" customHeight="1">
      <c r="A24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6" s="163" t="str">
        <f>IF(AND('Resource Planner'!$A$59="☑",42&lt;='Resource Planner'!$N$59),'Resource Planner'!$C$59,"")</f>
        <v/>
      </c>
      <c r="C2496" s="163" t="str">
        <f>IF(AND('Resource Planner'!$A$59="☑",42&lt;='Resource Planner'!$N$59),'Resource Planner'!$B$59,"")</f>
        <v/>
      </c>
      <c r="D2496" s="163" t="str">
        <f>IF(AND('Resource Planner'!$A$59="☑",42&lt;='Resource Planner'!$N$59),'Resource Planner'!$D$59,"")</f>
        <v/>
      </c>
      <c r="E2496" s="163" t="str">
        <f>IF(AND('Resource Planner'!$A$59="☑",42&lt;='Resource Planner'!$N$59),'Resource Planner'!$E$59,"")</f>
        <v/>
      </c>
      <c r="F2496" s="163" t="str">
        <f>IF(AND('Resource Planner'!$A$59="☑",42&lt;='Resource Planner'!$N$59),'Resource Planner'!$F$59&amp;" "&amp;('Resource Planner'!$G$59+(42-1)*'Resource Planner'!$I$59)&amp;IF(('Resource Planner'!$G$59+(42-1)*'Resource Planner'!$I$59)=MIN('Resource Planner'!$G$59+42*'Resource Planner'!$I$59-1,'Resource Planner'!$H$59),"","–"&amp;MIN('Resource Planner'!$G$59+42*'Resource Planner'!$I$59-1,'Resource Planner'!$H$59)),"")</f>
        <v/>
      </c>
      <c r="G2496" s="163" t="s">
        <v>109</v>
      </c>
      <c r="H2496" s="163" t="str">
        <f>IF(AND('Resource Planner'!$A$59="☑",42&lt;='Resource Planner'!$N$59),'Resource Planner'!$M$59,"")</f>
        <v/>
      </c>
    </row>
    <row r="2497" ht="15.75" customHeight="1">
      <c r="A24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7" s="163" t="str">
        <f>IF(AND('Resource Planner'!$A$59="☑",43&lt;='Resource Planner'!$N$59),'Resource Planner'!$C$59,"")</f>
        <v/>
      </c>
      <c r="C2497" s="163" t="str">
        <f>IF(AND('Resource Planner'!$A$59="☑",43&lt;='Resource Planner'!$N$59),'Resource Planner'!$B$59,"")</f>
        <v/>
      </c>
      <c r="D2497" s="163" t="str">
        <f>IF(AND('Resource Planner'!$A$59="☑",43&lt;='Resource Planner'!$N$59),'Resource Planner'!$D$59,"")</f>
        <v/>
      </c>
      <c r="E2497" s="163" t="str">
        <f>IF(AND('Resource Planner'!$A$59="☑",43&lt;='Resource Planner'!$N$59),'Resource Planner'!$E$59,"")</f>
        <v/>
      </c>
      <c r="F2497" s="163" t="str">
        <f>IF(AND('Resource Planner'!$A$59="☑",43&lt;='Resource Planner'!$N$59),'Resource Planner'!$F$59&amp;" "&amp;('Resource Planner'!$G$59+(43-1)*'Resource Planner'!$I$59)&amp;IF(('Resource Planner'!$G$59+(43-1)*'Resource Planner'!$I$59)=MIN('Resource Planner'!$G$59+43*'Resource Planner'!$I$59-1,'Resource Planner'!$H$59),"","–"&amp;MIN('Resource Planner'!$G$59+43*'Resource Planner'!$I$59-1,'Resource Planner'!$H$59)),"")</f>
        <v/>
      </c>
      <c r="G2497" s="163" t="s">
        <v>109</v>
      </c>
      <c r="H2497" s="163" t="str">
        <f>IF(AND('Resource Planner'!$A$59="☑",43&lt;='Resource Planner'!$N$59),'Resource Planner'!$M$59,"")</f>
        <v/>
      </c>
    </row>
    <row r="2498" ht="15.75" customHeight="1">
      <c r="A24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8" s="163" t="str">
        <f>IF(AND('Resource Planner'!$A$59="☑",44&lt;='Resource Planner'!$N$59),'Resource Planner'!$C$59,"")</f>
        <v/>
      </c>
      <c r="C2498" s="163" t="str">
        <f>IF(AND('Resource Planner'!$A$59="☑",44&lt;='Resource Planner'!$N$59),'Resource Planner'!$B$59,"")</f>
        <v/>
      </c>
      <c r="D2498" s="163" t="str">
        <f>IF(AND('Resource Planner'!$A$59="☑",44&lt;='Resource Planner'!$N$59),'Resource Planner'!$D$59,"")</f>
        <v/>
      </c>
      <c r="E2498" s="163" t="str">
        <f>IF(AND('Resource Planner'!$A$59="☑",44&lt;='Resource Planner'!$N$59),'Resource Planner'!$E$59,"")</f>
        <v/>
      </c>
      <c r="F2498" s="163" t="str">
        <f>IF(AND('Resource Planner'!$A$59="☑",44&lt;='Resource Planner'!$N$59),'Resource Planner'!$F$59&amp;" "&amp;('Resource Planner'!$G$59+(44-1)*'Resource Planner'!$I$59)&amp;IF(('Resource Planner'!$G$59+(44-1)*'Resource Planner'!$I$59)=MIN('Resource Planner'!$G$59+44*'Resource Planner'!$I$59-1,'Resource Planner'!$H$59),"","–"&amp;MIN('Resource Planner'!$G$59+44*'Resource Planner'!$I$59-1,'Resource Planner'!$H$59)),"")</f>
        <v/>
      </c>
      <c r="G2498" s="163" t="s">
        <v>109</v>
      </c>
      <c r="H2498" s="163" t="str">
        <f>IF(AND('Resource Planner'!$A$59="☑",44&lt;='Resource Planner'!$N$59),'Resource Planner'!$M$59,"")</f>
        <v/>
      </c>
    </row>
    <row r="2499" ht="15.75" customHeight="1">
      <c r="A24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499" s="163" t="str">
        <f>IF(AND('Resource Planner'!$A$59="☑",45&lt;='Resource Planner'!$N$59),'Resource Planner'!$C$59,"")</f>
        <v/>
      </c>
      <c r="C2499" s="163" t="str">
        <f>IF(AND('Resource Planner'!$A$59="☑",45&lt;='Resource Planner'!$N$59),'Resource Planner'!$B$59,"")</f>
        <v/>
      </c>
      <c r="D2499" s="163" t="str">
        <f>IF(AND('Resource Planner'!$A$59="☑",45&lt;='Resource Planner'!$N$59),'Resource Planner'!$D$59,"")</f>
        <v/>
      </c>
      <c r="E2499" s="163" t="str">
        <f>IF(AND('Resource Planner'!$A$59="☑",45&lt;='Resource Planner'!$N$59),'Resource Planner'!$E$59,"")</f>
        <v/>
      </c>
      <c r="F2499" s="163" t="str">
        <f>IF(AND('Resource Planner'!$A$59="☑",45&lt;='Resource Planner'!$N$59),'Resource Planner'!$F$59&amp;" "&amp;('Resource Planner'!$G$59+(45-1)*'Resource Planner'!$I$59)&amp;IF(('Resource Planner'!$G$59+(45-1)*'Resource Planner'!$I$59)=MIN('Resource Planner'!$G$59+45*'Resource Planner'!$I$59-1,'Resource Planner'!$H$59),"","–"&amp;MIN('Resource Planner'!$G$59+45*'Resource Planner'!$I$59-1,'Resource Planner'!$H$59)),"")</f>
        <v/>
      </c>
      <c r="G2499" s="163" t="s">
        <v>109</v>
      </c>
      <c r="H2499" s="163" t="str">
        <f>IF(AND('Resource Planner'!$A$59="☑",45&lt;='Resource Planner'!$N$59),'Resource Planner'!$M$59,"")</f>
        <v/>
      </c>
    </row>
    <row r="2500" ht="15.75" customHeight="1">
      <c r="A25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0" s="163" t="str">
        <f>IF(AND('Resource Planner'!$A$59="☑",46&lt;='Resource Planner'!$N$59),'Resource Planner'!$C$59,"")</f>
        <v/>
      </c>
      <c r="C2500" s="163" t="str">
        <f>IF(AND('Resource Planner'!$A$59="☑",46&lt;='Resource Planner'!$N$59),'Resource Planner'!$B$59,"")</f>
        <v/>
      </c>
      <c r="D2500" s="163" t="str">
        <f>IF(AND('Resource Planner'!$A$59="☑",46&lt;='Resource Planner'!$N$59),'Resource Planner'!$D$59,"")</f>
        <v/>
      </c>
      <c r="E2500" s="163" t="str">
        <f>IF(AND('Resource Planner'!$A$59="☑",46&lt;='Resource Planner'!$N$59),'Resource Planner'!$E$59,"")</f>
        <v/>
      </c>
      <c r="F2500" s="163" t="str">
        <f>IF(AND('Resource Planner'!$A$59="☑",46&lt;='Resource Planner'!$N$59),'Resource Planner'!$F$59&amp;" "&amp;('Resource Planner'!$G$59+(46-1)*'Resource Planner'!$I$59)&amp;IF(('Resource Planner'!$G$59+(46-1)*'Resource Planner'!$I$59)=MIN('Resource Planner'!$G$59+46*'Resource Planner'!$I$59-1,'Resource Planner'!$H$59),"","–"&amp;MIN('Resource Planner'!$G$59+46*'Resource Planner'!$I$59-1,'Resource Planner'!$H$59)),"")</f>
        <v/>
      </c>
      <c r="G2500" s="163" t="s">
        <v>109</v>
      </c>
      <c r="H2500" s="163" t="str">
        <f>IF(AND('Resource Planner'!$A$59="☑",46&lt;='Resource Planner'!$N$59),'Resource Planner'!$M$59,"")</f>
        <v/>
      </c>
    </row>
    <row r="2501" ht="15.75" customHeight="1">
      <c r="A25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1" s="163" t="str">
        <f>IF(AND('Resource Planner'!$A$59="☑",47&lt;='Resource Planner'!$N$59),'Resource Planner'!$C$59,"")</f>
        <v/>
      </c>
      <c r="C2501" s="163" t="str">
        <f>IF(AND('Resource Planner'!$A$59="☑",47&lt;='Resource Planner'!$N$59),'Resource Planner'!$B$59,"")</f>
        <v/>
      </c>
      <c r="D2501" s="163" t="str">
        <f>IF(AND('Resource Planner'!$A$59="☑",47&lt;='Resource Planner'!$N$59),'Resource Planner'!$D$59,"")</f>
        <v/>
      </c>
      <c r="E2501" s="163" t="str">
        <f>IF(AND('Resource Planner'!$A$59="☑",47&lt;='Resource Planner'!$N$59),'Resource Planner'!$E$59,"")</f>
        <v/>
      </c>
      <c r="F2501" s="163" t="str">
        <f>IF(AND('Resource Planner'!$A$59="☑",47&lt;='Resource Planner'!$N$59),'Resource Planner'!$F$59&amp;" "&amp;('Resource Planner'!$G$59+(47-1)*'Resource Planner'!$I$59)&amp;IF(('Resource Planner'!$G$59+(47-1)*'Resource Planner'!$I$59)=MIN('Resource Planner'!$G$59+47*'Resource Planner'!$I$59-1,'Resource Planner'!$H$59),"","–"&amp;MIN('Resource Planner'!$G$59+47*'Resource Planner'!$I$59-1,'Resource Planner'!$H$59)),"")</f>
        <v/>
      </c>
      <c r="G2501" s="163" t="s">
        <v>109</v>
      </c>
      <c r="H2501" s="163" t="str">
        <f>IF(AND('Resource Planner'!$A$59="☑",47&lt;='Resource Planner'!$N$59),'Resource Planner'!$M$59,"")</f>
        <v/>
      </c>
    </row>
    <row r="2502" ht="15.75" customHeight="1">
      <c r="A25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2" s="163" t="str">
        <f>IF(AND('Resource Planner'!$A$59="☑",48&lt;='Resource Planner'!$N$59),'Resource Planner'!$C$59,"")</f>
        <v/>
      </c>
      <c r="C2502" s="163" t="str">
        <f>IF(AND('Resource Planner'!$A$59="☑",48&lt;='Resource Planner'!$N$59),'Resource Planner'!$B$59,"")</f>
        <v/>
      </c>
      <c r="D2502" s="163" t="str">
        <f>IF(AND('Resource Planner'!$A$59="☑",48&lt;='Resource Planner'!$N$59),'Resource Planner'!$D$59,"")</f>
        <v/>
      </c>
      <c r="E2502" s="163" t="str">
        <f>IF(AND('Resource Planner'!$A$59="☑",48&lt;='Resource Planner'!$N$59),'Resource Planner'!$E$59,"")</f>
        <v/>
      </c>
      <c r="F2502" s="163" t="str">
        <f>IF(AND('Resource Planner'!$A$59="☑",48&lt;='Resource Planner'!$N$59),'Resource Planner'!$F$59&amp;" "&amp;('Resource Planner'!$G$59+(48-1)*'Resource Planner'!$I$59)&amp;IF(('Resource Planner'!$G$59+(48-1)*'Resource Planner'!$I$59)=MIN('Resource Planner'!$G$59+48*'Resource Planner'!$I$59-1,'Resource Planner'!$H$59),"","–"&amp;MIN('Resource Planner'!$G$59+48*'Resource Planner'!$I$59-1,'Resource Planner'!$H$59)),"")</f>
        <v/>
      </c>
      <c r="G2502" s="163" t="s">
        <v>109</v>
      </c>
      <c r="H2502" s="163" t="str">
        <f>IF(AND('Resource Planner'!$A$59="☑",48&lt;='Resource Planner'!$N$59),'Resource Planner'!$M$59,"")</f>
        <v/>
      </c>
    </row>
    <row r="2503" ht="15.75" customHeight="1">
      <c r="A25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3" s="163" t="str">
        <f>IF(AND('Resource Planner'!$A$59="☑",49&lt;='Resource Planner'!$N$59),'Resource Planner'!$C$59,"")</f>
        <v/>
      </c>
      <c r="C2503" s="163" t="str">
        <f>IF(AND('Resource Planner'!$A$59="☑",49&lt;='Resource Planner'!$N$59),'Resource Planner'!$B$59,"")</f>
        <v/>
      </c>
      <c r="D2503" s="163" t="str">
        <f>IF(AND('Resource Planner'!$A$59="☑",49&lt;='Resource Planner'!$N$59),'Resource Planner'!$D$59,"")</f>
        <v/>
      </c>
      <c r="E2503" s="163" t="str">
        <f>IF(AND('Resource Planner'!$A$59="☑",49&lt;='Resource Planner'!$N$59),'Resource Planner'!$E$59,"")</f>
        <v/>
      </c>
      <c r="F2503" s="163" t="str">
        <f>IF(AND('Resource Planner'!$A$59="☑",49&lt;='Resource Planner'!$N$59),'Resource Planner'!$F$59&amp;" "&amp;('Resource Planner'!$G$59+(49-1)*'Resource Planner'!$I$59)&amp;IF(('Resource Planner'!$G$59+(49-1)*'Resource Planner'!$I$59)=MIN('Resource Planner'!$G$59+49*'Resource Planner'!$I$59-1,'Resource Planner'!$H$59),"","–"&amp;MIN('Resource Planner'!$G$59+49*'Resource Planner'!$I$59-1,'Resource Planner'!$H$59)),"")</f>
        <v/>
      </c>
      <c r="G2503" s="163" t="s">
        <v>109</v>
      </c>
      <c r="H2503" s="163" t="str">
        <f>IF(AND('Resource Planner'!$A$59="☑",49&lt;='Resource Planner'!$N$59),'Resource Planner'!$M$59,"")</f>
        <v/>
      </c>
    </row>
    <row r="2504" ht="15.75" customHeight="1">
      <c r="A25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4" s="163" t="str">
        <f>IF(AND('Resource Planner'!$A$59="☑",50&lt;='Resource Planner'!$N$59),'Resource Planner'!$C$59,"")</f>
        <v/>
      </c>
      <c r="C2504" s="163" t="str">
        <f>IF(AND('Resource Planner'!$A$59="☑",50&lt;='Resource Planner'!$N$59),'Resource Planner'!$B$59,"")</f>
        <v/>
      </c>
      <c r="D2504" s="163" t="str">
        <f>IF(AND('Resource Planner'!$A$59="☑",50&lt;='Resource Planner'!$N$59),'Resource Planner'!$D$59,"")</f>
        <v/>
      </c>
      <c r="E2504" s="163" t="str">
        <f>IF(AND('Resource Planner'!$A$59="☑",50&lt;='Resource Planner'!$N$59),'Resource Planner'!$E$59,"")</f>
        <v/>
      </c>
      <c r="F2504" s="163" t="str">
        <f>IF(AND('Resource Planner'!$A$59="☑",50&lt;='Resource Planner'!$N$59),'Resource Planner'!$F$59&amp;" "&amp;('Resource Planner'!$G$59+(50-1)*'Resource Planner'!$I$59)&amp;IF(('Resource Planner'!$G$59+(50-1)*'Resource Planner'!$I$59)=MIN('Resource Planner'!$G$59+50*'Resource Planner'!$I$59-1,'Resource Planner'!$H$59),"","–"&amp;MIN('Resource Planner'!$G$59+50*'Resource Planner'!$I$59-1,'Resource Planner'!$H$59)),"")</f>
        <v/>
      </c>
      <c r="G2504" s="163" t="s">
        <v>109</v>
      </c>
      <c r="H2504" s="163" t="str">
        <f>IF(AND('Resource Planner'!$A$59="☑",50&lt;='Resource Planner'!$N$59),'Resource Planner'!$M$59,"")</f>
        <v/>
      </c>
    </row>
    <row r="2505" ht="15.75" customHeight="1">
      <c r="A25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5" s="163" t="str">
        <f>IF(AND('Resource Planner'!$A$60="☑",1&lt;='Resource Planner'!$N$60),'Resource Planner'!$C$60,"")</f>
        <v/>
      </c>
      <c r="C2505" s="163" t="str">
        <f>IF(AND('Resource Planner'!$A$60="☑",1&lt;='Resource Planner'!$N$60),'Resource Planner'!$B$60,"")</f>
        <v/>
      </c>
      <c r="D2505" s="163" t="str">
        <f>IF(AND('Resource Planner'!$A$60="☑",1&lt;='Resource Planner'!$N$60),'Resource Planner'!$D$60,"")</f>
        <v/>
      </c>
      <c r="E2505" s="163" t="str">
        <f>IF(AND('Resource Planner'!$A$60="☑",1&lt;='Resource Planner'!$N$60),'Resource Planner'!$E$60,"")</f>
        <v/>
      </c>
      <c r="F2505" s="163" t="str">
        <f>IF(AND('Resource Planner'!$A$60="☑",1&lt;='Resource Planner'!$N$60),'Resource Planner'!$F$60&amp;" "&amp;('Resource Planner'!$G$60+(1-1)*'Resource Planner'!$I$60)&amp;IF(('Resource Planner'!$G$60+(1-1)*'Resource Planner'!$I$60)=MIN('Resource Planner'!$G$60+1*'Resource Planner'!$I$60-1,'Resource Planner'!$H$60),"","–"&amp;MIN('Resource Planner'!$G$60+1*'Resource Planner'!$I$60-1,'Resource Planner'!$H$60)),"")</f>
        <v/>
      </c>
      <c r="G2505" s="163" t="s">
        <v>109</v>
      </c>
      <c r="H2505" s="163" t="str">
        <f>IF(AND('Resource Planner'!$A$60="☑",1&lt;='Resource Planner'!$N$60),'Resource Planner'!$M$60,"")</f>
        <v/>
      </c>
    </row>
    <row r="2506" ht="15.75" customHeight="1">
      <c r="A25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6" s="163" t="str">
        <f>IF(AND('Resource Planner'!$A$60="☑",2&lt;='Resource Planner'!$N$60),'Resource Planner'!$C$60,"")</f>
        <v/>
      </c>
      <c r="C2506" s="163" t="str">
        <f>IF(AND('Resource Planner'!$A$60="☑",2&lt;='Resource Planner'!$N$60),'Resource Planner'!$B$60,"")</f>
        <v/>
      </c>
      <c r="D2506" s="163" t="str">
        <f>IF(AND('Resource Planner'!$A$60="☑",2&lt;='Resource Planner'!$N$60),'Resource Planner'!$D$60,"")</f>
        <v/>
      </c>
      <c r="E2506" s="163" t="str">
        <f>IF(AND('Resource Planner'!$A$60="☑",2&lt;='Resource Planner'!$N$60),'Resource Planner'!$E$60,"")</f>
        <v/>
      </c>
      <c r="F2506" s="163" t="str">
        <f>IF(AND('Resource Planner'!$A$60="☑",2&lt;='Resource Planner'!$N$60),'Resource Planner'!$F$60&amp;" "&amp;('Resource Planner'!$G$60+(2-1)*'Resource Planner'!$I$60)&amp;IF(('Resource Planner'!$G$60+(2-1)*'Resource Planner'!$I$60)=MIN('Resource Planner'!$G$60+2*'Resource Planner'!$I$60-1,'Resource Planner'!$H$60),"","–"&amp;MIN('Resource Planner'!$G$60+2*'Resource Planner'!$I$60-1,'Resource Planner'!$H$60)),"")</f>
        <v/>
      </c>
      <c r="G2506" s="163" t="s">
        <v>109</v>
      </c>
      <c r="H2506" s="163" t="str">
        <f>IF(AND('Resource Planner'!$A$60="☑",2&lt;='Resource Planner'!$N$60),'Resource Planner'!$M$60,"")</f>
        <v/>
      </c>
    </row>
    <row r="2507" ht="15.75" customHeight="1">
      <c r="A25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7" s="163" t="str">
        <f>IF(AND('Resource Planner'!$A$60="☑",3&lt;='Resource Planner'!$N$60),'Resource Planner'!$C$60,"")</f>
        <v/>
      </c>
      <c r="C2507" s="163" t="str">
        <f>IF(AND('Resource Planner'!$A$60="☑",3&lt;='Resource Planner'!$N$60),'Resource Planner'!$B$60,"")</f>
        <v/>
      </c>
      <c r="D2507" s="163" t="str">
        <f>IF(AND('Resource Planner'!$A$60="☑",3&lt;='Resource Planner'!$N$60),'Resource Planner'!$D$60,"")</f>
        <v/>
      </c>
      <c r="E2507" s="163" t="str">
        <f>IF(AND('Resource Planner'!$A$60="☑",3&lt;='Resource Planner'!$N$60),'Resource Planner'!$E$60,"")</f>
        <v/>
      </c>
      <c r="F2507" s="163" t="str">
        <f>IF(AND('Resource Planner'!$A$60="☑",3&lt;='Resource Planner'!$N$60),'Resource Planner'!$F$60&amp;" "&amp;('Resource Planner'!$G$60+(3-1)*'Resource Planner'!$I$60)&amp;IF(('Resource Planner'!$G$60+(3-1)*'Resource Planner'!$I$60)=MIN('Resource Planner'!$G$60+3*'Resource Planner'!$I$60-1,'Resource Planner'!$H$60),"","–"&amp;MIN('Resource Planner'!$G$60+3*'Resource Planner'!$I$60-1,'Resource Planner'!$H$60)),"")</f>
        <v/>
      </c>
      <c r="G2507" s="163" t="s">
        <v>109</v>
      </c>
      <c r="H2507" s="163" t="str">
        <f>IF(AND('Resource Planner'!$A$60="☑",3&lt;='Resource Planner'!$N$60),'Resource Planner'!$M$60,"")</f>
        <v/>
      </c>
    </row>
    <row r="2508" ht="15.75" customHeight="1">
      <c r="A25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8" s="163" t="str">
        <f>IF(AND('Resource Planner'!$A$60="☑",4&lt;='Resource Planner'!$N$60),'Resource Planner'!$C$60,"")</f>
        <v/>
      </c>
      <c r="C2508" s="163" t="str">
        <f>IF(AND('Resource Planner'!$A$60="☑",4&lt;='Resource Planner'!$N$60),'Resource Planner'!$B$60,"")</f>
        <v/>
      </c>
      <c r="D2508" s="163" t="str">
        <f>IF(AND('Resource Planner'!$A$60="☑",4&lt;='Resource Planner'!$N$60),'Resource Planner'!$D$60,"")</f>
        <v/>
      </c>
      <c r="E2508" s="163" t="str">
        <f>IF(AND('Resource Planner'!$A$60="☑",4&lt;='Resource Planner'!$N$60),'Resource Planner'!$E$60,"")</f>
        <v/>
      </c>
      <c r="F2508" s="163" t="str">
        <f>IF(AND('Resource Planner'!$A$60="☑",4&lt;='Resource Planner'!$N$60),'Resource Planner'!$F$60&amp;" "&amp;('Resource Planner'!$G$60+(4-1)*'Resource Planner'!$I$60)&amp;IF(('Resource Planner'!$G$60+(4-1)*'Resource Planner'!$I$60)=MIN('Resource Planner'!$G$60+4*'Resource Planner'!$I$60-1,'Resource Planner'!$H$60),"","–"&amp;MIN('Resource Planner'!$G$60+4*'Resource Planner'!$I$60-1,'Resource Planner'!$H$60)),"")</f>
        <v/>
      </c>
      <c r="G2508" s="163" t="s">
        <v>109</v>
      </c>
      <c r="H2508" s="163" t="str">
        <f>IF(AND('Resource Planner'!$A$60="☑",4&lt;='Resource Planner'!$N$60),'Resource Planner'!$M$60,"")</f>
        <v/>
      </c>
    </row>
    <row r="2509" ht="15.75" customHeight="1">
      <c r="A25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09" s="163" t="str">
        <f>IF(AND('Resource Planner'!$A$60="☑",5&lt;='Resource Planner'!$N$60),'Resource Planner'!$C$60,"")</f>
        <v/>
      </c>
      <c r="C2509" s="163" t="str">
        <f>IF(AND('Resource Planner'!$A$60="☑",5&lt;='Resource Planner'!$N$60),'Resource Planner'!$B$60,"")</f>
        <v/>
      </c>
      <c r="D2509" s="163" t="str">
        <f>IF(AND('Resource Planner'!$A$60="☑",5&lt;='Resource Planner'!$N$60),'Resource Planner'!$D$60,"")</f>
        <v/>
      </c>
      <c r="E2509" s="163" t="str">
        <f>IF(AND('Resource Planner'!$A$60="☑",5&lt;='Resource Planner'!$N$60),'Resource Planner'!$E$60,"")</f>
        <v/>
      </c>
      <c r="F2509" s="163" t="str">
        <f>IF(AND('Resource Planner'!$A$60="☑",5&lt;='Resource Planner'!$N$60),'Resource Planner'!$F$60&amp;" "&amp;('Resource Planner'!$G$60+(5-1)*'Resource Planner'!$I$60)&amp;IF(('Resource Planner'!$G$60+(5-1)*'Resource Planner'!$I$60)=MIN('Resource Planner'!$G$60+5*'Resource Planner'!$I$60-1,'Resource Planner'!$H$60),"","–"&amp;MIN('Resource Planner'!$G$60+5*'Resource Planner'!$I$60-1,'Resource Planner'!$H$60)),"")</f>
        <v/>
      </c>
      <c r="G2509" s="163" t="s">
        <v>109</v>
      </c>
      <c r="H2509" s="163" t="str">
        <f>IF(AND('Resource Planner'!$A$60="☑",5&lt;='Resource Planner'!$N$60),'Resource Planner'!$M$60,"")</f>
        <v/>
      </c>
    </row>
    <row r="2510" ht="15.75" customHeight="1">
      <c r="A25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0" s="163" t="str">
        <f>IF(AND('Resource Planner'!$A$60="☑",6&lt;='Resource Planner'!$N$60),'Resource Planner'!$C$60,"")</f>
        <v/>
      </c>
      <c r="C2510" s="163" t="str">
        <f>IF(AND('Resource Planner'!$A$60="☑",6&lt;='Resource Planner'!$N$60),'Resource Planner'!$B$60,"")</f>
        <v/>
      </c>
      <c r="D2510" s="163" t="str">
        <f>IF(AND('Resource Planner'!$A$60="☑",6&lt;='Resource Planner'!$N$60),'Resource Planner'!$D$60,"")</f>
        <v/>
      </c>
      <c r="E2510" s="163" t="str">
        <f>IF(AND('Resource Planner'!$A$60="☑",6&lt;='Resource Planner'!$N$60),'Resource Planner'!$E$60,"")</f>
        <v/>
      </c>
      <c r="F2510" s="163" t="str">
        <f>IF(AND('Resource Planner'!$A$60="☑",6&lt;='Resource Planner'!$N$60),'Resource Planner'!$F$60&amp;" "&amp;('Resource Planner'!$G$60+(6-1)*'Resource Planner'!$I$60)&amp;IF(('Resource Planner'!$G$60+(6-1)*'Resource Planner'!$I$60)=MIN('Resource Planner'!$G$60+6*'Resource Planner'!$I$60-1,'Resource Planner'!$H$60),"","–"&amp;MIN('Resource Planner'!$G$60+6*'Resource Planner'!$I$60-1,'Resource Planner'!$H$60)),"")</f>
        <v/>
      </c>
      <c r="G2510" s="163" t="s">
        <v>109</v>
      </c>
      <c r="H2510" s="163" t="str">
        <f>IF(AND('Resource Planner'!$A$60="☑",6&lt;='Resource Planner'!$N$60),'Resource Planner'!$M$60,"")</f>
        <v/>
      </c>
    </row>
    <row r="2511" ht="15.75" customHeight="1">
      <c r="A25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1" s="163" t="str">
        <f>IF(AND('Resource Planner'!$A$60="☑",7&lt;='Resource Planner'!$N$60),'Resource Planner'!$C$60,"")</f>
        <v/>
      </c>
      <c r="C2511" s="163" t="str">
        <f>IF(AND('Resource Planner'!$A$60="☑",7&lt;='Resource Planner'!$N$60),'Resource Planner'!$B$60,"")</f>
        <v/>
      </c>
      <c r="D2511" s="163" t="str">
        <f>IF(AND('Resource Planner'!$A$60="☑",7&lt;='Resource Planner'!$N$60),'Resource Planner'!$D$60,"")</f>
        <v/>
      </c>
      <c r="E2511" s="163" t="str">
        <f>IF(AND('Resource Planner'!$A$60="☑",7&lt;='Resource Planner'!$N$60),'Resource Planner'!$E$60,"")</f>
        <v/>
      </c>
      <c r="F2511" s="163" t="str">
        <f>IF(AND('Resource Planner'!$A$60="☑",7&lt;='Resource Planner'!$N$60),'Resource Planner'!$F$60&amp;" "&amp;('Resource Planner'!$G$60+(7-1)*'Resource Planner'!$I$60)&amp;IF(('Resource Planner'!$G$60+(7-1)*'Resource Planner'!$I$60)=MIN('Resource Planner'!$G$60+7*'Resource Planner'!$I$60-1,'Resource Planner'!$H$60),"","–"&amp;MIN('Resource Planner'!$G$60+7*'Resource Planner'!$I$60-1,'Resource Planner'!$H$60)),"")</f>
        <v/>
      </c>
      <c r="G2511" s="163" t="s">
        <v>109</v>
      </c>
      <c r="H2511" s="163" t="str">
        <f>IF(AND('Resource Planner'!$A$60="☑",7&lt;='Resource Planner'!$N$60),'Resource Planner'!$M$60,"")</f>
        <v/>
      </c>
    </row>
    <row r="2512" ht="15.75" customHeight="1">
      <c r="A25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2" s="163" t="str">
        <f>IF(AND('Resource Planner'!$A$60="☑",8&lt;='Resource Planner'!$N$60),'Resource Planner'!$C$60,"")</f>
        <v/>
      </c>
      <c r="C2512" s="163" t="str">
        <f>IF(AND('Resource Planner'!$A$60="☑",8&lt;='Resource Planner'!$N$60),'Resource Planner'!$B$60,"")</f>
        <v/>
      </c>
      <c r="D2512" s="163" t="str">
        <f>IF(AND('Resource Planner'!$A$60="☑",8&lt;='Resource Planner'!$N$60),'Resource Planner'!$D$60,"")</f>
        <v/>
      </c>
      <c r="E2512" s="163" t="str">
        <f>IF(AND('Resource Planner'!$A$60="☑",8&lt;='Resource Planner'!$N$60),'Resource Planner'!$E$60,"")</f>
        <v/>
      </c>
      <c r="F2512" s="163" t="str">
        <f>IF(AND('Resource Planner'!$A$60="☑",8&lt;='Resource Planner'!$N$60),'Resource Planner'!$F$60&amp;" "&amp;('Resource Planner'!$G$60+(8-1)*'Resource Planner'!$I$60)&amp;IF(('Resource Planner'!$G$60+(8-1)*'Resource Planner'!$I$60)=MIN('Resource Planner'!$G$60+8*'Resource Planner'!$I$60-1,'Resource Planner'!$H$60),"","–"&amp;MIN('Resource Planner'!$G$60+8*'Resource Planner'!$I$60-1,'Resource Planner'!$H$60)),"")</f>
        <v/>
      </c>
      <c r="G2512" s="163" t="s">
        <v>109</v>
      </c>
      <c r="H2512" s="163" t="str">
        <f>IF(AND('Resource Planner'!$A$60="☑",8&lt;='Resource Planner'!$N$60),'Resource Planner'!$M$60,"")</f>
        <v/>
      </c>
    </row>
    <row r="2513" ht="15.75" customHeight="1">
      <c r="A25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3" s="163" t="str">
        <f>IF(AND('Resource Planner'!$A$60="☑",9&lt;='Resource Planner'!$N$60),'Resource Planner'!$C$60,"")</f>
        <v/>
      </c>
      <c r="C2513" s="163" t="str">
        <f>IF(AND('Resource Planner'!$A$60="☑",9&lt;='Resource Planner'!$N$60),'Resource Planner'!$B$60,"")</f>
        <v/>
      </c>
      <c r="D2513" s="163" t="str">
        <f>IF(AND('Resource Planner'!$A$60="☑",9&lt;='Resource Planner'!$N$60),'Resource Planner'!$D$60,"")</f>
        <v/>
      </c>
      <c r="E2513" s="163" t="str">
        <f>IF(AND('Resource Planner'!$A$60="☑",9&lt;='Resource Planner'!$N$60),'Resource Planner'!$E$60,"")</f>
        <v/>
      </c>
      <c r="F2513" s="163" t="str">
        <f>IF(AND('Resource Planner'!$A$60="☑",9&lt;='Resource Planner'!$N$60),'Resource Planner'!$F$60&amp;" "&amp;('Resource Planner'!$G$60+(9-1)*'Resource Planner'!$I$60)&amp;IF(('Resource Planner'!$G$60+(9-1)*'Resource Planner'!$I$60)=MIN('Resource Planner'!$G$60+9*'Resource Planner'!$I$60-1,'Resource Planner'!$H$60),"","–"&amp;MIN('Resource Planner'!$G$60+9*'Resource Planner'!$I$60-1,'Resource Planner'!$H$60)),"")</f>
        <v/>
      </c>
      <c r="G2513" s="163" t="s">
        <v>109</v>
      </c>
      <c r="H2513" s="163" t="str">
        <f>IF(AND('Resource Planner'!$A$60="☑",9&lt;='Resource Planner'!$N$60),'Resource Planner'!$M$60,"")</f>
        <v/>
      </c>
    </row>
    <row r="2514" ht="15.75" customHeight="1">
      <c r="A25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4" s="163" t="str">
        <f>IF(AND('Resource Planner'!$A$60="☑",10&lt;='Resource Planner'!$N$60),'Resource Planner'!$C$60,"")</f>
        <v/>
      </c>
      <c r="C2514" s="163" t="str">
        <f>IF(AND('Resource Planner'!$A$60="☑",10&lt;='Resource Planner'!$N$60),'Resource Planner'!$B$60,"")</f>
        <v/>
      </c>
      <c r="D2514" s="163" t="str">
        <f>IF(AND('Resource Planner'!$A$60="☑",10&lt;='Resource Planner'!$N$60),'Resource Planner'!$D$60,"")</f>
        <v/>
      </c>
      <c r="E2514" s="163" t="str">
        <f>IF(AND('Resource Planner'!$A$60="☑",10&lt;='Resource Planner'!$N$60),'Resource Planner'!$E$60,"")</f>
        <v/>
      </c>
      <c r="F2514" s="163" t="str">
        <f>IF(AND('Resource Planner'!$A$60="☑",10&lt;='Resource Planner'!$N$60),'Resource Planner'!$F$60&amp;" "&amp;('Resource Planner'!$G$60+(10-1)*'Resource Planner'!$I$60)&amp;IF(('Resource Planner'!$G$60+(10-1)*'Resource Planner'!$I$60)=MIN('Resource Planner'!$G$60+10*'Resource Planner'!$I$60-1,'Resource Planner'!$H$60),"","–"&amp;MIN('Resource Planner'!$G$60+10*'Resource Planner'!$I$60-1,'Resource Planner'!$H$60)),"")</f>
        <v/>
      </c>
      <c r="G2514" s="163" t="s">
        <v>109</v>
      </c>
      <c r="H2514" s="163" t="str">
        <f>IF(AND('Resource Planner'!$A$60="☑",10&lt;='Resource Planner'!$N$60),'Resource Planner'!$M$60,"")</f>
        <v/>
      </c>
    </row>
    <row r="2515" ht="15.75" customHeight="1">
      <c r="A25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5" s="163" t="str">
        <f>IF(AND('Resource Planner'!$A$60="☑",11&lt;='Resource Planner'!$N$60),'Resource Planner'!$C$60,"")</f>
        <v/>
      </c>
      <c r="C2515" s="163" t="str">
        <f>IF(AND('Resource Planner'!$A$60="☑",11&lt;='Resource Planner'!$N$60),'Resource Planner'!$B$60,"")</f>
        <v/>
      </c>
      <c r="D2515" s="163" t="str">
        <f>IF(AND('Resource Planner'!$A$60="☑",11&lt;='Resource Planner'!$N$60),'Resource Planner'!$D$60,"")</f>
        <v/>
      </c>
      <c r="E2515" s="163" t="str">
        <f>IF(AND('Resource Planner'!$A$60="☑",11&lt;='Resource Planner'!$N$60),'Resource Planner'!$E$60,"")</f>
        <v/>
      </c>
      <c r="F2515" s="163" t="str">
        <f>IF(AND('Resource Planner'!$A$60="☑",11&lt;='Resource Planner'!$N$60),'Resource Planner'!$F$60&amp;" "&amp;('Resource Planner'!$G$60+(11-1)*'Resource Planner'!$I$60)&amp;IF(('Resource Planner'!$G$60+(11-1)*'Resource Planner'!$I$60)=MIN('Resource Planner'!$G$60+11*'Resource Planner'!$I$60-1,'Resource Planner'!$H$60),"","–"&amp;MIN('Resource Planner'!$G$60+11*'Resource Planner'!$I$60-1,'Resource Planner'!$H$60)),"")</f>
        <v/>
      </c>
      <c r="G2515" s="163" t="s">
        <v>109</v>
      </c>
      <c r="H2515" s="163" t="str">
        <f>IF(AND('Resource Planner'!$A$60="☑",11&lt;='Resource Planner'!$N$60),'Resource Planner'!$M$60,"")</f>
        <v/>
      </c>
    </row>
    <row r="2516" ht="15.75" customHeight="1">
      <c r="A25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6" s="163" t="str">
        <f>IF(AND('Resource Planner'!$A$60="☑",12&lt;='Resource Planner'!$N$60),'Resource Planner'!$C$60,"")</f>
        <v/>
      </c>
      <c r="C2516" s="163" t="str">
        <f>IF(AND('Resource Planner'!$A$60="☑",12&lt;='Resource Planner'!$N$60),'Resource Planner'!$B$60,"")</f>
        <v/>
      </c>
      <c r="D2516" s="163" t="str">
        <f>IF(AND('Resource Planner'!$A$60="☑",12&lt;='Resource Planner'!$N$60),'Resource Planner'!$D$60,"")</f>
        <v/>
      </c>
      <c r="E2516" s="163" t="str">
        <f>IF(AND('Resource Planner'!$A$60="☑",12&lt;='Resource Planner'!$N$60),'Resource Planner'!$E$60,"")</f>
        <v/>
      </c>
      <c r="F2516" s="163" t="str">
        <f>IF(AND('Resource Planner'!$A$60="☑",12&lt;='Resource Planner'!$N$60),'Resource Planner'!$F$60&amp;" "&amp;('Resource Planner'!$G$60+(12-1)*'Resource Planner'!$I$60)&amp;IF(('Resource Planner'!$G$60+(12-1)*'Resource Planner'!$I$60)=MIN('Resource Planner'!$G$60+12*'Resource Planner'!$I$60-1,'Resource Planner'!$H$60),"","–"&amp;MIN('Resource Planner'!$G$60+12*'Resource Planner'!$I$60-1,'Resource Planner'!$H$60)),"")</f>
        <v/>
      </c>
      <c r="G2516" s="163" t="s">
        <v>109</v>
      </c>
      <c r="H2516" s="163" t="str">
        <f>IF(AND('Resource Planner'!$A$60="☑",12&lt;='Resource Planner'!$N$60),'Resource Planner'!$M$60,"")</f>
        <v/>
      </c>
    </row>
    <row r="2517" ht="15.75" customHeight="1">
      <c r="A25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7" s="163" t="str">
        <f>IF(AND('Resource Planner'!$A$60="☑",13&lt;='Resource Planner'!$N$60),'Resource Planner'!$C$60,"")</f>
        <v/>
      </c>
      <c r="C2517" s="163" t="str">
        <f>IF(AND('Resource Planner'!$A$60="☑",13&lt;='Resource Planner'!$N$60),'Resource Planner'!$B$60,"")</f>
        <v/>
      </c>
      <c r="D2517" s="163" t="str">
        <f>IF(AND('Resource Planner'!$A$60="☑",13&lt;='Resource Planner'!$N$60),'Resource Planner'!$D$60,"")</f>
        <v/>
      </c>
      <c r="E2517" s="163" t="str">
        <f>IF(AND('Resource Planner'!$A$60="☑",13&lt;='Resource Planner'!$N$60),'Resource Planner'!$E$60,"")</f>
        <v/>
      </c>
      <c r="F2517" s="163" t="str">
        <f>IF(AND('Resource Planner'!$A$60="☑",13&lt;='Resource Planner'!$N$60),'Resource Planner'!$F$60&amp;" "&amp;('Resource Planner'!$G$60+(13-1)*'Resource Planner'!$I$60)&amp;IF(('Resource Planner'!$G$60+(13-1)*'Resource Planner'!$I$60)=MIN('Resource Planner'!$G$60+13*'Resource Planner'!$I$60-1,'Resource Planner'!$H$60),"","–"&amp;MIN('Resource Planner'!$G$60+13*'Resource Planner'!$I$60-1,'Resource Planner'!$H$60)),"")</f>
        <v/>
      </c>
      <c r="G2517" s="163" t="s">
        <v>109</v>
      </c>
      <c r="H2517" s="163" t="str">
        <f>IF(AND('Resource Planner'!$A$60="☑",13&lt;='Resource Planner'!$N$60),'Resource Planner'!$M$60,"")</f>
        <v/>
      </c>
    </row>
    <row r="2518" ht="15.75" customHeight="1">
      <c r="A25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8" s="163" t="str">
        <f>IF(AND('Resource Planner'!$A$60="☑",14&lt;='Resource Planner'!$N$60),'Resource Planner'!$C$60,"")</f>
        <v/>
      </c>
      <c r="C2518" s="163" t="str">
        <f>IF(AND('Resource Planner'!$A$60="☑",14&lt;='Resource Planner'!$N$60),'Resource Planner'!$B$60,"")</f>
        <v/>
      </c>
      <c r="D2518" s="163" t="str">
        <f>IF(AND('Resource Planner'!$A$60="☑",14&lt;='Resource Planner'!$N$60),'Resource Planner'!$D$60,"")</f>
        <v/>
      </c>
      <c r="E2518" s="163" t="str">
        <f>IF(AND('Resource Planner'!$A$60="☑",14&lt;='Resource Planner'!$N$60),'Resource Planner'!$E$60,"")</f>
        <v/>
      </c>
      <c r="F2518" s="163" t="str">
        <f>IF(AND('Resource Planner'!$A$60="☑",14&lt;='Resource Planner'!$N$60),'Resource Planner'!$F$60&amp;" "&amp;('Resource Planner'!$G$60+(14-1)*'Resource Planner'!$I$60)&amp;IF(('Resource Planner'!$G$60+(14-1)*'Resource Planner'!$I$60)=MIN('Resource Planner'!$G$60+14*'Resource Planner'!$I$60-1,'Resource Planner'!$H$60),"","–"&amp;MIN('Resource Planner'!$G$60+14*'Resource Planner'!$I$60-1,'Resource Planner'!$H$60)),"")</f>
        <v/>
      </c>
      <c r="G2518" s="163" t="s">
        <v>109</v>
      </c>
      <c r="H2518" s="163" t="str">
        <f>IF(AND('Resource Planner'!$A$60="☑",14&lt;='Resource Planner'!$N$60),'Resource Planner'!$M$60,"")</f>
        <v/>
      </c>
    </row>
    <row r="2519" ht="15.75" customHeight="1">
      <c r="A25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19" s="163" t="str">
        <f>IF(AND('Resource Planner'!$A$60="☑",15&lt;='Resource Planner'!$N$60),'Resource Planner'!$C$60,"")</f>
        <v/>
      </c>
      <c r="C2519" s="163" t="str">
        <f>IF(AND('Resource Planner'!$A$60="☑",15&lt;='Resource Planner'!$N$60),'Resource Planner'!$B$60,"")</f>
        <v/>
      </c>
      <c r="D2519" s="163" t="str">
        <f>IF(AND('Resource Planner'!$A$60="☑",15&lt;='Resource Planner'!$N$60),'Resource Planner'!$D$60,"")</f>
        <v/>
      </c>
      <c r="E2519" s="163" t="str">
        <f>IF(AND('Resource Planner'!$A$60="☑",15&lt;='Resource Planner'!$N$60),'Resource Planner'!$E$60,"")</f>
        <v/>
      </c>
      <c r="F2519" s="163" t="str">
        <f>IF(AND('Resource Planner'!$A$60="☑",15&lt;='Resource Planner'!$N$60),'Resource Planner'!$F$60&amp;" "&amp;('Resource Planner'!$G$60+(15-1)*'Resource Planner'!$I$60)&amp;IF(('Resource Planner'!$G$60+(15-1)*'Resource Planner'!$I$60)=MIN('Resource Planner'!$G$60+15*'Resource Planner'!$I$60-1,'Resource Planner'!$H$60),"","–"&amp;MIN('Resource Planner'!$G$60+15*'Resource Planner'!$I$60-1,'Resource Planner'!$H$60)),"")</f>
        <v/>
      </c>
      <c r="G2519" s="163" t="s">
        <v>109</v>
      </c>
      <c r="H2519" s="163" t="str">
        <f>IF(AND('Resource Planner'!$A$60="☑",15&lt;='Resource Planner'!$N$60),'Resource Planner'!$M$60,"")</f>
        <v/>
      </c>
    </row>
    <row r="2520" ht="15.75" customHeight="1">
      <c r="A25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0" s="163" t="str">
        <f>IF(AND('Resource Planner'!$A$60="☑",16&lt;='Resource Planner'!$N$60),'Resource Planner'!$C$60,"")</f>
        <v/>
      </c>
      <c r="C2520" s="163" t="str">
        <f>IF(AND('Resource Planner'!$A$60="☑",16&lt;='Resource Planner'!$N$60),'Resource Planner'!$B$60,"")</f>
        <v/>
      </c>
      <c r="D2520" s="163" t="str">
        <f>IF(AND('Resource Planner'!$A$60="☑",16&lt;='Resource Planner'!$N$60),'Resource Planner'!$D$60,"")</f>
        <v/>
      </c>
      <c r="E2520" s="163" t="str">
        <f>IF(AND('Resource Planner'!$A$60="☑",16&lt;='Resource Planner'!$N$60),'Resource Planner'!$E$60,"")</f>
        <v/>
      </c>
      <c r="F2520" s="163" t="str">
        <f>IF(AND('Resource Planner'!$A$60="☑",16&lt;='Resource Planner'!$N$60),'Resource Planner'!$F$60&amp;" "&amp;('Resource Planner'!$G$60+(16-1)*'Resource Planner'!$I$60)&amp;IF(('Resource Planner'!$G$60+(16-1)*'Resource Planner'!$I$60)=MIN('Resource Planner'!$G$60+16*'Resource Planner'!$I$60-1,'Resource Planner'!$H$60),"","–"&amp;MIN('Resource Planner'!$G$60+16*'Resource Planner'!$I$60-1,'Resource Planner'!$H$60)),"")</f>
        <v/>
      </c>
      <c r="G2520" s="163" t="s">
        <v>109</v>
      </c>
      <c r="H2520" s="163" t="str">
        <f>IF(AND('Resource Planner'!$A$60="☑",16&lt;='Resource Planner'!$N$60),'Resource Planner'!$M$60,"")</f>
        <v/>
      </c>
    </row>
    <row r="2521" ht="15.75" customHeight="1">
      <c r="A25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1" s="163" t="str">
        <f>IF(AND('Resource Planner'!$A$60="☑",17&lt;='Resource Planner'!$N$60),'Resource Planner'!$C$60,"")</f>
        <v/>
      </c>
      <c r="C2521" s="163" t="str">
        <f>IF(AND('Resource Planner'!$A$60="☑",17&lt;='Resource Planner'!$N$60),'Resource Planner'!$B$60,"")</f>
        <v/>
      </c>
      <c r="D2521" s="163" t="str">
        <f>IF(AND('Resource Planner'!$A$60="☑",17&lt;='Resource Planner'!$N$60),'Resource Planner'!$D$60,"")</f>
        <v/>
      </c>
      <c r="E2521" s="163" t="str">
        <f>IF(AND('Resource Planner'!$A$60="☑",17&lt;='Resource Planner'!$N$60),'Resource Planner'!$E$60,"")</f>
        <v/>
      </c>
      <c r="F2521" s="163" t="str">
        <f>IF(AND('Resource Planner'!$A$60="☑",17&lt;='Resource Planner'!$N$60),'Resource Planner'!$F$60&amp;" "&amp;('Resource Planner'!$G$60+(17-1)*'Resource Planner'!$I$60)&amp;IF(('Resource Planner'!$G$60+(17-1)*'Resource Planner'!$I$60)=MIN('Resource Planner'!$G$60+17*'Resource Planner'!$I$60-1,'Resource Planner'!$H$60),"","–"&amp;MIN('Resource Planner'!$G$60+17*'Resource Planner'!$I$60-1,'Resource Planner'!$H$60)),"")</f>
        <v/>
      </c>
      <c r="G2521" s="163" t="s">
        <v>109</v>
      </c>
      <c r="H2521" s="163" t="str">
        <f>IF(AND('Resource Planner'!$A$60="☑",17&lt;='Resource Planner'!$N$60),'Resource Planner'!$M$60,"")</f>
        <v/>
      </c>
    </row>
    <row r="2522" ht="15.75" customHeight="1">
      <c r="A25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2" s="163" t="str">
        <f>IF(AND('Resource Planner'!$A$60="☑",18&lt;='Resource Planner'!$N$60),'Resource Planner'!$C$60,"")</f>
        <v/>
      </c>
      <c r="C2522" s="163" t="str">
        <f>IF(AND('Resource Planner'!$A$60="☑",18&lt;='Resource Planner'!$N$60),'Resource Planner'!$B$60,"")</f>
        <v/>
      </c>
      <c r="D2522" s="163" t="str">
        <f>IF(AND('Resource Planner'!$A$60="☑",18&lt;='Resource Planner'!$N$60),'Resource Planner'!$D$60,"")</f>
        <v/>
      </c>
      <c r="E2522" s="163" t="str">
        <f>IF(AND('Resource Planner'!$A$60="☑",18&lt;='Resource Planner'!$N$60),'Resource Planner'!$E$60,"")</f>
        <v/>
      </c>
      <c r="F2522" s="163" t="str">
        <f>IF(AND('Resource Planner'!$A$60="☑",18&lt;='Resource Planner'!$N$60),'Resource Planner'!$F$60&amp;" "&amp;('Resource Planner'!$G$60+(18-1)*'Resource Planner'!$I$60)&amp;IF(('Resource Planner'!$G$60+(18-1)*'Resource Planner'!$I$60)=MIN('Resource Planner'!$G$60+18*'Resource Planner'!$I$60-1,'Resource Planner'!$H$60),"","–"&amp;MIN('Resource Planner'!$G$60+18*'Resource Planner'!$I$60-1,'Resource Planner'!$H$60)),"")</f>
        <v/>
      </c>
      <c r="G2522" s="163" t="s">
        <v>109</v>
      </c>
      <c r="H2522" s="163" t="str">
        <f>IF(AND('Resource Planner'!$A$60="☑",18&lt;='Resource Planner'!$N$60),'Resource Planner'!$M$60,"")</f>
        <v/>
      </c>
    </row>
    <row r="2523" ht="15.75" customHeight="1">
      <c r="A25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3" s="163" t="str">
        <f>IF(AND('Resource Planner'!$A$60="☑",19&lt;='Resource Planner'!$N$60),'Resource Planner'!$C$60,"")</f>
        <v/>
      </c>
      <c r="C2523" s="163" t="str">
        <f>IF(AND('Resource Planner'!$A$60="☑",19&lt;='Resource Planner'!$N$60),'Resource Planner'!$B$60,"")</f>
        <v/>
      </c>
      <c r="D2523" s="163" t="str">
        <f>IF(AND('Resource Planner'!$A$60="☑",19&lt;='Resource Planner'!$N$60),'Resource Planner'!$D$60,"")</f>
        <v/>
      </c>
      <c r="E2523" s="163" t="str">
        <f>IF(AND('Resource Planner'!$A$60="☑",19&lt;='Resource Planner'!$N$60),'Resource Planner'!$E$60,"")</f>
        <v/>
      </c>
      <c r="F2523" s="163" t="str">
        <f>IF(AND('Resource Planner'!$A$60="☑",19&lt;='Resource Planner'!$N$60),'Resource Planner'!$F$60&amp;" "&amp;('Resource Planner'!$G$60+(19-1)*'Resource Planner'!$I$60)&amp;IF(('Resource Planner'!$G$60+(19-1)*'Resource Planner'!$I$60)=MIN('Resource Planner'!$G$60+19*'Resource Planner'!$I$60-1,'Resource Planner'!$H$60),"","–"&amp;MIN('Resource Planner'!$G$60+19*'Resource Planner'!$I$60-1,'Resource Planner'!$H$60)),"")</f>
        <v/>
      </c>
      <c r="G2523" s="163" t="s">
        <v>109</v>
      </c>
      <c r="H2523" s="163" t="str">
        <f>IF(AND('Resource Planner'!$A$60="☑",19&lt;='Resource Planner'!$N$60),'Resource Planner'!$M$60,"")</f>
        <v/>
      </c>
    </row>
    <row r="2524" ht="15.75" customHeight="1">
      <c r="A25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4" s="163" t="str">
        <f>IF(AND('Resource Planner'!$A$60="☑",20&lt;='Resource Planner'!$N$60),'Resource Planner'!$C$60,"")</f>
        <v/>
      </c>
      <c r="C2524" s="163" t="str">
        <f>IF(AND('Resource Planner'!$A$60="☑",20&lt;='Resource Planner'!$N$60),'Resource Planner'!$B$60,"")</f>
        <v/>
      </c>
      <c r="D2524" s="163" t="str">
        <f>IF(AND('Resource Planner'!$A$60="☑",20&lt;='Resource Planner'!$N$60),'Resource Planner'!$D$60,"")</f>
        <v/>
      </c>
      <c r="E2524" s="163" t="str">
        <f>IF(AND('Resource Planner'!$A$60="☑",20&lt;='Resource Planner'!$N$60),'Resource Planner'!$E$60,"")</f>
        <v/>
      </c>
      <c r="F2524" s="163" t="str">
        <f>IF(AND('Resource Planner'!$A$60="☑",20&lt;='Resource Planner'!$N$60),'Resource Planner'!$F$60&amp;" "&amp;('Resource Planner'!$G$60+(20-1)*'Resource Planner'!$I$60)&amp;IF(('Resource Planner'!$G$60+(20-1)*'Resource Planner'!$I$60)=MIN('Resource Planner'!$G$60+20*'Resource Planner'!$I$60-1,'Resource Planner'!$H$60),"","–"&amp;MIN('Resource Planner'!$G$60+20*'Resource Planner'!$I$60-1,'Resource Planner'!$H$60)),"")</f>
        <v/>
      </c>
      <c r="G2524" s="163" t="s">
        <v>109</v>
      </c>
      <c r="H2524" s="163" t="str">
        <f>IF(AND('Resource Planner'!$A$60="☑",20&lt;='Resource Planner'!$N$60),'Resource Planner'!$M$60,"")</f>
        <v/>
      </c>
    </row>
    <row r="2525" ht="15.75" customHeight="1">
      <c r="A25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5" s="163" t="str">
        <f>IF(AND('Resource Planner'!$A$60="☑",21&lt;='Resource Planner'!$N$60),'Resource Planner'!$C$60,"")</f>
        <v/>
      </c>
      <c r="C2525" s="163" t="str">
        <f>IF(AND('Resource Planner'!$A$60="☑",21&lt;='Resource Planner'!$N$60),'Resource Planner'!$B$60,"")</f>
        <v/>
      </c>
      <c r="D2525" s="163" t="str">
        <f>IF(AND('Resource Planner'!$A$60="☑",21&lt;='Resource Planner'!$N$60),'Resource Planner'!$D$60,"")</f>
        <v/>
      </c>
      <c r="E2525" s="163" t="str">
        <f>IF(AND('Resource Planner'!$A$60="☑",21&lt;='Resource Planner'!$N$60),'Resource Planner'!$E$60,"")</f>
        <v/>
      </c>
      <c r="F2525" s="163" t="str">
        <f>IF(AND('Resource Planner'!$A$60="☑",21&lt;='Resource Planner'!$N$60),'Resource Planner'!$F$60&amp;" "&amp;('Resource Planner'!$G$60+(21-1)*'Resource Planner'!$I$60)&amp;IF(('Resource Planner'!$G$60+(21-1)*'Resource Planner'!$I$60)=MIN('Resource Planner'!$G$60+21*'Resource Planner'!$I$60-1,'Resource Planner'!$H$60),"","–"&amp;MIN('Resource Planner'!$G$60+21*'Resource Planner'!$I$60-1,'Resource Planner'!$H$60)),"")</f>
        <v/>
      </c>
      <c r="G2525" s="163" t="s">
        <v>109</v>
      </c>
      <c r="H2525" s="163" t="str">
        <f>IF(AND('Resource Planner'!$A$60="☑",21&lt;='Resource Planner'!$N$60),'Resource Planner'!$M$60,"")</f>
        <v/>
      </c>
    </row>
    <row r="2526" ht="15.75" customHeight="1">
      <c r="A25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6" s="163" t="str">
        <f>IF(AND('Resource Planner'!$A$60="☑",22&lt;='Resource Planner'!$N$60),'Resource Planner'!$C$60,"")</f>
        <v/>
      </c>
      <c r="C2526" s="163" t="str">
        <f>IF(AND('Resource Planner'!$A$60="☑",22&lt;='Resource Planner'!$N$60),'Resource Planner'!$B$60,"")</f>
        <v/>
      </c>
      <c r="D2526" s="163" t="str">
        <f>IF(AND('Resource Planner'!$A$60="☑",22&lt;='Resource Planner'!$N$60),'Resource Planner'!$D$60,"")</f>
        <v/>
      </c>
      <c r="E2526" s="163" t="str">
        <f>IF(AND('Resource Planner'!$A$60="☑",22&lt;='Resource Planner'!$N$60),'Resource Planner'!$E$60,"")</f>
        <v/>
      </c>
      <c r="F2526" s="163" t="str">
        <f>IF(AND('Resource Planner'!$A$60="☑",22&lt;='Resource Planner'!$N$60),'Resource Planner'!$F$60&amp;" "&amp;('Resource Planner'!$G$60+(22-1)*'Resource Planner'!$I$60)&amp;IF(('Resource Planner'!$G$60+(22-1)*'Resource Planner'!$I$60)=MIN('Resource Planner'!$G$60+22*'Resource Planner'!$I$60-1,'Resource Planner'!$H$60),"","–"&amp;MIN('Resource Planner'!$G$60+22*'Resource Planner'!$I$60-1,'Resource Planner'!$H$60)),"")</f>
        <v/>
      </c>
      <c r="G2526" s="163" t="s">
        <v>109</v>
      </c>
      <c r="H2526" s="163" t="str">
        <f>IF(AND('Resource Planner'!$A$60="☑",22&lt;='Resource Planner'!$N$60),'Resource Planner'!$M$60,"")</f>
        <v/>
      </c>
    </row>
    <row r="2527" ht="15.75" customHeight="1">
      <c r="A25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7" s="163" t="str">
        <f>IF(AND('Resource Planner'!$A$60="☑",23&lt;='Resource Planner'!$N$60),'Resource Planner'!$C$60,"")</f>
        <v/>
      </c>
      <c r="C2527" s="163" t="str">
        <f>IF(AND('Resource Planner'!$A$60="☑",23&lt;='Resource Planner'!$N$60),'Resource Planner'!$B$60,"")</f>
        <v/>
      </c>
      <c r="D2527" s="163" t="str">
        <f>IF(AND('Resource Planner'!$A$60="☑",23&lt;='Resource Planner'!$N$60),'Resource Planner'!$D$60,"")</f>
        <v/>
      </c>
      <c r="E2527" s="163" t="str">
        <f>IF(AND('Resource Planner'!$A$60="☑",23&lt;='Resource Planner'!$N$60),'Resource Planner'!$E$60,"")</f>
        <v/>
      </c>
      <c r="F2527" s="163" t="str">
        <f>IF(AND('Resource Planner'!$A$60="☑",23&lt;='Resource Planner'!$N$60),'Resource Planner'!$F$60&amp;" "&amp;('Resource Planner'!$G$60+(23-1)*'Resource Planner'!$I$60)&amp;IF(('Resource Planner'!$G$60+(23-1)*'Resource Planner'!$I$60)=MIN('Resource Planner'!$G$60+23*'Resource Planner'!$I$60-1,'Resource Planner'!$H$60),"","–"&amp;MIN('Resource Planner'!$G$60+23*'Resource Planner'!$I$60-1,'Resource Planner'!$H$60)),"")</f>
        <v/>
      </c>
      <c r="G2527" s="163" t="s">
        <v>109</v>
      </c>
      <c r="H2527" s="163" t="str">
        <f>IF(AND('Resource Planner'!$A$60="☑",23&lt;='Resource Planner'!$N$60),'Resource Planner'!$M$60,"")</f>
        <v/>
      </c>
    </row>
    <row r="2528" ht="15.75" customHeight="1">
      <c r="A25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8" s="163" t="str">
        <f>IF(AND('Resource Planner'!$A$60="☑",24&lt;='Resource Planner'!$N$60),'Resource Planner'!$C$60,"")</f>
        <v/>
      </c>
      <c r="C2528" s="163" t="str">
        <f>IF(AND('Resource Planner'!$A$60="☑",24&lt;='Resource Planner'!$N$60),'Resource Planner'!$B$60,"")</f>
        <v/>
      </c>
      <c r="D2528" s="163" t="str">
        <f>IF(AND('Resource Planner'!$A$60="☑",24&lt;='Resource Planner'!$N$60),'Resource Planner'!$D$60,"")</f>
        <v/>
      </c>
      <c r="E2528" s="163" t="str">
        <f>IF(AND('Resource Planner'!$A$60="☑",24&lt;='Resource Planner'!$N$60),'Resource Planner'!$E$60,"")</f>
        <v/>
      </c>
      <c r="F2528" s="163" t="str">
        <f>IF(AND('Resource Planner'!$A$60="☑",24&lt;='Resource Planner'!$N$60),'Resource Planner'!$F$60&amp;" "&amp;('Resource Planner'!$G$60+(24-1)*'Resource Planner'!$I$60)&amp;IF(('Resource Planner'!$G$60+(24-1)*'Resource Planner'!$I$60)=MIN('Resource Planner'!$G$60+24*'Resource Planner'!$I$60-1,'Resource Planner'!$H$60),"","–"&amp;MIN('Resource Planner'!$G$60+24*'Resource Planner'!$I$60-1,'Resource Planner'!$H$60)),"")</f>
        <v/>
      </c>
      <c r="G2528" s="163" t="s">
        <v>109</v>
      </c>
      <c r="H2528" s="163" t="str">
        <f>IF(AND('Resource Planner'!$A$60="☑",24&lt;='Resource Planner'!$N$60),'Resource Planner'!$M$60,"")</f>
        <v/>
      </c>
    </row>
    <row r="2529" ht="15.75" customHeight="1">
      <c r="A25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29" s="163" t="str">
        <f>IF(AND('Resource Planner'!$A$60="☑",25&lt;='Resource Planner'!$N$60),'Resource Planner'!$C$60,"")</f>
        <v/>
      </c>
      <c r="C2529" s="163" t="str">
        <f>IF(AND('Resource Planner'!$A$60="☑",25&lt;='Resource Planner'!$N$60),'Resource Planner'!$B$60,"")</f>
        <v/>
      </c>
      <c r="D2529" s="163" t="str">
        <f>IF(AND('Resource Planner'!$A$60="☑",25&lt;='Resource Planner'!$N$60),'Resource Planner'!$D$60,"")</f>
        <v/>
      </c>
      <c r="E2529" s="163" t="str">
        <f>IF(AND('Resource Planner'!$A$60="☑",25&lt;='Resource Planner'!$N$60),'Resource Planner'!$E$60,"")</f>
        <v/>
      </c>
      <c r="F2529" s="163" t="str">
        <f>IF(AND('Resource Planner'!$A$60="☑",25&lt;='Resource Planner'!$N$60),'Resource Planner'!$F$60&amp;" "&amp;('Resource Planner'!$G$60+(25-1)*'Resource Planner'!$I$60)&amp;IF(('Resource Planner'!$G$60+(25-1)*'Resource Planner'!$I$60)=MIN('Resource Planner'!$G$60+25*'Resource Planner'!$I$60-1,'Resource Planner'!$H$60),"","–"&amp;MIN('Resource Planner'!$G$60+25*'Resource Planner'!$I$60-1,'Resource Planner'!$H$60)),"")</f>
        <v/>
      </c>
      <c r="G2529" s="163" t="s">
        <v>109</v>
      </c>
      <c r="H2529" s="163" t="str">
        <f>IF(AND('Resource Planner'!$A$60="☑",25&lt;='Resource Planner'!$N$60),'Resource Planner'!$M$60,"")</f>
        <v/>
      </c>
    </row>
    <row r="2530" ht="15.75" customHeight="1">
      <c r="A25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0" s="163" t="str">
        <f>IF(AND('Resource Planner'!$A$60="☑",26&lt;='Resource Planner'!$N$60),'Resource Planner'!$C$60,"")</f>
        <v/>
      </c>
      <c r="C2530" s="163" t="str">
        <f>IF(AND('Resource Planner'!$A$60="☑",26&lt;='Resource Planner'!$N$60),'Resource Planner'!$B$60,"")</f>
        <v/>
      </c>
      <c r="D2530" s="163" t="str">
        <f>IF(AND('Resource Planner'!$A$60="☑",26&lt;='Resource Planner'!$N$60),'Resource Planner'!$D$60,"")</f>
        <v/>
      </c>
      <c r="E2530" s="163" t="str">
        <f>IF(AND('Resource Planner'!$A$60="☑",26&lt;='Resource Planner'!$N$60),'Resource Planner'!$E$60,"")</f>
        <v/>
      </c>
      <c r="F2530" s="163" t="str">
        <f>IF(AND('Resource Planner'!$A$60="☑",26&lt;='Resource Planner'!$N$60),'Resource Planner'!$F$60&amp;" "&amp;('Resource Planner'!$G$60+(26-1)*'Resource Planner'!$I$60)&amp;IF(('Resource Planner'!$G$60+(26-1)*'Resource Planner'!$I$60)=MIN('Resource Planner'!$G$60+26*'Resource Planner'!$I$60-1,'Resource Planner'!$H$60),"","–"&amp;MIN('Resource Planner'!$G$60+26*'Resource Planner'!$I$60-1,'Resource Planner'!$H$60)),"")</f>
        <v/>
      </c>
      <c r="G2530" s="163" t="s">
        <v>109</v>
      </c>
      <c r="H2530" s="163" t="str">
        <f>IF(AND('Resource Planner'!$A$60="☑",26&lt;='Resource Planner'!$N$60),'Resource Planner'!$M$60,"")</f>
        <v/>
      </c>
    </row>
    <row r="2531" ht="15.75" customHeight="1">
      <c r="A25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1" s="163" t="str">
        <f>IF(AND('Resource Planner'!$A$60="☑",27&lt;='Resource Planner'!$N$60),'Resource Planner'!$C$60,"")</f>
        <v/>
      </c>
      <c r="C2531" s="163" t="str">
        <f>IF(AND('Resource Planner'!$A$60="☑",27&lt;='Resource Planner'!$N$60),'Resource Planner'!$B$60,"")</f>
        <v/>
      </c>
      <c r="D2531" s="163" t="str">
        <f>IF(AND('Resource Planner'!$A$60="☑",27&lt;='Resource Planner'!$N$60),'Resource Planner'!$D$60,"")</f>
        <v/>
      </c>
      <c r="E2531" s="163" t="str">
        <f>IF(AND('Resource Planner'!$A$60="☑",27&lt;='Resource Planner'!$N$60),'Resource Planner'!$E$60,"")</f>
        <v/>
      </c>
      <c r="F2531" s="163" t="str">
        <f>IF(AND('Resource Planner'!$A$60="☑",27&lt;='Resource Planner'!$N$60),'Resource Planner'!$F$60&amp;" "&amp;('Resource Planner'!$G$60+(27-1)*'Resource Planner'!$I$60)&amp;IF(('Resource Planner'!$G$60+(27-1)*'Resource Planner'!$I$60)=MIN('Resource Planner'!$G$60+27*'Resource Planner'!$I$60-1,'Resource Planner'!$H$60),"","–"&amp;MIN('Resource Planner'!$G$60+27*'Resource Planner'!$I$60-1,'Resource Planner'!$H$60)),"")</f>
        <v/>
      </c>
      <c r="G2531" s="163" t="s">
        <v>109</v>
      </c>
      <c r="H2531" s="163" t="str">
        <f>IF(AND('Resource Planner'!$A$60="☑",27&lt;='Resource Planner'!$N$60),'Resource Planner'!$M$60,"")</f>
        <v/>
      </c>
    </row>
    <row r="2532" ht="15.75" customHeight="1">
      <c r="A25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2" s="163" t="str">
        <f>IF(AND('Resource Planner'!$A$60="☑",28&lt;='Resource Planner'!$N$60),'Resource Planner'!$C$60,"")</f>
        <v/>
      </c>
      <c r="C2532" s="163" t="str">
        <f>IF(AND('Resource Planner'!$A$60="☑",28&lt;='Resource Planner'!$N$60),'Resource Planner'!$B$60,"")</f>
        <v/>
      </c>
      <c r="D2532" s="163" t="str">
        <f>IF(AND('Resource Planner'!$A$60="☑",28&lt;='Resource Planner'!$N$60),'Resource Planner'!$D$60,"")</f>
        <v/>
      </c>
      <c r="E2532" s="163" t="str">
        <f>IF(AND('Resource Planner'!$A$60="☑",28&lt;='Resource Planner'!$N$60),'Resource Planner'!$E$60,"")</f>
        <v/>
      </c>
      <c r="F2532" s="163" t="str">
        <f>IF(AND('Resource Planner'!$A$60="☑",28&lt;='Resource Planner'!$N$60),'Resource Planner'!$F$60&amp;" "&amp;('Resource Planner'!$G$60+(28-1)*'Resource Planner'!$I$60)&amp;IF(('Resource Planner'!$G$60+(28-1)*'Resource Planner'!$I$60)=MIN('Resource Planner'!$G$60+28*'Resource Planner'!$I$60-1,'Resource Planner'!$H$60),"","–"&amp;MIN('Resource Planner'!$G$60+28*'Resource Planner'!$I$60-1,'Resource Planner'!$H$60)),"")</f>
        <v/>
      </c>
      <c r="G2532" s="163" t="s">
        <v>109</v>
      </c>
      <c r="H2532" s="163" t="str">
        <f>IF(AND('Resource Planner'!$A$60="☑",28&lt;='Resource Planner'!$N$60),'Resource Planner'!$M$60,"")</f>
        <v/>
      </c>
    </row>
    <row r="2533" ht="15.75" customHeight="1">
      <c r="A25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3" s="163" t="str">
        <f>IF(AND('Resource Planner'!$A$60="☑",29&lt;='Resource Planner'!$N$60),'Resource Planner'!$C$60,"")</f>
        <v/>
      </c>
      <c r="C2533" s="163" t="str">
        <f>IF(AND('Resource Planner'!$A$60="☑",29&lt;='Resource Planner'!$N$60),'Resource Planner'!$B$60,"")</f>
        <v/>
      </c>
      <c r="D2533" s="163" t="str">
        <f>IF(AND('Resource Planner'!$A$60="☑",29&lt;='Resource Planner'!$N$60),'Resource Planner'!$D$60,"")</f>
        <v/>
      </c>
      <c r="E2533" s="163" t="str">
        <f>IF(AND('Resource Planner'!$A$60="☑",29&lt;='Resource Planner'!$N$60),'Resource Planner'!$E$60,"")</f>
        <v/>
      </c>
      <c r="F2533" s="163" t="str">
        <f>IF(AND('Resource Planner'!$A$60="☑",29&lt;='Resource Planner'!$N$60),'Resource Planner'!$F$60&amp;" "&amp;('Resource Planner'!$G$60+(29-1)*'Resource Planner'!$I$60)&amp;IF(('Resource Planner'!$G$60+(29-1)*'Resource Planner'!$I$60)=MIN('Resource Planner'!$G$60+29*'Resource Planner'!$I$60-1,'Resource Planner'!$H$60),"","–"&amp;MIN('Resource Planner'!$G$60+29*'Resource Planner'!$I$60-1,'Resource Planner'!$H$60)),"")</f>
        <v/>
      </c>
      <c r="G2533" s="163" t="s">
        <v>109</v>
      </c>
      <c r="H2533" s="163" t="str">
        <f>IF(AND('Resource Planner'!$A$60="☑",29&lt;='Resource Planner'!$N$60),'Resource Planner'!$M$60,"")</f>
        <v/>
      </c>
    </row>
    <row r="2534" ht="15.75" customHeight="1">
      <c r="A25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4" s="163" t="str">
        <f>IF(AND('Resource Planner'!$A$60="☑",30&lt;='Resource Planner'!$N$60),'Resource Planner'!$C$60,"")</f>
        <v/>
      </c>
      <c r="C2534" s="163" t="str">
        <f>IF(AND('Resource Planner'!$A$60="☑",30&lt;='Resource Planner'!$N$60),'Resource Planner'!$B$60,"")</f>
        <v/>
      </c>
      <c r="D2534" s="163" t="str">
        <f>IF(AND('Resource Planner'!$A$60="☑",30&lt;='Resource Planner'!$N$60),'Resource Planner'!$D$60,"")</f>
        <v/>
      </c>
      <c r="E2534" s="163" t="str">
        <f>IF(AND('Resource Planner'!$A$60="☑",30&lt;='Resource Planner'!$N$60),'Resource Planner'!$E$60,"")</f>
        <v/>
      </c>
      <c r="F2534" s="163" t="str">
        <f>IF(AND('Resource Planner'!$A$60="☑",30&lt;='Resource Planner'!$N$60),'Resource Planner'!$F$60&amp;" "&amp;('Resource Planner'!$G$60+(30-1)*'Resource Planner'!$I$60)&amp;IF(('Resource Planner'!$G$60+(30-1)*'Resource Planner'!$I$60)=MIN('Resource Planner'!$G$60+30*'Resource Planner'!$I$60-1,'Resource Planner'!$H$60),"","–"&amp;MIN('Resource Planner'!$G$60+30*'Resource Planner'!$I$60-1,'Resource Planner'!$H$60)),"")</f>
        <v/>
      </c>
      <c r="G2534" s="163" t="s">
        <v>109</v>
      </c>
      <c r="H2534" s="163" t="str">
        <f>IF(AND('Resource Planner'!$A$60="☑",30&lt;='Resource Planner'!$N$60),'Resource Planner'!$M$60,"")</f>
        <v/>
      </c>
    </row>
    <row r="2535" ht="15.75" customHeight="1">
      <c r="A25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5" s="163" t="str">
        <f>IF(AND('Resource Planner'!$A$60="☑",31&lt;='Resource Planner'!$N$60),'Resource Planner'!$C$60,"")</f>
        <v/>
      </c>
      <c r="C2535" s="163" t="str">
        <f>IF(AND('Resource Planner'!$A$60="☑",31&lt;='Resource Planner'!$N$60),'Resource Planner'!$B$60,"")</f>
        <v/>
      </c>
      <c r="D2535" s="163" t="str">
        <f>IF(AND('Resource Planner'!$A$60="☑",31&lt;='Resource Planner'!$N$60),'Resource Planner'!$D$60,"")</f>
        <v/>
      </c>
      <c r="E2535" s="163" t="str">
        <f>IF(AND('Resource Planner'!$A$60="☑",31&lt;='Resource Planner'!$N$60),'Resource Planner'!$E$60,"")</f>
        <v/>
      </c>
      <c r="F2535" s="163" t="str">
        <f>IF(AND('Resource Planner'!$A$60="☑",31&lt;='Resource Planner'!$N$60),'Resource Planner'!$F$60&amp;" "&amp;('Resource Planner'!$G$60+(31-1)*'Resource Planner'!$I$60)&amp;IF(('Resource Planner'!$G$60+(31-1)*'Resource Planner'!$I$60)=MIN('Resource Planner'!$G$60+31*'Resource Planner'!$I$60-1,'Resource Planner'!$H$60),"","–"&amp;MIN('Resource Planner'!$G$60+31*'Resource Planner'!$I$60-1,'Resource Planner'!$H$60)),"")</f>
        <v/>
      </c>
      <c r="G2535" s="163" t="s">
        <v>109</v>
      </c>
      <c r="H2535" s="163" t="str">
        <f>IF(AND('Resource Planner'!$A$60="☑",31&lt;='Resource Planner'!$N$60),'Resource Planner'!$M$60,"")</f>
        <v/>
      </c>
    </row>
    <row r="2536" ht="15.75" customHeight="1">
      <c r="A25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6" s="163" t="str">
        <f>IF(AND('Resource Planner'!$A$60="☑",32&lt;='Resource Planner'!$N$60),'Resource Planner'!$C$60,"")</f>
        <v/>
      </c>
      <c r="C2536" s="163" t="str">
        <f>IF(AND('Resource Planner'!$A$60="☑",32&lt;='Resource Planner'!$N$60),'Resource Planner'!$B$60,"")</f>
        <v/>
      </c>
      <c r="D2536" s="163" t="str">
        <f>IF(AND('Resource Planner'!$A$60="☑",32&lt;='Resource Planner'!$N$60),'Resource Planner'!$D$60,"")</f>
        <v/>
      </c>
      <c r="E2536" s="163" t="str">
        <f>IF(AND('Resource Planner'!$A$60="☑",32&lt;='Resource Planner'!$N$60),'Resource Planner'!$E$60,"")</f>
        <v/>
      </c>
      <c r="F2536" s="163" t="str">
        <f>IF(AND('Resource Planner'!$A$60="☑",32&lt;='Resource Planner'!$N$60),'Resource Planner'!$F$60&amp;" "&amp;('Resource Planner'!$G$60+(32-1)*'Resource Planner'!$I$60)&amp;IF(('Resource Planner'!$G$60+(32-1)*'Resource Planner'!$I$60)=MIN('Resource Planner'!$G$60+32*'Resource Planner'!$I$60-1,'Resource Planner'!$H$60),"","–"&amp;MIN('Resource Planner'!$G$60+32*'Resource Planner'!$I$60-1,'Resource Planner'!$H$60)),"")</f>
        <v/>
      </c>
      <c r="G2536" s="163" t="s">
        <v>109</v>
      </c>
      <c r="H2536" s="163" t="str">
        <f>IF(AND('Resource Planner'!$A$60="☑",32&lt;='Resource Planner'!$N$60),'Resource Planner'!$M$60,"")</f>
        <v/>
      </c>
    </row>
    <row r="2537" ht="15.75" customHeight="1">
      <c r="A25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7" s="163" t="str">
        <f>IF(AND('Resource Planner'!$A$60="☑",33&lt;='Resource Planner'!$N$60),'Resource Planner'!$C$60,"")</f>
        <v/>
      </c>
      <c r="C2537" s="163" t="str">
        <f>IF(AND('Resource Planner'!$A$60="☑",33&lt;='Resource Planner'!$N$60),'Resource Planner'!$B$60,"")</f>
        <v/>
      </c>
      <c r="D2537" s="163" t="str">
        <f>IF(AND('Resource Planner'!$A$60="☑",33&lt;='Resource Planner'!$N$60),'Resource Planner'!$D$60,"")</f>
        <v/>
      </c>
      <c r="E2537" s="163" t="str">
        <f>IF(AND('Resource Planner'!$A$60="☑",33&lt;='Resource Planner'!$N$60),'Resource Planner'!$E$60,"")</f>
        <v/>
      </c>
      <c r="F2537" s="163" t="str">
        <f>IF(AND('Resource Planner'!$A$60="☑",33&lt;='Resource Planner'!$N$60),'Resource Planner'!$F$60&amp;" "&amp;('Resource Planner'!$G$60+(33-1)*'Resource Planner'!$I$60)&amp;IF(('Resource Planner'!$G$60+(33-1)*'Resource Planner'!$I$60)=MIN('Resource Planner'!$G$60+33*'Resource Planner'!$I$60-1,'Resource Planner'!$H$60),"","–"&amp;MIN('Resource Planner'!$G$60+33*'Resource Planner'!$I$60-1,'Resource Planner'!$H$60)),"")</f>
        <v/>
      </c>
      <c r="G2537" s="163" t="s">
        <v>109</v>
      </c>
      <c r="H2537" s="163" t="str">
        <f>IF(AND('Resource Planner'!$A$60="☑",33&lt;='Resource Planner'!$N$60),'Resource Planner'!$M$60,"")</f>
        <v/>
      </c>
    </row>
    <row r="2538" ht="15.75" customHeight="1">
      <c r="A25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8" s="163" t="str">
        <f>IF(AND('Resource Planner'!$A$60="☑",34&lt;='Resource Planner'!$N$60),'Resource Planner'!$C$60,"")</f>
        <v/>
      </c>
      <c r="C2538" s="163" t="str">
        <f>IF(AND('Resource Planner'!$A$60="☑",34&lt;='Resource Planner'!$N$60),'Resource Planner'!$B$60,"")</f>
        <v/>
      </c>
      <c r="D2538" s="163" t="str">
        <f>IF(AND('Resource Planner'!$A$60="☑",34&lt;='Resource Planner'!$N$60),'Resource Planner'!$D$60,"")</f>
        <v/>
      </c>
      <c r="E2538" s="163" t="str">
        <f>IF(AND('Resource Planner'!$A$60="☑",34&lt;='Resource Planner'!$N$60),'Resource Planner'!$E$60,"")</f>
        <v/>
      </c>
      <c r="F2538" s="163" t="str">
        <f>IF(AND('Resource Planner'!$A$60="☑",34&lt;='Resource Planner'!$N$60),'Resource Planner'!$F$60&amp;" "&amp;('Resource Planner'!$G$60+(34-1)*'Resource Planner'!$I$60)&amp;IF(('Resource Planner'!$G$60+(34-1)*'Resource Planner'!$I$60)=MIN('Resource Planner'!$G$60+34*'Resource Planner'!$I$60-1,'Resource Planner'!$H$60),"","–"&amp;MIN('Resource Planner'!$G$60+34*'Resource Planner'!$I$60-1,'Resource Planner'!$H$60)),"")</f>
        <v/>
      </c>
      <c r="G2538" s="163" t="s">
        <v>109</v>
      </c>
      <c r="H2538" s="163" t="str">
        <f>IF(AND('Resource Planner'!$A$60="☑",34&lt;='Resource Planner'!$N$60),'Resource Planner'!$M$60,"")</f>
        <v/>
      </c>
    </row>
    <row r="2539" ht="15.75" customHeight="1">
      <c r="A25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39" s="163" t="str">
        <f>IF(AND('Resource Planner'!$A$60="☑",35&lt;='Resource Planner'!$N$60),'Resource Planner'!$C$60,"")</f>
        <v/>
      </c>
      <c r="C2539" s="163" t="str">
        <f>IF(AND('Resource Planner'!$A$60="☑",35&lt;='Resource Planner'!$N$60),'Resource Planner'!$B$60,"")</f>
        <v/>
      </c>
      <c r="D2539" s="163" t="str">
        <f>IF(AND('Resource Planner'!$A$60="☑",35&lt;='Resource Planner'!$N$60),'Resource Planner'!$D$60,"")</f>
        <v/>
      </c>
      <c r="E2539" s="163" t="str">
        <f>IF(AND('Resource Planner'!$A$60="☑",35&lt;='Resource Planner'!$N$60),'Resource Planner'!$E$60,"")</f>
        <v/>
      </c>
      <c r="F2539" s="163" t="str">
        <f>IF(AND('Resource Planner'!$A$60="☑",35&lt;='Resource Planner'!$N$60),'Resource Planner'!$F$60&amp;" "&amp;('Resource Planner'!$G$60+(35-1)*'Resource Planner'!$I$60)&amp;IF(('Resource Planner'!$G$60+(35-1)*'Resource Planner'!$I$60)=MIN('Resource Planner'!$G$60+35*'Resource Planner'!$I$60-1,'Resource Planner'!$H$60),"","–"&amp;MIN('Resource Planner'!$G$60+35*'Resource Planner'!$I$60-1,'Resource Planner'!$H$60)),"")</f>
        <v/>
      </c>
      <c r="G2539" s="163" t="s">
        <v>109</v>
      </c>
      <c r="H2539" s="163" t="str">
        <f>IF(AND('Resource Planner'!$A$60="☑",35&lt;='Resource Planner'!$N$60),'Resource Planner'!$M$60,"")</f>
        <v/>
      </c>
    </row>
    <row r="2540" ht="15.75" customHeight="1">
      <c r="A25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0" s="163" t="str">
        <f>IF(AND('Resource Planner'!$A$60="☑",36&lt;='Resource Planner'!$N$60),'Resource Planner'!$C$60,"")</f>
        <v/>
      </c>
      <c r="C2540" s="163" t="str">
        <f>IF(AND('Resource Planner'!$A$60="☑",36&lt;='Resource Planner'!$N$60),'Resource Planner'!$B$60,"")</f>
        <v/>
      </c>
      <c r="D2540" s="163" t="str">
        <f>IF(AND('Resource Planner'!$A$60="☑",36&lt;='Resource Planner'!$N$60),'Resource Planner'!$D$60,"")</f>
        <v/>
      </c>
      <c r="E2540" s="163" t="str">
        <f>IF(AND('Resource Planner'!$A$60="☑",36&lt;='Resource Planner'!$N$60),'Resource Planner'!$E$60,"")</f>
        <v/>
      </c>
      <c r="F2540" s="163" t="str">
        <f>IF(AND('Resource Planner'!$A$60="☑",36&lt;='Resource Planner'!$N$60),'Resource Planner'!$F$60&amp;" "&amp;('Resource Planner'!$G$60+(36-1)*'Resource Planner'!$I$60)&amp;IF(('Resource Planner'!$G$60+(36-1)*'Resource Planner'!$I$60)=MIN('Resource Planner'!$G$60+36*'Resource Planner'!$I$60-1,'Resource Planner'!$H$60),"","–"&amp;MIN('Resource Planner'!$G$60+36*'Resource Planner'!$I$60-1,'Resource Planner'!$H$60)),"")</f>
        <v/>
      </c>
      <c r="G2540" s="163" t="s">
        <v>109</v>
      </c>
      <c r="H2540" s="163" t="str">
        <f>IF(AND('Resource Planner'!$A$60="☑",36&lt;='Resource Planner'!$N$60),'Resource Planner'!$M$60,"")</f>
        <v/>
      </c>
    </row>
    <row r="2541" ht="15.75" customHeight="1">
      <c r="A25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1" s="163" t="str">
        <f>IF(AND('Resource Planner'!$A$60="☑",37&lt;='Resource Planner'!$N$60),'Resource Planner'!$C$60,"")</f>
        <v/>
      </c>
      <c r="C2541" s="163" t="str">
        <f>IF(AND('Resource Planner'!$A$60="☑",37&lt;='Resource Planner'!$N$60),'Resource Planner'!$B$60,"")</f>
        <v/>
      </c>
      <c r="D2541" s="163" t="str">
        <f>IF(AND('Resource Planner'!$A$60="☑",37&lt;='Resource Planner'!$N$60),'Resource Planner'!$D$60,"")</f>
        <v/>
      </c>
      <c r="E2541" s="163" t="str">
        <f>IF(AND('Resource Planner'!$A$60="☑",37&lt;='Resource Planner'!$N$60),'Resource Planner'!$E$60,"")</f>
        <v/>
      </c>
      <c r="F2541" s="163" t="str">
        <f>IF(AND('Resource Planner'!$A$60="☑",37&lt;='Resource Planner'!$N$60),'Resource Planner'!$F$60&amp;" "&amp;('Resource Planner'!$G$60+(37-1)*'Resource Planner'!$I$60)&amp;IF(('Resource Planner'!$G$60+(37-1)*'Resource Planner'!$I$60)=MIN('Resource Planner'!$G$60+37*'Resource Planner'!$I$60-1,'Resource Planner'!$H$60),"","–"&amp;MIN('Resource Planner'!$G$60+37*'Resource Planner'!$I$60-1,'Resource Planner'!$H$60)),"")</f>
        <v/>
      </c>
      <c r="G2541" s="163" t="s">
        <v>109</v>
      </c>
      <c r="H2541" s="163" t="str">
        <f>IF(AND('Resource Planner'!$A$60="☑",37&lt;='Resource Planner'!$N$60),'Resource Planner'!$M$60,"")</f>
        <v/>
      </c>
    </row>
    <row r="2542" ht="15.75" customHeight="1">
      <c r="A25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2" s="163" t="str">
        <f>IF(AND('Resource Planner'!$A$60="☑",38&lt;='Resource Planner'!$N$60),'Resource Planner'!$C$60,"")</f>
        <v/>
      </c>
      <c r="C2542" s="163" t="str">
        <f>IF(AND('Resource Planner'!$A$60="☑",38&lt;='Resource Planner'!$N$60),'Resource Planner'!$B$60,"")</f>
        <v/>
      </c>
      <c r="D2542" s="163" t="str">
        <f>IF(AND('Resource Planner'!$A$60="☑",38&lt;='Resource Planner'!$N$60),'Resource Planner'!$D$60,"")</f>
        <v/>
      </c>
      <c r="E2542" s="163" t="str">
        <f>IF(AND('Resource Planner'!$A$60="☑",38&lt;='Resource Planner'!$N$60),'Resource Planner'!$E$60,"")</f>
        <v/>
      </c>
      <c r="F2542" s="163" t="str">
        <f>IF(AND('Resource Planner'!$A$60="☑",38&lt;='Resource Planner'!$N$60),'Resource Planner'!$F$60&amp;" "&amp;('Resource Planner'!$G$60+(38-1)*'Resource Planner'!$I$60)&amp;IF(('Resource Planner'!$G$60+(38-1)*'Resource Planner'!$I$60)=MIN('Resource Planner'!$G$60+38*'Resource Planner'!$I$60-1,'Resource Planner'!$H$60),"","–"&amp;MIN('Resource Planner'!$G$60+38*'Resource Planner'!$I$60-1,'Resource Planner'!$H$60)),"")</f>
        <v/>
      </c>
      <c r="G2542" s="163" t="s">
        <v>109</v>
      </c>
      <c r="H2542" s="163" t="str">
        <f>IF(AND('Resource Planner'!$A$60="☑",38&lt;='Resource Planner'!$N$60),'Resource Planner'!$M$60,"")</f>
        <v/>
      </c>
    </row>
    <row r="2543" ht="15.75" customHeight="1">
      <c r="A25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3" s="163" t="str">
        <f>IF(AND('Resource Planner'!$A$60="☑",39&lt;='Resource Planner'!$N$60),'Resource Planner'!$C$60,"")</f>
        <v/>
      </c>
      <c r="C2543" s="163" t="str">
        <f>IF(AND('Resource Planner'!$A$60="☑",39&lt;='Resource Planner'!$N$60),'Resource Planner'!$B$60,"")</f>
        <v/>
      </c>
      <c r="D2543" s="163" t="str">
        <f>IF(AND('Resource Planner'!$A$60="☑",39&lt;='Resource Planner'!$N$60),'Resource Planner'!$D$60,"")</f>
        <v/>
      </c>
      <c r="E2543" s="163" t="str">
        <f>IF(AND('Resource Planner'!$A$60="☑",39&lt;='Resource Planner'!$N$60),'Resource Planner'!$E$60,"")</f>
        <v/>
      </c>
      <c r="F2543" s="163" t="str">
        <f>IF(AND('Resource Planner'!$A$60="☑",39&lt;='Resource Planner'!$N$60),'Resource Planner'!$F$60&amp;" "&amp;('Resource Planner'!$G$60+(39-1)*'Resource Planner'!$I$60)&amp;IF(('Resource Planner'!$G$60+(39-1)*'Resource Planner'!$I$60)=MIN('Resource Planner'!$G$60+39*'Resource Planner'!$I$60-1,'Resource Planner'!$H$60),"","–"&amp;MIN('Resource Planner'!$G$60+39*'Resource Planner'!$I$60-1,'Resource Planner'!$H$60)),"")</f>
        <v/>
      </c>
      <c r="G2543" s="163" t="s">
        <v>109</v>
      </c>
      <c r="H2543" s="163" t="str">
        <f>IF(AND('Resource Planner'!$A$60="☑",39&lt;='Resource Planner'!$N$60),'Resource Planner'!$M$60,"")</f>
        <v/>
      </c>
    </row>
    <row r="2544" ht="15.75" customHeight="1">
      <c r="A25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4" s="163" t="str">
        <f>IF(AND('Resource Planner'!$A$60="☑",40&lt;='Resource Planner'!$N$60),'Resource Planner'!$C$60,"")</f>
        <v/>
      </c>
      <c r="C2544" s="163" t="str">
        <f>IF(AND('Resource Planner'!$A$60="☑",40&lt;='Resource Planner'!$N$60),'Resource Planner'!$B$60,"")</f>
        <v/>
      </c>
      <c r="D2544" s="163" t="str">
        <f>IF(AND('Resource Planner'!$A$60="☑",40&lt;='Resource Planner'!$N$60),'Resource Planner'!$D$60,"")</f>
        <v/>
      </c>
      <c r="E2544" s="163" t="str">
        <f>IF(AND('Resource Planner'!$A$60="☑",40&lt;='Resource Planner'!$N$60),'Resource Planner'!$E$60,"")</f>
        <v/>
      </c>
      <c r="F2544" s="163" t="str">
        <f>IF(AND('Resource Planner'!$A$60="☑",40&lt;='Resource Planner'!$N$60),'Resource Planner'!$F$60&amp;" "&amp;('Resource Planner'!$G$60+(40-1)*'Resource Planner'!$I$60)&amp;IF(('Resource Planner'!$G$60+(40-1)*'Resource Planner'!$I$60)=MIN('Resource Planner'!$G$60+40*'Resource Planner'!$I$60-1,'Resource Planner'!$H$60),"","–"&amp;MIN('Resource Planner'!$G$60+40*'Resource Planner'!$I$60-1,'Resource Planner'!$H$60)),"")</f>
        <v/>
      </c>
      <c r="G2544" s="163" t="s">
        <v>109</v>
      </c>
      <c r="H2544" s="163" t="str">
        <f>IF(AND('Resource Planner'!$A$60="☑",40&lt;='Resource Planner'!$N$60),'Resource Planner'!$M$60,"")</f>
        <v/>
      </c>
    </row>
    <row r="2545" ht="15.75" customHeight="1">
      <c r="A25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5" s="163" t="str">
        <f>IF(AND('Resource Planner'!$A$60="☑",41&lt;='Resource Planner'!$N$60),'Resource Planner'!$C$60,"")</f>
        <v/>
      </c>
      <c r="C2545" s="163" t="str">
        <f>IF(AND('Resource Planner'!$A$60="☑",41&lt;='Resource Planner'!$N$60),'Resource Planner'!$B$60,"")</f>
        <v/>
      </c>
      <c r="D2545" s="163" t="str">
        <f>IF(AND('Resource Planner'!$A$60="☑",41&lt;='Resource Planner'!$N$60),'Resource Planner'!$D$60,"")</f>
        <v/>
      </c>
      <c r="E2545" s="163" t="str">
        <f>IF(AND('Resource Planner'!$A$60="☑",41&lt;='Resource Planner'!$N$60),'Resource Planner'!$E$60,"")</f>
        <v/>
      </c>
      <c r="F2545" s="163" t="str">
        <f>IF(AND('Resource Planner'!$A$60="☑",41&lt;='Resource Planner'!$N$60),'Resource Planner'!$F$60&amp;" "&amp;('Resource Planner'!$G$60+(41-1)*'Resource Planner'!$I$60)&amp;IF(('Resource Planner'!$G$60+(41-1)*'Resource Planner'!$I$60)=MIN('Resource Planner'!$G$60+41*'Resource Planner'!$I$60-1,'Resource Planner'!$H$60),"","–"&amp;MIN('Resource Planner'!$G$60+41*'Resource Planner'!$I$60-1,'Resource Planner'!$H$60)),"")</f>
        <v/>
      </c>
      <c r="G2545" s="163" t="s">
        <v>109</v>
      </c>
      <c r="H2545" s="163" t="str">
        <f>IF(AND('Resource Planner'!$A$60="☑",41&lt;='Resource Planner'!$N$60),'Resource Planner'!$M$60,"")</f>
        <v/>
      </c>
    </row>
    <row r="2546" ht="15.75" customHeight="1">
      <c r="A25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6" s="163" t="str">
        <f>IF(AND('Resource Planner'!$A$60="☑",42&lt;='Resource Planner'!$N$60),'Resource Planner'!$C$60,"")</f>
        <v/>
      </c>
      <c r="C2546" s="163" t="str">
        <f>IF(AND('Resource Planner'!$A$60="☑",42&lt;='Resource Planner'!$N$60),'Resource Planner'!$B$60,"")</f>
        <v/>
      </c>
      <c r="D2546" s="163" t="str">
        <f>IF(AND('Resource Planner'!$A$60="☑",42&lt;='Resource Planner'!$N$60),'Resource Planner'!$D$60,"")</f>
        <v/>
      </c>
      <c r="E2546" s="163" t="str">
        <f>IF(AND('Resource Planner'!$A$60="☑",42&lt;='Resource Planner'!$N$60),'Resource Planner'!$E$60,"")</f>
        <v/>
      </c>
      <c r="F2546" s="163" t="str">
        <f>IF(AND('Resource Planner'!$A$60="☑",42&lt;='Resource Planner'!$N$60),'Resource Planner'!$F$60&amp;" "&amp;('Resource Planner'!$G$60+(42-1)*'Resource Planner'!$I$60)&amp;IF(('Resource Planner'!$G$60+(42-1)*'Resource Planner'!$I$60)=MIN('Resource Planner'!$G$60+42*'Resource Planner'!$I$60-1,'Resource Planner'!$H$60),"","–"&amp;MIN('Resource Planner'!$G$60+42*'Resource Planner'!$I$60-1,'Resource Planner'!$H$60)),"")</f>
        <v/>
      </c>
      <c r="G2546" s="163" t="s">
        <v>109</v>
      </c>
      <c r="H2546" s="163" t="str">
        <f>IF(AND('Resource Planner'!$A$60="☑",42&lt;='Resource Planner'!$N$60),'Resource Planner'!$M$60,"")</f>
        <v/>
      </c>
    </row>
    <row r="2547" ht="15.75" customHeight="1">
      <c r="A25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7" s="163" t="str">
        <f>IF(AND('Resource Planner'!$A$60="☑",43&lt;='Resource Planner'!$N$60),'Resource Planner'!$C$60,"")</f>
        <v/>
      </c>
      <c r="C2547" s="163" t="str">
        <f>IF(AND('Resource Planner'!$A$60="☑",43&lt;='Resource Planner'!$N$60),'Resource Planner'!$B$60,"")</f>
        <v/>
      </c>
      <c r="D2547" s="163" t="str">
        <f>IF(AND('Resource Planner'!$A$60="☑",43&lt;='Resource Planner'!$N$60),'Resource Planner'!$D$60,"")</f>
        <v/>
      </c>
      <c r="E2547" s="163" t="str">
        <f>IF(AND('Resource Planner'!$A$60="☑",43&lt;='Resource Planner'!$N$60),'Resource Planner'!$E$60,"")</f>
        <v/>
      </c>
      <c r="F2547" s="163" t="str">
        <f>IF(AND('Resource Planner'!$A$60="☑",43&lt;='Resource Planner'!$N$60),'Resource Planner'!$F$60&amp;" "&amp;('Resource Planner'!$G$60+(43-1)*'Resource Planner'!$I$60)&amp;IF(('Resource Planner'!$G$60+(43-1)*'Resource Planner'!$I$60)=MIN('Resource Planner'!$G$60+43*'Resource Planner'!$I$60-1,'Resource Planner'!$H$60),"","–"&amp;MIN('Resource Planner'!$G$60+43*'Resource Planner'!$I$60-1,'Resource Planner'!$H$60)),"")</f>
        <v/>
      </c>
      <c r="G2547" s="163" t="s">
        <v>109</v>
      </c>
      <c r="H2547" s="163" t="str">
        <f>IF(AND('Resource Planner'!$A$60="☑",43&lt;='Resource Planner'!$N$60),'Resource Planner'!$M$60,"")</f>
        <v/>
      </c>
    </row>
    <row r="2548" ht="15.75" customHeight="1">
      <c r="A25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8" s="163" t="str">
        <f>IF(AND('Resource Planner'!$A$60="☑",44&lt;='Resource Planner'!$N$60),'Resource Planner'!$C$60,"")</f>
        <v/>
      </c>
      <c r="C2548" s="163" t="str">
        <f>IF(AND('Resource Planner'!$A$60="☑",44&lt;='Resource Planner'!$N$60),'Resource Planner'!$B$60,"")</f>
        <v/>
      </c>
      <c r="D2548" s="163" t="str">
        <f>IF(AND('Resource Planner'!$A$60="☑",44&lt;='Resource Planner'!$N$60),'Resource Planner'!$D$60,"")</f>
        <v/>
      </c>
      <c r="E2548" s="163" t="str">
        <f>IF(AND('Resource Planner'!$A$60="☑",44&lt;='Resource Planner'!$N$60),'Resource Planner'!$E$60,"")</f>
        <v/>
      </c>
      <c r="F2548" s="163" t="str">
        <f>IF(AND('Resource Planner'!$A$60="☑",44&lt;='Resource Planner'!$N$60),'Resource Planner'!$F$60&amp;" "&amp;('Resource Planner'!$G$60+(44-1)*'Resource Planner'!$I$60)&amp;IF(('Resource Planner'!$G$60+(44-1)*'Resource Planner'!$I$60)=MIN('Resource Planner'!$G$60+44*'Resource Planner'!$I$60-1,'Resource Planner'!$H$60),"","–"&amp;MIN('Resource Planner'!$G$60+44*'Resource Planner'!$I$60-1,'Resource Planner'!$H$60)),"")</f>
        <v/>
      </c>
      <c r="G2548" s="163" t="s">
        <v>109</v>
      </c>
      <c r="H2548" s="163" t="str">
        <f>IF(AND('Resource Planner'!$A$60="☑",44&lt;='Resource Planner'!$N$60),'Resource Planner'!$M$60,"")</f>
        <v/>
      </c>
    </row>
    <row r="2549" ht="15.75" customHeight="1">
      <c r="A25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49" s="163" t="str">
        <f>IF(AND('Resource Planner'!$A$60="☑",45&lt;='Resource Planner'!$N$60),'Resource Planner'!$C$60,"")</f>
        <v/>
      </c>
      <c r="C2549" s="163" t="str">
        <f>IF(AND('Resource Planner'!$A$60="☑",45&lt;='Resource Planner'!$N$60),'Resource Planner'!$B$60,"")</f>
        <v/>
      </c>
      <c r="D2549" s="163" t="str">
        <f>IF(AND('Resource Planner'!$A$60="☑",45&lt;='Resource Planner'!$N$60),'Resource Planner'!$D$60,"")</f>
        <v/>
      </c>
      <c r="E2549" s="163" t="str">
        <f>IF(AND('Resource Planner'!$A$60="☑",45&lt;='Resource Planner'!$N$60),'Resource Planner'!$E$60,"")</f>
        <v/>
      </c>
      <c r="F2549" s="163" t="str">
        <f>IF(AND('Resource Planner'!$A$60="☑",45&lt;='Resource Planner'!$N$60),'Resource Planner'!$F$60&amp;" "&amp;('Resource Planner'!$G$60+(45-1)*'Resource Planner'!$I$60)&amp;IF(('Resource Planner'!$G$60+(45-1)*'Resource Planner'!$I$60)=MIN('Resource Planner'!$G$60+45*'Resource Planner'!$I$60-1,'Resource Planner'!$H$60),"","–"&amp;MIN('Resource Planner'!$G$60+45*'Resource Planner'!$I$60-1,'Resource Planner'!$H$60)),"")</f>
        <v/>
      </c>
      <c r="G2549" s="163" t="s">
        <v>109</v>
      </c>
      <c r="H2549" s="163" t="str">
        <f>IF(AND('Resource Planner'!$A$60="☑",45&lt;='Resource Planner'!$N$60),'Resource Planner'!$M$60,"")</f>
        <v/>
      </c>
    </row>
    <row r="2550" ht="15.75" customHeight="1">
      <c r="A25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0" s="163" t="str">
        <f>IF(AND('Resource Planner'!$A$60="☑",46&lt;='Resource Planner'!$N$60),'Resource Planner'!$C$60,"")</f>
        <v/>
      </c>
      <c r="C2550" s="163" t="str">
        <f>IF(AND('Resource Planner'!$A$60="☑",46&lt;='Resource Planner'!$N$60),'Resource Planner'!$B$60,"")</f>
        <v/>
      </c>
      <c r="D2550" s="163" t="str">
        <f>IF(AND('Resource Planner'!$A$60="☑",46&lt;='Resource Planner'!$N$60),'Resource Planner'!$D$60,"")</f>
        <v/>
      </c>
      <c r="E2550" s="163" t="str">
        <f>IF(AND('Resource Planner'!$A$60="☑",46&lt;='Resource Planner'!$N$60),'Resource Planner'!$E$60,"")</f>
        <v/>
      </c>
      <c r="F2550" s="163" t="str">
        <f>IF(AND('Resource Planner'!$A$60="☑",46&lt;='Resource Planner'!$N$60),'Resource Planner'!$F$60&amp;" "&amp;('Resource Planner'!$G$60+(46-1)*'Resource Planner'!$I$60)&amp;IF(('Resource Planner'!$G$60+(46-1)*'Resource Planner'!$I$60)=MIN('Resource Planner'!$G$60+46*'Resource Planner'!$I$60-1,'Resource Planner'!$H$60),"","–"&amp;MIN('Resource Planner'!$G$60+46*'Resource Planner'!$I$60-1,'Resource Planner'!$H$60)),"")</f>
        <v/>
      </c>
      <c r="G2550" s="163" t="s">
        <v>109</v>
      </c>
      <c r="H2550" s="163" t="str">
        <f>IF(AND('Resource Planner'!$A$60="☑",46&lt;='Resource Planner'!$N$60),'Resource Planner'!$M$60,"")</f>
        <v/>
      </c>
    </row>
    <row r="2551" ht="15.75" customHeight="1">
      <c r="A25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1" s="163" t="str">
        <f>IF(AND('Resource Planner'!$A$60="☑",47&lt;='Resource Planner'!$N$60),'Resource Planner'!$C$60,"")</f>
        <v/>
      </c>
      <c r="C2551" s="163" t="str">
        <f>IF(AND('Resource Planner'!$A$60="☑",47&lt;='Resource Planner'!$N$60),'Resource Planner'!$B$60,"")</f>
        <v/>
      </c>
      <c r="D2551" s="163" t="str">
        <f>IF(AND('Resource Planner'!$A$60="☑",47&lt;='Resource Planner'!$N$60),'Resource Planner'!$D$60,"")</f>
        <v/>
      </c>
      <c r="E2551" s="163" t="str">
        <f>IF(AND('Resource Planner'!$A$60="☑",47&lt;='Resource Planner'!$N$60),'Resource Planner'!$E$60,"")</f>
        <v/>
      </c>
      <c r="F2551" s="163" t="str">
        <f>IF(AND('Resource Planner'!$A$60="☑",47&lt;='Resource Planner'!$N$60),'Resource Planner'!$F$60&amp;" "&amp;('Resource Planner'!$G$60+(47-1)*'Resource Planner'!$I$60)&amp;IF(('Resource Planner'!$G$60+(47-1)*'Resource Planner'!$I$60)=MIN('Resource Planner'!$G$60+47*'Resource Planner'!$I$60-1,'Resource Planner'!$H$60),"","–"&amp;MIN('Resource Planner'!$G$60+47*'Resource Planner'!$I$60-1,'Resource Planner'!$H$60)),"")</f>
        <v/>
      </c>
      <c r="G2551" s="163" t="s">
        <v>109</v>
      </c>
      <c r="H2551" s="163" t="str">
        <f>IF(AND('Resource Planner'!$A$60="☑",47&lt;='Resource Planner'!$N$60),'Resource Planner'!$M$60,"")</f>
        <v/>
      </c>
    </row>
    <row r="2552" ht="15.75" customHeight="1">
      <c r="A25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2" s="163" t="str">
        <f>IF(AND('Resource Planner'!$A$60="☑",48&lt;='Resource Planner'!$N$60),'Resource Planner'!$C$60,"")</f>
        <v/>
      </c>
      <c r="C2552" s="163" t="str">
        <f>IF(AND('Resource Planner'!$A$60="☑",48&lt;='Resource Planner'!$N$60),'Resource Planner'!$B$60,"")</f>
        <v/>
      </c>
      <c r="D2552" s="163" t="str">
        <f>IF(AND('Resource Planner'!$A$60="☑",48&lt;='Resource Planner'!$N$60),'Resource Planner'!$D$60,"")</f>
        <v/>
      </c>
      <c r="E2552" s="163" t="str">
        <f>IF(AND('Resource Planner'!$A$60="☑",48&lt;='Resource Planner'!$N$60),'Resource Planner'!$E$60,"")</f>
        <v/>
      </c>
      <c r="F2552" s="163" t="str">
        <f>IF(AND('Resource Planner'!$A$60="☑",48&lt;='Resource Planner'!$N$60),'Resource Planner'!$F$60&amp;" "&amp;('Resource Planner'!$G$60+(48-1)*'Resource Planner'!$I$60)&amp;IF(('Resource Planner'!$G$60+(48-1)*'Resource Planner'!$I$60)=MIN('Resource Planner'!$G$60+48*'Resource Planner'!$I$60-1,'Resource Planner'!$H$60),"","–"&amp;MIN('Resource Planner'!$G$60+48*'Resource Planner'!$I$60-1,'Resource Planner'!$H$60)),"")</f>
        <v/>
      </c>
      <c r="G2552" s="163" t="s">
        <v>109</v>
      </c>
      <c r="H2552" s="163" t="str">
        <f>IF(AND('Resource Planner'!$A$60="☑",48&lt;='Resource Planner'!$N$60),'Resource Planner'!$M$60,"")</f>
        <v/>
      </c>
    </row>
    <row r="2553" ht="15.75" customHeight="1">
      <c r="A25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3" s="163" t="str">
        <f>IF(AND('Resource Planner'!$A$60="☑",49&lt;='Resource Planner'!$N$60),'Resource Planner'!$C$60,"")</f>
        <v/>
      </c>
      <c r="C2553" s="163" t="str">
        <f>IF(AND('Resource Planner'!$A$60="☑",49&lt;='Resource Planner'!$N$60),'Resource Planner'!$B$60,"")</f>
        <v/>
      </c>
      <c r="D2553" s="163" t="str">
        <f>IF(AND('Resource Planner'!$A$60="☑",49&lt;='Resource Planner'!$N$60),'Resource Planner'!$D$60,"")</f>
        <v/>
      </c>
      <c r="E2553" s="163" t="str">
        <f>IF(AND('Resource Planner'!$A$60="☑",49&lt;='Resource Planner'!$N$60),'Resource Planner'!$E$60,"")</f>
        <v/>
      </c>
      <c r="F2553" s="163" t="str">
        <f>IF(AND('Resource Planner'!$A$60="☑",49&lt;='Resource Planner'!$N$60),'Resource Planner'!$F$60&amp;" "&amp;('Resource Planner'!$G$60+(49-1)*'Resource Planner'!$I$60)&amp;IF(('Resource Planner'!$G$60+(49-1)*'Resource Planner'!$I$60)=MIN('Resource Planner'!$G$60+49*'Resource Planner'!$I$60-1,'Resource Planner'!$H$60),"","–"&amp;MIN('Resource Planner'!$G$60+49*'Resource Planner'!$I$60-1,'Resource Planner'!$H$60)),"")</f>
        <v/>
      </c>
      <c r="G2553" s="163" t="s">
        <v>109</v>
      </c>
      <c r="H2553" s="163" t="str">
        <f>IF(AND('Resource Planner'!$A$60="☑",49&lt;='Resource Planner'!$N$60),'Resource Planner'!$M$60,"")</f>
        <v/>
      </c>
    </row>
    <row r="2554" ht="15.75" customHeight="1">
      <c r="A25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4" s="163" t="str">
        <f>IF(AND('Resource Planner'!$A$60="☑",50&lt;='Resource Planner'!$N$60),'Resource Planner'!$C$60,"")</f>
        <v/>
      </c>
      <c r="C2554" s="163" t="str">
        <f>IF(AND('Resource Planner'!$A$60="☑",50&lt;='Resource Planner'!$N$60),'Resource Planner'!$B$60,"")</f>
        <v/>
      </c>
      <c r="D2554" s="163" t="str">
        <f>IF(AND('Resource Planner'!$A$60="☑",50&lt;='Resource Planner'!$N$60),'Resource Planner'!$D$60,"")</f>
        <v/>
      </c>
      <c r="E2554" s="163" t="str">
        <f>IF(AND('Resource Planner'!$A$60="☑",50&lt;='Resource Planner'!$N$60),'Resource Planner'!$E$60,"")</f>
        <v/>
      </c>
      <c r="F2554" s="163" t="str">
        <f>IF(AND('Resource Planner'!$A$60="☑",50&lt;='Resource Planner'!$N$60),'Resource Planner'!$F$60&amp;" "&amp;('Resource Planner'!$G$60+(50-1)*'Resource Planner'!$I$60)&amp;IF(('Resource Planner'!$G$60+(50-1)*'Resource Planner'!$I$60)=MIN('Resource Planner'!$G$60+50*'Resource Planner'!$I$60-1,'Resource Planner'!$H$60),"","–"&amp;MIN('Resource Planner'!$G$60+50*'Resource Planner'!$I$60-1,'Resource Planner'!$H$60)),"")</f>
        <v/>
      </c>
      <c r="G2554" s="163" t="s">
        <v>109</v>
      </c>
      <c r="H2554" s="163" t="str">
        <f>IF(AND('Resource Planner'!$A$60="☑",50&lt;='Resource Planner'!$N$60),'Resource Planner'!$M$60,"")</f>
        <v/>
      </c>
    </row>
    <row r="2555" ht="15.75" customHeight="1">
      <c r="A25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5" s="163" t="str">
        <f>IF(AND('Resource Planner'!$A$61="☑",1&lt;='Resource Planner'!$N$61),'Resource Planner'!$C$61,"")</f>
        <v/>
      </c>
      <c r="C2555" s="163" t="str">
        <f>IF(AND('Resource Planner'!$A$61="☑",1&lt;='Resource Planner'!$N$61),'Resource Planner'!$B$61,"")</f>
        <v/>
      </c>
      <c r="D2555" s="163" t="str">
        <f>IF(AND('Resource Planner'!$A$61="☑",1&lt;='Resource Planner'!$N$61),'Resource Planner'!$D$61,"")</f>
        <v/>
      </c>
      <c r="E2555" s="163" t="str">
        <f>IF(AND('Resource Planner'!$A$61="☑",1&lt;='Resource Planner'!$N$61),'Resource Planner'!$E$61,"")</f>
        <v/>
      </c>
      <c r="F2555" s="163" t="str">
        <f>IF(AND('Resource Planner'!$A$61="☑",1&lt;='Resource Planner'!$N$61),'Resource Planner'!$F$61&amp;" "&amp;('Resource Planner'!$G$61+(1-1)*'Resource Planner'!$I$61)&amp;IF(('Resource Planner'!$G$61+(1-1)*'Resource Planner'!$I$61)=MIN('Resource Planner'!$G$61+1*'Resource Planner'!$I$61-1,'Resource Planner'!$H$61),"","–"&amp;MIN('Resource Planner'!$G$61+1*'Resource Planner'!$I$61-1,'Resource Planner'!$H$61)),"")</f>
        <v/>
      </c>
      <c r="G2555" s="163" t="s">
        <v>109</v>
      </c>
      <c r="H2555" s="163" t="str">
        <f>IF(AND('Resource Planner'!$A$61="☑",1&lt;='Resource Planner'!$N$61),'Resource Planner'!$M$61,"")</f>
        <v/>
      </c>
    </row>
    <row r="2556" ht="15.75" customHeight="1">
      <c r="A25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6" s="163" t="str">
        <f>IF(AND('Resource Planner'!$A$61="☑",2&lt;='Resource Planner'!$N$61),'Resource Planner'!$C$61,"")</f>
        <v/>
      </c>
      <c r="C2556" s="163" t="str">
        <f>IF(AND('Resource Planner'!$A$61="☑",2&lt;='Resource Planner'!$N$61),'Resource Planner'!$B$61,"")</f>
        <v/>
      </c>
      <c r="D2556" s="163" t="str">
        <f>IF(AND('Resource Planner'!$A$61="☑",2&lt;='Resource Planner'!$N$61),'Resource Planner'!$D$61,"")</f>
        <v/>
      </c>
      <c r="E2556" s="163" t="str">
        <f>IF(AND('Resource Planner'!$A$61="☑",2&lt;='Resource Planner'!$N$61),'Resource Planner'!$E$61,"")</f>
        <v/>
      </c>
      <c r="F2556" s="163" t="str">
        <f>IF(AND('Resource Planner'!$A$61="☑",2&lt;='Resource Planner'!$N$61),'Resource Planner'!$F$61&amp;" "&amp;('Resource Planner'!$G$61+(2-1)*'Resource Planner'!$I$61)&amp;IF(('Resource Planner'!$G$61+(2-1)*'Resource Planner'!$I$61)=MIN('Resource Planner'!$G$61+2*'Resource Planner'!$I$61-1,'Resource Planner'!$H$61),"","–"&amp;MIN('Resource Planner'!$G$61+2*'Resource Planner'!$I$61-1,'Resource Planner'!$H$61)),"")</f>
        <v/>
      </c>
      <c r="G2556" s="163" t="s">
        <v>109</v>
      </c>
      <c r="H2556" s="163" t="str">
        <f>IF(AND('Resource Planner'!$A$61="☑",2&lt;='Resource Planner'!$N$61),'Resource Planner'!$M$61,"")</f>
        <v/>
      </c>
    </row>
    <row r="2557" ht="15.75" customHeight="1">
      <c r="A25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7" s="163" t="str">
        <f>IF(AND('Resource Planner'!$A$61="☑",3&lt;='Resource Planner'!$N$61),'Resource Planner'!$C$61,"")</f>
        <v/>
      </c>
      <c r="C2557" s="163" t="str">
        <f>IF(AND('Resource Planner'!$A$61="☑",3&lt;='Resource Planner'!$N$61),'Resource Planner'!$B$61,"")</f>
        <v/>
      </c>
      <c r="D2557" s="163" t="str">
        <f>IF(AND('Resource Planner'!$A$61="☑",3&lt;='Resource Planner'!$N$61),'Resource Planner'!$D$61,"")</f>
        <v/>
      </c>
      <c r="E2557" s="163" t="str">
        <f>IF(AND('Resource Planner'!$A$61="☑",3&lt;='Resource Planner'!$N$61),'Resource Planner'!$E$61,"")</f>
        <v/>
      </c>
      <c r="F2557" s="163" t="str">
        <f>IF(AND('Resource Planner'!$A$61="☑",3&lt;='Resource Planner'!$N$61),'Resource Planner'!$F$61&amp;" "&amp;('Resource Planner'!$G$61+(3-1)*'Resource Planner'!$I$61)&amp;IF(('Resource Planner'!$G$61+(3-1)*'Resource Planner'!$I$61)=MIN('Resource Planner'!$G$61+3*'Resource Planner'!$I$61-1,'Resource Planner'!$H$61),"","–"&amp;MIN('Resource Planner'!$G$61+3*'Resource Planner'!$I$61-1,'Resource Planner'!$H$61)),"")</f>
        <v/>
      </c>
      <c r="G2557" s="163" t="s">
        <v>109</v>
      </c>
      <c r="H2557" s="163" t="str">
        <f>IF(AND('Resource Planner'!$A$61="☑",3&lt;='Resource Planner'!$N$61),'Resource Planner'!$M$61,"")</f>
        <v/>
      </c>
    </row>
    <row r="2558" ht="15.75" customHeight="1">
      <c r="A25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8" s="163" t="str">
        <f>IF(AND('Resource Planner'!$A$61="☑",4&lt;='Resource Planner'!$N$61),'Resource Planner'!$C$61,"")</f>
        <v/>
      </c>
      <c r="C2558" s="163" t="str">
        <f>IF(AND('Resource Planner'!$A$61="☑",4&lt;='Resource Planner'!$N$61),'Resource Planner'!$B$61,"")</f>
        <v/>
      </c>
      <c r="D2558" s="163" t="str">
        <f>IF(AND('Resource Planner'!$A$61="☑",4&lt;='Resource Planner'!$N$61),'Resource Planner'!$D$61,"")</f>
        <v/>
      </c>
      <c r="E2558" s="163" t="str">
        <f>IF(AND('Resource Planner'!$A$61="☑",4&lt;='Resource Planner'!$N$61),'Resource Planner'!$E$61,"")</f>
        <v/>
      </c>
      <c r="F2558" s="163" t="str">
        <f>IF(AND('Resource Planner'!$A$61="☑",4&lt;='Resource Planner'!$N$61),'Resource Planner'!$F$61&amp;" "&amp;('Resource Planner'!$G$61+(4-1)*'Resource Planner'!$I$61)&amp;IF(('Resource Planner'!$G$61+(4-1)*'Resource Planner'!$I$61)=MIN('Resource Planner'!$G$61+4*'Resource Planner'!$I$61-1,'Resource Planner'!$H$61),"","–"&amp;MIN('Resource Planner'!$G$61+4*'Resource Planner'!$I$61-1,'Resource Planner'!$H$61)),"")</f>
        <v/>
      </c>
      <c r="G2558" s="163" t="s">
        <v>109</v>
      </c>
      <c r="H2558" s="163" t="str">
        <f>IF(AND('Resource Planner'!$A$61="☑",4&lt;='Resource Planner'!$N$61),'Resource Planner'!$M$61,"")</f>
        <v/>
      </c>
    </row>
    <row r="2559" ht="15.75" customHeight="1">
      <c r="A25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59" s="163" t="str">
        <f>IF(AND('Resource Planner'!$A$61="☑",5&lt;='Resource Planner'!$N$61),'Resource Planner'!$C$61,"")</f>
        <v/>
      </c>
      <c r="C2559" s="163" t="str">
        <f>IF(AND('Resource Planner'!$A$61="☑",5&lt;='Resource Planner'!$N$61),'Resource Planner'!$B$61,"")</f>
        <v/>
      </c>
      <c r="D2559" s="163" t="str">
        <f>IF(AND('Resource Planner'!$A$61="☑",5&lt;='Resource Planner'!$N$61),'Resource Planner'!$D$61,"")</f>
        <v/>
      </c>
      <c r="E2559" s="163" t="str">
        <f>IF(AND('Resource Planner'!$A$61="☑",5&lt;='Resource Planner'!$N$61),'Resource Planner'!$E$61,"")</f>
        <v/>
      </c>
      <c r="F2559" s="163" t="str">
        <f>IF(AND('Resource Planner'!$A$61="☑",5&lt;='Resource Planner'!$N$61),'Resource Planner'!$F$61&amp;" "&amp;('Resource Planner'!$G$61+(5-1)*'Resource Planner'!$I$61)&amp;IF(('Resource Planner'!$G$61+(5-1)*'Resource Planner'!$I$61)=MIN('Resource Planner'!$G$61+5*'Resource Planner'!$I$61-1,'Resource Planner'!$H$61),"","–"&amp;MIN('Resource Planner'!$G$61+5*'Resource Planner'!$I$61-1,'Resource Planner'!$H$61)),"")</f>
        <v/>
      </c>
      <c r="G2559" s="163" t="s">
        <v>109</v>
      </c>
      <c r="H2559" s="163" t="str">
        <f>IF(AND('Resource Planner'!$A$61="☑",5&lt;='Resource Planner'!$N$61),'Resource Planner'!$M$61,"")</f>
        <v/>
      </c>
    </row>
    <row r="2560" ht="15.75" customHeight="1">
      <c r="A25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0" s="163" t="str">
        <f>IF(AND('Resource Planner'!$A$61="☑",6&lt;='Resource Planner'!$N$61),'Resource Planner'!$C$61,"")</f>
        <v/>
      </c>
      <c r="C2560" s="163" t="str">
        <f>IF(AND('Resource Planner'!$A$61="☑",6&lt;='Resource Planner'!$N$61),'Resource Planner'!$B$61,"")</f>
        <v/>
      </c>
      <c r="D2560" s="163" t="str">
        <f>IF(AND('Resource Planner'!$A$61="☑",6&lt;='Resource Planner'!$N$61),'Resource Planner'!$D$61,"")</f>
        <v/>
      </c>
      <c r="E2560" s="163" t="str">
        <f>IF(AND('Resource Planner'!$A$61="☑",6&lt;='Resource Planner'!$N$61),'Resource Planner'!$E$61,"")</f>
        <v/>
      </c>
      <c r="F2560" s="163" t="str">
        <f>IF(AND('Resource Planner'!$A$61="☑",6&lt;='Resource Planner'!$N$61),'Resource Planner'!$F$61&amp;" "&amp;('Resource Planner'!$G$61+(6-1)*'Resource Planner'!$I$61)&amp;IF(('Resource Planner'!$G$61+(6-1)*'Resource Planner'!$I$61)=MIN('Resource Planner'!$G$61+6*'Resource Planner'!$I$61-1,'Resource Planner'!$H$61),"","–"&amp;MIN('Resource Planner'!$G$61+6*'Resource Planner'!$I$61-1,'Resource Planner'!$H$61)),"")</f>
        <v/>
      </c>
      <c r="G2560" s="163" t="s">
        <v>109</v>
      </c>
      <c r="H2560" s="163" t="str">
        <f>IF(AND('Resource Planner'!$A$61="☑",6&lt;='Resource Planner'!$N$61),'Resource Planner'!$M$61,"")</f>
        <v/>
      </c>
    </row>
    <row r="2561" ht="15.75" customHeight="1">
      <c r="A25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1" s="163" t="str">
        <f>IF(AND('Resource Planner'!$A$61="☑",7&lt;='Resource Planner'!$N$61),'Resource Planner'!$C$61,"")</f>
        <v/>
      </c>
      <c r="C2561" s="163" t="str">
        <f>IF(AND('Resource Planner'!$A$61="☑",7&lt;='Resource Planner'!$N$61),'Resource Planner'!$B$61,"")</f>
        <v/>
      </c>
      <c r="D2561" s="163" t="str">
        <f>IF(AND('Resource Planner'!$A$61="☑",7&lt;='Resource Planner'!$N$61),'Resource Planner'!$D$61,"")</f>
        <v/>
      </c>
      <c r="E2561" s="163" t="str">
        <f>IF(AND('Resource Planner'!$A$61="☑",7&lt;='Resource Planner'!$N$61),'Resource Planner'!$E$61,"")</f>
        <v/>
      </c>
      <c r="F2561" s="163" t="str">
        <f>IF(AND('Resource Planner'!$A$61="☑",7&lt;='Resource Planner'!$N$61),'Resource Planner'!$F$61&amp;" "&amp;('Resource Planner'!$G$61+(7-1)*'Resource Planner'!$I$61)&amp;IF(('Resource Planner'!$G$61+(7-1)*'Resource Planner'!$I$61)=MIN('Resource Planner'!$G$61+7*'Resource Planner'!$I$61-1,'Resource Planner'!$H$61),"","–"&amp;MIN('Resource Planner'!$G$61+7*'Resource Planner'!$I$61-1,'Resource Planner'!$H$61)),"")</f>
        <v/>
      </c>
      <c r="G2561" s="163" t="s">
        <v>109</v>
      </c>
      <c r="H2561" s="163" t="str">
        <f>IF(AND('Resource Planner'!$A$61="☑",7&lt;='Resource Planner'!$N$61),'Resource Planner'!$M$61,"")</f>
        <v/>
      </c>
    </row>
    <row r="2562" ht="15.75" customHeight="1">
      <c r="A25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2" s="163" t="str">
        <f>IF(AND('Resource Planner'!$A$61="☑",8&lt;='Resource Planner'!$N$61),'Resource Planner'!$C$61,"")</f>
        <v/>
      </c>
      <c r="C2562" s="163" t="str">
        <f>IF(AND('Resource Planner'!$A$61="☑",8&lt;='Resource Planner'!$N$61),'Resource Planner'!$B$61,"")</f>
        <v/>
      </c>
      <c r="D2562" s="163" t="str">
        <f>IF(AND('Resource Planner'!$A$61="☑",8&lt;='Resource Planner'!$N$61),'Resource Planner'!$D$61,"")</f>
        <v/>
      </c>
      <c r="E2562" s="163" t="str">
        <f>IF(AND('Resource Planner'!$A$61="☑",8&lt;='Resource Planner'!$N$61),'Resource Planner'!$E$61,"")</f>
        <v/>
      </c>
      <c r="F2562" s="163" t="str">
        <f>IF(AND('Resource Planner'!$A$61="☑",8&lt;='Resource Planner'!$N$61),'Resource Planner'!$F$61&amp;" "&amp;('Resource Planner'!$G$61+(8-1)*'Resource Planner'!$I$61)&amp;IF(('Resource Planner'!$G$61+(8-1)*'Resource Planner'!$I$61)=MIN('Resource Planner'!$G$61+8*'Resource Planner'!$I$61-1,'Resource Planner'!$H$61),"","–"&amp;MIN('Resource Planner'!$G$61+8*'Resource Planner'!$I$61-1,'Resource Planner'!$H$61)),"")</f>
        <v/>
      </c>
      <c r="G2562" s="163" t="s">
        <v>109</v>
      </c>
      <c r="H2562" s="163" t="str">
        <f>IF(AND('Resource Planner'!$A$61="☑",8&lt;='Resource Planner'!$N$61),'Resource Planner'!$M$61,"")</f>
        <v/>
      </c>
    </row>
    <row r="2563" ht="15.75" customHeight="1">
      <c r="A25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3" s="163" t="str">
        <f>IF(AND('Resource Planner'!$A$61="☑",9&lt;='Resource Planner'!$N$61),'Resource Planner'!$C$61,"")</f>
        <v/>
      </c>
      <c r="C2563" s="163" t="str">
        <f>IF(AND('Resource Planner'!$A$61="☑",9&lt;='Resource Planner'!$N$61),'Resource Planner'!$B$61,"")</f>
        <v/>
      </c>
      <c r="D2563" s="163" t="str">
        <f>IF(AND('Resource Planner'!$A$61="☑",9&lt;='Resource Planner'!$N$61),'Resource Planner'!$D$61,"")</f>
        <v/>
      </c>
      <c r="E2563" s="163" t="str">
        <f>IF(AND('Resource Planner'!$A$61="☑",9&lt;='Resource Planner'!$N$61),'Resource Planner'!$E$61,"")</f>
        <v/>
      </c>
      <c r="F2563" s="163" t="str">
        <f>IF(AND('Resource Planner'!$A$61="☑",9&lt;='Resource Planner'!$N$61),'Resource Planner'!$F$61&amp;" "&amp;('Resource Planner'!$G$61+(9-1)*'Resource Planner'!$I$61)&amp;IF(('Resource Planner'!$G$61+(9-1)*'Resource Planner'!$I$61)=MIN('Resource Planner'!$G$61+9*'Resource Planner'!$I$61-1,'Resource Planner'!$H$61),"","–"&amp;MIN('Resource Planner'!$G$61+9*'Resource Planner'!$I$61-1,'Resource Planner'!$H$61)),"")</f>
        <v/>
      </c>
      <c r="G2563" s="163" t="s">
        <v>109</v>
      </c>
      <c r="H2563" s="163" t="str">
        <f>IF(AND('Resource Planner'!$A$61="☑",9&lt;='Resource Planner'!$N$61),'Resource Planner'!$M$61,"")</f>
        <v/>
      </c>
    </row>
    <row r="2564" ht="15.75" customHeight="1">
      <c r="A25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4" s="163" t="str">
        <f>IF(AND('Resource Planner'!$A$61="☑",10&lt;='Resource Planner'!$N$61),'Resource Planner'!$C$61,"")</f>
        <v/>
      </c>
      <c r="C2564" s="163" t="str">
        <f>IF(AND('Resource Planner'!$A$61="☑",10&lt;='Resource Planner'!$N$61),'Resource Planner'!$B$61,"")</f>
        <v/>
      </c>
      <c r="D2564" s="163" t="str">
        <f>IF(AND('Resource Planner'!$A$61="☑",10&lt;='Resource Planner'!$N$61),'Resource Planner'!$D$61,"")</f>
        <v/>
      </c>
      <c r="E2564" s="163" t="str">
        <f>IF(AND('Resource Planner'!$A$61="☑",10&lt;='Resource Planner'!$N$61),'Resource Planner'!$E$61,"")</f>
        <v/>
      </c>
      <c r="F2564" s="163" t="str">
        <f>IF(AND('Resource Planner'!$A$61="☑",10&lt;='Resource Planner'!$N$61),'Resource Planner'!$F$61&amp;" "&amp;('Resource Planner'!$G$61+(10-1)*'Resource Planner'!$I$61)&amp;IF(('Resource Planner'!$G$61+(10-1)*'Resource Planner'!$I$61)=MIN('Resource Planner'!$G$61+10*'Resource Planner'!$I$61-1,'Resource Planner'!$H$61),"","–"&amp;MIN('Resource Planner'!$G$61+10*'Resource Planner'!$I$61-1,'Resource Planner'!$H$61)),"")</f>
        <v/>
      </c>
      <c r="G2564" s="163" t="s">
        <v>109</v>
      </c>
      <c r="H2564" s="163" t="str">
        <f>IF(AND('Resource Planner'!$A$61="☑",10&lt;='Resource Planner'!$N$61),'Resource Planner'!$M$61,"")</f>
        <v/>
      </c>
    </row>
    <row r="2565" ht="15.75" customHeight="1">
      <c r="A25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5" s="163" t="str">
        <f>IF(AND('Resource Planner'!$A$61="☑",11&lt;='Resource Planner'!$N$61),'Resource Planner'!$C$61,"")</f>
        <v/>
      </c>
      <c r="C2565" s="163" t="str">
        <f>IF(AND('Resource Planner'!$A$61="☑",11&lt;='Resource Planner'!$N$61),'Resource Planner'!$B$61,"")</f>
        <v/>
      </c>
      <c r="D2565" s="163" t="str">
        <f>IF(AND('Resource Planner'!$A$61="☑",11&lt;='Resource Planner'!$N$61),'Resource Planner'!$D$61,"")</f>
        <v/>
      </c>
      <c r="E2565" s="163" t="str">
        <f>IF(AND('Resource Planner'!$A$61="☑",11&lt;='Resource Planner'!$N$61),'Resource Planner'!$E$61,"")</f>
        <v/>
      </c>
      <c r="F2565" s="163" t="str">
        <f>IF(AND('Resource Planner'!$A$61="☑",11&lt;='Resource Planner'!$N$61),'Resource Planner'!$F$61&amp;" "&amp;('Resource Planner'!$G$61+(11-1)*'Resource Planner'!$I$61)&amp;IF(('Resource Planner'!$G$61+(11-1)*'Resource Planner'!$I$61)=MIN('Resource Planner'!$G$61+11*'Resource Planner'!$I$61-1,'Resource Planner'!$H$61),"","–"&amp;MIN('Resource Planner'!$G$61+11*'Resource Planner'!$I$61-1,'Resource Planner'!$H$61)),"")</f>
        <v/>
      </c>
      <c r="G2565" s="163" t="s">
        <v>109</v>
      </c>
      <c r="H2565" s="163" t="str">
        <f>IF(AND('Resource Planner'!$A$61="☑",11&lt;='Resource Planner'!$N$61),'Resource Planner'!$M$61,"")</f>
        <v/>
      </c>
    </row>
    <row r="2566" ht="15.75" customHeight="1">
      <c r="A25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6" s="163" t="str">
        <f>IF(AND('Resource Planner'!$A$61="☑",12&lt;='Resource Planner'!$N$61),'Resource Planner'!$C$61,"")</f>
        <v/>
      </c>
      <c r="C2566" s="163" t="str">
        <f>IF(AND('Resource Planner'!$A$61="☑",12&lt;='Resource Planner'!$N$61),'Resource Planner'!$B$61,"")</f>
        <v/>
      </c>
      <c r="D2566" s="163" t="str">
        <f>IF(AND('Resource Planner'!$A$61="☑",12&lt;='Resource Planner'!$N$61),'Resource Planner'!$D$61,"")</f>
        <v/>
      </c>
      <c r="E2566" s="163" t="str">
        <f>IF(AND('Resource Planner'!$A$61="☑",12&lt;='Resource Planner'!$N$61),'Resource Planner'!$E$61,"")</f>
        <v/>
      </c>
      <c r="F2566" s="163" t="str">
        <f>IF(AND('Resource Planner'!$A$61="☑",12&lt;='Resource Planner'!$N$61),'Resource Planner'!$F$61&amp;" "&amp;('Resource Planner'!$G$61+(12-1)*'Resource Planner'!$I$61)&amp;IF(('Resource Planner'!$G$61+(12-1)*'Resource Planner'!$I$61)=MIN('Resource Planner'!$G$61+12*'Resource Planner'!$I$61-1,'Resource Planner'!$H$61),"","–"&amp;MIN('Resource Planner'!$G$61+12*'Resource Planner'!$I$61-1,'Resource Planner'!$H$61)),"")</f>
        <v/>
      </c>
      <c r="G2566" s="163" t="s">
        <v>109</v>
      </c>
      <c r="H2566" s="163" t="str">
        <f>IF(AND('Resource Planner'!$A$61="☑",12&lt;='Resource Planner'!$N$61),'Resource Planner'!$M$61,"")</f>
        <v/>
      </c>
    </row>
    <row r="2567" ht="15.75" customHeight="1">
      <c r="A25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7" s="163" t="str">
        <f>IF(AND('Resource Planner'!$A$61="☑",13&lt;='Resource Planner'!$N$61),'Resource Planner'!$C$61,"")</f>
        <v/>
      </c>
      <c r="C2567" s="163" t="str">
        <f>IF(AND('Resource Planner'!$A$61="☑",13&lt;='Resource Planner'!$N$61),'Resource Planner'!$B$61,"")</f>
        <v/>
      </c>
      <c r="D2567" s="163" t="str">
        <f>IF(AND('Resource Planner'!$A$61="☑",13&lt;='Resource Planner'!$N$61),'Resource Planner'!$D$61,"")</f>
        <v/>
      </c>
      <c r="E2567" s="163" t="str">
        <f>IF(AND('Resource Planner'!$A$61="☑",13&lt;='Resource Planner'!$N$61),'Resource Planner'!$E$61,"")</f>
        <v/>
      </c>
      <c r="F2567" s="163" t="str">
        <f>IF(AND('Resource Planner'!$A$61="☑",13&lt;='Resource Planner'!$N$61),'Resource Planner'!$F$61&amp;" "&amp;('Resource Planner'!$G$61+(13-1)*'Resource Planner'!$I$61)&amp;IF(('Resource Planner'!$G$61+(13-1)*'Resource Planner'!$I$61)=MIN('Resource Planner'!$G$61+13*'Resource Planner'!$I$61-1,'Resource Planner'!$H$61),"","–"&amp;MIN('Resource Planner'!$G$61+13*'Resource Planner'!$I$61-1,'Resource Planner'!$H$61)),"")</f>
        <v/>
      </c>
      <c r="G2567" s="163" t="s">
        <v>109</v>
      </c>
      <c r="H2567" s="163" t="str">
        <f>IF(AND('Resource Planner'!$A$61="☑",13&lt;='Resource Planner'!$N$61),'Resource Planner'!$M$61,"")</f>
        <v/>
      </c>
    </row>
    <row r="2568" ht="15.75" customHeight="1">
      <c r="A25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8" s="163" t="str">
        <f>IF(AND('Resource Planner'!$A$61="☑",14&lt;='Resource Planner'!$N$61),'Resource Planner'!$C$61,"")</f>
        <v/>
      </c>
      <c r="C2568" s="163" t="str">
        <f>IF(AND('Resource Planner'!$A$61="☑",14&lt;='Resource Planner'!$N$61),'Resource Planner'!$B$61,"")</f>
        <v/>
      </c>
      <c r="D2568" s="163" t="str">
        <f>IF(AND('Resource Planner'!$A$61="☑",14&lt;='Resource Planner'!$N$61),'Resource Planner'!$D$61,"")</f>
        <v/>
      </c>
      <c r="E2568" s="163" t="str">
        <f>IF(AND('Resource Planner'!$A$61="☑",14&lt;='Resource Planner'!$N$61),'Resource Planner'!$E$61,"")</f>
        <v/>
      </c>
      <c r="F2568" s="163" t="str">
        <f>IF(AND('Resource Planner'!$A$61="☑",14&lt;='Resource Planner'!$N$61),'Resource Planner'!$F$61&amp;" "&amp;('Resource Planner'!$G$61+(14-1)*'Resource Planner'!$I$61)&amp;IF(('Resource Planner'!$G$61+(14-1)*'Resource Planner'!$I$61)=MIN('Resource Planner'!$G$61+14*'Resource Planner'!$I$61-1,'Resource Planner'!$H$61),"","–"&amp;MIN('Resource Planner'!$G$61+14*'Resource Planner'!$I$61-1,'Resource Planner'!$H$61)),"")</f>
        <v/>
      </c>
      <c r="G2568" s="163" t="s">
        <v>109</v>
      </c>
      <c r="H2568" s="163" t="str">
        <f>IF(AND('Resource Planner'!$A$61="☑",14&lt;='Resource Planner'!$N$61),'Resource Planner'!$M$61,"")</f>
        <v/>
      </c>
    </row>
    <row r="2569" ht="15.75" customHeight="1">
      <c r="A25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69" s="163" t="str">
        <f>IF(AND('Resource Planner'!$A$61="☑",15&lt;='Resource Planner'!$N$61),'Resource Planner'!$C$61,"")</f>
        <v/>
      </c>
      <c r="C2569" s="163" t="str">
        <f>IF(AND('Resource Planner'!$A$61="☑",15&lt;='Resource Planner'!$N$61),'Resource Planner'!$B$61,"")</f>
        <v/>
      </c>
      <c r="D2569" s="163" t="str">
        <f>IF(AND('Resource Planner'!$A$61="☑",15&lt;='Resource Planner'!$N$61),'Resource Planner'!$D$61,"")</f>
        <v/>
      </c>
      <c r="E2569" s="163" t="str">
        <f>IF(AND('Resource Planner'!$A$61="☑",15&lt;='Resource Planner'!$N$61),'Resource Planner'!$E$61,"")</f>
        <v/>
      </c>
      <c r="F2569" s="163" t="str">
        <f>IF(AND('Resource Planner'!$A$61="☑",15&lt;='Resource Planner'!$N$61),'Resource Planner'!$F$61&amp;" "&amp;('Resource Planner'!$G$61+(15-1)*'Resource Planner'!$I$61)&amp;IF(('Resource Planner'!$G$61+(15-1)*'Resource Planner'!$I$61)=MIN('Resource Planner'!$G$61+15*'Resource Planner'!$I$61-1,'Resource Planner'!$H$61),"","–"&amp;MIN('Resource Planner'!$G$61+15*'Resource Planner'!$I$61-1,'Resource Planner'!$H$61)),"")</f>
        <v/>
      </c>
      <c r="G2569" s="163" t="s">
        <v>109</v>
      </c>
      <c r="H2569" s="163" t="str">
        <f>IF(AND('Resource Planner'!$A$61="☑",15&lt;='Resource Planner'!$N$61),'Resource Planner'!$M$61,"")</f>
        <v/>
      </c>
    </row>
    <row r="2570" ht="15.75" customHeight="1">
      <c r="A25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0" s="163" t="str">
        <f>IF(AND('Resource Planner'!$A$61="☑",16&lt;='Resource Planner'!$N$61),'Resource Planner'!$C$61,"")</f>
        <v/>
      </c>
      <c r="C2570" s="163" t="str">
        <f>IF(AND('Resource Planner'!$A$61="☑",16&lt;='Resource Planner'!$N$61),'Resource Planner'!$B$61,"")</f>
        <v/>
      </c>
      <c r="D2570" s="163" t="str">
        <f>IF(AND('Resource Planner'!$A$61="☑",16&lt;='Resource Planner'!$N$61),'Resource Planner'!$D$61,"")</f>
        <v/>
      </c>
      <c r="E2570" s="163" t="str">
        <f>IF(AND('Resource Planner'!$A$61="☑",16&lt;='Resource Planner'!$N$61),'Resource Planner'!$E$61,"")</f>
        <v/>
      </c>
      <c r="F2570" s="163" t="str">
        <f>IF(AND('Resource Planner'!$A$61="☑",16&lt;='Resource Planner'!$N$61),'Resource Planner'!$F$61&amp;" "&amp;('Resource Planner'!$G$61+(16-1)*'Resource Planner'!$I$61)&amp;IF(('Resource Planner'!$G$61+(16-1)*'Resource Planner'!$I$61)=MIN('Resource Planner'!$G$61+16*'Resource Planner'!$I$61-1,'Resource Planner'!$H$61),"","–"&amp;MIN('Resource Planner'!$G$61+16*'Resource Planner'!$I$61-1,'Resource Planner'!$H$61)),"")</f>
        <v/>
      </c>
      <c r="G2570" s="163" t="s">
        <v>109</v>
      </c>
      <c r="H2570" s="163" t="str">
        <f>IF(AND('Resource Planner'!$A$61="☑",16&lt;='Resource Planner'!$N$61),'Resource Planner'!$M$61,"")</f>
        <v/>
      </c>
    </row>
    <row r="2571" ht="15.75" customHeight="1">
      <c r="A25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1" s="163" t="str">
        <f>IF(AND('Resource Planner'!$A$61="☑",17&lt;='Resource Planner'!$N$61),'Resource Planner'!$C$61,"")</f>
        <v/>
      </c>
      <c r="C2571" s="163" t="str">
        <f>IF(AND('Resource Planner'!$A$61="☑",17&lt;='Resource Planner'!$N$61),'Resource Planner'!$B$61,"")</f>
        <v/>
      </c>
      <c r="D2571" s="163" t="str">
        <f>IF(AND('Resource Planner'!$A$61="☑",17&lt;='Resource Planner'!$N$61),'Resource Planner'!$D$61,"")</f>
        <v/>
      </c>
      <c r="E2571" s="163" t="str">
        <f>IF(AND('Resource Planner'!$A$61="☑",17&lt;='Resource Planner'!$N$61),'Resource Planner'!$E$61,"")</f>
        <v/>
      </c>
      <c r="F2571" s="163" t="str">
        <f>IF(AND('Resource Planner'!$A$61="☑",17&lt;='Resource Planner'!$N$61),'Resource Planner'!$F$61&amp;" "&amp;('Resource Planner'!$G$61+(17-1)*'Resource Planner'!$I$61)&amp;IF(('Resource Planner'!$G$61+(17-1)*'Resource Planner'!$I$61)=MIN('Resource Planner'!$G$61+17*'Resource Planner'!$I$61-1,'Resource Planner'!$H$61),"","–"&amp;MIN('Resource Planner'!$G$61+17*'Resource Planner'!$I$61-1,'Resource Planner'!$H$61)),"")</f>
        <v/>
      </c>
      <c r="G2571" s="163" t="s">
        <v>109</v>
      </c>
      <c r="H2571" s="163" t="str">
        <f>IF(AND('Resource Planner'!$A$61="☑",17&lt;='Resource Planner'!$N$61),'Resource Planner'!$M$61,"")</f>
        <v/>
      </c>
    </row>
    <row r="2572" ht="15.75" customHeight="1">
      <c r="A25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2" s="163" t="str">
        <f>IF(AND('Resource Planner'!$A$61="☑",18&lt;='Resource Planner'!$N$61),'Resource Planner'!$C$61,"")</f>
        <v/>
      </c>
      <c r="C2572" s="163" t="str">
        <f>IF(AND('Resource Planner'!$A$61="☑",18&lt;='Resource Planner'!$N$61),'Resource Planner'!$B$61,"")</f>
        <v/>
      </c>
      <c r="D2572" s="163" t="str">
        <f>IF(AND('Resource Planner'!$A$61="☑",18&lt;='Resource Planner'!$N$61),'Resource Planner'!$D$61,"")</f>
        <v/>
      </c>
      <c r="E2572" s="163" t="str">
        <f>IF(AND('Resource Planner'!$A$61="☑",18&lt;='Resource Planner'!$N$61),'Resource Planner'!$E$61,"")</f>
        <v/>
      </c>
      <c r="F2572" s="163" t="str">
        <f>IF(AND('Resource Planner'!$A$61="☑",18&lt;='Resource Planner'!$N$61),'Resource Planner'!$F$61&amp;" "&amp;('Resource Planner'!$G$61+(18-1)*'Resource Planner'!$I$61)&amp;IF(('Resource Planner'!$G$61+(18-1)*'Resource Planner'!$I$61)=MIN('Resource Planner'!$G$61+18*'Resource Planner'!$I$61-1,'Resource Planner'!$H$61),"","–"&amp;MIN('Resource Planner'!$G$61+18*'Resource Planner'!$I$61-1,'Resource Planner'!$H$61)),"")</f>
        <v/>
      </c>
      <c r="G2572" s="163" t="s">
        <v>109</v>
      </c>
      <c r="H2572" s="163" t="str">
        <f>IF(AND('Resource Planner'!$A$61="☑",18&lt;='Resource Planner'!$N$61),'Resource Planner'!$M$61,"")</f>
        <v/>
      </c>
    </row>
    <row r="2573" ht="15.75" customHeight="1">
      <c r="A25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3" s="163" t="str">
        <f>IF(AND('Resource Planner'!$A$61="☑",19&lt;='Resource Planner'!$N$61),'Resource Planner'!$C$61,"")</f>
        <v/>
      </c>
      <c r="C2573" s="163" t="str">
        <f>IF(AND('Resource Planner'!$A$61="☑",19&lt;='Resource Planner'!$N$61),'Resource Planner'!$B$61,"")</f>
        <v/>
      </c>
      <c r="D2573" s="163" t="str">
        <f>IF(AND('Resource Planner'!$A$61="☑",19&lt;='Resource Planner'!$N$61),'Resource Planner'!$D$61,"")</f>
        <v/>
      </c>
      <c r="E2573" s="163" t="str">
        <f>IF(AND('Resource Planner'!$A$61="☑",19&lt;='Resource Planner'!$N$61),'Resource Planner'!$E$61,"")</f>
        <v/>
      </c>
      <c r="F2573" s="163" t="str">
        <f>IF(AND('Resource Planner'!$A$61="☑",19&lt;='Resource Planner'!$N$61),'Resource Planner'!$F$61&amp;" "&amp;('Resource Planner'!$G$61+(19-1)*'Resource Planner'!$I$61)&amp;IF(('Resource Planner'!$G$61+(19-1)*'Resource Planner'!$I$61)=MIN('Resource Planner'!$G$61+19*'Resource Planner'!$I$61-1,'Resource Planner'!$H$61),"","–"&amp;MIN('Resource Planner'!$G$61+19*'Resource Planner'!$I$61-1,'Resource Planner'!$H$61)),"")</f>
        <v/>
      </c>
      <c r="G2573" s="163" t="s">
        <v>109</v>
      </c>
      <c r="H2573" s="163" t="str">
        <f>IF(AND('Resource Planner'!$A$61="☑",19&lt;='Resource Planner'!$N$61),'Resource Planner'!$M$61,"")</f>
        <v/>
      </c>
    </row>
    <row r="2574" ht="15.75" customHeight="1">
      <c r="A25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4" s="163" t="str">
        <f>IF(AND('Resource Planner'!$A$61="☑",20&lt;='Resource Planner'!$N$61),'Resource Planner'!$C$61,"")</f>
        <v/>
      </c>
      <c r="C2574" s="163" t="str">
        <f>IF(AND('Resource Planner'!$A$61="☑",20&lt;='Resource Planner'!$N$61),'Resource Planner'!$B$61,"")</f>
        <v/>
      </c>
      <c r="D2574" s="163" t="str">
        <f>IF(AND('Resource Planner'!$A$61="☑",20&lt;='Resource Planner'!$N$61),'Resource Planner'!$D$61,"")</f>
        <v/>
      </c>
      <c r="E2574" s="163" t="str">
        <f>IF(AND('Resource Planner'!$A$61="☑",20&lt;='Resource Planner'!$N$61),'Resource Planner'!$E$61,"")</f>
        <v/>
      </c>
      <c r="F2574" s="163" t="str">
        <f>IF(AND('Resource Planner'!$A$61="☑",20&lt;='Resource Planner'!$N$61),'Resource Planner'!$F$61&amp;" "&amp;('Resource Planner'!$G$61+(20-1)*'Resource Planner'!$I$61)&amp;IF(('Resource Planner'!$G$61+(20-1)*'Resource Planner'!$I$61)=MIN('Resource Planner'!$G$61+20*'Resource Planner'!$I$61-1,'Resource Planner'!$H$61),"","–"&amp;MIN('Resource Planner'!$G$61+20*'Resource Planner'!$I$61-1,'Resource Planner'!$H$61)),"")</f>
        <v/>
      </c>
      <c r="G2574" s="163" t="s">
        <v>109</v>
      </c>
      <c r="H2574" s="163" t="str">
        <f>IF(AND('Resource Planner'!$A$61="☑",20&lt;='Resource Planner'!$N$61),'Resource Planner'!$M$61,"")</f>
        <v/>
      </c>
    </row>
    <row r="2575" ht="15.75" customHeight="1">
      <c r="A25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5" s="163" t="str">
        <f>IF(AND('Resource Planner'!$A$61="☑",21&lt;='Resource Planner'!$N$61),'Resource Planner'!$C$61,"")</f>
        <v/>
      </c>
      <c r="C2575" s="163" t="str">
        <f>IF(AND('Resource Planner'!$A$61="☑",21&lt;='Resource Planner'!$N$61),'Resource Planner'!$B$61,"")</f>
        <v/>
      </c>
      <c r="D2575" s="163" t="str">
        <f>IF(AND('Resource Planner'!$A$61="☑",21&lt;='Resource Planner'!$N$61),'Resource Planner'!$D$61,"")</f>
        <v/>
      </c>
      <c r="E2575" s="163" t="str">
        <f>IF(AND('Resource Planner'!$A$61="☑",21&lt;='Resource Planner'!$N$61),'Resource Planner'!$E$61,"")</f>
        <v/>
      </c>
      <c r="F2575" s="163" t="str">
        <f>IF(AND('Resource Planner'!$A$61="☑",21&lt;='Resource Planner'!$N$61),'Resource Planner'!$F$61&amp;" "&amp;('Resource Planner'!$G$61+(21-1)*'Resource Planner'!$I$61)&amp;IF(('Resource Planner'!$G$61+(21-1)*'Resource Planner'!$I$61)=MIN('Resource Planner'!$G$61+21*'Resource Planner'!$I$61-1,'Resource Planner'!$H$61),"","–"&amp;MIN('Resource Planner'!$G$61+21*'Resource Planner'!$I$61-1,'Resource Planner'!$H$61)),"")</f>
        <v/>
      </c>
      <c r="G2575" s="163" t="s">
        <v>109</v>
      </c>
      <c r="H2575" s="163" t="str">
        <f>IF(AND('Resource Planner'!$A$61="☑",21&lt;='Resource Planner'!$N$61),'Resource Planner'!$M$61,"")</f>
        <v/>
      </c>
    </row>
    <row r="2576" ht="15.75" customHeight="1">
      <c r="A25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6" s="163" t="str">
        <f>IF(AND('Resource Planner'!$A$61="☑",22&lt;='Resource Planner'!$N$61),'Resource Planner'!$C$61,"")</f>
        <v/>
      </c>
      <c r="C2576" s="163" t="str">
        <f>IF(AND('Resource Planner'!$A$61="☑",22&lt;='Resource Planner'!$N$61),'Resource Planner'!$B$61,"")</f>
        <v/>
      </c>
      <c r="D2576" s="163" t="str">
        <f>IF(AND('Resource Planner'!$A$61="☑",22&lt;='Resource Planner'!$N$61),'Resource Planner'!$D$61,"")</f>
        <v/>
      </c>
      <c r="E2576" s="163" t="str">
        <f>IF(AND('Resource Planner'!$A$61="☑",22&lt;='Resource Planner'!$N$61),'Resource Planner'!$E$61,"")</f>
        <v/>
      </c>
      <c r="F2576" s="163" t="str">
        <f>IF(AND('Resource Planner'!$A$61="☑",22&lt;='Resource Planner'!$N$61),'Resource Planner'!$F$61&amp;" "&amp;('Resource Planner'!$G$61+(22-1)*'Resource Planner'!$I$61)&amp;IF(('Resource Planner'!$G$61+(22-1)*'Resource Planner'!$I$61)=MIN('Resource Planner'!$G$61+22*'Resource Planner'!$I$61-1,'Resource Planner'!$H$61),"","–"&amp;MIN('Resource Planner'!$G$61+22*'Resource Planner'!$I$61-1,'Resource Planner'!$H$61)),"")</f>
        <v/>
      </c>
      <c r="G2576" s="163" t="s">
        <v>109</v>
      </c>
      <c r="H2576" s="163" t="str">
        <f>IF(AND('Resource Planner'!$A$61="☑",22&lt;='Resource Planner'!$N$61),'Resource Planner'!$M$61,"")</f>
        <v/>
      </c>
    </row>
    <row r="2577" ht="15.75" customHeight="1">
      <c r="A25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7" s="163" t="str">
        <f>IF(AND('Resource Planner'!$A$61="☑",23&lt;='Resource Planner'!$N$61),'Resource Planner'!$C$61,"")</f>
        <v/>
      </c>
      <c r="C2577" s="163" t="str">
        <f>IF(AND('Resource Planner'!$A$61="☑",23&lt;='Resource Planner'!$N$61),'Resource Planner'!$B$61,"")</f>
        <v/>
      </c>
      <c r="D2577" s="163" t="str">
        <f>IF(AND('Resource Planner'!$A$61="☑",23&lt;='Resource Planner'!$N$61),'Resource Planner'!$D$61,"")</f>
        <v/>
      </c>
      <c r="E2577" s="163" t="str">
        <f>IF(AND('Resource Planner'!$A$61="☑",23&lt;='Resource Planner'!$N$61),'Resource Planner'!$E$61,"")</f>
        <v/>
      </c>
      <c r="F2577" s="163" t="str">
        <f>IF(AND('Resource Planner'!$A$61="☑",23&lt;='Resource Planner'!$N$61),'Resource Planner'!$F$61&amp;" "&amp;('Resource Planner'!$G$61+(23-1)*'Resource Planner'!$I$61)&amp;IF(('Resource Planner'!$G$61+(23-1)*'Resource Planner'!$I$61)=MIN('Resource Planner'!$G$61+23*'Resource Planner'!$I$61-1,'Resource Planner'!$H$61),"","–"&amp;MIN('Resource Planner'!$G$61+23*'Resource Planner'!$I$61-1,'Resource Planner'!$H$61)),"")</f>
        <v/>
      </c>
      <c r="G2577" s="163" t="s">
        <v>109</v>
      </c>
      <c r="H2577" s="163" t="str">
        <f>IF(AND('Resource Planner'!$A$61="☑",23&lt;='Resource Planner'!$N$61),'Resource Planner'!$M$61,"")</f>
        <v/>
      </c>
    </row>
    <row r="2578" ht="15.75" customHeight="1">
      <c r="A25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8" s="163" t="str">
        <f>IF(AND('Resource Planner'!$A$61="☑",24&lt;='Resource Planner'!$N$61),'Resource Planner'!$C$61,"")</f>
        <v/>
      </c>
      <c r="C2578" s="163" t="str">
        <f>IF(AND('Resource Planner'!$A$61="☑",24&lt;='Resource Planner'!$N$61),'Resource Planner'!$B$61,"")</f>
        <v/>
      </c>
      <c r="D2578" s="163" t="str">
        <f>IF(AND('Resource Planner'!$A$61="☑",24&lt;='Resource Planner'!$N$61),'Resource Planner'!$D$61,"")</f>
        <v/>
      </c>
      <c r="E2578" s="163" t="str">
        <f>IF(AND('Resource Planner'!$A$61="☑",24&lt;='Resource Planner'!$N$61),'Resource Planner'!$E$61,"")</f>
        <v/>
      </c>
      <c r="F2578" s="163" t="str">
        <f>IF(AND('Resource Planner'!$A$61="☑",24&lt;='Resource Planner'!$N$61),'Resource Planner'!$F$61&amp;" "&amp;('Resource Planner'!$G$61+(24-1)*'Resource Planner'!$I$61)&amp;IF(('Resource Planner'!$G$61+(24-1)*'Resource Planner'!$I$61)=MIN('Resource Planner'!$G$61+24*'Resource Planner'!$I$61-1,'Resource Planner'!$H$61),"","–"&amp;MIN('Resource Planner'!$G$61+24*'Resource Planner'!$I$61-1,'Resource Planner'!$H$61)),"")</f>
        <v/>
      </c>
      <c r="G2578" s="163" t="s">
        <v>109</v>
      </c>
      <c r="H2578" s="163" t="str">
        <f>IF(AND('Resource Planner'!$A$61="☑",24&lt;='Resource Planner'!$N$61),'Resource Planner'!$M$61,"")</f>
        <v/>
      </c>
    </row>
    <row r="2579" ht="15.75" customHeight="1">
      <c r="A25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79" s="163" t="str">
        <f>IF(AND('Resource Planner'!$A$61="☑",25&lt;='Resource Planner'!$N$61),'Resource Planner'!$C$61,"")</f>
        <v/>
      </c>
      <c r="C2579" s="163" t="str">
        <f>IF(AND('Resource Planner'!$A$61="☑",25&lt;='Resource Planner'!$N$61),'Resource Planner'!$B$61,"")</f>
        <v/>
      </c>
      <c r="D2579" s="163" t="str">
        <f>IF(AND('Resource Planner'!$A$61="☑",25&lt;='Resource Planner'!$N$61),'Resource Planner'!$D$61,"")</f>
        <v/>
      </c>
      <c r="E2579" s="163" t="str">
        <f>IF(AND('Resource Planner'!$A$61="☑",25&lt;='Resource Planner'!$N$61),'Resource Planner'!$E$61,"")</f>
        <v/>
      </c>
      <c r="F2579" s="163" t="str">
        <f>IF(AND('Resource Planner'!$A$61="☑",25&lt;='Resource Planner'!$N$61),'Resource Planner'!$F$61&amp;" "&amp;('Resource Planner'!$G$61+(25-1)*'Resource Planner'!$I$61)&amp;IF(('Resource Planner'!$G$61+(25-1)*'Resource Planner'!$I$61)=MIN('Resource Planner'!$G$61+25*'Resource Planner'!$I$61-1,'Resource Planner'!$H$61),"","–"&amp;MIN('Resource Planner'!$G$61+25*'Resource Planner'!$I$61-1,'Resource Planner'!$H$61)),"")</f>
        <v/>
      </c>
      <c r="G2579" s="163" t="s">
        <v>109</v>
      </c>
      <c r="H2579" s="163" t="str">
        <f>IF(AND('Resource Planner'!$A$61="☑",25&lt;='Resource Planner'!$N$61),'Resource Planner'!$M$61,"")</f>
        <v/>
      </c>
    </row>
    <row r="2580" ht="15.75" customHeight="1">
      <c r="A25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0" s="163" t="str">
        <f>IF(AND('Resource Planner'!$A$61="☑",26&lt;='Resource Planner'!$N$61),'Resource Planner'!$C$61,"")</f>
        <v/>
      </c>
      <c r="C2580" s="163" t="str">
        <f>IF(AND('Resource Planner'!$A$61="☑",26&lt;='Resource Planner'!$N$61),'Resource Planner'!$B$61,"")</f>
        <v/>
      </c>
      <c r="D2580" s="163" t="str">
        <f>IF(AND('Resource Planner'!$A$61="☑",26&lt;='Resource Planner'!$N$61),'Resource Planner'!$D$61,"")</f>
        <v/>
      </c>
      <c r="E2580" s="163" t="str">
        <f>IF(AND('Resource Planner'!$A$61="☑",26&lt;='Resource Planner'!$N$61),'Resource Planner'!$E$61,"")</f>
        <v/>
      </c>
      <c r="F2580" s="163" t="str">
        <f>IF(AND('Resource Planner'!$A$61="☑",26&lt;='Resource Planner'!$N$61),'Resource Planner'!$F$61&amp;" "&amp;('Resource Planner'!$G$61+(26-1)*'Resource Planner'!$I$61)&amp;IF(('Resource Planner'!$G$61+(26-1)*'Resource Planner'!$I$61)=MIN('Resource Planner'!$G$61+26*'Resource Planner'!$I$61-1,'Resource Planner'!$H$61),"","–"&amp;MIN('Resource Planner'!$G$61+26*'Resource Planner'!$I$61-1,'Resource Planner'!$H$61)),"")</f>
        <v/>
      </c>
      <c r="G2580" s="163" t="s">
        <v>109</v>
      </c>
      <c r="H2580" s="163" t="str">
        <f>IF(AND('Resource Planner'!$A$61="☑",26&lt;='Resource Planner'!$N$61),'Resource Planner'!$M$61,"")</f>
        <v/>
      </c>
    </row>
    <row r="2581" ht="15.75" customHeight="1">
      <c r="A25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1" s="163" t="str">
        <f>IF(AND('Resource Planner'!$A$61="☑",27&lt;='Resource Planner'!$N$61),'Resource Planner'!$C$61,"")</f>
        <v/>
      </c>
      <c r="C2581" s="163" t="str">
        <f>IF(AND('Resource Planner'!$A$61="☑",27&lt;='Resource Planner'!$N$61),'Resource Planner'!$B$61,"")</f>
        <v/>
      </c>
      <c r="D2581" s="163" t="str">
        <f>IF(AND('Resource Planner'!$A$61="☑",27&lt;='Resource Planner'!$N$61),'Resource Planner'!$D$61,"")</f>
        <v/>
      </c>
      <c r="E2581" s="163" t="str">
        <f>IF(AND('Resource Planner'!$A$61="☑",27&lt;='Resource Planner'!$N$61),'Resource Planner'!$E$61,"")</f>
        <v/>
      </c>
      <c r="F2581" s="163" t="str">
        <f>IF(AND('Resource Planner'!$A$61="☑",27&lt;='Resource Planner'!$N$61),'Resource Planner'!$F$61&amp;" "&amp;('Resource Planner'!$G$61+(27-1)*'Resource Planner'!$I$61)&amp;IF(('Resource Planner'!$G$61+(27-1)*'Resource Planner'!$I$61)=MIN('Resource Planner'!$G$61+27*'Resource Planner'!$I$61-1,'Resource Planner'!$H$61),"","–"&amp;MIN('Resource Planner'!$G$61+27*'Resource Planner'!$I$61-1,'Resource Planner'!$H$61)),"")</f>
        <v/>
      </c>
      <c r="G2581" s="163" t="s">
        <v>109</v>
      </c>
      <c r="H2581" s="163" t="str">
        <f>IF(AND('Resource Planner'!$A$61="☑",27&lt;='Resource Planner'!$N$61),'Resource Planner'!$M$61,"")</f>
        <v/>
      </c>
    </row>
    <row r="2582" ht="15.75" customHeight="1">
      <c r="A25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2" s="163" t="str">
        <f>IF(AND('Resource Planner'!$A$61="☑",28&lt;='Resource Planner'!$N$61),'Resource Planner'!$C$61,"")</f>
        <v/>
      </c>
      <c r="C2582" s="163" t="str">
        <f>IF(AND('Resource Planner'!$A$61="☑",28&lt;='Resource Planner'!$N$61),'Resource Planner'!$B$61,"")</f>
        <v/>
      </c>
      <c r="D2582" s="163" t="str">
        <f>IF(AND('Resource Planner'!$A$61="☑",28&lt;='Resource Planner'!$N$61),'Resource Planner'!$D$61,"")</f>
        <v/>
      </c>
      <c r="E2582" s="163" t="str">
        <f>IF(AND('Resource Planner'!$A$61="☑",28&lt;='Resource Planner'!$N$61),'Resource Planner'!$E$61,"")</f>
        <v/>
      </c>
      <c r="F2582" s="163" t="str">
        <f>IF(AND('Resource Planner'!$A$61="☑",28&lt;='Resource Planner'!$N$61),'Resource Planner'!$F$61&amp;" "&amp;('Resource Planner'!$G$61+(28-1)*'Resource Planner'!$I$61)&amp;IF(('Resource Planner'!$G$61+(28-1)*'Resource Planner'!$I$61)=MIN('Resource Planner'!$G$61+28*'Resource Planner'!$I$61-1,'Resource Planner'!$H$61),"","–"&amp;MIN('Resource Planner'!$G$61+28*'Resource Planner'!$I$61-1,'Resource Planner'!$H$61)),"")</f>
        <v/>
      </c>
      <c r="G2582" s="163" t="s">
        <v>109</v>
      </c>
      <c r="H2582" s="163" t="str">
        <f>IF(AND('Resource Planner'!$A$61="☑",28&lt;='Resource Planner'!$N$61),'Resource Planner'!$M$61,"")</f>
        <v/>
      </c>
    </row>
    <row r="2583" ht="15.75" customHeight="1">
      <c r="A25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3" s="163" t="str">
        <f>IF(AND('Resource Planner'!$A$61="☑",29&lt;='Resource Planner'!$N$61),'Resource Planner'!$C$61,"")</f>
        <v/>
      </c>
      <c r="C2583" s="163" t="str">
        <f>IF(AND('Resource Planner'!$A$61="☑",29&lt;='Resource Planner'!$N$61),'Resource Planner'!$B$61,"")</f>
        <v/>
      </c>
      <c r="D2583" s="163" t="str">
        <f>IF(AND('Resource Planner'!$A$61="☑",29&lt;='Resource Planner'!$N$61),'Resource Planner'!$D$61,"")</f>
        <v/>
      </c>
      <c r="E2583" s="163" t="str">
        <f>IF(AND('Resource Planner'!$A$61="☑",29&lt;='Resource Planner'!$N$61),'Resource Planner'!$E$61,"")</f>
        <v/>
      </c>
      <c r="F2583" s="163" t="str">
        <f>IF(AND('Resource Planner'!$A$61="☑",29&lt;='Resource Planner'!$N$61),'Resource Planner'!$F$61&amp;" "&amp;('Resource Planner'!$G$61+(29-1)*'Resource Planner'!$I$61)&amp;IF(('Resource Planner'!$G$61+(29-1)*'Resource Planner'!$I$61)=MIN('Resource Planner'!$G$61+29*'Resource Planner'!$I$61-1,'Resource Planner'!$H$61),"","–"&amp;MIN('Resource Planner'!$G$61+29*'Resource Planner'!$I$61-1,'Resource Planner'!$H$61)),"")</f>
        <v/>
      </c>
      <c r="G2583" s="163" t="s">
        <v>109</v>
      </c>
      <c r="H2583" s="163" t="str">
        <f>IF(AND('Resource Planner'!$A$61="☑",29&lt;='Resource Planner'!$N$61),'Resource Planner'!$M$61,"")</f>
        <v/>
      </c>
    </row>
    <row r="2584" ht="15.75" customHeight="1">
      <c r="A25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4" s="163" t="str">
        <f>IF(AND('Resource Planner'!$A$61="☑",30&lt;='Resource Planner'!$N$61),'Resource Planner'!$C$61,"")</f>
        <v/>
      </c>
      <c r="C2584" s="163" t="str">
        <f>IF(AND('Resource Planner'!$A$61="☑",30&lt;='Resource Planner'!$N$61),'Resource Planner'!$B$61,"")</f>
        <v/>
      </c>
      <c r="D2584" s="163" t="str">
        <f>IF(AND('Resource Planner'!$A$61="☑",30&lt;='Resource Planner'!$N$61),'Resource Planner'!$D$61,"")</f>
        <v/>
      </c>
      <c r="E2584" s="163" t="str">
        <f>IF(AND('Resource Planner'!$A$61="☑",30&lt;='Resource Planner'!$N$61),'Resource Planner'!$E$61,"")</f>
        <v/>
      </c>
      <c r="F2584" s="163" t="str">
        <f>IF(AND('Resource Planner'!$A$61="☑",30&lt;='Resource Planner'!$N$61),'Resource Planner'!$F$61&amp;" "&amp;('Resource Planner'!$G$61+(30-1)*'Resource Planner'!$I$61)&amp;IF(('Resource Planner'!$G$61+(30-1)*'Resource Planner'!$I$61)=MIN('Resource Planner'!$G$61+30*'Resource Planner'!$I$61-1,'Resource Planner'!$H$61),"","–"&amp;MIN('Resource Planner'!$G$61+30*'Resource Planner'!$I$61-1,'Resource Planner'!$H$61)),"")</f>
        <v/>
      </c>
      <c r="G2584" s="163" t="s">
        <v>109</v>
      </c>
      <c r="H2584" s="163" t="str">
        <f>IF(AND('Resource Planner'!$A$61="☑",30&lt;='Resource Planner'!$N$61),'Resource Planner'!$M$61,"")</f>
        <v/>
      </c>
    </row>
    <row r="2585" ht="15.75" customHeight="1">
      <c r="A25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5" s="163" t="str">
        <f>IF(AND('Resource Planner'!$A$61="☑",31&lt;='Resource Planner'!$N$61),'Resource Planner'!$C$61,"")</f>
        <v/>
      </c>
      <c r="C2585" s="163" t="str">
        <f>IF(AND('Resource Planner'!$A$61="☑",31&lt;='Resource Planner'!$N$61),'Resource Planner'!$B$61,"")</f>
        <v/>
      </c>
      <c r="D2585" s="163" t="str">
        <f>IF(AND('Resource Planner'!$A$61="☑",31&lt;='Resource Planner'!$N$61),'Resource Planner'!$D$61,"")</f>
        <v/>
      </c>
      <c r="E2585" s="163" t="str">
        <f>IF(AND('Resource Planner'!$A$61="☑",31&lt;='Resource Planner'!$N$61),'Resource Planner'!$E$61,"")</f>
        <v/>
      </c>
      <c r="F2585" s="163" t="str">
        <f>IF(AND('Resource Planner'!$A$61="☑",31&lt;='Resource Planner'!$N$61),'Resource Planner'!$F$61&amp;" "&amp;('Resource Planner'!$G$61+(31-1)*'Resource Planner'!$I$61)&amp;IF(('Resource Planner'!$G$61+(31-1)*'Resource Planner'!$I$61)=MIN('Resource Planner'!$G$61+31*'Resource Planner'!$I$61-1,'Resource Planner'!$H$61),"","–"&amp;MIN('Resource Planner'!$G$61+31*'Resource Planner'!$I$61-1,'Resource Planner'!$H$61)),"")</f>
        <v/>
      </c>
      <c r="G2585" s="163" t="s">
        <v>109</v>
      </c>
      <c r="H2585" s="163" t="str">
        <f>IF(AND('Resource Planner'!$A$61="☑",31&lt;='Resource Planner'!$N$61),'Resource Planner'!$M$61,"")</f>
        <v/>
      </c>
    </row>
    <row r="2586" ht="15.75" customHeight="1">
      <c r="A25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6" s="163" t="str">
        <f>IF(AND('Resource Planner'!$A$61="☑",32&lt;='Resource Planner'!$N$61),'Resource Planner'!$C$61,"")</f>
        <v/>
      </c>
      <c r="C2586" s="163" t="str">
        <f>IF(AND('Resource Planner'!$A$61="☑",32&lt;='Resource Planner'!$N$61),'Resource Planner'!$B$61,"")</f>
        <v/>
      </c>
      <c r="D2586" s="163" t="str">
        <f>IF(AND('Resource Planner'!$A$61="☑",32&lt;='Resource Planner'!$N$61),'Resource Planner'!$D$61,"")</f>
        <v/>
      </c>
      <c r="E2586" s="163" t="str">
        <f>IF(AND('Resource Planner'!$A$61="☑",32&lt;='Resource Planner'!$N$61),'Resource Planner'!$E$61,"")</f>
        <v/>
      </c>
      <c r="F2586" s="163" t="str">
        <f>IF(AND('Resource Planner'!$A$61="☑",32&lt;='Resource Planner'!$N$61),'Resource Planner'!$F$61&amp;" "&amp;('Resource Planner'!$G$61+(32-1)*'Resource Planner'!$I$61)&amp;IF(('Resource Planner'!$G$61+(32-1)*'Resource Planner'!$I$61)=MIN('Resource Planner'!$G$61+32*'Resource Planner'!$I$61-1,'Resource Planner'!$H$61),"","–"&amp;MIN('Resource Planner'!$G$61+32*'Resource Planner'!$I$61-1,'Resource Planner'!$H$61)),"")</f>
        <v/>
      </c>
      <c r="G2586" s="163" t="s">
        <v>109</v>
      </c>
      <c r="H2586" s="163" t="str">
        <f>IF(AND('Resource Planner'!$A$61="☑",32&lt;='Resource Planner'!$N$61),'Resource Planner'!$M$61,"")</f>
        <v/>
      </c>
    </row>
    <row r="2587" ht="15.75" customHeight="1">
      <c r="A25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7" s="163" t="str">
        <f>IF(AND('Resource Planner'!$A$61="☑",33&lt;='Resource Planner'!$N$61),'Resource Planner'!$C$61,"")</f>
        <v/>
      </c>
      <c r="C2587" s="163" t="str">
        <f>IF(AND('Resource Planner'!$A$61="☑",33&lt;='Resource Planner'!$N$61),'Resource Planner'!$B$61,"")</f>
        <v/>
      </c>
      <c r="D2587" s="163" t="str">
        <f>IF(AND('Resource Planner'!$A$61="☑",33&lt;='Resource Planner'!$N$61),'Resource Planner'!$D$61,"")</f>
        <v/>
      </c>
      <c r="E2587" s="163" t="str">
        <f>IF(AND('Resource Planner'!$A$61="☑",33&lt;='Resource Planner'!$N$61),'Resource Planner'!$E$61,"")</f>
        <v/>
      </c>
      <c r="F2587" s="163" t="str">
        <f>IF(AND('Resource Planner'!$A$61="☑",33&lt;='Resource Planner'!$N$61),'Resource Planner'!$F$61&amp;" "&amp;('Resource Planner'!$G$61+(33-1)*'Resource Planner'!$I$61)&amp;IF(('Resource Planner'!$G$61+(33-1)*'Resource Planner'!$I$61)=MIN('Resource Planner'!$G$61+33*'Resource Planner'!$I$61-1,'Resource Planner'!$H$61),"","–"&amp;MIN('Resource Planner'!$G$61+33*'Resource Planner'!$I$61-1,'Resource Planner'!$H$61)),"")</f>
        <v/>
      </c>
      <c r="G2587" s="163" t="s">
        <v>109</v>
      </c>
      <c r="H2587" s="163" t="str">
        <f>IF(AND('Resource Planner'!$A$61="☑",33&lt;='Resource Planner'!$N$61),'Resource Planner'!$M$61,"")</f>
        <v/>
      </c>
    </row>
    <row r="2588" ht="15.75" customHeight="1">
      <c r="A25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8" s="163" t="str">
        <f>IF(AND('Resource Planner'!$A$61="☑",34&lt;='Resource Planner'!$N$61),'Resource Planner'!$C$61,"")</f>
        <v/>
      </c>
      <c r="C2588" s="163" t="str">
        <f>IF(AND('Resource Planner'!$A$61="☑",34&lt;='Resource Planner'!$N$61),'Resource Planner'!$B$61,"")</f>
        <v/>
      </c>
      <c r="D2588" s="163" t="str">
        <f>IF(AND('Resource Planner'!$A$61="☑",34&lt;='Resource Planner'!$N$61),'Resource Planner'!$D$61,"")</f>
        <v/>
      </c>
      <c r="E2588" s="163" t="str">
        <f>IF(AND('Resource Planner'!$A$61="☑",34&lt;='Resource Planner'!$N$61),'Resource Planner'!$E$61,"")</f>
        <v/>
      </c>
      <c r="F2588" s="163" t="str">
        <f>IF(AND('Resource Planner'!$A$61="☑",34&lt;='Resource Planner'!$N$61),'Resource Planner'!$F$61&amp;" "&amp;('Resource Planner'!$G$61+(34-1)*'Resource Planner'!$I$61)&amp;IF(('Resource Planner'!$G$61+(34-1)*'Resource Planner'!$I$61)=MIN('Resource Planner'!$G$61+34*'Resource Planner'!$I$61-1,'Resource Planner'!$H$61),"","–"&amp;MIN('Resource Planner'!$G$61+34*'Resource Planner'!$I$61-1,'Resource Planner'!$H$61)),"")</f>
        <v/>
      </c>
      <c r="G2588" s="163" t="s">
        <v>109</v>
      </c>
      <c r="H2588" s="163" t="str">
        <f>IF(AND('Resource Planner'!$A$61="☑",34&lt;='Resource Planner'!$N$61),'Resource Planner'!$M$61,"")</f>
        <v/>
      </c>
    </row>
    <row r="2589" ht="15.75" customHeight="1">
      <c r="A25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89" s="163" t="str">
        <f>IF(AND('Resource Planner'!$A$61="☑",35&lt;='Resource Planner'!$N$61),'Resource Planner'!$C$61,"")</f>
        <v/>
      </c>
      <c r="C2589" s="163" t="str">
        <f>IF(AND('Resource Planner'!$A$61="☑",35&lt;='Resource Planner'!$N$61),'Resource Planner'!$B$61,"")</f>
        <v/>
      </c>
      <c r="D2589" s="163" t="str">
        <f>IF(AND('Resource Planner'!$A$61="☑",35&lt;='Resource Planner'!$N$61),'Resource Planner'!$D$61,"")</f>
        <v/>
      </c>
      <c r="E2589" s="163" t="str">
        <f>IF(AND('Resource Planner'!$A$61="☑",35&lt;='Resource Planner'!$N$61),'Resource Planner'!$E$61,"")</f>
        <v/>
      </c>
      <c r="F2589" s="163" t="str">
        <f>IF(AND('Resource Planner'!$A$61="☑",35&lt;='Resource Planner'!$N$61),'Resource Planner'!$F$61&amp;" "&amp;('Resource Planner'!$G$61+(35-1)*'Resource Planner'!$I$61)&amp;IF(('Resource Planner'!$G$61+(35-1)*'Resource Planner'!$I$61)=MIN('Resource Planner'!$G$61+35*'Resource Planner'!$I$61-1,'Resource Planner'!$H$61),"","–"&amp;MIN('Resource Planner'!$G$61+35*'Resource Planner'!$I$61-1,'Resource Planner'!$H$61)),"")</f>
        <v/>
      </c>
      <c r="G2589" s="163" t="s">
        <v>109</v>
      </c>
      <c r="H2589" s="163" t="str">
        <f>IF(AND('Resource Planner'!$A$61="☑",35&lt;='Resource Planner'!$N$61),'Resource Planner'!$M$61,"")</f>
        <v/>
      </c>
    </row>
    <row r="2590" ht="15.75" customHeight="1">
      <c r="A25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0" s="163" t="str">
        <f>IF(AND('Resource Planner'!$A$61="☑",36&lt;='Resource Planner'!$N$61),'Resource Planner'!$C$61,"")</f>
        <v/>
      </c>
      <c r="C2590" s="163" t="str">
        <f>IF(AND('Resource Planner'!$A$61="☑",36&lt;='Resource Planner'!$N$61),'Resource Planner'!$B$61,"")</f>
        <v/>
      </c>
      <c r="D2590" s="163" t="str">
        <f>IF(AND('Resource Planner'!$A$61="☑",36&lt;='Resource Planner'!$N$61),'Resource Planner'!$D$61,"")</f>
        <v/>
      </c>
      <c r="E2590" s="163" t="str">
        <f>IF(AND('Resource Planner'!$A$61="☑",36&lt;='Resource Planner'!$N$61),'Resource Planner'!$E$61,"")</f>
        <v/>
      </c>
      <c r="F2590" s="163" t="str">
        <f>IF(AND('Resource Planner'!$A$61="☑",36&lt;='Resource Planner'!$N$61),'Resource Planner'!$F$61&amp;" "&amp;('Resource Planner'!$G$61+(36-1)*'Resource Planner'!$I$61)&amp;IF(('Resource Planner'!$G$61+(36-1)*'Resource Planner'!$I$61)=MIN('Resource Planner'!$G$61+36*'Resource Planner'!$I$61-1,'Resource Planner'!$H$61),"","–"&amp;MIN('Resource Planner'!$G$61+36*'Resource Planner'!$I$61-1,'Resource Planner'!$H$61)),"")</f>
        <v/>
      </c>
      <c r="G2590" s="163" t="s">
        <v>109</v>
      </c>
      <c r="H2590" s="163" t="str">
        <f>IF(AND('Resource Planner'!$A$61="☑",36&lt;='Resource Planner'!$N$61),'Resource Planner'!$M$61,"")</f>
        <v/>
      </c>
    </row>
    <row r="2591" ht="15.75" customHeight="1">
      <c r="A25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1" s="163" t="str">
        <f>IF(AND('Resource Planner'!$A$61="☑",37&lt;='Resource Planner'!$N$61),'Resource Planner'!$C$61,"")</f>
        <v/>
      </c>
      <c r="C2591" s="163" t="str">
        <f>IF(AND('Resource Planner'!$A$61="☑",37&lt;='Resource Planner'!$N$61),'Resource Planner'!$B$61,"")</f>
        <v/>
      </c>
      <c r="D2591" s="163" t="str">
        <f>IF(AND('Resource Planner'!$A$61="☑",37&lt;='Resource Planner'!$N$61),'Resource Planner'!$D$61,"")</f>
        <v/>
      </c>
      <c r="E2591" s="163" t="str">
        <f>IF(AND('Resource Planner'!$A$61="☑",37&lt;='Resource Planner'!$N$61),'Resource Planner'!$E$61,"")</f>
        <v/>
      </c>
      <c r="F2591" s="163" t="str">
        <f>IF(AND('Resource Planner'!$A$61="☑",37&lt;='Resource Planner'!$N$61),'Resource Planner'!$F$61&amp;" "&amp;('Resource Planner'!$G$61+(37-1)*'Resource Planner'!$I$61)&amp;IF(('Resource Planner'!$G$61+(37-1)*'Resource Planner'!$I$61)=MIN('Resource Planner'!$G$61+37*'Resource Planner'!$I$61-1,'Resource Planner'!$H$61),"","–"&amp;MIN('Resource Planner'!$G$61+37*'Resource Planner'!$I$61-1,'Resource Planner'!$H$61)),"")</f>
        <v/>
      </c>
      <c r="G2591" s="163" t="s">
        <v>109</v>
      </c>
      <c r="H2591" s="163" t="str">
        <f>IF(AND('Resource Planner'!$A$61="☑",37&lt;='Resource Planner'!$N$61),'Resource Planner'!$M$61,"")</f>
        <v/>
      </c>
    </row>
    <row r="2592" ht="15.75" customHeight="1">
      <c r="A25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2" s="163" t="str">
        <f>IF(AND('Resource Planner'!$A$61="☑",38&lt;='Resource Planner'!$N$61),'Resource Planner'!$C$61,"")</f>
        <v/>
      </c>
      <c r="C2592" s="163" t="str">
        <f>IF(AND('Resource Planner'!$A$61="☑",38&lt;='Resource Planner'!$N$61),'Resource Planner'!$B$61,"")</f>
        <v/>
      </c>
      <c r="D2592" s="163" t="str">
        <f>IF(AND('Resource Planner'!$A$61="☑",38&lt;='Resource Planner'!$N$61),'Resource Planner'!$D$61,"")</f>
        <v/>
      </c>
      <c r="E2592" s="163" t="str">
        <f>IF(AND('Resource Planner'!$A$61="☑",38&lt;='Resource Planner'!$N$61),'Resource Planner'!$E$61,"")</f>
        <v/>
      </c>
      <c r="F2592" s="163" t="str">
        <f>IF(AND('Resource Planner'!$A$61="☑",38&lt;='Resource Planner'!$N$61),'Resource Planner'!$F$61&amp;" "&amp;('Resource Planner'!$G$61+(38-1)*'Resource Planner'!$I$61)&amp;IF(('Resource Planner'!$G$61+(38-1)*'Resource Planner'!$I$61)=MIN('Resource Planner'!$G$61+38*'Resource Planner'!$I$61-1,'Resource Planner'!$H$61),"","–"&amp;MIN('Resource Planner'!$G$61+38*'Resource Planner'!$I$61-1,'Resource Planner'!$H$61)),"")</f>
        <v/>
      </c>
      <c r="G2592" s="163" t="s">
        <v>109</v>
      </c>
      <c r="H2592" s="163" t="str">
        <f>IF(AND('Resource Planner'!$A$61="☑",38&lt;='Resource Planner'!$N$61),'Resource Planner'!$M$61,"")</f>
        <v/>
      </c>
    </row>
    <row r="2593" ht="15.75" customHeight="1">
      <c r="A25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3" s="163" t="str">
        <f>IF(AND('Resource Planner'!$A$61="☑",39&lt;='Resource Planner'!$N$61),'Resource Planner'!$C$61,"")</f>
        <v/>
      </c>
      <c r="C2593" s="163" t="str">
        <f>IF(AND('Resource Planner'!$A$61="☑",39&lt;='Resource Planner'!$N$61),'Resource Planner'!$B$61,"")</f>
        <v/>
      </c>
      <c r="D2593" s="163" t="str">
        <f>IF(AND('Resource Planner'!$A$61="☑",39&lt;='Resource Planner'!$N$61),'Resource Planner'!$D$61,"")</f>
        <v/>
      </c>
      <c r="E2593" s="163" t="str">
        <f>IF(AND('Resource Planner'!$A$61="☑",39&lt;='Resource Planner'!$N$61),'Resource Planner'!$E$61,"")</f>
        <v/>
      </c>
      <c r="F2593" s="163" t="str">
        <f>IF(AND('Resource Planner'!$A$61="☑",39&lt;='Resource Planner'!$N$61),'Resource Planner'!$F$61&amp;" "&amp;('Resource Planner'!$G$61+(39-1)*'Resource Planner'!$I$61)&amp;IF(('Resource Planner'!$G$61+(39-1)*'Resource Planner'!$I$61)=MIN('Resource Planner'!$G$61+39*'Resource Planner'!$I$61-1,'Resource Planner'!$H$61),"","–"&amp;MIN('Resource Planner'!$G$61+39*'Resource Planner'!$I$61-1,'Resource Planner'!$H$61)),"")</f>
        <v/>
      </c>
      <c r="G2593" s="163" t="s">
        <v>109</v>
      </c>
      <c r="H2593" s="163" t="str">
        <f>IF(AND('Resource Planner'!$A$61="☑",39&lt;='Resource Planner'!$N$61),'Resource Planner'!$M$61,"")</f>
        <v/>
      </c>
    </row>
    <row r="2594" ht="15.75" customHeight="1">
      <c r="A25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4" s="163" t="str">
        <f>IF(AND('Resource Planner'!$A$61="☑",40&lt;='Resource Planner'!$N$61),'Resource Planner'!$C$61,"")</f>
        <v/>
      </c>
      <c r="C2594" s="163" t="str">
        <f>IF(AND('Resource Planner'!$A$61="☑",40&lt;='Resource Planner'!$N$61),'Resource Planner'!$B$61,"")</f>
        <v/>
      </c>
      <c r="D2594" s="163" t="str">
        <f>IF(AND('Resource Planner'!$A$61="☑",40&lt;='Resource Planner'!$N$61),'Resource Planner'!$D$61,"")</f>
        <v/>
      </c>
      <c r="E2594" s="163" t="str">
        <f>IF(AND('Resource Planner'!$A$61="☑",40&lt;='Resource Planner'!$N$61),'Resource Planner'!$E$61,"")</f>
        <v/>
      </c>
      <c r="F2594" s="163" t="str">
        <f>IF(AND('Resource Planner'!$A$61="☑",40&lt;='Resource Planner'!$N$61),'Resource Planner'!$F$61&amp;" "&amp;('Resource Planner'!$G$61+(40-1)*'Resource Planner'!$I$61)&amp;IF(('Resource Planner'!$G$61+(40-1)*'Resource Planner'!$I$61)=MIN('Resource Planner'!$G$61+40*'Resource Planner'!$I$61-1,'Resource Planner'!$H$61),"","–"&amp;MIN('Resource Planner'!$G$61+40*'Resource Planner'!$I$61-1,'Resource Planner'!$H$61)),"")</f>
        <v/>
      </c>
      <c r="G2594" s="163" t="s">
        <v>109</v>
      </c>
      <c r="H2594" s="163" t="str">
        <f>IF(AND('Resource Planner'!$A$61="☑",40&lt;='Resource Planner'!$N$61),'Resource Planner'!$M$61,"")</f>
        <v/>
      </c>
    </row>
    <row r="2595" ht="15.75" customHeight="1">
      <c r="A25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5" s="163" t="str">
        <f>IF(AND('Resource Planner'!$A$61="☑",41&lt;='Resource Planner'!$N$61),'Resource Planner'!$C$61,"")</f>
        <v/>
      </c>
      <c r="C2595" s="163" t="str">
        <f>IF(AND('Resource Planner'!$A$61="☑",41&lt;='Resource Planner'!$N$61),'Resource Planner'!$B$61,"")</f>
        <v/>
      </c>
      <c r="D2595" s="163" t="str">
        <f>IF(AND('Resource Planner'!$A$61="☑",41&lt;='Resource Planner'!$N$61),'Resource Planner'!$D$61,"")</f>
        <v/>
      </c>
      <c r="E2595" s="163" t="str">
        <f>IF(AND('Resource Planner'!$A$61="☑",41&lt;='Resource Planner'!$N$61),'Resource Planner'!$E$61,"")</f>
        <v/>
      </c>
      <c r="F2595" s="163" t="str">
        <f>IF(AND('Resource Planner'!$A$61="☑",41&lt;='Resource Planner'!$N$61),'Resource Planner'!$F$61&amp;" "&amp;('Resource Planner'!$G$61+(41-1)*'Resource Planner'!$I$61)&amp;IF(('Resource Planner'!$G$61+(41-1)*'Resource Planner'!$I$61)=MIN('Resource Planner'!$G$61+41*'Resource Planner'!$I$61-1,'Resource Planner'!$H$61),"","–"&amp;MIN('Resource Planner'!$G$61+41*'Resource Planner'!$I$61-1,'Resource Planner'!$H$61)),"")</f>
        <v/>
      </c>
      <c r="G2595" s="163" t="s">
        <v>109</v>
      </c>
      <c r="H2595" s="163" t="str">
        <f>IF(AND('Resource Planner'!$A$61="☑",41&lt;='Resource Planner'!$N$61),'Resource Planner'!$M$61,"")</f>
        <v/>
      </c>
    </row>
    <row r="2596" ht="15.75" customHeight="1">
      <c r="A25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6" s="163" t="str">
        <f>IF(AND('Resource Planner'!$A$61="☑",42&lt;='Resource Planner'!$N$61),'Resource Planner'!$C$61,"")</f>
        <v/>
      </c>
      <c r="C2596" s="163" t="str">
        <f>IF(AND('Resource Planner'!$A$61="☑",42&lt;='Resource Planner'!$N$61),'Resource Planner'!$B$61,"")</f>
        <v/>
      </c>
      <c r="D2596" s="163" t="str">
        <f>IF(AND('Resource Planner'!$A$61="☑",42&lt;='Resource Planner'!$N$61),'Resource Planner'!$D$61,"")</f>
        <v/>
      </c>
      <c r="E2596" s="163" t="str">
        <f>IF(AND('Resource Planner'!$A$61="☑",42&lt;='Resource Planner'!$N$61),'Resource Planner'!$E$61,"")</f>
        <v/>
      </c>
      <c r="F2596" s="163" t="str">
        <f>IF(AND('Resource Planner'!$A$61="☑",42&lt;='Resource Planner'!$N$61),'Resource Planner'!$F$61&amp;" "&amp;('Resource Planner'!$G$61+(42-1)*'Resource Planner'!$I$61)&amp;IF(('Resource Planner'!$G$61+(42-1)*'Resource Planner'!$I$61)=MIN('Resource Planner'!$G$61+42*'Resource Planner'!$I$61-1,'Resource Planner'!$H$61),"","–"&amp;MIN('Resource Planner'!$G$61+42*'Resource Planner'!$I$61-1,'Resource Planner'!$H$61)),"")</f>
        <v/>
      </c>
      <c r="G2596" s="163" t="s">
        <v>109</v>
      </c>
      <c r="H2596" s="163" t="str">
        <f>IF(AND('Resource Planner'!$A$61="☑",42&lt;='Resource Planner'!$N$61),'Resource Planner'!$M$61,"")</f>
        <v/>
      </c>
    </row>
    <row r="2597" ht="15.75" customHeight="1">
      <c r="A25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7" s="163" t="str">
        <f>IF(AND('Resource Planner'!$A$61="☑",43&lt;='Resource Planner'!$N$61),'Resource Planner'!$C$61,"")</f>
        <v/>
      </c>
      <c r="C2597" s="163" t="str">
        <f>IF(AND('Resource Planner'!$A$61="☑",43&lt;='Resource Planner'!$N$61),'Resource Planner'!$B$61,"")</f>
        <v/>
      </c>
      <c r="D2597" s="163" t="str">
        <f>IF(AND('Resource Planner'!$A$61="☑",43&lt;='Resource Planner'!$N$61),'Resource Planner'!$D$61,"")</f>
        <v/>
      </c>
      <c r="E2597" s="163" t="str">
        <f>IF(AND('Resource Planner'!$A$61="☑",43&lt;='Resource Planner'!$N$61),'Resource Planner'!$E$61,"")</f>
        <v/>
      </c>
      <c r="F2597" s="163" t="str">
        <f>IF(AND('Resource Planner'!$A$61="☑",43&lt;='Resource Planner'!$N$61),'Resource Planner'!$F$61&amp;" "&amp;('Resource Planner'!$G$61+(43-1)*'Resource Planner'!$I$61)&amp;IF(('Resource Planner'!$G$61+(43-1)*'Resource Planner'!$I$61)=MIN('Resource Planner'!$G$61+43*'Resource Planner'!$I$61-1,'Resource Planner'!$H$61),"","–"&amp;MIN('Resource Planner'!$G$61+43*'Resource Planner'!$I$61-1,'Resource Planner'!$H$61)),"")</f>
        <v/>
      </c>
      <c r="G2597" s="163" t="s">
        <v>109</v>
      </c>
      <c r="H2597" s="163" t="str">
        <f>IF(AND('Resource Planner'!$A$61="☑",43&lt;='Resource Planner'!$N$61),'Resource Planner'!$M$61,"")</f>
        <v/>
      </c>
    </row>
    <row r="2598" ht="15.75" customHeight="1">
      <c r="A25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8" s="163" t="str">
        <f>IF(AND('Resource Planner'!$A$61="☑",44&lt;='Resource Planner'!$N$61),'Resource Planner'!$C$61,"")</f>
        <v/>
      </c>
      <c r="C2598" s="163" t="str">
        <f>IF(AND('Resource Planner'!$A$61="☑",44&lt;='Resource Planner'!$N$61),'Resource Planner'!$B$61,"")</f>
        <v/>
      </c>
      <c r="D2598" s="163" t="str">
        <f>IF(AND('Resource Planner'!$A$61="☑",44&lt;='Resource Planner'!$N$61),'Resource Planner'!$D$61,"")</f>
        <v/>
      </c>
      <c r="E2598" s="163" t="str">
        <f>IF(AND('Resource Planner'!$A$61="☑",44&lt;='Resource Planner'!$N$61),'Resource Planner'!$E$61,"")</f>
        <v/>
      </c>
      <c r="F2598" s="163" t="str">
        <f>IF(AND('Resource Planner'!$A$61="☑",44&lt;='Resource Planner'!$N$61),'Resource Planner'!$F$61&amp;" "&amp;('Resource Planner'!$G$61+(44-1)*'Resource Planner'!$I$61)&amp;IF(('Resource Planner'!$G$61+(44-1)*'Resource Planner'!$I$61)=MIN('Resource Planner'!$G$61+44*'Resource Planner'!$I$61-1,'Resource Planner'!$H$61),"","–"&amp;MIN('Resource Planner'!$G$61+44*'Resource Planner'!$I$61-1,'Resource Planner'!$H$61)),"")</f>
        <v/>
      </c>
      <c r="G2598" s="163" t="s">
        <v>109</v>
      </c>
      <c r="H2598" s="163" t="str">
        <f>IF(AND('Resource Planner'!$A$61="☑",44&lt;='Resource Planner'!$N$61),'Resource Planner'!$M$61,"")</f>
        <v/>
      </c>
    </row>
    <row r="2599" ht="15.75" customHeight="1">
      <c r="A25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599" s="163" t="str">
        <f>IF(AND('Resource Planner'!$A$61="☑",45&lt;='Resource Planner'!$N$61),'Resource Planner'!$C$61,"")</f>
        <v/>
      </c>
      <c r="C2599" s="163" t="str">
        <f>IF(AND('Resource Planner'!$A$61="☑",45&lt;='Resource Planner'!$N$61),'Resource Planner'!$B$61,"")</f>
        <v/>
      </c>
      <c r="D2599" s="163" t="str">
        <f>IF(AND('Resource Planner'!$A$61="☑",45&lt;='Resource Planner'!$N$61),'Resource Planner'!$D$61,"")</f>
        <v/>
      </c>
      <c r="E2599" s="163" t="str">
        <f>IF(AND('Resource Planner'!$A$61="☑",45&lt;='Resource Planner'!$N$61),'Resource Planner'!$E$61,"")</f>
        <v/>
      </c>
      <c r="F2599" s="163" t="str">
        <f>IF(AND('Resource Planner'!$A$61="☑",45&lt;='Resource Planner'!$N$61),'Resource Planner'!$F$61&amp;" "&amp;('Resource Planner'!$G$61+(45-1)*'Resource Planner'!$I$61)&amp;IF(('Resource Planner'!$G$61+(45-1)*'Resource Planner'!$I$61)=MIN('Resource Planner'!$G$61+45*'Resource Planner'!$I$61-1,'Resource Planner'!$H$61),"","–"&amp;MIN('Resource Planner'!$G$61+45*'Resource Planner'!$I$61-1,'Resource Planner'!$H$61)),"")</f>
        <v/>
      </c>
      <c r="G2599" s="163" t="s">
        <v>109</v>
      </c>
      <c r="H2599" s="163" t="str">
        <f>IF(AND('Resource Planner'!$A$61="☑",45&lt;='Resource Planner'!$N$61),'Resource Planner'!$M$61,"")</f>
        <v/>
      </c>
    </row>
    <row r="2600" ht="15.75" customHeight="1">
      <c r="A26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0" s="163" t="str">
        <f>IF(AND('Resource Planner'!$A$61="☑",46&lt;='Resource Planner'!$N$61),'Resource Planner'!$C$61,"")</f>
        <v/>
      </c>
      <c r="C2600" s="163" t="str">
        <f>IF(AND('Resource Planner'!$A$61="☑",46&lt;='Resource Planner'!$N$61),'Resource Planner'!$B$61,"")</f>
        <v/>
      </c>
      <c r="D2600" s="163" t="str">
        <f>IF(AND('Resource Planner'!$A$61="☑",46&lt;='Resource Planner'!$N$61),'Resource Planner'!$D$61,"")</f>
        <v/>
      </c>
      <c r="E2600" s="163" t="str">
        <f>IF(AND('Resource Planner'!$A$61="☑",46&lt;='Resource Planner'!$N$61),'Resource Planner'!$E$61,"")</f>
        <v/>
      </c>
      <c r="F2600" s="163" t="str">
        <f>IF(AND('Resource Planner'!$A$61="☑",46&lt;='Resource Planner'!$N$61),'Resource Planner'!$F$61&amp;" "&amp;('Resource Planner'!$G$61+(46-1)*'Resource Planner'!$I$61)&amp;IF(('Resource Planner'!$G$61+(46-1)*'Resource Planner'!$I$61)=MIN('Resource Planner'!$G$61+46*'Resource Planner'!$I$61-1,'Resource Planner'!$H$61),"","–"&amp;MIN('Resource Planner'!$G$61+46*'Resource Planner'!$I$61-1,'Resource Planner'!$H$61)),"")</f>
        <v/>
      </c>
      <c r="G2600" s="163" t="s">
        <v>109</v>
      </c>
      <c r="H2600" s="163" t="str">
        <f>IF(AND('Resource Planner'!$A$61="☑",46&lt;='Resource Planner'!$N$61),'Resource Planner'!$M$61,"")</f>
        <v/>
      </c>
    </row>
    <row r="2601" ht="15.75" customHeight="1">
      <c r="A26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1" s="163" t="str">
        <f>IF(AND('Resource Planner'!$A$61="☑",47&lt;='Resource Planner'!$N$61),'Resource Planner'!$C$61,"")</f>
        <v/>
      </c>
      <c r="C2601" s="163" t="str">
        <f>IF(AND('Resource Planner'!$A$61="☑",47&lt;='Resource Planner'!$N$61),'Resource Planner'!$B$61,"")</f>
        <v/>
      </c>
      <c r="D2601" s="163" t="str">
        <f>IF(AND('Resource Planner'!$A$61="☑",47&lt;='Resource Planner'!$N$61),'Resource Planner'!$D$61,"")</f>
        <v/>
      </c>
      <c r="E2601" s="163" t="str">
        <f>IF(AND('Resource Planner'!$A$61="☑",47&lt;='Resource Planner'!$N$61),'Resource Planner'!$E$61,"")</f>
        <v/>
      </c>
      <c r="F2601" s="163" t="str">
        <f>IF(AND('Resource Planner'!$A$61="☑",47&lt;='Resource Planner'!$N$61),'Resource Planner'!$F$61&amp;" "&amp;('Resource Planner'!$G$61+(47-1)*'Resource Planner'!$I$61)&amp;IF(('Resource Planner'!$G$61+(47-1)*'Resource Planner'!$I$61)=MIN('Resource Planner'!$G$61+47*'Resource Planner'!$I$61-1,'Resource Planner'!$H$61),"","–"&amp;MIN('Resource Planner'!$G$61+47*'Resource Planner'!$I$61-1,'Resource Planner'!$H$61)),"")</f>
        <v/>
      </c>
      <c r="G2601" s="163" t="s">
        <v>109</v>
      </c>
      <c r="H2601" s="163" t="str">
        <f>IF(AND('Resource Planner'!$A$61="☑",47&lt;='Resource Planner'!$N$61),'Resource Planner'!$M$61,"")</f>
        <v/>
      </c>
    </row>
    <row r="2602" ht="15.75" customHeight="1">
      <c r="A26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2" s="163" t="str">
        <f>IF(AND('Resource Planner'!$A$61="☑",48&lt;='Resource Planner'!$N$61),'Resource Planner'!$C$61,"")</f>
        <v/>
      </c>
      <c r="C2602" s="163" t="str">
        <f>IF(AND('Resource Planner'!$A$61="☑",48&lt;='Resource Planner'!$N$61),'Resource Planner'!$B$61,"")</f>
        <v/>
      </c>
      <c r="D2602" s="163" t="str">
        <f>IF(AND('Resource Planner'!$A$61="☑",48&lt;='Resource Planner'!$N$61),'Resource Planner'!$D$61,"")</f>
        <v/>
      </c>
      <c r="E2602" s="163" t="str">
        <f>IF(AND('Resource Planner'!$A$61="☑",48&lt;='Resource Planner'!$N$61),'Resource Planner'!$E$61,"")</f>
        <v/>
      </c>
      <c r="F2602" s="163" t="str">
        <f>IF(AND('Resource Planner'!$A$61="☑",48&lt;='Resource Planner'!$N$61),'Resource Planner'!$F$61&amp;" "&amp;('Resource Planner'!$G$61+(48-1)*'Resource Planner'!$I$61)&amp;IF(('Resource Planner'!$G$61+(48-1)*'Resource Planner'!$I$61)=MIN('Resource Planner'!$G$61+48*'Resource Planner'!$I$61-1,'Resource Planner'!$H$61),"","–"&amp;MIN('Resource Planner'!$G$61+48*'Resource Planner'!$I$61-1,'Resource Planner'!$H$61)),"")</f>
        <v/>
      </c>
      <c r="G2602" s="163" t="s">
        <v>109</v>
      </c>
      <c r="H2602" s="163" t="str">
        <f>IF(AND('Resource Planner'!$A$61="☑",48&lt;='Resource Planner'!$N$61),'Resource Planner'!$M$61,"")</f>
        <v/>
      </c>
    </row>
    <row r="2603" ht="15.75" customHeight="1">
      <c r="A26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3" s="163" t="str">
        <f>IF(AND('Resource Planner'!$A$61="☑",49&lt;='Resource Planner'!$N$61),'Resource Planner'!$C$61,"")</f>
        <v/>
      </c>
      <c r="C2603" s="163" t="str">
        <f>IF(AND('Resource Planner'!$A$61="☑",49&lt;='Resource Planner'!$N$61),'Resource Planner'!$B$61,"")</f>
        <v/>
      </c>
      <c r="D2603" s="163" t="str">
        <f>IF(AND('Resource Planner'!$A$61="☑",49&lt;='Resource Planner'!$N$61),'Resource Planner'!$D$61,"")</f>
        <v/>
      </c>
      <c r="E2603" s="163" t="str">
        <f>IF(AND('Resource Planner'!$A$61="☑",49&lt;='Resource Planner'!$N$61),'Resource Planner'!$E$61,"")</f>
        <v/>
      </c>
      <c r="F2603" s="163" t="str">
        <f>IF(AND('Resource Planner'!$A$61="☑",49&lt;='Resource Planner'!$N$61),'Resource Planner'!$F$61&amp;" "&amp;('Resource Planner'!$G$61+(49-1)*'Resource Planner'!$I$61)&amp;IF(('Resource Planner'!$G$61+(49-1)*'Resource Planner'!$I$61)=MIN('Resource Planner'!$G$61+49*'Resource Planner'!$I$61-1,'Resource Planner'!$H$61),"","–"&amp;MIN('Resource Planner'!$G$61+49*'Resource Planner'!$I$61-1,'Resource Planner'!$H$61)),"")</f>
        <v/>
      </c>
      <c r="G2603" s="163" t="s">
        <v>109</v>
      </c>
      <c r="H2603" s="163" t="str">
        <f>IF(AND('Resource Planner'!$A$61="☑",49&lt;='Resource Planner'!$N$61),'Resource Planner'!$M$61,"")</f>
        <v/>
      </c>
    </row>
    <row r="2604" ht="15.75" customHeight="1">
      <c r="A26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4" s="163" t="str">
        <f>IF(AND('Resource Planner'!$A$61="☑",50&lt;='Resource Planner'!$N$61),'Resource Planner'!$C$61,"")</f>
        <v/>
      </c>
      <c r="C2604" s="163" t="str">
        <f>IF(AND('Resource Planner'!$A$61="☑",50&lt;='Resource Planner'!$N$61),'Resource Planner'!$B$61,"")</f>
        <v/>
      </c>
      <c r="D2604" s="163" t="str">
        <f>IF(AND('Resource Planner'!$A$61="☑",50&lt;='Resource Planner'!$N$61),'Resource Planner'!$D$61,"")</f>
        <v/>
      </c>
      <c r="E2604" s="163" t="str">
        <f>IF(AND('Resource Planner'!$A$61="☑",50&lt;='Resource Planner'!$N$61),'Resource Planner'!$E$61,"")</f>
        <v/>
      </c>
      <c r="F2604" s="163" t="str">
        <f>IF(AND('Resource Planner'!$A$61="☑",50&lt;='Resource Planner'!$N$61),'Resource Planner'!$F$61&amp;" "&amp;('Resource Planner'!$G$61+(50-1)*'Resource Planner'!$I$61)&amp;IF(('Resource Planner'!$G$61+(50-1)*'Resource Planner'!$I$61)=MIN('Resource Planner'!$G$61+50*'Resource Planner'!$I$61-1,'Resource Planner'!$H$61),"","–"&amp;MIN('Resource Planner'!$G$61+50*'Resource Planner'!$I$61-1,'Resource Planner'!$H$61)),"")</f>
        <v/>
      </c>
      <c r="G2604" s="163" t="s">
        <v>109</v>
      </c>
      <c r="H2604" s="163" t="str">
        <f>IF(AND('Resource Planner'!$A$61="☑",50&lt;='Resource Planner'!$N$61),'Resource Planner'!$M$61,"")</f>
        <v/>
      </c>
    </row>
    <row r="2605" ht="15.75" customHeight="1">
      <c r="A26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5" s="163" t="str">
        <f>IF(AND('Resource Planner'!$A$62="☑",1&lt;='Resource Planner'!$N$62),'Resource Planner'!$C$62,"")</f>
        <v/>
      </c>
      <c r="C2605" s="163" t="str">
        <f>IF(AND('Resource Planner'!$A$62="☑",1&lt;='Resource Planner'!$N$62),'Resource Planner'!$B$62,"")</f>
        <v/>
      </c>
      <c r="D2605" s="163" t="str">
        <f>IF(AND('Resource Planner'!$A$62="☑",1&lt;='Resource Planner'!$N$62),'Resource Planner'!$D$62,"")</f>
        <v/>
      </c>
      <c r="E2605" s="163" t="str">
        <f>IF(AND('Resource Planner'!$A$62="☑",1&lt;='Resource Planner'!$N$62),'Resource Planner'!$E$62,"")</f>
        <v/>
      </c>
      <c r="F2605" s="163" t="str">
        <f>IF(AND('Resource Planner'!$A$62="☑",1&lt;='Resource Planner'!$N$62),'Resource Planner'!$F$62&amp;" "&amp;('Resource Planner'!$G$62+(1-1)*'Resource Planner'!$I$62)&amp;IF(('Resource Planner'!$G$62+(1-1)*'Resource Planner'!$I$62)=MIN('Resource Planner'!$G$62+1*'Resource Planner'!$I$62-1,'Resource Planner'!$H$62),"","–"&amp;MIN('Resource Planner'!$G$62+1*'Resource Planner'!$I$62-1,'Resource Planner'!$H$62)),"")</f>
        <v/>
      </c>
      <c r="G2605" s="163" t="s">
        <v>109</v>
      </c>
      <c r="H2605" s="163" t="str">
        <f>IF(AND('Resource Planner'!$A$62="☑",1&lt;='Resource Planner'!$N$62),'Resource Planner'!$M$62,"")</f>
        <v/>
      </c>
    </row>
    <row r="2606" ht="15.75" customHeight="1">
      <c r="A26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6" s="163" t="str">
        <f>IF(AND('Resource Planner'!$A$62="☑",2&lt;='Resource Planner'!$N$62),'Resource Planner'!$C$62,"")</f>
        <v/>
      </c>
      <c r="C2606" s="163" t="str">
        <f>IF(AND('Resource Planner'!$A$62="☑",2&lt;='Resource Planner'!$N$62),'Resource Planner'!$B$62,"")</f>
        <v/>
      </c>
      <c r="D2606" s="163" t="str">
        <f>IF(AND('Resource Planner'!$A$62="☑",2&lt;='Resource Planner'!$N$62),'Resource Planner'!$D$62,"")</f>
        <v/>
      </c>
      <c r="E2606" s="163" t="str">
        <f>IF(AND('Resource Planner'!$A$62="☑",2&lt;='Resource Planner'!$N$62),'Resource Planner'!$E$62,"")</f>
        <v/>
      </c>
      <c r="F2606" s="163" t="str">
        <f>IF(AND('Resource Planner'!$A$62="☑",2&lt;='Resource Planner'!$N$62),'Resource Planner'!$F$62&amp;" "&amp;('Resource Planner'!$G$62+(2-1)*'Resource Planner'!$I$62)&amp;IF(('Resource Planner'!$G$62+(2-1)*'Resource Planner'!$I$62)=MIN('Resource Planner'!$G$62+2*'Resource Planner'!$I$62-1,'Resource Planner'!$H$62),"","–"&amp;MIN('Resource Planner'!$G$62+2*'Resource Planner'!$I$62-1,'Resource Planner'!$H$62)),"")</f>
        <v/>
      </c>
      <c r="G2606" s="163" t="s">
        <v>109</v>
      </c>
      <c r="H2606" s="163" t="str">
        <f>IF(AND('Resource Planner'!$A$62="☑",2&lt;='Resource Planner'!$N$62),'Resource Planner'!$M$62,"")</f>
        <v/>
      </c>
    </row>
    <row r="2607" ht="15.75" customHeight="1">
      <c r="A26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7" s="163" t="str">
        <f>IF(AND('Resource Planner'!$A$62="☑",3&lt;='Resource Planner'!$N$62),'Resource Planner'!$C$62,"")</f>
        <v/>
      </c>
      <c r="C2607" s="163" t="str">
        <f>IF(AND('Resource Planner'!$A$62="☑",3&lt;='Resource Planner'!$N$62),'Resource Planner'!$B$62,"")</f>
        <v/>
      </c>
      <c r="D2607" s="163" t="str">
        <f>IF(AND('Resource Planner'!$A$62="☑",3&lt;='Resource Planner'!$N$62),'Resource Planner'!$D$62,"")</f>
        <v/>
      </c>
      <c r="E2607" s="163" t="str">
        <f>IF(AND('Resource Planner'!$A$62="☑",3&lt;='Resource Planner'!$N$62),'Resource Planner'!$E$62,"")</f>
        <v/>
      </c>
      <c r="F2607" s="163" t="str">
        <f>IF(AND('Resource Planner'!$A$62="☑",3&lt;='Resource Planner'!$N$62),'Resource Planner'!$F$62&amp;" "&amp;('Resource Planner'!$G$62+(3-1)*'Resource Planner'!$I$62)&amp;IF(('Resource Planner'!$G$62+(3-1)*'Resource Planner'!$I$62)=MIN('Resource Planner'!$G$62+3*'Resource Planner'!$I$62-1,'Resource Planner'!$H$62),"","–"&amp;MIN('Resource Planner'!$G$62+3*'Resource Planner'!$I$62-1,'Resource Planner'!$H$62)),"")</f>
        <v/>
      </c>
      <c r="G2607" s="163" t="s">
        <v>109</v>
      </c>
      <c r="H2607" s="163" t="str">
        <f>IF(AND('Resource Planner'!$A$62="☑",3&lt;='Resource Planner'!$N$62),'Resource Planner'!$M$62,"")</f>
        <v/>
      </c>
    </row>
    <row r="2608" ht="15.75" customHeight="1">
      <c r="A26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8" s="163" t="str">
        <f>IF(AND('Resource Planner'!$A$62="☑",4&lt;='Resource Planner'!$N$62),'Resource Planner'!$C$62,"")</f>
        <v/>
      </c>
      <c r="C2608" s="163" t="str">
        <f>IF(AND('Resource Planner'!$A$62="☑",4&lt;='Resource Planner'!$N$62),'Resource Planner'!$B$62,"")</f>
        <v/>
      </c>
      <c r="D2608" s="163" t="str">
        <f>IF(AND('Resource Planner'!$A$62="☑",4&lt;='Resource Planner'!$N$62),'Resource Planner'!$D$62,"")</f>
        <v/>
      </c>
      <c r="E2608" s="163" t="str">
        <f>IF(AND('Resource Planner'!$A$62="☑",4&lt;='Resource Planner'!$N$62),'Resource Planner'!$E$62,"")</f>
        <v/>
      </c>
      <c r="F2608" s="163" t="str">
        <f>IF(AND('Resource Planner'!$A$62="☑",4&lt;='Resource Planner'!$N$62),'Resource Planner'!$F$62&amp;" "&amp;('Resource Planner'!$G$62+(4-1)*'Resource Planner'!$I$62)&amp;IF(('Resource Planner'!$G$62+(4-1)*'Resource Planner'!$I$62)=MIN('Resource Planner'!$G$62+4*'Resource Planner'!$I$62-1,'Resource Planner'!$H$62),"","–"&amp;MIN('Resource Planner'!$G$62+4*'Resource Planner'!$I$62-1,'Resource Planner'!$H$62)),"")</f>
        <v/>
      </c>
      <c r="G2608" s="163" t="s">
        <v>109</v>
      </c>
      <c r="H2608" s="163" t="str">
        <f>IF(AND('Resource Planner'!$A$62="☑",4&lt;='Resource Planner'!$N$62),'Resource Planner'!$M$62,"")</f>
        <v/>
      </c>
    </row>
    <row r="2609" ht="15.75" customHeight="1">
      <c r="A26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09" s="163" t="str">
        <f>IF(AND('Resource Planner'!$A$62="☑",5&lt;='Resource Planner'!$N$62),'Resource Planner'!$C$62,"")</f>
        <v/>
      </c>
      <c r="C2609" s="163" t="str">
        <f>IF(AND('Resource Planner'!$A$62="☑",5&lt;='Resource Planner'!$N$62),'Resource Planner'!$B$62,"")</f>
        <v/>
      </c>
      <c r="D2609" s="163" t="str">
        <f>IF(AND('Resource Planner'!$A$62="☑",5&lt;='Resource Planner'!$N$62),'Resource Planner'!$D$62,"")</f>
        <v/>
      </c>
      <c r="E2609" s="163" t="str">
        <f>IF(AND('Resource Planner'!$A$62="☑",5&lt;='Resource Planner'!$N$62),'Resource Planner'!$E$62,"")</f>
        <v/>
      </c>
      <c r="F2609" s="163" t="str">
        <f>IF(AND('Resource Planner'!$A$62="☑",5&lt;='Resource Planner'!$N$62),'Resource Planner'!$F$62&amp;" "&amp;('Resource Planner'!$G$62+(5-1)*'Resource Planner'!$I$62)&amp;IF(('Resource Planner'!$G$62+(5-1)*'Resource Planner'!$I$62)=MIN('Resource Planner'!$G$62+5*'Resource Planner'!$I$62-1,'Resource Planner'!$H$62),"","–"&amp;MIN('Resource Planner'!$G$62+5*'Resource Planner'!$I$62-1,'Resource Planner'!$H$62)),"")</f>
        <v/>
      </c>
      <c r="G2609" s="163" t="s">
        <v>109</v>
      </c>
      <c r="H2609" s="163" t="str">
        <f>IF(AND('Resource Planner'!$A$62="☑",5&lt;='Resource Planner'!$N$62),'Resource Planner'!$M$62,"")</f>
        <v/>
      </c>
    </row>
    <row r="2610" ht="15.75" customHeight="1">
      <c r="A26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0" s="163" t="str">
        <f>IF(AND('Resource Planner'!$A$62="☑",6&lt;='Resource Planner'!$N$62),'Resource Planner'!$C$62,"")</f>
        <v/>
      </c>
      <c r="C2610" s="163" t="str">
        <f>IF(AND('Resource Planner'!$A$62="☑",6&lt;='Resource Planner'!$N$62),'Resource Planner'!$B$62,"")</f>
        <v/>
      </c>
      <c r="D2610" s="163" t="str">
        <f>IF(AND('Resource Planner'!$A$62="☑",6&lt;='Resource Planner'!$N$62),'Resource Planner'!$D$62,"")</f>
        <v/>
      </c>
      <c r="E2610" s="163" t="str">
        <f>IF(AND('Resource Planner'!$A$62="☑",6&lt;='Resource Planner'!$N$62),'Resource Planner'!$E$62,"")</f>
        <v/>
      </c>
      <c r="F2610" s="163" t="str">
        <f>IF(AND('Resource Planner'!$A$62="☑",6&lt;='Resource Planner'!$N$62),'Resource Planner'!$F$62&amp;" "&amp;('Resource Planner'!$G$62+(6-1)*'Resource Planner'!$I$62)&amp;IF(('Resource Planner'!$G$62+(6-1)*'Resource Planner'!$I$62)=MIN('Resource Planner'!$G$62+6*'Resource Planner'!$I$62-1,'Resource Planner'!$H$62),"","–"&amp;MIN('Resource Planner'!$G$62+6*'Resource Planner'!$I$62-1,'Resource Planner'!$H$62)),"")</f>
        <v/>
      </c>
      <c r="G2610" s="163" t="s">
        <v>109</v>
      </c>
      <c r="H2610" s="163" t="str">
        <f>IF(AND('Resource Planner'!$A$62="☑",6&lt;='Resource Planner'!$N$62),'Resource Planner'!$M$62,"")</f>
        <v/>
      </c>
    </row>
    <row r="2611" ht="15.75" customHeight="1">
      <c r="A26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1" s="163" t="str">
        <f>IF(AND('Resource Planner'!$A$62="☑",7&lt;='Resource Planner'!$N$62),'Resource Planner'!$C$62,"")</f>
        <v/>
      </c>
      <c r="C2611" s="163" t="str">
        <f>IF(AND('Resource Planner'!$A$62="☑",7&lt;='Resource Planner'!$N$62),'Resource Planner'!$B$62,"")</f>
        <v/>
      </c>
      <c r="D2611" s="163" t="str">
        <f>IF(AND('Resource Planner'!$A$62="☑",7&lt;='Resource Planner'!$N$62),'Resource Planner'!$D$62,"")</f>
        <v/>
      </c>
      <c r="E2611" s="163" t="str">
        <f>IF(AND('Resource Planner'!$A$62="☑",7&lt;='Resource Planner'!$N$62),'Resource Planner'!$E$62,"")</f>
        <v/>
      </c>
      <c r="F2611" s="163" t="str">
        <f>IF(AND('Resource Planner'!$A$62="☑",7&lt;='Resource Planner'!$N$62),'Resource Planner'!$F$62&amp;" "&amp;('Resource Planner'!$G$62+(7-1)*'Resource Planner'!$I$62)&amp;IF(('Resource Planner'!$G$62+(7-1)*'Resource Planner'!$I$62)=MIN('Resource Planner'!$G$62+7*'Resource Planner'!$I$62-1,'Resource Planner'!$H$62),"","–"&amp;MIN('Resource Planner'!$G$62+7*'Resource Planner'!$I$62-1,'Resource Planner'!$H$62)),"")</f>
        <v/>
      </c>
      <c r="G2611" s="163" t="s">
        <v>109</v>
      </c>
      <c r="H2611" s="163" t="str">
        <f>IF(AND('Resource Planner'!$A$62="☑",7&lt;='Resource Planner'!$N$62),'Resource Planner'!$M$62,"")</f>
        <v/>
      </c>
    </row>
    <row r="2612" ht="15.75" customHeight="1">
      <c r="A26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2" s="163" t="str">
        <f>IF(AND('Resource Planner'!$A$62="☑",8&lt;='Resource Planner'!$N$62),'Resource Planner'!$C$62,"")</f>
        <v/>
      </c>
      <c r="C2612" s="163" t="str">
        <f>IF(AND('Resource Planner'!$A$62="☑",8&lt;='Resource Planner'!$N$62),'Resource Planner'!$B$62,"")</f>
        <v/>
      </c>
      <c r="D2612" s="163" t="str">
        <f>IF(AND('Resource Planner'!$A$62="☑",8&lt;='Resource Planner'!$N$62),'Resource Planner'!$D$62,"")</f>
        <v/>
      </c>
      <c r="E2612" s="163" t="str">
        <f>IF(AND('Resource Planner'!$A$62="☑",8&lt;='Resource Planner'!$N$62),'Resource Planner'!$E$62,"")</f>
        <v/>
      </c>
      <c r="F2612" s="163" t="str">
        <f>IF(AND('Resource Planner'!$A$62="☑",8&lt;='Resource Planner'!$N$62),'Resource Planner'!$F$62&amp;" "&amp;('Resource Planner'!$G$62+(8-1)*'Resource Planner'!$I$62)&amp;IF(('Resource Planner'!$G$62+(8-1)*'Resource Planner'!$I$62)=MIN('Resource Planner'!$G$62+8*'Resource Planner'!$I$62-1,'Resource Planner'!$H$62),"","–"&amp;MIN('Resource Planner'!$G$62+8*'Resource Planner'!$I$62-1,'Resource Planner'!$H$62)),"")</f>
        <v/>
      </c>
      <c r="G2612" s="163" t="s">
        <v>109</v>
      </c>
      <c r="H2612" s="163" t="str">
        <f>IF(AND('Resource Planner'!$A$62="☑",8&lt;='Resource Planner'!$N$62),'Resource Planner'!$M$62,"")</f>
        <v/>
      </c>
    </row>
    <row r="2613" ht="15.75" customHeight="1">
      <c r="A26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3" s="163" t="str">
        <f>IF(AND('Resource Planner'!$A$62="☑",9&lt;='Resource Planner'!$N$62),'Resource Planner'!$C$62,"")</f>
        <v/>
      </c>
      <c r="C2613" s="163" t="str">
        <f>IF(AND('Resource Planner'!$A$62="☑",9&lt;='Resource Planner'!$N$62),'Resource Planner'!$B$62,"")</f>
        <v/>
      </c>
      <c r="D2613" s="163" t="str">
        <f>IF(AND('Resource Planner'!$A$62="☑",9&lt;='Resource Planner'!$N$62),'Resource Planner'!$D$62,"")</f>
        <v/>
      </c>
      <c r="E2613" s="163" t="str">
        <f>IF(AND('Resource Planner'!$A$62="☑",9&lt;='Resource Planner'!$N$62),'Resource Planner'!$E$62,"")</f>
        <v/>
      </c>
      <c r="F2613" s="163" t="str">
        <f>IF(AND('Resource Planner'!$A$62="☑",9&lt;='Resource Planner'!$N$62),'Resource Planner'!$F$62&amp;" "&amp;('Resource Planner'!$G$62+(9-1)*'Resource Planner'!$I$62)&amp;IF(('Resource Planner'!$G$62+(9-1)*'Resource Planner'!$I$62)=MIN('Resource Planner'!$G$62+9*'Resource Planner'!$I$62-1,'Resource Planner'!$H$62),"","–"&amp;MIN('Resource Planner'!$G$62+9*'Resource Planner'!$I$62-1,'Resource Planner'!$H$62)),"")</f>
        <v/>
      </c>
      <c r="G2613" s="163" t="s">
        <v>109</v>
      </c>
      <c r="H2613" s="163" t="str">
        <f>IF(AND('Resource Planner'!$A$62="☑",9&lt;='Resource Planner'!$N$62),'Resource Planner'!$M$62,"")</f>
        <v/>
      </c>
    </row>
    <row r="2614" ht="15.75" customHeight="1">
      <c r="A26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4" s="163" t="str">
        <f>IF(AND('Resource Planner'!$A$62="☑",10&lt;='Resource Planner'!$N$62),'Resource Planner'!$C$62,"")</f>
        <v/>
      </c>
      <c r="C2614" s="163" t="str">
        <f>IF(AND('Resource Planner'!$A$62="☑",10&lt;='Resource Planner'!$N$62),'Resource Planner'!$B$62,"")</f>
        <v/>
      </c>
      <c r="D2614" s="163" t="str">
        <f>IF(AND('Resource Planner'!$A$62="☑",10&lt;='Resource Planner'!$N$62),'Resource Planner'!$D$62,"")</f>
        <v/>
      </c>
      <c r="E2614" s="163" t="str">
        <f>IF(AND('Resource Planner'!$A$62="☑",10&lt;='Resource Planner'!$N$62),'Resource Planner'!$E$62,"")</f>
        <v/>
      </c>
      <c r="F2614" s="163" t="str">
        <f>IF(AND('Resource Planner'!$A$62="☑",10&lt;='Resource Planner'!$N$62),'Resource Planner'!$F$62&amp;" "&amp;('Resource Planner'!$G$62+(10-1)*'Resource Planner'!$I$62)&amp;IF(('Resource Planner'!$G$62+(10-1)*'Resource Planner'!$I$62)=MIN('Resource Planner'!$G$62+10*'Resource Planner'!$I$62-1,'Resource Planner'!$H$62),"","–"&amp;MIN('Resource Planner'!$G$62+10*'Resource Planner'!$I$62-1,'Resource Planner'!$H$62)),"")</f>
        <v/>
      </c>
      <c r="G2614" s="163" t="s">
        <v>109</v>
      </c>
      <c r="H2614" s="163" t="str">
        <f>IF(AND('Resource Planner'!$A$62="☑",10&lt;='Resource Planner'!$N$62),'Resource Planner'!$M$62,"")</f>
        <v/>
      </c>
    </row>
    <row r="2615" ht="15.75" customHeight="1">
      <c r="A26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5" s="163" t="str">
        <f>IF(AND('Resource Planner'!$A$62="☑",11&lt;='Resource Planner'!$N$62),'Resource Planner'!$C$62,"")</f>
        <v/>
      </c>
      <c r="C2615" s="163" t="str">
        <f>IF(AND('Resource Planner'!$A$62="☑",11&lt;='Resource Planner'!$N$62),'Resource Planner'!$B$62,"")</f>
        <v/>
      </c>
      <c r="D2615" s="163" t="str">
        <f>IF(AND('Resource Planner'!$A$62="☑",11&lt;='Resource Planner'!$N$62),'Resource Planner'!$D$62,"")</f>
        <v/>
      </c>
      <c r="E2615" s="163" t="str">
        <f>IF(AND('Resource Planner'!$A$62="☑",11&lt;='Resource Planner'!$N$62),'Resource Planner'!$E$62,"")</f>
        <v/>
      </c>
      <c r="F2615" s="163" t="str">
        <f>IF(AND('Resource Planner'!$A$62="☑",11&lt;='Resource Planner'!$N$62),'Resource Planner'!$F$62&amp;" "&amp;('Resource Planner'!$G$62+(11-1)*'Resource Planner'!$I$62)&amp;IF(('Resource Planner'!$G$62+(11-1)*'Resource Planner'!$I$62)=MIN('Resource Planner'!$G$62+11*'Resource Planner'!$I$62-1,'Resource Planner'!$H$62),"","–"&amp;MIN('Resource Planner'!$G$62+11*'Resource Planner'!$I$62-1,'Resource Planner'!$H$62)),"")</f>
        <v/>
      </c>
      <c r="G2615" s="163" t="s">
        <v>109</v>
      </c>
      <c r="H2615" s="163" t="str">
        <f>IF(AND('Resource Planner'!$A$62="☑",11&lt;='Resource Planner'!$N$62),'Resource Planner'!$M$62,"")</f>
        <v/>
      </c>
    </row>
    <row r="2616" ht="15.75" customHeight="1">
      <c r="A26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6" s="163" t="str">
        <f>IF(AND('Resource Planner'!$A$62="☑",12&lt;='Resource Planner'!$N$62),'Resource Planner'!$C$62,"")</f>
        <v/>
      </c>
      <c r="C2616" s="163" t="str">
        <f>IF(AND('Resource Planner'!$A$62="☑",12&lt;='Resource Planner'!$N$62),'Resource Planner'!$B$62,"")</f>
        <v/>
      </c>
      <c r="D2616" s="163" t="str">
        <f>IF(AND('Resource Planner'!$A$62="☑",12&lt;='Resource Planner'!$N$62),'Resource Planner'!$D$62,"")</f>
        <v/>
      </c>
      <c r="E2616" s="163" t="str">
        <f>IF(AND('Resource Planner'!$A$62="☑",12&lt;='Resource Planner'!$N$62),'Resource Planner'!$E$62,"")</f>
        <v/>
      </c>
      <c r="F2616" s="163" t="str">
        <f>IF(AND('Resource Planner'!$A$62="☑",12&lt;='Resource Planner'!$N$62),'Resource Planner'!$F$62&amp;" "&amp;('Resource Planner'!$G$62+(12-1)*'Resource Planner'!$I$62)&amp;IF(('Resource Planner'!$G$62+(12-1)*'Resource Planner'!$I$62)=MIN('Resource Planner'!$G$62+12*'Resource Planner'!$I$62-1,'Resource Planner'!$H$62),"","–"&amp;MIN('Resource Planner'!$G$62+12*'Resource Planner'!$I$62-1,'Resource Planner'!$H$62)),"")</f>
        <v/>
      </c>
      <c r="G2616" s="163" t="s">
        <v>109</v>
      </c>
      <c r="H2616" s="163" t="str">
        <f>IF(AND('Resource Planner'!$A$62="☑",12&lt;='Resource Planner'!$N$62),'Resource Planner'!$M$62,"")</f>
        <v/>
      </c>
    </row>
    <row r="2617" ht="15.75" customHeight="1">
      <c r="A26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7" s="163" t="str">
        <f>IF(AND('Resource Planner'!$A$62="☑",13&lt;='Resource Planner'!$N$62),'Resource Planner'!$C$62,"")</f>
        <v/>
      </c>
      <c r="C2617" s="163" t="str">
        <f>IF(AND('Resource Planner'!$A$62="☑",13&lt;='Resource Planner'!$N$62),'Resource Planner'!$B$62,"")</f>
        <v/>
      </c>
      <c r="D2617" s="163" t="str">
        <f>IF(AND('Resource Planner'!$A$62="☑",13&lt;='Resource Planner'!$N$62),'Resource Planner'!$D$62,"")</f>
        <v/>
      </c>
      <c r="E2617" s="163" t="str">
        <f>IF(AND('Resource Planner'!$A$62="☑",13&lt;='Resource Planner'!$N$62),'Resource Planner'!$E$62,"")</f>
        <v/>
      </c>
      <c r="F2617" s="163" t="str">
        <f>IF(AND('Resource Planner'!$A$62="☑",13&lt;='Resource Planner'!$N$62),'Resource Planner'!$F$62&amp;" "&amp;('Resource Planner'!$G$62+(13-1)*'Resource Planner'!$I$62)&amp;IF(('Resource Planner'!$G$62+(13-1)*'Resource Planner'!$I$62)=MIN('Resource Planner'!$G$62+13*'Resource Planner'!$I$62-1,'Resource Planner'!$H$62),"","–"&amp;MIN('Resource Planner'!$G$62+13*'Resource Planner'!$I$62-1,'Resource Planner'!$H$62)),"")</f>
        <v/>
      </c>
      <c r="G2617" s="163" t="s">
        <v>109</v>
      </c>
      <c r="H2617" s="163" t="str">
        <f>IF(AND('Resource Planner'!$A$62="☑",13&lt;='Resource Planner'!$N$62),'Resource Planner'!$M$62,"")</f>
        <v/>
      </c>
    </row>
    <row r="2618" ht="15.75" customHeight="1">
      <c r="A26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8" s="163" t="str">
        <f>IF(AND('Resource Planner'!$A$62="☑",14&lt;='Resource Planner'!$N$62),'Resource Planner'!$C$62,"")</f>
        <v/>
      </c>
      <c r="C2618" s="163" t="str">
        <f>IF(AND('Resource Planner'!$A$62="☑",14&lt;='Resource Planner'!$N$62),'Resource Planner'!$B$62,"")</f>
        <v/>
      </c>
      <c r="D2618" s="163" t="str">
        <f>IF(AND('Resource Planner'!$A$62="☑",14&lt;='Resource Planner'!$N$62),'Resource Planner'!$D$62,"")</f>
        <v/>
      </c>
      <c r="E2618" s="163" t="str">
        <f>IF(AND('Resource Planner'!$A$62="☑",14&lt;='Resource Planner'!$N$62),'Resource Planner'!$E$62,"")</f>
        <v/>
      </c>
      <c r="F2618" s="163" t="str">
        <f>IF(AND('Resource Planner'!$A$62="☑",14&lt;='Resource Planner'!$N$62),'Resource Planner'!$F$62&amp;" "&amp;('Resource Planner'!$G$62+(14-1)*'Resource Planner'!$I$62)&amp;IF(('Resource Planner'!$G$62+(14-1)*'Resource Planner'!$I$62)=MIN('Resource Planner'!$G$62+14*'Resource Planner'!$I$62-1,'Resource Planner'!$H$62),"","–"&amp;MIN('Resource Planner'!$G$62+14*'Resource Planner'!$I$62-1,'Resource Planner'!$H$62)),"")</f>
        <v/>
      </c>
      <c r="G2618" s="163" t="s">
        <v>109</v>
      </c>
      <c r="H2618" s="163" t="str">
        <f>IF(AND('Resource Planner'!$A$62="☑",14&lt;='Resource Planner'!$N$62),'Resource Planner'!$M$62,"")</f>
        <v/>
      </c>
    </row>
    <row r="2619" ht="15.75" customHeight="1">
      <c r="A26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19" s="163" t="str">
        <f>IF(AND('Resource Planner'!$A$62="☑",15&lt;='Resource Planner'!$N$62),'Resource Planner'!$C$62,"")</f>
        <v/>
      </c>
      <c r="C2619" s="163" t="str">
        <f>IF(AND('Resource Planner'!$A$62="☑",15&lt;='Resource Planner'!$N$62),'Resource Planner'!$B$62,"")</f>
        <v/>
      </c>
      <c r="D2619" s="163" t="str">
        <f>IF(AND('Resource Planner'!$A$62="☑",15&lt;='Resource Planner'!$N$62),'Resource Planner'!$D$62,"")</f>
        <v/>
      </c>
      <c r="E2619" s="163" t="str">
        <f>IF(AND('Resource Planner'!$A$62="☑",15&lt;='Resource Planner'!$N$62),'Resource Planner'!$E$62,"")</f>
        <v/>
      </c>
      <c r="F2619" s="163" t="str">
        <f>IF(AND('Resource Planner'!$A$62="☑",15&lt;='Resource Planner'!$N$62),'Resource Planner'!$F$62&amp;" "&amp;('Resource Planner'!$G$62+(15-1)*'Resource Planner'!$I$62)&amp;IF(('Resource Planner'!$G$62+(15-1)*'Resource Planner'!$I$62)=MIN('Resource Planner'!$G$62+15*'Resource Planner'!$I$62-1,'Resource Planner'!$H$62),"","–"&amp;MIN('Resource Planner'!$G$62+15*'Resource Planner'!$I$62-1,'Resource Planner'!$H$62)),"")</f>
        <v/>
      </c>
      <c r="G2619" s="163" t="s">
        <v>109</v>
      </c>
      <c r="H2619" s="163" t="str">
        <f>IF(AND('Resource Planner'!$A$62="☑",15&lt;='Resource Planner'!$N$62),'Resource Planner'!$M$62,"")</f>
        <v/>
      </c>
    </row>
    <row r="2620" ht="15.75" customHeight="1">
      <c r="A26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0" s="163" t="str">
        <f>IF(AND('Resource Planner'!$A$62="☑",16&lt;='Resource Planner'!$N$62),'Resource Planner'!$C$62,"")</f>
        <v/>
      </c>
      <c r="C2620" s="163" t="str">
        <f>IF(AND('Resource Planner'!$A$62="☑",16&lt;='Resource Planner'!$N$62),'Resource Planner'!$B$62,"")</f>
        <v/>
      </c>
      <c r="D2620" s="163" t="str">
        <f>IF(AND('Resource Planner'!$A$62="☑",16&lt;='Resource Planner'!$N$62),'Resource Planner'!$D$62,"")</f>
        <v/>
      </c>
      <c r="E2620" s="163" t="str">
        <f>IF(AND('Resource Planner'!$A$62="☑",16&lt;='Resource Planner'!$N$62),'Resource Planner'!$E$62,"")</f>
        <v/>
      </c>
      <c r="F2620" s="163" t="str">
        <f>IF(AND('Resource Planner'!$A$62="☑",16&lt;='Resource Planner'!$N$62),'Resource Planner'!$F$62&amp;" "&amp;('Resource Planner'!$G$62+(16-1)*'Resource Planner'!$I$62)&amp;IF(('Resource Planner'!$G$62+(16-1)*'Resource Planner'!$I$62)=MIN('Resource Planner'!$G$62+16*'Resource Planner'!$I$62-1,'Resource Planner'!$H$62),"","–"&amp;MIN('Resource Planner'!$G$62+16*'Resource Planner'!$I$62-1,'Resource Planner'!$H$62)),"")</f>
        <v/>
      </c>
      <c r="G2620" s="163" t="s">
        <v>109</v>
      </c>
      <c r="H2620" s="163" t="str">
        <f>IF(AND('Resource Planner'!$A$62="☑",16&lt;='Resource Planner'!$N$62),'Resource Planner'!$M$62,"")</f>
        <v/>
      </c>
    </row>
    <row r="2621" ht="15.75" customHeight="1">
      <c r="A26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1" s="163" t="str">
        <f>IF(AND('Resource Planner'!$A$62="☑",17&lt;='Resource Planner'!$N$62),'Resource Planner'!$C$62,"")</f>
        <v/>
      </c>
      <c r="C2621" s="163" t="str">
        <f>IF(AND('Resource Planner'!$A$62="☑",17&lt;='Resource Planner'!$N$62),'Resource Planner'!$B$62,"")</f>
        <v/>
      </c>
      <c r="D2621" s="163" t="str">
        <f>IF(AND('Resource Planner'!$A$62="☑",17&lt;='Resource Planner'!$N$62),'Resource Planner'!$D$62,"")</f>
        <v/>
      </c>
      <c r="E2621" s="163" t="str">
        <f>IF(AND('Resource Planner'!$A$62="☑",17&lt;='Resource Planner'!$N$62),'Resource Planner'!$E$62,"")</f>
        <v/>
      </c>
      <c r="F2621" s="163" t="str">
        <f>IF(AND('Resource Planner'!$A$62="☑",17&lt;='Resource Planner'!$N$62),'Resource Planner'!$F$62&amp;" "&amp;('Resource Planner'!$G$62+(17-1)*'Resource Planner'!$I$62)&amp;IF(('Resource Planner'!$G$62+(17-1)*'Resource Planner'!$I$62)=MIN('Resource Planner'!$G$62+17*'Resource Planner'!$I$62-1,'Resource Planner'!$H$62),"","–"&amp;MIN('Resource Planner'!$G$62+17*'Resource Planner'!$I$62-1,'Resource Planner'!$H$62)),"")</f>
        <v/>
      </c>
      <c r="G2621" s="163" t="s">
        <v>109</v>
      </c>
      <c r="H2621" s="163" t="str">
        <f>IF(AND('Resource Planner'!$A$62="☑",17&lt;='Resource Planner'!$N$62),'Resource Planner'!$M$62,"")</f>
        <v/>
      </c>
    </row>
    <row r="2622" ht="15.75" customHeight="1">
      <c r="A26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2" s="163" t="str">
        <f>IF(AND('Resource Planner'!$A$62="☑",18&lt;='Resource Planner'!$N$62),'Resource Planner'!$C$62,"")</f>
        <v/>
      </c>
      <c r="C2622" s="163" t="str">
        <f>IF(AND('Resource Planner'!$A$62="☑",18&lt;='Resource Planner'!$N$62),'Resource Planner'!$B$62,"")</f>
        <v/>
      </c>
      <c r="D2622" s="163" t="str">
        <f>IF(AND('Resource Planner'!$A$62="☑",18&lt;='Resource Planner'!$N$62),'Resource Planner'!$D$62,"")</f>
        <v/>
      </c>
      <c r="E2622" s="163" t="str">
        <f>IF(AND('Resource Planner'!$A$62="☑",18&lt;='Resource Planner'!$N$62),'Resource Planner'!$E$62,"")</f>
        <v/>
      </c>
      <c r="F2622" s="163" t="str">
        <f>IF(AND('Resource Planner'!$A$62="☑",18&lt;='Resource Planner'!$N$62),'Resource Planner'!$F$62&amp;" "&amp;('Resource Planner'!$G$62+(18-1)*'Resource Planner'!$I$62)&amp;IF(('Resource Planner'!$G$62+(18-1)*'Resource Planner'!$I$62)=MIN('Resource Planner'!$G$62+18*'Resource Planner'!$I$62-1,'Resource Planner'!$H$62),"","–"&amp;MIN('Resource Planner'!$G$62+18*'Resource Planner'!$I$62-1,'Resource Planner'!$H$62)),"")</f>
        <v/>
      </c>
      <c r="G2622" s="163" t="s">
        <v>109</v>
      </c>
      <c r="H2622" s="163" t="str">
        <f>IF(AND('Resource Planner'!$A$62="☑",18&lt;='Resource Planner'!$N$62),'Resource Planner'!$M$62,"")</f>
        <v/>
      </c>
    </row>
    <row r="2623" ht="15.75" customHeight="1">
      <c r="A26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3" s="163" t="str">
        <f>IF(AND('Resource Planner'!$A$62="☑",19&lt;='Resource Planner'!$N$62),'Resource Planner'!$C$62,"")</f>
        <v/>
      </c>
      <c r="C2623" s="163" t="str">
        <f>IF(AND('Resource Planner'!$A$62="☑",19&lt;='Resource Planner'!$N$62),'Resource Planner'!$B$62,"")</f>
        <v/>
      </c>
      <c r="D2623" s="163" t="str">
        <f>IF(AND('Resource Planner'!$A$62="☑",19&lt;='Resource Planner'!$N$62),'Resource Planner'!$D$62,"")</f>
        <v/>
      </c>
      <c r="E2623" s="163" t="str">
        <f>IF(AND('Resource Planner'!$A$62="☑",19&lt;='Resource Planner'!$N$62),'Resource Planner'!$E$62,"")</f>
        <v/>
      </c>
      <c r="F2623" s="163" t="str">
        <f>IF(AND('Resource Planner'!$A$62="☑",19&lt;='Resource Planner'!$N$62),'Resource Planner'!$F$62&amp;" "&amp;('Resource Planner'!$G$62+(19-1)*'Resource Planner'!$I$62)&amp;IF(('Resource Planner'!$G$62+(19-1)*'Resource Planner'!$I$62)=MIN('Resource Planner'!$G$62+19*'Resource Planner'!$I$62-1,'Resource Planner'!$H$62),"","–"&amp;MIN('Resource Planner'!$G$62+19*'Resource Planner'!$I$62-1,'Resource Planner'!$H$62)),"")</f>
        <v/>
      </c>
      <c r="G2623" s="163" t="s">
        <v>109</v>
      </c>
      <c r="H2623" s="163" t="str">
        <f>IF(AND('Resource Planner'!$A$62="☑",19&lt;='Resource Planner'!$N$62),'Resource Planner'!$M$62,"")</f>
        <v/>
      </c>
    </row>
    <row r="2624" ht="15.75" customHeight="1">
      <c r="A26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4" s="163" t="str">
        <f>IF(AND('Resource Planner'!$A$62="☑",20&lt;='Resource Planner'!$N$62),'Resource Planner'!$C$62,"")</f>
        <v/>
      </c>
      <c r="C2624" s="163" t="str">
        <f>IF(AND('Resource Planner'!$A$62="☑",20&lt;='Resource Planner'!$N$62),'Resource Planner'!$B$62,"")</f>
        <v/>
      </c>
      <c r="D2624" s="163" t="str">
        <f>IF(AND('Resource Planner'!$A$62="☑",20&lt;='Resource Planner'!$N$62),'Resource Planner'!$D$62,"")</f>
        <v/>
      </c>
      <c r="E2624" s="163" t="str">
        <f>IF(AND('Resource Planner'!$A$62="☑",20&lt;='Resource Planner'!$N$62),'Resource Planner'!$E$62,"")</f>
        <v/>
      </c>
      <c r="F2624" s="163" t="str">
        <f>IF(AND('Resource Planner'!$A$62="☑",20&lt;='Resource Planner'!$N$62),'Resource Planner'!$F$62&amp;" "&amp;('Resource Planner'!$G$62+(20-1)*'Resource Planner'!$I$62)&amp;IF(('Resource Planner'!$G$62+(20-1)*'Resource Planner'!$I$62)=MIN('Resource Planner'!$G$62+20*'Resource Planner'!$I$62-1,'Resource Planner'!$H$62),"","–"&amp;MIN('Resource Planner'!$G$62+20*'Resource Planner'!$I$62-1,'Resource Planner'!$H$62)),"")</f>
        <v/>
      </c>
      <c r="G2624" s="163" t="s">
        <v>109</v>
      </c>
      <c r="H2624" s="163" t="str">
        <f>IF(AND('Resource Planner'!$A$62="☑",20&lt;='Resource Planner'!$N$62),'Resource Planner'!$M$62,"")</f>
        <v/>
      </c>
    </row>
    <row r="2625" ht="15.75" customHeight="1">
      <c r="A26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5" s="163" t="str">
        <f>IF(AND('Resource Planner'!$A$62="☑",21&lt;='Resource Planner'!$N$62),'Resource Planner'!$C$62,"")</f>
        <v/>
      </c>
      <c r="C2625" s="163" t="str">
        <f>IF(AND('Resource Planner'!$A$62="☑",21&lt;='Resource Planner'!$N$62),'Resource Planner'!$B$62,"")</f>
        <v/>
      </c>
      <c r="D2625" s="163" t="str">
        <f>IF(AND('Resource Planner'!$A$62="☑",21&lt;='Resource Planner'!$N$62),'Resource Planner'!$D$62,"")</f>
        <v/>
      </c>
      <c r="E2625" s="163" t="str">
        <f>IF(AND('Resource Planner'!$A$62="☑",21&lt;='Resource Planner'!$N$62),'Resource Planner'!$E$62,"")</f>
        <v/>
      </c>
      <c r="F2625" s="163" t="str">
        <f>IF(AND('Resource Planner'!$A$62="☑",21&lt;='Resource Planner'!$N$62),'Resource Planner'!$F$62&amp;" "&amp;('Resource Planner'!$G$62+(21-1)*'Resource Planner'!$I$62)&amp;IF(('Resource Planner'!$G$62+(21-1)*'Resource Planner'!$I$62)=MIN('Resource Planner'!$G$62+21*'Resource Planner'!$I$62-1,'Resource Planner'!$H$62),"","–"&amp;MIN('Resource Planner'!$G$62+21*'Resource Planner'!$I$62-1,'Resource Planner'!$H$62)),"")</f>
        <v/>
      </c>
      <c r="G2625" s="163" t="s">
        <v>109</v>
      </c>
      <c r="H2625" s="163" t="str">
        <f>IF(AND('Resource Planner'!$A$62="☑",21&lt;='Resource Planner'!$N$62),'Resource Planner'!$M$62,"")</f>
        <v/>
      </c>
    </row>
    <row r="2626" ht="15.75" customHeight="1">
      <c r="A26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6" s="163" t="str">
        <f>IF(AND('Resource Planner'!$A$62="☑",22&lt;='Resource Planner'!$N$62),'Resource Planner'!$C$62,"")</f>
        <v/>
      </c>
      <c r="C2626" s="163" t="str">
        <f>IF(AND('Resource Planner'!$A$62="☑",22&lt;='Resource Planner'!$N$62),'Resource Planner'!$B$62,"")</f>
        <v/>
      </c>
      <c r="D2626" s="163" t="str">
        <f>IF(AND('Resource Planner'!$A$62="☑",22&lt;='Resource Planner'!$N$62),'Resource Planner'!$D$62,"")</f>
        <v/>
      </c>
      <c r="E2626" s="163" t="str">
        <f>IF(AND('Resource Planner'!$A$62="☑",22&lt;='Resource Planner'!$N$62),'Resource Planner'!$E$62,"")</f>
        <v/>
      </c>
      <c r="F2626" s="163" t="str">
        <f>IF(AND('Resource Planner'!$A$62="☑",22&lt;='Resource Planner'!$N$62),'Resource Planner'!$F$62&amp;" "&amp;('Resource Planner'!$G$62+(22-1)*'Resource Planner'!$I$62)&amp;IF(('Resource Planner'!$G$62+(22-1)*'Resource Planner'!$I$62)=MIN('Resource Planner'!$G$62+22*'Resource Planner'!$I$62-1,'Resource Planner'!$H$62),"","–"&amp;MIN('Resource Planner'!$G$62+22*'Resource Planner'!$I$62-1,'Resource Planner'!$H$62)),"")</f>
        <v/>
      </c>
      <c r="G2626" s="163" t="s">
        <v>109</v>
      </c>
      <c r="H2626" s="163" t="str">
        <f>IF(AND('Resource Planner'!$A$62="☑",22&lt;='Resource Planner'!$N$62),'Resource Planner'!$M$62,"")</f>
        <v/>
      </c>
    </row>
    <row r="2627" ht="15.75" customHeight="1">
      <c r="A26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7" s="163" t="str">
        <f>IF(AND('Resource Planner'!$A$62="☑",23&lt;='Resource Planner'!$N$62),'Resource Planner'!$C$62,"")</f>
        <v/>
      </c>
      <c r="C2627" s="163" t="str">
        <f>IF(AND('Resource Planner'!$A$62="☑",23&lt;='Resource Planner'!$N$62),'Resource Planner'!$B$62,"")</f>
        <v/>
      </c>
      <c r="D2627" s="163" t="str">
        <f>IF(AND('Resource Planner'!$A$62="☑",23&lt;='Resource Planner'!$N$62),'Resource Planner'!$D$62,"")</f>
        <v/>
      </c>
      <c r="E2627" s="163" t="str">
        <f>IF(AND('Resource Planner'!$A$62="☑",23&lt;='Resource Planner'!$N$62),'Resource Planner'!$E$62,"")</f>
        <v/>
      </c>
      <c r="F2627" s="163" t="str">
        <f>IF(AND('Resource Planner'!$A$62="☑",23&lt;='Resource Planner'!$N$62),'Resource Planner'!$F$62&amp;" "&amp;('Resource Planner'!$G$62+(23-1)*'Resource Planner'!$I$62)&amp;IF(('Resource Planner'!$G$62+(23-1)*'Resource Planner'!$I$62)=MIN('Resource Planner'!$G$62+23*'Resource Planner'!$I$62-1,'Resource Planner'!$H$62),"","–"&amp;MIN('Resource Planner'!$G$62+23*'Resource Planner'!$I$62-1,'Resource Planner'!$H$62)),"")</f>
        <v/>
      </c>
      <c r="G2627" s="163" t="s">
        <v>109</v>
      </c>
      <c r="H2627" s="163" t="str">
        <f>IF(AND('Resource Planner'!$A$62="☑",23&lt;='Resource Planner'!$N$62),'Resource Planner'!$M$62,"")</f>
        <v/>
      </c>
    </row>
    <row r="2628" ht="15.75" customHeight="1">
      <c r="A26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8" s="163" t="str">
        <f>IF(AND('Resource Planner'!$A$62="☑",24&lt;='Resource Planner'!$N$62),'Resource Planner'!$C$62,"")</f>
        <v/>
      </c>
      <c r="C2628" s="163" t="str">
        <f>IF(AND('Resource Planner'!$A$62="☑",24&lt;='Resource Planner'!$N$62),'Resource Planner'!$B$62,"")</f>
        <v/>
      </c>
      <c r="D2628" s="163" t="str">
        <f>IF(AND('Resource Planner'!$A$62="☑",24&lt;='Resource Planner'!$N$62),'Resource Planner'!$D$62,"")</f>
        <v/>
      </c>
      <c r="E2628" s="163" t="str">
        <f>IF(AND('Resource Planner'!$A$62="☑",24&lt;='Resource Planner'!$N$62),'Resource Planner'!$E$62,"")</f>
        <v/>
      </c>
      <c r="F2628" s="163" t="str">
        <f>IF(AND('Resource Planner'!$A$62="☑",24&lt;='Resource Planner'!$N$62),'Resource Planner'!$F$62&amp;" "&amp;('Resource Planner'!$G$62+(24-1)*'Resource Planner'!$I$62)&amp;IF(('Resource Planner'!$G$62+(24-1)*'Resource Planner'!$I$62)=MIN('Resource Planner'!$G$62+24*'Resource Planner'!$I$62-1,'Resource Planner'!$H$62),"","–"&amp;MIN('Resource Planner'!$G$62+24*'Resource Planner'!$I$62-1,'Resource Planner'!$H$62)),"")</f>
        <v/>
      </c>
      <c r="G2628" s="163" t="s">
        <v>109</v>
      </c>
      <c r="H2628" s="163" t="str">
        <f>IF(AND('Resource Planner'!$A$62="☑",24&lt;='Resource Planner'!$N$62),'Resource Planner'!$M$62,"")</f>
        <v/>
      </c>
    </row>
    <row r="2629" ht="15.75" customHeight="1">
      <c r="A26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29" s="163" t="str">
        <f>IF(AND('Resource Planner'!$A$62="☑",25&lt;='Resource Planner'!$N$62),'Resource Planner'!$C$62,"")</f>
        <v/>
      </c>
      <c r="C2629" s="163" t="str">
        <f>IF(AND('Resource Planner'!$A$62="☑",25&lt;='Resource Planner'!$N$62),'Resource Planner'!$B$62,"")</f>
        <v/>
      </c>
      <c r="D2629" s="163" t="str">
        <f>IF(AND('Resource Planner'!$A$62="☑",25&lt;='Resource Planner'!$N$62),'Resource Planner'!$D$62,"")</f>
        <v/>
      </c>
      <c r="E2629" s="163" t="str">
        <f>IF(AND('Resource Planner'!$A$62="☑",25&lt;='Resource Planner'!$N$62),'Resource Planner'!$E$62,"")</f>
        <v/>
      </c>
      <c r="F2629" s="163" t="str">
        <f>IF(AND('Resource Planner'!$A$62="☑",25&lt;='Resource Planner'!$N$62),'Resource Planner'!$F$62&amp;" "&amp;('Resource Planner'!$G$62+(25-1)*'Resource Planner'!$I$62)&amp;IF(('Resource Planner'!$G$62+(25-1)*'Resource Planner'!$I$62)=MIN('Resource Planner'!$G$62+25*'Resource Planner'!$I$62-1,'Resource Planner'!$H$62),"","–"&amp;MIN('Resource Planner'!$G$62+25*'Resource Planner'!$I$62-1,'Resource Planner'!$H$62)),"")</f>
        <v/>
      </c>
      <c r="G2629" s="163" t="s">
        <v>109</v>
      </c>
      <c r="H2629" s="163" t="str">
        <f>IF(AND('Resource Planner'!$A$62="☑",25&lt;='Resource Planner'!$N$62),'Resource Planner'!$M$62,"")</f>
        <v/>
      </c>
    </row>
    <row r="2630" ht="15.75" customHeight="1">
      <c r="A26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0" s="163" t="str">
        <f>IF(AND('Resource Planner'!$A$62="☑",26&lt;='Resource Planner'!$N$62),'Resource Planner'!$C$62,"")</f>
        <v/>
      </c>
      <c r="C2630" s="163" t="str">
        <f>IF(AND('Resource Planner'!$A$62="☑",26&lt;='Resource Planner'!$N$62),'Resource Planner'!$B$62,"")</f>
        <v/>
      </c>
      <c r="D2630" s="163" t="str">
        <f>IF(AND('Resource Planner'!$A$62="☑",26&lt;='Resource Planner'!$N$62),'Resource Planner'!$D$62,"")</f>
        <v/>
      </c>
      <c r="E2630" s="163" t="str">
        <f>IF(AND('Resource Planner'!$A$62="☑",26&lt;='Resource Planner'!$N$62),'Resource Planner'!$E$62,"")</f>
        <v/>
      </c>
      <c r="F2630" s="163" t="str">
        <f>IF(AND('Resource Planner'!$A$62="☑",26&lt;='Resource Planner'!$N$62),'Resource Planner'!$F$62&amp;" "&amp;('Resource Planner'!$G$62+(26-1)*'Resource Planner'!$I$62)&amp;IF(('Resource Planner'!$G$62+(26-1)*'Resource Planner'!$I$62)=MIN('Resource Planner'!$G$62+26*'Resource Planner'!$I$62-1,'Resource Planner'!$H$62),"","–"&amp;MIN('Resource Planner'!$G$62+26*'Resource Planner'!$I$62-1,'Resource Planner'!$H$62)),"")</f>
        <v/>
      </c>
      <c r="G2630" s="163" t="s">
        <v>109</v>
      </c>
      <c r="H2630" s="163" t="str">
        <f>IF(AND('Resource Planner'!$A$62="☑",26&lt;='Resource Planner'!$N$62),'Resource Planner'!$M$62,"")</f>
        <v/>
      </c>
    </row>
    <row r="2631" ht="15.75" customHeight="1">
      <c r="A26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1" s="163" t="str">
        <f>IF(AND('Resource Planner'!$A$62="☑",27&lt;='Resource Planner'!$N$62),'Resource Planner'!$C$62,"")</f>
        <v/>
      </c>
      <c r="C2631" s="163" t="str">
        <f>IF(AND('Resource Planner'!$A$62="☑",27&lt;='Resource Planner'!$N$62),'Resource Planner'!$B$62,"")</f>
        <v/>
      </c>
      <c r="D2631" s="163" t="str">
        <f>IF(AND('Resource Planner'!$A$62="☑",27&lt;='Resource Planner'!$N$62),'Resource Planner'!$D$62,"")</f>
        <v/>
      </c>
      <c r="E2631" s="163" t="str">
        <f>IF(AND('Resource Planner'!$A$62="☑",27&lt;='Resource Planner'!$N$62),'Resource Planner'!$E$62,"")</f>
        <v/>
      </c>
      <c r="F2631" s="163" t="str">
        <f>IF(AND('Resource Planner'!$A$62="☑",27&lt;='Resource Planner'!$N$62),'Resource Planner'!$F$62&amp;" "&amp;('Resource Planner'!$G$62+(27-1)*'Resource Planner'!$I$62)&amp;IF(('Resource Planner'!$G$62+(27-1)*'Resource Planner'!$I$62)=MIN('Resource Planner'!$G$62+27*'Resource Planner'!$I$62-1,'Resource Planner'!$H$62),"","–"&amp;MIN('Resource Planner'!$G$62+27*'Resource Planner'!$I$62-1,'Resource Planner'!$H$62)),"")</f>
        <v/>
      </c>
      <c r="G2631" s="163" t="s">
        <v>109</v>
      </c>
      <c r="H2631" s="163" t="str">
        <f>IF(AND('Resource Planner'!$A$62="☑",27&lt;='Resource Planner'!$N$62),'Resource Planner'!$M$62,"")</f>
        <v/>
      </c>
    </row>
    <row r="2632" ht="15.75" customHeight="1">
      <c r="A26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2" s="163" t="str">
        <f>IF(AND('Resource Planner'!$A$62="☑",28&lt;='Resource Planner'!$N$62),'Resource Planner'!$C$62,"")</f>
        <v/>
      </c>
      <c r="C2632" s="163" t="str">
        <f>IF(AND('Resource Planner'!$A$62="☑",28&lt;='Resource Planner'!$N$62),'Resource Planner'!$B$62,"")</f>
        <v/>
      </c>
      <c r="D2632" s="163" t="str">
        <f>IF(AND('Resource Planner'!$A$62="☑",28&lt;='Resource Planner'!$N$62),'Resource Planner'!$D$62,"")</f>
        <v/>
      </c>
      <c r="E2632" s="163" t="str">
        <f>IF(AND('Resource Planner'!$A$62="☑",28&lt;='Resource Planner'!$N$62),'Resource Planner'!$E$62,"")</f>
        <v/>
      </c>
      <c r="F2632" s="163" t="str">
        <f>IF(AND('Resource Planner'!$A$62="☑",28&lt;='Resource Planner'!$N$62),'Resource Planner'!$F$62&amp;" "&amp;('Resource Planner'!$G$62+(28-1)*'Resource Planner'!$I$62)&amp;IF(('Resource Planner'!$G$62+(28-1)*'Resource Planner'!$I$62)=MIN('Resource Planner'!$G$62+28*'Resource Planner'!$I$62-1,'Resource Planner'!$H$62),"","–"&amp;MIN('Resource Planner'!$G$62+28*'Resource Planner'!$I$62-1,'Resource Planner'!$H$62)),"")</f>
        <v/>
      </c>
      <c r="G2632" s="163" t="s">
        <v>109</v>
      </c>
      <c r="H2632" s="163" t="str">
        <f>IF(AND('Resource Planner'!$A$62="☑",28&lt;='Resource Planner'!$N$62),'Resource Planner'!$M$62,"")</f>
        <v/>
      </c>
    </row>
    <row r="2633" ht="15.75" customHeight="1">
      <c r="A26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3" s="163" t="str">
        <f>IF(AND('Resource Planner'!$A$62="☑",29&lt;='Resource Planner'!$N$62),'Resource Planner'!$C$62,"")</f>
        <v/>
      </c>
      <c r="C2633" s="163" t="str">
        <f>IF(AND('Resource Planner'!$A$62="☑",29&lt;='Resource Planner'!$N$62),'Resource Planner'!$B$62,"")</f>
        <v/>
      </c>
      <c r="D2633" s="163" t="str">
        <f>IF(AND('Resource Planner'!$A$62="☑",29&lt;='Resource Planner'!$N$62),'Resource Planner'!$D$62,"")</f>
        <v/>
      </c>
      <c r="E2633" s="163" t="str">
        <f>IF(AND('Resource Planner'!$A$62="☑",29&lt;='Resource Planner'!$N$62),'Resource Planner'!$E$62,"")</f>
        <v/>
      </c>
      <c r="F2633" s="163" t="str">
        <f>IF(AND('Resource Planner'!$A$62="☑",29&lt;='Resource Planner'!$N$62),'Resource Planner'!$F$62&amp;" "&amp;('Resource Planner'!$G$62+(29-1)*'Resource Planner'!$I$62)&amp;IF(('Resource Planner'!$G$62+(29-1)*'Resource Planner'!$I$62)=MIN('Resource Planner'!$G$62+29*'Resource Planner'!$I$62-1,'Resource Planner'!$H$62),"","–"&amp;MIN('Resource Planner'!$G$62+29*'Resource Planner'!$I$62-1,'Resource Planner'!$H$62)),"")</f>
        <v/>
      </c>
      <c r="G2633" s="163" t="s">
        <v>109</v>
      </c>
      <c r="H2633" s="163" t="str">
        <f>IF(AND('Resource Planner'!$A$62="☑",29&lt;='Resource Planner'!$N$62),'Resource Planner'!$M$62,"")</f>
        <v/>
      </c>
    </row>
    <row r="2634" ht="15.75" customHeight="1">
      <c r="A26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4" s="163" t="str">
        <f>IF(AND('Resource Planner'!$A$62="☑",30&lt;='Resource Planner'!$N$62),'Resource Planner'!$C$62,"")</f>
        <v/>
      </c>
      <c r="C2634" s="163" t="str">
        <f>IF(AND('Resource Planner'!$A$62="☑",30&lt;='Resource Planner'!$N$62),'Resource Planner'!$B$62,"")</f>
        <v/>
      </c>
      <c r="D2634" s="163" t="str">
        <f>IF(AND('Resource Planner'!$A$62="☑",30&lt;='Resource Planner'!$N$62),'Resource Planner'!$D$62,"")</f>
        <v/>
      </c>
      <c r="E2634" s="163" t="str">
        <f>IF(AND('Resource Planner'!$A$62="☑",30&lt;='Resource Planner'!$N$62),'Resource Planner'!$E$62,"")</f>
        <v/>
      </c>
      <c r="F2634" s="163" t="str">
        <f>IF(AND('Resource Planner'!$A$62="☑",30&lt;='Resource Planner'!$N$62),'Resource Planner'!$F$62&amp;" "&amp;('Resource Planner'!$G$62+(30-1)*'Resource Planner'!$I$62)&amp;IF(('Resource Planner'!$G$62+(30-1)*'Resource Planner'!$I$62)=MIN('Resource Planner'!$G$62+30*'Resource Planner'!$I$62-1,'Resource Planner'!$H$62),"","–"&amp;MIN('Resource Planner'!$G$62+30*'Resource Planner'!$I$62-1,'Resource Planner'!$H$62)),"")</f>
        <v/>
      </c>
      <c r="G2634" s="163" t="s">
        <v>109</v>
      </c>
      <c r="H2634" s="163" t="str">
        <f>IF(AND('Resource Planner'!$A$62="☑",30&lt;='Resource Planner'!$N$62),'Resource Planner'!$M$62,"")</f>
        <v/>
      </c>
    </row>
    <row r="2635" ht="15.75" customHeight="1">
      <c r="A26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5" s="163" t="str">
        <f>IF(AND('Resource Planner'!$A$62="☑",31&lt;='Resource Planner'!$N$62),'Resource Planner'!$C$62,"")</f>
        <v/>
      </c>
      <c r="C2635" s="163" t="str">
        <f>IF(AND('Resource Planner'!$A$62="☑",31&lt;='Resource Planner'!$N$62),'Resource Planner'!$B$62,"")</f>
        <v/>
      </c>
      <c r="D2635" s="163" t="str">
        <f>IF(AND('Resource Planner'!$A$62="☑",31&lt;='Resource Planner'!$N$62),'Resource Planner'!$D$62,"")</f>
        <v/>
      </c>
      <c r="E2635" s="163" t="str">
        <f>IF(AND('Resource Planner'!$A$62="☑",31&lt;='Resource Planner'!$N$62),'Resource Planner'!$E$62,"")</f>
        <v/>
      </c>
      <c r="F2635" s="163" t="str">
        <f>IF(AND('Resource Planner'!$A$62="☑",31&lt;='Resource Planner'!$N$62),'Resource Planner'!$F$62&amp;" "&amp;('Resource Planner'!$G$62+(31-1)*'Resource Planner'!$I$62)&amp;IF(('Resource Planner'!$G$62+(31-1)*'Resource Planner'!$I$62)=MIN('Resource Planner'!$G$62+31*'Resource Planner'!$I$62-1,'Resource Planner'!$H$62),"","–"&amp;MIN('Resource Planner'!$G$62+31*'Resource Planner'!$I$62-1,'Resource Planner'!$H$62)),"")</f>
        <v/>
      </c>
      <c r="G2635" s="163" t="s">
        <v>109</v>
      </c>
      <c r="H2635" s="163" t="str">
        <f>IF(AND('Resource Planner'!$A$62="☑",31&lt;='Resource Planner'!$N$62),'Resource Planner'!$M$62,"")</f>
        <v/>
      </c>
    </row>
    <row r="2636" ht="15.75" customHeight="1">
      <c r="A26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6" s="163" t="str">
        <f>IF(AND('Resource Planner'!$A$62="☑",32&lt;='Resource Planner'!$N$62),'Resource Planner'!$C$62,"")</f>
        <v/>
      </c>
      <c r="C2636" s="163" t="str">
        <f>IF(AND('Resource Planner'!$A$62="☑",32&lt;='Resource Planner'!$N$62),'Resource Planner'!$B$62,"")</f>
        <v/>
      </c>
      <c r="D2636" s="163" t="str">
        <f>IF(AND('Resource Planner'!$A$62="☑",32&lt;='Resource Planner'!$N$62),'Resource Planner'!$D$62,"")</f>
        <v/>
      </c>
      <c r="E2636" s="163" t="str">
        <f>IF(AND('Resource Planner'!$A$62="☑",32&lt;='Resource Planner'!$N$62),'Resource Planner'!$E$62,"")</f>
        <v/>
      </c>
      <c r="F2636" s="163" t="str">
        <f>IF(AND('Resource Planner'!$A$62="☑",32&lt;='Resource Planner'!$N$62),'Resource Planner'!$F$62&amp;" "&amp;('Resource Planner'!$G$62+(32-1)*'Resource Planner'!$I$62)&amp;IF(('Resource Planner'!$G$62+(32-1)*'Resource Planner'!$I$62)=MIN('Resource Planner'!$G$62+32*'Resource Planner'!$I$62-1,'Resource Planner'!$H$62),"","–"&amp;MIN('Resource Planner'!$G$62+32*'Resource Planner'!$I$62-1,'Resource Planner'!$H$62)),"")</f>
        <v/>
      </c>
      <c r="G2636" s="163" t="s">
        <v>109</v>
      </c>
      <c r="H2636" s="163" t="str">
        <f>IF(AND('Resource Planner'!$A$62="☑",32&lt;='Resource Planner'!$N$62),'Resource Planner'!$M$62,"")</f>
        <v/>
      </c>
    </row>
    <row r="2637" ht="15.75" customHeight="1">
      <c r="A26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7" s="163" t="str">
        <f>IF(AND('Resource Planner'!$A$62="☑",33&lt;='Resource Planner'!$N$62),'Resource Planner'!$C$62,"")</f>
        <v/>
      </c>
      <c r="C2637" s="163" t="str">
        <f>IF(AND('Resource Planner'!$A$62="☑",33&lt;='Resource Planner'!$N$62),'Resource Planner'!$B$62,"")</f>
        <v/>
      </c>
      <c r="D2637" s="163" t="str">
        <f>IF(AND('Resource Planner'!$A$62="☑",33&lt;='Resource Planner'!$N$62),'Resource Planner'!$D$62,"")</f>
        <v/>
      </c>
      <c r="E2637" s="163" t="str">
        <f>IF(AND('Resource Planner'!$A$62="☑",33&lt;='Resource Planner'!$N$62),'Resource Planner'!$E$62,"")</f>
        <v/>
      </c>
      <c r="F2637" s="163" t="str">
        <f>IF(AND('Resource Planner'!$A$62="☑",33&lt;='Resource Planner'!$N$62),'Resource Planner'!$F$62&amp;" "&amp;('Resource Planner'!$G$62+(33-1)*'Resource Planner'!$I$62)&amp;IF(('Resource Planner'!$G$62+(33-1)*'Resource Planner'!$I$62)=MIN('Resource Planner'!$G$62+33*'Resource Planner'!$I$62-1,'Resource Planner'!$H$62),"","–"&amp;MIN('Resource Planner'!$G$62+33*'Resource Planner'!$I$62-1,'Resource Planner'!$H$62)),"")</f>
        <v/>
      </c>
      <c r="G2637" s="163" t="s">
        <v>109</v>
      </c>
      <c r="H2637" s="163" t="str">
        <f>IF(AND('Resource Planner'!$A$62="☑",33&lt;='Resource Planner'!$N$62),'Resource Planner'!$M$62,"")</f>
        <v/>
      </c>
    </row>
    <row r="2638" ht="15.75" customHeight="1">
      <c r="A26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8" s="163" t="str">
        <f>IF(AND('Resource Planner'!$A$62="☑",34&lt;='Resource Planner'!$N$62),'Resource Planner'!$C$62,"")</f>
        <v/>
      </c>
      <c r="C2638" s="163" t="str">
        <f>IF(AND('Resource Planner'!$A$62="☑",34&lt;='Resource Planner'!$N$62),'Resource Planner'!$B$62,"")</f>
        <v/>
      </c>
      <c r="D2638" s="163" t="str">
        <f>IF(AND('Resource Planner'!$A$62="☑",34&lt;='Resource Planner'!$N$62),'Resource Planner'!$D$62,"")</f>
        <v/>
      </c>
      <c r="E2638" s="163" t="str">
        <f>IF(AND('Resource Planner'!$A$62="☑",34&lt;='Resource Planner'!$N$62),'Resource Planner'!$E$62,"")</f>
        <v/>
      </c>
      <c r="F2638" s="163" t="str">
        <f>IF(AND('Resource Planner'!$A$62="☑",34&lt;='Resource Planner'!$N$62),'Resource Planner'!$F$62&amp;" "&amp;('Resource Planner'!$G$62+(34-1)*'Resource Planner'!$I$62)&amp;IF(('Resource Planner'!$G$62+(34-1)*'Resource Planner'!$I$62)=MIN('Resource Planner'!$G$62+34*'Resource Planner'!$I$62-1,'Resource Planner'!$H$62),"","–"&amp;MIN('Resource Planner'!$G$62+34*'Resource Planner'!$I$62-1,'Resource Planner'!$H$62)),"")</f>
        <v/>
      </c>
      <c r="G2638" s="163" t="s">
        <v>109</v>
      </c>
      <c r="H2638" s="163" t="str">
        <f>IF(AND('Resource Planner'!$A$62="☑",34&lt;='Resource Planner'!$N$62),'Resource Planner'!$M$62,"")</f>
        <v/>
      </c>
    </row>
    <row r="2639" ht="15.75" customHeight="1">
      <c r="A26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39" s="163" t="str">
        <f>IF(AND('Resource Planner'!$A$62="☑",35&lt;='Resource Planner'!$N$62),'Resource Planner'!$C$62,"")</f>
        <v/>
      </c>
      <c r="C2639" s="163" t="str">
        <f>IF(AND('Resource Planner'!$A$62="☑",35&lt;='Resource Planner'!$N$62),'Resource Planner'!$B$62,"")</f>
        <v/>
      </c>
      <c r="D2639" s="163" t="str">
        <f>IF(AND('Resource Planner'!$A$62="☑",35&lt;='Resource Planner'!$N$62),'Resource Planner'!$D$62,"")</f>
        <v/>
      </c>
      <c r="E2639" s="163" t="str">
        <f>IF(AND('Resource Planner'!$A$62="☑",35&lt;='Resource Planner'!$N$62),'Resource Planner'!$E$62,"")</f>
        <v/>
      </c>
      <c r="F2639" s="163" t="str">
        <f>IF(AND('Resource Planner'!$A$62="☑",35&lt;='Resource Planner'!$N$62),'Resource Planner'!$F$62&amp;" "&amp;('Resource Planner'!$G$62+(35-1)*'Resource Planner'!$I$62)&amp;IF(('Resource Planner'!$G$62+(35-1)*'Resource Planner'!$I$62)=MIN('Resource Planner'!$G$62+35*'Resource Planner'!$I$62-1,'Resource Planner'!$H$62),"","–"&amp;MIN('Resource Planner'!$G$62+35*'Resource Planner'!$I$62-1,'Resource Planner'!$H$62)),"")</f>
        <v/>
      </c>
      <c r="G2639" s="163" t="s">
        <v>109</v>
      </c>
      <c r="H2639" s="163" t="str">
        <f>IF(AND('Resource Planner'!$A$62="☑",35&lt;='Resource Planner'!$N$62),'Resource Planner'!$M$62,"")</f>
        <v/>
      </c>
    </row>
    <row r="2640" ht="15.75" customHeight="1">
      <c r="A26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0" s="163" t="str">
        <f>IF(AND('Resource Planner'!$A$62="☑",36&lt;='Resource Planner'!$N$62),'Resource Planner'!$C$62,"")</f>
        <v/>
      </c>
      <c r="C2640" s="163" t="str">
        <f>IF(AND('Resource Planner'!$A$62="☑",36&lt;='Resource Planner'!$N$62),'Resource Planner'!$B$62,"")</f>
        <v/>
      </c>
      <c r="D2640" s="163" t="str">
        <f>IF(AND('Resource Planner'!$A$62="☑",36&lt;='Resource Planner'!$N$62),'Resource Planner'!$D$62,"")</f>
        <v/>
      </c>
      <c r="E2640" s="163" t="str">
        <f>IF(AND('Resource Planner'!$A$62="☑",36&lt;='Resource Planner'!$N$62),'Resource Planner'!$E$62,"")</f>
        <v/>
      </c>
      <c r="F2640" s="163" t="str">
        <f>IF(AND('Resource Planner'!$A$62="☑",36&lt;='Resource Planner'!$N$62),'Resource Planner'!$F$62&amp;" "&amp;('Resource Planner'!$G$62+(36-1)*'Resource Planner'!$I$62)&amp;IF(('Resource Planner'!$G$62+(36-1)*'Resource Planner'!$I$62)=MIN('Resource Planner'!$G$62+36*'Resource Planner'!$I$62-1,'Resource Planner'!$H$62),"","–"&amp;MIN('Resource Planner'!$G$62+36*'Resource Planner'!$I$62-1,'Resource Planner'!$H$62)),"")</f>
        <v/>
      </c>
      <c r="G2640" s="163" t="s">
        <v>109</v>
      </c>
      <c r="H2640" s="163" t="str">
        <f>IF(AND('Resource Planner'!$A$62="☑",36&lt;='Resource Planner'!$N$62),'Resource Planner'!$M$62,"")</f>
        <v/>
      </c>
    </row>
    <row r="2641" ht="15.75" customHeight="1">
      <c r="A26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1" s="163" t="str">
        <f>IF(AND('Resource Planner'!$A$62="☑",37&lt;='Resource Planner'!$N$62),'Resource Planner'!$C$62,"")</f>
        <v/>
      </c>
      <c r="C2641" s="163" t="str">
        <f>IF(AND('Resource Planner'!$A$62="☑",37&lt;='Resource Planner'!$N$62),'Resource Planner'!$B$62,"")</f>
        <v/>
      </c>
      <c r="D2641" s="163" t="str">
        <f>IF(AND('Resource Planner'!$A$62="☑",37&lt;='Resource Planner'!$N$62),'Resource Planner'!$D$62,"")</f>
        <v/>
      </c>
      <c r="E2641" s="163" t="str">
        <f>IF(AND('Resource Planner'!$A$62="☑",37&lt;='Resource Planner'!$N$62),'Resource Planner'!$E$62,"")</f>
        <v/>
      </c>
      <c r="F2641" s="163" t="str">
        <f>IF(AND('Resource Planner'!$A$62="☑",37&lt;='Resource Planner'!$N$62),'Resource Planner'!$F$62&amp;" "&amp;('Resource Planner'!$G$62+(37-1)*'Resource Planner'!$I$62)&amp;IF(('Resource Planner'!$G$62+(37-1)*'Resource Planner'!$I$62)=MIN('Resource Planner'!$G$62+37*'Resource Planner'!$I$62-1,'Resource Planner'!$H$62),"","–"&amp;MIN('Resource Planner'!$G$62+37*'Resource Planner'!$I$62-1,'Resource Planner'!$H$62)),"")</f>
        <v/>
      </c>
      <c r="G2641" s="163" t="s">
        <v>109</v>
      </c>
      <c r="H2641" s="163" t="str">
        <f>IF(AND('Resource Planner'!$A$62="☑",37&lt;='Resource Planner'!$N$62),'Resource Planner'!$M$62,"")</f>
        <v/>
      </c>
    </row>
    <row r="2642" ht="15.75" customHeight="1">
      <c r="A26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2" s="163" t="str">
        <f>IF(AND('Resource Planner'!$A$62="☑",38&lt;='Resource Planner'!$N$62),'Resource Planner'!$C$62,"")</f>
        <v/>
      </c>
      <c r="C2642" s="163" t="str">
        <f>IF(AND('Resource Planner'!$A$62="☑",38&lt;='Resource Planner'!$N$62),'Resource Planner'!$B$62,"")</f>
        <v/>
      </c>
      <c r="D2642" s="163" t="str">
        <f>IF(AND('Resource Planner'!$A$62="☑",38&lt;='Resource Planner'!$N$62),'Resource Planner'!$D$62,"")</f>
        <v/>
      </c>
      <c r="E2642" s="163" t="str">
        <f>IF(AND('Resource Planner'!$A$62="☑",38&lt;='Resource Planner'!$N$62),'Resource Planner'!$E$62,"")</f>
        <v/>
      </c>
      <c r="F2642" s="163" t="str">
        <f>IF(AND('Resource Planner'!$A$62="☑",38&lt;='Resource Planner'!$N$62),'Resource Planner'!$F$62&amp;" "&amp;('Resource Planner'!$G$62+(38-1)*'Resource Planner'!$I$62)&amp;IF(('Resource Planner'!$G$62+(38-1)*'Resource Planner'!$I$62)=MIN('Resource Planner'!$G$62+38*'Resource Planner'!$I$62-1,'Resource Planner'!$H$62),"","–"&amp;MIN('Resource Planner'!$G$62+38*'Resource Planner'!$I$62-1,'Resource Planner'!$H$62)),"")</f>
        <v/>
      </c>
      <c r="G2642" s="163" t="s">
        <v>109</v>
      </c>
      <c r="H2642" s="163" t="str">
        <f>IF(AND('Resource Planner'!$A$62="☑",38&lt;='Resource Planner'!$N$62),'Resource Planner'!$M$62,"")</f>
        <v/>
      </c>
    </row>
    <row r="2643" ht="15.75" customHeight="1">
      <c r="A26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3" s="163" t="str">
        <f>IF(AND('Resource Planner'!$A$62="☑",39&lt;='Resource Planner'!$N$62),'Resource Planner'!$C$62,"")</f>
        <v/>
      </c>
      <c r="C2643" s="163" t="str">
        <f>IF(AND('Resource Planner'!$A$62="☑",39&lt;='Resource Planner'!$N$62),'Resource Planner'!$B$62,"")</f>
        <v/>
      </c>
      <c r="D2643" s="163" t="str">
        <f>IF(AND('Resource Planner'!$A$62="☑",39&lt;='Resource Planner'!$N$62),'Resource Planner'!$D$62,"")</f>
        <v/>
      </c>
      <c r="E2643" s="163" t="str">
        <f>IF(AND('Resource Planner'!$A$62="☑",39&lt;='Resource Planner'!$N$62),'Resource Planner'!$E$62,"")</f>
        <v/>
      </c>
      <c r="F2643" s="163" t="str">
        <f>IF(AND('Resource Planner'!$A$62="☑",39&lt;='Resource Planner'!$N$62),'Resource Planner'!$F$62&amp;" "&amp;('Resource Planner'!$G$62+(39-1)*'Resource Planner'!$I$62)&amp;IF(('Resource Planner'!$G$62+(39-1)*'Resource Planner'!$I$62)=MIN('Resource Planner'!$G$62+39*'Resource Planner'!$I$62-1,'Resource Planner'!$H$62),"","–"&amp;MIN('Resource Planner'!$G$62+39*'Resource Planner'!$I$62-1,'Resource Planner'!$H$62)),"")</f>
        <v/>
      </c>
      <c r="G2643" s="163" t="s">
        <v>109</v>
      </c>
      <c r="H2643" s="163" t="str">
        <f>IF(AND('Resource Planner'!$A$62="☑",39&lt;='Resource Planner'!$N$62),'Resource Planner'!$M$62,"")</f>
        <v/>
      </c>
    </row>
    <row r="2644" ht="15.75" customHeight="1">
      <c r="A26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4" s="163" t="str">
        <f>IF(AND('Resource Planner'!$A$62="☑",40&lt;='Resource Planner'!$N$62),'Resource Planner'!$C$62,"")</f>
        <v/>
      </c>
      <c r="C2644" s="163" t="str">
        <f>IF(AND('Resource Planner'!$A$62="☑",40&lt;='Resource Planner'!$N$62),'Resource Planner'!$B$62,"")</f>
        <v/>
      </c>
      <c r="D2644" s="163" t="str">
        <f>IF(AND('Resource Planner'!$A$62="☑",40&lt;='Resource Planner'!$N$62),'Resource Planner'!$D$62,"")</f>
        <v/>
      </c>
      <c r="E2644" s="163" t="str">
        <f>IF(AND('Resource Planner'!$A$62="☑",40&lt;='Resource Planner'!$N$62),'Resource Planner'!$E$62,"")</f>
        <v/>
      </c>
      <c r="F2644" s="163" t="str">
        <f>IF(AND('Resource Planner'!$A$62="☑",40&lt;='Resource Planner'!$N$62),'Resource Planner'!$F$62&amp;" "&amp;('Resource Planner'!$G$62+(40-1)*'Resource Planner'!$I$62)&amp;IF(('Resource Planner'!$G$62+(40-1)*'Resource Planner'!$I$62)=MIN('Resource Planner'!$G$62+40*'Resource Planner'!$I$62-1,'Resource Planner'!$H$62),"","–"&amp;MIN('Resource Planner'!$G$62+40*'Resource Planner'!$I$62-1,'Resource Planner'!$H$62)),"")</f>
        <v/>
      </c>
      <c r="G2644" s="163" t="s">
        <v>109</v>
      </c>
      <c r="H2644" s="163" t="str">
        <f>IF(AND('Resource Planner'!$A$62="☑",40&lt;='Resource Planner'!$N$62),'Resource Planner'!$M$62,"")</f>
        <v/>
      </c>
    </row>
    <row r="2645" ht="15.75" customHeight="1">
      <c r="A26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5" s="163" t="str">
        <f>IF(AND('Resource Planner'!$A$62="☑",41&lt;='Resource Planner'!$N$62),'Resource Planner'!$C$62,"")</f>
        <v/>
      </c>
      <c r="C2645" s="163" t="str">
        <f>IF(AND('Resource Planner'!$A$62="☑",41&lt;='Resource Planner'!$N$62),'Resource Planner'!$B$62,"")</f>
        <v/>
      </c>
      <c r="D2645" s="163" t="str">
        <f>IF(AND('Resource Planner'!$A$62="☑",41&lt;='Resource Planner'!$N$62),'Resource Planner'!$D$62,"")</f>
        <v/>
      </c>
      <c r="E2645" s="163" t="str">
        <f>IF(AND('Resource Planner'!$A$62="☑",41&lt;='Resource Planner'!$N$62),'Resource Planner'!$E$62,"")</f>
        <v/>
      </c>
      <c r="F2645" s="163" t="str">
        <f>IF(AND('Resource Planner'!$A$62="☑",41&lt;='Resource Planner'!$N$62),'Resource Planner'!$F$62&amp;" "&amp;('Resource Planner'!$G$62+(41-1)*'Resource Planner'!$I$62)&amp;IF(('Resource Planner'!$G$62+(41-1)*'Resource Planner'!$I$62)=MIN('Resource Planner'!$G$62+41*'Resource Planner'!$I$62-1,'Resource Planner'!$H$62),"","–"&amp;MIN('Resource Planner'!$G$62+41*'Resource Planner'!$I$62-1,'Resource Planner'!$H$62)),"")</f>
        <v/>
      </c>
      <c r="G2645" s="163" t="s">
        <v>109</v>
      </c>
      <c r="H2645" s="163" t="str">
        <f>IF(AND('Resource Planner'!$A$62="☑",41&lt;='Resource Planner'!$N$62),'Resource Planner'!$M$62,"")</f>
        <v/>
      </c>
    </row>
    <row r="2646" ht="15.75" customHeight="1">
      <c r="A26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6" s="163" t="str">
        <f>IF(AND('Resource Planner'!$A$62="☑",42&lt;='Resource Planner'!$N$62),'Resource Planner'!$C$62,"")</f>
        <v/>
      </c>
      <c r="C2646" s="163" t="str">
        <f>IF(AND('Resource Planner'!$A$62="☑",42&lt;='Resource Planner'!$N$62),'Resource Planner'!$B$62,"")</f>
        <v/>
      </c>
      <c r="D2646" s="163" t="str">
        <f>IF(AND('Resource Planner'!$A$62="☑",42&lt;='Resource Planner'!$N$62),'Resource Planner'!$D$62,"")</f>
        <v/>
      </c>
      <c r="E2646" s="163" t="str">
        <f>IF(AND('Resource Planner'!$A$62="☑",42&lt;='Resource Planner'!$N$62),'Resource Planner'!$E$62,"")</f>
        <v/>
      </c>
      <c r="F2646" s="163" t="str">
        <f>IF(AND('Resource Planner'!$A$62="☑",42&lt;='Resource Planner'!$N$62),'Resource Planner'!$F$62&amp;" "&amp;('Resource Planner'!$G$62+(42-1)*'Resource Planner'!$I$62)&amp;IF(('Resource Planner'!$G$62+(42-1)*'Resource Planner'!$I$62)=MIN('Resource Planner'!$G$62+42*'Resource Planner'!$I$62-1,'Resource Planner'!$H$62),"","–"&amp;MIN('Resource Planner'!$G$62+42*'Resource Planner'!$I$62-1,'Resource Planner'!$H$62)),"")</f>
        <v/>
      </c>
      <c r="G2646" s="163" t="s">
        <v>109</v>
      </c>
      <c r="H2646" s="163" t="str">
        <f>IF(AND('Resource Planner'!$A$62="☑",42&lt;='Resource Planner'!$N$62),'Resource Planner'!$M$62,"")</f>
        <v/>
      </c>
    </row>
    <row r="2647" ht="15.75" customHeight="1">
      <c r="A26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7" s="163" t="str">
        <f>IF(AND('Resource Planner'!$A$62="☑",43&lt;='Resource Planner'!$N$62),'Resource Planner'!$C$62,"")</f>
        <v/>
      </c>
      <c r="C2647" s="163" t="str">
        <f>IF(AND('Resource Planner'!$A$62="☑",43&lt;='Resource Planner'!$N$62),'Resource Planner'!$B$62,"")</f>
        <v/>
      </c>
      <c r="D2647" s="163" t="str">
        <f>IF(AND('Resource Planner'!$A$62="☑",43&lt;='Resource Planner'!$N$62),'Resource Planner'!$D$62,"")</f>
        <v/>
      </c>
      <c r="E2647" s="163" t="str">
        <f>IF(AND('Resource Planner'!$A$62="☑",43&lt;='Resource Planner'!$N$62),'Resource Planner'!$E$62,"")</f>
        <v/>
      </c>
      <c r="F2647" s="163" t="str">
        <f>IF(AND('Resource Planner'!$A$62="☑",43&lt;='Resource Planner'!$N$62),'Resource Planner'!$F$62&amp;" "&amp;('Resource Planner'!$G$62+(43-1)*'Resource Planner'!$I$62)&amp;IF(('Resource Planner'!$G$62+(43-1)*'Resource Planner'!$I$62)=MIN('Resource Planner'!$G$62+43*'Resource Planner'!$I$62-1,'Resource Planner'!$H$62),"","–"&amp;MIN('Resource Planner'!$G$62+43*'Resource Planner'!$I$62-1,'Resource Planner'!$H$62)),"")</f>
        <v/>
      </c>
      <c r="G2647" s="163" t="s">
        <v>109</v>
      </c>
      <c r="H2647" s="163" t="str">
        <f>IF(AND('Resource Planner'!$A$62="☑",43&lt;='Resource Planner'!$N$62),'Resource Planner'!$M$62,"")</f>
        <v/>
      </c>
    </row>
    <row r="2648" ht="15.75" customHeight="1">
      <c r="A26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8" s="163" t="str">
        <f>IF(AND('Resource Planner'!$A$62="☑",44&lt;='Resource Planner'!$N$62),'Resource Planner'!$C$62,"")</f>
        <v/>
      </c>
      <c r="C2648" s="163" t="str">
        <f>IF(AND('Resource Planner'!$A$62="☑",44&lt;='Resource Planner'!$N$62),'Resource Planner'!$B$62,"")</f>
        <v/>
      </c>
      <c r="D2648" s="163" t="str">
        <f>IF(AND('Resource Planner'!$A$62="☑",44&lt;='Resource Planner'!$N$62),'Resource Planner'!$D$62,"")</f>
        <v/>
      </c>
      <c r="E2648" s="163" t="str">
        <f>IF(AND('Resource Planner'!$A$62="☑",44&lt;='Resource Planner'!$N$62),'Resource Planner'!$E$62,"")</f>
        <v/>
      </c>
      <c r="F2648" s="163" t="str">
        <f>IF(AND('Resource Planner'!$A$62="☑",44&lt;='Resource Planner'!$N$62),'Resource Planner'!$F$62&amp;" "&amp;('Resource Planner'!$G$62+(44-1)*'Resource Planner'!$I$62)&amp;IF(('Resource Planner'!$G$62+(44-1)*'Resource Planner'!$I$62)=MIN('Resource Planner'!$G$62+44*'Resource Planner'!$I$62-1,'Resource Planner'!$H$62),"","–"&amp;MIN('Resource Planner'!$G$62+44*'Resource Planner'!$I$62-1,'Resource Planner'!$H$62)),"")</f>
        <v/>
      </c>
      <c r="G2648" s="163" t="s">
        <v>109</v>
      </c>
      <c r="H2648" s="163" t="str">
        <f>IF(AND('Resource Planner'!$A$62="☑",44&lt;='Resource Planner'!$N$62),'Resource Planner'!$M$62,"")</f>
        <v/>
      </c>
    </row>
    <row r="2649" ht="15.75" customHeight="1">
      <c r="A26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49" s="163" t="str">
        <f>IF(AND('Resource Planner'!$A$62="☑",45&lt;='Resource Planner'!$N$62),'Resource Planner'!$C$62,"")</f>
        <v/>
      </c>
      <c r="C2649" s="163" t="str">
        <f>IF(AND('Resource Planner'!$A$62="☑",45&lt;='Resource Planner'!$N$62),'Resource Planner'!$B$62,"")</f>
        <v/>
      </c>
      <c r="D2649" s="163" t="str">
        <f>IF(AND('Resource Planner'!$A$62="☑",45&lt;='Resource Planner'!$N$62),'Resource Planner'!$D$62,"")</f>
        <v/>
      </c>
      <c r="E2649" s="163" t="str">
        <f>IF(AND('Resource Planner'!$A$62="☑",45&lt;='Resource Planner'!$N$62),'Resource Planner'!$E$62,"")</f>
        <v/>
      </c>
      <c r="F2649" s="163" t="str">
        <f>IF(AND('Resource Planner'!$A$62="☑",45&lt;='Resource Planner'!$N$62),'Resource Planner'!$F$62&amp;" "&amp;('Resource Planner'!$G$62+(45-1)*'Resource Planner'!$I$62)&amp;IF(('Resource Planner'!$G$62+(45-1)*'Resource Planner'!$I$62)=MIN('Resource Planner'!$G$62+45*'Resource Planner'!$I$62-1,'Resource Planner'!$H$62),"","–"&amp;MIN('Resource Planner'!$G$62+45*'Resource Planner'!$I$62-1,'Resource Planner'!$H$62)),"")</f>
        <v/>
      </c>
      <c r="G2649" s="163" t="s">
        <v>109</v>
      </c>
      <c r="H2649" s="163" t="str">
        <f>IF(AND('Resource Planner'!$A$62="☑",45&lt;='Resource Planner'!$N$62),'Resource Planner'!$M$62,"")</f>
        <v/>
      </c>
    </row>
    <row r="2650" ht="15.75" customHeight="1">
      <c r="A26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0" s="163" t="str">
        <f>IF(AND('Resource Planner'!$A$62="☑",46&lt;='Resource Planner'!$N$62),'Resource Planner'!$C$62,"")</f>
        <v/>
      </c>
      <c r="C2650" s="163" t="str">
        <f>IF(AND('Resource Planner'!$A$62="☑",46&lt;='Resource Planner'!$N$62),'Resource Planner'!$B$62,"")</f>
        <v/>
      </c>
      <c r="D2650" s="163" t="str">
        <f>IF(AND('Resource Planner'!$A$62="☑",46&lt;='Resource Planner'!$N$62),'Resource Planner'!$D$62,"")</f>
        <v/>
      </c>
      <c r="E2650" s="163" t="str">
        <f>IF(AND('Resource Planner'!$A$62="☑",46&lt;='Resource Planner'!$N$62),'Resource Planner'!$E$62,"")</f>
        <v/>
      </c>
      <c r="F2650" s="163" t="str">
        <f>IF(AND('Resource Planner'!$A$62="☑",46&lt;='Resource Planner'!$N$62),'Resource Planner'!$F$62&amp;" "&amp;('Resource Planner'!$G$62+(46-1)*'Resource Planner'!$I$62)&amp;IF(('Resource Planner'!$G$62+(46-1)*'Resource Planner'!$I$62)=MIN('Resource Planner'!$G$62+46*'Resource Planner'!$I$62-1,'Resource Planner'!$H$62),"","–"&amp;MIN('Resource Planner'!$G$62+46*'Resource Planner'!$I$62-1,'Resource Planner'!$H$62)),"")</f>
        <v/>
      </c>
      <c r="G2650" s="163" t="s">
        <v>109</v>
      </c>
      <c r="H2650" s="163" t="str">
        <f>IF(AND('Resource Planner'!$A$62="☑",46&lt;='Resource Planner'!$N$62),'Resource Planner'!$M$62,"")</f>
        <v/>
      </c>
    </row>
    <row r="2651" ht="15.75" customHeight="1">
      <c r="A26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1" s="163" t="str">
        <f>IF(AND('Resource Planner'!$A$62="☑",47&lt;='Resource Planner'!$N$62),'Resource Planner'!$C$62,"")</f>
        <v/>
      </c>
      <c r="C2651" s="163" t="str">
        <f>IF(AND('Resource Planner'!$A$62="☑",47&lt;='Resource Planner'!$N$62),'Resource Planner'!$B$62,"")</f>
        <v/>
      </c>
      <c r="D2651" s="163" t="str">
        <f>IF(AND('Resource Planner'!$A$62="☑",47&lt;='Resource Planner'!$N$62),'Resource Planner'!$D$62,"")</f>
        <v/>
      </c>
      <c r="E2651" s="163" t="str">
        <f>IF(AND('Resource Planner'!$A$62="☑",47&lt;='Resource Planner'!$N$62),'Resource Planner'!$E$62,"")</f>
        <v/>
      </c>
      <c r="F2651" s="163" t="str">
        <f>IF(AND('Resource Planner'!$A$62="☑",47&lt;='Resource Planner'!$N$62),'Resource Planner'!$F$62&amp;" "&amp;('Resource Planner'!$G$62+(47-1)*'Resource Planner'!$I$62)&amp;IF(('Resource Planner'!$G$62+(47-1)*'Resource Planner'!$I$62)=MIN('Resource Planner'!$G$62+47*'Resource Planner'!$I$62-1,'Resource Planner'!$H$62),"","–"&amp;MIN('Resource Planner'!$G$62+47*'Resource Planner'!$I$62-1,'Resource Planner'!$H$62)),"")</f>
        <v/>
      </c>
      <c r="G2651" s="163" t="s">
        <v>109</v>
      </c>
      <c r="H2651" s="163" t="str">
        <f>IF(AND('Resource Planner'!$A$62="☑",47&lt;='Resource Planner'!$N$62),'Resource Planner'!$M$62,"")</f>
        <v/>
      </c>
    </row>
    <row r="2652" ht="15.75" customHeight="1">
      <c r="A26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2" s="163" t="str">
        <f>IF(AND('Resource Planner'!$A$62="☑",48&lt;='Resource Planner'!$N$62),'Resource Planner'!$C$62,"")</f>
        <v/>
      </c>
      <c r="C2652" s="163" t="str">
        <f>IF(AND('Resource Planner'!$A$62="☑",48&lt;='Resource Planner'!$N$62),'Resource Planner'!$B$62,"")</f>
        <v/>
      </c>
      <c r="D2652" s="163" t="str">
        <f>IF(AND('Resource Planner'!$A$62="☑",48&lt;='Resource Planner'!$N$62),'Resource Planner'!$D$62,"")</f>
        <v/>
      </c>
      <c r="E2652" s="163" t="str">
        <f>IF(AND('Resource Planner'!$A$62="☑",48&lt;='Resource Planner'!$N$62),'Resource Planner'!$E$62,"")</f>
        <v/>
      </c>
      <c r="F2652" s="163" t="str">
        <f>IF(AND('Resource Planner'!$A$62="☑",48&lt;='Resource Planner'!$N$62),'Resource Planner'!$F$62&amp;" "&amp;('Resource Planner'!$G$62+(48-1)*'Resource Planner'!$I$62)&amp;IF(('Resource Planner'!$G$62+(48-1)*'Resource Planner'!$I$62)=MIN('Resource Planner'!$G$62+48*'Resource Planner'!$I$62-1,'Resource Planner'!$H$62),"","–"&amp;MIN('Resource Planner'!$G$62+48*'Resource Planner'!$I$62-1,'Resource Planner'!$H$62)),"")</f>
        <v/>
      </c>
      <c r="G2652" s="163" t="s">
        <v>109</v>
      </c>
      <c r="H2652" s="163" t="str">
        <f>IF(AND('Resource Planner'!$A$62="☑",48&lt;='Resource Planner'!$N$62),'Resource Planner'!$M$62,"")</f>
        <v/>
      </c>
    </row>
    <row r="2653" ht="15.75" customHeight="1">
      <c r="A26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3" s="163" t="str">
        <f>IF(AND('Resource Planner'!$A$62="☑",49&lt;='Resource Planner'!$N$62),'Resource Planner'!$C$62,"")</f>
        <v/>
      </c>
      <c r="C2653" s="163" t="str">
        <f>IF(AND('Resource Planner'!$A$62="☑",49&lt;='Resource Planner'!$N$62),'Resource Planner'!$B$62,"")</f>
        <v/>
      </c>
      <c r="D2653" s="163" t="str">
        <f>IF(AND('Resource Planner'!$A$62="☑",49&lt;='Resource Planner'!$N$62),'Resource Planner'!$D$62,"")</f>
        <v/>
      </c>
      <c r="E2653" s="163" t="str">
        <f>IF(AND('Resource Planner'!$A$62="☑",49&lt;='Resource Planner'!$N$62),'Resource Planner'!$E$62,"")</f>
        <v/>
      </c>
      <c r="F2653" s="163" t="str">
        <f>IF(AND('Resource Planner'!$A$62="☑",49&lt;='Resource Planner'!$N$62),'Resource Planner'!$F$62&amp;" "&amp;('Resource Planner'!$G$62+(49-1)*'Resource Planner'!$I$62)&amp;IF(('Resource Planner'!$G$62+(49-1)*'Resource Planner'!$I$62)=MIN('Resource Planner'!$G$62+49*'Resource Planner'!$I$62-1,'Resource Planner'!$H$62),"","–"&amp;MIN('Resource Planner'!$G$62+49*'Resource Planner'!$I$62-1,'Resource Planner'!$H$62)),"")</f>
        <v/>
      </c>
      <c r="G2653" s="163" t="s">
        <v>109</v>
      </c>
      <c r="H2653" s="163" t="str">
        <f>IF(AND('Resource Planner'!$A$62="☑",49&lt;='Resource Planner'!$N$62),'Resource Planner'!$M$62,"")</f>
        <v/>
      </c>
    </row>
    <row r="2654" ht="15.75" customHeight="1">
      <c r="A26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4" s="163" t="str">
        <f>IF(AND('Resource Planner'!$A$62="☑",50&lt;='Resource Planner'!$N$62),'Resource Planner'!$C$62,"")</f>
        <v/>
      </c>
      <c r="C2654" s="163" t="str">
        <f>IF(AND('Resource Planner'!$A$62="☑",50&lt;='Resource Planner'!$N$62),'Resource Planner'!$B$62,"")</f>
        <v/>
      </c>
      <c r="D2654" s="163" t="str">
        <f>IF(AND('Resource Planner'!$A$62="☑",50&lt;='Resource Planner'!$N$62),'Resource Planner'!$D$62,"")</f>
        <v/>
      </c>
      <c r="E2654" s="163" t="str">
        <f>IF(AND('Resource Planner'!$A$62="☑",50&lt;='Resource Planner'!$N$62),'Resource Planner'!$E$62,"")</f>
        <v/>
      </c>
      <c r="F2654" s="163" t="str">
        <f>IF(AND('Resource Planner'!$A$62="☑",50&lt;='Resource Planner'!$N$62),'Resource Planner'!$F$62&amp;" "&amp;('Resource Planner'!$G$62+(50-1)*'Resource Planner'!$I$62)&amp;IF(('Resource Planner'!$G$62+(50-1)*'Resource Planner'!$I$62)=MIN('Resource Planner'!$G$62+50*'Resource Planner'!$I$62-1,'Resource Planner'!$H$62),"","–"&amp;MIN('Resource Planner'!$G$62+50*'Resource Planner'!$I$62-1,'Resource Planner'!$H$62)),"")</f>
        <v/>
      </c>
      <c r="G2654" s="163" t="s">
        <v>109</v>
      </c>
      <c r="H2654" s="163" t="str">
        <f>IF(AND('Resource Planner'!$A$62="☑",50&lt;='Resource Planner'!$N$62),'Resource Planner'!$M$62,"")</f>
        <v/>
      </c>
    </row>
    <row r="2655" ht="15.75" customHeight="1">
      <c r="A26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5" s="163" t="str">
        <f>IF(AND('Resource Planner'!$A$63="☑",1&lt;='Resource Planner'!$N$63),'Resource Planner'!$C$63,"")</f>
        <v/>
      </c>
      <c r="C2655" s="163" t="str">
        <f>IF(AND('Resource Planner'!$A$63="☑",1&lt;='Resource Planner'!$N$63),'Resource Planner'!$B$63,"")</f>
        <v/>
      </c>
      <c r="D2655" s="163" t="str">
        <f>IF(AND('Resource Planner'!$A$63="☑",1&lt;='Resource Planner'!$N$63),'Resource Planner'!$D$63,"")</f>
        <v/>
      </c>
      <c r="E2655" s="163" t="str">
        <f>IF(AND('Resource Planner'!$A$63="☑",1&lt;='Resource Planner'!$N$63),'Resource Planner'!$E$63,"")</f>
        <v/>
      </c>
      <c r="F2655" s="163" t="str">
        <f>IF(AND('Resource Planner'!$A$63="☑",1&lt;='Resource Planner'!$N$63),'Resource Planner'!$F$63&amp;" "&amp;('Resource Planner'!$G$63+(1-1)*'Resource Planner'!$I$63)&amp;IF(('Resource Planner'!$G$63+(1-1)*'Resource Planner'!$I$63)=MIN('Resource Planner'!$G$63+1*'Resource Planner'!$I$63-1,'Resource Planner'!$H$63),"","–"&amp;MIN('Resource Planner'!$G$63+1*'Resource Planner'!$I$63-1,'Resource Planner'!$H$63)),"")</f>
        <v/>
      </c>
      <c r="G2655" s="163" t="s">
        <v>109</v>
      </c>
      <c r="H2655" s="163" t="str">
        <f>IF(AND('Resource Planner'!$A$63="☑",1&lt;='Resource Planner'!$N$63),'Resource Planner'!$M$63,"")</f>
        <v/>
      </c>
    </row>
    <row r="2656" ht="15.75" customHeight="1">
      <c r="A26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6" s="163" t="str">
        <f>IF(AND('Resource Planner'!$A$63="☑",2&lt;='Resource Planner'!$N$63),'Resource Planner'!$C$63,"")</f>
        <v/>
      </c>
      <c r="C2656" s="163" t="str">
        <f>IF(AND('Resource Planner'!$A$63="☑",2&lt;='Resource Planner'!$N$63),'Resource Planner'!$B$63,"")</f>
        <v/>
      </c>
      <c r="D2656" s="163" t="str">
        <f>IF(AND('Resource Planner'!$A$63="☑",2&lt;='Resource Planner'!$N$63),'Resource Planner'!$D$63,"")</f>
        <v/>
      </c>
      <c r="E2656" s="163" t="str">
        <f>IF(AND('Resource Planner'!$A$63="☑",2&lt;='Resource Planner'!$N$63),'Resource Planner'!$E$63,"")</f>
        <v/>
      </c>
      <c r="F2656" s="163" t="str">
        <f>IF(AND('Resource Planner'!$A$63="☑",2&lt;='Resource Planner'!$N$63),'Resource Planner'!$F$63&amp;" "&amp;('Resource Planner'!$G$63+(2-1)*'Resource Planner'!$I$63)&amp;IF(('Resource Planner'!$G$63+(2-1)*'Resource Planner'!$I$63)=MIN('Resource Planner'!$G$63+2*'Resource Planner'!$I$63-1,'Resource Planner'!$H$63),"","–"&amp;MIN('Resource Planner'!$G$63+2*'Resource Planner'!$I$63-1,'Resource Planner'!$H$63)),"")</f>
        <v/>
      </c>
      <c r="G2656" s="163" t="s">
        <v>109</v>
      </c>
      <c r="H2656" s="163" t="str">
        <f>IF(AND('Resource Planner'!$A$63="☑",2&lt;='Resource Planner'!$N$63),'Resource Planner'!$M$63,"")</f>
        <v/>
      </c>
    </row>
    <row r="2657" ht="15.75" customHeight="1">
      <c r="A26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7" s="163" t="str">
        <f>IF(AND('Resource Planner'!$A$63="☑",3&lt;='Resource Planner'!$N$63),'Resource Planner'!$C$63,"")</f>
        <v/>
      </c>
      <c r="C2657" s="163" t="str">
        <f>IF(AND('Resource Planner'!$A$63="☑",3&lt;='Resource Planner'!$N$63),'Resource Planner'!$B$63,"")</f>
        <v/>
      </c>
      <c r="D2657" s="163" t="str">
        <f>IF(AND('Resource Planner'!$A$63="☑",3&lt;='Resource Planner'!$N$63),'Resource Planner'!$D$63,"")</f>
        <v/>
      </c>
      <c r="E2657" s="163" t="str">
        <f>IF(AND('Resource Planner'!$A$63="☑",3&lt;='Resource Planner'!$N$63),'Resource Planner'!$E$63,"")</f>
        <v/>
      </c>
      <c r="F2657" s="163" t="str">
        <f>IF(AND('Resource Planner'!$A$63="☑",3&lt;='Resource Planner'!$N$63),'Resource Planner'!$F$63&amp;" "&amp;('Resource Planner'!$G$63+(3-1)*'Resource Planner'!$I$63)&amp;IF(('Resource Planner'!$G$63+(3-1)*'Resource Planner'!$I$63)=MIN('Resource Planner'!$G$63+3*'Resource Planner'!$I$63-1,'Resource Planner'!$H$63),"","–"&amp;MIN('Resource Planner'!$G$63+3*'Resource Planner'!$I$63-1,'Resource Planner'!$H$63)),"")</f>
        <v/>
      </c>
      <c r="G2657" s="163" t="s">
        <v>109</v>
      </c>
      <c r="H2657" s="163" t="str">
        <f>IF(AND('Resource Planner'!$A$63="☑",3&lt;='Resource Planner'!$N$63),'Resource Planner'!$M$63,"")</f>
        <v/>
      </c>
    </row>
    <row r="2658" ht="15.75" customHeight="1">
      <c r="A26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8" s="163" t="str">
        <f>IF(AND('Resource Planner'!$A$63="☑",4&lt;='Resource Planner'!$N$63),'Resource Planner'!$C$63,"")</f>
        <v/>
      </c>
      <c r="C2658" s="163" t="str">
        <f>IF(AND('Resource Planner'!$A$63="☑",4&lt;='Resource Planner'!$N$63),'Resource Planner'!$B$63,"")</f>
        <v/>
      </c>
      <c r="D2658" s="163" t="str">
        <f>IF(AND('Resource Planner'!$A$63="☑",4&lt;='Resource Planner'!$N$63),'Resource Planner'!$D$63,"")</f>
        <v/>
      </c>
      <c r="E2658" s="163" t="str">
        <f>IF(AND('Resource Planner'!$A$63="☑",4&lt;='Resource Planner'!$N$63),'Resource Planner'!$E$63,"")</f>
        <v/>
      </c>
      <c r="F2658" s="163" t="str">
        <f>IF(AND('Resource Planner'!$A$63="☑",4&lt;='Resource Planner'!$N$63),'Resource Planner'!$F$63&amp;" "&amp;('Resource Planner'!$G$63+(4-1)*'Resource Planner'!$I$63)&amp;IF(('Resource Planner'!$G$63+(4-1)*'Resource Planner'!$I$63)=MIN('Resource Planner'!$G$63+4*'Resource Planner'!$I$63-1,'Resource Planner'!$H$63),"","–"&amp;MIN('Resource Planner'!$G$63+4*'Resource Planner'!$I$63-1,'Resource Planner'!$H$63)),"")</f>
        <v/>
      </c>
      <c r="G2658" s="163" t="s">
        <v>109</v>
      </c>
      <c r="H2658" s="163" t="str">
        <f>IF(AND('Resource Planner'!$A$63="☑",4&lt;='Resource Planner'!$N$63),'Resource Planner'!$M$63,"")</f>
        <v/>
      </c>
    </row>
    <row r="2659" ht="15.75" customHeight="1">
      <c r="A26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59" s="163" t="str">
        <f>IF(AND('Resource Planner'!$A$63="☑",5&lt;='Resource Planner'!$N$63),'Resource Planner'!$C$63,"")</f>
        <v/>
      </c>
      <c r="C2659" s="163" t="str">
        <f>IF(AND('Resource Planner'!$A$63="☑",5&lt;='Resource Planner'!$N$63),'Resource Planner'!$B$63,"")</f>
        <v/>
      </c>
      <c r="D2659" s="163" t="str">
        <f>IF(AND('Resource Planner'!$A$63="☑",5&lt;='Resource Planner'!$N$63),'Resource Planner'!$D$63,"")</f>
        <v/>
      </c>
      <c r="E2659" s="163" t="str">
        <f>IF(AND('Resource Planner'!$A$63="☑",5&lt;='Resource Planner'!$N$63),'Resource Planner'!$E$63,"")</f>
        <v/>
      </c>
      <c r="F2659" s="163" t="str">
        <f>IF(AND('Resource Planner'!$A$63="☑",5&lt;='Resource Planner'!$N$63),'Resource Planner'!$F$63&amp;" "&amp;('Resource Planner'!$G$63+(5-1)*'Resource Planner'!$I$63)&amp;IF(('Resource Planner'!$G$63+(5-1)*'Resource Planner'!$I$63)=MIN('Resource Planner'!$G$63+5*'Resource Planner'!$I$63-1,'Resource Planner'!$H$63),"","–"&amp;MIN('Resource Planner'!$G$63+5*'Resource Planner'!$I$63-1,'Resource Planner'!$H$63)),"")</f>
        <v/>
      </c>
      <c r="G2659" s="163" t="s">
        <v>109</v>
      </c>
      <c r="H2659" s="163" t="str">
        <f>IF(AND('Resource Planner'!$A$63="☑",5&lt;='Resource Planner'!$N$63),'Resource Planner'!$M$63,"")</f>
        <v/>
      </c>
    </row>
    <row r="2660" ht="15.75" customHeight="1">
      <c r="A26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0" s="163" t="str">
        <f>IF(AND('Resource Planner'!$A$63="☑",6&lt;='Resource Planner'!$N$63),'Resource Planner'!$C$63,"")</f>
        <v/>
      </c>
      <c r="C2660" s="163" t="str">
        <f>IF(AND('Resource Planner'!$A$63="☑",6&lt;='Resource Planner'!$N$63),'Resource Planner'!$B$63,"")</f>
        <v/>
      </c>
      <c r="D2660" s="163" t="str">
        <f>IF(AND('Resource Planner'!$A$63="☑",6&lt;='Resource Planner'!$N$63),'Resource Planner'!$D$63,"")</f>
        <v/>
      </c>
      <c r="E2660" s="163" t="str">
        <f>IF(AND('Resource Planner'!$A$63="☑",6&lt;='Resource Planner'!$N$63),'Resource Planner'!$E$63,"")</f>
        <v/>
      </c>
      <c r="F2660" s="163" t="str">
        <f>IF(AND('Resource Planner'!$A$63="☑",6&lt;='Resource Planner'!$N$63),'Resource Planner'!$F$63&amp;" "&amp;('Resource Planner'!$G$63+(6-1)*'Resource Planner'!$I$63)&amp;IF(('Resource Planner'!$G$63+(6-1)*'Resource Planner'!$I$63)=MIN('Resource Planner'!$G$63+6*'Resource Planner'!$I$63-1,'Resource Planner'!$H$63),"","–"&amp;MIN('Resource Planner'!$G$63+6*'Resource Planner'!$I$63-1,'Resource Planner'!$H$63)),"")</f>
        <v/>
      </c>
      <c r="G2660" s="163" t="s">
        <v>109</v>
      </c>
      <c r="H2660" s="163" t="str">
        <f>IF(AND('Resource Planner'!$A$63="☑",6&lt;='Resource Planner'!$N$63),'Resource Planner'!$M$63,"")</f>
        <v/>
      </c>
    </row>
    <row r="2661" ht="15.75" customHeight="1">
      <c r="A26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1" s="163" t="str">
        <f>IF(AND('Resource Planner'!$A$63="☑",7&lt;='Resource Planner'!$N$63),'Resource Planner'!$C$63,"")</f>
        <v/>
      </c>
      <c r="C2661" s="163" t="str">
        <f>IF(AND('Resource Planner'!$A$63="☑",7&lt;='Resource Planner'!$N$63),'Resource Planner'!$B$63,"")</f>
        <v/>
      </c>
      <c r="D2661" s="163" t="str">
        <f>IF(AND('Resource Planner'!$A$63="☑",7&lt;='Resource Planner'!$N$63),'Resource Planner'!$D$63,"")</f>
        <v/>
      </c>
      <c r="E2661" s="163" t="str">
        <f>IF(AND('Resource Planner'!$A$63="☑",7&lt;='Resource Planner'!$N$63),'Resource Planner'!$E$63,"")</f>
        <v/>
      </c>
      <c r="F2661" s="163" t="str">
        <f>IF(AND('Resource Planner'!$A$63="☑",7&lt;='Resource Planner'!$N$63),'Resource Planner'!$F$63&amp;" "&amp;('Resource Planner'!$G$63+(7-1)*'Resource Planner'!$I$63)&amp;IF(('Resource Planner'!$G$63+(7-1)*'Resource Planner'!$I$63)=MIN('Resource Planner'!$G$63+7*'Resource Planner'!$I$63-1,'Resource Planner'!$H$63),"","–"&amp;MIN('Resource Planner'!$G$63+7*'Resource Planner'!$I$63-1,'Resource Planner'!$H$63)),"")</f>
        <v/>
      </c>
      <c r="G2661" s="163" t="s">
        <v>109</v>
      </c>
      <c r="H2661" s="163" t="str">
        <f>IF(AND('Resource Planner'!$A$63="☑",7&lt;='Resource Planner'!$N$63),'Resource Planner'!$M$63,"")</f>
        <v/>
      </c>
    </row>
    <row r="2662" ht="15.75" customHeight="1">
      <c r="A26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2" s="163" t="str">
        <f>IF(AND('Resource Planner'!$A$63="☑",8&lt;='Resource Planner'!$N$63),'Resource Planner'!$C$63,"")</f>
        <v/>
      </c>
      <c r="C2662" s="163" t="str">
        <f>IF(AND('Resource Planner'!$A$63="☑",8&lt;='Resource Planner'!$N$63),'Resource Planner'!$B$63,"")</f>
        <v/>
      </c>
      <c r="D2662" s="163" t="str">
        <f>IF(AND('Resource Planner'!$A$63="☑",8&lt;='Resource Planner'!$N$63),'Resource Planner'!$D$63,"")</f>
        <v/>
      </c>
      <c r="E2662" s="163" t="str">
        <f>IF(AND('Resource Planner'!$A$63="☑",8&lt;='Resource Planner'!$N$63),'Resource Planner'!$E$63,"")</f>
        <v/>
      </c>
      <c r="F2662" s="163" t="str">
        <f>IF(AND('Resource Planner'!$A$63="☑",8&lt;='Resource Planner'!$N$63),'Resource Planner'!$F$63&amp;" "&amp;('Resource Planner'!$G$63+(8-1)*'Resource Planner'!$I$63)&amp;IF(('Resource Planner'!$G$63+(8-1)*'Resource Planner'!$I$63)=MIN('Resource Planner'!$G$63+8*'Resource Planner'!$I$63-1,'Resource Planner'!$H$63),"","–"&amp;MIN('Resource Planner'!$G$63+8*'Resource Planner'!$I$63-1,'Resource Planner'!$H$63)),"")</f>
        <v/>
      </c>
      <c r="G2662" s="163" t="s">
        <v>109</v>
      </c>
      <c r="H2662" s="163" t="str">
        <f>IF(AND('Resource Planner'!$A$63="☑",8&lt;='Resource Planner'!$N$63),'Resource Planner'!$M$63,"")</f>
        <v/>
      </c>
    </row>
    <row r="2663" ht="15.75" customHeight="1">
      <c r="A26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3" s="163" t="str">
        <f>IF(AND('Resource Planner'!$A$63="☑",9&lt;='Resource Planner'!$N$63),'Resource Planner'!$C$63,"")</f>
        <v/>
      </c>
      <c r="C2663" s="163" t="str">
        <f>IF(AND('Resource Planner'!$A$63="☑",9&lt;='Resource Planner'!$N$63),'Resource Planner'!$B$63,"")</f>
        <v/>
      </c>
      <c r="D2663" s="163" t="str">
        <f>IF(AND('Resource Planner'!$A$63="☑",9&lt;='Resource Planner'!$N$63),'Resource Planner'!$D$63,"")</f>
        <v/>
      </c>
      <c r="E2663" s="163" t="str">
        <f>IF(AND('Resource Planner'!$A$63="☑",9&lt;='Resource Planner'!$N$63),'Resource Planner'!$E$63,"")</f>
        <v/>
      </c>
      <c r="F2663" s="163" t="str">
        <f>IF(AND('Resource Planner'!$A$63="☑",9&lt;='Resource Planner'!$N$63),'Resource Planner'!$F$63&amp;" "&amp;('Resource Planner'!$G$63+(9-1)*'Resource Planner'!$I$63)&amp;IF(('Resource Planner'!$G$63+(9-1)*'Resource Planner'!$I$63)=MIN('Resource Planner'!$G$63+9*'Resource Planner'!$I$63-1,'Resource Planner'!$H$63),"","–"&amp;MIN('Resource Planner'!$G$63+9*'Resource Planner'!$I$63-1,'Resource Planner'!$H$63)),"")</f>
        <v/>
      </c>
      <c r="G2663" s="163" t="s">
        <v>109</v>
      </c>
      <c r="H2663" s="163" t="str">
        <f>IF(AND('Resource Planner'!$A$63="☑",9&lt;='Resource Planner'!$N$63),'Resource Planner'!$M$63,"")</f>
        <v/>
      </c>
    </row>
    <row r="2664" ht="15.75" customHeight="1">
      <c r="A26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4" s="163" t="str">
        <f>IF(AND('Resource Planner'!$A$63="☑",10&lt;='Resource Planner'!$N$63),'Resource Planner'!$C$63,"")</f>
        <v/>
      </c>
      <c r="C2664" s="163" t="str">
        <f>IF(AND('Resource Planner'!$A$63="☑",10&lt;='Resource Planner'!$N$63),'Resource Planner'!$B$63,"")</f>
        <v/>
      </c>
      <c r="D2664" s="163" t="str">
        <f>IF(AND('Resource Planner'!$A$63="☑",10&lt;='Resource Planner'!$N$63),'Resource Planner'!$D$63,"")</f>
        <v/>
      </c>
      <c r="E2664" s="163" t="str">
        <f>IF(AND('Resource Planner'!$A$63="☑",10&lt;='Resource Planner'!$N$63),'Resource Planner'!$E$63,"")</f>
        <v/>
      </c>
      <c r="F2664" s="163" t="str">
        <f>IF(AND('Resource Planner'!$A$63="☑",10&lt;='Resource Planner'!$N$63),'Resource Planner'!$F$63&amp;" "&amp;('Resource Planner'!$G$63+(10-1)*'Resource Planner'!$I$63)&amp;IF(('Resource Planner'!$G$63+(10-1)*'Resource Planner'!$I$63)=MIN('Resource Planner'!$G$63+10*'Resource Planner'!$I$63-1,'Resource Planner'!$H$63),"","–"&amp;MIN('Resource Planner'!$G$63+10*'Resource Planner'!$I$63-1,'Resource Planner'!$H$63)),"")</f>
        <v/>
      </c>
      <c r="G2664" s="163" t="s">
        <v>109</v>
      </c>
      <c r="H2664" s="163" t="str">
        <f>IF(AND('Resource Planner'!$A$63="☑",10&lt;='Resource Planner'!$N$63),'Resource Planner'!$M$63,"")</f>
        <v/>
      </c>
    </row>
    <row r="2665" ht="15.75" customHeight="1">
      <c r="A26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5" s="163" t="str">
        <f>IF(AND('Resource Planner'!$A$63="☑",11&lt;='Resource Planner'!$N$63),'Resource Planner'!$C$63,"")</f>
        <v/>
      </c>
      <c r="C2665" s="163" t="str">
        <f>IF(AND('Resource Planner'!$A$63="☑",11&lt;='Resource Planner'!$N$63),'Resource Planner'!$B$63,"")</f>
        <v/>
      </c>
      <c r="D2665" s="163" t="str">
        <f>IF(AND('Resource Planner'!$A$63="☑",11&lt;='Resource Planner'!$N$63),'Resource Planner'!$D$63,"")</f>
        <v/>
      </c>
      <c r="E2665" s="163" t="str">
        <f>IF(AND('Resource Planner'!$A$63="☑",11&lt;='Resource Planner'!$N$63),'Resource Planner'!$E$63,"")</f>
        <v/>
      </c>
      <c r="F2665" s="163" t="str">
        <f>IF(AND('Resource Planner'!$A$63="☑",11&lt;='Resource Planner'!$N$63),'Resource Planner'!$F$63&amp;" "&amp;('Resource Planner'!$G$63+(11-1)*'Resource Planner'!$I$63)&amp;IF(('Resource Planner'!$G$63+(11-1)*'Resource Planner'!$I$63)=MIN('Resource Planner'!$G$63+11*'Resource Planner'!$I$63-1,'Resource Planner'!$H$63),"","–"&amp;MIN('Resource Planner'!$G$63+11*'Resource Planner'!$I$63-1,'Resource Planner'!$H$63)),"")</f>
        <v/>
      </c>
      <c r="G2665" s="163" t="s">
        <v>109</v>
      </c>
      <c r="H2665" s="163" t="str">
        <f>IF(AND('Resource Planner'!$A$63="☑",11&lt;='Resource Planner'!$N$63),'Resource Planner'!$M$63,"")</f>
        <v/>
      </c>
    </row>
    <row r="2666" ht="15.75" customHeight="1">
      <c r="A26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6" s="163" t="str">
        <f>IF(AND('Resource Planner'!$A$63="☑",12&lt;='Resource Planner'!$N$63),'Resource Planner'!$C$63,"")</f>
        <v/>
      </c>
      <c r="C2666" s="163" t="str">
        <f>IF(AND('Resource Planner'!$A$63="☑",12&lt;='Resource Planner'!$N$63),'Resource Planner'!$B$63,"")</f>
        <v/>
      </c>
      <c r="D2666" s="163" t="str">
        <f>IF(AND('Resource Planner'!$A$63="☑",12&lt;='Resource Planner'!$N$63),'Resource Planner'!$D$63,"")</f>
        <v/>
      </c>
      <c r="E2666" s="163" t="str">
        <f>IF(AND('Resource Planner'!$A$63="☑",12&lt;='Resource Planner'!$N$63),'Resource Planner'!$E$63,"")</f>
        <v/>
      </c>
      <c r="F2666" s="163" t="str">
        <f>IF(AND('Resource Planner'!$A$63="☑",12&lt;='Resource Planner'!$N$63),'Resource Planner'!$F$63&amp;" "&amp;('Resource Planner'!$G$63+(12-1)*'Resource Planner'!$I$63)&amp;IF(('Resource Planner'!$G$63+(12-1)*'Resource Planner'!$I$63)=MIN('Resource Planner'!$G$63+12*'Resource Planner'!$I$63-1,'Resource Planner'!$H$63),"","–"&amp;MIN('Resource Planner'!$G$63+12*'Resource Planner'!$I$63-1,'Resource Planner'!$H$63)),"")</f>
        <v/>
      </c>
      <c r="G2666" s="163" t="s">
        <v>109</v>
      </c>
      <c r="H2666" s="163" t="str">
        <f>IF(AND('Resource Planner'!$A$63="☑",12&lt;='Resource Planner'!$N$63),'Resource Planner'!$M$63,"")</f>
        <v/>
      </c>
    </row>
    <row r="2667" ht="15.75" customHeight="1">
      <c r="A26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7" s="163" t="str">
        <f>IF(AND('Resource Planner'!$A$63="☑",13&lt;='Resource Planner'!$N$63),'Resource Planner'!$C$63,"")</f>
        <v/>
      </c>
      <c r="C2667" s="163" t="str">
        <f>IF(AND('Resource Planner'!$A$63="☑",13&lt;='Resource Planner'!$N$63),'Resource Planner'!$B$63,"")</f>
        <v/>
      </c>
      <c r="D2667" s="163" t="str">
        <f>IF(AND('Resource Planner'!$A$63="☑",13&lt;='Resource Planner'!$N$63),'Resource Planner'!$D$63,"")</f>
        <v/>
      </c>
      <c r="E2667" s="163" t="str">
        <f>IF(AND('Resource Planner'!$A$63="☑",13&lt;='Resource Planner'!$N$63),'Resource Planner'!$E$63,"")</f>
        <v/>
      </c>
      <c r="F2667" s="163" t="str">
        <f>IF(AND('Resource Planner'!$A$63="☑",13&lt;='Resource Planner'!$N$63),'Resource Planner'!$F$63&amp;" "&amp;('Resource Planner'!$G$63+(13-1)*'Resource Planner'!$I$63)&amp;IF(('Resource Planner'!$G$63+(13-1)*'Resource Planner'!$I$63)=MIN('Resource Planner'!$G$63+13*'Resource Planner'!$I$63-1,'Resource Planner'!$H$63),"","–"&amp;MIN('Resource Planner'!$G$63+13*'Resource Planner'!$I$63-1,'Resource Planner'!$H$63)),"")</f>
        <v/>
      </c>
      <c r="G2667" s="163" t="s">
        <v>109</v>
      </c>
      <c r="H2667" s="163" t="str">
        <f>IF(AND('Resource Planner'!$A$63="☑",13&lt;='Resource Planner'!$N$63),'Resource Planner'!$M$63,"")</f>
        <v/>
      </c>
    </row>
    <row r="2668" ht="15.75" customHeight="1">
      <c r="A26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8" s="163" t="str">
        <f>IF(AND('Resource Planner'!$A$63="☑",14&lt;='Resource Planner'!$N$63),'Resource Planner'!$C$63,"")</f>
        <v/>
      </c>
      <c r="C2668" s="163" t="str">
        <f>IF(AND('Resource Planner'!$A$63="☑",14&lt;='Resource Planner'!$N$63),'Resource Planner'!$B$63,"")</f>
        <v/>
      </c>
      <c r="D2668" s="163" t="str">
        <f>IF(AND('Resource Planner'!$A$63="☑",14&lt;='Resource Planner'!$N$63),'Resource Planner'!$D$63,"")</f>
        <v/>
      </c>
      <c r="E2668" s="163" t="str">
        <f>IF(AND('Resource Planner'!$A$63="☑",14&lt;='Resource Planner'!$N$63),'Resource Planner'!$E$63,"")</f>
        <v/>
      </c>
      <c r="F2668" s="163" t="str">
        <f>IF(AND('Resource Planner'!$A$63="☑",14&lt;='Resource Planner'!$N$63),'Resource Planner'!$F$63&amp;" "&amp;('Resource Planner'!$G$63+(14-1)*'Resource Planner'!$I$63)&amp;IF(('Resource Planner'!$G$63+(14-1)*'Resource Planner'!$I$63)=MIN('Resource Planner'!$G$63+14*'Resource Planner'!$I$63-1,'Resource Planner'!$H$63),"","–"&amp;MIN('Resource Planner'!$G$63+14*'Resource Planner'!$I$63-1,'Resource Planner'!$H$63)),"")</f>
        <v/>
      </c>
      <c r="G2668" s="163" t="s">
        <v>109</v>
      </c>
      <c r="H2668" s="163" t="str">
        <f>IF(AND('Resource Planner'!$A$63="☑",14&lt;='Resource Planner'!$N$63),'Resource Planner'!$M$63,"")</f>
        <v/>
      </c>
    </row>
    <row r="2669" ht="15.75" customHeight="1">
      <c r="A26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69" s="163" t="str">
        <f>IF(AND('Resource Planner'!$A$63="☑",15&lt;='Resource Planner'!$N$63),'Resource Planner'!$C$63,"")</f>
        <v/>
      </c>
      <c r="C2669" s="163" t="str">
        <f>IF(AND('Resource Planner'!$A$63="☑",15&lt;='Resource Planner'!$N$63),'Resource Planner'!$B$63,"")</f>
        <v/>
      </c>
      <c r="D2669" s="163" t="str">
        <f>IF(AND('Resource Planner'!$A$63="☑",15&lt;='Resource Planner'!$N$63),'Resource Planner'!$D$63,"")</f>
        <v/>
      </c>
      <c r="E2669" s="163" t="str">
        <f>IF(AND('Resource Planner'!$A$63="☑",15&lt;='Resource Planner'!$N$63),'Resource Planner'!$E$63,"")</f>
        <v/>
      </c>
      <c r="F2669" s="163" t="str">
        <f>IF(AND('Resource Planner'!$A$63="☑",15&lt;='Resource Planner'!$N$63),'Resource Planner'!$F$63&amp;" "&amp;('Resource Planner'!$G$63+(15-1)*'Resource Planner'!$I$63)&amp;IF(('Resource Planner'!$G$63+(15-1)*'Resource Planner'!$I$63)=MIN('Resource Planner'!$G$63+15*'Resource Planner'!$I$63-1,'Resource Planner'!$H$63),"","–"&amp;MIN('Resource Planner'!$G$63+15*'Resource Planner'!$I$63-1,'Resource Planner'!$H$63)),"")</f>
        <v/>
      </c>
      <c r="G2669" s="163" t="s">
        <v>109</v>
      </c>
      <c r="H2669" s="163" t="str">
        <f>IF(AND('Resource Planner'!$A$63="☑",15&lt;='Resource Planner'!$N$63),'Resource Planner'!$M$63,"")</f>
        <v/>
      </c>
    </row>
    <row r="2670" ht="15.75" customHeight="1">
      <c r="A26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0" s="163" t="str">
        <f>IF(AND('Resource Planner'!$A$63="☑",16&lt;='Resource Planner'!$N$63),'Resource Planner'!$C$63,"")</f>
        <v/>
      </c>
      <c r="C2670" s="163" t="str">
        <f>IF(AND('Resource Planner'!$A$63="☑",16&lt;='Resource Planner'!$N$63),'Resource Planner'!$B$63,"")</f>
        <v/>
      </c>
      <c r="D2670" s="163" t="str">
        <f>IF(AND('Resource Planner'!$A$63="☑",16&lt;='Resource Planner'!$N$63),'Resource Planner'!$D$63,"")</f>
        <v/>
      </c>
      <c r="E2670" s="163" t="str">
        <f>IF(AND('Resource Planner'!$A$63="☑",16&lt;='Resource Planner'!$N$63),'Resource Planner'!$E$63,"")</f>
        <v/>
      </c>
      <c r="F2670" s="163" t="str">
        <f>IF(AND('Resource Planner'!$A$63="☑",16&lt;='Resource Planner'!$N$63),'Resource Planner'!$F$63&amp;" "&amp;('Resource Planner'!$G$63+(16-1)*'Resource Planner'!$I$63)&amp;IF(('Resource Planner'!$G$63+(16-1)*'Resource Planner'!$I$63)=MIN('Resource Planner'!$G$63+16*'Resource Planner'!$I$63-1,'Resource Planner'!$H$63),"","–"&amp;MIN('Resource Planner'!$G$63+16*'Resource Planner'!$I$63-1,'Resource Planner'!$H$63)),"")</f>
        <v/>
      </c>
      <c r="G2670" s="163" t="s">
        <v>109</v>
      </c>
      <c r="H2670" s="163" t="str">
        <f>IF(AND('Resource Planner'!$A$63="☑",16&lt;='Resource Planner'!$N$63),'Resource Planner'!$M$63,"")</f>
        <v/>
      </c>
    </row>
    <row r="2671" ht="15.75" customHeight="1">
      <c r="A26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1" s="163" t="str">
        <f>IF(AND('Resource Planner'!$A$63="☑",17&lt;='Resource Planner'!$N$63),'Resource Planner'!$C$63,"")</f>
        <v/>
      </c>
      <c r="C2671" s="163" t="str">
        <f>IF(AND('Resource Planner'!$A$63="☑",17&lt;='Resource Planner'!$N$63),'Resource Planner'!$B$63,"")</f>
        <v/>
      </c>
      <c r="D2671" s="163" t="str">
        <f>IF(AND('Resource Planner'!$A$63="☑",17&lt;='Resource Planner'!$N$63),'Resource Planner'!$D$63,"")</f>
        <v/>
      </c>
      <c r="E2671" s="163" t="str">
        <f>IF(AND('Resource Planner'!$A$63="☑",17&lt;='Resource Planner'!$N$63),'Resource Planner'!$E$63,"")</f>
        <v/>
      </c>
      <c r="F2671" s="163" t="str">
        <f>IF(AND('Resource Planner'!$A$63="☑",17&lt;='Resource Planner'!$N$63),'Resource Planner'!$F$63&amp;" "&amp;('Resource Planner'!$G$63+(17-1)*'Resource Planner'!$I$63)&amp;IF(('Resource Planner'!$G$63+(17-1)*'Resource Planner'!$I$63)=MIN('Resource Planner'!$G$63+17*'Resource Planner'!$I$63-1,'Resource Planner'!$H$63),"","–"&amp;MIN('Resource Planner'!$G$63+17*'Resource Planner'!$I$63-1,'Resource Planner'!$H$63)),"")</f>
        <v/>
      </c>
      <c r="G2671" s="163" t="s">
        <v>109</v>
      </c>
      <c r="H2671" s="163" t="str">
        <f>IF(AND('Resource Planner'!$A$63="☑",17&lt;='Resource Planner'!$N$63),'Resource Planner'!$M$63,"")</f>
        <v/>
      </c>
    </row>
    <row r="2672" ht="15.75" customHeight="1">
      <c r="A26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2" s="163" t="str">
        <f>IF(AND('Resource Planner'!$A$63="☑",18&lt;='Resource Planner'!$N$63),'Resource Planner'!$C$63,"")</f>
        <v/>
      </c>
      <c r="C2672" s="163" t="str">
        <f>IF(AND('Resource Planner'!$A$63="☑",18&lt;='Resource Planner'!$N$63),'Resource Planner'!$B$63,"")</f>
        <v/>
      </c>
      <c r="D2672" s="163" t="str">
        <f>IF(AND('Resource Planner'!$A$63="☑",18&lt;='Resource Planner'!$N$63),'Resource Planner'!$D$63,"")</f>
        <v/>
      </c>
      <c r="E2672" s="163" t="str">
        <f>IF(AND('Resource Planner'!$A$63="☑",18&lt;='Resource Planner'!$N$63),'Resource Planner'!$E$63,"")</f>
        <v/>
      </c>
      <c r="F2672" s="163" t="str">
        <f>IF(AND('Resource Planner'!$A$63="☑",18&lt;='Resource Planner'!$N$63),'Resource Planner'!$F$63&amp;" "&amp;('Resource Planner'!$G$63+(18-1)*'Resource Planner'!$I$63)&amp;IF(('Resource Planner'!$G$63+(18-1)*'Resource Planner'!$I$63)=MIN('Resource Planner'!$G$63+18*'Resource Planner'!$I$63-1,'Resource Planner'!$H$63),"","–"&amp;MIN('Resource Planner'!$G$63+18*'Resource Planner'!$I$63-1,'Resource Planner'!$H$63)),"")</f>
        <v/>
      </c>
      <c r="G2672" s="163" t="s">
        <v>109</v>
      </c>
      <c r="H2672" s="163" t="str">
        <f>IF(AND('Resource Planner'!$A$63="☑",18&lt;='Resource Planner'!$N$63),'Resource Planner'!$M$63,"")</f>
        <v/>
      </c>
    </row>
    <row r="2673" ht="15.75" customHeight="1">
      <c r="A26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3" s="163" t="str">
        <f>IF(AND('Resource Planner'!$A$63="☑",19&lt;='Resource Planner'!$N$63),'Resource Planner'!$C$63,"")</f>
        <v/>
      </c>
      <c r="C2673" s="163" t="str">
        <f>IF(AND('Resource Planner'!$A$63="☑",19&lt;='Resource Planner'!$N$63),'Resource Planner'!$B$63,"")</f>
        <v/>
      </c>
      <c r="D2673" s="163" t="str">
        <f>IF(AND('Resource Planner'!$A$63="☑",19&lt;='Resource Planner'!$N$63),'Resource Planner'!$D$63,"")</f>
        <v/>
      </c>
      <c r="E2673" s="163" t="str">
        <f>IF(AND('Resource Planner'!$A$63="☑",19&lt;='Resource Planner'!$N$63),'Resource Planner'!$E$63,"")</f>
        <v/>
      </c>
      <c r="F2673" s="163" t="str">
        <f>IF(AND('Resource Planner'!$A$63="☑",19&lt;='Resource Planner'!$N$63),'Resource Planner'!$F$63&amp;" "&amp;('Resource Planner'!$G$63+(19-1)*'Resource Planner'!$I$63)&amp;IF(('Resource Planner'!$G$63+(19-1)*'Resource Planner'!$I$63)=MIN('Resource Planner'!$G$63+19*'Resource Planner'!$I$63-1,'Resource Planner'!$H$63),"","–"&amp;MIN('Resource Planner'!$G$63+19*'Resource Planner'!$I$63-1,'Resource Planner'!$H$63)),"")</f>
        <v/>
      </c>
      <c r="G2673" s="163" t="s">
        <v>109</v>
      </c>
      <c r="H2673" s="163" t="str">
        <f>IF(AND('Resource Planner'!$A$63="☑",19&lt;='Resource Planner'!$N$63),'Resource Planner'!$M$63,"")</f>
        <v/>
      </c>
    </row>
    <row r="2674" ht="15.75" customHeight="1">
      <c r="A26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4" s="163" t="str">
        <f>IF(AND('Resource Planner'!$A$63="☑",20&lt;='Resource Planner'!$N$63),'Resource Planner'!$C$63,"")</f>
        <v/>
      </c>
      <c r="C2674" s="163" t="str">
        <f>IF(AND('Resource Planner'!$A$63="☑",20&lt;='Resource Planner'!$N$63),'Resource Planner'!$B$63,"")</f>
        <v/>
      </c>
      <c r="D2674" s="163" t="str">
        <f>IF(AND('Resource Planner'!$A$63="☑",20&lt;='Resource Planner'!$N$63),'Resource Planner'!$D$63,"")</f>
        <v/>
      </c>
      <c r="E2674" s="163" t="str">
        <f>IF(AND('Resource Planner'!$A$63="☑",20&lt;='Resource Planner'!$N$63),'Resource Planner'!$E$63,"")</f>
        <v/>
      </c>
      <c r="F2674" s="163" t="str">
        <f>IF(AND('Resource Planner'!$A$63="☑",20&lt;='Resource Planner'!$N$63),'Resource Planner'!$F$63&amp;" "&amp;('Resource Planner'!$G$63+(20-1)*'Resource Planner'!$I$63)&amp;IF(('Resource Planner'!$G$63+(20-1)*'Resource Planner'!$I$63)=MIN('Resource Planner'!$G$63+20*'Resource Planner'!$I$63-1,'Resource Planner'!$H$63),"","–"&amp;MIN('Resource Planner'!$G$63+20*'Resource Planner'!$I$63-1,'Resource Planner'!$H$63)),"")</f>
        <v/>
      </c>
      <c r="G2674" s="163" t="s">
        <v>109</v>
      </c>
      <c r="H2674" s="163" t="str">
        <f>IF(AND('Resource Planner'!$A$63="☑",20&lt;='Resource Planner'!$N$63),'Resource Planner'!$M$63,"")</f>
        <v/>
      </c>
    </row>
    <row r="2675" ht="15.75" customHeight="1">
      <c r="A26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5" s="163" t="str">
        <f>IF(AND('Resource Planner'!$A$63="☑",21&lt;='Resource Planner'!$N$63),'Resource Planner'!$C$63,"")</f>
        <v/>
      </c>
      <c r="C2675" s="163" t="str">
        <f>IF(AND('Resource Planner'!$A$63="☑",21&lt;='Resource Planner'!$N$63),'Resource Planner'!$B$63,"")</f>
        <v/>
      </c>
      <c r="D2675" s="163" t="str">
        <f>IF(AND('Resource Planner'!$A$63="☑",21&lt;='Resource Planner'!$N$63),'Resource Planner'!$D$63,"")</f>
        <v/>
      </c>
      <c r="E2675" s="163" t="str">
        <f>IF(AND('Resource Planner'!$A$63="☑",21&lt;='Resource Planner'!$N$63),'Resource Planner'!$E$63,"")</f>
        <v/>
      </c>
      <c r="F2675" s="163" t="str">
        <f>IF(AND('Resource Planner'!$A$63="☑",21&lt;='Resource Planner'!$N$63),'Resource Planner'!$F$63&amp;" "&amp;('Resource Planner'!$G$63+(21-1)*'Resource Planner'!$I$63)&amp;IF(('Resource Planner'!$G$63+(21-1)*'Resource Planner'!$I$63)=MIN('Resource Planner'!$G$63+21*'Resource Planner'!$I$63-1,'Resource Planner'!$H$63),"","–"&amp;MIN('Resource Planner'!$G$63+21*'Resource Planner'!$I$63-1,'Resource Planner'!$H$63)),"")</f>
        <v/>
      </c>
      <c r="G2675" s="163" t="s">
        <v>109</v>
      </c>
      <c r="H2675" s="163" t="str">
        <f>IF(AND('Resource Planner'!$A$63="☑",21&lt;='Resource Planner'!$N$63),'Resource Planner'!$M$63,"")</f>
        <v/>
      </c>
    </row>
    <row r="2676" ht="15.75" customHeight="1">
      <c r="A26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6" s="163" t="str">
        <f>IF(AND('Resource Planner'!$A$63="☑",22&lt;='Resource Planner'!$N$63),'Resource Planner'!$C$63,"")</f>
        <v/>
      </c>
      <c r="C2676" s="163" t="str">
        <f>IF(AND('Resource Planner'!$A$63="☑",22&lt;='Resource Planner'!$N$63),'Resource Planner'!$B$63,"")</f>
        <v/>
      </c>
      <c r="D2676" s="163" t="str">
        <f>IF(AND('Resource Planner'!$A$63="☑",22&lt;='Resource Planner'!$N$63),'Resource Planner'!$D$63,"")</f>
        <v/>
      </c>
      <c r="E2676" s="163" t="str">
        <f>IF(AND('Resource Planner'!$A$63="☑",22&lt;='Resource Planner'!$N$63),'Resource Planner'!$E$63,"")</f>
        <v/>
      </c>
      <c r="F2676" s="163" t="str">
        <f>IF(AND('Resource Planner'!$A$63="☑",22&lt;='Resource Planner'!$N$63),'Resource Planner'!$F$63&amp;" "&amp;('Resource Planner'!$G$63+(22-1)*'Resource Planner'!$I$63)&amp;IF(('Resource Planner'!$G$63+(22-1)*'Resource Planner'!$I$63)=MIN('Resource Planner'!$G$63+22*'Resource Planner'!$I$63-1,'Resource Planner'!$H$63),"","–"&amp;MIN('Resource Planner'!$G$63+22*'Resource Planner'!$I$63-1,'Resource Planner'!$H$63)),"")</f>
        <v/>
      </c>
      <c r="G2676" s="163" t="s">
        <v>109</v>
      </c>
      <c r="H2676" s="163" t="str">
        <f>IF(AND('Resource Planner'!$A$63="☑",22&lt;='Resource Planner'!$N$63),'Resource Planner'!$M$63,"")</f>
        <v/>
      </c>
    </row>
    <row r="2677" ht="15.75" customHeight="1">
      <c r="A26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7" s="163" t="str">
        <f>IF(AND('Resource Planner'!$A$63="☑",23&lt;='Resource Planner'!$N$63),'Resource Planner'!$C$63,"")</f>
        <v/>
      </c>
      <c r="C2677" s="163" t="str">
        <f>IF(AND('Resource Planner'!$A$63="☑",23&lt;='Resource Planner'!$N$63),'Resource Planner'!$B$63,"")</f>
        <v/>
      </c>
      <c r="D2677" s="163" t="str">
        <f>IF(AND('Resource Planner'!$A$63="☑",23&lt;='Resource Planner'!$N$63),'Resource Planner'!$D$63,"")</f>
        <v/>
      </c>
      <c r="E2677" s="163" t="str">
        <f>IF(AND('Resource Planner'!$A$63="☑",23&lt;='Resource Planner'!$N$63),'Resource Planner'!$E$63,"")</f>
        <v/>
      </c>
      <c r="F2677" s="163" t="str">
        <f>IF(AND('Resource Planner'!$A$63="☑",23&lt;='Resource Planner'!$N$63),'Resource Planner'!$F$63&amp;" "&amp;('Resource Planner'!$G$63+(23-1)*'Resource Planner'!$I$63)&amp;IF(('Resource Planner'!$G$63+(23-1)*'Resource Planner'!$I$63)=MIN('Resource Planner'!$G$63+23*'Resource Planner'!$I$63-1,'Resource Planner'!$H$63),"","–"&amp;MIN('Resource Planner'!$G$63+23*'Resource Planner'!$I$63-1,'Resource Planner'!$H$63)),"")</f>
        <v/>
      </c>
      <c r="G2677" s="163" t="s">
        <v>109</v>
      </c>
      <c r="H2677" s="163" t="str">
        <f>IF(AND('Resource Planner'!$A$63="☑",23&lt;='Resource Planner'!$N$63),'Resource Planner'!$M$63,"")</f>
        <v/>
      </c>
    </row>
    <row r="2678" ht="15.75" customHeight="1">
      <c r="A26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8" s="163" t="str">
        <f>IF(AND('Resource Planner'!$A$63="☑",24&lt;='Resource Planner'!$N$63),'Resource Planner'!$C$63,"")</f>
        <v/>
      </c>
      <c r="C2678" s="163" t="str">
        <f>IF(AND('Resource Planner'!$A$63="☑",24&lt;='Resource Planner'!$N$63),'Resource Planner'!$B$63,"")</f>
        <v/>
      </c>
      <c r="D2678" s="163" t="str">
        <f>IF(AND('Resource Planner'!$A$63="☑",24&lt;='Resource Planner'!$N$63),'Resource Planner'!$D$63,"")</f>
        <v/>
      </c>
      <c r="E2678" s="163" t="str">
        <f>IF(AND('Resource Planner'!$A$63="☑",24&lt;='Resource Planner'!$N$63),'Resource Planner'!$E$63,"")</f>
        <v/>
      </c>
      <c r="F2678" s="163" t="str">
        <f>IF(AND('Resource Planner'!$A$63="☑",24&lt;='Resource Planner'!$N$63),'Resource Planner'!$F$63&amp;" "&amp;('Resource Planner'!$G$63+(24-1)*'Resource Planner'!$I$63)&amp;IF(('Resource Planner'!$G$63+(24-1)*'Resource Planner'!$I$63)=MIN('Resource Planner'!$G$63+24*'Resource Planner'!$I$63-1,'Resource Planner'!$H$63),"","–"&amp;MIN('Resource Planner'!$G$63+24*'Resource Planner'!$I$63-1,'Resource Planner'!$H$63)),"")</f>
        <v/>
      </c>
      <c r="G2678" s="163" t="s">
        <v>109</v>
      </c>
      <c r="H2678" s="163" t="str">
        <f>IF(AND('Resource Planner'!$A$63="☑",24&lt;='Resource Planner'!$N$63),'Resource Planner'!$M$63,"")</f>
        <v/>
      </c>
    </row>
    <row r="2679" ht="15.75" customHeight="1">
      <c r="A26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79" s="163" t="str">
        <f>IF(AND('Resource Planner'!$A$63="☑",25&lt;='Resource Planner'!$N$63),'Resource Planner'!$C$63,"")</f>
        <v/>
      </c>
      <c r="C2679" s="163" t="str">
        <f>IF(AND('Resource Planner'!$A$63="☑",25&lt;='Resource Planner'!$N$63),'Resource Planner'!$B$63,"")</f>
        <v/>
      </c>
      <c r="D2679" s="163" t="str">
        <f>IF(AND('Resource Planner'!$A$63="☑",25&lt;='Resource Planner'!$N$63),'Resource Planner'!$D$63,"")</f>
        <v/>
      </c>
      <c r="E2679" s="163" t="str">
        <f>IF(AND('Resource Planner'!$A$63="☑",25&lt;='Resource Planner'!$N$63),'Resource Planner'!$E$63,"")</f>
        <v/>
      </c>
      <c r="F2679" s="163" t="str">
        <f>IF(AND('Resource Planner'!$A$63="☑",25&lt;='Resource Planner'!$N$63),'Resource Planner'!$F$63&amp;" "&amp;('Resource Planner'!$G$63+(25-1)*'Resource Planner'!$I$63)&amp;IF(('Resource Planner'!$G$63+(25-1)*'Resource Planner'!$I$63)=MIN('Resource Planner'!$G$63+25*'Resource Planner'!$I$63-1,'Resource Planner'!$H$63),"","–"&amp;MIN('Resource Planner'!$G$63+25*'Resource Planner'!$I$63-1,'Resource Planner'!$H$63)),"")</f>
        <v/>
      </c>
      <c r="G2679" s="163" t="s">
        <v>109</v>
      </c>
      <c r="H2679" s="163" t="str">
        <f>IF(AND('Resource Planner'!$A$63="☑",25&lt;='Resource Planner'!$N$63),'Resource Planner'!$M$63,"")</f>
        <v/>
      </c>
    </row>
    <row r="2680" ht="15.75" customHeight="1">
      <c r="A26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0" s="163" t="str">
        <f>IF(AND('Resource Planner'!$A$63="☑",26&lt;='Resource Planner'!$N$63),'Resource Planner'!$C$63,"")</f>
        <v/>
      </c>
      <c r="C2680" s="163" t="str">
        <f>IF(AND('Resource Planner'!$A$63="☑",26&lt;='Resource Planner'!$N$63),'Resource Planner'!$B$63,"")</f>
        <v/>
      </c>
      <c r="D2680" s="163" t="str">
        <f>IF(AND('Resource Planner'!$A$63="☑",26&lt;='Resource Planner'!$N$63),'Resource Planner'!$D$63,"")</f>
        <v/>
      </c>
      <c r="E2680" s="163" t="str">
        <f>IF(AND('Resource Planner'!$A$63="☑",26&lt;='Resource Planner'!$N$63),'Resource Planner'!$E$63,"")</f>
        <v/>
      </c>
      <c r="F2680" s="163" t="str">
        <f>IF(AND('Resource Planner'!$A$63="☑",26&lt;='Resource Planner'!$N$63),'Resource Planner'!$F$63&amp;" "&amp;('Resource Planner'!$G$63+(26-1)*'Resource Planner'!$I$63)&amp;IF(('Resource Planner'!$G$63+(26-1)*'Resource Planner'!$I$63)=MIN('Resource Planner'!$G$63+26*'Resource Planner'!$I$63-1,'Resource Planner'!$H$63),"","–"&amp;MIN('Resource Planner'!$G$63+26*'Resource Planner'!$I$63-1,'Resource Planner'!$H$63)),"")</f>
        <v/>
      </c>
      <c r="G2680" s="163" t="s">
        <v>109</v>
      </c>
      <c r="H2680" s="163" t="str">
        <f>IF(AND('Resource Planner'!$A$63="☑",26&lt;='Resource Planner'!$N$63),'Resource Planner'!$M$63,"")</f>
        <v/>
      </c>
    </row>
    <row r="2681" ht="15.75" customHeight="1">
      <c r="A26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1" s="163" t="str">
        <f>IF(AND('Resource Planner'!$A$63="☑",27&lt;='Resource Planner'!$N$63),'Resource Planner'!$C$63,"")</f>
        <v/>
      </c>
      <c r="C2681" s="163" t="str">
        <f>IF(AND('Resource Planner'!$A$63="☑",27&lt;='Resource Planner'!$N$63),'Resource Planner'!$B$63,"")</f>
        <v/>
      </c>
      <c r="D2681" s="163" t="str">
        <f>IF(AND('Resource Planner'!$A$63="☑",27&lt;='Resource Planner'!$N$63),'Resource Planner'!$D$63,"")</f>
        <v/>
      </c>
      <c r="E2681" s="163" t="str">
        <f>IF(AND('Resource Planner'!$A$63="☑",27&lt;='Resource Planner'!$N$63),'Resource Planner'!$E$63,"")</f>
        <v/>
      </c>
      <c r="F2681" s="163" t="str">
        <f>IF(AND('Resource Planner'!$A$63="☑",27&lt;='Resource Planner'!$N$63),'Resource Planner'!$F$63&amp;" "&amp;('Resource Planner'!$G$63+(27-1)*'Resource Planner'!$I$63)&amp;IF(('Resource Planner'!$G$63+(27-1)*'Resource Planner'!$I$63)=MIN('Resource Planner'!$G$63+27*'Resource Planner'!$I$63-1,'Resource Planner'!$H$63),"","–"&amp;MIN('Resource Planner'!$G$63+27*'Resource Planner'!$I$63-1,'Resource Planner'!$H$63)),"")</f>
        <v/>
      </c>
      <c r="G2681" s="163" t="s">
        <v>109</v>
      </c>
      <c r="H2681" s="163" t="str">
        <f>IF(AND('Resource Planner'!$A$63="☑",27&lt;='Resource Planner'!$N$63),'Resource Planner'!$M$63,"")</f>
        <v/>
      </c>
    </row>
    <row r="2682" ht="15.75" customHeight="1">
      <c r="A26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2" s="163" t="str">
        <f>IF(AND('Resource Planner'!$A$63="☑",28&lt;='Resource Planner'!$N$63),'Resource Planner'!$C$63,"")</f>
        <v/>
      </c>
      <c r="C2682" s="163" t="str">
        <f>IF(AND('Resource Planner'!$A$63="☑",28&lt;='Resource Planner'!$N$63),'Resource Planner'!$B$63,"")</f>
        <v/>
      </c>
      <c r="D2682" s="163" t="str">
        <f>IF(AND('Resource Planner'!$A$63="☑",28&lt;='Resource Planner'!$N$63),'Resource Planner'!$D$63,"")</f>
        <v/>
      </c>
      <c r="E2682" s="163" t="str">
        <f>IF(AND('Resource Planner'!$A$63="☑",28&lt;='Resource Planner'!$N$63),'Resource Planner'!$E$63,"")</f>
        <v/>
      </c>
      <c r="F2682" s="163" t="str">
        <f>IF(AND('Resource Planner'!$A$63="☑",28&lt;='Resource Planner'!$N$63),'Resource Planner'!$F$63&amp;" "&amp;('Resource Planner'!$G$63+(28-1)*'Resource Planner'!$I$63)&amp;IF(('Resource Planner'!$G$63+(28-1)*'Resource Planner'!$I$63)=MIN('Resource Planner'!$G$63+28*'Resource Planner'!$I$63-1,'Resource Planner'!$H$63),"","–"&amp;MIN('Resource Planner'!$G$63+28*'Resource Planner'!$I$63-1,'Resource Planner'!$H$63)),"")</f>
        <v/>
      </c>
      <c r="G2682" s="163" t="s">
        <v>109</v>
      </c>
      <c r="H2682" s="163" t="str">
        <f>IF(AND('Resource Planner'!$A$63="☑",28&lt;='Resource Planner'!$N$63),'Resource Planner'!$M$63,"")</f>
        <v/>
      </c>
    </row>
    <row r="2683" ht="15.75" customHeight="1">
      <c r="A26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3" s="163" t="str">
        <f>IF(AND('Resource Planner'!$A$63="☑",29&lt;='Resource Planner'!$N$63),'Resource Planner'!$C$63,"")</f>
        <v/>
      </c>
      <c r="C2683" s="163" t="str">
        <f>IF(AND('Resource Planner'!$A$63="☑",29&lt;='Resource Planner'!$N$63),'Resource Planner'!$B$63,"")</f>
        <v/>
      </c>
      <c r="D2683" s="163" t="str">
        <f>IF(AND('Resource Planner'!$A$63="☑",29&lt;='Resource Planner'!$N$63),'Resource Planner'!$D$63,"")</f>
        <v/>
      </c>
      <c r="E2683" s="163" t="str">
        <f>IF(AND('Resource Planner'!$A$63="☑",29&lt;='Resource Planner'!$N$63),'Resource Planner'!$E$63,"")</f>
        <v/>
      </c>
      <c r="F2683" s="163" t="str">
        <f>IF(AND('Resource Planner'!$A$63="☑",29&lt;='Resource Planner'!$N$63),'Resource Planner'!$F$63&amp;" "&amp;('Resource Planner'!$G$63+(29-1)*'Resource Planner'!$I$63)&amp;IF(('Resource Planner'!$G$63+(29-1)*'Resource Planner'!$I$63)=MIN('Resource Planner'!$G$63+29*'Resource Planner'!$I$63-1,'Resource Planner'!$H$63),"","–"&amp;MIN('Resource Planner'!$G$63+29*'Resource Planner'!$I$63-1,'Resource Planner'!$H$63)),"")</f>
        <v/>
      </c>
      <c r="G2683" s="163" t="s">
        <v>109</v>
      </c>
      <c r="H2683" s="163" t="str">
        <f>IF(AND('Resource Planner'!$A$63="☑",29&lt;='Resource Planner'!$N$63),'Resource Planner'!$M$63,"")</f>
        <v/>
      </c>
    </row>
    <row r="2684" ht="15.75" customHeight="1">
      <c r="A26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4" s="163" t="str">
        <f>IF(AND('Resource Planner'!$A$63="☑",30&lt;='Resource Planner'!$N$63),'Resource Planner'!$C$63,"")</f>
        <v/>
      </c>
      <c r="C2684" s="163" t="str">
        <f>IF(AND('Resource Planner'!$A$63="☑",30&lt;='Resource Planner'!$N$63),'Resource Planner'!$B$63,"")</f>
        <v/>
      </c>
      <c r="D2684" s="163" t="str">
        <f>IF(AND('Resource Planner'!$A$63="☑",30&lt;='Resource Planner'!$N$63),'Resource Planner'!$D$63,"")</f>
        <v/>
      </c>
      <c r="E2684" s="163" t="str">
        <f>IF(AND('Resource Planner'!$A$63="☑",30&lt;='Resource Planner'!$N$63),'Resource Planner'!$E$63,"")</f>
        <v/>
      </c>
      <c r="F2684" s="163" t="str">
        <f>IF(AND('Resource Planner'!$A$63="☑",30&lt;='Resource Planner'!$N$63),'Resource Planner'!$F$63&amp;" "&amp;('Resource Planner'!$G$63+(30-1)*'Resource Planner'!$I$63)&amp;IF(('Resource Planner'!$G$63+(30-1)*'Resource Planner'!$I$63)=MIN('Resource Planner'!$G$63+30*'Resource Planner'!$I$63-1,'Resource Planner'!$H$63),"","–"&amp;MIN('Resource Planner'!$G$63+30*'Resource Planner'!$I$63-1,'Resource Planner'!$H$63)),"")</f>
        <v/>
      </c>
      <c r="G2684" s="163" t="s">
        <v>109</v>
      </c>
      <c r="H2684" s="163" t="str">
        <f>IF(AND('Resource Planner'!$A$63="☑",30&lt;='Resource Planner'!$N$63),'Resource Planner'!$M$63,"")</f>
        <v/>
      </c>
    </row>
    <row r="2685" ht="15.75" customHeight="1">
      <c r="A26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5" s="163" t="str">
        <f>IF(AND('Resource Planner'!$A$63="☑",31&lt;='Resource Planner'!$N$63),'Resource Planner'!$C$63,"")</f>
        <v/>
      </c>
      <c r="C2685" s="163" t="str">
        <f>IF(AND('Resource Planner'!$A$63="☑",31&lt;='Resource Planner'!$N$63),'Resource Planner'!$B$63,"")</f>
        <v/>
      </c>
      <c r="D2685" s="163" t="str">
        <f>IF(AND('Resource Planner'!$A$63="☑",31&lt;='Resource Planner'!$N$63),'Resource Planner'!$D$63,"")</f>
        <v/>
      </c>
      <c r="E2685" s="163" t="str">
        <f>IF(AND('Resource Planner'!$A$63="☑",31&lt;='Resource Planner'!$N$63),'Resource Planner'!$E$63,"")</f>
        <v/>
      </c>
      <c r="F2685" s="163" t="str">
        <f>IF(AND('Resource Planner'!$A$63="☑",31&lt;='Resource Planner'!$N$63),'Resource Planner'!$F$63&amp;" "&amp;('Resource Planner'!$G$63+(31-1)*'Resource Planner'!$I$63)&amp;IF(('Resource Planner'!$G$63+(31-1)*'Resource Planner'!$I$63)=MIN('Resource Planner'!$G$63+31*'Resource Planner'!$I$63-1,'Resource Planner'!$H$63),"","–"&amp;MIN('Resource Planner'!$G$63+31*'Resource Planner'!$I$63-1,'Resource Planner'!$H$63)),"")</f>
        <v/>
      </c>
      <c r="G2685" s="163" t="s">
        <v>109</v>
      </c>
      <c r="H2685" s="163" t="str">
        <f>IF(AND('Resource Planner'!$A$63="☑",31&lt;='Resource Planner'!$N$63),'Resource Planner'!$M$63,"")</f>
        <v/>
      </c>
    </row>
    <row r="2686" ht="15.75" customHeight="1">
      <c r="A26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6" s="163" t="str">
        <f>IF(AND('Resource Planner'!$A$63="☑",32&lt;='Resource Planner'!$N$63),'Resource Planner'!$C$63,"")</f>
        <v/>
      </c>
      <c r="C2686" s="163" t="str">
        <f>IF(AND('Resource Planner'!$A$63="☑",32&lt;='Resource Planner'!$N$63),'Resource Planner'!$B$63,"")</f>
        <v/>
      </c>
      <c r="D2686" s="163" t="str">
        <f>IF(AND('Resource Planner'!$A$63="☑",32&lt;='Resource Planner'!$N$63),'Resource Planner'!$D$63,"")</f>
        <v/>
      </c>
      <c r="E2686" s="163" t="str">
        <f>IF(AND('Resource Planner'!$A$63="☑",32&lt;='Resource Planner'!$N$63),'Resource Planner'!$E$63,"")</f>
        <v/>
      </c>
      <c r="F2686" s="163" t="str">
        <f>IF(AND('Resource Planner'!$A$63="☑",32&lt;='Resource Planner'!$N$63),'Resource Planner'!$F$63&amp;" "&amp;('Resource Planner'!$G$63+(32-1)*'Resource Planner'!$I$63)&amp;IF(('Resource Planner'!$G$63+(32-1)*'Resource Planner'!$I$63)=MIN('Resource Planner'!$G$63+32*'Resource Planner'!$I$63-1,'Resource Planner'!$H$63),"","–"&amp;MIN('Resource Planner'!$G$63+32*'Resource Planner'!$I$63-1,'Resource Planner'!$H$63)),"")</f>
        <v/>
      </c>
      <c r="G2686" s="163" t="s">
        <v>109</v>
      </c>
      <c r="H2686" s="163" t="str">
        <f>IF(AND('Resource Planner'!$A$63="☑",32&lt;='Resource Planner'!$N$63),'Resource Planner'!$M$63,"")</f>
        <v/>
      </c>
    </row>
    <row r="2687" ht="15.75" customHeight="1">
      <c r="A26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7" s="163" t="str">
        <f>IF(AND('Resource Planner'!$A$63="☑",33&lt;='Resource Planner'!$N$63),'Resource Planner'!$C$63,"")</f>
        <v/>
      </c>
      <c r="C2687" s="163" t="str">
        <f>IF(AND('Resource Planner'!$A$63="☑",33&lt;='Resource Planner'!$N$63),'Resource Planner'!$B$63,"")</f>
        <v/>
      </c>
      <c r="D2687" s="163" t="str">
        <f>IF(AND('Resource Planner'!$A$63="☑",33&lt;='Resource Planner'!$N$63),'Resource Planner'!$D$63,"")</f>
        <v/>
      </c>
      <c r="E2687" s="163" t="str">
        <f>IF(AND('Resource Planner'!$A$63="☑",33&lt;='Resource Planner'!$N$63),'Resource Planner'!$E$63,"")</f>
        <v/>
      </c>
      <c r="F2687" s="163" t="str">
        <f>IF(AND('Resource Planner'!$A$63="☑",33&lt;='Resource Planner'!$N$63),'Resource Planner'!$F$63&amp;" "&amp;('Resource Planner'!$G$63+(33-1)*'Resource Planner'!$I$63)&amp;IF(('Resource Planner'!$G$63+(33-1)*'Resource Planner'!$I$63)=MIN('Resource Planner'!$G$63+33*'Resource Planner'!$I$63-1,'Resource Planner'!$H$63),"","–"&amp;MIN('Resource Planner'!$G$63+33*'Resource Planner'!$I$63-1,'Resource Planner'!$H$63)),"")</f>
        <v/>
      </c>
      <c r="G2687" s="163" t="s">
        <v>109</v>
      </c>
      <c r="H2687" s="163" t="str">
        <f>IF(AND('Resource Planner'!$A$63="☑",33&lt;='Resource Planner'!$N$63),'Resource Planner'!$M$63,"")</f>
        <v/>
      </c>
    </row>
    <row r="2688" ht="15.75" customHeight="1">
      <c r="A26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8" s="163" t="str">
        <f>IF(AND('Resource Planner'!$A$63="☑",34&lt;='Resource Planner'!$N$63),'Resource Planner'!$C$63,"")</f>
        <v/>
      </c>
      <c r="C2688" s="163" t="str">
        <f>IF(AND('Resource Planner'!$A$63="☑",34&lt;='Resource Planner'!$N$63),'Resource Planner'!$B$63,"")</f>
        <v/>
      </c>
      <c r="D2688" s="163" t="str">
        <f>IF(AND('Resource Planner'!$A$63="☑",34&lt;='Resource Planner'!$N$63),'Resource Planner'!$D$63,"")</f>
        <v/>
      </c>
      <c r="E2688" s="163" t="str">
        <f>IF(AND('Resource Planner'!$A$63="☑",34&lt;='Resource Planner'!$N$63),'Resource Planner'!$E$63,"")</f>
        <v/>
      </c>
      <c r="F2688" s="163" t="str">
        <f>IF(AND('Resource Planner'!$A$63="☑",34&lt;='Resource Planner'!$N$63),'Resource Planner'!$F$63&amp;" "&amp;('Resource Planner'!$G$63+(34-1)*'Resource Planner'!$I$63)&amp;IF(('Resource Planner'!$G$63+(34-1)*'Resource Planner'!$I$63)=MIN('Resource Planner'!$G$63+34*'Resource Planner'!$I$63-1,'Resource Planner'!$H$63),"","–"&amp;MIN('Resource Planner'!$G$63+34*'Resource Planner'!$I$63-1,'Resource Planner'!$H$63)),"")</f>
        <v/>
      </c>
      <c r="G2688" s="163" t="s">
        <v>109</v>
      </c>
      <c r="H2688" s="163" t="str">
        <f>IF(AND('Resource Planner'!$A$63="☑",34&lt;='Resource Planner'!$N$63),'Resource Planner'!$M$63,"")</f>
        <v/>
      </c>
    </row>
    <row r="2689" ht="15.75" customHeight="1">
      <c r="A26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89" s="163" t="str">
        <f>IF(AND('Resource Planner'!$A$63="☑",35&lt;='Resource Planner'!$N$63),'Resource Planner'!$C$63,"")</f>
        <v/>
      </c>
      <c r="C2689" s="163" t="str">
        <f>IF(AND('Resource Planner'!$A$63="☑",35&lt;='Resource Planner'!$N$63),'Resource Planner'!$B$63,"")</f>
        <v/>
      </c>
      <c r="D2689" s="163" t="str">
        <f>IF(AND('Resource Planner'!$A$63="☑",35&lt;='Resource Planner'!$N$63),'Resource Planner'!$D$63,"")</f>
        <v/>
      </c>
      <c r="E2689" s="163" t="str">
        <f>IF(AND('Resource Planner'!$A$63="☑",35&lt;='Resource Planner'!$N$63),'Resource Planner'!$E$63,"")</f>
        <v/>
      </c>
      <c r="F2689" s="163" t="str">
        <f>IF(AND('Resource Planner'!$A$63="☑",35&lt;='Resource Planner'!$N$63),'Resource Planner'!$F$63&amp;" "&amp;('Resource Planner'!$G$63+(35-1)*'Resource Planner'!$I$63)&amp;IF(('Resource Planner'!$G$63+(35-1)*'Resource Planner'!$I$63)=MIN('Resource Planner'!$G$63+35*'Resource Planner'!$I$63-1,'Resource Planner'!$H$63),"","–"&amp;MIN('Resource Planner'!$G$63+35*'Resource Planner'!$I$63-1,'Resource Planner'!$H$63)),"")</f>
        <v/>
      </c>
      <c r="G2689" s="163" t="s">
        <v>109</v>
      </c>
      <c r="H2689" s="163" t="str">
        <f>IF(AND('Resource Planner'!$A$63="☑",35&lt;='Resource Planner'!$N$63),'Resource Planner'!$M$63,"")</f>
        <v/>
      </c>
    </row>
    <row r="2690" ht="15.75" customHeight="1">
      <c r="A26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0" s="163" t="str">
        <f>IF(AND('Resource Planner'!$A$63="☑",36&lt;='Resource Planner'!$N$63),'Resource Planner'!$C$63,"")</f>
        <v/>
      </c>
      <c r="C2690" s="163" t="str">
        <f>IF(AND('Resource Planner'!$A$63="☑",36&lt;='Resource Planner'!$N$63),'Resource Planner'!$B$63,"")</f>
        <v/>
      </c>
      <c r="D2690" s="163" t="str">
        <f>IF(AND('Resource Planner'!$A$63="☑",36&lt;='Resource Planner'!$N$63),'Resource Planner'!$D$63,"")</f>
        <v/>
      </c>
      <c r="E2690" s="163" t="str">
        <f>IF(AND('Resource Planner'!$A$63="☑",36&lt;='Resource Planner'!$N$63),'Resource Planner'!$E$63,"")</f>
        <v/>
      </c>
      <c r="F2690" s="163" t="str">
        <f>IF(AND('Resource Planner'!$A$63="☑",36&lt;='Resource Planner'!$N$63),'Resource Planner'!$F$63&amp;" "&amp;('Resource Planner'!$G$63+(36-1)*'Resource Planner'!$I$63)&amp;IF(('Resource Planner'!$G$63+(36-1)*'Resource Planner'!$I$63)=MIN('Resource Planner'!$G$63+36*'Resource Planner'!$I$63-1,'Resource Planner'!$H$63),"","–"&amp;MIN('Resource Planner'!$G$63+36*'Resource Planner'!$I$63-1,'Resource Planner'!$H$63)),"")</f>
        <v/>
      </c>
      <c r="G2690" s="163" t="s">
        <v>109</v>
      </c>
      <c r="H2690" s="163" t="str">
        <f>IF(AND('Resource Planner'!$A$63="☑",36&lt;='Resource Planner'!$N$63),'Resource Planner'!$M$63,"")</f>
        <v/>
      </c>
    </row>
    <row r="2691" ht="15.75" customHeight="1">
      <c r="A26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1" s="163" t="str">
        <f>IF(AND('Resource Planner'!$A$63="☑",37&lt;='Resource Planner'!$N$63),'Resource Planner'!$C$63,"")</f>
        <v/>
      </c>
      <c r="C2691" s="163" t="str">
        <f>IF(AND('Resource Planner'!$A$63="☑",37&lt;='Resource Planner'!$N$63),'Resource Planner'!$B$63,"")</f>
        <v/>
      </c>
      <c r="D2691" s="163" t="str">
        <f>IF(AND('Resource Planner'!$A$63="☑",37&lt;='Resource Planner'!$N$63),'Resource Planner'!$D$63,"")</f>
        <v/>
      </c>
      <c r="E2691" s="163" t="str">
        <f>IF(AND('Resource Planner'!$A$63="☑",37&lt;='Resource Planner'!$N$63),'Resource Planner'!$E$63,"")</f>
        <v/>
      </c>
      <c r="F2691" s="163" t="str">
        <f>IF(AND('Resource Planner'!$A$63="☑",37&lt;='Resource Planner'!$N$63),'Resource Planner'!$F$63&amp;" "&amp;('Resource Planner'!$G$63+(37-1)*'Resource Planner'!$I$63)&amp;IF(('Resource Planner'!$G$63+(37-1)*'Resource Planner'!$I$63)=MIN('Resource Planner'!$G$63+37*'Resource Planner'!$I$63-1,'Resource Planner'!$H$63),"","–"&amp;MIN('Resource Planner'!$G$63+37*'Resource Planner'!$I$63-1,'Resource Planner'!$H$63)),"")</f>
        <v/>
      </c>
      <c r="G2691" s="163" t="s">
        <v>109</v>
      </c>
      <c r="H2691" s="163" t="str">
        <f>IF(AND('Resource Planner'!$A$63="☑",37&lt;='Resource Planner'!$N$63),'Resource Planner'!$M$63,"")</f>
        <v/>
      </c>
    </row>
    <row r="2692" ht="15.75" customHeight="1">
      <c r="A26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2" s="163" t="str">
        <f>IF(AND('Resource Planner'!$A$63="☑",38&lt;='Resource Planner'!$N$63),'Resource Planner'!$C$63,"")</f>
        <v/>
      </c>
      <c r="C2692" s="163" t="str">
        <f>IF(AND('Resource Planner'!$A$63="☑",38&lt;='Resource Planner'!$N$63),'Resource Planner'!$B$63,"")</f>
        <v/>
      </c>
      <c r="D2692" s="163" t="str">
        <f>IF(AND('Resource Planner'!$A$63="☑",38&lt;='Resource Planner'!$N$63),'Resource Planner'!$D$63,"")</f>
        <v/>
      </c>
      <c r="E2692" s="163" t="str">
        <f>IF(AND('Resource Planner'!$A$63="☑",38&lt;='Resource Planner'!$N$63),'Resource Planner'!$E$63,"")</f>
        <v/>
      </c>
      <c r="F2692" s="163" t="str">
        <f>IF(AND('Resource Planner'!$A$63="☑",38&lt;='Resource Planner'!$N$63),'Resource Planner'!$F$63&amp;" "&amp;('Resource Planner'!$G$63+(38-1)*'Resource Planner'!$I$63)&amp;IF(('Resource Planner'!$G$63+(38-1)*'Resource Planner'!$I$63)=MIN('Resource Planner'!$G$63+38*'Resource Planner'!$I$63-1,'Resource Planner'!$H$63),"","–"&amp;MIN('Resource Planner'!$G$63+38*'Resource Planner'!$I$63-1,'Resource Planner'!$H$63)),"")</f>
        <v/>
      </c>
      <c r="G2692" s="163" t="s">
        <v>109</v>
      </c>
      <c r="H2692" s="163" t="str">
        <f>IF(AND('Resource Planner'!$A$63="☑",38&lt;='Resource Planner'!$N$63),'Resource Planner'!$M$63,"")</f>
        <v/>
      </c>
    </row>
    <row r="2693" ht="15.75" customHeight="1">
      <c r="A26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3" s="163" t="str">
        <f>IF(AND('Resource Planner'!$A$63="☑",39&lt;='Resource Planner'!$N$63),'Resource Planner'!$C$63,"")</f>
        <v/>
      </c>
      <c r="C2693" s="163" t="str">
        <f>IF(AND('Resource Planner'!$A$63="☑",39&lt;='Resource Planner'!$N$63),'Resource Planner'!$B$63,"")</f>
        <v/>
      </c>
      <c r="D2693" s="163" t="str">
        <f>IF(AND('Resource Planner'!$A$63="☑",39&lt;='Resource Planner'!$N$63),'Resource Planner'!$D$63,"")</f>
        <v/>
      </c>
      <c r="E2693" s="163" t="str">
        <f>IF(AND('Resource Planner'!$A$63="☑",39&lt;='Resource Planner'!$N$63),'Resource Planner'!$E$63,"")</f>
        <v/>
      </c>
      <c r="F2693" s="163" t="str">
        <f>IF(AND('Resource Planner'!$A$63="☑",39&lt;='Resource Planner'!$N$63),'Resource Planner'!$F$63&amp;" "&amp;('Resource Planner'!$G$63+(39-1)*'Resource Planner'!$I$63)&amp;IF(('Resource Planner'!$G$63+(39-1)*'Resource Planner'!$I$63)=MIN('Resource Planner'!$G$63+39*'Resource Planner'!$I$63-1,'Resource Planner'!$H$63),"","–"&amp;MIN('Resource Planner'!$G$63+39*'Resource Planner'!$I$63-1,'Resource Planner'!$H$63)),"")</f>
        <v/>
      </c>
      <c r="G2693" s="163" t="s">
        <v>109</v>
      </c>
      <c r="H2693" s="163" t="str">
        <f>IF(AND('Resource Planner'!$A$63="☑",39&lt;='Resource Planner'!$N$63),'Resource Planner'!$M$63,"")</f>
        <v/>
      </c>
    </row>
    <row r="2694" ht="15.75" customHeight="1">
      <c r="A26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4" s="163" t="str">
        <f>IF(AND('Resource Planner'!$A$63="☑",40&lt;='Resource Planner'!$N$63),'Resource Planner'!$C$63,"")</f>
        <v/>
      </c>
      <c r="C2694" s="163" t="str">
        <f>IF(AND('Resource Planner'!$A$63="☑",40&lt;='Resource Planner'!$N$63),'Resource Planner'!$B$63,"")</f>
        <v/>
      </c>
      <c r="D2694" s="163" t="str">
        <f>IF(AND('Resource Planner'!$A$63="☑",40&lt;='Resource Planner'!$N$63),'Resource Planner'!$D$63,"")</f>
        <v/>
      </c>
      <c r="E2694" s="163" t="str">
        <f>IF(AND('Resource Planner'!$A$63="☑",40&lt;='Resource Planner'!$N$63),'Resource Planner'!$E$63,"")</f>
        <v/>
      </c>
      <c r="F2694" s="163" t="str">
        <f>IF(AND('Resource Planner'!$A$63="☑",40&lt;='Resource Planner'!$N$63),'Resource Planner'!$F$63&amp;" "&amp;('Resource Planner'!$G$63+(40-1)*'Resource Planner'!$I$63)&amp;IF(('Resource Planner'!$G$63+(40-1)*'Resource Planner'!$I$63)=MIN('Resource Planner'!$G$63+40*'Resource Planner'!$I$63-1,'Resource Planner'!$H$63),"","–"&amp;MIN('Resource Planner'!$G$63+40*'Resource Planner'!$I$63-1,'Resource Planner'!$H$63)),"")</f>
        <v/>
      </c>
      <c r="G2694" s="163" t="s">
        <v>109</v>
      </c>
      <c r="H2694" s="163" t="str">
        <f>IF(AND('Resource Planner'!$A$63="☑",40&lt;='Resource Planner'!$N$63),'Resource Planner'!$M$63,"")</f>
        <v/>
      </c>
    </row>
    <row r="2695" ht="15.75" customHeight="1">
      <c r="A26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5" s="163" t="str">
        <f>IF(AND('Resource Planner'!$A$63="☑",41&lt;='Resource Planner'!$N$63),'Resource Planner'!$C$63,"")</f>
        <v/>
      </c>
      <c r="C2695" s="163" t="str">
        <f>IF(AND('Resource Planner'!$A$63="☑",41&lt;='Resource Planner'!$N$63),'Resource Planner'!$B$63,"")</f>
        <v/>
      </c>
      <c r="D2695" s="163" t="str">
        <f>IF(AND('Resource Planner'!$A$63="☑",41&lt;='Resource Planner'!$N$63),'Resource Planner'!$D$63,"")</f>
        <v/>
      </c>
      <c r="E2695" s="163" t="str">
        <f>IF(AND('Resource Planner'!$A$63="☑",41&lt;='Resource Planner'!$N$63),'Resource Planner'!$E$63,"")</f>
        <v/>
      </c>
      <c r="F2695" s="163" t="str">
        <f>IF(AND('Resource Planner'!$A$63="☑",41&lt;='Resource Planner'!$N$63),'Resource Planner'!$F$63&amp;" "&amp;('Resource Planner'!$G$63+(41-1)*'Resource Planner'!$I$63)&amp;IF(('Resource Planner'!$G$63+(41-1)*'Resource Planner'!$I$63)=MIN('Resource Planner'!$G$63+41*'Resource Planner'!$I$63-1,'Resource Planner'!$H$63),"","–"&amp;MIN('Resource Planner'!$G$63+41*'Resource Planner'!$I$63-1,'Resource Planner'!$H$63)),"")</f>
        <v/>
      </c>
      <c r="G2695" s="163" t="s">
        <v>109</v>
      </c>
      <c r="H2695" s="163" t="str">
        <f>IF(AND('Resource Planner'!$A$63="☑",41&lt;='Resource Planner'!$N$63),'Resource Planner'!$M$63,"")</f>
        <v/>
      </c>
    </row>
    <row r="2696" ht="15.75" customHeight="1">
      <c r="A26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6" s="163" t="str">
        <f>IF(AND('Resource Planner'!$A$63="☑",42&lt;='Resource Planner'!$N$63),'Resource Planner'!$C$63,"")</f>
        <v/>
      </c>
      <c r="C2696" s="163" t="str">
        <f>IF(AND('Resource Planner'!$A$63="☑",42&lt;='Resource Planner'!$N$63),'Resource Planner'!$B$63,"")</f>
        <v/>
      </c>
      <c r="D2696" s="163" t="str">
        <f>IF(AND('Resource Planner'!$A$63="☑",42&lt;='Resource Planner'!$N$63),'Resource Planner'!$D$63,"")</f>
        <v/>
      </c>
      <c r="E2696" s="163" t="str">
        <f>IF(AND('Resource Planner'!$A$63="☑",42&lt;='Resource Planner'!$N$63),'Resource Planner'!$E$63,"")</f>
        <v/>
      </c>
      <c r="F2696" s="163" t="str">
        <f>IF(AND('Resource Planner'!$A$63="☑",42&lt;='Resource Planner'!$N$63),'Resource Planner'!$F$63&amp;" "&amp;('Resource Planner'!$G$63+(42-1)*'Resource Planner'!$I$63)&amp;IF(('Resource Planner'!$G$63+(42-1)*'Resource Planner'!$I$63)=MIN('Resource Planner'!$G$63+42*'Resource Planner'!$I$63-1,'Resource Planner'!$H$63),"","–"&amp;MIN('Resource Planner'!$G$63+42*'Resource Planner'!$I$63-1,'Resource Planner'!$H$63)),"")</f>
        <v/>
      </c>
      <c r="G2696" s="163" t="s">
        <v>109</v>
      </c>
      <c r="H2696" s="163" t="str">
        <f>IF(AND('Resource Planner'!$A$63="☑",42&lt;='Resource Planner'!$N$63),'Resource Planner'!$M$63,"")</f>
        <v/>
      </c>
    </row>
    <row r="2697" ht="15.75" customHeight="1">
      <c r="A26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7" s="163" t="str">
        <f>IF(AND('Resource Planner'!$A$63="☑",43&lt;='Resource Planner'!$N$63),'Resource Planner'!$C$63,"")</f>
        <v/>
      </c>
      <c r="C2697" s="163" t="str">
        <f>IF(AND('Resource Planner'!$A$63="☑",43&lt;='Resource Planner'!$N$63),'Resource Planner'!$B$63,"")</f>
        <v/>
      </c>
      <c r="D2697" s="163" t="str">
        <f>IF(AND('Resource Planner'!$A$63="☑",43&lt;='Resource Planner'!$N$63),'Resource Planner'!$D$63,"")</f>
        <v/>
      </c>
      <c r="E2697" s="163" t="str">
        <f>IF(AND('Resource Planner'!$A$63="☑",43&lt;='Resource Planner'!$N$63),'Resource Planner'!$E$63,"")</f>
        <v/>
      </c>
      <c r="F2697" s="163" t="str">
        <f>IF(AND('Resource Planner'!$A$63="☑",43&lt;='Resource Planner'!$N$63),'Resource Planner'!$F$63&amp;" "&amp;('Resource Planner'!$G$63+(43-1)*'Resource Planner'!$I$63)&amp;IF(('Resource Planner'!$G$63+(43-1)*'Resource Planner'!$I$63)=MIN('Resource Planner'!$G$63+43*'Resource Planner'!$I$63-1,'Resource Planner'!$H$63),"","–"&amp;MIN('Resource Planner'!$G$63+43*'Resource Planner'!$I$63-1,'Resource Planner'!$H$63)),"")</f>
        <v/>
      </c>
      <c r="G2697" s="163" t="s">
        <v>109</v>
      </c>
      <c r="H2697" s="163" t="str">
        <f>IF(AND('Resource Planner'!$A$63="☑",43&lt;='Resource Planner'!$N$63),'Resource Planner'!$M$63,"")</f>
        <v/>
      </c>
    </row>
    <row r="2698" ht="15.75" customHeight="1">
      <c r="A26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8" s="163" t="str">
        <f>IF(AND('Resource Planner'!$A$63="☑",44&lt;='Resource Planner'!$N$63),'Resource Planner'!$C$63,"")</f>
        <v/>
      </c>
      <c r="C2698" s="163" t="str">
        <f>IF(AND('Resource Planner'!$A$63="☑",44&lt;='Resource Planner'!$N$63),'Resource Planner'!$B$63,"")</f>
        <v/>
      </c>
      <c r="D2698" s="163" t="str">
        <f>IF(AND('Resource Planner'!$A$63="☑",44&lt;='Resource Planner'!$N$63),'Resource Planner'!$D$63,"")</f>
        <v/>
      </c>
      <c r="E2698" s="163" t="str">
        <f>IF(AND('Resource Planner'!$A$63="☑",44&lt;='Resource Planner'!$N$63),'Resource Planner'!$E$63,"")</f>
        <v/>
      </c>
      <c r="F2698" s="163" t="str">
        <f>IF(AND('Resource Planner'!$A$63="☑",44&lt;='Resource Planner'!$N$63),'Resource Planner'!$F$63&amp;" "&amp;('Resource Planner'!$G$63+(44-1)*'Resource Planner'!$I$63)&amp;IF(('Resource Planner'!$G$63+(44-1)*'Resource Planner'!$I$63)=MIN('Resource Planner'!$G$63+44*'Resource Planner'!$I$63-1,'Resource Planner'!$H$63),"","–"&amp;MIN('Resource Planner'!$G$63+44*'Resource Planner'!$I$63-1,'Resource Planner'!$H$63)),"")</f>
        <v/>
      </c>
      <c r="G2698" s="163" t="s">
        <v>109</v>
      </c>
      <c r="H2698" s="163" t="str">
        <f>IF(AND('Resource Planner'!$A$63="☑",44&lt;='Resource Planner'!$N$63),'Resource Planner'!$M$63,"")</f>
        <v/>
      </c>
    </row>
    <row r="2699" ht="15.75" customHeight="1">
      <c r="A26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699" s="163" t="str">
        <f>IF(AND('Resource Planner'!$A$63="☑",45&lt;='Resource Planner'!$N$63),'Resource Planner'!$C$63,"")</f>
        <v/>
      </c>
      <c r="C2699" s="163" t="str">
        <f>IF(AND('Resource Planner'!$A$63="☑",45&lt;='Resource Planner'!$N$63),'Resource Planner'!$B$63,"")</f>
        <v/>
      </c>
      <c r="D2699" s="163" t="str">
        <f>IF(AND('Resource Planner'!$A$63="☑",45&lt;='Resource Planner'!$N$63),'Resource Planner'!$D$63,"")</f>
        <v/>
      </c>
      <c r="E2699" s="163" t="str">
        <f>IF(AND('Resource Planner'!$A$63="☑",45&lt;='Resource Planner'!$N$63),'Resource Planner'!$E$63,"")</f>
        <v/>
      </c>
      <c r="F2699" s="163" t="str">
        <f>IF(AND('Resource Planner'!$A$63="☑",45&lt;='Resource Planner'!$N$63),'Resource Planner'!$F$63&amp;" "&amp;('Resource Planner'!$G$63+(45-1)*'Resource Planner'!$I$63)&amp;IF(('Resource Planner'!$G$63+(45-1)*'Resource Planner'!$I$63)=MIN('Resource Planner'!$G$63+45*'Resource Planner'!$I$63-1,'Resource Planner'!$H$63),"","–"&amp;MIN('Resource Planner'!$G$63+45*'Resource Planner'!$I$63-1,'Resource Planner'!$H$63)),"")</f>
        <v/>
      </c>
      <c r="G2699" s="163" t="s">
        <v>109</v>
      </c>
      <c r="H2699" s="163" t="str">
        <f>IF(AND('Resource Planner'!$A$63="☑",45&lt;='Resource Planner'!$N$63),'Resource Planner'!$M$63,"")</f>
        <v/>
      </c>
    </row>
    <row r="2700" ht="15.75" customHeight="1">
      <c r="A27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0" s="163" t="str">
        <f>IF(AND('Resource Planner'!$A$63="☑",46&lt;='Resource Planner'!$N$63),'Resource Planner'!$C$63,"")</f>
        <v/>
      </c>
      <c r="C2700" s="163" t="str">
        <f>IF(AND('Resource Planner'!$A$63="☑",46&lt;='Resource Planner'!$N$63),'Resource Planner'!$B$63,"")</f>
        <v/>
      </c>
      <c r="D2700" s="163" t="str">
        <f>IF(AND('Resource Planner'!$A$63="☑",46&lt;='Resource Planner'!$N$63),'Resource Planner'!$D$63,"")</f>
        <v/>
      </c>
      <c r="E2700" s="163" t="str">
        <f>IF(AND('Resource Planner'!$A$63="☑",46&lt;='Resource Planner'!$N$63),'Resource Planner'!$E$63,"")</f>
        <v/>
      </c>
      <c r="F2700" s="163" t="str">
        <f>IF(AND('Resource Planner'!$A$63="☑",46&lt;='Resource Planner'!$N$63),'Resource Planner'!$F$63&amp;" "&amp;('Resource Planner'!$G$63+(46-1)*'Resource Planner'!$I$63)&amp;IF(('Resource Planner'!$G$63+(46-1)*'Resource Planner'!$I$63)=MIN('Resource Planner'!$G$63+46*'Resource Planner'!$I$63-1,'Resource Planner'!$H$63),"","–"&amp;MIN('Resource Planner'!$G$63+46*'Resource Planner'!$I$63-1,'Resource Planner'!$H$63)),"")</f>
        <v/>
      </c>
      <c r="G2700" s="163" t="s">
        <v>109</v>
      </c>
      <c r="H2700" s="163" t="str">
        <f>IF(AND('Resource Planner'!$A$63="☑",46&lt;='Resource Planner'!$N$63),'Resource Planner'!$M$63,"")</f>
        <v/>
      </c>
    </row>
    <row r="2701" ht="15.75" customHeight="1">
      <c r="A27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1" s="163" t="str">
        <f>IF(AND('Resource Planner'!$A$63="☑",47&lt;='Resource Planner'!$N$63),'Resource Planner'!$C$63,"")</f>
        <v/>
      </c>
      <c r="C2701" s="163" t="str">
        <f>IF(AND('Resource Planner'!$A$63="☑",47&lt;='Resource Planner'!$N$63),'Resource Planner'!$B$63,"")</f>
        <v/>
      </c>
      <c r="D2701" s="163" t="str">
        <f>IF(AND('Resource Planner'!$A$63="☑",47&lt;='Resource Planner'!$N$63),'Resource Planner'!$D$63,"")</f>
        <v/>
      </c>
      <c r="E2701" s="163" t="str">
        <f>IF(AND('Resource Planner'!$A$63="☑",47&lt;='Resource Planner'!$N$63),'Resource Planner'!$E$63,"")</f>
        <v/>
      </c>
      <c r="F2701" s="163" t="str">
        <f>IF(AND('Resource Planner'!$A$63="☑",47&lt;='Resource Planner'!$N$63),'Resource Planner'!$F$63&amp;" "&amp;('Resource Planner'!$G$63+(47-1)*'Resource Planner'!$I$63)&amp;IF(('Resource Planner'!$G$63+(47-1)*'Resource Planner'!$I$63)=MIN('Resource Planner'!$G$63+47*'Resource Planner'!$I$63-1,'Resource Planner'!$H$63),"","–"&amp;MIN('Resource Planner'!$G$63+47*'Resource Planner'!$I$63-1,'Resource Planner'!$H$63)),"")</f>
        <v/>
      </c>
      <c r="G2701" s="163" t="s">
        <v>109</v>
      </c>
      <c r="H2701" s="163" t="str">
        <f>IF(AND('Resource Planner'!$A$63="☑",47&lt;='Resource Planner'!$N$63),'Resource Planner'!$M$63,"")</f>
        <v/>
      </c>
    </row>
    <row r="2702" ht="15.75" customHeight="1">
      <c r="A27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2" s="163" t="str">
        <f>IF(AND('Resource Planner'!$A$63="☑",48&lt;='Resource Planner'!$N$63),'Resource Planner'!$C$63,"")</f>
        <v/>
      </c>
      <c r="C2702" s="163" t="str">
        <f>IF(AND('Resource Planner'!$A$63="☑",48&lt;='Resource Planner'!$N$63),'Resource Planner'!$B$63,"")</f>
        <v/>
      </c>
      <c r="D2702" s="163" t="str">
        <f>IF(AND('Resource Planner'!$A$63="☑",48&lt;='Resource Planner'!$N$63),'Resource Planner'!$D$63,"")</f>
        <v/>
      </c>
      <c r="E2702" s="163" t="str">
        <f>IF(AND('Resource Planner'!$A$63="☑",48&lt;='Resource Planner'!$N$63),'Resource Planner'!$E$63,"")</f>
        <v/>
      </c>
      <c r="F2702" s="163" t="str">
        <f>IF(AND('Resource Planner'!$A$63="☑",48&lt;='Resource Planner'!$N$63),'Resource Planner'!$F$63&amp;" "&amp;('Resource Planner'!$G$63+(48-1)*'Resource Planner'!$I$63)&amp;IF(('Resource Planner'!$G$63+(48-1)*'Resource Planner'!$I$63)=MIN('Resource Planner'!$G$63+48*'Resource Planner'!$I$63-1,'Resource Planner'!$H$63),"","–"&amp;MIN('Resource Planner'!$G$63+48*'Resource Planner'!$I$63-1,'Resource Planner'!$H$63)),"")</f>
        <v/>
      </c>
      <c r="G2702" s="163" t="s">
        <v>109</v>
      </c>
      <c r="H2702" s="163" t="str">
        <f>IF(AND('Resource Planner'!$A$63="☑",48&lt;='Resource Planner'!$N$63),'Resource Planner'!$M$63,"")</f>
        <v/>
      </c>
    </row>
    <row r="2703" ht="15.75" customHeight="1">
      <c r="A27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3" s="163" t="str">
        <f>IF(AND('Resource Planner'!$A$63="☑",49&lt;='Resource Planner'!$N$63),'Resource Planner'!$C$63,"")</f>
        <v/>
      </c>
      <c r="C2703" s="163" t="str">
        <f>IF(AND('Resource Planner'!$A$63="☑",49&lt;='Resource Planner'!$N$63),'Resource Planner'!$B$63,"")</f>
        <v/>
      </c>
      <c r="D2703" s="163" t="str">
        <f>IF(AND('Resource Planner'!$A$63="☑",49&lt;='Resource Planner'!$N$63),'Resource Planner'!$D$63,"")</f>
        <v/>
      </c>
      <c r="E2703" s="163" t="str">
        <f>IF(AND('Resource Planner'!$A$63="☑",49&lt;='Resource Planner'!$N$63),'Resource Planner'!$E$63,"")</f>
        <v/>
      </c>
      <c r="F2703" s="163" t="str">
        <f>IF(AND('Resource Planner'!$A$63="☑",49&lt;='Resource Planner'!$N$63),'Resource Planner'!$F$63&amp;" "&amp;('Resource Planner'!$G$63+(49-1)*'Resource Planner'!$I$63)&amp;IF(('Resource Planner'!$G$63+(49-1)*'Resource Planner'!$I$63)=MIN('Resource Planner'!$G$63+49*'Resource Planner'!$I$63-1,'Resource Planner'!$H$63),"","–"&amp;MIN('Resource Planner'!$G$63+49*'Resource Planner'!$I$63-1,'Resource Planner'!$H$63)),"")</f>
        <v/>
      </c>
      <c r="G2703" s="163" t="s">
        <v>109</v>
      </c>
      <c r="H2703" s="163" t="str">
        <f>IF(AND('Resource Planner'!$A$63="☑",49&lt;='Resource Planner'!$N$63),'Resource Planner'!$M$63,"")</f>
        <v/>
      </c>
    </row>
    <row r="2704" ht="15.75" customHeight="1">
      <c r="A27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4" s="163" t="str">
        <f>IF(AND('Resource Planner'!$A$63="☑",50&lt;='Resource Planner'!$N$63),'Resource Planner'!$C$63,"")</f>
        <v/>
      </c>
      <c r="C2704" s="163" t="str">
        <f>IF(AND('Resource Planner'!$A$63="☑",50&lt;='Resource Planner'!$N$63),'Resource Planner'!$B$63,"")</f>
        <v/>
      </c>
      <c r="D2704" s="163" t="str">
        <f>IF(AND('Resource Planner'!$A$63="☑",50&lt;='Resource Planner'!$N$63),'Resource Planner'!$D$63,"")</f>
        <v/>
      </c>
      <c r="E2704" s="163" t="str">
        <f>IF(AND('Resource Planner'!$A$63="☑",50&lt;='Resource Planner'!$N$63),'Resource Planner'!$E$63,"")</f>
        <v/>
      </c>
      <c r="F2704" s="163" t="str">
        <f>IF(AND('Resource Planner'!$A$63="☑",50&lt;='Resource Planner'!$N$63),'Resource Planner'!$F$63&amp;" "&amp;('Resource Planner'!$G$63+(50-1)*'Resource Planner'!$I$63)&amp;IF(('Resource Planner'!$G$63+(50-1)*'Resource Planner'!$I$63)=MIN('Resource Planner'!$G$63+50*'Resource Planner'!$I$63-1,'Resource Planner'!$H$63),"","–"&amp;MIN('Resource Planner'!$G$63+50*'Resource Planner'!$I$63-1,'Resource Planner'!$H$63)),"")</f>
        <v/>
      </c>
      <c r="G2704" s="163" t="s">
        <v>109</v>
      </c>
      <c r="H2704" s="163" t="str">
        <f>IF(AND('Resource Planner'!$A$63="☑",50&lt;='Resource Planner'!$N$63),'Resource Planner'!$M$63,"")</f>
        <v/>
      </c>
    </row>
    <row r="2705" ht="15.75" customHeight="1">
      <c r="A27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5" s="163" t="str">
        <f>IF(AND('Resource Planner'!$A$64="☑",1&lt;='Resource Planner'!$N$64),'Resource Planner'!$C$64,"")</f>
        <v/>
      </c>
      <c r="C2705" s="163" t="str">
        <f>IF(AND('Resource Planner'!$A$64="☑",1&lt;='Resource Planner'!$N$64),'Resource Planner'!$B$64,"")</f>
        <v/>
      </c>
      <c r="D2705" s="163" t="str">
        <f>IF(AND('Resource Planner'!$A$64="☑",1&lt;='Resource Planner'!$N$64),'Resource Planner'!$D$64,"")</f>
        <v/>
      </c>
      <c r="E2705" s="163" t="str">
        <f>IF(AND('Resource Planner'!$A$64="☑",1&lt;='Resource Planner'!$N$64),'Resource Planner'!$E$64,"")</f>
        <v/>
      </c>
      <c r="F2705" s="163" t="str">
        <f>IF(AND('Resource Planner'!$A$64="☑",1&lt;='Resource Planner'!$N$64),'Resource Planner'!$F$64&amp;" "&amp;('Resource Planner'!$G$64+(1-1)*'Resource Planner'!$I$64)&amp;IF(('Resource Planner'!$G$64+(1-1)*'Resource Planner'!$I$64)=MIN('Resource Planner'!$G$64+1*'Resource Planner'!$I$64-1,'Resource Planner'!$H$64),"","–"&amp;MIN('Resource Planner'!$G$64+1*'Resource Planner'!$I$64-1,'Resource Planner'!$H$64)),"")</f>
        <v/>
      </c>
      <c r="G2705" s="163" t="s">
        <v>109</v>
      </c>
      <c r="H2705" s="163" t="str">
        <f>IF(AND('Resource Planner'!$A$64="☑",1&lt;='Resource Planner'!$N$64),'Resource Planner'!$M$64,"")</f>
        <v/>
      </c>
    </row>
    <row r="2706" ht="15.75" customHeight="1">
      <c r="A27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6" s="163" t="str">
        <f>IF(AND('Resource Planner'!$A$64="☑",2&lt;='Resource Planner'!$N$64),'Resource Planner'!$C$64,"")</f>
        <v/>
      </c>
      <c r="C2706" s="163" t="str">
        <f>IF(AND('Resource Planner'!$A$64="☑",2&lt;='Resource Planner'!$N$64),'Resource Planner'!$B$64,"")</f>
        <v/>
      </c>
      <c r="D2706" s="163" t="str">
        <f>IF(AND('Resource Planner'!$A$64="☑",2&lt;='Resource Planner'!$N$64),'Resource Planner'!$D$64,"")</f>
        <v/>
      </c>
      <c r="E2706" s="163" t="str">
        <f>IF(AND('Resource Planner'!$A$64="☑",2&lt;='Resource Planner'!$N$64),'Resource Planner'!$E$64,"")</f>
        <v/>
      </c>
      <c r="F2706" s="163" t="str">
        <f>IF(AND('Resource Planner'!$A$64="☑",2&lt;='Resource Planner'!$N$64),'Resource Planner'!$F$64&amp;" "&amp;('Resource Planner'!$G$64+(2-1)*'Resource Planner'!$I$64)&amp;IF(('Resource Planner'!$G$64+(2-1)*'Resource Planner'!$I$64)=MIN('Resource Planner'!$G$64+2*'Resource Planner'!$I$64-1,'Resource Planner'!$H$64),"","–"&amp;MIN('Resource Planner'!$G$64+2*'Resource Planner'!$I$64-1,'Resource Planner'!$H$64)),"")</f>
        <v/>
      </c>
      <c r="G2706" s="163" t="s">
        <v>109</v>
      </c>
      <c r="H2706" s="163" t="str">
        <f>IF(AND('Resource Planner'!$A$64="☑",2&lt;='Resource Planner'!$N$64),'Resource Planner'!$M$64,"")</f>
        <v/>
      </c>
    </row>
    <row r="2707" ht="15.75" customHeight="1">
      <c r="A27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7" s="163" t="str">
        <f>IF(AND('Resource Planner'!$A$64="☑",3&lt;='Resource Planner'!$N$64),'Resource Planner'!$C$64,"")</f>
        <v/>
      </c>
      <c r="C2707" s="163" t="str">
        <f>IF(AND('Resource Planner'!$A$64="☑",3&lt;='Resource Planner'!$N$64),'Resource Planner'!$B$64,"")</f>
        <v/>
      </c>
      <c r="D2707" s="163" t="str">
        <f>IF(AND('Resource Planner'!$A$64="☑",3&lt;='Resource Planner'!$N$64),'Resource Planner'!$D$64,"")</f>
        <v/>
      </c>
      <c r="E2707" s="163" t="str">
        <f>IF(AND('Resource Planner'!$A$64="☑",3&lt;='Resource Planner'!$N$64),'Resource Planner'!$E$64,"")</f>
        <v/>
      </c>
      <c r="F2707" s="163" t="str">
        <f>IF(AND('Resource Planner'!$A$64="☑",3&lt;='Resource Planner'!$N$64),'Resource Planner'!$F$64&amp;" "&amp;('Resource Planner'!$G$64+(3-1)*'Resource Planner'!$I$64)&amp;IF(('Resource Planner'!$G$64+(3-1)*'Resource Planner'!$I$64)=MIN('Resource Planner'!$G$64+3*'Resource Planner'!$I$64-1,'Resource Planner'!$H$64),"","–"&amp;MIN('Resource Planner'!$G$64+3*'Resource Planner'!$I$64-1,'Resource Planner'!$H$64)),"")</f>
        <v/>
      </c>
      <c r="G2707" s="163" t="s">
        <v>109</v>
      </c>
      <c r="H2707" s="163" t="str">
        <f>IF(AND('Resource Planner'!$A$64="☑",3&lt;='Resource Planner'!$N$64),'Resource Planner'!$M$64,"")</f>
        <v/>
      </c>
    </row>
    <row r="2708" ht="15.75" customHeight="1">
      <c r="A27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8" s="163" t="str">
        <f>IF(AND('Resource Planner'!$A$64="☑",4&lt;='Resource Planner'!$N$64),'Resource Planner'!$C$64,"")</f>
        <v/>
      </c>
      <c r="C2708" s="163" t="str">
        <f>IF(AND('Resource Planner'!$A$64="☑",4&lt;='Resource Planner'!$N$64),'Resource Planner'!$B$64,"")</f>
        <v/>
      </c>
      <c r="D2708" s="163" t="str">
        <f>IF(AND('Resource Planner'!$A$64="☑",4&lt;='Resource Planner'!$N$64),'Resource Planner'!$D$64,"")</f>
        <v/>
      </c>
      <c r="E2708" s="163" t="str">
        <f>IF(AND('Resource Planner'!$A$64="☑",4&lt;='Resource Planner'!$N$64),'Resource Planner'!$E$64,"")</f>
        <v/>
      </c>
      <c r="F2708" s="163" t="str">
        <f>IF(AND('Resource Planner'!$A$64="☑",4&lt;='Resource Planner'!$N$64),'Resource Planner'!$F$64&amp;" "&amp;('Resource Planner'!$G$64+(4-1)*'Resource Planner'!$I$64)&amp;IF(('Resource Planner'!$G$64+(4-1)*'Resource Planner'!$I$64)=MIN('Resource Planner'!$G$64+4*'Resource Planner'!$I$64-1,'Resource Planner'!$H$64),"","–"&amp;MIN('Resource Planner'!$G$64+4*'Resource Planner'!$I$64-1,'Resource Planner'!$H$64)),"")</f>
        <v/>
      </c>
      <c r="G2708" s="163" t="s">
        <v>109</v>
      </c>
      <c r="H2708" s="163" t="str">
        <f>IF(AND('Resource Planner'!$A$64="☑",4&lt;='Resource Planner'!$N$64),'Resource Planner'!$M$64,"")</f>
        <v/>
      </c>
    </row>
    <row r="2709" ht="15.75" customHeight="1">
      <c r="A27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09" s="163" t="str">
        <f>IF(AND('Resource Planner'!$A$64="☑",5&lt;='Resource Planner'!$N$64),'Resource Planner'!$C$64,"")</f>
        <v/>
      </c>
      <c r="C2709" s="163" t="str">
        <f>IF(AND('Resource Planner'!$A$64="☑",5&lt;='Resource Planner'!$N$64),'Resource Planner'!$B$64,"")</f>
        <v/>
      </c>
      <c r="D2709" s="163" t="str">
        <f>IF(AND('Resource Planner'!$A$64="☑",5&lt;='Resource Planner'!$N$64),'Resource Planner'!$D$64,"")</f>
        <v/>
      </c>
      <c r="E2709" s="163" t="str">
        <f>IF(AND('Resource Planner'!$A$64="☑",5&lt;='Resource Planner'!$N$64),'Resource Planner'!$E$64,"")</f>
        <v/>
      </c>
      <c r="F2709" s="163" t="str">
        <f>IF(AND('Resource Planner'!$A$64="☑",5&lt;='Resource Planner'!$N$64),'Resource Planner'!$F$64&amp;" "&amp;('Resource Planner'!$G$64+(5-1)*'Resource Planner'!$I$64)&amp;IF(('Resource Planner'!$G$64+(5-1)*'Resource Planner'!$I$64)=MIN('Resource Planner'!$G$64+5*'Resource Planner'!$I$64-1,'Resource Planner'!$H$64),"","–"&amp;MIN('Resource Planner'!$G$64+5*'Resource Planner'!$I$64-1,'Resource Planner'!$H$64)),"")</f>
        <v/>
      </c>
      <c r="G2709" s="163" t="s">
        <v>109</v>
      </c>
      <c r="H2709" s="163" t="str">
        <f>IF(AND('Resource Planner'!$A$64="☑",5&lt;='Resource Planner'!$N$64),'Resource Planner'!$M$64,"")</f>
        <v/>
      </c>
    </row>
    <row r="2710" ht="15.75" customHeight="1">
      <c r="A27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0" s="163" t="str">
        <f>IF(AND('Resource Planner'!$A$64="☑",6&lt;='Resource Planner'!$N$64),'Resource Planner'!$C$64,"")</f>
        <v/>
      </c>
      <c r="C2710" s="163" t="str">
        <f>IF(AND('Resource Planner'!$A$64="☑",6&lt;='Resource Planner'!$N$64),'Resource Planner'!$B$64,"")</f>
        <v/>
      </c>
      <c r="D2710" s="163" t="str">
        <f>IF(AND('Resource Planner'!$A$64="☑",6&lt;='Resource Planner'!$N$64),'Resource Planner'!$D$64,"")</f>
        <v/>
      </c>
      <c r="E2710" s="163" t="str">
        <f>IF(AND('Resource Planner'!$A$64="☑",6&lt;='Resource Planner'!$N$64),'Resource Planner'!$E$64,"")</f>
        <v/>
      </c>
      <c r="F2710" s="163" t="str">
        <f>IF(AND('Resource Planner'!$A$64="☑",6&lt;='Resource Planner'!$N$64),'Resource Planner'!$F$64&amp;" "&amp;('Resource Planner'!$G$64+(6-1)*'Resource Planner'!$I$64)&amp;IF(('Resource Planner'!$G$64+(6-1)*'Resource Planner'!$I$64)=MIN('Resource Planner'!$G$64+6*'Resource Planner'!$I$64-1,'Resource Planner'!$H$64),"","–"&amp;MIN('Resource Planner'!$G$64+6*'Resource Planner'!$I$64-1,'Resource Planner'!$H$64)),"")</f>
        <v/>
      </c>
      <c r="G2710" s="163" t="s">
        <v>109</v>
      </c>
      <c r="H2710" s="163" t="str">
        <f>IF(AND('Resource Planner'!$A$64="☑",6&lt;='Resource Planner'!$N$64),'Resource Planner'!$M$64,"")</f>
        <v/>
      </c>
    </row>
    <row r="2711" ht="15.75" customHeight="1">
      <c r="A27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1" s="163" t="str">
        <f>IF(AND('Resource Planner'!$A$64="☑",7&lt;='Resource Planner'!$N$64),'Resource Planner'!$C$64,"")</f>
        <v/>
      </c>
      <c r="C2711" s="163" t="str">
        <f>IF(AND('Resource Planner'!$A$64="☑",7&lt;='Resource Planner'!$N$64),'Resource Planner'!$B$64,"")</f>
        <v/>
      </c>
      <c r="D2711" s="163" t="str">
        <f>IF(AND('Resource Planner'!$A$64="☑",7&lt;='Resource Planner'!$N$64),'Resource Planner'!$D$64,"")</f>
        <v/>
      </c>
      <c r="E2711" s="163" t="str">
        <f>IF(AND('Resource Planner'!$A$64="☑",7&lt;='Resource Planner'!$N$64),'Resource Planner'!$E$64,"")</f>
        <v/>
      </c>
      <c r="F2711" s="163" t="str">
        <f>IF(AND('Resource Planner'!$A$64="☑",7&lt;='Resource Planner'!$N$64),'Resource Planner'!$F$64&amp;" "&amp;('Resource Planner'!$G$64+(7-1)*'Resource Planner'!$I$64)&amp;IF(('Resource Planner'!$G$64+(7-1)*'Resource Planner'!$I$64)=MIN('Resource Planner'!$G$64+7*'Resource Planner'!$I$64-1,'Resource Planner'!$H$64),"","–"&amp;MIN('Resource Planner'!$G$64+7*'Resource Planner'!$I$64-1,'Resource Planner'!$H$64)),"")</f>
        <v/>
      </c>
      <c r="G2711" s="163" t="s">
        <v>109</v>
      </c>
      <c r="H2711" s="163" t="str">
        <f>IF(AND('Resource Planner'!$A$64="☑",7&lt;='Resource Planner'!$N$64),'Resource Planner'!$M$64,"")</f>
        <v/>
      </c>
    </row>
    <row r="2712" ht="15.75" customHeight="1">
      <c r="A27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2" s="163" t="str">
        <f>IF(AND('Resource Planner'!$A$64="☑",8&lt;='Resource Planner'!$N$64),'Resource Planner'!$C$64,"")</f>
        <v/>
      </c>
      <c r="C2712" s="163" t="str">
        <f>IF(AND('Resource Planner'!$A$64="☑",8&lt;='Resource Planner'!$N$64),'Resource Planner'!$B$64,"")</f>
        <v/>
      </c>
      <c r="D2712" s="163" t="str">
        <f>IF(AND('Resource Planner'!$A$64="☑",8&lt;='Resource Planner'!$N$64),'Resource Planner'!$D$64,"")</f>
        <v/>
      </c>
      <c r="E2712" s="163" t="str">
        <f>IF(AND('Resource Planner'!$A$64="☑",8&lt;='Resource Planner'!$N$64),'Resource Planner'!$E$64,"")</f>
        <v/>
      </c>
      <c r="F2712" s="163" t="str">
        <f>IF(AND('Resource Planner'!$A$64="☑",8&lt;='Resource Planner'!$N$64),'Resource Planner'!$F$64&amp;" "&amp;('Resource Planner'!$G$64+(8-1)*'Resource Planner'!$I$64)&amp;IF(('Resource Planner'!$G$64+(8-1)*'Resource Planner'!$I$64)=MIN('Resource Planner'!$G$64+8*'Resource Planner'!$I$64-1,'Resource Planner'!$H$64),"","–"&amp;MIN('Resource Planner'!$G$64+8*'Resource Planner'!$I$64-1,'Resource Planner'!$H$64)),"")</f>
        <v/>
      </c>
      <c r="G2712" s="163" t="s">
        <v>109</v>
      </c>
      <c r="H2712" s="163" t="str">
        <f>IF(AND('Resource Planner'!$A$64="☑",8&lt;='Resource Planner'!$N$64),'Resource Planner'!$M$64,"")</f>
        <v/>
      </c>
    </row>
    <row r="2713" ht="15.75" customHeight="1">
      <c r="A27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3" s="163" t="str">
        <f>IF(AND('Resource Planner'!$A$64="☑",9&lt;='Resource Planner'!$N$64),'Resource Planner'!$C$64,"")</f>
        <v/>
      </c>
      <c r="C2713" s="163" t="str">
        <f>IF(AND('Resource Planner'!$A$64="☑",9&lt;='Resource Planner'!$N$64),'Resource Planner'!$B$64,"")</f>
        <v/>
      </c>
      <c r="D2713" s="163" t="str">
        <f>IF(AND('Resource Planner'!$A$64="☑",9&lt;='Resource Planner'!$N$64),'Resource Planner'!$D$64,"")</f>
        <v/>
      </c>
      <c r="E2713" s="163" t="str">
        <f>IF(AND('Resource Planner'!$A$64="☑",9&lt;='Resource Planner'!$N$64),'Resource Planner'!$E$64,"")</f>
        <v/>
      </c>
      <c r="F2713" s="163" t="str">
        <f>IF(AND('Resource Planner'!$A$64="☑",9&lt;='Resource Planner'!$N$64),'Resource Planner'!$F$64&amp;" "&amp;('Resource Planner'!$G$64+(9-1)*'Resource Planner'!$I$64)&amp;IF(('Resource Planner'!$G$64+(9-1)*'Resource Planner'!$I$64)=MIN('Resource Planner'!$G$64+9*'Resource Planner'!$I$64-1,'Resource Planner'!$H$64),"","–"&amp;MIN('Resource Planner'!$G$64+9*'Resource Planner'!$I$64-1,'Resource Planner'!$H$64)),"")</f>
        <v/>
      </c>
      <c r="G2713" s="163" t="s">
        <v>109</v>
      </c>
      <c r="H2713" s="163" t="str">
        <f>IF(AND('Resource Planner'!$A$64="☑",9&lt;='Resource Planner'!$N$64),'Resource Planner'!$M$64,"")</f>
        <v/>
      </c>
    </row>
    <row r="2714" ht="15.75" customHeight="1">
      <c r="A27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4" s="163" t="str">
        <f>IF(AND('Resource Planner'!$A$64="☑",10&lt;='Resource Planner'!$N$64),'Resource Planner'!$C$64,"")</f>
        <v/>
      </c>
      <c r="C2714" s="163" t="str">
        <f>IF(AND('Resource Planner'!$A$64="☑",10&lt;='Resource Planner'!$N$64),'Resource Planner'!$B$64,"")</f>
        <v/>
      </c>
      <c r="D2714" s="163" t="str">
        <f>IF(AND('Resource Planner'!$A$64="☑",10&lt;='Resource Planner'!$N$64),'Resource Planner'!$D$64,"")</f>
        <v/>
      </c>
      <c r="E2714" s="163" t="str">
        <f>IF(AND('Resource Planner'!$A$64="☑",10&lt;='Resource Planner'!$N$64),'Resource Planner'!$E$64,"")</f>
        <v/>
      </c>
      <c r="F2714" s="163" t="str">
        <f>IF(AND('Resource Planner'!$A$64="☑",10&lt;='Resource Planner'!$N$64),'Resource Planner'!$F$64&amp;" "&amp;('Resource Planner'!$G$64+(10-1)*'Resource Planner'!$I$64)&amp;IF(('Resource Planner'!$G$64+(10-1)*'Resource Planner'!$I$64)=MIN('Resource Planner'!$G$64+10*'Resource Planner'!$I$64-1,'Resource Planner'!$H$64),"","–"&amp;MIN('Resource Planner'!$G$64+10*'Resource Planner'!$I$64-1,'Resource Planner'!$H$64)),"")</f>
        <v/>
      </c>
      <c r="G2714" s="163" t="s">
        <v>109</v>
      </c>
      <c r="H2714" s="163" t="str">
        <f>IF(AND('Resource Planner'!$A$64="☑",10&lt;='Resource Planner'!$N$64),'Resource Planner'!$M$64,"")</f>
        <v/>
      </c>
    </row>
    <row r="2715" ht="15.75" customHeight="1">
      <c r="A27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5" s="163" t="str">
        <f>IF(AND('Resource Planner'!$A$64="☑",11&lt;='Resource Planner'!$N$64),'Resource Planner'!$C$64,"")</f>
        <v/>
      </c>
      <c r="C2715" s="163" t="str">
        <f>IF(AND('Resource Planner'!$A$64="☑",11&lt;='Resource Planner'!$N$64),'Resource Planner'!$B$64,"")</f>
        <v/>
      </c>
      <c r="D2715" s="163" t="str">
        <f>IF(AND('Resource Planner'!$A$64="☑",11&lt;='Resource Planner'!$N$64),'Resource Planner'!$D$64,"")</f>
        <v/>
      </c>
      <c r="E2715" s="163" t="str">
        <f>IF(AND('Resource Planner'!$A$64="☑",11&lt;='Resource Planner'!$N$64),'Resource Planner'!$E$64,"")</f>
        <v/>
      </c>
      <c r="F2715" s="163" t="str">
        <f>IF(AND('Resource Planner'!$A$64="☑",11&lt;='Resource Planner'!$N$64),'Resource Planner'!$F$64&amp;" "&amp;('Resource Planner'!$G$64+(11-1)*'Resource Planner'!$I$64)&amp;IF(('Resource Planner'!$G$64+(11-1)*'Resource Planner'!$I$64)=MIN('Resource Planner'!$G$64+11*'Resource Planner'!$I$64-1,'Resource Planner'!$H$64),"","–"&amp;MIN('Resource Planner'!$G$64+11*'Resource Planner'!$I$64-1,'Resource Planner'!$H$64)),"")</f>
        <v/>
      </c>
      <c r="G2715" s="163" t="s">
        <v>109</v>
      </c>
      <c r="H2715" s="163" t="str">
        <f>IF(AND('Resource Planner'!$A$64="☑",11&lt;='Resource Planner'!$N$64),'Resource Planner'!$M$64,"")</f>
        <v/>
      </c>
    </row>
    <row r="2716" ht="15.75" customHeight="1">
      <c r="A27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6" s="163" t="str">
        <f>IF(AND('Resource Planner'!$A$64="☑",12&lt;='Resource Planner'!$N$64),'Resource Planner'!$C$64,"")</f>
        <v/>
      </c>
      <c r="C2716" s="163" t="str">
        <f>IF(AND('Resource Planner'!$A$64="☑",12&lt;='Resource Planner'!$N$64),'Resource Planner'!$B$64,"")</f>
        <v/>
      </c>
      <c r="D2716" s="163" t="str">
        <f>IF(AND('Resource Planner'!$A$64="☑",12&lt;='Resource Planner'!$N$64),'Resource Planner'!$D$64,"")</f>
        <v/>
      </c>
      <c r="E2716" s="163" t="str">
        <f>IF(AND('Resource Planner'!$A$64="☑",12&lt;='Resource Planner'!$N$64),'Resource Planner'!$E$64,"")</f>
        <v/>
      </c>
      <c r="F2716" s="163" t="str">
        <f>IF(AND('Resource Planner'!$A$64="☑",12&lt;='Resource Planner'!$N$64),'Resource Planner'!$F$64&amp;" "&amp;('Resource Planner'!$G$64+(12-1)*'Resource Planner'!$I$64)&amp;IF(('Resource Planner'!$G$64+(12-1)*'Resource Planner'!$I$64)=MIN('Resource Planner'!$G$64+12*'Resource Planner'!$I$64-1,'Resource Planner'!$H$64),"","–"&amp;MIN('Resource Planner'!$G$64+12*'Resource Planner'!$I$64-1,'Resource Planner'!$H$64)),"")</f>
        <v/>
      </c>
      <c r="G2716" s="163" t="s">
        <v>109</v>
      </c>
      <c r="H2716" s="163" t="str">
        <f>IF(AND('Resource Planner'!$A$64="☑",12&lt;='Resource Planner'!$N$64),'Resource Planner'!$M$64,"")</f>
        <v/>
      </c>
    </row>
    <row r="2717" ht="15.75" customHeight="1">
      <c r="A27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7" s="163" t="str">
        <f>IF(AND('Resource Planner'!$A$64="☑",13&lt;='Resource Planner'!$N$64),'Resource Planner'!$C$64,"")</f>
        <v/>
      </c>
      <c r="C2717" s="163" t="str">
        <f>IF(AND('Resource Planner'!$A$64="☑",13&lt;='Resource Planner'!$N$64),'Resource Planner'!$B$64,"")</f>
        <v/>
      </c>
      <c r="D2717" s="163" t="str">
        <f>IF(AND('Resource Planner'!$A$64="☑",13&lt;='Resource Planner'!$N$64),'Resource Planner'!$D$64,"")</f>
        <v/>
      </c>
      <c r="E2717" s="163" t="str">
        <f>IF(AND('Resource Planner'!$A$64="☑",13&lt;='Resource Planner'!$N$64),'Resource Planner'!$E$64,"")</f>
        <v/>
      </c>
      <c r="F2717" s="163" t="str">
        <f>IF(AND('Resource Planner'!$A$64="☑",13&lt;='Resource Planner'!$N$64),'Resource Planner'!$F$64&amp;" "&amp;('Resource Planner'!$G$64+(13-1)*'Resource Planner'!$I$64)&amp;IF(('Resource Planner'!$G$64+(13-1)*'Resource Planner'!$I$64)=MIN('Resource Planner'!$G$64+13*'Resource Planner'!$I$64-1,'Resource Planner'!$H$64),"","–"&amp;MIN('Resource Planner'!$G$64+13*'Resource Planner'!$I$64-1,'Resource Planner'!$H$64)),"")</f>
        <v/>
      </c>
      <c r="G2717" s="163" t="s">
        <v>109</v>
      </c>
      <c r="H2717" s="163" t="str">
        <f>IF(AND('Resource Planner'!$A$64="☑",13&lt;='Resource Planner'!$N$64),'Resource Planner'!$M$64,"")</f>
        <v/>
      </c>
    </row>
    <row r="2718" ht="15.75" customHeight="1">
      <c r="A27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8" s="163" t="str">
        <f>IF(AND('Resource Planner'!$A$64="☑",14&lt;='Resource Planner'!$N$64),'Resource Planner'!$C$64,"")</f>
        <v/>
      </c>
      <c r="C2718" s="163" t="str">
        <f>IF(AND('Resource Planner'!$A$64="☑",14&lt;='Resource Planner'!$N$64),'Resource Planner'!$B$64,"")</f>
        <v/>
      </c>
      <c r="D2718" s="163" t="str">
        <f>IF(AND('Resource Planner'!$A$64="☑",14&lt;='Resource Planner'!$N$64),'Resource Planner'!$D$64,"")</f>
        <v/>
      </c>
      <c r="E2718" s="163" t="str">
        <f>IF(AND('Resource Planner'!$A$64="☑",14&lt;='Resource Planner'!$N$64),'Resource Planner'!$E$64,"")</f>
        <v/>
      </c>
      <c r="F2718" s="163" t="str">
        <f>IF(AND('Resource Planner'!$A$64="☑",14&lt;='Resource Planner'!$N$64),'Resource Planner'!$F$64&amp;" "&amp;('Resource Planner'!$G$64+(14-1)*'Resource Planner'!$I$64)&amp;IF(('Resource Planner'!$G$64+(14-1)*'Resource Planner'!$I$64)=MIN('Resource Planner'!$G$64+14*'Resource Planner'!$I$64-1,'Resource Planner'!$H$64),"","–"&amp;MIN('Resource Planner'!$G$64+14*'Resource Planner'!$I$64-1,'Resource Planner'!$H$64)),"")</f>
        <v/>
      </c>
      <c r="G2718" s="163" t="s">
        <v>109</v>
      </c>
      <c r="H2718" s="163" t="str">
        <f>IF(AND('Resource Planner'!$A$64="☑",14&lt;='Resource Planner'!$N$64),'Resource Planner'!$M$64,"")</f>
        <v/>
      </c>
    </row>
    <row r="2719" ht="15.75" customHeight="1">
      <c r="A27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19" s="163" t="str">
        <f>IF(AND('Resource Planner'!$A$64="☑",15&lt;='Resource Planner'!$N$64),'Resource Planner'!$C$64,"")</f>
        <v/>
      </c>
      <c r="C2719" s="163" t="str">
        <f>IF(AND('Resource Planner'!$A$64="☑",15&lt;='Resource Planner'!$N$64),'Resource Planner'!$B$64,"")</f>
        <v/>
      </c>
      <c r="D2719" s="163" t="str">
        <f>IF(AND('Resource Planner'!$A$64="☑",15&lt;='Resource Planner'!$N$64),'Resource Planner'!$D$64,"")</f>
        <v/>
      </c>
      <c r="E2719" s="163" t="str">
        <f>IF(AND('Resource Planner'!$A$64="☑",15&lt;='Resource Planner'!$N$64),'Resource Planner'!$E$64,"")</f>
        <v/>
      </c>
      <c r="F2719" s="163" t="str">
        <f>IF(AND('Resource Planner'!$A$64="☑",15&lt;='Resource Planner'!$N$64),'Resource Planner'!$F$64&amp;" "&amp;('Resource Planner'!$G$64+(15-1)*'Resource Planner'!$I$64)&amp;IF(('Resource Planner'!$G$64+(15-1)*'Resource Planner'!$I$64)=MIN('Resource Planner'!$G$64+15*'Resource Planner'!$I$64-1,'Resource Planner'!$H$64),"","–"&amp;MIN('Resource Planner'!$G$64+15*'Resource Planner'!$I$64-1,'Resource Planner'!$H$64)),"")</f>
        <v/>
      </c>
      <c r="G2719" s="163" t="s">
        <v>109</v>
      </c>
      <c r="H2719" s="163" t="str">
        <f>IF(AND('Resource Planner'!$A$64="☑",15&lt;='Resource Planner'!$N$64),'Resource Planner'!$M$64,"")</f>
        <v/>
      </c>
    </row>
    <row r="2720" ht="15.75" customHeight="1">
      <c r="A27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0" s="163" t="str">
        <f>IF(AND('Resource Planner'!$A$64="☑",16&lt;='Resource Planner'!$N$64),'Resource Planner'!$C$64,"")</f>
        <v/>
      </c>
      <c r="C2720" s="163" t="str">
        <f>IF(AND('Resource Planner'!$A$64="☑",16&lt;='Resource Planner'!$N$64),'Resource Planner'!$B$64,"")</f>
        <v/>
      </c>
      <c r="D2720" s="163" t="str">
        <f>IF(AND('Resource Planner'!$A$64="☑",16&lt;='Resource Planner'!$N$64),'Resource Planner'!$D$64,"")</f>
        <v/>
      </c>
      <c r="E2720" s="163" t="str">
        <f>IF(AND('Resource Planner'!$A$64="☑",16&lt;='Resource Planner'!$N$64),'Resource Planner'!$E$64,"")</f>
        <v/>
      </c>
      <c r="F2720" s="163" t="str">
        <f>IF(AND('Resource Planner'!$A$64="☑",16&lt;='Resource Planner'!$N$64),'Resource Planner'!$F$64&amp;" "&amp;('Resource Planner'!$G$64+(16-1)*'Resource Planner'!$I$64)&amp;IF(('Resource Planner'!$G$64+(16-1)*'Resource Planner'!$I$64)=MIN('Resource Planner'!$G$64+16*'Resource Planner'!$I$64-1,'Resource Planner'!$H$64),"","–"&amp;MIN('Resource Planner'!$G$64+16*'Resource Planner'!$I$64-1,'Resource Planner'!$H$64)),"")</f>
        <v/>
      </c>
      <c r="G2720" s="163" t="s">
        <v>109</v>
      </c>
      <c r="H2720" s="163" t="str">
        <f>IF(AND('Resource Planner'!$A$64="☑",16&lt;='Resource Planner'!$N$64),'Resource Planner'!$M$64,"")</f>
        <v/>
      </c>
    </row>
    <row r="2721" ht="15.75" customHeight="1">
      <c r="A27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1" s="163" t="str">
        <f>IF(AND('Resource Planner'!$A$64="☑",17&lt;='Resource Planner'!$N$64),'Resource Planner'!$C$64,"")</f>
        <v/>
      </c>
      <c r="C2721" s="163" t="str">
        <f>IF(AND('Resource Planner'!$A$64="☑",17&lt;='Resource Planner'!$N$64),'Resource Planner'!$B$64,"")</f>
        <v/>
      </c>
      <c r="D2721" s="163" t="str">
        <f>IF(AND('Resource Planner'!$A$64="☑",17&lt;='Resource Planner'!$N$64),'Resource Planner'!$D$64,"")</f>
        <v/>
      </c>
      <c r="E2721" s="163" t="str">
        <f>IF(AND('Resource Planner'!$A$64="☑",17&lt;='Resource Planner'!$N$64),'Resource Planner'!$E$64,"")</f>
        <v/>
      </c>
      <c r="F2721" s="163" t="str">
        <f>IF(AND('Resource Planner'!$A$64="☑",17&lt;='Resource Planner'!$N$64),'Resource Planner'!$F$64&amp;" "&amp;('Resource Planner'!$G$64+(17-1)*'Resource Planner'!$I$64)&amp;IF(('Resource Planner'!$G$64+(17-1)*'Resource Planner'!$I$64)=MIN('Resource Planner'!$G$64+17*'Resource Planner'!$I$64-1,'Resource Planner'!$H$64),"","–"&amp;MIN('Resource Planner'!$G$64+17*'Resource Planner'!$I$64-1,'Resource Planner'!$H$64)),"")</f>
        <v/>
      </c>
      <c r="G2721" s="163" t="s">
        <v>109</v>
      </c>
      <c r="H2721" s="163" t="str">
        <f>IF(AND('Resource Planner'!$A$64="☑",17&lt;='Resource Planner'!$N$64),'Resource Planner'!$M$64,"")</f>
        <v/>
      </c>
    </row>
    <row r="2722" ht="15.75" customHeight="1">
      <c r="A27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2" s="163" t="str">
        <f>IF(AND('Resource Planner'!$A$64="☑",18&lt;='Resource Planner'!$N$64),'Resource Planner'!$C$64,"")</f>
        <v/>
      </c>
      <c r="C2722" s="163" t="str">
        <f>IF(AND('Resource Planner'!$A$64="☑",18&lt;='Resource Planner'!$N$64),'Resource Planner'!$B$64,"")</f>
        <v/>
      </c>
      <c r="D2722" s="163" t="str">
        <f>IF(AND('Resource Planner'!$A$64="☑",18&lt;='Resource Planner'!$N$64),'Resource Planner'!$D$64,"")</f>
        <v/>
      </c>
      <c r="E2722" s="163" t="str">
        <f>IF(AND('Resource Planner'!$A$64="☑",18&lt;='Resource Planner'!$N$64),'Resource Planner'!$E$64,"")</f>
        <v/>
      </c>
      <c r="F2722" s="163" t="str">
        <f>IF(AND('Resource Planner'!$A$64="☑",18&lt;='Resource Planner'!$N$64),'Resource Planner'!$F$64&amp;" "&amp;('Resource Planner'!$G$64+(18-1)*'Resource Planner'!$I$64)&amp;IF(('Resource Planner'!$G$64+(18-1)*'Resource Planner'!$I$64)=MIN('Resource Planner'!$G$64+18*'Resource Planner'!$I$64-1,'Resource Planner'!$H$64),"","–"&amp;MIN('Resource Planner'!$G$64+18*'Resource Planner'!$I$64-1,'Resource Planner'!$H$64)),"")</f>
        <v/>
      </c>
      <c r="G2722" s="163" t="s">
        <v>109</v>
      </c>
      <c r="H2722" s="163" t="str">
        <f>IF(AND('Resource Planner'!$A$64="☑",18&lt;='Resource Planner'!$N$64),'Resource Planner'!$M$64,"")</f>
        <v/>
      </c>
    </row>
    <row r="2723" ht="15.75" customHeight="1">
      <c r="A27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3" s="163" t="str">
        <f>IF(AND('Resource Planner'!$A$64="☑",19&lt;='Resource Planner'!$N$64),'Resource Planner'!$C$64,"")</f>
        <v/>
      </c>
      <c r="C2723" s="163" t="str">
        <f>IF(AND('Resource Planner'!$A$64="☑",19&lt;='Resource Planner'!$N$64),'Resource Planner'!$B$64,"")</f>
        <v/>
      </c>
      <c r="D2723" s="163" t="str">
        <f>IF(AND('Resource Planner'!$A$64="☑",19&lt;='Resource Planner'!$N$64),'Resource Planner'!$D$64,"")</f>
        <v/>
      </c>
      <c r="E2723" s="163" t="str">
        <f>IF(AND('Resource Planner'!$A$64="☑",19&lt;='Resource Planner'!$N$64),'Resource Planner'!$E$64,"")</f>
        <v/>
      </c>
      <c r="F2723" s="163" t="str">
        <f>IF(AND('Resource Planner'!$A$64="☑",19&lt;='Resource Planner'!$N$64),'Resource Planner'!$F$64&amp;" "&amp;('Resource Planner'!$G$64+(19-1)*'Resource Planner'!$I$64)&amp;IF(('Resource Planner'!$G$64+(19-1)*'Resource Planner'!$I$64)=MIN('Resource Planner'!$G$64+19*'Resource Planner'!$I$64-1,'Resource Planner'!$H$64),"","–"&amp;MIN('Resource Planner'!$G$64+19*'Resource Planner'!$I$64-1,'Resource Planner'!$H$64)),"")</f>
        <v/>
      </c>
      <c r="G2723" s="163" t="s">
        <v>109</v>
      </c>
      <c r="H2723" s="163" t="str">
        <f>IF(AND('Resource Planner'!$A$64="☑",19&lt;='Resource Planner'!$N$64),'Resource Planner'!$M$64,"")</f>
        <v/>
      </c>
    </row>
    <row r="2724" ht="15.75" customHeight="1">
      <c r="A27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4" s="163" t="str">
        <f>IF(AND('Resource Planner'!$A$64="☑",20&lt;='Resource Planner'!$N$64),'Resource Planner'!$C$64,"")</f>
        <v/>
      </c>
      <c r="C2724" s="163" t="str">
        <f>IF(AND('Resource Planner'!$A$64="☑",20&lt;='Resource Planner'!$N$64),'Resource Planner'!$B$64,"")</f>
        <v/>
      </c>
      <c r="D2724" s="163" t="str">
        <f>IF(AND('Resource Planner'!$A$64="☑",20&lt;='Resource Planner'!$N$64),'Resource Planner'!$D$64,"")</f>
        <v/>
      </c>
      <c r="E2724" s="163" t="str">
        <f>IF(AND('Resource Planner'!$A$64="☑",20&lt;='Resource Planner'!$N$64),'Resource Planner'!$E$64,"")</f>
        <v/>
      </c>
      <c r="F2724" s="163" t="str">
        <f>IF(AND('Resource Planner'!$A$64="☑",20&lt;='Resource Planner'!$N$64),'Resource Planner'!$F$64&amp;" "&amp;('Resource Planner'!$G$64+(20-1)*'Resource Planner'!$I$64)&amp;IF(('Resource Planner'!$G$64+(20-1)*'Resource Planner'!$I$64)=MIN('Resource Planner'!$G$64+20*'Resource Planner'!$I$64-1,'Resource Planner'!$H$64),"","–"&amp;MIN('Resource Planner'!$G$64+20*'Resource Planner'!$I$64-1,'Resource Planner'!$H$64)),"")</f>
        <v/>
      </c>
      <c r="G2724" s="163" t="s">
        <v>109</v>
      </c>
      <c r="H2724" s="163" t="str">
        <f>IF(AND('Resource Planner'!$A$64="☑",20&lt;='Resource Planner'!$N$64),'Resource Planner'!$M$64,"")</f>
        <v/>
      </c>
    </row>
    <row r="2725" ht="15.75" customHeight="1">
      <c r="A27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5" s="163" t="str">
        <f>IF(AND('Resource Planner'!$A$64="☑",21&lt;='Resource Planner'!$N$64),'Resource Planner'!$C$64,"")</f>
        <v/>
      </c>
      <c r="C2725" s="163" t="str">
        <f>IF(AND('Resource Planner'!$A$64="☑",21&lt;='Resource Planner'!$N$64),'Resource Planner'!$B$64,"")</f>
        <v/>
      </c>
      <c r="D2725" s="163" t="str">
        <f>IF(AND('Resource Planner'!$A$64="☑",21&lt;='Resource Planner'!$N$64),'Resource Planner'!$D$64,"")</f>
        <v/>
      </c>
      <c r="E2725" s="163" t="str">
        <f>IF(AND('Resource Planner'!$A$64="☑",21&lt;='Resource Planner'!$N$64),'Resource Planner'!$E$64,"")</f>
        <v/>
      </c>
      <c r="F2725" s="163" t="str">
        <f>IF(AND('Resource Planner'!$A$64="☑",21&lt;='Resource Planner'!$N$64),'Resource Planner'!$F$64&amp;" "&amp;('Resource Planner'!$G$64+(21-1)*'Resource Planner'!$I$64)&amp;IF(('Resource Planner'!$G$64+(21-1)*'Resource Planner'!$I$64)=MIN('Resource Planner'!$G$64+21*'Resource Planner'!$I$64-1,'Resource Planner'!$H$64),"","–"&amp;MIN('Resource Planner'!$G$64+21*'Resource Planner'!$I$64-1,'Resource Planner'!$H$64)),"")</f>
        <v/>
      </c>
      <c r="G2725" s="163" t="s">
        <v>109</v>
      </c>
      <c r="H2725" s="163" t="str">
        <f>IF(AND('Resource Planner'!$A$64="☑",21&lt;='Resource Planner'!$N$64),'Resource Planner'!$M$64,"")</f>
        <v/>
      </c>
    </row>
    <row r="2726" ht="15.75" customHeight="1">
      <c r="A27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6" s="163" t="str">
        <f>IF(AND('Resource Planner'!$A$64="☑",22&lt;='Resource Planner'!$N$64),'Resource Planner'!$C$64,"")</f>
        <v/>
      </c>
      <c r="C2726" s="163" t="str">
        <f>IF(AND('Resource Planner'!$A$64="☑",22&lt;='Resource Planner'!$N$64),'Resource Planner'!$B$64,"")</f>
        <v/>
      </c>
      <c r="D2726" s="163" t="str">
        <f>IF(AND('Resource Planner'!$A$64="☑",22&lt;='Resource Planner'!$N$64),'Resource Planner'!$D$64,"")</f>
        <v/>
      </c>
      <c r="E2726" s="163" t="str">
        <f>IF(AND('Resource Planner'!$A$64="☑",22&lt;='Resource Planner'!$N$64),'Resource Planner'!$E$64,"")</f>
        <v/>
      </c>
      <c r="F2726" s="163" t="str">
        <f>IF(AND('Resource Planner'!$A$64="☑",22&lt;='Resource Planner'!$N$64),'Resource Planner'!$F$64&amp;" "&amp;('Resource Planner'!$G$64+(22-1)*'Resource Planner'!$I$64)&amp;IF(('Resource Planner'!$G$64+(22-1)*'Resource Planner'!$I$64)=MIN('Resource Planner'!$G$64+22*'Resource Planner'!$I$64-1,'Resource Planner'!$H$64),"","–"&amp;MIN('Resource Planner'!$G$64+22*'Resource Planner'!$I$64-1,'Resource Planner'!$H$64)),"")</f>
        <v/>
      </c>
      <c r="G2726" s="163" t="s">
        <v>109</v>
      </c>
      <c r="H2726" s="163" t="str">
        <f>IF(AND('Resource Planner'!$A$64="☑",22&lt;='Resource Planner'!$N$64),'Resource Planner'!$M$64,"")</f>
        <v/>
      </c>
    </row>
    <row r="2727" ht="15.75" customHeight="1">
      <c r="A27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7" s="163" t="str">
        <f>IF(AND('Resource Planner'!$A$64="☑",23&lt;='Resource Planner'!$N$64),'Resource Planner'!$C$64,"")</f>
        <v/>
      </c>
      <c r="C2727" s="163" t="str">
        <f>IF(AND('Resource Planner'!$A$64="☑",23&lt;='Resource Planner'!$N$64),'Resource Planner'!$B$64,"")</f>
        <v/>
      </c>
      <c r="D2727" s="163" t="str">
        <f>IF(AND('Resource Planner'!$A$64="☑",23&lt;='Resource Planner'!$N$64),'Resource Planner'!$D$64,"")</f>
        <v/>
      </c>
      <c r="E2727" s="163" t="str">
        <f>IF(AND('Resource Planner'!$A$64="☑",23&lt;='Resource Planner'!$N$64),'Resource Planner'!$E$64,"")</f>
        <v/>
      </c>
      <c r="F2727" s="163" t="str">
        <f>IF(AND('Resource Planner'!$A$64="☑",23&lt;='Resource Planner'!$N$64),'Resource Planner'!$F$64&amp;" "&amp;('Resource Planner'!$G$64+(23-1)*'Resource Planner'!$I$64)&amp;IF(('Resource Planner'!$G$64+(23-1)*'Resource Planner'!$I$64)=MIN('Resource Planner'!$G$64+23*'Resource Planner'!$I$64-1,'Resource Planner'!$H$64),"","–"&amp;MIN('Resource Planner'!$G$64+23*'Resource Planner'!$I$64-1,'Resource Planner'!$H$64)),"")</f>
        <v/>
      </c>
      <c r="G2727" s="163" t="s">
        <v>109</v>
      </c>
      <c r="H2727" s="163" t="str">
        <f>IF(AND('Resource Planner'!$A$64="☑",23&lt;='Resource Planner'!$N$64),'Resource Planner'!$M$64,"")</f>
        <v/>
      </c>
    </row>
    <row r="2728" ht="15.75" customHeight="1">
      <c r="A27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8" s="163" t="str">
        <f>IF(AND('Resource Planner'!$A$64="☑",24&lt;='Resource Planner'!$N$64),'Resource Planner'!$C$64,"")</f>
        <v/>
      </c>
      <c r="C2728" s="163" t="str">
        <f>IF(AND('Resource Planner'!$A$64="☑",24&lt;='Resource Planner'!$N$64),'Resource Planner'!$B$64,"")</f>
        <v/>
      </c>
      <c r="D2728" s="163" t="str">
        <f>IF(AND('Resource Planner'!$A$64="☑",24&lt;='Resource Planner'!$N$64),'Resource Planner'!$D$64,"")</f>
        <v/>
      </c>
      <c r="E2728" s="163" t="str">
        <f>IF(AND('Resource Planner'!$A$64="☑",24&lt;='Resource Planner'!$N$64),'Resource Planner'!$E$64,"")</f>
        <v/>
      </c>
      <c r="F2728" s="163" t="str">
        <f>IF(AND('Resource Planner'!$A$64="☑",24&lt;='Resource Planner'!$N$64),'Resource Planner'!$F$64&amp;" "&amp;('Resource Planner'!$G$64+(24-1)*'Resource Planner'!$I$64)&amp;IF(('Resource Planner'!$G$64+(24-1)*'Resource Planner'!$I$64)=MIN('Resource Planner'!$G$64+24*'Resource Planner'!$I$64-1,'Resource Planner'!$H$64),"","–"&amp;MIN('Resource Planner'!$G$64+24*'Resource Planner'!$I$64-1,'Resource Planner'!$H$64)),"")</f>
        <v/>
      </c>
      <c r="G2728" s="163" t="s">
        <v>109</v>
      </c>
      <c r="H2728" s="163" t="str">
        <f>IF(AND('Resource Planner'!$A$64="☑",24&lt;='Resource Planner'!$N$64),'Resource Planner'!$M$64,"")</f>
        <v/>
      </c>
    </row>
    <row r="2729" ht="15.75" customHeight="1">
      <c r="A27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29" s="163" t="str">
        <f>IF(AND('Resource Planner'!$A$64="☑",25&lt;='Resource Planner'!$N$64),'Resource Planner'!$C$64,"")</f>
        <v/>
      </c>
      <c r="C2729" s="163" t="str">
        <f>IF(AND('Resource Planner'!$A$64="☑",25&lt;='Resource Planner'!$N$64),'Resource Planner'!$B$64,"")</f>
        <v/>
      </c>
      <c r="D2729" s="163" t="str">
        <f>IF(AND('Resource Planner'!$A$64="☑",25&lt;='Resource Planner'!$N$64),'Resource Planner'!$D$64,"")</f>
        <v/>
      </c>
      <c r="E2729" s="163" t="str">
        <f>IF(AND('Resource Planner'!$A$64="☑",25&lt;='Resource Planner'!$N$64),'Resource Planner'!$E$64,"")</f>
        <v/>
      </c>
      <c r="F2729" s="163" t="str">
        <f>IF(AND('Resource Planner'!$A$64="☑",25&lt;='Resource Planner'!$N$64),'Resource Planner'!$F$64&amp;" "&amp;('Resource Planner'!$G$64+(25-1)*'Resource Planner'!$I$64)&amp;IF(('Resource Planner'!$G$64+(25-1)*'Resource Planner'!$I$64)=MIN('Resource Planner'!$G$64+25*'Resource Planner'!$I$64-1,'Resource Planner'!$H$64),"","–"&amp;MIN('Resource Planner'!$G$64+25*'Resource Planner'!$I$64-1,'Resource Planner'!$H$64)),"")</f>
        <v/>
      </c>
      <c r="G2729" s="163" t="s">
        <v>109</v>
      </c>
      <c r="H2729" s="163" t="str">
        <f>IF(AND('Resource Planner'!$A$64="☑",25&lt;='Resource Planner'!$N$64),'Resource Planner'!$M$64,"")</f>
        <v/>
      </c>
    </row>
    <row r="2730" ht="15.75" customHeight="1">
      <c r="A27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0" s="163" t="str">
        <f>IF(AND('Resource Planner'!$A$64="☑",26&lt;='Resource Planner'!$N$64),'Resource Planner'!$C$64,"")</f>
        <v/>
      </c>
      <c r="C2730" s="163" t="str">
        <f>IF(AND('Resource Planner'!$A$64="☑",26&lt;='Resource Planner'!$N$64),'Resource Planner'!$B$64,"")</f>
        <v/>
      </c>
      <c r="D2730" s="163" t="str">
        <f>IF(AND('Resource Planner'!$A$64="☑",26&lt;='Resource Planner'!$N$64),'Resource Planner'!$D$64,"")</f>
        <v/>
      </c>
      <c r="E2730" s="163" t="str">
        <f>IF(AND('Resource Planner'!$A$64="☑",26&lt;='Resource Planner'!$N$64),'Resource Planner'!$E$64,"")</f>
        <v/>
      </c>
      <c r="F2730" s="163" t="str">
        <f>IF(AND('Resource Planner'!$A$64="☑",26&lt;='Resource Planner'!$N$64),'Resource Planner'!$F$64&amp;" "&amp;('Resource Planner'!$G$64+(26-1)*'Resource Planner'!$I$64)&amp;IF(('Resource Planner'!$G$64+(26-1)*'Resource Planner'!$I$64)=MIN('Resource Planner'!$G$64+26*'Resource Planner'!$I$64-1,'Resource Planner'!$H$64),"","–"&amp;MIN('Resource Planner'!$G$64+26*'Resource Planner'!$I$64-1,'Resource Planner'!$H$64)),"")</f>
        <v/>
      </c>
      <c r="G2730" s="163" t="s">
        <v>109</v>
      </c>
      <c r="H2730" s="163" t="str">
        <f>IF(AND('Resource Planner'!$A$64="☑",26&lt;='Resource Planner'!$N$64),'Resource Planner'!$M$64,"")</f>
        <v/>
      </c>
    </row>
    <row r="2731" ht="15.75" customHeight="1">
      <c r="A27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1" s="163" t="str">
        <f>IF(AND('Resource Planner'!$A$64="☑",27&lt;='Resource Planner'!$N$64),'Resource Planner'!$C$64,"")</f>
        <v/>
      </c>
      <c r="C2731" s="163" t="str">
        <f>IF(AND('Resource Planner'!$A$64="☑",27&lt;='Resource Planner'!$N$64),'Resource Planner'!$B$64,"")</f>
        <v/>
      </c>
      <c r="D2731" s="163" t="str">
        <f>IF(AND('Resource Planner'!$A$64="☑",27&lt;='Resource Planner'!$N$64),'Resource Planner'!$D$64,"")</f>
        <v/>
      </c>
      <c r="E2731" s="163" t="str">
        <f>IF(AND('Resource Planner'!$A$64="☑",27&lt;='Resource Planner'!$N$64),'Resource Planner'!$E$64,"")</f>
        <v/>
      </c>
      <c r="F2731" s="163" t="str">
        <f>IF(AND('Resource Planner'!$A$64="☑",27&lt;='Resource Planner'!$N$64),'Resource Planner'!$F$64&amp;" "&amp;('Resource Planner'!$G$64+(27-1)*'Resource Planner'!$I$64)&amp;IF(('Resource Planner'!$G$64+(27-1)*'Resource Planner'!$I$64)=MIN('Resource Planner'!$G$64+27*'Resource Planner'!$I$64-1,'Resource Planner'!$H$64),"","–"&amp;MIN('Resource Planner'!$G$64+27*'Resource Planner'!$I$64-1,'Resource Planner'!$H$64)),"")</f>
        <v/>
      </c>
      <c r="G2731" s="163" t="s">
        <v>109</v>
      </c>
      <c r="H2731" s="163" t="str">
        <f>IF(AND('Resource Planner'!$A$64="☑",27&lt;='Resource Planner'!$N$64),'Resource Planner'!$M$64,"")</f>
        <v/>
      </c>
    </row>
    <row r="2732" ht="15.75" customHeight="1">
      <c r="A27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2" s="163" t="str">
        <f>IF(AND('Resource Planner'!$A$64="☑",28&lt;='Resource Planner'!$N$64),'Resource Planner'!$C$64,"")</f>
        <v/>
      </c>
      <c r="C2732" s="163" t="str">
        <f>IF(AND('Resource Planner'!$A$64="☑",28&lt;='Resource Planner'!$N$64),'Resource Planner'!$B$64,"")</f>
        <v/>
      </c>
      <c r="D2732" s="163" t="str">
        <f>IF(AND('Resource Planner'!$A$64="☑",28&lt;='Resource Planner'!$N$64),'Resource Planner'!$D$64,"")</f>
        <v/>
      </c>
      <c r="E2732" s="163" t="str">
        <f>IF(AND('Resource Planner'!$A$64="☑",28&lt;='Resource Planner'!$N$64),'Resource Planner'!$E$64,"")</f>
        <v/>
      </c>
      <c r="F2732" s="163" t="str">
        <f>IF(AND('Resource Planner'!$A$64="☑",28&lt;='Resource Planner'!$N$64),'Resource Planner'!$F$64&amp;" "&amp;('Resource Planner'!$G$64+(28-1)*'Resource Planner'!$I$64)&amp;IF(('Resource Planner'!$G$64+(28-1)*'Resource Planner'!$I$64)=MIN('Resource Planner'!$G$64+28*'Resource Planner'!$I$64-1,'Resource Planner'!$H$64),"","–"&amp;MIN('Resource Planner'!$G$64+28*'Resource Planner'!$I$64-1,'Resource Planner'!$H$64)),"")</f>
        <v/>
      </c>
      <c r="G2732" s="163" t="s">
        <v>109</v>
      </c>
      <c r="H2732" s="163" t="str">
        <f>IF(AND('Resource Planner'!$A$64="☑",28&lt;='Resource Planner'!$N$64),'Resource Planner'!$M$64,"")</f>
        <v/>
      </c>
    </row>
    <row r="2733" ht="15.75" customHeight="1">
      <c r="A27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3" s="163" t="str">
        <f>IF(AND('Resource Planner'!$A$64="☑",29&lt;='Resource Planner'!$N$64),'Resource Planner'!$C$64,"")</f>
        <v/>
      </c>
      <c r="C2733" s="163" t="str">
        <f>IF(AND('Resource Planner'!$A$64="☑",29&lt;='Resource Planner'!$N$64),'Resource Planner'!$B$64,"")</f>
        <v/>
      </c>
      <c r="D2733" s="163" t="str">
        <f>IF(AND('Resource Planner'!$A$64="☑",29&lt;='Resource Planner'!$N$64),'Resource Planner'!$D$64,"")</f>
        <v/>
      </c>
      <c r="E2733" s="163" t="str">
        <f>IF(AND('Resource Planner'!$A$64="☑",29&lt;='Resource Planner'!$N$64),'Resource Planner'!$E$64,"")</f>
        <v/>
      </c>
      <c r="F2733" s="163" t="str">
        <f>IF(AND('Resource Planner'!$A$64="☑",29&lt;='Resource Planner'!$N$64),'Resource Planner'!$F$64&amp;" "&amp;('Resource Planner'!$G$64+(29-1)*'Resource Planner'!$I$64)&amp;IF(('Resource Planner'!$G$64+(29-1)*'Resource Planner'!$I$64)=MIN('Resource Planner'!$G$64+29*'Resource Planner'!$I$64-1,'Resource Planner'!$H$64),"","–"&amp;MIN('Resource Planner'!$G$64+29*'Resource Planner'!$I$64-1,'Resource Planner'!$H$64)),"")</f>
        <v/>
      </c>
      <c r="G2733" s="163" t="s">
        <v>109</v>
      </c>
      <c r="H2733" s="163" t="str">
        <f>IF(AND('Resource Planner'!$A$64="☑",29&lt;='Resource Planner'!$N$64),'Resource Planner'!$M$64,"")</f>
        <v/>
      </c>
    </row>
    <row r="2734" ht="15.75" customHeight="1">
      <c r="A27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4" s="163" t="str">
        <f>IF(AND('Resource Planner'!$A$64="☑",30&lt;='Resource Planner'!$N$64),'Resource Planner'!$C$64,"")</f>
        <v/>
      </c>
      <c r="C2734" s="163" t="str">
        <f>IF(AND('Resource Planner'!$A$64="☑",30&lt;='Resource Planner'!$N$64),'Resource Planner'!$B$64,"")</f>
        <v/>
      </c>
      <c r="D2734" s="163" t="str">
        <f>IF(AND('Resource Planner'!$A$64="☑",30&lt;='Resource Planner'!$N$64),'Resource Planner'!$D$64,"")</f>
        <v/>
      </c>
      <c r="E2734" s="163" t="str">
        <f>IF(AND('Resource Planner'!$A$64="☑",30&lt;='Resource Planner'!$N$64),'Resource Planner'!$E$64,"")</f>
        <v/>
      </c>
      <c r="F2734" s="163" t="str">
        <f>IF(AND('Resource Planner'!$A$64="☑",30&lt;='Resource Planner'!$N$64),'Resource Planner'!$F$64&amp;" "&amp;('Resource Planner'!$G$64+(30-1)*'Resource Planner'!$I$64)&amp;IF(('Resource Planner'!$G$64+(30-1)*'Resource Planner'!$I$64)=MIN('Resource Planner'!$G$64+30*'Resource Planner'!$I$64-1,'Resource Planner'!$H$64),"","–"&amp;MIN('Resource Planner'!$G$64+30*'Resource Planner'!$I$64-1,'Resource Planner'!$H$64)),"")</f>
        <v/>
      </c>
      <c r="G2734" s="163" t="s">
        <v>109</v>
      </c>
      <c r="H2734" s="163" t="str">
        <f>IF(AND('Resource Planner'!$A$64="☑",30&lt;='Resource Planner'!$N$64),'Resource Planner'!$M$64,"")</f>
        <v/>
      </c>
    </row>
    <row r="2735" ht="15.75" customHeight="1">
      <c r="A27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5" s="163" t="str">
        <f>IF(AND('Resource Planner'!$A$64="☑",31&lt;='Resource Planner'!$N$64),'Resource Planner'!$C$64,"")</f>
        <v/>
      </c>
      <c r="C2735" s="163" t="str">
        <f>IF(AND('Resource Planner'!$A$64="☑",31&lt;='Resource Planner'!$N$64),'Resource Planner'!$B$64,"")</f>
        <v/>
      </c>
      <c r="D2735" s="163" t="str">
        <f>IF(AND('Resource Planner'!$A$64="☑",31&lt;='Resource Planner'!$N$64),'Resource Planner'!$D$64,"")</f>
        <v/>
      </c>
      <c r="E2735" s="163" t="str">
        <f>IF(AND('Resource Planner'!$A$64="☑",31&lt;='Resource Planner'!$N$64),'Resource Planner'!$E$64,"")</f>
        <v/>
      </c>
      <c r="F2735" s="163" t="str">
        <f>IF(AND('Resource Planner'!$A$64="☑",31&lt;='Resource Planner'!$N$64),'Resource Planner'!$F$64&amp;" "&amp;('Resource Planner'!$G$64+(31-1)*'Resource Planner'!$I$64)&amp;IF(('Resource Planner'!$G$64+(31-1)*'Resource Planner'!$I$64)=MIN('Resource Planner'!$G$64+31*'Resource Planner'!$I$64-1,'Resource Planner'!$H$64),"","–"&amp;MIN('Resource Planner'!$G$64+31*'Resource Planner'!$I$64-1,'Resource Planner'!$H$64)),"")</f>
        <v/>
      </c>
      <c r="G2735" s="163" t="s">
        <v>109</v>
      </c>
      <c r="H2735" s="163" t="str">
        <f>IF(AND('Resource Planner'!$A$64="☑",31&lt;='Resource Planner'!$N$64),'Resource Planner'!$M$64,"")</f>
        <v/>
      </c>
    </row>
    <row r="2736" ht="15.75" customHeight="1">
      <c r="A27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6" s="163" t="str">
        <f>IF(AND('Resource Planner'!$A$64="☑",32&lt;='Resource Planner'!$N$64),'Resource Planner'!$C$64,"")</f>
        <v/>
      </c>
      <c r="C2736" s="163" t="str">
        <f>IF(AND('Resource Planner'!$A$64="☑",32&lt;='Resource Planner'!$N$64),'Resource Planner'!$B$64,"")</f>
        <v/>
      </c>
      <c r="D2736" s="163" t="str">
        <f>IF(AND('Resource Planner'!$A$64="☑",32&lt;='Resource Planner'!$N$64),'Resource Planner'!$D$64,"")</f>
        <v/>
      </c>
      <c r="E2736" s="163" t="str">
        <f>IF(AND('Resource Planner'!$A$64="☑",32&lt;='Resource Planner'!$N$64),'Resource Planner'!$E$64,"")</f>
        <v/>
      </c>
      <c r="F2736" s="163" t="str">
        <f>IF(AND('Resource Planner'!$A$64="☑",32&lt;='Resource Planner'!$N$64),'Resource Planner'!$F$64&amp;" "&amp;('Resource Planner'!$G$64+(32-1)*'Resource Planner'!$I$64)&amp;IF(('Resource Planner'!$G$64+(32-1)*'Resource Planner'!$I$64)=MIN('Resource Planner'!$G$64+32*'Resource Planner'!$I$64-1,'Resource Planner'!$H$64),"","–"&amp;MIN('Resource Planner'!$G$64+32*'Resource Planner'!$I$64-1,'Resource Planner'!$H$64)),"")</f>
        <v/>
      </c>
      <c r="G2736" s="163" t="s">
        <v>109</v>
      </c>
      <c r="H2736" s="163" t="str">
        <f>IF(AND('Resource Planner'!$A$64="☑",32&lt;='Resource Planner'!$N$64),'Resource Planner'!$M$64,"")</f>
        <v/>
      </c>
    </row>
    <row r="2737" ht="15.75" customHeight="1">
      <c r="A27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7" s="163" t="str">
        <f>IF(AND('Resource Planner'!$A$64="☑",33&lt;='Resource Planner'!$N$64),'Resource Planner'!$C$64,"")</f>
        <v/>
      </c>
      <c r="C2737" s="163" t="str">
        <f>IF(AND('Resource Planner'!$A$64="☑",33&lt;='Resource Planner'!$N$64),'Resource Planner'!$B$64,"")</f>
        <v/>
      </c>
      <c r="D2737" s="163" t="str">
        <f>IF(AND('Resource Planner'!$A$64="☑",33&lt;='Resource Planner'!$N$64),'Resource Planner'!$D$64,"")</f>
        <v/>
      </c>
      <c r="E2737" s="163" t="str">
        <f>IF(AND('Resource Planner'!$A$64="☑",33&lt;='Resource Planner'!$N$64),'Resource Planner'!$E$64,"")</f>
        <v/>
      </c>
      <c r="F2737" s="163" t="str">
        <f>IF(AND('Resource Planner'!$A$64="☑",33&lt;='Resource Planner'!$N$64),'Resource Planner'!$F$64&amp;" "&amp;('Resource Planner'!$G$64+(33-1)*'Resource Planner'!$I$64)&amp;IF(('Resource Planner'!$G$64+(33-1)*'Resource Planner'!$I$64)=MIN('Resource Planner'!$G$64+33*'Resource Planner'!$I$64-1,'Resource Planner'!$H$64),"","–"&amp;MIN('Resource Planner'!$G$64+33*'Resource Planner'!$I$64-1,'Resource Planner'!$H$64)),"")</f>
        <v/>
      </c>
      <c r="G2737" s="163" t="s">
        <v>109</v>
      </c>
      <c r="H2737" s="163" t="str">
        <f>IF(AND('Resource Planner'!$A$64="☑",33&lt;='Resource Planner'!$N$64),'Resource Planner'!$M$64,"")</f>
        <v/>
      </c>
    </row>
    <row r="2738" ht="15.75" customHeight="1">
      <c r="A27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8" s="163" t="str">
        <f>IF(AND('Resource Planner'!$A$64="☑",34&lt;='Resource Planner'!$N$64),'Resource Planner'!$C$64,"")</f>
        <v/>
      </c>
      <c r="C2738" s="163" t="str">
        <f>IF(AND('Resource Planner'!$A$64="☑",34&lt;='Resource Planner'!$N$64),'Resource Planner'!$B$64,"")</f>
        <v/>
      </c>
      <c r="D2738" s="163" t="str">
        <f>IF(AND('Resource Planner'!$A$64="☑",34&lt;='Resource Planner'!$N$64),'Resource Planner'!$D$64,"")</f>
        <v/>
      </c>
      <c r="E2738" s="163" t="str">
        <f>IF(AND('Resource Planner'!$A$64="☑",34&lt;='Resource Planner'!$N$64),'Resource Planner'!$E$64,"")</f>
        <v/>
      </c>
      <c r="F2738" s="163" t="str">
        <f>IF(AND('Resource Planner'!$A$64="☑",34&lt;='Resource Planner'!$N$64),'Resource Planner'!$F$64&amp;" "&amp;('Resource Planner'!$G$64+(34-1)*'Resource Planner'!$I$64)&amp;IF(('Resource Planner'!$G$64+(34-1)*'Resource Planner'!$I$64)=MIN('Resource Planner'!$G$64+34*'Resource Planner'!$I$64-1,'Resource Planner'!$H$64),"","–"&amp;MIN('Resource Planner'!$G$64+34*'Resource Planner'!$I$64-1,'Resource Planner'!$H$64)),"")</f>
        <v/>
      </c>
      <c r="G2738" s="163" t="s">
        <v>109</v>
      </c>
      <c r="H2738" s="163" t="str">
        <f>IF(AND('Resource Planner'!$A$64="☑",34&lt;='Resource Planner'!$N$64),'Resource Planner'!$M$64,"")</f>
        <v/>
      </c>
    </row>
    <row r="2739" ht="15.75" customHeight="1">
      <c r="A27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39" s="163" t="str">
        <f>IF(AND('Resource Planner'!$A$64="☑",35&lt;='Resource Planner'!$N$64),'Resource Planner'!$C$64,"")</f>
        <v/>
      </c>
      <c r="C2739" s="163" t="str">
        <f>IF(AND('Resource Planner'!$A$64="☑",35&lt;='Resource Planner'!$N$64),'Resource Planner'!$B$64,"")</f>
        <v/>
      </c>
      <c r="D2739" s="163" t="str">
        <f>IF(AND('Resource Planner'!$A$64="☑",35&lt;='Resource Planner'!$N$64),'Resource Planner'!$D$64,"")</f>
        <v/>
      </c>
      <c r="E2739" s="163" t="str">
        <f>IF(AND('Resource Planner'!$A$64="☑",35&lt;='Resource Planner'!$N$64),'Resource Planner'!$E$64,"")</f>
        <v/>
      </c>
      <c r="F2739" s="163" t="str">
        <f>IF(AND('Resource Planner'!$A$64="☑",35&lt;='Resource Planner'!$N$64),'Resource Planner'!$F$64&amp;" "&amp;('Resource Planner'!$G$64+(35-1)*'Resource Planner'!$I$64)&amp;IF(('Resource Planner'!$G$64+(35-1)*'Resource Planner'!$I$64)=MIN('Resource Planner'!$G$64+35*'Resource Planner'!$I$64-1,'Resource Planner'!$H$64),"","–"&amp;MIN('Resource Planner'!$G$64+35*'Resource Planner'!$I$64-1,'Resource Planner'!$H$64)),"")</f>
        <v/>
      </c>
      <c r="G2739" s="163" t="s">
        <v>109</v>
      </c>
      <c r="H2739" s="163" t="str">
        <f>IF(AND('Resource Planner'!$A$64="☑",35&lt;='Resource Planner'!$N$64),'Resource Planner'!$M$64,"")</f>
        <v/>
      </c>
    </row>
    <row r="2740" ht="15.75" customHeight="1">
      <c r="A27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0" s="163" t="str">
        <f>IF(AND('Resource Planner'!$A$64="☑",36&lt;='Resource Planner'!$N$64),'Resource Planner'!$C$64,"")</f>
        <v/>
      </c>
      <c r="C2740" s="163" t="str">
        <f>IF(AND('Resource Planner'!$A$64="☑",36&lt;='Resource Planner'!$N$64),'Resource Planner'!$B$64,"")</f>
        <v/>
      </c>
      <c r="D2740" s="163" t="str">
        <f>IF(AND('Resource Planner'!$A$64="☑",36&lt;='Resource Planner'!$N$64),'Resource Planner'!$D$64,"")</f>
        <v/>
      </c>
      <c r="E2740" s="163" t="str">
        <f>IF(AND('Resource Planner'!$A$64="☑",36&lt;='Resource Planner'!$N$64),'Resource Planner'!$E$64,"")</f>
        <v/>
      </c>
      <c r="F2740" s="163" t="str">
        <f>IF(AND('Resource Planner'!$A$64="☑",36&lt;='Resource Planner'!$N$64),'Resource Planner'!$F$64&amp;" "&amp;('Resource Planner'!$G$64+(36-1)*'Resource Planner'!$I$64)&amp;IF(('Resource Planner'!$G$64+(36-1)*'Resource Planner'!$I$64)=MIN('Resource Planner'!$G$64+36*'Resource Planner'!$I$64-1,'Resource Planner'!$H$64),"","–"&amp;MIN('Resource Planner'!$G$64+36*'Resource Planner'!$I$64-1,'Resource Planner'!$H$64)),"")</f>
        <v/>
      </c>
      <c r="G2740" s="163" t="s">
        <v>109</v>
      </c>
      <c r="H2740" s="163" t="str">
        <f>IF(AND('Resource Planner'!$A$64="☑",36&lt;='Resource Planner'!$N$64),'Resource Planner'!$M$64,"")</f>
        <v/>
      </c>
    </row>
    <row r="2741" ht="15.75" customHeight="1">
      <c r="A27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1" s="163" t="str">
        <f>IF(AND('Resource Planner'!$A$64="☑",37&lt;='Resource Planner'!$N$64),'Resource Planner'!$C$64,"")</f>
        <v/>
      </c>
      <c r="C2741" s="163" t="str">
        <f>IF(AND('Resource Planner'!$A$64="☑",37&lt;='Resource Planner'!$N$64),'Resource Planner'!$B$64,"")</f>
        <v/>
      </c>
      <c r="D2741" s="163" t="str">
        <f>IF(AND('Resource Planner'!$A$64="☑",37&lt;='Resource Planner'!$N$64),'Resource Planner'!$D$64,"")</f>
        <v/>
      </c>
      <c r="E2741" s="163" t="str">
        <f>IF(AND('Resource Planner'!$A$64="☑",37&lt;='Resource Planner'!$N$64),'Resource Planner'!$E$64,"")</f>
        <v/>
      </c>
      <c r="F2741" s="163" t="str">
        <f>IF(AND('Resource Planner'!$A$64="☑",37&lt;='Resource Planner'!$N$64),'Resource Planner'!$F$64&amp;" "&amp;('Resource Planner'!$G$64+(37-1)*'Resource Planner'!$I$64)&amp;IF(('Resource Planner'!$G$64+(37-1)*'Resource Planner'!$I$64)=MIN('Resource Planner'!$G$64+37*'Resource Planner'!$I$64-1,'Resource Planner'!$H$64),"","–"&amp;MIN('Resource Planner'!$G$64+37*'Resource Planner'!$I$64-1,'Resource Planner'!$H$64)),"")</f>
        <v/>
      </c>
      <c r="G2741" s="163" t="s">
        <v>109</v>
      </c>
      <c r="H2741" s="163" t="str">
        <f>IF(AND('Resource Planner'!$A$64="☑",37&lt;='Resource Planner'!$N$64),'Resource Planner'!$M$64,"")</f>
        <v/>
      </c>
    </row>
    <row r="2742" ht="15.75" customHeight="1">
      <c r="A27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2" s="163" t="str">
        <f>IF(AND('Resource Planner'!$A$64="☑",38&lt;='Resource Planner'!$N$64),'Resource Planner'!$C$64,"")</f>
        <v/>
      </c>
      <c r="C2742" s="163" t="str">
        <f>IF(AND('Resource Planner'!$A$64="☑",38&lt;='Resource Planner'!$N$64),'Resource Planner'!$B$64,"")</f>
        <v/>
      </c>
      <c r="D2742" s="163" t="str">
        <f>IF(AND('Resource Planner'!$A$64="☑",38&lt;='Resource Planner'!$N$64),'Resource Planner'!$D$64,"")</f>
        <v/>
      </c>
      <c r="E2742" s="163" t="str">
        <f>IF(AND('Resource Planner'!$A$64="☑",38&lt;='Resource Planner'!$N$64),'Resource Planner'!$E$64,"")</f>
        <v/>
      </c>
      <c r="F2742" s="163" t="str">
        <f>IF(AND('Resource Planner'!$A$64="☑",38&lt;='Resource Planner'!$N$64),'Resource Planner'!$F$64&amp;" "&amp;('Resource Planner'!$G$64+(38-1)*'Resource Planner'!$I$64)&amp;IF(('Resource Planner'!$G$64+(38-1)*'Resource Planner'!$I$64)=MIN('Resource Planner'!$G$64+38*'Resource Planner'!$I$64-1,'Resource Planner'!$H$64),"","–"&amp;MIN('Resource Planner'!$G$64+38*'Resource Planner'!$I$64-1,'Resource Planner'!$H$64)),"")</f>
        <v/>
      </c>
      <c r="G2742" s="163" t="s">
        <v>109</v>
      </c>
      <c r="H2742" s="163" t="str">
        <f>IF(AND('Resource Planner'!$A$64="☑",38&lt;='Resource Planner'!$N$64),'Resource Planner'!$M$64,"")</f>
        <v/>
      </c>
    </row>
    <row r="2743" ht="15.75" customHeight="1">
      <c r="A27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3" s="163" t="str">
        <f>IF(AND('Resource Planner'!$A$64="☑",39&lt;='Resource Planner'!$N$64),'Resource Planner'!$C$64,"")</f>
        <v/>
      </c>
      <c r="C2743" s="163" t="str">
        <f>IF(AND('Resource Planner'!$A$64="☑",39&lt;='Resource Planner'!$N$64),'Resource Planner'!$B$64,"")</f>
        <v/>
      </c>
      <c r="D2743" s="163" t="str">
        <f>IF(AND('Resource Planner'!$A$64="☑",39&lt;='Resource Planner'!$N$64),'Resource Planner'!$D$64,"")</f>
        <v/>
      </c>
      <c r="E2743" s="163" t="str">
        <f>IF(AND('Resource Planner'!$A$64="☑",39&lt;='Resource Planner'!$N$64),'Resource Planner'!$E$64,"")</f>
        <v/>
      </c>
      <c r="F2743" s="163" t="str">
        <f>IF(AND('Resource Planner'!$A$64="☑",39&lt;='Resource Planner'!$N$64),'Resource Planner'!$F$64&amp;" "&amp;('Resource Planner'!$G$64+(39-1)*'Resource Planner'!$I$64)&amp;IF(('Resource Planner'!$G$64+(39-1)*'Resource Planner'!$I$64)=MIN('Resource Planner'!$G$64+39*'Resource Planner'!$I$64-1,'Resource Planner'!$H$64),"","–"&amp;MIN('Resource Planner'!$G$64+39*'Resource Planner'!$I$64-1,'Resource Planner'!$H$64)),"")</f>
        <v/>
      </c>
      <c r="G2743" s="163" t="s">
        <v>109</v>
      </c>
      <c r="H2743" s="163" t="str">
        <f>IF(AND('Resource Planner'!$A$64="☑",39&lt;='Resource Planner'!$N$64),'Resource Planner'!$M$64,"")</f>
        <v/>
      </c>
    </row>
    <row r="2744" ht="15.75" customHeight="1">
      <c r="A27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4" s="163" t="str">
        <f>IF(AND('Resource Planner'!$A$64="☑",40&lt;='Resource Planner'!$N$64),'Resource Planner'!$C$64,"")</f>
        <v/>
      </c>
      <c r="C2744" s="163" t="str">
        <f>IF(AND('Resource Planner'!$A$64="☑",40&lt;='Resource Planner'!$N$64),'Resource Planner'!$B$64,"")</f>
        <v/>
      </c>
      <c r="D2744" s="163" t="str">
        <f>IF(AND('Resource Planner'!$A$64="☑",40&lt;='Resource Planner'!$N$64),'Resource Planner'!$D$64,"")</f>
        <v/>
      </c>
      <c r="E2744" s="163" t="str">
        <f>IF(AND('Resource Planner'!$A$64="☑",40&lt;='Resource Planner'!$N$64),'Resource Planner'!$E$64,"")</f>
        <v/>
      </c>
      <c r="F2744" s="163" t="str">
        <f>IF(AND('Resource Planner'!$A$64="☑",40&lt;='Resource Planner'!$N$64),'Resource Planner'!$F$64&amp;" "&amp;('Resource Planner'!$G$64+(40-1)*'Resource Planner'!$I$64)&amp;IF(('Resource Planner'!$G$64+(40-1)*'Resource Planner'!$I$64)=MIN('Resource Planner'!$G$64+40*'Resource Planner'!$I$64-1,'Resource Planner'!$H$64),"","–"&amp;MIN('Resource Planner'!$G$64+40*'Resource Planner'!$I$64-1,'Resource Planner'!$H$64)),"")</f>
        <v/>
      </c>
      <c r="G2744" s="163" t="s">
        <v>109</v>
      </c>
      <c r="H2744" s="163" t="str">
        <f>IF(AND('Resource Planner'!$A$64="☑",40&lt;='Resource Planner'!$N$64),'Resource Planner'!$M$64,"")</f>
        <v/>
      </c>
    </row>
    <row r="2745" ht="15.75" customHeight="1">
      <c r="A27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5" s="163" t="str">
        <f>IF(AND('Resource Planner'!$A$64="☑",41&lt;='Resource Planner'!$N$64),'Resource Planner'!$C$64,"")</f>
        <v/>
      </c>
      <c r="C2745" s="163" t="str">
        <f>IF(AND('Resource Planner'!$A$64="☑",41&lt;='Resource Planner'!$N$64),'Resource Planner'!$B$64,"")</f>
        <v/>
      </c>
      <c r="D2745" s="163" t="str">
        <f>IF(AND('Resource Planner'!$A$64="☑",41&lt;='Resource Planner'!$N$64),'Resource Planner'!$D$64,"")</f>
        <v/>
      </c>
      <c r="E2745" s="163" t="str">
        <f>IF(AND('Resource Planner'!$A$64="☑",41&lt;='Resource Planner'!$N$64),'Resource Planner'!$E$64,"")</f>
        <v/>
      </c>
      <c r="F2745" s="163" t="str">
        <f>IF(AND('Resource Planner'!$A$64="☑",41&lt;='Resource Planner'!$N$64),'Resource Planner'!$F$64&amp;" "&amp;('Resource Planner'!$G$64+(41-1)*'Resource Planner'!$I$64)&amp;IF(('Resource Planner'!$G$64+(41-1)*'Resource Planner'!$I$64)=MIN('Resource Planner'!$G$64+41*'Resource Planner'!$I$64-1,'Resource Planner'!$H$64),"","–"&amp;MIN('Resource Planner'!$G$64+41*'Resource Planner'!$I$64-1,'Resource Planner'!$H$64)),"")</f>
        <v/>
      </c>
      <c r="G2745" s="163" t="s">
        <v>109</v>
      </c>
      <c r="H2745" s="163" t="str">
        <f>IF(AND('Resource Planner'!$A$64="☑",41&lt;='Resource Planner'!$N$64),'Resource Planner'!$M$64,"")</f>
        <v/>
      </c>
    </row>
    <row r="2746" ht="15.75" customHeight="1">
      <c r="A27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6" s="163" t="str">
        <f>IF(AND('Resource Planner'!$A$64="☑",42&lt;='Resource Planner'!$N$64),'Resource Planner'!$C$64,"")</f>
        <v/>
      </c>
      <c r="C2746" s="163" t="str">
        <f>IF(AND('Resource Planner'!$A$64="☑",42&lt;='Resource Planner'!$N$64),'Resource Planner'!$B$64,"")</f>
        <v/>
      </c>
      <c r="D2746" s="163" t="str">
        <f>IF(AND('Resource Planner'!$A$64="☑",42&lt;='Resource Planner'!$N$64),'Resource Planner'!$D$64,"")</f>
        <v/>
      </c>
      <c r="E2746" s="163" t="str">
        <f>IF(AND('Resource Planner'!$A$64="☑",42&lt;='Resource Planner'!$N$64),'Resource Planner'!$E$64,"")</f>
        <v/>
      </c>
      <c r="F2746" s="163" t="str">
        <f>IF(AND('Resource Planner'!$A$64="☑",42&lt;='Resource Planner'!$N$64),'Resource Planner'!$F$64&amp;" "&amp;('Resource Planner'!$G$64+(42-1)*'Resource Planner'!$I$64)&amp;IF(('Resource Planner'!$G$64+(42-1)*'Resource Planner'!$I$64)=MIN('Resource Planner'!$G$64+42*'Resource Planner'!$I$64-1,'Resource Planner'!$H$64),"","–"&amp;MIN('Resource Planner'!$G$64+42*'Resource Planner'!$I$64-1,'Resource Planner'!$H$64)),"")</f>
        <v/>
      </c>
      <c r="G2746" s="163" t="s">
        <v>109</v>
      </c>
      <c r="H2746" s="163" t="str">
        <f>IF(AND('Resource Planner'!$A$64="☑",42&lt;='Resource Planner'!$N$64),'Resource Planner'!$M$64,"")</f>
        <v/>
      </c>
    </row>
    <row r="2747" ht="15.75" customHeight="1">
      <c r="A27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7" s="163" t="str">
        <f>IF(AND('Resource Planner'!$A$64="☑",43&lt;='Resource Planner'!$N$64),'Resource Planner'!$C$64,"")</f>
        <v/>
      </c>
      <c r="C2747" s="163" t="str">
        <f>IF(AND('Resource Planner'!$A$64="☑",43&lt;='Resource Planner'!$N$64),'Resource Planner'!$B$64,"")</f>
        <v/>
      </c>
      <c r="D2747" s="163" t="str">
        <f>IF(AND('Resource Planner'!$A$64="☑",43&lt;='Resource Planner'!$N$64),'Resource Planner'!$D$64,"")</f>
        <v/>
      </c>
      <c r="E2747" s="163" t="str">
        <f>IF(AND('Resource Planner'!$A$64="☑",43&lt;='Resource Planner'!$N$64),'Resource Planner'!$E$64,"")</f>
        <v/>
      </c>
      <c r="F2747" s="163" t="str">
        <f>IF(AND('Resource Planner'!$A$64="☑",43&lt;='Resource Planner'!$N$64),'Resource Planner'!$F$64&amp;" "&amp;('Resource Planner'!$G$64+(43-1)*'Resource Planner'!$I$64)&amp;IF(('Resource Planner'!$G$64+(43-1)*'Resource Planner'!$I$64)=MIN('Resource Planner'!$G$64+43*'Resource Planner'!$I$64-1,'Resource Planner'!$H$64),"","–"&amp;MIN('Resource Planner'!$G$64+43*'Resource Planner'!$I$64-1,'Resource Planner'!$H$64)),"")</f>
        <v/>
      </c>
      <c r="G2747" s="163" t="s">
        <v>109</v>
      </c>
      <c r="H2747" s="163" t="str">
        <f>IF(AND('Resource Planner'!$A$64="☑",43&lt;='Resource Planner'!$N$64),'Resource Planner'!$M$64,"")</f>
        <v/>
      </c>
    </row>
    <row r="2748" ht="15.75" customHeight="1">
      <c r="A27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8" s="163" t="str">
        <f>IF(AND('Resource Planner'!$A$64="☑",44&lt;='Resource Planner'!$N$64),'Resource Planner'!$C$64,"")</f>
        <v/>
      </c>
      <c r="C2748" s="163" t="str">
        <f>IF(AND('Resource Planner'!$A$64="☑",44&lt;='Resource Planner'!$N$64),'Resource Planner'!$B$64,"")</f>
        <v/>
      </c>
      <c r="D2748" s="163" t="str">
        <f>IF(AND('Resource Planner'!$A$64="☑",44&lt;='Resource Planner'!$N$64),'Resource Planner'!$D$64,"")</f>
        <v/>
      </c>
      <c r="E2748" s="163" t="str">
        <f>IF(AND('Resource Planner'!$A$64="☑",44&lt;='Resource Planner'!$N$64),'Resource Planner'!$E$64,"")</f>
        <v/>
      </c>
      <c r="F2748" s="163" t="str">
        <f>IF(AND('Resource Planner'!$A$64="☑",44&lt;='Resource Planner'!$N$64),'Resource Planner'!$F$64&amp;" "&amp;('Resource Planner'!$G$64+(44-1)*'Resource Planner'!$I$64)&amp;IF(('Resource Planner'!$G$64+(44-1)*'Resource Planner'!$I$64)=MIN('Resource Planner'!$G$64+44*'Resource Planner'!$I$64-1,'Resource Planner'!$H$64),"","–"&amp;MIN('Resource Planner'!$G$64+44*'Resource Planner'!$I$64-1,'Resource Planner'!$H$64)),"")</f>
        <v/>
      </c>
      <c r="G2748" s="163" t="s">
        <v>109</v>
      </c>
      <c r="H2748" s="163" t="str">
        <f>IF(AND('Resource Planner'!$A$64="☑",44&lt;='Resource Planner'!$N$64),'Resource Planner'!$M$64,"")</f>
        <v/>
      </c>
    </row>
    <row r="2749" ht="15.75" customHeight="1">
      <c r="A27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49" s="163" t="str">
        <f>IF(AND('Resource Planner'!$A$64="☑",45&lt;='Resource Planner'!$N$64),'Resource Planner'!$C$64,"")</f>
        <v/>
      </c>
      <c r="C2749" s="163" t="str">
        <f>IF(AND('Resource Planner'!$A$64="☑",45&lt;='Resource Planner'!$N$64),'Resource Planner'!$B$64,"")</f>
        <v/>
      </c>
      <c r="D2749" s="163" t="str">
        <f>IF(AND('Resource Planner'!$A$64="☑",45&lt;='Resource Planner'!$N$64),'Resource Planner'!$D$64,"")</f>
        <v/>
      </c>
      <c r="E2749" s="163" t="str">
        <f>IF(AND('Resource Planner'!$A$64="☑",45&lt;='Resource Planner'!$N$64),'Resource Planner'!$E$64,"")</f>
        <v/>
      </c>
      <c r="F2749" s="163" t="str">
        <f>IF(AND('Resource Planner'!$A$64="☑",45&lt;='Resource Planner'!$N$64),'Resource Planner'!$F$64&amp;" "&amp;('Resource Planner'!$G$64+(45-1)*'Resource Planner'!$I$64)&amp;IF(('Resource Planner'!$G$64+(45-1)*'Resource Planner'!$I$64)=MIN('Resource Planner'!$G$64+45*'Resource Planner'!$I$64-1,'Resource Planner'!$H$64),"","–"&amp;MIN('Resource Planner'!$G$64+45*'Resource Planner'!$I$64-1,'Resource Planner'!$H$64)),"")</f>
        <v/>
      </c>
      <c r="G2749" s="163" t="s">
        <v>109</v>
      </c>
      <c r="H2749" s="163" t="str">
        <f>IF(AND('Resource Planner'!$A$64="☑",45&lt;='Resource Planner'!$N$64),'Resource Planner'!$M$64,"")</f>
        <v/>
      </c>
    </row>
    <row r="2750" ht="15.75" customHeight="1">
      <c r="A27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0" s="163" t="str">
        <f>IF(AND('Resource Planner'!$A$64="☑",46&lt;='Resource Planner'!$N$64),'Resource Planner'!$C$64,"")</f>
        <v/>
      </c>
      <c r="C2750" s="163" t="str">
        <f>IF(AND('Resource Planner'!$A$64="☑",46&lt;='Resource Planner'!$N$64),'Resource Planner'!$B$64,"")</f>
        <v/>
      </c>
      <c r="D2750" s="163" t="str">
        <f>IF(AND('Resource Planner'!$A$64="☑",46&lt;='Resource Planner'!$N$64),'Resource Planner'!$D$64,"")</f>
        <v/>
      </c>
      <c r="E2750" s="163" t="str">
        <f>IF(AND('Resource Planner'!$A$64="☑",46&lt;='Resource Planner'!$N$64),'Resource Planner'!$E$64,"")</f>
        <v/>
      </c>
      <c r="F2750" s="163" t="str">
        <f>IF(AND('Resource Planner'!$A$64="☑",46&lt;='Resource Planner'!$N$64),'Resource Planner'!$F$64&amp;" "&amp;('Resource Planner'!$G$64+(46-1)*'Resource Planner'!$I$64)&amp;IF(('Resource Planner'!$G$64+(46-1)*'Resource Planner'!$I$64)=MIN('Resource Planner'!$G$64+46*'Resource Planner'!$I$64-1,'Resource Planner'!$H$64),"","–"&amp;MIN('Resource Planner'!$G$64+46*'Resource Planner'!$I$64-1,'Resource Planner'!$H$64)),"")</f>
        <v/>
      </c>
      <c r="G2750" s="163" t="s">
        <v>109</v>
      </c>
      <c r="H2750" s="163" t="str">
        <f>IF(AND('Resource Planner'!$A$64="☑",46&lt;='Resource Planner'!$N$64),'Resource Planner'!$M$64,"")</f>
        <v/>
      </c>
    </row>
    <row r="2751" ht="15.75" customHeight="1">
      <c r="A27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1" s="163" t="str">
        <f>IF(AND('Resource Planner'!$A$64="☑",47&lt;='Resource Planner'!$N$64),'Resource Planner'!$C$64,"")</f>
        <v/>
      </c>
      <c r="C2751" s="163" t="str">
        <f>IF(AND('Resource Planner'!$A$64="☑",47&lt;='Resource Planner'!$N$64),'Resource Planner'!$B$64,"")</f>
        <v/>
      </c>
      <c r="D2751" s="163" t="str">
        <f>IF(AND('Resource Planner'!$A$64="☑",47&lt;='Resource Planner'!$N$64),'Resource Planner'!$D$64,"")</f>
        <v/>
      </c>
      <c r="E2751" s="163" t="str">
        <f>IF(AND('Resource Planner'!$A$64="☑",47&lt;='Resource Planner'!$N$64),'Resource Planner'!$E$64,"")</f>
        <v/>
      </c>
      <c r="F2751" s="163" t="str">
        <f>IF(AND('Resource Planner'!$A$64="☑",47&lt;='Resource Planner'!$N$64),'Resource Planner'!$F$64&amp;" "&amp;('Resource Planner'!$G$64+(47-1)*'Resource Planner'!$I$64)&amp;IF(('Resource Planner'!$G$64+(47-1)*'Resource Planner'!$I$64)=MIN('Resource Planner'!$G$64+47*'Resource Planner'!$I$64-1,'Resource Planner'!$H$64),"","–"&amp;MIN('Resource Planner'!$G$64+47*'Resource Planner'!$I$64-1,'Resource Planner'!$H$64)),"")</f>
        <v/>
      </c>
      <c r="G2751" s="163" t="s">
        <v>109</v>
      </c>
      <c r="H2751" s="163" t="str">
        <f>IF(AND('Resource Planner'!$A$64="☑",47&lt;='Resource Planner'!$N$64),'Resource Planner'!$M$64,"")</f>
        <v/>
      </c>
    </row>
    <row r="2752" ht="15.75" customHeight="1">
      <c r="A27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2" s="163" t="str">
        <f>IF(AND('Resource Planner'!$A$64="☑",48&lt;='Resource Planner'!$N$64),'Resource Planner'!$C$64,"")</f>
        <v/>
      </c>
      <c r="C2752" s="163" t="str">
        <f>IF(AND('Resource Planner'!$A$64="☑",48&lt;='Resource Planner'!$N$64),'Resource Planner'!$B$64,"")</f>
        <v/>
      </c>
      <c r="D2752" s="163" t="str">
        <f>IF(AND('Resource Planner'!$A$64="☑",48&lt;='Resource Planner'!$N$64),'Resource Planner'!$D$64,"")</f>
        <v/>
      </c>
      <c r="E2752" s="163" t="str">
        <f>IF(AND('Resource Planner'!$A$64="☑",48&lt;='Resource Planner'!$N$64),'Resource Planner'!$E$64,"")</f>
        <v/>
      </c>
      <c r="F2752" s="163" t="str">
        <f>IF(AND('Resource Planner'!$A$64="☑",48&lt;='Resource Planner'!$N$64),'Resource Planner'!$F$64&amp;" "&amp;('Resource Planner'!$G$64+(48-1)*'Resource Planner'!$I$64)&amp;IF(('Resource Planner'!$G$64+(48-1)*'Resource Planner'!$I$64)=MIN('Resource Planner'!$G$64+48*'Resource Planner'!$I$64-1,'Resource Planner'!$H$64),"","–"&amp;MIN('Resource Planner'!$G$64+48*'Resource Planner'!$I$64-1,'Resource Planner'!$H$64)),"")</f>
        <v/>
      </c>
      <c r="G2752" s="163" t="s">
        <v>109</v>
      </c>
      <c r="H2752" s="163" t="str">
        <f>IF(AND('Resource Planner'!$A$64="☑",48&lt;='Resource Planner'!$N$64),'Resource Planner'!$M$64,"")</f>
        <v/>
      </c>
    </row>
    <row r="2753" ht="15.75" customHeight="1">
      <c r="A27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3" s="163" t="str">
        <f>IF(AND('Resource Planner'!$A$64="☑",49&lt;='Resource Planner'!$N$64),'Resource Planner'!$C$64,"")</f>
        <v/>
      </c>
      <c r="C2753" s="163" t="str">
        <f>IF(AND('Resource Planner'!$A$64="☑",49&lt;='Resource Planner'!$N$64),'Resource Planner'!$B$64,"")</f>
        <v/>
      </c>
      <c r="D2753" s="163" t="str">
        <f>IF(AND('Resource Planner'!$A$64="☑",49&lt;='Resource Planner'!$N$64),'Resource Planner'!$D$64,"")</f>
        <v/>
      </c>
      <c r="E2753" s="163" t="str">
        <f>IF(AND('Resource Planner'!$A$64="☑",49&lt;='Resource Planner'!$N$64),'Resource Planner'!$E$64,"")</f>
        <v/>
      </c>
      <c r="F2753" s="163" t="str">
        <f>IF(AND('Resource Planner'!$A$64="☑",49&lt;='Resource Planner'!$N$64),'Resource Planner'!$F$64&amp;" "&amp;('Resource Planner'!$G$64+(49-1)*'Resource Planner'!$I$64)&amp;IF(('Resource Planner'!$G$64+(49-1)*'Resource Planner'!$I$64)=MIN('Resource Planner'!$G$64+49*'Resource Planner'!$I$64-1,'Resource Planner'!$H$64),"","–"&amp;MIN('Resource Planner'!$G$64+49*'Resource Planner'!$I$64-1,'Resource Planner'!$H$64)),"")</f>
        <v/>
      </c>
      <c r="G2753" s="163" t="s">
        <v>109</v>
      </c>
      <c r="H2753" s="163" t="str">
        <f>IF(AND('Resource Planner'!$A$64="☑",49&lt;='Resource Planner'!$N$64),'Resource Planner'!$M$64,"")</f>
        <v/>
      </c>
    </row>
    <row r="2754" ht="15.75" customHeight="1">
      <c r="A27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4" s="163" t="str">
        <f>IF(AND('Resource Planner'!$A$64="☑",50&lt;='Resource Planner'!$N$64),'Resource Planner'!$C$64,"")</f>
        <v/>
      </c>
      <c r="C2754" s="163" t="str">
        <f>IF(AND('Resource Planner'!$A$64="☑",50&lt;='Resource Planner'!$N$64),'Resource Planner'!$B$64,"")</f>
        <v/>
      </c>
      <c r="D2754" s="163" t="str">
        <f>IF(AND('Resource Planner'!$A$64="☑",50&lt;='Resource Planner'!$N$64),'Resource Planner'!$D$64,"")</f>
        <v/>
      </c>
      <c r="E2754" s="163" t="str">
        <f>IF(AND('Resource Planner'!$A$64="☑",50&lt;='Resource Planner'!$N$64),'Resource Planner'!$E$64,"")</f>
        <v/>
      </c>
      <c r="F2754" s="163" t="str">
        <f>IF(AND('Resource Planner'!$A$64="☑",50&lt;='Resource Planner'!$N$64),'Resource Planner'!$F$64&amp;" "&amp;('Resource Planner'!$G$64+(50-1)*'Resource Planner'!$I$64)&amp;IF(('Resource Planner'!$G$64+(50-1)*'Resource Planner'!$I$64)=MIN('Resource Planner'!$G$64+50*'Resource Planner'!$I$64-1,'Resource Planner'!$H$64),"","–"&amp;MIN('Resource Planner'!$G$64+50*'Resource Planner'!$I$64-1,'Resource Planner'!$H$64)),"")</f>
        <v/>
      </c>
      <c r="G2754" s="163" t="s">
        <v>109</v>
      </c>
      <c r="H2754" s="163" t="str">
        <f>IF(AND('Resource Planner'!$A$64="☑",50&lt;='Resource Planner'!$N$64),'Resource Planner'!$M$64,"")</f>
        <v/>
      </c>
    </row>
    <row r="2755" ht="15.75" customHeight="1">
      <c r="A27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5" s="163" t="str">
        <f>IF(AND('Resource Planner'!$A$65="☑",1&lt;='Resource Planner'!$N$65),'Resource Planner'!$C$65,"")</f>
        <v/>
      </c>
      <c r="C2755" s="163" t="str">
        <f>IF(AND('Resource Planner'!$A$65="☑",1&lt;='Resource Planner'!$N$65),'Resource Planner'!$B$65,"")</f>
        <v/>
      </c>
      <c r="D2755" s="163" t="str">
        <f>IF(AND('Resource Planner'!$A$65="☑",1&lt;='Resource Planner'!$N$65),'Resource Planner'!$D$65,"")</f>
        <v/>
      </c>
      <c r="E2755" s="163" t="str">
        <f>IF(AND('Resource Planner'!$A$65="☑",1&lt;='Resource Planner'!$N$65),'Resource Planner'!$E$65,"")</f>
        <v/>
      </c>
      <c r="F2755" s="163" t="str">
        <f>IF(AND('Resource Planner'!$A$65="☑",1&lt;='Resource Planner'!$N$65),'Resource Planner'!$F$65&amp;" "&amp;('Resource Planner'!$G$65+(1-1)*'Resource Planner'!$I$65)&amp;IF(('Resource Planner'!$G$65+(1-1)*'Resource Planner'!$I$65)=MIN('Resource Planner'!$G$65+1*'Resource Planner'!$I$65-1,'Resource Planner'!$H$65),"","–"&amp;MIN('Resource Planner'!$G$65+1*'Resource Planner'!$I$65-1,'Resource Planner'!$H$65)),"")</f>
        <v/>
      </c>
      <c r="G2755" s="163" t="s">
        <v>109</v>
      </c>
      <c r="H2755" s="163" t="str">
        <f>IF(AND('Resource Planner'!$A$65="☑",1&lt;='Resource Planner'!$N$65),'Resource Planner'!$M$65,"")</f>
        <v/>
      </c>
    </row>
    <row r="2756" ht="15.75" customHeight="1">
      <c r="A27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6" s="163" t="str">
        <f>IF(AND('Resource Planner'!$A$65="☑",2&lt;='Resource Planner'!$N$65),'Resource Planner'!$C$65,"")</f>
        <v/>
      </c>
      <c r="C2756" s="163" t="str">
        <f>IF(AND('Resource Planner'!$A$65="☑",2&lt;='Resource Planner'!$N$65),'Resource Planner'!$B$65,"")</f>
        <v/>
      </c>
      <c r="D2756" s="163" t="str">
        <f>IF(AND('Resource Planner'!$A$65="☑",2&lt;='Resource Planner'!$N$65),'Resource Planner'!$D$65,"")</f>
        <v/>
      </c>
      <c r="E2756" s="163" t="str">
        <f>IF(AND('Resource Planner'!$A$65="☑",2&lt;='Resource Planner'!$N$65),'Resource Planner'!$E$65,"")</f>
        <v/>
      </c>
      <c r="F2756" s="163" t="str">
        <f>IF(AND('Resource Planner'!$A$65="☑",2&lt;='Resource Planner'!$N$65),'Resource Planner'!$F$65&amp;" "&amp;('Resource Planner'!$G$65+(2-1)*'Resource Planner'!$I$65)&amp;IF(('Resource Planner'!$G$65+(2-1)*'Resource Planner'!$I$65)=MIN('Resource Planner'!$G$65+2*'Resource Planner'!$I$65-1,'Resource Planner'!$H$65),"","–"&amp;MIN('Resource Planner'!$G$65+2*'Resource Planner'!$I$65-1,'Resource Planner'!$H$65)),"")</f>
        <v/>
      </c>
      <c r="G2756" s="163" t="s">
        <v>109</v>
      </c>
      <c r="H2756" s="163" t="str">
        <f>IF(AND('Resource Planner'!$A$65="☑",2&lt;='Resource Planner'!$N$65),'Resource Planner'!$M$65,"")</f>
        <v/>
      </c>
    </row>
    <row r="2757" ht="15.75" customHeight="1">
      <c r="A27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7" s="163" t="str">
        <f>IF(AND('Resource Planner'!$A$65="☑",3&lt;='Resource Planner'!$N$65),'Resource Planner'!$C$65,"")</f>
        <v/>
      </c>
      <c r="C2757" s="163" t="str">
        <f>IF(AND('Resource Planner'!$A$65="☑",3&lt;='Resource Planner'!$N$65),'Resource Planner'!$B$65,"")</f>
        <v/>
      </c>
      <c r="D2757" s="163" t="str">
        <f>IF(AND('Resource Planner'!$A$65="☑",3&lt;='Resource Planner'!$N$65),'Resource Planner'!$D$65,"")</f>
        <v/>
      </c>
      <c r="E2757" s="163" t="str">
        <f>IF(AND('Resource Planner'!$A$65="☑",3&lt;='Resource Planner'!$N$65),'Resource Planner'!$E$65,"")</f>
        <v/>
      </c>
      <c r="F2757" s="163" t="str">
        <f>IF(AND('Resource Planner'!$A$65="☑",3&lt;='Resource Planner'!$N$65),'Resource Planner'!$F$65&amp;" "&amp;('Resource Planner'!$G$65+(3-1)*'Resource Planner'!$I$65)&amp;IF(('Resource Planner'!$G$65+(3-1)*'Resource Planner'!$I$65)=MIN('Resource Planner'!$G$65+3*'Resource Planner'!$I$65-1,'Resource Planner'!$H$65),"","–"&amp;MIN('Resource Planner'!$G$65+3*'Resource Planner'!$I$65-1,'Resource Planner'!$H$65)),"")</f>
        <v/>
      </c>
      <c r="G2757" s="163" t="s">
        <v>109</v>
      </c>
      <c r="H2757" s="163" t="str">
        <f>IF(AND('Resource Planner'!$A$65="☑",3&lt;='Resource Planner'!$N$65),'Resource Planner'!$M$65,"")</f>
        <v/>
      </c>
    </row>
    <row r="2758" ht="15.75" customHeight="1">
      <c r="A27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8" s="163" t="str">
        <f>IF(AND('Resource Planner'!$A$65="☑",4&lt;='Resource Planner'!$N$65),'Resource Planner'!$C$65,"")</f>
        <v/>
      </c>
      <c r="C2758" s="163" t="str">
        <f>IF(AND('Resource Planner'!$A$65="☑",4&lt;='Resource Planner'!$N$65),'Resource Planner'!$B$65,"")</f>
        <v/>
      </c>
      <c r="D2758" s="163" t="str">
        <f>IF(AND('Resource Planner'!$A$65="☑",4&lt;='Resource Planner'!$N$65),'Resource Planner'!$D$65,"")</f>
        <v/>
      </c>
      <c r="E2758" s="163" t="str">
        <f>IF(AND('Resource Planner'!$A$65="☑",4&lt;='Resource Planner'!$N$65),'Resource Planner'!$E$65,"")</f>
        <v/>
      </c>
      <c r="F2758" s="163" t="str">
        <f>IF(AND('Resource Planner'!$A$65="☑",4&lt;='Resource Planner'!$N$65),'Resource Planner'!$F$65&amp;" "&amp;('Resource Planner'!$G$65+(4-1)*'Resource Planner'!$I$65)&amp;IF(('Resource Planner'!$G$65+(4-1)*'Resource Planner'!$I$65)=MIN('Resource Planner'!$G$65+4*'Resource Planner'!$I$65-1,'Resource Planner'!$H$65),"","–"&amp;MIN('Resource Planner'!$G$65+4*'Resource Planner'!$I$65-1,'Resource Planner'!$H$65)),"")</f>
        <v/>
      </c>
      <c r="G2758" s="163" t="s">
        <v>109</v>
      </c>
      <c r="H2758" s="163" t="str">
        <f>IF(AND('Resource Planner'!$A$65="☑",4&lt;='Resource Planner'!$N$65),'Resource Planner'!$M$65,"")</f>
        <v/>
      </c>
    </row>
    <row r="2759" ht="15.75" customHeight="1">
      <c r="A27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59" s="163" t="str">
        <f>IF(AND('Resource Planner'!$A$65="☑",5&lt;='Resource Planner'!$N$65),'Resource Planner'!$C$65,"")</f>
        <v/>
      </c>
      <c r="C2759" s="163" t="str">
        <f>IF(AND('Resource Planner'!$A$65="☑",5&lt;='Resource Planner'!$N$65),'Resource Planner'!$B$65,"")</f>
        <v/>
      </c>
      <c r="D2759" s="163" t="str">
        <f>IF(AND('Resource Planner'!$A$65="☑",5&lt;='Resource Planner'!$N$65),'Resource Planner'!$D$65,"")</f>
        <v/>
      </c>
      <c r="E2759" s="163" t="str">
        <f>IF(AND('Resource Planner'!$A$65="☑",5&lt;='Resource Planner'!$N$65),'Resource Planner'!$E$65,"")</f>
        <v/>
      </c>
      <c r="F2759" s="163" t="str">
        <f>IF(AND('Resource Planner'!$A$65="☑",5&lt;='Resource Planner'!$N$65),'Resource Planner'!$F$65&amp;" "&amp;('Resource Planner'!$G$65+(5-1)*'Resource Planner'!$I$65)&amp;IF(('Resource Planner'!$G$65+(5-1)*'Resource Planner'!$I$65)=MIN('Resource Planner'!$G$65+5*'Resource Planner'!$I$65-1,'Resource Planner'!$H$65),"","–"&amp;MIN('Resource Planner'!$G$65+5*'Resource Planner'!$I$65-1,'Resource Planner'!$H$65)),"")</f>
        <v/>
      </c>
      <c r="G2759" s="163" t="s">
        <v>109</v>
      </c>
      <c r="H2759" s="163" t="str">
        <f>IF(AND('Resource Planner'!$A$65="☑",5&lt;='Resource Planner'!$N$65),'Resource Planner'!$M$65,"")</f>
        <v/>
      </c>
    </row>
    <row r="2760" ht="15.75" customHeight="1">
      <c r="A27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0" s="163" t="str">
        <f>IF(AND('Resource Planner'!$A$65="☑",6&lt;='Resource Planner'!$N$65),'Resource Planner'!$C$65,"")</f>
        <v/>
      </c>
      <c r="C2760" s="163" t="str">
        <f>IF(AND('Resource Planner'!$A$65="☑",6&lt;='Resource Planner'!$N$65),'Resource Planner'!$B$65,"")</f>
        <v/>
      </c>
      <c r="D2760" s="163" t="str">
        <f>IF(AND('Resource Planner'!$A$65="☑",6&lt;='Resource Planner'!$N$65),'Resource Planner'!$D$65,"")</f>
        <v/>
      </c>
      <c r="E2760" s="163" t="str">
        <f>IF(AND('Resource Planner'!$A$65="☑",6&lt;='Resource Planner'!$N$65),'Resource Planner'!$E$65,"")</f>
        <v/>
      </c>
      <c r="F2760" s="163" t="str">
        <f>IF(AND('Resource Planner'!$A$65="☑",6&lt;='Resource Planner'!$N$65),'Resource Planner'!$F$65&amp;" "&amp;('Resource Planner'!$G$65+(6-1)*'Resource Planner'!$I$65)&amp;IF(('Resource Planner'!$G$65+(6-1)*'Resource Planner'!$I$65)=MIN('Resource Planner'!$G$65+6*'Resource Planner'!$I$65-1,'Resource Planner'!$H$65),"","–"&amp;MIN('Resource Planner'!$G$65+6*'Resource Planner'!$I$65-1,'Resource Planner'!$H$65)),"")</f>
        <v/>
      </c>
      <c r="G2760" s="163" t="s">
        <v>109</v>
      </c>
      <c r="H2760" s="163" t="str">
        <f>IF(AND('Resource Planner'!$A$65="☑",6&lt;='Resource Planner'!$N$65),'Resource Planner'!$M$65,"")</f>
        <v/>
      </c>
    </row>
    <row r="2761" ht="15.75" customHeight="1">
      <c r="A27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1" s="163" t="str">
        <f>IF(AND('Resource Planner'!$A$65="☑",7&lt;='Resource Planner'!$N$65),'Resource Planner'!$C$65,"")</f>
        <v/>
      </c>
      <c r="C2761" s="163" t="str">
        <f>IF(AND('Resource Planner'!$A$65="☑",7&lt;='Resource Planner'!$N$65),'Resource Planner'!$B$65,"")</f>
        <v/>
      </c>
      <c r="D2761" s="163" t="str">
        <f>IF(AND('Resource Planner'!$A$65="☑",7&lt;='Resource Planner'!$N$65),'Resource Planner'!$D$65,"")</f>
        <v/>
      </c>
      <c r="E2761" s="163" t="str">
        <f>IF(AND('Resource Planner'!$A$65="☑",7&lt;='Resource Planner'!$N$65),'Resource Planner'!$E$65,"")</f>
        <v/>
      </c>
      <c r="F2761" s="163" t="str">
        <f>IF(AND('Resource Planner'!$A$65="☑",7&lt;='Resource Planner'!$N$65),'Resource Planner'!$F$65&amp;" "&amp;('Resource Planner'!$G$65+(7-1)*'Resource Planner'!$I$65)&amp;IF(('Resource Planner'!$G$65+(7-1)*'Resource Planner'!$I$65)=MIN('Resource Planner'!$G$65+7*'Resource Planner'!$I$65-1,'Resource Planner'!$H$65),"","–"&amp;MIN('Resource Planner'!$G$65+7*'Resource Planner'!$I$65-1,'Resource Planner'!$H$65)),"")</f>
        <v/>
      </c>
      <c r="G2761" s="163" t="s">
        <v>109</v>
      </c>
      <c r="H2761" s="163" t="str">
        <f>IF(AND('Resource Planner'!$A$65="☑",7&lt;='Resource Planner'!$N$65),'Resource Planner'!$M$65,"")</f>
        <v/>
      </c>
    </row>
    <row r="2762" ht="15.75" customHeight="1">
      <c r="A27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2" s="163" t="str">
        <f>IF(AND('Resource Planner'!$A$65="☑",8&lt;='Resource Planner'!$N$65),'Resource Planner'!$C$65,"")</f>
        <v/>
      </c>
      <c r="C2762" s="163" t="str">
        <f>IF(AND('Resource Planner'!$A$65="☑",8&lt;='Resource Planner'!$N$65),'Resource Planner'!$B$65,"")</f>
        <v/>
      </c>
      <c r="D2762" s="163" t="str">
        <f>IF(AND('Resource Planner'!$A$65="☑",8&lt;='Resource Planner'!$N$65),'Resource Planner'!$D$65,"")</f>
        <v/>
      </c>
      <c r="E2762" s="163" t="str">
        <f>IF(AND('Resource Planner'!$A$65="☑",8&lt;='Resource Planner'!$N$65),'Resource Planner'!$E$65,"")</f>
        <v/>
      </c>
      <c r="F2762" s="163" t="str">
        <f>IF(AND('Resource Planner'!$A$65="☑",8&lt;='Resource Planner'!$N$65),'Resource Planner'!$F$65&amp;" "&amp;('Resource Planner'!$G$65+(8-1)*'Resource Planner'!$I$65)&amp;IF(('Resource Planner'!$G$65+(8-1)*'Resource Planner'!$I$65)=MIN('Resource Planner'!$G$65+8*'Resource Planner'!$I$65-1,'Resource Planner'!$H$65),"","–"&amp;MIN('Resource Planner'!$G$65+8*'Resource Planner'!$I$65-1,'Resource Planner'!$H$65)),"")</f>
        <v/>
      </c>
      <c r="G2762" s="163" t="s">
        <v>109</v>
      </c>
      <c r="H2762" s="163" t="str">
        <f>IF(AND('Resource Planner'!$A$65="☑",8&lt;='Resource Planner'!$N$65),'Resource Planner'!$M$65,"")</f>
        <v/>
      </c>
    </row>
    <row r="2763" ht="15.75" customHeight="1">
      <c r="A27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3" s="163" t="str">
        <f>IF(AND('Resource Planner'!$A$65="☑",9&lt;='Resource Planner'!$N$65),'Resource Planner'!$C$65,"")</f>
        <v/>
      </c>
      <c r="C2763" s="163" t="str">
        <f>IF(AND('Resource Planner'!$A$65="☑",9&lt;='Resource Planner'!$N$65),'Resource Planner'!$B$65,"")</f>
        <v/>
      </c>
      <c r="D2763" s="163" t="str">
        <f>IF(AND('Resource Planner'!$A$65="☑",9&lt;='Resource Planner'!$N$65),'Resource Planner'!$D$65,"")</f>
        <v/>
      </c>
      <c r="E2763" s="163" t="str">
        <f>IF(AND('Resource Planner'!$A$65="☑",9&lt;='Resource Planner'!$N$65),'Resource Planner'!$E$65,"")</f>
        <v/>
      </c>
      <c r="F2763" s="163" t="str">
        <f>IF(AND('Resource Planner'!$A$65="☑",9&lt;='Resource Planner'!$N$65),'Resource Planner'!$F$65&amp;" "&amp;('Resource Planner'!$G$65+(9-1)*'Resource Planner'!$I$65)&amp;IF(('Resource Planner'!$G$65+(9-1)*'Resource Planner'!$I$65)=MIN('Resource Planner'!$G$65+9*'Resource Planner'!$I$65-1,'Resource Planner'!$H$65),"","–"&amp;MIN('Resource Planner'!$G$65+9*'Resource Planner'!$I$65-1,'Resource Planner'!$H$65)),"")</f>
        <v/>
      </c>
      <c r="G2763" s="163" t="s">
        <v>109</v>
      </c>
      <c r="H2763" s="163" t="str">
        <f>IF(AND('Resource Planner'!$A$65="☑",9&lt;='Resource Planner'!$N$65),'Resource Planner'!$M$65,"")</f>
        <v/>
      </c>
    </row>
    <row r="2764" ht="15.75" customHeight="1">
      <c r="A27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4" s="163" t="str">
        <f>IF(AND('Resource Planner'!$A$65="☑",10&lt;='Resource Planner'!$N$65),'Resource Planner'!$C$65,"")</f>
        <v/>
      </c>
      <c r="C2764" s="163" t="str">
        <f>IF(AND('Resource Planner'!$A$65="☑",10&lt;='Resource Planner'!$N$65),'Resource Planner'!$B$65,"")</f>
        <v/>
      </c>
      <c r="D2764" s="163" t="str">
        <f>IF(AND('Resource Planner'!$A$65="☑",10&lt;='Resource Planner'!$N$65),'Resource Planner'!$D$65,"")</f>
        <v/>
      </c>
      <c r="E2764" s="163" t="str">
        <f>IF(AND('Resource Planner'!$A$65="☑",10&lt;='Resource Planner'!$N$65),'Resource Planner'!$E$65,"")</f>
        <v/>
      </c>
      <c r="F2764" s="163" t="str">
        <f>IF(AND('Resource Planner'!$A$65="☑",10&lt;='Resource Planner'!$N$65),'Resource Planner'!$F$65&amp;" "&amp;('Resource Planner'!$G$65+(10-1)*'Resource Planner'!$I$65)&amp;IF(('Resource Planner'!$G$65+(10-1)*'Resource Planner'!$I$65)=MIN('Resource Planner'!$G$65+10*'Resource Planner'!$I$65-1,'Resource Planner'!$H$65),"","–"&amp;MIN('Resource Planner'!$G$65+10*'Resource Planner'!$I$65-1,'Resource Planner'!$H$65)),"")</f>
        <v/>
      </c>
      <c r="G2764" s="163" t="s">
        <v>109</v>
      </c>
      <c r="H2764" s="163" t="str">
        <f>IF(AND('Resource Planner'!$A$65="☑",10&lt;='Resource Planner'!$N$65),'Resource Planner'!$M$65,"")</f>
        <v/>
      </c>
    </row>
    <row r="2765" ht="15.75" customHeight="1">
      <c r="A27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5" s="163" t="str">
        <f>IF(AND('Resource Planner'!$A$65="☑",11&lt;='Resource Planner'!$N$65),'Resource Planner'!$C$65,"")</f>
        <v/>
      </c>
      <c r="C2765" s="163" t="str">
        <f>IF(AND('Resource Planner'!$A$65="☑",11&lt;='Resource Planner'!$N$65),'Resource Planner'!$B$65,"")</f>
        <v/>
      </c>
      <c r="D2765" s="163" t="str">
        <f>IF(AND('Resource Planner'!$A$65="☑",11&lt;='Resource Planner'!$N$65),'Resource Planner'!$D$65,"")</f>
        <v/>
      </c>
      <c r="E2765" s="163" t="str">
        <f>IF(AND('Resource Planner'!$A$65="☑",11&lt;='Resource Planner'!$N$65),'Resource Planner'!$E$65,"")</f>
        <v/>
      </c>
      <c r="F2765" s="163" t="str">
        <f>IF(AND('Resource Planner'!$A$65="☑",11&lt;='Resource Planner'!$N$65),'Resource Planner'!$F$65&amp;" "&amp;('Resource Planner'!$G$65+(11-1)*'Resource Planner'!$I$65)&amp;IF(('Resource Planner'!$G$65+(11-1)*'Resource Planner'!$I$65)=MIN('Resource Planner'!$G$65+11*'Resource Planner'!$I$65-1,'Resource Planner'!$H$65),"","–"&amp;MIN('Resource Planner'!$G$65+11*'Resource Planner'!$I$65-1,'Resource Planner'!$H$65)),"")</f>
        <v/>
      </c>
      <c r="G2765" s="163" t="s">
        <v>109</v>
      </c>
      <c r="H2765" s="163" t="str">
        <f>IF(AND('Resource Planner'!$A$65="☑",11&lt;='Resource Planner'!$N$65),'Resource Planner'!$M$65,"")</f>
        <v/>
      </c>
    </row>
    <row r="2766" ht="15.75" customHeight="1">
      <c r="A27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6" s="163" t="str">
        <f>IF(AND('Resource Planner'!$A$65="☑",12&lt;='Resource Planner'!$N$65),'Resource Planner'!$C$65,"")</f>
        <v/>
      </c>
      <c r="C2766" s="163" t="str">
        <f>IF(AND('Resource Planner'!$A$65="☑",12&lt;='Resource Planner'!$N$65),'Resource Planner'!$B$65,"")</f>
        <v/>
      </c>
      <c r="D2766" s="163" t="str">
        <f>IF(AND('Resource Planner'!$A$65="☑",12&lt;='Resource Planner'!$N$65),'Resource Planner'!$D$65,"")</f>
        <v/>
      </c>
      <c r="E2766" s="163" t="str">
        <f>IF(AND('Resource Planner'!$A$65="☑",12&lt;='Resource Planner'!$N$65),'Resource Planner'!$E$65,"")</f>
        <v/>
      </c>
      <c r="F2766" s="163" t="str">
        <f>IF(AND('Resource Planner'!$A$65="☑",12&lt;='Resource Planner'!$N$65),'Resource Planner'!$F$65&amp;" "&amp;('Resource Planner'!$G$65+(12-1)*'Resource Planner'!$I$65)&amp;IF(('Resource Planner'!$G$65+(12-1)*'Resource Planner'!$I$65)=MIN('Resource Planner'!$G$65+12*'Resource Planner'!$I$65-1,'Resource Planner'!$H$65),"","–"&amp;MIN('Resource Planner'!$G$65+12*'Resource Planner'!$I$65-1,'Resource Planner'!$H$65)),"")</f>
        <v/>
      </c>
      <c r="G2766" s="163" t="s">
        <v>109</v>
      </c>
      <c r="H2766" s="163" t="str">
        <f>IF(AND('Resource Planner'!$A$65="☑",12&lt;='Resource Planner'!$N$65),'Resource Planner'!$M$65,"")</f>
        <v/>
      </c>
    </row>
    <row r="2767" ht="15.75" customHeight="1">
      <c r="A27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7" s="163" t="str">
        <f>IF(AND('Resource Planner'!$A$65="☑",13&lt;='Resource Planner'!$N$65),'Resource Planner'!$C$65,"")</f>
        <v/>
      </c>
      <c r="C2767" s="163" t="str">
        <f>IF(AND('Resource Planner'!$A$65="☑",13&lt;='Resource Planner'!$N$65),'Resource Planner'!$B$65,"")</f>
        <v/>
      </c>
      <c r="D2767" s="163" t="str">
        <f>IF(AND('Resource Planner'!$A$65="☑",13&lt;='Resource Planner'!$N$65),'Resource Planner'!$D$65,"")</f>
        <v/>
      </c>
      <c r="E2767" s="163" t="str">
        <f>IF(AND('Resource Planner'!$A$65="☑",13&lt;='Resource Planner'!$N$65),'Resource Planner'!$E$65,"")</f>
        <v/>
      </c>
      <c r="F2767" s="163" t="str">
        <f>IF(AND('Resource Planner'!$A$65="☑",13&lt;='Resource Planner'!$N$65),'Resource Planner'!$F$65&amp;" "&amp;('Resource Planner'!$G$65+(13-1)*'Resource Planner'!$I$65)&amp;IF(('Resource Planner'!$G$65+(13-1)*'Resource Planner'!$I$65)=MIN('Resource Planner'!$G$65+13*'Resource Planner'!$I$65-1,'Resource Planner'!$H$65),"","–"&amp;MIN('Resource Planner'!$G$65+13*'Resource Planner'!$I$65-1,'Resource Planner'!$H$65)),"")</f>
        <v/>
      </c>
      <c r="G2767" s="163" t="s">
        <v>109</v>
      </c>
      <c r="H2767" s="163" t="str">
        <f>IF(AND('Resource Planner'!$A$65="☑",13&lt;='Resource Planner'!$N$65),'Resource Planner'!$M$65,"")</f>
        <v/>
      </c>
    </row>
    <row r="2768" ht="15.75" customHeight="1">
      <c r="A27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8" s="163" t="str">
        <f>IF(AND('Resource Planner'!$A$65="☑",14&lt;='Resource Planner'!$N$65),'Resource Planner'!$C$65,"")</f>
        <v/>
      </c>
      <c r="C2768" s="163" t="str">
        <f>IF(AND('Resource Planner'!$A$65="☑",14&lt;='Resource Planner'!$N$65),'Resource Planner'!$B$65,"")</f>
        <v/>
      </c>
      <c r="D2768" s="163" t="str">
        <f>IF(AND('Resource Planner'!$A$65="☑",14&lt;='Resource Planner'!$N$65),'Resource Planner'!$D$65,"")</f>
        <v/>
      </c>
      <c r="E2768" s="163" t="str">
        <f>IF(AND('Resource Planner'!$A$65="☑",14&lt;='Resource Planner'!$N$65),'Resource Planner'!$E$65,"")</f>
        <v/>
      </c>
      <c r="F2768" s="163" t="str">
        <f>IF(AND('Resource Planner'!$A$65="☑",14&lt;='Resource Planner'!$N$65),'Resource Planner'!$F$65&amp;" "&amp;('Resource Planner'!$G$65+(14-1)*'Resource Planner'!$I$65)&amp;IF(('Resource Planner'!$G$65+(14-1)*'Resource Planner'!$I$65)=MIN('Resource Planner'!$G$65+14*'Resource Planner'!$I$65-1,'Resource Planner'!$H$65),"","–"&amp;MIN('Resource Planner'!$G$65+14*'Resource Planner'!$I$65-1,'Resource Planner'!$H$65)),"")</f>
        <v/>
      </c>
      <c r="G2768" s="163" t="s">
        <v>109</v>
      </c>
      <c r="H2768" s="163" t="str">
        <f>IF(AND('Resource Planner'!$A$65="☑",14&lt;='Resource Planner'!$N$65),'Resource Planner'!$M$65,"")</f>
        <v/>
      </c>
    </row>
    <row r="2769" ht="15.75" customHeight="1">
      <c r="A27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69" s="163" t="str">
        <f>IF(AND('Resource Planner'!$A$65="☑",15&lt;='Resource Planner'!$N$65),'Resource Planner'!$C$65,"")</f>
        <v/>
      </c>
      <c r="C2769" s="163" t="str">
        <f>IF(AND('Resource Planner'!$A$65="☑",15&lt;='Resource Planner'!$N$65),'Resource Planner'!$B$65,"")</f>
        <v/>
      </c>
      <c r="D2769" s="163" t="str">
        <f>IF(AND('Resource Planner'!$A$65="☑",15&lt;='Resource Planner'!$N$65),'Resource Planner'!$D$65,"")</f>
        <v/>
      </c>
      <c r="E2769" s="163" t="str">
        <f>IF(AND('Resource Planner'!$A$65="☑",15&lt;='Resource Planner'!$N$65),'Resource Planner'!$E$65,"")</f>
        <v/>
      </c>
      <c r="F2769" s="163" t="str">
        <f>IF(AND('Resource Planner'!$A$65="☑",15&lt;='Resource Planner'!$N$65),'Resource Planner'!$F$65&amp;" "&amp;('Resource Planner'!$G$65+(15-1)*'Resource Planner'!$I$65)&amp;IF(('Resource Planner'!$G$65+(15-1)*'Resource Planner'!$I$65)=MIN('Resource Planner'!$G$65+15*'Resource Planner'!$I$65-1,'Resource Planner'!$H$65),"","–"&amp;MIN('Resource Planner'!$G$65+15*'Resource Planner'!$I$65-1,'Resource Planner'!$H$65)),"")</f>
        <v/>
      </c>
      <c r="G2769" s="163" t="s">
        <v>109</v>
      </c>
      <c r="H2769" s="163" t="str">
        <f>IF(AND('Resource Planner'!$A$65="☑",15&lt;='Resource Planner'!$N$65),'Resource Planner'!$M$65,"")</f>
        <v/>
      </c>
    </row>
    <row r="2770" ht="15.75" customHeight="1">
      <c r="A27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0" s="163" t="str">
        <f>IF(AND('Resource Planner'!$A$65="☑",16&lt;='Resource Planner'!$N$65),'Resource Planner'!$C$65,"")</f>
        <v/>
      </c>
      <c r="C2770" s="163" t="str">
        <f>IF(AND('Resource Planner'!$A$65="☑",16&lt;='Resource Planner'!$N$65),'Resource Planner'!$B$65,"")</f>
        <v/>
      </c>
      <c r="D2770" s="163" t="str">
        <f>IF(AND('Resource Planner'!$A$65="☑",16&lt;='Resource Planner'!$N$65),'Resource Planner'!$D$65,"")</f>
        <v/>
      </c>
      <c r="E2770" s="163" t="str">
        <f>IF(AND('Resource Planner'!$A$65="☑",16&lt;='Resource Planner'!$N$65),'Resource Planner'!$E$65,"")</f>
        <v/>
      </c>
      <c r="F2770" s="163" t="str">
        <f>IF(AND('Resource Planner'!$A$65="☑",16&lt;='Resource Planner'!$N$65),'Resource Planner'!$F$65&amp;" "&amp;('Resource Planner'!$G$65+(16-1)*'Resource Planner'!$I$65)&amp;IF(('Resource Planner'!$G$65+(16-1)*'Resource Planner'!$I$65)=MIN('Resource Planner'!$G$65+16*'Resource Planner'!$I$65-1,'Resource Planner'!$H$65),"","–"&amp;MIN('Resource Planner'!$G$65+16*'Resource Planner'!$I$65-1,'Resource Planner'!$H$65)),"")</f>
        <v/>
      </c>
      <c r="G2770" s="163" t="s">
        <v>109</v>
      </c>
      <c r="H2770" s="163" t="str">
        <f>IF(AND('Resource Planner'!$A$65="☑",16&lt;='Resource Planner'!$N$65),'Resource Planner'!$M$65,"")</f>
        <v/>
      </c>
    </row>
    <row r="2771" ht="15.75" customHeight="1">
      <c r="A27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1" s="163" t="str">
        <f>IF(AND('Resource Planner'!$A$65="☑",17&lt;='Resource Planner'!$N$65),'Resource Planner'!$C$65,"")</f>
        <v/>
      </c>
      <c r="C2771" s="163" t="str">
        <f>IF(AND('Resource Planner'!$A$65="☑",17&lt;='Resource Planner'!$N$65),'Resource Planner'!$B$65,"")</f>
        <v/>
      </c>
      <c r="D2771" s="163" t="str">
        <f>IF(AND('Resource Planner'!$A$65="☑",17&lt;='Resource Planner'!$N$65),'Resource Planner'!$D$65,"")</f>
        <v/>
      </c>
      <c r="E2771" s="163" t="str">
        <f>IF(AND('Resource Planner'!$A$65="☑",17&lt;='Resource Planner'!$N$65),'Resource Planner'!$E$65,"")</f>
        <v/>
      </c>
      <c r="F2771" s="163" t="str">
        <f>IF(AND('Resource Planner'!$A$65="☑",17&lt;='Resource Planner'!$N$65),'Resource Planner'!$F$65&amp;" "&amp;('Resource Planner'!$G$65+(17-1)*'Resource Planner'!$I$65)&amp;IF(('Resource Planner'!$G$65+(17-1)*'Resource Planner'!$I$65)=MIN('Resource Planner'!$G$65+17*'Resource Planner'!$I$65-1,'Resource Planner'!$H$65),"","–"&amp;MIN('Resource Planner'!$G$65+17*'Resource Planner'!$I$65-1,'Resource Planner'!$H$65)),"")</f>
        <v/>
      </c>
      <c r="G2771" s="163" t="s">
        <v>109</v>
      </c>
      <c r="H2771" s="163" t="str">
        <f>IF(AND('Resource Planner'!$A$65="☑",17&lt;='Resource Planner'!$N$65),'Resource Planner'!$M$65,"")</f>
        <v/>
      </c>
    </row>
    <row r="2772" ht="15.75" customHeight="1">
      <c r="A27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2" s="163" t="str">
        <f>IF(AND('Resource Planner'!$A$65="☑",18&lt;='Resource Planner'!$N$65),'Resource Planner'!$C$65,"")</f>
        <v/>
      </c>
      <c r="C2772" s="163" t="str">
        <f>IF(AND('Resource Planner'!$A$65="☑",18&lt;='Resource Planner'!$N$65),'Resource Planner'!$B$65,"")</f>
        <v/>
      </c>
      <c r="D2772" s="163" t="str">
        <f>IF(AND('Resource Planner'!$A$65="☑",18&lt;='Resource Planner'!$N$65),'Resource Planner'!$D$65,"")</f>
        <v/>
      </c>
      <c r="E2772" s="163" t="str">
        <f>IF(AND('Resource Planner'!$A$65="☑",18&lt;='Resource Planner'!$N$65),'Resource Planner'!$E$65,"")</f>
        <v/>
      </c>
      <c r="F2772" s="163" t="str">
        <f>IF(AND('Resource Planner'!$A$65="☑",18&lt;='Resource Planner'!$N$65),'Resource Planner'!$F$65&amp;" "&amp;('Resource Planner'!$G$65+(18-1)*'Resource Planner'!$I$65)&amp;IF(('Resource Planner'!$G$65+(18-1)*'Resource Planner'!$I$65)=MIN('Resource Planner'!$G$65+18*'Resource Planner'!$I$65-1,'Resource Planner'!$H$65),"","–"&amp;MIN('Resource Planner'!$G$65+18*'Resource Planner'!$I$65-1,'Resource Planner'!$H$65)),"")</f>
        <v/>
      </c>
      <c r="G2772" s="163" t="s">
        <v>109</v>
      </c>
      <c r="H2772" s="163" t="str">
        <f>IF(AND('Resource Planner'!$A$65="☑",18&lt;='Resource Planner'!$N$65),'Resource Planner'!$M$65,"")</f>
        <v/>
      </c>
    </row>
    <row r="2773" ht="15.75" customHeight="1">
      <c r="A27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3" s="163" t="str">
        <f>IF(AND('Resource Planner'!$A$65="☑",19&lt;='Resource Planner'!$N$65),'Resource Planner'!$C$65,"")</f>
        <v/>
      </c>
      <c r="C2773" s="163" t="str">
        <f>IF(AND('Resource Planner'!$A$65="☑",19&lt;='Resource Planner'!$N$65),'Resource Planner'!$B$65,"")</f>
        <v/>
      </c>
      <c r="D2773" s="163" t="str">
        <f>IF(AND('Resource Planner'!$A$65="☑",19&lt;='Resource Planner'!$N$65),'Resource Planner'!$D$65,"")</f>
        <v/>
      </c>
      <c r="E2773" s="163" t="str">
        <f>IF(AND('Resource Planner'!$A$65="☑",19&lt;='Resource Planner'!$N$65),'Resource Planner'!$E$65,"")</f>
        <v/>
      </c>
      <c r="F2773" s="163" t="str">
        <f>IF(AND('Resource Planner'!$A$65="☑",19&lt;='Resource Planner'!$N$65),'Resource Planner'!$F$65&amp;" "&amp;('Resource Planner'!$G$65+(19-1)*'Resource Planner'!$I$65)&amp;IF(('Resource Planner'!$G$65+(19-1)*'Resource Planner'!$I$65)=MIN('Resource Planner'!$G$65+19*'Resource Planner'!$I$65-1,'Resource Planner'!$H$65),"","–"&amp;MIN('Resource Planner'!$G$65+19*'Resource Planner'!$I$65-1,'Resource Planner'!$H$65)),"")</f>
        <v/>
      </c>
      <c r="G2773" s="163" t="s">
        <v>109</v>
      </c>
      <c r="H2773" s="163" t="str">
        <f>IF(AND('Resource Planner'!$A$65="☑",19&lt;='Resource Planner'!$N$65),'Resource Planner'!$M$65,"")</f>
        <v/>
      </c>
    </row>
    <row r="2774" ht="15.75" customHeight="1">
      <c r="A27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4" s="163" t="str">
        <f>IF(AND('Resource Planner'!$A$65="☑",20&lt;='Resource Planner'!$N$65),'Resource Planner'!$C$65,"")</f>
        <v/>
      </c>
      <c r="C2774" s="163" t="str">
        <f>IF(AND('Resource Planner'!$A$65="☑",20&lt;='Resource Planner'!$N$65),'Resource Planner'!$B$65,"")</f>
        <v/>
      </c>
      <c r="D2774" s="163" t="str">
        <f>IF(AND('Resource Planner'!$A$65="☑",20&lt;='Resource Planner'!$N$65),'Resource Planner'!$D$65,"")</f>
        <v/>
      </c>
      <c r="E2774" s="163" t="str">
        <f>IF(AND('Resource Planner'!$A$65="☑",20&lt;='Resource Planner'!$N$65),'Resource Planner'!$E$65,"")</f>
        <v/>
      </c>
      <c r="F2774" s="163" t="str">
        <f>IF(AND('Resource Planner'!$A$65="☑",20&lt;='Resource Planner'!$N$65),'Resource Planner'!$F$65&amp;" "&amp;('Resource Planner'!$G$65+(20-1)*'Resource Planner'!$I$65)&amp;IF(('Resource Planner'!$G$65+(20-1)*'Resource Planner'!$I$65)=MIN('Resource Planner'!$G$65+20*'Resource Planner'!$I$65-1,'Resource Planner'!$H$65),"","–"&amp;MIN('Resource Planner'!$G$65+20*'Resource Planner'!$I$65-1,'Resource Planner'!$H$65)),"")</f>
        <v/>
      </c>
      <c r="G2774" s="163" t="s">
        <v>109</v>
      </c>
      <c r="H2774" s="163" t="str">
        <f>IF(AND('Resource Planner'!$A$65="☑",20&lt;='Resource Planner'!$N$65),'Resource Planner'!$M$65,"")</f>
        <v/>
      </c>
    </row>
    <row r="2775" ht="15.75" customHeight="1">
      <c r="A27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5" s="163" t="str">
        <f>IF(AND('Resource Planner'!$A$65="☑",21&lt;='Resource Planner'!$N$65),'Resource Planner'!$C$65,"")</f>
        <v/>
      </c>
      <c r="C2775" s="163" t="str">
        <f>IF(AND('Resource Planner'!$A$65="☑",21&lt;='Resource Planner'!$N$65),'Resource Planner'!$B$65,"")</f>
        <v/>
      </c>
      <c r="D2775" s="163" t="str">
        <f>IF(AND('Resource Planner'!$A$65="☑",21&lt;='Resource Planner'!$N$65),'Resource Planner'!$D$65,"")</f>
        <v/>
      </c>
      <c r="E2775" s="163" t="str">
        <f>IF(AND('Resource Planner'!$A$65="☑",21&lt;='Resource Planner'!$N$65),'Resource Planner'!$E$65,"")</f>
        <v/>
      </c>
      <c r="F2775" s="163" t="str">
        <f>IF(AND('Resource Planner'!$A$65="☑",21&lt;='Resource Planner'!$N$65),'Resource Planner'!$F$65&amp;" "&amp;('Resource Planner'!$G$65+(21-1)*'Resource Planner'!$I$65)&amp;IF(('Resource Planner'!$G$65+(21-1)*'Resource Planner'!$I$65)=MIN('Resource Planner'!$G$65+21*'Resource Planner'!$I$65-1,'Resource Planner'!$H$65),"","–"&amp;MIN('Resource Planner'!$G$65+21*'Resource Planner'!$I$65-1,'Resource Planner'!$H$65)),"")</f>
        <v/>
      </c>
      <c r="G2775" s="163" t="s">
        <v>109</v>
      </c>
      <c r="H2775" s="163" t="str">
        <f>IF(AND('Resource Planner'!$A$65="☑",21&lt;='Resource Planner'!$N$65),'Resource Planner'!$M$65,"")</f>
        <v/>
      </c>
    </row>
    <row r="2776" ht="15.75" customHeight="1">
      <c r="A27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6" s="163" t="str">
        <f>IF(AND('Resource Planner'!$A$65="☑",22&lt;='Resource Planner'!$N$65),'Resource Planner'!$C$65,"")</f>
        <v/>
      </c>
      <c r="C2776" s="163" t="str">
        <f>IF(AND('Resource Planner'!$A$65="☑",22&lt;='Resource Planner'!$N$65),'Resource Planner'!$B$65,"")</f>
        <v/>
      </c>
      <c r="D2776" s="163" t="str">
        <f>IF(AND('Resource Planner'!$A$65="☑",22&lt;='Resource Planner'!$N$65),'Resource Planner'!$D$65,"")</f>
        <v/>
      </c>
      <c r="E2776" s="163" t="str">
        <f>IF(AND('Resource Planner'!$A$65="☑",22&lt;='Resource Planner'!$N$65),'Resource Planner'!$E$65,"")</f>
        <v/>
      </c>
      <c r="F2776" s="163" t="str">
        <f>IF(AND('Resource Planner'!$A$65="☑",22&lt;='Resource Planner'!$N$65),'Resource Planner'!$F$65&amp;" "&amp;('Resource Planner'!$G$65+(22-1)*'Resource Planner'!$I$65)&amp;IF(('Resource Planner'!$G$65+(22-1)*'Resource Planner'!$I$65)=MIN('Resource Planner'!$G$65+22*'Resource Planner'!$I$65-1,'Resource Planner'!$H$65),"","–"&amp;MIN('Resource Planner'!$G$65+22*'Resource Planner'!$I$65-1,'Resource Planner'!$H$65)),"")</f>
        <v/>
      </c>
      <c r="G2776" s="163" t="s">
        <v>109</v>
      </c>
      <c r="H2776" s="163" t="str">
        <f>IF(AND('Resource Planner'!$A$65="☑",22&lt;='Resource Planner'!$N$65),'Resource Planner'!$M$65,"")</f>
        <v/>
      </c>
    </row>
    <row r="2777" ht="15.75" customHeight="1">
      <c r="A27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7" s="163" t="str">
        <f>IF(AND('Resource Planner'!$A$65="☑",23&lt;='Resource Planner'!$N$65),'Resource Planner'!$C$65,"")</f>
        <v/>
      </c>
      <c r="C2777" s="163" t="str">
        <f>IF(AND('Resource Planner'!$A$65="☑",23&lt;='Resource Planner'!$N$65),'Resource Planner'!$B$65,"")</f>
        <v/>
      </c>
      <c r="D2777" s="163" t="str">
        <f>IF(AND('Resource Planner'!$A$65="☑",23&lt;='Resource Planner'!$N$65),'Resource Planner'!$D$65,"")</f>
        <v/>
      </c>
      <c r="E2777" s="163" t="str">
        <f>IF(AND('Resource Planner'!$A$65="☑",23&lt;='Resource Planner'!$N$65),'Resource Planner'!$E$65,"")</f>
        <v/>
      </c>
      <c r="F2777" s="163" t="str">
        <f>IF(AND('Resource Planner'!$A$65="☑",23&lt;='Resource Planner'!$N$65),'Resource Planner'!$F$65&amp;" "&amp;('Resource Planner'!$G$65+(23-1)*'Resource Planner'!$I$65)&amp;IF(('Resource Planner'!$G$65+(23-1)*'Resource Planner'!$I$65)=MIN('Resource Planner'!$G$65+23*'Resource Planner'!$I$65-1,'Resource Planner'!$H$65),"","–"&amp;MIN('Resource Planner'!$G$65+23*'Resource Planner'!$I$65-1,'Resource Planner'!$H$65)),"")</f>
        <v/>
      </c>
      <c r="G2777" s="163" t="s">
        <v>109</v>
      </c>
      <c r="H2777" s="163" t="str">
        <f>IF(AND('Resource Planner'!$A$65="☑",23&lt;='Resource Planner'!$N$65),'Resource Planner'!$M$65,"")</f>
        <v/>
      </c>
    </row>
    <row r="2778" ht="15.75" customHeight="1">
      <c r="A27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8" s="163" t="str">
        <f>IF(AND('Resource Planner'!$A$65="☑",24&lt;='Resource Planner'!$N$65),'Resource Planner'!$C$65,"")</f>
        <v/>
      </c>
      <c r="C2778" s="163" t="str">
        <f>IF(AND('Resource Planner'!$A$65="☑",24&lt;='Resource Planner'!$N$65),'Resource Planner'!$B$65,"")</f>
        <v/>
      </c>
      <c r="D2778" s="163" t="str">
        <f>IF(AND('Resource Planner'!$A$65="☑",24&lt;='Resource Planner'!$N$65),'Resource Planner'!$D$65,"")</f>
        <v/>
      </c>
      <c r="E2778" s="163" t="str">
        <f>IF(AND('Resource Planner'!$A$65="☑",24&lt;='Resource Planner'!$N$65),'Resource Planner'!$E$65,"")</f>
        <v/>
      </c>
      <c r="F2778" s="163" t="str">
        <f>IF(AND('Resource Planner'!$A$65="☑",24&lt;='Resource Planner'!$N$65),'Resource Planner'!$F$65&amp;" "&amp;('Resource Planner'!$G$65+(24-1)*'Resource Planner'!$I$65)&amp;IF(('Resource Planner'!$G$65+(24-1)*'Resource Planner'!$I$65)=MIN('Resource Planner'!$G$65+24*'Resource Planner'!$I$65-1,'Resource Planner'!$H$65),"","–"&amp;MIN('Resource Planner'!$G$65+24*'Resource Planner'!$I$65-1,'Resource Planner'!$H$65)),"")</f>
        <v/>
      </c>
      <c r="G2778" s="163" t="s">
        <v>109</v>
      </c>
      <c r="H2778" s="163" t="str">
        <f>IF(AND('Resource Planner'!$A$65="☑",24&lt;='Resource Planner'!$N$65),'Resource Planner'!$M$65,"")</f>
        <v/>
      </c>
    </row>
    <row r="2779" ht="15.75" customHeight="1">
      <c r="A27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79" s="163" t="str">
        <f>IF(AND('Resource Planner'!$A$65="☑",25&lt;='Resource Planner'!$N$65),'Resource Planner'!$C$65,"")</f>
        <v/>
      </c>
      <c r="C2779" s="163" t="str">
        <f>IF(AND('Resource Planner'!$A$65="☑",25&lt;='Resource Planner'!$N$65),'Resource Planner'!$B$65,"")</f>
        <v/>
      </c>
      <c r="D2779" s="163" t="str">
        <f>IF(AND('Resource Planner'!$A$65="☑",25&lt;='Resource Planner'!$N$65),'Resource Planner'!$D$65,"")</f>
        <v/>
      </c>
      <c r="E2779" s="163" t="str">
        <f>IF(AND('Resource Planner'!$A$65="☑",25&lt;='Resource Planner'!$N$65),'Resource Planner'!$E$65,"")</f>
        <v/>
      </c>
      <c r="F2779" s="163" t="str">
        <f>IF(AND('Resource Planner'!$A$65="☑",25&lt;='Resource Planner'!$N$65),'Resource Planner'!$F$65&amp;" "&amp;('Resource Planner'!$G$65+(25-1)*'Resource Planner'!$I$65)&amp;IF(('Resource Planner'!$G$65+(25-1)*'Resource Planner'!$I$65)=MIN('Resource Planner'!$G$65+25*'Resource Planner'!$I$65-1,'Resource Planner'!$H$65),"","–"&amp;MIN('Resource Planner'!$G$65+25*'Resource Planner'!$I$65-1,'Resource Planner'!$H$65)),"")</f>
        <v/>
      </c>
      <c r="G2779" s="163" t="s">
        <v>109</v>
      </c>
      <c r="H2779" s="163" t="str">
        <f>IF(AND('Resource Planner'!$A$65="☑",25&lt;='Resource Planner'!$N$65),'Resource Planner'!$M$65,"")</f>
        <v/>
      </c>
    </row>
    <row r="2780" ht="15.75" customHeight="1">
      <c r="A27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0" s="163" t="str">
        <f>IF(AND('Resource Planner'!$A$65="☑",26&lt;='Resource Planner'!$N$65),'Resource Planner'!$C$65,"")</f>
        <v/>
      </c>
      <c r="C2780" s="163" t="str">
        <f>IF(AND('Resource Planner'!$A$65="☑",26&lt;='Resource Planner'!$N$65),'Resource Planner'!$B$65,"")</f>
        <v/>
      </c>
      <c r="D2780" s="163" t="str">
        <f>IF(AND('Resource Planner'!$A$65="☑",26&lt;='Resource Planner'!$N$65),'Resource Planner'!$D$65,"")</f>
        <v/>
      </c>
      <c r="E2780" s="163" t="str">
        <f>IF(AND('Resource Planner'!$A$65="☑",26&lt;='Resource Planner'!$N$65),'Resource Planner'!$E$65,"")</f>
        <v/>
      </c>
      <c r="F2780" s="163" t="str">
        <f>IF(AND('Resource Planner'!$A$65="☑",26&lt;='Resource Planner'!$N$65),'Resource Planner'!$F$65&amp;" "&amp;('Resource Planner'!$G$65+(26-1)*'Resource Planner'!$I$65)&amp;IF(('Resource Planner'!$G$65+(26-1)*'Resource Planner'!$I$65)=MIN('Resource Planner'!$G$65+26*'Resource Planner'!$I$65-1,'Resource Planner'!$H$65),"","–"&amp;MIN('Resource Planner'!$G$65+26*'Resource Planner'!$I$65-1,'Resource Planner'!$H$65)),"")</f>
        <v/>
      </c>
      <c r="G2780" s="163" t="s">
        <v>109</v>
      </c>
      <c r="H2780" s="163" t="str">
        <f>IF(AND('Resource Planner'!$A$65="☑",26&lt;='Resource Planner'!$N$65),'Resource Planner'!$M$65,"")</f>
        <v/>
      </c>
    </row>
    <row r="2781" ht="15.75" customHeight="1">
      <c r="A27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1" s="163" t="str">
        <f>IF(AND('Resource Planner'!$A$65="☑",27&lt;='Resource Planner'!$N$65),'Resource Planner'!$C$65,"")</f>
        <v/>
      </c>
      <c r="C2781" s="163" t="str">
        <f>IF(AND('Resource Planner'!$A$65="☑",27&lt;='Resource Planner'!$N$65),'Resource Planner'!$B$65,"")</f>
        <v/>
      </c>
      <c r="D2781" s="163" t="str">
        <f>IF(AND('Resource Planner'!$A$65="☑",27&lt;='Resource Planner'!$N$65),'Resource Planner'!$D$65,"")</f>
        <v/>
      </c>
      <c r="E2781" s="163" t="str">
        <f>IF(AND('Resource Planner'!$A$65="☑",27&lt;='Resource Planner'!$N$65),'Resource Planner'!$E$65,"")</f>
        <v/>
      </c>
      <c r="F2781" s="163" t="str">
        <f>IF(AND('Resource Planner'!$A$65="☑",27&lt;='Resource Planner'!$N$65),'Resource Planner'!$F$65&amp;" "&amp;('Resource Planner'!$G$65+(27-1)*'Resource Planner'!$I$65)&amp;IF(('Resource Planner'!$G$65+(27-1)*'Resource Planner'!$I$65)=MIN('Resource Planner'!$G$65+27*'Resource Planner'!$I$65-1,'Resource Planner'!$H$65),"","–"&amp;MIN('Resource Planner'!$G$65+27*'Resource Planner'!$I$65-1,'Resource Planner'!$H$65)),"")</f>
        <v/>
      </c>
      <c r="G2781" s="163" t="s">
        <v>109</v>
      </c>
      <c r="H2781" s="163" t="str">
        <f>IF(AND('Resource Planner'!$A$65="☑",27&lt;='Resource Planner'!$N$65),'Resource Planner'!$M$65,"")</f>
        <v/>
      </c>
    </row>
    <row r="2782" ht="15.75" customHeight="1">
      <c r="A27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2" s="163" t="str">
        <f>IF(AND('Resource Planner'!$A$65="☑",28&lt;='Resource Planner'!$N$65),'Resource Planner'!$C$65,"")</f>
        <v/>
      </c>
      <c r="C2782" s="163" t="str">
        <f>IF(AND('Resource Planner'!$A$65="☑",28&lt;='Resource Planner'!$N$65),'Resource Planner'!$B$65,"")</f>
        <v/>
      </c>
      <c r="D2782" s="163" t="str">
        <f>IF(AND('Resource Planner'!$A$65="☑",28&lt;='Resource Planner'!$N$65),'Resource Planner'!$D$65,"")</f>
        <v/>
      </c>
      <c r="E2782" s="163" t="str">
        <f>IF(AND('Resource Planner'!$A$65="☑",28&lt;='Resource Planner'!$N$65),'Resource Planner'!$E$65,"")</f>
        <v/>
      </c>
      <c r="F2782" s="163" t="str">
        <f>IF(AND('Resource Planner'!$A$65="☑",28&lt;='Resource Planner'!$N$65),'Resource Planner'!$F$65&amp;" "&amp;('Resource Planner'!$G$65+(28-1)*'Resource Planner'!$I$65)&amp;IF(('Resource Planner'!$G$65+(28-1)*'Resource Planner'!$I$65)=MIN('Resource Planner'!$G$65+28*'Resource Planner'!$I$65-1,'Resource Planner'!$H$65),"","–"&amp;MIN('Resource Planner'!$G$65+28*'Resource Planner'!$I$65-1,'Resource Planner'!$H$65)),"")</f>
        <v/>
      </c>
      <c r="G2782" s="163" t="s">
        <v>109</v>
      </c>
      <c r="H2782" s="163" t="str">
        <f>IF(AND('Resource Planner'!$A$65="☑",28&lt;='Resource Planner'!$N$65),'Resource Planner'!$M$65,"")</f>
        <v/>
      </c>
    </row>
    <row r="2783" ht="15.75" customHeight="1">
      <c r="A27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3" s="163" t="str">
        <f>IF(AND('Resource Planner'!$A$65="☑",29&lt;='Resource Planner'!$N$65),'Resource Planner'!$C$65,"")</f>
        <v/>
      </c>
      <c r="C2783" s="163" t="str">
        <f>IF(AND('Resource Planner'!$A$65="☑",29&lt;='Resource Planner'!$N$65),'Resource Planner'!$B$65,"")</f>
        <v/>
      </c>
      <c r="D2783" s="163" t="str">
        <f>IF(AND('Resource Planner'!$A$65="☑",29&lt;='Resource Planner'!$N$65),'Resource Planner'!$D$65,"")</f>
        <v/>
      </c>
      <c r="E2783" s="163" t="str">
        <f>IF(AND('Resource Planner'!$A$65="☑",29&lt;='Resource Planner'!$N$65),'Resource Planner'!$E$65,"")</f>
        <v/>
      </c>
      <c r="F2783" s="163" t="str">
        <f>IF(AND('Resource Planner'!$A$65="☑",29&lt;='Resource Planner'!$N$65),'Resource Planner'!$F$65&amp;" "&amp;('Resource Planner'!$G$65+(29-1)*'Resource Planner'!$I$65)&amp;IF(('Resource Planner'!$G$65+(29-1)*'Resource Planner'!$I$65)=MIN('Resource Planner'!$G$65+29*'Resource Planner'!$I$65-1,'Resource Planner'!$H$65),"","–"&amp;MIN('Resource Planner'!$G$65+29*'Resource Planner'!$I$65-1,'Resource Planner'!$H$65)),"")</f>
        <v/>
      </c>
      <c r="G2783" s="163" t="s">
        <v>109</v>
      </c>
      <c r="H2783" s="163" t="str">
        <f>IF(AND('Resource Planner'!$A$65="☑",29&lt;='Resource Planner'!$N$65),'Resource Planner'!$M$65,"")</f>
        <v/>
      </c>
    </row>
    <row r="2784" ht="15.75" customHeight="1">
      <c r="A27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4" s="163" t="str">
        <f>IF(AND('Resource Planner'!$A$65="☑",30&lt;='Resource Planner'!$N$65),'Resource Planner'!$C$65,"")</f>
        <v/>
      </c>
      <c r="C2784" s="163" t="str">
        <f>IF(AND('Resource Planner'!$A$65="☑",30&lt;='Resource Planner'!$N$65),'Resource Planner'!$B$65,"")</f>
        <v/>
      </c>
      <c r="D2784" s="163" t="str">
        <f>IF(AND('Resource Planner'!$A$65="☑",30&lt;='Resource Planner'!$N$65),'Resource Planner'!$D$65,"")</f>
        <v/>
      </c>
      <c r="E2784" s="163" t="str">
        <f>IF(AND('Resource Planner'!$A$65="☑",30&lt;='Resource Planner'!$N$65),'Resource Planner'!$E$65,"")</f>
        <v/>
      </c>
      <c r="F2784" s="163" t="str">
        <f>IF(AND('Resource Planner'!$A$65="☑",30&lt;='Resource Planner'!$N$65),'Resource Planner'!$F$65&amp;" "&amp;('Resource Planner'!$G$65+(30-1)*'Resource Planner'!$I$65)&amp;IF(('Resource Planner'!$G$65+(30-1)*'Resource Planner'!$I$65)=MIN('Resource Planner'!$G$65+30*'Resource Planner'!$I$65-1,'Resource Planner'!$H$65),"","–"&amp;MIN('Resource Planner'!$G$65+30*'Resource Planner'!$I$65-1,'Resource Planner'!$H$65)),"")</f>
        <v/>
      </c>
      <c r="G2784" s="163" t="s">
        <v>109</v>
      </c>
      <c r="H2784" s="163" t="str">
        <f>IF(AND('Resource Planner'!$A$65="☑",30&lt;='Resource Planner'!$N$65),'Resource Planner'!$M$65,"")</f>
        <v/>
      </c>
    </row>
    <row r="2785" ht="15.75" customHeight="1">
      <c r="A27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5" s="163" t="str">
        <f>IF(AND('Resource Planner'!$A$65="☑",31&lt;='Resource Planner'!$N$65),'Resource Planner'!$C$65,"")</f>
        <v/>
      </c>
      <c r="C2785" s="163" t="str">
        <f>IF(AND('Resource Planner'!$A$65="☑",31&lt;='Resource Planner'!$N$65),'Resource Planner'!$B$65,"")</f>
        <v/>
      </c>
      <c r="D2785" s="163" t="str">
        <f>IF(AND('Resource Planner'!$A$65="☑",31&lt;='Resource Planner'!$N$65),'Resource Planner'!$D$65,"")</f>
        <v/>
      </c>
      <c r="E2785" s="163" t="str">
        <f>IF(AND('Resource Planner'!$A$65="☑",31&lt;='Resource Planner'!$N$65),'Resource Planner'!$E$65,"")</f>
        <v/>
      </c>
      <c r="F2785" s="163" t="str">
        <f>IF(AND('Resource Planner'!$A$65="☑",31&lt;='Resource Planner'!$N$65),'Resource Planner'!$F$65&amp;" "&amp;('Resource Planner'!$G$65+(31-1)*'Resource Planner'!$I$65)&amp;IF(('Resource Planner'!$G$65+(31-1)*'Resource Planner'!$I$65)=MIN('Resource Planner'!$G$65+31*'Resource Planner'!$I$65-1,'Resource Planner'!$H$65),"","–"&amp;MIN('Resource Planner'!$G$65+31*'Resource Planner'!$I$65-1,'Resource Planner'!$H$65)),"")</f>
        <v/>
      </c>
      <c r="G2785" s="163" t="s">
        <v>109</v>
      </c>
      <c r="H2785" s="163" t="str">
        <f>IF(AND('Resource Planner'!$A$65="☑",31&lt;='Resource Planner'!$N$65),'Resource Planner'!$M$65,"")</f>
        <v/>
      </c>
    </row>
    <row r="2786" ht="15.75" customHeight="1">
      <c r="A27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6" s="163" t="str">
        <f>IF(AND('Resource Planner'!$A$65="☑",32&lt;='Resource Planner'!$N$65),'Resource Planner'!$C$65,"")</f>
        <v/>
      </c>
      <c r="C2786" s="163" t="str">
        <f>IF(AND('Resource Planner'!$A$65="☑",32&lt;='Resource Planner'!$N$65),'Resource Planner'!$B$65,"")</f>
        <v/>
      </c>
      <c r="D2786" s="163" t="str">
        <f>IF(AND('Resource Planner'!$A$65="☑",32&lt;='Resource Planner'!$N$65),'Resource Planner'!$D$65,"")</f>
        <v/>
      </c>
      <c r="E2786" s="163" t="str">
        <f>IF(AND('Resource Planner'!$A$65="☑",32&lt;='Resource Planner'!$N$65),'Resource Planner'!$E$65,"")</f>
        <v/>
      </c>
      <c r="F2786" s="163" t="str">
        <f>IF(AND('Resource Planner'!$A$65="☑",32&lt;='Resource Planner'!$N$65),'Resource Planner'!$F$65&amp;" "&amp;('Resource Planner'!$G$65+(32-1)*'Resource Planner'!$I$65)&amp;IF(('Resource Planner'!$G$65+(32-1)*'Resource Planner'!$I$65)=MIN('Resource Planner'!$G$65+32*'Resource Planner'!$I$65-1,'Resource Planner'!$H$65),"","–"&amp;MIN('Resource Planner'!$G$65+32*'Resource Planner'!$I$65-1,'Resource Planner'!$H$65)),"")</f>
        <v/>
      </c>
      <c r="G2786" s="163" t="s">
        <v>109</v>
      </c>
      <c r="H2786" s="163" t="str">
        <f>IF(AND('Resource Planner'!$A$65="☑",32&lt;='Resource Planner'!$N$65),'Resource Planner'!$M$65,"")</f>
        <v/>
      </c>
    </row>
    <row r="2787" ht="15.75" customHeight="1">
      <c r="A27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7" s="163" t="str">
        <f>IF(AND('Resource Planner'!$A$65="☑",33&lt;='Resource Planner'!$N$65),'Resource Planner'!$C$65,"")</f>
        <v/>
      </c>
      <c r="C2787" s="163" t="str">
        <f>IF(AND('Resource Planner'!$A$65="☑",33&lt;='Resource Planner'!$N$65),'Resource Planner'!$B$65,"")</f>
        <v/>
      </c>
      <c r="D2787" s="163" t="str">
        <f>IF(AND('Resource Planner'!$A$65="☑",33&lt;='Resource Planner'!$N$65),'Resource Planner'!$D$65,"")</f>
        <v/>
      </c>
      <c r="E2787" s="163" t="str">
        <f>IF(AND('Resource Planner'!$A$65="☑",33&lt;='Resource Planner'!$N$65),'Resource Planner'!$E$65,"")</f>
        <v/>
      </c>
      <c r="F2787" s="163" t="str">
        <f>IF(AND('Resource Planner'!$A$65="☑",33&lt;='Resource Planner'!$N$65),'Resource Planner'!$F$65&amp;" "&amp;('Resource Planner'!$G$65+(33-1)*'Resource Planner'!$I$65)&amp;IF(('Resource Planner'!$G$65+(33-1)*'Resource Planner'!$I$65)=MIN('Resource Planner'!$G$65+33*'Resource Planner'!$I$65-1,'Resource Planner'!$H$65),"","–"&amp;MIN('Resource Planner'!$G$65+33*'Resource Planner'!$I$65-1,'Resource Planner'!$H$65)),"")</f>
        <v/>
      </c>
      <c r="G2787" s="163" t="s">
        <v>109</v>
      </c>
      <c r="H2787" s="163" t="str">
        <f>IF(AND('Resource Planner'!$A$65="☑",33&lt;='Resource Planner'!$N$65),'Resource Planner'!$M$65,"")</f>
        <v/>
      </c>
    </row>
    <row r="2788" ht="15.75" customHeight="1">
      <c r="A27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8" s="163" t="str">
        <f>IF(AND('Resource Planner'!$A$65="☑",34&lt;='Resource Planner'!$N$65),'Resource Planner'!$C$65,"")</f>
        <v/>
      </c>
      <c r="C2788" s="163" t="str">
        <f>IF(AND('Resource Planner'!$A$65="☑",34&lt;='Resource Planner'!$N$65),'Resource Planner'!$B$65,"")</f>
        <v/>
      </c>
      <c r="D2788" s="163" t="str">
        <f>IF(AND('Resource Planner'!$A$65="☑",34&lt;='Resource Planner'!$N$65),'Resource Planner'!$D$65,"")</f>
        <v/>
      </c>
      <c r="E2788" s="163" t="str">
        <f>IF(AND('Resource Planner'!$A$65="☑",34&lt;='Resource Planner'!$N$65),'Resource Planner'!$E$65,"")</f>
        <v/>
      </c>
      <c r="F2788" s="163" t="str">
        <f>IF(AND('Resource Planner'!$A$65="☑",34&lt;='Resource Planner'!$N$65),'Resource Planner'!$F$65&amp;" "&amp;('Resource Planner'!$G$65+(34-1)*'Resource Planner'!$I$65)&amp;IF(('Resource Planner'!$G$65+(34-1)*'Resource Planner'!$I$65)=MIN('Resource Planner'!$G$65+34*'Resource Planner'!$I$65-1,'Resource Planner'!$H$65),"","–"&amp;MIN('Resource Planner'!$G$65+34*'Resource Planner'!$I$65-1,'Resource Planner'!$H$65)),"")</f>
        <v/>
      </c>
      <c r="G2788" s="163" t="s">
        <v>109</v>
      </c>
      <c r="H2788" s="163" t="str">
        <f>IF(AND('Resource Planner'!$A$65="☑",34&lt;='Resource Planner'!$N$65),'Resource Planner'!$M$65,"")</f>
        <v/>
      </c>
    </row>
    <row r="2789" ht="15.75" customHeight="1">
      <c r="A27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89" s="163" t="str">
        <f>IF(AND('Resource Planner'!$A$65="☑",35&lt;='Resource Planner'!$N$65),'Resource Planner'!$C$65,"")</f>
        <v/>
      </c>
      <c r="C2789" s="163" t="str">
        <f>IF(AND('Resource Planner'!$A$65="☑",35&lt;='Resource Planner'!$N$65),'Resource Planner'!$B$65,"")</f>
        <v/>
      </c>
      <c r="D2789" s="163" t="str">
        <f>IF(AND('Resource Planner'!$A$65="☑",35&lt;='Resource Planner'!$N$65),'Resource Planner'!$D$65,"")</f>
        <v/>
      </c>
      <c r="E2789" s="163" t="str">
        <f>IF(AND('Resource Planner'!$A$65="☑",35&lt;='Resource Planner'!$N$65),'Resource Planner'!$E$65,"")</f>
        <v/>
      </c>
      <c r="F2789" s="163" t="str">
        <f>IF(AND('Resource Planner'!$A$65="☑",35&lt;='Resource Planner'!$N$65),'Resource Planner'!$F$65&amp;" "&amp;('Resource Planner'!$G$65+(35-1)*'Resource Planner'!$I$65)&amp;IF(('Resource Planner'!$G$65+(35-1)*'Resource Planner'!$I$65)=MIN('Resource Planner'!$G$65+35*'Resource Planner'!$I$65-1,'Resource Planner'!$H$65),"","–"&amp;MIN('Resource Planner'!$G$65+35*'Resource Planner'!$I$65-1,'Resource Planner'!$H$65)),"")</f>
        <v/>
      </c>
      <c r="G2789" s="163" t="s">
        <v>109</v>
      </c>
      <c r="H2789" s="163" t="str">
        <f>IF(AND('Resource Planner'!$A$65="☑",35&lt;='Resource Planner'!$N$65),'Resource Planner'!$M$65,"")</f>
        <v/>
      </c>
    </row>
    <row r="2790" ht="15.75" customHeight="1">
      <c r="A27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0" s="163" t="str">
        <f>IF(AND('Resource Planner'!$A$65="☑",36&lt;='Resource Planner'!$N$65),'Resource Planner'!$C$65,"")</f>
        <v/>
      </c>
      <c r="C2790" s="163" t="str">
        <f>IF(AND('Resource Planner'!$A$65="☑",36&lt;='Resource Planner'!$N$65),'Resource Planner'!$B$65,"")</f>
        <v/>
      </c>
      <c r="D2790" s="163" t="str">
        <f>IF(AND('Resource Planner'!$A$65="☑",36&lt;='Resource Planner'!$N$65),'Resource Planner'!$D$65,"")</f>
        <v/>
      </c>
      <c r="E2790" s="163" t="str">
        <f>IF(AND('Resource Planner'!$A$65="☑",36&lt;='Resource Planner'!$N$65),'Resource Planner'!$E$65,"")</f>
        <v/>
      </c>
      <c r="F2790" s="163" t="str">
        <f>IF(AND('Resource Planner'!$A$65="☑",36&lt;='Resource Planner'!$N$65),'Resource Planner'!$F$65&amp;" "&amp;('Resource Planner'!$G$65+(36-1)*'Resource Planner'!$I$65)&amp;IF(('Resource Planner'!$G$65+(36-1)*'Resource Planner'!$I$65)=MIN('Resource Planner'!$G$65+36*'Resource Planner'!$I$65-1,'Resource Planner'!$H$65),"","–"&amp;MIN('Resource Planner'!$G$65+36*'Resource Planner'!$I$65-1,'Resource Planner'!$H$65)),"")</f>
        <v/>
      </c>
      <c r="G2790" s="163" t="s">
        <v>109</v>
      </c>
      <c r="H2790" s="163" t="str">
        <f>IF(AND('Resource Planner'!$A$65="☑",36&lt;='Resource Planner'!$N$65),'Resource Planner'!$M$65,"")</f>
        <v/>
      </c>
    </row>
    <row r="2791" ht="15.75" customHeight="1">
      <c r="A27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1" s="163" t="str">
        <f>IF(AND('Resource Planner'!$A$65="☑",37&lt;='Resource Planner'!$N$65),'Resource Planner'!$C$65,"")</f>
        <v/>
      </c>
      <c r="C2791" s="163" t="str">
        <f>IF(AND('Resource Planner'!$A$65="☑",37&lt;='Resource Planner'!$N$65),'Resource Planner'!$B$65,"")</f>
        <v/>
      </c>
      <c r="D2791" s="163" t="str">
        <f>IF(AND('Resource Planner'!$A$65="☑",37&lt;='Resource Planner'!$N$65),'Resource Planner'!$D$65,"")</f>
        <v/>
      </c>
      <c r="E2791" s="163" t="str">
        <f>IF(AND('Resource Planner'!$A$65="☑",37&lt;='Resource Planner'!$N$65),'Resource Planner'!$E$65,"")</f>
        <v/>
      </c>
      <c r="F2791" s="163" t="str">
        <f>IF(AND('Resource Planner'!$A$65="☑",37&lt;='Resource Planner'!$N$65),'Resource Planner'!$F$65&amp;" "&amp;('Resource Planner'!$G$65+(37-1)*'Resource Planner'!$I$65)&amp;IF(('Resource Planner'!$G$65+(37-1)*'Resource Planner'!$I$65)=MIN('Resource Planner'!$G$65+37*'Resource Planner'!$I$65-1,'Resource Planner'!$H$65),"","–"&amp;MIN('Resource Planner'!$G$65+37*'Resource Planner'!$I$65-1,'Resource Planner'!$H$65)),"")</f>
        <v/>
      </c>
      <c r="G2791" s="163" t="s">
        <v>109</v>
      </c>
      <c r="H2791" s="163" t="str">
        <f>IF(AND('Resource Planner'!$A$65="☑",37&lt;='Resource Planner'!$N$65),'Resource Planner'!$M$65,"")</f>
        <v/>
      </c>
    </row>
    <row r="2792" ht="15.75" customHeight="1">
      <c r="A27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2" s="163" t="str">
        <f>IF(AND('Resource Planner'!$A$65="☑",38&lt;='Resource Planner'!$N$65),'Resource Planner'!$C$65,"")</f>
        <v/>
      </c>
      <c r="C2792" s="163" t="str">
        <f>IF(AND('Resource Planner'!$A$65="☑",38&lt;='Resource Planner'!$N$65),'Resource Planner'!$B$65,"")</f>
        <v/>
      </c>
      <c r="D2792" s="163" t="str">
        <f>IF(AND('Resource Planner'!$A$65="☑",38&lt;='Resource Planner'!$N$65),'Resource Planner'!$D$65,"")</f>
        <v/>
      </c>
      <c r="E2792" s="163" t="str">
        <f>IF(AND('Resource Planner'!$A$65="☑",38&lt;='Resource Planner'!$N$65),'Resource Planner'!$E$65,"")</f>
        <v/>
      </c>
      <c r="F2792" s="163" t="str">
        <f>IF(AND('Resource Planner'!$A$65="☑",38&lt;='Resource Planner'!$N$65),'Resource Planner'!$F$65&amp;" "&amp;('Resource Planner'!$G$65+(38-1)*'Resource Planner'!$I$65)&amp;IF(('Resource Planner'!$G$65+(38-1)*'Resource Planner'!$I$65)=MIN('Resource Planner'!$G$65+38*'Resource Planner'!$I$65-1,'Resource Planner'!$H$65),"","–"&amp;MIN('Resource Planner'!$G$65+38*'Resource Planner'!$I$65-1,'Resource Planner'!$H$65)),"")</f>
        <v/>
      </c>
      <c r="G2792" s="163" t="s">
        <v>109</v>
      </c>
      <c r="H2792" s="163" t="str">
        <f>IF(AND('Resource Planner'!$A$65="☑",38&lt;='Resource Planner'!$N$65),'Resource Planner'!$M$65,"")</f>
        <v/>
      </c>
    </row>
    <row r="2793" ht="15.75" customHeight="1">
      <c r="A27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3" s="163" t="str">
        <f>IF(AND('Resource Planner'!$A$65="☑",39&lt;='Resource Planner'!$N$65),'Resource Planner'!$C$65,"")</f>
        <v/>
      </c>
      <c r="C2793" s="163" t="str">
        <f>IF(AND('Resource Planner'!$A$65="☑",39&lt;='Resource Planner'!$N$65),'Resource Planner'!$B$65,"")</f>
        <v/>
      </c>
      <c r="D2793" s="163" t="str">
        <f>IF(AND('Resource Planner'!$A$65="☑",39&lt;='Resource Planner'!$N$65),'Resource Planner'!$D$65,"")</f>
        <v/>
      </c>
      <c r="E2793" s="163" t="str">
        <f>IF(AND('Resource Planner'!$A$65="☑",39&lt;='Resource Planner'!$N$65),'Resource Planner'!$E$65,"")</f>
        <v/>
      </c>
      <c r="F2793" s="163" t="str">
        <f>IF(AND('Resource Planner'!$A$65="☑",39&lt;='Resource Planner'!$N$65),'Resource Planner'!$F$65&amp;" "&amp;('Resource Planner'!$G$65+(39-1)*'Resource Planner'!$I$65)&amp;IF(('Resource Planner'!$G$65+(39-1)*'Resource Planner'!$I$65)=MIN('Resource Planner'!$G$65+39*'Resource Planner'!$I$65-1,'Resource Planner'!$H$65),"","–"&amp;MIN('Resource Planner'!$G$65+39*'Resource Planner'!$I$65-1,'Resource Planner'!$H$65)),"")</f>
        <v/>
      </c>
      <c r="G2793" s="163" t="s">
        <v>109</v>
      </c>
      <c r="H2793" s="163" t="str">
        <f>IF(AND('Resource Planner'!$A$65="☑",39&lt;='Resource Planner'!$N$65),'Resource Planner'!$M$65,"")</f>
        <v/>
      </c>
    </row>
    <row r="2794" ht="15.75" customHeight="1">
      <c r="A27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4" s="163" t="str">
        <f>IF(AND('Resource Planner'!$A$65="☑",40&lt;='Resource Planner'!$N$65),'Resource Planner'!$C$65,"")</f>
        <v/>
      </c>
      <c r="C2794" s="163" t="str">
        <f>IF(AND('Resource Planner'!$A$65="☑",40&lt;='Resource Planner'!$N$65),'Resource Planner'!$B$65,"")</f>
        <v/>
      </c>
      <c r="D2794" s="163" t="str">
        <f>IF(AND('Resource Planner'!$A$65="☑",40&lt;='Resource Planner'!$N$65),'Resource Planner'!$D$65,"")</f>
        <v/>
      </c>
      <c r="E2794" s="163" t="str">
        <f>IF(AND('Resource Planner'!$A$65="☑",40&lt;='Resource Planner'!$N$65),'Resource Planner'!$E$65,"")</f>
        <v/>
      </c>
      <c r="F2794" s="163" t="str">
        <f>IF(AND('Resource Planner'!$A$65="☑",40&lt;='Resource Planner'!$N$65),'Resource Planner'!$F$65&amp;" "&amp;('Resource Planner'!$G$65+(40-1)*'Resource Planner'!$I$65)&amp;IF(('Resource Planner'!$G$65+(40-1)*'Resource Planner'!$I$65)=MIN('Resource Planner'!$G$65+40*'Resource Planner'!$I$65-1,'Resource Planner'!$H$65),"","–"&amp;MIN('Resource Planner'!$G$65+40*'Resource Planner'!$I$65-1,'Resource Planner'!$H$65)),"")</f>
        <v/>
      </c>
      <c r="G2794" s="163" t="s">
        <v>109</v>
      </c>
      <c r="H2794" s="163" t="str">
        <f>IF(AND('Resource Planner'!$A$65="☑",40&lt;='Resource Planner'!$N$65),'Resource Planner'!$M$65,"")</f>
        <v/>
      </c>
    </row>
    <row r="2795" ht="15.75" customHeight="1">
      <c r="A27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5" s="163" t="str">
        <f>IF(AND('Resource Planner'!$A$65="☑",41&lt;='Resource Planner'!$N$65),'Resource Planner'!$C$65,"")</f>
        <v/>
      </c>
      <c r="C2795" s="163" t="str">
        <f>IF(AND('Resource Planner'!$A$65="☑",41&lt;='Resource Planner'!$N$65),'Resource Planner'!$B$65,"")</f>
        <v/>
      </c>
      <c r="D2795" s="163" t="str">
        <f>IF(AND('Resource Planner'!$A$65="☑",41&lt;='Resource Planner'!$N$65),'Resource Planner'!$D$65,"")</f>
        <v/>
      </c>
      <c r="E2795" s="163" t="str">
        <f>IF(AND('Resource Planner'!$A$65="☑",41&lt;='Resource Planner'!$N$65),'Resource Planner'!$E$65,"")</f>
        <v/>
      </c>
      <c r="F2795" s="163" t="str">
        <f>IF(AND('Resource Planner'!$A$65="☑",41&lt;='Resource Planner'!$N$65),'Resource Planner'!$F$65&amp;" "&amp;('Resource Planner'!$G$65+(41-1)*'Resource Planner'!$I$65)&amp;IF(('Resource Planner'!$G$65+(41-1)*'Resource Planner'!$I$65)=MIN('Resource Planner'!$G$65+41*'Resource Planner'!$I$65-1,'Resource Planner'!$H$65),"","–"&amp;MIN('Resource Planner'!$G$65+41*'Resource Planner'!$I$65-1,'Resource Planner'!$H$65)),"")</f>
        <v/>
      </c>
      <c r="G2795" s="163" t="s">
        <v>109</v>
      </c>
      <c r="H2795" s="163" t="str">
        <f>IF(AND('Resource Planner'!$A$65="☑",41&lt;='Resource Planner'!$N$65),'Resource Planner'!$M$65,"")</f>
        <v/>
      </c>
    </row>
    <row r="2796" ht="15.75" customHeight="1">
      <c r="A27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6" s="163" t="str">
        <f>IF(AND('Resource Planner'!$A$65="☑",42&lt;='Resource Planner'!$N$65),'Resource Planner'!$C$65,"")</f>
        <v/>
      </c>
      <c r="C2796" s="163" t="str">
        <f>IF(AND('Resource Planner'!$A$65="☑",42&lt;='Resource Planner'!$N$65),'Resource Planner'!$B$65,"")</f>
        <v/>
      </c>
      <c r="D2796" s="163" t="str">
        <f>IF(AND('Resource Planner'!$A$65="☑",42&lt;='Resource Planner'!$N$65),'Resource Planner'!$D$65,"")</f>
        <v/>
      </c>
      <c r="E2796" s="163" t="str">
        <f>IF(AND('Resource Planner'!$A$65="☑",42&lt;='Resource Planner'!$N$65),'Resource Planner'!$E$65,"")</f>
        <v/>
      </c>
      <c r="F2796" s="163" t="str">
        <f>IF(AND('Resource Planner'!$A$65="☑",42&lt;='Resource Planner'!$N$65),'Resource Planner'!$F$65&amp;" "&amp;('Resource Planner'!$G$65+(42-1)*'Resource Planner'!$I$65)&amp;IF(('Resource Planner'!$G$65+(42-1)*'Resource Planner'!$I$65)=MIN('Resource Planner'!$G$65+42*'Resource Planner'!$I$65-1,'Resource Planner'!$H$65),"","–"&amp;MIN('Resource Planner'!$G$65+42*'Resource Planner'!$I$65-1,'Resource Planner'!$H$65)),"")</f>
        <v/>
      </c>
      <c r="G2796" s="163" t="s">
        <v>109</v>
      </c>
      <c r="H2796" s="163" t="str">
        <f>IF(AND('Resource Planner'!$A$65="☑",42&lt;='Resource Planner'!$N$65),'Resource Planner'!$M$65,"")</f>
        <v/>
      </c>
    </row>
    <row r="2797" ht="15.75" customHeight="1">
      <c r="A27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7" s="163" t="str">
        <f>IF(AND('Resource Planner'!$A$65="☑",43&lt;='Resource Planner'!$N$65),'Resource Planner'!$C$65,"")</f>
        <v/>
      </c>
      <c r="C2797" s="163" t="str">
        <f>IF(AND('Resource Planner'!$A$65="☑",43&lt;='Resource Planner'!$N$65),'Resource Planner'!$B$65,"")</f>
        <v/>
      </c>
      <c r="D2797" s="163" t="str">
        <f>IF(AND('Resource Planner'!$A$65="☑",43&lt;='Resource Planner'!$N$65),'Resource Planner'!$D$65,"")</f>
        <v/>
      </c>
      <c r="E2797" s="163" t="str">
        <f>IF(AND('Resource Planner'!$A$65="☑",43&lt;='Resource Planner'!$N$65),'Resource Planner'!$E$65,"")</f>
        <v/>
      </c>
      <c r="F2797" s="163" t="str">
        <f>IF(AND('Resource Planner'!$A$65="☑",43&lt;='Resource Planner'!$N$65),'Resource Planner'!$F$65&amp;" "&amp;('Resource Planner'!$G$65+(43-1)*'Resource Planner'!$I$65)&amp;IF(('Resource Planner'!$G$65+(43-1)*'Resource Planner'!$I$65)=MIN('Resource Planner'!$G$65+43*'Resource Planner'!$I$65-1,'Resource Planner'!$H$65),"","–"&amp;MIN('Resource Planner'!$G$65+43*'Resource Planner'!$I$65-1,'Resource Planner'!$H$65)),"")</f>
        <v/>
      </c>
      <c r="G2797" s="163" t="s">
        <v>109</v>
      </c>
      <c r="H2797" s="163" t="str">
        <f>IF(AND('Resource Planner'!$A$65="☑",43&lt;='Resource Planner'!$N$65),'Resource Planner'!$M$65,"")</f>
        <v/>
      </c>
    </row>
    <row r="2798" ht="15.75" customHeight="1">
      <c r="A27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8" s="163" t="str">
        <f>IF(AND('Resource Planner'!$A$65="☑",44&lt;='Resource Planner'!$N$65),'Resource Planner'!$C$65,"")</f>
        <v/>
      </c>
      <c r="C2798" s="163" t="str">
        <f>IF(AND('Resource Planner'!$A$65="☑",44&lt;='Resource Planner'!$N$65),'Resource Planner'!$B$65,"")</f>
        <v/>
      </c>
      <c r="D2798" s="163" t="str">
        <f>IF(AND('Resource Planner'!$A$65="☑",44&lt;='Resource Planner'!$N$65),'Resource Planner'!$D$65,"")</f>
        <v/>
      </c>
      <c r="E2798" s="163" t="str">
        <f>IF(AND('Resource Planner'!$A$65="☑",44&lt;='Resource Planner'!$N$65),'Resource Planner'!$E$65,"")</f>
        <v/>
      </c>
      <c r="F2798" s="163" t="str">
        <f>IF(AND('Resource Planner'!$A$65="☑",44&lt;='Resource Planner'!$N$65),'Resource Planner'!$F$65&amp;" "&amp;('Resource Planner'!$G$65+(44-1)*'Resource Planner'!$I$65)&amp;IF(('Resource Planner'!$G$65+(44-1)*'Resource Planner'!$I$65)=MIN('Resource Planner'!$G$65+44*'Resource Planner'!$I$65-1,'Resource Planner'!$H$65),"","–"&amp;MIN('Resource Planner'!$G$65+44*'Resource Planner'!$I$65-1,'Resource Planner'!$H$65)),"")</f>
        <v/>
      </c>
      <c r="G2798" s="163" t="s">
        <v>109</v>
      </c>
      <c r="H2798" s="163" t="str">
        <f>IF(AND('Resource Planner'!$A$65="☑",44&lt;='Resource Planner'!$N$65),'Resource Planner'!$M$65,"")</f>
        <v/>
      </c>
    </row>
    <row r="2799" ht="15.75" customHeight="1">
      <c r="A27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799" s="163" t="str">
        <f>IF(AND('Resource Planner'!$A$65="☑",45&lt;='Resource Planner'!$N$65),'Resource Planner'!$C$65,"")</f>
        <v/>
      </c>
      <c r="C2799" s="163" t="str">
        <f>IF(AND('Resource Planner'!$A$65="☑",45&lt;='Resource Planner'!$N$65),'Resource Planner'!$B$65,"")</f>
        <v/>
      </c>
      <c r="D2799" s="163" t="str">
        <f>IF(AND('Resource Planner'!$A$65="☑",45&lt;='Resource Planner'!$N$65),'Resource Planner'!$D$65,"")</f>
        <v/>
      </c>
      <c r="E2799" s="163" t="str">
        <f>IF(AND('Resource Planner'!$A$65="☑",45&lt;='Resource Planner'!$N$65),'Resource Planner'!$E$65,"")</f>
        <v/>
      </c>
      <c r="F2799" s="163" t="str">
        <f>IF(AND('Resource Planner'!$A$65="☑",45&lt;='Resource Planner'!$N$65),'Resource Planner'!$F$65&amp;" "&amp;('Resource Planner'!$G$65+(45-1)*'Resource Planner'!$I$65)&amp;IF(('Resource Planner'!$G$65+(45-1)*'Resource Planner'!$I$65)=MIN('Resource Planner'!$G$65+45*'Resource Planner'!$I$65-1,'Resource Planner'!$H$65),"","–"&amp;MIN('Resource Planner'!$G$65+45*'Resource Planner'!$I$65-1,'Resource Planner'!$H$65)),"")</f>
        <v/>
      </c>
      <c r="G2799" s="163" t="s">
        <v>109</v>
      </c>
      <c r="H2799" s="163" t="str">
        <f>IF(AND('Resource Planner'!$A$65="☑",45&lt;='Resource Planner'!$N$65),'Resource Planner'!$M$65,"")</f>
        <v/>
      </c>
    </row>
    <row r="2800" ht="15.75" customHeight="1">
      <c r="A28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0" s="163" t="str">
        <f>IF(AND('Resource Planner'!$A$65="☑",46&lt;='Resource Planner'!$N$65),'Resource Planner'!$C$65,"")</f>
        <v/>
      </c>
      <c r="C2800" s="163" t="str">
        <f>IF(AND('Resource Planner'!$A$65="☑",46&lt;='Resource Planner'!$N$65),'Resource Planner'!$B$65,"")</f>
        <v/>
      </c>
      <c r="D2800" s="163" t="str">
        <f>IF(AND('Resource Planner'!$A$65="☑",46&lt;='Resource Planner'!$N$65),'Resource Planner'!$D$65,"")</f>
        <v/>
      </c>
      <c r="E2800" s="163" t="str">
        <f>IF(AND('Resource Planner'!$A$65="☑",46&lt;='Resource Planner'!$N$65),'Resource Planner'!$E$65,"")</f>
        <v/>
      </c>
      <c r="F2800" s="163" t="str">
        <f>IF(AND('Resource Planner'!$A$65="☑",46&lt;='Resource Planner'!$N$65),'Resource Planner'!$F$65&amp;" "&amp;('Resource Planner'!$G$65+(46-1)*'Resource Planner'!$I$65)&amp;IF(('Resource Planner'!$G$65+(46-1)*'Resource Planner'!$I$65)=MIN('Resource Planner'!$G$65+46*'Resource Planner'!$I$65-1,'Resource Planner'!$H$65),"","–"&amp;MIN('Resource Planner'!$G$65+46*'Resource Planner'!$I$65-1,'Resource Planner'!$H$65)),"")</f>
        <v/>
      </c>
      <c r="G2800" s="163" t="s">
        <v>109</v>
      </c>
      <c r="H2800" s="163" t="str">
        <f>IF(AND('Resource Planner'!$A$65="☑",46&lt;='Resource Planner'!$N$65),'Resource Planner'!$M$65,"")</f>
        <v/>
      </c>
    </row>
    <row r="2801" ht="15.75" customHeight="1">
      <c r="A28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1" s="163" t="str">
        <f>IF(AND('Resource Planner'!$A$65="☑",47&lt;='Resource Planner'!$N$65),'Resource Planner'!$C$65,"")</f>
        <v/>
      </c>
      <c r="C2801" s="163" t="str">
        <f>IF(AND('Resource Planner'!$A$65="☑",47&lt;='Resource Planner'!$N$65),'Resource Planner'!$B$65,"")</f>
        <v/>
      </c>
      <c r="D2801" s="163" t="str">
        <f>IF(AND('Resource Planner'!$A$65="☑",47&lt;='Resource Planner'!$N$65),'Resource Planner'!$D$65,"")</f>
        <v/>
      </c>
      <c r="E2801" s="163" t="str">
        <f>IF(AND('Resource Planner'!$A$65="☑",47&lt;='Resource Planner'!$N$65),'Resource Planner'!$E$65,"")</f>
        <v/>
      </c>
      <c r="F2801" s="163" t="str">
        <f>IF(AND('Resource Planner'!$A$65="☑",47&lt;='Resource Planner'!$N$65),'Resource Planner'!$F$65&amp;" "&amp;('Resource Planner'!$G$65+(47-1)*'Resource Planner'!$I$65)&amp;IF(('Resource Planner'!$G$65+(47-1)*'Resource Planner'!$I$65)=MIN('Resource Planner'!$G$65+47*'Resource Planner'!$I$65-1,'Resource Planner'!$H$65),"","–"&amp;MIN('Resource Planner'!$G$65+47*'Resource Planner'!$I$65-1,'Resource Planner'!$H$65)),"")</f>
        <v/>
      </c>
      <c r="G2801" s="163" t="s">
        <v>109</v>
      </c>
      <c r="H2801" s="163" t="str">
        <f>IF(AND('Resource Planner'!$A$65="☑",47&lt;='Resource Planner'!$N$65),'Resource Planner'!$M$65,"")</f>
        <v/>
      </c>
    </row>
    <row r="2802" ht="15.75" customHeight="1">
      <c r="A28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2" s="163" t="str">
        <f>IF(AND('Resource Planner'!$A$65="☑",48&lt;='Resource Planner'!$N$65),'Resource Planner'!$C$65,"")</f>
        <v/>
      </c>
      <c r="C2802" s="163" t="str">
        <f>IF(AND('Resource Planner'!$A$65="☑",48&lt;='Resource Planner'!$N$65),'Resource Planner'!$B$65,"")</f>
        <v/>
      </c>
      <c r="D2802" s="163" t="str">
        <f>IF(AND('Resource Planner'!$A$65="☑",48&lt;='Resource Planner'!$N$65),'Resource Planner'!$D$65,"")</f>
        <v/>
      </c>
      <c r="E2802" s="163" t="str">
        <f>IF(AND('Resource Planner'!$A$65="☑",48&lt;='Resource Planner'!$N$65),'Resource Planner'!$E$65,"")</f>
        <v/>
      </c>
      <c r="F2802" s="163" t="str">
        <f>IF(AND('Resource Planner'!$A$65="☑",48&lt;='Resource Planner'!$N$65),'Resource Planner'!$F$65&amp;" "&amp;('Resource Planner'!$G$65+(48-1)*'Resource Planner'!$I$65)&amp;IF(('Resource Planner'!$G$65+(48-1)*'Resource Planner'!$I$65)=MIN('Resource Planner'!$G$65+48*'Resource Planner'!$I$65-1,'Resource Planner'!$H$65),"","–"&amp;MIN('Resource Planner'!$G$65+48*'Resource Planner'!$I$65-1,'Resource Planner'!$H$65)),"")</f>
        <v/>
      </c>
      <c r="G2802" s="163" t="s">
        <v>109</v>
      </c>
      <c r="H2802" s="163" t="str">
        <f>IF(AND('Resource Planner'!$A$65="☑",48&lt;='Resource Planner'!$N$65),'Resource Planner'!$M$65,"")</f>
        <v/>
      </c>
    </row>
    <row r="2803" ht="15.75" customHeight="1">
      <c r="A28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3" s="163" t="str">
        <f>IF(AND('Resource Planner'!$A$65="☑",49&lt;='Resource Planner'!$N$65),'Resource Planner'!$C$65,"")</f>
        <v/>
      </c>
      <c r="C2803" s="163" t="str">
        <f>IF(AND('Resource Planner'!$A$65="☑",49&lt;='Resource Planner'!$N$65),'Resource Planner'!$B$65,"")</f>
        <v/>
      </c>
      <c r="D2803" s="163" t="str">
        <f>IF(AND('Resource Planner'!$A$65="☑",49&lt;='Resource Planner'!$N$65),'Resource Planner'!$D$65,"")</f>
        <v/>
      </c>
      <c r="E2803" s="163" t="str">
        <f>IF(AND('Resource Planner'!$A$65="☑",49&lt;='Resource Planner'!$N$65),'Resource Planner'!$E$65,"")</f>
        <v/>
      </c>
      <c r="F2803" s="163" t="str">
        <f>IF(AND('Resource Planner'!$A$65="☑",49&lt;='Resource Planner'!$N$65),'Resource Planner'!$F$65&amp;" "&amp;('Resource Planner'!$G$65+(49-1)*'Resource Planner'!$I$65)&amp;IF(('Resource Planner'!$G$65+(49-1)*'Resource Planner'!$I$65)=MIN('Resource Planner'!$G$65+49*'Resource Planner'!$I$65-1,'Resource Planner'!$H$65),"","–"&amp;MIN('Resource Planner'!$G$65+49*'Resource Planner'!$I$65-1,'Resource Planner'!$H$65)),"")</f>
        <v/>
      </c>
      <c r="G2803" s="163" t="s">
        <v>109</v>
      </c>
      <c r="H2803" s="163" t="str">
        <f>IF(AND('Resource Planner'!$A$65="☑",49&lt;='Resource Planner'!$N$65),'Resource Planner'!$M$65,"")</f>
        <v/>
      </c>
    </row>
    <row r="2804" ht="15.75" customHeight="1">
      <c r="A28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4" s="163" t="str">
        <f>IF(AND('Resource Planner'!$A$65="☑",50&lt;='Resource Planner'!$N$65),'Resource Planner'!$C$65,"")</f>
        <v/>
      </c>
      <c r="C2804" s="163" t="str">
        <f>IF(AND('Resource Planner'!$A$65="☑",50&lt;='Resource Planner'!$N$65),'Resource Planner'!$B$65,"")</f>
        <v/>
      </c>
      <c r="D2804" s="163" t="str">
        <f>IF(AND('Resource Planner'!$A$65="☑",50&lt;='Resource Planner'!$N$65),'Resource Planner'!$D$65,"")</f>
        <v/>
      </c>
      <c r="E2804" s="163" t="str">
        <f>IF(AND('Resource Planner'!$A$65="☑",50&lt;='Resource Planner'!$N$65),'Resource Planner'!$E$65,"")</f>
        <v/>
      </c>
      <c r="F2804" s="163" t="str">
        <f>IF(AND('Resource Planner'!$A$65="☑",50&lt;='Resource Planner'!$N$65),'Resource Planner'!$F$65&amp;" "&amp;('Resource Planner'!$G$65+(50-1)*'Resource Planner'!$I$65)&amp;IF(('Resource Planner'!$G$65+(50-1)*'Resource Planner'!$I$65)=MIN('Resource Planner'!$G$65+50*'Resource Planner'!$I$65-1,'Resource Planner'!$H$65),"","–"&amp;MIN('Resource Planner'!$G$65+50*'Resource Planner'!$I$65-1,'Resource Planner'!$H$65)),"")</f>
        <v/>
      </c>
      <c r="G2804" s="163" t="s">
        <v>109</v>
      </c>
      <c r="H2804" s="163" t="str">
        <f>IF(AND('Resource Planner'!$A$65="☑",50&lt;='Resource Planner'!$N$65),'Resource Planner'!$M$65,"")</f>
        <v/>
      </c>
    </row>
    <row r="2805" ht="15.75" customHeight="1">
      <c r="A28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5" s="163" t="str">
        <f>IF(AND('Resource Planner'!$A$66="☑",1&lt;='Resource Planner'!$N$66),'Resource Planner'!$C$66,"")</f>
        <v/>
      </c>
      <c r="C2805" s="163" t="str">
        <f>IF(AND('Resource Planner'!$A$66="☑",1&lt;='Resource Planner'!$N$66),'Resource Planner'!$B$66,"")</f>
        <v/>
      </c>
      <c r="D2805" s="163" t="str">
        <f>IF(AND('Resource Planner'!$A$66="☑",1&lt;='Resource Planner'!$N$66),'Resource Planner'!$D$66,"")</f>
        <v/>
      </c>
      <c r="E2805" s="163" t="str">
        <f>IF(AND('Resource Planner'!$A$66="☑",1&lt;='Resource Planner'!$N$66),'Resource Planner'!$E$66,"")</f>
        <v/>
      </c>
      <c r="F2805" s="163" t="str">
        <f>IF(AND('Resource Planner'!$A$66="☑",1&lt;='Resource Planner'!$N$66),'Resource Planner'!$F$66&amp;" "&amp;('Resource Planner'!$G$66+(1-1)*'Resource Planner'!$I$66)&amp;IF(('Resource Planner'!$G$66+(1-1)*'Resource Planner'!$I$66)=MIN('Resource Planner'!$G$66+1*'Resource Planner'!$I$66-1,'Resource Planner'!$H$66),"","–"&amp;MIN('Resource Planner'!$G$66+1*'Resource Planner'!$I$66-1,'Resource Planner'!$H$66)),"")</f>
        <v/>
      </c>
      <c r="G2805" s="163" t="s">
        <v>109</v>
      </c>
      <c r="H2805" s="163" t="str">
        <f>IF(AND('Resource Planner'!$A$66="☑",1&lt;='Resource Planner'!$N$66),'Resource Planner'!$M$66,"")</f>
        <v/>
      </c>
    </row>
    <row r="2806" ht="15.75" customHeight="1">
      <c r="A28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6" s="163" t="str">
        <f>IF(AND('Resource Planner'!$A$66="☑",2&lt;='Resource Planner'!$N$66),'Resource Planner'!$C$66,"")</f>
        <v/>
      </c>
      <c r="C2806" s="163" t="str">
        <f>IF(AND('Resource Planner'!$A$66="☑",2&lt;='Resource Planner'!$N$66),'Resource Planner'!$B$66,"")</f>
        <v/>
      </c>
      <c r="D2806" s="163" t="str">
        <f>IF(AND('Resource Planner'!$A$66="☑",2&lt;='Resource Planner'!$N$66),'Resource Planner'!$D$66,"")</f>
        <v/>
      </c>
      <c r="E2806" s="163" t="str">
        <f>IF(AND('Resource Planner'!$A$66="☑",2&lt;='Resource Planner'!$N$66),'Resource Planner'!$E$66,"")</f>
        <v/>
      </c>
      <c r="F2806" s="163" t="str">
        <f>IF(AND('Resource Planner'!$A$66="☑",2&lt;='Resource Planner'!$N$66),'Resource Planner'!$F$66&amp;" "&amp;('Resource Planner'!$G$66+(2-1)*'Resource Planner'!$I$66)&amp;IF(('Resource Planner'!$G$66+(2-1)*'Resource Planner'!$I$66)=MIN('Resource Planner'!$G$66+2*'Resource Planner'!$I$66-1,'Resource Planner'!$H$66),"","–"&amp;MIN('Resource Planner'!$G$66+2*'Resource Planner'!$I$66-1,'Resource Planner'!$H$66)),"")</f>
        <v/>
      </c>
      <c r="G2806" s="163" t="s">
        <v>109</v>
      </c>
      <c r="H2806" s="163" t="str">
        <f>IF(AND('Resource Planner'!$A$66="☑",2&lt;='Resource Planner'!$N$66),'Resource Planner'!$M$66,"")</f>
        <v/>
      </c>
    </row>
    <row r="2807" ht="15.75" customHeight="1">
      <c r="A28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7" s="163" t="str">
        <f>IF(AND('Resource Planner'!$A$66="☑",3&lt;='Resource Planner'!$N$66),'Resource Planner'!$C$66,"")</f>
        <v/>
      </c>
      <c r="C2807" s="163" t="str">
        <f>IF(AND('Resource Planner'!$A$66="☑",3&lt;='Resource Planner'!$N$66),'Resource Planner'!$B$66,"")</f>
        <v/>
      </c>
      <c r="D2807" s="163" t="str">
        <f>IF(AND('Resource Planner'!$A$66="☑",3&lt;='Resource Planner'!$N$66),'Resource Planner'!$D$66,"")</f>
        <v/>
      </c>
      <c r="E2807" s="163" t="str">
        <f>IF(AND('Resource Planner'!$A$66="☑",3&lt;='Resource Planner'!$N$66),'Resource Planner'!$E$66,"")</f>
        <v/>
      </c>
      <c r="F2807" s="163" t="str">
        <f>IF(AND('Resource Planner'!$A$66="☑",3&lt;='Resource Planner'!$N$66),'Resource Planner'!$F$66&amp;" "&amp;('Resource Planner'!$G$66+(3-1)*'Resource Planner'!$I$66)&amp;IF(('Resource Planner'!$G$66+(3-1)*'Resource Planner'!$I$66)=MIN('Resource Planner'!$G$66+3*'Resource Planner'!$I$66-1,'Resource Planner'!$H$66),"","–"&amp;MIN('Resource Planner'!$G$66+3*'Resource Planner'!$I$66-1,'Resource Planner'!$H$66)),"")</f>
        <v/>
      </c>
      <c r="G2807" s="163" t="s">
        <v>109</v>
      </c>
      <c r="H2807" s="163" t="str">
        <f>IF(AND('Resource Planner'!$A$66="☑",3&lt;='Resource Planner'!$N$66),'Resource Planner'!$M$66,"")</f>
        <v/>
      </c>
    </row>
    <row r="2808" ht="15.75" customHeight="1">
      <c r="A28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8" s="163" t="str">
        <f>IF(AND('Resource Planner'!$A$66="☑",4&lt;='Resource Planner'!$N$66),'Resource Planner'!$C$66,"")</f>
        <v/>
      </c>
      <c r="C2808" s="163" t="str">
        <f>IF(AND('Resource Planner'!$A$66="☑",4&lt;='Resource Planner'!$N$66),'Resource Planner'!$B$66,"")</f>
        <v/>
      </c>
      <c r="D2808" s="163" t="str">
        <f>IF(AND('Resource Planner'!$A$66="☑",4&lt;='Resource Planner'!$N$66),'Resource Planner'!$D$66,"")</f>
        <v/>
      </c>
      <c r="E2808" s="163" t="str">
        <f>IF(AND('Resource Planner'!$A$66="☑",4&lt;='Resource Planner'!$N$66),'Resource Planner'!$E$66,"")</f>
        <v/>
      </c>
      <c r="F2808" s="163" t="str">
        <f>IF(AND('Resource Planner'!$A$66="☑",4&lt;='Resource Planner'!$N$66),'Resource Planner'!$F$66&amp;" "&amp;('Resource Planner'!$G$66+(4-1)*'Resource Planner'!$I$66)&amp;IF(('Resource Planner'!$G$66+(4-1)*'Resource Planner'!$I$66)=MIN('Resource Planner'!$G$66+4*'Resource Planner'!$I$66-1,'Resource Planner'!$H$66),"","–"&amp;MIN('Resource Planner'!$G$66+4*'Resource Planner'!$I$66-1,'Resource Planner'!$H$66)),"")</f>
        <v/>
      </c>
      <c r="G2808" s="163" t="s">
        <v>109</v>
      </c>
      <c r="H2808" s="163" t="str">
        <f>IF(AND('Resource Planner'!$A$66="☑",4&lt;='Resource Planner'!$N$66),'Resource Planner'!$M$66,"")</f>
        <v/>
      </c>
    </row>
    <row r="2809" ht="15.75" customHeight="1">
      <c r="A28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09" s="163" t="str">
        <f>IF(AND('Resource Planner'!$A$66="☑",5&lt;='Resource Planner'!$N$66),'Resource Planner'!$C$66,"")</f>
        <v/>
      </c>
      <c r="C2809" s="163" t="str">
        <f>IF(AND('Resource Planner'!$A$66="☑",5&lt;='Resource Planner'!$N$66),'Resource Planner'!$B$66,"")</f>
        <v/>
      </c>
      <c r="D2809" s="163" t="str">
        <f>IF(AND('Resource Planner'!$A$66="☑",5&lt;='Resource Planner'!$N$66),'Resource Planner'!$D$66,"")</f>
        <v/>
      </c>
      <c r="E2809" s="163" t="str">
        <f>IF(AND('Resource Planner'!$A$66="☑",5&lt;='Resource Planner'!$N$66),'Resource Planner'!$E$66,"")</f>
        <v/>
      </c>
      <c r="F2809" s="163" t="str">
        <f>IF(AND('Resource Planner'!$A$66="☑",5&lt;='Resource Planner'!$N$66),'Resource Planner'!$F$66&amp;" "&amp;('Resource Planner'!$G$66+(5-1)*'Resource Planner'!$I$66)&amp;IF(('Resource Planner'!$G$66+(5-1)*'Resource Planner'!$I$66)=MIN('Resource Planner'!$G$66+5*'Resource Planner'!$I$66-1,'Resource Planner'!$H$66),"","–"&amp;MIN('Resource Planner'!$G$66+5*'Resource Planner'!$I$66-1,'Resource Planner'!$H$66)),"")</f>
        <v/>
      </c>
      <c r="G2809" s="163" t="s">
        <v>109</v>
      </c>
      <c r="H2809" s="163" t="str">
        <f>IF(AND('Resource Planner'!$A$66="☑",5&lt;='Resource Planner'!$N$66),'Resource Planner'!$M$66,"")</f>
        <v/>
      </c>
    </row>
    <row r="2810" ht="15.75" customHeight="1">
      <c r="A28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0" s="163" t="str">
        <f>IF(AND('Resource Planner'!$A$66="☑",6&lt;='Resource Planner'!$N$66),'Resource Planner'!$C$66,"")</f>
        <v/>
      </c>
      <c r="C2810" s="163" t="str">
        <f>IF(AND('Resource Planner'!$A$66="☑",6&lt;='Resource Planner'!$N$66),'Resource Planner'!$B$66,"")</f>
        <v/>
      </c>
      <c r="D2810" s="163" t="str">
        <f>IF(AND('Resource Planner'!$A$66="☑",6&lt;='Resource Planner'!$N$66),'Resource Planner'!$D$66,"")</f>
        <v/>
      </c>
      <c r="E2810" s="163" t="str">
        <f>IF(AND('Resource Planner'!$A$66="☑",6&lt;='Resource Planner'!$N$66),'Resource Planner'!$E$66,"")</f>
        <v/>
      </c>
      <c r="F2810" s="163" t="str">
        <f>IF(AND('Resource Planner'!$A$66="☑",6&lt;='Resource Planner'!$N$66),'Resource Planner'!$F$66&amp;" "&amp;('Resource Planner'!$G$66+(6-1)*'Resource Planner'!$I$66)&amp;IF(('Resource Planner'!$G$66+(6-1)*'Resource Planner'!$I$66)=MIN('Resource Planner'!$G$66+6*'Resource Planner'!$I$66-1,'Resource Planner'!$H$66),"","–"&amp;MIN('Resource Planner'!$G$66+6*'Resource Planner'!$I$66-1,'Resource Planner'!$H$66)),"")</f>
        <v/>
      </c>
      <c r="G2810" s="163" t="s">
        <v>109</v>
      </c>
      <c r="H2810" s="163" t="str">
        <f>IF(AND('Resource Planner'!$A$66="☑",6&lt;='Resource Planner'!$N$66),'Resource Planner'!$M$66,"")</f>
        <v/>
      </c>
    </row>
    <row r="2811" ht="15.75" customHeight="1">
      <c r="A28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1" s="163" t="str">
        <f>IF(AND('Resource Planner'!$A$66="☑",7&lt;='Resource Planner'!$N$66),'Resource Planner'!$C$66,"")</f>
        <v/>
      </c>
      <c r="C2811" s="163" t="str">
        <f>IF(AND('Resource Planner'!$A$66="☑",7&lt;='Resource Planner'!$N$66),'Resource Planner'!$B$66,"")</f>
        <v/>
      </c>
      <c r="D2811" s="163" t="str">
        <f>IF(AND('Resource Planner'!$A$66="☑",7&lt;='Resource Planner'!$N$66),'Resource Planner'!$D$66,"")</f>
        <v/>
      </c>
      <c r="E2811" s="163" t="str">
        <f>IF(AND('Resource Planner'!$A$66="☑",7&lt;='Resource Planner'!$N$66),'Resource Planner'!$E$66,"")</f>
        <v/>
      </c>
      <c r="F2811" s="163" t="str">
        <f>IF(AND('Resource Planner'!$A$66="☑",7&lt;='Resource Planner'!$N$66),'Resource Planner'!$F$66&amp;" "&amp;('Resource Planner'!$G$66+(7-1)*'Resource Planner'!$I$66)&amp;IF(('Resource Planner'!$G$66+(7-1)*'Resource Planner'!$I$66)=MIN('Resource Planner'!$G$66+7*'Resource Planner'!$I$66-1,'Resource Planner'!$H$66),"","–"&amp;MIN('Resource Planner'!$G$66+7*'Resource Planner'!$I$66-1,'Resource Planner'!$H$66)),"")</f>
        <v/>
      </c>
      <c r="G2811" s="163" t="s">
        <v>109</v>
      </c>
      <c r="H2811" s="163" t="str">
        <f>IF(AND('Resource Planner'!$A$66="☑",7&lt;='Resource Planner'!$N$66),'Resource Planner'!$M$66,"")</f>
        <v/>
      </c>
    </row>
    <row r="2812" ht="15.75" customHeight="1">
      <c r="A28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2" s="163" t="str">
        <f>IF(AND('Resource Planner'!$A$66="☑",8&lt;='Resource Planner'!$N$66),'Resource Planner'!$C$66,"")</f>
        <v/>
      </c>
      <c r="C2812" s="163" t="str">
        <f>IF(AND('Resource Planner'!$A$66="☑",8&lt;='Resource Planner'!$N$66),'Resource Planner'!$B$66,"")</f>
        <v/>
      </c>
      <c r="D2812" s="163" t="str">
        <f>IF(AND('Resource Planner'!$A$66="☑",8&lt;='Resource Planner'!$N$66),'Resource Planner'!$D$66,"")</f>
        <v/>
      </c>
      <c r="E2812" s="163" t="str">
        <f>IF(AND('Resource Planner'!$A$66="☑",8&lt;='Resource Planner'!$N$66),'Resource Planner'!$E$66,"")</f>
        <v/>
      </c>
      <c r="F2812" s="163" t="str">
        <f>IF(AND('Resource Planner'!$A$66="☑",8&lt;='Resource Planner'!$N$66),'Resource Planner'!$F$66&amp;" "&amp;('Resource Planner'!$G$66+(8-1)*'Resource Planner'!$I$66)&amp;IF(('Resource Planner'!$G$66+(8-1)*'Resource Planner'!$I$66)=MIN('Resource Planner'!$G$66+8*'Resource Planner'!$I$66-1,'Resource Planner'!$H$66),"","–"&amp;MIN('Resource Planner'!$G$66+8*'Resource Planner'!$I$66-1,'Resource Planner'!$H$66)),"")</f>
        <v/>
      </c>
      <c r="G2812" s="163" t="s">
        <v>109</v>
      </c>
      <c r="H2812" s="163" t="str">
        <f>IF(AND('Resource Planner'!$A$66="☑",8&lt;='Resource Planner'!$N$66),'Resource Planner'!$M$66,"")</f>
        <v/>
      </c>
    </row>
    <row r="2813" ht="15.75" customHeight="1">
      <c r="A28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3" s="163" t="str">
        <f>IF(AND('Resource Planner'!$A$66="☑",9&lt;='Resource Planner'!$N$66),'Resource Planner'!$C$66,"")</f>
        <v/>
      </c>
      <c r="C2813" s="163" t="str">
        <f>IF(AND('Resource Planner'!$A$66="☑",9&lt;='Resource Planner'!$N$66),'Resource Planner'!$B$66,"")</f>
        <v/>
      </c>
      <c r="D2813" s="163" t="str">
        <f>IF(AND('Resource Planner'!$A$66="☑",9&lt;='Resource Planner'!$N$66),'Resource Planner'!$D$66,"")</f>
        <v/>
      </c>
      <c r="E2813" s="163" t="str">
        <f>IF(AND('Resource Planner'!$A$66="☑",9&lt;='Resource Planner'!$N$66),'Resource Planner'!$E$66,"")</f>
        <v/>
      </c>
      <c r="F2813" s="163" t="str">
        <f>IF(AND('Resource Planner'!$A$66="☑",9&lt;='Resource Planner'!$N$66),'Resource Planner'!$F$66&amp;" "&amp;('Resource Planner'!$G$66+(9-1)*'Resource Planner'!$I$66)&amp;IF(('Resource Planner'!$G$66+(9-1)*'Resource Planner'!$I$66)=MIN('Resource Planner'!$G$66+9*'Resource Planner'!$I$66-1,'Resource Planner'!$H$66),"","–"&amp;MIN('Resource Planner'!$G$66+9*'Resource Planner'!$I$66-1,'Resource Planner'!$H$66)),"")</f>
        <v/>
      </c>
      <c r="G2813" s="163" t="s">
        <v>109</v>
      </c>
      <c r="H2813" s="163" t="str">
        <f>IF(AND('Resource Planner'!$A$66="☑",9&lt;='Resource Planner'!$N$66),'Resource Planner'!$M$66,"")</f>
        <v/>
      </c>
    </row>
    <row r="2814" ht="15.75" customHeight="1">
      <c r="A28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4" s="163" t="str">
        <f>IF(AND('Resource Planner'!$A$66="☑",10&lt;='Resource Planner'!$N$66),'Resource Planner'!$C$66,"")</f>
        <v/>
      </c>
      <c r="C2814" s="163" t="str">
        <f>IF(AND('Resource Planner'!$A$66="☑",10&lt;='Resource Planner'!$N$66),'Resource Planner'!$B$66,"")</f>
        <v/>
      </c>
      <c r="D2814" s="163" t="str">
        <f>IF(AND('Resource Planner'!$A$66="☑",10&lt;='Resource Planner'!$N$66),'Resource Planner'!$D$66,"")</f>
        <v/>
      </c>
      <c r="E2814" s="163" t="str">
        <f>IF(AND('Resource Planner'!$A$66="☑",10&lt;='Resource Planner'!$N$66),'Resource Planner'!$E$66,"")</f>
        <v/>
      </c>
      <c r="F2814" s="163" t="str">
        <f>IF(AND('Resource Planner'!$A$66="☑",10&lt;='Resource Planner'!$N$66),'Resource Planner'!$F$66&amp;" "&amp;('Resource Planner'!$G$66+(10-1)*'Resource Planner'!$I$66)&amp;IF(('Resource Planner'!$G$66+(10-1)*'Resource Planner'!$I$66)=MIN('Resource Planner'!$G$66+10*'Resource Planner'!$I$66-1,'Resource Planner'!$H$66),"","–"&amp;MIN('Resource Planner'!$G$66+10*'Resource Planner'!$I$66-1,'Resource Planner'!$H$66)),"")</f>
        <v/>
      </c>
      <c r="G2814" s="163" t="s">
        <v>109</v>
      </c>
      <c r="H2814" s="163" t="str">
        <f>IF(AND('Resource Planner'!$A$66="☑",10&lt;='Resource Planner'!$N$66),'Resource Planner'!$M$66,"")</f>
        <v/>
      </c>
    </row>
    <row r="2815" ht="15.75" customHeight="1">
      <c r="A28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5" s="163" t="str">
        <f>IF(AND('Resource Planner'!$A$66="☑",11&lt;='Resource Planner'!$N$66),'Resource Planner'!$C$66,"")</f>
        <v/>
      </c>
      <c r="C2815" s="163" t="str">
        <f>IF(AND('Resource Planner'!$A$66="☑",11&lt;='Resource Planner'!$N$66),'Resource Planner'!$B$66,"")</f>
        <v/>
      </c>
      <c r="D2815" s="163" t="str">
        <f>IF(AND('Resource Planner'!$A$66="☑",11&lt;='Resource Planner'!$N$66),'Resource Planner'!$D$66,"")</f>
        <v/>
      </c>
      <c r="E2815" s="163" t="str">
        <f>IF(AND('Resource Planner'!$A$66="☑",11&lt;='Resource Planner'!$N$66),'Resource Planner'!$E$66,"")</f>
        <v/>
      </c>
      <c r="F2815" s="163" t="str">
        <f>IF(AND('Resource Planner'!$A$66="☑",11&lt;='Resource Planner'!$N$66),'Resource Planner'!$F$66&amp;" "&amp;('Resource Planner'!$G$66+(11-1)*'Resource Planner'!$I$66)&amp;IF(('Resource Planner'!$G$66+(11-1)*'Resource Planner'!$I$66)=MIN('Resource Planner'!$G$66+11*'Resource Planner'!$I$66-1,'Resource Planner'!$H$66),"","–"&amp;MIN('Resource Planner'!$G$66+11*'Resource Planner'!$I$66-1,'Resource Planner'!$H$66)),"")</f>
        <v/>
      </c>
      <c r="G2815" s="163" t="s">
        <v>109</v>
      </c>
      <c r="H2815" s="163" t="str">
        <f>IF(AND('Resource Planner'!$A$66="☑",11&lt;='Resource Planner'!$N$66),'Resource Planner'!$M$66,"")</f>
        <v/>
      </c>
    </row>
    <row r="2816" ht="15.75" customHeight="1">
      <c r="A28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6" s="163" t="str">
        <f>IF(AND('Resource Planner'!$A$66="☑",12&lt;='Resource Planner'!$N$66),'Resource Planner'!$C$66,"")</f>
        <v/>
      </c>
      <c r="C2816" s="163" t="str">
        <f>IF(AND('Resource Planner'!$A$66="☑",12&lt;='Resource Planner'!$N$66),'Resource Planner'!$B$66,"")</f>
        <v/>
      </c>
      <c r="D2816" s="163" t="str">
        <f>IF(AND('Resource Planner'!$A$66="☑",12&lt;='Resource Planner'!$N$66),'Resource Planner'!$D$66,"")</f>
        <v/>
      </c>
      <c r="E2816" s="163" t="str">
        <f>IF(AND('Resource Planner'!$A$66="☑",12&lt;='Resource Planner'!$N$66),'Resource Planner'!$E$66,"")</f>
        <v/>
      </c>
      <c r="F2816" s="163" t="str">
        <f>IF(AND('Resource Planner'!$A$66="☑",12&lt;='Resource Planner'!$N$66),'Resource Planner'!$F$66&amp;" "&amp;('Resource Planner'!$G$66+(12-1)*'Resource Planner'!$I$66)&amp;IF(('Resource Planner'!$G$66+(12-1)*'Resource Planner'!$I$66)=MIN('Resource Planner'!$G$66+12*'Resource Planner'!$I$66-1,'Resource Planner'!$H$66),"","–"&amp;MIN('Resource Planner'!$G$66+12*'Resource Planner'!$I$66-1,'Resource Planner'!$H$66)),"")</f>
        <v/>
      </c>
      <c r="G2816" s="163" t="s">
        <v>109</v>
      </c>
      <c r="H2816" s="163" t="str">
        <f>IF(AND('Resource Planner'!$A$66="☑",12&lt;='Resource Planner'!$N$66),'Resource Planner'!$M$66,"")</f>
        <v/>
      </c>
    </row>
    <row r="2817" ht="15.75" customHeight="1">
      <c r="A28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7" s="163" t="str">
        <f>IF(AND('Resource Planner'!$A$66="☑",13&lt;='Resource Planner'!$N$66),'Resource Planner'!$C$66,"")</f>
        <v/>
      </c>
      <c r="C2817" s="163" t="str">
        <f>IF(AND('Resource Planner'!$A$66="☑",13&lt;='Resource Planner'!$N$66),'Resource Planner'!$B$66,"")</f>
        <v/>
      </c>
      <c r="D2817" s="163" t="str">
        <f>IF(AND('Resource Planner'!$A$66="☑",13&lt;='Resource Planner'!$N$66),'Resource Planner'!$D$66,"")</f>
        <v/>
      </c>
      <c r="E2817" s="163" t="str">
        <f>IF(AND('Resource Planner'!$A$66="☑",13&lt;='Resource Planner'!$N$66),'Resource Planner'!$E$66,"")</f>
        <v/>
      </c>
      <c r="F2817" s="163" t="str">
        <f>IF(AND('Resource Planner'!$A$66="☑",13&lt;='Resource Planner'!$N$66),'Resource Planner'!$F$66&amp;" "&amp;('Resource Planner'!$G$66+(13-1)*'Resource Planner'!$I$66)&amp;IF(('Resource Planner'!$G$66+(13-1)*'Resource Planner'!$I$66)=MIN('Resource Planner'!$G$66+13*'Resource Planner'!$I$66-1,'Resource Planner'!$H$66),"","–"&amp;MIN('Resource Planner'!$G$66+13*'Resource Planner'!$I$66-1,'Resource Planner'!$H$66)),"")</f>
        <v/>
      </c>
      <c r="G2817" s="163" t="s">
        <v>109</v>
      </c>
      <c r="H2817" s="163" t="str">
        <f>IF(AND('Resource Planner'!$A$66="☑",13&lt;='Resource Planner'!$N$66),'Resource Planner'!$M$66,"")</f>
        <v/>
      </c>
    </row>
    <row r="2818" ht="15.75" customHeight="1">
      <c r="A28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8" s="163" t="str">
        <f>IF(AND('Resource Planner'!$A$66="☑",14&lt;='Resource Planner'!$N$66),'Resource Planner'!$C$66,"")</f>
        <v/>
      </c>
      <c r="C2818" s="163" t="str">
        <f>IF(AND('Resource Planner'!$A$66="☑",14&lt;='Resource Planner'!$N$66),'Resource Planner'!$B$66,"")</f>
        <v/>
      </c>
      <c r="D2818" s="163" t="str">
        <f>IF(AND('Resource Planner'!$A$66="☑",14&lt;='Resource Planner'!$N$66),'Resource Planner'!$D$66,"")</f>
        <v/>
      </c>
      <c r="E2818" s="163" t="str">
        <f>IF(AND('Resource Planner'!$A$66="☑",14&lt;='Resource Planner'!$N$66),'Resource Planner'!$E$66,"")</f>
        <v/>
      </c>
      <c r="F2818" s="163" t="str">
        <f>IF(AND('Resource Planner'!$A$66="☑",14&lt;='Resource Planner'!$N$66),'Resource Planner'!$F$66&amp;" "&amp;('Resource Planner'!$G$66+(14-1)*'Resource Planner'!$I$66)&amp;IF(('Resource Planner'!$G$66+(14-1)*'Resource Planner'!$I$66)=MIN('Resource Planner'!$G$66+14*'Resource Planner'!$I$66-1,'Resource Planner'!$H$66),"","–"&amp;MIN('Resource Planner'!$G$66+14*'Resource Planner'!$I$66-1,'Resource Planner'!$H$66)),"")</f>
        <v/>
      </c>
      <c r="G2818" s="163" t="s">
        <v>109</v>
      </c>
      <c r="H2818" s="163" t="str">
        <f>IF(AND('Resource Planner'!$A$66="☑",14&lt;='Resource Planner'!$N$66),'Resource Planner'!$M$66,"")</f>
        <v/>
      </c>
    </row>
    <row r="2819" ht="15.75" customHeight="1">
      <c r="A28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19" s="163" t="str">
        <f>IF(AND('Resource Planner'!$A$66="☑",15&lt;='Resource Planner'!$N$66),'Resource Planner'!$C$66,"")</f>
        <v/>
      </c>
      <c r="C2819" s="163" t="str">
        <f>IF(AND('Resource Planner'!$A$66="☑",15&lt;='Resource Planner'!$N$66),'Resource Planner'!$B$66,"")</f>
        <v/>
      </c>
      <c r="D2819" s="163" t="str">
        <f>IF(AND('Resource Planner'!$A$66="☑",15&lt;='Resource Planner'!$N$66),'Resource Planner'!$D$66,"")</f>
        <v/>
      </c>
      <c r="E2819" s="163" t="str">
        <f>IF(AND('Resource Planner'!$A$66="☑",15&lt;='Resource Planner'!$N$66),'Resource Planner'!$E$66,"")</f>
        <v/>
      </c>
      <c r="F2819" s="163" t="str">
        <f>IF(AND('Resource Planner'!$A$66="☑",15&lt;='Resource Planner'!$N$66),'Resource Planner'!$F$66&amp;" "&amp;('Resource Planner'!$G$66+(15-1)*'Resource Planner'!$I$66)&amp;IF(('Resource Planner'!$G$66+(15-1)*'Resource Planner'!$I$66)=MIN('Resource Planner'!$G$66+15*'Resource Planner'!$I$66-1,'Resource Planner'!$H$66),"","–"&amp;MIN('Resource Planner'!$G$66+15*'Resource Planner'!$I$66-1,'Resource Planner'!$H$66)),"")</f>
        <v/>
      </c>
      <c r="G2819" s="163" t="s">
        <v>109</v>
      </c>
      <c r="H2819" s="163" t="str">
        <f>IF(AND('Resource Planner'!$A$66="☑",15&lt;='Resource Planner'!$N$66),'Resource Planner'!$M$66,"")</f>
        <v/>
      </c>
    </row>
    <row r="2820" ht="15.75" customHeight="1">
      <c r="A28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0" s="163" t="str">
        <f>IF(AND('Resource Planner'!$A$66="☑",16&lt;='Resource Planner'!$N$66),'Resource Planner'!$C$66,"")</f>
        <v/>
      </c>
      <c r="C2820" s="163" t="str">
        <f>IF(AND('Resource Planner'!$A$66="☑",16&lt;='Resource Planner'!$N$66),'Resource Planner'!$B$66,"")</f>
        <v/>
      </c>
      <c r="D2820" s="163" t="str">
        <f>IF(AND('Resource Planner'!$A$66="☑",16&lt;='Resource Planner'!$N$66),'Resource Planner'!$D$66,"")</f>
        <v/>
      </c>
      <c r="E2820" s="163" t="str">
        <f>IF(AND('Resource Planner'!$A$66="☑",16&lt;='Resource Planner'!$N$66),'Resource Planner'!$E$66,"")</f>
        <v/>
      </c>
      <c r="F2820" s="163" t="str">
        <f>IF(AND('Resource Planner'!$A$66="☑",16&lt;='Resource Planner'!$N$66),'Resource Planner'!$F$66&amp;" "&amp;('Resource Planner'!$G$66+(16-1)*'Resource Planner'!$I$66)&amp;IF(('Resource Planner'!$G$66+(16-1)*'Resource Planner'!$I$66)=MIN('Resource Planner'!$G$66+16*'Resource Planner'!$I$66-1,'Resource Planner'!$H$66),"","–"&amp;MIN('Resource Planner'!$G$66+16*'Resource Planner'!$I$66-1,'Resource Planner'!$H$66)),"")</f>
        <v/>
      </c>
      <c r="G2820" s="163" t="s">
        <v>109</v>
      </c>
      <c r="H2820" s="163" t="str">
        <f>IF(AND('Resource Planner'!$A$66="☑",16&lt;='Resource Planner'!$N$66),'Resource Planner'!$M$66,"")</f>
        <v/>
      </c>
    </row>
    <row r="2821" ht="15.75" customHeight="1">
      <c r="A28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1" s="163" t="str">
        <f>IF(AND('Resource Planner'!$A$66="☑",17&lt;='Resource Planner'!$N$66),'Resource Planner'!$C$66,"")</f>
        <v/>
      </c>
      <c r="C2821" s="163" t="str">
        <f>IF(AND('Resource Planner'!$A$66="☑",17&lt;='Resource Planner'!$N$66),'Resource Planner'!$B$66,"")</f>
        <v/>
      </c>
      <c r="D2821" s="163" t="str">
        <f>IF(AND('Resource Planner'!$A$66="☑",17&lt;='Resource Planner'!$N$66),'Resource Planner'!$D$66,"")</f>
        <v/>
      </c>
      <c r="E2821" s="163" t="str">
        <f>IF(AND('Resource Planner'!$A$66="☑",17&lt;='Resource Planner'!$N$66),'Resource Planner'!$E$66,"")</f>
        <v/>
      </c>
      <c r="F2821" s="163" t="str">
        <f>IF(AND('Resource Planner'!$A$66="☑",17&lt;='Resource Planner'!$N$66),'Resource Planner'!$F$66&amp;" "&amp;('Resource Planner'!$G$66+(17-1)*'Resource Planner'!$I$66)&amp;IF(('Resource Planner'!$G$66+(17-1)*'Resource Planner'!$I$66)=MIN('Resource Planner'!$G$66+17*'Resource Planner'!$I$66-1,'Resource Planner'!$H$66),"","–"&amp;MIN('Resource Planner'!$G$66+17*'Resource Planner'!$I$66-1,'Resource Planner'!$H$66)),"")</f>
        <v/>
      </c>
      <c r="G2821" s="163" t="s">
        <v>109</v>
      </c>
      <c r="H2821" s="163" t="str">
        <f>IF(AND('Resource Planner'!$A$66="☑",17&lt;='Resource Planner'!$N$66),'Resource Planner'!$M$66,"")</f>
        <v/>
      </c>
    </row>
    <row r="2822" ht="15.75" customHeight="1">
      <c r="A28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2" s="163" t="str">
        <f>IF(AND('Resource Planner'!$A$66="☑",18&lt;='Resource Planner'!$N$66),'Resource Planner'!$C$66,"")</f>
        <v/>
      </c>
      <c r="C2822" s="163" t="str">
        <f>IF(AND('Resource Planner'!$A$66="☑",18&lt;='Resource Planner'!$N$66),'Resource Planner'!$B$66,"")</f>
        <v/>
      </c>
      <c r="D2822" s="163" t="str">
        <f>IF(AND('Resource Planner'!$A$66="☑",18&lt;='Resource Planner'!$N$66),'Resource Planner'!$D$66,"")</f>
        <v/>
      </c>
      <c r="E2822" s="163" t="str">
        <f>IF(AND('Resource Planner'!$A$66="☑",18&lt;='Resource Planner'!$N$66),'Resource Planner'!$E$66,"")</f>
        <v/>
      </c>
      <c r="F2822" s="163" t="str">
        <f>IF(AND('Resource Planner'!$A$66="☑",18&lt;='Resource Planner'!$N$66),'Resource Planner'!$F$66&amp;" "&amp;('Resource Planner'!$G$66+(18-1)*'Resource Planner'!$I$66)&amp;IF(('Resource Planner'!$G$66+(18-1)*'Resource Planner'!$I$66)=MIN('Resource Planner'!$G$66+18*'Resource Planner'!$I$66-1,'Resource Planner'!$H$66),"","–"&amp;MIN('Resource Planner'!$G$66+18*'Resource Planner'!$I$66-1,'Resource Planner'!$H$66)),"")</f>
        <v/>
      </c>
      <c r="G2822" s="163" t="s">
        <v>109</v>
      </c>
      <c r="H2822" s="163" t="str">
        <f>IF(AND('Resource Planner'!$A$66="☑",18&lt;='Resource Planner'!$N$66),'Resource Planner'!$M$66,"")</f>
        <v/>
      </c>
    </row>
    <row r="2823" ht="15.75" customHeight="1">
      <c r="A28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3" s="163" t="str">
        <f>IF(AND('Resource Planner'!$A$66="☑",19&lt;='Resource Planner'!$N$66),'Resource Planner'!$C$66,"")</f>
        <v/>
      </c>
      <c r="C2823" s="163" t="str">
        <f>IF(AND('Resource Planner'!$A$66="☑",19&lt;='Resource Planner'!$N$66),'Resource Planner'!$B$66,"")</f>
        <v/>
      </c>
      <c r="D2823" s="163" t="str">
        <f>IF(AND('Resource Planner'!$A$66="☑",19&lt;='Resource Planner'!$N$66),'Resource Planner'!$D$66,"")</f>
        <v/>
      </c>
      <c r="E2823" s="163" t="str">
        <f>IF(AND('Resource Planner'!$A$66="☑",19&lt;='Resource Planner'!$N$66),'Resource Planner'!$E$66,"")</f>
        <v/>
      </c>
      <c r="F2823" s="163" t="str">
        <f>IF(AND('Resource Planner'!$A$66="☑",19&lt;='Resource Planner'!$N$66),'Resource Planner'!$F$66&amp;" "&amp;('Resource Planner'!$G$66+(19-1)*'Resource Planner'!$I$66)&amp;IF(('Resource Planner'!$G$66+(19-1)*'Resource Planner'!$I$66)=MIN('Resource Planner'!$G$66+19*'Resource Planner'!$I$66-1,'Resource Planner'!$H$66),"","–"&amp;MIN('Resource Planner'!$G$66+19*'Resource Planner'!$I$66-1,'Resource Planner'!$H$66)),"")</f>
        <v/>
      </c>
      <c r="G2823" s="163" t="s">
        <v>109</v>
      </c>
      <c r="H2823" s="163" t="str">
        <f>IF(AND('Resource Planner'!$A$66="☑",19&lt;='Resource Planner'!$N$66),'Resource Planner'!$M$66,"")</f>
        <v/>
      </c>
    </row>
    <row r="2824" ht="15.75" customHeight="1">
      <c r="A28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4" s="163" t="str">
        <f>IF(AND('Resource Planner'!$A$66="☑",20&lt;='Resource Planner'!$N$66),'Resource Planner'!$C$66,"")</f>
        <v/>
      </c>
      <c r="C2824" s="163" t="str">
        <f>IF(AND('Resource Planner'!$A$66="☑",20&lt;='Resource Planner'!$N$66),'Resource Planner'!$B$66,"")</f>
        <v/>
      </c>
      <c r="D2824" s="163" t="str">
        <f>IF(AND('Resource Planner'!$A$66="☑",20&lt;='Resource Planner'!$N$66),'Resource Planner'!$D$66,"")</f>
        <v/>
      </c>
      <c r="E2824" s="163" t="str">
        <f>IF(AND('Resource Planner'!$A$66="☑",20&lt;='Resource Planner'!$N$66),'Resource Planner'!$E$66,"")</f>
        <v/>
      </c>
      <c r="F2824" s="163" t="str">
        <f>IF(AND('Resource Planner'!$A$66="☑",20&lt;='Resource Planner'!$N$66),'Resource Planner'!$F$66&amp;" "&amp;('Resource Planner'!$G$66+(20-1)*'Resource Planner'!$I$66)&amp;IF(('Resource Planner'!$G$66+(20-1)*'Resource Planner'!$I$66)=MIN('Resource Planner'!$G$66+20*'Resource Planner'!$I$66-1,'Resource Planner'!$H$66),"","–"&amp;MIN('Resource Planner'!$G$66+20*'Resource Planner'!$I$66-1,'Resource Planner'!$H$66)),"")</f>
        <v/>
      </c>
      <c r="G2824" s="163" t="s">
        <v>109</v>
      </c>
      <c r="H2824" s="163" t="str">
        <f>IF(AND('Resource Planner'!$A$66="☑",20&lt;='Resource Planner'!$N$66),'Resource Planner'!$M$66,"")</f>
        <v/>
      </c>
    </row>
    <row r="2825" ht="15.75" customHeight="1">
      <c r="A28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5" s="163" t="str">
        <f>IF(AND('Resource Planner'!$A$66="☑",21&lt;='Resource Planner'!$N$66),'Resource Planner'!$C$66,"")</f>
        <v/>
      </c>
      <c r="C2825" s="163" t="str">
        <f>IF(AND('Resource Planner'!$A$66="☑",21&lt;='Resource Planner'!$N$66),'Resource Planner'!$B$66,"")</f>
        <v/>
      </c>
      <c r="D2825" s="163" t="str">
        <f>IF(AND('Resource Planner'!$A$66="☑",21&lt;='Resource Planner'!$N$66),'Resource Planner'!$D$66,"")</f>
        <v/>
      </c>
      <c r="E2825" s="163" t="str">
        <f>IF(AND('Resource Planner'!$A$66="☑",21&lt;='Resource Planner'!$N$66),'Resource Planner'!$E$66,"")</f>
        <v/>
      </c>
      <c r="F2825" s="163" t="str">
        <f>IF(AND('Resource Planner'!$A$66="☑",21&lt;='Resource Planner'!$N$66),'Resource Planner'!$F$66&amp;" "&amp;('Resource Planner'!$G$66+(21-1)*'Resource Planner'!$I$66)&amp;IF(('Resource Planner'!$G$66+(21-1)*'Resource Planner'!$I$66)=MIN('Resource Planner'!$G$66+21*'Resource Planner'!$I$66-1,'Resource Planner'!$H$66),"","–"&amp;MIN('Resource Planner'!$G$66+21*'Resource Planner'!$I$66-1,'Resource Planner'!$H$66)),"")</f>
        <v/>
      </c>
      <c r="G2825" s="163" t="s">
        <v>109</v>
      </c>
      <c r="H2825" s="163" t="str">
        <f>IF(AND('Resource Planner'!$A$66="☑",21&lt;='Resource Planner'!$N$66),'Resource Planner'!$M$66,"")</f>
        <v/>
      </c>
    </row>
    <row r="2826" ht="15.75" customHeight="1">
      <c r="A28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6" s="163" t="str">
        <f>IF(AND('Resource Planner'!$A$66="☑",22&lt;='Resource Planner'!$N$66),'Resource Planner'!$C$66,"")</f>
        <v/>
      </c>
      <c r="C2826" s="163" t="str">
        <f>IF(AND('Resource Planner'!$A$66="☑",22&lt;='Resource Planner'!$N$66),'Resource Planner'!$B$66,"")</f>
        <v/>
      </c>
      <c r="D2826" s="163" t="str">
        <f>IF(AND('Resource Planner'!$A$66="☑",22&lt;='Resource Planner'!$N$66),'Resource Planner'!$D$66,"")</f>
        <v/>
      </c>
      <c r="E2826" s="163" t="str">
        <f>IF(AND('Resource Planner'!$A$66="☑",22&lt;='Resource Planner'!$N$66),'Resource Planner'!$E$66,"")</f>
        <v/>
      </c>
      <c r="F2826" s="163" t="str">
        <f>IF(AND('Resource Planner'!$A$66="☑",22&lt;='Resource Planner'!$N$66),'Resource Planner'!$F$66&amp;" "&amp;('Resource Planner'!$G$66+(22-1)*'Resource Planner'!$I$66)&amp;IF(('Resource Planner'!$G$66+(22-1)*'Resource Planner'!$I$66)=MIN('Resource Planner'!$G$66+22*'Resource Planner'!$I$66-1,'Resource Planner'!$H$66),"","–"&amp;MIN('Resource Planner'!$G$66+22*'Resource Planner'!$I$66-1,'Resource Planner'!$H$66)),"")</f>
        <v/>
      </c>
      <c r="G2826" s="163" t="s">
        <v>109</v>
      </c>
      <c r="H2826" s="163" t="str">
        <f>IF(AND('Resource Planner'!$A$66="☑",22&lt;='Resource Planner'!$N$66),'Resource Planner'!$M$66,"")</f>
        <v/>
      </c>
    </row>
    <row r="2827" ht="15.75" customHeight="1">
      <c r="A28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7" s="163" t="str">
        <f>IF(AND('Resource Planner'!$A$66="☑",23&lt;='Resource Planner'!$N$66),'Resource Planner'!$C$66,"")</f>
        <v/>
      </c>
      <c r="C2827" s="163" t="str">
        <f>IF(AND('Resource Planner'!$A$66="☑",23&lt;='Resource Planner'!$N$66),'Resource Planner'!$B$66,"")</f>
        <v/>
      </c>
      <c r="D2827" s="163" t="str">
        <f>IF(AND('Resource Planner'!$A$66="☑",23&lt;='Resource Planner'!$N$66),'Resource Planner'!$D$66,"")</f>
        <v/>
      </c>
      <c r="E2827" s="163" t="str">
        <f>IF(AND('Resource Planner'!$A$66="☑",23&lt;='Resource Planner'!$N$66),'Resource Planner'!$E$66,"")</f>
        <v/>
      </c>
      <c r="F2827" s="163" t="str">
        <f>IF(AND('Resource Planner'!$A$66="☑",23&lt;='Resource Planner'!$N$66),'Resource Planner'!$F$66&amp;" "&amp;('Resource Planner'!$G$66+(23-1)*'Resource Planner'!$I$66)&amp;IF(('Resource Planner'!$G$66+(23-1)*'Resource Planner'!$I$66)=MIN('Resource Planner'!$G$66+23*'Resource Planner'!$I$66-1,'Resource Planner'!$H$66),"","–"&amp;MIN('Resource Planner'!$G$66+23*'Resource Planner'!$I$66-1,'Resource Planner'!$H$66)),"")</f>
        <v/>
      </c>
      <c r="G2827" s="163" t="s">
        <v>109</v>
      </c>
      <c r="H2827" s="163" t="str">
        <f>IF(AND('Resource Planner'!$A$66="☑",23&lt;='Resource Planner'!$N$66),'Resource Planner'!$M$66,"")</f>
        <v/>
      </c>
    </row>
    <row r="2828" ht="15.75" customHeight="1">
      <c r="A28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8" s="163" t="str">
        <f>IF(AND('Resource Planner'!$A$66="☑",24&lt;='Resource Planner'!$N$66),'Resource Planner'!$C$66,"")</f>
        <v/>
      </c>
      <c r="C2828" s="163" t="str">
        <f>IF(AND('Resource Planner'!$A$66="☑",24&lt;='Resource Planner'!$N$66),'Resource Planner'!$B$66,"")</f>
        <v/>
      </c>
      <c r="D2828" s="163" t="str">
        <f>IF(AND('Resource Planner'!$A$66="☑",24&lt;='Resource Planner'!$N$66),'Resource Planner'!$D$66,"")</f>
        <v/>
      </c>
      <c r="E2828" s="163" t="str">
        <f>IF(AND('Resource Planner'!$A$66="☑",24&lt;='Resource Planner'!$N$66),'Resource Planner'!$E$66,"")</f>
        <v/>
      </c>
      <c r="F2828" s="163" t="str">
        <f>IF(AND('Resource Planner'!$A$66="☑",24&lt;='Resource Planner'!$N$66),'Resource Planner'!$F$66&amp;" "&amp;('Resource Planner'!$G$66+(24-1)*'Resource Planner'!$I$66)&amp;IF(('Resource Planner'!$G$66+(24-1)*'Resource Planner'!$I$66)=MIN('Resource Planner'!$G$66+24*'Resource Planner'!$I$66-1,'Resource Planner'!$H$66),"","–"&amp;MIN('Resource Planner'!$G$66+24*'Resource Planner'!$I$66-1,'Resource Planner'!$H$66)),"")</f>
        <v/>
      </c>
      <c r="G2828" s="163" t="s">
        <v>109</v>
      </c>
      <c r="H2828" s="163" t="str">
        <f>IF(AND('Resource Planner'!$A$66="☑",24&lt;='Resource Planner'!$N$66),'Resource Planner'!$M$66,"")</f>
        <v/>
      </c>
    </row>
    <row r="2829" ht="15.75" customHeight="1">
      <c r="A28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29" s="163" t="str">
        <f>IF(AND('Resource Planner'!$A$66="☑",25&lt;='Resource Planner'!$N$66),'Resource Planner'!$C$66,"")</f>
        <v/>
      </c>
      <c r="C2829" s="163" t="str">
        <f>IF(AND('Resource Planner'!$A$66="☑",25&lt;='Resource Planner'!$N$66),'Resource Planner'!$B$66,"")</f>
        <v/>
      </c>
      <c r="D2829" s="163" t="str">
        <f>IF(AND('Resource Planner'!$A$66="☑",25&lt;='Resource Planner'!$N$66),'Resource Planner'!$D$66,"")</f>
        <v/>
      </c>
      <c r="E2829" s="163" t="str">
        <f>IF(AND('Resource Planner'!$A$66="☑",25&lt;='Resource Planner'!$N$66),'Resource Planner'!$E$66,"")</f>
        <v/>
      </c>
      <c r="F2829" s="163" t="str">
        <f>IF(AND('Resource Planner'!$A$66="☑",25&lt;='Resource Planner'!$N$66),'Resource Planner'!$F$66&amp;" "&amp;('Resource Planner'!$G$66+(25-1)*'Resource Planner'!$I$66)&amp;IF(('Resource Planner'!$G$66+(25-1)*'Resource Planner'!$I$66)=MIN('Resource Planner'!$G$66+25*'Resource Planner'!$I$66-1,'Resource Planner'!$H$66),"","–"&amp;MIN('Resource Planner'!$G$66+25*'Resource Planner'!$I$66-1,'Resource Planner'!$H$66)),"")</f>
        <v/>
      </c>
      <c r="G2829" s="163" t="s">
        <v>109</v>
      </c>
      <c r="H2829" s="163" t="str">
        <f>IF(AND('Resource Planner'!$A$66="☑",25&lt;='Resource Planner'!$N$66),'Resource Planner'!$M$66,"")</f>
        <v/>
      </c>
    </row>
    <row r="2830" ht="15.75" customHeight="1">
      <c r="A28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0" s="163" t="str">
        <f>IF(AND('Resource Planner'!$A$66="☑",26&lt;='Resource Planner'!$N$66),'Resource Planner'!$C$66,"")</f>
        <v/>
      </c>
      <c r="C2830" s="163" t="str">
        <f>IF(AND('Resource Planner'!$A$66="☑",26&lt;='Resource Planner'!$N$66),'Resource Planner'!$B$66,"")</f>
        <v/>
      </c>
      <c r="D2830" s="163" t="str">
        <f>IF(AND('Resource Planner'!$A$66="☑",26&lt;='Resource Planner'!$N$66),'Resource Planner'!$D$66,"")</f>
        <v/>
      </c>
      <c r="E2830" s="163" t="str">
        <f>IF(AND('Resource Planner'!$A$66="☑",26&lt;='Resource Planner'!$N$66),'Resource Planner'!$E$66,"")</f>
        <v/>
      </c>
      <c r="F2830" s="163" t="str">
        <f>IF(AND('Resource Planner'!$A$66="☑",26&lt;='Resource Planner'!$N$66),'Resource Planner'!$F$66&amp;" "&amp;('Resource Planner'!$G$66+(26-1)*'Resource Planner'!$I$66)&amp;IF(('Resource Planner'!$G$66+(26-1)*'Resource Planner'!$I$66)=MIN('Resource Planner'!$G$66+26*'Resource Planner'!$I$66-1,'Resource Planner'!$H$66),"","–"&amp;MIN('Resource Planner'!$G$66+26*'Resource Planner'!$I$66-1,'Resource Planner'!$H$66)),"")</f>
        <v/>
      </c>
      <c r="G2830" s="163" t="s">
        <v>109</v>
      </c>
      <c r="H2830" s="163" t="str">
        <f>IF(AND('Resource Planner'!$A$66="☑",26&lt;='Resource Planner'!$N$66),'Resource Planner'!$M$66,"")</f>
        <v/>
      </c>
    </row>
    <row r="2831" ht="15.75" customHeight="1">
      <c r="A28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1" s="163" t="str">
        <f>IF(AND('Resource Planner'!$A$66="☑",27&lt;='Resource Planner'!$N$66),'Resource Planner'!$C$66,"")</f>
        <v/>
      </c>
      <c r="C2831" s="163" t="str">
        <f>IF(AND('Resource Planner'!$A$66="☑",27&lt;='Resource Planner'!$N$66),'Resource Planner'!$B$66,"")</f>
        <v/>
      </c>
      <c r="D2831" s="163" t="str">
        <f>IF(AND('Resource Planner'!$A$66="☑",27&lt;='Resource Planner'!$N$66),'Resource Planner'!$D$66,"")</f>
        <v/>
      </c>
      <c r="E2831" s="163" t="str">
        <f>IF(AND('Resource Planner'!$A$66="☑",27&lt;='Resource Planner'!$N$66),'Resource Planner'!$E$66,"")</f>
        <v/>
      </c>
      <c r="F2831" s="163" t="str">
        <f>IF(AND('Resource Planner'!$A$66="☑",27&lt;='Resource Planner'!$N$66),'Resource Planner'!$F$66&amp;" "&amp;('Resource Planner'!$G$66+(27-1)*'Resource Planner'!$I$66)&amp;IF(('Resource Planner'!$G$66+(27-1)*'Resource Planner'!$I$66)=MIN('Resource Planner'!$G$66+27*'Resource Planner'!$I$66-1,'Resource Planner'!$H$66),"","–"&amp;MIN('Resource Planner'!$G$66+27*'Resource Planner'!$I$66-1,'Resource Planner'!$H$66)),"")</f>
        <v/>
      </c>
      <c r="G2831" s="163" t="s">
        <v>109</v>
      </c>
      <c r="H2831" s="163" t="str">
        <f>IF(AND('Resource Planner'!$A$66="☑",27&lt;='Resource Planner'!$N$66),'Resource Planner'!$M$66,"")</f>
        <v/>
      </c>
    </row>
    <row r="2832" ht="15.75" customHeight="1">
      <c r="A28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2" s="163" t="str">
        <f>IF(AND('Resource Planner'!$A$66="☑",28&lt;='Resource Planner'!$N$66),'Resource Planner'!$C$66,"")</f>
        <v/>
      </c>
      <c r="C2832" s="163" t="str">
        <f>IF(AND('Resource Planner'!$A$66="☑",28&lt;='Resource Planner'!$N$66),'Resource Planner'!$B$66,"")</f>
        <v/>
      </c>
      <c r="D2832" s="163" t="str">
        <f>IF(AND('Resource Planner'!$A$66="☑",28&lt;='Resource Planner'!$N$66),'Resource Planner'!$D$66,"")</f>
        <v/>
      </c>
      <c r="E2832" s="163" t="str">
        <f>IF(AND('Resource Planner'!$A$66="☑",28&lt;='Resource Planner'!$N$66),'Resource Planner'!$E$66,"")</f>
        <v/>
      </c>
      <c r="F2832" s="163" t="str">
        <f>IF(AND('Resource Planner'!$A$66="☑",28&lt;='Resource Planner'!$N$66),'Resource Planner'!$F$66&amp;" "&amp;('Resource Planner'!$G$66+(28-1)*'Resource Planner'!$I$66)&amp;IF(('Resource Planner'!$G$66+(28-1)*'Resource Planner'!$I$66)=MIN('Resource Planner'!$G$66+28*'Resource Planner'!$I$66-1,'Resource Planner'!$H$66),"","–"&amp;MIN('Resource Planner'!$G$66+28*'Resource Planner'!$I$66-1,'Resource Planner'!$H$66)),"")</f>
        <v/>
      </c>
      <c r="G2832" s="163" t="s">
        <v>109</v>
      </c>
      <c r="H2832" s="163" t="str">
        <f>IF(AND('Resource Planner'!$A$66="☑",28&lt;='Resource Planner'!$N$66),'Resource Planner'!$M$66,"")</f>
        <v/>
      </c>
    </row>
    <row r="2833" ht="15.75" customHeight="1">
      <c r="A28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3" s="163" t="str">
        <f>IF(AND('Resource Planner'!$A$66="☑",29&lt;='Resource Planner'!$N$66),'Resource Planner'!$C$66,"")</f>
        <v/>
      </c>
      <c r="C2833" s="163" t="str">
        <f>IF(AND('Resource Planner'!$A$66="☑",29&lt;='Resource Planner'!$N$66),'Resource Planner'!$B$66,"")</f>
        <v/>
      </c>
      <c r="D2833" s="163" t="str">
        <f>IF(AND('Resource Planner'!$A$66="☑",29&lt;='Resource Planner'!$N$66),'Resource Planner'!$D$66,"")</f>
        <v/>
      </c>
      <c r="E2833" s="163" t="str">
        <f>IF(AND('Resource Planner'!$A$66="☑",29&lt;='Resource Planner'!$N$66),'Resource Planner'!$E$66,"")</f>
        <v/>
      </c>
      <c r="F2833" s="163" t="str">
        <f>IF(AND('Resource Planner'!$A$66="☑",29&lt;='Resource Planner'!$N$66),'Resource Planner'!$F$66&amp;" "&amp;('Resource Planner'!$G$66+(29-1)*'Resource Planner'!$I$66)&amp;IF(('Resource Planner'!$G$66+(29-1)*'Resource Planner'!$I$66)=MIN('Resource Planner'!$G$66+29*'Resource Planner'!$I$66-1,'Resource Planner'!$H$66),"","–"&amp;MIN('Resource Planner'!$G$66+29*'Resource Planner'!$I$66-1,'Resource Planner'!$H$66)),"")</f>
        <v/>
      </c>
      <c r="G2833" s="163" t="s">
        <v>109</v>
      </c>
      <c r="H2833" s="163" t="str">
        <f>IF(AND('Resource Planner'!$A$66="☑",29&lt;='Resource Planner'!$N$66),'Resource Planner'!$M$66,"")</f>
        <v/>
      </c>
    </row>
    <row r="2834" ht="15.75" customHeight="1">
      <c r="A28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4" s="163" t="str">
        <f>IF(AND('Resource Planner'!$A$66="☑",30&lt;='Resource Planner'!$N$66),'Resource Planner'!$C$66,"")</f>
        <v/>
      </c>
      <c r="C2834" s="163" t="str">
        <f>IF(AND('Resource Planner'!$A$66="☑",30&lt;='Resource Planner'!$N$66),'Resource Planner'!$B$66,"")</f>
        <v/>
      </c>
      <c r="D2834" s="163" t="str">
        <f>IF(AND('Resource Planner'!$A$66="☑",30&lt;='Resource Planner'!$N$66),'Resource Planner'!$D$66,"")</f>
        <v/>
      </c>
      <c r="E2834" s="163" t="str">
        <f>IF(AND('Resource Planner'!$A$66="☑",30&lt;='Resource Planner'!$N$66),'Resource Planner'!$E$66,"")</f>
        <v/>
      </c>
      <c r="F2834" s="163" t="str">
        <f>IF(AND('Resource Planner'!$A$66="☑",30&lt;='Resource Planner'!$N$66),'Resource Planner'!$F$66&amp;" "&amp;('Resource Planner'!$G$66+(30-1)*'Resource Planner'!$I$66)&amp;IF(('Resource Planner'!$G$66+(30-1)*'Resource Planner'!$I$66)=MIN('Resource Planner'!$G$66+30*'Resource Planner'!$I$66-1,'Resource Planner'!$H$66),"","–"&amp;MIN('Resource Planner'!$G$66+30*'Resource Planner'!$I$66-1,'Resource Planner'!$H$66)),"")</f>
        <v/>
      </c>
      <c r="G2834" s="163" t="s">
        <v>109</v>
      </c>
      <c r="H2834" s="163" t="str">
        <f>IF(AND('Resource Planner'!$A$66="☑",30&lt;='Resource Planner'!$N$66),'Resource Planner'!$M$66,"")</f>
        <v/>
      </c>
    </row>
    <row r="2835" ht="15.75" customHeight="1">
      <c r="A28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5" s="163" t="str">
        <f>IF(AND('Resource Planner'!$A$66="☑",31&lt;='Resource Planner'!$N$66),'Resource Planner'!$C$66,"")</f>
        <v/>
      </c>
      <c r="C2835" s="163" t="str">
        <f>IF(AND('Resource Planner'!$A$66="☑",31&lt;='Resource Planner'!$N$66),'Resource Planner'!$B$66,"")</f>
        <v/>
      </c>
      <c r="D2835" s="163" t="str">
        <f>IF(AND('Resource Planner'!$A$66="☑",31&lt;='Resource Planner'!$N$66),'Resource Planner'!$D$66,"")</f>
        <v/>
      </c>
      <c r="E2835" s="163" t="str">
        <f>IF(AND('Resource Planner'!$A$66="☑",31&lt;='Resource Planner'!$N$66),'Resource Planner'!$E$66,"")</f>
        <v/>
      </c>
      <c r="F2835" s="163" t="str">
        <f>IF(AND('Resource Planner'!$A$66="☑",31&lt;='Resource Planner'!$N$66),'Resource Planner'!$F$66&amp;" "&amp;('Resource Planner'!$G$66+(31-1)*'Resource Planner'!$I$66)&amp;IF(('Resource Planner'!$G$66+(31-1)*'Resource Planner'!$I$66)=MIN('Resource Planner'!$G$66+31*'Resource Planner'!$I$66-1,'Resource Planner'!$H$66),"","–"&amp;MIN('Resource Planner'!$G$66+31*'Resource Planner'!$I$66-1,'Resource Planner'!$H$66)),"")</f>
        <v/>
      </c>
      <c r="G2835" s="163" t="s">
        <v>109</v>
      </c>
      <c r="H2835" s="163" t="str">
        <f>IF(AND('Resource Planner'!$A$66="☑",31&lt;='Resource Planner'!$N$66),'Resource Planner'!$M$66,"")</f>
        <v/>
      </c>
    </row>
    <row r="2836" ht="15.75" customHeight="1">
      <c r="A28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6" s="163" t="str">
        <f>IF(AND('Resource Planner'!$A$66="☑",32&lt;='Resource Planner'!$N$66),'Resource Planner'!$C$66,"")</f>
        <v/>
      </c>
      <c r="C2836" s="163" t="str">
        <f>IF(AND('Resource Planner'!$A$66="☑",32&lt;='Resource Planner'!$N$66),'Resource Planner'!$B$66,"")</f>
        <v/>
      </c>
      <c r="D2836" s="163" t="str">
        <f>IF(AND('Resource Planner'!$A$66="☑",32&lt;='Resource Planner'!$N$66),'Resource Planner'!$D$66,"")</f>
        <v/>
      </c>
      <c r="E2836" s="163" t="str">
        <f>IF(AND('Resource Planner'!$A$66="☑",32&lt;='Resource Planner'!$N$66),'Resource Planner'!$E$66,"")</f>
        <v/>
      </c>
      <c r="F2836" s="163" t="str">
        <f>IF(AND('Resource Planner'!$A$66="☑",32&lt;='Resource Planner'!$N$66),'Resource Planner'!$F$66&amp;" "&amp;('Resource Planner'!$G$66+(32-1)*'Resource Planner'!$I$66)&amp;IF(('Resource Planner'!$G$66+(32-1)*'Resource Planner'!$I$66)=MIN('Resource Planner'!$G$66+32*'Resource Planner'!$I$66-1,'Resource Planner'!$H$66),"","–"&amp;MIN('Resource Planner'!$G$66+32*'Resource Planner'!$I$66-1,'Resource Planner'!$H$66)),"")</f>
        <v/>
      </c>
      <c r="G2836" s="163" t="s">
        <v>109</v>
      </c>
      <c r="H2836" s="163" t="str">
        <f>IF(AND('Resource Planner'!$A$66="☑",32&lt;='Resource Planner'!$N$66),'Resource Planner'!$M$66,"")</f>
        <v/>
      </c>
    </row>
    <row r="2837" ht="15.75" customHeight="1">
      <c r="A28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7" s="163" t="str">
        <f>IF(AND('Resource Planner'!$A$66="☑",33&lt;='Resource Planner'!$N$66),'Resource Planner'!$C$66,"")</f>
        <v/>
      </c>
      <c r="C2837" s="163" t="str">
        <f>IF(AND('Resource Planner'!$A$66="☑",33&lt;='Resource Planner'!$N$66),'Resource Planner'!$B$66,"")</f>
        <v/>
      </c>
      <c r="D2837" s="163" t="str">
        <f>IF(AND('Resource Planner'!$A$66="☑",33&lt;='Resource Planner'!$N$66),'Resource Planner'!$D$66,"")</f>
        <v/>
      </c>
      <c r="E2837" s="163" t="str">
        <f>IF(AND('Resource Planner'!$A$66="☑",33&lt;='Resource Planner'!$N$66),'Resource Planner'!$E$66,"")</f>
        <v/>
      </c>
      <c r="F2837" s="163" t="str">
        <f>IF(AND('Resource Planner'!$A$66="☑",33&lt;='Resource Planner'!$N$66),'Resource Planner'!$F$66&amp;" "&amp;('Resource Planner'!$G$66+(33-1)*'Resource Planner'!$I$66)&amp;IF(('Resource Planner'!$G$66+(33-1)*'Resource Planner'!$I$66)=MIN('Resource Planner'!$G$66+33*'Resource Planner'!$I$66-1,'Resource Planner'!$H$66),"","–"&amp;MIN('Resource Planner'!$G$66+33*'Resource Planner'!$I$66-1,'Resource Planner'!$H$66)),"")</f>
        <v/>
      </c>
      <c r="G2837" s="163" t="s">
        <v>109</v>
      </c>
      <c r="H2837" s="163" t="str">
        <f>IF(AND('Resource Planner'!$A$66="☑",33&lt;='Resource Planner'!$N$66),'Resource Planner'!$M$66,"")</f>
        <v/>
      </c>
    </row>
    <row r="2838" ht="15.75" customHeight="1">
      <c r="A28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8" s="163" t="str">
        <f>IF(AND('Resource Planner'!$A$66="☑",34&lt;='Resource Planner'!$N$66),'Resource Planner'!$C$66,"")</f>
        <v/>
      </c>
      <c r="C2838" s="163" t="str">
        <f>IF(AND('Resource Planner'!$A$66="☑",34&lt;='Resource Planner'!$N$66),'Resource Planner'!$B$66,"")</f>
        <v/>
      </c>
      <c r="D2838" s="163" t="str">
        <f>IF(AND('Resource Planner'!$A$66="☑",34&lt;='Resource Planner'!$N$66),'Resource Planner'!$D$66,"")</f>
        <v/>
      </c>
      <c r="E2838" s="163" t="str">
        <f>IF(AND('Resource Planner'!$A$66="☑",34&lt;='Resource Planner'!$N$66),'Resource Planner'!$E$66,"")</f>
        <v/>
      </c>
      <c r="F2838" s="163" t="str">
        <f>IF(AND('Resource Planner'!$A$66="☑",34&lt;='Resource Planner'!$N$66),'Resource Planner'!$F$66&amp;" "&amp;('Resource Planner'!$G$66+(34-1)*'Resource Planner'!$I$66)&amp;IF(('Resource Planner'!$G$66+(34-1)*'Resource Planner'!$I$66)=MIN('Resource Planner'!$G$66+34*'Resource Planner'!$I$66-1,'Resource Planner'!$H$66),"","–"&amp;MIN('Resource Planner'!$G$66+34*'Resource Planner'!$I$66-1,'Resource Planner'!$H$66)),"")</f>
        <v/>
      </c>
      <c r="G2838" s="163" t="s">
        <v>109</v>
      </c>
      <c r="H2838" s="163" t="str">
        <f>IF(AND('Resource Planner'!$A$66="☑",34&lt;='Resource Planner'!$N$66),'Resource Planner'!$M$66,"")</f>
        <v/>
      </c>
    </row>
    <row r="2839" ht="15.75" customHeight="1">
      <c r="A28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39" s="163" t="str">
        <f>IF(AND('Resource Planner'!$A$66="☑",35&lt;='Resource Planner'!$N$66),'Resource Planner'!$C$66,"")</f>
        <v/>
      </c>
      <c r="C2839" s="163" t="str">
        <f>IF(AND('Resource Planner'!$A$66="☑",35&lt;='Resource Planner'!$N$66),'Resource Planner'!$B$66,"")</f>
        <v/>
      </c>
      <c r="D2839" s="163" t="str">
        <f>IF(AND('Resource Planner'!$A$66="☑",35&lt;='Resource Planner'!$N$66),'Resource Planner'!$D$66,"")</f>
        <v/>
      </c>
      <c r="E2839" s="163" t="str">
        <f>IF(AND('Resource Planner'!$A$66="☑",35&lt;='Resource Planner'!$N$66),'Resource Planner'!$E$66,"")</f>
        <v/>
      </c>
      <c r="F2839" s="163" t="str">
        <f>IF(AND('Resource Planner'!$A$66="☑",35&lt;='Resource Planner'!$N$66),'Resource Planner'!$F$66&amp;" "&amp;('Resource Planner'!$G$66+(35-1)*'Resource Planner'!$I$66)&amp;IF(('Resource Planner'!$G$66+(35-1)*'Resource Planner'!$I$66)=MIN('Resource Planner'!$G$66+35*'Resource Planner'!$I$66-1,'Resource Planner'!$H$66),"","–"&amp;MIN('Resource Planner'!$G$66+35*'Resource Planner'!$I$66-1,'Resource Planner'!$H$66)),"")</f>
        <v/>
      </c>
      <c r="G2839" s="163" t="s">
        <v>109</v>
      </c>
      <c r="H2839" s="163" t="str">
        <f>IF(AND('Resource Planner'!$A$66="☑",35&lt;='Resource Planner'!$N$66),'Resource Planner'!$M$66,"")</f>
        <v/>
      </c>
    </row>
    <row r="2840" ht="15.75" customHeight="1">
      <c r="A28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0" s="163" t="str">
        <f>IF(AND('Resource Planner'!$A$66="☑",36&lt;='Resource Planner'!$N$66),'Resource Planner'!$C$66,"")</f>
        <v/>
      </c>
      <c r="C2840" s="163" t="str">
        <f>IF(AND('Resource Planner'!$A$66="☑",36&lt;='Resource Planner'!$N$66),'Resource Planner'!$B$66,"")</f>
        <v/>
      </c>
      <c r="D2840" s="163" t="str">
        <f>IF(AND('Resource Planner'!$A$66="☑",36&lt;='Resource Planner'!$N$66),'Resource Planner'!$D$66,"")</f>
        <v/>
      </c>
      <c r="E2840" s="163" t="str">
        <f>IF(AND('Resource Planner'!$A$66="☑",36&lt;='Resource Planner'!$N$66),'Resource Planner'!$E$66,"")</f>
        <v/>
      </c>
      <c r="F2840" s="163" t="str">
        <f>IF(AND('Resource Planner'!$A$66="☑",36&lt;='Resource Planner'!$N$66),'Resource Planner'!$F$66&amp;" "&amp;('Resource Planner'!$G$66+(36-1)*'Resource Planner'!$I$66)&amp;IF(('Resource Planner'!$G$66+(36-1)*'Resource Planner'!$I$66)=MIN('Resource Planner'!$G$66+36*'Resource Planner'!$I$66-1,'Resource Planner'!$H$66),"","–"&amp;MIN('Resource Planner'!$G$66+36*'Resource Planner'!$I$66-1,'Resource Planner'!$H$66)),"")</f>
        <v/>
      </c>
      <c r="G2840" s="163" t="s">
        <v>109</v>
      </c>
      <c r="H2840" s="163" t="str">
        <f>IF(AND('Resource Planner'!$A$66="☑",36&lt;='Resource Planner'!$N$66),'Resource Planner'!$M$66,"")</f>
        <v/>
      </c>
    </row>
    <row r="2841" ht="15.75" customHeight="1">
      <c r="A28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1" s="163" t="str">
        <f>IF(AND('Resource Planner'!$A$66="☑",37&lt;='Resource Planner'!$N$66),'Resource Planner'!$C$66,"")</f>
        <v/>
      </c>
      <c r="C2841" s="163" t="str">
        <f>IF(AND('Resource Planner'!$A$66="☑",37&lt;='Resource Planner'!$N$66),'Resource Planner'!$B$66,"")</f>
        <v/>
      </c>
      <c r="D2841" s="163" t="str">
        <f>IF(AND('Resource Planner'!$A$66="☑",37&lt;='Resource Planner'!$N$66),'Resource Planner'!$D$66,"")</f>
        <v/>
      </c>
      <c r="E2841" s="163" t="str">
        <f>IF(AND('Resource Planner'!$A$66="☑",37&lt;='Resource Planner'!$N$66),'Resource Planner'!$E$66,"")</f>
        <v/>
      </c>
      <c r="F2841" s="163" t="str">
        <f>IF(AND('Resource Planner'!$A$66="☑",37&lt;='Resource Planner'!$N$66),'Resource Planner'!$F$66&amp;" "&amp;('Resource Planner'!$G$66+(37-1)*'Resource Planner'!$I$66)&amp;IF(('Resource Planner'!$G$66+(37-1)*'Resource Planner'!$I$66)=MIN('Resource Planner'!$G$66+37*'Resource Planner'!$I$66-1,'Resource Planner'!$H$66),"","–"&amp;MIN('Resource Planner'!$G$66+37*'Resource Planner'!$I$66-1,'Resource Planner'!$H$66)),"")</f>
        <v/>
      </c>
      <c r="G2841" s="163" t="s">
        <v>109</v>
      </c>
      <c r="H2841" s="163" t="str">
        <f>IF(AND('Resource Planner'!$A$66="☑",37&lt;='Resource Planner'!$N$66),'Resource Planner'!$M$66,"")</f>
        <v/>
      </c>
    </row>
    <row r="2842" ht="15.75" customHeight="1">
      <c r="A28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2" s="163" t="str">
        <f>IF(AND('Resource Planner'!$A$66="☑",38&lt;='Resource Planner'!$N$66),'Resource Planner'!$C$66,"")</f>
        <v/>
      </c>
      <c r="C2842" s="163" t="str">
        <f>IF(AND('Resource Planner'!$A$66="☑",38&lt;='Resource Planner'!$N$66),'Resource Planner'!$B$66,"")</f>
        <v/>
      </c>
      <c r="D2842" s="163" t="str">
        <f>IF(AND('Resource Planner'!$A$66="☑",38&lt;='Resource Planner'!$N$66),'Resource Planner'!$D$66,"")</f>
        <v/>
      </c>
      <c r="E2842" s="163" t="str">
        <f>IF(AND('Resource Planner'!$A$66="☑",38&lt;='Resource Planner'!$N$66),'Resource Planner'!$E$66,"")</f>
        <v/>
      </c>
      <c r="F2842" s="163" t="str">
        <f>IF(AND('Resource Planner'!$A$66="☑",38&lt;='Resource Planner'!$N$66),'Resource Planner'!$F$66&amp;" "&amp;('Resource Planner'!$G$66+(38-1)*'Resource Planner'!$I$66)&amp;IF(('Resource Planner'!$G$66+(38-1)*'Resource Planner'!$I$66)=MIN('Resource Planner'!$G$66+38*'Resource Planner'!$I$66-1,'Resource Planner'!$H$66),"","–"&amp;MIN('Resource Planner'!$G$66+38*'Resource Planner'!$I$66-1,'Resource Planner'!$H$66)),"")</f>
        <v/>
      </c>
      <c r="G2842" s="163" t="s">
        <v>109</v>
      </c>
      <c r="H2842" s="163" t="str">
        <f>IF(AND('Resource Planner'!$A$66="☑",38&lt;='Resource Planner'!$N$66),'Resource Planner'!$M$66,"")</f>
        <v/>
      </c>
    </row>
    <row r="2843" ht="15.75" customHeight="1">
      <c r="A28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3" s="163" t="str">
        <f>IF(AND('Resource Planner'!$A$66="☑",39&lt;='Resource Planner'!$N$66),'Resource Planner'!$C$66,"")</f>
        <v/>
      </c>
      <c r="C2843" s="163" t="str">
        <f>IF(AND('Resource Planner'!$A$66="☑",39&lt;='Resource Planner'!$N$66),'Resource Planner'!$B$66,"")</f>
        <v/>
      </c>
      <c r="D2843" s="163" t="str">
        <f>IF(AND('Resource Planner'!$A$66="☑",39&lt;='Resource Planner'!$N$66),'Resource Planner'!$D$66,"")</f>
        <v/>
      </c>
      <c r="E2843" s="163" t="str">
        <f>IF(AND('Resource Planner'!$A$66="☑",39&lt;='Resource Planner'!$N$66),'Resource Planner'!$E$66,"")</f>
        <v/>
      </c>
      <c r="F2843" s="163" t="str">
        <f>IF(AND('Resource Planner'!$A$66="☑",39&lt;='Resource Planner'!$N$66),'Resource Planner'!$F$66&amp;" "&amp;('Resource Planner'!$G$66+(39-1)*'Resource Planner'!$I$66)&amp;IF(('Resource Planner'!$G$66+(39-1)*'Resource Planner'!$I$66)=MIN('Resource Planner'!$G$66+39*'Resource Planner'!$I$66-1,'Resource Planner'!$H$66),"","–"&amp;MIN('Resource Planner'!$G$66+39*'Resource Planner'!$I$66-1,'Resource Planner'!$H$66)),"")</f>
        <v/>
      </c>
      <c r="G2843" s="163" t="s">
        <v>109</v>
      </c>
      <c r="H2843" s="163" t="str">
        <f>IF(AND('Resource Planner'!$A$66="☑",39&lt;='Resource Planner'!$N$66),'Resource Planner'!$M$66,"")</f>
        <v/>
      </c>
    </row>
    <row r="2844" ht="15.75" customHeight="1">
      <c r="A28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4" s="163" t="str">
        <f>IF(AND('Resource Planner'!$A$66="☑",40&lt;='Resource Planner'!$N$66),'Resource Planner'!$C$66,"")</f>
        <v/>
      </c>
      <c r="C2844" s="163" t="str">
        <f>IF(AND('Resource Planner'!$A$66="☑",40&lt;='Resource Planner'!$N$66),'Resource Planner'!$B$66,"")</f>
        <v/>
      </c>
      <c r="D2844" s="163" t="str">
        <f>IF(AND('Resource Planner'!$A$66="☑",40&lt;='Resource Planner'!$N$66),'Resource Planner'!$D$66,"")</f>
        <v/>
      </c>
      <c r="E2844" s="163" t="str">
        <f>IF(AND('Resource Planner'!$A$66="☑",40&lt;='Resource Planner'!$N$66),'Resource Planner'!$E$66,"")</f>
        <v/>
      </c>
      <c r="F2844" s="163" t="str">
        <f>IF(AND('Resource Planner'!$A$66="☑",40&lt;='Resource Planner'!$N$66),'Resource Planner'!$F$66&amp;" "&amp;('Resource Planner'!$G$66+(40-1)*'Resource Planner'!$I$66)&amp;IF(('Resource Planner'!$G$66+(40-1)*'Resource Planner'!$I$66)=MIN('Resource Planner'!$G$66+40*'Resource Planner'!$I$66-1,'Resource Planner'!$H$66),"","–"&amp;MIN('Resource Planner'!$G$66+40*'Resource Planner'!$I$66-1,'Resource Planner'!$H$66)),"")</f>
        <v/>
      </c>
      <c r="G2844" s="163" t="s">
        <v>109</v>
      </c>
      <c r="H2844" s="163" t="str">
        <f>IF(AND('Resource Planner'!$A$66="☑",40&lt;='Resource Planner'!$N$66),'Resource Planner'!$M$66,"")</f>
        <v/>
      </c>
    </row>
    <row r="2845" ht="15.75" customHeight="1">
      <c r="A28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5" s="163" t="str">
        <f>IF(AND('Resource Planner'!$A$66="☑",41&lt;='Resource Planner'!$N$66),'Resource Planner'!$C$66,"")</f>
        <v/>
      </c>
      <c r="C2845" s="163" t="str">
        <f>IF(AND('Resource Planner'!$A$66="☑",41&lt;='Resource Planner'!$N$66),'Resource Planner'!$B$66,"")</f>
        <v/>
      </c>
      <c r="D2845" s="163" t="str">
        <f>IF(AND('Resource Planner'!$A$66="☑",41&lt;='Resource Planner'!$N$66),'Resource Planner'!$D$66,"")</f>
        <v/>
      </c>
      <c r="E2845" s="163" t="str">
        <f>IF(AND('Resource Planner'!$A$66="☑",41&lt;='Resource Planner'!$N$66),'Resource Planner'!$E$66,"")</f>
        <v/>
      </c>
      <c r="F2845" s="163" t="str">
        <f>IF(AND('Resource Planner'!$A$66="☑",41&lt;='Resource Planner'!$N$66),'Resource Planner'!$F$66&amp;" "&amp;('Resource Planner'!$G$66+(41-1)*'Resource Planner'!$I$66)&amp;IF(('Resource Planner'!$G$66+(41-1)*'Resource Planner'!$I$66)=MIN('Resource Planner'!$G$66+41*'Resource Planner'!$I$66-1,'Resource Planner'!$H$66),"","–"&amp;MIN('Resource Planner'!$G$66+41*'Resource Planner'!$I$66-1,'Resource Planner'!$H$66)),"")</f>
        <v/>
      </c>
      <c r="G2845" s="163" t="s">
        <v>109</v>
      </c>
      <c r="H2845" s="163" t="str">
        <f>IF(AND('Resource Planner'!$A$66="☑",41&lt;='Resource Planner'!$N$66),'Resource Planner'!$M$66,"")</f>
        <v/>
      </c>
    </row>
    <row r="2846" ht="15.75" customHeight="1">
      <c r="A28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6" s="163" t="str">
        <f>IF(AND('Resource Planner'!$A$66="☑",42&lt;='Resource Planner'!$N$66),'Resource Planner'!$C$66,"")</f>
        <v/>
      </c>
      <c r="C2846" s="163" t="str">
        <f>IF(AND('Resource Planner'!$A$66="☑",42&lt;='Resource Planner'!$N$66),'Resource Planner'!$B$66,"")</f>
        <v/>
      </c>
      <c r="D2846" s="163" t="str">
        <f>IF(AND('Resource Planner'!$A$66="☑",42&lt;='Resource Planner'!$N$66),'Resource Planner'!$D$66,"")</f>
        <v/>
      </c>
      <c r="E2846" s="163" t="str">
        <f>IF(AND('Resource Planner'!$A$66="☑",42&lt;='Resource Planner'!$N$66),'Resource Planner'!$E$66,"")</f>
        <v/>
      </c>
      <c r="F2846" s="163" t="str">
        <f>IF(AND('Resource Planner'!$A$66="☑",42&lt;='Resource Planner'!$N$66),'Resource Planner'!$F$66&amp;" "&amp;('Resource Planner'!$G$66+(42-1)*'Resource Planner'!$I$66)&amp;IF(('Resource Planner'!$G$66+(42-1)*'Resource Planner'!$I$66)=MIN('Resource Planner'!$G$66+42*'Resource Planner'!$I$66-1,'Resource Planner'!$H$66),"","–"&amp;MIN('Resource Planner'!$G$66+42*'Resource Planner'!$I$66-1,'Resource Planner'!$H$66)),"")</f>
        <v/>
      </c>
      <c r="G2846" s="163" t="s">
        <v>109</v>
      </c>
      <c r="H2846" s="163" t="str">
        <f>IF(AND('Resource Planner'!$A$66="☑",42&lt;='Resource Planner'!$N$66),'Resource Planner'!$M$66,"")</f>
        <v/>
      </c>
    </row>
    <row r="2847" ht="15.75" customHeight="1">
      <c r="A28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7" s="163" t="str">
        <f>IF(AND('Resource Planner'!$A$66="☑",43&lt;='Resource Planner'!$N$66),'Resource Planner'!$C$66,"")</f>
        <v/>
      </c>
      <c r="C2847" s="163" t="str">
        <f>IF(AND('Resource Planner'!$A$66="☑",43&lt;='Resource Planner'!$N$66),'Resource Planner'!$B$66,"")</f>
        <v/>
      </c>
      <c r="D2847" s="163" t="str">
        <f>IF(AND('Resource Planner'!$A$66="☑",43&lt;='Resource Planner'!$N$66),'Resource Planner'!$D$66,"")</f>
        <v/>
      </c>
      <c r="E2847" s="163" t="str">
        <f>IF(AND('Resource Planner'!$A$66="☑",43&lt;='Resource Planner'!$N$66),'Resource Planner'!$E$66,"")</f>
        <v/>
      </c>
      <c r="F2847" s="163" t="str">
        <f>IF(AND('Resource Planner'!$A$66="☑",43&lt;='Resource Planner'!$N$66),'Resource Planner'!$F$66&amp;" "&amp;('Resource Planner'!$G$66+(43-1)*'Resource Planner'!$I$66)&amp;IF(('Resource Planner'!$G$66+(43-1)*'Resource Planner'!$I$66)=MIN('Resource Planner'!$G$66+43*'Resource Planner'!$I$66-1,'Resource Planner'!$H$66),"","–"&amp;MIN('Resource Planner'!$G$66+43*'Resource Planner'!$I$66-1,'Resource Planner'!$H$66)),"")</f>
        <v/>
      </c>
      <c r="G2847" s="163" t="s">
        <v>109</v>
      </c>
      <c r="H2847" s="163" t="str">
        <f>IF(AND('Resource Planner'!$A$66="☑",43&lt;='Resource Planner'!$N$66),'Resource Planner'!$M$66,"")</f>
        <v/>
      </c>
    </row>
    <row r="2848" ht="15.75" customHeight="1">
      <c r="A28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8" s="163" t="str">
        <f>IF(AND('Resource Planner'!$A$66="☑",44&lt;='Resource Planner'!$N$66),'Resource Planner'!$C$66,"")</f>
        <v/>
      </c>
      <c r="C2848" s="163" t="str">
        <f>IF(AND('Resource Planner'!$A$66="☑",44&lt;='Resource Planner'!$N$66),'Resource Planner'!$B$66,"")</f>
        <v/>
      </c>
      <c r="D2848" s="163" t="str">
        <f>IF(AND('Resource Planner'!$A$66="☑",44&lt;='Resource Planner'!$N$66),'Resource Planner'!$D$66,"")</f>
        <v/>
      </c>
      <c r="E2848" s="163" t="str">
        <f>IF(AND('Resource Planner'!$A$66="☑",44&lt;='Resource Planner'!$N$66),'Resource Planner'!$E$66,"")</f>
        <v/>
      </c>
      <c r="F2848" s="163" t="str">
        <f>IF(AND('Resource Planner'!$A$66="☑",44&lt;='Resource Planner'!$N$66),'Resource Planner'!$F$66&amp;" "&amp;('Resource Planner'!$G$66+(44-1)*'Resource Planner'!$I$66)&amp;IF(('Resource Planner'!$G$66+(44-1)*'Resource Planner'!$I$66)=MIN('Resource Planner'!$G$66+44*'Resource Planner'!$I$66-1,'Resource Planner'!$H$66),"","–"&amp;MIN('Resource Planner'!$G$66+44*'Resource Planner'!$I$66-1,'Resource Planner'!$H$66)),"")</f>
        <v/>
      </c>
      <c r="G2848" s="163" t="s">
        <v>109</v>
      </c>
      <c r="H2848" s="163" t="str">
        <f>IF(AND('Resource Planner'!$A$66="☑",44&lt;='Resource Planner'!$N$66),'Resource Planner'!$M$66,"")</f>
        <v/>
      </c>
    </row>
    <row r="2849" ht="15.75" customHeight="1">
      <c r="A28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49" s="163" t="str">
        <f>IF(AND('Resource Planner'!$A$66="☑",45&lt;='Resource Planner'!$N$66),'Resource Planner'!$C$66,"")</f>
        <v/>
      </c>
      <c r="C2849" s="163" t="str">
        <f>IF(AND('Resource Planner'!$A$66="☑",45&lt;='Resource Planner'!$N$66),'Resource Planner'!$B$66,"")</f>
        <v/>
      </c>
      <c r="D2849" s="163" t="str">
        <f>IF(AND('Resource Planner'!$A$66="☑",45&lt;='Resource Planner'!$N$66),'Resource Planner'!$D$66,"")</f>
        <v/>
      </c>
      <c r="E2849" s="163" t="str">
        <f>IF(AND('Resource Planner'!$A$66="☑",45&lt;='Resource Planner'!$N$66),'Resource Planner'!$E$66,"")</f>
        <v/>
      </c>
      <c r="F2849" s="163" t="str">
        <f>IF(AND('Resource Planner'!$A$66="☑",45&lt;='Resource Planner'!$N$66),'Resource Planner'!$F$66&amp;" "&amp;('Resource Planner'!$G$66+(45-1)*'Resource Planner'!$I$66)&amp;IF(('Resource Planner'!$G$66+(45-1)*'Resource Planner'!$I$66)=MIN('Resource Planner'!$G$66+45*'Resource Planner'!$I$66-1,'Resource Planner'!$H$66),"","–"&amp;MIN('Resource Planner'!$G$66+45*'Resource Planner'!$I$66-1,'Resource Planner'!$H$66)),"")</f>
        <v/>
      </c>
      <c r="G2849" s="163" t="s">
        <v>109</v>
      </c>
      <c r="H2849" s="163" t="str">
        <f>IF(AND('Resource Planner'!$A$66="☑",45&lt;='Resource Planner'!$N$66),'Resource Planner'!$M$66,"")</f>
        <v/>
      </c>
    </row>
    <row r="2850" ht="15.75" customHeight="1">
      <c r="A28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0" s="163" t="str">
        <f>IF(AND('Resource Planner'!$A$66="☑",46&lt;='Resource Planner'!$N$66),'Resource Planner'!$C$66,"")</f>
        <v/>
      </c>
      <c r="C2850" s="163" t="str">
        <f>IF(AND('Resource Planner'!$A$66="☑",46&lt;='Resource Planner'!$N$66),'Resource Planner'!$B$66,"")</f>
        <v/>
      </c>
      <c r="D2850" s="163" t="str">
        <f>IF(AND('Resource Planner'!$A$66="☑",46&lt;='Resource Planner'!$N$66),'Resource Planner'!$D$66,"")</f>
        <v/>
      </c>
      <c r="E2850" s="163" t="str">
        <f>IF(AND('Resource Planner'!$A$66="☑",46&lt;='Resource Planner'!$N$66),'Resource Planner'!$E$66,"")</f>
        <v/>
      </c>
      <c r="F2850" s="163" t="str">
        <f>IF(AND('Resource Planner'!$A$66="☑",46&lt;='Resource Planner'!$N$66),'Resource Planner'!$F$66&amp;" "&amp;('Resource Planner'!$G$66+(46-1)*'Resource Planner'!$I$66)&amp;IF(('Resource Planner'!$G$66+(46-1)*'Resource Planner'!$I$66)=MIN('Resource Planner'!$G$66+46*'Resource Planner'!$I$66-1,'Resource Planner'!$H$66),"","–"&amp;MIN('Resource Planner'!$G$66+46*'Resource Planner'!$I$66-1,'Resource Planner'!$H$66)),"")</f>
        <v/>
      </c>
      <c r="G2850" s="163" t="s">
        <v>109</v>
      </c>
      <c r="H2850" s="163" t="str">
        <f>IF(AND('Resource Planner'!$A$66="☑",46&lt;='Resource Planner'!$N$66),'Resource Planner'!$M$66,"")</f>
        <v/>
      </c>
    </row>
    <row r="2851" ht="15.75" customHeight="1">
      <c r="A28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1" s="163" t="str">
        <f>IF(AND('Resource Planner'!$A$66="☑",47&lt;='Resource Planner'!$N$66),'Resource Planner'!$C$66,"")</f>
        <v/>
      </c>
      <c r="C2851" s="163" t="str">
        <f>IF(AND('Resource Planner'!$A$66="☑",47&lt;='Resource Planner'!$N$66),'Resource Planner'!$B$66,"")</f>
        <v/>
      </c>
      <c r="D2851" s="163" t="str">
        <f>IF(AND('Resource Planner'!$A$66="☑",47&lt;='Resource Planner'!$N$66),'Resource Planner'!$D$66,"")</f>
        <v/>
      </c>
      <c r="E2851" s="163" t="str">
        <f>IF(AND('Resource Planner'!$A$66="☑",47&lt;='Resource Planner'!$N$66),'Resource Planner'!$E$66,"")</f>
        <v/>
      </c>
      <c r="F2851" s="163" t="str">
        <f>IF(AND('Resource Planner'!$A$66="☑",47&lt;='Resource Planner'!$N$66),'Resource Planner'!$F$66&amp;" "&amp;('Resource Planner'!$G$66+(47-1)*'Resource Planner'!$I$66)&amp;IF(('Resource Planner'!$G$66+(47-1)*'Resource Planner'!$I$66)=MIN('Resource Planner'!$G$66+47*'Resource Planner'!$I$66-1,'Resource Planner'!$H$66),"","–"&amp;MIN('Resource Planner'!$G$66+47*'Resource Planner'!$I$66-1,'Resource Planner'!$H$66)),"")</f>
        <v/>
      </c>
      <c r="G2851" s="163" t="s">
        <v>109</v>
      </c>
      <c r="H2851" s="163" t="str">
        <f>IF(AND('Resource Planner'!$A$66="☑",47&lt;='Resource Planner'!$N$66),'Resource Planner'!$M$66,"")</f>
        <v/>
      </c>
    </row>
    <row r="2852" ht="15.75" customHeight="1">
      <c r="A28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2" s="163" t="str">
        <f>IF(AND('Resource Planner'!$A$66="☑",48&lt;='Resource Planner'!$N$66),'Resource Planner'!$C$66,"")</f>
        <v/>
      </c>
      <c r="C2852" s="163" t="str">
        <f>IF(AND('Resource Planner'!$A$66="☑",48&lt;='Resource Planner'!$N$66),'Resource Planner'!$B$66,"")</f>
        <v/>
      </c>
      <c r="D2852" s="163" t="str">
        <f>IF(AND('Resource Planner'!$A$66="☑",48&lt;='Resource Planner'!$N$66),'Resource Planner'!$D$66,"")</f>
        <v/>
      </c>
      <c r="E2852" s="163" t="str">
        <f>IF(AND('Resource Planner'!$A$66="☑",48&lt;='Resource Planner'!$N$66),'Resource Planner'!$E$66,"")</f>
        <v/>
      </c>
      <c r="F2852" s="163" t="str">
        <f>IF(AND('Resource Planner'!$A$66="☑",48&lt;='Resource Planner'!$N$66),'Resource Planner'!$F$66&amp;" "&amp;('Resource Planner'!$G$66+(48-1)*'Resource Planner'!$I$66)&amp;IF(('Resource Planner'!$G$66+(48-1)*'Resource Planner'!$I$66)=MIN('Resource Planner'!$G$66+48*'Resource Planner'!$I$66-1,'Resource Planner'!$H$66),"","–"&amp;MIN('Resource Planner'!$G$66+48*'Resource Planner'!$I$66-1,'Resource Planner'!$H$66)),"")</f>
        <v/>
      </c>
      <c r="G2852" s="163" t="s">
        <v>109</v>
      </c>
      <c r="H2852" s="163" t="str">
        <f>IF(AND('Resource Planner'!$A$66="☑",48&lt;='Resource Planner'!$N$66),'Resource Planner'!$M$66,"")</f>
        <v/>
      </c>
    </row>
    <row r="2853" ht="15.75" customHeight="1">
      <c r="A28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3" s="163" t="str">
        <f>IF(AND('Resource Planner'!$A$66="☑",49&lt;='Resource Planner'!$N$66),'Resource Planner'!$C$66,"")</f>
        <v/>
      </c>
      <c r="C2853" s="163" t="str">
        <f>IF(AND('Resource Planner'!$A$66="☑",49&lt;='Resource Planner'!$N$66),'Resource Planner'!$B$66,"")</f>
        <v/>
      </c>
      <c r="D2853" s="163" t="str">
        <f>IF(AND('Resource Planner'!$A$66="☑",49&lt;='Resource Planner'!$N$66),'Resource Planner'!$D$66,"")</f>
        <v/>
      </c>
      <c r="E2853" s="163" t="str">
        <f>IF(AND('Resource Planner'!$A$66="☑",49&lt;='Resource Planner'!$N$66),'Resource Planner'!$E$66,"")</f>
        <v/>
      </c>
      <c r="F2853" s="163" t="str">
        <f>IF(AND('Resource Planner'!$A$66="☑",49&lt;='Resource Planner'!$N$66),'Resource Planner'!$F$66&amp;" "&amp;('Resource Planner'!$G$66+(49-1)*'Resource Planner'!$I$66)&amp;IF(('Resource Planner'!$G$66+(49-1)*'Resource Planner'!$I$66)=MIN('Resource Planner'!$G$66+49*'Resource Planner'!$I$66-1,'Resource Planner'!$H$66),"","–"&amp;MIN('Resource Planner'!$G$66+49*'Resource Planner'!$I$66-1,'Resource Planner'!$H$66)),"")</f>
        <v/>
      </c>
      <c r="G2853" s="163" t="s">
        <v>109</v>
      </c>
      <c r="H2853" s="163" t="str">
        <f>IF(AND('Resource Planner'!$A$66="☑",49&lt;='Resource Planner'!$N$66),'Resource Planner'!$M$66,"")</f>
        <v/>
      </c>
    </row>
    <row r="2854" ht="15.75" customHeight="1">
      <c r="A28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4" s="163" t="str">
        <f>IF(AND('Resource Planner'!$A$66="☑",50&lt;='Resource Planner'!$N$66),'Resource Planner'!$C$66,"")</f>
        <v/>
      </c>
      <c r="C2854" s="163" t="str">
        <f>IF(AND('Resource Planner'!$A$66="☑",50&lt;='Resource Planner'!$N$66),'Resource Planner'!$B$66,"")</f>
        <v/>
      </c>
      <c r="D2854" s="163" t="str">
        <f>IF(AND('Resource Planner'!$A$66="☑",50&lt;='Resource Planner'!$N$66),'Resource Planner'!$D$66,"")</f>
        <v/>
      </c>
      <c r="E2854" s="163" t="str">
        <f>IF(AND('Resource Planner'!$A$66="☑",50&lt;='Resource Planner'!$N$66),'Resource Planner'!$E$66,"")</f>
        <v/>
      </c>
      <c r="F2854" s="163" t="str">
        <f>IF(AND('Resource Planner'!$A$66="☑",50&lt;='Resource Planner'!$N$66),'Resource Planner'!$F$66&amp;" "&amp;('Resource Planner'!$G$66+(50-1)*'Resource Planner'!$I$66)&amp;IF(('Resource Planner'!$G$66+(50-1)*'Resource Planner'!$I$66)=MIN('Resource Planner'!$G$66+50*'Resource Planner'!$I$66-1,'Resource Planner'!$H$66),"","–"&amp;MIN('Resource Planner'!$G$66+50*'Resource Planner'!$I$66-1,'Resource Planner'!$H$66)),"")</f>
        <v/>
      </c>
      <c r="G2854" s="163" t="s">
        <v>109</v>
      </c>
      <c r="H2854" s="163" t="str">
        <f>IF(AND('Resource Planner'!$A$66="☑",50&lt;='Resource Planner'!$N$66),'Resource Planner'!$M$66,"")</f>
        <v/>
      </c>
    </row>
    <row r="2855" ht="15.75" customHeight="1">
      <c r="A28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5" s="163" t="str">
        <f>IF(AND('Resource Planner'!$A$67="☑",1&lt;='Resource Planner'!$N$67),'Resource Planner'!$C$67,"")</f>
        <v/>
      </c>
      <c r="C2855" s="163" t="str">
        <f>IF(AND('Resource Planner'!$A$67="☑",1&lt;='Resource Planner'!$N$67),'Resource Planner'!$B$67,"")</f>
        <v/>
      </c>
      <c r="D2855" s="163" t="str">
        <f>IF(AND('Resource Planner'!$A$67="☑",1&lt;='Resource Planner'!$N$67),'Resource Planner'!$D$67,"")</f>
        <v/>
      </c>
      <c r="E2855" s="163" t="str">
        <f>IF(AND('Resource Planner'!$A$67="☑",1&lt;='Resource Planner'!$N$67),'Resource Planner'!$E$67,"")</f>
        <v/>
      </c>
      <c r="F2855" s="163" t="str">
        <f>IF(AND('Resource Planner'!$A$67="☑",1&lt;='Resource Planner'!$N$67),'Resource Planner'!$F$67&amp;" "&amp;('Resource Planner'!$G$67+(1-1)*'Resource Planner'!$I$67)&amp;IF(('Resource Planner'!$G$67+(1-1)*'Resource Planner'!$I$67)=MIN('Resource Planner'!$G$67+1*'Resource Planner'!$I$67-1,'Resource Planner'!$H$67),"","–"&amp;MIN('Resource Planner'!$G$67+1*'Resource Planner'!$I$67-1,'Resource Planner'!$H$67)),"")</f>
        <v/>
      </c>
      <c r="G2855" s="163" t="s">
        <v>109</v>
      </c>
      <c r="H2855" s="163" t="str">
        <f>IF(AND('Resource Planner'!$A$67="☑",1&lt;='Resource Planner'!$N$67),'Resource Planner'!$M$67,"")</f>
        <v/>
      </c>
    </row>
    <row r="2856" ht="15.75" customHeight="1">
      <c r="A28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6" s="163" t="str">
        <f>IF(AND('Resource Planner'!$A$67="☑",2&lt;='Resource Planner'!$N$67),'Resource Planner'!$C$67,"")</f>
        <v/>
      </c>
      <c r="C2856" s="163" t="str">
        <f>IF(AND('Resource Planner'!$A$67="☑",2&lt;='Resource Planner'!$N$67),'Resource Planner'!$B$67,"")</f>
        <v/>
      </c>
      <c r="D2856" s="163" t="str">
        <f>IF(AND('Resource Planner'!$A$67="☑",2&lt;='Resource Planner'!$N$67),'Resource Planner'!$D$67,"")</f>
        <v/>
      </c>
      <c r="E2856" s="163" t="str">
        <f>IF(AND('Resource Planner'!$A$67="☑",2&lt;='Resource Planner'!$N$67),'Resource Planner'!$E$67,"")</f>
        <v/>
      </c>
      <c r="F2856" s="163" t="str">
        <f>IF(AND('Resource Planner'!$A$67="☑",2&lt;='Resource Planner'!$N$67),'Resource Planner'!$F$67&amp;" "&amp;('Resource Planner'!$G$67+(2-1)*'Resource Planner'!$I$67)&amp;IF(('Resource Planner'!$G$67+(2-1)*'Resource Planner'!$I$67)=MIN('Resource Planner'!$G$67+2*'Resource Planner'!$I$67-1,'Resource Planner'!$H$67),"","–"&amp;MIN('Resource Planner'!$G$67+2*'Resource Planner'!$I$67-1,'Resource Planner'!$H$67)),"")</f>
        <v/>
      </c>
      <c r="G2856" s="163" t="s">
        <v>109</v>
      </c>
      <c r="H2856" s="163" t="str">
        <f>IF(AND('Resource Planner'!$A$67="☑",2&lt;='Resource Planner'!$N$67),'Resource Planner'!$M$67,"")</f>
        <v/>
      </c>
    </row>
    <row r="2857" ht="15.75" customHeight="1">
      <c r="A28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7" s="163" t="str">
        <f>IF(AND('Resource Planner'!$A$67="☑",3&lt;='Resource Planner'!$N$67),'Resource Planner'!$C$67,"")</f>
        <v/>
      </c>
      <c r="C2857" s="163" t="str">
        <f>IF(AND('Resource Planner'!$A$67="☑",3&lt;='Resource Planner'!$N$67),'Resource Planner'!$B$67,"")</f>
        <v/>
      </c>
      <c r="D2857" s="163" t="str">
        <f>IF(AND('Resource Planner'!$A$67="☑",3&lt;='Resource Planner'!$N$67),'Resource Planner'!$D$67,"")</f>
        <v/>
      </c>
      <c r="E2857" s="163" t="str">
        <f>IF(AND('Resource Planner'!$A$67="☑",3&lt;='Resource Planner'!$N$67),'Resource Planner'!$E$67,"")</f>
        <v/>
      </c>
      <c r="F2857" s="163" t="str">
        <f>IF(AND('Resource Planner'!$A$67="☑",3&lt;='Resource Planner'!$N$67),'Resource Planner'!$F$67&amp;" "&amp;('Resource Planner'!$G$67+(3-1)*'Resource Planner'!$I$67)&amp;IF(('Resource Planner'!$G$67+(3-1)*'Resource Planner'!$I$67)=MIN('Resource Planner'!$G$67+3*'Resource Planner'!$I$67-1,'Resource Planner'!$H$67),"","–"&amp;MIN('Resource Planner'!$G$67+3*'Resource Planner'!$I$67-1,'Resource Planner'!$H$67)),"")</f>
        <v/>
      </c>
      <c r="G2857" s="163" t="s">
        <v>109</v>
      </c>
      <c r="H2857" s="163" t="str">
        <f>IF(AND('Resource Planner'!$A$67="☑",3&lt;='Resource Planner'!$N$67),'Resource Planner'!$M$67,"")</f>
        <v/>
      </c>
    </row>
    <row r="2858" ht="15.75" customHeight="1">
      <c r="A28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8" s="163" t="str">
        <f>IF(AND('Resource Planner'!$A$67="☑",4&lt;='Resource Planner'!$N$67),'Resource Planner'!$C$67,"")</f>
        <v/>
      </c>
      <c r="C2858" s="163" t="str">
        <f>IF(AND('Resource Planner'!$A$67="☑",4&lt;='Resource Planner'!$N$67),'Resource Planner'!$B$67,"")</f>
        <v/>
      </c>
      <c r="D2858" s="163" t="str">
        <f>IF(AND('Resource Planner'!$A$67="☑",4&lt;='Resource Planner'!$N$67),'Resource Planner'!$D$67,"")</f>
        <v/>
      </c>
      <c r="E2858" s="163" t="str">
        <f>IF(AND('Resource Planner'!$A$67="☑",4&lt;='Resource Planner'!$N$67),'Resource Planner'!$E$67,"")</f>
        <v/>
      </c>
      <c r="F2858" s="163" t="str">
        <f>IF(AND('Resource Planner'!$A$67="☑",4&lt;='Resource Planner'!$N$67),'Resource Planner'!$F$67&amp;" "&amp;('Resource Planner'!$G$67+(4-1)*'Resource Planner'!$I$67)&amp;IF(('Resource Planner'!$G$67+(4-1)*'Resource Planner'!$I$67)=MIN('Resource Planner'!$G$67+4*'Resource Planner'!$I$67-1,'Resource Planner'!$H$67),"","–"&amp;MIN('Resource Planner'!$G$67+4*'Resource Planner'!$I$67-1,'Resource Planner'!$H$67)),"")</f>
        <v/>
      </c>
      <c r="G2858" s="163" t="s">
        <v>109</v>
      </c>
      <c r="H2858" s="163" t="str">
        <f>IF(AND('Resource Planner'!$A$67="☑",4&lt;='Resource Planner'!$N$67),'Resource Planner'!$M$67,"")</f>
        <v/>
      </c>
    </row>
    <row r="2859" ht="15.75" customHeight="1">
      <c r="A28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59" s="163" t="str">
        <f>IF(AND('Resource Planner'!$A$67="☑",5&lt;='Resource Planner'!$N$67),'Resource Planner'!$C$67,"")</f>
        <v/>
      </c>
      <c r="C2859" s="163" t="str">
        <f>IF(AND('Resource Planner'!$A$67="☑",5&lt;='Resource Planner'!$N$67),'Resource Planner'!$B$67,"")</f>
        <v/>
      </c>
      <c r="D2859" s="163" t="str">
        <f>IF(AND('Resource Planner'!$A$67="☑",5&lt;='Resource Planner'!$N$67),'Resource Planner'!$D$67,"")</f>
        <v/>
      </c>
      <c r="E2859" s="163" t="str">
        <f>IF(AND('Resource Planner'!$A$67="☑",5&lt;='Resource Planner'!$N$67),'Resource Planner'!$E$67,"")</f>
        <v/>
      </c>
      <c r="F2859" s="163" t="str">
        <f>IF(AND('Resource Planner'!$A$67="☑",5&lt;='Resource Planner'!$N$67),'Resource Planner'!$F$67&amp;" "&amp;('Resource Planner'!$G$67+(5-1)*'Resource Planner'!$I$67)&amp;IF(('Resource Planner'!$G$67+(5-1)*'Resource Planner'!$I$67)=MIN('Resource Planner'!$G$67+5*'Resource Planner'!$I$67-1,'Resource Planner'!$H$67),"","–"&amp;MIN('Resource Planner'!$G$67+5*'Resource Planner'!$I$67-1,'Resource Planner'!$H$67)),"")</f>
        <v/>
      </c>
      <c r="G2859" s="163" t="s">
        <v>109</v>
      </c>
      <c r="H2859" s="163" t="str">
        <f>IF(AND('Resource Planner'!$A$67="☑",5&lt;='Resource Planner'!$N$67),'Resource Planner'!$M$67,"")</f>
        <v/>
      </c>
    </row>
    <row r="2860" ht="15.75" customHeight="1">
      <c r="A28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0" s="163" t="str">
        <f>IF(AND('Resource Planner'!$A$67="☑",6&lt;='Resource Planner'!$N$67),'Resource Planner'!$C$67,"")</f>
        <v/>
      </c>
      <c r="C2860" s="163" t="str">
        <f>IF(AND('Resource Planner'!$A$67="☑",6&lt;='Resource Planner'!$N$67),'Resource Planner'!$B$67,"")</f>
        <v/>
      </c>
      <c r="D2860" s="163" t="str">
        <f>IF(AND('Resource Planner'!$A$67="☑",6&lt;='Resource Planner'!$N$67),'Resource Planner'!$D$67,"")</f>
        <v/>
      </c>
      <c r="E2860" s="163" t="str">
        <f>IF(AND('Resource Planner'!$A$67="☑",6&lt;='Resource Planner'!$N$67),'Resource Planner'!$E$67,"")</f>
        <v/>
      </c>
      <c r="F2860" s="163" t="str">
        <f>IF(AND('Resource Planner'!$A$67="☑",6&lt;='Resource Planner'!$N$67),'Resource Planner'!$F$67&amp;" "&amp;('Resource Planner'!$G$67+(6-1)*'Resource Planner'!$I$67)&amp;IF(('Resource Planner'!$G$67+(6-1)*'Resource Planner'!$I$67)=MIN('Resource Planner'!$G$67+6*'Resource Planner'!$I$67-1,'Resource Planner'!$H$67),"","–"&amp;MIN('Resource Planner'!$G$67+6*'Resource Planner'!$I$67-1,'Resource Planner'!$H$67)),"")</f>
        <v/>
      </c>
      <c r="G2860" s="163" t="s">
        <v>109</v>
      </c>
      <c r="H2860" s="163" t="str">
        <f>IF(AND('Resource Planner'!$A$67="☑",6&lt;='Resource Planner'!$N$67),'Resource Planner'!$M$67,"")</f>
        <v/>
      </c>
    </row>
    <row r="2861" ht="15.75" customHeight="1">
      <c r="A28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1" s="163" t="str">
        <f>IF(AND('Resource Planner'!$A$67="☑",7&lt;='Resource Planner'!$N$67),'Resource Planner'!$C$67,"")</f>
        <v/>
      </c>
      <c r="C2861" s="163" t="str">
        <f>IF(AND('Resource Planner'!$A$67="☑",7&lt;='Resource Planner'!$N$67),'Resource Planner'!$B$67,"")</f>
        <v/>
      </c>
      <c r="D2861" s="163" t="str">
        <f>IF(AND('Resource Planner'!$A$67="☑",7&lt;='Resource Planner'!$N$67),'Resource Planner'!$D$67,"")</f>
        <v/>
      </c>
      <c r="E2861" s="163" t="str">
        <f>IF(AND('Resource Planner'!$A$67="☑",7&lt;='Resource Planner'!$N$67),'Resource Planner'!$E$67,"")</f>
        <v/>
      </c>
      <c r="F2861" s="163" t="str">
        <f>IF(AND('Resource Planner'!$A$67="☑",7&lt;='Resource Planner'!$N$67),'Resource Planner'!$F$67&amp;" "&amp;('Resource Planner'!$G$67+(7-1)*'Resource Planner'!$I$67)&amp;IF(('Resource Planner'!$G$67+(7-1)*'Resource Planner'!$I$67)=MIN('Resource Planner'!$G$67+7*'Resource Planner'!$I$67-1,'Resource Planner'!$H$67),"","–"&amp;MIN('Resource Planner'!$G$67+7*'Resource Planner'!$I$67-1,'Resource Planner'!$H$67)),"")</f>
        <v/>
      </c>
      <c r="G2861" s="163" t="s">
        <v>109</v>
      </c>
      <c r="H2861" s="163" t="str">
        <f>IF(AND('Resource Planner'!$A$67="☑",7&lt;='Resource Planner'!$N$67),'Resource Planner'!$M$67,"")</f>
        <v/>
      </c>
    </row>
    <row r="2862" ht="15.75" customHeight="1">
      <c r="A28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2" s="163" t="str">
        <f>IF(AND('Resource Planner'!$A$67="☑",8&lt;='Resource Planner'!$N$67),'Resource Planner'!$C$67,"")</f>
        <v/>
      </c>
      <c r="C2862" s="163" t="str">
        <f>IF(AND('Resource Planner'!$A$67="☑",8&lt;='Resource Planner'!$N$67),'Resource Planner'!$B$67,"")</f>
        <v/>
      </c>
      <c r="D2862" s="163" t="str">
        <f>IF(AND('Resource Planner'!$A$67="☑",8&lt;='Resource Planner'!$N$67),'Resource Planner'!$D$67,"")</f>
        <v/>
      </c>
      <c r="E2862" s="163" t="str">
        <f>IF(AND('Resource Planner'!$A$67="☑",8&lt;='Resource Planner'!$N$67),'Resource Planner'!$E$67,"")</f>
        <v/>
      </c>
      <c r="F2862" s="163" t="str">
        <f>IF(AND('Resource Planner'!$A$67="☑",8&lt;='Resource Planner'!$N$67),'Resource Planner'!$F$67&amp;" "&amp;('Resource Planner'!$G$67+(8-1)*'Resource Planner'!$I$67)&amp;IF(('Resource Planner'!$G$67+(8-1)*'Resource Planner'!$I$67)=MIN('Resource Planner'!$G$67+8*'Resource Planner'!$I$67-1,'Resource Planner'!$H$67),"","–"&amp;MIN('Resource Planner'!$G$67+8*'Resource Planner'!$I$67-1,'Resource Planner'!$H$67)),"")</f>
        <v/>
      </c>
      <c r="G2862" s="163" t="s">
        <v>109</v>
      </c>
      <c r="H2862" s="163" t="str">
        <f>IF(AND('Resource Planner'!$A$67="☑",8&lt;='Resource Planner'!$N$67),'Resource Planner'!$M$67,"")</f>
        <v/>
      </c>
    </row>
    <row r="2863" ht="15.75" customHeight="1">
      <c r="A28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3" s="163" t="str">
        <f>IF(AND('Resource Planner'!$A$67="☑",9&lt;='Resource Planner'!$N$67),'Resource Planner'!$C$67,"")</f>
        <v/>
      </c>
      <c r="C2863" s="163" t="str">
        <f>IF(AND('Resource Planner'!$A$67="☑",9&lt;='Resource Planner'!$N$67),'Resource Planner'!$B$67,"")</f>
        <v/>
      </c>
      <c r="D2863" s="163" t="str">
        <f>IF(AND('Resource Planner'!$A$67="☑",9&lt;='Resource Planner'!$N$67),'Resource Planner'!$D$67,"")</f>
        <v/>
      </c>
      <c r="E2863" s="163" t="str">
        <f>IF(AND('Resource Planner'!$A$67="☑",9&lt;='Resource Planner'!$N$67),'Resource Planner'!$E$67,"")</f>
        <v/>
      </c>
      <c r="F2863" s="163" t="str">
        <f>IF(AND('Resource Planner'!$A$67="☑",9&lt;='Resource Planner'!$N$67),'Resource Planner'!$F$67&amp;" "&amp;('Resource Planner'!$G$67+(9-1)*'Resource Planner'!$I$67)&amp;IF(('Resource Planner'!$G$67+(9-1)*'Resource Planner'!$I$67)=MIN('Resource Planner'!$G$67+9*'Resource Planner'!$I$67-1,'Resource Planner'!$H$67),"","–"&amp;MIN('Resource Planner'!$G$67+9*'Resource Planner'!$I$67-1,'Resource Planner'!$H$67)),"")</f>
        <v/>
      </c>
      <c r="G2863" s="163" t="s">
        <v>109</v>
      </c>
      <c r="H2863" s="163" t="str">
        <f>IF(AND('Resource Planner'!$A$67="☑",9&lt;='Resource Planner'!$N$67),'Resource Planner'!$M$67,"")</f>
        <v/>
      </c>
    </row>
    <row r="2864" ht="15.75" customHeight="1">
      <c r="A28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4" s="163" t="str">
        <f>IF(AND('Resource Planner'!$A$67="☑",10&lt;='Resource Planner'!$N$67),'Resource Planner'!$C$67,"")</f>
        <v/>
      </c>
      <c r="C2864" s="163" t="str">
        <f>IF(AND('Resource Planner'!$A$67="☑",10&lt;='Resource Planner'!$N$67),'Resource Planner'!$B$67,"")</f>
        <v/>
      </c>
      <c r="D2864" s="163" t="str">
        <f>IF(AND('Resource Planner'!$A$67="☑",10&lt;='Resource Planner'!$N$67),'Resource Planner'!$D$67,"")</f>
        <v/>
      </c>
      <c r="E2864" s="163" t="str">
        <f>IF(AND('Resource Planner'!$A$67="☑",10&lt;='Resource Planner'!$N$67),'Resource Planner'!$E$67,"")</f>
        <v/>
      </c>
      <c r="F2864" s="163" t="str">
        <f>IF(AND('Resource Planner'!$A$67="☑",10&lt;='Resource Planner'!$N$67),'Resource Planner'!$F$67&amp;" "&amp;('Resource Planner'!$G$67+(10-1)*'Resource Planner'!$I$67)&amp;IF(('Resource Planner'!$G$67+(10-1)*'Resource Planner'!$I$67)=MIN('Resource Planner'!$G$67+10*'Resource Planner'!$I$67-1,'Resource Planner'!$H$67),"","–"&amp;MIN('Resource Planner'!$G$67+10*'Resource Planner'!$I$67-1,'Resource Planner'!$H$67)),"")</f>
        <v/>
      </c>
      <c r="G2864" s="163" t="s">
        <v>109</v>
      </c>
      <c r="H2864" s="163" t="str">
        <f>IF(AND('Resource Planner'!$A$67="☑",10&lt;='Resource Planner'!$N$67),'Resource Planner'!$M$67,"")</f>
        <v/>
      </c>
    </row>
    <row r="2865" ht="15.75" customHeight="1">
      <c r="A28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5" s="163" t="str">
        <f>IF(AND('Resource Planner'!$A$67="☑",11&lt;='Resource Planner'!$N$67),'Resource Planner'!$C$67,"")</f>
        <v/>
      </c>
      <c r="C2865" s="163" t="str">
        <f>IF(AND('Resource Planner'!$A$67="☑",11&lt;='Resource Planner'!$N$67),'Resource Planner'!$B$67,"")</f>
        <v/>
      </c>
      <c r="D2865" s="163" t="str">
        <f>IF(AND('Resource Planner'!$A$67="☑",11&lt;='Resource Planner'!$N$67),'Resource Planner'!$D$67,"")</f>
        <v/>
      </c>
      <c r="E2865" s="163" t="str">
        <f>IF(AND('Resource Planner'!$A$67="☑",11&lt;='Resource Planner'!$N$67),'Resource Planner'!$E$67,"")</f>
        <v/>
      </c>
      <c r="F2865" s="163" t="str">
        <f>IF(AND('Resource Planner'!$A$67="☑",11&lt;='Resource Planner'!$N$67),'Resource Planner'!$F$67&amp;" "&amp;('Resource Planner'!$G$67+(11-1)*'Resource Planner'!$I$67)&amp;IF(('Resource Planner'!$G$67+(11-1)*'Resource Planner'!$I$67)=MIN('Resource Planner'!$G$67+11*'Resource Planner'!$I$67-1,'Resource Planner'!$H$67),"","–"&amp;MIN('Resource Planner'!$G$67+11*'Resource Planner'!$I$67-1,'Resource Planner'!$H$67)),"")</f>
        <v/>
      </c>
      <c r="G2865" s="163" t="s">
        <v>109</v>
      </c>
      <c r="H2865" s="163" t="str">
        <f>IF(AND('Resource Planner'!$A$67="☑",11&lt;='Resource Planner'!$N$67),'Resource Planner'!$M$67,"")</f>
        <v/>
      </c>
    </row>
    <row r="2866" ht="15.75" customHeight="1">
      <c r="A28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6" s="163" t="str">
        <f>IF(AND('Resource Planner'!$A$67="☑",12&lt;='Resource Planner'!$N$67),'Resource Planner'!$C$67,"")</f>
        <v/>
      </c>
      <c r="C2866" s="163" t="str">
        <f>IF(AND('Resource Planner'!$A$67="☑",12&lt;='Resource Planner'!$N$67),'Resource Planner'!$B$67,"")</f>
        <v/>
      </c>
      <c r="D2866" s="163" t="str">
        <f>IF(AND('Resource Planner'!$A$67="☑",12&lt;='Resource Planner'!$N$67),'Resource Planner'!$D$67,"")</f>
        <v/>
      </c>
      <c r="E2866" s="163" t="str">
        <f>IF(AND('Resource Planner'!$A$67="☑",12&lt;='Resource Planner'!$N$67),'Resource Planner'!$E$67,"")</f>
        <v/>
      </c>
      <c r="F2866" s="163" t="str">
        <f>IF(AND('Resource Planner'!$A$67="☑",12&lt;='Resource Planner'!$N$67),'Resource Planner'!$F$67&amp;" "&amp;('Resource Planner'!$G$67+(12-1)*'Resource Planner'!$I$67)&amp;IF(('Resource Planner'!$G$67+(12-1)*'Resource Planner'!$I$67)=MIN('Resource Planner'!$G$67+12*'Resource Planner'!$I$67-1,'Resource Planner'!$H$67),"","–"&amp;MIN('Resource Planner'!$G$67+12*'Resource Planner'!$I$67-1,'Resource Planner'!$H$67)),"")</f>
        <v/>
      </c>
      <c r="G2866" s="163" t="s">
        <v>109</v>
      </c>
      <c r="H2866" s="163" t="str">
        <f>IF(AND('Resource Planner'!$A$67="☑",12&lt;='Resource Planner'!$N$67),'Resource Planner'!$M$67,"")</f>
        <v/>
      </c>
    </row>
    <row r="2867" ht="15.75" customHeight="1">
      <c r="A28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7" s="163" t="str">
        <f>IF(AND('Resource Planner'!$A$67="☑",13&lt;='Resource Planner'!$N$67),'Resource Planner'!$C$67,"")</f>
        <v/>
      </c>
      <c r="C2867" s="163" t="str">
        <f>IF(AND('Resource Planner'!$A$67="☑",13&lt;='Resource Planner'!$N$67),'Resource Planner'!$B$67,"")</f>
        <v/>
      </c>
      <c r="D2867" s="163" t="str">
        <f>IF(AND('Resource Planner'!$A$67="☑",13&lt;='Resource Planner'!$N$67),'Resource Planner'!$D$67,"")</f>
        <v/>
      </c>
      <c r="E2867" s="163" t="str">
        <f>IF(AND('Resource Planner'!$A$67="☑",13&lt;='Resource Planner'!$N$67),'Resource Planner'!$E$67,"")</f>
        <v/>
      </c>
      <c r="F2867" s="163" t="str">
        <f>IF(AND('Resource Planner'!$A$67="☑",13&lt;='Resource Planner'!$N$67),'Resource Planner'!$F$67&amp;" "&amp;('Resource Planner'!$G$67+(13-1)*'Resource Planner'!$I$67)&amp;IF(('Resource Planner'!$G$67+(13-1)*'Resource Planner'!$I$67)=MIN('Resource Planner'!$G$67+13*'Resource Planner'!$I$67-1,'Resource Planner'!$H$67),"","–"&amp;MIN('Resource Planner'!$G$67+13*'Resource Planner'!$I$67-1,'Resource Planner'!$H$67)),"")</f>
        <v/>
      </c>
      <c r="G2867" s="163" t="s">
        <v>109</v>
      </c>
      <c r="H2867" s="163" t="str">
        <f>IF(AND('Resource Planner'!$A$67="☑",13&lt;='Resource Planner'!$N$67),'Resource Planner'!$M$67,"")</f>
        <v/>
      </c>
    </row>
    <row r="2868" ht="15.75" customHeight="1">
      <c r="A28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8" s="163" t="str">
        <f>IF(AND('Resource Planner'!$A$67="☑",14&lt;='Resource Planner'!$N$67),'Resource Planner'!$C$67,"")</f>
        <v/>
      </c>
      <c r="C2868" s="163" t="str">
        <f>IF(AND('Resource Planner'!$A$67="☑",14&lt;='Resource Planner'!$N$67),'Resource Planner'!$B$67,"")</f>
        <v/>
      </c>
      <c r="D2868" s="163" t="str">
        <f>IF(AND('Resource Planner'!$A$67="☑",14&lt;='Resource Planner'!$N$67),'Resource Planner'!$D$67,"")</f>
        <v/>
      </c>
      <c r="E2868" s="163" t="str">
        <f>IF(AND('Resource Planner'!$A$67="☑",14&lt;='Resource Planner'!$N$67),'Resource Planner'!$E$67,"")</f>
        <v/>
      </c>
      <c r="F2868" s="163" t="str">
        <f>IF(AND('Resource Planner'!$A$67="☑",14&lt;='Resource Planner'!$N$67),'Resource Planner'!$F$67&amp;" "&amp;('Resource Planner'!$G$67+(14-1)*'Resource Planner'!$I$67)&amp;IF(('Resource Planner'!$G$67+(14-1)*'Resource Planner'!$I$67)=MIN('Resource Planner'!$G$67+14*'Resource Planner'!$I$67-1,'Resource Planner'!$H$67),"","–"&amp;MIN('Resource Planner'!$G$67+14*'Resource Planner'!$I$67-1,'Resource Planner'!$H$67)),"")</f>
        <v/>
      </c>
      <c r="G2868" s="163" t="s">
        <v>109</v>
      </c>
      <c r="H2868" s="163" t="str">
        <f>IF(AND('Resource Planner'!$A$67="☑",14&lt;='Resource Planner'!$N$67),'Resource Planner'!$M$67,"")</f>
        <v/>
      </c>
    </row>
    <row r="2869" ht="15.75" customHeight="1">
      <c r="A28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69" s="163" t="str">
        <f>IF(AND('Resource Planner'!$A$67="☑",15&lt;='Resource Planner'!$N$67),'Resource Planner'!$C$67,"")</f>
        <v/>
      </c>
      <c r="C2869" s="163" t="str">
        <f>IF(AND('Resource Planner'!$A$67="☑",15&lt;='Resource Planner'!$N$67),'Resource Planner'!$B$67,"")</f>
        <v/>
      </c>
      <c r="D2869" s="163" t="str">
        <f>IF(AND('Resource Planner'!$A$67="☑",15&lt;='Resource Planner'!$N$67),'Resource Planner'!$D$67,"")</f>
        <v/>
      </c>
      <c r="E2869" s="163" t="str">
        <f>IF(AND('Resource Planner'!$A$67="☑",15&lt;='Resource Planner'!$N$67),'Resource Planner'!$E$67,"")</f>
        <v/>
      </c>
      <c r="F2869" s="163" t="str">
        <f>IF(AND('Resource Planner'!$A$67="☑",15&lt;='Resource Planner'!$N$67),'Resource Planner'!$F$67&amp;" "&amp;('Resource Planner'!$G$67+(15-1)*'Resource Planner'!$I$67)&amp;IF(('Resource Planner'!$G$67+(15-1)*'Resource Planner'!$I$67)=MIN('Resource Planner'!$G$67+15*'Resource Planner'!$I$67-1,'Resource Planner'!$H$67),"","–"&amp;MIN('Resource Planner'!$G$67+15*'Resource Planner'!$I$67-1,'Resource Planner'!$H$67)),"")</f>
        <v/>
      </c>
      <c r="G2869" s="163" t="s">
        <v>109</v>
      </c>
      <c r="H2869" s="163" t="str">
        <f>IF(AND('Resource Planner'!$A$67="☑",15&lt;='Resource Planner'!$N$67),'Resource Planner'!$M$67,"")</f>
        <v/>
      </c>
    </row>
    <row r="2870" ht="15.75" customHeight="1">
      <c r="A28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0" s="163" t="str">
        <f>IF(AND('Resource Planner'!$A$67="☑",16&lt;='Resource Planner'!$N$67),'Resource Planner'!$C$67,"")</f>
        <v/>
      </c>
      <c r="C2870" s="163" t="str">
        <f>IF(AND('Resource Planner'!$A$67="☑",16&lt;='Resource Planner'!$N$67),'Resource Planner'!$B$67,"")</f>
        <v/>
      </c>
      <c r="D2870" s="163" t="str">
        <f>IF(AND('Resource Planner'!$A$67="☑",16&lt;='Resource Planner'!$N$67),'Resource Planner'!$D$67,"")</f>
        <v/>
      </c>
      <c r="E2870" s="163" t="str">
        <f>IF(AND('Resource Planner'!$A$67="☑",16&lt;='Resource Planner'!$N$67),'Resource Planner'!$E$67,"")</f>
        <v/>
      </c>
      <c r="F2870" s="163" t="str">
        <f>IF(AND('Resource Planner'!$A$67="☑",16&lt;='Resource Planner'!$N$67),'Resource Planner'!$F$67&amp;" "&amp;('Resource Planner'!$G$67+(16-1)*'Resource Planner'!$I$67)&amp;IF(('Resource Planner'!$G$67+(16-1)*'Resource Planner'!$I$67)=MIN('Resource Planner'!$G$67+16*'Resource Planner'!$I$67-1,'Resource Planner'!$H$67),"","–"&amp;MIN('Resource Planner'!$G$67+16*'Resource Planner'!$I$67-1,'Resource Planner'!$H$67)),"")</f>
        <v/>
      </c>
      <c r="G2870" s="163" t="s">
        <v>109</v>
      </c>
      <c r="H2870" s="163" t="str">
        <f>IF(AND('Resource Planner'!$A$67="☑",16&lt;='Resource Planner'!$N$67),'Resource Planner'!$M$67,"")</f>
        <v/>
      </c>
    </row>
    <row r="2871" ht="15.75" customHeight="1">
      <c r="A28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1" s="163" t="str">
        <f>IF(AND('Resource Planner'!$A$67="☑",17&lt;='Resource Planner'!$N$67),'Resource Planner'!$C$67,"")</f>
        <v/>
      </c>
      <c r="C2871" s="163" t="str">
        <f>IF(AND('Resource Planner'!$A$67="☑",17&lt;='Resource Planner'!$N$67),'Resource Planner'!$B$67,"")</f>
        <v/>
      </c>
      <c r="D2871" s="163" t="str">
        <f>IF(AND('Resource Planner'!$A$67="☑",17&lt;='Resource Planner'!$N$67),'Resource Planner'!$D$67,"")</f>
        <v/>
      </c>
      <c r="E2871" s="163" t="str">
        <f>IF(AND('Resource Planner'!$A$67="☑",17&lt;='Resource Planner'!$N$67),'Resource Planner'!$E$67,"")</f>
        <v/>
      </c>
      <c r="F2871" s="163" t="str">
        <f>IF(AND('Resource Planner'!$A$67="☑",17&lt;='Resource Planner'!$N$67),'Resource Planner'!$F$67&amp;" "&amp;('Resource Planner'!$G$67+(17-1)*'Resource Planner'!$I$67)&amp;IF(('Resource Planner'!$G$67+(17-1)*'Resource Planner'!$I$67)=MIN('Resource Planner'!$G$67+17*'Resource Planner'!$I$67-1,'Resource Planner'!$H$67),"","–"&amp;MIN('Resource Planner'!$G$67+17*'Resource Planner'!$I$67-1,'Resource Planner'!$H$67)),"")</f>
        <v/>
      </c>
      <c r="G2871" s="163" t="s">
        <v>109</v>
      </c>
      <c r="H2871" s="163" t="str">
        <f>IF(AND('Resource Planner'!$A$67="☑",17&lt;='Resource Planner'!$N$67),'Resource Planner'!$M$67,"")</f>
        <v/>
      </c>
    </row>
    <row r="2872" ht="15.75" customHeight="1">
      <c r="A28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2" s="163" t="str">
        <f>IF(AND('Resource Planner'!$A$67="☑",18&lt;='Resource Planner'!$N$67),'Resource Planner'!$C$67,"")</f>
        <v/>
      </c>
      <c r="C2872" s="163" t="str">
        <f>IF(AND('Resource Planner'!$A$67="☑",18&lt;='Resource Planner'!$N$67),'Resource Planner'!$B$67,"")</f>
        <v/>
      </c>
      <c r="D2872" s="163" t="str">
        <f>IF(AND('Resource Planner'!$A$67="☑",18&lt;='Resource Planner'!$N$67),'Resource Planner'!$D$67,"")</f>
        <v/>
      </c>
      <c r="E2872" s="163" t="str">
        <f>IF(AND('Resource Planner'!$A$67="☑",18&lt;='Resource Planner'!$N$67),'Resource Planner'!$E$67,"")</f>
        <v/>
      </c>
      <c r="F2872" s="163" t="str">
        <f>IF(AND('Resource Planner'!$A$67="☑",18&lt;='Resource Planner'!$N$67),'Resource Planner'!$F$67&amp;" "&amp;('Resource Planner'!$G$67+(18-1)*'Resource Planner'!$I$67)&amp;IF(('Resource Planner'!$G$67+(18-1)*'Resource Planner'!$I$67)=MIN('Resource Planner'!$G$67+18*'Resource Planner'!$I$67-1,'Resource Planner'!$H$67),"","–"&amp;MIN('Resource Planner'!$G$67+18*'Resource Planner'!$I$67-1,'Resource Planner'!$H$67)),"")</f>
        <v/>
      </c>
      <c r="G2872" s="163" t="s">
        <v>109</v>
      </c>
      <c r="H2872" s="163" t="str">
        <f>IF(AND('Resource Planner'!$A$67="☑",18&lt;='Resource Planner'!$N$67),'Resource Planner'!$M$67,"")</f>
        <v/>
      </c>
    </row>
    <row r="2873" ht="15.75" customHeight="1">
      <c r="A28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3" s="163" t="str">
        <f>IF(AND('Resource Planner'!$A$67="☑",19&lt;='Resource Planner'!$N$67),'Resource Planner'!$C$67,"")</f>
        <v/>
      </c>
      <c r="C2873" s="163" t="str">
        <f>IF(AND('Resource Planner'!$A$67="☑",19&lt;='Resource Planner'!$N$67),'Resource Planner'!$B$67,"")</f>
        <v/>
      </c>
      <c r="D2873" s="163" t="str">
        <f>IF(AND('Resource Planner'!$A$67="☑",19&lt;='Resource Planner'!$N$67),'Resource Planner'!$D$67,"")</f>
        <v/>
      </c>
      <c r="E2873" s="163" t="str">
        <f>IF(AND('Resource Planner'!$A$67="☑",19&lt;='Resource Planner'!$N$67),'Resource Planner'!$E$67,"")</f>
        <v/>
      </c>
      <c r="F2873" s="163" t="str">
        <f>IF(AND('Resource Planner'!$A$67="☑",19&lt;='Resource Planner'!$N$67),'Resource Planner'!$F$67&amp;" "&amp;('Resource Planner'!$G$67+(19-1)*'Resource Planner'!$I$67)&amp;IF(('Resource Planner'!$G$67+(19-1)*'Resource Planner'!$I$67)=MIN('Resource Planner'!$G$67+19*'Resource Planner'!$I$67-1,'Resource Planner'!$H$67),"","–"&amp;MIN('Resource Planner'!$G$67+19*'Resource Planner'!$I$67-1,'Resource Planner'!$H$67)),"")</f>
        <v/>
      </c>
      <c r="G2873" s="163" t="s">
        <v>109</v>
      </c>
      <c r="H2873" s="163" t="str">
        <f>IF(AND('Resource Planner'!$A$67="☑",19&lt;='Resource Planner'!$N$67),'Resource Planner'!$M$67,"")</f>
        <v/>
      </c>
    </row>
    <row r="2874" ht="15.75" customHeight="1">
      <c r="A28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4" s="163" t="str">
        <f>IF(AND('Resource Planner'!$A$67="☑",20&lt;='Resource Planner'!$N$67),'Resource Planner'!$C$67,"")</f>
        <v/>
      </c>
      <c r="C2874" s="163" t="str">
        <f>IF(AND('Resource Planner'!$A$67="☑",20&lt;='Resource Planner'!$N$67),'Resource Planner'!$B$67,"")</f>
        <v/>
      </c>
      <c r="D2874" s="163" t="str">
        <f>IF(AND('Resource Planner'!$A$67="☑",20&lt;='Resource Planner'!$N$67),'Resource Planner'!$D$67,"")</f>
        <v/>
      </c>
      <c r="E2874" s="163" t="str">
        <f>IF(AND('Resource Planner'!$A$67="☑",20&lt;='Resource Planner'!$N$67),'Resource Planner'!$E$67,"")</f>
        <v/>
      </c>
      <c r="F2874" s="163" t="str">
        <f>IF(AND('Resource Planner'!$A$67="☑",20&lt;='Resource Planner'!$N$67),'Resource Planner'!$F$67&amp;" "&amp;('Resource Planner'!$G$67+(20-1)*'Resource Planner'!$I$67)&amp;IF(('Resource Planner'!$G$67+(20-1)*'Resource Planner'!$I$67)=MIN('Resource Planner'!$G$67+20*'Resource Planner'!$I$67-1,'Resource Planner'!$H$67),"","–"&amp;MIN('Resource Planner'!$G$67+20*'Resource Planner'!$I$67-1,'Resource Planner'!$H$67)),"")</f>
        <v/>
      </c>
      <c r="G2874" s="163" t="s">
        <v>109</v>
      </c>
      <c r="H2874" s="163" t="str">
        <f>IF(AND('Resource Planner'!$A$67="☑",20&lt;='Resource Planner'!$N$67),'Resource Planner'!$M$67,"")</f>
        <v/>
      </c>
    </row>
    <row r="2875" ht="15.75" customHeight="1">
      <c r="A28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5" s="163" t="str">
        <f>IF(AND('Resource Planner'!$A$67="☑",21&lt;='Resource Planner'!$N$67),'Resource Planner'!$C$67,"")</f>
        <v/>
      </c>
      <c r="C2875" s="163" t="str">
        <f>IF(AND('Resource Planner'!$A$67="☑",21&lt;='Resource Planner'!$N$67),'Resource Planner'!$B$67,"")</f>
        <v/>
      </c>
      <c r="D2875" s="163" t="str">
        <f>IF(AND('Resource Planner'!$A$67="☑",21&lt;='Resource Planner'!$N$67),'Resource Planner'!$D$67,"")</f>
        <v/>
      </c>
      <c r="E2875" s="163" t="str">
        <f>IF(AND('Resource Planner'!$A$67="☑",21&lt;='Resource Planner'!$N$67),'Resource Planner'!$E$67,"")</f>
        <v/>
      </c>
      <c r="F2875" s="163" t="str">
        <f>IF(AND('Resource Planner'!$A$67="☑",21&lt;='Resource Planner'!$N$67),'Resource Planner'!$F$67&amp;" "&amp;('Resource Planner'!$G$67+(21-1)*'Resource Planner'!$I$67)&amp;IF(('Resource Planner'!$G$67+(21-1)*'Resource Planner'!$I$67)=MIN('Resource Planner'!$G$67+21*'Resource Planner'!$I$67-1,'Resource Planner'!$H$67),"","–"&amp;MIN('Resource Planner'!$G$67+21*'Resource Planner'!$I$67-1,'Resource Planner'!$H$67)),"")</f>
        <v/>
      </c>
      <c r="G2875" s="163" t="s">
        <v>109</v>
      </c>
      <c r="H2875" s="163" t="str">
        <f>IF(AND('Resource Planner'!$A$67="☑",21&lt;='Resource Planner'!$N$67),'Resource Planner'!$M$67,"")</f>
        <v/>
      </c>
    </row>
    <row r="2876" ht="15.75" customHeight="1">
      <c r="A28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6" s="163" t="str">
        <f>IF(AND('Resource Planner'!$A$67="☑",22&lt;='Resource Planner'!$N$67),'Resource Planner'!$C$67,"")</f>
        <v/>
      </c>
      <c r="C2876" s="163" t="str">
        <f>IF(AND('Resource Planner'!$A$67="☑",22&lt;='Resource Planner'!$N$67),'Resource Planner'!$B$67,"")</f>
        <v/>
      </c>
      <c r="D2876" s="163" t="str">
        <f>IF(AND('Resource Planner'!$A$67="☑",22&lt;='Resource Planner'!$N$67),'Resource Planner'!$D$67,"")</f>
        <v/>
      </c>
      <c r="E2876" s="163" t="str">
        <f>IF(AND('Resource Planner'!$A$67="☑",22&lt;='Resource Planner'!$N$67),'Resource Planner'!$E$67,"")</f>
        <v/>
      </c>
      <c r="F2876" s="163" t="str">
        <f>IF(AND('Resource Planner'!$A$67="☑",22&lt;='Resource Planner'!$N$67),'Resource Planner'!$F$67&amp;" "&amp;('Resource Planner'!$G$67+(22-1)*'Resource Planner'!$I$67)&amp;IF(('Resource Planner'!$G$67+(22-1)*'Resource Planner'!$I$67)=MIN('Resource Planner'!$G$67+22*'Resource Planner'!$I$67-1,'Resource Planner'!$H$67),"","–"&amp;MIN('Resource Planner'!$G$67+22*'Resource Planner'!$I$67-1,'Resource Planner'!$H$67)),"")</f>
        <v/>
      </c>
      <c r="G2876" s="163" t="s">
        <v>109</v>
      </c>
      <c r="H2876" s="163" t="str">
        <f>IF(AND('Resource Planner'!$A$67="☑",22&lt;='Resource Planner'!$N$67),'Resource Planner'!$M$67,"")</f>
        <v/>
      </c>
    </row>
    <row r="2877" ht="15.75" customHeight="1">
      <c r="A28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7" s="163" t="str">
        <f>IF(AND('Resource Planner'!$A$67="☑",23&lt;='Resource Planner'!$N$67),'Resource Planner'!$C$67,"")</f>
        <v/>
      </c>
      <c r="C2877" s="163" t="str">
        <f>IF(AND('Resource Planner'!$A$67="☑",23&lt;='Resource Planner'!$N$67),'Resource Planner'!$B$67,"")</f>
        <v/>
      </c>
      <c r="D2877" s="163" t="str">
        <f>IF(AND('Resource Planner'!$A$67="☑",23&lt;='Resource Planner'!$N$67),'Resource Planner'!$D$67,"")</f>
        <v/>
      </c>
      <c r="E2877" s="163" t="str">
        <f>IF(AND('Resource Planner'!$A$67="☑",23&lt;='Resource Planner'!$N$67),'Resource Planner'!$E$67,"")</f>
        <v/>
      </c>
      <c r="F2877" s="163" t="str">
        <f>IF(AND('Resource Planner'!$A$67="☑",23&lt;='Resource Planner'!$N$67),'Resource Planner'!$F$67&amp;" "&amp;('Resource Planner'!$G$67+(23-1)*'Resource Planner'!$I$67)&amp;IF(('Resource Planner'!$G$67+(23-1)*'Resource Planner'!$I$67)=MIN('Resource Planner'!$G$67+23*'Resource Planner'!$I$67-1,'Resource Planner'!$H$67),"","–"&amp;MIN('Resource Planner'!$G$67+23*'Resource Planner'!$I$67-1,'Resource Planner'!$H$67)),"")</f>
        <v/>
      </c>
      <c r="G2877" s="163" t="s">
        <v>109</v>
      </c>
      <c r="H2877" s="163" t="str">
        <f>IF(AND('Resource Planner'!$A$67="☑",23&lt;='Resource Planner'!$N$67),'Resource Planner'!$M$67,"")</f>
        <v/>
      </c>
    </row>
    <row r="2878" ht="15.75" customHeight="1">
      <c r="A28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8" s="163" t="str">
        <f>IF(AND('Resource Planner'!$A$67="☑",24&lt;='Resource Planner'!$N$67),'Resource Planner'!$C$67,"")</f>
        <v/>
      </c>
      <c r="C2878" s="163" t="str">
        <f>IF(AND('Resource Planner'!$A$67="☑",24&lt;='Resource Planner'!$N$67),'Resource Planner'!$B$67,"")</f>
        <v/>
      </c>
      <c r="D2878" s="163" t="str">
        <f>IF(AND('Resource Planner'!$A$67="☑",24&lt;='Resource Planner'!$N$67),'Resource Planner'!$D$67,"")</f>
        <v/>
      </c>
      <c r="E2878" s="163" t="str">
        <f>IF(AND('Resource Planner'!$A$67="☑",24&lt;='Resource Planner'!$N$67),'Resource Planner'!$E$67,"")</f>
        <v/>
      </c>
      <c r="F2878" s="163" t="str">
        <f>IF(AND('Resource Planner'!$A$67="☑",24&lt;='Resource Planner'!$N$67),'Resource Planner'!$F$67&amp;" "&amp;('Resource Planner'!$G$67+(24-1)*'Resource Planner'!$I$67)&amp;IF(('Resource Planner'!$G$67+(24-1)*'Resource Planner'!$I$67)=MIN('Resource Planner'!$G$67+24*'Resource Planner'!$I$67-1,'Resource Planner'!$H$67),"","–"&amp;MIN('Resource Planner'!$G$67+24*'Resource Planner'!$I$67-1,'Resource Planner'!$H$67)),"")</f>
        <v/>
      </c>
      <c r="G2878" s="163" t="s">
        <v>109</v>
      </c>
      <c r="H2878" s="163" t="str">
        <f>IF(AND('Resource Planner'!$A$67="☑",24&lt;='Resource Planner'!$N$67),'Resource Planner'!$M$67,"")</f>
        <v/>
      </c>
    </row>
    <row r="2879" ht="15.75" customHeight="1">
      <c r="A28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79" s="163" t="str">
        <f>IF(AND('Resource Planner'!$A$67="☑",25&lt;='Resource Planner'!$N$67),'Resource Planner'!$C$67,"")</f>
        <v/>
      </c>
      <c r="C2879" s="163" t="str">
        <f>IF(AND('Resource Planner'!$A$67="☑",25&lt;='Resource Planner'!$N$67),'Resource Planner'!$B$67,"")</f>
        <v/>
      </c>
      <c r="D2879" s="163" t="str">
        <f>IF(AND('Resource Planner'!$A$67="☑",25&lt;='Resource Planner'!$N$67),'Resource Planner'!$D$67,"")</f>
        <v/>
      </c>
      <c r="E2879" s="163" t="str">
        <f>IF(AND('Resource Planner'!$A$67="☑",25&lt;='Resource Planner'!$N$67),'Resource Planner'!$E$67,"")</f>
        <v/>
      </c>
      <c r="F2879" s="163" t="str">
        <f>IF(AND('Resource Planner'!$A$67="☑",25&lt;='Resource Planner'!$N$67),'Resource Planner'!$F$67&amp;" "&amp;('Resource Planner'!$G$67+(25-1)*'Resource Planner'!$I$67)&amp;IF(('Resource Planner'!$G$67+(25-1)*'Resource Planner'!$I$67)=MIN('Resource Planner'!$G$67+25*'Resource Planner'!$I$67-1,'Resource Planner'!$H$67),"","–"&amp;MIN('Resource Planner'!$G$67+25*'Resource Planner'!$I$67-1,'Resource Planner'!$H$67)),"")</f>
        <v/>
      </c>
      <c r="G2879" s="163" t="s">
        <v>109</v>
      </c>
      <c r="H2879" s="163" t="str">
        <f>IF(AND('Resource Planner'!$A$67="☑",25&lt;='Resource Planner'!$N$67),'Resource Planner'!$M$67,"")</f>
        <v/>
      </c>
    </row>
    <row r="2880" ht="15.75" customHeight="1">
      <c r="A28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0" s="163" t="str">
        <f>IF(AND('Resource Planner'!$A$67="☑",26&lt;='Resource Planner'!$N$67),'Resource Planner'!$C$67,"")</f>
        <v/>
      </c>
      <c r="C2880" s="163" t="str">
        <f>IF(AND('Resource Planner'!$A$67="☑",26&lt;='Resource Planner'!$N$67),'Resource Planner'!$B$67,"")</f>
        <v/>
      </c>
      <c r="D2880" s="163" t="str">
        <f>IF(AND('Resource Planner'!$A$67="☑",26&lt;='Resource Planner'!$N$67),'Resource Planner'!$D$67,"")</f>
        <v/>
      </c>
      <c r="E2880" s="163" t="str">
        <f>IF(AND('Resource Planner'!$A$67="☑",26&lt;='Resource Planner'!$N$67),'Resource Planner'!$E$67,"")</f>
        <v/>
      </c>
      <c r="F2880" s="163" t="str">
        <f>IF(AND('Resource Planner'!$A$67="☑",26&lt;='Resource Planner'!$N$67),'Resource Planner'!$F$67&amp;" "&amp;('Resource Planner'!$G$67+(26-1)*'Resource Planner'!$I$67)&amp;IF(('Resource Planner'!$G$67+(26-1)*'Resource Planner'!$I$67)=MIN('Resource Planner'!$G$67+26*'Resource Planner'!$I$67-1,'Resource Planner'!$H$67),"","–"&amp;MIN('Resource Planner'!$G$67+26*'Resource Planner'!$I$67-1,'Resource Planner'!$H$67)),"")</f>
        <v/>
      </c>
      <c r="G2880" s="163" t="s">
        <v>109</v>
      </c>
      <c r="H2880" s="163" t="str">
        <f>IF(AND('Resource Planner'!$A$67="☑",26&lt;='Resource Planner'!$N$67),'Resource Planner'!$M$67,"")</f>
        <v/>
      </c>
    </row>
    <row r="2881" ht="15.75" customHeight="1">
      <c r="A28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1" s="163" t="str">
        <f>IF(AND('Resource Planner'!$A$67="☑",27&lt;='Resource Planner'!$N$67),'Resource Planner'!$C$67,"")</f>
        <v/>
      </c>
      <c r="C2881" s="163" t="str">
        <f>IF(AND('Resource Planner'!$A$67="☑",27&lt;='Resource Planner'!$N$67),'Resource Planner'!$B$67,"")</f>
        <v/>
      </c>
      <c r="D2881" s="163" t="str">
        <f>IF(AND('Resource Planner'!$A$67="☑",27&lt;='Resource Planner'!$N$67),'Resource Planner'!$D$67,"")</f>
        <v/>
      </c>
      <c r="E2881" s="163" t="str">
        <f>IF(AND('Resource Planner'!$A$67="☑",27&lt;='Resource Planner'!$N$67),'Resource Planner'!$E$67,"")</f>
        <v/>
      </c>
      <c r="F2881" s="163" t="str">
        <f>IF(AND('Resource Planner'!$A$67="☑",27&lt;='Resource Planner'!$N$67),'Resource Planner'!$F$67&amp;" "&amp;('Resource Planner'!$G$67+(27-1)*'Resource Planner'!$I$67)&amp;IF(('Resource Planner'!$G$67+(27-1)*'Resource Planner'!$I$67)=MIN('Resource Planner'!$G$67+27*'Resource Planner'!$I$67-1,'Resource Planner'!$H$67),"","–"&amp;MIN('Resource Planner'!$G$67+27*'Resource Planner'!$I$67-1,'Resource Planner'!$H$67)),"")</f>
        <v/>
      </c>
      <c r="G2881" s="163" t="s">
        <v>109</v>
      </c>
      <c r="H2881" s="163" t="str">
        <f>IF(AND('Resource Planner'!$A$67="☑",27&lt;='Resource Planner'!$N$67),'Resource Planner'!$M$67,"")</f>
        <v/>
      </c>
    </row>
    <row r="2882" ht="15.75" customHeight="1">
      <c r="A28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2" s="163" t="str">
        <f>IF(AND('Resource Planner'!$A$67="☑",28&lt;='Resource Planner'!$N$67),'Resource Planner'!$C$67,"")</f>
        <v/>
      </c>
      <c r="C2882" s="163" t="str">
        <f>IF(AND('Resource Planner'!$A$67="☑",28&lt;='Resource Planner'!$N$67),'Resource Planner'!$B$67,"")</f>
        <v/>
      </c>
      <c r="D2882" s="163" t="str">
        <f>IF(AND('Resource Planner'!$A$67="☑",28&lt;='Resource Planner'!$N$67),'Resource Planner'!$D$67,"")</f>
        <v/>
      </c>
      <c r="E2882" s="163" t="str">
        <f>IF(AND('Resource Planner'!$A$67="☑",28&lt;='Resource Planner'!$N$67),'Resource Planner'!$E$67,"")</f>
        <v/>
      </c>
      <c r="F2882" s="163" t="str">
        <f>IF(AND('Resource Planner'!$A$67="☑",28&lt;='Resource Planner'!$N$67),'Resource Planner'!$F$67&amp;" "&amp;('Resource Planner'!$G$67+(28-1)*'Resource Planner'!$I$67)&amp;IF(('Resource Planner'!$G$67+(28-1)*'Resource Planner'!$I$67)=MIN('Resource Planner'!$G$67+28*'Resource Planner'!$I$67-1,'Resource Planner'!$H$67),"","–"&amp;MIN('Resource Planner'!$G$67+28*'Resource Planner'!$I$67-1,'Resource Planner'!$H$67)),"")</f>
        <v/>
      </c>
      <c r="G2882" s="163" t="s">
        <v>109</v>
      </c>
      <c r="H2882" s="163" t="str">
        <f>IF(AND('Resource Planner'!$A$67="☑",28&lt;='Resource Planner'!$N$67),'Resource Planner'!$M$67,"")</f>
        <v/>
      </c>
    </row>
    <row r="2883" ht="15.75" customHeight="1">
      <c r="A28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3" s="163" t="str">
        <f>IF(AND('Resource Planner'!$A$67="☑",29&lt;='Resource Planner'!$N$67),'Resource Planner'!$C$67,"")</f>
        <v/>
      </c>
      <c r="C2883" s="163" t="str">
        <f>IF(AND('Resource Planner'!$A$67="☑",29&lt;='Resource Planner'!$N$67),'Resource Planner'!$B$67,"")</f>
        <v/>
      </c>
      <c r="D2883" s="163" t="str">
        <f>IF(AND('Resource Planner'!$A$67="☑",29&lt;='Resource Planner'!$N$67),'Resource Planner'!$D$67,"")</f>
        <v/>
      </c>
      <c r="E2883" s="163" t="str">
        <f>IF(AND('Resource Planner'!$A$67="☑",29&lt;='Resource Planner'!$N$67),'Resource Planner'!$E$67,"")</f>
        <v/>
      </c>
      <c r="F2883" s="163" t="str">
        <f>IF(AND('Resource Planner'!$A$67="☑",29&lt;='Resource Planner'!$N$67),'Resource Planner'!$F$67&amp;" "&amp;('Resource Planner'!$G$67+(29-1)*'Resource Planner'!$I$67)&amp;IF(('Resource Planner'!$G$67+(29-1)*'Resource Planner'!$I$67)=MIN('Resource Planner'!$G$67+29*'Resource Planner'!$I$67-1,'Resource Planner'!$H$67),"","–"&amp;MIN('Resource Planner'!$G$67+29*'Resource Planner'!$I$67-1,'Resource Planner'!$H$67)),"")</f>
        <v/>
      </c>
      <c r="G2883" s="163" t="s">
        <v>109</v>
      </c>
      <c r="H2883" s="163" t="str">
        <f>IF(AND('Resource Planner'!$A$67="☑",29&lt;='Resource Planner'!$N$67),'Resource Planner'!$M$67,"")</f>
        <v/>
      </c>
    </row>
    <row r="2884" ht="15.75" customHeight="1">
      <c r="A28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4" s="163" t="str">
        <f>IF(AND('Resource Planner'!$A$67="☑",30&lt;='Resource Planner'!$N$67),'Resource Planner'!$C$67,"")</f>
        <v/>
      </c>
      <c r="C2884" s="163" t="str">
        <f>IF(AND('Resource Planner'!$A$67="☑",30&lt;='Resource Planner'!$N$67),'Resource Planner'!$B$67,"")</f>
        <v/>
      </c>
      <c r="D2884" s="163" t="str">
        <f>IF(AND('Resource Planner'!$A$67="☑",30&lt;='Resource Planner'!$N$67),'Resource Planner'!$D$67,"")</f>
        <v/>
      </c>
      <c r="E2884" s="163" t="str">
        <f>IF(AND('Resource Planner'!$A$67="☑",30&lt;='Resource Planner'!$N$67),'Resource Planner'!$E$67,"")</f>
        <v/>
      </c>
      <c r="F2884" s="163" t="str">
        <f>IF(AND('Resource Planner'!$A$67="☑",30&lt;='Resource Planner'!$N$67),'Resource Planner'!$F$67&amp;" "&amp;('Resource Planner'!$G$67+(30-1)*'Resource Planner'!$I$67)&amp;IF(('Resource Planner'!$G$67+(30-1)*'Resource Planner'!$I$67)=MIN('Resource Planner'!$G$67+30*'Resource Planner'!$I$67-1,'Resource Planner'!$H$67),"","–"&amp;MIN('Resource Planner'!$G$67+30*'Resource Planner'!$I$67-1,'Resource Planner'!$H$67)),"")</f>
        <v/>
      </c>
      <c r="G2884" s="163" t="s">
        <v>109</v>
      </c>
      <c r="H2884" s="163" t="str">
        <f>IF(AND('Resource Planner'!$A$67="☑",30&lt;='Resource Planner'!$N$67),'Resource Planner'!$M$67,"")</f>
        <v/>
      </c>
    </row>
    <row r="2885" ht="15.75" customHeight="1">
      <c r="A28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5" s="163" t="str">
        <f>IF(AND('Resource Planner'!$A$67="☑",31&lt;='Resource Planner'!$N$67),'Resource Planner'!$C$67,"")</f>
        <v/>
      </c>
      <c r="C2885" s="163" t="str">
        <f>IF(AND('Resource Planner'!$A$67="☑",31&lt;='Resource Planner'!$N$67),'Resource Planner'!$B$67,"")</f>
        <v/>
      </c>
      <c r="D2885" s="163" t="str">
        <f>IF(AND('Resource Planner'!$A$67="☑",31&lt;='Resource Planner'!$N$67),'Resource Planner'!$D$67,"")</f>
        <v/>
      </c>
      <c r="E2885" s="163" t="str">
        <f>IF(AND('Resource Planner'!$A$67="☑",31&lt;='Resource Planner'!$N$67),'Resource Planner'!$E$67,"")</f>
        <v/>
      </c>
      <c r="F2885" s="163" t="str">
        <f>IF(AND('Resource Planner'!$A$67="☑",31&lt;='Resource Planner'!$N$67),'Resource Planner'!$F$67&amp;" "&amp;('Resource Planner'!$G$67+(31-1)*'Resource Planner'!$I$67)&amp;IF(('Resource Planner'!$G$67+(31-1)*'Resource Planner'!$I$67)=MIN('Resource Planner'!$G$67+31*'Resource Planner'!$I$67-1,'Resource Planner'!$H$67),"","–"&amp;MIN('Resource Planner'!$G$67+31*'Resource Planner'!$I$67-1,'Resource Planner'!$H$67)),"")</f>
        <v/>
      </c>
      <c r="G2885" s="163" t="s">
        <v>109</v>
      </c>
      <c r="H2885" s="163" t="str">
        <f>IF(AND('Resource Planner'!$A$67="☑",31&lt;='Resource Planner'!$N$67),'Resource Planner'!$M$67,"")</f>
        <v/>
      </c>
    </row>
    <row r="2886" ht="15.75" customHeight="1">
      <c r="A28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6" s="163" t="str">
        <f>IF(AND('Resource Planner'!$A$67="☑",32&lt;='Resource Planner'!$N$67),'Resource Planner'!$C$67,"")</f>
        <v/>
      </c>
      <c r="C2886" s="163" t="str">
        <f>IF(AND('Resource Planner'!$A$67="☑",32&lt;='Resource Planner'!$N$67),'Resource Planner'!$B$67,"")</f>
        <v/>
      </c>
      <c r="D2886" s="163" t="str">
        <f>IF(AND('Resource Planner'!$A$67="☑",32&lt;='Resource Planner'!$N$67),'Resource Planner'!$D$67,"")</f>
        <v/>
      </c>
      <c r="E2886" s="163" t="str">
        <f>IF(AND('Resource Planner'!$A$67="☑",32&lt;='Resource Planner'!$N$67),'Resource Planner'!$E$67,"")</f>
        <v/>
      </c>
      <c r="F2886" s="163" t="str">
        <f>IF(AND('Resource Planner'!$A$67="☑",32&lt;='Resource Planner'!$N$67),'Resource Planner'!$F$67&amp;" "&amp;('Resource Planner'!$G$67+(32-1)*'Resource Planner'!$I$67)&amp;IF(('Resource Planner'!$G$67+(32-1)*'Resource Planner'!$I$67)=MIN('Resource Planner'!$G$67+32*'Resource Planner'!$I$67-1,'Resource Planner'!$H$67),"","–"&amp;MIN('Resource Planner'!$G$67+32*'Resource Planner'!$I$67-1,'Resource Planner'!$H$67)),"")</f>
        <v/>
      </c>
      <c r="G2886" s="163" t="s">
        <v>109</v>
      </c>
      <c r="H2886" s="163" t="str">
        <f>IF(AND('Resource Planner'!$A$67="☑",32&lt;='Resource Planner'!$N$67),'Resource Planner'!$M$67,"")</f>
        <v/>
      </c>
    </row>
    <row r="2887" ht="15.75" customHeight="1">
      <c r="A28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7" s="163" t="str">
        <f>IF(AND('Resource Planner'!$A$67="☑",33&lt;='Resource Planner'!$N$67),'Resource Planner'!$C$67,"")</f>
        <v/>
      </c>
      <c r="C2887" s="163" t="str">
        <f>IF(AND('Resource Planner'!$A$67="☑",33&lt;='Resource Planner'!$N$67),'Resource Planner'!$B$67,"")</f>
        <v/>
      </c>
      <c r="D2887" s="163" t="str">
        <f>IF(AND('Resource Planner'!$A$67="☑",33&lt;='Resource Planner'!$N$67),'Resource Planner'!$D$67,"")</f>
        <v/>
      </c>
      <c r="E2887" s="163" t="str">
        <f>IF(AND('Resource Planner'!$A$67="☑",33&lt;='Resource Planner'!$N$67),'Resource Planner'!$E$67,"")</f>
        <v/>
      </c>
      <c r="F2887" s="163" t="str">
        <f>IF(AND('Resource Planner'!$A$67="☑",33&lt;='Resource Planner'!$N$67),'Resource Planner'!$F$67&amp;" "&amp;('Resource Planner'!$G$67+(33-1)*'Resource Planner'!$I$67)&amp;IF(('Resource Planner'!$G$67+(33-1)*'Resource Planner'!$I$67)=MIN('Resource Planner'!$G$67+33*'Resource Planner'!$I$67-1,'Resource Planner'!$H$67),"","–"&amp;MIN('Resource Planner'!$G$67+33*'Resource Planner'!$I$67-1,'Resource Planner'!$H$67)),"")</f>
        <v/>
      </c>
      <c r="G2887" s="163" t="s">
        <v>109</v>
      </c>
      <c r="H2887" s="163" t="str">
        <f>IF(AND('Resource Planner'!$A$67="☑",33&lt;='Resource Planner'!$N$67),'Resource Planner'!$M$67,"")</f>
        <v/>
      </c>
    </row>
    <row r="2888" ht="15.75" customHeight="1">
      <c r="A28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8" s="163" t="str">
        <f>IF(AND('Resource Planner'!$A$67="☑",34&lt;='Resource Planner'!$N$67),'Resource Planner'!$C$67,"")</f>
        <v/>
      </c>
      <c r="C2888" s="163" t="str">
        <f>IF(AND('Resource Planner'!$A$67="☑",34&lt;='Resource Planner'!$N$67),'Resource Planner'!$B$67,"")</f>
        <v/>
      </c>
      <c r="D2888" s="163" t="str">
        <f>IF(AND('Resource Planner'!$A$67="☑",34&lt;='Resource Planner'!$N$67),'Resource Planner'!$D$67,"")</f>
        <v/>
      </c>
      <c r="E2888" s="163" t="str">
        <f>IF(AND('Resource Planner'!$A$67="☑",34&lt;='Resource Planner'!$N$67),'Resource Planner'!$E$67,"")</f>
        <v/>
      </c>
      <c r="F2888" s="163" t="str">
        <f>IF(AND('Resource Planner'!$A$67="☑",34&lt;='Resource Planner'!$N$67),'Resource Planner'!$F$67&amp;" "&amp;('Resource Planner'!$G$67+(34-1)*'Resource Planner'!$I$67)&amp;IF(('Resource Planner'!$G$67+(34-1)*'Resource Planner'!$I$67)=MIN('Resource Planner'!$G$67+34*'Resource Planner'!$I$67-1,'Resource Planner'!$H$67),"","–"&amp;MIN('Resource Planner'!$G$67+34*'Resource Planner'!$I$67-1,'Resource Planner'!$H$67)),"")</f>
        <v/>
      </c>
      <c r="G2888" s="163" t="s">
        <v>109</v>
      </c>
      <c r="H2888" s="163" t="str">
        <f>IF(AND('Resource Planner'!$A$67="☑",34&lt;='Resource Planner'!$N$67),'Resource Planner'!$M$67,"")</f>
        <v/>
      </c>
    </row>
    <row r="2889" ht="15.75" customHeight="1">
      <c r="A28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89" s="163" t="str">
        <f>IF(AND('Resource Planner'!$A$67="☑",35&lt;='Resource Planner'!$N$67),'Resource Planner'!$C$67,"")</f>
        <v/>
      </c>
      <c r="C2889" s="163" t="str">
        <f>IF(AND('Resource Planner'!$A$67="☑",35&lt;='Resource Planner'!$N$67),'Resource Planner'!$B$67,"")</f>
        <v/>
      </c>
      <c r="D2889" s="163" t="str">
        <f>IF(AND('Resource Planner'!$A$67="☑",35&lt;='Resource Planner'!$N$67),'Resource Planner'!$D$67,"")</f>
        <v/>
      </c>
      <c r="E2889" s="163" t="str">
        <f>IF(AND('Resource Planner'!$A$67="☑",35&lt;='Resource Planner'!$N$67),'Resource Planner'!$E$67,"")</f>
        <v/>
      </c>
      <c r="F2889" s="163" t="str">
        <f>IF(AND('Resource Planner'!$A$67="☑",35&lt;='Resource Planner'!$N$67),'Resource Planner'!$F$67&amp;" "&amp;('Resource Planner'!$G$67+(35-1)*'Resource Planner'!$I$67)&amp;IF(('Resource Planner'!$G$67+(35-1)*'Resource Planner'!$I$67)=MIN('Resource Planner'!$G$67+35*'Resource Planner'!$I$67-1,'Resource Planner'!$H$67),"","–"&amp;MIN('Resource Planner'!$G$67+35*'Resource Planner'!$I$67-1,'Resource Planner'!$H$67)),"")</f>
        <v/>
      </c>
      <c r="G2889" s="163" t="s">
        <v>109</v>
      </c>
      <c r="H2889" s="163" t="str">
        <f>IF(AND('Resource Planner'!$A$67="☑",35&lt;='Resource Planner'!$N$67),'Resource Planner'!$M$67,"")</f>
        <v/>
      </c>
    </row>
    <row r="2890" ht="15.75" customHeight="1">
      <c r="A28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0" s="163" t="str">
        <f>IF(AND('Resource Planner'!$A$67="☑",36&lt;='Resource Planner'!$N$67),'Resource Planner'!$C$67,"")</f>
        <v/>
      </c>
      <c r="C2890" s="163" t="str">
        <f>IF(AND('Resource Planner'!$A$67="☑",36&lt;='Resource Planner'!$N$67),'Resource Planner'!$B$67,"")</f>
        <v/>
      </c>
      <c r="D2890" s="163" t="str">
        <f>IF(AND('Resource Planner'!$A$67="☑",36&lt;='Resource Planner'!$N$67),'Resource Planner'!$D$67,"")</f>
        <v/>
      </c>
      <c r="E2890" s="163" t="str">
        <f>IF(AND('Resource Planner'!$A$67="☑",36&lt;='Resource Planner'!$N$67),'Resource Planner'!$E$67,"")</f>
        <v/>
      </c>
      <c r="F2890" s="163" t="str">
        <f>IF(AND('Resource Planner'!$A$67="☑",36&lt;='Resource Planner'!$N$67),'Resource Planner'!$F$67&amp;" "&amp;('Resource Planner'!$G$67+(36-1)*'Resource Planner'!$I$67)&amp;IF(('Resource Planner'!$G$67+(36-1)*'Resource Planner'!$I$67)=MIN('Resource Planner'!$G$67+36*'Resource Planner'!$I$67-1,'Resource Planner'!$H$67),"","–"&amp;MIN('Resource Planner'!$G$67+36*'Resource Planner'!$I$67-1,'Resource Planner'!$H$67)),"")</f>
        <v/>
      </c>
      <c r="G2890" s="163" t="s">
        <v>109</v>
      </c>
      <c r="H2890" s="163" t="str">
        <f>IF(AND('Resource Planner'!$A$67="☑",36&lt;='Resource Planner'!$N$67),'Resource Planner'!$M$67,"")</f>
        <v/>
      </c>
    </row>
    <row r="2891" ht="15.75" customHeight="1">
      <c r="A28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1" s="163" t="str">
        <f>IF(AND('Resource Planner'!$A$67="☑",37&lt;='Resource Planner'!$N$67),'Resource Planner'!$C$67,"")</f>
        <v/>
      </c>
      <c r="C2891" s="163" t="str">
        <f>IF(AND('Resource Planner'!$A$67="☑",37&lt;='Resource Planner'!$N$67),'Resource Planner'!$B$67,"")</f>
        <v/>
      </c>
      <c r="D2891" s="163" t="str">
        <f>IF(AND('Resource Planner'!$A$67="☑",37&lt;='Resource Planner'!$N$67),'Resource Planner'!$D$67,"")</f>
        <v/>
      </c>
      <c r="E2891" s="163" t="str">
        <f>IF(AND('Resource Planner'!$A$67="☑",37&lt;='Resource Planner'!$N$67),'Resource Planner'!$E$67,"")</f>
        <v/>
      </c>
      <c r="F2891" s="163" t="str">
        <f>IF(AND('Resource Planner'!$A$67="☑",37&lt;='Resource Planner'!$N$67),'Resource Planner'!$F$67&amp;" "&amp;('Resource Planner'!$G$67+(37-1)*'Resource Planner'!$I$67)&amp;IF(('Resource Planner'!$G$67+(37-1)*'Resource Planner'!$I$67)=MIN('Resource Planner'!$G$67+37*'Resource Planner'!$I$67-1,'Resource Planner'!$H$67),"","–"&amp;MIN('Resource Planner'!$G$67+37*'Resource Planner'!$I$67-1,'Resource Planner'!$H$67)),"")</f>
        <v/>
      </c>
      <c r="G2891" s="163" t="s">
        <v>109</v>
      </c>
      <c r="H2891" s="163" t="str">
        <f>IF(AND('Resource Planner'!$A$67="☑",37&lt;='Resource Planner'!$N$67),'Resource Planner'!$M$67,"")</f>
        <v/>
      </c>
    </row>
    <row r="2892" ht="15.75" customHeight="1">
      <c r="A28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2" s="163" t="str">
        <f>IF(AND('Resource Planner'!$A$67="☑",38&lt;='Resource Planner'!$N$67),'Resource Planner'!$C$67,"")</f>
        <v/>
      </c>
      <c r="C2892" s="163" t="str">
        <f>IF(AND('Resource Planner'!$A$67="☑",38&lt;='Resource Planner'!$N$67),'Resource Planner'!$B$67,"")</f>
        <v/>
      </c>
      <c r="D2892" s="163" t="str">
        <f>IF(AND('Resource Planner'!$A$67="☑",38&lt;='Resource Planner'!$N$67),'Resource Planner'!$D$67,"")</f>
        <v/>
      </c>
      <c r="E2892" s="163" t="str">
        <f>IF(AND('Resource Planner'!$A$67="☑",38&lt;='Resource Planner'!$N$67),'Resource Planner'!$E$67,"")</f>
        <v/>
      </c>
      <c r="F2892" s="163" t="str">
        <f>IF(AND('Resource Planner'!$A$67="☑",38&lt;='Resource Planner'!$N$67),'Resource Planner'!$F$67&amp;" "&amp;('Resource Planner'!$G$67+(38-1)*'Resource Planner'!$I$67)&amp;IF(('Resource Planner'!$G$67+(38-1)*'Resource Planner'!$I$67)=MIN('Resource Planner'!$G$67+38*'Resource Planner'!$I$67-1,'Resource Planner'!$H$67),"","–"&amp;MIN('Resource Planner'!$G$67+38*'Resource Planner'!$I$67-1,'Resource Planner'!$H$67)),"")</f>
        <v/>
      </c>
      <c r="G2892" s="163" t="s">
        <v>109</v>
      </c>
      <c r="H2892" s="163" t="str">
        <f>IF(AND('Resource Planner'!$A$67="☑",38&lt;='Resource Planner'!$N$67),'Resource Planner'!$M$67,"")</f>
        <v/>
      </c>
    </row>
    <row r="2893" ht="15.75" customHeight="1">
      <c r="A28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3" s="163" t="str">
        <f>IF(AND('Resource Planner'!$A$67="☑",39&lt;='Resource Planner'!$N$67),'Resource Planner'!$C$67,"")</f>
        <v/>
      </c>
      <c r="C2893" s="163" t="str">
        <f>IF(AND('Resource Planner'!$A$67="☑",39&lt;='Resource Planner'!$N$67),'Resource Planner'!$B$67,"")</f>
        <v/>
      </c>
      <c r="D2893" s="163" t="str">
        <f>IF(AND('Resource Planner'!$A$67="☑",39&lt;='Resource Planner'!$N$67),'Resource Planner'!$D$67,"")</f>
        <v/>
      </c>
      <c r="E2893" s="163" t="str">
        <f>IF(AND('Resource Planner'!$A$67="☑",39&lt;='Resource Planner'!$N$67),'Resource Planner'!$E$67,"")</f>
        <v/>
      </c>
      <c r="F2893" s="163" t="str">
        <f>IF(AND('Resource Planner'!$A$67="☑",39&lt;='Resource Planner'!$N$67),'Resource Planner'!$F$67&amp;" "&amp;('Resource Planner'!$G$67+(39-1)*'Resource Planner'!$I$67)&amp;IF(('Resource Planner'!$G$67+(39-1)*'Resource Planner'!$I$67)=MIN('Resource Planner'!$G$67+39*'Resource Planner'!$I$67-1,'Resource Planner'!$H$67),"","–"&amp;MIN('Resource Planner'!$G$67+39*'Resource Planner'!$I$67-1,'Resource Planner'!$H$67)),"")</f>
        <v/>
      </c>
      <c r="G2893" s="163" t="s">
        <v>109</v>
      </c>
      <c r="H2893" s="163" t="str">
        <f>IF(AND('Resource Planner'!$A$67="☑",39&lt;='Resource Planner'!$N$67),'Resource Planner'!$M$67,"")</f>
        <v/>
      </c>
    </row>
    <row r="2894" ht="15.75" customHeight="1">
      <c r="A28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4" s="163" t="str">
        <f>IF(AND('Resource Planner'!$A$67="☑",40&lt;='Resource Planner'!$N$67),'Resource Planner'!$C$67,"")</f>
        <v/>
      </c>
      <c r="C2894" s="163" t="str">
        <f>IF(AND('Resource Planner'!$A$67="☑",40&lt;='Resource Planner'!$N$67),'Resource Planner'!$B$67,"")</f>
        <v/>
      </c>
      <c r="D2894" s="163" t="str">
        <f>IF(AND('Resource Planner'!$A$67="☑",40&lt;='Resource Planner'!$N$67),'Resource Planner'!$D$67,"")</f>
        <v/>
      </c>
      <c r="E2894" s="163" t="str">
        <f>IF(AND('Resource Planner'!$A$67="☑",40&lt;='Resource Planner'!$N$67),'Resource Planner'!$E$67,"")</f>
        <v/>
      </c>
      <c r="F2894" s="163" t="str">
        <f>IF(AND('Resource Planner'!$A$67="☑",40&lt;='Resource Planner'!$N$67),'Resource Planner'!$F$67&amp;" "&amp;('Resource Planner'!$G$67+(40-1)*'Resource Planner'!$I$67)&amp;IF(('Resource Planner'!$G$67+(40-1)*'Resource Planner'!$I$67)=MIN('Resource Planner'!$G$67+40*'Resource Planner'!$I$67-1,'Resource Planner'!$H$67),"","–"&amp;MIN('Resource Planner'!$G$67+40*'Resource Planner'!$I$67-1,'Resource Planner'!$H$67)),"")</f>
        <v/>
      </c>
      <c r="G2894" s="163" t="s">
        <v>109</v>
      </c>
      <c r="H2894" s="163" t="str">
        <f>IF(AND('Resource Planner'!$A$67="☑",40&lt;='Resource Planner'!$N$67),'Resource Planner'!$M$67,"")</f>
        <v/>
      </c>
    </row>
    <row r="2895" ht="15.75" customHeight="1">
      <c r="A28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5" s="163" t="str">
        <f>IF(AND('Resource Planner'!$A$67="☑",41&lt;='Resource Planner'!$N$67),'Resource Planner'!$C$67,"")</f>
        <v/>
      </c>
      <c r="C2895" s="163" t="str">
        <f>IF(AND('Resource Planner'!$A$67="☑",41&lt;='Resource Planner'!$N$67),'Resource Planner'!$B$67,"")</f>
        <v/>
      </c>
      <c r="D2895" s="163" t="str">
        <f>IF(AND('Resource Planner'!$A$67="☑",41&lt;='Resource Planner'!$N$67),'Resource Planner'!$D$67,"")</f>
        <v/>
      </c>
      <c r="E2895" s="163" t="str">
        <f>IF(AND('Resource Planner'!$A$67="☑",41&lt;='Resource Planner'!$N$67),'Resource Planner'!$E$67,"")</f>
        <v/>
      </c>
      <c r="F2895" s="163" t="str">
        <f>IF(AND('Resource Planner'!$A$67="☑",41&lt;='Resource Planner'!$N$67),'Resource Planner'!$F$67&amp;" "&amp;('Resource Planner'!$G$67+(41-1)*'Resource Planner'!$I$67)&amp;IF(('Resource Planner'!$G$67+(41-1)*'Resource Planner'!$I$67)=MIN('Resource Planner'!$G$67+41*'Resource Planner'!$I$67-1,'Resource Planner'!$H$67),"","–"&amp;MIN('Resource Planner'!$G$67+41*'Resource Planner'!$I$67-1,'Resource Planner'!$H$67)),"")</f>
        <v/>
      </c>
      <c r="G2895" s="163" t="s">
        <v>109</v>
      </c>
      <c r="H2895" s="163" t="str">
        <f>IF(AND('Resource Planner'!$A$67="☑",41&lt;='Resource Planner'!$N$67),'Resource Planner'!$M$67,"")</f>
        <v/>
      </c>
    </row>
    <row r="2896" ht="15.75" customHeight="1">
      <c r="A28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6" s="163" t="str">
        <f>IF(AND('Resource Planner'!$A$67="☑",42&lt;='Resource Planner'!$N$67),'Resource Planner'!$C$67,"")</f>
        <v/>
      </c>
      <c r="C2896" s="163" t="str">
        <f>IF(AND('Resource Planner'!$A$67="☑",42&lt;='Resource Planner'!$N$67),'Resource Planner'!$B$67,"")</f>
        <v/>
      </c>
      <c r="D2896" s="163" t="str">
        <f>IF(AND('Resource Planner'!$A$67="☑",42&lt;='Resource Planner'!$N$67),'Resource Planner'!$D$67,"")</f>
        <v/>
      </c>
      <c r="E2896" s="163" t="str">
        <f>IF(AND('Resource Planner'!$A$67="☑",42&lt;='Resource Planner'!$N$67),'Resource Planner'!$E$67,"")</f>
        <v/>
      </c>
      <c r="F2896" s="163" t="str">
        <f>IF(AND('Resource Planner'!$A$67="☑",42&lt;='Resource Planner'!$N$67),'Resource Planner'!$F$67&amp;" "&amp;('Resource Planner'!$G$67+(42-1)*'Resource Planner'!$I$67)&amp;IF(('Resource Planner'!$G$67+(42-1)*'Resource Planner'!$I$67)=MIN('Resource Planner'!$G$67+42*'Resource Planner'!$I$67-1,'Resource Planner'!$H$67),"","–"&amp;MIN('Resource Planner'!$G$67+42*'Resource Planner'!$I$67-1,'Resource Planner'!$H$67)),"")</f>
        <v/>
      </c>
      <c r="G2896" s="163" t="s">
        <v>109</v>
      </c>
      <c r="H2896" s="163" t="str">
        <f>IF(AND('Resource Planner'!$A$67="☑",42&lt;='Resource Planner'!$N$67),'Resource Planner'!$M$67,"")</f>
        <v/>
      </c>
    </row>
    <row r="2897" ht="15.75" customHeight="1">
      <c r="A28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7" s="163" t="str">
        <f>IF(AND('Resource Planner'!$A$67="☑",43&lt;='Resource Planner'!$N$67),'Resource Planner'!$C$67,"")</f>
        <v/>
      </c>
      <c r="C2897" s="163" t="str">
        <f>IF(AND('Resource Planner'!$A$67="☑",43&lt;='Resource Planner'!$N$67),'Resource Planner'!$B$67,"")</f>
        <v/>
      </c>
      <c r="D2897" s="163" t="str">
        <f>IF(AND('Resource Planner'!$A$67="☑",43&lt;='Resource Planner'!$N$67),'Resource Planner'!$D$67,"")</f>
        <v/>
      </c>
      <c r="E2897" s="163" t="str">
        <f>IF(AND('Resource Planner'!$A$67="☑",43&lt;='Resource Planner'!$N$67),'Resource Planner'!$E$67,"")</f>
        <v/>
      </c>
      <c r="F2897" s="163" t="str">
        <f>IF(AND('Resource Planner'!$A$67="☑",43&lt;='Resource Planner'!$N$67),'Resource Planner'!$F$67&amp;" "&amp;('Resource Planner'!$G$67+(43-1)*'Resource Planner'!$I$67)&amp;IF(('Resource Planner'!$G$67+(43-1)*'Resource Planner'!$I$67)=MIN('Resource Planner'!$G$67+43*'Resource Planner'!$I$67-1,'Resource Planner'!$H$67),"","–"&amp;MIN('Resource Planner'!$G$67+43*'Resource Planner'!$I$67-1,'Resource Planner'!$H$67)),"")</f>
        <v/>
      </c>
      <c r="G2897" s="163" t="s">
        <v>109</v>
      </c>
      <c r="H2897" s="163" t="str">
        <f>IF(AND('Resource Planner'!$A$67="☑",43&lt;='Resource Planner'!$N$67),'Resource Planner'!$M$67,"")</f>
        <v/>
      </c>
    </row>
    <row r="2898" ht="15.75" customHeight="1">
      <c r="A28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8" s="163" t="str">
        <f>IF(AND('Resource Planner'!$A$67="☑",44&lt;='Resource Planner'!$N$67),'Resource Planner'!$C$67,"")</f>
        <v/>
      </c>
      <c r="C2898" s="163" t="str">
        <f>IF(AND('Resource Planner'!$A$67="☑",44&lt;='Resource Planner'!$N$67),'Resource Planner'!$B$67,"")</f>
        <v/>
      </c>
      <c r="D2898" s="163" t="str">
        <f>IF(AND('Resource Planner'!$A$67="☑",44&lt;='Resource Planner'!$N$67),'Resource Planner'!$D$67,"")</f>
        <v/>
      </c>
      <c r="E2898" s="163" t="str">
        <f>IF(AND('Resource Planner'!$A$67="☑",44&lt;='Resource Planner'!$N$67),'Resource Planner'!$E$67,"")</f>
        <v/>
      </c>
      <c r="F2898" s="163" t="str">
        <f>IF(AND('Resource Planner'!$A$67="☑",44&lt;='Resource Planner'!$N$67),'Resource Planner'!$F$67&amp;" "&amp;('Resource Planner'!$G$67+(44-1)*'Resource Planner'!$I$67)&amp;IF(('Resource Planner'!$G$67+(44-1)*'Resource Planner'!$I$67)=MIN('Resource Planner'!$G$67+44*'Resource Planner'!$I$67-1,'Resource Planner'!$H$67),"","–"&amp;MIN('Resource Planner'!$G$67+44*'Resource Planner'!$I$67-1,'Resource Planner'!$H$67)),"")</f>
        <v/>
      </c>
      <c r="G2898" s="163" t="s">
        <v>109</v>
      </c>
      <c r="H2898" s="163" t="str">
        <f>IF(AND('Resource Planner'!$A$67="☑",44&lt;='Resource Planner'!$N$67),'Resource Planner'!$M$67,"")</f>
        <v/>
      </c>
    </row>
    <row r="2899" ht="15.75" customHeight="1">
      <c r="A28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899" s="163" t="str">
        <f>IF(AND('Resource Planner'!$A$67="☑",45&lt;='Resource Planner'!$N$67),'Resource Planner'!$C$67,"")</f>
        <v/>
      </c>
      <c r="C2899" s="163" t="str">
        <f>IF(AND('Resource Planner'!$A$67="☑",45&lt;='Resource Planner'!$N$67),'Resource Planner'!$B$67,"")</f>
        <v/>
      </c>
      <c r="D2899" s="163" t="str">
        <f>IF(AND('Resource Planner'!$A$67="☑",45&lt;='Resource Planner'!$N$67),'Resource Planner'!$D$67,"")</f>
        <v/>
      </c>
      <c r="E2899" s="163" t="str">
        <f>IF(AND('Resource Planner'!$A$67="☑",45&lt;='Resource Planner'!$N$67),'Resource Planner'!$E$67,"")</f>
        <v/>
      </c>
      <c r="F2899" s="163" t="str">
        <f>IF(AND('Resource Planner'!$A$67="☑",45&lt;='Resource Planner'!$N$67),'Resource Planner'!$F$67&amp;" "&amp;('Resource Planner'!$G$67+(45-1)*'Resource Planner'!$I$67)&amp;IF(('Resource Planner'!$G$67+(45-1)*'Resource Planner'!$I$67)=MIN('Resource Planner'!$G$67+45*'Resource Planner'!$I$67-1,'Resource Planner'!$H$67),"","–"&amp;MIN('Resource Planner'!$G$67+45*'Resource Planner'!$I$67-1,'Resource Planner'!$H$67)),"")</f>
        <v/>
      </c>
      <c r="G2899" s="163" t="s">
        <v>109</v>
      </c>
      <c r="H2899" s="163" t="str">
        <f>IF(AND('Resource Planner'!$A$67="☑",45&lt;='Resource Planner'!$N$67),'Resource Planner'!$M$67,"")</f>
        <v/>
      </c>
    </row>
    <row r="2900" ht="15.75" customHeight="1">
      <c r="A29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0" s="163" t="str">
        <f>IF(AND('Resource Planner'!$A$67="☑",46&lt;='Resource Planner'!$N$67),'Resource Planner'!$C$67,"")</f>
        <v/>
      </c>
      <c r="C2900" s="163" t="str">
        <f>IF(AND('Resource Planner'!$A$67="☑",46&lt;='Resource Planner'!$N$67),'Resource Planner'!$B$67,"")</f>
        <v/>
      </c>
      <c r="D2900" s="163" t="str">
        <f>IF(AND('Resource Planner'!$A$67="☑",46&lt;='Resource Planner'!$N$67),'Resource Planner'!$D$67,"")</f>
        <v/>
      </c>
      <c r="E2900" s="163" t="str">
        <f>IF(AND('Resource Planner'!$A$67="☑",46&lt;='Resource Planner'!$N$67),'Resource Planner'!$E$67,"")</f>
        <v/>
      </c>
      <c r="F2900" s="163" t="str">
        <f>IF(AND('Resource Planner'!$A$67="☑",46&lt;='Resource Planner'!$N$67),'Resource Planner'!$F$67&amp;" "&amp;('Resource Planner'!$G$67+(46-1)*'Resource Planner'!$I$67)&amp;IF(('Resource Planner'!$G$67+(46-1)*'Resource Planner'!$I$67)=MIN('Resource Planner'!$G$67+46*'Resource Planner'!$I$67-1,'Resource Planner'!$H$67),"","–"&amp;MIN('Resource Planner'!$G$67+46*'Resource Planner'!$I$67-1,'Resource Planner'!$H$67)),"")</f>
        <v/>
      </c>
      <c r="G2900" s="163" t="s">
        <v>109</v>
      </c>
      <c r="H2900" s="163" t="str">
        <f>IF(AND('Resource Planner'!$A$67="☑",46&lt;='Resource Planner'!$N$67),'Resource Planner'!$M$67,"")</f>
        <v/>
      </c>
    </row>
    <row r="2901" ht="15.75" customHeight="1">
      <c r="A29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1" s="163" t="str">
        <f>IF(AND('Resource Planner'!$A$67="☑",47&lt;='Resource Planner'!$N$67),'Resource Planner'!$C$67,"")</f>
        <v/>
      </c>
      <c r="C2901" s="163" t="str">
        <f>IF(AND('Resource Planner'!$A$67="☑",47&lt;='Resource Planner'!$N$67),'Resource Planner'!$B$67,"")</f>
        <v/>
      </c>
      <c r="D2901" s="163" t="str">
        <f>IF(AND('Resource Planner'!$A$67="☑",47&lt;='Resource Planner'!$N$67),'Resource Planner'!$D$67,"")</f>
        <v/>
      </c>
      <c r="E2901" s="163" t="str">
        <f>IF(AND('Resource Planner'!$A$67="☑",47&lt;='Resource Planner'!$N$67),'Resource Planner'!$E$67,"")</f>
        <v/>
      </c>
      <c r="F2901" s="163" t="str">
        <f>IF(AND('Resource Planner'!$A$67="☑",47&lt;='Resource Planner'!$N$67),'Resource Planner'!$F$67&amp;" "&amp;('Resource Planner'!$G$67+(47-1)*'Resource Planner'!$I$67)&amp;IF(('Resource Planner'!$G$67+(47-1)*'Resource Planner'!$I$67)=MIN('Resource Planner'!$G$67+47*'Resource Planner'!$I$67-1,'Resource Planner'!$H$67),"","–"&amp;MIN('Resource Planner'!$G$67+47*'Resource Planner'!$I$67-1,'Resource Planner'!$H$67)),"")</f>
        <v/>
      </c>
      <c r="G2901" s="163" t="s">
        <v>109</v>
      </c>
      <c r="H2901" s="163" t="str">
        <f>IF(AND('Resource Planner'!$A$67="☑",47&lt;='Resource Planner'!$N$67),'Resource Planner'!$M$67,"")</f>
        <v/>
      </c>
    </row>
    <row r="2902" ht="15.75" customHeight="1">
      <c r="A29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2" s="163" t="str">
        <f>IF(AND('Resource Planner'!$A$67="☑",48&lt;='Resource Planner'!$N$67),'Resource Planner'!$C$67,"")</f>
        <v/>
      </c>
      <c r="C2902" s="163" t="str">
        <f>IF(AND('Resource Planner'!$A$67="☑",48&lt;='Resource Planner'!$N$67),'Resource Planner'!$B$67,"")</f>
        <v/>
      </c>
      <c r="D2902" s="163" t="str">
        <f>IF(AND('Resource Planner'!$A$67="☑",48&lt;='Resource Planner'!$N$67),'Resource Planner'!$D$67,"")</f>
        <v/>
      </c>
      <c r="E2902" s="163" t="str">
        <f>IF(AND('Resource Planner'!$A$67="☑",48&lt;='Resource Planner'!$N$67),'Resource Planner'!$E$67,"")</f>
        <v/>
      </c>
      <c r="F2902" s="163" t="str">
        <f>IF(AND('Resource Planner'!$A$67="☑",48&lt;='Resource Planner'!$N$67),'Resource Planner'!$F$67&amp;" "&amp;('Resource Planner'!$G$67+(48-1)*'Resource Planner'!$I$67)&amp;IF(('Resource Planner'!$G$67+(48-1)*'Resource Planner'!$I$67)=MIN('Resource Planner'!$G$67+48*'Resource Planner'!$I$67-1,'Resource Planner'!$H$67),"","–"&amp;MIN('Resource Planner'!$G$67+48*'Resource Planner'!$I$67-1,'Resource Planner'!$H$67)),"")</f>
        <v/>
      </c>
      <c r="G2902" s="163" t="s">
        <v>109</v>
      </c>
      <c r="H2902" s="163" t="str">
        <f>IF(AND('Resource Planner'!$A$67="☑",48&lt;='Resource Planner'!$N$67),'Resource Planner'!$M$67,"")</f>
        <v/>
      </c>
    </row>
    <row r="2903" ht="15.75" customHeight="1">
      <c r="A29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3" s="163" t="str">
        <f>IF(AND('Resource Planner'!$A$67="☑",49&lt;='Resource Planner'!$N$67),'Resource Planner'!$C$67,"")</f>
        <v/>
      </c>
      <c r="C2903" s="163" t="str">
        <f>IF(AND('Resource Planner'!$A$67="☑",49&lt;='Resource Planner'!$N$67),'Resource Planner'!$B$67,"")</f>
        <v/>
      </c>
      <c r="D2903" s="163" t="str">
        <f>IF(AND('Resource Planner'!$A$67="☑",49&lt;='Resource Planner'!$N$67),'Resource Planner'!$D$67,"")</f>
        <v/>
      </c>
      <c r="E2903" s="163" t="str">
        <f>IF(AND('Resource Planner'!$A$67="☑",49&lt;='Resource Planner'!$N$67),'Resource Planner'!$E$67,"")</f>
        <v/>
      </c>
      <c r="F2903" s="163" t="str">
        <f>IF(AND('Resource Planner'!$A$67="☑",49&lt;='Resource Planner'!$N$67),'Resource Planner'!$F$67&amp;" "&amp;('Resource Planner'!$G$67+(49-1)*'Resource Planner'!$I$67)&amp;IF(('Resource Planner'!$G$67+(49-1)*'Resource Planner'!$I$67)=MIN('Resource Planner'!$G$67+49*'Resource Planner'!$I$67-1,'Resource Planner'!$H$67),"","–"&amp;MIN('Resource Planner'!$G$67+49*'Resource Planner'!$I$67-1,'Resource Planner'!$H$67)),"")</f>
        <v/>
      </c>
      <c r="G2903" s="163" t="s">
        <v>109</v>
      </c>
      <c r="H2903" s="163" t="str">
        <f>IF(AND('Resource Planner'!$A$67="☑",49&lt;='Resource Planner'!$N$67),'Resource Planner'!$M$67,"")</f>
        <v/>
      </c>
    </row>
    <row r="2904" ht="15.75" customHeight="1">
      <c r="A29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4" s="163" t="str">
        <f>IF(AND('Resource Planner'!$A$67="☑",50&lt;='Resource Planner'!$N$67),'Resource Planner'!$C$67,"")</f>
        <v/>
      </c>
      <c r="C2904" s="163" t="str">
        <f>IF(AND('Resource Planner'!$A$67="☑",50&lt;='Resource Planner'!$N$67),'Resource Planner'!$B$67,"")</f>
        <v/>
      </c>
      <c r="D2904" s="163" t="str">
        <f>IF(AND('Resource Planner'!$A$67="☑",50&lt;='Resource Planner'!$N$67),'Resource Planner'!$D$67,"")</f>
        <v/>
      </c>
      <c r="E2904" s="163" t="str">
        <f>IF(AND('Resource Planner'!$A$67="☑",50&lt;='Resource Planner'!$N$67),'Resource Planner'!$E$67,"")</f>
        <v/>
      </c>
      <c r="F2904" s="163" t="str">
        <f>IF(AND('Resource Planner'!$A$67="☑",50&lt;='Resource Planner'!$N$67),'Resource Planner'!$F$67&amp;" "&amp;('Resource Planner'!$G$67+(50-1)*'Resource Planner'!$I$67)&amp;IF(('Resource Planner'!$G$67+(50-1)*'Resource Planner'!$I$67)=MIN('Resource Planner'!$G$67+50*'Resource Planner'!$I$67-1,'Resource Planner'!$H$67),"","–"&amp;MIN('Resource Planner'!$G$67+50*'Resource Planner'!$I$67-1,'Resource Planner'!$H$67)),"")</f>
        <v/>
      </c>
      <c r="G2904" s="163" t="s">
        <v>109</v>
      </c>
      <c r="H2904" s="163" t="str">
        <f>IF(AND('Resource Planner'!$A$67="☑",50&lt;='Resource Planner'!$N$67),'Resource Planner'!$M$67,"")</f>
        <v/>
      </c>
    </row>
    <row r="2905" ht="15.75" customHeight="1">
      <c r="A290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5" s="163" t="str">
        <f>IF(AND('Resource Planner'!$A$68="☑",1&lt;='Resource Planner'!$N$68),'Resource Planner'!$C$68,"")</f>
        <v/>
      </c>
      <c r="C2905" s="163" t="str">
        <f>IF(AND('Resource Planner'!$A$68="☑",1&lt;='Resource Planner'!$N$68),'Resource Planner'!$B$68,"")</f>
        <v/>
      </c>
      <c r="D2905" s="163" t="str">
        <f>IF(AND('Resource Planner'!$A$68="☑",1&lt;='Resource Planner'!$N$68),'Resource Planner'!$D$68,"")</f>
        <v/>
      </c>
      <c r="E2905" s="163" t="str">
        <f>IF(AND('Resource Planner'!$A$68="☑",1&lt;='Resource Planner'!$N$68),'Resource Planner'!$E$68,"")</f>
        <v/>
      </c>
      <c r="F2905" s="163" t="str">
        <f>IF(AND('Resource Planner'!$A$68="☑",1&lt;='Resource Planner'!$N$68),'Resource Planner'!$F$68&amp;" "&amp;('Resource Planner'!$G$68+(1-1)*'Resource Planner'!$I$68)&amp;IF(('Resource Planner'!$G$68+(1-1)*'Resource Planner'!$I$68)=MIN('Resource Planner'!$G$68+1*'Resource Planner'!$I$68-1,'Resource Planner'!$H$68),"","–"&amp;MIN('Resource Planner'!$G$68+1*'Resource Planner'!$I$68-1,'Resource Planner'!$H$68)),"")</f>
        <v/>
      </c>
      <c r="G2905" s="163" t="s">
        <v>109</v>
      </c>
      <c r="H2905" s="163" t="str">
        <f>IF(AND('Resource Planner'!$A$68="☑",1&lt;='Resource Planner'!$N$68),'Resource Planner'!$M$68,"")</f>
        <v/>
      </c>
    </row>
    <row r="2906" ht="15.75" customHeight="1">
      <c r="A290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6" s="163" t="str">
        <f>IF(AND('Resource Planner'!$A$68="☑",2&lt;='Resource Planner'!$N$68),'Resource Planner'!$C$68,"")</f>
        <v/>
      </c>
      <c r="C2906" s="163" t="str">
        <f>IF(AND('Resource Planner'!$A$68="☑",2&lt;='Resource Planner'!$N$68),'Resource Planner'!$B$68,"")</f>
        <v/>
      </c>
      <c r="D2906" s="163" t="str">
        <f>IF(AND('Resource Planner'!$A$68="☑",2&lt;='Resource Planner'!$N$68),'Resource Planner'!$D$68,"")</f>
        <v/>
      </c>
      <c r="E2906" s="163" t="str">
        <f>IF(AND('Resource Planner'!$A$68="☑",2&lt;='Resource Planner'!$N$68),'Resource Planner'!$E$68,"")</f>
        <v/>
      </c>
      <c r="F2906" s="163" t="str">
        <f>IF(AND('Resource Planner'!$A$68="☑",2&lt;='Resource Planner'!$N$68),'Resource Planner'!$F$68&amp;" "&amp;('Resource Planner'!$G$68+(2-1)*'Resource Planner'!$I$68)&amp;IF(('Resource Planner'!$G$68+(2-1)*'Resource Planner'!$I$68)=MIN('Resource Planner'!$G$68+2*'Resource Planner'!$I$68-1,'Resource Planner'!$H$68),"","–"&amp;MIN('Resource Planner'!$G$68+2*'Resource Planner'!$I$68-1,'Resource Planner'!$H$68)),"")</f>
        <v/>
      </c>
      <c r="G2906" s="163" t="s">
        <v>109</v>
      </c>
      <c r="H2906" s="163" t="str">
        <f>IF(AND('Resource Planner'!$A$68="☑",2&lt;='Resource Planner'!$N$68),'Resource Planner'!$M$68,"")</f>
        <v/>
      </c>
    </row>
    <row r="2907" ht="15.75" customHeight="1">
      <c r="A290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7" s="163" t="str">
        <f>IF(AND('Resource Planner'!$A$68="☑",3&lt;='Resource Planner'!$N$68),'Resource Planner'!$C$68,"")</f>
        <v/>
      </c>
      <c r="C2907" s="163" t="str">
        <f>IF(AND('Resource Planner'!$A$68="☑",3&lt;='Resource Planner'!$N$68),'Resource Planner'!$B$68,"")</f>
        <v/>
      </c>
      <c r="D2907" s="163" t="str">
        <f>IF(AND('Resource Planner'!$A$68="☑",3&lt;='Resource Planner'!$N$68),'Resource Planner'!$D$68,"")</f>
        <v/>
      </c>
      <c r="E2907" s="163" t="str">
        <f>IF(AND('Resource Planner'!$A$68="☑",3&lt;='Resource Planner'!$N$68),'Resource Planner'!$E$68,"")</f>
        <v/>
      </c>
      <c r="F2907" s="163" t="str">
        <f>IF(AND('Resource Planner'!$A$68="☑",3&lt;='Resource Planner'!$N$68),'Resource Planner'!$F$68&amp;" "&amp;('Resource Planner'!$G$68+(3-1)*'Resource Planner'!$I$68)&amp;IF(('Resource Planner'!$G$68+(3-1)*'Resource Planner'!$I$68)=MIN('Resource Planner'!$G$68+3*'Resource Planner'!$I$68-1,'Resource Planner'!$H$68),"","–"&amp;MIN('Resource Planner'!$G$68+3*'Resource Planner'!$I$68-1,'Resource Planner'!$H$68)),"")</f>
        <v/>
      </c>
      <c r="G2907" s="163" t="s">
        <v>109</v>
      </c>
      <c r="H2907" s="163" t="str">
        <f>IF(AND('Resource Planner'!$A$68="☑",3&lt;='Resource Planner'!$N$68),'Resource Planner'!$M$68,"")</f>
        <v/>
      </c>
    </row>
    <row r="2908" ht="15.75" customHeight="1">
      <c r="A290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8" s="163" t="str">
        <f>IF(AND('Resource Planner'!$A$68="☑",4&lt;='Resource Planner'!$N$68),'Resource Planner'!$C$68,"")</f>
        <v/>
      </c>
      <c r="C2908" s="163" t="str">
        <f>IF(AND('Resource Planner'!$A$68="☑",4&lt;='Resource Planner'!$N$68),'Resource Planner'!$B$68,"")</f>
        <v/>
      </c>
      <c r="D2908" s="163" t="str">
        <f>IF(AND('Resource Planner'!$A$68="☑",4&lt;='Resource Planner'!$N$68),'Resource Planner'!$D$68,"")</f>
        <v/>
      </c>
      <c r="E2908" s="163" t="str">
        <f>IF(AND('Resource Planner'!$A$68="☑",4&lt;='Resource Planner'!$N$68),'Resource Planner'!$E$68,"")</f>
        <v/>
      </c>
      <c r="F2908" s="163" t="str">
        <f>IF(AND('Resource Planner'!$A$68="☑",4&lt;='Resource Planner'!$N$68),'Resource Planner'!$F$68&amp;" "&amp;('Resource Planner'!$G$68+(4-1)*'Resource Planner'!$I$68)&amp;IF(('Resource Planner'!$G$68+(4-1)*'Resource Planner'!$I$68)=MIN('Resource Planner'!$G$68+4*'Resource Planner'!$I$68-1,'Resource Planner'!$H$68),"","–"&amp;MIN('Resource Planner'!$G$68+4*'Resource Planner'!$I$68-1,'Resource Planner'!$H$68)),"")</f>
        <v/>
      </c>
      <c r="G2908" s="163" t="s">
        <v>109</v>
      </c>
      <c r="H2908" s="163" t="str">
        <f>IF(AND('Resource Planner'!$A$68="☑",4&lt;='Resource Planner'!$N$68),'Resource Planner'!$M$68,"")</f>
        <v/>
      </c>
    </row>
    <row r="2909" ht="15.75" customHeight="1">
      <c r="A290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09" s="163" t="str">
        <f>IF(AND('Resource Planner'!$A$68="☑",5&lt;='Resource Planner'!$N$68),'Resource Planner'!$C$68,"")</f>
        <v/>
      </c>
      <c r="C2909" s="163" t="str">
        <f>IF(AND('Resource Planner'!$A$68="☑",5&lt;='Resource Planner'!$N$68),'Resource Planner'!$B$68,"")</f>
        <v/>
      </c>
      <c r="D2909" s="163" t="str">
        <f>IF(AND('Resource Planner'!$A$68="☑",5&lt;='Resource Planner'!$N$68),'Resource Planner'!$D$68,"")</f>
        <v/>
      </c>
      <c r="E2909" s="163" t="str">
        <f>IF(AND('Resource Planner'!$A$68="☑",5&lt;='Resource Planner'!$N$68),'Resource Planner'!$E$68,"")</f>
        <v/>
      </c>
      <c r="F2909" s="163" t="str">
        <f>IF(AND('Resource Planner'!$A$68="☑",5&lt;='Resource Planner'!$N$68),'Resource Planner'!$F$68&amp;" "&amp;('Resource Planner'!$G$68+(5-1)*'Resource Planner'!$I$68)&amp;IF(('Resource Planner'!$G$68+(5-1)*'Resource Planner'!$I$68)=MIN('Resource Planner'!$G$68+5*'Resource Planner'!$I$68-1,'Resource Planner'!$H$68),"","–"&amp;MIN('Resource Planner'!$G$68+5*'Resource Planner'!$I$68-1,'Resource Planner'!$H$68)),"")</f>
        <v/>
      </c>
      <c r="G2909" s="163" t="s">
        <v>109</v>
      </c>
      <c r="H2909" s="163" t="str">
        <f>IF(AND('Resource Planner'!$A$68="☑",5&lt;='Resource Planner'!$N$68),'Resource Planner'!$M$68,"")</f>
        <v/>
      </c>
    </row>
    <row r="2910" ht="15.75" customHeight="1">
      <c r="A291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0" s="163" t="str">
        <f>IF(AND('Resource Planner'!$A$68="☑",6&lt;='Resource Planner'!$N$68),'Resource Planner'!$C$68,"")</f>
        <v/>
      </c>
      <c r="C2910" s="163" t="str">
        <f>IF(AND('Resource Planner'!$A$68="☑",6&lt;='Resource Planner'!$N$68),'Resource Planner'!$B$68,"")</f>
        <v/>
      </c>
      <c r="D2910" s="163" t="str">
        <f>IF(AND('Resource Planner'!$A$68="☑",6&lt;='Resource Planner'!$N$68),'Resource Planner'!$D$68,"")</f>
        <v/>
      </c>
      <c r="E2910" s="163" t="str">
        <f>IF(AND('Resource Planner'!$A$68="☑",6&lt;='Resource Planner'!$N$68),'Resource Planner'!$E$68,"")</f>
        <v/>
      </c>
      <c r="F2910" s="163" t="str">
        <f>IF(AND('Resource Planner'!$A$68="☑",6&lt;='Resource Planner'!$N$68),'Resource Planner'!$F$68&amp;" "&amp;('Resource Planner'!$G$68+(6-1)*'Resource Planner'!$I$68)&amp;IF(('Resource Planner'!$G$68+(6-1)*'Resource Planner'!$I$68)=MIN('Resource Planner'!$G$68+6*'Resource Planner'!$I$68-1,'Resource Planner'!$H$68),"","–"&amp;MIN('Resource Planner'!$G$68+6*'Resource Planner'!$I$68-1,'Resource Planner'!$H$68)),"")</f>
        <v/>
      </c>
      <c r="G2910" s="163" t="s">
        <v>109</v>
      </c>
      <c r="H2910" s="163" t="str">
        <f>IF(AND('Resource Planner'!$A$68="☑",6&lt;='Resource Planner'!$N$68),'Resource Planner'!$M$68,"")</f>
        <v/>
      </c>
    </row>
    <row r="2911" ht="15.75" customHeight="1">
      <c r="A291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1" s="163" t="str">
        <f>IF(AND('Resource Planner'!$A$68="☑",7&lt;='Resource Planner'!$N$68),'Resource Planner'!$C$68,"")</f>
        <v/>
      </c>
      <c r="C2911" s="163" t="str">
        <f>IF(AND('Resource Planner'!$A$68="☑",7&lt;='Resource Planner'!$N$68),'Resource Planner'!$B$68,"")</f>
        <v/>
      </c>
      <c r="D2911" s="163" t="str">
        <f>IF(AND('Resource Planner'!$A$68="☑",7&lt;='Resource Planner'!$N$68),'Resource Planner'!$D$68,"")</f>
        <v/>
      </c>
      <c r="E2911" s="163" t="str">
        <f>IF(AND('Resource Planner'!$A$68="☑",7&lt;='Resource Planner'!$N$68),'Resource Planner'!$E$68,"")</f>
        <v/>
      </c>
      <c r="F2911" s="163" t="str">
        <f>IF(AND('Resource Planner'!$A$68="☑",7&lt;='Resource Planner'!$N$68),'Resource Planner'!$F$68&amp;" "&amp;('Resource Planner'!$G$68+(7-1)*'Resource Planner'!$I$68)&amp;IF(('Resource Planner'!$G$68+(7-1)*'Resource Planner'!$I$68)=MIN('Resource Planner'!$G$68+7*'Resource Planner'!$I$68-1,'Resource Planner'!$H$68),"","–"&amp;MIN('Resource Planner'!$G$68+7*'Resource Planner'!$I$68-1,'Resource Planner'!$H$68)),"")</f>
        <v/>
      </c>
      <c r="G2911" s="163" t="s">
        <v>109</v>
      </c>
      <c r="H2911" s="163" t="str">
        <f>IF(AND('Resource Planner'!$A$68="☑",7&lt;='Resource Planner'!$N$68),'Resource Planner'!$M$68,"")</f>
        <v/>
      </c>
    </row>
    <row r="2912" ht="15.75" customHeight="1">
      <c r="A291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2" s="163" t="str">
        <f>IF(AND('Resource Planner'!$A$68="☑",8&lt;='Resource Planner'!$N$68),'Resource Planner'!$C$68,"")</f>
        <v/>
      </c>
      <c r="C2912" s="163" t="str">
        <f>IF(AND('Resource Planner'!$A$68="☑",8&lt;='Resource Planner'!$N$68),'Resource Planner'!$B$68,"")</f>
        <v/>
      </c>
      <c r="D2912" s="163" t="str">
        <f>IF(AND('Resource Planner'!$A$68="☑",8&lt;='Resource Planner'!$N$68),'Resource Planner'!$D$68,"")</f>
        <v/>
      </c>
      <c r="E2912" s="163" t="str">
        <f>IF(AND('Resource Planner'!$A$68="☑",8&lt;='Resource Planner'!$N$68),'Resource Planner'!$E$68,"")</f>
        <v/>
      </c>
      <c r="F2912" s="163" t="str">
        <f>IF(AND('Resource Planner'!$A$68="☑",8&lt;='Resource Planner'!$N$68),'Resource Planner'!$F$68&amp;" "&amp;('Resource Planner'!$G$68+(8-1)*'Resource Planner'!$I$68)&amp;IF(('Resource Planner'!$G$68+(8-1)*'Resource Planner'!$I$68)=MIN('Resource Planner'!$G$68+8*'Resource Planner'!$I$68-1,'Resource Planner'!$H$68),"","–"&amp;MIN('Resource Planner'!$G$68+8*'Resource Planner'!$I$68-1,'Resource Planner'!$H$68)),"")</f>
        <v/>
      </c>
      <c r="G2912" s="163" t="s">
        <v>109</v>
      </c>
      <c r="H2912" s="163" t="str">
        <f>IF(AND('Resource Planner'!$A$68="☑",8&lt;='Resource Planner'!$N$68),'Resource Planner'!$M$68,"")</f>
        <v/>
      </c>
    </row>
    <row r="2913" ht="15.75" customHeight="1">
      <c r="A291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3" s="163" t="str">
        <f>IF(AND('Resource Planner'!$A$68="☑",9&lt;='Resource Planner'!$N$68),'Resource Planner'!$C$68,"")</f>
        <v/>
      </c>
      <c r="C2913" s="163" t="str">
        <f>IF(AND('Resource Planner'!$A$68="☑",9&lt;='Resource Planner'!$N$68),'Resource Planner'!$B$68,"")</f>
        <v/>
      </c>
      <c r="D2913" s="163" t="str">
        <f>IF(AND('Resource Planner'!$A$68="☑",9&lt;='Resource Planner'!$N$68),'Resource Planner'!$D$68,"")</f>
        <v/>
      </c>
      <c r="E2913" s="163" t="str">
        <f>IF(AND('Resource Planner'!$A$68="☑",9&lt;='Resource Planner'!$N$68),'Resource Planner'!$E$68,"")</f>
        <v/>
      </c>
      <c r="F2913" s="163" t="str">
        <f>IF(AND('Resource Planner'!$A$68="☑",9&lt;='Resource Planner'!$N$68),'Resource Planner'!$F$68&amp;" "&amp;('Resource Planner'!$G$68+(9-1)*'Resource Planner'!$I$68)&amp;IF(('Resource Planner'!$G$68+(9-1)*'Resource Planner'!$I$68)=MIN('Resource Planner'!$G$68+9*'Resource Planner'!$I$68-1,'Resource Planner'!$H$68),"","–"&amp;MIN('Resource Planner'!$G$68+9*'Resource Planner'!$I$68-1,'Resource Planner'!$H$68)),"")</f>
        <v/>
      </c>
      <c r="G2913" s="163" t="s">
        <v>109</v>
      </c>
      <c r="H2913" s="163" t="str">
        <f>IF(AND('Resource Planner'!$A$68="☑",9&lt;='Resource Planner'!$N$68),'Resource Planner'!$M$68,"")</f>
        <v/>
      </c>
    </row>
    <row r="2914" ht="15.75" customHeight="1">
      <c r="A291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4" s="163" t="str">
        <f>IF(AND('Resource Planner'!$A$68="☑",10&lt;='Resource Planner'!$N$68),'Resource Planner'!$C$68,"")</f>
        <v/>
      </c>
      <c r="C2914" s="163" t="str">
        <f>IF(AND('Resource Planner'!$A$68="☑",10&lt;='Resource Planner'!$N$68),'Resource Planner'!$B$68,"")</f>
        <v/>
      </c>
      <c r="D2914" s="163" t="str">
        <f>IF(AND('Resource Planner'!$A$68="☑",10&lt;='Resource Planner'!$N$68),'Resource Planner'!$D$68,"")</f>
        <v/>
      </c>
      <c r="E2914" s="163" t="str">
        <f>IF(AND('Resource Planner'!$A$68="☑",10&lt;='Resource Planner'!$N$68),'Resource Planner'!$E$68,"")</f>
        <v/>
      </c>
      <c r="F2914" s="163" t="str">
        <f>IF(AND('Resource Planner'!$A$68="☑",10&lt;='Resource Planner'!$N$68),'Resource Planner'!$F$68&amp;" "&amp;('Resource Planner'!$G$68+(10-1)*'Resource Planner'!$I$68)&amp;IF(('Resource Planner'!$G$68+(10-1)*'Resource Planner'!$I$68)=MIN('Resource Planner'!$G$68+10*'Resource Planner'!$I$68-1,'Resource Planner'!$H$68),"","–"&amp;MIN('Resource Planner'!$G$68+10*'Resource Planner'!$I$68-1,'Resource Planner'!$H$68)),"")</f>
        <v/>
      </c>
      <c r="G2914" s="163" t="s">
        <v>109</v>
      </c>
      <c r="H2914" s="163" t="str">
        <f>IF(AND('Resource Planner'!$A$68="☑",10&lt;='Resource Planner'!$N$68),'Resource Planner'!$M$68,"")</f>
        <v/>
      </c>
    </row>
    <row r="2915" ht="15.75" customHeight="1">
      <c r="A291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5" s="163" t="str">
        <f>IF(AND('Resource Planner'!$A$68="☑",11&lt;='Resource Planner'!$N$68),'Resource Planner'!$C$68,"")</f>
        <v/>
      </c>
      <c r="C2915" s="163" t="str">
        <f>IF(AND('Resource Planner'!$A$68="☑",11&lt;='Resource Planner'!$N$68),'Resource Planner'!$B$68,"")</f>
        <v/>
      </c>
      <c r="D2915" s="163" t="str">
        <f>IF(AND('Resource Planner'!$A$68="☑",11&lt;='Resource Planner'!$N$68),'Resource Planner'!$D$68,"")</f>
        <v/>
      </c>
      <c r="E2915" s="163" t="str">
        <f>IF(AND('Resource Planner'!$A$68="☑",11&lt;='Resource Planner'!$N$68),'Resource Planner'!$E$68,"")</f>
        <v/>
      </c>
      <c r="F2915" s="163" t="str">
        <f>IF(AND('Resource Planner'!$A$68="☑",11&lt;='Resource Planner'!$N$68),'Resource Planner'!$F$68&amp;" "&amp;('Resource Planner'!$G$68+(11-1)*'Resource Planner'!$I$68)&amp;IF(('Resource Planner'!$G$68+(11-1)*'Resource Planner'!$I$68)=MIN('Resource Planner'!$G$68+11*'Resource Planner'!$I$68-1,'Resource Planner'!$H$68),"","–"&amp;MIN('Resource Planner'!$G$68+11*'Resource Planner'!$I$68-1,'Resource Planner'!$H$68)),"")</f>
        <v/>
      </c>
      <c r="G2915" s="163" t="s">
        <v>109</v>
      </c>
      <c r="H2915" s="163" t="str">
        <f>IF(AND('Resource Planner'!$A$68="☑",11&lt;='Resource Planner'!$N$68),'Resource Planner'!$M$68,"")</f>
        <v/>
      </c>
    </row>
    <row r="2916" ht="15.75" customHeight="1">
      <c r="A291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6" s="163" t="str">
        <f>IF(AND('Resource Planner'!$A$68="☑",12&lt;='Resource Planner'!$N$68),'Resource Planner'!$C$68,"")</f>
        <v/>
      </c>
      <c r="C2916" s="163" t="str">
        <f>IF(AND('Resource Planner'!$A$68="☑",12&lt;='Resource Planner'!$N$68),'Resource Planner'!$B$68,"")</f>
        <v/>
      </c>
      <c r="D2916" s="163" t="str">
        <f>IF(AND('Resource Planner'!$A$68="☑",12&lt;='Resource Planner'!$N$68),'Resource Planner'!$D$68,"")</f>
        <v/>
      </c>
      <c r="E2916" s="163" t="str">
        <f>IF(AND('Resource Planner'!$A$68="☑",12&lt;='Resource Planner'!$N$68),'Resource Planner'!$E$68,"")</f>
        <v/>
      </c>
      <c r="F2916" s="163" t="str">
        <f>IF(AND('Resource Planner'!$A$68="☑",12&lt;='Resource Planner'!$N$68),'Resource Planner'!$F$68&amp;" "&amp;('Resource Planner'!$G$68+(12-1)*'Resource Planner'!$I$68)&amp;IF(('Resource Planner'!$G$68+(12-1)*'Resource Planner'!$I$68)=MIN('Resource Planner'!$G$68+12*'Resource Planner'!$I$68-1,'Resource Planner'!$H$68),"","–"&amp;MIN('Resource Planner'!$G$68+12*'Resource Planner'!$I$68-1,'Resource Planner'!$H$68)),"")</f>
        <v/>
      </c>
      <c r="G2916" s="163" t="s">
        <v>109</v>
      </c>
      <c r="H2916" s="163" t="str">
        <f>IF(AND('Resource Planner'!$A$68="☑",12&lt;='Resource Planner'!$N$68),'Resource Planner'!$M$68,"")</f>
        <v/>
      </c>
    </row>
    <row r="2917" ht="15.75" customHeight="1">
      <c r="A291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7" s="163" t="str">
        <f>IF(AND('Resource Planner'!$A$68="☑",13&lt;='Resource Planner'!$N$68),'Resource Planner'!$C$68,"")</f>
        <v/>
      </c>
      <c r="C2917" s="163" t="str">
        <f>IF(AND('Resource Planner'!$A$68="☑",13&lt;='Resource Planner'!$N$68),'Resource Planner'!$B$68,"")</f>
        <v/>
      </c>
      <c r="D2917" s="163" t="str">
        <f>IF(AND('Resource Planner'!$A$68="☑",13&lt;='Resource Planner'!$N$68),'Resource Planner'!$D$68,"")</f>
        <v/>
      </c>
      <c r="E2917" s="163" t="str">
        <f>IF(AND('Resource Planner'!$A$68="☑",13&lt;='Resource Planner'!$N$68),'Resource Planner'!$E$68,"")</f>
        <v/>
      </c>
      <c r="F2917" s="163" t="str">
        <f>IF(AND('Resource Planner'!$A$68="☑",13&lt;='Resource Planner'!$N$68),'Resource Planner'!$F$68&amp;" "&amp;('Resource Planner'!$G$68+(13-1)*'Resource Planner'!$I$68)&amp;IF(('Resource Planner'!$G$68+(13-1)*'Resource Planner'!$I$68)=MIN('Resource Planner'!$G$68+13*'Resource Planner'!$I$68-1,'Resource Planner'!$H$68),"","–"&amp;MIN('Resource Planner'!$G$68+13*'Resource Planner'!$I$68-1,'Resource Planner'!$H$68)),"")</f>
        <v/>
      </c>
      <c r="G2917" s="163" t="s">
        <v>109</v>
      </c>
      <c r="H2917" s="163" t="str">
        <f>IF(AND('Resource Planner'!$A$68="☑",13&lt;='Resource Planner'!$N$68),'Resource Planner'!$M$68,"")</f>
        <v/>
      </c>
    </row>
    <row r="2918" ht="15.75" customHeight="1">
      <c r="A291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8" s="163" t="str">
        <f>IF(AND('Resource Planner'!$A$68="☑",14&lt;='Resource Planner'!$N$68),'Resource Planner'!$C$68,"")</f>
        <v/>
      </c>
      <c r="C2918" s="163" t="str">
        <f>IF(AND('Resource Planner'!$A$68="☑",14&lt;='Resource Planner'!$N$68),'Resource Planner'!$B$68,"")</f>
        <v/>
      </c>
      <c r="D2918" s="163" t="str">
        <f>IF(AND('Resource Planner'!$A$68="☑",14&lt;='Resource Planner'!$N$68),'Resource Planner'!$D$68,"")</f>
        <v/>
      </c>
      <c r="E2918" s="163" t="str">
        <f>IF(AND('Resource Planner'!$A$68="☑",14&lt;='Resource Planner'!$N$68),'Resource Planner'!$E$68,"")</f>
        <v/>
      </c>
      <c r="F2918" s="163" t="str">
        <f>IF(AND('Resource Planner'!$A$68="☑",14&lt;='Resource Planner'!$N$68),'Resource Planner'!$F$68&amp;" "&amp;('Resource Planner'!$G$68+(14-1)*'Resource Planner'!$I$68)&amp;IF(('Resource Planner'!$G$68+(14-1)*'Resource Planner'!$I$68)=MIN('Resource Planner'!$G$68+14*'Resource Planner'!$I$68-1,'Resource Planner'!$H$68),"","–"&amp;MIN('Resource Planner'!$G$68+14*'Resource Planner'!$I$68-1,'Resource Planner'!$H$68)),"")</f>
        <v/>
      </c>
      <c r="G2918" s="163" t="s">
        <v>109</v>
      </c>
      <c r="H2918" s="163" t="str">
        <f>IF(AND('Resource Planner'!$A$68="☑",14&lt;='Resource Planner'!$N$68),'Resource Planner'!$M$68,"")</f>
        <v/>
      </c>
    </row>
    <row r="2919" ht="15.75" customHeight="1">
      <c r="A291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19" s="163" t="str">
        <f>IF(AND('Resource Planner'!$A$68="☑",15&lt;='Resource Planner'!$N$68),'Resource Planner'!$C$68,"")</f>
        <v/>
      </c>
      <c r="C2919" s="163" t="str">
        <f>IF(AND('Resource Planner'!$A$68="☑",15&lt;='Resource Planner'!$N$68),'Resource Planner'!$B$68,"")</f>
        <v/>
      </c>
      <c r="D2919" s="163" t="str">
        <f>IF(AND('Resource Planner'!$A$68="☑",15&lt;='Resource Planner'!$N$68),'Resource Planner'!$D$68,"")</f>
        <v/>
      </c>
      <c r="E2919" s="163" t="str">
        <f>IF(AND('Resource Planner'!$A$68="☑",15&lt;='Resource Planner'!$N$68),'Resource Planner'!$E$68,"")</f>
        <v/>
      </c>
      <c r="F2919" s="163" t="str">
        <f>IF(AND('Resource Planner'!$A$68="☑",15&lt;='Resource Planner'!$N$68),'Resource Planner'!$F$68&amp;" "&amp;('Resource Planner'!$G$68+(15-1)*'Resource Planner'!$I$68)&amp;IF(('Resource Planner'!$G$68+(15-1)*'Resource Planner'!$I$68)=MIN('Resource Planner'!$G$68+15*'Resource Planner'!$I$68-1,'Resource Planner'!$H$68),"","–"&amp;MIN('Resource Planner'!$G$68+15*'Resource Planner'!$I$68-1,'Resource Planner'!$H$68)),"")</f>
        <v/>
      </c>
      <c r="G2919" s="163" t="s">
        <v>109</v>
      </c>
      <c r="H2919" s="163" t="str">
        <f>IF(AND('Resource Planner'!$A$68="☑",15&lt;='Resource Planner'!$N$68),'Resource Planner'!$M$68,"")</f>
        <v/>
      </c>
    </row>
    <row r="2920" ht="15.75" customHeight="1">
      <c r="A292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0" s="163" t="str">
        <f>IF(AND('Resource Planner'!$A$68="☑",16&lt;='Resource Planner'!$N$68),'Resource Planner'!$C$68,"")</f>
        <v/>
      </c>
      <c r="C2920" s="163" t="str">
        <f>IF(AND('Resource Planner'!$A$68="☑",16&lt;='Resource Planner'!$N$68),'Resource Planner'!$B$68,"")</f>
        <v/>
      </c>
      <c r="D2920" s="163" t="str">
        <f>IF(AND('Resource Planner'!$A$68="☑",16&lt;='Resource Planner'!$N$68),'Resource Planner'!$D$68,"")</f>
        <v/>
      </c>
      <c r="E2920" s="163" t="str">
        <f>IF(AND('Resource Planner'!$A$68="☑",16&lt;='Resource Planner'!$N$68),'Resource Planner'!$E$68,"")</f>
        <v/>
      </c>
      <c r="F2920" s="163" t="str">
        <f>IF(AND('Resource Planner'!$A$68="☑",16&lt;='Resource Planner'!$N$68),'Resource Planner'!$F$68&amp;" "&amp;('Resource Planner'!$G$68+(16-1)*'Resource Planner'!$I$68)&amp;IF(('Resource Planner'!$G$68+(16-1)*'Resource Planner'!$I$68)=MIN('Resource Planner'!$G$68+16*'Resource Planner'!$I$68-1,'Resource Planner'!$H$68),"","–"&amp;MIN('Resource Planner'!$G$68+16*'Resource Planner'!$I$68-1,'Resource Planner'!$H$68)),"")</f>
        <v/>
      </c>
      <c r="G2920" s="163" t="s">
        <v>109</v>
      </c>
      <c r="H2920" s="163" t="str">
        <f>IF(AND('Resource Planner'!$A$68="☑",16&lt;='Resource Planner'!$N$68),'Resource Planner'!$M$68,"")</f>
        <v/>
      </c>
    </row>
    <row r="2921" ht="15.75" customHeight="1">
      <c r="A292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1" s="163" t="str">
        <f>IF(AND('Resource Planner'!$A$68="☑",17&lt;='Resource Planner'!$N$68),'Resource Planner'!$C$68,"")</f>
        <v/>
      </c>
      <c r="C2921" s="163" t="str">
        <f>IF(AND('Resource Planner'!$A$68="☑",17&lt;='Resource Planner'!$N$68),'Resource Planner'!$B$68,"")</f>
        <v/>
      </c>
      <c r="D2921" s="163" t="str">
        <f>IF(AND('Resource Planner'!$A$68="☑",17&lt;='Resource Planner'!$N$68),'Resource Planner'!$D$68,"")</f>
        <v/>
      </c>
      <c r="E2921" s="163" t="str">
        <f>IF(AND('Resource Planner'!$A$68="☑",17&lt;='Resource Planner'!$N$68),'Resource Planner'!$E$68,"")</f>
        <v/>
      </c>
      <c r="F2921" s="163" t="str">
        <f>IF(AND('Resource Planner'!$A$68="☑",17&lt;='Resource Planner'!$N$68),'Resource Planner'!$F$68&amp;" "&amp;('Resource Planner'!$G$68+(17-1)*'Resource Planner'!$I$68)&amp;IF(('Resource Planner'!$G$68+(17-1)*'Resource Planner'!$I$68)=MIN('Resource Planner'!$G$68+17*'Resource Planner'!$I$68-1,'Resource Planner'!$H$68),"","–"&amp;MIN('Resource Planner'!$G$68+17*'Resource Planner'!$I$68-1,'Resource Planner'!$H$68)),"")</f>
        <v/>
      </c>
      <c r="G2921" s="163" t="s">
        <v>109</v>
      </c>
      <c r="H2921" s="163" t="str">
        <f>IF(AND('Resource Planner'!$A$68="☑",17&lt;='Resource Planner'!$N$68),'Resource Planner'!$M$68,"")</f>
        <v/>
      </c>
    </row>
    <row r="2922" ht="15.75" customHeight="1">
      <c r="A292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2" s="163" t="str">
        <f>IF(AND('Resource Planner'!$A$68="☑",18&lt;='Resource Planner'!$N$68),'Resource Planner'!$C$68,"")</f>
        <v/>
      </c>
      <c r="C2922" s="163" t="str">
        <f>IF(AND('Resource Planner'!$A$68="☑",18&lt;='Resource Planner'!$N$68),'Resource Planner'!$B$68,"")</f>
        <v/>
      </c>
      <c r="D2922" s="163" t="str">
        <f>IF(AND('Resource Planner'!$A$68="☑",18&lt;='Resource Planner'!$N$68),'Resource Planner'!$D$68,"")</f>
        <v/>
      </c>
      <c r="E2922" s="163" t="str">
        <f>IF(AND('Resource Planner'!$A$68="☑",18&lt;='Resource Planner'!$N$68),'Resource Planner'!$E$68,"")</f>
        <v/>
      </c>
      <c r="F2922" s="163" t="str">
        <f>IF(AND('Resource Planner'!$A$68="☑",18&lt;='Resource Planner'!$N$68),'Resource Planner'!$F$68&amp;" "&amp;('Resource Planner'!$G$68+(18-1)*'Resource Planner'!$I$68)&amp;IF(('Resource Planner'!$G$68+(18-1)*'Resource Planner'!$I$68)=MIN('Resource Planner'!$G$68+18*'Resource Planner'!$I$68-1,'Resource Planner'!$H$68),"","–"&amp;MIN('Resource Planner'!$G$68+18*'Resource Planner'!$I$68-1,'Resource Planner'!$H$68)),"")</f>
        <v/>
      </c>
      <c r="G2922" s="163" t="s">
        <v>109</v>
      </c>
      <c r="H2922" s="163" t="str">
        <f>IF(AND('Resource Planner'!$A$68="☑",18&lt;='Resource Planner'!$N$68),'Resource Planner'!$M$68,"")</f>
        <v/>
      </c>
    </row>
    <row r="2923" ht="15.75" customHeight="1">
      <c r="A292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3" s="163" t="str">
        <f>IF(AND('Resource Planner'!$A$68="☑",19&lt;='Resource Planner'!$N$68),'Resource Planner'!$C$68,"")</f>
        <v/>
      </c>
      <c r="C2923" s="163" t="str">
        <f>IF(AND('Resource Planner'!$A$68="☑",19&lt;='Resource Planner'!$N$68),'Resource Planner'!$B$68,"")</f>
        <v/>
      </c>
      <c r="D2923" s="163" t="str">
        <f>IF(AND('Resource Planner'!$A$68="☑",19&lt;='Resource Planner'!$N$68),'Resource Planner'!$D$68,"")</f>
        <v/>
      </c>
      <c r="E2923" s="163" t="str">
        <f>IF(AND('Resource Planner'!$A$68="☑",19&lt;='Resource Planner'!$N$68),'Resource Planner'!$E$68,"")</f>
        <v/>
      </c>
      <c r="F2923" s="163" t="str">
        <f>IF(AND('Resource Planner'!$A$68="☑",19&lt;='Resource Planner'!$N$68),'Resource Planner'!$F$68&amp;" "&amp;('Resource Planner'!$G$68+(19-1)*'Resource Planner'!$I$68)&amp;IF(('Resource Planner'!$G$68+(19-1)*'Resource Planner'!$I$68)=MIN('Resource Planner'!$G$68+19*'Resource Planner'!$I$68-1,'Resource Planner'!$H$68),"","–"&amp;MIN('Resource Planner'!$G$68+19*'Resource Planner'!$I$68-1,'Resource Planner'!$H$68)),"")</f>
        <v/>
      </c>
      <c r="G2923" s="163" t="s">
        <v>109</v>
      </c>
      <c r="H2923" s="163" t="str">
        <f>IF(AND('Resource Planner'!$A$68="☑",19&lt;='Resource Planner'!$N$68),'Resource Planner'!$M$68,"")</f>
        <v/>
      </c>
    </row>
    <row r="2924" ht="15.75" customHeight="1">
      <c r="A292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4" s="163" t="str">
        <f>IF(AND('Resource Planner'!$A$68="☑",20&lt;='Resource Planner'!$N$68),'Resource Planner'!$C$68,"")</f>
        <v/>
      </c>
      <c r="C2924" s="163" t="str">
        <f>IF(AND('Resource Planner'!$A$68="☑",20&lt;='Resource Planner'!$N$68),'Resource Planner'!$B$68,"")</f>
        <v/>
      </c>
      <c r="D2924" s="163" t="str">
        <f>IF(AND('Resource Planner'!$A$68="☑",20&lt;='Resource Planner'!$N$68),'Resource Planner'!$D$68,"")</f>
        <v/>
      </c>
      <c r="E2924" s="163" t="str">
        <f>IF(AND('Resource Planner'!$A$68="☑",20&lt;='Resource Planner'!$N$68),'Resource Planner'!$E$68,"")</f>
        <v/>
      </c>
      <c r="F2924" s="163" t="str">
        <f>IF(AND('Resource Planner'!$A$68="☑",20&lt;='Resource Planner'!$N$68),'Resource Planner'!$F$68&amp;" "&amp;('Resource Planner'!$G$68+(20-1)*'Resource Planner'!$I$68)&amp;IF(('Resource Planner'!$G$68+(20-1)*'Resource Planner'!$I$68)=MIN('Resource Planner'!$G$68+20*'Resource Planner'!$I$68-1,'Resource Planner'!$H$68),"","–"&amp;MIN('Resource Planner'!$G$68+20*'Resource Planner'!$I$68-1,'Resource Planner'!$H$68)),"")</f>
        <v/>
      </c>
      <c r="G2924" s="163" t="s">
        <v>109</v>
      </c>
      <c r="H2924" s="163" t="str">
        <f>IF(AND('Resource Planner'!$A$68="☑",20&lt;='Resource Planner'!$N$68),'Resource Planner'!$M$68,"")</f>
        <v/>
      </c>
    </row>
    <row r="2925" ht="15.75" customHeight="1">
      <c r="A292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5" s="163" t="str">
        <f>IF(AND('Resource Planner'!$A$68="☑",21&lt;='Resource Planner'!$N$68),'Resource Planner'!$C$68,"")</f>
        <v/>
      </c>
      <c r="C2925" s="163" t="str">
        <f>IF(AND('Resource Planner'!$A$68="☑",21&lt;='Resource Planner'!$N$68),'Resource Planner'!$B$68,"")</f>
        <v/>
      </c>
      <c r="D2925" s="163" t="str">
        <f>IF(AND('Resource Planner'!$A$68="☑",21&lt;='Resource Planner'!$N$68),'Resource Planner'!$D$68,"")</f>
        <v/>
      </c>
      <c r="E2925" s="163" t="str">
        <f>IF(AND('Resource Planner'!$A$68="☑",21&lt;='Resource Planner'!$N$68),'Resource Planner'!$E$68,"")</f>
        <v/>
      </c>
      <c r="F2925" s="163" t="str">
        <f>IF(AND('Resource Planner'!$A$68="☑",21&lt;='Resource Planner'!$N$68),'Resource Planner'!$F$68&amp;" "&amp;('Resource Planner'!$G$68+(21-1)*'Resource Planner'!$I$68)&amp;IF(('Resource Planner'!$G$68+(21-1)*'Resource Planner'!$I$68)=MIN('Resource Planner'!$G$68+21*'Resource Planner'!$I$68-1,'Resource Planner'!$H$68),"","–"&amp;MIN('Resource Planner'!$G$68+21*'Resource Planner'!$I$68-1,'Resource Planner'!$H$68)),"")</f>
        <v/>
      </c>
      <c r="G2925" s="163" t="s">
        <v>109</v>
      </c>
      <c r="H2925" s="163" t="str">
        <f>IF(AND('Resource Planner'!$A$68="☑",21&lt;='Resource Planner'!$N$68),'Resource Planner'!$M$68,"")</f>
        <v/>
      </c>
    </row>
    <row r="2926" ht="15.75" customHeight="1">
      <c r="A292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6" s="163" t="str">
        <f>IF(AND('Resource Planner'!$A$68="☑",22&lt;='Resource Planner'!$N$68),'Resource Planner'!$C$68,"")</f>
        <v/>
      </c>
      <c r="C2926" s="163" t="str">
        <f>IF(AND('Resource Planner'!$A$68="☑",22&lt;='Resource Planner'!$N$68),'Resource Planner'!$B$68,"")</f>
        <v/>
      </c>
      <c r="D2926" s="163" t="str">
        <f>IF(AND('Resource Planner'!$A$68="☑",22&lt;='Resource Planner'!$N$68),'Resource Planner'!$D$68,"")</f>
        <v/>
      </c>
      <c r="E2926" s="163" t="str">
        <f>IF(AND('Resource Planner'!$A$68="☑",22&lt;='Resource Planner'!$N$68),'Resource Planner'!$E$68,"")</f>
        <v/>
      </c>
      <c r="F2926" s="163" t="str">
        <f>IF(AND('Resource Planner'!$A$68="☑",22&lt;='Resource Planner'!$N$68),'Resource Planner'!$F$68&amp;" "&amp;('Resource Planner'!$G$68+(22-1)*'Resource Planner'!$I$68)&amp;IF(('Resource Planner'!$G$68+(22-1)*'Resource Planner'!$I$68)=MIN('Resource Planner'!$G$68+22*'Resource Planner'!$I$68-1,'Resource Planner'!$H$68),"","–"&amp;MIN('Resource Planner'!$G$68+22*'Resource Planner'!$I$68-1,'Resource Planner'!$H$68)),"")</f>
        <v/>
      </c>
      <c r="G2926" s="163" t="s">
        <v>109</v>
      </c>
      <c r="H2926" s="163" t="str">
        <f>IF(AND('Resource Planner'!$A$68="☑",22&lt;='Resource Planner'!$N$68),'Resource Planner'!$M$68,"")</f>
        <v/>
      </c>
    </row>
    <row r="2927" ht="15.75" customHeight="1">
      <c r="A292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7" s="163" t="str">
        <f>IF(AND('Resource Planner'!$A$68="☑",23&lt;='Resource Planner'!$N$68),'Resource Planner'!$C$68,"")</f>
        <v/>
      </c>
      <c r="C2927" s="163" t="str">
        <f>IF(AND('Resource Planner'!$A$68="☑",23&lt;='Resource Planner'!$N$68),'Resource Planner'!$B$68,"")</f>
        <v/>
      </c>
      <c r="D2927" s="163" t="str">
        <f>IF(AND('Resource Planner'!$A$68="☑",23&lt;='Resource Planner'!$N$68),'Resource Planner'!$D$68,"")</f>
        <v/>
      </c>
      <c r="E2927" s="163" t="str">
        <f>IF(AND('Resource Planner'!$A$68="☑",23&lt;='Resource Planner'!$N$68),'Resource Planner'!$E$68,"")</f>
        <v/>
      </c>
      <c r="F2927" s="163" t="str">
        <f>IF(AND('Resource Planner'!$A$68="☑",23&lt;='Resource Planner'!$N$68),'Resource Planner'!$F$68&amp;" "&amp;('Resource Planner'!$G$68+(23-1)*'Resource Planner'!$I$68)&amp;IF(('Resource Planner'!$G$68+(23-1)*'Resource Planner'!$I$68)=MIN('Resource Planner'!$G$68+23*'Resource Planner'!$I$68-1,'Resource Planner'!$H$68),"","–"&amp;MIN('Resource Planner'!$G$68+23*'Resource Planner'!$I$68-1,'Resource Planner'!$H$68)),"")</f>
        <v/>
      </c>
      <c r="G2927" s="163" t="s">
        <v>109</v>
      </c>
      <c r="H2927" s="163" t="str">
        <f>IF(AND('Resource Planner'!$A$68="☑",23&lt;='Resource Planner'!$N$68),'Resource Planner'!$M$68,"")</f>
        <v/>
      </c>
    </row>
    <row r="2928" ht="15.75" customHeight="1">
      <c r="A292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8" s="163" t="str">
        <f>IF(AND('Resource Planner'!$A$68="☑",24&lt;='Resource Planner'!$N$68),'Resource Planner'!$C$68,"")</f>
        <v/>
      </c>
      <c r="C2928" s="163" t="str">
        <f>IF(AND('Resource Planner'!$A$68="☑",24&lt;='Resource Planner'!$N$68),'Resource Planner'!$B$68,"")</f>
        <v/>
      </c>
      <c r="D2928" s="163" t="str">
        <f>IF(AND('Resource Planner'!$A$68="☑",24&lt;='Resource Planner'!$N$68),'Resource Planner'!$D$68,"")</f>
        <v/>
      </c>
      <c r="E2928" s="163" t="str">
        <f>IF(AND('Resource Planner'!$A$68="☑",24&lt;='Resource Planner'!$N$68),'Resource Planner'!$E$68,"")</f>
        <v/>
      </c>
      <c r="F2928" s="163" t="str">
        <f>IF(AND('Resource Planner'!$A$68="☑",24&lt;='Resource Planner'!$N$68),'Resource Planner'!$F$68&amp;" "&amp;('Resource Planner'!$G$68+(24-1)*'Resource Planner'!$I$68)&amp;IF(('Resource Planner'!$G$68+(24-1)*'Resource Planner'!$I$68)=MIN('Resource Planner'!$G$68+24*'Resource Planner'!$I$68-1,'Resource Planner'!$H$68),"","–"&amp;MIN('Resource Planner'!$G$68+24*'Resource Planner'!$I$68-1,'Resource Planner'!$H$68)),"")</f>
        <v/>
      </c>
      <c r="G2928" s="163" t="s">
        <v>109</v>
      </c>
      <c r="H2928" s="163" t="str">
        <f>IF(AND('Resource Planner'!$A$68="☑",24&lt;='Resource Planner'!$N$68),'Resource Planner'!$M$68,"")</f>
        <v/>
      </c>
    </row>
    <row r="2929" ht="15.75" customHeight="1">
      <c r="A292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29" s="163" t="str">
        <f>IF(AND('Resource Planner'!$A$68="☑",25&lt;='Resource Planner'!$N$68),'Resource Planner'!$C$68,"")</f>
        <v/>
      </c>
      <c r="C2929" s="163" t="str">
        <f>IF(AND('Resource Planner'!$A$68="☑",25&lt;='Resource Planner'!$N$68),'Resource Planner'!$B$68,"")</f>
        <v/>
      </c>
      <c r="D2929" s="163" t="str">
        <f>IF(AND('Resource Planner'!$A$68="☑",25&lt;='Resource Planner'!$N$68),'Resource Planner'!$D$68,"")</f>
        <v/>
      </c>
      <c r="E2929" s="163" t="str">
        <f>IF(AND('Resource Planner'!$A$68="☑",25&lt;='Resource Planner'!$N$68),'Resource Planner'!$E$68,"")</f>
        <v/>
      </c>
      <c r="F2929" s="163" t="str">
        <f>IF(AND('Resource Planner'!$A$68="☑",25&lt;='Resource Planner'!$N$68),'Resource Planner'!$F$68&amp;" "&amp;('Resource Planner'!$G$68+(25-1)*'Resource Planner'!$I$68)&amp;IF(('Resource Planner'!$G$68+(25-1)*'Resource Planner'!$I$68)=MIN('Resource Planner'!$G$68+25*'Resource Planner'!$I$68-1,'Resource Planner'!$H$68),"","–"&amp;MIN('Resource Planner'!$G$68+25*'Resource Planner'!$I$68-1,'Resource Planner'!$H$68)),"")</f>
        <v/>
      </c>
      <c r="G2929" s="163" t="s">
        <v>109</v>
      </c>
      <c r="H2929" s="163" t="str">
        <f>IF(AND('Resource Planner'!$A$68="☑",25&lt;='Resource Planner'!$N$68),'Resource Planner'!$M$68,"")</f>
        <v/>
      </c>
    </row>
    <row r="2930" ht="15.75" customHeight="1">
      <c r="A293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0" s="163" t="str">
        <f>IF(AND('Resource Planner'!$A$68="☑",26&lt;='Resource Planner'!$N$68),'Resource Planner'!$C$68,"")</f>
        <v/>
      </c>
      <c r="C2930" s="163" t="str">
        <f>IF(AND('Resource Planner'!$A$68="☑",26&lt;='Resource Planner'!$N$68),'Resource Planner'!$B$68,"")</f>
        <v/>
      </c>
      <c r="D2930" s="163" t="str">
        <f>IF(AND('Resource Planner'!$A$68="☑",26&lt;='Resource Planner'!$N$68),'Resource Planner'!$D$68,"")</f>
        <v/>
      </c>
      <c r="E2930" s="163" t="str">
        <f>IF(AND('Resource Planner'!$A$68="☑",26&lt;='Resource Planner'!$N$68),'Resource Planner'!$E$68,"")</f>
        <v/>
      </c>
      <c r="F2930" s="163" t="str">
        <f>IF(AND('Resource Planner'!$A$68="☑",26&lt;='Resource Planner'!$N$68),'Resource Planner'!$F$68&amp;" "&amp;('Resource Planner'!$G$68+(26-1)*'Resource Planner'!$I$68)&amp;IF(('Resource Planner'!$G$68+(26-1)*'Resource Planner'!$I$68)=MIN('Resource Planner'!$G$68+26*'Resource Planner'!$I$68-1,'Resource Planner'!$H$68),"","–"&amp;MIN('Resource Planner'!$G$68+26*'Resource Planner'!$I$68-1,'Resource Planner'!$H$68)),"")</f>
        <v/>
      </c>
      <c r="G2930" s="163" t="s">
        <v>109</v>
      </c>
      <c r="H2930" s="163" t="str">
        <f>IF(AND('Resource Planner'!$A$68="☑",26&lt;='Resource Planner'!$N$68),'Resource Planner'!$M$68,"")</f>
        <v/>
      </c>
    </row>
    <row r="2931" ht="15.75" customHeight="1">
      <c r="A293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1" s="163" t="str">
        <f>IF(AND('Resource Planner'!$A$68="☑",27&lt;='Resource Planner'!$N$68),'Resource Planner'!$C$68,"")</f>
        <v/>
      </c>
      <c r="C2931" s="163" t="str">
        <f>IF(AND('Resource Planner'!$A$68="☑",27&lt;='Resource Planner'!$N$68),'Resource Planner'!$B$68,"")</f>
        <v/>
      </c>
      <c r="D2931" s="163" t="str">
        <f>IF(AND('Resource Planner'!$A$68="☑",27&lt;='Resource Planner'!$N$68),'Resource Planner'!$D$68,"")</f>
        <v/>
      </c>
      <c r="E2931" s="163" t="str">
        <f>IF(AND('Resource Planner'!$A$68="☑",27&lt;='Resource Planner'!$N$68),'Resource Planner'!$E$68,"")</f>
        <v/>
      </c>
      <c r="F2931" s="163" t="str">
        <f>IF(AND('Resource Planner'!$A$68="☑",27&lt;='Resource Planner'!$N$68),'Resource Planner'!$F$68&amp;" "&amp;('Resource Planner'!$G$68+(27-1)*'Resource Planner'!$I$68)&amp;IF(('Resource Planner'!$G$68+(27-1)*'Resource Planner'!$I$68)=MIN('Resource Planner'!$G$68+27*'Resource Planner'!$I$68-1,'Resource Planner'!$H$68),"","–"&amp;MIN('Resource Planner'!$G$68+27*'Resource Planner'!$I$68-1,'Resource Planner'!$H$68)),"")</f>
        <v/>
      </c>
      <c r="G2931" s="163" t="s">
        <v>109</v>
      </c>
      <c r="H2931" s="163" t="str">
        <f>IF(AND('Resource Planner'!$A$68="☑",27&lt;='Resource Planner'!$N$68),'Resource Planner'!$M$68,"")</f>
        <v/>
      </c>
    </row>
    <row r="2932" ht="15.75" customHeight="1">
      <c r="A293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2" s="163" t="str">
        <f>IF(AND('Resource Planner'!$A$68="☑",28&lt;='Resource Planner'!$N$68),'Resource Planner'!$C$68,"")</f>
        <v/>
      </c>
      <c r="C2932" s="163" t="str">
        <f>IF(AND('Resource Planner'!$A$68="☑",28&lt;='Resource Planner'!$N$68),'Resource Planner'!$B$68,"")</f>
        <v/>
      </c>
      <c r="D2932" s="163" t="str">
        <f>IF(AND('Resource Planner'!$A$68="☑",28&lt;='Resource Planner'!$N$68),'Resource Planner'!$D$68,"")</f>
        <v/>
      </c>
      <c r="E2932" s="163" t="str">
        <f>IF(AND('Resource Planner'!$A$68="☑",28&lt;='Resource Planner'!$N$68),'Resource Planner'!$E$68,"")</f>
        <v/>
      </c>
      <c r="F2932" s="163" t="str">
        <f>IF(AND('Resource Planner'!$A$68="☑",28&lt;='Resource Planner'!$N$68),'Resource Planner'!$F$68&amp;" "&amp;('Resource Planner'!$G$68+(28-1)*'Resource Planner'!$I$68)&amp;IF(('Resource Planner'!$G$68+(28-1)*'Resource Planner'!$I$68)=MIN('Resource Planner'!$G$68+28*'Resource Planner'!$I$68-1,'Resource Planner'!$H$68),"","–"&amp;MIN('Resource Planner'!$G$68+28*'Resource Planner'!$I$68-1,'Resource Planner'!$H$68)),"")</f>
        <v/>
      </c>
      <c r="G2932" s="163" t="s">
        <v>109</v>
      </c>
      <c r="H2932" s="163" t="str">
        <f>IF(AND('Resource Planner'!$A$68="☑",28&lt;='Resource Planner'!$N$68),'Resource Planner'!$M$68,"")</f>
        <v/>
      </c>
    </row>
    <row r="2933" ht="15.75" customHeight="1">
      <c r="A293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3" s="163" t="str">
        <f>IF(AND('Resource Planner'!$A$68="☑",29&lt;='Resource Planner'!$N$68),'Resource Planner'!$C$68,"")</f>
        <v/>
      </c>
      <c r="C2933" s="163" t="str">
        <f>IF(AND('Resource Planner'!$A$68="☑",29&lt;='Resource Planner'!$N$68),'Resource Planner'!$B$68,"")</f>
        <v/>
      </c>
      <c r="D2933" s="163" t="str">
        <f>IF(AND('Resource Planner'!$A$68="☑",29&lt;='Resource Planner'!$N$68),'Resource Planner'!$D$68,"")</f>
        <v/>
      </c>
      <c r="E2933" s="163" t="str">
        <f>IF(AND('Resource Planner'!$A$68="☑",29&lt;='Resource Planner'!$N$68),'Resource Planner'!$E$68,"")</f>
        <v/>
      </c>
      <c r="F2933" s="163" t="str">
        <f>IF(AND('Resource Planner'!$A$68="☑",29&lt;='Resource Planner'!$N$68),'Resource Planner'!$F$68&amp;" "&amp;('Resource Planner'!$G$68+(29-1)*'Resource Planner'!$I$68)&amp;IF(('Resource Planner'!$G$68+(29-1)*'Resource Planner'!$I$68)=MIN('Resource Planner'!$G$68+29*'Resource Planner'!$I$68-1,'Resource Planner'!$H$68),"","–"&amp;MIN('Resource Planner'!$G$68+29*'Resource Planner'!$I$68-1,'Resource Planner'!$H$68)),"")</f>
        <v/>
      </c>
      <c r="G2933" s="163" t="s">
        <v>109</v>
      </c>
      <c r="H2933" s="163" t="str">
        <f>IF(AND('Resource Planner'!$A$68="☑",29&lt;='Resource Planner'!$N$68),'Resource Planner'!$M$68,"")</f>
        <v/>
      </c>
    </row>
    <row r="2934" ht="15.75" customHeight="1">
      <c r="A293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4" s="163" t="str">
        <f>IF(AND('Resource Planner'!$A$68="☑",30&lt;='Resource Planner'!$N$68),'Resource Planner'!$C$68,"")</f>
        <v/>
      </c>
      <c r="C2934" s="163" t="str">
        <f>IF(AND('Resource Planner'!$A$68="☑",30&lt;='Resource Planner'!$N$68),'Resource Planner'!$B$68,"")</f>
        <v/>
      </c>
      <c r="D2934" s="163" t="str">
        <f>IF(AND('Resource Planner'!$A$68="☑",30&lt;='Resource Planner'!$N$68),'Resource Planner'!$D$68,"")</f>
        <v/>
      </c>
      <c r="E2934" s="163" t="str">
        <f>IF(AND('Resource Planner'!$A$68="☑",30&lt;='Resource Planner'!$N$68),'Resource Planner'!$E$68,"")</f>
        <v/>
      </c>
      <c r="F2934" s="163" t="str">
        <f>IF(AND('Resource Planner'!$A$68="☑",30&lt;='Resource Planner'!$N$68),'Resource Planner'!$F$68&amp;" "&amp;('Resource Planner'!$G$68+(30-1)*'Resource Planner'!$I$68)&amp;IF(('Resource Planner'!$G$68+(30-1)*'Resource Planner'!$I$68)=MIN('Resource Planner'!$G$68+30*'Resource Planner'!$I$68-1,'Resource Planner'!$H$68),"","–"&amp;MIN('Resource Planner'!$G$68+30*'Resource Planner'!$I$68-1,'Resource Planner'!$H$68)),"")</f>
        <v/>
      </c>
      <c r="G2934" s="163" t="s">
        <v>109</v>
      </c>
      <c r="H2934" s="163" t="str">
        <f>IF(AND('Resource Planner'!$A$68="☑",30&lt;='Resource Planner'!$N$68),'Resource Planner'!$M$68,"")</f>
        <v/>
      </c>
    </row>
    <row r="2935" ht="15.75" customHeight="1">
      <c r="A293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5" s="163" t="str">
        <f>IF(AND('Resource Planner'!$A$68="☑",31&lt;='Resource Planner'!$N$68),'Resource Planner'!$C$68,"")</f>
        <v/>
      </c>
      <c r="C2935" s="163" t="str">
        <f>IF(AND('Resource Planner'!$A$68="☑",31&lt;='Resource Planner'!$N$68),'Resource Planner'!$B$68,"")</f>
        <v/>
      </c>
      <c r="D2935" s="163" t="str">
        <f>IF(AND('Resource Planner'!$A$68="☑",31&lt;='Resource Planner'!$N$68),'Resource Planner'!$D$68,"")</f>
        <v/>
      </c>
      <c r="E2935" s="163" t="str">
        <f>IF(AND('Resource Planner'!$A$68="☑",31&lt;='Resource Planner'!$N$68),'Resource Planner'!$E$68,"")</f>
        <v/>
      </c>
      <c r="F2935" s="163" t="str">
        <f>IF(AND('Resource Planner'!$A$68="☑",31&lt;='Resource Planner'!$N$68),'Resource Planner'!$F$68&amp;" "&amp;('Resource Planner'!$G$68+(31-1)*'Resource Planner'!$I$68)&amp;IF(('Resource Planner'!$G$68+(31-1)*'Resource Planner'!$I$68)=MIN('Resource Planner'!$G$68+31*'Resource Planner'!$I$68-1,'Resource Planner'!$H$68),"","–"&amp;MIN('Resource Planner'!$G$68+31*'Resource Planner'!$I$68-1,'Resource Planner'!$H$68)),"")</f>
        <v/>
      </c>
      <c r="G2935" s="163" t="s">
        <v>109</v>
      </c>
      <c r="H2935" s="163" t="str">
        <f>IF(AND('Resource Planner'!$A$68="☑",31&lt;='Resource Planner'!$N$68),'Resource Planner'!$M$68,"")</f>
        <v/>
      </c>
    </row>
    <row r="2936" ht="15.75" customHeight="1">
      <c r="A293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6" s="163" t="str">
        <f>IF(AND('Resource Planner'!$A$68="☑",32&lt;='Resource Planner'!$N$68),'Resource Planner'!$C$68,"")</f>
        <v/>
      </c>
      <c r="C2936" s="163" t="str">
        <f>IF(AND('Resource Planner'!$A$68="☑",32&lt;='Resource Planner'!$N$68),'Resource Planner'!$B$68,"")</f>
        <v/>
      </c>
      <c r="D2936" s="163" t="str">
        <f>IF(AND('Resource Planner'!$A$68="☑",32&lt;='Resource Planner'!$N$68),'Resource Planner'!$D$68,"")</f>
        <v/>
      </c>
      <c r="E2936" s="163" t="str">
        <f>IF(AND('Resource Planner'!$A$68="☑",32&lt;='Resource Planner'!$N$68),'Resource Planner'!$E$68,"")</f>
        <v/>
      </c>
      <c r="F2936" s="163" t="str">
        <f>IF(AND('Resource Planner'!$A$68="☑",32&lt;='Resource Planner'!$N$68),'Resource Planner'!$F$68&amp;" "&amp;('Resource Planner'!$G$68+(32-1)*'Resource Planner'!$I$68)&amp;IF(('Resource Planner'!$G$68+(32-1)*'Resource Planner'!$I$68)=MIN('Resource Planner'!$G$68+32*'Resource Planner'!$I$68-1,'Resource Planner'!$H$68),"","–"&amp;MIN('Resource Planner'!$G$68+32*'Resource Planner'!$I$68-1,'Resource Planner'!$H$68)),"")</f>
        <v/>
      </c>
      <c r="G2936" s="163" t="s">
        <v>109</v>
      </c>
      <c r="H2936" s="163" t="str">
        <f>IF(AND('Resource Planner'!$A$68="☑",32&lt;='Resource Planner'!$N$68),'Resource Planner'!$M$68,"")</f>
        <v/>
      </c>
    </row>
    <row r="2937" ht="15.75" customHeight="1">
      <c r="A293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7" s="163" t="str">
        <f>IF(AND('Resource Planner'!$A$68="☑",33&lt;='Resource Planner'!$N$68),'Resource Planner'!$C$68,"")</f>
        <v/>
      </c>
      <c r="C2937" s="163" t="str">
        <f>IF(AND('Resource Planner'!$A$68="☑",33&lt;='Resource Planner'!$N$68),'Resource Planner'!$B$68,"")</f>
        <v/>
      </c>
      <c r="D2937" s="163" t="str">
        <f>IF(AND('Resource Planner'!$A$68="☑",33&lt;='Resource Planner'!$N$68),'Resource Planner'!$D$68,"")</f>
        <v/>
      </c>
      <c r="E2937" s="163" t="str">
        <f>IF(AND('Resource Planner'!$A$68="☑",33&lt;='Resource Planner'!$N$68),'Resource Planner'!$E$68,"")</f>
        <v/>
      </c>
      <c r="F2937" s="163" t="str">
        <f>IF(AND('Resource Planner'!$A$68="☑",33&lt;='Resource Planner'!$N$68),'Resource Planner'!$F$68&amp;" "&amp;('Resource Planner'!$G$68+(33-1)*'Resource Planner'!$I$68)&amp;IF(('Resource Planner'!$G$68+(33-1)*'Resource Planner'!$I$68)=MIN('Resource Planner'!$G$68+33*'Resource Planner'!$I$68-1,'Resource Planner'!$H$68),"","–"&amp;MIN('Resource Planner'!$G$68+33*'Resource Planner'!$I$68-1,'Resource Planner'!$H$68)),"")</f>
        <v/>
      </c>
      <c r="G2937" s="163" t="s">
        <v>109</v>
      </c>
      <c r="H2937" s="163" t="str">
        <f>IF(AND('Resource Planner'!$A$68="☑",33&lt;='Resource Planner'!$N$68),'Resource Planner'!$M$68,"")</f>
        <v/>
      </c>
    </row>
    <row r="2938" ht="15.75" customHeight="1">
      <c r="A293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8" s="163" t="str">
        <f>IF(AND('Resource Planner'!$A$68="☑",34&lt;='Resource Planner'!$N$68),'Resource Planner'!$C$68,"")</f>
        <v/>
      </c>
      <c r="C2938" s="163" t="str">
        <f>IF(AND('Resource Planner'!$A$68="☑",34&lt;='Resource Planner'!$N$68),'Resource Planner'!$B$68,"")</f>
        <v/>
      </c>
      <c r="D2938" s="163" t="str">
        <f>IF(AND('Resource Planner'!$A$68="☑",34&lt;='Resource Planner'!$N$68),'Resource Planner'!$D$68,"")</f>
        <v/>
      </c>
      <c r="E2938" s="163" t="str">
        <f>IF(AND('Resource Planner'!$A$68="☑",34&lt;='Resource Planner'!$N$68),'Resource Planner'!$E$68,"")</f>
        <v/>
      </c>
      <c r="F2938" s="163" t="str">
        <f>IF(AND('Resource Planner'!$A$68="☑",34&lt;='Resource Planner'!$N$68),'Resource Planner'!$F$68&amp;" "&amp;('Resource Planner'!$G$68+(34-1)*'Resource Planner'!$I$68)&amp;IF(('Resource Planner'!$G$68+(34-1)*'Resource Planner'!$I$68)=MIN('Resource Planner'!$G$68+34*'Resource Planner'!$I$68-1,'Resource Planner'!$H$68),"","–"&amp;MIN('Resource Planner'!$G$68+34*'Resource Planner'!$I$68-1,'Resource Planner'!$H$68)),"")</f>
        <v/>
      </c>
      <c r="G2938" s="163" t="s">
        <v>109</v>
      </c>
      <c r="H2938" s="163" t="str">
        <f>IF(AND('Resource Planner'!$A$68="☑",34&lt;='Resource Planner'!$N$68),'Resource Planner'!$M$68,"")</f>
        <v/>
      </c>
    </row>
    <row r="2939" ht="15.75" customHeight="1">
      <c r="A293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39" s="163" t="str">
        <f>IF(AND('Resource Planner'!$A$68="☑",35&lt;='Resource Planner'!$N$68),'Resource Planner'!$C$68,"")</f>
        <v/>
      </c>
      <c r="C2939" s="163" t="str">
        <f>IF(AND('Resource Planner'!$A$68="☑",35&lt;='Resource Planner'!$N$68),'Resource Planner'!$B$68,"")</f>
        <v/>
      </c>
      <c r="D2939" s="163" t="str">
        <f>IF(AND('Resource Planner'!$A$68="☑",35&lt;='Resource Planner'!$N$68),'Resource Planner'!$D$68,"")</f>
        <v/>
      </c>
      <c r="E2939" s="163" t="str">
        <f>IF(AND('Resource Planner'!$A$68="☑",35&lt;='Resource Planner'!$N$68),'Resource Planner'!$E$68,"")</f>
        <v/>
      </c>
      <c r="F2939" s="163" t="str">
        <f>IF(AND('Resource Planner'!$A$68="☑",35&lt;='Resource Planner'!$N$68),'Resource Planner'!$F$68&amp;" "&amp;('Resource Planner'!$G$68+(35-1)*'Resource Planner'!$I$68)&amp;IF(('Resource Planner'!$G$68+(35-1)*'Resource Planner'!$I$68)=MIN('Resource Planner'!$G$68+35*'Resource Planner'!$I$68-1,'Resource Planner'!$H$68),"","–"&amp;MIN('Resource Planner'!$G$68+35*'Resource Planner'!$I$68-1,'Resource Planner'!$H$68)),"")</f>
        <v/>
      </c>
      <c r="G2939" s="163" t="s">
        <v>109</v>
      </c>
      <c r="H2939" s="163" t="str">
        <f>IF(AND('Resource Planner'!$A$68="☑",35&lt;='Resource Planner'!$N$68),'Resource Planner'!$M$68,"")</f>
        <v/>
      </c>
    </row>
    <row r="2940" ht="15.75" customHeight="1">
      <c r="A294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0" s="163" t="str">
        <f>IF(AND('Resource Planner'!$A$68="☑",36&lt;='Resource Planner'!$N$68),'Resource Planner'!$C$68,"")</f>
        <v/>
      </c>
      <c r="C2940" s="163" t="str">
        <f>IF(AND('Resource Planner'!$A$68="☑",36&lt;='Resource Planner'!$N$68),'Resource Planner'!$B$68,"")</f>
        <v/>
      </c>
      <c r="D2940" s="163" t="str">
        <f>IF(AND('Resource Planner'!$A$68="☑",36&lt;='Resource Planner'!$N$68),'Resource Planner'!$D$68,"")</f>
        <v/>
      </c>
      <c r="E2940" s="163" t="str">
        <f>IF(AND('Resource Planner'!$A$68="☑",36&lt;='Resource Planner'!$N$68),'Resource Planner'!$E$68,"")</f>
        <v/>
      </c>
      <c r="F2940" s="163" t="str">
        <f>IF(AND('Resource Planner'!$A$68="☑",36&lt;='Resource Planner'!$N$68),'Resource Planner'!$F$68&amp;" "&amp;('Resource Planner'!$G$68+(36-1)*'Resource Planner'!$I$68)&amp;IF(('Resource Planner'!$G$68+(36-1)*'Resource Planner'!$I$68)=MIN('Resource Planner'!$G$68+36*'Resource Planner'!$I$68-1,'Resource Planner'!$H$68),"","–"&amp;MIN('Resource Planner'!$G$68+36*'Resource Planner'!$I$68-1,'Resource Planner'!$H$68)),"")</f>
        <v/>
      </c>
      <c r="G2940" s="163" t="s">
        <v>109</v>
      </c>
      <c r="H2940" s="163" t="str">
        <f>IF(AND('Resource Planner'!$A$68="☑",36&lt;='Resource Planner'!$N$68),'Resource Planner'!$M$68,"")</f>
        <v/>
      </c>
    </row>
    <row r="2941" ht="15.75" customHeight="1">
      <c r="A294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1" s="163" t="str">
        <f>IF(AND('Resource Planner'!$A$68="☑",37&lt;='Resource Planner'!$N$68),'Resource Planner'!$C$68,"")</f>
        <v/>
      </c>
      <c r="C2941" s="163" t="str">
        <f>IF(AND('Resource Planner'!$A$68="☑",37&lt;='Resource Planner'!$N$68),'Resource Planner'!$B$68,"")</f>
        <v/>
      </c>
      <c r="D2941" s="163" t="str">
        <f>IF(AND('Resource Planner'!$A$68="☑",37&lt;='Resource Planner'!$N$68),'Resource Planner'!$D$68,"")</f>
        <v/>
      </c>
      <c r="E2941" s="163" t="str">
        <f>IF(AND('Resource Planner'!$A$68="☑",37&lt;='Resource Planner'!$N$68),'Resource Planner'!$E$68,"")</f>
        <v/>
      </c>
      <c r="F2941" s="163" t="str">
        <f>IF(AND('Resource Planner'!$A$68="☑",37&lt;='Resource Planner'!$N$68),'Resource Planner'!$F$68&amp;" "&amp;('Resource Planner'!$G$68+(37-1)*'Resource Planner'!$I$68)&amp;IF(('Resource Planner'!$G$68+(37-1)*'Resource Planner'!$I$68)=MIN('Resource Planner'!$G$68+37*'Resource Planner'!$I$68-1,'Resource Planner'!$H$68),"","–"&amp;MIN('Resource Planner'!$G$68+37*'Resource Planner'!$I$68-1,'Resource Planner'!$H$68)),"")</f>
        <v/>
      </c>
      <c r="G2941" s="163" t="s">
        <v>109</v>
      </c>
      <c r="H2941" s="163" t="str">
        <f>IF(AND('Resource Planner'!$A$68="☑",37&lt;='Resource Planner'!$N$68),'Resource Planner'!$M$68,"")</f>
        <v/>
      </c>
    </row>
    <row r="2942" ht="15.75" customHeight="1">
      <c r="A294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2" s="163" t="str">
        <f>IF(AND('Resource Planner'!$A$68="☑",38&lt;='Resource Planner'!$N$68),'Resource Planner'!$C$68,"")</f>
        <v/>
      </c>
      <c r="C2942" s="163" t="str">
        <f>IF(AND('Resource Planner'!$A$68="☑",38&lt;='Resource Planner'!$N$68),'Resource Planner'!$B$68,"")</f>
        <v/>
      </c>
      <c r="D2942" s="163" t="str">
        <f>IF(AND('Resource Planner'!$A$68="☑",38&lt;='Resource Planner'!$N$68),'Resource Planner'!$D$68,"")</f>
        <v/>
      </c>
      <c r="E2942" s="163" t="str">
        <f>IF(AND('Resource Planner'!$A$68="☑",38&lt;='Resource Planner'!$N$68),'Resource Planner'!$E$68,"")</f>
        <v/>
      </c>
      <c r="F2942" s="163" t="str">
        <f>IF(AND('Resource Planner'!$A$68="☑",38&lt;='Resource Planner'!$N$68),'Resource Planner'!$F$68&amp;" "&amp;('Resource Planner'!$G$68+(38-1)*'Resource Planner'!$I$68)&amp;IF(('Resource Planner'!$G$68+(38-1)*'Resource Planner'!$I$68)=MIN('Resource Planner'!$G$68+38*'Resource Planner'!$I$68-1,'Resource Planner'!$H$68),"","–"&amp;MIN('Resource Planner'!$G$68+38*'Resource Planner'!$I$68-1,'Resource Planner'!$H$68)),"")</f>
        <v/>
      </c>
      <c r="G2942" s="163" t="s">
        <v>109</v>
      </c>
      <c r="H2942" s="163" t="str">
        <f>IF(AND('Resource Planner'!$A$68="☑",38&lt;='Resource Planner'!$N$68),'Resource Planner'!$M$68,"")</f>
        <v/>
      </c>
    </row>
    <row r="2943" ht="15.75" customHeight="1">
      <c r="A294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3" s="163" t="str">
        <f>IF(AND('Resource Planner'!$A$68="☑",39&lt;='Resource Planner'!$N$68),'Resource Planner'!$C$68,"")</f>
        <v/>
      </c>
      <c r="C2943" s="163" t="str">
        <f>IF(AND('Resource Planner'!$A$68="☑",39&lt;='Resource Planner'!$N$68),'Resource Planner'!$B$68,"")</f>
        <v/>
      </c>
      <c r="D2943" s="163" t="str">
        <f>IF(AND('Resource Planner'!$A$68="☑",39&lt;='Resource Planner'!$N$68),'Resource Planner'!$D$68,"")</f>
        <v/>
      </c>
      <c r="E2943" s="163" t="str">
        <f>IF(AND('Resource Planner'!$A$68="☑",39&lt;='Resource Planner'!$N$68),'Resource Planner'!$E$68,"")</f>
        <v/>
      </c>
      <c r="F2943" s="163" t="str">
        <f>IF(AND('Resource Planner'!$A$68="☑",39&lt;='Resource Planner'!$N$68),'Resource Planner'!$F$68&amp;" "&amp;('Resource Planner'!$G$68+(39-1)*'Resource Planner'!$I$68)&amp;IF(('Resource Planner'!$G$68+(39-1)*'Resource Planner'!$I$68)=MIN('Resource Planner'!$G$68+39*'Resource Planner'!$I$68-1,'Resource Planner'!$H$68),"","–"&amp;MIN('Resource Planner'!$G$68+39*'Resource Planner'!$I$68-1,'Resource Planner'!$H$68)),"")</f>
        <v/>
      </c>
      <c r="G2943" s="163" t="s">
        <v>109</v>
      </c>
      <c r="H2943" s="163" t="str">
        <f>IF(AND('Resource Planner'!$A$68="☑",39&lt;='Resource Planner'!$N$68),'Resource Planner'!$M$68,"")</f>
        <v/>
      </c>
    </row>
    <row r="2944" ht="15.75" customHeight="1">
      <c r="A294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4" s="163" t="str">
        <f>IF(AND('Resource Planner'!$A$68="☑",40&lt;='Resource Planner'!$N$68),'Resource Planner'!$C$68,"")</f>
        <v/>
      </c>
      <c r="C2944" s="163" t="str">
        <f>IF(AND('Resource Planner'!$A$68="☑",40&lt;='Resource Planner'!$N$68),'Resource Planner'!$B$68,"")</f>
        <v/>
      </c>
      <c r="D2944" s="163" t="str">
        <f>IF(AND('Resource Planner'!$A$68="☑",40&lt;='Resource Planner'!$N$68),'Resource Planner'!$D$68,"")</f>
        <v/>
      </c>
      <c r="E2944" s="163" t="str">
        <f>IF(AND('Resource Planner'!$A$68="☑",40&lt;='Resource Planner'!$N$68),'Resource Planner'!$E$68,"")</f>
        <v/>
      </c>
      <c r="F2944" s="163" t="str">
        <f>IF(AND('Resource Planner'!$A$68="☑",40&lt;='Resource Planner'!$N$68),'Resource Planner'!$F$68&amp;" "&amp;('Resource Planner'!$G$68+(40-1)*'Resource Planner'!$I$68)&amp;IF(('Resource Planner'!$G$68+(40-1)*'Resource Planner'!$I$68)=MIN('Resource Planner'!$G$68+40*'Resource Planner'!$I$68-1,'Resource Planner'!$H$68),"","–"&amp;MIN('Resource Planner'!$G$68+40*'Resource Planner'!$I$68-1,'Resource Planner'!$H$68)),"")</f>
        <v/>
      </c>
      <c r="G2944" s="163" t="s">
        <v>109</v>
      </c>
      <c r="H2944" s="163" t="str">
        <f>IF(AND('Resource Planner'!$A$68="☑",40&lt;='Resource Planner'!$N$68),'Resource Planner'!$M$68,"")</f>
        <v/>
      </c>
    </row>
    <row r="2945" ht="15.75" customHeight="1">
      <c r="A294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5" s="163" t="str">
        <f>IF(AND('Resource Planner'!$A$68="☑",41&lt;='Resource Planner'!$N$68),'Resource Planner'!$C$68,"")</f>
        <v/>
      </c>
      <c r="C2945" s="163" t="str">
        <f>IF(AND('Resource Planner'!$A$68="☑",41&lt;='Resource Planner'!$N$68),'Resource Planner'!$B$68,"")</f>
        <v/>
      </c>
      <c r="D2945" s="163" t="str">
        <f>IF(AND('Resource Planner'!$A$68="☑",41&lt;='Resource Planner'!$N$68),'Resource Planner'!$D$68,"")</f>
        <v/>
      </c>
      <c r="E2945" s="163" t="str">
        <f>IF(AND('Resource Planner'!$A$68="☑",41&lt;='Resource Planner'!$N$68),'Resource Planner'!$E$68,"")</f>
        <v/>
      </c>
      <c r="F2945" s="163" t="str">
        <f>IF(AND('Resource Planner'!$A$68="☑",41&lt;='Resource Planner'!$N$68),'Resource Planner'!$F$68&amp;" "&amp;('Resource Planner'!$G$68+(41-1)*'Resource Planner'!$I$68)&amp;IF(('Resource Planner'!$G$68+(41-1)*'Resource Planner'!$I$68)=MIN('Resource Planner'!$G$68+41*'Resource Planner'!$I$68-1,'Resource Planner'!$H$68),"","–"&amp;MIN('Resource Planner'!$G$68+41*'Resource Planner'!$I$68-1,'Resource Planner'!$H$68)),"")</f>
        <v/>
      </c>
      <c r="G2945" s="163" t="s">
        <v>109</v>
      </c>
      <c r="H2945" s="163" t="str">
        <f>IF(AND('Resource Planner'!$A$68="☑",41&lt;='Resource Planner'!$N$68),'Resource Planner'!$M$68,"")</f>
        <v/>
      </c>
    </row>
    <row r="2946" ht="15.75" customHeight="1">
      <c r="A294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6" s="163" t="str">
        <f>IF(AND('Resource Planner'!$A$68="☑",42&lt;='Resource Planner'!$N$68),'Resource Planner'!$C$68,"")</f>
        <v/>
      </c>
      <c r="C2946" s="163" t="str">
        <f>IF(AND('Resource Planner'!$A$68="☑",42&lt;='Resource Planner'!$N$68),'Resource Planner'!$B$68,"")</f>
        <v/>
      </c>
      <c r="D2946" s="163" t="str">
        <f>IF(AND('Resource Planner'!$A$68="☑",42&lt;='Resource Planner'!$N$68),'Resource Planner'!$D$68,"")</f>
        <v/>
      </c>
      <c r="E2946" s="163" t="str">
        <f>IF(AND('Resource Planner'!$A$68="☑",42&lt;='Resource Planner'!$N$68),'Resource Planner'!$E$68,"")</f>
        <v/>
      </c>
      <c r="F2946" s="163" t="str">
        <f>IF(AND('Resource Planner'!$A$68="☑",42&lt;='Resource Planner'!$N$68),'Resource Planner'!$F$68&amp;" "&amp;('Resource Planner'!$G$68+(42-1)*'Resource Planner'!$I$68)&amp;IF(('Resource Planner'!$G$68+(42-1)*'Resource Planner'!$I$68)=MIN('Resource Planner'!$G$68+42*'Resource Planner'!$I$68-1,'Resource Planner'!$H$68),"","–"&amp;MIN('Resource Planner'!$G$68+42*'Resource Planner'!$I$68-1,'Resource Planner'!$H$68)),"")</f>
        <v/>
      </c>
      <c r="G2946" s="163" t="s">
        <v>109</v>
      </c>
      <c r="H2946" s="163" t="str">
        <f>IF(AND('Resource Planner'!$A$68="☑",42&lt;='Resource Planner'!$N$68),'Resource Planner'!$M$68,"")</f>
        <v/>
      </c>
    </row>
    <row r="2947" ht="15.75" customHeight="1">
      <c r="A294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7" s="163" t="str">
        <f>IF(AND('Resource Planner'!$A$68="☑",43&lt;='Resource Planner'!$N$68),'Resource Planner'!$C$68,"")</f>
        <v/>
      </c>
      <c r="C2947" s="163" t="str">
        <f>IF(AND('Resource Planner'!$A$68="☑",43&lt;='Resource Planner'!$N$68),'Resource Planner'!$B$68,"")</f>
        <v/>
      </c>
      <c r="D2947" s="163" t="str">
        <f>IF(AND('Resource Planner'!$A$68="☑",43&lt;='Resource Planner'!$N$68),'Resource Planner'!$D$68,"")</f>
        <v/>
      </c>
      <c r="E2947" s="163" t="str">
        <f>IF(AND('Resource Planner'!$A$68="☑",43&lt;='Resource Planner'!$N$68),'Resource Planner'!$E$68,"")</f>
        <v/>
      </c>
      <c r="F2947" s="163" t="str">
        <f>IF(AND('Resource Planner'!$A$68="☑",43&lt;='Resource Planner'!$N$68),'Resource Planner'!$F$68&amp;" "&amp;('Resource Planner'!$G$68+(43-1)*'Resource Planner'!$I$68)&amp;IF(('Resource Planner'!$G$68+(43-1)*'Resource Planner'!$I$68)=MIN('Resource Planner'!$G$68+43*'Resource Planner'!$I$68-1,'Resource Planner'!$H$68),"","–"&amp;MIN('Resource Planner'!$G$68+43*'Resource Planner'!$I$68-1,'Resource Planner'!$H$68)),"")</f>
        <v/>
      </c>
      <c r="G2947" s="163" t="s">
        <v>109</v>
      </c>
      <c r="H2947" s="163" t="str">
        <f>IF(AND('Resource Planner'!$A$68="☑",43&lt;='Resource Planner'!$N$68),'Resource Planner'!$M$68,"")</f>
        <v/>
      </c>
    </row>
    <row r="2948" ht="15.75" customHeight="1">
      <c r="A294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8" s="163" t="str">
        <f>IF(AND('Resource Planner'!$A$68="☑",44&lt;='Resource Planner'!$N$68),'Resource Planner'!$C$68,"")</f>
        <v/>
      </c>
      <c r="C2948" s="163" t="str">
        <f>IF(AND('Resource Planner'!$A$68="☑",44&lt;='Resource Planner'!$N$68),'Resource Planner'!$B$68,"")</f>
        <v/>
      </c>
      <c r="D2948" s="163" t="str">
        <f>IF(AND('Resource Planner'!$A$68="☑",44&lt;='Resource Planner'!$N$68),'Resource Planner'!$D$68,"")</f>
        <v/>
      </c>
      <c r="E2948" s="163" t="str">
        <f>IF(AND('Resource Planner'!$A$68="☑",44&lt;='Resource Planner'!$N$68),'Resource Planner'!$E$68,"")</f>
        <v/>
      </c>
      <c r="F2948" s="163" t="str">
        <f>IF(AND('Resource Planner'!$A$68="☑",44&lt;='Resource Planner'!$N$68),'Resource Planner'!$F$68&amp;" "&amp;('Resource Planner'!$G$68+(44-1)*'Resource Planner'!$I$68)&amp;IF(('Resource Planner'!$G$68+(44-1)*'Resource Planner'!$I$68)=MIN('Resource Planner'!$G$68+44*'Resource Planner'!$I$68-1,'Resource Planner'!$H$68),"","–"&amp;MIN('Resource Planner'!$G$68+44*'Resource Planner'!$I$68-1,'Resource Planner'!$H$68)),"")</f>
        <v/>
      </c>
      <c r="G2948" s="163" t="s">
        <v>109</v>
      </c>
      <c r="H2948" s="163" t="str">
        <f>IF(AND('Resource Planner'!$A$68="☑",44&lt;='Resource Planner'!$N$68),'Resource Planner'!$M$68,"")</f>
        <v/>
      </c>
    </row>
    <row r="2949" ht="15.75" customHeight="1">
      <c r="A294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49" s="163" t="str">
        <f>IF(AND('Resource Planner'!$A$68="☑",45&lt;='Resource Planner'!$N$68),'Resource Planner'!$C$68,"")</f>
        <v/>
      </c>
      <c r="C2949" s="163" t="str">
        <f>IF(AND('Resource Planner'!$A$68="☑",45&lt;='Resource Planner'!$N$68),'Resource Planner'!$B$68,"")</f>
        <v/>
      </c>
      <c r="D2949" s="163" t="str">
        <f>IF(AND('Resource Planner'!$A$68="☑",45&lt;='Resource Planner'!$N$68),'Resource Planner'!$D$68,"")</f>
        <v/>
      </c>
      <c r="E2949" s="163" t="str">
        <f>IF(AND('Resource Planner'!$A$68="☑",45&lt;='Resource Planner'!$N$68),'Resource Planner'!$E$68,"")</f>
        <v/>
      </c>
      <c r="F2949" s="163" t="str">
        <f>IF(AND('Resource Planner'!$A$68="☑",45&lt;='Resource Planner'!$N$68),'Resource Planner'!$F$68&amp;" "&amp;('Resource Planner'!$G$68+(45-1)*'Resource Planner'!$I$68)&amp;IF(('Resource Planner'!$G$68+(45-1)*'Resource Planner'!$I$68)=MIN('Resource Planner'!$G$68+45*'Resource Planner'!$I$68-1,'Resource Planner'!$H$68),"","–"&amp;MIN('Resource Planner'!$G$68+45*'Resource Planner'!$I$68-1,'Resource Planner'!$H$68)),"")</f>
        <v/>
      </c>
      <c r="G2949" s="163" t="s">
        <v>109</v>
      </c>
      <c r="H2949" s="163" t="str">
        <f>IF(AND('Resource Planner'!$A$68="☑",45&lt;='Resource Planner'!$N$68),'Resource Planner'!$M$68,"")</f>
        <v/>
      </c>
    </row>
    <row r="2950" ht="15.75" customHeight="1">
      <c r="A295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0" s="163" t="str">
        <f>IF(AND('Resource Planner'!$A$68="☑",46&lt;='Resource Planner'!$N$68),'Resource Planner'!$C$68,"")</f>
        <v/>
      </c>
      <c r="C2950" s="163" t="str">
        <f>IF(AND('Resource Planner'!$A$68="☑",46&lt;='Resource Planner'!$N$68),'Resource Planner'!$B$68,"")</f>
        <v/>
      </c>
      <c r="D2950" s="163" t="str">
        <f>IF(AND('Resource Planner'!$A$68="☑",46&lt;='Resource Planner'!$N$68),'Resource Planner'!$D$68,"")</f>
        <v/>
      </c>
      <c r="E2950" s="163" t="str">
        <f>IF(AND('Resource Planner'!$A$68="☑",46&lt;='Resource Planner'!$N$68),'Resource Planner'!$E$68,"")</f>
        <v/>
      </c>
      <c r="F2950" s="163" t="str">
        <f>IF(AND('Resource Planner'!$A$68="☑",46&lt;='Resource Planner'!$N$68),'Resource Planner'!$F$68&amp;" "&amp;('Resource Planner'!$G$68+(46-1)*'Resource Planner'!$I$68)&amp;IF(('Resource Planner'!$G$68+(46-1)*'Resource Planner'!$I$68)=MIN('Resource Planner'!$G$68+46*'Resource Planner'!$I$68-1,'Resource Planner'!$H$68),"","–"&amp;MIN('Resource Planner'!$G$68+46*'Resource Planner'!$I$68-1,'Resource Planner'!$H$68)),"")</f>
        <v/>
      </c>
      <c r="G2950" s="163" t="s">
        <v>109</v>
      </c>
      <c r="H2950" s="163" t="str">
        <f>IF(AND('Resource Planner'!$A$68="☑",46&lt;='Resource Planner'!$N$68),'Resource Planner'!$M$68,"")</f>
        <v/>
      </c>
    </row>
    <row r="2951" ht="15.75" customHeight="1">
      <c r="A295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1" s="163" t="str">
        <f>IF(AND('Resource Planner'!$A$68="☑",47&lt;='Resource Planner'!$N$68),'Resource Planner'!$C$68,"")</f>
        <v/>
      </c>
      <c r="C2951" s="163" t="str">
        <f>IF(AND('Resource Planner'!$A$68="☑",47&lt;='Resource Planner'!$N$68),'Resource Planner'!$B$68,"")</f>
        <v/>
      </c>
      <c r="D2951" s="163" t="str">
        <f>IF(AND('Resource Planner'!$A$68="☑",47&lt;='Resource Planner'!$N$68),'Resource Planner'!$D$68,"")</f>
        <v/>
      </c>
      <c r="E2951" s="163" t="str">
        <f>IF(AND('Resource Planner'!$A$68="☑",47&lt;='Resource Planner'!$N$68),'Resource Planner'!$E$68,"")</f>
        <v/>
      </c>
      <c r="F2951" s="163" t="str">
        <f>IF(AND('Resource Planner'!$A$68="☑",47&lt;='Resource Planner'!$N$68),'Resource Planner'!$F$68&amp;" "&amp;('Resource Planner'!$G$68+(47-1)*'Resource Planner'!$I$68)&amp;IF(('Resource Planner'!$G$68+(47-1)*'Resource Planner'!$I$68)=MIN('Resource Planner'!$G$68+47*'Resource Planner'!$I$68-1,'Resource Planner'!$H$68),"","–"&amp;MIN('Resource Planner'!$G$68+47*'Resource Planner'!$I$68-1,'Resource Planner'!$H$68)),"")</f>
        <v/>
      </c>
      <c r="G2951" s="163" t="s">
        <v>109</v>
      </c>
      <c r="H2951" s="163" t="str">
        <f>IF(AND('Resource Planner'!$A$68="☑",47&lt;='Resource Planner'!$N$68),'Resource Planner'!$M$68,"")</f>
        <v/>
      </c>
    </row>
    <row r="2952" ht="15.75" customHeight="1">
      <c r="A295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2" s="163" t="str">
        <f>IF(AND('Resource Planner'!$A$68="☑",48&lt;='Resource Planner'!$N$68),'Resource Planner'!$C$68,"")</f>
        <v/>
      </c>
      <c r="C2952" s="163" t="str">
        <f>IF(AND('Resource Planner'!$A$68="☑",48&lt;='Resource Planner'!$N$68),'Resource Planner'!$B$68,"")</f>
        <v/>
      </c>
      <c r="D2952" s="163" t="str">
        <f>IF(AND('Resource Planner'!$A$68="☑",48&lt;='Resource Planner'!$N$68),'Resource Planner'!$D$68,"")</f>
        <v/>
      </c>
      <c r="E2952" s="163" t="str">
        <f>IF(AND('Resource Planner'!$A$68="☑",48&lt;='Resource Planner'!$N$68),'Resource Planner'!$E$68,"")</f>
        <v/>
      </c>
      <c r="F2952" s="163" t="str">
        <f>IF(AND('Resource Planner'!$A$68="☑",48&lt;='Resource Planner'!$N$68),'Resource Planner'!$F$68&amp;" "&amp;('Resource Planner'!$G$68+(48-1)*'Resource Planner'!$I$68)&amp;IF(('Resource Planner'!$G$68+(48-1)*'Resource Planner'!$I$68)=MIN('Resource Planner'!$G$68+48*'Resource Planner'!$I$68-1,'Resource Planner'!$H$68),"","–"&amp;MIN('Resource Planner'!$G$68+48*'Resource Planner'!$I$68-1,'Resource Planner'!$H$68)),"")</f>
        <v/>
      </c>
      <c r="G2952" s="163" t="s">
        <v>109</v>
      </c>
      <c r="H2952" s="163" t="str">
        <f>IF(AND('Resource Planner'!$A$68="☑",48&lt;='Resource Planner'!$N$68),'Resource Planner'!$M$68,"")</f>
        <v/>
      </c>
    </row>
    <row r="2953" ht="15.75" customHeight="1">
      <c r="A295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3" s="163" t="str">
        <f>IF(AND('Resource Planner'!$A$68="☑",49&lt;='Resource Planner'!$N$68),'Resource Planner'!$C$68,"")</f>
        <v/>
      </c>
      <c r="C2953" s="163" t="str">
        <f>IF(AND('Resource Planner'!$A$68="☑",49&lt;='Resource Planner'!$N$68),'Resource Planner'!$B$68,"")</f>
        <v/>
      </c>
      <c r="D2953" s="163" t="str">
        <f>IF(AND('Resource Planner'!$A$68="☑",49&lt;='Resource Planner'!$N$68),'Resource Planner'!$D$68,"")</f>
        <v/>
      </c>
      <c r="E2953" s="163" t="str">
        <f>IF(AND('Resource Planner'!$A$68="☑",49&lt;='Resource Planner'!$N$68),'Resource Planner'!$E$68,"")</f>
        <v/>
      </c>
      <c r="F2953" s="163" t="str">
        <f>IF(AND('Resource Planner'!$A$68="☑",49&lt;='Resource Planner'!$N$68),'Resource Planner'!$F$68&amp;" "&amp;('Resource Planner'!$G$68+(49-1)*'Resource Planner'!$I$68)&amp;IF(('Resource Planner'!$G$68+(49-1)*'Resource Planner'!$I$68)=MIN('Resource Planner'!$G$68+49*'Resource Planner'!$I$68-1,'Resource Planner'!$H$68),"","–"&amp;MIN('Resource Planner'!$G$68+49*'Resource Planner'!$I$68-1,'Resource Planner'!$H$68)),"")</f>
        <v/>
      </c>
      <c r="G2953" s="163" t="s">
        <v>109</v>
      </c>
      <c r="H2953" s="163" t="str">
        <f>IF(AND('Resource Planner'!$A$68="☑",49&lt;='Resource Planner'!$N$68),'Resource Planner'!$M$68,"")</f>
        <v/>
      </c>
    </row>
    <row r="2954" ht="15.75" customHeight="1">
      <c r="A295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4" s="163" t="str">
        <f>IF(AND('Resource Planner'!$A$68="☑",50&lt;='Resource Planner'!$N$68),'Resource Planner'!$C$68,"")</f>
        <v/>
      </c>
      <c r="C2954" s="163" t="str">
        <f>IF(AND('Resource Planner'!$A$68="☑",50&lt;='Resource Planner'!$N$68),'Resource Planner'!$B$68,"")</f>
        <v/>
      </c>
      <c r="D2954" s="163" t="str">
        <f>IF(AND('Resource Planner'!$A$68="☑",50&lt;='Resource Planner'!$N$68),'Resource Planner'!$D$68,"")</f>
        <v/>
      </c>
      <c r="E2954" s="163" t="str">
        <f>IF(AND('Resource Planner'!$A$68="☑",50&lt;='Resource Planner'!$N$68),'Resource Planner'!$E$68,"")</f>
        <v/>
      </c>
      <c r="F2954" s="163" t="str">
        <f>IF(AND('Resource Planner'!$A$68="☑",50&lt;='Resource Planner'!$N$68),'Resource Planner'!$F$68&amp;" "&amp;('Resource Planner'!$G$68+(50-1)*'Resource Planner'!$I$68)&amp;IF(('Resource Planner'!$G$68+(50-1)*'Resource Planner'!$I$68)=MIN('Resource Planner'!$G$68+50*'Resource Planner'!$I$68-1,'Resource Planner'!$H$68),"","–"&amp;MIN('Resource Planner'!$G$68+50*'Resource Planner'!$I$68-1,'Resource Planner'!$H$68)),"")</f>
        <v/>
      </c>
      <c r="G2954" s="163" t="s">
        <v>109</v>
      </c>
      <c r="H2954" s="163" t="str">
        <f>IF(AND('Resource Planner'!$A$68="☑",50&lt;='Resource Planner'!$N$68),'Resource Planner'!$M$68,"")</f>
        <v/>
      </c>
    </row>
    <row r="2955" ht="15.75" customHeight="1">
      <c r="A295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5" s="163" t="str">
        <f>IF(AND('Resource Planner'!$A$69="☑",1&lt;='Resource Planner'!$N$69),'Resource Planner'!$C$69,"")</f>
        <v/>
      </c>
      <c r="C2955" s="163" t="str">
        <f>IF(AND('Resource Planner'!$A$69="☑",1&lt;='Resource Planner'!$N$69),'Resource Planner'!$B$69,"")</f>
        <v/>
      </c>
      <c r="D2955" s="163" t="str">
        <f>IF(AND('Resource Planner'!$A$69="☑",1&lt;='Resource Planner'!$N$69),'Resource Planner'!$D$69,"")</f>
        <v/>
      </c>
      <c r="E2955" s="163" t="str">
        <f>IF(AND('Resource Planner'!$A$69="☑",1&lt;='Resource Planner'!$N$69),'Resource Planner'!$E$69,"")</f>
        <v/>
      </c>
      <c r="F2955" s="163" t="str">
        <f>IF(AND('Resource Planner'!$A$69="☑",1&lt;='Resource Planner'!$N$69),'Resource Planner'!$F$69&amp;" "&amp;('Resource Planner'!$G$69+(1-1)*'Resource Planner'!$I$69)&amp;IF(('Resource Planner'!$G$69+(1-1)*'Resource Planner'!$I$69)=MIN('Resource Planner'!$G$69+1*'Resource Planner'!$I$69-1,'Resource Planner'!$H$69),"","–"&amp;MIN('Resource Planner'!$G$69+1*'Resource Planner'!$I$69-1,'Resource Planner'!$H$69)),"")</f>
        <v/>
      </c>
      <c r="G2955" s="163" t="s">
        <v>109</v>
      </c>
      <c r="H2955" s="163" t="str">
        <f>IF(AND('Resource Planner'!$A$69="☑",1&lt;='Resource Planner'!$N$69),'Resource Planner'!$M$69,"")</f>
        <v/>
      </c>
    </row>
    <row r="2956" ht="15.75" customHeight="1">
      <c r="A295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6" s="163" t="str">
        <f>IF(AND('Resource Planner'!$A$69="☑",2&lt;='Resource Planner'!$N$69),'Resource Planner'!$C$69,"")</f>
        <v/>
      </c>
      <c r="C2956" s="163" t="str">
        <f>IF(AND('Resource Planner'!$A$69="☑",2&lt;='Resource Planner'!$N$69),'Resource Planner'!$B$69,"")</f>
        <v/>
      </c>
      <c r="D2956" s="163" t="str">
        <f>IF(AND('Resource Planner'!$A$69="☑",2&lt;='Resource Planner'!$N$69),'Resource Planner'!$D$69,"")</f>
        <v/>
      </c>
      <c r="E2956" s="163" t="str">
        <f>IF(AND('Resource Planner'!$A$69="☑",2&lt;='Resource Planner'!$N$69),'Resource Planner'!$E$69,"")</f>
        <v/>
      </c>
      <c r="F2956" s="163" t="str">
        <f>IF(AND('Resource Planner'!$A$69="☑",2&lt;='Resource Planner'!$N$69),'Resource Planner'!$F$69&amp;" "&amp;('Resource Planner'!$G$69+(2-1)*'Resource Planner'!$I$69)&amp;IF(('Resource Planner'!$G$69+(2-1)*'Resource Planner'!$I$69)=MIN('Resource Planner'!$G$69+2*'Resource Planner'!$I$69-1,'Resource Planner'!$H$69),"","–"&amp;MIN('Resource Planner'!$G$69+2*'Resource Planner'!$I$69-1,'Resource Planner'!$H$69)),"")</f>
        <v/>
      </c>
      <c r="G2956" s="163" t="s">
        <v>109</v>
      </c>
      <c r="H2956" s="163" t="str">
        <f>IF(AND('Resource Planner'!$A$69="☑",2&lt;='Resource Planner'!$N$69),'Resource Planner'!$M$69,"")</f>
        <v/>
      </c>
    </row>
    <row r="2957" ht="15.75" customHeight="1">
      <c r="A295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7" s="163" t="str">
        <f>IF(AND('Resource Planner'!$A$69="☑",3&lt;='Resource Planner'!$N$69),'Resource Planner'!$C$69,"")</f>
        <v/>
      </c>
      <c r="C2957" s="163" t="str">
        <f>IF(AND('Resource Planner'!$A$69="☑",3&lt;='Resource Planner'!$N$69),'Resource Planner'!$B$69,"")</f>
        <v/>
      </c>
      <c r="D2957" s="163" t="str">
        <f>IF(AND('Resource Planner'!$A$69="☑",3&lt;='Resource Planner'!$N$69),'Resource Planner'!$D$69,"")</f>
        <v/>
      </c>
      <c r="E2957" s="163" t="str">
        <f>IF(AND('Resource Planner'!$A$69="☑",3&lt;='Resource Planner'!$N$69),'Resource Planner'!$E$69,"")</f>
        <v/>
      </c>
      <c r="F2957" s="163" t="str">
        <f>IF(AND('Resource Planner'!$A$69="☑",3&lt;='Resource Planner'!$N$69),'Resource Planner'!$F$69&amp;" "&amp;('Resource Planner'!$G$69+(3-1)*'Resource Planner'!$I$69)&amp;IF(('Resource Planner'!$G$69+(3-1)*'Resource Planner'!$I$69)=MIN('Resource Planner'!$G$69+3*'Resource Planner'!$I$69-1,'Resource Planner'!$H$69),"","–"&amp;MIN('Resource Planner'!$G$69+3*'Resource Planner'!$I$69-1,'Resource Planner'!$H$69)),"")</f>
        <v/>
      </c>
      <c r="G2957" s="163" t="s">
        <v>109</v>
      </c>
      <c r="H2957" s="163" t="str">
        <f>IF(AND('Resource Planner'!$A$69="☑",3&lt;='Resource Planner'!$N$69),'Resource Planner'!$M$69,"")</f>
        <v/>
      </c>
    </row>
    <row r="2958" ht="15.75" customHeight="1">
      <c r="A295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8" s="163" t="str">
        <f>IF(AND('Resource Planner'!$A$69="☑",4&lt;='Resource Planner'!$N$69),'Resource Planner'!$C$69,"")</f>
        <v/>
      </c>
      <c r="C2958" s="163" t="str">
        <f>IF(AND('Resource Planner'!$A$69="☑",4&lt;='Resource Planner'!$N$69),'Resource Planner'!$B$69,"")</f>
        <v/>
      </c>
      <c r="D2958" s="163" t="str">
        <f>IF(AND('Resource Planner'!$A$69="☑",4&lt;='Resource Planner'!$N$69),'Resource Planner'!$D$69,"")</f>
        <v/>
      </c>
      <c r="E2958" s="163" t="str">
        <f>IF(AND('Resource Planner'!$A$69="☑",4&lt;='Resource Planner'!$N$69),'Resource Planner'!$E$69,"")</f>
        <v/>
      </c>
      <c r="F2958" s="163" t="str">
        <f>IF(AND('Resource Planner'!$A$69="☑",4&lt;='Resource Planner'!$N$69),'Resource Planner'!$F$69&amp;" "&amp;('Resource Planner'!$G$69+(4-1)*'Resource Planner'!$I$69)&amp;IF(('Resource Planner'!$G$69+(4-1)*'Resource Planner'!$I$69)=MIN('Resource Planner'!$G$69+4*'Resource Planner'!$I$69-1,'Resource Planner'!$H$69),"","–"&amp;MIN('Resource Planner'!$G$69+4*'Resource Planner'!$I$69-1,'Resource Planner'!$H$69)),"")</f>
        <v/>
      </c>
      <c r="G2958" s="163" t="s">
        <v>109</v>
      </c>
      <c r="H2958" s="163" t="str">
        <f>IF(AND('Resource Planner'!$A$69="☑",4&lt;='Resource Planner'!$N$69),'Resource Planner'!$M$69,"")</f>
        <v/>
      </c>
    </row>
    <row r="2959" ht="15.75" customHeight="1">
      <c r="A295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59" s="163" t="str">
        <f>IF(AND('Resource Planner'!$A$69="☑",5&lt;='Resource Planner'!$N$69),'Resource Planner'!$C$69,"")</f>
        <v/>
      </c>
      <c r="C2959" s="163" t="str">
        <f>IF(AND('Resource Planner'!$A$69="☑",5&lt;='Resource Planner'!$N$69),'Resource Planner'!$B$69,"")</f>
        <v/>
      </c>
      <c r="D2959" s="163" t="str">
        <f>IF(AND('Resource Planner'!$A$69="☑",5&lt;='Resource Planner'!$N$69),'Resource Planner'!$D$69,"")</f>
        <v/>
      </c>
      <c r="E2959" s="163" t="str">
        <f>IF(AND('Resource Planner'!$A$69="☑",5&lt;='Resource Planner'!$N$69),'Resource Planner'!$E$69,"")</f>
        <v/>
      </c>
      <c r="F2959" s="163" t="str">
        <f>IF(AND('Resource Planner'!$A$69="☑",5&lt;='Resource Planner'!$N$69),'Resource Planner'!$F$69&amp;" "&amp;('Resource Planner'!$G$69+(5-1)*'Resource Planner'!$I$69)&amp;IF(('Resource Planner'!$G$69+(5-1)*'Resource Planner'!$I$69)=MIN('Resource Planner'!$G$69+5*'Resource Planner'!$I$69-1,'Resource Planner'!$H$69),"","–"&amp;MIN('Resource Planner'!$G$69+5*'Resource Planner'!$I$69-1,'Resource Planner'!$H$69)),"")</f>
        <v/>
      </c>
      <c r="G2959" s="163" t="s">
        <v>109</v>
      </c>
      <c r="H2959" s="163" t="str">
        <f>IF(AND('Resource Planner'!$A$69="☑",5&lt;='Resource Planner'!$N$69),'Resource Planner'!$M$69,"")</f>
        <v/>
      </c>
    </row>
    <row r="2960" ht="15.75" customHeight="1">
      <c r="A296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0" s="163" t="str">
        <f>IF(AND('Resource Planner'!$A$69="☑",6&lt;='Resource Planner'!$N$69),'Resource Planner'!$C$69,"")</f>
        <v/>
      </c>
      <c r="C2960" s="163" t="str">
        <f>IF(AND('Resource Planner'!$A$69="☑",6&lt;='Resource Planner'!$N$69),'Resource Planner'!$B$69,"")</f>
        <v/>
      </c>
      <c r="D2960" s="163" t="str">
        <f>IF(AND('Resource Planner'!$A$69="☑",6&lt;='Resource Planner'!$N$69),'Resource Planner'!$D$69,"")</f>
        <v/>
      </c>
      <c r="E2960" s="163" t="str">
        <f>IF(AND('Resource Planner'!$A$69="☑",6&lt;='Resource Planner'!$N$69),'Resource Planner'!$E$69,"")</f>
        <v/>
      </c>
      <c r="F2960" s="163" t="str">
        <f>IF(AND('Resource Planner'!$A$69="☑",6&lt;='Resource Planner'!$N$69),'Resource Planner'!$F$69&amp;" "&amp;('Resource Planner'!$G$69+(6-1)*'Resource Planner'!$I$69)&amp;IF(('Resource Planner'!$G$69+(6-1)*'Resource Planner'!$I$69)=MIN('Resource Planner'!$G$69+6*'Resource Planner'!$I$69-1,'Resource Planner'!$H$69),"","–"&amp;MIN('Resource Planner'!$G$69+6*'Resource Planner'!$I$69-1,'Resource Planner'!$H$69)),"")</f>
        <v/>
      </c>
      <c r="G2960" s="163" t="s">
        <v>109</v>
      </c>
      <c r="H2960" s="163" t="str">
        <f>IF(AND('Resource Planner'!$A$69="☑",6&lt;='Resource Planner'!$N$69),'Resource Planner'!$M$69,"")</f>
        <v/>
      </c>
    </row>
    <row r="2961" ht="15.75" customHeight="1">
      <c r="A296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1" s="163" t="str">
        <f>IF(AND('Resource Planner'!$A$69="☑",7&lt;='Resource Planner'!$N$69),'Resource Planner'!$C$69,"")</f>
        <v/>
      </c>
      <c r="C2961" s="163" t="str">
        <f>IF(AND('Resource Planner'!$A$69="☑",7&lt;='Resource Planner'!$N$69),'Resource Planner'!$B$69,"")</f>
        <v/>
      </c>
      <c r="D2961" s="163" t="str">
        <f>IF(AND('Resource Planner'!$A$69="☑",7&lt;='Resource Planner'!$N$69),'Resource Planner'!$D$69,"")</f>
        <v/>
      </c>
      <c r="E2961" s="163" t="str">
        <f>IF(AND('Resource Planner'!$A$69="☑",7&lt;='Resource Planner'!$N$69),'Resource Planner'!$E$69,"")</f>
        <v/>
      </c>
      <c r="F2961" s="163" t="str">
        <f>IF(AND('Resource Planner'!$A$69="☑",7&lt;='Resource Planner'!$N$69),'Resource Planner'!$F$69&amp;" "&amp;('Resource Planner'!$G$69+(7-1)*'Resource Planner'!$I$69)&amp;IF(('Resource Planner'!$G$69+(7-1)*'Resource Planner'!$I$69)=MIN('Resource Planner'!$G$69+7*'Resource Planner'!$I$69-1,'Resource Planner'!$H$69),"","–"&amp;MIN('Resource Planner'!$G$69+7*'Resource Planner'!$I$69-1,'Resource Planner'!$H$69)),"")</f>
        <v/>
      </c>
      <c r="G2961" s="163" t="s">
        <v>109</v>
      </c>
      <c r="H2961" s="163" t="str">
        <f>IF(AND('Resource Planner'!$A$69="☑",7&lt;='Resource Planner'!$N$69),'Resource Planner'!$M$69,"")</f>
        <v/>
      </c>
    </row>
    <row r="2962" ht="15.75" customHeight="1">
      <c r="A296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2" s="163" t="str">
        <f>IF(AND('Resource Planner'!$A$69="☑",8&lt;='Resource Planner'!$N$69),'Resource Planner'!$C$69,"")</f>
        <v/>
      </c>
      <c r="C2962" s="163" t="str">
        <f>IF(AND('Resource Planner'!$A$69="☑",8&lt;='Resource Planner'!$N$69),'Resource Planner'!$B$69,"")</f>
        <v/>
      </c>
      <c r="D2962" s="163" t="str">
        <f>IF(AND('Resource Planner'!$A$69="☑",8&lt;='Resource Planner'!$N$69),'Resource Planner'!$D$69,"")</f>
        <v/>
      </c>
      <c r="E2962" s="163" t="str">
        <f>IF(AND('Resource Planner'!$A$69="☑",8&lt;='Resource Planner'!$N$69),'Resource Planner'!$E$69,"")</f>
        <v/>
      </c>
      <c r="F2962" s="163" t="str">
        <f>IF(AND('Resource Planner'!$A$69="☑",8&lt;='Resource Planner'!$N$69),'Resource Planner'!$F$69&amp;" "&amp;('Resource Planner'!$G$69+(8-1)*'Resource Planner'!$I$69)&amp;IF(('Resource Planner'!$G$69+(8-1)*'Resource Planner'!$I$69)=MIN('Resource Planner'!$G$69+8*'Resource Planner'!$I$69-1,'Resource Planner'!$H$69),"","–"&amp;MIN('Resource Planner'!$G$69+8*'Resource Planner'!$I$69-1,'Resource Planner'!$H$69)),"")</f>
        <v/>
      </c>
      <c r="G2962" s="163" t="s">
        <v>109</v>
      </c>
      <c r="H2962" s="163" t="str">
        <f>IF(AND('Resource Planner'!$A$69="☑",8&lt;='Resource Planner'!$N$69),'Resource Planner'!$M$69,"")</f>
        <v/>
      </c>
    </row>
    <row r="2963" ht="15.75" customHeight="1">
      <c r="A296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3" s="163" t="str">
        <f>IF(AND('Resource Planner'!$A$69="☑",9&lt;='Resource Planner'!$N$69),'Resource Planner'!$C$69,"")</f>
        <v/>
      </c>
      <c r="C2963" s="163" t="str">
        <f>IF(AND('Resource Planner'!$A$69="☑",9&lt;='Resource Planner'!$N$69),'Resource Planner'!$B$69,"")</f>
        <v/>
      </c>
      <c r="D2963" s="163" t="str">
        <f>IF(AND('Resource Planner'!$A$69="☑",9&lt;='Resource Planner'!$N$69),'Resource Planner'!$D$69,"")</f>
        <v/>
      </c>
      <c r="E2963" s="163" t="str">
        <f>IF(AND('Resource Planner'!$A$69="☑",9&lt;='Resource Planner'!$N$69),'Resource Planner'!$E$69,"")</f>
        <v/>
      </c>
      <c r="F2963" s="163" t="str">
        <f>IF(AND('Resource Planner'!$A$69="☑",9&lt;='Resource Planner'!$N$69),'Resource Planner'!$F$69&amp;" "&amp;('Resource Planner'!$G$69+(9-1)*'Resource Planner'!$I$69)&amp;IF(('Resource Planner'!$G$69+(9-1)*'Resource Planner'!$I$69)=MIN('Resource Planner'!$G$69+9*'Resource Planner'!$I$69-1,'Resource Planner'!$H$69),"","–"&amp;MIN('Resource Planner'!$G$69+9*'Resource Planner'!$I$69-1,'Resource Planner'!$H$69)),"")</f>
        <v/>
      </c>
      <c r="G2963" s="163" t="s">
        <v>109</v>
      </c>
      <c r="H2963" s="163" t="str">
        <f>IF(AND('Resource Planner'!$A$69="☑",9&lt;='Resource Planner'!$N$69),'Resource Planner'!$M$69,"")</f>
        <v/>
      </c>
    </row>
    <row r="2964" ht="15.75" customHeight="1">
      <c r="A296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4" s="163" t="str">
        <f>IF(AND('Resource Planner'!$A$69="☑",10&lt;='Resource Planner'!$N$69),'Resource Planner'!$C$69,"")</f>
        <v/>
      </c>
      <c r="C2964" s="163" t="str">
        <f>IF(AND('Resource Planner'!$A$69="☑",10&lt;='Resource Planner'!$N$69),'Resource Planner'!$B$69,"")</f>
        <v/>
      </c>
      <c r="D2964" s="163" t="str">
        <f>IF(AND('Resource Planner'!$A$69="☑",10&lt;='Resource Planner'!$N$69),'Resource Planner'!$D$69,"")</f>
        <v/>
      </c>
      <c r="E2964" s="163" t="str">
        <f>IF(AND('Resource Planner'!$A$69="☑",10&lt;='Resource Planner'!$N$69),'Resource Planner'!$E$69,"")</f>
        <v/>
      </c>
      <c r="F2964" s="163" t="str">
        <f>IF(AND('Resource Planner'!$A$69="☑",10&lt;='Resource Planner'!$N$69),'Resource Planner'!$F$69&amp;" "&amp;('Resource Planner'!$G$69+(10-1)*'Resource Planner'!$I$69)&amp;IF(('Resource Planner'!$G$69+(10-1)*'Resource Planner'!$I$69)=MIN('Resource Planner'!$G$69+10*'Resource Planner'!$I$69-1,'Resource Planner'!$H$69),"","–"&amp;MIN('Resource Planner'!$G$69+10*'Resource Planner'!$I$69-1,'Resource Planner'!$H$69)),"")</f>
        <v/>
      </c>
      <c r="G2964" s="163" t="s">
        <v>109</v>
      </c>
      <c r="H2964" s="163" t="str">
        <f>IF(AND('Resource Planner'!$A$69="☑",10&lt;='Resource Planner'!$N$69),'Resource Planner'!$M$69,"")</f>
        <v/>
      </c>
    </row>
    <row r="2965" ht="15.75" customHeight="1">
      <c r="A296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5" s="163" t="str">
        <f>IF(AND('Resource Planner'!$A$69="☑",11&lt;='Resource Planner'!$N$69),'Resource Planner'!$C$69,"")</f>
        <v/>
      </c>
      <c r="C2965" s="163" t="str">
        <f>IF(AND('Resource Planner'!$A$69="☑",11&lt;='Resource Planner'!$N$69),'Resource Planner'!$B$69,"")</f>
        <v/>
      </c>
      <c r="D2965" s="163" t="str">
        <f>IF(AND('Resource Planner'!$A$69="☑",11&lt;='Resource Planner'!$N$69),'Resource Planner'!$D$69,"")</f>
        <v/>
      </c>
      <c r="E2965" s="163" t="str">
        <f>IF(AND('Resource Planner'!$A$69="☑",11&lt;='Resource Planner'!$N$69),'Resource Planner'!$E$69,"")</f>
        <v/>
      </c>
      <c r="F2965" s="163" t="str">
        <f>IF(AND('Resource Planner'!$A$69="☑",11&lt;='Resource Planner'!$N$69),'Resource Planner'!$F$69&amp;" "&amp;('Resource Planner'!$G$69+(11-1)*'Resource Planner'!$I$69)&amp;IF(('Resource Planner'!$G$69+(11-1)*'Resource Planner'!$I$69)=MIN('Resource Planner'!$G$69+11*'Resource Planner'!$I$69-1,'Resource Planner'!$H$69),"","–"&amp;MIN('Resource Planner'!$G$69+11*'Resource Planner'!$I$69-1,'Resource Planner'!$H$69)),"")</f>
        <v/>
      </c>
      <c r="G2965" s="163" t="s">
        <v>109</v>
      </c>
      <c r="H2965" s="163" t="str">
        <f>IF(AND('Resource Planner'!$A$69="☑",11&lt;='Resource Planner'!$N$69),'Resource Planner'!$M$69,"")</f>
        <v/>
      </c>
    </row>
    <row r="2966" ht="15.75" customHeight="1">
      <c r="A296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6" s="163" t="str">
        <f>IF(AND('Resource Planner'!$A$69="☑",12&lt;='Resource Planner'!$N$69),'Resource Planner'!$C$69,"")</f>
        <v/>
      </c>
      <c r="C2966" s="163" t="str">
        <f>IF(AND('Resource Planner'!$A$69="☑",12&lt;='Resource Planner'!$N$69),'Resource Planner'!$B$69,"")</f>
        <v/>
      </c>
      <c r="D2966" s="163" t="str">
        <f>IF(AND('Resource Planner'!$A$69="☑",12&lt;='Resource Planner'!$N$69),'Resource Planner'!$D$69,"")</f>
        <v/>
      </c>
      <c r="E2966" s="163" t="str">
        <f>IF(AND('Resource Planner'!$A$69="☑",12&lt;='Resource Planner'!$N$69),'Resource Planner'!$E$69,"")</f>
        <v/>
      </c>
      <c r="F2966" s="163" t="str">
        <f>IF(AND('Resource Planner'!$A$69="☑",12&lt;='Resource Planner'!$N$69),'Resource Planner'!$F$69&amp;" "&amp;('Resource Planner'!$G$69+(12-1)*'Resource Planner'!$I$69)&amp;IF(('Resource Planner'!$G$69+(12-1)*'Resource Planner'!$I$69)=MIN('Resource Planner'!$G$69+12*'Resource Planner'!$I$69-1,'Resource Planner'!$H$69),"","–"&amp;MIN('Resource Planner'!$G$69+12*'Resource Planner'!$I$69-1,'Resource Planner'!$H$69)),"")</f>
        <v/>
      </c>
      <c r="G2966" s="163" t="s">
        <v>109</v>
      </c>
      <c r="H2966" s="163" t="str">
        <f>IF(AND('Resource Planner'!$A$69="☑",12&lt;='Resource Planner'!$N$69),'Resource Planner'!$M$69,"")</f>
        <v/>
      </c>
    </row>
    <row r="2967" ht="15.75" customHeight="1">
      <c r="A296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7" s="163" t="str">
        <f>IF(AND('Resource Planner'!$A$69="☑",13&lt;='Resource Planner'!$N$69),'Resource Planner'!$C$69,"")</f>
        <v/>
      </c>
      <c r="C2967" s="163" t="str">
        <f>IF(AND('Resource Planner'!$A$69="☑",13&lt;='Resource Planner'!$N$69),'Resource Planner'!$B$69,"")</f>
        <v/>
      </c>
      <c r="D2967" s="163" t="str">
        <f>IF(AND('Resource Planner'!$A$69="☑",13&lt;='Resource Planner'!$N$69),'Resource Planner'!$D$69,"")</f>
        <v/>
      </c>
      <c r="E2967" s="163" t="str">
        <f>IF(AND('Resource Planner'!$A$69="☑",13&lt;='Resource Planner'!$N$69),'Resource Planner'!$E$69,"")</f>
        <v/>
      </c>
      <c r="F2967" s="163" t="str">
        <f>IF(AND('Resource Planner'!$A$69="☑",13&lt;='Resource Planner'!$N$69),'Resource Planner'!$F$69&amp;" "&amp;('Resource Planner'!$G$69+(13-1)*'Resource Planner'!$I$69)&amp;IF(('Resource Planner'!$G$69+(13-1)*'Resource Planner'!$I$69)=MIN('Resource Planner'!$G$69+13*'Resource Planner'!$I$69-1,'Resource Planner'!$H$69),"","–"&amp;MIN('Resource Planner'!$G$69+13*'Resource Planner'!$I$69-1,'Resource Planner'!$H$69)),"")</f>
        <v/>
      </c>
      <c r="G2967" s="163" t="s">
        <v>109</v>
      </c>
      <c r="H2967" s="163" t="str">
        <f>IF(AND('Resource Planner'!$A$69="☑",13&lt;='Resource Planner'!$N$69),'Resource Planner'!$M$69,"")</f>
        <v/>
      </c>
    </row>
    <row r="2968" ht="15.75" customHeight="1">
      <c r="A296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8" s="163" t="str">
        <f>IF(AND('Resource Planner'!$A$69="☑",14&lt;='Resource Planner'!$N$69),'Resource Planner'!$C$69,"")</f>
        <v/>
      </c>
      <c r="C2968" s="163" t="str">
        <f>IF(AND('Resource Planner'!$A$69="☑",14&lt;='Resource Planner'!$N$69),'Resource Planner'!$B$69,"")</f>
        <v/>
      </c>
      <c r="D2968" s="163" t="str">
        <f>IF(AND('Resource Planner'!$A$69="☑",14&lt;='Resource Planner'!$N$69),'Resource Planner'!$D$69,"")</f>
        <v/>
      </c>
      <c r="E2968" s="163" t="str">
        <f>IF(AND('Resource Planner'!$A$69="☑",14&lt;='Resource Planner'!$N$69),'Resource Planner'!$E$69,"")</f>
        <v/>
      </c>
      <c r="F2968" s="163" t="str">
        <f>IF(AND('Resource Planner'!$A$69="☑",14&lt;='Resource Planner'!$N$69),'Resource Planner'!$F$69&amp;" "&amp;('Resource Planner'!$G$69+(14-1)*'Resource Planner'!$I$69)&amp;IF(('Resource Planner'!$G$69+(14-1)*'Resource Planner'!$I$69)=MIN('Resource Planner'!$G$69+14*'Resource Planner'!$I$69-1,'Resource Planner'!$H$69),"","–"&amp;MIN('Resource Planner'!$G$69+14*'Resource Planner'!$I$69-1,'Resource Planner'!$H$69)),"")</f>
        <v/>
      </c>
      <c r="G2968" s="163" t="s">
        <v>109</v>
      </c>
      <c r="H2968" s="163" t="str">
        <f>IF(AND('Resource Planner'!$A$69="☑",14&lt;='Resource Planner'!$N$69),'Resource Planner'!$M$69,"")</f>
        <v/>
      </c>
    </row>
    <row r="2969" ht="15.75" customHeight="1">
      <c r="A296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69" s="163" t="str">
        <f>IF(AND('Resource Planner'!$A$69="☑",15&lt;='Resource Planner'!$N$69),'Resource Planner'!$C$69,"")</f>
        <v/>
      </c>
      <c r="C2969" s="163" t="str">
        <f>IF(AND('Resource Planner'!$A$69="☑",15&lt;='Resource Planner'!$N$69),'Resource Planner'!$B$69,"")</f>
        <v/>
      </c>
      <c r="D2969" s="163" t="str">
        <f>IF(AND('Resource Planner'!$A$69="☑",15&lt;='Resource Planner'!$N$69),'Resource Planner'!$D$69,"")</f>
        <v/>
      </c>
      <c r="E2969" s="163" t="str">
        <f>IF(AND('Resource Planner'!$A$69="☑",15&lt;='Resource Planner'!$N$69),'Resource Planner'!$E$69,"")</f>
        <v/>
      </c>
      <c r="F2969" s="163" t="str">
        <f>IF(AND('Resource Planner'!$A$69="☑",15&lt;='Resource Planner'!$N$69),'Resource Planner'!$F$69&amp;" "&amp;('Resource Planner'!$G$69+(15-1)*'Resource Planner'!$I$69)&amp;IF(('Resource Planner'!$G$69+(15-1)*'Resource Planner'!$I$69)=MIN('Resource Planner'!$G$69+15*'Resource Planner'!$I$69-1,'Resource Planner'!$H$69),"","–"&amp;MIN('Resource Planner'!$G$69+15*'Resource Planner'!$I$69-1,'Resource Planner'!$H$69)),"")</f>
        <v/>
      </c>
      <c r="G2969" s="163" t="s">
        <v>109</v>
      </c>
      <c r="H2969" s="163" t="str">
        <f>IF(AND('Resource Planner'!$A$69="☑",15&lt;='Resource Planner'!$N$69),'Resource Planner'!$M$69,"")</f>
        <v/>
      </c>
    </row>
    <row r="2970" ht="15.75" customHeight="1">
      <c r="A297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0" s="163" t="str">
        <f>IF(AND('Resource Planner'!$A$69="☑",16&lt;='Resource Planner'!$N$69),'Resource Planner'!$C$69,"")</f>
        <v/>
      </c>
      <c r="C2970" s="163" t="str">
        <f>IF(AND('Resource Planner'!$A$69="☑",16&lt;='Resource Planner'!$N$69),'Resource Planner'!$B$69,"")</f>
        <v/>
      </c>
      <c r="D2970" s="163" t="str">
        <f>IF(AND('Resource Planner'!$A$69="☑",16&lt;='Resource Planner'!$N$69),'Resource Planner'!$D$69,"")</f>
        <v/>
      </c>
      <c r="E2970" s="163" t="str">
        <f>IF(AND('Resource Planner'!$A$69="☑",16&lt;='Resource Planner'!$N$69),'Resource Planner'!$E$69,"")</f>
        <v/>
      </c>
      <c r="F2970" s="163" t="str">
        <f>IF(AND('Resource Planner'!$A$69="☑",16&lt;='Resource Planner'!$N$69),'Resource Planner'!$F$69&amp;" "&amp;('Resource Planner'!$G$69+(16-1)*'Resource Planner'!$I$69)&amp;IF(('Resource Planner'!$G$69+(16-1)*'Resource Planner'!$I$69)=MIN('Resource Planner'!$G$69+16*'Resource Planner'!$I$69-1,'Resource Planner'!$H$69),"","–"&amp;MIN('Resource Planner'!$G$69+16*'Resource Planner'!$I$69-1,'Resource Planner'!$H$69)),"")</f>
        <v/>
      </c>
      <c r="G2970" s="163" t="s">
        <v>109</v>
      </c>
      <c r="H2970" s="163" t="str">
        <f>IF(AND('Resource Planner'!$A$69="☑",16&lt;='Resource Planner'!$N$69),'Resource Planner'!$M$69,"")</f>
        <v/>
      </c>
    </row>
    <row r="2971" ht="15.75" customHeight="1">
      <c r="A297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1" s="163" t="str">
        <f>IF(AND('Resource Planner'!$A$69="☑",17&lt;='Resource Planner'!$N$69),'Resource Planner'!$C$69,"")</f>
        <v/>
      </c>
      <c r="C2971" s="163" t="str">
        <f>IF(AND('Resource Planner'!$A$69="☑",17&lt;='Resource Planner'!$N$69),'Resource Planner'!$B$69,"")</f>
        <v/>
      </c>
      <c r="D2971" s="163" t="str">
        <f>IF(AND('Resource Planner'!$A$69="☑",17&lt;='Resource Planner'!$N$69),'Resource Planner'!$D$69,"")</f>
        <v/>
      </c>
      <c r="E2971" s="163" t="str">
        <f>IF(AND('Resource Planner'!$A$69="☑",17&lt;='Resource Planner'!$N$69),'Resource Planner'!$E$69,"")</f>
        <v/>
      </c>
      <c r="F2971" s="163" t="str">
        <f>IF(AND('Resource Planner'!$A$69="☑",17&lt;='Resource Planner'!$N$69),'Resource Planner'!$F$69&amp;" "&amp;('Resource Planner'!$G$69+(17-1)*'Resource Planner'!$I$69)&amp;IF(('Resource Planner'!$G$69+(17-1)*'Resource Planner'!$I$69)=MIN('Resource Planner'!$G$69+17*'Resource Planner'!$I$69-1,'Resource Planner'!$H$69),"","–"&amp;MIN('Resource Planner'!$G$69+17*'Resource Planner'!$I$69-1,'Resource Planner'!$H$69)),"")</f>
        <v/>
      </c>
      <c r="G2971" s="163" t="s">
        <v>109</v>
      </c>
      <c r="H2971" s="163" t="str">
        <f>IF(AND('Resource Planner'!$A$69="☑",17&lt;='Resource Planner'!$N$69),'Resource Planner'!$M$69,"")</f>
        <v/>
      </c>
    </row>
    <row r="2972" ht="15.75" customHeight="1">
      <c r="A297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2" s="163" t="str">
        <f>IF(AND('Resource Planner'!$A$69="☑",18&lt;='Resource Planner'!$N$69),'Resource Planner'!$C$69,"")</f>
        <v/>
      </c>
      <c r="C2972" s="163" t="str">
        <f>IF(AND('Resource Planner'!$A$69="☑",18&lt;='Resource Planner'!$N$69),'Resource Planner'!$B$69,"")</f>
        <v/>
      </c>
      <c r="D2972" s="163" t="str">
        <f>IF(AND('Resource Planner'!$A$69="☑",18&lt;='Resource Planner'!$N$69),'Resource Planner'!$D$69,"")</f>
        <v/>
      </c>
      <c r="E2972" s="163" t="str">
        <f>IF(AND('Resource Planner'!$A$69="☑",18&lt;='Resource Planner'!$N$69),'Resource Planner'!$E$69,"")</f>
        <v/>
      </c>
      <c r="F2972" s="163" t="str">
        <f>IF(AND('Resource Planner'!$A$69="☑",18&lt;='Resource Planner'!$N$69),'Resource Planner'!$F$69&amp;" "&amp;('Resource Planner'!$G$69+(18-1)*'Resource Planner'!$I$69)&amp;IF(('Resource Planner'!$G$69+(18-1)*'Resource Planner'!$I$69)=MIN('Resource Planner'!$G$69+18*'Resource Planner'!$I$69-1,'Resource Planner'!$H$69),"","–"&amp;MIN('Resource Planner'!$G$69+18*'Resource Planner'!$I$69-1,'Resource Planner'!$H$69)),"")</f>
        <v/>
      </c>
      <c r="G2972" s="163" t="s">
        <v>109</v>
      </c>
      <c r="H2972" s="163" t="str">
        <f>IF(AND('Resource Planner'!$A$69="☑",18&lt;='Resource Planner'!$N$69),'Resource Planner'!$M$69,"")</f>
        <v/>
      </c>
    </row>
    <row r="2973" ht="15.75" customHeight="1">
      <c r="A297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3" s="163" t="str">
        <f>IF(AND('Resource Planner'!$A$69="☑",19&lt;='Resource Planner'!$N$69),'Resource Planner'!$C$69,"")</f>
        <v/>
      </c>
      <c r="C2973" s="163" t="str">
        <f>IF(AND('Resource Planner'!$A$69="☑",19&lt;='Resource Planner'!$N$69),'Resource Planner'!$B$69,"")</f>
        <v/>
      </c>
      <c r="D2973" s="163" t="str">
        <f>IF(AND('Resource Planner'!$A$69="☑",19&lt;='Resource Planner'!$N$69),'Resource Planner'!$D$69,"")</f>
        <v/>
      </c>
      <c r="E2973" s="163" t="str">
        <f>IF(AND('Resource Planner'!$A$69="☑",19&lt;='Resource Planner'!$N$69),'Resource Planner'!$E$69,"")</f>
        <v/>
      </c>
      <c r="F2973" s="163" t="str">
        <f>IF(AND('Resource Planner'!$A$69="☑",19&lt;='Resource Planner'!$N$69),'Resource Planner'!$F$69&amp;" "&amp;('Resource Planner'!$G$69+(19-1)*'Resource Planner'!$I$69)&amp;IF(('Resource Planner'!$G$69+(19-1)*'Resource Planner'!$I$69)=MIN('Resource Planner'!$G$69+19*'Resource Planner'!$I$69-1,'Resource Planner'!$H$69),"","–"&amp;MIN('Resource Planner'!$G$69+19*'Resource Planner'!$I$69-1,'Resource Planner'!$H$69)),"")</f>
        <v/>
      </c>
      <c r="G2973" s="163" t="s">
        <v>109</v>
      </c>
      <c r="H2973" s="163" t="str">
        <f>IF(AND('Resource Planner'!$A$69="☑",19&lt;='Resource Planner'!$N$69),'Resource Planner'!$M$69,"")</f>
        <v/>
      </c>
    </row>
    <row r="2974" ht="15.75" customHeight="1">
      <c r="A297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4" s="163" t="str">
        <f>IF(AND('Resource Planner'!$A$69="☑",20&lt;='Resource Planner'!$N$69),'Resource Planner'!$C$69,"")</f>
        <v/>
      </c>
      <c r="C2974" s="163" t="str">
        <f>IF(AND('Resource Planner'!$A$69="☑",20&lt;='Resource Planner'!$N$69),'Resource Planner'!$B$69,"")</f>
        <v/>
      </c>
      <c r="D2974" s="163" t="str">
        <f>IF(AND('Resource Planner'!$A$69="☑",20&lt;='Resource Planner'!$N$69),'Resource Planner'!$D$69,"")</f>
        <v/>
      </c>
      <c r="E2974" s="163" t="str">
        <f>IF(AND('Resource Planner'!$A$69="☑",20&lt;='Resource Planner'!$N$69),'Resource Planner'!$E$69,"")</f>
        <v/>
      </c>
      <c r="F2974" s="163" t="str">
        <f>IF(AND('Resource Planner'!$A$69="☑",20&lt;='Resource Planner'!$N$69),'Resource Planner'!$F$69&amp;" "&amp;('Resource Planner'!$G$69+(20-1)*'Resource Planner'!$I$69)&amp;IF(('Resource Planner'!$G$69+(20-1)*'Resource Planner'!$I$69)=MIN('Resource Planner'!$G$69+20*'Resource Planner'!$I$69-1,'Resource Planner'!$H$69),"","–"&amp;MIN('Resource Planner'!$G$69+20*'Resource Planner'!$I$69-1,'Resource Planner'!$H$69)),"")</f>
        <v/>
      </c>
      <c r="G2974" s="163" t="s">
        <v>109</v>
      </c>
      <c r="H2974" s="163" t="str">
        <f>IF(AND('Resource Planner'!$A$69="☑",20&lt;='Resource Planner'!$N$69),'Resource Planner'!$M$69,"")</f>
        <v/>
      </c>
    </row>
    <row r="2975" ht="15.75" customHeight="1">
      <c r="A297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5" s="163" t="str">
        <f>IF(AND('Resource Planner'!$A$69="☑",21&lt;='Resource Planner'!$N$69),'Resource Planner'!$C$69,"")</f>
        <v/>
      </c>
      <c r="C2975" s="163" t="str">
        <f>IF(AND('Resource Planner'!$A$69="☑",21&lt;='Resource Planner'!$N$69),'Resource Planner'!$B$69,"")</f>
        <v/>
      </c>
      <c r="D2975" s="163" t="str">
        <f>IF(AND('Resource Planner'!$A$69="☑",21&lt;='Resource Planner'!$N$69),'Resource Planner'!$D$69,"")</f>
        <v/>
      </c>
      <c r="E2975" s="163" t="str">
        <f>IF(AND('Resource Planner'!$A$69="☑",21&lt;='Resource Planner'!$N$69),'Resource Planner'!$E$69,"")</f>
        <v/>
      </c>
      <c r="F2975" s="163" t="str">
        <f>IF(AND('Resource Planner'!$A$69="☑",21&lt;='Resource Planner'!$N$69),'Resource Planner'!$F$69&amp;" "&amp;('Resource Planner'!$G$69+(21-1)*'Resource Planner'!$I$69)&amp;IF(('Resource Planner'!$G$69+(21-1)*'Resource Planner'!$I$69)=MIN('Resource Planner'!$G$69+21*'Resource Planner'!$I$69-1,'Resource Planner'!$H$69),"","–"&amp;MIN('Resource Planner'!$G$69+21*'Resource Planner'!$I$69-1,'Resource Planner'!$H$69)),"")</f>
        <v/>
      </c>
      <c r="G2975" s="163" t="s">
        <v>109</v>
      </c>
      <c r="H2975" s="163" t="str">
        <f>IF(AND('Resource Planner'!$A$69="☑",21&lt;='Resource Planner'!$N$69),'Resource Planner'!$M$69,"")</f>
        <v/>
      </c>
    </row>
    <row r="2976" ht="15.75" customHeight="1">
      <c r="A297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6" s="163" t="str">
        <f>IF(AND('Resource Planner'!$A$69="☑",22&lt;='Resource Planner'!$N$69),'Resource Planner'!$C$69,"")</f>
        <v/>
      </c>
      <c r="C2976" s="163" t="str">
        <f>IF(AND('Resource Planner'!$A$69="☑",22&lt;='Resource Planner'!$N$69),'Resource Planner'!$B$69,"")</f>
        <v/>
      </c>
      <c r="D2976" s="163" t="str">
        <f>IF(AND('Resource Planner'!$A$69="☑",22&lt;='Resource Planner'!$N$69),'Resource Planner'!$D$69,"")</f>
        <v/>
      </c>
      <c r="E2976" s="163" t="str">
        <f>IF(AND('Resource Planner'!$A$69="☑",22&lt;='Resource Planner'!$N$69),'Resource Planner'!$E$69,"")</f>
        <v/>
      </c>
      <c r="F2976" s="163" t="str">
        <f>IF(AND('Resource Planner'!$A$69="☑",22&lt;='Resource Planner'!$N$69),'Resource Planner'!$F$69&amp;" "&amp;('Resource Planner'!$G$69+(22-1)*'Resource Planner'!$I$69)&amp;IF(('Resource Planner'!$G$69+(22-1)*'Resource Planner'!$I$69)=MIN('Resource Planner'!$G$69+22*'Resource Planner'!$I$69-1,'Resource Planner'!$H$69),"","–"&amp;MIN('Resource Planner'!$G$69+22*'Resource Planner'!$I$69-1,'Resource Planner'!$H$69)),"")</f>
        <v/>
      </c>
      <c r="G2976" s="163" t="s">
        <v>109</v>
      </c>
      <c r="H2976" s="163" t="str">
        <f>IF(AND('Resource Planner'!$A$69="☑",22&lt;='Resource Planner'!$N$69),'Resource Planner'!$M$69,"")</f>
        <v/>
      </c>
    </row>
    <row r="2977" ht="15.75" customHeight="1">
      <c r="A297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7" s="163" t="str">
        <f>IF(AND('Resource Planner'!$A$69="☑",23&lt;='Resource Planner'!$N$69),'Resource Planner'!$C$69,"")</f>
        <v/>
      </c>
      <c r="C2977" s="163" t="str">
        <f>IF(AND('Resource Planner'!$A$69="☑",23&lt;='Resource Planner'!$N$69),'Resource Planner'!$B$69,"")</f>
        <v/>
      </c>
      <c r="D2977" s="163" t="str">
        <f>IF(AND('Resource Planner'!$A$69="☑",23&lt;='Resource Planner'!$N$69),'Resource Planner'!$D$69,"")</f>
        <v/>
      </c>
      <c r="E2977" s="163" t="str">
        <f>IF(AND('Resource Planner'!$A$69="☑",23&lt;='Resource Planner'!$N$69),'Resource Planner'!$E$69,"")</f>
        <v/>
      </c>
      <c r="F2977" s="163" t="str">
        <f>IF(AND('Resource Planner'!$A$69="☑",23&lt;='Resource Planner'!$N$69),'Resource Planner'!$F$69&amp;" "&amp;('Resource Planner'!$G$69+(23-1)*'Resource Planner'!$I$69)&amp;IF(('Resource Planner'!$G$69+(23-1)*'Resource Planner'!$I$69)=MIN('Resource Planner'!$G$69+23*'Resource Planner'!$I$69-1,'Resource Planner'!$H$69),"","–"&amp;MIN('Resource Planner'!$G$69+23*'Resource Planner'!$I$69-1,'Resource Planner'!$H$69)),"")</f>
        <v/>
      </c>
      <c r="G2977" s="163" t="s">
        <v>109</v>
      </c>
      <c r="H2977" s="163" t="str">
        <f>IF(AND('Resource Planner'!$A$69="☑",23&lt;='Resource Planner'!$N$69),'Resource Planner'!$M$69,"")</f>
        <v/>
      </c>
    </row>
    <row r="2978" ht="15.75" customHeight="1">
      <c r="A297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8" s="163" t="str">
        <f>IF(AND('Resource Planner'!$A$69="☑",24&lt;='Resource Planner'!$N$69),'Resource Planner'!$C$69,"")</f>
        <v/>
      </c>
      <c r="C2978" s="163" t="str">
        <f>IF(AND('Resource Planner'!$A$69="☑",24&lt;='Resource Planner'!$N$69),'Resource Planner'!$B$69,"")</f>
        <v/>
      </c>
      <c r="D2978" s="163" t="str">
        <f>IF(AND('Resource Planner'!$A$69="☑",24&lt;='Resource Planner'!$N$69),'Resource Planner'!$D$69,"")</f>
        <v/>
      </c>
      <c r="E2978" s="163" t="str">
        <f>IF(AND('Resource Planner'!$A$69="☑",24&lt;='Resource Planner'!$N$69),'Resource Planner'!$E$69,"")</f>
        <v/>
      </c>
      <c r="F2978" s="163" t="str">
        <f>IF(AND('Resource Planner'!$A$69="☑",24&lt;='Resource Planner'!$N$69),'Resource Planner'!$F$69&amp;" "&amp;('Resource Planner'!$G$69+(24-1)*'Resource Planner'!$I$69)&amp;IF(('Resource Planner'!$G$69+(24-1)*'Resource Planner'!$I$69)=MIN('Resource Planner'!$G$69+24*'Resource Planner'!$I$69-1,'Resource Planner'!$H$69),"","–"&amp;MIN('Resource Planner'!$G$69+24*'Resource Planner'!$I$69-1,'Resource Planner'!$H$69)),"")</f>
        <v/>
      </c>
      <c r="G2978" s="163" t="s">
        <v>109</v>
      </c>
      <c r="H2978" s="163" t="str">
        <f>IF(AND('Resource Planner'!$A$69="☑",24&lt;='Resource Planner'!$N$69),'Resource Planner'!$M$69,"")</f>
        <v/>
      </c>
    </row>
    <row r="2979" ht="15.75" customHeight="1">
      <c r="A297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79" s="163" t="str">
        <f>IF(AND('Resource Planner'!$A$69="☑",25&lt;='Resource Planner'!$N$69),'Resource Planner'!$C$69,"")</f>
        <v/>
      </c>
      <c r="C2979" s="163" t="str">
        <f>IF(AND('Resource Planner'!$A$69="☑",25&lt;='Resource Planner'!$N$69),'Resource Planner'!$B$69,"")</f>
        <v/>
      </c>
      <c r="D2979" s="163" t="str">
        <f>IF(AND('Resource Planner'!$A$69="☑",25&lt;='Resource Planner'!$N$69),'Resource Planner'!$D$69,"")</f>
        <v/>
      </c>
      <c r="E2979" s="163" t="str">
        <f>IF(AND('Resource Planner'!$A$69="☑",25&lt;='Resource Planner'!$N$69),'Resource Planner'!$E$69,"")</f>
        <v/>
      </c>
      <c r="F2979" s="163" t="str">
        <f>IF(AND('Resource Planner'!$A$69="☑",25&lt;='Resource Planner'!$N$69),'Resource Planner'!$F$69&amp;" "&amp;('Resource Planner'!$G$69+(25-1)*'Resource Planner'!$I$69)&amp;IF(('Resource Planner'!$G$69+(25-1)*'Resource Planner'!$I$69)=MIN('Resource Planner'!$G$69+25*'Resource Planner'!$I$69-1,'Resource Planner'!$H$69),"","–"&amp;MIN('Resource Planner'!$G$69+25*'Resource Planner'!$I$69-1,'Resource Planner'!$H$69)),"")</f>
        <v/>
      </c>
      <c r="G2979" s="163" t="s">
        <v>109</v>
      </c>
      <c r="H2979" s="163" t="str">
        <f>IF(AND('Resource Planner'!$A$69="☑",25&lt;='Resource Planner'!$N$69),'Resource Planner'!$M$69,"")</f>
        <v/>
      </c>
    </row>
    <row r="2980" ht="15.75" customHeight="1">
      <c r="A298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0" s="163" t="str">
        <f>IF(AND('Resource Planner'!$A$69="☑",26&lt;='Resource Planner'!$N$69),'Resource Planner'!$C$69,"")</f>
        <v/>
      </c>
      <c r="C2980" s="163" t="str">
        <f>IF(AND('Resource Planner'!$A$69="☑",26&lt;='Resource Planner'!$N$69),'Resource Planner'!$B$69,"")</f>
        <v/>
      </c>
      <c r="D2980" s="163" t="str">
        <f>IF(AND('Resource Planner'!$A$69="☑",26&lt;='Resource Planner'!$N$69),'Resource Planner'!$D$69,"")</f>
        <v/>
      </c>
      <c r="E2980" s="163" t="str">
        <f>IF(AND('Resource Planner'!$A$69="☑",26&lt;='Resource Planner'!$N$69),'Resource Planner'!$E$69,"")</f>
        <v/>
      </c>
      <c r="F2980" s="163" t="str">
        <f>IF(AND('Resource Planner'!$A$69="☑",26&lt;='Resource Planner'!$N$69),'Resource Planner'!$F$69&amp;" "&amp;('Resource Planner'!$G$69+(26-1)*'Resource Planner'!$I$69)&amp;IF(('Resource Planner'!$G$69+(26-1)*'Resource Planner'!$I$69)=MIN('Resource Planner'!$G$69+26*'Resource Planner'!$I$69-1,'Resource Planner'!$H$69),"","–"&amp;MIN('Resource Planner'!$G$69+26*'Resource Planner'!$I$69-1,'Resource Planner'!$H$69)),"")</f>
        <v/>
      </c>
      <c r="G2980" s="163" t="s">
        <v>109</v>
      </c>
      <c r="H2980" s="163" t="str">
        <f>IF(AND('Resource Planner'!$A$69="☑",26&lt;='Resource Planner'!$N$69),'Resource Planner'!$M$69,"")</f>
        <v/>
      </c>
    </row>
    <row r="2981" ht="15.75" customHeight="1">
      <c r="A298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1" s="163" t="str">
        <f>IF(AND('Resource Planner'!$A$69="☑",27&lt;='Resource Planner'!$N$69),'Resource Planner'!$C$69,"")</f>
        <v/>
      </c>
      <c r="C2981" s="163" t="str">
        <f>IF(AND('Resource Planner'!$A$69="☑",27&lt;='Resource Planner'!$N$69),'Resource Planner'!$B$69,"")</f>
        <v/>
      </c>
      <c r="D2981" s="163" t="str">
        <f>IF(AND('Resource Planner'!$A$69="☑",27&lt;='Resource Planner'!$N$69),'Resource Planner'!$D$69,"")</f>
        <v/>
      </c>
      <c r="E2981" s="163" t="str">
        <f>IF(AND('Resource Planner'!$A$69="☑",27&lt;='Resource Planner'!$N$69),'Resource Planner'!$E$69,"")</f>
        <v/>
      </c>
      <c r="F2981" s="163" t="str">
        <f>IF(AND('Resource Planner'!$A$69="☑",27&lt;='Resource Planner'!$N$69),'Resource Planner'!$F$69&amp;" "&amp;('Resource Planner'!$G$69+(27-1)*'Resource Planner'!$I$69)&amp;IF(('Resource Planner'!$G$69+(27-1)*'Resource Planner'!$I$69)=MIN('Resource Planner'!$G$69+27*'Resource Planner'!$I$69-1,'Resource Planner'!$H$69),"","–"&amp;MIN('Resource Planner'!$G$69+27*'Resource Planner'!$I$69-1,'Resource Planner'!$H$69)),"")</f>
        <v/>
      </c>
      <c r="G2981" s="163" t="s">
        <v>109</v>
      </c>
      <c r="H2981" s="163" t="str">
        <f>IF(AND('Resource Planner'!$A$69="☑",27&lt;='Resource Planner'!$N$69),'Resource Planner'!$M$69,"")</f>
        <v/>
      </c>
    </row>
    <row r="2982" ht="15.75" customHeight="1">
      <c r="A298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2" s="163" t="str">
        <f>IF(AND('Resource Planner'!$A$69="☑",28&lt;='Resource Planner'!$N$69),'Resource Planner'!$C$69,"")</f>
        <v/>
      </c>
      <c r="C2982" s="163" t="str">
        <f>IF(AND('Resource Planner'!$A$69="☑",28&lt;='Resource Planner'!$N$69),'Resource Planner'!$B$69,"")</f>
        <v/>
      </c>
      <c r="D2982" s="163" t="str">
        <f>IF(AND('Resource Planner'!$A$69="☑",28&lt;='Resource Planner'!$N$69),'Resource Planner'!$D$69,"")</f>
        <v/>
      </c>
      <c r="E2982" s="163" t="str">
        <f>IF(AND('Resource Planner'!$A$69="☑",28&lt;='Resource Planner'!$N$69),'Resource Planner'!$E$69,"")</f>
        <v/>
      </c>
      <c r="F2982" s="163" t="str">
        <f>IF(AND('Resource Planner'!$A$69="☑",28&lt;='Resource Planner'!$N$69),'Resource Planner'!$F$69&amp;" "&amp;('Resource Planner'!$G$69+(28-1)*'Resource Planner'!$I$69)&amp;IF(('Resource Planner'!$G$69+(28-1)*'Resource Planner'!$I$69)=MIN('Resource Planner'!$G$69+28*'Resource Planner'!$I$69-1,'Resource Planner'!$H$69),"","–"&amp;MIN('Resource Planner'!$G$69+28*'Resource Planner'!$I$69-1,'Resource Planner'!$H$69)),"")</f>
        <v/>
      </c>
      <c r="G2982" s="163" t="s">
        <v>109</v>
      </c>
      <c r="H2982" s="163" t="str">
        <f>IF(AND('Resource Planner'!$A$69="☑",28&lt;='Resource Planner'!$N$69),'Resource Planner'!$M$69,"")</f>
        <v/>
      </c>
    </row>
    <row r="2983" ht="15.75" customHeight="1">
      <c r="A298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3" s="163" t="str">
        <f>IF(AND('Resource Planner'!$A$69="☑",29&lt;='Resource Planner'!$N$69),'Resource Planner'!$C$69,"")</f>
        <v/>
      </c>
      <c r="C2983" s="163" t="str">
        <f>IF(AND('Resource Planner'!$A$69="☑",29&lt;='Resource Planner'!$N$69),'Resource Planner'!$B$69,"")</f>
        <v/>
      </c>
      <c r="D2983" s="163" t="str">
        <f>IF(AND('Resource Planner'!$A$69="☑",29&lt;='Resource Planner'!$N$69),'Resource Planner'!$D$69,"")</f>
        <v/>
      </c>
      <c r="E2983" s="163" t="str">
        <f>IF(AND('Resource Planner'!$A$69="☑",29&lt;='Resource Planner'!$N$69),'Resource Planner'!$E$69,"")</f>
        <v/>
      </c>
      <c r="F2983" s="163" t="str">
        <f>IF(AND('Resource Planner'!$A$69="☑",29&lt;='Resource Planner'!$N$69),'Resource Planner'!$F$69&amp;" "&amp;('Resource Planner'!$G$69+(29-1)*'Resource Planner'!$I$69)&amp;IF(('Resource Planner'!$G$69+(29-1)*'Resource Planner'!$I$69)=MIN('Resource Planner'!$G$69+29*'Resource Planner'!$I$69-1,'Resource Planner'!$H$69),"","–"&amp;MIN('Resource Planner'!$G$69+29*'Resource Planner'!$I$69-1,'Resource Planner'!$H$69)),"")</f>
        <v/>
      </c>
      <c r="G2983" s="163" t="s">
        <v>109</v>
      </c>
      <c r="H2983" s="163" t="str">
        <f>IF(AND('Resource Planner'!$A$69="☑",29&lt;='Resource Planner'!$N$69),'Resource Planner'!$M$69,"")</f>
        <v/>
      </c>
    </row>
    <row r="2984" ht="15.75" customHeight="1">
      <c r="A298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4" s="163" t="str">
        <f>IF(AND('Resource Planner'!$A$69="☑",30&lt;='Resource Planner'!$N$69),'Resource Planner'!$C$69,"")</f>
        <v/>
      </c>
      <c r="C2984" s="163" t="str">
        <f>IF(AND('Resource Planner'!$A$69="☑",30&lt;='Resource Planner'!$N$69),'Resource Planner'!$B$69,"")</f>
        <v/>
      </c>
      <c r="D2984" s="163" t="str">
        <f>IF(AND('Resource Planner'!$A$69="☑",30&lt;='Resource Planner'!$N$69),'Resource Planner'!$D$69,"")</f>
        <v/>
      </c>
      <c r="E2984" s="163" t="str">
        <f>IF(AND('Resource Planner'!$A$69="☑",30&lt;='Resource Planner'!$N$69),'Resource Planner'!$E$69,"")</f>
        <v/>
      </c>
      <c r="F2984" s="163" t="str">
        <f>IF(AND('Resource Planner'!$A$69="☑",30&lt;='Resource Planner'!$N$69),'Resource Planner'!$F$69&amp;" "&amp;('Resource Planner'!$G$69+(30-1)*'Resource Planner'!$I$69)&amp;IF(('Resource Planner'!$G$69+(30-1)*'Resource Planner'!$I$69)=MIN('Resource Planner'!$G$69+30*'Resource Planner'!$I$69-1,'Resource Planner'!$H$69),"","–"&amp;MIN('Resource Planner'!$G$69+30*'Resource Planner'!$I$69-1,'Resource Planner'!$H$69)),"")</f>
        <v/>
      </c>
      <c r="G2984" s="163" t="s">
        <v>109</v>
      </c>
      <c r="H2984" s="163" t="str">
        <f>IF(AND('Resource Planner'!$A$69="☑",30&lt;='Resource Planner'!$N$69),'Resource Planner'!$M$69,"")</f>
        <v/>
      </c>
    </row>
    <row r="2985" ht="15.75" customHeight="1">
      <c r="A298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5" s="163" t="str">
        <f>IF(AND('Resource Planner'!$A$69="☑",31&lt;='Resource Planner'!$N$69),'Resource Planner'!$C$69,"")</f>
        <v/>
      </c>
      <c r="C2985" s="163" t="str">
        <f>IF(AND('Resource Planner'!$A$69="☑",31&lt;='Resource Planner'!$N$69),'Resource Planner'!$B$69,"")</f>
        <v/>
      </c>
      <c r="D2985" s="163" t="str">
        <f>IF(AND('Resource Planner'!$A$69="☑",31&lt;='Resource Planner'!$N$69),'Resource Planner'!$D$69,"")</f>
        <v/>
      </c>
      <c r="E2985" s="163" t="str">
        <f>IF(AND('Resource Planner'!$A$69="☑",31&lt;='Resource Planner'!$N$69),'Resource Planner'!$E$69,"")</f>
        <v/>
      </c>
      <c r="F2985" s="163" t="str">
        <f>IF(AND('Resource Planner'!$A$69="☑",31&lt;='Resource Planner'!$N$69),'Resource Planner'!$F$69&amp;" "&amp;('Resource Planner'!$G$69+(31-1)*'Resource Planner'!$I$69)&amp;IF(('Resource Planner'!$G$69+(31-1)*'Resource Planner'!$I$69)=MIN('Resource Planner'!$G$69+31*'Resource Planner'!$I$69-1,'Resource Planner'!$H$69),"","–"&amp;MIN('Resource Planner'!$G$69+31*'Resource Planner'!$I$69-1,'Resource Planner'!$H$69)),"")</f>
        <v/>
      </c>
      <c r="G2985" s="163" t="s">
        <v>109</v>
      </c>
      <c r="H2985" s="163" t="str">
        <f>IF(AND('Resource Planner'!$A$69="☑",31&lt;='Resource Planner'!$N$69),'Resource Planner'!$M$69,"")</f>
        <v/>
      </c>
    </row>
    <row r="2986" ht="15.75" customHeight="1">
      <c r="A298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6" s="163" t="str">
        <f>IF(AND('Resource Planner'!$A$69="☑",32&lt;='Resource Planner'!$N$69),'Resource Planner'!$C$69,"")</f>
        <v/>
      </c>
      <c r="C2986" s="163" t="str">
        <f>IF(AND('Resource Planner'!$A$69="☑",32&lt;='Resource Planner'!$N$69),'Resource Planner'!$B$69,"")</f>
        <v/>
      </c>
      <c r="D2986" s="163" t="str">
        <f>IF(AND('Resource Planner'!$A$69="☑",32&lt;='Resource Planner'!$N$69),'Resource Planner'!$D$69,"")</f>
        <v/>
      </c>
      <c r="E2986" s="163" t="str">
        <f>IF(AND('Resource Planner'!$A$69="☑",32&lt;='Resource Planner'!$N$69),'Resource Planner'!$E$69,"")</f>
        <v/>
      </c>
      <c r="F2986" s="163" t="str">
        <f>IF(AND('Resource Planner'!$A$69="☑",32&lt;='Resource Planner'!$N$69),'Resource Planner'!$F$69&amp;" "&amp;('Resource Planner'!$G$69+(32-1)*'Resource Planner'!$I$69)&amp;IF(('Resource Planner'!$G$69+(32-1)*'Resource Planner'!$I$69)=MIN('Resource Planner'!$G$69+32*'Resource Planner'!$I$69-1,'Resource Planner'!$H$69),"","–"&amp;MIN('Resource Planner'!$G$69+32*'Resource Planner'!$I$69-1,'Resource Planner'!$H$69)),"")</f>
        <v/>
      </c>
      <c r="G2986" s="163" t="s">
        <v>109</v>
      </c>
      <c r="H2986" s="163" t="str">
        <f>IF(AND('Resource Planner'!$A$69="☑",32&lt;='Resource Planner'!$N$69),'Resource Planner'!$M$69,"")</f>
        <v/>
      </c>
    </row>
    <row r="2987" ht="15.75" customHeight="1">
      <c r="A298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7" s="163" t="str">
        <f>IF(AND('Resource Planner'!$A$69="☑",33&lt;='Resource Planner'!$N$69),'Resource Planner'!$C$69,"")</f>
        <v/>
      </c>
      <c r="C2987" s="163" t="str">
        <f>IF(AND('Resource Planner'!$A$69="☑",33&lt;='Resource Planner'!$N$69),'Resource Planner'!$B$69,"")</f>
        <v/>
      </c>
      <c r="D2987" s="163" t="str">
        <f>IF(AND('Resource Planner'!$A$69="☑",33&lt;='Resource Planner'!$N$69),'Resource Planner'!$D$69,"")</f>
        <v/>
      </c>
      <c r="E2987" s="163" t="str">
        <f>IF(AND('Resource Planner'!$A$69="☑",33&lt;='Resource Planner'!$N$69),'Resource Planner'!$E$69,"")</f>
        <v/>
      </c>
      <c r="F2987" s="163" t="str">
        <f>IF(AND('Resource Planner'!$A$69="☑",33&lt;='Resource Planner'!$N$69),'Resource Planner'!$F$69&amp;" "&amp;('Resource Planner'!$G$69+(33-1)*'Resource Planner'!$I$69)&amp;IF(('Resource Planner'!$G$69+(33-1)*'Resource Planner'!$I$69)=MIN('Resource Planner'!$G$69+33*'Resource Planner'!$I$69-1,'Resource Planner'!$H$69),"","–"&amp;MIN('Resource Planner'!$G$69+33*'Resource Planner'!$I$69-1,'Resource Planner'!$H$69)),"")</f>
        <v/>
      </c>
      <c r="G2987" s="163" t="s">
        <v>109</v>
      </c>
      <c r="H2987" s="163" t="str">
        <f>IF(AND('Resource Planner'!$A$69="☑",33&lt;='Resource Planner'!$N$69),'Resource Planner'!$M$69,"")</f>
        <v/>
      </c>
    </row>
    <row r="2988" ht="15.75" customHeight="1">
      <c r="A298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8" s="163" t="str">
        <f>IF(AND('Resource Planner'!$A$69="☑",34&lt;='Resource Planner'!$N$69),'Resource Planner'!$C$69,"")</f>
        <v/>
      </c>
      <c r="C2988" s="163" t="str">
        <f>IF(AND('Resource Planner'!$A$69="☑",34&lt;='Resource Planner'!$N$69),'Resource Planner'!$B$69,"")</f>
        <v/>
      </c>
      <c r="D2988" s="163" t="str">
        <f>IF(AND('Resource Planner'!$A$69="☑",34&lt;='Resource Planner'!$N$69),'Resource Planner'!$D$69,"")</f>
        <v/>
      </c>
      <c r="E2988" s="163" t="str">
        <f>IF(AND('Resource Planner'!$A$69="☑",34&lt;='Resource Planner'!$N$69),'Resource Planner'!$E$69,"")</f>
        <v/>
      </c>
      <c r="F2988" s="163" t="str">
        <f>IF(AND('Resource Planner'!$A$69="☑",34&lt;='Resource Planner'!$N$69),'Resource Planner'!$F$69&amp;" "&amp;('Resource Planner'!$G$69+(34-1)*'Resource Planner'!$I$69)&amp;IF(('Resource Planner'!$G$69+(34-1)*'Resource Planner'!$I$69)=MIN('Resource Planner'!$G$69+34*'Resource Planner'!$I$69-1,'Resource Planner'!$H$69),"","–"&amp;MIN('Resource Planner'!$G$69+34*'Resource Planner'!$I$69-1,'Resource Planner'!$H$69)),"")</f>
        <v/>
      </c>
      <c r="G2988" s="163" t="s">
        <v>109</v>
      </c>
      <c r="H2988" s="163" t="str">
        <f>IF(AND('Resource Planner'!$A$69="☑",34&lt;='Resource Planner'!$N$69),'Resource Planner'!$M$69,"")</f>
        <v/>
      </c>
    </row>
    <row r="2989" ht="15.75" customHeight="1">
      <c r="A298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89" s="163" t="str">
        <f>IF(AND('Resource Planner'!$A$69="☑",35&lt;='Resource Planner'!$N$69),'Resource Planner'!$C$69,"")</f>
        <v/>
      </c>
      <c r="C2989" s="163" t="str">
        <f>IF(AND('Resource Planner'!$A$69="☑",35&lt;='Resource Planner'!$N$69),'Resource Planner'!$B$69,"")</f>
        <v/>
      </c>
      <c r="D2989" s="163" t="str">
        <f>IF(AND('Resource Planner'!$A$69="☑",35&lt;='Resource Planner'!$N$69),'Resource Planner'!$D$69,"")</f>
        <v/>
      </c>
      <c r="E2989" s="163" t="str">
        <f>IF(AND('Resource Planner'!$A$69="☑",35&lt;='Resource Planner'!$N$69),'Resource Planner'!$E$69,"")</f>
        <v/>
      </c>
      <c r="F2989" s="163" t="str">
        <f>IF(AND('Resource Planner'!$A$69="☑",35&lt;='Resource Planner'!$N$69),'Resource Planner'!$F$69&amp;" "&amp;('Resource Planner'!$G$69+(35-1)*'Resource Planner'!$I$69)&amp;IF(('Resource Planner'!$G$69+(35-1)*'Resource Planner'!$I$69)=MIN('Resource Planner'!$G$69+35*'Resource Planner'!$I$69-1,'Resource Planner'!$H$69),"","–"&amp;MIN('Resource Planner'!$G$69+35*'Resource Planner'!$I$69-1,'Resource Planner'!$H$69)),"")</f>
        <v/>
      </c>
      <c r="G2989" s="163" t="s">
        <v>109</v>
      </c>
      <c r="H2989" s="163" t="str">
        <f>IF(AND('Resource Planner'!$A$69="☑",35&lt;='Resource Planner'!$N$69),'Resource Planner'!$M$69,"")</f>
        <v/>
      </c>
    </row>
    <row r="2990" ht="15.75" customHeight="1">
      <c r="A299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0" s="163" t="str">
        <f>IF(AND('Resource Planner'!$A$69="☑",36&lt;='Resource Planner'!$N$69),'Resource Planner'!$C$69,"")</f>
        <v/>
      </c>
      <c r="C2990" s="163" t="str">
        <f>IF(AND('Resource Planner'!$A$69="☑",36&lt;='Resource Planner'!$N$69),'Resource Planner'!$B$69,"")</f>
        <v/>
      </c>
      <c r="D2990" s="163" t="str">
        <f>IF(AND('Resource Planner'!$A$69="☑",36&lt;='Resource Planner'!$N$69),'Resource Planner'!$D$69,"")</f>
        <v/>
      </c>
      <c r="E2990" s="163" t="str">
        <f>IF(AND('Resource Planner'!$A$69="☑",36&lt;='Resource Planner'!$N$69),'Resource Planner'!$E$69,"")</f>
        <v/>
      </c>
      <c r="F2990" s="163" t="str">
        <f>IF(AND('Resource Planner'!$A$69="☑",36&lt;='Resource Planner'!$N$69),'Resource Planner'!$F$69&amp;" "&amp;('Resource Planner'!$G$69+(36-1)*'Resource Planner'!$I$69)&amp;IF(('Resource Planner'!$G$69+(36-1)*'Resource Planner'!$I$69)=MIN('Resource Planner'!$G$69+36*'Resource Planner'!$I$69-1,'Resource Planner'!$H$69),"","–"&amp;MIN('Resource Planner'!$G$69+36*'Resource Planner'!$I$69-1,'Resource Planner'!$H$69)),"")</f>
        <v/>
      </c>
      <c r="G2990" s="163" t="s">
        <v>109</v>
      </c>
      <c r="H2990" s="163" t="str">
        <f>IF(AND('Resource Planner'!$A$69="☑",36&lt;='Resource Planner'!$N$69),'Resource Planner'!$M$69,"")</f>
        <v/>
      </c>
    </row>
    <row r="2991" ht="15.75" customHeight="1">
      <c r="A299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1" s="163" t="str">
        <f>IF(AND('Resource Planner'!$A$69="☑",37&lt;='Resource Planner'!$N$69),'Resource Planner'!$C$69,"")</f>
        <v/>
      </c>
      <c r="C2991" s="163" t="str">
        <f>IF(AND('Resource Planner'!$A$69="☑",37&lt;='Resource Planner'!$N$69),'Resource Planner'!$B$69,"")</f>
        <v/>
      </c>
      <c r="D2991" s="163" t="str">
        <f>IF(AND('Resource Planner'!$A$69="☑",37&lt;='Resource Planner'!$N$69),'Resource Planner'!$D$69,"")</f>
        <v/>
      </c>
      <c r="E2991" s="163" t="str">
        <f>IF(AND('Resource Planner'!$A$69="☑",37&lt;='Resource Planner'!$N$69),'Resource Planner'!$E$69,"")</f>
        <v/>
      </c>
      <c r="F2991" s="163" t="str">
        <f>IF(AND('Resource Planner'!$A$69="☑",37&lt;='Resource Planner'!$N$69),'Resource Planner'!$F$69&amp;" "&amp;('Resource Planner'!$G$69+(37-1)*'Resource Planner'!$I$69)&amp;IF(('Resource Planner'!$G$69+(37-1)*'Resource Planner'!$I$69)=MIN('Resource Planner'!$G$69+37*'Resource Planner'!$I$69-1,'Resource Planner'!$H$69),"","–"&amp;MIN('Resource Planner'!$G$69+37*'Resource Planner'!$I$69-1,'Resource Planner'!$H$69)),"")</f>
        <v/>
      </c>
      <c r="G2991" s="163" t="s">
        <v>109</v>
      </c>
      <c r="H2991" s="163" t="str">
        <f>IF(AND('Resource Planner'!$A$69="☑",37&lt;='Resource Planner'!$N$69),'Resource Planner'!$M$69,"")</f>
        <v/>
      </c>
    </row>
    <row r="2992" ht="15.75" customHeight="1">
      <c r="A299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2" s="163" t="str">
        <f>IF(AND('Resource Planner'!$A$69="☑",38&lt;='Resource Planner'!$N$69),'Resource Planner'!$C$69,"")</f>
        <v/>
      </c>
      <c r="C2992" s="163" t="str">
        <f>IF(AND('Resource Planner'!$A$69="☑",38&lt;='Resource Planner'!$N$69),'Resource Planner'!$B$69,"")</f>
        <v/>
      </c>
      <c r="D2992" s="163" t="str">
        <f>IF(AND('Resource Planner'!$A$69="☑",38&lt;='Resource Planner'!$N$69),'Resource Planner'!$D$69,"")</f>
        <v/>
      </c>
      <c r="E2992" s="163" t="str">
        <f>IF(AND('Resource Planner'!$A$69="☑",38&lt;='Resource Planner'!$N$69),'Resource Planner'!$E$69,"")</f>
        <v/>
      </c>
      <c r="F2992" s="163" t="str">
        <f>IF(AND('Resource Planner'!$A$69="☑",38&lt;='Resource Planner'!$N$69),'Resource Planner'!$F$69&amp;" "&amp;('Resource Planner'!$G$69+(38-1)*'Resource Planner'!$I$69)&amp;IF(('Resource Planner'!$G$69+(38-1)*'Resource Planner'!$I$69)=MIN('Resource Planner'!$G$69+38*'Resource Planner'!$I$69-1,'Resource Planner'!$H$69),"","–"&amp;MIN('Resource Planner'!$G$69+38*'Resource Planner'!$I$69-1,'Resource Planner'!$H$69)),"")</f>
        <v/>
      </c>
      <c r="G2992" s="163" t="s">
        <v>109</v>
      </c>
      <c r="H2992" s="163" t="str">
        <f>IF(AND('Resource Planner'!$A$69="☑",38&lt;='Resource Planner'!$N$69),'Resource Planner'!$M$69,"")</f>
        <v/>
      </c>
    </row>
    <row r="2993" ht="15.75" customHeight="1">
      <c r="A299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3" s="163" t="str">
        <f>IF(AND('Resource Planner'!$A$69="☑",39&lt;='Resource Planner'!$N$69),'Resource Planner'!$C$69,"")</f>
        <v/>
      </c>
      <c r="C2993" s="163" t="str">
        <f>IF(AND('Resource Planner'!$A$69="☑",39&lt;='Resource Planner'!$N$69),'Resource Planner'!$B$69,"")</f>
        <v/>
      </c>
      <c r="D2993" s="163" t="str">
        <f>IF(AND('Resource Planner'!$A$69="☑",39&lt;='Resource Planner'!$N$69),'Resource Planner'!$D$69,"")</f>
        <v/>
      </c>
      <c r="E2993" s="163" t="str">
        <f>IF(AND('Resource Planner'!$A$69="☑",39&lt;='Resource Planner'!$N$69),'Resource Planner'!$E$69,"")</f>
        <v/>
      </c>
      <c r="F2993" s="163" t="str">
        <f>IF(AND('Resource Planner'!$A$69="☑",39&lt;='Resource Planner'!$N$69),'Resource Planner'!$F$69&amp;" "&amp;('Resource Planner'!$G$69+(39-1)*'Resource Planner'!$I$69)&amp;IF(('Resource Planner'!$G$69+(39-1)*'Resource Planner'!$I$69)=MIN('Resource Planner'!$G$69+39*'Resource Planner'!$I$69-1,'Resource Planner'!$H$69),"","–"&amp;MIN('Resource Planner'!$G$69+39*'Resource Planner'!$I$69-1,'Resource Planner'!$H$69)),"")</f>
        <v/>
      </c>
      <c r="G2993" s="163" t="s">
        <v>109</v>
      </c>
      <c r="H2993" s="163" t="str">
        <f>IF(AND('Resource Planner'!$A$69="☑",39&lt;='Resource Planner'!$N$69),'Resource Planner'!$M$69,"")</f>
        <v/>
      </c>
    </row>
    <row r="2994" ht="15.75" customHeight="1">
      <c r="A299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4" s="163" t="str">
        <f>IF(AND('Resource Planner'!$A$69="☑",40&lt;='Resource Planner'!$N$69),'Resource Planner'!$C$69,"")</f>
        <v/>
      </c>
      <c r="C2994" s="163" t="str">
        <f>IF(AND('Resource Planner'!$A$69="☑",40&lt;='Resource Planner'!$N$69),'Resource Planner'!$B$69,"")</f>
        <v/>
      </c>
      <c r="D2994" s="163" t="str">
        <f>IF(AND('Resource Planner'!$A$69="☑",40&lt;='Resource Planner'!$N$69),'Resource Planner'!$D$69,"")</f>
        <v/>
      </c>
      <c r="E2994" s="163" t="str">
        <f>IF(AND('Resource Planner'!$A$69="☑",40&lt;='Resource Planner'!$N$69),'Resource Planner'!$E$69,"")</f>
        <v/>
      </c>
      <c r="F2994" s="163" t="str">
        <f>IF(AND('Resource Planner'!$A$69="☑",40&lt;='Resource Planner'!$N$69),'Resource Planner'!$F$69&amp;" "&amp;('Resource Planner'!$G$69+(40-1)*'Resource Planner'!$I$69)&amp;IF(('Resource Planner'!$G$69+(40-1)*'Resource Planner'!$I$69)=MIN('Resource Planner'!$G$69+40*'Resource Planner'!$I$69-1,'Resource Planner'!$H$69),"","–"&amp;MIN('Resource Planner'!$G$69+40*'Resource Planner'!$I$69-1,'Resource Planner'!$H$69)),"")</f>
        <v/>
      </c>
      <c r="G2994" s="163" t="s">
        <v>109</v>
      </c>
      <c r="H2994" s="163" t="str">
        <f>IF(AND('Resource Planner'!$A$69="☑",40&lt;='Resource Planner'!$N$69),'Resource Planner'!$M$69,"")</f>
        <v/>
      </c>
    </row>
    <row r="2995" ht="15.75" customHeight="1">
      <c r="A2995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5" s="163" t="str">
        <f>IF(AND('Resource Planner'!$A$69="☑",41&lt;='Resource Planner'!$N$69),'Resource Planner'!$C$69,"")</f>
        <v/>
      </c>
      <c r="C2995" s="163" t="str">
        <f>IF(AND('Resource Planner'!$A$69="☑",41&lt;='Resource Planner'!$N$69),'Resource Planner'!$B$69,"")</f>
        <v/>
      </c>
      <c r="D2995" s="163" t="str">
        <f>IF(AND('Resource Planner'!$A$69="☑",41&lt;='Resource Planner'!$N$69),'Resource Planner'!$D$69,"")</f>
        <v/>
      </c>
      <c r="E2995" s="163" t="str">
        <f>IF(AND('Resource Planner'!$A$69="☑",41&lt;='Resource Planner'!$N$69),'Resource Planner'!$E$69,"")</f>
        <v/>
      </c>
      <c r="F2995" s="163" t="str">
        <f>IF(AND('Resource Planner'!$A$69="☑",41&lt;='Resource Planner'!$N$69),'Resource Planner'!$F$69&amp;" "&amp;('Resource Planner'!$G$69+(41-1)*'Resource Planner'!$I$69)&amp;IF(('Resource Planner'!$G$69+(41-1)*'Resource Planner'!$I$69)=MIN('Resource Planner'!$G$69+41*'Resource Planner'!$I$69-1,'Resource Planner'!$H$69),"","–"&amp;MIN('Resource Planner'!$G$69+41*'Resource Planner'!$I$69-1,'Resource Planner'!$H$69)),"")</f>
        <v/>
      </c>
      <c r="G2995" s="163" t="s">
        <v>109</v>
      </c>
      <c r="H2995" s="163" t="str">
        <f>IF(AND('Resource Planner'!$A$69="☑",41&lt;='Resource Planner'!$N$69),'Resource Planner'!$M$69,"")</f>
        <v/>
      </c>
    </row>
    <row r="2996" ht="15.75" customHeight="1">
      <c r="A2996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6" s="163" t="str">
        <f>IF(AND('Resource Planner'!$A$69="☑",42&lt;='Resource Planner'!$N$69),'Resource Planner'!$C$69,"")</f>
        <v/>
      </c>
      <c r="C2996" s="163" t="str">
        <f>IF(AND('Resource Planner'!$A$69="☑",42&lt;='Resource Planner'!$N$69),'Resource Planner'!$B$69,"")</f>
        <v/>
      </c>
      <c r="D2996" s="163" t="str">
        <f>IF(AND('Resource Planner'!$A$69="☑",42&lt;='Resource Planner'!$N$69),'Resource Planner'!$D$69,"")</f>
        <v/>
      </c>
      <c r="E2996" s="163" t="str">
        <f>IF(AND('Resource Planner'!$A$69="☑",42&lt;='Resource Planner'!$N$69),'Resource Planner'!$E$69,"")</f>
        <v/>
      </c>
      <c r="F2996" s="163" t="str">
        <f>IF(AND('Resource Planner'!$A$69="☑",42&lt;='Resource Planner'!$N$69),'Resource Planner'!$F$69&amp;" "&amp;('Resource Planner'!$G$69+(42-1)*'Resource Planner'!$I$69)&amp;IF(('Resource Planner'!$G$69+(42-1)*'Resource Planner'!$I$69)=MIN('Resource Planner'!$G$69+42*'Resource Planner'!$I$69-1,'Resource Planner'!$H$69),"","–"&amp;MIN('Resource Planner'!$G$69+42*'Resource Planner'!$I$69-1,'Resource Planner'!$H$69)),"")</f>
        <v/>
      </c>
      <c r="G2996" s="163" t="s">
        <v>109</v>
      </c>
      <c r="H2996" s="163" t="str">
        <f>IF(AND('Resource Planner'!$A$69="☑",42&lt;='Resource Planner'!$N$69),'Resource Planner'!$M$69,"")</f>
        <v/>
      </c>
    </row>
    <row r="2997" ht="15.75" customHeight="1">
      <c r="A2997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7" s="163" t="str">
        <f>IF(AND('Resource Planner'!$A$69="☑",43&lt;='Resource Planner'!$N$69),'Resource Planner'!$C$69,"")</f>
        <v/>
      </c>
      <c r="C2997" s="163" t="str">
        <f>IF(AND('Resource Planner'!$A$69="☑",43&lt;='Resource Planner'!$N$69),'Resource Planner'!$B$69,"")</f>
        <v/>
      </c>
      <c r="D2997" s="163" t="str">
        <f>IF(AND('Resource Planner'!$A$69="☑",43&lt;='Resource Planner'!$N$69),'Resource Planner'!$D$69,"")</f>
        <v/>
      </c>
      <c r="E2997" s="163" t="str">
        <f>IF(AND('Resource Planner'!$A$69="☑",43&lt;='Resource Planner'!$N$69),'Resource Planner'!$E$69,"")</f>
        <v/>
      </c>
      <c r="F2997" s="163" t="str">
        <f>IF(AND('Resource Planner'!$A$69="☑",43&lt;='Resource Planner'!$N$69),'Resource Planner'!$F$69&amp;" "&amp;('Resource Planner'!$G$69+(43-1)*'Resource Planner'!$I$69)&amp;IF(('Resource Planner'!$G$69+(43-1)*'Resource Planner'!$I$69)=MIN('Resource Planner'!$G$69+43*'Resource Planner'!$I$69-1,'Resource Planner'!$H$69),"","–"&amp;MIN('Resource Planner'!$G$69+43*'Resource Planner'!$I$69-1,'Resource Planner'!$H$69)),"")</f>
        <v/>
      </c>
      <c r="G2997" s="163" t="s">
        <v>109</v>
      </c>
      <c r="H2997" s="163" t="str">
        <f>IF(AND('Resource Planner'!$A$69="☑",43&lt;='Resource Planner'!$N$69),'Resource Planner'!$M$69,"")</f>
        <v/>
      </c>
    </row>
    <row r="2998" ht="15.75" customHeight="1">
      <c r="A2998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8" s="163" t="str">
        <f>IF(AND('Resource Planner'!$A$69="☑",44&lt;='Resource Planner'!$N$69),'Resource Planner'!$C$69,"")</f>
        <v/>
      </c>
      <c r="C2998" s="163" t="str">
        <f>IF(AND('Resource Planner'!$A$69="☑",44&lt;='Resource Planner'!$N$69),'Resource Planner'!$B$69,"")</f>
        <v/>
      </c>
      <c r="D2998" s="163" t="str">
        <f>IF(AND('Resource Planner'!$A$69="☑",44&lt;='Resource Planner'!$N$69),'Resource Planner'!$D$69,"")</f>
        <v/>
      </c>
      <c r="E2998" s="163" t="str">
        <f>IF(AND('Resource Planner'!$A$69="☑",44&lt;='Resource Planner'!$N$69),'Resource Planner'!$E$69,"")</f>
        <v/>
      </c>
      <c r="F2998" s="163" t="str">
        <f>IF(AND('Resource Planner'!$A$69="☑",44&lt;='Resource Planner'!$N$69),'Resource Planner'!$F$69&amp;" "&amp;('Resource Planner'!$G$69+(44-1)*'Resource Planner'!$I$69)&amp;IF(('Resource Planner'!$G$69+(44-1)*'Resource Planner'!$I$69)=MIN('Resource Planner'!$G$69+44*'Resource Planner'!$I$69-1,'Resource Planner'!$H$69),"","–"&amp;MIN('Resource Planner'!$G$69+44*'Resource Planner'!$I$69-1,'Resource Planner'!$H$69)),"")</f>
        <v/>
      </c>
      <c r="G2998" s="163" t="s">
        <v>109</v>
      </c>
      <c r="H2998" s="163" t="str">
        <f>IF(AND('Resource Planner'!$A$69="☑",44&lt;='Resource Planner'!$N$69),'Resource Planner'!$M$69,"")</f>
        <v/>
      </c>
    </row>
    <row r="2999" ht="15.75" customHeight="1">
      <c r="A2999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2999" s="163" t="str">
        <f>IF(AND('Resource Planner'!$A$69="☑",45&lt;='Resource Planner'!$N$69),'Resource Planner'!$C$69,"")</f>
        <v/>
      </c>
      <c r="C2999" s="163" t="str">
        <f>IF(AND('Resource Planner'!$A$69="☑",45&lt;='Resource Planner'!$N$69),'Resource Planner'!$B$69,"")</f>
        <v/>
      </c>
      <c r="D2999" s="163" t="str">
        <f>IF(AND('Resource Planner'!$A$69="☑",45&lt;='Resource Planner'!$N$69),'Resource Planner'!$D$69,"")</f>
        <v/>
      </c>
      <c r="E2999" s="163" t="str">
        <f>IF(AND('Resource Planner'!$A$69="☑",45&lt;='Resource Planner'!$N$69),'Resource Planner'!$E$69,"")</f>
        <v/>
      </c>
      <c r="F2999" s="163" t="str">
        <f>IF(AND('Resource Planner'!$A$69="☑",45&lt;='Resource Planner'!$N$69),'Resource Planner'!$F$69&amp;" "&amp;('Resource Planner'!$G$69+(45-1)*'Resource Planner'!$I$69)&amp;IF(('Resource Planner'!$G$69+(45-1)*'Resource Planner'!$I$69)=MIN('Resource Planner'!$G$69+45*'Resource Planner'!$I$69-1,'Resource Planner'!$H$69),"","–"&amp;MIN('Resource Planner'!$G$69+45*'Resource Planner'!$I$69-1,'Resource Planner'!$H$69)),"")</f>
        <v/>
      </c>
      <c r="G2999" s="163" t="s">
        <v>109</v>
      </c>
      <c r="H2999" s="163" t="str">
        <f>IF(AND('Resource Planner'!$A$69="☑",45&lt;='Resource Planner'!$N$69),'Resource Planner'!$M$69,"")</f>
        <v/>
      </c>
    </row>
    <row r="3000" ht="15.75" customHeight="1">
      <c r="A3000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00" s="163" t="str">
        <f>IF(AND('Resource Planner'!$A$69="☑",46&lt;='Resource Planner'!$N$69),'Resource Planner'!$C$69,"")</f>
        <v/>
      </c>
      <c r="C3000" s="163" t="str">
        <f>IF(AND('Resource Planner'!$A$69="☑",46&lt;='Resource Planner'!$N$69),'Resource Planner'!$B$69,"")</f>
        <v/>
      </c>
      <c r="D3000" s="163" t="str">
        <f>IF(AND('Resource Planner'!$A$69="☑",46&lt;='Resource Planner'!$N$69),'Resource Planner'!$D$69,"")</f>
        <v/>
      </c>
      <c r="E3000" s="163" t="str">
        <f>IF(AND('Resource Planner'!$A$69="☑",46&lt;='Resource Planner'!$N$69),'Resource Planner'!$E$69,"")</f>
        <v/>
      </c>
      <c r="F3000" s="163" t="str">
        <f>IF(AND('Resource Planner'!$A$69="☑",46&lt;='Resource Planner'!$N$69),'Resource Planner'!$F$69&amp;" "&amp;('Resource Planner'!$G$69+(46-1)*'Resource Planner'!$I$69)&amp;IF(('Resource Planner'!$G$69+(46-1)*'Resource Planner'!$I$69)=MIN('Resource Planner'!$G$69+46*'Resource Planner'!$I$69-1,'Resource Planner'!$H$69),"","–"&amp;MIN('Resource Planner'!$G$69+46*'Resource Planner'!$I$69-1,'Resource Planner'!$H$69)),"")</f>
        <v/>
      </c>
      <c r="G3000" s="163" t="s">
        <v>109</v>
      </c>
      <c r="H3000" s="163" t="str">
        <f>IF(AND('Resource Planner'!$A$69="☑",46&lt;='Resource Planner'!$N$69),'Resource Planner'!$M$69,"")</f>
        <v/>
      </c>
    </row>
    <row r="3001" ht="15.75" customHeight="1">
      <c r="A3001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01" s="163" t="str">
        <f>IF(AND('Resource Planner'!$A$69="☑",47&lt;='Resource Planner'!$N$69),'Resource Planner'!$C$69,"")</f>
        <v/>
      </c>
      <c r="C3001" s="163" t="str">
        <f>IF(AND('Resource Planner'!$A$69="☑",47&lt;='Resource Planner'!$N$69),'Resource Planner'!$B$69,"")</f>
        <v/>
      </c>
      <c r="D3001" s="163" t="str">
        <f>IF(AND('Resource Planner'!$A$69="☑",47&lt;='Resource Planner'!$N$69),'Resource Planner'!$D$69,"")</f>
        <v/>
      </c>
      <c r="E3001" s="163" t="str">
        <f>IF(AND('Resource Planner'!$A$69="☑",47&lt;='Resource Planner'!$N$69),'Resource Planner'!$E$69,"")</f>
        <v/>
      </c>
      <c r="F3001" s="163" t="str">
        <f>IF(AND('Resource Planner'!$A$69="☑",47&lt;='Resource Planner'!$N$69),'Resource Planner'!$F$69&amp;" "&amp;('Resource Planner'!$G$69+(47-1)*'Resource Planner'!$I$69)&amp;IF(('Resource Planner'!$G$69+(47-1)*'Resource Planner'!$I$69)=MIN('Resource Planner'!$G$69+47*'Resource Planner'!$I$69-1,'Resource Planner'!$H$69),"","–"&amp;MIN('Resource Planner'!$G$69+47*'Resource Planner'!$I$69-1,'Resource Planner'!$H$69)),"")</f>
        <v/>
      </c>
      <c r="G3001" s="163" t="s">
        <v>109</v>
      </c>
      <c r="H3001" s="163" t="str">
        <f>IF(AND('Resource Planner'!$A$69="☑",47&lt;='Resource Planner'!$N$69),'Resource Planner'!$M$69,"")</f>
        <v/>
      </c>
    </row>
    <row r="3002" ht="15.75" customHeight="1">
      <c r="A3002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02" s="163" t="str">
        <f>IF(AND('Resource Planner'!$A$69="☑",48&lt;='Resource Planner'!$N$69),'Resource Planner'!$C$69,"")</f>
        <v/>
      </c>
      <c r="C3002" s="163" t="str">
        <f>IF(AND('Resource Planner'!$A$69="☑",48&lt;='Resource Planner'!$N$69),'Resource Planner'!$B$69,"")</f>
        <v/>
      </c>
      <c r="D3002" s="163" t="str">
        <f>IF(AND('Resource Planner'!$A$69="☑",48&lt;='Resource Planner'!$N$69),'Resource Planner'!$D$69,"")</f>
        <v/>
      </c>
      <c r="E3002" s="163" t="str">
        <f>IF(AND('Resource Planner'!$A$69="☑",48&lt;='Resource Planner'!$N$69),'Resource Planner'!$E$69,"")</f>
        <v/>
      </c>
      <c r="F3002" s="163" t="str">
        <f>IF(AND('Resource Planner'!$A$69="☑",48&lt;='Resource Planner'!$N$69),'Resource Planner'!$F$69&amp;" "&amp;('Resource Planner'!$G$69+(48-1)*'Resource Planner'!$I$69)&amp;IF(('Resource Planner'!$G$69+(48-1)*'Resource Planner'!$I$69)=MIN('Resource Planner'!$G$69+48*'Resource Planner'!$I$69-1,'Resource Planner'!$H$69),"","–"&amp;MIN('Resource Planner'!$G$69+48*'Resource Planner'!$I$69-1,'Resource Planner'!$H$69)),"")</f>
        <v/>
      </c>
      <c r="G3002" s="163" t="s">
        <v>109</v>
      </c>
      <c r="H3002" s="163" t="str">
        <f>IF(AND('Resource Planner'!$A$69="☑",48&lt;='Resource Planner'!$N$69),'Resource Planner'!$M$69,"")</f>
        <v/>
      </c>
    </row>
    <row r="3003" ht="15.75" customHeight="1">
      <c r="A3003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03" s="163" t="str">
        <f>IF(AND('Resource Planner'!$A$69="☑",49&lt;='Resource Planner'!$N$69),'Resource Planner'!$C$69,"")</f>
        <v/>
      </c>
      <c r="C3003" s="163" t="str">
        <f>IF(AND('Resource Planner'!$A$69="☑",49&lt;='Resource Planner'!$N$69),'Resource Planner'!$B$69,"")</f>
        <v/>
      </c>
      <c r="D3003" s="163" t="str">
        <f>IF(AND('Resource Planner'!$A$69="☑",49&lt;='Resource Planner'!$N$69),'Resource Planner'!$D$69,"")</f>
        <v/>
      </c>
      <c r="E3003" s="163" t="str">
        <f>IF(AND('Resource Planner'!$A$69="☑",49&lt;='Resource Planner'!$N$69),'Resource Planner'!$E$69,"")</f>
        <v/>
      </c>
      <c r="F3003" s="163" t="str">
        <f>IF(AND('Resource Planner'!$A$69="☑",49&lt;='Resource Planner'!$N$69),'Resource Planner'!$F$69&amp;" "&amp;('Resource Planner'!$G$69+(49-1)*'Resource Planner'!$I$69)&amp;IF(('Resource Planner'!$G$69+(49-1)*'Resource Planner'!$I$69)=MIN('Resource Planner'!$G$69+49*'Resource Planner'!$I$69-1,'Resource Planner'!$H$69),"","–"&amp;MIN('Resource Planner'!$G$69+49*'Resource Planner'!$I$69-1,'Resource Planner'!$H$69)),"")</f>
        <v/>
      </c>
      <c r="G3003" s="163" t="s">
        <v>109</v>
      </c>
      <c r="H3003" s="163" t="str">
        <f>IF(AND('Resource Planner'!$A$69="☑",49&lt;='Resource Planner'!$N$69),'Resource Planner'!$M$69,"")</f>
        <v/>
      </c>
    </row>
    <row r="3004" ht="15.75" customHeight="1">
      <c r="A3004" s="450" t="str">
        <f>IFERROR(__xludf.DUMMYFUNCTION("IFERROR(LET(r,INT((ROW()-5)/50)+1,n,MOD(ROW()-5,50)+1,active,INDEX('Resource Planner'!$A$10:$A$69,r),lessons,INDEX('Resource Planner'!$N$10:$N$69,r),st,INDEX('Resource Planner'!$R$10:$R$69,r),pace,INDEX('Resource Planner'!$K$10:$K$69,r),gap,MAX(1,INDEX('R"&amp;"esource Planner'!$L$10:$L$69,r)),calDates,'School Calendar'!$A$44:$A$408,calSchool,'School Calendar'!$H$44:$H$408,exam,'School Calendar'!$M$44:$M$408,useExam,'School Calendar'!$B$9=""Yes"",eligibleDates,FILTER(calDates,(calSchool=TRUE)*(1-useExam*exam)),s"&amp;"tartDate,MIN(FILTER(eligibleDates,eligibleDates&gt;=st)),startPos,MATCH(startDate,eligibleDates,0),offset,SWITCH(pace,""4x/week"",5*INT((n-1)/4)+MOD(n-1,4),""3x/week"",5*INT((n-1)/3)+MOD(n-1,3),""2x/week"",5*INT((n-1)/2)+MOD(n-1,2),""1x/week"",5*(n-1),""Ever"&amp;"y other week"",10*(n-1),""Custom"",gap*(n-1),n-1),IF(AND(active=""☑"",n&lt;=lessons,st&lt;&gt;""""),INDEX(eligibleDates,startPos+offset),"""")),"""")"),"")</f>
        <v/>
      </c>
      <c r="B3004" s="163" t="str">
        <f>IF(AND('Resource Planner'!$A$69="☑",50&lt;='Resource Planner'!$N$69),'Resource Planner'!$C$69,"")</f>
        <v/>
      </c>
      <c r="C3004" s="163" t="str">
        <f>IF(AND('Resource Planner'!$A$69="☑",50&lt;='Resource Planner'!$N$69),'Resource Planner'!$B$69,"")</f>
        <v/>
      </c>
      <c r="D3004" s="163" t="str">
        <f>IF(AND('Resource Planner'!$A$69="☑",50&lt;='Resource Planner'!$N$69),'Resource Planner'!$D$69,"")</f>
        <v/>
      </c>
      <c r="E3004" s="163" t="str">
        <f>IF(AND('Resource Planner'!$A$69="☑",50&lt;='Resource Planner'!$N$69),'Resource Planner'!$E$69,"")</f>
        <v/>
      </c>
      <c r="F3004" s="163" t="str">
        <f>IF(AND('Resource Planner'!$A$69="☑",50&lt;='Resource Planner'!$N$69),'Resource Planner'!$F$69&amp;" "&amp;('Resource Planner'!$G$69+(50-1)*'Resource Planner'!$I$69)&amp;IF(('Resource Planner'!$G$69+(50-1)*'Resource Planner'!$I$69)=MIN('Resource Planner'!$G$69+50*'Resource Planner'!$I$69-1,'Resource Planner'!$H$69),"","–"&amp;MIN('Resource Planner'!$G$69+50*'Resource Planner'!$I$69-1,'Resource Planner'!$H$69)),"")</f>
        <v/>
      </c>
      <c r="G3004" s="163" t="s">
        <v>109</v>
      </c>
      <c r="H3004" s="163" t="str">
        <f>IF(AND('Resource Planner'!$A$69="☑",50&lt;='Resource Planner'!$N$69),'Resource Planner'!$M$69,"")</f>
        <v/>
      </c>
    </row>
  </sheetData>
  <dataValidations>
    <dataValidation type="list" allowBlank="1" sqref="G5:G3004">
      <formula1>"☑,☐"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4CC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0"/>
    <col customWidth="1" min="3" max="3" width="20.0"/>
    <col customWidth="1" min="4" max="4" width="30.0"/>
    <col customWidth="1" min="5" max="6" width="55.0"/>
    <col customWidth="1" min="7" max="8" width="12.0"/>
    <col customWidth="1" min="9" max="9" width="10.0"/>
    <col customWidth="1" min="10" max="10" width="12.0"/>
    <col customWidth="1" min="11" max="11" width="30.0"/>
    <col customWidth="1" min="12" max="53" width="8.63"/>
  </cols>
  <sheetData>
    <row r="1">
      <c r="A1" s="425" t="s">
        <v>559</v>
      </c>
      <c r="B1" s="6"/>
      <c r="C1" s="6"/>
      <c r="D1" s="6"/>
      <c r="E1" s="6"/>
      <c r="F1" s="6"/>
      <c r="G1" s="6"/>
      <c r="H1" s="6"/>
      <c r="I1" s="6"/>
      <c r="J1" s="6"/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>
      <c r="A2" s="426" t="s">
        <v>560</v>
      </c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>
      <c r="A4" s="15" t="s">
        <v>561</v>
      </c>
      <c r="B4" s="15" t="s">
        <v>63</v>
      </c>
      <c r="C4" s="15" t="s">
        <v>319</v>
      </c>
      <c r="D4" s="15" t="s">
        <v>281</v>
      </c>
      <c r="E4" s="15" t="s">
        <v>562</v>
      </c>
      <c r="F4" s="15" t="s">
        <v>563</v>
      </c>
      <c r="G4" s="15" t="s">
        <v>564</v>
      </c>
      <c r="H4" s="15" t="s">
        <v>565</v>
      </c>
      <c r="I4" s="15" t="s">
        <v>566</v>
      </c>
      <c r="J4" s="15" t="s">
        <v>567</v>
      </c>
      <c r="K4" s="15" t="s">
        <v>66</v>
      </c>
      <c r="L4" s="449" t="s">
        <v>568</v>
      </c>
      <c r="M4" s="229" t="s">
        <v>521</v>
      </c>
      <c r="N4" s="8"/>
      <c r="O4" s="229" t="s">
        <v>516</v>
      </c>
      <c r="P4" s="229" t="s">
        <v>197</v>
      </c>
      <c r="Q4" s="229" t="s">
        <v>376</v>
      </c>
      <c r="R4" s="229" t="s">
        <v>319</v>
      </c>
      <c r="S4" s="229" t="s">
        <v>281</v>
      </c>
      <c r="T4" s="229" t="s">
        <v>342</v>
      </c>
      <c r="U4" s="229" t="s">
        <v>185</v>
      </c>
      <c r="V4" s="229" t="s">
        <v>569</v>
      </c>
      <c r="W4" s="229" t="s">
        <v>516</v>
      </c>
      <c r="X4" s="229" t="s">
        <v>197</v>
      </c>
      <c r="Y4" s="229" t="s">
        <v>376</v>
      </c>
      <c r="Z4" s="229" t="s">
        <v>319</v>
      </c>
      <c r="AA4" s="229" t="s">
        <v>281</v>
      </c>
      <c r="AB4" s="229" t="s">
        <v>342</v>
      </c>
      <c r="AC4" s="229" t="s">
        <v>185</v>
      </c>
      <c r="AD4" s="229" t="s">
        <v>197</v>
      </c>
      <c r="AE4" s="229" t="s">
        <v>202</v>
      </c>
      <c r="AF4" s="229" t="s">
        <v>45</v>
      </c>
      <c r="AG4" s="229" t="s">
        <v>54</v>
      </c>
      <c r="AH4" s="229" t="s">
        <v>59</v>
      </c>
      <c r="AI4" s="229" t="s">
        <v>83</v>
      </c>
      <c r="AJ4" s="229" t="s">
        <v>91</v>
      </c>
      <c r="AK4" s="229" t="s">
        <v>570</v>
      </c>
      <c r="AL4" s="229" t="s">
        <v>571</v>
      </c>
      <c r="AM4" s="229" t="s">
        <v>572</v>
      </c>
      <c r="AN4" s="229" t="s">
        <v>573</v>
      </c>
      <c r="AO4" s="229" t="s">
        <v>574</v>
      </c>
      <c r="AP4" s="229" t="s">
        <v>575</v>
      </c>
      <c r="AQ4" s="221" t="s">
        <v>576</v>
      </c>
      <c r="AR4" s="221" t="s">
        <v>577</v>
      </c>
      <c r="AS4" s="221" t="s">
        <v>578</v>
      </c>
      <c r="AT4" s="221" t="s">
        <v>579</v>
      </c>
      <c r="AU4" s="221"/>
      <c r="AV4" s="207" t="s">
        <v>196</v>
      </c>
      <c r="AW4" s="207" t="s">
        <v>580</v>
      </c>
      <c r="AX4" s="207" t="s">
        <v>581</v>
      </c>
      <c r="AY4" s="207" t="s">
        <v>582</v>
      </c>
      <c r="AZ4" s="207" t="s">
        <v>583</v>
      </c>
      <c r="BA4" s="207" t="s">
        <v>584</v>
      </c>
    </row>
    <row r="5">
      <c r="A5" s="8">
        <v>1.0</v>
      </c>
      <c r="B5" s="451" t="str">
        <f>'Family Map'!B46</f>
        <v>All Together</v>
      </c>
      <c r="C5" s="451" t="str">
        <f>'Family Map'!C46</f>
        <v>Bible</v>
      </c>
      <c r="D5" s="451" t="str">
        <f>'Family Map'!D46</f>
        <v>New Testament</v>
      </c>
      <c r="E5" s="451" t="str">
        <f>'Family Map'!G46</f>
        <v>All Together / Bible — New Testament</v>
      </c>
      <c r="F5" s="451" t="str">
        <f t="shared" ref="F5:F106" si="1">IF($AN5,$AM5,"")</f>
        <v>All Together / Bible — New Testament</v>
      </c>
      <c r="G5" s="8">
        <f>IF(E5="",0,COUNTIF('Strand Placement'!$B:$B,E5))</f>
        <v>1</v>
      </c>
      <c r="H5" s="8" t="str">
        <f t="shared" ref="H5:H304" si="2">IF(G5&gt;0,"Placed","Unplaced")</f>
        <v>Placed</v>
      </c>
      <c r="I5" s="8" t="s">
        <v>586</v>
      </c>
      <c r="J5" s="8" t="str">
        <f t="array" ref="J5">IFERROR(XLOOKUP(B5,Setup!$B$38:$B$44,Setup!$A$38:$A$44),"☑")</f>
        <v>☑</v>
      </c>
      <c r="K5" s="8"/>
      <c r="L5" s="449" t="s">
        <v>587</v>
      </c>
      <c r="M5" s="8" t="str">
        <f>IFERROR(__xludf.DUMMYFUNCTION("IFERROR(FILTER($W$5:$W$304,$W$5:$W$304&lt;&gt;""""),"""")"),"Lucy")</f>
        <v>Lucy</v>
      </c>
      <c r="N5" s="8"/>
      <c r="O5" s="451" t="str">
        <f>IFERROR(__xludf.DUMMYFUNCTION("LET(people,FILTER(Setup!$S$6:$S$25,Setup!$S$6:$S$25&lt;&gt;""""),blocks,FILTER('Strand Placement'!$B$6:$B$13,(((('Strand Placement'!$A$6:$A$13=""☑"")+('Strand Placement'!$A$6:$A$13=TRUE))&gt;0)*('Strand Placement'!$B$6:$B$13&lt;&gt;""""))),subjects,FILTER($V$5:$V$50,$V$"&amp;"5:$V$50&lt;&gt;""""),bible,FILTER(subjects,subjects=""Bible""),otherSubjects,FILTER(subjects,subjects&lt;&gt;""Bible""),resourceCombos,FILTER(HSTACK('Resource Planner'!$C$10:$C$69,'Resource Planner'!$B$10:$B$69),(((('Resource Planner'!$A$10:$A$69=""☑"")+('Resource Pl"&amp;"anner'!$A$10:$A$69=TRUE))&gt;0)*('Resource Planner'!$B$10:$B$69&lt;&gt;"""")*('Resource Planner'!$C$10:$C$69&lt;&gt;""""))),planCombos,FILTER(HSTACK('Generated Plan'!$B$5:$B$3004,'Generated Plan'!$C$5:$C$3004),('Generated Plan'!$A$5:$A$3004&lt;&gt;"""")*('Generated Plan'!$B$5"&amp;":$B$3004&lt;&gt;"""")*('Generated Plan'!$C$5:$C$3004&lt;&gt;"""")),combos,UNIQUE(VSTACK(resourceCombos,planCombos)),VSTACK(people,blocks,bible,ARRAYFORMULA(CHOOSECOLS(combos,1)&amp;"" — ""&amp;CHOOSECOLS(combos,2)),otherSubjects))"),"Lucy")</f>
        <v>Lucy</v>
      </c>
      <c r="P5" s="451" t="str">
        <f>IFERROR(__xludf.DUMMYFUNCTION("LET(people,FILTER(Setup!$S$6:$S$25,Setup!$S$6:$S$25&lt;&gt;""""),blocks,FILTER('Strand Placement'!$B$6:$B$13,(((('Strand Placement'!$A$6:$A$13=""☑"")+('Strand Placement'!$A$6:$A$13=TRUE))&gt;0)*('Strand Placement'!$B$6:$B$13&lt;&gt;""""))),subjects,FILTER($V$5:$V$50,$V$"&amp;"5:$V$50&lt;&gt;""""),bible,FILTER(subjects,subjects=""Bible""),otherSubjects,FILTER(subjects,subjects&lt;&gt;""Bible""),resourceCombos,FILTER(HSTACK('Resource Planner'!$C$10:$C$69,'Resource Planner'!$B$10:$B$69),(((('Resource Planner'!$A$10:$A$69=""☑"")+('Resource Pl"&amp;"anner'!$A$10:$A$69=TRUE))&gt;0)*('Resource Planner'!$B$10:$B$69&lt;&gt;"""")*('Resource Planner'!$C$10:$C$69&lt;&gt;""""))),planCombos,FILTER(HSTACK('Generated Plan'!$B$5:$B$3004,'Generated Plan'!$C$5:$C$3004),('Generated Plan'!$A$5:$A$3004&lt;&gt;"""")*('Generated Plan'!$B$5"&amp;":$B$3004&lt;&gt;"""")*('Generated Plan'!$C$5:$C$3004&lt;&gt;"""")),combos,UNIQUE(VSTACK(resourceCombos,planCombos)),VSTACK(people,ARRAYFORMULA(IF(blocks&lt;&gt;"""",""All"","""")),ARRAYFORMULA(IF(bible&lt;&gt;"""",""All"","""")),CHOOSECOLS(combos,1),ARRAYFORMULA(IF(otherSubjects"&amp;"&lt;&gt;"""",""All"",""""))))"),"Lucy")</f>
        <v>Lucy</v>
      </c>
      <c r="Q5" s="8" t="str">
        <f>IFERROR(__xludf.DUMMYFUNCTION("LET(people,FILTER(Setup!$S$6:$S$25,Setup!$S$6:$S$25&lt;&gt;""""),blocks,FILTER('Strand Placement'!$B$6:$B$13,(((('Strand Placement'!$A$6:$A$13=""☑"")+('Strand Placement'!$A$6:$A$13=TRUE))&gt;0)*('Strand Placement'!$B$6:$B$13&lt;&gt;""""))),subjects,FILTER($V$5:$V$50,$V$"&amp;"5:$V$50&lt;&gt;""""),bible,FILTER(subjects,subjects=""Bible""),otherSubjects,FILTER(subjects,subjects&lt;&gt;""Bible""),resourceCombos,FILTER(HSTACK('Resource Planner'!$C$10:$C$69,'Resource Planner'!$B$10:$B$69),(((('Resource Planner'!$A$10:$A$69=""☑"")+('Resource Pl"&amp;"anner'!$A$10:$A$69=TRUE))&gt;0)*('Resource Planner'!$B$10:$B$69&lt;&gt;"""")*('Resource Planner'!$C$10:$C$69&lt;&gt;""""))),planCombos,FILTER(HSTACK('Generated Plan'!$B$5:$B$3004,'Generated Plan'!$C$5:$C$3004),('Generated Plan'!$A$5:$A$3004&lt;&gt;"""")*('Generated Plan'!$B$5"&amp;":$B$3004&lt;&gt;"""")*('Generated Plan'!$C$5:$C$3004&lt;&gt;"""")),combos,UNIQUE(VSTACK(resourceCombos,planCombos)),VSTACK(ARRAYFORMULA(IF(people&lt;&gt;"""",""All"","""")),blocks,ARRAYFORMULA(IF(bible&lt;&gt;"""",""All"","""")),CHOOSECOLS(combos,2),ARRAYFORMULA(IF(otherSubjects"&amp;"&lt;&gt;"""",""All"",""""))))"),"All")</f>
        <v>All</v>
      </c>
      <c r="R5" s="8" t="str">
        <f>IFERROR(__xludf.DUMMYFUNCTION("LET(people,FILTER(Setup!$S$6:$S$25,Setup!$S$6:$S$25&lt;&gt;""""),blocks,FILTER('Strand Placement'!$B$6:$B$13,(((('Strand Placement'!$A$6:$A$13=""☑"")+('Strand Placement'!$A$6:$A$13=TRUE))&gt;0)*('Strand Placement'!$B$6:$B$13&lt;&gt;""""))),subjects,FILTER($V$5:$V$50,$V$"&amp;"5:$V$50&lt;&gt;""""),bible,FILTER(subjects,subjects=""Bible""),otherSubjects,FILTER(subjects,subjects&lt;&gt;""Bible""),resourceCombos,FILTER(HSTACK('Resource Planner'!$C$10:$C$69,'Resource Planner'!$B$10:$B$69),(((('Resource Planner'!$A$10:$A$69=""☑"")+('Resource Pl"&amp;"anner'!$A$10:$A$69=TRUE))&gt;0)*('Resource Planner'!$B$10:$B$69&lt;&gt;"""")*('Resource Planner'!$C$10:$C$69&lt;&gt;""""))),planCombos,FILTER(HSTACK('Generated Plan'!$B$5:$B$3004,'Generated Plan'!$C$5:$C$3004),('Generated Plan'!$A$5:$A$3004&lt;&gt;"""")*('Generated Plan'!$B$5"&amp;":$B$3004&lt;&gt;"""")*('Generated Plan'!$C$5:$C$3004&lt;&gt;"""")),combos,UNIQUE(VSTACK(resourceCombos,planCombos)),VSTACK(ARRAYFORMULA(IF(people&lt;&gt;"""",""All"","""")),ARRAYFORMULA(IF(blocks&lt;&gt;"""",""All"","""")),bible,ARRAYFORMULA(IF(CHOOSECOLS(combos,1)&lt;&gt;"""",""All"""&amp;","""")),otherSubjects))"),"All")</f>
        <v>All</v>
      </c>
      <c r="S5" s="8" t="str">
        <f t="array" ref="S5:S304">IF(O5:O304&lt;&gt;"","All","")</f>
        <v>All</v>
      </c>
      <c r="T5" s="8" t="str">
        <f t="array" ref="T5:T304">IF(O5:O304&lt;&gt;"","All","")</f>
        <v>All</v>
      </c>
      <c r="U5" s="8" t="str">
        <f t="array" ref="U5:U304">IF(O5:O304&lt;&gt;"","Not Done","")</f>
        <v>Not Done</v>
      </c>
      <c r="V5" s="8" t="str">
        <f>IFERROR(__xludf.DUMMYFUNCTION("LET(rp,ARRAYFORMULA(IFERROR(TRIM(REGEXEXTRACT('Resource Planner'!$D$10:$D$69,""/ (.*) —"")),"""")),gp,ARRAYFORMULA(IFERROR(TRIM(REGEXEXTRACT('Generated Plan'!$D$5:$D$3004,""/ (.*) —"")),"""")),SORT(UNIQUE(VSTACK(FILTER(rp,(((('Resource Planner'!$A$10:$A$6"&amp;"9=""☑"")+('Resource Planner'!$A$10:$A$69=TRUE))&gt;0)*(rp&lt;&gt;""""))),FILTER(gp,('Generated Plan'!$A$5:$A$3004&lt;&gt;"""")*(gp&lt;&gt;""""))))))"),"Beauty + Hands")</f>
        <v>Beauty + Hands</v>
      </c>
      <c r="W5" s="8" t="str">
        <f>IFERROR(__xludf.DUMMYFUNCTION("IFERROR(VSTACK(FILTER($O$5:$O$304,$O$5:$O$304&lt;&gt;""""),FILTER('Custom Views'!$B$5:$B$56,(((('Custom Views'!$A$5:$A$56=""☑"")+('Custom Views'!$A$5:$A$56=TRUE))&gt;0)*('Custom Views'!$B$5:$B$56&lt;&gt;"""")))),FILTER($O$5:$O$304,$O$5:$O$304&lt;&gt;""""))"),"Lucy")</f>
        <v>Lucy</v>
      </c>
      <c r="X5" s="8" t="str">
        <f>IFERROR(__xludf.DUMMYFUNCTION("IFERROR(VSTACK(FILTER($P$5:$P$304,$O$5:$O$304&lt;&gt;""""),FILTER('Custom Views'!$C$5:$C$56,(((('Custom Views'!$A$5:$A$56=""☑"")+('Custom Views'!$A$5:$A$56=TRUE))&gt;0)*('Custom Views'!$B$5:$B$56&lt;&gt;"""")))),FILTER($P$5:$P$304,$O$5:$O$304&lt;&gt;""""))"),"Lucy")</f>
        <v>Lucy</v>
      </c>
      <c r="Y5" s="8" t="str">
        <f>IFERROR(__xludf.DUMMYFUNCTION("IFERROR(VSTACK(FILTER($Q$5:$Q$304,$O$5:$O$304&lt;&gt;""""),FILTER('Custom Views'!$D$5:$D$56,(((('Custom Views'!$A$5:$A$56=""☑"")+('Custom Views'!$A$5:$A$56=TRUE))&gt;0)*('Custom Views'!$B$5:$B$56&lt;&gt;"""")))),FILTER($Q$5:$Q$304,$O$5:$O$304&lt;&gt;""""))"),"All")</f>
        <v>All</v>
      </c>
      <c r="Z5" s="8" t="str">
        <f>IFERROR(__xludf.DUMMYFUNCTION("IFERROR(VSTACK(FILTER($R$5:$R$304,$O$5:$O$304&lt;&gt;""""),FILTER('Custom Views'!$E$5:$E$56,(((('Custom Views'!$A$5:$A$56=""☑"")+('Custom Views'!$A$5:$A$56=TRUE))&gt;0)*('Custom Views'!$B$5:$B$56&lt;&gt;"""")))),FILTER($R$5:$R$304,$O$5:$O$304&lt;&gt;""""))"),"All")</f>
        <v>All</v>
      </c>
      <c r="AA5" s="8" t="str">
        <f>IFERROR(__xludf.DUMMYFUNCTION("IFERROR(VSTACK(FILTER($S$5:$S$304,$O$5:$O$304&lt;&gt;""""),FILTER('Custom Views'!$F$5:$F$56,(((('Custom Views'!$A$5:$A$56=""☑"")+('Custom Views'!$A$5:$A$56=TRUE))&gt;0)*('Custom Views'!$B$5:$B$56&lt;&gt;"""")))),FILTER($S$5:$S$304,$O$5:$O$304&lt;&gt;""""))"),"All")</f>
        <v>All</v>
      </c>
      <c r="AB5" s="8" t="str">
        <f>IFERROR(__xludf.DUMMYFUNCTION("IFERROR(VSTACK(FILTER($T$5:$T$304,$O$5:$O$304&lt;&gt;""""),FILTER('Custom Views'!$G$5:$G$56,(((('Custom Views'!$A$5:$A$56=""☑"")+('Custom Views'!$A$5:$A$56=TRUE))&gt;0)*('Custom Views'!$B$5:$B$56&lt;&gt;"""")))),FILTER($T$5:$T$304,$O$5:$O$304&lt;&gt;""""))"),"All")</f>
        <v>All</v>
      </c>
      <c r="AC5" s="8" t="str">
        <f>IFERROR(__xludf.DUMMYFUNCTION("IFERROR(VSTACK(FILTER($U$5:$U$304,$O$5:$O$304&lt;&gt;""""),FILTER('Custom Views'!$H$5:$H$56,(((('Custom Views'!$A$5:$A$56=""☑"")+('Custom Views'!$A$5:$A$56=TRUE))&gt;0)*('Custom Views'!$B$5:$B$56&lt;&gt;"""")))),FILTER($U$5:$U$304,$O$5:$O$304&lt;&gt;""""))"),"Not Done")</f>
        <v>Not Done</v>
      </c>
      <c r="AD5" s="451" t="str">
        <f>IF(Setup!$A6,Setup!$B6,"")</f>
        <v>Lucy</v>
      </c>
      <c r="AE5" s="8" t="str">
        <f t="shared" ref="AE5:AE12" si="3">IF(AD5="","","Student")</f>
        <v>Student</v>
      </c>
      <c r="AF5" s="451" t="b">
        <f>IF($AD5="","",Setup!G6)</f>
        <v>1</v>
      </c>
      <c r="AG5" s="451" t="b">
        <f>IF($AD5="","",Setup!H6)</f>
        <v>1</v>
      </c>
      <c r="AH5" s="451" t="b">
        <f>IF($AD5="","",Setup!I6)</f>
        <v>1</v>
      </c>
      <c r="AI5" s="451" t="b">
        <f>IF($AD5="","",Setup!J6)</f>
        <v>0</v>
      </c>
      <c r="AJ5" s="451" t="b">
        <f>IF($AD5="","",Setup!K6)</f>
        <v>1</v>
      </c>
      <c r="AK5" s="8"/>
      <c r="AL5" s="8">
        <f t="shared" ref="AL5:AL106" si="4">IF($A5="","",IF($AK5="",$A5,$AK5))</f>
        <v>1</v>
      </c>
      <c r="AM5" s="451" t="str">
        <f t="shared" ref="AM5:AM106" si="5">IF($AL5="","",XLOOKUP($AL5,$A$5:$A$106,$E$5:$E$106,""))</f>
        <v>All Together / Bible — New Testament</v>
      </c>
      <c r="AN5" s="8" t="b">
        <f>AND(OR('Family Map'!A46=TRUE,'Family Map'!A46="☑",'Family Map'!A46="✓",'Family Map'!A46="✔"),$E5&lt;&gt;"",$J5="☑",$AK5="")</f>
        <v>1</v>
      </c>
      <c r="AO5" s="451" t="str">
        <f t="shared" ref="AO5:AO106" si="6">IF($AN5,$AM5,"")</f>
        <v>All Together / Bible — New Testament</v>
      </c>
      <c r="AP5" s="8">
        <f t="shared" ref="AP5:AP106" si="7">IF($AO5="","",$A5)</f>
        <v>1</v>
      </c>
      <c r="AQ5" s="451" t="str">
        <f>'Family Map'!H46</f>
        <v/>
      </c>
      <c r="AR5" s="451" t="str">
        <f t="shared" ref="AR5:AR106" si="8">IF($A5="","",IF($AL5="","",XLOOKUP($AL5,$A$5:$A$106,$AQ$5:$AQ$106,"")))</f>
        <v/>
      </c>
      <c r="AS5" s="8" t="str">
        <f>IFERROR(__xludf.DUMMYFUNCTION("LET(slot,$A5,label,$AM5,raw,$AQ5,resolved,$AR5,isCovered,$AK5&lt;&gt;"""",active,COUNTIF(Setup!$S$6:$S$25,resolved)&gt;0,placeAud,IFERROR(FILTER(IFERROR(LEFT('Strand Placement'!$L$21:$L$89,FIND("" | "",'Strand Placement'!$L$21:$L$89)-1),""""),'Strand Placement'!$B"&amp;"$21:$B$89=label),""""),studentAud,IFERROR(FILTER('Student Work'!$C$17:$C$223,'Student Work'!$D$17:$D$223=label),""""),resourceAud,IFERROR(FILTER('Resource Planner'!$E$11:$E$71,'Resource Planner'!$D$11:$D$71=label),""""),TEXTJOIN(""; "",TRUE,IF(AND($AN5,ra"&amp;"w=""""),""⚠ active standalone/keeper has no Who / Group"",""""),IF(AND(isCovered,resolved=""""),""⚠ covered row’s keeper has no Who / Group"",""""),IF(AND(resolved&lt;&gt;"""",NOT(active)),""⚠ selected audience is inactive"",""""),IF(AND(isCovered,raw&lt;&gt;"""",raw"&amp;"&lt;&gt;resolved),""⚠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disagrees"",""""),IF(AND(resolved&lt;&gt;"""",SUM(--((studentAud&lt;&gt;"""")*(studen"&amp;"tAud&lt;&gt;resolved)))&gt;0),""⚠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" s="8" t="str">
        <f t="shared" ref="AT5:AT106" si="9">IF($AK5="","",IF(OR($AM5="",$AR5=""),"","↳ with "&amp;$AM5&amp;" • "&amp;$AR5))</f>
        <v/>
      </c>
      <c r="AU5" s="8"/>
      <c r="AV5" s="451" t="str">
        <f t="shared" ref="AV5:AV106" si="10">IF(OR($AK5&lt;&gt;"",$AM5=""),"",$AM5)</f>
        <v>All Together / Bible — New Testament</v>
      </c>
      <c r="AW5" s="451" t="str">
        <f t="shared" ref="AW5:AW106" si="11">IF($AV5="","",$AR5)</f>
        <v/>
      </c>
      <c r="AX5" s="8" t="str">
        <f>IFERROR(__xludf.DUMMYFUNCTION("IF($AV5="""","""",IFERROR(TEXTJOIN(CHAR(10),TRUE,FILTER(""row ""&amp;ROW('Strand Placement'!$B$21:$B$89)&amp;"" • ""&amp;IFERROR(LEFT('Strand Placement'!$L$21:$L$89,FIND("" | "",'Strand Placement'!$L$21:$L$89)-1),""""),'Strand Placement'!$B$21:$B$89=$AV5)),""""))"),"row 23 • Everyone")</f>
        <v>row 23 • Everyone</v>
      </c>
      <c r="AY5" s="8" t="str">
        <f>IFERROR(__xludf.DUMMYFUNCTION("IF($AV5="""","""",IFERROR(TEXTJOIN(CHAR(10),TRUE,FILTER(""row ""&amp;ROW('Student Work'!$C$24:$C$223)&amp;"" • ""&amp;'Student Work'!$A$24:$A$223,'Student Work'!$C$24:$C$223=$AV5)),""""))"),"")</f>
        <v/>
      </c>
      <c r="AZ5" s="8" t="str">
        <f>IFERROR(__xludf.DUMMYFUNCTION("IF($AV5="""","""",IFERROR(TEXTJOIN(CHAR(10),TRUE,FILTER(""row ""&amp;ROW('Resource Planner'!$D$10:$D$69)&amp;"" • ""&amp;'Resource Planner'!$C$10:$C$69,'Resource Planner'!$D$10:$D$69=$AV5)),""""))"),"row 22 • Everyone")</f>
        <v>row 22 • Everyone</v>
      </c>
      <c r="BA5" s="8" t="str">
        <f t="shared" ref="BA5:BA106" si="12">IF($AV5="","",IF($AS5="","OK",$AS5))</f>
        <v>⚠ active standalone/keeper has no Who / Group</v>
      </c>
    </row>
    <row r="6">
      <c r="A6" s="8">
        <v>2.0</v>
      </c>
      <c r="B6" s="451" t="str">
        <f>'Family Map'!B47</f>
        <v>All Together</v>
      </c>
      <c r="C6" s="451" t="str">
        <f>'Family Map'!C47</f>
        <v>Bible</v>
      </c>
      <c r="D6" s="451" t="str">
        <f>'Family Map'!D47</f>
        <v>Old Testament</v>
      </c>
      <c r="E6" s="451" t="str">
        <f>'Family Map'!G47</f>
        <v>All Together / Bible — Old Testament</v>
      </c>
      <c r="F6" s="451" t="str">
        <f t="shared" si="1"/>
        <v>All Together / Bible — Old Testament</v>
      </c>
      <c r="G6" s="8">
        <f>IF(E6="",0,COUNTIF('Strand Placement'!$B:$B,E6))</f>
        <v>1</v>
      </c>
      <c r="H6" s="8" t="str">
        <f t="shared" si="2"/>
        <v>Placed</v>
      </c>
      <c r="I6" s="8" t="s">
        <v>592</v>
      </c>
      <c r="J6" s="8" t="str">
        <f t="array" ref="J6">IFERROR(XLOOKUP(B6,Setup!$B$38:$B$44,Setup!$A$38:$A$44),"☑")</f>
        <v>☑</v>
      </c>
      <c r="K6" s="8"/>
      <c r="L6" s="449" t="s">
        <v>593</v>
      </c>
      <c r="M6" s="8" t="str">
        <f>IFERROR(__xludf.DUMMYFUNCTION("""COMPUTED_VALUE"""),"Kayla")</f>
        <v>Kayla</v>
      </c>
      <c r="N6" s="8"/>
      <c r="O6" s="451" t="str">
        <f>IFERROR(__xludf.DUMMYFUNCTION("""COMPUTED_VALUE"""),"Kayla")</f>
        <v>Kayla</v>
      </c>
      <c r="P6" s="451" t="str">
        <f>IFERROR(__xludf.DUMMYFUNCTION("""COMPUTED_VALUE"""),"Kayla")</f>
        <v>Kayla</v>
      </c>
      <c r="Q6" s="8" t="str">
        <f>IFERROR(__xludf.DUMMYFUNCTION("""COMPUTED_VALUE"""),"All")</f>
        <v>All</v>
      </c>
      <c r="R6" s="8" t="str">
        <f>IFERROR(__xludf.DUMMYFUNCTION("""COMPUTED_VALUE"""),"All")</f>
        <v>All</v>
      </c>
      <c r="S6" s="8" t="s">
        <v>223</v>
      </c>
      <c r="T6" s="8" t="s">
        <v>223</v>
      </c>
      <c r="U6" s="8" t="s">
        <v>380</v>
      </c>
      <c r="V6" s="8" t="str">
        <f>IFERROR(__xludf.DUMMYFUNCTION("""COMPUTED_VALUE"""),"Bible")</f>
        <v>Bible</v>
      </c>
      <c r="W6" s="8" t="str">
        <f>IFERROR(__xludf.DUMMYFUNCTION("""COMPUTED_VALUE"""),"Kayla")</f>
        <v>Kayla</v>
      </c>
      <c r="X6" s="8" t="str">
        <f>IFERROR(__xludf.DUMMYFUNCTION("""COMPUTED_VALUE"""),"Kayla")</f>
        <v>Kayla</v>
      </c>
      <c r="Y6" s="8" t="str">
        <f>IFERROR(__xludf.DUMMYFUNCTION("""COMPUTED_VALUE"""),"All")</f>
        <v>All</v>
      </c>
      <c r="Z6" s="8" t="str">
        <f>IFERROR(__xludf.DUMMYFUNCTION("""COMPUTED_VALUE"""),"All")</f>
        <v>All</v>
      </c>
      <c r="AA6" s="8" t="str">
        <f>IFERROR(__xludf.DUMMYFUNCTION("""COMPUTED_VALUE"""),"All")</f>
        <v>All</v>
      </c>
      <c r="AB6" s="8" t="str">
        <f>IFERROR(__xludf.DUMMYFUNCTION("""COMPUTED_VALUE"""),"All")</f>
        <v>All</v>
      </c>
      <c r="AC6" s="8" t="str">
        <f>IFERROR(__xludf.DUMMYFUNCTION("""COMPUTED_VALUE"""),"Not Done")</f>
        <v>Not Done</v>
      </c>
      <c r="AD6" s="451" t="str">
        <f>IF(Setup!$A7,Setup!$B7,"")</f>
        <v>Kayla</v>
      </c>
      <c r="AE6" s="8" t="str">
        <f t="shared" si="3"/>
        <v>Student</v>
      </c>
      <c r="AF6" s="451" t="b">
        <f>IF($AD6="","",Setup!G7)</f>
        <v>1</v>
      </c>
      <c r="AG6" s="451" t="b">
        <f>IF($AD6="","",Setup!H7)</f>
        <v>1</v>
      </c>
      <c r="AH6" s="451" t="b">
        <f>IF($AD6="","",Setup!I7)</f>
        <v>1</v>
      </c>
      <c r="AI6" s="451" t="b">
        <f>IF($AD6="","",Setup!J7)</f>
        <v>0</v>
      </c>
      <c r="AJ6" s="451" t="b">
        <f>IF($AD6="","",Setup!K7)</f>
        <v>1</v>
      </c>
      <c r="AK6" s="8"/>
      <c r="AL6" s="8">
        <f t="shared" si="4"/>
        <v>2</v>
      </c>
      <c r="AM6" s="451" t="str">
        <f t="shared" si="5"/>
        <v>All Together / Bible — Old Testament</v>
      </c>
      <c r="AN6" s="8" t="b">
        <f>AND(OR('Family Map'!A47=TRUE,'Family Map'!A47="☑",'Family Map'!A47="✓",'Family Map'!A47="✔"),$E6&lt;&gt;"",$J6="☑",$AK6="")</f>
        <v>1</v>
      </c>
      <c r="AO6" s="451" t="str">
        <f t="shared" si="6"/>
        <v>All Together / Bible — Old Testament</v>
      </c>
      <c r="AP6" s="8">
        <f t="shared" si="7"/>
        <v>2</v>
      </c>
      <c r="AQ6" s="451" t="str">
        <f>'Family Map'!H47</f>
        <v/>
      </c>
      <c r="AR6" s="451" t="str">
        <f t="shared" si="8"/>
        <v/>
      </c>
      <c r="AS6" s="8" t="str">
        <f>IFERROR(__xludf.DUMMYFUNCTION("LET(slot,$A6,label,$AM6,raw,$AQ6,resolved,$AR6,isCovered,$AK6&lt;&gt;"""",active,COUNTIF(Setup!$S$6:$S$25,resolved)&gt;0,placeAud,IFERROR(FILTER(IFERROR(LEFT('Strand Placement'!$L$21:$L$89,FIND("" | "",'Strand Placement'!$L$21:$L$89)-1),""""),'Strand Placement'!$B"&amp;"$21:$B$89=label),""""),studentAud,IFERROR(FILTER('Student Work'!$C$17:$C$223,'Student Work'!$D$17:$D$223=label),""""),resourceAud,IFERROR(FILTER('Resource Planner'!$E$11:$E$71,'Resource Planner'!$D$11:$D$71=label),""""),TEXTJOIN(""; "",TRUE,IF(AND($AN6,ra"&amp;"w=""""),""⚠ active standalone/keeper has no Who / Group"",""""),IF(AND(isCovered,resolved=""""),""⚠ covered row’s keeper has no Who / Group"",""""),IF(AND(resolved&lt;&gt;"""",NOT(active)),""⚠ selected audience is inactive"",""""),IF(AND(isCovered,raw&lt;&gt;"""",raw"&amp;"&lt;&gt;resolved),""⚠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disagrees"",""""),IF(AND(resolved&lt;&gt;"""",SUM(--((studentAud&lt;&gt;"""")*(studen"&amp;"tAud&lt;&gt;resolved)))&gt;0),""⚠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" s="8" t="str">
        <f t="shared" si="9"/>
        <v/>
      </c>
      <c r="AU6" s="8"/>
      <c r="AV6" s="451" t="str">
        <f t="shared" si="10"/>
        <v>All Together / Bible — Old Testament</v>
      </c>
      <c r="AW6" s="451" t="str">
        <f t="shared" si="11"/>
        <v/>
      </c>
      <c r="AX6" s="8" t="str">
        <f>IFERROR(__xludf.DUMMYFUNCTION("IF($AV6="""","""",IFERROR(TEXTJOIN(CHAR(10),TRUE,FILTER(""row ""&amp;ROW('Strand Placement'!$B$21:$B$89)&amp;"" • ""&amp;IFERROR(LEFT('Strand Placement'!$L$21:$L$89,FIND("" | "",'Strand Placement'!$L$21:$L$89)-1),""""),'Strand Placement'!$B$21:$B$89=$AV6)),""""))"),"row 21 • Everyone")</f>
        <v>row 21 • Everyone</v>
      </c>
      <c r="AY6" s="8" t="str">
        <f>IFERROR(__xludf.DUMMYFUNCTION("IF($AV6="""","""",IFERROR(TEXTJOIN(CHAR(10),TRUE,FILTER(""row ""&amp;ROW('Student Work'!$C$24:$C$223)&amp;"" • ""&amp;'Student Work'!$A$24:$A$223,'Student Work'!$C$24:$C$223=$AV6)),""""))"),"")</f>
        <v/>
      </c>
      <c r="AZ6" s="8" t="str">
        <f>IFERROR(__xludf.DUMMYFUNCTION("IF($AV6="""","""",IFERROR(TEXTJOIN(CHAR(10),TRUE,FILTER(""row ""&amp;ROW('Resource Planner'!$D$10:$D$69)&amp;"" • ""&amp;'Resource Planner'!$C$10:$C$69,'Resource Planner'!$D$10:$D$69=$AV6)),""""))"),"row 20 • Everyone
row 21 • Everyone")</f>
        <v>row 20 • Everyone
row 21 • Everyone</v>
      </c>
      <c r="BA6" s="8" t="str">
        <f t="shared" si="12"/>
        <v>⚠ active standalone/keeper has no Who / Group</v>
      </c>
    </row>
    <row r="7">
      <c r="A7" s="8">
        <v>3.0</v>
      </c>
      <c r="B7" s="451" t="str">
        <f>'Family Map'!B48</f>
        <v>All Together</v>
      </c>
      <c r="C7" s="451" t="str">
        <f>'Family Map'!C48</f>
        <v>Bible</v>
      </c>
      <c r="D7" s="451" t="str">
        <f>'Family Map'!D48</f>
        <v>Psalms / Proverbs</v>
      </c>
      <c r="E7" s="451" t="str">
        <f>'Family Map'!G48</f>
        <v>All Together / Bible — Psalms / Proverbs</v>
      </c>
      <c r="F7" s="451" t="str">
        <f t="shared" si="1"/>
        <v>All Together / Bible — Psalms / Proverbs</v>
      </c>
      <c r="G7" s="8">
        <f>IF(E7="",0,COUNTIF('Strand Placement'!$B:$B,E7))</f>
        <v>1</v>
      </c>
      <c r="H7" s="8" t="str">
        <f t="shared" si="2"/>
        <v>Placed</v>
      </c>
      <c r="I7" s="8" t="s">
        <v>597</v>
      </c>
      <c r="J7" s="8" t="str">
        <f t="array" ref="J7">IFERROR(XLOOKUP(B7,Setup!$B$38:$B$44,Setup!$A$38:$A$44),"☑")</f>
        <v>☑</v>
      </c>
      <c r="K7" s="8"/>
      <c r="L7" s="449" t="s">
        <v>222</v>
      </c>
      <c r="M7" s="8" t="str">
        <f>IFERROR(__xludf.DUMMYFUNCTION("""COMPUTED_VALUE"""),"Charis")</f>
        <v>Charis</v>
      </c>
      <c r="N7" s="8"/>
      <c r="O7" s="451" t="str">
        <f>IFERROR(__xludf.DUMMYFUNCTION("""COMPUTED_VALUE"""),"Charis")</f>
        <v>Charis</v>
      </c>
      <c r="P7" s="451" t="str">
        <f>IFERROR(__xludf.DUMMYFUNCTION("""COMPUTED_VALUE"""),"Charis")</f>
        <v>Charis</v>
      </c>
      <c r="Q7" s="8" t="str">
        <f>IFERROR(__xludf.DUMMYFUNCTION("""COMPUTED_VALUE"""),"All")</f>
        <v>All</v>
      </c>
      <c r="R7" s="8" t="str">
        <f>IFERROR(__xludf.DUMMYFUNCTION("""COMPUTED_VALUE"""),"All")</f>
        <v>All</v>
      </c>
      <c r="S7" s="8" t="s">
        <v>223</v>
      </c>
      <c r="T7" s="8" t="s">
        <v>223</v>
      </c>
      <c r="U7" s="8" t="s">
        <v>380</v>
      </c>
      <c r="V7" s="8" t="str">
        <f>IFERROR(__xludf.DUMMYFUNCTION("""COMPUTED_VALUE"""),"Literature")</f>
        <v>Literature</v>
      </c>
      <c r="W7" s="8" t="str">
        <f>IFERROR(__xludf.DUMMYFUNCTION("""COMPUTED_VALUE"""),"Charis")</f>
        <v>Charis</v>
      </c>
      <c r="X7" s="8" t="str">
        <f>IFERROR(__xludf.DUMMYFUNCTION("""COMPUTED_VALUE"""),"Charis")</f>
        <v>Charis</v>
      </c>
      <c r="Y7" s="8" t="str">
        <f>IFERROR(__xludf.DUMMYFUNCTION("""COMPUTED_VALUE"""),"All")</f>
        <v>All</v>
      </c>
      <c r="Z7" s="8" t="str">
        <f>IFERROR(__xludf.DUMMYFUNCTION("""COMPUTED_VALUE"""),"All")</f>
        <v>All</v>
      </c>
      <c r="AA7" s="8" t="str">
        <f>IFERROR(__xludf.DUMMYFUNCTION("""COMPUTED_VALUE"""),"All")</f>
        <v>All</v>
      </c>
      <c r="AB7" s="8" t="str">
        <f>IFERROR(__xludf.DUMMYFUNCTION("""COMPUTED_VALUE"""),"All")</f>
        <v>All</v>
      </c>
      <c r="AC7" s="8" t="str">
        <f>IFERROR(__xludf.DUMMYFUNCTION("""COMPUTED_VALUE"""),"Not Done")</f>
        <v>Not Done</v>
      </c>
      <c r="AD7" s="451" t="str">
        <f>IF(Setup!$A8,Setup!$B8,"")</f>
        <v>Charis</v>
      </c>
      <c r="AE7" s="8" t="str">
        <f t="shared" si="3"/>
        <v>Student</v>
      </c>
      <c r="AF7" s="451" t="b">
        <f>IF($AD7="","",Setup!G8)</f>
        <v>1</v>
      </c>
      <c r="AG7" s="451" t="b">
        <f>IF($AD7="","",Setup!H8)</f>
        <v>1</v>
      </c>
      <c r="AH7" s="451" t="b">
        <f>IF($AD7="","",Setup!I8)</f>
        <v>1</v>
      </c>
      <c r="AI7" s="451" t="b">
        <f>IF($AD7="","",Setup!J8)</f>
        <v>0</v>
      </c>
      <c r="AJ7" s="451" t="b">
        <f>IF($AD7="","",Setup!K8)</f>
        <v>1</v>
      </c>
      <c r="AK7" s="8"/>
      <c r="AL7" s="8">
        <f t="shared" si="4"/>
        <v>3</v>
      </c>
      <c r="AM7" s="451" t="str">
        <f t="shared" si="5"/>
        <v>All Together / Bible — Psalms / Proverbs</v>
      </c>
      <c r="AN7" s="8" t="b">
        <f>AND(OR('Family Map'!A48=TRUE,'Family Map'!A48="☑",'Family Map'!A48="✓",'Family Map'!A48="✔"),$E7&lt;&gt;"",$J7="☑",$AK7="")</f>
        <v>1</v>
      </c>
      <c r="AO7" s="451" t="str">
        <f t="shared" si="6"/>
        <v>All Together / Bible — Psalms / Proverbs</v>
      </c>
      <c r="AP7" s="8">
        <f t="shared" si="7"/>
        <v>3</v>
      </c>
      <c r="AQ7" s="451" t="str">
        <f>'Family Map'!H48</f>
        <v/>
      </c>
      <c r="AR7" s="451" t="str">
        <f t="shared" si="8"/>
        <v/>
      </c>
      <c r="AS7" s="8" t="str">
        <f>IFERROR(__xludf.DUMMYFUNCTION("LET(slot,$A7,label,$AM7,raw,$AQ7,resolved,$AR7,isCovered,$AK7&lt;&gt;"""",active,COUNTIF(Setup!$S$6:$S$25,resolved)&gt;0,placeAud,IFERROR(FILTER(IFERROR(LEFT('Strand Placement'!$L$21:$L$89,FIND("" | "",'Strand Placement'!$L$21:$L$89)-1),""""),'Strand Placement'!$B"&amp;"$21:$B$89=label),""""),studentAud,IFERROR(FILTER('Student Work'!$C$17:$C$223,'Student Work'!$D$17:$D$223=label),""""),resourceAud,IFERROR(FILTER('Resource Planner'!$E$11:$E$71,'Resource Planner'!$D$11:$D$71=label),""""),TEXTJOIN(""; "",TRUE,IF(AND($AN7,ra"&amp;"w=""""),""⚠ active standalone/keeper has no Who / Group"",""""),IF(AND(isCovered,resolved=""""),""⚠ covered row’s keeper has no Who / Group"",""""),IF(AND(resolved&lt;&gt;"""",NOT(active)),""⚠ selected audience is inactive"",""""),IF(AND(isCovered,raw&lt;&gt;"""",raw"&amp;"&lt;&gt;resolved),""⚠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disagrees"",""""),IF(AND(resolved&lt;&gt;"""",SUM(--((studentAud&lt;&gt;"""")*(studen"&amp;"tAud&lt;&gt;resolved)))&gt;0),""⚠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7" s="8" t="str">
        <f t="shared" si="9"/>
        <v/>
      </c>
      <c r="AU7" s="8"/>
      <c r="AV7" s="451" t="str">
        <f t="shared" si="10"/>
        <v>All Together / Bible — Psalms / Proverbs</v>
      </c>
      <c r="AW7" s="451" t="str">
        <f t="shared" si="11"/>
        <v/>
      </c>
      <c r="AX7" s="8" t="str">
        <f>IFERROR(__xludf.DUMMYFUNCTION("IF($AV7="""","""",IFERROR(TEXTJOIN(CHAR(10),TRUE,FILTER(""row ""&amp;ROW('Strand Placement'!$B$21:$B$89)&amp;"" • ""&amp;IFERROR(LEFT('Strand Placement'!$L$21:$L$89,FIND("" | "",'Strand Placement'!$L$21:$L$89)-1),""""),'Strand Placement'!$B$21:$B$89=$AV7)),""""))"),"row 24 • Everyone")</f>
        <v>row 24 • Everyone</v>
      </c>
      <c r="AY7" s="8" t="str">
        <f>IFERROR(__xludf.DUMMYFUNCTION("IF($AV7="""","""",IFERROR(TEXTJOIN(CHAR(10),TRUE,FILTER(""row ""&amp;ROW('Student Work'!$C$24:$C$223)&amp;"" • ""&amp;'Student Work'!$A$24:$A$223,'Student Work'!$C$24:$C$223=$AV7)),""""))"),"")</f>
        <v/>
      </c>
      <c r="AZ7" s="8" t="str">
        <f>IFERROR(__xludf.DUMMYFUNCTION("IF($AV7="""","""",IFERROR(TEXTJOIN(CHAR(10),TRUE,FILTER(""row ""&amp;ROW('Resource Planner'!$D$10:$D$69)&amp;"" • ""&amp;'Resource Planner'!$C$10:$C$69,'Resource Planner'!$D$10:$D$69=$AV7)),""""))"),"")</f>
        <v/>
      </c>
      <c r="BA7" s="8" t="str">
        <f t="shared" si="12"/>
        <v>⚠ active standalone/keeper has no Who / Group</v>
      </c>
    </row>
    <row r="8">
      <c r="A8" s="8">
        <v>4.0</v>
      </c>
      <c r="B8" s="451" t="str">
        <f>'Family Map'!B49</f>
        <v>All Together</v>
      </c>
      <c r="C8" s="451" t="str">
        <f>'Family Map'!C49</f>
        <v>Bible</v>
      </c>
      <c r="D8" s="451" t="str">
        <f>'Family Map'!D49</f>
        <v>Scripture Memory</v>
      </c>
      <c r="E8" s="451" t="str">
        <f>'Family Map'!G49</f>
        <v>All Together / Bible — Scripture Memory</v>
      </c>
      <c r="F8" s="451" t="str">
        <f t="shared" si="1"/>
        <v>All Together / Bible — Scripture Memory</v>
      </c>
      <c r="G8" s="8">
        <f>IF(E8="",0,COUNTIF('Strand Placement'!$B:$B,E8))</f>
        <v>2</v>
      </c>
      <c r="H8" s="8" t="str">
        <f t="shared" si="2"/>
        <v>Placed</v>
      </c>
      <c r="I8" s="8" t="s">
        <v>600</v>
      </c>
      <c r="J8" s="8" t="str">
        <f t="array" ref="J8">IFERROR(XLOOKUP(B8,Setup!$B$38:$B$44,Setup!$A$38:$A$44),"☑")</f>
        <v>☑</v>
      </c>
      <c r="K8" s="8"/>
      <c r="L8" s="449" t="s">
        <v>220</v>
      </c>
      <c r="M8" s="8" t="str">
        <f>IFERROR(__xludf.DUMMYFUNCTION("""COMPUTED_VALUE"""),"Jeremiah")</f>
        <v>Jeremiah</v>
      </c>
      <c r="N8" s="8"/>
      <c r="O8" s="451" t="str">
        <f>IFERROR(__xludf.DUMMYFUNCTION("""COMPUTED_VALUE"""),"Jeremiah")</f>
        <v>Jeremiah</v>
      </c>
      <c r="P8" s="451" t="str">
        <f>IFERROR(__xludf.DUMMYFUNCTION("""COMPUTED_VALUE"""),"Jeremiah")</f>
        <v>Jeremiah</v>
      </c>
      <c r="Q8" s="8" t="str">
        <f>IFERROR(__xludf.DUMMYFUNCTION("""COMPUTED_VALUE"""),"All")</f>
        <v>All</v>
      </c>
      <c r="R8" s="8" t="str">
        <f>IFERROR(__xludf.DUMMYFUNCTION("""COMPUTED_VALUE"""),"All")</f>
        <v>All</v>
      </c>
      <c r="S8" s="8" t="s">
        <v>223</v>
      </c>
      <c r="T8" s="8" t="s">
        <v>223</v>
      </c>
      <c r="U8" s="8" t="s">
        <v>380</v>
      </c>
      <c r="V8" s="8" t="str">
        <f>IFERROR(__xludf.DUMMYFUNCTION("""COMPUTED_VALUE"""),"Science / Nature")</f>
        <v>Science / Nature</v>
      </c>
      <c r="W8" s="8" t="str">
        <f>IFERROR(__xludf.DUMMYFUNCTION("""COMPUTED_VALUE"""),"Jeremiah")</f>
        <v>Jeremiah</v>
      </c>
      <c r="X8" s="8" t="str">
        <f>IFERROR(__xludf.DUMMYFUNCTION("""COMPUTED_VALUE"""),"Jeremiah")</f>
        <v>Jeremiah</v>
      </c>
      <c r="Y8" s="8" t="str">
        <f>IFERROR(__xludf.DUMMYFUNCTION("""COMPUTED_VALUE"""),"All")</f>
        <v>All</v>
      </c>
      <c r="Z8" s="8" t="str">
        <f>IFERROR(__xludf.DUMMYFUNCTION("""COMPUTED_VALUE"""),"All")</f>
        <v>All</v>
      </c>
      <c r="AA8" s="8" t="str">
        <f>IFERROR(__xludf.DUMMYFUNCTION("""COMPUTED_VALUE"""),"All")</f>
        <v>All</v>
      </c>
      <c r="AB8" s="8" t="str">
        <f>IFERROR(__xludf.DUMMYFUNCTION("""COMPUTED_VALUE"""),"All")</f>
        <v>All</v>
      </c>
      <c r="AC8" s="8" t="str">
        <f>IFERROR(__xludf.DUMMYFUNCTION("""COMPUTED_VALUE"""),"Not Done")</f>
        <v>Not Done</v>
      </c>
      <c r="AD8" s="451" t="str">
        <f>IF(Setup!$A9,Setup!$B9,"")</f>
        <v>Jeremiah</v>
      </c>
      <c r="AE8" s="8" t="str">
        <f t="shared" si="3"/>
        <v>Student</v>
      </c>
      <c r="AF8" s="451" t="b">
        <f>IF($AD8="","",Setup!G9)</f>
        <v>1</v>
      </c>
      <c r="AG8" s="451" t="b">
        <f>IF($AD8="","",Setup!H9)</f>
        <v>0</v>
      </c>
      <c r="AH8" s="451" t="b">
        <f>IF($AD8="","",Setup!I9)</f>
        <v>1</v>
      </c>
      <c r="AI8" s="451" t="b">
        <f>IF($AD8="","",Setup!J9)</f>
        <v>0</v>
      </c>
      <c r="AJ8" s="451" t="b">
        <f>IF($AD8="","",Setup!K9)</f>
        <v>1</v>
      </c>
      <c r="AK8" s="8"/>
      <c r="AL8" s="8">
        <f t="shared" si="4"/>
        <v>4</v>
      </c>
      <c r="AM8" s="451" t="str">
        <f t="shared" si="5"/>
        <v>All Together / Bible — Scripture Memory</v>
      </c>
      <c r="AN8" s="8" t="b">
        <f>AND(OR('Family Map'!A49=TRUE,'Family Map'!A49="☑",'Family Map'!A49="✓",'Family Map'!A49="✔"),$E8&lt;&gt;"",$J8="☑",$AK8="")</f>
        <v>1</v>
      </c>
      <c r="AO8" s="451" t="str">
        <f t="shared" si="6"/>
        <v>All Together / Bible — Scripture Memory</v>
      </c>
      <c r="AP8" s="8">
        <f t="shared" si="7"/>
        <v>4</v>
      </c>
      <c r="AQ8" s="451" t="str">
        <f>'Family Map'!H49</f>
        <v/>
      </c>
      <c r="AR8" s="451" t="str">
        <f t="shared" si="8"/>
        <v/>
      </c>
      <c r="AS8" s="8" t="str">
        <f>IFERROR(__xludf.DUMMYFUNCTION("LET(slot,$A8,label,$AM8,raw,$AQ8,resolved,$AR8,isCovered,$AK8&lt;&gt;"""",active,COUNTIF(Setup!$S$6:$S$25,resolved)&gt;0,placeAud,IFERROR(FILTER(IFERROR(LEFT('Strand Placement'!$L$21:$L$89,FIND("" | "",'Strand Placement'!$L$21:$L$89)-1),""""),'Strand Placement'!$B"&amp;"$21:$B$89=label),""""),studentAud,IFERROR(FILTER('Student Work'!$C$17:$C$223,'Student Work'!$D$17:$D$223=label),""""),resourceAud,IFERROR(FILTER('Resource Planner'!$E$11:$E$71,'Resource Planner'!$D$11:$D$71=label),""""),TEXTJOIN(""; "",TRUE,IF(AND($AN8,ra"&amp;"w=""""),""⚠ active standalone/keeper has no Who / Group"",""""),IF(AND(isCovered,resolved=""""),""⚠ covered row’s keeper has no Who / Group"",""""),IF(AND(resolved&lt;&gt;"""",NOT(active)),""⚠ selected audience is inactive"",""""),IF(AND(isCovered,raw&lt;&gt;"""",raw"&amp;"&lt;&gt;resolved),""⚠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disagrees"",""""),IF(AND(resolved&lt;&gt;"""",SUM(--((studentAud&lt;&gt;"""")*(studen"&amp;"tAud&lt;&gt;resolved)))&gt;0),""⚠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8" s="8" t="str">
        <f t="shared" si="9"/>
        <v/>
      </c>
      <c r="AU8" s="8"/>
      <c r="AV8" s="451" t="str">
        <f t="shared" si="10"/>
        <v>All Together / Bible — Scripture Memory</v>
      </c>
      <c r="AW8" s="451" t="str">
        <f t="shared" si="11"/>
        <v/>
      </c>
      <c r="AX8" s="8" t="str">
        <f>IFERROR(__xludf.DUMMYFUNCTION("IF($AV8="""","""",IFERROR(TEXTJOIN(CHAR(10),TRUE,FILTER(""row ""&amp;ROW('Strand Placement'!$B$21:$B$89)&amp;"" • ""&amp;IFERROR(LEFT('Strand Placement'!$L$21:$L$89,FIND("" | "",'Strand Placement'!$L$21:$L$89)-1),""""),'Strand Placement'!$B$21:$B$89=$AV8)),""""))"),"row 22 • Everyone
row 50 • Everyone")</f>
        <v>row 22 • Everyone
row 50 • Everyone</v>
      </c>
      <c r="AY8" s="8" t="str">
        <f>IFERROR(__xludf.DUMMYFUNCTION("IF($AV8="""","""",IFERROR(TEXTJOIN(CHAR(10),TRUE,FILTER(""row ""&amp;ROW('Student Work'!$C$24:$C$223)&amp;"" • ""&amp;'Student Work'!$A$24:$A$223,'Student Work'!$C$24:$C$223=$AV8)),""""))"),"")</f>
        <v/>
      </c>
      <c r="AZ8" s="8" t="str">
        <f>IFERROR(__xludf.DUMMYFUNCTION("IF($AV8="""","""",IFERROR(TEXTJOIN(CHAR(10),TRUE,FILTER(""row ""&amp;ROW('Resource Planner'!$D$10:$D$69)&amp;"" • ""&amp;'Resource Planner'!$C$10:$C$69,'Resource Planner'!$D$10:$D$69=$AV8)),""""))"),"row 14 • Everyone")</f>
        <v>row 14 • Everyone</v>
      </c>
      <c r="BA8" s="8" t="str">
        <f t="shared" si="12"/>
        <v>⚠ active standalone/keeper has no Who / Group</v>
      </c>
    </row>
    <row r="9">
      <c r="A9" s="8">
        <v>5.0</v>
      </c>
      <c r="B9" s="451" t="str">
        <f>'Family Map'!B50</f>
        <v>All Together</v>
      </c>
      <c r="C9" s="451" t="str">
        <f>'Family Map'!C50</f>
        <v>Literature</v>
      </c>
      <c r="D9" s="451" t="str">
        <f>'Family Map'!D50</f>
        <v>Family Read-Aloud</v>
      </c>
      <c r="E9" s="451" t="str">
        <f>'Family Map'!G50</f>
        <v>All Together / Literature — Family Read-Aloud</v>
      </c>
      <c r="F9" s="451" t="str">
        <f t="shared" si="1"/>
        <v>All Together / Literature — Family Read-Aloud</v>
      </c>
      <c r="G9" s="8">
        <f>IF(E9="",0,COUNTIF('Strand Placement'!$B:$B,E9))</f>
        <v>1</v>
      </c>
      <c r="H9" s="8" t="str">
        <f t="shared" si="2"/>
        <v>Placed</v>
      </c>
      <c r="I9" s="8" t="s">
        <v>604</v>
      </c>
      <c r="J9" s="8" t="str">
        <f t="array" ref="J9">IFERROR(XLOOKUP(B9,Setup!$B$38:$B$44,Setup!$A$38:$A$44),"☑")</f>
        <v>☑</v>
      </c>
      <c r="K9" s="8"/>
      <c r="L9" s="449" t="s">
        <v>249</v>
      </c>
      <c r="M9" s="8" t="str">
        <f>IFERROR(__xludf.DUMMYFUNCTION("""COMPUTED_VALUE"""),"Everyone")</f>
        <v>Everyone</v>
      </c>
      <c r="N9" s="8"/>
      <c r="O9" s="451" t="str">
        <f>IFERROR(__xludf.DUMMYFUNCTION("""COMPUTED_VALUE"""),"Everyone")</f>
        <v>Everyone</v>
      </c>
      <c r="P9" s="451" t="str">
        <f>IFERROR(__xludf.DUMMYFUNCTION("""COMPUTED_VALUE"""),"Everyone")</f>
        <v>Everyone</v>
      </c>
      <c r="Q9" s="8" t="str">
        <f>IFERROR(__xludf.DUMMYFUNCTION("""COMPUTED_VALUE"""),"All")</f>
        <v>All</v>
      </c>
      <c r="R9" s="8" t="str">
        <f>IFERROR(__xludf.DUMMYFUNCTION("""COMPUTED_VALUE"""),"All")</f>
        <v>All</v>
      </c>
      <c r="S9" s="8" t="s">
        <v>223</v>
      </c>
      <c r="T9" s="8" t="s">
        <v>223</v>
      </c>
      <c r="U9" s="8" t="s">
        <v>380</v>
      </c>
      <c r="V9" s="8"/>
      <c r="W9" s="8" t="str">
        <f>IFERROR(__xludf.DUMMYFUNCTION("""COMPUTED_VALUE"""),"Everyone")</f>
        <v>Everyone</v>
      </c>
      <c r="X9" s="8" t="str">
        <f>IFERROR(__xludf.DUMMYFUNCTION("""COMPUTED_VALUE"""),"Everyone")</f>
        <v>Everyone</v>
      </c>
      <c r="Y9" s="8" t="str">
        <f>IFERROR(__xludf.DUMMYFUNCTION("""COMPUTED_VALUE"""),"All")</f>
        <v>All</v>
      </c>
      <c r="Z9" s="8" t="str">
        <f>IFERROR(__xludf.DUMMYFUNCTION("""COMPUTED_VALUE"""),"All")</f>
        <v>All</v>
      </c>
      <c r="AA9" s="8" t="str">
        <f>IFERROR(__xludf.DUMMYFUNCTION("""COMPUTED_VALUE"""),"All")</f>
        <v>All</v>
      </c>
      <c r="AB9" s="8" t="str">
        <f>IFERROR(__xludf.DUMMYFUNCTION("""COMPUTED_VALUE"""),"All")</f>
        <v>All</v>
      </c>
      <c r="AC9" s="8" t="str">
        <f>IFERROR(__xludf.DUMMYFUNCTION("""COMPUTED_VALUE"""),"Not Done")</f>
        <v>Not Done</v>
      </c>
      <c r="AD9" s="8" t="str">
        <f>IF(Setup!$A10,Setup!$B10,"")</f>
        <v/>
      </c>
      <c r="AE9" s="8" t="str">
        <f t="shared" si="3"/>
        <v/>
      </c>
      <c r="AF9" s="8" t="str">
        <f>IF($AD9="","",Setup!G10)</f>
        <v/>
      </c>
      <c r="AG9" s="8" t="str">
        <f>IF($AD9="","",Setup!H10)</f>
        <v/>
      </c>
      <c r="AH9" s="8" t="str">
        <f>IF($AD9="","",Setup!I10)</f>
        <v/>
      </c>
      <c r="AI9" s="8" t="str">
        <f>IF($AD9="","",Setup!J10)</f>
        <v/>
      </c>
      <c r="AJ9" s="8" t="str">
        <f>IF($AD9="","",Setup!K10)</f>
        <v/>
      </c>
      <c r="AK9" s="8"/>
      <c r="AL9" s="8">
        <f t="shared" si="4"/>
        <v>5</v>
      </c>
      <c r="AM9" s="451" t="str">
        <f t="shared" si="5"/>
        <v>All Together / Literature — Family Read-Aloud</v>
      </c>
      <c r="AN9" s="8" t="b">
        <f>AND(OR('Family Map'!A50=TRUE,'Family Map'!A50="☑",'Family Map'!A50="✓",'Family Map'!A50="✔"),$E9&lt;&gt;"",$J9="☑",$AK9="")</f>
        <v>1</v>
      </c>
      <c r="AO9" s="451" t="str">
        <f t="shared" si="6"/>
        <v>All Together / Literature — Family Read-Aloud</v>
      </c>
      <c r="AP9" s="8">
        <f t="shared" si="7"/>
        <v>5</v>
      </c>
      <c r="AQ9" s="451" t="str">
        <f>'Family Map'!H50</f>
        <v/>
      </c>
      <c r="AR9" s="451" t="str">
        <f t="shared" si="8"/>
        <v/>
      </c>
      <c r="AS9" s="8" t="str">
        <f>IFERROR(__xludf.DUMMYFUNCTION("LET(slot,$A9,label,$AM9,raw,$AQ9,resolved,$AR9,isCovered,$AK9&lt;&gt;"""",active,COUNTIF(Setup!$S$6:$S$25,resolved)&gt;0,placeAud,IFERROR(FILTER(IFERROR(LEFT('Strand Placement'!$L$21:$L$89,FIND("" | "",'Strand Placement'!$L$21:$L$89)-1),""""),'Strand Placement'!$B"&amp;"$21:$B$89=label),""""),studentAud,IFERROR(FILTER('Student Work'!$C$17:$C$223,'Student Work'!$D$17:$D$223=label),""""),resourceAud,IFERROR(FILTER('Resource Planner'!$E$11:$E$71,'Resource Planner'!$D$11:$D$71=label),""""),TEXTJOIN(""; "",TRUE,IF(AND($AN9,ra"&amp;"w=""""),""⚠ active standalone/keeper has no Who / Group"",""""),IF(AND(isCovered,resolved=""""),""⚠ covered row’s keeper has no Who / Group"",""""),IF(AND(resolved&lt;&gt;"""",NOT(active)),""⚠ selected audience is inactive"",""""),IF(AND(isCovered,raw&lt;&gt;"""",raw"&amp;"&lt;&gt;resolved),""⚠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disagrees"",""""),IF(AND(resolved&lt;&gt;"""",SUM(--((studentAud&lt;&gt;"""")*(studen"&amp;"tAud&lt;&gt;resolved)))&gt;0),""⚠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9" s="8" t="str">
        <f t="shared" si="9"/>
        <v/>
      </c>
      <c r="AU9" s="8"/>
      <c r="AV9" s="451" t="str">
        <f t="shared" si="10"/>
        <v>All Together / Literature — Family Read-Aloud</v>
      </c>
      <c r="AW9" s="451" t="str">
        <f t="shared" si="11"/>
        <v/>
      </c>
      <c r="AX9" s="8" t="str">
        <f>IFERROR(__xludf.DUMMYFUNCTION("IF($AV9="""","""",IFERROR(TEXTJOIN(CHAR(10),TRUE,FILTER(""row ""&amp;ROW('Strand Placement'!$B$21:$B$89)&amp;"" • ""&amp;IFERROR(LEFT('Strand Placement'!$L$21:$L$89,FIND("" | "",'Strand Placement'!$L$21:$L$89)-1),""""),'Strand Placement'!$B$21:$B$89=$AV9)),""""))"),"row 30 • Everyone")</f>
        <v>row 30 • Everyone</v>
      </c>
      <c r="AY9" s="8" t="str">
        <f>IFERROR(__xludf.DUMMYFUNCTION("IF($AV9="""","""",IFERROR(TEXTJOIN(CHAR(10),TRUE,FILTER(""row ""&amp;ROW('Student Work'!$C$24:$C$223)&amp;"" • ""&amp;'Student Work'!$A$24:$A$223,'Student Work'!$C$24:$C$223=$AV9)),""""))"),"")</f>
        <v/>
      </c>
      <c r="AZ9" s="8" t="str">
        <f>IFERROR(__xludf.DUMMYFUNCTION("IF($AV9="""","""",IFERROR(TEXTJOIN(CHAR(10),TRUE,FILTER(""row ""&amp;ROW('Resource Planner'!$D$10:$D$69)&amp;"" • ""&amp;'Resource Planner'!$C$10:$C$69,'Resource Planner'!$D$10:$D$69=$AV9)),""""))"),"row 10 • Everyone
row 16 • Everyone
row 17 • Everyone")</f>
        <v>row 10 • Everyone
row 16 • Everyone
row 17 • Everyone</v>
      </c>
      <c r="BA9" s="8" t="str">
        <f t="shared" si="12"/>
        <v>⚠ active standalone/keeper has no Who / Group</v>
      </c>
    </row>
    <row r="10">
      <c r="A10" s="8">
        <v>6.0</v>
      </c>
      <c r="B10" s="451" t="str">
        <f>'Family Map'!B51</f>
        <v>Family Choice</v>
      </c>
      <c r="C10" s="451" t="str">
        <f>'Family Map'!C51</f>
        <v>Science / Nature</v>
      </c>
      <c r="D10" s="451" t="str">
        <f>'Family Map'!D51</f>
        <v>Nature Walk</v>
      </c>
      <c r="E10" s="451" t="str">
        <f>'Family Map'!G51</f>
        <v>Family Choice / Science / Nature — Nature Walk</v>
      </c>
      <c r="F10" s="8" t="str">
        <f t="shared" si="1"/>
        <v/>
      </c>
      <c r="G10" s="8">
        <f>IF(E10="",0,COUNTIF('Strand Placement'!$B:$B,E10))</f>
        <v>0</v>
      </c>
      <c r="H10" s="8" t="str">
        <f t="shared" si="2"/>
        <v>Unplaced</v>
      </c>
      <c r="I10" s="8" t="s">
        <v>606</v>
      </c>
      <c r="J10" s="8" t="b">
        <f t="array" ref="J10">IFERROR(XLOOKUP(B10,Setup!$B$38:$B$44,Setup!$A$38:$A$44),"☑")</f>
        <v>1</v>
      </c>
      <c r="K10" s="8"/>
      <c r="L10" s="449" t="s">
        <v>252</v>
      </c>
      <c r="M10" s="8" t="str">
        <f>IFERROR(__xludf.DUMMYFUNCTION("""COMPUTED_VALUE"""),"Little Girls")</f>
        <v>Little Girls</v>
      </c>
      <c r="N10" s="8"/>
      <c r="O10" s="451" t="str">
        <f>IFERROR(__xludf.DUMMYFUNCTION("""COMPUTED_VALUE"""),"Little Girls")</f>
        <v>Little Girls</v>
      </c>
      <c r="P10" s="451" t="str">
        <f>IFERROR(__xludf.DUMMYFUNCTION("""COMPUTED_VALUE"""),"Little Girls")</f>
        <v>Little Girls</v>
      </c>
      <c r="Q10" s="8" t="str">
        <f>IFERROR(__xludf.DUMMYFUNCTION("""COMPUTED_VALUE"""),"All")</f>
        <v>All</v>
      </c>
      <c r="R10" s="8" t="str">
        <f>IFERROR(__xludf.DUMMYFUNCTION("""COMPUTED_VALUE"""),"All")</f>
        <v>All</v>
      </c>
      <c r="S10" s="8" t="s">
        <v>223</v>
      </c>
      <c r="T10" s="8" t="s">
        <v>223</v>
      </c>
      <c r="U10" s="8" t="s">
        <v>380</v>
      </c>
      <c r="V10" s="8"/>
      <c r="W10" s="8" t="str">
        <f>IFERROR(__xludf.DUMMYFUNCTION("""COMPUTED_VALUE"""),"Little Girls")</f>
        <v>Little Girls</v>
      </c>
      <c r="X10" s="8" t="str">
        <f>IFERROR(__xludf.DUMMYFUNCTION("""COMPUTED_VALUE"""),"Little Girls")</f>
        <v>Little Girls</v>
      </c>
      <c r="Y10" s="8" t="str">
        <f>IFERROR(__xludf.DUMMYFUNCTION("""COMPUTED_VALUE"""),"All")</f>
        <v>All</v>
      </c>
      <c r="Z10" s="8" t="str">
        <f>IFERROR(__xludf.DUMMYFUNCTION("""COMPUTED_VALUE"""),"All")</f>
        <v>All</v>
      </c>
      <c r="AA10" s="8" t="str">
        <f>IFERROR(__xludf.DUMMYFUNCTION("""COMPUTED_VALUE"""),"All")</f>
        <v>All</v>
      </c>
      <c r="AB10" s="8" t="str">
        <f>IFERROR(__xludf.DUMMYFUNCTION("""COMPUTED_VALUE"""),"All")</f>
        <v>All</v>
      </c>
      <c r="AC10" s="8" t="str">
        <f>IFERROR(__xludf.DUMMYFUNCTION("""COMPUTED_VALUE"""),"Not Done")</f>
        <v>Not Done</v>
      </c>
      <c r="AD10" s="8" t="str">
        <f>IF(Setup!$A11,Setup!$B11,"")</f>
        <v/>
      </c>
      <c r="AE10" s="8" t="str">
        <f t="shared" si="3"/>
        <v/>
      </c>
      <c r="AF10" s="8" t="str">
        <f>IF($AD10="","",Setup!G11)</f>
        <v/>
      </c>
      <c r="AG10" s="8" t="str">
        <f>IF($AD10="","",Setup!H11)</f>
        <v/>
      </c>
      <c r="AH10" s="8" t="str">
        <f>IF($AD10="","",Setup!I11)</f>
        <v/>
      </c>
      <c r="AI10" s="8" t="str">
        <f>IF($AD10="","",Setup!J11)</f>
        <v/>
      </c>
      <c r="AJ10" s="8" t="str">
        <f>IF($AD10="","",Setup!K11)</f>
        <v/>
      </c>
      <c r="AK10" s="447"/>
      <c r="AL10" s="8">
        <f t="shared" si="4"/>
        <v>6</v>
      </c>
      <c r="AM10" s="451" t="str">
        <f t="shared" si="5"/>
        <v>Family Choice / Science / Nature — Nature Walk</v>
      </c>
      <c r="AN10" s="8" t="b">
        <f>AND(OR('Family Map'!A51=TRUE,'Family Map'!A51="☑",'Family Map'!A51="✓",'Family Map'!A51="✔"),$E10&lt;&gt;"",$J10="☑",$AK10="")</f>
        <v>0</v>
      </c>
      <c r="AO10" s="8" t="str">
        <f t="shared" si="6"/>
        <v/>
      </c>
      <c r="AP10" s="8" t="str">
        <f t="shared" si="7"/>
        <v/>
      </c>
      <c r="AQ10" s="451" t="str">
        <f>'Family Map'!H51</f>
        <v/>
      </c>
      <c r="AR10" s="451" t="str">
        <f t="shared" si="8"/>
        <v/>
      </c>
      <c r="AS10" s="8" t="str">
        <f>IFERROR(__xludf.DUMMYFUNCTION("LET(slot,$A10,label,$AM10,raw,$AQ10,resolved,$AR10,isCovered,$AK10&lt;&gt;"""",active,COUNTIF(Setup!$S$6:$S$25,resolved)&gt;0,placeAud,IFERROR(FILTER(IFERROR(LEFT('Strand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"",TRUE,IF(AND($A"&amp;"N10,raw=""""),""⚠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10" s="8" t="str">
        <f t="shared" si="9"/>
        <v/>
      </c>
      <c r="AU10" s="8"/>
      <c r="AV10" s="451" t="str">
        <f t="shared" si="10"/>
        <v>Family Choice / Science / Nature — Nature Walk</v>
      </c>
      <c r="AW10" s="451" t="str">
        <f t="shared" si="11"/>
        <v/>
      </c>
      <c r="AX10" s="8" t="str">
        <f>IFERROR(__xludf.DUMMYFUNCTION("IF($AV10="""","""",IFERROR(TEXTJOIN(CHAR(10),TRUE,FILTER(""row ""&amp;ROW('Strand Placement'!$B$21:$B$89)&amp;"" • ""&amp;IFERROR(LEFT('Strand Placement'!$L$21:$L$89,FIND("" | "",'Strand Placement'!$L$21:$L$89)-1),""""),'Strand Placement'!$B$21:$B$89=$AV10)),""""))"),"")</f>
        <v/>
      </c>
      <c r="AY10" s="8" t="str">
        <f>IFERROR(__xludf.DUMMYFUNCTION("IF($AV10="""","""",IFERROR(TEXTJOIN(CHAR(10),TRUE,FILTER(""row ""&amp;ROW('Student Work'!$C$24:$C$223)&amp;"" • ""&amp;'Student Work'!$A$24:$A$223,'Student Work'!$C$24:$C$223=$AV10)),""""))"),"")</f>
        <v/>
      </c>
      <c r="AZ10" s="8" t="str">
        <f>IFERROR(__xludf.DUMMYFUNCTION("IF($AV10="""","""",IFERROR(TEXTJOIN(CHAR(10),TRUE,FILTER(""row ""&amp;ROW('Resource Planner'!$D$10:$D$69)&amp;"" • ""&amp;'Resource Planner'!$C$10:$C$69,'Resource Planner'!$D$10:$D$69=$AV10)),""""))"),"")</f>
        <v/>
      </c>
      <c r="BA10" s="8" t="str">
        <f t="shared" si="12"/>
        <v>OK</v>
      </c>
    </row>
    <row r="11">
      <c r="A11" s="8">
        <v>7.0</v>
      </c>
      <c r="B11" s="451" t="str">
        <f>'Family Map'!B52</f>
        <v>All Together</v>
      </c>
      <c r="C11" s="451" t="str">
        <f>'Family Map'!C52</f>
        <v>Science / Nature</v>
      </c>
      <c r="D11" s="451" t="str">
        <f>'Family Map'!D52</f>
        <v>Special Studies</v>
      </c>
      <c r="E11" s="451" t="str">
        <f>'Family Map'!G52</f>
        <v>All Together / Science / Nature — Special Studies</v>
      </c>
      <c r="F11" s="451" t="str">
        <f t="shared" si="1"/>
        <v>All Together / Science / Nature — Special Studies</v>
      </c>
      <c r="G11" s="8">
        <f>IF(E11="",0,COUNTIF('Strand Placement'!$B:$B,E11))</f>
        <v>2</v>
      </c>
      <c r="H11" s="8" t="str">
        <f t="shared" si="2"/>
        <v>Placed</v>
      </c>
      <c r="I11" s="8" t="s">
        <v>609</v>
      </c>
      <c r="J11" s="8" t="str">
        <f t="array" ref="J11">IFERROR(XLOOKUP(B11,Setup!$B$38:$B$44,Setup!$A$38:$A$44),"☑")</f>
        <v>☑</v>
      </c>
      <c r="K11" s="8"/>
      <c r="L11" s="449" t="s">
        <v>242</v>
      </c>
      <c r="M11" s="8" t="str">
        <f>IFERROR(__xludf.DUMMYFUNCTION("""COMPUTED_VALUE"""),"All the Girls")</f>
        <v>All the Girls</v>
      </c>
      <c r="N11" s="8"/>
      <c r="O11" s="451" t="str">
        <f>IFERROR(__xludf.DUMMYFUNCTION("""COMPUTED_VALUE"""),"All the Girls")</f>
        <v>All the Girls</v>
      </c>
      <c r="P11" s="451" t="str">
        <f>IFERROR(__xludf.DUMMYFUNCTION("""COMPUTED_VALUE"""),"All the Girls")</f>
        <v>All the Girls</v>
      </c>
      <c r="Q11" s="8" t="str">
        <f>IFERROR(__xludf.DUMMYFUNCTION("""COMPUTED_VALUE"""),"All")</f>
        <v>All</v>
      </c>
      <c r="R11" s="8" t="str">
        <f>IFERROR(__xludf.DUMMYFUNCTION("""COMPUTED_VALUE"""),"All")</f>
        <v>All</v>
      </c>
      <c r="S11" s="8" t="s">
        <v>223</v>
      </c>
      <c r="T11" s="8" t="s">
        <v>223</v>
      </c>
      <c r="U11" s="8" t="s">
        <v>380</v>
      </c>
      <c r="V11" s="8"/>
      <c r="W11" s="8" t="str">
        <f>IFERROR(__xludf.DUMMYFUNCTION("""COMPUTED_VALUE"""),"All the Girls")</f>
        <v>All the Girls</v>
      </c>
      <c r="X11" s="8" t="str">
        <f>IFERROR(__xludf.DUMMYFUNCTION("""COMPUTED_VALUE"""),"All the Girls")</f>
        <v>All the Girls</v>
      </c>
      <c r="Y11" s="8" t="str">
        <f>IFERROR(__xludf.DUMMYFUNCTION("""COMPUTED_VALUE"""),"All")</f>
        <v>All</v>
      </c>
      <c r="Z11" s="8" t="str">
        <f>IFERROR(__xludf.DUMMYFUNCTION("""COMPUTED_VALUE"""),"All")</f>
        <v>All</v>
      </c>
      <c r="AA11" s="8" t="str">
        <f>IFERROR(__xludf.DUMMYFUNCTION("""COMPUTED_VALUE"""),"All")</f>
        <v>All</v>
      </c>
      <c r="AB11" s="8" t="str">
        <f>IFERROR(__xludf.DUMMYFUNCTION("""COMPUTED_VALUE"""),"All")</f>
        <v>All</v>
      </c>
      <c r="AC11" s="8" t="str">
        <f>IFERROR(__xludf.DUMMYFUNCTION("""COMPUTED_VALUE"""),"Not Done")</f>
        <v>Not Done</v>
      </c>
      <c r="AD11" s="8" t="str">
        <f>IF(Setup!$A12,Setup!$B12,"")</f>
        <v/>
      </c>
      <c r="AE11" s="8" t="str">
        <f t="shared" si="3"/>
        <v/>
      </c>
      <c r="AF11" s="8" t="str">
        <f>IF($AD11="","",Setup!G12)</f>
        <v/>
      </c>
      <c r="AG11" s="8" t="str">
        <f>IF($AD11="","",Setup!H12)</f>
        <v/>
      </c>
      <c r="AH11" s="8" t="str">
        <f>IF($AD11="","",Setup!I12)</f>
        <v/>
      </c>
      <c r="AI11" s="8" t="str">
        <f>IF($AD11="","",Setup!J12)</f>
        <v/>
      </c>
      <c r="AJ11" s="8" t="str">
        <f>IF($AD11="","",Setup!K12)</f>
        <v/>
      </c>
      <c r="AK11" s="8"/>
      <c r="AL11" s="8">
        <f t="shared" si="4"/>
        <v>7</v>
      </c>
      <c r="AM11" s="451" t="str">
        <f t="shared" si="5"/>
        <v>All Together / Science / Nature — Special Studies</v>
      </c>
      <c r="AN11" s="8" t="b">
        <f>AND(OR('Family Map'!A52=TRUE,'Family Map'!A52="☑",'Family Map'!A52="✓",'Family Map'!A52="✔"),$E11&lt;&gt;"",$J11="☑",$AK11="")</f>
        <v>1</v>
      </c>
      <c r="AO11" s="451" t="str">
        <f t="shared" si="6"/>
        <v>All Together / Science / Nature — Special Studies</v>
      </c>
      <c r="AP11" s="8">
        <f t="shared" si="7"/>
        <v>7</v>
      </c>
      <c r="AQ11" s="451" t="str">
        <f>'Family Map'!H52</f>
        <v/>
      </c>
      <c r="AR11" s="451" t="str">
        <f t="shared" si="8"/>
        <v/>
      </c>
      <c r="AS11" s="8" t="str">
        <f>IFERROR(__xludf.DUMMYFUNCTION("LET(slot,$A11,label,$AM11,raw,$AQ11,resolved,$AR11,isCovered,$AK11&lt;&gt;"""",active,COUNTIF(Setup!$S$6:$S$25,resolved)&gt;0,placeAud,IFERROR(FILTER(IFERROR(LEFT('Strand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"",TRUE,IF(AND($A"&amp;"N11,raw=""""),""⚠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11" s="8" t="str">
        <f t="shared" si="9"/>
        <v/>
      </c>
      <c r="AU11" s="8"/>
      <c r="AV11" s="451" t="str">
        <f t="shared" si="10"/>
        <v>All Together / Science / Nature — Special Studies</v>
      </c>
      <c r="AW11" s="451" t="str">
        <f t="shared" si="11"/>
        <v/>
      </c>
      <c r="AX11" s="8" t="str">
        <f>IFERROR(__xludf.DUMMYFUNCTION("IF($AV11="""","""",IFERROR(TEXTJOIN(CHAR(10),TRUE,FILTER(""row ""&amp;ROW('Strand Placement'!$B$21:$B$89)&amp;"" • ""&amp;IFERROR(LEFT('Strand Placement'!$L$21:$L$89,FIND("" | "",'Strand Placement'!$L$21:$L$89)-1),""""),'Strand Placement'!$B$21:$B$89=$AV11)),""""))"),"row 31 • All the Girls
row 39 • All the Girls")</f>
        <v>row 31 • All the Girls
row 39 • All the Girls</v>
      </c>
      <c r="AY11" s="8" t="str">
        <f>IFERROR(__xludf.DUMMYFUNCTION("IF($AV11="""","""",IFERROR(TEXTJOIN(CHAR(10),TRUE,FILTER(""row ""&amp;ROW('Student Work'!$C$24:$C$223)&amp;"" • ""&amp;'Student Work'!$A$24:$A$223,'Student Work'!$C$24:$C$223=$AV11)),""""))"),"")</f>
        <v/>
      </c>
      <c r="AZ11" s="8" t="str">
        <f>IFERROR(__xludf.DUMMYFUNCTION("IF($AV11="""","""",IFERROR(TEXTJOIN(CHAR(10),TRUE,FILTER(""row ""&amp;ROW('Resource Planner'!$D$10:$D$69)&amp;"" • ""&amp;'Resource Planner'!$C$10:$C$69,'Resource Planner'!$D$10:$D$69=$AV11)),""""))"),"")</f>
        <v/>
      </c>
      <c r="BA11" s="8" t="str">
        <f t="shared" si="12"/>
        <v>⚠ active standalone/keeper has no Who / Group</v>
      </c>
    </row>
    <row r="12">
      <c r="A12" s="8">
        <v>8.0</v>
      </c>
      <c r="B12" s="451" t="str">
        <f>'Family Map'!B53</f>
        <v>All Together</v>
      </c>
      <c r="C12" s="451" t="str">
        <f>'Family Map'!C53</f>
        <v>Math</v>
      </c>
      <c r="D12" s="451" t="str">
        <f>'Family Map'!D53</f>
        <v>Family Math</v>
      </c>
      <c r="E12" s="451" t="str">
        <f>'Family Map'!G53</f>
        <v>All Together / Math — Family Math</v>
      </c>
      <c r="F12" s="451" t="str">
        <f t="shared" si="1"/>
        <v>All Together / Math — Family Math</v>
      </c>
      <c r="G12" s="8">
        <f>IF(E12="",0,COUNTIF('Strand Placement'!$B:$B,E12))</f>
        <v>1</v>
      </c>
      <c r="H12" s="8" t="str">
        <f t="shared" si="2"/>
        <v>Placed</v>
      </c>
      <c r="I12" s="8" t="s">
        <v>612</v>
      </c>
      <c r="J12" s="8" t="str">
        <f t="array" ref="J12">IFERROR(XLOOKUP(B12,Setup!$B$38:$B$44,Setup!$A$38:$A$44),"☑")</f>
        <v>☑</v>
      </c>
      <c r="K12" s="8"/>
      <c r="L12" s="449" t="s">
        <v>256</v>
      </c>
      <c r="M12" s="8" t="str">
        <f>IFERROR(__xludf.DUMMYFUNCTION("""COMPUTED_VALUE"""),"Older Students")</f>
        <v>Older Students</v>
      </c>
      <c r="N12" s="8"/>
      <c r="O12" s="451" t="str">
        <f>IFERROR(__xludf.DUMMYFUNCTION("""COMPUTED_VALUE"""),"Older Students")</f>
        <v>Older Students</v>
      </c>
      <c r="P12" s="451" t="str">
        <f>IFERROR(__xludf.DUMMYFUNCTION("""COMPUTED_VALUE"""),"Older Students")</f>
        <v>Older Students</v>
      </c>
      <c r="Q12" s="8" t="str">
        <f>IFERROR(__xludf.DUMMYFUNCTION("""COMPUTED_VALUE"""),"All")</f>
        <v>All</v>
      </c>
      <c r="R12" s="8" t="str">
        <f>IFERROR(__xludf.DUMMYFUNCTION("""COMPUTED_VALUE"""),"All")</f>
        <v>All</v>
      </c>
      <c r="S12" s="8" t="s">
        <v>223</v>
      </c>
      <c r="T12" s="8" t="s">
        <v>223</v>
      </c>
      <c r="U12" s="8" t="s">
        <v>380</v>
      </c>
      <c r="V12" s="8"/>
      <c r="W12" s="8" t="str">
        <f>IFERROR(__xludf.DUMMYFUNCTION("""COMPUTED_VALUE"""),"Older Students")</f>
        <v>Older Students</v>
      </c>
      <c r="X12" s="8" t="str">
        <f>IFERROR(__xludf.DUMMYFUNCTION("""COMPUTED_VALUE"""),"Older Students")</f>
        <v>Older Students</v>
      </c>
      <c r="Y12" s="8" t="str">
        <f>IFERROR(__xludf.DUMMYFUNCTION("""COMPUTED_VALUE"""),"All")</f>
        <v>All</v>
      </c>
      <c r="Z12" s="8" t="str">
        <f>IFERROR(__xludf.DUMMYFUNCTION("""COMPUTED_VALUE"""),"All")</f>
        <v>All</v>
      </c>
      <c r="AA12" s="8" t="str">
        <f>IFERROR(__xludf.DUMMYFUNCTION("""COMPUTED_VALUE"""),"All")</f>
        <v>All</v>
      </c>
      <c r="AB12" s="8" t="str">
        <f>IFERROR(__xludf.DUMMYFUNCTION("""COMPUTED_VALUE"""),"All")</f>
        <v>All</v>
      </c>
      <c r="AC12" s="8" t="str">
        <f>IFERROR(__xludf.DUMMYFUNCTION("""COMPUTED_VALUE"""),"Not Done")</f>
        <v>Not Done</v>
      </c>
      <c r="AD12" s="8" t="str">
        <f>IF(Setup!$A13,Setup!$B13,"")</f>
        <v/>
      </c>
      <c r="AE12" s="8" t="str">
        <f t="shared" si="3"/>
        <v/>
      </c>
      <c r="AF12" s="8" t="str">
        <f>IF($AD12="","",Setup!G13)</f>
        <v/>
      </c>
      <c r="AG12" s="8" t="str">
        <f>IF($AD12="","",Setup!H13)</f>
        <v/>
      </c>
      <c r="AH12" s="8" t="str">
        <f>IF($AD12="","",Setup!I13)</f>
        <v/>
      </c>
      <c r="AI12" s="8" t="str">
        <f>IF($AD12="","",Setup!J13)</f>
        <v/>
      </c>
      <c r="AJ12" s="8" t="str">
        <f>IF($AD12="","",Setup!K13)</f>
        <v/>
      </c>
      <c r="AK12" s="8"/>
      <c r="AL12" s="8">
        <f t="shared" si="4"/>
        <v>8</v>
      </c>
      <c r="AM12" s="451" t="str">
        <f t="shared" si="5"/>
        <v>All Together / Math — Family Math</v>
      </c>
      <c r="AN12" s="8" t="b">
        <f>AND(OR('Family Map'!A53=TRUE,'Family Map'!A53="☑",'Family Map'!A53="✓",'Family Map'!A53="✔"),$E12&lt;&gt;"",$J12="☑",$AK12="")</f>
        <v>1</v>
      </c>
      <c r="AO12" s="451" t="str">
        <f t="shared" si="6"/>
        <v>All Together / Math — Family Math</v>
      </c>
      <c r="AP12" s="8">
        <f t="shared" si="7"/>
        <v>8</v>
      </c>
      <c r="AQ12" s="451" t="str">
        <f>'Family Map'!H53</f>
        <v/>
      </c>
      <c r="AR12" s="451" t="str">
        <f t="shared" si="8"/>
        <v/>
      </c>
      <c r="AS12" s="8" t="str">
        <f>IFERROR(__xludf.DUMMYFUNCTION("LET(slot,$A12,label,$AM12,raw,$AQ12,resolved,$AR12,isCovered,$AK12&lt;&gt;"""",active,COUNTIF(Setup!$S$6:$S$25,resolved)&gt;0,placeAud,IFERROR(FILTER(IFERROR(LEFT('Strand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"",TRUE,IF(AND($A"&amp;"N12,raw=""""),""⚠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12" s="8" t="str">
        <f t="shared" si="9"/>
        <v/>
      </c>
      <c r="AU12" s="8"/>
      <c r="AV12" s="451" t="str">
        <f t="shared" si="10"/>
        <v>All Together / Math — Family Math</v>
      </c>
      <c r="AW12" s="451" t="str">
        <f t="shared" si="11"/>
        <v/>
      </c>
      <c r="AX12" s="8" t="str">
        <f>IFERROR(__xludf.DUMMYFUNCTION("IF($AV12="""","""",IFERROR(TEXTJOIN(CHAR(10),TRUE,FILTER(""row ""&amp;ROW('Strand Placement'!$B$21:$B$89)&amp;"" • ""&amp;IFERROR(LEFT('Strand Placement'!$L$21:$L$89,FIND("" | "",'Strand Placement'!$L$21:$L$89)-1),""""),'Strand Placement'!$B$21:$B$89=$AV12)),""""))"),"row 40 • All the Girls")</f>
        <v>row 40 • All the Girls</v>
      </c>
      <c r="AY12" s="8" t="str">
        <f>IFERROR(__xludf.DUMMYFUNCTION("IF($AV12="""","""",IFERROR(TEXTJOIN(CHAR(10),TRUE,FILTER(""row ""&amp;ROW('Student Work'!$C$24:$C$223)&amp;"" • ""&amp;'Student Work'!$A$24:$A$223,'Student Work'!$C$24:$C$223=$AV12)),""""))"),"")</f>
        <v/>
      </c>
      <c r="AZ12" s="8" t="str">
        <f>IFERROR(__xludf.DUMMYFUNCTION("IF($AV12="""","""",IFERROR(TEXTJOIN(CHAR(10),TRUE,FILTER(""row ""&amp;ROW('Resource Planner'!$D$10:$D$69)&amp;"" • ""&amp;'Resource Planner'!$C$10:$C$69,'Resource Planner'!$D$10:$D$69=$AV12)),""""))"),"")</f>
        <v/>
      </c>
      <c r="BA12" s="8" t="str">
        <f t="shared" si="12"/>
        <v>⚠ active standalone/keeper has no Who / Group</v>
      </c>
    </row>
    <row r="13">
      <c r="A13" s="8">
        <v>9.0</v>
      </c>
      <c r="B13" s="451" t="str">
        <f>'Family Map'!B54</f>
        <v>All Together</v>
      </c>
      <c r="C13" s="451" t="str">
        <f>'Family Map'!C54</f>
        <v>Beauty + Hands</v>
      </c>
      <c r="D13" s="451" t="str">
        <f>'Family Map'!D54</f>
        <v>Hymn</v>
      </c>
      <c r="E13" s="451" t="str">
        <f>'Family Map'!G54</f>
        <v>All Together / Beauty + Hands — Hymn</v>
      </c>
      <c r="F13" s="451" t="str">
        <f t="shared" si="1"/>
        <v>All Together / Beauty + Hands — Hymn</v>
      </c>
      <c r="G13" s="8">
        <f>IF(E13="",0,COUNTIF('Strand Placement'!$B:$B,E13))</f>
        <v>1</v>
      </c>
      <c r="H13" s="8" t="str">
        <f t="shared" si="2"/>
        <v>Placed</v>
      </c>
      <c r="I13" s="8" t="s">
        <v>615</v>
      </c>
      <c r="J13" s="8" t="str">
        <f t="array" ref="J13">IFERROR(XLOOKUP(B13,Setup!$B$38:$B$44,Setup!$A$38:$A$44),"☑")</f>
        <v>☑</v>
      </c>
      <c r="K13" s="8"/>
      <c r="L13" s="452" t="s">
        <v>96</v>
      </c>
      <c r="M13" s="8" t="str">
        <f>IFERROR(__xludf.DUMMYFUNCTION("""COMPUTED_VALUE"""),"Faith")</f>
        <v>Faith</v>
      </c>
      <c r="N13" s="8"/>
      <c r="O13" s="451" t="str">
        <f>IFERROR(__xludf.DUMMYFUNCTION("""COMPUTED_VALUE"""),"Faith")</f>
        <v>Faith</v>
      </c>
      <c r="P13" s="8" t="str">
        <f>IFERROR(__xludf.DUMMYFUNCTION("""COMPUTED_VALUE"""),"All")</f>
        <v>All</v>
      </c>
      <c r="Q13" s="451" t="str">
        <f>IFERROR(__xludf.DUMMYFUNCTION("""COMPUTED_VALUE"""),"Faith")</f>
        <v>Faith</v>
      </c>
      <c r="R13" s="8" t="str">
        <f>IFERROR(__xludf.DUMMYFUNCTION("""COMPUTED_VALUE"""),"All")</f>
        <v>All</v>
      </c>
      <c r="S13" s="8" t="s">
        <v>223</v>
      </c>
      <c r="T13" s="8" t="s">
        <v>223</v>
      </c>
      <c r="U13" s="8" t="s">
        <v>380</v>
      </c>
      <c r="V13" s="8"/>
      <c r="W13" s="8" t="str">
        <f>IFERROR(__xludf.DUMMYFUNCTION("""COMPUTED_VALUE"""),"Faith")</f>
        <v>Faith</v>
      </c>
      <c r="X13" s="8" t="str">
        <f>IFERROR(__xludf.DUMMYFUNCTION("""COMPUTED_VALUE"""),"All")</f>
        <v>All</v>
      </c>
      <c r="Y13" s="8" t="str">
        <f>IFERROR(__xludf.DUMMYFUNCTION("""COMPUTED_VALUE"""),"Faith")</f>
        <v>Faith</v>
      </c>
      <c r="Z13" s="8" t="str">
        <f>IFERROR(__xludf.DUMMYFUNCTION("""COMPUTED_VALUE"""),"All")</f>
        <v>All</v>
      </c>
      <c r="AA13" s="8" t="str">
        <f>IFERROR(__xludf.DUMMYFUNCTION("""COMPUTED_VALUE"""),"All")</f>
        <v>All</v>
      </c>
      <c r="AB13" s="8" t="str">
        <f>IFERROR(__xludf.DUMMYFUNCTION("""COMPUTED_VALUE"""),"All")</f>
        <v>All</v>
      </c>
      <c r="AC13" s="8" t="str">
        <f>IFERROR(__xludf.DUMMYFUNCTION("""COMPUTED_VALUE"""),"Not Done")</f>
        <v>Not Done</v>
      </c>
      <c r="AD13" s="451" t="str">
        <f>IF(Setup!$A17,Setup!$B17,"")</f>
        <v>Everyone</v>
      </c>
      <c r="AE13" s="8" t="str">
        <f t="array" ref="AE13">IF($AD13="","",IF(SUMPRODUCT(--(Setup!$A$6:$A$13=TRUE),--TRANSPOSE(Setup!$C17:$J17=TRUE))=0,"Group ⚠ no active members","Group"))</f>
        <v>Group</v>
      </c>
      <c r="AF13" s="8" t="b">
        <f t="array" ref="AF13">IF($AD13="","",IF(SUMPRODUCT(--(Setup!$A$6:$A$13=TRUE),--TRANSPOSE(Setup!$C17:$J17=TRUE))=0,FALSE,SUMPRODUCT(--(Setup!$A$6:$A$13=TRUE),--TRANSPOSE(Setup!$C17:$J17=TRUE),--(Setup!$G$6:$G$13=FALSE))=0))</f>
        <v>1</v>
      </c>
      <c r="AG13" s="8" t="b">
        <f t="array" ref="AG13">IF($AD13="","",IF(SUMPRODUCT(--(Setup!$A$6:$A$13=TRUE),--TRANSPOSE(Setup!$C17:$J17=TRUE))=0,FALSE,SUMPRODUCT(--(Setup!$A$6:$A$13=TRUE),--TRANSPOSE(Setup!$C17:$J17=TRUE),--(Setup!$H$6:$H$13=FALSE))=0))</f>
        <v>0</v>
      </c>
      <c r="AH13" s="8" t="b">
        <f t="array" ref="AH13">IF($AD13="","",IF(SUMPRODUCT(--(Setup!$A$6:$A$13=TRUE),--TRANSPOSE(Setup!$C17:$J17=TRUE))=0,FALSE,SUMPRODUCT(--(Setup!$A$6:$A$13=TRUE),--TRANSPOSE(Setup!$C17:$J17=TRUE),--(Setup!$I$6:$I$13=FALSE))=0))</f>
        <v>1</v>
      </c>
      <c r="AI13" s="8" t="b">
        <f t="array" ref="AI13">IF($AD13="","",IF(SUMPRODUCT(--(Setup!$A$6:$A$13=TRUE),--TRANSPOSE(Setup!$C17:$J17=TRUE))=0,FALSE,SUMPRODUCT(--(Setup!$A$6:$A$13=TRUE),--TRANSPOSE(Setup!$C17:$J17=TRUE),--(Setup!$J$6:$J$13=FALSE))=0))</f>
        <v>0</v>
      </c>
      <c r="AJ13" s="8" t="b">
        <f t="array" ref="AJ13">IF($AD13="","",IF(SUMPRODUCT(--(Setup!$A$6:$A$13=TRUE),--TRANSPOSE(Setup!$C17:$J17=TRUE))=0,FALSE,SUMPRODUCT(--(Setup!$A$6:$A$13=TRUE),--TRANSPOSE(Setup!$C17:$J17=TRUE),--(Setup!$K$6:$K$13=FALSE))=0))</f>
        <v>1</v>
      </c>
      <c r="AK13" s="8"/>
      <c r="AL13" s="8">
        <f t="shared" si="4"/>
        <v>9</v>
      </c>
      <c r="AM13" s="451" t="str">
        <f t="shared" si="5"/>
        <v>All Together / Beauty + Hands — Hymn</v>
      </c>
      <c r="AN13" s="8" t="b">
        <f>AND(OR('Family Map'!A54=TRUE,'Family Map'!A54="☑",'Family Map'!A54="✓",'Family Map'!A54="✔"),$E13&lt;&gt;"",$J13="☑",$AK13="")</f>
        <v>1</v>
      </c>
      <c r="AO13" s="451" t="str">
        <f t="shared" si="6"/>
        <v>All Together / Beauty + Hands — Hymn</v>
      </c>
      <c r="AP13" s="8">
        <f t="shared" si="7"/>
        <v>9</v>
      </c>
      <c r="AQ13" s="451" t="str">
        <f>'Family Map'!H54</f>
        <v/>
      </c>
      <c r="AR13" s="451" t="str">
        <f t="shared" si="8"/>
        <v/>
      </c>
      <c r="AS13" s="8" t="str">
        <f>IFERROR(__xludf.DUMMYFUNCTION("LET(slot,$A13,label,$AM13,raw,$AQ13,resolved,$AR13,isCovered,$AK13&lt;&gt;"""",active,COUNTIF(Setup!$S$6:$S$25,resolved)&gt;0,placeAud,IFERROR(FILTER(IFERROR(LEFT('Strand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"",TRUE,IF(AND($A"&amp;"N13,raw=""""),""⚠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13" s="8" t="str">
        <f t="shared" si="9"/>
        <v/>
      </c>
      <c r="AU13" s="8"/>
      <c r="AV13" s="451" t="str">
        <f t="shared" si="10"/>
        <v>All Together / Beauty + Hands — Hymn</v>
      </c>
      <c r="AW13" s="451" t="str">
        <f t="shared" si="11"/>
        <v/>
      </c>
      <c r="AX13" s="8" t="str">
        <f>IFERROR(__xludf.DUMMYFUNCTION("IF($AV13="""","""",IFERROR(TEXTJOIN(CHAR(10),TRUE,FILTER(""row ""&amp;ROW('Strand Placement'!$B$21:$B$89)&amp;"" • ""&amp;IFERROR(LEFT('Strand Placement'!$L$21:$L$89,FIND("" | "",'Strand Placement'!$L$21:$L$89)-1),""""),'Strand Placement'!$B$21:$B$89=$AV13)),""""))"),"row 49 • Everyone")</f>
        <v>row 49 • Everyone</v>
      </c>
      <c r="AY13" s="8" t="str">
        <f>IFERROR(__xludf.DUMMYFUNCTION("IF($AV13="""","""",IFERROR(TEXTJOIN(CHAR(10),TRUE,FILTER(""row ""&amp;ROW('Student Work'!$C$24:$C$223)&amp;"" • ""&amp;'Student Work'!$A$24:$A$223,'Student Work'!$C$24:$C$223=$AV13)),""""))"),"")</f>
        <v/>
      </c>
      <c r="AZ13" s="8" t="str">
        <f>IFERROR(__xludf.DUMMYFUNCTION("IF($AV13="""","""",IFERROR(TEXTJOIN(CHAR(10),TRUE,FILTER(""row ""&amp;ROW('Resource Planner'!$D$10:$D$69)&amp;"" • ""&amp;'Resource Planner'!$C$10:$C$69,'Resource Planner'!$D$10:$D$69=$AV13)),""""))"),"row 18 • Everyone
row 19 • Everyone")</f>
        <v>row 18 • Everyone
row 19 • Everyone</v>
      </c>
      <c r="BA13" s="8" t="str">
        <f t="shared" si="12"/>
        <v>⚠ active standalone/keeper has no Who / Group</v>
      </c>
    </row>
    <row r="14">
      <c r="A14" s="8">
        <v>10.0</v>
      </c>
      <c r="B14" s="451" t="str">
        <f>'Family Map'!B55</f>
        <v>All Together</v>
      </c>
      <c r="C14" s="451" t="str">
        <f>'Family Map'!C55</f>
        <v>Beauty + Hands</v>
      </c>
      <c r="D14" s="451" t="str">
        <f>'Family Map'!D55</f>
        <v>Folk Song</v>
      </c>
      <c r="E14" s="451" t="str">
        <f>'Family Map'!G55</f>
        <v>All Together / Beauty + Hands — Folk Song</v>
      </c>
      <c r="F14" s="451" t="str">
        <f t="shared" si="1"/>
        <v>All Together / Beauty + Hands — Folk Song</v>
      </c>
      <c r="G14" s="8">
        <f>IF(E14="",0,COUNTIF('Strand Placement'!$B:$B,E14))</f>
        <v>0</v>
      </c>
      <c r="H14" s="8" t="str">
        <f t="shared" si="2"/>
        <v>Unplaced</v>
      </c>
      <c r="I14" s="8" t="s">
        <v>618</v>
      </c>
      <c r="J14" s="8" t="str">
        <f t="array" ref="J14">IFERROR(XLOOKUP(B14,Setup!$B$38:$B$44,Setup!$A$38:$A$44),"☑")</f>
        <v>☑</v>
      </c>
      <c r="K14" s="8"/>
      <c r="L14" s="8"/>
      <c r="M14" s="8" t="str">
        <f>IFERROR(__xludf.DUMMYFUNCTION("""COMPUTED_VALUE"""),"Reading Loop")</f>
        <v>Reading Loop</v>
      </c>
      <c r="N14" s="8"/>
      <c r="O14" s="451" t="str">
        <f>IFERROR(__xludf.DUMMYFUNCTION("""COMPUTED_VALUE"""),"Reading Loop")</f>
        <v>Reading Loop</v>
      </c>
      <c r="P14" s="8" t="str">
        <f>IFERROR(__xludf.DUMMYFUNCTION("""COMPUTED_VALUE"""),"All")</f>
        <v>All</v>
      </c>
      <c r="Q14" s="451" t="str">
        <f>IFERROR(__xludf.DUMMYFUNCTION("""COMPUTED_VALUE"""),"Reading Loop")</f>
        <v>Reading Loop</v>
      </c>
      <c r="R14" s="8" t="str">
        <f>IFERROR(__xludf.DUMMYFUNCTION("""COMPUTED_VALUE"""),"All")</f>
        <v>All</v>
      </c>
      <c r="S14" s="8" t="s">
        <v>223</v>
      </c>
      <c r="T14" s="8" t="s">
        <v>223</v>
      </c>
      <c r="U14" s="8" t="s">
        <v>380</v>
      </c>
      <c r="V14" s="8"/>
      <c r="W14" s="8" t="str">
        <f>IFERROR(__xludf.DUMMYFUNCTION("""COMPUTED_VALUE"""),"Reading Loop")</f>
        <v>Reading Loop</v>
      </c>
      <c r="X14" s="8" t="str">
        <f>IFERROR(__xludf.DUMMYFUNCTION("""COMPUTED_VALUE"""),"All")</f>
        <v>All</v>
      </c>
      <c r="Y14" s="8" t="str">
        <f>IFERROR(__xludf.DUMMYFUNCTION("""COMPUTED_VALUE"""),"Reading Loop")</f>
        <v>Reading Loop</v>
      </c>
      <c r="Z14" s="8" t="str">
        <f>IFERROR(__xludf.DUMMYFUNCTION("""COMPUTED_VALUE"""),"All")</f>
        <v>All</v>
      </c>
      <c r="AA14" s="8" t="str">
        <f>IFERROR(__xludf.DUMMYFUNCTION("""COMPUTED_VALUE"""),"All")</f>
        <v>All</v>
      </c>
      <c r="AB14" s="8" t="str">
        <f>IFERROR(__xludf.DUMMYFUNCTION("""COMPUTED_VALUE"""),"All")</f>
        <v>All</v>
      </c>
      <c r="AC14" s="8" t="str">
        <f>IFERROR(__xludf.DUMMYFUNCTION("""COMPUTED_VALUE"""),"Not Done")</f>
        <v>Not Done</v>
      </c>
      <c r="AD14" s="451" t="str">
        <f>IF(Setup!$A18,Setup!$B18,"")</f>
        <v>Little Girls</v>
      </c>
      <c r="AE14" s="8" t="str">
        <f t="array" ref="AE14">IF($AD14="","",IF(SUMPRODUCT(--(Setup!$A$6:$A$13=TRUE),--TRANSPOSE(Setup!$C18:$J18=TRUE))=0,"Group ⚠ no active members","Group"))</f>
        <v>Group</v>
      </c>
      <c r="AF14" s="8" t="b">
        <f t="array" ref="AF14">IF($AD14="","",IF(SUMPRODUCT(--(Setup!$A$6:$A$13=TRUE),--TRANSPOSE(Setup!$C18:$J18=TRUE))=0,FALSE,SUMPRODUCT(--(Setup!$A$6:$A$13=TRUE),--TRANSPOSE(Setup!$C18:$J18=TRUE),--(Setup!$G$6:$G$13=FALSE))=0))</f>
        <v>1</v>
      </c>
      <c r="AG14" s="8" t="b">
        <f t="array" ref="AG14">IF($AD14="","",IF(SUMPRODUCT(--(Setup!$A$6:$A$13=TRUE),--TRANSPOSE(Setup!$C18:$J18=TRUE))=0,FALSE,SUMPRODUCT(--(Setup!$A$6:$A$13=TRUE),--TRANSPOSE(Setup!$C18:$J18=TRUE),--(Setup!$H$6:$H$13=FALSE))=0))</f>
        <v>1</v>
      </c>
      <c r="AH14" s="8" t="b">
        <f t="array" ref="AH14">IF($AD14="","",IF(SUMPRODUCT(--(Setup!$A$6:$A$13=TRUE),--TRANSPOSE(Setup!$C18:$J18=TRUE))=0,FALSE,SUMPRODUCT(--(Setup!$A$6:$A$13=TRUE),--TRANSPOSE(Setup!$C18:$J18=TRUE),--(Setup!$I$6:$I$13=FALSE))=0))</f>
        <v>1</v>
      </c>
      <c r="AI14" s="8" t="b">
        <f t="array" ref="AI14">IF($AD14="","",IF(SUMPRODUCT(--(Setup!$A$6:$A$13=TRUE),--TRANSPOSE(Setup!$C18:$J18=TRUE))=0,FALSE,SUMPRODUCT(--(Setup!$A$6:$A$13=TRUE),--TRANSPOSE(Setup!$C18:$J18=TRUE),--(Setup!$J$6:$J$13=FALSE))=0))</f>
        <v>0</v>
      </c>
      <c r="AJ14" s="8" t="b">
        <f t="array" ref="AJ14">IF($AD14="","",IF(SUMPRODUCT(--(Setup!$A$6:$A$13=TRUE),--TRANSPOSE(Setup!$C18:$J18=TRUE))=0,FALSE,SUMPRODUCT(--(Setup!$A$6:$A$13=TRUE),--TRANSPOSE(Setup!$C18:$J18=TRUE),--(Setup!$K$6:$K$13=FALSE))=0))</f>
        <v>1</v>
      </c>
      <c r="AK14" s="8"/>
      <c r="AL14" s="8">
        <f t="shared" si="4"/>
        <v>10</v>
      </c>
      <c r="AM14" s="451" t="str">
        <f t="shared" si="5"/>
        <v>All Together / Beauty + Hands — Folk Song</v>
      </c>
      <c r="AN14" s="8" t="b">
        <f>AND(OR('Family Map'!A55=TRUE,'Family Map'!A55="☑",'Family Map'!A55="✓",'Family Map'!A55="✔"),$E14&lt;&gt;"",$J14="☑",$AK14="")</f>
        <v>1</v>
      </c>
      <c r="AO14" s="451" t="str">
        <f t="shared" si="6"/>
        <v>All Together / Beauty + Hands — Folk Song</v>
      </c>
      <c r="AP14" s="8">
        <f t="shared" si="7"/>
        <v>10</v>
      </c>
      <c r="AQ14" s="451" t="str">
        <f>'Family Map'!H55</f>
        <v/>
      </c>
      <c r="AR14" s="451" t="str">
        <f t="shared" si="8"/>
        <v/>
      </c>
      <c r="AS14" s="8" t="str">
        <f>IFERROR(__xludf.DUMMYFUNCTION("LET(slot,$A14,label,$AM14,raw,$AQ14,resolved,$AR14,isCovered,$AK14&lt;&gt;"""",active,COUNTIF(Setup!$S$6:$S$25,resolved)&gt;0,placeAud,IFERROR(FILTER(IFERROR(LEFT('Strand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"",TRUE,IF(AND($A"&amp;"N14,raw=""""),""⚠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14" s="8" t="str">
        <f t="shared" si="9"/>
        <v/>
      </c>
      <c r="AU14" s="8"/>
      <c r="AV14" s="451" t="str">
        <f t="shared" si="10"/>
        <v>All Together / Beauty + Hands — Folk Song</v>
      </c>
      <c r="AW14" s="451" t="str">
        <f t="shared" si="11"/>
        <v/>
      </c>
      <c r="AX14" s="8" t="str">
        <f>IFERROR(__xludf.DUMMYFUNCTION("IF($AV14="""","""",IFERROR(TEXTJOIN(CHAR(10),TRUE,FILTER(""row ""&amp;ROW('Strand Placement'!$B$21:$B$89)&amp;"" • ""&amp;IFERROR(LEFT('Strand Placement'!$L$21:$L$89,FIND("" | "",'Strand Placement'!$L$21:$L$89)-1),""""),'Strand Placement'!$B$21:$B$89=$AV14)),""""))"),"")</f>
        <v/>
      </c>
      <c r="AY14" s="8" t="str">
        <f>IFERROR(__xludf.DUMMYFUNCTION("IF($AV14="""","""",IFERROR(TEXTJOIN(CHAR(10),TRUE,FILTER(""row ""&amp;ROW('Student Work'!$C$24:$C$223)&amp;"" • ""&amp;'Student Work'!$A$24:$A$223,'Student Work'!$C$24:$C$223=$AV14)),""""))"),"")</f>
        <v/>
      </c>
      <c r="AZ14" s="8" t="str">
        <f>IFERROR(__xludf.DUMMYFUNCTION("IF($AV14="""","""",IFERROR(TEXTJOIN(CHAR(10),TRUE,FILTER(""row ""&amp;ROW('Resource Planner'!$D$10:$D$69)&amp;"" • ""&amp;'Resource Planner'!$C$10:$C$69,'Resource Planner'!$D$10:$D$69=$AV14)),""""))"),"")</f>
        <v/>
      </c>
      <c r="BA14" s="8" t="str">
        <f t="shared" si="12"/>
        <v>⚠ active standalone/keeper has no Who / Group</v>
      </c>
    </row>
    <row r="15">
      <c r="A15" s="8">
        <v>11.0</v>
      </c>
      <c r="B15" s="451" t="str">
        <f>'Family Map'!B56</f>
        <v>All Together</v>
      </c>
      <c r="C15" s="451" t="str">
        <f>'Family Map'!C56</f>
        <v>Beauty + Hands</v>
      </c>
      <c r="D15" s="451" t="str">
        <f>'Family Map'!D56</f>
        <v>Poetry</v>
      </c>
      <c r="E15" s="451" t="str">
        <f>'Family Map'!G56</f>
        <v>All Together / Beauty + Hands — Poetry</v>
      </c>
      <c r="F15" s="451" t="str">
        <f t="shared" si="1"/>
        <v>All Together / Beauty + Hands — Poetry</v>
      </c>
      <c r="G15" s="8">
        <f>IF(E15="",0,COUNTIF('Strand Placement'!$B:$B,E15))</f>
        <v>0</v>
      </c>
      <c r="H15" s="8" t="str">
        <f t="shared" si="2"/>
        <v>Unplaced</v>
      </c>
      <c r="I15" s="8" t="s">
        <v>620</v>
      </c>
      <c r="J15" s="8" t="str">
        <f t="array" ref="J15">IFERROR(XLOOKUP(B15,Setup!$B$38:$B$44,Setup!$A$38:$A$44),"☑")</f>
        <v>☑</v>
      </c>
      <c r="K15" s="8"/>
      <c r="L15" s="8"/>
      <c r="M15" s="8" t="str">
        <f>IFERROR(__xludf.DUMMYFUNCTION("""COMPUTED_VALUE"""),"Thinking Loop")</f>
        <v>Thinking Loop</v>
      </c>
      <c r="N15" s="8"/>
      <c r="O15" s="451" t="str">
        <f>IFERROR(__xludf.DUMMYFUNCTION("""COMPUTED_VALUE"""),"Thinking Loop")</f>
        <v>Thinking Loop</v>
      </c>
      <c r="P15" s="8" t="str">
        <f>IFERROR(__xludf.DUMMYFUNCTION("""COMPUTED_VALUE"""),"All")</f>
        <v>All</v>
      </c>
      <c r="Q15" s="451" t="str">
        <f>IFERROR(__xludf.DUMMYFUNCTION("""COMPUTED_VALUE"""),"Thinking Loop")</f>
        <v>Thinking Loop</v>
      </c>
      <c r="R15" s="8" t="str">
        <f>IFERROR(__xludf.DUMMYFUNCTION("""COMPUTED_VALUE"""),"All")</f>
        <v>All</v>
      </c>
      <c r="S15" s="8" t="s">
        <v>223</v>
      </c>
      <c r="T15" s="8" t="s">
        <v>223</v>
      </c>
      <c r="U15" s="8" t="s">
        <v>380</v>
      </c>
      <c r="V15" s="8"/>
      <c r="W15" s="8" t="str">
        <f>IFERROR(__xludf.DUMMYFUNCTION("""COMPUTED_VALUE"""),"Thinking Loop")</f>
        <v>Thinking Loop</v>
      </c>
      <c r="X15" s="8" t="str">
        <f>IFERROR(__xludf.DUMMYFUNCTION("""COMPUTED_VALUE"""),"All")</f>
        <v>All</v>
      </c>
      <c r="Y15" s="8" t="str">
        <f>IFERROR(__xludf.DUMMYFUNCTION("""COMPUTED_VALUE"""),"Thinking Loop")</f>
        <v>Thinking Loop</v>
      </c>
      <c r="Z15" s="8" t="str">
        <f>IFERROR(__xludf.DUMMYFUNCTION("""COMPUTED_VALUE"""),"All")</f>
        <v>All</v>
      </c>
      <c r="AA15" s="8" t="str">
        <f>IFERROR(__xludf.DUMMYFUNCTION("""COMPUTED_VALUE"""),"All")</f>
        <v>All</v>
      </c>
      <c r="AB15" s="8" t="str">
        <f>IFERROR(__xludf.DUMMYFUNCTION("""COMPUTED_VALUE"""),"All")</f>
        <v>All</v>
      </c>
      <c r="AC15" s="8" t="str">
        <f>IFERROR(__xludf.DUMMYFUNCTION("""COMPUTED_VALUE"""),"Not Done")</f>
        <v>Not Done</v>
      </c>
      <c r="AD15" s="451" t="str">
        <f>IF(Setup!$A19,Setup!$B19,"")</f>
        <v>All the Girls</v>
      </c>
      <c r="AE15" s="8" t="str">
        <f t="array" ref="AE15">IF($AD15="","",IF(SUMPRODUCT(--(Setup!$A$6:$A$13=TRUE),--TRANSPOSE(Setup!$C19:$J19=TRUE))=0,"Group ⚠ no active members","Group"))</f>
        <v>Group</v>
      </c>
      <c r="AF15" s="8" t="b">
        <f t="array" ref="AF15">IF($AD15="","",IF(SUMPRODUCT(--(Setup!$A$6:$A$13=TRUE),--TRANSPOSE(Setup!$C19:$J19=TRUE))=0,FALSE,SUMPRODUCT(--(Setup!$A$6:$A$13=TRUE),--TRANSPOSE(Setup!$C19:$J19=TRUE),--(Setup!$G$6:$G$13=FALSE))=0))</f>
        <v>1</v>
      </c>
      <c r="AG15" s="8" t="b">
        <f t="array" ref="AG15">IF($AD15="","",IF(SUMPRODUCT(--(Setup!$A$6:$A$13=TRUE),--TRANSPOSE(Setup!$C19:$J19=TRUE))=0,FALSE,SUMPRODUCT(--(Setup!$A$6:$A$13=TRUE),--TRANSPOSE(Setup!$C19:$J19=TRUE),--(Setup!$H$6:$H$13=FALSE))=0))</f>
        <v>1</v>
      </c>
      <c r="AH15" s="8" t="b">
        <f t="array" ref="AH15">IF($AD15="","",IF(SUMPRODUCT(--(Setup!$A$6:$A$13=TRUE),--TRANSPOSE(Setup!$C19:$J19=TRUE))=0,FALSE,SUMPRODUCT(--(Setup!$A$6:$A$13=TRUE),--TRANSPOSE(Setup!$C19:$J19=TRUE),--(Setup!$I$6:$I$13=FALSE))=0))</f>
        <v>1</v>
      </c>
      <c r="AI15" s="8" t="b">
        <f t="array" ref="AI15">IF($AD15="","",IF(SUMPRODUCT(--(Setup!$A$6:$A$13=TRUE),--TRANSPOSE(Setup!$C19:$J19=TRUE))=0,FALSE,SUMPRODUCT(--(Setup!$A$6:$A$13=TRUE),--TRANSPOSE(Setup!$C19:$J19=TRUE),--(Setup!$J$6:$J$13=FALSE))=0))</f>
        <v>0</v>
      </c>
      <c r="AJ15" s="8" t="b">
        <f t="array" ref="AJ15">IF($AD15="","",IF(SUMPRODUCT(--(Setup!$A$6:$A$13=TRUE),--TRANSPOSE(Setup!$C19:$J19=TRUE))=0,FALSE,SUMPRODUCT(--(Setup!$A$6:$A$13=TRUE),--TRANSPOSE(Setup!$C19:$J19=TRUE),--(Setup!$K$6:$K$13=FALSE))=0))</f>
        <v>1</v>
      </c>
      <c r="AK15" s="8"/>
      <c r="AL15" s="8">
        <f t="shared" si="4"/>
        <v>11</v>
      </c>
      <c r="AM15" s="451" t="str">
        <f t="shared" si="5"/>
        <v>All Together / Beauty + Hands — Poetry</v>
      </c>
      <c r="AN15" s="8" t="b">
        <f>AND(OR('Family Map'!A56=TRUE,'Family Map'!A56="☑",'Family Map'!A56="✓",'Family Map'!A56="✔"),$E15&lt;&gt;"",$J15="☑",$AK15="")</f>
        <v>1</v>
      </c>
      <c r="AO15" s="451" t="str">
        <f t="shared" si="6"/>
        <v>All Together / Beauty + Hands — Poetry</v>
      </c>
      <c r="AP15" s="8">
        <f t="shared" si="7"/>
        <v>11</v>
      </c>
      <c r="AQ15" s="451" t="str">
        <f>'Family Map'!H56</f>
        <v/>
      </c>
      <c r="AR15" s="451" t="str">
        <f t="shared" si="8"/>
        <v/>
      </c>
      <c r="AS15" s="8" t="str">
        <f>IFERROR(__xludf.DUMMYFUNCTION("LET(slot,$A15,label,$AM15,raw,$AQ15,resolved,$AR15,isCovered,$AK15&lt;&gt;"""",active,COUNTIF(Setup!$S$6:$S$25,resolved)&gt;0,placeAud,IFERROR(FILTER(IFERROR(LEFT('Strand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"",TRUE,IF(AND($A"&amp;"N15,raw=""""),""⚠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15" s="8" t="str">
        <f t="shared" si="9"/>
        <v/>
      </c>
      <c r="AU15" s="8"/>
      <c r="AV15" s="451" t="str">
        <f t="shared" si="10"/>
        <v>All Together / Beauty + Hands — Poetry</v>
      </c>
      <c r="AW15" s="451" t="str">
        <f t="shared" si="11"/>
        <v/>
      </c>
      <c r="AX15" s="8" t="str">
        <f>IFERROR(__xludf.DUMMYFUNCTION("IF($AV15="""","""",IFERROR(TEXTJOIN(CHAR(10),TRUE,FILTER(""row ""&amp;ROW('Strand Placement'!$B$21:$B$89)&amp;"" • ""&amp;IFERROR(LEFT('Strand Placement'!$L$21:$L$89,FIND("" | "",'Strand Placement'!$L$21:$L$89)-1),""""),'Strand Placement'!$B$21:$B$89=$AV15)),""""))"),"")</f>
        <v/>
      </c>
      <c r="AY15" s="8" t="str">
        <f>IFERROR(__xludf.DUMMYFUNCTION("IF($AV15="""","""",IFERROR(TEXTJOIN(CHAR(10),TRUE,FILTER(""row ""&amp;ROW('Student Work'!$C$24:$C$223)&amp;"" • ""&amp;'Student Work'!$A$24:$A$223,'Student Work'!$C$24:$C$223=$AV15)),""""))"),"")</f>
        <v/>
      </c>
      <c r="AZ15" s="8" t="str">
        <f>IFERROR(__xludf.DUMMYFUNCTION("IF($AV15="""","""",IFERROR(TEXTJOIN(CHAR(10),TRUE,FILTER(""row ""&amp;ROW('Resource Planner'!$D$10:$D$69)&amp;"" • ""&amp;'Resource Planner'!$C$10:$C$69,'Resource Planner'!$D$10:$D$69=$AV15)),""""))"),"")</f>
        <v/>
      </c>
      <c r="BA15" s="8" t="str">
        <f t="shared" si="12"/>
        <v>⚠ active standalone/keeper has no Who / Group</v>
      </c>
    </row>
    <row r="16">
      <c r="A16" s="8">
        <v>12.0</v>
      </c>
      <c r="B16" s="451" t="str">
        <f>'Family Map'!B57</f>
        <v>All Together</v>
      </c>
      <c r="C16" s="451" t="str">
        <f>'Family Map'!C57</f>
        <v>Beauty + Hands</v>
      </c>
      <c r="D16" s="451" t="str">
        <f>'Family Map'!D57</f>
        <v>Picture Study</v>
      </c>
      <c r="E16" s="451" t="str">
        <f>'Family Map'!G57</f>
        <v>All Together / Beauty + Hands — Picture Study</v>
      </c>
      <c r="F16" s="451" t="str">
        <f t="shared" si="1"/>
        <v>All Together / Beauty + Hands — Picture Study</v>
      </c>
      <c r="G16" s="8">
        <f>IF(E16="",0,COUNTIF('Strand Placement'!$B:$B,E16))</f>
        <v>0</v>
      </c>
      <c r="H16" s="8" t="str">
        <f t="shared" si="2"/>
        <v>Unplaced</v>
      </c>
      <c r="I16" s="8" t="s">
        <v>624</v>
      </c>
      <c r="J16" s="8" t="str">
        <f t="array" ref="J16">IFERROR(XLOOKUP(B16,Setup!$B$38:$B$44,Setup!$A$38:$A$44),"☑")</f>
        <v>☑</v>
      </c>
      <c r="K16" s="8"/>
      <c r="L16" s="8"/>
      <c r="M16" s="8" t="str">
        <f>IFERROR(__xludf.DUMMYFUNCTION("""COMPUTED_VALUE"""),"Hands + Beauty Loop")</f>
        <v>Hands + Beauty Loop</v>
      </c>
      <c r="N16" s="8"/>
      <c r="O16" s="451" t="str">
        <f>IFERROR(__xludf.DUMMYFUNCTION("""COMPUTED_VALUE"""),"Hands + Beauty Loop")</f>
        <v>Hands + Beauty Loop</v>
      </c>
      <c r="P16" s="8" t="str">
        <f>IFERROR(__xludf.DUMMYFUNCTION("""COMPUTED_VALUE"""),"All")</f>
        <v>All</v>
      </c>
      <c r="Q16" s="451" t="str">
        <f>IFERROR(__xludf.DUMMYFUNCTION("""COMPUTED_VALUE"""),"Hands + Beauty Loop")</f>
        <v>Hands + Beauty Loop</v>
      </c>
      <c r="R16" s="8" t="str">
        <f>IFERROR(__xludf.DUMMYFUNCTION("""COMPUTED_VALUE"""),"All")</f>
        <v>All</v>
      </c>
      <c r="S16" s="8" t="s">
        <v>223</v>
      </c>
      <c r="T16" s="8" t="s">
        <v>223</v>
      </c>
      <c r="U16" s="8" t="s">
        <v>380</v>
      </c>
      <c r="V16" s="8"/>
      <c r="W16" s="8" t="str">
        <f>IFERROR(__xludf.DUMMYFUNCTION("""COMPUTED_VALUE"""),"Hands + Beauty Loop")</f>
        <v>Hands + Beauty Loop</v>
      </c>
      <c r="X16" s="8" t="str">
        <f>IFERROR(__xludf.DUMMYFUNCTION("""COMPUTED_VALUE"""),"All")</f>
        <v>All</v>
      </c>
      <c r="Y16" s="8" t="str">
        <f>IFERROR(__xludf.DUMMYFUNCTION("""COMPUTED_VALUE"""),"Hands + Beauty Loop")</f>
        <v>Hands + Beauty Loop</v>
      </c>
      <c r="Z16" s="8" t="str">
        <f>IFERROR(__xludf.DUMMYFUNCTION("""COMPUTED_VALUE"""),"All")</f>
        <v>All</v>
      </c>
      <c r="AA16" s="8" t="str">
        <f>IFERROR(__xludf.DUMMYFUNCTION("""COMPUTED_VALUE"""),"All")</f>
        <v>All</v>
      </c>
      <c r="AB16" s="8" t="str">
        <f>IFERROR(__xludf.DUMMYFUNCTION("""COMPUTED_VALUE"""),"All")</f>
        <v>All</v>
      </c>
      <c r="AC16" s="8" t="str">
        <f>IFERROR(__xludf.DUMMYFUNCTION("""COMPUTED_VALUE"""),"Not Done")</f>
        <v>Not Done</v>
      </c>
      <c r="AD16" s="451" t="str">
        <f>IF(Setup!$A20,Setup!$B20,"")</f>
        <v>Older Students</v>
      </c>
      <c r="AE16" s="8" t="str">
        <f t="array" ref="AE16">IF($AD16="","",IF(SUMPRODUCT(--(Setup!$A$6:$A$13=TRUE),--TRANSPOSE(Setup!$C20:$J20=TRUE))=0,"Group ⚠ no active members","Group"))</f>
        <v>Group</v>
      </c>
      <c r="AF16" s="8" t="b">
        <f t="array" ref="AF16">IF($AD16="","",IF(SUMPRODUCT(--(Setup!$A$6:$A$13=TRUE),--TRANSPOSE(Setup!$C20:$J20=TRUE))=0,FALSE,SUMPRODUCT(--(Setup!$A$6:$A$13=TRUE),--TRANSPOSE(Setup!$C20:$J20=TRUE),--(Setup!$G$6:$G$13=FALSE))=0))</f>
        <v>1</v>
      </c>
      <c r="AG16" s="8" t="b">
        <f t="array" ref="AG16">IF($AD16="","",IF(SUMPRODUCT(--(Setup!$A$6:$A$13=TRUE),--TRANSPOSE(Setup!$C20:$J20=TRUE))=0,FALSE,SUMPRODUCT(--(Setup!$A$6:$A$13=TRUE),--TRANSPOSE(Setup!$C20:$J20=TRUE),--(Setup!$H$6:$H$13=FALSE))=0))</f>
        <v>0</v>
      </c>
      <c r="AH16" s="8" t="b">
        <f t="array" ref="AH16">IF($AD16="","",IF(SUMPRODUCT(--(Setup!$A$6:$A$13=TRUE),--TRANSPOSE(Setup!$C20:$J20=TRUE))=0,FALSE,SUMPRODUCT(--(Setup!$A$6:$A$13=TRUE),--TRANSPOSE(Setup!$C20:$J20=TRUE),--(Setup!$I$6:$I$13=FALSE))=0))</f>
        <v>1</v>
      </c>
      <c r="AI16" s="8" t="b">
        <f t="array" ref="AI16">IF($AD16="","",IF(SUMPRODUCT(--(Setup!$A$6:$A$13=TRUE),--TRANSPOSE(Setup!$C20:$J20=TRUE))=0,FALSE,SUMPRODUCT(--(Setup!$A$6:$A$13=TRUE),--TRANSPOSE(Setup!$C20:$J20=TRUE),--(Setup!$J$6:$J$13=FALSE))=0))</f>
        <v>0</v>
      </c>
      <c r="AJ16" s="8" t="b">
        <f t="array" ref="AJ16">IF($AD16="","",IF(SUMPRODUCT(--(Setup!$A$6:$A$13=TRUE),--TRANSPOSE(Setup!$C20:$J20=TRUE))=0,FALSE,SUMPRODUCT(--(Setup!$A$6:$A$13=TRUE),--TRANSPOSE(Setup!$C20:$J20=TRUE),--(Setup!$K$6:$K$13=FALSE))=0))</f>
        <v>1</v>
      </c>
      <c r="AK16" s="8"/>
      <c r="AL16" s="8">
        <f t="shared" si="4"/>
        <v>12</v>
      </c>
      <c r="AM16" s="451" t="str">
        <f t="shared" si="5"/>
        <v>All Together / Beauty + Hands — Picture Study</v>
      </c>
      <c r="AN16" s="8" t="b">
        <f>AND(OR('Family Map'!A57=TRUE,'Family Map'!A57="☑",'Family Map'!A57="✓",'Family Map'!A57="✔"),$E16&lt;&gt;"",$J16="☑",$AK16="")</f>
        <v>1</v>
      </c>
      <c r="AO16" s="451" t="str">
        <f t="shared" si="6"/>
        <v>All Together / Beauty + Hands — Picture Study</v>
      </c>
      <c r="AP16" s="8">
        <f t="shared" si="7"/>
        <v>12</v>
      </c>
      <c r="AQ16" s="451" t="str">
        <f>'Family Map'!H57</f>
        <v/>
      </c>
      <c r="AR16" s="451" t="str">
        <f t="shared" si="8"/>
        <v/>
      </c>
      <c r="AS16" s="8" t="str">
        <f>IFERROR(__xludf.DUMMYFUNCTION("LET(slot,$A16,label,$AM16,raw,$AQ16,resolved,$AR16,isCovered,$AK16&lt;&gt;"""",active,COUNTIF(Setup!$S$6:$S$25,resolved)&gt;0,placeAud,IFERROR(FILTER(IFERROR(LEFT('Strand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"",TRUE,IF(AND($A"&amp;"N16,raw=""""),""⚠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16" s="8" t="str">
        <f t="shared" si="9"/>
        <v/>
      </c>
      <c r="AU16" s="8"/>
      <c r="AV16" s="451" t="str">
        <f t="shared" si="10"/>
        <v>All Together / Beauty + Hands — Picture Study</v>
      </c>
      <c r="AW16" s="451" t="str">
        <f t="shared" si="11"/>
        <v/>
      </c>
      <c r="AX16" s="8" t="str">
        <f>IFERROR(__xludf.DUMMYFUNCTION("IF($AV16="""","""",IFERROR(TEXTJOIN(CHAR(10),TRUE,FILTER(""row ""&amp;ROW('Strand Placement'!$B$21:$B$89)&amp;"" • ""&amp;IFERROR(LEFT('Strand Placement'!$L$21:$L$89,FIND("" | "",'Strand Placement'!$L$21:$L$89)-1),""""),'Strand Placement'!$B$21:$B$89=$AV16)),""""))"),"")</f>
        <v/>
      </c>
      <c r="AY16" s="8" t="str">
        <f>IFERROR(__xludf.DUMMYFUNCTION("IF($AV16="""","""",IFERROR(TEXTJOIN(CHAR(10),TRUE,FILTER(""row ""&amp;ROW('Student Work'!$C$24:$C$223)&amp;"" • ""&amp;'Student Work'!$A$24:$A$223,'Student Work'!$C$24:$C$223=$AV16)),""""))"),"")</f>
        <v/>
      </c>
      <c r="AZ16" s="8" t="str">
        <f>IFERROR(__xludf.DUMMYFUNCTION("IF($AV16="""","""",IFERROR(TEXTJOIN(CHAR(10),TRUE,FILTER(""row ""&amp;ROW('Resource Planner'!$D$10:$D$69)&amp;"" • ""&amp;'Resource Planner'!$C$10:$C$69,'Resource Planner'!$D$10:$D$69=$AV16)),""""))"),"")</f>
        <v/>
      </c>
      <c r="BA16" s="8" t="str">
        <f t="shared" si="12"/>
        <v>⚠ active standalone/keeper has no Who / Group</v>
      </c>
    </row>
    <row r="17">
      <c r="A17" s="8">
        <v>13.0</v>
      </c>
      <c r="B17" s="451" t="str">
        <f>'Family Map'!B58</f>
        <v>All Together</v>
      </c>
      <c r="C17" s="451" t="str">
        <f>'Family Map'!C58</f>
        <v>Beauty + Hands</v>
      </c>
      <c r="D17" s="451" t="str">
        <f>'Family Map'!D58</f>
        <v>Composer Study</v>
      </c>
      <c r="E17" s="451" t="str">
        <f>'Family Map'!G58</f>
        <v>All Together / Beauty + Hands — Composer Study</v>
      </c>
      <c r="F17" s="451" t="str">
        <f t="shared" si="1"/>
        <v>All Together / Beauty + Hands — Composer Study</v>
      </c>
      <c r="G17" s="8">
        <f>IF(E17="",0,COUNTIF('Strand Placement'!$B:$B,E17))</f>
        <v>0</v>
      </c>
      <c r="H17" s="8" t="str">
        <f t="shared" si="2"/>
        <v>Unplaced</v>
      </c>
      <c r="I17" s="8" t="s">
        <v>628</v>
      </c>
      <c r="J17" s="8" t="str">
        <f t="array" ref="J17">IFERROR(XLOOKUP(B17,Setup!$B$38:$B$44,Setup!$A$38:$A$44),"☑")</f>
        <v>☑</v>
      </c>
      <c r="K17" s="8"/>
      <c r="L17" s="8"/>
      <c r="M17" s="8" t="str">
        <f>IFERROR(__xludf.DUMMYFUNCTION("""COMPUTED_VALUE"""),"Daily Skills")</f>
        <v>Daily Skills</v>
      </c>
      <c r="N17" s="8"/>
      <c r="O17" s="451" t="str">
        <f>IFERROR(__xludf.DUMMYFUNCTION("""COMPUTED_VALUE"""),"Daily Skills")</f>
        <v>Daily Skills</v>
      </c>
      <c r="P17" s="8" t="str">
        <f>IFERROR(__xludf.DUMMYFUNCTION("""COMPUTED_VALUE"""),"All")</f>
        <v>All</v>
      </c>
      <c r="Q17" s="451" t="str">
        <f>IFERROR(__xludf.DUMMYFUNCTION("""COMPUTED_VALUE"""),"Daily Skills")</f>
        <v>Daily Skills</v>
      </c>
      <c r="R17" s="8" t="str">
        <f>IFERROR(__xludf.DUMMYFUNCTION("""COMPUTED_VALUE"""),"All")</f>
        <v>All</v>
      </c>
      <c r="S17" s="8" t="s">
        <v>223</v>
      </c>
      <c r="T17" s="8" t="s">
        <v>223</v>
      </c>
      <c r="U17" s="8" t="s">
        <v>380</v>
      </c>
      <c r="V17" s="8"/>
      <c r="W17" s="8" t="str">
        <f>IFERROR(__xludf.DUMMYFUNCTION("""COMPUTED_VALUE"""),"Daily Skills")</f>
        <v>Daily Skills</v>
      </c>
      <c r="X17" s="8" t="str">
        <f>IFERROR(__xludf.DUMMYFUNCTION("""COMPUTED_VALUE"""),"All")</f>
        <v>All</v>
      </c>
      <c r="Y17" s="8" t="str">
        <f>IFERROR(__xludf.DUMMYFUNCTION("""COMPUTED_VALUE"""),"Daily Skills")</f>
        <v>Daily Skills</v>
      </c>
      <c r="Z17" s="8" t="str">
        <f>IFERROR(__xludf.DUMMYFUNCTION("""COMPUTED_VALUE"""),"All")</f>
        <v>All</v>
      </c>
      <c r="AA17" s="8" t="str">
        <f>IFERROR(__xludf.DUMMYFUNCTION("""COMPUTED_VALUE"""),"All")</f>
        <v>All</v>
      </c>
      <c r="AB17" s="8" t="str">
        <f>IFERROR(__xludf.DUMMYFUNCTION("""COMPUTED_VALUE"""),"All")</f>
        <v>All</v>
      </c>
      <c r="AC17" s="8" t="str">
        <f>IFERROR(__xludf.DUMMYFUNCTION("""COMPUTED_VALUE"""),"Not Done")</f>
        <v>Not Done</v>
      </c>
      <c r="AD17" s="8" t="str">
        <f>IF(Setup!$A21,Setup!$B21,"")</f>
        <v/>
      </c>
      <c r="AE17" s="8" t="str">
        <f t="array" ref="AE17">IF($AD17="","",IF(SUMPRODUCT(--(Setup!$A$6:$A$13=TRUE),--TRANSPOSE(Setup!$C21:$J21=TRUE))=0,"Group ⚠ no active members","Group"))</f>
        <v/>
      </c>
      <c r="AF17" s="8" t="str">
        <f t="array" ref="AF17">IF($AD17="","",IF(SUMPRODUCT(--(Setup!$A$6:$A$13=TRUE),--TRANSPOSE(Setup!$C21:$J21=TRUE))=0,FALSE,SUMPRODUCT(--(Setup!$A$6:$A$13=TRUE),--TRANSPOSE(Setup!$C21:$J21=TRUE),--(Setup!$G$6:$G$13=FALSE))=0))</f>
        <v/>
      </c>
      <c r="AG17" s="8" t="str">
        <f t="array" ref="AG17">IF($AD17="","",IF(SUMPRODUCT(--(Setup!$A$6:$A$13=TRUE),--TRANSPOSE(Setup!$C21:$J21=TRUE))=0,FALSE,SUMPRODUCT(--(Setup!$A$6:$A$13=TRUE),--TRANSPOSE(Setup!$C21:$J21=TRUE),--(Setup!$H$6:$H$13=FALSE))=0))</f>
        <v/>
      </c>
      <c r="AH17" s="8" t="str">
        <f t="array" ref="AH17">IF($AD17="","",IF(SUMPRODUCT(--(Setup!$A$6:$A$13=TRUE),--TRANSPOSE(Setup!$C21:$J21=TRUE))=0,FALSE,SUMPRODUCT(--(Setup!$A$6:$A$13=TRUE),--TRANSPOSE(Setup!$C21:$J21=TRUE),--(Setup!$I$6:$I$13=FALSE))=0))</f>
        <v/>
      </c>
      <c r="AI17" s="8" t="str">
        <f t="array" ref="AI17">IF($AD17="","",IF(SUMPRODUCT(--(Setup!$A$6:$A$13=TRUE),--TRANSPOSE(Setup!$C21:$J21=TRUE))=0,FALSE,SUMPRODUCT(--(Setup!$A$6:$A$13=TRUE),--TRANSPOSE(Setup!$C21:$J21=TRUE),--(Setup!$J$6:$J$13=FALSE))=0))</f>
        <v/>
      </c>
      <c r="AJ17" s="8" t="str">
        <f t="array" ref="AJ17">IF($AD17="","",IF(SUMPRODUCT(--(Setup!$A$6:$A$13=TRUE),--TRANSPOSE(Setup!$C21:$J21=TRUE))=0,FALSE,SUMPRODUCT(--(Setup!$A$6:$A$13=TRUE),--TRANSPOSE(Setup!$C21:$J21=TRUE),--(Setup!$K$6:$K$13=FALSE))=0))</f>
        <v/>
      </c>
      <c r="AK17" s="8"/>
      <c r="AL17" s="8">
        <f t="shared" si="4"/>
        <v>13</v>
      </c>
      <c r="AM17" s="451" t="str">
        <f t="shared" si="5"/>
        <v>All Together / Beauty + Hands — Composer Study</v>
      </c>
      <c r="AN17" s="8" t="b">
        <f>AND(OR('Family Map'!A58=TRUE,'Family Map'!A58="☑",'Family Map'!A58="✓",'Family Map'!A58="✔"),$E17&lt;&gt;"",$J17="☑",$AK17="")</f>
        <v>1</v>
      </c>
      <c r="AO17" s="451" t="str">
        <f t="shared" si="6"/>
        <v>All Together / Beauty + Hands — Composer Study</v>
      </c>
      <c r="AP17" s="8">
        <f t="shared" si="7"/>
        <v>13</v>
      </c>
      <c r="AQ17" s="451" t="str">
        <f>'Family Map'!H58</f>
        <v/>
      </c>
      <c r="AR17" s="451" t="str">
        <f t="shared" si="8"/>
        <v/>
      </c>
      <c r="AS17" s="8" t="str">
        <f>IFERROR(__xludf.DUMMYFUNCTION("LET(slot,$A17,label,$AM17,raw,$AQ17,resolved,$AR17,isCovered,$AK17&lt;&gt;"""",active,COUNTIF(Setup!$S$6:$S$25,resolved)&gt;0,placeAud,IFERROR(FILTER(IFERROR(LEFT('Strand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"",TRUE,IF(AND($A"&amp;"N17,raw=""""),""⚠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17" s="8" t="str">
        <f t="shared" si="9"/>
        <v/>
      </c>
      <c r="AU17" s="8"/>
      <c r="AV17" s="451" t="str">
        <f t="shared" si="10"/>
        <v>All Together / Beauty + Hands — Composer Study</v>
      </c>
      <c r="AW17" s="451" t="str">
        <f t="shared" si="11"/>
        <v/>
      </c>
      <c r="AX17" s="8" t="str">
        <f>IFERROR(__xludf.DUMMYFUNCTION("IF($AV17="""","""",IFERROR(TEXTJOIN(CHAR(10),TRUE,FILTER(""row ""&amp;ROW('Strand Placement'!$B$21:$B$89)&amp;"" • ""&amp;IFERROR(LEFT('Strand Placement'!$L$21:$L$89,FIND("" | "",'Strand Placement'!$L$21:$L$89)-1),""""),'Strand Placement'!$B$21:$B$89=$AV17)),""""))"),"")</f>
        <v/>
      </c>
      <c r="AY17" s="8" t="str">
        <f>IFERROR(__xludf.DUMMYFUNCTION("IF($AV17="""","""",IFERROR(TEXTJOIN(CHAR(10),TRUE,FILTER(""row ""&amp;ROW('Student Work'!$C$24:$C$223)&amp;"" • ""&amp;'Student Work'!$A$24:$A$223,'Student Work'!$C$24:$C$223=$AV17)),""""))"),"")</f>
        <v/>
      </c>
      <c r="AZ17" s="8" t="str">
        <f>IFERROR(__xludf.DUMMYFUNCTION("IF($AV17="""","""",IFERROR(TEXTJOIN(CHAR(10),TRUE,FILTER(""row ""&amp;ROW('Resource Planner'!$D$10:$D$69)&amp;"" • ""&amp;'Resource Planner'!$C$10:$C$69,'Resource Planner'!$D$10:$D$69=$AV17)),""""))"),"")</f>
        <v/>
      </c>
      <c r="BA17" s="8" t="str">
        <f t="shared" si="12"/>
        <v>⚠ active standalone/keeper has no Who / Group</v>
      </c>
    </row>
    <row r="18">
      <c r="A18" s="8">
        <v>14.0</v>
      </c>
      <c r="B18" s="451" t="str">
        <f>'Family Map'!B59</f>
        <v>All Together</v>
      </c>
      <c r="C18" s="451" t="str">
        <f>'Family Map'!C59</f>
        <v>Foreign Language</v>
      </c>
      <c r="D18" s="451" t="str">
        <f>'Family Map'!D59</f>
        <v>Family Language Song</v>
      </c>
      <c r="E18" s="451" t="str">
        <f>'Family Map'!G59</f>
        <v>All Together / Foreign Language — Family Language Song</v>
      </c>
      <c r="F18" s="451" t="str">
        <f t="shared" si="1"/>
        <v>All Together / Foreign Language — Family Language Song</v>
      </c>
      <c r="G18" s="8">
        <f>IF(E18="",0,COUNTIF('Strand Placement'!$B:$B,E18))</f>
        <v>1</v>
      </c>
      <c r="H18" s="8" t="str">
        <f t="shared" si="2"/>
        <v>Placed</v>
      </c>
      <c r="I18" s="8" t="s">
        <v>631</v>
      </c>
      <c r="J18" s="8" t="str">
        <f t="array" ref="J18">IFERROR(XLOOKUP(B18,Setup!$B$38:$B$44,Setup!$A$38:$A$44),"☑")</f>
        <v>☑</v>
      </c>
      <c r="K18" s="8"/>
      <c r="L18" s="8"/>
      <c r="M18" s="8" t="str">
        <f>IFERROR(__xludf.DUMMYFUNCTION("""COMPUTED_VALUE"""),"Individual Work")</f>
        <v>Individual Work</v>
      </c>
      <c r="N18" s="8"/>
      <c r="O18" s="451" t="str">
        <f>IFERROR(__xludf.DUMMYFUNCTION("""COMPUTED_VALUE"""),"Individual Work")</f>
        <v>Individual Work</v>
      </c>
      <c r="P18" s="8" t="str">
        <f>IFERROR(__xludf.DUMMYFUNCTION("""COMPUTED_VALUE"""),"All")</f>
        <v>All</v>
      </c>
      <c r="Q18" s="451" t="str">
        <f>IFERROR(__xludf.DUMMYFUNCTION("""COMPUTED_VALUE"""),"Individual Work")</f>
        <v>Individual Work</v>
      </c>
      <c r="R18" s="8" t="str">
        <f>IFERROR(__xludf.DUMMYFUNCTION("""COMPUTED_VALUE"""),"All")</f>
        <v>All</v>
      </c>
      <c r="S18" s="8" t="s">
        <v>223</v>
      </c>
      <c r="T18" s="8" t="s">
        <v>223</v>
      </c>
      <c r="U18" s="8" t="s">
        <v>380</v>
      </c>
      <c r="V18" s="8"/>
      <c r="W18" s="8" t="str">
        <f>IFERROR(__xludf.DUMMYFUNCTION("""COMPUTED_VALUE"""),"Individual Work")</f>
        <v>Individual Work</v>
      </c>
      <c r="X18" s="8" t="str">
        <f>IFERROR(__xludf.DUMMYFUNCTION("""COMPUTED_VALUE"""),"All")</f>
        <v>All</v>
      </c>
      <c r="Y18" s="8" t="str">
        <f>IFERROR(__xludf.DUMMYFUNCTION("""COMPUTED_VALUE"""),"Individual Work")</f>
        <v>Individual Work</v>
      </c>
      <c r="Z18" s="8" t="str">
        <f>IFERROR(__xludf.DUMMYFUNCTION("""COMPUTED_VALUE"""),"All")</f>
        <v>All</v>
      </c>
      <c r="AA18" s="8" t="str">
        <f>IFERROR(__xludf.DUMMYFUNCTION("""COMPUTED_VALUE"""),"All")</f>
        <v>All</v>
      </c>
      <c r="AB18" s="8" t="str">
        <f>IFERROR(__xludf.DUMMYFUNCTION("""COMPUTED_VALUE"""),"All")</f>
        <v>All</v>
      </c>
      <c r="AC18" s="8" t="str">
        <f>IFERROR(__xludf.DUMMYFUNCTION("""COMPUTED_VALUE"""),"Not Done")</f>
        <v>Not Done</v>
      </c>
      <c r="AD18" s="8" t="str">
        <f>IF(Setup!$A22,Setup!$B22,"")</f>
        <v/>
      </c>
      <c r="AE18" s="8" t="str">
        <f t="array" ref="AE18">IF($AD18="","",IF(SUMPRODUCT(--(Setup!$A$6:$A$13=TRUE),--TRANSPOSE(Setup!$C22:$J22=TRUE))=0,"Group ⚠ no active members","Group"))</f>
        <v/>
      </c>
      <c r="AF18" s="8" t="str">
        <f t="array" ref="AF18">IF($AD18="","",IF(SUMPRODUCT(--(Setup!$A$6:$A$13=TRUE),--TRANSPOSE(Setup!$C22:$J22=TRUE))=0,FALSE,SUMPRODUCT(--(Setup!$A$6:$A$13=TRUE),--TRANSPOSE(Setup!$C22:$J22=TRUE),--(Setup!$G$6:$G$13=FALSE))=0))</f>
        <v/>
      </c>
      <c r="AG18" s="8" t="str">
        <f t="array" ref="AG18">IF($AD18="","",IF(SUMPRODUCT(--(Setup!$A$6:$A$13=TRUE),--TRANSPOSE(Setup!$C22:$J22=TRUE))=0,FALSE,SUMPRODUCT(--(Setup!$A$6:$A$13=TRUE),--TRANSPOSE(Setup!$C22:$J22=TRUE),--(Setup!$H$6:$H$13=FALSE))=0))</f>
        <v/>
      </c>
      <c r="AH18" s="8" t="str">
        <f t="array" ref="AH18">IF($AD18="","",IF(SUMPRODUCT(--(Setup!$A$6:$A$13=TRUE),--TRANSPOSE(Setup!$C22:$J22=TRUE))=0,FALSE,SUMPRODUCT(--(Setup!$A$6:$A$13=TRUE),--TRANSPOSE(Setup!$C22:$J22=TRUE),--(Setup!$I$6:$I$13=FALSE))=0))</f>
        <v/>
      </c>
      <c r="AI18" s="8" t="str">
        <f t="array" ref="AI18">IF($AD18="","",IF(SUMPRODUCT(--(Setup!$A$6:$A$13=TRUE),--TRANSPOSE(Setup!$C22:$J22=TRUE))=0,FALSE,SUMPRODUCT(--(Setup!$A$6:$A$13=TRUE),--TRANSPOSE(Setup!$C22:$J22=TRUE),--(Setup!$J$6:$J$13=FALSE))=0))</f>
        <v/>
      </c>
      <c r="AJ18" s="8" t="str">
        <f t="array" ref="AJ18">IF($AD18="","",IF(SUMPRODUCT(--(Setup!$A$6:$A$13=TRUE),--TRANSPOSE(Setup!$C22:$J22=TRUE))=0,FALSE,SUMPRODUCT(--(Setup!$A$6:$A$13=TRUE),--TRANSPOSE(Setup!$C22:$J22=TRUE),--(Setup!$K$6:$K$13=FALSE))=0))</f>
        <v/>
      </c>
      <c r="AK18" s="8"/>
      <c r="AL18" s="8">
        <f t="shared" si="4"/>
        <v>14</v>
      </c>
      <c r="AM18" s="451" t="str">
        <f t="shared" si="5"/>
        <v>All Together / Foreign Language — Family Language Song</v>
      </c>
      <c r="AN18" s="8" t="b">
        <f>AND(OR('Family Map'!A59=TRUE,'Family Map'!A59="☑",'Family Map'!A59="✓",'Family Map'!A59="✔"),$E18&lt;&gt;"",$J18="☑",$AK18="")</f>
        <v>1</v>
      </c>
      <c r="AO18" s="451" t="str">
        <f t="shared" si="6"/>
        <v>All Together / Foreign Language — Family Language Song</v>
      </c>
      <c r="AP18" s="8">
        <f t="shared" si="7"/>
        <v>14</v>
      </c>
      <c r="AQ18" s="451" t="str">
        <f>'Family Map'!H59</f>
        <v/>
      </c>
      <c r="AR18" s="451" t="str">
        <f t="shared" si="8"/>
        <v/>
      </c>
      <c r="AS18" s="8" t="str">
        <f>IFERROR(__xludf.DUMMYFUNCTION("LET(slot,$A18,label,$AM18,raw,$AQ18,resolved,$AR18,isCovered,$AK18&lt;&gt;"""",active,COUNTIF(Setup!$S$6:$S$25,resolved)&gt;0,placeAud,IFERROR(FILTER(IFERROR(LEFT('Strand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"",TRUE,IF(AND($A"&amp;"N18,raw=""""),""⚠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18" s="8" t="str">
        <f t="shared" si="9"/>
        <v/>
      </c>
      <c r="AU18" s="8"/>
      <c r="AV18" s="451" t="str">
        <f t="shared" si="10"/>
        <v>All Together / Foreign Language — Family Language Song</v>
      </c>
      <c r="AW18" s="451" t="str">
        <f t="shared" si="11"/>
        <v/>
      </c>
      <c r="AX18" s="8" t="str">
        <f>IFERROR(__xludf.DUMMYFUNCTION("IF($AV18="""","""",IFERROR(TEXTJOIN(CHAR(10),TRUE,FILTER(""row ""&amp;ROW('Strand Placement'!$B$21:$B$89)&amp;"" • ""&amp;IFERROR(LEFT('Strand Placement'!$L$21:$L$89,FIND("" | "",'Strand Placement'!$L$21:$L$89)-1),""""),'Strand Placement'!$B$21:$B$89=$AV18)),""""))"),"row 41 • All the Girls")</f>
        <v>row 41 • All the Girls</v>
      </c>
      <c r="AY18" s="8" t="str">
        <f>IFERROR(__xludf.DUMMYFUNCTION("IF($AV18="""","""",IFERROR(TEXTJOIN(CHAR(10),TRUE,FILTER(""row ""&amp;ROW('Student Work'!$C$24:$C$223)&amp;"" • ""&amp;'Student Work'!$A$24:$A$223,'Student Work'!$C$24:$C$223=$AV18)),""""))"),"")</f>
        <v/>
      </c>
      <c r="AZ18" s="8" t="str">
        <f>IFERROR(__xludf.DUMMYFUNCTION("IF($AV18="""","""",IFERROR(TEXTJOIN(CHAR(10),TRUE,FILTER(""row ""&amp;ROW('Resource Planner'!$D$10:$D$69)&amp;"" • ""&amp;'Resource Planner'!$C$10:$C$69,'Resource Planner'!$D$10:$D$69=$AV18)),""""))"),"")</f>
        <v/>
      </c>
      <c r="BA18" s="8" t="str">
        <f t="shared" si="12"/>
        <v>⚠ active standalone/keeper has no Who / Group</v>
      </c>
    </row>
    <row r="19">
      <c r="A19" s="8">
        <v>15.0</v>
      </c>
      <c r="B19" s="451" t="str">
        <f>'Family Map'!B60</f>
        <v>Form I</v>
      </c>
      <c r="C19" s="451" t="str">
        <f>'Family Map'!C60</f>
        <v>Language Arts</v>
      </c>
      <c r="D19" s="451" t="str">
        <f>'Family Map'!D60</f>
        <v>Reading Practice / Phonics</v>
      </c>
      <c r="E19" s="451" t="str">
        <f>'Family Map'!G60</f>
        <v>Form I / Language Arts — Reading Practice / Phonics</v>
      </c>
      <c r="F19" s="451" t="str">
        <f t="shared" si="1"/>
        <v>Form I / Language Arts — Reading Practice / Phonics</v>
      </c>
      <c r="G19" s="8">
        <f>IF(E19="",0,COUNTIF('Strand Placement'!$B:$B,E19))</f>
        <v>0</v>
      </c>
      <c r="H19" s="8" t="str">
        <f t="shared" si="2"/>
        <v>Unplaced</v>
      </c>
      <c r="I19" s="8" t="s">
        <v>635</v>
      </c>
      <c r="J19" s="8" t="str">
        <f t="array" ref="J19">IFERROR(XLOOKUP(B19,Setup!$B$38:$B$44,Setup!$A$38:$A$44),"☑")</f>
        <v>☑</v>
      </c>
      <c r="K19" s="8"/>
      <c r="L19" s="8"/>
      <c r="M19" s="8" t="str">
        <f>IFERROR(__xludf.DUMMYFUNCTION("""COMPUTED_VALUE"""),"Outside / Co-op")</f>
        <v>Outside / Co-op</v>
      </c>
      <c r="N19" s="8"/>
      <c r="O19" s="451" t="str">
        <f>IFERROR(__xludf.DUMMYFUNCTION("""COMPUTED_VALUE"""),"Outside / Co-op")</f>
        <v>Outside / Co-op</v>
      </c>
      <c r="P19" s="8" t="str">
        <f>IFERROR(__xludf.DUMMYFUNCTION("""COMPUTED_VALUE"""),"All")</f>
        <v>All</v>
      </c>
      <c r="Q19" s="451" t="str">
        <f>IFERROR(__xludf.DUMMYFUNCTION("""COMPUTED_VALUE"""),"Outside / Co-op")</f>
        <v>Outside / Co-op</v>
      </c>
      <c r="R19" s="8" t="str">
        <f>IFERROR(__xludf.DUMMYFUNCTION("""COMPUTED_VALUE"""),"All")</f>
        <v>All</v>
      </c>
      <c r="S19" s="8" t="s">
        <v>223</v>
      </c>
      <c r="T19" s="8" t="s">
        <v>223</v>
      </c>
      <c r="U19" s="8" t="s">
        <v>380</v>
      </c>
      <c r="V19" s="8"/>
      <c r="W19" s="8" t="str">
        <f>IFERROR(__xludf.DUMMYFUNCTION("""COMPUTED_VALUE"""),"Outside / Co-op")</f>
        <v>Outside / Co-op</v>
      </c>
      <c r="X19" s="8" t="str">
        <f>IFERROR(__xludf.DUMMYFUNCTION("""COMPUTED_VALUE"""),"All")</f>
        <v>All</v>
      </c>
      <c r="Y19" s="8" t="str">
        <f>IFERROR(__xludf.DUMMYFUNCTION("""COMPUTED_VALUE"""),"Outside / Co-op")</f>
        <v>Outside / Co-op</v>
      </c>
      <c r="Z19" s="8" t="str">
        <f>IFERROR(__xludf.DUMMYFUNCTION("""COMPUTED_VALUE"""),"All")</f>
        <v>All</v>
      </c>
      <c r="AA19" s="8" t="str">
        <f>IFERROR(__xludf.DUMMYFUNCTION("""COMPUTED_VALUE"""),"All")</f>
        <v>All</v>
      </c>
      <c r="AB19" s="8" t="str">
        <f>IFERROR(__xludf.DUMMYFUNCTION("""COMPUTED_VALUE"""),"All")</f>
        <v>All</v>
      </c>
      <c r="AC19" s="8" t="str">
        <f>IFERROR(__xludf.DUMMYFUNCTION("""COMPUTED_VALUE"""),"Not Done")</f>
        <v>Not Done</v>
      </c>
      <c r="AD19" s="8" t="str">
        <f>IF(Setup!$A23,Setup!$B23,"")</f>
        <v/>
      </c>
      <c r="AE19" s="8" t="str">
        <f t="array" ref="AE19">IF($AD19="","",IF(SUMPRODUCT(--(Setup!$A$6:$A$13=TRUE),--TRANSPOSE(Setup!$C23:$J23=TRUE))=0,"Group ⚠ no active members","Group"))</f>
        <v/>
      </c>
      <c r="AF19" s="8" t="str">
        <f t="array" ref="AF19">IF($AD19="","",IF(SUMPRODUCT(--(Setup!$A$6:$A$13=TRUE),--TRANSPOSE(Setup!$C23:$J23=TRUE))=0,FALSE,SUMPRODUCT(--(Setup!$A$6:$A$13=TRUE),--TRANSPOSE(Setup!$C23:$J23=TRUE),--(Setup!$G$6:$G$13=FALSE))=0))</f>
        <v/>
      </c>
      <c r="AG19" s="8" t="str">
        <f t="array" ref="AG19">IF($AD19="","",IF(SUMPRODUCT(--(Setup!$A$6:$A$13=TRUE),--TRANSPOSE(Setup!$C23:$J23=TRUE))=0,FALSE,SUMPRODUCT(--(Setup!$A$6:$A$13=TRUE),--TRANSPOSE(Setup!$C23:$J23=TRUE),--(Setup!$H$6:$H$13=FALSE))=0))</f>
        <v/>
      </c>
      <c r="AH19" s="8" t="str">
        <f t="array" ref="AH19">IF($AD19="","",IF(SUMPRODUCT(--(Setup!$A$6:$A$13=TRUE),--TRANSPOSE(Setup!$C23:$J23=TRUE))=0,FALSE,SUMPRODUCT(--(Setup!$A$6:$A$13=TRUE),--TRANSPOSE(Setup!$C23:$J23=TRUE),--(Setup!$I$6:$I$13=FALSE))=0))</f>
        <v/>
      </c>
      <c r="AI19" s="8" t="str">
        <f t="array" ref="AI19">IF($AD19="","",IF(SUMPRODUCT(--(Setup!$A$6:$A$13=TRUE),--TRANSPOSE(Setup!$C23:$J23=TRUE))=0,FALSE,SUMPRODUCT(--(Setup!$A$6:$A$13=TRUE),--TRANSPOSE(Setup!$C23:$J23=TRUE),--(Setup!$J$6:$J$13=FALSE))=0))</f>
        <v/>
      </c>
      <c r="AJ19" s="8" t="str">
        <f t="array" ref="AJ19">IF($AD19="","",IF(SUMPRODUCT(--(Setup!$A$6:$A$13=TRUE),--TRANSPOSE(Setup!$C23:$J23=TRUE))=0,FALSE,SUMPRODUCT(--(Setup!$A$6:$A$13=TRUE),--TRANSPOSE(Setup!$C23:$J23=TRUE),--(Setup!$K$6:$K$13=FALSE))=0))</f>
        <v/>
      </c>
      <c r="AK19" s="8"/>
      <c r="AL19" s="8">
        <f t="shared" si="4"/>
        <v>15</v>
      </c>
      <c r="AM19" s="451" t="str">
        <f t="shared" si="5"/>
        <v>Form I / Language Arts — Reading Practice / Phonics</v>
      </c>
      <c r="AN19" s="8" t="b">
        <f>AND(OR('Family Map'!A60=TRUE,'Family Map'!A60="☑",'Family Map'!A60="✓",'Family Map'!A60="✔"),$E19&lt;&gt;"",$J19="☑",$AK19="")</f>
        <v>1</v>
      </c>
      <c r="AO19" s="451" t="str">
        <f t="shared" si="6"/>
        <v>Form I / Language Arts — Reading Practice / Phonics</v>
      </c>
      <c r="AP19" s="8">
        <f t="shared" si="7"/>
        <v>15</v>
      </c>
      <c r="AQ19" s="451" t="str">
        <f>'Family Map'!H60</f>
        <v/>
      </c>
      <c r="AR19" s="451" t="str">
        <f t="shared" si="8"/>
        <v/>
      </c>
      <c r="AS19" s="8" t="str">
        <f>IFERROR(__xludf.DUMMYFUNCTION("LET(slot,$A19,label,$AM19,raw,$AQ19,resolved,$AR19,isCovered,$AK19&lt;&gt;"""",active,COUNTIF(Setup!$S$6:$S$25,resolved)&gt;0,placeAud,IFERROR(FILTER(IFERROR(LEFT('Strand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"",TRUE,IF(AND($A"&amp;"N19,raw=""""),""⚠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19" s="8" t="str">
        <f t="shared" si="9"/>
        <v/>
      </c>
      <c r="AU19" s="8"/>
      <c r="AV19" s="451" t="str">
        <f t="shared" si="10"/>
        <v>Form I / Language Arts — Reading Practice / Phonics</v>
      </c>
      <c r="AW19" s="451" t="str">
        <f t="shared" si="11"/>
        <v/>
      </c>
      <c r="AX19" s="8" t="str">
        <f>IFERROR(__xludf.DUMMYFUNCTION("IF($AV19="""","""",IFERROR(TEXTJOIN(CHAR(10),TRUE,FILTER(""row ""&amp;ROW('Strand Placement'!$B$21:$B$89)&amp;"" • ""&amp;IFERROR(LEFT('Strand Placement'!$L$21:$L$89,FIND("" | "",'Strand Placement'!$L$21:$L$89)-1),""""),'Strand Placement'!$B$21:$B$89=$AV19)),""""))"),"")</f>
        <v/>
      </c>
      <c r="AY19" s="8" t="str">
        <f>IFERROR(__xludf.DUMMYFUNCTION("IF($AV19="""","""",IFERROR(TEXTJOIN(CHAR(10),TRUE,FILTER(""row ""&amp;ROW('Student Work'!$C$24:$C$223)&amp;"" • ""&amp;'Student Work'!$A$24:$A$223,'Student Work'!$C$24:$C$223=$AV19)),""""))"),"")</f>
        <v/>
      </c>
      <c r="AZ19" s="8" t="str">
        <f>IFERROR(__xludf.DUMMYFUNCTION("IF($AV19="""","""",IFERROR(TEXTJOIN(CHAR(10),TRUE,FILTER(""row ""&amp;ROW('Resource Planner'!$D$10:$D$69)&amp;"" • ""&amp;'Resource Planner'!$C$10:$C$69,'Resource Planner'!$D$10:$D$69=$AV19)),""""))"),"")</f>
        <v/>
      </c>
      <c r="BA19" s="8" t="str">
        <f t="shared" si="12"/>
        <v>⚠ active standalone/keeper has no Who / Group</v>
      </c>
    </row>
    <row r="20">
      <c r="A20" s="8">
        <v>16.0</v>
      </c>
      <c r="B20" s="451" t="str">
        <f>'Family Map'!B61</f>
        <v>Form I</v>
      </c>
      <c r="C20" s="451" t="str">
        <f>'Family Map'!C61</f>
        <v>Language Arts</v>
      </c>
      <c r="D20" s="451" t="str">
        <f>'Family Map'!D61</f>
        <v>Copywork</v>
      </c>
      <c r="E20" s="451" t="str">
        <f>'Family Map'!G61</f>
        <v>Form I / Language Arts — Copywork</v>
      </c>
      <c r="F20" s="451" t="str">
        <f t="shared" si="1"/>
        <v>Form I / Language Arts — Copywork</v>
      </c>
      <c r="G20" s="8">
        <f>IF(E20="",0,COUNTIF('Strand Placement'!$B:$B,E20))</f>
        <v>0</v>
      </c>
      <c r="H20" s="8" t="str">
        <f t="shared" si="2"/>
        <v>Unplaced</v>
      </c>
      <c r="I20" s="8" t="s">
        <v>638</v>
      </c>
      <c r="J20" s="8" t="str">
        <f t="array" ref="J20">IFERROR(XLOOKUP(B20,Setup!$B$38:$B$44,Setup!$A$38:$A$44),"☑")</f>
        <v>☑</v>
      </c>
      <c r="K20" s="8"/>
      <c r="L20" s="8"/>
      <c r="M20" s="8" t="str">
        <f>IFERROR(__xludf.DUMMYFUNCTION("""COMPUTED_VALUE"""),"Optional / Later")</f>
        <v>Optional / Later</v>
      </c>
      <c r="N20" s="8"/>
      <c r="O20" s="451" t="str">
        <f>IFERROR(__xludf.DUMMYFUNCTION("""COMPUTED_VALUE"""),"Optional / Later")</f>
        <v>Optional / Later</v>
      </c>
      <c r="P20" s="8" t="str">
        <f>IFERROR(__xludf.DUMMYFUNCTION("""COMPUTED_VALUE"""),"All")</f>
        <v>All</v>
      </c>
      <c r="Q20" s="451" t="str">
        <f>IFERROR(__xludf.DUMMYFUNCTION("""COMPUTED_VALUE"""),"Optional / Later")</f>
        <v>Optional / Later</v>
      </c>
      <c r="R20" s="8" t="str">
        <f>IFERROR(__xludf.DUMMYFUNCTION("""COMPUTED_VALUE"""),"All")</f>
        <v>All</v>
      </c>
      <c r="S20" s="8" t="s">
        <v>223</v>
      </c>
      <c r="T20" s="8" t="s">
        <v>223</v>
      </c>
      <c r="U20" s="8" t="s">
        <v>380</v>
      </c>
      <c r="V20" s="8"/>
      <c r="W20" s="8" t="str">
        <f>IFERROR(__xludf.DUMMYFUNCTION("""COMPUTED_VALUE"""),"Optional / Later")</f>
        <v>Optional / Later</v>
      </c>
      <c r="X20" s="8" t="str">
        <f>IFERROR(__xludf.DUMMYFUNCTION("""COMPUTED_VALUE"""),"All")</f>
        <v>All</v>
      </c>
      <c r="Y20" s="8" t="str">
        <f>IFERROR(__xludf.DUMMYFUNCTION("""COMPUTED_VALUE"""),"Optional / Later")</f>
        <v>Optional / Later</v>
      </c>
      <c r="Z20" s="8" t="str">
        <f>IFERROR(__xludf.DUMMYFUNCTION("""COMPUTED_VALUE"""),"All")</f>
        <v>All</v>
      </c>
      <c r="AA20" s="8" t="str">
        <f>IFERROR(__xludf.DUMMYFUNCTION("""COMPUTED_VALUE"""),"All")</f>
        <v>All</v>
      </c>
      <c r="AB20" s="8" t="str">
        <f>IFERROR(__xludf.DUMMYFUNCTION("""COMPUTED_VALUE"""),"All")</f>
        <v>All</v>
      </c>
      <c r="AC20" s="8" t="str">
        <f>IFERROR(__xludf.DUMMYFUNCTION("""COMPUTED_VALUE"""),"Not Done")</f>
        <v>Not Done</v>
      </c>
      <c r="AD20" s="8" t="str">
        <f>IF(Setup!$A24,Setup!$B24,"")</f>
        <v/>
      </c>
      <c r="AE20" s="8" t="str">
        <f t="array" ref="AE20">IF($AD20="","",IF(SUMPRODUCT(--(Setup!$A$6:$A$13=TRUE),--TRANSPOSE(Setup!$C24:$J24=TRUE))=0,"Group ⚠ no active members","Group"))</f>
        <v/>
      </c>
      <c r="AF20" s="8" t="str">
        <f t="array" ref="AF20">IF($AD20="","",IF(SUMPRODUCT(--(Setup!$A$6:$A$13=TRUE),--TRANSPOSE(Setup!$C24:$J24=TRUE))=0,FALSE,SUMPRODUCT(--(Setup!$A$6:$A$13=TRUE),--TRANSPOSE(Setup!$C24:$J24=TRUE),--(Setup!$G$6:$G$13=FALSE))=0))</f>
        <v/>
      </c>
      <c r="AG20" s="8" t="str">
        <f t="array" ref="AG20">IF($AD20="","",IF(SUMPRODUCT(--(Setup!$A$6:$A$13=TRUE),--TRANSPOSE(Setup!$C24:$J24=TRUE))=0,FALSE,SUMPRODUCT(--(Setup!$A$6:$A$13=TRUE),--TRANSPOSE(Setup!$C24:$J24=TRUE),--(Setup!$H$6:$H$13=FALSE))=0))</f>
        <v/>
      </c>
      <c r="AH20" s="8" t="str">
        <f t="array" ref="AH20">IF($AD20="","",IF(SUMPRODUCT(--(Setup!$A$6:$A$13=TRUE),--TRANSPOSE(Setup!$C24:$J24=TRUE))=0,FALSE,SUMPRODUCT(--(Setup!$A$6:$A$13=TRUE),--TRANSPOSE(Setup!$C24:$J24=TRUE),--(Setup!$I$6:$I$13=FALSE))=0))</f>
        <v/>
      </c>
      <c r="AI20" s="8" t="str">
        <f t="array" ref="AI20">IF($AD20="","",IF(SUMPRODUCT(--(Setup!$A$6:$A$13=TRUE),--TRANSPOSE(Setup!$C24:$J24=TRUE))=0,FALSE,SUMPRODUCT(--(Setup!$A$6:$A$13=TRUE),--TRANSPOSE(Setup!$C24:$J24=TRUE),--(Setup!$J$6:$J$13=FALSE))=0))</f>
        <v/>
      </c>
      <c r="AJ20" s="8" t="str">
        <f t="array" ref="AJ20">IF($AD20="","",IF(SUMPRODUCT(--(Setup!$A$6:$A$13=TRUE),--TRANSPOSE(Setup!$C24:$J24=TRUE))=0,FALSE,SUMPRODUCT(--(Setup!$A$6:$A$13=TRUE),--TRANSPOSE(Setup!$C24:$J24=TRUE),--(Setup!$K$6:$K$13=FALSE))=0))</f>
        <v/>
      </c>
      <c r="AK20" s="8"/>
      <c r="AL20" s="8">
        <f t="shared" si="4"/>
        <v>16</v>
      </c>
      <c r="AM20" s="451" t="str">
        <f t="shared" si="5"/>
        <v>Form I / Language Arts — Copywork</v>
      </c>
      <c r="AN20" s="8" t="b">
        <f>AND(OR('Family Map'!A61=TRUE,'Family Map'!A61="☑",'Family Map'!A61="✓",'Family Map'!A61="✔"),$E20&lt;&gt;"",$J20="☑",$AK20="")</f>
        <v>1</v>
      </c>
      <c r="AO20" s="451" t="str">
        <f t="shared" si="6"/>
        <v>Form I / Language Arts — Copywork</v>
      </c>
      <c r="AP20" s="8">
        <f t="shared" si="7"/>
        <v>16</v>
      </c>
      <c r="AQ20" s="451" t="str">
        <f>'Family Map'!H61</f>
        <v/>
      </c>
      <c r="AR20" s="451" t="str">
        <f t="shared" si="8"/>
        <v/>
      </c>
      <c r="AS20" s="8" t="str">
        <f>IFERROR(__xludf.DUMMYFUNCTION("LET(slot,$A20,label,$AM20,raw,$AQ20,resolved,$AR20,isCovered,$AK20&lt;&gt;"""",active,COUNTIF(Setup!$S$6:$S$25,resolved)&gt;0,placeAud,IFERROR(FILTER(IFERROR(LEFT('Strand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"",TRUE,IF(AND($A"&amp;"N20,raw=""""),""⚠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20" s="8" t="str">
        <f t="shared" si="9"/>
        <v/>
      </c>
      <c r="AU20" s="8"/>
      <c r="AV20" s="451" t="str">
        <f t="shared" si="10"/>
        <v>Form I / Language Arts — Copywork</v>
      </c>
      <c r="AW20" s="451" t="str">
        <f t="shared" si="11"/>
        <v/>
      </c>
      <c r="AX20" s="8" t="str">
        <f>IFERROR(__xludf.DUMMYFUNCTION("IF($AV20="""","""",IFERROR(TEXTJOIN(CHAR(10),TRUE,FILTER(""row ""&amp;ROW('Strand Placement'!$B$21:$B$89)&amp;"" • ""&amp;IFERROR(LEFT('Strand Placement'!$L$21:$L$89,FIND("" | "",'Strand Placement'!$L$21:$L$89)-1),""""),'Strand Placement'!$B$21:$B$89=$AV20)),""""))"),"")</f>
        <v/>
      </c>
      <c r="AY20" s="8" t="str">
        <f>IFERROR(__xludf.DUMMYFUNCTION("IF($AV20="""","""",IFERROR(TEXTJOIN(CHAR(10),TRUE,FILTER(""row ""&amp;ROW('Student Work'!$C$24:$C$223)&amp;"" • ""&amp;'Student Work'!$A$24:$A$223,'Student Work'!$C$24:$C$223=$AV20)),""""))"),"")</f>
        <v/>
      </c>
      <c r="AZ20" s="8" t="str">
        <f>IFERROR(__xludf.DUMMYFUNCTION("IF($AV20="""","""",IFERROR(TEXTJOIN(CHAR(10),TRUE,FILTER(""row ""&amp;ROW('Resource Planner'!$D$10:$D$69)&amp;"" • ""&amp;'Resource Planner'!$C$10:$C$69,'Resource Planner'!$D$10:$D$69=$AV20)),""""))"),"")</f>
        <v/>
      </c>
      <c r="BA20" s="8" t="str">
        <f t="shared" si="12"/>
        <v>⚠ active standalone/keeper has no Who / Group</v>
      </c>
    </row>
    <row r="21" ht="15.75" customHeight="1">
      <c r="A21" s="8">
        <v>17.0</v>
      </c>
      <c r="B21" s="451" t="str">
        <f>'Family Map'!B62</f>
        <v>Form I</v>
      </c>
      <c r="C21" s="451" t="str">
        <f>'Family Map'!C62</f>
        <v>Language Arts</v>
      </c>
      <c r="D21" s="451" t="str">
        <f>'Family Map'!D62</f>
        <v>Oral Narration</v>
      </c>
      <c r="E21" s="451" t="str">
        <f>'Family Map'!G62</f>
        <v>Form I / Language Arts — Oral Narration</v>
      </c>
      <c r="F21" s="451" t="str">
        <f t="shared" si="1"/>
        <v>Form I / Language Arts — Oral Narration</v>
      </c>
      <c r="G21" s="8">
        <f>IF(E21="",0,COUNTIF('Strand Placement'!$B:$B,E21))</f>
        <v>0</v>
      </c>
      <c r="H21" s="8" t="str">
        <f t="shared" si="2"/>
        <v>Unplaced</v>
      </c>
      <c r="I21" s="8" t="s">
        <v>641</v>
      </c>
      <c r="J21" s="8" t="str">
        <f t="array" ref="J21">IFERROR(XLOOKUP(B21,Setup!$B$38:$B$44,Setup!$A$38:$A$44),"☑")</f>
        <v>☑</v>
      </c>
      <c r="K21" s="8"/>
      <c r="L21" s="8"/>
      <c r="M21" s="8" t="str">
        <f>IFERROR(__xludf.DUMMYFUNCTION("""COMPUTED_VALUE"""),"Bible")</f>
        <v>Bible</v>
      </c>
      <c r="N21" s="8"/>
      <c r="O21" s="8" t="str">
        <f>IFERROR(__xludf.DUMMYFUNCTION("""COMPUTED_VALUE"""),"Bible")</f>
        <v>Bible</v>
      </c>
      <c r="P21" s="8" t="str">
        <f>IFERROR(__xludf.DUMMYFUNCTION("""COMPUTED_VALUE"""),"All")</f>
        <v>All</v>
      </c>
      <c r="Q21" s="8" t="str">
        <f>IFERROR(__xludf.DUMMYFUNCTION("""COMPUTED_VALUE"""),"All")</f>
        <v>All</v>
      </c>
      <c r="R21" s="8" t="str">
        <f>IFERROR(__xludf.DUMMYFUNCTION("""COMPUTED_VALUE"""),"Bible")</f>
        <v>Bible</v>
      </c>
      <c r="S21" s="8" t="s">
        <v>223</v>
      </c>
      <c r="T21" s="8" t="s">
        <v>223</v>
      </c>
      <c r="U21" s="8" t="s">
        <v>380</v>
      </c>
      <c r="V21" s="8"/>
      <c r="W21" s="8" t="str">
        <f>IFERROR(__xludf.DUMMYFUNCTION("""COMPUTED_VALUE"""),"Bible")</f>
        <v>Bible</v>
      </c>
      <c r="X21" s="8" t="str">
        <f>IFERROR(__xludf.DUMMYFUNCTION("""COMPUTED_VALUE"""),"All")</f>
        <v>All</v>
      </c>
      <c r="Y21" s="8" t="str">
        <f>IFERROR(__xludf.DUMMYFUNCTION("""COMPUTED_VALUE"""),"All")</f>
        <v>All</v>
      </c>
      <c r="Z21" s="8" t="str">
        <f>IFERROR(__xludf.DUMMYFUNCTION("""COMPUTED_VALUE"""),"Bible")</f>
        <v>Bible</v>
      </c>
      <c r="AA21" s="8" t="str">
        <f>IFERROR(__xludf.DUMMYFUNCTION("""COMPUTED_VALUE"""),"All")</f>
        <v>All</v>
      </c>
      <c r="AB21" s="8" t="str">
        <f>IFERROR(__xludf.DUMMYFUNCTION("""COMPUTED_VALUE"""),"All")</f>
        <v>All</v>
      </c>
      <c r="AC21" s="8" t="str">
        <f>IFERROR(__xludf.DUMMYFUNCTION("""COMPUTED_VALUE"""),"Not Done")</f>
        <v>Not Done</v>
      </c>
      <c r="AD21" s="8" t="str">
        <f>IF(Setup!$A25,Setup!$B25,"")</f>
        <v/>
      </c>
      <c r="AE21" s="8" t="str">
        <f t="array" ref="AE21">IF($AD21="","",IF(SUMPRODUCT(--(Setup!$A$6:$A$13=TRUE),--TRANSPOSE(Setup!$C25:$J25=TRUE))=0,"Group ⚠ no active members","Group"))</f>
        <v/>
      </c>
      <c r="AF21" s="8" t="str">
        <f t="array" ref="AF21">IF($AD21="","",IF(SUMPRODUCT(--(Setup!$A$6:$A$13=TRUE),--TRANSPOSE(Setup!$C25:$J25=TRUE))=0,FALSE,SUMPRODUCT(--(Setup!$A$6:$A$13=TRUE),--TRANSPOSE(Setup!$C25:$J25=TRUE),--(Setup!$G$6:$G$13=FALSE))=0))</f>
        <v/>
      </c>
      <c r="AG21" s="8" t="str">
        <f t="array" ref="AG21">IF($AD21="","",IF(SUMPRODUCT(--(Setup!$A$6:$A$13=TRUE),--TRANSPOSE(Setup!$C25:$J25=TRUE))=0,FALSE,SUMPRODUCT(--(Setup!$A$6:$A$13=TRUE),--TRANSPOSE(Setup!$C25:$J25=TRUE),--(Setup!$H$6:$H$13=FALSE))=0))</f>
        <v/>
      </c>
      <c r="AH21" s="8" t="str">
        <f t="array" ref="AH21">IF($AD21="","",IF(SUMPRODUCT(--(Setup!$A$6:$A$13=TRUE),--TRANSPOSE(Setup!$C25:$J25=TRUE))=0,FALSE,SUMPRODUCT(--(Setup!$A$6:$A$13=TRUE),--TRANSPOSE(Setup!$C25:$J25=TRUE),--(Setup!$I$6:$I$13=FALSE))=0))</f>
        <v/>
      </c>
      <c r="AI21" s="8" t="str">
        <f t="array" ref="AI21">IF($AD21="","",IF(SUMPRODUCT(--(Setup!$A$6:$A$13=TRUE),--TRANSPOSE(Setup!$C25:$J25=TRUE))=0,FALSE,SUMPRODUCT(--(Setup!$A$6:$A$13=TRUE),--TRANSPOSE(Setup!$C25:$J25=TRUE),--(Setup!$J$6:$J$13=FALSE))=0))</f>
        <v/>
      </c>
      <c r="AJ21" s="8" t="str">
        <f t="array" ref="AJ21">IF($AD21="","",IF(SUMPRODUCT(--(Setup!$A$6:$A$13=TRUE),--TRANSPOSE(Setup!$C25:$J25=TRUE))=0,FALSE,SUMPRODUCT(--(Setup!$A$6:$A$13=TRUE),--TRANSPOSE(Setup!$C25:$J25=TRUE),--(Setup!$K$6:$K$13=FALSE))=0))</f>
        <v/>
      </c>
      <c r="AK21" s="8"/>
      <c r="AL21" s="8">
        <f t="shared" si="4"/>
        <v>17</v>
      </c>
      <c r="AM21" s="451" t="str">
        <f t="shared" si="5"/>
        <v>Form I / Language Arts — Oral Narration</v>
      </c>
      <c r="AN21" s="8" t="b">
        <f>AND(OR('Family Map'!A62=TRUE,'Family Map'!A62="☑",'Family Map'!A62="✓",'Family Map'!A62="✔"),$E21&lt;&gt;"",$J21="☑",$AK21="")</f>
        <v>1</v>
      </c>
      <c r="AO21" s="451" t="str">
        <f t="shared" si="6"/>
        <v>Form I / Language Arts — Oral Narration</v>
      </c>
      <c r="AP21" s="8">
        <f t="shared" si="7"/>
        <v>17</v>
      </c>
      <c r="AQ21" s="451" t="str">
        <f>'Family Map'!H62</f>
        <v/>
      </c>
      <c r="AR21" s="451" t="str">
        <f t="shared" si="8"/>
        <v/>
      </c>
      <c r="AS21" s="8" t="str">
        <f>IFERROR(__xludf.DUMMYFUNCTION("LET(slot,$A21,label,$AM21,raw,$AQ21,resolved,$AR21,isCovered,$AK21&lt;&gt;"""",active,COUNTIF(Setup!$S$6:$S$25,resolved)&gt;0,placeAud,IFERROR(FILTER(IFERROR(LEFT('Strand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"",TRUE,IF(AND($A"&amp;"N21,raw=""""),""⚠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21" s="8" t="str">
        <f t="shared" si="9"/>
        <v/>
      </c>
      <c r="AU21" s="8"/>
      <c r="AV21" s="451" t="str">
        <f t="shared" si="10"/>
        <v>Form I / Language Arts — Oral Narration</v>
      </c>
      <c r="AW21" s="451" t="str">
        <f t="shared" si="11"/>
        <v/>
      </c>
      <c r="AX21" s="8" t="str">
        <f>IFERROR(__xludf.DUMMYFUNCTION("IF($AV21="""","""",IFERROR(TEXTJOIN(CHAR(10),TRUE,FILTER(""row ""&amp;ROW('Strand Placement'!$B$21:$B$89)&amp;"" • ""&amp;IFERROR(LEFT('Strand Placement'!$L$21:$L$89,FIND("" | "",'Strand Placement'!$L$21:$L$89)-1),""""),'Strand Placement'!$B$21:$B$89=$AV21)),""""))"),"")</f>
        <v/>
      </c>
      <c r="AY21" s="8" t="str">
        <f>IFERROR(__xludf.DUMMYFUNCTION("IF($AV21="""","""",IFERROR(TEXTJOIN(CHAR(10),TRUE,FILTER(""row ""&amp;ROW('Student Work'!$C$24:$C$223)&amp;"" • ""&amp;'Student Work'!$A$24:$A$223,'Student Work'!$C$24:$C$223=$AV21)),""""))"),"")</f>
        <v/>
      </c>
      <c r="AZ21" s="8" t="str">
        <f>IFERROR(__xludf.DUMMYFUNCTION("IF($AV21="""","""",IFERROR(TEXTJOIN(CHAR(10),TRUE,FILTER(""row ""&amp;ROW('Resource Planner'!$D$10:$D$69)&amp;"" • ""&amp;'Resource Planner'!$C$10:$C$69,'Resource Planner'!$D$10:$D$69=$AV21)),""""))"),"")</f>
        <v/>
      </c>
      <c r="BA21" s="8" t="str">
        <f t="shared" si="12"/>
        <v>⚠ active standalone/keeper has no Who / Group</v>
      </c>
    </row>
    <row r="22" ht="15.75" customHeight="1">
      <c r="A22" s="8">
        <v>18.0</v>
      </c>
      <c r="B22" s="451" t="str">
        <f>'Family Map'!B63</f>
        <v>All Together</v>
      </c>
      <c r="C22" s="451" t="str">
        <f>'Family Map'!C63</f>
        <v>Literature</v>
      </c>
      <c r="D22" s="451" t="str">
        <f>'Family Map'!D63</f>
        <v>Tales / Fairy Tales / Myths</v>
      </c>
      <c r="E22" s="451" t="str">
        <f>'Family Map'!G63</f>
        <v>All Together / Literature — Tales / Fairy Tales / Myths</v>
      </c>
      <c r="F22" s="451" t="str">
        <f t="shared" si="1"/>
        <v>All Together / Literature — Tales / Fairy Tales / Myths</v>
      </c>
      <c r="G22" s="8">
        <f>IF(E22="",0,COUNTIF('Strand Placement'!$B:$B,E22))</f>
        <v>0</v>
      </c>
      <c r="H22" s="8" t="str">
        <f t="shared" si="2"/>
        <v>Unplaced</v>
      </c>
      <c r="I22" s="8" t="s">
        <v>644</v>
      </c>
      <c r="J22" s="8" t="str">
        <f t="array" ref="J22">IFERROR(XLOOKUP(B22,Setup!$B$38:$B$44,Setup!$A$38:$A$44),"☑")</f>
        <v>☑</v>
      </c>
      <c r="K22" s="8"/>
      <c r="L22" s="8"/>
      <c r="M22" s="8" t="str">
        <f>IFERROR(__xludf.DUMMYFUNCTION("""COMPUTED_VALUE"""),"Everyone — Reading Loop")</f>
        <v>Everyone — Reading Loop</v>
      </c>
      <c r="N22" s="8"/>
      <c r="O22" s="8" t="str">
        <f>IFERROR(__xludf.DUMMYFUNCTION("""COMPUTED_VALUE"""),"Everyone — Reading Loop")</f>
        <v>Everyone — Reading Loop</v>
      </c>
      <c r="P22" s="451" t="str">
        <f>IFERROR(__xludf.DUMMYFUNCTION("""COMPUTED_VALUE"""),"Everyone")</f>
        <v>Everyone</v>
      </c>
      <c r="Q22" s="451" t="str">
        <f>IFERROR(__xludf.DUMMYFUNCTION("""COMPUTED_VALUE"""),"Reading Loop")</f>
        <v>Reading Loop</v>
      </c>
      <c r="R22" s="8" t="str">
        <f>IFERROR(__xludf.DUMMYFUNCTION("""COMPUTED_VALUE"""),"All")</f>
        <v>All</v>
      </c>
      <c r="S22" s="8" t="s">
        <v>223</v>
      </c>
      <c r="T22" s="8" t="s">
        <v>223</v>
      </c>
      <c r="U22" s="8" t="s">
        <v>380</v>
      </c>
      <c r="V22" s="8"/>
      <c r="W22" s="8" t="str">
        <f>IFERROR(__xludf.DUMMYFUNCTION("""COMPUTED_VALUE"""),"Everyone — Reading Loop")</f>
        <v>Everyone — Reading Loop</v>
      </c>
      <c r="X22" s="8" t="str">
        <f>IFERROR(__xludf.DUMMYFUNCTION("""COMPUTED_VALUE"""),"Everyone")</f>
        <v>Everyone</v>
      </c>
      <c r="Y22" s="8" t="str">
        <f>IFERROR(__xludf.DUMMYFUNCTION("""COMPUTED_VALUE"""),"Reading Loop")</f>
        <v>Reading Loop</v>
      </c>
      <c r="Z22" s="8" t="str">
        <f>IFERROR(__xludf.DUMMYFUNCTION("""COMPUTED_VALUE"""),"All")</f>
        <v>All</v>
      </c>
      <c r="AA22" s="8" t="str">
        <f>IFERROR(__xludf.DUMMYFUNCTION("""COMPUTED_VALUE"""),"All")</f>
        <v>All</v>
      </c>
      <c r="AB22" s="8" t="str">
        <f>IFERROR(__xludf.DUMMYFUNCTION("""COMPUTED_VALUE"""),"All")</f>
        <v>All</v>
      </c>
      <c r="AC22" s="8" t="str">
        <f>IFERROR(__xludf.DUMMYFUNCTION("""COMPUTED_VALUE"""),"Not Done")</f>
        <v>Not Done</v>
      </c>
      <c r="AD22" s="8" t="str">
        <f>IF(Setup!$A26,Setup!$B26,"")</f>
        <v/>
      </c>
      <c r="AE22" s="8" t="str">
        <f t="array" ref="AE22">IF($AD22="","",IF(SUMPRODUCT(--(Setup!$A$6:$A$13=TRUE),--TRANSPOSE(Setup!$C26:$J26=TRUE))=0,"Group ⚠ no active members","Group"))</f>
        <v/>
      </c>
      <c r="AF22" s="8" t="str">
        <f t="array" ref="AF22">IF($AD22="","",IF(SUMPRODUCT(--(Setup!$A$6:$A$13=TRUE),--TRANSPOSE(Setup!$C26:$J26=TRUE))=0,FALSE,SUMPRODUCT(--(Setup!$A$6:$A$13=TRUE),--TRANSPOSE(Setup!$C26:$J26=TRUE),--(Setup!$G$6:$G$13=FALSE))=0))</f>
        <v/>
      </c>
      <c r="AG22" s="8" t="str">
        <f t="array" ref="AG22">IF($AD22="","",IF(SUMPRODUCT(--(Setup!$A$6:$A$13=TRUE),--TRANSPOSE(Setup!$C26:$J26=TRUE))=0,FALSE,SUMPRODUCT(--(Setup!$A$6:$A$13=TRUE),--TRANSPOSE(Setup!$C26:$J26=TRUE),--(Setup!$H$6:$H$13=FALSE))=0))</f>
        <v/>
      </c>
      <c r="AH22" s="8" t="str">
        <f t="array" ref="AH22">IF($AD22="","",IF(SUMPRODUCT(--(Setup!$A$6:$A$13=TRUE),--TRANSPOSE(Setup!$C26:$J26=TRUE))=0,FALSE,SUMPRODUCT(--(Setup!$A$6:$A$13=TRUE),--TRANSPOSE(Setup!$C26:$J26=TRUE),--(Setup!$I$6:$I$13=FALSE))=0))</f>
        <v/>
      </c>
      <c r="AI22" s="8" t="str">
        <f t="array" ref="AI22">IF($AD22="","",IF(SUMPRODUCT(--(Setup!$A$6:$A$13=TRUE),--TRANSPOSE(Setup!$C26:$J26=TRUE))=0,FALSE,SUMPRODUCT(--(Setup!$A$6:$A$13=TRUE),--TRANSPOSE(Setup!$C26:$J26=TRUE),--(Setup!$J$6:$J$13=FALSE))=0))</f>
        <v/>
      </c>
      <c r="AJ22" s="8" t="str">
        <f t="array" ref="AJ22">IF($AD22="","",IF(SUMPRODUCT(--(Setup!$A$6:$A$13=TRUE),--TRANSPOSE(Setup!$C26:$J26=TRUE))=0,FALSE,SUMPRODUCT(--(Setup!$A$6:$A$13=TRUE),--TRANSPOSE(Setup!$C26:$J26=TRUE),--(Setup!$K$6:$K$13=FALSE))=0))</f>
        <v/>
      </c>
      <c r="AK22" s="8"/>
      <c r="AL22" s="8">
        <f t="shared" si="4"/>
        <v>18</v>
      </c>
      <c r="AM22" s="451" t="str">
        <f t="shared" si="5"/>
        <v>All Together / Literature — Tales / Fairy Tales / Myths</v>
      </c>
      <c r="AN22" s="8" t="b">
        <f>AND(OR('Family Map'!A63=TRUE,'Family Map'!A63="☑",'Family Map'!A63="✓",'Family Map'!A63="✔"),$E22&lt;&gt;"",$J22="☑",$AK22="")</f>
        <v>1</v>
      </c>
      <c r="AO22" s="451" t="str">
        <f t="shared" si="6"/>
        <v>All Together / Literature — Tales / Fairy Tales / Myths</v>
      </c>
      <c r="AP22" s="8">
        <f t="shared" si="7"/>
        <v>18</v>
      </c>
      <c r="AQ22" s="451" t="str">
        <f>'Family Map'!H63</f>
        <v/>
      </c>
      <c r="AR22" s="451" t="str">
        <f t="shared" si="8"/>
        <v/>
      </c>
      <c r="AS22" s="8" t="str">
        <f>IFERROR(__xludf.DUMMYFUNCTION("LET(slot,$A22,label,$AM22,raw,$AQ22,resolved,$AR22,isCovered,$AK22&lt;&gt;"""",active,COUNTIF(Setup!$S$6:$S$25,resolved)&gt;0,placeAud,IFERROR(FILTER(IFERROR(LEFT('Strand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"",TRUE,IF(AND($A"&amp;"N22,raw=""""),""⚠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22" s="8" t="str">
        <f t="shared" si="9"/>
        <v/>
      </c>
      <c r="AU22" s="8"/>
      <c r="AV22" s="451" t="str">
        <f t="shared" si="10"/>
        <v>All Together / Literature — Tales / Fairy Tales / Myths</v>
      </c>
      <c r="AW22" s="451" t="str">
        <f t="shared" si="11"/>
        <v/>
      </c>
      <c r="AX22" s="8" t="str">
        <f>IFERROR(__xludf.DUMMYFUNCTION("IF($AV22="""","""",IFERROR(TEXTJOIN(CHAR(10),TRUE,FILTER(""row ""&amp;ROW('Strand Placement'!$B$21:$B$89)&amp;"" • ""&amp;IFERROR(LEFT('Strand Placement'!$L$21:$L$89,FIND("" | "",'Strand Placement'!$L$21:$L$89)-1),""""),'Strand Placement'!$B$21:$B$89=$AV22)),""""))"),"")</f>
        <v/>
      </c>
      <c r="AY22" s="8" t="str">
        <f>IFERROR(__xludf.DUMMYFUNCTION("IF($AV22="""","""",IFERROR(TEXTJOIN(CHAR(10),TRUE,FILTER(""row ""&amp;ROW('Student Work'!$C$24:$C$223)&amp;"" • ""&amp;'Student Work'!$A$24:$A$223,'Student Work'!$C$24:$C$223=$AV22)),""""))"),"")</f>
        <v/>
      </c>
      <c r="AZ22" s="8" t="str">
        <f>IFERROR(__xludf.DUMMYFUNCTION("IF($AV22="""","""",IFERROR(TEXTJOIN(CHAR(10),TRUE,FILTER(""row ""&amp;ROW('Resource Planner'!$D$10:$D$69)&amp;"" • ""&amp;'Resource Planner'!$C$10:$C$69,'Resource Planner'!$D$10:$D$69=$AV22)),""""))"),"")</f>
        <v/>
      </c>
      <c r="BA22" s="8" t="str">
        <f t="shared" si="12"/>
        <v>⚠ active standalone/keeper has no Who / Group</v>
      </c>
    </row>
    <row r="23" ht="15.75" customHeight="1">
      <c r="A23" s="8">
        <v>19.0</v>
      </c>
      <c r="B23" s="451" t="str">
        <f>'Family Map'!B64</f>
        <v>Form I</v>
      </c>
      <c r="C23" s="451" t="str">
        <f>'Family Map'!C64</f>
        <v>Literature</v>
      </c>
      <c r="D23" s="451" t="str">
        <f>'Family Map'!D64</f>
        <v>Reader / Phonics</v>
      </c>
      <c r="E23" s="451" t="str">
        <f>'Family Map'!G64</f>
        <v>Form I / Literature — Reader / Phonics</v>
      </c>
      <c r="F23" s="451" t="str">
        <f t="shared" si="1"/>
        <v>Form I / Literature — Reader / Phonics</v>
      </c>
      <c r="G23" s="8">
        <f>IF(E23="",0,COUNTIF('Strand Placement'!$B:$B,E23))</f>
        <v>0</v>
      </c>
      <c r="H23" s="8" t="str">
        <f t="shared" si="2"/>
        <v>Unplaced</v>
      </c>
      <c r="I23" s="8" t="s">
        <v>648</v>
      </c>
      <c r="J23" s="8" t="str">
        <f t="array" ref="J23">IFERROR(XLOOKUP(B23,Setup!$B$38:$B$44,Setup!$A$38:$A$44),"☑")</f>
        <v>☑</v>
      </c>
      <c r="K23" s="8"/>
      <c r="L23" s="8"/>
      <c r="M23" s="8" t="str">
        <f>IFERROR(__xludf.DUMMYFUNCTION("""COMPUTED_VALUE"""),"Little Girls — Hands + Beauty Loop")</f>
        <v>Little Girls — Hands + Beauty Loop</v>
      </c>
      <c r="N23" s="8"/>
      <c r="O23" s="8" t="str">
        <f>IFERROR(__xludf.DUMMYFUNCTION("""COMPUTED_VALUE"""),"Little Girls — Hands + Beauty Loop")</f>
        <v>Little Girls — Hands + Beauty Loop</v>
      </c>
      <c r="P23" s="451" t="str">
        <f>IFERROR(__xludf.DUMMYFUNCTION("""COMPUTED_VALUE"""),"Little Girls")</f>
        <v>Little Girls</v>
      </c>
      <c r="Q23" s="451" t="str">
        <f>IFERROR(__xludf.DUMMYFUNCTION("""COMPUTED_VALUE"""),"Hands + Beauty Loop")</f>
        <v>Hands + Beauty Loop</v>
      </c>
      <c r="R23" s="8" t="str">
        <f>IFERROR(__xludf.DUMMYFUNCTION("""COMPUTED_VALUE"""),"All")</f>
        <v>All</v>
      </c>
      <c r="S23" s="8" t="s">
        <v>223</v>
      </c>
      <c r="T23" s="8" t="s">
        <v>223</v>
      </c>
      <c r="U23" s="8" t="s">
        <v>380</v>
      </c>
      <c r="V23" s="8"/>
      <c r="W23" s="8" t="str">
        <f>IFERROR(__xludf.DUMMYFUNCTION("""COMPUTED_VALUE"""),"Little Girls — Hands + Beauty Loop")</f>
        <v>Little Girls — Hands + Beauty Loop</v>
      </c>
      <c r="X23" s="8" t="str">
        <f>IFERROR(__xludf.DUMMYFUNCTION("""COMPUTED_VALUE"""),"Little Girls")</f>
        <v>Little Girls</v>
      </c>
      <c r="Y23" s="8" t="str">
        <f>IFERROR(__xludf.DUMMYFUNCTION("""COMPUTED_VALUE"""),"Hands + Beauty Loop")</f>
        <v>Hands + Beauty Loop</v>
      </c>
      <c r="Z23" s="8" t="str">
        <f>IFERROR(__xludf.DUMMYFUNCTION("""COMPUTED_VALUE"""),"All")</f>
        <v>All</v>
      </c>
      <c r="AA23" s="8" t="str">
        <f>IFERROR(__xludf.DUMMYFUNCTION("""COMPUTED_VALUE"""),"All")</f>
        <v>All</v>
      </c>
      <c r="AB23" s="8" t="str">
        <f>IFERROR(__xludf.DUMMYFUNCTION("""COMPUTED_VALUE"""),"All")</f>
        <v>All</v>
      </c>
      <c r="AC23" s="8" t="str">
        <f>IFERROR(__xludf.DUMMYFUNCTION("""COMPUTED_VALUE"""),"Not Done")</f>
        <v>Not Done</v>
      </c>
      <c r="AD23" s="229" t="s">
        <v>649</v>
      </c>
      <c r="AE23" s="8" t="str">
        <f>IF(COUNTIF($AE$13:$AE$22,"*⚠*")=0,"OK",COUNTIF($AE$13:$AE$22,"*⚠*")&amp;" active group(s) have zero active members")</f>
        <v>OK</v>
      </c>
      <c r="AF23" s="8"/>
      <c r="AG23" s="8"/>
      <c r="AH23" s="8"/>
      <c r="AI23" s="8"/>
      <c r="AJ23" s="8"/>
      <c r="AK23" s="8"/>
      <c r="AL23" s="8">
        <f t="shared" si="4"/>
        <v>19</v>
      </c>
      <c r="AM23" s="451" t="str">
        <f t="shared" si="5"/>
        <v>Form I / Literature — Reader / Phonics</v>
      </c>
      <c r="AN23" s="8" t="b">
        <f>AND(OR('Family Map'!A64=TRUE,'Family Map'!A64="☑",'Family Map'!A64="✓",'Family Map'!A64="✔"),$E23&lt;&gt;"",$J23="☑",$AK23="")</f>
        <v>1</v>
      </c>
      <c r="AO23" s="451" t="str">
        <f t="shared" si="6"/>
        <v>Form I / Literature — Reader / Phonics</v>
      </c>
      <c r="AP23" s="8">
        <f t="shared" si="7"/>
        <v>19</v>
      </c>
      <c r="AQ23" s="451" t="str">
        <f>'Family Map'!H64</f>
        <v/>
      </c>
      <c r="AR23" s="451" t="str">
        <f t="shared" si="8"/>
        <v/>
      </c>
      <c r="AS23" s="8" t="str">
        <f>IFERROR(__xludf.DUMMYFUNCTION("LET(slot,$A23,label,$AM23,raw,$AQ23,resolved,$AR23,isCovered,$AK23&lt;&gt;"""",active,COUNTIF(Setup!$S$6:$S$25,resolved)&gt;0,placeAud,IFERROR(FILTER(IFERROR(LEFT('Strand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"",TRUE,IF(AND($A"&amp;"N23,raw=""""),""⚠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23" s="8" t="str">
        <f t="shared" si="9"/>
        <v/>
      </c>
      <c r="AU23" s="8"/>
      <c r="AV23" s="451" t="str">
        <f t="shared" si="10"/>
        <v>Form I / Literature — Reader / Phonics</v>
      </c>
      <c r="AW23" s="451" t="str">
        <f t="shared" si="11"/>
        <v/>
      </c>
      <c r="AX23" s="8" t="str">
        <f>IFERROR(__xludf.DUMMYFUNCTION("IF($AV23="""","""",IFERROR(TEXTJOIN(CHAR(10),TRUE,FILTER(""row ""&amp;ROW('Strand Placement'!$B$21:$B$89)&amp;"" • ""&amp;IFERROR(LEFT('Strand Placement'!$L$21:$L$89,FIND("" | "",'Strand Placement'!$L$21:$L$89)-1),""""),'Strand Placement'!$B$21:$B$89=$AV23)),""""))"),"")</f>
        <v/>
      </c>
      <c r="AY23" s="8" t="str">
        <f>IFERROR(__xludf.DUMMYFUNCTION("IF($AV23="""","""",IFERROR(TEXTJOIN(CHAR(10),TRUE,FILTER(""row ""&amp;ROW('Student Work'!$C$24:$C$223)&amp;"" • ""&amp;'Student Work'!$A$24:$A$223,'Student Work'!$C$24:$C$223=$AV23)),""""))"),"")</f>
        <v/>
      </c>
      <c r="AZ23" s="8" t="str">
        <f>IFERROR(__xludf.DUMMYFUNCTION("IF($AV23="""","""",IFERROR(TEXTJOIN(CHAR(10),TRUE,FILTER(""row ""&amp;ROW('Resource Planner'!$D$10:$D$69)&amp;"" • ""&amp;'Resource Planner'!$C$10:$C$69,'Resource Planner'!$D$10:$D$69=$AV23)),""""))"),"")</f>
        <v/>
      </c>
      <c r="BA23" s="8" t="str">
        <f t="shared" si="12"/>
        <v>⚠ active standalone/keeper has no Who / Group</v>
      </c>
    </row>
    <row r="24" ht="15.75" customHeight="1">
      <c r="A24" s="8">
        <v>20.0</v>
      </c>
      <c r="B24" s="451" t="str">
        <f>'Family Map'!B65</f>
        <v>Form I</v>
      </c>
      <c r="C24" s="451" t="str">
        <f>'Family Map'!C65</f>
        <v>History</v>
      </c>
      <c r="D24" s="451" t="str">
        <f>'Family Map'!D65</f>
        <v>Picture Books</v>
      </c>
      <c r="E24" s="451" t="str">
        <f>'Family Map'!G65</f>
        <v>Form I / History — Picture Books</v>
      </c>
      <c r="F24" s="451" t="str">
        <f t="shared" si="1"/>
        <v>Form I / History — Picture Books</v>
      </c>
      <c r="G24" s="8">
        <f>IF(E24="",0,COUNTIF('Strand Placement'!$B:$B,E24))</f>
        <v>0</v>
      </c>
      <c r="H24" s="8" t="str">
        <f t="shared" si="2"/>
        <v>Unplaced</v>
      </c>
      <c r="I24" s="8" t="s">
        <v>652</v>
      </c>
      <c r="J24" s="8" t="str">
        <f t="array" ref="J24">IFERROR(XLOOKUP(B24,Setup!$B$38:$B$44,Setup!$A$38:$A$44),"☑")</f>
        <v>☑</v>
      </c>
      <c r="K24" s="8"/>
      <c r="L24" s="8"/>
      <c r="M24" s="8" t="str">
        <f>IFERROR(__xludf.DUMMYFUNCTION("""COMPUTED_VALUE"""),"Jeremiah — Outside / Co-op")</f>
        <v>Jeremiah — Outside / Co-op</v>
      </c>
      <c r="N24" s="8"/>
      <c r="O24" s="8" t="str">
        <f>IFERROR(__xludf.DUMMYFUNCTION("""COMPUTED_VALUE"""),"Jeremiah — Outside / Co-op")</f>
        <v>Jeremiah — Outside / Co-op</v>
      </c>
      <c r="P24" s="451" t="str">
        <f>IFERROR(__xludf.DUMMYFUNCTION("""COMPUTED_VALUE"""),"Jeremiah")</f>
        <v>Jeremiah</v>
      </c>
      <c r="Q24" s="451" t="str">
        <f>IFERROR(__xludf.DUMMYFUNCTION("""COMPUTED_VALUE"""),"Outside / Co-op")</f>
        <v>Outside / Co-op</v>
      </c>
      <c r="R24" s="8" t="str">
        <f>IFERROR(__xludf.DUMMYFUNCTION("""COMPUTED_VALUE"""),"All")</f>
        <v>All</v>
      </c>
      <c r="S24" s="8" t="s">
        <v>223</v>
      </c>
      <c r="T24" s="8" t="s">
        <v>223</v>
      </c>
      <c r="U24" s="8" t="s">
        <v>380</v>
      </c>
      <c r="V24" s="8"/>
      <c r="W24" s="8" t="str">
        <f>IFERROR(__xludf.DUMMYFUNCTION("""COMPUTED_VALUE"""),"Jeremiah — Outside / Co-op")</f>
        <v>Jeremiah — Outside / Co-op</v>
      </c>
      <c r="X24" s="8" t="str">
        <f>IFERROR(__xludf.DUMMYFUNCTION("""COMPUTED_VALUE"""),"Jeremiah")</f>
        <v>Jeremiah</v>
      </c>
      <c r="Y24" s="8" t="str">
        <f>IFERROR(__xludf.DUMMYFUNCTION("""COMPUTED_VALUE"""),"Outside / Co-op")</f>
        <v>Outside / Co-op</v>
      </c>
      <c r="Z24" s="8" t="str">
        <f>IFERROR(__xludf.DUMMYFUNCTION("""COMPUTED_VALUE"""),"All")</f>
        <v>All</v>
      </c>
      <c r="AA24" s="8" t="str">
        <f>IFERROR(__xludf.DUMMYFUNCTION("""COMPUTED_VALUE"""),"All")</f>
        <v>All</v>
      </c>
      <c r="AB24" s="8" t="str">
        <f>IFERROR(__xludf.DUMMYFUNCTION("""COMPUTED_VALUE"""),"All")</f>
        <v>All</v>
      </c>
      <c r="AC24" s="8" t="str">
        <f>IFERROR(__xludf.DUMMYFUNCTION("""COMPUTED_VALUE"""),"Not Done")</f>
        <v>Not Done</v>
      </c>
      <c r="AD24" s="229" t="s">
        <v>653</v>
      </c>
      <c r="AE24" s="8" t="str">
        <f>IFERROR(__xludf.DUMMYFUNCTION("IFERROR(TEXTJOIN("", "",TRUE,FILTER($AD$13:$AD$22,$AE$13:$AE$22=""Group ⚠ no active members"")),"""")"),"")</f>
        <v/>
      </c>
      <c r="AF24" s="8"/>
      <c r="AG24" s="8"/>
      <c r="AH24" s="8"/>
      <c r="AI24" s="8"/>
      <c r="AJ24" s="8"/>
      <c r="AK24" s="8"/>
      <c r="AL24" s="8">
        <f t="shared" si="4"/>
        <v>20</v>
      </c>
      <c r="AM24" s="451" t="str">
        <f t="shared" si="5"/>
        <v>Form I / History — Picture Books</v>
      </c>
      <c r="AN24" s="8" t="b">
        <f>AND(OR('Family Map'!A65=TRUE,'Family Map'!A65="☑",'Family Map'!A65="✓",'Family Map'!A65="✔"),$E24&lt;&gt;"",$J24="☑",$AK24="")</f>
        <v>1</v>
      </c>
      <c r="AO24" s="451" t="str">
        <f t="shared" si="6"/>
        <v>Form I / History — Picture Books</v>
      </c>
      <c r="AP24" s="8">
        <f t="shared" si="7"/>
        <v>20</v>
      </c>
      <c r="AQ24" s="451" t="str">
        <f>'Family Map'!H65</f>
        <v/>
      </c>
      <c r="AR24" s="451" t="str">
        <f t="shared" si="8"/>
        <v/>
      </c>
      <c r="AS24" s="8" t="str">
        <f>IFERROR(__xludf.DUMMYFUNCTION("LET(slot,$A24,label,$AM24,raw,$AQ24,resolved,$AR24,isCovered,$AK24&lt;&gt;"""",active,COUNTIF(Setup!$S$6:$S$25,resolved)&gt;0,placeAud,IFERROR(FILTER(IFERROR(LEFT('Strand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"",TRUE,IF(AND($A"&amp;"N24,raw=""""),""⚠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24" s="8" t="str">
        <f t="shared" si="9"/>
        <v/>
      </c>
      <c r="AU24" s="8"/>
      <c r="AV24" s="451" t="str">
        <f t="shared" si="10"/>
        <v>Form I / History — Picture Books</v>
      </c>
      <c r="AW24" s="451" t="str">
        <f t="shared" si="11"/>
        <v/>
      </c>
      <c r="AX24" s="8" t="str">
        <f>IFERROR(__xludf.DUMMYFUNCTION("IF($AV24="""","""",IFERROR(TEXTJOIN(CHAR(10),TRUE,FILTER(""row ""&amp;ROW('Strand Placement'!$B$21:$B$89)&amp;"" • ""&amp;IFERROR(LEFT('Strand Placement'!$L$21:$L$89,FIND("" | "",'Strand Placement'!$L$21:$L$89)-1),""""),'Strand Placement'!$B$21:$B$89=$AV24)),""""))"),"")</f>
        <v/>
      </c>
      <c r="AY24" s="8" t="str">
        <f>IFERROR(__xludf.DUMMYFUNCTION("IF($AV24="""","""",IFERROR(TEXTJOIN(CHAR(10),TRUE,FILTER(""row ""&amp;ROW('Student Work'!$C$24:$C$223)&amp;"" • ""&amp;'Student Work'!$A$24:$A$223,'Student Work'!$C$24:$C$223=$AV24)),""""))"),"")</f>
        <v/>
      </c>
      <c r="AZ24" s="8" t="str">
        <f>IFERROR(__xludf.DUMMYFUNCTION("IF($AV24="""","""",IFERROR(TEXTJOIN(CHAR(10),TRUE,FILTER(""row ""&amp;ROW('Resource Planner'!$D$10:$D$69)&amp;"" • ""&amp;'Resource Planner'!$C$10:$C$69,'Resource Planner'!$D$10:$D$69=$AV24)),""""))"),"")</f>
        <v/>
      </c>
      <c r="BA24" s="8" t="str">
        <f t="shared" si="12"/>
        <v>⚠ active standalone/keeper has no Who / Group</v>
      </c>
    </row>
    <row r="25" ht="15.75" customHeight="1">
      <c r="A25" s="8">
        <v>21.0</v>
      </c>
      <c r="B25" s="451" t="str">
        <f>'Family Map'!B66</f>
        <v>Form I</v>
      </c>
      <c r="C25" s="451" t="str">
        <f>'Family Map'!C66</f>
        <v>History</v>
      </c>
      <c r="D25" s="451" t="str">
        <f>'Family Map'!D66</f>
        <v>Early History Stories</v>
      </c>
      <c r="E25" s="451" t="str">
        <f>'Family Map'!G66</f>
        <v>Form I / History — Early History Stories</v>
      </c>
      <c r="F25" s="451" t="str">
        <f t="shared" si="1"/>
        <v>Form I / History — Early History Stories</v>
      </c>
      <c r="G25" s="8">
        <f>IF(E25="",0,COUNTIF('Strand Placement'!$B:$B,E25))</f>
        <v>0</v>
      </c>
      <c r="H25" s="8" t="str">
        <f t="shared" si="2"/>
        <v>Unplaced</v>
      </c>
      <c r="I25" s="8" t="s">
        <v>655</v>
      </c>
      <c r="J25" s="8" t="str">
        <f t="array" ref="J25">IFERROR(XLOOKUP(B25,Setup!$B$38:$B$44,Setup!$A$38:$A$44),"☑")</f>
        <v>☑</v>
      </c>
      <c r="K25" s="8"/>
      <c r="L25" s="8"/>
      <c r="M25" s="8" t="str">
        <f>IFERROR(__xludf.DUMMYFUNCTION("""COMPUTED_VALUE"""),"Everyone — Faith")</f>
        <v>Everyone — Faith</v>
      </c>
      <c r="N25" s="8"/>
      <c r="O25" s="8" t="str">
        <f>IFERROR(__xludf.DUMMYFUNCTION("""COMPUTED_VALUE"""),"Everyone — Faith")</f>
        <v>Everyone — Faith</v>
      </c>
      <c r="P25" s="451" t="str">
        <f>IFERROR(__xludf.DUMMYFUNCTION("""COMPUTED_VALUE"""),"Everyone")</f>
        <v>Everyone</v>
      </c>
      <c r="Q25" s="451" t="str">
        <f>IFERROR(__xludf.DUMMYFUNCTION("""COMPUTED_VALUE"""),"Faith")</f>
        <v>Faith</v>
      </c>
      <c r="R25" s="8" t="str">
        <f>IFERROR(__xludf.DUMMYFUNCTION("""COMPUTED_VALUE"""),"All")</f>
        <v>All</v>
      </c>
      <c r="S25" s="8" t="s">
        <v>223</v>
      </c>
      <c r="T25" s="8" t="s">
        <v>223</v>
      </c>
      <c r="U25" s="8" t="s">
        <v>380</v>
      </c>
      <c r="V25" s="8"/>
      <c r="W25" s="8" t="str">
        <f>IFERROR(__xludf.DUMMYFUNCTION("""COMPUTED_VALUE"""),"Everyone — Faith")</f>
        <v>Everyone — Faith</v>
      </c>
      <c r="X25" s="8" t="str">
        <f>IFERROR(__xludf.DUMMYFUNCTION("""COMPUTED_VALUE"""),"Everyone")</f>
        <v>Everyone</v>
      </c>
      <c r="Y25" s="8" t="str">
        <f>IFERROR(__xludf.DUMMYFUNCTION("""COMPUTED_VALUE"""),"Faith")</f>
        <v>Faith</v>
      </c>
      <c r="Z25" s="8" t="str">
        <f>IFERROR(__xludf.DUMMYFUNCTION("""COMPUTED_VALUE"""),"All")</f>
        <v>All</v>
      </c>
      <c r="AA25" s="8" t="str">
        <f>IFERROR(__xludf.DUMMYFUNCTION("""COMPUTED_VALUE"""),"All")</f>
        <v>All</v>
      </c>
      <c r="AB25" s="8" t="str">
        <f>IFERROR(__xludf.DUMMYFUNCTION("""COMPUTED_VALUE"""),"All")</f>
        <v>All</v>
      </c>
      <c r="AC25" s="8" t="str">
        <f>IFERROR(__xludf.DUMMYFUNCTION("""COMPUTED_VALUE"""),"Not Done")</f>
        <v>Not Done</v>
      </c>
      <c r="AD25" s="8"/>
      <c r="AE25" s="8"/>
      <c r="AF25" s="8"/>
      <c r="AG25" s="8"/>
      <c r="AH25" s="8"/>
      <c r="AI25" s="8"/>
      <c r="AJ25" s="8"/>
      <c r="AK25" s="8"/>
      <c r="AL25" s="8">
        <f t="shared" si="4"/>
        <v>21</v>
      </c>
      <c r="AM25" s="451" t="str">
        <f t="shared" si="5"/>
        <v>Form I / History — Early History Stories</v>
      </c>
      <c r="AN25" s="8" t="b">
        <f>AND(OR('Family Map'!A66=TRUE,'Family Map'!A66="☑",'Family Map'!A66="✓",'Family Map'!A66="✔"),$E25&lt;&gt;"",$J25="☑",$AK25="")</f>
        <v>1</v>
      </c>
      <c r="AO25" s="451" t="str">
        <f t="shared" si="6"/>
        <v>Form I / History — Early History Stories</v>
      </c>
      <c r="AP25" s="8">
        <f t="shared" si="7"/>
        <v>21</v>
      </c>
      <c r="AQ25" s="451" t="str">
        <f>'Family Map'!H66</f>
        <v/>
      </c>
      <c r="AR25" s="451" t="str">
        <f t="shared" si="8"/>
        <v/>
      </c>
      <c r="AS25" s="8" t="str">
        <f>IFERROR(__xludf.DUMMYFUNCTION("LET(slot,$A25,label,$AM25,raw,$AQ25,resolved,$AR25,isCovered,$AK25&lt;&gt;"""",active,COUNTIF(Setup!$S$6:$S$25,resolved)&gt;0,placeAud,IFERROR(FILTER(IFERROR(LEFT('Strand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"",TRUE,IF(AND($A"&amp;"N25,raw=""""),""⚠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25" s="8" t="str">
        <f t="shared" si="9"/>
        <v/>
      </c>
      <c r="AU25" s="8"/>
      <c r="AV25" s="451" t="str">
        <f t="shared" si="10"/>
        <v>Form I / History — Early History Stories</v>
      </c>
      <c r="AW25" s="451" t="str">
        <f t="shared" si="11"/>
        <v/>
      </c>
      <c r="AX25" s="8" t="str">
        <f>IFERROR(__xludf.DUMMYFUNCTION("IF($AV25="""","""",IFERROR(TEXTJOIN(CHAR(10),TRUE,FILTER(""row ""&amp;ROW('Strand Placement'!$B$21:$B$89)&amp;"" • ""&amp;IFERROR(LEFT('Strand Placement'!$L$21:$L$89,FIND("" | "",'Strand Placement'!$L$21:$L$89)-1),""""),'Strand Placement'!$B$21:$B$89=$AV25)),""""))"),"")</f>
        <v/>
      </c>
      <c r="AY25" s="8" t="str">
        <f>IFERROR(__xludf.DUMMYFUNCTION("IF($AV25="""","""",IFERROR(TEXTJOIN(CHAR(10),TRUE,FILTER(""row ""&amp;ROW('Student Work'!$C$24:$C$223)&amp;"" • ""&amp;'Student Work'!$A$24:$A$223,'Student Work'!$C$24:$C$223=$AV25)),""""))"),"")</f>
        <v/>
      </c>
      <c r="AZ25" s="8" t="str">
        <f>IFERROR(__xludf.DUMMYFUNCTION("IF($AV25="""","""",IFERROR(TEXTJOIN(CHAR(10),TRUE,FILTER(""row ""&amp;ROW('Resource Planner'!$D$10:$D$69)&amp;"" • ""&amp;'Resource Planner'!$C$10:$C$69,'Resource Planner'!$D$10:$D$69=$AV25)),""""))"),"")</f>
        <v/>
      </c>
      <c r="BA25" s="8" t="str">
        <f t="shared" si="12"/>
        <v>⚠ active standalone/keeper has no Who / Group</v>
      </c>
    </row>
    <row r="26" ht="15.75" customHeight="1">
      <c r="A26" s="8">
        <v>22.0</v>
      </c>
      <c r="B26" s="451" t="str">
        <f>'Family Map'!B67</f>
        <v>Form I</v>
      </c>
      <c r="C26" s="451" t="str">
        <f>'Family Map'!C67</f>
        <v>Geography</v>
      </c>
      <c r="D26" s="451" t="str">
        <f>'Family Map'!D67</f>
        <v>Map / Place Stories</v>
      </c>
      <c r="E26" s="451" t="str">
        <f>'Family Map'!G67</f>
        <v>Form I / Geography — Map / Place Stories</v>
      </c>
      <c r="F26" s="451" t="str">
        <f t="shared" si="1"/>
        <v>Form I / Geography — Map / Place Stories</v>
      </c>
      <c r="G26" s="8">
        <f>IF(E26="",0,COUNTIF('Strand Placement'!$B:$B,E26))</f>
        <v>0</v>
      </c>
      <c r="H26" s="8" t="str">
        <f t="shared" si="2"/>
        <v>Unplaced</v>
      </c>
      <c r="I26" s="8" t="s">
        <v>656</v>
      </c>
      <c r="J26" s="8" t="str">
        <f t="array" ref="J26">IFERROR(XLOOKUP(B26,Setup!$B$38:$B$44,Setup!$A$38:$A$44),"☑")</f>
        <v>☑</v>
      </c>
      <c r="K26" s="8"/>
      <c r="L26" s="8"/>
      <c r="M26" s="8" t="str">
        <f>IFERROR(__xludf.DUMMYFUNCTION("""COMPUTED_VALUE"""),"Everyone — Hands + Beauty Loop")</f>
        <v>Everyone — Hands + Beauty Loop</v>
      </c>
      <c r="N26" s="8"/>
      <c r="O26" s="8" t="str">
        <f>IFERROR(__xludf.DUMMYFUNCTION("""COMPUTED_VALUE"""),"Everyone — Hands + Beauty Loop")</f>
        <v>Everyone — Hands + Beauty Loop</v>
      </c>
      <c r="P26" s="451" t="str">
        <f>IFERROR(__xludf.DUMMYFUNCTION("""COMPUTED_VALUE"""),"Everyone")</f>
        <v>Everyone</v>
      </c>
      <c r="Q26" s="451" t="str">
        <f>IFERROR(__xludf.DUMMYFUNCTION("""COMPUTED_VALUE"""),"Hands + Beauty Loop")</f>
        <v>Hands + Beauty Loop</v>
      </c>
      <c r="R26" s="8" t="str">
        <f>IFERROR(__xludf.DUMMYFUNCTION("""COMPUTED_VALUE"""),"All")</f>
        <v>All</v>
      </c>
      <c r="S26" s="8" t="s">
        <v>223</v>
      </c>
      <c r="T26" s="8" t="s">
        <v>223</v>
      </c>
      <c r="U26" s="8" t="s">
        <v>380</v>
      </c>
      <c r="V26" s="8"/>
      <c r="W26" s="8" t="str">
        <f>IFERROR(__xludf.DUMMYFUNCTION("""COMPUTED_VALUE"""),"Everyone — Hands + Beauty Loop")</f>
        <v>Everyone — Hands + Beauty Loop</v>
      </c>
      <c r="X26" s="8" t="str">
        <f>IFERROR(__xludf.DUMMYFUNCTION("""COMPUTED_VALUE"""),"Everyone")</f>
        <v>Everyone</v>
      </c>
      <c r="Y26" s="8" t="str">
        <f>IFERROR(__xludf.DUMMYFUNCTION("""COMPUTED_VALUE"""),"Hands + Beauty Loop")</f>
        <v>Hands + Beauty Loop</v>
      </c>
      <c r="Z26" s="8" t="str">
        <f>IFERROR(__xludf.DUMMYFUNCTION("""COMPUTED_VALUE"""),"All")</f>
        <v>All</v>
      </c>
      <c r="AA26" s="8" t="str">
        <f>IFERROR(__xludf.DUMMYFUNCTION("""COMPUTED_VALUE"""),"All")</f>
        <v>All</v>
      </c>
      <c r="AB26" s="8" t="str">
        <f>IFERROR(__xludf.DUMMYFUNCTION("""COMPUTED_VALUE"""),"All")</f>
        <v>All</v>
      </c>
      <c r="AC26" s="8" t="str">
        <f>IFERROR(__xludf.DUMMYFUNCTION("""COMPUTED_VALUE"""),"Not Done")</f>
        <v>Not Done</v>
      </c>
      <c r="AD26" s="8"/>
      <c r="AE26" s="8"/>
      <c r="AF26" s="8"/>
      <c r="AG26" s="8"/>
      <c r="AH26" s="8"/>
      <c r="AI26" s="8"/>
      <c r="AJ26" s="8"/>
      <c r="AK26" s="8"/>
      <c r="AL26" s="8">
        <f t="shared" si="4"/>
        <v>22</v>
      </c>
      <c r="AM26" s="451" t="str">
        <f t="shared" si="5"/>
        <v>Form I / Geography — Map / Place Stories</v>
      </c>
      <c r="AN26" s="8" t="b">
        <f>AND(OR('Family Map'!A67=TRUE,'Family Map'!A67="☑",'Family Map'!A67="✓",'Family Map'!A67="✔"),$E26&lt;&gt;"",$J26="☑",$AK26="")</f>
        <v>1</v>
      </c>
      <c r="AO26" s="451" t="str">
        <f t="shared" si="6"/>
        <v>Form I / Geography — Map / Place Stories</v>
      </c>
      <c r="AP26" s="8">
        <f t="shared" si="7"/>
        <v>22</v>
      </c>
      <c r="AQ26" s="451" t="str">
        <f>'Family Map'!H67</f>
        <v/>
      </c>
      <c r="AR26" s="451" t="str">
        <f t="shared" si="8"/>
        <v/>
      </c>
      <c r="AS26" s="8" t="str">
        <f>IFERROR(__xludf.DUMMYFUNCTION("LET(slot,$A26,label,$AM26,raw,$AQ26,resolved,$AR26,isCovered,$AK26&lt;&gt;"""",active,COUNTIF(Setup!$S$6:$S$25,resolved)&gt;0,placeAud,IFERROR(FILTER(IFERROR(LEFT('Strand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"",TRUE,IF(AND($A"&amp;"N26,raw=""""),""⚠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26" s="8" t="str">
        <f t="shared" si="9"/>
        <v/>
      </c>
      <c r="AU26" s="8"/>
      <c r="AV26" s="451" t="str">
        <f t="shared" si="10"/>
        <v>Form I / Geography — Map / Place Stories</v>
      </c>
      <c r="AW26" s="451" t="str">
        <f t="shared" si="11"/>
        <v/>
      </c>
      <c r="AX26" s="8" t="str">
        <f>IFERROR(__xludf.DUMMYFUNCTION("IF($AV26="""","""",IFERROR(TEXTJOIN(CHAR(10),TRUE,FILTER(""row ""&amp;ROW('Strand Placement'!$B$21:$B$89)&amp;"" • ""&amp;IFERROR(LEFT('Strand Placement'!$L$21:$L$89,FIND("" | "",'Strand Placement'!$L$21:$L$89)-1),""""),'Strand Placement'!$B$21:$B$89=$AV26)),""""))"),"")</f>
        <v/>
      </c>
      <c r="AY26" s="8" t="str">
        <f>IFERROR(__xludf.DUMMYFUNCTION("IF($AV26="""","""",IFERROR(TEXTJOIN(CHAR(10),TRUE,FILTER(""row ""&amp;ROW('Student Work'!$C$24:$C$223)&amp;"" • ""&amp;'Student Work'!$A$24:$A$223,'Student Work'!$C$24:$C$223=$AV26)),""""))"),"")</f>
        <v/>
      </c>
      <c r="AZ26" s="8" t="str">
        <f>IFERROR(__xludf.DUMMYFUNCTION("IF($AV26="""","""",IFERROR(TEXTJOIN(CHAR(10),TRUE,FILTER(""row ""&amp;ROW('Resource Planner'!$D$10:$D$69)&amp;"" • ""&amp;'Resource Planner'!$C$10:$C$69,'Resource Planner'!$D$10:$D$69=$AV26)),""""))"),"")</f>
        <v/>
      </c>
      <c r="BA26" s="8" t="str">
        <f t="shared" si="12"/>
        <v>⚠ active standalone/keeper has no Who / Group</v>
      </c>
    </row>
    <row r="27" ht="15.75" customHeight="1">
      <c r="A27" s="8">
        <v>23.0</v>
      </c>
      <c r="B27" s="451" t="str">
        <f>'Family Map'!B68</f>
        <v>Family Choice</v>
      </c>
      <c r="C27" s="451" t="str">
        <f>'Family Map'!C68</f>
        <v>Science / Nature</v>
      </c>
      <c r="D27" s="451" t="str">
        <f>'Family Map'!D68</f>
        <v>Object Lessons / Natural History</v>
      </c>
      <c r="E27" s="451" t="str">
        <f>'Family Map'!G68</f>
        <v>Family Choice / Science / Nature — Object Lessons / Natural History</v>
      </c>
      <c r="F27" s="8" t="str">
        <f t="shared" si="1"/>
        <v/>
      </c>
      <c r="G27" s="8">
        <f>IF(E27="",0,COUNTIF('Strand Placement'!$B:$B,E27))</f>
        <v>0</v>
      </c>
      <c r="H27" s="8" t="str">
        <f t="shared" si="2"/>
        <v>Unplaced</v>
      </c>
      <c r="I27" s="8" t="s">
        <v>658</v>
      </c>
      <c r="J27" s="8" t="b">
        <f t="array" ref="J27">IFERROR(XLOOKUP(B27,Setup!$B$38:$B$44,Setup!$A$38:$A$44),"☑")</f>
        <v>1</v>
      </c>
      <c r="K27" s="8"/>
      <c r="L27" s="8"/>
      <c r="M27" s="8" t="str">
        <f>IFERROR(__xludf.DUMMYFUNCTION("""COMPUTED_VALUE"""),"Beauty + Hands")</f>
        <v>Beauty + Hands</v>
      </c>
      <c r="N27" s="8"/>
      <c r="O27" s="8" t="str">
        <f>IFERROR(__xludf.DUMMYFUNCTION("""COMPUTED_VALUE"""),"Beauty + Hands")</f>
        <v>Beauty + Hands</v>
      </c>
      <c r="P27" s="8" t="str">
        <f>IFERROR(__xludf.DUMMYFUNCTION("""COMPUTED_VALUE"""),"All")</f>
        <v>All</v>
      </c>
      <c r="Q27" s="8" t="str">
        <f>IFERROR(__xludf.DUMMYFUNCTION("""COMPUTED_VALUE"""),"All")</f>
        <v>All</v>
      </c>
      <c r="R27" s="8" t="str">
        <f>IFERROR(__xludf.DUMMYFUNCTION("""COMPUTED_VALUE"""),"Beauty + Hands")</f>
        <v>Beauty + Hands</v>
      </c>
      <c r="S27" s="8" t="s">
        <v>223</v>
      </c>
      <c r="T27" s="8" t="s">
        <v>223</v>
      </c>
      <c r="U27" s="8" t="s">
        <v>380</v>
      </c>
      <c r="V27" s="8"/>
      <c r="W27" s="8" t="str">
        <f>IFERROR(__xludf.DUMMYFUNCTION("""COMPUTED_VALUE"""),"Beauty + Hands")</f>
        <v>Beauty + Hands</v>
      </c>
      <c r="X27" s="8" t="str">
        <f>IFERROR(__xludf.DUMMYFUNCTION("""COMPUTED_VALUE"""),"All")</f>
        <v>All</v>
      </c>
      <c r="Y27" s="8" t="str">
        <f>IFERROR(__xludf.DUMMYFUNCTION("""COMPUTED_VALUE"""),"All")</f>
        <v>All</v>
      </c>
      <c r="Z27" s="8" t="str">
        <f>IFERROR(__xludf.DUMMYFUNCTION("""COMPUTED_VALUE"""),"Beauty + Hands")</f>
        <v>Beauty + Hands</v>
      </c>
      <c r="AA27" s="8" t="str">
        <f>IFERROR(__xludf.DUMMYFUNCTION("""COMPUTED_VALUE"""),"All")</f>
        <v>All</v>
      </c>
      <c r="AB27" s="8" t="str">
        <f>IFERROR(__xludf.DUMMYFUNCTION("""COMPUTED_VALUE"""),"All")</f>
        <v>All</v>
      </c>
      <c r="AC27" s="8" t="str">
        <f>IFERROR(__xludf.DUMMYFUNCTION("""COMPUTED_VALUE"""),"Not Done")</f>
        <v>Not Done</v>
      </c>
      <c r="AD27" s="8"/>
      <c r="AE27" s="8"/>
      <c r="AF27" s="8"/>
      <c r="AG27" s="8"/>
      <c r="AH27" s="8"/>
      <c r="AI27" s="8"/>
      <c r="AJ27" s="8"/>
      <c r="AK27" s="447"/>
      <c r="AL27" s="8">
        <f t="shared" si="4"/>
        <v>23</v>
      </c>
      <c r="AM27" s="451" t="str">
        <f t="shared" si="5"/>
        <v>Family Choice / Science / Nature — Object Lessons / Natural History</v>
      </c>
      <c r="AN27" s="8" t="b">
        <f>AND(OR('Family Map'!A68=TRUE,'Family Map'!A68="☑",'Family Map'!A68="✓",'Family Map'!A68="✔"),$E27&lt;&gt;"",$J27="☑",$AK27="")</f>
        <v>0</v>
      </c>
      <c r="AO27" s="8" t="str">
        <f t="shared" si="6"/>
        <v/>
      </c>
      <c r="AP27" s="8" t="str">
        <f t="shared" si="7"/>
        <v/>
      </c>
      <c r="AQ27" s="451" t="str">
        <f>'Family Map'!H68</f>
        <v/>
      </c>
      <c r="AR27" s="451" t="str">
        <f t="shared" si="8"/>
        <v/>
      </c>
      <c r="AS27" s="8" t="str">
        <f>IFERROR(__xludf.DUMMYFUNCTION("LET(slot,$A27,label,$AM27,raw,$AQ27,resolved,$AR27,isCovered,$AK27&lt;&gt;"""",active,COUNTIF(Setup!$S$6:$S$25,resolved)&gt;0,placeAud,IFERROR(FILTER(IFERROR(LEFT('Strand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"",TRUE,IF(AND($A"&amp;"N27,raw=""""),""⚠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27" s="8" t="str">
        <f t="shared" si="9"/>
        <v/>
      </c>
      <c r="AU27" s="8"/>
      <c r="AV27" s="451" t="str">
        <f t="shared" si="10"/>
        <v>Family Choice / Science / Nature — Object Lessons / Natural History</v>
      </c>
      <c r="AW27" s="451" t="str">
        <f t="shared" si="11"/>
        <v/>
      </c>
      <c r="AX27" s="8" t="str">
        <f>IFERROR(__xludf.DUMMYFUNCTION("IF($AV27="""","""",IFERROR(TEXTJOIN(CHAR(10),TRUE,FILTER(""row ""&amp;ROW('Strand Placement'!$B$21:$B$89)&amp;"" • ""&amp;IFERROR(LEFT('Strand Placement'!$L$21:$L$89,FIND("" | "",'Strand Placement'!$L$21:$L$89)-1),""""),'Strand Placement'!$B$21:$B$89=$AV27)),""""))"),"")</f>
        <v/>
      </c>
      <c r="AY27" s="8" t="str">
        <f>IFERROR(__xludf.DUMMYFUNCTION("IF($AV27="""","""",IFERROR(TEXTJOIN(CHAR(10),TRUE,FILTER(""row ""&amp;ROW('Student Work'!$C$24:$C$223)&amp;"" • ""&amp;'Student Work'!$A$24:$A$223,'Student Work'!$C$24:$C$223=$AV27)),""""))"),"")</f>
        <v/>
      </c>
      <c r="AZ27" s="8" t="str">
        <f>IFERROR(__xludf.DUMMYFUNCTION("IF($AV27="""","""",IFERROR(TEXTJOIN(CHAR(10),TRUE,FILTER(""row ""&amp;ROW('Resource Planner'!$D$10:$D$69)&amp;"" • ""&amp;'Resource Planner'!$C$10:$C$69,'Resource Planner'!$D$10:$D$69=$AV27)),""""))"),"")</f>
        <v/>
      </c>
      <c r="BA27" s="8" t="str">
        <f t="shared" si="12"/>
        <v>OK</v>
      </c>
    </row>
    <row r="28" ht="15.75" customHeight="1">
      <c r="A28" s="8">
        <v>24.0</v>
      </c>
      <c r="B28" s="451" t="str">
        <f>'Family Map'!B69</f>
        <v>Form I</v>
      </c>
      <c r="C28" s="451" t="str">
        <f>'Family Map'!C69</f>
        <v>Math</v>
      </c>
      <c r="D28" s="451" t="str">
        <f>'Family Map'!D69</f>
        <v>Math</v>
      </c>
      <c r="E28" s="451" t="str">
        <f>'Family Map'!G69</f>
        <v>Form I / Math — Math</v>
      </c>
      <c r="F28" s="451" t="str">
        <f t="shared" si="1"/>
        <v>Form I / Math — Math</v>
      </c>
      <c r="G28" s="8">
        <f>IF(E28="",0,COUNTIF('Strand Placement'!$B:$B,E28))</f>
        <v>0</v>
      </c>
      <c r="H28" s="8" t="str">
        <f t="shared" si="2"/>
        <v>Unplaced</v>
      </c>
      <c r="I28" s="8" t="s">
        <v>660</v>
      </c>
      <c r="J28" s="8" t="str">
        <f t="array" ref="J28">IFERROR(XLOOKUP(B28,Setup!$B$38:$B$44,Setup!$A$38:$A$44),"☑")</f>
        <v>☑</v>
      </c>
      <c r="K28" s="8"/>
      <c r="L28" s="8"/>
      <c r="M28" s="8" t="str">
        <f>IFERROR(__xludf.DUMMYFUNCTION("""COMPUTED_VALUE"""),"Literature")</f>
        <v>Literature</v>
      </c>
      <c r="N28" s="8"/>
      <c r="O28" s="8" t="str">
        <f>IFERROR(__xludf.DUMMYFUNCTION("""COMPUTED_VALUE"""),"Literature")</f>
        <v>Literature</v>
      </c>
      <c r="P28" s="8" t="str">
        <f>IFERROR(__xludf.DUMMYFUNCTION("""COMPUTED_VALUE"""),"All")</f>
        <v>All</v>
      </c>
      <c r="Q28" s="8" t="str">
        <f>IFERROR(__xludf.DUMMYFUNCTION("""COMPUTED_VALUE"""),"All")</f>
        <v>All</v>
      </c>
      <c r="R28" s="8" t="str">
        <f>IFERROR(__xludf.DUMMYFUNCTION("""COMPUTED_VALUE"""),"Literature")</f>
        <v>Literature</v>
      </c>
      <c r="S28" s="8" t="s">
        <v>223</v>
      </c>
      <c r="T28" s="8" t="s">
        <v>223</v>
      </c>
      <c r="U28" s="8" t="s">
        <v>380</v>
      </c>
      <c r="V28" s="8"/>
      <c r="W28" s="8" t="str">
        <f>IFERROR(__xludf.DUMMYFUNCTION("""COMPUTED_VALUE"""),"Literature")</f>
        <v>Literature</v>
      </c>
      <c r="X28" s="8" t="str">
        <f>IFERROR(__xludf.DUMMYFUNCTION("""COMPUTED_VALUE"""),"All")</f>
        <v>All</v>
      </c>
      <c r="Y28" s="8" t="str">
        <f>IFERROR(__xludf.DUMMYFUNCTION("""COMPUTED_VALUE"""),"All")</f>
        <v>All</v>
      </c>
      <c r="Z28" s="8" t="str">
        <f>IFERROR(__xludf.DUMMYFUNCTION("""COMPUTED_VALUE"""),"Literature")</f>
        <v>Literature</v>
      </c>
      <c r="AA28" s="8" t="str">
        <f>IFERROR(__xludf.DUMMYFUNCTION("""COMPUTED_VALUE"""),"All")</f>
        <v>All</v>
      </c>
      <c r="AB28" s="8" t="str">
        <f>IFERROR(__xludf.DUMMYFUNCTION("""COMPUTED_VALUE"""),"All")</f>
        <v>All</v>
      </c>
      <c r="AC28" s="8" t="str">
        <f>IFERROR(__xludf.DUMMYFUNCTION("""COMPUTED_VALUE"""),"Not Done")</f>
        <v>Not Done</v>
      </c>
      <c r="AD28" s="8"/>
      <c r="AE28" s="8"/>
      <c r="AF28" s="8"/>
      <c r="AG28" s="8"/>
      <c r="AH28" s="8"/>
      <c r="AI28" s="8"/>
      <c r="AJ28" s="8"/>
      <c r="AK28" s="8"/>
      <c r="AL28" s="8">
        <f t="shared" si="4"/>
        <v>24</v>
      </c>
      <c r="AM28" s="451" t="str">
        <f t="shared" si="5"/>
        <v>Form I / Math — Math</v>
      </c>
      <c r="AN28" s="8" t="b">
        <f>AND(OR('Family Map'!A69=TRUE,'Family Map'!A69="☑",'Family Map'!A69="✓",'Family Map'!A69="✔"),$E28&lt;&gt;"",$J28="☑",$AK28="")</f>
        <v>1</v>
      </c>
      <c r="AO28" s="451" t="str">
        <f t="shared" si="6"/>
        <v>Form I / Math — Math</v>
      </c>
      <c r="AP28" s="8">
        <f t="shared" si="7"/>
        <v>24</v>
      </c>
      <c r="AQ28" s="451" t="str">
        <f>'Family Map'!H69</f>
        <v/>
      </c>
      <c r="AR28" s="451" t="str">
        <f t="shared" si="8"/>
        <v/>
      </c>
      <c r="AS28" s="8" t="str">
        <f>IFERROR(__xludf.DUMMYFUNCTION("LET(slot,$A28,label,$AM28,raw,$AQ28,resolved,$AR28,isCovered,$AK28&lt;&gt;"""",active,COUNTIF(Setup!$S$6:$S$25,resolved)&gt;0,placeAud,IFERROR(FILTER(IFERROR(LEFT('Strand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"",TRUE,IF(AND($A"&amp;"N28,raw=""""),""⚠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28" s="8" t="str">
        <f t="shared" si="9"/>
        <v/>
      </c>
      <c r="AU28" s="8"/>
      <c r="AV28" s="451" t="str">
        <f t="shared" si="10"/>
        <v>Form I / Math — Math</v>
      </c>
      <c r="AW28" s="451" t="str">
        <f t="shared" si="11"/>
        <v/>
      </c>
      <c r="AX28" s="8" t="str">
        <f>IFERROR(__xludf.DUMMYFUNCTION("IF($AV28="""","""",IFERROR(TEXTJOIN(CHAR(10),TRUE,FILTER(""row ""&amp;ROW('Strand Placement'!$B$21:$B$89)&amp;"" • ""&amp;IFERROR(LEFT('Strand Placement'!$L$21:$L$89,FIND("" | "",'Strand Placement'!$L$21:$L$89)-1),""""),'Strand Placement'!$B$21:$B$89=$AV28)),""""))"),"")</f>
        <v/>
      </c>
      <c r="AY28" s="8" t="str">
        <f>IFERROR(__xludf.DUMMYFUNCTION("IF($AV28="""","""",IFERROR(TEXTJOIN(CHAR(10),TRUE,FILTER(""row ""&amp;ROW('Student Work'!$C$24:$C$223)&amp;"" • ""&amp;'Student Work'!$A$24:$A$223,'Student Work'!$C$24:$C$223=$AV28)),""""))"),"")</f>
        <v/>
      </c>
      <c r="AZ28" s="8" t="str">
        <f>IFERROR(__xludf.DUMMYFUNCTION("IF($AV28="""","""",IFERROR(TEXTJOIN(CHAR(10),TRUE,FILTER(""row ""&amp;ROW('Resource Planner'!$D$10:$D$69)&amp;"" • ""&amp;'Resource Planner'!$C$10:$C$69,'Resource Planner'!$D$10:$D$69=$AV28)),""""))"),"")</f>
        <v/>
      </c>
      <c r="BA28" s="8" t="str">
        <f t="shared" si="12"/>
        <v>⚠ active standalone/keeper has no Who / Group</v>
      </c>
    </row>
    <row r="29" ht="15.75" customHeight="1">
      <c r="A29" s="8">
        <v>25.0</v>
      </c>
      <c r="B29" s="451" t="str">
        <f>'Family Map'!B70</f>
        <v>Form I</v>
      </c>
      <c r="C29" s="451" t="str">
        <f>'Family Map'!C70</f>
        <v>Beauty + Hands</v>
      </c>
      <c r="D29" s="451" t="str">
        <f>'Family Map'!D70</f>
        <v>Drawing / Brush Drawing</v>
      </c>
      <c r="E29" s="451" t="str">
        <f>'Family Map'!G70</f>
        <v>Form I / Beauty + Hands — Drawing / Brush Drawing</v>
      </c>
      <c r="F29" s="451" t="str">
        <f t="shared" si="1"/>
        <v>Form I / Beauty + Hands — Drawing / Brush Drawing</v>
      </c>
      <c r="G29" s="8">
        <f>IF(E29="",0,COUNTIF('Strand Placement'!$B:$B,E29))</f>
        <v>0</v>
      </c>
      <c r="H29" s="8" t="str">
        <f t="shared" si="2"/>
        <v>Unplaced</v>
      </c>
      <c r="I29" s="8" t="s">
        <v>662</v>
      </c>
      <c r="J29" s="8" t="str">
        <f t="array" ref="J29">IFERROR(XLOOKUP(B29,Setup!$B$38:$B$44,Setup!$A$38:$A$44),"☑")</f>
        <v>☑</v>
      </c>
      <c r="K29" s="8"/>
      <c r="L29" s="8"/>
      <c r="M29" s="8" t="str">
        <f>IFERROR(__xludf.DUMMYFUNCTION("""COMPUTED_VALUE"""),"Science / Nature")</f>
        <v>Science / Nature</v>
      </c>
      <c r="N29" s="8"/>
      <c r="O29" s="8" t="str">
        <f>IFERROR(__xludf.DUMMYFUNCTION("""COMPUTED_VALUE"""),"Science / Nature")</f>
        <v>Science / Nature</v>
      </c>
      <c r="P29" s="8" t="str">
        <f>IFERROR(__xludf.DUMMYFUNCTION("""COMPUTED_VALUE"""),"All")</f>
        <v>All</v>
      </c>
      <c r="Q29" s="8" t="str">
        <f>IFERROR(__xludf.DUMMYFUNCTION("""COMPUTED_VALUE"""),"All")</f>
        <v>All</v>
      </c>
      <c r="R29" s="8" t="str">
        <f>IFERROR(__xludf.DUMMYFUNCTION("""COMPUTED_VALUE"""),"Science / Nature")</f>
        <v>Science / Nature</v>
      </c>
      <c r="S29" s="8" t="s">
        <v>223</v>
      </c>
      <c r="T29" s="8" t="s">
        <v>223</v>
      </c>
      <c r="U29" s="8" t="s">
        <v>380</v>
      </c>
      <c r="V29" s="8"/>
      <c r="W29" s="8" t="str">
        <f>IFERROR(__xludf.DUMMYFUNCTION("""COMPUTED_VALUE"""),"Science / Nature")</f>
        <v>Science / Nature</v>
      </c>
      <c r="X29" s="8" t="str">
        <f>IFERROR(__xludf.DUMMYFUNCTION("""COMPUTED_VALUE"""),"All")</f>
        <v>All</v>
      </c>
      <c r="Y29" s="8" t="str">
        <f>IFERROR(__xludf.DUMMYFUNCTION("""COMPUTED_VALUE"""),"All")</f>
        <v>All</v>
      </c>
      <c r="Z29" s="8" t="str">
        <f>IFERROR(__xludf.DUMMYFUNCTION("""COMPUTED_VALUE"""),"Science / Nature")</f>
        <v>Science / Nature</v>
      </c>
      <c r="AA29" s="8" t="str">
        <f>IFERROR(__xludf.DUMMYFUNCTION("""COMPUTED_VALUE"""),"All")</f>
        <v>All</v>
      </c>
      <c r="AB29" s="8" t="str">
        <f>IFERROR(__xludf.DUMMYFUNCTION("""COMPUTED_VALUE"""),"All")</f>
        <v>All</v>
      </c>
      <c r="AC29" s="8" t="str">
        <f>IFERROR(__xludf.DUMMYFUNCTION("""COMPUTED_VALUE"""),"Not Done")</f>
        <v>Not Done</v>
      </c>
      <c r="AD29" s="8"/>
      <c r="AE29" s="8"/>
      <c r="AF29" s="8"/>
      <c r="AG29" s="8"/>
      <c r="AH29" s="8"/>
      <c r="AI29" s="8"/>
      <c r="AJ29" s="8"/>
      <c r="AK29" s="8"/>
      <c r="AL29" s="8">
        <f t="shared" si="4"/>
        <v>25</v>
      </c>
      <c r="AM29" s="451" t="str">
        <f t="shared" si="5"/>
        <v>Form I / Beauty + Hands — Drawing / Brush Drawing</v>
      </c>
      <c r="AN29" s="8" t="b">
        <f>AND(OR('Family Map'!A70=TRUE,'Family Map'!A70="☑",'Family Map'!A70="✓",'Family Map'!A70="✔"),$E29&lt;&gt;"",$J29="☑",$AK29="")</f>
        <v>1</v>
      </c>
      <c r="AO29" s="451" t="str">
        <f t="shared" si="6"/>
        <v>Form I / Beauty + Hands — Drawing / Brush Drawing</v>
      </c>
      <c r="AP29" s="8">
        <f t="shared" si="7"/>
        <v>25</v>
      </c>
      <c r="AQ29" s="451" t="str">
        <f>'Family Map'!H70</f>
        <v/>
      </c>
      <c r="AR29" s="451" t="str">
        <f t="shared" si="8"/>
        <v/>
      </c>
      <c r="AS29" s="8" t="str">
        <f>IFERROR(__xludf.DUMMYFUNCTION("LET(slot,$A29,label,$AM29,raw,$AQ29,resolved,$AR29,isCovered,$AK29&lt;&gt;"""",active,COUNTIF(Setup!$S$6:$S$25,resolved)&gt;0,placeAud,IFERROR(FILTER(IFERROR(LEFT('Strand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"",TRUE,IF(AND($A"&amp;"N29,raw=""""),""⚠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29" s="8" t="str">
        <f t="shared" si="9"/>
        <v/>
      </c>
      <c r="AU29" s="8"/>
      <c r="AV29" s="451" t="str">
        <f t="shared" si="10"/>
        <v>Form I / Beauty + Hands — Drawing / Brush Drawing</v>
      </c>
      <c r="AW29" s="451" t="str">
        <f t="shared" si="11"/>
        <v/>
      </c>
      <c r="AX29" s="8" t="str">
        <f>IFERROR(__xludf.DUMMYFUNCTION("IF($AV29="""","""",IFERROR(TEXTJOIN(CHAR(10),TRUE,FILTER(""row ""&amp;ROW('Strand Placement'!$B$21:$B$89)&amp;"" • ""&amp;IFERROR(LEFT('Strand Placement'!$L$21:$L$89,FIND("" | "",'Strand Placement'!$L$21:$L$89)-1),""""),'Strand Placement'!$B$21:$B$89=$AV29)),""""))"),"")</f>
        <v/>
      </c>
      <c r="AY29" s="8" t="str">
        <f>IFERROR(__xludf.DUMMYFUNCTION("IF($AV29="""","""",IFERROR(TEXTJOIN(CHAR(10),TRUE,FILTER(""row ""&amp;ROW('Student Work'!$C$24:$C$223)&amp;"" • ""&amp;'Student Work'!$A$24:$A$223,'Student Work'!$C$24:$C$223=$AV29)),""""))"),"")</f>
        <v/>
      </c>
      <c r="AZ29" s="8" t="str">
        <f>IFERROR(__xludf.DUMMYFUNCTION("IF($AV29="""","""",IFERROR(TEXTJOIN(CHAR(10),TRUE,FILTER(""row ""&amp;ROW('Resource Planner'!$D$10:$D$69)&amp;"" • ""&amp;'Resource Planner'!$C$10:$C$69,'Resource Planner'!$D$10:$D$69=$AV29)),""""))"),"")</f>
        <v/>
      </c>
      <c r="BA29" s="8" t="str">
        <f t="shared" si="12"/>
        <v>⚠ active standalone/keeper has no Who / Group</v>
      </c>
    </row>
    <row r="30" ht="15.75" customHeight="1">
      <c r="A30" s="8">
        <v>26.0</v>
      </c>
      <c r="B30" s="451" t="str">
        <f>'Family Map'!B71</f>
        <v>Form I</v>
      </c>
      <c r="C30" s="451" t="str">
        <f>'Family Map'!C71</f>
        <v>Beauty + Hands</v>
      </c>
      <c r="D30" s="451" t="str">
        <f>'Family Map'!D71</f>
        <v>Handicraft / Work</v>
      </c>
      <c r="E30" s="451" t="str">
        <f>'Family Map'!G71</f>
        <v>Form I / Beauty + Hands — Handicraft / Work</v>
      </c>
      <c r="F30" s="451" t="str">
        <f t="shared" si="1"/>
        <v>Form I / Beauty + Hands — Handicraft / Work</v>
      </c>
      <c r="G30" s="8">
        <f>IF(E30="",0,COUNTIF('Strand Placement'!$B:$B,E30))</f>
        <v>0</v>
      </c>
      <c r="H30" s="8" t="str">
        <f t="shared" si="2"/>
        <v>Unplaced</v>
      </c>
      <c r="I30" s="8" t="s">
        <v>664</v>
      </c>
      <c r="J30" s="8" t="str">
        <f t="array" ref="J30">IFERROR(XLOOKUP(B30,Setup!$B$38:$B$44,Setup!$A$38:$A$44),"☑")</f>
        <v>☑</v>
      </c>
      <c r="K30" s="8"/>
      <c r="L30" s="8"/>
      <c r="M30" s="8" t="str">
        <f>IFERROR(__xludf.DUMMYFUNCTION("""COMPUTED_VALUE"""),"Everyone — Faith")</f>
        <v>Everyone — Faith</v>
      </c>
      <c r="N30" s="8"/>
      <c r="O30" s="8"/>
      <c r="P30" s="8"/>
      <c r="Q30" s="8"/>
      <c r="R30" s="8"/>
      <c r="S30" s="8" t="s">
        <v>665</v>
      </c>
      <c r="T30" s="8" t="s">
        <v>665</v>
      </c>
      <c r="U30" s="8" t="s">
        <v>665</v>
      </c>
      <c r="V30" s="8"/>
      <c r="W30" s="8" t="str">
        <f>IFERROR(__xludf.DUMMYFUNCTION("""COMPUTED_VALUE"""),"Everyone — Faith")</f>
        <v>Everyone — Faith</v>
      </c>
      <c r="X30" s="8" t="str">
        <f>IFERROR(__xludf.DUMMYFUNCTION("""COMPUTED_VALUE"""),"Everyone")</f>
        <v>Everyone</v>
      </c>
      <c r="Y30" s="8" t="str">
        <f>IFERROR(__xludf.DUMMYFUNCTION("""COMPUTED_VALUE"""),"Faith")</f>
        <v>Faith</v>
      </c>
      <c r="Z30" s="8" t="str">
        <f>IFERROR(__xludf.DUMMYFUNCTION("""COMPUTED_VALUE"""),"All")</f>
        <v>All</v>
      </c>
      <c r="AA30" s="8" t="str">
        <f>IFERROR(__xludf.DUMMYFUNCTION("""COMPUTED_VALUE"""),"All")</f>
        <v>All</v>
      </c>
      <c r="AB30" s="8" t="str">
        <f>IFERROR(__xludf.DUMMYFUNCTION("""COMPUTED_VALUE"""),"All")</f>
        <v>All</v>
      </c>
      <c r="AC30" s="8" t="str">
        <f>IFERROR(__xludf.DUMMYFUNCTION("""COMPUTED_VALUE"""),"Not Done")</f>
        <v>Not Done</v>
      </c>
      <c r="AD30" s="8"/>
      <c r="AE30" s="8"/>
      <c r="AF30" s="8"/>
      <c r="AG30" s="8"/>
      <c r="AH30" s="8"/>
      <c r="AI30" s="8"/>
      <c r="AJ30" s="8"/>
      <c r="AK30" s="8"/>
      <c r="AL30" s="8">
        <f t="shared" si="4"/>
        <v>26</v>
      </c>
      <c r="AM30" s="451" t="str">
        <f t="shared" si="5"/>
        <v>Form I / Beauty + Hands — Handicraft / Work</v>
      </c>
      <c r="AN30" s="8" t="b">
        <f>AND(OR('Family Map'!A71=TRUE,'Family Map'!A71="☑",'Family Map'!A71="✓",'Family Map'!A71="✔"),$E30&lt;&gt;"",$J30="☑",$AK30="")</f>
        <v>1</v>
      </c>
      <c r="AO30" s="451" t="str">
        <f t="shared" si="6"/>
        <v>Form I / Beauty + Hands — Handicraft / Work</v>
      </c>
      <c r="AP30" s="8">
        <f t="shared" si="7"/>
        <v>26</v>
      </c>
      <c r="AQ30" s="451" t="str">
        <f>'Family Map'!H71</f>
        <v/>
      </c>
      <c r="AR30" s="451" t="str">
        <f t="shared" si="8"/>
        <v/>
      </c>
      <c r="AS30" s="8" t="str">
        <f>IFERROR(__xludf.DUMMYFUNCTION("LET(slot,$A30,label,$AM30,raw,$AQ30,resolved,$AR30,isCovered,$AK30&lt;&gt;"""",active,COUNTIF(Setup!$S$6:$S$25,resolved)&gt;0,placeAud,IFERROR(FILTER(IFERROR(LEFT('Strand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"",TRUE,IF(AND($A"&amp;"N30,raw=""""),""⚠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0" s="8" t="str">
        <f t="shared" si="9"/>
        <v/>
      </c>
      <c r="AU30" s="8"/>
      <c r="AV30" s="451" t="str">
        <f t="shared" si="10"/>
        <v>Form I / Beauty + Hands — Handicraft / Work</v>
      </c>
      <c r="AW30" s="451" t="str">
        <f t="shared" si="11"/>
        <v/>
      </c>
      <c r="AX30" s="8" t="str">
        <f>IFERROR(__xludf.DUMMYFUNCTION("IF($AV30="""","""",IFERROR(TEXTJOIN(CHAR(10),TRUE,FILTER(""row ""&amp;ROW('Strand Placement'!$B$21:$B$89)&amp;"" • ""&amp;IFERROR(LEFT('Strand Placement'!$L$21:$L$89,FIND("" | "",'Strand Placement'!$L$21:$L$89)-1),""""),'Strand Placement'!$B$21:$B$89=$AV30)),""""))"),"")</f>
        <v/>
      </c>
      <c r="AY30" s="8" t="str">
        <f>IFERROR(__xludf.DUMMYFUNCTION("IF($AV30="""","""",IFERROR(TEXTJOIN(CHAR(10),TRUE,FILTER(""row ""&amp;ROW('Student Work'!$C$24:$C$223)&amp;"" • ""&amp;'Student Work'!$A$24:$A$223,'Student Work'!$C$24:$C$223=$AV30)),""""))"),"")</f>
        <v/>
      </c>
      <c r="AZ30" s="8" t="str">
        <f>IFERROR(__xludf.DUMMYFUNCTION("IF($AV30="""","""",IFERROR(TEXTJOIN(CHAR(10),TRUE,FILTER(""row ""&amp;ROW('Resource Planner'!$D$10:$D$69)&amp;"" • ""&amp;'Resource Planner'!$C$10:$C$69,'Resource Planner'!$D$10:$D$69=$AV30)),""""))"),"")</f>
        <v/>
      </c>
      <c r="BA30" s="8" t="str">
        <f t="shared" si="12"/>
        <v>⚠ active standalone/keeper has no Who / Group</v>
      </c>
    </row>
    <row r="31" ht="15.75" customHeight="1">
      <c r="A31" s="8">
        <v>27.0</v>
      </c>
      <c r="B31" s="451" t="str">
        <f>'Family Map'!B72</f>
        <v>Form II</v>
      </c>
      <c r="C31" s="451" t="str">
        <f>'Family Map'!C72</f>
        <v>Language Arts</v>
      </c>
      <c r="D31" s="451" t="str">
        <f>'Family Map'!D72</f>
        <v>Dictation</v>
      </c>
      <c r="E31" s="451" t="str">
        <f>'Family Map'!G72</f>
        <v>Form II / Language Arts — Dictation</v>
      </c>
      <c r="F31" s="451" t="str">
        <f t="shared" si="1"/>
        <v>Form II / Language Arts — Dictation</v>
      </c>
      <c r="G31" s="8">
        <f>IF(E31="",0,COUNTIF('Strand Placement'!$B:$B,E31))</f>
        <v>0</v>
      </c>
      <c r="H31" s="8" t="str">
        <f t="shared" si="2"/>
        <v>Unplaced</v>
      </c>
      <c r="I31" s="8" t="s">
        <v>667</v>
      </c>
      <c r="J31" s="8" t="str">
        <f t="array" ref="J31">IFERROR(XLOOKUP(B31,Setup!$B$38:$B$44,Setup!$A$38:$A$44),"☑")</f>
        <v>☑</v>
      </c>
      <c r="K31" s="8"/>
      <c r="L31" s="8"/>
      <c r="M31" s="8" t="str">
        <f>IFERROR(__xludf.DUMMYFUNCTION("""COMPUTED_VALUE"""),"Bible — Everyone")</f>
        <v>Bible — Everyone</v>
      </c>
      <c r="N31" s="8"/>
      <c r="O31" s="8"/>
      <c r="P31" s="8"/>
      <c r="Q31" s="8"/>
      <c r="R31" s="8"/>
      <c r="S31" s="8" t="s">
        <v>665</v>
      </c>
      <c r="T31" s="8" t="s">
        <v>665</v>
      </c>
      <c r="U31" s="8" t="s">
        <v>665</v>
      </c>
      <c r="V31" s="8"/>
      <c r="W31" s="8" t="str">
        <f>IFERROR(__xludf.DUMMYFUNCTION("""COMPUTED_VALUE"""),"Bible — Everyone")</f>
        <v>Bible — Everyone</v>
      </c>
      <c r="X31" s="8" t="str">
        <f>IFERROR(__xludf.DUMMYFUNCTION("""COMPUTED_VALUE"""),"Everyone")</f>
        <v>Everyone</v>
      </c>
      <c r="Y31" s="8" t="str">
        <f>IFERROR(__xludf.DUMMYFUNCTION("""COMPUTED_VALUE"""),"All")</f>
        <v>All</v>
      </c>
      <c r="Z31" s="8" t="str">
        <f>IFERROR(__xludf.DUMMYFUNCTION("""COMPUTED_VALUE"""),"Bible")</f>
        <v>Bible</v>
      </c>
      <c r="AA31" s="8" t="str">
        <f>IFERROR(__xludf.DUMMYFUNCTION("""COMPUTED_VALUE"""),"All")</f>
        <v>All</v>
      </c>
      <c r="AB31" s="8" t="str">
        <f>IFERROR(__xludf.DUMMYFUNCTION("""COMPUTED_VALUE"""),"All")</f>
        <v>All</v>
      </c>
      <c r="AC31" s="8" t="str">
        <f>IFERROR(__xludf.DUMMYFUNCTION("""COMPUTED_VALUE"""),"Not Done")</f>
        <v>Not Done</v>
      </c>
      <c r="AD31" s="8"/>
      <c r="AE31" s="8"/>
      <c r="AF31" s="8"/>
      <c r="AG31" s="8"/>
      <c r="AH31" s="8"/>
      <c r="AI31" s="8"/>
      <c r="AJ31" s="8"/>
      <c r="AK31" s="8"/>
      <c r="AL31" s="8">
        <f t="shared" si="4"/>
        <v>27</v>
      </c>
      <c r="AM31" s="451" t="str">
        <f t="shared" si="5"/>
        <v>Form II / Language Arts — Dictation</v>
      </c>
      <c r="AN31" s="8" t="b">
        <f>AND(OR('Family Map'!A72=TRUE,'Family Map'!A72="☑",'Family Map'!A72="✓",'Family Map'!A72="✔"),$E31&lt;&gt;"",$J31="☑",$AK31="")</f>
        <v>1</v>
      </c>
      <c r="AO31" s="451" t="str">
        <f t="shared" si="6"/>
        <v>Form II / Language Arts — Dictation</v>
      </c>
      <c r="AP31" s="8">
        <f t="shared" si="7"/>
        <v>27</v>
      </c>
      <c r="AQ31" s="451" t="str">
        <f>'Family Map'!H72</f>
        <v/>
      </c>
      <c r="AR31" s="451" t="str">
        <f t="shared" si="8"/>
        <v/>
      </c>
      <c r="AS31" s="8" t="str">
        <f>IFERROR(__xludf.DUMMYFUNCTION("LET(slot,$A31,label,$AM31,raw,$AQ31,resolved,$AR31,isCovered,$AK31&lt;&gt;"""",active,COUNTIF(Setup!$S$6:$S$25,resolved)&gt;0,placeAud,IFERROR(FILTER(IFERROR(LEFT('Strand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"",TRUE,IF(AND($A"&amp;"N31,raw=""""),""⚠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1" s="8" t="str">
        <f t="shared" si="9"/>
        <v/>
      </c>
      <c r="AU31" s="8"/>
      <c r="AV31" s="451" t="str">
        <f t="shared" si="10"/>
        <v>Form II / Language Arts — Dictation</v>
      </c>
      <c r="AW31" s="451" t="str">
        <f t="shared" si="11"/>
        <v/>
      </c>
      <c r="AX31" s="8" t="str">
        <f>IFERROR(__xludf.DUMMYFUNCTION("IF($AV31="""","""",IFERROR(TEXTJOIN(CHAR(10),TRUE,FILTER(""row ""&amp;ROW('Strand Placement'!$B$21:$B$89)&amp;"" • ""&amp;IFERROR(LEFT('Strand Placement'!$L$21:$L$89,FIND("" | "",'Strand Placement'!$L$21:$L$89)-1),""""),'Strand Placement'!$B$21:$B$89=$AV31)),""""))"),"")</f>
        <v/>
      </c>
      <c r="AY31" s="8" t="str">
        <f>IFERROR(__xludf.DUMMYFUNCTION("IF($AV31="""","""",IFERROR(TEXTJOIN(CHAR(10),TRUE,FILTER(""row ""&amp;ROW('Student Work'!$C$24:$C$223)&amp;"" • ""&amp;'Student Work'!$A$24:$A$223,'Student Work'!$C$24:$C$223=$AV31)),""""))"),"")</f>
        <v/>
      </c>
      <c r="AZ31" s="8" t="str">
        <f>IFERROR(__xludf.DUMMYFUNCTION("IF($AV31="""","""",IFERROR(TEXTJOIN(CHAR(10),TRUE,FILTER(""row ""&amp;ROW('Resource Planner'!$D$10:$D$69)&amp;"" • ""&amp;'Resource Planner'!$C$10:$C$69,'Resource Planner'!$D$10:$D$69=$AV31)),""""))"),"")</f>
        <v/>
      </c>
      <c r="BA31" s="8" t="str">
        <f t="shared" si="12"/>
        <v>⚠ active standalone/keeper has no Who / Group</v>
      </c>
    </row>
    <row r="32" ht="15.75" customHeight="1">
      <c r="A32" s="8">
        <v>28.0</v>
      </c>
      <c r="B32" s="451" t="str">
        <f>'Family Map'!B73</f>
        <v>Form II</v>
      </c>
      <c r="C32" s="451" t="str">
        <f>'Family Map'!C73</f>
        <v>Language Arts</v>
      </c>
      <c r="D32" s="451" t="str">
        <f>'Family Map'!D73</f>
        <v>Grammar</v>
      </c>
      <c r="E32" s="451" t="str">
        <f>'Family Map'!G73</f>
        <v>Form II / Language Arts — Grammar</v>
      </c>
      <c r="F32" s="451" t="str">
        <f t="shared" si="1"/>
        <v>Form II / Language Arts — Grammar</v>
      </c>
      <c r="G32" s="8">
        <f>IF(E32="",0,COUNTIF('Strand Placement'!$B:$B,E32))</f>
        <v>0</v>
      </c>
      <c r="H32" s="8" t="str">
        <f t="shared" si="2"/>
        <v>Unplaced</v>
      </c>
      <c r="I32" s="8" t="s">
        <v>668</v>
      </c>
      <c r="J32" s="8" t="str">
        <f t="array" ref="J32">IFERROR(XLOOKUP(B32,Setup!$B$38:$B$44,Setup!$A$38:$A$44),"☑")</f>
        <v>☑</v>
      </c>
      <c r="K32" s="8"/>
      <c r="L32" s="8"/>
      <c r="M32" s="8" t="str">
        <f>IFERROR(__xludf.DUMMYFUNCTION("""COMPUTED_VALUE"""),"Lucy Literature")</f>
        <v>Lucy Literature</v>
      </c>
      <c r="N32" s="8"/>
      <c r="O32" s="8"/>
      <c r="P32" s="8"/>
      <c r="Q32" s="8"/>
      <c r="R32" s="8"/>
      <c r="S32" s="8" t="s">
        <v>665</v>
      </c>
      <c r="T32" s="8" t="s">
        <v>665</v>
      </c>
      <c r="U32" s="8" t="s">
        <v>665</v>
      </c>
      <c r="V32" s="8"/>
      <c r="W32" s="8" t="str">
        <f>IFERROR(__xludf.DUMMYFUNCTION("""COMPUTED_VALUE"""),"Lucy Literature")</f>
        <v>Lucy Literature</v>
      </c>
      <c r="X32" s="8" t="str">
        <f>IFERROR(__xludf.DUMMYFUNCTION("""COMPUTED_VALUE"""),"Lucy")</f>
        <v>Lucy</v>
      </c>
      <c r="Y32" s="8" t="str">
        <f>IFERROR(__xludf.DUMMYFUNCTION("""COMPUTED_VALUE"""),"All")</f>
        <v>All</v>
      </c>
      <c r="Z32" s="8" t="str">
        <f>IFERROR(__xludf.DUMMYFUNCTION("""COMPUTED_VALUE"""),"Literature")</f>
        <v>Literature</v>
      </c>
      <c r="AA32" s="8" t="str">
        <f>IFERROR(__xludf.DUMMYFUNCTION("""COMPUTED_VALUE"""),"All")</f>
        <v>All</v>
      </c>
      <c r="AB32" s="8" t="str">
        <f>IFERROR(__xludf.DUMMYFUNCTION("""COMPUTED_VALUE"""),"All")</f>
        <v>All</v>
      </c>
      <c r="AC32" s="8" t="str">
        <f>IFERROR(__xludf.DUMMYFUNCTION("""COMPUTED_VALUE"""),"Not Done")</f>
        <v>Not Done</v>
      </c>
      <c r="AD32" s="8"/>
      <c r="AE32" s="8"/>
      <c r="AF32" s="8"/>
      <c r="AG32" s="8"/>
      <c r="AH32" s="8"/>
      <c r="AI32" s="8"/>
      <c r="AJ32" s="8"/>
      <c r="AK32" s="8"/>
      <c r="AL32" s="8">
        <f t="shared" si="4"/>
        <v>28</v>
      </c>
      <c r="AM32" s="451" t="str">
        <f t="shared" si="5"/>
        <v>Form II / Language Arts — Grammar</v>
      </c>
      <c r="AN32" s="8" t="b">
        <f>AND(OR('Family Map'!A73=TRUE,'Family Map'!A73="☑",'Family Map'!A73="✓",'Family Map'!A73="✔"),$E32&lt;&gt;"",$J32="☑",$AK32="")</f>
        <v>1</v>
      </c>
      <c r="AO32" s="451" t="str">
        <f t="shared" si="6"/>
        <v>Form II / Language Arts — Grammar</v>
      </c>
      <c r="AP32" s="8">
        <f t="shared" si="7"/>
        <v>28</v>
      </c>
      <c r="AQ32" s="451" t="str">
        <f>'Family Map'!H73</f>
        <v/>
      </c>
      <c r="AR32" s="451" t="str">
        <f t="shared" si="8"/>
        <v/>
      </c>
      <c r="AS32" s="8" t="str">
        <f>IFERROR(__xludf.DUMMYFUNCTION("LET(slot,$A32,label,$AM32,raw,$AQ32,resolved,$AR32,isCovered,$AK32&lt;&gt;"""",active,COUNTIF(Setup!$S$6:$S$25,resolved)&gt;0,placeAud,IFERROR(FILTER(IFERROR(LEFT('Strand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"",TRUE,IF(AND($A"&amp;"N32,raw=""""),""⚠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2" s="8" t="str">
        <f t="shared" si="9"/>
        <v/>
      </c>
      <c r="AU32" s="8"/>
      <c r="AV32" s="451" t="str">
        <f t="shared" si="10"/>
        <v>Form II / Language Arts — Grammar</v>
      </c>
      <c r="AW32" s="451" t="str">
        <f t="shared" si="11"/>
        <v/>
      </c>
      <c r="AX32" s="8" t="str">
        <f>IFERROR(__xludf.DUMMYFUNCTION("IF($AV32="""","""",IFERROR(TEXTJOIN(CHAR(10),TRUE,FILTER(""row ""&amp;ROW('Strand Placement'!$B$21:$B$89)&amp;"" • ""&amp;IFERROR(LEFT('Strand Placement'!$L$21:$L$89,FIND("" | "",'Strand Placement'!$L$21:$L$89)-1),""""),'Strand Placement'!$B$21:$B$89=$AV32)),""""))"),"")</f>
        <v/>
      </c>
      <c r="AY32" s="8" t="str">
        <f>IFERROR(__xludf.DUMMYFUNCTION("IF($AV32="""","""",IFERROR(TEXTJOIN(CHAR(10),TRUE,FILTER(""row ""&amp;ROW('Student Work'!$C$24:$C$223)&amp;"" • ""&amp;'Student Work'!$A$24:$A$223,'Student Work'!$C$24:$C$223=$AV32)),""""))"),"")</f>
        <v/>
      </c>
      <c r="AZ32" s="8" t="str">
        <f>IFERROR(__xludf.DUMMYFUNCTION("IF($AV32="""","""",IFERROR(TEXTJOIN(CHAR(10),TRUE,FILTER(""row ""&amp;ROW('Resource Planner'!$D$10:$D$69)&amp;"" • ""&amp;'Resource Planner'!$C$10:$C$69,'Resource Planner'!$D$10:$D$69=$AV32)),""""))"),"")</f>
        <v/>
      </c>
      <c r="BA32" s="8" t="str">
        <f t="shared" si="12"/>
        <v>⚠ active standalone/keeper has no Who / Group</v>
      </c>
    </row>
    <row r="33" ht="15.75" customHeight="1">
      <c r="A33" s="8">
        <v>29.0</v>
      </c>
      <c r="B33" s="451" t="str">
        <f>'Family Map'!B74</f>
        <v>Form II</v>
      </c>
      <c r="C33" s="451" t="str">
        <f>'Family Map'!C74</f>
        <v>Language Arts</v>
      </c>
      <c r="D33" s="451" t="str">
        <f>'Family Map'!D74</f>
        <v>Written Narration [IIA]</v>
      </c>
      <c r="E33" s="451" t="str">
        <f>'Family Map'!G74</f>
        <v>Form II / Language Arts — Written Narration [IIA]</v>
      </c>
      <c r="F33" s="451" t="str">
        <f t="shared" si="1"/>
        <v>Form II / Language Arts — Written Narration [IIA]</v>
      </c>
      <c r="G33" s="8">
        <f>IF(E33="",0,COUNTIF('Strand Placement'!$B:$B,E33))</f>
        <v>0</v>
      </c>
      <c r="H33" s="8" t="str">
        <f t="shared" si="2"/>
        <v>Unplaced</v>
      </c>
      <c r="I33" s="8" t="s">
        <v>669</v>
      </c>
      <c r="J33" s="8" t="str">
        <f t="array" ref="J33">IFERROR(XLOOKUP(B33,Setup!$B$38:$B$44,Setup!$A$38:$A$44),"☑")</f>
        <v>☑</v>
      </c>
      <c r="K33" s="8"/>
      <c r="L33" s="8"/>
      <c r="M33" s="8" t="str">
        <f>IFERROR(__xludf.DUMMYFUNCTION("""COMPUTED_VALUE"""),"Nature — Little Girls")</f>
        <v>Nature — Little Girls</v>
      </c>
      <c r="N33" s="8"/>
      <c r="O33" s="8"/>
      <c r="P33" s="8"/>
      <c r="Q33" s="8"/>
      <c r="R33" s="8"/>
      <c r="S33" s="8" t="s">
        <v>665</v>
      </c>
      <c r="T33" s="8" t="s">
        <v>665</v>
      </c>
      <c r="U33" s="8" t="s">
        <v>665</v>
      </c>
      <c r="V33" s="8"/>
      <c r="W33" s="8" t="str">
        <f>IFERROR(__xludf.DUMMYFUNCTION("""COMPUTED_VALUE"""),"Nature — Little Girls")</f>
        <v>Nature — Little Girls</v>
      </c>
      <c r="X33" s="8" t="str">
        <f>IFERROR(__xludf.DUMMYFUNCTION("""COMPUTED_VALUE"""),"Little Girls")</f>
        <v>Little Girls</v>
      </c>
      <c r="Y33" s="8" t="str">
        <f>IFERROR(__xludf.DUMMYFUNCTION("""COMPUTED_VALUE"""),"Hands + Beauty Loop")</f>
        <v>Hands + Beauty Loop</v>
      </c>
      <c r="Z33" s="8" t="str">
        <f>IFERROR(__xludf.DUMMYFUNCTION("""COMPUTED_VALUE"""),"Science / Nature")</f>
        <v>Science / Nature</v>
      </c>
      <c r="AA33" s="8" t="str">
        <f>IFERROR(__xludf.DUMMYFUNCTION("""COMPUTED_VALUE"""),"All")</f>
        <v>All</v>
      </c>
      <c r="AB33" s="8" t="str">
        <f>IFERROR(__xludf.DUMMYFUNCTION("""COMPUTED_VALUE"""),"All")</f>
        <v>All</v>
      </c>
      <c r="AC33" s="8" t="str">
        <f>IFERROR(__xludf.DUMMYFUNCTION("""COMPUTED_VALUE"""),"Not Done")</f>
        <v>Not Done</v>
      </c>
      <c r="AD33" s="8"/>
      <c r="AE33" s="8"/>
      <c r="AF33" s="8"/>
      <c r="AG33" s="8"/>
      <c r="AH33" s="8"/>
      <c r="AI33" s="8"/>
      <c r="AJ33" s="8"/>
      <c r="AK33" s="8"/>
      <c r="AL33" s="8">
        <f t="shared" si="4"/>
        <v>29</v>
      </c>
      <c r="AM33" s="451" t="str">
        <f t="shared" si="5"/>
        <v>Form II / Language Arts — Written Narration [IIA]</v>
      </c>
      <c r="AN33" s="8" t="b">
        <f>AND(OR('Family Map'!A74=TRUE,'Family Map'!A74="☑",'Family Map'!A74="✓",'Family Map'!A74="✔"),$E33&lt;&gt;"",$J33="☑",$AK33="")</f>
        <v>1</v>
      </c>
      <c r="AO33" s="451" t="str">
        <f t="shared" si="6"/>
        <v>Form II / Language Arts — Written Narration [IIA]</v>
      </c>
      <c r="AP33" s="8">
        <f t="shared" si="7"/>
        <v>29</v>
      </c>
      <c r="AQ33" s="451" t="str">
        <f>'Family Map'!H74</f>
        <v/>
      </c>
      <c r="AR33" s="451" t="str">
        <f t="shared" si="8"/>
        <v/>
      </c>
      <c r="AS33" s="8" t="str">
        <f>IFERROR(__xludf.DUMMYFUNCTION("LET(slot,$A33,label,$AM33,raw,$AQ33,resolved,$AR33,isCovered,$AK33&lt;&gt;"""",active,COUNTIF(Setup!$S$6:$S$25,resolved)&gt;0,placeAud,IFERROR(FILTER(IFERROR(LEFT('Strand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"",TRUE,IF(AND($A"&amp;"N33,raw=""""),""⚠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3" s="8" t="str">
        <f t="shared" si="9"/>
        <v/>
      </c>
      <c r="AU33" s="8"/>
      <c r="AV33" s="451" t="str">
        <f t="shared" si="10"/>
        <v>Form II / Language Arts — Written Narration [IIA]</v>
      </c>
      <c r="AW33" s="451" t="str">
        <f t="shared" si="11"/>
        <v/>
      </c>
      <c r="AX33" s="8" t="str">
        <f>IFERROR(__xludf.DUMMYFUNCTION("IF($AV33="""","""",IFERROR(TEXTJOIN(CHAR(10),TRUE,FILTER(""row ""&amp;ROW('Strand Placement'!$B$21:$B$89)&amp;"" • ""&amp;IFERROR(LEFT('Strand Placement'!$L$21:$L$89,FIND("" | "",'Strand Placement'!$L$21:$L$89)-1),""""),'Strand Placement'!$B$21:$B$89=$AV33)),""""))"),"")</f>
        <v/>
      </c>
      <c r="AY33" s="8" t="str">
        <f>IFERROR(__xludf.DUMMYFUNCTION("IF($AV33="""","""",IFERROR(TEXTJOIN(CHAR(10),TRUE,FILTER(""row ""&amp;ROW('Student Work'!$C$24:$C$223)&amp;"" • ""&amp;'Student Work'!$A$24:$A$223,'Student Work'!$C$24:$C$223=$AV33)),""""))"),"")</f>
        <v/>
      </c>
      <c r="AZ33" s="8" t="str">
        <f>IFERROR(__xludf.DUMMYFUNCTION("IF($AV33="""","""",IFERROR(TEXTJOIN(CHAR(10),TRUE,FILTER(""row ""&amp;ROW('Resource Planner'!$D$10:$D$69)&amp;"" • ""&amp;'Resource Planner'!$C$10:$C$69,'Resource Planner'!$D$10:$D$69=$AV33)),""""))"),"")</f>
        <v/>
      </c>
      <c r="BA33" s="8" t="str">
        <f t="shared" si="12"/>
        <v>⚠ active standalone/keeper has no Who / Group</v>
      </c>
    </row>
    <row r="34" ht="15.75" customHeight="1">
      <c r="A34" s="8">
        <v>30.0</v>
      </c>
      <c r="B34" s="451" t="str">
        <f>'Family Map'!B75</f>
        <v>Form II</v>
      </c>
      <c r="C34" s="451" t="str">
        <f>'Family Map'!C75</f>
        <v>Literature</v>
      </c>
      <c r="D34" s="451" t="str">
        <f>'Family Map'!D75</f>
        <v>Literature</v>
      </c>
      <c r="E34" s="451" t="str">
        <f>'Family Map'!G75</f>
        <v>Form II / Literature — Literature</v>
      </c>
      <c r="F34" s="451" t="str">
        <f t="shared" si="1"/>
        <v>Form II / Literature — Literature</v>
      </c>
      <c r="G34" s="8">
        <f>IF(E34="",0,COUNTIF('Strand Placement'!$B:$B,E34))</f>
        <v>0</v>
      </c>
      <c r="H34" s="8" t="str">
        <f t="shared" si="2"/>
        <v>Unplaced</v>
      </c>
      <c r="I34" s="8" t="s">
        <v>670</v>
      </c>
      <c r="J34" s="8" t="str">
        <f t="array" ref="J34">IFERROR(XLOOKUP(B34,Setup!$B$38:$B$44,Setup!$A$38:$A$44),"☑")</f>
        <v>☑</v>
      </c>
      <c r="K34" s="8"/>
      <c r="L34" s="8"/>
      <c r="M34" s="8"/>
      <c r="N34" s="8"/>
      <c r="O34" s="8"/>
      <c r="P34" s="8"/>
      <c r="Q34" s="8"/>
      <c r="R34" s="8"/>
      <c r="S34" s="8" t="s">
        <v>665</v>
      </c>
      <c r="T34" s="8" t="s">
        <v>665</v>
      </c>
      <c r="U34" s="8" t="s">
        <v>665</v>
      </c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>
        <f t="shared" si="4"/>
        <v>30</v>
      </c>
      <c r="AM34" s="451" t="str">
        <f t="shared" si="5"/>
        <v>Form II / Literature — Literature</v>
      </c>
      <c r="AN34" s="8" t="b">
        <f>AND(OR('Family Map'!A75=TRUE,'Family Map'!A75="☑",'Family Map'!A75="✓",'Family Map'!A75="✔"),$E34&lt;&gt;"",$J34="☑",$AK34="")</f>
        <v>1</v>
      </c>
      <c r="AO34" s="451" t="str">
        <f t="shared" si="6"/>
        <v>Form II / Literature — Literature</v>
      </c>
      <c r="AP34" s="8">
        <f t="shared" si="7"/>
        <v>30</v>
      </c>
      <c r="AQ34" s="451" t="str">
        <f>'Family Map'!H75</f>
        <v/>
      </c>
      <c r="AR34" s="451" t="str">
        <f t="shared" si="8"/>
        <v/>
      </c>
      <c r="AS34" s="8" t="str">
        <f>IFERROR(__xludf.DUMMYFUNCTION("LET(slot,$A34,label,$AM34,raw,$AQ34,resolved,$AR34,isCovered,$AK34&lt;&gt;"""",active,COUNTIF(Setup!$S$6:$S$25,resolved)&gt;0,placeAud,IFERROR(FILTER(IFERROR(LEFT('Strand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"",TRUE,IF(AND($A"&amp;"N34,raw=""""),""⚠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4" s="8" t="str">
        <f t="shared" si="9"/>
        <v/>
      </c>
      <c r="AU34" s="8"/>
      <c r="AV34" s="451" t="str">
        <f t="shared" si="10"/>
        <v>Form II / Literature — Literature</v>
      </c>
      <c r="AW34" s="451" t="str">
        <f t="shared" si="11"/>
        <v/>
      </c>
      <c r="AX34" s="8" t="str">
        <f>IFERROR(__xludf.DUMMYFUNCTION("IF($AV34="""","""",IFERROR(TEXTJOIN(CHAR(10),TRUE,FILTER(""row ""&amp;ROW('Strand Placement'!$B$21:$B$89)&amp;"" • ""&amp;IFERROR(LEFT('Strand Placement'!$L$21:$L$89,FIND("" | "",'Strand Placement'!$L$21:$L$89)-1),""""),'Strand Placement'!$B$21:$B$89=$AV34)),""""))"),"")</f>
        <v/>
      </c>
      <c r="AY34" s="8" t="str">
        <f>IFERROR(__xludf.DUMMYFUNCTION("IF($AV34="""","""",IFERROR(TEXTJOIN(CHAR(10),TRUE,FILTER(""row ""&amp;ROW('Student Work'!$C$24:$C$223)&amp;"" • ""&amp;'Student Work'!$A$24:$A$223,'Student Work'!$C$24:$C$223=$AV34)),""""))"),"")</f>
        <v/>
      </c>
      <c r="AZ34" s="8" t="str">
        <f>IFERROR(__xludf.DUMMYFUNCTION("IF($AV34="""","""",IFERROR(TEXTJOIN(CHAR(10),TRUE,FILTER(""row ""&amp;ROW('Resource Planner'!$D$10:$D$69)&amp;"" • ""&amp;'Resource Planner'!$C$10:$C$69,'Resource Planner'!$D$10:$D$69=$AV34)),""""))"),"")</f>
        <v/>
      </c>
      <c r="BA34" s="8" t="str">
        <f t="shared" si="12"/>
        <v>⚠ active standalone/keeper has no Who / Group</v>
      </c>
    </row>
    <row r="35" ht="15.75" customHeight="1">
      <c r="A35" s="8">
        <v>31.0</v>
      </c>
      <c r="B35" s="451" t="str">
        <f>'Family Map'!B76</f>
        <v>Form II</v>
      </c>
      <c r="C35" s="451" t="str">
        <f>'Family Map'!C76</f>
        <v>Literature</v>
      </c>
      <c r="D35" s="451" t="str">
        <f>'Family Map'!D76</f>
        <v>Shakespeare option</v>
      </c>
      <c r="E35" s="451" t="str">
        <f>'Family Map'!G76</f>
        <v>Form II / Literature — Shakespeare option</v>
      </c>
      <c r="F35" s="451" t="str">
        <f t="shared" si="1"/>
        <v>Form II / Literature — Shakespeare option</v>
      </c>
      <c r="G35" s="8">
        <f>IF(E35="",0,COUNTIF('Strand Placement'!$B:$B,E35))</f>
        <v>0</v>
      </c>
      <c r="H35" s="8" t="str">
        <f t="shared" si="2"/>
        <v>Unplaced</v>
      </c>
      <c r="I35" s="8" t="s">
        <v>671</v>
      </c>
      <c r="J35" s="8" t="str">
        <f t="array" ref="J35">IFERROR(XLOOKUP(B35,Setup!$B$38:$B$44,Setup!$A$38:$A$44),"☑")</f>
        <v>☑</v>
      </c>
      <c r="K35" s="8"/>
      <c r="L35" s="8"/>
      <c r="M35" s="8"/>
      <c r="N35" s="8"/>
      <c r="O35" s="8"/>
      <c r="P35" s="8"/>
      <c r="Q35" s="8"/>
      <c r="R35" s="8"/>
      <c r="S35" s="8" t="s">
        <v>665</v>
      </c>
      <c r="T35" s="8" t="s">
        <v>665</v>
      </c>
      <c r="U35" s="8" t="s">
        <v>665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>
        <f t="shared" si="4"/>
        <v>31</v>
      </c>
      <c r="AM35" s="451" t="str">
        <f t="shared" si="5"/>
        <v>Form II / Literature — Shakespeare option</v>
      </c>
      <c r="AN35" s="8" t="b">
        <f>AND(OR('Family Map'!A76=TRUE,'Family Map'!A76="☑",'Family Map'!A76="✓",'Family Map'!A76="✔"),$E35&lt;&gt;"",$J35="☑",$AK35="")</f>
        <v>1</v>
      </c>
      <c r="AO35" s="451" t="str">
        <f t="shared" si="6"/>
        <v>Form II / Literature — Shakespeare option</v>
      </c>
      <c r="AP35" s="8">
        <f t="shared" si="7"/>
        <v>31</v>
      </c>
      <c r="AQ35" s="451" t="str">
        <f>'Family Map'!H76</f>
        <v/>
      </c>
      <c r="AR35" s="451" t="str">
        <f t="shared" si="8"/>
        <v/>
      </c>
      <c r="AS35" s="8" t="str">
        <f>IFERROR(__xludf.DUMMYFUNCTION("LET(slot,$A35,label,$AM35,raw,$AQ35,resolved,$AR35,isCovered,$AK35&lt;&gt;"""",active,COUNTIF(Setup!$S$6:$S$25,resolved)&gt;0,placeAud,IFERROR(FILTER(IFERROR(LEFT('Strand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"",TRUE,IF(AND($A"&amp;"N35,raw=""""),""⚠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5" s="8" t="str">
        <f t="shared" si="9"/>
        <v/>
      </c>
      <c r="AU35" s="8"/>
      <c r="AV35" s="451" t="str">
        <f t="shared" si="10"/>
        <v>Form II / Literature — Shakespeare option</v>
      </c>
      <c r="AW35" s="451" t="str">
        <f t="shared" si="11"/>
        <v/>
      </c>
      <c r="AX35" s="8" t="str">
        <f>IFERROR(__xludf.DUMMYFUNCTION("IF($AV35="""","""",IFERROR(TEXTJOIN(CHAR(10),TRUE,FILTER(""row ""&amp;ROW('Strand Placement'!$B$21:$B$89)&amp;"" • ""&amp;IFERROR(LEFT('Strand Placement'!$L$21:$L$89,FIND("" | "",'Strand Placement'!$L$21:$L$89)-1),""""),'Strand Placement'!$B$21:$B$89=$AV35)),""""))"),"")</f>
        <v/>
      </c>
      <c r="AY35" s="8" t="str">
        <f>IFERROR(__xludf.DUMMYFUNCTION("IF($AV35="""","""",IFERROR(TEXTJOIN(CHAR(10),TRUE,FILTER(""row ""&amp;ROW('Student Work'!$C$24:$C$223)&amp;"" • ""&amp;'Student Work'!$A$24:$A$223,'Student Work'!$C$24:$C$223=$AV35)),""""))"),"")</f>
        <v/>
      </c>
      <c r="AZ35" s="8" t="str">
        <f>IFERROR(__xludf.DUMMYFUNCTION("IF($AV35="""","""",IFERROR(TEXTJOIN(CHAR(10),TRUE,FILTER(""row ""&amp;ROW('Resource Planner'!$D$10:$D$69)&amp;"" • ""&amp;'Resource Planner'!$C$10:$C$69,'Resource Planner'!$D$10:$D$69=$AV35)),""""))"),"")</f>
        <v/>
      </c>
      <c r="BA35" s="8" t="str">
        <f t="shared" si="12"/>
        <v>⚠ active standalone/keeper has no Who / Group</v>
      </c>
    </row>
    <row r="36" ht="15.75" customHeight="1">
      <c r="A36" s="8">
        <v>32.0</v>
      </c>
      <c r="B36" s="451" t="str">
        <f>'Family Map'!B77</f>
        <v>Form II</v>
      </c>
      <c r="C36" s="451" t="str">
        <f>'Family Map'!C77</f>
        <v>History</v>
      </c>
      <c r="D36" s="451" t="str">
        <f>'Family Map'!D77</f>
        <v>History Spine</v>
      </c>
      <c r="E36" s="451" t="str">
        <f>'Family Map'!G77</f>
        <v>Form II / History — History Spine</v>
      </c>
      <c r="F36" s="451" t="str">
        <f t="shared" si="1"/>
        <v>Form II / History — History Spine</v>
      </c>
      <c r="G36" s="8">
        <f>IF(E36="",0,COUNTIF('Strand Placement'!$B:$B,E36))</f>
        <v>0</v>
      </c>
      <c r="H36" s="8" t="str">
        <f t="shared" si="2"/>
        <v>Unplaced</v>
      </c>
      <c r="I36" s="8" t="s">
        <v>672</v>
      </c>
      <c r="J36" s="8" t="str">
        <f t="array" ref="J36">IFERROR(XLOOKUP(B36,Setup!$B$38:$B$44,Setup!$A$38:$A$44),"☑")</f>
        <v>☑</v>
      </c>
      <c r="K36" s="8"/>
      <c r="L36" s="8"/>
      <c r="M36" s="8"/>
      <c r="N36" s="8"/>
      <c r="O36" s="8"/>
      <c r="P36" s="8"/>
      <c r="Q36" s="8"/>
      <c r="R36" s="8"/>
      <c r="S36" s="8" t="s">
        <v>665</v>
      </c>
      <c r="T36" s="8" t="s">
        <v>665</v>
      </c>
      <c r="U36" s="8" t="s">
        <v>665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>
        <f t="shared" si="4"/>
        <v>32</v>
      </c>
      <c r="AM36" s="451" t="str">
        <f t="shared" si="5"/>
        <v>Form II / History — History Spine</v>
      </c>
      <c r="AN36" s="8" t="b">
        <f>AND(OR('Family Map'!A77=TRUE,'Family Map'!A77="☑",'Family Map'!A77="✓",'Family Map'!A77="✔"),$E36&lt;&gt;"",$J36="☑",$AK36="")</f>
        <v>1</v>
      </c>
      <c r="AO36" s="451" t="str">
        <f t="shared" si="6"/>
        <v>Form II / History — History Spine</v>
      </c>
      <c r="AP36" s="8">
        <f t="shared" si="7"/>
        <v>32</v>
      </c>
      <c r="AQ36" s="451" t="str">
        <f>'Family Map'!H77</f>
        <v/>
      </c>
      <c r="AR36" s="451" t="str">
        <f t="shared" si="8"/>
        <v/>
      </c>
      <c r="AS36" s="8" t="str">
        <f>IFERROR(__xludf.DUMMYFUNCTION("LET(slot,$A36,label,$AM36,raw,$AQ36,resolved,$AR36,isCovered,$AK36&lt;&gt;"""",active,COUNTIF(Setup!$S$6:$S$25,resolved)&gt;0,placeAud,IFERROR(FILTER(IFERROR(LEFT('Strand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"",TRUE,IF(AND($A"&amp;"N36,raw=""""),""⚠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6" s="8" t="str">
        <f t="shared" si="9"/>
        <v/>
      </c>
      <c r="AU36" s="8"/>
      <c r="AV36" s="451" t="str">
        <f t="shared" si="10"/>
        <v>Form II / History — History Spine</v>
      </c>
      <c r="AW36" s="451" t="str">
        <f t="shared" si="11"/>
        <v/>
      </c>
      <c r="AX36" s="8" t="str">
        <f>IFERROR(__xludf.DUMMYFUNCTION("IF($AV36="""","""",IFERROR(TEXTJOIN(CHAR(10),TRUE,FILTER(""row ""&amp;ROW('Strand Placement'!$B$21:$B$89)&amp;"" • ""&amp;IFERROR(LEFT('Strand Placement'!$L$21:$L$89,FIND("" | "",'Strand Placement'!$L$21:$L$89)-1),""""),'Strand Placement'!$B$21:$B$89=$AV36)),""""))"),"")</f>
        <v/>
      </c>
      <c r="AY36" s="8" t="str">
        <f>IFERROR(__xludf.DUMMYFUNCTION("IF($AV36="""","""",IFERROR(TEXTJOIN(CHAR(10),TRUE,FILTER(""row ""&amp;ROW('Student Work'!$C$24:$C$223)&amp;"" • ""&amp;'Student Work'!$A$24:$A$223,'Student Work'!$C$24:$C$223=$AV36)),""""))"),"")</f>
        <v/>
      </c>
      <c r="AZ36" s="8" t="str">
        <f>IFERROR(__xludf.DUMMYFUNCTION("IF($AV36="""","""",IFERROR(TEXTJOIN(CHAR(10),TRUE,FILTER(""row ""&amp;ROW('Resource Planner'!$D$10:$D$69)&amp;"" • ""&amp;'Resource Planner'!$C$10:$C$69,'Resource Planner'!$D$10:$D$69=$AV36)),""""))"),"")</f>
        <v/>
      </c>
      <c r="BA36" s="8" t="str">
        <f t="shared" si="12"/>
        <v>⚠ active standalone/keeper has no Who / Group</v>
      </c>
    </row>
    <row r="37" ht="15.75" customHeight="1">
      <c r="A37" s="8">
        <v>33.0</v>
      </c>
      <c r="B37" s="451" t="str">
        <f>'Family Map'!B78</f>
        <v>Form II</v>
      </c>
      <c r="C37" s="451" t="str">
        <f>'Family Map'!C78</f>
        <v>History</v>
      </c>
      <c r="D37" s="451" t="str">
        <f>'Family Map'!D78</f>
        <v>Biography</v>
      </c>
      <c r="E37" s="451" t="str">
        <f>'Family Map'!G78</f>
        <v>Form II / History — Biography</v>
      </c>
      <c r="F37" s="451" t="str">
        <f t="shared" si="1"/>
        <v>Form II / History — Biography</v>
      </c>
      <c r="G37" s="8">
        <f>IF(E37="",0,COUNTIF('Strand Placement'!$B:$B,E37))</f>
        <v>0</v>
      </c>
      <c r="H37" s="8" t="str">
        <f t="shared" si="2"/>
        <v>Unplaced</v>
      </c>
      <c r="I37" s="8" t="s">
        <v>673</v>
      </c>
      <c r="J37" s="8" t="str">
        <f t="array" ref="J37">IFERROR(XLOOKUP(B37,Setup!$B$38:$B$44,Setup!$A$38:$A$44),"☑")</f>
        <v>☑</v>
      </c>
      <c r="K37" s="8"/>
      <c r="L37" s="8"/>
      <c r="M37" s="8"/>
      <c r="N37" s="8"/>
      <c r="O37" s="8"/>
      <c r="P37" s="8"/>
      <c r="Q37" s="8"/>
      <c r="R37" s="8"/>
      <c r="S37" s="8" t="s">
        <v>665</v>
      </c>
      <c r="T37" s="8" t="s">
        <v>665</v>
      </c>
      <c r="U37" s="8" t="s">
        <v>665</v>
      </c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>
        <f t="shared" si="4"/>
        <v>33</v>
      </c>
      <c r="AM37" s="451" t="str">
        <f t="shared" si="5"/>
        <v>Form II / History — Biography</v>
      </c>
      <c r="AN37" s="8" t="b">
        <f>AND(OR('Family Map'!A78=TRUE,'Family Map'!A78="☑",'Family Map'!A78="✓",'Family Map'!A78="✔"),$E37&lt;&gt;"",$J37="☑",$AK37="")</f>
        <v>1</v>
      </c>
      <c r="AO37" s="451" t="str">
        <f t="shared" si="6"/>
        <v>Form II / History — Biography</v>
      </c>
      <c r="AP37" s="8">
        <f t="shared" si="7"/>
        <v>33</v>
      </c>
      <c r="AQ37" s="451" t="str">
        <f>'Family Map'!H78</f>
        <v/>
      </c>
      <c r="AR37" s="451" t="str">
        <f t="shared" si="8"/>
        <v/>
      </c>
      <c r="AS37" s="8" t="str">
        <f>IFERROR(__xludf.DUMMYFUNCTION("LET(slot,$A37,label,$AM37,raw,$AQ37,resolved,$AR37,isCovered,$AK37&lt;&gt;"""",active,COUNTIF(Setup!$S$6:$S$25,resolved)&gt;0,placeAud,IFERROR(FILTER(IFERROR(LEFT('Strand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"",TRUE,IF(AND($A"&amp;"N37,raw=""""),""⚠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7" s="8" t="str">
        <f t="shared" si="9"/>
        <v/>
      </c>
      <c r="AU37" s="8"/>
      <c r="AV37" s="451" t="str">
        <f t="shared" si="10"/>
        <v>Form II / History — Biography</v>
      </c>
      <c r="AW37" s="451" t="str">
        <f t="shared" si="11"/>
        <v/>
      </c>
      <c r="AX37" s="8" t="str">
        <f>IFERROR(__xludf.DUMMYFUNCTION("IF($AV37="""","""",IFERROR(TEXTJOIN(CHAR(10),TRUE,FILTER(""row ""&amp;ROW('Strand Placement'!$B$21:$B$89)&amp;"" • ""&amp;IFERROR(LEFT('Strand Placement'!$L$21:$L$89,FIND("" | "",'Strand Placement'!$L$21:$L$89)-1),""""),'Strand Placement'!$B$21:$B$89=$AV37)),""""))"),"")</f>
        <v/>
      </c>
      <c r="AY37" s="8" t="str">
        <f>IFERROR(__xludf.DUMMYFUNCTION("IF($AV37="""","""",IFERROR(TEXTJOIN(CHAR(10),TRUE,FILTER(""row ""&amp;ROW('Student Work'!$C$24:$C$223)&amp;"" • ""&amp;'Student Work'!$A$24:$A$223,'Student Work'!$C$24:$C$223=$AV37)),""""))"),"")</f>
        <v/>
      </c>
      <c r="AZ37" s="8" t="str">
        <f>IFERROR(__xludf.DUMMYFUNCTION("IF($AV37="""","""",IFERROR(TEXTJOIN(CHAR(10),TRUE,FILTER(""row ""&amp;ROW('Resource Planner'!$D$10:$D$69)&amp;"" • ""&amp;'Resource Planner'!$C$10:$C$69,'Resource Planner'!$D$10:$D$69=$AV37)),""""))"),"")</f>
        <v/>
      </c>
      <c r="BA37" s="8" t="str">
        <f t="shared" si="12"/>
        <v>⚠ active standalone/keeper has no Who / Group</v>
      </c>
    </row>
    <row r="38" ht="15.75" customHeight="1">
      <c r="A38" s="8">
        <v>34.0</v>
      </c>
      <c r="B38" s="451" t="str">
        <f>'Family Map'!B79</f>
        <v>Form II</v>
      </c>
      <c r="C38" s="451" t="str">
        <f>'Family Map'!C79</f>
        <v>History</v>
      </c>
      <c r="D38" s="451" t="str">
        <f>'Family Map'!D79</f>
        <v>Ancient History [IIA]</v>
      </c>
      <c r="E38" s="451" t="str">
        <f>'Family Map'!G79</f>
        <v>Form II / History — Ancient History [IIA]</v>
      </c>
      <c r="F38" s="451" t="str">
        <f t="shared" si="1"/>
        <v>Form II / History — Ancient History [IIA]</v>
      </c>
      <c r="G38" s="8">
        <f>IF(E38="",0,COUNTIF('Strand Placement'!$B:$B,E38))</f>
        <v>0</v>
      </c>
      <c r="H38" s="8" t="str">
        <f t="shared" si="2"/>
        <v>Unplaced</v>
      </c>
      <c r="I38" s="8" t="s">
        <v>674</v>
      </c>
      <c r="J38" s="8" t="str">
        <f t="array" ref="J38">IFERROR(XLOOKUP(B38,Setup!$B$38:$B$44,Setup!$A$38:$A$44),"☑")</f>
        <v>☑</v>
      </c>
      <c r="K38" s="8"/>
      <c r="L38" s="8"/>
      <c r="M38" s="8"/>
      <c r="N38" s="8"/>
      <c r="O38" s="8"/>
      <c r="P38" s="8"/>
      <c r="Q38" s="8"/>
      <c r="R38" s="8"/>
      <c r="S38" s="8" t="s">
        <v>665</v>
      </c>
      <c r="T38" s="8" t="s">
        <v>665</v>
      </c>
      <c r="U38" s="8" t="s">
        <v>665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>
        <f t="shared" si="4"/>
        <v>34</v>
      </c>
      <c r="AM38" s="451" t="str">
        <f t="shared" si="5"/>
        <v>Form II / History — Ancient History [IIA]</v>
      </c>
      <c r="AN38" s="8" t="b">
        <f>AND(OR('Family Map'!A79=TRUE,'Family Map'!A79="☑",'Family Map'!A79="✓",'Family Map'!A79="✔"),$E38&lt;&gt;"",$J38="☑",$AK38="")</f>
        <v>1</v>
      </c>
      <c r="AO38" s="451" t="str">
        <f t="shared" si="6"/>
        <v>Form II / History — Ancient History [IIA]</v>
      </c>
      <c r="AP38" s="8">
        <f t="shared" si="7"/>
        <v>34</v>
      </c>
      <c r="AQ38" s="451" t="str">
        <f>'Family Map'!H79</f>
        <v/>
      </c>
      <c r="AR38" s="451" t="str">
        <f t="shared" si="8"/>
        <v/>
      </c>
      <c r="AS38" s="8" t="str">
        <f>IFERROR(__xludf.DUMMYFUNCTION("LET(slot,$A38,label,$AM38,raw,$AQ38,resolved,$AR38,isCovered,$AK38&lt;&gt;"""",active,COUNTIF(Setup!$S$6:$S$25,resolved)&gt;0,placeAud,IFERROR(FILTER(IFERROR(LEFT('Strand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"",TRUE,IF(AND($A"&amp;"N38,raw=""""),""⚠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8" s="8" t="str">
        <f t="shared" si="9"/>
        <v/>
      </c>
      <c r="AU38" s="8"/>
      <c r="AV38" s="451" t="str">
        <f t="shared" si="10"/>
        <v>Form II / History — Ancient History [IIA]</v>
      </c>
      <c r="AW38" s="451" t="str">
        <f t="shared" si="11"/>
        <v/>
      </c>
      <c r="AX38" s="8" t="str">
        <f>IFERROR(__xludf.DUMMYFUNCTION("IF($AV38="""","""",IFERROR(TEXTJOIN(CHAR(10),TRUE,FILTER(""row ""&amp;ROW('Strand Placement'!$B$21:$B$89)&amp;"" • ""&amp;IFERROR(LEFT('Strand Placement'!$L$21:$L$89,FIND("" | "",'Strand Placement'!$L$21:$L$89)-1),""""),'Strand Placement'!$B$21:$B$89=$AV38)),""""))"),"")</f>
        <v/>
      </c>
      <c r="AY38" s="8" t="str">
        <f>IFERROR(__xludf.DUMMYFUNCTION("IF($AV38="""","""",IFERROR(TEXTJOIN(CHAR(10),TRUE,FILTER(""row ""&amp;ROW('Student Work'!$C$24:$C$223)&amp;"" • ""&amp;'Student Work'!$A$24:$A$223,'Student Work'!$C$24:$C$223=$AV38)),""""))"),"")</f>
        <v/>
      </c>
      <c r="AZ38" s="8" t="str">
        <f>IFERROR(__xludf.DUMMYFUNCTION("IF($AV38="""","""",IFERROR(TEXTJOIN(CHAR(10),TRUE,FILTER(""row ""&amp;ROW('Resource Planner'!$D$10:$D$69)&amp;"" • ""&amp;'Resource Planner'!$C$10:$C$69,'Resource Planner'!$D$10:$D$69=$AV38)),""""))"),"")</f>
        <v/>
      </c>
      <c r="BA38" s="8" t="str">
        <f t="shared" si="12"/>
        <v>⚠ active standalone/keeper has no Who / Group</v>
      </c>
    </row>
    <row r="39" ht="15.75" customHeight="1">
      <c r="A39" s="8">
        <v>35.0</v>
      </c>
      <c r="B39" s="451" t="str">
        <f>'Family Map'!B80</f>
        <v>Form II</v>
      </c>
      <c r="C39" s="451" t="str">
        <f>'Family Map'!C80</f>
        <v>Geography</v>
      </c>
      <c r="D39" s="451" t="str">
        <f>'Family Map'!D80</f>
        <v>Geography Reader</v>
      </c>
      <c r="E39" s="451" t="str">
        <f>'Family Map'!G80</f>
        <v>Form II / Geography — Geography Reader</v>
      </c>
      <c r="F39" s="451" t="str">
        <f t="shared" si="1"/>
        <v>Form II / Geography — Geography Reader</v>
      </c>
      <c r="G39" s="8">
        <f>IF(E39="",0,COUNTIF('Strand Placement'!$B:$B,E39))</f>
        <v>0</v>
      </c>
      <c r="H39" s="8" t="str">
        <f t="shared" si="2"/>
        <v>Unplaced</v>
      </c>
      <c r="I39" s="8" t="s">
        <v>675</v>
      </c>
      <c r="J39" s="8" t="str">
        <f t="array" ref="J39">IFERROR(XLOOKUP(B39,Setup!$B$38:$B$44,Setup!$A$38:$A$44),"☑")</f>
        <v>☑</v>
      </c>
      <c r="K39" s="8"/>
      <c r="L39" s="8"/>
      <c r="M39" s="8"/>
      <c r="N39" s="8"/>
      <c r="O39" s="8"/>
      <c r="P39" s="8"/>
      <c r="Q39" s="8"/>
      <c r="R39" s="8"/>
      <c r="S39" s="8" t="s">
        <v>665</v>
      </c>
      <c r="T39" s="8" t="s">
        <v>665</v>
      </c>
      <c r="U39" s="8" t="s">
        <v>665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>
        <f t="shared" si="4"/>
        <v>35</v>
      </c>
      <c r="AM39" s="451" t="str">
        <f t="shared" si="5"/>
        <v>Form II / Geography — Geography Reader</v>
      </c>
      <c r="AN39" s="8" t="b">
        <f>AND(OR('Family Map'!A80=TRUE,'Family Map'!A80="☑",'Family Map'!A80="✓",'Family Map'!A80="✔"),$E39&lt;&gt;"",$J39="☑",$AK39="")</f>
        <v>1</v>
      </c>
      <c r="AO39" s="451" t="str">
        <f t="shared" si="6"/>
        <v>Form II / Geography — Geography Reader</v>
      </c>
      <c r="AP39" s="8">
        <f t="shared" si="7"/>
        <v>35</v>
      </c>
      <c r="AQ39" s="451" t="str">
        <f>'Family Map'!H80</f>
        <v/>
      </c>
      <c r="AR39" s="451" t="str">
        <f t="shared" si="8"/>
        <v/>
      </c>
      <c r="AS39" s="8" t="str">
        <f>IFERROR(__xludf.DUMMYFUNCTION("LET(slot,$A39,label,$AM39,raw,$AQ39,resolved,$AR39,isCovered,$AK39&lt;&gt;"""",active,COUNTIF(Setup!$S$6:$S$25,resolved)&gt;0,placeAud,IFERROR(FILTER(IFERROR(LEFT('Strand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"",TRUE,IF(AND($A"&amp;"N39,raw=""""),""⚠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39" s="8" t="str">
        <f t="shared" si="9"/>
        <v/>
      </c>
      <c r="AU39" s="8"/>
      <c r="AV39" s="451" t="str">
        <f t="shared" si="10"/>
        <v>Form II / Geography — Geography Reader</v>
      </c>
      <c r="AW39" s="451" t="str">
        <f t="shared" si="11"/>
        <v/>
      </c>
      <c r="AX39" s="8" t="str">
        <f>IFERROR(__xludf.DUMMYFUNCTION("IF($AV39="""","""",IFERROR(TEXTJOIN(CHAR(10),TRUE,FILTER(""row ""&amp;ROW('Strand Placement'!$B$21:$B$89)&amp;"" • ""&amp;IFERROR(LEFT('Strand Placement'!$L$21:$L$89,FIND("" | "",'Strand Placement'!$L$21:$L$89)-1),""""),'Strand Placement'!$B$21:$B$89=$AV39)),""""))"),"")</f>
        <v/>
      </c>
      <c r="AY39" s="8" t="str">
        <f>IFERROR(__xludf.DUMMYFUNCTION("IF($AV39="""","""",IFERROR(TEXTJOIN(CHAR(10),TRUE,FILTER(""row ""&amp;ROW('Student Work'!$C$24:$C$223)&amp;"" • ""&amp;'Student Work'!$A$24:$A$223,'Student Work'!$C$24:$C$223=$AV39)),""""))"),"")</f>
        <v/>
      </c>
      <c r="AZ39" s="8" t="str">
        <f>IFERROR(__xludf.DUMMYFUNCTION("IF($AV39="""","""",IFERROR(TEXTJOIN(CHAR(10),TRUE,FILTER(""row ""&amp;ROW('Resource Planner'!$D$10:$D$69)&amp;"" • ""&amp;'Resource Planner'!$C$10:$C$69,'Resource Planner'!$D$10:$D$69=$AV39)),""""))"),"")</f>
        <v/>
      </c>
      <c r="BA39" s="8" t="str">
        <f t="shared" si="12"/>
        <v>⚠ active standalone/keeper has no Who / Group</v>
      </c>
    </row>
    <row r="40" ht="15.75" customHeight="1">
      <c r="A40" s="8">
        <v>36.0</v>
      </c>
      <c r="B40" s="451" t="str">
        <f>'Family Map'!B81</f>
        <v>Form II</v>
      </c>
      <c r="C40" s="451" t="str">
        <f>'Family Map'!C81</f>
        <v>Geography</v>
      </c>
      <c r="D40" s="451" t="str">
        <f>'Family Map'!D81</f>
        <v>Map Work</v>
      </c>
      <c r="E40" s="451" t="str">
        <f>'Family Map'!G81</f>
        <v>Form II / Geography — Map Work</v>
      </c>
      <c r="F40" s="451" t="str">
        <f t="shared" si="1"/>
        <v>Form II / Geography — Map Work</v>
      </c>
      <c r="G40" s="8">
        <f>IF(E40="",0,COUNTIF('Strand Placement'!$B:$B,E40))</f>
        <v>1</v>
      </c>
      <c r="H40" s="8" t="str">
        <f t="shared" si="2"/>
        <v>Placed</v>
      </c>
      <c r="I40" s="8" t="s">
        <v>676</v>
      </c>
      <c r="J40" s="8" t="str">
        <f t="array" ref="J40">IFERROR(XLOOKUP(B40,Setup!$B$38:$B$44,Setup!$A$38:$A$44),"☑")</f>
        <v>☑</v>
      </c>
      <c r="K40" s="8"/>
      <c r="L40" s="8"/>
      <c r="M40" s="8"/>
      <c r="N40" s="8"/>
      <c r="O40" s="8"/>
      <c r="P40" s="8"/>
      <c r="Q40" s="8"/>
      <c r="R40" s="8"/>
      <c r="S40" s="8" t="s">
        <v>665</v>
      </c>
      <c r="T40" s="8" t="s">
        <v>665</v>
      </c>
      <c r="U40" s="8" t="s">
        <v>665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>
        <f t="shared" si="4"/>
        <v>36</v>
      </c>
      <c r="AM40" s="451" t="str">
        <f t="shared" si="5"/>
        <v>Form II / Geography — Map Work</v>
      </c>
      <c r="AN40" s="8" t="b">
        <f>AND(OR('Family Map'!A81=TRUE,'Family Map'!A81="☑",'Family Map'!A81="✓",'Family Map'!A81="✔"),$E40&lt;&gt;"",$J40="☑",$AK40="")</f>
        <v>1</v>
      </c>
      <c r="AO40" s="451" t="str">
        <f t="shared" si="6"/>
        <v>Form II / Geography — Map Work</v>
      </c>
      <c r="AP40" s="8">
        <f t="shared" si="7"/>
        <v>36</v>
      </c>
      <c r="AQ40" s="451" t="str">
        <f>'Family Map'!H81</f>
        <v/>
      </c>
      <c r="AR40" s="451" t="str">
        <f t="shared" si="8"/>
        <v/>
      </c>
      <c r="AS40" s="8" t="str">
        <f>IFERROR(__xludf.DUMMYFUNCTION("LET(slot,$A40,label,$AM40,raw,$AQ40,resolved,$AR40,isCovered,$AK40&lt;&gt;"""",active,COUNTIF(Setup!$S$6:$S$25,resolved)&gt;0,placeAud,IFERROR(FILTER(IFERROR(LEFT('Strand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"",TRUE,IF(AND($A"&amp;"N40,raw=""""),""⚠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0" s="8" t="str">
        <f t="shared" si="9"/>
        <v/>
      </c>
      <c r="AU40" s="8"/>
      <c r="AV40" s="451" t="str">
        <f t="shared" si="10"/>
        <v>Form II / Geography — Map Work</v>
      </c>
      <c r="AW40" s="451" t="str">
        <f t="shared" si="11"/>
        <v/>
      </c>
      <c r="AX40" s="8" t="str">
        <f>IFERROR(__xludf.DUMMYFUNCTION("IF($AV40="""","""",IFERROR(TEXTJOIN(CHAR(10),TRUE,FILTER(""row ""&amp;ROW('Strand Placement'!$B$21:$B$89)&amp;"" • ""&amp;IFERROR(LEFT('Strand Placement'!$L$21:$L$89,FIND("" | "",'Strand Placement'!$L$21:$L$89)-1),""""),'Strand Placement'!$B$21:$B$89=$AV40)),""""))"),"row 57 • All the Girls")</f>
        <v>row 57 • All the Girls</v>
      </c>
      <c r="AY40" s="8" t="str">
        <f>IFERROR(__xludf.DUMMYFUNCTION("IF($AV40="""","""",IFERROR(TEXTJOIN(CHAR(10),TRUE,FILTER(""row ""&amp;ROW('Student Work'!$C$24:$C$223)&amp;"" • ""&amp;'Student Work'!$A$24:$A$223,'Student Work'!$C$24:$C$223=$AV40)),""""))"),"")</f>
        <v/>
      </c>
      <c r="AZ40" s="8" t="str">
        <f>IFERROR(__xludf.DUMMYFUNCTION("IF($AV40="""","""",IFERROR(TEXTJOIN(CHAR(10),TRUE,FILTER(""row ""&amp;ROW('Resource Planner'!$D$10:$D$69)&amp;"" • ""&amp;'Resource Planner'!$C$10:$C$69,'Resource Planner'!$D$10:$D$69=$AV40)),""""))"),"")</f>
        <v/>
      </c>
      <c r="BA40" s="8" t="str">
        <f t="shared" si="12"/>
        <v>⚠ active standalone/keeper has no Who / Group</v>
      </c>
    </row>
    <row r="41" ht="15.75" customHeight="1">
      <c r="A41" s="8">
        <v>37.0</v>
      </c>
      <c r="B41" s="451" t="str">
        <f>'Family Map'!B82</f>
        <v>Form II</v>
      </c>
      <c r="C41" s="451" t="str">
        <f>'Family Map'!C82</f>
        <v>Citizenship</v>
      </c>
      <c r="D41" s="451" t="str">
        <f>'Family Map'!D82</f>
        <v>Citizenship / Plutarch [IIA]</v>
      </c>
      <c r="E41" s="451" t="str">
        <f>'Family Map'!G82</f>
        <v>Form II / Citizenship — Citizenship / Plutarch [IIA]</v>
      </c>
      <c r="F41" s="451" t="str">
        <f t="shared" si="1"/>
        <v>Form II / Citizenship — Citizenship / Plutarch [IIA]</v>
      </c>
      <c r="G41" s="8">
        <f>IF(E41="",0,COUNTIF('Strand Placement'!$B:$B,E41))</f>
        <v>0</v>
      </c>
      <c r="H41" s="8" t="str">
        <f t="shared" si="2"/>
        <v>Unplaced</v>
      </c>
      <c r="I41" s="8" t="s">
        <v>677</v>
      </c>
      <c r="J41" s="8" t="str">
        <f t="array" ref="J41">IFERROR(XLOOKUP(B41,Setup!$B$38:$B$44,Setup!$A$38:$A$44),"☑")</f>
        <v>☑</v>
      </c>
      <c r="K41" s="8"/>
      <c r="L41" s="8"/>
      <c r="M41" s="8"/>
      <c r="N41" s="8"/>
      <c r="O41" s="8"/>
      <c r="P41" s="8"/>
      <c r="Q41" s="8"/>
      <c r="R41" s="8"/>
      <c r="S41" s="8" t="s">
        <v>665</v>
      </c>
      <c r="T41" s="8" t="s">
        <v>665</v>
      </c>
      <c r="U41" s="8" t="s">
        <v>665</v>
      </c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>
        <f t="shared" si="4"/>
        <v>37</v>
      </c>
      <c r="AM41" s="451" t="str">
        <f t="shared" si="5"/>
        <v>Form II / Citizenship — Citizenship / Plutarch [IIA]</v>
      </c>
      <c r="AN41" s="8" t="b">
        <f>AND(OR('Family Map'!A82=TRUE,'Family Map'!A82="☑",'Family Map'!A82="✓",'Family Map'!A82="✔"),$E41&lt;&gt;"",$J41="☑",$AK41="")</f>
        <v>1</v>
      </c>
      <c r="AO41" s="451" t="str">
        <f t="shared" si="6"/>
        <v>Form II / Citizenship — Citizenship / Plutarch [IIA]</v>
      </c>
      <c r="AP41" s="8">
        <f t="shared" si="7"/>
        <v>37</v>
      </c>
      <c r="AQ41" s="451" t="str">
        <f>'Family Map'!H82</f>
        <v/>
      </c>
      <c r="AR41" s="451" t="str">
        <f t="shared" si="8"/>
        <v/>
      </c>
      <c r="AS41" s="8" t="str">
        <f>IFERROR(__xludf.DUMMYFUNCTION("LET(slot,$A41,label,$AM41,raw,$AQ41,resolved,$AR41,isCovered,$AK41&lt;&gt;"""",active,COUNTIF(Setup!$S$6:$S$25,resolved)&gt;0,placeAud,IFERROR(FILTER(IFERROR(LEFT('Strand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"",TRUE,IF(AND($A"&amp;"N41,raw=""""),""⚠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1" s="8" t="str">
        <f t="shared" si="9"/>
        <v/>
      </c>
      <c r="AU41" s="8"/>
      <c r="AV41" s="451" t="str">
        <f t="shared" si="10"/>
        <v>Form II / Citizenship — Citizenship / Plutarch [IIA]</v>
      </c>
      <c r="AW41" s="451" t="str">
        <f t="shared" si="11"/>
        <v/>
      </c>
      <c r="AX41" s="8" t="str">
        <f>IFERROR(__xludf.DUMMYFUNCTION("IF($AV41="""","""",IFERROR(TEXTJOIN(CHAR(10),TRUE,FILTER(""row ""&amp;ROW('Strand Placement'!$B$21:$B$89)&amp;"" • ""&amp;IFERROR(LEFT('Strand Placement'!$L$21:$L$89,FIND("" | "",'Strand Placement'!$L$21:$L$89)-1),""""),'Strand Placement'!$B$21:$B$89=$AV41)),""""))"),"")</f>
        <v/>
      </c>
      <c r="AY41" s="8" t="str">
        <f>IFERROR(__xludf.DUMMYFUNCTION("IF($AV41="""","""",IFERROR(TEXTJOIN(CHAR(10),TRUE,FILTER(""row ""&amp;ROW('Student Work'!$C$24:$C$223)&amp;"" • ""&amp;'Student Work'!$A$24:$A$223,'Student Work'!$C$24:$C$223=$AV41)),""""))"),"")</f>
        <v/>
      </c>
      <c r="AZ41" s="8" t="str">
        <f>IFERROR(__xludf.DUMMYFUNCTION("IF($AV41="""","""",IFERROR(TEXTJOIN(CHAR(10),TRUE,FILTER(""row ""&amp;ROW('Resource Planner'!$D$10:$D$69)&amp;"" • ""&amp;'Resource Planner'!$C$10:$C$69,'Resource Planner'!$D$10:$D$69=$AV41)),""""))"),"")</f>
        <v/>
      </c>
      <c r="BA41" s="8" t="str">
        <f t="shared" si="12"/>
        <v>⚠ active standalone/keeper has no Who / Group</v>
      </c>
    </row>
    <row r="42" ht="15.75" customHeight="1">
      <c r="A42" s="8">
        <v>38.0</v>
      </c>
      <c r="B42" s="451" t="str">
        <f>'Family Map'!B83</f>
        <v>Form II</v>
      </c>
      <c r="C42" s="451" t="str">
        <f>'Family Map'!C83</f>
        <v>Science / Nature</v>
      </c>
      <c r="D42" s="451" t="str">
        <f>'Family Map'!D83</f>
        <v>Natural History</v>
      </c>
      <c r="E42" s="451" t="str">
        <f>'Family Map'!G83</f>
        <v>Form II / Science / Nature — Natural History</v>
      </c>
      <c r="F42" s="451" t="str">
        <f t="shared" si="1"/>
        <v>Form II / Science / Nature — Natural History</v>
      </c>
      <c r="G42" s="8">
        <f>IF(E42="",0,COUNTIF('Strand Placement'!$B:$B,E42))</f>
        <v>0</v>
      </c>
      <c r="H42" s="8" t="str">
        <f t="shared" si="2"/>
        <v>Unplaced</v>
      </c>
      <c r="I42" s="8" t="s">
        <v>678</v>
      </c>
      <c r="J42" s="8" t="str">
        <f t="array" ref="J42">IFERROR(XLOOKUP(B42,Setup!$B$38:$B$44,Setup!$A$38:$A$44),"☑")</f>
        <v>☑</v>
      </c>
      <c r="K42" s="8"/>
      <c r="L42" s="8"/>
      <c r="M42" s="8"/>
      <c r="N42" s="8"/>
      <c r="O42" s="8"/>
      <c r="P42" s="8"/>
      <c r="Q42" s="8"/>
      <c r="R42" s="8"/>
      <c r="S42" s="8" t="s">
        <v>665</v>
      </c>
      <c r="T42" s="8" t="s">
        <v>665</v>
      </c>
      <c r="U42" s="8" t="s">
        <v>665</v>
      </c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447"/>
      <c r="AL42" s="8">
        <f t="shared" si="4"/>
        <v>38</v>
      </c>
      <c r="AM42" s="451" t="str">
        <f t="shared" si="5"/>
        <v>Form II / Science / Nature — Natural History</v>
      </c>
      <c r="AN42" s="8" t="b">
        <f>AND(OR('Family Map'!A83=TRUE,'Family Map'!A83="☑",'Family Map'!A83="✓",'Family Map'!A83="✔"),$E42&lt;&gt;"",$J42="☑",$AK42="")</f>
        <v>1</v>
      </c>
      <c r="AO42" s="451" t="str">
        <f t="shared" si="6"/>
        <v>Form II / Science / Nature — Natural History</v>
      </c>
      <c r="AP42" s="8">
        <f t="shared" si="7"/>
        <v>38</v>
      </c>
      <c r="AQ42" s="451" t="str">
        <f>'Family Map'!H83</f>
        <v/>
      </c>
      <c r="AR42" s="451" t="str">
        <f t="shared" si="8"/>
        <v/>
      </c>
      <c r="AS42" s="8" t="str">
        <f>IFERROR(__xludf.DUMMYFUNCTION("LET(slot,$A42,label,$AM42,raw,$AQ42,resolved,$AR42,isCovered,$AK42&lt;&gt;"""",active,COUNTIF(Setup!$S$6:$S$25,resolved)&gt;0,placeAud,IFERROR(FILTER(IFERROR(LEFT('Strand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"",TRUE,IF(AND($A"&amp;"N42,raw=""""),""⚠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2" s="8" t="str">
        <f t="shared" si="9"/>
        <v/>
      </c>
      <c r="AU42" s="8"/>
      <c r="AV42" s="451" t="str">
        <f t="shared" si="10"/>
        <v>Form II / Science / Nature — Natural History</v>
      </c>
      <c r="AW42" s="451" t="str">
        <f t="shared" si="11"/>
        <v/>
      </c>
      <c r="AX42" s="8" t="str">
        <f>IFERROR(__xludf.DUMMYFUNCTION("IF($AV42="""","""",IFERROR(TEXTJOIN(CHAR(10),TRUE,FILTER(""row ""&amp;ROW('Strand Placement'!$B$21:$B$89)&amp;"" • ""&amp;IFERROR(LEFT('Strand Placement'!$L$21:$L$89,FIND("" | "",'Strand Placement'!$L$21:$L$89)-1),""""),'Strand Placement'!$B$21:$B$89=$AV42)),""""))"),"")</f>
        <v/>
      </c>
      <c r="AY42" s="8" t="str">
        <f>IFERROR(__xludf.DUMMYFUNCTION("IF($AV42="""","""",IFERROR(TEXTJOIN(CHAR(10),TRUE,FILTER(""row ""&amp;ROW('Student Work'!$C$24:$C$223)&amp;"" • ""&amp;'Student Work'!$A$24:$A$223,'Student Work'!$C$24:$C$223=$AV42)),""""))"),"")</f>
        <v/>
      </c>
      <c r="AZ42" s="8" t="str">
        <f>IFERROR(__xludf.DUMMYFUNCTION("IF($AV42="""","""",IFERROR(TEXTJOIN(CHAR(10),TRUE,FILTER(""row ""&amp;ROW('Resource Planner'!$D$10:$D$69)&amp;"" • ""&amp;'Resource Planner'!$C$10:$C$69,'Resource Planner'!$D$10:$D$69=$AV42)),""""))"),"")</f>
        <v/>
      </c>
      <c r="BA42" s="8" t="str">
        <f t="shared" si="12"/>
        <v>⚠ active standalone/keeper has no Who / Group</v>
      </c>
    </row>
    <row r="43" ht="15.75" customHeight="1">
      <c r="A43" s="8">
        <v>39.0</v>
      </c>
      <c r="B43" s="451" t="str">
        <f>'Family Map'!B84</f>
        <v>Form II</v>
      </c>
      <c r="C43" s="451" t="str">
        <f>'Family Map'!C84</f>
        <v>Science / Nature</v>
      </c>
      <c r="D43" s="451" t="str">
        <f>'Family Map'!D84</f>
        <v>Science</v>
      </c>
      <c r="E43" s="451" t="str">
        <f>'Family Map'!G84</f>
        <v>Form II / Science / Nature — Science</v>
      </c>
      <c r="F43" s="451" t="str">
        <f t="shared" si="1"/>
        <v>Form II / Science / Nature — Science</v>
      </c>
      <c r="G43" s="8">
        <f>IF(E43="",0,COUNTIF('Strand Placement'!$B:$B,E43))</f>
        <v>0</v>
      </c>
      <c r="H43" s="8" t="str">
        <f t="shared" si="2"/>
        <v>Unplaced</v>
      </c>
      <c r="I43" s="8" t="s">
        <v>679</v>
      </c>
      <c r="J43" s="8" t="str">
        <f t="array" ref="J43">IFERROR(XLOOKUP(B43,Setup!$B$38:$B$44,Setup!$A$38:$A$44),"☑")</f>
        <v>☑</v>
      </c>
      <c r="K43" s="8"/>
      <c r="L43" s="8"/>
      <c r="M43" s="8"/>
      <c r="N43" s="8"/>
      <c r="O43" s="8"/>
      <c r="P43" s="8"/>
      <c r="Q43" s="8"/>
      <c r="R43" s="8"/>
      <c r="S43" s="8" t="s">
        <v>665</v>
      </c>
      <c r="T43" s="8" t="s">
        <v>665</v>
      </c>
      <c r="U43" s="8" t="s">
        <v>665</v>
      </c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>
        <f t="shared" si="4"/>
        <v>39</v>
      </c>
      <c r="AM43" s="451" t="str">
        <f t="shared" si="5"/>
        <v>Form II / Science / Nature — Science</v>
      </c>
      <c r="AN43" s="8" t="b">
        <f>AND(OR('Family Map'!A84=TRUE,'Family Map'!A84="☑",'Family Map'!A84="✓",'Family Map'!A84="✔"),$E43&lt;&gt;"",$J43="☑",$AK43="")</f>
        <v>1</v>
      </c>
      <c r="AO43" s="451" t="str">
        <f t="shared" si="6"/>
        <v>Form II / Science / Nature — Science</v>
      </c>
      <c r="AP43" s="8">
        <f t="shared" si="7"/>
        <v>39</v>
      </c>
      <c r="AQ43" s="451" t="str">
        <f>'Family Map'!H84</f>
        <v/>
      </c>
      <c r="AR43" s="451" t="str">
        <f t="shared" si="8"/>
        <v/>
      </c>
      <c r="AS43" s="8" t="str">
        <f>IFERROR(__xludf.DUMMYFUNCTION("LET(slot,$A43,label,$AM43,raw,$AQ43,resolved,$AR43,isCovered,$AK43&lt;&gt;"""",active,COUNTIF(Setup!$S$6:$S$25,resolved)&gt;0,placeAud,IFERROR(FILTER(IFERROR(LEFT('Strand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"",TRUE,IF(AND($A"&amp;"N43,raw=""""),""⚠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3" s="8" t="str">
        <f t="shared" si="9"/>
        <v/>
      </c>
      <c r="AU43" s="8"/>
      <c r="AV43" s="451" t="str">
        <f t="shared" si="10"/>
        <v>Form II / Science / Nature — Science</v>
      </c>
      <c r="AW43" s="451" t="str">
        <f t="shared" si="11"/>
        <v/>
      </c>
      <c r="AX43" s="8" t="str">
        <f>IFERROR(__xludf.DUMMYFUNCTION("IF($AV43="""","""",IFERROR(TEXTJOIN(CHAR(10),TRUE,FILTER(""row ""&amp;ROW('Strand Placement'!$B$21:$B$89)&amp;"" • ""&amp;IFERROR(LEFT('Strand Placement'!$L$21:$L$89,FIND("" | "",'Strand Placement'!$L$21:$L$89)-1),""""),'Strand Placement'!$B$21:$B$89=$AV43)),""""))"),"")</f>
        <v/>
      </c>
      <c r="AY43" s="8" t="str">
        <f>IFERROR(__xludf.DUMMYFUNCTION("IF($AV43="""","""",IFERROR(TEXTJOIN(CHAR(10),TRUE,FILTER(""row ""&amp;ROW('Student Work'!$C$24:$C$223)&amp;"" • ""&amp;'Student Work'!$A$24:$A$223,'Student Work'!$C$24:$C$223=$AV43)),""""))"),"")</f>
        <v/>
      </c>
      <c r="AZ43" s="8" t="str">
        <f>IFERROR(__xludf.DUMMYFUNCTION("IF($AV43="""","""",IFERROR(TEXTJOIN(CHAR(10),TRUE,FILTER(""row ""&amp;ROW('Resource Planner'!$D$10:$D$69)&amp;"" • ""&amp;'Resource Planner'!$C$10:$C$69,'Resource Planner'!$D$10:$D$69=$AV43)),""""))"),"")</f>
        <v/>
      </c>
      <c r="BA43" s="8" t="str">
        <f t="shared" si="12"/>
        <v>⚠ active standalone/keeper has no Who / Group</v>
      </c>
    </row>
    <row r="44" ht="15.75" customHeight="1">
      <c r="A44" s="8">
        <v>40.0</v>
      </c>
      <c r="B44" s="451" t="str">
        <f>'Family Map'!B85</f>
        <v>Form II</v>
      </c>
      <c r="C44" s="451" t="str">
        <f>'Family Map'!C85</f>
        <v>Math</v>
      </c>
      <c r="D44" s="451" t="str">
        <f>'Family Map'!D85</f>
        <v>Arithmetic</v>
      </c>
      <c r="E44" s="451" t="str">
        <f>'Family Map'!G85</f>
        <v>Form II / Math — Arithmetic</v>
      </c>
      <c r="F44" s="451" t="str">
        <f t="shared" si="1"/>
        <v>Form II / Math — Arithmetic</v>
      </c>
      <c r="G44" s="8">
        <f>IF(E44="",0,COUNTIF('Strand Placement'!$B:$B,E44))</f>
        <v>0</v>
      </c>
      <c r="H44" s="8" t="str">
        <f t="shared" si="2"/>
        <v>Unplaced</v>
      </c>
      <c r="I44" s="8" t="s">
        <v>680</v>
      </c>
      <c r="J44" s="8" t="str">
        <f t="array" ref="J44">IFERROR(XLOOKUP(B44,Setup!$B$38:$B$44,Setup!$A$38:$A$44),"☑")</f>
        <v>☑</v>
      </c>
      <c r="K44" s="8"/>
      <c r="L44" s="8"/>
      <c r="M44" s="8"/>
      <c r="N44" s="8"/>
      <c r="O44" s="8"/>
      <c r="P44" s="8"/>
      <c r="Q44" s="8"/>
      <c r="R44" s="8"/>
      <c r="S44" s="8" t="s">
        <v>665</v>
      </c>
      <c r="T44" s="8" t="s">
        <v>665</v>
      </c>
      <c r="U44" s="8" t="s">
        <v>665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>
        <f t="shared" si="4"/>
        <v>40</v>
      </c>
      <c r="AM44" s="451" t="str">
        <f t="shared" si="5"/>
        <v>Form II / Math — Arithmetic</v>
      </c>
      <c r="AN44" s="8" t="b">
        <f>AND(OR('Family Map'!A85=TRUE,'Family Map'!A85="☑",'Family Map'!A85="✓",'Family Map'!A85="✔"),$E44&lt;&gt;"",$J44="☑",$AK44="")</f>
        <v>1</v>
      </c>
      <c r="AO44" s="451" t="str">
        <f t="shared" si="6"/>
        <v>Form II / Math — Arithmetic</v>
      </c>
      <c r="AP44" s="8">
        <f t="shared" si="7"/>
        <v>40</v>
      </c>
      <c r="AQ44" s="451" t="str">
        <f>'Family Map'!H85</f>
        <v/>
      </c>
      <c r="AR44" s="451" t="str">
        <f t="shared" si="8"/>
        <v/>
      </c>
      <c r="AS44" s="8" t="str">
        <f>IFERROR(__xludf.DUMMYFUNCTION("LET(slot,$A44,label,$AM44,raw,$AQ44,resolved,$AR44,isCovered,$AK44&lt;&gt;"""",active,COUNTIF(Setup!$S$6:$S$25,resolved)&gt;0,placeAud,IFERROR(FILTER(IFERROR(LEFT('Strand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"",TRUE,IF(AND($A"&amp;"N44,raw=""""),""⚠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4" s="8" t="str">
        <f t="shared" si="9"/>
        <v/>
      </c>
      <c r="AU44" s="8"/>
      <c r="AV44" s="451" t="str">
        <f t="shared" si="10"/>
        <v>Form II / Math — Arithmetic</v>
      </c>
      <c r="AW44" s="451" t="str">
        <f t="shared" si="11"/>
        <v/>
      </c>
      <c r="AX44" s="8" t="str">
        <f>IFERROR(__xludf.DUMMYFUNCTION("IF($AV44="""","""",IFERROR(TEXTJOIN(CHAR(10),TRUE,FILTER(""row ""&amp;ROW('Strand Placement'!$B$21:$B$89)&amp;"" • ""&amp;IFERROR(LEFT('Strand Placement'!$L$21:$L$89,FIND("" | "",'Strand Placement'!$L$21:$L$89)-1),""""),'Strand Placement'!$B$21:$B$89=$AV44)),""""))"),"")</f>
        <v/>
      </c>
      <c r="AY44" s="8" t="str">
        <f>IFERROR(__xludf.DUMMYFUNCTION("IF($AV44="""","""",IFERROR(TEXTJOIN(CHAR(10),TRUE,FILTER(""row ""&amp;ROW('Student Work'!$C$24:$C$223)&amp;"" • ""&amp;'Student Work'!$A$24:$A$223,'Student Work'!$C$24:$C$223=$AV44)),""""))"),"")</f>
        <v/>
      </c>
      <c r="AZ44" s="8" t="str">
        <f>IFERROR(__xludf.DUMMYFUNCTION("IF($AV44="""","""",IFERROR(TEXTJOIN(CHAR(10),TRUE,FILTER(""row ""&amp;ROW('Resource Planner'!$D$10:$D$69)&amp;"" • ""&amp;'Resource Planner'!$C$10:$C$69,'Resource Planner'!$D$10:$D$69=$AV44)),""""))"),"")</f>
        <v/>
      </c>
      <c r="BA44" s="8" t="str">
        <f t="shared" si="12"/>
        <v>⚠ active standalone/keeper has no Who / Group</v>
      </c>
    </row>
    <row r="45" ht="15.75" customHeight="1">
      <c r="A45" s="8">
        <v>41.0</v>
      </c>
      <c r="B45" s="451" t="str">
        <f>'Family Map'!B86</f>
        <v>Form II</v>
      </c>
      <c r="C45" s="451" t="str">
        <f>'Family Map'!C86</f>
        <v>Math</v>
      </c>
      <c r="D45" s="451" t="str">
        <f>'Family Map'!D86</f>
        <v>Practical Geometry</v>
      </c>
      <c r="E45" s="451" t="str">
        <f>'Family Map'!G86</f>
        <v>Form II / Math — Practical Geometry</v>
      </c>
      <c r="F45" s="451" t="str">
        <f t="shared" si="1"/>
        <v>Form II / Math — Practical Geometry</v>
      </c>
      <c r="G45" s="8">
        <f>IF(E45="",0,COUNTIF('Strand Placement'!$B:$B,E45))</f>
        <v>0</v>
      </c>
      <c r="H45" s="8" t="str">
        <f t="shared" si="2"/>
        <v>Unplaced</v>
      </c>
      <c r="I45" s="8" t="s">
        <v>681</v>
      </c>
      <c r="J45" s="8" t="str">
        <f t="array" ref="J45">IFERROR(XLOOKUP(B45,Setup!$B$38:$B$44,Setup!$A$38:$A$44),"☑")</f>
        <v>☑</v>
      </c>
      <c r="K45" s="8"/>
      <c r="L45" s="8"/>
      <c r="M45" s="8"/>
      <c r="N45" s="8"/>
      <c r="O45" s="8"/>
      <c r="P45" s="8"/>
      <c r="Q45" s="8"/>
      <c r="R45" s="8"/>
      <c r="S45" s="8" t="s">
        <v>665</v>
      </c>
      <c r="T45" s="8" t="s">
        <v>665</v>
      </c>
      <c r="U45" s="8" t="s">
        <v>665</v>
      </c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>
        <f t="shared" si="4"/>
        <v>41</v>
      </c>
      <c r="AM45" s="451" t="str">
        <f t="shared" si="5"/>
        <v>Form II / Math — Practical Geometry</v>
      </c>
      <c r="AN45" s="8" t="b">
        <f>AND(OR('Family Map'!A86=TRUE,'Family Map'!A86="☑",'Family Map'!A86="✓",'Family Map'!A86="✔"),$E45&lt;&gt;"",$J45="☑",$AK45="")</f>
        <v>1</v>
      </c>
      <c r="AO45" s="451" t="str">
        <f t="shared" si="6"/>
        <v>Form II / Math — Practical Geometry</v>
      </c>
      <c r="AP45" s="8">
        <f t="shared" si="7"/>
        <v>41</v>
      </c>
      <c r="AQ45" s="451" t="str">
        <f>'Family Map'!H86</f>
        <v/>
      </c>
      <c r="AR45" s="451" t="str">
        <f t="shared" si="8"/>
        <v/>
      </c>
      <c r="AS45" s="8" t="str">
        <f>IFERROR(__xludf.DUMMYFUNCTION("LET(slot,$A45,label,$AM45,raw,$AQ45,resolved,$AR45,isCovered,$AK45&lt;&gt;"""",active,COUNTIF(Setup!$S$6:$S$25,resolved)&gt;0,placeAud,IFERROR(FILTER(IFERROR(LEFT('Strand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"",TRUE,IF(AND($A"&amp;"N45,raw=""""),""⚠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5" s="8" t="str">
        <f t="shared" si="9"/>
        <v/>
      </c>
      <c r="AU45" s="8"/>
      <c r="AV45" s="451" t="str">
        <f t="shared" si="10"/>
        <v>Form II / Math — Practical Geometry</v>
      </c>
      <c r="AW45" s="451" t="str">
        <f t="shared" si="11"/>
        <v/>
      </c>
      <c r="AX45" s="8" t="str">
        <f>IFERROR(__xludf.DUMMYFUNCTION("IF($AV45="""","""",IFERROR(TEXTJOIN(CHAR(10),TRUE,FILTER(""row ""&amp;ROW('Strand Placement'!$B$21:$B$89)&amp;"" • ""&amp;IFERROR(LEFT('Strand Placement'!$L$21:$L$89,FIND("" | "",'Strand Placement'!$L$21:$L$89)-1),""""),'Strand Placement'!$B$21:$B$89=$AV45)),""""))"),"")</f>
        <v/>
      </c>
      <c r="AY45" s="8" t="str">
        <f>IFERROR(__xludf.DUMMYFUNCTION("IF($AV45="""","""",IFERROR(TEXTJOIN(CHAR(10),TRUE,FILTER(""row ""&amp;ROW('Student Work'!$C$24:$C$223)&amp;"" • ""&amp;'Student Work'!$A$24:$A$223,'Student Work'!$C$24:$C$223=$AV45)),""""))"),"")</f>
        <v/>
      </c>
      <c r="AZ45" s="8" t="str">
        <f>IFERROR(__xludf.DUMMYFUNCTION("IF($AV45="""","""",IFERROR(TEXTJOIN(CHAR(10),TRUE,FILTER(""row ""&amp;ROW('Resource Planner'!$D$10:$D$69)&amp;"" • ""&amp;'Resource Planner'!$C$10:$C$69,'Resource Planner'!$D$10:$D$69=$AV45)),""""))"),"")</f>
        <v/>
      </c>
      <c r="BA45" s="8" t="str">
        <f t="shared" si="12"/>
        <v>⚠ active standalone/keeper has no Who / Group</v>
      </c>
    </row>
    <row r="46" ht="15.75" customHeight="1">
      <c r="A46" s="8">
        <v>42.0</v>
      </c>
      <c r="B46" s="451" t="str">
        <f>'Family Map'!B87</f>
        <v>Form II</v>
      </c>
      <c r="C46" s="451" t="str">
        <f>'Family Map'!C87</f>
        <v>Foreign Language</v>
      </c>
      <c r="D46" s="451" t="str">
        <f>'Family Map'!D87</f>
        <v>Modern Language</v>
      </c>
      <c r="E46" s="451" t="str">
        <f>'Family Map'!G87</f>
        <v>Form II / Foreign Language — Modern Language</v>
      </c>
      <c r="F46" s="451" t="str">
        <f t="shared" si="1"/>
        <v>Form II / Foreign Language — Modern Language</v>
      </c>
      <c r="G46" s="8">
        <f>IF(E46="",0,COUNTIF('Strand Placement'!$B:$B,E46))</f>
        <v>0</v>
      </c>
      <c r="H46" s="8" t="str">
        <f t="shared" si="2"/>
        <v>Unplaced</v>
      </c>
      <c r="I46" s="8" t="s">
        <v>682</v>
      </c>
      <c r="J46" s="8" t="str">
        <f t="array" ref="J46">IFERROR(XLOOKUP(B46,Setup!$B$38:$B$44,Setup!$A$38:$A$44),"☑")</f>
        <v>☑</v>
      </c>
      <c r="K46" s="8"/>
      <c r="L46" s="8"/>
      <c r="M46" s="8"/>
      <c r="N46" s="8"/>
      <c r="O46" s="8"/>
      <c r="P46" s="8"/>
      <c r="Q46" s="8"/>
      <c r="R46" s="8"/>
      <c r="S46" s="8" t="s">
        <v>665</v>
      </c>
      <c r="T46" s="8" t="s">
        <v>665</v>
      </c>
      <c r="U46" s="8" t="s">
        <v>665</v>
      </c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>
        <f t="shared" si="4"/>
        <v>42</v>
      </c>
      <c r="AM46" s="451" t="str">
        <f t="shared" si="5"/>
        <v>Form II / Foreign Language — Modern Language</v>
      </c>
      <c r="AN46" s="8" t="b">
        <f>AND(OR('Family Map'!A87=TRUE,'Family Map'!A87="☑",'Family Map'!A87="✓",'Family Map'!A87="✔"),$E46&lt;&gt;"",$J46="☑",$AK46="")</f>
        <v>1</v>
      </c>
      <c r="AO46" s="451" t="str">
        <f t="shared" si="6"/>
        <v>Form II / Foreign Language — Modern Language</v>
      </c>
      <c r="AP46" s="8">
        <f t="shared" si="7"/>
        <v>42</v>
      </c>
      <c r="AQ46" s="451" t="str">
        <f>'Family Map'!H87</f>
        <v/>
      </c>
      <c r="AR46" s="451" t="str">
        <f t="shared" si="8"/>
        <v/>
      </c>
      <c r="AS46" s="8" t="str">
        <f>IFERROR(__xludf.DUMMYFUNCTION("LET(slot,$A46,label,$AM46,raw,$AQ46,resolved,$AR46,isCovered,$AK46&lt;&gt;"""",active,COUNTIF(Setup!$S$6:$S$25,resolved)&gt;0,placeAud,IFERROR(FILTER(IFERROR(LEFT('Strand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"",TRUE,IF(AND($A"&amp;"N46,raw=""""),""⚠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6" s="8" t="str">
        <f t="shared" si="9"/>
        <v/>
      </c>
      <c r="AU46" s="8"/>
      <c r="AV46" s="451" t="str">
        <f t="shared" si="10"/>
        <v>Form II / Foreign Language — Modern Language</v>
      </c>
      <c r="AW46" s="451" t="str">
        <f t="shared" si="11"/>
        <v/>
      </c>
      <c r="AX46" s="8" t="str">
        <f>IFERROR(__xludf.DUMMYFUNCTION("IF($AV46="""","""",IFERROR(TEXTJOIN(CHAR(10),TRUE,FILTER(""row ""&amp;ROW('Strand Placement'!$B$21:$B$89)&amp;"" • ""&amp;IFERROR(LEFT('Strand Placement'!$L$21:$L$89,FIND("" | "",'Strand Placement'!$L$21:$L$89)-1),""""),'Strand Placement'!$B$21:$B$89=$AV46)),""""))"),"")</f>
        <v/>
      </c>
      <c r="AY46" s="8" t="str">
        <f>IFERROR(__xludf.DUMMYFUNCTION("IF($AV46="""","""",IFERROR(TEXTJOIN(CHAR(10),TRUE,FILTER(""row ""&amp;ROW('Student Work'!$C$24:$C$223)&amp;"" • ""&amp;'Student Work'!$A$24:$A$223,'Student Work'!$C$24:$C$223=$AV46)),""""))"),"")</f>
        <v/>
      </c>
      <c r="AZ46" s="8" t="str">
        <f>IFERROR(__xludf.DUMMYFUNCTION("IF($AV46="""","""",IFERROR(TEXTJOIN(CHAR(10),TRUE,FILTER(""row ""&amp;ROW('Resource Planner'!$D$10:$D$69)&amp;"" • ""&amp;'Resource Planner'!$C$10:$C$69,'Resource Planner'!$D$10:$D$69=$AV46)),""""))"),"")</f>
        <v/>
      </c>
      <c r="BA46" s="8" t="str">
        <f t="shared" si="12"/>
        <v>⚠ active standalone/keeper has no Who / Group</v>
      </c>
    </row>
    <row r="47" ht="15.75" customHeight="1">
      <c r="A47" s="8">
        <v>43.0</v>
      </c>
      <c r="B47" s="451" t="str">
        <f>'Family Map'!B88</f>
        <v>Form II</v>
      </c>
      <c r="C47" s="451" t="str">
        <f>'Family Map'!C88</f>
        <v>Foreign Language</v>
      </c>
      <c r="D47" s="451" t="str">
        <f>'Family Map'!D88</f>
        <v>Latin [IIA]</v>
      </c>
      <c r="E47" s="451" t="str">
        <f>'Family Map'!G88</f>
        <v>Form II / Foreign Language — Latin [IIA]</v>
      </c>
      <c r="F47" s="451" t="str">
        <f t="shared" si="1"/>
        <v>Form II / Foreign Language — Latin [IIA]</v>
      </c>
      <c r="G47" s="8">
        <f>IF(E47="",0,COUNTIF('Strand Placement'!$B:$B,E47))</f>
        <v>0</v>
      </c>
      <c r="H47" s="8" t="str">
        <f t="shared" si="2"/>
        <v>Unplaced</v>
      </c>
      <c r="I47" s="8" t="s">
        <v>683</v>
      </c>
      <c r="J47" s="8" t="str">
        <f t="array" ref="J47">IFERROR(XLOOKUP(B47,Setup!$B$38:$B$44,Setup!$A$38:$A$44),"☑")</f>
        <v>☑</v>
      </c>
      <c r="K47" s="8"/>
      <c r="L47" s="8"/>
      <c r="M47" s="8"/>
      <c r="N47" s="8"/>
      <c r="O47" s="8"/>
      <c r="P47" s="8"/>
      <c r="Q47" s="8"/>
      <c r="R47" s="8"/>
      <c r="S47" s="8" t="s">
        <v>665</v>
      </c>
      <c r="T47" s="8" t="s">
        <v>665</v>
      </c>
      <c r="U47" s="8" t="s">
        <v>665</v>
      </c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>
        <f t="shared" si="4"/>
        <v>43</v>
      </c>
      <c r="AM47" s="451" t="str">
        <f t="shared" si="5"/>
        <v>Form II / Foreign Language — Latin [IIA]</v>
      </c>
      <c r="AN47" s="8" t="b">
        <f>AND(OR('Family Map'!A88=TRUE,'Family Map'!A88="☑",'Family Map'!A88="✓",'Family Map'!A88="✔"),$E47&lt;&gt;"",$J47="☑",$AK47="")</f>
        <v>1</v>
      </c>
      <c r="AO47" s="451" t="str">
        <f t="shared" si="6"/>
        <v>Form II / Foreign Language — Latin [IIA]</v>
      </c>
      <c r="AP47" s="8">
        <f t="shared" si="7"/>
        <v>43</v>
      </c>
      <c r="AQ47" s="451" t="str">
        <f>'Family Map'!H88</f>
        <v/>
      </c>
      <c r="AR47" s="451" t="str">
        <f t="shared" si="8"/>
        <v/>
      </c>
      <c r="AS47" s="8" t="str">
        <f>IFERROR(__xludf.DUMMYFUNCTION("LET(slot,$A47,label,$AM47,raw,$AQ47,resolved,$AR47,isCovered,$AK47&lt;&gt;"""",active,COUNTIF(Setup!$S$6:$S$25,resolved)&gt;0,placeAud,IFERROR(FILTER(IFERROR(LEFT('Strand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"",TRUE,IF(AND($A"&amp;"N47,raw=""""),""⚠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7" s="8" t="str">
        <f t="shared" si="9"/>
        <v/>
      </c>
      <c r="AU47" s="8"/>
      <c r="AV47" s="451" t="str">
        <f t="shared" si="10"/>
        <v>Form II / Foreign Language — Latin [IIA]</v>
      </c>
      <c r="AW47" s="451" t="str">
        <f t="shared" si="11"/>
        <v/>
      </c>
      <c r="AX47" s="8" t="str">
        <f>IFERROR(__xludf.DUMMYFUNCTION("IF($AV47="""","""",IFERROR(TEXTJOIN(CHAR(10),TRUE,FILTER(""row ""&amp;ROW('Strand Placement'!$B$21:$B$89)&amp;"" • ""&amp;IFERROR(LEFT('Strand Placement'!$L$21:$L$89,FIND("" | "",'Strand Placement'!$L$21:$L$89)-1),""""),'Strand Placement'!$B$21:$B$89=$AV47)),""""))"),"")</f>
        <v/>
      </c>
      <c r="AY47" s="8" t="str">
        <f>IFERROR(__xludf.DUMMYFUNCTION("IF($AV47="""","""",IFERROR(TEXTJOIN(CHAR(10),TRUE,FILTER(""row ""&amp;ROW('Student Work'!$C$24:$C$223)&amp;"" • ""&amp;'Student Work'!$A$24:$A$223,'Student Work'!$C$24:$C$223=$AV47)),""""))"),"")</f>
        <v/>
      </c>
      <c r="AZ47" s="8" t="str">
        <f>IFERROR(__xludf.DUMMYFUNCTION("IF($AV47="""","""",IFERROR(TEXTJOIN(CHAR(10),TRUE,FILTER(""row ""&amp;ROW('Resource Planner'!$D$10:$D$69)&amp;"" • ""&amp;'Resource Planner'!$C$10:$C$69,'Resource Planner'!$D$10:$D$69=$AV47)),""""))"),"")</f>
        <v/>
      </c>
      <c r="BA47" s="8" t="str">
        <f t="shared" si="12"/>
        <v>⚠ active standalone/keeper has no Who / Group</v>
      </c>
    </row>
    <row r="48" ht="15.75" customHeight="1">
      <c r="A48" s="8">
        <v>44.0</v>
      </c>
      <c r="B48" s="451" t="str">
        <f>'Family Map'!B89</f>
        <v>Form III</v>
      </c>
      <c r="C48" s="451" t="str">
        <f>'Family Map'!C89</f>
        <v>Language Arts</v>
      </c>
      <c r="D48" s="451" t="str">
        <f>'Family Map'!D89</f>
        <v>Dictation</v>
      </c>
      <c r="E48" s="451" t="str">
        <f>'Family Map'!G89</f>
        <v>Form III / Language Arts — Dictation</v>
      </c>
      <c r="F48" s="451" t="str">
        <f t="shared" si="1"/>
        <v>Form III / Language Arts — Dictation</v>
      </c>
      <c r="G48" s="8">
        <f>IF(E48="",0,COUNTIF('Strand Placement'!$B:$B,E48))</f>
        <v>0</v>
      </c>
      <c r="H48" s="8" t="str">
        <f t="shared" si="2"/>
        <v>Unplaced</v>
      </c>
      <c r="I48" s="8" t="s">
        <v>684</v>
      </c>
      <c r="J48" s="8" t="str">
        <f t="array" ref="J48">IFERROR(XLOOKUP(B48,Setup!$B$38:$B$44,Setup!$A$38:$A$44),"☑")</f>
        <v>☑</v>
      </c>
      <c r="K48" s="8"/>
      <c r="L48" s="8"/>
      <c r="M48" s="8"/>
      <c r="N48" s="8"/>
      <c r="O48" s="8"/>
      <c r="P48" s="8"/>
      <c r="Q48" s="8"/>
      <c r="R48" s="8"/>
      <c r="S48" s="8" t="s">
        <v>665</v>
      </c>
      <c r="T48" s="8" t="s">
        <v>665</v>
      </c>
      <c r="U48" s="8" t="s">
        <v>665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>
        <f t="shared" si="4"/>
        <v>44</v>
      </c>
      <c r="AM48" s="451" t="str">
        <f t="shared" si="5"/>
        <v>Form III / Language Arts — Dictation</v>
      </c>
      <c r="AN48" s="8" t="b">
        <f>AND(OR('Family Map'!A89=TRUE,'Family Map'!A89="☑",'Family Map'!A89="✓",'Family Map'!A89="✔"),$E48&lt;&gt;"",$J48="☑",$AK48="")</f>
        <v>1</v>
      </c>
      <c r="AO48" s="451" t="str">
        <f t="shared" si="6"/>
        <v>Form III / Language Arts — Dictation</v>
      </c>
      <c r="AP48" s="8">
        <f t="shared" si="7"/>
        <v>44</v>
      </c>
      <c r="AQ48" s="451" t="str">
        <f>'Family Map'!H89</f>
        <v/>
      </c>
      <c r="AR48" s="451" t="str">
        <f t="shared" si="8"/>
        <v/>
      </c>
      <c r="AS48" s="8" t="str">
        <f>IFERROR(__xludf.DUMMYFUNCTION("LET(slot,$A48,label,$AM48,raw,$AQ48,resolved,$AR48,isCovered,$AK48&lt;&gt;"""",active,COUNTIF(Setup!$S$6:$S$25,resolved)&gt;0,placeAud,IFERROR(FILTER(IFERROR(LEFT('Strand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"",TRUE,IF(AND($A"&amp;"N48,raw=""""),""⚠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8" s="8" t="str">
        <f t="shared" si="9"/>
        <v/>
      </c>
      <c r="AU48" s="8"/>
      <c r="AV48" s="451" t="str">
        <f t="shared" si="10"/>
        <v>Form III / Language Arts — Dictation</v>
      </c>
      <c r="AW48" s="451" t="str">
        <f t="shared" si="11"/>
        <v/>
      </c>
      <c r="AX48" s="8" t="str">
        <f>IFERROR(__xludf.DUMMYFUNCTION("IF($AV48="""","""",IFERROR(TEXTJOIN(CHAR(10),TRUE,FILTER(""row ""&amp;ROW('Strand Placement'!$B$21:$B$89)&amp;"" • ""&amp;IFERROR(LEFT('Strand Placement'!$L$21:$L$89,FIND("" | "",'Strand Placement'!$L$21:$L$89)-1),""""),'Strand Placement'!$B$21:$B$89=$AV48)),""""))"),"")</f>
        <v/>
      </c>
      <c r="AY48" s="8" t="str">
        <f>IFERROR(__xludf.DUMMYFUNCTION("IF($AV48="""","""",IFERROR(TEXTJOIN(CHAR(10),TRUE,FILTER(""row ""&amp;ROW('Student Work'!$C$24:$C$223)&amp;"" • ""&amp;'Student Work'!$A$24:$A$223,'Student Work'!$C$24:$C$223=$AV48)),""""))"),"")</f>
        <v/>
      </c>
      <c r="AZ48" s="8" t="str">
        <f>IFERROR(__xludf.DUMMYFUNCTION("IF($AV48="""","""",IFERROR(TEXTJOIN(CHAR(10),TRUE,FILTER(""row ""&amp;ROW('Resource Planner'!$D$10:$D$69)&amp;"" • ""&amp;'Resource Planner'!$C$10:$C$69,'Resource Planner'!$D$10:$D$69=$AV48)),""""))"),"")</f>
        <v/>
      </c>
      <c r="BA48" s="8" t="str">
        <f t="shared" si="12"/>
        <v>⚠ active standalone/keeper has no Who / Group</v>
      </c>
    </row>
    <row r="49" ht="15.75" customHeight="1">
      <c r="A49" s="8">
        <v>45.0</v>
      </c>
      <c r="B49" s="451" t="str">
        <f>'Family Map'!B90</f>
        <v>Form III</v>
      </c>
      <c r="C49" s="451" t="str">
        <f>'Family Map'!C90</f>
        <v>Language Arts</v>
      </c>
      <c r="D49" s="451" t="str">
        <f>'Family Map'!D90</f>
        <v>Grammar / Analysis</v>
      </c>
      <c r="E49" s="451" t="str">
        <f>'Family Map'!G90</f>
        <v>Form III / Language Arts — Grammar / Analysis</v>
      </c>
      <c r="F49" s="451" t="str">
        <f t="shared" si="1"/>
        <v>Form III / Language Arts — Grammar / Analysis</v>
      </c>
      <c r="G49" s="8">
        <f>IF(E49="",0,COUNTIF('Strand Placement'!$B:$B,E49))</f>
        <v>0</v>
      </c>
      <c r="H49" s="8" t="str">
        <f t="shared" si="2"/>
        <v>Unplaced</v>
      </c>
      <c r="I49" s="8" t="s">
        <v>685</v>
      </c>
      <c r="J49" s="8" t="str">
        <f t="array" ref="J49">IFERROR(XLOOKUP(B49,Setup!$B$38:$B$44,Setup!$A$38:$A$44),"☑")</f>
        <v>☑</v>
      </c>
      <c r="K49" s="8"/>
      <c r="L49" s="8"/>
      <c r="M49" s="8"/>
      <c r="N49" s="8"/>
      <c r="O49" s="8"/>
      <c r="P49" s="8"/>
      <c r="Q49" s="8"/>
      <c r="R49" s="8"/>
      <c r="S49" s="8" t="s">
        <v>665</v>
      </c>
      <c r="T49" s="8" t="s">
        <v>665</v>
      </c>
      <c r="U49" s="8" t="s">
        <v>665</v>
      </c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>
        <f t="shared" si="4"/>
        <v>45</v>
      </c>
      <c r="AM49" s="451" t="str">
        <f t="shared" si="5"/>
        <v>Form III / Language Arts — Grammar / Analysis</v>
      </c>
      <c r="AN49" s="8" t="b">
        <f>AND(OR('Family Map'!A90=TRUE,'Family Map'!A90="☑",'Family Map'!A90="✓",'Family Map'!A90="✔"),$E49&lt;&gt;"",$J49="☑",$AK49="")</f>
        <v>1</v>
      </c>
      <c r="AO49" s="451" t="str">
        <f t="shared" si="6"/>
        <v>Form III / Language Arts — Grammar / Analysis</v>
      </c>
      <c r="AP49" s="8">
        <f t="shared" si="7"/>
        <v>45</v>
      </c>
      <c r="AQ49" s="451" t="str">
        <f>'Family Map'!H90</f>
        <v/>
      </c>
      <c r="AR49" s="451" t="str">
        <f t="shared" si="8"/>
        <v/>
      </c>
      <c r="AS49" s="8" t="str">
        <f>IFERROR(__xludf.DUMMYFUNCTION("LET(slot,$A49,label,$AM49,raw,$AQ49,resolved,$AR49,isCovered,$AK49&lt;&gt;"""",active,COUNTIF(Setup!$S$6:$S$25,resolved)&gt;0,placeAud,IFERROR(FILTER(IFERROR(LEFT('Strand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"",TRUE,IF(AND($A"&amp;"N49,raw=""""),""⚠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49" s="8" t="str">
        <f t="shared" si="9"/>
        <v/>
      </c>
      <c r="AU49" s="8"/>
      <c r="AV49" s="451" t="str">
        <f t="shared" si="10"/>
        <v>Form III / Language Arts — Grammar / Analysis</v>
      </c>
      <c r="AW49" s="451" t="str">
        <f t="shared" si="11"/>
        <v/>
      </c>
      <c r="AX49" s="8" t="str">
        <f>IFERROR(__xludf.DUMMYFUNCTION("IF($AV49="""","""",IFERROR(TEXTJOIN(CHAR(10),TRUE,FILTER(""row ""&amp;ROW('Strand Placement'!$B$21:$B$89)&amp;"" • ""&amp;IFERROR(LEFT('Strand Placement'!$L$21:$L$89,FIND("" | "",'Strand Placement'!$L$21:$L$89)-1),""""),'Strand Placement'!$B$21:$B$89=$AV49)),""""))"),"")</f>
        <v/>
      </c>
      <c r="AY49" s="8" t="str">
        <f>IFERROR(__xludf.DUMMYFUNCTION("IF($AV49="""","""",IFERROR(TEXTJOIN(CHAR(10),TRUE,FILTER(""row ""&amp;ROW('Student Work'!$C$24:$C$223)&amp;"" • ""&amp;'Student Work'!$A$24:$A$223,'Student Work'!$C$24:$C$223=$AV49)),""""))"),"")</f>
        <v/>
      </c>
      <c r="AZ49" s="8" t="str">
        <f>IFERROR(__xludf.DUMMYFUNCTION("IF($AV49="""","""",IFERROR(TEXTJOIN(CHAR(10),TRUE,FILTER(""row ""&amp;ROW('Resource Planner'!$D$10:$D$69)&amp;"" • ""&amp;'Resource Planner'!$C$10:$C$69,'Resource Planner'!$D$10:$D$69=$AV49)),""""))"),"")</f>
        <v/>
      </c>
      <c r="BA49" s="8" t="str">
        <f t="shared" si="12"/>
        <v>⚠ active standalone/keeper has no Who / Group</v>
      </c>
    </row>
    <row r="50" ht="15.75" customHeight="1">
      <c r="A50" s="8">
        <v>46.0</v>
      </c>
      <c r="B50" s="451" t="str">
        <f>'Family Map'!B91</f>
        <v>Form III</v>
      </c>
      <c r="C50" s="451" t="str">
        <f>'Family Map'!C91</f>
        <v>Language Arts</v>
      </c>
      <c r="D50" s="451" t="str">
        <f>'Family Map'!D91</f>
        <v>Composition</v>
      </c>
      <c r="E50" s="451" t="str">
        <f>'Family Map'!G91</f>
        <v>Form III / Language Arts — Composition</v>
      </c>
      <c r="F50" s="451" t="str">
        <f t="shared" si="1"/>
        <v>Form III / Language Arts — Composition</v>
      </c>
      <c r="G50" s="8">
        <f>IF(E50="",0,COUNTIF('Strand Placement'!$B:$B,E50))</f>
        <v>0</v>
      </c>
      <c r="H50" s="8" t="str">
        <f t="shared" si="2"/>
        <v>Unplaced</v>
      </c>
      <c r="I50" s="8" t="s">
        <v>686</v>
      </c>
      <c r="J50" s="8" t="str">
        <f t="array" ref="J50">IFERROR(XLOOKUP(B50,Setup!$B$38:$B$44,Setup!$A$38:$A$44),"☑")</f>
        <v>☑</v>
      </c>
      <c r="K50" s="8"/>
      <c r="L50" s="8"/>
      <c r="M50" s="8"/>
      <c r="N50" s="8"/>
      <c r="O50" s="8"/>
      <c r="P50" s="8"/>
      <c r="Q50" s="8"/>
      <c r="R50" s="8"/>
      <c r="S50" s="8" t="s">
        <v>665</v>
      </c>
      <c r="T50" s="8" t="s">
        <v>665</v>
      </c>
      <c r="U50" s="8" t="s">
        <v>665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>
        <f t="shared" si="4"/>
        <v>46</v>
      </c>
      <c r="AM50" s="451" t="str">
        <f t="shared" si="5"/>
        <v>Form III / Language Arts — Composition</v>
      </c>
      <c r="AN50" s="8" t="b">
        <f>AND(OR('Family Map'!A91=TRUE,'Family Map'!A91="☑",'Family Map'!A91="✓",'Family Map'!A91="✔"),$E50&lt;&gt;"",$J50="☑",$AK50="")</f>
        <v>1</v>
      </c>
      <c r="AO50" s="451" t="str">
        <f t="shared" si="6"/>
        <v>Form III / Language Arts — Composition</v>
      </c>
      <c r="AP50" s="8">
        <f t="shared" si="7"/>
        <v>46</v>
      </c>
      <c r="AQ50" s="451" t="str">
        <f>'Family Map'!H91</f>
        <v/>
      </c>
      <c r="AR50" s="451" t="str">
        <f t="shared" si="8"/>
        <v/>
      </c>
      <c r="AS50" s="8" t="str">
        <f>IFERROR(__xludf.DUMMYFUNCTION("LET(slot,$A50,label,$AM50,raw,$AQ50,resolved,$AR50,isCovered,$AK50&lt;&gt;"""",active,COUNTIF(Setup!$S$6:$S$25,resolved)&gt;0,placeAud,IFERROR(FILTER(IFERROR(LEFT('Strand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"",TRUE,IF(AND($A"&amp;"N50,raw=""""),""⚠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0" s="8" t="str">
        <f t="shared" si="9"/>
        <v/>
      </c>
      <c r="AU50" s="8"/>
      <c r="AV50" s="451" t="str">
        <f t="shared" si="10"/>
        <v>Form III / Language Arts — Composition</v>
      </c>
      <c r="AW50" s="451" t="str">
        <f t="shared" si="11"/>
        <v/>
      </c>
      <c r="AX50" s="8" t="str">
        <f>IFERROR(__xludf.DUMMYFUNCTION("IF($AV50="""","""",IFERROR(TEXTJOIN(CHAR(10),TRUE,FILTER(""row ""&amp;ROW('Strand Placement'!$B$21:$B$89)&amp;"" • ""&amp;IFERROR(LEFT('Strand Placement'!$L$21:$L$89,FIND("" | "",'Strand Placement'!$L$21:$L$89)-1),""""),'Strand Placement'!$B$21:$B$89=$AV50)),""""))"),"")</f>
        <v/>
      </c>
      <c r="AY50" s="8" t="str">
        <f>IFERROR(__xludf.DUMMYFUNCTION("IF($AV50="""","""",IFERROR(TEXTJOIN(CHAR(10),TRUE,FILTER(""row ""&amp;ROW('Student Work'!$C$24:$C$223)&amp;"" • ""&amp;'Student Work'!$A$24:$A$223,'Student Work'!$C$24:$C$223=$AV50)),""""))"),"row 24 • Lucy")</f>
        <v>row 24 • Lucy</v>
      </c>
      <c r="AZ50" s="8" t="str">
        <f>IFERROR(__xludf.DUMMYFUNCTION("IF($AV50="""","""",IFERROR(TEXTJOIN(CHAR(10),TRUE,FILTER(""row ""&amp;ROW('Resource Planner'!$D$10:$D$69)&amp;"" • ""&amp;'Resource Planner'!$C$10:$C$69,'Resource Planner'!$D$10:$D$69=$AV50)),""""))"),"")</f>
        <v/>
      </c>
      <c r="BA50" s="8" t="str">
        <f t="shared" si="12"/>
        <v>⚠ active standalone/keeper has no Who / Group</v>
      </c>
    </row>
    <row r="51" ht="15.75" customHeight="1">
      <c r="A51" s="8">
        <v>47.0</v>
      </c>
      <c r="B51" s="451" t="str">
        <f>'Family Map'!B92</f>
        <v>Form III</v>
      </c>
      <c r="C51" s="451" t="str">
        <f>'Family Map'!C92</f>
        <v>Literature</v>
      </c>
      <c r="D51" s="451" t="str">
        <f>'Family Map'!D92</f>
        <v>Literature</v>
      </c>
      <c r="E51" s="451" t="str">
        <f>'Family Map'!G92</f>
        <v>Form III / Literature — Literature</v>
      </c>
      <c r="F51" s="451" t="str">
        <f t="shared" si="1"/>
        <v>Form III / Literature — Literature</v>
      </c>
      <c r="G51" s="8">
        <f>IF(E51="",0,COUNTIF('Strand Placement'!$B:$B,E51))</f>
        <v>0</v>
      </c>
      <c r="H51" s="8" t="str">
        <f t="shared" si="2"/>
        <v>Unplaced</v>
      </c>
      <c r="I51" s="8" t="s">
        <v>687</v>
      </c>
      <c r="J51" s="8" t="str">
        <f t="array" ref="J51">IFERROR(XLOOKUP(B51,Setup!$B$38:$B$44,Setup!$A$38:$A$44),"☑")</f>
        <v>☑</v>
      </c>
      <c r="K51" s="8"/>
      <c r="L51" s="8"/>
      <c r="M51" s="8"/>
      <c r="N51" s="8"/>
      <c r="O51" s="8"/>
      <c r="P51" s="8"/>
      <c r="Q51" s="8"/>
      <c r="R51" s="8"/>
      <c r="S51" s="8" t="s">
        <v>665</v>
      </c>
      <c r="T51" s="8" t="s">
        <v>665</v>
      </c>
      <c r="U51" s="8" t="s">
        <v>665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>
        <f t="shared" si="4"/>
        <v>47</v>
      </c>
      <c r="AM51" s="451" t="str">
        <f t="shared" si="5"/>
        <v>Form III / Literature — Literature</v>
      </c>
      <c r="AN51" s="8" t="b">
        <f>AND(OR('Family Map'!A92=TRUE,'Family Map'!A92="☑",'Family Map'!A92="✓",'Family Map'!A92="✔"),$E51&lt;&gt;"",$J51="☑",$AK51="")</f>
        <v>1</v>
      </c>
      <c r="AO51" s="451" t="str">
        <f t="shared" si="6"/>
        <v>Form III / Literature — Literature</v>
      </c>
      <c r="AP51" s="8">
        <f t="shared" si="7"/>
        <v>47</v>
      </c>
      <c r="AQ51" s="451" t="str">
        <f>'Family Map'!H92</f>
        <v/>
      </c>
      <c r="AR51" s="451" t="str">
        <f t="shared" si="8"/>
        <v/>
      </c>
      <c r="AS51" s="8" t="str">
        <f>IFERROR(__xludf.DUMMYFUNCTION("LET(slot,$A51,label,$AM51,raw,$AQ51,resolved,$AR51,isCovered,$AK51&lt;&gt;"""",active,COUNTIF(Setup!$S$6:$S$25,resolved)&gt;0,placeAud,IFERROR(FILTER(IFERROR(LEFT('Strand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"",TRUE,IF(AND($A"&amp;"N51,raw=""""),""⚠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1" s="8" t="str">
        <f t="shared" si="9"/>
        <v/>
      </c>
      <c r="AU51" s="8"/>
      <c r="AV51" s="451" t="str">
        <f t="shared" si="10"/>
        <v>Form III / Literature — Literature</v>
      </c>
      <c r="AW51" s="451" t="str">
        <f t="shared" si="11"/>
        <v/>
      </c>
      <c r="AX51" s="8" t="str">
        <f>IFERROR(__xludf.DUMMYFUNCTION("IF($AV51="""","""",IFERROR(TEXTJOIN(CHAR(10),TRUE,FILTER(""row ""&amp;ROW('Strand Placement'!$B$21:$B$89)&amp;"" • ""&amp;IFERROR(LEFT('Strand Placement'!$L$21:$L$89,FIND("" | "",'Strand Placement'!$L$21:$L$89)-1),""""),'Strand Placement'!$B$21:$B$89=$AV51)),""""))"),"")</f>
        <v/>
      </c>
      <c r="AY51" s="8" t="str">
        <f>IFERROR(__xludf.DUMMYFUNCTION("IF($AV51="""","""",IFERROR(TEXTJOIN(CHAR(10),TRUE,FILTER(""row ""&amp;ROW('Student Work'!$C$24:$C$223)&amp;"" • ""&amp;'Student Work'!$A$24:$A$223,'Student Work'!$C$24:$C$223=$AV51)),""""))"),"")</f>
        <v/>
      </c>
      <c r="AZ51" s="8" t="str">
        <f>IFERROR(__xludf.DUMMYFUNCTION("IF($AV51="""","""",IFERROR(TEXTJOIN(CHAR(10),TRUE,FILTER(""row ""&amp;ROW('Resource Planner'!$D$10:$D$69)&amp;"" • ""&amp;'Resource Planner'!$C$10:$C$69,'Resource Planner'!$D$10:$D$69=$AV51)),""""))"),"row 15 • ")</f>
        <v>row 15 • </v>
      </c>
      <c r="BA51" s="8" t="str">
        <f t="shared" si="12"/>
        <v>⚠ active standalone/keeper has no Who / Group</v>
      </c>
    </row>
    <row r="52" ht="15.75" customHeight="1">
      <c r="A52" s="8">
        <v>48.0</v>
      </c>
      <c r="B52" s="451" t="str">
        <f>'Family Map'!B93</f>
        <v>Form III</v>
      </c>
      <c r="C52" s="451" t="str">
        <f>'Family Map'!C93</f>
        <v>History</v>
      </c>
      <c r="D52" s="451" t="str">
        <f>'Family Map'!D93</f>
        <v>World / American History</v>
      </c>
      <c r="E52" s="451" t="str">
        <f>'Family Map'!G93</f>
        <v>Form III / History — World / American History</v>
      </c>
      <c r="F52" s="451" t="str">
        <f t="shared" si="1"/>
        <v>Form III / History — World / American History</v>
      </c>
      <c r="G52" s="8">
        <f>IF(E52="",0,COUNTIF('Strand Placement'!$B:$B,E52))</f>
        <v>0</v>
      </c>
      <c r="H52" s="8" t="str">
        <f t="shared" si="2"/>
        <v>Unplaced</v>
      </c>
      <c r="I52" s="8" t="s">
        <v>688</v>
      </c>
      <c r="J52" s="8" t="str">
        <f t="array" ref="J52">IFERROR(XLOOKUP(B52,Setup!$B$38:$B$44,Setup!$A$38:$A$44),"☑")</f>
        <v>☑</v>
      </c>
      <c r="K52" s="8"/>
      <c r="L52" s="8"/>
      <c r="M52" s="8"/>
      <c r="N52" s="8"/>
      <c r="O52" s="8"/>
      <c r="P52" s="8"/>
      <c r="Q52" s="8"/>
      <c r="R52" s="8"/>
      <c r="S52" s="8" t="s">
        <v>665</v>
      </c>
      <c r="T52" s="8" t="s">
        <v>665</v>
      </c>
      <c r="U52" s="8" t="s">
        <v>665</v>
      </c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>
        <f t="shared" si="4"/>
        <v>48</v>
      </c>
      <c r="AM52" s="451" t="str">
        <f t="shared" si="5"/>
        <v>Form III / History — World / American History</v>
      </c>
      <c r="AN52" s="8" t="b">
        <f>AND(OR('Family Map'!A93=TRUE,'Family Map'!A93="☑",'Family Map'!A93="✓",'Family Map'!A93="✔"),$E52&lt;&gt;"",$J52="☑",$AK52="")</f>
        <v>1</v>
      </c>
      <c r="AO52" s="451" t="str">
        <f t="shared" si="6"/>
        <v>Form III / History — World / American History</v>
      </c>
      <c r="AP52" s="8">
        <f t="shared" si="7"/>
        <v>48</v>
      </c>
      <c r="AQ52" s="451" t="str">
        <f>'Family Map'!H93</f>
        <v/>
      </c>
      <c r="AR52" s="451" t="str">
        <f t="shared" si="8"/>
        <v/>
      </c>
      <c r="AS52" s="8" t="str">
        <f>IFERROR(__xludf.DUMMYFUNCTION("LET(slot,$A52,label,$AM52,raw,$AQ52,resolved,$AR52,isCovered,$AK52&lt;&gt;"""",active,COUNTIF(Setup!$S$6:$S$25,resolved)&gt;0,placeAud,IFERROR(FILTER(IFERROR(LEFT('Strand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"",TRUE,IF(AND($A"&amp;"N52,raw=""""),""⚠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2" s="8" t="str">
        <f t="shared" si="9"/>
        <v/>
      </c>
      <c r="AU52" s="8"/>
      <c r="AV52" s="451" t="str">
        <f t="shared" si="10"/>
        <v>Form III / History — World / American History</v>
      </c>
      <c r="AW52" s="451" t="str">
        <f t="shared" si="11"/>
        <v/>
      </c>
      <c r="AX52" s="8" t="str">
        <f>IFERROR(__xludf.DUMMYFUNCTION("IF($AV52="""","""",IFERROR(TEXTJOIN(CHAR(10),TRUE,FILTER(""row ""&amp;ROW('Strand Placement'!$B$21:$B$89)&amp;"" • ""&amp;IFERROR(LEFT('Strand Placement'!$L$21:$L$89,FIND("" | "",'Strand Placement'!$L$21:$L$89)-1),""""),'Strand Placement'!$B$21:$B$89=$AV52)),""""))"),"")</f>
        <v/>
      </c>
      <c r="AY52" s="8" t="str">
        <f>IFERROR(__xludf.DUMMYFUNCTION("IF($AV52="""","""",IFERROR(TEXTJOIN(CHAR(10),TRUE,FILTER(""row ""&amp;ROW('Student Work'!$C$24:$C$223)&amp;"" • ""&amp;'Student Work'!$A$24:$A$223,'Student Work'!$C$24:$C$223=$AV52)),""""))"),"")</f>
        <v/>
      </c>
      <c r="AZ52" s="8" t="str">
        <f>IFERROR(__xludf.DUMMYFUNCTION("IF($AV52="""","""",IFERROR(TEXTJOIN(CHAR(10),TRUE,FILTER(""row ""&amp;ROW('Resource Planner'!$D$10:$D$69)&amp;"" • ""&amp;'Resource Planner'!$C$10:$C$69,'Resource Planner'!$D$10:$D$69=$AV52)),""""))"),"")</f>
        <v/>
      </c>
      <c r="BA52" s="8" t="str">
        <f t="shared" si="12"/>
        <v>⚠ active standalone/keeper has no Who / Group</v>
      </c>
    </row>
    <row r="53" ht="15.75" customHeight="1">
      <c r="A53" s="8">
        <v>49.0</v>
      </c>
      <c r="B53" s="451" t="str">
        <f>'Family Map'!B94</f>
        <v>Form III</v>
      </c>
      <c r="C53" s="451" t="str">
        <f>'Family Map'!C94</f>
        <v>History</v>
      </c>
      <c r="D53" s="451" t="str">
        <f>'Family Map'!D94</f>
        <v>Book of Centuries</v>
      </c>
      <c r="E53" s="451" t="str">
        <f>'Family Map'!G94</f>
        <v>Form III / History — Book of Centuries</v>
      </c>
      <c r="F53" s="451" t="str">
        <f t="shared" si="1"/>
        <v>Form III / History — Book of Centuries</v>
      </c>
      <c r="G53" s="8">
        <f>IF(E53="",0,COUNTIF('Strand Placement'!$B:$B,E53))</f>
        <v>0</v>
      </c>
      <c r="H53" s="8" t="str">
        <f t="shared" si="2"/>
        <v>Unplaced</v>
      </c>
      <c r="I53" s="8" t="s">
        <v>689</v>
      </c>
      <c r="J53" s="8" t="str">
        <f t="array" ref="J53">IFERROR(XLOOKUP(B53,Setup!$B$38:$B$44,Setup!$A$38:$A$44),"☑")</f>
        <v>☑</v>
      </c>
      <c r="K53" s="8"/>
      <c r="L53" s="8"/>
      <c r="M53" s="8"/>
      <c r="N53" s="8"/>
      <c r="O53" s="8"/>
      <c r="P53" s="8"/>
      <c r="Q53" s="8"/>
      <c r="R53" s="8"/>
      <c r="S53" s="8" t="s">
        <v>665</v>
      </c>
      <c r="T53" s="8" t="s">
        <v>665</v>
      </c>
      <c r="U53" s="8" t="s">
        <v>665</v>
      </c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>
        <f t="shared" si="4"/>
        <v>49</v>
      </c>
      <c r="AM53" s="451" t="str">
        <f t="shared" si="5"/>
        <v>Form III / History — Book of Centuries</v>
      </c>
      <c r="AN53" s="8" t="b">
        <f>AND(OR('Family Map'!A94=TRUE,'Family Map'!A94="☑",'Family Map'!A94="✓",'Family Map'!A94="✔"),$E53&lt;&gt;"",$J53="☑",$AK53="")</f>
        <v>1</v>
      </c>
      <c r="AO53" s="451" t="str">
        <f t="shared" si="6"/>
        <v>Form III / History — Book of Centuries</v>
      </c>
      <c r="AP53" s="8">
        <f t="shared" si="7"/>
        <v>49</v>
      </c>
      <c r="AQ53" s="451" t="str">
        <f>'Family Map'!H94</f>
        <v/>
      </c>
      <c r="AR53" s="451" t="str">
        <f t="shared" si="8"/>
        <v/>
      </c>
      <c r="AS53" s="8" t="str">
        <f>IFERROR(__xludf.DUMMYFUNCTION("LET(slot,$A53,label,$AM53,raw,$AQ53,resolved,$AR53,isCovered,$AK53&lt;&gt;"""",active,COUNTIF(Setup!$S$6:$S$25,resolved)&gt;0,placeAud,IFERROR(FILTER(IFERROR(LEFT('Strand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"",TRUE,IF(AND($A"&amp;"N53,raw=""""),""⚠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3" s="8" t="str">
        <f t="shared" si="9"/>
        <v/>
      </c>
      <c r="AU53" s="8"/>
      <c r="AV53" s="451" t="str">
        <f t="shared" si="10"/>
        <v>Form III / History — Book of Centuries</v>
      </c>
      <c r="AW53" s="451" t="str">
        <f t="shared" si="11"/>
        <v/>
      </c>
      <c r="AX53" s="8" t="str">
        <f>IFERROR(__xludf.DUMMYFUNCTION("IF($AV53="""","""",IFERROR(TEXTJOIN(CHAR(10),TRUE,FILTER(""row ""&amp;ROW('Strand Placement'!$B$21:$B$89)&amp;"" • ""&amp;IFERROR(LEFT('Strand Placement'!$L$21:$L$89,FIND("" | "",'Strand Placement'!$L$21:$L$89)-1),""""),'Strand Placement'!$B$21:$B$89=$AV53)),""""))"),"")</f>
        <v/>
      </c>
      <c r="AY53" s="8" t="str">
        <f>IFERROR(__xludf.DUMMYFUNCTION("IF($AV53="""","""",IFERROR(TEXTJOIN(CHAR(10),TRUE,FILTER(""row ""&amp;ROW('Student Work'!$C$24:$C$223)&amp;"" • ""&amp;'Student Work'!$A$24:$A$223,'Student Work'!$C$24:$C$223=$AV53)),""""))"),"")</f>
        <v/>
      </c>
      <c r="AZ53" s="8" t="str">
        <f>IFERROR(__xludf.DUMMYFUNCTION("IF($AV53="""","""",IFERROR(TEXTJOIN(CHAR(10),TRUE,FILTER(""row ""&amp;ROW('Resource Planner'!$D$10:$D$69)&amp;"" • ""&amp;'Resource Planner'!$C$10:$C$69,'Resource Planner'!$D$10:$D$69=$AV53)),""""))"),"")</f>
        <v/>
      </c>
      <c r="BA53" s="8" t="str">
        <f t="shared" si="12"/>
        <v>⚠ active standalone/keeper has no Who / Group</v>
      </c>
    </row>
    <row r="54" ht="15.75" customHeight="1">
      <c r="A54" s="8">
        <v>50.0</v>
      </c>
      <c r="B54" s="451" t="str">
        <f>'Family Map'!B95</f>
        <v>Form III</v>
      </c>
      <c r="C54" s="451" t="str">
        <f>'Family Map'!C95</f>
        <v>Geography</v>
      </c>
      <c r="D54" s="451" t="str">
        <f>'Family Map'!D95</f>
        <v>Geography / Map Drill</v>
      </c>
      <c r="E54" s="451" t="str">
        <f>'Family Map'!G95</f>
        <v>Form III / Geography — Geography / Map Drill</v>
      </c>
      <c r="F54" s="451" t="str">
        <f t="shared" si="1"/>
        <v>Form III / Geography — Geography / Map Drill</v>
      </c>
      <c r="G54" s="8">
        <f>IF(E54="",0,COUNTIF('Strand Placement'!$B:$B,E54))</f>
        <v>1</v>
      </c>
      <c r="H54" s="8" t="str">
        <f t="shared" si="2"/>
        <v>Placed</v>
      </c>
      <c r="I54" s="8" t="s">
        <v>690</v>
      </c>
      <c r="J54" s="8" t="str">
        <f t="array" ref="J54">IFERROR(XLOOKUP(B54,Setup!$B$38:$B$44,Setup!$A$38:$A$44),"☑")</f>
        <v>☑</v>
      </c>
      <c r="K54" s="8"/>
      <c r="L54" s="8"/>
      <c r="M54" s="8"/>
      <c r="N54" s="8"/>
      <c r="O54" s="8"/>
      <c r="P54" s="8"/>
      <c r="Q54" s="8"/>
      <c r="R54" s="8"/>
      <c r="S54" s="8" t="s">
        <v>665</v>
      </c>
      <c r="T54" s="8" t="s">
        <v>665</v>
      </c>
      <c r="U54" s="8" t="s">
        <v>665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>
        <f t="shared" si="4"/>
        <v>50</v>
      </c>
      <c r="AM54" s="451" t="str">
        <f t="shared" si="5"/>
        <v>Form III / Geography — Geography / Map Drill</v>
      </c>
      <c r="AN54" s="8" t="b">
        <f>AND(OR('Family Map'!A95=TRUE,'Family Map'!A95="☑",'Family Map'!A95="✓",'Family Map'!A95="✔"),$E54&lt;&gt;"",$J54="☑",$AK54="")</f>
        <v>1</v>
      </c>
      <c r="AO54" s="451" t="str">
        <f t="shared" si="6"/>
        <v>Form III / Geography — Geography / Map Drill</v>
      </c>
      <c r="AP54" s="8">
        <f t="shared" si="7"/>
        <v>50</v>
      </c>
      <c r="AQ54" s="451" t="str">
        <f>'Family Map'!H95</f>
        <v/>
      </c>
      <c r="AR54" s="451" t="str">
        <f t="shared" si="8"/>
        <v/>
      </c>
      <c r="AS54" s="8" t="str">
        <f>IFERROR(__xludf.DUMMYFUNCTION("LET(slot,$A54,label,$AM54,raw,$AQ54,resolved,$AR54,isCovered,$AK54&lt;&gt;"""",active,COUNTIF(Setup!$S$6:$S$25,resolved)&gt;0,placeAud,IFERROR(FILTER(IFERROR(LEFT('Strand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"",TRUE,IF(AND($A"&amp;"N54,raw=""""),""⚠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4" s="8" t="str">
        <f t="shared" si="9"/>
        <v/>
      </c>
      <c r="AU54" s="8"/>
      <c r="AV54" s="451" t="str">
        <f t="shared" si="10"/>
        <v>Form III / Geography — Geography / Map Drill</v>
      </c>
      <c r="AW54" s="451" t="str">
        <f t="shared" si="11"/>
        <v/>
      </c>
      <c r="AX54" s="8" t="str">
        <f>IFERROR(__xludf.DUMMYFUNCTION("IF($AV54="""","""",IFERROR(TEXTJOIN(CHAR(10),TRUE,FILTER(""row ""&amp;ROW('Strand Placement'!$B$21:$B$89)&amp;"" • ""&amp;IFERROR(LEFT('Strand Placement'!$L$21:$L$89,FIND("" | "",'Strand Placement'!$L$21:$L$89)-1),""""),'Strand Placement'!$B$21:$B$89=$AV54)),""""))"),"row 58 • All the Girls")</f>
        <v>row 58 • All the Girls</v>
      </c>
      <c r="AY54" s="8" t="str">
        <f>IFERROR(__xludf.DUMMYFUNCTION("IF($AV54="""","""",IFERROR(TEXTJOIN(CHAR(10),TRUE,FILTER(""row ""&amp;ROW('Student Work'!$C$24:$C$223)&amp;"" • ""&amp;'Student Work'!$A$24:$A$223,'Student Work'!$C$24:$C$223=$AV54)),""""))"),"")</f>
        <v/>
      </c>
      <c r="AZ54" s="8" t="str">
        <f>IFERROR(__xludf.DUMMYFUNCTION("IF($AV54="""","""",IFERROR(TEXTJOIN(CHAR(10),TRUE,FILTER(""row ""&amp;ROW('Resource Planner'!$D$10:$D$69)&amp;"" • ""&amp;'Resource Planner'!$C$10:$C$69,'Resource Planner'!$D$10:$D$69=$AV54)),""""))"),"")</f>
        <v/>
      </c>
      <c r="BA54" s="8" t="str">
        <f t="shared" si="12"/>
        <v>⚠ active standalone/keeper has no Who / Group</v>
      </c>
    </row>
    <row r="55" ht="15.75" customHeight="1">
      <c r="A55" s="8">
        <v>51.0</v>
      </c>
      <c r="B55" s="451" t="str">
        <f>'Family Map'!B96</f>
        <v>Form III</v>
      </c>
      <c r="C55" s="451" t="str">
        <f>'Family Map'!C96</f>
        <v>Citizenship</v>
      </c>
      <c r="D55" s="451" t="str">
        <f>'Family Map'!D96</f>
        <v>Plutarch</v>
      </c>
      <c r="E55" s="451" t="str">
        <f>'Family Map'!G96</f>
        <v>Form III / Citizenship — Plutarch</v>
      </c>
      <c r="F55" s="451" t="str">
        <f t="shared" si="1"/>
        <v>Form III / Citizenship — Plutarch</v>
      </c>
      <c r="G55" s="8">
        <f>IF(E55="",0,COUNTIF('Strand Placement'!$B:$B,E55))</f>
        <v>1</v>
      </c>
      <c r="H55" s="8" t="str">
        <f t="shared" si="2"/>
        <v>Placed</v>
      </c>
      <c r="I55" s="8" t="s">
        <v>691</v>
      </c>
      <c r="J55" s="8" t="str">
        <f t="array" ref="J55">IFERROR(XLOOKUP(B55,Setup!$B$38:$B$44,Setup!$A$38:$A$44),"☑")</f>
        <v>☑</v>
      </c>
      <c r="K55" s="8"/>
      <c r="L55" s="8"/>
      <c r="M55" s="8"/>
      <c r="N55" s="8"/>
      <c r="O55" s="8"/>
      <c r="P55" s="8"/>
      <c r="Q55" s="8"/>
      <c r="R55" s="8"/>
      <c r="S55" s="8" t="s">
        <v>665</v>
      </c>
      <c r="T55" s="8" t="s">
        <v>665</v>
      </c>
      <c r="U55" s="8" t="s">
        <v>665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>
        <f t="shared" si="4"/>
        <v>51</v>
      </c>
      <c r="AM55" s="451" t="str">
        <f t="shared" si="5"/>
        <v>Form III / Citizenship — Plutarch</v>
      </c>
      <c r="AN55" s="8" t="b">
        <f>AND(OR('Family Map'!A96=TRUE,'Family Map'!A96="☑",'Family Map'!A96="✓",'Family Map'!A96="✔"),$E55&lt;&gt;"",$J55="☑",$AK55="")</f>
        <v>1</v>
      </c>
      <c r="AO55" s="451" t="str">
        <f t="shared" si="6"/>
        <v>Form III / Citizenship — Plutarch</v>
      </c>
      <c r="AP55" s="8">
        <f t="shared" si="7"/>
        <v>51</v>
      </c>
      <c r="AQ55" s="451" t="str">
        <f>'Family Map'!H96</f>
        <v/>
      </c>
      <c r="AR55" s="451" t="str">
        <f t="shared" si="8"/>
        <v/>
      </c>
      <c r="AS55" s="8" t="str">
        <f>IFERROR(__xludf.DUMMYFUNCTION("LET(slot,$A55,label,$AM55,raw,$AQ55,resolved,$AR55,isCovered,$AK55&lt;&gt;"""",active,COUNTIF(Setup!$S$6:$S$25,resolved)&gt;0,placeAud,IFERROR(FILTER(IFERROR(LEFT('Strand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"",TRUE,IF(AND($A"&amp;"N55,raw=""""),""⚠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5" s="8" t="str">
        <f t="shared" si="9"/>
        <v/>
      </c>
      <c r="AU55" s="8"/>
      <c r="AV55" s="451" t="str">
        <f t="shared" si="10"/>
        <v>Form III / Citizenship — Plutarch</v>
      </c>
      <c r="AW55" s="451" t="str">
        <f t="shared" si="11"/>
        <v/>
      </c>
      <c r="AX55" s="8" t="str">
        <f>IFERROR(__xludf.DUMMYFUNCTION("IF($AV55="""","""",IFERROR(TEXTJOIN(CHAR(10),TRUE,FILTER(""row ""&amp;ROW('Strand Placement'!$B$21:$B$89)&amp;"" • ""&amp;IFERROR(LEFT('Strand Placement'!$L$21:$L$89,FIND("" | "",'Strand Placement'!$L$21:$L$89)-1),""""),'Strand Placement'!$B$21:$B$89=$AV55)),""""))"),"row 34 • Older Students")</f>
        <v>row 34 • Older Students</v>
      </c>
      <c r="AY55" s="8" t="str">
        <f>IFERROR(__xludf.DUMMYFUNCTION("IF($AV55="""","""",IFERROR(TEXTJOIN(CHAR(10),TRUE,FILTER(""row ""&amp;ROW('Student Work'!$C$24:$C$223)&amp;"" • ""&amp;'Student Work'!$A$24:$A$223,'Student Work'!$C$24:$C$223=$AV55)),""""))"),"")</f>
        <v/>
      </c>
      <c r="AZ55" s="8" t="str">
        <f>IFERROR(__xludf.DUMMYFUNCTION("IF($AV55="""","""",IFERROR(TEXTJOIN(CHAR(10),TRUE,FILTER(""row ""&amp;ROW('Resource Planner'!$D$10:$D$69)&amp;"" • ""&amp;'Resource Planner'!$C$10:$C$69,'Resource Planner'!$D$10:$D$69=$AV55)),""""))"),"")</f>
        <v/>
      </c>
      <c r="BA55" s="8" t="str">
        <f t="shared" si="12"/>
        <v>⚠ active standalone/keeper has no Who / Group</v>
      </c>
    </row>
    <row r="56" ht="15.75" customHeight="1">
      <c r="A56" s="8">
        <v>52.0</v>
      </c>
      <c r="B56" s="451" t="str">
        <f>'Family Map'!B97</f>
        <v>Form III</v>
      </c>
      <c r="C56" s="451" t="str">
        <f>'Family Map'!C97</f>
        <v>Citizenship</v>
      </c>
      <c r="D56" s="451" t="str">
        <f>'Family Map'!D97</f>
        <v>Current Events</v>
      </c>
      <c r="E56" s="451" t="str">
        <f>'Family Map'!G97</f>
        <v>Form III / Citizenship — Current Events</v>
      </c>
      <c r="F56" s="451" t="str">
        <f t="shared" si="1"/>
        <v>Form III / Citizenship — Current Events</v>
      </c>
      <c r="G56" s="8">
        <f>IF(E56="",0,COUNTIF('Strand Placement'!$B:$B,E56))</f>
        <v>0</v>
      </c>
      <c r="H56" s="8" t="str">
        <f t="shared" si="2"/>
        <v>Unplaced</v>
      </c>
      <c r="I56" s="8" t="s">
        <v>692</v>
      </c>
      <c r="J56" s="8" t="str">
        <f t="array" ref="J56">IFERROR(XLOOKUP(B56,Setup!$B$38:$B$44,Setup!$A$38:$A$44),"☑")</f>
        <v>☑</v>
      </c>
      <c r="K56" s="8"/>
      <c r="L56" s="8"/>
      <c r="M56" s="8"/>
      <c r="N56" s="8"/>
      <c r="O56" s="8"/>
      <c r="P56" s="8"/>
      <c r="Q56" s="8"/>
      <c r="R56" s="8"/>
      <c r="S56" s="8" t="s">
        <v>665</v>
      </c>
      <c r="T56" s="8" t="s">
        <v>665</v>
      </c>
      <c r="U56" s="8" t="s">
        <v>665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>
        <f t="shared" si="4"/>
        <v>52</v>
      </c>
      <c r="AM56" s="451" t="str">
        <f t="shared" si="5"/>
        <v>Form III / Citizenship — Current Events</v>
      </c>
      <c r="AN56" s="8" t="b">
        <f>AND(OR('Family Map'!A97=TRUE,'Family Map'!A97="☑",'Family Map'!A97="✓",'Family Map'!A97="✔"),$E56&lt;&gt;"",$J56="☑",$AK56="")</f>
        <v>1</v>
      </c>
      <c r="AO56" s="451" t="str">
        <f t="shared" si="6"/>
        <v>Form III / Citizenship — Current Events</v>
      </c>
      <c r="AP56" s="8">
        <f t="shared" si="7"/>
        <v>52</v>
      </c>
      <c r="AQ56" s="451" t="str">
        <f>'Family Map'!H97</f>
        <v/>
      </c>
      <c r="AR56" s="451" t="str">
        <f t="shared" si="8"/>
        <v/>
      </c>
      <c r="AS56" s="8" t="str">
        <f>IFERROR(__xludf.DUMMYFUNCTION("LET(slot,$A56,label,$AM56,raw,$AQ56,resolved,$AR56,isCovered,$AK56&lt;&gt;"""",active,COUNTIF(Setup!$S$6:$S$25,resolved)&gt;0,placeAud,IFERROR(FILTER(IFERROR(LEFT('Strand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"",TRUE,IF(AND($A"&amp;"N56,raw=""""),""⚠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6" s="8" t="str">
        <f t="shared" si="9"/>
        <v/>
      </c>
      <c r="AU56" s="8"/>
      <c r="AV56" s="451" t="str">
        <f t="shared" si="10"/>
        <v>Form III / Citizenship — Current Events</v>
      </c>
      <c r="AW56" s="451" t="str">
        <f t="shared" si="11"/>
        <v/>
      </c>
      <c r="AX56" s="8" t="str">
        <f>IFERROR(__xludf.DUMMYFUNCTION("IF($AV56="""","""",IFERROR(TEXTJOIN(CHAR(10),TRUE,FILTER(""row ""&amp;ROW('Strand Placement'!$B$21:$B$89)&amp;"" • ""&amp;IFERROR(LEFT('Strand Placement'!$L$21:$L$89,FIND("" | "",'Strand Placement'!$L$21:$L$89)-1),""""),'Strand Placement'!$B$21:$B$89=$AV56)),""""))"),"")</f>
        <v/>
      </c>
      <c r="AY56" s="8" t="str">
        <f>IFERROR(__xludf.DUMMYFUNCTION("IF($AV56="""","""",IFERROR(TEXTJOIN(CHAR(10),TRUE,FILTER(""row ""&amp;ROW('Student Work'!$C$24:$C$223)&amp;"" • ""&amp;'Student Work'!$A$24:$A$223,'Student Work'!$C$24:$C$223=$AV56)),""""))"),"")</f>
        <v/>
      </c>
      <c r="AZ56" s="8" t="str">
        <f>IFERROR(__xludf.DUMMYFUNCTION("IF($AV56="""","""",IFERROR(TEXTJOIN(CHAR(10),TRUE,FILTER(""row ""&amp;ROW('Resource Planner'!$D$10:$D$69)&amp;"" • ""&amp;'Resource Planner'!$C$10:$C$69,'Resource Planner'!$D$10:$D$69=$AV56)),""""))"),"")</f>
        <v/>
      </c>
      <c r="BA56" s="8" t="str">
        <f t="shared" si="12"/>
        <v>⚠ active standalone/keeper has no Who / Group</v>
      </c>
    </row>
    <row r="57" ht="15.75" customHeight="1">
      <c r="A57" s="8">
        <v>53.0</v>
      </c>
      <c r="B57" s="451" t="str">
        <f>'Family Map'!B98</f>
        <v>Form III</v>
      </c>
      <c r="C57" s="451" t="str">
        <f>'Family Map'!C98</f>
        <v>Science / Nature</v>
      </c>
      <c r="D57" s="451" t="str">
        <f>'Family Map'!D98</f>
        <v>Science</v>
      </c>
      <c r="E57" s="451" t="str">
        <f>'Family Map'!G98</f>
        <v>Form III / Science / Nature — Science</v>
      </c>
      <c r="F57" s="451" t="str">
        <f t="shared" si="1"/>
        <v>Form III / Science / Nature — Science</v>
      </c>
      <c r="G57" s="8">
        <f>IF(E57="",0,COUNTIF('Strand Placement'!$B:$B,E57))</f>
        <v>0</v>
      </c>
      <c r="H57" s="8" t="str">
        <f t="shared" si="2"/>
        <v>Unplaced</v>
      </c>
      <c r="I57" s="8" t="s">
        <v>693</v>
      </c>
      <c r="J57" s="8" t="str">
        <f t="array" ref="J57">IFERROR(XLOOKUP(B57,Setup!$B$38:$B$44,Setup!$A$38:$A$44),"☑")</f>
        <v>☑</v>
      </c>
      <c r="K57" s="8"/>
      <c r="L57" s="8"/>
      <c r="M57" s="8"/>
      <c r="N57" s="8"/>
      <c r="O57" s="8"/>
      <c r="P57" s="8"/>
      <c r="Q57" s="8"/>
      <c r="R57" s="8"/>
      <c r="S57" s="8" t="s">
        <v>665</v>
      </c>
      <c r="T57" s="8" t="s">
        <v>665</v>
      </c>
      <c r="U57" s="8" t="s">
        <v>665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>
        <f t="shared" si="4"/>
        <v>53</v>
      </c>
      <c r="AM57" s="451" t="str">
        <f t="shared" si="5"/>
        <v>Form III / Science / Nature — Science</v>
      </c>
      <c r="AN57" s="8" t="b">
        <f>AND(OR('Family Map'!A98=TRUE,'Family Map'!A98="☑",'Family Map'!A98="✓",'Family Map'!A98="✔"),$E57&lt;&gt;"",$J57="☑",$AK57="")</f>
        <v>1</v>
      </c>
      <c r="AO57" s="451" t="str">
        <f t="shared" si="6"/>
        <v>Form III / Science / Nature — Science</v>
      </c>
      <c r="AP57" s="8">
        <f t="shared" si="7"/>
        <v>53</v>
      </c>
      <c r="AQ57" s="451" t="str">
        <f>'Family Map'!H98</f>
        <v/>
      </c>
      <c r="AR57" s="451" t="str">
        <f t="shared" si="8"/>
        <v/>
      </c>
      <c r="AS57" s="8" t="str">
        <f>IFERROR(__xludf.DUMMYFUNCTION("LET(slot,$A57,label,$AM57,raw,$AQ57,resolved,$AR57,isCovered,$AK57&lt;&gt;"""",active,COUNTIF(Setup!$S$6:$S$25,resolved)&gt;0,placeAud,IFERROR(FILTER(IFERROR(LEFT('Strand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"",TRUE,IF(AND($A"&amp;"N57,raw=""""),""⚠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7" s="8" t="str">
        <f t="shared" si="9"/>
        <v/>
      </c>
      <c r="AU57" s="8"/>
      <c r="AV57" s="451" t="str">
        <f t="shared" si="10"/>
        <v>Form III / Science / Nature — Science</v>
      </c>
      <c r="AW57" s="451" t="str">
        <f t="shared" si="11"/>
        <v/>
      </c>
      <c r="AX57" s="8" t="str">
        <f>IFERROR(__xludf.DUMMYFUNCTION("IF($AV57="""","""",IFERROR(TEXTJOIN(CHAR(10),TRUE,FILTER(""row ""&amp;ROW('Strand Placement'!$B$21:$B$89)&amp;"" • ""&amp;IFERROR(LEFT('Strand Placement'!$L$21:$L$89,FIND("" | "",'Strand Placement'!$L$21:$L$89)-1),""""),'Strand Placement'!$B$21:$B$89=$AV57)),""""))"),"")</f>
        <v/>
      </c>
      <c r="AY57" s="8" t="str">
        <f>IFERROR(__xludf.DUMMYFUNCTION("IF($AV57="""","""",IFERROR(TEXTJOIN(CHAR(10),TRUE,FILTER(""row ""&amp;ROW('Student Work'!$C$24:$C$223)&amp;"" • ""&amp;'Student Work'!$A$24:$A$223,'Student Work'!$C$24:$C$223=$AV57)),""""))"),"")</f>
        <v/>
      </c>
      <c r="AZ57" s="8" t="str">
        <f>IFERROR(__xludf.DUMMYFUNCTION("IF($AV57="""","""",IFERROR(TEXTJOIN(CHAR(10),TRUE,FILTER(""row ""&amp;ROW('Resource Planner'!$D$10:$D$69)&amp;"" • ""&amp;'Resource Planner'!$C$10:$C$69,'Resource Planner'!$D$10:$D$69=$AV57)),""""))"),"")</f>
        <v/>
      </c>
      <c r="BA57" s="8" t="str">
        <f t="shared" si="12"/>
        <v>⚠ active standalone/keeper has no Who / Group</v>
      </c>
    </row>
    <row r="58" ht="15.75" customHeight="1">
      <c r="A58" s="8">
        <v>54.0</v>
      </c>
      <c r="B58" s="451" t="str">
        <f>'Family Map'!B99</f>
        <v>Form III</v>
      </c>
      <c r="C58" s="451" t="str">
        <f>'Family Map'!C99</f>
        <v>Science / Nature</v>
      </c>
      <c r="D58" s="451" t="str">
        <f>'Family Map'!D99</f>
        <v>Natural History</v>
      </c>
      <c r="E58" s="451" t="str">
        <f>'Family Map'!G99</f>
        <v>Form III / Science / Nature — Natural History</v>
      </c>
      <c r="F58" s="451" t="str">
        <f t="shared" si="1"/>
        <v>Form III / Science / Nature — Natural History</v>
      </c>
      <c r="G58" s="8">
        <f>IF(E58="",0,COUNTIF('Strand Placement'!$B:$B,E58))</f>
        <v>0</v>
      </c>
      <c r="H58" s="8" t="str">
        <f t="shared" si="2"/>
        <v>Unplaced</v>
      </c>
      <c r="I58" s="8" t="s">
        <v>694</v>
      </c>
      <c r="J58" s="8" t="str">
        <f t="array" ref="J58">IFERROR(XLOOKUP(B58,Setup!$B$38:$B$44,Setup!$A$38:$A$44),"☑")</f>
        <v>☑</v>
      </c>
      <c r="K58" s="8"/>
      <c r="L58" s="8"/>
      <c r="M58" s="8"/>
      <c r="N58" s="8"/>
      <c r="O58" s="8"/>
      <c r="P58" s="8"/>
      <c r="Q58" s="8"/>
      <c r="R58" s="8"/>
      <c r="S58" s="8" t="s">
        <v>665</v>
      </c>
      <c r="T58" s="8" t="s">
        <v>665</v>
      </c>
      <c r="U58" s="8" t="s">
        <v>665</v>
      </c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>
        <f t="shared" si="4"/>
        <v>54</v>
      </c>
      <c r="AM58" s="451" t="str">
        <f t="shared" si="5"/>
        <v>Form III / Science / Nature — Natural History</v>
      </c>
      <c r="AN58" s="8" t="b">
        <f>AND(OR('Family Map'!A99=TRUE,'Family Map'!A99="☑",'Family Map'!A99="✓",'Family Map'!A99="✔"),$E58&lt;&gt;"",$J58="☑",$AK58="")</f>
        <v>1</v>
      </c>
      <c r="AO58" s="451" t="str">
        <f t="shared" si="6"/>
        <v>Form III / Science / Nature — Natural History</v>
      </c>
      <c r="AP58" s="8">
        <f t="shared" si="7"/>
        <v>54</v>
      </c>
      <c r="AQ58" s="451" t="str">
        <f>'Family Map'!H99</f>
        <v/>
      </c>
      <c r="AR58" s="451" t="str">
        <f t="shared" si="8"/>
        <v/>
      </c>
      <c r="AS58" s="8" t="str">
        <f>IFERROR(__xludf.DUMMYFUNCTION("LET(slot,$A58,label,$AM58,raw,$AQ58,resolved,$AR58,isCovered,$AK58&lt;&gt;"""",active,COUNTIF(Setup!$S$6:$S$25,resolved)&gt;0,placeAud,IFERROR(FILTER(IFERROR(LEFT('Strand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"",TRUE,IF(AND($A"&amp;"N58,raw=""""),""⚠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8" s="8" t="str">
        <f t="shared" si="9"/>
        <v/>
      </c>
      <c r="AU58" s="8"/>
      <c r="AV58" s="451" t="str">
        <f t="shared" si="10"/>
        <v>Form III / Science / Nature — Natural History</v>
      </c>
      <c r="AW58" s="451" t="str">
        <f t="shared" si="11"/>
        <v/>
      </c>
      <c r="AX58" s="8" t="str">
        <f>IFERROR(__xludf.DUMMYFUNCTION("IF($AV58="""","""",IFERROR(TEXTJOIN(CHAR(10),TRUE,FILTER(""row ""&amp;ROW('Strand Placement'!$B$21:$B$89)&amp;"" • ""&amp;IFERROR(LEFT('Strand Placement'!$L$21:$L$89,FIND("" | "",'Strand Placement'!$L$21:$L$89)-1),""""),'Strand Placement'!$B$21:$B$89=$AV58)),""""))"),"")</f>
        <v/>
      </c>
      <c r="AY58" s="8" t="str">
        <f>IFERROR(__xludf.DUMMYFUNCTION("IF($AV58="""","""",IFERROR(TEXTJOIN(CHAR(10),TRUE,FILTER(""row ""&amp;ROW('Student Work'!$C$24:$C$223)&amp;"" • ""&amp;'Student Work'!$A$24:$A$223,'Student Work'!$C$24:$C$223=$AV58)),""""))"),"")</f>
        <v/>
      </c>
      <c r="AZ58" s="8" t="str">
        <f>IFERROR(__xludf.DUMMYFUNCTION("IF($AV58="""","""",IFERROR(TEXTJOIN(CHAR(10),TRUE,FILTER(""row ""&amp;ROW('Resource Planner'!$D$10:$D$69)&amp;"" • ""&amp;'Resource Planner'!$C$10:$C$69,'Resource Planner'!$D$10:$D$69=$AV58)),""""))"),"")</f>
        <v/>
      </c>
      <c r="BA58" s="8" t="str">
        <f t="shared" si="12"/>
        <v>⚠ active standalone/keeper has no Who / Group</v>
      </c>
    </row>
    <row r="59" ht="15.75" customHeight="1">
      <c r="A59" s="8">
        <v>55.0</v>
      </c>
      <c r="B59" s="451" t="str">
        <f>'Family Map'!B100</f>
        <v>Form III</v>
      </c>
      <c r="C59" s="451" t="str">
        <f>'Family Map'!C100</f>
        <v>Math</v>
      </c>
      <c r="D59" s="451" t="str">
        <f>'Family Map'!D100</f>
        <v>Algebra / Geometry</v>
      </c>
      <c r="E59" s="451" t="str">
        <f>'Family Map'!G100</f>
        <v>Form III / Math — Algebra / Geometry</v>
      </c>
      <c r="F59" s="451" t="str">
        <f t="shared" si="1"/>
        <v>Form III / Math — Algebra / Geometry</v>
      </c>
      <c r="G59" s="8">
        <f>IF(E59="",0,COUNTIF('Strand Placement'!$B:$B,E59))</f>
        <v>0</v>
      </c>
      <c r="H59" s="8" t="str">
        <f t="shared" si="2"/>
        <v>Unplaced</v>
      </c>
      <c r="I59" s="8" t="s">
        <v>695</v>
      </c>
      <c r="J59" s="8" t="str">
        <f t="array" ref="J59">IFERROR(XLOOKUP(B59,Setup!$B$38:$B$44,Setup!$A$38:$A$44),"☑")</f>
        <v>☑</v>
      </c>
      <c r="K59" s="8"/>
      <c r="L59" s="8"/>
      <c r="M59" s="8"/>
      <c r="N59" s="8"/>
      <c r="O59" s="8"/>
      <c r="P59" s="8"/>
      <c r="Q59" s="8"/>
      <c r="R59" s="8"/>
      <c r="S59" s="8" t="s">
        <v>665</v>
      </c>
      <c r="T59" s="8" t="s">
        <v>665</v>
      </c>
      <c r="U59" s="8" t="s">
        <v>665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>
        <f t="shared" si="4"/>
        <v>55</v>
      </c>
      <c r="AM59" s="451" t="str">
        <f t="shared" si="5"/>
        <v>Form III / Math — Algebra / Geometry</v>
      </c>
      <c r="AN59" s="8" t="b">
        <f>AND(OR('Family Map'!A100=TRUE,'Family Map'!A100="☑",'Family Map'!A100="✓",'Family Map'!A100="✔"),$E59&lt;&gt;"",$J59="☑",$AK59="")</f>
        <v>1</v>
      </c>
      <c r="AO59" s="451" t="str">
        <f t="shared" si="6"/>
        <v>Form III / Math — Algebra / Geometry</v>
      </c>
      <c r="AP59" s="8">
        <f t="shared" si="7"/>
        <v>55</v>
      </c>
      <c r="AQ59" s="451" t="str">
        <f>'Family Map'!H100</f>
        <v/>
      </c>
      <c r="AR59" s="451" t="str">
        <f t="shared" si="8"/>
        <v/>
      </c>
      <c r="AS59" s="8" t="str">
        <f>IFERROR(__xludf.DUMMYFUNCTION("LET(slot,$A59,label,$AM59,raw,$AQ59,resolved,$AR59,isCovered,$AK59&lt;&gt;"""",active,COUNTIF(Setup!$S$6:$S$25,resolved)&gt;0,placeAud,IFERROR(FILTER(IFERROR(LEFT('Strand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"",TRUE,IF(AND($A"&amp;"N59,raw=""""),""⚠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59" s="8" t="str">
        <f t="shared" si="9"/>
        <v/>
      </c>
      <c r="AU59" s="8"/>
      <c r="AV59" s="451" t="str">
        <f t="shared" si="10"/>
        <v>Form III / Math — Algebra / Geometry</v>
      </c>
      <c r="AW59" s="451" t="str">
        <f t="shared" si="11"/>
        <v/>
      </c>
      <c r="AX59" s="8" t="str">
        <f>IFERROR(__xludf.DUMMYFUNCTION("IF($AV59="""","""",IFERROR(TEXTJOIN(CHAR(10),TRUE,FILTER(""row ""&amp;ROW('Strand Placement'!$B$21:$B$89)&amp;"" • ""&amp;IFERROR(LEFT('Strand Placement'!$L$21:$L$89,FIND("" | "",'Strand Placement'!$L$21:$L$89)-1),""""),'Strand Placement'!$B$21:$B$89=$AV59)),""""))"),"")</f>
        <v/>
      </c>
      <c r="AY59" s="8" t="str">
        <f>IFERROR(__xludf.DUMMYFUNCTION("IF($AV59="""","""",IFERROR(TEXTJOIN(CHAR(10),TRUE,FILTER(""row ""&amp;ROW('Student Work'!$C$24:$C$223)&amp;"" • ""&amp;'Student Work'!$A$24:$A$223,'Student Work'!$C$24:$C$223=$AV59)),""""))"),"")</f>
        <v/>
      </c>
      <c r="AZ59" s="8" t="str">
        <f>IFERROR(__xludf.DUMMYFUNCTION("IF($AV59="""","""",IFERROR(TEXTJOIN(CHAR(10),TRUE,FILTER(""row ""&amp;ROW('Resource Planner'!$D$10:$D$69)&amp;"" • ""&amp;'Resource Planner'!$C$10:$C$69,'Resource Planner'!$D$10:$D$69=$AV59)),""""))"),"")</f>
        <v/>
      </c>
      <c r="BA59" s="8" t="str">
        <f t="shared" si="12"/>
        <v>⚠ active standalone/keeper has no Who / Group</v>
      </c>
    </row>
    <row r="60" ht="15.75" customHeight="1">
      <c r="A60" s="8">
        <v>56.0</v>
      </c>
      <c r="B60" s="451" t="str">
        <f>'Family Map'!B101</f>
        <v>Form III</v>
      </c>
      <c r="C60" s="451" t="str">
        <f>'Family Map'!C101</f>
        <v>Foreign Language</v>
      </c>
      <c r="D60" s="451" t="str">
        <f>'Family Map'!D101</f>
        <v>Modern Language</v>
      </c>
      <c r="E60" s="451" t="str">
        <f>'Family Map'!G101</f>
        <v>Form III / Foreign Language — Modern Language</v>
      </c>
      <c r="F60" s="451" t="str">
        <f t="shared" si="1"/>
        <v>Form III / Foreign Language — Modern Language</v>
      </c>
      <c r="G60" s="8">
        <f>IF(E60="",0,COUNTIF('Strand Placement'!$B:$B,E60))</f>
        <v>0</v>
      </c>
      <c r="H60" s="8" t="str">
        <f t="shared" si="2"/>
        <v>Unplaced</v>
      </c>
      <c r="I60" s="8" t="s">
        <v>696</v>
      </c>
      <c r="J60" s="8" t="str">
        <f t="array" ref="J60">IFERROR(XLOOKUP(B60,Setup!$B$38:$B$44,Setup!$A$38:$A$44),"☑")</f>
        <v>☑</v>
      </c>
      <c r="K60" s="8"/>
      <c r="L60" s="8"/>
      <c r="M60" s="8"/>
      <c r="N60" s="8"/>
      <c r="O60" s="8"/>
      <c r="P60" s="8"/>
      <c r="Q60" s="8"/>
      <c r="R60" s="8"/>
      <c r="S60" s="8" t="s">
        <v>665</v>
      </c>
      <c r="T60" s="8" t="s">
        <v>665</v>
      </c>
      <c r="U60" s="8" t="s">
        <v>665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>
        <f t="shared" si="4"/>
        <v>56</v>
      </c>
      <c r="AM60" s="451" t="str">
        <f t="shared" si="5"/>
        <v>Form III / Foreign Language — Modern Language</v>
      </c>
      <c r="AN60" s="8" t="b">
        <f>AND(OR('Family Map'!A101=TRUE,'Family Map'!A101="☑",'Family Map'!A101="✓",'Family Map'!A101="✔"),$E60&lt;&gt;"",$J60="☑",$AK60="")</f>
        <v>1</v>
      </c>
      <c r="AO60" s="451" t="str">
        <f t="shared" si="6"/>
        <v>Form III / Foreign Language — Modern Language</v>
      </c>
      <c r="AP60" s="8">
        <f t="shared" si="7"/>
        <v>56</v>
      </c>
      <c r="AQ60" s="451" t="str">
        <f>'Family Map'!H101</f>
        <v/>
      </c>
      <c r="AR60" s="451" t="str">
        <f t="shared" si="8"/>
        <v/>
      </c>
      <c r="AS60" s="8" t="str">
        <f>IFERROR(__xludf.DUMMYFUNCTION("LET(slot,$A60,label,$AM60,raw,$AQ60,resolved,$AR60,isCovered,$AK60&lt;&gt;"""",active,COUNTIF(Setup!$S$6:$S$25,resolved)&gt;0,placeAud,IFERROR(FILTER(IFERROR(LEFT('Strand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"",TRUE,IF(AND($A"&amp;"N60,raw=""""),""⚠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0" s="8" t="str">
        <f t="shared" si="9"/>
        <v/>
      </c>
      <c r="AU60" s="8"/>
      <c r="AV60" s="451" t="str">
        <f t="shared" si="10"/>
        <v>Form III / Foreign Language — Modern Language</v>
      </c>
      <c r="AW60" s="451" t="str">
        <f t="shared" si="11"/>
        <v/>
      </c>
      <c r="AX60" s="8" t="str">
        <f>IFERROR(__xludf.DUMMYFUNCTION("IF($AV60="""","""",IFERROR(TEXTJOIN(CHAR(10),TRUE,FILTER(""row ""&amp;ROW('Strand Placement'!$B$21:$B$89)&amp;"" • ""&amp;IFERROR(LEFT('Strand Placement'!$L$21:$L$89,FIND("" | "",'Strand Placement'!$L$21:$L$89)-1),""""),'Strand Placement'!$B$21:$B$89=$AV60)),""""))"),"")</f>
        <v/>
      </c>
      <c r="AY60" s="8" t="str">
        <f>IFERROR(__xludf.DUMMYFUNCTION("IF($AV60="""","""",IFERROR(TEXTJOIN(CHAR(10),TRUE,FILTER(""row ""&amp;ROW('Student Work'!$C$24:$C$223)&amp;"" • ""&amp;'Student Work'!$A$24:$A$223,'Student Work'!$C$24:$C$223=$AV60)),""""))"),"")</f>
        <v/>
      </c>
      <c r="AZ60" s="8" t="str">
        <f>IFERROR(__xludf.DUMMYFUNCTION("IF($AV60="""","""",IFERROR(TEXTJOIN(CHAR(10),TRUE,FILTER(""row ""&amp;ROW('Resource Planner'!$D$10:$D$69)&amp;"" • ""&amp;'Resource Planner'!$C$10:$C$69,'Resource Planner'!$D$10:$D$69=$AV60)),""""))"),"")</f>
        <v/>
      </c>
      <c r="BA60" s="8" t="str">
        <f t="shared" si="12"/>
        <v>⚠ active standalone/keeper has no Who / Group</v>
      </c>
    </row>
    <row r="61" ht="15.75" customHeight="1">
      <c r="A61" s="8">
        <v>57.0</v>
      </c>
      <c r="B61" s="451" t="str">
        <f>'Family Map'!B102</f>
        <v>Form III</v>
      </c>
      <c r="C61" s="451" t="str">
        <f>'Family Map'!C102</f>
        <v>Foreign Language</v>
      </c>
      <c r="D61" s="451" t="str">
        <f>'Family Map'!D102</f>
        <v>Latin</v>
      </c>
      <c r="E61" s="451" t="str">
        <f>'Family Map'!G102</f>
        <v>Form III / Foreign Language — Latin</v>
      </c>
      <c r="F61" s="451" t="str">
        <f t="shared" si="1"/>
        <v>Form III / Foreign Language — Latin</v>
      </c>
      <c r="G61" s="8">
        <f>IF(E61="",0,COUNTIF('Strand Placement'!$B:$B,E61))</f>
        <v>0</v>
      </c>
      <c r="H61" s="8" t="str">
        <f t="shared" si="2"/>
        <v>Unplaced</v>
      </c>
      <c r="I61" s="8" t="s">
        <v>697</v>
      </c>
      <c r="J61" s="8" t="str">
        <f t="array" ref="J61">IFERROR(XLOOKUP(B61,Setup!$B$38:$B$44,Setup!$A$38:$A$44),"☑")</f>
        <v>☑</v>
      </c>
      <c r="K61" s="8"/>
      <c r="L61" s="8"/>
      <c r="M61" s="8"/>
      <c r="N61" s="8"/>
      <c r="O61" s="8"/>
      <c r="P61" s="8"/>
      <c r="Q61" s="8"/>
      <c r="R61" s="8"/>
      <c r="S61" s="8" t="s">
        <v>665</v>
      </c>
      <c r="T61" s="8" t="s">
        <v>665</v>
      </c>
      <c r="U61" s="8" t="s">
        <v>665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>
        <f t="shared" si="4"/>
        <v>57</v>
      </c>
      <c r="AM61" s="451" t="str">
        <f t="shared" si="5"/>
        <v>Form III / Foreign Language — Latin</v>
      </c>
      <c r="AN61" s="8" t="b">
        <f>AND(OR('Family Map'!A102=TRUE,'Family Map'!A102="☑",'Family Map'!A102="✓",'Family Map'!A102="✔"),$E61&lt;&gt;"",$J61="☑",$AK61="")</f>
        <v>1</v>
      </c>
      <c r="AO61" s="451" t="str">
        <f t="shared" si="6"/>
        <v>Form III / Foreign Language — Latin</v>
      </c>
      <c r="AP61" s="8">
        <f t="shared" si="7"/>
        <v>57</v>
      </c>
      <c r="AQ61" s="451" t="str">
        <f>'Family Map'!H102</f>
        <v/>
      </c>
      <c r="AR61" s="451" t="str">
        <f t="shared" si="8"/>
        <v/>
      </c>
      <c r="AS61" s="8" t="str">
        <f>IFERROR(__xludf.DUMMYFUNCTION("LET(slot,$A61,label,$AM61,raw,$AQ61,resolved,$AR61,isCovered,$AK61&lt;&gt;"""",active,COUNTIF(Setup!$S$6:$S$25,resolved)&gt;0,placeAud,IFERROR(FILTER(IFERROR(LEFT('Strand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"",TRUE,IF(AND($A"&amp;"N61,raw=""""),""⚠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1" s="8" t="str">
        <f t="shared" si="9"/>
        <v/>
      </c>
      <c r="AU61" s="8"/>
      <c r="AV61" s="451" t="str">
        <f t="shared" si="10"/>
        <v>Form III / Foreign Language — Latin</v>
      </c>
      <c r="AW61" s="451" t="str">
        <f t="shared" si="11"/>
        <v/>
      </c>
      <c r="AX61" s="8" t="str">
        <f>IFERROR(__xludf.DUMMYFUNCTION("IF($AV61="""","""",IFERROR(TEXTJOIN(CHAR(10),TRUE,FILTER(""row ""&amp;ROW('Strand Placement'!$B$21:$B$89)&amp;"" • ""&amp;IFERROR(LEFT('Strand Placement'!$L$21:$L$89,FIND("" | "",'Strand Placement'!$L$21:$L$89)-1),""""),'Strand Placement'!$B$21:$B$89=$AV61)),""""))"),"")</f>
        <v/>
      </c>
      <c r="AY61" s="8" t="str">
        <f>IFERROR(__xludf.DUMMYFUNCTION("IF($AV61="""","""",IFERROR(TEXTJOIN(CHAR(10),TRUE,FILTER(""row ""&amp;ROW('Student Work'!$C$24:$C$223)&amp;"" • ""&amp;'Student Work'!$A$24:$A$223,'Student Work'!$C$24:$C$223=$AV61)),""""))"),"")</f>
        <v/>
      </c>
      <c r="AZ61" s="8" t="str">
        <f>IFERROR(__xludf.DUMMYFUNCTION("IF($AV61="""","""",IFERROR(TEXTJOIN(CHAR(10),TRUE,FILTER(""row ""&amp;ROW('Resource Planner'!$D$10:$D$69)&amp;"" • ""&amp;'Resource Planner'!$C$10:$C$69,'Resource Planner'!$D$10:$D$69=$AV61)),""""))"),"")</f>
        <v/>
      </c>
      <c r="BA61" s="8" t="str">
        <f t="shared" si="12"/>
        <v>⚠ active standalone/keeper has no Who / Group</v>
      </c>
    </row>
    <row r="62" ht="15.75" customHeight="1">
      <c r="A62" s="8">
        <v>58.0</v>
      </c>
      <c r="B62" s="451" t="str">
        <f>'Family Map'!B103</f>
        <v>Form IV</v>
      </c>
      <c r="C62" s="451" t="str">
        <f>'Family Map'!C103</f>
        <v>Language Arts</v>
      </c>
      <c r="D62" s="451" t="str">
        <f>'Family Map'!D103</f>
        <v>Composition / Essays</v>
      </c>
      <c r="E62" s="451" t="str">
        <f>'Family Map'!G103</f>
        <v>Form IV / Language Arts — Composition / Essays</v>
      </c>
      <c r="F62" s="451" t="str">
        <f t="shared" si="1"/>
        <v>Form IV / Language Arts — Composition / Essays</v>
      </c>
      <c r="G62" s="8">
        <f>IF(E62="",0,COUNTIF('Strand Placement'!$B:$B,E62))</f>
        <v>0</v>
      </c>
      <c r="H62" s="8" t="str">
        <f t="shared" si="2"/>
        <v>Unplaced</v>
      </c>
      <c r="I62" s="8" t="s">
        <v>698</v>
      </c>
      <c r="J62" s="8" t="str">
        <f t="array" ref="J62">IFERROR(XLOOKUP(B62,Setup!$B$38:$B$44,Setup!$A$38:$A$44),"☑")</f>
        <v>☑</v>
      </c>
      <c r="K62" s="8"/>
      <c r="L62" s="8"/>
      <c r="M62" s="8"/>
      <c r="N62" s="8"/>
      <c r="O62" s="8"/>
      <c r="P62" s="8"/>
      <c r="Q62" s="8"/>
      <c r="R62" s="8"/>
      <c r="S62" s="8" t="s">
        <v>665</v>
      </c>
      <c r="T62" s="8" t="s">
        <v>665</v>
      </c>
      <c r="U62" s="8" t="s">
        <v>665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>
        <f t="shared" si="4"/>
        <v>58</v>
      </c>
      <c r="AM62" s="451" t="str">
        <f t="shared" si="5"/>
        <v>Form IV / Language Arts — Composition / Essays</v>
      </c>
      <c r="AN62" s="8" t="b">
        <f>AND(OR('Family Map'!A103=TRUE,'Family Map'!A103="☑",'Family Map'!A103="✓",'Family Map'!A103="✔"),$E62&lt;&gt;"",$J62="☑",$AK62="")</f>
        <v>1</v>
      </c>
      <c r="AO62" s="451" t="str">
        <f t="shared" si="6"/>
        <v>Form IV / Language Arts — Composition / Essays</v>
      </c>
      <c r="AP62" s="8">
        <f t="shared" si="7"/>
        <v>58</v>
      </c>
      <c r="AQ62" s="451" t="str">
        <f>'Family Map'!H103</f>
        <v/>
      </c>
      <c r="AR62" s="451" t="str">
        <f t="shared" si="8"/>
        <v/>
      </c>
      <c r="AS62" s="8" t="str">
        <f>IFERROR(__xludf.DUMMYFUNCTION("LET(slot,$A62,label,$AM62,raw,$AQ62,resolved,$AR62,isCovered,$AK62&lt;&gt;"""",active,COUNTIF(Setup!$S$6:$S$25,resolved)&gt;0,placeAud,IFERROR(FILTER(IFERROR(LEFT('Strand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"",TRUE,IF(AND($A"&amp;"N62,raw=""""),""⚠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2" s="8" t="str">
        <f t="shared" si="9"/>
        <v/>
      </c>
      <c r="AU62" s="8"/>
      <c r="AV62" s="451" t="str">
        <f t="shared" si="10"/>
        <v>Form IV / Language Arts — Composition / Essays</v>
      </c>
      <c r="AW62" s="451" t="str">
        <f t="shared" si="11"/>
        <v/>
      </c>
      <c r="AX62" s="8" t="str">
        <f>IFERROR(__xludf.DUMMYFUNCTION("IF($AV62="""","""",IFERROR(TEXTJOIN(CHAR(10),TRUE,FILTER(""row ""&amp;ROW('Strand Placement'!$B$21:$B$89)&amp;"" • ""&amp;IFERROR(LEFT('Strand Placement'!$L$21:$L$89,FIND("" | "",'Strand Placement'!$L$21:$L$89)-1),""""),'Strand Placement'!$B$21:$B$89=$AV62)),""""))"),"")</f>
        <v/>
      </c>
      <c r="AY62" s="8" t="str">
        <f>IFERROR(__xludf.DUMMYFUNCTION("IF($AV62="""","""",IFERROR(TEXTJOIN(CHAR(10),TRUE,FILTER(""row ""&amp;ROW('Student Work'!$C$24:$C$223)&amp;"" • ""&amp;'Student Work'!$A$24:$A$223,'Student Work'!$C$24:$C$223=$AV62)),""""))"),"")</f>
        <v/>
      </c>
      <c r="AZ62" s="8" t="str">
        <f>IFERROR(__xludf.DUMMYFUNCTION("IF($AV62="""","""",IFERROR(TEXTJOIN(CHAR(10),TRUE,FILTER(""row ""&amp;ROW('Resource Planner'!$D$10:$D$69)&amp;"" • ""&amp;'Resource Planner'!$C$10:$C$69,'Resource Planner'!$D$10:$D$69=$AV62)),""""))"),"")</f>
        <v/>
      </c>
      <c r="BA62" s="8" t="str">
        <f t="shared" si="12"/>
        <v>⚠ active standalone/keeper has no Who / Group</v>
      </c>
    </row>
    <row r="63" ht="15.75" customHeight="1">
      <c r="A63" s="8">
        <v>59.0</v>
      </c>
      <c r="B63" s="451" t="str">
        <f>'Family Map'!B104</f>
        <v>Form IV</v>
      </c>
      <c r="C63" s="451" t="str">
        <f>'Family Map'!C104</f>
        <v>Language Arts</v>
      </c>
      <c r="D63" s="451" t="str">
        <f>'Family Map'!D104</f>
        <v>Grammar / Analysis</v>
      </c>
      <c r="E63" s="451" t="str">
        <f>'Family Map'!G104</f>
        <v>Form IV / Language Arts — Grammar / Analysis</v>
      </c>
      <c r="F63" s="451" t="str">
        <f t="shared" si="1"/>
        <v>Form IV / Language Arts — Grammar / Analysis</v>
      </c>
      <c r="G63" s="8">
        <f>IF(E63="",0,COUNTIF('Strand Placement'!$B:$B,E63))</f>
        <v>0</v>
      </c>
      <c r="H63" s="8" t="str">
        <f t="shared" si="2"/>
        <v>Unplaced</v>
      </c>
      <c r="I63" s="8" t="s">
        <v>699</v>
      </c>
      <c r="J63" s="8" t="str">
        <f t="array" ref="J63">IFERROR(XLOOKUP(B63,Setup!$B$38:$B$44,Setup!$A$38:$A$44),"☑")</f>
        <v>☑</v>
      </c>
      <c r="K63" s="8"/>
      <c r="L63" s="8"/>
      <c r="M63" s="8"/>
      <c r="N63" s="8"/>
      <c r="O63" s="8"/>
      <c r="P63" s="8"/>
      <c r="Q63" s="8"/>
      <c r="R63" s="8"/>
      <c r="S63" s="8" t="s">
        <v>665</v>
      </c>
      <c r="T63" s="8" t="s">
        <v>665</v>
      </c>
      <c r="U63" s="8" t="s">
        <v>665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>
        <f t="shared" si="4"/>
        <v>59</v>
      </c>
      <c r="AM63" s="451" t="str">
        <f t="shared" si="5"/>
        <v>Form IV / Language Arts — Grammar / Analysis</v>
      </c>
      <c r="AN63" s="8" t="b">
        <f>AND(OR('Family Map'!A104=TRUE,'Family Map'!A104="☑",'Family Map'!A104="✓",'Family Map'!A104="✔"),$E63&lt;&gt;"",$J63="☑",$AK63="")</f>
        <v>1</v>
      </c>
      <c r="AO63" s="451" t="str">
        <f t="shared" si="6"/>
        <v>Form IV / Language Arts — Grammar / Analysis</v>
      </c>
      <c r="AP63" s="8">
        <f t="shared" si="7"/>
        <v>59</v>
      </c>
      <c r="AQ63" s="451" t="str">
        <f>'Family Map'!H104</f>
        <v/>
      </c>
      <c r="AR63" s="451" t="str">
        <f t="shared" si="8"/>
        <v/>
      </c>
      <c r="AS63" s="8" t="str">
        <f>IFERROR(__xludf.DUMMYFUNCTION("LET(slot,$A63,label,$AM63,raw,$AQ63,resolved,$AR63,isCovered,$AK63&lt;&gt;"""",active,COUNTIF(Setup!$S$6:$S$25,resolved)&gt;0,placeAud,IFERROR(FILTER(IFERROR(LEFT('Strand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"",TRUE,IF(AND($A"&amp;"N63,raw=""""),""⚠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3" s="8" t="str">
        <f t="shared" si="9"/>
        <v/>
      </c>
      <c r="AU63" s="8"/>
      <c r="AV63" s="451" t="str">
        <f t="shared" si="10"/>
        <v>Form IV / Language Arts — Grammar / Analysis</v>
      </c>
      <c r="AW63" s="451" t="str">
        <f t="shared" si="11"/>
        <v/>
      </c>
      <c r="AX63" s="8" t="str">
        <f>IFERROR(__xludf.DUMMYFUNCTION("IF($AV63="""","""",IFERROR(TEXTJOIN(CHAR(10),TRUE,FILTER(""row ""&amp;ROW('Strand Placement'!$B$21:$B$89)&amp;"" • ""&amp;IFERROR(LEFT('Strand Placement'!$L$21:$L$89,FIND("" | "",'Strand Placement'!$L$21:$L$89)-1),""""),'Strand Placement'!$B$21:$B$89=$AV63)),""""))"),"")</f>
        <v/>
      </c>
      <c r="AY63" s="8" t="str">
        <f>IFERROR(__xludf.DUMMYFUNCTION("IF($AV63="""","""",IFERROR(TEXTJOIN(CHAR(10),TRUE,FILTER(""row ""&amp;ROW('Student Work'!$C$24:$C$223)&amp;"" • ""&amp;'Student Work'!$A$24:$A$223,'Student Work'!$C$24:$C$223=$AV63)),""""))"),"")</f>
        <v/>
      </c>
      <c r="AZ63" s="8" t="str">
        <f>IFERROR(__xludf.DUMMYFUNCTION("IF($AV63="""","""",IFERROR(TEXTJOIN(CHAR(10),TRUE,FILTER(""row ""&amp;ROW('Resource Planner'!$D$10:$D$69)&amp;"" • ""&amp;'Resource Planner'!$C$10:$C$69,'Resource Planner'!$D$10:$D$69=$AV63)),""""))"),"")</f>
        <v/>
      </c>
      <c r="BA63" s="8" t="str">
        <f t="shared" si="12"/>
        <v>⚠ active standalone/keeper has no Who / Group</v>
      </c>
    </row>
    <row r="64" ht="15.75" customHeight="1">
      <c r="A64" s="8">
        <v>60.0</v>
      </c>
      <c r="B64" s="451" t="str">
        <f>'Family Map'!B105</f>
        <v>Form IV</v>
      </c>
      <c r="C64" s="451" t="str">
        <f>'Family Map'!C105</f>
        <v>Literature</v>
      </c>
      <c r="D64" s="451" t="str">
        <f>'Family Map'!D105</f>
        <v>Literature</v>
      </c>
      <c r="E64" s="451" t="str">
        <f>'Family Map'!G105</f>
        <v>Form IV / Literature — Literature</v>
      </c>
      <c r="F64" s="451" t="str">
        <f t="shared" si="1"/>
        <v>Form IV / Literature — Literature</v>
      </c>
      <c r="G64" s="8">
        <f>IF(E64="",0,COUNTIF('Strand Placement'!$B:$B,E64))</f>
        <v>0</v>
      </c>
      <c r="H64" s="8" t="str">
        <f t="shared" si="2"/>
        <v>Unplaced</v>
      </c>
      <c r="I64" s="8" t="s">
        <v>700</v>
      </c>
      <c r="J64" s="8" t="str">
        <f t="array" ref="J64">IFERROR(XLOOKUP(B64,Setup!$B$38:$B$44,Setup!$A$38:$A$44),"☑")</f>
        <v>☑</v>
      </c>
      <c r="K64" s="8"/>
      <c r="L64" s="8"/>
      <c r="M64" s="8"/>
      <c r="N64" s="8"/>
      <c r="O64" s="8"/>
      <c r="P64" s="8"/>
      <c r="Q64" s="8"/>
      <c r="R64" s="8"/>
      <c r="S64" s="8" t="s">
        <v>665</v>
      </c>
      <c r="T64" s="8" t="s">
        <v>665</v>
      </c>
      <c r="U64" s="8" t="s">
        <v>665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>
        <f t="shared" si="4"/>
        <v>60</v>
      </c>
      <c r="AM64" s="451" t="str">
        <f t="shared" si="5"/>
        <v>Form IV / Literature — Literature</v>
      </c>
      <c r="AN64" s="8" t="b">
        <f>AND(OR('Family Map'!A105=TRUE,'Family Map'!A105="☑",'Family Map'!A105="✓",'Family Map'!A105="✔"),$E64&lt;&gt;"",$J64="☑",$AK64="")</f>
        <v>1</v>
      </c>
      <c r="AO64" s="451" t="str">
        <f t="shared" si="6"/>
        <v>Form IV / Literature — Literature</v>
      </c>
      <c r="AP64" s="8">
        <f t="shared" si="7"/>
        <v>60</v>
      </c>
      <c r="AQ64" s="451" t="str">
        <f>'Family Map'!H105</f>
        <v/>
      </c>
      <c r="AR64" s="451" t="str">
        <f t="shared" si="8"/>
        <v/>
      </c>
      <c r="AS64" s="8" t="str">
        <f>IFERROR(__xludf.DUMMYFUNCTION("LET(slot,$A64,label,$AM64,raw,$AQ64,resolved,$AR64,isCovered,$AK64&lt;&gt;"""",active,COUNTIF(Setup!$S$6:$S$25,resolved)&gt;0,placeAud,IFERROR(FILTER(IFERROR(LEFT('Strand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"",TRUE,IF(AND($A"&amp;"N64,raw=""""),""⚠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4" s="8" t="str">
        <f t="shared" si="9"/>
        <v/>
      </c>
      <c r="AU64" s="8"/>
      <c r="AV64" s="451" t="str">
        <f t="shared" si="10"/>
        <v>Form IV / Literature — Literature</v>
      </c>
      <c r="AW64" s="451" t="str">
        <f t="shared" si="11"/>
        <v/>
      </c>
      <c r="AX64" s="8" t="str">
        <f>IFERROR(__xludf.DUMMYFUNCTION("IF($AV64="""","""",IFERROR(TEXTJOIN(CHAR(10),TRUE,FILTER(""row ""&amp;ROW('Strand Placement'!$B$21:$B$89)&amp;"" • ""&amp;IFERROR(LEFT('Strand Placement'!$L$21:$L$89,FIND("" | "",'Strand Placement'!$L$21:$L$89)-1),""""),'Strand Placement'!$B$21:$B$89=$AV64)),""""))"),"")</f>
        <v/>
      </c>
      <c r="AY64" s="8" t="str">
        <f>IFERROR(__xludf.DUMMYFUNCTION("IF($AV64="""","""",IFERROR(TEXTJOIN(CHAR(10),TRUE,FILTER(""row ""&amp;ROW('Student Work'!$C$24:$C$223)&amp;"" • ""&amp;'Student Work'!$A$24:$A$223,'Student Work'!$C$24:$C$223=$AV64)),""""))"),"row 28 • Jeremiah")</f>
        <v>row 28 • Jeremiah</v>
      </c>
      <c r="AZ64" s="8" t="str">
        <f>IFERROR(__xludf.DUMMYFUNCTION("IF($AV64="""","""",IFERROR(TEXTJOIN(CHAR(10),TRUE,FILTER(""row ""&amp;ROW('Resource Planner'!$D$10:$D$69)&amp;"" • ""&amp;'Resource Planner'!$C$10:$C$69,'Resource Planner'!$D$10:$D$69=$AV64)),""""))"),"")</f>
        <v/>
      </c>
      <c r="BA64" s="8" t="str">
        <f t="shared" si="12"/>
        <v>⚠ active standalone/keeper has no Who / Group</v>
      </c>
    </row>
    <row r="65" ht="15.75" customHeight="1">
      <c r="A65" s="8">
        <v>61.0</v>
      </c>
      <c r="B65" s="451" t="str">
        <f>'Family Map'!B106</f>
        <v>Form IV</v>
      </c>
      <c r="C65" s="451" t="str">
        <f>'Family Map'!C106</f>
        <v>History</v>
      </c>
      <c r="D65" s="451" t="str">
        <f>'Family Map'!D106</f>
        <v>World / American History</v>
      </c>
      <c r="E65" s="451" t="str">
        <f>'Family Map'!G106</f>
        <v>Form IV / History — World / American History</v>
      </c>
      <c r="F65" s="451" t="str">
        <f t="shared" si="1"/>
        <v>Form IV / History — World / American History</v>
      </c>
      <c r="G65" s="8">
        <f>IF(E65="",0,COUNTIF('Strand Placement'!$B:$B,E65))</f>
        <v>0</v>
      </c>
      <c r="H65" s="8" t="str">
        <f t="shared" si="2"/>
        <v>Unplaced</v>
      </c>
      <c r="I65" s="8" t="s">
        <v>701</v>
      </c>
      <c r="J65" s="8" t="str">
        <f t="array" ref="J65">IFERROR(XLOOKUP(B65,Setup!$B$38:$B$44,Setup!$A$38:$A$44),"☑")</f>
        <v>☑</v>
      </c>
      <c r="K65" s="8"/>
      <c r="L65" s="8"/>
      <c r="M65" s="8"/>
      <c r="N65" s="8"/>
      <c r="O65" s="8"/>
      <c r="P65" s="8"/>
      <c r="Q65" s="8"/>
      <c r="R65" s="8"/>
      <c r="S65" s="8" t="s">
        <v>665</v>
      </c>
      <c r="T65" s="8" t="s">
        <v>665</v>
      </c>
      <c r="U65" s="8" t="s">
        <v>665</v>
      </c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>
        <f t="shared" si="4"/>
        <v>61</v>
      </c>
      <c r="AM65" s="451" t="str">
        <f t="shared" si="5"/>
        <v>Form IV / History — World / American History</v>
      </c>
      <c r="AN65" s="8" t="b">
        <f>AND(OR('Family Map'!A106=TRUE,'Family Map'!A106="☑",'Family Map'!A106="✓",'Family Map'!A106="✔"),$E65&lt;&gt;"",$J65="☑",$AK65="")</f>
        <v>1</v>
      </c>
      <c r="AO65" s="451" t="str">
        <f t="shared" si="6"/>
        <v>Form IV / History — World / American History</v>
      </c>
      <c r="AP65" s="8">
        <f t="shared" si="7"/>
        <v>61</v>
      </c>
      <c r="AQ65" s="451" t="str">
        <f>'Family Map'!H106</f>
        <v/>
      </c>
      <c r="AR65" s="451" t="str">
        <f t="shared" si="8"/>
        <v/>
      </c>
      <c r="AS65" s="8" t="str">
        <f>IFERROR(__xludf.DUMMYFUNCTION("LET(slot,$A65,label,$AM65,raw,$AQ65,resolved,$AR65,isCovered,$AK65&lt;&gt;"""",active,COUNTIF(Setup!$S$6:$S$25,resolved)&gt;0,placeAud,IFERROR(FILTER(IFERROR(LEFT('Strand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"",TRUE,IF(AND($A"&amp;"N65,raw=""""),""⚠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5" s="8" t="str">
        <f t="shared" si="9"/>
        <v/>
      </c>
      <c r="AU65" s="8"/>
      <c r="AV65" s="451" t="str">
        <f t="shared" si="10"/>
        <v>Form IV / History — World / American History</v>
      </c>
      <c r="AW65" s="451" t="str">
        <f t="shared" si="11"/>
        <v/>
      </c>
      <c r="AX65" s="8" t="str">
        <f>IFERROR(__xludf.DUMMYFUNCTION("IF($AV65="""","""",IFERROR(TEXTJOIN(CHAR(10),TRUE,FILTER(""row ""&amp;ROW('Strand Placement'!$B$21:$B$89)&amp;"" • ""&amp;IFERROR(LEFT('Strand Placement'!$L$21:$L$89,FIND("" | "",'Strand Placement'!$L$21:$L$89)-1),""""),'Strand Placement'!$B$21:$B$89=$AV65)),""""))"),"")</f>
        <v/>
      </c>
      <c r="AY65" s="8" t="str">
        <f>IFERROR(__xludf.DUMMYFUNCTION("IF($AV65="""","""",IFERROR(TEXTJOIN(CHAR(10),TRUE,FILTER(""row ""&amp;ROW('Student Work'!$C$24:$C$223)&amp;"" • ""&amp;'Student Work'!$A$24:$A$223,'Student Work'!$C$24:$C$223=$AV65)),""""))"),"row 27 • Jeremiah")</f>
        <v>row 27 • Jeremiah</v>
      </c>
      <c r="AZ65" s="8" t="str">
        <f>IFERROR(__xludf.DUMMYFUNCTION("IF($AV65="""","""",IFERROR(TEXTJOIN(CHAR(10),TRUE,FILTER(""row ""&amp;ROW('Resource Planner'!$D$10:$D$69)&amp;"" • ""&amp;'Resource Planner'!$C$10:$C$69,'Resource Planner'!$D$10:$D$69=$AV65)),""""))"),"")</f>
        <v/>
      </c>
      <c r="BA65" s="8" t="str">
        <f t="shared" si="12"/>
        <v>⚠ active standalone/keeper has no Who / Group</v>
      </c>
    </row>
    <row r="66" ht="15.75" customHeight="1">
      <c r="A66" s="8">
        <v>62.0</v>
      </c>
      <c r="B66" s="451" t="str">
        <f>'Family Map'!B107</f>
        <v>Form IV</v>
      </c>
      <c r="C66" s="451" t="str">
        <f>'Family Map'!C107</f>
        <v>History</v>
      </c>
      <c r="D66" s="451" t="str">
        <f>'Family Map'!D107</f>
        <v>Ancient History</v>
      </c>
      <c r="E66" s="451" t="str">
        <f>'Family Map'!G107</f>
        <v>Form IV / History — Ancient History</v>
      </c>
      <c r="F66" s="451" t="str">
        <f t="shared" si="1"/>
        <v>Form IV / History — Ancient History</v>
      </c>
      <c r="G66" s="8">
        <f>IF(E66="",0,COUNTIF('Strand Placement'!$B:$B,E66))</f>
        <v>0</v>
      </c>
      <c r="H66" s="8" t="str">
        <f t="shared" si="2"/>
        <v>Unplaced</v>
      </c>
      <c r="I66" s="8" t="s">
        <v>702</v>
      </c>
      <c r="J66" s="8" t="str">
        <f t="array" ref="J66">IFERROR(XLOOKUP(B66,Setup!$B$38:$B$44,Setup!$A$38:$A$44),"☑")</f>
        <v>☑</v>
      </c>
      <c r="K66" s="8"/>
      <c r="L66" s="8"/>
      <c r="M66" s="8"/>
      <c r="N66" s="8"/>
      <c r="O66" s="8"/>
      <c r="P66" s="8"/>
      <c r="Q66" s="8"/>
      <c r="R66" s="8"/>
      <c r="S66" s="8" t="s">
        <v>665</v>
      </c>
      <c r="T66" s="8" t="s">
        <v>665</v>
      </c>
      <c r="U66" s="8" t="s">
        <v>665</v>
      </c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>
        <f t="shared" si="4"/>
        <v>62</v>
      </c>
      <c r="AM66" s="451" t="str">
        <f t="shared" si="5"/>
        <v>Form IV / History — Ancient History</v>
      </c>
      <c r="AN66" s="8" t="b">
        <f>AND(OR('Family Map'!A107=TRUE,'Family Map'!A107="☑",'Family Map'!A107="✓",'Family Map'!A107="✔"),$E66&lt;&gt;"",$J66="☑",$AK66="")</f>
        <v>1</v>
      </c>
      <c r="AO66" s="451" t="str">
        <f t="shared" si="6"/>
        <v>Form IV / History — Ancient History</v>
      </c>
      <c r="AP66" s="8">
        <f t="shared" si="7"/>
        <v>62</v>
      </c>
      <c r="AQ66" s="451" t="str">
        <f>'Family Map'!H107</f>
        <v/>
      </c>
      <c r="AR66" s="451" t="str">
        <f t="shared" si="8"/>
        <v/>
      </c>
      <c r="AS66" s="8" t="str">
        <f>IFERROR(__xludf.DUMMYFUNCTION("LET(slot,$A66,label,$AM66,raw,$AQ66,resolved,$AR66,isCovered,$AK66&lt;&gt;"""",active,COUNTIF(Setup!$S$6:$S$25,resolved)&gt;0,placeAud,IFERROR(FILTER(IFERROR(LEFT('Strand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"",TRUE,IF(AND($A"&amp;"N66,raw=""""),""⚠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6" s="8" t="str">
        <f t="shared" si="9"/>
        <v/>
      </c>
      <c r="AU66" s="8"/>
      <c r="AV66" s="451" t="str">
        <f t="shared" si="10"/>
        <v>Form IV / History — Ancient History</v>
      </c>
      <c r="AW66" s="451" t="str">
        <f t="shared" si="11"/>
        <v/>
      </c>
      <c r="AX66" s="8" t="str">
        <f>IFERROR(__xludf.DUMMYFUNCTION("IF($AV66="""","""",IFERROR(TEXTJOIN(CHAR(10),TRUE,FILTER(""row ""&amp;ROW('Strand Placement'!$B$21:$B$89)&amp;"" • ""&amp;IFERROR(LEFT('Strand Placement'!$L$21:$L$89,FIND("" | "",'Strand Placement'!$L$21:$L$89)-1),""""),'Strand Placement'!$B$21:$B$89=$AV66)),""""))"),"")</f>
        <v/>
      </c>
      <c r="AY66" s="8" t="str">
        <f>IFERROR(__xludf.DUMMYFUNCTION("IF($AV66="""","""",IFERROR(TEXTJOIN(CHAR(10),TRUE,FILTER(""row ""&amp;ROW('Student Work'!$C$24:$C$223)&amp;"" • ""&amp;'Student Work'!$A$24:$A$223,'Student Work'!$C$24:$C$223=$AV66)),""""))"),"")</f>
        <v/>
      </c>
      <c r="AZ66" s="8" t="str">
        <f>IFERROR(__xludf.DUMMYFUNCTION("IF($AV66="""","""",IFERROR(TEXTJOIN(CHAR(10),TRUE,FILTER(""row ""&amp;ROW('Resource Planner'!$D$10:$D$69)&amp;"" • ""&amp;'Resource Planner'!$C$10:$C$69,'Resource Planner'!$D$10:$D$69=$AV66)),""""))"),"")</f>
        <v/>
      </c>
      <c r="BA66" s="8" t="str">
        <f t="shared" si="12"/>
        <v>⚠ active standalone/keeper has no Who / Group</v>
      </c>
    </row>
    <row r="67" ht="15.75" customHeight="1">
      <c r="A67" s="8">
        <v>63.0</v>
      </c>
      <c r="B67" s="451" t="str">
        <f>'Family Map'!B108</f>
        <v>Form IV</v>
      </c>
      <c r="C67" s="451" t="str">
        <f>'Family Map'!C108</f>
        <v>Geography</v>
      </c>
      <c r="D67" s="451" t="str">
        <f>'Family Map'!D108</f>
        <v>Geography</v>
      </c>
      <c r="E67" s="451" t="str">
        <f>'Family Map'!G108</f>
        <v>Form IV / Geography — Geography</v>
      </c>
      <c r="F67" s="451" t="str">
        <f t="shared" si="1"/>
        <v>Form IV / Geography — Geography</v>
      </c>
      <c r="G67" s="8">
        <f>IF(E67="",0,COUNTIF('Strand Placement'!$B:$B,E67))</f>
        <v>0</v>
      </c>
      <c r="H67" s="8" t="str">
        <f t="shared" si="2"/>
        <v>Unplaced</v>
      </c>
      <c r="I67" s="8" t="s">
        <v>703</v>
      </c>
      <c r="J67" s="8" t="str">
        <f t="array" ref="J67">IFERROR(XLOOKUP(B67,Setup!$B$38:$B$44,Setup!$A$38:$A$44),"☑")</f>
        <v>☑</v>
      </c>
      <c r="K67" s="8"/>
      <c r="L67" s="8"/>
      <c r="M67" s="8"/>
      <c r="N67" s="8"/>
      <c r="O67" s="8"/>
      <c r="P67" s="8"/>
      <c r="Q67" s="8"/>
      <c r="R67" s="8"/>
      <c r="S67" s="8" t="s">
        <v>665</v>
      </c>
      <c r="T67" s="8" t="s">
        <v>665</v>
      </c>
      <c r="U67" s="8" t="s">
        <v>665</v>
      </c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>
        <f t="shared" si="4"/>
        <v>63</v>
      </c>
      <c r="AM67" s="451" t="str">
        <f t="shared" si="5"/>
        <v>Form IV / Geography — Geography</v>
      </c>
      <c r="AN67" s="8" t="b">
        <f>AND(OR('Family Map'!A108=TRUE,'Family Map'!A108="☑",'Family Map'!A108="✓",'Family Map'!A108="✔"),$E67&lt;&gt;"",$J67="☑",$AK67="")</f>
        <v>1</v>
      </c>
      <c r="AO67" s="451" t="str">
        <f t="shared" si="6"/>
        <v>Form IV / Geography — Geography</v>
      </c>
      <c r="AP67" s="8">
        <f t="shared" si="7"/>
        <v>63</v>
      </c>
      <c r="AQ67" s="451" t="str">
        <f>'Family Map'!H108</f>
        <v/>
      </c>
      <c r="AR67" s="451" t="str">
        <f t="shared" si="8"/>
        <v/>
      </c>
      <c r="AS67" s="8" t="str">
        <f>IFERROR(__xludf.DUMMYFUNCTION("LET(slot,$A67,label,$AM67,raw,$AQ67,resolved,$AR67,isCovered,$AK67&lt;&gt;"""",active,COUNTIF(Setup!$S$6:$S$25,resolved)&gt;0,placeAud,IFERROR(FILTER(IFERROR(LEFT('Strand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"",TRUE,IF(AND($A"&amp;"N67,raw=""""),""⚠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7" s="8" t="str">
        <f t="shared" si="9"/>
        <v/>
      </c>
      <c r="AU67" s="8"/>
      <c r="AV67" s="451" t="str">
        <f t="shared" si="10"/>
        <v>Form IV / Geography — Geography</v>
      </c>
      <c r="AW67" s="451" t="str">
        <f t="shared" si="11"/>
        <v/>
      </c>
      <c r="AX67" s="8" t="str">
        <f>IFERROR(__xludf.DUMMYFUNCTION("IF($AV67="""","""",IFERROR(TEXTJOIN(CHAR(10),TRUE,FILTER(""row ""&amp;ROW('Strand Placement'!$B$21:$B$89)&amp;"" • ""&amp;IFERROR(LEFT('Strand Placement'!$L$21:$L$89,FIND("" | "",'Strand Placement'!$L$21:$L$89)-1),""""),'Strand Placement'!$B$21:$B$89=$AV67)),""""))"),"")</f>
        <v/>
      </c>
      <c r="AY67" s="8" t="str">
        <f>IFERROR(__xludf.DUMMYFUNCTION("IF($AV67="""","""",IFERROR(TEXTJOIN(CHAR(10),TRUE,FILTER(""row ""&amp;ROW('Student Work'!$C$24:$C$223)&amp;"" • ""&amp;'Student Work'!$A$24:$A$223,'Student Work'!$C$24:$C$223=$AV67)),""""))"),"")</f>
        <v/>
      </c>
      <c r="AZ67" s="8" t="str">
        <f>IFERROR(__xludf.DUMMYFUNCTION("IF($AV67="""","""",IFERROR(TEXTJOIN(CHAR(10),TRUE,FILTER(""row ""&amp;ROW('Resource Planner'!$D$10:$D$69)&amp;"" • ""&amp;'Resource Planner'!$C$10:$C$69,'Resource Planner'!$D$10:$D$69=$AV67)),""""))"),"")</f>
        <v/>
      </c>
      <c r="BA67" s="8" t="str">
        <f t="shared" si="12"/>
        <v>⚠ active standalone/keeper has no Who / Group</v>
      </c>
    </row>
    <row r="68" ht="15.75" customHeight="1">
      <c r="A68" s="8">
        <v>64.0</v>
      </c>
      <c r="B68" s="451" t="str">
        <f>'Family Map'!B109</f>
        <v>Form IV</v>
      </c>
      <c r="C68" s="451" t="str">
        <f>'Family Map'!C109</f>
        <v>Citizenship</v>
      </c>
      <c r="D68" s="451" t="str">
        <f>'Family Map'!D109</f>
        <v>Government</v>
      </c>
      <c r="E68" s="451" t="str">
        <f>'Family Map'!G109</f>
        <v>Form IV / Citizenship — Government</v>
      </c>
      <c r="F68" s="451" t="str">
        <f t="shared" si="1"/>
        <v>Form IV / Citizenship — Government</v>
      </c>
      <c r="G68" s="8">
        <f>IF(E68="",0,COUNTIF('Strand Placement'!$B:$B,E68))</f>
        <v>0</v>
      </c>
      <c r="H68" s="8" t="str">
        <f t="shared" si="2"/>
        <v>Unplaced</v>
      </c>
      <c r="I68" s="8" t="s">
        <v>704</v>
      </c>
      <c r="J68" s="8" t="str">
        <f t="array" ref="J68">IFERROR(XLOOKUP(B68,Setup!$B$38:$B$44,Setup!$A$38:$A$44),"☑")</f>
        <v>☑</v>
      </c>
      <c r="K68" s="8"/>
      <c r="L68" s="8"/>
      <c r="M68" s="8"/>
      <c r="N68" s="8"/>
      <c r="O68" s="8"/>
      <c r="P68" s="8"/>
      <c r="Q68" s="8"/>
      <c r="R68" s="8"/>
      <c r="S68" s="8" t="s">
        <v>665</v>
      </c>
      <c r="T68" s="8" t="s">
        <v>665</v>
      </c>
      <c r="U68" s="8" t="s">
        <v>665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>
        <f t="shared" si="4"/>
        <v>64</v>
      </c>
      <c r="AM68" s="451" t="str">
        <f t="shared" si="5"/>
        <v>Form IV / Citizenship — Government</v>
      </c>
      <c r="AN68" s="8" t="b">
        <f>AND(OR('Family Map'!A109=TRUE,'Family Map'!A109="☑",'Family Map'!A109="✓",'Family Map'!A109="✔"),$E68&lt;&gt;"",$J68="☑",$AK68="")</f>
        <v>1</v>
      </c>
      <c r="AO68" s="451" t="str">
        <f t="shared" si="6"/>
        <v>Form IV / Citizenship — Government</v>
      </c>
      <c r="AP68" s="8">
        <f t="shared" si="7"/>
        <v>64</v>
      </c>
      <c r="AQ68" s="451" t="str">
        <f>'Family Map'!H109</f>
        <v/>
      </c>
      <c r="AR68" s="451" t="str">
        <f t="shared" si="8"/>
        <v/>
      </c>
      <c r="AS68" s="8" t="str">
        <f>IFERROR(__xludf.DUMMYFUNCTION("LET(slot,$A68,label,$AM68,raw,$AQ68,resolved,$AR68,isCovered,$AK68&lt;&gt;"""",active,COUNTIF(Setup!$S$6:$S$25,resolved)&gt;0,placeAud,IFERROR(FILTER(IFERROR(LEFT('Strand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"",TRUE,IF(AND($A"&amp;"N68,raw=""""),""⚠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8" s="8" t="str">
        <f t="shared" si="9"/>
        <v/>
      </c>
      <c r="AU68" s="8"/>
      <c r="AV68" s="451" t="str">
        <f t="shared" si="10"/>
        <v>Form IV / Citizenship — Government</v>
      </c>
      <c r="AW68" s="451" t="str">
        <f t="shared" si="11"/>
        <v/>
      </c>
      <c r="AX68" s="8" t="str">
        <f>IFERROR(__xludf.DUMMYFUNCTION("IF($AV68="""","""",IFERROR(TEXTJOIN(CHAR(10),TRUE,FILTER(""row ""&amp;ROW('Strand Placement'!$B$21:$B$89)&amp;"" • ""&amp;IFERROR(LEFT('Strand Placement'!$L$21:$L$89,FIND("" | "",'Strand Placement'!$L$21:$L$89)-1),""""),'Strand Placement'!$B$21:$B$89=$AV68)),""""))"),"")</f>
        <v/>
      </c>
      <c r="AY68" s="8" t="str">
        <f>IFERROR(__xludf.DUMMYFUNCTION("IF($AV68="""","""",IFERROR(TEXTJOIN(CHAR(10),TRUE,FILTER(""row ""&amp;ROW('Student Work'!$C$24:$C$223)&amp;"" • ""&amp;'Student Work'!$A$24:$A$223,'Student Work'!$C$24:$C$223=$AV68)),""""))"),"")</f>
        <v/>
      </c>
      <c r="AZ68" s="8" t="str">
        <f>IFERROR(__xludf.DUMMYFUNCTION("IF($AV68="""","""",IFERROR(TEXTJOIN(CHAR(10),TRUE,FILTER(""row ""&amp;ROW('Resource Planner'!$D$10:$D$69)&amp;"" • ""&amp;'Resource Planner'!$C$10:$C$69,'Resource Planner'!$D$10:$D$69=$AV68)),""""))"),"")</f>
        <v/>
      </c>
      <c r="BA68" s="8" t="str">
        <f t="shared" si="12"/>
        <v>⚠ active standalone/keeper has no Who / Group</v>
      </c>
    </row>
    <row r="69" ht="15.75" customHeight="1">
      <c r="A69" s="8">
        <v>65.0</v>
      </c>
      <c r="B69" s="451" t="str">
        <f>'Family Map'!B110</f>
        <v>Form IV</v>
      </c>
      <c r="C69" s="451" t="str">
        <f>'Family Map'!C110</f>
        <v>Citizenship</v>
      </c>
      <c r="D69" s="451" t="str">
        <f>'Family Map'!D110</f>
        <v>Current Events</v>
      </c>
      <c r="E69" s="451" t="str">
        <f>'Family Map'!G110</f>
        <v>Form IV / Citizenship — Current Events</v>
      </c>
      <c r="F69" s="451" t="str">
        <f t="shared" si="1"/>
        <v>Form IV / Citizenship — Current Events</v>
      </c>
      <c r="G69" s="8">
        <f>IF(E69="",0,COUNTIF('Strand Placement'!$B:$B,E69))</f>
        <v>0</v>
      </c>
      <c r="H69" s="8" t="str">
        <f t="shared" si="2"/>
        <v>Unplaced</v>
      </c>
      <c r="I69" s="8" t="s">
        <v>705</v>
      </c>
      <c r="J69" s="8" t="str">
        <f t="array" ref="J69">IFERROR(XLOOKUP(B69,Setup!$B$38:$B$44,Setup!$A$38:$A$44),"☑")</f>
        <v>☑</v>
      </c>
      <c r="K69" s="8"/>
      <c r="L69" s="8"/>
      <c r="M69" s="8"/>
      <c r="N69" s="8"/>
      <c r="O69" s="8"/>
      <c r="P69" s="8"/>
      <c r="Q69" s="8"/>
      <c r="R69" s="8"/>
      <c r="S69" s="8" t="s">
        <v>665</v>
      </c>
      <c r="T69" s="8" t="s">
        <v>665</v>
      </c>
      <c r="U69" s="8" t="s">
        <v>665</v>
      </c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>
        <f t="shared" si="4"/>
        <v>65</v>
      </c>
      <c r="AM69" s="451" t="str">
        <f t="shared" si="5"/>
        <v>Form IV / Citizenship — Current Events</v>
      </c>
      <c r="AN69" s="8" t="b">
        <f>AND(OR('Family Map'!A110=TRUE,'Family Map'!A110="☑",'Family Map'!A110="✓",'Family Map'!A110="✔"),$E69&lt;&gt;"",$J69="☑",$AK69="")</f>
        <v>1</v>
      </c>
      <c r="AO69" s="451" t="str">
        <f t="shared" si="6"/>
        <v>Form IV / Citizenship — Current Events</v>
      </c>
      <c r="AP69" s="8">
        <f t="shared" si="7"/>
        <v>65</v>
      </c>
      <c r="AQ69" s="451" t="str">
        <f>'Family Map'!H110</f>
        <v/>
      </c>
      <c r="AR69" s="451" t="str">
        <f t="shared" si="8"/>
        <v/>
      </c>
      <c r="AS69" s="8" t="str">
        <f>IFERROR(__xludf.DUMMYFUNCTION("LET(slot,$A69,label,$AM69,raw,$AQ69,resolved,$AR69,isCovered,$AK69&lt;&gt;"""",active,COUNTIF(Setup!$S$6:$S$25,resolved)&gt;0,placeAud,IFERROR(FILTER(IFERROR(LEFT('Strand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"",TRUE,IF(AND($A"&amp;"N69,raw=""""),""⚠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69" s="8" t="str">
        <f t="shared" si="9"/>
        <v/>
      </c>
      <c r="AU69" s="8"/>
      <c r="AV69" s="451" t="str">
        <f t="shared" si="10"/>
        <v>Form IV / Citizenship — Current Events</v>
      </c>
      <c r="AW69" s="451" t="str">
        <f t="shared" si="11"/>
        <v/>
      </c>
      <c r="AX69" s="8" t="str">
        <f>IFERROR(__xludf.DUMMYFUNCTION("IF($AV69="""","""",IFERROR(TEXTJOIN(CHAR(10),TRUE,FILTER(""row ""&amp;ROW('Strand Placement'!$B$21:$B$89)&amp;"" • ""&amp;IFERROR(LEFT('Strand Placement'!$L$21:$L$89,FIND("" | "",'Strand Placement'!$L$21:$L$89)-1),""""),'Strand Placement'!$B$21:$B$89=$AV69)),""""))"),"")</f>
        <v/>
      </c>
      <c r="AY69" s="8" t="str">
        <f>IFERROR(__xludf.DUMMYFUNCTION("IF($AV69="""","""",IFERROR(TEXTJOIN(CHAR(10),TRUE,FILTER(""row ""&amp;ROW('Student Work'!$C$24:$C$223)&amp;"" • ""&amp;'Student Work'!$A$24:$A$223,'Student Work'!$C$24:$C$223=$AV69)),""""))"),"row 25 • Jeremiah")</f>
        <v>row 25 • Jeremiah</v>
      </c>
      <c r="AZ69" s="8" t="str">
        <f>IFERROR(__xludf.DUMMYFUNCTION("IF($AV69="""","""",IFERROR(TEXTJOIN(CHAR(10),TRUE,FILTER(""row ""&amp;ROW('Resource Planner'!$D$10:$D$69)&amp;"" • ""&amp;'Resource Planner'!$C$10:$C$69,'Resource Planner'!$D$10:$D$69=$AV69)),""""))"),"")</f>
        <v/>
      </c>
      <c r="BA69" s="8" t="str">
        <f t="shared" si="12"/>
        <v>⚠ active standalone/keeper has no Who / Group</v>
      </c>
    </row>
    <row r="70" ht="15.75" customHeight="1">
      <c r="A70" s="8">
        <v>66.0</v>
      </c>
      <c r="B70" s="451" t="str">
        <f>'Family Map'!B111</f>
        <v>Form IV</v>
      </c>
      <c r="C70" s="451" t="str">
        <f>'Family Map'!C111</f>
        <v>Science / Nature</v>
      </c>
      <c r="D70" s="451" t="str">
        <f>'Family Map'!D111</f>
        <v>Science</v>
      </c>
      <c r="E70" s="451" t="str">
        <f>'Family Map'!G111</f>
        <v>Form IV / Science / Nature — Science</v>
      </c>
      <c r="F70" s="451" t="str">
        <f t="shared" si="1"/>
        <v>Form IV / Science / Nature — Science</v>
      </c>
      <c r="G70" s="8">
        <f>IF(E70="",0,COUNTIF('Strand Placement'!$B:$B,E70))</f>
        <v>1</v>
      </c>
      <c r="H70" s="8" t="str">
        <f t="shared" si="2"/>
        <v>Placed</v>
      </c>
      <c r="I70" s="8" t="s">
        <v>706</v>
      </c>
      <c r="J70" s="8" t="str">
        <f t="array" ref="J70">IFERROR(XLOOKUP(B70,Setup!$B$38:$B$44,Setup!$A$38:$A$44),"☑")</f>
        <v>☑</v>
      </c>
      <c r="K70" s="8"/>
      <c r="L70" s="8"/>
      <c r="M70" s="8"/>
      <c r="N70" s="8"/>
      <c r="O70" s="8"/>
      <c r="P70" s="8"/>
      <c r="Q70" s="8"/>
      <c r="R70" s="8"/>
      <c r="S70" s="8" t="s">
        <v>665</v>
      </c>
      <c r="T70" s="8" t="s">
        <v>665</v>
      </c>
      <c r="U70" s="8" t="s">
        <v>665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>
        <f t="shared" si="4"/>
        <v>66</v>
      </c>
      <c r="AM70" s="451" t="str">
        <f t="shared" si="5"/>
        <v>Form IV / Science / Nature — Science</v>
      </c>
      <c r="AN70" s="8" t="b">
        <f>AND(OR('Family Map'!A111=TRUE,'Family Map'!A111="☑",'Family Map'!A111="✓",'Family Map'!A111="✔"),$E70&lt;&gt;"",$J70="☑",$AK70="")</f>
        <v>1</v>
      </c>
      <c r="AO70" s="451" t="str">
        <f t="shared" si="6"/>
        <v>Form IV / Science / Nature — Science</v>
      </c>
      <c r="AP70" s="8">
        <f t="shared" si="7"/>
        <v>66</v>
      </c>
      <c r="AQ70" s="451" t="str">
        <f>'Family Map'!H111</f>
        <v/>
      </c>
      <c r="AR70" s="451" t="str">
        <f t="shared" si="8"/>
        <v/>
      </c>
      <c r="AS70" s="8" t="str">
        <f>IFERROR(__xludf.DUMMYFUNCTION("LET(slot,$A70,label,$AM70,raw,$AQ70,resolved,$AR70,isCovered,$AK70&lt;&gt;"""",active,COUNTIF(Setup!$S$6:$S$25,resolved)&gt;0,placeAud,IFERROR(FILTER(IFERROR(LEFT('Strand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"",TRUE,IF(AND($A"&amp;"N70,raw=""""),""⚠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70" s="8" t="str">
        <f t="shared" si="9"/>
        <v/>
      </c>
      <c r="AU70" s="8"/>
      <c r="AV70" s="451" t="str">
        <f t="shared" si="10"/>
        <v>Form IV / Science / Nature — Science</v>
      </c>
      <c r="AW70" s="451" t="str">
        <f t="shared" si="11"/>
        <v/>
      </c>
      <c r="AX70" s="8" t="str">
        <f>IFERROR(__xludf.DUMMYFUNCTION("IF($AV70="""","""",IFERROR(TEXTJOIN(CHAR(10),TRUE,FILTER(""row ""&amp;ROW('Strand Placement'!$B$21:$B$89)&amp;"" • ""&amp;IFERROR(LEFT('Strand Placement'!$L$21:$L$89,FIND("" | "",'Strand Placement'!$L$21:$L$89)-1),""""),'Strand Placement'!$B$21:$B$89=$AV70)),""""))"),"row 75 • Jeremiah")</f>
        <v>row 75 • Jeremiah</v>
      </c>
      <c r="AY70" s="8" t="str">
        <f>IFERROR(__xludf.DUMMYFUNCTION("IF($AV70="""","""",IFERROR(TEXTJOIN(CHAR(10),TRUE,FILTER(""row ""&amp;ROW('Student Work'!$C$24:$C$223)&amp;"" • ""&amp;'Student Work'!$A$24:$A$223,'Student Work'!$C$24:$C$223=$AV70)),""""))"),"")</f>
        <v/>
      </c>
      <c r="AZ70" s="8" t="str">
        <f>IFERROR(__xludf.DUMMYFUNCTION("IF($AV70="""","""",IFERROR(TEXTJOIN(CHAR(10),TRUE,FILTER(""row ""&amp;ROW('Resource Planner'!$D$10:$D$69)&amp;"" • ""&amp;'Resource Planner'!$C$10:$C$69,'Resource Planner'!$D$10:$D$69=$AV70)),""""))"),"row 12 • Jeremiah")</f>
        <v>row 12 • Jeremiah</v>
      </c>
      <c r="BA70" s="8" t="str">
        <f t="shared" si="12"/>
        <v>⚠ active standalone/keeper has no Who / Group</v>
      </c>
    </row>
    <row r="71" ht="15.75" customHeight="1">
      <c r="A71" s="8">
        <v>67.0</v>
      </c>
      <c r="B71" s="451" t="str">
        <f>'Family Map'!B112</f>
        <v>Form IV</v>
      </c>
      <c r="C71" s="451" t="str">
        <f>'Family Map'!C112</f>
        <v>Math</v>
      </c>
      <c r="D71" s="451" t="str">
        <f>'Family Map'!D112</f>
        <v>Upper Math</v>
      </c>
      <c r="E71" s="451" t="str">
        <f>'Family Map'!G112</f>
        <v>Form IV / Math — Upper Math</v>
      </c>
      <c r="F71" s="451" t="str">
        <f t="shared" si="1"/>
        <v>Form IV / Math — Upper Math</v>
      </c>
      <c r="G71" s="8">
        <f>IF(E71="",0,COUNTIF('Strand Placement'!$B:$B,E71))</f>
        <v>0</v>
      </c>
      <c r="H71" s="8" t="str">
        <f t="shared" si="2"/>
        <v>Unplaced</v>
      </c>
      <c r="I71" s="8" t="s">
        <v>707</v>
      </c>
      <c r="J71" s="8" t="str">
        <f t="array" ref="J71">IFERROR(XLOOKUP(B71,Setup!$B$38:$B$44,Setup!$A$38:$A$44),"☑")</f>
        <v>☑</v>
      </c>
      <c r="K71" s="8"/>
      <c r="L71" s="8"/>
      <c r="M71" s="8"/>
      <c r="N71" s="8"/>
      <c r="O71" s="8"/>
      <c r="P71" s="8"/>
      <c r="Q71" s="8"/>
      <c r="R71" s="8"/>
      <c r="S71" s="8" t="s">
        <v>665</v>
      </c>
      <c r="T71" s="8" t="s">
        <v>665</v>
      </c>
      <c r="U71" s="8" t="s">
        <v>665</v>
      </c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>
        <f t="shared" si="4"/>
        <v>67</v>
      </c>
      <c r="AM71" s="451" t="str">
        <f t="shared" si="5"/>
        <v>Form IV / Math — Upper Math</v>
      </c>
      <c r="AN71" s="8" t="b">
        <f>AND(OR('Family Map'!A112=TRUE,'Family Map'!A112="☑",'Family Map'!A112="✓",'Family Map'!A112="✔"),$E71&lt;&gt;"",$J71="☑",$AK71="")</f>
        <v>1</v>
      </c>
      <c r="AO71" s="451" t="str">
        <f t="shared" si="6"/>
        <v>Form IV / Math — Upper Math</v>
      </c>
      <c r="AP71" s="8">
        <f t="shared" si="7"/>
        <v>67</v>
      </c>
      <c r="AQ71" s="451" t="str">
        <f>'Family Map'!H112</f>
        <v/>
      </c>
      <c r="AR71" s="451" t="str">
        <f t="shared" si="8"/>
        <v/>
      </c>
      <c r="AS71" s="8" t="str">
        <f>IFERROR(__xludf.DUMMYFUNCTION("LET(slot,$A71,label,$AM71,raw,$AQ71,resolved,$AR71,isCovered,$AK71&lt;&gt;"""",active,COUNTIF(Setup!$S$6:$S$25,resolved)&gt;0,placeAud,IFERROR(FILTER(IFERROR(LEFT('Strand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"",TRUE,IF(AND($A"&amp;"N71,raw=""""),""⚠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71" s="8" t="str">
        <f t="shared" si="9"/>
        <v/>
      </c>
      <c r="AU71" s="8"/>
      <c r="AV71" s="451" t="str">
        <f t="shared" si="10"/>
        <v>Form IV / Math — Upper Math</v>
      </c>
      <c r="AW71" s="451" t="str">
        <f t="shared" si="11"/>
        <v/>
      </c>
      <c r="AX71" s="8" t="str">
        <f>IFERROR(__xludf.DUMMYFUNCTION("IF($AV71="""","""",IFERROR(TEXTJOIN(CHAR(10),TRUE,FILTER(""row ""&amp;ROW('Strand Placement'!$B$21:$B$89)&amp;"" • ""&amp;IFERROR(LEFT('Strand Placement'!$L$21:$L$89,FIND("" | "",'Strand Placement'!$L$21:$L$89)-1),""""),'Strand Placement'!$B$21:$B$89=$AV71)),""""))"),"")</f>
        <v/>
      </c>
      <c r="AY71" s="8" t="str">
        <f>IFERROR(__xludf.DUMMYFUNCTION("IF($AV71="""","""",IFERROR(TEXTJOIN(CHAR(10),TRUE,FILTER(""row ""&amp;ROW('Student Work'!$C$24:$C$223)&amp;"" • ""&amp;'Student Work'!$A$24:$A$223,'Student Work'!$C$24:$C$223=$AV71)),""""))"),"row 26 • Jeremiah")</f>
        <v>row 26 • Jeremiah</v>
      </c>
      <c r="AZ71" s="8" t="str">
        <f>IFERROR(__xludf.DUMMYFUNCTION("IF($AV71="""","""",IFERROR(TEXTJOIN(CHAR(10),TRUE,FILTER(""row ""&amp;ROW('Resource Planner'!$D$10:$D$69)&amp;"" • ""&amp;'Resource Planner'!$C$10:$C$69,'Resource Planner'!$D$10:$D$69=$AV71)),""""))"),"")</f>
        <v/>
      </c>
      <c r="BA71" s="8" t="str">
        <f t="shared" si="12"/>
        <v>⚠ active standalone/keeper has no Who / Group</v>
      </c>
    </row>
    <row r="72" ht="15.75" customHeight="1">
      <c r="A72" s="8">
        <v>68.0</v>
      </c>
      <c r="B72" s="451" t="str">
        <f>'Family Map'!B113</f>
        <v>Form IV</v>
      </c>
      <c r="C72" s="451" t="str">
        <f>'Family Map'!C113</f>
        <v>Foreign Language</v>
      </c>
      <c r="D72" s="451" t="str">
        <f>'Family Map'!D113</f>
        <v>Modern Language / Latin</v>
      </c>
      <c r="E72" s="451" t="str">
        <f>'Family Map'!G113</f>
        <v>Form IV / Foreign Language — Modern Language / Latin</v>
      </c>
      <c r="F72" s="451" t="str">
        <f t="shared" si="1"/>
        <v>Form IV / Foreign Language — Modern Language / Latin</v>
      </c>
      <c r="G72" s="8">
        <f>IF(E72="",0,COUNTIF('Strand Placement'!$B:$B,E72))</f>
        <v>0</v>
      </c>
      <c r="H72" s="8" t="str">
        <f t="shared" si="2"/>
        <v>Unplaced</v>
      </c>
      <c r="I72" s="8" t="s">
        <v>708</v>
      </c>
      <c r="J72" s="8" t="str">
        <f t="array" ref="J72">IFERROR(XLOOKUP(B72,Setup!$B$38:$B$44,Setup!$A$38:$A$44),"☑")</f>
        <v>☑</v>
      </c>
      <c r="K72" s="8"/>
      <c r="L72" s="8"/>
      <c r="M72" s="8"/>
      <c r="N72" s="8"/>
      <c r="O72" s="8"/>
      <c r="P72" s="8"/>
      <c r="Q72" s="8"/>
      <c r="R72" s="8"/>
      <c r="S72" s="8" t="s">
        <v>665</v>
      </c>
      <c r="T72" s="8" t="s">
        <v>665</v>
      </c>
      <c r="U72" s="8" t="s">
        <v>665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>
        <f t="shared" si="4"/>
        <v>68</v>
      </c>
      <c r="AM72" s="451" t="str">
        <f t="shared" si="5"/>
        <v>Form IV / Foreign Language — Modern Language / Latin</v>
      </c>
      <c r="AN72" s="8" t="b">
        <f>AND(OR('Family Map'!A113=TRUE,'Family Map'!A113="☑",'Family Map'!A113="✓",'Family Map'!A113="✔"),$E72&lt;&gt;"",$J72="☑",$AK72="")</f>
        <v>1</v>
      </c>
      <c r="AO72" s="451" t="str">
        <f t="shared" si="6"/>
        <v>Form IV / Foreign Language — Modern Language / Latin</v>
      </c>
      <c r="AP72" s="8">
        <f t="shared" si="7"/>
        <v>68</v>
      </c>
      <c r="AQ72" s="451" t="str">
        <f>'Family Map'!H113</f>
        <v/>
      </c>
      <c r="AR72" s="451" t="str">
        <f t="shared" si="8"/>
        <v/>
      </c>
      <c r="AS72" s="8" t="str">
        <f>IFERROR(__xludf.DUMMYFUNCTION("LET(slot,$A72,label,$AM72,raw,$AQ72,resolved,$AR72,isCovered,$AK72&lt;&gt;"""",active,COUNTIF(Setup!$S$6:$S$25,resolved)&gt;0,placeAud,IFERROR(FILTER(IFERROR(LEFT('Strand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"",TRUE,IF(AND($A"&amp;"N72,raw=""""),""⚠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records"","""")))"),"⚠ active standalone/keeper has no Who / Group")</f>
        <v>⚠ active standalone/keeper has no Who / Group</v>
      </c>
      <c r="AT72" s="8" t="str">
        <f t="shared" si="9"/>
        <v/>
      </c>
      <c r="AU72" s="8"/>
      <c r="AV72" s="451" t="str">
        <f t="shared" si="10"/>
        <v>Form IV / Foreign Language — Modern Language / Latin</v>
      </c>
      <c r="AW72" s="451" t="str">
        <f t="shared" si="11"/>
        <v/>
      </c>
      <c r="AX72" s="8" t="str">
        <f>IFERROR(__xludf.DUMMYFUNCTION("IF($AV72="""","""",IFERROR(TEXTJOIN(CHAR(10),TRUE,FILTER(""row ""&amp;ROW('Strand Placement'!$B$21:$B$89)&amp;"" • ""&amp;IFERROR(LEFT('Strand Placement'!$L$21:$L$89,FIND("" | "",'Strand Placement'!$L$21:$L$89)-1),""""),'Strand Placement'!$B$21:$B$89=$AV72)),""""))"),"")</f>
        <v/>
      </c>
      <c r="AY72" s="8" t="str">
        <f>IFERROR(__xludf.DUMMYFUNCTION("IF($AV72="""","""",IFERROR(TEXTJOIN(CHAR(10),TRUE,FILTER(""row ""&amp;ROW('Student Work'!$C$24:$C$223)&amp;"" • ""&amp;'Student Work'!$A$24:$A$223,'Student Work'!$C$24:$C$223=$AV72)),""""))"),"")</f>
        <v/>
      </c>
      <c r="AZ72" s="8" t="str">
        <f>IFERROR(__xludf.DUMMYFUNCTION("IF($AV72="""","""",IFERROR(TEXTJOIN(CHAR(10),TRUE,FILTER(""row ""&amp;ROW('Resource Planner'!$D$10:$D$69)&amp;"" • ""&amp;'Resource Planner'!$C$10:$C$69,'Resource Planner'!$D$10:$D$69=$AV72)),""""))"),"")</f>
        <v/>
      </c>
      <c r="BA72" s="8" t="str">
        <f t="shared" si="12"/>
        <v>⚠ active standalone/keeper has no Who / Group</v>
      </c>
    </row>
    <row r="73" ht="15.75" customHeight="1">
      <c r="A73" s="8">
        <v>69.0</v>
      </c>
      <c r="B73" s="451" t="str">
        <f>'Family Map'!B114</f>
        <v>Form V-VI</v>
      </c>
      <c r="C73" s="451" t="str">
        <f>'Family Map'!C114</f>
        <v>Language Arts</v>
      </c>
      <c r="D73" s="451" t="str">
        <f>'Family Map'!D114</f>
        <v>Composition / Rhetoric</v>
      </c>
      <c r="E73" s="451" t="str">
        <f>'Family Map'!G114</f>
        <v>Form V-VI / Language Arts — Composition / Rhetoric</v>
      </c>
      <c r="F73" s="8" t="str">
        <f t="shared" si="1"/>
        <v/>
      </c>
      <c r="G73" s="8">
        <f>IF(E73="",0,COUNTIF('Strand Placement'!$B:$B,E73))</f>
        <v>0</v>
      </c>
      <c r="H73" s="8" t="str">
        <f t="shared" si="2"/>
        <v>Unplaced</v>
      </c>
      <c r="I73" s="8" t="s">
        <v>709</v>
      </c>
      <c r="J73" s="8" t="str">
        <f t="array" ref="J73">IFERROR(XLOOKUP(B73,Setup!$B$38:$B$44,Setup!$A$38:$A$44),"☑")</f>
        <v>☐</v>
      </c>
      <c r="K73" s="8"/>
      <c r="L73" s="8"/>
      <c r="M73" s="8"/>
      <c r="N73" s="8"/>
      <c r="O73" s="8"/>
      <c r="P73" s="8"/>
      <c r="Q73" s="8"/>
      <c r="R73" s="8"/>
      <c r="S73" s="8" t="s">
        <v>665</v>
      </c>
      <c r="T73" s="8" t="s">
        <v>665</v>
      </c>
      <c r="U73" s="8" t="s">
        <v>665</v>
      </c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>
        <f t="shared" si="4"/>
        <v>69</v>
      </c>
      <c r="AM73" s="451" t="str">
        <f t="shared" si="5"/>
        <v>Form V-VI / Language Arts — Composition / Rhetoric</v>
      </c>
      <c r="AN73" s="8" t="b">
        <f>AND(OR('Family Map'!A114=TRUE,'Family Map'!A114="☑",'Family Map'!A114="✓",'Family Map'!A114="✔"),$E73&lt;&gt;"",$J73="☑",$AK73="")</f>
        <v>0</v>
      </c>
      <c r="AO73" s="8" t="str">
        <f t="shared" si="6"/>
        <v/>
      </c>
      <c r="AP73" s="8" t="str">
        <f t="shared" si="7"/>
        <v/>
      </c>
      <c r="AQ73" s="451" t="str">
        <f>'Family Map'!H114</f>
        <v/>
      </c>
      <c r="AR73" s="451" t="str">
        <f t="shared" si="8"/>
        <v/>
      </c>
      <c r="AS73" s="8" t="str">
        <f>IFERROR(__xludf.DUMMYFUNCTION("LET(slot,$A73,label,$AM73,raw,$AQ73,resolved,$AR73,isCovered,$AK73&lt;&gt;"""",active,COUNTIF(Setup!$S$6:$S$25,resolved)&gt;0,placeAud,IFERROR(FILTER(IFERROR(LEFT('Strand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"",TRUE,IF(AND($A"&amp;"N73,raw=""""),""⚠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73" s="8" t="str">
        <f t="shared" si="9"/>
        <v/>
      </c>
      <c r="AU73" s="8"/>
      <c r="AV73" s="451" t="str">
        <f t="shared" si="10"/>
        <v>Form V-VI / Language Arts — Composition / Rhetoric</v>
      </c>
      <c r="AW73" s="451" t="str">
        <f t="shared" si="11"/>
        <v/>
      </c>
      <c r="AX73" s="8" t="str">
        <f>IFERROR(__xludf.DUMMYFUNCTION("IF($AV73="""","""",IFERROR(TEXTJOIN(CHAR(10),TRUE,FILTER(""row ""&amp;ROW('Strand Placement'!$B$21:$B$89)&amp;"" • ""&amp;IFERROR(LEFT('Strand Placement'!$L$21:$L$89,FIND("" | "",'Strand Placement'!$L$21:$L$89)-1),""""),'Strand Placement'!$B$21:$B$89=$AV73)),""""))"),"")</f>
        <v/>
      </c>
      <c r="AY73" s="8" t="str">
        <f>IFERROR(__xludf.DUMMYFUNCTION("IF($AV73="""","""",IFERROR(TEXTJOIN(CHAR(10),TRUE,FILTER(""row ""&amp;ROW('Student Work'!$C$24:$C$223)&amp;"" • ""&amp;'Student Work'!$A$24:$A$223,'Student Work'!$C$24:$C$223=$AV73)),""""))"),"")</f>
        <v/>
      </c>
      <c r="AZ73" s="8" t="str">
        <f>IFERROR(__xludf.DUMMYFUNCTION("IF($AV73="""","""",IFERROR(TEXTJOIN(CHAR(10),TRUE,FILTER(""row ""&amp;ROW('Resource Planner'!$D$10:$D$69)&amp;"" • ""&amp;'Resource Planner'!$C$10:$C$69,'Resource Planner'!$D$10:$D$69=$AV73)),""""))"),"")</f>
        <v/>
      </c>
      <c r="BA73" s="8" t="str">
        <f t="shared" si="12"/>
        <v>OK</v>
      </c>
    </row>
    <row r="74" ht="15.75" customHeight="1">
      <c r="A74" s="8">
        <v>70.0</v>
      </c>
      <c r="B74" s="451" t="str">
        <f>'Family Map'!B115</f>
        <v>Form V-VI</v>
      </c>
      <c r="C74" s="451" t="str">
        <f>'Family Map'!C115</f>
        <v>Literature</v>
      </c>
      <c r="D74" s="451" t="str">
        <f>'Family Map'!D115</f>
        <v>Literature</v>
      </c>
      <c r="E74" s="451" t="str">
        <f>'Family Map'!G115</f>
        <v>Form V-VI / Literature — Literature</v>
      </c>
      <c r="F74" s="8" t="str">
        <f t="shared" si="1"/>
        <v/>
      </c>
      <c r="G74" s="8">
        <f>IF(E74="",0,COUNTIF('Strand Placement'!$B:$B,E74))</f>
        <v>0</v>
      </c>
      <c r="H74" s="8" t="str">
        <f t="shared" si="2"/>
        <v>Unplaced</v>
      </c>
      <c r="I74" s="8" t="s">
        <v>710</v>
      </c>
      <c r="J74" s="8" t="str">
        <f t="array" ref="J74">IFERROR(XLOOKUP(B74,Setup!$B$38:$B$44,Setup!$A$38:$A$44),"☑")</f>
        <v>☐</v>
      </c>
      <c r="K74" s="8"/>
      <c r="L74" s="8"/>
      <c r="M74" s="8"/>
      <c r="N74" s="8"/>
      <c r="O74" s="8"/>
      <c r="P74" s="8"/>
      <c r="Q74" s="8"/>
      <c r="R74" s="8"/>
      <c r="S74" s="8" t="s">
        <v>665</v>
      </c>
      <c r="T74" s="8" t="s">
        <v>665</v>
      </c>
      <c r="U74" s="8" t="s">
        <v>665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>
        <f t="shared" si="4"/>
        <v>70</v>
      </c>
      <c r="AM74" s="451" t="str">
        <f t="shared" si="5"/>
        <v>Form V-VI / Literature — Literature</v>
      </c>
      <c r="AN74" s="8" t="b">
        <f>AND(OR('Family Map'!A115=TRUE,'Family Map'!A115="☑",'Family Map'!A115="✓",'Family Map'!A115="✔"),$E74&lt;&gt;"",$J74="☑",$AK74="")</f>
        <v>0</v>
      </c>
      <c r="AO74" s="8" t="str">
        <f t="shared" si="6"/>
        <v/>
      </c>
      <c r="AP74" s="8" t="str">
        <f t="shared" si="7"/>
        <v/>
      </c>
      <c r="AQ74" s="451" t="str">
        <f>'Family Map'!H115</f>
        <v/>
      </c>
      <c r="AR74" s="451" t="str">
        <f t="shared" si="8"/>
        <v/>
      </c>
      <c r="AS74" s="8" t="str">
        <f>IFERROR(__xludf.DUMMYFUNCTION("LET(slot,$A74,label,$AM74,raw,$AQ74,resolved,$AR74,isCovered,$AK74&lt;&gt;"""",active,COUNTIF(Setup!$S$6:$S$25,resolved)&gt;0,placeAud,IFERROR(FILTER(IFERROR(LEFT('Strand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"",TRUE,IF(AND($A"&amp;"N74,raw=""""),""⚠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74" s="8" t="str">
        <f t="shared" si="9"/>
        <v/>
      </c>
      <c r="AU74" s="8"/>
      <c r="AV74" s="451" t="str">
        <f t="shared" si="10"/>
        <v>Form V-VI / Literature — Literature</v>
      </c>
      <c r="AW74" s="451" t="str">
        <f t="shared" si="11"/>
        <v/>
      </c>
      <c r="AX74" s="8" t="str">
        <f>IFERROR(__xludf.DUMMYFUNCTION("IF($AV74="""","""",IFERROR(TEXTJOIN(CHAR(10),TRUE,FILTER(""row ""&amp;ROW('Strand Placement'!$B$21:$B$89)&amp;"" • ""&amp;IFERROR(LEFT('Strand Placement'!$L$21:$L$89,FIND("" | "",'Strand Placement'!$L$21:$L$89)-1),""""),'Strand Placement'!$B$21:$B$89=$AV74)),""""))"),"")</f>
        <v/>
      </c>
      <c r="AY74" s="8" t="str">
        <f>IFERROR(__xludf.DUMMYFUNCTION("IF($AV74="""","""",IFERROR(TEXTJOIN(CHAR(10),TRUE,FILTER(""row ""&amp;ROW('Student Work'!$C$24:$C$223)&amp;"" • ""&amp;'Student Work'!$A$24:$A$223,'Student Work'!$C$24:$C$223=$AV74)),""""))"),"")</f>
        <v/>
      </c>
      <c r="AZ74" s="8" t="str">
        <f>IFERROR(__xludf.DUMMYFUNCTION("IF($AV74="""","""",IFERROR(TEXTJOIN(CHAR(10),TRUE,FILTER(""row ""&amp;ROW('Resource Planner'!$D$10:$D$69)&amp;"" • ""&amp;'Resource Planner'!$C$10:$C$69,'Resource Planner'!$D$10:$D$69=$AV74)),""""))"),"")</f>
        <v/>
      </c>
      <c r="BA74" s="8" t="str">
        <f t="shared" si="12"/>
        <v>OK</v>
      </c>
    </row>
    <row r="75" ht="15.75" customHeight="1">
      <c r="A75" s="8">
        <v>71.0</v>
      </c>
      <c r="B75" s="451" t="str">
        <f>'Family Map'!B116</f>
        <v>Form V-VI</v>
      </c>
      <c r="C75" s="451" t="str">
        <f>'Family Map'!C116</f>
        <v>History</v>
      </c>
      <c r="D75" s="451" t="str">
        <f>'Family Map'!D116</f>
        <v>World / American History</v>
      </c>
      <c r="E75" s="451" t="str">
        <f>'Family Map'!G116</f>
        <v>Form V-VI / History — World / American History</v>
      </c>
      <c r="F75" s="8" t="str">
        <f t="shared" si="1"/>
        <v/>
      </c>
      <c r="G75" s="8">
        <f>IF(E75="",0,COUNTIF('Strand Placement'!$B:$B,E75))</f>
        <v>0</v>
      </c>
      <c r="H75" s="8" t="str">
        <f t="shared" si="2"/>
        <v>Unplaced</v>
      </c>
      <c r="I75" s="8" t="s">
        <v>711</v>
      </c>
      <c r="J75" s="8" t="str">
        <f t="array" ref="J75">IFERROR(XLOOKUP(B75,Setup!$B$38:$B$44,Setup!$A$38:$A$44),"☑")</f>
        <v>☐</v>
      </c>
      <c r="K75" s="8"/>
      <c r="L75" s="8"/>
      <c r="M75" s="8"/>
      <c r="N75" s="8"/>
      <c r="O75" s="8"/>
      <c r="P75" s="8"/>
      <c r="Q75" s="8"/>
      <c r="R75" s="8"/>
      <c r="S75" s="8" t="s">
        <v>665</v>
      </c>
      <c r="T75" s="8" t="s">
        <v>665</v>
      </c>
      <c r="U75" s="8" t="s">
        <v>665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>
        <f t="shared" si="4"/>
        <v>71</v>
      </c>
      <c r="AM75" s="451" t="str">
        <f t="shared" si="5"/>
        <v>Form V-VI / History — World / American History</v>
      </c>
      <c r="AN75" s="8" t="b">
        <f>AND(OR('Family Map'!A116=TRUE,'Family Map'!A116="☑",'Family Map'!A116="✓",'Family Map'!A116="✔"),$E75&lt;&gt;"",$J75="☑",$AK75="")</f>
        <v>0</v>
      </c>
      <c r="AO75" s="8" t="str">
        <f t="shared" si="6"/>
        <v/>
      </c>
      <c r="AP75" s="8" t="str">
        <f t="shared" si="7"/>
        <v/>
      </c>
      <c r="AQ75" s="451" t="str">
        <f>'Family Map'!H116</f>
        <v/>
      </c>
      <c r="AR75" s="451" t="str">
        <f t="shared" si="8"/>
        <v/>
      </c>
      <c r="AS75" s="8" t="str">
        <f>IFERROR(__xludf.DUMMYFUNCTION("LET(slot,$A75,label,$AM75,raw,$AQ75,resolved,$AR75,isCovered,$AK75&lt;&gt;"""",active,COUNTIF(Setup!$S$6:$S$25,resolved)&gt;0,placeAud,IFERROR(FILTER(IFERROR(LEFT('Strand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"",TRUE,IF(AND($A"&amp;"N75,raw=""""),""⚠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75" s="8" t="str">
        <f t="shared" si="9"/>
        <v/>
      </c>
      <c r="AU75" s="8"/>
      <c r="AV75" s="451" t="str">
        <f t="shared" si="10"/>
        <v>Form V-VI / History — World / American History</v>
      </c>
      <c r="AW75" s="451" t="str">
        <f t="shared" si="11"/>
        <v/>
      </c>
      <c r="AX75" s="8" t="str">
        <f>IFERROR(__xludf.DUMMYFUNCTION("IF($AV75="""","""",IFERROR(TEXTJOIN(CHAR(10),TRUE,FILTER(""row ""&amp;ROW('Strand Placement'!$B$21:$B$89)&amp;"" • ""&amp;IFERROR(LEFT('Strand Placement'!$L$21:$L$89,FIND("" | "",'Strand Placement'!$L$21:$L$89)-1),""""),'Strand Placement'!$B$21:$B$89=$AV75)),""""))"),"")</f>
        <v/>
      </c>
      <c r="AY75" s="8" t="str">
        <f>IFERROR(__xludf.DUMMYFUNCTION("IF($AV75="""","""",IFERROR(TEXTJOIN(CHAR(10),TRUE,FILTER(""row ""&amp;ROW('Student Work'!$C$24:$C$223)&amp;"" • ""&amp;'Student Work'!$A$24:$A$223,'Student Work'!$C$24:$C$223=$AV75)),""""))"),"")</f>
        <v/>
      </c>
      <c r="AZ75" s="8" t="str">
        <f>IFERROR(__xludf.DUMMYFUNCTION("IF($AV75="""","""",IFERROR(TEXTJOIN(CHAR(10),TRUE,FILTER(""row ""&amp;ROW('Resource Planner'!$D$10:$D$69)&amp;"" • ""&amp;'Resource Planner'!$C$10:$C$69,'Resource Planner'!$D$10:$D$69=$AV75)),""""))"),"")</f>
        <v/>
      </c>
      <c r="BA75" s="8" t="str">
        <f t="shared" si="12"/>
        <v>OK</v>
      </c>
    </row>
    <row r="76" ht="15.75" customHeight="1">
      <c r="A76" s="8">
        <v>72.0</v>
      </c>
      <c r="B76" s="451" t="str">
        <f>'Family Map'!B117</f>
        <v>Form V-VI</v>
      </c>
      <c r="C76" s="451" t="str">
        <f>'Family Map'!C117</f>
        <v>History</v>
      </c>
      <c r="D76" s="451" t="str">
        <f>'Family Map'!D117</f>
        <v>Ancient / Government</v>
      </c>
      <c r="E76" s="451" t="str">
        <f>'Family Map'!G117</f>
        <v>Form V-VI / History — Ancient / Government</v>
      </c>
      <c r="F76" s="8" t="str">
        <f t="shared" si="1"/>
        <v/>
      </c>
      <c r="G76" s="8">
        <f>IF(E76="",0,COUNTIF('Strand Placement'!$B:$B,E76))</f>
        <v>0</v>
      </c>
      <c r="H76" s="8" t="str">
        <f t="shared" si="2"/>
        <v>Unplaced</v>
      </c>
      <c r="I76" s="8" t="s">
        <v>712</v>
      </c>
      <c r="J76" s="8" t="str">
        <f t="array" ref="J76">IFERROR(XLOOKUP(B76,Setup!$B$38:$B$44,Setup!$A$38:$A$44),"☑")</f>
        <v>☐</v>
      </c>
      <c r="K76" s="8"/>
      <c r="L76" s="8"/>
      <c r="M76" s="8"/>
      <c r="N76" s="8"/>
      <c r="O76" s="8"/>
      <c r="P76" s="8"/>
      <c r="Q76" s="8"/>
      <c r="R76" s="8"/>
      <c r="S76" s="8" t="s">
        <v>665</v>
      </c>
      <c r="T76" s="8" t="s">
        <v>665</v>
      </c>
      <c r="U76" s="8" t="s">
        <v>665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>
        <f t="shared" si="4"/>
        <v>72</v>
      </c>
      <c r="AM76" s="451" t="str">
        <f t="shared" si="5"/>
        <v>Form V-VI / History — Ancient / Government</v>
      </c>
      <c r="AN76" s="8" t="b">
        <f>AND(OR('Family Map'!A117=TRUE,'Family Map'!A117="☑",'Family Map'!A117="✓",'Family Map'!A117="✔"),$E76&lt;&gt;"",$J76="☑",$AK76="")</f>
        <v>0</v>
      </c>
      <c r="AO76" s="8" t="str">
        <f t="shared" si="6"/>
        <v/>
      </c>
      <c r="AP76" s="8" t="str">
        <f t="shared" si="7"/>
        <v/>
      </c>
      <c r="AQ76" s="451" t="str">
        <f>'Family Map'!H117</f>
        <v/>
      </c>
      <c r="AR76" s="451" t="str">
        <f t="shared" si="8"/>
        <v/>
      </c>
      <c r="AS76" s="8" t="str">
        <f>IFERROR(__xludf.DUMMYFUNCTION("LET(slot,$A76,label,$AM76,raw,$AQ76,resolved,$AR76,isCovered,$AK76&lt;&gt;"""",active,COUNTIF(Setup!$S$6:$S$25,resolved)&gt;0,placeAud,IFERROR(FILTER(IFERROR(LEFT('Strand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"",TRUE,IF(AND($A"&amp;"N76,raw=""""),""⚠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76" s="8" t="str">
        <f t="shared" si="9"/>
        <v/>
      </c>
      <c r="AU76" s="8"/>
      <c r="AV76" s="451" t="str">
        <f t="shared" si="10"/>
        <v>Form V-VI / History — Ancient / Government</v>
      </c>
      <c r="AW76" s="451" t="str">
        <f t="shared" si="11"/>
        <v/>
      </c>
      <c r="AX76" s="8" t="str">
        <f>IFERROR(__xludf.DUMMYFUNCTION("IF($AV76="""","""",IFERROR(TEXTJOIN(CHAR(10),TRUE,FILTER(""row ""&amp;ROW('Strand Placement'!$B$21:$B$89)&amp;"" • ""&amp;IFERROR(LEFT('Strand Placement'!$L$21:$L$89,FIND("" | "",'Strand Placement'!$L$21:$L$89)-1),""""),'Strand Placement'!$B$21:$B$89=$AV76)),""""))"),"")</f>
        <v/>
      </c>
      <c r="AY76" s="8" t="str">
        <f>IFERROR(__xludf.DUMMYFUNCTION("IF($AV76="""","""",IFERROR(TEXTJOIN(CHAR(10),TRUE,FILTER(""row ""&amp;ROW('Student Work'!$C$24:$C$223)&amp;"" • ""&amp;'Student Work'!$A$24:$A$223,'Student Work'!$C$24:$C$223=$AV76)),""""))"),"")</f>
        <v/>
      </c>
      <c r="AZ76" s="8" t="str">
        <f>IFERROR(__xludf.DUMMYFUNCTION("IF($AV76="""","""",IFERROR(TEXTJOIN(CHAR(10),TRUE,FILTER(""row ""&amp;ROW('Resource Planner'!$D$10:$D$69)&amp;"" • ""&amp;'Resource Planner'!$C$10:$C$69,'Resource Planner'!$D$10:$D$69=$AV76)),""""))"),"")</f>
        <v/>
      </c>
      <c r="BA76" s="8" t="str">
        <f t="shared" si="12"/>
        <v>OK</v>
      </c>
    </row>
    <row r="77" ht="15.75" customHeight="1">
      <c r="A77" s="8">
        <v>73.0</v>
      </c>
      <c r="B77" s="451" t="str">
        <f>'Family Map'!B118</f>
        <v>Form V-VI</v>
      </c>
      <c r="C77" s="451" t="str">
        <f>'Family Map'!C118</f>
        <v>Geography</v>
      </c>
      <c r="D77" s="451" t="str">
        <f>'Family Map'!D118</f>
        <v>Geography / Economics</v>
      </c>
      <c r="E77" s="451" t="str">
        <f>'Family Map'!G118</f>
        <v>Form V-VI / Geography — Geography / Economics</v>
      </c>
      <c r="F77" s="8" t="str">
        <f t="shared" si="1"/>
        <v/>
      </c>
      <c r="G77" s="8">
        <f>IF(E77="",0,COUNTIF('Strand Placement'!$B:$B,E77))</f>
        <v>0</v>
      </c>
      <c r="H77" s="8" t="str">
        <f t="shared" si="2"/>
        <v>Unplaced</v>
      </c>
      <c r="I77" s="8" t="s">
        <v>713</v>
      </c>
      <c r="J77" s="8" t="str">
        <f t="array" ref="J77">IFERROR(XLOOKUP(B77,Setup!$B$38:$B$44,Setup!$A$38:$A$44),"☑")</f>
        <v>☐</v>
      </c>
      <c r="K77" s="8"/>
      <c r="L77" s="8"/>
      <c r="M77" s="8"/>
      <c r="N77" s="8"/>
      <c r="O77" s="8"/>
      <c r="P77" s="8"/>
      <c r="Q77" s="8"/>
      <c r="R77" s="8"/>
      <c r="S77" s="8" t="s">
        <v>665</v>
      </c>
      <c r="T77" s="8" t="s">
        <v>665</v>
      </c>
      <c r="U77" s="8" t="s">
        <v>665</v>
      </c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>
        <f t="shared" si="4"/>
        <v>73</v>
      </c>
      <c r="AM77" s="451" t="str">
        <f t="shared" si="5"/>
        <v>Form V-VI / Geography — Geography / Economics</v>
      </c>
      <c r="AN77" s="8" t="b">
        <f>AND(OR('Family Map'!A118=TRUE,'Family Map'!A118="☑",'Family Map'!A118="✓",'Family Map'!A118="✔"),$E77&lt;&gt;"",$J77="☑",$AK77="")</f>
        <v>0</v>
      </c>
      <c r="AO77" s="8" t="str">
        <f t="shared" si="6"/>
        <v/>
      </c>
      <c r="AP77" s="8" t="str">
        <f t="shared" si="7"/>
        <v/>
      </c>
      <c r="AQ77" s="451" t="str">
        <f>'Family Map'!H118</f>
        <v/>
      </c>
      <c r="AR77" s="451" t="str">
        <f t="shared" si="8"/>
        <v/>
      </c>
      <c r="AS77" s="8" t="str">
        <f>IFERROR(__xludf.DUMMYFUNCTION("LET(slot,$A77,label,$AM77,raw,$AQ77,resolved,$AR77,isCovered,$AK77&lt;&gt;"""",active,COUNTIF(Setup!$S$6:$S$25,resolved)&gt;0,placeAud,IFERROR(FILTER(IFERROR(LEFT('Strand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"",TRUE,IF(AND($A"&amp;"N77,raw=""""),""⚠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77" s="8" t="str">
        <f t="shared" si="9"/>
        <v/>
      </c>
      <c r="AU77" s="8"/>
      <c r="AV77" s="451" t="str">
        <f t="shared" si="10"/>
        <v>Form V-VI / Geography — Geography / Economics</v>
      </c>
      <c r="AW77" s="451" t="str">
        <f t="shared" si="11"/>
        <v/>
      </c>
      <c r="AX77" s="8" t="str">
        <f>IFERROR(__xludf.DUMMYFUNCTION("IF($AV77="""","""",IFERROR(TEXTJOIN(CHAR(10),TRUE,FILTER(""row ""&amp;ROW('Strand Placement'!$B$21:$B$89)&amp;"" • ""&amp;IFERROR(LEFT('Strand Placement'!$L$21:$L$89,FIND("" | "",'Strand Placement'!$L$21:$L$89)-1),""""),'Strand Placement'!$B$21:$B$89=$AV77)),""""))"),"")</f>
        <v/>
      </c>
      <c r="AY77" s="8" t="str">
        <f>IFERROR(__xludf.DUMMYFUNCTION("IF($AV77="""","""",IFERROR(TEXTJOIN(CHAR(10),TRUE,FILTER(""row ""&amp;ROW('Student Work'!$C$24:$C$223)&amp;"" • ""&amp;'Student Work'!$A$24:$A$223,'Student Work'!$C$24:$C$223=$AV77)),""""))"),"")</f>
        <v/>
      </c>
      <c r="AZ77" s="8" t="str">
        <f>IFERROR(__xludf.DUMMYFUNCTION("IF($AV77="""","""",IFERROR(TEXTJOIN(CHAR(10),TRUE,FILTER(""row ""&amp;ROW('Resource Planner'!$D$10:$D$69)&amp;"" • ""&amp;'Resource Planner'!$C$10:$C$69,'Resource Planner'!$D$10:$D$69=$AV77)),""""))"),"")</f>
        <v/>
      </c>
      <c r="BA77" s="8" t="str">
        <f t="shared" si="12"/>
        <v>OK</v>
      </c>
    </row>
    <row r="78" ht="15.75" customHeight="1">
      <c r="A78" s="8">
        <v>74.0</v>
      </c>
      <c r="B78" s="451" t="str">
        <f>'Family Map'!B119</f>
        <v>Form V-VI</v>
      </c>
      <c r="C78" s="451" t="str">
        <f>'Family Map'!C119</f>
        <v>Citizenship</v>
      </c>
      <c r="D78" s="451" t="str">
        <f>'Family Map'!D119</f>
        <v>Government</v>
      </c>
      <c r="E78" s="451" t="str">
        <f>'Family Map'!G119</f>
        <v>Form V-VI / Citizenship — Government</v>
      </c>
      <c r="F78" s="8" t="str">
        <f t="shared" si="1"/>
        <v/>
      </c>
      <c r="G78" s="8">
        <f>IF(E78="",0,COUNTIF('Strand Placement'!$B:$B,E78))</f>
        <v>0</v>
      </c>
      <c r="H78" s="8" t="str">
        <f t="shared" si="2"/>
        <v>Unplaced</v>
      </c>
      <c r="I78" s="8" t="s">
        <v>714</v>
      </c>
      <c r="J78" s="8" t="str">
        <f t="array" ref="J78">IFERROR(XLOOKUP(B78,Setup!$B$38:$B$44,Setup!$A$38:$A$44),"☑")</f>
        <v>☐</v>
      </c>
      <c r="K78" s="8"/>
      <c r="L78" s="8"/>
      <c r="M78" s="8"/>
      <c r="N78" s="8"/>
      <c r="O78" s="8"/>
      <c r="P78" s="8"/>
      <c r="Q78" s="8"/>
      <c r="R78" s="8"/>
      <c r="S78" s="8" t="s">
        <v>665</v>
      </c>
      <c r="T78" s="8" t="s">
        <v>665</v>
      </c>
      <c r="U78" s="8" t="s">
        <v>665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>
        <f t="shared" si="4"/>
        <v>74</v>
      </c>
      <c r="AM78" s="451" t="str">
        <f t="shared" si="5"/>
        <v>Form V-VI / Citizenship — Government</v>
      </c>
      <c r="AN78" s="8" t="b">
        <f>AND(OR('Family Map'!A119=TRUE,'Family Map'!A119="☑",'Family Map'!A119="✓",'Family Map'!A119="✔"),$E78&lt;&gt;"",$J78="☑",$AK78="")</f>
        <v>0</v>
      </c>
      <c r="AO78" s="8" t="str">
        <f t="shared" si="6"/>
        <v/>
      </c>
      <c r="AP78" s="8" t="str">
        <f t="shared" si="7"/>
        <v/>
      </c>
      <c r="AQ78" s="451" t="str">
        <f>'Family Map'!H119</f>
        <v/>
      </c>
      <c r="AR78" s="451" t="str">
        <f t="shared" si="8"/>
        <v/>
      </c>
      <c r="AS78" s="8" t="str">
        <f>IFERROR(__xludf.DUMMYFUNCTION("LET(slot,$A78,label,$AM78,raw,$AQ78,resolved,$AR78,isCovered,$AK78&lt;&gt;"""",active,COUNTIF(Setup!$S$6:$S$25,resolved)&gt;0,placeAud,IFERROR(FILTER(IFERROR(LEFT('Strand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"",TRUE,IF(AND($A"&amp;"N78,raw=""""),""⚠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78" s="8" t="str">
        <f t="shared" si="9"/>
        <v/>
      </c>
      <c r="AU78" s="8"/>
      <c r="AV78" s="451" t="str">
        <f t="shared" si="10"/>
        <v>Form V-VI / Citizenship — Government</v>
      </c>
      <c r="AW78" s="451" t="str">
        <f t="shared" si="11"/>
        <v/>
      </c>
      <c r="AX78" s="8" t="str">
        <f>IFERROR(__xludf.DUMMYFUNCTION("IF($AV78="""","""",IFERROR(TEXTJOIN(CHAR(10),TRUE,FILTER(""row ""&amp;ROW('Strand Placement'!$B$21:$B$89)&amp;"" • ""&amp;IFERROR(LEFT('Strand Placement'!$L$21:$L$89,FIND("" | "",'Strand Placement'!$L$21:$L$89)-1),""""),'Strand Placement'!$B$21:$B$89=$AV78)),""""))"),"")</f>
        <v/>
      </c>
      <c r="AY78" s="8" t="str">
        <f>IFERROR(__xludf.DUMMYFUNCTION("IF($AV78="""","""",IFERROR(TEXTJOIN(CHAR(10),TRUE,FILTER(""row ""&amp;ROW('Student Work'!$C$24:$C$223)&amp;"" • ""&amp;'Student Work'!$A$24:$A$223,'Student Work'!$C$24:$C$223=$AV78)),""""))"),"")</f>
        <v/>
      </c>
      <c r="AZ78" s="8" t="str">
        <f>IFERROR(__xludf.DUMMYFUNCTION("IF($AV78="""","""",IFERROR(TEXTJOIN(CHAR(10),TRUE,FILTER(""row ""&amp;ROW('Resource Planner'!$D$10:$D$69)&amp;"" • ""&amp;'Resource Planner'!$C$10:$C$69,'Resource Planner'!$D$10:$D$69=$AV78)),""""))"),"")</f>
        <v/>
      </c>
      <c r="BA78" s="8" t="str">
        <f t="shared" si="12"/>
        <v>OK</v>
      </c>
    </row>
    <row r="79" ht="15.75" customHeight="1">
      <c r="A79" s="8">
        <v>75.0</v>
      </c>
      <c r="B79" s="451" t="str">
        <f>'Family Map'!B120</f>
        <v>Form V-VI</v>
      </c>
      <c r="C79" s="451" t="str">
        <f>'Family Map'!C120</f>
        <v>Citizenship</v>
      </c>
      <c r="D79" s="451" t="str">
        <f>'Family Map'!D120</f>
        <v>Current Events</v>
      </c>
      <c r="E79" s="451" t="str">
        <f>'Family Map'!G120</f>
        <v>Form V-VI / Citizenship — Current Events</v>
      </c>
      <c r="F79" s="8" t="str">
        <f t="shared" si="1"/>
        <v/>
      </c>
      <c r="G79" s="8">
        <f>IF(E79="",0,COUNTIF('Strand Placement'!$B:$B,E79))</f>
        <v>0</v>
      </c>
      <c r="H79" s="8" t="str">
        <f t="shared" si="2"/>
        <v>Unplaced</v>
      </c>
      <c r="I79" s="8" t="s">
        <v>715</v>
      </c>
      <c r="J79" s="8" t="str">
        <f t="array" ref="J79">IFERROR(XLOOKUP(B79,Setup!$B$38:$B$44,Setup!$A$38:$A$44),"☑")</f>
        <v>☐</v>
      </c>
      <c r="K79" s="8"/>
      <c r="L79" s="8"/>
      <c r="M79" s="8"/>
      <c r="N79" s="8"/>
      <c r="O79" s="8"/>
      <c r="P79" s="8"/>
      <c r="Q79" s="8"/>
      <c r="R79" s="8"/>
      <c r="S79" s="8" t="s">
        <v>665</v>
      </c>
      <c r="T79" s="8" t="s">
        <v>665</v>
      </c>
      <c r="U79" s="8" t="s">
        <v>665</v>
      </c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>
        <f t="shared" si="4"/>
        <v>75</v>
      </c>
      <c r="AM79" s="451" t="str">
        <f t="shared" si="5"/>
        <v>Form V-VI / Citizenship — Current Events</v>
      </c>
      <c r="AN79" s="8" t="b">
        <f>AND(OR('Family Map'!A120=TRUE,'Family Map'!A120="☑",'Family Map'!A120="✓",'Family Map'!A120="✔"),$E79&lt;&gt;"",$J79="☑",$AK79="")</f>
        <v>0</v>
      </c>
      <c r="AO79" s="8" t="str">
        <f t="shared" si="6"/>
        <v/>
      </c>
      <c r="AP79" s="8" t="str">
        <f t="shared" si="7"/>
        <v/>
      </c>
      <c r="AQ79" s="451" t="str">
        <f>'Family Map'!H120</f>
        <v/>
      </c>
      <c r="AR79" s="451" t="str">
        <f t="shared" si="8"/>
        <v/>
      </c>
      <c r="AS79" s="8" t="str">
        <f>IFERROR(__xludf.DUMMYFUNCTION("LET(slot,$A79,label,$AM79,raw,$AQ79,resolved,$AR79,isCovered,$AK79&lt;&gt;"""",active,COUNTIF(Setup!$S$6:$S$25,resolved)&gt;0,placeAud,IFERROR(FILTER(IFERROR(LEFT('Strand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"",TRUE,IF(AND($A"&amp;"N79,raw=""""),""⚠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79" s="8" t="str">
        <f t="shared" si="9"/>
        <v/>
      </c>
      <c r="AU79" s="8"/>
      <c r="AV79" s="451" t="str">
        <f t="shared" si="10"/>
        <v>Form V-VI / Citizenship — Current Events</v>
      </c>
      <c r="AW79" s="451" t="str">
        <f t="shared" si="11"/>
        <v/>
      </c>
      <c r="AX79" s="8" t="str">
        <f>IFERROR(__xludf.DUMMYFUNCTION("IF($AV79="""","""",IFERROR(TEXTJOIN(CHAR(10),TRUE,FILTER(""row ""&amp;ROW('Strand Placement'!$B$21:$B$89)&amp;"" • ""&amp;IFERROR(LEFT('Strand Placement'!$L$21:$L$89,FIND("" | "",'Strand Placement'!$L$21:$L$89)-1),""""),'Strand Placement'!$B$21:$B$89=$AV79)),""""))"),"")</f>
        <v/>
      </c>
      <c r="AY79" s="8" t="str">
        <f>IFERROR(__xludf.DUMMYFUNCTION("IF($AV79="""","""",IFERROR(TEXTJOIN(CHAR(10),TRUE,FILTER(""row ""&amp;ROW('Student Work'!$C$24:$C$223)&amp;"" • ""&amp;'Student Work'!$A$24:$A$223,'Student Work'!$C$24:$C$223=$AV79)),""""))"),"")</f>
        <v/>
      </c>
      <c r="AZ79" s="8" t="str">
        <f>IFERROR(__xludf.DUMMYFUNCTION("IF($AV79="""","""",IFERROR(TEXTJOIN(CHAR(10),TRUE,FILTER(""row ""&amp;ROW('Resource Planner'!$D$10:$D$69)&amp;"" • ""&amp;'Resource Planner'!$C$10:$C$69,'Resource Planner'!$D$10:$D$69=$AV79)),""""))"),"")</f>
        <v/>
      </c>
      <c r="BA79" s="8" t="str">
        <f t="shared" si="12"/>
        <v>OK</v>
      </c>
    </row>
    <row r="80" ht="15.75" customHeight="1">
      <c r="A80" s="8">
        <v>76.0</v>
      </c>
      <c r="B80" s="451" t="str">
        <f>'Family Map'!B121</f>
        <v>Form V-VI</v>
      </c>
      <c r="C80" s="451" t="str">
        <f>'Family Map'!C121</f>
        <v>Science / Nature</v>
      </c>
      <c r="D80" s="451" t="str">
        <f>'Family Map'!D121</f>
        <v>Science</v>
      </c>
      <c r="E80" s="451" t="str">
        <f>'Family Map'!G121</f>
        <v>Form V-VI / Science / Nature — Science</v>
      </c>
      <c r="F80" s="8" t="str">
        <f t="shared" si="1"/>
        <v/>
      </c>
      <c r="G80" s="8">
        <f>IF(E80="",0,COUNTIF('Strand Placement'!$B:$B,E80))</f>
        <v>0</v>
      </c>
      <c r="H80" s="8" t="str">
        <f t="shared" si="2"/>
        <v>Unplaced</v>
      </c>
      <c r="I80" s="8" t="s">
        <v>716</v>
      </c>
      <c r="J80" s="8" t="str">
        <f t="array" ref="J80">IFERROR(XLOOKUP(B80,Setup!$B$38:$B$44,Setup!$A$38:$A$44),"☑")</f>
        <v>☐</v>
      </c>
      <c r="K80" s="8"/>
      <c r="L80" s="8"/>
      <c r="M80" s="8"/>
      <c r="N80" s="8"/>
      <c r="O80" s="8"/>
      <c r="P80" s="8"/>
      <c r="Q80" s="8"/>
      <c r="R80" s="8"/>
      <c r="S80" s="8" t="s">
        <v>665</v>
      </c>
      <c r="T80" s="8" t="s">
        <v>665</v>
      </c>
      <c r="U80" s="8" t="s">
        <v>665</v>
      </c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>
        <f t="shared" si="4"/>
        <v>76</v>
      </c>
      <c r="AM80" s="451" t="str">
        <f t="shared" si="5"/>
        <v>Form V-VI / Science / Nature — Science</v>
      </c>
      <c r="AN80" s="8" t="b">
        <f>AND(OR('Family Map'!A121=TRUE,'Family Map'!A121="☑",'Family Map'!A121="✓",'Family Map'!A121="✔"),$E80&lt;&gt;"",$J80="☑",$AK80="")</f>
        <v>0</v>
      </c>
      <c r="AO80" s="8" t="str">
        <f t="shared" si="6"/>
        <v/>
      </c>
      <c r="AP80" s="8" t="str">
        <f t="shared" si="7"/>
        <v/>
      </c>
      <c r="AQ80" s="451" t="str">
        <f>'Family Map'!H121</f>
        <v/>
      </c>
      <c r="AR80" s="451" t="str">
        <f t="shared" si="8"/>
        <v/>
      </c>
      <c r="AS80" s="8" t="str">
        <f>IFERROR(__xludf.DUMMYFUNCTION("LET(slot,$A80,label,$AM80,raw,$AQ80,resolved,$AR80,isCovered,$AK80&lt;&gt;"""",active,COUNTIF(Setup!$S$6:$S$25,resolved)&gt;0,placeAud,IFERROR(FILTER(IFERROR(LEFT('Strand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"",TRUE,IF(AND($A"&amp;"N80,raw=""""),""⚠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0" s="8" t="str">
        <f t="shared" si="9"/>
        <v/>
      </c>
      <c r="AU80" s="8"/>
      <c r="AV80" s="451" t="str">
        <f t="shared" si="10"/>
        <v>Form V-VI / Science / Nature — Science</v>
      </c>
      <c r="AW80" s="451" t="str">
        <f t="shared" si="11"/>
        <v/>
      </c>
      <c r="AX80" s="8" t="str">
        <f>IFERROR(__xludf.DUMMYFUNCTION("IF($AV80="""","""",IFERROR(TEXTJOIN(CHAR(10),TRUE,FILTER(""row ""&amp;ROW('Strand Placement'!$B$21:$B$89)&amp;"" • ""&amp;IFERROR(LEFT('Strand Placement'!$L$21:$L$89,FIND("" | "",'Strand Placement'!$L$21:$L$89)-1),""""),'Strand Placement'!$B$21:$B$89=$AV80)),""""))"),"")</f>
        <v/>
      </c>
      <c r="AY80" s="8" t="str">
        <f>IFERROR(__xludf.DUMMYFUNCTION("IF($AV80="""","""",IFERROR(TEXTJOIN(CHAR(10),TRUE,FILTER(""row ""&amp;ROW('Student Work'!$C$24:$C$223)&amp;"" • ""&amp;'Student Work'!$A$24:$A$223,'Student Work'!$C$24:$C$223=$AV80)),""""))"),"")</f>
        <v/>
      </c>
      <c r="AZ80" s="8" t="str">
        <f>IFERROR(__xludf.DUMMYFUNCTION("IF($AV80="""","""",IFERROR(TEXTJOIN(CHAR(10),TRUE,FILTER(""row ""&amp;ROW('Resource Planner'!$D$10:$D$69)&amp;"" • ""&amp;'Resource Planner'!$C$10:$C$69,'Resource Planner'!$D$10:$D$69=$AV80)),""""))"),"")</f>
        <v/>
      </c>
      <c r="BA80" s="8" t="str">
        <f t="shared" si="12"/>
        <v>OK</v>
      </c>
    </row>
    <row r="81" ht="15.75" customHeight="1">
      <c r="A81" s="8">
        <v>77.0</v>
      </c>
      <c r="B81" s="451" t="str">
        <f>'Family Map'!B122</f>
        <v>Form V-VI</v>
      </c>
      <c r="C81" s="451" t="str">
        <f>'Family Map'!C122</f>
        <v>Math</v>
      </c>
      <c r="D81" s="451" t="str">
        <f>'Family Map'!D122</f>
        <v>Advanced Math</v>
      </c>
      <c r="E81" s="451" t="str">
        <f>'Family Map'!G122</f>
        <v>Form V-VI / Math — Advanced Math</v>
      </c>
      <c r="F81" s="8" t="str">
        <f t="shared" si="1"/>
        <v/>
      </c>
      <c r="G81" s="8">
        <f>IF(E81="",0,COUNTIF('Strand Placement'!$B:$B,E81))</f>
        <v>0</v>
      </c>
      <c r="H81" s="8" t="str">
        <f t="shared" si="2"/>
        <v>Unplaced</v>
      </c>
      <c r="I81" s="8" t="s">
        <v>717</v>
      </c>
      <c r="J81" s="8" t="str">
        <f t="array" ref="J81">IFERROR(XLOOKUP(B81,Setup!$B$38:$B$44,Setup!$A$38:$A$44),"☑")</f>
        <v>☐</v>
      </c>
      <c r="K81" s="8"/>
      <c r="L81" s="8"/>
      <c r="M81" s="8"/>
      <c r="N81" s="8"/>
      <c r="O81" s="8"/>
      <c r="P81" s="8"/>
      <c r="Q81" s="8"/>
      <c r="R81" s="8"/>
      <c r="S81" s="8" t="s">
        <v>665</v>
      </c>
      <c r="T81" s="8" t="s">
        <v>665</v>
      </c>
      <c r="U81" s="8" t="s">
        <v>665</v>
      </c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>
        <f t="shared" si="4"/>
        <v>77</v>
      </c>
      <c r="AM81" s="451" t="str">
        <f t="shared" si="5"/>
        <v>Form V-VI / Math — Advanced Math</v>
      </c>
      <c r="AN81" s="8" t="b">
        <f>AND(OR('Family Map'!A122=TRUE,'Family Map'!A122="☑",'Family Map'!A122="✓",'Family Map'!A122="✔"),$E81&lt;&gt;"",$J81="☑",$AK81="")</f>
        <v>0</v>
      </c>
      <c r="AO81" s="8" t="str">
        <f t="shared" si="6"/>
        <v/>
      </c>
      <c r="AP81" s="8" t="str">
        <f t="shared" si="7"/>
        <v/>
      </c>
      <c r="AQ81" s="451" t="str">
        <f>'Family Map'!H122</f>
        <v/>
      </c>
      <c r="AR81" s="451" t="str">
        <f t="shared" si="8"/>
        <v/>
      </c>
      <c r="AS81" s="8" t="str">
        <f>IFERROR(__xludf.DUMMYFUNCTION("LET(slot,$A81,label,$AM81,raw,$AQ81,resolved,$AR81,isCovered,$AK81&lt;&gt;"""",active,COUNTIF(Setup!$S$6:$S$25,resolved)&gt;0,placeAud,IFERROR(FILTER(IFERROR(LEFT('Strand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"",TRUE,IF(AND($A"&amp;"N81,raw=""""),""⚠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1" s="8" t="str">
        <f t="shared" si="9"/>
        <v/>
      </c>
      <c r="AU81" s="8"/>
      <c r="AV81" s="451" t="str">
        <f t="shared" si="10"/>
        <v>Form V-VI / Math — Advanced Math</v>
      </c>
      <c r="AW81" s="451" t="str">
        <f t="shared" si="11"/>
        <v/>
      </c>
      <c r="AX81" s="8" t="str">
        <f>IFERROR(__xludf.DUMMYFUNCTION("IF($AV81="""","""",IFERROR(TEXTJOIN(CHAR(10),TRUE,FILTER(""row ""&amp;ROW('Strand Placement'!$B$21:$B$89)&amp;"" • ""&amp;IFERROR(LEFT('Strand Placement'!$L$21:$L$89,FIND("" | "",'Strand Placement'!$L$21:$L$89)-1),""""),'Strand Placement'!$B$21:$B$89=$AV81)),""""))"),"")</f>
        <v/>
      </c>
      <c r="AY81" s="8" t="str">
        <f>IFERROR(__xludf.DUMMYFUNCTION("IF($AV81="""","""",IFERROR(TEXTJOIN(CHAR(10),TRUE,FILTER(""row ""&amp;ROW('Student Work'!$C$24:$C$223)&amp;"" • ""&amp;'Student Work'!$A$24:$A$223,'Student Work'!$C$24:$C$223=$AV81)),""""))"),"")</f>
        <v/>
      </c>
      <c r="AZ81" s="8" t="str">
        <f>IFERROR(__xludf.DUMMYFUNCTION("IF($AV81="""","""",IFERROR(TEXTJOIN(CHAR(10),TRUE,FILTER(""row ""&amp;ROW('Resource Planner'!$D$10:$D$69)&amp;"" • ""&amp;'Resource Planner'!$C$10:$C$69,'Resource Planner'!$D$10:$D$69=$AV81)),""""))"),"")</f>
        <v/>
      </c>
      <c r="BA81" s="8" t="str">
        <f t="shared" si="12"/>
        <v>OK</v>
      </c>
    </row>
    <row r="82" ht="15.75" customHeight="1">
      <c r="A82" s="8">
        <v>78.0</v>
      </c>
      <c r="B82" s="451" t="str">
        <f>'Family Map'!B123</f>
        <v/>
      </c>
      <c r="C82" s="451" t="str">
        <f>'Family Map'!C123</f>
        <v/>
      </c>
      <c r="D82" s="451" t="str">
        <f>'Family Map'!D123</f>
        <v/>
      </c>
      <c r="E82" s="451" t="str">
        <f>'Family Map'!G123</f>
        <v/>
      </c>
      <c r="F82" s="8" t="str">
        <f t="shared" si="1"/>
        <v/>
      </c>
      <c r="G82" s="8">
        <f>IF(E82="",0,COUNTIF('Strand Placement'!$B:$B,E82))</f>
        <v>0</v>
      </c>
      <c r="H82" s="8" t="str">
        <f t="shared" si="2"/>
        <v>Unplaced</v>
      </c>
      <c r="I82" s="8" t="s">
        <v>718</v>
      </c>
      <c r="J82" s="8" t="str">
        <f t="array" ref="J82">IFERROR(XLOOKUP(B82,Setup!$B$38:$B$44,Setup!$A$38:$A$44),"☑")</f>
        <v>☑</v>
      </c>
      <c r="K82" s="8"/>
      <c r="L82" s="8"/>
      <c r="M82" s="8"/>
      <c r="N82" s="8"/>
      <c r="O82" s="8"/>
      <c r="P82" s="8"/>
      <c r="Q82" s="8"/>
      <c r="R82" s="8"/>
      <c r="S82" s="8" t="s">
        <v>665</v>
      </c>
      <c r="T82" s="8" t="s">
        <v>665</v>
      </c>
      <c r="U82" s="8" t="s">
        <v>665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447"/>
      <c r="AL82" s="8">
        <f t="shared" si="4"/>
        <v>78</v>
      </c>
      <c r="AM82" s="451" t="str">
        <f t="shared" si="5"/>
        <v/>
      </c>
      <c r="AN82" s="8" t="b">
        <f>AND(OR('Family Map'!A123=TRUE,'Family Map'!A123="☑",'Family Map'!A123="✓",'Family Map'!A123="✔"),$E82&lt;&gt;"",$J82="☑",$AK82="")</f>
        <v>0</v>
      </c>
      <c r="AO82" s="8" t="str">
        <f t="shared" si="6"/>
        <v/>
      </c>
      <c r="AP82" s="8" t="str">
        <f t="shared" si="7"/>
        <v/>
      </c>
      <c r="AQ82" s="451" t="str">
        <f>'Family Map'!H123</f>
        <v/>
      </c>
      <c r="AR82" s="451" t="str">
        <f t="shared" si="8"/>
        <v/>
      </c>
      <c r="AS82" s="8" t="str">
        <f>IFERROR(__xludf.DUMMYFUNCTION("LET(slot,$A82,label,$AM82,raw,$AQ82,resolved,$AR82,isCovered,$AK82&lt;&gt;"""",active,COUNTIF(Setup!$S$6:$S$25,resolved)&gt;0,placeAud,IFERROR(FILTER(IFERROR(LEFT('Strand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"",TRUE,IF(AND($A"&amp;"N82,raw=""""),""⚠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2" s="8" t="str">
        <f t="shared" si="9"/>
        <v/>
      </c>
      <c r="AU82" s="8"/>
      <c r="AV82" s="8" t="str">
        <f t="shared" si="10"/>
        <v/>
      </c>
      <c r="AW82" s="8" t="str">
        <f t="shared" si="11"/>
        <v/>
      </c>
      <c r="AX82" s="8" t="str">
        <f>IFERROR(__xludf.DUMMYFUNCTION("IF($AV82="""","""",IFERROR(TEXTJOIN(CHAR(10),TRUE,FILTER(""row ""&amp;ROW('Strand Placement'!$B$21:$B$89)&amp;"" • ""&amp;IFERROR(LEFT('Strand Placement'!$L$21:$L$89,FIND("" | "",'Strand Placement'!$L$21:$L$89)-1),""""),'Strand Placement'!$B$21:$B$89=$AV82)),""""))"),"")</f>
        <v/>
      </c>
      <c r="AY82" s="8" t="str">
        <f>IFERROR(__xludf.DUMMYFUNCTION("IF($AV82="""","""",IFERROR(TEXTJOIN(CHAR(10),TRUE,FILTER(""row ""&amp;ROW('Student Work'!$C$24:$C$223)&amp;"" • ""&amp;'Student Work'!$A$24:$A$223,'Student Work'!$C$24:$C$223=$AV82)),""""))"),"")</f>
        <v/>
      </c>
      <c r="AZ82" s="8" t="str">
        <f>IFERROR(__xludf.DUMMYFUNCTION("IF($AV82="""","""",IFERROR(TEXTJOIN(CHAR(10),TRUE,FILTER(""row ""&amp;ROW('Resource Planner'!$D$10:$D$69)&amp;"" • ""&amp;'Resource Planner'!$C$10:$C$69,'Resource Planner'!$D$10:$D$69=$AV82)),""""))"),"")</f>
        <v/>
      </c>
      <c r="BA82" s="8" t="str">
        <f t="shared" si="12"/>
        <v/>
      </c>
    </row>
    <row r="83" ht="15.75" customHeight="1">
      <c r="A83" s="8">
        <v>79.0</v>
      </c>
      <c r="B83" s="451" t="str">
        <f>'Family Map'!B124</f>
        <v/>
      </c>
      <c r="C83" s="451" t="str">
        <f>'Family Map'!C124</f>
        <v/>
      </c>
      <c r="D83" s="451" t="str">
        <f>'Family Map'!D124</f>
        <v/>
      </c>
      <c r="E83" s="451" t="str">
        <f>'Family Map'!G124</f>
        <v/>
      </c>
      <c r="F83" s="8" t="str">
        <f t="shared" si="1"/>
        <v/>
      </c>
      <c r="G83" s="8">
        <f>IF(E83="",0,COUNTIF('Strand Placement'!$B:$B,E83))</f>
        <v>0</v>
      </c>
      <c r="H83" s="8" t="str">
        <f t="shared" si="2"/>
        <v>Unplaced</v>
      </c>
      <c r="I83" s="8" t="s">
        <v>719</v>
      </c>
      <c r="J83" s="8" t="str">
        <f t="array" ref="J83">IFERROR(XLOOKUP(B83,Setup!$B$38:$B$44,Setup!$A$38:$A$44),"☑")</f>
        <v>☑</v>
      </c>
      <c r="K83" s="8"/>
      <c r="L83" s="8"/>
      <c r="M83" s="8"/>
      <c r="N83" s="8"/>
      <c r="O83" s="8"/>
      <c r="P83" s="8"/>
      <c r="Q83" s="8"/>
      <c r="R83" s="8"/>
      <c r="S83" s="8" t="s">
        <v>665</v>
      </c>
      <c r="T83" s="8" t="s">
        <v>665</v>
      </c>
      <c r="U83" s="8" t="s">
        <v>665</v>
      </c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>
        <f t="shared" si="4"/>
        <v>79</v>
      </c>
      <c r="AM83" s="451" t="str">
        <f t="shared" si="5"/>
        <v/>
      </c>
      <c r="AN83" s="8" t="b">
        <f>AND(OR('Family Map'!A124=TRUE,'Family Map'!A124="☑",'Family Map'!A124="✓",'Family Map'!A124="✔"),$E83&lt;&gt;"",$J83="☑",$AK83="")</f>
        <v>0</v>
      </c>
      <c r="AO83" s="8" t="str">
        <f t="shared" si="6"/>
        <v/>
      </c>
      <c r="AP83" s="8" t="str">
        <f t="shared" si="7"/>
        <v/>
      </c>
      <c r="AQ83" s="451" t="str">
        <f>'Family Map'!H124</f>
        <v/>
      </c>
      <c r="AR83" s="451" t="str">
        <f t="shared" si="8"/>
        <v/>
      </c>
      <c r="AS83" s="8" t="str">
        <f>IFERROR(__xludf.DUMMYFUNCTION("LET(slot,$A83,label,$AM83,raw,$AQ83,resolved,$AR83,isCovered,$AK83&lt;&gt;"""",active,COUNTIF(Setup!$S$6:$S$25,resolved)&gt;0,placeAud,IFERROR(FILTER(IFERROR(LEFT('Strand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"",TRUE,IF(AND($A"&amp;"N83,raw=""""),""⚠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3" s="8" t="str">
        <f t="shared" si="9"/>
        <v/>
      </c>
      <c r="AU83" s="8"/>
      <c r="AV83" s="8" t="str">
        <f t="shared" si="10"/>
        <v/>
      </c>
      <c r="AW83" s="8" t="str">
        <f t="shared" si="11"/>
        <v/>
      </c>
      <c r="AX83" s="8" t="str">
        <f>IFERROR(__xludf.DUMMYFUNCTION("IF($AV83="""","""",IFERROR(TEXTJOIN(CHAR(10),TRUE,FILTER(""row ""&amp;ROW('Strand Placement'!$B$21:$B$89)&amp;"" • ""&amp;IFERROR(LEFT('Strand Placement'!$L$21:$L$89,FIND("" | "",'Strand Placement'!$L$21:$L$89)-1),""""),'Strand Placement'!$B$21:$B$89=$AV83)),""""))"),"")</f>
        <v/>
      </c>
      <c r="AY83" s="8" t="str">
        <f>IFERROR(__xludf.DUMMYFUNCTION("IF($AV83="""","""",IFERROR(TEXTJOIN(CHAR(10),TRUE,FILTER(""row ""&amp;ROW('Student Work'!$C$24:$C$223)&amp;"" • ""&amp;'Student Work'!$A$24:$A$223,'Student Work'!$C$24:$C$223=$AV83)),""""))"),"")</f>
        <v/>
      </c>
      <c r="AZ83" s="8" t="str">
        <f>IFERROR(__xludf.DUMMYFUNCTION("IF($AV83="""","""",IFERROR(TEXTJOIN(CHAR(10),TRUE,FILTER(""row ""&amp;ROW('Resource Planner'!$D$10:$D$69)&amp;"" • ""&amp;'Resource Planner'!$C$10:$C$69,'Resource Planner'!$D$10:$D$69=$AV83)),""""))"),"")</f>
        <v/>
      </c>
      <c r="BA83" s="8" t="str">
        <f t="shared" si="12"/>
        <v/>
      </c>
    </row>
    <row r="84" ht="15.75" customHeight="1">
      <c r="A84" s="8">
        <v>80.0</v>
      </c>
      <c r="B84" s="451" t="str">
        <f>'Family Map'!B125</f>
        <v/>
      </c>
      <c r="C84" s="451" t="str">
        <f>'Family Map'!C125</f>
        <v/>
      </c>
      <c r="D84" s="451" t="str">
        <f>'Family Map'!D125</f>
        <v/>
      </c>
      <c r="E84" s="451" t="str">
        <f>'Family Map'!G125</f>
        <v/>
      </c>
      <c r="F84" s="8" t="str">
        <f t="shared" si="1"/>
        <v/>
      </c>
      <c r="G84" s="8">
        <f>IF(E84="",0,COUNTIF('Strand Placement'!$B:$B,E84))</f>
        <v>0</v>
      </c>
      <c r="H84" s="8" t="str">
        <f t="shared" si="2"/>
        <v>Unplaced</v>
      </c>
      <c r="I84" s="8" t="s">
        <v>720</v>
      </c>
      <c r="J84" s="8" t="str">
        <f t="array" ref="J84">IFERROR(XLOOKUP(B84,Setup!$B$38:$B$44,Setup!$A$38:$A$44),"☑")</f>
        <v>☑</v>
      </c>
      <c r="K84" s="8"/>
      <c r="L84" s="8"/>
      <c r="M84" s="8"/>
      <c r="N84" s="8"/>
      <c r="O84" s="8"/>
      <c r="P84" s="8"/>
      <c r="Q84" s="8"/>
      <c r="R84" s="8"/>
      <c r="S84" s="8" t="s">
        <v>665</v>
      </c>
      <c r="T84" s="8" t="s">
        <v>665</v>
      </c>
      <c r="U84" s="8" t="s">
        <v>665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>
        <f t="shared" si="4"/>
        <v>80</v>
      </c>
      <c r="AM84" s="451" t="str">
        <f t="shared" si="5"/>
        <v/>
      </c>
      <c r="AN84" s="8" t="b">
        <f>AND(OR('Family Map'!A125=TRUE,'Family Map'!A125="☑",'Family Map'!A125="✓",'Family Map'!A125="✔"),$E84&lt;&gt;"",$J84="☑",$AK84="")</f>
        <v>0</v>
      </c>
      <c r="AO84" s="8" t="str">
        <f t="shared" si="6"/>
        <v/>
      </c>
      <c r="AP84" s="8" t="str">
        <f t="shared" si="7"/>
        <v/>
      </c>
      <c r="AQ84" s="451" t="str">
        <f>'Family Map'!H125</f>
        <v/>
      </c>
      <c r="AR84" s="451" t="str">
        <f t="shared" si="8"/>
        <v/>
      </c>
      <c r="AS84" s="8" t="str">
        <f>IFERROR(__xludf.DUMMYFUNCTION("LET(slot,$A84,label,$AM84,raw,$AQ84,resolved,$AR84,isCovered,$AK84&lt;&gt;"""",active,COUNTIF(Setup!$S$6:$S$25,resolved)&gt;0,placeAud,IFERROR(FILTER(IFERROR(LEFT('Strand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"",TRUE,IF(AND($A"&amp;"N84,raw=""""),""⚠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4" s="8" t="str">
        <f t="shared" si="9"/>
        <v/>
      </c>
      <c r="AU84" s="8"/>
      <c r="AV84" s="8" t="str">
        <f t="shared" si="10"/>
        <v/>
      </c>
      <c r="AW84" s="8" t="str">
        <f t="shared" si="11"/>
        <v/>
      </c>
      <c r="AX84" s="8" t="str">
        <f>IFERROR(__xludf.DUMMYFUNCTION("IF($AV84="""","""",IFERROR(TEXTJOIN(CHAR(10),TRUE,FILTER(""row ""&amp;ROW('Strand Placement'!$B$21:$B$89)&amp;"" • ""&amp;IFERROR(LEFT('Strand Placement'!$L$21:$L$89,FIND("" | "",'Strand Placement'!$L$21:$L$89)-1),""""),'Strand Placement'!$B$21:$B$89=$AV84)),""""))"),"")</f>
        <v/>
      </c>
      <c r="AY84" s="8" t="str">
        <f>IFERROR(__xludf.DUMMYFUNCTION("IF($AV84="""","""",IFERROR(TEXTJOIN(CHAR(10),TRUE,FILTER(""row ""&amp;ROW('Student Work'!$C$24:$C$223)&amp;"" • ""&amp;'Student Work'!$A$24:$A$223,'Student Work'!$C$24:$C$223=$AV84)),""""))"),"")</f>
        <v/>
      </c>
      <c r="AZ84" s="8" t="str">
        <f>IFERROR(__xludf.DUMMYFUNCTION("IF($AV84="""","""",IFERROR(TEXTJOIN(CHAR(10),TRUE,FILTER(""row ""&amp;ROW('Resource Planner'!$D$10:$D$69)&amp;"" • ""&amp;'Resource Planner'!$C$10:$C$69,'Resource Planner'!$D$10:$D$69=$AV84)),""""))"),"")</f>
        <v/>
      </c>
      <c r="BA84" s="8" t="str">
        <f t="shared" si="12"/>
        <v/>
      </c>
    </row>
    <row r="85" ht="15.75" customHeight="1">
      <c r="A85" s="8">
        <v>81.0</v>
      </c>
      <c r="B85" s="451" t="str">
        <f>'Family Map'!B126</f>
        <v/>
      </c>
      <c r="C85" s="451" t="str">
        <f>'Family Map'!C126</f>
        <v/>
      </c>
      <c r="D85" s="451" t="str">
        <f>'Family Map'!D126</f>
        <v/>
      </c>
      <c r="E85" s="451" t="str">
        <f>'Family Map'!G126</f>
        <v/>
      </c>
      <c r="F85" s="8" t="str">
        <f t="shared" si="1"/>
        <v/>
      </c>
      <c r="G85" s="8">
        <f>IF(E85="",0,COUNTIF('Strand Placement'!$B:$B,E85))</f>
        <v>0</v>
      </c>
      <c r="H85" s="8" t="str">
        <f t="shared" si="2"/>
        <v>Unplaced</v>
      </c>
      <c r="I85" s="8" t="s">
        <v>721</v>
      </c>
      <c r="J85" s="8" t="str">
        <f t="array" ref="J85">IFERROR(XLOOKUP(B85,Setup!$B$38:$B$44,Setup!$A$38:$A$44),"☑")</f>
        <v>☑</v>
      </c>
      <c r="K85" s="8"/>
      <c r="L85" s="8"/>
      <c r="M85" s="8"/>
      <c r="N85" s="8"/>
      <c r="O85" s="8"/>
      <c r="P85" s="8"/>
      <c r="Q85" s="8"/>
      <c r="R85" s="8"/>
      <c r="S85" s="8" t="s">
        <v>665</v>
      </c>
      <c r="T85" s="8" t="s">
        <v>665</v>
      </c>
      <c r="U85" s="8" t="s">
        <v>665</v>
      </c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>
        <f t="shared" si="4"/>
        <v>81</v>
      </c>
      <c r="AM85" s="451" t="str">
        <f t="shared" si="5"/>
        <v/>
      </c>
      <c r="AN85" s="8" t="b">
        <f>AND(OR('Family Map'!A126=TRUE,'Family Map'!A126="☑",'Family Map'!A126="✓",'Family Map'!A126="✔"),$E85&lt;&gt;"",$J85="☑",$AK85="")</f>
        <v>0</v>
      </c>
      <c r="AO85" s="8" t="str">
        <f t="shared" si="6"/>
        <v/>
      </c>
      <c r="AP85" s="8" t="str">
        <f t="shared" si="7"/>
        <v/>
      </c>
      <c r="AQ85" s="451" t="str">
        <f>'Family Map'!H126</f>
        <v/>
      </c>
      <c r="AR85" s="451" t="str">
        <f t="shared" si="8"/>
        <v/>
      </c>
      <c r="AS85" s="8" t="str">
        <f>IFERROR(__xludf.DUMMYFUNCTION("LET(slot,$A85,label,$AM85,raw,$AQ85,resolved,$AR85,isCovered,$AK85&lt;&gt;"""",active,COUNTIF(Setup!$S$6:$S$25,resolved)&gt;0,placeAud,IFERROR(FILTER(IFERROR(LEFT('Strand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"",TRUE,IF(AND($A"&amp;"N85,raw=""""),""⚠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5" s="8" t="str">
        <f t="shared" si="9"/>
        <v/>
      </c>
      <c r="AU85" s="8"/>
      <c r="AV85" s="8" t="str">
        <f t="shared" si="10"/>
        <v/>
      </c>
      <c r="AW85" s="8" t="str">
        <f t="shared" si="11"/>
        <v/>
      </c>
      <c r="AX85" s="8" t="str">
        <f>IFERROR(__xludf.DUMMYFUNCTION("IF($AV85="""","""",IFERROR(TEXTJOIN(CHAR(10),TRUE,FILTER(""row ""&amp;ROW('Strand Placement'!$B$21:$B$89)&amp;"" • ""&amp;IFERROR(LEFT('Strand Placement'!$L$21:$L$89,FIND("" | "",'Strand Placement'!$L$21:$L$89)-1),""""),'Strand Placement'!$B$21:$B$89=$AV85)),""""))"),"")</f>
        <v/>
      </c>
      <c r="AY85" s="8" t="str">
        <f>IFERROR(__xludf.DUMMYFUNCTION("IF($AV85="""","""",IFERROR(TEXTJOIN(CHAR(10),TRUE,FILTER(""row ""&amp;ROW('Student Work'!$C$24:$C$223)&amp;"" • ""&amp;'Student Work'!$A$24:$A$223,'Student Work'!$C$24:$C$223=$AV85)),""""))"),"")</f>
        <v/>
      </c>
      <c r="AZ85" s="8" t="str">
        <f>IFERROR(__xludf.DUMMYFUNCTION("IF($AV85="""","""",IFERROR(TEXTJOIN(CHAR(10),TRUE,FILTER(""row ""&amp;ROW('Resource Planner'!$D$10:$D$69)&amp;"" • ""&amp;'Resource Planner'!$C$10:$C$69,'Resource Planner'!$D$10:$D$69=$AV85)),""""))"),"")</f>
        <v/>
      </c>
      <c r="BA85" s="8" t="str">
        <f t="shared" si="12"/>
        <v/>
      </c>
    </row>
    <row r="86" ht="15.75" customHeight="1">
      <c r="A86" s="8">
        <v>82.0</v>
      </c>
      <c r="B86" s="451" t="str">
        <f>'Family Map'!B127</f>
        <v/>
      </c>
      <c r="C86" s="451" t="str">
        <f>'Family Map'!C127</f>
        <v/>
      </c>
      <c r="D86" s="451" t="str">
        <f>'Family Map'!D127</f>
        <v/>
      </c>
      <c r="E86" s="451" t="str">
        <f>'Family Map'!G127</f>
        <v/>
      </c>
      <c r="F86" s="8" t="str">
        <f t="shared" si="1"/>
        <v/>
      </c>
      <c r="G86" s="8">
        <f>IF(E86="",0,COUNTIF('Strand Placement'!$B:$B,E86))</f>
        <v>0</v>
      </c>
      <c r="H86" s="8" t="str">
        <f t="shared" si="2"/>
        <v>Unplaced</v>
      </c>
      <c r="I86" s="8" t="s">
        <v>722</v>
      </c>
      <c r="J86" s="8" t="str">
        <f t="array" ref="J86">IFERROR(XLOOKUP(B86,Setup!$B$38:$B$44,Setup!$A$38:$A$44),"☑")</f>
        <v>☑</v>
      </c>
      <c r="K86" s="8"/>
      <c r="L86" s="8"/>
      <c r="M86" s="8"/>
      <c r="N86" s="8"/>
      <c r="O86" s="8"/>
      <c r="P86" s="8"/>
      <c r="Q86" s="8"/>
      <c r="R86" s="8"/>
      <c r="S86" s="8" t="s">
        <v>665</v>
      </c>
      <c r="T86" s="8" t="s">
        <v>665</v>
      </c>
      <c r="U86" s="8" t="s">
        <v>665</v>
      </c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>
        <f t="shared" si="4"/>
        <v>82</v>
      </c>
      <c r="AM86" s="451" t="str">
        <f t="shared" si="5"/>
        <v/>
      </c>
      <c r="AN86" s="8" t="b">
        <f>AND(OR('Family Map'!A127=TRUE,'Family Map'!A127="☑",'Family Map'!A127="✓",'Family Map'!A127="✔"),$E86&lt;&gt;"",$J86="☑",$AK86="")</f>
        <v>0</v>
      </c>
      <c r="AO86" s="8" t="str">
        <f t="shared" si="6"/>
        <v/>
      </c>
      <c r="AP86" s="8" t="str">
        <f t="shared" si="7"/>
        <v/>
      </c>
      <c r="AQ86" s="451" t="str">
        <f>'Family Map'!H127</f>
        <v/>
      </c>
      <c r="AR86" s="451" t="str">
        <f t="shared" si="8"/>
        <v/>
      </c>
      <c r="AS86" s="8" t="str">
        <f>IFERROR(__xludf.DUMMYFUNCTION("LET(slot,$A86,label,$AM86,raw,$AQ86,resolved,$AR86,isCovered,$AK86&lt;&gt;"""",active,COUNTIF(Setup!$S$6:$S$25,resolved)&gt;0,placeAud,IFERROR(FILTER(IFERROR(LEFT('Strand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"",TRUE,IF(AND($A"&amp;"N86,raw=""""),""⚠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6" s="8" t="str">
        <f t="shared" si="9"/>
        <v/>
      </c>
      <c r="AU86" s="8"/>
      <c r="AV86" s="8" t="str">
        <f t="shared" si="10"/>
        <v/>
      </c>
      <c r="AW86" s="8" t="str">
        <f t="shared" si="11"/>
        <v/>
      </c>
      <c r="AX86" s="8" t="str">
        <f>IFERROR(__xludf.DUMMYFUNCTION("IF($AV86="""","""",IFERROR(TEXTJOIN(CHAR(10),TRUE,FILTER(""row ""&amp;ROW('Strand Placement'!$B$21:$B$89)&amp;"" • ""&amp;IFERROR(LEFT('Strand Placement'!$L$21:$L$89,FIND("" | "",'Strand Placement'!$L$21:$L$89)-1),""""),'Strand Placement'!$B$21:$B$89=$AV86)),""""))"),"")</f>
        <v/>
      </c>
      <c r="AY86" s="8" t="str">
        <f>IFERROR(__xludf.DUMMYFUNCTION("IF($AV86="""","""",IFERROR(TEXTJOIN(CHAR(10),TRUE,FILTER(""row ""&amp;ROW('Student Work'!$C$24:$C$223)&amp;"" • ""&amp;'Student Work'!$A$24:$A$223,'Student Work'!$C$24:$C$223=$AV86)),""""))"),"")</f>
        <v/>
      </c>
      <c r="AZ86" s="8" t="str">
        <f>IFERROR(__xludf.DUMMYFUNCTION("IF($AV86="""","""",IFERROR(TEXTJOIN(CHAR(10),TRUE,FILTER(""row ""&amp;ROW('Resource Planner'!$D$10:$D$69)&amp;"" • ""&amp;'Resource Planner'!$C$10:$C$69,'Resource Planner'!$D$10:$D$69=$AV86)),""""))"),"")</f>
        <v/>
      </c>
      <c r="BA86" s="8" t="str">
        <f t="shared" si="12"/>
        <v/>
      </c>
    </row>
    <row r="87" ht="15.75" customHeight="1">
      <c r="A87" s="8">
        <v>83.0</v>
      </c>
      <c r="B87" s="451" t="str">
        <f>'Family Map'!B128</f>
        <v/>
      </c>
      <c r="C87" s="451" t="str">
        <f>'Family Map'!C128</f>
        <v/>
      </c>
      <c r="D87" s="451" t="str">
        <f>'Family Map'!D128</f>
        <v/>
      </c>
      <c r="E87" s="451" t="str">
        <f>'Family Map'!G128</f>
        <v/>
      </c>
      <c r="F87" s="8" t="str">
        <f t="shared" si="1"/>
        <v/>
      </c>
      <c r="G87" s="8">
        <f>IF(E87="",0,COUNTIF('Strand Placement'!$B:$B,E87))</f>
        <v>0</v>
      </c>
      <c r="H87" s="8" t="str">
        <f t="shared" si="2"/>
        <v>Unplaced</v>
      </c>
      <c r="I87" s="8" t="s">
        <v>723</v>
      </c>
      <c r="J87" s="8" t="str">
        <f t="array" ref="J87">IFERROR(XLOOKUP(B87,Setup!$B$38:$B$44,Setup!$A$38:$A$44),"☑")</f>
        <v>☑</v>
      </c>
      <c r="K87" s="8"/>
      <c r="L87" s="8"/>
      <c r="M87" s="8"/>
      <c r="N87" s="8"/>
      <c r="O87" s="8"/>
      <c r="P87" s="8"/>
      <c r="Q87" s="8"/>
      <c r="R87" s="8"/>
      <c r="S87" s="8" t="s">
        <v>665</v>
      </c>
      <c r="T87" s="8" t="s">
        <v>665</v>
      </c>
      <c r="U87" s="8" t="s">
        <v>665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>
        <f t="shared" si="4"/>
        <v>83</v>
      </c>
      <c r="AM87" s="451" t="str">
        <f t="shared" si="5"/>
        <v/>
      </c>
      <c r="AN87" s="8" t="b">
        <f>AND(OR('Family Map'!A128=TRUE,'Family Map'!A128="☑",'Family Map'!A128="✓",'Family Map'!A128="✔"),$E87&lt;&gt;"",$J87="☑",$AK87="")</f>
        <v>0</v>
      </c>
      <c r="AO87" s="8" t="str">
        <f t="shared" si="6"/>
        <v/>
      </c>
      <c r="AP87" s="8" t="str">
        <f t="shared" si="7"/>
        <v/>
      </c>
      <c r="AQ87" s="451" t="str">
        <f>'Family Map'!H128</f>
        <v/>
      </c>
      <c r="AR87" s="451" t="str">
        <f t="shared" si="8"/>
        <v/>
      </c>
      <c r="AS87" s="8" t="str">
        <f>IFERROR(__xludf.DUMMYFUNCTION("LET(slot,$A87,label,$AM87,raw,$AQ87,resolved,$AR87,isCovered,$AK87&lt;&gt;"""",active,COUNTIF(Setup!$S$6:$S$25,resolved)&gt;0,placeAud,IFERROR(FILTER(IFERROR(LEFT('Strand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"",TRUE,IF(AND($A"&amp;"N87,raw=""""),""⚠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7" s="8" t="str">
        <f t="shared" si="9"/>
        <v/>
      </c>
      <c r="AU87" s="8"/>
      <c r="AV87" s="8" t="str">
        <f t="shared" si="10"/>
        <v/>
      </c>
      <c r="AW87" s="8" t="str">
        <f t="shared" si="11"/>
        <v/>
      </c>
      <c r="AX87" s="8" t="str">
        <f>IFERROR(__xludf.DUMMYFUNCTION("IF($AV87="""","""",IFERROR(TEXTJOIN(CHAR(10),TRUE,FILTER(""row ""&amp;ROW('Strand Placement'!$B$21:$B$89)&amp;"" • ""&amp;IFERROR(LEFT('Strand Placement'!$L$21:$L$89,FIND("" | "",'Strand Placement'!$L$21:$L$89)-1),""""),'Strand Placement'!$B$21:$B$89=$AV87)),""""))"),"")</f>
        <v/>
      </c>
      <c r="AY87" s="8" t="str">
        <f>IFERROR(__xludf.DUMMYFUNCTION("IF($AV87="""","""",IFERROR(TEXTJOIN(CHAR(10),TRUE,FILTER(""row ""&amp;ROW('Student Work'!$C$24:$C$223)&amp;"" • ""&amp;'Student Work'!$A$24:$A$223,'Student Work'!$C$24:$C$223=$AV87)),""""))"),"")</f>
        <v/>
      </c>
      <c r="AZ87" s="8" t="str">
        <f>IFERROR(__xludf.DUMMYFUNCTION("IF($AV87="""","""",IFERROR(TEXTJOIN(CHAR(10),TRUE,FILTER(""row ""&amp;ROW('Resource Planner'!$D$10:$D$69)&amp;"" • ""&amp;'Resource Planner'!$C$10:$C$69,'Resource Planner'!$D$10:$D$69=$AV87)),""""))"),"")</f>
        <v/>
      </c>
      <c r="BA87" s="8" t="str">
        <f t="shared" si="12"/>
        <v/>
      </c>
    </row>
    <row r="88" ht="15.75" customHeight="1">
      <c r="A88" s="8">
        <v>84.0</v>
      </c>
      <c r="B88" s="451" t="str">
        <f>'Family Map'!B129</f>
        <v/>
      </c>
      <c r="C88" s="451" t="str">
        <f>'Family Map'!C129</f>
        <v/>
      </c>
      <c r="D88" s="451" t="str">
        <f>'Family Map'!D129</f>
        <v/>
      </c>
      <c r="E88" s="451" t="str">
        <f>'Family Map'!G129</f>
        <v/>
      </c>
      <c r="F88" s="8" t="str">
        <f t="shared" si="1"/>
        <v/>
      </c>
      <c r="G88" s="8">
        <f>IF(E88="",0,COUNTIF('Strand Placement'!$B:$B,E88))</f>
        <v>0</v>
      </c>
      <c r="H88" s="8" t="str">
        <f t="shared" si="2"/>
        <v>Unplaced</v>
      </c>
      <c r="I88" s="8" t="s">
        <v>724</v>
      </c>
      <c r="J88" s="8" t="str">
        <f t="array" ref="J88">IFERROR(XLOOKUP(B88,Setup!$B$38:$B$44,Setup!$A$38:$A$44),"☑")</f>
        <v>☑</v>
      </c>
      <c r="K88" s="8"/>
      <c r="L88" s="8"/>
      <c r="M88" s="8"/>
      <c r="N88" s="8"/>
      <c r="O88" s="8"/>
      <c r="P88" s="8"/>
      <c r="Q88" s="8"/>
      <c r="R88" s="8"/>
      <c r="S88" s="8" t="s">
        <v>665</v>
      </c>
      <c r="T88" s="8" t="s">
        <v>665</v>
      </c>
      <c r="U88" s="8" t="s">
        <v>665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>
        <f t="shared" si="4"/>
        <v>84</v>
      </c>
      <c r="AM88" s="451" t="str">
        <f t="shared" si="5"/>
        <v/>
      </c>
      <c r="AN88" s="8" t="b">
        <f>AND(OR('Family Map'!A129=TRUE,'Family Map'!A129="☑",'Family Map'!A129="✓",'Family Map'!A129="✔"),$E88&lt;&gt;"",$J88="☑",$AK88="")</f>
        <v>0</v>
      </c>
      <c r="AO88" s="8" t="str">
        <f t="shared" si="6"/>
        <v/>
      </c>
      <c r="AP88" s="8" t="str">
        <f t="shared" si="7"/>
        <v/>
      </c>
      <c r="AQ88" s="451" t="str">
        <f>'Family Map'!H129</f>
        <v/>
      </c>
      <c r="AR88" s="451" t="str">
        <f t="shared" si="8"/>
        <v/>
      </c>
      <c r="AS88" s="8" t="str">
        <f>IFERROR(__xludf.DUMMYFUNCTION("LET(slot,$A88,label,$AM88,raw,$AQ88,resolved,$AR88,isCovered,$AK88&lt;&gt;"""",active,COUNTIF(Setup!$S$6:$S$25,resolved)&gt;0,placeAud,IFERROR(FILTER(IFERROR(LEFT('Strand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"",TRUE,IF(AND($A"&amp;"N88,raw=""""),""⚠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8" s="8" t="str">
        <f t="shared" si="9"/>
        <v/>
      </c>
      <c r="AU88" s="8"/>
      <c r="AV88" s="8" t="str">
        <f t="shared" si="10"/>
        <v/>
      </c>
      <c r="AW88" s="8" t="str">
        <f t="shared" si="11"/>
        <v/>
      </c>
      <c r="AX88" s="8" t="str">
        <f>IFERROR(__xludf.DUMMYFUNCTION("IF($AV88="""","""",IFERROR(TEXTJOIN(CHAR(10),TRUE,FILTER(""row ""&amp;ROW('Strand Placement'!$B$21:$B$89)&amp;"" • ""&amp;IFERROR(LEFT('Strand Placement'!$L$21:$L$89,FIND("" | "",'Strand Placement'!$L$21:$L$89)-1),""""),'Strand Placement'!$B$21:$B$89=$AV88)),""""))"),"")</f>
        <v/>
      </c>
      <c r="AY88" s="8" t="str">
        <f>IFERROR(__xludf.DUMMYFUNCTION("IF($AV88="""","""",IFERROR(TEXTJOIN(CHAR(10),TRUE,FILTER(""row ""&amp;ROW('Student Work'!$C$24:$C$223)&amp;"" • ""&amp;'Student Work'!$A$24:$A$223,'Student Work'!$C$24:$C$223=$AV88)),""""))"),"")</f>
        <v/>
      </c>
      <c r="AZ88" s="8" t="str">
        <f>IFERROR(__xludf.DUMMYFUNCTION("IF($AV88="""","""",IFERROR(TEXTJOIN(CHAR(10),TRUE,FILTER(""row ""&amp;ROW('Resource Planner'!$D$10:$D$69)&amp;"" • ""&amp;'Resource Planner'!$C$10:$C$69,'Resource Planner'!$D$10:$D$69=$AV88)),""""))"),"")</f>
        <v/>
      </c>
      <c r="BA88" s="8" t="str">
        <f t="shared" si="12"/>
        <v/>
      </c>
    </row>
    <row r="89" ht="15.75" customHeight="1">
      <c r="A89" s="8">
        <v>85.0</v>
      </c>
      <c r="B89" s="451" t="str">
        <f>'Family Map'!B130</f>
        <v/>
      </c>
      <c r="C89" s="451" t="str">
        <f>'Family Map'!C130</f>
        <v/>
      </c>
      <c r="D89" s="451" t="str">
        <f>'Family Map'!D130</f>
        <v/>
      </c>
      <c r="E89" s="451" t="str">
        <f>'Family Map'!G130</f>
        <v/>
      </c>
      <c r="F89" s="8" t="str">
        <f t="shared" si="1"/>
        <v/>
      </c>
      <c r="G89" s="8">
        <f>IF(E89="",0,COUNTIF('Strand Placement'!$B:$B,E89))</f>
        <v>0</v>
      </c>
      <c r="H89" s="8" t="str">
        <f t="shared" si="2"/>
        <v>Unplaced</v>
      </c>
      <c r="I89" s="8" t="s">
        <v>725</v>
      </c>
      <c r="J89" s="8" t="str">
        <f t="array" ref="J89">IFERROR(XLOOKUP(B89,Setup!$B$38:$B$44,Setup!$A$38:$A$44),"☑")</f>
        <v>☑</v>
      </c>
      <c r="K89" s="8"/>
      <c r="L89" s="8"/>
      <c r="M89" s="8"/>
      <c r="N89" s="8"/>
      <c r="O89" s="8"/>
      <c r="P89" s="8"/>
      <c r="Q89" s="8"/>
      <c r="R89" s="8"/>
      <c r="S89" s="8" t="s">
        <v>665</v>
      </c>
      <c r="T89" s="8" t="s">
        <v>665</v>
      </c>
      <c r="U89" s="8" t="s">
        <v>665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>
        <f t="shared" si="4"/>
        <v>85</v>
      </c>
      <c r="AM89" s="451" t="str">
        <f t="shared" si="5"/>
        <v/>
      </c>
      <c r="AN89" s="8" t="b">
        <f>AND(OR('Family Map'!A130=TRUE,'Family Map'!A130="☑",'Family Map'!A130="✓",'Family Map'!A130="✔"),$E89&lt;&gt;"",$J89="☑",$AK89="")</f>
        <v>0</v>
      </c>
      <c r="AO89" s="8" t="str">
        <f t="shared" si="6"/>
        <v/>
      </c>
      <c r="AP89" s="8" t="str">
        <f t="shared" si="7"/>
        <v/>
      </c>
      <c r="AQ89" s="451" t="str">
        <f>'Family Map'!H130</f>
        <v/>
      </c>
      <c r="AR89" s="451" t="str">
        <f t="shared" si="8"/>
        <v/>
      </c>
      <c r="AS89" s="8" t="str">
        <f>IFERROR(__xludf.DUMMYFUNCTION("LET(slot,$A89,label,$AM89,raw,$AQ89,resolved,$AR89,isCovered,$AK89&lt;&gt;"""",active,COUNTIF(Setup!$S$6:$S$25,resolved)&gt;0,placeAud,IFERROR(FILTER(IFERROR(LEFT('Strand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"",TRUE,IF(AND($A"&amp;"N89,raw=""""),""⚠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89" s="8" t="str">
        <f t="shared" si="9"/>
        <v/>
      </c>
      <c r="AU89" s="8"/>
      <c r="AV89" s="8" t="str">
        <f t="shared" si="10"/>
        <v/>
      </c>
      <c r="AW89" s="8" t="str">
        <f t="shared" si="11"/>
        <v/>
      </c>
      <c r="AX89" s="8" t="str">
        <f>IFERROR(__xludf.DUMMYFUNCTION("IF($AV89="""","""",IFERROR(TEXTJOIN(CHAR(10),TRUE,FILTER(""row ""&amp;ROW('Strand Placement'!$B$21:$B$89)&amp;"" • ""&amp;IFERROR(LEFT('Strand Placement'!$L$21:$L$89,FIND("" | "",'Strand Placement'!$L$21:$L$89)-1),""""),'Strand Placement'!$B$21:$B$89=$AV89)),""""))"),"")</f>
        <v/>
      </c>
      <c r="AY89" s="8" t="str">
        <f>IFERROR(__xludf.DUMMYFUNCTION("IF($AV89="""","""",IFERROR(TEXTJOIN(CHAR(10),TRUE,FILTER(""row ""&amp;ROW('Student Work'!$C$24:$C$223)&amp;"" • ""&amp;'Student Work'!$A$24:$A$223,'Student Work'!$C$24:$C$223=$AV89)),""""))"),"")</f>
        <v/>
      </c>
      <c r="AZ89" s="8" t="str">
        <f>IFERROR(__xludf.DUMMYFUNCTION("IF($AV89="""","""",IFERROR(TEXTJOIN(CHAR(10),TRUE,FILTER(""row ""&amp;ROW('Resource Planner'!$D$10:$D$69)&amp;"" • ""&amp;'Resource Planner'!$C$10:$C$69,'Resource Planner'!$D$10:$D$69=$AV89)),""""))"),"")</f>
        <v/>
      </c>
      <c r="BA89" s="8" t="str">
        <f t="shared" si="12"/>
        <v/>
      </c>
    </row>
    <row r="90" ht="15.75" customHeight="1">
      <c r="A90" s="8">
        <v>86.0</v>
      </c>
      <c r="B90" s="451" t="str">
        <f>'Family Map'!B131</f>
        <v/>
      </c>
      <c r="C90" s="451" t="str">
        <f>'Family Map'!C131</f>
        <v/>
      </c>
      <c r="D90" s="451" t="str">
        <f>'Family Map'!D131</f>
        <v/>
      </c>
      <c r="E90" s="451" t="str">
        <f>'Family Map'!G131</f>
        <v/>
      </c>
      <c r="F90" s="8" t="str">
        <f t="shared" si="1"/>
        <v/>
      </c>
      <c r="G90" s="8">
        <f>IF(E90="",0,COUNTIF('Strand Placement'!$B:$B,E90))</f>
        <v>0</v>
      </c>
      <c r="H90" s="8" t="str">
        <f t="shared" si="2"/>
        <v>Unplaced</v>
      </c>
      <c r="I90" s="8" t="s">
        <v>726</v>
      </c>
      <c r="J90" s="8" t="str">
        <f t="array" ref="J90">IFERROR(XLOOKUP(B90,Setup!$B$38:$B$44,Setup!$A$38:$A$44),"☑")</f>
        <v>☑</v>
      </c>
      <c r="K90" s="8"/>
      <c r="L90" s="8"/>
      <c r="M90" s="8"/>
      <c r="N90" s="8"/>
      <c r="O90" s="8"/>
      <c r="P90" s="8"/>
      <c r="Q90" s="8"/>
      <c r="R90" s="8"/>
      <c r="S90" s="8" t="s">
        <v>665</v>
      </c>
      <c r="T90" s="8" t="s">
        <v>665</v>
      </c>
      <c r="U90" s="8" t="s">
        <v>665</v>
      </c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>
        <f t="shared" si="4"/>
        <v>86</v>
      </c>
      <c r="AM90" s="451" t="str">
        <f t="shared" si="5"/>
        <v/>
      </c>
      <c r="AN90" s="8" t="b">
        <f>AND(OR('Family Map'!A131=TRUE,'Family Map'!A131="☑",'Family Map'!A131="✓",'Family Map'!A131="✔"),$E90&lt;&gt;"",$J90="☑",$AK90="")</f>
        <v>0</v>
      </c>
      <c r="AO90" s="8" t="str">
        <f t="shared" si="6"/>
        <v/>
      </c>
      <c r="AP90" s="8" t="str">
        <f t="shared" si="7"/>
        <v/>
      </c>
      <c r="AQ90" s="451" t="str">
        <f>'Family Map'!H131</f>
        <v/>
      </c>
      <c r="AR90" s="451" t="str">
        <f t="shared" si="8"/>
        <v/>
      </c>
      <c r="AS90" s="8" t="str">
        <f>IFERROR(__xludf.DUMMYFUNCTION("LET(slot,$A90,label,$AM90,raw,$AQ90,resolved,$AR90,isCovered,$AK90&lt;&gt;"""",active,COUNTIF(Setup!$S$6:$S$25,resolved)&gt;0,placeAud,IFERROR(FILTER(IFERROR(LEFT('Strand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"",TRUE,IF(AND($A"&amp;"N90,raw=""""),""⚠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0" s="8" t="str">
        <f t="shared" si="9"/>
        <v/>
      </c>
      <c r="AU90" s="8"/>
      <c r="AV90" s="8" t="str">
        <f t="shared" si="10"/>
        <v/>
      </c>
      <c r="AW90" s="8" t="str">
        <f t="shared" si="11"/>
        <v/>
      </c>
      <c r="AX90" s="8" t="str">
        <f>IFERROR(__xludf.DUMMYFUNCTION("IF($AV90="""","""",IFERROR(TEXTJOIN(CHAR(10),TRUE,FILTER(""row ""&amp;ROW('Strand Placement'!$B$21:$B$89)&amp;"" • ""&amp;IFERROR(LEFT('Strand Placement'!$L$21:$L$89,FIND("" | "",'Strand Placement'!$L$21:$L$89)-1),""""),'Strand Placement'!$B$21:$B$89=$AV90)),""""))"),"")</f>
        <v/>
      </c>
      <c r="AY90" s="8" t="str">
        <f>IFERROR(__xludf.DUMMYFUNCTION("IF($AV90="""","""",IFERROR(TEXTJOIN(CHAR(10),TRUE,FILTER(""row ""&amp;ROW('Student Work'!$C$24:$C$223)&amp;"" • ""&amp;'Student Work'!$A$24:$A$223,'Student Work'!$C$24:$C$223=$AV90)),""""))"),"")</f>
        <v/>
      </c>
      <c r="AZ90" s="8" t="str">
        <f>IFERROR(__xludf.DUMMYFUNCTION("IF($AV90="""","""",IFERROR(TEXTJOIN(CHAR(10),TRUE,FILTER(""row ""&amp;ROW('Resource Planner'!$D$10:$D$69)&amp;"" • ""&amp;'Resource Planner'!$C$10:$C$69,'Resource Planner'!$D$10:$D$69=$AV90)),""""))"),"")</f>
        <v/>
      </c>
      <c r="BA90" s="8" t="str">
        <f t="shared" si="12"/>
        <v/>
      </c>
    </row>
    <row r="91" ht="15.75" customHeight="1">
      <c r="A91" s="8">
        <v>87.0</v>
      </c>
      <c r="B91" s="451" t="str">
        <f>'Family Map'!B132</f>
        <v/>
      </c>
      <c r="C91" s="451" t="str">
        <f>'Family Map'!C132</f>
        <v/>
      </c>
      <c r="D91" s="451" t="str">
        <f>'Family Map'!D132</f>
        <v/>
      </c>
      <c r="E91" s="451" t="str">
        <f>'Family Map'!G132</f>
        <v/>
      </c>
      <c r="F91" s="8" t="str">
        <f t="shared" si="1"/>
        <v/>
      </c>
      <c r="G91" s="8">
        <f>IF(E91="",0,COUNTIF('Strand Placement'!$B:$B,E91))</f>
        <v>0</v>
      </c>
      <c r="H91" s="8" t="str">
        <f t="shared" si="2"/>
        <v>Unplaced</v>
      </c>
      <c r="I91" s="8" t="s">
        <v>727</v>
      </c>
      <c r="J91" s="8" t="str">
        <f t="array" ref="J91">IFERROR(XLOOKUP(B91,Setup!$B$38:$B$44,Setup!$A$38:$A$44),"☑")</f>
        <v>☑</v>
      </c>
      <c r="K91" s="8"/>
      <c r="L91" s="8"/>
      <c r="M91" s="8"/>
      <c r="N91" s="8"/>
      <c r="O91" s="8"/>
      <c r="P91" s="8"/>
      <c r="Q91" s="8"/>
      <c r="R91" s="8"/>
      <c r="S91" s="8" t="s">
        <v>665</v>
      </c>
      <c r="T91" s="8" t="s">
        <v>665</v>
      </c>
      <c r="U91" s="8" t="s">
        <v>665</v>
      </c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>
        <f t="shared" si="4"/>
        <v>87</v>
      </c>
      <c r="AM91" s="451" t="str">
        <f t="shared" si="5"/>
        <v/>
      </c>
      <c r="AN91" s="8" t="b">
        <f>AND(OR('Family Map'!A132=TRUE,'Family Map'!A132="☑",'Family Map'!A132="✓",'Family Map'!A132="✔"),$E91&lt;&gt;"",$J91="☑",$AK91="")</f>
        <v>0</v>
      </c>
      <c r="AO91" s="8" t="str">
        <f t="shared" si="6"/>
        <v/>
      </c>
      <c r="AP91" s="8" t="str">
        <f t="shared" si="7"/>
        <v/>
      </c>
      <c r="AQ91" s="451" t="str">
        <f>'Family Map'!H132</f>
        <v/>
      </c>
      <c r="AR91" s="451" t="str">
        <f t="shared" si="8"/>
        <v/>
      </c>
      <c r="AS91" s="8" t="str">
        <f>IFERROR(__xludf.DUMMYFUNCTION("LET(slot,$A91,label,$AM91,raw,$AQ91,resolved,$AR91,isCovered,$AK91&lt;&gt;"""",active,COUNTIF(Setup!$S$6:$S$25,resolved)&gt;0,placeAud,IFERROR(FILTER(IFERROR(LEFT('Strand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"",TRUE,IF(AND($A"&amp;"N91,raw=""""),""⚠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1" s="8" t="str">
        <f t="shared" si="9"/>
        <v/>
      </c>
      <c r="AU91" s="8"/>
      <c r="AV91" s="8" t="str">
        <f t="shared" si="10"/>
        <v/>
      </c>
      <c r="AW91" s="8" t="str">
        <f t="shared" si="11"/>
        <v/>
      </c>
      <c r="AX91" s="8" t="str">
        <f>IFERROR(__xludf.DUMMYFUNCTION("IF($AV91="""","""",IFERROR(TEXTJOIN(CHAR(10),TRUE,FILTER(""row ""&amp;ROW('Strand Placement'!$B$21:$B$89)&amp;"" • ""&amp;IFERROR(LEFT('Strand Placement'!$L$21:$L$89,FIND("" | "",'Strand Placement'!$L$21:$L$89)-1),""""),'Strand Placement'!$B$21:$B$89=$AV91)),""""))"),"")</f>
        <v/>
      </c>
      <c r="AY91" s="8" t="str">
        <f>IFERROR(__xludf.DUMMYFUNCTION("IF($AV91="""","""",IFERROR(TEXTJOIN(CHAR(10),TRUE,FILTER(""row ""&amp;ROW('Student Work'!$C$24:$C$223)&amp;"" • ""&amp;'Student Work'!$A$24:$A$223,'Student Work'!$C$24:$C$223=$AV91)),""""))"),"")</f>
        <v/>
      </c>
      <c r="AZ91" s="8" t="str">
        <f>IFERROR(__xludf.DUMMYFUNCTION("IF($AV91="""","""",IFERROR(TEXTJOIN(CHAR(10),TRUE,FILTER(""row ""&amp;ROW('Resource Planner'!$D$10:$D$69)&amp;"" • ""&amp;'Resource Planner'!$C$10:$C$69,'Resource Planner'!$D$10:$D$69=$AV91)),""""))"),"")</f>
        <v/>
      </c>
      <c r="BA91" s="8" t="str">
        <f t="shared" si="12"/>
        <v/>
      </c>
    </row>
    <row r="92" ht="15.75" customHeight="1">
      <c r="A92" s="8">
        <v>88.0</v>
      </c>
      <c r="B92" s="451" t="str">
        <f>'Family Map'!B133</f>
        <v/>
      </c>
      <c r="C92" s="451" t="str">
        <f>'Family Map'!C133</f>
        <v/>
      </c>
      <c r="D92" s="451" t="str">
        <f>'Family Map'!D133</f>
        <v/>
      </c>
      <c r="E92" s="451" t="str">
        <f>'Family Map'!G133</f>
        <v/>
      </c>
      <c r="F92" s="8" t="str">
        <f t="shared" si="1"/>
        <v/>
      </c>
      <c r="G92" s="8">
        <f>IF(E92="",0,COUNTIF('Strand Placement'!$B:$B,E92))</f>
        <v>0</v>
      </c>
      <c r="H92" s="8" t="str">
        <f t="shared" si="2"/>
        <v>Unplaced</v>
      </c>
      <c r="I92" s="8" t="s">
        <v>728</v>
      </c>
      <c r="J92" s="8" t="str">
        <f t="array" ref="J92">IFERROR(XLOOKUP(B92,Setup!$B$38:$B$44,Setup!$A$38:$A$44),"☑")</f>
        <v>☑</v>
      </c>
      <c r="K92" s="8"/>
      <c r="L92" s="8"/>
      <c r="M92" s="8"/>
      <c r="N92" s="8"/>
      <c r="O92" s="8"/>
      <c r="P92" s="8"/>
      <c r="Q92" s="8"/>
      <c r="R92" s="8"/>
      <c r="S92" s="8" t="s">
        <v>665</v>
      </c>
      <c r="T92" s="8" t="s">
        <v>665</v>
      </c>
      <c r="U92" s="8" t="s">
        <v>665</v>
      </c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>
        <f t="shared" si="4"/>
        <v>88</v>
      </c>
      <c r="AM92" s="451" t="str">
        <f t="shared" si="5"/>
        <v/>
      </c>
      <c r="AN92" s="8" t="b">
        <f>AND(OR('Family Map'!A133=TRUE,'Family Map'!A133="☑",'Family Map'!A133="✓",'Family Map'!A133="✔"),$E92&lt;&gt;"",$J92="☑",$AK92="")</f>
        <v>0</v>
      </c>
      <c r="AO92" s="8" t="str">
        <f t="shared" si="6"/>
        <v/>
      </c>
      <c r="AP92" s="8" t="str">
        <f t="shared" si="7"/>
        <v/>
      </c>
      <c r="AQ92" s="451" t="str">
        <f>'Family Map'!H133</f>
        <v/>
      </c>
      <c r="AR92" s="451" t="str">
        <f t="shared" si="8"/>
        <v/>
      </c>
      <c r="AS92" s="8" t="str">
        <f>IFERROR(__xludf.DUMMYFUNCTION("LET(slot,$A92,label,$AM92,raw,$AQ92,resolved,$AR92,isCovered,$AK92&lt;&gt;"""",active,COUNTIF(Setup!$S$6:$S$25,resolved)&gt;0,placeAud,IFERROR(FILTER(IFERROR(LEFT('Strand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"",TRUE,IF(AND($A"&amp;"N92,raw=""""),""⚠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2" s="8" t="str">
        <f t="shared" si="9"/>
        <v/>
      </c>
      <c r="AU92" s="8"/>
      <c r="AV92" s="8" t="str">
        <f t="shared" si="10"/>
        <v/>
      </c>
      <c r="AW92" s="8" t="str">
        <f t="shared" si="11"/>
        <v/>
      </c>
      <c r="AX92" s="8" t="str">
        <f>IFERROR(__xludf.DUMMYFUNCTION("IF($AV92="""","""",IFERROR(TEXTJOIN(CHAR(10),TRUE,FILTER(""row ""&amp;ROW('Strand Placement'!$B$21:$B$89)&amp;"" • ""&amp;IFERROR(LEFT('Strand Placement'!$L$21:$L$89,FIND("" | "",'Strand Placement'!$L$21:$L$89)-1),""""),'Strand Placement'!$B$21:$B$89=$AV92)),""""))"),"")</f>
        <v/>
      </c>
      <c r="AY92" s="8" t="str">
        <f>IFERROR(__xludf.DUMMYFUNCTION("IF($AV92="""","""",IFERROR(TEXTJOIN(CHAR(10),TRUE,FILTER(""row ""&amp;ROW('Student Work'!$C$24:$C$223)&amp;"" • ""&amp;'Student Work'!$A$24:$A$223,'Student Work'!$C$24:$C$223=$AV92)),""""))"),"")</f>
        <v/>
      </c>
      <c r="AZ92" s="8" t="str">
        <f>IFERROR(__xludf.DUMMYFUNCTION("IF($AV92="""","""",IFERROR(TEXTJOIN(CHAR(10),TRUE,FILTER(""row ""&amp;ROW('Resource Planner'!$D$10:$D$69)&amp;"" • ""&amp;'Resource Planner'!$C$10:$C$69,'Resource Planner'!$D$10:$D$69=$AV92)),""""))"),"")</f>
        <v/>
      </c>
      <c r="BA92" s="8" t="str">
        <f t="shared" si="12"/>
        <v/>
      </c>
    </row>
    <row r="93" ht="15.75" customHeight="1">
      <c r="A93" s="8">
        <v>89.0</v>
      </c>
      <c r="B93" s="451" t="str">
        <f>'Family Map'!B134</f>
        <v/>
      </c>
      <c r="C93" s="451" t="str">
        <f>'Family Map'!C134</f>
        <v/>
      </c>
      <c r="D93" s="451" t="str">
        <f>'Family Map'!D134</f>
        <v/>
      </c>
      <c r="E93" s="451" t="str">
        <f>'Family Map'!G134</f>
        <v/>
      </c>
      <c r="F93" s="8" t="str">
        <f t="shared" si="1"/>
        <v/>
      </c>
      <c r="G93" s="8">
        <f>IF(E93="",0,COUNTIF('Strand Placement'!$B:$B,E93))</f>
        <v>0</v>
      </c>
      <c r="H93" s="8" t="str">
        <f t="shared" si="2"/>
        <v>Unplaced</v>
      </c>
      <c r="I93" s="8" t="s">
        <v>729</v>
      </c>
      <c r="J93" s="8" t="str">
        <f t="array" ref="J93">IFERROR(XLOOKUP(B93,Setup!$B$38:$B$44,Setup!$A$38:$A$44),"☑")</f>
        <v>☑</v>
      </c>
      <c r="K93" s="8"/>
      <c r="L93" s="8"/>
      <c r="M93" s="8"/>
      <c r="N93" s="8"/>
      <c r="O93" s="8"/>
      <c r="P93" s="8"/>
      <c r="Q93" s="8"/>
      <c r="R93" s="8"/>
      <c r="S93" s="8" t="s">
        <v>665</v>
      </c>
      <c r="T93" s="8" t="s">
        <v>665</v>
      </c>
      <c r="U93" s="8" t="s">
        <v>665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>
        <f t="shared" si="4"/>
        <v>89</v>
      </c>
      <c r="AM93" s="451" t="str">
        <f t="shared" si="5"/>
        <v/>
      </c>
      <c r="AN93" s="8" t="b">
        <f>AND(OR('Family Map'!A134=TRUE,'Family Map'!A134="☑",'Family Map'!A134="✓",'Family Map'!A134="✔"),$E93&lt;&gt;"",$J93="☑",$AK93="")</f>
        <v>0</v>
      </c>
      <c r="AO93" s="8" t="str">
        <f t="shared" si="6"/>
        <v/>
      </c>
      <c r="AP93" s="8" t="str">
        <f t="shared" si="7"/>
        <v/>
      </c>
      <c r="AQ93" s="451" t="str">
        <f>'Family Map'!H134</f>
        <v/>
      </c>
      <c r="AR93" s="451" t="str">
        <f t="shared" si="8"/>
        <v/>
      </c>
      <c r="AS93" s="8" t="str">
        <f>IFERROR(__xludf.DUMMYFUNCTION("LET(slot,$A93,label,$AM93,raw,$AQ93,resolved,$AR93,isCovered,$AK93&lt;&gt;"""",active,COUNTIF(Setup!$S$6:$S$25,resolved)&gt;0,placeAud,IFERROR(FILTER(IFERROR(LEFT('Strand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"",TRUE,IF(AND($A"&amp;"N93,raw=""""),""⚠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3" s="8" t="str">
        <f t="shared" si="9"/>
        <v/>
      </c>
      <c r="AU93" s="8"/>
      <c r="AV93" s="8" t="str">
        <f t="shared" si="10"/>
        <v/>
      </c>
      <c r="AW93" s="8" t="str">
        <f t="shared" si="11"/>
        <v/>
      </c>
      <c r="AX93" s="8" t="str">
        <f>IFERROR(__xludf.DUMMYFUNCTION("IF($AV93="""","""",IFERROR(TEXTJOIN(CHAR(10),TRUE,FILTER(""row ""&amp;ROW('Strand Placement'!$B$21:$B$89)&amp;"" • ""&amp;IFERROR(LEFT('Strand Placement'!$L$21:$L$89,FIND("" | "",'Strand Placement'!$L$21:$L$89)-1),""""),'Strand Placement'!$B$21:$B$89=$AV93)),""""))"),"")</f>
        <v/>
      </c>
      <c r="AY93" s="8" t="str">
        <f>IFERROR(__xludf.DUMMYFUNCTION("IF($AV93="""","""",IFERROR(TEXTJOIN(CHAR(10),TRUE,FILTER(""row ""&amp;ROW('Student Work'!$C$24:$C$223)&amp;"" • ""&amp;'Student Work'!$A$24:$A$223,'Student Work'!$C$24:$C$223=$AV93)),""""))"),"")</f>
        <v/>
      </c>
      <c r="AZ93" s="8" t="str">
        <f>IFERROR(__xludf.DUMMYFUNCTION("IF($AV93="""","""",IFERROR(TEXTJOIN(CHAR(10),TRUE,FILTER(""row ""&amp;ROW('Resource Planner'!$D$10:$D$69)&amp;"" • ""&amp;'Resource Planner'!$C$10:$C$69,'Resource Planner'!$D$10:$D$69=$AV93)),""""))"),"")</f>
        <v/>
      </c>
      <c r="BA93" s="8" t="str">
        <f t="shared" si="12"/>
        <v/>
      </c>
    </row>
    <row r="94" ht="15.75" customHeight="1">
      <c r="A94" s="8">
        <v>90.0</v>
      </c>
      <c r="B94" s="451" t="str">
        <f>'Family Map'!B135</f>
        <v/>
      </c>
      <c r="C94" s="451" t="str">
        <f>'Family Map'!C135</f>
        <v/>
      </c>
      <c r="D94" s="451" t="str">
        <f>'Family Map'!D135</f>
        <v/>
      </c>
      <c r="E94" s="451" t="str">
        <f>'Family Map'!G135</f>
        <v/>
      </c>
      <c r="F94" s="8" t="str">
        <f t="shared" si="1"/>
        <v/>
      </c>
      <c r="G94" s="8">
        <f>IF(E94="",0,COUNTIF('Strand Placement'!$B:$B,E94))</f>
        <v>0</v>
      </c>
      <c r="H94" s="8" t="str">
        <f t="shared" si="2"/>
        <v>Unplaced</v>
      </c>
      <c r="I94" s="8" t="s">
        <v>730</v>
      </c>
      <c r="J94" s="8" t="str">
        <f t="array" ref="J94">IFERROR(XLOOKUP(B94,Setup!$B$38:$B$44,Setup!$A$38:$A$44),"☑")</f>
        <v>☑</v>
      </c>
      <c r="K94" s="8"/>
      <c r="L94" s="8"/>
      <c r="M94" s="8"/>
      <c r="N94" s="8"/>
      <c r="O94" s="8"/>
      <c r="P94" s="8"/>
      <c r="Q94" s="8"/>
      <c r="R94" s="8"/>
      <c r="S94" s="8" t="s">
        <v>665</v>
      </c>
      <c r="T94" s="8" t="s">
        <v>665</v>
      </c>
      <c r="U94" s="8" t="s">
        <v>665</v>
      </c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>
        <f t="shared" si="4"/>
        <v>90</v>
      </c>
      <c r="AM94" s="451" t="str">
        <f t="shared" si="5"/>
        <v/>
      </c>
      <c r="AN94" s="8" t="b">
        <f>AND(OR('Family Map'!A135=TRUE,'Family Map'!A135="☑",'Family Map'!A135="✓",'Family Map'!A135="✔"),$E94&lt;&gt;"",$J94="☑",$AK94="")</f>
        <v>0</v>
      </c>
      <c r="AO94" s="8" t="str">
        <f t="shared" si="6"/>
        <v/>
      </c>
      <c r="AP94" s="8" t="str">
        <f t="shared" si="7"/>
        <v/>
      </c>
      <c r="AQ94" s="451" t="str">
        <f>'Family Map'!H135</f>
        <v/>
      </c>
      <c r="AR94" s="451" t="str">
        <f t="shared" si="8"/>
        <v/>
      </c>
      <c r="AS94" s="8" t="str">
        <f>IFERROR(__xludf.DUMMYFUNCTION("LET(slot,$A94,label,$AM94,raw,$AQ94,resolved,$AR94,isCovered,$AK94&lt;&gt;"""",active,COUNTIF(Setup!$S$6:$S$25,resolved)&gt;0,placeAud,IFERROR(FILTER(IFERROR(LEFT('Strand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"",TRUE,IF(AND($A"&amp;"N94,raw=""""),""⚠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4" s="8" t="str">
        <f t="shared" si="9"/>
        <v/>
      </c>
      <c r="AU94" s="8"/>
      <c r="AV94" s="8" t="str">
        <f t="shared" si="10"/>
        <v/>
      </c>
      <c r="AW94" s="8" t="str">
        <f t="shared" si="11"/>
        <v/>
      </c>
      <c r="AX94" s="8" t="str">
        <f>IFERROR(__xludf.DUMMYFUNCTION("IF($AV94="""","""",IFERROR(TEXTJOIN(CHAR(10),TRUE,FILTER(""row ""&amp;ROW('Strand Placement'!$B$21:$B$89)&amp;"" • ""&amp;IFERROR(LEFT('Strand Placement'!$L$21:$L$89,FIND("" | "",'Strand Placement'!$L$21:$L$89)-1),""""),'Strand Placement'!$B$21:$B$89=$AV94)),""""))"),"")</f>
        <v/>
      </c>
      <c r="AY94" s="8" t="str">
        <f>IFERROR(__xludf.DUMMYFUNCTION("IF($AV94="""","""",IFERROR(TEXTJOIN(CHAR(10),TRUE,FILTER(""row ""&amp;ROW('Student Work'!$C$24:$C$223)&amp;"" • ""&amp;'Student Work'!$A$24:$A$223,'Student Work'!$C$24:$C$223=$AV94)),""""))"),"")</f>
        <v/>
      </c>
      <c r="AZ94" s="8" t="str">
        <f>IFERROR(__xludf.DUMMYFUNCTION("IF($AV94="""","""",IFERROR(TEXTJOIN(CHAR(10),TRUE,FILTER(""row ""&amp;ROW('Resource Planner'!$D$10:$D$69)&amp;"" • ""&amp;'Resource Planner'!$C$10:$C$69,'Resource Planner'!$D$10:$D$69=$AV94)),""""))"),"")</f>
        <v/>
      </c>
      <c r="BA94" s="8" t="str">
        <f t="shared" si="12"/>
        <v/>
      </c>
    </row>
    <row r="95" ht="15.75" customHeight="1">
      <c r="A95" s="8">
        <v>91.0</v>
      </c>
      <c r="B95" s="451" t="str">
        <f>'Family Map'!B136</f>
        <v/>
      </c>
      <c r="C95" s="451" t="str">
        <f>'Family Map'!C136</f>
        <v/>
      </c>
      <c r="D95" s="451" t="str">
        <f>'Family Map'!D136</f>
        <v/>
      </c>
      <c r="E95" s="451" t="str">
        <f>'Family Map'!G136</f>
        <v/>
      </c>
      <c r="F95" s="8" t="str">
        <f t="shared" si="1"/>
        <v/>
      </c>
      <c r="G95" s="8">
        <f>IF(E95="",0,COUNTIF('Strand Placement'!$B:$B,E95))</f>
        <v>0</v>
      </c>
      <c r="H95" s="8" t="str">
        <f t="shared" si="2"/>
        <v>Unplaced</v>
      </c>
      <c r="I95" s="8" t="s">
        <v>731</v>
      </c>
      <c r="J95" s="8" t="str">
        <f t="array" ref="J95">IFERROR(XLOOKUP(B95,Setup!$B$38:$B$44,Setup!$A$38:$A$44),"☑")</f>
        <v>☑</v>
      </c>
      <c r="K95" s="8"/>
      <c r="L95" s="8"/>
      <c r="M95" s="8"/>
      <c r="N95" s="8"/>
      <c r="O95" s="8"/>
      <c r="P95" s="8"/>
      <c r="Q95" s="8"/>
      <c r="R95" s="8"/>
      <c r="S95" s="8" t="s">
        <v>665</v>
      </c>
      <c r="T95" s="8" t="s">
        <v>665</v>
      </c>
      <c r="U95" s="8" t="s">
        <v>665</v>
      </c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>
        <f t="shared" si="4"/>
        <v>91</v>
      </c>
      <c r="AM95" s="451" t="str">
        <f t="shared" si="5"/>
        <v/>
      </c>
      <c r="AN95" s="8" t="b">
        <f>AND(OR('Family Map'!A136=TRUE,'Family Map'!A136="☑",'Family Map'!A136="✓",'Family Map'!A136="✔"),$E95&lt;&gt;"",$J95="☑",$AK95="")</f>
        <v>0</v>
      </c>
      <c r="AO95" s="8" t="str">
        <f t="shared" si="6"/>
        <v/>
      </c>
      <c r="AP95" s="8" t="str">
        <f t="shared" si="7"/>
        <v/>
      </c>
      <c r="AQ95" s="451" t="str">
        <f>'Family Map'!H136</f>
        <v/>
      </c>
      <c r="AR95" s="451" t="str">
        <f t="shared" si="8"/>
        <v/>
      </c>
      <c r="AS95" s="8" t="str">
        <f>IFERROR(__xludf.DUMMYFUNCTION("LET(slot,$A95,label,$AM95,raw,$AQ95,resolved,$AR95,isCovered,$AK95&lt;&gt;"""",active,COUNTIF(Setup!$S$6:$S$25,resolved)&gt;0,placeAud,IFERROR(FILTER(IFERROR(LEFT('Strand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"",TRUE,IF(AND($A"&amp;"N95,raw=""""),""⚠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5" s="8" t="str">
        <f t="shared" si="9"/>
        <v/>
      </c>
      <c r="AU95" s="8"/>
      <c r="AV95" s="8" t="str">
        <f t="shared" si="10"/>
        <v/>
      </c>
      <c r="AW95" s="8" t="str">
        <f t="shared" si="11"/>
        <v/>
      </c>
      <c r="AX95" s="8" t="str">
        <f>IFERROR(__xludf.DUMMYFUNCTION("IF($AV95="""","""",IFERROR(TEXTJOIN(CHAR(10),TRUE,FILTER(""row ""&amp;ROW('Strand Placement'!$B$21:$B$89)&amp;"" • ""&amp;IFERROR(LEFT('Strand Placement'!$L$21:$L$89,FIND("" | "",'Strand Placement'!$L$21:$L$89)-1),""""),'Strand Placement'!$B$21:$B$89=$AV95)),""""))"),"")</f>
        <v/>
      </c>
      <c r="AY95" s="8" t="str">
        <f>IFERROR(__xludf.DUMMYFUNCTION("IF($AV95="""","""",IFERROR(TEXTJOIN(CHAR(10),TRUE,FILTER(""row ""&amp;ROW('Student Work'!$C$24:$C$223)&amp;"" • ""&amp;'Student Work'!$A$24:$A$223,'Student Work'!$C$24:$C$223=$AV95)),""""))"),"")</f>
        <v/>
      </c>
      <c r="AZ95" s="8" t="str">
        <f>IFERROR(__xludf.DUMMYFUNCTION("IF($AV95="""","""",IFERROR(TEXTJOIN(CHAR(10),TRUE,FILTER(""row ""&amp;ROW('Resource Planner'!$D$10:$D$69)&amp;"" • ""&amp;'Resource Planner'!$C$10:$C$69,'Resource Planner'!$D$10:$D$69=$AV95)),""""))"),"")</f>
        <v/>
      </c>
      <c r="BA95" s="8" t="str">
        <f t="shared" si="12"/>
        <v/>
      </c>
    </row>
    <row r="96" ht="15.75" customHeight="1">
      <c r="A96" s="8">
        <v>92.0</v>
      </c>
      <c r="B96" s="451" t="str">
        <f>'Family Map'!B137</f>
        <v/>
      </c>
      <c r="C96" s="451" t="str">
        <f>'Family Map'!C137</f>
        <v/>
      </c>
      <c r="D96" s="451" t="str">
        <f>'Family Map'!D137</f>
        <v/>
      </c>
      <c r="E96" s="451" t="str">
        <f>'Family Map'!G137</f>
        <v/>
      </c>
      <c r="F96" s="8" t="str">
        <f t="shared" si="1"/>
        <v/>
      </c>
      <c r="G96" s="8">
        <f>IF(E96="",0,COUNTIF('Strand Placement'!$B:$B,E96))</f>
        <v>0</v>
      </c>
      <c r="H96" s="8" t="str">
        <f t="shared" si="2"/>
        <v>Unplaced</v>
      </c>
      <c r="I96" s="8" t="s">
        <v>732</v>
      </c>
      <c r="J96" s="8" t="str">
        <f t="array" ref="J96">IFERROR(XLOOKUP(B96,Setup!$B$38:$B$44,Setup!$A$38:$A$44),"☑")</f>
        <v>☑</v>
      </c>
      <c r="K96" s="8"/>
      <c r="L96" s="8"/>
      <c r="M96" s="8"/>
      <c r="N96" s="8"/>
      <c r="O96" s="8"/>
      <c r="P96" s="8"/>
      <c r="Q96" s="8"/>
      <c r="R96" s="8"/>
      <c r="S96" s="8" t="s">
        <v>665</v>
      </c>
      <c r="T96" s="8" t="s">
        <v>665</v>
      </c>
      <c r="U96" s="8" t="s">
        <v>665</v>
      </c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>
        <f t="shared" si="4"/>
        <v>92</v>
      </c>
      <c r="AM96" s="451" t="str">
        <f t="shared" si="5"/>
        <v/>
      </c>
      <c r="AN96" s="8" t="b">
        <f>AND(OR('Family Map'!A137=TRUE,'Family Map'!A137="☑",'Family Map'!A137="✓",'Family Map'!A137="✔"),$E96&lt;&gt;"",$J96="☑",$AK96="")</f>
        <v>0</v>
      </c>
      <c r="AO96" s="8" t="str">
        <f t="shared" si="6"/>
        <v/>
      </c>
      <c r="AP96" s="8" t="str">
        <f t="shared" si="7"/>
        <v/>
      </c>
      <c r="AQ96" s="451" t="str">
        <f>'Family Map'!H137</f>
        <v/>
      </c>
      <c r="AR96" s="451" t="str">
        <f t="shared" si="8"/>
        <v/>
      </c>
      <c r="AS96" s="8" t="str">
        <f>IFERROR(__xludf.DUMMYFUNCTION("LET(slot,$A96,label,$AM96,raw,$AQ96,resolved,$AR96,isCovered,$AK96&lt;&gt;"""",active,COUNTIF(Setup!$S$6:$S$25,resolved)&gt;0,placeAud,IFERROR(FILTER(IFERROR(LEFT('Strand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"",TRUE,IF(AND($A"&amp;"N96,raw=""""),""⚠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6" s="8" t="str">
        <f t="shared" si="9"/>
        <v/>
      </c>
      <c r="AU96" s="8"/>
      <c r="AV96" s="8" t="str">
        <f t="shared" si="10"/>
        <v/>
      </c>
      <c r="AW96" s="8" t="str">
        <f t="shared" si="11"/>
        <v/>
      </c>
      <c r="AX96" s="8" t="str">
        <f>IFERROR(__xludf.DUMMYFUNCTION("IF($AV96="""","""",IFERROR(TEXTJOIN(CHAR(10),TRUE,FILTER(""row ""&amp;ROW('Strand Placement'!$B$21:$B$89)&amp;"" • ""&amp;IFERROR(LEFT('Strand Placement'!$L$21:$L$89,FIND("" | "",'Strand Placement'!$L$21:$L$89)-1),""""),'Strand Placement'!$B$21:$B$89=$AV96)),""""))"),"")</f>
        <v/>
      </c>
      <c r="AY96" s="8" t="str">
        <f>IFERROR(__xludf.DUMMYFUNCTION("IF($AV96="""","""",IFERROR(TEXTJOIN(CHAR(10),TRUE,FILTER(""row ""&amp;ROW('Student Work'!$C$24:$C$223)&amp;"" • ""&amp;'Student Work'!$A$24:$A$223,'Student Work'!$C$24:$C$223=$AV96)),""""))"),"")</f>
        <v/>
      </c>
      <c r="AZ96" s="8" t="str">
        <f>IFERROR(__xludf.DUMMYFUNCTION("IF($AV96="""","""",IFERROR(TEXTJOIN(CHAR(10),TRUE,FILTER(""row ""&amp;ROW('Resource Planner'!$D$10:$D$69)&amp;"" • ""&amp;'Resource Planner'!$C$10:$C$69,'Resource Planner'!$D$10:$D$69=$AV96)),""""))"),"")</f>
        <v/>
      </c>
      <c r="BA96" s="8" t="str">
        <f t="shared" si="12"/>
        <v/>
      </c>
    </row>
    <row r="97" ht="15.75" customHeight="1">
      <c r="A97" s="8">
        <v>93.0</v>
      </c>
      <c r="B97" s="451" t="str">
        <f>'Family Map'!B138</f>
        <v/>
      </c>
      <c r="C97" s="451" t="str">
        <f>'Family Map'!C138</f>
        <v/>
      </c>
      <c r="D97" s="451" t="str">
        <f>'Family Map'!D138</f>
        <v/>
      </c>
      <c r="E97" s="451" t="str">
        <f>'Family Map'!G138</f>
        <v/>
      </c>
      <c r="F97" s="8" t="str">
        <f t="shared" si="1"/>
        <v/>
      </c>
      <c r="G97" s="8">
        <f>IF(E97="",0,COUNTIF('Strand Placement'!$B:$B,E97))</f>
        <v>0</v>
      </c>
      <c r="H97" s="8" t="str">
        <f t="shared" si="2"/>
        <v>Unplaced</v>
      </c>
      <c r="I97" s="8" t="s">
        <v>733</v>
      </c>
      <c r="J97" s="8" t="str">
        <f t="array" ref="J97">IFERROR(XLOOKUP(B97,Setup!$B$38:$B$44,Setup!$A$38:$A$44),"☑")</f>
        <v>☑</v>
      </c>
      <c r="K97" s="8"/>
      <c r="L97" s="8"/>
      <c r="M97" s="8"/>
      <c r="N97" s="8"/>
      <c r="O97" s="8"/>
      <c r="P97" s="8"/>
      <c r="Q97" s="8"/>
      <c r="R97" s="8"/>
      <c r="S97" s="8" t="s">
        <v>665</v>
      </c>
      <c r="T97" s="8" t="s">
        <v>665</v>
      </c>
      <c r="U97" s="8" t="s">
        <v>665</v>
      </c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>
        <f t="shared" si="4"/>
        <v>93</v>
      </c>
      <c r="AM97" s="451" t="str">
        <f t="shared" si="5"/>
        <v/>
      </c>
      <c r="AN97" s="8" t="b">
        <f>AND(OR('Family Map'!A138=TRUE,'Family Map'!A138="☑",'Family Map'!A138="✓",'Family Map'!A138="✔"),$E97&lt;&gt;"",$J97="☑",$AK97="")</f>
        <v>0</v>
      </c>
      <c r="AO97" s="8" t="str">
        <f t="shared" si="6"/>
        <v/>
      </c>
      <c r="AP97" s="8" t="str">
        <f t="shared" si="7"/>
        <v/>
      </c>
      <c r="AQ97" s="451" t="str">
        <f>'Family Map'!H138</f>
        <v/>
      </c>
      <c r="AR97" s="451" t="str">
        <f t="shared" si="8"/>
        <v/>
      </c>
      <c r="AS97" s="8" t="str">
        <f>IFERROR(__xludf.DUMMYFUNCTION("LET(slot,$A97,label,$AM97,raw,$AQ97,resolved,$AR97,isCovered,$AK97&lt;&gt;"""",active,COUNTIF(Setup!$S$6:$S$25,resolved)&gt;0,placeAud,IFERROR(FILTER(IFERROR(LEFT('Strand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"",TRUE,IF(AND($A"&amp;"N97,raw=""""),""⚠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7" s="8" t="str">
        <f t="shared" si="9"/>
        <v/>
      </c>
      <c r="AU97" s="8"/>
      <c r="AV97" s="8" t="str">
        <f t="shared" si="10"/>
        <v/>
      </c>
      <c r="AW97" s="8" t="str">
        <f t="shared" si="11"/>
        <v/>
      </c>
      <c r="AX97" s="8" t="str">
        <f>IFERROR(__xludf.DUMMYFUNCTION("IF($AV97="""","""",IFERROR(TEXTJOIN(CHAR(10),TRUE,FILTER(""row ""&amp;ROW('Strand Placement'!$B$21:$B$89)&amp;"" • ""&amp;IFERROR(LEFT('Strand Placement'!$L$21:$L$89,FIND("" | "",'Strand Placement'!$L$21:$L$89)-1),""""),'Strand Placement'!$B$21:$B$89=$AV97)),""""))"),"")</f>
        <v/>
      </c>
      <c r="AY97" s="8" t="str">
        <f>IFERROR(__xludf.DUMMYFUNCTION("IF($AV97="""","""",IFERROR(TEXTJOIN(CHAR(10),TRUE,FILTER(""row ""&amp;ROW('Student Work'!$C$24:$C$223)&amp;"" • ""&amp;'Student Work'!$A$24:$A$223,'Student Work'!$C$24:$C$223=$AV97)),""""))"),"")</f>
        <v/>
      </c>
      <c r="AZ97" s="8" t="str">
        <f>IFERROR(__xludf.DUMMYFUNCTION("IF($AV97="""","""",IFERROR(TEXTJOIN(CHAR(10),TRUE,FILTER(""row ""&amp;ROW('Resource Planner'!$D$10:$D$69)&amp;"" • ""&amp;'Resource Planner'!$C$10:$C$69,'Resource Planner'!$D$10:$D$69=$AV97)),""""))"),"")</f>
        <v/>
      </c>
      <c r="BA97" s="8" t="str">
        <f t="shared" si="12"/>
        <v/>
      </c>
    </row>
    <row r="98" ht="15.75" customHeight="1">
      <c r="A98" s="8">
        <v>94.0</v>
      </c>
      <c r="B98" s="451" t="str">
        <f>'Family Map'!B139</f>
        <v/>
      </c>
      <c r="C98" s="451" t="str">
        <f>'Family Map'!C139</f>
        <v/>
      </c>
      <c r="D98" s="451" t="str">
        <f>'Family Map'!D139</f>
        <v/>
      </c>
      <c r="E98" s="451" t="str">
        <f>'Family Map'!G139</f>
        <v/>
      </c>
      <c r="F98" s="8" t="str">
        <f t="shared" si="1"/>
        <v/>
      </c>
      <c r="G98" s="8">
        <f>IF(E98="",0,COUNTIF('Strand Placement'!$B:$B,E98))</f>
        <v>0</v>
      </c>
      <c r="H98" s="8" t="str">
        <f t="shared" si="2"/>
        <v>Unplaced</v>
      </c>
      <c r="I98" s="8" t="s">
        <v>734</v>
      </c>
      <c r="J98" s="8" t="str">
        <f t="array" ref="J98">IFERROR(XLOOKUP(B98,Setup!$B$38:$B$44,Setup!$A$38:$A$44),"☑")</f>
        <v>☑</v>
      </c>
      <c r="K98" s="8"/>
      <c r="L98" s="8"/>
      <c r="M98" s="8"/>
      <c r="N98" s="8"/>
      <c r="O98" s="8"/>
      <c r="P98" s="8"/>
      <c r="Q98" s="8"/>
      <c r="R98" s="8"/>
      <c r="S98" s="8" t="s">
        <v>665</v>
      </c>
      <c r="T98" s="8" t="s">
        <v>665</v>
      </c>
      <c r="U98" s="8" t="s">
        <v>665</v>
      </c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>
        <f t="shared" si="4"/>
        <v>94</v>
      </c>
      <c r="AM98" s="451" t="str">
        <f t="shared" si="5"/>
        <v/>
      </c>
      <c r="AN98" s="8" t="b">
        <f>AND(OR('Family Map'!A139=TRUE,'Family Map'!A139="☑",'Family Map'!A139="✓",'Family Map'!A139="✔"),$E98&lt;&gt;"",$J98="☑",$AK98="")</f>
        <v>0</v>
      </c>
      <c r="AO98" s="8" t="str">
        <f t="shared" si="6"/>
        <v/>
      </c>
      <c r="AP98" s="8" t="str">
        <f t="shared" si="7"/>
        <v/>
      </c>
      <c r="AQ98" s="451" t="str">
        <f>'Family Map'!H139</f>
        <v/>
      </c>
      <c r="AR98" s="451" t="str">
        <f t="shared" si="8"/>
        <v/>
      </c>
      <c r="AS98" s="8" t="str">
        <f>IFERROR(__xludf.DUMMYFUNCTION("LET(slot,$A98,label,$AM98,raw,$AQ98,resolved,$AR98,isCovered,$AK98&lt;&gt;"""",active,COUNTIF(Setup!$S$6:$S$25,resolved)&gt;0,placeAud,IFERROR(FILTER(IFERROR(LEFT('Strand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"",TRUE,IF(AND($A"&amp;"N98,raw=""""),""⚠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8" s="8" t="str">
        <f t="shared" si="9"/>
        <v/>
      </c>
      <c r="AU98" s="8"/>
      <c r="AV98" s="8" t="str">
        <f t="shared" si="10"/>
        <v/>
      </c>
      <c r="AW98" s="8" t="str">
        <f t="shared" si="11"/>
        <v/>
      </c>
      <c r="AX98" s="8" t="str">
        <f>IFERROR(__xludf.DUMMYFUNCTION("IF($AV98="""","""",IFERROR(TEXTJOIN(CHAR(10),TRUE,FILTER(""row ""&amp;ROW('Strand Placement'!$B$21:$B$89)&amp;"" • ""&amp;IFERROR(LEFT('Strand Placement'!$L$21:$L$89,FIND("" | "",'Strand Placement'!$L$21:$L$89)-1),""""),'Strand Placement'!$B$21:$B$89=$AV98)),""""))"),"")</f>
        <v/>
      </c>
      <c r="AY98" s="8" t="str">
        <f>IFERROR(__xludf.DUMMYFUNCTION("IF($AV98="""","""",IFERROR(TEXTJOIN(CHAR(10),TRUE,FILTER(""row ""&amp;ROW('Student Work'!$C$24:$C$223)&amp;"" • ""&amp;'Student Work'!$A$24:$A$223,'Student Work'!$C$24:$C$223=$AV98)),""""))"),"")</f>
        <v/>
      </c>
      <c r="AZ98" s="8" t="str">
        <f>IFERROR(__xludf.DUMMYFUNCTION("IF($AV98="""","""",IFERROR(TEXTJOIN(CHAR(10),TRUE,FILTER(""row ""&amp;ROW('Resource Planner'!$D$10:$D$69)&amp;"" • ""&amp;'Resource Planner'!$C$10:$C$69,'Resource Planner'!$D$10:$D$69=$AV98)),""""))"),"")</f>
        <v/>
      </c>
      <c r="BA98" s="8" t="str">
        <f t="shared" si="12"/>
        <v/>
      </c>
    </row>
    <row r="99" ht="15.75" customHeight="1">
      <c r="A99" s="8">
        <v>95.0</v>
      </c>
      <c r="B99" s="451" t="str">
        <f>'Family Map'!B140</f>
        <v/>
      </c>
      <c r="C99" s="451" t="str">
        <f>'Family Map'!C140</f>
        <v/>
      </c>
      <c r="D99" s="451" t="str">
        <f>'Family Map'!D140</f>
        <v/>
      </c>
      <c r="E99" s="451" t="str">
        <f>'Family Map'!G140</f>
        <v/>
      </c>
      <c r="F99" s="8" t="str">
        <f t="shared" si="1"/>
        <v/>
      </c>
      <c r="G99" s="8">
        <f>IF(E99="",0,COUNTIF('Strand Placement'!$B:$B,E99))</f>
        <v>0</v>
      </c>
      <c r="H99" s="8" t="str">
        <f t="shared" si="2"/>
        <v>Unplaced</v>
      </c>
      <c r="I99" s="8" t="s">
        <v>735</v>
      </c>
      <c r="J99" s="8" t="str">
        <f t="array" ref="J99">IFERROR(XLOOKUP(B99,Setup!$B$38:$B$44,Setup!$A$38:$A$44),"☑")</f>
        <v>☑</v>
      </c>
      <c r="K99" s="8"/>
      <c r="L99" s="8"/>
      <c r="M99" s="8"/>
      <c r="N99" s="8"/>
      <c r="O99" s="8"/>
      <c r="P99" s="8"/>
      <c r="Q99" s="8"/>
      <c r="R99" s="8"/>
      <c r="S99" s="8" t="s">
        <v>665</v>
      </c>
      <c r="T99" s="8" t="s">
        <v>665</v>
      </c>
      <c r="U99" s="8" t="s">
        <v>665</v>
      </c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>
        <f t="shared" si="4"/>
        <v>95</v>
      </c>
      <c r="AM99" s="451" t="str">
        <f t="shared" si="5"/>
        <v/>
      </c>
      <c r="AN99" s="8" t="b">
        <f>AND(OR('Family Map'!A140=TRUE,'Family Map'!A140="☑",'Family Map'!A140="✓",'Family Map'!A140="✔"),$E99&lt;&gt;"",$J99="☑",$AK99="")</f>
        <v>0</v>
      </c>
      <c r="AO99" s="8" t="str">
        <f t="shared" si="6"/>
        <v/>
      </c>
      <c r="AP99" s="8" t="str">
        <f t="shared" si="7"/>
        <v/>
      </c>
      <c r="AQ99" s="451" t="str">
        <f>'Family Map'!H140</f>
        <v/>
      </c>
      <c r="AR99" s="451" t="str">
        <f t="shared" si="8"/>
        <v/>
      </c>
      <c r="AS99" s="8" t="str">
        <f>IFERROR(__xludf.DUMMYFUNCTION("LET(slot,$A99,label,$AM99,raw,$AQ99,resolved,$AR99,isCovered,$AK99&lt;&gt;"""",active,COUNTIF(Setup!$S$6:$S$25,resolved)&gt;0,placeAud,IFERROR(FILTER(IFERROR(LEFT('Strand Placement'!$L$21:$L$89,FIND("" | "",'Strand Placement'!$L$21:$L$89)-1),""""),'Strand Placemen"&amp;"t'!$B$21:$B$89=label),""""),studentAud,IFERROR(FILTER('Student Work'!$C$17:$C$223,'Student Work'!$D$17:$D$223=label),""""),resourceAud,IFERROR(FILTER('Resource Planner'!$E$11:$E$71,'Resource Planner'!$D$11:$D$71=label),""""),TEXTJOIN(""; "",TRUE,IF(AND($A"&amp;"N99,raw=""""),""⚠ active standalone/keeper has no Who / Group"",""""),IF(AND(isCovered,resolved=""""),""⚠ covered row’s keeper has no Who / Group"",""""),IF(AND(resolved&lt;&gt;"""",NOT(active)),""⚠ selected audience is inactive"",""""),IF(AND(isCovered,raw&lt;&gt;"""&amp;""",raw&lt;&gt;resolved),""⚠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disagrees"",""""),IF(AND(resolved&lt;&gt;"""",SUM(--((studentAud&lt;&gt;"""")*("&amp;"studentAud&lt;&gt;resolved)))&gt;0),""⚠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99" s="8" t="str">
        <f t="shared" si="9"/>
        <v/>
      </c>
      <c r="AU99" s="8"/>
      <c r="AV99" s="8" t="str">
        <f t="shared" si="10"/>
        <v/>
      </c>
      <c r="AW99" s="8" t="str">
        <f t="shared" si="11"/>
        <v/>
      </c>
      <c r="AX99" s="8" t="str">
        <f>IFERROR(__xludf.DUMMYFUNCTION("IF($AV99="""","""",IFERROR(TEXTJOIN(CHAR(10),TRUE,FILTER(""row ""&amp;ROW('Strand Placement'!$B$21:$B$89)&amp;"" • ""&amp;IFERROR(LEFT('Strand Placement'!$L$21:$L$89,FIND("" | "",'Strand Placement'!$L$21:$L$89)-1),""""),'Strand Placement'!$B$21:$B$89=$AV99)),""""))"),"")</f>
        <v/>
      </c>
      <c r="AY99" s="8" t="str">
        <f>IFERROR(__xludf.DUMMYFUNCTION("IF($AV99="""","""",IFERROR(TEXTJOIN(CHAR(10),TRUE,FILTER(""row ""&amp;ROW('Student Work'!$C$24:$C$223)&amp;"" • ""&amp;'Student Work'!$A$24:$A$223,'Student Work'!$C$24:$C$223=$AV99)),""""))"),"")</f>
        <v/>
      </c>
      <c r="AZ99" s="8" t="str">
        <f>IFERROR(__xludf.DUMMYFUNCTION("IF($AV99="""","""",IFERROR(TEXTJOIN(CHAR(10),TRUE,FILTER(""row ""&amp;ROW('Resource Planner'!$D$10:$D$69)&amp;"" • ""&amp;'Resource Planner'!$C$10:$C$69,'Resource Planner'!$D$10:$D$69=$AV99)),""""))"),"")</f>
        <v/>
      </c>
      <c r="BA99" s="8" t="str">
        <f t="shared" si="12"/>
        <v/>
      </c>
    </row>
    <row r="100" ht="15.75" customHeight="1">
      <c r="A100" s="8">
        <v>96.0</v>
      </c>
      <c r="B100" s="451" t="str">
        <f>'Family Map'!B141</f>
        <v/>
      </c>
      <c r="C100" s="451" t="str">
        <f>'Family Map'!C141</f>
        <v/>
      </c>
      <c r="D100" s="451" t="str">
        <f>'Family Map'!D141</f>
        <v/>
      </c>
      <c r="E100" s="451" t="str">
        <f>'Family Map'!G141</f>
        <v/>
      </c>
      <c r="F100" s="8" t="str">
        <f t="shared" si="1"/>
        <v/>
      </c>
      <c r="G100" s="8">
        <f>IF(E100="",0,COUNTIF('Strand Placement'!$B:$B,E100))</f>
        <v>0</v>
      </c>
      <c r="H100" s="8" t="str">
        <f t="shared" si="2"/>
        <v>Unplaced</v>
      </c>
      <c r="I100" s="8" t="s">
        <v>736</v>
      </c>
      <c r="J100" s="8" t="str">
        <f t="array" ref="J100">IFERROR(XLOOKUP(B100,Setup!$B$38:$B$44,Setup!$A$38:$A$44),"☑")</f>
        <v>☑</v>
      </c>
      <c r="K100" s="8"/>
      <c r="L100" s="8"/>
      <c r="M100" s="8"/>
      <c r="N100" s="8"/>
      <c r="O100" s="8"/>
      <c r="P100" s="8"/>
      <c r="Q100" s="8"/>
      <c r="R100" s="8"/>
      <c r="S100" s="8" t="s">
        <v>665</v>
      </c>
      <c r="T100" s="8" t="s">
        <v>665</v>
      </c>
      <c r="U100" s="8" t="s">
        <v>665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>
        <f t="shared" si="4"/>
        <v>96</v>
      </c>
      <c r="AM100" s="451" t="str">
        <f t="shared" si="5"/>
        <v/>
      </c>
      <c r="AN100" s="8" t="b">
        <f>AND(OR('Family Map'!A141=TRUE,'Family Map'!A141="☑",'Family Map'!A141="✓",'Family Map'!A141="✔"),$E100&lt;&gt;"",$J100="☑",$AK100="")</f>
        <v>0</v>
      </c>
      <c r="AO100" s="8" t="str">
        <f t="shared" si="6"/>
        <v/>
      </c>
      <c r="AP100" s="8" t="str">
        <f t="shared" si="7"/>
        <v/>
      </c>
      <c r="AQ100" s="451" t="str">
        <f>'Family Map'!H141</f>
        <v/>
      </c>
      <c r="AR100" s="451" t="str">
        <f t="shared" si="8"/>
        <v/>
      </c>
      <c r="AS100" s="8" t="str">
        <f>IFERROR(__xludf.DUMMYFUNCTION("LET(slot,$A100,label,$AM100,raw,$AQ100,resolved,$AR100,isCovered,$AK100&lt;&gt;"""",active,COUNTIF(Setup!$S$6:$S$25,resolved)&gt;0,placeAud,IFERROR(FILTER(IFERROR(LEFT('Strand Placement'!$L$21:$L$89,FIND("" | "",'Strand Placement'!$L$21:$L$89)-1),""""),'Strand Pla"&amp;"cement'!$B$21:$B$89=label),""""),studentAud,IFERROR(FILTER('Student Work'!$C$17:$C$223,'Student Work'!$D$17:$D$223=label),""""),resourceAud,IFERROR(FILTER('Resource Planner'!$E$11:$E$71,'Resource Planner'!$D$11:$D$71=label),""""),TEXTJOIN(""; "",TRUE,IF(A"&amp;"ND($AN100,raw=""""),""⚠ active standalone/keeper has no Who / Group"",""""),IF(AND(isCovered,resolved=""""),""⚠ covered row’s keeper has no Who / Group"",""""),IF(AND(resolved&lt;&gt;"""",NOT(active)),""⚠ selected audience is inactive"",""""),IF(AND(isCovered,r"&amp;"aw&lt;&gt;"""",raw&lt;&gt;resolved),""⚠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disagrees"",""""),IF(AND(resolved&lt;&gt;"""",SUM(--((studentAud&lt;&gt;"&amp;""""")*(studentAud&lt;&gt;resolved)))&gt;0),""⚠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100" s="8" t="str">
        <f t="shared" si="9"/>
        <v/>
      </c>
      <c r="AU100" s="8"/>
      <c r="AV100" s="8" t="str">
        <f t="shared" si="10"/>
        <v/>
      </c>
      <c r="AW100" s="8" t="str">
        <f t="shared" si="11"/>
        <v/>
      </c>
      <c r="AX100" s="8" t="str">
        <f>IFERROR(__xludf.DUMMYFUNCTION("IF($AV100="""","""",IFERROR(TEXTJOIN(CHAR(10),TRUE,FILTER(""row ""&amp;ROW('Strand Placement'!$B$21:$B$89)&amp;"" • ""&amp;IFERROR(LEFT('Strand Placement'!$L$21:$L$89,FIND("" | "",'Strand Placement'!$L$21:$L$89)-1),""""),'Strand Placement'!$B$21:$B$89=$AV100)),""""))"),"")</f>
        <v/>
      </c>
      <c r="AY100" s="8" t="str">
        <f>IFERROR(__xludf.DUMMYFUNCTION("IF($AV100="""","""",IFERROR(TEXTJOIN(CHAR(10),TRUE,FILTER(""row ""&amp;ROW('Student Work'!$C$24:$C$223)&amp;"" • ""&amp;'Student Work'!$A$24:$A$223,'Student Work'!$C$24:$C$223=$AV100)),""""))"),"")</f>
        <v/>
      </c>
      <c r="AZ100" s="8" t="str">
        <f>IFERROR(__xludf.DUMMYFUNCTION("IF($AV100="""","""",IFERROR(TEXTJOIN(CHAR(10),TRUE,FILTER(""row ""&amp;ROW('Resource Planner'!$D$10:$D$69)&amp;"" • ""&amp;'Resource Planner'!$C$10:$C$69,'Resource Planner'!$D$10:$D$69=$AV100)),""""))"),"")</f>
        <v/>
      </c>
      <c r="BA100" s="8" t="str">
        <f t="shared" si="12"/>
        <v/>
      </c>
    </row>
    <row r="101" ht="15.75" customHeight="1">
      <c r="A101" s="8">
        <v>97.0</v>
      </c>
      <c r="B101" s="451" t="str">
        <f>'Family Map'!B142</f>
        <v/>
      </c>
      <c r="C101" s="451" t="str">
        <f>'Family Map'!C142</f>
        <v/>
      </c>
      <c r="D101" s="451" t="str">
        <f>'Family Map'!D142</f>
        <v/>
      </c>
      <c r="E101" s="451" t="str">
        <f>'Family Map'!G142</f>
        <v/>
      </c>
      <c r="F101" s="8" t="str">
        <f t="shared" si="1"/>
        <v/>
      </c>
      <c r="G101" s="8">
        <f>IF(E101="",0,COUNTIF('Strand Placement'!$B:$B,E101))</f>
        <v>0</v>
      </c>
      <c r="H101" s="8" t="str">
        <f t="shared" si="2"/>
        <v>Unplaced</v>
      </c>
      <c r="I101" s="8" t="s">
        <v>737</v>
      </c>
      <c r="J101" s="8" t="str">
        <f t="array" ref="J101">IFERROR(XLOOKUP(B101,Setup!$B$38:$B$44,Setup!$A$38:$A$44),"☑")</f>
        <v>☑</v>
      </c>
      <c r="K101" s="8"/>
      <c r="L101" s="8"/>
      <c r="M101" s="8"/>
      <c r="N101" s="8"/>
      <c r="O101" s="8"/>
      <c r="P101" s="8"/>
      <c r="Q101" s="8"/>
      <c r="R101" s="8"/>
      <c r="S101" s="8" t="s">
        <v>665</v>
      </c>
      <c r="T101" s="8" t="s">
        <v>665</v>
      </c>
      <c r="U101" s="8" t="s">
        <v>665</v>
      </c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>
        <f t="shared" si="4"/>
        <v>97</v>
      </c>
      <c r="AM101" s="451" t="str">
        <f t="shared" si="5"/>
        <v/>
      </c>
      <c r="AN101" s="8" t="b">
        <f>AND(OR('Family Map'!A142=TRUE,'Family Map'!A142="☑",'Family Map'!A142="✓",'Family Map'!A142="✔"),$E101&lt;&gt;"",$J101="☑",$AK101="")</f>
        <v>0</v>
      </c>
      <c r="AO101" s="8" t="str">
        <f t="shared" si="6"/>
        <v/>
      </c>
      <c r="AP101" s="8" t="str">
        <f t="shared" si="7"/>
        <v/>
      </c>
      <c r="AQ101" s="451" t="str">
        <f>'Family Map'!H142</f>
        <v/>
      </c>
      <c r="AR101" s="451" t="str">
        <f t="shared" si="8"/>
        <v/>
      </c>
      <c r="AS101" s="8" t="str">
        <f>IFERROR(__xludf.DUMMYFUNCTION("LET(slot,$A101,label,$AM101,raw,$AQ101,resolved,$AR101,isCovered,$AK101&lt;&gt;"""",active,COUNTIF(Setup!$S$6:$S$25,resolved)&gt;0,placeAud,IFERROR(FILTER(IFERROR(LEFT('Strand Placement'!$L$21:$L$89,FIND("" | "",'Strand Placement'!$L$21:$L$89)-1),""""),'Strand Pla"&amp;"cement'!$B$21:$B$89=label),""""),studentAud,IFERROR(FILTER('Student Work'!$C$17:$C$223,'Student Work'!$D$17:$D$223=label),""""),resourceAud,IFERROR(FILTER('Resource Planner'!$E$11:$E$71,'Resource Planner'!$D$11:$D$71=label),""""),TEXTJOIN(""; "",TRUE,IF(A"&amp;"ND($AN101,raw=""""),""⚠ active standalone/keeper has no Who / Group"",""""),IF(AND(isCovered,resolved=""""),""⚠ covered row’s keeper has no Who / Group"",""""),IF(AND(resolved&lt;&gt;"""",NOT(active)),""⚠ selected audience is inactive"",""""),IF(AND(isCovered,r"&amp;"aw&lt;&gt;"""",raw&lt;&gt;resolved),""⚠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disagrees"",""""),IF(AND(resolved&lt;&gt;"""",SUM(--((studentAud&lt;&gt;"&amp;""""")*(studentAud&lt;&gt;resolved)))&gt;0),""⚠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101" s="8" t="str">
        <f t="shared" si="9"/>
        <v/>
      </c>
      <c r="AU101" s="8"/>
      <c r="AV101" s="8" t="str">
        <f t="shared" si="10"/>
        <v/>
      </c>
      <c r="AW101" s="8" t="str">
        <f t="shared" si="11"/>
        <v/>
      </c>
      <c r="AX101" s="8" t="str">
        <f>IFERROR(__xludf.DUMMYFUNCTION("IF($AV101="""","""",IFERROR(TEXTJOIN(CHAR(10),TRUE,FILTER(""row ""&amp;ROW('Strand Placement'!$B$21:$B$89)&amp;"" • ""&amp;IFERROR(LEFT('Strand Placement'!$L$21:$L$89,FIND("" | "",'Strand Placement'!$L$21:$L$89)-1),""""),'Strand Placement'!$B$21:$B$89=$AV101)),""""))"),"")</f>
        <v/>
      </c>
      <c r="AY101" s="8" t="str">
        <f>IFERROR(__xludf.DUMMYFUNCTION("IF($AV101="""","""",IFERROR(TEXTJOIN(CHAR(10),TRUE,FILTER(""row ""&amp;ROW('Student Work'!$C$24:$C$223)&amp;"" • ""&amp;'Student Work'!$A$24:$A$223,'Student Work'!$C$24:$C$223=$AV101)),""""))"),"")</f>
        <v/>
      </c>
      <c r="AZ101" s="8" t="str">
        <f>IFERROR(__xludf.DUMMYFUNCTION("IF($AV101="""","""",IFERROR(TEXTJOIN(CHAR(10),TRUE,FILTER(""row ""&amp;ROW('Resource Planner'!$D$10:$D$69)&amp;"" • ""&amp;'Resource Planner'!$C$10:$C$69,'Resource Planner'!$D$10:$D$69=$AV101)),""""))"),"")</f>
        <v/>
      </c>
      <c r="BA101" s="8" t="str">
        <f t="shared" si="12"/>
        <v/>
      </c>
    </row>
    <row r="102" ht="15.75" customHeight="1">
      <c r="A102" s="8">
        <v>98.0</v>
      </c>
      <c r="B102" s="451" t="str">
        <f>'Family Map'!B143</f>
        <v/>
      </c>
      <c r="C102" s="451" t="str">
        <f>'Family Map'!C143</f>
        <v/>
      </c>
      <c r="D102" s="451" t="str">
        <f>'Family Map'!D143</f>
        <v/>
      </c>
      <c r="E102" s="451" t="str">
        <f>'Family Map'!G143</f>
        <v/>
      </c>
      <c r="F102" s="8" t="str">
        <f t="shared" si="1"/>
        <v/>
      </c>
      <c r="G102" s="8">
        <f>IF(E102="",0,COUNTIF('Strand Placement'!$B:$B,E102))</f>
        <v>0</v>
      </c>
      <c r="H102" s="8" t="str">
        <f t="shared" si="2"/>
        <v>Unplaced</v>
      </c>
      <c r="I102" s="8" t="s">
        <v>738</v>
      </c>
      <c r="J102" s="8" t="str">
        <f t="array" ref="J102">IFERROR(XLOOKUP(B102,Setup!$B$38:$B$44,Setup!$A$38:$A$44),"☑")</f>
        <v>☑</v>
      </c>
      <c r="K102" s="8"/>
      <c r="L102" s="8"/>
      <c r="M102" s="8"/>
      <c r="N102" s="8"/>
      <c r="O102" s="8"/>
      <c r="P102" s="8"/>
      <c r="Q102" s="8"/>
      <c r="R102" s="8"/>
      <c r="S102" s="8" t="s">
        <v>665</v>
      </c>
      <c r="T102" s="8" t="s">
        <v>665</v>
      </c>
      <c r="U102" s="8" t="s">
        <v>665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>
        <f t="shared" si="4"/>
        <v>98</v>
      </c>
      <c r="AM102" s="451" t="str">
        <f t="shared" si="5"/>
        <v/>
      </c>
      <c r="AN102" s="8" t="b">
        <f>AND(OR('Family Map'!A143=TRUE,'Family Map'!A143="☑",'Family Map'!A143="✓",'Family Map'!A143="✔"),$E102&lt;&gt;"",$J102="☑",$AK102="")</f>
        <v>0</v>
      </c>
      <c r="AO102" s="8" t="str">
        <f t="shared" si="6"/>
        <v/>
      </c>
      <c r="AP102" s="8" t="str">
        <f t="shared" si="7"/>
        <v/>
      </c>
      <c r="AQ102" s="451" t="str">
        <f>'Family Map'!H143</f>
        <v/>
      </c>
      <c r="AR102" s="451" t="str">
        <f t="shared" si="8"/>
        <v/>
      </c>
      <c r="AS102" s="8" t="str">
        <f>IFERROR(__xludf.DUMMYFUNCTION("LET(slot,$A102,label,$AM102,raw,$AQ102,resolved,$AR102,isCovered,$AK102&lt;&gt;"""",active,COUNTIF(Setup!$S$6:$S$25,resolved)&gt;0,placeAud,IFERROR(FILTER(IFERROR(LEFT('Strand Placement'!$L$21:$L$89,FIND("" | "",'Strand Placement'!$L$21:$L$89)-1),""""),'Strand Pla"&amp;"cement'!$B$21:$B$89=label),""""),studentAud,IFERROR(FILTER('Student Work'!$C$17:$C$223,'Student Work'!$D$17:$D$223=label),""""),resourceAud,IFERROR(FILTER('Resource Planner'!$E$11:$E$71,'Resource Planner'!$D$11:$D$71=label),""""),TEXTJOIN(""; "",TRUE,IF(A"&amp;"ND($AN102,raw=""""),""⚠ active standalone/keeper has no Who / Group"",""""),IF(AND(isCovered,resolved=""""),""⚠ covered row’s keeper has no Who / Group"",""""),IF(AND(resolved&lt;&gt;"""",NOT(active)),""⚠ selected audience is inactive"",""""),IF(AND(isCovered,r"&amp;"aw&lt;&gt;"""",raw&lt;&gt;resolved),""⚠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disagrees"",""""),IF(AND(resolved&lt;&gt;"""",SUM(--((studentAud&lt;&gt;"&amp;""""")*(studentAud&lt;&gt;resolved)))&gt;0),""⚠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102" s="8" t="str">
        <f t="shared" si="9"/>
        <v/>
      </c>
      <c r="AU102" s="8"/>
      <c r="AV102" s="8" t="str">
        <f t="shared" si="10"/>
        <v/>
      </c>
      <c r="AW102" s="8" t="str">
        <f t="shared" si="11"/>
        <v/>
      </c>
      <c r="AX102" s="8" t="str">
        <f>IFERROR(__xludf.DUMMYFUNCTION("IF($AV102="""","""",IFERROR(TEXTJOIN(CHAR(10),TRUE,FILTER(""row ""&amp;ROW('Strand Placement'!$B$21:$B$89)&amp;"" • ""&amp;IFERROR(LEFT('Strand Placement'!$L$21:$L$89,FIND("" | "",'Strand Placement'!$L$21:$L$89)-1),""""),'Strand Placement'!$B$21:$B$89=$AV102)),""""))"),"")</f>
        <v/>
      </c>
      <c r="AY102" s="8" t="str">
        <f>IFERROR(__xludf.DUMMYFUNCTION("IF($AV102="""","""",IFERROR(TEXTJOIN(CHAR(10),TRUE,FILTER(""row ""&amp;ROW('Student Work'!$C$24:$C$223)&amp;"" • ""&amp;'Student Work'!$A$24:$A$223,'Student Work'!$C$24:$C$223=$AV102)),""""))"),"")</f>
        <v/>
      </c>
      <c r="AZ102" s="8" t="str">
        <f>IFERROR(__xludf.DUMMYFUNCTION("IF($AV102="""","""",IFERROR(TEXTJOIN(CHAR(10),TRUE,FILTER(""row ""&amp;ROW('Resource Planner'!$D$10:$D$69)&amp;"" • ""&amp;'Resource Planner'!$C$10:$C$69,'Resource Planner'!$D$10:$D$69=$AV102)),""""))"),"")</f>
        <v/>
      </c>
      <c r="BA102" s="8" t="str">
        <f t="shared" si="12"/>
        <v/>
      </c>
    </row>
    <row r="103" ht="15.75" customHeight="1">
      <c r="A103" s="8">
        <v>99.0</v>
      </c>
      <c r="B103" s="451" t="str">
        <f>'Family Map'!B144</f>
        <v/>
      </c>
      <c r="C103" s="451" t="str">
        <f>'Family Map'!C144</f>
        <v/>
      </c>
      <c r="D103" s="451" t="str">
        <f>'Family Map'!D144</f>
        <v/>
      </c>
      <c r="E103" s="451" t="str">
        <f>'Family Map'!G144</f>
        <v/>
      </c>
      <c r="F103" s="8" t="str">
        <f t="shared" si="1"/>
        <v/>
      </c>
      <c r="G103" s="8">
        <f>IF(E103="",0,COUNTIF('Strand Placement'!$B:$B,E103))</f>
        <v>0</v>
      </c>
      <c r="H103" s="8" t="str">
        <f t="shared" si="2"/>
        <v>Unplaced</v>
      </c>
      <c r="I103" s="8" t="s">
        <v>739</v>
      </c>
      <c r="J103" s="8" t="str">
        <f t="array" ref="J103">IFERROR(XLOOKUP(B103,Setup!$B$38:$B$44,Setup!$A$38:$A$44),"☑")</f>
        <v>☑</v>
      </c>
      <c r="K103" s="8"/>
      <c r="L103" s="8"/>
      <c r="M103" s="8"/>
      <c r="N103" s="8"/>
      <c r="O103" s="8"/>
      <c r="P103" s="8"/>
      <c r="Q103" s="8"/>
      <c r="R103" s="8"/>
      <c r="S103" s="8" t="s">
        <v>665</v>
      </c>
      <c r="T103" s="8" t="s">
        <v>665</v>
      </c>
      <c r="U103" s="8" t="s">
        <v>665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>
        <f t="shared" si="4"/>
        <v>99</v>
      </c>
      <c r="AM103" s="451" t="str">
        <f t="shared" si="5"/>
        <v/>
      </c>
      <c r="AN103" s="8" t="b">
        <f>AND(OR('Family Map'!A144=TRUE,'Family Map'!A144="☑",'Family Map'!A144="✓",'Family Map'!A144="✔"),$E103&lt;&gt;"",$J103="☑",$AK103="")</f>
        <v>0</v>
      </c>
      <c r="AO103" s="8" t="str">
        <f t="shared" si="6"/>
        <v/>
      </c>
      <c r="AP103" s="8" t="str">
        <f t="shared" si="7"/>
        <v/>
      </c>
      <c r="AQ103" s="451" t="str">
        <f>'Family Map'!H144</f>
        <v/>
      </c>
      <c r="AR103" s="451" t="str">
        <f t="shared" si="8"/>
        <v/>
      </c>
      <c r="AS103" s="8" t="str">
        <f>IFERROR(__xludf.DUMMYFUNCTION("LET(slot,$A103,label,$AM103,raw,$AQ103,resolved,$AR103,isCovered,$AK103&lt;&gt;"""",active,COUNTIF(Setup!$S$6:$S$25,resolved)&gt;0,placeAud,IFERROR(FILTER(IFERROR(LEFT('Strand Placement'!$L$21:$L$89,FIND("" | "",'Strand Placement'!$L$21:$L$89)-1),""""),'Strand Pla"&amp;"cement'!$B$21:$B$89=label),""""),studentAud,IFERROR(FILTER('Student Work'!$C$17:$C$223,'Student Work'!$D$17:$D$223=label),""""),resourceAud,IFERROR(FILTER('Resource Planner'!$E$11:$E$71,'Resource Planner'!$D$11:$D$71=label),""""),TEXTJOIN(""; "",TRUE,IF(A"&amp;"ND($AN103,raw=""""),""⚠ active standalone/keeper has no Who / Group"",""""),IF(AND(isCovered,resolved=""""),""⚠ covered row’s keeper has no Who / Group"",""""),IF(AND(resolved&lt;&gt;"""",NOT(active)),""⚠ selected audience is inactive"",""""),IF(AND(isCovered,r"&amp;"aw&lt;&gt;"""",raw&lt;&gt;resolved),""⚠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disagrees"",""""),IF(AND(resolved&lt;&gt;"""",SUM(--((studentAud&lt;&gt;"&amp;""""")*(studentAud&lt;&gt;resolved)))&gt;0),""⚠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103" s="8" t="str">
        <f t="shared" si="9"/>
        <v/>
      </c>
      <c r="AU103" s="8"/>
      <c r="AV103" s="8" t="str">
        <f t="shared" si="10"/>
        <v/>
      </c>
      <c r="AW103" s="8" t="str">
        <f t="shared" si="11"/>
        <v/>
      </c>
      <c r="AX103" s="8" t="str">
        <f>IFERROR(__xludf.DUMMYFUNCTION("IF($AV103="""","""",IFERROR(TEXTJOIN(CHAR(10),TRUE,FILTER(""row ""&amp;ROW('Strand Placement'!$B$21:$B$89)&amp;"" • ""&amp;IFERROR(LEFT('Strand Placement'!$L$21:$L$89,FIND("" | "",'Strand Placement'!$L$21:$L$89)-1),""""),'Strand Placement'!$B$21:$B$89=$AV103)),""""))"),"")</f>
        <v/>
      </c>
      <c r="AY103" s="8" t="str">
        <f>IFERROR(__xludf.DUMMYFUNCTION("IF($AV103="""","""",IFERROR(TEXTJOIN(CHAR(10),TRUE,FILTER(""row ""&amp;ROW('Student Work'!$C$24:$C$223)&amp;"" • ""&amp;'Student Work'!$A$24:$A$223,'Student Work'!$C$24:$C$223=$AV103)),""""))"),"")</f>
        <v/>
      </c>
      <c r="AZ103" s="8" t="str">
        <f>IFERROR(__xludf.DUMMYFUNCTION("IF($AV103="""","""",IFERROR(TEXTJOIN(CHAR(10),TRUE,FILTER(""row ""&amp;ROW('Resource Planner'!$D$10:$D$69)&amp;"" • ""&amp;'Resource Planner'!$C$10:$C$69,'Resource Planner'!$D$10:$D$69=$AV103)),""""))"),"")</f>
        <v/>
      </c>
      <c r="BA103" s="8" t="str">
        <f t="shared" si="12"/>
        <v/>
      </c>
    </row>
    <row r="104" ht="15.75" customHeight="1">
      <c r="A104" s="8">
        <v>100.0</v>
      </c>
      <c r="B104" s="451" t="str">
        <f>'Family Map'!B145</f>
        <v/>
      </c>
      <c r="C104" s="451" t="str">
        <f>'Family Map'!C145</f>
        <v/>
      </c>
      <c r="D104" s="451" t="str">
        <f>'Family Map'!D145</f>
        <v/>
      </c>
      <c r="E104" s="451" t="str">
        <f>'Family Map'!G145</f>
        <v/>
      </c>
      <c r="F104" s="8" t="str">
        <f t="shared" si="1"/>
        <v/>
      </c>
      <c r="G104" s="8">
        <f>IF(E104="",0,COUNTIF('Strand Placement'!$B:$B,E104))</f>
        <v>0</v>
      </c>
      <c r="H104" s="8" t="str">
        <f t="shared" si="2"/>
        <v>Unplaced</v>
      </c>
      <c r="I104" s="8" t="s">
        <v>740</v>
      </c>
      <c r="J104" s="8" t="str">
        <f t="array" ref="J104">IFERROR(XLOOKUP(B104,Setup!$B$38:$B$44,Setup!$A$38:$A$44),"☑")</f>
        <v>☑</v>
      </c>
      <c r="K104" s="8"/>
      <c r="L104" s="8"/>
      <c r="M104" s="8"/>
      <c r="N104" s="8"/>
      <c r="O104" s="8"/>
      <c r="P104" s="8"/>
      <c r="Q104" s="8"/>
      <c r="R104" s="8"/>
      <c r="S104" s="8" t="s">
        <v>665</v>
      </c>
      <c r="T104" s="8" t="s">
        <v>665</v>
      </c>
      <c r="U104" s="8" t="s">
        <v>665</v>
      </c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>
        <f t="shared" si="4"/>
        <v>100</v>
      </c>
      <c r="AM104" s="451" t="str">
        <f t="shared" si="5"/>
        <v/>
      </c>
      <c r="AN104" s="8" t="b">
        <f>AND(OR('Family Map'!A145=TRUE,'Family Map'!A145="☑",'Family Map'!A145="✓",'Family Map'!A145="✔"),$E104&lt;&gt;"",$J104="☑",$AK104="")</f>
        <v>0</v>
      </c>
      <c r="AO104" s="8" t="str">
        <f t="shared" si="6"/>
        <v/>
      </c>
      <c r="AP104" s="8" t="str">
        <f t="shared" si="7"/>
        <v/>
      </c>
      <c r="AQ104" s="451" t="str">
        <f>'Family Map'!H145</f>
        <v/>
      </c>
      <c r="AR104" s="451" t="str">
        <f t="shared" si="8"/>
        <v/>
      </c>
      <c r="AS104" s="8" t="str">
        <f>IFERROR(__xludf.DUMMYFUNCTION("LET(slot,$A104,label,$AM104,raw,$AQ104,resolved,$AR104,isCovered,$AK104&lt;&gt;"""",active,COUNTIF(Setup!$S$6:$S$25,resolved)&gt;0,placeAud,IFERROR(FILTER(IFERROR(LEFT('Strand Placement'!$L$21:$L$89,FIND("" | "",'Strand Placement'!$L$21:$L$89)-1),""""),'Strand Pla"&amp;"cement'!$B$21:$B$89=label),""""),studentAud,IFERROR(FILTER('Student Work'!$C$17:$C$223,'Student Work'!$D$17:$D$223=label),""""),resourceAud,IFERROR(FILTER('Resource Planner'!$E$11:$E$71,'Resource Planner'!$D$11:$D$71=label),""""),TEXTJOIN(""; "",TRUE,IF(A"&amp;"ND($AN104,raw=""""),""⚠ active standalone/keeper has no Who / Group"",""""),IF(AND(isCovered,resolved=""""),""⚠ covered row’s keeper has no Who / Group"",""""),IF(AND(resolved&lt;&gt;"""",NOT(active)),""⚠ selected audience is inactive"",""""),IF(AND(isCovered,r"&amp;"aw&lt;&gt;"""",raw&lt;&gt;resolved),""⚠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disagrees"",""""),IF(AND(resolved&lt;&gt;"""",SUM(--((studentAud&lt;&gt;"&amp;""""")*(studentAud&lt;&gt;resolved)))&gt;0),""⚠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104" s="8" t="str">
        <f t="shared" si="9"/>
        <v/>
      </c>
      <c r="AU104" s="8"/>
      <c r="AV104" s="8" t="str">
        <f t="shared" si="10"/>
        <v/>
      </c>
      <c r="AW104" s="8" t="str">
        <f t="shared" si="11"/>
        <v/>
      </c>
      <c r="AX104" s="8" t="str">
        <f>IFERROR(__xludf.DUMMYFUNCTION("IF($AV104="""","""",IFERROR(TEXTJOIN(CHAR(10),TRUE,FILTER(""row ""&amp;ROW('Strand Placement'!$B$21:$B$89)&amp;"" • ""&amp;IFERROR(LEFT('Strand Placement'!$L$21:$L$89,FIND("" | "",'Strand Placement'!$L$21:$L$89)-1),""""),'Strand Placement'!$B$21:$B$89=$AV104)),""""))"),"")</f>
        <v/>
      </c>
      <c r="AY104" s="8" t="str">
        <f>IFERROR(__xludf.DUMMYFUNCTION("IF($AV104="""","""",IFERROR(TEXTJOIN(CHAR(10),TRUE,FILTER(""row ""&amp;ROW('Student Work'!$C$24:$C$223)&amp;"" • ""&amp;'Student Work'!$A$24:$A$223,'Student Work'!$C$24:$C$223=$AV104)),""""))"),"")</f>
        <v/>
      </c>
      <c r="AZ104" s="8" t="str">
        <f>IFERROR(__xludf.DUMMYFUNCTION("IF($AV104="""","""",IFERROR(TEXTJOIN(CHAR(10),TRUE,FILTER(""row ""&amp;ROW('Resource Planner'!$D$10:$D$69)&amp;"" • ""&amp;'Resource Planner'!$C$10:$C$69,'Resource Planner'!$D$10:$D$69=$AV104)),""""))"),"")</f>
        <v/>
      </c>
      <c r="BA104" s="8" t="str">
        <f t="shared" si="12"/>
        <v/>
      </c>
    </row>
    <row r="105" ht="15.75" customHeight="1">
      <c r="A105" s="8">
        <v>101.0</v>
      </c>
      <c r="B105" s="451" t="str">
        <f>'Family Map'!B146</f>
        <v/>
      </c>
      <c r="C105" s="451" t="str">
        <f>'Family Map'!C146</f>
        <v/>
      </c>
      <c r="D105" s="451" t="str">
        <f>'Family Map'!D146</f>
        <v/>
      </c>
      <c r="E105" s="451" t="str">
        <f>'Family Map'!G146</f>
        <v/>
      </c>
      <c r="F105" s="8" t="str">
        <f t="shared" si="1"/>
        <v/>
      </c>
      <c r="G105" s="8">
        <f>IF(E105="",0,COUNTIF('Strand Placement'!$B:$B,E105))</f>
        <v>0</v>
      </c>
      <c r="H105" s="8" t="str">
        <f t="shared" si="2"/>
        <v>Unplaced</v>
      </c>
      <c r="I105" s="8" t="s">
        <v>741</v>
      </c>
      <c r="J105" s="8" t="str">
        <f t="array" ref="J105">IFERROR(XLOOKUP(B105,Setup!$B$38:$B$44,Setup!$A$38:$A$44),"☑")</f>
        <v>☑</v>
      </c>
      <c r="K105" s="8"/>
      <c r="L105" s="8"/>
      <c r="M105" s="8"/>
      <c r="N105" s="8"/>
      <c r="O105" s="8"/>
      <c r="P105" s="8"/>
      <c r="Q105" s="8"/>
      <c r="R105" s="8"/>
      <c r="S105" s="8" t="s">
        <v>665</v>
      </c>
      <c r="T105" s="8" t="s">
        <v>665</v>
      </c>
      <c r="U105" s="8" t="s">
        <v>665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447"/>
      <c r="AL105" s="8">
        <f t="shared" si="4"/>
        <v>101</v>
      </c>
      <c r="AM105" s="451" t="str">
        <f t="shared" si="5"/>
        <v/>
      </c>
      <c r="AN105" s="8" t="b">
        <f>AND(OR('Family Map'!A146=TRUE,'Family Map'!A146="☑",'Family Map'!A146="✓",'Family Map'!A146="✔"),$E105&lt;&gt;"",$J105="☑",$AK105="")</f>
        <v>0</v>
      </c>
      <c r="AO105" s="8" t="str">
        <f t="shared" si="6"/>
        <v/>
      </c>
      <c r="AP105" s="8" t="str">
        <f t="shared" si="7"/>
        <v/>
      </c>
      <c r="AQ105" s="451" t="str">
        <f>'Family Map'!H146</f>
        <v/>
      </c>
      <c r="AR105" s="451" t="str">
        <f t="shared" si="8"/>
        <v/>
      </c>
      <c r="AS105" s="8" t="str">
        <f>IFERROR(__xludf.DUMMYFUNCTION("LET(slot,$A105,label,$AM105,raw,$AQ105,resolved,$AR105,isCovered,$AK105&lt;&gt;"""",active,COUNTIF(Setup!$S$6:$S$25,resolved)&gt;0,placeAud,IFERROR(FILTER(IFERROR(LEFT('Strand Placement'!$L$21:$L$89,FIND("" | "",'Strand Placement'!$L$21:$L$89)-1),""""),'Strand Pla"&amp;"cement'!$B$21:$B$89=label),""""),studentAud,IFERROR(FILTER('Student Work'!$C$17:$C$223,'Student Work'!$D$17:$D$223=label),""""),resourceAud,IFERROR(FILTER('Resource Planner'!$E$11:$E$71,'Resource Planner'!$D$11:$D$71=label),""""),TEXTJOIN(""; "",TRUE,IF(A"&amp;"ND($AN105,raw=""""),""⚠ active standalone/keeper has no Who / Group"",""""),IF(AND(isCovered,resolved=""""),""⚠ covered row’s keeper has no Who / Group"",""""),IF(AND(resolved&lt;&gt;"""",NOT(active)),""⚠ selected audience is inactive"",""""),IF(AND(isCovered,r"&amp;"aw&lt;&gt;"""",raw&lt;&gt;resolved),""⚠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disagrees"",""""),IF(AND(resolved&lt;&gt;"""",SUM(--((studentAud&lt;&gt;"&amp;""""")*(studentAud&lt;&gt;resolved)))&gt;0),""⚠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105" s="8" t="str">
        <f t="shared" si="9"/>
        <v/>
      </c>
      <c r="AU105" s="8"/>
      <c r="AV105" s="8" t="str">
        <f t="shared" si="10"/>
        <v/>
      </c>
      <c r="AW105" s="8" t="str">
        <f t="shared" si="11"/>
        <v/>
      </c>
      <c r="AX105" s="8" t="str">
        <f>IFERROR(__xludf.DUMMYFUNCTION("IF($AV105="""","""",IFERROR(TEXTJOIN(CHAR(10),TRUE,FILTER(""row ""&amp;ROW('Strand Placement'!$B$21:$B$89)&amp;"" • ""&amp;IFERROR(LEFT('Strand Placement'!$L$21:$L$89,FIND("" | "",'Strand Placement'!$L$21:$L$89)-1),""""),'Strand Placement'!$B$21:$B$89=$AV105)),""""))"),"")</f>
        <v/>
      </c>
      <c r="AY105" s="8" t="str">
        <f>IFERROR(__xludf.DUMMYFUNCTION("IF($AV105="""","""",IFERROR(TEXTJOIN(CHAR(10),TRUE,FILTER(""row ""&amp;ROW('Student Work'!$C$24:$C$223)&amp;"" • ""&amp;'Student Work'!$A$24:$A$223,'Student Work'!$C$24:$C$223=$AV105)),""""))"),"")</f>
        <v/>
      </c>
      <c r="AZ105" s="8" t="str">
        <f>IFERROR(__xludf.DUMMYFUNCTION("IF($AV105="""","""",IFERROR(TEXTJOIN(CHAR(10),TRUE,FILTER(""row ""&amp;ROW('Resource Planner'!$D$10:$D$69)&amp;"" • ""&amp;'Resource Planner'!$C$10:$C$69,'Resource Planner'!$D$10:$D$69=$AV105)),""""))"),"")</f>
        <v/>
      </c>
      <c r="BA105" s="8" t="str">
        <f t="shared" si="12"/>
        <v/>
      </c>
    </row>
    <row r="106" ht="15.75" customHeight="1">
      <c r="A106" s="8">
        <v>102.0</v>
      </c>
      <c r="B106" s="451" t="str">
        <f>'Family Map'!B147</f>
        <v/>
      </c>
      <c r="C106" s="451" t="str">
        <f>'Family Map'!C147</f>
        <v/>
      </c>
      <c r="D106" s="451" t="str">
        <f>'Family Map'!D147</f>
        <v/>
      </c>
      <c r="E106" s="451" t="str">
        <f>'Family Map'!G147</f>
        <v/>
      </c>
      <c r="F106" s="8" t="str">
        <f t="shared" si="1"/>
        <v/>
      </c>
      <c r="G106" s="8">
        <f>IF(E106="",0,COUNTIF('Strand Placement'!$B:$B,E106))</f>
        <v>0</v>
      </c>
      <c r="H106" s="8" t="str">
        <f t="shared" si="2"/>
        <v>Unplaced</v>
      </c>
      <c r="I106" s="8" t="s">
        <v>742</v>
      </c>
      <c r="J106" s="8" t="str">
        <f t="array" ref="J106">IFERROR(XLOOKUP(B106,Setup!$B$38:$B$44,Setup!$A$38:$A$44),"☑")</f>
        <v>☑</v>
      </c>
      <c r="K106" s="8"/>
      <c r="L106" s="8"/>
      <c r="M106" s="8"/>
      <c r="N106" s="8"/>
      <c r="O106" s="8"/>
      <c r="P106" s="8"/>
      <c r="Q106" s="8"/>
      <c r="R106" s="8"/>
      <c r="S106" s="8" t="s">
        <v>665</v>
      </c>
      <c r="T106" s="8" t="s">
        <v>665</v>
      </c>
      <c r="U106" s="8" t="s">
        <v>665</v>
      </c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447"/>
      <c r="AL106" s="8">
        <f t="shared" si="4"/>
        <v>102</v>
      </c>
      <c r="AM106" s="451" t="str">
        <f t="shared" si="5"/>
        <v/>
      </c>
      <c r="AN106" s="8" t="b">
        <f>AND(OR('Family Map'!A147=TRUE,'Family Map'!A147="☑",'Family Map'!A147="✓",'Family Map'!A147="✔"),$E106&lt;&gt;"",$J106="☑",$AK106="")</f>
        <v>0</v>
      </c>
      <c r="AO106" s="8" t="str">
        <f t="shared" si="6"/>
        <v/>
      </c>
      <c r="AP106" s="8" t="str">
        <f t="shared" si="7"/>
        <v/>
      </c>
      <c r="AQ106" s="451" t="str">
        <f>'Family Map'!H147</f>
        <v/>
      </c>
      <c r="AR106" s="451" t="str">
        <f t="shared" si="8"/>
        <v/>
      </c>
      <c r="AS106" s="8" t="str">
        <f>IFERROR(__xludf.DUMMYFUNCTION("LET(slot,$A106,label,$AM106,raw,$AQ106,resolved,$AR106,isCovered,$AK106&lt;&gt;"""",active,COUNTIF(Setup!$S$6:$S$25,resolved)&gt;0,placeAud,IFERROR(FILTER(IFERROR(LEFT('Strand Placement'!$L$21:$L$89,FIND("" | "",'Strand Placement'!$L$21:$L$89)-1),""""),'Strand Pla"&amp;"cement'!$B$21:$B$89=label),""""),studentAud,IFERROR(FILTER('Student Work'!$C$17:$C$223,'Student Work'!$D$17:$D$223=label),""""),resourceAud,IFERROR(FILTER('Resource Planner'!$E$11:$E$71,'Resource Planner'!$D$11:$D$71=label),""""),TEXTJOIN(""; "",TRUE,IF(A"&amp;"ND($AN106,raw=""""),""⚠ active standalone/keeper has no Who / Group"",""""),IF(AND(isCovered,resolved=""""),""⚠ covered row’s keeper has no Who / Group"",""""),IF(AND(resolved&lt;&gt;"""",NOT(active)),""⚠ selected audience is inactive"",""""),IF(AND(isCovered,r"&amp;"aw&lt;&gt;"""",raw&lt;&gt;resolved),""⚠ covered row cannot keep a conflicting audience"",""""),IF(AND(resolved&lt;&gt;"""",SUM(--((placeAud&lt;&gt;"""")*(placeAud&lt;&gt;resolved)))&gt;0),""⚠ existing Strand Placement audience disagrees"",""""),IF(AND(resolved&lt;&gt;"""",SUM(--((studentAud&lt;&gt;"&amp;""""")*(studentAud&lt;&gt;resolved)))&gt;0),""⚠ existing Student Work assignment disagrees"",""""),IF(AND(resolved&lt;&gt;"""",SUM(--((resourceAud&lt;&gt;"""")*(resourceAud&lt;&gt;resolved)))&gt;0),""⚠ changing audience would affect existing placement or resource records"","""")))"),"")</f>
        <v/>
      </c>
      <c r="AT106" s="8" t="str">
        <f t="shared" si="9"/>
        <v/>
      </c>
      <c r="AU106" s="8"/>
      <c r="AV106" s="8" t="str">
        <f t="shared" si="10"/>
        <v/>
      </c>
      <c r="AW106" s="8" t="str">
        <f t="shared" si="11"/>
        <v/>
      </c>
      <c r="AX106" s="8" t="str">
        <f>IFERROR(__xludf.DUMMYFUNCTION("IF($AV106="""","""",IFERROR(TEXTJOIN(CHAR(10),TRUE,FILTER(""row ""&amp;ROW('Strand Placement'!$B$21:$B$89)&amp;"" • ""&amp;IFERROR(LEFT('Strand Placement'!$L$21:$L$89,FIND("" | "",'Strand Placement'!$L$21:$L$89)-1),""""),'Strand Placement'!$B$21:$B$89=$AV106)),""""))"),"")</f>
        <v/>
      </c>
      <c r="AY106" s="8" t="str">
        <f>IFERROR(__xludf.DUMMYFUNCTION("IF($AV106="""","""",IFERROR(TEXTJOIN(CHAR(10),TRUE,FILTER(""row ""&amp;ROW('Student Work'!$C$24:$C$223)&amp;"" • ""&amp;'Student Work'!$A$24:$A$223,'Student Work'!$C$24:$C$223=$AV106)),""""))"),"")</f>
        <v/>
      </c>
      <c r="AZ106" s="8" t="str">
        <f>IFERROR(__xludf.DUMMYFUNCTION("IF($AV106="""","""",IFERROR(TEXTJOIN(CHAR(10),TRUE,FILTER(""row ""&amp;ROW('Resource Planner'!$D$10:$D$69)&amp;"" • ""&amp;'Resource Planner'!$C$10:$C$69,'Resource Planner'!$D$10:$D$69=$AV106)),""""))"),"")</f>
        <v/>
      </c>
      <c r="BA106" s="8" t="str">
        <f t="shared" si="12"/>
        <v/>
      </c>
    </row>
    <row r="107" ht="15.75" customHeight="1">
      <c r="A107" s="8">
        <v>103.0</v>
      </c>
      <c r="B107" s="451" t="str">
        <f>'Family Map'!B148</f>
        <v/>
      </c>
      <c r="C107" s="451" t="str">
        <f>'Family Map'!C148</f>
        <v/>
      </c>
      <c r="D107" s="451" t="str">
        <f>'Family Map'!D148</f>
        <v/>
      </c>
      <c r="E107" s="8" t="str">
        <f>'Family Map'!F148</f>
        <v/>
      </c>
      <c r="F107" s="8" t="str">
        <f>IF(AND(OR('Family Map'!A148=TRUE,'Family Map'!A148="☑",'Family Map'!A148="✓",'Family Map'!A148="✔"),E107&lt;&gt;"",J107="☑"),E107,"")</f>
        <v/>
      </c>
      <c r="G107" s="8">
        <f>IF(E107="",0,COUNTIF('Strand Placement'!$B:$B,E107))</f>
        <v>0</v>
      </c>
      <c r="H107" s="8" t="str">
        <f t="shared" si="2"/>
        <v>Unplaced</v>
      </c>
      <c r="I107" s="8" t="s">
        <v>743</v>
      </c>
      <c r="J107" s="8" t="str">
        <f t="array" ref="J107">IFERROR(XLOOKUP(B107,Setup!$B$38:$B$43,Setup!$A$38:$A$43),"☑")</f>
        <v>☑</v>
      </c>
      <c r="K107" s="8"/>
      <c r="L107" s="8"/>
      <c r="M107" s="8"/>
      <c r="N107" s="8"/>
      <c r="O107" s="8"/>
      <c r="P107" s="8"/>
      <c r="Q107" s="8"/>
      <c r="R107" s="8"/>
      <c r="S107" s="8" t="s">
        <v>665</v>
      </c>
      <c r="T107" s="8" t="s">
        <v>665</v>
      </c>
      <c r="U107" s="8" t="s">
        <v>665</v>
      </c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</row>
    <row r="108" ht="15.75" customHeight="1">
      <c r="A108" s="8">
        <v>104.0</v>
      </c>
      <c r="B108" s="8" t="str">
        <f>'Family Map'!B149</f>
        <v/>
      </c>
      <c r="C108" s="8" t="str">
        <f>'Family Map'!C149</f>
        <v/>
      </c>
      <c r="D108" s="8" t="str">
        <f>'Family Map'!D149</f>
        <v/>
      </c>
      <c r="E108" s="8" t="str">
        <f>'Family Map'!F149</f>
        <v/>
      </c>
      <c r="F108" s="8" t="str">
        <f>IF(AND(OR('Family Map'!A149=TRUE,'Family Map'!A149="☑",'Family Map'!A149="✓",'Family Map'!A149="✔"),E108&lt;&gt;"",J108="☑"),E108,"")</f>
        <v/>
      </c>
      <c r="G108" s="8">
        <f>IF(E108="",0,COUNTIF('Strand Placement'!$B:$B,E108))</f>
        <v>0</v>
      </c>
      <c r="H108" s="8" t="str">
        <f t="shared" si="2"/>
        <v>Unplaced</v>
      </c>
      <c r="I108" s="8" t="s">
        <v>744</v>
      </c>
      <c r="J108" s="8" t="str">
        <f t="array" ref="J108">IFERROR(XLOOKUP(B108,Setup!$B$38:$B$43,Setup!$A$38:$A$43),"☑")</f>
        <v>☑</v>
      </c>
      <c r="K108" s="8"/>
      <c r="L108" s="8"/>
      <c r="M108" s="8"/>
      <c r="N108" s="8"/>
      <c r="O108" s="8"/>
      <c r="P108" s="8"/>
      <c r="Q108" s="8"/>
      <c r="R108" s="8"/>
      <c r="S108" s="8" t="s">
        <v>665</v>
      </c>
      <c r="T108" s="8" t="s">
        <v>665</v>
      </c>
      <c r="U108" s="8" t="s">
        <v>665</v>
      </c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</row>
    <row r="109" ht="15.75" customHeight="1">
      <c r="A109" s="8">
        <v>105.0</v>
      </c>
      <c r="B109" s="8" t="str">
        <f>'Family Map'!B150</f>
        <v/>
      </c>
      <c r="C109" s="8" t="str">
        <f>'Family Map'!C150</f>
        <v/>
      </c>
      <c r="D109" s="8" t="str">
        <f>'Family Map'!D150</f>
        <v/>
      </c>
      <c r="E109" s="8" t="str">
        <f>'Family Map'!F150</f>
        <v/>
      </c>
      <c r="F109" s="8" t="str">
        <f>IF(AND(OR('Family Map'!A150=TRUE,'Family Map'!A150="☑",'Family Map'!A150="✓",'Family Map'!A150="✔"),E109&lt;&gt;"",J109="☑"),E109,"")</f>
        <v/>
      </c>
      <c r="G109" s="8">
        <f>IF(E109="",0,COUNTIF('Strand Placement'!$B:$B,E109))</f>
        <v>0</v>
      </c>
      <c r="H109" s="8" t="str">
        <f t="shared" si="2"/>
        <v>Unplaced</v>
      </c>
      <c r="I109" s="8" t="s">
        <v>745</v>
      </c>
      <c r="J109" s="8" t="str">
        <f t="array" ref="J109">IFERROR(XLOOKUP(B109,Setup!$B$38:$B$43,Setup!$A$38:$A$43),"☑")</f>
        <v>☑</v>
      </c>
      <c r="K109" s="8"/>
      <c r="L109" s="8"/>
      <c r="M109" s="8"/>
      <c r="N109" s="8"/>
      <c r="O109" s="8"/>
      <c r="P109" s="8"/>
      <c r="Q109" s="8"/>
      <c r="R109" s="8"/>
      <c r="S109" s="8" t="s">
        <v>665</v>
      </c>
      <c r="T109" s="8" t="s">
        <v>665</v>
      </c>
      <c r="U109" s="8" t="s">
        <v>665</v>
      </c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</row>
    <row r="110" ht="15.75" customHeight="1">
      <c r="A110" s="8">
        <v>106.0</v>
      </c>
      <c r="B110" s="8" t="str">
        <f>'Family Map'!B151</f>
        <v/>
      </c>
      <c r="C110" s="8" t="str">
        <f>'Family Map'!C151</f>
        <v/>
      </c>
      <c r="D110" s="8" t="str">
        <f>'Family Map'!D151</f>
        <v/>
      </c>
      <c r="E110" s="8" t="str">
        <f>'Family Map'!F151</f>
        <v/>
      </c>
      <c r="F110" s="8" t="str">
        <f>IF(AND(OR('Family Map'!A151=TRUE,'Family Map'!A151="☑",'Family Map'!A151="✓",'Family Map'!A151="✔"),E110&lt;&gt;"",J110="☑"),E110,"")</f>
        <v/>
      </c>
      <c r="G110" s="8">
        <f>IF(E110="",0,COUNTIF('Strand Placement'!$B:$B,E110))</f>
        <v>0</v>
      </c>
      <c r="H110" s="8" t="str">
        <f t="shared" si="2"/>
        <v>Unplaced</v>
      </c>
      <c r="I110" s="8" t="s">
        <v>746</v>
      </c>
      <c r="J110" s="8" t="str">
        <f t="array" ref="J110">IFERROR(XLOOKUP(B110,Setup!$B$38:$B$43,Setup!$A$38:$A$43),"☑")</f>
        <v>☑</v>
      </c>
      <c r="K110" s="8"/>
      <c r="L110" s="8"/>
      <c r="M110" s="8"/>
      <c r="N110" s="8"/>
      <c r="O110" s="8"/>
      <c r="P110" s="8"/>
      <c r="Q110" s="8"/>
      <c r="R110" s="8"/>
      <c r="S110" s="8" t="s">
        <v>665</v>
      </c>
      <c r="T110" s="8" t="s">
        <v>665</v>
      </c>
      <c r="U110" s="8" t="s">
        <v>665</v>
      </c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</row>
    <row r="111" ht="15.75" customHeight="1">
      <c r="A111" s="8">
        <v>107.0</v>
      </c>
      <c r="B111" s="8" t="str">
        <f>'Family Map'!B152</f>
        <v/>
      </c>
      <c r="C111" s="8" t="str">
        <f>'Family Map'!C152</f>
        <v/>
      </c>
      <c r="D111" s="8" t="str">
        <f>'Family Map'!D152</f>
        <v/>
      </c>
      <c r="E111" s="8" t="str">
        <f>'Family Map'!F152</f>
        <v/>
      </c>
      <c r="F111" s="8" t="str">
        <f>IF(AND(OR('Family Map'!A152=TRUE,'Family Map'!A152="☑",'Family Map'!A152="✓",'Family Map'!A152="✔"),E111&lt;&gt;"",J111="☑"),E111,"")</f>
        <v/>
      </c>
      <c r="G111" s="8">
        <f>IF(E111="",0,COUNTIF('Strand Placement'!$B:$B,E111))</f>
        <v>0</v>
      </c>
      <c r="H111" s="8" t="str">
        <f t="shared" si="2"/>
        <v>Unplaced</v>
      </c>
      <c r="I111" s="8" t="s">
        <v>747</v>
      </c>
      <c r="J111" s="8" t="str">
        <f t="array" ref="J111">IFERROR(XLOOKUP(B111,Setup!$B$38:$B$43,Setup!$A$38:$A$43),"☑")</f>
        <v>☑</v>
      </c>
      <c r="K111" s="8"/>
      <c r="L111" s="8"/>
      <c r="M111" s="8"/>
      <c r="N111" s="8"/>
      <c r="O111" s="8"/>
      <c r="P111" s="8"/>
      <c r="Q111" s="8"/>
      <c r="R111" s="8"/>
      <c r="S111" s="8" t="s">
        <v>665</v>
      </c>
      <c r="T111" s="8" t="s">
        <v>665</v>
      </c>
      <c r="U111" s="8" t="s">
        <v>665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</row>
    <row r="112" ht="15.75" customHeight="1">
      <c r="A112" s="8">
        <v>108.0</v>
      </c>
      <c r="B112" s="8" t="str">
        <f>'Family Map'!B153</f>
        <v/>
      </c>
      <c r="C112" s="8" t="str">
        <f>'Family Map'!C153</f>
        <v/>
      </c>
      <c r="D112" s="8" t="str">
        <f>'Family Map'!D153</f>
        <v/>
      </c>
      <c r="E112" s="8" t="str">
        <f>'Family Map'!F153</f>
        <v/>
      </c>
      <c r="F112" s="8" t="str">
        <f>IF(AND(OR('Family Map'!A153=TRUE,'Family Map'!A153="☑",'Family Map'!A153="✓",'Family Map'!A153="✔"),E112&lt;&gt;"",J112="☑"),E112,"")</f>
        <v/>
      </c>
      <c r="G112" s="8">
        <f>IF(E112="",0,COUNTIF('Strand Placement'!$B:$B,E112))</f>
        <v>0</v>
      </c>
      <c r="H112" s="8" t="str">
        <f t="shared" si="2"/>
        <v>Unplaced</v>
      </c>
      <c r="I112" s="8" t="s">
        <v>748</v>
      </c>
      <c r="J112" s="8" t="str">
        <f t="array" ref="J112">IFERROR(XLOOKUP(B112,Setup!$B$38:$B$43,Setup!$A$38:$A$43),"☑")</f>
        <v>☑</v>
      </c>
      <c r="K112" s="8"/>
      <c r="L112" s="8"/>
      <c r="M112" s="8"/>
      <c r="N112" s="8"/>
      <c r="O112" s="8"/>
      <c r="P112" s="8"/>
      <c r="Q112" s="8"/>
      <c r="R112" s="8"/>
      <c r="S112" s="8" t="s">
        <v>665</v>
      </c>
      <c r="T112" s="8" t="s">
        <v>665</v>
      </c>
      <c r="U112" s="8" t="s">
        <v>665</v>
      </c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</row>
    <row r="113" ht="15.75" customHeight="1">
      <c r="A113" s="8">
        <v>109.0</v>
      </c>
      <c r="B113" s="8" t="str">
        <f>'Family Map'!B154</f>
        <v/>
      </c>
      <c r="C113" s="8" t="str">
        <f>'Family Map'!C154</f>
        <v/>
      </c>
      <c r="D113" s="8" t="str">
        <f>'Family Map'!D154</f>
        <v/>
      </c>
      <c r="E113" s="8" t="str">
        <f>'Family Map'!F154</f>
        <v/>
      </c>
      <c r="F113" s="8" t="str">
        <f>IF(AND(OR('Family Map'!A154=TRUE,'Family Map'!A154="☑",'Family Map'!A154="✓",'Family Map'!A154="✔"),E113&lt;&gt;"",J113="☑"),E113,"")</f>
        <v/>
      </c>
      <c r="G113" s="8">
        <f>IF(E113="",0,COUNTIF('Strand Placement'!$B:$B,E113))</f>
        <v>0</v>
      </c>
      <c r="H113" s="8" t="str">
        <f t="shared" si="2"/>
        <v>Unplaced</v>
      </c>
      <c r="I113" s="8" t="s">
        <v>749</v>
      </c>
      <c r="J113" s="8" t="str">
        <f t="array" ref="J113">IFERROR(XLOOKUP(B113,Setup!$B$38:$B$43,Setup!$A$38:$A$43),"☑")</f>
        <v>☑</v>
      </c>
      <c r="K113" s="8"/>
      <c r="L113" s="8"/>
      <c r="M113" s="8"/>
      <c r="N113" s="8"/>
      <c r="O113" s="8"/>
      <c r="P113" s="8"/>
      <c r="Q113" s="8"/>
      <c r="R113" s="8"/>
      <c r="S113" s="8" t="s">
        <v>665</v>
      </c>
      <c r="T113" s="8" t="s">
        <v>665</v>
      </c>
      <c r="U113" s="8" t="s">
        <v>665</v>
      </c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</row>
    <row r="114" ht="15.75" customHeight="1">
      <c r="A114" s="8">
        <v>110.0</v>
      </c>
      <c r="B114" s="8" t="str">
        <f>'Family Map'!B155</f>
        <v/>
      </c>
      <c r="C114" s="8" t="str">
        <f>'Family Map'!C155</f>
        <v/>
      </c>
      <c r="D114" s="8" t="str">
        <f>'Family Map'!D155</f>
        <v/>
      </c>
      <c r="E114" s="8" t="str">
        <f>'Family Map'!F155</f>
        <v/>
      </c>
      <c r="F114" s="8" t="str">
        <f>IF(AND(OR('Family Map'!A155=TRUE,'Family Map'!A155="☑",'Family Map'!A155="✓",'Family Map'!A155="✔"),E114&lt;&gt;"",J114="☑"),E114,"")</f>
        <v/>
      </c>
      <c r="G114" s="8">
        <f>IF(E114="",0,COUNTIF('Strand Placement'!$B:$B,E114))</f>
        <v>0</v>
      </c>
      <c r="H114" s="8" t="str">
        <f t="shared" si="2"/>
        <v>Unplaced</v>
      </c>
      <c r="I114" s="8" t="s">
        <v>750</v>
      </c>
      <c r="J114" s="8" t="str">
        <f t="array" ref="J114">IFERROR(XLOOKUP(B114,Setup!$B$38:$B$43,Setup!$A$38:$A$43),"☑")</f>
        <v>☑</v>
      </c>
      <c r="K114" s="8"/>
      <c r="L114" s="8"/>
      <c r="M114" s="8"/>
      <c r="N114" s="8"/>
      <c r="O114" s="8"/>
      <c r="P114" s="8"/>
      <c r="Q114" s="8"/>
      <c r="R114" s="8"/>
      <c r="S114" s="8" t="s">
        <v>665</v>
      </c>
      <c r="T114" s="8" t="s">
        <v>665</v>
      </c>
      <c r="U114" s="8" t="s">
        <v>665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</row>
    <row r="115" ht="15.75" customHeight="1">
      <c r="A115" s="8">
        <v>111.0</v>
      </c>
      <c r="B115" s="8" t="str">
        <f>'Family Map'!B156</f>
        <v/>
      </c>
      <c r="C115" s="8" t="str">
        <f>'Family Map'!C156</f>
        <v/>
      </c>
      <c r="D115" s="8" t="str">
        <f>'Family Map'!D156</f>
        <v/>
      </c>
      <c r="E115" s="8" t="str">
        <f>'Family Map'!F156</f>
        <v/>
      </c>
      <c r="F115" s="8" t="str">
        <f>IF(AND(OR('Family Map'!A156=TRUE,'Family Map'!A156="☑",'Family Map'!A156="✓",'Family Map'!A156="✔"),E115&lt;&gt;"",J115="☑"),E115,"")</f>
        <v/>
      </c>
      <c r="G115" s="8">
        <f>IF(E115="",0,COUNTIF('Strand Placement'!$B:$B,E115))</f>
        <v>0</v>
      </c>
      <c r="H115" s="8" t="str">
        <f t="shared" si="2"/>
        <v>Unplaced</v>
      </c>
      <c r="I115" s="8" t="s">
        <v>751</v>
      </c>
      <c r="J115" s="8" t="str">
        <f t="array" ref="J115">IFERROR(XLOOKUP(B115,Setup!$B$38:$B$43,Setup!$A$38:$A$43),"☑")</f>
        <v>☑</v>
      </c>
      <c r="K115" s="8"/>
      <c r="L115" s="8"/>
      <c r="M115" s="8"/>
      <c r="N115" s="8"/>
      <c r="O115" s="8"/>
      <c r="P115" s="8"/>
      <c r="Q115" s="8"/>
      <c r="R115" s="8"/>
      <c r="S115" s="8" t="s">
        <v>665</v>
      </c>
      <c r="T115" s="8" t="s">
        <v>665</v>
      </c>
      <c r="U115" s="8" t="s">
        <v>665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</row>
    <row r="116" ht="15.75" customHeight="1">
      <c r="A116" s="8">
        <v>112.0</v>
      </c>
      <c r="B116" s="8" t="str">
        <f>'Family Map'!B157</f>
        <v/>
      </c>
      <c r="C116" s="8" t="str">
        <f>'Family Map'!C157</f>
        <v/>
      </c>
      <c r="D116" s="8" t="str">
        <f>'Family Map'!D157</f>
        <v/>
      </c>
      <c r="E116" s="8" t="str">
        <f>'Family Map'!F157</f>
        <v/>
      </c>
      <c r="F116" s="8" t="str">
        <f>IF(AND(OR('Family Map'!A157=TRUE,'Family Map'!A157="☑",'Family Map'!A157="✓",'Family Map'!A157="✔"),E116&lt;&gt;"",J116="☑"),E116,"")</f>
        <v/>
      </c>
      <c r="G116" s="8">
        <f>IF(E116="",0,COUNTIF('Strand Placement'!$B:$B,E116))</f>
        <v>0</v>
      </c>
      <c r="H116" s="8" t="str">
        <f t="shared" si="2"/>
        <v>Unplaced</v>
      </c>
      <c r="I116" s="8" t="s">
        <v>752</v>
      </c>
      <c r="J116" s="8" t="str">
        <f t="array" ref="J116">IFERROR(XLOOKUP(B116,Setup!$B$38:$B$43,Setup!$A$38:$A$43),"☑")</f>
        <v>☑</v>
      </c>
      <c r="K116" s="8"/>
      <c r="L116" s="8"/>
      <c r="M116" s="8"/>
      <c r="N116" s="8"/>
      <c r="O116" s="8"/>
      <c r="P116" s="8"/>
      <c r="Q116" s="8"/>
      <c r="R116" s="8"/>
      <c r="S116" s="8" t="s">
        <v>665</v>
      </c>
      <c r="T116" s="8" t="s">
        <v>665</v>
      </c>
      <c r="U116" s="8" t="s">
        <v>665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</row>
    <row r="117" ht="15.75" customHeight="1">
      <c r="A117" s="8">
        <v>113.0</v>
      </c>
      <c r="B117" s="8" t="str">
        <f>'Family Map'!B158</f>
        <v/>
      </c>
      <c r="C117" s="8" t="str">
        <f>'Family Map'!C158</f>
        <v/>
      </c>
      <c r="D117" s="8" t="str">
        <f>'Family Map'!D158</f>
        <v/>
      </c>
      <c r="E117" s="8" t="str">
        <f>'Family Map'!F158</f>
        <v/>
      </c>
      <c r="F117" s="8" t="str">
        <f>IF(AND(OR('Family Map'!A158=TRUE,'Family Map'!A158="☑",'Family Map'!A158="✓",'Family Map'!A158="✔"),E117&lt;&gt;"",J117="☑"),E117,"")</f>
        <v/>
      </c>
      <c r="G117" s="8">
        <f>IF(E117="",0,COUNTIF('Strand Placement'!$B:$B,E117))</f>
        <v>0</v>
      </c>
      <c r="H117" s="8" t="str">
        <f t="shared" si="2"/>
        <v>Unplaced</v>
      </c>
      <c r="I117" s="8" t="s">
        <v>753</v>
      </c>
      <c r="J117" s="8" t="str">
        <f t="array" ref="J117">IFERROR(XLOOKUP(B117,Setup!$B$38:$B$43,Setup!$A$38:$A$43),"☑")</f>
        <v>☑</v>
      </c>
      <c r="K117" s="8"/>
      <c r="L117" s="8"/>
      <c r="M117" s="8"/>
      <c r="N117" s="8"/>
      <c r="O117" s="8"/>
      <c r="P117" s="8"/>
      <c r="Q117" s="8"/>
      <c r="R117" s="8"/>
      <c r="S117" s="8" t="s">
        <v>665</v>
      </c>
      <c r="T117" s="8" t="s">
        <v>665</v>
      </c>
      <c r="U117" s="8" t="s">
        <v>665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</row>
    <row r="118" ht="15.75" customHeight="1">
      <c r="A118" s="8">
        <v>114.0</v>
      </c>
      <c r="B118" s="8" t="str">
        <f>'Family Map'!B159</f>
        <v/>
      </c>
      <c r="C118" s="8" t="str">
        <f>'Family Map'!C159</f>
        <v/>
      </c>
      <c r="D118" s="8" t="str">
        <f>'Family Map'!D159</f>
        <v/>
      </c>
      <c r="E118" s="8" t="str">
        <f>'Family Map'!F159</f>
        <v/>
      </c>
      <c r="F118" s="8" t="str">
        <f>IF(AND(OR('Family Map'!A159=TRUE,'Family Map'!A159="☑",'Family Map'!A159="✓",'Family Map'!A159="✔"),E118&lt;&gt;"",J118="☑"),E118,"")</f>
        <v/>
      </c>
      <c r="G118" s="8">
        <f>IF(E118="",0,COUNTIF('Strand Placement'!$B:$B,E118))</f>
        <v>0</v>
      </c>
      <c r="H118" s="8" t="str">
        <f t="shared" si="2"/>
        <v>Unplaced</v>
      </c>
      <c r="I118" s="8" t="s">
        <v>754</v>
      </c>
      <c r="J118" s="8" t="str">
        <f t="array" ref="J118">IFERROR(XLOOKUP(B118,Setup!$B$38:$B$43,Setup!$A$38:$A$43),"☑")</f>
        <v>☑</v>
      </c>
      <c r="K118" s="8"/>
      <c r="L118" s="8"/>
      <c r="M118" s="8"/>
      <c r="N118" s="8"/>
      <c r="O118" s="8"/>
      <c r="P118" s="8"/>
      <c r="Q118" s="8"/>
      <c r="R118" s="8"/>
      <c r="S118" s="8" t="s">
        <v>665</v>
      </c>
      <c r="T118" s="8" t="s">
        <v>665</v>
      </c>
      <c r="U118" s="8" t="s">
        <v>665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</row>
    <row r="119" ht="15.75" customHeight="1">
      <c r="A119" s="8">
        <v>115.0</v>
      </c>
      <c r="B119" s="8" t="str">
        <f>'Family Map'!B160</f>
        <v/>
      </c>
      <c r="C119" s="8" t="str">
        <f>'Family Map'!C160</f>
        <v/>
      </c>
      <c r="D119" s="8" t="str">
        <f>'Family Map'!D160</f>
        <v/>
      </c>
      <c r="E119" s="8" t="str">
        <f>'Family Map'!F160</f>
        <v/>
      </c>
      <c r="F119" s="8" t="str">
        <f>IF(AND(OR('Family Map'!A160=TRUE,'Family Map'!A160="☑",'Family Map'!A160="✓",'Family Map'!A160="✔"),E119&lt;&gt;"",J119="☑"),E119,"")</f>
        <v/>
      </c>
      <c r="G119" s="8">
        <f>IF(E119="",0,COUNTIF('Strand Placement'!$B:$B,E119))</f>
        <v>0</v>
      </c>
      <c r="H119" s="8" t="str">
        <f t="shared" si="2"/>
        <v>Unplaced</v>
      </c>
      <c r="I119" s="8" t="s">
        <v>755</v>
      </c>
      <c r="J119" s="8" t="str">
        <f t="array" ref="J119">IFERROR(XLOOKUP(B119,Setup!$B$38:$B$43,Setup!$A$38:$A$43),"☑")</f>
        <v>☑</v>
      </c>
      <c r="K119" s="8"/>
      <c r="L119" s="8"/>
      <c r="M119" s="8"/>
      <c r="N119" s="8"/>
      <c r="O119" s="8"/>
      <c r="P119" s="8"/>
      <c r="Q119" s="8"/>
      <c r="R119" s="8"/>
      <c r="S119" s="8" t="s">
        <v>665</v>
      </c>
      <c r="T119" s="8" t="s">
        <v>665</v>
      </c>
      <c r="U119" s="8" t="s">
        <v>665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</row>
    <row r="120" ht="15.75" customHeight="1">
      <c r="A120" s="8">
        <v>116.0</v>
      </c>
      <c r="B120" s="8" t="str">
        <f>'Family Map'!B161</f>
        <v/>
      </c>
      <c r="C120" s="8" t="str">
        <f>'Family Map'!C161</f>
        <v/>
      </c>
      <c r="D120" s="8" t="str">
        <f>'Family Map'!D161</f>
        <v/>
      </c>
      <c r="E120" s="8" t="str">
        <f>'Family Map'!F161</f>
        <v/>
      </c>
      <c r="F120" s="8" t="str">
        <f>IF(AND(OR('Family Map'!A161=TRUE,'Family Map'!A161="☑",'Family Map'!A161="✓",'Family Map'!A161="✔"),E120&lt;&gt;"",J120="☑"),E120,"")</f>
        <v/>
      </c>
      <c r="G120" s="8">
        <f>IF(E120="",0,COUNTIF('Strand Placement'!$B:$B,E120))</f>
        <v>0</v>
      </c>
      <c r="H120" s="8" t="str">
        <f t="shared" si="2"/>
        <v>Unplaced</v>
      </c>
      <c r="I120" s="8" t="s">
        <v>756</v>
      </c>
      <c r="J120" s="8" t="str">
        <f t="array" ref="J120">IFERROR(XLOOKUP(B120,Setup!$B$38:$B$43,Setup!$A$38:$A$43),"☑")</f>
        <v>☑</v>
      </c>
      <c r="K120" s="8"/>
      <c r="L120" s="8"/>
      <c r="M120" s="8"/>
      <c r="N120" s="8"/>
      <c r="O120" s="8"/>
      <c r="P120" s="8"/>
      <c r="Q120" s="8"/>
      <c r="R120" s="8"/>
      <c r="S120" s="8" t="s">
        <v>665</v>
      </c>
      <c r="T120" s="8" t="s">
        <v>665</v>
      </c>
      <c r="U120" s="8" t="s">
        <v>665</v>
      </c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</row>
    <row r="121" ht="15.75" customHeight="1">
      <c r="A121" s="8">
        <v>117.0</v>
      </c>
      <c r="B121" s="8" t="str">
        <f>'Family Map'!B162</f>
        <v/>
      </c>
      <c r="C121" s="8" t="str">
        <f>'Family Map'!C162</f>
        <v/>
      </c>
      <c r="D121" s="8" t="str">
        <f>'Family Map'!D162</f>
        <v/>
      </c>
      <c r="E121" s="8" t="str">
        <f>'Family Map'!F162</f>
        <v/>
      </c>
      <c r="F121" s="8" t="str">
        <f>IF(AND(OR('Family Map'!A162=TRUE,'Family Map'!A162="☑",'Family Map'!A162="✓",'Family Map'!A162="✔"),E121&lt;&gt;"",J121="☑"),E121,"")</f>
        <v/>
      </c>
      <c r="G121" s="8">
        <f>IF(E121="",0,COUNTIF('Strand Placement'!$B:$B,E121))</f>
        <v>0</v>
      </c>
      <c r="H121" s="8" t="str">
        <f t="shared" si="2"/>
        <v>Unplaced</v>
      </c>
      <c r="I121" s="8" t="s">
        <v>757</v>
      </c>
      <c r="J121" s="8" t="str">
        <f t="array" ref="J121">IFERROR(XLOOKUP(B121,Setup!$B$38:$B$43,Setup!$A$38:$A$43),"☑")</f>
        <v>☑</v>
      </c>
      <c r="K121" s="8"/>
      <c r="L121" s="8"/>
      <c r="M121" s="8"/>
      <c r="N121" s="8"/>
      <c r="O121" s="8"/>
      <c r="P121" s="8"/>
      <c r="Q121" s="8"/>
      <c r="R121" s="8"/>
      <c r="S121" s="8" t="s">
        <v>665</v>
      </c>
      <c r="T121" s="8" t="s">
        <v>665</v>
      </c>
      <c r="U121" s="8" t="s">
        <v>665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</row>
    <row r="122" ht="15.75" customHeight="1">
      <c r="A122" s="8">
        <v>118.0</v>
      </c>
      <c r="B122" s="8" t="str">
        <f>'Family Map'!B163</f>
        <v/>
      </c>
      <c r="C122" s="8" t="str">
        <f>'Family Map'!C163</f>
        <v/>
      </c>
      <c r="D122" s="8" t="str">
        <f>'Family Map'!D163</f>
        <v/>
      </c>
      <c r="E122" s="8" t="str">
        <f>'Family Map'!F163</f>
        <v/>
      </c>
      <c r="F122" s="8" t="str">
        <f>IF(AND(OR('Family Map'!A163=TRUE,'Family Map'!A163="☑",'Family Map'!A163="✓",'Family Map'!A163="✔"),E122&lt;&gt;"",J122="☑"),E122,"")</f>
        <v/>
      </c>
      <c r="G122" s="8">
        <f>IF(E122="",0,COUNTIF('Strand Placement'!$B:$B,E122))</f>
        <v>0</v>
      </c>
      <c r="H122" s="8" t="str">
        <f t="shared" si="2"/>
        <v>Unplaced</v>
      </c>
      <c r="I122" s="8" t="s">
        <v>758</v>
      </c>
      <c r="J122" s="8" t="str">
        <f t="array" ref="J122">IFERROR(XLOOKUP(B122,Setup!$B$38:$B$43,Setup!$A$38:$A$43),"☑")</f>
        <v>☑</v>
      </c>
      <c r="K122" s="8"/>
      <c r="L122" s="8"/>
      <c r="M122" s="8"/>
      <c r="N122" s="8"/>
      <c r="O122" s="8"/>
      <c r="P122" s="8"/>
      <c r="Q122" s="8"/>
      <c r="R122" s="8"/>
      <c r="S122" s="8" t="s">
        <v>665</v>
      </c>
      <c r="T122" s="8" t="s">
        <v>665</v>
      </c>
      <c r="U122" s="8" t="s">
        <v>665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</row>
    <row r="123" ht="15.75" customHeight="1">
      <c r="A123" s="8">
        <v>119.0</v>
      </c>
      <c r="B123" s="8" t="str">
        <f>'Family Map'!B164</f>
        <v/>
      </c>
      <c r="C123" s="8" t="str">
        <f>'Family Map'!C164</f>
        <v/>
      </c>
      <c r="D123" s="8" t="str">
        <f>'Family Map'!D164</f>
        <v/>
      </c>
      <c r="E123" s="8" t="str">
        <f>'Family Map'!F164</f>
        <v/>
      </c>
      <c r="F123" s="8" t="str">
        <f>IF(AND(OR('Family Map'!A164=TRUE,'Family Map'!A164="☑",'Family Map'!A164="✓",'Family Map'!A164="✔"),E123&lt;&gt;"",J123="☑"),E123,"")</f>
        <v/>
      </c>
      <c r="G123" s="8">
        <f>IF(E123="",0,COUNTIF('Strand Placement'!$B:$B,E123))</f>
        <v>0</v>
      </c>
      <c r="H123" s="8" t="str">
        <f t="shared" si="2"/>
        <v>Unplaced</v>
      </c>
      <c r="I123" s="8" t="s">
        <v>759</v>
      </c>
      <c r="J123" s="8" t="str">
        <f t="array" ref="J123">IFERROR(XLOOKUP(B123,Setup!$B$38:$B$43,Setup!$A$38:$A$43),"☑")</f>
        <v>☑</v>
      </c>
      <c r="K123" s="8"/>
      <c r="L123" s="8"/>
      <c r="M123" s="8"/>
      <c r="N123" s="8"/>
      <c r="O123" s="8"/>
      <c r="P123" s="8"/>
      <c r="Q123" s="8"/>
      <c r="R123" s="8"/>
      <c r="S123" s="8" t="s">
        <v>665</v>
      </c>
      <c r="T123" s="8" t="s">
        <v>665</v>
      </c>
      <c r="U123" s="8" t="s">
        <v>665</v>
      </c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</row>
    <row r="124" ht="15.75" customHeight="1">
      <c r="A124" s="8">
        <v>120.0</v>
      </c>
      <c r="B124" s="8" t="str">
        <f>'Family Map'!B165</f>
        <v/>
      </c>
      <c r="C124" s="8" t="str">
        <f>'Family Map'!C165</f>
        <v/>
      </c>
      <c r="D124" s="8" t="str">
        <f>'Family Map'!D165</f>
        <v/>
      </c>
      <c r="E124" s="8" t="str">
        <f>'Family Map'!F165</f>
        <v/>
      </c>
      <c r="F124" s="8" t="str">
        <f>IF(AND(OR('Family Map'!A165=TRUE,'Family Map'!A165="☑",'Family Map'!A165="✓",'Family Map'!A165="✔"),E124&lt;&gt;"",J124="☑"),E124,"")</f>
        <v/>
      </c>
      <c r="G124" s="8">
        <f>IF(E124="",0,COUNTIF('Strand Placement'!$B:$B,E124))</f>
        <v>0</v>
      </c>
      <c r="H124" s="8" t="str">
        <f t="shared" si="2"/>
        <v>Unplaced</v>
      </c>
      <c r="I124" s="8" t="s">
        <v>760</v>
      </c>
      <c r="J124" s="8" t="str">
        <f t="array" ref="J124">IFERROR(XLOOKUP(B124,Setup!$B$38:$B$43,Setup!$A$38:$A$43),"☑")</f>
        <v>☑</v>
      </c>
      <c r="K124" s="8"/>
      <c r="L124" s="8"/>
      <c r="M124" s="8"/>
      <c r="N124" s="8"/>
      <c r="O124" s="8"/>
      <c r="P124" s="8"/>
      <c r="Q124" s="8"/>
      <c r="R124" s="8"/>
      <c r="S124" s="8" t="s">
        <v>665</v>
      </c>
      <c r="T124" s="8" t="s">
        <v>665</v>
      </c>
      <c r="U124" s="8" t="s">
        <v>665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</row>
    <row r="125" ht="15.75" customHeight="1">
      <c r="A125" s="8">
        <v>121.0</v>
      </c>
      <c r="B125" s="8" t="str">
        <f>'Family Map'!B166</f>
        <v/>
      </c>
      <c r="C125" s="8" t="str">
        <f>'Family Map'!C166</f>
        <v/>
      </c>
      <c r="D125" s="8" t="str">
        <f>'Family Map'!D166</f>
        <v/>
      </c>
      <c r="E125" s="8" t="str">
        <f>'Family Map'!F166</f>
        <v/>
      </c>
      <c r="F125" s="8" t="str">
        <f>IF(AND(OR('Family Map'!A166=TRUE,'Family Map'!A166="☑",'Family Map'!A166="✓",'Family Map'!A166="✔"),E125&lt;&gt;"",J125="☑"),E125,"")</f>
        <v/>
      </c>
      <c r="G125" s="8">
        <f>IF(E125="",0,COUNTIF('Strand Placement'!$B:$B,E125))</f>
        <v>0</v>
      </c>
      <c r="H125" s="8" t="str">
        <f t="shared" si="2"/>
        <v>Unplaced</v>
      </c>
      <c r="I125" s="8" t="s">
        <v>761</v>
      </c>
      <c r="J125" s="8" t="str">
        <f t="array" ref="J125">IFERROR(XLOOKUP(B125,Setup!$B$38:$B$43,Setup!$A$38:$A$43),"☑")</f>
        <v>☑</v>
      </c>
      <c r="K125" s="8"/>
      <c r="L125" s="8"/>
      <c r="M125" s="8"/>
      <c r="N125" s="8"/>
      <c r="O125" s="8"/>
      <c r="P125" s="8"/>
      <c r="Q125" s="8"/>
      <c r="R125" s="8"/>
      <c r="S125" s="8" t="s">
        <v>665</v>
      </c>
      <c r="T125" s="8" t="s">
        <v>665</v>
      </c>
      <c r="U125" s="8" t="s">
        <v>665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</row>
    <row r="126" ht="15.75" customHeight="1">
      <c r="A126" s="8">
        <v>122.0</v>
      </c>
      <c r="B126" s="8" t="str">
        <f>'Family Map'!B167</f>
        <v/>
      </c>
      <c r="C126" s="8" t="str">
        <f>'Family Map'!C167</f>
        <v/>
      </c>
      <c r="D126" s="8" t="str">
        <f>'Family Map'!D167</f>
        <v/>
      </c>
      <c r="E126" s="8" t="str">
        <f>'Family Map'!F167</f>
        <v/>
      </c>
      <c r="F126" s="8" t="str">
        <f>IF(AND(OR('Family Map'!A167=TRUE,'Family Map'!A167="☑",'Family Map'!A167="✓",'Family Map'!A167="✔"),E126&lt;&gt;"",J126="☑"),E126,"")</f>
        <v/>
      </c>
      <c r="G126" s="8">
        <f>IF(E126="",0,COUNTIF('Strand Placement'!$B:$B,E126))</f>
        <v>0</v>
      </c>
      <c r="H126" s="8" t="str">
        <f t="shared" si="2"/>
        <v>Unplaced</v>
      </c>
      <c r="I126" s="8" t="s">
        <v>762</v>
      </c>
      <c r="J126" s="8" t="str">
        <f t="array" ref="J126">IFERROR(XLOOKUP(B126,Setup!$B$38:$B$43,Setup!$A$38:$A$43),"☑")</f>
        <v>☑</v>
      </c>
      <c r="K126" s="8"/>
      <c r="L126" s="8"/>
      <c r="M126" s="8"/>
      <c r="N126" s="8"/>
      <c r="O126" s="8"/>
      <c r="P126" s="8"/>
      <c r="Q126" s="8"/>
      <c r="R126" s="8"/>
      <c r="S126" s="8" t="s">
        <v>665</v>
      </c>
      <c r="T126" s="8" t="s">
        <v>665</v>
      </c>
      <c r="U126" s="8" t="s">
        <v>665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</row>
    <row r="127" ht="15.75" customHeight="1">
      <c r="A127" s="8">
        <v>123.0</v>
      </c>
      <c r="B127" s="8" t="str">
        <f>'Family Map'!B168</f>
        <v/>
      </c>
      <c r="C127" s="8" t="str">
        <f>'Family Map'!C168</f>
        <v/>
      </c>
      <c r="D127" s="8" t="str">
        <f>'Family Map'!D168</f>
        <v/>
      </c>
      <c r="E127" s="8" t="str">
        <f>'Family Map'!F168</f>
        <v/>
      </c>
      <c r="F127" s="8" t="str">
        <f>IF(AND(OR('Family Map'!A168=TRUE,'Family Map'!A168="☑",'Family Map'!A168="✓",'Family Map'!A168="✔"),E127&lt;&gt;"",J127="☑"),E127,"")</f>
        <v/>
      </c>
      <c r="G127" s="8">
        <f>IF(E127="",0,COUNTIF('Strand Placement'!$B:$B,E127))</f>
        <v>0</v>
      </c>
      <c r="H127" s="8" t="str">
        <f t="shared" si="2"/>
        <v>Unplaced</v>
      </c>
      <c r="I127" s="8" t="s">
        <v>763</v>
      </c>
      <c r="J127" s="8" t="str">
        <f t="array" ref="J127">IFERROR(XLOOKUP(B127,Setup!$B$38:$B$43,Setup!$A$38:$A$43),"☑")</f>
        <v>☑</v>
      </c>
      <c r="K127" s="8"/>
      <c r="L127" s="8"/>
      <c r="M127" s="8"/>
      <c r="N127" s="8"/>
      <c r="O127" s="8"/>
      <c r="P127" s="8"/>
      <c r="Q127" s="8"/>
      <c r="R127" s="8"/>
      <c r="S127" s="8" t="s">
        <v>665</v>
      </c>
      <c r="T127" s="8" t="s">
        <v>665</v>
      </c>
      <c r="U127" s="8" t="s">
        <v>665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</row>
    <row r="128" ht="15.75" customHeight="1">
      <c r="A128" s="8">
        <v>124.0</v>
      </c>
      <c r="B128" s="8" t="str">
        <f>'Family Map'!B169</f>
        <v/>
      </c>
      <c r="C128" s="8" t="str">
        <f>'Family Map'!C169</f>
        <v/>
      </c>
      <c r="D128" s="8" t="str">
        <f>'Family Map'!D169</f>
        <v/>
      </c>
      <c r="E128" s="8" t="str">
        <f>'Family Map'!F169</f>
        <v/>
      </c>
      <c r="F128" s="8" t="str">
        <f>IF(AND(OR('Family Map'!A169=TRUE,'Family Map'!A169="☑",'Family Map'!A169="✓",'Family Map'!A169="✔"),E128&lt;&gt;"",J128="☑"),E128,"")</f>
        <v/>
      </c>
      <c r="G128" s="8">
        <f>IF(E128="",0,COUNTIF('Strand Placement'!$B:$B,E128))</f>
        <v>0</v>
      </c>
      <c r="H128" s="8" t="str">
        <f t="shared" si="2"/>
        <v>Unplaced</v>
      </c>
      <c r="I128" s="8" t="s">
        <v>764</v>
      </c>
      <c r="J128" s="8" t="str">
        <f t="array" ref="J128">IFERROR(XLOOKUP(B128,Setup!$B$38:$B$43,Setup!$A$38:$A$43),"☑")</f>
        <v>☑</v>
      </c>
      <c r="K128" s="8"/>
      <c r="L128" s="8"/>
      <c r="M128" s="8"/>
      <c r="N128" s="8"/>
      <c r="O128" s="8"/>
      <c r="P128" s="8"/>
      <c r="Q128" s="8"/>
      <c r="R128" s="8"/>
      <c r="S128" s="8" t="s">
        <v>665</v>
      </c>
      <c r="T128" s="8" t="s">
        <v>665</v>
      </c>
      <c r="U128" s="8" t="s">
        <v>665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</row>
    <row r="129" ht="15.75" customHeight="1">
      <c r="A129" s="8">
        <v>125.0</v>
      </c>
      <c r="B129" s="8" t="str">
        <f>'Family Map'!B170</f>
        <v/>
      </c>
      <c r="C129" s="8" t="str">
        <f>'Family Map'!C170</f>
        <v/>
      </c>
      <c r="D129" s="8" t="str">
        <f>'Family Map'!D170</f>
        <v/>
      </c>
      <c r="E129" s="8" t="str">
        <f>'Family Map'!F170</f>
        <v/>
      </c>
      <c r="F129" s="8" t="str">
        <f>IF(AND(OR('Family Map'!A170=TRUE,'Family Map'!A170="☑",'Family Map'!A170="✓",'Family Map'!A170="✔"),E129&lt;&gt;"",J129="☑"),E129,"")</f>
        <v/>
      </c>
      <c r="G129" s="8">
        <f>IF(E129="",0,COUNTIF('Strand Placement'!$B:$B,E129))</f>
        <v>0</v>
      </c>
      <c r="H129" s="8" t="str">
        <f t="shared" si="2"/>
        <v>Unplaced</v>
      </c>
      <c r="I129" s="8" t="s">
        <v>765</v>
      </c>
      <c r="J129" s="8" t="str">
        <f t="array" ref="J129">IFERROR(XLOOKUP(B129,Setup!$B$38:$B$43,Setup!$A$38:$A$43),"☑")</f>
        <v>☑</v>
      </c>
      <c r="K129" s="8"/>
      <c r="L129" s="8"/>
      <c r="M129" s="8"/>
      <c r="N129" s="8"/>
      <c r="O129" s="8"/>
      <c r="P129" s="8"/>
      <c r="Q129" s="8"/>
      <c r="R129" s="8"/>
      <c r="S129" s="8" t="s">
        <v>665</v>
      </c>
      <c r="T129" s="8" t="s">
        <v>665</v>
      </c>
      <c r="U129" s="8" t="s">
        <v>665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</row>
    <row r="130" ht="15.75" customHeight="1">
      <c r="A130" s="8">
        <v>126.0</v>
      </c>
      <c r="B130" s="8" t="str">
        <f>'Family Map'!B171</f>
        <v/>
      </c>
      <c r="C130" s="8" t="str">
        <f>'Family Map'!C171</f>
        <v/>
      </c>
      <c r="D130" s="8" t="str">
        <f>'Family Map'!D171</f>
        <v/>
      </c>
      <c r="E130" s="8" t="str">
        <f>'Family Map'!F171</f>
        <v/>
      </c>
      <c r="F130" s="8" t="str">
        <f>IF(AND(OR('Family Map'!A171=TRUE,'Family Map'!A171="☑",'Family Map'!A171="✓",'Family Map'!A171="✔"),E130&lt;&gt;"",J130="☑"),E130,"")</f>
        <v/>
      </c>
      <c r="G130" s="8">
        <f>IF(E130="",0,COUNTIF('Strand Placement'!$B:$B,E130))</f>
        <v>0</v>
      </c>
      <c r="H130" s="8" t="str">
        <f t="shared" si="2"/>
        <v>Unplaced</v>
      </c>
      <c r="I130" s="8" t="s">
        <v>766</v>
      </c>
      <c r="J130" s="8" t="str">
        <f t="array" ref="J130">IFERROR(XLOOKUP(B130,Setup!$B$38:$B$43,Setup!$A$38:$A$43),"☑")</f>
        <v>☑</v>
      </c>
      <c r="K130" s="8"/>
      <c r="L130" s="8"/>
      <c r="M130" s="8"/>
      <c r="N130" s="8"/>
      <c r="O130" s="8"/>
      <c r="P130" s="8"/>
      <c r="Q130" s="8"/>
      <c r="R130" s="8"/>
      <c r="S130" s="8" t="s">
        <v>665</v>
      </c>
      <c r="T130" s="8" t="s">
        <v>665</v>
      </c>
      <c r="U130" s="8" t="s">
        <v>665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</row>
    <row r="131" ht="15.75" customHeight="1">
      <c r="A131" s="8">
        <v>127.0</v>
      </c>
      <c r="B131" s="8" t="str">
        <f>'Family Map'!B172</f>
        <v/>
      </c>
      <c r="C131" s="8" t="str">
        <f>'Family Map'!C172</f>
        <v/>
      </c>
      <c r="D131" s="8" t="str">
        <f>'Family Map'!D172</f>
        <v/>
      </c>
      <c r="E131" s="8" t="str">
        <f>'Family Map'!F172</f>
        <v/>
      </c>
      <c r="F131" s="8" t="str">
        <f>IF(AND(OR('Family Map'!A172=TRUE,'Family Map'!A172="☑",'Family Map'!A172="✓",'Family Map'!A172="✔"),E131&lt;&gt;"",J131="☑"),E131,"")</f>
        <v/>
      </c>
      <c r="G131" s="8">
        <f>IF(E131="",0,COUNTIF('Strand Placement'!$B:$B,E131))</f>
        <v>0</v>
      </c>
      <c r="H131" s="8" t="str">
        <f t="shared" si="2"/>
        <v>Unplaced</v>
      </c>
      <c r="I131" s="8" t="s">
        <v>767</v>
      </c>
      <c r="J131" s="8" t="str">
        <f t="array" ref="J131">IFERROR(XLOOKUP(B131,Setup!$B$38:$B$43,Setup!$A$38:$A$43),"☑")</f>
        <v>☑</v>
      </c>
      <c r="K131" s="8"/>
      <c r="L131" s="8"/>
      <c r="M131" s="8"/>
      <c r="N131" s="8"/>
      <c r="O131" s="8"/>
      <c r="P131" s="8"/>
      <c r="Q131" s="8"/>
      <c r="R131" s="8"/>
      <c r="S131" s="8" t="s">
        <v>665</v>
      </c>
      <c r="T131" s="8" t="s">
        <v>665</v>
      </c>
      <c r="U131" s="8" t="s">
        <v>665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</row>
    <row r="132" ht="15.75" customHeight="1">
      <c r="A132" s="8">
        <v>128.0</v>
      </c>
      <c r="B132" s="8" t="str">
        <f>'Family Map'!B173</f>
        <v/>
      </c>
      <c r="C132" s="8" t="str">
        <f>'Family Map'!C173</f>
        <v/>
      </c>
      <c r="D132" s="8" t="str">
        <f>'Family Map'!D173</f>
        <v/>
      </c>
      <c r="E132" s="8" t="str">
        <f>'Family Map'!F173</f>
        <v/>
      </c>
      <c r="F132" s="8" t="str">
        <f>IF(AND(OR('Family Map'!A173=TRUE,'Family Map'!A173="☑",'Family Map'!A173="✓",'Family Map'!A173="✔"),E132&lt;&gt;"",J132="☑"),E132,"")</f>
        <v/>
      </c>
      <c r="G132" s="8">
        <f>IF(E132="",0,COUNTIF('Strand Placement'!$B:$B,E132))</f>
        <v>0</v>
      </c>
      <c r="H132" s="8" t="str">
        <f t="shared" si="2"/>
        <v>Unplaced</v>
      </c>
      <c r="I132" s="8" t="s">
        <v>768</v>
      </c>
      <c r="J132" s="8" t="str">
        <f t="array" ref="J132">IFERROR(XLOOKUP(B132,Setup!$B$38:$B$43,Setup!$A$38:$A$43),"☑")</f>
        <v>☑</v>
      </c>
      <c r="K132" s="8"/>
      <c r="L132" s="8"/>
      <c r="M132" s="8"/>
      <c r="N132" s="8"/>
      <c r="O132" s="8"/>
      <c r="P132" s="8"/>
      <c r="Q132" s="8"/>
      <c r="R132" s="8"/>
      <c r="S132" s="8" t="s">
        <v>665</v>
      </c>
      <c r="T132" s="8" t="s">
        <v>665</v>
      </c>
      <c r="U132" s="8" t="s">
        <v>665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</row>
    <row r="133" ht="15.75" customHeight="1">
      <c r="A133" s="8">
        <v>129.0</v>
      </c>
      <c r="B133" s="8" t="str">
        <f>'Family Map'!B174</f>
        <v/>
      </c>
      <c r="C133" s="8" t="str">
        <f>'Family Map'!C174</f>
        <v/>
      </c>
      <c r="D133" s="8" t="str">
        <f>'Family Map'!D174</f>
        <v/>
      </c>
      <c r="E133" s="8" t="str">
        <f>'Family Map'!F174</f>
        <v/>
      </c>
      <c r="F133" s="8" t="str">
        <f>IF(AND(OR('Family Map'!A174=TRUE,'Family Map'!A174="☑",'Family Map'!A174="✓",'Family Map'!A174="✔"),E133&lt;&gt;"",J133="☑"),E133,"")</f>
        <v/>
      </c>
      <c r="G133" s="8">
        <f>IF(E133="",0,COUNTIF('Strand Placement'!$B:$B,E133))</f>
        <v>0</v>
      </c>
      <c r="H133" s="8" t="str">
        <f t="shared" si="2"/>
        <v>Unplaced</v>
      </c>
      <c r="I133" s="8" t="s">
        <v>769</v>
      </c>
      <c r="J133" s="8" t="str">
        <f t="array" ref="J133">IFERROR(XLOOKUP(B133,Setup!$B$38:$B$43,Setup!$A$38:$A$43),"☑")</f>
        <v>☑</v>
      </c>
      <c r="K133" s="8"/>
      <c r="L133" s="8"/>
      <c r="M133" s="8"/>
      <c r="N133" s="8"/>
      <c r="O133" s="8"/>
      <c r="P133" s="8"/>
      <c r="Q133" s="8"/>
      <c r="R133" s="8"/>
      <c r="S133" s="8" t="s">
        <v>665</v>
      </c>
      <c r="T133" s="8" t="s">
        <v>665</v>
      </c>
      <c r="U133" s="8" t="s">
        <v>665</v>
      </c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</row>
    <row r="134" ht="15.75" customHeight="1">
      <c r="A134" s="8">
        <v>130.0</v>
      </c>
      <c r="B134" s="8" t="str">
        <f>'Family Map'!B175</f>
        <v/>
      </c>
      <c r="C134" s="8" t="str">
        <f>'Family Map'!C175</f>
        <v/>
      </c>
      <c r="D134" s="8" t="str">
        <f>'Family Map'!D175</f>
        <v/>
      </c>
      <c r="E134" s="8" t="str">
        <f>'Family Map'!F175</f>
        <v/>
      </c>
      <c r="F134" s="8" t="str">
        <f>IF(AND(OR('Family Map'!A175=TRUE,'Family Map'!A175="☑",'Family Map'!A175="✓",'Family Map'!A175="✔"),E134&lt;&gt;"",J134="☑"),E134,"")</f>
        <v/>
      </c>
      <c r="G134" s="8">
        <f>IF(E134="",0,COUNTIF('Strand Placement'!$B:$B,E134))</f>
        <v>0</v>
      </c>
      <c r="H134" s="8" t="str">
        <f t="shared" si="2"/>
        <v>Unplaced</v>
      </c>
      <c r="I134" s="8" t="s">
        <v>770</v>
      </c>
      <c r="J134" s="8" t="str">
        <f t="array" ref="J134">IFERROR(XLOOKUP(B134,Setup!$B$38:$B$43,Setup!$A$38:$A$43),"☑")</f>
        <v>☑</v>
      </c>
      <c r="K134" s="8"/>
      <c r="L134" s="8"/>
      <c r="M134" s="8"/>
      <c r="N134" s="8"/>
      <c r="O134" s="8"/>
      <c r="P134" s="8"/>
      <c r="Q134" s="8"/>
      <c r="R134" s="8"/>
      <c r="S134" s="8" t="s">
        <v>665</v>
      </c>
      <c r="T134" s="8" t="s">
        <v>665</v>
      </c>
      <c r="U134" s="8" t="s">
        <v>665</v>
      </c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</row>
    <row r="135" ht="15.75" customHeight="1">
      <c r="A135" s="8">
        <v>131.0</v>
      </c>
      <c r="B135" s="8" t="str">
        <f>'Family Map'!B176</f>
        <v/>
      </c>
      <c r="C135" s="8" t="str">
        <f>'Family Map'!C176</f>
        <v/>
      </c>
      <c r="D135" s="8" t="str">
        <f>'Family Map'!D176</f>
        <v/>
      </c>
      <c r="E135" s="8" t="str">
        <f>'Family Map'!F176</f>
        <v/>
      </c>
      <c r="F135" s="8" t="str">
        <f>IF(AND(OR('Family Map'!A176=TRUE,'Family Map'!A176="☑",'Family Map'!A176="✓",'Family Map'!A176="✔"),E135&lt;&gt;"",J135="☑"),E135,"")</f>
        <v/>
      </c>
      <c r="G135" s="8">
        <f>IF(E135="",0,COUNTIF('Strand Placement'!$B:$B,E135))</f>
        <v>0</v>
      </c>
      <c r="H135" s="8" t="str">
        <f t="shared" si="2"/>
        <v>Unplaced</v>
      </c>
      <c r="I135" s="8" t="s">
        <v>771</v>
      </c>
      <c r="J135" s="8" t="str">
        <f t="array" ref="J135">IFERROR(XLOOKUP(B135,Setup!$B$38:$B$43,Setup!$A$38:$A$43),"☑")</f>
        <v>☑</v>
      </c>
      <c r="K135" s="8"/>
      <c r="L135" s="8"/>
      <c r="M135" s="8"/>
      <c r="N135" s="8"/>
      <c r="O135" s="8"/>
      <c r="P135" s="8"/>
      <c r="Q135" s="8"/>
      <c r="R135" s="8"/>
      <c r="S135" s="8" t="s">
        <v>665</v>
      </c>
      <c r="T135" s="8" t="s">
        <v>665</v>
      </c>
      <c r="U135" s="8" t="s">
        <v>665</v>
      </c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</row>
    <row r="136" ht="15.75" customHeight="1">
      <c r="A136" s="8">
        <v>132.0</v>
      </c>
      <c r="B136" s="8" t="str">
        <f>'Family Map'!B177</f>
        <v/>
      </c>
      <c r="C136" s="8" t="str">
        <f>'Family Map'!C177</f>
        <v/>
      </c>
      <c r="D136" s="8" t="str">
        <f>'Family Map'!D177</f>
        <v/>
      </c>
      <c r="E136" s="8" t="str">
        <f>'Family Map'!F177</f>
        <v/>
      </c>
      <c r="F136" s="8" t="str">
        <f>IF(AND(OR('Family Map'!A177=TRUE,'Family Map'!A177="☑",'Family Map'!A177="✓",'Family Map'!A177="✔"),E136&lt;&gt;"",J136="☑"),E136,"")</f>
        <v/>
      </c>
      <c r="G136" s="8">
        <f>IF(E136="",0,COUNTIF('Strand Placement'!$B:$B,E136))</f>
        <v>0</v>
      </c>
      <c r="H136" s="8" t="str">
        <f t="shared" si="2"/>
        <v>Unplaced</v>
      </c>
      <c r="I136" s="8" t="s">
        <v>772</v>
      </c>
      <c r="J136" s="8" t="str">
        <f t="array" ref="J136">IFERROR(XLOOKUP(B136,Setup!$B$38:$B$43,Setup!$A$38:$A$43),"☑")</f>
        <v>☑</v>
      </c>
      <c r="K136" s="8"/>
      <c r="L136" s="8"/>
      <c r="M136" s="8"/>
      <c r="N136" s="8"/>
      <c r="O136" s="8"/>
      <c r="P136" s="8"/>
      <c r="Q136" s="8"/>
      <c r="R136" s="8"/>
      <c r="S136" s="8" t="s">
        <v>665</v>
      </c>
      <c r="T136" s="8" t="s">
        <v>665</v>
      </c>
      <c r="U136" s="8" t="s">
        <v>665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</row>
    <row r="137" ht="15.75" customHeight="1">
      <c r="A137" s="8">
        <v>133.0</v>
      </c>
      <c r="B137" s="8" t="str">
        <f>'Family Map'!B178</f>
        <v/>
      </c>
      <c r="C137" s="8" t="str">
        <f>'Family Map'!C178</f>
        <v/>
      </c>
      <c r="D137" s="8" t="str">
        <f>'Family Map'!D178</f>
        <v/>
      </c>
      <c r="E137" s="8" t="str">
        <f>'Family Map'!F178</f>
        <v/>
      </c>
      <c r="F137" s="8" t="str">
        <f>IF(AND(OR('Family Map'!A178=TRUE,'Family Map'!A178="☑",'Family Map'!A178="✓",'Family Map'!A178="✔"),E137&lt;&gt;"",J137="☑"),E137,"")</f>
        <v/>
      </c>
      <c r="G137" s="8">
        <f>IF(E137="",0,COUNTIF('Strand Placement'!$B:$B,E137))</f>
        <v>0</v>
      </c>
      <c r="H137" s="8" t="str">
        <f t="shared" si="2"/>
        <v>Unplaced</v>
      </c>
      <c r="I137" s="8" t="s">
        <v>773</v>
      </c>
      <c r="J137" s="8" t="str">
        <f t="array" ref="J137">IFERROR(XLOOKUP(B137,Setup!$B$38:$B$43,Setup!$A$38:$A$43),"☑")</f>
        <v>☑</v>
      </c>
      <c r="K137" s="8"/>
      <c r="L137" s="8"/>
      <c r="M137" s="8"/>
      <c r="N137" s="8"/>
      <c r="O137" s="8"/>
      <c r="P137" s="8"/>
      <c r="Q137" s="8"/>
      <c r="R137" s="8"/>
      <c r="S137" s="8" t="s">
        <v>665</v>
      </c>
      <c r="T137" s="8" t="s">
        <v>665</v>
      </c>
      <c r="U137" s="8" t="s">
        <v>665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</row>
    <row r="138" ht="15.75" customHeight="1">
      <c r="A138" s="8">
        <v>134.0</v>
      </c>
      <c r="B138" s="8" t="str">
        <f>'Family Map'!B179</f>
        <v/>
      </c>
      <c r="C138" s="8" t="str">
        <f>'Family Map'!C179</f>
        <v/>
      </c>
      <c r="D138" s="8" t="str">
        <f>'Family Map'!D179</f>
        <v/>
      </c>
      <c r="E138" s="8" t="str">
        <f>'Family Map'!F179</f>
        <v/>
      </c>
      <c r="F138" s="8" t="str">
        <f>IF(AND(OR('Family Map'!A179=TRUE,'Family Map'!A179="☑",'Family Map'!A179="✓",'Family Map'!A179="✔"),E138&lt;&gt;"",J138="☑"),E138,"")</f>
        <v/>
      </c>
      <c r="G138" s="8">
        <f>IF(E138="",0,COUNTIF('Strand Placement'!$B:$B,E138))</f>
        <v>0</v>
      </c>
      <c r="H138" s="8" t="str">
        <f t="shared" si="2"/>
        <v>Unplaced</v>
      </c>
      <c r="I138" s="8" t="s">
        <v>774</v>
      </c>
      <c r="J138" s="8" t="str">
        <f t="array" ref="J138">IFERROR(XLOOKUP(B138,Setup!$B$38:$B$43,Setup!$A$38:$A$43),"☑")</f>
        <v>☑</v>
      </c>
      <c r="K138" s="8"/>
      <c r="L138" s="8"/>
      <c r="M138" s="8"/>
      <c r="N138" s="8"/>
      <c r="O138" s="8"/>
      <c r="P138" s="8"/>
      <c r="Q138" s="8"/>
      <c r="R138" s="8"/>
      <c r="S138" s="8" t="s">
        <v>665</v>
      </c>
      <c r="T138" s="8" t="s">
        <v>665</v>
      </c>
      <c r="U138" s="8" t="s">
        <v>665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</row>
    <row r="139" ht="15.75" customHeight="1">
      <c r="A139" s="8">
        <v>135.0</v>
      </c>
      <c r="B139" s="8" t="str">
        <f>'Family Map'!B180</f>
        <v/>
      </c>
      <c r="C139" s="8" t="str">
        <f>'Family Map'!C180</f>
        <v/>
      </c>
      <c r="D139" s="8" t="str">
        <f>'Family Map'!D180</f>
        <v/>
      </c>
      <c r="E139" s="8" t="str">
        <f>'Family Map'!F180</f>
        <v/>
      </c>
      <c r="F139" s="8" t="str">
        <f>IF(AND(OR('Family Map'!A180=TRUE,'Family Map'!A180="☑",'Family Map'!A180="✓",'Family Map'!A180="✔"),E139&lt;&gt;"",J139="☑"),E139,"")</f>
        <v/>
      </c>
      <c r="G139" s="8">
        <f>IF(E139="",0,COUNTIF('Strand Placement'!$B:$B,E139))</f>
        <v>0</v>
      </c>
      <c r="H139" s="8" t="str">
        <f t="shared" si="2"/>
        <v>Unplaced</v>
      </c>
      <c r="I139" s="8" t="s">
        <v>775</v>
      </c>
      <c r="J139" s="8" t="str">
        <f t="array" ref="J139">IFERROR(XLOOKUP(B139,Setup!$B$38:$B$43,Setup!$A$38:$A$43),"☑")</f>
        <v>☑</v>
      </c>
      <c r="K139" s="8"/>
      <c r="L139" s="8"/>
      <c r="M139" s="8"/>
      <c r="N139" s="8"/>
      <c r="O139" s="8"/>
      <c r="P139" s="8"/>
      <c r="Q139" s="8"/>
      <c r="R139" s="8"/>
      <c r="S139" s="8" t="s">
        <v>665</v>
      </c>
      <c r="T139" s="8" t="s">
        <v>665</v>
      </c>
      <c r="U139" s="8" t="s">
        <v>665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</row>
    <row r="140" ht="15.75" customHeight="1">
      <c r="A140" s="8">
        <v>136.0</v>
      </c>
      <c r="B140" s="8" t="str">
        <f>'Family Map'!B181</f>
        <v/>
      </c>
      <c r="C140" s="8" t="str">
        <f>'Family Map'!C181</f>
        <v/>
      </c>
      <c r="D140" s="8" t="str">
        <f>'Family Map'!D181</f>
        <v/>
      </c>
      <c r="E140" s="8" t="str">
        <f>'Family Map'!F181</f>
        <v/>
      </c>
      <c r="F140" s="8" t="str">
        <f>IF(AND(OR('Family Map'!A181=TRUE,'Family Map'!A181="☑",'Family Map'!A181="✓",'Family Map'!A181="✔"),E140&lt;&gt;"",J140="☑"),E140,"")</f>
        <v/>
      </c>
      <c r="G140" s="8">
        <f>IF(E140="",0,COUNTIF('Strand Placement'!$B:$B,E140))</f>
        <v>0</v>
      </c>
      <c r="H140" s="8" t="str">
        <f t="shared" si="2"/>
        <v>Unplaced</v>
      </c>
      <c r="I140" s="8" t="s">
        <v>776</v>
      </c>
      <c r="J140" s="8" t="str">
        <f t="array" ref="J140">IFERROR(XLOOKUP(B140,Setup!$B$38:$B$43,Setup!$A$38:$A$43),"☑")</f>
        <v>☑</v>
      </c>
      <c r="K140" s="8"/>
      <c r="L140" s="8"/>
      <c r="M140" s="8"/>
      <c r="N140" s="8"/>
      <c r="O140" s="8"/>
      <c r="P140" s="8"/>
      <c r="Q140" s="8"/>
      <c r="R140" s="8"/>
      <c r="S140" s="8" t="s">
        <v>665</v>
      </c>
      <c r="T140" s="8" t="s">
        <v>665</v>
      </c>
      <c r="U140" s="8" t="s">
        <v>665</v>
      </c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</row>
    <row r="141" ht="15.75" customHeight="1">
      <c r="A141" s="8">
        <v>137.0</v>
      </c>
      <c r="B141" s="8" t="str">
        <f>'Family Map'!B182</f>
        <v/>
      </c>
      <c r="C141" s="8" t="str">
        <f>'Family Map'!C182</f>
        <v/>
      </c>
      <c r="D141" s="8" t="str">
        <f>'Family Map'!D182</f>
        <v/>
      </c>
      <c r="E141" s="8" t="str">
        <f>'Family Map'!F182</f>
        <v/>
      </c>
      <c r="F141" s="8" t="str">
        <f>IF(AND(OR('Family Map'!A182=TRUE,'Family Map'!A182="☑",'Family Map'!A182="✓",'Family Map'!A182="✔"),E141&lt;&gt;"",J141="☑"),E141,"")</f>
        <v/>
      </c>
      <c r="G141" s="8">
        <f>IF(E141="",0,COUNTIF('Strand Placement'!$B:$B,E141))</f>
        <v>0</v>
      </c>
      <c r="H141" s="8" t="str">
        <f t="shared" si="2"/>
        <v>Unplaced</v>
      </c>
      <c r="I141" s="8" t="s">
        <v>777</v>
      </c>
      <c r="J141" s="8" t="str">
        <f t="array" ref="J141">IFERROR(XLOOKUP(B141,Setup!$B$38:$B$43,Setup!$A$38:$A$43),"☑")</f>
        <v>☑</v>
      </c>
      <c r="K141" s="8"/>
      <c r="L141" s="8"/>
      <c r="M141" s="8"/>
      <c r="N141" s="8"/>
      <c r="O141" s="8"/>
      <c r="P141" s="8"/>
      <c r="Q141" s="8"/>
      <c r="R141" s="8"/>
      <c r="S141" s="8" t="s">
        <v>665</v>
      </c>
      <c r="T141" s="8" t="s">
        <v>665</v>
      </c>
      <c r="U141" s="8" t="s">
        <v>665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</row>
    <row r="142" ht="15.75" customHeight="1">
      <c r="A142" s="8">
        <v>138.0</v>
      </c>
      <c r="B142" s="8" t="str">
        <f>'Family Map'!B183</f>
        <v/>
      </c>
      <c r="C142" s="8" t="str">
        <f>'Family Map'!C183</f>
        <v/>
      </c>
      <c r="D142" s="8" t="str">
        <f>'Family Map'!D183</f>
        <v/>
      </c>
      <c r="E142" s="8" t="str">
        <f>'Family Map'!F183</f>
        <v/>
      </c>
      <c r="F142" s="8" t="str">
        <f>IF(AND(OR('Family Map'!A183=TRUE,'Family Map'!A183="☑",'Family Map'!A183="✓",'Family Map'!A183="✔"),E142&lt;&gt;"",J142="☑"),E142,"")</f>
        <v/>
      </c>
      <c r="G142" s="8">
        <f>IF(E142="",0,COUNTIF('Strand Placement'!$B:$B,E142))</f>
        <v>0</v>
      </c>
      <c r="H142" s="8" t="str">
        <f t="shared" si="2"/>
        <v>Unplaced</v>
      </c>
      <c r="I142" s="8" t="s">
        <v>778</v>
      </c>
      <c r="J142" s="8" t="str">
        <f t="array" ref="J142">IFERROR(XLOOKUP(B142,Setup!$B$38:$B$43,Setup!$A$38:$A$43),"☑")</f>
        <v>☑</v>
      </c>
      <c r="K142" s="8"/>
      <c r="L142" s="8"/>
      <c r="M142" s="8"/>
      <c r="N142" s="8"/>
      <c r="O142" s="8"/>
      <c r="P142" s="8"/>
      <c r="Q142" s="8"/>
      <c r="R142" s="8"/>
      <c r="S142" s="8" t="s">
        <v>665</v>
      </c>
      <c r="T142" s="8" t="s">
        <v>665</v>
      </c>
      <c r="U142" s="8" t="s">
        <v>665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</row>
    <row r="143" ht="15.75" customHeight="1">
      <c r="A143" s="8">
        <v>139.0</v>
      </c>
      <c r="B143" s="8" t="str">
        <f>'Family Map'!B184</f>
        <v/>
      </c>
      <c r="C143" s="8" t="str">
        <f>'Family Map'!C184</f>
        <v/>
      </c>
      <c r="D143" s="8" t="str">
        <f>'Family Map'!D184</f>
        <v/>
      </c>
      <c r="E143" s="8" t="str">
        <f>'Family Map'!F184</f>
        <v/>
      </c>
      <c r="F143" s="8" t="str">
        <f>IF(AND(OR('Family Map'!A184=TRUE,'Family Map'!A184="☑",'Family Map'!A184="✓",'Family Map'!A184="✔"),E143&lt;&gt;"",J143="☑"),E143,"")</f>
        <v/>
      </c>
      <c r="G143" s="8">
        <f>IF(E143="",0,COUNTIF('Strand Placement'!$B:$B,E143))</f>
        <v>0</v>
      </c>
      <c r="H143" s="8" t="str">
        <f t="shared" si="2"/>
        <v>Unplaced</v>
      </c>
      <c r="I143" s="8" t="s">
        <v>779</v>
      </c>
      <c r="J143" s="8" t="str">
        <f t="array" ref="J143">IFERROR(XLOOKUP(B143,Setup!$B$38:$B$43,Setup!$A$38:$A$43),"☑")</f>
        <v>☑</v>
      </c>
      <c r="K143" s="8"/>
      <c r="L143" s="8"/>
      <c r="M143" s="8"/>
      <c r="N143" s="8"/>
      <c r="O143" s="8"/>
      <c r="P143" s="8"/>
      <c r="Q143" s="8"/>
      <c r="R143" s="8"/>
      <c r="S143" s="8" t="s">
        <v>665</v>
      </c>
      <c r="T143" s="8" t="s">
        <v>665</v>
      </c>
      <c r="U143" s="8" t="s">
        <v>665</v>
      </c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</row>
    <row r="144" ht="15.75" customHeight="1">
      <c r="A144" s="8">
        <v>140.0</v>
      </c>
      <c r="B144" s="8" t="str">
        <f>'Family Map'!B185</f>
        <v/>
      </c>
      <c r="C144" s="8" t="str">
        <f>'Family Map'!C185</f>
        <v/>
      </c>
      <c r="D144" s="8" t="str">
        <f>'Family Map'!D185</f>
        <v/>
      </c>
      <c r="E144" s="8" t="str">
        <f>'Family Map'!F185</f>
        <v/>
      </c>
      <c r="F144" s="8" t="str">
        <f>IF(AND(OR('Family Map'!A185=TRUE,'Family Map'!A185="☑",'Family Map'!A185="✓",'Family Map'!A185="✔"),E144&lt;&gt;"",J144="☑"),E144,"")</f>
        <v/>
      </c>
      <c r="G144" s="8">
        <f>IF(E144="",0,COUNTIF('Strand Placement'!$B:$B,E144))</f>
        <v>0</v>
      </c>
      <c r="H144" s="8" t="str">
        <f t="shared" si="2"/>
        <v>Unplaced</v>
      </c>
      <c r="I144" s="8" t="s">
        <v>780</v>
      </c>
      <c r="J144" s="8" t="str">
        <f t="array" ref="J144">IFERROR(XLOOKUP(B144,Setup!$B$38:$B$43,Setup!$A$38:$A$43),"☑")</f>
        <v>☑</v>
      </c>
      <c r="K144" s="8"/>
      <c r="L144" s="8"/>
      <c r="M144" s="8"/>
      <c r="N144" s="8"/>
      <c r="O144" s="8"/>
      <c r="P144" s="8"/>
      <c r="Q144" s="8"/>
      <c r="R144" s="8"/>
      <c r="S144" s="8" t="s">
        <v>665</v>
      </c>
      <c r="T144" s="8" t="s">
        <v>665</v>
      </c>
      <c r="U144" s="8" t="s">
        <v>665</v>
      </c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</row>
    <row r="145" ht="15.75" customHeight="1">
      <c r="A145" s="8">
        <v>141.0</v>
      </c>
      <c r="B145" s="8" t="str">
        <f>'Family Map'!B186</f>
        <v/>
      </c>
      <c r="C145" s="8" t="str">
        <f>'Family Map'!C186</f>
        <v/>
      </c>
      <c r="D145" s="8" t="str">
        <f>'Family Map'!D186</f>
        <v/>
      </c>
      <c r="E145" s="8" t="str">
        <f>'Family Map'!F186</f>
        <v/>
      </c>
      <c r="F145" s="8" t="str">
        <f>IF(AND(OR('Family Map'!A186=TRUE,'Family Map'!A186="☑",'Family Map'!A186="✓",'Family Map'!A186="✔"),E145&lt;&gt;"",J145="☑"),E145,"")</f>
        <v/>
      </c>
      <c r="G145" s="8">
        <f>IF(E145="",0,COUNTIF('Strand Placement'!$B:$B,E145))</f>
        <v>0</v>
      </c>
      <c r="H145" s="8" t="str">
        <f t="shared" si="2"/>
        <v>Unplaced</v>
      </c>
      <c r="I145" s="8" t="s">
        <v>781</v>
      </c>
      <c r="J145" s="8" t="str">
        <f t="array" ref="J145">IFERROR(XLOOKUP(B145,Setup!$B$38:$B$43,Setup!$A$38:$A$43),"☑")</f>
        <v>☑</v>
      </c>
      <c r="K145" s="8"/>
      <c r="L145" s="8"/>
      <c r="M145" s="8"/>
      <c r="N145" s="8"/>
      <c r="O145" s="8"/>
      <c r="P145" s="8"/>
      <c r="Q145" s="8"/>
      <c r="R145" s="8"/>
      <c r="S145" s="8" t="s">
        <v>665</v>
      </c>
      <c r="T145" s="8" t="s">
        <v>665</v>
      </c>
      <c r="U145" s="8" t="s">
        <v>665</v>
      </c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</row>
    <row r="146" ht="15.75" customHeight="1">
      <c r="A146" s="8">
        <v>142.0</v>
      </c>
      <c r="B146" s="8" t="str">
        <f>'Family Map'!B187</f>
        <v/>
      </c>
      <c r="C146" s="8" t="str">
        <f>'Family Map'!C187</f>
        <v/>
      </c>
      <c r="D146" s="8" t="str">
        <f>'Family Map'!D187</f>
        <v/>
      </c>
      <c r="E146" s="8" t="str">
        <f>'Family Map'!F187</f>
        <v/>
      </c>
      <c r="F146" s="8" t="str">
        <f>IF(AND(OR('Family Map'!A187=TRUE,'Family Map'!A187="☑",'Family Map'!A187="✓",'Family Map'!A187="✔"),E146&lt;&gt;"",J146="☑"),E146,"")</f>
        <v/>
      </c>
      <c r="G146" s="8">
        <f>IF(E146="",0,COUNTIF('Strand Placement'!$B:$B,E146))</f>
        <v>0</v>
      </c>
      <c r="H146" s="8" t="str">
        <f t="shared" si="2"/>
        <v>Unplaced</v>
      </c>
      <c r="I146" s="8" t="s">
        <v>782</v>
      </c>
      <c r="J146" s="8" t="str">
        <f t="array" ref="J146">IFERROR(XLOOKUP(B146,Setup!$B$38:$B$43,Setup!$A$38:$A$43),"☑")</f>
        <v>☑</v>
      </c>
      <c r="K146" s="8"/>
      <c r="L146" s="8"/>
      <c r="M146" s="8"/>
      <c r="N146" s="8"/>
      <c r="O146" s="8"/>
      <c r="P146" s="8"/>
      <c r="Q146" s="8"/>
      <c r="R146" s="8"/>
      <c r="S146" s="8" t="s">
        <v>665</v>
      </c>
      <c r="T146" s="8" t="s">
        <v>665</v>
      </c>
      <c r="U146" s="8" t="s">
        <v>665</v>
      </c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</row>
    <row r="147" ht="15.75" customHeight="1">
      <c r="A147" s="8">
        <v>143.0</v>
      </c>
      <c r="B147" s="8" t="str">
        <f>'Family Map'!B188</f>
        <v/>
      </c>
      <c r="C147" s="8" t="str">
        <f>'Family Map'!C188</f>
        <v/>
      </c>
      <c r="D147" s="8" t="str">
        <f>'Family Map'!D188</f>
        <v/>
      </c>
      <c r="E147" s="8" t="str">
        <f>'Family Map'!F188</f>
        <v/>
      </c>
      <c r="F147" s="8" t="str">
        <f>IF(AND(OR('Family Map'!A188=TRUE,'Family Map'!A188="☑",'Family Map'!A188="✓",'Family Map'!A188="✔"),E147&lt;&gt;"",J147="☑"),E147,"")</f>
        <v/>
      </c>
      <c r="G147" s="8">
        <f>IF(E147="",0,COUNTIF('Strand Placement'!$B:$B,E147))</f>
        <v>0</v>
      </c>
      <c r="H147" s="8" t="str">
        <f t="shared" si="2"/>
        <v>Unplaced</v>
      </c>
      <c r="I147" s="8" t="s">
        <v>783</v>
      </c>
      <c r="J147" s="8" t="str">
        <f t="array" ref="J147">IFERROR(XLOOKUP(B147,Setup!$B$38:$B$43,Setup!$A$38:$A$43),"☑")</f>
        <v>☑</v>
      </c>
      <c r="K147" s="8"/>
      <c r="L147" s="8"/>
      <c r="M147" s="8"/>
      <c r="N147" s="8"/>
      <c r="O147" s="8"/>
      <c r="P147" s="8"/>
      <c r="Q147" s="8"/>
      <c r="R147" s="8"/>
      <c r="S147" s="8" t="s">
        <v>665</v>
      </c>
      <c r="T147" s="8" t="s">
        <v>665</v>
      </c>
      <c r="U147" s="8" t="s">
        <v>665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</row>
    <row r="148" ht="15.75" customHeight="1">
      <c r="A148" s="8">
        <v>144.0</v>
      </c>
      <c r="B148" s="8" t="str">
        <f>'Family Map'!B189</f>
        <v/>
      </c>
      <c r="C148" s="8" t="str">
        <f>'Family Map'!C189</f>
        <v/>
      </c>
      <c r="D148" s="8" t="str">
        <f>'Family Map'!D189</f>
        <v/>
      </c>
      <c r="E148" s="8" t="str">
        <f>'Family Map'!F189</f>
        <v/>
      </c>
      <c r="F148" s="8" t="str">
        <f>IF(AND(OR('Family Map'!A189=TRUE,'Family Map'!A189="☑",'Family Map'!A189="✓",'Family Map'!A189="✔"),E148&lt;&gt;"",J148="☑"),E148,"")</f>
        <v/>
      </c>
      <c r="G148" s="8">
        <f>IF(E148="",0,COUNTIF('Strand Placement'!$B:$B,E148))</f>
        <v>0</v>
      </c>
      <c r="H148" s="8" t="str">
        <f t="shared" si="2"/>
        <v>Unplaced</v>
      </c>
      <c r="I148" s="8" t="s">
        <v>784</v>
      </c>
      <c r="J148" s="8" t="str">
        <f t="array" ref="J148">IFERROR(XLOOKUP(B148,Setup!$B$38:$B$43,Setup!$A$38:$A$43),"☑")</f>
        <v>☑</v>
      </c>
      <c r="K148" s="8"/>
      <c r="L148" s="8"/>
      <c r="M148" s="8"/>
      <c r="N148" s="8"/>
      <c r="O148" s="8"/>
      <c r="P148" s="8"/>
      <c r="Q148" s="8"/>
      <c r="R148" s="8"/>
      <c r="S148" s="8" t="s">
        <v>665</v>
      </c>
      <c r="T148" s="8" t="s">
        <v>665</v>
      </c>
      <c r="U148" s="8" t="s">
        <v>665</v>
      </c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</row>
    <row r="149" ht="15.75" customHeight="1">
      <c r="A149" s="8">
        <v>145.0</v>
      </c>
      <c r="B149" s="8" t="str">
        <f>'Family Map'!B190</f>
        <v/>
      </c>
      <c r="C149" s="8" t="str">
        <f>'Family Map'!C190</f>
        <v/>
      </c>
      <c r="D149" s="8" t="str">
        <f>'Family Map'!D190</f>
        <v/>
      </c>
      <c r="E149" s="8" t="str">
        <f>'Family Map'!F190</f>
        <v/>
      </c>
      <c r="F149" s="8" t="str">
        <f>IF(AND(OR('Family Map'!A190=TRUE,'Family Map'!A190="☑",'Family Map'!A190="✓",'Family Map'!A190="✔"),E149&lt;&gt;"",J149="☑"),E149,"")</f>
        <v/>
      </c>
      <c r="G149" s="8">
        <f>IF(E149="",0,COUNTIF('Strand Placement'!$B:$B,E149))</f>
        <v>0</v>
      </c>
      <c r="H149" s="8" t="str">
        <f t="shared" si="2"/>
        <v>Unplaced</v>
      </c>
      <c r="I149" s="8" t="s">
        <v>785</v>
      </c>
      <c r="J149" s="8" t="str">
        <f t="array" ref="J149">IFERROR(XLOOKUP(B149,Setup!$B$38:$B$43,Setup!$A$38:$A$43),"☑")</f>
        <v>☑</v>
      </c>
      <c r="K149" s="8"/>
      <c r="L149" s="8"/>
      <c r="M149" s="8"/>
      <c r="N149" s="8"/>
      <c r="O149" s="8"/>
      <c r="P149" s="8"/>
      <c r="Q149" s="8"/>
      <c r="R149" s="8"/>
      <c r="S149" s="8" t="s">
        <v>665</v>
      </c>
      <c r="T149" s="8" t="s">
        <v>665</v>
      </c>
      <c r="U149" s="8" t="s">
        <v>665</v>
      </c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</row>
    <row r="150" ht="15.75" customHeight="1">
      <c r="A150" s="8">
        <v>146.0</v>
      </c>
      <c r="B150" s="8" t="str">
        <f>'Family Map'!B191</f>
        <v/>
      </c>
      <c r="C150" s="8" t="str">
        <f>'Family Map'!C191</f>
        <v/>
      </c>
      <c r="D150" s="8" t="str">
        <f>'Family Map'!D191</f>
        <v/>
      </c>
      <c r="E150" s="8" t="str">
        <f>'Family Map'!F191</f>
        <v/>
      </c>
      <c r="F150" s="8" t="str">
        <f>IF(AND(OR('Family Map'!A191=TRUE,'Family Map'!A191="☑",'Family Map'!A191="✓",'Family Map'!A191="✔"),E150&lt;&gt;"",J150="☑"),E150,"")</f>
        <v/>
      </c>
      <c r="G150" s="8">
        <f>IF(E150="",0,COUNTIF('Strand Placement'!$B:$B,E150))</f>
        <v>0</v>
      </c>
      <c r="H150" s="8" t="str">
        <f t="shared" si="2"/>
        <v>Unplaced</v>
      </c>
      <c r="I150" s="8" t="s">
        <v>786</v>
      </c>
      <c r="J150" s="8" t="str">
        <f t="array" ref="J150">IFERROR(XLOOKUP(B150,Setup!$B$38:$B$43,Setup!$A$38:$A$43),"☑")</f>
        <v>☑</v>
      </c>
      <c r="K150" s="8"/>
      <c r="L150" s="8"/>
      <c r="M150" s="8"/>
      <c r="N150" s="8"/>
      <c r="O150" s="8"/>
      <c r="P150" s="8"/>
      <c r="Q150" s="8"/>
      <c r="R150" s="8"/>
      <c r="S150" s="8" t="s">
        <v>665</v>
      </c>
      <c r="T150" s="8" t="s">
        <v>665</v>
      </c>
      <c r="U150" s="8" t="s">
        <v>665</v>
      </c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</row>
    <row r="151" ht="15.75" customHeight="1">
      <c r="A151" s="8">
        <v>147.0</v>
      </c>
      <c r="B151" s="8" t="str">
        <f>'Family Map'!B192</f>
        <v/>
      </c>
      <c r="C151" s="8" t="str">
        <f>'Family Map'!C192</f>
        <v/>
      </c>
      <c r="D151" s="8" t="str">
        <f>'Family Map'!D192</f>
        <v/>
      </c>
      <c r="E151" s="8" t="str">
        <f>'Family Map'!F192</f>
        <v/>
      </c>
      <c r="F151" s="8" t="str">
        <f>IF(AND(OR('Family Map'!A192=TRUE,'Family Map'!A192="☑",'Family Map'!A192="✓",'Family Map'!A192="✔"),E151&lt;&gt;"",J151="☑"),E151,"")</f>
        <v/>
      </c>
      <c r="G151" s="8">
        <f>IF(E151="",0,COUNTIF('Strand Placement'!$B:$B,E151))</f>
        <v>0</v>
      </c>
      <c r="H151" s="8" t="str">
        <f t="shared" si="2"/>
        <v>Unplaced</v>
      </c>
      <c r="I151" s="8" t="s">
        <v>787</v>
      </c>
      <c r="J151" s="8" t="str">
        <f t="array" ref="J151">IFERROR(XLOOKUP(B151,Setup!$B$38:$B$43,Setup!$A$38:$A$43),"☑")</f>
        <v>☑</v>
      </c>
      <c r="K151" s="8"/>
      <c r="L151" s="8"/>
      <c r="M151" s="8"/>
      <c r="N151" s="8"/>
      <c r="O151" s="8"/>
      <c r="P151" s="8"/>
      <c r="Q151" s="8"/>
      <c r="R151" s="8"/>
      <c r="S151" s="8" t="s">
        <v>665</v>
      </c>
      <c r="T151" s="8" t="s">
        <v>665</v>
      </c>
      <c r="U151" s="8" t="s">
        <v>665</v>
      </c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</row>
    <row r="152" ht="15.75" customHeight="1">
      <c r="A152" s="8">
        <v>148.0</v>
      </c>
      <c r="B152" s="8" t="str">
        <f>'Family Map'!B193</f>
        <v/>
      </c>
      <c r="C152" s="8" t="str">
        <f>'Family Map'!C193</f>
        <v/>
      </c>
      <c r="D152" s="8" t="str">
        <f>'Family Map'!D193</f>
        <v/>
      </c>
      <c r="E152" s="8" t="str">
        <f>'Family Map'!F193</f>
        <v/>
      </c>
      <c r="F152" s="8" t="str">
        <f>IF(AND(OR('Family Map'!A193=TRUE,'Family Map'!A193="☑",'Family Map'!A193="✓",'Family Map'!A193="✔"),E152&lt;&gt;"",J152="☑"),E152,"")</f>
        <v/>
      </c>
      <c r="G152" s="8">
        <f>IF(E152="",0,COUNTIF('Strand Placement'!$B:$B,E152))</f>
        <v>0</v>
      </c>
      <c r="H152" s="8" t="str">
        <f t="shared" si="2"/>
        <v>Unplaced</v>
      </c>
      <c r="I152" s="8" t="s">
        <v>788</v>
      </c>
      <c r="J152" s="8" t="str">
        <f t="array" ref="J152">IFERROR(XLOOKUP(B152,Setup!$B$38:$B$43,Setup!$A$38:$A$43),"☑")</f>
        <v>☑</v>
      </c>
      <c r="K152" s="8"/>
      <c r="L152" s="8"/>
      <c r="M152" s="8"/>
      <c r="N152" s="8"/>
      <c r="O152" s="8"/>
      <c r="P152" s="8"/>
      <c r="Q152" s="8"/>
      <c r="R152" s="8"/>
      <c r="S152" s="8" t="s">
        <v>665</v>
      </c>
      <c r="T152" s="8" t="s">
        <v>665</v>
      </c>
      <c r="U152" s="8" t="s">
        <v>665</v>
      </c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</row>
    <row r="153" ht="15.75" customHeight="1">
      <c r="A153" s="8">
        <v>149.0</v>
      </c>
      <c r="B153" s="8" t="str">
        <f>'Family Map'!B194</f>
        <v/>
      </c>
      <c r="C153" s="8" t="str">
        <f>'Family Map'!C194</f>
        <v/>
      </c>
      <c r="D153" s="8" t="str">
        <f>'Family Map'!D194</f>
        <v/>
      </c>
      <c r="E153" s="8" t="str">
        <f>'Family Map'!F194</f>
        <v/>
      </c>
      <c r="F153" s="8" t="str">
        <f>IF(AND(OR('Family Map'!A194=TRUE,'Family Map'!A194="☑",'Family Map'!A194="✓",'Family Map'!A194="✔"),E153&lt;&gt;"",J153="☑"),E153,"")</f>
        <v/>
      </c>
      <c r="G153" s="8">
        <f>IF(E153="",0,COUNTIF('Strand Placement'!$B:$B,E153))</f>
        <v>0</v>
      </c>
      <c r="H153" s="8" t="str">
        <f t="shared" si="2"/>
        <v>Unplaced</v>
      </c>
      <c r="I153" s="8" t="s">
        <v>789</v>
      </c>
      <c r="J153" s="8" t="str">
        <f t="array" ref="J153">IFERROR(XLOOKUP(B153,Setup!$B$38:$B$43,Setup!$A$38:$A$43),"☑")</f>
        <v>☑</v>
      </c>
      <c r="K153" s="8"/>
      <c r="L153" s="8"/>
      <c r="M153" s="8"/>
      <c r="N153" s="8"/>
      <c r="O153" s="8"/>
      <c r="P153" s="8"/>
      <c r="Q153" s="8"/>
      <c r="R153" s="8"/>
      <c r="S153" s="8" t="s">
        <v>665</v>
      </c>
      <c r="T153" s="8" t="s">
        <v>665</v>
      </c>
      <c r="U153" s="8" t="s">
        <v>665</v>
      </c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</row>
    <row r="154" ht="15.75" customHeight="1">
      <c r="A154" s="8">
        <v>150.0</v>
      </c>
      <c r="B154" s="8" t="str">
        <f>'Family Map'!B195</f>
        <v/>
      </c>
      <c r="C154" s="8" t="str">
        <f>'Family Map'!C195</f>
        <v/>
      </c>
      <c r="D154" s="8" t="str">
        <f>'Family Map'!D195</f>
        <v/>
      </c>
      <c r="E154" s="8" t="str">
        <f>'Family Map'!F195</f>
        <v/>
      </c>
      <c r="F154" s="8" t="str">
        <f>IF(AND(OR('Family Map'!A195=TRUE,'Family Map'!A195="☑",'Family Map'!A195="✓",'Family Map'!A195="✔"),E154&lt;&gt;"",J154="☑"),E154,"")</f>
        <v/>
      </c>
      <c r="G154" s="8">
        <f>IF(E154="",0,COUNTIF('Strand Placement'!$B:$B,E154))</f>
        <v>0</v>
      </c>
      <c r="H154" s="8" t="str">
        <f t="shared" si="2"/>
        <v>Unplaced</v>
      </c>
      <c r="I154" s="8" t="s">
        <v>790</v>
      </c>
      <c r="J154" s="8" t="str">
        <f t="array" ref="J154">IFERROR(XLOOKUP(B154,Setup!$B$38:$B$43,Setup!$A$38:$A$43),"☑")</f>
        <v>☑</v>
      </c>
      <c r="K154" s="8"/>
      <c r="L154" s="8"/>
      <c r="M154" s="8"/>
      <c r="N154" s="8"/>
      <c r="O154" s="8"/>
      <c r="P154" s="8"/>
      <c r="Q154" s="8"/>
      <c r="R154" s="8"/>
      <c r="S154" s="8" t="s">
        <v>665</v>
      </c>
      <c r="T154" s="8" t="s">
        <v>665</v>
      </c>
      <c r="U154" s="8" t="s">
        <v>665</v>
      </c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</row>
    <row r="155" ht="15.75" customHeight="1">
      <c r="A155" s="8">
        <v>151.0</v>
      </c>
      <c r="B155" s="8" t="str">
        <f>'Family Map'!B196</f>
        <v/>
      </c>
      <c r="C155" s="8" t="str">
        <f>'Family Map'!C196</f>
        <v/>
      </c>
      <c r="D155" s="8" t="str">
        <f>'Family Map'!D196</f>
        <v/>
      </c>
      <c r="E155" s="8" t="str">
        <f>'Family Map'!F196</f>
        <v/>
      </c>
      <c r="F155" s="8" t="str">
        <f>IF(AND(OR('Family Map'!A196=TRUE,'Family Map'!A196="☑",'Family Map'!A196="✓",'Family Map'!A196="✔"),E155&lt;&gt;"",J155="☑"),E155,"")</f>
        <v/>
      </c>
      <c r="G155" s="8">
        <f>IF(E155="",0,COUNTIF('Strand Placement'!$B:$B,E155))</f>
        <v>0</v>
      </c>
      <c r="H155" s="8" t="str">
        <f t="shared" si="2"/>
        <v>Unplaced</v>
      </c>
      <c r="I155" s="8" t="s">
        <v>791</v>
      </c>
      <c r="J155" s="8" t="str">
        <f t="array" ref="J155">IFERROR(XLOOKUP(B155,Setup!$B$38:$B$43,Setup!$A$38:$A$43),"☑")</f>
        <v>☑</v>
      </c>
      <c r="K155" s="8"/>
      <c r="L155" s="8"/>
      <c r="M155" s="8"/>
      <c r="N155" s="8"/>
      <c r="O155" s="8"/>
      <c r="P155" s="8"/>
      <c r="Q155" s="8"/>
      <c r="R155" s="8"/>
      <c r="S155" s="8" t="s">
        <v>665</v>
      </c>
      <c r="T155" s="8" t="s">
        <v>665</v>
      </c>
      <c r="U155" s="8" t="s">
        <v>665</v>
      </c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</row>
    <row r="156" ht="15.75" customHeight="1">
      <c r="A156" s="8">
        <v>152.0</v>
      </c>
      <c r="B156" s="8" t="str">
        <f>'Family Map'!B197</f>
        <v/>
      </c>
      <c r="C156" s="8" t="str">
        <f>'Family Map'!C197</f>
        <v/>
      </c>
      <c r="D156" s="8" t="str">
        <f>'Family Map'!D197</f>
        <v/>
      </c>
      <c r="E156" s="8" t="str">
        <f>'Family Map'!F197</f>
        <v/>
      </c>
      <c r="F156" s="8" t="str">
        <f>IF(AND(OR('Family Map'!A197=TRUE,'Family Map'!A197="☑",'Family Map'!A197="✓",'Family Map'!A197="✔"),E156&lt;&gt;"",J156="☑"),E156,"")</f>
        <v/>
      </c>
      <c r="G156" s="8">
        <f>IF(E156="",0,COUNTIF('Strand Placement'!$B:$B,E156))</f>
        <v>0</v>
      </c>
      <c r="H156" s="8" t="str">
        <f t="shared" si="2"/>
        <v>Unplaced</v>
      </c>
      <c r="I156" s="8" t="s">
        <v>792</v>
      </c>
      <c r="J156" s="8" t="str">
        <f t="array" ref="J156">IFERROR(XLOOKUP(B156,Setup!$B$38:$B$43,Setup!$A$38:$A$43),"☑")</f>
        <v>☑</v>
      </c>
      <c r="K156" s="8"/>
      <c r="L156" s="8"/>
      <c r="M156" s="8"/>
      <c r="N156" s="8"/>
      <c r="O156" s="8"/>
      <c r="P156" s="8"/>
      <c r="Q156" s="8"/>
      <c r="R156" s="8"/>
      <c r="S156" s="8" t="s">
        <v>665</v>
      </c>
      <c r="T156" s="8" t="s">
        <v>665</v>
      </c>
      <c r="U156" s="8" t="s">
        <v>665</v>
      </c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</row>
    <row r="157" ht="15.75" customHeight="1">
      <c r="A157" s="8">
        <v>153.0</v>
      </c>
      <c r="B157" s="8" t="str">
        <f>'Family Map'!B198</f>
        <v/>
      </c>
      <c r="C157" s="8" t="str">
        <f>'Family Map'!C198</f>
        <v/>
      </c>
      <c r="D157" s="8" t="str">
        <f>'Family Map'!D198</f>
        <v/>
      </c>
      <c r="E157" s="8" t="str">
        <f>'Family Map'!F198</f>
        <v/>
      </c>
      <c r="F157" s="8" t="str">
        <f>IF(AND(OR('Family Map'!A198=TRUE,'Family Map'!A198="☑",'Family Map'!A198="✓",'Family Map'!A198="✔"),E157&lt;&gt;"",J157="☑"),E157,"")</f>
        <v/>
      </c>
      <c r="G157" s="8">
        <f>IF(E157="",0,COUNTIF('Strand Placement'!$B:$B,E157))</f>
        <v>0</v>
      </c>
      <c r="H157" s="8" t="str">
        <f t="shared" si="2"/>
        <v>Unplaced</v>
      </c>
      <c r="I157" s="8" t="s">
        <v>793</v>
      </c>
      <c r="J157" s="8" t="str">
        <f t="array" ref="J157">IFERROR(XLOOKUP(B157,Setup!$B$38:$B$43,Setup!$A$38:$A$43),"☑")</f>
        <v>☑</v>
      </c>
      <c r="K157" s="8"/>
      <c r="L157" s="8"/>
      <c r="M157" s="8"/>
      <c r="N157" s="8"/>
      <c r="O157" s="8"/>
      <c r="P157" s="8"/>
      <c r="Q157" s="8"/>
      <c r="R157" s="8"/>
      <c r="S157" s="8" t="s">
        <v>665</v>
      </c>
      <c r="T157" s="8" t="s">
        <v>665</v>
      </c>
      <c r="U157" s="8" t="s">
        <v>665</v>
      </c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</row>
    <row r="158" ht="15.75" customHeight="1">
      <c r="A158" s="8">
        <v>154.0</v>
      </c>
      <c r="B158" s="8" t="str">
        <f>'Family Map'!B199</f>
        <v/>
      </c>
      <c r="C158" s="8" t="str">
        <f>'Family Map'!C199</f>
        <v/>
      </c>
      <c r="D158" s="8" t="str">
        <f>'Family Map'!D199</f>
        <v/>
      </c>
      <c r="E158" s="8" t="str">
        <f>'Family Map'!F199</f>
        <v/>
      </c>
      <c r="F158" s="8" t="str">
        <f>IF(AND(OR('Family Map'!A199=TRUE,'Family Map'!A199="☑",'Family Map'!A199="✓",'Family Map'!A199="✔"),E158&lt;&gt;"",J158="☑"),E158,"")</f>
        <v/>
      </c>
      <c r="G158" s="8">
        <f>IF(E158="",0,COUNTIF('Strand Placement'!$B:$B,E158))</f>
        <v>0</v>
      </c>
      <c r="H158" s="8" t="str">
        <f t="shared" si="2"/>
        <v>Unplaced</v>
      </c>
      <c r="I158" s="8" t="s">
        <v>794</v>
      </c>
      <c r="J158" s="8" t="str">
        <f t="array" ref="J158">IFERROR(XLOOKUP(B158,Setup!$B$38:$B$43,Setup!$A$38:$A$43),"☑")</f>
        <v>☑</v>
      </c>
      <c r="K158" s="8"/>
      <c r="L158" s="8"/>
      <c r="M158" s="8"/>
      <c r="N158" s="8"/>
      <c r="O158" s="8"/>
      <c r="P158" s="8"/>
      <c r="Q158" s="8"/>
      <c r="R158" s="8"/>
      <c r="S158" s="8" t="s">
        <v>665</v>
      </c>
      <c r="T158" s="8" t="s">
        <v>665</v>
      </c>
      <c r="U158" s="8" t="s">
        <v>665</v>
      </c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</row>
    <row r="159" ht="15.75" customHeight="1">
      <c r="A159" s="8">
        <v>155.0</v>
      </c>
      <c r="B159" s="8" t="str">
        <f>'Family Map'!B200</f>
        <v/>
      </c>
      <c r="C159" s="8" t="str">
        <f>'Family Map'!C200</f>
        <v/>
      </c>
      <c r="D159" s="8" t="str">
        <f>'Family Map'!D200</f>
        <v/>
      </c>
      <c r="E159" s="8" t="str">
        <f>'Family Map'!F200</f>
        <v/>
      </c>
      <c r="F159" s="8" t="str">
        <f>IF(AND(OR('Family Map'!A200=TRUE,'Family Map'!A200="☑",'Family Map'!A200="✓",'Family Map'!A200="✔"),E159&lt;&gt;"",J159="☑"),E159,"")</f>
        <v/>
      </c>
      <c r="G159" s="8">
        <f>IF(E159="",0,COUNTIF('Strand Placement'!$B:$B,E159))</f>
        <v>0</v>
      </c>
      <c r="H159" s="8" t="str">
        <f t="shared" si="2"/>
        <v>Unplaced</v>
      </c>
      <c r="I159" s="8" t="s">
        <v>795</v>
      </c>
      <c r="J159" s="8" t="str">
        <f t="array" ref="J159">IFERROR(XLOOKUP(B159,Setup!$B$38:$B$43,Setup!$A$38:$A$43),"☑")</f>
        <v>☑</v>
      </c>
      <c r="K159" s="8"/>
      <c r="L159" s="8"/>
      <c r="M159" s="8"/>
      <c r="N159" s="8"/>
      <c r="O159" s="8"/>
      <c r="P159" s="8"/>
      <c r="Q159" s="8"/>
      <c r="R159" s="8"/>
      <c r="S159" s="8" t="s">
        <v>665</v>
      </c>
      <c r="T159" s="8" t="s">
        <v>665</v>
      </c>
      <c r="U159" s="8" t="s">
        <v>665</v>
      </c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</row>
    <row r="160" ht="15.75" customHeight="1">
      <c r="A160" s="8">
        <v>156.0</v>
      </c>
      <c r="B160" s="8" t="str">
        <f>'Family Map'!B201</f>
        <v/>
      </c>
      <c r="C160" s="8" t="str">
        <f>'Family Map'!C201</f>
        <v/>
      </c>
      <c r="D160" s="8" t="str">
        <f>'Family Map'!D201</f>
        <v/>
      </c>
      <c r="E160" s="8" t="str">
        <f>'Family Map'!F201</f>
        <v/>
      </c>
      <c r="F160" s="8" t="str">
        <f>IF(AND(OR('Family Map'!A201=TRUE,'Family Map'!A201="☑",'Family Map'!A201="✓",'Family Map'!A201="✔"),E160&lt;&gt;"",J160="☑"),E160,"")</f>
        <v/>
      </c>
      <c r="G160" s="8">
        <f>IF(E160="",0,COUNTIF('Strand Placement'!$B:$B,E160))</f>
        <v>0</v>
      </c>
      <c r="H160" s="8" t="str">
        <f t="shared" si="2"/>
        <v>Unplaced</v>
      </c>
      <c r="I160" s="8" t="s">
        <v>796</v>
      </c>
      <c r="J160" s="8" t="str">
        <f t="array" ref="J160">IFERROR(XLOOKUP(B160,Setup!$B$38:$B$43,Setup!$A$38:$A$43),"☑")</f>
        <v>☑</v>
      </c>
      <c r="K160" s="8"/>
      <c r="L160" s="8"/>
      <c r="M160" s="8"/>
      <c r="N160" s="8"/>
      <c r="O160" s="8"/>
      <c r="P160" s="8"/>
      <c r="Q160" s="8"/>
      <c r="R160" s="8"/>
      <c r="S160" s="8" t="s">
        <v>665</v>
      </c>
      <c r="T160" s="8" t="s">
        <v>665</v>
      </c>
      <c r="U160" s="8" t="s">
        <v>665</v>
      </c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</row>
    <row r="161" ht="15.75" customHeight="1">
      <c r="A161" s="8">
        <v>157.0</v>
      </c>
      <c r="B161" s="8" t="str">
        <f>'Family Map'!B202</f>
        <v/>
      </c>
      <c r="C161" s="8" t="str">
        <f>'Family Map'!C202</f>
        <v/>
      </c>
      <c r="D161" s="8" t="str">
        <f>'Family Map'!D202</f>
        <v/>
      </c>
      <c r="E161" s="8" t="str">
        <f>'Family Map'!F202</f>
        <v/>
      </c>
      <c r="F161" s="8" t="str">
        <f>IF(AND(OR('Family Map'!A202=TRUE,'Family Map'!A202="☑",'Family Map'!A202="✓",'Family Map'!A202="✔"),E161&lt;&gt;"",J161="☑"),E161,"")</f>
        <v/>
      </c>
      <c r="G161" s="8">
        <f>IF(E161="",0,COUNTIF('Strand Placement'!$B:$B,E161))</f>
        <v>0</v>
      </c>
      <c r="H161" s="8" t="str">
        <f t="shared" si="2"/>
        <v>Unplaced</v>
      </c>
      <c r="I161" s="8" t="s">
        <v>797</v>
      </c>
      <c r="J161" s="8" t="str">
        <f t="array" ref="J161">IFERROR(XLOOKUP(B161,Setup!$B$38:$B$43,Setup!$A$38:$A$43),"☑")</f>
        <v>☑</v>
      </c>
      <c r="K161" s="8"/>
      <c r="L161" s="8"/>
      <c r="M161" s="8"/>
      <c r="N161" s="8"/>
      <c r="O161" s="8"/>
      <c r="P161" s="8"/>
      <c r="Q161" s="8"/>
      <c r="R161" s="8"/>
      <c r="S161" s="8" t="s">
        <v>665</v>
      </c>
      <c r="T161" s="8" t="s">
        <v>665</v>
      </c>
      <c r="U161" s="8" t="s">
        <v>665</v>
      </c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</row>
    <row r="162" ht="15.75" customHeight="1">
      <c r="A162" s="8">
        <v>158.0</v>
      </c>
      <c r="B162" s="8" t="str">
        <f>'Family Map'!B203</f>
        <v/>
      </c>
      <c r="C162" s="8" t="str">
        <f>'Family Map'!C203</f>
        <v/>
      </c>
      <c r="D162" s="8" t="str">
        <f>'Family Map'!D203</f>
        <v/>
      </c>
      <c r="E162" s="8" t="str">
        <f>'Family Map'!F203</f>
        <v/>
      </c>
      <c r="F162" s="8" t="str">
        <f>IF(AND(OR('Family Map'!A203=TRUE,'Family Map'!A203="☑",'Family Map'!A203="✓",'Family Map'!A203="✔"),E162&lt;&gt;"",J162="☑"),E162,"")</f>
        <v/>
      </c>
      <c r="G162" s="8">
        <f>IF(E162="",0,COUNTIF('Strand Placement'!$B:$B,E162))</f>
        <v>0</v>
      </c>
      <c r="H162" s="8" t="str">
        <f t="shared" si="2"/>
        <v>Unplaced</v>
      </c>
      <c r="I162" s="8" t="s">
        <v>798</v>
      </c>
      <c r="J162" s="8" t="str">
        <f t="array" ref="J162">IFERROR(XLOOKUP(B162,Setup!$B$38:$B$43,Setup!$A$38:$A$43),"☑")</f>
        <v>☑</v>
      </c>
      <c r="K162" s="8"/>
      <c r="L162" s="8"/>
      <c r="M162" s="8"/>
      <c r="N162" s="8"/>
      <c r="O162" s="8"/>
      <c r="P162" s="8"/>
      <c r="Q162" s="8"/>
      <c r="R162" s="8"/>
      <c r="S162" s="8" t="s">
        <v>665</v>
      </c>
      <c r="T162" s="8" t="s">
        <v>665</v>
      </c>
      <c r="U162" s="8" t="s">
        <v>665</v>
      </c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</row>
    <row r="163" ht="15.75" customHeight="1">
      <c r="A163" s="8">
        <v>159.0</v>
      </c>
      <c r="B163" s="8" t="str">
        <f>'Family Map'!B204</f>
        <v/>
      </c>
      <c r="C163" s="8" t="str">
        <f>'Family Map'!C204</f>
        <v/>
      </c>
      <c r="D163" s="8" t="str">
        <f>'Family Map'!D204</f>
        <v/>
      </c>
      <c r="E163" s="8" t="str">
        <f>'Family Map'!F204</f>
        <v/>
      </c>
      <c r="F163" s="8" t="str">
        <f>IF(AND(OR('Family Map'!A204=TRUE,'Family Map'!A204="☑",'Family Map'!A204="✓",'Family Map'!A204="✔"),E163&lt;&gt;"",J163="☑"),E163,"")</f>
        <v/>
      </c>
      <c r="G163" s="8">
        <f>IF(E163="",0,COUNTIF('Strand Placement'!$B:$B,E163))</f>
        <v>0</v>
      </c>
      <c r="H163" s="8" t="str">
        <f t="shared" si="2"/>
        <v>Unplaced</v>
      </c>
      <c r="I163" s="8" t="s">
        <v>799</v>
      </c>
      <c r="J163" s="8" t="str">
        <f t="array" ref="J163">IFERROR(XLOOKUP(B163,Setup!$B$38:$B$43,Setup!$A$38:$A$43),"☑")</f>
        <v>☑</v>
      </c>
      <c r="K163" s="8"/>
      <c r="L163" s="8"/>
      <c r="M163" s="8"/>
      <c r="N163" s="8"/>
      <c r="O163" s="8"/>
      <c r="P163" s="8"/>
      <c r="Q163" s="8"/>
      <c r="R163" s="8"/>
      <c r="S163" s="8" t="s">
        <v>665</v>
      </c>
      <c r="T163" s="8" t="s">
        <v>665</v>
      </c>
      <c r="U163" s="8" t="s">
        <v>665</v>
      </c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</row>
    <row r="164" ht="15.75" customHeight="1">
      <c r="A164" s="8">
        <v>160.0</v>
      </c>
      <c r="B164" s="8" t="str">
        <f>'Family Map'!B205</f>
        <v/>
      </c>
      <c r="C164" s="8" t="str">
        <f>'Family Map'!C205</f>
        <v/>
      </c>
      <c r="D164" s="8" t="str">
        <f>'Family Map'!D205</f>
        <v/>
      </c>
      <c r="E164" s="8" t="str">
        <f>'Family Map'!F205</f>
        <v/>
      </c>
      <c r="F164" s="8" t="str">
        <f>IF(AND(OR('Family Map'!A205=TRUE,'Family Map'!A205="☑",'Family Map'!A205="✓",'Family Map'!A205="✔"),E164&lt;&gt;"",J164="☑"),E164,"")</f>
        <v/>
      </c>
      <c r="G164" s="8">
        <f>IF(E164="",0,COUNTIF('Strand Placement'!$B:$B,E164))</f>
        <v>0</v>
      </c>
      <c r="H164" s="8" t="str">
        <f t="shared" si="2"/>
        <v>Unplaced</v>
      </c>
      <c r="I164" s="8" t="s">
        <v>800</v>
      </c>
      <c r="J164" s="8" t="str">
        <f t="array" ref="J164">IFERROR(XLOOKUP(B164,Setup!$B$38:$B$43,Setup!$A$38:$A$43),"☑")</f>
        <v>☑</v>
      </c>
      <c r="K164" s="8"/>
      <c r="L164" s="8"/>
      <c r="M164" s="8"/>
      <c r="N164" s="8"/>
      <c r="O164" s="8"/>
      <c r="P164" s="8"/>
      <c r="Q164" s="8"/>
      <c r="R164" s="8"/>
      <c r="S164" s="8" t="s">
        <v>665</v>
      </c>
      <c r="T164" s="8" t="s">
        <v>665</v>
      </c>
      <c r="U164" s="8" t="s">
        <v>665</v>
      </c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</row>
    <row r="165" ht="15.75" customHeight="1">
      <c r="A165" s="8">
        <v>161.0</v>
      </c>
      <c r="B165" s="8" t="str">
        <f>'Family Map'!B206</f>
        <v/>
      </c>
      <c r="C165" s="8" t="str">
        <f>'Family Map'!C206</f>
        <v/>
      </c>
      <c r="D165" s="8" t="str">
        <f>'Family Map'!D206</f>
        <v/>
      </c>
      <c r="E165" s="8" t="str">
        <f>'Family Map'!F206</f>
        <v/>
      </c>
      <c r="F165" s="8" t="str">
        <f>IF(AND(OR('Family Map'!A206=TRUE,'Family Map'!A206="☑",'Family Map'!A206="✓",'Family Map'!A206="✔"),E165&lt;&gt;"",J165="☑"),E165,"")</f>
        <v/>
      </c>
      <c r="G165" s="8">
        <f>IF(E165="",0,COUNTIF('Strand Placement'!$B:$B,E165))</f>
        <v>0</v>
      </c>
      <c r="H165" s="8" t="str">
        <f t="shared" si="2"/>
        <v>Unplaced</v>
      </c>
      <c r="I165" s="8" t="s">
        <v>801</v>
      </c>
      <c r="J165" s="8" t="str">
        <f t="array" ref="J165">IFERROR(XLOOKUP(B165,Setup!$B$38:$B$43,Setup!$A$38:$A$43),"☑")</f>
        <v>☑</v>
      </c>
      <c r="K165" s="8"/>
      <c r="L165" s="8"/>
      <c r="M165" s="8"/>
      <c r="N165" s="8"/>
      <c r="O165" s="8"/>
      <c r="P165" s="8"/>
      <c r="Q165" s="8"/>
      <c r="R165" s="8"/>
      <c r="S165" s="8" t="s">
        <v>665</v>
      </c>
      <c r="T165" s="8" t="s">
        <v>665</v>
      </c>
      <c r="U165" s="8" t="s">
        <v>665</v>
      </c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</row>
    <row r="166" ht="15.75" customHeight="1">
      <c r="A166" s="8">
        <v>162.0</v>
      </c>
      <c r="B166" s="8" t="str">
        <f>'Family Map'!B207</f>
        <v/>
      </c>
      <c r="C166" s="8" t="str">
        <f>'Family Map'!C207</f>
        <v/>
      </c>
      <c r="D166" s="8" t="str">
        <f>'Family Map'!D207</f>
        <v/>
      </c>
      <c r="E166" s="8" t="str">
        <f>'Family Map'!F207</f>
        <v/>
      </c>
      <c r="F166" s="8" t="str">
        <f>IF(AND(OR('Family Map'!A207=TRUE,'Family Map'!A207="☑",'Family Map'!A207="✓",'Family Map'!A207="✔"),E166&lt;&gt;"",J166="☑"),E166,"")</f>
        <v/>
      </c>
      <c r="G166" s="8">
        <f>IF(E166="",0,COUNTIF('Strand Placement'!$B:$B,E166))</f>
        <v>0</v>
      </c>
      <c r="H166" s="8" t="str">
        <f t="shared" si="2"/>
        <v>Unplaced</v>
      </c>
      <c r="I166" s="8" t="s">
        <v>802</v>
      </c>
      <c r="J166" s="8" t="str">
        <f t="array" ref="J166">IFERROR(XLOOKUP(B166,Setup!$B$38:$B$43,Setup!$A$38:$A$43),"☑")</f>
        <v>☑</v>
      </c>
      <c r="K166" s="8"/>
      <c r="L166" s="8"/>
      <c r="M166" s="8"/>
      <c r="N166" s="8"/>
      <c r="O166" s="8"/>
      <c r="P166" s="8"/>
      <c r="Q166" s="8"/>
      <c r="R166" s="8"/>
      <c r="S166" s="8" t="s">
        <v>665</v>
      </c>
      <c r="T166" s="8" t="s">
        <v>665</v>
      </c>
      <c r="U166" s="8" t="s">
        <v>665</v>
      </c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</row>
    <row r="167" ht="15.75" customHeight="1">
      <c r="A167" s="8">
        <v>163.0</v>
      </c>
      <c r="B167" s="8" t="str">
        <f>'Family Map'!B208</f>
        <v/>
      </c>
      <c r="C167" s="8" t="str">
        <f>'Family Map'!C208</f>
        <v/>
      </c>
      <c r="D167" s="8" t="str">
        <f>'Family Map'!D208</f>
        <v/>
      </c>
      <c r="E167" s="8" t="str">
        <f>'Family Map'!F208</f>
        <v/>
      </c>
      <c r="F167" s="8" t="str">
        <f>IF(AND(OR('Family Map'!A208=TRUE,'Family Map'!A208="☑",'Family Map'!A208="✓",'Family Map'!A208="✔"),E167&lt;&gt;"",J167="☑"),E167,"")</f>
        <v/>
      </c>
      <c r="G167" s="8">
        <f>IF(E167="",0,COUNTIF('Strand Placement'!$B:$B,E167))</f>
        <v>0</v>
      </c>
      <c r="H167" s="8" t="str">
        <f t="shared" si="2"/>
        <v>Unplaced</v>
      </c>
      <c r="I167" s="8" t="s">
        <v>803</v>
      </c>
      <c r="J167" s="8" t="str">
        <f t="array" ref="J167">IFERROR(XLOOKUP(B167,Setup!$B$38:$B$43,Setup!$A$38:$A$43),"☑")</f>
        <v>☑</v>
      </c>
      <c r="K167" s="8"/>
      <c r="L167" s="8"/>
      <c r="M167" s="8"/>
      <c r="N167" s="8"/>
      <c r="O167" s="8"/>
      <c r="P167" s="8"/>
      <c r="Q167" s="8"/>
      <c r="R167" s="8"/>
      <c r="S167" s="8" t="s">
        <v>665</v>
      </c>
      <c r="T167" s="8" t="s">
        <v>665</v>
      </c>
      <c r="U167" s="8" t="s">
        <v>665</v>
      </c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</row>
    <row r="168" ht="15.75" customHeight="1">
      <c r="A168" s="8">
        <v>164.0</v>
      </c>
      <c r="B168" s="8" t="str">
        <f>'Family Map'!B209</f>
        <v/>
      </c>
      <c r="C168" s="8" t="str">
        <f>'Family Map'!C209</f>
        <v/>
      </c>
      <c r="D168" s="8" t="str">
        <f>'Family Map'!D209</f>
        <v/>
      </c>
      <c r="E168" s="8" t="str">
        <f>'Family Map'!F209</f>
        <v/>
      </c>
      <c r="F168" s="8" t="str">
        <f>IF(AND(OR('Family Map'!A209=TRUE,'Family Map'!A209="☑",'Family Map'!A209="✓",'Family Map'!A209="✔"),E168&lt;&gt;"",J168="☑"),E168,"")</f>
        <v/>
      </c>
      <c r="G168" s="8">
        <f>IF(E168="",0,COUNTIF('Strand Placement'!$B:$B,E168))</f>
        <v>0</v>
      </c>
      <c r="H168" s="8" t="str">
        <f t="shared" si="2"/>
        <v>Unplaced</v>
      </c>
      <c r="I168" s="8" t="s">
        <v>804</v>
      </c>
      <c r="J168" s="8" t="str">
        <f t="array" ref="J168">IFERROR(XLOOKUP(B168,Setup!$B$38:$B$43,Setup!$A$38:$A$43),"☑")</f>
        <v>☑</v>
      </c>
      <c r="K168" s="8"/>
      <c r="L168" s="8"/>
      <c r="M168" s="8"/>
      <c r="N168" s="8"/>
      <c r="O168" s="8"/>
      <c r="P168" s="8"/>
      <c r="Q168" s="8"/>
      <c r="R168" s="8"/>
      <c r="S168" s="8" t="s">
        <v>665</v>
      </c>
      <c r="T168" s="8" t="s">
        <v>665</v>
      </c>
      <c r="U168" s="8" t="s">
        <v>665</v>
      </c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</row>
    <row r="169" ht="15.75" customHeight="1">
      <c r="A169" s="8">
        <v>165.0</v>
      </c>
      <c r="B169" s="8" t="str">
        <f>'Family Map'!B210</f>
        <v/>
      </c>
      <c r="C169" s="8" t="str">
        <f>'Family Map'!C210</f>
        <v/>
      </c>
      <c r="D169" s="8" t="str">
        <f>'Family Map'!D210</f>
        <v/>
      </c>
      <c r="E169" s="8" t="str">
        <f>'Family Map'!F210</f>
        <v/>
      </c>
      <c r="F169" s="8" t="str">
        <f>IF(AND(OR('Family Map'!A210=TRUE,'Family Map'!A210="☑",'Family Map'!A210="✓",'Family Map'!A210="✔"),E169&lt;&gt;"",J169="☑"),E169,"")</f>
        <v/>
      </c>
      <c r="G169" s="8">
        <f>IF(E169="",0,COUNTIF('Strand Placement'!$B:$B,E169))</f>
        <v>0</v>
      </c>
      <c r="H169" s="8" t="str">
        <f t="shared" si="2"/>
        <v>Unplaced</v>
      </c>
      <c r="I169" s="8" t="s">
        <v>805</v>
      </c>
      <c r="J169" s="8" t="str">
        <f t="array" ref="J169">IFERROR(XLOOKUP(B169,Setup!$B$38:$B$43,Setup!$A$38:$A$43),"☑")</f>
        <v>☑</v>
      </c>
      <c r="K169" s="8"/>
      <c r="L169" s="8"/>
      <c r="M169" s="8"/>
      <c r="N169" s="8"/>
      <c r="O169" s="8"/>
      <c r="P169" s="8"/>
      <c r="Q169" s="8"/>
      <c r="R169" s="8"/>
      <c r="S169" s="8" t="s">
        <v>665</v>
      </c>
      <c r="T169" s="8" t="s">
        <v>665</v>
      </c>
      <c r="U169" s="8" t="s">
        <v>665</v>
      </c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</row>
    <row r="170" ht="15.75" customHeight="1">
      <c r="A170" s="8">
        <v>166.0</v>
      </c>
      <c r="B170" s="8" t="str">
        <f>'Family Map'!B211</f>
        <v/>
      </c>
      <c r="C170" s="8" t="str">
        <f>'Family Map'!C211</f>
        <v/>
      </c>
      <c r="D170" s="8" t="str">
        <f>'Family Map'!D211</f>
        <v/>
      </c>
      <c r="E170" s="8" t="str">
        <f>'Family Map'!F211</f>
        <v/>
      </c>
      <c r="F170" s="8" t="str">
        <f>IF(AND(OR('Family Map'!A211=TRUE,'Family Map'!A211="☑",'Family Map'!A211="✓",'Family Map'!A211="✔"),E170&lt;&gt;"",J170="☑"),E170,"")</f>
        <v/>
      </c>
      <c r="G170" s="8">
        <f>IF(E170="",0,COUNTIF('Strand Placement'!$B:$B,E170))</f>
        <v>0</v>
      </c>
      <c r="H170" s="8" t="str">
        <f t="shared" si="2"/>
        <v>Unplaced</v>
      </c>
      <c r="I170" s="8" t="s">
        <v>806</v>
      </c>
      <c r="J170" s="8" t="str">
        <f t="array" ref="J170">IFERROR(XLOOKUP(B170,Setup!$B$38:$B$43,Setup!$A$38:$A$43),"☑")</f>
        <v>☑</v>
      </c>
      <c r="K170" s="8"/>
      <c r="L170" s="8"/>
      <c r="M170" s="8"/>
      <c r="N170" s="8"/>
      <c r="O170" s="8"/>
      <c r="P170" s="8"/>
      <c r="Q170" s="8"/>
      <c r="R170" s="8"/>
      <c r="S170" s="8" t="s">
        <v>665</v>
      </c>
      <c r="T170" s="8" t="s">
        <v>665</v>
      </c>
      <c r="U170" s="8" t="s">
        <v>665</v>
      </c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</row>
    <row r="171" ht="15.75" customHeight="1">
      <c r="A171" s="8">
        <v>167.0</v>
      </c>
      <c r="B171" s="8" t="str">
        <f>'Family Map'!B212</f>
        <v/>
      </c>
      <c r="C171" s="8" t="str">
        <f>'Family Map'!C212</f>
        <v/>
      </c>
      <c r="D171" s="8" t="str">
        <f>'Family Map'!D212</f>
        <v/>
      </c>
      <c r="E171" s="8" t="str">
        <f>'Family Map'!F212</f>
        <v/>
      </c>
      <c r="F171" s="8" t="str">
        <f>IF(AND(OR('Family Map'!A212=TRUE,'Family Map'!A212="☑",'Family Map'!A212="✓",'Family Map'!A212="✔"),E171&lt;&gt;"",J171="☑"),E171,"")</f>
        <v/>
      </c>
      <c r="G171" s="8">
        <f>IF(E171="",0,COUNTIF('Strand Placement'!$B:$B,E171))</f>
        <v>0</v>
      </c>
      <c r="H171" s="8" t="str">
        <f t="shared" si="2"/>
        <v>Unplaced</v>
      </c>
      <c r="I171" s="8" t="s">
        <v>807</v>
      </c>
      <c r="J171" s="8" t="str">
        <f t="array" ref="J171">IFERROR(XLOOKUP(B171,Setup!$B$38:$B$43,Setup!$A$38:$A$43),"☑")</f>
        <v>☑</v>
      </c>
      <c r="K171" s="8"/>
      <c r="L171" s="8"/>
      <c r="M171" s="8"/>
      <c r="N171" s="8"/>
      <c r="O171" s="8"/>
      <c r="P171" s="8"/>
      <c r="Q171" s="8"/>
      <c r="R171" s="8"/>
      <c r="S171" s="8" t="s">
        <v>665</v>
      </c>
      <c r="T171" s="8" t="s">
        <v>665</v>
      </c>
      <c r="U171" s="8" t="s">
        <v>665</v>
      </c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</row>
    <row r="172" ht="15.75" customHeight="1">
      <c r="A172" s="8">
        <v>168.0</v>
      </c>
      <c r="B172" s="8" t="str">
        <f>'Family Map'!B213</f>
        <v/>
      </c>
      <c r="C172" s="8" t="str">
        <f>'Family Map'!C213</f>
        <v/>
      </c>
      <c r="D172" s="8" t="str">
        <f>'Family Map'!D213</f>
        <v/>
      </c>
      <c r="E172" s="8" t="str">
        <f>'Family Map'!F213</f>
        <v/>
      </c>
      <c r="F172" s="8" t="str">
        <f>IF(AND(OR('Family Map'!A213=TRUE,'Family Map'!A213="☑",'Family Map'!A213="✓",'Family Map'!A213="✔"),E172&lt;&gt;"",J172="☑"),E172,"")</f>
        <v/>
      </c>
      <c r="G172" s="8">
        <f>IF(E172="",0,COUNTIF('Strand Placement'!$B:$B,E172))</f>
        <v>0</v>
      </c>
      <c r="H172" s="8" t="str">
        <f t="shared" si="2"/>
        <v>Unplaced</v>
      </c>
      <c r="I172" s="8" t="s">
        <v>808</v>
      </c>
      <c r="J172" s="8" t="str">
        <f t="array" ref="J172">IFERROR(XLOOKUP(B172,Setup!$B$38:$B$43,Setup!$A$38:$A$43),"☑")</f>
        <v>☑</v>
      </c>
      <c r="K172" s="8"/>
      <c r="L172" s="8"/>
      <c r="M172" s="8"/>
      <c r="N172" s="8"/>
      <c r="O172" s="8"/>
      <c r="P172" s="8"/>
      <c r="Q172" s="8"/>
      <c r="R172" s="8"/>
      <c r="S172" s="8" t="s">
        <v>665</v>
      </c>
      <c r="T172" s="8" t="s">
        <v>665</v>
      </c>
      <c r="U172" s="8" t="s">
        <v>665</v>
      </c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</row>
    <row r="173" ht="15.75" customHeight="1">
      <c r="A173" s="8">
        <v>169.0</v>
      </c>
      <c r="B173" s="8" t="str">
        <f>'Family Map'!B214</f>
        <v/>
      </c>
      <c r="C173" s="8" t="str">
        <f>'Family Map'!C214</f>
        <v/>
      </c>
      <c r="D173" s="8" t="str">
        <f>'Family Map'!D214</f>
        <v/>
      </c>
      <c r="E173" s="8" t="str">
        <f>'Family Map'!F214</f>
        <v/>
      </c>
      <c r="F173" s="8" t="str">
        <f>IF(AND(OR('Family Map'!A214=TRUE,'Family Map'!A214="☑",'Family Map'!A214="✓",'Family Map'!A214="✔"),E173&lt;&gt;"",J173="☑"),E173,"")</f>
        <v/>
      </c>
      <c r="G173" s="8">
        <f>IF(E173="",0,COUNTIF('Strand Placement'!$B:$B,E173))</f>
        <v>0</v>
      </c>
      <c r="H173" s="8" t="str">
        <f t="shared" si="2"/>
        <v>Unplaced</v>
      </c>
      <c r="I173" s="8" t="s">
        <v>809</v>
      </c>
      <c r="J173" s="8" t="str">
        <f t="array" ref="J173">IFERROR(XLOOKUP(B173,Setup!$B$38:$B$43,Setup!$A$38:$A$43),"☑")</f>
        <v>☑</v>
      </c>
      <c r="K173" s="8"/>
      <c r="L173" s="8"/>
      <c r="M173" s="8"/>
      <c r="N173" s="8"/>
      <c r="O173" s="8"/>
      <c r="P173" s="8"/>
      <c r="Q173" s="8"/>
      <c r="R173" s="8"/>
      <c r="S173" s="8" t="s">
        <v>665</v>
      </c>
      <c r="T173" s="8" t="s">
        <v>665</v>
      </c>
      <c r="U173" s="8" t="s">
        <v>665</v>
      </c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</row>
    <row r="174" ht="15.75" customHeight="1">
      <c r="A174" s="8">
        <v>170.0</v>
      </c>
      <c r="B174" s="8" t="str">
        <f>'Family Map'!B215</f>
        <v/>
      </c>
      <c r="C174" s="8" t="str">
        <f>'Family Map'!C215</f>
        <v/>
      </c>
      <c r="D174" s="8" t="str">
        <f>'Family Map'!D215</f>
        <v/>
      </c>
      <c r="E174" s="8" t="str">
        <f>'Family Map'!F215</f>
        <v/>
      </c>
      <c r="F174" s="8" t="str">
        <f>IF(AND(OR('Family Map'!A215=TRUE,'Family Map'!A215="☑",'Family Map'!A215="✓",'Family Map'!A215="✔"),E174&lt;&gt;"",J174="☑"),E174,"")</f>
        <v/>
      </c>
      <c r="G174" s="8">
        <f>IF(E174="",0,COUNTIF('Strand Placement'!$B:$B,E174))</f>
        <v>0</v>
      </c>
      <c r="H174" s="8" t="str">
        <f t="shared" si="2"/>
        <v>Unplaced</v>
      </c>
      <c r="I174" s="8" t="s">
        <v>810</v>
      </c>
      <c r="J174" s="8" t="str">
        <f t="array" ref="J174">IFERROR(XLOOKUP(B174,Setup!$B$38:$B$43,Setup!$A$38:$A$43),"☑")</f>
        <v>☑</v>
      </c>
      <c r="K174" s="8"/>
      <c r="L174" s="8"/>
      <c r="M174" s="8"/>
      <c r="N174" s="8"/>
      <c r="O174" s="8"/>
      <c r="P174" s="8"/>
      <c r="Q174" s="8"/>
      <c r="R174" s="8"/>
      <c r="S174" s="8" t="s">
        <v>665</v>
      </c>
      <c r="T174" s="8" t="s">
        <v>665</v>
      </c>
      <c r="U174" s="8" t="s">
        <v>665</v>
      </c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</row>
    <row r="175" ht="15.75" customHeight="1">
      <c r="A175" s="8">
        <v>171.0</v>
      </c>
      <c r="B175" s="8" t="str">
        <f>'Family Map'!B216</f>
        <v/>
      </c>
      <c r="C175" s="8" t="str">
        <f>'Family Map'!C216</f>
        <v/>
      </c>
      <c r="D175" s="8" t="str">
        <f>'Family Map'!D216</f>
        <v/>
      </c>
      <c r="E175" s="8" t="str">
        <f>'Family Map'!F216</f>
        <v/>
      </c>
      <c r="F175" s="8" t="str">
        <f>IF(AND(OR('Family Map'!A216=TRUE,'Family Map'!A216="☑",'Family Map'!A216="✓",'Family Map'!A216="✔"),E175&lt;&gt;"",J175="☑"),E175,"")</f>
        <v/>
      </c>
      <c r="G175" s="8">
        <f>IF(E175="",0,COUNTIF('Strand Placement'!$B:$B,E175))</f>
        <v>0</v>
      </c>
      <c r="H175" s="8" t="str">
        <f t="shared" si="2"/>
        <v>Unplaced</v>
      </c>
      <c r="I175" s="8" t="s">
        <v>811</v>
      </c>
      <c r="J175" s="8" t="str">
        <f t="array" ref="J175">IFERROR(XLOOKUP(B175,Setup!$B$38:$B$43,Setup!$A$38:$A$43),"☑")</f>
        <v>☑</v>
      </c>
      <c r="K175" s="8"/>
      <c r="L175" s="8"/>
      <c r="M175" s="8"/>
      <c r="N175" s="8"/>
      <c r="O175" s="8"/>
      <c r="P175" s="8"/>
      <c r="Q175" s="8"/>
      <c r="R175" s="8"/>
      <c r="S175" s="8" t="s">
        <v>665</v>
      </c>
      <c r="T175" s="8" t="s">
        <v>665</v>
      </c>
      <c r="U175" s="8" t="s">
        <v>665</v>
      </c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</row>
    <row r="176" ht="15.75" customHeight="1">
      <c r="A176" s="8">
        <v>172.0</v>
      </c>
      <c r="B176" s="8" t="str">
        <f>'Family Map'!B217</f>
        <v/>
      </c>
      <c r="C176" s="8" t="str">
        <f>'Family Map'!C217</f>
        <v/>
      </c>
      <c r="D176" s="8" t="str">
        <f>'Family Map'!D217</f>
        <v/>
      </c>
      <c r="E176" s="8" t="str">
        <f>'Family Map'!F217</f>
        <v/>
      </c>
      <c r="F176" s="8" t="str">
        <f>IF(AND(OR('Family Map'!A217=TRUE,'Family Map'!A217="☑",'Family Map'!A217="✓",'Family Map'!A217="✔"),E176&lt;&gt;"",J176="☑"),E176,"")</f>
        <v/>
      </c>
      <c r="G176" s="8">
        <f>IF(E176="",0,COUNTIF('Strand Placement'!$B:$B,E176))</f>
        <v>0</v>
      </c>
      <c r="H176" s="8" t="str">
        <f t="shared" si="2"/>
        <v>Unplaced</v>
      </c>
      <c r="I176" s="8" t="s">
        <v>812</v>
      </c>
      <c r="J176" s="8" t="str">
        <f t="array" ref="J176">IFERROR(XLOOKUP(B176,Setup!$B$38:$B$43,Setup!$A$38:$A$43),"☑")</f>
        <v>☑</v>
      </c>
      <c r="K176" s="8"/>
      <c r="L176" s="8"/>
      <c r="M176" s="8"/>
      <c r="N176" s="8"/>
      <c r="O176" s="8"/>
      <c r="P176" s="8"/>
      <c r="Q176" s="8"/>
      <c r="R176" s="8"/>
      <c r="S176" s="8" t="s">
        <v>665</v>
      </c>
      <c r="T176" s="8" t="s">
        <v>665</v>
      </c>
      <c r="U176" s="8" t="s">
        <v>665</v>
      </c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</row>
    <row r="177" ht="15.75" customHeight="1">
      <c r="A177" s="8">
        <v>173.0</v>
      </c>
      <c r="B177" s="8" t="str">
        <f>'Family Map'!B218</f>
        <v/>
      </c>
      <c r="C177" s="8" t="str">
        <f>'Family Map'!C218</f>
        <v/>
      </c>
      <c r="D177" s="8" t="str">
        <f>'Family Map'!D218</f>
        <v/>
      </c>
      <c r="E177" s="8" t="str">
        <f>'Family Map'!F218</f>
        <v/>
      </c>
      <c r="F177" s="8" t="str">
        <f>IF(AND(OR('Family Map'!A218=TRUE,'Family Map'!A218="☑",'Family Map'!A218="✓",'Family Map'!A218="✔"),E177&lt;&gt;"",J177="☑"),E177,"")</f>
        <v/>
      </c>
      <c r="G177" s="8">
        <f>IF(E177="",0,COUNTIF('Strand Placement'!$B:$B,E177))</f>
        <v>0</v>
      </c>
      <c r="H177" s="8" t="str">
        <f t="shared" si="2"/>
        <v>Unplaced</v>
      </c>
      <c r="I177" s="8" t="s">
        <v>813</v>
      </c>
      <c r="J177" s="8" t="str">
        <f t="array" ref="J177">IFERROR(XLOOKUP(B177,Setup!$B$38:$B$43,Setup!$A$38:$A$43),"☑")</f>
        <v>☑</v>
      </c>
      <c r="K177" s="8"/>
      <c r="L177" s="8"/>
      <c r="M177" s="8"/>
      <c r="N177" s="8"/>
      <c r="O177" s="8"/>
      <c r="P177" s="8"/>
      <c r="Q177" s="8"/>
      <c r="R177" s="8"/>
      <c r="S177" s="8" t="s">
        <v>665</v>
      </c>
      <c r="T177" s="8" t="s">
        <v>665</v>
      </c>
      <c r="U177" s="8" t="s">
        <v>665</v>
      </c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</row>
    <row r="178" ht="15.75" customHeight="1">
      <c r="A178" s="8">
        <v>174.0</v>
      </c>
      <c r="B178" s="8" t="str">
        <f>'Family Map'!B219</f>
        <v/>
      </c>
      <c r="C178" s="8" t="str">
        <f>'Family Map'!C219</f>
        <v/>
      </c>
      <c r="D178" s="8" t="str">
        <f>'Family Map'!D219</f>
        <v/>
      </c>
      <c r="E178" s="8" t="str">
        <f>'Family Map'!F219</f>
        <v/>
      </c>
      <c r="F178" s="8" t="str">
        <f>IF(AND(OR('Family Map'!A219=TRUE,'Family Map'!A219="☑",'Family Map'!A219="✓",'Family Map'!A219="✔"),E178&lt;&gt;"",J178="☑"),E178,"")</f>
        <v/>
      </c>
      <c r="G178" s="8">
        <f>IF(E178="",0,COUNTIF('Strand Placement'!$B:$B,E178))</f>
        <v>0</v>
      </c>
      <c r="H178" s="8" t="str">
        <f t="shared" si="2"/>
        <v>Unplaced</v>
      </c>
      <c r="I178" s="8" t="s">
        <v>814</v>
      </c>
      <c r="J178" s="8" t="str">
        <f t="array" ref="J178">IFERROR(XLOOKUP(B178,Setup!$B$38:$B$43,Setup!$A$38:$A$43),"☑")</f>
        <v>☑</v>
      </c>
      <c r="K178" s="8"/>
      <c r="L178" s="8"/>
      <c r="M178" s="8"/>
      <c r="N178" s="8"/>
      <c r="O178" s="8"/>
      <c r="P178" s="8"/>
      <c r="Q178" s="8"/>
      <c r="R178" s="8"/>
      <c r="S178" s="8" t="s">
        <v>665</v>
      </c>
      <c r="T178" s="8" t="s">
        <v>665</v>
      </c>
      <c r="U178" s="8" t="s">
        <v>665</v>
      </c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</row>
    <row r="179" ht="15.75" customHeight="1">
      <c r="A179" s="8">
        <v>175.0</v>
      </c>
      <c r="B179" s="8" t="str">
        <f>'Family Map'!B220</f>
        <v/>
      </c>
      <c r="C179" s="8" t="str">
        <f>'Family Map'!C220</f>
        <v/>
      </c>
      <c r="D179" s="8" t="str">
        <f>'Family Map'!D220</f>
        <v/>
      </c>
      <c r="E179" s="8" t="str">
        <f>'Family Map'!F220</f>
        <v/>
      </c>
      <c r="F179" s="8" t="str">
        <f>IF(AND(OR('Family Map'!A220=TRUE,'Family Map'!A220="☑",'Family Map'!A220="✓",'Family Map'!A220="✔"),E179&lt;&gt;"",J179="☑"),E179,"")</f>
        <v/>
      </c>
      <c r="G179" s="8">
        <f>IF(E179="",0,COUNTIF('Strand Placement'!$B:$B,E179))</f>
        <v>0</v>
      </c>
      <c r="H179" s="8" t="str">
        <f t="shared" si="2"/>
        <v>Unplaced</v>
      </c>
      <c r="I179" s="8" t="s">
        <v>815</v>
      </c>
      <c r="J179" s="8" t="str">
        <f t="array" ref="J179">IFERROR(XLOOKUP(B179,Setup!$B$38:$B$43,Setup!$A$38:$A$43),"☑")</f>
        <v>☑</v>
      </c>
      <c r="K179" s="8"/>
      <c r="L179" s="8"/>
      <c r="M179" s="8"/>
      <c r="N179" s="8"/>
      <c r="O179" s="8"/>
      <c r="P179" s="8"/>
      <c r="Q179" s="8"/>
      <c r="R179" s="8"/>
      <c r="S179" s="8" t="s">
        <v>665</v>
      </c>
      <c r="T179" s="8" t="s">
        <v>665</v>
      </c>
      <c r="U179" s="8" t="s">
        <v>665</v>
      </c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</row>
    <row r="180" ht="15.75" customHeight="1">
      <c r="A180" s="8">
        <v>176.0</v>
      </c>
      <c r="B180" s="8" t="str">
        <f>'Family Map'!B221</f>
        <v/>
      </c>
      <c r="C180" s="8" t="str">
        <f>'Family Map'!C221</f>
        <v/>
      </c>
      <c r="D180" s="8" t="str">
        <f>'Family Map'!D221</f>
        <v/>
      </c>
      <c r="E180" s="8" t="str">
        <f>'Family Map'!F221</f>
        <v/>
      </c>
      <c r="F180" s="8" t="str">
        <f>IF(AND(OR('Family Map'!A221=TRUE,'Family Map'!A221="☑",'Family Map'!A221="✓",'Family Map'!A221="✔"),E180&lt;&gt;"",J180="☑"),E180,"")</f>
        <v/>
      </c>
      <c r="G180" s="8">
        <f>IF(E180="",0,COUNTIF('Strand Placement'!$B:$B,E180))</f>
        <v>0</v>
      </c>
      <c r="H180" s="8" t="str">
        <f t="shared" si="2"/>
        <v>Unplaced</v>
      </c>
      <c r="I180" s="8" t="s">
        <v>816</v>
      </c>
      <c r="J180" s="8" t="str">
        <f t="array" ref="J180">IFERROR(XLOOKUP(B180,Setup!$B$38:$B$43,Setup!$A$38:$A$43),"☑")</f>
        <v>☑</v>
      </c>
      <c r="K180" s="8"/>
      <c r="L180" s="8"/>
      <c r="M180" s="8"/>
      <c r="N180" s="8"/>
      <c r="O180" s="8"/>
      <c r="P180" s="8"/>
      <c r="Q180" s="8"/>
      <c r="R180" s="8"/>
      <c r="S180" s="8" t="s">
        <v>665</v>
      </c>
      <c r="T180" s="8" t="s">
        <v>665</v>
      </c>
      <c r="U180" s="8" t="s">
        <v>665</v>
      </c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</row>
    <row r="181" ht="15.75" customHeight="1">
      <c r="A181" s="8">
        <v>177.0</v>
      </c>
      <c r="B181" s="8" t="str">
        <f>'Family Map'!B222</f>
        <v/>
      </c>
      <c r="C181" s="8" t="str">
        <f>'Family Map'!C222</f>
        <v/>
      </c>
      <c r="D181" s="8" t="str">
        <f>'Family Map'!D222</f>
        <v/>
      </c>
      <c r="E181" s="8" t="str">
        <f>'Family Map'!F222</f>
        <v/>
      </c>
      <c r="F181" s="8" t="str">
        <f>IF(AND(OR('Family Map'!A222=TRUE,'Family Map'!A222="☑",'Family Map'!A222="✓",'Family Map'!A222="✔"),E181&lt;&gt;"",J181="☑"),E181,"")</f>
        <v/>
      </c>
      <c r="G181" s="8">
        <f>IF(E181="",0,COUNTIF('Strand Placement'!$B:$B,E181))</f>
        <v>0</v>
      </c>
      <c r="H181" s="8" t="str">
        <f t="shared" si="2"/>
        <v>Unplaced</v>
      </c>
      <c r="I181" s="8" t="s">
        <v>817</v>
      </c>
      <c r="J181" s="8" t="str">
        <f t="array" ref="J181">IFERROR(XLOOKUP(B181,Setup!$B$38:$B$43,Setup!$A$38:$A$43),"☑")</f>
        <v>☑</v>
      </c>
      <c r="K181" s="8"/>
      <c r="L181" s="8"/>
      <c r="M181" s="8"/>
      <c r="N181" s="8"/>
      <c r="O181" s="8"/>
      <c r="P181" s="8"/>
      <c r="Q181" s="8"/>
      <c r="R181" s="8"/>
      <c r="S181" s="8" t="s">
        <v>665</v>
      </c>
      <c r="T181" s="8" t="s">
        <v>665</v>
      </c>
      <c r="U181" s="8" t="s">
        <v>665</v>
      </c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</row>
    <row r="182" ht="15.75" customHeight="1">
      <c r="A182" s="8">
        <v>178.0</v>
      </c>
      <c r="B182" s="8" t="str">
        <f>'Family Map'!B223</f>
        <v/>
      </c>
      <c r="C182" s="8" t="str">
        <f>'Family Map'!C223</f>
        <v/>
      </c>
      <c r="D182" s="8" t="str">
        <f>'Family Map'!D223</f>
        <v/>
      </c>
      <c r="E182" s="8" t="str">
        <f>'Family Map'!F223</f>
        <v/>
      </c>
      <c r="F182" s="8" t="str">
        <f>IF(AND(OR('Family Map'!A223=TRUE,'Family Map'!A223="☑",'Family Map'!A223="✓",'Family Map'!A223="✔"),E182&lt;&gt;"",J182="☑"),E182,"")</f>
        <v/>
      </c>
      <c r="G182" s="8">
        <f>IF(E182="",0,COUNTIF('Strand Placement'!$B:$B,E182))</f>
        <v>0</v>
      </c>
      <c r="H182" s="8" t="str">
        <f t="shared" si="2"/>
        <v>Unplaced</v>
      </c>
      <c r="I182" s="8" t="s">
        <v>818</v>
      </c>
      <c r="J182" s="8" t="str">
        <f t="array" ref="J182">IFERROR(XLOOKUP(B182,Setup!$B$38:$B$43,Setup!$A$38:$A$43),"☑")</f>
        <v>☑</v>
      </c>
      <c r="K182" s="8"/>
      <c r="L182" s="8"/>
      <c r="M182" s="8"/>
      <c r="N182" s="8"/>
      <c r="O182" s="8"/>
      <c r="P182" s="8"/>
      <c r="Q182" s="8"/>
      <c r="R182" s="8"/>
      <c r="S182" s="8" t="s">
        <v>665</v>
      </c>
      <c r="T182" s="8" t="s">
        <v>665</v>
      </c>
      <c r="U182" s="8" t="s">
        <v>665</v>
      </c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</row>
    <row r="183" ht="15.75" customHeight="1">
      <c r="A183" s="8">
        <v>179.0</v>
      </c>
      <c r="B183" s="8" t="str">
        <f>'Family Map'!B224</f>
        <v/>
      </c>
      <c r="C183" s="8" t="str">
        <f>'Family Map'!C224</f>
        <v/>
      </c>
      <c r="D183" s="8" t="str">
        <f>'Family Map'!D224</f>
        <v/>
      </c>
      <c r="E183" s="8" t="str">
        <f>'Family Map'!F224</f>
        <v/>
      </c>
      <c r="F183" s="8" t="str">
        <f>IF(AND(OR('Family Map'!A224=TRUE,'Family Map'!A224="☑",'Family Map'!A224="✓",'Family Map'!A224="✔"),E183&lt;&gt;"",J183="☑"),E183,"")</f>
        <v/>
      </c>
      <c r="G183" s="8">
        <f>IF(E183="",0,COUNTIF('Strand Placement'!$B:$B,E183))</f>
        <v>0</v>
      </c>
      <c r="H183" s="8" t="str">
        <f t="shared" si="2"/>
        <v>Unplaced</v>
      </c>
      <c r="I183" s="8" t="s">
        <v>819</v>
      </c>
      <c r="J183" s="8" t="str">
        <f t="array" ref="J183">IFERROR(XLOOKUP(B183,Setup!$B$38:$B$43,Setup!$A$38:$A$43),"☑")</f>
        <v>☑</v>
      </c>
      <c r="K183" s="8"/>
      <c r="L183" s="8"/>
      <c r="M183" s="8"/>
      <c r="N183" s="8"/>
      <c r="O183" s="8"/>
      <c r="P183" s="8"/>
      <c r="Q183" s="8"/>
      <c r="R183" s="8"/>
      <c r="S183" s="8" t="s">
        <v>665</v>
      </c>
      <c r="T183" s="8" t="s">
        <v>665</v>
      </c>
      <c r="U183" s="8" t="s">
        <v>665</v>
      </c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</row>
    <row r="184" ht="15.75" customHeight="1">
      <c r="A184" s="8">
        <v>180.0</v>
      </c>
      <c r="B184" s="8" t="str">
        <f>'Family Map'!B225</f>
        <v/>
      </c>
      <c r="C184" s="8" t="str">
        <f>'Family Map'!C225</f>
        <v/>
      </c>
      <c r="D184" s="8" t="str">
        <f>'Family Map'!D225</f>
        <v/>
      </c>
      <c r="E184" s="8" t="str">
        <f>'Family Map'!F225</f>
        <v/>
      </c>
      <c r="F184" s="8" t="str">
        <f>IF(AND(OR('Family Map'!A225=TRUE,'Family Map'!A225="☑",'Family Map'!A225="✓",'Family Map'!A225="✔"),E184&lt;&gt;"",J184="☑"),E184,"")</f>
        <v/>
      </c>
      <c r="G184" s="8">
        <f>IF(E184="",0,COUNTIF('Strand Placement'!$B:$B,E184))</f>
        <v>0</v>
      </c>
      <c r="H184" s="8" t="str">
        <f t="shared" si="2"/>
        <v>Unplaced</v>
      </c>
      <c r="I184" s="8" t="s">
        <v>820</v>
      </c>
      <c r="J184" s="8" t="str">
        <f t="array" ref="J184">IFERROR(XLOOKUP(B184,Setup!$B$38:$B$43,Setup!$A$38:$A$43),"☑")</f>
        <v>☑</v>
      </c>
      <c r="K184" s="8"/>
      <c r="L184" s="8"/>
      <c r="M184" s="8"/>
      <c r="N184" s="8"/>
      <c r="O184" s="8"/>
      <c r="P184" s="8"/>
      <c r="Q184" s="8"/>
      <c r="R184" s="8"/>
      <c r="S184" s="8" t="s">
        <v>665</v>
      </c>
      <c r="T184" s="8" t="s">
        <v>665</v>
      </c>
      <c r="U184" s="8" t="s">
        <v>665</v>
      </c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</row>
    <row r="185" ht="15.75" customHeight="1">
      <c r="A185" s="8">
        <v>181.0</v>
      </c>
      <c r="B185" s="8" t="str">
        <f>'Family Map'!B226</f>
        <v/>
      </c>
      <c r="C185" s="8" t="str">
        <f>'Family Map'!C226</f>
        <v/>
      </c>
      <c r="D185" s="8" t="str">
        <f>'Family Map'!D226</f>
        <v/>
      </c>
      <c r="E185" s="8" t="str">
        <f>'Family Map'!F226</f>
        <v/>
      </c>
      <c r="F185" s="8" t="str">
        <f>IF(AND(OR('Family Map'!A226=TRUE,'Family Map'!A226="☑",'Family Map'!A226="✓",'Family Map'!A226="✔"),E185&lt;&gt;"",J185="☑"),E185,"")</f>
        <v/>
      </c>
      <c r="G185" s="8">
        <f>IF(E185="",0,COUNTIF('Strand Placement'!$B:$B,E185))</f>
        <v>0</v>
      </c>
      <c r="H185" s="8" t="str">
        <f t="shared" si="2"/>
        <v>Unplaced</v>
      </c>
      <c r="I185" s="8" t="s">
        <v>821</v>
      </c>
      <c r="J185" s="8" t="str">
        <f t="array" ref="J185">IFERROR(XLOOKUP(B185,Setup!$B$38:$B$43,Setup!$A$38:$A$43),"☑")</f>
        <v>☑</v>
      </c>
      <c r="K185" s="8"/>
      <c r="L185" s="8"/>
      <c r="M185" s="8"/>
      <c r="N185" s="8"/>
      <c r="O185" s="8"/>
      <c r="P185" s="8"/>
      <c r="Q185" s="8"/>
      <c r="R185" s="8"/>
      <c r="S185" s="8" t="s">
        <v>665</v>
      </c>
      <c r="T185" s="8" t="s">
        <v>665</v>
      </c>
      <c r="U185" s="8" t="s">
        <v>665</v>
      </c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</row>
    <row r="186" ht="15.75" customHeight="1">
      <c r="A186" s="8">
        <v>182.0</v>
      </c>
      <c r="B186" s="8" t="str">
        <f>'Family Map'!B227</f>
        <v/>
      </c>
      <c r="C186" s="8" t="str">
        <f>'Family Map'!C227</f>
        <v/>
      </c>
      <c r="D186" s="8" t="str">
        <f>'Family Map'!D227</f>
        <v/>
      </c>
      <c r="E186" s="8" t="str">
        <f>'Family Map'!F227</f>
        <v/>
      </c>
      <c r="F186" s="8" t="str">
        <f>IF(AND(OR('Family Map'!A227=TRUE,'Family Map'!A227="☑",'Family Map'!A227="✓",'Family Map'!A227="✔"),E186&lt;&gt;"",J186="☑"),E186,"")</f>
        <v/>
      </c>
      <c r="G186" s="8">
        <f>IF(E186="",0,COUNTIF('Strand Placement'!$B:$B,E186))</f>
        <v>0</v>
      </c>
      <c r="H186" s="8" t="str">
        <f t="shared" si="2"/>
        <v>Unplaced</v>
      </c>
      <c r="I186" s="8" t="s">
        <v>822</v>
      </c>
      <c r="J186" s="8" t="str">
        <f t="array" ref="J186">IFERROR(XLOOKUP(B186,Setup!$B$38:$B$43,Setup!$A$38:$A$43),"☑")</f>
        <v>☑</v>
      </c>
      <c r="K186" s="8"/>
      <c r="L186" s="8"/>
      <c r="M186" s="8"/>
      <c r="N186" s="8"/>
      <c r="O186" s="8"/>
      <c r="P186" s="8"/>
      <c r="Q186" s="8"/>
      <c r="R186" s="8"/>
      <c r="S186" s="8" t="s">
        <v>665</v>
      </c>
      <c r="T186" s="8" t="s">
        <v>665</v>
      </c>
      <c r="U186" s="8" t="s">
        <v>665</v>
      </c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</row>
    <row r="187" ht="15.75" customHeight="1">
      <c r="A187" s="8">
        <v>183.0</v>
      </c>
      <c r="B187" s="8" t="str">
        <f>'Family Map'!B228</f>
        <v/>
      </c>
      <c r="C187" s="8" t="str">
        <f>'Family Map'!C228</f>
        <v/>
      </c>
      <c r="D187" s="8" t="str">
        <f>'Family Map'!D228</f>
        <v/>
      </c>
      <c r="E187" s="8" t="str">
        <f>'Family Map'!F228</f>
        <v/>
      </c>
      <c r="F187" s="8" t="str">
        <f>IF(AND(OR('Family Map'!A228=TRUE,'Family Map'!A228="☑",'Family Map'!A228="✓",'Family Map'!A228="✔"),E187&lt;&gt;"",J187="☑"),E187,"")</f>
        <v/>
      </c>
      <c r="G187" s="8">
        <f>IF(E187="",0,COUNTIF('Strand Placement'!$B:$B,E187))</f>
        <v>0</v>
      </c>
      <c r="H187" s="8" t="str">
        <f t="shared" si="2"/>
        <v>Unplaced</v>
      </c>
      <c r="I187" s="8" t="s">
        <v>823</v>
      </c>
      <c r="J187" s="8" t="str">
        <f t="array" ref="J187">IFERROR(XLOOKUP(B187,Setup!$B$38:$B$43,Setup!$A$38:$A$43),"☑")</f>
        <v>☑</v>
      </c>
      <c r="K187" s="8"/>
      <c r="L187" s="8"/>
      <c r="M187" s="8"/>
      <c r="N187" s="8"/>
      <c r="O187" s="8"/>
      <c r="P187" s="8"/>
      <c r="Q187" s="8"/>
      <c r="R187" s="8"/>
      <c r="S187" s="8" t="s">
        <v>665</v>
      </c>
      <c r="T187" s="8" t="s">
        <v>665</v>
      </c>
      <c r="U187" s="8" t="s">
        <v>665</v>
      </c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</row>
    <row r="188" ht="15.75" customHeight="1">
      <c r="A188" s="8">
        <v>184.0</v>
      </c>
      <c r="B188" s="8" t="str">
        <f>'Family Map'!B229</f>
        <v/>
      </c>
      <c r="C188" s="8" t="str">
        <f>'Family Map'!C229</f>
        <v/>
      </c>
      <c r="D188" s="8" t="str">
        <f>'Family Map'!D229</f>
        <v/>
      </c>
      <c r="E188" s="8" t="str">
        <f>'Family Map'!F229</f>
        <v/>
      </c>
      <c r="F188" s="8" t="str">
        <f>IF(AND(OR('Family Map'!A229=TRUE,'Family Map'!A229="☑",'Family Map'!A229="✓",'Family Map'!A229="✔"),E188&lt;&gt;"",J188="☑"),E188,"")</f>
        <v/>
      </c>
      <c r="G188" s="8">
        <f>IF(E188="",0,COUNTIF('Strand Placement'!$B:$B,E188))</f>
        <v>0</v>
      </c>
      <c r="H188" s="8" t="str">
        <f t="shared" si="2"/>
        <v>Unplaced</v>
      </c>
      <c r="I188" s="8" t="s">
        <v>824</v>
      </c>
      <c r="J188" s="8" t="str">
        <f t="array" ref="J188">IFERROR(XLOOKUP(B188,Setup!$B$38:$B$43,Setup!$A$38:$A$43),"☑")</f>
        <v>☑</v>
      </c>
      <c r="K188" s="8"/>
      <c r="L188" s="8"/>
      <c r="M188" s="8"/>
      <c r="N188" s="8"/>
      <c r="O188" s="8"/>
      <c r="P188" s="8"/>
      <c r="Q188" s="8"/>
      <c r="R188" s="8"/>
      <c r="S188" s="8" t="s">
        <v>665</v>
      </c>
      <c r="T188" s="8" t="s">
        <v>665</v>
      </c>
      <c r="U188" s="8" t="s">
        <v>665</v>
      </c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</row>
    <row r="189" ht="15.75" customHeight="1">
      <c r="A189" s="8">
        <v>185.0</v>
      </c>
      <c r="B189" s="8" t="str">
        <f>'Family Map'!B230</f>
        <v/>
      </c>
      <c r="C189" s="8" t="str">
        <f>'Family Map'!C230</f>
        <v/>
      </c>
      <c r="D189" s="8" t="str">
        <f>'Family Map'!D230</f>
        <v/>
      </c>
      <c r="E189" s="8" t="str">
        <f>'Family Map'!F230</f>
        <v/>
      </c>
      <c r="F189" s="8" t="str">
        <f>IF(AND(OR('Family Map'!A230=TRUE,'Family Map'!A230="☑",'Family Map'!A230="✓",'Family Map'!A230="✔"),E189&lt;&gt;"",J189="☑"),E189,"")</f>
        <v/>
      </c>
      <c r="G189" s="8">
        <f>IF(E189="",0,COUNTIF('Strand Placement'!$B:$B,E189))</f>
        <v>0</v>
      </c>
      <c r="H189" s="8" t="str">
        <f t="shared" si="2"/>
        <v>Unplaced</v>
      </c>
      <c r="I189" s="8" t="s">
        <v>825</v>
      </c>
      <c r="J189" s="8" t="str">
        <f t="array" ref="J189">IFERROR(XLOOKUP(B189,Setup!$B$38:$B$43,Setup!$A$38:$A$43),"☑")</f>
        <v>☑</v>
      </c>
      <c r="K189" s="8"/>
      <c r="L189" s="8"/>
      <c r="M189" s="8"/>
      <c r="N189" s="8"/>
      <c r="O189" s="8"/>
      <c r="P189" s="8"/>
      <c r="Q189" s="8"/>
      <c r="R189" s="8"/>
      <c r="S189" s="8" t="s">
        <v>665</v>
      </c>
      <c r="T189" s="8" t="s">
        <v>665</v>
      </c>
      <c r="U189" s="8" t="s">
        <v>665</v>
      </c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</row>
    <row r="190" ht="15.75" customHeight="1">
      <c r="A190" s="8">
        <v>186.0</v>
      </c>
      <c r="B190" s="8" t="str">
        <f>'Family Map'!B231</f>
        <v/>
      </c>
      <c r="C190" s="8" t="str">
        <f>'Family Map'!C231</f>
        <v/>
      </c>
      <c r="D190" s="8" t="str">
        <f>'Family Map'!D231</f>
        <v/>
      </c>
      <c r="E190" s="8" t="str">
        <f>'Family Map'!F231</f>
        <v/>
      </c>
      <c r="F190" s="8" t="str">
        <f>IF(AND(OR('Family Map'!A231=TRUE,'Family Map'!A231="☑",'Family Map'!A231="✓",'Family Map'!A231="✔"),E190&lt;&gt;"",J190="☑"),E190,"")</f>
        <v/>
      </c>
      <c r="G190" s="8">
        <f>IF(E190="",0,COUNTIF('Strand Placement'!$B:$B,E190))</f>
        <v>0</v>
      </c>
      <c r="H190" s="8" t="str">
        <f t="shared" si="2"/>
        <v>Unplaced</v>
      </c>
      <c r="I190" s="8" t="s">
        <v>826</v>
      </c>
      <c r="J190" s="8" t="str">
        <f t="array" ref="J190">IFERROR(XLOOKUP(B190,Setup!$B$38:$B$43,Setup!$A$38:$A$43),"☑")</f>
        <v>☑</v>
      </c>
      <c r="K190" s="8"/>
      <c r="L190" s="8"/>
      <c r="M190" s="8"/>
      <c r="N190" s="8"/>
      <c r="O190" s="8"/>
      <c r="P190" s="8"/>
      <c r="Q190" s="8"/>
      <c r="R190" s="8"/>
      <c r="S190" s="8" t="s">
        <v>665</v>
      </c>
      <c r="T190" s="8" t="s">
        <v>665</v>
      </c>
      <c r="U190" s="8" t="s">
        <v>665</v>
      </c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</row>
    <row r="191" ht="15.75" customHeight="1">
      <c r="A191" s="8">
        <v>187.0</v>
      </c>
      <c r="B191" s="8" t="str">
        <f>'Family Map'!B232</f>
        <v/>
      </c>
      <c r="C191" s="8" t="str">
        <f>'Family Map'!C232</f>
        <v/>
      </c>
      <c r="D191" s="8" t="str">
        <f>'Family Map'!D232</f>
        <v/>
      </c>
      <c r="E191" s="8" t="str">
        <f>'Family Map'!F232</f>
        <v/>
      </c>
      <c r="F191" s="8" t="str">
        <f>IF(AND(OR('Family Map'!A232=TRUE,'Family Map'!A232="☑",'Family Map'!A232="✓",'Family Map'!A232="✔"),E191&lt;&gt;"",J191="☑"),E191,"")</f>
        <v/>
      </c>
      <c r="G191" s="8">
        <f>IF(E191="",0,COUNTIF('Strand Placement'!$B:$B,E191))</f>
        <v>0</v>
      </c>
      <c r="H191" s="8" t="str">
        <f t="shared" si="2"/>
        <v>Unplaced</v>
      </c>
      <c r="I191" s="8" t="s">
        <v>827</v>
      </c>
      <c r="J191" s="8" t="str">
        <f t="array" ref="J191">IFERROR(XLOOKUP(B191,Setup!$B$38:$B$43,Setup!$A$38:$A$43),"☑")</f>
        <v>☑</v>
      </c>
      <c r="K191" s="8"/>
      <c r="L191" s="8"/>
      <c r="M191" s="8"/>
      <c r="N191" s="8"/>
      <c r="O191" s="8"/>
      <c r="P191" s="8"/>
      <c r="Q191" s="8"/>
      <c r="R191" s="8"/>
      <c r="S191" s="8" t="s">
        <v>665</v>
      </c>
      <c r="T191" s="8" t="s">
        <v>665</v>
      </c>
      <c r="U191" s="8" t="s">
        <v>665</v>
      </c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</row>
    <row r="192" ht="15.75" customHeight="1">
      <c r="A192" s="8">
        <v>188.0</v>
      </c>
      <c r="B192" s="8" t="str">
        <f>'Family Map'!B233</f>
        <v/>
      </c>
      <c r="C192" s="8" t="str">
        <f>'Family Map'!C233</f>
        <v/>
      </c>
      <c r="D192" s="8" t="str">
        <f>'Family Map'!D233</f>
        <v/>
      </c>
      <c r="E192" s="8" t="str">
        <f>'Family Map'!F233</f>
        <v/>
      </c>
      <c r="F192" s="8" t="str">
        <f>IF(AND(OR('Family Map'!A233=TRUE,'Family Map'!A233="☑",'Family Map'!A233="✓",'Family Map'!A233="✔"),E192&lt;&gt;"",J192="☑"),E192,"")</f>
        <v/>
      </c>
      <c r="G192" s="8">
        <f>IF(E192="",0,COUNTIF('Strand Placement'!$B:$B,E192))</f>
        <v>0</v>
      </c>
      <c r="H192" s="8" t="str">
        <f t="shared" si="2"/>
        <v>Unplaced</v>
      </c>
      <c r="I192" s="8" t="s">
        <v>828</v>
      </c>
      <c r="J192" s="8" t="str">
        <f t="array" ref="J192">IFERROR(XLOOKUP(B192,Setup!$B$38:$B$43,Setup!$A$38:$A$43),"☑")</f>
        <v>☑</v>
      </c>
      <c r="K192" s="8"/>
      <c r="L192" s="8"/>
      <c r="M192" s="8"/>
      <c r="N192" s="8"/>
      <c r="O192" s="8"/>
      <c r="P192" s="8"/>
      <c r="Q192" s="8"/>
      <c r="R192" s="8"/>
      <c r="S192" s="8" t="s">
        <v>665</v>
      </c>
      <c r="T192" s="8" t="s">
        <v>665</v>
      </c>
      <c r="U192" s="8" t="s">
        <v>665</v>
      </c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</row>
    <row r="193" ht="15.75" customHeight="1">
      <c r="A193" s="8">
        <v>189.0</v>
      </c>
      <c r="B193" s="8" t="str">
        <f>'Family Map'!B234</f>
        <v/>
      </c>
      <c r="C193" s="8" t="str">
        <f>'Family Map'!C234</f>
        <v/>
      </c>
      <c r="D193" s="8" t="str">
        <f>'Family Map'!D234</f>
        <v/>
      </c>
      <c r="E193" s="8" t="str">
        <f>'Family Map'!F234</f>
        <v/>
      </c>
      <c r="F193" s="8" t="str">
        <f>IF(AND(OR('Family Map'!A234=TRUE,'Family Map'!A234="☑",'Family Map'!A234="✓",'Family Map'!A234="✔"),E193&lt;&gt;"",J193="☑"),E193,"")</f>
        <v/>
      </c>
      <c r="G193" s="8">
        <f>IF(E193="",0,COUNTIF('Strand Placement'!$B:$B,E193))</f>
        <v>0</v>
      </c>
      <c r="H193" s="8" t="str">
        <f t="shared" si="2"/>
        <v>Unplaced</v>
      </c>
      <c r="I193" s="8" t="s">
        <v>829</v>
      </c>
      <c r="J193" s="8" t="str">
        <f t="array" ref="J193">IFERROR(XLOOKUP(B193,Setup!$B$38:$B$43,Setup!$A$38:$A$43),"☑")</f>
        <v>☑</v>
      </c>
      <c r="K193" s="8"/>
      <c r="L193" s="8"/>
      <c r="M193" s="8"/>
      <c r="N193" s="8"/>
      <c r="O193" s="8"/>
      <c r="P193" s="8"/>
      <c r="Q193" s="8"/>
      <c r="R193" s="8"/>
      <c r="S193" s="8" t="s">
        <v>665</v>
      </c>
      <c r="T193" s="8" t="s">
        <v>665</v>
      </c>
      <c r="U193" s="8" t="s">
        <v>665</v>
      </c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</row>
    <row r="194" ht="15.75" customHeight="1">
      <c r="A194" s="8">
        <v>190.0</v>
      </c>
      <c r="B194" s="8" t="str">
        <f>'Family Map'!B235</f>
        <v/>
      </c>
      <c r="C194" s="8" t="str">
        <f>'Family Map'!C235</f>
        <v/>
      </c>
      <c r="D194" s="8" t="str">
        <f>'Family Map'!D235</f>
        <v/>
      </c>
      <c r="E194" s="8" t="str">
        <f>'Family Map'!F235</f>
        <v/>
      </c>
      <c r="F194" s="8" t="str">
        <f>IF(AND(OR('Family Map'!A235=TRUE,'Family Map'!A235="☑",'Family Map'!A235="✓",'Family Map'!A235="✔"),E194&lt;&gt;"",J194="☑"),E194,"")</f>
        <v/>
      </c>
      <c r="G194" s="8">
        <f>IF(E194="",0,COUNTIF('Strand Placement'!$B:$B,E194))</f>
        <v>0</v>
      </c>
      <c r="H194" s="8" t="str">
        <f t="shared" si="2"/>
        <v>Unplaced</v>
      </c>
      <c r="I194" s="8" t="s">
        <v>830</v>
      </c>
      <c r="J194" s="8" t="str">
        <f t="array" ref="J194">IFERROR(XLOOKUP(B194,Setup!$B$38:$B$43,Setup!$A$38:$A$43),"☑")</f>
        <v>☑</v>
      </c>
      <c r="K194" s="8"/>
      <c r="L194" s="8"/>
      <c r="M194" s="8"/>
      <c r="N194" s="8"/>
      <c r="O194" s="8"/>
      <c r="P194" s="8"/>
      <c r="Q194" s="8"/>
      <c r="R194" s="8"/>
      <c r="S194" s="8" t="s">
        <v>665</v>
      </c>
      <c r="T194" s="8" t="s">
        <v>665</v>
      </c>
      <c r="U194" s="8" t="s">
        <v>665</v>
      </c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</row>
    <row r="195" ht="15.75" customHeight="1">
      <c r="A195" s="8">
        <v>191.0</v>
      </c>
      <c r="B195" s="8" t="str">
        <f>'Family Map'!B236</f>
        <v/>
      </c>
      <c r="C195" s="8" t="str">
        <f>'Family Map'!C236</f>
        <v/>
      </c>
      <c r="D195" s="8" t="str">
        <f>'Family Map'!D236</f>
        <v/>
      </c>
      <c r="E195" s="8" t="str">
        <f>'Family Map'!F236</f>
        <v/>
      </c>
      <c r="F195" s="8" t="str">
        <f>IF(AND(OR('Family Map'!A236=TRUE,'Family Map'!A236="☑",'Family Map'!A236="✓",'Family Map'!A236="✔"),E195&lt;&gt;"",J195="☑"),E195,"")</f>
        <v/>
      </c>
      <c r="G195" s="8">
        <f>IF(E195="",0,COUNTIF('Strand Placement'!$B:$B,E195))</f>
        <v>0</v>
      </c>
      <c r="H195" s="8" t="str">
        <f t="shared" si="2"/>
        <v>Unplaced</v>
      </c>
      <c r="I195" s="8" t="s">
        <v>831</v>
      </c>
      <c r="J195" s="8" t="str">
        <f t="array" ref="J195">IFERROR(XLOOKUP(B195,Setup!$B$38:$B$43,Setup!$A$38:$A$43),"☑")</f>
        <v>☑</v>
      </c>
      <c r="K195" s="8"/>
      <c r="L195" s="8"/>
      <c r="M195" s="8"/>
      <c r="N195" s="8"/>
      <c r="O195" s="8"/>
      <c r="P195" s="8"/>
      <c r="Q195" s="8"/>
      <c r="R195" s="8"/>
      <c r="S195" s="8" t="s">
        <v>665</v>
      </c>
      <c r="T195" s="8" t="s">
        <v>665</v>
      </c>
      <c r="U195" s="8" t="s">
        <v>665</v>
      </c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</row>
    <row r="196" ht="15.75" customHeight="1">
      <c r="A196" s="8">
        <v>192.0</v>
      </c>
      <c r="B196" s="8" t="str">
        <f>'Family Map'!B237</f>
        <v/>
      </c>
      <c r="C196" s="8" t="str">
        <f>'Family Map'!C237</f>
        <v/>
      </c>
      <c r="D196" s="8" t="str">
        <f>'Family Map'!D237</f>
        <v/>
      </c>
      <c r="E196" s="8" t="str">
        <f>'Family Map'!F237</f>
        <v/>
      </c>
      <c r="F196" s="8" t="str">
        <f>IF(AND(OR('Family Map'!A237=TRUE,'Family Map'!A237="☑",'Family Map'!A237="✓",'Family Map'!A237="✔"),E196&lt;&gt;"",J196="☑"),E196,"")</f>
        <v/>
      </c>
      <c r="G196" s="8">
        <f>IF(E196="",0,COUNTIF('Strand Placement'!$B:$B,E196))</f>
        <v>0</v>
      </c>
      <c r="H196" s="8" t="str">
        <f t="shared" si="2"/>
        <v>Unplaced</v>
      </c>
      <c r="I196" s="8" t="s">
        <v>832</v>
      </c>
      <c r="J196" s="8" t="str">
        <f t="array" ref="J196">IFERROR(XLOOKUP(B196,Setup!$B$38:$B$43,Setup!$A$38:$A$43),"☑")</f>
        <v>☑</v>
      </c>
      <c r="K196" s="8"/>
      <c r="L196" s="8"/>
      <c r="M196" s="8"/>
      <c r="N196" s="8"/>
      <c r="O196" s="8"/>
      <c r="P196" s="8"/>
      <c r="Q196" s="8"/>
      <c r="R196" s="8"/>
      <c r="S196" s="8" t="s">
        <v>665</v>
      </c>
      <c r="T196" s="8" t="s">
        <v>665</v>
      </c>
      <c r="U196" s="8" t="s">
        <v>665</v>
      </c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</row>
    <row r="197" ht="15.75" customHeight="1">
      <c r="A197" s="8">
        <v>193.0</v>
      </c>
      <c r="B197" s="8" t="str">
        <f>'Family Map'!B238</f>
        <v/>
      </c>
      <c r="C197" s="8" t="str">
        <f>'Family Map'!C238</f>
        <v/>
      </c>
      <c r="D197" s="8" t="str">
        <f>'Family Map'!D238</f>
        <v/>
      </c>
      <c r="E197" s="8" t="str">
        <f>'Family Map'!F238</f>
        <v/>
      </c>
      <c r="F197" s="8" t="str">
        <f>IF(AND(OR('Family Map'!A238=TRUE,'Family Map'!A238="☑",'Family Map'!A238="✓",'Family Map'!A238="✔"),E197&lt;&gt;"",J197="☑"),E197,"")</f>
        <v/>
      </c>
      <c r="G197" s="8">
        <f>IF(E197="",0,COUNTIF('Strand Placement'!$B:$B,E197))</f>
        <v>0</v>
      </c>
      <c r="H197" s="8" t="str">
        <f t="shared" si="2"/>
        <v>Unplaced</v>
      </c>
      <c r="I197" s="8" t="s">
        <v>833</v>
      </c>
      <c r="J197" s="8" t="str">
        <f t="array" ref="J197">IFERROR(XLOOKUP(B197,Setup!$B$38:$B$43,Setup!$A$38:$A$43),"☑")</f>
        <v>☑</v>
      </c>
      <c r="K197" s="8"/>
      <c r="L197" s="8"/>
      <c r="M197" s="8"/>
      <c r="N197" s="8"/>
      <c r="O197" s="8"/>
      <c r="P197" s="8"/>
      <c r="Q197" s="8"/>
      <c r="R197" s="8"/>
      <c r="S197" s="8" t="s">
        <v>665</v>
      </c>
      <c r="T197" s="8" t="s">
        <v>665</v>
      </c>
      <c r="U197" s="8" t="s">
        <v>665</v>
      </c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</row>
    <row r="198" ht="15.75" customHeight="1">
      <c r="A198" s="8">
        <v>194.0</v>
      </c>
      <c r="B198" s="8" t="str">
        <f>'Family Map'!B239</f>
        <v/>
      </c>
      <c r="C198" s="8" t="str">
        <f>'Family Map'!C239</f>
        <v/>
      </c>
      <c r="D198" s="8" t="str">
        <f>'Family Map'!D239</f>
        <v/>
      </c>
      <c r="E198" s="8" t="str">
        <f>'Family Map'!F239</f>
        <v/>
      </c>
      <c r="F198" s="8" t="str">
        <f>IF(AND(OR('Family Map'!A239=TRUE,'Family Map'!A239="☑",'Family Map'!A239="✓",'Family Map'!A239="✔"),E198&lt;&gt;"",J198="☑"),E198,"")</f>
        <v/>
      </c>
      <c r="G198" s="8">
        <f>IF(E198="",0,COUNTIF('Strand Placement'!$B:$B,E198))</f>
        <v>0</v>
      </c>
      <c r="H198" s="8" t="str">
        <f t="shared" si="2"/>
        <v>Unplaced</v>
      </c>
      <c r="I198" s="8" t="s">
        <v>834</v>
      </c>
      <c r="J198" s="8" t="str">
        <f t="array" ref="J198">IFERROR(XLOOKUP(B198,Setup!$B$38:$B$43,Setup!$A$38:$A$43),"☑")</f>
        <v>☑</v>
      </c>
      <c r="K198" s="8"/>
      <c r="L198" s="8"/>
      <c r="M198" s="8"/>
      <c r="N198" s="8"/>
      <c r="O198" s="8"/>
      <c r="P198" s="8"/>
      <c r="Q198" s="8"/>
      <c r="R198" s="8"/>
      <c r="S198" s="8" t="s">
        <v>665</v>
      </c>
      <c r="T198" s="8" t="s">
        <v>665</v>
      </c>
      <c r="U198" s="8" t="s">
        <v>665</v>
      </c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</row>
    <row r="199" ht="15.75" customHeight="1">
      <c r="A199" s="8">
        <v>195.0</v>
      </c>
      <c r="B199" s="8" t="str">
        <f>'Family Map'!B240</f>
        <v/>
      </c>
      <c r="C199" s="8" t="str">
        <f>'Family Map'!C240</f>
        <v/>
      </c>
      <c r="D199" s="8" t="str">
        <f>'Family Map'!D240</f>
        <v/>
      </c>
      <c r="E199" s="8" t="str">
        <f>'Family Map'!F240</f>
        <v/>
      </c>
      <c r="F199" s="8" t="str">
        <f>IF(AND(OR('Family Map'!A240=TRUE,'Family Map'!A240="☑",'Family Map'!A240="✓",'Family Map'!A240="✔"),E199&lt;&gt;"",J199="☑"),E199,"")</f>
        <v/>
      </c>
      <c r="G199" s="8">
        <f>IF(E199="",0,COUNTIF('Strand Placement'!$B:$B,E199))</f>
        <v>0</v>
      </c>
      <c r="H199" s="8" t="str">
        <f t="shared" si="2"/>
        <v>Unplaced</v>
      </c>
      <c r="I199" s="8" t="s">
        <v>835</v>
      </c>
      <c r="J199" s="8" t="str">
        <f t="array" ref="J199">IFERROR(XLOOKUP(B199,Setup!$B$38:$B$43,Setup!$A$38:$A$43),"☑")</f>
        <v>☑</v>
      </c>
      <c r="K199" s="8"/>
      <c r="L199" s="8"/>
      <c r="M199" s="8"/>
      <c r="N199" s="8"/>
      <c r="O199" s="8"/>
      <c r="P199" s="8"/>
      <c r="Q199" s="8"/>
      <c r="R199" s="8"/>
      <c r="S199" s="8" t="s">
        <v>665</v>
      </c>
      <c r="T199" s="8" t="s">
        <v>665</v>
      </c>
      <c r="U199" s="8" t="s">
        <v>665</v>
      </c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</row>
    <row r="200" ht="15.75" customHeight="1">
      <c r="A200" s="8">
        <v>196.0</v>
      </c>
      <c r="B200" s="8" t="str">
        <f>'Family Map'!B241</f>
        <v/>
      </c>
      <c r="C200" s="8" t="str">
        <f>'Family Map'!C241</f>
        <v/>
      </c>
      <c r="D200" s="8" t="str">
        <f>'Family Map'!D241</f>
        <v/>
      </c>
      <c r="E200" s="8" t="str">
        <f>'Family Map'!F241</f>
        <v/>
      </c>
      <c r="F200" s="8" t="str">
        <f>IF(AND(OR('Family Map'!A241=TRUE,'Family Map'!A241="☑",'Family Map'!A241="✓",'Family Map'!A241="✔"),E200&lt;&gt;"",J200="☑"),E200,"")</f>
        <v/>
      </c>
      <c r="G200" s="8">
        <f>IF(E200="",0,COUNTIF('Strand Placement'!$B:$B,E200))</f>
        <v>0</v>
      </c>
      <c r="H200" s="8" t="str">
        <f t="shared" si="2"/>
        <v>Unplaced</v>
      </c>
      <c r="I200" s="8" t="s">
        <v>836</v>
      </c>
      <c r="J200" s="8" t="str">
        <f t="array" ref="J200">IFERROR(XLOOKUP(B200,Setup!$B$38:$B$43,Setup!$A$38:$A$43),"☑")</f>
        <v>☑</v>
      </c>
      <c r="K200" s="8"/>
      <c r="L200" s="8"/>
      <c r="M200" s="8"/>
      <c r="N200" s="8"/>
      <c r="O200" s="8"/>
      <c r="P200" s="8"/>
      <c r="Q200" s="8"/>
      <c r="R200" s="8"/>
      <c r="S200" s="8" t="s">
        <v>665</v>
      </c>
      <c r="T200" s="8" t="s">
        <v>665</v>
      </c>
      <c r="U200" s="8" t="s">
        <v>665</v>
      </c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</row>
    <row r="201" ht="15.75" customHeight="1">
      <c r="A201" s="163">
        <v>197.0</v>
      </c>
      <c r="B201" s="8" t="str">
        <f>'Family Map'!B242</f>
        <v/>
      </c>
      <c r="C201" s="8" t="str">
        <f>'Family Map'!C242</f>
        <v/>
      </c>
      <c r="D201" s="8" t="str">
        <f>'Family Map'!D242</f>
        <v/>
      </c>
      <c r="E201" s="8" t="str">
        <f>'Family Map'!F242</f>
        <v/>
      </c>
      <c r="F201" s="8" t="str">
        <f>IF(AND(OR('Family Map'!A242=TRUE,'Family Map'!A242="☑",'Family Map'!A242="✓",'Family Map'!A242="✔"),E201&lt;&gt;"",J201="☑"),E201,"")</f>
        <v/>
      </c>
      <c r="G201" s="8">
        <f>IF(E201="",0,COUNTIF('Strand Placement'!$B:$B,E201))</f>
        <v>0</v>
      </c>
      <c r="H201" s="163" t="str">
        <f t="shared" si="2"/>
        <v>Unplaced</v>
      </c>
      <c r="I201" s="163" t="s">
        <v>837</v>
      </c>
      <c r="J201" s="8" t="str">
        <f t="array" ref="J201">IFERROR(XLOOKUP(B201,Setup!$B$38:$B$43,Setup!$A$38:$A$43),"☑")</f>
        <v>☑</v>
      </c>
      <c r="S201" s="163" t="s">
        <v>665</v>
      </c>
      <c r="T201" s="163" t="s">
        <v>665</v>
      </c>
      <c r="U201" s="163" t="s">
        <v>665</v>
      </c>
    </row>
    <row r="202" ht="15.75" customHeight="1">
      <c r="A202" s="163">
        <v>198.0</v>
      </c>
      <c r="B202" s="8" t="str">
        <f>'Family Map'!B243</f>
        <v/>
      </c>
      <c r="C202" s="8" t="str">
        <f>'Family Map'!C243</f>
        <v/>
      </c>
      <c r="D202" s="8" t="str">
        <f>'Family Map'!D243</f>
        <v/>
      </c>
      <c r="E202" s="8" t="str">
        <f>'Family Map'!F243</f>
        <v/>
      </c>
      <c r="F202" s="8" t="str">
        <f>IF(AND(OR('Family Map'!A243=TRUE,'Family Map'!A243="☑",'Family Map'!A243="✓",'Family Map'!A243="✔"),E202&lt;&gt;"",J202="☑"),E202,"")</f>
        <v/>
      </c>
      <c r="G202" s="8">
        <f>IF(E202="",0,COUNTIF('Strand Placement'!$B:$B,E202))</f>
        <v>0</v>
      </c>
      <c r="H202" s="163" t="str">
        <f t="shared" si="2"/>
        <v>Unplaced</v>
      </c>
      <c r="I202" s="163" t="s">
        <v>838</v>
      </c>
      <c r="J202" s="8" t="str">
        <f t="array" ref="J202">IFERROR(XLOOKUP(B202,Setup!$B$38:$B$43,Setup!$A$38:$A$43),"☑")</f>
        <v>☑</v>
      </c>
      <c r="S202" s="163" t="s">
        <v>665</v>
      </c>
      <c r="T202" s="163" t="s">
        <v>665</v>
      </c>
      <c r="U202" s="163" t="s">
        <v>665</v>
      </c>
    </row>
    <row r="203" ht="15.75" customHeight="1">
      <c r="A203" s="163">
        <v>199.0</v>
      </c>
      <c r="B203" s="8" t="str">
        <f>'Family Map'!B244</f>
        <v/>
      </c>
      <c r="C203" s="8" t="str">
        <f>'Family Map'!C244</f>
        <v/>
      </c>
      <c r="D203" s="8" t="str">
        <f>'Family Map'!D244</f>
        <v/>
      </c>
      <c r="E203" s="8" t="str">
        <f>'Family Map'!F244</f>
        <v/>
      </c>
      <c r="F203" s="8" t="str">
        <f>IF(AND(OR('Family Map'!A244=TRUE,'Family Map'!A244="☑",'Family Map'!A244="✓",'Family Map'!A244="✔"),E203&lt;&gt;"",J203="☑"),E203,"")</f>
        <v/>
      </c>
      <c r="G203" s="8">
        <f>IF(E203="",0,COUNTIF('Strand Placement'!$B:$B,E203))</f>
        <v>0</v>
      </c>
      <c r="H203" s="163" t="str">
        <f t="shared" si="2"/>
        <v>Unplaced</v>
      </c>
      <c r="I203" s="163" t="s">
        <v>839</v>
      </c>
      <c r="J203" s="8" t="str">
        <f t="array" ref="J203">IFERROR(XLOOKUP(B203,Setup!$B$38:$B$43,Setup!$A$38:$A$43),"☑")</f>
        <v>☑</v>
      </c>
      <c r="S203" s="163" t="s">
        <v>665</v>
      </c>
      <c r="T203" s="163" t="s">
        <v>665</v>
      </c>
      <c r="U203" s="163" t="s">
        <v>665</v>
      </c>
    </row>
    <row r="204" ht="15.75" customHeight="1">
      <c r="A204" s="163">
        <v>200.0</v>
      </c>
      <c r="B204" s="8" t="str">
        <f>'Family Map'!B245</f>
        <v/>
      </c>
      <c r="C204" s="8" t="str">
        <f>'Family Map'!C245</f>
        <v/>
      </c>
      <c r="D204" s="8" t="str">
        <f>'Family Map'!D245</f>
        <v/>
      </c>
      <c r="E204" s="8" t="str">
        <f>'Family Map'!F245</f>
        <v/>
      </c>
      <c r="F204" s="8" t="str">
        <f>IF(AND(OR('Family Map'!A245=TRUE,'Family Map'!A245="☑",'Family Map'!A245="✓",'Family Map'!A245="✔"),E204&lt;&gt;"",J204="☑"),E204,"")</f>
        <v/>
      </c>
      <c r="G204" s="8">
        <f>IF(E204="",0,COUNTIF('Strand Placement'!$B:$B,E204))</f>
        <v>0</v>
      </c>
      <c r="H204" s="163" t="str">
        <f t="shared" si="2"/>
        <v>Unplaced</v>
      </c>
      <c r="I204" s="163" t="s">
        <v>840</v>
      </c>
      <c r="J204" s="8" t="str">
        <f t="array" ref="J204">IFERROR(XLOOKUP(B204,Setup!$B$38:$B$43,Setup!$A$38:$A$43),"☑")</f>
        <v>☑</v>
      </c>
      <c r="S204" s="163" t="s">
        <v>665</v>
      </c>
      <c r="T204" s="163" t="s">
        <v>665</v>
      </c>
      <c r="U204" s="163" t="s">
        <v>665</v>
      </c>
    </row>
    <row r="205" ht="15.75" customHeight="1">
      <c r="A205" s="163">
        <v>201.0</v>
      </c>
      <c r="B205" s="8" t="str">
        <f>'Family Map'!B246</f>
        <v/>
      </c>
      <c r="C205" s="8" t="str">
        <f>'Family Map'!C246</f>
        <v/>
      </c>
      <c r="D205" s="8" t="str">
        <f>'Family Map'!D246</f>
        <v/>
      </c>
      <c r="E205" s="8" t="str">
        <f>'Family Map'!F246</f>
        <v/>
      </c>
      <c r="F205" s="8" t="str">
        <f>IF(AND(OR('Family Map'!A246=TRUE,'Family Map'!A246="☑",'Family Map'!A246="✓",'Family Map'!A246="✔"),E205&lt;&gt;"",J205="☑"),E205,"")</f>
        <v/>
      </c>
      <c r="G205" s="8">
        <f>IF(E205="",0,COUNTIF('Strand Placement'!$B:$B,E205))</f>
        <v>0</v>
      </c>
      <c r="H205" s="163" t="str">
        <f t="shared" si="2"/>
        <v>Unplaced</v>
      </c>
      <c r="I205" s="163" t="s">
        <v>841</v>
      </c>
      <c r="J205" s="8" t="str">
        <f t="array" ref="J205">IFERROR(XLOOKUP(B205,Setup!$B$38:$B$43,Setup!$A$38:$A$43),"☑")</f>
        <v>☑</v>
      </c>
      <c r="S205" s="163" t="s">
        <v>665</v>
      </c>
      <c r="T205" s="163" t="s">
        <v>665</v>
      </c>
      <c r="U205" s="163" t="s">
        <v>665</v>
      </c>
    </row>
    <row r="206" ht="15.75" customHeight="1">
      <c r="A206" s="163">
        <v>202.0</v>
      </c>
      <c r="B206" s="8" t="str">
        <f>'Family Map'!B247</f>
        <v/>
      </c>
      <c r="C206" s="8" t="str">
        <f>'Family Map'!C247</f>
        <v/>
      </c>
      <c r="D206" s="8" t="str">
        <f>'Family Map'!D247</f>
        <v/>
      </c>
      <c r="E206" s="8" t="str">
        <f>'Family Map'!F247</f>
        <v/>
      </c>
      <c r="F206" s="8" t="str">
        <f>IF(AND(OR('Family Map'!A247=TRUE,'Family Map'!A247="☑",'Family Map'!A247="✓",'Family Map'!A247="✔"),E206&lt;&gt;"",J206="☑"),E206,"")</f>
        <v/>
      </c>
      <c r="G206" s="8">
        <f>IF(E206="",0,COUNTIF('Strand Placement'!$B:$B,E206))</f>
        <v>0</v>
      </c>
      <c r="H206" s="163" t="str">
        <f t="shared" si="2"/>
        <v>Unplaced</v>
      </c>
      <c r="I206" s="163" t="s">
        <v>842</v>
      </c>
      <c r="J206" s="8" t="str">
        <f t="array" ref="J206">IFERROR(XLOOKUP(B206,Setup!$B$38:$B$43,Setup!$A$38:$A$43),"☑")</f>
        <v>☑</v>
      </c>
      <c r="S206" s="163" t="s">
        <v>665</v>
      </c>
      <c r="T206" s="163" t="s">
        <v>665</v>
      </c>
      <c r="U206" s="163" t="s">
        <v>665</v>
      </c>
    </row>
    <row r="207" ht="15.75" customHeight="1">
      <c r="A207" s="163">
        <v>203.0</v>
      </c>
      <c r="B207" s="8" t="str">
        <f>'Family Map'!B248</f>
        <v/>
      </c>
      <c r="C207" s="8" t="str">
        <f>'Family Map'!C248</f>
        <v/>
      </c>
      <c r="D207" s="8" t="str">
        <f>'Family Map'!D248</f>
        <v/>
      </c>
      <c r="E207" s="8" t="str">
        <f>'Family Map'!F248</f>
        <v/>
      </c>
      <c r="F207" s="8" t="str">
        <f>IF(AND(OR('Family Map'!A248=TRUE,'Family Map'!A248="☑",'Family Map'!A248="✓",'Family Map'!A248="✔"),E207&lt;&gt;"",J207="☑"),E207,"")</f>
        <v/>
      </c>
      <c r="G207" s="8">
        <f>IF(E207="",0,COUNTIF('Strand Placement'!$B:$B,E207))</f>
        <v>0</v>
      </c>
      <c r="H207" s="163" t="str">
        <f t="shared" si="2"/>
        <v>Unplaced</v>
      </c>
      <c r="I207" s="163" t="s">
        <v>843</v>
      </c>
      <c r="J207" s="8" t="str">
        <f t="array" ref="J207">IFERROR(XLOOKUP(B207,Setup!$B$38:$B$43,Setup!$A$38:$A$43),"☑")</f>
        <v>☑</v>
      </c>
      <c r="S207" s="163" t="s">
        <v>665</v>
      </c>
      <c r="T207" s="163" t="s">
        <v>665</v>
      </c>
      <c r="U207" s="163" t="s">
        <v>665</v>
      </c>
    </row>
    <row r="208" ht="15.75" customHeight="1">
      <c r="A208" s="163">
        <v>204.0</v>
      </c>
      <c r="B208" s="8" t="str">
        <f>'Family Map'!B249</f>
        <v/>
      </c>
      <c r="C208" s="8" t="str">
        <f>'Family Map'!C249</f>
        <v/>
      </c>
      <c r="D208" s="8" t="str">
        <f>'Family Map'!D249</f>
        <v/>
      </c>
      <c r="E208" s="8" t="str">
        <f>'Family Map'!F249</f>
        <v/>
      </c>
      <c r="F208" s="8" t="str">
        <f>IF(AND(OR('Family Map'!A249=TRUE,'Family Map'!A249="☑",'Family Map'!A249="✓",'Family Map'!A249="✔"),E208&lt;&gt;"",J208="☑"),E208,"")</f>
        <v/>
      </c>
      <c r="G208" s="8">
        <f>IF(E208="",0,COUNTIF('Strand Placement'!$B:$B,E208))</f>
        <v>0</v>
      </c>
      <c r="H208" s="163" t="str">
        <f t="shared" si="2"/>
        <v>Unplaced</v>
      </c>
      <c r="I208" s="163" t="s">
        <v>844</v>
      </c>
      <c r="J208" s="8" t="str">
        <f t="array" ref="J208">IFERROR(XLOOKUP(B208,Setup!$B$38:$B$43,Setup!$A$38:$A$43),"☑")</f>
        <v>☑</v>
      </c>
      <c r="S208" s="163" t="s">
        <v>665</v>
      </c>
      <c r="T208" s="163" t="s">
        <v>665</v>
      </c>
      <c r="U208" s="163" t="s">
        <v>665</v>
      </c>
    </row>
    <row r="209" ht="15.75" customHeight="1">
      <c r="A209" s="163">
        <v>205.0</v>
      </c>
      <c r="B209" s="8" t="str">
        <f>'Family Map'!B250</f>
        <v/>
      </c>
      <c r="C209" s="8" t="str">
        <f>'Family Map'!C250</f>
        <v/>
      </c>
      <c r="D209" s="8" t="str">
        <f>'Family Map'!D250</f>
        <v/>
      </c>
      <c r="E209" s="8" t="str">
        <f>'Family Map'!F250</f>
        <v/>
      </c>
      <c r="F209" s="8" t="str">
        <f>IF(AND(OR('Family Map'!A250=TRUE,'Family Map'!A250="☑",'Family Map'!A250="✓",'Family Map'!A250="✔"),E209&lt;&gt;"",J209="☑"),E209,"")</f>
        <v/>
      </c>
      <c r="G209" s="8">
        <f>IF(E209="",0,COUNTIF('Strand Placement'!$B:$B,E209))</f>
        <v>0</v>
      </c>
      <c r="H209" s="163" t="str">
        <f t="shared" si="2"/>
        <v>Unplaced</v>
      </c>
      <c r="I209" s="163" t="s">
        <v>845</v>
      </c>
      <c r="J209" s="8" t="str">
        <f t="array" ref="J209">IFERROR(XLOOKUP(B209,Setup!$B$38:$B$43,Setup!$A$38:$A$43),"☑")</f>
        <v>☑</v>
      </c>
      <c r="S209" s="163" t="s">
        <v>665</v>
      </c>
      <c r="T209" s="163" t="s">
        <v>665</v>
      </c>
      <c r="U209" s="163" t="s">
        <v>665</v>
      </c>
    </row>
    <row r="210" ht="15.75" customHeight="1">
      <c r="A210" s="163">
        <v>206.0</v>
      </c>
      <c r="B210" s="8" t="str">
        <f>'Family Map'!B251</f>
        <v/>
      </c>
      <c r="C210" s="8" t="str">
        <f>'Family Map'!C251</f>
        <v/>
      </c>
      <c r="D210" s="8" t="str">
        <f>'Family Map'!D251</f>
        <v/>
      </c>
      <c r="E210" s="8" t="str">
        <f>'Family Map'!F251</f>
        <v/>
      </c>
      <c r="F210" s="8" t="str">
        <f>IF(AND(OR('Family Map'!A251=TRUE,'Family Map'!A251="☑",'Family Map'!A251="✓",'Family Map'!A251="✔"),E210&lt;&gt;"",J210="☑"),E210,"")</f>
        <v/>
      </c>
      <c r="G210" s="8">
        <f>IF(E210="",0,COUNTIF('Strand Placement'!$B:$B,E210))</f>
        <v>0</v>
      </c>
      <c r="H210" s="163" t="str">
        <f t="shared" si="2"/>
        <v>Unplaced</v>
      </c>
      <c r="I210" s="163" t="s">
        <v>846</v>
      </c>
      <c r="J210" s="8" t="str">
        <f t="array" ref="J210">IFERROR(XLOOKUP(B210,Setup!$B$38:$B$43,Setup!$A$38:$A$43),"☑")</f>
        <v>☑</v>
      </c>
      <c r="S210" s="163" t="s">
        <v>665</v>
      </c>
      <c r="T210" s="163" t="s">
        <v>665</v>
      </c>
      <c r="U210" s="163" t="s">
        <v>665</v>
      </c>
    </row>
    <row r="211" ht="15.75" customHeight="1">
      <c r="A211" s="163">
        <v>207.0</v>
      </c>
      <c r="B211" s="8" t="str">
        <f>'Family Map'!B252</f>
        <v/>
      </c>
      <c r="C211" s="8" t="str">
        <f>'Family Map'!C252</f>
        <v/>
      </c>
      <c r="D211" s="8" t="str">
        <f>'Family Map'!D252</f>
        <v/>
      </c>
      <c r="E211" s="8" t="str">
        <f>'Family Map'!F252</f>
        <v/>
      </c>
      <c r="F211" s="8" t="str">
        <f>IF(AND(OR('Family Map'!A252=TRUE,'Family Map'!A252="☑",'Family Map'!A252="✓",'Family Map'!A252="✔"),E211&lt;&gt;"",J211="☑"),E211,"")</f>
        <v/>
      </c>
      <c r="G211" s="8">
        <f>IF(E211="",0,COUNTIF('Strand Placement'!$B:$B,E211))</f>
        <v>0</v>
      </c>
      <c r="H211" s="163" t="str">
        <f t="shared" si="2"/>
        <v>Unplaced</v>
      </c>
      <c r="I211" s="163" t="s">
        <v>847</v>
      </c>
      <c r="J211" s="8" t="str">
        <f t="array" ref="J211">IFERROR(XLOOKUP(B211,Setup!$B$38:$B$43,Setup!$A$38:$A$43),"☑")</f>
        <v>☑</v>
      </c>
      <c r="S211" s="163" t="s">
        <v>665</v>
      </c>
      <c r="T211" s="163" t="s">
        <v>665</v>
      </c>
      <c r="U211" s="163" t="s">
        <v>665</v>
      </c>
    </row>
    <row r="212" ht="15.75" customHeight="1">
      <c r="A212" s="163">
        <v>208.0</v>
      </c>
      <c r="B212" s="8" t="str">
        <f>'Family Map'!B253</f>
        <v/>
      </c>
      <c r="C212" s="8" t="str">
        <f>'Family Map'!C253</f>
        <v/>
      </c>
      <c r="D212" s="8" t="str">
        <f>'Family Map'!D253</f>
        <v/>
      </c>
      <c r="E212" s="8" t="str">
        <f>'Family Map'!F253</f>
        <v/>
      </c>
      <c r="F212" s="8" t="str">
        <f>IF(AND(OR('Family Map'!A253=TRUE,'Family Map'!A253="☑",'Family Map'!A253="✓",'Family Map'!A253="✔"),E212&lt;&gt;"",J212="☑"),E212,"")</f>
        <v/>
      </c>
      <c r="G212" s="8">
        <f>IF(E212="",0,COUNTIF('Strand Placement'!$B:$B,E212))</f>
        <v>0</v>
      </c>
      <c r="H212" s="163" t="str">
        <f t="shared" si="2"/>
        <v>Unplaced</v>
      </c>
      <c r="I212" s="163" t="s">
        <v>848</v>
      </c>
      <c r="J212" s="8" t="str">
        <f t="array" ref="J212">IFERROR(XLOOKUP(B212,Setup!$B$38:$B$43,Setup!$A$38:$A$43),"☑")</f>
        <v>☑</v>
      </c>
      <c r="S212" s="163" t="s">
        <v>665</v>
      </c>
      <c r="T212" s="163" t="s">
        <v>665</v>
      </c>
      <c r="U212" s="163" t="s">
        <v>665</v>
      </c>
    </row>
    <row r="213" ht="15.75" customHeight="1">
      <c r="A213" s="163">
        <v>209.0</v>
      </c>
      <c r="B213" s="8" t="str">
        <f>'Family Map'!B254</f>
        <v/>
      </c>
      <c r="C213" s="8" t="str">
        <f>'Family Map'!C254</f>
        <v/>
      </c>
      <c r="D213" s="8" t="str">
        <f>'Family Map'!D254</f>
        <v/>
      </c>
      <c r="E213" s="8" t="str">
        <f>'Family Map'!F254</f>
        <v/>
      </c>
      <c r="F213" s="8" t="str">
        <f>IF(AND(OR('Family Map'!A254=TRUE,'Family Map'!A254="☑",'Family Map'!A254="✓",'Family Map'!A254="✔"),E213&lt;&gt;"",J213="☑"),E213,"")</f>
        <v/>
      </c>
      <c r="G213" s="8">
        <f>IF(E213="",0,COUNTIF('Strand Placement'!$B:$B,E213))</f>
        <v>0</v>
      </c>
      <c r="H213" s="163" t="str">
        <f t="shared" si="2"/>
        <v>Unplaced</v>
      </c>
      <c r="I213" s="163" t="s">
        <v>849</v>
      </c>
      <c r="J213" s="8" t="str">
        <f t="array" ref="J213">IFERROR(XLOOKUP(B213,Setup!$B$38:$B$43,Setup!$A$38:$A$43),"☑")</f>
        <v>☑</v>
      </c>
      <c r="S213" s="163" t="s">
        <v>665</v>
      </c>
      <c r="T213" s="163" t="s">
        <v>665</v>
      </c>
      <c r="U213" s="163" t="s">
        <v>665</v>
      </c>
    </row>
    <row r="214" ht="15.75" customHeight="1">
      <c r="A214" s="163">
        <v>210.0</v>
      </c>
      <c r="B214" s="8" t="str">
        <f>'Family Map'!B255</f>
        <v/>
      </c>
      <c r="C214" s="8" t="str">
        <f>'Family Map'!C255</f>
        <v/>
      </c>
      <c r="D214" s="8" t="str">
        <f>'Family Map'!D255</f>
        <v/>
      </c>
      <c r="E214" s="8" t="str">
        <f>'Family Map'!F255</f>
        <v/>
      </c>
      <c r="F214" s="8" t="str">
        <f>IF(AND(OR('Family Map'!A255=TRUE,'Family Map'!A255="☑",'Family Map'!A255="✓",'Family Map'!A255="✔"),E214&lt;&gt;"",J214="☑"),E214,"")</f>
        <v/>
      </c>
      <c r="G214" s="8">
        <f>IF(E214="",0,COUNTIF('Strand Placement'!$B:$B,E214))</f>
        <v>0</v>
      </c>
      <c r="H214" s="163" t="str">
        <f t="shared" si="2"/>
        <v>Unplaced</v>
      </c>
      <c r="I214" s="163" t="s">
        <v>850</v>
      </c>
      <c r="J214" s="8" t="str">
        <f t="array" ref="J214">IFERROR(XLOOKUP(B214,Setup!$B$38:$B$43,Setup!$A$38:$A$43),"☑")</f>
        <v>☑</v>
      </c>
      <c r="S214" s="163" t="s">
        <v>665</v>
      </c>
      <c r="T214" s="163" t="s">
        <v>665</v>
      </c>
      <c r="U214" s="163" t="s">
        <v>665</v>
      </c>
    </row>
    <row r="215" ht="15.75" customHeight="1">
      <c r="A215" s="163">
        <v>211.0</v>
      </c>
      <c r="B215" s="8" t="str">
        <f>'Family Map'!B256</f>
        <v/>
      </c>
      <c r="C215" s="8" t="str">
        <f>'Family Map'!C256</f>
        <v/>
      </c>
      <c r="D215" s="8" t="str">
        <f>'Family Map'!D256</f>
        <v/>
      </c>
      <c r="E215" s="8" t="str">
        <f>'Family Map'!F256</f>
        <v/>
      </c>
      <c r="F215" s="8" t="str">
        <f>IF(AND(OR('Family Map'!A256=TRUE,'Family Map'!A256="☑",'Family Map'!A256="✓",'Family Map'!A256="✔"),E215&lt;&gt;"",J215="☑"),E215,"")</f>
        <v/>
      </c>
      <c r="G215" s="8">
        <f>IF(E215="",0,COUNTIF('Strand Placement'!$B:$B,E215))</f>
        <v>0</v>
      </c>
      <c r="H215" s="163" t="str">
        <f t="shared" si="2"/>
        <v>Unplaced</v>
      </c>
      <c r="I215" s="163" t="s">
        <v>851</v>
      </c>
      <c r="J215" s="8" t="str">
        <f t="array" ref="J215">IFERROR(XLOOKUP(B215,Setup!$B$38:$B$43,Setup!$A$38:$A$43),"☑")</f>
        <v>☑</v>
      </c>
      <c r="S215" s="163" t="s">
        <v>665</v>
      </c>
      <c r="T215" s="163" t="s">
        <v>665</v>
      </c>
      <c r="U215" s="163" t="s">
        <v>665</v>
      </c>
    </row>
    <row r="216" ht="15.75" customHeight="1">
      <c r="A216" s="163">
        <v>212.0</v>
      </c>
      <c r="B216" s="8" t="str">
        <f>'Family Map'!B257</f>
        <v/>
      </c>
      <c r="C216" s="8" t="str">
        <f>'Family Map'!C257</f>
        <v/>
      </c>
      <c r="D216" s="8" t="str">
        <f>'Family Map'!D257</f>
        <v/>
      </c>
      <c r="E216" s="8" t="str">
        <f>'Family Map'!F257</f>
        <v/>
      </c>
      <c r="F216" s="8" t="str">
        <f>IF(AND(OR('Family Map'!A257=TRUE,'Family Map'!A257="☑",'Family Map'!A257="✓",'Family Map'!A257="✔"),E216&lt;&gt;"",J216="☑"),E216,"")</f>
        <v/>
      </c>
      <c r="G216" s="8">
        <f>IF(E216="",0,COUNTIF('Strand Placement'!$B:$B,E216))</f>
        <v>0</v>
      </c>
      <c r="H216" s="163" t="str">
        <f t="shared" si="2"/>
        <v>Unplaced</v>
      </c>
      <c r="I216" s="163" t="s">
        <v>852</v>
      </c>
      <c r="J216" s="8" t="str">
        <f t="array" ref="J216">IFERROR(XLOOKUP(B216,Setup!$B$38:$B$43,Setup!$A$38:$A$43),"☑")</f>
        <v>☑</v>
      </c>
      <c r="S216" s="163" t="s">
        <v>665</v>
      </c>
      <c r="T216" s="163" t="s">
        <v>665</v>
      </c>
      <c r="U216" s="163" t="s">
        <v>665</v>
      </c>
    </row>
    <row r="217" ht="15.75" customHeight="1">
      <c r="A217" s="163">
        <v>213.0</v>
      </c>
      <c r="B217" s="8" t="str">
        <f>'Family Map'!B258</f>
        <v/>
      </c>
      <c r="C217" s="8" t="str">
        <f>'Family Map'!C258</f>
        <v/>
      </c>
      <c r="D217" s="8" t="str">
        <f>'Family Map'!D258</f>
        <v/>
      </c>
      <c r="E217" s="8" t="str">
        <f>'Family Map'!F258</f>
        <v/>
      </c>
      <c r="F217" s="8" t="str">
        <f>IF(AND(OR('Family Map'!A258=TRUE,'Family Map'!A258="☑",'Family Map'!A258="✓",'Family Map'!A258="✔"),E217&lt;&gt;"",J217="☑"),E217,"")</f>
        <v/>
      </c>
      <c r="G217" s="8">
        <f>IF(E217="",0,COUNTIF('Strand Placement'!$B:$B,E217))</f>
        <v>0</v>
      </c>
      <c r="H217" s="163" t="str">
        <f t="shared" si="2"/>
        <v>Unplaced</v>
      </c>
      <c r="I217" s="163" t="s">
        <v>853</v>
      </c>
      <c r="J217" s="8" t="str">
        <f t="array" ref="J217">IFERROR(XLOOKUP(B217,Setup!$B$38:$B$43,Setup!$A$38:$A$43),"☑")</f>
        <v>☑</v>
      </c>
      <c r="S217" s="163" t="s">
        <v>665</v>
      </c>
      <c r="T217" s="163" t="s">
        <v>665</v>
      </c>
      <c r="U217" s="163" t="s">
        <v>665</v>
      </c>
    </row>
    <row r="218" ht="15.75" customHeight="1">
      <c r="A218" s="163">
        <v>214.0</v>
      </c>
      <c r="B218" s="8" t="str">
        <f>'Family Map'!B259</f>
        <v/>
      </c>
      <c r="C218" s="8" t="str">
        <f>'Family Map'!C259</f>
        <v/>
      </c>
      <c r="D218" s="8" t="str">
        <f>'Family Map'!D259</f>
        <v/>
      </c>
      <c r="E218" s="8" t="str">
        <f>'Family Map'!F259</f>
        <v/>
      </c>
      <c r="F218" s="8" t="str">
        <f>IF(AND(OR('Family Map'!A259=TRUE,'Family Map'!A259="☑",'Family Map'!A259="✓",'Family Map'!A259="✔"),E218&lt;&gt;"",J218="☑"),E218,"")</f>
        <v/>
      </c>
      <c r="G218" s="8">
        <f>IF(E218="",0,COUNTIF('Strand Placement'!$B:$B,E218))</f>
        <v>0</v>
      </c>
      <c r="H218" s="163" t="str">
        <f t="shared" si="2"/>
        <v>Unplaced</v>
      </c>
      <c r="I218" s="163" t="s">
        <v>854</v>
      </c>
      <c r="J218" s="8" t="str">
        <f t="array" ref="J218">IFERROR(XLOOKUP(B218,Setup!$B$38:$B$43,Setup!$A$38:$A$43),"☑")</f>
        <v>☑</v>
      </c>
      <c r="S218" s="163" t="s">
        <v>665</v>
      </c>
      <c r="T218" s="163" t="s">
        <v>665</v>
      </c>
      <c r="U218" s="163" t="s">
        <v>665</v>
      </c>
    </row>
    <row r="219" ht="15.75" customHeight="1">
      <c r="A219" s="163">
        <v>215.0</v>
      </c>
      <c r="B219" s="8" t="str">
        <f>'Family Map'!B260</f>
        <v/>
      </c>
      <c r="C219" s="8" t="str">
        <f>'Family Map'!C260</f>
        <v/>
      </c>
      <c r="D219" s="8" t="str">
        <f>'Family Map'!D260</f>
        <v/>
      </c>
      <c r="E219" s="8" t="str">
        <f>'Family Map'!F260</f>
        <v/>
      </c>
      <c r="F219" s="8" t="str">
        <f>IF(AND(OR('Family Map'!A260=TRUE,'Family Map'!A260="☑",'Family Map'!A260="✓",'Family Map'!A260="✔"),E219&lt;&gt;"",J219="☑"),E219,"")</f>
        <v/>
      </c>
      <c r="G219" s="8">
        <f>IF(E219="",0,COUNTIF('Strand Placement'!$B:$B,E219))</f>
        <v>0</v>
      </c>
      <c r="H219" s="163" t="str">
        <f t="shared" si="2"/>
        <v>Unplaced</v>
      </c>
      <c r="I219" s="163" t="s">
        <v>855</v>
      </c>
      <c r="J219" s="8" t="str">
        <f t="array" ref="J219">IFERROR(XLOOKUP(B219,Setup!$B$38:$B$43,Setup!$A$38:$A$43),"☑")</f>
        <v>☑</v>
      </c>
      <c r="S219" s="163" t="s">
        <v>665</v>
      </c>
      <c r="T219" s="163" t="s">
        <v>665</v>
      </c>
      <c r="U219" s="163" t="s">
        <v>665</v>
      </c>
    </row>
    <row r="220" ht="15.75" customHeight="1">
      <c r="A220" s="163">
        <v>216.0</v>
      </c>
      <c r="B220" s="8" t="str">
        <f>'Family Map'!B261</f>
        <v/>
      </c>
      <c r="C220" s="8" t="str">
        <f>'Family Map'!C261</f>
        <v/>
      </c>
      <c r="D220" s="8" t="str">
        <f>'Family Map'!D261</f>
        <v/>
      </c>
      <c r="E220" s="8" t="str">
        <f>'Family Map'!F261</f>
        <v/>
      </c>
      <c r="F220" s="8" t="str">
        <f>IF(AND(OR('Family Map'!A261=TRUE,'Family Map'!A261="☑",'Family Map'!A261="✓",'Family Map'!A261="✔"),E220&lt;&gt;"",J220="☑"),E220,"")</f>
        <v/>
      </c>
      <c r="G220" s="8">
        <f>IF(E220="",0,COUNTIF('Strand Placement'!$B:$B,E220))</f>
        <v>0</v>
      </c>
      <c r="H220" s="163" t="str">
        <f t="shared" si="2"/>
        <v>Unplaced</v>
      </c>
      <c r="I220" s="163" t="s">
        <v>856</v>
      </c>
      <c r="J220" s="8" t="str">
        <f t="array" ref="J220">IFERROR(XLOOKUP(B220,Setup!$B$38:$B$43,Setup!$A$38:$A$43),"☑")</f>
        <v>☑</v>
      </c>
      <c r="S220" s="163" t="s">
        <v>665</v>
      </c>
      <c r="T220" s="163" t="s">
        <v>665</v>
      </c>
      <c r="U220" s="163" t="s">
        <v>665</v>
      </c>
    </row>
    <row r="221" ht="15.75" customHeight="1">
      <c r="A221" s="163">
        <v>217.0</v>
      </c>
      <c r="B221" s="8" t="str">
        <f>'Family Map'!B262</f>
        <v/>
      </c>
      <c r="C221" s="8" t="str">
        <f>'Family Map'!C262</f>
        <v/>
      </c>
      <c r="D221" s="8" t="str">
        <f>'Family Map'!D262</f>
        <v/>
      </c>
      <c r="E221" s="8" t="str">
        <f>'Family Map'!F262</f>
        <v/>
      </c>
      <c r="F221" s="8" t="str">
        <f>IF(AND(OR('Family Map'!A262=TRUE,'Family Map'!A262="☑",'Family Map'!A262="✓",'Family Map'!A262="✔"),E221&lt;&gt;"",J221="☑"),E221,"")</f>
        <v/>
      </c>
      <c r="G221" s="8">
        <f>IF(E221="",0,COUNTIF('Strand Placement'!$B:$B,E221))</f>
        <v>0</v>
      </c>
      <c r="H221" s="163" t="str">
        <f t="shared" si="2"/>
        <v>Unplaced</v>
      </c>
      <c r="I221" s="163" t="s">
        <v>857</v>
      </c>
      <c r="J221" s="8" t="str">
        <f t="array" ref="J221">IFERROR(XLOOKUP(B221,Setup!$B$38:$B$43,Setup!$A$38:$A$43),"☑")</f>
        <v>☑</v>
      </c>
      <c r="S221" s="163" t="s">
        <v>665</v>
      </c>
      <c r="T221" s="163" t="s">
        <v>665</v>
      </c>
      <c r="U221" s="163" t="s">
        <v>665</v>
      </c>
    </row>
    <row r="222" ht="15.75" customHeight="1">
      <c r="A222" s="163">
        <v>218.0</v>
      </c>
      <c r="B222" s="8" t="str">
        <f>'Family Map'!B263</f>
        <v/>
      </c>
      <c r="C222" s="8" t="str">
        <f>'Family Map'!C263</f>
        <v/>
      </c>
      <c r="D222" s="8" t="str">
        <f>'Family Map'!D263</f>
        <v/>
      </c>
      <c r="E222" s="8" t="str">
        <f>'Family Map'!F263</f>
        <v/>
      </c>
      <c r="F222" s="8" t="str">
        <f>IF(AND(OR('Family Map'!A263=TRUE,'Family Map'!A263="☑",'Family Map'!A263="✓",'Family Map'!A263="✔"),E222&lt;&gt;"",J222="☑"),E222,"")</f>
        <v/>
      </c>
      <c r="G222" s="8">
        <f>IF(E222="",0,COUNTIF('Strand Placement'!$B:$B,E222))</f>
        <v>0</v>
      </c>
      <c r="H222" s="163" t="str">
        <f t="shared" si="2"/>
        <v>Unplaced</v>
      </c>
      <c r="I222" s="163" t="s">
        <v>858</v>
      </c>
      <c r="J222" s="8" t="str">
        <f t="array" ref="J222">IFERROR(XLOOKUP(B222,Setup!$B$38:$B$43,Setup!$A$38:$A$43),"☑")</f>
        <v>☑</v>
      </c>
      <c r="S222" s="163" t="s">
        <v>665</v>
      </c>
      <c r="T222" s="163" t="s">
        <v>665</v>
      </c>
      <c r="U222" s="163" t="s">
        <v>665</v>
      </c>
    </row>
    <row r="223" ht="15.75" customHeight="1">
      <c r="A223" s="163">
        <v>219.0</v>
      </c>
      <c r="B223" s="8" t="str">
        <f>'Family Map'!B264</f>
        <v/>
      </c>
      <c r="C223" s="8" t="str">
        <f>'Family Map'!C264</f>
        <v/>
      </c>
      <c r="D223" s="8" t="str">
        <f>'Family Map'!D264</f>
        <v/>
      </c>
      <c r="E223" s="8" t="str">
        <f>'Family Map'!F264</f>
        <v/>
      </c>
      <c r="F223" s="8" t="str">
        <f>IF(AND(OR('Family Map'!A264=TRUE,'Family Map'!A264="☑",'Family Map'!A264="✓",'Family Map'!A264="✔"),E223&lt;&gt;"",J223="☑"),E223,"")</f>
        <v/>
      </c>
      <c r="G223" s="8">
        <f>IF(E223="",0,COUNTIF('Strand Placement'!$B:$B,E223))</f>
        <v>0</v>
      </c>
      <c r="H223" s="163" t="str">
        <f t="shared" si="2"/>
        <v>Unplaced</v>
      </c>
      <c r="I223" s="163" t="s">
        <v>859</v>
      </c>
      <c r="J223" s="8" t="str">
        <f t="array" ref="J223">IFERROR(XLOOKUP(B223,Setup!$B$38:$B$43,Setup!$A$38:$A$43),"☑")</f>
        <v>☑</v>
      </c>
      <c r="S223" s="163" t="s">
        <v>665</v>
      </c>
      <c r="T223" s="163" t="s">
        <v>665</v>
      </c>
      <c r="U223" s="163" t="s">
        <v>665</v>
      </c>
    </row>
    <row r="224" ht="15.75" customHeight="1">
      <c r="A224" s="163">
        <v>220.0</v>
      </c>
      <c r="B224" s="8" t="str">
        <f>'Family Map'!B265</f>
        <v/>
      </c>
      <c r="C224" s="8" t="str">
        <f>'Family Map'!C265</f>
        <v/>
      </c>
      <c r="D224" s="8" t="str">
        <f>'Family Map'!D265</f>
        <v/>
      </c>
      <c r="E224" s="8" t="str">
        <f>'Family Map'!F265</f>
        <v/>
      </c>
      <c r="F224" s="8" t="str">
        <f>IF(AND(OR('Family Map'!A265=TRUE,'Family Map'!A265="☑",'Family Map'!A265="✓",'Family Map'!A265="✔"),E224&lt;&gt;"",J224="☑"),E224,"")</f>
        <v/>
      </c>
      <c r="G224" s="8">
        <f>IF(E224="",0,COUNTIF('Strand Placement'!$B:$B,E224))</f>
        <v>0</v>
      </c>
      <c r="H224" s="163" t="str">
        <f t="shared" si="2"/>
        <v>Unplaced</v>
      </c>
      <c r="I224" s="163" t="s">
        <v>860</v>
      </c>
      <c r="J224" s="8" t="str">
        <f t="array" ref="J224">IFERROR(XLOOKUP(B224,Setup!$B$38:$B$43,Setup!$A$38:$A$43),"☑")</f>
        <v>☑</v>
      </c>
      <c r="S224" s="163" t="s">
        <v>665</v>
      </c>
      <c r="T224" s="163" t="s">
        <v>665</v>
      </c>
      <c r="U224" s="163" t="s">
        <v>665</v>
      </c>
    </row>
    <row r="225" ht="15.75" customHeight="1">
      <c r="A225" s="163">
        <v>221.0</v>
      </c>
      <c r="B225" s="8" t="str">
        <f>'Family Map'!B266</f>
        <v/>
      </c>
      <c r="C225" s="8" t="str">
        <f>'Family Map'!C266</f>
        <v/>
      </c>
      <c r="D225" s="8" t="str">
        <f>'Family Map'!D266</f>
        <v/>
      </c>
      <c r="E225" s="8" t="str">
        <f>'Family Map'!F266</f>
        <v/>
      </c>
      <c r="F225" s="8" t="str">
        <f>IF(AND(OR('Family Map'!A266=TRUE,'Family Map'!A266="☑",'Family Map'!A266="✓",'Family Map'!A266="✔"),E225&lt;&gt;"",J225="☑"),E225,"")</f>
        <v/>
      </c>
      <c r="G225" s="8">
        <f>IF(E225="",0,COUNTIF('Strand Placement'!$B:$B,E225))</f>
        <v>0</v>
      </c>
      <c r="H225" s="163" t="str">
        <f t="shared" si="2"/>
        <v>Unplaced</v>
      </c>
      <c r="I225" s="163" t="s">
        <v>861</v>
      </c>
      <c r="J225" s="8" t="str">
        <f t="array" ref="J225">IFERROR(XLOOKUP(B225,Setup!$B$38:$B$43,Setup!$A$38:$A$43),"☑")</f>
        <v>☑</v>
      </c>
      <c r="S225" s="163" t="s">
        <v>665</v>
      </c>
      <c r="T225" s="163" t="s">
        <v>665</v>
      </c>
      <c r="U225" s="163" t="s">
        <v>665</v>
      </c>
    </row>
    <row r="226" ht="15.75" customHeight="1">
      <c r="A226" s="163">
        <v>222.0</v>
      </c>
      <c r="B226" s="8" t="str">
        <f>'Family Map'!B267</f>
        <v/>
      </c>
      <c r="C226" s="8" t="str">
        <f>'Family Map'!C267</f>
        <v/>
      </c>
      <c r="D226" s="8" t="str">
        <f>'Family Map'!D267</f>
        <v/>
      </c>
      <c r="E226" s="8" t="str">
        <f>'Family Map'!F267</f>
        <v/>
      </c>
      <c r="F226" s="8" t="str">
        <f>IF(AND(OR('Family Map'!A267=TRUE,'Family Map'!A267="☑",'Family Map'!A267="✓",'Family Map'!A267="✔"),E226&lt;&gt;"",J226="☑"),E226,"")</f>
        <v/>
      </c>
      <c r="G226" s="8">
        <f>IF(E226="",0,COUNTIF('Strand Placement'!$B:$B,E226))</f>
        <v>0</v>
      </c>
      <c r="H226" s="163" t="str">
        <f t="shared" si="2"/>
        <v>Unplaced</v>
      </c>
      <c r="I226" s="163" t="s">
        <v>862</v>
      </c>
      <c r="J226" s="8" t="str">
        <f t="array" ref="J226">IFERROR(XLOOKUP(B226,Setup!$B$38:$B$43,Setup!$A$38:$A$43),"☑")</f>
        <v>☑</v>
      </c>
      <c r="S226" s="163" t="s">
        <v>665</v>
      </c>
      <c r="T226" s="163" t="s">
        <v>665</v>
      </c>
      <c r="U226" s="163" t="s">
        <v>665</v>
      </c>
    </row>
    <row r="227" ht="15.75" customHeight="1">
      <c r="A227" s="163">
        <v>223.0</v>
      </c>
      <c r="B227" s="8" t="str">
        <f>'Family Map'!B268</f>
        <v/>
      </c>
      <c r="C227" s="8" t="str">
        <f>'Family Map'!C268</f>
        <v/>
      </c>
      <c r="D227" s="8" t="str">
        <f>'Family Map'!D268</f>
        <v/>
      </c>
      <c r="E227" s="8" t="str">
        <f>'Family Map'!F268</f>
        <v/>
      </c>
      <c r="F227" s="8" t="str">
        <f>IF(AND(OR('Family Map'!A268=TRUE,'Family Map'!A268="☑",'Family Map'!A268="✓",'Family Map'!A268="✔"),E227&lt;&gt;"",J227="☑"),E227,"")</f>
        <v/>
      </c>
      <c r="G227" s="8">
        <f>IF(E227="",0,COUNTIF('Strand Placement'!$B:$B,E227))</f>
        <v>0</v>
      </c>
      <c r="H227" s="163" t="str">
        <f t="shared" si="2"/>
        <v>Unplaced</v>
      </c>
      <c r="I227" s="163" t="s">
        <v>863</v>
      </c>
      <c r="J227" s="8" t="str">
        <f t="array" ref="J227">IFERROR(XLOOKUP(B227,Setup!$B$38:$B$43,Setup!$A$38:$A$43),"☑")</f>
        <v>☑</v>
      </c>
      <c r="S227" s="163" t="s">
        <v>665</v>
      </c>
      <c r="T227" s="163" t="s">
        <v>665</v>
      </c>
      <c r="U227" s="163" t="s">
        <v>665</v>
      </c>
    </row>
    <row r="228" ht="15.75" customHeight="1">
      <c r="A228" s="163">
        <v>224.0</v>
      </c>
      <c r="B228" s="8" t="str">
        <f>'Family Map'!B269</f>
        <v/>
      </c>
      <c r="C228" s="8" t="str">
        <f>'Family Map'!C269</f>
        <v/>
      </c>
      <c r="D228" s="8" t="str">
        <f>'Family Map'!D269</f>
        <v/>
      </c>
      <c r="E228" s="8" t="str">
        <f>'Family Map'!F269</f>
        <v/>
      </c>
      <c r="F228" s="8" t="str">
        <f>IF(AND(OR('Family Map'!A269=TRUE,'Family Map'!A269="☑",'Family Map'!A269="✓",'Family Map'!A269="✔"),E228&lt;&gt;"",J228="☑"),E228,"")</f>
        <v/>
      </c>
      <c r="G228" s="8">
        <f>IF(E228="",0,COUNTIF('Strand Placement'!$B:$B,E228))</f>
        <v>0</v>
      </c>
      <c r="H228" s="163" t="str">
        <f t="shared" si="2"/>
        <v>Unplaced</v>
      </c>
      <c r="I228" s="163" t="s">
        <v>864</v>
      </c>
      <c r="J228" s="8" t="str">
        <f t="array" ref="J228">IFERROR(XLOOKUP(B228,Setup!$B$38:$B$43,Setup!$A$38:$A$43),"☑")</f>
        <v>☑</v>
      </c>
      <c r="S228" s="163" t="s">
        <v>665</v>
      </c>
      <c r="T228" s="163" t="s">
        <v>665</v>
      </c>
      <c r="U228" s="163" t="s">
        <v>665</v>
      </c>
    </row>
    <row r="229" ht="15.75" customHeight="1">
      <c r="A229" s="163">
        <v>225.0</v>
      </c>
      <c r="B229" s="8" t="str">
        <f>'Family Map'!B270</f>
        <v/>
      </c>
      <c r="C229" s="8" t="str">
        <f>'Family Map'!C270</f>
        <v/>
      </c>
      <c r="D229" s="8" t="str">
        <f>'Family Map'!D270</f>
        <v/>
      </c>
      <c r="E229" s="8" t="str">
        <f>'Family Map'!F270</f>
        <v/>
      </c>
      <c r="F229" s="8" t="str">
        <f>IF(AND(OR('Family Map'!A270=TRUE,'Family Map'!A270="☑",'Family Map'!A270="✓",'Family Map'!A270="✔"),E229&lt;&gt;"",J229="☑"),E229,"")</f>
        <v/>
      </c>
      <c r="G229" s="8">
        <f>IF(E229="",0,COUNTIF('Strand Placement'!$B:$B,E229))</f>
        <v>0</v>
      </c>
      <c r="H229" s="163" t="str">
        <f t="shared" si="2"/>
        <v>Unplaced</v>
      </c>
      <c r="I229" s="163" t="s">
        <v>865</v>
      </c>
      <c r="J229" s="8" t="str">
        <f t="array" ref="J229">IFERROR(XLOOKUP(B229,Setup!$B$38:$B$43,Setup!$A$38:$A$43),"☑")</f>
        <v>☑</v>
      </c>
      <c r="S229" s="163" t="s">
        <v>665</v>
      </c>
      <c r="T229" s="163" t="s">
        <v>665</v>
      </c>
      <c r="U229" s="163" t="s">
        <v>665</v>
      </c>
    </row>
    <row r="230" ht="15.75" customHeight="1">
      <c r="A230" s="163">
        <v>226.0</v>
      </c>
      <c r="B230" s="8" t="str">
        <f>'Family Map'!B271</f>
        <v/>
      </c>
      <c r="C230" s="8" t="str">
        <f>'Family Map'!C271</f>
        <v/>
      </c>
      <c r="D230" s="8" t="str">
        <f>'Family Map'!D271</f>
        <v/>
      </c>
      <c r="E230" s="8" t="str">
        <f>'Family Map'!F271</f>
        <v/>
      </c>
      <c r="F230" s="8" t="str">
        <f>IF(AND(OR('Family Map'!A271=TRUE,'Family Map'!A271="☑",'Family Map'!A271="✓",'Family Map'!A271="✔"),E230&lt;&gt;"",J230="☑"),E230,"")</f>
        <v/>
      </c>
      <c r="G230" s="8">
        <f>IF(E230="",0,COUNTIF('Strand Placement'!$B:$B,E230))</f>
        <v>0</v>
      </c>
      <c r="H230" s="163" t="str">
        <f t="shared" si="2"/>
        <v>Unplaced</v>
      </c>
      <c r="I230" s="163" t="s">
        <v>866</v>
      </c>
      <c r="J230" s="8" t="str">
        <f t="array" ref="J230">IFERROR(XLOOKUP(B230,Setup!$B$38:$B$43,Setup!$A$38:$A$43),"☑")</f>
        <v>☑</v>
      </c>
      <c r="S230" s="163" t="s">
        <v>665</v>
      </c>
      <c r="T230" s="163" t="s">
        <v>665</v>
      </c>
      <c r="U230" s="163" t="s">
        <v>665</v>
      </c>
    </row>
    <row r="231" ht="15.75" customHeight="1">
      <c r="A231" s="163">
        <v>227.0</v>
      </c>
      <c r="B231" s="8" t="str">
        <f>'Family Map'!B272</f>
        <v/>
      </c>
      <c r="C231" s="8" t="str">
        <f>'Family Map'!C272</f>
        <v/>
      </c>
      <c r="D231" s="8" t="str">
        <f>'Family Map'!D272</f>
        <v/>
      </c>
      <c r="E231" s="8" t="str">
        <f>'Family Map'!F272</f>
        <v/>
      </c>
      <c r="F231" s="8" t="str">
        <f>IF(AND(OR('Family Map'!A272=TRUE,'Family Map'!A272="☑",'Family Map'!A272="✓",'Family Map'!A272="✔"),E231&lt;&gt;"",J231="☑"),E231,"")</f>
        <v/>
      </c>
      <c r="G231" s="8">
        <f>IF(E231="",0,COUNTIF('Strand Placement'!$B:$B,E231))</f>
        <v>0</v>
      </c>
      <c r="H231" s="163" t="str">
        <f t="shared" si="2"/>
        <v>Unplaced</v>
      </c>
      <c r="I231" s="163" t="s">
        <v>867</v>
      </c>
      <c r="J231" s="8" t="str">
        <f t="array" ref="J231">IFERROR(XLOOKUP(B231,Setup!$B$38:$B$43,Setup!$A$38:$A$43),"☑")</f>
        <v>☑</v>
      </c>
      <c r="S231" s="163" t="s">
        <v>665</v>
      </c>
      <c r="T231" s="163" t="s">
        <v>665</v>
      </c>
      <c r="U231" s="163" t="s">
        <v>665</v>
      </c>
    </row>
    <row r="232" ht="15.75" customHeight="1">
      <c r="A232" s="163">
        <v>228.0</v>
      </c>
      <c r="B232" s="8" t="str">
        <f>'Family Map'!B273</f>
        <v/>
      </c>
      <c r="C232" s="8" t="str">
        <f>'Family Map'!C273</f>
        <v/>
      </c>
      <c r="D232" s="8" t="str">
        <f>'Family Map'!D273</f>
        <v/>
      </c>
      <c r="E232" s="8" t="str">
        <f>'Family Map'!F273</f>
        <v/>
      </c>
      <c r="F232" s="8" t="str">
        <f>IF(AND(OR('Family Map'!A273=TRUE,'Family Map'!A273="☑",'Family Map'!A273="✓",'Family Map'!A273="✔"),E232&lt;&gt;"",J232="☑"),E232,"")</f>
        <v/>
      </c>
      <c r="G232" s="8">
        <f>IF(E232="",0,COUNTIF('Strand Placement'!$B:$B,E232))</f>
        <v>0</v>
      </c>
      <c r="H232" s="163" t="str">
        <f t="shared" si="2"/>
        <v>Unplaced</v>
      </c>
      <c r="I232" s="163" t="s">
        <v>868</v>
      </c>
      <c r="J232" s="8" t="str">
        <f t="array" ref="J232">IFERROR(XLOOKUP(B232,Setup!$B$38:$B$43,Setup!$A$38:$A$43),"☑")</f>
        <v>☑</v>
      </c>
      <c r="S232" s="163" t="s">
        <v>665</v>
      </c>
      <c r="T232" s="163" t="s">
        <v>665</v>
      </c>
      <c r="U232" s="163" t="s">
        <v>665</v>
      </c>
    </row>
    <row r="233" ht="15.75" customHeight="1">
      <c r="A233" s="163">
        <v>229.0</v>
      </c>
      <c r="B233" s="8" t="str">
        <f>'Family Map'!B274</f>
        <v/>
      </c>
      <c r="C233" s="8" t="str">
        <f>'Family Map'!C274</f>
        <v/>
      </c>
      <c r="D233" s="8" t="str">
        <f>'Family Map'!D274</f>
        <v/>
      </c>
      <c r="E233" s="8" t="str">
        <f>'Family Map'!F274</f>
        <v/>
      </c>
      <c r="F233" s="8" t="str">
        <f>IF(AND(OR('Family Map'!A274=TRUE,'Family Map'!A274="☑",'Family Map'!A274="✓",'Family Map'!A274="✔"),E233&lt;&gt;"",J233="☑"),E233,"")</f>
        <v/>
      </c>
      <c r="G233" s="8">
        <f>IF(E233="",0,COUNTIF('Strand Placement'!$B:$B,E233))</f>
        <v>0</v>
      </c>
      <c r="H233" s="163" t="str">
        <f t="shared" si="2"/>
        <v>Unplaced</v>
      </c>
      <c r="I233" s="163" t="s">
        <v>869</v>
      </c>
      <c r="J233" s="8" t="str">
        <f t="array" ref="J233">IFERROR(XLOOKUP(B233,Setup!$B$38:$B$43,Setup!$A$38:$A$43),"☑")</f>
        <v>☑</v>
      </c>
      <c r="S233" s="163" t="s">
        <v>665</v>
      </c>
      <c r="T233" s="163" t="s">
        <v>665</v>
      </c>
      <c r="U233" s="163" t="s">
        <v>665</v>
      </c>
    </row>
    <row r="234" ht="15.75" customHeight="1">
      <c r="A234" s="163">
        <v>230.0</v>
      </c>
      <c r="B234" s="8" t="str">
        <f>'Family Map'!B275</f>
        <v/>
      </c>
      <c r="C234" s="8" t="str">
        <f>'Family Map'!C275</f>
        <v/>
      </c>
      <c r="D234" s="8" t="str">
        <f>'Family Map'!D275</f>
        <v/>
      </c>
      <c r="E234" s="8" t="str">
        <f>'Family Map'!F275</f>
        <v/>
      </c>
      <c r="F234" s="8" t="str">
        <f>IF(AND(OR('Family Map'!A275=TRUE,'Family Map'!A275="☑",'Family Map'!A275="✓",'Family Map'!A275="✔"),E234&lt;&gt;"",J234="☑"),E234,"")</f>
        <v/>
      </c>
      <c r="G234" s="8">
        <f>IF(E234="",0,COUNTIF('Strand Placement'!$B:$B,E234))</f>
        <v>0</v>
      </c>
      <c r="H234" s="163" t="str">
        <f t="shared" si="2"/>
        <v>Unplaced</v>
      </c>
      <c r="I234" s="163" t="s">
        <v>870</v>
      </c>
      <c r="J234" s="8" t="str">
        <f t="array" ref="J234">IFERROR(XLOOKUP(B234,Setup!$B$38:$B$43,Setup!$A$38:$A$43),"☑")</f>
        <v>☑</v>
      </c>
      <c r="S234" s="163" t="s">
        <v>665</v>
      </c>
      <c r="T234" s="163" t="s">
        <v>665</v>
      </c>
      <c r="U234" s="163" t="s">
        <v>665</v>
      </c>
    </row>
    <row r="235" ht="15.75" customHeight="1">
      <c r="A235" s="163">
        <v>231.0</v>
      </c>
      <c r="B235" s="8" t="str">
        <f>'Family Map'!B276</f>
        <v/>
      </c>
      <c r="C235" s="8" t="str">
        <f>'Family Map'!C276</f>
        <v/>
      </c>
      <c r="D235" s="8" t="str">
        <f>'Family Map'!D276</f>
        <v/>
      </c>
      <c r="E235" s="8" t="str">
        <f>'Family Map'!F276</f>
        <v/>
      </c>
      <c r="F235" s="8" t="str">
        <f>IF(AND(OR('Family Map'!A276=TRUE,'Family Map'!A276="☑",'Family Map'!A276="✓",'Family Map'!A276="✔"),E235&lt;&gt;"",J235="☑"),E235,"")</f>
        <v/>
      </c>
      <c r="G235" s="8">
        <f>IF(E235="",0,COUNTIF('Strand Placement'!$B:$B,E235))</f>
        <v>0</v>
      </c>
      <c r="H235" s="163" t="str">
        <f t="shared" si="2"/>
        <v>Unplaced</v>
      </c>
      <c r="I235" s="163" t="s">
        <v>871</v>
      </c>
      <c r="J235" s="8" t="str">
        <f t="array" ref="J235">IFERROR(XLOOKUP(B235,Setup!$B$38:$B$43,Setup!$A$38:$A$43),"☑")</f>
        <v>☑</v>
      </c>
      <c r="S235" s="163" t="s">
        <v>665</v>
      </c>
      <c r="T235" s="163" t="s">
        <v>665</v>
      </c>
      <c r="U235" s="163" t="s">
        <v>665</v>
      </c>
    </row>
    <row r="236" ht="15.75" customHeight="1">
      <c r="A236" s="163">
        <v>232.0</v>
      </c>
      <c r="B236" s="8" t="str">
        <f>'Family Map'!B277</f>
        <v/>
      </c>
      <c r="C236" s="8" t="str">
        <f>'Family Map'!C277</f>
        <v/>
      </c>
      <c r="D236" s="8" t="str">
        <f>'Family Map'!D277</f>
        <v/>
      </c>
      <c r="E236" s="8" t="str">
        <f>'Family Map'!F277</f>
        <v/>
      </c>
      <c r="F236" s="8" t="str">
        <f>IF(AND(OR('Family Map'!A277=TRUE,'Family Map'!A277="☑",'Family Map'!A277="✓",'Family Map'!A277="✔"),E236&lt;&gt;"",J236="☑"),E236,"")</f>
        <v/>
      </c>
      <c r="G236" s="8">
        <f>IF(E236="",0,COUNTIF('Strand Placement'!$B:$B,E236))</f>
        <v>0</v>
      </c>
      <c r="H236" s="163" t="str">
        <f t="shared" si="2"/>
        <v>Unplaced</v>
      </c>
      <c r="I236" s="163" t="s">
        <v>872</v>
      </c>
      <c r="J236" s="8" t="str">
        <f t="array" ref="J236">IFERROR(XLOOKUP(B236,Setup!$B$38:$B$43,Setup!$A$38:$A$43),"☑")</f>
        <v>☑</v>
      </c>
      <c r="S236" s="163" t="s">
        <v>665</v>
      </c>
      <c r="T236" s="163" t="s">
        <v>665</v>
      </c>
      <c r="U236" s="163" t="s">
        <v>665</v>
      </c>
    </row>
    <row r="237" ht="15.75" customHeight="1">
      <c r="A237" s="163">
        <v>233.0</v>
      </c>
      <c r="B237" s="8" t="str">
        <f>'Family Map'!B278</f>
        <v/>
      </c>
      <c r="C237" s="8" t="str">
        <f>'Family Map'!C278</f>
        <v/>
      </c>
      <c r="D237" s="8" t="str">
        <f>'Family Map'!D278</f>
        <v/>
      </c>
      <c r="E237" s="8" t="str">
        <f>'Family Map'!F278</f>
        <v/>
      </c>
      <c r="F237" s="8" t="str">
        <f>IF(AND(OR('Family Map'!A278=TRUE,'Family Map'!A278="☑",'Family Map'!A278="✓",'Family Map'!A278="✔"),E237&lt;&gt;"",J237="☑"),E237,"")</f>
        <v/>
      </c>
      <c r="G237" s="8">
        <f>IF(E237="",0,COUNTIF('Strand Placement'!$B:$B,E237))</f>
        <v>0</v>
      </c>
      <c r="H237" s="163" t="str">
        <f t="shared" si="2"/>
        <v>Unplaced</v>
      </c>
      <c r="I237" s="163" t="s">
        <v>873</v>
      </c>
      <c r="J237" s="8" t="str">
        <f t="array" ref="J237">IFERROR(XLOOKUP(B237,Setup!$B$38:$B$43,Setup!$A$38:$A$43),"☑")</f>
        <v>☑</v>
      </c>
      <c r="S237" s="163" t="s">
        <v>665</v>
      </c>
      <c r="T237" s="163" t="s">
        <v>665</v>
      </c>
      <c r="U237" s="163" t="s">
        <v>665</v>
      </c>
    </row>
    <row r="238" ht="15.75" customHeight="1">
      <c r="A238" s="163">
        <v>234.0</v>
      </c>
      <c r="B238" s="8" t="str">
        <f>'Family Map'!B279</f>
        <v/>
      </c>
      <c r="C238" s="8" t="str">
        <f>'Family Map'!C279</f>
        <v/>
      </c>
      <c r="D238" s="8" t="str">
        <f>'Family Map'!D279</f>
        <v/>
      </c>
      <c r="E238" s="8" t="str">
        <f>'Family Map'!F279</f>
        <v/>
      </c>
      <c r="F238" s="8" t="str">
        <f>IF(AND(OR('Family Map'!A279=TRUE,'Family Map'!A279="☑",'Family Map'!A279="✓",'Family Map'!A279="✔"),E238&lt;&gt;"",J238="☑"),E238,"")</f>
        <v/>
      </c>
      <c r="G238" s="8">
        <f>IF(E238="",0,COUNTIF('Strand Placement'!$B:$B,E238))</f>
        <v>0</v>
      </c>
      <c r="H238" s="163" t="str">
        <f t="shared" si="2"/>
        <v>Unplaced</v>
      </c>
      <c r="I238" s="163" t="s">
        <v>874</v>
      </c>
      <c r="J238" s="8" t="str">
        <f t="array" ref="J238">IFERROR(XLOOKUP(B238,Setup!$B$38:$B$43,Setup!$A$38:$A$43),"☑")</f>
        <v>☑</v>
      </c>
      <c r="S238" s="163" t="s">
        <v>665</v>
      </c>
      <c r="T238" s="163" t="s">
        <v>665</v>
      </c>
      <c r="U238" s="163" t="s">
        <v>665</v>
      </c>
    </row>
    <row r="239" ht="15.75" customHeight="1">
      <c r="A239" s="163">
        <v>235.0</v>
      </c>
      <c r="B239" s="8" t="str">
        <f>'Family Map'!B280</f>
        <v/>
      </c>
      <c r="C239" s="8" t="str">
        <f>'Family Map'!C280</f>
        <v/>
      </c>
      <c r="D239" s="8" t="str">
        <f>'Family Map'!D280</f>
        <v/>
      </c>
      <c r="E239" s="8" t="str">
        <f>'Family Map'!F280</f>
        <v/>
      </c>
      <c r="F239" s="8" t="str">
        <f>IF(AND(OR('Family Map'!A280=TRUE,'Family Map'!A280="☑",'Family Map'!A280="✓",'Family Map'!A280="✔"),E239&lt;&gt;"",J239="☑"),E239,"")</f>
        <v/>
      </c>
      <c r="G239" s="8">
        <f>IF(E239="",0,COUNTIF('Strand Placement'!$B:$B,E239))</f>
        <v>0</v>
      </c>
      <c r="H239" s="163" t="str">
        <f t="shared" si="2"/>
        <v>Unplaced</v>
      </c>
      <c r="I239" s="163" t="s">
        <v>875</v>
      </c>
      <c r="J239" s="8" t="str">
        <f t="array" ref="J239">IFERROR(XLOOKUP(B239,Setup!$B$38:$B$43,Setup!$A$38:$A$43),"☑")</f>
        <v>☑</v>
      </c>
      <c r="S239" s="163" t="s">
        <v>665</v>
      </c>
      <c r="T239" s="163" t="s">
        <v>665</v>
      </c>
      <c r="U239" s="163" t="s">
        <v>665</v>
      </c>
    </row>
    <row r="240" ht="15.75" customHeight="1">
      <c r="A240" s="163">
        <v>236.0</v>
      </c>
      <c r="B240" s="8" t="str">
        <f>'Family Map'!B281</f>
        <v/>
      </c>
      <c r="C240" s="8" t="str">
        <f>'Family Map'!C281</f>
        <v/>
      </c>
      <c r="D240" s="8" t="str">
        <f>'Family Map'!D281</f>
        <v/>
      </c>
      <c r="E240" s="8" t="str">
        <f>'Family Map'!F281</f>
        <v/>
      </c>
      <c r="F240" s="8" t="str">
        <f>IF(AND(OR('Family Map'!A281=TRUE,'Family Map'!A281="☑",'Family Map'!A281="✓",'Family Map'!A281="✔"),E240&lt;&gt;"",J240="☑"),E240,"")</f>
        <v/>
      </c>
      <c r="G240" s="8">
        <f>IF(E240="",0,COUNTIF('Strand Placement'!$B:$B,E240))</f>
        <v>0</v>
      </c>
      <c r="H240" s="163" t="str">
        <f t="shared" si="2"/>
        <v>Unplaced</v>
      </c>
      <c r="I240" s="163" t="s">
        <v>876</v>
      </c>
      <c r="J240" s="8" t="str">
        <f t="array" ref="J240">IFERROR(XLOOKUP(B240,Setup!$B$38:$B$43,Setup!$A$38:$A$43),"☑")</f>
        <v>☑</v>
      </c>
      <c r="S240" s="163" t="s">
        <v>665</v>
      </c>
      <c r="T240" s="163" t="s">
        <v>665</v>
      </c>
      <c r="U240" s="163" t="s">
        <v>665</v>
      </c>
    </row>
    <row r="241" ht="15.75" customHeight="1">
      <c r="A241" s="163">
        <v>237.0</v>
      </c>
      <c r="B241" s="8" t="str">
        <f>'Family Map'!B282</f>
        <v/>
      </c>
      <c r="C241" s="8" t="str">
        <f>'Family Map'!C282</f>
        <v/>
      </c>
      <c r="D241" s="8" t="str">
        <f>'Family Map'!D282</f>
        <v/>
      </c>
      <c r="E241" s="8" t="str">
        <f>'Family Map'!F282</f>
        <v/>
      </c>
      <c r="F241" s="8" t="str">
        <f>IF(AND(OR('Family Map'!A282=TRUE,'Family Map'!A282="☑",'Family Map'!A282="✓",'Family Map'!A282="✔"),E241&lt;&gt;"",J241="☑"),E241,"")</f>
        <v/>
      </c>
      <c r="G241" s="8">
        <f>IF(E241="",0,COUNTIF('Strand Placement'!$B:$B,E241))</f>
        <v>0</v>
      </c>
      <c r="H241" s="163" t="str">
        <f t="shared" si="2"/>
        <v>Unplaced</v>
      </c>
      <c r="I241" s="163" t="s">
        <v>877</v>
      </c>
      <c r="J241" s="8" t="str">
        <f t="array" ref="J241">IFERROR(XLOOKUP(B241,Setup!$B$38:$B$43,Setup!$A$38:$A$43),"☑")</f>
        <v>☑</v>
      </c>
      <c r="S241" s="163" t="s">
        <v>665</v>
      </c>
      <c r="T241" s="163" t="s">
        <v>665</v>
      </c>
      <c r="U241" s="163" t="s">
        <v>665</v>
      </c>
    </row>
    <row r="242" ht="15.75" customHeight="1">
      <c r="A242" s="163">
        <v>238.0</v>
      </c>
      <c r="B242" s="8" t="str">
        <f>'Family Map'!B283</f>
        <v/>
      </c>
      <c r="C242" s="8" t="str">
        <f>'Family Map'!C283</f>
        <v/>
      </c>
      <c r="D242" s="8" t="str">
        <f>'Family Map'!D283</f>
        <v/>
      </c>
      <c r="E242" s="8" t="str">
        <f>'Family Map'!F283</f>
        <v/>
      </c>
      <c r="F242" s="8" t="str">
        <f>IF(AND(OR('Family Map'!A283=TRUE,'Family Map'!A283="☑",'Family Map'!A283="✓",'Family Map'!A283="✔"),E242&lt;&gt;"",J242="☑"),E242,"")</f>
        <v/>
      </c>
      <c r="G242" s="8">
        <f>IF(E242="",0,COUNTIF('Strand Placement'!$B:$B,E242))</f>
        <v>0</v>
      </c>
      <c r="H242" s="163" t="str">
        <f t="shared" si="2"/>
        <v>Unplaced</v>
      </c>
      <c r="I242" s="163" t="s">
        <v>878</v>
      </c>
      <c r="J242" s="8" t="str">
        <f t="array" ref="J242">IFERROR(XLOOKUP(B242,Setup!$B$38:$B$43,Setup!$A$38:$A$43),"☑")</f>
        <v>☑</v>
      </c>
      <c r="S242" s="163" t="s">
        <v>665</v>
      </c>
      <c r="T242" s="163" t="s">
        <v>665</v>
      </c>
      <c r="U242" s="163" t="s">
        <v>665</v>
      </c>
    </row>
    <row r="243" ht="15.75" customHeight="1">
      <c r="A243" s="163">
        <v>239.0</v>
      </c>
      <c r="B243" s="8" t="str">
        <f>'Family Map'!B284</f>
        <v/>
      </c>
      <c r="C243" s="8" t="str">
        <f>'Family Map'!C284</f>
        <v/>
      </c>
      <c r="D243" s="8" t="str">
        <f>'Family Map'!D284</f>
        <v/>
      </c>
      <c r="E243" s="8" t="str">
        <f>'Family Map'!F284</f>
        <v/>
      </c>
      <c r="F243" s="8" t="str">
        <f>IF(AND(OR('Family Map'!A284=TRUE,'Family Map'!A284="☑",'Family Map'!A284="✓",'Family Map'!A284="✔"),E243&lt;&gt;"",J243="☑"),E243,"")</f>
        <v/>
      </c>
      <c r="G243" s="8">
        <f>IF(E243="",0,COUNTIF('Strand Placement'!$B:$B,E243))</f>
        <v>0</v>
      </c>
      <c r="H243" s="163" t="str">
        <f t="shared" si="2"/>
        <v>Unplaced</v>
      </c>
      <c r="I243" s="163" t="s">
        <v>879</v>
      </c>
      <c r="J243" s="8" t="str">
        <f t="array" ref="J243">IFERROR(XLOOKUP(B243,Setup!$B$38:$B$43,Setup!$A$38:$A$43),"☑")</f>
        <v>☑</v>
      </c>
      <c r="S243" s="163" t="s">
        <v>665</v>
      </c>
      <c r="T243" s="163" t="s">
        <v>665</v>
      </c>
      <c r="U243" s="163" t="s">
        <v>665</v>
      </c>
    </row>
    <row r="244" ht="15.75" customHeight="1">
      <c r="A244" s="163">
        <v>240.0</v>
      </c>
      <c r="B244" s="8" t="str">
        <f>'Family Map'!B285</f>
        <v/>
      </c>
      <c r="C244" s="8" t="str">
        <f>'Family Map'!C285</f>
        <v/>
      </c>
      <c r="D244" s="8" t="str">
        <f>'Family Map'!D285</f>
        <v/>
      </c>
      <c r="E244" s="8" t="str">
        <f>'Family Map'!F285</f>
        <v/>
      </c>
      <c r="F244" s="8" t="str">
        <f>IF(AND(OR('Family Map'!A285=TRUE,'Family Map'!A285="☑",'Family Map'!A285="✓",'Family Map'!A285="✔"),E244&lt;&gt;"",J244="☑"),E244,"")</f>
        <v/>
      </c>
      <c r="G244" s="8">
        <f>IF(E244="",0,COUNTIF('Strand Placement'!$B:$B,E244))</f>
        <v>0</v>
      </c>
      <c r="H244" s="163" t="str">
        <f t="shared" si="2"/>
        <v>Unplaced</v>
      </c>
      <c r="I244" s="163" t="s">
        <v>880</v>
      </c>
      <c r="J244" s="8" t="str">
        <f t="array" ref="J244">IFERROR(XLOOKUP(B244,Setup!$B$38:$B$43,Setup!$A$38:$A$43),"☑")</f>
        <v>☑</v>
      </c>
      <c r="S244" s="163" t="s">
        <v>665</v>
      </c>
      <c r="T244" s="163" t="s">
        <v>665</v>
      </c>
      <c r="U244" s="163" t="s">
        <v>665</v>
      </c>
    </row>
    <row r="245" ht="15.75" customHeight="1">
      <c r="A245" s="163">
        <v>241.0</v>
      </c>
      <c r="B245" s="8" t="str">
        <f>'Family Map'!B286</f>
        <v/>
      </c>
      <c r="C245" s="8" t="str">
        <f>'Family Map'!C286</f>
        <v/>
      </c>
      <c r="D245" s="8" t="str">
        <f>'Family Map'!D286</f>
        <v/>
      </c>
      <c r="E245" s="8" t="str">
        <f>'Family Map'!F286</f>
        <v/>
      </c>
      <c r="F245" s="8" t="str">
        <f>IF(AND(OR('Family Map'!A286=TRUE,'Family Map'!A286="☑",'Family Map'!A286="✓",'Family Map'!A286="✔"),E245&lt;&gt;"",J245="☑"),E245,"")</f>
        <v/>
      </c>
      <c r="G245" s="8">
        <f>IF(E245="",0,COUNTIF('Strand Placement'!$B:$B,E245))</f>
        <v>0</v>
      </c>
      <c r="H245" s="163" t="str">
        <f t="shared" si="2"/>
        <v>Unplaced</v>
      </c>
      <c r="I245" s="163" t="s">
        <v>881</v>
      </c>
      <c r="J245" s="8" t="str">
        <f t="array" ref="J245">IFERROR(XLOOKUP(B245,Setup!$B$38:$B$43,Setup!$A$38:$A$43),"☑")</f>
        <v>☑</v>
      </c>
      <c r="S245" s="163" t="s">
        <v>665</v>
      </c>
      <c r="T245" s="163" t="s">
        <v>665</v>
      </c>
      <c r="U245" s="163" t="s">
        <v>665</v>
      </c>
    </row>
    <row r="246" ht="15.75" customHeight="1">
      <c r="A246" s="163">
        <v>242.0</v>
      </c>
      <c r="B246" s="8" t="str">
        <f>'Family Map'!B287</f>
        <v/>
      </c>
      <c r="C246" s="8" t="str">
        <f>'Family Map'!C287</f>
        <v/>
      </c>
      <c r="D246" s="8" t="str">
        <f>'Family Map'!D287</f>
        <v/>
      </c>
      <c r="E246" s="8" t="str">
        <f>'Family Map'!F287</f>
        <v/>
      </c>
      <c r="F246" s="8" t="str">
        <f>IF(AND(OR('Family Map'!A287=TRUE,'Family Map'!A287="☑",'Family Map'!A287="✓",'Family Map'!A287="✔"),E246&lt;&gt;"",J246="☑"),E246,"")</f>
        <v/>
      </c>
      <c r="G246" s="8">
        <f>IF(E246="",0,COUNTIF('Strand Placement'!$B:$B,E246))</f>
        <v>0</v>
      </c>
      <c r="H246" s="163" t="str">
        <f t="shared" si="2"/>
        <v>Unplaced</v>
      </c>
      <c r="I246" s="163" t="s">
        <v>882</v>
      </c>
      <c r="J246" s="8" t="str">
        <f t="array" ref="J246">IFERROR(XLOOKUP(B246,Setup!$B$38:$B$43,Setup!$A$38:$A$43),"☑")</f>
        <v>☑</v>
      </c>
      <c r="S246" s="163" t="s">
        <v>665</v>
      </c>
      <c r="T246" s="163" t="s">
        <v>665</v>
      </c>
      <c r="U246" s="163" t="s">
        <v>665</v>
      </c>
    </row>
    <row r="247" ht="15.75" customHeight="1">
      <c r="A247" s="163">
        <v>243.0</v>
      </c>
      <c r="B247" s="8" t="str">
        <f>'Family Map'!B288</f>
        <v/>
      </c>
      <c r="C247" s="8" t="str">
        <f>'Family Map'!C288</f>
        <v/>
      </c>
      <c r="D247" s="8" t="str">
        <f>'Family Map'!D288</f>
        <v/>
      </c>
      <c r="E247" s="8" t="str">
        <f>'Family Map'!F288</f>
        <v/>
      </c>
      <c r="F247" s="8" t="str">
        <f>IF(AND(OR('Family Map'!A288=TRUE,'Family Map'!A288="☑",'Family Map'!A288="✓",'Family Map'!A288="✔"),E247&lt;&gt;"",J247="☑"),E247,"")</f>
        <v/>
      </c>
      <c r="G247" s="8">
        <f>IF(E247="",0,COUNTIF('Strand Placement'!$B:$B,E247))</f>
        <v>0</v>
      </c>
      <c r="H247" s="163" t="str">
        <f t="shared" si="2"/>
        <v>Unplaced</v>
      </c>
      <c r="I247" s="163" t="s">
        <v>883</v>
      </c>
      <c r="J247" s="8" t="str">
        <f t="array" ref="J247">IFERROR(XLOOKUP(B247,Setup!$B$38:$B$43,Setup!$A$38:$A$43),"☑")</f>
        <v>☑</v>
      </c>
      <c r="S247" s="163" t="s">
        <v>665</v>
      </c>
      <c r="T247" s="163" t="s">
        <v>665</v>
      </c>
      <c r="U247" s="163" t="s">
        <v>665</v>
      </c>
    </row>
    <row r="248" ht="15.75" customHeight="1">
      <c r="A248" s="163">
        <v>244.0</v>
      </c>
      <c r="B248" s="8" t="str">
        <f>'Family Map'!B289</f>
        <v/>
      </c>
      <c r="C248" s="8" t="str">
        <f>'Family Map'!C289</f>
        <v/>
      </c>
      <c r="D248" s="8" t="str">
        <f>'Family Map'!D289</f>
        <v/>
      </c>
      <c r="E248" s="8" t="str">
        <f>'Family Map'!F289</f>
        <v/>
      </c>
      <c r="F248" s="8" t="str">
        <f>IF(AND(OR('Family Map'!A289=TRUE,'Family Map'!A289="☑",'Family Map'!A289="✓",'Family Map'!A289="✔"),E248&lt;&gt;"",J248="☑"),E248,"")</f>
        <v/>
      </c>
      <c r="G248" s="8">
        <f>IF(E248="",0,COUNTIF('Strand Placement'!$B:$B,E248))</f>
        <v>0</v>
      </c>
      <c r="H248" s="163" t="str">
        <f t="shared" si="2"/>
        <v>Unplaced</v>
      </c>
      <c r="I248" s="163" t="s">
        <v>884</v>
      </c>
      <c r="J248" s="8" t="str">
        <f t="array" ref="J248">IFERROR(XLOOKUP(B248,Setup!$B$38:$B$43,Setup!$A$38:$A$43),"☑")</f>
        <v>☑</v>
      </c>
      <c r="S248" s="163" t="s">
        <v>665</v>
      </c>
      <c r="T248" s="163" t="s">
        <v>665</v>
      </c>
      <c r="U248" s="163" t="s">
        <v>665</v>
      </c>
    </row>
    <row r="249" ht="15.75" customHeight="1">
      <c r="A249" s="163">
        <v>245.0</v>
      </c>
      <c r="B249" s="8" t="str">
        <f>'Family Map'!B290</f>
        <v/>
      </c>
      <c r="C249" s="8" t="str">
        <f>'Family Map'!C290</f>
        <v/>
      </c>
      <c r="D249" s="8" t="str">
        <f>'Family Map'!D290</f>
        <v/>
      </c>
      <c r="E249" s="8" t="str">
        <f>'Family Map'!F290</f>
        <v/>
      </c>
      <c r="F249" s="8" t="str">
        <f>IF(AND(OR('Family Map'!A290=TRUE,'Family Map'!A290="☑",'Family Map'!A290="✓",'Family Map'!A290="✔"),E249&lt;&gt;"",J249="☑"),E249,"")</f>
        <v/>
      </c>
      <c r="G249" s="8">
        <f>IF(E249="",0,COUNTIF('Strand Placement'!$B:$B,E249))</f>
        <v>0</v>
      </c>
      <c r="H249" s="163" t="str">
        <f t="shared" si="2"/>
        <v>Unplaced</v>
      </c>
      <c r="I249" s="163" t="s">
        <v>885</v>
      </c>
      <c r="J249" s="8" t="str">
        <f t="array" ref="J249">IFERROR(XLOOKUP(B249,Setup!$B$38:$B$43,Setup!$A$38:$A$43),"☑")</f>
        <v>☑</v>
      </c>
      <c r="S249" s="163" t="s">
        <v>665</v>
      </c>
      <c r="T249" s="163" t="s">
        <v>665</v>
      </c>
      <c r="U249" s="163" t="s">
        <v>665</v>
      </c>
    </row>
    <row r="250" ht="15.75" customHeight="1">
      <c r="A250" s="163">
        <v>246.0</v>
      </c>
      <c r="B250" s="8" t="str">
        <f>'Family Map'!B291</f>
        <v/>
      </c>
      <c r="C250" s="8" t="str">
        <f>'Family Map'!C291</f>
        <v/>
      </c>
      <c r="D250" s="8" t="str">
        <f>'Family Map'!D291</f>
        <v/>
      </c>
      <c r="E250" s="8" t="str">
        <f>'Family Map'!F291</f>
        <v/>
      </c>
      <c r="F250" s="8" t="str">
        <f>IF(AND(OR('Family Map'!A291=TRUE,'Family Map'!A291="☑",'Family Map'!A291="✓",'Family Map'!A291="✔"),E250&lt;&gt;"",J250="☑"),E250,"")</f>
        <v/>
      </c>
      <c r="G250" s="8">
        <f>IF(E250="",0,COUNTIF('Strand Placement'!$B:$B,E250))</f>
        <v>0</v>
      </c>
      <c r="H250" s="163" t="str">
        <f t="shared" si="2"/>
        <v>Unplaced</v>
      </c>
      <c r="I250" s="163" t="s">
        <v>886</v>
      </c>
      <c r="J250" s="8" t="str">
        <f t="array" ref="J250">IFERROR(XLOOKUP(B250,Setup!$B$38:$B$43,Setup!$A$38:$A$43),"☑")</f>
        <v>☑</v>
      </c>
      <c r="S250" s="163" t="s">
        <v>665</v>
      </c>
      <c r="T250" s="163" t="s">
        <v>665</v>
      </c>
      <c r="U250" s="163" t="s">
        <v>665</v>
      </c>
    </row>
    <row r="251" ht="15.75" customHeight="1">
      <c r="A251" s="163">
        <v>247.0</v>
      </c>
      <c r="B251" s="8" t="str">
        <f>'Family Map'!B292</f>
        <v/>
      </c>
      <c r="C251" s="8" t="str">
        <f>'Family Map'!C292</f>
        <v/>
      </c>
      <c r="D251" s="8" t="str">
        <f>'Family Map'!D292</f>
        <v/>
      </c>
      <c r="E251" s="8" t="str">
        <f>'Family Map'!F292</f>
        <v/>
      </c>
      <c r="F251" s="8" t="str">
        <f>IF(AND(OR('Family Map'!A292=TRUE,'Family Map'!A292="☑",'Family Map'!A292="✓",'Family Map'!A292="✔"),E251&lt;&gt;"",J251="☑"),E251,"")</f>
        <v/>
      </c>
      <c r="G251" s="8">
        <f>IF(E251="",0,COUNTIF('Strand Placement'!$B:$B,E251))</f>
        <v>0</v>
      </c>
      <c r="H251" s="163" t="str">
        <f t="shared" si="2"/>
        <v>Unplaced</v>
      </c>
      <c r="I251" s="163" t="s">
        <v>887</v>
      </c>
      <c r="J251" s="8" t="str">
        <f t="array" ref="J251">IFERROR(XLOOKUP(B251,Setup!$B$38:$B$43,Setup!$A$38:$A$43),"☑")</f>
        <v>☑</v>
      </c>
      <c r="S251" s="163" t="s">
        <v>665</v>
      </c>
      <c r="T251" s="163" t="s">
        <v>665</v>
      </c>
      <c r="U251" s="163" t="s">
        <v>665</v>
      </c>
    </row>
    <row r="252" ht="15.75" customHeight="1">
      <c r="A252" s="163">
        <v>248.0</v>
      </c>
      <c r="B252" s="8" t="str">
        <f>'Family Map'!B293</f>
        <v/>
      </c>
      <c r="C252" s="8" t="str">
        <f>'Family Map'!C293</f>
        <v/>
      </c>
      <c r="D252" s="8" t="str">
        <f>'Family Map'!D293</f>
        <v/>
      </c>
      <c r="E252" s="8" t="str">
        <f>'Family Map'!F293</f>
        <v/>
      </c>
      <c r="F252" s="8" t="str">
        <f>IF(AND(OR('Family Map'!A293=TRUE,'Family Map'!A293="☑",'Family Map'!A293="✓",'Family Map'!A293="✔"),E252&lt;&gt;"",J252="☑"),E252,"")</f>
        <v/>
      </c>
      <c r="G252" s="8">
        <f>IF(E252="",0,COUNTIF('Strand Placement'!$B:$B,E252))</f>
        <v>0</v>
      </c>
      <c r="H252" s="163" t="str">
        <f t="shared" si="2"/>
        <v>Unplaced</v>
      </c>
      <c r="I252" s="163" t="s">
        <v>888</v>
      </c>
      <c r="J252" s="8" t="str">
        <f t="array" ref="J252">IFERROR(XLOOKUP(B252,Setup!$B$38:$B$43,Setup!$A$38:$A$43),"☑")</f>
        <v>☑</v>
      </c>
      <c r="S252" s="163" t="s">
        <v>665</v>
      </c>
      <c r="T252" s="163" t="s">
        <v>665</v>
      </c>
      <c r="U252" s="163" t="s">
        <v>665</v>
      </c>
    </row>
    <row r="253" ht="15.75" customHeight="1">
      <c r="A253" s="163">
        <v>249.0</v>
      </c>
      <c r="B253" s="8" t="str">
        <f>'Family Map'!B294</f>
        <v/>
      </c>
      <c r="C253" s="8" t="str">
        <f>'Family Map'!C294</f>
        <v/>
      </c>
      <c r="D253" s="8" t="str">
        <f>'Family Map'!D294</f>
        <v/>
      </c>
      <c r="E253" s="8" t="str">
        <f>'Family Map'!F294</f>
        <v/>
      </c>
      <c r="F253" s="8" t="str">
        <f>IF(AND(OR('Family Map'!A294=TRUE,'Family Map'!A294="☑",'Family Map'!A294="✓",'Family Map'!A294="✔"),E253&lt;&gt;"",J253="☑"),E253,"")</f>
        <v/>
      </c>
      <c r="G253" s="8">
        <f>IF(E253="",0,COUNTIF('Strand Placement'!$B:$B,E253))</f>
        <v>0</v>
      </c>
      <c r="H253" s="163" t="str">
        <f t="shared" si="2"/>
        <v>Unplaced</v>
      </c>
      <c r="I253" s="163" t="s">
        <v>889</v>
      </c>
      <c r="J253" s="8" t="str">
        <f t="array" ref="J253">IFERROR(XLOOKUP(B253,Setup!$B$38:$B$43,Setup!$A$38:$A$43),"☑")</f>
        <v>☑</v>
      </c>
      <c r="S253" s="163" t="s">
        <v>665</v>
      </c>
      <c r="T253" s="163" t="s">
        <v>665</v>
      </c>
      <c r="U253" s="163" t="s">
        <v>665</v>
      </c>
    </row>
    <row r="254" ht="15.75" customHeight="1">
      <c r="A254" s="163">
        <v>250.0</v>
      </c>
      <c r="B254" s="8" t="str">
        <f>'Family Map'!B295</f>
        <v/>
      </c>
      <c r="C254" s="8" t="str">
        <f>'Family Map'!C295</f>
        <v/>
      </c>
      <c r="D254" s="8" t="str">
        <f>'Family Map'!D295</f>
        <v/>
      </c>
      <c r="E254" s="8" t="str">
        <f>'Family Map'!F295</f>
        <v/>
      </c>
      <c r="F254" s="8" t="str">
        <f>IF(AND(OR('Family Map'!A295=TRUE,'Family Map'!A295="☑",'Family Map'!A295="✓",'Family Map'!A295="✔"),E254&lt;&gt;"",J254="☑"),E254,"")</f>
        <v/>
      </c>
      <c r="G254" s="8">
        <f>IF(E254="",0,COUNTIF('Strand Placement'!$B:$B,E254))</f>
        <v>0</v>
      </c>
      <c r="H254" s="163" t="str">
        <f t="shared" si="2"/>
        <v>Unplaced</v>
      </c>
      <c r="I254" s="163" t="s">
        <v>890</v>
      </c>
      <c r="J254" s="8" t="str">
        <f t="array" ref="J254">IFERROR(XLOOKUP(B254,Setup!$B$38:$B$43,Setup!$A$38:$A$43),"☑")</f>
        <v>☑</v>
      </c>
      <c r="S254" s="163" t="s">
        <v>665</v>
      </c>
      <c r="T254" s="163" t="s">
        <v>665</v>
      </c>
      <c r="U254" s="163" t="s">
        <v>665</v>
      </c>
    </row>
    <row r="255" ht="15.75" customHeight="1">
      <c r="A255" s="163">
        <v>251.0</v>
      </c>
      <c r="B255" s="8" t="str">
        <f>'Family Map'!B296</f>
        <v/>
      </c>
      <c r="C255" s="8" t="str">
        <f>'Family Map'!C296</f>
        <v/>
      </c>
      <c r="D255" s="8" t="str">
        <f>'Family Map'!D296</f>
        <v/>
      </c>
      <c r="E255" s="8" t="str">
        <f>'Family Map'!F296</f>
        <v/>
      </c>
      <c r="F255" s="8" t="str">
        <f>IF(AND(OR('Family Map'!A296=TRUE,'Family Map'!A296="☑",'Family Map'!A296="✓",'Family Map'!A296="✔"),E255&lt;&gt;"",J255="☑"),E255,"")</f>
        <v/>
      </c>
      <c r="G255" s="8">
        <f>IF(E255="",0,COUNTIF('Strand Placement'!$B:$B,E255))</f>
        <v>0</v>
      </c>
      <c r="H255" s="163" t="str">
        <f t="shared" si="2"/>
        <v>Unplaced</v>
      </c>
      <c r="I255" s="163" t="s">
        <v>891</v>
      </c>
      <c r="J255" s="8" t="str">
        <f t="array" ref="J255">IFERROR(XLOOKUP(B255,Setup!$B$38:$B$43,Setup!$A$38:$A$43),"☑")</f>
        <v>☑</v>
      </c>
      <c r="S255" s="163" t="s">
        <v>665</v>
      </c>
      <c r="T255" s="163" t="s">
        <v>665</v>
      </c>
      <c r="U255" s="163" t="s">
        <v>665</v>
      </c>
    </row>
    <row r="256" ht="15.75" customHeight="1">
      <c r="A256" s="163">
        <v>252.0</v>
      </c>
      <c r="B256" s="8" t="str">
        <f>'Family Map'!B297</f>
        <v/>
      </c>
      <c r="C256" s="8" t="str">
        <f>'Family Map'!C297</f>
        <v/>
      </c>
      <c r="D256" s="8" t="str">
        <f>'Family Map'!D297</f>
        <v/>
      </c>
      <c r="E256" s="8" t="str">
        <f>'Family Map'!F297</f>
        <v/>
      </c>
      <c r="F256" s="8" t="str">
        <f>IF(AND(OR('Family Map'!A297=TRUE,'Family Map'!A297="☑",'Family Map'!A297="✓",'Family Map'!A297="✔"),E256&lt;&gt;"",J256="☑"),E256,"")</f>
        <v/>
      </c>
      <c r="G256" s="8">
        <f>IF(E256="",0,COUNTIF('Strand Placement'!$B:$B,E256))</f>
        <v>0</v>
      </c>
      <c r="H256" s="163" t="str">
        <f t="shared" si="2"/>
        <v>Unplaced</v>
      </c>
      <c r="I256" s="163" t="s">
        <v>892</v>
      </c>
      <c r="J256" s="8" t="str">
        <f t="array" ref="J256">IFERROR(XLOOKUP(B256,Setup!$B$38:$B$43,Setup!$A$38:$A$43),"☑")</f>
        <v>☑</v>
      </c>
      <c r="S256" s="163" t="s">
        <v>665</v>
      </c>
      <c r="T256" s="163" t="s">
        <v>665</v>
      </c>
      <c r="U256" s="163" t="s">
        <v>665</v>
      </c>
    </row>
    <row r="257" ht="15.75" customHeight="1">
      <c r="A257" s="163">
        <v>253.0</v>
      </c>
      <c r="B257" s="8" t="str">
        <f>'Family Map'!B298</f>
        <v/>
      </c>
      <c r="C257" s="8" t="str">
        <f>'Family Map'!C298</f>
        <v/>
      </c>
      <c r="D257" s="8" t="str">
        <f>'Family Map'!D298</f>
        <v/>
      </c>
      <c r="E257" s="8" t="str">
        <f>'Family Map'!F298</f>
        <v/>
      </c>
      <c r="F257" s="8" t="str">
        <f>IF(AND(OR('Family Map'!A298=TRUE,'Family Map'!A298="☑",'Family Map'!A298="✓",'Family Map'!A298="✔"),E257&lt;&gt;"",J257="☑"),E257,"")</f>
        <v/>
      </c>
      <c r="G257" s="8">
        <f>IF(E257="",0,COUNTIF('Strand Placement'!$B:$B,E257))</f>
        <v>0</v>
      </c>
      <c r="H257" s="163" t="str">
        <f t="shared" si="2"/>
        <v>Unplaced</v>
      </c>
      <c r="I257" s="163" t="s">
        <v>893</v>
      </c>
      <c r="J257" s="8" t="str">
        <f t="array" ref="J257">IFERROR(XLOOKUP(B257,Setup!$B$38:$B$43,Setup!$A$38:$A$43),"☑")</f>
        <v>☑</v>
      </c>
      <c r="S257" s="163" t="s">
        <v>665</v>
      </c>
      <c r="T257" s="163" t="s">
        <v>665</v>
      </c>
      <c r="U257" s="163" t="s">
        <v>665</v>
      </c>
    </row>
    <row r="258" ht="15.75" customHeight="1">
      <c r="A258" s="163">
        <v>254.0</v>
      </c>
      <c r="B258" s="8" t="str">
        <f>'Family Map'!B299</f>
        <v/>
      </c>
      <c r="C258" s="8" t="str">
        <f>'Family Map'!C299</f>
        <v/>
      </c>
      <c r="D258" s="8" t="str">
        <f>'Family Map'!D299</f>
        <v/>
      </c>
      <c r="E258" s="8" t="str">
        <f>'Family Map'!F299</f>
        <v/>
      </c>
      <c r="F258" s="8" t="str">
        <f>IF(AND(OR('Family Map'!A299=TRUE,'Family Map'!A299="☑",'Family Map'!A299="✓",'Family Map'!A299="✔"),E258&lt;&gt;"",J258="☑"),E258,"")</f>
        <v/>
      </c>
      <c r="G258" s="8">
        <f>IF(E258="",0,COUNTIF('Strand Placement'!$B:$B,E258))</f>
        <v>0</v>
      </c>
      <c r="H258" s="163" t="str">
        <f t="shared" si="2"/>
        <v>Unplaced</v>
      </c>
      <c r="I258" s="163" t="s">
        <v>894</v>
      </c>
      <c r="J258" s="8" t="str">
        <f t="array" ref="J258">IFERROR(XLOOKUP(B258,Setup!$B$38:$B$43,Setup!$A$38:$A$43),"☑")</f>
        <v>☑</v>
      </c>
      <c r="S258" s="163" t="s">
        <v>665</v>
      </c>
      <c r="T258" s="163" t="s">
        <v>665</v>
      </c>
      <c r="U258" s="163" t="s">
        <v>665</v>
      </c>
    </row>
    <row r="259" ht="15.75" customHeight="1">
      <c r="A259" s="163">
        <v>255.0</v>
      </c>
      <c r="B259" s="8" t="str">
        <f>'Family Map'!B300</f>
        <v/>
      </c>
      <c r="C259" s="8" t="str">
        <f>'Family Map'!C300</f>
        <v/>
      </c>
      <c r="D259" s="8" t="str">
        <f>'Family Map'!D300</f>
        <v/>
      </c>
      <c r="E259" s="8" t="str">
        <f>'Family Map'!F300</f>
        <v/>
      </c>
      <c r="F259" s="8" t="str">
        <f>IF(AND(OR('Family Map'!A300=TRUE,'Family Map'!A300="☑",'Family Map'!A300="✓",'Family Map'!A300="✔"),E259&lt;&gt;"",J259="☑"),E259,"")</f>
        <v/>
      </c>
      <c r="G259" s="8">
        <f>IF(E259="",0,COUNTIF('Strand Placement'!$B:$B,E259))</f>
        <v>0</v>
      </c>
      <c r="H259" s="163" t="str">
        <f t="shared" si="2"/>
        <v>Unplaced</v>
      </c>
      <c r="I259" s="163" t="s">
        <v>895</v>
      </c>
      <c r="J259" s="8" t="str">
        <f t="array" ref="J259">IFERROR(XLOOKUP(B259,Setup!$B$38:$B$43,Setup!$A$38:$A$43),"☑")</f>
        <v>☑</v>
      </c>
      <c r="S259" s="163" t="s">
        <v>665</v>
      </c>
      <c r="T259" s="163" t="s">
        <v>665</v>
      </c>
      <c r="U259" s="163" t="s">
        <v>665</v>
      </c>
    </row>
    <row r="260" ht="15.75" customHeight="1">
      <c r="A260" s="163">
        <v>256.0</v>
      </c>
      <c r="B260" s="8" t="str">
        <f>'Family Map'!B301</f>
        <v/>
      </c>
      <c r="C260" s="8" t="str">
        <f>'Family Map'!C301</f>
        <v/>
      </c>
      <c r="D260" s="8" t="str">
        <f>'Family Map'!D301</f>
        <v/>
      </c>
      <c r="E260" s="8" t="str">
        <f>'Family Map'!F301</f>
        <v/>
      </c>
      <c r="F260" s="8" t="str">
        <f>IF(AND(OR('Family Map'!A301=TRUE,'Family Map'!A301="☑",'Family Map'!A301="✓",'Family Map'!A301="✔"),E260&lt;&gt;"",J260="☑"),E260,"")</f>
        <v/>
      </c>
      <c r="G260" s="8">
        <f>IF(E260="",0,COUNTIF('Strand Placement'!$B:$B,E260))</f>
        <v>0</v>
      </c>
      <c r="H260" s="163" t="str">
        <f t="shared" si="2"/>
        <v>Unplaced</v>
      </c>
      <c r="I260" s="163" t="s">
        <v>896</v>
      </c>
      <c r="J260" s="8" t="str">
        <f t="array" ref="J260">IFERROR(XLOOKUP(B260,Setup!$B$38:$B$43,Setup!$A$38:$A$43),"☑")</f>
        <v>☑</v>
      </c>
      <c r="S260" s="163" t="s">
        <v>665</v>
      </c>
      <c r="T260" s="163" t="s">
        <v>665</v>
      </c>
      <c r="U260" s="163" t="s">
        <v>665</v>
      </c>
    </row>
    <row r="261" ht="15.75" customHeight="1">
      <c r="A261" s="163">
        <v>257.0</v>
      </c>
      <c r="B261" s="8" t="str">
        <f>'Family Map'!B302</f>
        <v/>
      </c>
      <c r="C261" s="8" t="str">
        <f>'Family Map'!C302</f>
        <v/>
      </c>
      <c r="D261" s="8" t="str">
        <f>'Family Map'!D302</f>
        <v/>
      </c>
      <c r="E261" s="8" t="str">
        <f>'Family Map'!F302</f>
        <v/>
      </c>
      <c r="F261" s="8" t="str">
        <f>IF(AND(OR('Family Map'!A302=TRUE,'Family Map'!A302="☑",'Family Map'!A302="✓",'Family Map'!A302="✔"),E261&lt;&gt;"",J261="☑"),E261,"")</f>
        <v/>
      </c>
      <c r="G261" s="8">
        <f>IF(E261="",0,COUNTIF('Strand Placement'!$B:$B,E261))</f>
        <v>0</v>
      </c>
      <c r="H261" s="163" t="str">
        <f t="shared" si="2"/>
        <v>Unplaced</v>
      </c>
      <c r="I261" s="163" t="s">
        <v>897</v>
      </c>
      <c r="J261" s="8" t="str">
        <f t="array" ref="J261">IFERROR(XLOOKUP(B261,Setup!$B$38:$B$43,Setup!$A$38:$A$43),"☑")</f>
        <v>☑</v>
      </c>
      <c r="S261" s="163" t="s">
        <v>665</v>
      </c>
      <c r="T261" s="163" t="s">
        <v>665</v>
      </c>
      <c r="U261" s="163" t="s">
        <v>665</v>
      </c>
    </row>
    <row r="262" ht="15.75" customHeight="1">
      <c r="A262" s="163">
        <v>258.0</v>
      </c>
      <c r="B262" s="8" t="str">
        <f>'Family Map'!B303</f>
        <v/>
      </c>
      <c r="C262" s="8" t="str">
        <f>'Family Map'!C303</f>
        <v/>
      </c>
      <c r="D262" s="8" t="str">
        <f>'Family Map'!D303</f>
        <v/>
      </c>
      <c r="E262" s="8" t="str">
        <f>'Family Map'!F303</f>
        <v/>
      </c>
      <c r="F262" s="8" t="str">
        <f>IF(AND(OR('Family Map'!A303=TRUE,'Family Map'!A303="☑",'Family Map'!A303="✓",'Family Map'!A303="✔"),E262&lt;&gt;"",J262="☑"),E262,"")</f>
        <v/>
      </c>
      <c r="G262" s="8">
        <f>IF(E262="",0,COUNTIF('Strand Placement'!$B:$B,E262))</f>
        <v>0</v>
      </c>
      <c r="H262" s="163" t="str">
        <f t="shared" si="2"/>
        <v>Unplaced</v>
      </c>
      <c r="I262" s="163" t="s">
        <v>898</v>
      </c>
      <c r="J262" s="8" t="str">
        <f t="array" ref="J262">IFERROR(XLOOKUP(B262,Setup!$B$38:$B$43,Setup!$A$38:$A$43),"☑")</f>
        <v>☑</v>
      </c>
      <c r="S262" s="163" t="s">
        <v>665</v>
      </c>
      <c r="T262" s="163" t="s">
        <v>665</v>
      </c>
      <c r="U262" s="163" t="s">
        <v>665</v>
      </c>
    </row>
    <row r="263" ht="15.75" customHeight="1">
      <c r="A263" s="163">
        <v>259.0</v>
      </c>
      <c r="B263" s="8" t="str">
        <f>'Family Map'!B304</f>
        <v/>
      </c>
      <c r="C263" s="8" t="str">
        <f>'Family Map'!C304</f>
        <v/>
      </c>
      <c r="D263" s="8" t="str">
        <f>'Family Map'!D304</f>
        <v/>
      </c>
      <c r="E263" s="8" t="str">
        <f>'Family Map'!F304</f>
        <v/>
      </c>
      <c r="F263" s="8" t="str">
        <f>IF(AND(OR('Family Map'!A304=TRUE,'Family Map'!A304="☑",'Family Map'!A304="✓",'Family Map'!A304="✔"),E263&lt;&gt;"",J263="☑"),E263,"")</f>
        <v/>
      </c>
      <c r="G263" s="8">
        <f>IF(E263="",0,COUNTIF('Strand Placement'!$B:$B,E263))</f>
        <v>0</v>
      </c>
      <c r="H263" s="163" t="str">
        <f t="shared" si="2"/>
        <v>Unplaced</v>
      </c>
      <c r="I263" s="163" t="s">
        <v>899</v>
      </c>
      <c r="J263" s="8" t="str">
        <f t="array" ref="J263">IFERROR(XLOOKUP(B263,Setup!$B$38:$B$43,Setup!$A$38:$A$43),"☑")</f>
        <v>☑</v>
      </c>
      <c r="S263" s="163" t="s">
        <v>665</v>
      </c>
      <c r="T263" s="163" t="s">
        <v>665</v>
      </c>
      <c r="U263" s="163" t="s">
        <v>665</v>
      </c>
    </row>
    <row r="264" ht="15.75" customHeight="1">
      <c r="A264" s="163">
        <v>260.0</v>
      </c>
      <c r="B264" s="8" t="str">
        <f>'Family Map'!B305</f>
        <v/>
      </c>
      <c r="C264" s="8" t="str">
        <f>'Family Map'!C305</f>
        <v/>
      </c>
      <c r="D264" s="8" t="str">
        <f>'Family Map'!D305</f>
        <v/>
      </c>
      <c r="E264" s="8" t="str">
        <f>'Family Map'!F305</f>
        <v/>
      </c>
      <c r="F264" s="8" t="str">
        <f>IF(AND(OR('Family Map'!A305=TRUE,'Family Map'!A305="☑",'Family Map'!A305="✓",'Family Map'!A305="✔"),E264&lt;&gt;"",J264="☑"),E264,"")</f>
        <v/>
      </c>
      <c r="G264" s="8">
        <f>IF(E264="",0,COUNTIF('Strand Placement'!$B:$B,E264))</f>
        <v>0</v>
      </c>
      <c r="H264" s="163" t="str">
        <f t="shared" si="2"/>
        <v>Unplaced</v>
      </c>
      <c r="I264" s="163" t="s">
        <v>900</v>
      </c>
      <c r="J264" s="8" t="str">
        <f t="array" ref="J264">IFERROR(XLOOKUP(B264,Setup!$B$38:$B$43,Setup!$A$38:$A$43),"☑")</f>
        <v>☑</v>
      </c>
      <c r="S264" s="163" t="s">
        <v>665</v>
      </c>
      <c r="T264" s="163" t="s">
        <v>665</v>
      </c>
      <c r="U264" s="163" t="s">
        <v>665</v>
      </c>
    </row>
    <row r="265" ht="15.75" customHeight="1">
      <c r="A265" s="163">
        <v>261.0</v>
      </c>
      <c r="B265" s="8" t="str">
        <f>'Family Map'!B306</f>
        <v/>
      </c>
      <c r="C265" s="8" t="str">
        <f>'Family Map'!C306</f>
        <v/>
      </c>
      <c r="D265" s="8" t="str">
        <f>'Family Map'!D306</f>
        <v/>
      </c>
      <c r="E265" s="8" t="str">
        <f>'Family Map'!F306</f>
        <v/>
      </c>
      <c r="F265" s="8" t="str">
        <f>IF(AND(OR('Family Map'!A306=TRUE,'Family Map'!A306="☑",'Family Map'!A306="✓",'Family Map'!A306="✔"),E265&lt;&gt;"",J265="☑"),E265,"")</f>
        <v/>
      </c>
      <c r="G265" s="8">
        <f>IF(E265="",0,COUNTIF('Strand Placement'!$B:$B,E265))</f>
        <v>0</v>
      </c>
      <c r="H265" s="163" t="str">
        <f t="shared" si="2"/>
        <v>Unplaced</v>
      </c>
      <c r="I265" s="163" t="s">
        <v>901</v>
      </c>
      <c r="J265" s="8" t="str">
        <f t="array" ref="J265">IFERROR(XLOOKUP(B265,Setup!$B$38:$B$43,Setup!$A$38:$A$43),"☑")</f>
        <v>☑</v>
      </c>
      <c r="S265" s="163" t="s">
        <v>665</v>
      </c>
      <c r="T265" s="163" t="s">
        <v>665</v>
      </c>
      <c r="U265" s="163" t="s">
        <v>665</v>
      </c>
    </row>
    <row r="266" ht="15.75" customHeight="1">
      <c r="A266" s="163">
        <v>262.0</v>
      </c>
      <c r="B266" s="8" t="str">
        <f>'Family Map'!B307</f>
        <v/>
      </c>
      <c r="C266" s="8" t="str">
        <f>'Family Map'!C307</f>
        <v/>
      </c>
      <c r="D266" s="8" t="str">
        <f>'Family Map'!D307</f>
        <v/>
      </c>
      <c r="E266" s="8" t="str">
        <f>'Family Map'!F307</f>
        <v/>
      </c>
      <c r="F266" s="8" t="str">
        <f>IF(AND(OR('Family Map'!A307=TRUE,'Family Map'!A307="☑",'Family Map'!A307="✓",'Family Map'!A307="✔"),E266&lt;&gt;"",J266="☑"),E266,"")</f>
        <v/>
      </c>
      <c r="G266" s="8">
        <f>IF(E266="",0,COUNTIF('Strand Placement'!$B:$B,E266))</f>
        <v>0</v>
      </c>
      <c r="H266" s="163" t="str">
        <f t="shared" si="2"/>
        <v>Unplaced</v>
      </c>
      <c r="I266" s="163" t="s">
        <v>902</v>
      </c>
      <c r="J266" s="8" t="str">
        <f t="array" ref="J266">IFERROR(XLOOKUP(B266,Setup!$B$38:$B$43,Setup!$A$38:$A$43),"☑")</f>
        <v>☑</v>
      </c>
      <c r="S266" s="163" t="s">
        <v>665</v>
      </c>
      <c r="T266" s="163" t="s">
        <v>665</v>
      </c>
      <c r="U266" s="163" t="s">
        <v>665</v>
      </c>
    </row>
    <row r="267" ht="15.75" customHeight="1">
      <c r="A267" s="163">
        <v>263.0</v>
      </c>
      <c r="B267" s="8" t="str">
        <f>'Family Map'!B308</f>
        <v/>
      </c>
      <c r="C267" s="8" t="str">
        <f>'Family Map'!C308</f>
        <v/>
      </c>
      <c r="D267" s="8" t="str">
        <f>'Family Map'!D308</f>
        <v/>
      </c>
      <c r="E267" s="8" t="str">
        <f>'Family Map'!F308</f>
        <v/>
      </c>
      <c r="F267" s="8" t="str">
        <f>IF(AND(OR('Family Map'!A308=TRUE,'Family Map'!A308="☑",'Family Map'!A308="✓",'Family Map'!A308="✔"),E267&lt;&gt;"",J267="☑"),E267,"")</f>
        <v/>
      </c>
      <c r="G267" s="8">
        <f>IF(E267="",0,COUNTIF('Strand Placement'!$B:$B,E267))</f>
        <v>0</v>
      </c>
      <c r="H267" s="163" t="str">
        <f t="shared" si="2"/>
        <v>Unplaced</v>
      </c>
      <c r="I267" s="163" t="s">
        <v>903</v>
      </c>
      <c r="J267" s="8" t="str">
        <f t="array" ref="J267">IFERROR(XLOOKUP(B267,Setup!$B$38:$B$43,Setup!$A$38:$A$43),"☑")</f>
        <v>☑</v>
      </c>
      <c r="S267" s="163" t="s">
        <v>665</v>
      </c>
      <c r="T267" s="163" t="s">
        <v>665</v>
      </c>
      <c r="U267" s="163" t="s">
        <v>665</v>
      </c>
    </row>
    <row r="268" ht="15.75" customHeight="1">
      <c r="A268" s="163">
        <v>264.0</v>
      </c>
      <c r="B268" s="8" t="str">
        <f>'Family Map'!B309</f>
        <v/>
      </c>
      <c r="C268" s="8" t="str">
        <f>'Family Map'!C309</f>
        <v/>
      </c>
      <c r="D268" s="8" t="str">
        <f>'Family Map'!D309</f>
        <v/>
      </c>
      <c r="E268" s="8" t="str">
        <f>'Family Map'!F309</f>
        <v/>
      </c>
      <c r="F268" s="8" t="str">
        <f>IF(AND(OR('Family Map'!A309=TRUE,'Family Map'!A309="☑",'Family Map'!A309="✓",'Family Map'!A309="✔"),E268&lt;&gt;"",J268="☑"),E268,"")</f>
        <v/>
      </c>
      <c r="G268" s="8">
        <f>IF(E268="",0,COUNTIF('Strand Placement'!$B:$B,E268))</f>
        <v>0</v>
      </c>
      <c r="H268" s="163" t="str">
        <f t="shared" si="2"/>
        <v>Unplaced</v>
      </c>
      <c r="I268" s="163" t="s">
        <v>904</v>
      </c>
      <c r="J268" s="8" t="str">
        <f t="array" ref="J268">IFERROR(XLOOKUP(B268,Setup!$B$38:$B$43,Setup!$A$38:$A$43),"☑")</f>
        <v>☑</v>
      </c>
      <c r="S268" s="163" t="s">
        <v>665</v>
      </c>
      <c r="T268" s="163" t="s">
        <v>665</v>
      </c>
      <c r="U268" s="163" t="s">
        <v>665</v>
      </c>
    </row>
    <row r="269" ht="15.75" customHeight="1">
      <c r="A269" s="163">
        <v>265.0</v>
      </c>
      <c r="B269" s="8" t="str">
        <f>'Family Map'!B310</f>
        <v/>
      </c>
      <c r="C269" s="8" t="str">
        <f>'Family Map'!C310</f>
        <v/>
      </c>
      <c r="D269" s="8" t="str">
        <f>'Family Map'!D310</f>
        <v/>
      </c>
      <c r="E269" s="8" t="str">
        <f>'Family Map'!F310</f>
        <v/>
      </c>
      <c r="F269" s="8" t="str">
        <f>IF(AND(OR('Family Map'!A310=TRUE,'Family Map'!A310="☑",'Family Map'!A310="✓",'Family Map'!A310="✔"),E269&lt;&gt;"",J269="☑"),E269,"")</f>
        <v/>
      </c>
      <c r="G269" s="8">
        <f>IF(E269="",0,COUNTIF('Strand Placement'!$B:$B,E269))</f>
        <v>0</v>
      </c>
      <c r="H269" s="163" t="str">
        <f t="shared" si="2"/>
        <v>Unplaced</v>
      </c>
      <c r="I269" s="163" t="s">
        <v>905</v>
      </c>
      <c r="J269" s="8" t="str">
        <f t="array" ref="J269">IFERROR(XLOOKUP(B269,Setup!$B$38:$B$43,Setup!$A$38:$A$43),"☑")</f>
        <v>☑</v>
      </c>
      <c r="S269" s="163" t="s">
        <v>665</v>
      </c>
      <c r="T269" s="163" t="s">
        <v>665</v>
      </c>
      <c r="U269" s="163" t="s">
        <v>665</v>
      </c>
    </row>
    <row r="270" ht="15.75" customHeight="1">
      <c r="A270" s="163">
        <v>266.0</v>
      </c>
      <c r="B270" s="8" t="str">
        <f>'Family Map'!B311</f>
        <v/>
      </c>
      <c r="C270" s="8" t="str">
        <f>'Family Map'!C311</f>
        <v/>
      </c>
      <c r="D270" s="8" t="str">
        <f>'Family Map'!D311</f>
        <v/>
      </c>
      <c r="E270" s="8" t="str">
        <f>'Family Map'!F311</f>
        <v/>
      </c>
      <c r="F270" s="8" t="str">
        <f>IF(AND(OR('Family Map'!A311=TRUE,'Family Map'!A311="☑",'Family Map'!A311="✓",'Family Map'!A311="✔"),E270&lt;&gt;"",J270="☑"),E270,"")</f>
        <v/>
      </c>
      <c r="G270" s="8">
        <f>IF(E270="",0,COUNTIF('Strand Placement'!$B:$B,E270))</f>
        <v>0</v>
      </c>
      <c r="H270" s="163" t="str">
        <f t="shared" si="2"/>
        <v>Unplaced</v>
      </c>
      <c r="I270" s="163" t="s">
        <v>906</v>
      </c>
      <c r="J270" s="8" t="str">
        <f t="array" ref="J270">IFERROR(XLOOKUP(B270,Setup!$B$38:$B$43,Setup!$A$38:$A$43),"☑")</f>
        <v>☑</v>
      </c>
      <c r="S270" s="163" t="s">
        <v>665</v>
      </c>
      <c r="T270" s="163" t="s">
        <v>665</v>
      </c>
      <c r="U270" s="163" t="s">
        <v>665</v>
      </c>
    </row>
    <row r="271" ht="15.75" customHeight="1">
      <c r="A271" s="163">
        <v>267.0</v>
      </c>
      <c r="B271" s="8" t="str">
        <f>'Family Map'!B312</f>
        <v/>
      </c>
      <c r="C271" s="8" t="str">
        <f>'Family Map'!C312</f>
        <v/>
      </c>
      <c r="D271" s="8" t="str">
        <f>'Family Map'!D312</f>
        <v/>
      </c>
      <c r="E271" s="8" t="str">
        <f>'Family Map'!F312</f>
        <v/>
      </c>
      <c r="F271" s="8" t="str">
        <f>IF(AND(OR('Family Map'!A312=TRUE,'Family Map'!A312="☑",'Family Map'!A312="✓",'Family Map'!A312="✔"),E271&lt;&gt;"",J271="☑"),E271,"")</f>
        <v/>
      </c>
      <c r="G271" s="8">
        <f>IF(E271="",0,COUNTIF('Strand Placement'!$B:$B,E271))</f>
        <v>0</v>
      </c>
      <c r="H271" s="163" t="str">
        <f t="shared" si="2"/>
        <v>Unplaced</v>
      </c>
      <c r="I271" s="163" t="s">
        <v>907</v>
      </c>
      <c r="J271" s="8" t="str">
        <f t="array" ref="J271">IFERROR(XLOOKUP(B271,Setup!$B$38:$B$43,Setup!$A$38:$A$43),"☑")</f>
        <v>☑</v>
      </c>
      <c r="S271" s="163" t="s">
        <v>665</v>
      </c>
      <c r="T271" s="163" t="s">
        <v>665</v>
      </c>
      <c r="U271" s="163" t="s">
        <v>665</v>
      </c>
    </row>
    <row r="272" ht="15.75" customHeight="1">
      <c r="A272" s="163">
        <v>268.0</v>
      </c>
      <c r="B272" s="8" t="str">
        <f>'Family Map'!B313</f>
        <v/>
      </c>
      <c r="C272" s="8" t="str">
        <f>'Family Map'!C313</f>
        <v/>
      </c>
      <c r="D272" s="8" t="str">
        <f>'Family Map'!D313</f>
        <v/>
      </c>
      <c r="E272" s="8" t="str">
        <f>'Family Map'!F313</f>
        <v/>
      </c>
      <c r="F272" s="8" t="str">
        <f>IF(AND(OR('Family Map'!A313=TRUE,'Family Map'!A313="☑",'Family Map'!A313="✓",'Family Map'!A313="✔"),E272&lt;&gt;"",J272="☑"),E272,"")</f>
        <v/>
      </c>
      <c r="G272" s="8">
        <f>IF(E272="",0,COUNTIF('Strand Placement'!$B:$B,E272))</f>
        <v>0</v>
      </c>
      <c r="H272" s="163" t="str">
        <f t="shared" si="2"/>
        <v>Unplaced</v>
      </c>
      <c r="I272" s="163" t="s">
        <v>908</v>
      </c>
      <c r="J272" s="8" t="str">
        <f t="array" ref="J272">IFERROR(XLOOKUP(B272,Setup!$B$38:$B$43,Setup!$A$38:$A$43),"☑")</f>
        <v>☑</v>
      </c>
      <c r="S272" s="163" t="s">
        <v>665</v>
      </c>
      <c r="T272" s="163" t="s">
        <v>665</v>
      </c>
      <c r="U272" s="163" t="s">
        <v>665</v>
      </c>
    </row>
    <row r="273" ht="15.75" customHeight="1">
      <c r="A273" s="163">
        <v>269.0</v>
      </c>
      <c r="B273" s="8" t="str">
        <f>'Family Map'!B314</f>
        <v/>
      </c>
      <c r="C273" s="8" t="str">
        <f>'Family Map'!C314</f>
        <v/>
      </c>
      <c r="D273" s="8" t="str">
        <f>'Family Map'!D314</f>
        <v/>
      </c>
      <c r="E273" s="8" t="str">
        <f>'Family Map'!F314</f>
        <v/>
      </c>
      <c r="F273" s="8" t="str">
        <f>IF(AND(OR('Family Map'!A314=TRUE,'Family Map'!A314="☑",'Family Map'!A314="✓",'Family Map'!A314="✔"),E273&lt;&gt;"",J273="☑"),E273,"")</f>
        <v/>
      </c>
      <c r="G273" s="8">
        <f>IF(E273="",0,COUNTIF('Strand Placement'!$B:$B,E273))</f>
        <v>0</v>
      </c>
      <c r="H273" s="163" t="str">
        <f t="shared" si="2"/>
        <v>Unplaced</v>
      </c>
      <c r="I273" s="163" t="s">
        <v>909</v>
      </c>
      <c r="J273" s="8" t="str">
        <f t="array" ref="J273">IFERROR(XLOOKUP(B273,Setup!$B$38:$B$43,Setup!$A$38:$A$43),"☑")</f>
        <v>☑</v>
      </c>
      <c r="S273" s="163" t="s">
        <v>665</v>
      </c>
      <c r="T273" s="163" t="s">
        <v>665</v>
      </c>
      <c r="U273" s="163" t="s">
        <v>665</v>
      </c>
    </row>
    <row r="274" ht="15.75" customHeight="1">
      <c r="A274" s="163">
        <v>270.0</v>
      </c>
      <c r="B274" s="8" t="str">
        <f>'Family Map'!B315</f>
        <v/>
      </c>
      <c r="C274" s="8" t="str">
        <f>'Family Map'!C315</f>
        <v/>
      </c>
      <c r="D274" s="8" t="str">
        <f>'Family Map'!D315</f>
        <v/>
      </c>
      <c r="E274" s="8" t="str">
        <f>'Family Map'!F315</f>
        <v/>
      </c>
      <c r="F274" s="8" t="str">
        <f>IF(AND(OR('Family Map'!A315=TRUE,'Family Map'!A315="☑",'Family Map'!A315="✓",'Family Map'!A315="✔"),E274&lt;&gt;"",J274="☑"),E274,"")</f>
        <v/>
      </c>
      <c r="G274" s="8">
        <f>IF(E274="",0,COUNTIF('Strand Placement'!$B:$B,E274))</f>
        <v>0</v>
      </c>
      <c r="H274" s="163" t="str">
        <f t="shared" si="2"/>
        <v>Unplaced</v>
      </c>
      <c r="I274" s="163" t="s">
        <v>910</v>
      </c>
      <c r="J274" s="8" t="str">
        <f t="array" ref="J274">IFERROR(XLOOKUP(B274,Setup!$B$38:$B$43,Setup!$A$38:$A$43),"☑")</f>
        <v>☑</v>
      </c>
      <c r="S274" s="163" t="s">
        <v>665</v>
      </c>
      <c r="T274" s="163" t="s">
        <v>665</v>
      </c>
      <c r="U274" s="163" t="s">
        <v>665</v>
      </c>
    </row>
    <row r="275" ht="15.75" customHeight="1">
      <c r="A275" s="163">
        <v>271.0</v>
      </c>
      <c r="B275" s="8" t="str">
        <f>'Family Map'!B316</f>
        <v/>
      </c>
      <c r="C275" s="8" t="str">
        <f>'Family Map'!C316</f>
        <v/>
      </c>
      <c r="D275" s="8" t="str">
        <f>'Family Map'!D316</f>
        <v/>
      </c>
      <c r="E275" s="8" t="str">
        <f>'Family Map'!F316</f>
        <v/>
      </c>
      <c r="F275" s="8" t="str">
        <f>IF(AND(OR('Family Map'!A316=TRUE,'Family Map'!A316="☑",'Family Map'!A316="✓",'Family Map'!A316="✔"),E275&lt;&gt;"",J275="☑"),E275,"")</f>
        <v/>
      </c>
      <c r="G275" s="8">
        <f>IF(E275="",0,COUNTIF('Strand Placement'!$B:$B,E275))</f>
        <v>0</v>
      </c>
      <c r="H275" s="163" t="str">
        <f t="shared" si="2"/>
        <v>Unplaced</v>
      </c>
      <c r="I275" s="163" t="s">
        <v>911</v>
      </c>
      <c r="J275" s="8" t="str">
        <f t="array" ref="J275">IFERROR(XLOOKUP(B275,Setup!$B$38:$B$43,Setup!$A$38:$A$43),"☑")</f>
        <v>☑</v>
      </c>
      <c r="S275" s="163" t="s">
        <v>665</v>
      </c>
      <c r="T275" s="163" t="s">
        <v>665</v>
      </c>
      <c r="U275" s="163" t="s">
        <v>665</v>
      </c>
    </row>
    <row r="276" ht="15.75" customHeight="1">
      <c r="A276" s="163">
        <v>272.0</v>
      </c>
      <c r="B276" s="8" t="str">
        <f>'Family Map'!B317</f>
        <v/>
      </c>
      <c r="C276" s="8" t="str">
        <f>'Family Map'!C317</f>
        <v/>
      </c>
      <c r="D276" s="8" t="str">
        <f>'Family Map'!D317</f>
        <v/>
      </c>
      <c r="E276" s="8" t="str">
        <f>'Family Map'!F317</f>
        <v/>
      </c>
      <c r="F276" s="8" t="str">
        <f>IF(AND(OR('Family Map'!A317=TRUE,'Family Map'!A317="☑",'Family Map'!A317="✓",'Family Map'!A317="✔"),E276&lt;&gt;"",J276="☑"),E276,"")</f>
        <v/>
      </c>
      <c r="G276" s="8">
        <f>IF(E276="",0,COUNTIF('Strand Placement'!$B:$B,E276))</f>
        <v>0</v>
      </c>
      <c r="H276" s="163" t="str">
        <f t="shared" si="2"/>
        <v>Unplaced</v>
      </c>
      <c r="I276" s="163" t="s">
        <v>912</v>
      </c>
      <c r="J276" s="8" t="str">
        <f t="array" ref="J276">IFERROR(XLOOKUP(B276,Setup!$B$38:$B$43,Setup!$A$38:$A$43),"☑")</f>
        <v>☑</v>
      </c>
      <c r="S276" s="163" t="s">
        <v>665</v>
      </c>
      <c r="T276" s="163" t="s">
        <v>665</v>
      </c>
      <c r="U276" s="163" t="s">
        <v>665</v>
      </c>
    </row>
    <row r="277" ht="15.75" customHeight="1">
      <c r="A277" s="163">
        <v>273.0</v>
      </c>
      <c r="B277" s="8" t="str">
        <f>'Family Map'!B318</f>
        <v/>
      </c>
      <c r="C277" s="8" t="str">
        <f>'Family Map'!C318</f>
        <v/>
      </c>
      <c r="D277" s="8" t="str">
        <f>'Family Map'!D318</f>
        <v/>
      </c>
      <c r="E277" s="8" t="str">
        <f>'Family Map'!F318</f>
        <v/>
      </c>
      <c r="F277" s="8" t="str">
        <f>IF(AND(OR('Family Map'!A318=TRUE,'Family Map'!A318="☑",'Family Map'!A318="✓",'Family Map'!A318="✔"),E277&lt;&gt;"",J277="☑"),E277,"")</f>
        <v/>
      </c>
      <c r="G277" s="8">
        <f>IF(E277="",0,COUNTIF('Strand Placement'!$B:$B,E277))</f>
        <v>0</v>
      </c>
      <c r="H277" s="163" t="str">
        <f t="shared" si="2"/>
        <v>Unplaced</v>
      </c>
      <c r="I277" s="163" t="s">
        <v>913</v>
      </c>
      <c r="J277" s="8" t="str">
        <f t="array" ref="J277">IFERROR(XLOOKUP(B277,Setup!$B$38:$B$43,Setup!$A$38:$A$43),"☑")</f>
        <v>☑</v>
      </c>
      <c r="S277" s="163" t="s">
        <v>665</v>
      </c>
      <c r="T277" s="163" t="s">
        <v>665</v>
      </c>
      <c r="U277" s="163" t="s">
        <v>665</v>
      </c>
    </row>
    <row r="278" ht="15.75" customHeight="1">
      <c r="A278" s="163">
        <v>274.0</v>
      </c>
      <c r="B278" s="8" t="str">
        <f>'Family Map'!B319</f>
        <v/>
      </c>
      <c r="C278" s="8" t="str">
        <f>'Family Map'!C319</f>
        <v/>
      </c>
      <c r="D278" s="8" t="str">
        <f>'Family Map'!D319</f>
        <v/>
      </c>
      <c r="E278" s="8" t="str">
        <f>'Family Map'!F319</f>
        <v/>
      </c>
      <c r="F278" s="8" t="str">
        <f>IF(AND(OR('Family Map'!A319=TRUE,'Family Map'!A319="☑",'Family Map'!A319="✓",'Family Map'!A319="✔"),E278&lt;&gt;"",J278="☑"),E278,"")</f>
        <v/>
      </c>
      <c r="G278" s="8">
        <f>IF(E278="",0,COUNTIF('Strand Placement'!$B:$B,E278))</f>
        <v>0</v>
      </c>
      <c r="H278" s="163" t="str">
        <f t="shared" si="2"/>
        <v>Unplaced</v>
      </c>
      <c r="I278" s="163" t="s">
        <v>914</v>
      </c>
      <c r="J278" s="8" t="str">
        <f t="array" ref="J278">IFERROR(XLOOKUP(B278,Setup!$B$38:$B$43,Setup!$A$38:$A$43),"☑")</f>
        <v>☑</v>
      </c>
      <c r="S278" s="163" t="s">
        <v>665</v>
      </c>
      <c r="T278" s="163" t="s">
        <v>665</v>
      </c>
      <c r="U278" s="163" t="s">
        <v>665</v>
      </c>
    </row>
    <row r="279" ht="15.75" customHeight="1">
      <c r="A279" s="163">
        <v>275.0</v>
      </c>
      <c r="B279" s="8" t="str">
        <f>'Family Map'!B320</f>
        <v/>
      </c>
      <c r="C279" s="8" t="str">
        <f>'Family Map'!C320</f>
        <v/>
      </c>
      <c r="D279" s="8" t="str">
        <f>'Family Map'!D320</f>
        <v/>
      </c>
      <c r="E279" s="8" t="str">
        <f>'Family Map'!F320</f>
        <v/>
      </c>
      <c r="F279" s="8" t="str">
        <f>IF(AND(OR('Family Map'!A320=TRUE,'Family Map'!A320="☑",'Family Map'!A320="✓",'Family Map'!A320="✔"),E279&lt;&gt;"",J279="☑"),E279,"")</f>
        <v/>
      </c>
      <c r="G279" s="8">
        <f>IF(E279="",0,COUNTIF('Strand Placement'!$B:$B,E279))</f>
        <v>0</v>
      </c>
      <c r="H279" s="163" t="str">
        <f t="shared" si="2"/>
        <v>Unplaced</v>
      </c>
      <c r="I279" s="163" t="s">
        <v>915</v>
      </c>
      <c r="J279" s="8" t="str">
        <f t="array" ref="J279">IFERROR(XLOOKUP(B279,Setup!$B$38:$B$43,Setup!$A$38:$A$43),"☑")</f>
        <v>☑</v>
      </c>
      <c r="S279" s="163" t="s">
        <v>665</v>
      </c>
      <c r="T279" s="163" t="s">
        <v>665</v>
      </c>
      <c r="U279" s="163" t="s">
        <v>665</v>
      </c>
    </row>
    <row r="280" ht="15.75" customHeight="1">
      <c r="A280" s="163">
        <v>276.0</v>
      </c>
      <c r="B280" s="8" t="str">
        <f>'Family Map'!B321</f>
        <v/>
      </c>
      <c r="C280" s="8" t="str">
        <f>'Family Map'!C321</f>
        <v/>
      </c>
      <c r="D280" s="8" t="str">
        <f>'Family Map'!D321</f>
        <v/>
      </c>
      <c r="E280" s="8" t="str">
        <f>'Family Map'!F321</f>
        <v/>
      </c>
      <c r="F280" s="8" t="str">
        <f>IF(AND(OR('Family Map'!A321=TRUE,'Family Map'!A321="☑",'Family Map'!A321="✓",'Family Map'!A321="✔"),E280&lt;&gt;"",J280="☑"),E280,"")</f>
        <v/>
      </c>
      <c r="G280" s="8">
        <f>IF(E280="",0,COUNTIF('Strand Placement'!$B:$B,E280))</f>
        <v>0</v>
      </c>
      <c r="H280" s="163" t="str">
        <f t="shared" si="2"/>
        <v>Unplaced</v>
      </c>
      <c r="I280" s="163" t="s">
        <v>916</v>
      </c>
      <c r="J280" s="8" t="str">
        <f t="array" ref="J280">IFERROR(XLOOKUP(B280,Setup!$B$38:$B$43,Setup!$A$38:$A$43),"☑")</f>
        <v>☑</v>
      </c>
      <c r="S280" s="163" t="s">
        <v>665</v>
      </c>
      <c r="T280" s="163" t="s">
        <v>665</v>
      </c>
      <c r="U280" s="163" t="s">
        <v>665</v>
      </c>
    </row>
    <row r="281" ht="15.75" customHeight="1">
      <c r="A281" s="163">
        <v>277.0</v>
      </c>
      <c r="B281" s="8" t="str">
        <f>'Family Map'!B322</f>
        <v/>
      </c>
      <c r="C281" s="8" t="str">
        <f>'Family Map'!C322</f>
        <v/>
      </c>
      <c r="D281" s="8" t="str">
        <f>'Family Map'!D322</f>
        <v/>
      </c>
      <c r="E281" s="8" t="str">
        <f>'Family Map'!F322</f>
        <v/>
      </c>
      <c r="F281" s="8" t="str">
        <f>IF(AND(OR('Family Map'!A322=TRUE,'Family Map'!A322="☑",'Family Map'!A322="✓",'Family Map'!A322="✔"),E281&lt;&gt;"",J281="☑"),E281,"")</f>
        <v/>
      </c>
      <c r="G281" s="8">
        <f>IF(E281="",0,COUNTIF('Strand Placement'!$B:$B,E281))</f>
        <v>0</v>
      </c>
      <c r="H281" s="163" t="str">
        <f t="shared" si="2"/>
        <v>Unplaced</v>
      </c>
      <c r="I281" s="163" t="s">
        <v>917</v>
      </c>
      <c r="J281" s="8" t="str">
        <f t="array" ref="J281">IFERROR(XLOOKUP(B281,Setup!$B$38:$B$43,Setup!$A$38:$A$43),"☑")</f>
        <v>☑</v>
      </c>
      <c r="S281" s="163" t="s">
        <v>665</v>
      </c>
      <c r="T281" s="163" t="s">
        <v>665</v>
      </c>
      <c r="U281" s="163" t="s">
        <v>665</v>
      </c>
    </row>
    <row r="282" ht="15.75" customHeight="1">
      <c r="A282" s="163">
        <v>278.0</v>
      </c>
      <c r="B282" s="8" t="str">
        <f>'Family Map'!B323</f>
        <v/>
      </c>
      <c r="C282" s="8" t="str">
        <f>'Family Map'!C323</f>
        <v/>
      </c>
      <c r="D282" s="8" t="str">
        <f>'Family Map'!D323</f>
        <v/>
      </c>
      <c r="E282" s="8" t="str">
        <f>'Family Map'!F323</f>
        <v/>
      </c>
      <c r="F282" s="8" t="str">
        <f>IF(AND(OR('Family Map'!A323=TRUE,'Family Map'!A323="☑",'Family Map'!A323="✓",'Family Map'!A323="✔"),E282&lt;&gt;"",J282="☑"),E282,"")</f>
        <v/>
      </c>
      <c r="G282" s="8">
        <f>IF(E282="",0,COUNTIF('Strand Placement'!$B:$B,E282))</f>
        <v>0</v>
      </c>
      <c r="H282" s="163" t="str">
        <f t="shared" si="2"/>
        <v>Unplaced</v>
      </c>
      <c r="I282" s="163" t="s">
        <v>918</v>
      </c>
      <c r="J282" s="8" t="str">
        <f t="array" ref="J282">IFERROR(XLOOKUP(B282,Setup!$B$38:$B$43,Setup!$A$38:$A$43),"☑")</f>
        <v>☑</v>
      </c>
      <c r="S282" s="163" t="s">
        <v>665</v>
      </c>
      <c r="T282" s="163" t="s">
        <v>665</v>
      </c>
      <c r="U282" s="163" t="s">
        <v>665</v>
      </c>
    </row>
    <row r="283" ht="15.75" customHeight="1">
      <c r="A283" s="163">
        <v>279.0</v>
      </c>
      <c r="B283" s="8" t="str">
        <f>'Family Map'!B324</f>
        <v/>
      </c>
      <c r="C283" s="8" t="str">
        <f>'Family Map'!C324</f>
        <v/>
      </c>
      <c r="D283" s="8" t="str">
        <f>'Family Map'!D324</f>
        <v/>
      </c>
      <c r="E283" s="8" t="str">
        <f>'Family Map'!F324</f>
        <v/>
      </c>
      <c r="F283" s="8" t="str">
        <f>IF(AND(OR('Family Map'!A324=TRUE,'Family Map'!A324="☑",'Family Map'!A324="✓",'Family Map'!A324="✔"),E283&lt;&gt;"",J283="☑"),E283,"")</f>
        <v/>
      </c>
      <c r="G283" s="8">
        <f>IF(E283="",0,COUNTIF('Strand Placement'!$B:$B,E283))</f>
        <v>0</v>
      </c>
      <c r="H283" s="163" t="str">
        <f t="shared" si="2"/>
        <v>Unplaced</v>
      </c>
      <c r="I283" s="163" t="s">
        <v>919</v>
      </c>
      <c r="J283" s="8" t="str">
        <f t="array" ref="J283">IFERROR(XLOOKUP(B283,Setup!$B$38:$B$43,Setup!$A$38:$A$43),"☑")</f>
        <v>☑</v>
      </c>
      <c r="S283" s="163" t="s">
        <v>665</v>
      </c>
      <c r="T283" s="163" t="s">
        <v>665</v>
      </c>
      <c r="U283" s="163" t="s">
        <v>665</v>
      </c>
    </row>
    <row r="284" ht="15.75" customHeight="1">
      <c r="A284" s="163">
        <v>280.0</v>
      </c>
      <c r="B284" s="8" t="str">
        <f>'Family Map'!B325</f>
        <v/>
      </c>
      <c r="C284" s="8" t="str">
        <f>'Family Map'!C325</f>
        <v/>
      </c>
      <c r="D284" s="8" t="str">
        <f>'Family Map'!D325</f>
        <v/>
      </c>
      <c r="E284" s="8" t="str">
        <f>'Family Map'!F325</f>
        <v/>
      </c>
      <c r="F284" s="8" t="str">
        <f>IF(AND(OR('Family Map'!A325=TRUE,'Family Map'!A325="☑",'Family Map'!A325="✓",'Family Map'!A325="✔"),E284&lt;&gt;"",J284="☑"),E284,"")</f>
        <v/>
      </c>
      <c r="G284" s="8">
        <f>IF(E284="",0,COUNTIF('Strand Placement'!$B:$B,E284))</f>
        <v>0</v>
      </c>
      <c r="H284" s="163" t="str">
        <f t="shared" si="2"/>
        <v>Unplaced</v>
      </c>
      <c r="I284" s="163" t="s">
        <v>920</v>
      </c>
      <c r="J284" s="8" t="str">
        <f t="array" ref="J284">IFERROR(XLOOKUP(B284,Setup!$B$38:$B$43,Setup!$A$38:$A$43),"☑")</f>
        <v>☑</v>
      </c>
      <c r="S284" s="163" t="s">
        <v>665</v>
      </c>
      <c r="T284" s="163" t="s">
        <v>665</v>
      </c>
      <c r="U284" s="163" t="s">
        <v>665</v>
      </c>
    </row>
    <row r="285" ht="15.75" customHeight="1">
      <c r="A285" s="163">
        <v>281.0</v>
      </c>
      <c r="B285" s="8" t="str">
        <f>'Family Map'!B326</f>
        <v/>
      </c>
      <c r="C285" s="8" t="str">
        <f>'Family Map'!C326</f>
        <v/>
      </c>
      <c r="D285" s="8" t="str">
        <f>'Family Map'!D326</f>
        <v/>
      </c>
      <c r="E285" s="8" t="str">
        <f>'Family Map'!F326</f>
        <v/>
      </c>
      <c r="F285" s="8" t="str">
        <f>IF(AND(OR('Family Map'!A326=TRUE,'Family Map'!A326="☑",'Family Map'!A326="✓",'Family Map'!A326="✔"),E285&lt;&gt;"",J285="☑"),E285,"")</f>
        <v/>
      </c>
      <c r="G285" s="8">
        <f>IF(E285="",0,COUNTIF('Strand Placement'!$B:$B,E285))</f>
        <v>0</v>
      </c>
      <c r="H285" s="163" t="str">
        <f t="shared" si="2"/>
        <v>Unplaced</v>
      </c>
      <c r="I285" s="163" t="s">
        <v>921</v>
      </c>
      <c r="J285" s="8" t="str">
        <f t="array" ref="J285">IFERROR(XLOOKUP(B285,Setup!$B$38:$B$43,Setup!$A$38:$A$43),"☑")</f>
        <v>☑</v>
      </c>
      <c r="S285" s="163" t="s">
        <v>665</v>
      </c>
      <c r="T285" s="163" t="s">
        <v>665</v>
      </c>
      <c r="U285" s="163" t="s">
        <v>665</v>
      </c>
    </row>
    <row r="286" ht="15.75" customHeight="1">
      <c r="A286" s="163">
        <v>282.0</v>
      </c>
      <c r="B286" s="8" t="str">
        <f>'Family Map'!B327</f>
        <v/>
      </c>
      <c r="C286" s="8" t="str">
        <f>'Family Map'!C327</f>
        <v/>
      </c>
      <c r="D286" s="8" t="str">
        <f>'Family Map'!D327</f>
        <v/>
      </c>
      <c r="E286" s="8" t="str">
        <f>'Family Map'!F327</f>
        <v/>
      </c>
      <c r="F286" s="8" t="str">
        <f>IF(AND(OR('Family Map'!A327=TRUE,'Family Map'!A327="☑",'Family Map'!A327="✓",'Family Map'!A327="✔"),E286&lt;&gt;"",J286="☑"),E286,"")</f>
        <v/>
      </c>
      <c r="G286" s="8">
        <f>IF(E286="",0,COUNTIF('Strand Placement'!$B:$B,E286))</f>
        <v>0</v>
      </c>
      <c r="H286" s="163" t="str">
        <f t="shared" si="2"/>
        <v>Unplaced</v>
      </c>
      <c r="I286" s="163" t="s">
        <v>922</v>
      </c>
      <c r="J286" s="8" t="str">
        <f t="array" ref="J286">IFERROR(XLOOKUP(B286,Setup!$B$38:$B$43,Setup!$A$38:$A$43),"☑")</f>
        <v>☑</v>
      </c>
      <c r="S286" s="163" t="s">
        <v>665</v>
      </c>
      <c r="T286" s="163" t="s">
        <v>665</v>
      </c>
      <c r="U286" s="163" t="s">
        <v>665</v>
      </c>
    </row>
    <row r="287" ht="15.75" customHeight="1">
      <c r="A287" s="163">
        <v>283.0</v>
      </c>
      <c r="B287" s="8" t="str">
        <f>'Family Map'!B328</f>
        <v/>
      </c>
      <c r="C287" s="8" t="str">
        <f>'Family Map'!C328</f>
        <v/>
      </c>
      <c r="D287" s="8" t="str">
        <f>'Family Map'!D328</f>
        <v/>
      </c>
      <c r="E287" s="8" t="str">
        <f>'Family Map'!F328</f>
        <v/>
      </c>
      <c r="F287" s="8" t="str">
        <f>IF(AND(OR('Family Map'!A328=TRUE,'Family Map'!A328="☑",'Family Map'!A328="✓",'Family Map'!A328="✔"),E287&lt;&gt;"",J287="☑"),E287,"")</f>
        <v/>
      </c>
      <c r="G287" s="8">
        <f>IF(E287="",0,COUNTIF('Strand Placement'!$B:$B,E287))</f>
        <v>0</v>
      </c>
      <c r="H287" s="163" t="str">
        <f t="shared" si="2"/>
        <v>Unplaced</v>
      </c>
      <c r="I287" s="163" t="s">
        <v>923</v>
      </c>
      <c r="J287" s="8" t="str">
        <f t="array" ref="J287">IFERROR(XLOOKUP(B287,Setup!$B$38:$B$43,Setup!$A$38:$A$43),"☑")</f>
        <v>☑</v>
      </c>
      <c r="S287" s="163" t="s">
        <v>665</v>
      </c>
      <c r="T287" s="163" t="s">
        <v>665</v>
      </c>
      <c r="U287" s="163" t="s">
        <v>665</v>
      </c>
    </row>
    <row r="288" ht="15.75" customHeight="1">
      <c r="A288" s="163">
        <v>284.0</v>
      </c>
      <c r="B288" s="8" t="str">
        <f>'Family Map'!B329</f>
        <v/>
      </c>
      <c r="C288" s="8" t="str">
        <f>'Family Map'!C329</f>
        <v/>
      </c>
      <c r="D288" s="8" t="str">
        <f>'Family Map'!D329</f>
        <v/>
      </c>
      <c r="E288" s="8" t="str">
        <f>'Family Map'!F329</f>
        <v/>
      </c>
      <c r="F288" s="8" t="str">
        <f>IF(AND(OR('Family Map'!A329=TRUE,'Family Map'!A329="☑",'Family Map'!A329="✓",'Family Map'!A329="✔"),E288&lt;&gt;"",J288="☑"),E288,"")</f>
        <v/>
      </c>
      <c r="G288" s="8">
        <f>IF(E288="",0,COUNTIF('Strand Placement'!$B:$B,E288))</f>
        <v>0</v>
      </c>
      <c r="H288" s="163" t="str">
        <f t="shared" si="2"/>
        <v>Unplaced</v>
      </c>
      <c r="I288" s="163" t="s">
        <v>924</v>
      </c>
      <c r="J288" s="8" t="str">
        <f t="array" ref="J288">IFERROR(XLOOKUP(B288,Setup!$B$38:$B$43,Setup!$A$38:$A$43),"☑")</f>
        <v>☑</v>
      </c>
      <c r="S288" s="163" t="s">
        <v>665</v>
      </c>
      <c r="T288" s="163" t="s">
        <v>665</v>
      </c>
      <c r="U288" s="163" t="s">
        <v>665</v>
      </c>
    </row>
    <row r="289" ht="15.75" customHeight="1">
      <c r="A289" s="163">
        <v>285.0</v>
      </c>
      <c r="B289" s="8" t="str">
        <f>'Family Map'!B330</f>
        <v/>
      </c>
      <c r="C289" s="8" t="str">
        <f>'Family Map'!C330</f>
        <v/>
      </c>
      <c r="D289" s="8" t="str">
        <f>'Family Map'!D330</f>
        <v/>
      </c>
      <c r="E289" s="8" t="str">
        <f>'Family Map'!F330</f>
        <v/>
      </c>
      <c r="F289" s="8" t="str">
        <f>IF(AND(OR('Family Map'!A330=TRUE,'Family Map'!A330="☑",'Family Map'!A330="✓",'Family Map'!A330="✔"),E289&lt;&gt;"",J289="☑"),E289,"")</f>
        <v/>
      </c>
      <c r="G289" s="8">
        <f>IF(E289="",0,COUNTIF('Strand Placement'!$B:$B,E289))</f>
        <v>0</v>
      </c>
      <c r="H289" s="163" t="str">
        <f t="shared" si="2"/>
        <v>Unplaced</v>
      </c>
      <c r="I289" s="163" t="s">
        <v>925</v>
      </c>
      <c r="J289" s="8" t="str">
        <f t="array" ref="J289">IFERROR(XLOOKUP(B289,Setup!$B$38:$B$43,Setup!$A$38:$A$43),"☑")</f>
        <v>☑</v>
      </c>
      <c r="S289" s="163" t="s">
        <v>665</v>
      </c>
      <c r="T289" s="163" t="s">
        <v>665</v>
      </c>
      <c r="U289" s="163" t="s">
        <v>665</v>
      </c>
    </row>
    <row r="290" ht="15.75" customHeight="1">
      <c r="A290" s="163">
        <v>286.0</v>
      </c>
      <c r="B290" s="8" t="str">
        <f>'Family Map'!B331</f>
        <v/>
      </c>
      <c r="C290" s="8" t="str">
        <f>'Family Map'!C331</f>
        <v/>
      </c>
      <c r="D290" s="8" t="str">
        <f>'Family Map'!D331</f>
        <v/>
      </c>
      <c r="E290" s="8" t="str">
        <f>'Family Map'!F331</f>
        <v/>
      </c>
      <c r="F290" s="8" t="str">
        <f>IF(AND(OR('Family Map'!A331=TRUE,'Family Map'!A331="☑",'Family Map'!A331="✓",'Family Map'!A331="✔"),E290&lt;&gt;"",J290="☑"),E290,"")</f>
        <v/>
      </c>
      <c r="G290" s="8">
        <f>IF(E290="",0,COUNTIF('Strand Placement'!$B:$B,E290))</f>
        <v>0</v>
      </c>
      <c r="H290" s="163" t="str">
        <f t="shared" si="2"/>
        <v>Unplaced</v>
      </c>
      <c r="I290" s="163" t="s">
        <v>926</v>
      </c>
      <c r="J290" s="8" t="str">
        <f t="array" ref="J290">IFERROR(XLOOKUP(B290,Setup!$B$38:$B$43,Setup!$A$38:$A$43),"☑")</f>
        <v>☑</v>
      </c>
      <c r="S290" s="163" t="s">
        <v>665</v>
      </c>
      <c r="T290" s="163" t="s">
        <v>665</v>
      </c>
      <c r="U290" s="163" t="s">
        <v>665</v>
      </c>
    </row>
    <row r="291" ht="15.75" customHeight="1">
      <c r="A291" s="163">
        <v>287.0</v>
      </c>
      <c r="B291" s="8" t="str">
        <f>'Family Map'!B332</f>
        <v/>
      </c>
      <c r="C291" s="8" t="str">
        <f>'Family Map'!C332</f>
        <v/>
      </c>
      <c r="D291" s="8" t="str">
        <f>'Family Map'!D332</f>
        <v/>
      </c>
      <c r="E291" s="8" t="str">
        <f>'Family Map'!F332</f>
        <v/>
      </c>
      <c r="F291" s="8" t="str">
        <f>IF(AND(OR('Family Map'!A332=TRUE,'Family Map'!A332="☑",'Family Map'!A332="✓",'Family Map'!A332="✔"),E291&lt;&gt;"",J291="☑"),E291,"")</f>
        <v/>
      </c>
      <c r="G291" s="8">
        <f>IF(E291="",0,COUNTIF('Strand Placement'!$B:$B,E291))</f>
        <v>0</v>
      </c>
      <c r="H291" s="163" t="str">
        <f t="shared" si="2"/>
        <v>Unplaced</v>
      </c>
      <c r="I291" s="163" t="s">
        <v>927</v>
      </c>
      <c r="J291" s="8" t="str">
        <f t="array" ref="J291">IFERROR(XLOOKUP(B291,Setup!$B$38:$B$43,Setup!$A$38:$A$43),"☑")</f>
        <v>☑</v>
      </c>
      <c r="S291" s="163" t="s">
        <v>665</v>
      </c>
      <c r="T291" s="163" t="s">
        <v>665</v>
      </c>
      <c r="U291" s="163" t="s">
        <v>665</v>
      </c>
    </row>
    <row r="292" ht="15.75" customHeight="1">
      <c r="A292" s="163">
        <v>288.0</v>
      </c>
      <c r="B292" s="8" t="str">
        <f>'Family Map'!B333</f>
        <v/>
      </c>
      <c r="C292" s="8" t="str">
        <f>'Family Map'!C333</f>
        <v/>
      </c>
      <c r="D292" s="8" t="str">
        <f>'Family Map'!D333</f>
        <v/>
      </c>
      <c r="E292" s="8" t="str">
        <f>'Family Map'!F333</f>
        <v/>
      </c>
      <c r="F292" s="8" t="str">
        <f>IF(AND(OR('Family Map'!A333=TRUE,'Family Map'!A333="☑",'Family Map'!A333="✓",'Family Map'!A333="✔"),E292&lt;&gt;"",J292="☑"),E292,"")</f>
        <v/>
      </c>
      <c r="G292" s="8">
        <f>IF(E292="",0,COUNTIF('Strand Placement'!$B:$B,E292))</f>
        <v>0</v>
      </c>
      <c r="H292" s="163" t="str">
        <f t="shared" si="2"/>
        <v>Unplaced</v>
      </c>
      <c r="I292" s="163" t="s">
        <v>928</v>
      </c>
      <c r="J292" s="8" t="str">
        <f t="array" ref="J292">IFERROR(XLOOKUP(B292,Setup!$B$38:$B$43,Setup!$A$38:$A$43),"☑")</f>
        <v>☑</v>
      </c>
      <c r="S292" s="163" t="s">
        <v>665</v>
      </c>
      <c r="T292" s="163" t="s">
        <v>665</v>
      </c>
      <c r="U292" s="163" t="s">
        <v>665</v>
      </c>
    </row>
    <row r="293" ht="15.75" customHeight="1">
      <c r="A293" s="163">
        <v>289.0</v>
      </c>
      <c r="B293" s="8" t="str">
        <f>'Family Map'!B334</f>
        <v/>
      </c>
      <c r="C293" s="8" t="str">
        <f>'Family Map'!C334</f>
        <v/>
      </c>
      <c r="D293" s="8" t="str">
        <f>'Family Map'!D334</f>
        <v/>
      </c>
      <c r="E293" s="8" t="str">
        <f>'Family Map'!F334</f>
        <v/>
      </c>
      <c r="F293" s="8" t="str">
        <f>IF(AND(OR('Family Map'!A334=TRUE,'Family Map'!A334="☑",'Family Map'!A334="✓",'Family Map'!A334="✔"),E293&lt;&gt;"",J293="☑"),E293,"")</f>
        <v/>
      </c>
      <c r="G293" s="8">
        <f>IF(E293="",0,COUNTIF('Strand Placement'!$B:$B,E293))</f>
        <v>0</v>
      </c>
      <c r="H293" s="163" t="str">
        <f t="shared" si="2"/>
        <v>Unplaced</v>
      </c>
      <c r="I293" s="163" t="s">
        <v>929</v>
      </c>
      <c r="J293" s="8" t="str">
        <f t="array" ref="J293">IFERROR(XLOOKUP(B293,Setup!$B$38:$B$43,Setup!$A$38:$A$43),"☑")</f>
        <v>☑</v>
      </c>
      <c r="S293" s="163" t="s">
        <v>665</v>
      </c>
      <c r="T293" s="163" t="s">
        <v>665</v>
      </c>
      <c r="U293" s="163" t="s">
        <v>665</v>
      </c>
    </row>
    <row r="294" ht="15.75" customHeight="1">
      <c r="A294" s="163">
        <v>290.0</v>
      </c>
      <c r="B294" s="8" t="str">
        <f>'Family Map'!B335</f>
        <v/>
      </c>
      <c r="C294" s="8" t="str">
        <f>'Family Map'!C335</f>
        <v/>
      </c>
      <c r="D294" s="8" t="str">
        <f>'Family Map'!D335</f>
        <v/>
      </c>
      <c r="E294" s="8" t="str">
        <f>'Family Map'!F335</f>
        <v/>
      </c>
      <c r="F294" s="8" t="str">
        <f>IF(AND(OR('Family Map'!A335=TRUE,'Family Map'!A335="☑",'Family Map'!A335="✓",'Family Map'!A335="✔"),E294&lt;&gt;"",J294="☑"),E294,"")</f>
        <v/>
      </c>
      <c r="G294" s="8">
        <f>IF(E294="",0,COUNTIF('Strand Placement'!$B:$B,E294))</f>
        <v>0</v>
      </c>
      <c r="H294" s="163" t="str">
        <f t="shared" si="2"/>
        <v>Unplaced</v>
      </c>
      <c r="I294" s="163" t="s">
        <v>930</v>
      </c>
      <c r="J294" s="8" t="str">
        <f t="array" ref="J294">IFERROR(XLOOKUP(B294,Setup!$B$38:$B$43,Setup!$A$38:$A$43),"☑")</f>
        <v>☑</v>
      </c>
      <c r="S294" s="163" t="s">
        <v>665</v>
      </c>
      <c r="T294" s="163" t="s">
        <v>665</v>
      </c>
      <c r="U294" s="163" t="s">
        <v>665</v>
      </c>
    </row>
    <row r="295" ht="15.75" customHeight="1">
      <c r="A295" s="163">
        <v>291.0</v>
      </c>
      <c r="B295" s="8" t="str">
        <f>'Family Map'!B336</f>
        <v/>
      </c>
      <c r="C295" s="8" t="str">
        <f>'Family Map'!C336</f>
        <v/>
      </c>
      <c r="D295" s="8" t="str">
        <f>'Family Map'!D336</f>
        <v/>
      </c>
      <c r="E295" s="8" t="str">
        <f>'Family Map'!F336</f>
        <v/>
      </c>
      <c r="F295" s="8" t="str">
        <f>IF(AND(OR('Family Map'!A336=TRUE,'Family Map'!A336="☑",'Family Map'!A336="✓",'Family Map'!A336="✔"),E295&lt;&gt;"",J295="☑"),E295,"")</f>
        <v/>
      </c>
      <c r="G295" s="8">
        <f>IF(E295="",0,COUNTIF('Strand Placement'!$B:$B,E295))</f>
        <v>0</v>
      </c>
      <c r="H295" s="163" t="str">
        <f t="shared" si="2"/>
        <v>Unplaced</v>
      </c>
      <c r="I295" s="163" t="s">
        <v>931</v>
      </c>
      <c r="J295" s="8" t="str">
        <f t="array" ref="J295">IFERROR(XLOOKUP(B295,Setup!$B$38:$B$43,Setup!$A$38:$A$43),"☑")</f>
        <v>☑</v>
      </c>
      <c r="S295" s="163" t="s">
        <v>665</v>
      </c>
      <c r="T295" s="163" t="s">
        <v>665</v>
      </c>
      <c r="U295" s="163" t="s">
        <v>665</v>
      </c>
    </row>
    <row r="296" ht="15.75" customHeight="1">
      <c r="A296" s="163">
        <v>292.0</v>
      </c>
      <c r="B296" s="8" t="str">
        <f>'Family Map'!B337</f>
        <v/>
      </c>
      <c r="C296" s="8" t="str">
        <f>'Family Map'!C337</f>
        <v/>
      </c>
      <c r="D296" s="8" t="str">
        <f>'Family Map'!D337</f>
        <v/>
      </c>
      <c r="E296" s="8" t="str">
        <f>'Family Map'!F337</f>
        <v/>
      </c>
      <c r="F296" s="8" t="str">
        <f>IF(AND(OR('Family Map'!A337=TRUE,'Family Map'!A337="☑",'Family Map'!A337="✓",'Family Map'!A337="✔"),E296&lt;&gt;"",J296="☑"),E296,"")</f>
        <v/>
      </c>
      <c r="G296" s="8">
        <f>IF(E296="",0,COUNTIF('Strand Placement'!$B:$B,E296))</f>
        <v>0</v>
      </c>
      <c r="H296" s="163" t="str">
        <f t="shared" si="2"/>
        <v>Unplaced</v>
      </c>
      <c r="I296" s="163" t="s">
        <v>932</v>
      </c>
      <c r="J296" s="8" t="str">
        <f t="array" ref="J296">IFERROR(XLOOKUP(B296,Setup!$B$38:$B$43,Setup!$A$38:$A$43),"☑")</f>
        <v>☑</v>
      </c>
      <c r="S296" s="163" t="s">
        <v>665</v>
      </c>
      <c r="T296" s="163" t="s">
        <v>665</v>
      </c>
      <c r="U296" s="163" t="s">
        <v>665</v>
      </c>
    </row>
    <row r="297" ht="15.75" customHeight="1">
      <c r="A297" s="163">
        <v>293.0</v>
      </c>
      <c r="B297" s="8" t="str">
        <f>'Family Map'!B338</f>
        <v/>
      </c>
      <c r="C297" s="8" t="str">
        <f>'Family Map'!C338</f>
        <v/>
      </c>
      <c r="D297" s="8" t="str">
        <f>'Family Map'!D338</f>
        <v/>
      </c>
      <c r="E297" s="8" t="str">
        <f>'Family Map'!F338</f>
        <v/>
      </c>
      <c r="F297" s="8" t="str">
        <f>IF(AND(OR('Family Map'!A338=TRUE,'Family Map'!A338="☑",'Family Map'!A338="✓",'Family Map'!A338="✔"),E297&lt;&gt;"",J297="☑"),E297,"")</f>
        <v/>
      </c>
      <c r="G297" s="8">
        <f>IF(E297="",0,COUNTIF('Strand Placement'!$B:$B,E297))</f>
        <v>0</v>
      </c>
      <c r="H297" s="163" t="str">
        <f t="shared" si="2"/>
        <v>Unplaced</v>
      </c>
      <c r="I297" s="163" t="s">
        <v>933</v>
      </c>
      <c r="J297" s="8" t="str">
        <f t="array" ref="J297">IFERROR(XLOOKUP(B297,Setup!$B$38:$B$43,Setup!$A$38:$A$43),"☑")</f>
        <v>☑</v>
      </c>
      <c r="S297" s="163" t="s">
        <v>665</v>
      </c>
      <c r="T297" s="163" t="s">
        <v>665</v>
      </c>
      <c r="U297" s="163" t="s">
        <v>665</v>
      </c>
    </row>
    <row r="298" ht="15.75" customHeight="1">
      <c r="A298" s="163">
        <v>294.0</v>
      </c>
      <c r="B298" s="8" t="str">
        <f>'Family Map'!B339</f>
        <v/>
      </c>
      <c r="C298" s="8" t="str">
        <f>'Family Map'!C339</f>
        <v/>
      </c>
      <c r="D298" s="8" t="str">
        <f>'Family Map'!D339</f>
        <v/>
      </c>
      <c r="E298" s="8" t="str">
        <f>'Family Map'!F339</f>
        <v/>
      </c>
      <c r="F298" s="8" t="str">
        <f>IF(AND(OR('Family Map'!A339=TRUE,'Family Map'!A339="☑",'Family Map'!A339="✓",'Family Map'!A339="✔"),E298&lt;&gt;"",J298="☑"),E298,"")</f>
        <v/>
      </c>
      <c r="G298" s="8">
        <f>IF(E298="",0,COUNTIF('Strand Placement'!$B:$B,E298))</f>
        <v>0</v>
      </c>
      <c r="H298" s="163" t="str">
        <f t="shared" si="2"/>
        <v>Unplaced</v>
      </c>
      <c r="I298" s="163" t="s">
        <v>934</v>
      </c>
      <c r="J298" s="8" t="str">
        <f t="array" ref="J298">IFERROR(XLOOKUP(B298,Setup!$B$38:$B$43,Setup!$A$38:$A$43),"☑")</f>
        <v>☑</v>
      </c>
      <c r="S298" s="163" t="s">
        <v>665</v>
      </c>
      <c r="T298" s="163" t="s">
        <v>665</v>
      </c>
      <c r="U298" s="163" t="s">
        <v>665</v>
      </c>
    </row>
    <row r="299" ht="15.75" customHeight="1">
      <c r="A299" s="163">
        <v>295.0</v>
      </c>
      <c r="B299" s="8" t="str">
        <f>'Family Map'!B340</f>
        <v/>
      </c>
      <c r="C299" s="8" t="str">
        <f>'Family Map'!C340</f>
        <v/>
      </c>
      <c r="D299" s="8" t="str">
        <f>'Family Map'!D340</f>
        <v/>
      </c>
      <c r="E299" s="8" t="str">
        <f>'Family Map'!F340</f>
        <v/>
      </c>
      <c r="F299" s="8" t="str">
        <f>IF(AND(OR('Family Map'!A340=TRUE,'Family Map'!A340="☑",'Family Map'!A340="✓",'Family Map'!A340="✔"),E299&lt;&gt;"",J299="☑"),E299,"")</f>
        <v/>
      </c>
      <c r="G299" s="8">
        <f>IF(E299="",0,COUNTIF('Strand Placement'!$B:$B,E299))</f>
        <v>0</v>
      </c>
      <c r="H299" s="163" t="str">
        <f t="shared" si="2"/>
        <v>Unplaced</v>
      </c>
      <c r="I299" s="163" t="s">
        <v>935</v>
      </c>
      <c r="J299" s="8" t="str">
        <f t="array" ref="J299">IFERROR(XLOOKUP(B299,Setup!$B$38:$B$43,Setup!$A$38:$A$43),"☑")</f>
        <v>☑</v>
      </c>
      <c r="S299" s="163" t="s">
        <v>665</v>
      </c>
      <c r="T299" s="163" t="s">
        <v>665</v>
      </c>
      <c r="U299" s="163" t="s">
        <v>665</v>
      </c>
    </row>
    <row r="300" ht="15.75" customHeight="1">
      <c r="A300" s="163">
        <v>296.0</v>
      </c>
      <c r="B300" s="8" t="str">
        <f>'Family Map'!B341</f>
        <v/>
      </c>
      <c r="C300" s="8" t="str">
        <f>'Family Map'!C341</f>
        <v/>
      </c>
      <c r="D300" s="8" t="str">
        <f>'Family Map'!D341</f>
        <v/>
      </c>
      <c r="E300" s="8" t="str">
        <f>'Family Map'!F341</f>
        <v/>
      </c>
      <c r="F300" s="8" t="str">
        <f>IF(AND(OR('Family Map'!A341=TRUE,'Family Map'!A341="☑",'Family Map'!A341="✓",'Family Map'!A341="✔"),E300&lt;&gt;"",J300="☑"),E300,"")</f>
        <v/>
      </c>
      <c r="G300" s="8">
        <f>IF(E300="",0,COUNTIF('Strand Placement'!$B:$B,E300))</f>
        <v>0</v>
      </c>
      <c r="H300" s="163" t="str">
        <f t="shared" si="2"/>
        <v>Unplaced</v>
      </c>
      <c r="I300" s="163" t="s">
        <v>936</v>
      </c>
      <c r="J300" s="8" t="str">
        <f t="array" ref="J300">IFERROR(XLOOKUP(B300,Setup!$B$38:$B$43,Setup!$A$38:$A$43),"☑")</f>
        <v>☑</v>
      </c>
      <c r="S300" s="163" t="s">
        <v>665</v>
      </c>
      <c r="T300" s="163" t="s">
        <v>665</v>
      </c>
      <c r="U300" s="163" t="s">
        <v>665</v>
      </c>
    </row>
    <row r="301" ht="15.75" customHeight="1">
      <c r="A301" s="163">
        <v>297.0</v>
      </c>
      <c r="B301" s="8" t="str">
        <f>'Family Map'!B342</f>
        <v/>
      </c>
      <c r="C301" s="8" t="str">
        <f>'Family Map'!C342</f>
        <v/>
      </c>
      <c r="D301" s="8" t="str">
        <f>'Family Map'!D342</f>
        <v/>
      </c>
      <c r="E301" s="8" t="str">
        <f>'Family Map'!F342</f>
        <v/>
      </c>
      <c r="F301" s="8" t="str">
        <f>IF(AND(OR('Family Map'!A342=TRUE,'Family Map'!A342="☑",'Family Map'!A342="✓",'Family Map'!A342="✔"),E301&lt;&gt;"",J301="☑"),E301,"")</f>
        <v/>
      </c>
      <c r="G301" s="8">
        <f>IF(E301="",0,COUNTIF('Strand Placement'!$B:$B,E301))</f>
        <v>0</v>
      </c>
      <c r="H301" s="163" t="str">
        <f t="shared" si="2"/>
        <v>Unplaced</v>
      </c>
      <c r="I301" s="163" t="s">
        <v>937</v>
      </c>
      <c r="J301" s="8" t="str">
        <f t="array" ref="J301">IFERROR(XLOOKUP(B301,Setup!$B$38:$B$43,Setup!$A$38:$A$43),"☑")</f>
        <v>☑</v>
      </c>
      <c r="S301" s="163" t="s">
        <v>665</v>
      </c>
      <c r="T301" s="163" t="s">
        <v>665</v>
      </c>
      <c r="U301" s="163" t="s">
        <v>665</v>
      </c>
    </row>
    <row r="302" ht="15.75" customHeight="1">
      <c r="A302" s="163">
        <v>298.0</v>
      </c>
      <c r="B302" s="8" t="str">
        <f>'Family Map'!B343</f>
        <v/>
      </c>
      <c r="C302" s="8" t="str">
        <f>'Family Map'!C343</f>
        <v/>
      </c>
      <c r="D302" s="8" t="str">
        <f>'Family Map'!D343</f>
        <v/>
      </c>
      <c r="E302" s="8" t="str">
        <f>'Family Map'!F343</f>
        <v/>
      </c>
      <c r="F302" s="8" t="str">
        <f>IF(AND(OR('Family Map'!A343=TRUE,'Family Map'!A343="☑",'Family Map'!A343="✓",'Family Map'!A343="✔"),E302&lt;&gt;"",J302="☑"),E302,"")</f>
        <v/>
      </c>
      <c r="G302" s="8">
        <f>IF(E302="",0,COUNTIF('Strand Placement'!$B:$B,E302))</f>
        <v>0</v>
      </c>
      <c r="H302" s="163" t="str">
        <f t="shared" si="2"/>
        <v>Unplaced</v>
      </c>
      <c r="I302" s="163" t="s">
        <v>938</v>
      </c>
      <c r="J302" s="8" t="str">
        <f t="array" ref="J302">IFERROR(XLOOKUP(B302,Setup!$B$38:$B$43,Setup!$A$38:$A$43),"☑")</f>
        <v>☑</v>
      </c>
      <c r="S302" s="163" t="s">
        <v>665</v>
      </c>
      <c r="T302" s="163" t="s">
        <v>665</v>
      </c>
      <c r="U302" s="163" t="s">
        <v>665</v>
      </c>
    </row>
    <row r="303" ht="15.75" customHeight="1">
      <c r="A303" s="163">
        <v>299.0</v>
      </c>
      <c r="B303" s="8" t="str">
        <f>'Family Map'!B344</f>
        <v/>
      </c>
      <c r="C303" s="8" t="str">
        <f>'Family Map'!C344</f>
        <v/>
      </c>
      <c r="D303" s="8" t="str">
        <f>'Family Map'!D344</f>
        <v/>
      </c>
      <c r="E303" s="8" t="str">
        <f>'Family Map'!F344</f>
        <v/>
      </c>
      <c r="F303" s="8" t="str">
        <f>IF(AND(OR('Family Map'!A344=TRUE,'Family Map'!A344="☑",'Family Map'!A344="✓",'Family Map'!A344="✔"),E303&lt;&gt;"",J303="☑"),E303,"")</f>
        <v/>
      </c>
      <c r="G303" s="8">
        <f>IF(E303="",0,COUNTIF('Strand Placement'!$B:$B,E303))</f>
        <v>0</v>
      </c>
      <c r="H303" s="163" t="str">
        <f t="shared" si="2"/>
        <v>Unplaced</v>
      </c>
      <c r="I303" s="163" t="s">
        <v>939</v>
      </c>
      <c r="J303" s="8" t="str">
        <f t="array" ref="J303">IFERROR(XLOOKUP(B303,Setup!$B$38:$B$43,Setup!$A$38:$A$43),"☑")</f>
        <v>☑</v>
      </c>
      <c r="S303" s="163" t="s">
        <v>665</v>
      </c>
      <c r="T303" s="163" t="s">
        <v>665</v>
      </c>
      <c r="U303" s="163" t="s">
        <v>665</v>
      </c>
    </row>
    <row r="304" ht="15.75" customHeight="1">
      <c r="A304" s="163">
        <v>300.0</v>
      </c>
      <c r="B304" s="8" t="str">
        <f>'Family Map'!B345</f>
        <v/>
      </c>
      <c r="C304" s="8" t="str">
        <f>'Family Map'!C345</f>
        <v/>
      </c>
      <c r="D304" s="8" t="str">
        <f>'Family Map'!D345</f>
        <v/>
      </c>
      <c r="E304" s="8" t="str">
        <f>'Family Map'!F345</f>
        <v/>
      </c>
      <c r="F304" s="8" t="str">
        <f>IF(AND(OR('Family Map'!A345=TRUE,'Family Map'!A345="☑",'Family Map'!A345="✓",'Family Map'!A345="✔"),E304&lt;&gt;"",J304="☑"),E304,"")</f>
        <v/>
      </c>
      <c r="G304" s="8">
        <f>IF(E304="",0,COUNTIF('Strand Placement'!$B:$B,E304))</f>
        <v>0</v>
      </c>
      <c r="H304" s="163" t="str">
        <f t="shared" si="2"/>
        <v>Unplaced</v>
      </c>
      <c r="I304" s="163" t="s">
        <v>940</v>
      </c>
      <c r="J304" s="8" t="str">
        <f t="array" ref="J304">IFERROR(XLOOKUP(B304,Setup!$B$38:$B$43,Setup!$A$38:$A$43),"☑")</f>
        <v>☑</v>
      </c>
      <c r="S304" s="163" t="s">
        <v>665</v>
      </c>
      <c r="T304" s="163" t="s">
        <v>665</v>
      </c>
      <c r="U304" s="163" t="s">
        <v>665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